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jbeuning\source\2026-ge-data-internship\"/>
    </mc:Choice>
  </mc:AlternateContent>
  <xr:revisionPtr revIDLastSave="0" documentId="8_{D3B58E83-40D7-46E4-A22C-99AAAE90D503}" xr6:coauthVersionLast="47" xr6:coauthVersionMax="47" xr10:uidLastSave="{00000000-0000-0000-0000-000000000000}"/>
  <bookViews>
    <workbookView xWindow="2268" yWindow="2268" windowWidth="17280" windowHeight="10008" tabRatio="854" xr2:uid="{00000000-000D-0000-FFFF-FFFF00000000}"/>
  </bookViews>
  <sheets>
    <sheet name="Aztec Metered Load" sheetId="4" r:id="rId1"/>
    <sheet name="Solar" sheetId="7" r:id="rId2"/>
    <sheet name="GEServed" sheetId="23" r:id="rId3"/>
    <sheet name="pivot Allocation" sheetId="24" state="hidden" r:id="rId4"/>
    <sheet name="NERCHolidays" sheetId="25" state="hidden" r:id="rId5"/>
    <sheet name="WRP Cost" sheetId="11" state="hidden" r:id="rId6"/>
    <sheet name="Global" sheetId="15" state="hidden" r:id="rId7"/>
    <sheet name="Resources" sheetId="18" state="hidden" r:id="rId8"/>
    <sheet name="Pricing" sheetId="16" state="hidden" r:id="rId9"/>
    <sheet name="Bill Calc" sheetId="14" state="hidden" r:id="rId10"/>
    <sheet name="EI Chart" sheetId="20" state="hidden" r:id="rId11"/>
  </sheets>
  <definedNames>
    <definedName name="_xlnm._FilterDatabase" localSheetId="1" hidden="1">Solar!$B$2:$D$674</definedName>
    <definedName name="CalStartYear" localSheetId="4">#REF!</definedName>
    <definedName name="CalStartYear">#REF!</definedName>
    <definedName name="Coll_per" localSheetId="4">#REF!</definedName>
    <definedName name="Coll_per">#REF!</definedName>
    <definedName name="Gas_Coll" localSheetId="4">#REF!</definedName>
    <definedName name="Gas_Coll">#REF!</definedName>
    <definedName name="HR_Coll" localSheetId="4">#REF!</definedName>
    <definedName name="HR_Coll">#REF!</definedName>
    <definedName name="_xlnm.Print_Area" localSheetId="0">'Aztec Metered Load'!$D$1:$D$726</definedName>
  </definedNames>
  <calcPr calcId="191028"/>
  <pivotCaches>
    <pivotCache cacheId="0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5" i="7" l="1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C675" i="7"/>
  <c r="C676" i="7"/>
  <c r="D720" i="4"/>
  <c r="C720" i="4" s="1"/>
  <c r="L716" i="23" s="1"/>
  <c r="D721" i="4"/>
  <c r="C721" i="4" s="1"/>
  <c r="L717" i="23" s="1"/>
  <c r="D722" i="4"/>
  <c r="C722" i="4" s="1"/>
  <c r="L718" i="23" s="1"/>
  <c r="D723" i="4"/>
  <c r="C723" i="4" s="1"/>
  <c r="L719" i="23" s="1"/>
  <c r="D724" i="4"/>
  <c r="C724" i="4" s="1"/>
  <c r="L720" i="23" s="1"/>
  <c r="D725" i="4"/>
  <c r="C725" i="4" s="1"/>
  <c r="L721" i="23" s="1"/>
  <c r="D726" i="4"/>
  <c r="C726" i="4" s="1"/>
  <c r="L722" i="23" s="1"/>
  <c r="D679" i="4"/>
  <c r="C679" i="4" s="1"/>
  <c r="L675" i="23" s="1"/>
  <c r="D680" i="4"/>
  <c r="C680" i="4" s="1"/>
  <c r="L676" i="23" s="1"/>
  <c r="D681" i="4"/>
  <c r="C681" i="4" s="1"/>
  <c r="L677" i="23" s="1"/>
  <c r="D682" i="4"/>
  <c r="C682" i="4" s="1"/>
  <c r="L678" i="23" s="1"/>
  <c r="D683" i="4"/>
  <c r="C683" i="4" s="1"/>
  <c r="L679" i="23" s="1"/>
  <c r="D684" i="4"/>
  <c r="C684" i="4" s="1"/>
  <c r="L680" i="23" s="1"/>
  <c r="D685" i="4"/>
  <c r="C685" i="4" s="1"/>
  <c r="L681" i="23" s="1"/>
  <c r="D686" i="4"/>
  <c r="C686" i="4" s="1"/>
  <c r="L682" i="23" s="1"/>
  <c r="D687" i="4"/>
  <c r="C687" i="4" s="1"/>
  <c r="L683" i="23" s="1"/>
  <c r="D688" i="4"/>
  <c r="C688" i="4" s="1"/>
  <c r="L684" i="23" s="1"/>
  <c r="D689" i="4"/>
  <c r="C689" i="4" s="1"/>
  <c r="L685" i="23" s="1"/>
  <c r="D690" i="4"/>
  <c r="C690" i="4" s="1"/>
  <c r="L686" i="23" s="1"/>
  <c r="D691" i="4"/>
  <c r="C691" i="4" s="1"/>
  <c r="L687" i="23" s="1"/>
  <c r="D692" i="4"/>
  <c r="C692" i="4" s="1"/>
  <c r="L688" i="23" s="1"/>
  <c r="D693" i="4"/>
  <c r="C693" i="4" s="1"/>
  <c r="L689" i="23" s="1"/>
  <c r="D694" i="4"/>
  <c r="C694" i="4" s="1"/>
  <c r="L690" i="23" s="1"/>
  <c r="D695" i="4"/>
  <c r="C695" i="4" s="1"/>
  <c r="L691" i="23" s="1"/>
  <c r="D696" i="4"/>
  <c r="C696" i="4" s="1"/>
  <c r="L692" i="23" s="1"/>
  <c r="D697" i="4"/>
  <c r="C697" i="4" s="1"/>
  <c r="L693" i="23" s="1"/>
  <c r="D698" i="4"/>
  <c r="C698" i="4" s="1"/>
  <c r="L694" i="23" s="1"/>
  <c r="D699" i="4"/>
  <c r="C699" i="4" s="1"/>
  <c r="L695" i="23" s="1"/>
  <c r="D700" i="4"/>
  <c r="C700" i="4" s="1"/>
  <c r="L696" i="23" s="1"/>
  <c r="D701" i="4"/>
  <c r="C701" i="4" s="1"/>
  <c r="L697" i="23" s="1"/>
  <c r="D702" i="4"/>
  <c r="C702" i="4" s="1"/>
  <c r="L698" i="23" s="1"/>
  <c r="D703" i="4"/>
  <c r="C703" i="4" s="1"/>
  <c r="L699" i="23" s="1"/>
  <c r="D704" i="4"/>
  <c r="C704" i="4" s="1"/>
  <c r="L700" i="23" s="1"/>
  <c r="D705" i="4"/>
  <c r="C705" i="4" s="1"/>
  <c r="L701" i="23" s="1"/>
  <c r="D706" i="4"/>
  <c r="C706" i="4" s="1"/>
  <c r="L702" i="23" s="1"/>
  <c r="D707" i="4"/>
  <c r="C707" i="4" s="1"/>
  <c r="L703" i="23" s="1"/>
  <c r="D708" i="4"/>
  <c r="C708" i="4" s="1"/>
  <c r="L704" i="23" s="1"/>
  <c r="D709" i="4"/>
  <c r="C709" i="4" s="1"/>
  <c r="L705" i="23" s="1"/>
  <c r="D710" i="4"/>
  <c r="C710" i="4" s="1"/>
  <c r="L706" i="23" s="1"/>
  <c r="D711" i="4"/>
  <c r="C711" i="4" s="1"/>
  <c r="L707" i="23" s="1"/>
  <c r="D712" i="4"/>
  <c r="C712" i="4" s="1"/>
  <c r="L708" i="23" s="1"/>
  <c r="D713" i="4"/>
  <c r="C713" i="4" s="1"/>
  <c r="L709" i="23" s="1"/>
  <c r="D714" i="4"/>
  <c r="C714" i="4" s="1"/>
  <c r="L710" i="23" s="1"/>
  <c r="D715" i="4"/>
  <c r="C715" i="4" s="1"/>
  <c r="L711" i="23" s="1"/>
  <c r="D716" i="4"/>
  <c r="C716" i="4" s="1"/>
  <c r="L712" i="23" s="1"/>
  <c r="D717" i="4"/>
  <c r="C717" i="4" s="1"/>
  <c r="L713" i="23" s="1"/>
  <c r="D718" i="4"/>
  <c r="C718" i="4" s="1"/>
  <c r="L714" i="23" s="1"/>
  <c r="D719" i="4"/>
  <c r="C719" i="4" s="1"/>
  <c r="L715" i="23" s="1"/>
  <c r="AM205" i="23"/>
  <c r="AL205" i="23"/>
  <c r="AK205" i="23"/>
  <c r="AJ205" i="23"/>
  <c r="AI205" i="23"/>
  <c r="AH205" i="23"/>
  <c r="AG205" i="23"/>
  <c r="AF205" i="23"/>
  <c r="AE205" i="23"/>
  <c r="AD205" i="23"/>
  <c r="AC205" i="23"/>
  <c r="AB205" i="23"/>
  <c r="AA205" i="23"/>
  <c r="Z205" i="23"/>
  <c r="Y205" i="23"/>
  <c r="X205" i="23"/>
  <c r="W205" i="23"/>
  <c r="V205" i="23"/>
  <c r="U205" i="23"/>
  <c r="T205" i="23"/>
  <c r="S205" i="23"/>
  <c r="R205" i="23"/>
  <c r="Q205" i="23"/>
  <c r="P205" i="23"/>
  <c r="AM204" i="23"/>
  <c r="AL204" i="23"/>
  <c r="AK204" i="23"/>
  <c r="AJ204" i="23"/>
  <c r="AI204" i="23"/>
  <c r="AH204" i="23"/>
  <c r="AG204" i="23"/>
  <c r="AF204" i="23"/>
  <c r="AE204" i="23"/>
  <c r="AD204" i="23"/>
  <c r="AC204" i="23"/>
  <c r="AB204" i="23"/>
  <c r="AA204" i="23"/>
  <c r="Z204" i="23"/>
  <c r="Y204" i="23"/>
  <c r="X204" i="23"/>
  <c r="W204" i="23"/>
  <c r="V204" i="23"/>
  <c r="U204" i="23"/>
  <c r="T204" i="23"/>
  <c r="S204" i="23"/>
  <c r="R204" i="23"/>
  <c r="Q204" i="23"/>
  <c r="P204" i="23"/>
  <c r="P102" i="23"/>
  <c r="P103" i="23"/>
  <c r="C677" i="7" l="1"/>
  <c r="C718" i="23"/>
  <c r="C719" i="23"/>
  <c r="C720" i="23"/>
  <c r="C721" i="23"/>
  <c r="C722" i="23"/>
  <c r="C675" i="23"/>
  <c r="C676" i="23"/>
  <c r="C677" i="23"/>
  <c r="C678" i="23"/>
  <c r="C679" i="23"/>
  <c r="C680" i="23"/>
  <c r="C681" i="23"/>
  <c r="C682" i="23"/>
  <c r="C683" i="23"/>
  <c r="C684" i="23"/>
  <c r="C685" i="23"/>
  <c r="C686" i="23"/>
  <c r="C687" i="23"/>
  <c r="C688" i="23"/>
  <c r="C689" i="23"/>
  <c r="C690" i="23"/>
  <c r="C691" i="23"/>
  <c r="C692" i="23"/>
  <c r="C693" i="23"/>
  <c r="C694" i="23"/>
  <c r="C695" i="23"/>
  <c r="C696" i="23"/>
  <c r="C697" i="23"/>
  <c r="C698" i="23"/>
  <c r="C699" i="23"/>
  <c r="C700" i="23"/>
  <c r="C701" i="23"/>
  <c r="C702" i="23"/>
  <c r="C703" i="23"/>
  <c r="C704" i="23"/>
  <c r="C705" i="23"/>
  <c r="C706" i="23"/>
  <c r="C707" i="23"/>
  <c r="C708" i="23"/>
  <c r="C709" i="23"/>
  <c r="C710" i="23"/>
  <c r="C711" i="23"/>
  <c r="C712" i="23"/>
  <c r="C713" i="23"/>
  <c r="C714" i="23"/>
  <c r="C715" i="23"/>
  <c r="C716" i="23"/>
  <c r="C717" i="23"/>
  <c r="C678" i="7" l="1"/>
  <c r="C679" i="7" l="1"/>
  <c r="A8" i="4"/>
  <c r="A9" i="4" s="1"/>
  <c r="B7" i="4"/>
  <c r="D7" i="4"/>
  <c r="D8" i="4"/>
  <c r="C8" i="4" s="1"/>
  <c r="L4" i="23" s="1"/>
  <c r="D9" i="4"/>
  <c r="C9" i="4" s="1"/>
  <c r="L5" i="23" s="1"/>
  <c r="D10" i="4"/>
  <c r="C10" i="4" s="1"/>
  <c r="L6" i="23" s="1"/>
  <c r="D11" i="4"/>
  <c r="C11" i="4" s="1"/>
  <c r="L7" i="23" s="1"/>
  <c r="D12" i="4"/>
  <c r="C12" i="4" s="1"/>
  <c r="L8" i="23" s="1"/>
  <c r="D13" i="4"/>
  <c r="C13" i="4" s="1"/>
  <c r="L9" i="23" s="1"/>
  <c r="D14" i="4"/>
  <c r="C14" i="4" s="1"/>
  <c r="L10" i="23" s="1"/>
  <c r="D15" i="4"/>
  <c r="C15" i="4" s="1"/>
  <c r="L11" i="23" s="1"/>
  <c r="D16" i="4"/>
  <c r="C16" i="4" s="1"/>
  <c r="L12" i="23" s="1"/>
  <c r="D17" i="4"/>
  <c r="C17" i="4" s="1"/>
  <c r="L13" i="23" s="1"/>
  <c r="D18" i="4"/>
  <c r="C18" i="4" s="1"/>
  <c r="L14" i="23" s="1"/>
  <c r="D19" i="4"/>
  <c r="C19" i="4" s="1"/>
  <c r="L15" i="23" s="1"/>
  <c r="D20" i="4"/>
  <c r="C20" i="4" s="1"/>
  <c r="L16" i="23" s="1"/>
  <c r="D21" i="4"/>
  <c r="C21" i="4" s="1"/>
  <c r="L17" i="23" s="1"/>
  <c r="D22" i="4"/>
  <c r="C22" i="4" s="1"/>
  <c r="L18" i="23" s="1"/>
  <c r="D23" i="4"/>
  <c r="C23" i="4" s="1"/>
  <c r="L19" i="23" s="1"/>
  <c r="D24" i="4"/>
  <c r="C24" i="4" s="1"/>
  <c r="L20" i="23" s="1"/>
  <c r="D25" i="4"/>
  <c r="C25" i="4" s="1"/>
  <c r="L21" i="23" s="1"/>
  <c r="D26" i="4"/>
  <c r="C26" i="4" s="1"/>
  <c r="L22" i="23" s="1"/>
  <c r="D27" i="4"/>
  <c r="C27" i="4" s="1"/>
  <c r="L23" i="23" s="1"/>
  <c r="D28" i="4"/>
  <c r="C28" i="4" s="1"/>
  <c r="L24" i="23" s="1"/>
  <c r="D29" i="4"/>
  <c r="C29" i="4" s="1"/>
  <c r="L25" i="23" s="1"/>
  <c r="D30" i="4"/>
  <c r="C30" i="4" s="1"/>
  <c r="L26" i="23" s="1"/>
  <c r="D31" i="4"/>
  <c r="C31" i="4" s="1"/>
  <c r="L27" i="23" s="1"/>
  <c r="D32" i="4"/>
  <c r="C32" i="4" s="1"/>
  <c r="L28" i="23" s="1"/>
  <c r="D33" i="4"/>
  <c r="C33" i="4" s="1"/>
  <c r="L29" i="23" s="1"/>
  <c r="D34" i="4"/>
  <c r="C34" i="4" s="1"/>
  <c r="L30" i="23" s="1"/>
  <c r="D35" i="4"/>
  <c r="C35" i="4" s="1"/>
  <c r="L31" i="23" s="1"/>
  <c r="D36" i="4"/>
  <c r="C36" i="4" s="1"/>
  <c r="L32" i="23" s="1"/>
  <c r="D37" i="4"/>
  <c r="C37" i="4" s="1"/>
  <c r="L33" i="23" s="1"/>
  <c r="D38" i="4"/>
  <c r="C38" i="4" s="1"/>
  <c r="L34" i="23" s="1"/>
  <c r="D39" i="4"/>
  <c r="C39" i="4" s="1"/>
  <c r="L35" i="23" s="1"/>
  <c r="D40" i="4"/>
  <c r="C40" i="4" s="1"/>
  <c r="L36" i="23" s="1"/>
  <c r="D41" i="4"/>
  <c r="C41" i="4" s="1"/>
  <c r="L37" i="23" s="1"/>
  <c r="D42" i="4"/>
  <c r="C42" i="4" s="1"/>
  <c r="L38" i="23" s="1"/>
  <c r="D43" i="4"/>
  <c r="C43" i="4" s="1"/>
  <c r="L39" i="23" s="1"/>
  <c r="D44" i="4"/>
  <c r="C44" i="4" s="1"/>
  <c r="L40" i="23" s="1"/>
  <c r="D45" i="4"/>
  <c r="C45" i="4" s="1"/>
  <c r="L41" i="23" s="1"/>
  <c r="D46" i="4"/>
  <c r="C46" i="4" s="1"/>
  <c r="L42" i="23" s="1"/>
  <c r="D47" i="4"/>
  <c r="C47" i="4" s="1"/>
  <c r="L43" i="23" s="1"/>
  <c r="D48" i="4"/>
  <c r="C48" i="4" s="1"/>
  <c r="L44" i="23" s="1"/>
  <c r="D49" i="4"/>
  <c r="C49" i="4" s="1"/>
  <c r="L45" i="23" s="1"/>
  <c r="D50" i="4"/>
  <c r="C50" i="4" s="1"/>
  <c r="L46" i="23" s="1"/>
  <c r="D51" i="4"/>
  <c r="C51" i="4" s="1"/>
  <c r="L47" i="23" s="1"/>
  <c r="D52" i="4"/>
  <c r="C52" i="4" s="1"/>
  <c r="L48" i="23" s="1"/>
  <c r="D53" i="4"/>
  <c r="C53" i="4" s="1"/>
  <c r="L49" i="23" s="1"/>
  <c r="D54" i="4"/>
  <c r="C54" i="4" s="1"/>
  <c r="L50" i="23" s="1"/>
  <c r="D55" i="4"/>
  <c r="C55" i="4" s="1"/>
  <c r="L51" i="23" s="1"/>
  <c r="D56" i="4"/>
  <c r="C56" i="4" s="1"/>
  <c r="L52" i="23" s="1"/>
  <c r="D57" i="4"/>
  <c r="C57" i="4" s="1"/>
  <c r="L53" i="23" s="1"/>
  <c r="D58" i="4"/>
  <c r="C58" i="4" s="1"/>
  <c r="L54" i="23" s="1"/>
  <c r="D59" i="4"/>
  <c r="C59" i="4" s="1"/>
  <c r="L55" i="23" s="1"/>
  <c r="D60" i="4"/>
  <c r="C60" i="4" s="1"/>
  <c r="L56" i="23" s="1"/>
  <c r="D61" i="4"/>
  <c r="C61" i="4" s="1"/>
  <c r="L57" i="23" s="1"/>
  <c r="D62" i="4"/>
  <c r="C62" i="4" s="1"/>
  <c r="L58" i="23" s="1"/>
  <c r="D63" i="4"/>
  <c r="C63" i="4" s="1"/>
  <c r="L59" i="23" s="1"/>
  <c r="D64" i="4"/>
  <c r="C64" i="4" s="1"/>
  <c r="L60" i="23" s="1"/>
  <c r="D65" i="4"/>
  <c r="C65" i="4" s="1"/>
  <c r="L61" i="23" s="1"/>
  <c r="D66" i="4"/>
  <c r="C66" i="4" s="1"/>
  <c r="L62" i="23" s="1"/>
  <c r="D67" i="4"/>
  <c r="C67" i="4" s="1"/>
  <c r="L63" i="23" s="1"/>
  <c r="D68" i="4"/>
  <c r="C68" i="4" s="1"/>
  <c r="L64" i="23" s="1"/>
  <c r="D69" i="4"/>
  <c r="C69" i="4" s="1"/>
  <c r="L65" i="23" s="1"/>
  <c r="D70" i="4"/>
  <c r="C70" i="4" s="1"/>
  <c r="L66" i="23" s="1"/>
  <c r="D71" i="4"/>
  <c r="C71" i="4" s="1"/>
  <c r="L67" i="23" s="1"/>
  <c r="D72" i="4"/>
  <c r="C72" i="4" s="1"/>
  <c r="L68" i="23" s="1"/>
  <c r="D73" i="4"/>
  <c r="C73" i="4" s="1"/>
  <c r="L69" i="23" s="1"/>
  <c r="D74" i="4"/>
  <c r="C74" i="4" s="1"/>
  <c r="L70" i="23" s="1"/>
  <c r="D75" i="4"/>
  <c r="C75" i="4" s="1"/>
  <c r="L71" i="23" s="1"/>
  <c r="D76" i="4"/>
  <c r="C76" i="4" s="1"/>
  <c r="L72" i="23" s="1"/>
  <c r="D77" i="4"/>
  <c r="C77" i="4" s="1"/>
  <c r="L73" i="23" s="1"/>
  <c r="D78" i="4"/>
  <c r="C78" i="4" s="1"/>
  <c r="L74" i="23" s="1"/>
  <c r="D79" i="4"/>
  <c r="C79" i="4" s="1"/>
  <c r="L75" i="23" s="1"/>
  <c r="D80" i="4"/>
  <c r="C80" i="4" s="1"/>
  <c r="L76" i="23" s="1"/>
  <c r="D81" i="4"/>
  <c r="C81" i="4" s="1"/>
  <c r="L77" i="23" s="1"/>
  <c r="D82" i="4"/>
  <c r="C82" i="4" s="1"/>
  <c r="L78" i="23" s="1"/>
  <c r="D83" i="4"/>
  <c r="C83" i="4" s="1"/>
  <c r="L79" i="23" s="1"/>
  <c r="D84" i="4"/>
  <c r="C84" i="4" s="1"/>
  <c r="L80" i="23" s="1"/>
  <c r="D85" i="4"/>
  <c r="C85" i="4" s="1"/>
  <c r="L81" i="23" s="1"/>
  <c r="D86" i="4"/>
  <c r="C86" i="4" s="1"/>
  <c r="L82" i="23" s="1"/>
  <c r="D87" i="4"/>
  <c r="C87" i="4" s="1"/>
  <c r="L83" i="23" s="1"/>
  <c r="D88" i="4"/>
  <c r="C88" i="4" s="1"/>
  <c r="L84" i="23" s="1"/>
  <c r="D89" i="4"/>
  <c r="C89" i="4" s="1"/>
  <c r="L85" i="23" s="1"/>
  <c r="D90" i="4"/>
  <c r="C90" i="4" s="1"/>
  <c r="L86" i="23" s="1"/>
  <c r="D91" i="4"/>
  <c r="C91" i="4" s="1"/>
  <c r="L87" i="23" s="1"/>
  <c r="D92" i="4"/>
  <c r="C92" i="4" s="1"/>
  <c r="L88" i="23" s="1"/>
  <c r="D93" i="4"/>
  <c r="C93" i="4" s="1"/>
  <c r="L89" i="23" s="1"/>
  <c r="D94" i="4"/>
  <c r="C94" i="4" s="1"/>
  <c r="L90" i="23" s="1"/>
  <c r="D95" i="4"/>
  <c r="C95" i="4" s="1"/>
  <c r="L91" i="23" s="1"/>
  <c r="D96" i="4"/>
  <c r="C96" i="4" s="1"/>
  <c r="L92" i="23" s="1"/>
  <c r="D97" i="4"/>
  <c r="C97" i="4" s="1"/>
  <c r="L93" i="23" s="1"/>
  <c r="D98" i="4"/>
  <c r="C98" i="4" s="1"/>
  <c r="L94" i="23" s="1"/>
  <c r="D99" i="4"/>
  <c r="C99" i="4" s="1"/>
  <c r="L95" i="23" s="1"/>
  <c r="D100" i="4"/>
  <c r="C100" i="4" s="1"/>
  <c r="L96" i="23" s="1"/>
  <c r="D101" i="4"/>
  <c r="C101" i="4" s="1"/>
  <c r="L97" i="23" s="1"/>
  <c r="D102" i="4"/>
  <c r="C102" i="4" s="1"/>
  <c r="L98" i="23" s="1"/>
  <c r="D103" i="4"/>
  <c r="C103" i="4" s="1"/>
  <c r="L99" i="23" s="1"/>
  <c r="D104" i="4"/>
  <c r="C104" i="4" s="1"/>
  <c r="L100" i="23" s="1"/>
  <c r="D105" i="4"/>
  <c r="C105" i="4" s="1"/>
  <c r="L101" i="23" s="1"/>
  <c r="D106" i="4"/>
  <c r="C106" i="4" s="1"/>
  <c r="L102" i="23" s="1"/>
  <c r="D107" i="4"/>
  <c r="C107" i="4" s="1"/>
  <c r="L103" i="23" s="1"/>
  <c r="D108" i="4"/>
  <c r="C108" i="4" s="1"/>
  <c r="L104" i="23" s="1"/>
  <c r="D109" i="4"/>
  <c r="C109" i="4" s="1"/>
  <c r="L105" i="23" s="1"/>
  <c r="D110" i="4"/>
  <c r="C110" i="4" s="1"/>
  <c r="L106" i="23" s="1"/>
  <c r="D111" i="4"/>
  <c r="C111" i="4" s="1"/>
  <c r="L107" i="23" s="1"/>
  <c r="D112" i="4"/>
  <c r="C112" i="4" s="1"/>
  <c r="L108" i="23" s="1"/>
  <c r="D113" i="4"/>
  <c r="C113" i="4" s="1"/>
  <c r="L109" i="23" s="1"/>
  <c r="D114" i="4"/>
  <c r="C114" i="4" s="1"/>
  <c r="L110" i="23" s="1"/>
  <c r="D115" i="4"/>
  <c r="C115" i="4" s="1"/>
  <c r="L111" i="23" s="1"/>
  <c r="D116" i="4"/>
  <c r="C116" i="4" s="1"/>
  <c r="L112" i="23" s="1"/>
  <c r="D117" i="4"/>
  <c r="C117" i="4" s="1"/>
  <c r="L113" i="23" s="1"/>
  <c r="D118" i="4"/>
  <c r="C118" i="4" s="1"/>
  <c r="L114" i="23" s="1"/>
  <c r="D119" i="4"/>
  <c r="C119" i="4" s="1"/>
  <c r="L115" i="23" s="1"/>
  <c r="D120" i="4"/>
  <c r="C120" i="4" s="1"/>
  <c r="L116" i="23" s="1"/>
  <c r="D121" i="4"/>
  <c r="C121" i="4" s="1"/>
  <c r="L117" i="23" s="1"/>
  <c r="D122" i="4"/>
  <c r="C122" i="4" s="1"/>
  <c r="L118" i="23" s="1"/>
  <c r="D123" i="4"/>
  <c r="C123" i="4" s="1"/>
  <c r="L119" i="23" s="1"/>
  <c r="D124" i="4"/>
  <c r="C124" i="4" s="1"/>
  <c r="L120" i="23" s="1"/>
  <c r="D125" i="4"/>
  <c r="C125" i="4" s="1"/>
  <c r="L121" i="23" s="1"/>
  <c r="D126" i="4"/>
  <c r="C126" i="4" s="1"/>
  <c r="L122" i="23" s="1"/>
  <c r="D127" i="4"/>
  <c r="C127" i="4" s="1"/>
  <c r="L123" i="23" s="1"/>
  <c r="D128" i="4"/>
  <c r="C128" i="4" s="1"/>
  <c r="L124" i="23" s="1"/>
  <c r="D129" i="4"/>
  <c r="C129" i="4" s="1"/>
  <c r="L125" i="23" s="1"/>
  <c r="D130" i="4"/>
  <c r="C130" i="4" s="1"/>
  <c r="L126" i="23" s="1"/>
  <c r="D131" i="4"/>
  <c r="C131" i="4" s="1"/>
  <c r="L127" i="23" s="1"/>
  <c r="D132" i="4"/>
  <c r="C132" i="4" s="1"/>
  <c r="L128" i="23" s="1"/>
  <c r="D133" i="4"/>
  <c r="C133" i="4" s="1"/>
  <c r="L129" i="23" s="1"/>
  <c r="D134" i="4"/>
  <c r="C134" i="4" s="1"/>
  <c r="L130" i="23" s="1"/>
  <c r="D135" i="4"/>
  <c r="C135" i="4" s="1"/>
  <c r="L131" i="23" s="1"/>
  <c r="D136" i="4"/>
  <c r="C136" i="4" s="1"/>
  <c r="L132" i="23" s="1"/>
  <c r="D137" i="4"/>
  <c r="C137" i="4" s="1"/>
  <c r="L133" i="23" s="1"/>
  <c r="D138" i="4"/>
  <c r="C138" i="4" s="1"/>
  <c r="L134" i="23" s="1"/>
  <c r="D139" i="4"/>
  <c r="C139" i="4" s="1"/>
  <c r="L135" i="23" s="1"/>
  <c r="D140" i="4"/>
  <c r="C140" i="4" s="1"/>
  <c r="L136" i="23" s="1"/>
  <c r="D141" i="4"/>
  <c r="C141" i="4" s="1"/>
  <c r="L137" i="23" s="1"/>
  <c r="D142" i="4"/>
  <c r="C142" i="4" s="1"/>
  <c r="L138" i="23" s="1"/>
  <c r="D143" i="4"/>
  <c r="C143" i="4" s="1"/>
  <c r="L139" i="23" s="1"/>
  <c r="D144" i="4"/>
  <c r="C144" i="4" s="1"/>
  <c r="L140" i="23" s="1"/>
  <c r="D145" i="4"/>
  <c r="C145" i="4" s="1"/>
  <c r="L141" i="23" s="1"/>
  <c r="D146" i="4"/>
  <c r="C146" i="4" s="1"/>
  <c r="L142" i="23" s="1"/>
  <c r="D147" i="4"/>
  <c r="C147" i="4" s="1"/>
  <c r="L143" i="23" s="1"/>
  <c r="D148" i="4"/>
  <c r="C148" i="4" s="1"/>
  <c r="L144" i="23" s="1"/>
  <c r="D149" i="4"/>
  <c r="C149" i="4" s="1"/>
  <c r="L145" i="23" s="1"/>
  <c r="D150" i="4"/>
  <c r="C150" i="4" s="1"/>
  <c r="L146" i="23" s="1"/>
  <c r="D151" i="4"/>
  <c r="C151" i="4" s="1"/>
  <c r="L147" i="23" s="1"/>
  <c r="D152" i="4"/>
  <c r="C152" i="4" s="1"/>
  <c r="L148" i="23" s="1"/>
  <c r="D153" i="4"/>
  <c r="C153" i="4" s="1"/>
  <c r="L149" i="23" s="1"/>
  <c r="D154" i="4"/>
  <c r="C154" i="4" s="1"/>
  <c r="L150" i="23" s="1"/>
  <c r="D155" i="4"/>
  <c r="C155" i="4" s="1"/>
  <c r="L151" i="23" s="1"/>
  <c r="D156" i="4"/>
  <c r="C156" i="4" s="1"/>
  <c r="L152" i="23" s="1"/>
  <c r="D157" i="4"/>
  <c r="C157" i="4" s="1"/>
  <c r="L153" i="23" s="1"/>
  <c r="D158" i="4"/>
  <c r="C158" i="4" s="1"/>
  <c r="L154" i="23" s="1"/>
  <c r="D159" i="4"/>
  <c r="C159" i="4" s="1"/>
  <c r="L155" i="23" s="1"/>
  <c r="D160" i="4"/>
  <c r="C160" i="4" s="1"/>
  <c r="L156" i="23" s="1"/>
  <c r="D161" i="4"/>
  <c r="C161" i="4" s="1"/>
  <c r="L157" i="23" s="1"/>
  <c r="D162" i="4"/>
  <c r="C162" i="4" s="1"/>
  <c r="L158" i="23" s="1"/>
  <c r="D163" i="4"/>
  <c r="C163" i="4" s="1"/>
  <c r="L159" i="23" s="1"/>
  <c r="D164" i="4"/>
  <c r="C164" i="4" s="1"/>
  <c r="L160" i="23" s="1"/>
  <c r="D165" i="4"/>
  <c r="C165" i="4" s="1"/>
  <c r="L161" i="23" s="1"/>
  <c r="D166" i="4"/>
  <c r="C166" i="4" s="1"/>
  <c r="L162" i="23" s="1"/>
  <c r="D167" i="4"/>
  <c r="C167" i="4" s="1"/>
  <c r="L163" i="23" s="1"/>
  <c r="D168" i="4"/>
  <c r="C168" i="4" s="1"/>
  <c r="L164" i="23" s="1"/>
  <c r="D169" i="4"/>
  <c r="C169" i="4" s="1"/>
  <c r="L165" i="23" s="1"/>
  <c r="D170" i="4"/>
  <c r="C170" i="4" s="1"/>
  <c r="L166" i="23" s="1"/>
  <c r="D171" i="4"/>
  <c r="C171" i="4" s="1"/>
  <c r="L167" i="23" s="1"/>
  <c r="D172" i="4"/>
  <c r="C172" i="4" s="1"/>
  <c r="L168" i="23" s="1"/>
  <c r="D173" i="4"/>
  <c r="C173" i="4" s="1"/>
  <c r="L169" i="23" s="1"/>
  <c r="D174" i="4"/>
  <c r="C174" i="4" s="1"/>
  <c r="L170" i="23" s="1"/>
  <c r="D175" i="4"/>
  <c r="C175" i="4" s="1"/>
  <c r="L171" i="23" s="1"/>
  <c r="D176" i="4"/>
  <c r="C176" i="4" s="1"/>
  <c r="L172" i="23" s="1"/>
  <c r="D177" i="4"/>
  <c r="C177" i="4" s="1"/>
  <c r="L173" i="23" s="1"/>
  <c r="D178" i="4"/>
  <c r="C178" i="4" s="1"/>
  <c r="L174" i="23" s="1"/>
  <c r="D179" i="4"/>
  <c r="C179" i="4" s="1"/>
  <c r="L175" i="23" s="1"/>
  <c r="D180" i="4"/>
  <c r="C180" i="4" s="1"/>
  <c r="L176" i="23" s="1"/>
  <c r="D181" i="4"/>
  <c r="C181" i="4" s="1"/>
  <c r="L177" i="23" s="1"/>
  <c r="D182" i="4"/>
  <c r="C182" i="4" s="1"/>
  <c r="L178" i="23" s="1"/>
  <c r="D183" i="4"/>
  <c r="C183" i="4" s="1"/>
  <c r="L179" i="23" s="1"/>
  <c r="D184" i="4"/>
  <c r="C184" i="4" s="1"/>
  <c r="L180" i="23" s="1"/>
  <c r="D185" i="4"/>
  <c r="C185" i="4" s="1"/>
  <c r="L181" i="23" s="1"/>
  <c r="D186" i="4"/>
  <c r="C186" i="4" s="1"/>
  <c r="L182" i="23" s="1"/>
  <c r="D187" i="4"/>
  <c r="C187" i="4" s="1"/>
  <c r="L183" i="23" s="1"/>
  <c r="D188" i="4"/>
  <c r="C188" i="4" s="1"/>
  <c r="L184" i="23" s="1"/>
  <c r="D189" i="4"/>
  <c r="C189" i="4" s="1"/>
  <c r="L185" i="23" s="1"/>
  <c r="D190" i="4"/>
  <c r="C190" i="4" s="1"/>
  <c r="L186" i="23" s="1"/>
  <c r="D191" i="4"/>
  <c r="C191" i="4" s="1"/>
  <c r="L187" i="23" s="1"/>
  <c r="D192" i="4"/>
  <c r="C192" i="4" s="1"/>
  <c r="L188" i="23" s="1"/>
  <c r="D193" i="4"/>
  <c r="C193" i="4" s="1"/>
  <c r="L189" i="23" s="1"/>
  <c r="D194" i="4"/>
  <c r="C194" i="4" s="1"/>
  <c r="L190" i="23" s="1"/>
  <c r="D195" i="4"/>
  <c r="C195" i="4" s="1"/>
  <c r="L191" i="23" s="1"/>
  <c r="D196" i="4"/>
  <c r="C196" i="4" s="1"/>
  <c r="L192" i="23" s="1"/>
  <c r="D197" i="4"/>
  <c r="C197" i="4" s="1"/>
  <c r="L193" i="23" s="1"/>
  <c r="D198" i="4"/>
  <c r="C198" i="4" s="1"/>
  <c r="L194" i="23" s="1"/>
  <c r="D199" i="4"/>
  <c r="C199" i="4" s="1"/>
  <c r="L195" i="23" s="1"/>
  <c r="D200" i="4"/>
  <c r="C200" i="4" s="1"/>
  <c r="L196" i="23" s="1"/>
  <c r="D201" i="4"/>
  <c r="C201" i="4" s="1"/>
  <c r="L197" i="23" s="1"/>
  <c r="D202" i="4"/>
  <c r="C202" i="4" s="1"/>
  <c r="L198" i="23" s="1"/>
  <c r="D203" i="4"/>
  <c r="C203" i="4" s="1"/>
  <c r="L199" i="23" s="1"/>
  <c r="D204" i="4"/>
  <c r="C204" i="4" s="1"/>
  <c r="L200" i="23" s="1"/>
  <c r="D205" i="4"/>
  <c r="C205" i="4" s="1"/>
  <c r="L201" i="23" s="1"/>
  <c r="D206" i="4"/>
  <c r="C206" i="4" s="1"/>
  <c r="L202" i="23" s="1"/>
  <c r="D207" i="4"/>
  <c r="C207" i="4" s="1"/>
  <c r="L203" i="23" s="1"/>
  <c r="D208" i="4"/>
  <c r="C208" i="4" s="1"/>
  <c r="L204" i="23" s="1"/>
  <c r="D209" i="4"/>
  <c r="C209" i="4" s="1"/>
  <c r="L205" i="23" s="1"/>
  <c r="D210" i="4"/>
  <c r="C210" i="4" s="1"/>
  <c r="L206" i="23" s="1"/>
  <c r="D211" i="4"/>
  <c r="C211" i="4" s="1"/>
  <c r="L207" i="23" s="1"/>
  <c r="D212" i="4"/>
  <c r="C212" i="4" s="1"/>
  <c r="L208" i="23" s="1"/>
  <c r="D213" i="4"/>
  <c r="C213" i="4" s="1"/>
  <c r="L209" i="23" s="1"/>
  <c r="D214" i="4"/>
  <c r="C214" i="4" s="1"/>
  <c r="L210" i="23" s="1"/>
  <c r="D215" i="4"/>
  <c r="C215" i="4" s="1"/>
  <c r="L211" i="23" s="1"/>
  <c r="D216" i="4"/>
  <c r="C216" i="4" s="1"/>
  <c r="L212" i="23" s="1"/>
  <c r="D217" i="4"/>
  <c r="C217" i="4" s="1"/>
  <c r="L213" i="23" s="1"/>
  <c r="D218" i="4"/>
  <c r="C218" i="4" s="1"/>
  <c r="L214" i="23" s="1"/>
  <c r="D219" i="4"/>
  <c r="C219" i="4" s="1"/>
  <c r="L215" i="23" s="1"/>
  <c r="D220" i="4"/>
  <c r="C220" i="4" s="1"/>
  <c r="L216" i="23" s="1"/>
  <c r="D221" i="4"/>
  <c r="C221" i="4" s="1"/>
  <c r="L217" i="23" s="1"/>
  <c r="D222" i="4"/>
  <c r="C222" i="4" s="1"/>
  <c r="L218" i="23" s="1"/>
  <c r="D223" i="4"/>
  <c r="C223" i="4" s="1"/>
  <c r="L219" i="23" s="1"/>
  <c r="D224" i="4"/>
  <c r="C224" i="4" s="1"/>
  <c r="L220" i="23" s="1"/>
  <c r="D225" i="4"/>
  <c r="C225" i="4" s="1"/>
  <c r="L221" i="23" s="1"/>
  <c r="D226" i="4"/>
  <c r="C226" i="4" s="1"/>
  <c r="L222" i="23" s="1"/>
  <c r="D227" i="4"/>
  <c r="C227" i="4" s="1"/>
  <c r="L223" i="23" s="1"/>
  <c r="D228" i="4"/>
  <c r="C228" i="4" s="1"/>
  <c r="L224" i="23" s="1"/>
  <c r="D229" i="4"/>
  <c r="C229" i="4" s="1"/>
  <c r="L225" i="23" s="1"/>
  <c r="D230" i="4"/>
  <c r="C230" i="4" s="1"/>
  <c r="L226" i="23" s="1"/>
  <c r="D231" i="4"/>
  <c r="C231" i="4" s="1"/>
  <c r="L227" i="23" s="1"/>
  <c r="D232" i="4"/>
  <c r="C232" i="4" s="1"/>
  <c r="L228" i="23" s="1"/>
  <c r="D233" i="4"/>
  <c r="C233" i="4" s="1"/>
  <c r="L229" i="23" s="1"/>
  <c r="D234" i="4"/>
  <c r="C234" i="4" s="1"/>
  <c r="L230" i="23" s="1"/>
  <c r="D235" i="4"/>
  <c r="C235" i="4" s="1"/>
  <c r="L231" i="23" s="1"/>
  <c r="D236" i="4"/>
  <c r="C236" i="4" s="1"/>
  <c r="L232" i="23" s="1"/>
  <c r="D237" i="4"/>
  <c r="C237" i="4" s="1"/>
  <c r="L233" i="23" s="1"/>
  <c r="D238" i="4"/>
  <c r="C238" i="4" s="1"/>
  <c r="L234" i="23" s="1"/>
  <c r="D239" i="4"/>
  <c r="C239" i="4" s="1"/>
  <c r="L235" i="23" s="1"/>
  <c r="D240" i="4"/>
  <c r="C240" i="4" s="1"/>
  <c r="L236" i="23" s="1"/>
  <c r="D241" i="4"/>
  <c r="C241" i="4" s="1"/>
  <c r="L237" i="23" s="1"/>
  <c r="D242" i="4"/>
  <c r="C242" i="4" s="1"/>
  <c r="L238" i="23" s="1"/>
  <c r="D243" i="4"/>
  <c r="C243" i="4" s="1"/>
  <c r="L239" i="23" s="1"/>
  <c r="D244" i="4"/>
  <c r="C244" i="4" s="1"/>
  <c r="L240" i="23" s="1"/>
  <c r="D245" i="4"/>
  <c r="C245" i="4" s="1"/>
  <c r="L241" i="23" s="1"/>
  <c r="D246" i="4"/>
  <c r="C246" i="4" s="1"/>
  <c r="L242" i="23" s="1"/>
  <c r="D247" i="4"/>
  <c r="C247" i="4" s="1"/>
  <c r="L243" i="23" s="1"/>
  <c r="D248" i="4"/>
  <c r="C248" i="4" s="1"/>
  <c r="L244" i="23" s="1"/>
  <c r="D249" i="4"/>
  <c r="C249" i="4" s="1"/>
  <c r="L245" i="23" s="1"/>
  <c r="D250" i="4"/>
  <c r="C250" i="4" s="1"/>
  <c r="L246" i="23" s="1"/>
  <c r="D251" i="4"/>
  <c r="C251" i="4" s="1"/>
  <c r="L247" i="23" s="1"/>
  <c r="D252" i="4"/>
  <c r="C252" i="4" s="1"/>
  <c r="L248" i="23" s="1"/>
  <c r="D253" i="4"/>
  <c r="C253" i="4" s="1"/>
  <c r="L249" i="23" s="1"/>
  <c r="D254" i="4"/>
  <c r="C254" i="4" s="1"/>
  <c r="L250" i="23" s="1"/>
  <c r="D255" i="4"/>
  <c r="C255" i="4" s="1"/>
  <c r="L251" i="23" s="1"/>
  <c r="D256" i="4"/>
  <c r="C256" i="4" s="1"/>
  <c r="L252" i="23" s="1"/>
  <c r="D257" i="4"/>
  <c r="C257" i="4" s="1"/>
  <c r="L253" i="23" s="1"/>
  <c r="D258" i="4"/>
  <c r="C258" i="4" s="1"/>
  <c r="L254" i="23" s="1"/>
  <c r="D259" i="4"/>
  <c r="C259" i="4" s="1"/>
  <c r="L255" i="23" s="1"/>
  <c r="D260" i="4"/>
  <c r="C260" i="4" s="1"/>
  <c r="L256" i="23" s="1"/>
  <c r="D261" i="4"/>
  <c r="C261" i="4" s="1"/>
  <c r="L257" i="23" s="1"/>
  <c r="D262" i="4"/>
  <c r="C262" i="4" s="1"/>
  <c r="L258" i="23" s="1"/>
  <c r="D263" i="4"/>
  <c r="C263" i="4" s="1"/>
  <c r="L259" i="23" s="1"/>
  <c r="D264" i="4"/>
  <c r="C264" i="4" s="1"/>
  <c r="L260" i="23" s="1"/>
  <c r="D265" i="4"/>
  <c r="C265" i="4" s="1"/>
  <c r="L261" i="23" s="1"/>
  <c r="D266" i="4"/>
  <c r="C266" i="4" s="1"/>
  <c r="L262" i="23" s="1"/>
  <c r="D267" i="4"/>
  <c r="C267" i="4" s="1"/>
  <c r="L263" i="23" s="1"/>
  <c r="D268" i="4"/>
  <c r="C268" i="4" s="1"/>
  <c r="L264" i="23" s="1"/>
  <c r="D269" i="4"/>
  <c r="C269" i="4" s="1"/>
  <c r="L265" i="23" s="1"/>
  <c r="D270" i="4"/>
  <c r="C270" i="4" s="1"/>
  <c r="L266" i="23" s="1"/>
  <c r="D271" i="4"/>
  <c r="C271" i="4" s="1"/>
  <c r="L267" i="23" s="1"/>
  <c r="D272" i="4"/>
  <c r="C272" i="4" s="1"/>
  <c r="L268" i="23" s="1"/>
  <c r="D273" i="4"/>
  <c r="C273" i="4" s="1"/>
  <c r="L269" i="23" s="1"/>
  <c r="D274" i="4"/>
  <c r="C274" i="4" s="1"/>
  <c r="L270" i="23" s="1"/>
  <c r="D275" i="4"/>
  <c r="C275" i="4" s="1"/>
  <c r="L271" i="23" s="1"/>
  <c r="D276" i="4"/>
  <c r="C276" i="4" s="1"/>
  <c r="L272" i="23" s="1"/>
  <c r="D277" i="4"/>
  <c r="C277" i="4" s="1"/>
  <c r="L273" i="23" s="1"/>
  <c r="D278" i="4"/>
  <c r="C278" i="4" s="1"/>
  <c r="L274" i="23" s="1"/>
  <c r="D279" i="4"/>
  <c r="C279" i="4" s="1"/>
  <c r="L275" i="23" s="1"/>
  <c r="D280" i="4"/>
  <c r="C280" i="4" s="1"/>
  <c r="L276" i="23" s="1"/>
  <c r="D281" i="4"/>
  <c r="C281" i="4" s="1"/>
  <c r="L277" i="23" s="1"/>
  <c r="D282" i="4"/>
  <c r="C282" i="4" s="1"/>
  <c r="L278" i="23" s="1"/>
  <c r="D283" i="4"/>
  <c r="C283" i="4" s="1"/>
  <c r="L279" i="23" s="1"/>
  <c r="D284" i="4"/>
  <c r="C284" i="4" s="1"/>
  <c r="L280" i="23" s="1"/>
  <c r="D285" i="4"/>
  <c r="C285" i="4" s="1"/>
  <c r="L281" i="23" s="1"/>
  <c r="D286" i="4"/>
  <c r="C286" i="4" s="1"/>
  <c r="L282" i="23" s="1"/>
  <c r="D287" i="4"/>
  <c r="C287" i="4" s="1"/>
  <c r="L283" i="23" s="1"/>
  <c r="D288" i="4"/>
  <c r="C288" i="4" s="1"/>
  <c r="L284" i="23" s="1"/>
  <c r="D289" i="4"/>
  <c r="C289" i="4" s="1"/>
  <c r="L285" i="23" s="1"/>
  <c r="D290" i="4"/>
  <c r="C290" i="4" s="1"/>
  <c r="L286" i="23" s="1"/>
  <c r="D291" i="4"/>
  <c r="C291" i="4" s="1"/>
  <c r="L287" i="23" s="1"/>
  <c r="D292" i="4"/>
  <c r="C292" i="4" s="1"/>
  <c r="L288" i="23" s="1"/>
  <c r="D293" i="4"/>
  <c r="C293" i="4" s="1"/>
  <c r="L289" i="23" s="1"/>
  <c r="D294" i="4"/>
  <c r="C294" i="4" s="1"/>
  <c r="L290" i="23" s="1"/>
  <c r="D295" i="4"/>
  <c r="C295" i="4" s="1"/>
  <c r="L291" i="23" s="1"/>
  <c r="D296" i="4"/>
  <c r="C296" i="4" s="1"/>
  <c r="L292" i="23" s="1"/>
  <c r="D297" i="4"/>
  <c r="C297" i="4" s="1"/>
  <c r="L293" i="23" s="1"/>
  <c r="D298" i="4"/>
  <c r="C298" i="4" s="1"/>
  <c r="L294" i="23" s="1"/>
  <c r="D299" i="4"/>
  <c r="C299" i="4" s="1"/>
  <c r="L295" i="23" s="1"/>
  <c r="D300" i="4"/>
  <c r="C300" i="4" s="1"/>
  <c r="L296" i="23" s="1"/>
  <c r="D301" i="4"/>
  <c r="C301" i="4" s="1"/>
  <c r="L297" i="23" s="1"/>
  <c r="D302" i="4"/>
  <c r="C302" i="4" s="1"/>
  <c r="L298" i="23" s="1"/>
  <c r="D303" i="4"/>
  <c r="C303" i="4" s="1"/>
  <c r="L299" i="23" s="1"/>
  <c r="D304" i="4"/>
  <c r="C304" i="4" s="1"/>
  <c r="L300" i="23" s="1"/>
  <c r="D305" i="4"/>
  <c r="C305" i="4" s="1"/>
  <c r="L301" i="23" s="1"/>
  <c r="D306" i="4"/>
  <c r="C306" i="4" s="1"/>
  <c r="L302" i="23" s="1"/>
  <c r="D307" i="4"/>
  <c r="C307" i="4" s="1"/>
  <c r="L303" i="23" s="1"/>
  <c r="D308" i="4"/>
  <c r="C308" i="4" s="1"/>
  <c r="L304" i="23" s="1"/>
  <c r="D309" i="4"/>
  <c r="C309" i="4" s="1"/>
  <c r="L305" i="23" s="1"/>
  <c r="D310" i="4"/>
  <c r="C310" i="4" s="1"/>
  <c r="L306" i="23" s="1"/>
  <c r="D311" i="4"/>
  <c r="C311" i="4" s="1"/>
  <c r="L307" i="23" s="1"/>
  <c r="D312" i="4"/>
  <c r="C312" i="4" s="1"/>
  <c r="L308" i="23" s="1"/>
  <c r="D313" i="4"/>
  <c r="C313" i="4" s="1"/>
  <c r="L309" i="23" s="1"/>
  <c r="D314" i="4"/>
  <c r="C314" i="4" s="1"/>
  <c r="L310" i="23" s="1"/>
  <c r="D315" i="4"/>
  <c r="C315" i="4" s="1"/>
  <c r="L311" i="23" s="1"/>
  <c r="D316" i="4"/>
  <c r="C316" i="4" s="1"/>
  <c r="L312" i="23" s="1"/>
  <c r="D317" i="4"/>
  <c r="C317" i="4" s="1"/>
  <c r="L313" i="23" s="1"/>
  <c r="D318" i="4"/>
  <c r="C318" i="4" s="1"/>
  <c r="L314" i="23" s="1"/>
  <c r="D319" i="4"/>
  <c r="C319" i="4" s="1"/>
  <c r="L315" i="23" s="1"/>
  <c r="D320" i="4"/>
  <c r="C320" i="4" s="1"/>
  <c r="L316" i="23" s="1"/>
  <c r="D321" i="4"/>
  <c r="C321" i="4" s="1"/>
  <c r="L317" i="23" s="1"/>
  <c r="D322" i="4"/>
  <c r="C322" i="4" s="1"/>
  <c r="L318" i="23" s="1"/>
  <c r="D323" i="4"/>
  <c r="C323" i="4" s="1"/>
  <c r="L319" i="23" s="1"/>
  <c r="D324" i="4"/>
  <c r="C324" i="4" s="1"/>
  <c r="L320" i="23" s="1"/>
  <c r="D325" i="4"/>
  <c r="C325" i="4" s="1"/>
  <c r="L321" i="23" s="1"/>
  <c r="D326" i="4"/>
  <c r="C326" i="4" s="1"/>
  <c r="L322" i="23" s="1"/>
  <c r="D327" i="4"/>
  <c r="C327" i="4" s="1"/>
  <c r="L323" i="23" s="1"/>
  <c r="D328" i="4"/>
  <c r="C328" i="4" s="1"/>
  <c r="L324" i="23" s="1"/>
  <c r="D329" i="4"/>
  <c r="C329" i="4" s="1"/>
  <c r="L325" i="23" s="1"/>
  <c r="D330" i="4"/>
  <c r="C330" i="4" s="1"/>
  <c r="L326" i="23" s="1"/>
  <c r="D331" i="4"/>
  <c r="C331" i="4" s="1"/>
  <c r="L327" i="23" s="1"/>
  <c r="D332" i="4"/>
  <c r="C332" i="4" s="1"/>
  <c r="L328" i="23" s="1"/>
  <c r="D333" i="4"/>
  <c r="C333" i="4" s="1"/>
  <c r="L329" i="23" s="1"/>
  <c r="D334" i="4"/>
  <c r="C334" i="4" s="1"/>
  <c r="L330" i="23" s="1"/>
  <c r="D335" i="4"/>
  <c r="C335" i="4" s="1"/>
  <c r="L331" i="23" s="1"/>
  <c r="D336" i="4"/>
  <c r="C336" i="4" s="1"/>
  <c r="L332" i="23" s="1"/>
  <c r="D337" i="4"/>
  <c r="C337" i="4" s="1"/>
  <c r="L333" i="23" s="1"/>
  <c r="D338" i="4"/>
  <c r="C338" i="4" s="1"/>
  <c r="L334" i="23" s="1"/>
  <c r="D339" i="4"/>
  <c r="C339" i="4" s="1"/>
  <c r="L335" i="23" s="1"/>
  <c r="D340" i="4"/>
  <c r="C340" i="4" s="1"/>
  <c r="L336" i="23" s="1"/>
  <c r="D341" i="4"/>
  <c r="C341" i="4" s="1"/>
  <c r="L337" i="23" s="1"/>
  <c r="D342" i="4"/>
  <c r="C342" i="4" s="1"/>
  <c r="L338" i="23" s="1"/>
  <c r="D343" i="4"/>
  <c r="C343" i="4" s="1"/>
  <c r="L339" i="23" s="1"/>
  <c r="D344" i="4"/>
  <c r="C344" i="4" s="1"/>
  <c r="L340" i="23" s="1"/>
  <c r="D345" i="4"/>
  <c r="C345" i="4" s="1"/>
  <c r="L341" i="23" s="1"/>
  <c r="D346" i="4"/>
  <c r="C346" i="4" s="1"/>
  <c r="L342" i="23" s="1"/>
  <c r="D347" i="4"/>
  <c r="C347" i="4" s="1"/>
  <c r="L343" i="23" s="1"/>
  <c r="D348" i="4"/>
  <c r="C348" i="4" s="1"/>
  <c r="L344" i="23" s="1"/>
  <c r="D349" i="4"/>
  <c r="C349" i="4" s="1"/>
  <c r="L345" i="23" s="1"/>
  <c r="D350" i="4"/>
  <c r="C350" i="4" s="1"/>
  <c r="L346" i="23" s="1"/>
  <c r="D351" i="4"/>
  <c r="C351" i="4" s="1"/>
  <c r="L347" i="23" s="1"/>
  <c r="D352" i="4"/>
  <c r="C352" i="4" s="1"/>
  <c r="L348" i="23" s="1"/>
  <c r="D353" i="4"/>
  <c r="C353" i="4" s="1"/>
  <c r="L349" i="23" s="1"/>
  <c r="D354" i="4"/>
  <c r="C354" i="4" s="1"/>
  <c r="L350" i="23" s="1"/>
  <c r="D355" i="4"/>
  <c r="C355" i="4" s="1"/>
  <c r="L351" i="23" s="1"/>
  <c r="D356" i="4"/>
  <c r="C356" i="4" s="1"/>
  <c r="L352" i="23" s="1"/>
  <c r="D357" i="4"/>
  <c r="C357" i="4" s="1"/>
  <c r="L353" i="23" s="1"/>
  <c r="D358" i="4"/>
  <c r="C358" i="4" s="1"/>
  <c r="L354" i="23" s="1"/>
  <c r="D359" i="4"/>
  <c r="C359" i="4" s="1"/>
  <c r="L355" i="23" s="1"/>
  <c r="D360" i="4"/>
  <c r="C360" i="4" s="1"/>
  <c r="L356" i="23" s="1"/>
  <c r="D361" i="4"/>
  <c r="C361" i="4" s="1"/>
  <c r="L357" i="23" s="1"/>
  <c r="D362" i="4"/>
  <c r="C362" i="4" s="1"/>
  <c r="L358" i="23" s="1"/>
  <c r="D363" i="4"/>
  <c r="C363" i="4" s="1"/>
  <c r="L359" i="23" s="1"/>
  <c r="D364" i="4"/>
  <c r="C364" i="4" s="1"/>
  <c r="L360" i="23" s="1"/>
  <c r="D365" i="4"/>
  <c r="C365" i="4" s="1"/>
  <c r="L361" i="23" s="1"/>
  <c r="D366" i="4"/>
  <c r="C366" i="4" s="1"/>
  <c r="L362" i="23" s="1"/>
  <c r="D367" i="4"/>
  <c r="C367" i="4" s="1"/>
  <c r="L363" i="23" s="1"/>
  <c r="D368" i="4"/>
  <c r="C368" i="4" s="1"/>
  <c r="L364" i="23" s="1"/>
  <c r="D369" i="4"/>
  <c r="C369" i="4" s="1"/>
  <c r="L365" i="23" s="1"/>
  <c r="D370" i="4"/>
  <c r="C370" i="4" s="1"/>
  <c r="L366" i="23" s="1"/>
  <c r="D371" i="4"/>
  <c r="C371" i="4" s="1"/>
  <c r="L367" i="23" s="1"/>
  <c r="D372" i="4"/>
  <c r="C372" i="4" s="1"/>
  <c r="L368" i="23" s="1"/>
  <c r="D373" i="4"/>
  <c r="C373" i="4" s="1"/>
  <c r="L369" i="23" s="1"/>
  <c r="D374" i="4"/>
  <c r="C374" i="4" s="1"/>
  <c r="L370" i="23" s="1"/>
  <c r="D375" i="4"/>
  <c r="C375" i="4" s="1"/>
  <c r="L371" i="23" s="1"/>
  <c r="D376" i="4"/>
  <c r="C376" i="4" s="1"/>
  <c r="L372" i="23" s="1"/>
  <c r="D377" i="4"/>
  <c r="C377" i="4" s="1"/>
  <c r="L373" i="23" s="1"/>
  <c r="D378" i="4"/>
  <c r="C378" i="4" s="1"/>
  <c r="L374" i="23" s="1"/>
  <c r="D379" i="4"/>
  <c r="C379" i="4" s="1"/>
  <c r="L375" i="23" s="1"/>
  <c r="D380" i="4"/>
  <c r="C380" i="4" s="1"/>
  <c r="L376" i="23" s="1"/>
  <c r="D381" i="4"/>
  <c r="C381" i="4" s="1"/>
  <c r="L377" i="23" s="1"/>
  <c r="D382" i="4"/>
  <c r="C382" i="4" s="1"/>
  <c r="L378" i="23" s="1"/>
  <c r="D383" i="4"/>
  <c r="C383" i="4" s="1"/>
  <c r="L379" i="23" s="1"/>
  <c r="D384" i="4"/>
  <c r="C384" i="4" s="1"/>
  <c r="L380" i="23" s="1"/>
  <c r="D385" i="4"/>
  <c r="C385" i="4" s="1"/>
  <c r="L381" i="23" s="1"/>
  <c r="D386" i="4"/>
  <c r="C386" i="4" s="1"/>
  <c r="L382" i="23" s="1"/>
  <c r="D387" i="4"/>
  <c r="C387" i="4" s="1"/>
  <c r="L383" i="23" s="1"/>
  <c r="D388" i="4"/>
  <c r="C388" i="4" s="1"/>
  <c r="L384" i="23" s="1"/>
  <c r="D389" i="4"/>
  <c r="C389" i="4" s="1"/>
  <c r="L385" i="23" s="1"/>
  <c r="D390" i="4"/>
  <c r="C390" i="4" s="1"/>
  <c r="L386" i="23" s="1"/>
  <c r="D391" i="4"/>
  <c r="C391" i="4" s="1"/>
  <c r="L387" i="23" s="1"/>
  <c r="D392" i="4"/>
  <c r="C392" i="4" s="1"/>
  <c r="L388" i="23" s="1"/>
  <c r="D393" i="4"/>
  <c r="C393" i="4" s="1"/>
  <c r="L389" i="23" s="1"/>
  <c r="D394" i="4"/>
  <c r="C394" i="4" s="1"/>
  <c r="L390" i="23" s="1"/>
  <c r="D395" i="4"/>
  <c r="C395" i="4" s="1"/>
  <c r="L391" i="23" s="1"/>
  <c r="D396" i="4"/>
  <c r="C396" i="4" s="1"/>
  <c r="L392" i="23" s="1"/>
  <c r="D397" i="4"/>
  <c r="C397" i="4" s="1"/>
  <c r="L393" i="23" s="1"/>
  <c r="D398" i="4"/>
  <c r="C398" i="4" s="1"/>
  <c r="L394" i="23" s="1"/>
  <c r="D399" i="4"/>
  <c r="C399" i="4" s="1"/>
  <c r="L395" i="23" s="1"/>
  <c r="D400" i="4"/>
  <c r="C400" i="4" s="1"/>
  <c r="L396" i="23" s="1"/>
  <c r="D401" i="4"/>
  <c r="C401" i="4" s="1"/>
  <c r="L397" i="23" s="1"/>
  <c r="D402" i="4"/>
  <c r="C402" i="4" s="1"/>
  <c r="L398" i="23" s="1"/>
  <c r="D403" i="4"/>
  <c r="C403" i="4" s="1"/>
  <c r="L399" i="23" s="1"/>
  <c r="D404" i="4"/>
  <c r="C404" i="4" s="1"/>
  <c r="L400" i="23" s="1"/>
  <c r="D405" i="4"/>
  <c r="C405" i="4" s="1"/>
  <c r="L401" i="23" s="1"/>
  <c r="D406" i="4"/>
  <c r="C406" i="4" s="1"/>
  <c r="L402" i="23" s="1"/>
  <c r="D407" i="4"/>
  <c r="C407" i="4" s="1"/>
  <c r="L403" i="23" s="1"/>
  <c r="D408" i="4"/>
  <c r="C408" i="4" s="1"/>
  <c r="L404" i="23" s="1"/>
  <c r="D409" i="4"/>
  <c r="C409" i="4" s="1"/>
  <c r="L405" i="23" s="1"/>
  <c r="D410" i="4"/>
  <c r="C410" i="4" s="1"/>
  <c r="L406" i="23" s="1"/>
  <c r="D411" i="4"/>
  <c r="C411" i="4" s="1"/>
  <c r="L407" i="23" s="1"/>
  <c r="D412" i="4"/>
  <c r="C412" i="4" s="1"/>
  <c r="L408" i="23" s="1"/>
  <c r="D413" i="4"/>
  <c r="C413" i="4" s="1"/>
  <c r="L409" i="23" s="1"/>
  <c r="D414" i="4"/>
  <c r="C414" i="4" s="1"/>
  <c r="L410" i="23" s="1"/>
  <c r="D415" i="4"/>
  <c r="C415" i="4" s="1"/>
  <c r="L411" i="23" s="1"/>
  <c r="D416" i="4"/>
  <c r="C416" i="4" s="1"/>
  <c r="L412" i="23" s="1"/>
  <c r="D417" i="4"/>
  <c r="C417" i="4" s="1"/>
  <c r="L413" i="23" s="1"/>
  <c r="D418" i="4"/>
  <c r="C418" i="4" s="1"/>
  <c r="L414" i="23" s="1"/>
  <c r="D419" i="4"/>
  <c r="C419" i="4" s="1"/>
  <c r="L415" i="23" s="1"/>
  <c r="D420" i="4"/>
  <c r="C420" i="4" s="1"/>
  <c r="L416" i="23" s="1"/>
  <c r="D421" i="4"/>
  <c r="C421" i="4" s="1"/>
  <c r="L417" i="23" s="1"/>
  <c r="D422" i="4"/>
  <c r="C422" i="4" s="1"/>
  <c r="L418" i="23" s="1"/>
  <c r="D423" i="4"/>
  <c r="C423" i="4" s="1"/>
  <c r="L419" i="23" s="1"/>
  <c r="D424" i="4"/>
  <c r="C424" i="4" s="1"/>
  <c r="L420" i="23" s="1"/>
  <c r="D425" i="4"/>
  <c r="C425" i="4" s="1"/>
  <c r="L421" i="23" s="1"/>
  <c r="D426" i="4"/>
  <c r="C426" i="4" s="1"/>
  <c r="L422" i="23" s="1"/>
  <c r="D427" i="4"/>
  <c r="C427" i="4" s="1"/>
  <c r="L423" i="23" s="1"/>
  <c r="D428" i="4"/>
  <c r="C428" i="4" s="1"/>
  <c r="L424" i="23" s="1"/>
  <c r="D429" i="4"/>
  <c r="C429" i="4" s="1"/>
  <c r="L425" i="23" s="1"/>
  <c r="D430" i="4"/>
  <c r="C430" i="4" s="1"/>
  <c r="L426" i="23" s="1"/>
  <c r="D431" i="4"/>
  <c r="C431" i="4" s="1"/>
  <c r="L427" i="23" s="1"/>
  <c r="D432" i="4"/>
  <c r="C432" i="4" s="1"/>
  <c r="L428" i="23" s="1"/>
  <c r="D433" i="4"/>
  <c r="C433" i="4" s="1"/>
  <c r="L429" i="23" s="1"/>
  <c r="D434" i="4"/>
  <c r="C434" i="4" s="1"/>
  <c r="L430" i="23" s="1"/>
  <c r="D435" i="4"/>
  <c r="C435" i="4" s="1"/>
  <c r="L431" i="23" s="1"/>
  <c r="D436" i="4"/>
  <c r="C436" i="4" s="1"/>
  <c r="L432" i="23" s="1"/>
  <c r="D437" i="4"/>
  <c r="C437" i="4" s="1"/>
  <c r="L433" i="23" s="1"/>
  <c r="D438" i="4"/>
  <c r="C438" i="4" s="1"/>
  <c r="L434" i="23" s="1"/>
  <c r="D439" i="4"/>
  <c r="C439" i="4" s="1"/>
  <c r="L435" i="23" s="1"/>
  <c r="D440" i="4"/>
  <c r="C440" i="4" s="1"/>
  <c r="L436" i="23" s="1"/>
  <c r="D441" i="4"/>
  <c r="C441" i="4" s="1"/>
  <c r="L437" i="23" s="1"/>
  <c r="D442" i="4"/>
  <c r="C442" i="4" s="1"/>
  <c r="L438" i="23" s="1"/>
  <c r="D443" i="4"/>
  <c r="C443" i="4" s="1"/>
  <c r="L439" i="23" s="1"/>
  <c r="D444" i="4"/>
  <c r="C444" i="4" s="1"/>
  <c r="L440" i="23" s="1"/>
  <c r="D445" i="4"/>
  <c r="C445" i="4" s="1"/>
  <c r="L441" i="23" s="1"/>
  <c r="D446" i="4"/>
  <c r="C446" i="4" s="1"/>
  <c r="L442" i="23" s="1"/>
  <c r="D447" i="4"/>
  <c r="C447" i="4" s="1"/>
  <c r="L443" i="23" s="1"/>
  <c r="D448" i="4"/>
  <c r="C448" i="4" s="1"/>
  <c r="L444" i="23" s="1"/>
  <c r="D449" i="4"/>
  <c r="C449" i="4" s="1"/>
  <c r="L445" i="23" s="1"/>
  <c r="D450" i="4"/>
  <c r="C450" i="4" s="1"/>
  <c r="L446" i="23" s="1"/>
  <c r="D451" i="4"/>
  <c r="C451" i="4" s="1"/>
  <c r="L447" i="23" s="1"/>
  <c r="D452" i="4"/>
  <c r="C452" i="4" s="1"/>
  <c r="L448" i="23" s="1"/>
  <c r="D453" i="4"/>
  <c r="C453" i="4" s="1"/>
  <c r="L449" i="23" s="1"/>
  <c r="D454" i="4"/>
  <c r="C454" i="4" s="1"/>
  <c r="L450" i="23" s="1"/>
  <c r="D455" i="4"/>
  <c r="C455" i="4" s="1"/>
  <c r="L451" i="23" s="1"/>
  <c r="D456" i="4"/>
  <c r="C456" i="4" s="1"/>
  <c r="L452" i="23" s="1"/>
  <c r="D457" i="4"/>
  <c r="C457" i="4" s="1"/>
  <c r="L453" i="23" s="1"/>
  <c r="D458" i="4"/>
  <c r="C458" i="4" s="1"/>
  <c r="L454" i="23" s="1"/>
  <c r="D459" i="4"/>
  <c r="C459" i="4" s="1"/>
  <c r="L455" i="23" s="1"/>
  <c r="D460" i="4"/>
  <c r="C460" i="4" s="1"/>
  <c r="L456" i="23" s="1"/>
  <c r="D461" i="4"/>
  <c r="C461" i="4" s="1"/>
  <c r="L457" i="23" s="1"/>
  <c r="D462" i="4"/>
  <c r="C462" i="4" s="1"/>
  <c r="L458" i="23" s="1"/>
  <c r="D463" i="4"/>
  <c r="C463" i="4" s="1"/>
  <c r="L459" i="23" s="1"/>
  <c r="D464" i="4"/>
  <c r="C464" i="4" s="1"/>
  <c r="L460" i="23" s="1"/>
  <c r="D465" i="4"/>
  <c r="C465" i="4" s="1"/>
  <c r="L461" i="23" s="1"/>
  <c r="D466" i="4"/>
  <c r="C466" i="4" s="1"/>
  <c r="L462" i="23" s="1"/>
  <c r="D467" i="4"/>
  <c r="C467" i="4" s="1"/>
  <c r="L463" i="23" s="1"/>
  <c r="D468" i="4"/>
  <c r="C468" i="4" s="1"/>
  <c r="L464" i="23" s="1"/>
  <c r="D469" i="4"/>
  <c r="C469" i="4" s="1"/>
  <c r="L465" i="23" s="1"/>
  <c r="D470" i="4"/>
  <c r="C470" i="4" s="1"/>
  <c r="L466" i="23" s="1"/>
  <c r="D471" i="4"/>
  <c r="C471" i="4" s="1"/>
  <c r="L467" i="23" s="1"/>
  <c r="D472" i="4"/>
  <c r="C472" i="4" s="1"/>
  <c r="L468" i="23" s="1"/>
  <c r="D473" i="4"/>
  <c r="C473" i="4" s="1"/>
  <c r="L469" i="23" s="1"/>
  <c r="D474" i="4"/>
  <c r="C474" i="4" s="1"/>
  <c r="L470" i="23" s="1"/>
  <c r="D475" i="4"/>
  <c r="C475" i="4" s="1"/>
  <c r="L471" i="23" s="1"/>
  <c r="D476" i="4"/>
  <c r="C476" i="4" s="1"/>
  <c r="L472" i="23" s="1"/>
  <c r="D477" i="4"/>
  <c r="C477" i="4" s="1"/>
  <c r="L473" i="23" s="1"/>
  <c r="D478" i="4"/>
  <c r="C478" i="4" s="1"/>
  <c r="L474" i="23" s="1"/>
  <c r="D479" i="4"/>
  <c r="C479" i="4" s="1"/>
  <c r="L475" i="23" s="1"/>
  <c r="D480" i="4"/>
  <c r="C480" i="4" s="1"/>
  <c r="L476" i="23" s="1"/>
  <c r="D481" i="4"/>
  <c r="C481" i="4" s="1"/>
  <c r="L477" i="23" s="1"/>
  <c r="D482" i="4"/>
  <c r="C482" i="4" s="1"/>
  <c r="L478" i="23" s="1"/>
  <c r="D483" i="4"/>
  <c r="C483" i="4" s="1"/>
  <c r="L479" i="23" s="1"/>
  <c r="D484" i="4"/>
  <c r="C484" i="4" s="1"/>
  <c r="L480" i="23" s="1"/>
  <c r="D485" i="4"/>
  <c r="C485" i="4" s="1"/>
  <c r="L481" i="23" s="1"/>
  <c r="D486" i="4"/>
  <c r="C486" i="4" s="1"/>
  <c r="L482" i="23" s="1"/>
  <c r="D487" i="4"/>
  <c r="C487" i="4" s="1"/>
  <c r="L483" i="23" s="1"/>
  <c r="D488" i="4"/>
  <c r="C488" i="4" s="1"/>
  <c r="L484" i="23" s="1"/>
  <c r="D489" i="4"/>
  <c r="C489" i="4" s="1"/>
  <c r="L485" i="23" s="1"/>
  <c r="D490" i="4"/>
  <c r="C490" i="4" s="1"/>
  <c r="L486" i="23" s="1"/>
  <c r="D491" i="4"/>
  <c r="C491" i="4" s="1"/>
  <c r="L487" i="23" s="1"/>
  <c r="D492" i="4"/>
  <c r="C492" i="4" s="1"/>
  <c r="L488" i="23" s="1"/>
  <c r="D493" i="4"/>
  <c r="C493" i="4" s="1"/>
  <c r="L489" i="23" s="1"/>
  <c r="D494" i="4"/>
  <c r="C494" i="4" s="1"/>
  <c r="L490" i="23" s="1"/>
  <c r="D495" i="4"/>
  <c r="C495" i="4" s="1"/>
  <c r="L491" i="23" s="1"/>
  <c r="D496" i="4"/>
  <c r="C496" i="4" s="1"/>
  <c r="L492" i="23" s="1"/>
  <c r="D497" i="4"/>
  <c r="C497" i="4" s="1"/>
  <c r="L493" i="23" s="1"/>
  <c r="D498" i="4"/>
  <c r="C498" i="4" s="1"/>
  <c r="L494" i="23" s="1"/>
  <c r="D499" i="4"/>
  <c r="C499" i="4" s="1"/>
  <c r="L495" i="23" s="1"/>
  <c r="D500" i="4"/>
  <c r="C500" i="4" s="1"/>
  <c r="L496" i="23" s="1"/>
  <c r="D501" i="4"/>
  <c r="C501" i="4" s="1"/>
  <c r="L497" i="23" s="1"/>
  <c r="D502" i="4"/>
  <c r="C502" i="4" s="1"/>
  <c r="L498" i="23" s="1"/>
  <c r="D503" i="4"/>
  <c r="C503" i="4" s="1"/>
  <c r="L499" i="23" s="1"/>
  <c r="D504" i="4"/>
  <c r="C504" i="4" s="1"/>
  <c r="L500" i="23" s="1"/>
  <c r="D505" i="4"/>
  <c r="C505" i="4" s="1"/>
  <c r="L501" i="23" s="1"/>
  <c r="D506" i="4"/>
  <c r="C506" i="4" s="1"/>
  <c r="L502" i="23" s="1"/>
  <c r="D507" i="4"/>
  <c r="C507" i="4" s="1"/>
  <c r="L503" i="23" s="1"/>
  <c r="D508" i="4"/>
  <c r="C508" i="4" s="1"/>
  <c r="L504" i="23" s="1"/>
  <c r="D509" i="4"/>
  <c r="C509" i="4" s="1"/>
  <c r="L505" i="23" s="1"/>
  <c r="D510" i="4"/>
  <c r="C510" i="4" s="1"/>
  <c r="L506" i="23" s="1"/>
  <c r="D511" i="4"/>
  <c r="C511" i="4" s="1"/>
  <c r="L507" i="23" s="1"/>
  <c r="D512" i="4"/>
  <c r="C512" i="4" s="1"/>
  <c r="L508" i="23" s="1"/>
  <c r="D513" i="4"/>
  <c r="C513" i="4" s="1"/>
  <c r="L509" i="23" s="1"/>
  <c r="D514" i="4"/>
  <c r="C514" i="4" s="1"/>
  <c r="L510" i="23" s="1"/>
  <c r="D515" i="4"/>
  <c r="C515" i="4" s="1"/>
  <c r="L511" i="23" s="1"/>
  <c r="D516" i="4"/>
  <c r="C516" i="4" s="1"/>
  <c r="L512" i="23" s="1"/>
  <c r="D517" i="4"/>
  <c r="C517" i="4" s="1"/>
  <c r="L513" i="23" s="1"/>
  <c r="D518" i="4"/>
  <c r="C518" i="4" s="1"/>
  <c r="L514" i="23" s="1"/>
  <c r="D519" i="4"/>
  <c r="C519" i="4" s="1"/>
  <c r="L515" i="23" s="1"/>
  <c r="D520" i="4"/>
  <c r="C520" i="4" s="1"/>
  <c r="L516" i="23" s="1"/>
  <c r="D521" i="4"/>
  <c r="C521" i="4" s="1"/>
  <c r="L517" i="23" s="1"/>
  <c r="D522" i="4"/>
  <c r="C522" i="4" s="1"/>
  <c r="L518" i="23" s="1"/>
  <c r="D523" i="4"/>
  <c r="C523" i="4" s="1"/>
  <c r="L519" i="23" s="1"/>
  <c r="D524" i="4"/>
  <c r="C524" i="4" s="1"/>
  <c r="L520" i="23" s="1"/>
  <c r="D525" i="4"/>
  <c r="C525" i="4" s="1"/>
  <c r="L521" i="23" s="1"/>
  <c r="D526" i="4"/>
  <c r="C526" i="4" s="1"/>
  <c r="L522" i="23" s="1"/>
  <c r="D527" i="4"/>
  <c r="C527" i="4" s="1"/>
  <c r="L523" i="23" s="1"/>
  <c r="D528" i="4"/>
  <c r="C528" i="4" s="1"/>
  <c r="L524" i="23" s="1"/>
  <c r="D529" i="4"/>
  <c r="C529" i="4" s="1"/>
  <c r="L525" i="23" s="1"/>
  <c r="D530" i="4"/>
  <c r="C530" i="4" s="1"/>
  <c r="L526" i="23" s="1"/>
  <c r="D531" i="4"/>
  <c r="C531" i="4" s="1"/>
  <c r="L527" i="23" s="1"/>
  <c r="D532" i="4"/>
  <c r="C532" i="4" s="1"/>
  <c r="L528" i="23" s="1"/>
  <c r="D533" i="4"/>
  <c r="C533" i="4" s="1"/>
  <c r="L529" i="23" s="1"/>
  <c r="D534" i="4"/>
  <c r="C534" i="4" s="1"/>
  <c r="L530" i="23" s="1"/>
  <c r="D535" i="4"/>
  <c r="C535" i="4" s="1"/>
  <c r="L531" i="23" s="1"/>
  <c r="D536" i="4"/>
  <c r="C536" i="4" s="1"/>
  <c r="L532" i="23" s="1"/>
  <c r="D537" i="4"/>
  <c r="C537" i="4" s="1"/>
  <c r="L533" i="23" s="1"/>
  <c r="D538" i="4"/>
  <c r="C538" i="4" s="1"/>
  <c r="L534" i="23" s="1"/>
  <c r="D539" i="4"/>
  <c r="C539" i="4" s="1"/>
  <c r="L535" i="23" s="1"/>
  <c r="D540" i="4"/>
  <c r="C540" i="4" s="1"/>
  <c r="L536" i="23" s="1"/>
  <c r="D541" i="4"/>
  <c r="C541" i="4" s="1"/>
  <c r="L537" i="23" s="1"/>
  <c r="D542" i="4"/>
  <c r="C542" i="4" s="1"/>
  <c r="L538" i="23" s="1"/>
  <c r="D543" i="4"/>
  <c r="C543" i="4" s="1"/>
  <c r="L539" i="23" s="1"/>
  <c r="D544" i="4"/>
  <c r="C544" i="4" s="1"/>
  <c r="L540" i="23" s="1"/>
  <c r="D545" i="4"/>
  <c r="C545" i="4" s="1"/>
  <c r="L541" i="23" s="1"/>
  <c r="D546" i="4"/>
  <c r="C546" i="4" s="1"/>
  <c r="L542" i="23" s="1"/>
  <c r="D547" i="4"/>
  <c r="C547" i="4" s="1"/>
  <c r="L543" i="23" s="1"/>
  <c r="D548" i="4"/>
  <c r="C548" i="4" s="1"/>
  <c r="L544" i="23" s="1"/>
  <c r="D549" i="4"/>
  <c r="C549" i="4" s="1"/>
  <c r="L545" i="23" s="1"/>
  <c r="D550" i="4"/>
  <c r="C550" i="4" s="1"/>
  <c r="L546" i="23" s="1"/>
  <c r="D551" i="4"/>
  <c r="C551" i="4" s="1"/>
  <c r="L547" i="23" s="1"/>
  <c r="D552" i="4"/>
  <c r="C552" i="4" s="1"/>
  <c r="L548" i="23" s="1"/>
  <c r="D553" i="4"/>
  <c r="C553" i="4" s="1"/>
  <c r="L549" i="23" s="1"/>
  <c r="D554" i="4"/>
  <c r="C554" i="4" s="1"/>
  <c r="L550" i="23" s="1"/>
  <c r="D555" i="4"/>
  <c r="C555" i="4" s="1"/>
  <c r="L551" i="23" s="1"/>
  <c r="D556" i="4"/>
  <c r="C556" i="4" s="1"/>
  <c r="L552" i="23" s="1"/>
  <c r="D557" i="4"/>
  <c r="C557" i="4" s="1"/>
  <c r="L553" i="23" s="1"/>
  <c r="D558" i="4"/>
  <c r="C558" i="4" s="1"/>
  <c r="L554" i="23" s="1"/>
  <c r="D559" i="4"/>
  <c r="C559" i="4" s="1"/>
  <c r="L555" i="23" s="1"/>
  <c r="D560" i="4"/>
  <c r="C560" i="4" s="1"/>
  <c r="L556" i="23" s="1"/>
  <c r="D561" i="4"/>
  <c r="C561" i="4" s="1"/>
  <c r="L557" i="23" s="1"/>
  <c r="D562" i="4"/>
  <c r="C562" i="4" s="1"/>
  <c r="L558" i="23" s="1"/>
  <c r="D563" i="4"/>
  <c r="C563" i="4" s="1"/>
  <c r="L559" i="23" s="1"/>
  <c r="D564" i="4"/>
  <c r="C564" i="4" s="1"/>
  <c r="L560" i="23" s="1"/>
  <c r="D565" i="4"/>
  <c r="C565" i="4" s="1"/>
  <c r="L561" i="23" s="1"/>
  <c r="D566" i="4"/>
  <c r="C566" i="4" s="1"/>
  <c r="L562" i="23" s="1"/>
  <c r="D567" i="4"/>
  <c r="C567" i="4" s="1"/>
  <c r="L563" i="23" s="1"/>
  <c r="D568" i="4"/>
  <c r="C568" i="4" s="1"/>
  <c r="L564" i="23" s="1"/>
  <c r="D569" i="4"/>
  <c r="C569" i="4" s="1"/>
  <c r="L565" i="23" s="1"/>
  <c r="D570" i="4"/>
  <c r="C570" i="4" s="1"/>
  <c r="L566" i="23" s="1"/>
  <c r="D571" i="4"/>
  <c r="C571" i="4" s="1"/>
  <c r="L567" i="23" s="1"/>
  <c r="D572" i="4"/>
  <c r="C572" i="4" s="1"/>
  <c r="L568" i="23" s="1"/>
  <c r="D573" i="4"/>
  <c r="C573" i="4" s="1"/>
  <c r="L569" i="23" s="1"/>
  <c r="D574" i="4"/>
  <c r="C574" i="4" s="1"/>
  <c r="L570" i="23" s="1"/>
  <c r="D575" i="4"/>
  <c r="C575" i="4" s="1"/>
  <c r="L571" i="23" s="1"/>
  <c r="D576" i="4"/>
  <c r="C576" i="4" s="1"/>
  <c r="L572" i="23" s="1"/>
  <c r="D577" i="4"/>
  <c r="C577" i="4" s="1"/>
  <c r="L573" i="23" s="1"/>
  <c r="D578" i="4"/>
  <c r="C578" i="4" s="1"/>
  <c r="L574" i="23" s="1"/>
  <c r="D579" i="4"/>
  <c r="C579" i="4" s="1"/>
  <c r="L575" i="23" s="1"/>
  <c r="D580" i="4"/>
  <c r="C580" i="4" s="1"/>
  <c r="L576" i="23" s="1"/>
  <c r="D581" i="4"/>
  <c r="C581" i="4" s="1"/>
  <c r="L577" i="23" s="1"/>
  <c r="D582" i="4"/>
  <c r="C582" i="4" s="1"/>
  <c r="L578" i="23" s="1"/>
  <c r="D583" i="4"/>
  <c r="C583" i="4" s="1"/>
  <c r="L579" i="23" s="1"/>
  <c r="D584" i="4"/>
  <c r="C584" i="4" s="1"/>
  <c r="L580" i="23" s="1"/>
  <c r="D585" i="4"/>
  <c r="C585" i="4" s="1"/>
  <c r="L581" i="23" s="1"/>
  <c r="D586" i="4"/>
  <c r="C586" i="4" s="1"/>
  <c r="L582" i="23" s="1"/>
  <c r="D587" i="4"/>
  <c r="C587" i="4" s="1"/>
  <c r="L583" i="23" s="1"/>
  <c r="D588" i="4"/>
  <c r="C588" i="4" s="1"/>
  <c r="L584" i="23" s="1"/>
  <c r="D589" i="4"/>
  <c r="C589" i="4" s="1"/>
  <c r="L585" i="23" s="1"/>
  <c r="D590" i="4"/>
  <c r="C590" i="4" s="1"/>
  <c r="L586" i="23" s="1"/>
  <c r="D591" i="4"/>
  <c r="C591" i="4" s="1"/>
  <c r="L587" i="23" s="1"/>
  <c r="D592" i="4"/>
  <c r="C592" i="4" s="1"/>
  <c r="L588" i="23" s="1"/>
  <c r="D593" i="4"/>
  <c r="C593" i="4" s="1"/>
  <c r="L589" i="23" s="1"/>
  <c r="D594" i="4"/>
  <c r="C594" i="4" s="1"/>
  <c r="L590" i="23" s="1"/>
  <c r="D595" i="4"/>
  <c r="C595" i="4" s="1"/>
  <c r="L591" i="23" s="1"/>
  <c r="D596" i="4"/>
  <c r="C596" i="4" s="1"/>
  <c r="L592" i="23" s="1"/>
  <c r="D597" i="4"/>
  <c r="C597" i="4" s="1"/>
  <c r="L593" i="23" s="1"/>
  <c r="D598" i="4"/>
  <c r="C598" i="4" s="1"/>
  <c r="L594" i="23" s="1"/>
  <c r="D599" i="4"/>
  <c r="C599" i="4" s="1"/>
  <c r="L595" i="23" s="1"/>
  <c r="D600" i="4"/>
  <c r="C600" i="4" s="1"/>
  <c r="L596" i="23" s="1"/>
  <c r="D601" i="4"/>
  <c r="C601" i="4" s="1"/>
  <c r="L597" i="23" s="1"/>
  <c r="D602" i="4"/>
  <c r="C602" i="4" s="1"/>
  <c r="L598" i="23" s="1"/>
  <c r="D603" i="4"/>
  <c r="C603" i="4" s="1"/>
  <c r="L599" i="23" s="1"/>
  <c r="D604" i="4"/>
  <c r="C604" i="4" s="1"/>
  <c r="L600" i="23" s="1"/>
  <c r="D605" i="4"/>
  <c r="C605" i="4" s="1"/>
  <c r="L601" i="23" s="1"/>
  <c r="D606" i="4"/>
  <c r="C606" i="4" s="1"/>
  <c r="L602" i="23" s="1"/>
  <c r="D607" i="4"/>
  <c r="C607" i="4" s="1"/>
  <c r="L603" i="23" s="1"/>
  <c r="D608" i="4"/>
  <c r="C608" i="4" s="1"/>
  <c r="L604" i="23" s="1"/>
  <c r="D609" i="4"/>
  <c r="C609" i="4" s="1"/>
  <c r="L605" i="23" s="1"/>
  <c r="D610" i="4"/>
  <c r="C610" i="4" s="1"/>
  <c r="L606" i="23" s="1"/>
  <c r="D611" i="4"/>
  <c r="C611" i="4" s="1"/>
  <c r="L607" i="23" s="1"/>
  <c r="D612" i="4"/>
  <c r="C612" i="4" s="1"/>
  <c r="L608" i="23" s="1"/>
  <c r="D613" i="4"/>
  <c r="C613" i="4" s="1"/>
  <c r="L609" i="23" s="1"/>
  <c r="D614" i="4"/>
  <c r="C614" i="4" s="1"/>
  <c r="L610" i="23" s="1"/>
  <c r="D615" i="4"/>
  <c r="C615" i="4" s="1"/>
  <c r="L611" i="23" s="1"/>
  <c r="D616" i="4"/>
  <c r="C616" i="4" s="1"/>
  <c r="L612" i="23" s="1"/>
  <c r="D617" i="4"/>
  <c r="C617" i="4" s="1"/>
  <c r="L613" i="23" s="1"/>
  <c r="D618" i="4"/>
  <c r="C618" i="4" s="1"/>
  <c r="L614" i="23" s="1"/>
  <c r="D619" i="4"/>
  <c r="C619" i="4" s="1"/>
  <c r="L615" i="23" s="1"/>
  <c r="D620" i="4"/>
  <c r="C620" i="4" s="1"/>
  <c r="L616" i="23" s="1"/>
  <c r="D621" i="4"/>
  <c r="C621" i="4" s="1"/>
  <c r="L617" i="23" s="1"/>
  <c r="D622" i="4"/>
  <c r="C622" i="4" s="1"/>
  <c r="L618" i="23" s="1"/>
  <c r="D623" i="4"/>
  <c r="C623" i="4" s="1"/>
  <c r="L619" i="23" s="1"/>
  <c r="D624" i="4"/>
  <c r="C624" i="4" s="1"/>
  <c r="L620" i="23" s="1"/>
  <c r="D625" i="4"/>
  <c r="C625" i="4" s="1"/>
  <c r="L621" i="23" s="1"/>
  <c r="D626" i="4"/>
  <c r="C626" i="4" s="1"/>
  <c r="L622" i="23" s="1"/>
  <c r="D627" i="4"/>
  <c r="C627" i="4" s="1"/>
  <c r="L623" i="23" s="1"/>
  <c r="D628" i="4"/>
  <c r="C628" i="4" s="1"/>
  <c r="L624" i="23" s="1"/>
  <c r="D629" i="4"/>
  <c r="C629" i="4" s="1"/>
  <c r="L625" i="23" s="1"/>
  <c r="D630" i="4"/>
  <c r="C630" i="4" s="1"/>
  <c r="L626" i="23" s="1"/>
  <c r="D631" i="4"/>
  <c r="C631" i="4" s="1"/>
  <c r="L627" i="23" s="1"/>
  <c r="D632" i="4"/>
  <c r="C632" i="4" s="1"/>
  <c r="L628" i="23" s="1"/>
  <c r="D633" i="4"/>
  <c r="C633" i="4" s="1"/>
  <c r="L629" i="23" s="1"/>
  <c r="D634" i="4"/>
  <c r="C634" i="4" s="1"/>
  <c r="L630" i="23" s="1"/>
  <c r="D635" i="4"/>
  <c r="C635" i="4" s="1"/>
  <c r="L631" i="23" s="1"/>
  <c r="D636" i="4"/>
  <c r="C636" i="4" s="1"/>
  <c r="L632" i="23" s="1"/>
  <c r="D637" i="4"/>
  <c r="C637" i="4" s="1"/>
  <c r="L633" i="23" s="1"/>
  <c r="D638" i="4"/>
  <c r="C638" i="4" s="1"/>
  <c r="L634" i="23" s="1"/>
  <c r="D639" i="4"/>
  <c r="C639" i="4" s="1"/>
  <c r="L635" i="23" s="1"/>
  <c r="D640" i="4"/>
  <c r="C640" i="4" s="1"/>
  <c r="L636" i="23" s="1"/>
  <c r="D641" i="4"/>
  <c r="C641" i="4" s="1"/>
  <c r="L637" i="23" s="1"/>
  <c r="D642" i="4"/>
  <c r="C642" i="4" s="1"/>
  <c r="L638" i="23" s="1"/>
  <c r="D643" i="4"/>
  <c r="C643" i="4" s="1"/>
  <c r="L639" i="23" s="1"/>
  <c r="D644" i="4"/>
  <c r="C644" i="4" s="1"/>
  <c r="L640" i="23" s="1"/>
  <c r="D645" i="4"/>
  <c r="C645" i="4" s="1"/>
  <c r="L641" i="23" s="1"/>
  <c r="D646" i="4"/>
  <c r="C646" i="4" s="1"/>
  <c r="L642" i="23" s="1"/>
  <c r="D647" i="4"/>
  <c r="C647" i="4" s="1"/>
  <c r="L643" i="23" s="1"/>
  <c r="D648" i="4"/>
  <c r="C648" i="4" s="1"/>
  <c r="L644" i="23" s="1"/>
  <c r="D649" i="4"/>
  <c r="C649" i="4" s="1"/>
  <c r="L645" i="23" s="1"/>
  <c r="D650" i="4"/>
  <c r="C650" i="4" s="1"/>
  <c r="L646" i="23" s="1"/>
  <c r="D651" i="4"/>
  <c r="C651" i="4" s="1"/>
  <c r="L647" i="23" s="1"/>
  <c r="D652" i="4"/>
  <c r="C652" i="4" s="1"/>
  <c r="L648" i="23" s="1"/>
  <c r="D653" i="4"/>
  <c r="C653" i="4" s="1"/>
  <c r="L649" i="23" s="1"/>
  <c r="D654" i="4"/>
  <c r="C654" i="4" s="1"/>
  <c r="L650" i="23" s="1"/>
  <c r="D655" i="4"/>
  <c r="C655" i="4" s="1"/>
  <c r="L651" i="23" s="1"/>
  <c r="D656" i="4"/>
  <c r="C656" i="4" s="1"/>
  <c r="L652" i="23" s="1"/>
  <c r="D657" i="4"/>
  <c r="C657" i="4" s="1"/>
  <c r="L653" i="23" s="1"/>
  <c r="D658" i="4"/>
  <c r="C658" i="4" s="1"/>
  <c r="L654" i="23" s="1"/>
  <c r="D659" i="4"/>
  <c r="C659" i="4" s="1"/>
  <c r="L655" i="23" s="1"/>
  <c r="D660" i="4"/>
  <c r="C660" i="4" s="1"/>
  <c r="L656" i="23" s="1"/>
  <c r="D661" i="4"/>
  <c r="C661" i="4" s="1"/>
  <c r="L657" i="23" s="1"/>
  <c r="D662" i="4"/>
  <c r="C662" i="4" s="1"/>
  <c r="L658" i="23" s="1"/>
  <c r="D663" i="4"/>
  <c r="C663" i="4" s="1"/>
  <c r="L659" i="23" s="1"/>
  <c r="D664" i="4"/>
  <c r="C664" i="4" s="1"/>
  <c r="L660" i="23" s="1"/>
  <c r="D665" i="4"/>
  <c r="C665" i="4" s="1"/>
  <c r="L661" i="23" s="1"/>
  <c r="D666" i="4"/>
  <c r="C666" i="4" s="1"/>
  <c r="L662" i="23" s="1"/>
  <c r="D667" i="4"/>
  <c r="C667" i="4" s="1"/>
  <c r="L663" i="23" s="1"/>
  <c r="D668" i="4"/>
  <c r="C668" i="4" s="1"/>
  <c r="L664" i="23" s="1"/>
  <c r="D669" i="4"/>
  <c r="C669" i="4" s="1"/>
  <c r="L665" i="23" s="1"/>
  <c r="D670" i="4"/>
  <c r="C670" i="4" s="1"/>
  <c r="L666" i="23" s="1"/>
  <c r="D671" i="4"/>
  <c r="C671" i="4" s="1"/>
  <c r="L667" i="23" s="1"/>
  <c r="D672" i="4"/>
  <c r="C672" i="4" s="1"/>
  <c r="L668" i="23" s="1"/>
  <c r="D673" i="4"/>
  <c r="C673" i="4" s="1"/>
  <c r="L669" i="23" s="1"/>
  <c r="D674" i="4"/>
  <c r="C674" i="4" s="1"/>
  <c r="L670" i="23" s="1"/>
  <c r="D675" i="4"/>
  <c r="C675" i="4" s="1"/>
  <c r="L671" i="23" s="1"/>
  <c r="D676" i="4"/>
  <c r="C676" i="4" s="1"/>
  <c r="L672" i="23" s="1"/>
  <c r="D677" i="4"/>
  <c r="C677" i="4" s="1"/>
  <c r="L673" i="23" s="1"/>
  <c r="D678" i="4"/>
  <c r="C678" i="4" s="1"/>
  <c r="L674" i="23" s="1"/>
  <c r="D5" i="4" l="1"/>
  <c r="D732" i="4"/>
  <c r="C734" i="4" s="1"/>
  <c r="C680" i="7"/>
  <c r="C7" i="4"/>
  <c r="B8" i="4"/>
  <c r="A10" i="4"/>
  <c r="B9" i="4"/>
  <c r="C1" i="4" l="1"/>
  <c r="L3" i="23"/>
  <c r="L1" i="23" s="1"/>
  <c r="C732" i="4"/>
  <c r="C681" i="7"/>
  <c r="A11" i="4"/>
  <c r="B10" i="4"/>
  <c r="C682" i="7" l="1"/>
  <c r="A12" i="4"/>
  <c r="B11" i="4"/>
  <c r="C683" i="7" l="1"/>
  <c r="A13" i="4"/>
  <c r="B12" i="4"/>
  <c r="C684" i="7" l="1"/>
  <c r="A14" i="4"/>
  <c r="B13" i="4"/>
  <c r="C685" i="7" l="1"/>
  <c r="A15" i="4"/>
  <c r="B14" i="4"/>
  <c r="C686" i="7" l="1"/>
  <c r="A16" i="4"/>
  <c r="B15" i="4"/>
  <c r="C687" i="7" l="1"/>
  <c r="A17" i="4"/>
  <c r="B16" i="4"/>
  <c r="C688" i="7" l="1"/>
  <c r="A18" i="4"/>
  <c r="B17" i="4"/>
  <c r="C689" i="7" l="1"/>
  <c r="A19" i="4"/>
  <c r="B18" i="4"/>
  <c r="C690" i="7" l="1"/>
  <c r="A20" i="4"/>
  <c r="B19" i="4"/>
  <c r="C691" i="7" l="1"/>
  <c r="A21" i="4"/>
  <c r="B20" i="4"/>
  <c r="C692" i="7" l="1"/>
  <c r="A22" i="4"/>
  <c r="B21" i="4"/>
  <c r="C693" i="7" l="1"/>
  <c r="A23" i="4"/>
  <c r="B22" i="4"/>
  <c r="C694" i="7" l="1"/>
  <c r="A24" i="4"/>
  <c r="B23" i="4"/>
  <c r="C695" i="7" l="1"/>
  <c r="A25" i="4"/>
  <c r="B24" i="4"/>
  <c r="C696" i="7" l="1"/>
  <c r="A26" i="4"/>
  <c r="B25" i="4"/>
  <c r="C697" i="7" l="1"/>
  <c r="A27" i="4"/>
  <c r="B26" i="4"/>
  <c r="C698" i="7" l="1"/>
  <c r="A28" i="4"/>
  <c r="B27" i="4"/>
  <c r="C699" i="7" l="1"/>
  <c r="A29" i="4"/>
  <c r="B28" i="4"/>
  <c r="C700" i="7" l="1"/>
  <c r="A30" i="4"/>
  <c r="B29" i="4"/>
  <c r="C701" i="7" l="1"/>
  <c r="A31" i="4"/>
  <c r="B30" i="4"/>
  <c r="C702" i="7" l="1"/>
  <c r="A32" i="4"/>
  <c r="B31" i="4"/>
  <c r="C703" i="7" l="1"/>
  <c r="A33" i="4"/>
  <c r="B32" i="4"/>
  <c r="C704" i="7" l="1"/>
  <c r="A34" i="4"/>
  <c r="B33" i="4"/>
  <c r="C705" i="7" l="1"/>
  <c r="A35" i="4"/>
  <c r="B34" i="4"/>
  <c r="C706" i="7" l="1"/>
  <c r="A36" i="4"/>
  <c r="B35" i="4"/>
  <c r="C707" i="7" l="1"/>
  <c r="A37" i="4"/>
  <c r="B36" i="4"/>
  <c r="C708" i="7" l="1"/>
  <c r="A38" i="4"/>
  <c r="B37" i="4"/>
  <c r="C709" i="7" l="1"/>
  <c r="A39" i="4"/>
  <c r="B38" i="4"/>
  <c r="C710" i="7" l="1"/>
  <c r="A40" i="4"/>
  <c r="B39" i="4"/>
  <c r="C711" i="7" l="1"/>
  <c r="A41" i="4"/>
  <c r="B40" i="4"/>
  <c r="C712" i="7" l="1"/>
  <c r="A42" i="4"/>
  <c r="B41" i="4"/>
  <c r="C713" i="7" l="1"/>
  <c r="A43" i="4"/>
  <c r="B42" i="4"/>
  <c r="C714" i="7" l="1"/>
  <c r="A44" i="4"/>
  <c r="B43" i="4"/>
  <c r="C715" i="7" l="1"/>
  <c r="A45" i="4"/>
  <c r="B44" i="4"/>
  <c r="C716" i="7" l="1"/>
  <c r="A46" i="4"/>
  <c r="B45" i="4"/>
  <c r="C717" i="7" l="1"/>
  <c r="A47" i="4"/>
  <c r="B46" i="4"/>
  <c r="C718" i="7" l="1"/>
  <c r="A48" i="4"/>
  <c r="B47" i="4"/>
  <c r="C719" i="7" l="1"/>
  <c r="A49" i="4"/>
  <c r="B48" i="4"/>
  <c r="C720" i="7" l="1"/>
  <c r="A50" i="4"/>
  <c r="B49" i="4"/>
  <c r="C721" i="7" l="1"/>
  <c r="A51" i="4"/>
  <c r="B50" i="4"/>
  <c r="C722" i="7" l="1"/>
  <c r="A52" i="4"/>
  <c r="B51" i="4"/>
  <c r="A53" i="4" l="1"/>
  <c r="B52" i="4"/>
  <c r="A54" i="4" l="1"/>
  <c r="B53" i="4"/>
  <c r="A55" i="4" l="1"/>
  <c r="B54" i="4"/>
  <c r="A56" i="4" l="1"/>
  <c r="B55" i="4"/>
  <c r="A57" i="4" l="1"/>
  <c r="B56" i="4"/>
  <c r="AP104" i="23"/>
  <c r="AQ104" i="23"/>
  <c r="A58" i="4" l="1"/>
  <c r="B57" i="4"/>
  <c r="AK196" i="23"/>
  <c r="AP59" i="23"/>
  <c r="AQ70" i="23"/>
  <c r="AP70" i="23"/>
  <c r="AQ69" i="23"/>
  <c r="AP69" i="23"/>
  <c r="AQ68" i="23"/>
  <c r="AP68" i="23"/>
  <c r="AQ67" i="23"/>
  <c r="AP67" i="23"/>
  <c r="AQ66" i="23"/>
  <c r="AP66" i="23"/>
  <c r="AQ65" i="23"/>
  <c r="AP65" i="23"/>
  <c r="AQ64" i="23"/>
  <c r="AP64" i="23"/>
  <c r="AQ63" i="23"/>
  <c r="AP63" i="23"/>
  <c r="AQ62" i="23"/>
  <c r="AP62" i="23"/>
  <c r="AQ61" i="23"/>
  <c r="AP61" i="23"/>
  <c r="AQ60" i="23"/>
  <c r="AP60" i="23"/>
  <c r="AQ59" i="23"/>
  <c r="AQ58" i="23"/>
  <c r="AP58" i="23"/>
  <c r="AQ57" i="23"/>
  <c r="AP57" i="23"/>
  <c r="AQ56" i="23"/>
  <c r="AP56" i="23"/>
  <c r="AQ55" i="23"/>
  <c r="AP55" i="23"/>
  <c r="AQ54" i="23"/>
  <c r="AP54" i="23"/>
  <c r="AQ53" i="23"/>
  <c r="AP53" i="23"/>
  <c r="AQ52" i="23"/>
  <c r="AP52" i="23"/>
  <c r="AQ51" i="23"/>
  <c r="AP51" i="23"/>
  <c r="AQ50" i="23"/>
  <c r="AP50" i="23"/>
  <c r="AQ49" i="23"/>
  <c r="AP49" i="23"/>
  <c r="AQ48" i="23"/>
  <c r="AP48" i="23"/>
  <c r="AQ47" i="23"/>
  <c r="AP47" i="23"/>
  <c r="AQ46" i="23"/>
  <c r="AP46" i="23"/>
  <c r="AQ45" i="23"/>
  <c r="AP45" i="23"/>
  <c r="AQ44" i="23"/>
  <c r="AP44" i="23"/>
  <c r="AQ43" i="23"/>
  <c r="AP43" i="23"/>
  <c r="AQ42" i="23"/>
  <c r="AP42" i="23"/>
  <c r="AQ41" i="23"/>
  <c r="AP41" i="23"/>
  <c r="AQ40" i="23"/>
  <c r="AP40" i="23"/>
  <c r="A59" i="4" l="1"/>
  <c r="B58" i="4"/>
  <c r="A60" i="4" l="1"/>
  <c r="B59" i="4"/>
  <c r="AO104" i="23"/>
  <c r="A61" i="4" l="1"/>
  <c r="B60" i="4"/>
  <c r="AQ71" i="23"/>
  <c r="AO70" i="23"/>
  <c r="A62" i="4" l="1"/>
  <c r="B61" i="4"/>
  <c r="A63" i="4" l="1"/>
  <c r="B62" i="4"/>
  <c r="A64" i="4" l="1"/>
  <c r="B63" i="4"/>
  <c r="A65" i="4" l="1"/>
  <c r="B64" i="4"/>
  <c r="A66" i="4" l="1"/>
  <c r="B65" i="4"/>
  <c r="A67" i="4" l="1"/>
  <c r="B66" i="4"/>
  <c r="A68" i="4" l="1"/>
  <c r="B67" i="4"/>
  <c r="A69" i="4" l="1"/>
  <c r="B68" i="4"/>
  <c r="A70" i="4" l="1"/>
  <c r="B69" i="4"/>
  <c r="A71" i="4" l="1"/>
  <c r="B70" i="4"/>
  <c r="A72" i="4" l="1"/>
  <c r="B71" i="4"/>
  <c r="A73" i="4" l="1"/>
  <c r="B72" i="4"/>
  <c r="A74" i="4" l="1"/>
  <c r="B73" i="4"/>
  <c r="A75" i="4" l="1"/>
  <c r="B74" i="4"/>
  <c r="A76" i="4" l="1"/>
  <c r="B75" i="4"/>
  <c r="A77" i="4" l="1"/>
  <c r="B76" i="4"/>
  <c r="A78" i="4" l="1"/>
  <c r="B77" i="4"/>
  <c r="A79" i="4" l="1"/>
  <c r="B78" i="4"/>
  <c r="A80" i="4" l="1"/>
  <c r="B79" i="4"/>
  <c r="A81" i="4" l="1"/>
  <c r="B80" i="4"/>
  <c r="A82" i="4" l="1"/>
  <c r="B81" i="4"/>
  <c r="A83" i="4" l="1"/>
  <c r="B82" i="4"/>
  <c r="A84" i="4" l="1"/>
  <c r="B83" i="4"/>
  <c r="A85" i="4" l="1"/>
  <c r="B84" i="4"/>
  <c r="A86" i="4" l="1"/>
  <c r="B85" i="4"/>
  <c r="AN143" i="23"/>
  <c r="AN144" i="23"/>
  <c r="AN145" i="23"/>
  <c r="AN146" i="23"/>
  <c r="AN147" i="23"/>
  <c r="AN148" i="23"/>
  <c r="AN149" i="23"/>
  <c r="AN150" i="23"/>
  <c r="AN151" i="23"/>
  <c r="AN152" i="23"/>
  <c r="AN153" i="23"/>
  <c r="AN154" i="23"/>
  <c r="AN155" i="23"/>
  <c r="AN156" i="23"/>
  <c r="AN157" i="23"/>
  <c r="AN158" i="23"/>
  <c r="AN159" i="23"/>
  <c r="AN160" i="23"/>
  <c r="AN161" i="23"/>
  <c r="AN162" i="23"/>
  <c r="AN163" i="23"/>
  <c r="AN164" i="23"/>
  <c r="AN165" i="23"/>
  <c r="AN166" i="23"/>
  <c r="AN167" i="23"/>
  <c r="AN168" i="23"/>
  <c r="AN169" i="23"/>
  <c r="AN170" i="23"/>
  <c r="AN171" i="23"/>
  <c r="AN172" i="23"/>
  <c r="AN142" i="23"/>
  <c r="AM203" i="23"/>
  <c r="AL203" i="23"/>
  <c r="AK203" i="23"/>
  <c r="AJ203" i="23"/>
  <c r="AI203" i="23"/>
  <c r="AH203" i="23"/>
  <c r="AG203" i="23"/>
  <c r="AF203" i="23"/>
  <c r="AE203" i="23"/>
  <c r="AD203" i="23"/>
  <c r="AC203" i="23"/>
  <c r="AB203" i="23"/>
  <c r="AA203" i="23"/>
  <c r="Z203" i="23"/>
  <c r="Y203" i="23"/>
  <c r="X203" i="23"/>
  <c r="W203" i="23"/>
  <c r="V203" i="23"/>
  <c r="U203" i="23"/>
  <c r="T203" i="23"/>
  <c r="S203" i="23"/>
  <c r="R203" i="23"/>
  <c r="Q203" i="23"/>
  <c r="P203" i="23"/>
  <c r="AM202" i="23"/>
  <c r="AL202" i="23"/>
  <c r="AK202" i="23"/>
  <c r="AJ202" i="23"/>
  <c r="AI202" i="23"/>
  <c r="AH202" i="23"/>
  <c r="AG202" i="23"/>
  <c r="AF202" i="23"/>
  <c r="AE202" i="23"/>
  <c r="AD202" i="23"/>
  <c r="AC202" i="23"/>
  <c r="AB202" i="23"/>
  <c r="AA202" i="23"/>
  <c r="Z202" i="23"/>
  <c r="Y202" i="23"/>
  <c r="X202" i="23"/>
  <c r="W202" i="23"/>
  <c r="V202" i="23"/>
  <c r="U202" i="23"/>
  <c r="T202" i="23"/>
  <c r="S202" i="23"/>
  <c r="R202" i="23"/>
  <c r="Q202" i="23"/>
  <c r="P202" i="23"/>
  <c r="AM201" i="23"/>
  <c r="AL201" i="23"/>
  <c r="AK201" i="23"/>
  <c r="AJ201" i="23"/>
  <c r="AI201" i="23"/>
  <c r="AH201" i="23"/>
  <c r="AG201" i="23"/>
  <c r="AF201" i="23"/>
  <c r="AE201" i="23"/>
  <c r="AD201" i="23"/>
  <c r="AC201" i="23"/>
  <c r="AB201" i="23"/>
  <c r="AA201" i="23"/>
  <c r="Z201" i="23"/>
  <c r="Y201" i="23"/>
  <c r="X201" i="23"/>
  <c r="W201" i="23"/>
  <c r="V201" i="23"/>
  <c r="U201" i="23"/>
  <c r="T201" i="23"/>
  <c r="S201" i="23"/>
  <c r="R201" i="23"/>
  <c r="Q201" i="23"/>
  <c r="P201" i="23"/>
  <c r="AM200" i="23"/>
  <c r="AL200" i="23"/>
  <c r="AK200" i="23"/>
  <c r="AJ200" i="23"/>
  <c r="AI200" i="23"/>
  <c r="AH200" i="23"/>
  <c r="AG200" i="23"/>
  <c r="AF200" i="23"/>
  <c r="AE200" i="23"/>
  <c r="AD200" i="23"/>
  <c r="AC200" i="23"/>
  <c r="AB200" i="23"/>
  <c r="AA200" i="23"/>
  <c r="Z200" i="23"/>
  <c r="Y200" i="23"/>
  <c r="X200" i="23"/>
  <c r="W200" i="23"/>
  <c r="V200" i="23"/>
  <c r="U200" i="23"/>
  <c r="T200" i="23"/>
  <c r="S200" i="23"/>
  <c r="R200" i="23"/>
  <c r="Q200" i="23"/>
  <c r="P200" i="23"/>
  <c r="AM199" i="23"/>
  <c r="AL199" i="23"/>
  <c r="AK199" i="23"/>
  <c r="AJ199" i="23"/>
  <c r="AI199" i="23"/>
  <c r="AH199" i="23"/>
  <c r="AG199" i="23"/>
  <c r="AF199" i="23"/>
  <c r="AE199" i="23"/>
  <c r="AD199" i="23"/>
  <c r="AC199" i="23"/>
  <c r="AB199" i="23"/>
  <c r="AA199" i="23"/>
  <c r="Z199" i="23"/>
  <c r="Y199" i="23"/>
  <c r="X199" i="23"/>
  <c r="W199" i="23"/>
  <c r="V199" i="23"/>
  <c r="U199" i="23"/>
  <c r="T199" i="23"/>
  <c r="S199" i="23"/>
  <c r="R199" i="23"/>
  <c r="Q199" i="23"/>
  <c r="P199" i="23"/>
  <c r="AM198" i="23"/>
  <c r="AL198" i="23"/>
  <c r="AK198" i="23"/>
  <c r="AJ198" i="23"/>
  <c r="AI198" i="23"/>
  <c r="AH198" i="23"/>
  <c r="AG198" i="23"/>
  <c r="AF198" i="23"/>
  <c r="AE198" i="23"/>
  <c r="AD198" i="23"/>
  <c r="AC198" i="23"/>
  <c r="AB198" i="23"/>
  <c r="AA198" i="23"/>
  <c r="Z198" i="23"/>
  <c r="Y198" i="23"/>
  <c r="X198" i="23"/>
  <c r="W198" i="23"/>
  <c r="V198" i="23"/>
  <c r="U198" i="23"/>
  <c r="T198" i="23"/>
  <c r="S198" i="23"/>
  <c r="R198" i="23"/>
  <c r="Q198" i="23"/>
  <c r="P198" i="23"/>
  <c r="AM197" i="23"/>
  <c r="AL197" i="23"/>
  <c r="AK197" i="23"/>
  <c r="AJ197" i="23"/>
  <c r="AI197" i="23"/>
  <c r="AH197" i="23"/>
  <c r="AG197" i="23"/>
  <c r="AF197" i="23"/>
  <c r="AE197" i="23"/>
  <c r="AD197" i="23"/>
  <c r="AC197" i="23"/>
  <c r="AB197" i="23"/>
  <c r="AA197" i="23"/>
  <c r="Z197" i="23"/>
  <c r="Y197" i="23"/>
  <c r="X197" i="23"/>
  <c r="W197" i="23"/>
  <c r="V197" i="23"/>
  <c r="U197" i="23"/>
  <c r="T197" i="23"/>
  <c r="S197" i="23"/>
  <c r="R197" i="23"/>
  <c r="Q197" i="23"/>
  <c r="P197" i="23"/>
  <c r="AM196" i="23"/>
  <c r="AL196" i="23"/>
  <c r="AJ196" i="23"/>
  <c r="AI196" i="23"/>
  <c r="AH196" i="23"/>
  <c r="AG196" i="23"/>
  <c r="AF196" i="23"/>
  <c r="AE196" i="23"/>
  <c r="AD196" i="23"/>
  <c r="AC196" i="23"/>
  <c r="AB196" i="23"/>
  <c r="AA196" i="23"/>
  <c r="Z196" i="23"/>
  <c r="Y196" i="23"/>
  <c r="X196" i="23"/>
  <c r="W196" i="23"/>
  <c r="V196" i="23"/>
  <c r="U196" i="23"/>
  <c r="T196" i="23"/>
  <c r="S196" i="23"/>
  <c r="R196" i="23"/>
  <c r="Q196" i="23"/>
  <c r="P196" i="23"/>
  <c r="AM195" i="23"/>
  <c r="AL195" i="23"/>
  <c r="AK195" i="23"/>
  <c r="AJ195" i="23"/>
  <c r="AI195" i="23"/>
  <c r="AH195" i="23"/>
  <c r="AG195" i="23"/>
  <c r="AF195" i="23"/>
  <c r="AE195" i="23"/>
  <c r="AD195" i="23"/>
  <c r="AC195" i="23"/>
  <c r="AB195" i="23"/>
  <c r="AA195" i="23"/>
  <c r="Z195" i="23"/>
  <c r="Y195" i="23"/>
  <c r="X195" i="23"/>
  <c r="W195" i="23"/>
  <c r="V195" i="23"/>
  <c r="U195" i="23"/>
  <c r="T195" i="23"/>
  <c r="S195" i="23"/>
  <c r="R195" i="23"/>
  <c r="Q195" i="23"/>
  <c r="P195" i="23"/>
  <c r="AM194" i="23"/>
  <c r="AL194" i="23"/>
  <c r="AK194" i="23"/>
  <c r="AJ194" i="23"/>
  <c r="AI194" i="23"/>
  <c r="AH194" i="23"/>
  <c r="AG194" i="23"/>
  <c r="AF194" i="23"/>
  <c r="AE194" i="23"/>
  <c r="AD194" i="23"/>
  <c r="AC194" i="23"/>
  <c r="AB194" i="23"/>
  <c r="AA194" i="23"/>
  <c r="Z194" i="23"/>
  <c r="Y194" i="23"/>
  <c r="X194" i="23"/>
  <c r="W194" i="23"/>
  <c r="V194" i="23"/>
  <c r="U194" i="23"/>
  <c r="T194" i="23"/>
  <c r="S194" i="23"/>
  <c r="R194" i="23"/>
  <c r="Q194" i="23"/>
  <c r="P194" i="23"/>
  <c r="AM193" i="23"/>
  <c r="AL193" i="23"/>
  <c r="AK193" i="23"/>
  <c r="AJ193" i="23"/>
  <c r="AI193" i="23"/>
  <c r="AH193" i="23"/>
  <c r="AG193" i="23"/>
  <c r="AF193" i="23"/>
  <c r="AE193" i="23"/>
  <c r="AD193" i="23"/>
  <c r="AC193" i="23"/>
  <c r="AB193" i="23"/>
  <c r="AA193" i="23"/>
  <c r="Z193" i="23"/>
  <c r="Y193" i="23"/>
  <c r="X193" i="23"/>
  <c r="W193" i="23"/>
  <c r="V193" i="23"/>
  <c r="U193" i="23"/>
  <c r="T193" i="23"/>
  <c r="S193" i="23"/>
  <c r="R193" i="23"/>
  <c r="Q193" i="23"/>
  <c r="P193" i="23"/>
  <c r="AM192" i="23"/>
  <c r="AL192" i="23"/>
  <c r="AK192" i="23"/>
  <c r="AJ192" i="23"/>
  <c r="AI192" i="23"/>
  <c r="AH192" i="23"/>
  <c r="AG192" i="23"/>
  <c r="AF192" i="23"/>
  <c r="AE192" i="23"/>
  <c r="AD192" i="23"/>
  <c r="AC192" i="23"/>
  <c r="AB192" i="23"/>
  <c r="AA192" i="23"/>
  <c r="Z192" i="23"/>
  <c r="Y192" i="23"/>
  <c r="X192" i="23"/>
  <c r="W192" i="23"/>
  <c r="V192" i="23"/>
  <c r="U192" i="23"/>
  <c r="T192" i="23"/>
  <c r="S192" i="23"/>
  <c r="R192" i="23"/>
  <c r="Q192" i="23"/>
  <c r="P192" i="23"/>
  <c r="AM191" i="23"/>
  <c r="AL191" i="23"/>
  <c r="AK191" i="23"/>
  <c r="AJ191" i="23"/>
  <c r="AI191" i="23"/>
  <c r="AH191" i="23"/>
  <c r="AG191" i="23"/>
  <c r="AF191" i="23"/>
  <c r="AE191" i="23"/>
  <c r="AD191" i="23"/>
  <c r="AC191" i="23"/>
  <c r="AB191" i="23"/>
  <c r="AA191" i="23"/>
  <c r="Z191" i="23"/>
  <c r="Y191" i="23"/>
  <c r="X191" i="23"/>
  <c r="W191" i="23"/>
  <c r="V191" i="23"/>
  <c r="U191" i="23"/>
  <c r="T191" i="23"/>
  <c r="S191" i="23"/>
  <c r="R191" i="23"/>
  <c r="Q191" i="23"/>
  <c r="P191" i="23"/>
  <c r="AM190" i="23"/>
  <c r="AL190" i="23"/>
  <c r="AK190" i="23"/>
  <c r="AJ190" i="23"/>
  <c r="AI190" i="23"/>
  <c r="AH190" i="23"/>
  <c r="AG190" i="23"/>
  <c r="AF190" i="23"/>
  <c r="AE190" i="23"/>
  <c r="AD190" i="23"/>
  <c r="AC190" i="23"/>
  <c r="AB190" i="23"/>
  <c r="AA190" i="23"/>
  <c r="Z190" i="23"/>
  <c r="Y190" i="23"/>
  <c r="X190" i="23"/>
  <c r="W190" i="23"/>
  <c r="V190" i="23"/>
  <c r="U190" i="23"/>
  <c r="T190" i="23"/>
  <c r="S190" i="23"/>
  <c r="R190" i="23"/>
  <c r="Q190" i="23"/>
  <c r="P190" i="23"/>
  <c r="AM189" i="23"/>
  <c r="AL189" i="23"/>
  <c r="AK189" i="23"/>
  <c r="AJ189" i="23"/>
  <c r="AI189" i="23"/>
  <c r="AH189" i="23"/>
  <c r="AG189" i="23"/>
  <c r="AF189" i="23"/>
  <c r="AE189" i="23"/>
  <c r="AD189" i="23"/>
  <c r="AC189" i="23"/>
  <c r="AB189" i="23"/>
  <c r="AA189" i="23"/>
  <c r="Z189" i="23"/>
  <c r="Y189" i="23"/>
  <c r="X189" i="23"/>
  <c r="W189" i="23"/>
  <c r="V189" i="23"/>
  <c r="U189" i="23"/>
  <c r="T189" i="23"/>
  <c r="S189" i="23"/>
  <c r="R189" i="23"/>
  <c r="Q189" i="23"/>
  <c r="P189" i="23"/>
  <c r="AM188" i="23"/>
  <c r="AL188" i="23"/>
  <c r="AK188" i="23"/>
  <c r="AJ188" i="23"/>
  <c r="AI188" i="23"/>
  <c r="AH188" i="23"/>
  <c r="AG188" i="23"/>
  <c r="AF188" i="23"/>
  <c r="AE188" i="23"/>
  <c r="AD188" i="23"/>
  <c r="AC188" i="23"/>
  <c r="AB188" i="23"/>
  <c r="AA188" i="23"/>
  <c r="Z188" i="23"/>
  <c r="Y188" i="23"/>
  <c r="X188" i="23"/>
  <c r="W188" i="23"/>
  <c r="V188" i="23"/>
  <c r="U188" i="23"/>
  <c r="T188" i="23"/>
  <c r="S188" i="23"/>
  <c r="R188" i="23"/>
  <c r="Q188" i="23"/>
  <c r="P188" i="23"/>
  <c r="AM187" i="23"/>
  <c r="AL187" i="23"/>
  <c r="AK187" i="23"/>
  <c r="AJ187" i="23"/>
  <c r="AI187" i="23"/>
  <c r="AH187" i="23"/>
  <c r="AG187" i="23"/>
  <c r="AF187" i="23"/>
  <c r="AE187" i="23"/>
  <c r="AD187" i="23"/>
  <c r="AC187" i="23"/>
  <c r="AB187" i="23"/>
  <c r="AA187" i="23"/>
  <c r="Z187" i="23"/>
  <c r="Y187" i="23"/>
  <c r="X187" i="23"/>
  <c r="W187" i="23"/>
  <c r="V187" i="23"/>
  <c r="U187" i="23"/>
  <c r="T187" i="23"/>
  <c r="S187" i="23"/>
  <c r="R187" i="23"/>
  <c r="Q187" i="23"/>
  <c r="P187" i="23"/>
  <c r="AM186" i="23"/>
  <c r="AL186" i="23"/>
  <c r="AK186" i="23"/>
  <c r="AJ186" i="23"/>
  <c r="AI186" i="23"/>
  <c r="AH186" i="23"/>
  <c r="AG186" i="23"/>
  <c r="AF186" i="23"/>
  <c r="AE186" i="23"/>
  <c r="AD186" i="23"/>
  <c r="AC186" i="23"/>
  <c r="AB186" i="23"/>
  <c r="AA186" i="23"/>
  <c r="Z186" i="23"/>
  <c r="Y186" i="23"/>
  <c r="X186" i="23"/>
  <c r="W186" i="23"/>
  <c r="V186" i="23"/>
  <c r="U186" i="23"/>
  <c r="T186" i="23"/>
  <c r="S186" i="23"/>
  <c r="R186" i="23"/>
  <c r="Q186" i="23"/>
  <c r="P186" i="23"/>
  <c r="AM185" i="23"/>
  <c r="AL185" i="23"/>
  <c r="AK185" i="23"/>
  <c r="AJ185" i="23"/>
  <c r="AI185" i="23"/>
  <c r="AH185" i="23"/>
  <c r="AG185" i="23"/>
  <c r="AF185" i="23"/>
  <c r="AE185" i="23"/>
  <c r="AD185" i="23"/>
  <c r="AC185" i="23"/>
  <c r="AB185" i="23"/>
  <c r="AA185" i="23"/>
  <c r="Z185" i="23"/>
  <c r="Y185" i="23"/>
  <c r="X185" i="23"/>
  <c r="W185" i="23"/>
  <c r="V185" i="23"/>
  <c r="U185" i="23"/>
  <c r="T185" i="23"/>
  <c r="S185" i="23"/>
  <c r="R185" i="23"/>
  <c r="Q185" i="23"/>
  <c r="P185" i="23"/>
  <c r="AM184" i="23"/>
  <c r="AL184" i="23"/>
  <c r="AK184" i="23"/>
  <c r="AJ184" i="23"/>
  <c r="AI184" i="23"/>
  <c r="AH184" i="23"/>
  <c r="AG184" i="23"/>
  <c r="AF184" i="23"/>
  <c r="AE184" i="23"/>
  <c r="AD184" i="23"/>
  <c r="AC184" i="23"/>
  <c r="AB184" i="23"/>
  <c r="AA184" i="23"/>
  <c r="Z184" i="23"/>
  <c r="Y184" i="23"/>
  <c r="X184" i="23"/>
  <c r="W184" i="23"/>
  <c r="V184" i="23"/>
  <c r="U184" i="23"/>
  <c r="T184" i="23"/>
  <c r="S184" i="23"/>
  <c r="R184" i="23"/>
  <c r="Q184" i="23"/>
  <c r="P184" i="23"/>
  <c r="AM183" i="23"/>
  <c r="AL183" i="23"/>
  <c r="AK183" i="23"/>
  <c r="AJ183" i="23"/>
  <c r="AI183" i="23"/>
  <c r="AH183" i="23"/>
  <c r="AG183" i="23"/>
  <c r="AF183" i="23"/>
  <c r="AE183" i="23"/>
  <c r="AD183" i="23"/>
  <c r="AC183" i="23"/>
  <c r="AB183" i="23"/>
  <c r="AA183" i="23"/>
  <c r="Z183" i="23"/>
  <c r="Y183" i="23"/>
  <c r="X183" i="23"/>
  <c r="W183" i="23"/>
  <c r="V183" i="23"/>
  <c r="U183" i="23"/>
  <c r="T183" i="23"/>
  <c r="S183" i="23"/>
  <c r="R183" i="23"/>
  <c r="Q183" i="23"/>
  <c r="P183" i="23"/>
  <c r="AM182" i="23"/>
  <c r="AL182" i="23"/>
  <c r="AK182" i="23"/>
  <c r="AJ182" i="23"/>
  <c r="AI182" i="23"/>
  <c r="AH182" i="23"/>
  <c r="AG182" i="23"/>
  <c r="AF182" i="23"/>
  <c r="AE182" i="23"/>
  <c r="AD182" i="23"/>
  <c r="AC182" i="23"/>
  <c r="AB182" i="23"/>
  <c r="AA182" i="23"/>
  <c r="Z182" i="23"/>
  <c r="Y182" i="23"/>
  <c r="X182" i="23"/>
  <c r="W182" i="23"/>
  <c r="V182" i="23"/>
  <c r="U182" i="23"/>
  <c r="T182" i="23"/>
  <c r="S182" i="23"/>
  <c r="R182" i="23"/>
  <c r="Q182" i="23"/>
  <c r="P182" i="23"/>
  <c r="AM181" i="23"/>
  <c r="AL181" i="23"/>
  <c r="AK181" i="23"/>
  <c r="AJ181" i="23"/>
  <c r="AI181" i="23"/>
  <c r="AH181" i="23"/>
  <c r="AG181" i="23"/>
  <c r="AF181" i="23"/>
  <c r="AE181" i="23"/>
  <c r="AD181" i="23"/>
  <c r="AC181" i="23"/>
  <c r="AB181" i="23"/>
  <c r="AA181" i="23"/>
  <c r="Z181" i="23"/>
  <c r="Y181" i="23"/>
  <c r="X181" i="23"/>
  <c r="W181" i="23"/>
  <c r="V181" i="23"/>
  <c r="U181" i="23"/>
  <c r="T181" i="23"/>
  <c r="S181" i="23"/>
  <c r="R181" i="23"/>
  <c r="Q181" i="23"/>
  <c r="P181" i="23"/>
  <c r="AM180" i="23"/>
  <c r="AL180" i="23"/>
  <c r="AK180" i="23"/>
  <c r="AJ180" i="23"/>
  <c r="AI180" i="23"/>
  <c r="AH180" i="23"/>
  <c r="AG180" i="23"/>
  <c r="AF180" i="23"/>
  <c r="AE180" i="23"/>
  <c r="AD180" i="23"/>
  <c r="AC180" i="23"/>
  <c r="AB180" i="23"/>
  <c r="AA180" i="23"/>
  <c r="Z180" i="23"/>
  <c r="Y180" i="23"/>
  <c r="X180" i="23"/>
  <c r="W180" i="23"/>
  <c r="V180" i="23"/>
  <c r="U180" i="23"/>
  <c r="T180" i="23"/>
  <c r="S180" i="23"/>
  <c r="R180" i="23"/>
  <c r="Q180" i="23"/>
  <c r="P180" i="23"/>
  <c r="AM179" i="23"/>
  <c r="AL179" i="23"/>
  <c r="AK179" i="23"/>
  <c r="AJ179" i="23"/>
  <c r="AI179" i="23"/>
  <c r="AH179" i="23"/>
  <c r="AG179" i="23"/>
  <c r="AF179" i="23"/>
  <c r="AE179" i="23"/>
  <c r="AD179" i="23"/>
  <c r="AC179" i="23"/>
  <c r="AB179" i="23"/>
  <c r="AA179" i="23"/>
  <c r="Z179" i="23"/>
  <c r="Y179" i="23"/>
  <c r="X179" i="23"/>
  <c r="W179" i="23"/>
  <c r="V179" i="23"/>
  <c r="U179" i="23"/>
  <c r="T179" i="23"/>
  <c r="S179" i="23"/>
  <c r="R179" i="23"/>
  <c r="Q179" i="23"/>
  <c r="P179" i="23"/>
  <c r="AM178" i="23"/>
  <c r="AL178" i="23"/>
  <c r="AK178" i="23"/>
  <c r="AJ178" i="23"/>
  <c r="AI178" i="23"/>
  <c r="AH178" i="23"/>
  <c r="AG178" i="23"/>
  <c r="AF178" i="23"/>
  <c r="AE178" i="23"/>
  <c r="AD178" i="23"/>
  <c r="AC178" i="23"/>
  <c r="AB178" i="23"/>
  <c r="AA178" i="23"/>
  <c r="Z178" i="23"/>
  <c r="Y178" i="23"/>
  <c r="X178" i="23"/>
  <c r="W178" i="23"/>
  <c r="V178" i="23"/>
  <c r="U178" i="23"/>
  <c r="T178" i="23"/>
  <c r="S178" i="23"/>
  <c r="R178" i="23"/>
  <c r="Q178" i="23"/>
  <c r="P178" i="23"/>
  <c r="AM177" i="23"/>
  <c r="AL177" i="23"/>
  <c r="AK177" i="23"/>
  <c r="AJ177" i="23"/>
  <c r="AI177" i="23"/>
  <c r="AH177" i="23"/>
  <c r="AG177" i="23"/>
  <c r="AF177" i="23"/>
  <c r="AE177" i="23"/>
  <c r="AD177" i="23"/>
  <c r="AC177" i="23"/>
  <c r="AB177" i="23"/>
  <c r="AA177" i="23"/>
  <c r="Z177" i="23"/>
  <c r="Y177" i="23"/>
  <c r="X177" i="23"/>
  <c r="W177" i="23"/>
  <c r="V177" i="23"/>
  <c r="U177" i="23"/>
  <c r="T177" i="23"/>
  <c r="S177" i="23"/>
  <c r="R177" i="23"/>
  <c r="Q177" i="23"/>
  <c r="P177" i="23"/>
  <c r="AM176" i="23"/>
  <c r="AL176" i="23"/>
  <c r="AK176" i="23"/>
  <c r="AJ176" i="23"/>
  <c r="AI176" i="23"/>
  <c r="AH176" i="23"/>
  <c r="AG176" i="23"/>
  <c r="AF176" i="23"/>
  <c r="AE176" i="23"/>
  <c r="AD176" i="23"/>
  <c r="AC176" i="23"/>
  <c r="AB176" i="23"/>
  <c r="AA176" i="23"/>
  <c r="Z176" i="23"/>
  <c r="Y176" i="23"/>
  <c r="X176" i="23"/>
  <c r="W176" i="23"/>
  <c r="V176" i="23"/>
  <c r="U176" i="23"/>
  <c r="T176" i="23"/>
  <c r="S176" i="23"/>
  <c r="R176" i="23"/>
  <c r="Q176" i="23"/>
  <c r="P176" i="23"/>
  <c r="A87" i="4" l="1"/>
  <c r="B86" i="4"/>
  <c r="AN173" i="23"/>
  <c r="A88" i="4" l="1"/>
  <c r="B87" i="4"/>
  <c r="AN108" i="23"/>
  <c r="AN109" i="23"/>
  <c r="AN110" i="23"/>
  <c r="AN111" i="23"/>
  <c r="AN112" i="23"/>
  <c r="AN113" i="23"/>
  <c r="AN114" i="23"/>
  <c r="AN115" i="23"/>
  <c r="AN116" i="23"/>
  <c r="AN117" i="23"/>
  <c r="AN118" i="23"/>
  <c r="AN119" i="23"/>
  <c r="AN120" i="23"/>
  <c r="AN121" i="23"/>
  <c r="AN122" i="23"/>
  <c r="AN123" i="23"/>
  <c r="AN124" i="23"/>
  <c r="AN125" i="23"/>
  <c r="AN126" i="23"/>
  <c r="AN127" i="23"/>
  <c r="AN128" i="23"/>
  <c r="AN129" i="23"/>
  <c r="AN130" i="23"/>
  <c r="AN131" i="23"/>
  <c r="A89" i="4" l="1"/>
  <c r="B88" i="4"/>
  <c r="A90" i="4" l="1"/>
  <c r="B89" i="4"/>
  <c r="O5" i="23"/>
  <c r="A91" i="4" l="1"/>
  <c r="B90" i="4"/>
  <c r="O6" i="23"/>
  <c r="O7" i="23" s="1"/>
  <c r="O8" i="23" s="1"/>
  <c r="O9" i="23" s="1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l="1"/>
  <c r="O136" i="23"/>
  <c r="O170" i="23"/>
  <c r="O204" i="23"/>
  <c r="O68" i="23"/>
  <c r="O102" i="23" s="1"/>
  <c r="A92" i="4"/>
  <c r="B91" i="4"/>
  <c r="AP103" i="23"/>
  <c r="AQ103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176" i="23"/>
  <c r="K3" i="23" s="1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42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08" i="23"/>
  <c r="AN132" i="23"/>
  <c r="AN133" i="23"/>
  <c r="AN134" i="23"/>
  <c r="AN135" i="23"/>
  <c r="O205" i="23" l="1"/>
  <c r="O137" i="23"/>
  <c r="O171" i="23"/>
  <c r="O69" i="23"/>
  <c r="O103" i="23" s="1"/>
  <c r="A93" i="4"/>
  <c r="B92" i="4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A94" i="4" l="1"/>
  <c r="B93" i="4"/>
  <c r="P97" i="23"/>
  <c r="A95" i="4" l="1"/>
  <c r="B94" i="4"/>
  <c r="AQ97" i="23"/>
  <c r="AP97" i="23"/>
  <c r="AN206" i="23"/>
  <c r="A96" i="4" l="1"/>
  <c r="B95" i="4"/>
  <c r="A97" i="4" l="1"/>
  <c r="B96" i="4"/>
  <c r="A98" i="4" l="1"/>
  <c r="B97" i="4"/>
  <c r="A4" i="23"/>
  <c r="AO4" i="23"/>
  <c r="A99" i="4" l="1"/>
  <c r="B98" i="4"/>
  <c r="A100" i="4" l="1"/>
  <c r="B99" i="4"/>
  <c r="A101" i="4" l="1"/>
  <c r="B100" i="4"/>
  <c r="A102" i="4" l="1"/>
  <c r="B101" i="4"/>
  <c r="AP102" i="23"/>
  <c r="AQ102" i="23"/>
  <c r="A103" i="4" l="1"/>
  <c r="B102" i="4"/>
  <c r="A104" i="4" l="1"/>
  <c r="B103" i="4"/>
  <c r="A105" i="4" l="1"/>
  <c r="B104" i="4"/>
  <c r="A106" i="4" l="1"/>
  <c r="B105" i="4"/>
  <c r="A107" i="4" l="1"/>
  <c r="B106" i="4"/>
  <c r="A108" i="4" l="1"/>
  <c r="B107" i="4"/>
  <c r="A109" i="4" l="1"/>
  <c r="B108" i="4"/>
  <c r="A110" i="4" l="1"/>
  <c r="B109" i="4"/>
  <c r="A111" i="4" l="1"/>
  <c r="B110" i="4"/>
  <c r="A112" i="4" l="1"/>
  <c r="B111" i="4"/>
  <c r="A113" i="4" l="1"/>
  <c r="B112" i="4"/>
  <c r="A114" i="4" l="1"/>
  <c r="B113" i="4"/>
  <c r="A115" i="4" l="1"/>
  <c r="B114" i="4"/>
  <c r="A116" i="4" l="1"/>
  <c r="B115" i="4"/>
  <c r="A117" i="4" l="1"/>
  <c r="B116" i="4"/>
  <c r="A118" i="4" l="1"/>
  <c r="B117" i="4"/>
  <c r="A119" i="4" l="1"/>
  <c r="B118" i="4"/>
  <c r="A120" i="4" l="1"/>
  <c r="B119" i="4"/>
  <c r="A121" i="4" l="1"/>
  <c r="B120" i="4"/>
  <c r="A122" i="4" l="1"/>
  <c r="B121" i="4"/>
  <c r="A123" i="4" l="1"/>
  <c r="B122" i="4"/>
  <c r="A124" i="4" l="1"/>
  <c r="B123" i="4"/>
  <c r="A125" i="4" l="1"/>
  <c r="B124" i="4"/>
  <c r="A126" i="4" l="1"/>
  <c r="B125" i="4"/>
  <c r="A127" i="4" l="1"/>
  <c r="B126" i="4"/>
  <c r="A128" i="4" l="1"/>
  <c r="B127" i="4"/>
  <c r="A129" i="4" l="1"/>
  <c r="B128" i="4"/>
  <c r="A130" i="4" l="1"/>
  <c r="B129" i="4"/>
  <c r="A131" i="4" l="1"/>
  <c r="B130" i="4"/>
  <c r="A132" i="4" l="1"/>
  <c r="B131" i="4"/>
  <c r="A133" i="4" l="1"/>
  <c r="B132" i="4"/>
  <c r="A134" i="4" l="1"/>
  <c r="B133" i="4"/>
  <c r="A135" i="4" l="1"/>
  <c r="B134" i="4"/>
  <c r="A136" i="4" l="1"/>
  <c r="B135" i="4"/>
  <c r="A137" i="4" l="1"/>
  <c r="B136" i="4"/>
  <c r="A138" i="4" l="1"/>
  <c r="B137" i="4"/>
  <c r="A139" i="4" l="1"/>
  <c r="B138" i="4"/>
  <c r="A140" i="4" l="1"/>
  <c r="B139" i="4"/>
  <c r="A141" i="4" l="1"/>
  <c r="B140" i="4"/>
  <c r="A142" i="4" l="1"/>
  <c r="B141" i="4"/>
  <c r="A143" i="4" l="1"/>
  <c r="B142" i="4"/>
  <c r="A144" i="4" l="1"/>
  <c r="B143" i="4"/>
  <c r="A145" i="4" l="1"/>
  <c r="B144" i="4"/>
  <c r="A146" i="4" l="1"/>
  <c r="B145" i="4"/>
  <c r="A147" i="4" l="1"/>
  <c r="B146" i="4"/>
  <c r="A148" i="4" l="1"/>
  <c r="B147" i="4"/>
  <c r="A149" i="4" l="1"/>
  <c r="B148" i="4"/>
  <c r="P75" i="23"/>
  <c r="A150" i="4" l="1"/>
  <c r="B149" i="4"/>
  <c r="AP75" i="23"/>
  <c r="AQ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8" i="23"/>
  <c r="P99" i="23"/>
  <c r="P100" i="23"/>
  <c r="P101" i="23"/>
  <c r="A151" i="4" l="1"/>
  <c r="B150" i="4"/>
  <c r="AP82" i="23"/>
  <c r="AQ82" i="23"/>
  <c r="AP98" i="23"/>
  <c r="AQ98" i="23"/>
  <c r="AP76" i="23"/>
  <c r="AQ76" i="23"/>
  <c r="AP89" i="23"/>
  <c r="AQ89" i="23"/>
  <c r="AP87" i="23"/>
  <c r="AQ87" i="23"/>
  <c r="AQ85" i="23"/>
  <c r="AP85" i="23"/>
  <c r="AP101" i="23"/>
  <c r="AQ101" i="23"/>
  <c r="AP84" i="23"/>
  <c r="AQ84" i="23"/>
  <c r="AP100" i="23"/>
  <c r="AQ100" i="23"/>
  <c r="AP83" i="23"/>
  <c r="AQ83" i="23"/>
  <c r="AP81" i="23"/>
  <c r="AQ81" i="23"/>
  <c r="AP88" i="23"/>
  <c r="AQ88" i="23"/>
  <c r="AP86" i="23"/>
  <c r="AQ86" i="23"/>
  <c r="AP99" i="23"/>
  <c r="AQ99" i="23"/>
  <c r="AQ96" i="23"/>
  <c r="AP96" i="23"/>
  <c r="AP80" i="23"/>
  <c r="AQ80" i="23"/>
  <c r="AP95" i="23"/>
  <c r="AQ95" i="23"/>
  <c r="AQ79" i="23"/>
  <c r="AP79" i="23"/>
  <c r="AP94" i="23"/>
  <c r="AQ94" i="23"/>
  <c r="AQ78" i="23"/>
  <c r="AP78" i="23"/>
  <c r="AP93" i="23"/>
  <c r="AQ93" i="23"/>
  <c r="AP77" i="23"/>
  <c r="AQ77" i="23"/>
  <c r="AP92" i="23"/>
  <c r="AQ92" i="23"/>
  <c r="AP91" i="23"/>
  <c r="AQ91" i="23"/>
  <c r="AP90" i="23"/>
  <c r="AQ90" i="23"/>
  <c r="AP71" i="23"/>
  <c r="A152" i="4" l="1"/>
  <c r="B151" i="4"/>
  <c r="P74" i="23"/>
  <c r="A153" i="4" l="1"/>
  <c r="B152" i="4"/>
  <c r="AP74" i="23"/>
  <c r="AP105" i="23" s="1"/>
  <c r="AQ74" i="23"/>
  <c r="A727" i="14"/>
  <c r="B727" i="14"/>
  <c r="A728" i="14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B728" i="14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A154" i="4" l="1"/>
  <c r="B153" i="4"/>
  <c r="C727" i="16"/>
  <c r="A727" i="16" s="1"/>
  <c r="C728" i="16"/>
  <c r="D728" i="16" s="1"/>
  <c r="A727" i="18"/>
  <c r="B727" i="18" s="1"/>
  <c r="A728" i="18"/>
  <c r="B728" i="18" s="1"/>
  <c r="A729" i="18"/>
  <c r="A730" i="18" s="1"/>
  <c r="B729" i="18"/>
  <c r="AO103" i="23"/>
  <c r="AO102" i="23"/>
  <c r="AO101" i="23"/>
  <c r="AO100" i="23"/>
  <c r="AO99" i="23"/>
  <c r="AO98" i="23"/>
  <c r="AO97" i="23"/>
  <c r="AO96" i="23"/>
  <c r="AO95" i="23"/>
  <c r="AO94" i="23"/>
  <c r="AO93" i="23"/>
  <c r="AO92" i="23"/>
  <c r="AO91" i="23"/>
  <c r="AO90" i="23"/>
  <c r="AO89" i="23"/>
  <c r="AO88" i="23"/>
  <c r="AO87" i="23"/>
  <c r="AO86" i="23"/>
  <c r="AO85" i="23"/>
  <c r="AO84" i="23"/>
  <c r="AO83" i="23"/>
  <c r="AO82" i="23"/>
  <c r="AO81" i="23"/>
  <c r="AO80" i="23"/>
  <c r="AO79" i="23"/>
  <c r="AO78" i="23"/>
  <c r="AO77" i="23"/>
  <c r="AO76" i="23"/>
  <c r="AO75" i="23"/>
  <c r="AO74" i="23"/>
  <c r="A155" i="4" l="1"/>
  <c r="B154" i="4"/>
  <c r="AO105" i="23"/>
  <c r="AQ105" i="23"/>
  <c r="B728" i="16"/>
  <c r="A728" i="16"/>
  <c r="E728" i="16" s="1"/>
  <c r="C729" i="16"/>
  <c r="D727" i="16"/>
  <c r="B727" i="16"/>
  <c r="E727" i="16" s="1"/>
  <c r="B730" i="18"/>
  <c r="A731" i="18"/>
  <c r="A156" i="4" l="1"/>
  <c r="B155" i="4"/>
  <c r="C730" i="16"/>
  <c r="A729" i="16"/>
  <c r="E729" i="16" s="1"/>
  <c r="B729" i="16"/>
  <c r="D729" i="16"/>
  <c r="A732" i="18"/>
  <c r="B731" i="18"/>
  <c r="A157" i="4" l="1"/>
  <c r="B156" i="4"/>
  <c r="B730" i="16"/>
  <c r="D730" i="16"/>
  <c r="A730" i="16"/>
  <c r="E730" i="16" s="1"/>
  <c r="C731" i="16"/>
  <c r="B732" i="18"/>
  <c r="A733" i="18"/>
  <c r="A158" i="4" l="1"/>
  <c r="B157" i="4"/>
  <c r="C732" i="16"/>
  <c r="D731" i="16"/>
  <c r="A731" i="16"/>
  <c r="E731" i="16" s="1"/>
  <c r="B731" i="16"/>
  <c r="B733" i="18"/>
  <c r="A734" i="18"/>
  <c r="A159" i="4" l="1"/>
  <c r="B158" i="4"/>
  <c r="C733" i="16"/>
  <c r="A732" i="16"/>
  <c r="B732" i="16"/>
  <c r="D732" i="16"/>
  <c r="A735" i="18"/>
  <c r="B734" i="18"/>
  <c r="A160" i="4" l="1"/>
  <c r="B159" i="4"/>
  <c r="E732" i="16"/>
  <c r="D733" i="16"/>
  <c r="B733" i="16"/>
  <c r="C734" i="16"/>
  <c r="A733" i="16"/>
  <c r="E733" i="16" s="1"/>
  <c r="A736" i="18"/>
  <c r="B735" i="18"/>
  <c r="A161" i="4" l="1"/>
  <c r="B160" i="4"/>
  <c r="C735" i="16"/>
  <c r="A734" i="16"/>
  <c r="B734" i="16"/>
  <c r="D734" i="16"/>
  <c r="B736" i="18"/>
  <c r="A737" i="18"/>
  <c r="A162" i="4" l="1"/>
  <c r="B161" i="4"/>
  <c r="E734" i="16"/>
  <c r="A735" i="16"/>
  <c r="B735" i="16"/>
  <c r="D735" i="16"/>
  <c r="C736" i="16"/>
  <c r="A738" i="18"/>
  <c r="B737" i="18"/>
  <c r="A163" i="4" l="1"/>
  <c r="B162" i="4"/>
  <c r="D736" i="16"/>
  <c r="C737" i="16"/>
  <c r="A736" i="16"/>
  <c r="E736" i="16" s="1"/>
  <c r="B736" i="16"/>
  <c r="E735" i="16"/>
  <c r="B738" i="18"/>
  <c r="A739" i="18"/>
  <c r="A164" i="4" l="1"/>
  <c r="B163" i="4"/>
  <c r="C738" i="16"/>
  <c r="A737" i="16"/>
  <c r="E737" i="16" s="1"/>
  <c r="B737" i="16"/>
  <c r="D737" i="16"/>
  <c r="B739" i="18"/>
  <c r="A740" i="18"/>
  <c r="A165" i="4" l="1"/>
  <c r="B164" i="4"/>
  <c r="B738" i="16"/>
  <c r="A738" i="16"/>
  <c r="E738" i="16" s="1"/>
  <c r="D738" i="16"/>
  <c r="C739" i="16"/>
  <c r="B740" i="18"/>
  <c r="A741" i="18"/>
  <c r="A166" i="4" l="1"/>
  <c r="B165" i="4"/>
  <c r="D739" i="16"/>
  <c r="C740" i="16"/>
  <c r="A739" i="16"/>
  <c r="E739" i="16" s="1"/>
  <c r="B739" i="16"/>
  <c r="B741" i="18"/>
  <c r="A742" i="18"/>
  <c r="A167" i="4" l="1"/>
  <c r="B166" i="4"/>
  <c r="C741" i="16"/>
  <c r="A740" i="16"/>
  <c r="B740" i="16"/>
  <c r="D740" i="16"/>
  <c r="A743" i="18"/>
  <c r="B742" i="18"/>
  <c r="A168" i="4" l="1"/>
  <c r="B167" i="4"/>
  <c r="E740" i="16"/>
  <c r="B741" i="16"/>
  <c r="D741" i="16"/>
  <c r="C742" i="16"/>
  <c r="A741" i="16"/>
  <c r="E741" i="16" s="1"/>
  <c r="B743" i="18"/>
  <c r="A744" i="18"/>
  <c r="A169" i="4" l="1"/>
  <c r="B168" i="4"/>
  <c r="C743" i="16"/>
  <c r="A742" i="16"/>
  <c r="B742" i="16"/>
  <c r="D742" i="16"/>
  <c r="B744" i="18"/>
  <c r="A745" i="18"/>
  <c r="A170" i="4" l="1"/>
  <c r="B169" i="4"/>
  <c r="E742" i="16"/>
  <c r="A743" i="16"/>
  <c r="B743" i="16"/>
  <c r="D743" i="16"/>
  <c r="C744" i="16"/>
  <c r="A746" i="18"/>
  <c r="B745" i="18"/>
  <c r="A171" i="4" l="1"/>
  <c r="B170" i="4"/>
  <c r="D744" i="16"/>
  <c r="C745" i="16"/>
  <c r="A744" i="16"/>
  <c r="E744" i="16" s="1"/>
  <c r="B744" i="16"/>
  <c r="E743" i="16"/>
  <c r="B746" i="18"/>
  <c r="A747" i="18"/>
  <c r="A172" i="4" l="1"/>
  <c r="B171" i="4"/>
  <c r="C746" i="16"/>
  <c r="A745" i="16"/>
  <c r="B745" i="16"/>
  <c r="D745" i="16"/>
  <c r="B747" i="18"/>
  <c r="A748" i="18"/>
  <c r="A173" i="4" l="1"/>
  <c r="B172" i="4"/>
  <c r="E745" i="16"/>
  <c r="B746" i="16"/>
  <c r="D746" i="16"/>
  <c r="A746" i="16"/>
  <c r="E746" i="16" s="1"/>
  <c r="C747" i="16"/>
  <c r="B748" i="18"/>
  <c r="A749" i="18"/>
  <c r="A174" i="4" l="1"/>
  <c r="B173" i="4"/>
  <c r="C748" i="16"/>
  <c r="A747" i="16"/>
  <c r="B747" i="16"/>
  <c r="D747" i="16"/>
  <c r="B749" i="18"/>
  <c r="A750" i="18"/>
  <c r="A175" i="4" l="1"/>
  <c r="B174" i="4"/>
  <c r="E747" i="16"/>
  <c r="C749" i="16"/>
  <c r="A748" i="16"/>
  <c r="B748" i="16"/>
  <c r="D748" i="16"/>
  <c r="B750" i="18"/>
  <c r="A176" i="4" l="1"/>
  <c r="B175" i="4"/>
  <c r="E748" i="16"/>
  <c r="D749" i="16"/>
  <c r="B749" i="16"/>
  <c r="C750" i="16"/>
  <c r="A749" i="16"/>
  <c r="E749" i="16" s="1"/>
  <c r="A177" i="4" l="1"/>
  <c r="B176" i="4"/>
  <c r="A750" i="16"/>
  <c r="E750" i="16" s="1"/>
  <c r="B750" i="16"/>
  <c r="D750" i="16"/>
  <c r="A178" i="4" l="1"/>
  <c r="B177" i="4"/>
  <c r="A179" i="4" l="1"/>
  <c r="B178" i="4"/>
  <c r="AN138" i="23"/>
  <c r="AO34" i="23"/>
  <c r="A180" i="4" l="1"/>
  <c r="B179" i="4"/>
  <c r="AO33" i="23"/>
  <c r="AN136" i="23"/>
  <c r="AN137" i="23"/>
  <c r="AO69" i="23"/>
  <c r="A181" i="4" l="1"/>
  <c r="B180" i="4"/>
  <c r="AN205" i="23"/>
  <c r="A182" i="4" l="1"/>
  <c r="B181" i="4"/>
  <c r="AN202" i="23"/>
  <c r="D3" i="23"/>
  <c r="A183" i="4" l="1"/>
  <c r="B182" i="4"/>
  <c r="AO40" i="23"/>
  <c r="A184" i="4" l="1"/>
  <c r="B183" i="4"/>
  <c r="AN139" i="23"/>
  <c r="A185" i="4" l="1"/>
  <c r="B184" i="4"/>
  <c r="AF723" i="20"/>
  <c r="AF724" i="20"/>
  <c r="AF725" i="20"/>
  <c r="AF726" i="20"/>
  <c r="AF727" i="20"/>
  <c r="AF728" i="20"/>
  <c r="AF729" i="20"/>
  <c r="AF730" i="20"/>
  <c r="AF731" i="20"/>
  <c r="AF732" i="20"/>
  <c r="AF733" i="20"/>
  <c r="AF734" i="20"/>
  <c r="AF735" i="20"/>
  <c r="AF736" i="20"/>
  <c r="AF737" i="20"/>
  <c r="AF738" i="20"/>
  <c r="AF739" i="20"/>
  <c r="AF740" i="20"/>
  <c r="AF741" i="20"/>
  <c r="AF742" i="20"/>
  <c r="AF743" i="20"/>
  <c r="AF744" i="20"/>
  <c r="A186" i="4" l="1"/>
  <c r="B185" i="4"/>
  <c r="AF721" i="20"/>
  <c r="AF715" i="20"/>
  <c r="AF707" i="20"/>
  <c r="AF713" i="20"/>
  <c r="AF702" i="20"/>
  <c r="AF718" i="20"/>
  <c r="AF712" i="20"/>
  <c r="AF708" i="20"/>
  <c r="AF705" i="20"/>
  <c r="AF701" i="20"/>
  <c r="AF722" i="20"/>
  <c r="AF709" i="20"/>
  <c r="AF717" i="20"/>
  <c r="AF714" i="20"/>
  <c r="AF711" i="20"/>
  <c r="AF704" i="20"/>
  <c r="AF700" i="20"/>
  <c r="AF719" i="20"/>
  <c r="AF706" i="20"/>
  <c r="AF699" i="20"/>
  <c r="AF720" i="20"/>
  <c r="AF716" i="20"/>
  <c r="AF710" i="20"/>
  <c r="AF703" i="20"/>
  <c r="A187" i="4" l="1"/>
  <c r="B186" i="4"/>
  <c r="AO5" i="23"/>
  <c r="AO6" i="23"/>
  <c r="AO8" i="23"/>
  <c r="AO9" i="23"/>
  <c r="AO10" i="23"/>
  <c r="AO12" i="23"/>
  <c r="AO13" i="23"/>
  <c r="AO14" i="23"/>
  <c r="AO16" i="23"/>
  <c r="AO17" i="23"/>
  <c r="AO18" i="23"/>
  <c r="AO20" i="23"/>
  <c r="AO21" i="23"/>
  <c r="AO22" i="23"/>
  <c r="AO24" i="23"/>
  <c r="AO25" i="23"/>
  <c r="AO26" i="23"/>
  <c r="AO7" i="23"/>
  <c r="AO11" i="23"/>
  <c r="AO15" i="23"/>
  <c r="AO19" i="23"/>
  <c r="AO23" i="23"/>
  <c r="AO27" i="23"/>
  <c r="A188" i="4" l="1"/>
  <c r="B187" i="4"/>
  <c r="AN176" i="23"/>
  <c r="A189" i="4" l="1"/>
  <c r="B188" i="4"/>
  <c r="A190" i="4" l="1"/>
  <c r="B189" i="4"/>
  <c r="AF675" i="20"/>
  <c r="AF676" i="20"/>
  <c r="AF677" i="20"/>
  <c r="AF678" i="20"/>
  <c r="AF679" i="20"/>
  <c r="AF680" i="20"/>
  <c r="AF681" i="20"/>
  <c r="AF682" i="20"/>
  <c r="AF683" i="20"/>
  <c r="AF684" i="20"/>
  <c r="AF685" i="20"/>
  <c r="AF686" i="20"/>
  <c r="AF687" i="20"/>
  <c r="AF688" i="20"/>
  <c r="AF689" i="20"/>
  <c r="AF690" i="20"/>
  <c r="AF691" i="20"/>
  <c r="AF692" i="20"/>
  <c r="AF693" i="20"/>
  <c r="AF694" i="20"/>
  <c r="AF695" i="20"/>
  <c r="AF696" i="20"/>
  <c r="AF698" i="20"/>
  <c r="AO68" i="23"/>
  <c r="AO32" i="23"/>
  <c r="A191" i="4" l="1"/>
  <c r="B190" i="4"/>
  <c r="AF697" i="20"/>
  <c r="AN204" i="23"/>
  <c r="A192" i="4" l="1"/>
  <c r="B191" i="4"/>
  <c r="A193" i="4" l="1"/>
  <c r="B192" i="4"/>
  <c r="AN203" i="23"/>
  <c r="AN201" i="23"/>
  <c r="AN200" i="23"/>
  <c r="AN199" i="23"/>
  <c r="AN198" i="23"/>
  <c r="AN197" i="23"/>
  <c r="AN196" i="23"/>
  <c r="AN195" i="23"/>
  <c r="AN194" i="23"/>
  <c r="AN193" i="23"/>
  <c r="AN192" i="23"/>
  <c r="AN191" i="23"/>
  <c r="AN190" i="23"/>
  <c r="AN189" i="23"/>
  <c r="AN188" i="23"/>
  <c r="AN187" i="23"/>
  <c r="AN186" i="23"/>
  <c r="AN185" i="23"/>
  <c r="AN184" i="23"/>
  <c r="AN183" i="23"/>
  <c r="AN182" i="23"/>
  <c r="AN181" i="23"/>
  <c r="AN180" i="23"/>
  <c r="AN179" i="23"/>
  <c r="AN178" i="23"/>
  <c r="AN177" i="23"/>
  <c r="AN207" i="23" s="1"/>
  <c r="O174" i="23"/>
  <c r="O2" i="23"/>
  <c r="A194" i="4" l="1"/>
  <c r="B193" i="4"/>
  <c r="AO67" i="23"/>
  <c r="AO66" i="23"/>
  <c r="AO65" i="23"/>
  <c r="AO64" i="23"/>
  <c r="AO63" i="23"/>
  <c r="AO62" i="23"/>
  <c r="AO61" i="23"/>
  <c r="AO60" i="23"/>
  <c r="AO59" i="23"/>
  <c r="AO58" i="23"/>
  <c r="AO57" i="23"/>
  <c r="AO56" i="23"/>
  <c r="AO55" i="23"/>
  <c r="AO54" i="23"/>
  <c r="AO53" i="23"/>
  <c r="AO52" i="23"/>
  <c r="AO51" i="23"/>
  <c r="AO50" i="23"/>
  <c r="AO49" i="23"/>
  <c r="AO48" i="23"/>
  <c r="AO47" i="23"/>
  <c r="AO46" i="23"/>
  <c r="AO45" i="23"/>
  <c r="AO44" i="23"/>
  <c r="AO43" i="23"/>
  <c r="AO42" i="23"/>
  <c r="AO41" i="23"/>
  <c r="A195" i="4" l="1"/>
  <c r="B194" i="4"/>
  <c r="AO71" i="23"/>
  <c r="A196" i="4" l="1"/>
  <c r="B195" i="4"/>
  <c r="AO28" i="23"/>
  <c r="AO29" i="23"/>
  <c r="AO30" i="23"/>
  <c r="AO31" i="23"/>
  <c r="A197" i="4" l="1"/>
  <c r="B196" i="4"/>
  <c r="AO35" i="23"/>
  <c r="C4" i="7"/>
  <c r="C5" i="7" s="1"/>
  <c r="C6" i="7" s="1"/>
  <c r="C7" i="7" s="1"/>
  <c r="A198" i="4" l="1"/>
  <c r="B197" i="4"/>
  <c r="C8" i="7"/>
  <c r="A199" i="4" l="1"/>
  <c r="B198" i="4"/>
  <c r="C9" i="7"/>
  <c r="A200" i="4" l="1"/>
  <c r="B199" i="4"/>
  <c r="C10" i="7"/>
  <c r="A201" i="4" l="1"/>
  <c r="B200" i="4"/>
  <c r="C11" i="7"/>
  <c r="A202" i="4" l="1"/>
  <c r="B201" i="4"/>
  <c r="C12" i="7"/>
  <c r="A203" i="4" l="1"/>
  <c r="B202" i="4"/>
  <c r="C13" i="7"/>
  <c r="A204" i="4" l="1"/>
  <c r="B203" i="4"/>
  <c r="C14" i="7"/>
  <c r="A205" i="4" l="1"/>
  <c r="B204" i="4"/>
  <c r="C15" i="7"/>
  <c r="A206" i="4" l="1"/>
  <c r="B205" i="4"/>
  <c r="C16" i="7"/>
  <c r="A207" i="4" l="1"/>
  <c r="B206" i="4"/>
  <c r="C17" i="7"/>
  <c r="A208" i="4" l="1"/>
  <c r="B207" i="4"/>
  <c r="C18" i="7"/>
  <c r="A209" i="4" l="1"/>
  <c r="B208" i="4"/>
  <c r="C19" i="7"/>
  <c r="A210" i="4" l="1"/>
  <c r="B209" i="4"/>
  <c r="C20" i="7"/>
  <c r="A211" i="4" l="1"/>
  <c r="B210" i="4"/>
  <c r="C21" i="7"/>
  <c r="A212" i="4" l="1"/>
  <c r="B211" i="4"/>
  <c r="C22" i="7"/>
  <c r="A213" i="4" l="1"/>
  <c r="B212" i="4"/>
  <c r="C23" i="7"/>
  <c r="A214" i="4" l="1"/>
  <c r="B213" i="4"/>
  <c r="C24" i="7"/>
  <c r="A215" i="4" l="1"/>
  <c r="B214" i="4"/>
  <c r="C25" i="7"/>
  <c r="A216" i="4" l="1"/>
  <c r="B215" i="4"/>
  <c r="C26" i="7"/>
  <c r="A217" i="4" l="1"/>
  <c r="B216" i="4"/>
  <c r="C27" i="7"/>
  <c r="A218" i="4" l="1"/>
  <c r="B217" i="4"/>
  <c r="C28" i="7"/>
  <c r="A219" i="4" l="1"/>
  <c r="B218" i="4"/>
  <c r="C29" i="7"/>
  <c r="A220" i="4" l="1"/>
  <c r="B219" i="4"/>
  <c r="C30" i="7"/>
  <c r="A221" i="4" l="1"/>
  <c r="B220" i="4"/>
  <c r="C31" i="7"/>
  <c r="A222" i="4" l="1"/>
  <c r="B221" i="4"/>
  <c r="C32" i="7"/>
  <c r="A223" i="4" l="1"/>
  <c r="B222" i="4"/>
  <c r="C33" i="7"/>
  <c r="A224" i="4" l="1"/>
  <c r="B223" i="4"/>
  <c r="C34" i="7"/>
  <c r="A225" i="4" l="1"/>
  <c r="B224" i="4"/>
  <c r="C35" i="7"/>
  <c r="A226" i="4" l="1"/>
  <c r="B225" i="4"/>
  <c r="C36" i="7"/>
  <c r="A227" i="4" l="1"/>
  <c r="B226" i="4"/>
  <c r="C37" i="7"/>
  <c r="A228" i="4" l="1"/>
  <c r="B227" i="4"/>
  <c r="C38" i="7"/>
  <c r="A229" i="4" l="1"/>
  <c r="B228" i="4"/>
  <c r="C39" i="7"/>
  <c r="A230" i="4" l="1"/>
  <c r="B229" i="4"/>
  <c r="C40" i="7"/>
  <c r="A231" i="4" l="1"/>
  <c r="B230" i="4"/>
  <c r="C41" i="7"/>
  <c r="A232" i="4" l="1"/>
  <c r="B231" i="4"/>
  <c r="C42" i="7"/>
  <c r="A233" i="4" l="1"/>
  <c r="B232" i="4"/>
  <c r="C43" i="7"/>
  <c r="A234" i="4" l="1"/>
  <c r="B233" i="4"/>
  <c r="C44" i="7"/>
  <c r="A235" i="4" l="1"/>
  <c r="B234" i="4"/>
  <c r="C45" i="7"/>
  <c r="A236" i="4" l="1"/>
  <c r="B235" i="4"/>
  <c r="C46" i="7"/>
  <c r="A237" i="4" l="1"/>
  <c r="B236" i="4"/>
  <c r="C47" i="7"/>
  <c r="A238" i="4" l="1"/>
  <c r="B237" i="4"/>
  <c r="C48" i="7"/>
  <c r="A239" i="4" l="1"/>
  <c r="B238" i="4"/>
  <c r="C49" i="7"/>
  <c r="A240" i="4" l="1"/>
  <c r="B239" i="4"/>
  <c r="C50" i="7"/>
  <c r="A241" i="4" l="1"/>
  <c r="B240" i="4"/>
  <c r="C51" i="7"/>
  <c r="A242" i="4" l="1"/>
  <c r="B241" i="4"/>
  <c r="C52" i="7"/>
  <c r="A243" i="4" l="1"/>
  <c r="B242" i="4"/>
  <c r="C53" i="7"/>
  <c r="A244" i="4" l="1"/>
  <c r="B243" i="4"/>
  <c r="C54" i="7"/>
  <c r="A245" i="4" l="1"/>
  <c r="B244" i="4"/>
  <c r="C55" i="7"/>
  <c r="A246" i="4" l="1"/>
  <c r="B245" i="4"/>
  <c r="C56" i="7"/>
  <c r="A247" i="4" l="1"/>
  <c r="B246" i="4"/>
  <c r="C57" i="7"/>
  <c r="A248" i="4" l="1"/>
  <c r="B247" i="4"/>
  <c r="C58" i="7"/>
  <c r="A249" i="4" l="1"/>
  <c r="B248" i="4"/>
  <c r="C59" i="7"/>
  <c r="A250" i="4" l="1"/>
  <c r="B249" i="4"/>
  <c r="C60" i="7"/>
  <c r="A251" i="4" l="1"/>
  <c r="B250" i="4"/>
  <c r="C61" i="7"/>
  <c r="A252" i="4" l="1"/>
  <c r="B251" i="4"/>
  <c r="C62" i="7"/>
  <c r="A253" i="4" l="1"/>
  <c r="B252" i="4"/>
  <c r="C63" i="7"/>
  <c r="A254" i="4" l="1"/>
  <c r="B253" i="4"/>
  <c r="C64" i="7"/>
  <c r="A255" i="4" l="1"/>
  <c r="B254" i="4"/>
  <c r="C65" i="7"/>
  <c r="A256" i="4" l="1"/>
  <c r="B255" i="4"/>
  <c r="C66" i="7"/>
  <c r="A257" i="4" l="1"/>
  <c r="B256" i="4"/>
  <c r="C67" i="7"/>
  <c r="A258" i="4" l="1"/>
  <c r="B257" i="4"/>
  <c r="C68" i="7"/>
  <c r="A259" i="4" l="1"/>
  <c r="B258" i="4"/>
  <c r="C69" i="7"/>
  <c r="A260" i="4" l="1"/>
  <c r="B259" i="4"/>
  <c r="C70" i="7"/>
  <c r="A261" i="4" l="1"/>
  <c r="B260" i="4"/>
  <c r="C71" i="7"/>
  <c r="A262" i="4" l="1"/>
  <c r="B261" i="4"/>
  <c r="C72" i="7"/>
  <c r="A263" i="4" l="1"/>
  <c r="B262" i="4"/>
  <c r="C73" i="7"/>
  <c r="A264" i="4" l="1"/>
  <c r="B263" i="4"/>
  <c r="C74" i="7"/>
  <c r="A265" i="4" l="1"/>
  <c r="B264" i="4"/>
  <c r="C75" i="7"/>
  <c r="A266" i="4" l="1"/>
  <c r="B265" i="4"/>
  <c r="C76" i="7"/>
  <c r="A267" i="4" l="1"/>
  <c r="B266" i="4"/>
  <c r="C77" i="7"/>
  <c r="A268" i="4" l="1"/>
  <c r="B267" i="4"/>
  <c r="C78" i="7"/>
  <c r="A269" i="4" l="1"/>
  <c r="B268" i="4"/>
  <c r="C79" i="7"/>
  <c r="A270" i="4" l="1"/>
  <c r="B269" i="4"/>
  <c r="C80" i="7"/>
  <c r="A271" i="4" l="1"/>
  <c r="B270" i="4"/>
  <c r="C81" i="7"/>
  <c r="A272" i="4" l="1"/>
  <c r="B271" i="4"/>
  <c r="C82" i="7"/>
  <c r="A273" i="4" l="1"/>
  <c r="B272" i="4"/>
  <c r="C83" i="7"/>
  <c r="A274" i="4" l="1"/>
  <c r="B273" i="4"/>
  <c r="C84" i="7"/>
  <c r="A275" i="4" l="1"/>
  <c r="B274" i="4"/>
  <c r="C85" i="7"/>
  <c r="A276" i="4" l="1"/>
  <c r="B275" i="4"/>
  <c r="C86" i="7"/>
  <c r="A277" i="4" l="1"/>
  <c r="B276" i="4"/>
  <c r="C87" i="7"/>
  <c r="A278" i="4" l="1"/>
  <c r="B277" i="4"/>
  <c r="C88" i="7"/>
  <c r="A279" i="4" l="1"/>
  <c r="B278" i="4"/>
  <c r="C89" i="7"/>
  <c r="A280" i="4" l="1"/>
  <c r="B279" i="4"/>
  <c r="C90" i="7"/>
  <c r="A281" i="4" l="1"/>
  <c r="B280" i="4"/>
  <c r="C91" i="7"/>
  <c r="A282" i="4" l="1"/>
  <c r="B281" i="4"/>
  <c r="C92" i="7"/>
  <c r="A283" i="4" l="1"/>
  <c r="B282" i="4"/>
  <c r="C93" i="7"/>
  <c r="A284" i="4" l="1"/>
  <c r="B283" i="4"/>
  <c r="C94" i="7"/>
  <c r="A285" i="4" l="1"/>
  <c r="B284" i="4"/>
  <c r="C95" i="7"/>
  <c r="A286" i="4" l="1"/>
  <c r="B285" i="4"/>
  <c r="C96" i="7"/>
  <c r="A287" i="4" l="1"/>
  <c r="B286" i="4"/>
  <c r="C97" i="7"/>
  <c r="A288" i="4" l="1"/>
  <c r="B287" i="4"/>
  <c r="C98" i="7"/>
  <c r="A289" i="4" l="1"/>
  <c r="B288" i="4"/>
  <c r="C99" i="7"/>
  <c r="A290" i="4" l="1"/>
  <c r="B289" i="4"/>
  <c r="C100" i="7"/>
  <c r="A291" i="4" l="1"/>
  <c r="B290" i="4"/>
  <c r="C101" i="7"/>
  <c r="A292" i="4" l="1"/>
  <c r="B291" i="4"/>
  <c r="C102" i="7"/>
  <c r="A293" i="4" l="1"/>
  <c r="B292" i="4"/>
  <c r="C103" i="7"/>
  <c r="A294" i="4" l="1"/>
  <c r="B293" i="4"/>
  <c r="C104" i="7"/>
  <c r="A295" i="4" l="1"/>
  <c r="B294" i="4"/>
  <c r="C105" i="7"/>
  <c r="A296" i="4" l="1"/>
  <c r="B295" i="4"/>
  <c r="C106" i="7"/>
  <c r="A297" i="4" l="1"/>
  <c r="B296" i="4"/>
  <c r="C107" i="7"/>
  <c r="A298" i="4" l="1"/>
  <c r="B297" i="4"/>
  <c r="C108" i="7"/>
  <c r="A299" i="4" l="1"/>
  <c r="B298" i="4"/>
  <c r="C109" i="7"/>
  <c r="A300" i="4" l="1"/>
  <c r="B299" i="4"/>
  <c r="C110" i="7"/>
  <c r="A301" i="4" l="1"/>
  <c r="B300" i="4"/>
  <c r="C111" i="7"/>
  <c r="A302" i="4" l="1"/>
  <c r="B301" i="4"/>
  <c r="C112" i="7"/>
  <c r="A303" i="4" l="1"/>
  <c r="B302" i="4"/>
  <c r="C113" i="7"/>
  <c r="A304" i="4" l="1"/>
  <c r="B303" i="4"/>
  <c r="C114" i="7"/>
  <c r="A305" i="4" l="1"/>
  <c r="B304" i="4"/>
  <c r="C115" i="7"/>
  <c r="A306" i="4" l="1"/>
  <c r="B305" i="4"/>
  <c r="C116" i="7"/>
  <c r="A307" i="4" l="1"/>
  <c r="B306" i="4"/>
  <c r="C117" i="7"/>
  <c r="A308" i="4" l="1"/>
  <c r="B307" i="4"/>
  <c r="C118" i="7"/>
  <c r="A309" i="4" l="1"/>
  <c r="B308" i="4"/>
  <c r="C119" i="7"/>
  <c r="A310" i="4" l="1"/>
  <c r="B309" i="4"/>
  <c r="C120" i="7"/>
  <c r="A311" i="4" l="1"/>
  <c r="B310" i="4"/>
  <c r="C121" i="7"/>
  <c r="A312" i="4" l="1"/>
  <c r="B311" i="4"/>
  <c r="C122" i="7"/>
  <c r="A313" i="4" l="1"/>
  <c r="B312" i="4"/>
  <c r="C123" i="7"/>
  <c r="A314" i="4" l="1"/>
  <c r="B313" i="4"/>
  <c r="C124" i="7"/>
  <c r="A315" i="4" l="1"/>
  <c r="B314" i="4"/>
  <c r="C125" i="7"/>
  <c r="A316" i="4" l="1"/>
  <c r="B315" i="4"/>
  <c r="C126" i="7"/>
  <c r="A317" i="4" l="1"/>
  <c r="B316" i="4"/>
  <c r="C127" i="7"/>
  <c r="A318" i="4" l="1"/>
  <c r="B317" i="4"/>
  <c r="C128" i="7"/>
  <c r="A319" i="4" l="1"/>
  <c r="B318" i="4"/>
  <c r="C129" i="7"/>
  <c r="A320" i="4" l="1"/>
  <c r="B319" i="4"/>
  <c r="C130" i="7"/>
  <c r="A321" i="4" l="1"/>
  <c r="B320" i="4"/>
  <c r="C131" i="7"/>
  <c r="A322" i="4" l="1"/>
  <c r="B321" i="4"/>
  <c r="C132" i="7"/>
  <c r="A323" i="4" l="1"/>
  <c r="B322" i="4"/>
  <c r="C133" i="7"/>
  <c r="A324" i="4" l="1"/>
  <c r="B323" i="4"/>
  <c r="C134" i="7"/>
  <c r="A325" i="4" l="1"/>
  <c r="B324" i="4"/>
  <c r="C135" i="7"/>
  <c r="A326" i="4" l="1"/>
  <c r="B325" i="4"/>
  <c r="C136" i="7"/>
  <c r="A327" i="4" l="1"/>
  <c r="B326" i="4"/>
  <c r="C137" i="7"/>
  <c r="A328" i="4" l="1"/>
  <c r="B327" i="4"/>
  <c r="C138" i="7"/>
  <c r="A329" i="4" l="1"/>
  <c r="B328" i="4"/>
  <c r="C139" i="7"/>
  <c r="A330" i="4" l="1"/>
  <c r="B329" i="4"/>
  <c r="C140" i="7"/>
  <c r="A331" i="4" l="1"/>
  <c r="B330" i="4"/>
  <c r="C141" i="7"/>
  <c r="A332" i="4" l="1"/>
  <c r="B331" i="4"/>
  <c r="C142" i="7"/>
  <c r="A333" i="4" l="1"/>
  <c r="B332" i="4"/>
  <c r="C143" i="7"/>
  <c r="A334" i="4" l="1"/>
  <c r="B333" i="4"/>
  <c r="C144" i="7"/>
  <c r="A335" i="4" l="1"/>
  <c r="B334" i="4"/>
  <c r="C145" i="7"/>
  <c r="A336" i="4" l="1"/>
  <c r="B335" i="4"/>
  <c r="C146" i="7"/>
  <c r="A337" i="4" l="1"/>
  <c r="B336" i="4"/>
  <c r="C147" i="7"/>
  <c r="A338" i="4" l="1"/>
  <c r="B337" i="4"/>
  <c r="C148" i="7"/>
  <c r="A339" i="4" l="1"/>
  <c r="B338" i="4"/>
  <c r="C149" i="7"/>
  <c r="A340" i="4" l="1"/>
  <c r="B339" i="4"/>
  <c r="C150" i="7"/>
  <c r="A341" i="4" l="1"/>
  <c r="B340" i="4"/>
  <c r="C151" i="7"/>
  <c r="A342" i="4" l="1"/>
  <c r="B341" i="4"/>
  <c r="C152" i="7"/>
  <c r="A343" i="4" l="1"/>
  <c r="B342" i="4"/>
  <c r="C153" i="7"/>
  <c r="A344" i="4" l="1"/>
  <c r="B343" i="4"/>
  <c r="C154" i="7"/>
  <c r="A345" i="4" l="1"/>
  <c r="B344" i="4"/>
  <c r="C155" i="7"/>
  <c r="A346" i="4" l="1"/>
  <c r="B345" i="4"/>
  <c r="C156" i="7"/>
  <c r="A347" i="4" l="1"/>
  <c r="B346" i="4"/>
  <c r="C157" i="7"/>
  <c r="A348" i="4" l="1"/>
  <c r="B347" i="4"/>
  <c r="C158" i="7"/>
  <c r="A349" i="4" l="1"/>
  <c r="B348" i="4"/>
  <c r="C159" i="7"/>
  <c r="A350" i="4" l="1"/>
  <c r="B349" i="4"/>
  <c r="C160" i="7"/>
  <c r="A351" i="4" l="1"/>
  <c r="B350" i="4"/>
  <c r="C161" i="7"/>
  <c r="A352" i="4" l="1"/>
  <c r="B351" i="4"/>
  <c r="C162" i="7"/>
  <c r="A353" i="4" l="1"/>
  <c r="B352" i="4"/>
  <c r="C163" i="7"/>
  <c r="A354" i="4" l="1"/>
  <c r="B353" i="4"/>
  <c r="C164" i="7"/>
  <c r="A355" i="4" l="1"/>
  <c r="B354" i="4"/>
  <c r="C165" i="7"/>
  <c r="A356" i="4" l="1"/>
  <c r="B355" i="4"/>
  <c r="C166" i="7"/>
  <c r="A357" i="4" l="1"/>
  <c r="B356" i="4"/>
  <c r="C167" i="7"/>
  <c r="A358" i="4" l="1"/>
  <c r="B357" i="4"/>
  <c r="C168" i="7"/>
  <c r="A359" i="4" l="1"/>
  <c r="B358" i="4"/>
  <c r="C169" i="7"/>
  <c r="A360" i="4" l="1"/>
  <c r="B359" i="4"/>
  <c r="C170" i="7"/>
  <c r="A361" i="4" l="1"/>
  <c r="B360" i="4"/>
  <c r="C171" i="7"/>
  <c r="A362" i="4" l="1"/>
  <c r="B361" i="4"/>
  <c r="C172" i="7"/>
  <c r="A363" i="4" l="1"/>
  <c r="B362" i="4"/>
  <c r="C173" i="7"/>
  <c r="A364" i="4" l="1"/>
  <c r="B363" i="4"/>
  <c r="C174" i="7"/>
  <c r="A365" i="4" l="1"/>
  <c r="B364" i="4"/>
  <c r="C175" i="7"/>
  <c r="A366" i="4" l="1"/>
  <c r="B365" i="4"/>
  <c r="C176" i="7"/>
  <c r="A367" i="4" l="1"/>
  <c r="B366" i="4"/>
  <c r="C177" i="7"/>
  <c r="A368" i="4" l="1"/>
  <c r="B367" i="4"/>
  <c r="C178" i="7"/>
  <c r="A369" i="4" l="1"/>
  <c r="B368" i="4"/>
  <c r="C179" i="7"/>
  <c r="A370" i="4" l="1"/>
  <c r="B369" i="4"/>
  <c r="C180" i="7"/>
  <c r="A371" i="4" l="1"/>
  <c r="B370" i="4"/>
  <c r="C181" i="7"/>
  <c r="A372" i="4" l="1"/>
  <c r="B371" i="4"/>
  <c r="C182" i="7"/>
  <c r="A373" i="4" l="1"/>
  <c r="B372" i="4"/>
  <c r="C183" i="7"/>
  <c r="A374" i="4" l="1"/>
  <c r="B373" i="4"/>
  <c r="C184" i="7"/>
  <c r="A375" i="4" l="1"/>
  <c r="B374" i="4"/>
  <c r="C185" i="7"/>
  <c r="A376" i="4" l="1"/>
  <c r="B375" i="4"/>
  <c r="C186" i="7"/>
  <c r="A377" i="4" l="1"/>
  <c r="B376" i="4"/>
  <c r="C187" i="7"/>
  <c r="A378" i="4" l="1"/>
  <c r="B377" i="4"/>
  <c r="C188" i="7"/>
  <c r="A379" i="4" l="1"/>
  <c r="B378" i="4"/>
  <c r="C189" i="7"/>
  <c r="A380" i="4" l="1"/>
  <c r="B379" i="4"/>
  <c r="C190" i="7"/>
  <c r="A381" i="4" l="1"/>
  <c r="B380" i="4"/>
  <c r="C191" i="7"/>
  <c r="A382" i="4" l="1"/>
  <c r="B381" i="4"/>
  <c r="C192" i="7"/>
  <c r="A383" i="4" l="1"/>
  <c r="B382" i="4"/>
  <c r="C193" i="7"/>
  <c r="A384" i="4" l="1"/>
  <c r="B383" i="4"/>
  <c r="C194" i="7"/>
  <c r="A385" i="4" l="1"/>
  <c r="B384" i="4"/>
  <c r="C195" i="7"/>
  <c r="A386" i="4" l="1"/>
  <c r="B385" i="4"/>
  <c r="C196" i="7"/>
  <c r="A387" i="4" l="1"/>
  <c r="B386" i="4"/>
  <c r="C197" i="7"/>
  <c r="A388" i="4" l="1"/>
  <c r="B387" i="4"/>
  <c r="C198" i="7"/>
  <c r="A389" i="4" l="1"/>
  <c r="B388" i="4"/>
  <c r="C199" i="7"/>
  <c r="A390" i="4" l="1"/>
  <c r="B389" i="4"/>
  <c r="C200" i="7"/>
  <c r="A391" i="4" l="1"/>
  <c r="B390" i="4"/>
  <c r="C201" i="7"/>
  <c r="A392" i="4" l="1"/>
  <c r="B391" i="4"/>
  <c r="C202" i="7"/>
  <c r="A393" i="4" l="1"/>
  <c r="B392" i="4"/>
  <c r="C203" i="7"/>
  <c r="A394" i="4" l="1"/>
  <c r="B393" i="4"/>
  <c r="C204" i="7"/>
  <c r="A395" i="4" l="1"/>
  <c r="B394" i="4"/>
  <c r="C205" i="7"/>
  <c r="A396" i="4" l="1"/>
  <c r="B395" i="4"/>
  <c r="C206" i="7"/>
  <c r="A397" i="4" l="1"/>
  <c r="B396" i="4"/>
  <c r="C207" i="7"/>
  <c r="A398" i="4" l="1"/>
  <c r="B397" i="4"/>
  <c r="C208" i="7"/>
  <c r="A399" i="4" l="1"/>
  <c r="B398" i="4"/>
  <c r="C209" i="7"/>
  <c r="A400" i="4" l="1"/>
  <c r="B399" i="4"/>
  <c r="C210" i="7"/>
  <c r="A401" i="4" l="1"/>
  <c r="B400" i="4"/>
  <c r="C211" i="7"/>
  <c r="A402" i="4" l="1"/>
  <c r="B401" i="4"/>
  <c r="C212" i="7"/>
  <c r="A403" i="4" l="1"/>
  <c r="B402" i="4"/>
  <c r="C213" i="7"/>
  <c r="A404" i="4" l="1"/>
  <c r="B403" i="4"/>
  <c r="C214" i="7"/>
  <c r="A405" i="4" l="1"/>
  <c r="B404" i="4"/>
  <c r="C215" i="7"/>
  <c r="A406" i="4" l="1"/>
  <c r="B405" i="4"/>
  <c r="C216" i="7"/>
  <c r="A407" i="4" l="1"/>
  <c r="B406" i="4"/>
  <c r="C217" i="7"/>
  <c r="A408" i="4" l="1"/>
  <c r="B407" i="4"/>
  <c r="C218" i="7"/>
  <c r="A409" i="4" l="1"/>
  <c r="B408" i="4"/>
  <c r="C219" i="7"/>
  <c r="A410" i="4" l="1"/>
  <c r="B409" i="4"/>
  <c r="C220" i="7"/>
  <c r="A411" i="4" l="1"/>
  <c r="B410" i="4"/>
  <c r="C221" i="7"/>
  <c r="A412" i="4" l="1"/>
  <c r="B411" i="4"/>
  <c r="C222" i="7"/>
  <c r="A413" i="4" l="1"/>
  <c r="B412" i="4"/>
  <c r="C223" i="7"/>
  <c r="A414" i="4" l="1"/>
  <c r="B413" i="4"/>
  <c r="C224" i="7"/>
  <c r="A415" i="4" l="1"/>
  <c r="B414" i="4"/>
  <c r="C225" i="7"/>
  <c r="A416" i="4" l="1"/>
  <c r="B415" i="4"/>
  <c r="C226" i="7"/>
  <c r="A417" i="4" l="1"/>
  <c r="B416" i="4"/>
  <c r="C227" i="7"/>
  <c r="A418" i="4" l="1"/>
  <c r="B417" i="4"/>
  <c r="C228" i="7"/>
  <c r="A419" i="4" l="1"/>
  <c r="B418" i="4"/>
  <c r="C229" i="7"/>
  <c r="A420" i="4" l="1"/>
  <c r="B419" i="4"/>
  <c r="C230" i="7"/>
  <c r="A421" i="4" l="1"/>
  <c r="B420" i="4"/>
  <c r="C231" i="7"/>
  <c r="A422" i="4" l="1"/>
  <c r="B421" i="4"/>
  <c r="C232" i="7"/>
  <c r="A423" i="4" l="1"/>
  <c r="B422" i="4"/>
  <c r="C233" i="7"/>
  <c r="A424" i="4" l="1"/>
  <c r="B423" i="4"/>
  <c r="C234" i="7"/>
  <c r="A425" i="4" l="1"/>
  <c r="B424" i="4"/>
  <c r="C235" i="7"/>
  <c r="A426" i="4" l="1"/>
  <c r="B425" i="4"/>
  <c r="C236" i="7"/>
  <c r="A427" i="4" l="1"/>
  <c r="B426" i="4"/>
  <c r="C237" i="7"/>
  <c r="A428" i="4" l="1"/>
  <c r="B427" i="4"/>
  <c r="C238" i="7"/>
  <c r="A429" i="4" l="1"/>
  <c r="B428" i="4"/>
  <c r="C239" i="7"/>
  <c r="A430" i="4" l="1"/>
  <c r="B429" i="4"/>
  <c r="C240" i="7"/>
  <c r="A431" i="4" l="1"/>
  <c r="B430" i="4"/>
  <c r="C241" i="7"/>
  <c r="A432" i="4" l="1"/>
  <c r="B431" i="4"/>
  <c r="C242" i="7"/>
  <c r="A433" i="4" l="1"/>
  <c r="B432" i="4"/>
  <c r="C243" i="7"/>
  <c r="A434" i="4" l="1"/>
  <c r="B433" i="4"/>
  <c r="C244" i="7"/>
  <c r="A435" i="4" l="1"/>
  <c r="B434" i="4"/>
  <c r="C245" i="7"/>
  <c r="A436" i="4" l="1"/>
  <c r="B435" i="4"/>
  <c r="C246" i="7"/>
  <c r="A437" i="4" l="1"/>
  <c r="B436" i="4"/>
  <c r="C247" i="7"/>
  <c r="A438" i="4" l="1"/>
  <c r="B437" i="4"/>
  <c r="C248" i="7"/>
  <c r="A439" i="4" l="1"/>
  <c r="B438" i="4"/>
  <c r="C249" i="7"/>
  <c r="A440" i="4" l="1"/>
  <c r="B439" i="4"/>
  <c r="C250" i="7"/>
  <c r="A441" i="4" l="1"/>
  <c r="B440" i="4"/>
  <c r="C251" i="7"/>
  <c r="A442" i="4" l="1"/>
  <c r="B441" i="4"/>
  <c r="C252" i="7"/>
  <c r="A443" i="4" l="1"/>
  <c r="B442" i="4"/>
  <c r="C253" i="7"/>
  <c r="A444" i="4" l="1"/>
  <c r="B443" i="4"/>
  <c r="C254" i="7"/>
  <c r="A445" i="4" l="1"/>
  <c r="B444" i="4"/>
  <c r="C255" i="7"/>
  <c r="A446" i="4" l="1"/>
  <c r="B445" i="4"/>
  <c r="C256" i="7"/>
  <c r="A447" i="4" l="1"/>
  <c r="B446" i="4"/>
  <c r="C257" i="7"/>
  <c r="A448" i="4" l="1"/>
  <c r="B447" i="4"/>
  <c r="C258" i="7"/>
  <c r="A449" i="4" l="1"/>
  <c r="B448" i="4"/>
  <c r="C259" i="7"/>
  <c r="A450" i="4" l="1"/>
  <c r="B449" i="4"/>
  <c r="C260" i="7"/>
  <c r="A451" i="4" l="1"/>
  <c r="B450" i="4"/>
  <c r="C261" i="7"/>
  <c r="A452" i="4" l="1"/>
  <c r="B451" i="4"/>
  <c r="C262" i="7"/>
  <c r="A453" i="4" l="1"/>
  <c r="B452" i="4"/>
  <c r="C263" i="7"/>
  <c r="A454" i="4" l="1"/>
  <c r="B453" i="4"/>
  <c r="C264" i="7"/>
  <c r="A455" i="4" l="1"/>
  <c r="B454" i="4"/>
  <c r="C265" i="7"/>
  <c r="A456" i="4" l="1"/>
  <c r="B455" i="4"/>
  <c r="C266" i="7"/>
  <c r="A457" i="4" l="1"/>
  <c r="B456" i="4"/>
  <c r="C267" i="7"/>
  <c r="A458" i="4" l="1"/>
  <c r="B457" i="4"/>
  <c r="C268" i="7"/>
  <c r="A459" i="4" l="1"/>
  <c r="B458" i="4"/>
  <c r="C269" i="7"/>
  <c r="A460" i="4" l="1"/>
  <c r="B459" i="4"/>
  <c r="C270" i="7"/>
  <c r="A461" i="4" l="1"/>
  <c r="B460" i="4"/>
  <c r="C271" i="7"/>
  <c r="A462" i="4" l="1"/>
  <c r="B461" i="4"/>
  <c r="C272" i="7"/>
  <c r="A463" i="4" l="1"/>
  <c r="B462" i="4"/>
  <c r="C273" i="7"/>
  <c r="A464" i="4" l="1"/>
  <c r="B463" i="4"/>
  <c r="C274" i="7"/>
  <c r="A465" i="4" l="1"/>
  <c r="B464" i="4"/>
  <c r="C275" i="7"/>
  <c r="A466" i="4" l="1"/>
  <c r="B465" i="4"/>
  <c r="C276" i="7"/>
  <c r="A467" i="4" l="1"/>
  <c r="B466" i="4"/>
  <c r="C277" i="7"/>
  <c r="A468" i="4" l="1"/>
  <c r="B467" i="4"/>
  <c r="C278" i="7"/>
  <c r="A469" i="4" l="1"/>
  <c r="B468" i="4"/>
  <c r="C279" i="7"/>
  <c r="A470" i="4" l="1"/>
  <c r="B469" i="4"/>
  <c r="C280" i="7"/>
  <c r="A471" i="4" l="1"/>
  <c r="B470" i="4"/>
  <c r="C281" i="7"/>
  <c r="A472" i="4" l="1"/>
  <c r="B471" i="4"/>
  <c r="C282" i="7"/>
  <c r="A473" i="4" l="1"/>
  <c r="B472" i="4"/>
  <c r="C283" i="7"/>
  <c r="A474" i="4" l="1"/>
  <c r="B473" i="4"/>
  <c r="C284" i="7"/>
  <c r="A475" i="4" l="1"/>
  <c r="B474" i="4"/>
  <c r="C285" i="7"/>
  <c r="A476" i="4" l="1"/>
  <c r="B475" i="4"/>
  <c r="C286" i="7"/>
  <c r="A477" i="4" l="1"/>
  <c r="B476" i="4"/>
  <c r="C287" i="7"/>
  <c r="A478" i="4" l="1"/>
  <c r="B477" i="4"/>
  <c r="C288" i="7"/>
  <c r="A479" i="4" l="1"/>
  <c r="B478" i="4"/>
  <c r="C289" i="7"/>
  <c r="A480" i="4" l="1"/>
  <c r="B479" i="4"/>
  <c r="C290" i="7"/>
  <c r="A481" i="4" l="1"/>
  <c r="B480" i="4"/>
  <c r="C291" i="7"/>
  <c r="A482" i="4" l="1"/>
  <c r="B481" i="4"/>
  <c r="C292" i="7"/>
  <c r="A483" i="4" l="1"/>
  <c r="B482" i="4"/>
  <c r="C293" i="7"/>
  <c r="A484" i="4" l="1"/>
  <c r="B483" i="4"/>
  <c r="C294" i="7"/>
  <c r="A485" i="4" l="1"/>
  <c r="B484" i="4"/>
  <c r="C295" i="7"/>
  <c r="A486" i="4" l="1"/>
  <c r="B485" i="4"/>
  <c r="C296" i="7"/>
  <c r="A487" i="4" l="1"/>
  <c r="B486" i="4"/>
  <c r="C297" i="7"/>
  <c r="A488" i="4" l="1"/>
  <c r="B487" i="4"/>
  <c r="C298" i="7"/>
  <c r="A489" i="4" l="1"/>
  <c r="B488" i="4"/>
  <c r="C299" i="7"/>
  <c r="A490" i="4" l="1"/>
  <c r="B489" i="4"/>
  <c r="C300" i="7"/>
  <c r="A491" i="4" l="1"/>
  <c r="B490" i="4"/>
  <c r="C301" i="7"/>
  <c r="A492" i="4" l="1"/>
  <c r="B491" i="4"/>
  <c r="C302" i="7"/>
  <c r="A493" i="4" l="1"/>
  <c r="B492" i="4"/>
  <c r="C303" i="7"/>
  <c r="A494" i="4" l="1"/>
  <c r="B493" i="4"/>
  <c r="C304" i="7"/>
  <c r="A495" i="4" l="1"/>
  <c r="B494" i="4"/>
  <c r="C305" i="7"/>
  <c r="A496" i="4" l="1"/>
  <c r="B495" i="4"/>
  <c r="C306" i="7"/>
  <c r="A497" i="4" l="1"/>
  <c r="B496" i="4"/>
  <c r="C307" i="7"/>
  <c r="A498" i="4" l="1"/>
  <c r="B497" i="4"/>
  <c r="C308" i="7"/>
  <c r="A499" i="4" l="1"/>
  <c r="B498" i="4"/>
  <c r="C309" i="7"/>
  <c r="A500" i="4" l="1"/>
  <c r="B499" i="4"/>
  <c r="C310" i="7"/>
  <c r="A501" i="4" l="1"/>
  <c r="B500" i="4"/>
  <c r="C311" i="7"/>
  <c r="A502" i="4" l="1"/>
  <c r="B501" i="4"/>
  <c r="C312" i="7"/>
  <c r="A503" i="4" l="1"/>
  <c r="B502" i="4"/>
  <c r="C313" i="7"/>
  <c r="A504" i="4" l="1"/>
  <c r="B503" i="4"/>
  <c r="C314" i="7"/>
  <c r="A505" i="4" l="1"/>
  <c r="B504" i="4"/>
  <c r="C315" i="7"/>
  <c r="A506" i="4" l="1"/>
  <c r="B505" i="4"/>
  <c r="C316" i="7"/>
  <c r="A507" i="4" l="1"/>
  <c r="B506" i="4"/>
  <c r="C317" i="7"/>
  <c r="A508" i="4" l="1"/>
  <c r="B507" i="4"/>
  <c r="C318" i="7"/>
  <c r="A509" i="4" l="1"/>
  <c r="B508" i="4"/>
  <c r="C319" i="7"/>
  <c r="A510" i="4" l="1"/>
  <c r="B509" i="4"/>
  <c r="C320" i="7"/>
  <c r="A511" i="4" l="1"/>
  <c r="B510" i="4"/>
  <c r="C321" i="7"/>
  <c r="A512" i="4" l="1"/>
  <c r="B511" i="4"/>
  <c r="C322" i="7"/>
  <c r="A513" i="4" l="1"/>
  <c r="B512" i="4"/>
  <c r="C323" i="7"/>
  <c r="A514" i="4" l="1"/>
  <c r="B513" i="4"/>
  <c r="C324" i="7"/>
  <c r="A515" i="4" l="1"/>
  <c r="B514" i="4"/>
  <c r="C325" i="7"/>
  <c r="A516" i="4" l="1"/>
  <c r="B515" i="4"/>
  <c r="C326" i="7"/>
  <c r="A517" i="4" l="1"/>
  <c r="B516" i="4"/>
  <c r="C327" i="7"/>
  <c r="A518" i="4" l="1"/>
  <c r="B517" i="4"/>
  <c r="C328" i="7"/>
  <c r="A519" i="4" l="1"/>
  <c r="B518" i="4"/>
  <c r="C329" i="7"/>
  <c r="A520" i="4" l="1"/>
  <c r="B519" i="4"/>
  <c r="C330" i="7"/>
  <c r="A521" i="4" l="1"/>
  <c r="B520" i="4"/>
  <c r="C331" i="7"/>
  <c r="A522" i="4" l="1"/>
  <c r="B521" i="4"/>
  <c r="C332" i="7"/>
  <c r="A523" i="4" l="1"/>
  <c r="B522" i="4"/>
  <c r="C333" i="7"/>
  <c r="A524" i="4" l="1"/>
  <c r="B523" i="4"/>
  <c r="C334" i="7"/>
  <c r="A525" i="4" l="1"/>
  <c r="B524" i="4"/>
  <c r="C335" i="7"/>
  <c r="A526" i="4" l="1"/>
  <c r="B525" i="4"/>
  <c r="C336" i="7"/>
  <c r="A527" i="4" l="1"/>
  <c r="B526" i="4"/>
  <c r="C337" i="7"/>
  <c r="A528" i="4" l="1"/>
  <c r="B527" i="4"/>
  <c r="C338" i="7"/>
  <c r="A529" i="4" l="1"/>
  <c r="B528" i="4"/>
  <c r="C339" i="7"/>
  <c r="A530" i="4" l="1"/>
  <c r="B529" i="4"/>
  <c r="C340" i="7"/>
  <c r="A531" i="4" l="1"/>
  <c r="B530" i="4"/>
  <c r="C341" i="7"/>
  <c r="A532" i="4" l="1"/>
  <c r="B531" i="4"/>
  <c r="C342" i="7"/>
  <c r="A533" i="4" l="1"/>
  <c r="B532" i="4"/>
  <c r="C343" i="7"/>
  <c r="A534" i="4" l="1"/>
  <c r="B533" i="4"/>
  <c r="C344" i="7"/>
  <c r="A535" i="4" l="1"/>
  <c r="B534" i="4"/>
  <c r="C345" i="7"/>
  <c r="A536" i="4" l="1"/>
  <c r="B535" i="4"/>
  <c r="C346" i="7"/>
  <c r="A537" i="4" l="1"/>
  <c r="B536" i="4"/>
  <c r="C347" i="7"/>
  <c r="A538" i="4" l="1"/>
  <c r="B537" i="4"/>
  <c r="C348" i="7"/>
  <c r="A539" i="4" l="1"/>
  <c r="B538" i="4"/>
  <c r="C349" i="7"/>
  <c r="A540" i="4" l="1"/>
  <c r="B539" i="4"/>
  <c r="C350" i="7"/>
  <c r="A541" i="4" l="1"/>
  <c r="B540" i="4"/>
  <c r="C351" i="7"/>
  <c r="A542" i="4" l="1"/>
  <c r="B541" i="4"/>
  <c r="C352" i="7"/>
  <c r="A543" i="4" l="1"/>
  <c r="B542" i="4"/>
  <c r="C353" i="7"/>
  <c r="A544" i="4" l="1"/>
  <c r="B543" i="4"/>
  <c r="C354" i="7"/>
  <c r="A545" i="4" l="1"/>
  <c r="B544" i="4"/>
  <c r="C355" i="7"/>
  <c r="A546" i="4" l="1"/>
  <c r="B545" i="4"/>
  <c r="C356" i="7"/>
  <c r="A547" i="4" l="1"/>
  <c r="B546" i="4"/>
  <c r="C357" i="7"/>
  <c r="A548" i="4" l="1"/>
  <c r="B547" i="4"/>
  <c r="C358" i="7"/>
  <c r="A549" i="4" l="1"/>
  <c r="B548" i="4"/>
  <c r="C359" i="7"/>
  <c r="A550" i="4" l="1"/>
  <c r="B549" i="4"/>
  <c r="C360" i="7"/>
  <c r="A551" i="4" l="1"/>
  <c r="B550" i="4"/>
  <c r="C361" i="7"/>
  <c r="A552" i="4" l="1"/>
  <c r="B551" i="4"/>
  <c r="C362" i="7"/>
  <c r="A553" i="4" l="1"/>
  <c r="B552" i="4"/>
  <c r="C363" i="7"/>
  <c r="A554" i="4" l="1"/>
  <c r="B553" i="4"/>
  <c r="C364" i="7"/>
  <c r="A555" i="4" l="1"/>
  <c r="B554" i="4"/>
  <c r="C365" i="7"/>
  <c r="A556" i="4" l="1"/>
  <c r="B555" i="4"/>
  <c r="C366" i="7"/>
  <c r="A557" i="4" l="1"/>
  <c r="B556" i="4"/>
  <c r="C367" i="7"/>
  <c r="A558" i="4" l="1"/>
  <c r="B557" i="4"/>
  <c r="C368" i="7"/>
  <c r="A559" i="4" l="1"/>
  <c r="B558" i="4"/>
  <c r="C369" i="7"/>
  <c r="A560" i="4" l="1"/>
  <c r="B559" i="4"/>
  <c r="C370" i="7"/>
  <c r="A561" i="4" l="1"/>
  <c r="B560" i="4"/>
  <c r="C371" i="7"/>
  <c r="A562" i="4" l="1"/>
  <c r="B561" i="4"/>
  <c r="C372" i="7"/>
  <c r="A563" i="4" l="1"/>
  <c r="B562" i="4"/>
  <c r="C373" i="7"/>
  <c r="A564" i="4" l="1"/>
  <c r="B563" i="4"/>
  <c r="C374" i="7"/>
  <c r="A565" i="4" l="1"/>
  <c r="B564" i="4"/>
  <c r="C375" i="7"/>
  <c r="A566" i="4" l="1"/>
  <c r="B565" i="4"/>
  <c r="C376" i="7"/>
  <c r="A567" i="4" l="1"/>
  <c r="B566" i="4"/>
  <c r="C377" i="7"/>
  <c r="A568" i="4" l="1"/>
  <c r="B567" i="4"/>
  <c r="C378" i="7"/>
  <c r="A569" i="4" l="1"/>
  <c r="B568" i="4"/>
  <c r="C379" i="7"/>
  <c r="A570" i="4" l="1"/>
  <c r="B569" i="4"/>
  <c r="C380" i="7"/>
  <c r="A571" i="4" l="1"/>
  <c r="B570" i="4"/>
  <c r="C381" i="7"/>
  <c r="A572" i="4" l="1"/>
  <c r="B571" i="4"/>
  <c r="C382" i="7"/>
  <c r="A573" i="4" l="1"/>
  <c r="B572" i="4"/>
  <c r="C383" i="7"/>
  <c r="A574" i="4" l="1"/>
  <c r="B573" i="4"/>
  <c r="C384" i="7"/>
  <c r="A575" i="4" l="1"/>
  <c r="B574" i="4"/>
  <c r="C385" i="7"/>
  <c r="A576" i="4" l="1"/>
  <c r="B575" i="4"/>
  <c r="C386" i="7"/>
  <c r="A577" i="4" l="1"/>
  <c r="B576" i="4"/>
  <c r="C387" i="7"/>
  <c r="A578" i="4" l="1"/>
  <c r="B577" i="4"/>
  <c r="C388" i="7"/>
  <c r="A579" i="4" l="1"/>
  <c r="B578" i="4"/>
  <c r="C389" i="7"/>
  <c r="A580" i="4" l="1"/>
  <c r="B579" i="4"/>
  <c r="C390" i="7"/>
  <c r="A581" i="4" l="1"/>
  <c r="B580" i="4"/>
  <c r="C391" i="7"/>
  <c r="A582" i="4" l="1"/>
  <c r="B581" i="4"/>
  <c r="C392" i="7"/>
  <c r="A583" i="4" l="1"/>
  <c r="B582" i="4"/>
  <c r="C393" i="7"/>
  <c r="A584" i="4" l="1"/>
  <c r="B583" i="4"/>
  <c r="C394" i="7"/>
  <c r="A585" i="4" l="1"/>
  <c r="B584" i="4"/>
  <c r="C395" i="7"/>
  <c r="A586" i="4" l="1"/>
  <c r="B585" i="4"/>
  <c r="C396" i="7"/>
  <c r="A587" i="4" l="1"/>
  <c r="B586" i="4"/>
  <c r="C397" i="7"/>
  <c r="A588" i="4" l="1"/>
  <c r="B587" i="4"/>
  <c r="C398" i="7"/>
  <c r="A589" i="4" l="1"/>
  <c r="B588" i="4"/>
  <c r="C399" i="7"/>
  <c r="A590" i="4" l="1"/>
  <c r="B589" i="4"/>
  <c r="C400" i="7"/>
  <c r="A591" i="4" l="1"/>
  <c r="B590" i="4"/>
  <c r="C401" i="7"/>
  <c r="A592" i="4" l="1"/>
  <c r="B591" i="4"/>
  <c r="C402" i="7"/>
  <c r="A593" i="4" l="1"/>
  <c r="B592" i="4"/>
  <c r="C403" i="7"/>
  <c r="A594" i="4" l="1"/>
  <c r="B593" i="4"/>
  <c r="C404" i="7"/>
  <c r="A595" i="4" l="1"/>
  <c r="B594" i="4"/>
  <c r="C405" i="7"/>
  <c r="A596" i="4" l="1"/>
  <c r="B595" i="4"/>
  <c r="C406" i="7"/>
  <c r="A597" i="4" l="1"/>
  <c r="B596" i="4"/>
  <c r="C407" i="7"/>
  <c r="A598" i="4" l="1"/>
  <c r="B597" i="4"/>
  <c r="C408" i="7"/>
  <c r="A599" i="4" l="1"/>
  <c r="B598" i="4"/>
  <c r="C409" i="7"/>
  <c r="A600" i="4" l="1"/>
  <c r="B599" i="4"/>
  <c r="C410" i="7"/>
  <c r="A601" i="4" l="1"/>
  <c r="B600" i="4"/>
  <c r="C411" i="7"/>
  <c r="A602" i="4" l="1"/>
  <c r="B601" i="4"/>
  <c r="C412" i="7"/>
  <c r="A603" i="4" l="1"/>
  <c r="B602" i="4"/>
  <c r="C413" i="7"/>
  <c r="A604" i="4" l="1"/>
  <c r="B603" i="4"/>
  <c r="C414" i="7"/>
  <c r="A605" i="4" l="1"/>
  <c r="B604" i="4"/>
  <c r="C415" i="7"/>
  <c r="A606" i="4" l="1"/>
  <c r="B605" i="4"/>
  <c r="C416" i="7"/>
  <c r="A607" i="4" l="1"/>
  <c r="B606" i="4"/>
  <c r="C417" i="7"/>
  <c r="A608" i="4" l="1"/>
  <c r="B607" i="4"/>
  <c r="C418" i="7"/>
  <c r="A609" i="4" l="1"/>
  <c r="B608" i="4"/>
  <c r="C419" i="7"/>
  <c r="A610" i="4" l="1"/>
  <c r="B609" i="4"/>
  <c r="C420" i="7"/>
  <c r="A611" i="4" l="1"/>
  <c r="B610" i="4"/>
  <c r="C421" i="7"/>
  <c r="A612" i="4" l="1"/>
  <c r="B611" i="4"/>
  <c r="C422" i="7"/>
  <c r="A613" i="4" l="1"/>
  <c r="B612" i="4"/>
  <c r="C423" i="7"/>
  <c r="A614" i="4" l="1"/>
  <c r="B613" i="4"/>
  <c r="C424" i="7"/>
  <c r="A615" i="4" l="1"/>
  <c r="B614" i="4"/>
  <c r="C425" i="7"/>
  <c r="A616" i="4" l="1"/>
  <c r="B615" i="4"/>
  <c r="C426" i="7"/>
  <c r="A617" i="4" l="1"/>
  <c r="B616" i="4"/>
  <c r="C427" i="7"/>
  <c r="A618" i="4" l="1"/>
  <c r="B617" i="4"/>
  <c r="C428" i="7"/>
  <c r="A619" i="4" l="1"/>
  <c r="B618" i="4"/>
  <c r="C429" i="7"/>
  <c r="A620" i="4" l="1"/>
  <c r="B619" i="4"/>
  <c r="C430" i="7"/>
  <c r="A621" i="4" l="1"/>
  <c r="B620" i="4"/>
  <c r="C431" i="7"/>
  <c r="A622" i="4" l="1"/>
  <c r="B621" i="4"/>
  <c r="C432" i="7"/>
  <c r="A623" i="4" l="1"/>
  <c r="B622" i="4"/>
  <c r="C433" i="7"/>
  <c r="A624" i="4" l="1"/>
  <c r="B623" i="4"/>
  <c r="C434" i="7"/>
  <c r="A625" i="4" l="1"/>
  <c r="B624" i="4"/>
  <c r="C435" i="7"/>
  <c r="A626" i="4" l="1"/>
  <c r="B625" i="4"/>
  <c r="C436" i="7"/>
  <c r="A627" i="4" l="1"/>
  <c r="B626" i="4"/>
  <c r="C437" i="7"/>
  <c r="A628" i="4" l="1"/>
  <c r="B627" i="4"/>
  <c r="C438" i="7"/>
  <c r="A629" i="4" l="1"/>
  <c r="B628" i="4"/>
  <c r="C439" i="7"/>
  <c r="A630" i="4" l="1"/>
  <c r="B629" i="4"/>
  <c r="C440" i="7"/>
  <c r="A631" i="4" l="1"/>
  <c r="B630" i="4"/>
  <c r="C441" i="7"/>
  <c r="A632" i="4" l="1"/>
  <c r="B631" i="4"/>
  <c r="C442" i="7"/>
  <c r="A633" i="4" l="1"/>
  <c r="B632" i="4"/>
  <c r="C443" i="7"/>
  <c r="A634" i="4" l="1"/>
  <c r="B633" i="4"/>
  <c r="C444" i="7"/>
  <c r="A635" i="4" l="1"/>
  <c r="B634" i="4"/>
  <c r="C445" i="7"/>
  <c r="A636" i="4" l="1"/>
  <c r="B635" i="4"/>
  <c r="C446" i="7"/>
  <c r="A637" i="4" l="1"/>
  <c r="B636" i="4"/>
  <c r="C447" i="7"/>
  <c r="A638" i="4" l="1"/>
  <c r="B637" i="4"/>
  <c r="C448" i="7"/>
  <c r="A639" i="4" l="1"/>
  <c r="B638" i="4"/>
  <c r="C449" i="7"/>
  <c r="A640" i="4" l="1"/>
  <c r="B639" i="4"/>
  <c r="C450" i="7"/>
  <c r="A641" i="4" l="1"/>
  <c r="B640" i="4"/>
  <c r="C451" i="7"/>
  <c r="A642" i="4" l="1"/>
  <c r="B641" i="4"/>
  <c r="C452" i="7"/>
  <c r="A643" i="4" l="1"/>
  <c r="B642" i="4"/>
  <c r="C453" i="7"/>
  <c r="A644" i="4" l="1"/>
  <c r="B643" i="4"/>
  <c r="C454" i="7"/>
  <c r="A645" i="4" l="1"/>
  <c r="B644" i="4"/>
  <c r="C455" i="7"/>
  <c r="A646" i="4" l="1"/>
  <c r="B645" i="4"/>
  <c r="C456" i="7"/>
  <c r="A647" i="4" l="1"/>
  <c r="B646" i="4"/>
  <c r="C457" i="7"/>
  <c r="A648" i="4" l="1"/>
  <c r="B647" i="4"/>
  <c r="C458" i="7"/>
  <c r="A649" i="4" l="1"/>
  <c r="B648" i="4"/>
  <c r="C459" i="7"/>
  <c r="A650" i="4" l="1"/>
  <c r="B649" i="4"/>
  <c r="C460" i="7"/>
  <c r="A651" i="4" l="1"/>
  <c r="B650" i="4"/>
  <c r="C461" i="7"/>
  <c r="A652" i="4" l="1"/>
  <c r="B651" i="4"/>
  <c r="C462" i="7"/>
  <c r="A653" i="4" l="1"/>
  <c r="B652" i="4"/>
  <c r="C463" i="7"/>
  <c r="A654" i="4" l="1"/>
  <c r="B653" i="4"/>
  <c r="C464" i="7"/>
  <c r="A655" i="4" l="1"/>
  <c r="B654" i="4"/>
  <c r="C465" i="7"/>
  <c r="A656" i="4" l="1"/>
  <c r="B655" i="4"/>
  <c r="C466" i="7"/>
  <c r="A657" i="4" l="1"/>
  <c r="B656" i="4"/>
  <c r="C467" i="7"/>
  <c r="A658" i="4" l="1"/>
  <c r="B657" i="4"/>
  <c r="C468" i="7"/>
  <c r="A659" i="4" l="1"/>
  <c r="B658" i="4"/>
  <c r="C469" i="7"/>
  <c r="A660" i="4" l="1"/>
  <c r="B659" i="4"/>
  <c r="C470" i="7"/>
  <c r="A661" i="4" l="1"/>
  <c r="B660" i="4"/>
  <c r="C471" i="7"/>
  <c r="A662" i="4" l="1"/>
  <c r="B661" i="4"/>
  <c r="C472" i="7"/>
  <c r="A663" i="4" l="1"/>
  <c r="B662" i="4"/>
  <c r="C473" i="7"/>
  <c r="A664" i="4" l="1"/>
  <c r="B663" i="4"/>
  <c r="C474" i="7"/>
  <c r="A665" i="4" l="1"/>
  <c r="B664" i="4"/>
  <c r="C475" i="7"/>
  <c r="A666" i="4" l="1"/>
  <c r="B665" i="4"/>
  <c r="C476" i="7"/>
  <c r="A667" i="4" l="1"/>
  <c r="B666" i="4"/>
  <c r="C477" i="7"/>
  <c r="A668" i="4" l="1"/>
  <c r="B667" i="4"/>
  <c r="C478" i="7"/>
  <c r="A669" i="4" l="1"/>
  <c r="B668" i="4"/>
  <c r="C479" i="7"/>
  <c r="A670" i="4" l="1"/>
  <c r="B669" i="4"/>
  <c r="C480" i="7"/>
  <c r="A671" i="4" l="1"/>
  <c r="B670" i="4"/>
  <c r="C481" i="7"/>
  <c r="A672" i="4" l="1"/>
  <c r="B671" i="4"/>
  <c r="C482" i="7"/>
  <c r="A673" i="4" l="1"/>
  <c r="B672" i="4"/>
  <c r="C483" i="7"/>
  <c r="A674" i="4" l="1"/>
  <c r="B673" i="4"/>
  <c r="C484" i="7"/>
  <c r="A675" i="4" l="1"/>
  <c r="B674" i="4"/>
  <c r="C485" i="7"/>
  <c r="A676" i="4" l="1"/>
  <c r="B675" i="4"/>
  <c r="C486" i="7"/>
  <c r="A677" i="4" l="1"/>
  <c r="B676" i="4"/>
  <c r="C487" i="7"/>
  <c r="A678" i="4" l="1"/>
  <c r="B677" i="4"/>
  <c r="C488" i="7"/>
  <c r="B678" i="4" l="1"/>
  <c r="A679" i="4"/>
  <c r="C489" i="7"/>
  <c r="B679" i="4" l="1"/>
  <c r="H679" i="4" s="1"/>
  <c r="A680" i="4"/>
  <c r="G679" i="4"/>
  <c r="C490" i="7"/>
  <c r="A681" i="4" l="1"/>
  <c r="B680" i="4"/>
  <c r="H680" i="4" s="1"/>
  <c r="G680" i="4"/>
  <c r="C491" i="7"/>
  <c r="B681" i="4" l="1"/>
  <c r="H681" i="4" s="1"/>
  <c r="A682" i="4"/>
  <c r="G681" i="4"/>
  <c r="C492" i="7"/>
  <c r="A683" i="4" l="1"/>
  <c r="G682" i="4"/>
  <c r="B682" i="4"/>
  <c r="H682" i="4" s="1"/>
  <c r="C493" i="7"/>
  <c r="B683" i="4" l="1"/>
  <c r="H683" i="4" s="1"/>
  <c r="G683" i="4"/>
  <c r="A684" i="4"/>
  <c r="C494" i="7"/>
  <c r="A685" i="4" l="1"/>
  <c r="G684" i="4"/>
  <c r="B684" i="4"/>
  <c r="H684" i="4" s="1"/>
  <c r="C495" i="7"/>
  <c r="G685" i="4" l="1"/>
  <c r="A686" i="4"/>
  <c r="B685" i="4"/>
  <c r="H685" i="4" s="1"/>
  <c r="C496" i="7"/>
  <c r="A687" i="4" l="1"/>
  <c r="G686" i="4"/>
  <c r="B686" i="4"/>
  <c r="H686" i="4" s="1"/>
  <c r="C497" i="7"/>
  <c r="B687" i="4" l="1"/>
  <c r="H687" i="4" s="1"/>
  <c r="G687" i="4"/>
  <c r="A688" i="4"/>
  <c r="C498" i="7"/>
  <c r="B688" i="4" l="1"/>
  <c r="H688" i="4" s="1"/>
  <c r="G688" i="4"/>
  <c r="A689" i="4"/>
  <c r="C499" i="7"/>
  <c r="G689" i="4" l="1"/>
  <c r="A690" i="4"/>
  <c r="B689" i="4"/>
  <c r="H689" i="4" s="1"/>
  <c r="C500" i="7"/>
  <c r="A691" i="4" l="1"/>
  <c r="G690" i="4"/>
  <c r="B690" i="4"/>
  <c r="H690" i="4" s="1"/>
  <c r="C501" i="7"/>
  <c r="A692" i="4" l="1"/>
  <c r="B691" i="4"/>
  <c r="H691" i="4" s="1"/>
  <c r="G691" i="4"/>
  <c r="C502" i="7"/>
  <c r="G692" i="4" l="1"/>
  <c r="A693" i="4"/>
  <c r="B692" i="4"/>
  <c r="H692" i="4" s="1"/>
  <c r="C503" i="7"/>
  <c r="A694" i="4" l="1"/>
  <c r="B693" i="4"/>
  <c r="H693" i="4" s="1"/>
  <c r="G693" i="4"/>
  <c r="C504" i="7"/>
  <c r="A695" i="4" l="1"/>
  <c r="B694" i="4"/>
  <c r="H694" i="4" s="1"/>
  <c r="G694" i="4"/>
  <c r="C505" i="7"/>
  <c r="B695" i="4" l="1"/>
  <c r="H695" i="4" s="1"/>
  <c r="G695" i="4"/>
  <c r="A696" i="4"/>
  <c r="C506" i="7"/>
  <c r="B696" i="4" l="1"/>
  <c r="H696" i="4" s="1"/>
  <c r="A697" i="4"/>
  <c r="G696" i="4"/>
  <c r="C507" i="7"/>
  <c r="G697" i="4" l="1"/>
  <c r="A698" i="4"/>
  <c r="B697" i="4"/>
  <c r="H697" i="4" s="1"/>
  <c r="C508" i="7"/>
  <c r="A699" i="4" l="1"/>
  <c r="B698" i="4"/>
  <c r="H698" i="4" s="1"/>
  <c r="G698" i="4"/>
  <c r="C509" i="7"/>
  <c r="B699" i="4" l="1"/>
  <c r="H699" i="4" s="1"/>
  <c r="G699" i="4"/>
  <c r="A700" i="4"/>
  <c r="C510" i="7"/>
  <c r="G700" i="4" l="1"/>
  <c r="A701" i="4"/>
  <c r="B700" i="4"/>
  <c r="H700" i="4" s="1"/>
  <c r="C511" i="7"/>
  <c r="B701" i="4" l="1"/>
  <c r="H701" i="4" s="1"/>
  <c r="A702" i="4"/>
  <c r="G701" i="4"/>
  <c r="C512" i="7"/>
  <c r="A703" i="4" l="1"/>
  <c r="G702" i="4"/>
  <c r="B702" i="4"/>
  <c r="H702" i="4" s="1"/>
  <c r="C513" i="7"/>
  <c r="B703" i="4" l="1"/>
  <c r="H703" i="4" s="1"/>
  <c r="G703" i="4"/>
  <c r="A704" i="4"/>
  <c r="C514" i="7"/>
  <c r="B704" i="4" l="1"/>
  <c r="H704" i="4" s="1"/>
  <c r="A705" i="4"/>
  <c r="G704" i="4"/>
  <c r="C515" i="7"/>
  <c r="G705" i="4" l="1"/>
  <c r="A706" i="4"/>
  <c r="B705" i="4"/>
  <c r="H705" i="4" s="1"/>
  <c r="C516" i="7"/>
  <c r="A707" i="4" l="1"/>
  <c r="B706" i="4"/>
  <c r="H706" i="4" s="1"/>
  <c r="G706" i="4"/>
  <c r="C517" i="7"/>
  <c r="G707" i="4" l="1"/>
  <c r="A708" i="4"/>
  <c r="B707" i="4"/>
  <c r="H707" i="4" s="1"/>
  <c r="C518" i="7"/>
  <c r="G708" i="4" l="1"/>
  <c r="A709" i="4"/>
  <c r="B708" i="4"/>
  <c r="H708" i="4" s="1"/>
  <c r="C519" i="7"/>
  <c r="A710" i="4" l="1"/>
  <c r="B709" i="4"/>
  <c r="H709" i="4" s="1"/>
  <c r="G709" i="4"/>
  <c r="C520" i="7"/>
  <c r="A711" i="4" l="1"/>
  <c r="G710" i="4"/>
  <c r="B710" i="4"/>
  <c r="H710" i="4" s="1"/>
  <c r="C521" i="7"/>
  <c r="B711" i="4" l="1"/>
  <c r="H711" i="4" s="1"/>
  <c r="A712" i="4"/>
  <c r="G711" i="4"/>
  <c r="C522" i="7"/>
  <c r="A713" i="4" l="1"/>
  <c r="G712" i="4"/>
  <c r="B712" i="4"/>
  <c r="H712" i="4" s="1"/>
  <c r="C523" i="7"/>
  <c r="G713" i="4" l="1"/>
  <c r="A714" i="4"/>
  <c r="B713" i="4"/>
  <c r="H713" i="4" s="1"/>
  <c r="C524" i="7"/>
  <c r="B714" i="4" l="1"/>
  <c r="H714" i="4" s="1"/>
  <c r="G714" i="4"/>
  <c r="A715" i="4"/>
  <c r="C525" i="7"/>
  <c r="B715" i="4" l="1"/>
  <c r="H715" i="4" s="1"/>
  <c r="G715" i="4"/>
  <c r="A716" i="4"/>
  <c r="C526" i="7"/>
  <c r="A717" i="4" l="1"/>
  <c r="G716" i="4"/>
  <c r="B716" i="4"/>
  <c r="H716" i="4" s="1"/>
  <c r="C527" i="7"/>
  <c r="G717" i="4" l="1"/>
  <c r="B717" i="4"/>
  <c r="H717" i="4" s="1"/>
  <c r="A718" i="4"/>
  <c r="C528" i="7"/>
  <c r="A719" i="4" l="1"/>
  <c r="B718" i="4"/>
  <c r="H718" i="4" s="1"/>
  <c r="G718" i="4"/>
  <c r="C529" i="7"/>
  <c r="A720" i="4" l="1"/>
  <c r="B719" i="4"/>
  <c r="H719" i="4" s="1"/>
  <c r="G719" i="4"/>
  <c r="C530" i="7"/>
  <c r="B720" i="4" l="1"/>
  <c r="H720" i="4" s="1"/>
  <c r="G720" i="4"/>
  <c r="A721" i="4"/>
  <c r="C531" i="7"/>
  <c r="G721" i="4" l="1"/>
  <c r="B721" i="4"/>
  <c r="H721" i="4" s="1"/>
  <c r="A722" i="4"/>
  <c r="C532" i="7"/>
  <c r="G722" i="4" l="1"/>
  <c r="B722" i="4"/>
  <c r="H722" i="4" s="1"/>
  <c r="A723" i="4"/>
  <c r="C533" i="7"/>
  <c r="A724" i="4" l="1"/>
  <c r="B723" i="4"/>
  <c r="H723" i="4" s="1"/>
  <c r="G723" i="4"/>
  <c r="C534" i="7"/>
  <c r="A725" i="4" l="1"/>
  <c r="B724" i="4"/>
  <c r="H724" i="4" s="1"/>
  <c r="G724" i="4"/>
  <c r="C535" i="7"/>
  <c r="G725" i="4" l="1"/>
  <c r="A726" i="4"/>
  <c r="B725" i="4"/>
  <c r="H725" i="4" s="1"/>
  <c r="C536" i="7"/>
  <c r="B726" i="4" l="1"/>
  <c r="H726" i="4" s="1"/>
  <c r="G726" i="4"/>
  <c r="C537" i="7"/>
  <c r="C538" i="7" l="1"/>
  <c r="C539" i="7" l="1"/>
  <c r="C540" i="7" l="1"/>
  <c r="C541" i="7" l="1"/>
  <c r="C542" i="7" l="1"/>
  <c r="C543" i="7" l="1"/>
  <c r="C544" i="7" l="1"/>
  <c r="C545" i="7" l="1"/>
  <c r="C546" i="7" l="1"/>
  <c r="C547" i="7" l="1"/>
  <c r="C548" i="7" l="1"/>
  <c r="C549" i="7" l="1"/>
  <c r="C550" i="7" l="1"/>
  <c r="C551" i="7" l="1"/>
  <c r="C552" i="7" l="1"/>
  <c r="C553" i="7" l="1"/>
  <c r="C554" i="7" l="1"/>
  <c r="C555" i="7" l="1"/>
  <c r="C556" i="7" l="1"/>
  <c r="C557" i="7" l="1"/>
  <c r="C558" i="7" l="1"/>
  <c r="C559" i="7" l="1"/>
  <c r="C560" i="7" l="1"/>
  <c r="C561" i="7" l="1"/>
  <c r="C562" i="7" l="1"/>
  <c r="C563" i="7" l="1"/>
  <c r="C564" i="7" l="1"/>
  <c r="C565" i="7" l="1"/>
  <c r="C566" i="7" l="1"/>
  <c r="C567" i="7" l="1"/>
  <c r="C568" i="7" l="1"/>
  <c r="C569" i="7" l="1"/>
  <c r="C570" i="7" l="1"/>
  <c r="C571" i="7" l="1"/>
  <c r="C572" i="7" l="1"/>
  <c r="C573" i="7" l="1"/>
  <c r="C574" i="7" l="1"/>
  <c r="C575" i="7" l="1"/>
  <c r="C576" i="7" l="1"/>
  <c r="C577" i="7" l="1"/>
  <c r="C578" i="7" l="1"/>
  <c r="C579" i="7" l="1"/>
  <c r="C580" i="7" l="1"/>
  <c r="C581" i="7" l="1"/>
  <c r="C582" i="7" l="1"/>
  <c r="C583" i="7" l="1"/>
  <c r="C584" i="7" l="1"/>
  <c r="C585" i="7" l="1"/>
  <c r="C586" i="7" l="1"/>
  <c r="C587" i="7" l="1"/>
  <c r="C588" i="7" l="1"/>
  <c r="C589" i="7" l="1"/>
  <c r="C590" i="7" l="1"/>
  <c r="C591" i="7" l="1"/>
  <c r="C592" i="7" l="1"/>
  <c r="C593" i="7" l="1"/>
  <c r="C594" i="7" l="1"/>
  <c r="C595" i="7" l="1"/>
  <c r="C596" i="7" l="1"/>
  <c r="C597" i="7" l="1"/>
  <c r="C598" i="7" l="1"/>
  <c r="C599" i="7" l="1"/>
  <c r="C600" i="7" l="1"/>
  <c r="C601" i="7" l="1"/>
  <c r="C602" i="7" l="1"/>
  <c r="C603" i="7" l="1"/>
  <c r="C604" i="7" l="1"/>
  <c r="C605" i="7" l="1"/>
  <c r="C606" i="7" l="1"/>
  <c r="C607" i="7" l="1"/>
  <c r="C608" i="7" l="1"/>
  <c r="C609" i="7" l="1"/>
  <c r="C610" i="7" l="1"/>
  <c r="C611" i="7" l="1"/>
  <c r="C612" i="7" l="1"/>
  <c r="C613" i="7" l="1"/>
  <c r="C614" i="7" l="1"/>
  <c r="C615" i="7" l="1"/>
  <c r="C616" i="7" l="1"/>
  <c r="C617" i="7" l="1"/>
  <c r="C618" i="7" l="1"/>
  <c r="C619" i="7" l="1"/>
  <c r="C620" i="7" l="1"/>
  <c r="C621" i="7" l="1"/>
  <c r="C622" i="7" l="1"/>
  <c r="C623" i="7" l="1"/>
  <c r="C624" i="7" l="1"/>
  <c r="C625" i="7" l="1"/>
  <c r="C626" i="7" l="1"/>
  <c r="C627" i="7" l="1"/>
  <c r="C628" i="7" l="1"/>
  <c r="C629" i="7" l="1"/>
  <c r="C630" i="7" l="1"/>
  <c r="C631" i="7" l="1"/>
  <c r="C632" i="7" l="1"/>
  <c r="C633" i="7" l="1"/>
  <c r="C634" i="7" l="1"/>
  <c r="C635" i="7" l="1"/>
  <c r="C636" i="7" l="1"/>
  <c r="C637" i="7" l="1"/>
  <c r="C638" i="7" l="1"/>
  <c r="C639" i="7" l="1"/>
  <c r="C640" i="7" l="1"/>
  <c r="C641" i="7" l="1"/>
  <c r="C642" i="7" l="1"/>
  <c r="C643" i="7" l="1"/>
  <c r="C644" i="7" l="1"/>
  <c r="C645" i="7" l="1"/>
  <c r="C646" i="7" l="1"/>
  <c r="C647" i="7" l="1"/>
  <c r="C648" i="7" l="1"/>
  <c r="C649" i="7" l="1"/>
  <c r="C650" i="7" l="1"/>
  <c r="C651" i="7" l="1"/>
  <c r="C652" i="7" l="1"/>
  <c r="C653" i="7" l="1"/>
  <c r="C654" i="7" l="1"/>
  <c r="C655" i="7" l="1"/>
  <c r="C656" i="7" l="1"/>
  <c r="C657" i="7" l="1"/>
  <c r="C658" i="7" l="1"/>
  <c r="C659" i="7" l="1"/>
  <c r="C660" i="7" l="1"/>
  <c r="C661" i="7" l="1"/>
  <c r="C662" i="7" l="1"/>
  <c r="C663" i="7" l="1"/>
  <c r="C664" i="7" l="1"/>
  <c r="C665" i="7" l="1"/>
  <c r="C666" i="7" l="1"/>
  <c r="C667" i="7" l="1"/>
  <c r="C668" i="7" l="1"/>
  <c r="C669" i="7" l="1"/>
  <c r="C670" i="7" l="1"/>
  <c r="C671" i="7" l="1"/>
  <c r="C672" i="7" l="1"/>
  <c r="C673" i="7" l="1"/>
  <c r="C674" i="7" l="1"/>
  <c r="B4" i="23" l="1"/>
  <c r="D4" i="23" l="1"/>
  <c r="B5" i="23"/>
  <c r="D5" i="23" l="1"/>
  <c r="B6" i="23"/>
  <c r="D6" i="23" l="1"/>
  <c r="B7" i="23"/>
  <c r="D7" i="23" l="1"/>
  <c r="B8" i="23"/>
  <c r="D8" i="23" l="1"/>
  <c r="B9" i="23"/>
  <c r="D9" i="23" l="1"/>
  <c r="B10" i="23"/>
  <c r="D10" i="23" l="1"/>
  <c r="B11" i="23"/>
  <c r="AF1" i="20"/>
  <c r="AE1" i="20"/>
  <c r="AD1" i="20"/>
  <c r="AC1" i="20"/>
  <c r="AB1" i="20"/>
  <c r="AA1" i="20"/>
  <c r="T5" i="14"/>
  <c r="Q5" i="14"/>
  <c r="N5" i="14"/>
  <c r="K5" i="14"/>
  <c r="H5" i="14"/>
  <c r="E5" i="14"/>
  <c r="D11" i="23" l="1"/>
  <c r="B12" i="23"/>
  <c r="D12" i="23" l="1"/>
  <c r="B13" i="23"/>
  <c r="D13" i="23" l="1"/>
  <c r="B14" i="23"/>
  <c r="D14" i="23" l="1"/>
  <c r="B15" i="23"/>
  <c r="D15" i="23" l="1"/>
  <c r="B16" i="23"/>
  <c r="D16" i="23" l="1"/>
  <c r="B17" i="23"/>
  <c r="D17" i="23" l="1"/>
  <c r="B18" i="23"/>
  <c r="D18" i="23" l="1"/>
  <c r="B19" i="23"/>
  <c r="D19" i="23" l="1"/>
  <c r="B20" i="23"/>
  <c r="D20" i="23" l="1"/>
  <c r="B21" i="23"/>
  <c r="D21" i="23" l="1"/>
  <c r="B22" i="23"/>
  <c r="D22" i="23" l="1"/>
  <c r="B23" i="23"/>
  <c r="D23" i="23" l="1"/>
  <c r="B24" i="23"/>
  <c r="D24" i="23" l="1"/>
  <c r="B25" i="23"/>
  <c r="D25" i="23" l="1"/>
  <c r="B26" i="23"/>
  <c r="D26" i="23" l="1"/>
  <c r="B27" i="23"/>
  <c r="D27" i="23" l="1"/>
  <c r="B28" i="23"/>
  <c r="D28" i="23" l="1"/>
  <c r="B29" i="23"/>
  <c r="D29" i="23" l="1"/>
  <c r="B30" i="23"/>
  <c r="D30" i="23" l="1"/>
  <c r="B31" i="23"/>
  <c r="D31" i="23" l="1"/>
  <c r="B32" i="23"/>
  <c r="D32" i="23" l="1"/>
  <c r="B33" i="23"/>
  <c r="D33" i="23" l="1"/>
  <c r="B34" i="23"/>
  <c r="D34" i="23" l="1"/>
  <c r="B35" i="23"/>
  <c r="D35" i="23" l="1"/>
  <c r="B36" i="23"/>
  <c r="D36" i="23" l="1"/>
  <c r="B37" i="23"/>
  <c r="D37" i="23" l="1"/>
  <c r="B38" i="23"/>
  <c r="D38" i="23" l="1"/>
  <c r="B39" i="23"/>
  <c r="D39" i="23" l="1"/>
  <c r="B40" i="23"/>
  <c r="D40" i="23" l="1"/>
  <c r="B41" i="23"/>
  <c r="D41" i="23" l="1"/>
  <c r="B42" i="23"/>
  <c r="D42" i="23" l="1"/>
  <c r="B43" i="23"/>
  <c r="D43" i="23" l="1"/>
  <c r="B44" i="23"/>
  <c r="D44" i="23" l="1"/>
  <c r="B45" i="23"/>
  <c r="D45" i="23" l="1"/>
  <c r="B46" i="23"/>
  <c r="D46" i="23" l="1"/>
  <c r="B47" i="23"/>
  <c r="D47" i="23" l="1"/>
  <c r="B48" i="23"/>
  <c r="D48" i="23" l="1"/>
  <c r="B49" i="23"/>
  <c r="D49" i="23" l="1"/>
  <c r="B50" i="23"/>
  <c r="D50" i="23" l="1"/>
  <c r="B51" i="23"/>
  <c r="D51" i="23" l="1"/>
  <c r="B52" i="23"/>
  <c r="D52" i="23" l="1"/>
  <c r="B53" i="23"/>
  <c r="D53" i="23" l="1"/>
  <c r="B54" i="23"/>
  <c r="D54" i="23" l="1"/>
  <c r="B55" i="23"/>
  <c r="D55" i="23" l="1"/>
  <c r="B56" i="23"/>
  <c r="D56" i="23" l="1"/>
  <c r="B57" i="23"/>
  <c r="D57" i="23" l="1"/>
  <c r="B58" i="23"/>
  <c r="D58" i="23" l="1"/>
  <c r="B59" i="23"/>
  <c r="D59" i="23" l="1"/>
  <c r="B60" i="23"/>
  <c r="D60" i="23" l="1"/>
  <c r="B61" i="23"/>
  <c r="D61" i="23" l="1"/>
  <c r="B62" i="23"/>
  <c r="D62" i="23" l="1"/>
  <c r="B63" i="23"/>
  <c r="D63" i="23" l="1"/>
  <c r="B64" i="23"/>
  <c r="D64" i="23" l="1"/>
  <c r="B65" i="23"/>
  <c r="D65" i="23" l="1"/>
  <c r="B66" i="23"/>
  <c r="D66" i="23" l="1"/>
  <c r="B67" i="23"/>
  <c r="D67" i="23" l="1"/>
  <c r="B68" i="23"/>
  <c r="D68" i="23" l="1"/>
  <c r="B69" i="23"/>
  <c r="D69" i="23" l="1"/>
  <c r="B70" i="23"/>
  <c r="D70" i="23" l="1"/>
  <c r="B71" i="23"/>
  <c r="D71" i="23" l="1"/>
  <c r="B72" i="23"/>
  <c r="D72" i="23" l="1"/>
  <c r="B73" i="23"/>
  <c r="D73" i="23" l="1"/>
  <c r="B74" i="23"/>
  <c r="D74" i="23" l="1"/>
  <c r="B75" i="23"/>
  <c r="D75" i="23" l="1"/>
  <c r="B76" i="23"/>
  <c r="D76" i="23" l="1"/>
  <c r="B77" i="23"/>
  <c r="D77" i="23" l="1"/>
  <c r="B78" i="23"/>
  <c r="D78" i="23" l="1"/>
  <c r="B79" i="23"/>
  <c r="D79" i="23" l="1"/>
  <c r="B80" i="23"/>
  <c r="D80" i="23" l="1"/>
  <c r="B81" i="23"/>
  <c r="D81" i="23" l="1"/>
  <c r="B82" i="23"/>
  <c r="D82" i="23" l="1"/>
  <c r="B83" i="23"/>
  <c r="D83" i="23" l="1"/>
  <c r="B84" i="23"/>
  <c r="D84" i="23" l="1"/>
  <c r="B85" i="23"/>
  <c r="D85" i="23" l="1"/>
  <c r="B86" i="23"/>
  <c r="D86" i="23" l="1"/>
  <c r="B87" i="23"/>
  <c r="D87" i="23" l="1"/>
  <c r="B88" i="23"/>
  <c r="D88" i="23" l="1"/>
  <c r="B89" i="23"/>
  <c r="D89" i="23" l="1"/>
  <c r="B90" i="23"/>
  <c r="D90" i="23" l="1"/>
  <c r="B91" i="23"/>
  <c r="D91" i="23" l="1"/>
  <c r="B92" i="23"/>
  <c r="D92" i="23" l="1"/>
  <c r="B93" i="23"/>
  <c r="D93" i="23" l="1"/>
  <c r="B94" i="23"/>
  <c r="D94" i="23" l="1"/>
  <c r="B95" i="23"/>
  <c r="D95" i="23" l="1"/>
  <c r="B96" i="23"/>
  <c r="D96" i="23" l="1"/>
  <c r="B97" i="23"/>
  <c r="D97" i="23" l="1"/>
  <c r="B98" i="23"/>
  <c r="D98" i="23" l="1"/>
  <c r="B99" i="23"/>
  <c r="D99" i="23" l="1"/>
  <c r="B100" i="23"/>
  <c r="D100" i="23" l="1"/>
  <c r="B101" i="23"/>
  <c r="D101" i="23" l="1"/>
  <c r="B102" i="23"/>
  <c r="D102" i="23" l="1"/>
  <c r="B103" i="23"/>
  <c r="D103" i="23" l="1"/>
  <c r="B104" i="23"/>
  <c r="D104" i="23" l="1"/>
  <c r="B105" i="23"/>
  <c r="D105" i="23" l="1"/>
  <c r="B106" i="23"/>
  <c r="D106" i="23" l="1"/>
  <c r="B107" i="23"/>
  <c r="D107" i="23" l="1"/>
  <c r="B108" i="23"/>
  <c r="D108" i="23" l="1"/>
  <c r="B109" i="23"/>
  <c r="D109" i="23" l="1"/>
  <c r="B110" i="23"/>
  <c r="D110" i="23" l="1"/>
  <c r="B111" i="23"/>
  <c r="D111" i="23" l="1"/>
  <c r="B112" i="23"/>
  <c r="D112" i="23" l="1"/>
  <c r="B113" i="23"/>
  <c r="D113" i="23" l="1"/>
  <c r="B114" i="23"/>
  <c r="D114" i="23" l="1"/>
  <c r="B115" i="23"/>
  <c r="D115" i="23" l="1"/>
  <c r="B116" i="23"/>
  <c r="D116" i="23" l="1"/>
  <c r="B117" i="23"/>
  <c r="D117" i="23" l="1"/>
  <c r="B118" i="23"/>
  <c r="D118" i="23" l="1"/>
  <c r="B119" i="23"/>
  <c r="D119" i="23" l="1"/>
  <c r="B120" i="23"/>
  <c r="D120" i="23" l="1"/>
  <c r="B121" i="23"/>
  <c r="D121" i="23" l="1"/>
  <c r="B122" i="23"/>
  <c r="D122" i="23" l="1"/>
  <c r="B123" i="23"/>
  <c r="D123" i="23" l="1"/>
  <c r="B124" i="23"/>
  <c r="D124" i="23" l="1"/>
  <c r="B125" i="23"/>
  <c r="D125" i="23" l="1"/>
  <c r="B126" i="23"/>
  <c r="D126" i="23" l="1"/>
  <c r="B127" i="23"/>
  <c r="D127" i="23" l="1"/>
  <c r="B128" i="23"/>
  <c r="D128" i="23" l="1"/>
  <c r="B129" i="23"/>
  <c r="D129" i="23" l="1"/>
  <c r="B130" i="23"/>
  <c r="D130" i="23" l="1"/>
  <c r="B131" i="23"/>
  <c r="D131" i="23" l="1"/>
  <c r="B132" i="23"/>
  <c r="D132" i="23" l="1"/>
  <c r="B133" i="23"/>
  <c r="D133" i="23" l="1"/>
  <c r="B134" i="23"/>
  <c r="D134" i="23" l="1"/>
  <c r="B135" i="23"/>
  <c r="D135" i="23" l="1"/>
  <c r="B136" i="23"/>
  <c r="D136" i="23" l="1"/>
  <c r="B137" i="23"/>
  <c r="D137" i="23" l="1"/>
  <c r="B138" i="23"/>
  <c r="D138" i="23" l="1"/>
  <c r="B139" i="23"/>
  <c r="D139" i="23" l="1"/>
  <c r="B140" i="23"/>
  <c r="D140" i="23" l="1"/>
  <c r="B141" i="23"/>
  <c r="D141" i="23" l="1"/>
  <c r="B142" i="23"/>
  <c r="D142" i="23" l="1"/>
  <c r="B143" i="23"/>
  <c r="D143" i="23" l="1"/>
  <c r="B144" i="23"/>
  <c r="D144" i="23" l="1"/>
  <c r="B145" i="23"/>
  <c r="D145" i="23" l="1"/>
  <c r="B146" i="23"/>
  <c r="D146" i="23" l="1"/>
  <c r="B147" i="23"/>
  <c r="D147" i="23" l="1"/>
  <c r="B148" i="23"/>
  <c r="D148" i="23" l="1"/>
  <c r="B149" i="23"/>
  <c r="D149" i="23" l="1"/>
  <c r="B150" i="23"/>
  <c r="D150" i="23" l="1"/>
  <c r="B151" i="23"/>
  <c r="D151" i="23" l="1"/>
  <c r="B152" i="23"/>
  <c r="D152" i="23" l="1"/>
  <c r="B153" i="23"/>
  <c r="D153" i="23" l="1"/>
  <c r="B154" i="23"/>
  <c r="D154" i="23" l="1"/>
  <c r="B155" i="23"/>
  <c r="D155" i="23" l="1"/>
  <c r="B156" i="23"/>
  <c r="D156" i="23" l="1"/>
  <c r="B157" i="23"/>
  <c r="D157" i="23" l="1"/>
  <c r="B158" i="23"/>
  <c r="D158" i="23" l="1"/>
  <c r="B159" i="23"/>
  <c r="D159" i="23" l="1"/>
  <c r="B160" i="23"/>
  <c r="D160" i="23" l="1"/>
  <c r="B161" i="23"/>
  <c r="D161" i="23" l="1"/>
  <c r="B162" i="23"/>
  <c r="D162" i="23" l="1"/>
  <c r="B163" i="23"/>
  <c r="D163" i="23" l="1"/>
  <c r="B164" i="23"/>
  <c r="D164" i="23" l="1"/>
  <c r="B165" i="23"/>
  <c r="D165" i="23" l="1"/>
  <c r="B166" i="23"/>
  <c r="D166" i="23" l="1"/>
  <c r="B167" i="23"/>
  <c r="D167" i="23" l="1"/>
  <c r="B168" i="23"/>
  <c r="D168" i="23" l="1"/>
  <c r="B169" i="23"/>
  <c r="D169" i="23" l="1"/>
  <c r="B170" i="23"/>
  <c r="D170" i="23" l="1"/>
  <c r="B171" i="23"/>
  <c r="D171" i="23" l="1"/>
  <c r="B172" i="23"/>
  <c r="D172" i="23" l="1"/>
  <c r="B173" i="23"/>
  <c r="D173" i="23" l="1"/>
  <c r="B174" i="23"/>
  <c r="D174" i="23" l="1"/>
  <c r="B175" i="23"/>
  <c r="D175" i="23" l="1"/>
  <c r="B176" i="23"/>
  <c r="D176" i="23" l="1"/>
  <c r="B177" i="23"/>
  <c r="D177" i="23" l="1"/>
  <c r="B178" i="23"/>
  <c r="D178" i="23" l="1"/>
  <c r="B179" i="23"/>
  <c r="D179" i="23" l="1"/>
  <c r="B180" i="23"/>
  <c r="D180" i="23" l="1"/>
  <c r="B181" i="23"/>
  <c r="D181" i="23" l="1"/>
  <c r="B182" i="23"/>
  <c r="D182" i="23" l="1"/>
  <c r="B183" i="23"/>
  <c r="D183" i="23" l="1"/>
  <c r="B184" i="23"/>
  <c r="D184" i="23" l="1"/>
  <c r="B185" i="23"/>
  <c r="D185" i="23" l="1"/>
  <c r="B186" i="23"/>
  <c r="D186" i="23" l="1"/>
  <c r="B187" i="23"/>
  <c r="D187" i="23" l="1"/>
  <c r="B188" i="23"/>
  <c r="D188" i="23" l="1"/>
  <c r="B189" i="23"/>
  <c r="D189" i="23" l="1"/>
  <c r="B190" i="23"/>
  <c r="D190" i="23" l="1"/>
  <c r="B191" i="23"/>
  <c r="D191" i="23" l="1"/>
  <c r="B192" i="23"/>
  <c r="D192" i="23" l="1"/>
  <c r="B193" i="23"/>
  <c r="D193" i="23" l="1"/>
  <c r="B194" i="23"/>
  <c r="D194" i="23" l="1"/>
  <c r="B195" i="23"/>
  <c r="D195" i="23" l="1"/>
  <c r="B196" i="23"/>
  <c r="D196" i="23" l="1"/>
  <c r="B197" i="23"/>
  <c r="D197" i="23" l="1"/>
  <c r="B198" i="23"/>
  <c r="D198" i="23" l="1"/>
  <c r="B199" i="23"/>
  <c r="D199" i="23" l="1"/>
  <c r="B200" i="23"/>
  <c r="D200" i="23" l="1"/>
  <c r="B201" i="23"/>
  <c r="D201" i="23" l="1"/>
  <c r="B202" i="23"/>
  <c r="D202" i="23" l="1"/>
  <c r="B203" i="23"/>
  <c r="D203" i="23" l="1"/>
  <c r="B204" i="23"/>
  <c r="D204" i="23" l="1"/>
  <c r="B205" i="23"/>
  <c r="D205" i="23" l="1"/>
  <c r="B206" i="23"/>
  <c r="D206" i="23" l="1"/>
  <c r="B207" i="23"/>
  <c r="D207" i="23" l="1"/>
  <c r="B208" i="23"/>
  <c r="D208" i="23" l="1"/>
  <c r="B209" i="23"/>
  <c r="D209" i="23" l="1"/>
  <c r="B210" i="23"/>
  <c r="D210" i="23" l="1"/>
  <c r="B211" i="23"/>
  <c r="D211" i="23" l="1"/>
  <c r="B212" i="23"/>
  <c r="D212" i="23" l="1"/>
  <c r="B213" i="23"/>
  <c r="D213" i="23" l="1"/>
  <c r="B214" i="23"/>
  <c r="D214" i="23" l="1"/>
  <c r="B215" i="23"/>
  <c r="D215" i="23" l="1"/>
  <c r="B216" i="23"/>
  <c r="D216" i="23" l="1"/>
  <c r="B217" i="23"/>
  <c r="D217" i="23" l="1"/>
  <c r="B218" i="23"/>
  <c r="D218" i="23" l="1"/>
  <c r="B219" i="23"/>
  <c r="D219" i="23" l="1"/>
  <c r="B220" i="23"/>
  <c r="D220" i="23" l="1"/>
  <c r="B221" i="23"/>
  <c r="D221" i="23" l="1"/>
  <c r="B222" i="23"/>
  <c r="D222" i="23" l="1"/>
  <c r="B223" i="23"/>
  <c r="D223" i="23" l="1"/>
  <c r="B224" i="23"/>
  <c r="D224" i="23" l="1"/>
  <c r="B225" i="23"/>
  <c r="D225" i="23" l="1"/>
  <c r="B226" i="23"/>
  <c r="D226" i="23" l="1"/>
  <c r="B227" i="23"/>
  <c r="D227" i="23" l="1"/>
  <c r="B228" i="23"/>
  <c r="D228" i="23" l="1"/>
  <c r="B229" i="23"/>
  <c r="D229" i="23" l="1"/>
  <c r="B230" i="23"/>
  <c r="D230" i="23" l="1"/>
  <c r="B231" i="23"/>
  <c r="D231" i="23" l="1"/>
  <c r="B232" i="23"/>
  <c r="D232" i="23" l="1"/>
  <c r="B233" i="23"/>
  <c r="D233" i="23" l="1"/>
  <c r="B234" i="23"/>
  <c r="D234" i="23" l="1"/>
  <c r="B235" i="23"/>
  <c r="D235" i="23" l="1"/>
  <c r="B236" i="23"/>
  <c r="D236" i="23" l="1"/>
  <c r="B237" i="23"/>
  <c r="D237" i="23" l="1"/>
  <c r="B238" i="23"/>
  <c r="D238" i="23" l="1"/>
  <c r="B239" i="23"/>
  <c r="D239" i="23" l="1"/>
  <c r="B240" i="23"/>
  <c r="D240" i="23" l="1"/>
  <c r="B241" i="23"/>
  <c r="D241" i="23" l="1"/>
  <c r="B242" i="23"/>
  <c r="D242" i="23" l="1"/>
  <c r="B243" i="23"/>
  <c r="D243" i="23" l="1"/>
  <c r="B244" i="23"/>
  <c r="D244" i="23" l="1"/>
  <c r="B245" i="23"/>
  <c r="D245" i="23" l="1"/>
  <c r="B246" i="23"/>
  <c r="D246" i="23" l="1"/>
  <c r="B247" i="23"/>
  <c r="D247" i="23" l="1"/>
  <c r="B248" i="23"/>
  <c r="D248" i="23" l="1"/>
  <c r="B249" i="23"/>
  <c r="D249" i="23" l="1"/>
  <c r="B250" i="23"/>
  <c r="D250" i="23" l="1"/>
  <c r="B251" i="23"/>
  <c r="D251" i="23" l="1"/>
  <c r="B252" i="23"/>
  <c r="D252" i="23" l="1"/>
  <c r="B253" i="23"/>
  <c r="D253" i="23" l="1"/>
  <c r="B254" i="23"/>
  <c r="D254" i="23" l="1"/>
  <c r="B255" i="23"/>
  <c r="D255" i="23" l="1"/>
  <c r="B256" i="23"/>
  <c r="D256" i="23" l="1"/>
  <c r="B257" i="23"/>
  <c r="D257" i="23" l="1"/>
  <c r="B258" i="23"/>
  <c r="D258" i="23" l="1"/>
  <c r="B259" i="23"/>
  <c r="D259" i="23" l="1"/>
  <c r="B260" i="23"/>
  <c r="D260" i="23" l="1"/>
  <c r="B261" i="23"/>
  <c r="D261" i="23" l="1"/>
  <c r="B262" i="23"/>
  <c r="D262" i="23" l="1"/>
  <c r="B263" i="23"/>
  <c r="D263" i="23" l="1"/>
  <c r="B264" i="23"/>
  <c r="D264" i="23" l="1"/>
  <c r="B265" i="23"/>
  <c r="D265" i="23" l="1"/>
  <c r="B266" i="23"/>
  <c r="D266" i="23" l="1"/>
  <c r="B267" i="23"/>
  <c r="D267" i="23" l="1"/>
  <c r="B268" i="23"/>
  <c r="D268" i="23" l="1"/>
  <c r="B269" i="23"/>
  <c r="D269" i="23" l="1"/>
  <c r="B270" i="23"/>
  <c r="D270" i="23" l="1"/>
  <c r="B271" i="23"/>
  <c r="D271" i="23" l="1"/>
  <c r="B272" i="23"/>
  <c r="D272" i="23" l="1"/>
  <c r="B273" i="23"/>
  <c r="D273" i="23" l="1"/>
  <c r="B274" i="23"/>
  <c r="D274" i="23" l="1"/>
  <c r="B275" i="23"/>
  <c r="D275" i="23" l="1"/>
  <c r="B276" i="23"/>
  <c r="D276" i="23" l="1"/>
  <c r="B277" i="23"/>
  <c r="D277" i="23" l="1"/>
  <c r="B278" i="23"/>
  <c r="D278" i="23" l="1"/>
  <c r="B279" i="23"/>
  <c r="D279" i="23" l="1"/>
  <c r="B280" i="23"/>
  <c r="D280" i="23" l="1"/>
  <c r="B281" i="23"/>
  <c r="D281" i="23" l="1"/>
  <c r="B282" i="23"/>
  <c r="D282" i="23" l="1"/>
  <c r="B283" i="23"/>
  <c r="D283" i="23" l="1"/>
  <c r="B284" i="23"/>
  <c r="D284" i="23" l="1"/>
  <c r="B285" i="23"/>
  <c r="D285" i="23" l="1"/>
  <c r="B286" i="23"/>
  <c r="D286" i="23" l="1"/>
  <c r="B287" i="23"/>
  <c r="D287" i="23" l="1"/>
  <c r="B288" i="23"/>
  <c r="D288" i="23" l="1"/>
  <c r="B289" i="23"/>
  <c r="D289" i="23" l="1"/>
  <c r="B290" i="23"/>
  <c r="D290" i="23" l="1"/>
  <c r="B291" i="23"/>
  <c r="D291" i="23" l="1"/>
  <c r="B292" i="23"/>
  <c r="D292" i="23" l="1"/>
  <c r="B293" i="23"/>
  <c r="D293" i="23" l="1"/>
  <c r="B294" i="23"/>
  <c r="D294" i="23" l="1"/>
  <c r="B295" i="23"/>
  <c r="D295" i="23" l="1"/>
  <c r="B296" i="23"/>
  <c r="D296" i="23" l="1"/>
  <c r="B297" i="23"/>
  <c r="D297" i="23" l="1"/>
  <c r="B298" i="23"/>
  <c r="D298" i="23" l="1"/>
  <c r="B299" i="23"/>
  <c r="D299" i="23" l="1"/>
  <c r="B300" i="23"/>
  <c r="D300" i="23" l="1"/>
  <c r="B301" i="23"/>
  <c r="D301" i="23" l="1"/>
  <c r="B302" i="23"/>
  <c r="D302" i="23" l="1"/>
  <c r="B303" i="23"/>
  <c r="D303" i="23" l="1"/>
  <c r="B304" i="23"/>
  <c r="D304" i="23" l="1"/>
  <c r="B305" i="23"/>
  <c r="D305" i="23" l="1"/>
  <c r="B306" i="23"/>
  <c r="D306" i="23" l="1"/>
  <c r="B307" i="23"/>
  <c r="D307" i="23" l="1"/>
  <c r="B308" i="23"/>
  <c r="D308" i="23" l="1"/>
  <c r="B309" i="23"/>
  <c r="D309" i="23" l="1"/>
  <c r="B310" i="23"/>
  <c r="D310" i="23" l="1"/>
  <c r="B311" i="23"/>
  <c r="D311" i="23" l="1"/>
  <c r="B312" i="23"/>
  <c r="D312" i="23" l="1"/>
  <c r="B313" i="23"/>
  <c r="D313" i="23" l="1"/>
  <c r="B314" i="23"/>
  <c r="D314" i="23" l="1"/>
  <c r="B315" i="23"/>
  <c r="D315" i="23" l="1"/>
  <c r="B316" i="23"/>
  <c r="D316" i="23" l="1"/>
  <c r="B317" i="23"/>
  <c r="D317" i="23" l="1"/>
  <c r="B318" i="23"/>
  <c r="D318" i="23" l="1"/>
  <c r="B319" i="23"/>
  <c r="D319" i="23" l="1"/>
  <c r="B320" i="23"/>
  <c r="D320" i="23" l="1"/>
  <c r="B321" i="23"/>
  <c r="D321" i="23" l="1"/>
  <c r="B322" i="23"/>
  <c r="D322" i="23" l="1"/>
  <c r="B323" i="23"/>
  <c r="D323" i="23" l="1"/>
  <c r="B324" i="23"/>
  <c r="D324" i="23" l="1"/>
  <c r="B325" i="23"/>
  <c r="D325" i="23" l="1"/>
  <c r="B326" i="23"/>
  <c r="D326" i="23" l="1"/>
  <c r="B327" i="23"/>
  <c r="D327" i="23" l="1"/>
  <c r="B328" i="23"/>
  <c r="D328" i="23" l="1"/>
  <c r="B329" i="23"/>
  <c r="D329" i="23" l="1"/>
  <c r="B330" i="23"/>
  <c r="D330" i="23" l="1"/>
  <c r="B331" i="23"/>
  <c r="D331" i="23" l="1"/>
  <c r="B332" i="23"/>
  <c r="D332" i="23" l="1"/>
  <c r="B333" i="23"/>
  <c r="D333" i="23" l="1"/>
  <c r="B334" i="23"/>
  <c r="D334" i="23" l="1"/>
  <c r="B335" i="23"/>
  <c r="D335" i="23" l="1"/>
  <c r="B336" i="23"/>
  <c r="D336" i="23" l="1"/>
  <c r="B337" i="23"/>
  <c r="D337" i="23" l="1"/>
  <c r="B338" i="23"/>
  <c r="D338" i="23" l="1"/>
  <c r="B339" i="23"/>
  <c r="D339" i="23" l="1"/>
  <c r="B340" i="23"/>
  <c r="D340" i="23" l="1"/>
  <c r="B341" i="23"/>
  <c r="D341" i="23" l="1"/>
  <c r="B342" i="23"/>
  <c r="D342" i="23" l="1"/>
  <c r="B343" i="23"/>
  <c r="D343" i="23" l="1"/>
  <c r="B344" i="23"/>
  <c r="D344" i="23" l="1"/>
  <c r="B345" i="23"/>
  <c r="D345" i="23" l="1"/>
  <c r="B346" i="23"/>
  <c r="D346" i="23" l="1"/>
  <c r="B347" i="23"/>
  <c r="D347" i="23" l="1"/>
  <c r="B348" i="23"/>
  <c r="D348" i="23" l="1"/>
  <c r="B349" i="23"/>
  <c r="D349" i="23" l="1"/>
  <c r="B350" i="23"/>
  <c r="D350" i="23" l="1"/>
  <c r="B351" i="23"/>
  <c r="D351" i="23" l="1"/>
  <c r="B352" i="23"/>
  <c r="D352" i="23" l="1"/>
  <c r="B353" i="23"/>
  <c r="D353" i="23" l="1"/>
  <c r="B354" i="23"/>
  <c r="D354" i="23" l="1"/>
  <c r="B355" i="23"/>
  <c r="D355" i="23" l="1"/>
  <c r="B356" i="23"/>
  <c r="D356" i="23" l="1"/>
  <c r="B357" i="23"/>
  <c r="D357" i="23" l="1"/>
  <c r="B358" i="23"/>
  <c r="D358" i="23" l="1"/>
  <c r="B359" i="23"/>
  <c r="D359" i="23" l="1"/>
  <c r="B360" i="23"/>
  <c r="D360" i="23" l="1"/>
  <c r="B361" i="23"/>
  <c r="D361" i="23" l="1"/>
  <c r="B362" i="23"/>
  <c r="D362" i="23" l="1"/>
  <c r="B363" i="23"/>
  <c r="D363" i="23" l="1"/>
  <c r="B364" i="23"/>
  <c r="D364" i="23" l="1"/>
  <c r="B365" i="23"/>
  <c r="D365" i="23" l="1"/>
  <c r="B366" i="23"/>
  <c r="D366" i="23" l="1"/>
  <c r="B367" i="23"/>
  <c r="D367" i="23" l="1"/>
  <c r="B368" i="23"/>
  <c r="D368" i="23" l="1"/>
  <c r="B369" i="23"/>
  <c r="D369" i="23" l="1"/>
  <c r="B370" i="23"/>
  <c r="D370" i="23" l="1"/>
  <c r="B371" i="23"/>
  <c r="D371" i="23" l="1"/>
  <c r="B372" i="23"/>
  <c r="D372" i="23" l="1"/>
  <c r="B373" i="23"/>
  <c r="D373" i="23" l="1"/>
  <c r="B374" i="23"/>
  <c r="D374" i="23" l="1"/>
  <c r="B375" i="23"/>
  <c r="D375" i="23" l="1"/>
  <c r="B376" i="23"/>
  <c r="D376" i="23" l="1"/>
  <c r="B377" i="23"/>
  <c r="D377" i="23" l="1"/>
  <c r="B378" i="23"/>
  <c r="D378" i="23" l="1"/>
  <c r="B379" i="23"/>
  <c r="D379" i="23" l="1"/>
  <c r="B380" i="23"/>
  <c r="D380" i="23" l="1"/>
  <c r="B381" i="23"/>
  <c r="D381" i="23" l="1"/>
  <c r="B382" i="23"/>
  <c r="D382" i="23" l="1"/>
  <c r="B383" i="23"/>
  <c r="D383" i="23" l="1"/>
  <c r="B384" i="23"/>
  <c r="D384" i="23" l="1"/>
  <c r="B385" i="23"/>
  <c r="D385" i="23" l="1"/>
  <c r="B386" i="23"/>
  <c r="D386" i="23" l="1"/>
  <c r="B387" i="23"/>
  <c r="D387" i="23" l="1"/>
  <c r="B388" i="23"/>
  <c r="D388" i="23" l="1"/>
  <c r="B389" i="23"/>
  <c r="D389" i="23" l="1"/>
  <c r="B390" i="23"/>
  <c r="D390" i="23" l="1"/>
  <c r="B391" i="23"/>
  <c r="D391" i="23" l="1"/>
  <c r="B392" i="23"/>
  <c r="D392" i="23" l="1"/>
  <c r="B393" i="23"/>
  <c r="D393" i="23" l="1"/>
  <c r="B394" i="23"/>
  <c r="D394" i="23" l="1"/>
  <c r="B395" i="23"/>
  <c r="D395" i="23" l="1"/>
  <c r="B396" i="23"/>
  <c r="D396" i="23" l="1"/>
  <c r="B397" i="23"/>
  <c r="D397" i="23" l="1"/>
  <c r="B398" i="23"/>
  <c r="D398" i="23" l="1"/>
  <c r="B399" i="23"/>
  <c r="D399" i="23" l="1"/>
  <c r="B400" i="23"/>
  <c r="D400" i="23" l="1"/>
  <c r="B401" i="23"/>
  <c r="D401" i="23" l="1"/>
  <c r="B402" i="23"/>
  <c r="D402" i="23" l="1"/>
  <c r="B403" i="23"/>
  <c r="D403" i="23" l="1"/>
  <c r="B404" i="23"/>
  <c r="D404" i="23" l="1"/>
  <c r="B405" i="23"/>
  <c r="D405" i="23" l="1"/>
  <c r="B406" i="23"/>
  <c r="D406" i="23" l="1"/>
  <c r="B407" i="23"/>
  <c r="D407" i="23" l="1"/>
  <c r="B408" i="23"/>
  <c r="D408" i="23" l="1"/>
  <c r="B409" i="23"/>
  <c r="D409" i="23" l="1"/>
  <c r="B410" i="23"/>
  <c r="D410" i="23" l="1"/>
  <c r="B411" i="23"/>
  <c r="D411" i="23" l="1"/>
  <c r="B412" i="23"/>
  <c r="D412" i="23" l="1"/>
  <c r="B413" i="23"/>
  <c r="D413" i="23" l="1"/>
  <c r="B414" i="23"/>
  <c r="D414" i="23" l="1"/>
  <c r="B415" i="23"/>
  <c r="D415" i="23" l="1"/>
  <c r="B416" i="23"/>
  <c r="D416" i="23" l="1"/>
  <c r="B417" i="23"/>
  <c r="D417" i="23" l="1"/>
  <c r="B418" i="23"/>
  <c r="D418" i="23" l="1"/>
  <c r="B419" i="23"/>
  <c r="D419" i="23" l="1"/>
  <c r="B420" i="23"/>
  <c r="D420" i="23" l="1"/>
  <c r="B421" i="23"/>
  <c r="D421" i="23" l="1"/>
  <c r="B422" i="23"/>
  <c r="D422" i="23" l="1"/>
  <c r="B423" i="23"/>
  <c r="D423" i="23" l="1"/>
  <c r="B424" i="23"/>
  <c r="D424" i="23" l="1"/>
  <c r="B425" i="23"/>
  <c r="D425" i="23" l="1"/>
  <c r="B426" i="23"/>
  <c r="D426" i="23" l="1"/>
  <c r="B427" i="23"/>
  <c r="D427" i="23" l="1"/>
  <c r="B428" i="23"/>
  <c r="D428" i="23" l="1"/>
  <c r="B429" i="23"/>
  <c r="D429" i="23" l="1"/>
  <c r="B430" i="23"/>
  <c r="D430" i="23" l="1"/>
  <c r="B431" i="23"/>
  <c r="D431" i="23" l="1"/>
  <c r="B432" i="23"/>
  <c r="D432" i="23" l="1"/>
  <c r="B433" i="23"/>
  <c r="D433" i="23" l="1"/>
  <c r="B434" i="23"/>
  <c r="D434" i="23" l="1"/>
  <c r="B435" i="23"/>
  <c r="D435" i="23" l="1"/>
  <c r="B436" i="23"/>
  <c r="D436" i="23" l="1"/>
  <c r="B437" i="23"/>
  <c r="D437" i="23" l="1"/>
  <c r="B438" i="23"/>
  <c r="D438" i="23" l="1"/>
  <c r="B439" i="23"/>
  <c r="D439" i="23" l="1"/>
  <c r="B440" i="23"/>
  <c r="D440" i="23" l="1"/>
  <c r="B441" i="23"/>
  <c r="D441" i="23" l="1"/>
  <c r="B442" i="23"/>
  <c r="D442" i="23" l="1"/>
  <c r="B443" i="23"/>
  <c r="D443" i="23" l="1"/>
  <c r="B444" i="23"/>
  <c r="D444" i="23" l="1"/>
  <c r="B445" i="23"/>
  <c r="D445" i="23" l="1"/>
  <c r="B446" i="23"/>
  <c r="D446" i="23" l="1"/>
  <c r="B447" i="23"/>
  <c r="D447" i="23" l="1"/>
  <c r="B448" i="23"/>
  <c r="D448" i="23" l="1"/>
  <c r="B449" i="23"/>
  <c r="D449" i="23" l="1"/>
  <c r="B450" i="23"/>
  <c r="D450" i="23" l="1"/>
  <c r="B451" i="23"/>
  <c r="D451" i="23" l="1"/>
  <c r="B452" i="23"/>
  <c r="D452" i="23" l="1"/>
  <c r="B453" i="23"/>
  <c r="D453" i="23" l="1"/>
  <c r="B454" i="23"/>
  <c r="D454" i="23" l="1"/>
  <c r="B455" i="23"/>
  <c r="D455" i="23" l="1"/>
  <c r="B456" i="23"/>
  <c r="D456" i="23" l="1"/>
  <c r="B457" i="23"/>
  <c r="D457" i="23" l="1"/>
  <c r="B458" i="23"/>
  <c r="D458" i="23" l="1"/>
  <c r="B459" i="23"/>
  <c r="D459" i="23" l="1"/>
  <c r="B460" i="23"/>
  <c r="D460" i="23" l="1"/>
  <c r="B461" i="23"/>
  <c r="D461" i="23" l="1"/>
  <c r="B462" i="23"/>
  <c r="D462" i="23" l="1"/>
  <c r="B463" i="23"/>
  <c r="D463" i="23" l="1"/>
  <c r="B464" i="23"/>
  <c r="D464" i="23" l="1"/>
  <c r="B465" i="23"/>
  <c r="D465" i="23" l="1"/>
  <c r="B466" i="23"/>
  <c r="D466" i="23" l="1"/>
  <c r="B467" i="23"/>
  <c r="D467" i="23" l="1"/>
  <c r="B468" i="23"/>
  <c r="D468" i="23" l="1"/>
  <c r="B469" i="23"/>
  <c r="D469" i="23" l="1"/>
  <c r="B470" i="23"/>
  <c r="D470" i="23" l="1"/>
  <c r="B471" i="23"/>
  <c r="D471" i="23" l="1"/>
  <c r="B472" i="23"/>
  <c r="D472" i="23" l="1"/>
  <c r="B473" i="23"/>
  <c r="D473" i="23" l="1"/>
  <c r="B474" i="23"/>
  <c r="D474" i="23" l="1"/>
  <c r="B475" i="23"/>
  <c r="D475" i="23" l="1"/>
  <c r="B476" i="23"/>
  <c r="D476" i="23" l="1"/>
  <c r="B477" i="23"/>
  <c r="D477" i="23" l="1"/>
  <c r="B478" i="23"/>
  <c r="D478" i="23" l="1"/>
  <c r="B479" i="23"/>
  <c r="D479" i="23" l="1"/>
  <c r="B480" i="23"/>
  <c r="D480" i="23" l="1"/>
  <c r="B481" i="23"/>
  <c r="D481" i="23" l="1"/>
  <c r="B482" i="23"/>
  <c r="D482" i="23" l="1"/>
  <c r="B483" i="23"/>
  <c r="D483" i="23" l="1"/>
  <c r="B484" i="23"/>
  <c r="D484" i="23" l="1"/>
  <c r="B485" i="23"/>
  <c r="D485" i="23" l="1"/>
  <c r="B486" i="23"/>
  <c r="D486" i="23" l="1"/>
  <c r="B487" i="23"/>
  <c r="D487" i="23" l="1"/>
  <c r="B488" i="23"/>
  <c r="D488" i="23" l="1"/>
  <c r="B489" i="23"/>
  <c r="D489" i="23" l="1"/>
  <c r="B490" i="23"/>
  <c r="D490" i="23" l="1"/>
  <c r="B491" i="23"/>
  <c r="D491" i="23" l="1"/>
  <c r="B492" i="23"/>
  <c r="D492" i="23" l="1"/>
  <c r="B493" i="23"/>
  <c r="D493" i="23" l="1"/>
  <c r="B494" i="23"/>
  <c r="D494" i="23" l="1"/>
  <c r="B495" i="23"/>
  <c r="D495" i="23" l="1"/>
  <c r="B496" i="23"/>
  <c r="D496" i="23" l="1"/>
  <c r="B497" i="23"/>
  <c r="D497" i="23" l="1"/>
  <c r="B498" i="23"/>
  <c r="D498" i="23" l="1"/>
  <c r="B499" i="23"/>
  <c r="D499" i="23" l="1"/>
  <c r="B500" i="23"/>
  <c r="D500" i="23" l="1"/>
  <c r="B501" i="23"/>
  <c r="D501" i="23" l="1"/>
  <c r="B502" i="23"/>
  <c r="D502" i="23" l="1"/>
  <c r="B503" i="23"/>
  <c r="D503" i="23" l="1"/>
  <c r="B504" i="23"/>
  <c r="D504" i="23" l="1"/>
  <c r="B505" i="23"/>
  <c r="D505" i="23" l="1"/>
  <c r="B506" i="23"/>
  <c r="D506" i="23" l="1"/>
  <c r="B507" i="23"/>
  <c r="D507" i="23" l="1"/>
  <c r="B508" i="23"/>
  <c r="D508" i="23" l="1"/>
  <c r="B509" i="23"/>
  <c r="D509" i="23" l="1"/>
  <c r="B510" i="23"/>
  <c r="D510" i="23" l="1"/>
  <c r="B511" i="23"/>
  <c r="D511" i="23" l="1"/>
  <c r="B512" i="23"/>
  <c r="D512" i="23" l="1"/>
  <c r="B513" i="23"/>
  <c r="D513" i="23" l="1"/>
  <c r="B514" i="23"/>
  <c r="D514" i="23" l="1"/>
  <c r="B515" i="23"/>
  <c r="D515" i="23" l="1"/>
  <c r="B516" i="23"/>
  <c r="D516" i="23" l="1"/>
  <c r="B517" i="23"/>
  <c r="D517" i="23" l="1"/>
  <c r="B518" i="23"/>
  <c r="D518" i="23" l="1"/>
  <c r="B519" i="23"/>
  <c r="D519" i="23" l="1"/>
  <c r="B520" i="23"/>
  <c r="D520" i="23" l="1"/>
  <c r="B521" i="23"/>
  <c r="D521" i="23" l="1"/>
  <c r="B522" i="23"/>
  <c r="D522" i="23" l="1"/>
  <c r="B523" i="23"/>
  <c r="D523" i="23" l="1"/>
  <c r="B524" i="23"/>
  <c r="D524" i="23" l="1"/>
  <c r="B525" i="23"/>
  <c r="D525" i="23" l="1"/>
  <c r="B526" i="23"/>
  <c r="D526" i="23" l="1"/>
  <c r="B527" i="23"/>
  <c r="D527" i="23" l="1"/>
  <c r="B528" i="23"/>
  <c r="D528" i="23" l="1"/>
  <c r="B529" i="23"/>
  <c r="D529" i="23" l="1"/>
  <c r="B530" i="23"/>
  <c r="D530" i="23" l="1"/>
  <c r="B531" i="23"/>
  <c r="D531" i="23" l="1"/>
  <c r="B532" i="23"/>
  <c r="D532" i="23" l="1"/>
  <c r="B533" i="23"/>
  <c r="D533" i="23" l="1"/>
  <c r="B534" i="23"/>
  <c r="D534" i="23" l="1"/>
  <c r="B535" i="23"/>
  <c r="D535" i="23" l="1"/>
  <c r="B536" i="23"/>
  <c r="D536" i="23" l="1"/>
  <c r="B537" i="23"/>
  <c r="D537" i="23" l="1"/>
  <c r="B538" i="23"/>
  <c r="D538" i="23" l="1"/>
  <c r="B539" i="23"/>
  <c r="D539" i="23" l="1"/>
  <c r="B540" i="23"/>
  <c r="D540" i="23" l="1"/>
  <c r="B541" i="23"/>
  <c r="D541" i="23" l="1"/>
  <c r="B542" i="23"/>
  <c r="D542" i="23" l="1"/>
  <c r="B543" i="23"/>
  <c r="D543" i="23" l="1"/>
  <c r="B544" i="23"/>
  <c r="D544" i="23" l="1"/>
  <c r="B545" i="23"/>
  <c r="D545" i="23" l="1"/>
  <c r="B546" i="23"/>
  <c r="D546" i="23" l="1"/>
  <c r="B547" i="23"/>
  <c r="D547" i="23" l="1"/>
  <c r="B548" i="23"/>
  <c r="D548" i="23" l="1"/>
  <c r="B549" i="23"/>
  <c r="D549" i="23" l="1"/>
  <c r="B550" i="23"/>
  <c r="D550" i="23" l="1"/>
  <c r="B551" i="23"/>
  <c r="D551" i="23" l="1"/>
  <c r="B552" i="23"/>
  <c r="D552" i="23" l="1"/>
  <c r="B553" i="23"/>
  <c r="D553" i="23" l="1"/>
  <c r="B554" i="23"/>
  <c r="D554" i="23" l="1"/>
  <c r="B555" i="23"/>
  <c r="D555" i="23" l="1"/>
  <c r="B556" i="23"/>
  <c r="D556" i="23" l="1"/>
  <c r="B557" i="23"/>
  <c r="D557" i="23" l="1"/>
  <c r="B558" i="23"/>
  <c r="D558" i="23" l="1"/>
  <c r="B559" i="23"/>
  <c r="D559" i="23" l="1"/>
  <c r="B560" i="23"/>
  <c r="D560" i="23" l="1"/>
  <c r="B561" i="23"/>
  <c r="D561" i="23" l="1"/>
  <c r="B562" i="23"/>
  <c r="D562" i="23" l="1"/>
  <c r="B563" i="23"/>
  <c r="D563" i="23" l="1"/>
  <c r="B564" i="23"/>
  <c r="D564" i="23" l="1"/>
  <c r="B565" i="23"/>
  <c r="D565" i="23" l="1"/>
  <c r="B566" i="23"/>
  <c r="D566" i="23" l="1"/>
  <c r="B567" i="23"/>
  <c r="D567" i="23" l="1"/>
  <c r="B568" i="23"/>
  <c r="D568" i="23" l="1"/>
  <c r="B569" i="23"/>
  <c r="D569" i="23" l="1"/>
  <c r="B570" i="23"/>
  <c r="D570" i="23" l="1"/>
  <c r="B571" i="23"/>
  <c r="D571" i="23" l="1"/>
  <c r="B572" i="23"/>
  <c r="D572" i="23" l="1"/>
  <c r="B573" i="23"/>
  <c r="D573" i="23" l="1"/>
  <c r="B574" i="23"/>
  <c r="D574" i="23" l="1"/>
  <c r="B575" i="23"/>
  <c r="D575" i="23" l="1"/>
  <c r="B576" i="23"/>
  <c r="D576" i="23" l="1"/>
  <c r="B577" i="23"/>
  <c r="D577" i="23" l="1"/>
  <c r="B578" i="23"/>
  <c r="D578" i="23" l="1"/>
  <c r="B579" i="23"/>
  <c r="D579" i="23" l="1"/>
  <c r="B580" i="23"/>
  <c r="D580" i="23" l="1"/>
  <c r="B581" i="23"/>
  <c r="D581" i="23" l="1"/>
  <c r="B582" i="23"/>
  <c r="D582" i="23" l="1"/>
  <c r="B583" i="23"/>
  <c r="D583" i="23" l="1"/>
  <c r="B584" i="23"/>
  <c r="D584" i="23" l="1"/>
  <c r="B585" i="23"/>
  <c r="D585" i="23" l="1"/>
  <c r="B586" i="23"/>
  <c r="D586" i="23" l="1"/>
  <c r="B587" i="23"/>
  <c r="D587" i="23" l="1"/>
  <c r="B588" i="23"/>
  <c r="D588" i="23" l="1"/>
  <c r="B589" i="23"/>
  <c r="D589" i="23" l="1"/>
  <c r="B590" i="23"/>
  <c r="D590" i="23" l="1"/>
  <c r="B591" i="23"/>
  <c r="D591" i="23" l="1"/>
  <c r="B592" i="23"/>
  <c r="D592" i="23" l="1"/>
  <c r="B593" i="23"/>
  <c r="D593" i="23" l="1"/>
  <c r="B594" i="23"/>
  <c r="D594" i="23" l="1"/>
  <c r="B595" i="23"/>
  <c r="D595" i="23" l="1"/>
  <c r="B596" i="23"/>
  <c r="D596" i="23" l="1"/>
  <c r="B597" i="23"/>
  <c r="D597" i="23" l="1"/>
  <c r="B598" i="23"/>
  <c r="D598" i="23" l="1"/>
  <c r="B599" i="23"/>
  <c r="D599" i="23" l="1"/>
  <c r="B600" i="23"/>
  <c r="D600" i="23" l="1"/>
  <c r="B601" i="23"/>
  <c r="D601" i="23" l="1"/>
  <c r="B602" i="23"/>
  <c r="D602" i="23" l="1"/>
  <c r="B603" i="23"/>
  <c r="D603" i="23" l="1"/>
  <c r="B604" i="23"/>
  <c r="D604" i="23" l="1"/>
  <c r="B605" i="23"/>
  <c r="D605" i="23" l="1"/>
  <c r="B606" i="23"/>
  <c r="D606" i="23" l="1"/>
  <c r="B607" i="23"/>
  <c r="D607" i="23" l="1"/>
  <c r="B608" i="23"/>
  <c r="D608" i="23" l="1"/>
  <c r="B609" i="23"/>
  <c r="D609" i="23" l="1"/>
  <c r="B610" i="23"/>
  <c r="D610" i="23" l="1"/>
  <c r="B611" i="23"/>
  <c r="D611" i="23" l="1"/>
  <c r="B612" i="23"/>
  <c r="D612" i="23" l="1"/>
  <c r="B613" i="23"/>
  <c r="D613" i="23" l="1"/>
  <c r="B614" i="23"/>
  <c r="D614" i="23" l="1"/>
  <c r="B615" i="23"/>
  <c r="D615" i="23" l="1"/>
  <c r="B616" i="23"/>
  <c r="D616" i="23" l="1"/>
  <c r="B617" i="23"/>
  <c r="D617" i="23" l="1"/>
  <c r="B618" i="23"/>
  <c r="D618" i="23" l="1"/>
  <c r="B619" i="23"/>
  <c r="D619" i="23" l="1"/>
  <c r="B620" i="23"/>
  <c r="D620" i="23" l="1"/>
  <c r="B621" i="23"/>
  <c r="D621" i="23" l="1"/>
  <c r="B622" i="23"/>
  <c r="D622" i="23" l="1"/>
  <c r="B623" i="23"/>
  <c r="D623" i="23" l="1"/>
  <c r="B624" i="23"/>
  <c r="D624" i="23" l="1"/>
  <c r="B625" i="23"/>
  <c r="D625" i="23" l="1"/>
  <c r="B626" i="23"/>
  <c r="D626" i="23" l="1"/>
  <c r="B627" i="23"/>
  <c r="D627" i="23" l="1"/>
  <c r="B628" i="23"/>
  <c r="D628" i="23" l="1"/>
  <c r="B629" i="23"/>
  <c r="D629" i="23" l="1"/>
  <c r="B630" i="23"/>
  <c r="D630" i="23" l="1"/>
  <c r="B631" i="23"/>
  <c r="D631" i="23" l="1"/>
  <c r="B632" i="23"/>
  <c r="D632" i="23" l="1"/>
  <c r="B633" i="23"/>
  <c r="D633" i="23" l="1"/>
  <c r="B634" i="23"/>
  <c r="D634" i="23" l="1"/>
  <c r="B635" i="23"/>
  <c r="D635" i="23" l="1"/>
  <c r="B636" i="23"/>
  <c r="D636" i="23" l="1"/>
  <c r="B637" i="23"/>
  <c r="D637" i="23" l="1"/>
  <c r="B638" i="23"/>
  <c r="D638" i="23" l="1"/>
  <c r="B639" i="23"/>
  <c r="D639" i="23" l="1"/>
  <c r="B640" i="23"/>
  <c r="D640" i="23" l="1"/>
  <c r="B641" i="23"/>
  <c r="D641" i="23" l="1"/>
  <c r="B642" i="23"/>
  <c r="D642" i="23" l="1"/>
  <c r="B643" i="23"/>
  <c r="D643" i="23" l="1"/>
  <c r="B644" i="23"/>
  <c r="D644" i="23" l="1"/>
  <c r="B645" i="23"/>
  <c r="D645" i="23" l="1"/>
  <c r="B646" i="23"/>
  <c r="D646" i="23" l="1"/>
  <c r="B647" i="23"/>
  <c r="D647" i="23" l="1"/>
  <c r="B648" i="23"/>
  <c r="D648" i="23" l="1"/>
  <c r="B649" i="23"/>
  <c r="D649" i="23" l="1"/>
  <c r="B650" i="23"/>
  <c r="D650" i="23" l="1"/>
  <c r="B651" i="23"/>
  <c r="D651" i="23" l="1"/>
  <c r="B652" i="23"/>
  <c r="D652" i="23" l="1"/>
  <c r="B653" i="23"/>
  <c r="D653" i="23" l="1"/>
  <c r="B654" i="23"/>
  <c r="D654" i="23" l="1"/>
  <c r="B655" i="23"/>
  <c r="D655" i="23" l="1"/>
  <c r="B656" i="23"/>
  <c r="D656" i="23" l="1"/>
  <c r="B657" i="23"/>
  <c r="D657" i="23" l="1"/>
  <c r="B658" i="23"/>
  <c r="D658" i="23" l="1"/>
  <c r="B659" i="23"/>
  <c r="D659" i="23" l="1"/>
  <c r="B660" i="23"/>
  <c r="D660" i="23" l="1"/>
  <c r="B661" i="23"/>
  <c r="D661" i="23" l="1"/>
  <c r="B662" i="23"/>
  <c r="D662" i="23" l="1"/>
  <c r="B663" i="23"/>
  <c r="D663" i="23" l="1"/>
  <c r="B664" i="23"/>
  <c r="D664" i="23" l="1"/>
  <c r="B665" i="23"/>
  <c r="D665" i="23" l="1"/>
  <c r="B666" i="23"/>
  <c r="D666" i="23" l="1"/>
  <c r="B667" i="23"/>
  <c r="D667" i="23" l="1"/>
  <c r="B668" i="23"/>
  <c r="D668" i="23" l="1"/>
  <c r="B669" i="23"/>
  <c r="D669" i="23" l="1"/>
  <c r="B670" i="23"/>
  <c r="D670" i="23" l="1"/>
  <c r="B671" i="23"/>
  <c r="D671" i="23" l="1"/>
  <c r="B672" i="23"/>
  <c r="D672" i="23" l="1"/>
  <c r="B673" i="23"/>
  <c r="D673" i="23" l="1"/>
  <c r="B674" i="23"/>
  <c r="B675" i="23" s="1"/>
  <c r="D675" i="23" l="1"/>
  <c r="B676" i="23"/>
  <c r="D674" i="23"/>
  <c r="D676" i="23" l="1"/>
  <c r="B677" i="23"/>
  <c r="C674" i="23"/>
  <c r="D677" i="23" l="1"/>
  <c r="B678" i="23"/>
  <c r="D678" i="23" l="1"/>
  <c r="B679" i="23"/>
  <c r="C6" i="11"/>
  <c r="C5" i="11"/>
  <c r="C4" i="11"/>
  <c r="C3" i="11"/>
  <c r="D679" i="23" l="1"/>
  <c r="B680" i="23"/>
  <c r="AF660" i="20"/>
  <c r="AF636" i="20"/>
  <c r="AF620" i="20"/>
  <c r="AF604" i="20"/>
  <c r="AF596" i="20"/>
  <c r="AF564" i="20"/>
  <c r="AF556" i="20"/>
  <c r="AF540" i="20"/>
  <c r="AF516" i="20"/>
  <c r="AF508" i="20"/>
  <c r="AF476" i="20"/>
  <c r="AF460" i="20"/>
  <c r="AF444" i="20"/>
  <c r="AF372" i="20"/>
  <c r="AF672" i="20"/>
  <c r="AF664" i="20"/>
  <c r="AF656" i="20"/>
  <c r="AF648" i="20"/>
  <c r="AF640" i="20"/>
  <c r="AF632" i="20"/>
  <c r="AF624" i="20"/>
  <c r="AF616" i="20"/>
  <c r="AF608" i="20"/>
  <c r="AF600" i="20"/>
  <c r="AF592" i="20"/>
  <c r="AF584" i="20"/>
  <c r="AF576" i="20"/>
  <c r="AF568" i="20"/>
  <c r="AF560" i="20"/>
  <c r="AF552" i="20"/>
  <c r="AF544" i="20"/>
  <c r="AF536" i="20"/>
  <c r="AF528" i="20"/>
  <c r="AF520" i="20"/>
  <c r="AF512" i="20"/>
  <c r="AF504" i="20"/>
  <c r="AF496" i="20"/>
  <c r="AF488" i="20"/>
  <c r="AF480" i="20"/>
  <c r="AF472" i="20"/>
  <c r="AF464" i="20"/>
  <c r="AF456" i="20"/>
  <c r="AF448" i="20"/>
  <c r="AF440" i="20"/>
  <c r="AF432" i="20"/>
  <c r="AF424" i="20"/>
  <c r="AF416" i="20"/>
  <c r="AF408" i="20"/>
  <c r="AF400" i="20"/>
  <c r="AF392" i="20"/>
  <c r="AF384" i="20"/>
  <c r="AF376" i="20"/>
  <c r="AF368" i="20"/>
  <c r="AF360" i="20"/>
  <c r="AF352" i="20"/>
  <c r="AF344" i="20"/>
  <c r="AF336" i="20"/>
  <c r="AF328" i="20"/>
  <c r="AF320" i="20"/>
  <c r="AF312" i="20"/>
  <c r="AF304" i="20"/>
  <c r="AF296" i="20"/>
  <c r="AF288" i="20"/>
  <c r="AF280" i="20"/>
  <c r="AF272" i="20"/>
  <c r="AF264" i="20"/>
  <c r="AF256" i="20"/>
  <c r="AF248" i="20"/>
  <c r="AF240" i="20"/>
  <c r="AF232" i="20"/>
  <c r="AF224" i="20"/>
  <c r="AF216" i="20"/>
  <c r="AF208" i="20"/>
  <c r="AF200" i="20"/>
  <c r="AF192" i="20"/>
  <c r="AF184" i="20"/>
  <c r="AF176" i="20"/>
  <c r="AF168" i="20"/>
  <c r="AF160" i="20"/>
  <c r="AF152" i="20"/>
  <c r="AF144" i="20"/>
  <c r="AF136" i="20"/>
  <c r="AF128" i="20"/>
  <c r="AF120" i="20"/>
  <c r="AF112" i="20"/>
  <c r="AF104" i="20"/>
  <c r="AF96" i="20"/>
  <c r="AF88" i="20"/>
  <c r="AF80" i="20"/>
  <c r="AF72" i="20"/>
  <c r="AF64" i="20"/>
  <c r="AF56" i="20"/>
  <c r="AF48" i="20"/>
  <c r="AF40" i="20"/>
  <c r="AF32" i="20"/>
  <c r="AF24" i="20"/>
  <c r="AF16" i="20"/>
  <c r="AF8" i="20"/>
  <c r="AF671" i="20"/>
  <c r="AF663" i="20"/>
  <c r="AF655" i="20"/>
  <c r="AF647" i="20"/>
  <c r="AF639" i="20"/>
  <c r="AF631" i="20"/>
  <c r="AF623" i="20"/>
  <c r="AF615" i="20"/>
  <c r="AF607" i="20"/>
  <c r="AF599" i="20"/>
  <c r="AF591" i="20"/>
  <c r="AF583" i="20"/>
  <c r="AF575" i="20"/>
  <c r="AF567" i="20"/>
  <c r="AF559" i="20"/>
  <c r="AF551" i="20"/>
  <c r="AF543" i="20"/>
  <c r="AF535" i="20"/>
  <c r="AF527" i="20"/>
  <c r="AF519" i="20"/>
  <c r="AF511" i="20"/>
  <c r="AF503" i="20"/>
  <c r="AF495" i="20"/>
  <c r="AF487" i="20"/>
  <c r="AF479" i="20"/>
  <c r="AF471" i="20"/>
  <c r="AF463" i="20"/>
  <c r="AF455" i="20"/>
  <c r="AF447" i="20"/>
  <c r="AF439" i="20"/>
  <c r="AF431" i="20"/>
  <c r="AF423" i="20"/>
  <c r="AF415" i="20"/>
  <c r="AF407" i="20"/>
  <c r="AF399" i="20"/>
  <c r="AF391" i="20"/>
  <c r="AF383" i="20"/>
  <c r="AF375" i="20"/>
  <c r="AF367" i="20"/>
  <c r="AF359" i="20"/>
  <c r="AF351" i="20"/>
  <c r="AF343" i="20"/>
  <c r="AF335" i="20"/>
  <c r="AF327" i="20"/>
  <c r="AF319" i="20"/>
  <c r="AF311" i="20"/>
  <c r="AF303" i="20"/>
  <c r="AF295" i="20"/>
  <c r="AF287" i="20"/>
  <c r="AF279" i="20"/>
  <c r="AF271" i="20"/>
  <c r="AF263" i="20"/>
  <c r="AF255" i="20"/>
  <c r="AF247" i="20"/>
  <c r="AF239" i="20"/>
  <c r="AF231" i="20"/>
  <c r="AF223" i="20"/>
  <c r="AF215" i="20"/>
  <c r="AF207" i="20"/>
  <c r="AF199" i="20"/>
  <c r="AF191" i="20"/>
  <c r="AF183" i="20"/>
  <c r="AF175" i="20"/>
  <c r="AF167" i="20"/>
  <c r="AF159" i="20"/>
  <c r="AF151" i="20"/>
  <c r="AF143" i="20"/>
  <c r="AF135" i="20"/>
  <c r="AF127" i="20"/>
  <c r="AF119" i="20"/>
  <c r="AF111" i="20"/>
  <c r="AF103" i="20"/>
  <c r="AF95" i="20"/>
  <c r="AF87" i="20"/>
  <c r="AF79" i="20"/>
  <c r="AF71" i="20"/>
  <c r="AF63" i="20"/>
  <c r="AF55" i="20"/>
  <c r="AF47" i="20"/>
  <c r="AF39" i="20"/>
  <c r="AF31" i="20"/>
  <c r="AF23" i="20"/>
  <c r="AF15" i="20"/>
  <c r="AF7" i="20"/>
  <c r="AF674" i="20"/>
  <c r="AF666" i="20"/>
  <c r="AF658" i="20"/>
  <c r="AF650" i="20"/>
  <c r="AF642" i="20"/>
  <c r="AF634" i="20"/>
  <c r="AF626" i="20"/>
  <c r="AF618" i="20"/>
  <c r="AF610" i="20"/>
  <c r="AF602" i="20"/>
  <c r="AF594" i="20"/>
  <c r="AF586" i="20"/>
  <c r="AF578" i="20"/>
  <c r="AF570" i="20"/>
  <c r="AF562" i="20"/>
  <c r="AF554" i="20"/>
  <c r="AF546" i="20"/>
  <c r="AF538" i="20"/>
  <c r="AF530" i="20"/>
  <c r="AF522" i="20"/>
  <c r="AF514" i="20"/>
  <c r="AF506" i="20"/>
  <c r="AF498" i="20"/>
  <c r="AF490" i="20"/>
  <c r="AF482" i="20"/>
  <c r="AF474" i="20"/>
  <c r="AF466" i="20"/>
  <c r="AF458" i="20"/>
  <c r="AF450" i="20"/>
  <c r="AF442" i="20"/>
  <c r="AF434" i="20"/>
  <c r="AF426" i="20"/>
  <c r="AF418" i="20"/>
  <c r="AF410" i="20"/>
  <c r="AF402" i="20"/>
  <c r="AF394" i="20"/>
  <c r="AF386" i="20"/>
  <c r="AF378" i="20"/>
  <c r="AF370" i="20"/>
  <c r="AF362" i="20"/>
  <c r="AF354" i="20"/>
  <c r="AF346" i="20"/>
  <c r="AF338" i="20"/>
  <c r="AF330" i="20"/>
  <c r="AF322" i="20"/>
  <c r="AF314" i="20"/>
  <c r="AF306" i="20"/>
  <c r="AF298" i="20"/>
  <c r="AF290" i="20"/>
  <c r="AF282" i="20"/>
  <c r="AF274" i="20"/>
  <c r="AF266" i="20"/>
  <c r="AF258" i="20"/>
  <c r="AF250" i="20"/>
  <c r="AF242" i="20"/>
  <c r="AF234" i="20"/>
  <c r="AF226" i="20"/>
  <c r="AF218" i="20"/>
  <c r="AF210" i="20"/>
  <c r="AF202" i="20"/>
  <c r="AF194" i="20"/>
  <c r="AF186" i="20"/>
  <c r="AF178" i="20"/>
  <c r="AF170" i="20"/>
  <c r="AF162" i="20"/>
  <c r="AF154" i="20"/>
  <c r="AF146" i="20"/>
  <c r="AF138" i="20"/>
  <c r="AF130" i="20"/>
  <c r="AF122" i="20"/>
  <c r="AF114" i="20"/>
  <c r="AF106" i="20"/>
  <c r="AF98" i="20"/>
  <c r="AF90" i="20"/>
  <c r="AF82" i="20"/>
  <c r="AF74" i="20"/>
  <c r="AF66" i="20"/>
  <c r="AF58" i="20"/>
  <c r="AF50" i="20"/>
  <c r="AF42" i="20"/>
  <c r="AF34" i="20"/>
  <c r="AF26" i="20"/>
  <c r="AF18" i="20"/>
  <c r="AF10" i="20"/>
  <c r="AF673" i="20"/>
  <c r="AF665" i="20"/>
  <c r="AF657" i="20"/>
  <c r="AF649" i="20"/>
  <c r="AF641" i="20"/>
  <c r="AF633" i="20"/>
  <c r="AF625" i="20"/>
  <c r="AF617" i="20"/>
  <c r="AF609" i="20"/>
  <c r="AF601" i="20"/>
  <c r="AF593" i="20"/>
  <c r="AF585" i="20"/>
  <c r="AF577" i="20"/>
  <c r="AF569" i="20"/>
  <c r="AF561" i="20"/>
  <c r="AF553" i="20"/>
  <c r="AF545" i="20"/>
  <c r="AF537" i="20"/>
  <c r="AF529" i="20"/>
  <c r="AF521" i="20"/>
  <c r="AF513" i="20"/>
  <c r="AF505" i="20"/>
  <c r="AF497" i="20"/>
  <c r="AF489" i="20"/>
  <c r="AF481" i="20"/>
  <c r="AF473" i="20"/>
  <c r="AF465" i="20"/>
  <c r="AF457" i="20"/>
  <c r="AF449" i="20"/>
  <c r="AF441" i="20"/>
  <c r="AF433" i="20"/>
  <c r="AF425" i="20"/>
  <c r="AF417" i="20"/>
  <c r="AF409" i="20"/>
  <c r="AF401" i="20"/>
  <c r="AF393" i="20"/>
  <c r="AF385" i="20"/>
  <c r="AF377" i="20"/>
  <c r="AF369" i="20"/>
  <c r="AF361" i="20"/>
  <c r="AF353" i="20"/>
  <c r="AF345" i="20"/>
  <c r="AF337" i="20"/>
  <c r="AF329" i="20"/>
  <c r="AF321" i="20"/>
  <c r="AF313" i="20"/>
  <c r="AF305" i="20"/>
  <c r="AF297" i="20"/>
  <c r="AF289" i="20"/>
  <c r="AF281" i="20"/>
  <c r="AF273" i="20"/>
  <c r="AF265" i="20"/>
  <c r="AF257" i="20"/>
  <c r="AF249" i="20"/>
  <c r="AF241" i="20"/>
  <c r="AF233" i="20"/>
  <c r="AF225" i="20"/>
  <c r="AF217" i="20"/>
  <c r="AF209" i="20"/>
  <c r="AF201" i="20"/>
  <c r="AF193" i="20"/>
  <c r="AF185" i="20"/>
  <c r="AF177" i="20"/>
  <c r="AF169" i="20"/>
  <c r="AF161" i="20"/>
  <c r="AF153" i="20"/>
  <c r="AF145" i="20"/>
  <c r="AF137" i="20"/>
  <c r="AF129" i="20"/>
  <c r="AF121" i="20"/>
  <c r="AF113" i="20"/>
  <c r="AF105" i="20"/>
  <c r="AF97" i="20"/>
  <c r="AF89" i="20"/>
  <c r="AF81" i="20"/>
  <c r="AF73" i="20"/>
  <c r="AF65" i="20"/>
  <c r="AF57" i="20"/>
  <c r="AF49" i="20"/>
  <c r="AF41" i="20"/>
  <c r="AF33" i="20"/>
  <c r="AF25" i="20"/>
  <c r="AF17" i="20"/>
  <c r="AF9" i="20"/>
  <c r="AF668" i="20"/>
  <c r="AF628" i="20"/>
  <c r="AF572" i="20"/>
  <c r="AF492" i="20"/>
  <c r="AF652" i="20"/>
  <c r="AF588" i="20"/>
  <c r="AF524" i="20"/>
  <c r="AF484" i="20"/>
  <c r="AF452" i="20"/>
  <c r="AF436" i="20"/>
  <c r="AF428" i="20"/>
  <c r="AF420" i="20"/>
  <c r="AF404" i="20"/>
  <c r="AF396" i="20"/>
  <c r="AF388" i="20"/>
  <c r="AF380" i="20"/>
  <c r="AF364" i="20"/>
  <c r="AF356" i="20"/>
  <c r="AF348" i="20"/>
  <c r="AF340" i="20"/>
  <c r="AF332" i="20"/>
  <c r="AF324" i="20"/>
  <c r="AF316" i="20"/>
  <c r="AF308" i="20"/>
  <c r="AF300" i="20"/>
  <c r="AF292" i="20"/>
  <c r="AF284" i="20"/>
  <c r="AF276" i="20"/>
  <c r="AF268" i="20"/>
  <c r="AF260" i="20"/>
  <c r="AF252" i="20"/>
  <c r="AF244" i="20"/>
  <c r="AF236" i="20"/>
  <c r="AF228" i="20"/>
  <c r="AF220" i="20"/>
  <c r="AF212" i="20"/>
  <c r="AF204" i="20"/>
  <c r="AF196" i="20"/>
  <c r="AF188" i="20"/>
  <c r="AF180" i="20"/>
  <c r="AF172" i="20"/>
  <c r="AF164" i="20"/>
  <c r="AF156" i="20"/>
  <c r="AF148" i="20"/>
  <c r="AF140" i="20"/>
  <c r="AF132" i="20"/>
  <c r="AF124" i="20"/>
  <c r="AF116" i="20"/>
  <c r="AF108" i="20"/>
  <c r="AF100" i="20"/>
  <c r="AF92" i="20"/>
  <c r="AF84" i="20"/>
  <c r="AF76" i="20"/>
  <c r="AF68" i="20"/>
  <c r="AF60" i="20"/>
  <c r="AF52" i="20"/>
  <c r="AF44" i="20"/>
  <c r="AF36" i="20"/>
  <c r="AF28" i="20"/>
  <c r="AF20" i="20"/>
  <c r="AF12" i="20"/>
  <c r="AF4" i="20"/>
  <c r="AF667" i="20"/>
  <c r="AF659" i="20"/>
  <c r="AF651" i="20"/>
  <c r="AF643" i="20"/>
  <c r="AF635" i="20"/>
  <c r="AF627" i="20"/>
  <c r="AF619" i="20"/>
  <c r="AF611" i="20"/>
  <c r="AF603" i="20"/>
  <c r="AF595" i="20"/>
  <c r="AF587" i="20"/>
  <c r="AF579" i="20"/>
  <c r="AF571" i="20"/>
  <c r="AF563" i="20"/>
  <c r="AF555" i="20"/>
  <c r="AF547" i="20"/>
  <c r="AF539" i="20"/>
  <c r="AF531" i="20"/>
  <c r="AF523" i="20"/>
  <c r="AF515" i="20"/>
  <c r="AF507" i="20"/>
  <c r="AF499" i="20"/>
  <c r="AF491" i="20"/>
  <c r="AF483" i="20"/>
  <c r="AF475" i="20"/>
  <c r="AF467" i="20"/>
  <c r="AF459" i="20"/>
  <c r="AF451" i="20"/>
  <c r="AF443" i="20"/>
  <c r="AF435" i="20"/>
  <c r="AF427" i="20"/>
  <c r="AF419" i="20"/>
  <c r="AF411" i="20"/>
  <c r="AF403" i="20"/>
  <c r="AF395" i="20"/>
  <c r="AF387" i="20"/>
  <c r="AF379" i="20"/>
  <c r="AF371" i="20"/>
  <c r="AF363" i="20"/>
  <c r="AF355" i="20"/>
  <c r="AF347" i="20"/>
  <c r="AF339" i="20"/>
  <c r="AF331" i="20"/>
  <c r="AF323" i="20"/>
  <c r="AF315" i="20"/>
  <c r="AF307" i="20"/>
  <c r="AF299" i="20"/>
  <c r="AF291" i="20"/>
  <c r="AF283" i="20"/>
  <c r="AF275" i="20"/>
  <c r="AF267" i="20"/>
  <c r="AF259" i="20"/>
  <c r="AF251" i="20"/>
  <c r="AF243" i="20"/>
  <c r="AF235" i="20"/>
  <c r="AF227" i="20"/>
  <c r="AF219" i="20"/>
  <c r="AF211" i="20"/>
  <c r="AF203" i="20"/>
  <c r="AF195" i="20"/>
  <c r="AF187" i="20"/>
  <c r="AF179" i="20"/>
  <c r="AF171" i="20"/>
  <c r="AF163" i="20"/>
  <c r="AF155" i="20"/>
  <c r="AF147" i="20"/>
  <c r="AF139" i="20"/>
  <c r="AF131" i="20"/>
  <c r="AF123" i="20"/>
  <c r="AF115" i="20"/>
  <c r="AF107" i="20"/>
  <c r="AF99" i="20"/>
  <c r="AF91" i="20"/>
  <c r="AF83" i="20"/>
  <c r="AF75" i="20"/>
  <c r="AF67" i="20"/>
  <c r="AF59" i="20"/>
  <c r="AF51" i="20"/>
  <c r="AF43" i="20"/>
  <c r="AF35" i="20"/>
  <c r="AF27" i="20"/>
  <c r="AF19" i="20"/>
  <c r="AF11" i="20"/>
  <c r="AF670" i="20"/>
  <c r="AF662" i="20"/>
  <c r="AF654" i="20"/>
  <c r="AF646" i="20"/>
  <c r="AF638" i="20"/>
  <c r="AF630" i="20"/>
  <c r="AF622" i="20"/>
  <c r="AF614" i="20"/>
  <c r="AF606" i="20"/>
  <c r="AF598" i="20"/>
  <c r="AF590" i="20"/>
  <c r="AF582" i="20"/>
  <c r="AF574" i="20"/>
  <c r="AF566" i="20"/>
  <c r="AF558" i="20"/>
  <c r="AF550" i="20"/>
  <c r="AF542" i="20"/>
  <c r="AF534" i="20"/>
  <c r="AF526" i="20"/>
  <c r="AF518" i="20"/>
  <c r="AF510" i="20"/>
  <c r="AF502" i="20"/>
  <c r="AF494" i="20"/>
  <c r="AF486" i="20"/>
  <c r="AF478" i="20"/>
  <c r="AF470" i="20"/>
  <c r="AF462" i="20"/>
  <c r="AF454" i="20"/>
  <c r="AF446" i="20"/>
  <c r="AF438" i="20"/>
  <c r="AF430" i="20"/>
  <c r="AF422" i="20"/>
  <c r="AF414" i="20"/>
  <c r="AF406" i="20"/>
  <c r="AF398" i="20"/>
  <c r="AF390" i="20"/>
  <c r="AF382" i="20"/>
  <c r="AF374" i="20"/>
  <c r="AF366" i="20"/>
  <c r="AF358" i="20"/>
  <c r="AF350" i="20"/>
  <c r="AF342" i="20"/>
  <c r="AF334" i="20"/>
  <c r="AF326" i="20"/>
  <c r="AF318" i="20"/>
  <c r="AF310" i="20"/>
  <c r="AF302" i="20"/>
  <c r="AF294" i="20"/>
  <c r="AF286" i="20"/>
  <c r="AF278" i="20"/>
  <c r="AF270" i="20"/>
  <c r="AF262" i="20"/>
  <c r="AF254" i="20"/>
  <c r="AF246" i="20"/>
  <c r="AF238" i="20"/>
  <c r="AF230" i="20"/>
  <c r="AF222" i="20"/>
  <c r="AF214" i="20"/>
  <c r="AF206" i="20"/>
  <c r="AF198" i="20"/>
  <c r="AF190" i="20"/>
  <c r="AF182" i="20"/>
  <c r="AF174" i="20"/>
  <c r="AF166" i="20"/>
  <c r="AF158" i="20"/>
  <c r="AF150" i="20"/>
  <c r="AF142" i="20"/>
  <c r="AF134" i="20"/>
  <c r="AF126" i="20"/>
  <c r="AF118" i="20"/>
  <c r="AF110" i="20"/>
  <c r="AF102" i="20"/>
  <c r="AF94" i="20"/>
  <c r="AF86" i="20"/>
  <c r="AF78" i="20"/>
  <c r="AF70" i="20"/>
  <c r="AF62" i="20"/>
  <c r="AF54" i="20"/>
  <c r="AF46" i="20"/>
  <c r="AF38" i="20"/>
  <c r="AF30" i="20"/>
  <c r="AF22" i="20"/>
  <c r="AF14" i="20"/>
  <c r="AF6" i="20"/>
  <c r="AF669" i="20"/>
  <c r="AF661" i="20"/>
  <c r="AF653" i="20"/>
  <c r="AF645" i="20"/>
  <c r="AF637" i="20"/>
  <c r="AF629" i="20"/>
  <c r="AF621" i="20"/>
  <c r="AF613" i="20"/>
  <c r="AF605" i="20"/>
  <c r="AF597" i="20"/>
  <c r="AF589" i="20"/>
  <c r="AF581" i="20"/>
  <c r="AF573" i="20"/>
  <c r="AF565" i="20"/>
  <c r="AF557" i="20"/>
  <c r="AF549" i="20"/>
  <c r="AF541" i="20"/>
  <c r="AF533" i="20"/>
  <c r="AF525" i="20"/>
  <c r="AF517" i="20"/>
  <c r="AF509" i="20"/>
  <c r="AF501" i="20"/>
  <c r="AF493" i="20"/>
  <c r="AF485" i="20"/>
  <c r="AF477" i="20"/>
  <c r="AF469" i="20"/>
  <c r="AF461" i="20"/>
  <c r="AF453" i="20"/>
  <c r="AF445" i="20"/>
  <c r="AF437" i="20"/>
  <c r="AF429" i="20"/>
  <c r="AF421" i="20"/>
  <c r="AF413" i="20"/>
  <c r="AF405" i="20"/>
  <c r="AF397" i="20"/>
  <c r="AF389" i="20"/>
  <c r="AF381" i="20"/>
  <c r="AF373" i="20"/>
  <c r="AF365" i="20"/>
  <c r="AF357" i="20"/>
  <c r="AF349" i="20"/>
  <c r="AF341" i="20"/>
  <c r="AF333" i="20"/>
  <c r="AF325" i="20"/>
  <c r="AF317" i="20"/>
  <c r="AF309" i="20"/>
  <c r="AF301" i="20"/>
  <c r="AF293" i="20"/>
  <c r="AF285" i="20"/>
  <c r="AF277" i="20"/>
  <c r="AF269" i="20"/>
  <c r="AF261" i="20"/>
  <c r="AF253" i="20"/>
  <c r="AF245" i="20"/>
  <c r="AF237" i="20"/>
  <c r="AF229" i="20"/>
  <c r="AF221" i="20"/>
  <c r="AF213" i="20"/>
  <c r="AF205" i="20"/>
  <c r="AF197" i="20"/>
  <c r="AF189" i="20"/>
  <c r="AF181" i="20"/>
  <c r="AF173" i="20"/>
  <c r="AF165" i="20"/>
  <c r="AF157" i="20"/>
  <c r="AF149" i="20"/>
  <c r="AF141" i="20"/>
  <c r="AF133" i="20"/>
  <c r="AF125" i="20"/>
  <c r="AF117" i="20"/>
  <c r="AF109" i="20"/>
  <c r="AF101" i="20"/>
  <c r="AF93" i="20"/>
  <c r="AF85" i="20"/>
  <c r="AF77" i="20"/>
  <c r="AF69" i="20"/>
  <c r="AF61" i="20"/>
  <c r="AF53" i="20"/>
  <c r="AF45" i="20"/>
  <c r="AF37" i="20"/>
  <c r="AF29" i="20"/>
  <c r="AF21" i="20"/>
  <c r="AF13" i="20"/>
  <c r="AF5" i="20"/>
  <c r="AF644" i="20"/>
  <c r="AF612" i="20"/>
  <c r="AF580" i="20"/>
  <c r="AF548" i="20"/>
  <c r="AF532" i="20"/>
  <c r="AF500" i="20"/>
  <c r="AF468" i="20"/>
  <c r="AF412" i="20"/>
  <c r="B681" i="23" l="1"/>
  <c r="D680" i="23"/>
  <c r="AF3" i="20"/>
  <c r="B682" i="23" l="1"/>
  <c r="D681" i="23"/>
  <c r="D3" i="15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4" i="7"/>
  <c r="B7" i="18"/>
  <c r="B683" i="23" l="1"/>
  <c r="D682" i="23"/>
  <c r="B5" i="7"/>
  <c r="I7" i="7"/>
  <c r="O40" i="23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D7" i="16"/>
  <c r="B7" i="16"/>
  <c r="K6" i="16"/>
  <c r="C8" i="16"/>
  <c r="A8" i="16" s="1"/>
  <c r="A8" i="18"/>
  <c r="D683" i="23" l="1"/>
  <c r="B684" i="23"/>
  <c r="O74" i="23"/>
  <c r="B6" i="7"/>
  <c r="C3" i="23"/>
  <c r="E3" i="23" s="1"/>
  <c r="F3" i="23"/>
  <c r="I8" i="7"/>
  <c r="O41" i="23"/>
  <c r="O75" i="23" s="1"/>
  <c r="AB3" i="20"/>
  <c r="AC3" i="20" s="1"/>
  <c r="B8" i="16"/>
  <c r="D8" i="16"/>
  <c r="C9" i="16"/>
  <c r="A9" i="16" s="1"/>
  <c r="B8" i="18"/>
  <c r="A9" i="18"/>
  <c r="H7" i="4"/>
  <c r="G7" i="4"/>
  <c r="B685" i="23" l="1"/>
  <c r="D684" i="23"/>
  <c r="I9" i="7"/>
  <c r="B7" i="7"/>
  <c r="A5" i="23"/>
  <c r="C4" i="23" s="1"/>
  <c r="G3" i="23"/>
  <c r="G4" i="23"/>
  <c r="F4" i="23"/>
  <c r="K7" i="16"/>
  <c r="O42" i="23"/>
  <c r="E7" i="16"/>
  <c r="G8" i="4"/>
  <c r="H8" i="4"/>
  <c r="D9" i="16"/>
  <c r="B9" i="16"/>
  <c r="C10" i="16"/>
  <c r="A10" i="16" s="1"/>
  <c r="AD3" i="20"/>
  <c r="AE3" i="20" s="1"/>
  <c r="B9" i="18"/>
  <c r="A10" i="18"/>
  <c r="AB4" i="20"/>
  <c r="AC4" i="20" s="1"/>
  <c r="I10" i="7"/>
  <c r="B686" i="23" l="1"/>
  <c r="D685" i="23"/>
  <c r="F5" i="23"/>
  <c r="A6" i="23"/>
  <c r="C5" i="23" s="1"/>
  <c r="G5" i="23"/>
  <c r="B8" i="7"/>
  <c r="O76" i="23"/>
  <c r="H4" i="23"/>
  <c r="H5" i="23"/>
  <c r="H3" i="23"/>
  <c r="K8" i="16"/>
  <c r="O43" i="23"/>
  <c r="E4" i="23"/>
  <c r="D10" i="16"/>
  <c r="B10" i="16"/>
  <c r="C11" i="16"/>
  <c r="A11" i="16" s="1"/>
  <c r="AD4" i="20"/>
  <c r="AE4" i="20" s="1"/>
  <c r="I11" i="7"/>
  <c r="B10" i="18"/>
  <c r="A11" i="18"/>
  <c r="G9" i="4"/>
  <c r="H9" i="4"/>
  <c r="AB5" i="20"/>
  <c r="AC5" i="20" s="1"/>
  <c r="B687" i="23" l="1"/>
  <c r="D686" i="23"/>
  <c r="F6" i="23"/>
  <c r="H6" i="23"/>
  <c r="A7" i="23"/>
  <c r="H7" i="23" s="1"/>
  <c r="G6" i="23"/>
  <c r="B9" i="7"/>
  <c r="O77" i="23"/>
  <c r="K9" i="16"/>
  <c r="O44" i="23"/>
  <c r="K4" i="23"/>
  <c r="K6" i="23"/>
  <c r="C10" i="18" s="1"/>
  <c r="K5" i="23"/>
  <c r="C9" i="18" s="1"/>
  <c r="AA5" i="20" s="1"/>
  <c r="E5" i="23"/>
  <c r="G10" i="4"/>
  <c r="H10" i="4"/>
  <c r="D11" i="16"/>
  <c r="B11" i="16"/>
  <c r="C12" i="16"/>
  <c r="A12" i="16" s="1"/>
  <c r="I12" i="7"/>
  <c r="AB6" i="20"/>
  <c r="AD5" i="20"/>
  <c r="AE5" i="20" s="1"/>
  <c r="B11" i="18"/>
  <c r="A12" i="18"/>
  <c r="D687" i="23" l="1"/>
  <c r="B688" i="23"/>
  <c r="A8" i="23"/>
  <c r="K7" i="23"/>
  <c r="C11" i="18" s="1"/>
  <c r="F7" i="23"/>
  <c r="G7" i="23"/>
  <c r="C6" i="23"/>
  <c r="E6" i="23" s="1"/>
  <c r="O78" i="23"/>
  <c r="C7" i="18"/>
  <c r="B10" i="7"/>
  <c r="K10" i="16"/>
  <c r="C8" i="18"/>
  <c r="I8" i="14" s="1"/>
  <c r="O45" i="23"/>
  <c r="I10" i="14"/>
  <c r="AA6" i="20"/>
  <c r="L9" i="14"/>
  <c r="M9" i="14" s="1"/>
  <c r="N9" i="14" s="1"/>
  <c r="I9" i="14"/>
  <c r="H8" i="23"/>
  <c r="AB7" i="20"/>
  <c r="H11" i="4"/>
  <c r="G11" i="4"/>
  <c r="AC6" i="20"/>
  <c r="C7" i="23"/>
  <c r="F8" i="23"/>
  <c r="G8" i="23"/>
  <c r="A9" i="23"/>
  <c r="K8" i="23"/>
  <c r="C12" i="18" s="1"/>
  <c r="B12" i="18"/>
  <c r="A13" i="18"/>
  <c r="I13" i="7"/>
  <c r="AD6" i="20"/>
  <c r="L10" i="14"/>
  <c r="AA3" i="20"/>
  <c r="D12" i="16"/>
  <c r="B12" i="16"/>
  <c r="C13" i="16"/>
  <c r="A13" i="16" s="1"/>
  <c r="B689" i="23" l="1"/>
  <c r="D688" i="23"/>
  <c r="O79" i="23"/>
  <c r="B11" i="7"/>
  <c r="K11" i="16"/>
  <c r="L8" i="14"/>
  <c r="M8" i="14" s="1"/>
  <c r="N8" i="14" s="1"/>
  <c r="AA4" i="20"/>
  <c r="O46" i="23"/>
  <c r="R9" i="14"/>
  <c r="I11" i="14"/>
  <c r="F9" i="14"/>
  <c r="G9" i="14" s="1"/>
  <c r="H9" i="14" s="1"/>
  <c r="AA7" i="20"/>
  <c r="E7" i="23"/>
  <c r="H9" i="23"/>
  <c r="D13" i="16"/>
  <c r="B13" i="16"/>
  <c r="C14" i="16"/>
  <c r="A14" i="16" s="1"/>
  <c r="AB8" i="20"/>
  <c r="F8" i="14"/>
  <c r="B13" i="18"/>
  <c r="A14" i="18"/>
  <c r="AE6" i="20"/>
  <c r="O10" i="14"/>
  <c r="M10" i="14"/>
  <c r="N10" i="14" s="1"/>
  <c r="I14" i="7"/>
  <c r="AC7" i="20"/>
  <c r="F10" i="14"/>
  <c r="G12" i="4"/>
  <c r="H12" i="4"/>
  <c r="AD7" i="20"/>
  <c r="L11" i="14"/>
  <c r="G9" i="23"/>
  <c r="C8" i="23"/>
  <c r="F9" i="23"/>
  <c r="A10" i="23"/>
  <c r="K9" i="23"/>
  <c r="C13" i="18" s="1"/>
  <c r="D689" i="23" l="1"/>
  <c r="B690" i="23"/>
  <c r="O80" i="23"/>
  <c r="B12" i="7"/>
  <c r="K12" i="16"/>
  <c r="AA8" i="20"/>
  <c r="O9" i="14"/>
  <c r="P9" i="14" s="1"/>
  <c r="Q9" i="14" s="1"/>
  <c r="O8" i="14"/>
  <c r="P8" i="14" s="1"/>
  <c r="Q8" i="14" s="1"/>
  <c r="I12" i="14"/>
  <c r="O47" i="23"/>
  <c r="C9" i="14"/>
  <c r="AA9" i="20"/>
  <c r="E8" i="23"/>
  <c r="H10" i="23"/>
  <c r="R10" i="14"/>
  <c r="C8" i="14"/>
  <c r="F11" i="14"/>
  <c r="G11" i="14" s="1"/>
  <c r="H11" i="14" s="1"/>
  <c r="F7" i="14"/>
  <c r="B14" i="18"/>
  <c r="A15" i="18"/>
  <c r="AC8" i="20"/>
  <c r="L7" i="14"/>
  <c r="B14" i="16"/>
  <c r="D14" i="16"/>
  <c r="C15" i="16"/>
  <c r="A15" i="16" s="1"/>
  <c r="C7" i="14"/>
  <c r="P10" i="14"/>
  <c r="Q10" i="14" s="1"/>
  <c r="AD8" i="20"/>
  <c r="L12" i="14"/>
  <c r="O7" i="14"/>
  <c r="F10" i="23"/>
  <c r="G10" i="23"/>
  <c r="C9" i="23"/>
  <c r="K10" i="23"/>
  <c r="C14" i="18" s="1"/>
  <c r="A11" i="23"/>
  <c r="G10" i="14"/>
  <c r="H10" i="14" s="1"/>
  <c r="G13" i="4"/>
  <c r="H13" i="4"/>
  <c r="I15" i="7"/>
  <c r="G8" i="14"/>
  <c r="H8" i="14" s="1"/>
  <c r="AB9" i="20"/>
  <c r="AC9" i="20" s="1"/>
  <c r="M11" i="14"/>
  <c r="N11" i="14" s="1"/>
  <c r="AE7" i="20"/>
  <c r="O11" i="14"/>
  <c r="I7" i="14"/>
  <c r="C10" i="14"/>
  <c r="B691" i="23" l="1"/>
  <c r="D690" i="23"/>
  <c r="B13" i="7"/>
  <c r="O81" i="23"/>
  <c r="K13" i="16"/>
  <c r="R8" i="14"/>
  <c r="O48" i="23"/>
  <c r="L13" i="14"/>
  <c r="I13" i="14"/>
  <c r="E9" i="23"/>
  <c r="H11" i="23"/>
  <c r="C11" i="14"/>
  <c r="R11" i="14"/>
  <c r="F12" i="14"/>
  <c r="G12" i="14" s="1"/>
  <c r="H12" i="14" s="1"/>
  <c r="I16" i="7"/>
  <c r="D15" i="16"/>
  <c r="B15" i="16"/>
  <c r="C16" i="16"/>
  <c r="A16" i="16" s="1"/>
  <c r="M7" i="14"/>
  <c r="N7" i="14" s="1"/>
  <c r="B15" i="18"/>
  <c r="A16" i="18"/>
  <c r="R7" i="14"/>
  <c r="AD9" i="20"/>
  <c r="AE9" i="20" s="1"/>
  <c r="H14" i="4"/>
  <c r="G14" i="4"/>
  <c r="C10" i="23"/>
  <c r="F11" i="23"/>
  <c r="G11" i="23"/>
  <c r="K11" i="23"/>
  <c r="C15" i="18" s="1"/>
  <c r="A12" i="23"/>
  <c r="M12" i="14"/>
  <c r="N12" i="14" s="1"/>
  <c r="AE8" i="20"/>
  <c r="AB10" i="20"/>
  <c r="AC10" i="20" s="1"/>
  <c r="G7" i="14"/>
  <c r="H7" i="14" s="1"/>
  <c r="J7" i="14"/>
  <c r="K7" i="14" s="1"/>
  <c r="P11" i="14"/>
  <c r="Q11" i="14" s="1"/>
  <c r="P7" i="14"/>
  <c r="Q7" i="14" s="1"/>
  <c r="D7" i="14"/>
  <c r="E7" i="14" s="1"/>
  <c r="D691" i="23" l="1"/>
  <c r="B692" i="23"/>
  <c r="B14" i="7"/>
  <c r="O82" i="23"/>
  <c r="K14" i="16"/>
  <c r="O49" i="23"/>
  <c r="O83" i="23" s="1"/>
  <c r="O14" i="14"/>
  <c r="AA10" i="20"/>
  <c r="E10" i="23"/>
  <c r="H12" i="23"/>
  <c r="C12" i="14"/>
  <c r="O13" i="14"/>
  <c r="P13" i="14" s="1"/>
  <c r="Q13" i="14" s="1"/>
  <c r="S7" i="14"/>
  <c r="T7" i="14" s="1"/>
  <c r="D16" i="16"/>
  <c r="B16" i="16"/>
  <c r="C17" i="16"/>
  <c r="A17" i="16" s="1"/>
  <c r="H15" i="4"/>
  <c r="G15" i="4"/>
  <c r="O12" i="14"/>
  <c r="M13" i="14"/>
  <c r="N13" i="14" s="1"/>
  <c r="AD10" i="20"/>
  <c r="AE10" i="20" s="1"/>
  <c r="G12" i="23"/>
  <c r="C11" i="23"/>
  <c r="F12" i="23"/>
  <c r="A13" i="23"/>
  <c r="K12" i="23"/>
  <c r="C16" i="18" s="1"/>
  <c r="C13" i="14"/>
  <c r="B16" i="18"/>
  <c r="A17" i="18"/>
  <c r="AB11" i="20"/>
  <c r="AC11" i="20" s="1"/>
  <c r="I17" i="7"/>
  <c r="D692" i="23" l="1"/>
  <c r="B693" i="23"/>
  <c r="B15" i="7"/>
  <c r="K15" i="16"/>
  <c r="O50" i="23"/>
  <c r="AA12" i="20"/>
  <c r="E11" i="23"/>
  <c r="H13" i="23"/>
  <c r="R13" i="14"/>
  <c r="R14" i="14"/>
  <c r="B17" i="18"/>
  <c r="A18" i="18"/>
  <c r="C12" i="23"/>
  <c r="G13" i="23"/>
  <c r="F13" i="23"/>
  <c r="A14" i="23"/>
  <c r="K13" i="23"/>
  <c r="C17" i="18" s="1"/>
  <c r="I14" i="14"/>
  <c r="AB12" i="20"/>
  <c r="AC12" i="20" s="1"/>
  <c r="AA11" i="20"/>
  <c r="L15" i="14"/>
  <c r="I18" i="7"/>
  <c r="AD11" i="20"/>
  <c r="AE11" i="20" s="1"/>
  <c r="F13" i="14"/>
  <c r="L14" i="14"/>
  <c r="R12" i="14"/>
  <c r="G16" i="4"/>
  <c r="H16" i="4"/>
  <c r="B17" i="16"/>
  <c r="D17" i="16"/>
  <c r="C18" i="16"/>
  <c r="A18" i="16" s="1"/>
  <c r="P14" i="14"/>
  <c r="Q14" i="14" s="1"/>
  <c r="P12" i="14"/>
  <c r="Q12" i="14" s="1"/>
  <c r="B694" i="23" l="1"/>
  <c r="D693" i="23"/>
  <c r="B16" i="7"/>
  <c r="O84" i="23"/>
  <c r="K16" i="16"/>
  <c r="I16" i="14"/>
  <c r="O51" i="23"/>
  <c r="O85" i="23" s="1"/>
  <c r="AA13" i="20"/>
  <c r="E12" i="23"/>
  <c r="H14" i="23"/>
  <c r="F14" i="14"/>
  <c r="B18" i="18"/>
  <c r="A19" i="18"/>
  <c r="I19" i="7"/>
  <c r="AD12" i="20"/>
  <c r="AE12" i="20" s="1"/>
  <c r="B18" i="16"/>
  <c r="D18" i="16"/>
  <c r="C19" i="16"/>
  <c r="A19" i="16" s="1"/>
  <c r="G17" i="4"/>
  <c r="H17" i="4"/>
  <c r="AB13" i="20"/>
  <c r="AC13" i="20" s="1"/>
  <c r="G13" i="14"/>
  <c r="H13" i="14" s="1"/>
  <c r="F14" i="23"/>
  <c r="G14" i="23"/>
  <c r="C13" i="23"/>
  <c r="A15" i="23"/>
  <c r="K15" i="23" s="1"/>
  <c r="K14" i="23"/>
  <c r="C18" i="18" s="1"/>
  <c r="F15" i="14"/>
  <c r="B695" i="23" l="1"/>
  <c r="D694" i="23"/>
  <c r="B17" i="7"/>
  <c r="K17" i="16"/>
  <c r="I17" i="14"/>
  <c r="L17" i="14"/>
  <c r="O52" i="23"/>
  <c r="O86" i="23" s="1"/>
  <c r="E13" i="23"/>
  <c r="H15" i="23"/>
  <c r="F16" i="14"/>
  <c r="G16" i="14" s="1"/>
  <c r="H16" i="14" s="1"/>
  <c r="G18" i="4"/>
  <c r="H18" i="4"/>
  <c r="AB14" i="20"/>
  <c r="I15" i="14"/>
  <c r="C14" i="23"/>
  <c r="F15" i="23"/>
  <c r="G15" i="23"/>
  <c r="C19" i="18"/>
  <c r="A16" i="23"/>
  <c r="AD13" i="20"/>
  <c r="AE13" i="20" s="1"/>
  <c r="L16" i="14"/>
  <c r="R15" i="14"/>
  <c r="C15" i="14"/>
  <c r="D19" i="16"/>
  <c r="B19" i="16"/>
  <c r="C20" i="16"/>
  <c r="A20" i="16" s="1"/>
  <c r="C14" i="14"/>
  <c r="G15" i="14"/>
  <c r="H15" i="14" s="1"/>
  <c r="O15" i="14"/>
  <c r="I20" i="7"/>
  <c r="G14" i="14"/>
  <c r="H14" i="14" s="1"/>
  <c r="B19" i="18"/>
  <c r="A20" i="18"/>
  <c r="D695" i="23" l="1"/>
  <c r="B696" i="23"/>
  <c r="B18" i="7"/>
  <c r="K18" i="16"/>
  <c r="AA14" i="20"/>
  <c r="O53" i="23"/>
  <c r="I18" i="14"/>
  <c r="E14" i="23"/>
  <c r="C16" i="14"/>
  <c r="H16" i="23"/>
  <c r="O17" i="14"/>
  <c r="P17" i="14" s="1"/>
  <c r="Q17" i="14" s="1"/>
  <c r="B20" i="18"/>
  <c r="A21" i="18"/>
  <c r="I21" i="7"/>
  <c r="AC14" i="20"/>
  <c r="G19" i="4"/>
  <c r="H19" i="4"/>
  <c r="P15" i="14"/>
  <c r="Q15" i="14" s="1"/>
  <c r="F16" i="23"/>
  <c r="C15" i="23"/>
  <c r="G16" i="23"/>
  <c r="A17" i="23"/>
  <c r="K16" i="23"/>
  <c r="C20" i="18" s="1"/>
  <c r="D20" i="16"/>
  <c r="B20" i="16"/>
  <c r="C21" i="16"/>
  <c r="A21" i="16" s="1"/>
  <c r="O16" i="14"/>
  <c r="L18" i="14"/>
  <c r="AD14" i="20"/>
  <c r="F17" i="14"/>
  <c r="AB15" i="20"/>
  <c r="AC15" i="20" s="1"/>
  <c r="B697" i="23" l="1"/>
  <c r="D696" i="23"/>
  <c r="B19" i="7"/>
  <c r="O87" i="23"/>
  <c r="K19" i="16"/>
  <c r="I19" i="14"/>
  <c r="O54" i="23"/>
  <c r="AA15" i="20"/>
  <c r="AA16" i="20"/>
  <c r="E15" i="23"/>
  <c r="H17" i="23"/>
  <c r="R17" i="14"/>
  <c r="F18" i="14"/>
  <c r="G18" i="14" s="1"/>
  <c r="H18" i="14" s="1"/>
  <c r="C16" i="23"/>
  <c r="G17" i="23"/>
  <c r="F17" i="23"/>
  <c r="K17" i="23"/>
  <c r="C21" i="18" s="1"/>
  <c r="A18" i="23"/>
  <c r="AE14" i="20"/>
  <c r="AD15" i="20"/>
  <c r="AE15" i="20" s="1"/>
  <c r="L19" i="14"/>
  <c r="R16" i="14"/>
  <c r="AB16" i="20"/>
  <c r="AC16" i="20" s="1"/>
  <c r="P16" i="14"/>
  <c r="Q16" i="14" s="1"/>
  <c r="I22" i="7"/>
  <c r="G17" i="14"/>
  <c r="H17" i="14" s="1"/>
  <c r="D21" i="16"/>
  <c r="B21" i="16"/>
  <c r="C22" i="16"/>
  <c r="A22" i="16" s="1"/>
  <c r="H20" i="4"/>
  <c r="G20" i="4"/>
  <c r="C17" i="14"/>
  <c r="B21" i="18"/>
  <c r="A22" i="18"/>
  <c r="B698" i="23" l="1"/>
  <c r="D697" i="23"/>
  <c r="B20" i="7"/>
  <c r="O88" i="23"/>
  <c r="K20" i="16"/>
  <c r="O55" i="23"/>
  <c r="L20" i="14"/>
  <c r="I20" i="14"/>
  <c r="AA17" i="20"/>
  <c r="E16" i="23"/>
  <c r="H18" i="23"/>
  <c r="C18" i="14"/>
  <c r="M19" i="14"/>
  <c r="N19" i="14" s="1"/>
  <c r="B22" i="18"/>
  <c r="A23" i="18"/>
  <c r="I23" i="7"/>
  <c r="D22" i="16"/>
  <c r="B22" i="16"/>
  <c r="C23" i="16"/>
  <c r="A23" i="16" s="1"/>
  <c r="G21" i="4"/>
  <c r="H21" i="4"/>
  <c r="AB17" i="20"/>
  <c r="AC17" i="20" s="1"/>
  <c r="F19" i="14"/>
  <c r="O19" i="14"/>
  <c r="AD16" i="20"/>
  <c r="AE16" i="20" s="1"/>
  <c r="O18" i="14"/>
  <c r="C17" i="23"/>
  <c r="G18" i="23"/>
  <c r="F18" i="23"/>
  <c r="K18" i="23"/>
  <c r="C22" i="18" s="1"/>
  <c r="A19" i="23"/>
  <c r="B699" i="23" l="1"/>
  <c r="D698" i="23"/>
  <c r="B21" i="7"/>
  <c r="O89" i="23"/>
  <c r="K21" i="16"/>
  <c r="O56" i="23"/>
  <c r="I21" i="14"/>
  <c r="L21" i="14"/>
  <c r="E17" i="23"/>
  <c r="H19" i="23"/>
  <c r="C19" i="14"/>
  <c r="G19" i="23"/>
  <c r="F19" i="23"/>
  <c r="C18" i="23"/>
  <c r="K19" i="23"/>
  <c r="C23" i="18" s="1"/>
  <c r="A20" i="23"/>
  <c r="P18" i="14"/>
  <c r="Q18" i="14" s="1"/>
  <c r="P19" i="14"/>
  <c r="Q19" i="14" s="1"/>
  <c r="G19" i="14"/>
  <c r="H19" i="14" s="1"/>
  <c r="G22" i="4"/>
  <c r="H22" i="4"/>
  <c r="AB18" i="20"/>
  <c r="AC18" i="20" s="1"/>
  <c r="B23" i="18"/>
  <c r="A24" i="18"/>
  <c r="O20" i="14"/>
  <c r="AD17" i="20"/>
  <c r="AE17" i="20" s="1"/>
  <c r="B23" i="16"/>
  <c r="D23" i="16"/>
  <c r="C24" i="16"/>
  <c r="A24" i="16" s="1"/>
  <c r="I24" i="7"/>
  <c r="R18" i="14"/>
  <c r="R19" i="14"/>
  <c r="F20" i="14"/>
  <c r="D699" i="23" l="1"/>
  <c r="B700" i="23"/>
  <c r="B22" i="7"/>
  <c r="O90" i="23"/>
  <c r="K22" i="16"/>
  <c r="O57" i="23"/>
  <c r="I22" i="14"/>
  <c r="AA18" i="20"/>
  <c r="AA19" i="20"/>
  <c r="E18" i="23"/>
  <c r="H20" i="23"/>
  <c r="F21" i="14"/>
  <c r="G21" i="14" s="1"/>
  <c r="H21" i="14" s="1"/>
  <c r="R20" i="14"/>
  <c r="P20" i="14"/>
  <c r="Q20" i="14" s="1"/>
  <c r="G20" i="14"/>
  <c r="H20" i="14" s="1"/>
  <c r="AB19" i="20"/>
  <c r="AC19" i="20" s="1"/>
  <c r="D24" i="16"/>
  <c r="B24" i="16"/>
  <c r="C25" i="16"/>
  <c r="A25" i="16" s="1"/>
  <c r="B24" i="18"/>
  <c r="A25" i="18"/>
  <c r="C20" i="14"/>
  <c r="F20" i="23"/>
  <c r="C19" i="23"/>
  <c r="G20" i="23"/>
  <c r="A21" i="23"/>
  <c r="K20" i="23"/>
  <c r="C24" i="18" s="1"/>
  <c r="AD18" i="20"/>
  <c r="AE18" i="20" s="1"/>
  <c r="L22" i="14"/>
  <c r="G23" i="4"/>
  <c r="H23" i="4"/>
  <c r="I25" i="7"/>
  <c r="O21" i="14"/>
  <c r="D700" i="23" l="1"/>
  <c r="B701" i="23"/>
  <c r="B23" i="7"/>
  <c r="O91" i="23"/>
  <c r="K23" i="16"/>
  <c r="L23" i="14"/>
  <c r="O58" i="23"/>
  <c r="I23" i="14"/>
  <c r="E19" i="23"/>
  <c r="H21" i="23"/>
  <c r="O22" i="14"/>
  <c r="P22" i="14" s="1"/>
  <c r="Q22" i="14" s="1"/>
  <c r="C21" i="14"/>
  <c r="R21" i="14"/>
  <c r="P21" i="14"/>
  <c r="Q21" i="14" s="1"/>
  <c r="I26" i="7"/>
  <c r="AB20" i="20"/>
  <c r="AC20" i="20" s="1"/>
  <c r="AD19" i="20"/>
  <c r="AE19" i="20" s="1"/>
  <c r="J22" i="14"/>
  <c r="K22" i="14" s="1"/>
  <c r="B25" i="18"/>
  <c r="A26" i="18"/>
  <c r="D25" i="16"/>
  <c r="B25" i="16"/>
  <c r="C26" i="16"/>
  <c r="A26" i="16" s="1"/>
  <c r="H24" i="4"/>
  <c r="G24" i="4"/>
  <c r="G21" i="23"/>
  <c r="C20" i="23"/>
  <c r="F21" i="23"/>
  <c r="A22" i="23"/>
  <c r="K21" i="23"/>
  <c r="C25" i="18" s="1"/>
  <c r="B702" i="23" l="1"/>
  <c r="D701" i="23"/>
  <c r="B24" i="7"/>
  <c r="O92" i="23"/>
  <c r="K24" i="16"/>
  <c r="AA20" i="20"/>
  <c r="O59" i="23"/>
  <c r="O93" i="23" s="1"/>
  <c r="R22" i="14"/>
  <c r="I24" i="14"/>
  <c r="E20" i="23"/>
  <c r="H22" i="23"/>
  <c r="B26" i="18"/>
  <c r="A27" i="18"/>
  <c r="O23" i="14"/>
  <c r="G25" i="4"/>
  <c r="H25" i="4"/>
  <c r="F23" i="14"/>
  <c r="AB21" i="20"/>
  <c r="AC21" i="20" s="1"/>
  <c r="D26" i="16"/>
  <c r="B26" i="16"/>
  <c r="C27" i="16"/>
  <c r="A27" i="16" s="1"/>
  <c r="J23" i="14"/>
  <c r="K23" i="14" s="1"/>
  <c r="I27" i="7"/>
  <c r="G22" i="23"/>
  <c r="F22" i="23"/>
  <c r="C21" i="23"/>
  <c r="K22" i="23"/>
  <c r="C26" i="18" s="1"/>
  <c r="A23" i="23"/>
  <c r="F22" i="14"/>
  <c r="C22" i="14"/>
  <c r="AD20" i="20"/>
  <c r="AE20" i="20" s="1"/>
  <c r="L24" i="14"/>
  <c r="B703" i="23" l="1"/>
  <c r="D702" i="23"/>
  <c r="B25" i="7"/>
  <c r="K25" i="16"/>
  <c r="O60" i="23"/>
  <c r="O94" i="23" s="1"/>
  <c r="I25" i="14"/>
  <c r="AA21" i="20"/>
  <c r="E21" i="23"/>
  <c r="H23" i="23"/>
  <c r="R23" i="14"/>
  <c r="F24" i="14"/>
  <c r="G24" i="14" s="1"/>
  <c r="H24" i="14" s="1"/>
  <c r="G23" i="14"/>
  <c r="H23" i="14" s="1"/>
  <c r="P23" i="14"/>
  <c r="Q23" i="14" s="1"/>
  <c r="AB22" i="20"/>
  <c r="AC22" i="20" s="1"/>
  <c r="F23" i="23"/>
  <c r="G23" i="23"/>
  <c r="C22" i="23"/>
  <c r="K23" i="23"/>
  <c r="C27" i="18" s="1"/>
  <c r="A24" i="23"/>
  <c r="AD21" i="20"/>
  <c r="AE21" i="20" s="1"/>
  <c r="L25" i="14"/>
  <c r="C23" i="14"/>
  <c r="B27" i="18"/>
  <c r="A28" i="18"/>
  <c r="G22" i="14"/>
  <c r="H22" i="14" s="1"/>
  <c r="I28" i="7"/>
  <c r="D27" i="16"/>
  <c r="B27" i="16"/>
  <c r="C28" i="16"/>
  <c r="A28" i="16" s="1"/>
  <c r="G26" i="4"/>
  <c r="H26" i="4"/>
  <c r="J24" i="14"/>
  <c r="K24" i="14" s="1"/>
  <c r="O24" i="14"/>
  <c r="D703" i="23" l="1"/>
  <c r="B704" i="23"/>
  <c r="B26" i="7"/>
  <c r="K26" i="16"/>
  <c r="O61" i="23"/>
  <c r="O95" i="23" s="1"/>
  <c r="AA22" i="20"/>
  <c r="O25" i="14"/>
  <c r="P25" i="14" s="1"/>
  <c r="Q25" i="14" s="1"/>
  <c r="L26" i="14"/>
  <c r="E22" i="23"/>
  <c r="H24" i="23"/>
  <c r="C24" i="14"/>
  <c r="F25" i="14"/>
  <c r="G25" i="14" s="1"/>
  <c r="H25" i="14" s="1"/>
  <c r="P24" i="14"/>
  <c r="Q24" i="14" s="1"/>
  <c r="G27" i="4"/>
  <c r="H27" i="4"/>
  <c r="B28" i="16"/>
  <c r="D28" i="16"/>
  <c r="C29" i="16"/>
  <c r="A29" i="16" s="1"/>
  <c r="I26" i="14"/>
  <c r="AB23" i="20"/>
  <c r="AC23" i="20" s="1"/>
  <c r="F24" i="23"/>
  <c r="G24" i="23"/>
  <c r="C23" i="23"/>
  <c r="A25" i="23"/>
  <c r="K24" i="23"/>
  <c r="C28" i="18" s="1"/>
  <c r="R24" i="14"/>
  <c r="B28" i="18"/>
  <c r="A29" i="18"/>
  <c r="I29" i="7"/>
  <c r="AD22" i="20"/>
  <c r="AE22" i="20" s="1"/>
  <c r="D704" i="23" l="1"/>
  <c r="B705" i="23"/>
  <c r="B27" i="7"/>
  <c r="K27" i="16"/>
  <c r="AA23" i="20"/>
  <c r="R25" i="14"/>
  <c r="O62" i="23"/>
  <c r="I27" i="14"/>
  <c r="E23" i="23"/>
  <c r="H25" i="23"/>
  <c r="C25" i="14"/>
  <c r="F26" i="14"/>
  <c r="G26" i="14" s="1"/>
  <c r="H26" i="14" s="1"/>
  <c r="G25" i="23"/>
  <c r="C24" i="23"/>
  <c r="F25" i="23"/>
  <c r="K25" i="23"/>
  <c r="C29" i="18" s="1"/>
  <c r="A26" i="23"/>
  <c r="AD23" i="20"/>
  <c r="AE23" i="20" s="1"/>
  <c r="L27" i="14"/>
  <c r="B29" i="18"/>
  <c r="A30" i="18"/>
  <c r="AB24" i="20"/>
  <c r="AC24" i="20" s="1"/>
  <c r="I30" i="7"/>
  <c r="O26" i="14"/>
  <c r="D29" i="16"/>
  <c r="B29" i="16"/>
  <c r="C30" i="16"/>
  <c r="A30" i="16" s="1"/>
  <c r="H28" i="4"/>
  <c r="G28" i="4"/>
  <c r="D705" i="23" l="1"/>
  <c r="B706" i="23"/>
  <c r="B28" i="7"/>
  <c r="O96" i="23"/>
  <c r="K28" i="16"/>
  <c r="O63" i="23"/>
  <c r="L28" i="14"/>
  <c r="AA24" i="20"/>
  <c r="AA25" i="20"/>
  <c r="E24" i="23"/>
  <c r="H26" i="23"/>
  <c r="C26" i="14"/>
  <c r="O27" i="14"/>
  <c r="P27" i="14" s="1"/>
  <c r="Q27" i="14" s="1"/>
  <c r="I31" i="7"/>
  <c r="D30" i="16"/>
  <c r="B30" i="16"/>
  <c r="C31" i="16"/>
  <c r="A31" i="16" s="1"/>
  <c r="G29" i="4"/>
  <c r="H29" i="4"/>
  <c r="I28" i="14"/>
  <c r="AB25" i="20"/>
  <c r="AC25" i="20" s="1"/>
  <c r="F27" i="14"/>
  <c r="R26" i="14"/>
  <c r="J27" i="14"/>
  <c r="K27" i="14" s="1"/>
  <c r="B30" i="18"/>
  <c r="A31" i="18"/>
  <c r="G26" i="23"/>
  <c r="F26" i="23"/>
  <c r="C25" i="23"/>
  <c r="K26" i="23"/>
  <c r="C30" i="18" s="1"/>
  <c r="A27" i="23"/>
  <c r="AD24" i="20"/>
  <c r="AE24" i="20" s="1"/>
  <c r="P26" i="14"/>
  <c r="Q26" i="14" s="1"/>
  <c r="B707" i="23" l="1"/>
  <c r="D706" i="23"/>
  <c r="B29" i="7"/>
  <c r="O97" i="23"/>
  <c r="K29" i="16"/>
  <c r="O64" i="23"/>
  <c r="O98" i="23" s="1"/>
  <c r="L29" i="14"/>
  <c r="I29" i="14"/>
  <c r="AA26" i="20"/>
  <c r="E25" i="23"/>
  <c r="R27" i="14"/>
  <c r="H27" i="23"/>
  <c r="C27" i="14"/>
  <c r="O28" i="14"/>
  <c r="P28" i="14" s="1"/>
  <c r="Q28" i="14" s="1"/>
  <c r="B31" i="18"/>
  <c r="A32" i="18"/>
  <c r="AB26" i="20"/>
  <c r="J28" i="14"/>
  <c r="K28" i="14" s="1"/>
  <c r="C26" i="23"/>
  <c r="F27" i="23"/>
  <c r="G27" i="23"/>
  <c r="K27" i="23"/>
  <c r="C31" i="18" s="1"/>
  <c r="A28" i="23"/>
  <c r="AD25" i="20"/>
  <c r="AE25" i="20" s="1"/>
  <c r="G27" i="14"/>
  <c r="H27" i="14" s="1"/>
  <c r="F28" i="14"/>
  <c r="G30" i="4"/>
  <c r="H30" i="4"/>
  <c r="B31" i="16"/>
  <c r="D31" i="16"/>
  <c r="C32" i="16"/>
  <c r="A32" i="16" s="1"/>
  <c r="I32" i="7"/>
  <c r="D707" i="23" l="1"/>
  <c r="B708" i="23"/>
  <c r="B30" i="7"/>
  <c r="K30" i="16"/>
  <c r="O65" i="23"/>
  <c r="L30" i="14"/>
  <c r="I30" i="14"/>
  <c r="AA27" i="20"/>
  <c r="E26" i="23"/>
  <c r="H28" i="23"/>
  <c r="R28" i="14"/>
  <c r="O29" i="14"/>
  <c r="P29" i="14" s="1"/>
  <c r="Q29" i="14" s="1"/>
  <c r="G31" i="4"/>
  <c r="H31" i="4"/>
  <c r="F29" i="14"/>
  <c r="C28" i="14"/>
  <c r="G28" i="14"/>
  <c r="H28" i="14" s="1"/>
  <c r="AD26" i="20"/>
  <c r="B32" i="18"/>
  <c r="A33" i="18"/>
  <c r="AB27" i="20"/>
  <c r="AC27" i="20" s="1"/>
  <c r="I33" i="7"/>
  <c r="I34" i="7" s="1"/>
  <c r="D32" i="16"/>
  <c r="B32" i="16"/>
  <c r="C33" i="16"/>
  <c r="A33" i="16" s="1"/>
  <c r="M29" i="14"/>
  <c r="N29" i="14" s="1"/>
  <c r="AC26" i="20"/>
  <c r="F28" i="23"/>
  <c r="C27" i="23"/>
  <c r="G28" i="23"/>
  <c r="K28" i="23"/>
  <c r="C32" i="18" s="1"/>
  <c r="A29" i="23"/>
  <c r="B709" i="23" l="1"/>
  <c r="D708" i="23"/>
  <c r="I35" i="7"/>
  <c r="B31" i="7"/>
  <c r="O99" i="23"/>
  <c r="K31" i="16"/>
  <c r="O66" i="23"/>
  <c r="O100" i="23" s="1"/>
  <c r="L31" i="14"/>
  <c r="I31" i="14"/>
  <c r="E27" i="23"/>
  <c r="H29" i="23"/>
  <c r="C29" i="14"/>
  <c r="R29" i="14"/>
  <c r="D33" i="16"/>
  <c r="B33" i="16"/>
  <c r="C34" i="16"/>
  <c r="A34" i="16" s="1"/>
  <c r="AE26" i="20"/>
  <c r="M30" i="14"/>
  <c r="N30" i="14" s="1"/>
  <c r="G29" i="14"/>
  <c r="H29" i="14" s="1"/>
  <c r="H32" i="4"/>
  <c r="G32" i="4"/>
  <c r="B33" i="18"/>
  <c r="A34" i="18"/>
  <c r="AB28" i="20"/>
  <c r="AC28" i="20" s="1"/>
  <c r="F29" i="23"/>
  <c r="G29" i="23"/>
  <c r="C28" i="23"/>
  <c r="A30" i="23"/>
  <c r="K29" i="23"/>
  <c r="C33" i="18" s="1"/>
  <c r="AD27" i="20"/>
  <c r="AE27" i="20" s="1"/>
  <c r="F30" i="14"/>
  <c r="D709" i="23" l="1"/>
  <c r="B710" i="23"/>
  <c r="B32" i="7"/>
  <c r="K32" i="16"/>
  <c r="O67" i="23"/>
  <c r="I32" i="14"/>
  <c r="AA28" i="20"/>
  <c r="E28" i="23"/>
  <c r="H30" i="23"/>
  <c r="F31" i="14"/>
  <c r="C30" i="14"/>
  <c r="AB29" i="20"/>
  <c r="D34" i="16"/>
  <c r="B34" i="16"/>
  <c r="C35" i="16"/>
  <c r="A35" i="16" s="1"/>
  <c r="G30" i="14"/>
  <c r="H30" i="14" s="1"/>
  <c r="M31" i="14"/>
  <c r="N31" i="14" s="1"/>
  <c r="G33" i="4"/>
  <c r="H33" i="4"/>
  <c r="O30" i="14"/>
  <c r="R30" i="14"/>
  <c r="O31" i="14"/>
  <c r="C29" i="23"/>
  <c r="G30" i="23"/>
  <c r="F30" i="23"/>
  <c r="K30" i="23"/>
  <c r="C34" i="18" s="1"/>
  <c r="A31" i="23"/>
  <c r="AD28" i="20"/>
  <c r="AE28" i="20" s="1"/>
  <c r="L32" i="14"/>
  <c r="B34" i="18"/>
  <c r="A35" i="18"/>
  <c r="B711" i="23" l="1"/>
  <c r="D710" i="23"/>
  <c r="B33" i="7"/>
  <c r="O101" i="23"/>
  <c r="K33" i="16"/>
  <c r="AA29" i="20"/>
  <c r="I33" i="14"/>
  <c r="E29" i="23"/>
  <c r="H31" i="23"/>
  <c r="C31" i="14"/>
  <c r="P31" i="14"/>
  <c r="Q31" i="14" s="1"/>
  <c r="D35" i="16"/>
  <c r="B35" i="16"/>
  <c r="C36" i="16"/>
  <c r="A36" i="16" s="1"/>
  <c r="AD29" i="20"/>
  <c r="L33" i="14"/>
  <c r="G31" i="14"/>
  <c r="H31" i="14" s="1"/>
  <c r="G31" i="23"/>
  <c r="F31" i="23"/>
  <c r="C30" i="23"/>
  <c r="K31" i="23"/>
  <c r="C35" i="18" s="1"/>
  <c r="A32" i="23"/>
  <c r="G34" i="4"/>
  <c r="H34" i="4"/>
  <c r="AC29" i="20"/>
  <c r="M32" i="14"/>
  <c r="N32" i="14" s="1"/>
  <c r="P30" i="14"/>
  <c r="Q30" i="14" s="1"/>
  <c r="B35" i="18"/>
  <c r="A36" i="18"/>
  <c r="AB30" i="20"/>
  <c r="AC30" i="20" s="1"/>
  <c r="R31" i="14"/>
  <c r="D711" i="23" l="1"/>
  <c r="B712" i="23"/>
  <c r="I31" i="23"/>
  <c r="I25" i="23"/>
  <c r="B34" i="7"/>
  <c r="I27" i="23"/>
  <c r="I26" i="23"/>
  <c r="I29" i="23"/>
  <c r="J25" i="23"/>
  <c r="J24" i="23"/>
  <c r="I5" i="23"/>
  <c r="I6" i="23"/>
  <c r="I4" i="23"/>
  <c r="I3" i="23"/>
  <c r="I7" i="23"/>
  <c r="I10" i="23"/>
  <c r="I8" i="23"/>
  <c r="I11" i="23"/>
  <c r="I9" i="23"/>
  <c r="I12" i="23"/>
  <c r="I13" i="23"/>
  <c r="I14" i="23"/>
  <c r="I15" i="23"/>
  <c r="I18" i="23"/>
  <c r="I16" i="23"/>
  <c r="I17" i="23"/>
  <c r="I20" i="23"/>
  <c r="I19" i="23"/>
  <c r="I21" i="23"/>
  <c r="I22" i="23"/>
  <c r="I23" i="23"/>
  <c r="I30" i="23"/>
  <c r="I24" i="23"/>
  <c r="I28" i="23"/>
  <c r="I32" i="23"/>
  <c r="J32" i="23"/>
  <c r="K34" i="16"/>
  <c r="AA30" i="20"/>
  <c r="L34" i="14"/>
  <c r="E30" i="23"/>
  <c r="H32" i="23"/>
  <c r="AD30" i="20"/>
  <c r="AE30" i="20" s="1"/>
  <c r="O32" i="14"/>
  <c r="R32" i="14"/>
  <c r="G35" i="4"/>
  <c r="H35" i="4"/>
  <c r="M33" i="14"/>
  <c r="N33" i="14" s="1"/>
  <c r="F33" i="14"/>
  <c r="I34" i="14"/>
  <c r="AE29" i="20"/>
  <c r="G32" i="23"/>
  <c r="C31" i="23"/>
  <c r="F32" i="23"/>
  <c r="A33" i="23"/>
  <c r="K32" i="23"/>
  <c r="C36" i="18" s="1"/>
  <c r="B36" i="16"/>
  <c r="D36" i="16"/>
  <c r="C37" i="16"/>
  <c r="A37" i="16" s="1"/>
  <c r="B36" i="18"/>
  <c r="A37" i="18"/>
  <c r="F32" i="14"/>
  <c r="C32" i="14"/>
  <c r="AB31" i="20"/>
  <c r="AC31" i="20" s="1"/>
  <c r="D712" i="23" l="1"/>
  <c r="B713" i="23"/>
  <c r="J30" i="23"/>
  <c r="B35" i="7"/>
  <c r="J23" i="23"/>
  <c r="J5" i="23"/>
  <c r="J3" i="23"/>
  <c r="J4" i="23"/>
  <c r="J8" i="23"/>
  <c r="J6" i="23"/>
  <c r="J7" i="23"/>
  <c r="J11" i="23"/>
  <c r="J14" i="23"/>
  <c r="J10" i="23"/>
  <c r="J9" i="23"/>
  <c r="J13" i="23"/>
  <c r="J12" i="23"/>
  <c r="J15" i="23"/>
  <c r="J17" i="23"/>
  <c r="J16" i="23"/>
  <c r="J18" i="23"/>
  <c r="J20" i="23"/>
  <c r="J22" i="23"/>
  <c r="J21" i="23"/>
  <c r="J19" i="23"/>
  <c r="J31" i="23"/>
  <c r="J29" i="23"/>
  <c r="J27" i="23"/>
  <c r="J26" i="23"/>
  <c r="J28" i="23"/>
  <c r="I33" i="23"/>
  <c r="J33" i="23"/>
  <c r="K35" i="16"/>
  <c r="K36" i="16" s="1"/>
  <c r="AA31" i="20"/>
  <c r="L35" i="14"/>
  <c r="E31" i="23"/>
  <c r="H33" i="23"/>
  <c r="O34" i="14"/>
  <c r="P34" i="14" s="1"/>
  <c r="Q34" i="14" s="1"/>
  <c r="C33" i="14"/>
  <c r="F34" i="14"/>
  <c r="G34" i="14" s="1"/>
  <c r="H34" i="14" s="1"/>
  <c r="F33" i="23"/>
  <c r="C32" i="23"/>
  <c r="G33" i="23"/>
  <c r="K33" i="23"/>
  <c r="C37" i="18" s="1"/>
  <c r="A34" i="23"/>
  <c r="AD31" i="20"/>
  <c r="AE31" i="20" s="1"/>
  <c r="O33" i="14"/>
  <c r="R33" i="14"/>
  <c r="AB32" i="20"/>
  <c r="AC32" i="20" s="1"/>
  <c r="H36" i="4"/>
  <c r="G36" i="4"/>
  <c r="I35" i="14"/>
  <c r="G32" i="14"/>
  <c r="H32" i="14" s="1"/>
  <c r="B37" i="18"/>
  <c r="A38" i="18"/>
  <c r="G33" i="14"/>
  <c r="H33" i="14" s="1"/>
  <c r="P32" i="14"/>
  <c r="Q32" i="14" s="1"/>
  <c r="D37" i="16"/>
  <c r="B37" i="16"/>
  <c r="C38" i="16"/>
  <c r="A38" i="16" s="1"/>
  <c r="M34" i="14"/>
  <c r="N34" i="14" s="1"/>
  <c r="B714" i="23" l="1"/>
  <c r="D713" i="23"/>
  <c r="B36" i="7"/>
  <c r="I34" i="23"/>
  <c r="J34" i="23"/>
  <c r="E35" i="16"/>
  <c r="J35" i="14" s="1"/>
  <c r="K35" i="14" s="1"/>
  <c r="E31" i="16"/>
  <c r="D31" i="14" s="1"/>
  <c r="E31" i="14" s="1"/>
  <c r="E29" i="16"/>
  <c r="D29" i="14" s="1"/>
  <c r="E29" i="14" s="1"/>
  <c r="E27" i="16"/>
  <c r="D27" i="14" s="1"/>
  <c r="E27" i="14" s="1"/>
  <c r="E33" i="16"/>
  <c r="J33" i="14" s="1"/>
  <c r="K33" i="14" s="1"/>
  <c r="AA32" i="20"/>
  <c r="I36" i="14"/>
  <c r="AA33" i="20"/>
  <c r="E32" i="23"/>
  <c r="H34" i="23"/>
  <c r="R34" i="14"/>
  <c r="O35" i="14"/>
  <c r="P35" i="14" s="1"/>
  <c r="Q35" i="14" s="1"/>
  <c r="C34" i="14"/>
  <c r="E37" i="16"/>
  <c r="AD32" i="20"/>
  <c r="AE32" i="20" s="1"/>
  <c r="L36" i="14"/>
  <c r="M35" i="14"/>
  <c r="N35" i="14" s="1"/>
  <c r="F34" i="23"/>
  <c r="G34" i="23"/>
  <c r="C33" i="23"/>
  <c r="K34" i="23"/>
  <c r="C38" i="18" s="1"/>
  <c r="A35" i="23"/>
  <c r="B38" i="18"/>
  <c r="A39" i="18"/>
  <c r="G37" i="4"/>
  <c r="H37" i="4"/>
  <c r="B38" i="16"/>
  <c r="D38" i="16"/>
  <c r="C39" i="16"/>
  <c r="A39" i="16" s="1"/>
  <c r="AB33" i="20"/>
  <c r="AC33" i="20" s="1"/>
  <c r="P33" i="14"/>
  <c r="Q33" i="14" s="1"/>
  <c r="F35" i="14"/>
  <c r="B715" i="23" l="1"/>
  <c r="D714" i="23"/>
  <c r="B37" i="7"/>
  <c r="I35" i="23"/>
  <c r="J35" i="23"/>
  <c r="D33" i="14"/>
  <c r="E33" i="14" s="1"/>
  <c r="M27" i="14"/>
  <c r="N27" i="14" s="1"/>
  <c r="S27" i="14"/>
  <c r="T27" i="14" s="1"/>
  <c r="J29" i="14"/>
  <c r="K29" i="14" s="1"/>
  <c r="S29" i="14"/>
  <c r="T29" i="14" s="1"/>
  <c r="J31" i="14"/>
  <c r="K31" i="14" s="1"/>
  <c r="S31" i="14"/>
  <c r="T31" i="14" s="1"/>
  <c r="S33" i="14"/>
  <c r="T33" i="14" s="1"/>
  <c r="E8" i="16"/>
  <c r="D8" i="14" s="1"/>
  <c r="E8" i="14" s="1"/>
  <c r="E9" i="16"/>
  <c r="D9" i="14" s="1"/>
  <c r="E9" i="14" s="1"/>
  <c r="E10" i="16"/>
  <c r="D10" i="14" s="1"/>
  <c r="E10" i="14" s="1"/>
  <c r="E11" i="16"/>
  <c r="D11" i="14" s="1"/>
  <c r="E11" i="14" s="1"/>
  <c r="E12" i="16"/>
  <c r="D12" i="14" s="1"/>
  <c r="E12" i="14" s="1"/>
  <c r="E13" i="16"/>
  <c r="D13" i="14" s="1"/>
  <c r="E13" i="14" s="1"/>
  <c r="E14" i="16"/>
  <c r="E15" i="16"/>
  <c r="E16" i="16"/>
  <c r="E17" i="16"/>
  <c r="E18" i="16"/>
  <c r="E19" i="16"/>
  <c r="D19" i="14" s="1"/>
  <c r="E19" i="14" s="1"/>
  <c r="E20" i="16"/>
  <c r="E21" i="16"/>
  <c r="E22" i="16"/>
  <c r="D22" i="14" s="1"/>
  <c r="E22" i="14" s="1"/>
  <c r="E23" i="16"/>
  <c r="D23" i="14" s="1"/>
  <c r="E23" i="14" s="1"/>
  <c r="E24" i="16"/>
  <c r="D24" i="14" s="1"/>
  <c r="E24" i="14" s="1"/>
  <c r="E25" i="16"/>
  <c r="E34" i="16"/>
  <c r="J34" i="14" s="1"/>
  <c r="K34" i="14" s="1"/>
  <c r="E36" i="16"/>
  <c r="J36" i="14" s="1"/>
  <c r="K36" i="14" s="1"/>
  <c r="E28" i="16"/>
  <c r="D28" i="14" s="1"/>
  <c r="E28" i="14" s="1"/>
  <c r="E26" i="16"/>
  <c r="E30" i="16"/>
  <c r="D30" i="14" s="1"/>
  <c r="E30" i="14" s="1"/>
  <c r="E32" i="16"/>
  <c r="D32" i="14" s="1"/>
  <c r="E32" i="14" s="1"/>
  <c r="I37" i="14"/>
  <c r="L37" i="14"/>
  <c r="E33" i="23"/>
  <c r="H35" i="23"/>
  <c r="R35" i="14"/>
  <c r="S35" i="14" s="1"/>
  <c r="T35" i="14" s="1"/>
  <c r="O36" i="14"/>
  <c r="P36" i="14" s="1"/>
  <c r="Q36" i="14" s="1"/>
  <c r="E38" i="16"/>
  <c r="B39" i="18"/>
  <c r="A40" i="18"/>
  <c r="F35" i="23"/>
  <c r="C34" i="23"/>
  <c r="G35" i="23"/>
  <c r="K35" i="23"/>
  <c r="C39" i="18" s="1"/>
  <c r="A36" i="23"/>
  <c r="C35" i="14"/>
  <c r="M36" i="14"/>
  <c r="N36" i="14" s="1"/>
  <c r="G35" i="14"/>
  <c r="H35" i="14" s="1"/>
  <c r="D39" i="16"/>
  <c r="B39" i="16"/>
  <c r="C40" i="16"/>
  <c r="A40" i="16" s="1"/>
  <c r="AD33" i="20"/>
  <c r="AE33" i="20" s="1"/>
  <c r="AB34" i="20"/>
  <c r="AC34" i="20" s="1"/>
  <c r="G38" i="4"/>
  <c r="H38" i="4"/>
  <c r="D715" i="23" l="1"/>
  <c r="B716" i="23"/>
  <c r="B38" i="7"/>
  <c r="I36" i="23"/>
  <c r="J36" i="23"/>
  <c r="S18" i="14"/>
  <c r="T18" i="14" s="1"/>
  <c r="D18" i="14"/>
  <c r="E18" i="14" s="1"/>
  <c r="S17" i="14"/>
  <c r="T17" i="14" s="1"/>
  <c r="D17" i="14"/>
  <c r="E17" i="14" s="1"/>
  <c r="S16" i="14"/>
  <c r="T16" i="14" s="1"/>
  <c r="D16" i="14"/>
  <c r="E16" i="14" s="1"/>
  <c r="S26" i="14"/>
  <c r="T26" i="14" s="1"/>
  <c r="D26" i="14"/>
  <c r="E26" i="14" s="1"/>
  <c r="S21" i="14"/>
  <c r="T21" i="14" s="1"/>
  <c r="D21" i="14"/>
  <c r="E21" i="14" s="1"/>
  <c r="S20" i="14"/>
  <c r="T20" i="14" s="1"/>
  <c r="D20" i="14"/>
  <c r="E20" i="14" s="1"/>
  <c r="S25" i="14"/>
  <c r="T25" i="14" s="1"/>
  <c r="D25" i="14"/>
  <c r="E25" i="14" s="1"/>
  <c r="S15" i="14"/>
  <c r="T15" i="14" s="1"/>
  <c r="D15" i="14"/>
  <c r="E15" i="14" s="1"/>
  <c r="S14" i="14"/>
  <c r="T14" i="14" s="1"/>
  <c r="D14" i="14"/>
  <c r="E14" i="14" s="1"/>
  <c r="D34" i="14"/>
  <c r="E34" i="14" s="1"/>
  <c r="J30" i="14"/>
  <c r="K30" i="14" s="1"/>
  <c r="S30" i="14"/>
  <c r="T30" i="14" s="1"/>
  <c r="S34" i="14"/>
  <c r="T34" i="14" s="1"/>
  <c r="J13" i="14"/>
  <c r="K13" i="14" s="1"/>
  <c r="S13" i="14"/>
  <c r="T13" i="14" s="1"/>
  <c r="M28" i="14"/>
  <c r="N28" i="14" s="1"/>
  <c r="S28" i="14"/>
  <c r="T28" i="14" s="1"/>
  <c r="J12" i="14"/>
  <c r="K12" i="14" s="1"/>
  <c r="S12" i="14"/>
  <c r="T12" i="14" s="1"/>
  <c r="J19" i="14"/>
  <c r="K19" i="14" s="1"/>
  <c r="S19" i="14"/>
  <c r="T19" i="14" s="1"/>
  <c r="J11" i="14"/>
  <c r="K11" i="14" s="1"/>
  <c r="S11" i="14"/>
  <c r="T11" i="14" s="1"/>
  <c r="J10" i="14"/>
  <c r="K10" i="14" s="1"/>
  <c r="S10" i="14"/>
  <c r="T10" i="14" s="1"/>
  <c r="M22" i="14"/>
  <c r="N22" i="14" s="1"/>
  <c r="S22" i="14"/>
  <c r="T22" i="14" s="1"/>
  <c r="J9" i="14"/>
  <c r="K9" i="14" s="1"/>
  <c r="S9" i="14"/>
  <c r="T9" i="14" s="1"/>
  <c r="M24" i="14"/>
  <c r="N24" i="14" s="1"/>
  <c r="S24" i="14"/>
  <c r="T24" i="14" s="1"/>
  <c r="J8" i="14"/>
  <c r="K8" i="14" s="1"/>
  <c r="S8" i="14"/>
  <c r="T8" i="14" s="1"/>
  <c r="J32" i="14"/>
  <c r="K32" i="14" s="1"/>
  <c r="S32" i="14"/>
  <c r="T32" i="14" s="1"/>
  <c r="M23" i="14"/>
  <c r="N23" i="14" s="1"/>
  <c r="S23" i="14"/>
  <c r="T23" i="14" s="1"/>
  <c r="J15" i="14"/>
  <c r="K15" i="14" s="1"/>
  <c r="M15" i="14"/>
  <c r="N15" i="14" s="1"/>
  <c r="J14" i="14"/>
  <c r="K14" i="14" s="1"/>
  <c r="M14" i="14"/>
  <c r="N14" i="14" s="1"/>
  <c r="M26" i="14"/>
  <c r="N26" i="14" s="1"/>
  <c r="J26" i="14"/>
  <c r="K26" i="14" s="1"/>
  <c r="M21" i="14"/>
  <c r="N21" i="14" s="1"/>
  <c r="J21" i="14"/>
  <c r="K21" i="14" s="1"/>
  <c r="J20" i="14"/>
  <c r="K20" i="14" s="1"/>
  <c r="M20" i="14"/>
  <c r="N20" i="14" s="1"/>
  <c r="M18" i="14"/>
  <c r="N18" i="14" s="1"/>
  <c r="J18" i="14"/>
  <c r="K18" i="14" s="1"/>
  <c r="M25" i="14"/>
  <c r="N25" i="14" s="1"/>
  <c r="J25" i="14"/>
  <c r="K25" i="14" s="1"/>
  <c r="M17" i="14"/>
  <c r="N17" i="14" s="1"/>
  <c r="J17" i="14"/>
  <c r="K17" i="14" s="1"/>
  <c r="M16" i="14"/>
  <c r="N16" i="14" s="1"/>
  <c r="J16" i="14"/>
  <c r="K16" i="14" s="1"/>
  <c r="AA34" i="20"/>
  <c r="L38" i="14"/>
  <c r="E34" i="23"/>
  <c r="H36" i="23"/>
  <c r="R36" i="14"/>
  <c r="S36" i="14" s="1"/>
  <c r="T36" i="14" s="1"/>
  <c r="F37" i="14"/>
  <c r="G37" i="14" s="1"/>
  <c r="H37" i="14" s="1"/>
  <c r="J37" i="14"/>
  <c r="K37" i="14" s="1"/>
  <c r="I38" i="14"/>
  <c r="G39" i="4"/>
  <c r="H39" i="4"/>
  <c r="F36" i="14"/>
  <c r="C36" i="14"/>
  <c r="M37" i="14"/>
  <c r="N37" i="14" s="1"/>
  <c r="B40" i="16"/>
  <c r="D40" i="16"/>
  <c r="C41" i="16"/>
  <c r="A41" i="16" s="1"/>
  <c r="D35" i="14"/>
  <c r="E35" i="14" s="1"/>
  <c r="B40" i="18"/>
  <c r="A41" i="18"/>
  <c r="AD34" i="20"/>
  <c r="AE34" i="20" s="1"/>
  <c r="AB35" i="20"/>
  <c r="AC35" i="20" s="1"/>
  <c r="E39" i="16"/>
  <c r="O37" i="14"/>
  <c r="C35" i="23"/>
  <c r="G36" i="23"/>
  <c r="F36" i="23"/>
  <c r="K36" i="23"/>
  <c r="C40" i="18" s="1"/>
  <c r="A37" i="23"/>
  <c r="D716" i="23" l="1"/>
  <c r="B717" i="23"/>
  <c r="B39" i="7"/>
  <c r="I37" i="23"/>
  <c r="J37" i="23"/>
  <c r="AA35" i="20"/>
  <c r="L39" i="14"/>
  <c r="E35" i="23"/>
  <c r="H37" i="23"/>
  <c r="C37" i="14"/>
  <c r="D37" i="14" s="1"/>
  <c r="E37" i="14" s="1"/>
  <c r="E40" i="16"/>
  <c r="P37" i="14"/>
  <c r="Q37" i="14" s="1"/>
  <c r="D41" i="16"/>
  <c r="B41" i="16"/>
  <c r="C42" i="16"/>
  <c r="A42" i="16" s="1"/>
  <c r="O38" i="14"/>
  <c r="H40" i="4"/>
  <c r="G40" i="4"/>
  <c r="J38" i="14"/>
  <c r="K38" i="14" s="1"/>
  <c r="C36" i="23"/>
  <c r="F37" i="23"/>
  <c r="G37" i="23"/>
  <c r="K37" i="23"/>
  <c r="C41" i="18" s="1"/>
  <c r="A38" i="23"/>
  <c r="M38" i="14"/>
  <c r="N38" i="14" s="1"/>
  <c r="AB36" i="20"/>
  <c r="AC36" i="20" s="1"/>
  <c r="D36" i="14"/>
  <c r="E36" i="14" s="1"/>
  <c r="AD35" i="20"/>
  <c r="AE35" i="20" s="1"/>
  <c r="B41" i="18"/>
  <c r="A42" i="18"/>
  <c r="R37" i="14"/>
  <c r="G36" i="14"/>
  <c r="H36" i="14" s="1"/>
  <c r="I39" i="14"/>
  <c r="F38" i="14"/>
  <c r="D717" i="23" l="1"/>
  <c r="B718" i="23"/>
  <c r="B40" i="7"/>
  <c r="I38" i="23"/>
  <c r="J38" i="23"/>
  <c r="L40" i="14"/>
  <c r="AA36" i="20"/>
  <c r="E36" i="23"/>
  <c r="H38" i="23"/>
  <c r="F39" i="14"/>
  <c r="G39" i="14" s="1"/>
  <c r="H39" i="14" s="1"/>
  <c r="C38" i="14"/>
  <c r="D38" i="14" s="1"/>
  <c r="E38" i="14" s="1"/>
  <c r="E41" i="16"/>
  <c r="AB37" i="20"/>
  <c r="I40" i="14"/>
  <c r="J39" i="14"/>
  <c r="K39" i="14" s="1"/>
  <c r="B42" i="18"/>
  <c r="A43" i="18"/>
  <c r="AD36" i="20"/>
  <c r="AE36" i="20" s="1"/>
  <c r="F38" i="23"/>
  <c r="C37" i="23"/>
  <c r="G38" i="23"/>
  <c r="K38" i="23"/>
  <c r="C42" i="18" s="1"/>
  <c r="A39" i="23"/>
  <c r="S37" i="14"/>
  <c r="T37" i="14" s="1"/>
  <c r="G38" i="14"/>
  <c r="H38" i="14" s="1"/>
  <c r="O39" i="14"/>
  <c r="G41" i="4"/>
  <c r="H41" i="4"/>
  <c r="B42" i="16"/>
  <c r="D42" i="16"/>
  <c r="C43" i="16"/>
  <c r="A43" i="16" s="1"/>
  <c r="R38" i="14"/>
  <c r="M39" i="14"/>
  <c r="N39" i="14" s="1"/>
  <c r="P38" i="14"/>
  <c r="Q38" i="14" s="1"/>
  <c r="D718" i="23" l="1"/>
  <c r="B719" i="23"/>
  <c r="B41" i="7"/>
  <c r="I39" i="23"/>
  <c r="J39" i="23"/>
  <c r="AA37" i="20"/>
  <c r="L41" i="14"/>
  <c r="AA38" i="20"/>
  <c r="E37" i="23"/>
  <c r="H39" i="23"/>
  <c r="O40" i="14"/>
  <c r="P40" i="14" s="1"/>
  <c r="Q40" i="14" s="1"/>
  <c r="C39" i="14"/>
  <c r="D39" i="14" s="1"/>
  <c r="E39" i="14" s="1"/>
  <c r="E42" i="16"/>
  <c r="J40" i="14"/>
  <c r="K40" i="14" s="1"/>
  <c r="AB38" i="20"/>
  <c r="R39" i="14"/>
  <c r="S38" i="14"/>
  <c r="T38" i="14" s="1"/>
  <c r="AC37" i="20"/>
  <c r="B43" i="16"/>
  <c r="D43" i="16"/>
  <c r="C44" i="16"/>
  <c r="A44" i="16" s="1"/>
  <c r="G42" i="4"/>
  <c r="H42" i="4"/>
  <c r="I41" i="14"/>
  <c r="B43" i="18"/>
  <c r="A44" i="18"/>
  <c r="P39" i="14"/>
  <c r="Q39" i="14" s="1"/>
  <c r="G39" i="23"/>
  <c r="F39" i="23"/>
  <c r="C38" i="23"/>
  <c r="K39" i="23"/>
  <c r="C43" i="18" s="1"/>
  <c r="A40" i="23"/>
  <c r="M40" i="14"/>
  <c r="N40" i="14" s="1"/>
  <c r="AD37" i="20"/>
  <c r="B720" i="23" l="1"/>
  <c r="D719" i="23"/>
  <c r="B42" i="7"/>
  <c r="I40" i="23"/>
  <c r="J40" i="23"/>
  <c r="I42" i="14"/>
  <c r="L42" i="14"/>
  <c r="E38" i="23"/>
  <c r="H40" i="23"/>
  <c r="R40" i="14"/>
  <c r="S40" i="14" s="1"/>
  <c r="T40" i="14" s="1"/>
  <c r="E43" i="16"/>
  <c r="AB39" i="20"/>
  <c r="S39" i="14"/>
  <c r="T39" i="14" s="1"/>
  <c r="AD38" i="20"/>
  <c r="AC38" i="20"/>
  <c r="B44" i="18"/>
  <c r="A45" i="18"/>
  <c r="G43" i="4"/>
  <c r="H43" i="4"/>
  <c r="F40" i="14"/>
  <c r="C40" i="14"/>
  <c r="M41" i="14"/>
  <c r="N41" i="14" s="1"/>
  <c r="G40" i="23"/>
  <c r="F40" i="23"/>
  <c r="C39" i="23"/>
  <c r="A41" i="23"/>
  <c r="K40" i="23"/>
  <c r="C44" i="18" s="1"/>
  <c r="J41" i="14"/>
  <c r="K41" i="14" s="1"/>
  <c r="D44" i="16"/>
  <c r="B44" i="16"/>
  <c r="C45" i="16"/>
  <c r="A45" i="16" s="1"/>
  <c r="O41" i="14"/>
  <c r="AE37" i="20"/>
  <c r="D720" i="23" l="1"/>
  <c r="B721" i="23"/>
  <c r="B43" i="7"/>
  <c r="I41" i="23"/>
  <c r="J41" i="23"/>
  <c r="I43" i="14"/>
  <c r="AA39" i="20"/>
  <c r="E39" i="23"/>
  <c r="H41" i="23"/>
  <c r="E44" i="16"/>
  <c r="F41" i="14"/>
  <c r="G41" i="14" s="1"/>
  <c r="H41" i="14" s="1"/>
  <c r="C41" i="14"/>
  <c r="D41" i="14" s="1"/>
  <c r="E41" i="14" s="1"/>
  <c r="AB40" i="20"/>
  <c r="AC40" i="20" s="1"/>
  <c r="F42" i="14"/>
  <c r="B45" i="18"/>
  <c r="A46" i="18"/>
  <c r="P41" i="14"/>
  <c r="Q41" i="14" s="1"/>
  <c r="G41" i="23"/>
  <c r="C40" i="23"/>
  <c r="F41" i="23"/>
  <c r="K41" i="23"/>
  <c r="C45" i="18" s="1"/>
  <c r="A42" i="23"/>
  <c r="D40" i="14"/>
  <c r="E40" i="14" s="1"/>
  <c r="R41" i="14"/>
  <c r="M42" i="14"/>
  <c r="N42" i="14" s="1"/>
  <c r="AD39" i="20"/>
  <c r="L43" i="14"/>
  <c r="D45" i="16"/>
  <c r="B45" i="16"/>
  <c r="C46" i="16"/>
  <c r="A46" i="16" s="1"/>
  <c r="G40" i="14"/>
  <c r="H40" i="14" s="1"/>
  <c r="AC39" i="20"/>
  <c r="AE38" i="20"/>
  <c r="O42" i="14"/>
  <c r="J42" i="14"/>
  <c r="K42" i="14" s="1"/>
  <c r="H44" i="4"/>
  <c r="G44" i="4"/>
  <c r="B722" i="23" l="1"/>
  <c r="D722" i="23" s="1"/>
  <c r="D721" i="23"/>
  <c r="B44" i="7"/>
  <c r="I42" i="23"/>
  <c r="J42" i="23"/>
  <c r="L44" i="14"/>
  <c r="AA40" i="20"/>
  <c r="E40" i="23"/>
  <c r="H42" i="23"/>
  <c r="C42" i="14"/>
  <c r="D42" i="14" s="1"/>
  <c r="E42" i="14" s="1"/>
  <c r="E45" i="16"/>
  <c r="AB41" i="20"/>
  <c r="AC41" i="20" s="1"/>
  <c r="M43" i="14"/>
  <c r="N43" i="14" s="1"/>
  <c r="F42" i="23"/>
  <c r="C41" i="23"/>
  <c r="G42" i="23"/>
  <c r="K42" i="23"/>
  <c r="C46" i="18" s="1"/>
  <c r="A43" i="23"/>
  <c r="J43" i="14"/>
  <c r="K43" i="14" s="1"/>
  <c r="AD40" i="20"/>
  <c r="AE40" i="20" s="1"/>
  <c r="B46" i="18"/>
  <c r="A47" i="18"/>
  <c r="I44" i="14"/>
  <c r="P42" i="14"/>
  <c r="Q42" i="14" s="1"/>
  <c r="R42" i="14"/>
  <c r="S41" i="14"/>
  <c r="T41" i="14" s="1"/>
  <c r="G45" i="4"/>
  <c r="H45" i="4"/>
  <c r="O43" i="14"/>
  <c r="AE39" i="20"/>
  <c r="B46" i="16"/>
  <c r="D46" i="16"/>
  <c r="C47" i="16"/>
  <c r="A47" i="16" s="1"/>
  <c r="F43" i="14"/>
  <c r="G42" i="14"/>
  <c r="H42" i="14" s="1"/>
  <c r="B45" i="7" l="1"/>
  <c r="I43" i="23"/>
  <c r="J43" i="23"/>
  <c r="AA41" i="20"/>
  <c r="L45" i="14"/>
  <c r="E41" i="23"/>
  <c r="H43" i="23"/>
  <c r="O44" i="14"/>
  <c r="P44" i="14" s="1"/>
  <c r="Q44" i="14" s="1"/>
  <c r="E46" i="16"/>
  <c r="G43" i="14"/>
  <c r="H43" i="14" s="1"/>
  <c r="G46" i="4"/>
  <c r="H46" i="4"/>
  <c r="F44" i="14"/>
  <c r="S42" i="14"/>
  <c r="T42" i="14" s="1"/>
  <c r="C43" i="14"/>
  <c r="D47" i="16"/>
  <c r="B47" i="16"/>
  <c r="C48" i="16"/>
  <c r="A48" i="16" s="1"/>
  <c r="J44" i="14"/>
  <c r="K44" i="14" s="1"/>
  <c r="M44" i="14"/>
  <c r="N44" i="14" s="1"/>
  <c r="G43" i="23"/>
  <c r="F43" i="23"/>
  <c r="C42" i="23"/>
  <c r="K43" i="23"/>
  <c r="C47" i="18" s="1"/>
  <c r="A44" i="23"/>
  <c r="AB42" i="20"/>
  <c r="AC42" i="20" s="1"/>
  <c r="P43" i="14"/>
  <c r="Q43" i="14" s="1"/>
  <c r="B47" i="18"/>
  <c r="A48" i="18"/>
  <c r="I45" i="14"/>
  <c r="R43" i="14"/>
  <c r="AD41" i="20"/>
  <c r="AE41" i="20" s="1"/>
  <c r="B46" i="7" l="1"/>
  <c r="I44" i="23"/>
  <c r="J44" i="23"/>
  <c r="L46" i="14"/>
  <c r="AA42" i="20"/>
  <c r="E42" i="23"/>
  <c r="H44" i="23"/>
  <c r="R44" i="14"/>
  <c r="S44" i="14" s="1"/>
  <c r="T44" i="14" s="1"/>
  <c r="C44" i="14"/>
  <c r="D44" i="14" s="1"/>
  <c r="E44" i="14" s="1"/>
  <c r="E47" i="16"/>
  <c r="F45" i="14"/>
  <c r="G45" i="14" s="1"/>
  <c r="H45" i="14" s="1"/>
  <c r="I46" i="14"/>
  <c r="J45" i="14"/>
  <c r="K45" i="14" s="1"/>
  <c r="O45" i="14"/>
  <c r="B48" i="18"/>
  <c r="A49" i="18"/>
  <c r="AD42" i="20"/>
  <c r="AE42" i="20" s="1"/>
  <c r="G47" i="4"/>
  <c r="H47" i="4"/>
  <c r="S43" i="14"/>
  <c r="T43" i="14" s="1"/>
  <c r="G44" i="23"/>
  <c r="C43" i="23"/>
  <c r="F44" i="23"/>
  <c r="A45" i="23"/>
  <c r="K44" i="23"/>
  <c r="C48" i="18" s="1"/>
  <c r="B48" i="16"/>
  <c r="D48" i="16"/>
  <c r="C49" i="16"/>
  <c r="A49" i="16" s="1"/>
  <c r="D43" i="14"/>
  <c r="E43" i="14" s="1"/>
  <c r="AB43" i="20"/>
  <c r="AC43" i="20" s="1"/>
  <c r="M45" i="14"/>
  <c r="N45" i="14" s="1"/>
  <c r="G44" i="14"/>
  <c r="H44" i="14" s="1"/>
  <c r="B47" i="7" l="1"/>
  <c r="I45" i="23"/>
  <c r="J45" i="23"/>
  <c r="AA43" i="20"/>
  <c r="I47" i="14"/>
  <c r="E43" i="23"/>
  <c r="H45" i="23"/>
  <c r="C45" i="14"/>
  <c r="D45" i="14" s="1"/>
  <c r="E45" i="14" s="1"/>
  <c r="R45" i="14"/>
  <c r="S45" i="14" s="1"/>
  <c r="T45" i="14" s="1"/>
  <c r="E48" i="16"/>
  <c r="AD43" i="20"/>
  <c r="AE43" i="20" s="1"/>
  <c r="L47" i="14"/>
  <c r="B49" i="18"/>
  <c r="A50" i="18"/>
  <c r="AB44" i="20"/>
  <c r="AC44" i="20" s="1"/>
  <c r="B49" i="16"/>
  <c r="D49" i="16"/>
  <c r="C50" i="16"/>
  <c r="A50" i="16" s="1"/>
  <c r="J46" i="14"/>
  <c r="K46" i="14" s="1"/>
  <c r="G45" i="23"/>
  <c r="F45" i="23"/>
  <c r="C44" i="23"/>
  <c r="K45" i="23"/>
  <c r="C49" i="18" s="1"/>
  <c r="A46" i="23"/>
  <c r="H48" i="4"/>
  <c r="G48" i="4"/>
  <c r="M46" i="14"/>
  <c r="N46" i="14" s="1"/>
  <c r="P45" i="14"/>
  <c r="Q45" i="14" s="1"/>
  <c r="F46" i="14"/>
  <c r="B48" i="7" l="1"/>
  <c r="I46" i="23"/>
  <c r="J46" i="23"/>
  <c r="AA44" i="20"/>
  <c r="I48" i="14"/>
  <c r="O47" i="14"/>
  <c r="P47" i="14" s="1"/>
  <c r="Q47" i="14" s="1"/>
  <c r="E44" i="23"/>
  <c r="H46" i="23"/>
  <c r="O46" i="14"/>
  <c r="R46" i="14"/>
  <c r="S46" i="14" s="1"/>
  <c r="T46" i="14" s="1"/>
  <c r="F47" i="14"/>
  <c r="B50" i="18"/>
  <c r="A51" i="18"/>
  <c r="J47" i="14"/>
  <c r="K47" i="14" s="1"/>
  <c r="AB45" i="20"/>
  <c r="AC45" i="20" s="1"/>
  <c r="C46" i="14"/>
  <c r="G46" i="23"/>
  <c r="C45" i="23"/>
  <c r="F46" i="23"/>
  <c r="K46" i="23"/>
  <c r="C50" i="18" s="1"/>
  <c r="A47" i="23"/>
  <c r="B50" i="16"/>
  <c r="D50" i="16"/>
  <c r="C51" i="16"/>
  <c r="A51" i="16" s="1"/>
  <c r="L48" i="14"/>
  <c r="AD44" i="20"/>
  <c r="AE44" i="20" s="1"/>
  <c r="M47" i="14"/>
  <c r="N47" i="14" s="1"/>
  <c r="G46" i="14"/>
  <c r="H46" i="14" s="1"/>
  <c r="G49" i="4"/>
  <c r="H49" i="4"/>
  <c r="E49" i="16"/>
  <c r="B49" i="7" l="1"/>
  <c r="I47" i="23"/>
  <c r="J47" i="23"/>
  <c r="AA45" i="20"/>
  <c r="L49" i="14"/>
  <c r="R47" i="14"/>
  <c r="S47" i="14" s="1"/>
  <c r="T47" i="14" s="1"/>
  <c r="E45" i="23"/>
  <c r="H47" i="23"/>
  <c r="E50" i="16"/>
  <c r="C47" i="14"/>
  <c r="D47" i="14" s="1"/>
  <c r="E47" i="14" s="1"/>
  <c r="F48" i="14"/>
  <c r="G48" i="14" s="1"/>
  <c r="H48" i="14" s="1"/>
  <c r="P46" i="14"/>
  <c r="Q46" i="14" s="1"/>
  <c r="G50" i="4"/>
  <c r="H50" i="4"/>
  <c r="O48" i="14"/>
  <c r="G47" i="14"/>
  <c r="H47" i="14" s="1"/>
  <c r="I49" i="14"/>
  <c r="M48" i="14"/>
  <c r="N48" i="14" s="1"/>
  <c r="D46" i="14"/>
  <c r="E46" i="14" s="1"/>
  <c r="B51" i="18"/>
  <c r="A52" i="18"/>
  <c r="AB46" i="20"/>
  <c r="B51" i="16"/>
  <c r="D51" i="16"/>
  <c r="C52" i="16"/>
  <c r="A52" i="16" s="1"/>
  <c r="C46" i="23"/>
  <c r="F47" i="23"/>
  <c r="G47" i="23"/>
  <c r="K47" i="23"/>
  <c r="C51" i="18" s="1"/>
  <c r="A48" i="23"/>
  <c r="AD45" i="20"/>
  <c r="AE45" i="20" s="1"/>
  <c r="J48" i="14"/>
  <c r="K48" i="14" s="1"/>
  <c r="B50" i="7" l="1"/>
  <c r="I48" i="23"/>
  <c r="J48" i="23"/>
  <c r="I50" i="14"/>
  <c r="AA46" i="20"/>
  <c r="E46" i="23"/>
  <c r="H48" i="23"/>
  <c r="E51" i="16"/>
  <c r="C48" i="14"/>
  <c r="D48" i="14" s="1"/>
  <c r="E48" i="14" s="1"/>
  <c r="G48" i="23"/>
  <c r="F48" i="23"/>
  <c r="C47" i="23"/>
  <c r="A49" i="23"/>
  <c r="K48" i="23"/>
  <c r="C52" i="18" s="1"/>
  <c r="AB47" i="20"/>
  <c r="P48" i="14"/>
  <c r="Q48" i="14" s="1"/>
  <c r="R48" i="14"/>
  <c r="O49" i="14"/>
  <c r="AC46" i="20"/>
  <c r="M49" i="14"/>
  <c r="N49" i="14" s="1"/>
  <c r="G51" i="4"/>
  <c r="H51" i="4"/>
  <c r="D52" i="16"/>
  <c r="B52" i="16"/>
  <c r="C53" i="16"/>
  <c r="A53" i="16" s="1"/>
  <c r="AD46" i="20"/>
  <c r="L50" i="14"/>
  <c r="B52" i="18"/>
  <c r="A53" i="18"/>
  <c r="J49" i="14"/>
  <c r="K49" i="14" s="1"/>
  <c r="B51" i="7" l="1"/>
  <c r="I49" i="23"/>
  <c r="J49" i="23"/>
  <c r="AA47" i="20"/>
  <c r="I51" i="14"/>
  <c r="E47" i="23"/>
  <c r="H49" i="23"/>
  <c r="R49" i="14"/>
  <c r="S49" i="14" s="1"/>
  <c r="T49" i="14" s="1"/>
  <c r="F50" i="14"/>
  <c r="G50" i="14" s="1"/>
  <c r="H50" i="14" s="1"/>
  <c r="E52" i="16"/>
  <c r="H52" i="4"/>
  <c r="G52" i="4"/>
  <c r="S48" i="14"/>
  <c r="T48" i="14" s="1"/>
  <c r="B53" i="18"/>
  <c r="A54" i="18"/>
  <c r="AB48" i="20"/>
  <c r="AC48" i="20" s="1"/>
  <c r="F49" i="14"/>
  <c r="C49" i="14"/>
  <c r="AD47" i="20"/>
  <c r="L51" i="14"/>
  <c r="AC47" i="20"/>
  <c r="M50" i="14"/>
  <c r="N50" i="14" s="1"/>
  <c r="D53" i="16"/>
  <c r="B53" i="16"/>
  <c r="C54" i="16"/>
  <c r="J50" i="14"/>
  <c r="K50" i="14" s="1"/>
  <c r="AE46" i="20"/>
  <c r="O50" i="14"/>
  <c r="P49" i="14"/>
  <c r="Q49" i="14" s="1"/>
  <c r="G49" i="23"/>
  <c r="F49" i="23"/>
  <c r="C48" i="23"/>
  <c r="K49" i="23"/>
  <c r="C53" i="18" s="1"/>
  <c r="A50" i="23"/>
  <c r="B52" i="7" l="1"/>
  <c r="I50" i="23"/>
  <c r="J50" i="23"/>
  <c r="L52" i="14"/>
  <c r="AA48" i="20"/>
  <c r="AA49" i="20"/>
  <c r="E48" i="23"/>
  <c r="H50" i="23"/>
  <c r="E53" i="16"/>
  <c r="F51" i="14"/>
  <c r="G51" i="14" s="1"/>
  <c r="H51" i="14" s="1"/>
  <c r="C50" i="14"/>
  <c r="D50" i="14" s="1"/>
  <c r="E50" i="14" s="1"/>
  <c r="I52" i="14"/>
  <c r="AB49" i="20"/>
  <c r="P50" i="14"/>
  <c r="Q50" i="14" s="1"/>
  <c r="M51" i="14"/>
  <c r="N51" i="14" s="1"/>
  <c r="D49" i="14"/>
  <c r="E49" i="14" s="1"/>
  <c r="R50" i="14"/>
  <c r="B54" i="16"/>
  <c r="A54" i="16"/>
  <c r="D54" i="16"/>
  <c r="C55" i="16"/>
  <c r="G49" i="14"/>
  <c r="H49" i="14" s="1"/>
  <c r="B54" i="18"/>
  <c r="A55" i="18"/>
  <c r="J51" i="14"/>
  <c r="K51" i="14" s="1"/>
  <c r="G53" i="4"/>
  <c r="H53" i="4"/>
  <c r="AD48" i="20"/>
  <c r="AE48" i="20" s="1"/>
  <c r="F50" i="23"/>
  <c r="C49" i="23"/>
  <c r="G50" i="23"/>
  <c r="K50" i="23"/>
  <c r="C54" i="18" s="1"/>
  <c r="A51" i="23"/>
  <c r="AE47" i="20"/>
  <c r="B53" i="7" l="1"/>
  <c r="I51" i="23"/>
  <c r="J51" i="23"/>
  <c r="I53" i="14"/>
  <c r="L53" i="14"/>
  <c r="E49" i="23"/>
  <c r="H51" i="23"/>
  <c r="C51" i="14"/>
  <c r="E54" i="16"/>
  <c r="AB50" i="20"/>
  <c r="AC49" i="20"/>
  <c r="G51" i="23"/>
  <c r="F51" i="23"/>
  <c r="C50" i="23"/>
  <c r="K51" i="23"/>
  <c r="C55" i="18" s="1"/>
  <c r="A52" i="23"/>
  <c r="AD49" i="20"/>
  <c r="J52" i="14"/>
  <c r="K52" i="14" s="1"/>
  <c r="A55" i="16"/>
  <c r="D55" i="16"/>
  <c r="B55" i="16"/>
  <c r="C56" i="16"/>
  <c r="S50" i="14"/>
  <c r="T50" i="14" s="1"/>
  <c r="B55" i="18"/>
  <c r="A56" i="18"/>
  <c r="O51" i="14"/>
  <c r="R51" i="14"/>
  <c r="M52" i="14"/>
  <c r="N52" i="14" s="1"/>
  <c r="G54" i="4"/>
  <c r="H54" i="4"/>
  <c r="B54" i="7" l="1"/>
  <c r="I52" i="23"/>
  <c r="J52" i="23"/>
  <c r="AA50" i="20"/>
  <c r="L54" i="14"/>
  <c r="AA51" i="20"/>
  <c r="E50" i="23"/>
  <c r="H52" i="23"/>
  <c r="D51" i="14"/>
  <c r="E51" i="14" s="1"/>
  <c r="B56" i="16"/>
  <c r="D56" i="16"/>
  <c r="A56" i="16"/>
  <c r="C57" i="16"/>
  <c r="I54" i="14"/>
  <c r="C51" i="23"/>
  <c r="F52" i="23"/>
  <c r="G52" i="23"/>
  <c r="K52" i="23"/>
  <c r="C56" i="18" s="1"/>
  <c r="A53" i="23"/>
  <c r="F52" i="14"/>
  <c r="C52" i="14"/>
  <c r="AD50" i="20"/>
  <c r="AC50" i="20"/>
  <c r="B56" i="18"/>
  <c r="A57" i="18"/>
  <c r="S51" i="14"/>
  <c r="T51" i="14" s="1"/>
  <c r="AB51" i="20"/>
  <c r="AC51" i="20" s="1"/>
  <c r="J53" i="14"/>
  <c r="K53" i="14" s="1"/>
  <c r="M53" i="14"/>
  <c r="N53" i="14" s="1"/>
  <c r="G55" i="4"/>
  <c r="H55" i="4"/>
  <c r="P51" i="14"/>
  <c r="Q51" i="14" s="1"/>
  <c r="F53" i="14"/>
  <c r="E55" i="16"/>
  <c r="O52" i="14"/>
  <c r="R52" i="14"/>
  <c r="AE49" i="20"/>
  <c r="O53" i="14"/>
  <c r="B55" i="7" l="1"/>
  <c r="I53" i="23"/>
  <c r="J53" i="23"/>
  <c r="L55" i="14"/>
  <c r="I55" i="14"/>
  <c r="AA52" i="20"/>
  <c r="E51" i="23"/>
  <c r="H53" i="23"/>
  <c r="E56" i="16"/>
  <c r="F54" i="14"/>
  <c r="G54" i="14" s="1"/>
  <c r="H54" i="14" s="1"/>
  <c r="F53" i="23"/>
  <c r="G53" i="23"/>
  <c r="C52" i="23"/>
  <c r="A54" i="23"/>
  <c r="K53" i="23"/>
  <c r="C57" i="18" s="1"/>
  <c r="J54" i="14"/>
  <c r="K54" i="14" s="1"/>
  <c r="AE50" i="20"/>
  <c r="R53" i="14"/>
  <c r="G53" i="14"/>
  <c r="H53" i="14" s="1"/>
  <c r="AD51" i="20"/>
  <c r="AE51" i="20" s="1"/>
  <c r="S52" i="14"/>
  <c r="T52" i="14" s="1"/>
  <c r="B57" i="18"/>
  <c r="A58" i="18"/>
  <c r="M54" i="14"/>
  <c r="N54" i="14" s="1"/>
  <c r="D52" i="14"/>
  <c r="E52" i="14" s="1"/>
  <c r="A57" i="16"/>
  <c r="D57" i="16"/>
  <c r="B57" i="16"/>
  <c r="C58" i="16"/>
  <c r="P53" i="14"/>
  <c r="Q53" i="14" s="1"/>
  <c r="H56" i="4"/>
  <c r="G56" i="4"/>
  <c r="P52" i="14"/>
  <c r="Q52" i="14" s="1"/>
  <c r="C53" i="14"/>
  <c r="AB52" i="20"/>
  <c r="AC52" i="20" s="1"/>
  <c r="G52" i="14"/>
  <c r="H52" i="14" s="1"/>
  <c r="B56" i="7" l="1"/>
  <c r="I54" i="23"/>
  <c r="J54" i="23"/>
  <c r="I56" i="14"/>
  <c r="L56" i="14"/>
  <c r="AA53" i="20"/>
  <c r="E52" i="23"/>
  <c r="H54" i="23"/>
  <c r="C54" i="14"/>
  <c r="D54" i="14" s="1"/>
  <c r="E54" i="14" s="1"/>
  <c r="O55" i="14"/>
  <c r="P55" i="14" s="1"/>
  <c r="Q55" i="14" s="1"/>
  <c r="E57" i="16"/>
  <c r="B58" i="16"/>
  <c r="A58" i="16"/>
  <c r="D58" i="16"/>
  <c r="C59" i="16"/>
  <c r="C53" i="23"/>
  <c r="F54" i="23"/>
  <c r="G54" i="23"/>
  <c r="K54" i="23"/>
  <c r="C58" i="18" s="1"/>
  <c r="A55" i="23"/>
  <c r="G57" i="4"/>
  <c r="H57" i="4"/>
  <c r="M55" i="14"/>
  <c r="N55" i="14" s="1"/>
  <c r="AD52" i="20"/>
  <c r="AE52" i="20" s="1"/>
  <c r="O54" i="14"/>
  <c r="R54" i="14"/>
  <c r="D53" i="14"/>
  <c r="E53" i="14" s="1"/>
  <c r="F55" i="14"/>
  <c r="AB53" i="20"/>
  <c r="AC53" i="20" s="1"/>
  <c r="S53" i="14"/>
  <c r="T53" i="14" s="1"/>
  <c r="J55" i="14"/>
  <c r="K55" i="14" s="1"/>
  <c r="B58" i="18"/>
  <c r="A59" i="18"/>
  <c r="B57" i="7" l="1"/>
  <c r="I55" i="23"/>
  <c r="J55" i="23"/>
  <c r="I57" i="14"/>
  <c r="L57" i="14"/>
  <c r="E53" i="23"/>
  <c r="H55" i="23"/>
  <c r="R55" i="14"/>
  <c r="S55" i="14" s="1"/>
  <c r="T55" i="14" s="1"/>
  <c r="O56" i="14"/>
  <c r="P56" i="14" s="1"/>
  <c r="Q56" i="14" s="1"/>
  <c r="E58" i="16"/>
  <c r="B59" i="16"/>
  <c r="A59" i="16"/>
  <c r="D59" i="16"/>
  <c r="C60" i="16"/>
  <c r="AD53" i="20"/>
  <c r="AE53" i="20" s="1"/>
  <c r="S54" i="14"/>
  <c r="T54" i="14" s="1"/>
  <c r="F56" i="14"/>
  <c r="C54" i="23"/>
  <c r="G55" i="23"/>
  <c r="F55" i="23"/>
  <c r="K55" i="23"/>
  <c r="C59" i="18" s="1"/>
  <c r="A56" i="23"/>
  <c r="B59" i="18"/>
  <c r="A60" i="18"/>
  <c r="G55" i="14"/>
  <c r="H55" i="14" s="1"/>
  <c r="P54" i="14"/>
  <c r="Q54" i="14" s="1"/>
  <c r="C55" i="14"/>
  <c r="G58" i="4"/>
  <c r="H58" i="4"/>
  <c r="J56" i="14"/>
  <c r="K56" i="14" s="1"/>
  <c r="M56" i="14"/>
  <c r="N56" i="14" s="1"/>
  <c r="AB54" i="20"/>
  <c r="AC54" i="20" s="1"/>
  <c r="B58" i="7" l="1"/>
  <c r="I56" i="23"/>
  <c r="J56" i="23"/>
  <c r="AA54" i="20"/>
  <c r="L58" i="14"/>
  <c r="AA55" i="20"/>
  <c r="E54" i="23"/>
  <c r="H56" i="23"/>
  <c r="R56" i="14"/>
  <c r="S56" i="14" s="1"/>
  <c r="T56" i="14" s="1"/>
  <c r="E59" i="16"/>
  <c r="G56" i="23"/>
  <c r="F56" i="23"/>
  <c r="C55" i="23"/>
  <c r="A57" i="23"/>
  <c r="K56" i="23"/>
  <c r="C60" i="18" s="1"/>
  <c r="J57" i="14"/>
  <c r="K57" i="14" s="1"/>
  <c r="M57" i="14"/>
  <c r="N57" i="14" s="1"/>
  <c r="AD54" i="20"/>
  <c r="AE54" i="20" s="1"/>
  <c r="AB55" i="20"/>
  <c r="AC55" i="20" s="1"/>
  <c r="I58" i="14"/>
  <c r="B60" i="18"/>
  <c r="A61" i="18"/>
  <c r="A60" i="16"/>
  <c r="D60" i="16"/>
  <c r="B60" i="16"/>
  <c r="C61" i="16"/>
  <c r="C56" i="14"/>
  <c r="G59" i="4"/>
  <c r="H59" i="4"/>
  <c r="D55" i="14"/>
  <c r="E55" i="14" s="1"/>
  <c r="G56" i="14"/>
  <c r="H56" i="14" s="1"/>
  <c r="O57" i="14"/>
  <c r="F57" i="14"/>
  <c r="B59" i="7" l="1"/>
  <c r="I57" i="23"/>
  <c r="J57" i="23"/>
  <c r="L59" i="14"/>
  <c r="I59" i="14"/>
  <c r="AA56" i="20"/>
  <c r="E55" i="23"/>
  <c r="H57" i="23"/>
  <c r="O58" i="14"/>
  <c r="P58" i="14" s="1"/>
  <c r="Q58" i="14" s="1"/>
  <c r="H60" i="4"/>
  <c r="G60" i="4"/>
  <c r="B61" i="18"/>
  <c r="A62" i="18"/>
  <c r="AD55" i="20"/>
  <c r="AE55" i="20" s="1"/>
  <c r="G57" i="23"/>
  <c r="C56" i="23"/>
  <c r="F57" i="23"/>
  <c r="K57" i="23"/>
  <c r="C61" i="18" s="1"/>
  <c r="A58" i="23"/>
  <c r="P57" i="14"/>
  <c r="Q57" i="14" s="1"/>
  <c r="E60" i="16"/>
  <c r="M58" i="14"/>
  <c r="N58" i="14" s="1"/>
  <c r="AB56" i="20"/>
  <c r="D56" i="14"/>
  <c r="E56" i="14" s="1"/>
  <c r="G57" i="14"/>
  <c r="H57" i="14" s="1"/>
  <c r="D61" i="16"/>
  <c r="B61" i="16"/>
  <c r="A61" i="16"/>
  <c r="C62" i="16"/>
  <c r="R57" i="14"/>
  <c r="F58" i="14"/>
  <c r="C57" i="14"/>
  <c r="J58" i="14"/>
  <c r="K58" i="14" s="1"/>
  <c r="B60" i="7" l="1"/>
  <c r="I58" i="23"/>
  <c r="J58" i="23"/>
  <c r="L60" i="14"/>
  <c r="I60" i="14"/>
  <c r="AA57" i="20"/>
  <c r="R58" i="14"/>
  <c r="S58" i="14" s="1"/>
  <c r="T58" i="14" s="1"/>
  <c r="E56" i="23"/>
  <c r="H58" i="23"/>
  <c r="O59" i="14"/>
  <c r="P59" i="14" s="1"/>
  <c r="Q59" i="14" s="1"/>
  <c r="E61" i="16"/>
  <c r="B62" i="16"/>
  <c r="D62" i="16"/>
  <c r="A62" i="16"/>
  <c r="C63" i="16"/>
  <c r="AC56" i="20"/>
  <c r="J59" i="14"/>
  <c r="K59" i="14" s="1"/>
  <c r="AB57" i="20"/>
  <c r="AC57" i="20" s="1"/>
  <c r="G61" i="4"/>
  <c r="H61" i="4"/>
  <c r="G58" i="14"/>
  <c r="H58" i="14" s="1"/>
  <c r="AD56" i="20"/>
  <c r="F58" i="23"/>
  <c r="C57" i="23"/>
  <c r="G58" i="23"/>
  <c r="K58" i="23"/>
  <c r="C62" i="18" s="1"/>
  <c r="A59" i="23"/>
  <c r="D57" i="14"/>
  <c r="E57" i="14" s="1"/>
  <c r="S57" i="14"/>
  <c r="T57" i="14" s="1"/>
  <c r="C58" i="14"/>
  <c r="M59" i="14"/>
  <c r="N59" i="14" s="1"/>
  <c r="B62" i="18"/>
  <c r="A63" i="18"/>
  <c r="B61" i="7" l="1"/>
  <c r="I59" i="23"/>
  <c r="J59" i="23"/>
  <c r="I61" i="14"/>
  <c r="L61" i="14"/>
  <c r="AA58" i="20"/>
  <c r="E57" i="23"/>
  <c r="H59" i="23"/>
  <c r="R59" i="14"/>
  <c r="S59" i="14" s="1"/>
  <c r="T59" i="14" s="1"/>
  <c r="F60" i="14"/>
  <c r="G60" i="14" s="1"/>
  <c r="H60" i="14" s="1"/>
  <c r="E62" i="16"/>
  <c r="F59" i="14"/>
  <c r="C59" i="14"/>
  <c r="B63" i="18"/>
  <c r="A64" i="18"/>
  <c r="D58" i="14"/>
  <c r="E58" i="14" s="1"/>
  <c r="J60" i="14"/>
  <c r="K60" i="14" s="1"/>
  <c r="M60" i="14"/>
  <c r="N60" i="14" s="1"/>
  <c r="AD57" i="20"/>
  <c r="AE57" i="20" s="1"/>
  <c r="AB58" i="20"/>
  <c r="AC58" i="20" s="1"/>
  <c r="C58" i="23"/>
  <c r="G59" i="23"/>
  <c r="F59" i="23"/>
  <c r="K59" i="23"/>
  <c r="C63" i="18" s="1"/>
  <c r="A60" i="23"/>
  <c r="G62" i="4"/>
  <c r="H62" i="4"/>
  <c r="AE56" i="20"/>
  <c r="O60" i="14"/>
  <c r="B63" i="16"/>
  <c r="A63" i="16"/>
  <c r="D63" i="16"/>
  <c r="C64" i="16"/>
  <c r="B62" i="7" l="1"/>
  <c r="I60" i="23"/>
  <c r="J60" i="23"/>
  <c r="I62" i="14"/>
  <c r="L62" i="14"/>
  <c r="AA59" i="20"/>
  <c r="E58" i="23"/>
  <c r="H60" i="23"/>
  <c r="C60" i="14"/>
  <c r="D60" i="14" s="1"/>
  <c r="E60" i="14" s="1"/>
  <c r="E63" i="16"/>
  <c r="B64" i="16"/>
  <c r="D64" i="16"/>
  <c r="A64" i="16"/>
  <c r="C65" i="16"/>
  <c r="C59" i="23"/>
  <c r="G60" i="23"/>
  <c r="F60" i="23"/>
  <c r="K60" i="23"/>
  <c r="C64" i="18" s="1"/>
  <c r="A61" i="23"/>
  <c r="J61" i="14"/>
  <c r="K61" i="14" s="1"/>
  <c r="O61" i="14"/>
  <c r="B64" i="18"/>
  <c r="A65" i="18"/>
  <c r="AB59" i="20"/>
  <c r="F61" i="14"/>
  <c r="G63" i="4"/>
  <c r="H63" i="4"/>
  <c r="R60" i="14"/>
  <c r="D59" i="14"/>
  <c r="E59" i="14" s="1"/>
  <c r="P60" i="14"/>
  <c r="Q60" i="14" s="1"/>
  <c r="AD58" i="20"/>
  <c r="AE58" i="20" s="1"/>
  <c r="M61" i="14"/>
  <c r="N61" i="14" s="1"/>
  <c r="G59" i="14"/>
  <c r="H59" i="14" s="1"/>
  <c r="B63" i="7" l="1"/>
  <c r="I61" i="23"/>
  <c r="J61" i="23"/>
  <c r="I63" i="14"/>
  <c r="L63" i="14"/>
  <c r="E59" i="23"/>
  <c r="H61" i="23"/>
  <c r="E64" i="16"/>
  <c r="R61" i="14"/>
  <c r="S61" i="14" s="1"/>
  <c r="T61" i="14" s="1"/>
  <c r="O62" i="14"/>
  <c r="P62" i="14" s="1"/>
  <c r="Q62" i="14" s="1"/>
  <c r="F62" i="14"/>
  <c r="G62" i="14" s="1"/>
  <c r="C61" i="14"/>
  <c r="B65" i="16"/>
  <c r="D65" i="16"/>
  <c r="A65" i="16"/>
  <c r="C66" i="16"/>
  <c r="AC59" i="20"/>
  <c r="G61" i="14"/>
  <c r="H61" i="14" s="1"/>
  <c r="B65" i="18"/>
  <c r="A66" i="18"/>
  <c r="F61" i="23"/>
  <c r="G61" i="23"/>
  <c r="C60" i="23"/>
  <c r="K61" i="23"/>
  <c r="C65" i="18" s="1"/>
  <c r="A62" i="23"/>
  <c r="H64" i="4"/>
  <c r="G64" i="4"/>
  <c r="AD59" i="20"/>
  <c r="S60" i="14"/>
  <c r="T60" i="14" s="1"/>
  <c r="P61" i="14"/>
  <c r="Q61" i="14" s="1"/>
  <c r="M62" i="14"/>
  <c r="N62" i="14" s="1"/>
  <c r="J62" i="14"/>
  <c r="K62" i="14" s="1"/>
  <c r="AB60" i="20"/>
  <c r="AC60" i="20" s="1"/>
  <c r="B64" i="7" l="1"/>
  <c r="I62" i="23"/>
  <c r="J62" i="23"/>
  <c r="L64" i="14"/>
  <c r="AA60" i="20"/>
  <c r="AA61" i="20"/>
  <c r="E60" i="23"/>
  <c r="H62" i="23"/>
  <c r="C62" i="14"/>
  <c r="D62" i="14" s="1"/>
  <c r="E62" i="14" s="1"/>
  <c r="H62" i="14"/>
  <c r="E65" i="16"/>
  <c r="R62" i="14"/>
  <c r="S62" i="14" s="1"/>
  <c r="T62" i="14" s="1"/>
  <c r="AD60" i="20"/>
  <c r="AE60" i="20" s="1"/>
  <c r="F62" i="23"/>
  <c r="C61" i="23"/>
  <c r="G62" i="23"/>
  <c r="A63" i="23"/>
  <c r="K62" i="23"/>
  <c r="C66" i="18" s="1"/>
  <c r="M63" i="14"/>
  <c r="N63" i="14" s="1"/>
  <c r="AB61" i="20"/>
  <c r="AC61" i="20" s="1"/>
  <c r="B66" i="18"/>
  <c r="A67" i="18"/>
  <c r="O63" i="14"/>
  <c r="AE59" i="20"/>
  <c r="J63" i="14"/>
  <c r="K63" i="14" s="1"/>
  <c r="I64" i="14"/>
  <c r="D66" i="16"/>
  <c r="A66" i="16"/>
  <c r="B66" i="16"/>
  <c r="C67" i="16"/>
  <c r="G65" i="4"/>
  <c r="H65" i="4"/>
  <c r="D61" i="14"/>
  <c r="E61" i="14" s="1"/>
  <c r="B65" i="7" l="1"/>
  <c r="I63" i="23"/>
  <c r="J63" i="23"/>
  <c r="I65" i="14"/>
  <c r="L65" i="14"/>
  <c r="E61" i="23"/>
  <c r="H63" i="23"/>
  <c r="O64" i="14"/>
  <c r="P64" i="14" s="1"/>
  <c r="Q64" i="14" s="1"/>
  <c r="D67" i="16"/>
  <c r="A67" i="16"/>
  <c r="B67" i="16"/>
  <c r="C68" i="16"/>
  <c r="J64" i="14"/>
  <c r="K64" i="14" s="1"/>
  <c r="G63" i="23"/>
  <c r="F63" i="23"/>
  <c r="C62" i="23"/>
  <c r="K63" i="23"/>
  <c r="C67" i="18" s="1"/>
  <c r="A64" i="23"/>
  <c r="AD61" i="20"/>
  <c r="AE61" i="20" s="1"/>
  <c r="E66" i="16"/>
  <c r="P63" i="14"/>
  <c r="Q63" i="14" s="1"/>
  <c r="R63" i="14"/>
  <c r="G66" i="4"/>
  <c r="H66" i="4"/>
  <c r="AB62" i="20"/>
  <c r="AC62" i="20" s="1"/>
  <c r="B67" i="18"/>
  <c r="A68" i="18"/>
  <c r="F63" i="14"/>
  <c r="C63" i="14"/>
  <c r="M64" i="14"/>
  <c r="N64" i="14" s="1"/>
  <c r="B66" i="7" l="1"/>
  <c r="I64" i="23"/>
  <c r="J64" i="23"/>
  <c r="AA62" i="20"/>
  <c r="L66" i="14"/>
  <c r="AA63" i="20"/>
  <c r="E62" i="23"/>
  <c r="H64" i="23"/>
  <c r="R64" i="14"/>
  <c r="S64" i="14" s="1"/>
  <c r="T64" i="14" s="1"/>
  <c r="O65" i="14"/>
  <c r="P65" i="14" s="1"/>
  <c r="Q65" i="14" s="1"/>
  <c r="E67" i="16"/>
  <c r="G64" i="23"/>
  <c r="C63" i="23"/>
  <c r="F64" i="23"/>
  <c r="K64" i="23"/>
  <c r="C68" i="18" s="1"/>
  <c r="A65" i="23"/>
  <c r="S63" i="14"/>
  <c r="T63" i="14" s="1"/>
  <c r="AB63" i="20"/>
  <c r="D63" i="14"/>
  <c r="E63" i="14" s="1"/>
  <c r="I66" i="14"/>
  <c r="J65" i="14"/>
  <c r="K65" i="14" s="1"/>
  <c r="B68" i="18"/>
  <c r="A69" i="18"/>
  <c r="G67" i="4"/>
  <c r="H67" i="4"/>
  <c r="AD62" i="20"/>
  <c r="AE62" i="20" s="1"/>
  <c r="G63" i="14"/>
  <c r="H63" i="14" s="1"/>
  <c r="F64" i="14"/>
  <c r="C64" i="14"/>
  <c r="M65" i="14"/>
  <c r="N65" i="14" s="1"/>
  <c r="D68" i="16"/>
  <c r="A68" i="16"/>
  <c r="B68" i="16"/>
  <c r="C69" i="16"/>
  <c r="B67" i="7" l="1"/>
  <c r="I65" i="23"/>
  <c r="J65" i="23"/>
  <c r="L67" i="14"/>
  <c r="I67" i="14"/>
  <c r="AA64" i="20"/>
  <c r="E63" i="23"/>
  <c r="H65" i="23"/>
  <c r="R65" i="14"/>
  <c r="S65" i="14" s="1"/>
  <c r="T65" i="14" s="1"/>
  <c r="E68" i="16"/>
  <c r="AC63" i="20"/>
  <c r="J66" i="14"/>
  <c r="K66" i="14" s="1"/>
  <c r="O66" i="14"/>
  <c r="F65" i="14"/>
  <c r="C65" i="14"/>
  <c r="G64" i="14"/>
  <c r="H64" i="14" s="1"/>
  <c r="D69" i="16"/>
  <c r="A69" i="16"/>
  <c r="B69" i="16"/>
  <c r="C70" i="16"/>
  <c r="AD63" i="20"/>
  <c r="C64" i="23"/>
  <c r="F65" i="23"/>
  <c r="G65" i="23"/>
  <c r="K65" i="23"/>
  <c r="C69" i="18" s="1"/>
  <c r="A66" i="23"/>
  <c r="M66" i="14"/>
  <c r="N66" i="14" s="1"/>
  <c r="B69" i="18"/>
  <c r="A70" i="18"/>
  <c r="AB64" i="20"/>
  <c r="AC64" i="20" s="1"/>
  <c r="D64" i="14"/>
  <c r="E64" i="14" s="1"/>
  <c r="H68" i="4"/>
  <c r="G68" i="4"/>
  <c r="F66" i="14"/>
  <c r="B68" i="7" l="1"/>
  <c r="I66" i="23"/>
  <c r="J66" i="23"/>
  <c r="L68" i="14"/>
  <c r="I68" i="14"/>
  <c r="AA65" i="20"/>
  <c r="E64" i="23"/>
  <c r="H66" i="23"/>
  <c r="R66" i="14"/>
  <c r="S66" i="14" s="1"/>
  <c r="T66" i="14" s="1"/>
  <c r="E69" i="16"/>
  <c r="F67" i="14"/>
  <c r="G67" i="14" s="1"/>
  <c r="H67" i="14" s="1"/>
  <c r="J67" i="14"/>
  <c r="K67" i="14" s="1"/>
  <c r="G66" i="23"/>
  <c r="C65" i="23"/>
  <c r="F66" i="23"/>
  <c r="K66" i="23"/>
  <c r="C70" i="18" s="1"/>
  <c r="A67" i="23"/>
  <c r="M67" i="14"/>
  <c r="N67" i="14" s="1"/>
  <c r="AE63" i="20"/>
  <c r="D65" i="14"/>
  <c r="E65" i="14" s="1"/>
  <c r="P66" i="14"/>
  <c r="Q66" i="14" s="1"/>
  <c r="C66" i="14"/>
  <c r="G65" i="14"/>
  <c r="H65" i="14" s="1"/>
  <c r="G66" i="14"/>
  <c r="H66" i="14" s="1"/>
  <c r="G69" i="4"/>
  <c r="H69" i="4"/>
  <c r="AD64" i="20"/>
  <c r="AE64" i="20" s="1"/>
  <c r="B70" i="18"/>
  <c r="A71" i="18"/>
  <c r="D70" i="16"/>
  <c r="B70" i="16"/>
  <c r="A70" i="16"/>
  <c r="C71" i="16"/>
  <c r="AB65" i="20"/>
  <c r="AC65" i="20" s="1"/>
  <c r="B69" i="7" l="1"/>
  <c r="I67" i="23"/>
  <c r="J67" i="23"/>
  <c r="I69" i="14"/>
  <c r="L69" i="14"/>
  <c r="E65" i="23"/>
  <c r="H67" i="23"/>
  <c r="C67" i="14"/>
  <c r="D67" i="14" s="1"/>
  <c r="E67" i="14" s="1"/>
  <c r="M68" i="14"/>
  <c r="N68" i="14" s="1"/>
  <c r="J68" i="14"/>
  <c r="K68" i="14" s="1"/>
  <c r="G70" i="4"/>
  <c r="H70" i="4"/>
  <c r="D66" i="14"/>
  <c r="E66" i="14" s="1"/>
  <c r="AB66" i="20"/>
  <c r="AC66" i="20" s="1"/>
  <c r="C66" i="23"/>
  <c r="G67" i="23"/>
  <c r="F67" i="23"/>
  <c r="K67" i="23"/>
  <c r="C71" i="18" s="1"/>
  <c r="A68" i="23"/>
  <c r="B71" i="18"/>
  <c r="A72" i="18"/>
  <c r="O67" i="14"/>
  <c r="R67" i="14"/>
  <c r="A71" i="16"/>
  <c r="B71" i="16"/>
  <c r="D71" i="16"/>
  <c r="C72" i="16"/>
  <c r="AD65" i="20"/>
  <c r="AE65" i="20" s="1"/>
  <c r="E70" i="16"/>
  <c r="O68" i="14"/>
  <c r="B70" i="7" l="1"/>
  <c r="I68" i="23"/>
  <c r="J68" i="23"/>
  <c r="L70" i="14"/>
  <c r="AA66" i="20"/>
  <c r="E66" i="23"/>
  <c r="H68" i="23"/>
  <c r="F69" i="14"/>
  <c r="G69" i="14" s="1"/>
  <c r="H69" i="14" s="1"/>
  <c r="AB67" i="20"/>
  <c r="E71" i="16"/>
  <c r="P68" i="14"/>
  <c r="Q68" i="14" s="1"/>
  <c r="R68" i="14"/>
  <c r="D72" i="16"/>
  <c r="B72" i="16"/>
  <c r="A72" i="16"/>
  <c r="C73" i="16"/>
  <c r="F68" i="14"/>
  <c r="C68" i="14"/>
  <c r="S67" i="14"/>
  <c r="T67" i="14" s="1"/>
  <c r="AD66" i="20"/>
  <c r="AE66" i="20" s="1"/>
  <c r="G71" i="4"/>
  <c r="H71" i="4"/>
  <c r="J69" i="14"/>
  <c r="K69" i="14" s="1"/>
  <c r="M69" i="14"/>
  <c r="N69" i="14" s="1"/>
  <c r="I70" i="14"/>
  <c r="P67" i="14"/>
  <c r="Q67" i="14" s="1"/>
  <c r="B72" i="18"/>
  <c r="A73" i="18"/>
  <c r="C67" i="23"/>
  <c r="G68" i="23"/>
  <c r="F68" i="23"/>
  <c r="K68" i="23"/>
  <c r="C72" i="18" s="1"/>
  <c r="A69" i="23"/>
  <c r="B71" i="7" l="1"/>
  <c r="I69" i="23"/>
  <c r="J69" i="23"/>
  <c r="L71" i="14"/>
  <c r="AA67" i="20"/>
  <c r="C69" i="14"/>
  <c r="D69" i="14" s="1"/>
  <c r="E69" i="14" s="1"/>
  <c r="E67" i="23"/>
  <c r="H69" i="23"/>
  <c r="E72" i="16"/>
  <c r="F70" i="14"/>
  <c r="G70" i="14" s="1"/>
  <c r="H70" i="14" s="1"/>
  <c r="F69" i="23"/>
  <c r="G69" i="23"/>
  <c r="C68" i="23"/>
  <c r="A70" i="23"/>
  <c r="K69" i="23"/>
  <c r="C73" i="18" s="1"/>
  <c r="M70" i="14"/>
  <c r="N70" i="14" s="1"/>
  <c r="S68" i="14"/>
  <c r="T68" i="14" s="1"/>
  <c r="J70" i="14"/>
  <c r="K70" i="14" s="1"/>
  <c r="H72" i="4"/>
  <c r="G72" i="4"/>
  <c r="D68" i="14"/>
  <c r="E68" i="14" s="1"/>
  <c r="O70" i="14"/>
  <c r="AD67" i="20"/>
  <c r="AC67" i="20"/>
  <c r="AB68" i="20"/>
  <c r="G68" i="14"/>
  <c r="H68" i="14" s="1"/>
  <c r="O69" i="14"/>
  <c r="R69" i="14"/>
  <c r="B73" i="18"/>
  <c r="A74" i="18"/>
  <c r="I71" i="14"/>
  <c r="B73" i="16"/>
  <c r="D73" i="16"/>
  <c r="A73" i="16"/>
  <c r="C74" i="16"/>
  <c r="B72" i="7" l="1"/>
  <c r="I70" i="23"/>
  <c r="J70" i="23"/>
  <c r="AA68" i="20"/>
  <c r="L72" i="14"/>
  <c r="E68" i="23"/>
  <c r="H70" i="23"/>
  <c r="C70" i="14"/>
  <c r="D70" i="14" s="1"/>
  <c r="E70" i="14" s="1"/>
  <c r="E73" i="16"/>
  <c r="I72" i="14"/>
  <c r="S69" i="14"/>
  <c r="T69" i="14" s="1"/>
  <c r="G73" i="4"/>
  <c r="H73" i="4"/>
  <c r="AD68" i="20"/>
  <c r="AE67" i="20"/>
  <c r="O71" i="14"/>
  <c r="B74" i="16"/>
  <c r="D74" i="16"/>
  <c r="A74" i="16"/>
  <c r="C75" i="16"/>
  <c r="P70" i="14"/>
  <c r="Q70" i="14" s="1"/>
  <c r="AB69" i="20"/>
  <c r="AC69" i="20" s="1"/>
  <c r="R70" i="14"/>
  <c r="G70" i="23"/>
  <c r="C69" i="23"/>
  <c r="F70" i="23"/>
  <c r="K70" i="23"/>
  <c r="C74" i="18" s="1"/>
  <c r="A71" i="23"/>
  <c r="AC68" i="20"/>
  <c r="P69" i="14"/>
  <c r="Q69" i="14" s="1"/>
  <c r="J71" i="14"/>
  <c r="K71" i="14" s="1"/>
  <c r="B74" i="18"/>
  <c r="A75" i="18"/>
  <c r="M71" i="14"/>
  <c r="N71" i="14" s="1"/>
  <c r="B73" i="7" l="1"/>
  <c r="I71" i="23"/>
  <c r="J71" i="23"/>
  <c r="AA69" i="20"/>
  <c r="I73" i="14"/>
  <c r="AA70" i="20"/>
  <c r="E69" i="23"/>
  <c r="H71" i="23"/>
  <c r="S70" i="14"/>
  <c r="T70" i="14" s="1"/>
  <c r="J72" i="14"/>
  <c r="K72" i="14" s="1"/>
  <c r="B75" i="18"/>
  <c r="A76" i="18"/>
  <c r="C70" i="23"/>
  <c r="G71" i="23"/>
  <c r="F71" i="23"/>
  <c r="K71" i="23"/>
  <c r="C75" i="18" s="1"/>
  <c r="A72" i="23"/>
  <c r="AD69" i="20"/>
  <c r="AE69" i="20" s="1"/>
  <c r="L73" i="14"/>
  <c r="A75" i="16"/>
  <c r="B75" i="16"/>
  <c r="D75" i="16"/>
  <c r="C76" i="16"/>
  <c r="P71" i="14"/>
  <c r="Q71" i="14" s="1"/>
  <c r="G74" i="4"/>
  <c r="H74" i="4"/>
  <c r="E74" i="16"/>
  <c r="AE68" i="20"/>
  <c r="O72" i="14"/>
  <c r="M72" i="14"/>
  <c r="N72" i="14" s="1"/>
  <c r="AB70" i="20"/>
  <c r="AC70" i="20" s="1"/>
  <c r="R71" i="14"/>
  <c r="F71" i="14"/>
  <c r="C71" i="14"/>
  <c r="B74" i="7" l="1"/>
  <c r="I72" i="23"/>
  <c r="J72" i="23"/>
  <c r="I74" i="14"/>
  <c r="L74" i="14"/>
  <c r="AA71" i="20"/>
  <c r="E70" i="23"/>
  <c r="H72" i="23"/>
  <c r="E75" i="16"/>
  <c r="O73" i="14"/>
  <c r="P73" i="14" s="1"/>
  <c r="Q73" i="14" s="1"/>
  <c r="D71" i="14"/>
  <c r="E71" i="14" s="1"/>
  <c r="S71" i="14"/>
  <c r="T71" i="14" s="1"/>
  <c r="F73" i="14"/>
  <c r="G75" i="4"/>
  <c r="H75" i="4"/>
  <c r="C71" i="23"/>
  <c r="F72" i="23"/>
  <c r="G72" i="23"/>
  <c r="A73" i="23"/>
  <c r="K72" i="23"/>
  <c r="C76" i="18" s="1"/>
  <c r="AD70" i="20"/>
  <c r="AE70" i="20" s="1"/>
  <c r="B76" i="16"/>
  <c r="D76" i="16"/>
  <c r="A76" i="16"/>
  <c r="C77" i="16"/>
  <c r="M73" i="14"/>
  <c r="N73" i="14" s="1"/>
  <c r="R72" i="14"/>
  <c r="AB71" i="20"/>
  <c r="AC71" i="20" s="1"/>
  <c r="J73" i="14"/>
  <c r="K73" i="14" s="1"/>
  <c r="G71" i="14"/>
  <c r="H71" i="14" s="1"/>
  <c r="P72" i="14"/>
  <c r="Q72" i="14" s="1"/>
  <c r="F72" i="14"/>
  <c r="C72" i="14"/>
  <c r="B76" i="18"/>
  <c r="A77" i="18"/>
  <c r="B75" i="7" l="1"/>
  <c r="I73" i="23"/>
  <c r="J73" i="23"/>
  <c r="L75" i="14"/>
  <c r="I75" i="14"/>
  <c r="AA72" i="20"/>
  <c r="E71" i="23"/>
  <c r="H73" i="23"/>
  <c r="R73" i="14"/>
  <c r="S73" i="14" s="1"/>
  <c r="T73" i="14" s="1"/>
  <c r="O74" i="14"/>
  <c r="C73" i="14"/>
  <c r="S72" i="14"/>
  <c r="T72" i="14" s="1"/>
  <c r="H76" i="4"/>
  <c r="G76" i="4"/>
  <c r="G72" i="14"/>
  <c r="H72" i="14" s="1"/>
  <c r="AD71" i="20"/>
  <c r="AE71" i="20" s="1"/>
  <c r="B77" i="16"/>
  <c r="D77" i="16"/>
  <c r="A77" i="16"/>
  <c r="C78" i="16"/>
  <c r="J74" i="14"/>
  <c r="K74" i="14" s="1"/>
  <c r="G73" i="23"/>
  <c r="C72" i="23"/>
  <c r="F73" i="23"/>
  <c r="A74" i="23"/>
  <c r="K73" i="23"/>
  <c r="C77" i="18" s="1"/>
  <c r="M74" i="14"/>
  <c r="N74" i="14" s="1"/>
  <c r="G73" i="14"/>
  <c r="H73" i="14" s="1"/>
  <c r="D72" i="14"/>
  <c r="E72" i="14" s="1"/>
  <c r="B77" i="18"/>
  <c r="A78" i="18"/>
  <c r="E76" i="16"/>
  <c r="AB72" i="20"/>
  <c r="AC72" i="20" s="1"/>
  <c r="B76" i="7" l="1"/>
  <c r="I74" i="23"/>
  <c r="J74" i="23"/>
  <c r="L76" i="14"/>
  <c r="I76" i="14"/>
  <c r="E72" i="23"/>
  <c r="H74" i="23"/>
  <c r="O75" i="14"/>
  <c r="P75" i="14" s="1"/>
  <c r="Q75" i="14" s="1"/>
  <c r="R74" i="14"/>
  <c r="S74" i="14" s="1"/>
  <c r="T74" i="14" s="1"/>
  <c r="F74" i="14"/>
  <c r="C74" i="14"/>
  <c r="G77" i="4"/>
  <c r="H77" i="4"/>
  <c r="P74" i="14"/>
  <c r="Q74" i="14" s="1"/>
  <c r="AD72" i="20"/>
  <c r="AE72" i="20" s="1"/>
  <c r="J75" i="14"/>
  <c r="K75" i="14" s="1"/>
  <c r="D73" i="14"/>
  <c r="E73" i="14" s="1"/>
  <c r="D78" i="16"/>
  <c r="A78" i="16"/>
  <c r="B78" i="16"/>
  <c r="C79" i="16"/>
  <c r="AB73" i="20"/>
  <c r="AC73" i="20" s="1"/>
  <c r="B78" i="18"/>
  <c r="A79" i="18"/>
  <c r="G74" i="23"/>
  <c r="F74" i="23"/>
  <c r="C73" i="23"/>
  <c r="K74" i="23"/>
  <c r="C78" i="18" s="1"/>
  <c r="A75" i="23"/>
  <c r="J75" i="23" s="1"/>
  <c r="E77" i="16"/>
  <c r="F75" i="14"/>
  <c r="M75" i="14"/>
  <c r="N75" i="14" s="1"/>
  <c r="B77" i="7" l="1"/>
  <c r="I75" i="23"/>
  <c r="C74" i="23"/>
  <c r="AA73" i="20"/>
  <c r="E73" i="23"/>
  <c r="H75" i="23"/>
  <c r="R75" i="14"/>
  <c r="S75" i="14" s="1"/>
  <c r="T75" i="14" s="1"/>
  <c r="O76" i="14"/>
  <c r="P76" i="14" s="1"/>
  <c r="Q76" i="14" s="1"/>
  <c r="C75" i="14"/>
  <c r="D75" i="14" s="1"/>
  <c r="E75" i="14" s="1"/>
  <c r="AD73" i="20"/>
  <c r="AE73" i="20" s="1"/>
  <c r="L77" i="14"/>
  <c r="I77" i="14"/>
  <c r="G75" i="14"/>
  <c r="H75" i="14" s="1"/>
  <c r="D79" i="16"/>
  <c r="B79" i="16"/>
  <c r="A79" i="16"/>
  <c r="C80" i="16"/>
  <c r="G78" i="4"/>
  <c r="H78" i="4"/>
  <c r="J76" i="14"/>
  <c r="K76" i="14" s="1"/>
  <c r="B79" i="18"/>
  <c r="A80" i="18"/>
  <c r="AB74" i="20"/>
  <c r="AC74" i="20" s="1"/>
  <c r="M76" i="14"/>
  <c r="N76" i="14" s="1"/>
  <c r="D74" i="14"/>
  <c r="E74" i="14" s="1"/>
  <c r="F75" i="23"/>
  <c r="G75" i="23"/>
  <c r="K75" i="23"/>
  <c r="C79" i="18" s="1"/>
  <c r="A76" i="23"/>
  <c r="E78" i="16"/>
  <c r="G74" i="14"/>
  <c r="H74" i="14" s="1"/>
  <c r="B78" i="7" l="1"/>
  <c r="I76" i="23"/>
  <c r="J76" i="23"/>
  <c r="I78" i="14"/>
  <c r="AA74" i="20"/>
  <c r="R76" i="14"/>
  <c r="S76" i="14" s="1"/>
  <c r="T76" i="14" s="1"/>
  <c r="E74" i="23"/>
  <c r="H76" i="23"/>
  <c r="O77" i="14"/>
  <c r="P77" i="14" s="1"/>
  <c r="Q77" i="14" s="1"/>
  <c r="E79" i="16"/>
  <c r="L78" i="14"/>
  <c r="AD74" i="20"/>
  <c r="AE74" i="20" s="1"/>
  <c r="G79" i="4"/>
  <c r="H79" i="4"/>
  <c r="D80" i="16"/>
  <c r="B80" i="16"/>
  <c r="A80" i="16"/>
  <c r="C81" i="16"/>
  <c r="F77" i="14"/>
  <c r="B80" i="18"/>
  <c r="A81" i="18"/>
  <c r="J77" i="14"/>
  <c r="K77" i="14" s="1"/>
  <c r="F76" i="23"/>
  <c r="G76" i="23"/>
  <c r="C75" i="23"/>
  <c r="K76" i="23"/>
  <c r="C80" i="18" s="1"/>
  <c r="A77" i="23"/>
  <c r="AB75" i="20"/>
  <c r="AC75" i="20" s="1"/>
  <c r="F76" i="14"/>
  <c r="C76" i="14"/>
  <c r="M77" i="14"/>
  <c r="N77" i="14" s="1"/>
  <c r="B79" i="7" l="1"/>
  <c r="I77" i="23"/>
  <c r="J77" i="23"/>
  <c r="AA75" i="20"/>
  <c r="I79" i="14"/>
  <c r="AA76" i="20"/>
  <c r="E75" i="23"/>
  <c r="H77" i="23"/>
  <c r="E80" i="16"/>
  <c r="R77" i="14"/>
  <c r="S77" i="14" s="1"/>
  <c r="T77" i="14" s="1"/>
  <c r="C77" i="14"/>
  <c r="D77" i="14" s="1"/>
  <c r="E77" i="14" s="1"/>
  <c r="F78" i="14"/>
  <c r="G78" i="14" s="1"/>
  <c r="H78" i="14" s="1"/>
  <c r="M78" i="14"/>
  <c r="N78" i="14" s="1"/>
  <c r="L79" i="14"/>
  <c r="AD75" i="20"/>
  <c r="AE75" i="20" s="1"/>
  <c r="F77" i="23"/>
  <c r="G77" i="23"/>
  <c r="C76" i="23"/>
  <c r="K77" i="23"/>
  <c r="C81" i="18" s="1"/>
  <c r="A78" i="23"/>
  <c r="AB76" i="20"/>
  <c r="AC76" i="20" s="1"/>
  <c r="G76" i="14"/>
  <c r="H76" i="14" s="1"/>
  <c r="J78" i="14"/>
  <c r="K78" i="14" s="1"/>
  <c r="G77" i="14"/>
  <c r="H77" i="14" s="1"/>
  <c r="B81" i="18"/>
  <c r="A82" i="18"/>
  <c r="D76" i="14"/>
  <c r="E76" i="14" s="1"/>
  <c r="O78" i="14"/>
  <c r="D81" i="16"/>
  <c r="A81" i="16"/>
  <c r="B81" i="16"/>
  <c r="C82" i="16"/>
  <c r="H80" i="4"/>
  <c r="G80" i="4"/>
  <c r="B80" i="7" l="1"/>
  <c r="I78" i="23"/>
  <c r="J78" i="23"/>
  <c r="L80" i="14"/>
  <c r="I80" i="14"/>
  <c r="AA77" i="20"/>
  <c r="E76" i="23"/>
  <c r="H78" i="23"/>
  <c r="C78" i="14"/>
  <c r="D78" i="14" s="1"/>
  <c r="E78" i="14" s="1"/>
  <c r="R78" i="14"/>
  <c r="S78" i="14" s="1"/>
  <c r="T78" i="14" s="1"/>
  <c r="F79" i="14"/>
  <c r="G79" i="14" s="1"/>
  <c r="B82" i="16"/>
  <c r="A82" i="16"/>
  <c r="D82" i="16"/>
  <c r="C83" i="16"/>
  <c r="M79" i="14"/>
  <c r="N79" i="14" s="1"/>
  <c r="G81" i="4"/>
  <c r="H81" i="4"/>
  <c r="J79" i="14"/>
  <c r="K79" i="14" s="1"/>
  <c r="C77" i="23"/>
  <c r="G78" i="23"/>
  <c r="F78" i="23"/>
  <c r="K78" i="23"/>
  <c r="C82" i="18" s="1"/>
  <c r="A79" i="23"/>
  <c r="AB77" i="20"/>
  <c r="P78" i="14"/>
  <c r="Q78" i="14" s="1"/>
  <c r="E81" i="16"/>
  <c r="B82" i="18"/>
  <c r="A83" i="18"/>
  <c r="AD76" i="20"/>
  <c r="AE76" i="20" s="1"/>
  <c r="B81" i="7" l="1"/>
  <c r="I79" i="23"/>
  <c r="J79" i="23"/>
  <c r="L81" i="14"/>
  <c r="I81" i="14"/>
  <c r="E77" i="23"/>
  <c r="H79" i="23"/>
  <c r="H79" i="14"/>
  <c r="E82" i="16"/>
  <c r="C79" i="14"/>
  <c r="J80" i="14"/>
  <c r="K80" i="14" s="1"/>
  <c r="AC77" i="20"/>
  <c r="AB78" i="20"/>
  <c r="G82" i="4"/>
  <c r="H82" i="4"/>
  <c r="B83" i="16"/>
  <c r="D83" i="16"/>
  <c r="A83" i="16"/>
  <c r="C84" i="16"/>
  <c r="G79" i="23"/>
  <c r="F79" i="23"/>
  <c r="C78" i="23"/>
  <c r="K79" i="23"/>
  <c r="C83" i="18" s="1"/>
  <c r="A80" i="23"/>
  <c r="O79" i="14"/>
  <c r="R79" i="14"/>
  <c r="B83" i="18"/>
  <c r="A84" i="18"/>
  <c r="M80" i="14"/>
  <c r="N80" i="14" s="1"/>
  <c r="F80" i="14"/>
  <c r="O80" i="14"/>
  <c r="AD77" i="20"/>
  <c r="B82" i="7" l="1"/>
  <c r="I80" i="23"/>
  <c r="J80" i="23"/>
  <c r="AA78" i="20"/>
  <c r="L82" i="14"/>
  <c r="E83" i="16"/>
  <c r="E78" i="23"/>
  <c r="H80" i="23"/>
  <c r="R80" i="14"/>
  <c r="S80" i="14" s="1"/>
  <c r="T80" i="14" s="1"/>
  <c r="F81" i="14"/>
  <c r="G81" i="14" s="1"/>
  <c r="H81" i="14" s="1"/>
  <c r="C80" i="14"/>
  <c r="D80" i="14" s="1"/>
  <c r="E80" i="14" s="1"/>
  <c r="D79" i="14"/>
  <c r="E79" i="14" s="1"/>
  <c r="I82" i="14"/>
  <c r="G83" i="4"/>
  <c r="H83" i="4"/>
  <c r="P79" i="14"/>
  <c r="Q79" i="14" s="1"/>
  <c r="G80" i="23"/>
  <c r="F80" i="23"/>
  <c r="C79" i="23"/>
  <c r="A81" i="23"/>
  <c r="K80" i="23"/>
  <c r="C84" i="18" s="1"/>
  <c r="AE77" i="20"/>
  <c r="O81" i="14"/>
  <c r="S79" i="14"/>
  <c r="T79" i="14" s="1"/>
  <c r="P80" i="14"/>
  <c r="Q80" i="14" s="1"/>
  <c r="B84" i="18"/>
  <c r="A85" i="18"/>
  <c r="J81" i="14"/>
  <c r="K81" i="14" s="1"/>
  <c r="AB79" i="20"/>
  <c r="AC79" i="20" s="1"/>
  <c r="AD78" i="20"/>
  <c r="AC78" i="20"/>
  <c r="M81" i="14"/>
  <c r="N81" i="14" s="1"/>
  <c r="G80" i="14"/>
  <c r="H80" i="14" s="1"/>
  <c r="B84" i="16"/>
  <c r="D84" i="16"/>
  <c r="A84" i="16"/>
  <c r="C85" i="16"/>
  <c r="B83" i="7" l="1"/>
  <c r="I81" i="23"/>
  <c r="J81" i="23"/>
  <c r="AA79" i="20"/>
  <c r="I83" i="14"/>
  <c r="E79" i="23"/>
  <c r="H81" i="23"/>
  <c r="C81" i="14"/>
  <c r="D81" i="14" s="1"/>
  <c r="E81" i="14" s="1"/>
  <c r="F82" i="14"/>
  <c r="G82" i="14" s="1"/>
  <c r="H82" i="14" s="1"/>
  <c r="B85" i="18"/>
  <c r="A86" i="18"/>
  <c r="P81" i="14"/>
  <c r="Q81" i="14" s="1"/>
  <c r="F81" i="23"/>
  <c r="G81" i="23"/>
  <c r="C80" i="23"/>
  <c r="A82" i="23"/>
  <c r="K81" i="23"/>
  <c r="C85" i="18" s="1"/>
  <c r="H84" i="4"/>
  <c r="G84" i="4"/>
  <c r="B85" i="16"/>
  <c r="A85" i="16"/>
  <c r="E85" i="16" s="1"/>
  <c r="D85" i="16"/>
  <c r="C86" i="16"/>
  <c r="M82" i="14"/>
  <c r="N82" i="14" s="1"/>
  <c r="J82" i="14"/>
  <c r="K82" i="14" s="1"/>
  <c r="E84" i="16"/>
  <c r="AD79" i="20"/>
  <c r="AE79" i="20" s="1"/>
  <c r="L83" i="14"/>
  <c r="AB80" i="20"/>
  <c r="AC80" i="20" s="1"/>
  <c r="R81" i="14"/>
  <c r="AE78" i="20"/>
  <c r="O82" i="14"/>
  <c r="B84" i="7" l="1"/>
  <c r="I82" i="23"/>
  <c r="J82" i="23"/>
  <c r="L84" i="14"/>
  <c r="AA80" i="20"/>
  <c r="E80" i="23"/>
  <c r="H82" i="23"/>
  <c r="O83" i="14"/>
  <c r="P83" i="14" s="1"/>
  <c r="Q83" i="14" s="1"/>
  <c r="C82" i="14"/>
  <c r="D82" i="14" s="1"/>
  <c r="E82" i="14" s="1"/>
  <c r="AB81" i="20"/>
  <c r="I84" i="14"/>
  <c r="P82" i="14"/>
  <c r="Q82" i="14" s="1"/>
  <c r="S81" i="14"/>
  <c r="T81" i="14" s="1"/>
  <c r="R82" i="14"/>
  <c r="J83" i="14"/>
  <c r="K83" i="14" s="1"/>
  <c r="D86" i="16"/>
  <c r="B86" i="16"/>
  <c r="A86" i="16"/>
  <c r="C87" i="16"/>
  <c r="G85" i="4"/>
  <c r="H85" i="4"/>
  <c r="G82" i="23"/>
  <c r="C81" i="23"/>
  <c r="F82" i="23"/>
  <c r="K82" i="23"/>
  <c r="C86" i="18" s="1"/>
  <c r="A83" i="23"/>
  <c r="B86" i="18"/>
  <c r="A87" i="18"/>
  <c r="AD80" i="20"/>
  <c r="AE80" i="20" s="1"/>
  <c r="M83" i="14"/>
  <c r="N83" i="14" s="1"/>
  <c r="B85" i="7" l="1"/>
  <c r="I83" i="23"/>
  <c r="J83" i="23"/>
  <c r="AA81" i="20"/>
  <c r="I85" i="14"/>
  <c r="AA82" i="20"/>
  <c r="R83" i="14"/>
  <c r="S83" i="14" s="1"/>
  <c r="T83" i="14" s="1"/>
  <c r="E81" i="23"/>
  <c r="H83" i="23"/>
  <c r="F84" i="14"/>
  <c r="G84" i="14" s="1"/>
  <c r="H84" i="14" s="1"/>
  <c r="E86" i="16"/>
  <c r="G86" i="4"/>
  <c r="H86" i="4"/>
  <c r="AD81" i="20"/>
  <c r="L85" i="14"/>
  <c r="AB82" i="20"/>
  <c r="O84" i="14"/>
  <c r="F83" i="14"/>
  <c r="C83" i="14"/>
  <c r="G83" i="23"/>
  <c r="C82" i="23"/>
  <c r="F83" i="23"/>
  <c r="K83" i="23"/>
  <c r="C87" i="18" s="1"/>
  <c r="A84" i="23"/>
  <c r="S82" i="14"/>
  <c r="T82" i="14" s="1"/>
  <c r="AC81" i="20"/>
  <c r="M84" i="14"/>
  <c r="N84" i="14" s="1"/>
  <c r="B87" i="18"/>
  <c r="A88" i="18"/>
  <c r="B87" i="16"/>
  <c r="D87" i="16"/>
  <c r="A87" i="16"/>
  <c r="C88" i="16"/>
  <c r="J84" i="14"/>
  <c r="K84" i="14" s="1"/>
  <c r="B86" i="7" l="1"/>
  <c r="I84" i="23"/>
  <c r="J84" i="23"/>
  <c r="I86" i="14"/>
  <c r="E82" i="23"/>
  <c r="H84" i="23"/>
  <c r="E87" i="16"/>
  <c r="C84" i="14"/>
  <c r="D84" i="14" s="1"/>
  <c r="E84" i="14" s="1"/>
  <c r="R84" i="14"/>
  <c r="S84" i="14" s="1"/>
  <c r="T84" i="14" s="1"/>
  <c r="B88" i="18"/>
  <c r="A89" i="18"/>
  <c r="AE81" i="20"/>
  <c r="F84" i="23"/>
  <c r="C83" i="23"/>
  <c r="G84" i="23"/>
  <c r="K84" i="23"/>
  <c r="C88" i="18" s="1"/>
  <c r="A85" i="23"/>
  <c r="G83" i="14"/>
  <c r="H83" i="14" s="1"/>
  <c r="AB83" i="20"/>
  <c r="AC83" i="20" s="1"/>
  <c r="F85" i="14"/>
  <c r="P84" i="14"/>
  <c r="Q84" i="14" s="1"/>
  <c r="AD82" i="20"/>
  <c r="L86" i="14"/>
  <c r="M85" i="14"/>
  <c r="N85" i="14" s="1"/>
  <c r="J85" i="14"/>
  <c r="K85" i="14" s="1"/>
  <c r="G87" i="4"/>
  <c r="H87" i="4"/>
  <c r="D88" i="16"/>
  <c r="A88" i="16"/>
  <c r="B88" i="16"/>
  <c r="C89" i="16"/>
  <c r="AC82" i="20"/>
  <c r="D83" i="14"/>
  <c r="E83" i="14" s="1"/>
  <c r="B87" i="7" l="1"/>
  <c r="I85" i="23"/>
  <c r="J85" i="23"/>
  <c r="I87" i="14"/>
  <c r="AA83" i="20"/>
  <c r="AA84" i="20"/>
  <c r="E83" i="23"/>
  <c r="H85" i="23"/>
  <c r="C85" i="14"/>
  <c r="D85" i="14" s="1"/>
  <c r="E85" i="14" s="1"/>
  <c r="AB84" i="20"/>
  <c r="AC84" i="20" s="1"/>
  <c r="M86" i="14"/>
  <c r="N86" i="14" s="1"/>
  <c r="C84" i="23"/>
  <c r="F85" i="23"/>
  <c r="G85" i="23"/>
  <c r="A86" i="23"/>
  <c r="K85" i="23"/>
  <c r="C89" i="18" s="1"/>
  <c r="G85" i="14"/>
  <c r="H85" i="14" s="1"/>
  <c r="B89" i="18"/>
  <c r="A90" i="18"/>
  <c r="O85" i="14"/>
  <c r="R85" i="14"/>
  <c r="B89" i="16"/>
  <c r="D89" i="16"/>
  <c r="A89" i="16"/>
  <c r="C90" i="16"/>
  <c r="H88" i="4"/>
  <c r="G88" i="4"/>
  <c r="J86" i="14"/>
  <c r="K86" i="14" s="1"/>
  <c r="AE82" i="20"/>
  <c r="E88" i="16"/>
  <c r="AD83" i="20"/>
  <c r="AE83" i="20" s="1"/>
  <c r="L87" i="14"/>
  <c r="B88" i="7" l="1"/>
  <c r="I86" i="23"/>
  <c r="J86" i="23"/>
  <c r="I88" i="14"/>
  <c r="L88" i="14"/>
  <c r="E84" i="23"/>
  <c r="H86" i="23"/>
  <c r="O87" i="14"/>
  <c r="P87" i="14" s="1"/>
  <c r="Q87" i="14" s="1"/>
  <c r="E89" i="16"/>
  <c r="M87" i="14"/>
  <c r="N87" i="14" s="1"/>
  <c r="AB85" i="20"/>
  <c r="AC85" i="20" s="1"/>
  <c r="G86" i="23"/>
  <c r="C85" i="23"/>
  <c r="F86" i="23"/>
  <c r="K86" i="23"/>
  <c r="C90" i="18" s="1"/>
  <c r="A87" i="23"/>
  <c r="AD84" i="20"/>
  <c r="AE84" i="20" s="1"/>
  <c r="B90" i="18"/>
  <c r="A91" i="18"/>
  <c r="O86" i="14"/>
  <c r="R86" i="14"/>
  <c r="B90" i="16"/>
  <c r="D90" i="16"/>
  <c r="A90" i="16"/>
  <c r="C91" i="16"/>
  <c r="S85" i="14"/>
  <c r="T85" i="14" s="1"/>
  <c r="F86" i="14"/>
  <c r="C86" i="14"/>
  <c r="J87" i="14"/>
  <c r="K87" i="14" s="1"/>
  <c r="G89" i="4"/>
  <c r="H89" i="4"/>
  <c r="P85" i="14"/>
  <c r="Q85" i="14" s="1"/>
  <c r="B89" i="7" l="1"/>
  <c r="I87" i="23"/>
  <c r="J87" i="23"/>
  <c r="L89" i="14"/>
  <c r="AA85" i="20"/>
  <c r="E85" i="23"/>
  <c r="H87" i="23"/>
  <c r="R87" i="14"/>
  <c r="S87" i="14" s="1"/>
  <c r="T87" i="14" s="1"/>
  <c r="F88" i="14"/>
  <c r="G88" i="14" s="1"/>
  <c r="H88" i="14" s="1"/>
  <c r="E90" i="16"/>
  <c r="F87" i="14"/>
  <c r="G87" i="14" s="1"/>
  <c r="H87" i="14" s="1"/>
  <c r="C87" i="14"/>
  <c r="D87" i="14" s="1"/>
  <c r="E87" i="14" s="1"/>
  <c r="G87" i="23"/>
  <c r="C86" i="23"/>
  <c r="F87" i="23"/>
  <c r="K87" i="23"/>
  <c r="C91" i="18" s="1"/>
  <c r="A88" i="23"/>
  <c r="AD85" i="20"/>
  <c r="AE85" i="20" s="1"/>
  <c r="I89" i="14"/>
  <c r="J88" i="14"/>
  <c r="K88" i="14" s="1"/>
  <c r="G90" i="4"/>
  <c r="H90" i="4"/>
  <c r="S86" i="14"/>
  <c r="T86" i="14" s="1"/>
  <c r="B91" i="18"/>
  <c r="A92" i="18"/>
  <c r="AB86" i="20"/>
  <c r="AC86" i="20" s="1"/>
  <c r="D86" i="14"/>
  <c r="E86" i="14" s="1"/>
  <c r="P86" i="14"/>
  <c r="Q86" i="14" s="1"/>
  <c r="M88" i="14"/>
  <c r="N88" i="14" s="1"/>
  <c r="G86" i="14"/>
  <c r="H86" i="14" s="1"/>
  <c r="B91" i="16"/>
  <c r="D91" i="16"/>
  <c r="A91" i="16"/>
  <c r="C92" i="16"/>
  <c r="B90" i="7" l="1"/>
  <c r="I88" i="23"/>
  <c r="J88" i="23"/>
  <c r="AA86" i="20"/>
  <c r="I90" i="14"/>
  <c r="E86" i="23"/>
  <c r="H88" i="23"/>
  <c r="O89" i="14"/>
  <c r="P89" i="14" s="1"/>
  <c r="Q89" i="14" s="1"/>
  <c r="C88" i="14"/>
  <c r="D88" i="14" s="1"/>
  <c r="E88" i="14" s="1"/>
  <c r="F89" i="14"/>
  <c r="G89" i="14" s="1"/>
  <c r="H89" i="14" s="1"/>
  <c r="B92" i="18"/>
  <c r="A93" i="18"/>
  <c r="M89" i="14"/>
  <c r="N89" i="14" s="1"/>
  <c r="O88" i="14"/>
  <c r="R88" i="14"/>
  <c r="AD86" i="20"/>
  <c r="AE86" i="20" s="1"/>
  <c r="L90" i="14"/>
  <c r="G91" i="4"/>
  <c r="H91" i="4"/>
  <c r="D92" i="16"/>
  <c r="A92" i="16"/>
  <c r="B92" i="16"/>
  <c r="C93" i="16"/>
  <c r="J89" i="14"/>
  <c r="K89" i="14" s="1"/>
  <c r="AB87" i="20"/>
  <c r="AC87" i="20" s="1"/>
  <c r="E91" i="16"/>
  <c r="F88" i="23"/>
  <c r="G88" i="23"/>
  <c r="C87" i="23"/>
  <c r="A89" i="23"/>
  <c r="K88" i="23"/>
  <c r="C92" i="18" s="1"/>
  <c r="B91" i="7" l="1"/>
  <c r="I89" i="23"/>
  <c r="J89" i="23"/>
  <c r="L91" i="14"/>
  <c r="AA87" i="20"/>
  <c r="R89" i="14"/>
  <c r="S89" i="14" s="1"/>
  <c r="T89" i="14" s="1"/>
  <c r="E87" i="23"/>
  <c r="H89" i="23"/>
  <c r="C89" i="14"/>
  <c r="D89" i="14" s="1"/>
  <c r="E89" i="14" s="1"/>
  <c r="F90" i="14"/>
  <c r="G90" i="14" s="1"/>
  <c r="H90" i="14" s="1"/>
  <c r="G89" i="23"/>
  <c r="F89" i="23"/>
  <c r="C88" i="23"/>
  <c r="A90" i="23"/>
  <c r="K89" i="23"/>
  <c r="C93" i="18" s="1"/>
  <c r="E92" i="16"/>
  <c r="S88" i="14"/>
  <c r="T88" i="14" s="1"/>
  <c r="AD87" i="20"/>
  <c r="AE87" i="20" s="1"/>
  <c r="I91" i="14"/>
  <c r="AB88" i="20"/>
  <c r="M90" i="14"/>
  <c r="N90" i="14" s="1"/>
  <c r="P88" i="14"/>
  <c r="Q88" i="14" s="1"/>
  <c r="B93" i="18"/>
  <c r="A94" i="18"/>
  <c r="J90" i="14"/>
  <c r="K90" i="14" s="1"/>
  <c r="D93" i="16"/>
  <c r="A93" i="16"/>
  <c r="B93" i="16"/>
  <c r="C94" i="16"/>
  <c r="H92" i="4"/>
  <c r="G92" i="4"/>
  <c r="B92" i="7" l="1"/>
  <c r="I90" i="23"/>
  <c r="J90" i="23"/>
  <c r="AA88" i="20"/>
  <c r="I92" i="14"/>
  <c r="E88" i="23"/>
  <c r="H90" i="23"/>
  <c r="O90" i="14"/>
  <c r="P90" i="14" s="1"/>
  <c r="Q90" i="14" s="1"/>
  <c r="R90" i="14"/>
  <c r="S90" i="14" s="1"/>
  <c r="T90" i="14" s="1"/>
  <c r="C90" i="14"/>
  <c r="D90" i="14" s="1"/>
  <c r="E90" i="14" s="1"/>
  <c r="E93" i="16"/>
  <c r="D94" i="16"/>
  <c r="B94" i="16"/>
  <c r="A94" i="16"/>
  <c r="C95" i="16"/>
  <c r="AB89" i="20"/>
  <c r="AC88" i="20"/>
  <c r="J91" i="14"/>
  <c r="K91" i="14" s="1"/>
  <c r="O91" i="14"/>
  <c r="M91" i="14"/>
  <c r="N91" i="14" s="1"/>
  <c r="C89" i="23"/>
  <c r="G90" i="23"/>
  <c r="F90" i="23"/>
  <c r="K90" i="23"/>
  <c r="C94" i="18" s="1"/>
  <c r="A91" i="23"/>
  <c r="G93" i="4"/>
  <c r="H93" i="4"/>
  <c r="B94" i="18"/>
  <c r="A95" i="18"/>
  <c r="AD88" i="20"/>
  <c r="L92" i="14"/>
  <c r="B93" i="7" l="1"/>
  <c r="I91" i="23"/>
  <c r="J91" i="23"/>
  <c r="AA89" i="20"/>
  <c r="L93" i="14"/>
  <c r="AA90" i="20"/>
  <c r="E89" i="23"/>
  <c r="H91" i="23"/>
  <c r="E94" i="16"/>
  <c r="F92" i="14"/>
  <c r="G92" i="14" s="1"/>
  <c r="H92" i="14" s="1"/>
  <c r="AC89" i="20"/>
  <c r="M92" i="14"/>
  <c r="N92" i="14" s="1"/>
  <c r="B95" i="18"/>
  <c r="A96" i="18"/>
  <c r="C90" i="23"/>
  <c r="F91" i="23"/>
  <c r="G91" i="23"/>
  <c r="K91" i="23"/>
  <c r="C95" i="18" s="1"/>
  <c r="A92" i="23"/>
  <c r="P91" i="14"/>
  <c r="Q91" i="14" s="1"/>
  <c r="AE88" i="20"/>
  <c r="O92" i="14"/>
  <c r="F91" i="14"/>
  <c r="C91" i="14"/>
  <c r="G94" i="4"/>
  <c r="H94" i="4"/>
  <c r="AB90" i="20"/>
  <c r="R91" i="14"/>
  <c r="J92" i="14"/>
  <c r="K92" i="14" s="1"/>
  <c r="I93" i="14"/>
  <c r="AD89" i="20"/>
  <c r="B95" i="16"/>
  <c r="D95" i="16"/>
  <c r="A95" i="16"/>
  <c r="C96" i="16"/>
  <c r="B94" i="7" l="1"/>
  <c r="I92" i="23"/>
  <c r="J92" i="23"/>
  <c r="L94" i="14"/>
  <c r="I94" i="14"/>
  <c r="E90" i="23"/>
  <c r="H92" i="23"/>
  <c r="C92" i="14"/>
  <c r="D92" i="14" s="1"/>
  <c r="E92" i="14" s="1"/>
  <c r="R92" i="14"/>
  <c r="S92" i="14" s="1"/>
  <c r="T92" i="14" s="1"/>
  <c r="E95" i="16"/>
  <c r="M93" i="14"/>
  <c r="N93" i="14" s="1"/>
  <c r="S91" i="14"/>
  <c r="T91" i="14" s="1"/>
  <c r="G91" i="14"/>
  <c r="H91" i="14" s="1"/>
  <c r="D91" i="14"/>
  <c r="E91" i="14" s="1"/>
  <c r="J93" i="14"/>
  <c r="K93" i="14" s="1"/>
  <c r="AD90" i="20"/>
  <c r="G95" i="4"/>
  <c r="H95" i="4"/>
  <c r="P92" i="14"/>
  <c r="Q92" i="14" s="1"/>
  <c r="G92" i="23"/>
  <c r="C91" i="23"/>
  <c r="F92" i="23"/>
  <c r="A93" i="23"/>
  <c r="K92" i="23"/>
  <c r="C96" i="18" s="1"/>
  <c r="B96" i="18"/>
  <c r="A97" i="18"/>
  <c r="AE89" i="20"/>
  <c r="O93" i="14"/>
  <c r="B96" i="16"/>
  <c r="D96" i="16"/>
  <c r="A96" i="16"/>
  <c r="C97" i="16"/>
  <c r="AC90" i="20"/>
  <c r="AB91" i="20"/>
  <c r="AC91" i="20" s="1"/>
  <c r="B95" i="7" l="1"/>
  <c r="AA91" i="20"/>
  <c r="I93" i="23"/>
  <c r="J93" i="23"/>
  <c r="L95" i="14"/>
  <c r="E91" i="23"/>
  <c r="H93" i="23"/>
  <c r="F94" i="14"/>
  <c r="G94" i="14" s="1"/>
  <c r="H94" i="14" s="1"/>
  <c r="AD91" i="20"/>
  <c r="AE91" i="20" s="1"/>
  <c r="B97" i="16"/>
  <c r="D97" i="16"/>
  <c r="A97" i="16"/>
  <c r="C98" i="16"/>
  <c r="E96" i="16"/>
  <c r="G93" i="23"/>
  <c r="F93" i="23"/>
  <c r="C92" i="23"/>
  <c r="K93" i="23"/>
  <c r="C97" i="18" s="1"/>
  <c r="A94" i="23"/>
  <c r="AB92" i="20"/>
  <c r="AC92" i="20" s="1"/>
  <c r="H96" i="4"/>
  <c r="G96" i="4"/>
  <c r="M94" i="14"/>
  <c r="N94" i="14" s="1"/>
  <c r="F93" i="14"/>
  <c r="C93" i="14"/>
  <c r="P93" i="14"/>
  <c r="Q93" i="14" s="1"/>
  <c r="I95" i="14"/>
  <c r="J94" i="14"/>
  <c r="K94" i="14" s="1"/>
  <c r="AE90" i="20"/>
  <c r="B97" i="18"/>
  <c r="A98" i="18"/>
  <c r="R93" i="14"/>
  <c r="B96" i="7" l="1"/>
  <c r="I94" i="23"/>
  <c r="J94" i="23"/>
  <c r="AA92" i="20"/>
  <c r="L96" i="14"/>
  <c r="E92" i="23"/>
  <c r="H94" i="23"/>
  <c r="E97" i="16"/>
  <c r="O95" i="14"/>
  <c r="P95" i="14" s="1"/>
  <c r="Q95" i="14" s="1"/>
  <c r="C94" i="14"/>
  <c r="D94" i="14" s="1"/>
  <c r="E94" i="14" s="1"/>
  <c r="B98" i="16"/>
  <c r="D98" i="16"/>
  <c r="A98" i="16"/>
  <c r="C99" i="16"/>
  <c r="B98" i="18"/>
  <c r="A99" i="18"/>
  <c r="F95" i="14"/>
  <c r="G93" i="14"/>
  <c r="H93" i="14" s="1"/>
  <c r="D93" i="14"/>
  <c r="E93" i="14" s="1"/>
  <c r="C93" i="23"/>
  <c r="G94" i="23"/>
  <c r="F94" i="23"/>
  <c r="A95" i="23"/>
  <c r="K94" i="23"/>
  <c r="C98" i="18" s="1"/>
  <c r="M95" i="14"/>
  <c r="N95" i="14" s="1"/>
  <c r="I96" i="14"/>
  <c r="J95" i="14"/>
  <c r="K95" i="14" s="1"/>
  <c r="G97" i="4"/>
  <c r="H97" i="4"/>
  <c r="AD92" i="20"/>
  <c r="AE92" i="20" s="1"/>
  <c r="S93" i="14"/>
  <c r="T93" i="14" s="1"/>
  <c r="O94" i="14"/>
  <c r="R94" i="14"/>
  <c r="AB93" i="20"/>
  <c r="AC93" i="20" s="1"/>
  <c r="B97" i="7" l="1"/>
  <c r="I95" i="23"/>
  <c r="J95" i="23"/>
  <c r="AA93" i="20"/>
  <c r="I97" i="14"/>
  <c r="AA94" i="20"/>
  <c r="E93" i="23"/>
  <c r="H95" i="23"/>
  <c r="E98" i="16"/>
  <c r="R95" i="14"/>
  <c r="S95" i="14" s="1"/>
  <c r="T95" i="14" s="1"/>
  <c r="C95" i="14"/>
  <c r="D95" i="14" s="1"/>
  <c r="E95" i="14" s="1"/>
  <c r="F96" i="14"/>
  <c r="G96" i="14" s="1"/>
  <c r="H96" i="14" s="1"/>
  <c r="O96" i="14"/>
  <c r="A99" i="16"/>
  <c r="B99" i="16"/>
  <c r="D99" i="16"/>
  <c r="C100" i="16"/>
  <c r="AB94" i="20"/>
  <c r="AC94" i="20" s="1"/>
  <c r="G95" i="14"/>
  <c r="H95" i="14" s="1"/>
  <c r="M96" i="14"/>
  <c r="N96" i="14" s="1"/>
  <c r="S94" i="14"/>
  <c r="T94" i="14" s="1"/>
  <c r="J96" i="14"/>
  <c r="K96" i="14" s="1"/>
  <c r="C94" i="23"/>
  <c r="G95" i="23"/>
  <c r="F95" i="23"/>
  <c r="K95" i="23"/>
  <c r="C99" i="18" s="1"/>
  <c r="A96" i="23"/>
  <c r="B99" i="18"/>
  <c r="A100" i="18"/>
  <c r="L97" i="14"/>
  <c r="AD93" i="20"/>
  <c r="AE93" i="20" s="1"/>
  <c r="P94" i="14"/>
  <c r="Q94" i="14" s="1"/>
  <c r="G98" i="4"/>
  <c r="H98" i="4"/>
  <c r="B98" i="7" l="1"/>
  <c r="I96" i="23"/>
  <c r="J96" i="23"/>
  <c r="I98" i="14"/>
  <c r="E94" i="23"/>
  <c r="H96" i="23"/>
  <c r="R96" i="14"/>
  <c r="S96" i="14" s="1"/>
  <c r="T96" i="14" s="1"/>
  <c r="E99" i="16"/>
  <c r="P96" i="14"/>
  <c r="Q96" i="14" s="1"/>
  <c r="F97" i="14"/>
  <c r="G97" i="14" s="1"/>
  <c r="H97" i="14" s="1"/>
  <c r="C96" i="14"/>
  <c r="AB95" i="20"/>
  <c r="AC95" i="20" s="1"/>
  <c r="F96" i="23"/>
  <c r="G96" i="23"/>
  <c r="C95" i="23"/>
  <c r="K96" i="23"/>
  <c r="C100" i="18" s="1"/>
  <c r="A97" i="23"/>
  <c r="O97" i="14"/>
  <c r="G99" i="4"/>
  <c r="H99" i="4"/>
  <c r="M97" i="14"/>
  <c r="N97" i="14" s="1"/>
  <c r="AD94" i="20"/>
  <c r="AE94" i="20" s="1"/>
  <c r="L98" i="14"/>
  <c r="B100" i="18"/>
  <c r="A101" i="18"/>
  <c r="D100" i="16"/>
  <c r="A100" i="16"/>
  <c r="B100" i="16"/>
  <c r="C101" i="16"/>
  <c r="J97" i="14"/>
  <c r="K97" i="14" s="1"/>
  <c r="B99" i="7" l="1"/>
  <c r="I97" i="23"/>
  <c r="J97" i="23"/>
  <c r="AA95" i="20"/>
  <c r="L99" i="14"/>
  <c r="AA96" i="20"/>
  <c r="C97" i="14"/>
  <c r="D97" i="14" s="1"/>
  <c r="E97" i="14" s="1"/>
  <c r="E95" i="23"/>
  <c r="H97" i="23"/>
  <c r="E100" i="16"/>
  <c r="R97" i="14"/>
  <c r="S97" i="14" s="1"/>
  <c r="T97" i="14" s="1"/>
  <c r="D96" i="14"/>
  <c r="E96" i="14" s="1"/>
  <c r="O98" i="14"/>
  <c r="P97" i="14"/>
  <c r="Q97" i="14" s="1"/>
  <c r="I99" i="14"/>
  <c r="AD95" i="20"/>
  <c r="AE95" i="20" s="1"/>
  <c r="M98" i="14"/>
  <c r="N98" i="14" s="1"/>
  <c r="H100" i="4"/>
  <c r="G100" i="4"/>
  <c r="F97" i="23"/>
  <c r="C96" i="23"/>
  <c r="G97" i="23"/>
  <c r="A98" i="23"/>
  <c r="K97" i="23"/>
  <c r="C101" i="18" s="1"/>
  <c r="AB96" i="20"/>
  <c r="AC96" i="20" s="1"/>
  <c r="B101" i="16"/>
  <c r="D101" i="16"/>
  <c r="A101" i="16"/>
  <c r="C102" i="16"/>
  <c r="B101" i="18"/>
  <c r="A102" i="18"/>
  <c r="J98" i="14"/>
  <c r="K98" i="14" s="1"/>
  <c r="B100" i="7" l="1"/>
  <c r="I98" i="23"/>
  <c r="J98" i="23"/>
  <c r="L100" i="14"/>
  <c r="E96" i="23"/>
  <c r="H98" i="23"/>
  <c r="E101" i="16"/>
  <c r="R98" i="14"/>
  <c r="S98" i="14" s="1"/>
  <c r="T98" i="14" s="1"/>
  <c r="I100" i="14"/>
  <c r="G101" i="4"/>
  <c r="H101" i="4"/>
  <c r="B102" i="18"/>
  <c r="A103" i="18"/>
  <c r="F98" i="14"/>
  <c r="C98" i="14"/>
  <c r="M99" i="14"/>
  <c r="N99" i="14" s="1"/>
  <c r="J99" i="14"/>
  <c r="K99" i="14" s="1"/>
  <c r="P98" i="14"/>
  <c r="Q98" i="14" s="1"/>
  <c r="AB97" i="20"/>
  <c r="AC97" i="20" s="1"/>
  <c r="F99" i="14"/>
  <c r="D102" i="16"/>
  <c r="B102" i="16"/>
  <c r="A102" i="16"/>
  <c r="C103" i="16"/>
  <c r="AD96" i="20"/>
  <c r="AE96" i="20" s="1"/>
  <c r="G98" i="23"/>
  <c r="F98" i="23"/>
  <c r="C97" i="23"/>
  <c r="K98" i="23"/>
  <c r="C102" i="18" s="1"/>
  <c r="A99" i="23"/>
  <c r="B101" i="7" l="1"/>
  <c r="I99" i="23"/>
  <c r="J99" i="23"/>
  <c r="L101" i="14"/>
  <c r="AA97" i="20"/>
  <c r="C99" i="14"/>
  <c r="D99" i="14" s="1"/>
  <c r="E99" i="14" s="1"/>
  <c r="E97" i="23"/>
  <c r="H99" i="23"/>
  <c r="E102" i="16"/>
  <c r="O100" i="14"/>
  <c r="P100" i="14" s="1"/>
  <c r="Q100" i="14" s="1"/>
  <c r="A103" i="16"/>
  <c r="D103" i="16"/>
  <c r="B103" i="16"/>
  <c r="C104" i="16"/>
  <c r="B103" i="18"/>
  <c r="A104" i="18"/>
  <c r="J100" i="14"/>
  <c r="K100" i="14" s="1"/>
  <c r="I101" i="14"/>
  <c r="G99" i="14"/>
  <c r="H99" i="14" s="1"/>
  <c r="O99" i="14"/>
  <c r="R99" i="14"/>
  <c r="G102" i="4"/>
  <c r="H102" i="4"/>
  <c r="G98" i="14"/>
  <c r="H98" i="14" s="1"/>
  <c r="M100" i="14"/>
  <c r="N100" i="14" s="1"/>
  <c r="C98" i="23"/>
  <c r="F99" i="23"/>
  <c r="G99" i="23"/>
  <c r="K99" i="23"/>
  <c r="C103" i="18" s="1"/>
  <c r="A100" i="23"/>
  <c r="AB98" i="20"/>
  <c r="AC98" i="20" s="1"/>
  <c r="AD97" i="20"/>
  <c r="AE97" i="20" s="1"/>
  <c r="D98" i="14"/>
  <c r="E98" i="14" s="1"/>
  <c r="F100" i="14"/>
  <c r="B102" i="7" l="1"/>
  <c r="I100" i="23"/>
  <c r="J100" i="23"/>
  <c r="AA98" i="20"/>
  <c r="L102" i="14"/>
  <c r="E98" i="23"/>
  <c r="H100" i="23"/>
  <c r="R100" i="14"/>
  <c r="S100" i="14" s="1"/>
  <c r="T100" i="14" s="1"/>
  <c r="O101" i="14"/>
  <c r="P101" i="14" s="1"/>
  <c r="Q101" i="14" s="1"/>
  <c r="F101" i="14"/>
  <c r="G101" i="14" s="1"/>
  <c r="H101" i="14" s="1"/>
  <c r="P99" i="14"/>
  <c r="Q99" i="14" s="1"/>
  <c r="G100" i="14"/>
  <c r="H100" i="14" s="1"/>
  <c r="M101" i="14"/>
  <c r="N101" i="14" s="1"/>
  <c r="F100" i="23"/>
  <c r="G100" i="23"/>
  <c r="C99" i="23"/>
  <c r="K100" i="23"/>
  <c r="C104" i="18" s="1"/>
  <c r="A101" i="23"/>
  <c r="C100" i="14"/>
  <c r="S99" i="14"/>
  <c r="T99" i="14" s="1"/>
  <c r="J101" i="14"/>
  <c r="K101" i="14" s="1"/>
  <c r="D104" i="16"/>
  <c r="A104" i="16"/>
  <c r="B104" i="16"/>
  <c r="C105" i="16"/>
  <c r="AD98" i="20"/>
  <c r="AE98" i="20" s="1"/>
  <c r="B104" i="18"/>
  <c r="A105" i="18"/>
  <c r="I102" i="14"/>
  <c r="G103" i="4"/>
  <c r="H103" i="4"/>
  <c r="AB99" i="20"/>
  <c r="AC99" i="20" s="1"/>
  <c r="E103" i="16"/>
  <c r="B103" i="7" l="1"/>
  <c r="AA99" i="20"/>
  <c r="I101" i="23"/>
  <c r="J101" i="23"/>
  <c r="E99" i="23"/>
  <c r="H101" i="23"/>
  <c r="C101" i="14"/>
  <c r="D101" i="14" s="1"/>
  <c r="E101" i="14" s="1"/>
  <c r="R101" i="14"/>
  <c r="S101" i="14" s="1"/>
  <c r="T101" i="14" s="1"/>
  <c r="E104" i="16"/>
  <c r="O102" i="14"/>
  <c r="AD99" i="20"/>
  <c r="AE99" i="20" s="1"/>
  <c r="L103" i="14"/>
  <c r="C100" i="23"/>
  <c r="G101" i="23"/>
  <c r="F101" i="23"/>
  <c r="K101" i="23"/>
  <c r="C105" i="18" s="1"/>
  <c r="A102" i="23"/>
  <c r="H104" i="4"/>
  <c r="G104" i="4"/>
  <c r="M102" i="14"/>
  <c r="N102" i="14" s="1"/>
  <c r="B105" i="16"/>
  <c r="D105" i="16"/>
  <c r="A105" i="16"/>
  <c r="C106" i="16"/>
  <c r="D100" i="14"/>
  <c r="E100" i="14" s="1"/>
  <c r="I103" i="14"/>
  <c r="B105" i="18"/>
  <c r="A106" i="18"/>
  <c r="J102" i="14"/>
  <c r="K102" i="14" s="1"/>
  <c r="AB100" i="20"/>
  <c r="AC100" i="20" s="1"/>
  <c r="B104" i="7" l="1"/>
  <c r="I102" i="23"/>
  <c r="J102" i="23"/>
  <c r="L104" i="14"/>
  <c r="AA100" i="20"/>
  <c r="E100" i="23"/>
  <c r="H102" i="23"/>
  <c r="R102" i="14"/>
  <c r="S102" i="14" s="1"/>
  <c r="T102" i="14" s="1"/>
  <c r="F103" i="14"/>
  <c r="G103" i="14" s="1"/>
  <c r="H103" i="14" s="1"/>
  <c r="AD100" i="20"/>
  <c r="AE100" i="20" s="1"/>
  <c r="I104" i="14"/>
  <c r="AB101" i="20"/>
  <c r="G105" i="4"/>
  <c r="H105" i="4"/>
  <c r="F102" i="14"/>
  <c r="C102" i="14"/>
  <c r="J103" i="14"/>
  <c r="K103" i="14" s="1"/>
  <c r="F102" i="23"/>
  <c r="C101" i="23"/>
  <c r="G102" i="23"/>
  <c r="K102" i="23"/>
  <c r="C106" i="18" s="1"/>
  <c r="A103" i="23"/>
  <c r="P102" i="14"/>
  <c r="Q102" i="14" s="1"/>
  <c r="B106" i="16"/>
  <c r="D106" i="16"/>
  <c r="A106" i="16"/>
  <c r="C107" i="16"/>
  <c r="M103" i="14"/>
  <c r="N103" i="14" s="1"/>
  <c r="O103" i="14"/>
  <c r="B106" i="18"/>
  <c r="A107" i="18"/>
  <c r="E105" i="16"/>
  <c r="B105" i="7" l="1"/>
  <c r="I103" i="23"/>
  <c r="J103" i="23"/>
  <c r="L105" i="14"/>
  <c r="AA101" i="20"/>
  <c r="E101" i="23"/>
  <c r="H103" i="23"/>
  <c r="C103" i="14"/>
  <c r="D103" i="14" s="1"/>
  <c r="E103" i="14" s="1"/>
  <c r="O104" i="14"/>
  <c r="P104" i="14" s="1"/>
  <c r="Q104" i="14" s="1"/>
  <c r="B107" i="18"/>
  <c r="A108" i="18"/>
  <c r="AC101" i="20"/>
  <c r="E106" i="16"/>
  <c r="R103" i="14"/>
  <c r="I105" i="14"/>
  <c r="D102" i="14"/>
  <c r="E102" i="14" s="1"/>
  <c r="P103" i="14"/>
  <c r="Q103" i="14" s="1"/>
  <c r="G102" i="14"/>
  <c r="H102" i="14" s="1"/>
  <c r="AD101" i="20"/>
  <c r="B107" i="16"/>
  <c r="D107" i="16"/>
  <c r="A107" i="16"/>
  <c r="C108" i="16"/>
  <c r="G103" i="23"/>
  <c r="C102" i="23"/>
  <c r="F103" i="23"/>
  <c r="K103" i="23"/>
  <c r="C107" i="18" s="1"/>
  <c r="A104" i="23"/>
  <c r="G106" i="4"/>
  <c r="H106" i="4"/>
  <c r="J104" i="14"/>
  <c r="K104" i="14" s="1"/>
  <c r="AB102" i="20"/>
  <c r="AC102" i="20" s="1"/>
  <c r="M104" i="14"/>
  <c r="N104" i="14" s="1"/>
  <c r="B106" i="7" l="1"/>
  <c r="I104" i="23"/>
  <c r="J104" i="23"/>
  <c r="L106" i="14"/>
  <c r="AA102" i="20"/>
  <c r="AA103" i="20"/>
  <c r="R104" i="14"/>
  <c r="S104" i="14" s="1"/>
  <c r="T104" i="14" s="1"/>
  <c r="E102" i="23"/>
  <c r="H104" i="23"/>
  <c r="F105" i="14"/>
  <c r="G105" i="14" s="1"/>
  <c r="H105" i="14" s="1"/>
  <c r="E107" i="16"/>
  <c r="G107" i="4"/>
  <c r="H107" i="4"/>
  <c r="I106" i="14"/>
  <c r="AE101" i="20"/>
  <c r="O105" i="14"/>
  <c r="AD102" i="20"/>
  <c r="AE102" i="20" s="1"/>
  <c r="M105" i="14"/>
  <c r="N105" i="14" s="1"/>
  <c r="F104" i="14"/>
  <c r="C104" i="14"/>
  <c r="J105" i="14"/>
  <c r="K105" i="14" s="1"/>
  <c r="B108" i="18"/>
  <c r="A109" i="18"/>
  <c r="B108" i="16"/>
  <c r="A108" i="16"/>
  <c r="D108" i="16"/>
  <c r="C109" i="16"/>
  <c r="C103" i="23"/>
  <c r="F104" i="23"/>
  <c r="G104" i="23"/>
  <c r="K104" i="23"/>
  <c r="C108" i="18" s="1"/>
  <c r="A105" i="23"/>
  <c r="AB103" i="20"/>
  <c r="AC103" i="20" s="1"/>
  <c r="S103" i="14"/>
  <c r="T103" i="14" s="1"/>
  <c r="B107" i="7" l="1"/>
  <c r="I105" i="23"/>
  <c r="J105" i="23"/>
  <c r="L107" i="14"/>
  <c r="I107" i="14"/>
  <c r="E103" i="23"/>
  <c r="H105" i="23"/>
  <c r="C105" i="14"/>
  <c r="D105" i="14" s="1"/>
  <c r="E105" i="14" s="1"/>
  <c r="E108" i="16"/>
  <c r="H108" i="4"/>
  <c r="G108" i="4"/>
  <c r="G104" i="14"/>
  <c r="H104" i="14" s="1"/>
  <c r="M106" i="14"/>
  <c r="N106" i="14" s="1"/>
  <c r="J106" i="14"/>
  <c r="K106" i="14" s="1"/>
  <c r="C104" i="23"/>
  <c r="F105" i="23"/>
  <c r="G105" i="23"/>
  <c r="A106" i="23"/>
  <c r="K105" i="23"/>
  <c r="C109" i="18" s="1"/>
  <c r="P105" i="14"/>
  <c r="Q105" i="14" s="1"/>
  <c r="R105" i="14"/>
  <c r="AD103" i="20"/>
  <c r="AE103" i="20" s="1"/>
  <c r="B109" i="16"/>
  <c r="D109" i="16"/>
  <c r="A109" i="16"/>
  <c r="C110" i="16"/>
  <c r="B109" i="18"/>
  <c r="A110" i="18"/>
  <c r="D104" i="14"/>
  <c r="E104" i="14" s="1"/>
  <c r="AB104" i="20"/>
  <c r="AC104" i="20" s="1"/>
  <c r="B108" i="7" l="1"/>
  <c r="I106" i="23"/>
  <c r="J106" i="23"/>
  <c r="L108" i="14"/>
  <c r="AA104" i="20"/>
  <c r="E104" i="23"/>
  <c r="H106" i="23"/>
  <c r="F107" i="14"/>
  <c r="G107" i="14" s="1"/>
  <c r="H107" i="14" s="1"/>
  <c r="M107" i="14"/>
  <c r="N107" i="14" s="1"/>
  <c r="G109" i="4"/>
  <c r="H109" i="4"/>
  <c r="O106" i="14"/>
  <c r="R106" i="14"/>
  <c r="AD104" i="20"/>
  <c r="AE104" i="20" s="1"/>
  <c r="J107" i="14"/>
  <c r="K107" i="14" s="1"/>
  <c r="AB105" i="20"/>
  <c r="AC105" i="20" s="1"/>
  <c r="O107" i="14"/>
  <c r="F106" i="14"/>
  <c r="C106" i="14"/>
  <c r="D110" i="16"/>
  <c r="B110" i="16"/>
  <c r="A110" i="16"/>
  <c r="C111" i="16"/>
  <c r="E109" i="16"/>
  <c r="I108" i="14"/>
  <c r="B110" i="18"/>
  <c r="A111" i="18"/>
  <c r="S105" i="14"/>
  <c r="T105" i="14" s="1"/>
  <c r="G106" i="23"/>
  <c r="F106" i="23"/>
  <c r="C105" i="23"/>
  <c r="K106" i="23"/>
  <c r="C110" i="18" s="1"/>
  <c r="A107" i="23"/>
  <c r="B109" i="7" l="1"/>
  <c r="I107" i="23"/>
  <c r="J107" i="23"/>
  <c r="I109" i="14"/>
  <c r="AA105" i="20"/>
  <c r="E105" i="23"/>
  <c r="H107" i="23"/>
  <c r="C107" i="14"/>
  <c r="D107" i="14" s="1"/>
  <c r="E107" i="14" s="1"/>
  <c r="J108" i="14"/>
  <c r="K108" i="14" s="1"/>
  <c r="E110" i="16"/>
  <c r="G106" i="14"/>
  <c r="H106" i="14" s="1"/>
  <c r="AB106" i="20"/>
  <c r="B111" i="18"/>
  <c r="A112" i="18"/>
  <c r="F108" i="14"/>
  <c r="P107" i="14"/>
  <c r="Q107" i="14" s="1"/>
  <c r="AD105" i="20"/>
  <c r="AE105" i="20" s="1"/>
  <c r="L109" i="14"/>
  <c r="S106" i="14"/>
  <c r="T106" i="14" s="1"/>
  <c r="G110" i="4"/>
  <c r="H110" i="4"/>
  <c r="C106" i="23"/>
  <c r="G107" i="23"/>
  <c r="F107" i="23"/>
  <c r="K107" i="23"/>
  <c r="C111" i="18" s="1"/>
  <c r="A108" i="23"/>
  <c r="D111" i="16"/>
  <c r="B111" i="16"/>
  <c r="A111" i="16"/>
  <c r="C112" i="16"/>
  <c r="D106" i="14"/>
  <c r="E106" i="14" s="1"/>
  <c r="M108" i="14"/>
  <c r="N108" i="14" s="1"/>
  <c r="P106" i="14"/>
  <c r="Q106" i="14" s="1"/>
  <c r="R107" i="14"/>
  <c r="B110" i="7" l="1"/>
  <c r="I108" i="23"/>
  <c r="J108" i="23"/>
  <c r="I110" i="14"/>
  <c r="AA106" i="20"/>
  <c r="E106" i="23"/>
  <c r="H108" i="23"/>
  <c r="E111" i="16"/>
  <c r="C108" i="14"/>
  <c r="D108" i="14" s="1"/>
  <c r="E108" i="14" s="1"/>
  <c r="O108" i="14"/>
  <c r="R108" i="14"/>
  <c r="G108" i="14"/>
  <c r="H108" i="14" s="1"/>
  <c r="AB107" i="20"/>
  <c r="AC107" i="20" s="1"/>
  <c r="C107" i="23"/>
  <c r="F108" i="23"/>
  <c r="G108" i="23"/>
  <c r="A109" i="23"/>
  <c r="K108" i="23"/>
  <c r="C112" i="18" s="1"/>
  <c r="G111" i="4"/>
  <c r="H111" i="4"/>
  <c r="AC106" i="20"/>
  <c r="B112" i="18"/>
  <c r="A113" i="18"/>
  <c r="J109" i="14"/>
  <c r="K109" i="14" s="1"/>
  <c r="S107" i="14"/>
  <c r="T107" i="14" s="1"/>
  <c r="D112" i="16"/>
  <c r="B112" i="16"/>
  <c r="A112" i="16"/>
  <c r="C113" i="16"/>
  <c r="M109" i="14"/>
  <c r="N109" i="14" s="1"/>
  <c r="AD106" i="20"/>
  <c r="L110" i="14"/>
  <c r="B111" i="7" l="1"/>
  <c r="I109" i="23"/>
  <c r="J109" i="23"/>
  <c r="AA107" i="20"/>
  <c r="L111" i="14"/>
  <c r="E107" i="23"/>
  <c r="H109" i="23"/>
  <c r="F110" i="14"/>
  <c r="G110" i="14" s="1"/>
  <c r="H110" i="14" s="1"/>
  <c r="E112" i="16"/>
  <c r="J110" i="14"/>
  <c r="K110" i="14" s="1"/>
  <c r="P108" i="14"/>
  <c r="Q108" i="14" s="1"/>
  <c r="O109" i="14"/>
  <c r="R109" i="14"/>
  <c r="F109" i="14"/>
  <c r="C109" i="14"/>
  <c r="C108" i="23"/>
  <c r="F109" i="23"/>
  <c r="G109" i="23"/>
  <c r="K109" i="23"/>
  <c r="C113" i="18" s="1"/>
  <c r="A110" i="23"/>
  <c r="M110" i="14"/>
  <c r="N110" i="14" s="1"/>
  <c r="B113" i="18"/>
  <c r="A114" i="18"/>
  <c r="H112" i="4"/>
  <c r="G112" i="4"/>
  <c r="I111" i="14"/>
  <c r="D113" i="16"/>
  <c r="B113" i="16"/>
  <c r="A113" i="16"/>
  <c r="C114" i="16"/>
  <c r="AE106" i="20"/>
  <c r="O110" i="14"/>
  <c r="AD107" i="20"/>
  <c r="AE107" i="20" s="1"/>
  <c r="S108" i="14"/>
  <c r="T108" i="14" s="1"/>
  <c r="AB108" i="20"/>
  <c r="AC108" i="20" s="1"/>
  <c r="B112" i="7" l="1"/>
  <c r="I110" i="23"/>
  <c r="J110" i="23"/>
  <c r="AA108" i="20"/>
  <c r="L112" i="14"/>
  <c r="E108" i="23"/>
  <c r="H110" i="23"/>
  <c r="C110" i="14"/>
  <c r="D110" i="14" s="1"/>
  <c r="E110" i="14" s="1"/>
  <c r="E113" i="16"/>
  <c r="F111" i="14"/>
  <c r="G111" i="14" s="1"/>
  <c r="H111" i="14" s="1"/>
  <c r="R110" i="14"/>
  <c r="D114" i="16"/>
  <c r="B114" i="16"/>
  <c r="A114" i="16"/>
  <c r="C115" i="16"/>
  <c r="G113" i="4"/>
  <c r="H113" i="4"/>
  <c r="D109" i="14"/>
  <c r="E109" i="14" s="1"/>
  <c r="AD108" i="20"/>
  <c r="AE108" i="20" s="1"/>
  <c r="M111" i="14"/>
  <c r="N111" i="14" s="1"/>
  <c r="J111" i="14"/>
  <c r="K111" i="14" s="1"/>
  <c r="O111" i="14"/>
  <c r="C109" i="23"/>
  <c r="F110" i="23"/>
  <c r="G110" i="23"/>
  <c r="K110" i="23"/>
  <c r="C114" i="18" s="1"/>
  <c r="A111" i="23"/>
  <c r="G109" i="14"/>
  <c r="H109" i="14" s="1"/>
  <c r="I112" i="14"/>
  <c r="P110" i="14"/>
  <c r="Q110" i="14" s="1"/>
  <c r="S109" i="14"/>
  <c r="T109" i="14" s="1"/>
  <c r="B114" i="18"/>
  <c r="A115" i="18"/>
  <c r="AB109" i="20"/>
  <c r="AC109" i="20" s="1"/>
  <c r="P109" i="14"/>
  <c r="Q109" i="14" s="1"/>
  <c r="B113" i="7" l="1"/>
  <c r="I111" i="23"/>
  <c r="J111" i="23"/>
  <c r="AA109" i="20"/>
  <c r="L113" i="14"/>
  <c r="E114" i="16"/>
  <c r="E109" i="23"/>
  <c r="H111" i="23"/>
  <c r="O112" i="14"/>
  <c r="P112" i="14" s="1"/>
  <c r="Q112" i="14" s="1"/>
  <c r="C111" i="14"/>
  <c r="D111" i="14" s="1"/>
  <c r="E111" i="14" s="1"/>
  <c r="AD109" i="20"/>
  <c r="AE109" i="20" s="1"/>
  <c r="AB110" i="20"/>
  <c r="AC110" i="20" s="1"/>
  <c r="F112" i="14"/>
  <c r="F111" i="23"/>
  <c r="C110" i="23"/>
  <c r="G111" i="23"/>
  <c r="K111" i="23"/>
  <c r="C115" i="18" s="1"/>
  <c r="A112" i="23"/>
  <c r="B115" i="18"/>
  <c r="A116" i="18"/>
  <c r="P111" i="14"/>
  <c r="Q111" i="14" s="1"/>
  <c r="M112" i="14"/>
  <c r="N112" i="14" s="1"/>
  <c r="G114" i="4"/>
  <c r="H114" i="4"/>
  <c r="B115" i="16"/>
  <c r="A115" i="16"/>
  <c r="D115" i="16"/>
  <c r="C116" i="16"/>
  <c r="S110" i="14"/>
  <c r="T110" i="14" s="1"/>
  <c r="I113" i="14"/>
  <c r="J112" i="14"/>
  <c r="K112" i="14" s="1"/>
  <c r="R111" i="14"/>
  <c r="B114" i="7" l="1"/>
  <c r="I112" i="23"/>
  <c r="J112" i="23"/>
  <c r="AA110" i="20"/>
  <c r="R112" i="14"/>
  <c r="S112" i="14" s="1"/>
  <c r="T112" i="14" s="1"/>
  <c r="I114" i="14"/>
  <c r="E110" i="23"/>
  <c r="H112" i="23"/>
  <c r="C112" i="14"/>
  <c r="D112" i="14" s="1"/>
  <c r="E112" i="14" s="1"/>
  <c r="O113" i="14"/>
  <c r="P113" i="14" s="1"/>
  <c r="Q113" i="14" s="1"/>
  <c r="G112" i="14"/>
  <c r="H112" i="14" s="1"/>
  <c r="A116" i="16"/>
  <c r="D116" i="16"/>
  <c r="B116" i="16"/>
  <c r="C117" i="16"/>
  <c r="F112" i="23"/>
  <c r="G112" i="23"/>
  <c r="C111" i="23"/>
  <c r="K112" i="23"/>
  <c r="C116" i="18" s="1"/>
  <c r="A113" i="23"/>
  <c r="L114" i="14"/>
  <c r="AD110" i="20"/>
  <c r="AE110" i="20" s="1"/>
  <c r="M113" i="14"/>
  <c r="N113" i="14" s="1"/>
  <c r="G115" i="4"/>
  <c r="H115" i="4"/>
  <c r="S111" i="14"/>
  <c r="T111" i="14" s="1"/>
  <c r="J113" i="14"/>
  <c r="K113" i="14" s="1"/>
  <c r="E115" i="16"/>
  <c r="AB111" i="20"/>
  <c r="AC111" i="20" s="1"/>
  <c r="B116" i="18"/>
  <c r="A117" i="18"/>
  <c r="B115" i="7" l="1"/>
  <c r="I113" i="23"/>
  <c r="J113" i="23"/>
  <c r="AA111" i="20"/>
  <c r="L115" i="14"/>
  <c r="E111" i="23"/>
  <c r="H113" i="23"/>
  <c r="R113" i="14"/>
  <c r="S113" i="14" s="1"/>
  <c r="T113" i="14" s="1"/>
  <c r="F114" i="14"/>
  <c r="G114" i="14" s="1"/>
  <c r="H114" i="14" s="1"/>
  <c r="E116" i="16"/>
  <c r="AD111" i="20"/>
  <c r="AE111" i="20" s="1"/>
  <c r="F113" i="14"/>
  <c r="C113" i="14"/>
  <c r="M114" i="14"/>
  <c r="N114" i="14" s="1"/>
  <c r="D117" i="16"/>
  <c r="B117" i="16"/>
  <c r="A117" i="16"/>
  <c r="C118" i="16"/>
  <c r="AB112" i="20"/>
  <c r="AC112" i="20" s="1"/>
  <c r="B117" i="18"/>
  <c r="A118" i="18"/>
  <c r="I115" i="14"/>
  <c r="H116" i="4"/>
  <c r="G116" i="4"/>
  <c r="J114" i="14"/>
  <c r="K114" i="14" s="1"/>
  <c r="G113" i="23"/>
  <c r="F113" i="23"/>
  <c r="C112" i="23"/>
  <c r="K113" i="23"/>
  <c r="C117" i="18" s="1"/>
  <c r="A114" i="23"/>
  <c r="B116" i="7" l="1"/>
  <c r="I114" i="23"/>
  <c r="J114" i="23"/>
  <c r="L116" i="14"/>
  <c r="AA112" i="20"/>
  <c r="AA113" i="20"/>
  <c r="E112" i="23"/>
  <c r="H114" i="23"/>
  <c r="E117" i="16"/>
  <c r="O115" i="14"/>
  <c r="P115" i="14" s="1"/>
  <c r="Q115" i="14" s="1"/>
  <c r="C114" i="14"/>
  <c r="D114" i="14" s="1"/>
  <c r="E114" i="14" s="1"/>
  <c r="AB113" i="20"/>
  <c r="AC113" i="20" s="1"/>
  <c r="O114" i="14"/>
  <c r="R114" i="14"/>
  <c r="G113" i="14"/>
  <c r="H113" i="14" s="1"/>
  <c r="C113" i="23"/>
  <c r="G114" i="23"/>
  <c r="F114" i="23"/>
  <c r="A115" i="23"/>
  <c r="K114" i="23"/>
  <c r="C118" i="18" s="1"/>
  <c r="B118" i="18"/>
  <c r="A119" i="18"/>
  <c r="D118" i="16"/>
  <c r="B118" i="16"/>
  <c r="A118" i="16"/>
  <c r="C119" i="16"/>
  <c r="I116" i="14"/>
  <c r="J115" i="14"/>
  <c r="K115" i="14" s="1"/>
  <c r="M115" i="14"/>
  <c r="N115" i="14" s="1"/>
  <c r="G117" i="4"/>
  <c r="H117" i="4"/>
  <c r="F115" i="14"/>
  <c r="AD112" i="20"/>
  <c r="AE112" i="20" s="1"/>
  <c r="D113" i="14"/>
  <c r="E113" i="14" s="1"/>
  <c r="B117" i="7" l="1"/>
  <c r="I115" i="23"/>
  <c r="J115" i="23"/>
  <c r="L117" i="14"/>
  <c r="I117" i="14"/>
  <c r="AA114" i="20"/>
  <c r="R115" i="14"/>
  <c r="S115" i="14" s="1"/>
  <c r="T115" i="14" s="1"/>
  <c r="E113" i="23"/>
  <c r="H115" i="23"/>
  <c r="F116" i="14"/>
  <c r="G116" i="14" s="1"/>
  <c r="H116" i="14" s="1"/>
  <c r="E118" i="16"/>
  <c r="O116" i="14"/>
  <c r="C115" i="14"/>
  <c r="M116" i="14"/>
  <c r="N116" i="14" s="1"/>
  <c r="J116" i="14"/>
  <c r="K116" i="14" s="1"/>
  <c r="AD113" i="20"/>
  <c r="AE113" i="20" s="1"/>
  <c r="AB114" i="20"/>
  <c r="AC114" i="20" s="1"/>
  <c r="G118" i="4"/>
  <c r="H118" i="4"/>
  <c r="C114" i="23"/>
  <c r="G115" i="23"/>
  <c r="F115" i="23"/>
  <c r="K115" i="23"/>
  <c r="C119" i="18" s="1"/>
  <c r="A116" i="23"/>
  <c r="S114" i="14"/>
  <c r="T114" i="14" s="1"/>
  <c r="G115" i="14"/>
  <c r="H115" i="14" s="1"/>
  <c r="A119" i="16"/>
  <c r="B119" i="16"/>
  <c r="D119" i="16"/>
  <c r="C120" i="16"/>
  <c r="B119" i="18"/>
  <c r="A120" i="18"/>
  <c r="P114" i="14"/>
  <c r="Q114" i="14" s="1"/>
  <c r="B118" i="7" l="1"/>
  <c r="I116" i="23"/>
  <c r="J116" i="23"/>
  <c r="L118" i="14"/>
  <c r="I118" i="14"/>
  <c r="C116" i="14"/>
  <c r="D116" i="14" s="1"/>
  <c r="E116" i="14" s="1"/>
  <c r="E114" i="23"/>
  <c r="H116" i="23"/>
  <c r="E119" i="16"/>
  <c r="R116" i="14"/>
  <c r="S116" i="14" s="1"/>
  <c r="T116" i="14" s="1"/>
  <c r="AB115" i="20"/>
  <c r="J117" i="14"/>
  <c r="K117" i="14" s="1"/>
  <c r="G119" i="4"/>
  <c r="H119" i="4"/>
  <c r="D115" i="14"/>
  <c r="E115" i="14" s="1"/>
  <c r="P116" i="14"/>
  <c r="Q116" i="14" s="1"/>
  <c r="D120" i="16"/>
  <c r="A120" i="16"/>
  <c r="B120" i="16"/>
  <c r="C121" i="16"/>
  <c r="F117" i="14"/>
  <c r="M117" i="14"/>
  <c r="N117" i="14" s="1"/>
  <c r="B120" i="18"/>
  <c r="A121" i="18"/>
  <c r="C115" i="23"/>
  <c r="G116" i="23"/>
  <c r="F116" i="23"/>
  <c r="A117" i="23"/>
  <c r="K116" i="23"/>
  <c r="C120" i="18" s="1"/>
  <c r="AD114" i="20"/>
  <c r="AE114" i="20" s="1"/>
  <c r="O117" i="14"/>
  <c r="B119" i="7" l="1"/>
  <c r="I117" i="23"/>
  <c r="J117" i="23"/>
  <c r="I119" i="14"/>
  <c r="AA115" i="20"/>
  <c r="E120" i="16"/>
  <c r="E115" i="23"/>
  <c r="H117" i="23"/>
  <c r="C117" i="14"/>
  <c r="D117" i="14" s="1"/>
  <c r="E117" i="14" s="1"/>
  <c r="F118" i="14"/>
  <c r="G118" i="14" s="1"/>
  <c r="O118" i="14"/>
  <c r="P118" i="14" s="1"/>
  <c r="Q118" i="14" s="1"/>
  <c r="P117" i="14"/>
  <c r="Q117" i="14" s="1"/>
  <c r="C116" i="23"/>
  <c r="G117" i="23"/>
  <c r="F117" i="23"/>
  <c r="K117" i="23"/>
  <c r="C121" i="18" s="1"/>
  <c r="A118" i="23"/>
  <c r="G117" i="14"/>
  <c r="H117" i="14" s="1"/>
  <c r="AC115" i="20"/>
  <c r="AB116" i="20"/>
  <c r="J118" i="14"/>
  <c r="K118" i="14" s="1"/>
  <c r="D121" i="16"/>
  <c r="B121" i="16"/>
  <c r="A121" i="16"/>
  <c r="C122" i="16"/>
  <c r="H120" i="4"/>
  <c r="G120" i="4"/>
  <c r="M118" i="14"/>
  <c r="N118" i="14" s="1"/>
  <c r="B121" i="18"/>
  <c r="A122" i="18"/>
  <c r="R117" i="14"/>
  <c r="AD115" i="20"/>
  <c r="L119" i="14"/>
  <c r="B120" i="7" l="1"/>
  <c r="I118" i="23"/>
  <c r="J118" i="23"/>
  <c r="AA116" i="20"/>
  <c r="L120" i="14"/>
  <c r="E116" i="23"/>
  <c r="H118" i="23"/>
  <c r="R118" i="14"/>
  <c r="S118" i="14" s="1"/>
  <c r="T118" i="14" s="1"/>
  <c r="C118" i="14"/>
  <c r="D118" i="14" s="1"/>
  <c r="E118" i="14" s="1"/>
  <c r="F119" i="14"/>
  <c r="G119" i="14" s="1"/>
  <c r="H118" i="14"/>
  <c r="S117" i="14"/>
  <c r="T117" i="14" s="1"/>
  <c r="E121" i="16"/>
  <c r="AE115" i="20"/>
  <c r="O119" i="14"/>
  <c r="I120" i="14"/>
  <c r="AC116" i="20"/>
  <c r="J119" i="14"/>
  <c r="K119" i="14" s="1"/>
  <c r="AB117" i="20"/>
  <c r="AC117" i="20" s="1"/>
  <c r="AD116" i="20"/>
  <c r="B122" i="18"/>
  <c r="A123" i="18"/>
  <c r="M119" i="14"/>
  <c r="N119" i="14" s="1"/>
  <c r="G121" i="4"/>
  <c r="H121" i="4"/>
  <c r="D122" i="16"/>
  <c r="A122" i="16"/>
  <c r="B122" i="16"/>
  <c r="C123" i="16"/>
  <c r="C117" i="23"/>
  <c r="G118" i="23"/>
  <c r="F118" i="23"/>
  <c r="A119" i="23"/>
  <c r="K118" i="23"/>
  <c r="C122" i="18" s="1"/>
  <c r="B121" i="7" l="1"/>
  <c r="I119" i="23"/>
  <c r="J119" i="23"/>
  <c r="AA117" i="20"/>
  <c r="E117" i="23"/>
  <c r="H119" i="23"/>
  <c r="E122" i="16"/>
  <c r="C119" i="14"/>
  <c r="D119" i="14" s="1"/>
  <c r="E119" i="14" s="1"/>
  <c r="H119" i="14"/>
  <c r="R119" i="14"/>
  <c r="S119" i="14" s="1"/>
  <c r="T119" i="14" s="1"/>
  <c r="B123" i="18"/>
  <c r="A124" i="18"/>
  <c r="F120" i="14"/>
  <c r="F119" i="23"/>
  <c r="G119" i="23"/>
  <c r="C118" i="23"/>
  <c r="K119" i="23"/>
  <c r="C123" i="18" s="1"/>
  <c r="A120" i="23"/>
  <c r="B123" i="16"/>
  <c r="D123" i="16"/>
  <c r="A123" i="16"/>
  <c r="C124" i="16"/>
  <c r="G122" i="4"/>
  <c r="H122" i="4"/>
  <c r="M120" i="14"/>
  <c r="N120" i="14" s="1"/>
  <c r="AE116" i="20"/>
  <c r="O120" i="14"/>
  <c r="J120" i="14"/>
  <c r="K120" i="14" s="1"/>
  <c r="I121" i="14"/>
  <c r="AB118" i="20"/>
  <c r="AC118" i="20" s="1"/>
  <c r="P119" i="14"/>
  <c r="Q119" i="14" s="1"/>
  <c r="L121" i="14"/>
  <c r="AD117" i="20"/>
  <c r="AE117" i="20" s="1"/>
  <c r="B122" i="7" l="1"/>
  <c r="I120" i="23"/>
  <c r="J120" i="23"/>
  <c r="AA118" i="20"/>
  <c r="L122" i="14"/>
  <c r="AA119" i="20"/>
  <c r="E118" i="23"/>
  <c r="H120" i="23"/>
  <c r="C120" i="14"/>
  <c r="D120" i="14" s="1"/>
  <c r="E120" i="14" s="1"/>
  <c r="P120" i="14"/>
  <c r="Q120" i="14" s="1"/>
  <c r="E123" i="16"/>
  <c r="J121" i="14"/>
  <c r="K121" i="14" s="1"/>
  <c r="F121" i="14"/>
  <c r="G123" i="4"/>
  <c r="H123" i="4"/>
  <c r="R120" i="14"/>
  <c r="AB119" i="20"/>
  <c r="AC119" i="20" s="1"/>
  <c r="O121" i="14"/>
  <c r="B124" i="18"/>
  <c r="A125" i="18"/>
  <c r="M121" i="14"/>
  <c r="N121" i="14" s="1"/>
  <c r="AD118" i="20"/>
  <c r="AE118" i="20" s="1"/>
  <c r="B124" i="16"/>
  <c r="D124" i="16"/>
  <c r="A124" i="16"/>
  <c r="C125" i="16"/>
  <c r="G120" i="23"/>
  <c r="F120" i="23"/>
  <c r="C119" i="23"/>
  <c r="K120" i="23"/>
  <c r="C124" i="18" s="1"/>
  <c r="A121" i="23"/>
  <c r="I122" i="14"/>
  <c r="G120" i="14"/>
  <c r="H120" i="14" s="1"/>
  <c r="B123" i="7" l="1"/>
  <c r="I121" i="23"/>
  <c r="J121" i="23"/>
  <c r="I123" i="14"/>
  <c r="L123" i="14"/>
  <c r="AA120" i="20"/>
  <c r="C121" i="14"/>
  <c r="D121" i="14" s="1"/>
  <c r="E121" i="14" s="1"/>
  <c r="E119" i="23"/>
  <c r="H121" i="23"/>
  <c r="E124" i="16"/>
  <c r="F122" i="14"/>
  <c r="G122" i="14" s="1"/>
  <c r="H122" i="14" s="1"/>
  <c r="M122" i="14"/>
  <c r="N122" i="14" s="1"/>
  <c r="P121" i="14"/>
  <c r="Q121" i="14" s="1"/>
  <c r="S120" i="14"/>
  <c r="T120" i="14" s="1"/>
  <c r="G121" i="14"/>
  <c r="H121" i="14" s="1"/>
  <c r="F121" i="23"/>
  <c r="C120" i="23"/>
  <c r="G121" i="23"/>
  <c r="K121" i="23"/>
  <c r="C125" i="18" s="1"/>
  <c r="A122" i="23"/>
  <c r="O122" i="14"/>
  <c r="AD119" i="20"/>
  <c r="AE119" i="20" s="1"/>
  <c r="H124" i="4"/>
  <c r="G124" i="4"/>
  <c r="AB120" i="20"/>
  <c r="J122" i="14"/>
  <c r="K122" i="14" s="1"/>
  <c r="D125" i="16"/>
  <c r="A125" i="16"/>
  <c r="B125" i="16"/>
  <c r="C126" i="16"/>
  <c r="B125" i="18"/>
  <c r="A126" i="18"/>
  <c r="R121" i="14"/>
  <c r="B124" i="7" l="1"/>
  <c r="I122" i="23"/>
  <c r="J122" i="23"/>
  <c r="L124" i="14"/>
  <c r="I124" i="14"/>
  <c r="R122" i="14"/>
  <c r="S122" i="14" s="1"/>
  <c r="T122" i="14" s="1"/>
  <c r="E120" i="23"/>
  <c r="H122" i="23"/>
  <c r="C122" i="14"/>
  <c r="D122" i="14" s="1"/>
  <c r="E122" i="14" s="1"/>
  <c r="E125" i="16"/>
  <c r="O123" i="14"/>
  <c r="P123" i="14" s="1"/>
  <c r="Q123" i="14" s="1"/>
  <c r="F123" i="14"/>
  <c r="G123" i="14" s="1"/>
  <c r="H123" i="14" s="1"/>
  <c r="AD120" i="20"/>
  <c r="G125" i="4"/>
  <c r="H125" i="4"/>
  <c r="F122" i="23"/>
  <c r="C121" i="23"/>
  <c r="G122" i="23"/>
  <c r="K122" i="23"/>
  <c r="C126" i="18" s="1"/>
  <c r="A123" i="23"/>
  <c r="AC120" i="20"/>
  <c r="S121" i="14"/>
  <c r="T121" i="14" s="1"/>
  <c r="P122" i="14"/>
  <c r="Q122" i="14" s="1"/>
  <c r="AB121" i="20"/>
  <c r="AC121" i="20" s="1"/>
  <c r="B126" i="18"/>
  <c r="A127" i="18"/>
  <c r="D126" i="16"/>
  <c r="B126" i="16"/>
  <c r="A126" i="16"/>
  <c r="C127" i="16"/>
  <c r="J123" i="14"/>
  <c r="K123" i="14" s="1"/>
  <c r="M123" i="14"/>
  <c r="N123" i="14" s="1"/>
  <c r="B125" i="7" l="1"/>
  <c r="I123" i="23"/>
  <c r="J123" i="23"/>
  <c r="AA121" i="20"/>
  <c r="I125" i="14"/>
  <c r="AA122" i="20"/>
  <c r="E121" i="23"/>
  <c r="H123" i="23"/>
  <c r="R123" i="14"/>
  <c r="S123" i="14" s="1"/>
  <c r="T123" i="14" s="1"/>
  <c r="C123" i="14"/>
  <c r="D123" i="14" s="1"/>
  <c r="E123" i="14" s="1"/>
  <c r="J124" i="14"/>
  <c r="K124" i="14" s="1"/>
  <c r="F123" i="23"/>
  <c r="G123" i="23"/>
  <c r="C122" i="23"/>
  <c r="K123" i="23"/>
  <c r="C127" i="18" s="1"/>
  <c r="A124" i="23"/>
  <c r="F124" i="14"/>
  <c r="L125" i="14"/>
  <c r="AD121" i="20"/>
  <c r="AE121" i="20" s="1"/>
  <c r="D127" i="16"/>
  <c r="B127" i="16"/>
  <c r="A127" i="16"/>
  <c r="C128" i="16"/>
  <c r="B127" i="18"/>
  <c r="A128" i="18"/>
  <c r="M124" i="14"/>
  <c r="N124" i="14" s="1"/>
  <c r="AB122" i="20"/>
  <c r="AC122" i="20" s="1"/>
  <c r="E126" i="16"/>
  <c r="AE120" i="20"/>
  <c r="G126" i="4"/>
  <c r="H126" i="4"/>
  <c r="B126" i="7" l="1"/>
  <c r="I124" i="23"/>
  <c r="J124" i="23"/>
  <c r="L126" i="14"/>
  <c r="I126" i="14"/>
  <c r="E122" i="23"/>
  <c r="H124" i="23"/>
  <c r="F125" i="14"/>
  <c r="G125" i="14" s="1"/>
  <c r="H125" i="14" s="1"/>
  <c r="E127" i="16"/>
  <c r="O125" i="14"/>
  <c r="P125" i="14" s="1"/>
  <c r="Q125" i="14" s="1"/>
  <c r="O124" i="14"/>
  <c r="R124" i="14"/>
  <c r="B128" i="16"/>
  <c r="A128" i="16"/>
  <c r="D128" i="16"/>
  <c r="C129" i="16"/>
  <c r="M125" i="14"/>
  <c r="N125" i="14" s="1"/>
  <c r="G124" i="14"/>
  <c r="H124" i="14" s="1"/>
  <c r="G127" i="4"/>
  <c r="H127" i="4"/>
  <c r="C124" i="14"/>
  <c r="B128" i="18"/>
  <c r="A129" i="18"/>
  <c r="AB123" i="20"/>
  <c r="AC123" i="20" s="1"/>
  <c r="G124" i="23"/>
  <c r="F124" i="23"/>
  <c r="C123" i="23"/>
  <c r="A125" i="23"/>
  <c r="K124" i="23"/>
  <c r="C128" i="18" s="1"/>
  <c r="AD122" i="20"/>
  <c r="AE122" i="20" s="1"/>
  <c r="J125" i="14"/>
  <c r="K125" i="14" s="1"/>
  <c r="B127" i="7" l="1"/>
  <c r="I125" i="23"/>
  <c r="J125" i="23"/>
  <c r="AA123" i="20"/>
  <c r="I127" i="14"/>
  <c r="AA124" i="20"/>
  <c r="E123" i="23"/>
  <c r="H125" i="23"/>
  <c r="R125" i="14"/>
  <c r="S125" i="14" s="1"/>
  <c r="T125" i="14" s="1"/>
  <c r="C125" i="14"/>
  <c r="D125" i="14" s="1"/>
  <c r="E125" i="14" s="1"/>
  <c r="E128" i="16"/>
  <c r="B129" i="18"/>
  <c r="A130" i="18"/>
  <c r="J126" i="14"/>
  <c r="K126" i="14" s="1"/>
  <c r="AB124" i="20"/>
  <c r="AC124" i="20" s="1"/>
  <c r="D124" i="14"/>
  <c r="E124" i="14" s="1"/>
  <c r="S124" i="14"/>
  <c r="T124" i="14" s="1"/>
  <c r="M126" i="14"/>
  <c r="N126" i="14" s="1"/>
  <c r="AD123" i="20"/>
  <c r="AE123" i="20" s="1"/>
  <c r="L127" i="14"/>
  <c r="C124" i="23"/>
  <c r="G125" i="23"/>
  <c r="F125" i="23"/>
  <c r="K125" i="23"/>
  <c r="C129" i="18" s="1"/>
  <c r="A126" i="23"/>
  <c r="H128" i="4"/>
  <c r="G128" i="4"/>
  <c r="O126" i="14"/>
  <c r="B129" i="16"/>
  <c r="D129" i="16"/>
  <c r="A129" i="16"/>
  <c r="C130" i="16"/>
  <c r="F126" i="14"/>
  <c r="P124" i="14"/>
  <c r="Q124" i="14" s="1"/>
  <c r="B128" i="7" l="1"/>
  <c r="I126" i="23"/>
  <c r="J126" i="23"/>
  <c r="I128" i="14"/>
  <c r="L128" i="14"/>
  <c r="E124" i="23"/>
  <c r="H126" i="23"/>
  <c r="E129" i="16"/>
  <c r="O127" i="14"/>
  <c r="P127" i="14" s="1"/>
  <c r="Q127" i="14" s="1"/>
  <c r="AB125" i="20"/>
  <c r="B130" i="16"/>
  <c r="D130" i="16"/>
  <c r="A130" i="16"/>
  <c r="C131" i="16"/>
  <c r="P126" i="14"/>
  <c r="Q126" i="14" s="1"/>
  <c r="C125" i="23"/>
  <c r="G126" i="23"/>
  <c r="F126" i="23"/>
  <c r="K126" i="23"/>
  <c r="C130" i="18" s="1"/>
  <c r="A127" i="23"/>
  <c r="C126" i="14"/>
  <c r="B130" i="18"/>
  <c r="A131" i="18"/>
  <c r="G129" i="4"/>
  <c r="H129" i="4"/>
  <c r="F127" i="14"/>
  <c r="AD124" i="20"/>
  <c r="AE124" i="20" s="1"/>
  <c r="J127" i="14"/>
  <c r="K127" i="14" s="1"/>
  <c r="G126" i="14"/>
  <c r="H126" i="14" s="1"/>
  <c r="M127" i="14"/>
  <c r="N127" i="14" s="1"/>
  <c r="R126" i="14"/>
  <c r="B129" i="7" l="1"/>
  <c r="AA125" i="20"/>
  <c r="I127" i="23"/>
  <c r="J127" i="23"/>
  <c r="I129" i="14"/>
  <c r="AA126" i="20"/>
  <c r="E125" i="23"/>
  <c r="H127" i="23"/>
  <c r="C127" i="14"/>
  <c r="D127" i="14" s="1"/>
  <c r="E127" i="14" s="1"/>
  <c r="O128" i="14"/>
  <c r="P128" i="14" s="1"/>
  <c r="Q128" i="14" s="1"/>
  <c r="R127" i="14"/>
  <c r="S127" i="14" s="1"/>
  <c r="T127" i="14" s="1"/>
  <c r="E130" i="16"/>
  <c r="C126" i="23"/>
  <c r="F127" i="23"/>
  <c r="G127" i="23"/>
  <c r="K127" i="23"/>
  <c r="C131" i="18" s="1"/>
  <c r="A128" i="23"/>
  <c r="S126" i="14"/>
  <c r="T126" i="14" s="1"/>
  <c r="M128" i="14"/>
  <c r="N128" i="14" s="1"/>
  <c r="J128" i="14"/>
  <c r="K128" i="14" s="1"/>
  <c r="D126" i="14"/>
  <c r="E126" i="14" s="1"/>
  <c r="D131" i="16"/>
  <c r="A131" i="16"/>
  <c r="B131" i="16"/>
  <c r="C132" i="16"/>
  <c r="AD125" i="20"/>
  <c r="L129" i="14"/>
  <c r="AC125" i="20"/>
  <c r="G127" i="14"/>
  <c r="H127" i="14" s="1"/>
  <c r="G130" i="4"/>
  <c r="H130" i="4"/>
  <c r="B131" i="18"/>
  <c r="A132" i="18"/>
  <c r="AB126" i="20"/>
  <c r="AC126" i="20" s="1"/>
  <c r="B130" i="7" l="1"/>
  <c r="I128" i="23"/>
  <c r="J128" i="23"/>
  <c r="L130" i="14"/>
  <c r="I130" i="14"/>
  <c r="E126" i="23"/>
  <c r="H128" i="23"/>
  <c r="R128" i="14"/>
  <c r="S128" i="14" s="1"/>
  <c r="T128" i="14" s="1"/>
  <c r="F129" i="14"/>
  <c r="G129" i="14" s="1"/>
  <c r="H129" i="14" s="1"/>
  <c r="E131" i="16"/>
  <c r="AD126" i="20"/>
  <c r="AE126" i="20" s="1"/>
  <c r="D132" i="16"/>
  <c r="A132" i="16"/>
  <c r="B132" i="16"/>
  <c r="C133" i="16"/>
  <c r="G131" i="4"/>
  <c r="H131" i="4"/>
  <c r="M129" i="14"/>
  <c r="N129" i="14" s="1"/>
  <c r="G128" i="23"/>
  <c r="C127" i="23"/>
  <c r="F128" i="23"/>
  <c r="A129" i="23"/>
  <c r="K128" i="23"/>
  <c r="C132" i="18" s="1"/>
  <c r="F128" i="14"/>
  <c r="C128" i="14"/>
  <c r="B132" i="18"/>
  <c r="A133" i="18"/>
  <c r="AE125" i="20"/>
  <c r="O129" i="14"/>
  <c r="AB127" i="20"/>
  <c r="AC127" i="20" s="1"/>
  <c r="J129" i="14"/>
  <c r="K129" i="14" s="1"/>
  <c r="B131" i="7" l="1"/>
  <c r="I129" i="23"/>
  <c r="J129" i="23"/>
  <c r="L131" i="14"/>
  <c r="AA127" i="20"/>
  <c r="E127" i="23"/>
  <c r="H129" i="23"/>
  <c r="C129" i="14"/>
  <c r="D129" i="14" s="1"/>
  <c r="E129" i="14" s="1"/>
  <c r="O130" i="14"/>
  <c r="P130" i="14" s="1"/>
  <c r="Q130" i="14" s="1"/>
  <c r="F130" i="14"/>
  <c r="G130" i="14" s="1"/>
  <c r="H130" i="14" s="1"/>
  <c r="E132" i="16"/>
  <c r="AD127" i="20"/>
  <c r="AE127" i="20" s="1"/>
  <c r="J130" i="14"/>
  <c r="K130" i="14" s="1"/>
  <c r="P129" i="14"/>
  <c r="Q129" i="14" s="1"/>
  <c r="D128" i="14"/>
  <c r="E128" i="14" s="1"/>
  <c r="R129" i="14"/>
  <c r="H132" i="4"/>
  <c r="G132" i="4"/>
  <c r="A133" i="16"/>
  <c r="B133" i="16"/>
  <c r="D133" i="16"/>
  <c r="C134" i="16"/>
  <c r="M130" i="14"/>
  <c r="N130" i="14" s="1"/>
  <c r="I131" i="14"/>
  <c r="B133" i="18"/>
  <c r="A134" i="18"/>
  <c r="AB128" i="20"/>
  <c r="AC128" i="20" s="1"/>
  <c r="G128" i="14"/>
  <c r="H128" i="14" s="1"/>
  <c r="C128" i="23"/>
  <c r="G129" i="23"/>
  <c r="F129" i="23"/>
  <c r="A130" i="23"/>
  <c r="K129" i="23"/>
  <c r="C133" i="18" s="1"/>
  <c r="B132" i="7" l="1"/>
  <c r="I130" i="23"/>
  <c r="J130" i="23"/>
  <c r="AA128" i="20"/>
  <c r="I132" i="14"/>
  <c r="C130" i="14"/>
  <c r="D130" i="14" s="1"/>
  <c r="E130" i="14" s="1"/>
  <c r="R130" i="14"/>
  <c r="S130" i="14" s="1"/>
  <c r="T130" i="14" s="1"/>
  <c r="E128" i="23"/>
  <c r="H130" i="23"/>
  <c r="O131" i="14"/>
  <c r="P131" i="14" s="1"/>
  <c r="Q131" i="14" s="1"/>
  <c r="F131" i="14"/>
  <c r="G131" i="14" s="1"/>
  <c r="H131" i="14" s="1"/>
  <c r="AD128" i="20"/>
  <c r="AE128" i="20" s="1"/>
  <c r="L132" i="14"/>
  <c r="B134" i="18"/>
  <c r="A135" i="18"/>
  <c r="B134" i="16"/>
  <c r="D134" i="16"/>
  <c r="A134" i="16"/>
  <c r="C135" i="16"/>
  <c r="S129" i="14"/>
  <c r="T129" i="14" s="1"/>
  <c r="G133" i="4"/>
  <c r="H133" i="4"/>
  <c r="M131" i="14"/>
  <c r="N131" i="14" s="1"/>
  <c r="AB129" i="20"/>
  <c r="AC129" i="20" s="1"/>
  <c r="F130" i="23"/>
  <c r="C129" i="23"/>
  <c r="G130" i="23"/>
  <c r="K130" i="23"/>
  <c r="C134" i="18" s="1"/>
  <c r="A131" i="23"/>
  <c r="J131" i="14"/>
  <c r="K131" i="14" s="1"/>
  <c r="E133" i="16"/>
  <c r="B133" i="7" l="1"/>
  <c r="I131" i="23"/>
  <c r="J131" i="23"/>
  <c r="AA129" i="20"/>
  <c r="E129" i="23"/>
  <c r="H131" i="23"/>
  <c r="C131" i="14"/>
  <c r="D131" i="14" s="1"/>
  <c r="E131" i="14" s="1"/>
  <c r="R131" i="14"/>
  <c r="S131" i="14" s="1"/>
  <c r="T131" i="14" s="1"/>
  <c r="O132" i="14"/>
  <c r="P132" i="14" s="1"/>
  <c r="Q132" i="14" s="1"/>
  <c r="E134" i="16"/>
  <c r="C130" i="23"/>
  <c r="G131" i="23"/>
  <c r="F131" i="23"/>
  <c r="K131" i="23"/>
  <c r="C135" i="18" s="1"/>
  <c r="A132" i="23"/>
  <c r="J132" i="14"/>
  <c r="K132" i="14" s="1"/>
  <c r="B135" i="18"/>
  <c r="A136" i="18"/>
  <c r="F132" i="14"/>
  <c r="AB130" i="20"/>
  <c r="AC130" i="20" s="1"/>
  <c r="M132" i="14"/>
  <c r="N132" i="14" s="1"/>
  <c r="I133" i="14"/>
  <c r="AD129" i="20"/>
  <c r="AE129" i="20" s="1"/>
  <c r="L133" i="14"/>
  <c r="G134" i="4"/>
  <c r="H134" i="4"/>
  <c r="B135" i="16"/>
  <c r="D135" i="16"/>
  <c r="A135" i="16"/>
  <c r="C136" i="16"/>
  <c r="B134" i="7" l="1"/>
  <c r="I132" i="23"/>
  <c r="J132" i="23"/>
  <c r="I134" i="14"/>
  <c r="AA130" i="20"/>
  <c r="AA131" i="20"/>
  <c r="E130" i="23"/>
  <c r="H132" i="23"/>
  <c r="C132" i="14"/>
  <c r="D132" i="14" s="1"/>
  <c r="E132" i="14" s="1"/>
  <c r="E135" i="16"/>
  <c r="R132" i="14"/>
  <c r="S132" i="14" s="1"/>
  <c r="T132" i="14" s="1"/>
  <c r="M133" i="14"/>
  <c r="N133" i="14" s="1"/>
  <c r="G132" i="14"/>
  <c r="H132" i="14" s="1"/>
  <c r="B136" i="16"/>
  <c r="D136" i="16"/>
  <c r="A136" i="16"/>
  <c r="C137" i="16"/>
  <c r="J133" i="14"/>
  <c r="K133" i="14" s="1"/>
  <c r="B136" i="18"/>
  <c r="A137" i="18"/>
  <c r="F132" i="23"/>
  <c r="G132" i="23"/>
  <c r="C131" i="23"/>
  <c r="A133" i="23"/>
  <c r="K132" i="23"/>
  <c r="C136" i="18" s="1"/>
  <c r="G135" i="4"/>
  <c r="H135" i="4"/>
  <c r="O133" i="14"/>
  <c r="AB131" i="20"/>
  <c r="AC131" i="20" s="1"/>
  <c r="AD130" i="20"/>
  <c r="AE130" i="20" s="1"/>
  <c r="L134" i="14"/>
  <c r="B135" i="7" l="1"/>
  <c r="I133" i="23"/>
  <c r="J133" i="23"/>
  <c r="I135" i="14"/>
  <c r="E131" i="23"/>
  <c r="H133" i="23"/>
  <c r="E136" i="16"/>
  <c r="O134" i="14"/>
  <c r="P134" i="14" s="1"/>
  <c r="Q134" i="14" s="1"/>
  <c r="R133" i="14"/>
  <c r="J134" i="14"/>
  <c r="K134" i="14" s="1"/>
  <c r="AD131" i="20"/>
  <c r="AE131" i="20" s="1"/>
  <c r="L135" i="14"/>
  <c r="F134" i="14"/>
  <c r="B137" i="18"/>
  <c r="A138" i="18"/>
  <c r="M134" i="14"/>
  <c r="N134" i="14" s="1"/>
  <c r="B137" i="16"/>
  <c r="D137" i="16"/>
  <c r="A137" i="16"/>
  <c r="C138" i="16"/>
  <c r="P133" i="14"/>
  <c r="Q133" i="14" s="1"/>
  <c r="H136" i="4"/>
  <c r="G136" i="4"/>
  <c r="C132" i="23"/>
  <c r="G133" i="23"/>
  <c r="F133" i="23"/>
  <c r="K133" i="23"/>
  <c r="C137" i="18" s="1"/>
  <c r="A134" i="23"/>
  <c r="AB132" i="20"/>
  <c r="AC132" i="20" s="1"/>
  <c r="F133" i="14"/>
  <c r="C133" i="14"/>
  <c r="B136" i="7" l="1"/>
  <c r="I134" i="23"/>
  <c r="J134" i="23"/>
  <c r="AA132" i="20"/>
  <c r="I136" i="14"/>
  <c r="E132" i="23"/>
  <c r="H134" i="23"/>
  <c r="R134" i="14"/>
  <c r="S134" i="14" s="1"/>
  <c r="T134" i="14" s="1"/>
  <c r="O135" i="14"/>
  <c r="P135" i="14" s="1"/>
  <c r="Q135" i="14" s="1"/>
  <c r="E137" i="16"/>
  <c r="G134" i="14"/>
  <c r="H134" i="14" s="1"/>
  <c r="M135" i="14"/>
  <c r="N135" i="14" s="1"/>
  <c r="AB133" i="20"/>
  <c r="AC133" i="20" s="1"/>
  <c r="J135" i="14"/>
  <c r="K135" i="14" s="1"/>
  <c r="S133" i="14"/>
  <c r="T133" i="14" s="1"/>
  <c r="G133" i="14"/>
  <c r="H133" i="14" s="1"/>
  <c r="G137" i="4"/>
  <c r="H137" i="4"/>
  <c r="C134" i="14"/>
  <c r="B138" i="18"/>
  <c r="A139" i="18"/>
  <c r="D133" i="14"/>
  <c r="E133" i="14" s="1"/>
  <c r="AD132" i="20"/>
  <c r="AE132" i="20" s="1"/>
  <c r="L136" i="14"/>
  <c r="F134" i="23"/>
  <c r="C133" i="23"/>
  <c r="G134" i="23"/>
  <c r="K134" i="23"/>
  <c r="C138" i="18" s="1"/>
  <c r="A135" i="23"/>
  <c r="D138" i="16"/>
  <c r="B138" i="16"/>
  <c r="A138" i="16"/>
  <c r="C139" i="16"/>
  <c r="F135" i="14"/>
  <c r="B137" i="7" l="1"/>
  <c r="I135" i="23"/>
  <c r="J135" i="23"/>
  <c r="AA133" i="20"/>
  <c r="L137" i="14"/>
  <c r="E138" i="16"/>
  <c r="R135" i="14"/>
  <c r="S135" i="14" s="1"/>
  <c r="T135" i="14" s="1"/>
  <c r="E133" i="23"/>
  <c r="H135" i="23"/>
  <c r="G135" i="14"/>
  <c r="H135" i="14" s="1"/>
  <c r="I137" i="14"/>
  <c r="C135" i="14"/>
  <c r="G138" i="4"/>
  <c r="H138" i="4"/>
  <c r="F136" i="14"/>
  <c r="M136" i="14"/>
  <c r="N136" i="14" s="1"/>
  <c r="B139" i="18"/>
  <c r="A140" i="18"/>
  <c r="J136" i="14"/>
  <c r="K136" i="14" s="1"/>
  <c r="AD133" i="20"/>
  <c r="AE133" i="20" s="1"/>
  <c r="D139" i="16"/>
  <c r="B139" i="16"/>
  <c r="A139" i="16"/>
  <c r="C140" i="16"/>
  <c r="G135" i="23"/>
  <c r="C134" i="23"/>
  <c r="F135" i="23"/>
  <c r="K135" i="23"/>
  <c r="C139" i="18" s="1"/>
  <c r="A136" i="23"/>
  <c r="AB134" i="20"/>
  <c r="AC134" i="20" s="1"/>
  <c r="D134" i="14"/>
  <c r="E134" i="14" s="1"/>
  <c r="B138" i="7" l="1"/>
  <c r="I136" i="23"/>
  <c r="J136" i="23"/>
  <c r="AA134" i="20"/>
  <c r="L138" i="14"/>
  <c r="E134" i="23"/>
  <c r="H136" i="23"/>
  <c r="E139" i="16"/>
  <c r="C136" i="14"/>
  <c r="D136" i="14" s="1"/>
  <c r="E136" i="14" s="1"/>
  <c r="F137" i="14"/>
  <c r="G137" i="14" s="1"/>
  <c r="H137" i="14" s="1"/>
  <c r="F136" i="23"/>
  <c r="G136" i="23"/>
  <c r="C135" i="23"/>
  <c r="A137" i="23"/>
  <c r="K136" i="23"/>
  <c r="C140" i="18" s="1"/>
  <c r="AD134" i="20"/>
  <c r="AE134" i="20" s="1"/>
  <c r="O136" i="14"/>
  <c r="R136" i="14"/>
  <c r="B140" i="16"/>
  <c r="D140" i="16"/>
  <c r="A140" i="16"/>
  <c r="C141" i="16"/>
  <c r="B140" i="18"/>
  <c r="A141" i="18"/>
  <c r="G136" i="14"/>
  <c r="H136" i="14" s="1"/>
  <c r="D135" i="14"/>
  <c r="E135" i="14" s="1"/>
  <c r="AB135" i="20"/>
  <c r="AC135" i="20" s="1"/>
  <c r="M137" i="14"/>
  <c r="N137" i="14" s="1"/>
  <c r="I138" i="14"/>
  <c r="G139" i="4"/>
  <c r="H139" i="4"/>
  <c r="J137" i="14"/>
  <c r="K137" i="14" s="1"/>
  <c r="B139" i="7" l="1"/>
  <c r="I137" i="23"/>
  <c r="J137" i="23"/>
  <c r="AA135" i="20"/>
  <c r="I139" i="14"/>
  <c r="O138" i="14"/>
  <c r="P138" i="14" s="1"/>
  <c r="Q138" i="14" s="1"/>
  <c r="AA136" i="20"/>
  <c r="E135" i="23"/>
  <c r="H137" i="23"/>
  <c r="C137" i="14"/>
  <c r="D137" i="14" s="1"/>
  <c r="E137" i="14" s="1"/>
  <c r="O137" i="14"/>
  <c r="P137" i="14" s="1"/>
  <c r="Q137" i="14" s="1"/>
  <c r="R137" i="14"/>
  <c r="B141" i="18"/>
  <c r="A142" i="18"/>
  <c r="F137" i="23"/>
  <c r="C136" i="23"/>
  <c r="G137" i="23"/>
  <c r="K137" i="23"/>
  <c r="C141" i="18" s="1"/>
  <c r="A138" i="23"/>
  <c r="M138" i="14"/>
  <c r="N138" i="14" s="1"/>
  <c r="H140" i="4"/>
  <c r="G140" i="4"/>
  <c r="F138" i="14"/>
  <c r="AD135" i="20"/>
  <c r="AE135" i="20" s="1"/>
  <c r="L139" i="14"/>
  <c r="D141" i="16"/>
  <c r="B141" i="16"/>
  <c r="A141" i="16"/>
  <c r="C142" i="16"/>
  <c r="S136" i="14"/>
  <c r="T136" i="14" s="1"/>
  <c r="AB136" i="20"/>
  <c r="J138" i="14"/>
  <c r="K138" i="14" s="1"/>
  <c r="E140" i="16"/>
  <c r="P136" i="14"/>
  <c r="Q136" i="14" s="1"/>
  <c r="B140" i="7" l="1"/>
  <c r="I138" i="23"/>
  <c r="J138" i="23"/>
  <c r="R138" i="14"/>
  <c r="S138" i="14" s="1"/>
  <c r="T138" i="14" s="1"/>
  <c r="L140" i="14"/>
  <c r="I140" i="14"/>
  <c r="E136" i="23"/>
  <c r="H138" i="23"/>
  <c r="S137" i="14"/>
  <c r="T137" i="14" s="1"/>
  <c r="E141" i="16"/>
  <c r="AB137" i="20"/>
  <c r="AC137" i="20" s="1"/>
  <c r="M139" i="14"/>
  <c r="N139" i="14" s="1"/>
  <c r="G141" i="4"/>
  <c r="H141" i="4"/>
  <c r="F139" i="14"/>
  <c r="C138" i="14"/>
  <c r="AD136" i="20"/>
  <c r="AC136" i="20"/>
  <c r="D142" i="16"/>
  <c r="B142" i="16"/>
  <c r="A142" i="16"/>
  <c r="C143" i="16"/>
  <c r="B142" i="18"/>
  <c r="A143" i="18"/>
  <c r="G138" i="14"/>
  <c r="H138" i="14" s="1"/>
  <c r="J139" i="14"/>
  <c r="K139" i="14" s="1"/>
  <c r="G138" i="23"/>
  <c r="F138" i="23"/>
  <c r="C137" i="23"/>
  <c r="K138" i="23"/>
  <c r="C142" i="18" s="1"/>
  <c r="A139" i="23"/>
  <c r="B141" i="7" l="1"/>
  <c r="I139" i="23"/>
  <c r="J139" i="23"/>
  <c r="AA137" i="20"/>
  <c r="L141" i="14"/>
  <c r="E137" i="23"/>
  <c r="H139" i="23"/>
  <c r="C139" i="14"/>
  <c r="D139" i="14" s="1"/>
  <c r="E139" i="14" s="1"/>
  <c r="E142" i="16"/>
  <c r="I141" i="14"/>
  <c r="G142" i="4"/>
  <c r="H142" i="4"/>
  <c r="O139" i="14"/>
  <c r="R139" i="14"/>
  <c r="F140" i="14"/>
  <c r="AD137" i="20"/>
  <c r="AE137" i="20" s="1"/>
  <c r="C138" i="23"/>
  <c r="G139" i="23"/>
  <c r="F139" i="23"/>
  <c r="K139" i="23"/>
  <c r="C143" i="18" s="1"/>
  <c r="A140" i="23"/>
  <c r="B143" i="16"/>
  <c r="D143" i="16"/>
  <c r="A143" i="16"/>
  <c r="C144" i="16"/>
  <c r="J140" i="14"/>
  <c r="K140" i="14" s="1"/>
  <c r="M140" i="14"/>
  <c r="N140" i="14" s="1"/>
  <c r="D138" i="14"/>
  <c r="E138" i="14" s="1"/>
  <c r="B143" i="18"/>
  <c r="A144" i="18"/>
  <c r="AB138" i="20"/>
  <c r="AC138" i="20" s="1"/>
  <c r="AE136" i="20"/>
  <c r="O140" i="14"/>
  <c r="G139" i="14"/>
  <c r="H139" i="14" s="1"/>
  <c r="B142" i="7" l="1"/>
  <c r="I140" i="23"/>
  <c r="J140" i="23"/>
  <c r="I142" i="14"/>
  <c r="AA138" i="20"/>
  <c r="AA139" i="20"/>
  <c r="E138" i="23"/>
  <c r="H140" i="23"/>
  <c r="E143" i="16"/>
  <c r="C140" i="14"/>
  <c r="D140" i="14" s="1"/>
  <c r="E140" i="14" s="1"/>
  <c r="F141" i="14"/>
  <c r="G141" i="14" s="1"/>
  <c r="H141" i="14" s="1"/>
  <c r="AB139" i="20"/>
  <c r="AC139" i="20" s="1"/>
  <c r="G140" i="14"/>
  <c r="H140" i="14" s="1"/>
  <c r="AD138" i="20"/>
  <c r="AE138" i="20" s="1"/>
  <c r="L142" i="14"/>
  <c r="P140" i="14"/>
  <c r="Q140" i="14" s="1"/>
  <c r="M141" i="14"/>
  <c r="N141" i="14" s="1"/>
  <c r="S139" i="14"/>
  <c r="T139" i="14" s="1"/>
  <c r="G143" i="4"/>
  <c r="H143" i="4"/>
  <c r="J141" i="14"/>
  <c r="K141" i="14" s="1"/>
  <c r="B144" i="18"/>
  <c r="A145" i="18"/>
  <c r="B144" i="16"/>
  <c r="A144" i="16"/>
  <c r="D144" i="16"/>
  <c r="C145" i="16"/>
  <c r="F140" i="23"/>
  <c r="G140" i="23"/>
  <c r="C139" i="23"/>
  <c r="K140" i="23"/>
  <c r="C144" i="18" s="1"/>
  <c r="A141" i="23"/>
  <c r="P139" i="14"/>
  <c r="Q139" i="14" s="1"/>
  <c r="R140" i="14"/>
  <c r="B143" i="7" l="1"/>
  <c r="I141" i="23"/>
  <c r="J141" i="23"/>
  <c r="L143" i="14"/>
  <c r="I143" i="14"/>
  <c r="E139" i="23"/>
  <c r="H141" i="23"/>
  <c r="C141" i="14"/>
  <c r="D141" i="14" s="1"/>
  <c r="E141" i="14" s="1"/>
  <c r="O142" i="14"/>
  <c r="P142" i="14" s="1"/>
  <c r="Q142" i="14" s="1"/>
  <c r="F142" i="14"/>
  <c r="G142" i="14" s="1"/>
  <c r="H142" i="14" s="1"/>
  <c r="S140" i="14"/>
  <c r="T140" i="14" s="1"/>
  <c r="B145" i="16"/>
  <c r="A145" i="16"/>
  <c r="D145" i="16"/>
  <c r="C146" i="16"/>
  <c r="B145" i="18"/>
  <c r="A146" i="18"/>
  <c r="H144" i="4"/>
  <c r="G144" i="4"/>
  <c r="M142" i="14"/>
  <c r="N142" i="14" s="1"/>
  <c r="O141" i="14"/>
  <c r="R141" i="14"/>
  <c r="AD139" i="20"/>
  <c r="AE139" i="20" s="1"/>
  <c r="J142" i="14"/>
  <c r="K142" i="14" s="1"/>
  <c r="F141" i="23"/>
  <c r="C140" i="23"/>
  <c r="G141" i="23"/>
  <c r="A142" i="23"/>
  <c r="K141" i="23"/>
  <c r="C145" i="18" s="1"/>
  <c r="AB140" i="20"/>
  <c r="AC140" i="20" s="1"/>
  <c r="E144" i="16"/>
  <c r="B144" i="7" l="1"/>
  <c r="I142" i="23"/>
  <c r="J142" i="23"/>
  <c r="E145" i="16"/>
  <c r="AA140" i="20"/>
  <c r="I144" i="14"/>
  <c r="E140" i="23"/>
  <c r="H142" i="23"/>
  <c r="R142" i="14"/>
  <c r="S142" i="14" s="1"/>
  <c r="T142" i="14" s="1"/>
  <c r="C142" i="14"/>
  <c r="D142" i="14" s="1"/>
  <c r="E142" i="14" s="1"/>
  <c r="O143" i="14"/>
  <c r="P143" i="14" s="1"/>
  <c r="Q143" i="14" s="1"/>
  <c r="J143" i="14"/>
  <c r="K143" i="14" s="1"/>
  <c r="S141" i="14"/>
  <c r="T141" i="14" s="1"/>
  <c r="G145" i="4"/>
  <c r="H145" i="4"/>
  <c r="M143" i="14"/>
  <c r="N143" i="14" s="1"/>
  <c r="B146" i="18"/>
  <c r="A147" i="18"/>
  <c r="AB141" i="20"/>
  <c r="AC141" i="20" s="1"/>
  <c r="AD140" i="20"/>
  <c r="AE140" i="20" s="1"/>
  <c r="L144" i="14"/>
  <c r="G142" i="23"/>
  <c r="F142" i="23"/>
  <c r="C141" i="23"/>
  <c r="A143" i="23"/>
  <c r="K142" i="23"/>
  <c r="C146" i="18" s="1"/>
  <c r="P141" i="14"/>
  <c r="Q141" i="14" s="1"/>
  <c r="F143" i="14"/>
  <c r="D146" i="16"/>
  <c r="B146" i="16"/>
  <c r="A146" i="16"/>
  <c r="C147" i="16"/>
  <c r="B145" i="7" l="1"/>
  <c r="I143" i="23"/>
  <c r="J143" i="23"/>
  <c r="L145" i="14"/>
  <c r="AA141" i="20"/>
  <c r="R143" i="14"/>
  <c r="S143" i="14" s="1"/>
  <c r="T143" i="14" s="1"/>
  <c r="E141" i="23"/>
  <c r="H143" i="23"/>
  <c r="O144" i="14"/>
  <c r="P144" i="14" s="1"/>
  <c r="Q144" i="14" s="1"/>
  <c r="C143" i="14"/>
  <c r="D143" i="14" s="1"/>
  <c r="E143" i="14" s="1"/>
  <c r="E146" i="16"/>
  <c r="M144" i="14"/>
  <c r="N144" i="14" s="1"/>
  <c r="AD141" i="20"/>
  <c r="AE141" i="20" s="1"/>
  <c r="AB142" i="20"/>
  <c r="AC142" i="20" s="1"/>
  <c r="G143" i="14"/>
  <c r="H143" i="14" s="1"/>
  <c r="F143" i="23"/>
  <c r="C142" i="23"/>
  <c r="G143" i="23"/>
  <c r="K143" i="23"/>
  <c r="C147" i="18" s="1"/>
  <c r="A144" i="23"/>
  <c r="G146" i="4"/>
  <c r="H146" i="4"/>
  <c r="B147" i="16"/>
  <c r="D147" i="16"/>
  <c r="A147" i="16"/>
  <c r="C148" i="16"/>
  <c r="B147" i="18"/>
  <c r="A148" i="18"/>
  <c r="I145" i="14"/>
  <c r="J144" i="14"/>
  <c r="K144" i="14" s="1"/>
  <c r="B146" i="7" l="1"/>
  <c r="I144" i="23"/>
  <c r="J144" i="23"/>
  <c r="L146" i="14"/>
  <c r="AA142" i="20"/>
  <c r="AA143" i="20"/>
  <c r="E142" i="23"/>
  <c r="H144" i="23"/>
  <c r="R144" i="14"/>
  <c r="S144" i="14" s="1"/>
  <c r="T144" i="14" s="1"/>
  <c r="O145" i="14"/>
  <c r="P145" i="14" s="1"/>
  <c r="Q145" i="14" s="1"/>
  <c r="F145" i="14"/>
  <c r="G145" i="14" s="1"/>
  <c r="H145" i="14" s="1"/>
  <c r="E147" i="16"/>
  <c r="J145" i="14"/>
  <c r="K145" i="14" s="1"/>
  <c r="G144" i="23"/>
  <c r="C143" i="23"/>
  <c r="F144" i="23"/>
  <c r="A145" i="23"/>
  <c r="K144" i="23"/>
  <c r="C148" i="18" s="1"/>
  <c r="M145" i="14"/>
  <c r="N145" i="14" s="1"/>
  <c r="B148" i="18"/>
  <c r="A149" i="18"/>
  <c r="F144" i="14"/>
  <c r="C144" i="14"/>
  <c r="D148" i="16"/>
  <c r="B148" i="16"/>
  <c r="A148" i="16"/>
  <c r="C149" i="16"/>
  <c r="AD142" i="20"/>
  <c r="AE142" i="20" s="1"/>
  <c r="G147" i="4"/>
  <c r="H147" i="4"/>
  <c r="I146" i="14"/>
  <c r="AB143" i="20"/>
  <c r="AC143" i="20" s="1"/>
  <c r="B147" i="7" l="1"/>
  <c r="I145" i="23"/>
  <c r="J145" i="23"/>
  <c r="I147" i="14"/>
  <c r="E143" i="23"/>
  <c r="H145" i="23"/>
  <c r="R145" i="14"/>
  <c r="S145" i="14" s="1"/>
  <c r="T145" i="14" s="1"/>
  <c r="C145" i="14"/>
  <c r="D145" i="14" s="1"/>
  <c r="E145" i="14" s="1"/>
  <c r="E148" i="16"/>
  <c r="O146" i="14"/>
  <c r="P146" i="14" s="1"/>
  <c r="Q146" i="14" s="1"/>
  <c r="G144" i="14"/>
  <c r="H144" i="14" s="1"/>
  <c r="G145" i="23"/>
  <c r="C144" i="23"/>
  <c r="F145" i="23"/>
  <c r="A146" i="23"/>
  <c r="K145" i="23"/>
  <c r="C149" i="18" s="1"/>
  <c r="AB144" i="20"/>
  <c r="AC144" i="20" s="1"/>
  <c r="B149" i="18"/>
  <c r="A150" i="18"/>
  <c r="J146" i="14"/>
  <c r="K146" i="14" s="1"/>
  <c r="M146" i="14"/>
  <c r="N146" i="14" s="1"/>
  <c r="AD143" i="20"/>
  <c r="AE143" i="20" s="1"/>
  <c r="L147" i="14"/>
  <c r="H148" i="4"/>
  <c r="G148" i="4"/>
  <c r="F146" i="14"/>
  <c r="D149" i="16"/>
  <c r="B149" i="16"/>
  <c r="A149" i="16"/>
  <c r="C150" i="16"/>
  <c r="D144" i="14"/>
  <c r="E144" i="14" s="1"/>
  <c r="B148" i="7" l="1"/>
  <c r="I146" i="23"/>
  <c r="J146" i="23"/>
  <c r="AA144" i="20"/>
  <c r="L148" i="14"/>
  <c r="AA145" i="20"/>
  <c r="E144" i="23"/>
  <c r="H146" i="23"/>
  <c r="R146" i="14"/>
  <c r="S146" i="14" s="1"/>
  <c r="T146" i="14" s="1"/>
  <c r="F147" i="14"/>
  <c r="G147" i="14" s="1"/>
  <c r="H147" i="14" s="1"/>
  <c r="E149" i="16"/>
  <c r="O147" i="14"/>
  <c r="P147" i="14" s="1"/>
  <c r="Q147" i="14" s="1"/>
  <c r="C146" i="14"/>
  <c r="D146" i="14" s="1"/>
  <c r="E146" i="14" s="1"/>
  <c r="I148" i="14"/>
  <c r="D150" i="16"/>
  <c r="B150" i="16"/>
  <c r="A150" i="16"/>
  <c r="C151" i="16"/>
  <c r="G149" i="4"/>
  <c r="H149" i="4"/>
  <c r="B150" i="18"/>
  <c r="A151" i="18"/>
  <c r="AB145" i="20"/>
  <c r="AC145" i="20" s="1"/>
  <c r="G146" i="14"/>
  <c r="H146" i="14" s="1"/>
  <c r="J147" i="14"/>
  <c r="K147" i="14" s="1"/>
  <c r="M147" i="14"/>
  <c r="N147" i="14" s="1"/>
  <c r="G146" i="23"/>
  <c r="F146" i="23"/>
  <c r="C145" i="23"/>
  <c r="A147" i="23"/>
  <c r="K146" i="23"/>
  <c r="C150" i="18" s="1"/>
  <c r="AD144" i="20"/>
  <c r="AE144" i="20" s="1"/>
  <c r="B149" i="7" l="1"/>
  <c r="I147" i="23"/>
  <c r="J147" i="23"/>
  <c r="L149" i="14"/>
  <c r="I149" i="14"/>
  <c r="E145" i="23"/>
  <c r="H147" i="23"/>
  <c r="C147" i="14"/>
  <c r="D147" i="14" s="1"/>
  <c r="E147" i="14" s="1"/>
  <c r="E150" i="16"/>
  <c r="R147" i="14"/>
  <c r="S147" i="14" s="1"/>
  <c r="T147" i="14" s="1"/>
  <c r="M148" i="14"/>
  <c r="N148" i="14" s="1"/>
  <c r="D151" i="16"/>
  <c r="B151" i="16"/>
  <c r="A151" i="16"/>
  <c r="C152" i="16"/>
  <c r="J148" i="14"/>
  <c r="K148" i="14" s="1"/>
  <c r="G147" i="23"/>
  <c r="C146" i="23"/>
  <c r="F147" i="23"/>
  <c r="K147" i="23"/>
  <c r="C151" i="18" s="1"/>
  <c r="A148" i="23"/>
  <c r="AD145" i="20"/>
  <c r="AE145" i="20" s="1"/>
  <c r="G150" i="4"/>
  <c r="H150" i="4"/>
  <c r="O148" i="14"/>
  <c r="AB146" i="20"/>
  <c r="AC146" i="20" s="1"/>
  <c r="F148" i="14"/>
  <c r="B151" i="18"/>
  <c r="A152" i="18"/>
  <c r="B150" i="7" l="1"/>
  <c r="I148" i="23"/>
  <c r="J148" i="23"/>
  <c r="I150" i="14"/>
  <c r="AA146" i="20"/>
  <c r="AA147" i="20"/>
  <c r="E146" i="23"/>
  <c r="H148" i="23"/>
  <c r="E151" i="16"/>
  <c r="R148" i="14"/>
  <c r="S148" i="14" s="1"/>
  <c r="T148" i="14" s="1"/>
  <c r="F149" i="14"/>
  <c r="J149" i="14"/>
  <c r="K149" i="14" s="1"/>
  <c r="P148" i="14"/>
  <c r="Q148" i="14" s="1"/>
  <c r="G148" i="14"/>
  <c r="H148" i="14" s="1"/>
  <c r="AD146" i="20"/>
  <c r="AE146" i="20" s="1"/>
  <c r="L150" i="14"/>
  <c r="C148" i="14"/>
  <c r="G151" i="4"/>
  <c r="H151" i="4"/>
  <c r="M149" i="14"/>
  <c r="N149" i="14" s="1"/>
  <c r="B152" i="16"/>
  <c r="A152" i="16"/>
  <c r="D152" i="16"/>
  <c r="C153" i="16"/>
  <c r="B152" i="18"/>
  <c r="A153" i="18"/>
  <c r="C147" i="23"/>
  <c r="F148" i="23"/>
  <c r="G148" i="23"/>
  <c r="K148" i="23"/>
  <c r="C152" i="18" s="1"/>
  <c r="A149" i="23"/>
  <c r="AB147" i="20"/>
  <c r="AC147" i="20" s="1"/>
  <c r="B151" i="7" l="1"/>
  <c r="I149" i="23"/>
  <c r="J149" i="23"/>
  <c r="I151" i="14"/>
  <c r="L151" i="14"/>
  <c r="E147" i="23"/>
  <c r="H149" i="23"/>
  <c r="E152" i="16"/>
  <c r="G149" i="14"/>
  <c r="H149" i="14" s="1"/>
  <c r="C149" i="14"/>
  <c r="D149" i="14" s="1"/>
  <c r="E149" i="14" s="1"/>
  <c r="F150" i="14"/>
  <c r="G150" i="14" s="1"/>
  <c r="H150" i="14" s="1"/>
  <c r="AD147" i="20"/>
  <c r="AE147" i="20" s="1"/>
  <c r="C148" i="23"/>
  <c r="G149" i="23"/>
  <c r="F149" i="23"/>
  <c r="K149" i="23"/>
  <c r="C153" i="18" s="1"/>
  <c r="A150" i="23"/>
  <c r="AB148" i="20"/>
  <c r="AC148" i="20" s="1"/>
  <c r="D148" i="14"/>
  <c r="E148" i="14" s="1"/>
  <c r="H152" i="4"/>
  <c r="G152" i="4"/>
  <c r="M150" i="14"/>
  <c r="N150" i="14" s="1"/>
  <c r="O149" i="14"/>
  <c r="R149" i="14"/>
  <c r="J150" i="14"/>
  <c r="K150" i="14" s="1"/>
  <c r="B153" i="18"/>
  <c r="A154" i="18"/>
  <c r="D153" i="16"/>
  <c r="B153" i="16"/>
  <c r="A153" i="16"/>
  <c r="C154" i="16"/>
  <c r="B152" i="7" l="1"/>
  <c r="I150" i="23"/>
  <c r="J150" i="23"/>
  <c r="AA148" i="20"/>
  <c r="AA149" i="20"/>
  <c r="E153" i="16"/>
  <c r="O151" i="14"/>
  <c r="P151" i="14" s="1"/>
  <c r="Q151" i="14" s="1"/>
  <c r="E148" i="23"/>
  <c r="H150" i="23"/>
  <c r="C150" i="14"/>
  <c r="F151" i="14"/>
  <c r="G151" i="14" s="1"/>
  <c r="H151" i="14" s="1"/>
  <c r="S149" i="14"/>
  <c r="T149" i="14" s="1"/>
  <c r="B154" i="16"/>
  <c r="D154" i="16"/>
  <c r="A154" i="16"/>
  <c r="C155" i="16"/>
  <c r="B154" i="18"/>
  <c r="A155" i="18"/>
  <c r="P149" i="14"/>
  <c r="Q149" i="14" s="1"/>
  <c r="M151" i="14"/>
  <c r="N151" i="14" s="1"/>
  <c r="AB149" i="20"/>
  <c r="AC149" i="20" s="1"/>
  <c r="O150" i="14"/>
  <c r="R150" i="14"/>
  <c r="I152" i="14"/>
  <c r="J151" i="14"/>
  <c r="K151" i="14" s="1"/>
  <c r="G153" i="4"/>
  <c r="H153" i="4"/>
  <c r="F150" i="23"/>
  <c r="C149" i="23"/>
  <c r="G150" i="23"/>
  <c r="A151" i="23"/>
  <c r="K150" i="23"/>
  <c r="C154" i="18" s="1"/>
  <c r="AD148" i="20"/>
  <c r="AE148" i="20" s="1"/>
  <c r="L152" i="14"/>
  <c r="B153" i="7" l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I151" i="23"/>
  <c r="J151" i="23"/>
  <c r="B175" i="7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I153" i="14"/>
  <c r="L153" i="14"/>
  <c r="AA150" i="20"/>
  <c r="R151" i="14"/>
  <c r="S151" i="14" s="1"/>
  <c r="T151" i="14" s="1"/>
  <c r="E149" i="23"/>
  <c r="H151" i="23"/>
  <c r="C151" i="14"/>
  <c r="D151" i="14" s="1"/>
  <c r="E151" i="14" s="1"/>
  <c r="D150" i="14"/>
  <c r="E150" i="14" s="1"/>
  <c r="F152" i="14"/>
  <c r="G152" i="14" s="1"/>
  <c r="H152" i="14" s="1"/>
  <c r="J152" i="14"/>
  <c r="K152" i="14" s="1"/>
  <c r="B155" i="18"/>
  <c r="A156" i="18"/>
  <c r="AB150" i="20"/>
  <c r="AC150" i="20" s="1"/>
  <c r="M152" i="14"/>
  <c r="N152" i="14" s="1"/>
  <c r="G154" i="4"/>
  <c r="H154" i="4"/>
  <c r="S150" i="14"/>
  <c r="T150" i="14" s="1"/>
  <c r="P150" i="14"/>
  <c r="Q150" i="14" s="1"/>
  <c r="O152" i="14"/>
  <c r="D155" i="16"/>
  <c r="B155" i="16"/>
  <c r="A155" i="16"/>
  <c r="C156" i="16"/>
  <c r="F151" i="23"/>
  <c r="C150" i="23"/>
  <c r="G151" i="23"/>
  <c r="K151" i="23"/>
  <c r="C155" i="18" s="1"/>
  <c r="A152" i="23"/>
  <c r="AD149" i="20"/>
  <c r="AE149" i="20" s="1"/>
  <c r="E154" i="16"/>
  <c r="V7" i="7" l="1"/>
  <c r="B675" i="7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M6" i="7"/>
  <c r="N8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25" i="7"/>
  <c r="AD6" i="7"/>
  <c r="AE6" i="7"/>
  <c r="AF27" i="7"/>
  <c r="AF6" i="7"/>
  <c r="AG6" i="7"/>
  <c r="J6" i="7"/>
  <c r="K6" i="7"/>
  <c r="L6" i="7"/>
  <c r="N6" i="7"/>
  <c r="N7" i="7"/>
  <c r="O8" i="7"/>
  <c r="O10" i="7"/>
  <c r="O9" i="7"/>
  <c r="O7" i="7"/>
  <c r="P9" i="7"/>
  <c r="P7" i="7"/>
  <c r="P10" i="7"/>
  <c r="P8" i="7"/>
  <c r="Q11" i="7"/>
  <c r="Q9" i="7"/>
  <c r="Q7" i="7"/>
  <c r="Q10" i="7"/>
  <c r="Q8" i="7"/>
  <c r="R11" i="7"/>
  <c r="R8" i="7"/>
  <c r="R10" i="7"/>
  <c r="R12" i="7"/>
  <c r="R9" i="7"/>
  <c r="R7" i="7"/>
  <c r="S8" i="7"/>
  <c r="S13" i="7"/>
  <c r="S7" i="7"/>
  <c r="S10" i="7"/>
  <c r="S12" i="7"/>
  <c r="S11" i="7"/>
  <c r="S9" i="7"/>
  <c r="T7" i="7"/>
  <c r="T12" i="7"/>
  <c r="T8" i="7"/>
  <c r="T14" i="7"/>
  <c r="T9" i="7"/>
  <c r="T13" i="7"/>
  <c r="T11" i="7"/>
  <c r="T10" i="7"/>
  <c r="U9" i="7"/>
  <c r="U11" i="7"/>
  <c r="U13" i="7"/>
  <c r="U7" i="7"/>
  <c r="U10" i="7"/>
  <c r="U8" i="7"/>
  <c r="U14" i="7"/>
  <c r="U15" i="7"/>
  <c r="U12" i="7"/>
  <c r="V13" i="7"/>
  <c r="V11" i="7"/>
  <c r="V8" i="7"/>
  <c r="V9" i="7"/>
  <c r="V14" i="7"/>
  <c r="V10" i="7"/>
  <c r="V12" i="7"/>
  <c r="V15" i="7"/>
  <c r="V16" i="7"/>
  <c r="W9" i="7"/>
  <c r="W11" i="7"/>
  <c r="W15" i="7"/>
  <c r="W10" i="7"/>
  <c r="W12" i="7"/>
  <c r="W13" i="7"/>
  <c r="W16" i="7"/>
  <c r="W8" i="7"/>
  <c r="W17" i="7"/>
  <c r="W14" i="7"/>
  <c r="W7" i="7"/>
  <c r="X12" i="7"/>
  <c r="X11" i="7"/>
  <c r="X16" i="7"/>
  <c r="X8" i="7"/>
  <c r="X9" i="7"/>
  <c r="X13" i="7"/>
  <c r="X15" i="7"/>
  <c r="X7" i="7"/>
  <c r="X14" i="7"/>
  <c r="X18" i="7"/>
  <c r="X17" i="7"/>
  <c r="X10" i="7"/>
  <c r="Y10" i="7"/>
  <c r="Y14" i="7"/>
  <c r="Y9" i="7"/>
  <c r="Y16" i="7"/>
  <c r="Y13" i="7"/>
  <c r="Y17" i="7"/>
  <c r="Y15" i="7"/>
  <c r="Y18" i="7"/>
  <c r="Y7" i="7"/>
  <c r="Y19" i="7"/>
  <c r="Y11" i="7"/>
  <c r="Y8" i="7"/>
  <c r="Y12" i="7"/>
  <c r="Z11" i="7"/>
  <c r="Z16" i="7"/>
  <c r="Z20" i="7"/>
  <c r="Z10" i="7"/>
  <c r="Z17" i="7"/>
  <c r="Z13" i="7"/>
  <c r="Z19" i="7"/>
  <c r="Z18" i="7"/>
  <c r="Z7" i="7"/>
  <c r="Z8" i="7"/>
  <c r="Z15" i="7"/>
  <c r="Z9" i="7"/>
  <c r="Z12" i="7"/>
  <c r="Z14" i="7"/>
  <c r="AA16" i="7"/>
  <c r="AA21" i="7"/>
  <c r="AA18" i="7"/>
  <c r="AA15" i="7"/>
  <c r="AA17" i="7"/>
  <c r="AA20" i="7"/>
  <c r="AA19" i="7"/>
  <c r="AA10" i="7"/>
  <c r="AA7" i="7"/>
  <c r="AA14" i="7"/>
  <c r="AA12" i="7"/>
  <c r="AA9" i="7"/>
  <c r="AA13" i="7"/>
  <c r="AA11" i="7"/>
  <c r="AA8" i="7"/>
  <c r="AB7" i="7"/>
  <c r="AB21" i="7"/>
  <c r="AB13" i="7"/>
  <c r="AB14" i="7"/>
  <c r="AB17" i="7"/>
  <c r="AB20" i="7"/>
  <c r="AB8" i="7"/>
  <c r="AB11" i="7"/>
  <c r="AB16" i="7"/>
  <c r="AB22" i="7"/>
  <c r="AB12" i="7"/>
  <c r="AB15" i="7"/>
  <c r="AB19" i="7"/>
  <c r="AB18" i="7"/>
  <c r="AB10" i="7"/>
  <c r="AB9" i="7"/>
  <c r="AC12" i="7"/>
  <c r="AC15" i="7"/>
  <c r="AC17" i="7"/>
  <c r="AC16" i="7"/>
  <c r="AC19" i="7"/>
  <c r="AC23" i="7"/>
  <c r="AC13" i="7"/>
  <c r="AC22" i="7"/>
  <c r="AC7" i="7"/>
  <c r="AC21" i="7"/>
  <c r="AC11" i="7"/>
  <c r="AC8" i="7"/>
  <c r="AC20" i="7"/>
  <c r="AC10" i="7"/>
  <c r="AC14" i="7"/>
  <c r="AC9" i="7"/>
  <c r="AC18" i="7"/>
  <c r="AD8" i="7"/>
  <c r="AD24" i="7"/>
  <c r="AD18" i="7"/>
  <c r="AD21" i="7"/>
  <c r="AD15" i="7"/>
  <c r="AD11" i="7"/>
  <c r="AD10" i="7"/>
  <c r="AD16" i="7"/>
  <c r="AD23" i="7"/>
  <c r="AD9" i="7"/>
  <c r="AD19" i="7"/>
  <c r="AD7" i="7"/>
  <c r="AD13" i="7"/>
  <c r="AD22" i="7"/>
  <c r="AD20" i="7"/>
  <c r="AD12" i="7"/>
  <c r="AD17" i="7"/>
  <c r="AD14" i="7"/>
  <c r="AE18" i="7"/>
  <c r="AE21" i="7"/>
  <c r="AE19" i="7"/>
  <c r="AE9" i="7"/>
  <c r="AE13" i="7"/>
  <c r="AE17" i="7"/>
  <c r="AE7" i="7"/>
  <c r="AE22" i="7"/>
  <c r="AE20" i="7"/>
  <c r="AE24" i="7"/>
  <c r="AE25" i="7"/>
  <c r="AE23" i="7"/>
  <c r="AE15" i="7"/>
  <c r="AE12" i="7"/>
  <c r="AE16" i="7"/>
  <c r="AE14" i="7"/>
  <c r="AE11" i="7"/>
  <c r="AE8" i="7"/>
  <c r="AE10" i="7"/>
  <c r="AF17" i="7"/>
  <c r="AF7" i="7"/>
  <c r="AF18" i="7"/>
  <c r="AF19" i="7"/>
  <c r="AF23" i="7"/>
  <c r="AF15" i="7"/>
  <c r="AF16" i="7"/>
  <c r="AF26" i="7"/>
  <c r="AF14" i="7"/>
  <c r="AF20" i="7"/>
  <c r="AF13" i="7"/>
  <c r="AF11" i="7"/>
  <c r="AF12" i="7"/>
  <c r="AF10" i="7"/>
  <c r="AF8" i="7"/>
  <c r="AF24" i="7"/>
  <c r="AF21" i="7"/>
  <c r="AF9" i="7"/>
  <c r="AF25" i="7"/>
  <c r="AF22" i="7"/>
  <c r="AG22" i="7"/>
  <c r="AG27" i="7"/>
  <c r="AG8" i="7"/>
  <c r="AG11" i="7"/>
  <c r="AG25" i="7"/>
  <c r="AG7" i="7"/>
  <c r="AG10" i="7"/>
  <c r="AG18" i="7"/>
  <c r="AG16" i="7"/>
  <c r="AG21" i="7"/>
  <c r="AG13" i="7"/>
  <c r="AG26" i="7"/>
  <c r="AG24" i="7"/>
  <c r="AG9" i="7"/>
  <c r="AG12" i="7"/>
  <c r="AG23" i="7"/>
  <c r="AG15" i="7"/>
  <c r="AG20" i="7"/>
  <c r="AG19" i="7"/>
  <c r="AG17" i="7"/>
  <c r="AG14" i="7"/>
  <c r="J28" i="7"/>
  <c r="J26" i="7"/>
  <c r="J27" i="7"/>
  <c r="J8" i="7"/>
  <c r="J15" i="7"/>
  <c r="J18" i="7"/>
  <c r="J23" i="7"/>
  <c r="J19" i="7"/>
  <c r="J17" i="7"/>
  <c r="J10" i="7"/>
  <c r="J25" i="7"/>
  <c r="J20" i="7"/>
  <c r="J9" i="7"/>
  <c r="J13" i="7"/>
  <c r="J16" i="7"/>
  <c r="J21" i="7"/>
  <c r="J24" i="7"/>
  <c r="J11" i="7"/>
  <c r="J14" i="7"/>
  <c r="J12" i="7"/>
  <c r="J7" i="7"/>
  <c r="J22" i="7"/>
  <c r="K7" i="7"/>
  <c r="K29" i="7"/>
  <c r="K26" i="7"/>
  <c r="K28" i="7"/>
  <c r="K23" i="7"/>
  <c r="K16" i="7"/>
  <c r="K10" i="7"/>
  <c r="K15" i="7"/>
  <c r="K27" i="7"/>
  <c r="K17" i="7"/>
  <c r="K19" i="7"/>
  <c r="K20" i="7"/>
  <c r="K22" i="7"/>
  <c r="K18" i="7"/>
  <c r="K21" i="7"/>
  <c r="K11" i="7"/>
  <c r="K14" i="7"/>
  <c r="K25" i="7"/>
  <c r="K8" i="7"/>
  <c r="K24" i="7"/>
  <c r="K9" i="7"/>
  <c r="K12" i="7"/>
  <c r="K13" i="7"/>
  <c r="L24" i="7"/>
  <c r="L23" i="7"/>
  <c r="L10" i="7"/>
  <c r="L16" i="7"/>
  <c r="L20" i="7"/>
  <c r="L30" i="7"/>
  <c r="L9" i="7"/>
  <c r="L29" i="7"/>
  <c r="L19" i="7"/>
  <c r="L25" i="7"/>
  <c r="L22" i="7"/>
  <c r="L12" i="7"/>
  <c r="L7" i="7"/>
  <c r="L8" i="7"/>
  <c r="L28" i="7"/>
  <c r="L26" i="7"/>
  <c r="L11" i="7"/>
  <c r="L17" i="7"/>
  <c r="L18" i="7"/>
  <c r="L21" i="7"/>
  <c r="L13" i="7"/>
  <c r="L14" i="7"/>
  <c r="L15" i="7"/>
  <c r="L27" i="7"/>
  <c r="M30" i="7"/>
  <c r="M11" i="7"/>
  <c r="M13" i="7"/>
  <c r="M12" i="7"/>
  <c r="M17" i="7"/>
  <c r="M27" i="7"/>
  <c r="M19" i="7"/>
  <c r="M8" i="7"/>
  <c r="M22" i="7"/>
  <c r="M7" i="7"/>
  <c r="M31" i="7"/>
  <c r="M24" i="7"/>
  <c r="M21" i="7"/>
  <c r="M28" i="7"/>
  <c r="M20" i="7"/>
  <c r="M15" i="7"/>
  <c r="M23" i="7"/>
  <c r="M9" i="7"/>
  <c r="M18" i="7"/>
  <c r="M29" i="7"/>
  <c r="M10" i="7"/>
  <c r="M26" i="7"/>
  <c r="M16" i="7"/>
  <c r="M14" i="7"/>
  <c r="M25" i="7"/>
  <c r="N28" i="7"/>
  <c r="N21" i="7"/>
  <c r="N26" i="7"/>
  <c r="N32" i="7"/>
  <c r="N9" i="7"/>
  <c r="N30" i="7"/>
  <c r="N31" i="7"/>
  <c r="N23" i="7"/>
  <c r="N24" i="7"/>
  <c r="N22" i="7"/>
  <c r="N14" i="7"/>
  <c r="N33" i="7"/>
  <c r="N12" i="7"/>
  <c r="N13" i="7"/>
  <c r="N18" i="7"/>
  <c r="N10" i="7"/>
  <c r="N15" i="7"/>
  <c r="N25" i="7"/>
  <c r="N29" i="7"/>
  <c r="N17" i="7"/>
  <c r="N19" i="7"/>
  <c r="N27" i="7"/>
  <c r="N11" i="7"/>
  <c r="N16" i="7"/>
  <c r="N20" i="7"/>
  <c r="O23" i="7"/>
  <c r="O19" i="7"/>
  <c r="O33" i="7"/>
  <c r="O32" i="7"/>
  <c r="O15" i="7"/>
  <c r="O12" i="7"/>
  <c r="O14" i="7"/>
  <c r="O17" i="7"/>
  <c r="O11" i="7"/>
  <c r="O18" i="7"/>
  <c r="O22" i="7"/>
  <c r="O30" i="7"/>
  <c r="O24" i="7"/>
  <c r="O29" i="7"/>
  <c r="O27" i="7"/>
  <c r="O26" i="7"/>
  <c r="O25" i="7"/>
  <c r="O31" i="7"/>
  <c r="O20" i="7"/>
  <c r="O21" i="7"/>
  <c r="O28" i="7"/>
  <c r="O16" i="7"/>
  <c r="O13" i="7"/>
  <c r="P19" i="7"/>
  <c r="P29" i="7"/>
  <c r="P33" i="7"/>
  <c r="P26" i="7"/>
  <c r="P24" i="7"/>
  <c r="P21" i="7"/>
  <c r="P30" i="7"/>
  <c r="P15" i="7"/>
  <c r="P23" i="7"/>
  <c r="P11" i="7"/>
  <c r="P28" i="7"/>
  <c r="P25" i="7"/>
  <c r="P14" i="7"/>
  <c r="P12" i="7"/>
  <c r="P17" i="7"/>
  <c r="P32" i="7"/>
  <c r="P20" i="7"/>
  <c r="P13" i="7"/>
  <c r="P16" i="7"/>
  <c r="P22" i="7"/>
  <c r="P27" i="7"/>
  <c r="P18" i="7"/>
  <c r="P31" i="7"/>
  <c r="Q15" i="7"/>
  <c r="Q24" i="7"/>
  <c r="Q29" i="7"/>
  <c r="Q23" i="7"/>
  <c r="Q12" i="7"/>
  <c r="Q17" i="7"/>
  <c r="Q19" i="7"/>
  <c r="Q21" i="7"/>
  <c r="Q31" i="7"/>
  <c r="Q25" i="7"/>
  <c r="Q20" i="7"/>
  <c r="Q22" i="7"/>
  <c r="Q18" i="7"/>
  <c r="Q16" i="7"/>
  <c r="Q30" i="7"/>
  <c r="Q33" i="7"/>
  <c r="Q28" i="7"/>
  <c r="Q13" i="7"/>
  <c r="Q14" i="7"/>
  <c r="Q26" i="7"/>
  <c r="Q27" i="7"/>
  <c r="Q32" i="7"/>
  <c r="R20" i="7"/>
  <c r="R21" i="7"/>
  <c r="R23" i="7"/>
  <c r="R14" i="7"/>
  <c r="R13" i="7"/>
  <c r="R16" i="7"/>
  <c r="R28" i="7"/>
  <c r="R32" i="7"/>
  <c r="R19" i="7"/>
  <c r="R15" i="7"/>
  <c r="R17" i="7"/>
  <c r="R29" i="7"/>
  <c r="R18" i="7"/>
  <c r="R25" i="7"/>
  <c r="R24" i="7"/>
  <c r="R26" i="7"/>
  <c r="R22" i="7"/>
  <c r="R30" i="7"/>
  <c r="R31" i="7"/>
  <c r="R27" i="7"/>
  <c r="R33" i="7"/>
  <c r="S28" i="7"/>
  <c r="S16" i="7"/>
  <c r="S21" i="7"/>
  <c r="S25" i="7"/>
  <c r="S24" i="7"/>
  <c r="S14" i="7"/>
  <c r="S29" i="7"/>
  <c r="S27" i="7"/>
  <c r="S18" i="7"/>
  <c r="S15" i="7"/>
  <c r="S23" i="7"/>
  <c r="S32" i="7"/>
  <c r="S33" i="7"/>
  <c r="S22" i="7"/>
  <c r="S20" i="7"/>
  <c r="S17" i="7"/>
  <c r="S31" i="7"/>
  <c r="S19" i="7"/>
  <c r="S26" i="7"/>
  <c r="S30" i="7"/>
  <c r="T22" i="7"/>
  <c r="T30" i="7"/>
  <c r="T18" i="7"/>
  <c r="T16" i="7"/>
  <c r="T15" i="7"/>
  <c r="T28" i="7"/>
  <c r="T31" i="7"/>
  <c r="T33" i="7"/>
  <c r="T21" i="7"/>
  <c r="T23" i="7"/>
  <c r="T19" i="7"/>
  <c r="T20" i="7"/>
  <c r="T26" i="7"/>
  <c r="T24" i="7"/>
  <c r="T32" i="7"/>
  <c r="T27" i="7"/>
  <c r="T29" i="7"/>
  <c r="T17" i="7"/>
  <c r="T25" i="7"/>
  <c r="U20" i="7"/>
  <c r="U21" i="7"/>
  <c r="U31" i="7"/>
  <c r="U29" i="7"/>
  <c r="U24" i="7"/>
  <c r="U16" i="7"/>
  <c r="U27" i="7"/>
  <c r="U33" i="7"/>
  <c r="U30" i="7"/>
  <c r="U17" i="7"/>
  <c r="U23" i="7"/>
  <c r="U19" i="7"/>
  <c r="U26" i="7"/>
  <c r="U28" i="7"/>
  <c r="U25" i="7"/>
  <c r="U18" i="7"/>
  <c r="U32" i="7"/>
  <c r="U22" i="7"/>
  <c r="V20" i="7"/>
  <c r="V31" i="7"/>
  <c r="V24" i="7"/>
  <c r="V25" i="7"/>
  <c r="V18" i="7"/>
  <c r="V17" i="7"/>
  <c r="V21" i="7"/>
  <c r="V27" i="7"/>
  <c r="V32" i="7"/>
  <c r="V22" i="7"/>
  <c r="V26" i="7"/>
  <c r="V23" i="7"/>
  <c r="V33" i="7"/>
  <c r="V29" i="7"/>
  <c r="V30" i="7"/>
  <c r="V19" i="7"/>
  <c r="V28" i="7"/>
  <c r="W24" i="7"/>
  <c r="W31" i="7"/>
  <c r="W22" i="7"/>
  <c r="W18" i="7"/>
  <c r="W25" i="7"/>
  <c r="W26" i="7"/>
  <c r="W20" i="7"/>
  <c r="W21" i="7"/>
  <c r="W29" i="7"/>
  <c r="W28" i="7"/>
  <c r="W33" i="7"/>
  <c r="W30" i="7"/>
  <c r="W23" i="7"/>
  <c r="W32" i="7"/>
  <c r="W27" i="7"/>
  <c r="W19" i="7"/>
  <c r="X26" i="7"/>
  <c r="X32" i="7"/>
  <c r="X27" i="7"/>
  <c r="X19" i="7"/>
  <c r="X31" i="7"/>
  <c r="X21" i="7"/>
  <c r="X25" i="7"/>
  <c r="X22" i="7"/>
  <c r="X29" i="7"/>
  <c r="X33" i="7"/>
  <c r="X24" i="7"/>
  <c r="X28" i="7"/>
  <c r="X30" i="7"/>
  <c r="X20" i="7"/>
  <c r="X23" i="7"/>
  <c r="Y27" i="7"/>
  <c r="Y31" i="7"/>
  <c r="Y23" i="7"/>
  <c r="Y20" i="7"/>
  <c r="Y33" i="7"/>
  <c r="Y32" i="7"/>
  <c r="Y30" i="7"/>
  <c r="Y25" i="7"/>
  <c r="Y28" i="7"/>
  <c r="Y22" i="7"/>
  <c r="Y24" i="7"/>
  <c r="Y21" i="7"/>
  <c r="Y26" i="7"/>
  <c r="Y29" i="7"/>
  <c r="Z25" i="7"/>
  <c r="Z29" i="7"/>
  <c r="Z24" i="7"/>
  <c r="Z21" i="7"/>
  <c r="Z30" i="7"/>
  <c r="Z27" i="7"/>
  <c r="Z26" i="7"/>
  <c r="Z22" i="7"/>
  <c r="Z31" i="7"/>
  <c r="Z32" i="7"/>
  <c r="Z28" i="7"/>
  <c r="Z33" i="7"/>
  <c r="Z23" i="7"/>
  <c r="AA22" i="7"/>
  <c r="AA27" i="7"/>
  <c r="AA26" i="7"/>
  <c r="AA29" i="7"/>
  <c r="AA30" i="7"/>
  <c r="AA23" i="7"/>
  <c r="AA25" i="7"/>
  <c r="AA33" i="7"/>
  <c r="AA31" i="7"/>
  <c r="AA28" i="7"/>
  <c r="AA32" i="7"/>
  <c r="AA24" i="7"/>
  <c r="AB23" i="7"/>
  <c r="AB31" i="7"/>
  <c r="AB32" i="7"/>
  <c r="AB33" i="7"/>
  <c r="AB29" i="7"/>
  <c r="AB25" i="7"/>
  <c r="AB26" i="7"/>
  <c r="AB30" i="7"/>
  <c r="AB28" i="7"/>
  <c r="AB27" i="7"/>
  <c r="AB24" i="7"/>
  <c r="AC28" i="7"/>
  <c r="AC33" i="7"/>
  <c r="AC24" i="7"/>
  <c r="AC25" i="7"/>
  <c r="AC32" i="7"/>
  <c r="AC26" i="7"/>
  <c r="AC29" i="7"/>
  <c r="AC31" i="7"/>
  <c r="AC30" i="7"/>
  <c r="AC27" i="7"/>
  <c r="AD27" i="7"/>
  <c r="AD32" i="7"/>
  <c r="AD29" i="7"/>
  <c r="AD28" i="7"/>
  <c r="AD30" i="7"/>
  <c r="AD26" i="7"/>
  <c r="AD31" i="7"/>
  <c r="AD33" i="7"/>
  <c r="AE32" i="7"/>
  <c r="AE30" i="7"/>
  <c r="AE26" i="7"/>
  <c r="AE33" i="7"/>
  <c r="AE31" i="7"/>
  <c r="AE27" i="7"/>
  <c r="AE29" i="7"/>
  <c r="AE28" i="7"/>
  <c r="AF28" i="7"/>
  <c r="AF30" i="7"/>
  <c r="AF32" i="7"/>
  <c r="AF33" i="7"/>
  <c r="AF29" i="7"/>
  <c r="AF31" i="7"/>
  <c r="AG28" i="7"/>
  <c r="AG33" i="7"/>
  <c r="AG30" i="7"/>
  <c r="AG29" i="7"/>
  <c r="AG31" i="7"/>
  <c r="AG32" i="7"/>
  <c r="J29" i="7"/>
  <c r="J32" i="7"/>
  <c r="J30" i="7"/>
  <c r="J31" i="7"/>
  <c r="J33" i="7"/>
  <c r="K30" i="7"/>
  <c r="K32" i="7"/>
  <c r="K31" i="7"/>
  <c r="K33" i="7"/>
  <c r="L33" i="7"/>
  <c r="L32" i="7"/>
  <c r="L31" i="7"/>
  <c r="M33" i="7"/>
  <c r="M32" i="7"/>
  <c r="I152" i="23"/>
  <c r="J152" i="23"/>
  <c r="L154" i="14"/>
  <c r="I154" i="14"/>
  <c r="E150" i="23"/>
  <c r="H152" i="23"/>
  <c r="C152" i="14"/>
  <c r="D152" i="14" s="1"/>
  <c r="E152" i="14" s="1"/>
  <c r="B156" i="18"/>
  <c r="A157" i="18"/>
  <c r="H155" i="4"/>
  <c r="G155" i="4"/>
  <c r="AD150" i="20"/>
  <c r="AE150" i="20" s="1"/>
  <c r="F153" i="14"/>
  <c r="D156" i="16"/>
  <c r="B156" i="16"/>
  <c r="A156" i="16"/>
  <c r="C157" i="16"/>
  <c r="P152" i="14"/>
  <c r="Q152" i="14" s="1"/>
  <c r="R152" i="14"/>
  <c r="M153" i="14"/>
  <c r="N153" i="14" s="1"/>
  <c r="O153" i="14"/>
  <c r="F152" i="23"/>
  <c r="G152" i="23"/>
  <c r="C151" i="23"/>
  <c r="A153" i="23"/>
  <c r="K152" i="23"/>
  <c r="C156" i="18" s="1"/>
  <c r="J153" i="14"/>
  <c r="K153" i="14" s="1"/>
  <c r="E155" i="16"/>
  <c r="AB151" i="20"/>
  <c r="AC151" i="20" s="1"/>
  <c r="J34" i="7" l="1"/>
  <c r="O35" i="7"/>
  <c r="O34" i="7"/>
  <c r="P36" i="7"/>
  <c r="P34" i="7"/>
  <c r="Q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K34" i="7"/>
  <c r="L34" i="7"/>
  <c r="M34" i="7"/>
  <c r="N34" i="7"/>
  <c r="O36" i="7"/>
  <c r="P35" i="7"/>
  <c r="Q35" i="7"/>
  <c r="Q36" i="7"/>
  <c r="R34" i="7"/>
  <c r="R35" i="7"/>
  <c r="R36" i="7"/>
  <c r="S35" i="7"/>
  <c r="S36" i="7"/>
  <c r="T35" i="7"/>
  <c r="T36" i="7"/>
  <c r="U35" i="7"/>
  <c r="U36" i="7"/>
  <c r="V35" i="7"/>
  <c r="V36" i="7"/>
  <c r="W35" i="7"/>
  <c r="W36" i="7"/>
  <c r="X35" i="7"/>
  <c r="X36" i="7"/>
  <c r="Y35" i="7"/>
  <c r="Y36" i="7"/>
  <c r="Z35" i="7"/>
  <c r="Z36" i="7"/>
  <c r="AA36" i="7"/>
  <c r="AA35" i="7"/>
  <c r="AB35" i="7"/>
  <c r="AB36" i="7"/>
  <c r="AC35" i="7"/>
  <c r="AC36" i="7"/>
  <c r="AD35" i="7"/>
  <c r="AD36" i="7"/>
  <c r="AE35" i="7"/>
  <c r="AE36" i="7"/>
  <c r="AF36" i="7"/>
  <c r="AF35" i="7"/>
  <c r="AG36" i="7"/>
  <c r="AG35" i="7"/>
  <c r="J35" i="7"/>
  <c r="J36" i="7"/>
  <c r="K35" i="7"/>
  <c r="K36" i="7"/>
  <c r="L35" i="7"/>
  <c r="L36" i="7"/>
  <c r="M35" i="7"/>
  <c r="M36" i="7"/>
  <c r="N35" i="7"/>
  <c r="AH35" i="7" s="1"/>
  <c r="N36" i="7"/>
  <c r="AH6" i="7"/>
  <c r="I153" i="23"/>
  <c r="J153" i="23"/>
  <c r="AH31" i="7"/>
  <c r="AH9" i="7"/>
  <c r="AH20" i="7"/>
  <c r="AH22" i="7"/>
  <c r="AH26" i="7"/>
  <c r="AH33" i="7"/>
  <c r="AH14" i="7"/>
  <c r="AH21" i="7"/>
  <c r="AH28" i="7"/>
  <c r="AH25" i="7"/>
  <c r="AH17" i="7"/>
  <c r="AH23" i="7"/>
  <c r="AH11" i="7"/>
  <c r="AH30" i="7"/>
  <c r="AH34" i="7"/>
  <c r="AH32" i="7"/>
  <c r="AH19" i="7"/>
  <c r="AH13" i="7"/>
  <c r="AH7" i="7"/>
  <c r="AH10" i="7"/>
  <c r="AH8" i="7"/>
  <c r="AH24" i="7"/>
  <c r="AH27" i="7"/>
  <c r="AH12" i="7"/>
  <c r="AH29" i="7"/>
  <c r="AH18" i="7"/>
  <c r="AH15" i="7"/>
  <c r="AH16" i="7"/>
  <c r="AA151" i="20"/>
  <c r="L155" i="14"/>
  <c r="E151" i="23"/>
  <c r="H153" i="23"/>
  <c r="F154" i="14"/>
  <c r="G154" i="14" s="1"/>
  <c r="H154" i="14" s="1"/>
  <c r="G153" i="23"/>
  <c r="F153" i="23"/>
  <c r="C152" i="23"/>
  <c r="K153" i="23"/>
  <c r="C157" i="18" s="1"/>
  <c r="A154" i="23"/>
  <c r="S152" i="14"/>
  <c r="T152" i="14" s="1"/>
  <c r="E156" i="16"/>
  <c r="H156" i="4"/>
  <c r="G156" i="4"/>
  <c r="B157" i="18"/>
  <c r="A158" i="18"/>
  <c r="C153" i="14"/>
  <c r="AD151" i="20"/>
  <c r="AE151" i="20" s="1"/>
  <c r="AB152" i="20"/>
  <c r="AC152" i="20" s="1"/>
  <c r="M154" i="14"/>
  <c r="N154" i="14" s="1"/>
  <c r="R153" i="14"/>
  <c r="P153" i="14"/>
  <c r="Q153" i="14" s="1"/>
  <c r="I155" i="14"/>
  <c r="J154" i="14"/>
  <c r="K154" i="14" s="1"/>
  <c r="B157" i="16"/>
  <c r="D157" i="16"/>
  <c r="A157" i="16"/>
  <c r="C158" i="16"/>
  <c r="G153" i="14"/>
  <c r="H153" i="14" s="1"/>
  <c r="O154" i="14"/>
  <c r="AH36" i="7" l="1"/>
  <c r="AH37" i="7" s="1"/>
  <c r="I154" i="23"/>
  <c r="J154" i="23"/>
  <c r="C154" i="14"/>
  <c r="AA152" i="20"/>
  <c r="I156" i="14"/>
  <c r="AA153" i="20"/>
  <c r="E152" i="23"/>
  <c r="H154" i="23"/>
  <c r="E157" i="16"/>
  <c r="F155" i="14"/>
  <c r="G155" i="14" s="1"/>
  <c r="H155" i="14" s="1"/>
  <c r="P154" i="14"/>
  <c r="Q154" i="14" s="1"/>
  <c r="B158" i="16"/>
  <c r="A158" i="16"/>
  <c r="D158" i="16"/>
  <c r="C159" i="16"/>
  <c r="G157" i="4"/>
  <c r="H157" i="4"/>
  <c r="J155" i="14"/>
  <c r="K155" i="14" s="1"/>
  <c r="O155" i="14"/>
  <c r="AD152" i="20"/>
  <c r="AE152" i="20" s="1"/>
  <c r="L156" i="14"/>
  <c r="D153" i="14"/>
  <c r="E153" i="14" s="1"/>
  <c r="C153" i="23"/>
  <c r="G154" i="23"/>
  <c r="F154" i="23"/>
  <c r="K154" i="23"/>
  <c r="C158" i="18" s="1"/>
  <c r="A155" i="23"/>
  <c r="AB153" i="20"/>
  <c r="AC153" i="20" s="1"/>
  <c r="D154" i="14"/>
  <c r="E154" i="14" s="1"/>
  <c r="S153" i="14"/>
  <c r="T153" i="14" s="1"/>
  <c r="B158" i="18"/>
  <c r="A159" i="18"/>
  <c r="M155" i="14"/>
  <c r="N155" i="14" s="1"/>
  <c r="R154" i="14"/>
  <c r="I155" i="23" l="1"/>
  <c r="J155" i="23"/>
  <c r="L157" i="14"/>
  <c r="I157" i="14"/>
  <c r="AA154" i="20"/>
  <c r="E158" i="16"/>
  <c r="E153" i="23"/>
  <c r="H155" i="23"/>
  <c r="C155" i="14"/>
  <c r="D155" i="14" s="1"/>
  <c r="E155" i="14" s="1"/>
  <c r="S154" i="14"/>
  <c r="T154" i="14" s="1"/>
  <c r="M156" i="14"/>
  <c r="N156" i="14" s="1"/>
  <c r="B159" i="18"/>
  <c r="A160" i="18"/>
  <c r="F155" i="23"/>
  <c r="C154" i="23"/>
  <c r="G155" i="23"/>
  <c r="K155" i="23"/>
  <c r="C159" i="18" s="1"/>
  <c r="A156" i="23"/>
  <c r="J156" i="14"/>
  <c r="K156" i="14" s="1"/>
  <c r="P155" i="14"/>
  <c r="Q155" i="14" s="1"/>
  <c r="AB154" i="20"/>
  <c r="B159" i="16"/>
  <c r="A159" i="16"/>
  <c r="D159" i="16"/>
  <c r="C160" i="16"/>
  <c r="O156" i="14"/>
  <c r="F156" i="14"/>
  <c r="AD153" i="20"/>
  <c r="AE153" i="20" s="1"/>
  <c r="R155" i="14"/>
  <c r="G158" i="4"/>
  <c r="H158" i="4"/>
  <c r="I156" i="23" l="1"/>
  <c r="J156" i="23"/>
  <c r="L158" i="14"/>
  <c r="E154" i="23"/>
  <c r="H156" i="23"/>
  <c r="O157" i="14"/>
  <c r="P157" i="14" s="1"/>
  <c r="Q157" i="14" s="1"/>
  <c r="E159" i="16"/>
  <c r="R156" i="14"/>
  <c r="S156" i="14" s="1"/>
  <c r="T156" i="14" s="1"/>
  <c r="G159" i="4"/>
  <c r="H159" i="4"/>
  <c r="J157" i="14"/>
  <c r="K157" i="14" s="1"/>
  <c r="C155" i="23"/>
  <c r="F156" i="23"/>
  <c r="G156" i="23"/>
  <c r="K156" i="23"/>
  <c r="C160" i="18" s="1"/>
  <c r="A157" i="23"/>
  <c r="B160" i="18"/>
  <c r="A161" i="18"/>
  <c r="AB155" i="20"/>
  <c r="M157" i="14"/>
  <c r="N157" i="14" s="1"/>
  <c r="G156" i="14"/>
  <c r="H156" i="14" s="1"/>
  <c r="B160" i="16"/>
  <c r="A160" i="16"/>
  <c r="D160" i="16"/>
  <c r="C161" i="16"/>
  <c r="AD154" i="20"/>
  <c r="AC154" i="20"/>
  <c r="S155" i="14"/>
  <c r="T155" i="14" s="1"/>
  <c r="P156" i="14"/>
  <c r="Q156" i="14" s="1"/>
  <c r="I158" i="14"/>
  <c r="C156" i="14"/>
  <c r="I157" i="23" l="1"/>
  <c r="J157" i="23"/>
  <c r="AA155" i="20"/>
  <c r="L159" i="14"/>
  <c r="E155" i="23"/>
  <c r="H157" i="23"/>
  <c r="E160" i="16"/>
  <c r="R157" i="14"/>
  <c r="S157" i="14" s="1"/>
  <c r="T157" i="14" s="1"/>
  <c r="F158" i="14"/>
  <c r="G158" i="14" s="1"/>
  <c r="H158" i="14" s="1"/>
  <c r="I159" i="14"/>
  <c r="B161" i="18"/>
  <c r="A162" i="18"/>
  <c r="G160" i="4"/>
  <c r="H160" i="4"/>
  <c r="AD155" i="20"/>
  <c r="AE154" i="20"/>
  <c r="D156" i="14"/>
  <c r="E156" i="14" s="1"/>
  <c r="J158" i="14"/>
  <c r="K158" i="14" s="1"/>
  <c r="F157" i="14"/>
  <c r="C157" i="14"/>
  <c r="M158" i="14"/>
  <c r="N158" i="14" s="1"/>
  <c r="D161" i="16"/>
  <c r="A161" i="16"/>
  <c r="B161" i="16"/>
  <c r="C162" i="16"/>
  <c r="AB156" i="20"/>
  <c r="AC155" i="20"/>
  <c r="F157" i="23"/>
  <c r="C156" i="23"/>
  <c r="G157" i="23"/>
  <c r="K157" i="23"/>
  <c r="C161" i="18" s="1"/>
  <c r="A158" i="23"/>
  <c r="I158" i="23" l="1"/>
  <c r="J158" i="23"/>
  <c r="I160" i="14"/>
  <c r="AA156" i="20"/>
  <c r="AA157" i="20"/>
  <c r="E156" i="23"/>
  <c r="H158" i="23"/>
  <c r="C158" i="14"/>
  <c r="D158" i="14" s="1"/>
  <c r="E158" i="14" s="1"/>
  <c r="E161" i="16"/>
  <c r="AC156" i="20"/>
  <c r="C157" i="23"/>
  <c r="G158" i="23"/>
  <c r="F158" i="23"/>
  <c r="K158" i="23"/>
  <c r="C162" i="18" s="1"/>
  <c r="A159" i="23"/>
  <c r="D162" i="16"/>
  <c r="B162" i="16"/>
  <c r="A162" i="16"/>
  <c r="C163" i="16"/>
  <c r="O158" i="14"/>
  <c r="R158" i="14"/>
  <c r="B162" i="18"/>
  <c r="A163" i="18"/>
  <c r="AE155" i="20"/>
  <c r="G161" i="4"/>
  <c r="H161" i="4"/>
  <c r="AB157" i="20"/>
  <c r="AC157" i="20" s="1"/>
  <c r="D157" i="14"/>
  <c r="E157" i="14" s="1"/>
  <c r="J159" i="14"/>
  <c r="K159" i="14" s="1"/>
  <c r="AD156" i="20"/>
  <c r="L160" i="14"/>
  <c r="G157" i="14"/>
  <c r="H157" i="14" s="1"/>
  <c r="M159" i="14"/>
  <c r="N159" i="14" s="1"/>
  <c r="I159" i="23" l="1"/>
  <c r="J159" i="23"/>
  <c r="I161" i="14"/>
  <c r="E157" i="23"/>
  <c r="H159" i="23"/>
  <c r="J160" i="14"/>
  <c r="K160" i="14" s="1"/>
  <c r="O159" i="14"/>
  <c r="R159" i="14"/>
  <c r="M160" i="14"/>
  <c r="N160" i="14" s="1"/>
  <c r="G162" i="4"/>
  <c r="H162" i="4"/>
  <c r="P158" i="14"/>
  <c r="Q158" i="14" s="1"/>
  <c r="AE156" i="20"/>
  <c r="O160" i="14"/>
  <c r="S158" i="14"/>
  <c r="T158" i="14" s="1"/>
  <c r="F160" i="14"/>
  <c r="L161" i="14"/>
  <c r="AD157" i="20"/>
  <c r="AE157" i="20" s="1"/>
  <c r="B163" i="18"/>
  <c r="A164" i="18"/>
  <c r="B163" i="16"/>
  <c r="A163" i="16"/>
  <c r="D163" i="16"/>
  <c r="C164" i="16"/>
  <c r="F159" i="23"/>
  <c r="G159" i="23"/>
  <c r="C158" i="23"/>
  <c r="K159" i="23"/>
  <c r="C163" i="18" s="1"/>
  <c r="A160" i="23"/>
  <c r="E162" i="16"/>
  <c r="F159" i="14"/>
  <c r="C159" i="14"/>
  <c r="AB158" i="20"/>
  <c r="AC158" i="20" s="1"/>
  <c r="I160" i="23" l="1"/>
  <c r="J160" i="23"/>
  <c r="AA158" i="20"/>
  <c r="I162" i="14"/>
  <c r="AA159" i="20"/>
  <c r="E163" i="16"/>
  <c r="E158" i="23"/>
  <c r="H160" i="23"/>
  <c r="O161" i="14"/>
  <c r="P161" i="14" s="1"/>
  <c r="Q161" i="14" s="1"/>
  <c r="F161" i="14"/>
  <c r="G161" i="14" s="1"/>
  <c r="H161" i="14" s="1"/>
  <c r="R160" i="14"/>
  <c r="S160" i="14" s="1"/>
  <c r="T160" i="14" s="1"/>
  <c r="L162" i="14"/>
  <c r="AD158" i="20"/>
  <c r="AE158" i="20" s="1"/>
  <c r="J161" i="14"/>
  <c r="K161" i="14" s="1"/>
  <c r="F160" i="23"/>
  <c r="G160" i="23"/>
  <c r="C159" i="23"/>
  <c r="K160" i="23"/>
  <c r="C164" i="18" s="1"/>
  <c r="A161" i="23"/>
  <c r="AB159" i="20"/>
  <c r="AC159" i="20" s="1"/>
  <c r="P160" i="14"/>
  <c r="Q160" i="14" s="1"/>
  <c r="G160" i="14"/>
  <c r="H160" i="14" s="1"/>
  <c r="G163" i="4"/>
  <c r="H163" i="4"/>
  <c r="C160" i="14"/>
  <c r="S159" i="14"/>
  <c r="T159" i="14" s="1"/>
  <c r="D159" i="14"/>
  <c r="E159" i="14" s="1"/>
  <c r="G159" i="14"/>
  <c r="H159" i="14" s="1"/>
  <c r="D164" i="16"/>
  <c r="B164" i="16"/>
  <c r="A164" i="16"/>
  <c r="C165" i="16"/>
  <c r="B164" i="18"/>
  <c r="A165" i="18"/>
  <c r="M161" i="14"/>
  <c r="N161" i="14" s="1"/>
  <c r="P159" i="14"/>
  <c r="Q159" i="14" s="1"/>
  <c r="I161" i="23" l="1"/>
  <c r="J161" i="23"/>
  <c r="L163" i="14"/>
  <c r="I163" i="14"/>
  <c r="E159" i="23"/>
  <c r="H161" i="23"/>
  <c r="O162" i="14"/>
  <c r="P162" i="14" s="1"/>
  <c r="Q162" i="14" s="1"/>
  <c r="R161" i="14"/>
  <c r="S161" i="14" s="1"/>
  <c r="T161" i="14" s="1"/>
  <c r="C161" i="14"/>
  <c r="D161" i="14" s="1"/>
  <c r="E161" i="14" s="1"/>
  <c r="E164" i="16"/>
  <c r="M162" i="14"/>
  <c r="N162" i="14" s="1"/>
  <c r="J162" i="14"/>
  <c r="K162" i="14" s="1"/>
  <c r="B165" i="18"/>
  <c r="A166" i="18"/>
  <c r="D160" i="14"/>
  <c r="E160" i="14" s="1"/>
  <c r="F161" i="23"/>
  <c r="G161" i="23"/>
  <c r="C160" i="23"/>
  <c r="A162" i="23"/>
  <c r="K161" i="23"/>
  <c r="C165" i="18" s="1"/>
  <c r="H164" i="4"/>
  <c r="G164" i="4"/>
  <c r="AD159" i="20"/>
  <c r="AE159" i="20" s="1"/>
  <c r="AB160" i="20"/>
  <c r="AC160" i="20" s="1"/>
  <c r="B165" i="16"/>
  <c r="A165" i="16"/>
  <c r="D165" i="16"/>
  <c r="C166" i="16"/>
  <c r="F162" i="14"/>
  <c r="I162" i="23" l="1"/>
  <c r="J162" i="23"/>
  <c r="AA160" i="20"/>
  <c r="I164" i="14"/>
  <c r="AA161" i="20"/>
  <c r="R162" i="14"/>
  <c r="S162" i="14" s="1"/>
  <c r="T162" i="14" s="1"/>
  <c r="E160" i="23"/>
  <c r="H162" i="23"/>
  <c r="O163" i="14"/>
  <c r="P163" i="14" s="1"/>
  <c r="Q163" i="14" s="1"/>
  <c r="E165" i="16"/>
  <c r="C162" i="14"/>
  <c r="B166" i="18"/>
  <c r="A167" i="18"/>
  <c r="G162" i="14"/>
  <c r="H162" i="14" s="1"/>
  <c r="D166" i="16"/>
  <c r="A166" i="16"/>
  <c r="B166" i="16"/>
  <c r="C167" i="16"/>
  <c r="AD160" i="20"/>
  <c r="AE160" i="20" s="1"/>
  <c r="L164" i="14"/>
  <c r="J163" i="14"/>
  <c r="K163" i="14" s="1"/>
  <c r="G165" i="4"/>
  <c r="H165" i="4"/>
  <c r="AB161" i="20"/>
  <c r="AC161" i="20" s="1"/>
  <c r="M163" i="14"/>
  <c r="N163" i="14" s="1"/>
  <c r="F162" i="23"/>
  <c r="C161" i="23"/>
  <c r="G162" i="23"/>
  <c r="K162" i="23"/>
  <c r="C166" i="18" s="1"/>
  <c r="A163" i="23"/>
  <c r="I163" i="23" l="1"/>
  <c r="J163" i="23"/>
  <c r="R163" i="14"/>
  <c r="S163" i="14" s="1"/>
  <c r="T163" i="14" s="1"/>
  <c r="E161" i="23"/>
  <c r="H163" i="23"/>
  <c r="O164" i="14"/>
  <c r="P164" i="14" s="1"/>
  <c r="Q164" i="14" s="1"/>
  <c r="F163" i="14"/>
  <c r="C163" i="14"/>
  <c r="G166" i="4"/>
  <c r="H166" i="4"/>
  <c r="B167" i="16"/>
  <c r="A167" i="16"/>
  <c r="D167" i="16"/>
  <c r="C168" i="16"/>
  <c r="B167" i="18"/>
  <c r="A168" i="18"/>
  <c r="I165" i="14"/>
  <c r="M164" i="14"/>
  <c r="N164" i="14" s="1"/>
  <c r="AB162" i="20"/>
  <c r="J164" i="14"/>
  <c r="K164" i="14" s="1"/>
  <c r="E166" i="16"/>
  <c r="D162" i="14"/>
  <c r="E162" i="14" s="1"/>
  <c r="AD161" i="20"/>
  <c r="AE161" i="20" s="1"/>
  <c r="L165" i="14"/>
  <c r="G163" i="23"/>
  <c r="F163" i="23"/>
  <c r="C162" i="23"/>
  <c r="K163" i="23"/>
  <c r="C167" i="18" s="1"/>
  <c r="A164" i="23"/>
  <c r="F164" i="14"/>
  <c r="I164" i="23" l="1"/>
  <c r="J164" i="23"/>
  <c r="I166" i="14"/>
  <c r="AA162" i="20"/>
  <c r="AA163" i="20"/>
  <c r="E167" i="16"/>
  <c r="E162" i="23"/>
  <c r="H164" i="23"/>
  <c r="R164" i="14"/>
  <c r="S164" i="14" s="1"/>
  <c r="T164" i="14" s="1"/>
  <c r="D163" i="14"/>
  <c r="E163" i="14" s="1"/>
  <c r="G163" i="14"/>
  <c r="H163" i="14" s="1"/>
  <c r="M165" i="14"/>
  <c r="N165" i="14" s="1"/>
  <c r="J165" i="14"/>
  <c r="K165" i="14" s="1"/>
  <c r="B168" i="18"/>
  <c r="A169" i="18"/>
  <c r="AB163" i="20"/>
  <c r="G164" i="23"/>
  <c r="C163" i="23"/>
  <c r="F164" i="23"/>
  <c r="A165" i="23"/>
  <c r="K164" i="23"/>
  <c r="C168" i="18" s="1"/>
  <c r="F165" i="14"/>
  <c r="G164" i="14"/>
  <c r="H164" i="14" s="1"/>
  <c r="AC162" i="20"/>
  <c r="D168" i="16"/>
  <c r="B168" i="16"/>
  <c r="A168" i="16"/>
  <c r="C169" i="16"/>
  <c r="O165" i="14"/>
  <c r="AD162" i="20"/>
  <c r="L166" i="14"/>
  <c r="C164" i="14"/>
  <c r="G167" i="4"/>
  <c r="H167" i="4"/>
  <c r="I165" i="23" l="1"/>
  <c r="J165" i="23"/>
  <c r="L167" i="14"/>
  <c r="E163" i="23"/>
  <c r="H165" i="23"/>
  <c r="F166" i="14"/>
  <c r="G166" i="14" s="1"/>
  <c r="H166" i="14" s="1"/>
  <c r="M166" i="14"/>
  <c r="N166" i="14" s="1"/>
  <c r="AB164" i="20"/>
  <c r="AC164" i="20" s="1"/>
  <c r="E168" i="16"/>
  <c r="AE162" i="20"/>
  <c r="O166" i="14"/>
  <c r="R165" i="14"/>
  <c r="AC163" i="20"/>
  <c r="P165" i="14"/>
  <c r="Q165" i="14" s="1"/>
  <c r="I167" i="14"/>
  <c r="B169" i="18"/>
  <c r="A170" i="18"/>
  <c r="G165" i="14"/>
  <c r="H165" i="14" s="1"/>
  <c r="H168" i="4"/>
  <c r="G168" i="4"/>
  <c r="D164" i="14"/>
  <c r="E164" i="14" s="1"/>
  <c r="J166" i="14"/>
  <c r="K166" i="14" s="1"/>
  <c r="B169" i="16"/>
  <c r="D169" i="16"/>
  <c r="A169" i="16"/>
  <c r="C170" i="16"/>
  <c r="C165" i="14"/>
  <c r="F165" i="23"/>
  <c r="C164" i="23"/>
  <c r="G165" i="23"/>
  <c r="K165" i="23"/>
  <c r="C169" i="18" s="1"/>
  <c r="A166" i="23"/>
  <c r="AD163" i="20"/>
  <c r="I166" i="23" l="1"/>
  <c r="J166" i="23"/>
  <c r="I168" i="14"/>
  <c r="AA164" i="20"/>
  <c r="E164" i="23"/>
  <c r="H166" i="23"/>
  <c r="R166" i="14"/>
  <c r="S166" i="14" s="1"/>
  <c r="T166" i="14" s="1"/>
  <c r="C166" i="14"/>
  <c r="D166" i="14" s="1"/>
  <c r="E166" i="14" s="1"/>
  <c r="E169" i="16"/>
  <c r="F167" i="14"/>
  <c r="G167" i="14" s="1"/>
  <c r="H167" i="14" s="1"/>
  <c r="B170" i="16"/>
  <c r="D170" i="16"/>
  <c r="A170" i="16"/>
  <c r="C171" i="16"/>
  <c r="G169" i="4"/>
  <c r="H169" i="4"/>
  <c r="J167" i="14"/>
  <c r="K167" i="14" s="1"/>
  <c r="AB165" i="20"/>
  <c r="O167" i="14"/>
  <c r="AE163" i="20"/>
  <c r="F166" i="23"/>
  <c r="C165" i="23"/>
  <c r="G166" i="23"/>
  <c r="K166" i="23"/>
  <c r="C170" i="18" s="1"/>
  <c r="A167" i="23"/>
  <c r="S165" i="14"/>
  <c r="T165" i="14" s="1"/>
  <c r="AD164" i="20"/>
  <c r="AE164" i="20" s="1"/>
  <c r="L168" i="14"/>
  <c r="M167" i="14"/>
  <c r="N167" i="14" s="1"/>
  <c r="D165" i="14"/>
  <c r="E165" i="14" s="1"/>
  <c r="B170" i="18"/>
  <c r="A171" i="18"/>
  <c r="P166" i="14"/>
  <c r="Q166" i="14" s="1"/>
  <c r="I167" i="23" l="1"/>
  <c r="J167" i="23"/>
  <c r="AA165" i="20"/>
  <c r="L169" i="14"/>
  <c r="C167" i="14"/>
  <c r="D167" i="14" s="1"/>
  <c r="E167" i="14" s="1"/>
  <c r="E170" i="16"/>
  <c r="E165" i="23"/>
  <c r="H167" i="23"/>
  <c r="R167" i="14"/>
  <c r="S167" i="14" s="1"/>
  <c r="T167" i="14" s="1"/>
  <c r="M168" i="14"/>
  <c r="N168" i="14" s="1"/>
  <c r="J168" i="14"/>
  <c r="K168" i="14" s="1"/>
  <c r="AD165" i="20"/>
  <c r="AC165" i="20"/>
  <c r="P167" i="14"/>
  <c r="Q167" i="14" s="1"/>
  <c r="O168" i="14"/>
  <c r="B171" i="16"/>
  <c r="D171" i="16"/>
  <c r="A171" i="16"/>
  <c r="C172" i="16"/>
  <c r="I169" i="14"/>
  <c r="G170" i="4"/>
  <c r="H170" i="4"/>
  <c r="B171" i="18"/>
  <c r="A172" i="18"/>
  <c r="F167" i="23"/>
  <c r="C166" i="23"/>
  <c r="G167" i="23"/>
  <c r="K167" i="23"/>
  <c r="C171" i="18" s="1"/>
  <c r="A168" i="23"/>
  <c r="AB166" i="20"/>
  <c r="AC166" i="20" s="1"/>
  <c r="I168" i="23" l="1"/>
  <c r="J168" i="23"/>
  <c r="E171" i="16"/>
  <c r="AA166" i="20"/>
  <c r="I170" i="14"/>
  <c r="E166" i="23"/>
  <c r="H168" i="23"/>
  <c r="F169" i="14"/>
  <c r="G169" i="14" s="1"/>
  <c r="H169" i="14" s="1"/>
  <c r="F168" i="14"/>
  <c r="C168" i="14"/>
  <c r="R168" i="14"/>
  <c r="L170" i="14"/>
  <c r="AD166" i="20"/>
  <c r="AE166" i="20" s="1"/>
  <c r="F168" i="23"/>
  <c r="G168" i="23"/>
  <c r="C167" i="23"/>
  <c r="K168" i="23"/>
  <c r="C172" i="18" s="1"/>
  <c r="A169" i="23"/>
  <c r="H171" i="4"/>
  <c r="G171" i="4"/>
  <c r="J169" i="14"/>
  <c r="K169" i="14" s="1"/>
  <c r="AE165" i="20"/>
  <c r="M169" i="14"/>
  <c r="N169" i="14" s="1"/>
  <c r="B172" i="16"/>
  <c r="A172" i="16"/>
  <c r="D172" i="16"/>
  <c r="C173" i="16"/>
  <c r="P168" i="14"/>
  <c r="Q168" i="14" s="1"/>
  <c r="B172" i="18"/>
  <c r="A173" i="18"/>
  <c r="AB167" i="20"/>
  <c r="AC167" i="20" s="1"/>
  <c r="I169" i="23" l="1"/>
  <c r="J169" i="23"/>
  <c r="AA167" i="20"/>
  <c r="I171" i="14"/>
  <c r="E167" i="23"/>
  <c r="H169" i="23"/>
  <c r="E172" i="16"/>
  <c r="O170" i="14"/>
  <c r="P170" i="14" s="1"/>
  <c r="Q170" i="14" s="1"/>
  <c r="C169" i="14"/>
  <c r="D169" i="14" s="1"/>
  <c r="AD167" i="20"/>
  <c r="AE167" i="20" s="1"/>
  <c r="L171" i="14"/>
  <c r="F170" i="14"/>
  <c r="F169" i="23"/>
  <c r="G169" i="23"/>
  <c r="C168" i="23"/>
  <c r="K169" i="23"/>
  <c r="C173" i="18" s="1"/>
  <c r="A170" i="23"/>
  <c r="O169" i="14"/>
  <c r="R169" i="14"/>
  <c r="H172" i="4"/>
  <c r="G172" i="4"/>
  <c r="M170" i="14"/>
  <c r="N170" i="14" s="1"/>
  <c r="B173" i="18"/>
  <c r="A174" i="18"/>
  <c r="J170" i="14"/>
  <c r="K170" i="14" s="1"/>
  <c r="S168" i="14"/>
  <c r="T168" i="14" s="1"/>
  <c r="D168" i="14"/>
  <c r="E168" i="14" s="1"/>
  <c r="AB168" i="20"/>
  <c r="AC168" i="20" s="1"/>
  <c r="B173" i="16"/>
  <c r="D173" i="16"/>
  <c r="A173" i="16"/>
  <c r="C174" i="16"/>
  <c r="G168" i="14"/>
  <c r="H168" i="14" s="1"/>
  <c r="I170" i="23" l="1"/>
  <c r="J170" i="23"/>
  <c r="AA168" i="20"/>
  <c r="I172" i="14"/>
  <c r="AA169" i="20"/>
  <c r="E168" i="23"/>
  <c r="H170" i="23"/>
  <c r="R170" i="14"/>
  <c r="S170" i="14" s="1"/>
  <c r="T170" i="14" s="1"/>
  <c r="C170" i="14"/>
  <c r="D170" i="14" s="1"/>
  <c r="E170" i="14" s="1"/>
  <c r="E169" i="14"/>
  <c r="O171" i="14"/>
  <c r="P171" i="14" s="1"/>
  <c r="Q171" i="14" s="1"/>
  <c r="E173" i="16"/>
  <c r="F171" i="14"/>
  <c r="G171" i="14" s="1"/>
  <c r="G173" i="4"/>
  <c r="H173" i="4"/>
  <c r="P169" i="14"/>
  <c r="Q169" i="14" s="1"/>
  <c r="B174" i="16"/>
  <c r="A174" i="16"/>
  <c r="D174" i="16"/>
  <c r="C175" i="16"/>
  <c r="L172" i="14"/>
  <c r="AD168" i="20"/>
  <c r="AE168" i="20" s="1"/>
  <c r="G170" i="14"/>
  <c r="H170" i="14" s="1"/>
  <c r="AB169" i="20"/>
  <c r="AC169" i="20" s="1"/>
  <c r="J171" i="14"/>
  <c r="K171" i="14" s="1"/>
  <c r="B174" i="18"/>
  <c r="A175" i="18"/>
  <c r="S169" i="14"/>
  <c r="T169" i="14" s="1"/>
  <c r="C169" i="23"/>
  <c r="G170" i="23"/>
  <c r="F170" i="23"/>
  <c r="K170" i="23"/>
  <c r="C174" i="18" s="1"/>
  <c r="A171" i="23"/>
  <c r="M171" i="14"/>
  <c r="N171" i="14" s="1"/>
  <c r="I171" i="23" l="1"/>
  <c r="J171" i="23"/>
  <c r="L173" i="14"/>
  <c r="AA170" i="20"/>
  <c r="E169" i="23"/>
  <c r="H171" i="23"/>
  <c r="R171" i="14"/>
  <c r="S171" i="14" s="1"/>
  <c r="T171" i="14" s="1"/>
  <c r="O172" i="14"/>
  <c r="P172" i="14" s="1"/>
  <c r="Q172" i="14" s="1"/>
  <c r="E174" i="16"/>
  <c r="H171" i="14"/>
  <c r="F172" i="14"/>
  <c r="G172" i="14" s="1"/>
  <c r="H172" i="14" s="1"/>
  <c r="C171" i="14"/>
  <c r="D171" i="14" s="1"/>
  <c r="E171" i="14" s="1"/>
  <c r="J172" i="14"/>
  <c r="K172" i="14" s="1"/>
  <c r="M172" i="14"/>
  <c r="N172" i="14" s="1"/>
  <c r="D175" i="16"/>
  <c r="A175" i="16"/>
  <c r="B175" i="16"/>
  <c r="C176" i="16"/>
  <c r="G171" i="23"/>
  <c r="C170" i="23"/>
  <c r="F171" i="23"/>
  <c r="K171" i="23"/>
  <c r="C175" i="18" s="1"/>
  <c r="A172" i="23"/>
  <c r="AB170" i="20"/>
  <c r="AC170" i="20" s="1"/>
  <c r="B175" i="18"/>
  <c r="A176" i="18"/>
  <c r="AD169" i="20"/>
  <c r="AE169" i="20" s="1"/>
  <c r="I173" i="14"/>
  <c r="G174" i="4"/>
  <c r="H174" i="4"/>
  <c r="I172" i="23" l="1"/>
  <c r="J172" i="23"/>
  <c r="I174" i="14"/>
  <c r="L174" i="14"/>
  <c r="R172" i="14"/>
  <c r="S172" i="14" s="1"/>
  <c r="T172" i="14" s="1"/>
  <c r="C172" i="14"/>
  <c r="D172" i="14" s="1"/>
  <c r="E172" i="14" s="1"/>
  <c r="E170" i="23"/>
  <c r="H172" i="23"/>
  <c r="F173" i="14"/>
  <c r="G173" i="14" s="1"/>
  <c r="H173" i="14" s="1"/>
  <c r="E175" i="16"/>
  <c r="G175" i="4"/>
  <c r="H175" i="4"/>
  <c r="D176" i="16"/>
  <c r="A176" i="16"/>
  <c r="B176" i="16"/>
  <c r="C177" i="16"/>
  <c r="B176" i="18"/>
  <c r="A177" i="18"/>
  <c r="AD170" i="20"/>
  <c r="AE170" i="20" s="1"/>
  <c r="F172" i="23"/>
  <c r="G172" i="23"/>
  <c r="C171" i="23"/>
  <c r="A173" i="23"/>
  <c r="K172" i="23"/>
  <c r="C176" i="18" s="1"/>
  <c r="AB171" i="20"/>
  <c r="J173" i="14"/>
  <c r="K173" i="14" s="1"/>
  <c r="M173" i="14"/>
  <c r="N173" i="14" s="1"/>
  <c r="I173" i="23" l="1"/>
  <c r="J173" i="23"/>
  <c r="AA171" i="20"/>
  <c r="L175" i="14"/>
  <c r="AA172" i="20"/>
  <c r="C173" i="14"/>
  <c r="D173" i="14" s="1"/>
  <c r="E173" i="14" s="1"/>
  <c r="E171" i="23"/>
  <c r="H173" i="23"/>
  <c r="F174" i="14"/>
  <c r="G174" i="14" s="1"/>
  <c r="H174" i="14" s="1"/>
  <c r="E176" i="16"/>
  <c r="M174" i="14"/>
  <c r="N174" i="14" s="1"/>
  <c r="AC171" i="20"/>
  <c r="AD171" i="20"/>
  <c r="F173" i="23"/>
  <c r="G173" i="23"/>
  <c r="C172" i="23"/>
  <c r="A174" i="23"/>
  <c r="K173" i="23"/>
  <c r="C177" i="18" s="1"/>
  <c r="B177" i="18"/>
  <c r="A178" i="18"/>
  <c r="J174" i="14"/>
  <c r="K174" i="14" s="1"/>
  <c r="B177" i="16"/>
  <c r="A177" i="16"/>
  <c r="D177" i="16"/>
  <c r="C178" i="16"/>
  <c r="AB172" i="20"/>
  <c r="AC172" i="20" s="1"/>
  <c r="I175" i="14"/>
  <c r="O173" i="14"/>
  <c r="R173" i="14"/>
  <c r="G176" i="4"/>
  <c r="H176" i="4"/>
  <c r="I174" i="23" l="1"/>
  <c r="J174" i="23"/>
  <c r="L176" i="14"/>
  <c r="I176" i="14"/>
  <c r="E172" i="23"/>
  <c r="H174" i="23"/>
  <c r="C174" i="14"/>
  <c r="D174" i="14" s="1"/>
  <c r="E174" i="14" s="1"/>
  <c r="E177" i="16"/>
  <c r="F175" i="14"/>
  <c r="G175" i="14" s="1"/>
  <c r="H175" i="14" s="1"/>
  <c r="O174" i="14"/>
  <c r="P174" i="14" s="1"/>
  <c r="Q174" i="14" s="1"/>
  <c r="R174" i="14"/>
  <c r="S173" i="14"/>
  <c r="T173" i="14" s="1"/>
  <c r="B178" i="16"/>
  <c r="D178" i="16"/>
  <c r="A178" i="16"/>
  <c r="C179" i="16"/>
  <c r="P173" i="14"/>
  <c r="Q173" i="14" s="1"/>
  <c r="J175" i="14"/>
  <c r="K175" i="14" s="1"/>
  <c r="AD172" i="20"/>
  <c r="AE172" i="20" s="1"/>
  <c r="C173" i="23"/>
  <c r="F174" i="23"/>
  <c r="G174" i="23"/>
  <c r="K174" i="23"/>
  <c r="C178" i="18" s="1"/>
  <c r="A175" i="23"/>
  <c r="B178" i="18"/>
  <c r="A179" i="18"/>
  <c r="AE171" i="20"/>
  <c r="AB173" i="20"/>
  <c r="AC173" i="20" s="1"/>
  <c r="G177" i="4"/>
  <c r="H177" i="4"/>
  <c r="M175" i="14"/>
  <c r="N175" i="14" s="1"/>
  <c r="I175" i="23" l="1"/>
  <c r="J175" i="23"/>
  <c r="AA173" i="20"/>
  <c r="E173" i="23"/>
  <c r="H175" i="23"/>
  <c r="E178" i="16"/>
  <c r="C175" i="14"/>
  <c r="D175" i="14" s="1"/>
  <c r="E175" i="14" s="1"/>
  <c r="O176" i="14"/>
  <c r="P176" i="14" s="1"/>
  <c r="Q176" i="14" s="1"/>
  <c r="F176" i="14"/>
  <c r="G176" i="14" s="1"/>
  <c r="H176" i="14" s="1"/>
  <c r="S174" i="14"/>
  <c r="T174" i="14" s="1"/>
  <c r="B179" i="18"/>
  <c r="A180" i="18"/>
  <c r="B179" i="16"/>
  <c r="D179" i="16"/>
  <c r="A179" i="16"/>
  <c r="C180" i="16"/>
  <c r="M176" i="14"/>
  <c r="N176" i="14" s="1"/>
  <c r="I177" i="14"/>
  <c r="J176" i="14"/>
  <c r="K176" i="14" s="1"/>
  <c r="G178" i="4"/>
  <c r="H178" i="4"/>
  <c r="G175" i="23"/>
  <c r="C174" i="23"/>
  <c r="F175" i="23"/>
  <c r="K175" i="23"/>
  <c r="C179" i="18" s="1"/>
  <c r="A176" i="23"/>
  <c r="AB174" i="20"/>
  <c r="AC174" i="20" s="1"/>
  <c r="AD173" i="20"/>
  <c r="AE173" i="20" s="1"/>
  <c r="L177" i="14"/>
  <c r="O175" i="14"/>
  <c r="R175" i="14"/>
  <c r="I176" i="23" l="1"/>
  <c r="J176" i="23"/>
  <c r="I178" i="14"/>
  <c r="AA174" i="20"/>
  <c r="AA175" i="20"/>
  <c r="E174" i="23"/>
  <c r="H176" i="23"/>
  <c r="E179" i="16"/>
  <c r="R176" i="14"/>
  <c r="S176" i="14" s="1"/>
  <c r="T176" i="14" s="1"/>
  <c r="C176" i="14"/>
  <c r="D176" i="14" s="1"/>
  <c r="E176" i="14" s="1"/>
  <c r="P175" i="14"/>
  <c r="Q175" i="14" s="1"/>
  <c r="J177" i="14"/>
  <c r="K177" i="14" s="1"/>
  <c r="B180" i="18"/>
  <c r="A181" i="18"/>
  <c r="S175" i="14"/>
  <c r="T175" i="14" s="1"/>
  <c r="O177" i="14"/>
  <c r="F177" i="14"/>
  <c r="AB175" i="20"/>
  <c r="AC175" i="20" s="1"/>
  <c r="AD174" i="20"/>
  <c r="AE174" i="20" s="1"/>
  <c r="L178" i="14"/>
  <c r="C175" i="23"/>
  <c r="F176" i="23"/>
  <c r="G176" i="23"/>
  <c r="K176" i="23"/>
  <c r="C180" i="18" s="1"/>
  <c r="A177" i="23"/>
  <c r="G179" i="4"/>
  <c r="H179" i="4"/>
  <c r="M177" i="14"/>
  <c r="N177" i="14" s="1"/>
  <c r="D180" i="16"/>
  <c r="A180" i="16"/>
  <c r="B180" i="16"/>
  <c r="C181" i="16"/>
  <c r="I177" i="23" l="1"/>
  <c r="J177" i="23"/>
  <c r="I179" i="14"/>
  <c r="E175" i="23"/>
  <c r="H177" i="23"/>
  <c r="C177" i="14"/>
  <c r="D177" i="14" s="1"/>
  <c r="E177" i="14" s="1"/>
  <c r="E180" i="16"/>
  <c r="R177" i="14"/>
  <c r="S177" i="14" s="1"/>
  <c r="T177" i="14" s="1"/>
  <c r="O178" i="14"/>
  <c r="P178" i="14" s="1"/>
  <c r="Q178" i="14" s="1"/>
  <c r="J178" i="14"/>
  <c r="K178" i="14" s="1"/>
  <c r="B181" i="18"/>
  <c r="A182" i="18"/>
  <c r="M178" i="14"/>
  <c r="N178" i="14" s="1"/>
  <c r="G177" i="14"/>
  <c r="H177" i="14" s="1"/>
  <c r="P177" i="14"/>
  <c r="Q177" i="14" s="1"/>
  <c r="AD175" i="20"/>
  <c r="AE175" i="20" s="1"/>
  <c r="L179" i="14"/>
  <c r="F178" i="14"/>
  <c r="AB176" i="20"/>
  <c r="AC176" i="20" s="1"/>
  <c r="F177" i="23"/>
  <c r="G177" i="23"/>
  <c r="C176" i="23"/>
  <c r="K177" i="23"/>
  <c r="C181" i="18" s="1"/>
  <c r="A178" i="23"/>
  <c r="B181" i="16"/>
  <c r="A181" i="16"/>
  <c r="D181" i="16"/>
  <c r="C182" i="16"/>
  <c r="H180" i="4"/>
  <c r="G180" i="4"/>
  <c r="I178" i="23" l="1"/>
  <c r="J178" i="23"/>
  <c r="L180" i="14"/>
  <c r="AA176" i="20"/>
  <c r="AA177" i="20"/>
  <c r="E176" i="23"/>
  <c r="H178" i="23"/>
  <c r="R178" i="14"/>
  <c r="S178" i="14" s="1"/>
  <c r="T178" i="14" s="1"/>
  <c r="C178" i="14"/>
  <c r="D178" i="14" s="1"/>
  <c r="E178" i="14" s="1"/>
  <c r="E181" i="16"/>
  <c r="J179" i="14"/>
  <c r="K179" i="14" s="1"/>
  <c r="AD176" i="20"/>
  <c r="AE176" i="20" s="1"/>
  <c r="I180" i="14"/>
  <c r="AB177" i="20"/>
  <c r="G181" i="4"/>
  <c r="H181" i="4"/>
  <c r="D182" i="16"/>
  <c r="B182" i="16"/>
  <c r="A182" i="16"/>
  <c r="C183" i="16"/>
  <c r="C177" i="23"/>
  <c r="G178" i="23"/>
  <c r="F178" i="23"/>
  <c r="K178" i="23"/>
  <c r="C182" i="18" s="1"/>
  <c r="A179" i="23"/>
  <c r="G178" i="14"/>
  <c r="H178" i="14" s="1"/>
  <c r="M179" i="14"/>
  <c r="N179" i="14" s="1"/>
  <c r="B182" i="18"/>
  <c r="A183" i="18"/>
  <c r="F179" i="14"/>
  <c r="I179" i="23" l="1"/>
  <c r="J179" i="23"/>
  <c r="E182" i="16"/>
  <c r="AA178" i="20"/>
  <c r="E177" i="23"/>
  <c r="H179" i="23"/>
  <c r="O180" i="14"/>
  <c r="P180" i="14" s="1"/>
  <c r="Q180" i="14" s="1"/>
  <c r="O179" i="14"/>
  <c r="P179" i="14" s="1"/>
  <c r="Q179" i="14" s="1"/>
  <c r="R179" i="14"/>
  <c r="S179" i="14" s="1"/>
  <c r="T179" i="14" s="1"/>
  <c r="G179" i="14"/>
  <c r="H179" i="14" s="1"/>
  <c r="L181" i="14"/>
  <c r="AD177" i="20"/>
  <c r="J180" i="14"/>
  <c r="K180" i="14" s="1"/>
  <c r="C178" i="23"/>
  <c r="F179" i="23"/>
  <c r="G179" i="23"/>
  <c r="K179" i="23"/>
  <c r="C183" i="18" s="1"/>
  <c r="A180" i="23"/>
  <c r="AB178" i="20"/>
  <c r="AC178" i="20" s="1"/>
  <c r="B183" i="18"/>
  <c r="A184" i="18"/>
  <c r="C179" i="14"/>
  <c r="AC177" i="20"/>
  <c r="I181" i="14"/>
  <c r="D183" i="16"/>
  <c r="A183" i="16"/>
  <c r="B183" i="16"/>
  <c r="C184" i="16"/>
  <c r="G182" i="4"/>
  <c r="H182" i="4"/>
  <c r="F180" i="14"/>
  <c r="M180" i="14"/>
  <c r="N180" i="14" s="1"/>
  <c r="I180" i="23" l="1"/>
  <c r="J180" i="23"/>
  <c r="L182" i="14"/>
  <c r="I182" i="14"/>
  <c r="E178" i="23"/>
  <c r="H180" i="23"/>
  <c r="R180" i="14"/>
  <c r="S180" i="14" s="1"/>
  <c r="T180" i="14" s="1"/>
  <c r="F181" i="14"/>
  <c r="G181" i="14" s="1"/>
  <c r="H181" i="14" s="1"/>
  <c r="E183" i="16"/>
  <c r="C180" i="14"/>
  <c r="D180" i="14" s="1"/>
  <c r="E180" i="14" s="1"/>
  <c r="B184" i="18"/>
  <c r="A185" i="18"/>
  <c r="AD178" i="20"/>
  <c r="AE178" i="20" s="1"/>
  <c r="C179" i="23"/>
  <c r="F180" i="23"/>
  <c r="G180" i="23"/>
  <c r="K180" i="23"/>
  <c r="C184" i="18" s="1"/>
  <c r="A181" i="23"/>
  <c r="AB179" i="20"/>
  <c r="AC179" i="20" s="1"/>
  <c r="AE177" i="20"/>
  <c r="G183" i="4"/>
  <c r="H183" i="4"/>
  <c r="G180" i="14"/>
  <c r="H180" i="14" s="1"/>
  <c r="B184" i="16"/>
  <c r="D184" i="16"/>
  <c r="A184" i="16"/>
  <c r="C185" i="16"/>
  <c r="J181" i="14"/>
  <c r="K181" i="14" s="1"/>
  <c r="D179" i="14"/>
  <c r="E179" i="14" s="1"/>
  <c r="M181" i="14"/>
  <c r="N181" i="14" s="1"/>
  <c r="I181" i="23" l="1"/>
  <c r="J181" i="23"/>
  <c r="AA179" i="20"/>
  <c r="L183" i="14"/>
  <c r="C181" i="14"/>
  <c r="D181" i="14" s="1"/>
  <c r="E181" i="14" s="1"/>
  <c r="E179" i="23"/>
  <c r="H181" i="23"/>
  <c r="O182" i="14"/>
  <c r="P182" i="14" s="1"/>
  <c r="Q182" i="14" s="1"/>
  <c r="J182" i="14"/>
  <c r="K182" i="14" s="1"/>
  <c r="F182" i="14"/>
  <c r="B185" i="16"/>
  <c r="D185" i="16"/>
  <c r="A185" i="16"/>
  <c r="C186" i="16"/>
  <c r="O181" i="14"/>
  <c r="R181" i="14"/>
  <c r="AD179" i="20"/>
  <c r="AE179" i="20" s="1"/>
  <c r="M182" i="14"/>
  <c r="N182" i="14" s="1"/>
  <c r="E184" i="16"/>
  <c r="H184" i="4"/>
  <c r="G184" i="4"/>
  <c r="G181" i="23"/>
  <c r="C180" i="23"/>
  <c r="F181" i="23"/>
  <c r="A182" i="23"/>
  <c r="K181" i="23"/>
  <c r="C185" i="18" s="1"/>
  <c r="AB180" i="20"/>
  <c r="AC180" i="20" s="1"/>
  <c r="I183" i="14"/>
  <c r="B185" i="18"/>
  <c r="A186" i="18"/>
  <c r="I182" i="23" l="1"/>
  <c r="J182" i="23"/>
  <c r="AA180" i="20"/>
  <c r="L184" i="14"/>
  <c r="R182" i="14"/>
  <c r="S182" i="14" s="1"/>
  <c r="T182" i="14" s="1"/>
  <c r="E180" i="23"/>
  <c r="H182" i="23"/>
  <c r="E185" i="16"/>
  <c r="O183" i="14"/>
  <c r="P183" i="14" s="1"/>
  <c r="Q183" i="14" s="1"/>
  <c r="F183" i="14"/>
  <c r="G183" i="14" s="1"/>
  <c r="H183" i="14" s="1"/>
  <c r="G185" i="4"/>
  <c r="H185" i="4"/>
  <c r="M183" i="14"/>
  <c r="N183" i="14" s="1"/>
  <c r="P181" i="14"/>
  <c r="Q181" i="14" s="1"/>
  <c r="AB181" i="20"/>
  <c r="C181" i="23"/>
  <c r="F182" i="23"/>
  <c r="G182" i="23"/>
  <c r="K182" i="23"/>
  <c r="C186" i="18" s="1"/>
  <c r="A183" i="23"/>
  <c r="C182" i="14"/>
  <c r="B186" i="18"/>
  <c r="A187" i="18"/>
  <c r="I184" i="14"/>
  <c r="J183" i="14"/>
  <c r="K183" i="14" s="1"/>
  <c r="B186" i="16"/>
  <c r="A186" i="16"/>
  <c r="D186" i="16"/>
  <c r="C187" i="16"/>
  <c r="G182" i="14"/>
  <c r="H182" i="14" s="1"/>
  <c r="AD180" i="20"/>
  <c r="AE180" i="20" s="1"/>
  <c r="S181" i="14"/>
  <c r="T181" i="14" s="1"/>
  <c r="I183" i="23" l="1"/>
  <c r="J183" i="23"/>
  <c r="AA181" i="20"/>
  <c r="L185" i="14"/>
  <c r="AA182" i="20"/>
  <c r="E181" i="23"/>
  <c r="H183" i="23"/>
  <c r="R183" i="14"/>
  <c r="S183" i="14" s="1"/>
  <c r="T183" i="14" s="1"/>
  <c r="C183" i="14"/>
  <c r="D183" i="14" s="1"/>
  <c r="E183" i="14" s="1"/>
  <c r="F184" i="14"/>
  <c r="G184" i="14" s="1"/>
  <c r="H184" i="14" s="1"/>
  <c r="E186" i="16"/>
  <c r="J184" i="14"/>
  <c r="K184" i="14" s="1"/>
  <c r="D182" i="14"/>
  <c r="E182" i="14" s="1"/>
  <c r="AD181" i="20"/>
  <c r="O184" i="14"/>
  <c r="G186" i="4"/>
  <c r="H186" i="4"/>
  <c r="M184" i="14"/>
  <c r="N184" i="14" s="1"/>
  <c r="B187" i="16"/>
  <c r="A187" i="16"/>
  <c r="D187" i="16"/>
  <c r="C188" i="16"/>
  <c r="I185" i="14"/>
  <c r="AC181" i="20"/>
  <c r="AB182" i="20"/>
  <c r="AC182" i="20" s="1"/>
  <c r="B187" i="18"/>
  <c r="A188" i="18"/>
  <c r="C182" i="23"/>
  <c r="G183" i="23"/>
  <c r="F183" i="23"/>
  <c r="K183" i="23"/>
  <c r="C187" i="18" s="1"/>
  <c r="A184" i="23"/>
  <c r="I184" i="23" l="1"/>
  <c r="J184" i="23"/>
  <c r="I186" i="14"/>
  <c r="L186" i="14"/>
  <c r="E182" i="23"/>
  <c r="H184" i="23"/>
  <c r="R184" i="14"/>
  <c r="S184" i="14" s="1"/>
  <c r="T184" i="14" s="1"/>
  <c r="E187" i="16"/>
  <c r="C184" i="14"/>
  <c r="D184" i="14" s="1"/>
  <c r="E184" i="14" s="1"/>
  <c r="AD182" i="20"/>
  <c r="AE182" i="20" s="1"/>
  <c r="AE181" i="20"/>
  <c r="A188" i="16"/>
  <c r="D188" i="16"/>
  <c r="B188" i="16"/>
  <c r="C189" i="16"/>
  <c r="F185" i="14"/>
  <c r="H187" i="4"/>
  <c r="G187" i="4"/>
  <c r="J185" i="14"/>
  <c r="K185" i="14" s="1"/>
  <c r="AB183" i="20"/>
  <c r="AC183" i="20" s="1"/>
  <c r="P184" i="14"/>
  <c r="Q184" i="14" s="1"/>
  <c r="B188" i="18"/>
  <c r="A189" i="18"/>
  <c r="F184" i="23"/>
  <c r="C183" i="23"/>
  <c r="G184" i="23"/>
  <c r="K184" i="23"/>
  <c r="C188" i="18" s="1"/>
  <c r="A185" i="23"/>
  <c r="M185" i="14"/>
  <c r="N185" i="14" s="1"/>
  <c r="I185" i="23" l="1"/>
  <c r="J185" i="23"/>
  <c r="L187" i="14"/>
  <c r="AA183" i="20"/>
  <c r="AA184" i="20"/>
  <c r="E183" i="23"/>
  <c r="H185" i="23"/>
  <c r="F186" i="14"/>
  <c r="G186" i="14" s="1"/>
  <c r="H186" i="14" s="1"/>
  <c r="O186" i="14"/>
  <c r="P186" i="14" s="1"/>
  <c r="Q186" i="14" s="1"/>
  <c r="E188" i="16"/>
  <c r="G185" i="23"/>
  <c r="C184" i="23"/>
  <c r="F185" i="23"/>
  <c r="A186" i="23"/>
  <c r="K185" i="23"/>
  <c r="C189" i="18" s="1"/>
  <c r="G185" i="14"/>
  <c r="H185" i="14" s="1"/>
  <c r="AB184" i="20"/>
  <c r="M186" i="14"/>
  <c r="N186" i="14" s="1"/>
  <c r="J186" i="14"/>
  <c r="K186" i="14" s="1"/>
  <c r="B189" i="18"/>
  <c r="A190" i="18"/>
  <c r="AD183" i="20"/>
  <c r="AE183" i="20" s="1"/>
  <c r="B189" i="16"/>
  <c r="D189" i="16"/>
  <c r="A189" i="16"/>
  <c r="C190" i="16"/>
  <c r="C185" i="14"/>
  <c r="I187" i="14"/>
  <c r="H188" i="4"/>
  <c r="G188" i="4"/>
  <c r="O185" i="14"/>
  <c r="R185" i="14"/>
  <c r="I186" i="23" l="1"/>
  <c r="J186" i="23"/>
  <c r="I188" i="14"/>
  <c r="E189" i="16"/>
  <c r="E184" i="23"/>
  <c r="H186" i="23"/>
  <c r="C186" i="14"/>
  <c r="D186" i="14" s="1"/>
  <c r="E186" i="14" s="1"/>
  <c r="R186" i="14"/>
  <c r="S186" i="14" s="1"/>
  <c r="T186" i="14" s="1"/>
  <c r="O187" i="14"/>
  <c r="P187" i="14" s="1"/>
  <c r="Q187" i="14" s="1"/>
  <c r="S185" i="14"/>
  <c r="T185" i="14" s="1"/>
  <c r="P185" i="14"/>
  <c r="Q185" i="14" s="1"/>
  <c r="G189" i="4"/>
  <c r="H189" i="4"/>
  <c r="J187" i="14"/>
  <c r="K187" i="14" s="1"/>
  <c r="B190" i="16"/>
  <c r="A190" i="16"/>
  <c r="D190" i="16"/>
  <c r="C191" i="16"/>
  <c r="AD184" i="20"/>
  <c r="L188" i="14"/>
  <c r="AB185" i="20"/>
  <c r="AC185" i="20" s="1"/>
  <c r="M187" i="14"/>
  <c r="N187" i="14" s="1"/>
  <c r="B190" i="18"/>
  <c r="A191" i="18"/>
  <c r="F186" i="23"/>
  <c r="C185" i="23"/>
  <c r="G186" i="23"/>
  <c r="K186" i="23"/>
  <c r="C190" i="18" s="1"/>
  <c r="A187" i="23"/>
  <c r="AC184" i="20"/>
  <c r="D185" i="14"/>
  <c r="E185" i="14" s="1"/>
  <c r="I187" i="23" l="1"/>
  <c r="J187" i="23"/>
  <c r="AA185" i="20"/>
  <c r="I189" i="14"/>
  <c r="E185" i="23"/>
  <c r="H187" i="23"/>
  <c r="R187" i="14"/>
  <c r="S187" i="14" s="1"/>
  <c r="T187" i="14" s="1"/>
  <c r="F188" i="14"/>
  <c r="G188" i="14" s="1"/>
  <c r="H188" i="14" s="1"/>
  <c r="F187" i="14"/>
  <c r="C187" i="14"/>
  <c r="J188" i="14"/>
  <c r="K188" i="14" s="1"/>
  <c r="B191" i="18"/>
  <c r="A192" i="18"/>
  <c r="L189" i="14"/>
  <c r="AD185" i="20"/>
  <c r="AE185" i="20" s="1"/>
  <c r="D191" i="16"/>
  <c r="A191" i="16"/>
  <c r="B191" i="16"/>
  <c r="C192" i="16"/>
  <c r="AE184" i="20"/>
  <c r="M188" i="14"/>
  <c r="N188" i="14" s="1"/>
  <c r="C186" i="23"/>
  <c r="G187" i="23"/>
  <c r="F187" i="23"/>
  <c r="K187" i="23"/>
  <c r="C191" i="18" s="1"/>
  <c r="A188" i="23"/>
  <c r="AB186" i="20"/>
  <c r="AC186" i="20" s="1"/>
  <c r="E190" i="16"/>
  <c r="G190" i="4"/>
  <c r="H190" i="4"/>
  <c r="I188" i="23" l="1"/>
  <c r="J188" i="23"/>
  <c r="AA186" i="20"/>
  <c r="AA187" i="20"/>
  <c r="C188" i="14"/>
  <c r="D188" i="14" s="1"/>
  <c r="E188" i="14" s="1"/>
  <c r="E186" i="23"/>
  <c r="H188" i="23"/>
  <c r="E191" i="16"/>
  <c r="D187" i="14"/>
  <c r="E187" i="14" s="1"/>
  <c r="G187" i="14"/>
  <c r="H187" i="14" s="1"/>
  <c r="AD186" i="20"/>
  <c r="AE186" i="20" s="1"/>
  <c r="L190" i="14"/>
  <c r="O188" i="14"/>
  <c r="R188" i="14"/>
  <c r="B192" i="18"/>
  <c r="A193" i="18"/>
  <c r="J189" i="14"/>
  <c r="K189" i="14" s="1"/>
  <c r="G191" i="4"/>
  <c r="H191" i="4"/>
  <c r="F189" i="14"/>
  <c r="G188" i="23"/>
  <c r="F188" i="23"/>
  <c r="C187" i="23"/>
  <c r="K188" i="23"/>
  <c r="C192" i="18" s="1"/>
  <c r="A189" i="23"/>
  <c r="AB187" i="20"/>
  <c r="AC187" i="20" s="1"/>
  <c r="A192" i="16"/>
  <c r="D192" i="16"/>
  <c r="B192" i="16"/>
  <c r="C193" i="16"/>
  <c r="I190" i="14"/>
  <c r="M189" i="14"/>
  <c r="N189" i="14" s="1"/>
  <c r="I189" i="23" l="1"/>
  <c r="J189" i="23"/>
  <c r="L191" i="14"/>
  <c r="I191" i="14"/>
  <c r="E187" i="23"/>
  <c r="H189" i="23"/>
  <c r="O189" i="14"/>
  <c r="P189" i="14" s="1"/>
  <c r="Q189" i="14" s="1"/>
  <c r="R189" i="14"/>
  <c r="S189" i="14" s="1"/>
  <c r="T189" i="14" s="1"/>
  <c r="F190" i="14"/>
  <c r="G190" i="14" s="1"/>
  <c r="H190" i="14" s="1"/>
  <c r="C189" i="14"/>
  <c r="D189" i="14" s="1"/>
  <c r="E189" i="14" s="1"/>
  <c r="S188" i="14"/>
  <c r="T188" i="14" s="1"/>
  <c r="J190" i="14"/>
  <c r="K190" i="14" s="1"/>
  <c r="B193" i="16"/>
  <c r="A193" i="16"/>
  <c r="D193" i="16"/>
  <c r="C194" i="16"/>
  <c r="AD187" i="20"/>
  <c r="AE187" i="20" s="1"/>
  <c r="M190" i="14"/>
  <c r="N190" i="14" s="1"/>
  <c r="G189" i="14"/>
  <c r="H189" i="14" s="1"/>
  <c r="P188" i="14"/>
  <c r="Q188" i="14" s="1"/>
  <c r="O190" i="14"/>
  <c r="E192" i="16"/>
  <c r="F189" i="23"/>
  <c r="G189" i="23"/>
  <c r="C188" i="23"/>
  <c r="K189" i="23"/>
  <c r="C193" i="18" s="1"/>
  <c r="A190" i="23"/>
  <c r="G192" i="4"/>
  <c r="H192" i="4"/>
  <c r="AB188" i="20"/>
  <c r="AC188" i="20" s="1"/>
  <c r="B193" i="18"/>
  <c r="A194" i="18"/>
  <c r="I190" i="23" l="1"/>
  <c r="J190" i="23"/>
  <c r="AA188" i="20"/>
  <c r="L192" i="14"/>
  <c r="E188" i="23"/>
  <c r="H190" i="23"/>
  <c r="E193" i="16"/>
  <c r="C190" i="14"/>
  <c r="D190" i="14" s="1"/>
  <c r="E190" i="14" s="1"/>
  <c r="F191" i="14"/>
  <c r="G191" i="14" s="1"/>
  <c r="H191" i="14" s="1"/>
  <c r="AB189" i="20"/>
  <c r="B194" i="16"/>
  <c r="D194" i="16"/>
  <c r="A194" i="16"/>
  <c r="C195" i="16"/>
  <c r="G193" i="4"/>
  <c r="H193" i="4"/>
  <c r="R190" i="14"/>
  <c r="M191" i="14"/>
  <c r="N191" i="14" s="1"/>
  <c r="B194" i="18"/>
  <c r="A195" i="18"/>
  <c r="J191" i="14"/>
  <c r="K191" i="14" s="1"/>
  <c r="G190" i="23"/>
  <c r="C189" i="23"/>
  <c r="F190" i="23"/>
  <c r="K190" i="23"/>
  <c r="C194" i="18" s="1"/>
  <c r="A191" i="23"/>
  <c r="P190" i="14"/>
  <c r="Q190" i="14" s="1"/>
  <c r="AD188" i="20"/>
  <c r="AE188" i="20" s="1"/>
  <c r="I192" i="14"/>
  <c r="O191" i="14"/>
  <c r="I191" i="23" l="1"/>
  <c r="J191" i="23"/>
  <c r="AA189" i="20"/>
  <c r="I193" i="14"/>
  <c r="C191" i="14"/>
  <c r="D191" i="14" s="1"/>
  <c r="E191" i="14" s="1"/>
  <c r="E189" i="23"/>
  <c r="H191" i="23"/>
  <c r="R191" i="14"/>
  <c r="S191" i="14" s="1"/>
  <c r="T191" i="14" s="1"/>
  <c r="AC189" i="20"/>
  <c r="B195" i="18"/>
  <c r="A196" i="18"/>
  <c r="B195" i="16"/>
  <c r="D195" i="16"/>
  <c r="A195" i="16"/>
  <c r="C196" i="16"/>
  <c r="O192" i="14"/>
  <c r="S190" i="14"/>
  <c r="T190" i="14" s="1"/>
  <c r="G194" i="4"/>
  <c r="H194" i="4"/>
  <c r="E194" i="16"/>
  <c r="L193" i="14"/>
  <c r="AD189" i="20"/>
  <c r="J192" i="14"/>
  <c r="K192" i="14" s="1"/>
  <c r="M192" i="14"/>
  <c r="N192" i="14" s="1"/>
  <c r="P191" i="14"/>
  <c r="Q191" i="14" s="1"/>
  <c r="F192" i="14"/>
  <c r="F191" i="23"/>
  <c r="C190" i="23"/>
  <c r="G191" i="23"/>
  <c r="K191" i="23"/>
  <c r="C195" i="18" s="1"/>
  <c r="A192" i="23"/>
  <c r="AB190" i="20"/>
  <c r="AC190" i="20" s="1"/>
  <c r="I192" i="23" l="1"/>
  <c r="J192" i="23"/>
  <c r="AA190" i="20"/>
  <c r="L194" i="14"/>
  <c r="E190" i="23"/>
  <c r="H192" i="23"/>
  <c r="C192" i="14"/>
  <c r="D192" i="14" s="1"/>
  <c r="E192" i="14" s="1"/>
  <c r="E195" i="16"/>
  <c r="F193" i="14"/>
  <c r="G193" i="14" s="1"/>
  <c r="H193" i="14" s="1"/>
  <c r="AD190" i="20"/>
  <c r="AB191" i="20"/>
  <c r="I194" i="14"/>
  <c r="A196" i="16"/>
  <c r="B196" i="16"/>
  <c r="D196" i="16"/>
  <c r="C197" i="16"/>
  <c r="G192" i="14"/>
  <c r="H192" i="14" s="1"/>
  <c r="R192" i="14"/>
  <c r="M193" i="14"/>
  <c r="N193" i="14" s="1"/>
  <c r="G195" i="4"/>
  <c r="H195" i="4"/>
  <c r="AE190" i="20"/>
  <c r="J193" i="14"/>
  <c r="K193" i="14" s="1"/>
  <c r="AE189" i="20"/>
  <c r="P192" i="14"/>
  <c r="Q192" i="14" s="1"/>
  <c r="B196" i="18"/>
  <c r="A197" i="18"/>
  <c r="F192" i="23"/>
  <c r="G192" i="23"/>
  <c r="C191" i="23"/>
  <c r="A193" i="23"/>
  <c r="K192" i="23"/>
  <c r="C196" i="18" s="1"/>
  <c r="I193" i="23" l="1"/>
  <c r="J193" i="23"/>
  <c r="L195" i="14"/>
  <c r="AA191" i="20"/>
  <c r="AA192" i="20"/>
  <c r="E191" i="23"/>
  <c r="H193" i="23"/>
  <c r="E196" i="16"/>
  <c r="C193" i="14"/>
  <c r="D193" i="14" s="1"/>
  <c r="E193" i="14" s="1"/>
  <c r="O194" i="14"/>
  <c r="P194" i="14" s="1"/>
  <c r="Q194" i="14" s="1"/>
  <c r="F194" i="14"/>
  <c r="G194" i="14" s="1"/>
  <c r="H194" i="14" s="1"/>
  <c r="C192" i="23"/>
  <c r="G193" i="23"/>
  <c r="F193" i="23"/>
  <c r="A194" i="23"/>
  <c r="K193" i="23"/>
  <c r="C197" i="18" s="1"/>
  <c r="H196" i="4"/>
  <c r="G196" i="4"/>
  <c r="D197" i="16"/>
  <c r="B197" i="16"/>
  <c r="A197" i="16"/>
  <c r="C198" i="16"/>
  <c r="M194" i="14"/>
  <c r="N194" i="14" s="1"/>
  <c r="AC191" i="20"/>
  <c r="S192" i="14"/>
  <c r="T192" i="14" s="1"/>
  <c r="AD191" i="20"/>
  <c r="B197" i="18"/>
  <c r="A198" i="18"/>
  <c r="O193" i="14"/>
  <c r="R193" i="14"/>
  <c r="AB192" i="20"/>
  <c r="AC192" i="20" s="1"/>
  <c r="I195" i="14"/>
  <c r="J194" i="14"/>
  <c r="K194" i="14" s="1"/>
  <c r="I194" i="23" l="1"/>
  <c r="J194" i="23"/>
  <c r="L196" i="14"/>
  <c r="I196" i="14"/>
  <c r="E192" i="23"/>
  <c r="H194" i="23"/>
  <c r="R194" i="14"/>
  <c r="S194" i="14" s="1"/>
  <c r="T194" i="14" s="1"/>
  <c r="C194" i="14"/>
  <c r="D194" i="14" s="1"/>
  <c r="E194" i="14" s="1"/>
  <c r="E197" i="16"/>
  <c r="F195" i="14"/>
  <c r="G195" i="14" s="1"/>
  <c r="H195" i="14" s="1"/>
  <c r="AD192" i="20"/>
  <c r="AE192" i="20" s="1"/>
  <c r="P193" i="14"/>
  <c r="Q193" i="14" s="1"/>
  <c r="M195" i="14"/>
  <c r="N195" i="14" s="1"/>
  <c r="B198" i="16"/>
  <c r="A198" i="16"/>
  <c r="D198" i="16"/>
  <c r="C199" i="16"/>
  <c r="G197" i="4"/>
  <c r="H197" i="4"/>
  <c r="AB193" i="20"/>
  <c r="AC193" i="20" s="1"/>
  <c r="F194" i="23"/>
  <c r="G194" i="23"/>
  <c r="C193" i="23"/>
  <c r="K194" i="23"/>
  <c r="C198" i="18" s="1"/>
  <c r="A195" i="23"/>
  <c r="S193" i="14"/>
  <c r="T193" i="14" s="1"/>
  <c r="J195" i="14"/>
  <c r="K195" i="14" s="1"/>
  <c r="B198" i="18"/>
  <c r="A199" i="18"/>
  <c r="O195" i="14"/>
  <c r="AE191" i="20"/>
  <c r="I195" i="23" l="1"/>
  <c r="J195" i="23"/>
  <c r="AA193" i="20"/>
  <c r="L197" i="14"/>
  <c r="C195" i="14"/>
  <c r="D195" i="14" s="1"/>
  <c r="E195" i="14" s="1"/>
  <c r="E193" i="23"/>
  <c r="H195" i="23"/>
  <c r="E198" i="16"/>
  <c r="I197" i="14"/>
  <c r="AB194" i="20"/>
  <c r="AC194" i="20" s="1"/>
  <c r="F195" i="23"/>
  <c r="C194" i="23"/>
  <c r="G195" i="23"/>
  <c r="K195" i="23"/>
  <c r="C199" i="18" s="1"/>
  <c r="A196" i="23"/>
  <c r="AD193" i="20"/>
  <c r="AE193" i="20" s="1"/>
  <c r="M196" i="14"/>
  <c r="N196" i="14" s="1"/>
  <c r="P195" i="14"/>
  <c r="Q195" i="14" s="1"/>
  <c r="B199" i="16"/>
  <c r="A199" i="16"/>
  <c r="D199" i="16"/>
  <c r="C200" i="16"/>
  <c r="R195" i="14"/>
  <c r="J196" i="14"/>
  <c r="K196" i="14" s="1"/>
  <c r="B199" i="18"/>
  <c r="A200" i="18"/>
  <c r="F196" i="14"/>
  <c r="G198" i="4"/>
  <c r="H198" i="4"/>
  <c r="I196" i="23" l="1"/>
  <c r="J196" i="23"/>
  <c r="AA194" i="20"/>
  <c r="L198" i="14"/>
  <c r="AA195" i="20"/>
  <c r="E194" i="23"/>
  <c r="H196" i="23"/>
  <c r="E199" i="16"/>
  <c r="F197" i="14"/>
  <c r="G197" i="14" s="1"/>
  <c r="H197" i="14" s="1"/>
  <c r="G196" i="14"/>
  <c r="H196" i="14" s="1"/>
  <c r="G196" i="23"/>
  <c r="C195" i="23"/>
  <c r="F196" i="23"/>
  <c r="A197" i="23"/>
  <c r="K196" i="23"/>
  <c r="C200" i="18" s="1"/>
  <c r="B200" i="18"/>
  <c r="A201" i="18"/>
  <c r="I198" i="14"/>
  <c r="D200" i="16"/>
  <c r="B200" i="16"/>
  <c r="A200" i="16"/>
  <c r="C201" i="16"/>
  <c r="M197" i="14"/>
  <c r="N197" i="14" s="1"/>
  <c r="AD194" i="20"/>
  <c r="AE194" i="20" s="1"/>
  <c r="G199" i="4"/>
  <c r="H199" i="4"/>
  <c r="O196" i="14"/>
  <c r="R196" i="14"/>
  <c r="AB195" i="20"/>
  <c r="AC195" i="20" s="1"/>
  <c r="S195" i="14"/>
  <c r="T195" i="14" s="1"/>
  <c r="C196" i="14"/>
  <c r="J197" i="14"/>
  <c r="K197" i="14" s="1"/>
  <c r="I197" i="23" l="1"/>
  <c r="J197" i="23"/>
  <c r="I199" i="14"/>
  <c r="AA196" i="20"/>
  <c r="E195" i="23"/>
  <c r="H197" i="23"/>
  <c r="C197" i="14"/>
  <c r="D197" i="14" s="1"/>
  <c r="E197" i="14" s="1"/>
  <c r="E200" i="16"/>
  <c r="O198" i="14"/>
  <c r="P198" i="14" s="1"/>
  <c r="Q198" i="14" s="1"/>
  <c r="O197" i="14"/>
  <c r="R197" i="14"/>
  <c r="J198" i="14"/>
  <c r="K198" i="14" s="1"/>
  <c r="B201" i="18"/>
  <c r="A202" i="18"/>
  <c r="AB196" i="20"/>
  <c r="AC196" i="20" s="1"/>
  <c r="S196" i="14"/>
  <c r="T196" i="14" s="1"/>
  <c r="F198" i="14"/>
  <c r="AD195" i="20"/>
  <c r="AE195" i="20" s="1"/>
  <c r="L199" i="14"/>
  <c r="P196" i="14"/>
  <c r="Q196" i="14" s="1"/>
  <c r="D196" i="14"/>
  <c r="E196" i="14" s="1"/>
  <c r="H200" i="4"/>
  <c r="G200" i="4"/>
  <c r="M198" i="14"/>
  <c r="N198" i="14" s="1"/>
  <c r="B201" i="16"/>
  <c r="A201" i="16"/>
  <c r="D201" i="16"/>
  <c r="C202" i="16"/>
  <c r="C196" i="23"/>
  <c r="G197" i="23"/>
  <c r="F197" i="23"/>
  <c r="K197" i="23"/>
  <c r="C201" i="18" s="1"/>
  <c r="A198" i="23"/>
  <c r="I198" i="23" l="1"/>
  <c r="J198" i="23"/>
  <c r="L200" i="14"/>
  <c r="I200" i="14"/>
  <c r="E196" i="23"/>
  <c r="H198" i="23"/>
  <c r="R198" i="14"/>
  <c r="S198" i="14" s="1"/>
  <c r="T198" i="14" s="1"/>
  <c r="F199" i="14"/>
  <c r="G199" i="14" s="1"/>
  <c r="H199" i="14" s="1"/>
  <c r="C198" i="14"/>
  <c r="D198" i="14" s="1"/>
  <c r="E198" i="14" s="1"/>
  <c r="M199" i="14"/>
  <c r="N199" i="14" s="1"/>
  <c r="G198" i="23"/>
  <c r="C197" i="23"/>
  <c r="F198" i="23"/>
  <c r="A199" i="23"/>
  <c r="K198" i="23"/>
  <c r="C202" i="18" s="1"/>
  <c r="E201" i="16"/>
  <c r="G198" i="14"/>
  <c r="H198" i="14" s="1"/>
  <c r="AD196" i="20"/>
  <c r="AE196" i="20" s="1"/>
  <c r="B202" i="16"/>
  <c r="D202" i="16"/>
  <c r="A202" i="16"/>
  <c r="C203" i="16"/>
  <c r="O199" i="14"/>
  <c r="G201" i="4"/>
  <c r="H201" i="4"/>
  <c r="AB197" i="20"/>
  <c r="AC197" i="20" s="1"/>
  <c r="S197" i="14"/>
  <c r="T197" i="14" s="1"/>
  <c r="J199" i="14"/>
  <c r="K199" i="14" s="1"/>
  <c r="B202" i="18"/>
  <c r="A203" i="18"/>
  <c r="P197" i="14"/>
  <c r="Q197" i="14" s="1"/>
  <c r="I199" i="23" l="1"/>
  <c r="J199" i="23"/>
  <c r="AA197" i="20"/>
  <c r="L201" i="14"/>
  <c r="E197" i="23"/>
  <c r="H199" i="23"/>
  <c r="C199" i="14"/>
  <c r="D199" i="14" s="1"/>
  <c r="E199" i="14" s="1"/>
  <c r="O200" i="14"/>
  <c r="P200" i="14" s="1"/>
  <c r="Q200" i="14" s="1"/>
  <c r="F200" i="14"/>
  <c r="G200" i="14" s="1"/>
  <c r="H200" i="14" s="1"/>
  <c r="AD197" i="20"/>
  <c r="AE197" i="20" s="1"/>
  <c r="B203" i="18"/>
  <c r="A204" i="18"/>
  <c r="G202" i="4"/>
  <c r="H202" i="4"/>
  <c r="B203" i="16"/>
  <c r="D203" i="16"/>
  <c r="A203" i="16"/>
  <c r="C204" i="16"/>
  <c r="M200" i="14"/>
  <c r="N200" i="14" s="1"/>
  <c r="I201" i="14"/>
  <c r="P199" i="14"/>
  <c r="Q199" i="14" s="1"/>
  <c r="G199" i="23"/>
  <c r="C198" i="23"/>
  <c r="F199" i="23"/>
  <c r="K199" i="23"/>
  <c r="C203" i="18" s="1"/>
  <c r="A200" i="23"/>
  <c r="E202" i="16"/>
  <c r="AB198" i="20"/>
  <c r="AC198" i="20" s="1"/>
  <c r="J200" i="14"/>
  <c r="K200" i="14" s="1"/>
  <c r="R199" i="14"/>
  <c r="AA198" i="20"/>
  <c r="I200" i="23" l="1"/>
  <c r="J200" i="23"/>
  <c r="R200" i="14"/>
  <c r="S200" i="14" s="1"/>
  <c r="T200" i="14" s="1"/>
  <c r="O201" i="14"/>
  <c r="P201" i="14" s="1"/>
  <c r="Q201" i="14" s="1"/>
  <c r="E198" i="23"/>
  <c r="H200" i="23"/>
  <c r="C200" i="14"/>
  <c r="D200" i="14" s="1"/>
  <c r="E200" i="14" s="1"/>
  <c r="F201" i="14"/>
  <c r="G201" i="14" s="1"/>
  <c r="H201" i="14" s="1"/>
  <c r="E203" i="16"/>
  <c r="A204" i="16"/>
  <c r="D204" i="16"/>
  <c r="B204" i="16"/>
  <c r="C205" i="16"/>
  <c r="S199" i="14"/>
  <c r="T199" i="14" s="1"/>
  <c r="AB199" i="20"/>
  <c r="AC199" i="20" s="1"/>
  <c r="H203" i="4"/>
  <c r="G203" i="4"/>
  <c r="B204" i="18"/>
  <c r="A205" i="18"/>
  <c r="M201" i="14"/>
  <c r="N201" i="14" s="1"/>
  <c r="AD198" i="20"/>
  <c r="AE198" i="20" s="1"/>
  <c r="L202" i="14"/>
  <c r="C199" i="23"/>
  <c r="G200" i="23"/>
  <c r="F200" i="23"/>
  <c r="A201" i="23"/>
  <c r="K200" i="23"/>
  <c r="C204" i="18" s="1"/>
  <c r="I202" i="14"/>
  <c r="J201" i="14"/>
  <c r="K201" i="14" s="1"/>
  <c r="I201" i="23" l="1"/>
  <c r="J201" i="23"/>
  <c r="AA199" i="20"/>
  <c r="R201" i="14"/>
  <c r="S201" i="14" s="1"/>
  <c r="T201" i="14" s="1"/>
  <c r="E199" i="23"/>
  <c r="H201" i="23"/>
  <c r="C201" i="14"/>
  <c r="D201" i="14" s="1"/>
  <c r="E201" i="14" s="1"/>
  <c r="F202" i="14"/>
  <c r="G202" i="14" s="1"/>
  <c r="H202" i="14" s="1"/>
  <c r="E204" i="16"/>
  <c r="H204" i="4"/>
  <c r="G204" i="4"/>
  <c r="AB200" i="20"/>
  <c r="AC200" i="20" s="1"/>
  <c r="I203" i="14"/>
  <c r="O202" i="14"/>
  <c r="AD199" i="20"/>
  <c r="AE199" i="20" s="1"/>
  <c r="L203" i="14"/>
  <c r="M202" i="14"/>
  <c r="N202" i="14" s="1"/>
  <c r="J202" i="14"/>
  <c r="K202" i="14" s="1"/>
  <c r="B205" i="18"/>
  <c r="A206" i="18"/>
  <c r="B205" i="16"/>
  <c r="D205" i="16"/>
  <c r="A205" i="16"/>
  <c r="C206" i="16"/>
  <c r="C200" i="23"/>
  <c r="G201" i="23"/>
  <c r="F201" i="23"/>
  <c r="K201" i="23"/>
  <c r="C205" i="18" s="1"/>
  <c r="A202" i="23"/>
  <c r="I202" i="23" l="1"/>
  <c r="J202" i="23"/>
  <c r="AA200" i="20"/>
  <c r="I204" i="14"/>
  <c r="AA201" i="20"/>
  <c r="C202" i="14"/>
  <c r="D202" i="14" s="1"/>
  <c r="E202" i="14" s="1"/>
  <c r="E200" i="23"/>
  <c r="H202" i="23"/>
  <c r="E205" i="16"/>
  <c r="F203" i="14"/>
  <c r="G203" i="14" s="1"/>
  <c r="H203" i="14" s="1"/>
  <c r="AB201" i="20"/>
  <c r="B206" i="18"/>
  <c r="A207" i="18"/>
  <c r="M203" i="14"/>
  <c r="N203" i="14" s="1"/>
  <c r="O203" i="14"/>
  <c r="F202" i="23"/>
  <c r="G202" i="23"/>
  <c r="C201" i="23"/>
  <c r="K202" i="23"/>
  <c r="C206" i="18" s="1"/>
  <c r="A203" i="23"/>
  <c r="D206" i="16"/>
  <c r="B206" i="16"/>
  <c r="A206" i="16"/>
  <c r="C207" i="16"/>
  <c r="P202" i="14"/>
  <c r="Q202" i="14" s="1"/>
  <c r="AD200" i="20"/>
  <c r="AE200" i="20" s="1"/>
  <c r="L204" i="14"/>
  <c r="R202" i="14"/>
  <c r="J203" i="14"/>
  <c r="K203" i="14" s="1"/>
  <c r="G205" i="4"/>
  <c r="H205" i="4"/>
  <c r="I203" i="23" l="1"/>
  <c r="J203" i="23"/>
  <c r="L205" i="14"/>
  <c r="I205" i="14"/>
  <c r="E201" i="23"/>
  <c r="H203" i="23"/>
  <c r="R203" i="14"/>
  <c r="S203" i="14" s="1"/>
  <c r="T203" i="14" s="1"/>
  <c r="C203" i="14"/>
  <c r="D203" i="14" s="1"/>
  <c r="E203" i="14" s="1"/>
  <c r="M204" i="14"/>
  <c r="N204" i="14" s="1"/>
  <c r="P203" i="14"/>
  <c r="Q203" i="14" s="1"/>
  <c r="AD201" i="20"/>
  <c r="AB202" i="20"/>
  <c r="G206" i="4"/>
  <c r="H206" i="4"/>
  <c r="F204" i="14"/>
  <c r="A207" i="16"/>
  <c r="B207" i="16"/>
  <c r="D207" i="16"/>
  <c r="C208" i="16"/>
  <c r="G203" i="23"/>
  <c r="F203" i="23"/>
  <c r="C202" i="23"/>
  <c r="K203" i="23"/>
  <c r="C207" i="18" s="1"/>
  <c r="A204" i="23"/>
  <c r="J204" i="14"/>
  <c r="K204" i="14" s="1"/>
  <c r="S202" i="14"/>
  <c r="T202" i="14" s="1"/>
  <c r="AC201" i="20"/>
  <c r="E206" i="16"/>
  <c r="B207" i="18"/>
  <c r="A208" i="18"/>
  <c r="I204" i="23" l="1"/>
  <c r="J204" i="23"/>
  <c r="AA202" i="20"/>
  <c r="I206" i="14"/>
  <c r="E202" i="23"/>
  <c r="H204" i="23"/>
  <c r="E207" i="16"/>
  <c r="B208" i="18"/>
  <c r="A209" i="18"/>
  <c r="AB203" i="20"/>
  <c r="AC203" i="20" s="1"/>
  <c r="G207" i="4"/>
  <c r="H207" i="4"/>
  <c r="AE201" i="20"/>
  <c r="J205" i="14"/>
  <c r="K205" i="14" s="1"/>
  <c r="D208" i="16"/>
  <c r="B208" i="16"/>
  <c r="A208" i="16"/>
  <c r="C209" i="16"/>
  <c r="G204" i="14"/>
  <c r="H204" i="14" s="1"/>
  <c r="C204" i="14"/>
  <c r="F205" i="14"/>
  <c r="O204" i="14"/>
  <c r="R204" i="14"/>
  <c r="AC202" i="20"/>
  <c r="G204" i="23"/>
  <c r="F204" i="23"/>
  <c r="C203" i="23"/>
  <c r="K204" i="23"/>
  <c r="C208" i="18" s="1"/>
  <c r="A205" i="23"/>
  <c r="AD202" i="20"/>
  <c r="L206" i="14"/>
  <c r="M205" i="14"/>
  <c r="N205" i="14" s="1"/>
  <c r="I205" i="23" l="1"/>
  <c r="J205" i="23"/>
  <c r="AA203" i="20"/>
  <c r="L207" i="14"/>
  <c r="E203" i="23"/>
  <c r="H205" i="23"/>
  <c r="C205" i="14"/>
  <c r="D205" i="14" s="1"/>
  <c r="E205" i="14" s="1"/>
  <c r="E208" i="16"/>
  <c r="AE202" i="20"/>
  <c r="O206" i="14"/>
  <c r="G205" i="14"/>
  <c r="H205" i="14" s="1"/>
  <c r="B209" i="18"/>
  <c r="A210" i="18"/>
  <c r="F206" i="14"/>
  <c r="D209" i="16"/>
  <c r="B209" i="16"/>
  <c r="A209" i="16"/>
  <c r="C210" i="16"/>
  <c r="AD203" i="20"/>
  <c r="AE203" i="20" s="1"/>
  <c r="C204" i="23"/>
  <c r="G205" i="23"/>
  <c r="F205" i="23"/>
  <c r="A206" i="23"/>
  <c r="K205" i="23"/>
  <c r="C209" i="18" s="1"/>
  <c r="J206" i="14"/>
  <c r="K206" i="14" s="1"/>
  <c r="S204" i="14"/>
  <c r="T204" i="14" s="1"/>
  <c r="D204" i="14"/>
  <c r="E204" i="14" s="1"/>
  <c r="M206" i="14"/>
  <c r="N206" i="14" s="1"/>
  <c r="AB204" i="20"/>
  <c r="AC204" i="20" s="1"/>
  <c r="P204" i="14"/>
  <c r="Q204" i="14" s="1"/>
  <c r="O205" i="14"/>
  <c r="R205" i="14"/>
  <c r="G208" i="4"/>
  <c r="H208" i="4"/>
  <c r="I207" i="14"/>
  <c r="I206" i="23" l="1"/>
  <c r="J206" i="23"/>
  <c r="AA204" i="20"/>
  <c r="AA205" i="20"/>
  <c r="E204" i="23"/>
  <c r="H206" i="23"/>
  <c r="C206" i="14"/>
  <c r="D206" i="14" s="1"/>
  <c r="E206" i="14" s="1"/>
  <c r="R206" i="14"/>
  <c r="S206" i="14" s="1"/>
  <c r="T206" i="14" s="1"/>
  <c r="O207" i="14"/>
  <c r="P207" i="14" s="1"/>
  <c r="Q207" i="14" s="1"/>
  <c r="P205" i="14"/>
  <c r="Q205" i="14" s="1"/>
  <c r="L208" i="14"/>
  <c r="AD204" i="20"/>
  <c r="AE204" i="20" s="1"/>
  <c r="I208" i="14"/>
  <c r="J207" i="14"/>
  <c r="K207" i="14" s="1"/>
  <c r="S205" i="14"/>
  <c r="T205" i="14" s="1"/>
  <c r="E209" i="16"/>
  <c r="B210" i="18"/>
  <c r="A211" i="18"/>
  <c r="P206" i="14"/>
  <c r="Q206" i="14" s="1"/>
  <c r="G209" i="4"/>
  <c r="H209" i="4"/>
  <c r="C205" i="23"/>
  <c r="G206" i="23"/>
  <c r="F206" i="23"/>
  <c r="K206" i="23"/>
  <c r="C210" i="18" s="1"/>
  <c r="A207" i="23"/>
  <c r="AB205" i="20"/>
  <c r="AC205" i="20" s="1"/>
  <c r="F207" i="14"/>
  <c r="M207" i="14"/>
  <c r="N207" i="14" s="1"/>
  <c r="D210" i="16"/>
  <c r="B210" i="16"/>
  <c r="A210" i="16"/>
  <c r="C211" i="16"/>
  <c r="G206" i="14"/>
  <c r="H206" i="14" s="1"/>
  <c r="I207" i="23" l="1"/>
  <c r="J207" i="23"/>
  <c r="I209" i="14"/>
  <c r="L209" i="14"/>
  <c r="E205" i="23"/>
  <c r="H207" i="23"/>
  <c r="F208" i="14"/>
  <c r="G208" i="14" s="1"/>
  <c r="H208" i="14" s="1"/>
  <c r="R207" i="14"/>
  <c r="S207" i="14" s="1"/>
  <c r="T207" i="14" s="1"/>
  <c r="O208" i="14"/>
  <c r="P208" i="14" s="1"/>
  <c r="Q208" i="14" s="1"/>
  <c r="E210" i="16"/>
  <c r="F207" i="23"/>
  <c r="G207" i="23"/>
  <c r="C206" i="23"/>
  <c r="K207" i="23"/>
  <c r="C211" i="18" s="1"/>
  <c r="A208" i="23"/>
  <c r="M208" i="14"/>
  <c r="N208" i="14" s="1"/>
  <c r="AD205" i="20"/>
  <c r="AE205" i="20" s="1"/>
  <c r="C207" i="14"/>
  <c r="G210" i="4"/>
  <c r="H210" i="4"/>
  <c r="J208" i="14"/>
  <c r="K208" i="14" s="1"/>
  <c r="D211" i="16"/>
  <c r="B211" i="16"/>
  <c r="A211" i="16"/>
  <c r="C212" i="16"/>
  <c r="G207" i="14"/>
  <c r="H207" i="14" s="1"/>
  <c r="B211" i="18"/>
  <c r="A212" i="18"/>
  <c r="AB206" i="20"/>
  <c r="AC206" i="20" s="1"/>
  <c r="I208" i="23" l="1"/>
  <c r="J208" i="23"/>
  <c r="AA206" i="20"/>
  <c r="L210" i="14"/>
  <c r="AA207" i="20"/>
  <c r="E206" i="23"/>
  <c r="H208" i="23"/>
  <c r="C208" i="14"/>
  <c r="D208" i="14" s="1"/>
  <c r="E208" i="14" s="1"/>
  <c r="R208" i="14"/>
  <c r="S208" i="14" s="1"/>
  <c r="T208" i="14" s="1"/>
  <c r="J209" i="14"/>
  <c r="K209" i="14" s="1"/>
  <c r="E211" i="16"/>
  <c r="I210" i="14"/>
  <c r="D207" i="14"/>
  <c r="E207" i="14" s="1"/>
  <c r="M209" i="14"/>
  <c r="N209" i="14" s="1"/>
  <c r="B212" i="18"/>
  <c r="A213" i="18"/>
  <c r="G211" i="4"/>
  <c r="H211" i="4"/>
  <c r="G208" i="23"/>
  <c r="F208" i="23"/>
  <c r="C207" i="23"/>
  <c r="K208" i="23"/>
  <c r="C212" i="18" s="1"/>
  <c r="A209" i="23"/>
  <c r="AD206" i="20"/>
  <c r="AE206" i="20" s="1"/>
  <c r="F209" i="14"/>
  <c r="B212" i="16"/>
  <c r="D212" i="16"/>
  <c r="A212" i="16"/>
  <c r="C213" i="16"/>
  <c r="AB207" i="20"/>
  <c r="AC207" i="20" s="1"/>
  <c r="I209" i="23" l="1"/>
  <c r="J209" i="23"/>
  <c r="L211" i="14"/>
  <c r="AA208" i="20"/>
  <c r="E207" i="23"/>
  <c r="H209" i="23"/>
  <c r="E212" i="16"/>
  <c r="O210" i="14"/>
  <c r="P210" i="14" s="1"/>
  <c r="Q210" i="14" s="1"/>
  <c r="O209" i="14"/>
  <c r="P209" i="14" s="1"/>
  <c r="Q209" i="14" s="1"/>
  <c r="R209" i="14"/>
  <c r="S209" i="14" s="1"/>
  <c r="T209" i="14" s="1"/>
  <c r="H212" i="4"/>
  <c r="G212" i="4"/>
  <c r="AD207" i="20"/>
  <c r="AE207" i="20" s="1"/>
  <c r="B213" i="18"/>
  <c r="A214" i="18"/>
  <c r="M210" i="14"/>
  <c r="N210" i="14" s="1"/>
  <c r="G209" i="14"/>
  <c r="H209" i="14" s="1"/>
  <c r="F209" i="23"/>
  <c r="G209" i="23"/>
  <c r="C208" i="23"/>
  <c r="K209" i="23"/>
  <c r="C213" i="18" s="1"/>
  <c r="A210" i="23"/>
  <c r="AB208" i="20"/>
  <c r="J210" i="14"/>
  <c r="K210" i="14" s="1"/>
  <c r="B213" i="16"/>
  <c r="A213" i="16"/>
  <c r="D213" i="16"/>
  <c r="C214" i="16"/>
  <c r="I211" i="14"/>
  <c r="C209" i="14"/>
  <c r="I210" i="23" l="1"/>
  <c r="J210" i="23"/>
  <c r="E213" i="16"/>
  <c r="I212" i="14"/>
  <c r="L212" i="14"/>
  <c r="R210" i="14"/>
  <c r="S210" i="14" s="1"/>
  <c r="T210" i="14" s="1"/>
  <c r="E208" i="23"/>
  <c r="H210" i="23"/>
  <c r="F210" i="14"/>
  <c r="C210" i="14"/>
  <c r="G210" i="23"/>
  <c r="C209" i="23"/>
  <c r="F210" i="23"/>
  <c r="K210" i="23"/>
  <c r="C214" i="18" s="1"/>
  <c r="A211" i="23"/>
  <c r="M211" i="14"/>
  <c r="N211" i="14" s="1"/>
  <c r="F211" i="14"/>
  <c r="J211" i="14"/>
  <c r="K211" i="14" s="1"/>
  <c r="AB209" i="20"/>
  <c r="AC209" i="20" s="1"/>
  <c r="G213" i="4"/>
  <c r="H213" i="4"/>
  <c r="D209" i="14"/>
  <c r="E209" i="14" s="1"/>
  <c r="B214" i="18"/>
  <c r="A215" i="18"/>
  <c r="AD208" i="20"/>
  <c r="AC208" i="20"/>
  <c r="A214" i="16"/>
  <c r="B214" i="16"/>
  <c r="D214" i="16"/>
  <c r="C215" i="16"/>
  <c r="O211" i="14"/>
  <c r="I211" i="23" l="1"/>
  <c r="J211" i="23"/>
  <c r="AA209" i="20"/>
  <c r="I213" i="14"/>
  <c r="E209" i="23"/>
  <c r="H211" i="23"/>
  <c r="C211" i="14"/>
  <c r="D211" i="14" s="1"/>
  <c r="E211" i="14" s="1"/>
  <c r="F212" i="14"/>
  <c r="G212" i="14" s="1"/>
  <c r="H212" i="14" s="1"/>
  <c r="P211" i="14"/>
  <c r="Q211" i="14" s="1"/>
  <c r="M212" i="14"/>
  <c r="N212" i="14" s="1"/>
  <c r="D210" i="14"/>
  <c r="E210" i="14" s="1"/>
  <c r="E214" i="16"/>
  <c r="G214" i="4"/>
  <c r="H214" i="4"/>
  <c r="R211" i="14"/>
  <c r="G210" i="14"/>
  <c r="H210" i="14" s="1"/>
  <c r="AD209" i="20"/>
  <c r="AE209" i="20" s="1"/>
  <c r="L213" i="14"/>
  <c r="AB210" i="20"/>
  <c r="AC210" i="20" s="1"/>
  <c r="D215" i="16"/>
  <c r="B215" i="16"/>
  <c r="A215" i="16"/>
  <c r="C216" i="16"/>
  <c r="AE208" i="20"/>
  <c r="O212" i="14"/>
  <c r="G211" i="14"/>
  <c r="H211" i="14" s="1"/>
  <c r="G211" i="23"/>
  <c r="F211" i="23"/>
  <c r="C210" i="23"/>
  <c r="K211" i="23"/>
  <c r="C215" i="18" s="1"/>
  <c r="A212" i="23"/>
  <c r="B215" i="18"/>
  <c r="A216" i="18"/>
  <c r="J212" i="14"/>
  <c r="K212" i="14" s="1"/>
  <c r="I212" i="23" l="1"/>
  <c r="J212" i="23"/>
  <c r="AA210" i="20"/>
  <c r="L214" i="14"/>
  <c r="AA211" i="20"/>
  <c r="E210" i="23"/>
  <c r="H212" i="23"/>
  <c r="R212" i="14"/>
  <c r="S212" i="14" s="1"/>
  <c r="T212" i="14" s="1"/>
  <c r="C212" i="14"/>
  <c r="D212" i="14" s="1"/>
  <c r="E212" i="14" s="1"/>
  <c r="E215" i="16"/>
  <c r="AD210" i="20"/>
  <c r="AE210" i="20" s="1"/>
  <c r="G215" i="4"/>
  <c r="H215" i="4"/>
  <c r="B216" i="18"/>
  <c r="A217" i="18"/>
  <c r="AB211" i="20"/>
  <c r="B216" i="16"/>
  <c r="A216" i="16"/>
  <c r="D216" i="16"/>
  <c r="C217" i="16"/>
  <c r="J213" i="14"/>
  <c r="K213" i="14" s="1"/>
  <c r="C211" i="23"/>
  <c r="F212" i="23"/>
  <c r="G212" i="23"/>
  <c r="A213" i="23"/>
  <c r="K212" i="23"/>
  <c r="C216" i="18" s="1"/>
  <c r="M213" i="14"/>
  <c r="N213" i="14" s="1"/>
  <c r="O213" i="14"/>
  <c r="I214" i="14"/>
  <c r="P212" i="14"/>
  <c r="Q212" i="14" s="1"/>
  <c r="S211" i="14"/>
  <c r="T211" i="14" s="1"/>
  <c r="I213" i="23" l="1"/>
  <c r="J213" i="23"/>
  <c r="I215" i="14"/>
  <c r="L215" i="14"/>
  <c r="E211" i="23"/>
  <c r="H213" i="23"/>
  <c r="E216" i="16"/>
  <c r="R213" i="14"/>
  <c r="S213" i="14" s="1"/>
  <c r="T213" i="14" s="1"/>
  <c r="J214" i="14"/>
  <c r="K214" i="14" s="1"/>
  <c r="B217" i="16"/>
  <c r="D217" i="16"/>
  <c r="A217" i="16"/>
  <c r="C218" i="16"/>
  <c r="AC211" i="20"/>
  <c r="AB212" i="20"/>
  <c r="AC212" i="20" s="1"/>
  <c r="M214" i="14"/>
  <c r="N214" i="14" s="1"/>
  <c r="AD211" i="20"/>
  <c r="B217" i="18"/>
  <c r="A218" i="18"/>
  <c r="P213" i="14"/>
  <c r="Q213" i="14" s="1"/>
  <c r="H216" i="4"/>
  <c r="G216" i="4"/>
  <c r="F214" i="14"/>
  <c r="F213" i="23"/>
  <c r="G213" i="23"/>
  <c r="C212" i="23"/>
  <c r="K213" i="23"/>
  <c r="C217" i="18" s="1"/>
  <c r="A214" i="23"/>
  <c r="F213" i="14"/>
  <c r="C213" i="14"/>
  <c r="I214" i="23" l="1"/>
  <c r="J214" i="23"/>
  <c r="AA212" i="20"/>
  <c r="I216" i="14"/>
  <c r="AA213" i="20"/>
  <c r="E212" i="23"/>
  <c r="H214" i="23"/>
  <c r="O214" i="14"/>
  <c r="P214" i="14" s="1"/>
  <c r="Q214" i="14" s="1"/>
  <c r="R214" i="14"/>
  <c r="S214" i="14" s="1"/>
  <c r="T214" i="14" s="1"/>
  <c r="G214" i="23"/>
  <c r="F214" i="23"/>
  <c r="C213" i="23"/>
  <c r="A215" i="23"/>
  <c r="K214" i="23"/>
  <c r="C218" i="18" s="1"/>
  <c r="M215" i="14"/>
  <c r="N215" i="14" s="1"/>
  <c r="AD212" i="20"/>
  <c r="AE212" i="20" s="1"/>
  <c r="L216" i="14"/>
  <c r="AE211" i="20"/>
  <c r="AB213" i="20"/>
  <c r="AC213" i="20" s="1"/>
  <c r="J215" i="14"/>
  <c r="K215" i="14" s="1"/>
  <c r="A218" i="16"/>
  <c r="B218" i="16"/>
  <c r="D218" i="16"/>
  <c r="C219" i="16"/>
  <c r="G214" i="14"/>
  <c r="H214" i="14" s="1"/>
  <c r="G217" i="4"/>
  <c r="H217" i="4"/>
  <c r="B218" i="18"/>
  <c r="A219" i="18"/>
  <c r="D213" i="14"/>
  <c r="E213" i="14" s="1"/>
  <c r="G213" i="14"/>
  <c r="H213" i="14" s="1"/>
  <c r="C214" i="14"/>
  <c r="E217" i="16"/>
  <c r="I215" i="23" l="1"/>
  <c r="J215" i="23"/>
  <c r="L217" i="14"/>
  <c r="E213" i="23"/>
  <c r="H215" i="23"/>
  <c r="F216" i="14"/>
  <c r="G216" i="14" s="1"/>
  <c r="H216" i="14" s="1"/>
  <c r="M216" i="14"/>
  <c r="N216" i="14" s="1"/>
  <c r="D214" i="14"/>
  <c r="E214" i="14" s="1"/>
  <c r="B219" i="18"/>
  <c r="A220" i="18"/>
  <c r="D219" i="16"/>
  <c r="B219" i="16"/>
  <c r="A219" i="16"/>
  <c r="C220" i="16"/>
  <c r="O216" i="14"/>
  <c r="O215" i="14"/>
  <c r="R215" i="14"/>
  <c r="I217" i="14"/>
  <c r="E218" i="16"/>
  <c r="F215" i="14"/>
  <c r="C215" i="14"/>
  <c r="J216" i="14"/>
  <c r="K216" i="14" s="1"/>
  <c r="G218" i="4"/>
  <c r="H218" i="4"/>
  <c r="AD213" i="20"/>
  <c r="AE213" i="20" s="1"/>
  <c r="G215" i="23"/>
  <c r="C214" i="23"/>
  <c r="F215" i="23"/>
  <c r="K215" i="23"/>
  <c r="C219" i="18" s="1"/>
  <c r="A216" i="23"/>
  <c r="AB214" i="20"/>
  <c r="AC214" i="20" s="1"/>
  <c r="I216" i="23" l="1"/>
  <c r="J216" i="23"/>
  <c r="AA214" i="20"/>
  <c r="I218" i="14"/>
  <c r="E214" i="23"/>
  <c r="H216" i="23"/>
  <c r="E219" i="16"/>
  <c r="C216" i="14"/>
  <c r="D216" i="14" s="1"/>
  <c r="E216" i="14" s="1"/>
  <c r="F217" i="14"/>
  <c r="G217" i="14" s="1"/>
  <c r="H217" i="14" s="1"/>
  <c r="R216" i="14"/>
  <c r="S216" i="14" s="1"/>
  <c r="H219" i="4"/>
  <c r="G219" i="4"/>
  <c r="P215" i="14"/>
  <c r="Q215" i="14" s="1"/>
  <c r="AD214" i="20"/>
  <c r="AE214" i="20" s="1"/>
  <c r="L218" i="14"/>
  <c r="O217" i="14"/>
  <c r="J217" i="14"/>
  <c r="K217" i="14" s="1"/>
  <c r="S215" i="14"/>
  <c r="T215" i="14" s="1"/>
  <c r="A220" i="16"/>
  <c r="D220" i="16"/>
  <c r="B220" i="16"/>
  <c r="C221" i="16"/>
  <c r="M217" i="14"/>
  <c r="N217" i="14" s="1"/>
  <c r="B220" i="18"/>
  <c r="A221" i="18"/>
  <c r="C215" i="23"/>
  <c r="G216" i="23"/>
  <c r="F216" i="23"/>
  <c r="K216" i="23"/>
  <c r="C220" i="18" s="1"/>
  <c r="A217" i="23"/>
  <c r="G215" i="14"/>
  <c r="H215" i="14" s="1"/>
  <c r="D215" i="14"/>
  <c r="E215" i="14" s="1"/>
  <c r="AB215" i="20"/>
  <c r="AC215" i="20" s="1"/>
  <c r="P216" i="14"/>
  <c r="Q216" i="14" s="1"/>
  <c r="I217" i="23" l="1"/>
  <c r="J217" i="23"/>
  <c r="L219" i="14"/>
  <c r="AA215" i="20"/>
  <c r="E215" i="23"/>
  <c r="H217" i="23"/>
  <c r="C217" i="14"/>
  <c r="D217" i="14" s="1"/>
  <c r="E217" i="14" s="1"/>
  <c r="O218" i="14"/>
  <c r="P218" i="14" s="1"/>
  <c r="Q218" i="14" s="1"/>
  <c r="E220" i="16"/>
  <c r="T216" i="14"/>
  <c r="R217" i="14"/>
  <c r="S217" i="14" s="1"/>
  <c r="T217" i="14" s="1"/>
  <c r="D221" i="16"/>
  <c r="B221" i="16"/>
  <c r="A221" i="16"/>
  <c r="C222" i="16"/>
  <c r="P217" i="14"/>
  <c r="Q217" i="14" s="1"/>
  <c r="M218" i="14"/>
  <c r="N218" i="14" s="1"/>
  <c r="H220" i="4"/>
  <c r="G220" i="4"/>
  <c r="AD215" i="20"/>
  <c r="AE215" i="20" s="1"/>
  <c r="F218" i="14"/>
  <c r="J218" i="14"/>
  <c r="K218" i="14" s="1"/>
  <c r="C216" i="23"/>
  <c r="F217" i="23"/>
  <c r="G217" i="23"/>
  <c r="A218" i="23"/>
  <c r="K217" i="23"/>
  <c r="C221" i="18" s="1"/>
  <c r="B221" i="18"/>
  <c r="A222" i="18"/>
  <c r="I219" i="14"/>
  <c r="AB216" i="20"/>
  <c r="AC216" i="20" s="1"/>
  <c r="I218" i="23" l="1"/>
  <c r="J218" i="23"/>
  <c r="I220" i="14"/>
  <c r="AA216" i="20"/>
  <c r="E216" i="23"/>
  <c r="H218" i="23"/>
  <c r="R218" i="14"/>
  <c r="S218" i="14" s="1"/>
  <c r="T218" i="14" s="1"/>
  <c r="C218" i="14"/>
  <c r="D218" i="14" s="1"/>
  <c r="E218" i="14" s="1"/>
  <c r="E221" i="16"/>
  <c r="O219" i="14"/>
  <c r="P219" i="14" s="1"/>
  <c r="Q219" i="14" s="1"/>
  <c r="G218" i="14"/>
  <c r="H218" i="14" s="1"/>
  <c r="M219" i="14"/>
  <c r="N219" i="14" s="1"/>
  <c r="A222" i="16"/>
  <c r="D222" i="16"/>
  <c r="B222" i="16"/>
  <c r="C223" i="16"/>
  <c r="G221" i="4"/>
  <c r="H221" i="4"/>
  <c r="J219" i="14"/>
  <c r="K219" i="14" s="1"/>
  <c r="AD216" i="20"/>
  <c r="AE216" i="20" s="1"/>
  <c r="L220" i="14"/>
  <c r="F219" i="14"/>
  <c r="G218" i="23"/>
  <c r="F218" i="23"/>
  <c r="C217" i="23"/>
  <c r="K218" i="23"/>
  <c r="C222" i="18" s="1"/>
  <c r="A219" i="23"/>
  <c r="B222" i="18"/>
  <c r="A223" i="18"/>
  <c r="AB217" i="20"/>
  <c r="AC217" i="20" s="1"/>
  <c r="I219" i="23" l="1"/>
  <c r="J219" i="23"/>
  <c r="I221" i="14"/>
  <c r="AA217" i="20"/>
  <c r="E217" i="23"/>
  <c r="H219" i="23"/>
  <c r="O220" i="14"/>
  <c r="P220" i="14" s="1"/>
  <c r="Q220" i="14" s="1"/>
  <c r="R219" i="14"/>
  <c r="S219" i="14" s="1"/>
  <c r="T219" i="14" s="1"/>
  <c r="F220" i="14"/>
  <c r="G220" i="14" s="1"/>
  <c r="H220" i="14" s="1"/>
  <c r="B223" i="18"/>
  <c r="A224" i="18"/>
  <c r="G219" i="14"/>
  <c r="H219" i="14" s="1"/>
  <c r="D223" i="16"/>
  <c r="B223" i="16"/>
  <c r="A223" i="16"/>
  <c r="C224" i="16"/>
  <c r="G219" i="23"/>
  <c r="C218" i="23"/>
  <c r="F219" i="23"/>
  <c r="K219" i="23"/>
  <c r="C223" i="18" s="1"/>
  <c r="A220" i="23"/>
  <c r="M220" i="14"/>
  <c r="N220" i="14" s="1"/>
  <c r="G222" i="4"/>
  <c r="H222" i="4"/>
  <c r="AB218" i="20"/>
  <c r="AC218" i="20" s="1"/>
  <c r="J220" i="14"/>
  <c r="K220" i="14" s="1"/>
  <c r="C219" i="14"/>
  <c r="AD217" i="20"/>
  <c r="AE217" i="20" s="1"/>
  <c r="L221" i="14"/>
  <c r="E222" i="16"/>
  <c r="I220" i="23" l="1"/>
  <c r="J220" i="23"/>
  <c r="AA218" i="20"/>
  <c r="C220" i="14"/>
  <c r="D220" i="14" s="1"/>
  <c r="E220" i="14" s="1"/>
  <c r="R220" i="14"/>
  <c r="S220" i="14" s="1"/>
  <c r="T220" i="14" s="1"/>
  <c r="E218" i="23"/>
  <c r="H220" i="23"/>
  <c r="E223" i="16"/>
  <c r="F221" i="14"/>
  <c r="G221" i="14" s="1"/>
  <c r="H221" i="14" s="1"/>
  <c r="J221" i="14"/>
  <c r="K221" i="14" s="1"/>
  <c r="G223" i="4"/>
  <c r="H223" i="4"/>
  <c r="D219" i="14"/>
  <c r="E219" i="14" s="1"/>
  <c r="AB219" i="20"/>
  <c r="AC219" i="20" s="1"/>
  <c r="B224" i="18"/>
  <c r="A225" i="18"/>
  <c r="D224" i="16"/>
  <c r="B224" i="16"/>
  <c r="A224" i="16"/>
  <c r="C225" i="16"/>
  <c r="AD218" i="20"/>
  <c r="AE218" i="20" s="1"/>
  <c r="L222" i="14"/>
  <c r="G220" i="23"/>
  <c r="C219" i="23"/>
  <c r="F220" i="23"/>
  <c r="K220" i="23"/>
  <c r="C224" i="18" s="1"/>
  <c r="A221" i="23"/>
  <c r="I222" i="14"/>
  <c r="M221" i="14"/>
  <c r="N221" i="14" s="1"/>
  <c r="I221" i="23" l="1"/>
  <c r="J221" i="23"/>
  <c r="L223" i="14"/>
  <c r="AA219" i="20"/>
  <c r="E224" i="16"/>
  <c r="E219" i="23"/>
  <c r="H221" i="23"/>
  <c r="C221" i="14"/>
  <c r="D221" i="14" s="1"/>
  <c r="E221" i="14" s="1"/>
  <c r="O222" i="14"/>
  <c r="P222" i="14" s="1"/>
  <c r="Q222" i="14" s="1"/>
  <c r="O221" i="14"/>
  <c r="R221" i="14"/>
  <c r="F222" i="14"/>
  <c r="D225" i="16"/>
  <c r="B225" i="16"/>
  <c r="A225" i="16"/>
  <c r="C226" i="16"/>
  <c r="AD219" i="20"/>
  <c r="AE219" i="20" s="1"/>
  <c r="J222" i="14"/>
  <c r="K222" i="14" s="1"/>
  <c r="G224" i="4"/>
  <c r="H224" i="4"/>
  <c r="C220" i="23"/>
  <c r="G221" i="23"/>
  <c r="F221" i="23"/>
  <c r="A222" i="23"/>
  <c r="K221" i="23"/>
  <c r="C225" i="18" s="1"/>
  <c r="M222" i="14"/>
  <c r="N222" i="14" s="1"/>
  <c r="B225" i="18"/>
  <c r="A226" i="18"/>
  <c r="AB220" i="20"/>
  <c r="AC220" i="20" s="1"/>
  <c r="I223" i="14"/>
  <c r="I222" i="23" l="1"/>
  <c r="J222" i="23"/>
  <c r="AA220" i="20"/>
  <c r="L224" i="14"/>
  <c r="C222" i="14"/>
  <c r="D222" i="14" s="1"/>
  <c r="E222" i="14" s="1"/>
  <c r="E220" i="23"/>
  <c r="H222" i="23"/>
  <c r="R222" i="14"/>
  <c r="S222" i="14" s="1"/>
  <c r="T222" i="14" s="1"/>
  <c r="E225" i="16"/>
  <c r="S221" i="14"/>
  <c r="T221" i="14" s="1"/>
  <c r="P221" i="14"/>
  <c r="Q221" i="14" s="1"/>
  <c r="AD220" i="20"/>
  <c r="AE220" i="20" s="1"/>
  <c r="D226" i="16"/>
  <c r="B226" i="16"/>
  <c r="A226" i="16"/>
  <c r="C227" i="16"/>
  <c r="I224" i="14"/>
  <c r="F223" i="14"/>
  <c r="B226" i="18"/>
  <c r="A227" i="18"/>
  <c r="G225" i="4"/>
  <c r="H225" i="4"/>
  <c r="M223" i="14"/>
  <c r="N223" i="14" s="1"/>
  <c r="G222" i="14"/>
  <c r="H222" i="14" s="1"/>
  <c r="C221" i="23"/>
  <c r="G222" i="23"/>
  <c r="F222" i="23"/>
  <c r="K222" i="23"/>
  <c r="C226" i="18" s="1"/>
  <c r="A223" i="23"/>
  <c r="AB221" i="20"/>
  <c r="AC221" i="20" s="1"/>
  <c r="J223" i="14"/>
  <c r="K223" i="14" s="1"/>
  <c r="I223" i="23" l="1"/>
  <c r="J223" i="23"/>
  <c r="AA221" i="20"/>
  <c r="I225" i="14"/>
  <c r="AA222" i="20"/>
  <c r="E221" i="23"/>
  <c r="H223" i="23"/>
  <c r="E226" i="16"/>
  <c r="C223" i="14"/>
  <c r="D223" i="14" s="1"/>
  <c r="E223" i="14" s="1"/>
  <c r="O224" i="14"/>
  <c r="P224" i="14" s="1"/>
  <c r="Q224" i="14" s="1"/>
  <c r="G226" i="4"/>
  <c r="H226" i="4"/>
  <c r="AD221" i="20"/>
  <c r="AE221" i="20" s="1"/>
  <c r="L225" i="14"/>
  <c r="F223" i="23"/>
  <c r="G223" i="23"/>
  <c r="C222" i="23"/>
  <c r="K223" i="23"/>
  <c r="C227" i="18" s="1"/>
  <c r="A224" i="23"/>
  <c r="G223" i="14"/>
  <c r="H223" i="14" s="1"/>
  <c r="D227" i="16"/>
  <c r="A227" i="16"/>
  <c r="B227" i="16"/>
  <c r="C228" i="16"/>
  <c r="M224" i="14"/>
  <c r="N224" i="14" s="1"/>
  <c r="J224" i="14"/>
  <c r="K224" i="14" s="1"/>
  <c r="O223" i="14"/>
  <c r="R223" i="14"/>
  <c r="B227" i="18"/>
  <c r="A228" i="18"/>
  <c r="AB222" i="20"/>
  <c r="AC222" i="20" s="1"/>
  <c r="I224" i="23" l="1"/>
  <c r="J224" i="23"/>
  <c r="I226" i="14"/>
  <c r="E222" i="23"/>
  <c r="H224" i="23"/>
  <c r="F225" i="14"/>
  <c r="G225" i="14" s="1"/>
  <c r="H225" i="14" s="1"/>
  <c r="R224" i="14"/>
  <c r="S224" i="14" s="1"/>
  <c r="T224" i="14" s="1"/>
  <c r="O225" i="14"/>
  <c r="P225" i="14" s="1"/>
  <c r="Q225" i="14" s="1"/>
  <c r="AD222" i="20"/>
  <c r="AE222" i="20" s="1"/>
  <c r="L226" i="14"/>
  <c r="P223" i="14"/>
  <c r="Q223" i="14" s="1"/>
  <c r="B228" i="16"/>
  <c r="D228" i="16"/>
  <c r="A228" i="16"/>
  <c r="C229" i="16"/>
  <c r="AB223" i="20"/>
  <c r="AC223" i="20" s="1"/>
  <c r="E227" i="16"/>
  <c r="M225" i="14"/>
  <c r="N225" i="14" s="1"/>
  <c r="G227" i="4"/>
  <c r="H227" i="4"/>
  <c r="B228" i="18"/>
  <c r="A229" i="18"/>
  <c r="F224" i="14"/>
  <c r="C224" i="14"/>
  <c r="S223" i="14"/>
  <c r="T223" i="14" s="1"/>
  <c r="J225" i="14"/>
  <c r="K225" i="14" s="1"/>
  <c r="G224" i="23"/>
  <c r="C223" i="23"/>
  <c r="F224" i="23"/>
  <c r="A225" i="23"/>
  <c r="K224" i="23"/>
  <c r="C228" i="18" s="1"/>
  <c r="I225" i="23" l="1"/>
  <c r="J225" i="23"/>
  <c r="AA223" i="20"/>
  <c r="L227" i="14"/>
  <c r="C225" i="14"/>
  <c r="D225" i="14" s="1"/>
  <c r="E225" i="14" s="1"/>
  <c r="E223" i="23"/>
  <c r="H225" i="23"/>
  <c r="E228" i="16"/>
  <c r="R225" i="14"/>
  <c r="S225" i="14" s="1"/>
  <c r="T225" i="14" s="1"/>
  <c r="O226" i="14"/>
  <c r="P226" i="14" s="1"/>
  <c r="Q226" i="14" s="1"/>
  <c r="F226" i="14"/>
  <c r="G226" i="14" s="1"/>
  <c r="H226" i="14" s="1"/>
  <c r="C224" i="23"/>
  <c r="G225" i="23"/>
  <c r="F225" i="23"/>
  <c r="K225" i="23"/>
  <c r="C229" i="18" s="1"/>
  <c r="A226" i="23"/>
  <c r="G224" i="14"/>
  <c r="H224" i="14" s="1"/>
  <c r="I227" i="14"/>
  <c r="H228" i="4"/>
  <c r="G228" i="4"/>
  <c r="AD223" i="20"/>
  <c r="AE223" i="20" s="1"/>
  <c r="B229" i="16"/>
  <c r="D229" i="16"/>
  <c r="A229" i="16"/>
  <c r="C230" i="16"/>
  <c r="AB224" i="20"/>
  <c r="J226" i="14"/>
  <c r="K226" i="14" s="1"/>
  <c r="B229" i="18"/>
  <c r="A230" i="18"/>
  <c r="M226" i="14"/>
  <c r="N226" i="14" s="1"/>
  <c r="D224" i="14"/>
  <c r="E224" i="14" s="1"/>
  <c r="I226" i="23" l="1"/>
  <c r="J226" i="23"/>
  <c r="AA224" i="20"/>
  <c r="I228" i="14"/>
  <c r="E224" i="23"/>
  <c r="H226" i="23"/>
  <c r="E229" i="16"/>
  <c r="O227" i="14"/>
  <c r="P227" i="14" s="1"/>
  <c r="Q227" i="14" s="1"/>
  <c r="R226" i="14"/>
  <c r="S226" i="14" s="1"/>
  <c r="T226" i="14" s="1"/>
  <c r="C226" i="14"/>
  <c r="D226" i="14" s="1"/>
  <c r="E226" i="14" s="1"/>
  <c r="AB225" i="20"/>
  <c r="AD224" i="20"/>
  <c r="L228" i="14"/>
  <c r="G229" i="4"/>
  <c r="H229" i="4"/>
  <c r="F227" i="14"/>
  <c r="C225" i="23"/>
  <c r="G226" i="23"/>
  <c r="F226" i="23"/>
  <c r="K226" i="23"/>
  <c r="C230" i="18" s="1"/>
  <c r="A227" i="23"/>
  <c r="AC224" i="20"/>
  <c r="AC225" i="20"/>
  <c r="B230" i="18"/>
  <c r="A231" i="18"/>
  <c r="B230" i="16"/>
  <c r="A230" i="16"/>
  <c r="D230" i="16"/>
  <c r="C231" i="16"/>
  <c r="M227" i="14"/>
  <c r="N227" i="14" s="1"/>
  <c r="J227" i="14"/>
  <c r="K227" i="14" s="1"/>
  <c r="I227" i="23" l="1"/>
  <c r="J227" i="23"/>
  <c r="AA225" i="20"/>
  <c r="L229" i="14"/>
  <c r="AA226" i="20"/>
  <c r="R227" i="14"/>
  <c r="S227" i="14" s="1"/>
  <c r="T227" i="14" s="1"/>
  <c r="E225" i="23"/>
  <c r="H227" i="23"/>
  <c r="C227" i="14"/>
  <c r="D227" i="14" s="1"/>
  <c r="E227" i="14" s="1"/>
  <c r="G227" i="14"/>
  <c r="H227" i="14" s="1"/>
  <c r="AD225" i="20"/>
  <c r="AE225" i="20" s="1"/>
  <c r="E230" i="16"/>
  <c r="G227" i="23"/>
  <c r="C226" i="23"/>
  <c r="F227" i="23"/>
  <c r="K227" i="23"/>
  <c r="C231" i="18" s="1"/>
  <c r="A228" i="23"/>
  <c r="G230" i="4"/>
  <c r="H230" i="4"/>
  <c r="M228" i="14"/>
  <c r="N228" i="14" s="1"/>
  <c r="J228" i="14"/>
  <c r="K228" i="14" s="1"/>
  <c r="F228" i="14"/>
  <c r="I229" i="14"/>
  <c r="D231" i="16"/>
  <c r="B231" i="16"/>
  <c r="A231" i="16"/>
  <c r="C232" i="16"/>
  <c r="B231" i="18"/>
  <c r="A232" i="18"/>
  <c r="AE224" i="20"/>
  <c r="O228" i="14"/>
  <c r="AB226" i="20"/>
  <c r="AC226" i="20" s="1"/>
  <c r="I228" i="23" l="1"/>
  <c r="J228" i="23"/>
  <c r="L230" i="14"/>
  <c r="I230" i="14"/>
  <c r="E226" i="23"/>
  <c r="H228" i="23"/>
  <c r="O229" i="14"/>
  <c r="P229" i="14" s="1"/>
  <c r="Q229" i="14" s="1"/>
  <c r="R228" i="14"/>
  <c r="S228" i="14" s="1"/>
  <c r="T228" i="14" s="1"/>
  <c r="E231" i="16"/>
  <c r="AD226" i="20"/>
  <c r="AE226" i="20" s="1"/>
  <c r="C228" i="14"/>
  <c r="P228" i="14"/>
  <c r="Q228" i="14" s="1"/>
  <c r="B232" i="16"/>
  <c r="D232" i="16"/>
  <c r="A232" i="16"/>
  <c r="C233" i="16"/>
  <c r="G231" i="4"/>
  <c r="H231" i="4"/>
  <c r="B232" i="18"/>
  <c r="A233" i="18"/>
  <c r="J229" i="14"/>
  <c r="K229" i="14" s="1"/>
  <c r="F228" i="23"/>
  <c r="C227" i="23"/>
  <c r="G228" i="23"/>
  <c r="A229" i="23"/>
  <c r="K228" i="23"/>
  <c r="C232" i="18" s="1"/>
  <c r="M229" i="14"/>
  <c r="N229" i="14" s="1"/>
  <c r="G228" i="14"/>
  <c r="H228" i="14" s="1"/>
  <c r="AB227" i="20"/>
  <c r="AC227" i="20" s="1"/>
  <c r="I229" i="23" l="1"/>
  <c r="J229" i="23"/>
  <c r="I231" i="14"/>
  <c r="AA227" i="20"/>
  <c r="R229" i="14"/>
  <c r="S229" i="14" s="1"/>
  <c r="T229" i="14" s="1"/>
  <c r="AA228" i="20"/>
  <c r="E227" i="23"/>
  <c r="H229" i="23"/>
  <c r="E232" i="16"/>
  <c r="O230" i="14"/>
  <c r="P230" i="14" s="1"/>
  <c r="Q230" i="14" s="1"/>
  <c r="D233" i="16"/>
  <c r="B233" i="16"/>
  <c r="A233" i="16"/>
  <c r="C234" i="16"/>
  <c r="F229" i="14"/>
  <c r="C229" i="14"/>
  <c r="AB228" i="20"/>
  <c r="AC228" i="20" s="1"/>
  <c r="G229" i="23"/>
  <c r="F229" i="23"/>
  <c r="C228" i="23"/>
  <c r="K229" i="23"/>
  <c r="C233" i="18" s="1"/>
  <c r="A230" i="23"/>
  <c r="H232" i="4"/>
  <c r="G232" i="4"/>
  <c r="D228" i="14"/>
  <c r="E228" i="14" s="1"/>
  <c r="M230" i="14"/>
  <c r="N230" i="14" s="1"/>
  <c r="AD227" i="20"/>
  <c r="AE227" i="20" s="1"/>
  <c r="L231" i="14"/>
  <c r="J230" i="14"/>
  <c r="K230" i="14" s="1"/>
  <c r="B233" i="18"/>
  <c r="A234" i="18"/>
  <c r="F230" i="14"/>
  <c r="I230" i="23" l="1"/>
  <c r="J230" i="23"/>
  <c r="E233" i="16"/>
  <c r="I232" i="14"/>
  <c r="L232" i="14"/>
  <c r="E228" i="23"/>
  <c r="H230" i="23"/>
  <c r="O231" i="14"/>
  <c r="P231" i="14" s="1"/>
  <c r="Q231" i="14" s="1"/>
  <c r="R230" i="14"/>
  <c r="G230" i="14"/>
  <c r="H230" i="14" s="1"/>
  <c r="B234" i="18"/>
  <c r="A235" i="18"/>
  <c r="M231" i="14"/>
  <c r="N231" i="14" s="1"/>
  <c r="G230" i="23"/>
  <c r="F230" i="23"/>
  <c r="C229" i="23"/>
  <c r="A231" i="23"/>
  <c r="K230" i="23"/>
  <c r="C234" i="18" s="1"/>
  <c r="G229" i="14"/>
  <c r="H229" i="14" s="1"/>
  <c r="J231" i="14"/>
  <c r="K231" i="14" s="1"/>
  <c r="AB229" i="20"/>
  <c r="AC229" i="20" s="1"/>
  <c r="F231" i="14"/>
  <c r="A234" i="16"/>
  <c r="B234" i="16"/>
  <c r="D234" i="16"/>
  <c r="C235" i="16"/>
  <c r="G233" i="4"/>
  <c r="H233" i="4"/>
  <c r="AD228" i="20"/>
  <c r="AE228" i="20" s="1"/>
  <c r="C230" i="14"/>
  <c r="D229" i="14"/>
  <c r="E229" i="14" s="1"/>
  <c r="I231" i="23" l="1"/>
  <c r="J231" i="23"/>
  <c r="AA229" i="20"/>
  <c r="I233" i="14"/>
  <c r="E229" i="23"/>
  <c r="H231" i="23"/>
  <c r="R231" i="14"/>
  <c r="S231" i="14" s="1"/>
  <c r="T231" i="14" s="1"/>
  <c r="C231" i="14"/>
  <c r="D231" i="14" s="1"/>
  <c r="E231" i="14" s="1"/>
  <c r="S230" i="14"/>
  <c r="T230" i="14" s="1"/>
  <c r="M232" i="14"/>
  <c r="N232" i="14" s="1"/>
  <c r="AD229" i="20"/>
  <c r="AE229" i="20" s="1"/>
  <c r="L233" i="14"/>
  <c r="AB230" i="20"/>
  <c r="D230" i="14"/>
  <c r="E230" i="14" s="1"/>
  <c r="G234" i="4"/>
  <c r="H234" i="4"/>
  <c r="E234" i="16"/>
  <c r="G231" i="23"/>
  <c r="C230" i="23"/>
  <c r="F231" i="23"/>
  <c r="K231" i="23"/>
  <c r="C235" i="18" s="1"/>
  <c r="A232" i="23"/>
  <c r="B235" i="18"/>
  <c r="A236" i="18"/>
  <c r="B235" i="16"/>
  <c r="A235" i="16"/>
  <c r="D235" i="16"/>
  <c r="C236" i="16"/>
  <c r="G231" i="14"/>
  <c r="H231" i="14" s="1"/>
  <c r="J232" i="14"/>
  <c r="K232" i="14" s="1"/>
  <c r="I232" i="23" l="1"/>
  <c r="J232" i="23"/>
  <c r="L234" i="14"/>
  <c r="AA230" i="20"/>
  <c r="E230" i="23"/>
  <c r="H232" i="23"/>
  <c r="O233" i="14"/>
  <c r="P233" i="14" s="1"/>
  <c r="Q233" i="14" s="1"/>
  <c r="O232" i="14"/>
  <c r="R232" i="14"/>
  <c r="E235" i="16"/>
  <c r="B236" i="18"/>
  <c r="A237" i="18"/>
  <c r="J233" i="14"/>
  <c r="K233" i="14" s="1"/>
  <c r="AC230" i="20"/>
  <c r="A236" i="16"/>
  <c r="B236" i="16"/>
  <c r="D236" i="16"/>
  <c r="C237" i="16"/>
  <c r="C231" i="23"/>
  <c r="G232" i="23"/>
  <c r="F232" i="23"/>
  <c r="K232" i="23"/>
  <c r="C236" i="18" s="1"/>
  <c r="A233" i="23"/>
  <c r="F232" i="14"/>
  <c r="C232" i="14"/>
  <c r="M233" i="14"/>
  <c r="N233" i="14" s="1"/>
  <c r="AB231" i="20"/>
  <c r="AC231" i="20" s="1"/>
  <c r="H235" i="4"/>
  <c r="G235" i="4"/>
  <c r="AD230" i="20"/>
  <c r="I234" i="14"/>
  <c r="AA231" i="20" l="1"/>
  <c r="I233" i="23"/>
  <c r="J233" i="23"/>
  <c r="L235" i="14"/>
  <c r="R233" i="14"/>
  <c r="S233" i="14" s="1"/>
  <c r="T233" i="14" s="1"/>
  <c r="E231" i="23"/>
  <c r="H233" i="23"/>
  <c r="F234" i="14"/>
  <c r="G234" i="14" s="1"/>
  <c r="H234" i="14" s="1"/>
  <c r="E236" i="16"/>
  <c r="I235" i="14"/>
  <c r="F233" i="14"/>
  <c r="C233" i="14"/>
  <c r="M234" i="14"/>
  <c r="N234" i="14" s="1"/>
  <c r="D232" i="14"/>
  <c r="E232" i="14" s="1"/>
  <c r="AB232" i="20"/>
  <c r="AC232" i="20" s="1"/>
  <c r="B237" i="18"/>
  <c r="A238" i="18"/>
  <c r="P232" i="14"/>
  <c r="Q232" i="14" s="1"/>
  <c r="C232" i="23"/>
  <c r="F233" i="23"/>
  <c r="G233" i="23"/>
  <c r="K233" i="23"/>
  <c r="C237" i="18" s="1"/>
  <c r="A234" i="23"/>
  <c r="H236" i="4"/>
  <c r="G236" i="4"/>
  <c r="S232" i="14"/>
  <c r="T232" i="14" s="1"/>
  <c r="AD231" i="20"/>
  <c r="AE231" i="20" s="1"/>
  <c r="G232" i="14"/>
  <c r="H232" i="14" s="1"/>
  <c r="J234" i="14"/>
  <c r="K234" i="14" s="1"/>
  <c r="D237" i="16"/>
  <c r="A237" i="16"/>
  <c r="B237" i="16"/>
  <c r="C238" i="16"/>
  <c r="AE230" i="20"/>
  <c r="O234" i="14"/>
  <c r="AA232" i="20" l="1"/>
  <c r="I236" i="14"/>
  <c r="I234" i="23"/>
  <c r="J234" i="23"/>
  <c r="C234" i="14"/>
  <c r="D234" i="14" s="1"/>
  <c r="E234" i="14" s="1"/>
  <c r="E232" i="23"/>
  <c r="H234" i="23"/>
  <c r="E237" i="16"/>
  <c r="O235" i="14"/>
  <c r="P235" i="14" s="1"/>
  <c r="G237" i="4"/>
  <c r="H237" i="4"/>
  <c r="P234" i="14"/>
  <c r="Q234" i="14" s="1"/>
  <c r="AB233" i="20"/>
  <c r="C233" i="23"/>
  <c r="F234" i="23"/>
  <c r="G234" i="23"/>
  <c r="K234" i="23"/>
  <c r="C238" i="18" s="1"/>
  <c r="A235" i="23"/>
  <c r="G233" i="14"/>
  <c r="H233" i="14" s="1"/>
  <c r="M235" i="14"/>
  <c r="N235" i="14" s="1"/>
  <c r="J235" i="14"/>
  <c r="K235" i="14" s="1"/>
  <c r="D238" i="16"/>
  <c r="B238" i="16"/>
  <c r="A238" i="16"/>
  <c r="C239" i="16"/>
  <c r="F235" i="14"/>
  <c r="AD232" i="20"/>
  <c r="AE232" i="20" s="1"/>
  <c r="L236" i="14"/>
  <c r="R234" i="14"/>
  <c r="B238" i="18"/>
  <c r="A239" i="18"/>
  <c r="D233" i="14"/>
  <c r="E233" i="14" s="1"/>
  <c r="AA233" i="20" l="1"/>
  <c r="I235" i="23"/>
  <c r="J235" i="23"/>
  <c r="L237" i="14"/>
  <c r="AA234" i="20"/>
  <c r="E233" i="23"/>
  <c r="H235" i="23"/>
  <c r="C235" i="14"/>
  <c r="D235" i="14" s="1"/>
  <c r="E235" i="14" s="1"/>
  <c r="R235" i="14"/>
  <c r="S235" i="14" s="1"/>
  <c r="T235" i="14" s="1"/>
  <c r="Q235" i="14"/>
  <c r="O236" i="14"/>
  <c r="P236" i="14" s="1"/>
  <c r="Q236" i="14" s="1"/>
  <c r="F236" i="14"/>
  <c r="G236" i="14" s="1"/>
  <c r="H236" i="14" s="1"/>
  <c r="I237" i="14"/>
  <c r="AB234" i="20"/>
  <c r="AC234" i="20" s="1"/>
  <c r="E238" i="16"/>
  <c r="C234" i="23"/>
  <c r="G235" i="23"/>
  <c r="F235" i="23"/>
  <c r="K235" i="23"/>
  <c r="C239" i="18" s="1"/>
  <c r="A236" i="23"/>
  <c r="B239" i="18"/>
  <c r="A240" i="18"/>
  <c r="AD233" i="20"/>
  <c r="AC233" i="20"/>
  <c r="S234" i="14"/>
  <c r="T234" i="14" s="1"/>
  <c r="G235" i="14"/>
  <c r="H235" i="14" s="1"/>
  <c r="M236" i="14"/>
  <c r="N236" i="14" s="1"/>
  <c r="D239" i="16"/>
  <c r="B239" i="16"/>
  <c r="A239" i="16"/>
  <c r="C240" i="16"/>
  <c r="J236" i="14"/>
  <c r="K236" i="14" s="1"/>
  <c r="G238" i="4"/>
  <c r="H238" i="4"/>
  <c r="I236" i="23" l="1"/>
  <c r="J236" i="23"/>
  <c r="I238" i="14"/>
  <c r="L238" i="14"/>
  <c r="E239" i="16"/>
  <c r="E234" i="23"/>
  <c r="H236" i="23"/>
  <c r="R236" i="14"/>
  <c r="S236" i="14" s="1"/>
  <c r="T236" i="14" s="1"/>
  <c r="C236" i="14"/>
  <c r="M237" i="14"/>
  <c r="N237" i="14" s="1"/>
  <c r="AB235" i="20"/>
  <c r="AC235" i="20" s="1"/>
  <c r="B240" i="18"/>
  <c r="A241" i="18"/>
  <c r="G239" i="4"/>
  <c r="H239" i="4"/>
  <c r="B240" i="16"/>
  <c r="D240" i="16"/>
  <c r="A240" i="16"/>
  <c r="C241" i="16"/>
  <c r="AD234" i="20"/>
  <c r="AE234" i="20" s="1"/>
  <c r="J237" i="14"/>
  <c r="K237" i="14" s="1"/>
  <c r="AE233" i="20"/>
  <c r="O237" i="14"/>
  <c r="G236" i="23"/>
  <c r="C235" i="23"/>
  <c r="F236" i="23"/>
  <c r="K236" i="23"/>
  <c r="C240" i="18" s="1"/>
  <c r="A237" i="23"/>
  <c r="I237" i="23" l="1"/>
  <c r="J237" i="23"/>
  <c r="AA235" i="20"/>
  <c r="E240" i="16"/>
  <c r="I239" i="14"/>
  <c r="E235" i="23"/>
  <c r="H237" i="23"/>
  <c r="D236" i="14"/>
  <c r="E236" i="14" s="1"/>
  <c r="F237" i="14"/>
  <c r="C237" i="14"/>
  <c r="P237" i="14"/>
  <c r="Q237" i="14" s="1"/>
  <c r="R237" i="14"/>
  <c r="B241" i="16"/>
  <c r="A241" i="16"/>
  <c r="D241" i="16"/>
  <c r="C242" i="16"/>
  <c r="G240" i="4"/>
  <c r="H240" i="4"/>
  <c r="O238" i="14"/>
  <c r="AD235" i="20"/>
  <c r="AE235" i="20" s="1"/>
  <c r="L239" i="14"/>
  <c r="C236" i="23"/>
  <c r="G237" i="23"/>
  <c r="F237" i="23"/>
  <c r="K237" i="23"/>
  <c r="C241" i="18" s="1"/>
  <c r="A238" i="23"/>
  <c r="AB236" i="20"/>
  <c r="AC236" i="20" s="1"/>
  <c r="B241" i="18"/>
  <c r="A242" i="18"/>
  <c r="J238" i="14"/>
  <c r="K238" i="14" s="1"/>
  <c r="M238" i="14"/>
  <c r="N238" i="14" s="1"/>
  <c r="I238" i="23" l="1"/>
  <c r="J238" i="23"/>
  <c r="AA236" i="20"/>
  <c r="AA237" i="20"/>
  <c r="E236" i="23"/>
  <c r="H238" i="23"/>
  <c r="E241" i="16"/>
  <c r="R238" i="14"/>
  <c r="S238" i="14" s="1"/>
  <c r="T238" i="14" s="1"/>
  <c r="F239" i="14"/>
  <c r="G239" i="14" s="1"/>
  <c r="H239" i="14" s="1"/>
  <c r="F238" i="14"/>
  <c r="C238" i="14"/>
  <c r="AD236" i="20"/>
  <c r="AE236" i="20" s="1"/>
  <c r="L240" i="14"/>
  <c r="B242" i="18"/>
  <c r="A243" i="18"/>
  <c r="P238" i="14"/>
  <c r="Q238" i="14" s="1"/>
  <c r="B242" i="16"/>
  <c r="A242" i="16"/>
  <c r="D242" i="16"/>
  <c r="C243" i="16"/>
  <c r="I240" i="14"/>
  <c r="C237" i="23"/>
  <c r="G238" i="23"/>
  <c r="F238" i="23"/>
  <c r="K238" i="23"/>
  <c r="C242" i="18" s="1"/>
  <c r="A239" i="23"/>
  <c r="M239" i="14"/>
  <c r="N239" i="14" s="1"/>
  <c r="G241" i="4"/>
  <c r="H241" i="4"/>
  <c r="D237" i="14"/>
  <c r="E237" i="14" s="1"/>
  <c r="AB237" i="20"/>
  <c r="AC237" i="20" s="1"/>
  <c r="J239" i="14"/>
  <c r="K239" i="14" s="1"/>
  <c r="S237" i="14"/>
  <c r="T237" i="14" s="1"/>
  <c r="G237" i="14"/>
  <c r="H237" i="14" s="1"/>
  <c r="I239" i="23" l="1"/>
  <c r="J239" i="23"/>
  <c r="L241" i="14"/>
  <c r="I241" i="14"/>
  <c r="E237" i="23"/>
  <c r="H239" i="23"/>
  <c r="O240" i="14"/>
  <c r="P240" i="14" s="1"/>
  <c r="Q240" i="14" s="1"/>
  <c r="E242" i="16"/>
  <c r="C239" i="14"/>
  <c r="D239" i="14" s="1"/>
  <c r="E239" i="14" s="1"/>
  <c r="F240" i="14"/>
  <c r="G240" i="14" s="1"/>
  <c r="H240" i="14" s="1"/>
  <c r="J240" i="14"/>
  <c r="K240" i="14" s="1"/>
  <c r="AD237" i="20"/>
  <c r="AE237" i="20" s="1"/>
  <c r="D243" i="16"/>
  <c r="B243" i="16"/>
  <c r="A243" i="16"/>
  <c r="C244" i="16"/>
  <c r="B243" i="18"/>
  <c r="A244" i="18"/>
  <c r="O239" i="14"/>
  <c r="R239" i="14"/>
  <c r="G242" i="4"/>
  <c r="H242" i="4"/>
  <c r="D238" i="14"/>
  <c r="E238" i="14" s="1"/>
  <c r="F239" i="23"/>
  <c r="G239" i="23"/>
  <c r="C238" i="23"/>
  <c r="K239" i="23"/>
  <c r="C243" i="18" s="1"/>
  <c r="A240" i="23"/>
  <c r="AB238" i="20"/>
  <c r="AC238" i="20" s="1"/>
  <c r="M240" i="14"/>
  <c r="N240" i="14" s="1"/>
  <c r="G238" i="14"/>
  <c r="H238" i="14" s="1"/>
  <c r="I240" i="23" l="1"/>
  <c r="J240" i="23"/>
  <c r="AA238" i="20"/>
  <c r="I242" i="14"/>
  <c r="E243" i="16"/>
  <c r="R240" i="14"/>
  <c r="S240" i="14" s="1"/>
  <c r="T240" i="14" s="1"/>
  <c r="E238" i="23"/>
  <c r="H240" i="23"/>
  <c r="O241" i="14"/>
  <c r="P241" i="14" s="1"/>
  <c r="Q241" i="14" s="1"/>
  <c r="C240" i="14"/>
  <c r="D240" i="14" s="1"/>
  <c r="E240" i="14" s="1"/>
  <c r="F241" i="14"/>
  <c r="G241" i="14" s="1"/>
  <c r="H241" i="14" s="1"/>
  <c r="G243" i="4"/>
  <c r="H243" i="4"/>
  <c r="J241" i="14"/>
  <c r="K241" i="14" s="1"/>
  <c r="M241" i="14"/>
  <c r="N241" i="14" s="1"/>
  <c r="G240" i="23"/>
  <c r="C239" i="23"/>
  <c r="F240" i="23"/>
  <c r="A241" i="23"/>
  <c r="K240" i="23"/>
  <c r="C244" i="18" s="1"/>
  <c r="S239" i="14"/>
  <c r="T239" i="14" s="1"/>
  <c r="D244" i="16"/>
  <c r="B244" i="16"/>
  <c r="A244" i="16"/>
  <c r="C245" i="16"/>
  <c r="P239" i="14"/>
  <c r="Q239" i="14" s="1"/>
  <c r="AB239" i="20"/>
  <c r="AD238" i="20"/>
  <c r="AE238" i="20" s="1"/>
  <c r="L242" i="14"/>
  <c r="B244" i="18"/>
  <c r="A245" i="18"/>
  <c r="I241" i="23" l="1"/>
  <c r="J241" i="23"/>
  <c r="AA239" i="20"/>
  <c r="AA240" i="20"/>
  <c r="R241" i="14"/>
  <c r="S241" i="14" s="1"/>
  <c r="T241" i="14" s="1"/>
  <c r="E239" i="23"/>
  <c r="H241" i="23"/>
  <c r="C241" i="14"/>
  <c r="D241" i="14" s="1"/>
  <c r="E241" i="14" s="1"/>
  <c r="E244" i="16"/>
  <c r="AB240" i="20"/>
  <c r="B245" i="18"/>
  <c r="A246" i="18"/>
  <c r="I243" i="14"/>
  <c r="AD239" i="20"/>
  <c r="L243" i="14"/>
  <c r="J242" i="14"/>
  <c r="K242" i="14" s="1"/>
  <c r="H244" i="4"/>
  <c r="G244" i="4"/>
  <c r="AC239" i="20"/>
  <c r="M242" i="14"/>
  <c r="N242" i="14" s="1"/>
  <c r="D245" i="16"/>
  <c r="B245" i="16"/>
  <c r="A245" i="16"/>
  <c r="C246" i="16"/>
  <c r="F241" i="23"/>
  <c r="G241" i="23"/>
  <c r="C240" i="23"/>
  <c r="A242" i="23"/>
  <c r="K241" i="23"/>
  <c r="C245" i="18" s="1"/>
  <c r="I242" i="23" l="1"/>
  <c r="J242" i="23"/>
  <c r="I244" i="14"/>
  <c r="L244" i="14"/>
  <c r="E240" i="23"/>
  <c r="H242" i="23"/>
  <c r="E245" i="16"/>
  <c r="G245" i="4"/>
  <c r="H245" i="4"/>
  <c r="O242" i="14"/>
  <c r="R242" i="14"/>
  <c r="AD240" i="20"/>
  <c r="AB241" i="20"/>
  <c r="AC241" i="20" s="1"/>
  <c r="M243" i="14"/>
  <c r="N243" i="14" s="1"/>
  <c r="G242" i="23"/>
  <c r="F242" i="23"/>
  <c r="C241" i="23"/>
  <c r="K242" i="23"/>
  <c r="C246" i="18" s="1"/>
  <c r="A243" i="23"/>
  <c r="AE239" i="20"/>
  <c r="O243" i="14"/>
  <c r="B246" i="18"/>
  <c r="A247" i="18"/>
  <c r="D246" i="16"/>
  <c r="A246" i="16"/>
  <c r="B246" i="16"/>
  <c r="C247" i="16"/>
  <c r="F242" i="14"/>
  <c r="C242" i="14"/>
  <c r="AC240" i="20"/>
  <c r="J243" i="14"/>
  <c r="K243" i="14" s="1"/>
  <c r="I243" i="23" l="1"/>
  <c r="J243" i="23"/>
  <c r="AA241" i="20"/>
  <c r="L245" i="14"/>
  <c r="AA242" i="20"/>
  <c r="E241" i="23"/>
  <c r="H243" i="23"/>
  <c r="R243" i="14"/>
  <c r="S243" i="14" s="1"/>
  <c r="T243" i="14" s="1"/>
  <c r="D242" i="14"/>
  <c r="E242" i="14" s="1"/>
  <c r="G242" i="14"/>
  <c r="H242" i="14" s="1"/>
  <c r="AE240" i="20"/>
  <c r="O244" i="14"/>
  <c r="D247" i="16"/>
  <c r="B247" i="16"/>
  <c r="A247" i="16"/>
  <c r="C248" i="16"/>
  <c r="J244" i="14"/>
  <c r="K244" i="14" s="1"/>
  <c r="I245" i="14"/>
  <c r="P243" i="14"/>
  <c r="Q243" i="14" s="1"/>
  <c r="P242" i="14"/>
  <c r="Q242" i="14" s="1"/>
  <c r="F243" i="14"/>
  <c r="C243" i="14"/>
  <c r="G246" i="4"/>
  <c r="H246" i="4"/>
  <c r="AB242" i="20"/>
  <c r="AC242" i="20" s="1"/>
  <c r="E246" i="16"/>
  <c r="B247" i="18"/>
  <c r="A248" i="18"/>
  <c r="G243" i="23"/>
  <c r="C242" i="23"/>
  <c r="F243" i="23"/>
  <c r="K243" i="23"/>
  <c r="C247" i="18" s="1"/>
  <c r="A244" i="23"/>
  <c r="M244" i="14"/>
  <c r="N244" i="14" s="1"/>
  <c r="AD241" i="20"/>
  <c r="AE241" i="20" s="1"/>
  <c r="S242" i="14"/>
  <c r="T242" i="14" s="1"/>
  <c r="I244" i="23" l="1"/>
  <c r="J244" i="23"/>
  <c r="I246" i="14"/>
  <c r="E242" i="23"/>
  <c r="H244" i="23"/>
  <c r="R244" i="14"/>
  <c r="S244" i="14" s="1"/>
  <c r="T244" i="14" s="1"/>
  <c r="O245" i="14"/>
  <c r="P245" i="14" s="1"/>
  <c r="Q245" i="14" s="1"/>
  <c r="E247" i="16"/>
  <c r="D243" i="14"/>
  <c r="E243" i="14" s="1"/>
  <c r="AB243" i="20"/>
  <c r="C243" i="23"/>
  <c r="G244" i="23"/>
  <c r="F244" i="23"/>
  <c r="K244" i="23"/>
  <c r="C248" i="18" s="1"/>
  <c r="A245" i="23"/>
  <c r="F244" i="14"/>
  <c r="C244" i="14"/>
  <c r="G243" i="14"/>
  <c r="H243" i="14" s="1"/>
  <c r="F245" i="14"/>
  <c r="M245" i="14"/>
  <c r="N245" i="14" s="1"/>
  <c r="G247" i="4"/>
  <c r="H247" i="4"/>
  <c r="D248" i="16"/>
  <c r="A248" i="16"/>
  <c r="B248" i="16"/>
  <c r="C249" i="16"/>
  <c r="P244" i="14"/>
  <c r="Q244" i="14" s="1"/>
  <c r="B248" i="18"/>
  <c r="A249" i="18"/>
  <c r="AD242" i="20"/>
  <c r="AE242" i="20" s="1"/>
  <c r="L246" i="14"/>
  <c r="J245" i="14"/>
  <c r="K245" i="14" s="1"/>
  <c r="I245" i="23" l="1"/>
  <c r="J245" i="23"/>
  <c r="AA243" i="20"/>
  <c r="L247" i="14"/>
  <c r="E248" i="16"/>
  <c r="E243" i="23"/>
  <c r="H245" i="23"/>
  <c r="R245" i="14"/>
  <c r="S245" i="14" s="1"/>
  <c r="T245" i="14" s="1"/>
  <c r="O246" i="14"/>
  <c r="P246" i="14" s="1"/>
  <c r="Q246" i="14" s="1"/>
  <c r="F246" i="14"/>
  <c r="G246" i="14" s="1"/>
  <c r="H246" i="14" s="1"/>
  <c r="AB244" i="20"/>
  <c r="B249" i="18"/>
  <c r="A250" i="18"/>
  <c r="H248" i="4"/>
  <c r="G248" i="4"/>
  <c r="M246" i="14"/>
  <c r="N246" i="14" s="1"/>
  <c r="B249" i="16"/>
  <c r="D249" i="16"/>
  <c r="A249" i="16"/>
  <c r="C250" i="16"/>
  <c r="C245" i="14"/>
  <c r="I247" i="14"/>
  <c r="AD243" i="20"/>
  <c r="D244" i="14"/>
  <c r="E244" i="14" s="1"/>
  <c r="C244" i="23"/>
  <c r="F245" i="23"/>
  <c r="G245" i="23"/>
  <c r="A246" i="23"/>
  <c r="K245" i="23"/>
  <c r="C249" i="18" s="1"/>
  <c r="G245" i="14"/>
  <c r="H245" i="14" s="1"/>
  <c r="G244" i="14"/>
  <c r="H244" i="14" s="1"/>
  <c r="J246" i="14"/>
  <c r="K246" i="14" s="1"/>
  <c r="AC243" i="20"/>
  <c r="I246" i="23" l="1"/>
  <c r="J246" i="23"/>
  <c r="I248" i="14"/>
  <c r="AA244" i="20"/>
  <c r="AA245" i="20"/>
  <c r="E244" i="23"/>
  <c r="H246" i="23"/>
  <c r="E249" i="16"/>
  <c r="C246" i="14"/>
  <c r="D246" i="14" s="1"/>
  <c r="E246" i="14" s="1"/>
  <c r="R246" i="14"/>
  <c r="S246" i="14" s="1"/>
  <c r="T246" i="14" s="1"/>
  <c r="AC244" i="20"/>
  <c r="AD244" i="20"/>
  <c r="L248" i="14"/>
  <c r="AE243" i="20"/>
  <c r="C245" i="23"/>
  <c r="F246" i="23"/>
  <c r="G246" i="23"/>
  <c r="A247" i="23"/>
  <c r="K246" i="23"/>
  <c r="C250" i="18" s="1"/>
  <c r="D250" i="16"/>
  <c r="A250" i="16"/>
  <c r="B250" i="16"/>
  <c r="C251" i="16"/>
  <c r="G249" i="4"/>
  <c r="H249" i="4"/>
  <c r="J247" i="14"/>
  <c r="K247" i="14" s="1"/>
  <c r="AB245" i="20"/>
  <c r="AC245" i="20" s="1"/>
  <c r="M247" i="14"/>
  <c r="N247" i="14" s="1"/>
  <c r="D245" i="14"/>
  <c r="E245" i="14" s="1"/>
  <c r="B250" i="18"/>
  <c r="A251" i="18"/>
  <c r="I247" i="23" l="1"/>
  <c r="J247" i="23"/>
  <c r="I249" i="14"/>
  <c r="E245" i="23"/>
  <c r="H247" i="23"/>
  <c r="G250" i="4"/>
  <c r="H250" i="4"/>
  <c r="AB246" i="20"/>
  <c r="AC246" i="20" s="1"/>
  <c r="E250" i="16"/>
  <c r="F247" i="23"/>
  <c r="C246" i="23"/>
  <c r="G247" i="23"/>
  <c r="K247" i="23"/>
  <c r="C251" i="18" s="1"/>
  <c r="A248" i="23"/>
  <c r="M248" i="14"/>
  <c r="N248" i="14" s="1"/>
  <c r="J248" i="14"/>
  <c r="K248" i="14" s="1"/>
  <c r="L249" i="14"/>
  <c r="AD245" i="20"/>
  <c r="AE245" i="20" s="1"/>
  <c r="AE244" i="20"/>
  <c r="B251" i="18"/>
  <c r="A252" i="18"/>
  <c r="F248" i="14"/>
  <c r="D251" i="16"/>
  <c r="B251" i="16"/>
  <c r="A251" i="16"/>
  <c r="C252" i="16"/>
  <c r="F247" i="14"/>
  <c r="C247" i="14"/>
  <c r="O247" i="14"/>
  <c r="R247" i="14"/>
  <c r="I248" i="23" l="1"/>
  <c r="J248" i="23"/>
  <c r="L250" i="14"/>
  <c r="AA246" i="20"/>
  <c r="E251" i="16"/>
  <c r="AA247" i="20"/>
  <c r="E246" i="23"/>
  <c r="H248" i="23"/>
  <c r="D247" i="14"/>
  <c r="E247" i="14" s="1"/>
  <c r="O248" i="14"/>
  <c r="R248" i="14"/>
  <c r="J249" i="14"/>
  <c r="K249" i="14" s="1"/>
  <c r="O249" i="14"/>
  <c r="C247" i="23"/>
  <c r="G248" i="23"/>
  <c r="F248" i="23"/>
  <c r="K248" i="23"/>
  <c r="C252" i="18" s="1"/>
  <c r="A249" i="23"/>
  <c r="G247" i="14"/>
  <c r="H247" i="14" s="1"/>
  <c r="S247" i="14"/>
  <c r="T247" i="14" s="1"/>
  <c r="D252" i="16"/>
  <c r="A252" i="16"/>
  <c r="B252" i="16"/>
  <c r="C253" i="16"/>
  <c r="C248" i="14"/>
  <c r="B252" i="18"/>
  <c r="A253" i="18"/>
  <c r="H251" i="4"/>
  <c r="G251" i="4"/>
  <c r="P247" i="14"/>
  <c r="Q247" i="14" s="1"/>
  <c r="AB247" i="20"/>
  <c r="AC247" i="20" s="1"/>
  <c r="G248" i="14"/>
  <c r="H248" i="14" s="1"/>
  <c r="M249" i="14"/>
  <c r="N249" i="14" s="1"/>
  <c r="I250" i="14"/>
  <c r="AD246" i="20"/>
  <c r="AE246" i="20" s="1"/>
  <c r="I249" i="23" l="1"/>
  <c r="J249" i="23"/>
  <c r="L251" i="14"/>
  <c r="I251" i="14"/>
  <c r="E247" i="23"/>
  <c r="H249" i="23"/>
  <c r="F250" i="14"/>
  <c r="G250" i="14" s="1"/>
  <c r="H250" i="14" s="1"/>
  <c r="O250" i="14"/>
  <c r="P250" i="14" s="1"/>
  <c r="Q250" i="14" s="1"/>
  <c r="J250" i="14"/>
  <c r="K250" i="14" s="1"/>
  <c r="D248" i="14"/>
  <c r="E248" i="14" s="1"/>
  <c r="R249" i="14"/>
  <c r="S248" i="14"/>
  <c r="T248" i="14" s="1"/>
  <c r="B253" i="18"/>
  <c r="A254" i="18"/>
  <c r="AD247" i="20"/>
  <c r="AE247" i="20" s="1"/>
  <c r="F249" i="14"/>
  <c r="C249" i="14"/>
  <c r="D253" i="16"/>
  <c r="B253" i="16"/>
  <c r="A253" i="16"/>
  <c r="C254" i="16"/>
  <c r="G249" i="23"/>
  <c r="F249" i="23"/>
  <c r="C248" i="23"/>
  <c r="K249" i="23"/>
  <c r="C253" i="18" s="1"/>
  <c r="A250" i="23"/>
  <c r="P249" i="14"/>
  <c r="Q249" i="14" s="1"/>
  <c r="P248" i="14"/>
  <c r="Q248" i="14" s="1"/>
  <c r="H252" i="4"/>
  <c r="G252" i="4"/>
  <c r="AB248" i="20"/>
  <c r="AC248" i="20" s="1"/>
  <c r="M250" i="14"/>
  <c r="N250" i="14" s="1"/>
  <c r="E252" i="16"/>
  <c r="AA248" i="20" l="1"/>
  <c r="I250" i="23"/>
  <c r="J250" i="23"/>
  <c r="I252" i="14"/>
  <c r="AA249" i="20"/>
  <c r="E248" i="23"/>
  <c r="H250" i="23"/>
  <c r="E253" i="16"/>
  <c r="R250" i="14"/>
  <c r="S250" i="14" s="1"/>
  <c r="T250" i="14" s="1"/>
  <c r="C250" i="14"/>
  <c r="D250" i="14" s="1"/>
  <c r="E250" i="14" s="1"/>
  <c r="F251" i="14"/>
  <c r="G251" i="14" s="1"/>
  <c r="H251" i="14" s="1"/>
  <c r="AD248" i="20"/>
  <c r="AE248" i="20" s="1"/>
  <c r="L252" i="14"/>
  <c r="S249" i="14"/>
  <c r="T249" i="14" s="1"/>
  <c r="D254" i="16"/>
  <c r="B254" i="16"/>
  <c r="A254" i="16"/>
  <c r="C255" i="16"/>
  <c r="D249" i="14"/>
  <c r="E249" i="14" s="1"/>
  <c r="B254" i="18"/>
  <c r="A255" i="18"/>
  <c r="F250" i="23"/>
  <c r="G250" i="23"/>
  <c r="C249" i="23"/>
  <c r="K250" i="23"/>
  <c r="C254" i="18" s="1"/>
  <c r="A251" i="23"/>
  <c r="AB249" i="20"/>
  <c r="G249" i="14"/>
  <c r="H249" i="14" s="1"/>
  <c r="M251" i="14"/>
  <c r="N251" i="14" s="1"/>
  <c r="O251" i="14"/>
  <c r="G253" i="4"/>
  <c r="H253" i="4"/>
  <c r="J251" i="14"/>
  <c r="K251" i="14" s="1"/>
  <c r="I251" i="23" l="1"/>
  <c r="J251" i="23"/>
  <c r="L253" i="14"/>
  <c r="I253" i="14"/>
  <c r="O252" i="14"/>
  <c r="P252" i="14" s="1"/>
  <c r="Q252" i="14" s="1"/>
  <c r="E249" i="23"/>
  <c r="H251" i="23"/>
  <c r="C251" i="14"/>
  <c r="D251" i="14" s="1"/>
  <c r="E251" i="14" s="1"/>
  <c r="E254" i="16"/>
  <c r="F252" i="14"/>
  <c r="G252" i="14" s="1"/>
  <c r="H252" i="14" s="1"/>
  <c r="P251" i="14"/>
  <c r="Q251" i="14" s="1"/>
  <c r="C250" i="23"/>
  <c r="G251" i="23"/>
  <c r="F251" i="23"/>
  <c r="K251" i="23"/>
  <c r="C255" i="18" s="1"/>
  <c r="A252" i="23"/>
  <c r="AC249" i="20"/>
  <c r="AB250" i="20"/>
  <c r="AC250" i="20" s="1"/>
  <c r="M252" i="14"/>
  <c r="N252" i="14" s="1"/>
  <c r="AD249" i="20"/>
  <c r="J252" i="14"/>
  <c r="K252" i="14" s="1"/>
  <c r="G254" i="4"/>
  <c r="H254" i="4"/>
  <c r="R251" i="14"/>
  <c r="B255" i="18"/>
  <c r="A256" i="18"/>
  <c r="B255" i="16"/>
  <c r="A255" i="16"/>
  <c r="D255" i="16"/>
  <c r="C256" i="16"/>
  <c r="I252" i="23" l="1"/>
  <c r="J252" i="23"/>
  <c r="R252" i="14"/>
  <c r="S252" i="14" s="1"/>
  <c r="T252" i="14" s="1"/>
  <c r="I254" i="14"/>
  <c r="AA250" i="20"/>
  <c r="E250" i="23"/>
  <c r="H252" i="23"/>
  <c r="C252" i="14"/>
  <c r="E255" i="16"/>
  <c r="G255" i="4"/>
  <c r="H255" i="4"/>
  <c r="M253" i="14"/>
  <c r="N253" i="14" s="1"/>
  <c r="S251" i="14"/>
  <c r="T251" i="14" s="1"/>
  <c r="J253" i="14"/>
  <c r="K253" i="14" s="1"/>
  <c r="AD250" i="20"/>
  <c r="AE250" i="20" s="1"/>
  <c r="L254" i="14"/>
  <c r="A256" i="16"/>
  <c r="D256" i="16"/>
  <c r="B256" i="16"/>
  <c r="C257" i="16"/>
  <c r="B256" i="18"/>
  <c r="A257" i="18"/>
  <c r="F253" i="14"/>
  <c r="AB251" i="20"/>
  <c r="AC251" i="20" s="1"/>
  <c r="AE249" i="20"/>
  <c r="O253" i="14"/>
  <c r="F252" i="23"/>
  <c r="G252" i="23"/>
  <c r="C251" i="23"/>
  <c r="A253" i="23"/>
  <c r="K252" i="23"/>
  <c r="C256" i="18" s="1"/>
  <c r="I253" i="23" l="1"/>
  <c r="J253" i="23"/>
  <c r="AA251" i="20"/>
  <c r="L255" i="14"/>
  <c r="E251" i="23"/>
  <c r="H253" i="23"/>
  <c r="F254" i="14"/>
  <c r="G254" i="14" s="1"/>
  <c r="H254" i="14" s="1"/>
  <c r="E256" i="16"/>
  <c r="O254" i="14"/>
  <c r="P254" i="14" s="1"/>
  <c r="Q254" i="14" s="1"/>
  <c r="D252" i="14"/>
  <c r="E252" i="14" s="1"/>
  <c r="AB252" i="20"/>
  <c r="G256" i="4"/>
  <c r="H256" i="4"/>
  <c r="P253" i="14"/>
  <c r="Q253" i="14" s="1"/>
  <c r="B257" i="18"/>
  <c r="A258" i="18"/>
  <c r="F253" i="23"/>
  <c r="G253" i="23"/>
  <c r="C252" i="23"/>
  <c r="K253" i="23"/>
  <c r="C257" i="18" s="1"/>
  <c r="A254" i="23"/>
  <c r="C253" i="14"/>
  <c r="R253" i="14"/>
  <c r="B257" i="16"/>
  <c r="D257" i="16"/>
  <c r="A257" i="16"/>
  <c r="C258" i="16"/>
  <c r="J254" i="14"/>
  <c r="K254" i="14" s="1"/>
  <c r="AD251" i="20"/>
  <c r="AE251" i="20" s="1"/>
  <c r="G253" i="14"/>
  <c r="H253" i="14" s="1"/>
  <c r="M254" i="14"/>
  <c r="N254" i="14" s="1"/>
  <c r="I255" i="14"/>
  <c r="I254" i="23" l="1"/>
  <c r="J254" i="23"/>
  <c r="AA252" i="20"/>
  <c r="I256" i="14"/>
  <c r="E252" i="23"/>
  <c r="H254" i="23"/>
  <c r="E257" i="16"/>
  <c r="R254" i="14"/>
  <c r="S254" i="14" s="1"/>
  <c r="T254" i="14" s="1"/>
  <c r="C254" i="14"/>
  <c r="D254" i="14" s="1"/>
  <c r="E254" i="14" s="1"/>
  <c r="F255" i="14"/>
  <c r="G255" i="14" s="1"/>
  <c r="H255" i="14" s="1"/>
  <c r="S253" i="14"/>
  <c r="T253" i="14" s="1"/>
  <c r="AC252" i="20"/>
  <c r="D253" i="14"/>
  <c r="E253" i="14" s="1"/>
  <c r="L256" i="14"/>
  <c r="AD252" i="20"/>
  <c r="AB253" i="20"/>
  <c r="AC253" i="20" s="1"/>
  <c r="B258" i="18"/>
  <c r="A259" i="18"/>
  <c r="O255" i="14"/>
  <c r="G257" i="4"/>
  <c r="H257" i="4"/>
  <c r="M255" i="14"/>
  <c r="N255" i="14" s="1"/>
  <c r="B258" i="16"/>
  <c r="D258" i="16"/>
  <c r="A258" i="16"/>
  <c r="C259" i="16"/>
  <c r="J255" i="14"/>
  <c r="K255" i="14" s="1"/>
  <c r="F254" i="23"/>
  <c r="G254" i="23"/>
  <c r="C253" i="23"/>
  <c r="K254" i="23"/>
  <c r="C258" i="18" s="1"/>
  <c r="A255" i="23"/>
  <c r="I255" i="23" l="1"/>
  <c r="J255" i="23"/>
  <c r="AA253" i="20"/>
  <c r="L257" i="14"/>
  <c r="E253" i="23"/>
  <c r="H255" i="23"/>
  <c r="R255" i="14"/>
  <c r="S255" i="14" s="1"/>
  <c r="T255" i="14" s="1"/>
  <c r="C255" i="14"/>
  <c r="D255" i="14" s="1"/>
  <c r="E255" i="14" s="1"/>
  <c r="E258" i="16"/>
  <c r="J256" i="14"/>
  <c r="K256" i="14" s="1"/>
  <c r="M256" i="14"/>
  <c r="N256" i="14" s="1"/>
  <c r="AB254" i="20"/>
  <c r="G258" i="4"/>
  <c r="H258" i="4"/>
  <c r="B259" i="18"/>
  <c r="A260" i="18"/>
  <c r="AE252" i="20"/>
  <c r="O256" i="14"/>
  <c r="F255" i="23"/>
  <c r="G255" i="23"/>
  <c r="C254" i="23"/>
  <c r="K255" i="23"/>
  <c r="C259" i="18" s="1"/>
  <c r="A256" i="23"/>
  <c r="D259" i="16"/>
  <c r="B259" i="16"/>
  <c r="A259" i="16"/>
  <c r="C260" i="16"/>
  <c r="AD253" i="20"/>
  <c r="AE253" i="20" s="1"/>
  <c r="I257" i="14"/>
  <c r="P255" i="14"/>
  <c r="Q255" i="14" s="1"/>
  <c r="F256" i="14"/>
  <c r="I256" i="23" l="1"/>
  <c r="J256" i="23"/>
  <c r="I258" i="14"/>
  <c r="AA254" i="20"/>
  <c r="E254" i="23"/>
  <c r="H256" i="23"/>
  <c r="R256" i="14"/>
  <c r="S256" i="14" s="1"/>
  <c r="T256" i="14" s="1"/>
  <c r="AB255" i="20"/>
  <c r="G259" i="4"/>
  <c r="H259" i="4"/>
  <c r="O257" i="14"/>
  <c r="F257" i="14"/>
  <c r="A260" i="16"/>
  <c r="B260" i="16"/>
  <c r="D260" i="16"/>
  <c r="C261" i="16"/>
  <c r="F256" i="23"/>
  <c r="C255" i="23"/>
  <c r="G256" i="23"/>
  <c r="A257" i="23"/>
  <c r="K256" i="23"/>
  <c r="C260" i="18" s="1"/>
  <c r="P256" i="14"/>
  <c r="Q256" i="14" s="1"/>
  <c r="AD254" i="20"/>
  <c r="L258" i="14"/>
  <c r="G256" i="14"/>
  <c r="H256" i="14" s="1"/>
  <c r="M257" i="14"/>
  <c r="N257" i="14" s="1"/>
  <c r="E259" i="16"/>
  <c r="J257" i="14"/>
  <c r="K257" i="14" s="1"/>
  <c r="C256" i="14"/>
  <c r="AC254" i="20"/>
  <c r="B260" i="18"/>
  <c r="A261" i="18"/>
  <c r="I257" i="23" l="1"/>
  <c r="J257" i="23"/>
  <c r="AA255" i="20"/>
  <c r="L259" i="14"/>
  <c r="E255" i="23"/>
  <c r="H257" i="23"/>
  <c r="C257" i="14"/>
  <c r="D257" i="14" s="1"/>
  <c r="E257" i="14" s="1"/>
  <c r="E260" i="16"/>
  <c r="R257" i="14"/>
  <c r="S257" i="14" s="1"/>
  <c r="T257" i="14" s="1"/>
  <c r="M258" i="14"/>
  <c r="N258" i="14" s="1"/>
  <c r="J258" i="14"/>
  <c r="K258" i="14" s="1"/>
  <c r="AC255" i="20"/>
  <c r="G257" i="23"/>
  <c r="F257" i="23"/>
  <c r="C256" i="23"/>
  <c r="K257" i="23"/>
  <c r="C261" i="18" s="1"/>
  <c r="A258" i="23"/>
  <c r="G257" i="14"/>
  <c r="H257" i="14" s="1"/>
  <c r="P257" i="14"/>
  <c r="Q257" i="14" s="1"/>
  <c r="AD255" i="20"/>
  <c r="B261" i="18"/>
  <c r="A262" i="18"/>
  <c r="D256" i="14"/>
  <c r="E256" i="14" s="1"/>
  <c r="AB256" i="20"/>
  <c r="AC256" i="20" s="1"/>
  <c r="F258" i="14"/>
  <c r="H260" i="4"/>
  <c r="G260" i="4"/>
  <c r="AE254" i="20"/>
  <c r="I259" i="14"/>
  <c r="B261" i="16"/>
  <c r="A261" i="16"/>
  <c r="D261" i="16"/>
  <c r="C262" i="16"/>
  <c r="I258" i="23" l="1"/>
  <c r="J258" i="23"/>
  <c r="I260" i="14"/>
  <c r="AA256" i="20"/>
  <c r="E256" i="23"/>
  <c r="H258" i="23"/>
  <c r="E261" i="16"/>
  <c r="C258" i="14"/>
  <c r="D258" i="14" s="1"/>
  <c r="E258" i="14" s="1"/>
  <c r="D262" i="16"/>
  <c r="A262" i="16"/>
  <c r="B262" i="16"/>
  <c r="C263" i="16"/>
  <c r="AD256" i="20"/>
  <c r="AE256" i="20" s="1"/>
  <c r="L260" i="14"/>
  <c r="B262" i="18"/>
  <c r="A263" i="18"/>
  <c r="M259" i="14"/>
  <c r="N259" i="14" s="1"/>
  <c r="AE255" i="20"/>
  <c r="O259" i="14"/>
  <c r="O258" i="14"/>
  <c r="R258" i="14"/>
  <c r="G261" i="4"/>
  <c r="H261" i="4"/>
  <c r="J259" i="14"/>
  <c r="K259" i="14" s="1"/>
  <c r="G258" i="23"/>
  <c r="F258" i="23"/>
  <c r="C257" i="23"/>
  <c r="K258" i="23"/>
  <c r="C262" i="18" s="1"/>
  <c r="A259" i="23"/>
  <c r="AB257" i="20"/>
  <c r="AC257" i="20" s="1"/>
  <c r="G258" i="14"/>
  <c r="H258" i="14" s="1"/>
  <c r="I259" i="23" l="1"/>
  <c r="J259" i="23"/>
  <c r="AA257" i="20"/>
  <c r="O260" i="14"/>
  <c r="P260" i="14" s="1"/>
  <c r="Q260" i="14" s="1"/>
  <c r="E257" i="23"/>
  <c r="H259" i="23"/>
  <c r="R259" i="14"/>
  <c r="S259" i="14" s="1"/>
  <c r="T259" i="14" s="1"/>
  <c r="F259" i="14"/>
  <c r="C259" i="14"/>
  <c r="G259" i="23"/>
  <c r="C258" i="23"/>
  <c r="F259" i="23"/>
  <c r="K259" i="23"/>
  <c r="C263" i="18" s="1"/>
  <c r="A260" i="23"/>
  <c r="G262" i="4"/>
  <c r="H262" i="4"/>
  <c r="P258" i="14"/>
  <c r="Q258" i="14" s="1"/>
  <c r="P259" i="14"/>
  <c r="Q259" i="14" s="1"/>
  <c r="B263" i="18"/>
  <c r="A264" i="18"/>
  <c r="E262" i="16"/>
  <c r="AD257" i="20"/>
  <c r="AE257" i="20" s="1"/>
  <c r="L261" i="14"/>
  <c r="I261" i="14"/>
  <c r="AB258" i="20"/>
  <c r="AC258" i="20" s="1"/>
  <c r="M260" i="14"/>
  <c r="N260" i="14" s="1"/>
  <c r="B263" i="16"/>
  <c r="A263" i="16"/>
  <c r="D263" i="16"/>
  <c r="C264" i="16"/>
  <c r="J260" i="14"/>
  <c r="K260" i="14" s="1"/>
  <c r="S258" i="14"/>
  <c r="T258" i="14" s="1"/>
  <c r="I260" i="23" l="1"/>
  <c r="J260" i="23"/>
  <c r="R260" i="14"/>
  <c r="S260" i="14" s="1"/>
  <c r="T260" i="14" s="1"/>
  <c r="AA258" i="20"/>
  <c r="AA259" i="20"/>
  <c r="E258" i="23"/>
  <c r="H260" i="23"/>
  <c r="F261" i="14"/>
  <c r="G261" i="14" s="1"/>
  <c r="H261" i="14" s="1"/>
  <c r="O261" i="14"/>
  <c r="P261" i="14" s="1"/>
  <c r="Q261" i="14" s="1"/>
  <c r="D264" i="16"/>
  <c r="B264" i="16"/>
  <c r="A264" i="16"/>
  <c r="C265" i="16"/>
  <c r="E263" i="16"/>
  <c r="AD258" i="20"/>
  <c r="AE258" i="20" s="1"/>
  <c r="L262" i="14"/>
  <c r="J261" i="14"/>
  <c r="K261" i="14" s="1"/>
  <c r="D259" i="14"/>
  <c r="E259" i="14" s="1"/>
  <c r="F260" i="14"/>
  <c r="C260" i="14"/>
  <c r="F260" i="23"/>
  <c r="C259" i="23"/>
  <c r="G260" i="23"/>
  <c r="K260" i="23"/>
  <c r="C264" i="18" s="1"/>
  <c r="A261" i="23"/>
  <c r="G259" i="14"/>
  <c r="H259" i="14" s="1"/>
  <c r="AB259" i="20"/>
  <c r="AC259" i="20" s="1"/>
  <c r="B264" i="18"/>
  <c r="A265" i="18"/>
  <c r="M261" i="14"/>
  <c r="N261" i="14" s="1"/>
  <c r="I262" i="14"/>
  <c r="G263" i="4"/>
  <c r="H263" i="4"/>
  <c r="I261" i="23" l="1"/>
  <c r="J261" i="23"/>
  <c r="O262" i="14"/>
  <c r="P262" i="14" s="1"/>
  <c r="Q262" i="14" s="1"/>
  <c r="L263" i="14"/>
  <c r="I263" i="14"/>
  <c r="E259" i="23"/>
  <c r="H261" i="23"/>
  <c r="C261" i="14"/>
  <c r="D261" i="14" s="1"/>
  <c r="E261" i="14" s="1"/>
  <c r="R261" i="14"/>
  <c r="S261" i="14" s="1"/>
  <c r="T261" i="14" s="1"/>
  <c r="F262" i="14"/>
  <c r="G262" i="14" s="1"/>
  <c r="H262" i="14" s="1"/>
  <c r="J262" i="14"/>
  <c r="K262" i="14" s="1"/>
  <c r="B265" i="18"/>
  <c r="A266" i="18"/>
  <c r="G261" i="23"/>
  <c r="F261" i="23"/>
  <c r="C260" i="23"/>
  <c r="A262" i="23"/>
  <c r="K261" i="23"/>
  <c r="C265" i="18" s="1"/>
  <c r="G260" i="14"/>
  <c r="H260" i="14" s="1"/>
  <c r="AB260" i="20"/>
  <c r="AC260" i="20" s="1"/>
  <c r="M262" i="14"/>
  <c r="N262" i="14" s="1"/>
  <c r="B265" i="16"/>
  <c r="D265" i="16"/>
  <c r="A265" i="16"/>
  <c r="C266" i="16"/>
  <c r="H264" i="4"/>
  <c r="G264" i="4"/>
  <c r="AD259" i="20"/>
  <c r="AE259" i="20" s="1"/>
  <c r="D260" i="14"/>
  <c r="E260" i="14" s="1"/>
  <c r="E264" i="16"/>
  <c r="I262" i="23" l="1"/>
  <c r="J262" i="23"/>
  <c r="R262" i="14"/>
  <c r="S262" i="14" s="1"/>
  <c r="T262" i="14" s="1"/>
  <c r="I264" i="14"/>
  <c r="AA260" i="20"/>
  <c r="E260" i="23"/>
  <c r="H262" i="23"/>
  <c r="C262" i="14"/>
  <c r="D262" i="14" s="1"/>
  <c r="E262" i="14" s="1"/>
  <c r="F263" i="14"/>
  <c r="G263" i="14" s="1"/>
  <c r="H263" i="14" s="1"/>
  <c r="E265" i="16"/>
  <c r="A266" i="16"/>
  <c r="B266" i="16"/>
  <c r="D266" i="16"/>
  <c r="C267" i="16"/>
  <c r="M263" i="14"/>
  <c r="N263" i="14" s="1"/>
  <c r="G262" i="23"/>
  <c r="F262" i="23"/>
  <c r="C261" i="23"/>
  <c r="K262" i="23"/>
  <c r="C266" i="18" s="1"/>
  <c r="A263" i="23"/>
  <c r="AD260" i="20"/>
  <c r="AE260" i="20" s="1"/>
  <c r="L264" i="14"/>
  <c r="B266" i="18"/>
  <c r="A267" i="18"/>
  <c r="AB261" i="20"/>
  <c r="AC261" i="20" s="1"/>
  <c r="G265" i="4"/>
  <c r="H265" i="4"/>
  <c r="J263" i="14"/>
  <c r="K263" i="14" s="1"/>
  <c r="I263" i="23" l="1"/>
  <c r="J263" i="23"/>
  <c r="AA261" i="20"/>
  <c r="AA262" i="20"/>
  <c r="E261" i="23"/>
  <c r="H263" i="23"/>
  <c r="C263" i="14"/>
  <c r="D263" i="14" s="1"/>
  <c r="E263" i="14" s="1"/>
  <c r="E266" i="16"/>
  <c r="F264" i="14"/>
  <c r="G264" i="14" s="1"/>
  <c r="H264" i="14" s="1"/>
  <c r="AD261" i="20"/>
  <c r="AE261" i="20" s="1"/>
  <c r="L265" i="14"/>
  <c r="B267" i="18"/>
  <c r="A268" i="18"/>
  <c r="O263" i="14"/>
  <c r="R263" i="14"/>
  <c r="B267" i="16"/>
  <c r="A267" i="16"/>
  <c r="D267" i="16"/>
  <c r="C268" i="16"/>
  <c r="G266" i="4"/>
  <c r="H266" i="4"/>
  <c r="AB262" i="20"/>
  <c r="AC262" i="20" s="1"/>
  <c r="M264" i="14"/>
  <c r="N264" i="14" s="1"/>
  <c r="F263" i="23"/>
  <c r="C262" i="23"/>
  <c r="G263" i="23"/>
  <c r="K263" i="23"/>
  <c r="C267" i="18" s="1"/>
  <c r="A264" i="23"/>
  <c r="J264" i="14"/>
  <c r="K264" i="14" s="1"/>
  <c r="I265" i="14"/>
  <c r="I264" i="23" l="1"/>
  <c r="J264" i="23"/>
  <c r="I266" i="14"/>
  <c r="L266" i="14"/>
  <c r="E262" i="23"/>
  <c r="H264" i="23"/>
  <c r="O265" i="14"/>
  <c r="P265" i="14" s="1"/>
  <c r="Q265" i="14" s="1"/>
  <c r="C264" i="14"/>
  <c r="D264" i="14" s="1"/>
  <c r="E264" i="14" s="1"/>
  <c r="E267" i="16"/>
  <c r="F265" i="14"/>
  <c r="G265" i="14" s="1"/>
  <c r="H265" i="14" s="1"/>
  <c r="B268" i="18"/>
  <c r="A269" i="18"/>
  <c r="P263" i="14"/>
  <c r="Q263" i="14" s="1"/>
  <c r="AB263" i="20"/>
  <c r="AC263" i="20" s="1"/>
  <c r="J265" i="14"/>
  <c r="K265" i="14" s="1"/>
  <c r="C263" i="23"/>
  <c r="G264" i="23"/>
  <c r="F264" i="23"/>
  <c r="K264" i="23"/>
  <c r="C268" i="18" s="1"/>
  <c r="A265" i="23"/>
  <c r="AD262" i="20"/>
  <c r="AE262" i="20" s="1"/>
  <c r="H267" i="4"/>
  <c r="G267" i="4"/>
  <c r="D268" i="16"/>
  <c r="A268" i="16"/>
  <c r="B268" i="16"/>
  <c r="C269" i="16"/>
  <c r="S263" i="14"/>
  <c r="T263" i="14" s="1"/>
  <c r="O264" i="14"/>
  <c r="R264" i="14"/>
  <c r="M265" i="14"/>
  <c r="N265" i="14" s="1"/>
  <c r="AA263" i="20" l="1"/>
  <c r="I265" i="23"/>
  <c r="J265" i="23"/>
  <c r="L267" i="14"/>
  <c r="R265" i="14"/>
  <c r="S265" i="14" s="1"/>
  <c r="T265" i="14" s="1"/>
  <c r="E263" i="23"/>
  <c r="H265" i="23"/>
  <c r="C265" i="14"/>
  <c r="D265" i="14" s="1"/>
  <c r="E265" i="14" s="1"/>
  <c r="E268" i="16"/>
  <c r="J266" i="14"/>
  <c r="K266" i="14" s="1"/>
  <c r="O266" i="14"/>
  <c r="S264" i="14"/>
  <c r="T264" i="14" s="1"/>
  <c r="B269" i="16"/>
  <c r="D269" i="16"/>
  <c r="A269" i="16"/>
  <c r="C270" i="16"/>
  <c r="F266" i="14"/>
  <c r="P264" i="14"/>
  <c r="Q264" i="14" s="1"/>
  <c r="B269" i="18"/>
  <c r="A270" i="18"/>
  <c r="M266" i="14"/>
  <c r="N266" i="14" s="1"/>
  <c r="I267" i="14"/>
  <c r="C264" i="23"/>
  <c r="F265" i="23"/>
  <c r="G265" i="23"/>
  <c r="K265" i="23"/>
  <c r="C269" i="18" s="1"/>
  <c r="A266" i="23"/>
  <c r="AB264" i="20"/>
  <c r="AC264" i="20" s="1"/>
  <c r="H268" i="4"/>
  <c r="G268" i="4"/>
  <c r="AD263" i="20"/>
  <c r="AE263" i="20" s="1"/>
  <c r="I266" i="23" l="1"/>
  <c r="J266" i="23"/>
  <c r="I268" i="14"/>
  <c r="AA264" i="20"/>
  <c r="E264" i="23"/>
  <c r="H266" i="23"/>
  <c r="E269" i="16"/>
  <c r="R266" i="14"/>
  <c r="S266" i="14" s="1"/>
  <c r="T266" i="14" s="1"/>
  <c r="C266" i="14"/>
  <c r="D266" i="14" s="1"/>
  <c r="E266" i="14" s="1"/>
  <c r="G269" i="4"/>
  <c r="H269" i="4"/>
  <c r="F267" i="14"/>
  <c r="M267" i="14"/>
  <c r="N267" i="14" s="1"/>
  <c r="AB265" i="20"/>
  <c r="AC265" i="20" s="1"/>
  <c r="G266" i="14"/>
  <c r="H266" i="14" s="1"/>
  <c r="J267" i="14"/>
  <c r="K267" i="14" s="1"/>
  <c r="D270" i="16"/>
  <c r="A270" i="16"/>
  <c r="B270" i="16"/>
  <c r="C271" i="16"/>
  <c r="P266" i="14"/>
  <c r="Q266" i="14" s="1"/>
  <c r="AD264" i="20"/>
  <c r="AE264" i="20" s="1"/>
  <c r="L268" i="14"/>
  <c r="C265" i="23"/>
  <c r="F266" i="23"/>
  <c r="G266" i="23"/>
  <c r="K266" i="23"/>
  <c r="C270" i="18" s="1"/>
  <c r="A267" i="23"/>
  <c r="B270" i="18"/>
  <c r="A271" i="18"/>
  <c r="I267" i="23" l="1"/>
  <c r="J267" i="23"/>
  <c r="I269" i="14"/>
  <c r="AA265" i="20"/>
  <c r="E265" i="23"/>
  <c r="H267" i="23"/>
  <c r="M268" i="14"/>
  <c r="N268" i="14" s="1"/>
  <c r="L269" i="14"/>
  <c r="AD265" i="20"/>
  <c r="AE265" i="20" s="1"/>
  <c r="J268" i="14"/>
  <c r="K268" i="14" s="1"/>
  <c r="G267" i="14"/>
  <c r="H267" i="14" s="1"/>
  <c r="AB266" i="20"/>
  <c r="B271" i="18"/>
  <c r="A272" i="18"/>
  <c r="F267" i="23"/>
  <c r="C266" i="23"/>
  <c r="G267" i="23"/>
  <c r="K267" i="23"/>
  <c r="C271" i="18" s="1"/>
  <c r="A268" i="23"/>
  <c r="D271" i="16"/>
  <c r="A271" i="16"/>
  <c r="B271" i="16"/>
  <c r="C272" i="16"/>
  <c r="F268" i="14"/>
  <c r="G270" i="4"/>
  <c r="H270" i="4"/>
  <c r="E270" i="16"/>
  <c r="C267" i="14"/>
  <c r="O267" i="14"/>
  <c r="R267" i="14"/>
  <c r="I268" i="23" l="1"/>
  <c r="J268" i="23"/>
  <c r="AA266" i="20"/>
  <c r="I270" i="14"/>
  <c r="E266" i="23"/>
  <c r="H268" i="23"/>
  <c r="O269" i="14"/>
  <c r="P269" i="14" s="1"/>
  <c r="Q269" i="14" s="1"/>
  <c r="C268" i="14"/>
  <c r="D268" i="14" s="1"/>
  <c r="E268" i="14" s="1"/>
  <c r="O268" i="14"/>
  <c r="R268" i="14"/>
  <c r="P267" i="14"/>
  <c r="Q267" i="14" s="1"/>
  <c r="AC266" i="20"/>
  <c r="G268" i="14"/>
  <c r="H268" i="14" s="1"/>
  <c r="AB267" i="20"/>
  <c r="AD266" i="20"/>
  <c r="L270" i="14"/>
  <c r="B272" i="18"/>
  <c r="A273" i="18"/>
  <c r="S267" i="14"/>
  <c r="T267" i="14" s="1"/>
  <c r="D267" i="14"/>
  <c r="E267" i="14" s="1"/>
  <c r="E271" i="16"/>
  <c r="M269" i="14"/>
  <c r="N269" i="14" s="1"/>
  <c r="G271" i="4"/>
  <c r="H271" i="4"/>
  <c r="J269" i="14"/>
  <c r="K269" i="14" s="1"/>
  <c r="B272" i="16"/>
  <c r="D272" i="16"/>
  <c r="A272" i="16"/>
  <c r="C273" i="16"/>
  <c r="F268" i="23"/>
  <c r="G268" i="23"/>
  <c r="C267" i="23"/>
  <c r="A269" i="23"/>
  <c r="K268" i="23"/>
  <c r="C272" i="18" s="1"/>
  <c r="I269" i="23" l="1"/>
  <c r="J269" i="23"/>
  <c r="AA267" i="20"/>
  <c r="AA268" i="20"/>
  <c r="E267" i="23"/>
  <c r="H269" i="23"/>
  <c r="R269" i="14"/>
  <c r="S269" i="14" s="1"/>
  <c r="T269" i="14" s="1"/>
  <c r="F270" i="14"/>
  <c r="G270" i="14" s="1"/>
  <c r="H270" i="14" s="1"/>
  <c r="E272" i="16"/>
  <c r="L271" i="14"/>
  <c r="AD267" i="20"/>
  <c r="I271" i="14"/>
  <c r="AE266" i="20"/>
  <c r="O270" i="14"/>
  <c r="P268" i="14"/>
  <c r="Q268" i="14" s="1"/>
  <c r="G272" i="4"/>
  <c r="H272" i="4"/>
  <c r="M270" i="14"/>
  <c r="N270" i="14" s="1"/>
  <c r="AB268" i="20"/>
  <c r="AC268" i="20" s="1"/>
  <c r="F269" i="14"/>
  <c r="C269" i="14"/>
  <c r="J270" i="14"/>
  <c r="K270" i="14" s="1"/>
  <c r="C268" i="23"/>
  <c r="F269" i="23"/>
  <c r="G269" i="23"/>
  <c r="K269" i="23"/>
  <c r="C273" i="18" s="1"/>
  <c r="A270" i="23"/>
  <c r="AC267" i="20"/>
  <c r="B273" i="16"/>
  <c r="D273" i="16"/>
  <c r="A273" i="16"/>
  <c r="C274" i="16"/>
  <c r="B273" i="18"/>
  <c r="A274" i="18"/>
  <c r="S268" i="14"/>
  <c r="T268" i="14" s="1"/>
  <c r="I270" i="23" l="1"/>
  <c r="J270" i="23"/>
  <c r="I272" i="14"/>
  <c r="L272" i="14"/>
  <c r="E268" i="23"/>
  <c r="H270" i="23"/>
  <c r="C270" i="14"/>
  <c r="D270" i="14" s="1"/>
  <c r="E270" i="14" s="1"/>
  <c r="E273" i="16"/>
  <c r="G273" i="4"/>
  <c r="H273" i="4"/>
  <c r="M271" i="14"/>
  <c r="N271" i="14" s="1"/>
  <c r="AB269" i="20"/>
  <c r="C269" i="23"/>
  <c r="G270" i="23"/>
  <c r="F270" i="23"/>
  <c r="K270" i="23"/>
  <c r="C274" i="18" s="1"/>
  <c r="A271" i="23"/>
  <c r="P270" i="14"/>
  <c r="Q270" i="14" s="1"/>
  <c r="R270" i="14"/>
  <c r="D269" i="14"/>
  <c r="E269" i="14" s="1"/>
  <c r="AD268" i="20"/>
  <c r="AE268" i="20" s="1"/>
  <c r="B274" i="18"/>
  <c r="A275" i="18"/>
  <c r="B274" i="16"/>
  <c r="D274" i="16"/>
  <c r="A274" i="16"/>
  <c r="C275" i="16"/>
  <c r="AE267" i="20"/>
  <c r="G269" i="14"/>
  <c r="H269" i="14" s="1"/>
  <c r="J271" i="14"/>
  <c r="K271" i="14" s="1"/>
  <c r="I271" i="23" l="1"/>
  <c r="J271" i="23"/>
  <c r="AA269" i="20"/>
  <c r="I273" i="14"/>
  <c r="AA270" i="20"/>
  <c r="E269" i="23"/>
  <c r="H271" i="23"/>
  <c r="F272" i="14"/>
  <c r="G272" i="14" s="1"/>
  <c r="H272" i="14" s="1"/>
  <c r="B275" i="16"/>
  <c r="D275" i="16"/>
  <c r="A275" i="16"/>
  <c r="C276" i="16"/>
  <c r="F271" i="14"/>
  <c r="C271" i="14"/>
  <c r="O271" i="14"/>
  <c r="R271" i="14"/>
  <c r="AC269" i="20"/>
  <c r="AD269" i="20"/>
  <c r="L273" i="14"/>
  <c r="J272" i="14"/>
  <c r="K272" i="14" s="1"/>
  <c r="G274" i="4"/>
  <c r="H274" i="4"/>
  <c r="M272" i="14"/>
  <c r="N272" i="14" s="1"/>
  <c r="S270" i="14"/>
  <c r="T270" i="14" s="1"/>
  <c r="C270" i="23"/>
  <c r="G271" i="23"/>
  <c r="F271" i="23"/>
  <c r="K271" i="23"/>
  <c r="C275" i="18" s="1"/>
  <c r="A272" i="23"/>
  <c r="AB270" i="20"/>
  <c r="AC270" i="20" s="1"/>
  <c r="B275" i="18"/>
  <c r="A276" i="18"/>
  <c r="E274" i="16"/>
  <c r="I272" i="23" l="1"/>
  <c r="J272" i="23"/>
  <c r="L274" i="14"/>
  <c r="I274" i="14"/>
  <c r="AA271" i="20"/>
  <c r="E270" i="23"/>
  <c r="H272" i="23"/>
  <c r="C272" i="14"/>
  <c r="E275" i="16"/>
  <c r="C271" i="23"/>
  <c r="F272" i="23"/>
  <c r="G272" i="23"/>
  <c r="A273" i="23"/>
  <c r="K272" i="23"/>
  <c r="C276" i="18" s="1"/>
  <c r="AD270" i="20"/>
  <c r="AE270" i="20" s="1"/>
  <c r="S271" i="14"/>
  <c r="T271" i="14" s="1"/>
  <c r="D276" i="16"/>
  <c r="A276" i="16"/>
  <c r="B276" i="16"/>
  <c r="C277" i="16"/>
  <c r="J273" i="14"/>
  <c r="K273" i="14" s="1"/>
  <c r="B276" i="18"/>
  <c r="A277" i="18"/>
  <c r="O272" i="14"/>
  <c r="R272" i="14"/>
  <c r="P271" i="14"/>
  <c r="Q271" i="14" s="1"/>
  <c r="F273" i="14"/>
  <c r="G275" i="4"/>
  <c r="H275" i="4"/>
  <c r="M273" i="14"/>
  <c r="N273" i="14" s="1"/>
  <c r="AE269" i="20"/>
  <c r="D271" i="14"/>
  <c r="E271" i="14" s="1"/>
  <c r="AB271" i="20"/>
  <c r="AC271" i="20" s="1"/>
  <c r="G271" i="14"/>
  <c r="H271" i="14" s="1"/>
  <c r="I273" i="23" l="1"/>
  <c r="J273" i="23"/>
  <c r="I275" i="14"/>
  <c r="AA272" i="20"/>
  <c r="E271" i="23"/>
  <c r="H273" i="23"/>
  <c r="O274" i="14"/>
  <c r="P274" i="14" s="1"/>
  <c r="Q274" i="14" s="1"/>
  <c r="F274" i="14"/>
  <c r="G274" i="14" s="1"/>
  <c r="H274" i="14" s="1"/>
  <c r="E276" i="16"/>
  <c r="C273" i="14"/>
  <c r="D273" i="14" s="1"/>
  <c r="E273" i="14" s="1"/>
  <c r="D272" i="14"/>
  <c r="E272" i="14" s="1"/>
  <c r="G273" i="14"/>
  <c r="H273" i="14" s="1"/>
  <c r="P272" i="14"/>
  <c r="Q272" i="14" s="1"/>
  <c r="G273" i="23"/>
  <c r="F273" i="23"/>
  <c r="C272" i="23"/>
  <c r="K273" i="23"/>
  <c r="C277" i="18" s="1"/>
  <c r="A274" i="23"/>
  <c r="M274" i="14"/>
  <c r="N274" i="14" s="1"/>
  <c r="AD271" i="20"/>
  <c r="AE271" i="20" s="1"/>
  <c r="L275" i="14"/>
  <c r="O273" i="14"/>
  <c r="R273" i="14"/>
  <c r="H276" i="4"/>
  <c r="G276" i="4"/>
  <c r="S272" i="14"/>
  <c r="T272" i="14" s="1"/>
  <c r="AB272" i="20"/>
  <c r="AC272" i="20" s="1"/>
  <c r="B277" i="18"/>
  <c r="A278" i="18"/>
  <c r="D277" i="16"/>
  <c r="B277" i="16"/>
  <c r="A277" i="16"/>
  <c r="C278" i="16"/>
  <c r="J274" i="14"/>
  <c r="K274" i="14" s="1"/>
  <c r="I274" i="23" l="1"/>
  <c r="J274" i="23"/>
  <c r="L276" i="14"/>
  <c r="I276" i="14"/>
  <c r="E272" i="23"/>
  <c r="H274" i="23"/>
  <c r="C274" i="14"/>
  <c r="D274" i="14" s="1"/>
  <c r="E274" i="14" s="1"/>
  <c r="R274" i="14"/>
  <c r="S274" i="14" s="1"/>
  <c r="T274" i="14" s="1"/>
  <c r="E277" i="16"/>
  <c r="F275" i="14"/>
  <c r="G275" i="14" s="1"/>
  <c r="H275" i="14" s="1"/>
  <c r="P273" i="14"/>
  <c r="Q273" i="14" s="1"/>
  <c r="A278" i="16"/>
  <c r="D278" i="16"/>
  <c r="B278" i="16"/>
  <c r="C279" i="16"/>
  <c r="AD272" i="20"/>
  <c r="AE272" i="20" s="1"/>
  <c r="S273" i="14"/>
  <c r="T273" i="14" s="1"/>
  <c r="M275" i="14"/>
  <c r="N275" i="14" s="1"/>
  <c r="G277" i="4"/>
  <c r="H277" i="4"/>
  <c r="B278" i="18"/>
  <c r="A279" i="18"/>
  <c r="C273" i="23"/>
  <c r="F274" i="23"/>
  <c r="G274" i="23"/>
  <c r="A275" i="23"/>
  <c r="K274" i="23"/>
  <c r="C278" i="18" s="1"/>
  <c r="AB273" i="20"/>
  <c r="J275" i="14"/>
  <c r="K275" i="14" s="1"/>
  <c r="O275" i="14"/>
  <c r="I275" i="23" l="1"/>
  <c r="J275" i="23"/>
  <c r="AA273" i="20"/>
  <c r="L277" i="14"/>
  <c r="AA274" i="20"/>
  <c r="E273" i="23"/>
  <c r="H275" i="23"/>
  <c r="C275" i="14"/>
  <c r="D275" i="14" s="1"/>
  <c r="E275" i="14" s="1"/>
  <c r="F276" i="14"/>
  <c r="G276" i="14" s="1"/>
  <c r="H276" i="14" s="1"/>
  <c r="E278" i="16"/>
  <c r="AC273" i="20"/>
  <c r="I277" i="14"/>
  <c r="AD273" i="20"/>
  <c r="B279" i="18"/>
  <c r="A280" i="18"/>
  <c r="AB274" i="20"/>
  <c r="M276" i="14"/>
  <c r="N276" i="14" s="1"/>
  <c r="B279" i="16"/>
  <c r="A279" i="16"/>
  <c r="D279" i="16"/>
  <c r="C280" i="16"/>
  <c r="C274" i="23"/>
  <c r="G275" i="23"/>
  <c r="F275" i="23"/>
  <c r="K275" i="23"/>
  <c r="C279" i="18" s="1"/>
  <c r="A276" i="23"/>
  <c r="P275" i="14"/>
  <c r="Q275" i="14" s="1"/>
  <c r="J276" i="14"/>
  <c r="K276" i="14" s="1"/>
  <c r="G278" i="4"/>
  <c r="H278" i="4"/>
  <c r="R275" i="14"/>
  <c r="I276" i="23" l="1"/>
  <c r="J276" i="23"/>
  <c r="I278" i="14"/>
  <c r="E274" i="23"/>
  <c r="H276" i="23"/>
  <c r="E279" i="16"/>
  <c r="C276" i="14"/>
  <c r="D276" i="14" s="1"/>
  <c r="E276" i="14" s="1"/>
  <c r="G279" i="4"/>
  <c r="H279" i="4"/>
  <c r="AC274" i="20"/>
  <c r="F276" i="23"/>
  <c r="C275" i="23"/>
  <c r="G276" i="23"/>
  <c r="A277" i="23"/>
  <c r="K276" i="23"/>
  <c r="C280" i="18" s="1"/>
  <c r="M277" i="14"/>
  <c r="N277" i="14" s="1"/>
  <c r="O276" i="14"/>
  <c r="R276" i="14"/>
  <c r="AE273" i="20"/>
  <c r="B280" i="18"/>
  <c r="A281" i="18"/>
  <c r="AB275" i="20"/>
  <c r="F277" i="14"/>
  <c r="J277" i="14"/>
  <c r="K277" i="14" s="1"/>
  <c r="S275" i="14"/>
  <c r="T275" i="14" s="1"/>
  <c r="B280" i="16"/>
  <c r="D280" i="16"/>
  <c r="A280" i="16"/>
  <c r="C281" i="16"/>
  <c r="AD274" i="20"/>
  <c r="L278" i="14"/>
  <c r="I277" i="23" l="1"/>
  <c r="J277" i="23"/>
  <c r="AA275" i="20"/>
  <c r="I279" i="14"/>
  <c r="E275" i="23"/>
  <c r="H277" i="23"/>
  <c r="F278" i="14"/>
  <c r="G278" i="14" s="1"/>
  <c r="H278" i="14" s="1"/>
  <c r="C277" i="14"/>
  <c r="D277" i="14" s="1"/>
  <c r="E277" i="14" s="1"/>
  <c r="B281" i="18"/>
  <c r="A282" i="18"/>
  <c r="P276" i="14"/>
  <c r="Q276" i="14" s="1"/>
  <c r="G277" i="14"/>
  <c r="H277" i="14" s="1"/>
  <c r="AD275" i="20"/>
  <c r="L279" i="14"/>
  <c r="G277" i="23"/>
  <c r="F277" i="23"/>
  <c r="C276" i="23"/>
  <c r="K277" i="23"/>
  <c r="C281" i="18" s="1"/>
  <c r="A278" i="23"/>
  <c r="H280" i="4"/>
  <c r="G280" i="4"/>
  <c r="AB276" i="20"/>
  <c r="AC275" i="20"/>
  <c r="D281" i="16"/>
  <c r="B281" i="16"/>
  <c r="A281" i="16"/>
  <c r="C282" i="16"/>
  <c r="M278" i="14"/>
  <c r="N278" i="14" s="1"/>
  <c r="E280" i="16"/>
  <c r="J278" i="14"/>
  <c r="K278" i="14" s="1"/>
  <c r="O277" i="14"/>
  <c r="R277" i="14"/>
  <c r="S276" i="14"/>
  <c r="T276" i="14" s="1"/>
  <c r="AE274" i="20"/>
  <c r="O278" i="14"/>
  <c r="I278" i="23" l="1"/>
  <c r="J278" i="23"/>
  <c r="I280" i="14"/>
  <c r="AA276" i="20"/>
  <c r="E276" i="23"/>
  <c r="H278" i="23"/>
  <c r="C278" i="14"/>
  <c r="F279" i="14"/>
  <c r="G279" i="14" s="1"/>
  <c r="H279" i="14" s="1"/>
  <c r="P278" i="14"/>
  <c r="Q278" i="14" s="1"/>
  <c r="S277" i="14"/>
  <c r="T277" i="14" s="1"/>
  <c r="E281" i="16"/>
  <c r="G281" i="4"/>
  <c r="H281" i="4"/>
  <c r="AB277" i="20"/>
  <c r="AC277" i="20" s="1"/>
  <c r="J279" i="14"/>
  <c r="K279" i="14" s="1"/>
  <c r="R278" i="14"/>
  <c r="B282" i="18"/>
  <c r="A283" i="18"/>
  <c r="AC276" i="20"/>
  <c r="AD276" i="20"/>
  <c r="L280" i="14"/>
  <c r="P277" i="14"/>
  <c r="Q277" i="14" s="1"/>
  <c r="D282" i="16"/>
  <c r="B282" i="16"/>
  <c r="A282" i="16"/>
  <c r="C283" i="16"/>
  <c r="AE275" i="20"/>
  <c r="F278" i="23"/>
  <c r="G278" i="23"/>
  <c r="C277" i="23"/>
  <c r="K278" i="23"/>
  <c r="C282" i="18" s="1"/>
  <c r="A279" i="23"/>
  <c r="M279" i="14"/>
  <c r="N279" i="14" s="1"/>
  <c r="I279" i="23" l="1"/>
  <c r="J279" i="23"/>
  <c r="AA277" i="20"/>
  <c r="L281" i="14"/>
  <c r="E277" i="23"/>
  <c r="H279" i="23"/>
  <c r="C279" i="14"/>
  <c r="D279" i="14" s="1"/>
  <c r="E279" i="14" s="1"/>
  <c r="D278" i="14"/>
  <c r="E278" i="14" s="1"/>
  <c r="E282" i="16"/>
  <c r="B283" i="16"/>
  <c r="D283" i="16"/>
  <c r="A283" i="16"/>
  <c r="C284" i="16"/>
  <c r="M280" i="14"/>
  <c r="N280" i="14" s="1"/>
  <c r="S278" i="14"/>
  <c r="T278" i="14" s="1"/>
  <c r="I281" i="14"/>
  <c r="B283" i="18"/>
  <c r="A284" i="18"/>
  <c r="J280" i="14"/>
  <c r="K280" i="14" s="1"/>
  <c r="AB278" i="20"/>
  <c r="F279" i="23"/>
  <c r="G279" i="23"/>
  <c r="C278" i="23"/>
  <c r="K279" i="23"/>
  <c r="C283" i="18" s="1"/>
  <c r="A280" i="23"/>
  <c r="F280" i="14"/>
  <c r="G282" i="4"/>
  <c r="H282" i="4"/>
  <c r="O279" i="14"/>
  <c r="R279" i="14"/>
  <c r="AE276" i="20"/>
  <c r="AD277" i="20"/>
  <c r="AE277" i="20" s="1"/>
  <c r="I280" i="23" l="1"/>
  <c r="J280" i="23"/>
  <c r="I282" i="14"/>
  <c r="AA278" i="20"/>
  <c r="AA279" i="20"/>
  <c r="E278" i="23"/>
  <c r="H280" i="23"/>
  <c r="E283" i="16"/>
  <c r="O281" i="14"/>
  <c r="P281" i="14" s="1"/>
  <c r="Q281" i="14" s="1"/>
  <c r="C280" i="14"/>
  <c r="D280" i="14" s="1"/>
  <c r="E280" i="14" s="1"/>
  <c r="O280" i="14"/>
  <c r="R280" i="14"/>
  <c r="AB279" i="20"/>
  <c r="M281" i="14"/>
  <c r="N281" i="14" s="1"/>
  <c r="S279" i="14"/>
  <c r="T279" i="14" s="1"/>
  <c r="AC278" i="20"/>
  <c r="AD278" i="20"/>
  <c r="L282" i="14"/>
  <c r="P279" i="14"/>
  <c r="Q279" i="14" s="1"/>
  <c r="H283" i="4"/>
  <c r="G283" i="4"/>
  <c r="C279" i="23"/>
  <c r="G280" i="23"/>
  <c r="F280" i="23"/>
  <c r="A281" i="23"/>
  <c r="K280" i="23"/>
  <c r="C284" i="18" s="1"/>
  <c r="B284" i="18"/>
  <c r="A285" i="18"/>
  <c r="B284" i="16"/>
  <c r="D284" i="16"/>
  <c r="A284" i="16"/>
  <c r="C285" i="16"/>
  <c r="G280" i="14"/>
  <c r="H280" i="14" s="1"/>
  <c r="J281" i="14"/>
  <c r="K281" i="14" s="1"/>
  <c r="I281" i="23" l="1"/>
  <c r="J281" i="23"/>
  <c r="L283" i="14"/>
  <c r="I283" i="14"/>
  <c r="E279" i="23"/>
  <c r="H281" i="23"/>
  <c r="E284" i="16"/>
  <c r="R281" i="14"/>
  <c r="F281" i="14"/>
  <c r="C281" i="14"/>
  <c r="D281" i="14" s="1"/>
  <c r="E281" i="14" s="1"/>
  <c r="J282" i="14"/>
  <c r="K282" i="14" s="1"/>
  <c r="C280" i="23"/>
  <c r="F281" i="23"/>
  <c r="G281" i="23"/>
  <c r="K281" i="23"/>
  <c r="C285" i="18" s="1"/>
  <c r="A282" i="23"/>
  <c r="AE278" i="20"/>
  <c r="AB280" i="20"/>
  <c r="AC280" i="20" s="1"/>
  <c r="B285" i="18"/>
  <c r="A286" i="18"/>
  <c r="F282" i="14"/>
  <c r="AC279" i="20"/>
  <c r="S280" i="14"/>
  <c r="T280" i="14" s="1"/>
  <c r="D285" i="16"/>
  <c r="B285" i="16"/>
  <c r="A285" i="16"/>
  <c r="C286" i="16"/>
  <c r="H284" i="4"/>
  <c r="G284" i="4"/>
  <c r="M282" i="14"/>
  <c r="N282" i="14" s="1"/>
  <c r="AD279" i="20"/>
  <c r="P280" i="14"/>
  <c r="Q280" i="14" s="1"/>
  <c r="I282" i="23" l="1"/>
  <c r="J282" i="23"/>
  <c r="AA280" i="20"/>
  <c r="I284" i="14"/>
  <c r="E280" i="23"/>
  <c r="H282" i="23"/>
  <c r="C282" i="14"/>
  <c r="D282" i="14" s="1"/>
  <c r="E282" i="14" s="1"/>
  <c r="S281" i="14"/>
  <c r="T281" i="14" s="1"/>
  <c r="F283" i="14"/>
  <c r="G283" i="14" s="1"/>
  <c r="H283" i="14" s="1"/>
  <c r="G281" i="14"/>
  <c r="H281" i="14" s="1"/>
  <c r="C281" i="23"/>
  <c r="G282" i="23"/>
  <c r="F282" i="23"/>
  <c r="K282" i="23"/>
  <c r="C286" i="18" s="1"/>
  <c r="A283" i="23"/>
  <c r="AB281" i="20"/>
  <c r="B286" i="16"/>
  <c r="D286" i="16"/>
  <c r="A286" i="16"/>
  <c r="C287" i="16"/>
  <c r="B286" i="18"/>
  <c r="A287" i="18"/>
  <c r="M283" i="14"/>
  <c r="N283" i="14" s="1"/>
  <c r="G285" i="4"/>
  <c r="H285" i="4"/>
  <c r="G282" i="14"/>
  <c r="H282" i="14" s="1"/>
  <c r="L284" i="14"/>
  <c r="AD280" i="20"/>
  <c r="AE280" i="20" s="1"/>
  <c r="J283" i="14"/>
  <c r="K283" i="14" s="1"/>
  <c r="E285" i="16"/>
  <c r="AE279" i="20"/>
  <c r="O282" i="14"/>
  <c r="R282" i="14"/>
  <c r="I283" i="23" l="1"/>
  <c r="J283" i="23"/>
  <c r="L285" i="14"/>
  <c r="AA281" i="20"/>
  <c r="C283" i="14"/>
  <c r="D283" i="14" s="1"/>
  <c r="E283" i="14" s="1"/>
  <c r="E281" i="23"/>
  <c r="H283" i="23"/>
  <c r="O284" i="14"/>
  <c r="P284" i="14" s="1"/>
  <c r="Q284" i="14" s="1"/>
  <c r="F284" i="14"/>
  <c r="G284" i="14" s="1"/>
  <c r="H284" i="14" s="1"/>
  <c r="M284" i="14"/>
  <c r="N284" i="14" s="1"/>
  <c r="S282" i="14"/>
  <c r="T282" i="14" s="1"/>
  <c r="AC281" i="20"/>
  <c r="B287" i="18"/>
  <c r="A288" i="18"/>
  <c r="P282" i="14"/>
  <c r="Q282" i="14" s="1"/>
  <c r="G286" i="4"/>
  <c r="H286" i="4"/>
  <c r="I285" i="14"/>
  <c r="O283" i="14"/>
  <c r="R283" i="14"/>
  <c r="J284" i="14"/>
  <c r="K284" i="14" s="1"/>
  <c r="B287" i="16"/>
  <c r="D287" i="16"/>
  <c r="A287" i="16"/>
  <c r="C288" i="16"/>
  <c r="AD281" i="20"/>
  <c r="AB282" i="20"/>
  <c r="AC282" i="20" s="1"/>
  <c r="G283" i="23"/>
  <c r="F283" i="23"/>
  <c r="C282" i="23"/>
  <c r="K283" i="23"/>
  <c r="C287" i="18" s="1"/>
  <c r="A284" i="23"/>
  <c r="E286" i="16"/>
  <c r="I284" i="23" l="1"/>
  <c r="J284" i="23"/>
  <c r="AA282" i="20"/>
  <c r="L286" i="14"/>
  <c r="AA283" i="20"/>
  <c r="E282" i="23"/>
  <c r="H284" i="23"/>
  <c r="C284" i="14"/>
  <c r="D284" i="14" s="1"/>
  <c r="E284" i="14" s="1"/>
  <c r="F285" i="14"/>
  <c r="G285" i="14" s="1"/>
  <c r="H285" i="14" s="1"/>
  <c r="R284" i="14"/>
  <c r="S284" i="14" s="1"/>
  <c r="T284" i="14" s="1"/>
  <c r="AD282" i="20"/>
  <c r="AE282" i="20" s="1"/>
  <c r="AB283" i="20"/>
  <c r="M285" i="14"/>
  <c r="N285" i="14" s="1"/>
  <c r="E287" i="16"/>
  <c r="J285" i="14"/>
  <c r="K285" i="14" s="1"/>
  <c r="AE281" i="20"/>
  <c r="O285" i="14"/>
  <c r="P283" i="14"/>
  <c r="Q283" i="14" s="1"/>
  <c r="G284" i="23"/>
  <c r="C283" i="23"/>
  <c r="F284" i="23"/>
  <c r="A285" i="23"/>
  <c r="K284" i="23"/>
  <c r="C288" i="18" s="1"/>
  <c r="S283" i="14"/>
  <c r="T283" i="14" s="1"/>
  <c r="G287" i="4"/>
  <c r="H287" i="4"/>
  <c r="B288" i="18"/>
  <c r="A289" i="18"/>
  <c r="I286" i="14"/>
  <c r="A288" i="16"/>
  <c r="B288" i="16"/>
  <c r="D288" i="16"/>
  <c r="C289" i="16"/>
  <c r="I285" i="23" l="1"/>
  <c r="J285" i="23"/>
  <c r="I287" i="14"/>
  <c r="L287" i="14"/>
  <c r="AA284" i="20"/>
  <c r="E283" i="23"/>
  <c r="H285" i="23"/>
  <c r="E288" i="16"/>
  <c r="C285" i="14"/>
  <c r="D285" i="14" s="1"/>
  <c r="E285" i="14" s="1"/>
  <c r="O286" i="14"/>
  <c r="P286" i="14" s="1"/>
  <c r="Q286" i="14" s="1"/>
  <c r="R285" i="14"/>
  <c r="S285" i="14" s="1"/>
  <c r="T285" i="14" s="1"/>
  <c r="AB284" i="20"/>
  <c r="B289" i="16"/>
  <c r="D289" i="16"/>
  <c r="A289" i="16"/>
  <c r="C290" i="16"/>
  <c r="AC283" i="20"/>
  <c r="F286" i="14"/>
  <c r="G288" i="4"/>
  <c r="H288" i="4"/>
  <c r="C284" i="23"/>
  <c r="G285" i="23"/>
  <c r="F285" i="23"/>
  <c r="A286" i="23"/>
  <c r="K285" i="23"/>
  <c r="C289" i="18" s="1"/>
  <c r="P285" i="14"/>
  <c r="Q285" i="14" s="1"/>
  <c r="B289" i="18"/>
  <c r="A290" i="18"/>
  <c r="J286" i="14"/>
  <c r="K286" i="14" s="1"/>
  <c r="AD283" i="20"/>
  <c r="M286" i="14"/>
  <c r="N286" i="14" s="1"/>
  <c r="I286" i="23" l="1"/>
  <c r="J286" i="23"/>
  <c r="L288" i="14"/>
  <c r="I288" i="14"/>
  <c r="AA285" i="20"/>
  <c r="E284" i="23"/>
  <c r="H286" i="23"/>
  <c r="R286" i="14"/>
  <c r="S286" i="14" s="1"/>
  <c r="T286" i="14" s="1"/>
  <c r="C286" i="14"/>
  <c r="D286" i="14" s="1"/>
  <c r="E286" i="14" s="1"/>
  <c r="AC284" i="20"/>
  <c r="G289" i="4"/>
  <c r="H289" i="4"/>
  <c r="AE283" i="20"/>
  <c r="O287" i="14"/>
  <c r="J287" i="14"/>
  <c r="K287" i="14" s="1"/>
  <c r="M287" i="14"/>
  <c r="N287" i="14" s="1"/>
  <c r="AB285" i="20"/>
  <c r="AC285" i="20" s="1"/>
  <c r="AD284" i="20"/>
  <c r="B290" i="18"/>
  <c r="A291" i="18"/>
  <c r="C285" i="23"/>
  <c r="F286" i="23"/>
  <c r="G286" i="23"/>
  <c r="K286" i="23"/>
  <c r="C290" i="18" s="1"/>
  <c r="A287" i="23"/>
  <c r="D290" i="16"/>
  <c r="B290" i="16"/>
  <c r="A290" i="16"/>
  <c r="C291" i="16"/>
  <c r="G286" i="14"/>
  <c r="H286" i="14" s="1"/>
  <c r="E289" i="16"/>
  <c r="F287" i="14"/>
  <c r="I287" i="23" l="1"/>
  <c r="J287" i="23"/>
  <c r="L289" i="14"/>
  <c r="I289" i="14"/>
  <c r="AA286" i="20"/>
  <c r="E285" i="23"/>
  <c r="H287" i="23"/>
  <c r="F288" i="14"/>
  <c r="G288" i="14" s="1"/>
  <c r="H288" i="14" s="1"/>
  <c r="R287" i="14"/>
  <c r="G287" i="14"/>
  <c r="H287" i="14" s="1"/>
  <c r="AE284" i="20"/>
  <c r="O288" i="14"/>
  <c r="D291" i="16"/>
  <c r="A291" i="16"/>
  <c r="B291" i="16"/>
  <c r="C292" i="16"/>
  <c r="F287" i="23"/>
  <c r="C286" i="23"/>
  <c r="G287" i="23"/>
  <c r="K287" i="23"/>
  <c r="C291" i="18" s="1"/>
  <c r="A288" i="23"/>
  <c r="AD285" i="20"/>
  <c r="AE285" i="20" s="1"/>
  <c r="J288" i="14"/>
  <c r="K288" i="14" s="1"/>
  <c r="G290" i="4"/>
  <c r="H290" i="4"/>
  <c r="AB286" i="20"/>
  <c r="AC286" i="20" s="1"/>
  <c r="E290" i="16"/>
  <c r="M288" i="14"/>
  <c r="N288" i="14" s="1"/>
  <c r="C287" i="14"/>
  <c r="B291" i="18"/>
  <c r="A292" i="18"/>
  <c r="P287" i="14"/>
  <c r="Q287" i="14" s="1"/>
  <c r="I288" i="23" l="1"/>
  <c r="J288" i="23"/>
  <c r="I290" i="14"/>
  <c r="E286" i="23"/>
  <c r="H288" i="23"/>
  <c r="R288" i="14"/>
  <c r="S288" i="14" s="1"/>
  <c r="T288" i="14" s="1"/>
  <c r="C288" i="14"/>
  <c r="D288" i="14" s="1"/>
  <c r="E288" i="14" s="1"/>
  <c r="S287" i="14"/>
  <c r="T287" i="14" s="1"/>
  <c r="E291" i="16"/>
  <c r="L290" i="14"/>
  <c r="AD286" i="20"/>
  <c r="AE286" i="20" s="1"/>
  <c r="D292" i="16"/>
  <c r="B292" i="16"/>
  <c r="A292" i="16"/>
  <c r="C293" i="16"/>
  <c r="B292" i="18"/>
  <c r="A293" i="18"/>
  <c r="P288" i="14"/>
  <c r="Q288" i="14" s="1"/>
  <c r="J289" i="14"/>
  <c r="K289" i="14" s="1"/>
  <c r="D287" i="14"/>
  <c r="E287" i="14" s="1"/>
  <c r="G288" i="23"/>
  <c r="C287" i="23"/>
  <c r="F288" i="23"/>
  <c r="A289" i="23"/>
  <c r="K288" i="23"/>
  <c r="C292" i="18" s="1"/>
  <c r="F289" i="14"/>
  <c r="AB287" i="20"/>
  <c r="AC287" i="20" s="1"/>
  <c r="G291" i="4"/>
  <c r="H291" i="4"/>
  <c r="M289" i="14"/>
  <c r="N289" i="14" s="1"/>
  <c r="I289" i="23" l="1"/>
  <c r="J289" i="23"/>
  <c r="AA287" i="20"/>
  <c r="L291" i="14"/>
  <c r="E287" i="23"/>
  <c r="H289" i="23"/>
  <c r="F290" i="14"/>
  <c r="G290" i="14" s="1"/>
  <c r="H290" i="14" s="1"/>
  <c r="C289" i="14"/>
  <c r="D289" i="14" s="1"/>
  <c r="E289" i="14" s="1"/>
  <c r="E292" i="16"/>
  <c r="O289" i="14"/>
  <c r="P289" i="14" s="1"/>
  <c r="Q289" i="14" s="1"/>
  <c r="R289" i="14"/>
  <c r="S289" i="14" s="1"/>
  <c r="T289" i="14" s="1"/>
  <c r="O290" i="14"/>
  <c r="P290" i="14" s="1"/>
  <c r="AB288" i="20"/>
  <c r="AC288" i="20" s="1"/>
  <c r="AD287" i="20"/>
  <c r="AE287" i="20" s="1"/>
  <c r="B293" i="18"/>
  <c r="A294" i="18"/>
  <c r="B293" i="16"/>
  <c r="A293" i="16"/>
  <c r="D293" i="16"/>
  <c r="C294" i="16"/>
  <c r="M290" i="14"/>
  <c r="N290" i="14" s="1"/>
  <c r="G289" i="14"/>
  <c r="H289" i="14" s="1"/>
  <c r="I291" i="14"/>
  <c r="H292" i="4"/>
  <c r="G292" i="4"/>
  <c r="C288" i="23"/>
  <c r="G289" i="23"/>
  <c r="F289" i="23"/>
  <c r="A290" i="23"/>
  <c r="K289" i="23"/>
  <c r="C293" i="18" s="1"/>
  <c r="J290" i="14"/>
  <c r="K290" i="14" s="1"/>
  <c r="I290" i="23" l="1"/>
  <c r="J290" i="23"/>
  <c r="AA288" i="20"/>
  <c r="I292" i="14"/>
  <c r="C290" i="14"/>
  <c r="D290" i="14" s="1"/>
  <c r="E290" i="14" s="1"/>
  <c r="E288" i="23"/>
  <c r="H290" i="23"/>
  <c r="Q290" i="14"/>
  <c r="O291" i="14"/>
  <c r="P291" i="14" s="1"/>
  <c r="Q291" i="14" s="1"/>
  <c r="R290" i="14"/>
  <c r="S290" i="14" s="1"/>
  <c r="T290" i="14" s="1"/>
  <c r="F291" i="14"/>
  <c r="AD288" i="20"/>
  <c r="AE288" i="20" s="1"/>
  <c r="L292" i="14"/>
  <c r="J291" i="14"/>
  <c r="K291" i="14" s="1"/>
  <c r="B294" i="16"/>
  <c r="D294" i="16"/>
  <c r="A294" i="16"/>
  <c r="C295" i="16"/>
  <c r="B294" i="18"/>
  <c r="A295" i="18"/>
  <c r="M291" i="14"/>
  <c r="N291" i="14" s="1"/>
  <c r="AB289" i="20"/>
  <c r="AC289" i="20" s="1"/>
  <c r="F290" i="23"/>
  <c r="C289" i="23"/>
  <c r="G290" i="23"/>
  <c r="K290" i="23"/>
  <c r="C294" i="18" s="1"/>
  <c r="A291" i="23"/>
  <c r="G293" i="4"/>
  <c r="H293" i="4"/>
  <c r="E293" i="16"/>
  <c r="I291" i="23" l="1"/>
  <c r="J291" i="23"/>
  <c r="AA289" i="20"/>
  <c r="I293" i="14"/>
  <c r="R291" i="14"/>
  <c r="S291" i="14" s="1"/>
  <c r="T291" i="14" s="1"/>
  <c r="O292" i="14"/>
  <c r="P292" i="14" s="1"/>
  <c r="Q292" i="14" s="1"/>
  <c r="E289" i="23"/>
  <c r="H291" i="23"/>
  <c r="E294" i="16"/>
  <c r="B295" i="16"/>
  <c r="D295" i="16"/>
  <c r="A295" i="16"/>
  <c r="C296" i="16"/>
  <c r="B295" i="18"/>
  <c r="A296" i="18"/>
  <c r="AB290" i="20"/>
  <c r="G291" i="14"/>
  <c r="H291" i="14" s="1"/>
  <c r="J292" i="14"/>
  <c r="K292" i="14" s="1"/>
  <c r="C291" i="14"/>
  <c r="C290" i="23"/>
  <c r="G291" i="23"/>
  <c r="F291" i="23"/>
  <c r="K291" i="23"/>
  <c r="C295" i="18" s="1"/>
  <c r="A292" i="23"/>
  <c r="F292" i="14"/>
  <c r="G294" i="4"/>
  <c r="H294" i="4"/>
  <c r="AD289" i="20"/>
  <c r="AE289" i="20" s="1"/>
  <c r="L293" i="14"/>
  <c r="M292" i="14"/>
  <c r="N292" i="14" s="1"/>
  <c r="I292" i="23" l="1"/>
  <c r="J292" i="23"/>
  <c r="AA290" i="20"/>
  <c r="E295" i="16"/>
  <c r="R292" i="14"/>
  <c r="S292" i="14" s="1"/>
  <c r="T292" i="14" s="1"/>
  <c r="E290" i="23"/>
  <c r="H292" i="23"/>
  <c r="C292" i="14"/>
  <c r="D292" i="14" s="1"/>
  <c r="E292" i="14" s="1"/>
  <c r="F293" i="14"/>
  <c r="G293" i="14" s="1"/>
  <c r="H293" i="14" s="1"/>
  <c r="AC290" i="20"/>
  <c r="I294" i="14"/>
  <c r="M293" i="14"/>
  <c r="N293" i="14" s="1"/>
  <c r="G295" i="4"/>
  <c r="H295" i="4"/>
  <c r="AD290" i="20"/>
  <c r="L294" i="14"/>
  <c r="B296" i="18"/>
  <c r="A297" i="18"/>
  <c r="A296" i="16"/>
  <c r="B296" i="16"/>
  <c r="D296" i="16"/>
  <c r="C297" i="16"/>
  <c r="O293" i="14"/>
  <c r="AB291" i="20"/>
  <c r="AC291" i="20" s="1"/>
  <c r="G292" i="14"/>
  <c r="H292" i="14" s="1"/>
  <c r="D291" i="14"/>
  <c r="E291" i="14" s="1"/>
  <c r="J293" i="14"/>
  <c r="K293" i="14" s="1"/>
  <c r="F292" i="23"/>
  <c r="C291" i="23"/>
  <c r="G292" i="23"/>
  <c r="K292" i="23"/>
  <c r="C296" i="18" s="1"/>
  <c r="A293" i="23"/>
  <c r="I293" i="23" l="1"/>
  <c r="J293" i="23"/>
  <c r="AA291" i="20"/>
  <c r="I295" i="14"/>
  <c r="E291" i="23"/>
  <c r="H293" i="23"/>
  <c r="C293" i="14"/>
  <c r="D293" i="14" s="1"/>
  <c r="E293" i="14" s="1"/>
  <c r="R293" i="14"/>
  <c r="S293" i="14" s="1"/>
  <c r="T293" i="14" s="1"/>
  <c r="G293" i="23"/>
  <c r="F293" i="23"/>
  <c r="C292" i="23"/>
  <c r="K293" i="23"/>
  <c r="C297" i="18" s="1"/>
  <c r="A294" i="23"/>
  <c r="P293" i="14"/>
  <c r="Q293" i="14" s="1"/>
  <c r="D297" i="16"/>
  <c r="B297" i="16"/>
  <c r="A297" i="16"/>
  <c r="C298" i="16"/>
  <c r="B297" i="18"/>
  <c r="A298" i="18"/>
  <c r="H296" i="4"/>
  <c r="G296" i="4"/>
  <c r="AD291" i="20"/>
  <c r="AE291" i="20" s="1"/>
  <c r="L295" i="14"/>
  <c r="J294" i="14"/>
  <c r="K294" i="14" s="1"/>
  <c r="M294" i="14"/>
  <c r="N294" i="14" s="1"/>
  <c r="AB292" i="20"/>
  <c r="AC292" i="20" s="1"/>
  <c r="AE290" i="20"/>
  <c r="O294" i="14"/>
  <c r="E296" i="16"/>
  <c r="F294" i="14"/>
  <c r="I294" i="23" l="1"/>
  <c r="J294" i="23"/>
  <c r="L296" i="14"/>
  <c r="AA292" i="20"/>
  <c r="E292" i="23"/>
  <c r="H294" i="23"/>
  <c r="R294" i="14"/>
  <c r="S294" i="14" s="1"/>
  <c r="T294" i="14" s="1"/>
  <c r="C294" i="14"/>
  <c r="D294" i="14" s="1"/>
  <c r="E294" i="14" s="1"/>
  <c r="AD292" i="20"/>
  <c r="AE292" i="20" s="1"/>
  <c r="M295" i="14"/>
  <c r="N295" i="14" s="1"/>
  <c r="AB293" i="20"/>
  <c r="E297" i="16"/>
  <c r="J295" i="14"/>
  <c r="K295" i="14" s="1"/>
  <c r="O295" i="14"/>
  <c r="G297" i="4"/>
  <c r="H297" i="4"/>
  <c r="P294" i="14"/>
  <c r="Q294" i="14" s="1"/>
  <c r="B298" i="18"/>
  <c r="A299" i="18"/>
  <c r="C293" i="23"/>
  <c r="F294" i="23"/>
  <c r="G294" i="23"/>
  <c r="K294" i="23"/>
  <c r="C298" i="18" s="1"/>
  <c r="A295" i="23"/>
  <c r="G294" i="14"/>
  <c r="H294" i="14" s="1"/>
  <c r="F295" i="14"/>
  <c r="I296" i="14"/>
  <c r="D298" i="16"/>
  <c r="B298" i="16"/>
  <c r="A298" i="16"/>
  <c r="C299" i="16"/>
  <c r="I295" i="23" l="1"/>
  <c r="J295" i="23"/>
  <c r="AA293" i="20"/>
  <c r="L297" i="14"/>
  <c r="E293" i="23"/>
  <c r="H295" i="23"/>
  <c r="E298" i="16"/>
  <c r="AB294" i="20"/>
  <c r="M296" i="14"/>
  <c r="N296" i="14" s="1"/>
  <c r="B299" i="18"/>
  <c r="A300" i="18"/>
  <c r="C295" i="14"/>
  <c r="I297" i="14"/>
  <c r="O296" i="14"/>
  <c r="J296" i="14"/>
  <c r="K296" i="14" s="1"/>
  <c r="F296" i="14"/>
  <c r="G295" i="23"/>
  <c r="F295" i="23"/>
  <c r="C294" i="23"/>
  <c r="K295" i="23"/>
  <c r="C299" i="18" s="1"/>
  <c r="A296" i="23"/>
  <c r="P295" i="14"/>
  <c r="Q295" i="14" s="1"/>
  <c r="AD293" i="20"/>
  <c r="D299" i="16"/>
  <c r="B299" i="16"/>
  <c r="A299" i="16"/>
  <c r="C300" i="16"/>
  <c r="AC293" i="20"/>
  <c r="G295" i="14"/>
  <c r="H295" i="14" s="1"/>
  <c r="G298" i="4"/>
  <c r="H298" i="4"/>
  <c r="R295" i="14"/>
  <c r="I296" i="23" l="1"/>
  <c r="J296" i="23"/>
  <c r="I298" i="14"/>
  <c r="AA294" i="20"/>
  <c r="AA295" i="20"/>
  <c r="E294" i="23"/>
  <c r="H296" i="23"/>
  <c r="R296" i="14"/>
  <c r="S296" i="14" s="1"/>
  <c r="T296" i="14" s="1"/>
  <c r="E299" i="16"/>
  <c r="J297" i="14"/>
  <c r="K297" i="14" s="1"/>
  <c r="AB295" i="20"/>
  <c r="AC295" i="20" s="1"/>
  <c r="B300" i="16"/>
  <c r="D300" i="16"/>
  <c r="A300" i="16"/>
  <c r="C301" i="16"/>
  <c r="G296" i="23"/>
  <c r="C295" i="23"/>
  <c r="F296" i="23"/>
  <c r="K296" i="23"/>
  <c r="C300" i="18" s="1"/>
  <c r="A297" i="23"/>
  <c r="AD294" i="20"/>
  <c r="L298" i="14"/>
  <c r="AC294" i="20"/>
  <c r="M297" i="14"/>
  <c r="N297" i="14" s="1"/>
  <c r="F297" i="14"/>
  <c r="C296" i="14"/>
  <c r="H299" i="4"/>
  <c r="G299" i="4"/>
  <c r="G296" i="14"/>
  <c r="H296" i="14" s="1"/>
  <c r="B300" i="18"/>
  <c r="A301" i="18"/>
  <c r="S295" i="14"/>
  <c r="T295" i="14" s="1"/>
  <c r="AE293" i="20"/>
  <c r="O297" i="14"/>
  <c r="P296" i="14"/>
  <c r="Q296" i="14" s="1"/>
  <c r="D295" i="14"/>
  <c r="E295" i="14" s="1"/>
  <c r="I297" i="23" l="1"/>
  <c r="J297" i="23"/>
  <c r="I299" i="14"/>
  <c r="L299" i="14"/>
  <c r="E295" i="23"/>
  <c r="H297" i="23"/>
  <c r="E300" i="16"/>
  <c r="G297" i="14"/>
  <c r="H297" i="14" s="1"/>
  <c r="P297" i="14"/>
  <c r="Q297" i="14" s="1"/>
  <c r="J298" i="14"/>
  <c r="K298" i="14" s="1"/>
  <c r="B301" i="18"/>
  <c r="A302" i="18"/>
  <c r="H300" i="4"/>
  <c r="G300" i="4"/>
  <c r="D296" i="14"/>
  <c r="E296" i="14" s="1"/>
  <c r="C297" i="14"/>
  <c r="R297" i="14"/>
  <c r="AB296" i="20"/>
  <c r="AC296" i="20" s="1"/>
  <c r="AE294" i="20"/>
  <c r="M298" i="14"/>
  <c r="N298" i="14" s="1"/>
  <c r="C296" i="23"/>
  <c r="G297" i="23"/>
  <c r="F297" i="23"/>
  <c r="A298" i="23"/>
  <c r="K297" i="23"/>
  <c r="C301" i="18" s="1"/>
  <c r="B301" i="16"/>
  <c r="D301" i="16"/>
  <c r="A301" i="16"/>
  <c r="C302" i="16"/>
  <c r="AD295" i="20"/>
  <c r="AE295" i="20" s="1"/>
  <c r="I298" i="23" l="1"/>
  <c r="J298" i="23"/>
  <c r="AA296" i="20"/>
  <c r="L300" i="14"/>
  <c r="AA297" i="20"/>
  <c r="E296" i="23"/>
  <c r="H298" i="23"/>
  <c r="I300" i="14"/>
  <c r="B302" i="18"/>
  <c r="A303" i="18"/>
  <c r="AB297" i="20"/>
  <c r="G301" i="4"/>
  <c r="H301" i="4"/>
  <c r="B302" i="16"/>
  <c r="D302" i="16"/>
  <c r="A302" i="16"/>
  <c r="C303" i="16"/>
  <c r="D297" i="14"/>
  <c r="E297" i="14" s="1"/>
  <c r="F298" i="14"/>
  <c r="C298" i="14"/>
  <c r="S297" i="14"/>
  <c r="T297" i="14" s="1"/>
  <c r="M299" i="14"/>
  <c r="N299" i="14" s="1"/>
  <c r="E301" i="16"/>
  <c r="F298" i="23"/>
  <c r="C297" i="23"/>
  <c r="G298" i="23"/>
  <c r="K298" i="23"/>
  <c r="C302" i="18" s="1"/>
  <c r="A299" i="23"/>
  <c r="O298" i="14"/>
  <c r="R298" i="14"/>
  <c r="AD296" i="20"/>
  <c r="AE296" i="20" s="1"/>
  <c r="J299" i="14"/>
  <c r="K299" i="14" s="1"/>
  <c r="I299" i="23" l="1"/>
  <c r="J299" i="23"/>
  <c r="L301" i="14"/>
  <c r="I301" i="14"/>
  <c r="AA298" i="20"/>
  <c r="E297" i="23"/>
  <c r="H299" i="23"/>
  <c r="E302" i="16"/>
  <c r="B303" i="16"/>
  <c r="D303" i="16"/>
  <c r="A303" i="16"/>
  <c r="C304" i="16"/>
  <c r="G302" i="4"/>
  <c r="H302" i="4"/>
  <c r="P298" i="14"/>
  <c r="Q298" i="14" s="1"/>
  <c r="D298" i="14"/>
  <c r="E298" i="14" s="1"/>
  <c r="AB298" i="20"/>
  <c r="AC298" i="20" s="1"/>
  <c r="G298" i="14"/>
  <c r="H298" i="14" s="1"/>
  <c r="B303" i="18"/>
  <c r="A304" i="18"/>
  <c r="J300" i="14"/>
  <c r="K300" i="14" s="1"/>
  <c r="S298" i="14"/>
  <c r="T298" i="14" s="1"/>
  <c r="O299" i="14"/>
  <c r="R299" i="14"/>
  <c r="AC297" i="20"/>
  <c r="C298" i="23"/>
  <c r="G299" i="23"/>
  <c r="F299" i="23"/>
  <c r="K299" i="23"/>
  <c r="C303" i="18" s="1"/>
  <c r="A300" i="23"/>
  <c r="M300" i="14"/>
  <c r="N300" i="14" s="1"/>
  <c r="AD297" i="20"/>
  <c r="F299" i="14"/>
  <c r="C299" i="14"/>
  <c r="I300" i="23" l="1"/>
  <c r="J300" i="23"/>
  <c r="L302" i="14"/>
  <c r="AA299" i="20"/>
  <c r="E298" i="23"/>
  <c r="H300" i="23"/>
  <c r="E303" i="16"/>
  <c r="F301" i="14"/>
  <c r="G301" i="14" s="1"/>
  <c r="H301" i="14" s="1"/>
  <c r="M301" i="14"/>
  <c r="N301" i="14" s="1"/>
  <c r="S299" i="14"/>
  <c r="T299" i="14" s="1"/>
  <c r="J301" i="14"/>
  <c r="K301" i="14" s="1"/>
  <c r="O300" i="14"/>
  <c r="R300" i="14"/>
  <c r="AB299" i="20"/>
  <c r="AC299" i="20" s="1"/>
  <c r="D304" i="16"/>
  <c r="B304" i="16"/>
  <c r="A304" i="16"/>
  <c r="C305" i="16"/>
  <c r="D299" i="14"/>
  <c r="E299" i="14" s="1"/>
  <c r="P299" i="14"/>
  <c r="Q299" i="14" s="1"/>
  <c r="AD298" i="20"/>
  <c r="AE298" i="20" s="1"/>
  <c r="G299" i="14"/>
  <c r="H299" i="14" s="1"/>
  <c r="O301" i="14"/>
  <c r="AE297" i="20"/>
  <c r="B304" i="18"/>
  <c r="A305" i="18"/>
  <c r="G303" i="4"/>
  <c r="H303" i="4"/>
  <c r="I302" i="14"/>
  <c r="F300" i="23"/>
  <c r="C299" i="23"/>
  <c r="G300" i="23"/>
  <c r="K300" i="23"/>
  <c r="C304" i="18" s="1"/>
  <c r="A301" i="23"/>
  <c r="F300" i="14"/>
  <c r="C300" i="14"/>
  <c r="I301" i="23" l="1"/>
  <c r="J301" i="23"/>
  <c r="I303" i="14"/>
  <c r="L303" i="14"/>
  <c r="E299" i="23"/>
  <c r="H301" i="23"/>
  <c r="C301" i="14"/>
  <c r="D301" i="14" s="1"/>
  <c r="E301" i="14" s="1"/>
  <c r="E304" i="16"/>
  <c r="D300" i="14"/>
  <c r="E300" i="14" s="1"/>
  <c r="AB300" i="20"/>
  <c r="G301" i="23"/>
  <c r="F301" i="23"/>
  <c r="C300" i="23"/>
  <c r="K301" i="23"/>
  <c r="C305" i="18" s="1"/>
  <c r="A302" i="23"/>
  <c r="F302" i="14"/>
  <c r="R301" i="14"/>
  <c r="B305" i="16"/>
  <c r="A305" i="16"/>
  <c r="D305" i="16"/>
  <c r="C306" i="16"/>
  <c r="AD299" i="20"/>
  <c r="AE299" i="20" s="1"/>
  <c r="G300" i="14"/>
  <c r="H300" i="14" s="1"/>
  <c r="J302" i="14"/>
  <c r="K302" i="14" s="1"/>
  <c r="P301" i="14"/>
  <c r="Q301" i="14" s="1"/>
  <c r="M302" i="14"/>
  <c r="N302" i="14" s="1"/>
  <c r="P300" i="14"/>
  <c r="Q300" i="14" s="1"/>
  <c r="S300" i="14"/>
  <c r="T300" i="14" s="1"/>
  <c r="O302" i="14"/>
  <c r="G304" i="4"/>
  <c r="H304" i="4"/>
  <c r="B305" i="18"/>
  <c r="A306" i="18"/>
  <c r="I302" i="23" l="1"/>
  <c r="J302" i="23"/>
  <c r="AA300" i="20"/>
  <c r="L304" i="14"/>
  <c r="E300" i="23"/>
  <c r="H302" i="23"/>
  <c r="C302" i="14"/>
  <c r="D302" i="14" s="1"/>
  <c r="E302" i="14" s="1"/>
  <c r="R302" i="14"/>
  <c r="S302" i="14" s="1"/>
  <c r="T302" i="14" s="1"/>
  <c r="E305" i="16"/>
  <c r="M303" i="14"/>
  <c r="N303" i="14" s="1"/>
  <c r="F303" i="14"/>
  <c r="P302" i="14"/>
  <c r="Q302" i="14" s="1"/>
  <c r="B306" i="16"/>
  <c r="D306" i="16"/>
  <c r="A306" i="16"/>
  <c r="C307" i="16"/>
  <c r="I304" i="14"/>
  <c r="O303" i="14"/>
  <c r="G302" i="14"/>
  <c r="H302" i="14" s="1"/>
  <c r="G302" i="23"/>
  <c r="F302" i="23"/>
  <c r="C301" i="23"/>
  <c r="K302" i="23"/>
  <c r="C306" i="18" s="1"/>
  <c r="A303" i="23"/>
  <c r="AB301" i="20"/>
  <c r="AC301" i="20" s="1"/>
  <c r="J303" i="14"/>
  <c r="K303" i="14" s="1"/>
  <c r="G305" i="4"/>
  <c r="H305" i="4"/>
  <c r="S301" i="14"/>
  <c r="T301" i="14" s="1"/>
  <c r="AD300" i="20"/>
  <c r="AC300" i="20"/>
  <c r="B306" i="18"/>
  <c r="A307" i="18"/>
  <c r="I303" i="23" l="1"/>
  <c r="J303" i="23"/>
  <c r="AA301" i="20"/>
  <c r="L305" i="14"/>
  <c r="E301" i="23"/>
  <c r="H303" i="23"/>
  <c r="C303" i="14"/>
  <c r="D303" i="14" s="1"/>
  <c r="E303" i="14" s="1"/>
  <c r="M304" i="14"/>
  <c r="N304" i="14" s="1"/>
  <c r="P303" i="14"/>
  <c r="Q303" i="14" s="1"/>
  <c r="R303" i="14"/>
  <c r="G303" i="14"/>
  <c r="H303" i="14" s="1"/>
  <c r="B307" i="18"/>
  <c r="A308" i="18"/>
  <c r="I305" i="14"/>
  <c r="G306" i="4"/>
  <c r="H306" i="4"/>
  <c r="O304" i="14"/>
  <c r="AE300" i="20"/>
  <c r="AD301" i="20"/>
  <c r="AE301" i="20" s="1"/>
  <c r="G303" i="23"/>
  <c r="C302" i="23"/>
  <c r="F303" i="23"/>
  <c r="K303" i="23"/>
  <c r="C307" i="18" s="1"/>
  <c r="A304" i="23"/>
  <c r="AB302" i="20"/>
  <c r="AC302" i="20" s="1"/>
  <c r="D307" i="16"/>
  <c r="B307" i="16"/>
  <c r="A307" i="16"/>
  <c r="C308" i="16"/>
  <c r="J304" i="14"/>
  <c r="K304" i="14" s="1"/>
  <c r="E306" i="16"/>
  <c r="I304" i="23" l="1"/>
  <c r="J304" i="23"/>
  <c r="AA302" i="20"/>
  <c r="I306" i="14"/>
  <c r="E302" i="23"/>
  <c r="H304" i="23"/>
  <c r="E307" i="16"/>
  <c r="R304" i="14"/>
  <c r="S304" i="14" s="1"/>
  <c r="T304" i="14" s="1"/>
  <c r="F305" i="14"/>
  <c r="G305" i="14" s="1"/>
  <c r="H305" i="14" s="1"/>
  <c r="O305" i="14"/>
  <c r="G307" i="4"/>
  <c r="H307" i="4"/>
  <c r="J305" i="14"/>
  <c r="K305" i="14" s="1"/>
  <c r="M305" i="14"/>
  <c r="N305" i="14" s="1"/>
  <c r="B308" i="18"/>
  <c r="A309" i="18"/>
  <c r="D308" i="16"/>
  <c r="B308" i="16"/>
  <c r="A308" i="16"/>
  <c r="C309" i="16"/>
  <c r="F304" i="14"/>
  <c r="C304" i="14"/>
  <c r="G304" i="23"/>
  <c r="F304" i="23"/>
  <c r="C303" i="23"/>
  <c r="K304" i="23"/>
  <c r="C308" i="18" s="1"/>
  <c r="A305" i="23"/>
  <c r="P304" i="14"/>
  <c r="Q304" i="14" s="1"/>
  <c r="AB303" i="20"/>
  <c r="AC303" i="20" s="1"/>
  <c r="S303" i="14"/>
  <c r="T303" i="14" s="1"/>
  <c r="AD302" i="20"/>
  <c r="AE302" i="20" s="1"/>
  <c r="L306" i="14"/>
  <c r="I305" i="23" l="1"/>
  <c r="J305" i="23"/>
  <c r="L307" i="14"/>
  <c r="AA303" i="20"/>
  <c r="R305" i="14"/>
  <c r="S305" i="14" s="1"/>
  <c r="T305" i="14" s="1"/>
  <c r="E303" i="23"/>
  <c r="H305" i="23"/>
  <c r="C305" i="14"/>
  <c r="D305" i="14" s="1"/>
  <c r="E305" i="14" s="1"/>
  <c r="E308" i="16"/>
  <c r="I307" i="14"/>
  <c r="P305" i="14"/>
  <c r="Q305" i="14" s="1"/>
  <c r="AD303" i="20"/>
  <c r="AE303" i="20" s="1"/>
  <c r="D309" i="16"/>
  <c r="B309" i="16"/>
  <c r="A309" i="16"/>
  <c r="C310" i="16"/>
  <c r="D304" i="14"/>
  <c r="E304" i="14" s="1"/>
  <c r="B309" i="18"/>
  <c r="A310" i="18"/>
  <c r="AB304" i="20"/>
  <c r="AC304" i="20" s="1"/>
  <c r="H308" i="4"/>
  <c r="G308" i="4"/>
  <c r="J306" i="14"/>
  <c r="K306" i="14" s="1"/>
  <c r="M306" i="14"/>
  <c r="N306" i="14" s="1"/>
  <c r="C304" i="23"/>
  <c r="F305" i="23"/>
  <c r="G305" i="23"/>
  <c r="K305" i="23"/>
  <c r="C309" i="18" s="1"/>
  <c r="A306" i="23"/>
  <c r="G304" i="14"/>
  <c r="H304" i="14" s="1"/>
  <c r="O306" i="14"/>
  <c r="F306" i="14"/>
  <c r="I306" i="23" l="1"/>
  <c r="J306" i="23"/>
  <c r="AA304" i="20"/>
  <c r="AA305" i="20"/>
  <c r="E304" i="23"/>
  <c r="H306" i="23"/>
  <c r="O307" i="14"/>
  <c r="P307" i="14" s="1"/>
  <c r="Q307" i="14" s="1"/>
  <c r="F307" i="14"/>
  <c r="G307" i="14" s="1"/>
  <c r="H307" i="14" s="1"/>
  <c r="F306" i="23"/>
  <c r="G306" i="23"/>
  <c r="C305" i="23"/>
  <c r="K306" i="23"/>
  <c r="C310" i="18" s="1"/>
  <c r="A307" i="23"/>
  <c r="G309" i="4"/>
  <c r="H309" i="4"/>
  <c r="C306" i="14"/>
  <c r="AD304" i="20"/>
  <c r="AE304" i="20" s="1"/>
  <c r="L308" i="14"/>
  <c r="E309" i="16"/>
  <c r="M307" i="14"/>
  <c r="N307" i="14" s="1"/>
  <c r="I308" i="14"/>
  <c r="R306" i="14"/>
  <c r="G306" i="14"/>
  <c r="H306" i="14" s="1"/>
  <c r="AB305" i="20"/>
  <c r="AC305" i="20" s="1"/>
  <c r="P306" i="14"/>
  <c r="Q306" i="14" s="1"/>
  <c r="B310" i="18"/>
  <c r="A311" i="18"/>
  <c r="D310" i="16"/>
  <c r="B310" i="16"/>
  <c r="A310" i="16"/>
  <c r="C311" i="16"/>
  <c r="J307" i="14"/>
  <c r="K307" i="14" s="1"/>
  <c r="I307" i="23" l="1"/>
  <c r="J307" i="23"/>
  <c r="I309" i="14"/>
  <c r="L309" i="14"/>
  <c r="E305" i="23"/>
  <c r="H307" i="23"/>
  <c r="C307" i="14"/>
  <c r="D307" i="14" s="1"/>
  <c r="E307" i="14" s="1"/>
  <c r="R307" i="14"/>
  <c r="S307" i="14" s="1"/>
  <c r="T307" i="14" s="1"/>
  <c r="E310" i="16"/>
  <c r="AB306" i="20"/>
  <c r="AC306" i="20" s="1"/>
  <c r="J308" i="14"/>
  <c r="K308" i="14" s="1"/>
  <c r="G310" i="4"/>
  <c r="H310" i="4"/>
  <c r="AD305" i="20"/>
  <c r="AE305" i="20" s="1"/>
  <c r="M308" i="14"/>
  <c r="N308" i="14" s="1"/>
  <c r="B311" i="16"/>
  <c r="A311" i="16"/>
  <c r="D311" i="16"/>
  <c r="C312" i="16"/>
  <c r="B311" i="18"/>
  <c r="A312" i="18"/>
  <c r="S306" i="14"/>
  <c r="T306" i="14" s="1"/>
  <c r="F308" i="14"/>
  <c r="D306" i="14"/>
  <c r="E306" i="14" s="1"/>
  <c r="G307" i="23"/>
  <c r="C306" i="23"/>
  <c r="F307" i="23"/>
  <c r="K307" i="23"/>
  <c r="C311" i="18" s="1"/>
  <c r="A308" i="23"/>
  <c r="I308" i="23" l="1"/>
  <c r="J308" i="23"/>
  <c r="L310" i="14"/>
  <c r="AA306" i="20"/>
  <c r="E306" i="23"/>
  <c r="H308" i="23"/>
  <c r="E311" i="16"/>
  <c r="G311" i="4"/>
  <c r="H311" i="4"/>
  <c r="G308" i="14"/>
  <c r="H308" i="14" s="1"/>
  <c r="F309" i="14"/>
  <c r="B312" i="16"/>
  <c r="D312" i="16"/>
  <c r="A312" i="16"/>
  <c r="C313" i="16"/>
  <c r="C308" i="14"/>
  <c r="O308" i="14"/>
  <c r="R308" i="14"/>
  <c r="F308" i="23"/>
  <c r="G308" i="23"/>
  <c r="C307" i="23"/>
  <c r="A309" i="23"/>
  <c r="K308" i="23"/>
  <c r="C312" i="18" s="1"/>
  <c r="B312" i="18"/>
  <c r="A313" i="18"/>
  <c r="AB307" i="20"/>
  <c r="AC307" i="20" s="1"/>
  <c r="I310" i="14"/>
  <c r="J309" i="14"/>
  <c r="K309" i="14" s="1"/>
  <c r="AD306" i="20"/>
  <c r="AE306" i="20" s="1"/>
  <c r="M309" i="14"/>
  <c r="N309" i="14" s="1"/>
  <c r="I309" i="23" l="1"/>
  <c r="J309" i="23"/>
  <c r="AA307" i="20"/>
  <c r="I311" i="14"/>
  <c r="E307" i="23"/>
  <c r="C309" i="14"/>
  <c r="D309" i="14" s="1"/>
  <c r="E309" i="14" s="1"/>
  <c r="H309" i="23"/>
  <c r="F310" i="14"/>
  <c r="G310" i="14" s="1"/>
  <c r="H310" i="14" s="1"/>
  <c r="B313" i="18"/>
  <c r="A314" i="18"/>
  <c r="D308" i="14"/>
  <c r="E308" i="14" s="1"/>
  <c r="D313" i="16"/>
  <c r="B313" i="16"/>
  <c r="A313" i="16"/>
  <c r="C314" i="16"/>
  <c r="G309" i="14"/>
  <c r="H309" i="14" s="1"/>
  <c r="M310" i="14"/>
  <c r="N310" i="14" s="1"/>
  <c r="AD307" i="20"/>
  <c r="AE307" i="20" s="1"/>
  <c r="L311" i="14"/>
  <c r="S308" i="14"/>
  <c r="T308" i="14" s="1"/>
  <c r="E312" i="16"/>
  <c r="O309" i="14"/>
  <c r="R309" i="14"/>
  <c r="O310" i="14"/>
  <c r="J310" i="14"/>
  <c r="K310" i="14" s="1"/>
  <c r="G309" i="23"/>
  <c r="C308" i="23"/>
  <c r="F309" i="23"/>
  <c r="A310" i="23"/>
  <c r="K309" i="23"/>
  <c r="C313" i="18" s="1"/>
  <c r="P308" i="14"/>
  <c r="Q308" i="14" s="1"/>
  <c r="AB308" i="20"/>
  <c r="AC308" i="20" s="1"/>
  <c r="H312" i="4"/>
  <c r="G312" i="4"/>
  <c r="I310" i="23" l="1"/>
  <c r="J310" i="23"/>
  <c r="AA308" i="20"/>
  <c r="AA309" i="20"/>
  <c r="E313" i="16"/>
  <c r="E308" i="23"/>
  <c r="H310" i="23"/>
  <c r="C310" i="14"/>
  <c r="D310" i="14" s="1"/>
  <c r="E310" i="14" s="1"/>
  <c r="O311" i="14"/>
  <c r="P311" i="14" s="1"/>
  <c r="Q311" i="14" s="1"/>
  <c r="F311" i="14"/>
  <c r="G311" i="14" s="1"/>
  <c r="H311" i="14" s="1"/>
  <c r="AB309" i="20"/>
  <c r="F310" i="23"/>
  <c r="G310" i="23"/>
  <c r="C309" i="23"/>
  <c r="K310" i="23"/>
  <c r="C314" i="18" s="1"/>
  <c r="A311" i="23"/>
  <c r="S309" i="14"/>
  <c r="T309" i="14" s="1"/>
  <c r="I312" i="14"/>
  <c r="M311" i="14"/>
  <c r="N311" i="14" s="1"/>
  <c r="J311" i="14"/>
  <c r="K311" i="14" s="1"/>
  <c r="B314" i="18"/>
  <c r="A315" i="18"/>
  <c r="G313" i="4"/>
  <c r="H313" i="4"/>
  <c r="AD308" i="20"/>
  <c r="AE308" i="20" s="1"/>
  <c r="L312" i="14"/>
  <c r="P310" i="14"/>
  <c r="Q310" i="14" s="1"/>
  <c r="P309" i="14"/>
  <c r="Q309" i="14" s="1"/>
  <c r="A314" i="16"/>
  <c r="B314" i="16"/>
  <c r="D314" i="16"/>
  <c r="C315" i="16"/>
  <c r="R310" i="14"/>
  <c r="I311" i="23" l="1"/>
  <c r="J311" i="23"/>
  <c r="I313" i="14"/>
  <c r="L313" i="14"/>
  <c r="AA310" i="20"/>
  <c r="E309" i="23"/>
  <c r="H311" i="23"/>
  <c r="C311" i="14"/>
  <c r="D311" i="14" s="1"/>
  <c r="E311" i="14" s="1"/>
  <c r="R311" i="14"/>
  <c r="S311" i="14" s="1"/>
  <c r="T311" i="14" s="1"/>
  <c r="E314" i="16"/>
  <c r="AC309" i="20"/>
  <c r="G314" i="4"/>
  <c r="H314" i="4"/>
  <c r="F312" i="14"/>
  <c r="O312" i="14"/>
  <c r="AD309" i="20"/>
  <c r="B315" i="18"/>
  <c r="A316" i="18"/>
  <c r="J312" i="14"/>
  <c r="K312" i="14" s="1"/>
  <c r="M312" i="14"/>
  <c r="N312" i="14" s="1"/>
  <c r="C310" i="23"/>
  <c r="G311" i="23"/>
  <c r="F311" i="23"/>
  <c r="K311" i="23"/>
  <c r="C315" i="18" s="1"/>
  <c r="A312" i="23"/>
  <c r="A315" i="16"/>
  <c r="B315" i="16"/>
  <c r="D315" i="16"/>
  <c r="C316" i="16"/>
  <c r="S310" i="14"/>
  <c r="T310" i="14" s="1"/>
  <c r="AB310" i="20"/>
  <c r="AC310" i="20" s="1"/>
  <c r="I312" i="23" l="1"/>
  <c r="J312" i="23"/>
  <c r="L314" i="14"/>
  <c r="I314" i="14"/>
  <c r="E310" i="23"/>
  <c r="H312" i="23"/>
  <c r="C312" i="14"/>
  <c r="D312" i="14" s="1"/>
  <c r="E312" i="14" s="1"/>
  <c r="R312" i="14"/>
  <c r="S312" i="14" s="1"/>
  <c r="T312" i="14" s="1"/>
  <c r="AB311" i="20"/>
  <c r="B316" i="18"/>
  <c r="A317" i="18"/>
  <c r="M313" i="14"/>
  <c r="N313" i="14" s="1"/>
  <c r="P312" i="14"/>
  <c r="Q312" i="14" s="1"/>
  <c r="H315" i="4"/>
  <c r="G315" i="4"/>
  <c r="E315" i="16"/>
  <c r="AD310" i="20"/>
  <c r="AE310" i="20" s="1"/>
  <c r="D316" i="16"/>
  <c r="B316" i="16"/>
  <c r="A316" i="16"/>
  <c r="C317" i="16"/>
  <c r="G312" i="14"/>
  <c r="H312" i="14" s="1"/>
  <c r="AE309" i="20"/>
  <c r="J313" i="14"/>
  <c r="K313" i="14" s="1"/>
  <c r="C311" i="23"/>
  <c r="F312" i="23"/>
  <c r="G312" i="23"/>
  <c r="A313" i="23"/>
  <c r="K312" i="23"/>
  <c r="C316" i="18" s="1"/>
  <c r="I313" i="23" l="1"/>
  <c r="J313" i="23"/>
  <c r="AA311" i="20"/>
  <c r="L315" i="14"/>
  <c r="AA312" i="20"/>
  <c r="E311" i="23"/>
  <c r="H313" i="23"/>
  <c r="F314" i="14"/>
  <c r="G314" i="14" s="1"/>
  <c r="H314" i="14" s="1"/>
  <c r="O314" i="14"/>
  <c r="P314" i="14" s="1"/>
  <c r="Q314" i="14" s="1"/>
  <c r="E316" i="16"/>
  <c r="F313" i="23"/>
  <c r="G313" i="23"/>
  <c r="C312" i="23"/>
  <c r="A314" i="23"/>
  <c r="K313" i="23"/>
  <c r="C317" i="18" s="1"/>
  <c r="AD311" i="20"/>
  <c r="I315" i="14"/>
  <c r="H316" i="4"/>
  <c r="G316" i="4"/>
  <c r="B317" i="18"/>
  <c r="A318" i="18"/>
  <c r="AC311" i="20"/>
  <c r="AB312" i="20"/>
  <c r="AC312" i="20" s="1"/>
  <c r="F313" i="14"/>
  <c r="C313" i="14"/>
  <c r="O313" i="14"/>
  <c r="R313" i="14"/>
  <c r="B317" i="16"/>
  <c r="D317" i="16"/>
  <c r="A317" i="16"/>
  <c r="C318" i="16"/>
  <c r="M314" i="14"/>
  <c r="N314" i="14" s="1"/>
  <c r="J314" i="14"/>
  <c r="K314" i="14" s="1"/>
  <c r="I314" i="23" l="1"/>
  <c r="J314" i="23"/>
  <c r="L316" i="14"/>
  <c r="I316" i="14"/>
  <c r="E312" i="23"/>
  <c r="H314" i="23"/>
  <c r="R314" i="14"/>
  <c r="S314" i="14" s="1"/>
  <c r="T314" i="14" s="1"/>
  <c r="C314" i="14"/>
  <c r="D314" i="14" s="1"/>
  <c r="E317" i="16"/>
  <c r="B318" i="18"/>
  <c r="A319" i="18"/>
  <c r="AB313" i="20"/>
  <c r="M315" i="14"/>
  <c r="N315" i="14" s="1"/>
  <c r="D313" i="14"/>
  <c r="E313" i="14" s="1"/>
  <c r="G313" i="14"/>
  <c r="H313" i="14" s="1"/>
  <c r="AE311" i="20"/>
  <c r="O315" i="14"/>
  <c r="F315" i="14"/>
  <c r="G314" i="23"/>
  <c r="C313" i="23"/>
  <c r="F314" i="23"/>
  <c r="K314" i="23"/>
  <c r="C318" i="18" s="1"/>
  <c r="A315" i="23"/>
  <c r="P313" i="14"/>
  <c r="Q313" i="14" s="1"/>
  <c r="J315" i="14"/>
  <c r="K315" i="14" s="1"/>
  <c r="D318" i="16"/>
  <c r="B318" i="16"/>
  <c r="A318" i="16"/>
  <c r="C319" i="16"/>
  <c r="S313" i="14"/>
  <c r="T313" i="14" s="1"/>
  <c r="AD312" i="20"/>
  <c r="AE312" i="20" s="1"/>
  <c r="G317" i="4"/>
  <c r="H317" i="4"/>
  <c r="I315" i="23" l="1"/>
  <c r="J315" i="23"/>
  <c r="AA313" i="20"/>
  <c r="E313" i="23"/>
  <c r="H315" i="23"/>
  <c r="E314" i="14"/>
  <c r="E318" i="16"/>
  <c r="F316" i="14"/>
  <c r="G316" i="14" s="1"/>
  <c r="H316" i="14" s="1"/>
  <c r="G315" i="14"/>
  <c r="H315" i="14" s="1"/>
  <c r="P315" i="14"/>
  <c r="Q315" i="14" s="1"/>
  <c r="M316" i="14"/>
  <c r="N316" i="14" s="1"/>
  <c r="I317" i="14"/>
  <c r="B319" i="18"/>
  <c r="A320" i="18"/>
  <c r="AB314" i="20"/>
  <c r="AC314" i="20" s="1"/>
  <c r="F315" i="23"/>
  <c r="G315" i="23"/>
  <c r="C314" i="23"/>
  <c r="K315" i="23"/>
  <c r="C319" i="18" s="1"/>
  <c r="A316" i="23"/>
  <c r="C315" i="14"/>
  <c r="G318" i="4"/>
  <c r="H318" i="4"/>
  <c r="D319" i="16"/>
  <c r="B319" i="16"/>
  <c r="A319" i="16"/>
  <c r="C320" i="16"/>
  <c r="AC313" i="20"/>
  <c r="R315" i="14"/>
  <c r="J316" i="14"/>
  <c r="K316" i="14" s="1"/>
  <c r="O316" i="14"/>
  <c r="AD313" i="20"/>
  <c r="L317" i="14"/>
  <c r="I316" i="23" l="1"/>
  <c r="J316" i="23"/>
  <c r="AA314" i="20"/>
  <c r="I318" i="14"/>
  <c r="E314" i="23"/>
  <c r="H316" i="23"/>
  <c r="E319" i="16"/>
  <c r="C316" i="14"/>
  <c r="D316" i="14" s="1"/>
  <c r="E316" i="14" s="1"/>
  <c r="D315" i="14"/>
  <c r="E315" i="14" s="1"/>
  <c r="S315" i="14"/>
  <c r="T315" i="14" s="1"/>
  <c r="P316" i="14"/>
  <c r="Q316" i="14" s="1"/>
  <c r="AE313" i="20"/>
  <c r="AB315" i="20"/>
  <c r="AC315" i="20" s="1"/>
  <c r="B320" i="18"/>
  <c r="A321" i="18"/>
  <c r="M317" i="14"/>
  <c r="N317" i="14" s="1"/>
  <c r="B320" i="16"/>
  <c r="A320" i="16"/>
  <c r="D320" i="16"/>
  <c r="C321" i="16"/>
  <c r="F316" i="23"/>
  <c r="C315" i="23"/>
  <c r="G316" i="23"/>
  <c r="A317" i="23"/>
  <c r="K316" i="23"/>
  <c r="C320" i="18" s="1"/>
  <c r="J317" i="14"/>
  <c r="K317" i="14" s="1"/>
  <c r="R316" i="14"/>
  <c r="G319" i="4"/>
  <c r="H319" i="4"/>
  <c r="AD314" i="20"/>
  <c r="AE314" i="20" s="1"/>
  <c r="L318" i="14"/>
  <c r="F317" i="14"/>
  <c r="AA315" i="20" l="1"/>
  <c r="I317" i="23"/>
  <c r="J317" i="23"/>
  <c r="I319" i="14"/>
  <c r="AA316" i="20"/>
  <c r="E315" i="23"/>
  <c r="H317" i="23"/>
  <c r="M318" i="14"/>
  <c r="N318" i="14" s="1"/>
  <c r="G320" i="4"/>
  <c r="H320" i="4"/>
  <c r="O318" i="14"/>
  <c r="O317" i="14"/>
  <c r="R317" i="14"/>
  <c r="B321" i="16"/>
  <c r="A321" i="16"/>
  <c r="D321" i="16"/>
  <c r="C322" i="16"/>
  <c r="F318" i="14"/>
  <c r="AD315" i="20"/>
  <c r="AE315" i="20" s="1"/>
  <c r="L319" i="14"/>
  <c r="J318" i="14"/>
  <c r="K318" i="14" s="1"/>
  <c r="C317" i="14"/>
  <c r="G317" i="14"/>
  <c r="H317" i="14" s="1"/>
  <c r="S316" i="14"/>
  <c r="T316" i="14" s="1"/>
  <c r="C316" i="23"/>
  <c r="F317" i="23"/>
  <c r="G317" i="23"/>
  <c r="K317" i="23"/>
  <c r="C321" i="18" s="1"/>
  <c r="A318" i="23"/>
  <c r="AB316" i="20"/>
  <c r="AC316" i="20" s="1"/>
  <c r="E320" i="16"/>
  <c r="B321" i="18"/>
  <c r="A322" i="18"/>
  <c r="I318" i="23" l="1"/>
  <c r="J318" i="23"/>
  <c r="L320" i="14"/>
  <c r="I320" i="14"/>
  <c r="E316" i="23"/>
  <c r="H318" i="23"/>
  <c r="R318" i="14"/>
  <c r="S318" i="14" s="1"/>
  <c r="T318" i="14" s="1"/>
  <c r="C318" i="14"/>
  <c r="D318" i="14" s="1"/>
  <c r="E318" i="14" s="1"/>
  <c r="O319" i="14"/>
  <c r="P319" i="14" s="1"/>
  <c r="J319" i="14"/>
  <c r="K319" i="14" s="1"/>
  <c r="E321" i="16"/>
  <c r="AB317" i="20"/>
  <c r="P318" i="14"/>
  <c r="Q318" i="14" s="1"/>
  <c r="D317" i="14"/>
  <c r="E317" i="14" s="1"/>
  <c r="G318" i="14"/>
  <c r="H318" i="14" s="1"/>
  <c r="F318" i="23"/>
  <c r="C317" i="23"/>
  <c r="G318" i="23"/>
  <c r="K318" i="23"/>
  <c r="C322" i="18" s="1"/>
  <c r="A319" i="23"/>
  <c r="F319" i="14"/>
  <c r="M319" i="14"/>
  <c r="N319" i="14" s="1"/>
  <c r="D322" i="16"/>
  <c r="B322" i="16"/>
  <c r="A322" i="16"/>
  <c r="C323" i="16"/>
  <c r="S317" i="14"/>
  <c r="T317" i="14" s="1"/>
  <c r="G321" i="4"/>
  <c r="H321" i="4"/>
  <c r="B322" i="18"/>
  <c r="A323" i="18"/>
  <c r="AD316" i="20"/>
  <c r="AE316" i="20" s="1"/>
  <c r="P317" i="14"/>
  <c r="Q317" i="14" s="1"/>
  <c r="I319" i="23" l="1"/>
  <c r="J319" i="23"/>
  <c r="AA317" i="20"/>
  <c r="I321" i="14"/>
  <c r="E322" i="16"/>
  <c r="E317" i="23"/>
  <c r="H319" i="23"/>
  <c r="C319" i="14"/>
  <c r="D319" i="14" s="1"/>
  <c r="E319" i="14" s="1"/>
  <c r="R319" i="14"/>
  <c r="S319" i="14" s="1"/>
  <c r="T319" i="14" s="1"/>
  <c r="Q319" i="14"/>
  <c r="AB318" i="20"/>
  <c r="AC318" i="20" s="1"/>
  <c r="G319" i="14"/>
  <c r="H319" i="14" s="1"/>
  <c r="AC317" i="20"/>
  <c r="B323" i="18"/>
  <c r="A324" i="18"/>
  <c r="G322" i="4"/>
  <c r="H322" i="4"/>
  <c r="AD317" i="20"/>
  <c r="L321" i="14"/>
  <c r="J320" i="14"/>
  <c r="K320" i="14" s="1"/>
  <c r="M320" i="14"/>
  <c r="N320" i="14" s="1"/>
  <c r="D323" i="16"/>
  <c r="B323" i="16"/>
  <c r="A323" i="16"/>
  <c r="C324" i="16"/>
  <c r="F319" i="23"/>
  <c r="C318" i="23"/>
  <c r="G319" i="23"/>
  <c r="A320" i="23"/>
  <c r="K319" i="23"/>
  <c r="C323" i="18" s="1"/>
  <c r="I320" i="23" l="1"/>
  <c r="J320" i="23"/>
  <c r="AA318" i="20"/>
  <c r="E318" i="23"/>
  <c r="H320" i="23"/>
  <c r="F320" i="14"/>
  <c r="G320" i="14" s="1"/>
  <c r="H320" i="14" s="1"/>
  <c r="C320" i="14"/>
  <c r="D320" i="14" s="1"/>
  <c r="E320" i="14" s="1"/>
  <c r="M321" i="14"/>
  <c r="N321" i="14" s="1"/>
  <c r="B324" i="18"/>
  <c r="A325" i="18"/>
  <c r="C319" i="23"/>
  <c r="F320" i="23"/>
  <c r="G320" i="23"/>
  <c r="A321" i="23"/>
  <c r="K320" i="23"/>
  <c r="C324" i="18" s="1"/>
  <c r="G323" i="4"/>
  <c r="H323" i="4"/>
  <c r="J321" i="14"/>
  <c r="K321" i="14" s="1"/>
  <c r="I322" i="14"/>
  <c r="D324" i="16"/>
  <c r="B324" i="16"/>
  <c r="A324" i="16"/>
  <c r="C325" i="16"/>
  <c r="O320" i="14"/>
  <c r="R320" i="14"/>
  <c r="F321" i="14"/>
  <c r="E323" i="16"/>
  <c r="AB319" i="20"/>
  <c r="AC319" i="20" s="1"/>
  <c r="AE317" i="20"/>
  <c r="O321" i="14"/>
  <c r="AD318" i="20"/>
  <c r="AE318" i="20" s="1"/>
  <c r="L322" i="14"/>
  <c r="I321" i="23" l="1"/>
  <c r="J321" i="23"/>
  <c r="AA319" i="20"/>
  <c r="L323" i="14"/>
  <c r="E319" i="23"/>
  <c r="H321" i="23"/>
  <c r="C321" i="14"/>
  <c r="D321" i="14" s="1"/>
  <c r="E321" i="14" s="1"/>
  <c r="R321" i="14"/>
  <c r="S321" i="14" s="1"/>
  <c r="T321" i="14" s="1"/>
  <c r="AD319" i="20"/>
  <c r="AE319" i="20" s="1"/>
  <c r="S320" i="14"/>
  <c r="T320" i="14" s="1"/>
  <c r="G321" i="14"/>
  <c r="H321" i="14" s="1"/>
  <c r="E324" i="16"/>
  <c r="J322" i="14"/>
  <c r="K322" i="14" s="1"/>
  <c r="H324" i="4"/>
  <c r="G324" i="4"/>
  <c r="B325" i="18"/>
  <c r="A326" i="18"/>
  <c r="AB320" i="20"/>
  <c r="AC320" i="20" s="1"/>
  <c r="P321" i="14"/>
  <c r="Q321" i="14" s="1"/>
  <c r="I323" i="14"/>
  <c r="P320" i="14"/>
  <c r="Q320" i="14" s="1"/>
  <c r="O322" i="14"/>
  <c r="M322" i="14"/>
  <c r="N322" i="14" s="1"/>
  <c r="D325" i="16"/>
  <c r="B325" i="16"/>
  <c r="A325" i="16"/>
  <c r="C326" i="16"/>
  <c r="F321" i="23"/>
  <c r="G321" i="23"/>
  <c r="C320" i="23"/>
  <c r="K321" i="23"/>
  <c r="C325" i="18" s="1"/>
  <c r="A322" i="23"/>
  <c r="I322" i="23" l="1"/>
  <c r="J322" i="23"/>
  <c r="AA320" i="20"/>
  <c r="L324" i="14"/>
  <c r="AA321" i="20"/>
  <c r="E320" i="23"/>
  <c r="H322" i="23"/>
  <c r="O323" i="14"/>
  <c r="P323" i="14" s="1"/>
  <c r="Q323" i="14" s="1"/>
  <c r="R322" i="14"/>
  <c r="S322" i="14" s="1"/>
  <c r="T322" i="14" s="1"/>
  <c r="E325" i="16"/>
  <c r="F322" i="14"/>
  <c r="C322" i="14"/>
  <c r="F323" i="14"/>
  <c r="G323" i="14" s="1"/>
  <c r="H323" i="14" s="1"/>
  <c r="G322" i="23"/>
  <c r="F322" i="23"/>
  <c r="C321" i="23"/>
  <c r="K322" i="23"/>
  <c r="C326" i="18" s="1"/>
  <c r="A323" i="23"/>
  <c r="P322" i="14"/>
  <c r="Q322" i="14" s="1"/>
  <c r="B326" i="16"/>
  <c r="D326" i="16"/>
  <c r="A326" i="16"/>
  <c r="C327" i="16"/>
  <c r="I324" i="14"/>
  <c r="J323" i="14"/>
  <c r="K323" i="14" s="1"/>
  <c r="B326" i="18"/>
  <c r="A327" i="18"/>
  <c r="G325" i="4"/>
  <c r="H325" i="4"/>
  <c r="AB321" i="20"/>
  <c r="AC321" i="20" s="1"/>
  <c r="AD320" i="20"/>
  <c r="AE320" i="20" s="1"/>
  <c r="M323" i="14"/>
  <c r="N323" i="14" s="1"/>
  <c r="I323" i="23" l="1"/>
  <c r="J323" i="23"/>
  <c r="I325" i="14"/>
  <c r="E321" i="23"/>
  <c r="H323" i="23"/>
  <c r="R323" i="14"/>
  <c r="S323" i="14" s="1"/>
  <c r="T323" i="14" s="1"/>
  <c r="C323" i="14"/>
  <c r="D323" i="14" s="1"/>
  <c r="E323" i="14" s="1"/>
  <c r="D322" i="14"/>
  <c r="E322" i="14" s="1"/>
  <c r="F324" i="14"/>
  <c r="G324" i="14" s="1"/>
  <c r="H324" i="14" s="1"/>
  <c r="G322" i="14"/>
  <c r="H322" i="14" s="1"/>
  <c r="G326" i="4"/>
  <c r="H326" i="4"/>
  <c r="C322" i="23"/>
  <c r="G323" i="23"/>
  <c r="F323" i="23"/>
  <c r="A324" i="23"/>
  <c r="K323" i="23"/>
  <c r="C327" i="18" s="1"/>
  <c r="M324" i="14"/>
  <c r="N324" i="14" s="1"/>
  <c r="AD321" i="20"/>
  <c r="AE321" i="20" s="1"/>
  <c r="L325" i="14"/>
  <c r="B327" i="18"/>
  <c r="A328" i="18"/>
  <c r="J324" i="14"/>
  <c r="K324" i="14" s="1"/>
  <c r="AB322" i="20"/>
  <c r="AC322" i="20" s="1"/>
  <c r="E326" i="16"/>
  <c r="O324" i="14"/>
  <c r="D327" i="16"/>
  <c r="B327" i="16"/>
  <c r="A327" i="16"/>
  <c r="C328" i="16"/>
  <c r="I324" i="23" l="1"/>
  <c r="J324" i="23"/>
  <c r="AA322" i="20"/>
  <c r="L326" i="14"/>
  <c r="E322" i="23"/>
  <c r="H324" i="23"/>
  <c r="R324" i="14"/>
  <c r="S324" i="14" s="1"/>
  <c r="T324" i="14" s="1"/>
  <c r="C324" i="14"/>
  <c r="D324" i="14" s="1"/>
  <c r="E324" i="14" s="1"/>
  <c r="O325" i="14"/>
  <c r="P325" i="14" s="1"/>
  <c r="Q325" i="14" s="1"/>
  <c r="F325" i="14"/>
  <c r="G325" i="14" s="1"/>
  <c r="H325" i="14" s="1"/>
  <c r="I326" i="14"/>
  <c r="AD322" i="20"/>
  <c r="AE322" i="20" s="1"/>
  <c r="B328" i="16"/>
  <c r="D328" i="16"/>
  <c r="A328" i="16"/>
  <c r="C329" i="16"/>
  <c r="B328" i="18"/>
  <c r="A329" i="18"/>
  <c r="G327" i="4"/>
  <c r="H327" i="4"/>
  <c r="P324" i="14"/>
  <c r="Q324" i="14" s="1"/>
  <c r="M325" i="14"/>
  <c r="N325" i="14" s="1"/>
  <c r="E327" i="16"/>
  <c r="AB323" i="20"/>
  <c r="AC323" i="20" s="1"/>
  <c r="J325" i="14"/>
  <c r="K325" i="14" s="1"/>
  <c r="F324" i="23"/>
  <c r="G324" i="23"/>
  <c r="C323" i="23"/>
  <c r="A325" i="23"/>
  <c r="K324" i="23"/>
  <c r="C328" i="18" s="1"/>
  <c r="I325" i="23" l="1"/>
  <c r="J325" i="23"/>
  <c r="AA323" i="20"/>
  <c r="E323" i="23"/>
  <c r="H325" i="23"/>
  <c r="O326" i="14"/>
  <c r="P326" i="14" s="1"/>
  <c r="Q326" i="14" s="1"/>
  <c r="R325" i="14"/>
  <c r="S325" i="14" s="1"/>
  <c r="T325" i="14" s="1"/>
  <c r="E328" i="16"/>
  <c r="C325" i="14"/>
  <c r="D325" i="14" s="1"/>
  <c r="E325" i="14" s="1"/>
  <c r="D329" i="16"/>
  <c r="A329" i="16"/>
  <c r="B329" i="16"/>
  <c r="C330" i="16"/>
  <c r="L327" i="14"/>
  <c r="AD323" i="20"/>
  <c r="AE323" i="20" s="1"/>
  <c r="H328" i="4"/>
  <c r="G328" i="4"/>
  <c r="B329" i="18"/>
  <c r="A330" i="18"/>
  <c r="AB324" i="20"/>
  <c r="M326" i="14"/>
  <c r="N326" i="14" s="1"/>
  <c r="J326" i="14"/>
  <c r="K326" i="14" s="1"/>
  <c r="I327" i="14"/>
  <c r="F325" i="23"/>
  <c r="C324" i="23"/>
  <c r="G325" i="23"/>
  <c r="K325" i="23"/>
  <c r="C329" i="18" s="1"/>
  <c r="A326" i="23"/>
  <c r="F326" i="14"/>
  <c r="I326" i="23" l="1"/>
  <c r="J326" i="23"/>
  <c r="AA324" i="20"/>
  <c r="L328" i="14"/>
  <c r="E324" i="23"/>
  <c r="H326" i="23"/>
  <c r="R326" i="14"/>
  <c r="S326" i="14" s="1"/>
  <c r="T326" i="14" s="1"/>
  <c r="E329" i="16"/>
  <c r="O327" i="14"/>
  <c r="P327" i="14" s="1"/>
  <c r="Q327" i="14" s="1"/>
  <c r="F327" i="14"/>
  <c r="G327" i="14" s="1"/>
  <c r="H327" i="14" s="1"/>
  <c r="C326" i="14"/>
  <c r="D326" i="14" s="1"/>
  <c r="E326" i="14" s="1"/>
  <c r="AC324" i="20"/>
  <c r="G326" i="14"/>
  <c r="H326" i="14" s="1"/>
  <c r="J327" i="14"/>
  <c r="K327" i="14" s="1"/>
  <c r="AD324" i="20"/>
  <c r="F326" i="23"/>
  <c r="G326" i="23"/>
  <c r="C325" i="23"/>
  <c r="K326" i="23"/>
  <c r="C330" i="18" s="1"/>
  <c r="A327" i="23"/>
  <c r="I328" i="14"/>
  <c r="M327" i="14"/>
  <c r="N327" i="14" s="1"/>
  <c r="G329" i="4"/>
  <c r="H329" i="4"/>
  <c r="AB325" i="20"/>
  <c r="AC325" i="20" s="1"/>
  <c r="B330" i="18"/>
  <c r="A331" i="18"/>
  <c r="D330" i="16"/>
  <c r="B330" i="16"/>
  <c r="A330" i="16"/>
  <c r="C331" i="16"/>
  <c r="I327" i="23" l="1"/>
  <c r="J327" i="23"/>
  <c r="AA325" i="20"/>
  <c r="E325" i="23"/>
  <c r="H327" i="23"/>
  <c r="C327" i="14"/>
  <c r="D327" i="14" s="1"/>
  <c r="E327" i="14" s="1"/>
  <c r="R327" i="14"/>
  <c r="S327" i="14" s="1"/>
  <c r="T327" i="14" s="1"/>
  <c r="F328" i="14"/>
  <c r="G328" i="14" s="1"/>
  <c r="H328" i="14" s="1"/>
  <c r="I329" i="14"/>
  <c r="J328" i="14"/>
  <c r="K328" i="14" s="1"/>
  <c r="F327" i="23"/>
  <c r="G327" i="23"/>
  <c r="C326" i="23"/>
  <c r="A328" i="23"/>
  <c r="K327" i="23"/>
  <c r="C331" i="18" s="1"/>
  <c r="M328" i="14"/>
  <c r="N328" i="14" s="1"/>
  <c r="B331" i="18"/>
  <c r="A332" i="18"/>
  <c r="G330" i="4"/>
  <c r="H330" i="4"/>
  <c r="AB326" i="20"/>
  <c r="AC326" i="20" s="1"/>
  <c r="AE324" i="20"/>
  <c r="A331" i="16"/>
  <c r="D331" i="16"/>
  <c r="B331" i="16"/>
  <c r="C332" i="16"/>
  <c r="E330" i="16"/>
  <c r="L329" i="14"/>
  <c r="AD325" i="20"/>
  <c r="AE325" i="20" s="1"/>
  <c r="I328" i="23" l="1"/>
  <c r="J328" i="23"/>
  <c r="AA326" i="20"/>
  <c r="E326" i="23"/>
  <c r="H328" i="23"/>
  <c r="C328" i="14"/>
  <c r="D328" i="14" s="1"/>
  <c r="E328" i="14" s="1"/>
  <c r="E331" i="16"/>
  <c r="O328" i="14"/>
  <c r="R328" i="14"/>
  <c r="B332" i="18"/>
  <c r="A333" i="18"/>
  <c r="AB327" i="20"/>
  <c r="M329" i="14"/>
  <c r="N329" i="14" s="1"/>
  <c r="AD326" i="20"/>
  <c r="AE326" i="20" s="1"/>
  <c r="L330" i="14"/>
  <c r="B332" i="16"/>
  <c r="D332" i="16"/>
  <c r="A332" i="16"/>
  <c r="C333" i="16"/>
  <c r="F328" i="23"/>
  <c r="C327" i="23"/>
  <c r="G328" i="23"/>
  <c r="A329" i="23"/>
  <c r="K328" i="23"/>
  <c r="C332" i="18" s="1"/>
  <c r="J329" i="14"/>
  <c r="K329" i="14" s="1"/>
  <c r="I330" i="14"/>
  <c r="H331" i="4"/>
  <c r="G331" i="4"/>
  <c r="O329" i="14"/>
  <c r="F329" i="14"/>
  <c r="I329" i="23" l="1"/>
  <c r="J329" i="23"/>
  <c r="AA327" i="20"/>
  <c r="L331" i="14"/>
  <c r="E327" i="23"/>
  <c r="H329" i="23"/>
  <c r="F330" i="14"/>
  <c r="G330" i="14" s="1"/>
  <c r="H330" i="14" s="1"/>
  <c r="O330" i="14"/>
  <c r="P330" i="14" s="1"/>
  <c r="Q330" i="14" s="1"/>
  <c r="E332" i="16"/>
  <c r="AC327" i="20"/>
  <c r="J330" i="14"/>
  <c r="K330" i="14" s="1"/>
  <c r="F329" i="23"/>
  <c r="C328" i="23"/>
  <c r="G329" i="23"/>
  <c r="K329" i="23"/>
  <c r="C333" i="18" s="1"/>
  <c r="A330" i="23"/>
  <c r="C329" i="14"/>
  <c r="B333" i="18"/>
  <c r="A334" i="18"/>
  <c r="S328" i="14"/>
  <c r="T328" i="14" s="1"/>
  <c r="G329" i="14"/>
  <c r="H329" i="14" s="1"/>
  <c r="I331" i="14"/>
  <c r="R329" i="14"/>
  <c r="AD327" i="20"/>
  <c r="P328" i="14"/>
  <c r="Q328" i="14" s="1"/>
  <c r="H332" i="4"/>
  <c r="G332" i="4"/>
  <c r="P329" i="14"/>
  <c r="Q329" i="14" s="1"/>
  <c r="B333" i="16"/>
  <c r="D333" i="16"/>
  <c r="A333" i="16"/>
  <c r="C334" i="16"/>
  <c r="AB328" i="20"/>
  <c r="AC328" i="20" s="1"/>
  <c r="M330" i="14"/>
  <c r="N330" i="14" s="1"/>
  <c r="I330" i="23" l="1"/>
  <c r="J330" i="23"/>
  <c r="AA328" i="20"/>
  <c r="AA329" i="20"/>
  <c r="E328" i="23"/>
  <c r="H330" i="23"/>
  <c r="C330" i="14"/>
  <c r="D330" i="14" s="1"/>
  <c r="E330" i="14" s="1"/>
  <c r="R330" i="14"/>
  <c r="S330" i="14" s="1"/>
  <c r="T330" i="14" s="1"/>
  <c r="E333" i="16"/>
  <c r="F331" i="14"/>
  <c r="G331" i="14" s="1"/>
  <c r="H331" i="14" s="1"/>
  <c r="AD328" i="20"/>
  <c r="AE328" i="20" s="1"/>
  <c r="L332" i="14"/>
  <c r="C329" i="23"/>
  <c r="G330" i="23"/>
  <c r="F330" i="23"/>
  <c r="K330" i="23"/>
  <c r="C334" i="18" s="1"/>
  <c r="A331" i="23"/>
  <c r="D334" i="16"/>
  <c r="B334" i="16"/>
  <c r="A334" i="16"/>
  <c r="C335" i="16"/>
  <c r="B334" i="18"/>
  <c r="A335" i="18"/>
  <c r="AE327" i="20"/>
  <c r="G333" i="4"/>
  <c r="H333" i="4"/>
  <c r="M331" i="14"/>
  <c r="N331" i="14" s="1"/>
  <c r="AB329" i="20"/>
  <c r="AC329" i="20" s="1"/>
  <c r="J331" i="14"/>
  <c r="K331" i="14" s="1"/>
  <c r="I332" i="14"/>
  <c r="D329" i="14"/>
  <c r="E329" i="14" s="1"/>
  <c r="S329" i="14"/>
  <c r="T329" i="14" s="1"/>
  <c r="I331" i="23" l="1"/>
  <c r="J331" i="23"/>
  <c r="L333" i="14"/>
  <c r="AA330" i="20"/>
  <c r="E329" i="23"/>
  <c r="H331" i="23"/>
  <c r="E334" i="16"/>
  <c r="C331" i="14"/>
  <c r="D331" i="14" s="1"/>
  <c r="E331" i="14" s="1"/>
  <c r="O332" i="14"/>
  <c r="P332" i="14" s="1"/>
  <c r="Q332" i="14" s="1"/>
  <c r="O331" i="14"/>
  <c r="R331" i="14"/>
  <c r="M332" i="14"/>
  <c r="N332" i="14" s="1"/>
  <c r="J332" i="14"/>
  <c r="K332" i="14" s="1"/>
  <c r="F332" i="14"/>
  <c r="AD329" i="20"/>
  <c r="AE329" i="20" s="1"/>
  <c r="G334" i="4"/>
  <c r="H334" i="4"/>
  <c r="B335" i="18"/>
  <c r="A336" i="18"/>
  <c r="AB330" i="20"/>
  <c r="AC330" i="20" s="1"/>
  <c r="I333" i="14"/>
  <c r="D335" i="16"/>
  <c r="B335" i="16"/>
  <c r="A335" i="16"/>
  <c r="C336" i="16"/>
  <c r="F331" i="23"/>
  <c r="C330" i="23"/>
  <c r="G331" i="23"/>
  <c r="K331" i="23"/>
  <c r="C335" i="18" s="1"/>
  <c r="A332" i="23"/>
  <c r="I332" i="23" l="1"/>
  <c r="J332" i="23"/>
  <c r="L334" i="14"/>
  <c r="I334" i="14"/>
  <c r="E330" i="23"/>
  <c r="H332" i="23"/>
  <c r="R332" i="14"/>
  <c r="S332" i="14" s="1"/>
  <c r="T332" i="14" s="1"/>
  <c r="F333" i="14"/>
  <c r="G333" i="14" s="1"/>
  <c r="H333" i="14" s="1"/>
  <c r="C332" i="14"/>
  <c r="D332" i="14" s="1"/>
  <c r="E332" i="14" s="1"/>
  <c r="AD330" i="20"/>
  <c r="AE330" i="20" s="1"/>
  <c r="O333" i="14"/>
  <c r="M333" i="14"/>
  <c r="N333" i="14" s="1"/>
  <c r="B336" i="16"/>
  <c r="D336" i="16"/>
  <c r="A336" i="16"/>
  <c r="C337" i="16"/>
  <c r="J333" i="14"/>
  <c r="K333" i="14" s="1"/>
  <c r="G335" i="4"/>
  <c r="H335" i="4"/>
  <c r="AB331" i="20"/>
  <c r="AC331" i="20" s="1"/>
  <c r="S331" i="14"/>
  <c r="T331" i="14" s="1"/>
  <c r="F332" i="23"/>
  <c r="C331" i="23"/>
  <c r="G332" i="23"/>
  <c r="K332" i="23"/>
  <c r="C336" i="18" s="1"/>
  <c r="A333" i="23"/>
  <c r="E335" i="16"/>
  <c r="B336" i="18"/>
  <c r="A337" i="18"/>
  <c r="G332" i="14"/>
  <c r="H332" i="14" s="1"/>
  <c r="P331" i="14"/>
  <c r="Q331" i="14" s="1"/>
  <c r="I333" i="23" l="1"/>
  <c r="J333" i="23"/>
  <c r="AA331" i="20"/>
  <c r="I335" i="14"/>
  <c r="AA332" i="20"/>
  <c r="E331" i="23"/>
  <c r="H333" i="23"/>
  <c r="C333" i="14"/>
  <c r="D333" i="14" s="1"/>
  <c r="E333" i="14" s="1"/>
  <c r="O334" i="14"/>
  <c r="P334" i="14" s="1"/>
  <c r="Q334" i="14" s="1"/>
  <c r="E336" i="16"/>
  <c r="R333" i="14"/>
  <c r="S333" i="14" s="1"/>
  <c r="M334" i="14"/>
  <c r="N334" i="14" s="1"/>
  <c r="G336" i="4"/>
  <c r="H336" i="4"/>
  <c r="AB332" i="20"/>
  <c r="AC332" i="20" s="1"/>
  <c r="J334" i="14"/>
  <c r="K334" i="14" s="1"/>
  <c r="B337" i="18"/>
  <c r="A338" i="18"/>
  <c r="G333" i="23"/>
  <c r="F333" i="23"/>
  <c r="C332" i="23"/>
  <c r="K333" i="23"/>
  <c r="C337" i="18" s="1"/>
  <c r="A334" i="23"/>
  <c r="AD331" i="20"/>
  <c r="AE331" i="20" s="1"/>
  <c r="L335" i="14"/>
  <c r="A337" i="16"/>
  <c r="D337" i="16"/>
  <c r="B337" i="16"/>
  <c r="C338" i="16"/>
  <c r="P333" i="14"/>
  <c r="Q333" i="14" s="1"/>
  <c r="F334" i="14"/>
  <c r="I334" i="23" l="1"/>
  <c r="J334" i="23"/>
  <c r="L336" i="14"/>
  <c r="I336" i="14"/>
  <c r="AA333" i="20"/>
  <c r="E332" i="23"/>
  <c r="H334" i="23"/>
  <c r="R334" i="14"/>
  <c r="S334" i="14" s="1"/>
  <c r="T334" i="14" s="1"/>
  <c r="T333" i="14"/>
  <c r="F335" i="14"/>
  <c r="G335" i="14" s="1"/>
  <c r="H335" i="14" s="1"/>
  <c r="G334" i="14"/>
  <c r="H334" i="14" s="1"/>
  <c r="D338" i="16"/>
  <c r="B338" i="16"/>
  <c r="A338" i="16"/>
  <c r="C339" i="16"/>
  <c r="O335" i="14"/>
  <c r="G337" i="4"/>
  <c r="H337" i="4"/>
  <c r="J335" i="14"/>
  <c r="K335" i="14" s="1"/>
  <c r="B338" i="18"/>
  <c r="A339" i="18"/>
  <c r="C334" i="14"/>
  <c r="M335" i="14"/>
  <c r="N335" i="14" s="1"/>
  <c r="E337" i="16"/>
  <c r="G334" i="23"/>
  <c r="C333" i="23"/>
  <c r="F334" i="23"/>
  <c r="K334" i="23"/>
  <c r="C338" i="18" s="1"/>
  <c r="A335" i="23"/>
  <c r="AD332" i="20"/>
  <c r="AE332" i="20" s="1"/>
  <c r="AB333" i="20"/>
  <c r="AC333" i="20" s="1"/>
  <c r="I335" i="23" l="1"/>
  <c r="J335" i="23"/>
  <c r="L337" i="14"/>
  <c r="I337" i="14"/>
  <c r="E333" i="23"/>
  <c r="H335" i="23"/>
  <c r="C335" i="14"/>
  <c r="AD333" i="20"/>
  <c r="AE333" i="20" s="1"/>
  <c r="J336" i="14"/>
  <c r="K336" i="14" s="1"/>
  <c r="O336" i="14"/>
  <c r="B339" i="18"/>
  <c r="A340" i="18"/>
  <c r="G338" i="4"/>
  <c r="H338" i="4"/>
  <c r="P335" i="14"/>
  <c r="Q335" i="14" s="1"/>
  <c r="F335" i="23"/>
  <c r="C334" i="23"/>
  <c r="G335" i="23"/>
  <c r="A336" i="23"/>
  <c r="K335" i="23"/>
  <c r="C339" i="18" s="1"/>
  <c r="R335" i="14"/>
  <c r="A339" i="16"/>
  <c r="B339" i="16"/>
  <c r="D339" i="16"/>
  <c r="C340" i="16"/>
  <c r="M336" i="14"/>
  <c r="N336" i="14" s="1"/>
  <c r="AB334" i="20"/>
  <c r="AC334" i="20" s="1"/>
  <c r="D334" i="14"/>
  <c r="E334" i="14" s="1"/>
  <c r="E338" i="16"/>
  <c r="I336" i="23" l="1"/>
  <c r="J336" i="23"/>
  <c r="I338" i="14"/>
  <c r="AA334" i="20"/>
  <c r="AA335" i="20"/>
  <c r="E334" i="23"/>
  <c r="H336" i="23"/>
  <c r="D335" i="14"/>
  <c r="E335" i="14" s="1"/>
  <c r="O337" i="14"/>
  <c r="P337" i="14" s="1"/>
  <c r="Q337" i="14" s="1"/>
  <c r="E339" i="16"/>
  <c r="B340" i="18"/>
  <c r="A341" i="18"/>
  <c r="M337" i="14"/>
  <c r="N337" i="14" s="1"/>
  <c r="F337" i="14"/>
  <c r="AD334" i="20"/>
  <c r="AE334" i="20" s="1"/>
  <c r="L338" i="14"/>
  <c r="B340" i="16"/>
  <c r="D340" i="16"/>
  <c r="A340" i="16"/>
  <c r="C341" i="16"/>
  <c r="S335" i="14"/>
  <c r="T335" i="14" s="1"/>
  <c r="AB335" i="20"/>
  <c r="AC335" i="20" s="1"/>
  <c r="R336" i="14"/>
  <c r="F336" i="14"/>
  <c r="C336" i="14"/>
  <c r="F336" i="23"/>
  <c r="G336" i="23"/>
  <c r="C335" i="23"/>
  <c r="K336" i="23"/>
  <c r="C340" i="18" s="1"/>
  <c r="A337" i="23"/>
  <c r="J337" i="14"/>
  <c r="K337" i="14" s="1"/>
  <c r="G339" i="4"/>
  <c r="H339" i="4"/>
  <c r="P336" i="14"/>
  <c r="Q336" i="14" s="1"/>
  <c r="I337" i="23" l="1"/>
  <c r="J337" i="23"/>
  <c r="L339" i="14"/>
  <c r="AA336" i="20"/>
  <c r="R337" i="14"/>
  <c r="S337" i="14" s="1"/>
  <c r="T337" i="14" s="1"/>
  <c r="E335" i="23"/>
  <c r="H337" i="23"/>
  <c r="F338" i="14"/>
  <c r="G338" i="14" s="1"/>
  <c r="H338" i="14" s="1"/>
  <c r="O338" i="14"/>
  <c r="P338" i="14" s="1"/>
  <c r="Q338" i="14" s="1"/>
  <c r="D341" i="16"/>
  <c r="B341" i="16"/>
  <c r="A341" i="16"/>
  <c r="C342" i="16"/>
  <c r="I339" i="14"/>
  <c r="D336" i="14"/>
  <c r="E336" i="14" s="1"/>
  <c r="S336" i="14"/>
  <c r="T336" i="14" s="1"/>
  <c r="J338" i="14"/>
  <c r="K338" i="14" s="1"/>
  <c r="C337" i="14"/>
  <c r="G337" i="14"/>
  <c r="H337" i="14" s="1"/>
  <c r="H340" i="4"/>
  <c r="G340" i="4"/>
  <c r="G337" i="23"/>
  <c r="F337" i="23"/>
  <c r="C336" i="23"/>
  <c r="K337" i="23"/>
  <c r="C341" i="18" s="1"/>
  <c r="A338" i="23"/>
  <c r="G336" i="14"/>
  <c r="H336" i="14" s="1"/>
  <c r="AD335" i="20"/>
  <c r="AE335" i="20" s="1"/>
  <c r="M338" i="14"/>
  <c r="N338" i="14" s="1"/>
  <c r="AB336" i="20"/>
  <c r="AC336" i="20" s="1"/>
  <c r="E340" i="16"/>
  <c r="B341" i="18"/>
  <c r="A342" i="18"/>
  <c r="I338" i="23" l="1"/>
  <c r="J338" i="23"/>
  <c r="L340" i="14"/>
  <c r="AA337" i="20"/>
  <c r="R338" i="14"/>
  <c r="S338" i="14" s="1"/>
  <c r="T338" i="14" s="1"/>
  <c r="E336" i="23"/>
  <c r="H338" i="23"/>
  <c r="C338" i="14"/>
  <c r="D338" i="14" s="1"/>
  <c r="E338" i="14" s="1"/>
  <c r="E341" i="16"/>
  <c r="B342" i="18"/>
  <c r="A343" i="18"/>
  <c r="C337" i="23"/>
  <c r="G338" i="23"/>
  <c r="F338" i="23"/>
  <c r="K338" i="23"/>
  <c r="C342" i="18" s="1"/>
  <c r="A339" i="23"/>
  <c r="AB337" i="20"/>
  <c r="I340" i="14"/>
  <c r="D342" i="16"/>
  <c r="B342" i="16"/>
  <c r="A342" i="16"/>
  <c r="C343" i="16"/>
  <c r="O339" i="14"/>
  <c r="G341" i="4"/>
  <c r="H341" i="4"/>
  <c r="D337" i="14"/>
  <c r="E337" i="14" s="1"/>
  <c r="AD336" i="20"/>
  <c r="AE336" i="20" s="1"/>
  <c r="M339" i="14"/>
  <c r="N339" i="14" s="1"/>
  <c r="J339" i="14"/>
  <c r="K339" i="14" s="1"/>
  <c r="I339" i="23" l="1"/>
  <c r="J339" i="23"/>
  <c r="I341" i="14"/>
  <c r="L341" i="14"/>
  <c r="E342" i="16"/>
  <c r="E337" i="23"/>
  <c r="H339" i="23"/>
  <c r="R339" i="14"/>
  <c r="S339" i="14" s="1"/>
  <c r="T339" i="14" s="1"/>
  <c r="A343" i="16"/>
  <c r="B343" i="16"/>
  <c r="D343" i="16"/>
  <c r="C344" i="16"/>
  <c r="J340" i="14"/>
  <c r="K340" i="14" s="1"/>
  <c r="AD337" i="20"/>
  <c r="B343" i="18"/>
  <c r="A344" i="18"/>
  <c r="P339" i="14"/>
  <c r="Q339" i="14" s="1"/>
  <c r="F339" i="14"/>
  <c r="C339" i="14"/>
  <c r="AB338" i="20"/>
  <c r="AC338" i="20" s="1"/>
  <c r="M340" i="14"/>
  <c r="N340" i="14" s="1"/>
  <c r="O340" i="14"/>
  <c r="AC337" i="20"/>
  <c r="F339" i="23"/>
  <c r="G339" i="23"/>
  <c r="C338" i="23"/>
  <c r="K339" i="23"/>
  <c r="C343" i="18" s="1"/>
  <c r="A340" i="23"/>
  <c r="G342" i="4"/>
  <c r="H342" i="4"/>
  <c r="F340" i="14"/>
  <c r="I340" i="23" l="1"/>
  <c r="J340" i="23"/>
  <c r="AA338" i="20"/>
  <c r="I342" i="14"/>
  <c r="E338" i="23"/>
  <c r="H340" i="23"/>
  <c r="F341" i="14"/>
  <c r="G341" i="14" s="1"/>
  <c r="H341" i="14" s="1"/>
  <c r="E343" i="16"/>
  <c r="L342" i="14"/>
  <c r="AD338" i="20"/>
  <c r="AE338" i="20" s="1"/>
  <c r="G343" i="4"/>
  <c r="H343" i="4"/>
  <c r="AE337" i="20"/>
  <c r="AB339" i="20"/>
  <c r="AC339" i="20" s="1"/>
  <c r="B344" i="18"/>
  <c r="A345" i="18"/>
  <c r="G339" i="14"/>
  <c r="H339" i="14" s="1"/>
  <c r="G340" i="14"/>
  <c r="H340" i="14" s="1"/>
  <c r="F340" i="23"/>
  <c r="G340" i="23"/>
  <c r="C339" i="23"/>
  <c r="A341" i="23"/>
  <c r="K340" i="23"/>
  <c r="C344" i="18" s="1"/>
  <c r="C340" i="14"/>
  <c r="D339" i="14"/>
  <c r="E339" i="14" s="1"/>
  <c r="J341" i="14"/>
  <c r="K341" i="14" s="1"/>
  <c r="M341" i="14"/>
  <c r="N341" i="14" s="1"/>
  <c r="P340" i="14"/>
  <c r="Q340" i="14" s="1"/>
  <c r="R340" i="14"/>
  <c r="B344" i="16"/>
  <c r="D344" i="16"/>
  <c r="A344" i="16"/>
  <c r="C345" i="16"/>
  <c r="I341" i="23" l="1"/>
  <c r="J341" i="23"/>
  <c r="AA339" i="20"/>
  <c r="AA340" i="20"/>
  <c r="E339" i="23"/>
  <c r="H341" i="23"/>
  <c r="C341" i="14"/>
  <c r="D341" i="14" s="1"/>
  <c r="E341" i="14" s="1"/>
  <c r="O342" i="14"/>
  <c r="P342" i="14" s="1"/>
  <c r="Q342" i="14" s="1"/>
  <c r="E344" i="16"/>
  <c r="G341" i="23"/>
  <c r="F341" i="23"/>
  <c r="C340" i="23"/>
  <c r="K341" i="23"/>
  <c r="C345" i="18" s="1"/>
  <c r="A342" i="23"/>
  <c r="L343" i="14"/>
  <c r="AD339" i="20"/>
  <c r="AE339" i="20" s="1"/>
  <c r="H344" i="4"/>
  <c r="G344" i="4"/>
  <c r="AB340" i="20"/>
  <c r="I343" i="14"/>
  <c r="B345" i="16"/>
  <c r="D345" i="16"/>
  <c r="A345" i="16"/>
  <c r="C346" i="16"/>
  <c r="B345" i="18"/>
  <c r="A346" i="18"/>
  <c r="O341" i="14"/>
  <c r="R341" i="14"/>
  <c r="S340" i="14"/>
  <c r="T340" i="14" s="1"/>
  <c r="D340" i="14"/>
  <c r="E340" i="14" s="1"/>
  <c r="J342" i="14"/>
  <c r="K342" i="14" s="1"/>
  <c r="M342" i="14"/>
  <c r="N342" i="14" s="1"/>
  <c r="I342" i="23" l="1"/>
  <c r="J342" i="23"/>
  <c r="I344" i="14"/>
  <c r="L344" i="14"/>
  <c r="E340" i="23"/>
  <c r="H342" i="23"/>
  <c r="R342" i="14"/>
  <c r="S342" i="14" s="1"/>
  <c r="T342" i="14" s="1"/>
  <c r="E345" i="16"/>
  <c r="F343" i="14"/>
  <c r="G343" i="14" s="1"/>
  <c r="H343" i="14" s="1"/>
  <c r="S341" i="14"/>
  <c r="T341" i="14" s="1"/>
  <c r="B346" i="18"/>
  <c r="A347" i="18"/>
  <c r="AC340" i="20"/>
  <c r="AD340" i="20"/>
  <c r="AB341" i="20"/>
  <c r="D346" i="16"/>
  <c r="B346" i="16"/>
  <c r="A346" i="16"/>
  <c r="C347" i="16"/>
  <c r="G345" i="4"/>
  <c r="H345" i="4"/>
  <c r="F342" i="14"/>
  <c r="C342" i="14"/>
  <c r="M343" i="14"/>
  <c r="N343" i="14" s="1"/>
  <c r="P341" i="14"/>
  <c r="Q341" i="14" s="1"/>
  <c r="J343" i="14"/>
  <c r="K343" i="14" s="1"/>
  <c r="C341" i="23"/>
  <c r="F342" i="23"/>
  <c r="G342" i="23"/>
  <c r="K342" i="23"/>
  <c r="C346" i="18" s="1"/>
  <c r="A343" i="23"/>
  <c r="I343" i="23" l="1"/>
  <c r="J343" i="23"/>
  <c r="AA341" i="20"/>
  <c r="E341" i="23"/>
  <c r="H343" i="23"/>
  <c r="E346" i="16"/>
  <c r="F344" i="14"/>
  <c r="G344" i="14" s="1"/>
  <c r="C343" i="14"/>
  <c r="D343" i="14" s="1"/>
  <c r="E343" i="14" s="1"/>
  <c r="O343" i="14"/>
  <c r="R343" i="14"/>
  <c r="G342" i="14"/>
  <c r="H342" i="14" s="1"/>
  <c r="B347" i="18"/>
  <c r="A348" i="18"/>
  <c r="AB342" i="20"/>
  <c r="B347" i="16"/>
  <c r="D347" i="16"/>
  <c r="A347" i="16"/>
  <c r="C348" i="16"/>
  <c r="G343" i="23"/>
  <c r="F343" i="23"/>
  <c r="C342" i="23"/>
  <c r="K343" i="23"/>
  <c r="C347" i="18" s="1"/>
  <c r="A344" i="23"/>
  <c r="G346" i="4"/>
  <c r="H346" i="4"/>
  <c r="AE340" i="20"/>
  <c r="O344" i="14"/>
  <c r="J344" i="14"/>
  <c r="K344" i="14" s="1"/>
  <c r="AC341" i="20"/>
  <c r="AD341" i="20"/>
  <c r="L345" i="14"/>
  <c r="I345" i="14"/>
  <c r="D342" i="14"/>
  <c r="E342" i="14" s="1"/>
  <c r="M344" i="14"/>
  <c r="N344" i="14" s="1"/>
  <c r="I344" i="23" l="1"/>
  <c r="J344" i="23"/>
  <c r="I346" i="14"/>
  <c r="AA342" i="20"/>
  <c r="E347" i="16"/>
  <c r="AA343" i="20"/>
  <c r="E342" i="23"/>
  <c r="H344" i="23"/>
  <c r="C344" i="14"/>
  <c r="D344" i="14" s="1"/>
  <c r="E344" i="14" s="1"/>
  <c r="H344" i="14"/>
  <c r="J345" i="14"/>
  <c r="K345" i="14" s="1"/>
  <c r="AE341" i="20"/>
  <c r="O345" i="14"/>
  <c r="M345" i="14"/>
  <c r="N345" i="14" s="1"/>
  <c r="F345" i="14"/>
  <c r="AC342" i="20"/>
  <c r="H347" i="4"/>
  <c r="G347" i="4"/>
  <c r="P344" i="14"/>
  <c r="Q344" i="14" s="1"/>
  <c r="A348" i="16"/>
  <c r="D348" i="16"/>
  <c r="B348" i="16"/>
  <c r="C349" i="16"/>
  <c r="B348" i="18"/>
  <c r="A349" i="18"/>
  <c r="C343" i="23"/>
  <c r="G344" i="23"/>
  <c r="F344" i="23"/>
  <c r="K344" i="23"/>
  <c r="C348" i="18" s="1"/>
  <c r="A345" i="23"/>
  <c r="S343" i="14"/>
  <c r="T343" i="14" s="1"/>
  <c r="R344" i="14"/>
  <c r="AB343" i="20"/>
  <c r="AC343" i="20" s="1"/>
  <c r="AD342" i="20"/>
  <c r="L346" i="14"/>
  <c r="P343" i="14"/>
  <c r="Q343" i="14" s="1"/>
  <c r="I345" i="23" l="1"/>
  <c r="J345" i="23"/>
  <c r="L347" i="14"/>
  <c r="I347" i="14"/>
  <c r="R345" i="14"/>
  <c r="S345" i="14" s="1"/>
  <c r="T345" i="14" s="1"/>
  <c r="E343" i="23"/>
  <c r="H345" i="23"/>
  <c r="E348" i="16"/>
  <c r="J346" i="14"/>
  <c r="K346" i="14" s="1"/>
  <c r="AD343" i="20"/>
  <c r="AE343" i="20" s="1"/>
  <c r="B349" i="18"/>
  <c r="A350" i="18"/>
  <c r="H348" i="4"/>
  <c r="G348" i="4"/>
  <c r="AE342" i="20"/>
  <c r="O346" i="14"/>
  <c r="F346" i="14"/>
  <c r="P345" i="14"/>
  <c r="Q345" i="14" s="1"/>
  <c r="M346" i="14"/>
  <c r="N346" i="14" s="1"/>
  <c r="D349" i="16"/>
  <c r="B349" i="16"/>
  <c r="A349" i="16"/>
  <c r="C350" i="16"/>
  <c r="G345" i="14"/>
  <c r="H345" i="14" s="1"/>
  <c r="AB344" i="20"/>
  <c r="AC344" i="20" s="1"/>
  <c r="S344" i="14"/>
  <c r="T344" i="14" s="1"/>
  <c r="G345" i="23"/>
  <c r="C344" i="23"/>
  <c r="F345" i="23"/>
  <c r="K345" i="23"/>
  <c r="C349" i="18" s="1"/>
  <c r="A346" i="23"/>
  <c r="C345" i="14"/>
  <c r="I346" i="23" l="1"/>
  <c r="J346" i="23"/>
  <c r="AA344" i="20"/>
  <c r="L348" i="14"/>
  <c r="AA345" i="20"/>
  <c r="E344" i="23"/>
  <c r="H346" i="23"/>
  <c r="C346" i="14"/>
  <c r="D346" i="14" s="1"/>
  <c r="E346" i="14" s="1"/>
  <c r="O347" i="14"/>
  <c r="P347" i="14" s="1"/>
  <c r="Q347" i="14" s="1"/>
  <c r="E349" i="16"/>
  <c r="J347" i="14"/>
  <c r="K347" i="14" s="1"/>
  <c r="P346" i="14"/>
  <c r="Q346" i="14" s="1"/>
  <c r="D345" i="14"/>
  <c r="E345" i="14" s="1"/>
  <c r="R346" i="14"/>
  <c r="G346" i="14"/>
  <c r="H346" i="14" s="1"/>
  <c r="M347" i="14"/>
  <c r="N347" i="14" s="1"/>
  <c r="AD344" i="20"/>
  <c r="AE344" i="20" s="1"/>
  <c r="D350" i="16"/>
  <c r="B350" i="16"/>
  <c r="A350" i="16"/>
  <c r="C351" i="16"/>
  <c r="B350" i="18"/>
  <c r="A351" i="18"/>
  <c r="AB345" i="20"/>
  <c r="AC345" i="20" s="1"/>
  <c r="I348" i="14"/>
  <c r="F346" i="23"/>
  <c r="C345" i="23"/>
  <c r="G346" i="23"/>
  <c r="K346" i="23"/>
  <c r="C350" i="18" s="1"/>
  <c r="A347" i="23"/>
  <c r="F347" i="14"/>
  <c r="G349" i="4"/>
  <c r="H349" i="4"/>
  <c r="I347" i="23" l="1"/>
  <c r="J347" i="23"/>
  <c r="L349" i="14"/>
  <c r="I349" i="14"/>
  <c r="AA346" i="20"/>
  <c r="E345" i="23"/>
  <c r="H347" i="23"/>
  <c r="R347" i="14"/>
  <c r="S347" i="14" s="1"/>
  <c r="T347" i="14" s="1"/>
  <c r="O348" i="14"/>
  <c r="P348" i="14" s="1"/>
  <c r="Q348" i="14" s="1"/>
  <c r="E350" i="16"/>
  <c r="J348" i="14"/>
  <c r="K348" i="14" s="1"/>
  <c r="G347" i="14"/>
  <c r="H347" i="14" s="1"/>
  <c r="G350" i="4"/>
  <c r="H350" i="4"/>
  <c r="G347" i="23"/>
  <c r="F347" i="23"/>
  <c r="C346" i="23"/>
  <c r="A348" i="23"/>
  <c r="K347" i="23"/>
  <c r="C351" i="18" s="1"/>
  <c r="M348" i="14"/>
  <c r="N348" i="14" s="1"/>
  <c r="AD345" i="20"/>
  <c r="AE345" i="20" s="1"/>
  <c r="D351" i="16"/>
  <c r="B351" i="16"/>
  <c r="A351" i="16"/>
  <c r="C352" i="16"/>
  <c r="S346" i="14"/>
  <c r="T346" i="14" s="1"/>
  <c r="F348" i="14"/>
  <c r="B351" i="18"/>
  <c r="A352" i="18"/>
  <c r="C347" i="14"/>
  <c r="AB346" i="20"/>
  <c r="AC346" i="20" s="1"/>
  <c r="I348" i="23" l="1"/>
  <c r="J348" i="23"/>
  <c r="L350" i="14"/>
  <c r="I350" i="14"/>
  <c r="E351" i="16"/>
  <c r="R348" i="14"/>
  <c r="S348" i="14" s="1"/>
  <c r="T348" i="14" s="1"/>
  <c r="E346" i="23"/>
  <c r="H348" i="23"/>
  <c r="C348" i="14"/>
  <c r="D348" i="14" s="1"/>
  <c r="E348" i="14" s="1"/>
  <c r="J349" i="14"/>
  <c r="K349" i="14" s="1"/>
  <c r="M349" i="14"/>
  <c r="N349" i="14" s="1"/>
  <c r="G348" i="14"/>
  <c r="H348" i="14" s="1"/>
  <c r="F349" i="14"/>
  <c r="G351" i="4"/>
  <c r="H351" i="4"/>
  <c r="AD346" i="20"/>
  <c r="AE346" i="20" s="1"/>
  <c r="D347" i="14"/>
  <c r="E347" i="14" s="1"/>
  <c r="D352" i="16"/>
  <c r="A352" i="16"/>
  <c r="B352" i="16"/>
  <c r="C353" i="16"/>
  <c r="B352" i="18"/>
  <c r="A353" i="18"/>
  <c r="O349" i="14"/>
  <c r="AB347" i="20"/>
  <c r="AC347" i="20" s="1"/>
  <c r="C347" i="23"/>
  <c r="F348" i="23"/>
  <c r="G348" i="23"/>
  <c r="K348" i="23"/>
  <c r="C352" i="18" s="1"/>
  <c r="A349" i="23"/>
  <c r="I349" i="23" l="1"/>
  <c r="J349" i="23"/>
  <c r="AA347" i="20"/>
  <c r="AA348" i="20"/>
  <c r="E347" i="23"/>
  <c r="H349" i="23"/>
  <c r="C349" i="14"/>
  <c r="D349" i="14" s="1"/>
  <c r="E349" i="14" s="1"/>
  <c r="E352" i="16"/>
  <c r="R349" i="14"/>
  <c r="M350" i="14"/>
  <c r="N350" i="14" s="1"/>
  <c r="J350" i="14"/>
  <c r="K350" i="14" s="1"/>
  <c r="AD347" i="20"/>
  <c r="AE347" i="20" s="1"/>
  <c r="L351" i="14"/>
  <c r="P349" i="14"/>
  <c r="Q349" i="14" s="1"/>
  <c r="G349" i="14"/>
  <c r="H349" i="14" s="1"/>
  <c r="O350" i="14"/>
  <c r="AB348" i="20"/>
  <c r="AC348" i="20" s="1"/>
  <c r="C348" i="23"/>
  <c r="F349" i="23"/>
  <c r="G349" i="23"/>
  <c r="A350" i="23"/>
  <c r="K349" i="23"/>
  <c r="C353" i="18" s="1"/>
  <c r="B353" i="18"/>
  <c r="A354" i="18"/>
  <c r="D353" i="16"/>
  <c r="B353" i="16"/>
  <c r="A353" i="16"/>
  <c r="C354" i="16"/>
  <c r="F350" i="14"/>
  <c r="G352" i="4"/>
  <c r="H352" i="4"/>
  <c r="I351" i="14"/>
  <c r="I350" i="23" l="1"/>
  <c r="J350" i="23"/>
  <c r="I352" i="14"/>
  <c r="E348" i="23"/>
  <c r="H350" i="23"/>
  <c r="S349" i="14"/>
  <c r="T349" i="14" s="1"/>
  <c r="F351" i="14"/>
  <c r="G351" i="14" s="1"/>
  <c r="H351" i="14" s="1"/>
  <c r="P350" i="14"/>
  <c r="Q350" i="14" s="1"/>
  <c r="G353" i="4"/>
  <c r="H353" i="4"/>
  <c r="B354" i="16"/>
  <c r="D354" i="16"/>
  <c r="A354" i="16"/>
  <c r="C355" i="16"/>
  <c r="B354" i="18"/>
  <c r="A355" i="18"/>
  <c r="AB349" i="20"/>
  <c r="AC349" i="20" s="1"/>
  <c r="E353" i="16"/>
  <c r="J351" i="14"/>
  <c r="K351" i="14" s="1"/>
  <c r="G350" i="14"/>
  <c r="H350" i="14" s="1"/>
  <c r="C349" i="23"/>
  <c r="F350" i="23"/>
  <c r="G350" i="23"/>
  <c r="K350" i="23"/>
  <c r="C354" i="18" s="1"/>
  <c r="A351" i="23"/>
  <c r="AD348" i="20"/>
  <c r="AE348" i="20" s="1"/>
  <c r="L352" i="14"/>
  <c r="O351" i="14"/>
  <c r="C350" i="14"/>
  <c r="R350" i="14"/>
  <c r="M351" i="14"/>
  <c r="N351" i="14" s="1"/>
  <c r="I351" i="23" l="1"/>
  <c r="J351" i="23"/>
  <c r="E354" i="16"/>
  <c r="AA349" i="20"/>
  <c r="L353" i="14"/>
  <c r="E349" i="23"/>
  <c r="H351" i="23"/>
  <c r="O352" i="14"/>
  <c r="P352" i="14" s="1"/>
  <c r="Q352" i="14" s="1"/>
  <c r="F352" i="14"/>
  <c r="G352" i="14" s="1"/>
  <c r="H352" i="14" s="1"/>
  <c r="C351" i="14"/>
  <c r="D351" i="14" s="1"/>
  <c r="E351" i="14" s="1"/>
  <c r="D355" i="16"/>
  <c r="B355" i="16"/>
  <c r="A355" i="16"/>
  <c r="C356" i="16"/>
  <c r="G354" i="4"/>
  <c r="H354" i="4"/>
  <c r="I353" i="14"/>
  <c r="D350" i="14"/>
  <c r="E350" i="14" s="1"/>
  <c r="P351" i="14"/>
  <c r="Q351" i="14" s="1"/>
  <c r="G351" i="23"/>
  <c r="C350" i="23"/>
  <c r="F351" i="23"/>
  <c r="A352" i="23"/>
  <c r="K351" i="23"/>
  <c r="C355" i="18" s="1"/>
  <c r="R351" i="14"/>
  <c r="AD349" i="20"/>
  <c r="AE349" i="20" s="1"/>
  <c r="S350" i="14"/>
  <c r="T350" i="14" s="1"/>
  <c r="M352" i="14"/>
  <c r="N352" i="14" s="1"/>
  <c r="J352" i="14"/>
  <c r="K352" i="14" s="1"/>
  <c r="B355" i="18"/>
  <c r="A356" i="18"/>
  <c r="AB350" i="20"/>
  <c r="AC350" i="20" s="1"/>
  <c r="I352" i="23" l="1"/>
  <c r="J352" i="23"/>
  <c r="AA350" i="20"/>
  <c r="L354" i="14"/>
  <c r="C352" i="14"/>
  <c r="D352" i="14" s="1"/>
  <c r="E352" i="14" s="1"/>
  <c r="E350" i="23"/>
  <c r="H352" i="23"/>
  <c r="R352" i="14"/>
  <c r="S352" i="14" s="1"/>
  <c r="T352" i="14" s="1"/>
  <c r="F353" i="14"/>
  <c r="G353" i="14" s="1"/>
  <c r="H353" i="14" s="1"/>
  <c r="E355" i="16"/>
  <c r="B356" i="18"/>
  <c r="A357" i="18"/>
  <c r="AB351" i="20"/>
  <c r="AC351" i="20" s="1"/>
  <c r="O353" i="14"/>
  <c r="S351" i="14"/>
  <c r="T351" i="14" s="1"/>
  <c r="I354" i="14"/>
  <c r="M353" i="14"/>
  <c r="N353" i="14" s="1"/>
  <c r="B356" i="16"/>
  <c r="D356" i="16"/>
  <c r="A356" i="16"/>
  <c r="C357" i="16"/>
  <c r="AD350" i="20"/>
  <c r="AE350" i="20" s="1"/>
  <c r="F352" i="23"/>
  <c r="G352" i="23"/>
  <c r="C351" i="23"/>
  <c r="K352" i="23"/>
  <c r="C356" i="18" s="1"/>
  <c r="A353" i="23"/>
  <c r="J353" i="14"/>
  <c r="K353" i="14" s="1"/>
  <c r="G355" i="4"/>
  <c r="H355" i="4"/>
  <c r="I353" i="23" l="1"/>
  <c r="J353" i="23"/>
  <c r="AA351" i="20"/>
  <c r="E351" i="23"/>
  <c r="H353" i="23"/>
  <c r="R353" i="14"/>
  <c r="S353" i="14" s="1"/>
  <c r="T353" i="14" s="1"/>
  <c r="C353" i="14"/>
  <c r="D353" i="14" s="1"/>
  <c r="E353" i="14" s="1"/>
  <c r="F354" i="14"/>
  <c r="G354" i="14" s="1"/>
  <c r="H354" i="14" s="1"/>
  <c r="H356" i="4"/>
  <c r="G356" i="4"/>
  <c r="E356" i="16"/>
  <c r="F353" i="23"/>
  <c r="G353" i="23"/>
  <c r="C352" i="23"/>
  <c r="A354" i="23"/>
  <c r="K353" i="23"/>
  <c r="C357" i="18" s="1"/>
  <c r="M354" i="14"/>
  <c r="N354" i="14" s="1"/>
  <c r="O354" i="14"/>
  <c r="P353" i="14"/>
  <c r="Q353" i="14" s="1"/>
  <c r="B357" i="18"/>
  <c r="A358" i="18"/>
  <c r="AB352" i="20"/>
  <c r="AC352" i="20" s="1"/>
  <c r="D357" i="16"/>
  <c r="B357" i="16"/>
  <c r="A357" i="16"/>
  <c r="C358" i="16"/>
  <c r="J354" i="14"/>
  <c r="K354" i="14" s="1"/>
  <c r="AD351" i="20"/>
  <c r="AE351" i="20" s="1"/>
  <c r="L355" i="14"/>
  <c r="I355" i="14"/>
  <c r="I354" i="23" l="1"/>
  <c r="J354" i="23"/>
  <c r="AA352" i="20"/>
  <c r="I356" i="14"/>
  <c r="E352" i="23"/>
  <c r="H354" i="23"/>
  <c r="E357" i="16"/>
  <c r="C354" i="14"/>
  <c r="D354" i="14" s="1"/>
  <c r="E354" i="14" s="1"/>
  <c r="R354" i="14"/>
  <c r="S354" i="14" s="1"/>
  <c r="T354" i="14" s="1"/>
  <c r="F355" i="14"/>
  <c r="G355" i="14" s="1"/>
  <c r="H355" i="14" s="1"/>
  <c r="D358" i="16"/>
  <c r="B358" i="16"/>
  <c r="A358" i="16"/>
  <c r="C359" i="16"/>
  <c r="M355" i="14"/>
  <c r="N355" i="14" s="1"/>
  <c r="J355" i="14"/>
  <c r="K355" i="14" s="1"/>
  <c r="AD352" i="20"/>
  <c r="AE352" i="20" s="1"/>
  <c r="L356" i="14"/>
  <c r="F354" i="23"/>
  <c r="G354" i="23"/>
  <c r="C353" i="23"/>
  <c r="K354" i="23"/>
  <c r="C358" i="18" s="1"/>
  <c r="A355" i="23"/>
  <c r="P354" i="14"/>
  <c r="Q354" i="14" s="1"/>
  <c r="B358" i="18"/>
  <c r="A359" i="18"/>
  <c r="AB353" i="20"/>
  <c r="AC353" i="20" s="1"/>
  <c r="G357" i="4"/>
  <c r="H357" i="4"/>
  <c r="I355" i="23" l="1"/>
  <c r="J355" i="23"/>
  <c r="AA353" i="20"/>
  <c r="L357" i="14"/>
  <c r="AA354" i="20"/>
  <c r="O356" i="14"/>
  <c r="P356" i="14" s="1"/>
  <c r="Q356" i="14" s="1"/>
  <c r="E353" i="23"/>
  <c r="H355" i="23"/>
  <c r="F356" i="14"/>
  <c r="G356" i="14" s="1"/>
  <c r="H356" i="14" s="1"/>
  <c r="E358" i="16"/>
  <c r="C355" i="14"/>
  <c r="O355" i="14"/>
  <c r="R355" i="14"/>
  <c r="S355" i="14" s="1"/>
  <c r="T355" i="14" s="1"/>
  <c r="M356" i="14"/>
  <c r="N356" i="14" s="1"/>
  <c r="G358" i="4"/>
  <c r="H358" i="4"/>
  <c r="AD353" i="20"/>
  <c r="AE353" i="20" s="1"/>
  <c r="B359" i="18"/>
  <c r="A360" i="18"/>
  <c r="C354" i="23"/>
  <c r="F355" i="23"/>
  <c r="G355" i="23"/>
  <c r="A356" i="23"/>
  <c r="K355" i="23"/>
  <c r="C359" i="18" s="1"/>
  <c r="D359" i="16"/>
  <c r="B359" i="16"/>
  <c r="A359" i="16"/>
  <c r="C360" i="16"/>
  <c r="AB354" i="20"/>
  <c r="AC354" i="20" s="1"/>
  <c r="I357" i="14"/>
  <c r="J356" i="14"/>
  <c r="K356" i="14" s="1"/>
  <c r="I356" i="23" l="1"/>
  <c r="J356" i="23"/>
  <c r="L358" i="14"/>
  <c r="AA355" i="20"/>
  <c r="R356" i="14"/>
  <c r="S356" i="14" s="1"/>
  <c r="T356" i="14" s="1"/>
  <c r="C356" i="14"/>
  <c r="D356" i="14" s="1"/>
  <c r="E356" i="14" s="1"/>
  <c r="E354" i="23"/>
  <c r="H356" i="23"/>
  <c r="E359" i="16"/>
  <c r="P355" i="14"/>
  <c r="Q355" i="14" s="1"/>
  <c r="F357" i="14"/>
  <c r="G357" i="14" s="1"/>
  <c r="H357" i="14" s="1"/>
  <c r="D355" i="14"/>
  <c r="E355" i="14" s="1"/>
  <c r="M357" i="14"/>
  <c r="N357" i="14" s="1"/>
  <c r="G359" i="4"/>
  <c r="H359" i="4"/>
  <c r="I358" i="14"/>
  <c r="J357" i="14"/>
  <c r="K357" i="14" s="1"/>
  <c r="D360" i="16"/>
  <c r="B360" i="16"/>
  <c r="A360" i="16"/>
  <c r="C361" i="16"/>
  <c r="C355" i="23"/>
  <c r="F356" i="23"/>
  <c r="G356" i="23"/>
  <c r="K356" i="23"/>
  <c r="C360" i="18" s="1"/>
  <c r="A357" i="23"/>
  <c r="AB355" i="20"/>
  <c r="AC355" i="20" s="1"/>
  <c r="B360" i="18"/>
  <c r="A361" i="18"/>
  <c r="AD354" i="20"/>
  <c r="AE354" i="20" s="1"/>
  <c r="I357" i="23" l="1"/>
  <c r="J357" i="23"/>
  <c r="I359" i="14"/>
  <c r="L359" i="14"/>
  <c r="AA356" i="20"/>
  <c r="E355" i="23"/>
  <c r="H357" i="23"/>
  <c r="F358" i="14"/>
  <c r="G358" i="14" s="1"/>
  <c r="H358" i="14" s="1"/>
  <c r="O357" i="14"/>
  <c r="P357" i="14" s="1"/>
  <c r="Q357" i="14" s="1"/>
  <c r="R357" i="14"/>
  <c r="S357" i="14" s="1"/>
  <c r="T357" i="14" s="1"/>
  <c r="C357" i="14"/>
  <c r="E360" i="16"/>
  <c r="G357" i="23"/>
  <c r="F357" i="23"/>
  <c r="C356" i="23"/>
  <c r="K357" i="23"/>
  <c r="C361" i="18" s="1"/>
  <c r="A358" i="23"/>
  <c r="M358" i="14"/>
  <c r="N358" i="14" s="1"/>
  <c r="AD355" i="20"/>
  <c r="AE355" i="20" s="1"/>
  <c r="B361" i="18"/>
  <c r="A362" i="18"/>
  <c r="H360" i="4"/>
  <c r="G360" i="4"/>
  <c r="AB356" i="20"/>
  <c r="AC356" i="20" s="1"/>
  <c r="A361" i="16"/>
  <c r="B361" i="16"/>
  <c r="D361" i="16"/>
  <c r="C362" i="16"/>
  <c r="J358" i="14"/>
  <c r="K358" i="14" s="1"/>
  <c r="O358" i="14"/>
  <c r="I358" i="23" l="1"/>
  <c r="J358" i="23"/>
  <c r="I360" i="14"/>
  <c r="AA357" i="20"/>
  <c r="C358" i="14"/>
  <c r="D358" i="14" s="1"/>
  <c r="E358" i="14" s="1"/>
  <c r="E356" i="23"/>
  <c r="H358" i="23"/>
  <c r="R358" i="14"/>
  <c r="S358" i="14" s="1"/>
  <c r="T358" i="14" s="1"/>
  <c r="D357" i="14"/>
  <c r="E357" i="14" s="1"/>
  <c r="G361" i="4"/>
  <c r="H361" i="4"/>
  <c r="E361" i="16"/>
  <c r="AB357" i="20"/>
  <c r="AC357" i="20" s="1"/>
  <c r="M359" i="14"/>
  <c r="N359" i="14" s="1"/>
  <c r="J359" i="14"/>
  <c r="K359" i="14" s="1"/>
  <c r="L360" i="14"/>
  <c r="AD356" i="20"/>
  <c r="AE356" i="20" s="1"/>
  <c r="B362" i="18"/>
  <c r="A363" i="18"/>
  <c r="P358" i="14"/>
  <c r="Q358" i="14" s="1"/>
  <c r="D362" i="16"/>
  <c r="B362" i="16"/>
  <c r="A362" i="16"/>
  <c r="C363" i="16"/>
  <c r="F358" i="23"/>
  <c r="G358" i="23"/>
  <c r="C357" i="23"/>
  <c r="K358" i="23"/>
  <c r="C362" i="18" s="1"/>
  <c r="A359" i="23"/>
  <c r="I359" i="23" l="1"/>
  <c r="J359" i="23"/>
  <c r="I361" i="14"/>
  <c r="E357" i="23"/>
  <c r="H359" i="23"/>
  <c r="O359" i="14"/>
  <c r="P359" i="14" s="1"/>
  <c r="Q359" i="14" s="1"/>
  <c r="R359" i="14"/>
  <c r="S359" i="14" s="1"/>
  <c r="T359" i="14" s="1"/>
  <c r="AB358" i="20"/>
  <c r="B363" i="18"/>
  <c r="A364" i="18"/>
  <c r="E362" i="16"/>
  <c r="M360" i="14"/>
  <c r="N360" i="14" s="1"/>
  <c r="F359" i="14"/>
  <c r="C359" i="14"/>
  <c r="F359" i="23"/>
  <c r="G359" i="23"/>
  <c r="C358" i="23"/>
  <c r="K359" i="23"/>
  <c r="C363" i="18" s="1"/>
  <c r="A360" i="23"/>
  <c r="B363" i="16"/>
  <c r="D363" i="16"/>
  <c r="A363" i="16"/>
  <c r="C364" i="16"/>
  <c r="O360" i="14"/>
  <c r="J360" i="14"/>
  <c r="K360" i="14" s="1"/>
  <c r="AD357" i="20"/>
  <c r="AE357" i="20" s="1"/>
  <c r="L361" i="14"/>
  <c r="G362" i="4"/>
  <c r="H362" i="4"/>
  <c r="I360" i="23" l="1"/>
  <c r="J360" i="23"/>
  <c r="AA358" i="20"/>
  <c r="L362" i="14"/>
  <c r="AA359" i="20"/>
  <c r="E358" i="23"/>
  <c r="H360" i="23"/>
  <c r="E363" i="16"/>
  <c r="F361" i="14"/>
  <c r="G361" i="14" s="1"/>
  <c r="H361" i="14" s="1"/>
  <c r="M361" i="14"/>
  <c r="N361" i="14" s="1"/>
  <c r="D359" i="14"/>
  <c r="E359" i="14" s="1"/>
  <c r="F360" i="14"/>
  <c r="C360" i="14"/>
  <c r="AB359" i="20"/>
  <c r="I362" i="14"/>
  <c r="AD358" i="20"/>
  <c r="P360" i="14"/>
  <c r="Q360" i="14" s="1"/>
  <c r="G359" i="14"/>
  <c r="H359" i="14" s="1"/>
  <c r="H363" i="4"/>
  <c r="G363" i="4"/>
  <c r="AC358" i="20"/>
  <c r="D364" i="16"/>
  <c r="B364" i="16"/>
  <c r="A364" i="16"/>
  <c r="C365" i="16"/>
  <c r="G360" i="23"/>
  <c r="F360" i="23"/>
  <c r="C359" i="23"/>
  <c r="K360" i="23"/>
  <c r="C364" i="18" s="1"/>
  <c r="A361" i="23"/>
  <c r="J361" i="14"/>
  <c r="K361" i="14" s="1"/>
  <c r="O361" i="14"/>
  <c r="R360" i="14"/>
  <c r="B364" i="18"/>
  <c r="A365" i="18"/>
  <c r="I361" i="23" l="1"/>
  <c r="J361" i="23"/>
  <c r="L363" i="14"/>
  <c r="I363" i="14"/>
  <c r="C361" i="14"/>
  <c r="D361" i="14" s="1"/>
  <c r="E361" i="14" s="1"/>
  <c r="E359" i="23"/>
  <c r="H361" i="23"/>
  <c r="E364" i="16"/>
  <c r="F362" i="14"/>
  <c r="G362" i="14" s="1"/>
  <c r="H362" i="14" s="1"/>
  <c r="D360" i="14"/>
  <c r="E360" i="14" s="1"/>
  <c r="B365" i="18"/>
  <c r="A366" i="18"/>
  <c r="AD359" i="20"/>
  <c r="S360" i="14"/>
  <c r="T360" i="14" s="1"/>
  <c r="H364" i="4"/>
  <c r="G364" i="4"/>
  <c r="M362" i="14"/>
  <c r="N362" i="14" s="1"/>
  <c r="J362" i="14"/>
  <c r="K362" i="14" s="1"/>
  <c r="AB360" i="20"/>
  <c r="P361" i="14"/>
  <c r="Q361" i="14" s="1"/>
  <c r="AC359" i="20"/>
  <c r="A365" i="16"/>
  <c r="D365" i="16"/>
  <c r="B365" i="16"/>
  <c r="C366" i="16"/>
  <c r="AE358" i="20"/>
  <c r="G360" i="14"/>
  <c r="H360" i="14" s="1"/>
  <c r="G361" i="23"/>
  <c r="C360" i="23"/>
  <c r="F361" i="23"/>
  <c r="K361" i="23"/>
  <c r="C365" i="18" s="1"/>
  <c r="A362" i="23"/>
  <c r="R361" i="14"/>
  <c r="I362" i="23" l="1"/>
  <c r="J362" i="23"/>
  <c r="AA360" i="20"/>
  <c r="L364" i="14"/>
  <c r="E360" i="23"/>
  <c r="H362" i="23"/>
  <c r="E365" i="16"/>
  <c r="C362" i="14"/>
  <c r="D362" i="14" s="1"/>
  <c r="E362" i="14" s="1"/>
  <c r="D366" i="16"/>
  <c r="B366" i="16"/>
  <c r="A366" i="16"/>
  <c r="C367" i="16"/>
  <c r="O362" i="14"/>
  <c r="R362" i="14"/>
  <c r="AC360" i="20"/>
  <c r="F363" i="14"/>
  <c r="I364" i="14"/>
  <c r="B366" i="18"/>
  <c r="A367" i="18"/>
  <c r="G365" i="4"/>
  <c r="H365" i="4"/>
  <c r="M363" i="14"/>
  <c r="N363" i="14" s="1"/>
  <c r="S361" i="14"/>
  <c r="T361" i="14" s="1"/>
  <c r="J363" i="14"/>
  <c r="K363" i="14" s="1"/>
  <c r="F362" i="23"/>
  <c r="C361" i="23"/>
  <c r="G362" i="23"/>
  <c r="K362" i="23"/>
  <c r="C366" i="18" s="1"/>
  <c r="A363" i="23"/>
  <c r="AE359" i="20"/>
  <c r="O363" i="14"/>
  <c r="AD360" i="20"/>
  <c r="AB361" i="20"/>
  <c r="AC361" i="20" s="1"/>
  <c r="I363" i="23" l="1"/>
  <c r="J363" i="23"/>
  <c r="L365" i="14"/>
  <c r="AA361" i="20"/>
  <c r="E361" i="23"/>
  <c r="H363" i="23"/>
  <c r="E366" i="16"/>
  <c r="R363" i="14"/>
  <c r="S363" i="14" s="1"/>
  <c r="T363" i="14" s="1"/>
  <c r="F364" i="14"/>
  <c r="G364" i="14" s="1"/>
  <c r="H364" i="14" s="1"/>
  <c r="AD361" i="20"/>
  <c r="AE361" i="20" s="1"/>
  <c r="M364" i="14"/>
  <c r="N364" i="14" s="1"/>
  <c r="P362" i="14"/>
  <c r="Q362" i="14" s="1"/>
  <c r="C363" i="14"/>
  <c r="P363" i="14"/>
  <c r="Q363" i="14" s="1"/>
  <c r="B367" i="18"/>
  <c r="A368" i="18"/>
  <c r="J364" i="14"/>
  <c r="K364" i="14" s="1"/>
  <c r="AE360" i="20"/>
  <c r="O364" i="14"/>
  <c r="I365" i="14"/>
  <c r="A367" i="16"/>
  <c r="B367" i="16"/>
  <c r="D367" i="16"/>
  <c r="C368" i="16"/>
  <c r="G366" i="4"/>
  <c r="H366" i="4"/>
  <c r="G363" i="14"/>
  <c r="H363" i="14" s="1"/>
  <c r="S362" i="14"/>
  <c r="T362" i="14" s="1"/>
  <c r="G363" i="23"/>
  <c r="C362" i="23"/>
  <c r="F363" i="23"/>
  <c r="K363" i="23"/>
  <c r="C367" i="18" s="1"/>
  <c r="A364" i="23"/>
  <c r="AB362" i="20"/>
  <c r="AC362" i="20" s="1"/>
  <c r="I364" i="23" l="1"/>
  <c r="J364" i="23"/>
  <c r="AA362" i="20"/>
  <c r="I366" i="14"/>
  <c r="E362" i="23"/>
  <c r="H364" i="23"/>
  <c r="O365" i="14"/>
  <c r="P365" i="14" s="1"/>
  <c r="Q365" i="14" s="1"/>
  <c r="C364" i="14"/>
  <c r="D364" i="14" s="1"/>
  <c r="E364" i="14" s="1"/>
  <c r="R364" i="14"/>
  <c r="G367" i="4"/>
  <c r="H367" i="4"/>
  <c r="AD362" i="20"/>
  <c r="AE362" i="20" s="1"/>
  <c r="L366" i="14"/>
  <c r="D368" i="16"/>
  <c r="B368" i="16"/>
  <c r="A368" i="16"/>
  <c r="C369" i="16"/>
  <c r="F365" i="14"/>
  <c r="D363" i="14"/>
  <c r="E363" i="14" s="1"/>
  <c r="J365" i="14"/>
  <c r="K365" i="14" s="1"/>
  <c r="C363" i="23"/>
  <c r="F364" i="23"/>
  <c r="G364" i="23"/>
  <c r="K364" i="23"/>
  <c r="C368" i="18" s="1"/>
  <c r="A365" i="23"/>
  <c r="AB363" i="20"/>
  <c r="AC363" i="20" s="1"/>
  <c r="E367" i="16"/>
  <c r="P364" i="14"/>
  <c r="Q364" i="14" s="1"/>
  <c r="B368" i="18"/>
  <c r="A369" i="18"/>
  <c r="M365" i="14"/>
  <c r="N365" i="14" s="1"/>
  <c r="I365" i="23" l="1"/>
  <c r="J365" i="23"/>
  <c r="AA363" i="20"/>
  <c r="E363" i="23"/>
  <c r="H365" i="23"/>
  <c r="R365" i="14"/>
  <c r="S365" i="14" s="1"/>
  <c r="T365" i="14" s="1"/>
  <c r="E368" i="16"/>
  <c r="S364" i="14"/>
  <c r="T364" i="14" s="1"/>
  <c r="M366" i="14"/>
  <c r="N366" i="14" s="1"/>
  <c r="I367" i="14"/>
  <c r="D369" i="16"/>
  <c r="B369" i="16"/>
  <c r="A369" i="16"/>
  <c r="C370" i="16"/>
  <c r="AD363" i="20"/>
  <c r="AE363" i="20" s="1"/>
  <c r="L367" i="14"/>
  <c r="G365" i="14"/>
  <c r="H365" i="14" s="1"/>
  <c r="C365" i="14"/>
  <c r="G368" i="4"/>
  <c r="H368" i="4"/>
  <c r="B369" i="18"/>
  <c r="A370" i="18"/>
  <c r="C364" i="23"/>
  <c r="G365" i="23"/>
  <c r="F365" i="23"/>
  <c r="K365" i="23"/>
  <c r="C369" i="18" s="1"/>
  <c r="A366" i="23"/>
  <c r="AB364" i="20"/>
  <c r="AC364" i="20" s="1"/>
  <c r="O366" i="14"/>
  <c r="J366" i="14"/>
  <c r="K366" i="14" s="1"/>
  <c r="I366" i="23" l="1"/>
  <c r="J366" i="23"/>
  <c r="AA364" i="20"/>
  <c r="E364" i="23"/>
  <c r="H366" i="23"/>
  <c r="O367" i="14"/>
  <c r="P367" i="14" s="1"/>
  <c r="Q367" i="14" s="1"/>
  <c r="F367" i="14"/>
  <c r="G367" i="14" s="1"/>
  <c r="H367" i="14" s="1"/>
  <c r="G366" i="23"/>
  <c r="F366" i="23"/>
  <c r="C365" i="23"/>
  <c r="K366" i="23"/>
  <c r="C370" i="18" s="1"/>
  <c r="A367" i="23"/>
  <c r="F366" i="14"/>
  <c r="C366" i="14"/>
  <c r="M367" i="14"/>
  <c r="N367" i="14" s="1"/>
  <c r="D370" i="16"/>
  <c r="B370" i="16"/>
  <c r="A370" i="16"/>
  <c r="C371" i="16"/>
  <c r="J367" i="14"/>
  <c r="K367" i="14" s="1"/>
  <c r="G369" i="4"/>
  <c r="H369" i="4"/>
  <c r="D365" i="14"/>
  <c r="E365" i="14" s="1"/>
  <c r="E369" i="16"/>
  <c r="AD364" i="20"/>
  <c r="AE364" i="20" s="1"/>
  <c r="L368" i="14"/>
  <c r="AB365" i="20"/>
  <c r="AC365" i="20" s="1"/>
  <c r="I368" i="14"/>
  <c r="P366" i="14"/>
  <c r="Q366" i="14" s="1"/>
  <c r="B370" i="18"/>
  <c r="A371" i="18"/>
  <c r="R366" i="14"/>
  <c r="I367" i="23" l="1"/>
  <c r="J367" i="23"/>
  <c r="AA365" i="20"/>
  <c r="L369" i="14"/>
  <c r="C367" i="14"/>
  <c r="D367" i="14" s="1"/>
  <c r="E367" i="14" s="1"/>
  <c r="E365" i="23"/>
  <c r="H367" i="23"/>
  <c r="E370" i="16"/>
  <c r="R367" i="14"/>
  <c r="S367" i="14" s="1"/>
  <c r="T367" i="14" s="1"/>
  <c r="F368" i="14"/>
  <c r="G368" i="14" s="1"/>
  <c r="H368" i="14" s="1"/>
  <c r="S366" i="14"/>
  <c r="T366" i="14" s="1"/>
  <c r="AD365" i="20"/>
  <c r="AE365" i="20" s="1"/>
  <c r="G370" i="4"/>
  <c r="H370" i="4"/>
  <c r="G366" i="14"/>
  <c r="H366" i="14" s="1"/>
  <c r="AB366" i="20"/>
  <c r="I369" i="14"/>
  <c r="M368" i="14"/>
  <c r="N368" i="14" s="1"/>
  <c r="D366" i="14"/>
  <c r="E366" i="14" s="1"/>
  <c r="B371" i="18"/>
  <c r="A372" i="18"/>
  <c r="J368" i="14"/>
  <c r="K368" i="14" s="1"/>
  <c r="A371" i="16"/>
  <c r="B371" i="16"/>
  <c r="D371" i="16"/>
  <c r="C372" i="16"/>
  <c r="C366" i="23"/>
  <c r="G367" i="23"/>
  <c r="F367" i="23"/>
  <c r="K367" i="23"/>
  <c r="C371" i="18" s="1"/>
  <c r="A368" i="23"/>
  <c r="O368" i="14"/>
  <c r="I368" i="23" l="1"/>
  <c r="J368" i="23"/>
  <c r="AA366" i="20"/>
  <c r="L370" i="14"/>
  <c r="AA367" i="20"/>
  <c r="E366" i="23"/>
  <c r="H368" i="23"/>
  <c r="E371" i="16"/>
  <c r="C368" i="14"/>
  <c r="D368" i="14" s="1"/>
  <c r="E368" i="14" s="1"/>
  <c r="D372" i="16"/>
  <c r="A372" i="16"/>
  <c r="B372" i="16"/>
  <c r="C373" i="16"/>
  <c r="R368" i="14"/>
  <c r="AB367" i="20"/>
  <c r="B372" i="18"/>
  <c r="A373" i="18"/>
  <c r="I370" i="14"/>
  <c r="G371" i="4"/>
  <c r="H371" i="4"/>
  <c r="P368" i="14"/>
  <c r="Q368" i="14" s="1"/>
  <c r="J369" i="14"/>
  <c r="K369" i="14" s="1"/>
  <c r="G368" i="23"/>
  <c r="C367" i="23"/>
  <c r="F368" i="23"/>
  <c r="K368" i="23"/>
  <c r="C372" i="18" s="1"/>
  <c r="A369" i="23"/>
  <c r="AC366" i="20"/>
  <c r="AD366" i="20"/>
  <c r="M369" i="14"/>
  <c r="N369" i="14" s="1"/>
  <c r="I369" i="23" l="1"/>
  <c r="J369" i="23"/>
  <c r="I371" i="14"/>
  <c r="E367" i="23"/>
  <c r="H369" i="23"/>
  <c r="O369" i="14"/>
  <c r="P369" i="14" s="1"/>
  <c r="Q369" i="14" s="1"/>
  <c r="R369" i="14"/>
  <c r="S369" i="14" s="1"/>
  <c r="T369" i="14" s="1"/>
  <c r="H372" i="4"/>
  <c r="G372" i="4"/>
  <c r="B373" i="18"/>
  <c r="A374" i="18"/>
  <c r="F369" i="14"/>
  <c r="C369" i="14"/>
  <c r="J370" i="14"/>
  <c r="K370" i="14" s="1"/>
  <c r="B373" i="16"/>
  <c r="D373" i="16"/>
  <c r="A373" i="16"/>
  <c r="C374" i="16"/>
  <c r="M370" i="14"/>
  <c r="N370" i="14" s="1"/>
  <c r="G369" i="23"/>
  <c r="F369" i="23"/>
  <c r="C368" i="23"/>
  <c r="K369" i="23"/>
  <c r="C373" i="18" s="1"/>
  <c r="A370" i="23"/>
  <c r="AD367" i="20"/>
  <c r="L371" i="14"/>
  <c r="E372" i="16"/>
  <c r="S368" i="14"/>
  <c r="T368" i="14" s="1"/>
  <c r="AE366" i="20"/>
  <c r="O370" i="14"/>
  <c r="AC367" i="20"/>
  <c r="AB368" i="20"/>
  <c r="AC368" i="20" s="1"/>
  <c r="I370" i="23" l="1"/>
  <c r="J370" i="23"/>
  <c r="AA368" i="20"/>
  <c r="L372" i="14"/>
  <c r="AA369" i="20"/>
  <c r="E368" i="23"/>
  <c r="H370" i="23"/>
  <c r="E373" i="16"/>
  <c r="F371" i="14"/>
  <c r="G371" i="14" s="1"/>
  <c r="H371" i="14" s="1"/>
  <c r="AD368" i="20"/>
  <c r="AE368" i="20" s="1"/>
  <c r="A374" i="16"/>
  <c r="D374" i="16"/>
  <c r="B374" i="16"/>
  <c r="C375" i="16"/>
  <c r="B374" i="18"/>
  <c r="A375" i="18"/>
  <c r="P370" i="14"/>
  <c r="Q370" i="14" s="1"/>
  <c r="AB369" i="20"/>
  <c r="AC369" i="20" s="1"/>
  <c r="R370" i="14"/>
  <c r="J371" i="14"/>
  <c r="K371" i="14" s="1"/>
  <c r="AE367" i="20"/>
  <c r="I372" i="14"/>
  <c r="M371" i="14"/>
  <c r="N371" i="14" s="1"/>
  <c r="F370" i="23"/>
  <c r="C369" i="23"/>
  <c r="G370" i="23"/>
  <c r="A371" i="23"/>
  <c r="K370" i="23"/>
  <c r="C374" i="18" s="1"/>
  <c r="G369" i="14"/>
  <c r="H369" i="14" s="1"/>
  <c r="F370" i="14"/>
  <c r="C370" i="14"/>
  <c r="D369" i="14"/>
  <c r="E369" i="14" s="1"/>
  <c r="G373" i="4"/>
  <c r="H373" i="4"/>
  <c r="I371" i="23" l="1"/>
  <c r="J371" i="23"/>
  <c r="L373" i="14"/>
  <c r="I373" i="14"/>
  <c r="AA370" i="20"/>
  <c r="E374" i="16"/>
  <c r="E369" i="23"/>
  <c r="H371" i="23"/>
  <c r="C371" i="14"/>
  <c r="D371" i="14" s="1"/>
  <c r="E371" i="14" s="1"/>
  <c r="O372" i="14"/>
  <c r="P372" i="14" s="1"/>
  <c r="Q372" i="14" s="1"/>
  <c r="F372" i="14"/>
  <c r="G372" i="14" s="1"/>
  <c r="H372" i="14" s="1"/>
  <c r="B375" i="18"/>
  <c r="A376" i="18"/>
  <c r="J372" i="14"/>
  <c r="K372" i="14" s="1"/>
  <c r="S370" i="14"/>
  <c r="T370" i="14" s="1"/>
  <c r="O371" i="14"/>
  <c r="R371" i="14"/>
  <c r="G374" i="4"/>
  <c r="H374" i="4"/>
  <c r="F371" i="23"/>
  <c r="G371" i="23"/>
  <c r="C370" i="23"/>
  <c r="K371" i="23"/>
  <c r="C375" i="18" s="1"/>
  <c r="A372" i="23"/>
  <c r="AB370" i="20"/>
  <c r="AC370" i="20" s="1"/>
  <c r="D370" i="14"/>
  <c r="E370" i="14" s="1"/>
  <c r="G370" i="14"/>
  <c r="H370" i="14" s="1"/>
  <c r="AD369" i="20"/>
  <c r="AE369" i="20" s="1"/>
  <c r="D375" i="16"/>
  <c r="B375" i="16"/>
  <c r="A375" i="16"/>
  <c r="C376" i="16"/>
  <c r="M372" i="14"/>
  <c r="N372" i="14" s="1"/>
  <c r="I372" i="23" l="1"/>
  <c r="J372" i="23"/>
  <c r="L374" i="14"/>
  <c r="E370" i="23"/>
  <c r="H372" i="23"/>
  <c r="C372" i="14"/>
  <c r="D372" i="14" s="1"/>
  <c r="E372" i="14" s="1"/>
  <c r="E375" i="16"/>
  <c r="R372" i="14"/>
  <c r="P371" i="14"/>
  <c r="Q371" i="14" s="1"/>
  <c r="D376" i="16"/>
  <c r="B376" i="16"/>
  <c r="A376" i="16"/>
  <c r="C377" i="16"/>
  <c r="G375" i="4"/>
  <c r="H375" i="4"/>
  <c r="B376" i="18"/>
  <c r="A377" i="18"/>
  <c r="O373" i="14"/>
  <c r="S371" i="14"/>
  <c r="T371" i="14" s="1"/>
  <c r="C371" i="23"/>
  <c r="G372" i="23"/>
  <c r="F372" i="23"/>
  <c r="K372" i="23"/>
  <c r="C376" i="18" s="1"/>
  <c r="A373" i="23"/>
  <c r="M373" i="14"/>
  <c r="N373" i="14" s="1"/>
  <c r="AD370" i="20"/>
  <c r="AE370" i="20" s="1"/>
  <c r="AB371" i="20"/>
  <c r="AC371" i="20" s="1"/>
  <c r="I374" i="14"/>
  <c r="J373" i="14"/>
  <c r="K373" i="14" s="1"/>
  <c r="I373" i="23" l="1"/>
  <c r="J373" i="23"/>
  <c r="AA371" i="20"/>
  <c r="L375" i="14"/>
  <c r="E371" i="23"/>
  <c r="H373" i="23"/>
  <c r="S372" i="14"/>
  <c r="T372" i="14" s="1"/>
  <c r="R373" i="14"/>
  <c r="S373" i="14" s="1"/>
  <c r="T373" i="14" s="1"/>
  <c r="F374" i="14"/>
  <c r="G374" i="14" s="1"/>
  <c r="H374" i="14" s="1"/>
  <c r="O374" i="14"/>
  <c r="P374" i="14" s="1"/>
  <c r="Q374" i="14" s="1"/>
  <c r="E376" i="16"/>
  <c r="J374" i="14"/>
  <c r="K374" i="14" s="1"/>
  <c r="AB372" i="20"/>
  <c r="AC372" i="20" s="1"/>
  <c r="F373" i="14"/>
  <c r="C373" i="14"/>
  <c r="P373" i="14"/>
  <c r="Q373" i="14" s="1"/>
  <c r="D377" i="16"/>
  <c r="B377" i="16"/>
  <c r="A377" i="16"/>
  <c r="C378" i="16"/>
  <c r="M374" i="14"/>
  <c r="N374" i="14" s="1"/>
  <c r="H376" i="4"/>
  <c r="G376" i="4"/>
  <c r="I375" i="14"/>
  <c r="AD371" i="20"/>
  <c r="AE371" i="20" s="1"/>
  <c r="C372" i="23"/>
  <c r="G373" i="23"/>
  <c r="F373" i="23"/>
  <c r="K373" i="23"/>
  <c r="C377" i="18" s="1"/>
  <c r="A374" i="23"/>
  <c r="B377" i="18"/>
  <c r="A378" i="18"/>
  <c r="I374" i="23" l="1"/>
  <c r="J374" i="23"/>
  <c r="AA372" i="20"/>
  <c r="E372" i="23"/>
  <c r="H374" i="23"/>
  <c r="R374" i="14"/>
  <c r="S374" i="14" s="1"/>
  <c r="T374" i="14" s="1"/>
  <c r="C374" i="14"/>
  <c r="E377" i="16"/>
  <c r="F375" i="14"/>
  <c r="G375" i="14" s="1"/>
  <c r="G373" i="14"/>
  <c r="H373" i="14" s="1"/>
  <c r="AD372" i="20"/>
  <c r="AE372" i="20" s="1"/>
  <c r="L376" i="14"/>
  <c r="I376" i="14"/>
  <c r="G374" i="23"/>
  <c r="C373" i="23"/>
  <c r="F374" i="23"/>
  <c r="K374" i="23"/>
  <c r="C378" i="18" s="1"/>
  <c r="A375" i="23"/>
  <c r="O375" i="14"/>
  <c r="G377" i="4"/>
  <c r="H377" i="4"/>
  <c r="D373" i="14"/>
  <c r="E373" i="14" s="1"/>
  <c r="B378" i="18"/>
  <c r="A379" i="18"/>
  <c r="M375" i="14"/>
  <c r="N375" i="14" s="1"/>
  <c r="J375" i="14"/>
  <c r="K375" i="14" s="1"/>
  <c r="B378" i="16"/>
  <c r="D378" i="16"/>
  <c r="A378" i="16"/>
  <c r="C379" i="16"/>
  <c r="AB373" i="20"/>
  <c r="AC373" i="20" s="1"/>
  <c r="I375" i="23" l="1"/>
  <c r="J375" i="23"/>
  <c r="AA373" i="20"/>
  <c r="I377" i="14"/>
  <c r="E373" i="23"/>
  <c r="H375" i="23"/>
  <c r="O376" i="14"/>
  <c r="P376" i="14" s="1"/>
  <c r="Q376" i="14" s="1"/>
  <c r="D374" i="14"/>
  <c r="E374" i="14" s="1"/>
  <c r="H375" i="14"/>
  <c r="C375" i="14"/>
  <c r="D375" i="14" s="1"/>
  <c r="E375" i="14" s="1"/>
  <c r="B379" i="18"/>
  <c r="A380" i="18"/>
  <c r="G378" i="4"/>
  <c r="H378" i="4"/>
  <c r="E378" i="16"/>
  <c r="C374" i="23"/>
  <c r="G375" i="23"/>
  <c r="F375" i="23"/>
  <c r="A376" i="23"/>
  <c r="K375" i="23"/>
  <c r="C379" i="18" s="1"/>
  <c r="M376" i="14"/>
  <c r="N376" i="14" s="1"/>
  <c r="L377" i="14"/>
  <c r="AD373" i="20"/>
  <c r="AE373" i="20" s="1"/>
  <c r="P375" i="14"/>
  <c r="Q375" i="14" s="1"/>
  <c r="J376" i="14"/>
  <c r="K376" i="14" s="1"/>
  <c r="R375" i="14"/>
  <c r="AB374" i="20"/>
  <c r="AC374" i="20" s="1"/>
  <c r="D379" i="16"/>
  <c r="A379" i="16"/>
  <c r="B379" i="16"/>
  <c r="C380" i="16"/>
  <c r="F376" i="14"/>
  <c r="AA374" i="20" l="1"/>
  <c r="I376" i="23"/>
  <c r="J376" i="23"/>
  <c r="L378" i="14"/>
  <c r="E374" i="23"/>
  <c r="R376" i="14"/>
  <c r="S376" i="14" s="1"/>
  <c r="T376" i="14" s="1"/>
  <c r="H376" i="23"/>
  <c r="F377" i="14"/>
  <c r="G377" i="14" s="1"/>
  <c r="H377" i="14" s="1"/>
  <c r="AD374" i="20"/>
  <c r="AE374" i="20" s="1"/>
  <c r="E379" i="16"/>
  <c r="C375" i="23"/>
  <c r="G376" i="23"/>
  <c r="F376" i="23"/>
  <c r="K376" i="23"/>
  <c r="C380" i="18" s="1"/>
  <c r="A377" i="23"/>
  <c r="H379" i="4"/>
  <c r="G379" i="4"/>
  <c r="G376" i="14"/>
  <c r="H376" i="14" s="1"/>
  <c r="S375" i="14"/>
  <c r="T375" i="14" s="1"/>
  <c r="I378" i="14"/>
  <c r="J377" i="14"/>
  <c r="K377" i="14" s="1"/>
  <c r="D380" i="16"/>
  <c r="B380" i="16"/>
  <c r="A380" i="16"/>
  <c r="C381" i="16"/>
  <c r="C376" i="14"/>
  <c r="B380" i="18"/>
  <c r="A381" i="18"/>
  <c r="AB375" i="20"/>
  <c r="AC375" i="20" s="1"/>
  <c r="M377" i="14"/>
  <c r="N377" i="14" s="1"/>
  <c r="I377" i="23" l="1"/>
  <c r="J377" i="23"/>
  <c r="AA375" i="20"/>
  <c r="L379" i="14"/>
  <c r="E375" i="23"/>
  <c r="H377" i="23"/>
  <c r="C377" i="14"/>
  <c r="D377" i="14" s="1"/>
  <c r="E377" i="14" s="1"/>
  <c r="D376" i="14"/>
  <c r="E376" i="14" s="1"/>
  <c r="E380" i="16"/>
  <c r="J378" i="14"/>
  <c r="K378" i="14" s="1"/>
  <c r="C376" i="23"/>
  <c r="F377" i="23"/>
  <c r="G377" i="23"/>
  <c r="K377" i="23"/>
  <c r="C381" i="18" s="1"/>
  <c r="A378" i="23"/>
  <c r="H380" i="4"/>
  <c r="G380" i="4"/>
  <c r="O378" i="14"/>
  <c r="I379" i="14"/>
  <c r="B381" i="18"/>
  <c r="A382" i="18"/>
  <c r="M378" i="14"/>
  <c r="N378" i="14" s="1"/>
  <c r="AD375" i="20"/>
  <c r="AE375" i="20" s="1"/>
  <c r="B381" i="16"/>
  <c r="D381" i="16"/>
  <c r="A381" i="16"/>
  <c r="C382" i="16"/>
  <c r="O377" i="14"/>
  <c r="R377" i="14"/>
  <c r="AB376" i="20"/>
  <c r="AC376" i="20" s="1"/>
  <c r="I378" i="23" l="1"/>
  <c r="J378" i="23"/>
  <c r="AA376" i="20"/>
  <c r="L380" i="14"/>
  <c r="AA377" i="20"/>
  <c r="E376" i="23"/>
  <c r="H378" i="23"/>
  <c r="R378" i="14"/>
  <c r="S378" i="14" s="1"/>
  <c r="T378" i="14" s="1"/>
  <c r="E381" i="16"/>
  <c r="S377" i="14"/>
  <c r="T377" i="14" s="1"/>
  <c r="P378" i="14"/>
  <c r="Q378" i="14" s="1"/>
  <c r="D382" i="16"/>
  <c r="B382" i="16"/>
  <c r="A382" i="16"/>
  <c r="C383" i="16"/>
  <c r="F379" i="14"/>
  <c r="I380" i="14"/>
  <c r="M379" i="14"/>
  <c r="N379" i="14" s="1"/>
  <c r="B382" i="18"/>
  <c r="A383" i="18"/>
  <c r="J379" i="14"/>
  <c r="K379" i="14" s="1"/>
  <c r="O379" i="14"/>
  <c r="F378" i="14"/>
  <c r="C378" i="14"/>
  <c r="G381" i="4"/>
  <c r="H381" i="4"/>
  <c r="AD376" i="20"/>
  <c r="AE376" i="20" s="1"/>
  <c r="P377" i="14"/>
  <c r="Q377" i="14" s="1"/>
  <c r="AB377" i="20"/>
  <c r="AC377" i="20" s="1"/>
  <c r="G378" i="23"/>
  <c r="C377" i="23"/>
  <c r="F378" i="23"/>
  <c r="K378" i="23"/>
  <c r="C382" i="18" s="1"/>
  <c r="A379" i="23"/>
  <c r="I379" i="23" l="1"/>
  <c r="J379" i="23"/>
  <c r="L381" i="14"/>
  <c r="I381" i="14"/>
  <c r="E377" i="23"/>
  <c r="H379" i="23"/>
  <c r="C379" i="14"/>
  <c r="D379" i="14" s="1"/>
  <c r="E379" i="14" s="1"/>
  <c r="J380" i="14"/>
  <c r="K380" i="14" s="1"/>
  <c r="M380" i="14"/>
  <c r="N380" i="14" s="1"/>
  <c r="D378" i="14"/>
  <c r="E378" i="14" s="1"/>
  <c r="B383" i="16"/>
  <c r="D383" i="16"/>
  <c r="A383" i="16"/>
  <c r="C384" i="16"/>
  <c r="R379" i="14"/>
  <c r="G378" i="14"/>
  <c r="H378" i="14" s="1"/>
  <c r="B383" i="18"/>
  <c r="A384" i="18"/>
  <c r="AB378" i="20"/>
  <c r="AC378" i="20" s="1"/>
  <c r="F380" i="14"/>
  <c r="E382" i="16"/>
  <c r="F379" i="23"/>
  <c r="G379" i="23"/>
  <c r="C378" i="23"/>
  <c r="A380" i="23"/>
  <c r="K379" i="23"/>
  <c r="C383" i="18" s="1"/>
  <c r="P379" i="14"/>
  <c r="Q379" i="14" s="1"/>
  <c r="AD377" i="20"/>
  <c r="AE377" i="20" s="1"/>
  <c r="G382" i="4"/>
  <c r="H382" i="4"/>
  <c r="G379" i="14"/>
  <c r="H379" i="14" s="1"/>
  <c r="I380" i="23" l="1"/>
  <c r="J380" i="23"/>
  <c r="AA378" i="20"/>
  <c r="I382" i="14"/>
  <c r="AA379" i="20"/>
  <c r="E378" i="23"/>
  <c r="H380" i="23"/>
  <c r="E383" i="16"/>
  <c r="O381" i="14"/>
  <c r="M381" i="14"/>
  <c r="N381" i="14" s="1"/>
  <c r="S379" i="14"/>
  <c r="T379" i="14" s="1"/>
  <c r="G383" i="4"/>
  <c r="H383" i="4"/>
  <c r="F381" i="14"/>
  <c r="AB379" i="20"/>
  <c r="G380" i="14"/>
  <c r="H380" i="14" s="1"/>
  <c r="B384" i="16"/>
  <c r="D384" i="16"/>
  <c r="A384" i="16"/>
  <c r="C385" i="16"/>
  <c r="C380" i="14"/>
  <c r="O380" i="14"/>
  <c r="R380" i="14"/>
  <c r="J381" i="14"/>
  <c r="K381" i="14" s="1"/>
  <c r="G380" i="23"/>
  <c r="C379" i="23"/>
  <c r="F380" i="23"/>
  <c r="K380" i="23"/>
  <c r="C384" i="18" s="1"/>
  <c r="A381" i="23"/>
  <c r="B384" i="18"/>
  <c r="A385" i="18"/>
  <c r="AD378" i="20"/>
  <c r="AE378" i="20" s="1"/>
  <c r="L382" i="14"/>
  <c r="I381" i="23" l="1"/>
  <c r="J381" i="23"/>
  <c r="L383" i="14"/>
  <c r="I383" i="14"/>
  <c r="E379" i="23"/>
  <c r="H381" i="23"/>
  <c r="R381" i="14"/>
  <c r="S381" i="14" s="1"/>
  <c r="T381" i="14" s="1"/>
  <c r="M382" i="14"/>
  <c r="N382" i="14" s="1"/>
  <c r="F381" i="23"/>
  <c r="C380" i="23"/>
  <c r="G381" i="23"/>
  <c r="K381" i="23"/>
  <c r="C385" i="18" s="1"/>
  <c r="A382" i="23"/>
  <c r="AC379" i="20"/>
  <c r="P380" i="14"/>
  <c r="Q380" i="14" s="1"/>
  <c r="G381" i="14"/>
  <c r="H381" i="14" s="1"/>
  <c r="P381" i="14"/>
  <c r="Q381" i="14" s="1"/>
  <c r="D380" i="14"/>
  <c r="E380" i="14" s="1"/>
  <c r="AD379" i="20"/>
  <c r="G384" i="4"/>
  <c r="H384" i="4"/>
  <c r="F382" i="14"/>
  <c r="O382" i="14"/>
  <c r="D385" i="16"/>
  <c r="B385" i="16"/>
  <c r="A385" i="16"/>
  <c r="C386" i="16"/>
  <c r="AB380" i="20"/>
  <c r="AC380" i="20" s="1"/>
  <c r="J382" i="14"/>
  <c r="K382" i="14" s="1"/>
  <c r="B385" i="18"/>
  <c r="A386" i="18"/>
  <c r="S380" i="14"/>
  <c r="T380" i="14" s="1"/>
  <c r="E384" i="16"/>
  <c r="C381" i="14"/>
  <c r="AA380" i="20" l="1"/>
  <c r="I382" i="23"/>
  <c r="J382" i="23"/>
  <c r="AA381" i="20"/>
  <c r="E380" i="23"/>
  <c r="H382" i="23"/>
  <c r="C382" i="14"/>
  <c r="D382" i="14" s="1"/>
  <c r="E382" i="14" s="1"/>
  <c r="E385" i="16"/>
  <c r="F383" i="14"/>
  <c r="G383" i="14" s="1"/>
  <c r="H383" i="14" s="1"/>
  <c r="M383" i="14"/>
  <c r="N383" i="14" s="1"/>
  <c r="L384" i="14"/>
  <c r="AD380" i="20"/>
  <c r="AE380" i="20" s="1"/>
  <c r="I384" i="14"/>
  <c r="A386" i="16"/>
  <c r="D386" i="16"/>
  <c r="B386" i="16"/>
  <c r="C387" i="16"/>
  <c r="P382" i="14"/>
  <c r="Q382" i="14" s="1"/>
  <c r="J383" i="14"/>
  <c r="K383" i="14" s="1"/>
  <c r="B386" i="18"/>
  <c r="A387" i="18"/>
  <c r="G382" i="14"/>
  <c r="H382" i="14" s="1"/>
  <c r="C381" i="23"/>
  <c r="F382" i="23"/>
  <c r="G382" i="23"/>
  <c r="A383" i="23"/>
  <c r="K382" i="23"/>
  <c r="C386" i="18" s="1"/>
  <c r="D381" i="14"/>
  <c r="E381" i="14" s="1"/>
  <c r="G385" i="4"/>
  <c r="H385" i="4"/>
  <c r="AB381" i="20"/>
  <c r="AC381" i="20" s="1"/>
  <c r="R382" i="14"/>
  <c r="AE379" i="20"/>
  <c r="O383" i="14"/>
  <c r="I383" i="23" l="1"/>
  <c r="J383" i="23"/>
  <c r="L385" i="14"/>
  <c r="C383" i="14"/>
  <c r="D383" i="14" s="1"/>
  <c r="E383" i="14" s="1"/>
  <c r="E381" i="23"/>
  <c r="H383" i="23"/>
  <c r="O384" i="14"/>
  <c r="P384" i="14" s="1"/>
  <c r="Q384" i="14" s="1"/>
  <c r="P383" i="14"/>
  <c r="Q383" i="14" s="1"/>
  <c r="G386" i="4"/>
  <c r="H386" i="4"/>
  <c r="B387" i="18"/>
  <c r="A388" i="18"/>
  <c r="R383" i="14"/>
  <c r="E386" i="16"/>
  <c r="M384" i="14"/>
  <c r="N384" i="14" s="1"/>
  <c r="B387" i="16"/>
  <c r="D387" i="16"/>
  <c r="A387" i="16"/>
  <c r="C388" i="16"/>
  <c r="S382" i="14"/>
  <c r="T382" i="14" s="1"/>
  <c r="G383" i="23"/>
  <c r="F383" i="23"/>
  <c r="C382" i="23"/>
  <c r="A384" i="23"/>
  <c r="K383" i="23"/>
  <c r="C387" i="18" s="1"/>
  <c r="AB382" i="20"/>
  <c r="AC382" i="20" s="1"/>
  <c r="J384" i="14"/>
  <c r="K384" i="14" s="1"/>
  <c r="AD381" i="20"/>
  <c r="AE381" i="20" s="1"/>
  <c r="I385" i="14"/>
  <c r="I384" i="23" l="1"/>
  <c r="J384" i="23"/>
  <c r="I386" i="14"/>
  <c r="AA382" i="20"/>
  <c r="E387" i="16"/>
  <c r="E382" i="23"/>
  <c r="H384" i="23"/>
  <c r="R384" i="14"/>
  <c r="S384" i="14" s="1"/>
  <c r="T384" i="14" s="1"/>
  <c r="F385" i="14"/>
  <c r="G385" i="14" s="1"/>
  <c r="H385" i="14" s="1"/>
  <c r="C383" i="23"/>
  <c r="F384" i="23"/>
  <c r="G384" i="23"/>
  <c r="K384" i="23"/>
  <c r="C388" i="18" s="1"/>
  <c r="A385" i="23"/>
  <c r="B388" i="18"/>
  <c r="A389" i="18"/>
  <c r="F384" i="14"/>
  <c r="C384" i="14"/>
  <c r="M385" i="14"/>
  <c r="N385" i="14" s="1"/>
  <c r="D388" i="16"/>
  <c r="B388" i="16"/>
  <c r="A388" i="16"/>
  <c r="C389" i="16"/>
  <c r="S383" i="14"/>
  <c r="T383" i="14" s="1"/>
  <c r="G387" i="4"/>
  <c r="H387" i="4"/>
  <c r="AD382" i="20"/>
  <c r="AE382" i="20" s="1"/>
  <c r="L386" i="14"/>
  <c r="AB383" i="20"/>
  <c r="AC383" i="20" s="1"/>
  <c r="J385" i="14"/>
  <c r="K385" i="14" s="1"/>
  <c r="O385" i="14"/>
  <c r="I385" i="23" l="1"/>
  <c r="J385" i="23"/>
  <c r="AA383" i="20"/>
  <c r="E383" i="23"/>
  <c r="H385" i="23"/>
  <c r="E388" i="16"/>
  <c r="C385" i="14"/>
  <c r="D385" i="14" s="1"/>
  <c r="E385" i="14" s="1"/>
  <c r="R385" i="14"/>
  <c r="S385" i="14" s="1"/>
  <c r="T385" i="14" s="1"/>
  <c r="D389" i="16"/>
  <c r="B389" i="16"/>
  <c r="A389" i="16"/>
  <c r="C390" i="16"/>
  <c r="D384" i="14"/>
  <c r="E384" i="14" s="1"/>
  <c r="M386" i="14"/>
  <c r="N386" i="14" s="1"/>
  <c r="AB384" i="20"/>
  <c r="AC384" i="20" s="1"/>
  <c r="P385" i="14"/>
  <c r="Q385" i="14" s="1"/>
  <c r="J386" i="14"/>
  <c r="K386" i="14" s="1"/>
  <c r="B389" i="18"/>
  <c r="A390" i="18"/>
  <c r="H388" i="4"/>
  <c r="G388" i="4"/>
  <c r="I387" i="14"/>
  <c r="AD383" i="20"/>
  <c r="AE383" i="20" s="1"/>
  <c r="L387" i="14"/>
  <c r="G384" i="14"/>
  <c r="H384" i="14" s="1"/>
  <c r="G385" i="23"/>
  <c r="F385" i="23"/>
  <c r="C384" i="23"/>
  <c r="K385" i="23"/>
  <c r="C389" i="18" s="1"/>
  <c r="A386" i="23"/>
  <c r="I386" i="23" l="1"/>
  <c r="J386" i="23"/>
  <c r="AA384" i="20"/>
  <c r="E384" i="23"/>
  <c r="H386" i="23"/>
  <c r="E389" i="16"/>
  <c r="F386" i="14"/>
  <c r="G386" i="14" s="1"/>
  <c r="H386" i="14" s="1"/>
  <c r="C386" i="14"/>
  <c r="D386" i="14" s="1"/>
  <c r="E386" i="14" s="1"/>
  <c r="O387" i="14"/>
  <c r="J387" i="14"/>
  <c r="K387" i="14" s="1"/>
  <c r="G389" i="4"/>
  <c r="H389" i="4"/>
  <c r="AB385" i="20"/>
  <c r="AC385" i="20" s="1"/>
  <c r="C385" i="23"/>
  <c r="G386" i="23"/>
  <c r="F386" i="23"/>
  <c r="K386" i="23"/>
  <c r="C390" i="18" s="1"/>
  <c r="A387" i="23"/>
  <c r="F387" i="14"/>
  <c r="D390" i="16"/>
  <c r="B390" i="16"/>
  <c r="A390" i="16"/>
  <c r="C391" i="16"/>
  <c r="M387" i="14"/>
  <c r="N387" i="14" s="1"/>
  <c r="I388" i="14"/>
  <c r="AD384" i="20"/>
  <c r="AE384" i="20" s="1"/>
  <c r="L388" i="14"/>
  <c r="O386" i="14"/>
  <c r="R386" i="14"/>
  <c r="B390" i="18"/>
  <c r="A391" i="18"/>
  <c r="I387" i="23" l="1"/>
  <c r="J387" i="23"/>
  <c r="AA385" i="20"/>
  <c r="E385" i="23"/>
  <c r="H387" i="23"/>
  <c r="C387" i="14"/>
  <c r="D387" i="14" s="1"/>
  <c r="E387" i="14" s="1"/>
  <c r="F388" i="14"/>
  <c r="G388" i="14" s="1"/>
  <c r="H388" i="14" s="1"/>
  <c r="E390" i="16"/>
  <c r="R387" i="14"/>
  <c r="S387" i="14" s="1"/>
  <c r="T387" i="14" s="1"/>
  <c r="O388" i="14"/>
  <c r="P388" i="14" s="1"/>
  <c r="Q388" i="14" s="1"/>
  <c r="B391" i="18"/>
  <c r="A392" i="18"/>
  <c r="I389" i="14"/>
  <c r="G390" i="4"/>
  <c r="H390" i="4"/>
  <c r="S386" i="14"/>
  <c r="T386" i="14" s="1"/>
  <c r="M388" i="14"/>
  <c r="N388" i="14" s="1"/>
  <c r="AB386" i="20"/>
  <c r="AC386" i="20" s="1"/>
  <c r="C386" i="23"/>
  <c r="F387" i="23"/>
  <c r="G387" i="23"/>
  <c r="K387" i="23"/>
  <c r="C391" i="18" s="1"/>
  <c r="A388" i="23"/>
  <c r="AD385" i="20"/>
  <c r="AE385" i="20" s="1"/>
  <c r="L389" i="14"/>
  <c r="P386" i="14"/>
  <c r="Q386" i="14" s="1"/>
  <c r="D391" i="16"/>
  <c r="A391" i="16"/>
  <c r="B391" i="16"/>
  <c r="C392" i="16"/>
  <c r="J388" i="14"/>
  <c r="K388" i="14" s="1"/>
  <c r="G387" i="14"/>
  <c r="H387" i="14" s="1"/>
  <c r="P387" i="14"/>
  <c r="Q387" i="14" s="1"/>
  <c r="I388" i="23" l="1"/>
  <c r="J388" i="23"/>
  <c r="L390" i="14"/>
  <c r="AA386" i="20"/>
  <c r="AA387" i="20"/>
  <c r="E386" i="23"/>
  <c r="H388" i="23"/>
  <c r="E391" i="16"/>
  <c r="C388" i="14"/>
  <c r="D388" i="14" s="1"/>
  <c r="E388" i="14" s="1"/>
  <c r="R388" i="14"/>
  <c r="S388" i="14" s="1"/>
  <c r="T388" i="14" s="1"/>
  <c r="I390" i="14"/>
  <c r="J389" i="14"/>
  <c r="K389" i="14" s="1"/>
  <c r="B392" i="16"/>
  <c r="D392" i="16"/>
  <c r="A392" i="16"/>
  <c r="C393" i="16"/>
  <c r="M389" i="14"/>
  <c r="N389" i="14" s="1"/>
  <c r="AB387" i="20"/>
  <c r="AC387" i="20" s="1"/>
  <c r="AD386" i="20"/>
  <c r="AE386" i="20" s="1"/>
  <c r="B392" i="18"/>
  <c r="A393" i="18"/>
  <c r="C387" i="23"/>
  <c r="G388" i="23"/>
  <c r="F388" i="23"/>
  <c r="K388" i="23"/>
  <c r="C392" i="18" s="1"/>
  <c r="A389" i="23"/>
  <c r="G391" i="4"/>
  <c r="H391" i="4"/>
  <c r="I389" i="23" l="1"/>
  <c r="J389" i="23"/>
  <c r="I391" i="14"/>
  <c r="L391" i="14"/>
  <c r="AA388" i="20"/>
  <c r="E387" i="23"/>
  <c r="H389" i="23"/>
  <c r="H392" i="4"/>
  <c r="G392" i="4"/>
  <c r="F390" i="14"/>
  <c r="B393" i="18"/>
  <c r="A394" i="18"/>
  <c r="A393" i="16"/>
  <c r="B393" i="16"/>
  <c r="D393" i="16"/>
  <c r="C394" i="16"/>
  <c r="O389" i="14"/>
  <c r="R389" i="14"/>
  <c r="J390" i="14"/>
  <c r="K390" i="14" s="1"/>
  <c r="AB388" i="20"/>
  <c r="M390" i="14"/>
  <c r="N390" i="14" s="1"/>
  <c r="AD387" i="20"/>
  <c r="AE387" i="20" s="1"/>
  <c r="F389" i="14"/>
  <c r="C389" i="14"/>
  <c r="C388" i="23"/>
  <c r="F389" i="23"/>
  <c r="G389" i="23"/>
  <c r="K389" i="23"/>
  <c r="C393" i="18" s="1"/>
  <c r="A390" i="23"/>
  <c r="E392" i="16"/>
  <c r="I390" i="23" l="1"/>
  <c r="J390" i="23"/>
  <c r="I392" i="14"/>
  <c r="L392" i="14"/>
  <c r="E388" i="23"/>
  <c r="H390" i="23"/>
  <c r="C390" i="14"/>
  <c r="D390" i="14" s="1"/>
  <c r="E390" i="14" s="1"/>
  <c r="AC388" i="20"/>
  <c r="D389" i="14"/>
  <c r="E389" i="14" s="1"/>
  <c r="G390" i="14"/>
  <c r="H390" i="14" s="1"/>
  <c r="F391" i="14"/>
  <c r="G390" i="23"/>
  <c r="C389" i="23"/>
  <c r="F390" i="23"/>
  <c r="K390" i="23"/>
  <c r="C394" i="18" s="1"/>
  <c r="A391" i="23"/>
  <c r="G389" i="14"/>
  <c r="H389" i="14" s="1"/>
  <c r="S389" i="14"/>
  <c r="T389" i="14" s="1"/>
  <c r="O390" i="14"/>
  <c r="R390" i="14"/>
  <c r="E393" i="16"/>
  <c r="G393" i="4"/>
  <c r="H393" i="4"/>
  <c r="J391" i="14"/>
  <c r="K391" i="14" s="1"/>
  <c r="M391" i="14"/>
  <c r="N391" i="14" s="1"/>
  <c r="P389" i="14"/>
  <c r="Q389" i="14" s="1"/>
  <c r="O391" i="14"/>
  <c r="AB389" i="20"/>
  <c r="AC389" i="20" s="1"/>
  <c r="B394" i="16"/>
  <c r="D394" i="16"/>
  <c r="A394" i="16"/>
  <c r="C395" i="16"/>
  <c r="B394" i="18"/>
  <c r="A395" i="18"/>
  <c r="AD388" i="20"/>
  <c r="I391" i="23" l="1"/>
  <c r="J391" i="23"/>
  <c r="C391" i="14"/>
  <c r="D391" i="14" s="1"/>
  <c r="E391" i="14" s="1"/>
  <c r="I393" i="14"/>
  <c r="AA389" i="20"/>
  <c r="E389" i="23"/>
  <c r="H391" i="23"/>
  <c r="R391" i="14"/>
  <c r="S391" i="14" s="1"/>
  <c r="T391" i="14" s="1"/>
  <c r="F392" i="14"/>
  <c r="G392" i="14" s="1"/>
  <c r="H392" i="14" s="1"/>
  <c r="M392" i="14"/>
  <c r="N392" i="14" s="1"/>
  <c r="P391" i="14"/>
  <c r="Q391" i="14" s="1"/>
  <c r="G394" i="4"/>
  <c r="H394" i="4"/>
  <c r="S390" i="14"/>
  <c r="T390" i="14" s="1"/>
  <c r="AB390" i="20"/>
  <c r="AC390" i="20" s="1"/>
  <c r="AE388" i="20"/>
  <c r="O392" i="14"/>
  <c r="D395" i="16"/>
  <c r="A395" i="16"/>
  <c r="B395" i="16"/>
  <c r="C396" i="16"/>
  <c r="AD389" i="20"/>
  <c r="AE389" i="20" s="1"/>
  <c r="L393" i="14"/>
  <c r="P390" i="14"/>
  <c r="Q390" i="14" s="1"/>
  <c r="G391" i="14"/>
  <c r="H391" i="14" s="1"/>
  <c r="B395" i="18"/>
  <c r="A396" i="18"/>
  <c r="E394" i="16"/>
  <c r="F391" i="23"/>
  <c r="G391" i="23"/>
  <c r="C390" i="23"/>
  <c r="A392" i="23"/>
  <c r="K391" i="23"/>
  <c r="C395" i="18" s="1"/>
  <c r="J392" i="14"/>
  <c r="K392" i="14" s="1"/>
  <c r="I392" i="23" l="1"/>
  <c r="J392" i="23"/>
  <c r="AA390" i="20"/>
  <c r="L394" i="14"/>
  <c r="AA391" i="20"/>
  <c r="E390" i="23"/>
  <c r="H392" i="23"/>
  <c r="E395" i="16"/>
  <c r="O393" i="14"/>
  <c r="P393" i="14" s="1"/>
  <c r="Q393" i="14" s="1"/>
  <c r="C392" i="14"/>
  <c r="D392" i="14" s="1"/>
  <c r="E392" i="14" s="1"/>
  <c r="R392" i="14"/>
  <c r="S392" i="14" s="1"/>
  <c r="T392" i="14" s="1"/>
  <c r="F393" i="14"/>
  <c r="G393" i="14" s="1"/>
  <c r="H393" i="14" s="1"/>
  <c r="J393" i="14"/>
  <c r="K393" i="14" s="1"/>
  <c r="G392" i="23"/>
  <c r="F392" i="23"/>
  <c r="C391" i="23"/>
  <c r="K392" i="23"/>
  <c r="C396" i="18" s="1"/>
  <c r="A393" i="23"/>
  <c r="B396" i="16"/>
  <c r="A396" i="16"/>
  <c r="D396" i="16"/>
  <c r="C397" i="16"/>
  <c r="P392" i="14"/>
  <c r="Q392" i="14" s="1"/>
  <c r="AD390" i="20"/>
  <c r="AE390" i="20" s="1"/>
  <c r="AB391" i="20"/>
  <c r="AC391" i="20" s="1"/>
  <c r="I394" i="14"/>
  <c r="B396" i="18"/>
  <c r="A397" i="18"/>
  <c r="M393" i="14"/>
  <c r="N393" i="14" s="1"/>
  <c r="H395" i="4"/>
  <c r="G395" i="4"/>
  <c r="I393" i="23" l="1"/>
  <c r="J393" i="23"/>
  <c r="L395" i="14"/>
  <c r="I395" i="14"/>
  <c r="E391" i="23"/>
  <c r="H393" i="23"/>
  <c r="R393" i="14"/>
  <c r="S393" i="14" s="1"/>
  <c r="T393" i="14" s="1"/>
  <c r="E396" i="16"/>
  <c r="C393" i="14"/>
  <c r="D393" i="14" s="1"/>
  <c r="E393" i="14" s="1"/>
  <c r="F394" i="14"/>
  <c r="G394" i="14" s="1"/>
  <c r="H394" i="14" s="1"/>
  <c r="H396" i="4"/>
  <c r="G396" i="4"/>
  <c r="AD391" i="20"/>
  <c r="AE391" i="20" s="1"/>
  <c r="M394" i="14"/>
  <c r="N394" i="14" s="1"/>
  <c r="F393" i="23"/>
  <c r="G393" i="23"/>
  <c r="C392" i="23"/>
  <c r="K393" i="23"/>
  <c r="C397" i="18" s="1"/>
  <c r="A394" i="23"/>
  <c r="O394" i="14"/>
  <c r="B397" i="18"/>
  <c r="A398" i="18"/>
  <c r="AB392" i="20"/>
  <c r="AC392" i="20" s="1"/>
  <c r="J394" i="14"/>
  <c r="K394" i="14" s="1"/>
  <c r="D397" i="16"/>
  <c r="B397" i="16"/>
  <c r="A397" i="16"/>
  <c r="C398" i="16"/>
  <c r="AA392" i="20" l="1"/>
  <c r="I394" i="23"/>
  <c r="J394" i="23"/>
  <c r="L396" i="14"/>
  <c r="AA393" i="20"/>
  <c r="E392" i="23"/>
  <c r="H394" i="23"/>
  <c r="R394" i="14"/>
  <c r="S394" i="14" s="1"/>
  <c r="T394" i="14" s="1"/>
  <c r="F395" i="14"/>
  <c r="G395" i="14" s="1"/>
  <c r="H395" i="14" s="1"/>
  <c r="C394" i="14"/>
  <c r="D394" i="14" s="1"/>
  <c r="E394" i="14" s="1"/>
  <c r="E397" i="16"/>
  <c r="G397" i="4"/>
  <c r="H397" i="4"/>
  <c r="D398" i="16"/>
  <c r="B398" i="16"/>
  <c r="A398" i="16"/>
  <c r="C399" i="16"/>
  <c r="P394" i="14"/>
  <c r="Q394" i="14" s="1"/>
  <c r="C393" i="23"/>
  <c r="G394" i="23"/>
  <c r="F394" i="23"/>
  <c r="A395" i="23"/>
  <c r="K394" i="23"/>
  <c r="C398" i="18" s="1"/>
  <c r="M395" i="14"/>
  <c r="N395" i="14" s="1"/>
  <c r="J395" i="14"/>
  <c r="K395" i="14" s="1"/>
  <c r="B398" i="18"/>
  <c r="A399" i="18"/>
  <c r="AD392" i="20"/>
  <c r="AE392" i="20" s="1"/>
  <c r="I396" i="14"/>
  <c r="AB393" i="20"/>
  <c r="AC393" i="20" s="1"/>
  <c r="O395" i="14"/>
  <c r="I395" i="23" l="1"/>
  <c r="J395" i="23"/>
  <c r="I397" i="14"/>
  <c r="AA394" i="20"/>
  <c r="E393" i="23"/>
  <c r="H395" i="23"/>
  <c r="C395" i="14"/>
  <c r="D395" i="14" s="1"/>
  <c r="E395" i="14" s="1"/>
  <c r="R395" i="14"/>
  <c r="B399" i="18"/>
  <c r="A400" i="18"/>
  <c r="G395" i="23"/>
  <c r="F395" i="23"/>
  <c r="C394" i="23"/>
  <c r="K395" i="23"/>
  <c r="C399" i="18" s="1"/>
  <c r="A396" i="23"/>
  <c r="P395" i="14"/>
  <c r="Q395" i="14" s="1"/>
  <c r="AD393" i="20"/>
  <c r="AE393" i="20" s="1"/>
  <c r="L397" i="14"/>
  <c r="D399" i="16"/>
  <c r="A399" i="16"/>
  <c r="B399" i="16"/>
  <c r="C400" i="16"/>
  <c r="G398" i="4"/>
  <c r="H398" i="4"/>
  <c r="J396" i="14"/>
  <c r="K396" i="14" s="1"/>
  <c r="M396" i="14"/>
  <c r="N396" i="14" s="1"/>
  <c r="AB394" i="20"/>
  <c r="AC394" i="20" s="1"/>
  <c r="E398" i="16"/>
  <c r="I396" i="23" l="1"/>
  <c r="J396" i="23"/>
  <c r="L398" i="14"/>
  <c r="I398" i="14"/>
  <c r="E394" i="23"/>
  <c r="H396" i="23"/>
  <c r="E399" i="16"/>
  <c r="O397" i="14"/>
  <c r="P397" i="14" s="1"/>
  <c r="Q397" i="14" s="1"/>
  <c r="J397" i="14"/>
  <c r="K397" i="14" s="1"/>
  <c r="G399" i="4"/>
  <c r="H399" i="4"/>
  <c r="C395" i="23"/>
  <c r="F396" i="23"/>
  <c r="G396" i="23"/>
  <c r="K396" i="23"/>
  <c r="C400" i="18" s="1"/>
  <c r="A397" i="23"/>
  <c r="F397" i="14"/>
  <c r="AD394" i="20"/>
  <c r="AE394" i="20" s="1"/>
  <c r="M397" i="14"/>
  <c r="N397" i="14" s="1"/>
  <c r="B400" i="18"/>
  <c r="A401" i="18"/>
  <c r="F396" i="14"/>
  <c r="C396" i="14"/>
  <c r="AB395" i="20"/>
  <c r="AC395" i="20" s="1"/>
  <c r="O396" i="14"/>
  <c r="R396" i="14"/>
  <c r="B400" i="16"/>
  <c r="D400" i="16"/>
  <c r="A400" i="16"/>
  <c r="C401" i="16"/>
  <c r="S395" i="14"/>
  <c r="T395" i="14" s="1"/>
  <c r="I397" i="23" l="1"/>
  <c r="J397" i="23"/>
  <c r="AA395" i="20"/>
  <c r="AA396" i="20"/>
  <c r="E395" i="23"/>
  <c r="H397" i="23"/>
  <c r="C397" i="14"/>
  <c r="D397" i="14" s="1"/>
  <c r="E397" i="14" s="1"/>
  <c r="O398" i="14"/>
  <c r="P398" i="14" s="1"/>
  <c r="Q398" i="14" s="1"/>
  <c r="R397" i="14"/>
  <c r="S397" i="14" s="1"/>
  <c r="T397" i="14" s="1"/>
  <c r="E400" i="16"/>
  <c r="P396" i="14"/>
  <c r="Q396" i="14" s="1"/>
  <c r="D396" i="14"/>
  <c r="E396" i="14" s="1"/>
  <c r="G400" i="4"/>
  <c r="H400" i="4"/>
  <c r="AD395" i="20"/>
  <c r="AE395" i="20" s="1"/>
  <c r="L399" i="14"/>
  <c r="I399" i="14"/>
  <c r="G396" i="14"/>
  <c r="H396" i="14" s="1"/>
  <c r="G397" i="23"/>
  <c r="F397" i="23"/>
  <c r="C396" i="23"/>
  <c r="K397" i="23"/>
  <c r="C401" i="18" s="1"/>
  <c r="A398" i="23"/>
  <c r="F398" i="14"/>
  <c r="AB396" i="20"/>
  <c r="A401" i="16"/>
  <c r="B401" i="16"/>
  <c r="D401" i="16"/>
  <c r="C402" i="16"/>
  <c r="B401" i="18"/>
  <c r="A402" i="18"/>
  <c r="M398" i="14"/>
  <c r="N398" i="14" s="1"/>
  <c r="G397" i="14"/>
  <c r="H397" i="14" s="1"/>
  <c r="S396" i="14"/>
  <c r="T396" i="14" s="1"/>
  <c r="J398" i="14"/>
  <c r="K398" i="14" s="1"/>
  <c r="I398" i="23" l="1"/>
  <c r="J398" i="23"/>
  <c r="L400" i="14"/>
  <c r="E401" i="16"/>
  <c r="E396" i="23"/>
  <c r="H398" i="23"/>
  <c r="C398" i="14"/>
  <c r="D398" i="14" s="1"/>
  <c r="E398" i="14" s="1"/>
  <c r="R398" i="14"/>
  <c r="S398" i="14" s="1"/>
  <c r="T398" i="14" s="1"/>
  <c r="M399" i="14"/>
  <c r="N399" i="14" s="1"/>
  <c r="J399" i="14"/>
  <c r="K399" i="14" s="1"/>
  <c r="G401" i="4"/>
  <c r="H401" i="4"/>
  <c r="B402" i="18"/>
  <c r="A403" i="18"/>
  <c r="AB397" i="20"/>
  <c r="AC397" i="20" s="1"/>
  <c r="D402" i="16"/>
  <c r="B402" i="16"/>
  <c r="A402" i="16"/>
  <c r="C403" i="16"/>
  <c r="G398" i="14"/>
  <c r="H398" i="14" s="1"/>
  <c r="F399" i="14"/>
  <c r="AC396" i="20"/>
  <c r="I400" i="14"/>
  <c r="AD396" i="20"/>
  <c r="F398" i="23"/>
  <c r="G398" i="23"/>
  <c r="C397" i="23"/>
  <c r="A399" i="23"/>
  <c r="K398" i="23"/>
  <c r="C402" i="18" s="1"/>
  <c r="I399" i="23" l="1"/>
  <c r="J399" i="23"/>
  <c r="AA397" i="20"/>
  <c r="I401" i="14"/>
  <c r="AA398" i="20"/>
  <c r="E397" i="23"/>
  <c r="H399" i="23"/>
  <c r="C399" i="14"/>
  <c r="D399" i="14" s="1"/>
  <c r="E399" i="14" s="1"/>
  <c r="E402" i="16"/>
  <c r="J400" i="14"/>
  <c r="K400" i="14" s="1"/>
  <c r="D403" i="16"/>
  <c r="A403" i="16"/>
  <c r="B403" i="16"/>
  <c r="C404" i="16"/>
  <c r="B403" i="18"/>
  <c r="A404" i="18"/>
  <c r="AD397" i="20"/>
  <c r="AE397" i="20" s="1"/>
  <c r="L401" i="14"/>
  <c r="C398" i="23"/>
  <c r="G399" i="23"/>
  <c r="F399" i="23"/>
  <c r="K399" i="23"/>
  <c r="C403" i="18" s="1"/>
  <c r="A400" i="23"/>
  <c r="AE396" i="20"/>
  <c r="O399" i="14"/>
  <c r="R399" i="14"/>
  <c r="F400" i="14"/>
  <c r="G402" i="4"/>
  <c r="H402" i="4"/>
  <c r="M400" i="14"/>
  <c r="N400" i="14" s="1"/>
  <c r="AB398" i="20"/>
  <c r="AC398" i="20" s="1"/>
  <c r="G399" i="14"/>
  <c r="H399" i="14" s="1"/>
  <c r="I400" i="23" l="1"/>
  <c r="J400" i="23"/>
  <c r="L402" i="14"/>
  <c r="I402" i="14"/>
  <c r="E398" i="23"/>
  <c r="H400" i="23"/>
  <c r="O401" i="14"/>
  <c r="P401" i="14" s="1"/>
  <c r="Q401" i="14" s="1"/>
  <c r="C400" i="14"/>
  <c r="D400" i="14" s="1"/>
  <c r="E400" i="14" s="1"/>
  <c r="G403" i="4"/>
  <c r="H403" i="4"/>
  <c r="P399" i="14"/>
  <c r="Q399" i="14" s="1"/>
  <c r="AB399" i="20"/>
  <c r="AC399" i="20" s="1"/>
  <c r="O400" i="14"/>
  <c r="R400" i="14"/>
  <c r="F401" i="14"/>
  <c r="G400" i="14"/>
  <c r="H400" i="14" s="1"/>
  <c r="M401" i="14"/>
  <c r="N401" i="14" s="1"/>
  <c r="B404" i="16"/>
  <c r="A404" i="16"/>
  <c r="D404" i="16"/>
  <c r="C405" i="16"/>
  <c r="AD398" i="20"/>
  <c r="AE398" i="20" s="1"/>
  <c r="S399" i="14"/>
  <c r="T399" i="14" s="1"/>
  <c r="C399" i="23"/>
  <c r="F400" i="23"/>
  <c r="G400" i="23"/>
  <c r="K400" i="23"/>
  <c r="C404" i="18" s="1"/>
  <c r="A401" i="23"/>
  <c r="J401" i="14"/>
  <c r="K401" i="14" s="1"/>
  <c r="B404" i="18"/>
  <c r="A405" i="18"/>
  <c r="E403" i="16"/>
  <c r="I401" i="23" l="1"/>
  <c r="J401" i="23"/>
  <c r="AA399" i="20"/>
  <c r="I403" i="14"/>
  <c r="AA400" i="20"/>
  <c r="O402" i="14"/>
  <c r="P402" i="14" s="1"/>
  <c r="Q402" i="14" s="1"/>
  <c r="E399" i="23"/>
  <c r="H401" i="23"/>
  <c r="R401" i="14"/>
  <c r="S401" i="14" s="1"/>
  <c r="T401" i="14" s="1"/>
  <c r="E404" i="16"/>
  <c r="AD399" i="20"/>
  <c r="AE399" i="20" s="1"/>
  <c r="L403" i="14"/>
  <c r="J402" i="14"/>
  <c r="K402" i="14" s="1"/>
  <c r="G401" i="14"/>
  <c r="H401" i="14" s="1"/>
  <c r="H404" i="4"/>
  <c r="G404" i="4"/>
  <c r="B405" i="18"/>
  <c r="A406" i="18"/>
  <c r="D405" i="16"/>
  <c r="B405" i="16"/>
  <c r="A405" i="16"/>
  <c r="C406" i="16"/>
  <c r="C401" i="14"/>
  <c r="S400" i="14"/>
  <c r="T400" i="14" s="1"/>
  <c r="F401" i="23"/>
  <c r="C400" i="23"/>
  <c r="G401" i="23"/>
  <c r="K401" i="23"/>
  <c r="C405" i="18" s="1"/>
  <c r="A402" i="23"/>
  <c r="AB400" i="20"/>
  <c r="AC400" i="20" s="1"/>
  <c r="M402" i="14"/>
  <c r="N402" i="14" s="1"/>
  <c r="F402" i="14"/>
  <c r="P400" i="14"/>
  <c r="Q400" i="14" s="1"/>
  <c r="I402" i="23" l="1"/>
  <c r="J402" i="23"/>
  <c r="I404" i="14"/>
  <c r="R402" i="14"/>
  <c r="S402" i="14" s="1"/>
  <c r="T402" i="14" s="1"/>
  <c r="AA401" i="20"/>
  <c r="E400" i="23"/>
  <c r="H402" i="23"/>
  <c r="E405" i="16"/>
  <c r="G402" i="14"/>
  <c r="H402" i="14" s="1"/>
  <c r="D401" i="14"/>
  <c r="E401" i="14" s="1"/>
  <c r="J403" i="14"/>
  <c r="K403" i="14" s="1"/>
  <c r="D406" i="16"/>
  <c r="B406" i="16"/>
  <c r="A406" i="16"/>
  <c r="C407" i="16"/>
  <c r="G405" i="4"/>
  <c r="H405" i="4"/>
  <c r="M403" i="14"/>
  <c r="N403" i="14" s="1"/>
  <c r="C402" i="14"/>
  <c r="F403" i="14"/>
  <c r="AD400" i="20"/>
  <c r="AE400" i="20" s="1"/>
  <c r="L404" i="14"/>
  <c r="F402" i="23"/>
  <c r="C401" i="23"/>
  <c r="G402" i="23"/>
  <c r="K402" i="23"/>
  <c r="C406" i="18" s="1"/>
  <c r="A403" i="23"/>
  <c r="AB401" i="20"/>
  <c r="AC401" i="20" s="1"/>
  <c r="B406" i="18"/>
  <c r="A407" i="18"/>
  <c r="I403" i="23" l="1"/>
  <c r="J403" i="23"/>
  <c r="I405" i="14"/>
  <c r="E401" i="23"/>
  <c r="H403" i="23"/>
  <c r="O404" i="14"/>
  <c r="P404" i="14" s="1"/>
  <c r="Q404" i="14" s="1"/>
  <c r="C403" i="14"/>
  <c r="D403" i="14" s="1"/>
  <c r="E403" i="14" s="1"/>
  <c r="E406" i="16"/>
  <c r="B407" i="18"/>
  <c r="A408" i="18"/>
  <c r="M404" i="14"/>
  <c r="N404" i="14" s="1"/>
  <c r="D402" i="14"/>
  <c r="E402" i="14" s="1"/>
  <c r="G406" i="4"/>
  <c r="H406" i="4"/>
  <c r="B407" i="16"/>
  <c r="D407" i="16"/>
  <c r="A407" i="16"/>
  <c r="C408" i="16"/>
  <c r="AB402" i="20"/>
  <c r="AC402" i="20" s="1"/>
  <c r="AD401" i="20"/>
  <c r="AE401" i="20" s="1"/>
  <c r="L405" i="14"/>
  <c r="O403" i="14"/>
  <c r="R403" i="14"/>
  <c r="F403" i="23"/>
  <c r="C402" i="23"/>
  <c r="G403" i="23"/>
  <c r="K403" i="23"/>
  <c r="C407" i="18" s="1"/>
  <c r="A404" i="23"/>
  <c r="G403" i="14"/>
  <c r="H403" i="14" s="1"/>
  <c r="J404" i="14"/>
  <c r="K404" i="14" s="1"/>
  <c r="I404" i="23" l="1"/>
  <c r="J404" i="23"/>
  <c r="AA402" i="20"/>
  <c r="L406" i="14"/>
  <c r="AA403" i="20"/>
  <c r="E402" i="23"/>
  <c r="H404" i="23"/>
  <c r="R404" i="14"/>
  <c r="S404" i="14" s="1"/>
  <c r="T404" i="14" s="1"/>
  <c r="O405" i="14"/>
  <c r="P405" i="14" s="1"/>
  <c r="Q405" i="14" s="1"/>
  <c r="M405" i="14"/>
  <c r="N405" i="14" s="1"/>
  <c r="F404" i="14"/>
  <c r="C404" i="14"/>
  <c r="S403" i="14"/>
  <c r="T403" i="14" s="1"/>
  <c r="AB403" i="20"/>
  <c r="AC403" i="20" s="1"/>
  <c r="J405" i="14"/>
  <c r="K405" i="14" s="1"/>
  <c r="D408" i="16"/>
  <c r="B408" i="16"/>
  <c r="A408" i="16"/>
  <c r="C409" i="16"/>
  <c r="B408" i="18"/>
  <c r="A409" i="18"/>
  <c r="F404" i="23"/>
  <c r="G404" i="23"/>
  <c r="C403" i="23"/>
  <c r="K404" i="23"/>
  <c r="C408" i="18" s="1"/>
  <c r="A405" i="23"/>
  <c r="P403" i="14"/>
  <c r="Q403" i="14" s="1"/>
  <c r="I406" i="14"/>
  <c r="AD402" i="20"/>
  <c r="AE402" i="20" s="1"/>
  <c r="E407" i="16"/>
  <c r="G407" i="4"/>
  <c r="H407" i="4"/>
  <c r="I405" i="23" l="1"/>
  <c r="J405" i="23"/>
  <c r="I407" i="14"/>
  <c r="R405" i="14"/>
  <c r="S405" i="14" s="1"/>
  <c r="T405" i="14" s="1"/>
  <c r="E403" i="23"/>
  <c r="H405" i="23"/>
  <c r="E408" i="16"/>
  <c r="F405" i="14"/>
  <c r="G405" i="14" s="1"/>
  <c r="H405" i="14" s="1"/>
  <c r="C405" i="14"/>
  <c r="D404" i="14"/>
  <c r="E404" i="14" s="1"/>
  <c r="M406" i="14"/>
  <c r="N406" i="14" s="1"/>
  <c r="B409" i="18"/>
  <c r="A410" i="18"/>
  <c r="G404" i="14"/>
  <c r="H404" i="14" s="1"/>
  <c r="J406" i="14"/>
  <c r="K406" i="14" s="1"/>
  <c r="AD403" i="20"/>
  <c r="AE403" i="20" s="1"/>
  <c r="L407" i="14"/>
  <c r="O406" i="14"/>
  <c r="H408" i="4"/>
  <c r="G408" i="4"/>
  <c r="F406" i="14"/>
  <c r="G405" i="23"/>
  <c r="F405" i="23"/>
  <c r="C404" i="23"/>
  <c r="K405" i="23"/>
  <c r="C409" i="18" s="1"/>
  <c r="A406" i="23"/>
  <c r="B409" i="16"/>
  <c r="D409" i="16"/>
  <c r="A409" i="16"/>
  <c r="C410" i="16"/>
  <c r="AB404" i="20"/>
  <c r="AC404" i="20" s="1"/>
  <c r="I406" i="23" l="1"/>
  <c r="J406" i="23"/>
  <c r="AA404" i="20"/>
  <c r="E409" i="16"/>
  <c r="AA405" i="20"/>
  <c r="E404" i="23"/>
  <c r="H406" i="23"/>
  <c r="D405" i="14"/>
  <c r="E405" i="14" s="1"/>
  <c r="O407" i="14"/>
  <c r="P407" i="14" s="1"/>
  <c r="Q407" i="14" s="1"/>
  <c r="B410" i="16"/>
  <c r="D410" i="16"/>
  <c r="A410" i="16"/>
  <c r="C411" i="16"/>
  <c r="F406" i="23"/>
  <c r="C405" i="23"/>
  <c r="G406" i="23"/>
  <c r="A407" i="23"/>
  <c r="K406" i="23"/>
  <c r="C410" i="18" s="1"/>
  <c r="G409" i="4"/>
  <c r="H409" i="4"/>
  <c r="B410" i="18"/>
  <c r="A411" i="18"/>
  <c r="C406" i="14"/>
  <c r="I408" i="14"/>
  <c r="AD404" i="20"/>
  <c r="AE404" i="20" s="1"/>
  <c r="L408" i="14"/>
  <c r="M407" i="14"/>
  <c r="N407" i="14" s="1"/>
  <c r="AB405" i="20"/>
  <c r="AC405" i="20" s="1"/>
  <c r="J407" i="14"/>
  <c r="K407" i="14" s="1"/>
  <c r="G406" i="14"/>
  <c r="H406" i="14" s="1"/>
  <c r="P406" i="14"/>
  <c r="Q406" i="14" s="1"/>
  <c r="R406" i="14"/>
  <c r="I407" i="23" l="1"/>
  <c r="J407" i="23"/>
  <c r="I409" i="14"/>
  <c r="AA406" i="20"/>
  <c r="E405" i="23"/>
  <c r="H407" i="23"/>
  <c r="E410" i="16"/>
  <c r="R407" i="14"/>
  <c r="S407" i="14" s="1"/>
  <c r="T407" i="14" s="1"/>
  <c r="F408" i="14"/>
  <c r="G408" i="14" s="1"/>
  <c r="H408" i="14" s="1"/>
  <c r="B411" i="18"/>
  <c r="A412" i="18"/>
  <c r="B411" i="16"/>
  <c r="A411" i="16"/>
  <c r="D411" i="16"/>
  <c r="C412" i="16"/>
  <c r="M408" i="14"/>
  <c r="N408" i="14" s="1"/>
  <c r="S406" i="14"/>
  <c r="T406" i="14" s="1"/>
  <c r="AD405" i="20"/>
  <c r="AE405" i="20" s="1"/>
  <c r="L409" i="14"/>
  <c r="J408" i="14"/>
  <c r="K408" i="14" s="1"/>
  <c r="G410" i="4"/>
  <c r="H410" i="4"/>
  <c r="F407" i="23"/>
  <c r="C406" i="23"/>
  <c r="G407" i="23"/>
  <c r="K407" i="23"/>
  <c r="C411" i="18" s="1"/>
  <c r="A408" i="23"/>
  <c r="AB406" i="20"/>
  <c r="AC406" i="20" s="1"/>
  <c r="F407" i="14"/>
  <c r="C407" i="14"/>
  <c r="D406" i="14"/>
  <c r="E406" i="14" s="1"/>
  <c r="I408" i="23" l="1"/>
  <c r="J408" i="23"/>
  <c r="I410" i="14"/>
  <c r="E406" i="23"/>
  <c r="H408" i="23"/>
  <c r="C408" i="14"/>
  <c r="D408" i="14" s="1"/>
  <c r="E408" i="14" s="1"/>
  <c r="O409" i="14"/>
  <c r="P409" i="14" s="1"/>
  <c r="Q409" i="14" s="1"/>
  <c r="F409" i="14"/>
  <c r="G409" i="14" s="1"/>
  <c r="H409" i="14" s="1"/>
  <c r="G407" i="14"/>
  <c r="H407" i="14" s="1"/>
  <c r="M409" i="14"/>
  <c r="N409" i="14" s="1"/>
  <c r="D412" i="16"/>
  <c r="B412" i="16"/>
  <c r="A412" i="16"/>
  <c r="C413" i="16"/>
  <c r="B412" i="18"/>
  <c r="A413" i="18"/>
  <c r="O408" i="14"/>
  <c r="R408" i="14"/>
  <c r="J409" i="14"/>
  <c r="K409" i="14" s="1"/>
  <c r="C407" i="23"/>
  <c r="F408" i="23"/>
  <c r="G408" i="23"/>
  <c r="K408" i="23"/>
  <c r="C412" i="18" s="1"/>
  <c r="A409" i="23"/>
  <c r="H411" i="4"/>
  <c r="G411" i="4"/>
  <c r="D407" i="14"/>
  <c r="E407" i="14" s="1"/>
  <c r="AB407" i="20"/>
  <c r="AC407" i="20" s="1"/>
  <c r="AD406" i="20"/>
  <c r="AE406" i="20" s="1"/>
  <c r="L410" i="14"/>
  <c r="E411" i="16"/>
  <c r="I409" i="23" l="1"/>
  <c r="J409" i="23"/>
  <c r="AA407" i="20"/>
  <c r="E407" i="23"/>
  <c r="H409" i="23"/>
  <c r="R409" i="14"/>
  <c r="S409" i="14" s="1"/>
  <c r="T409" i="14" s="1"/>
  <c r="E412" i="16"/>
  <c r="C409" i="14"/>
  <c r="D409" i="14" s="1"/>
  <c r="E409" i="14" s="1"/>
  <c r="F410" i="14"/>
  <c r="G410" i="14" s="1"/>
  <c r="H410" i="14" s="1"/>
  <c r="M410" i="14"/>
  <c r="N410" i="14" s="1"/>
  <c r="O410" i="14"/>
  <c r="AB408" i="20"/>
  <c r="AC408" i="20" s="1"/>
  <c r="S408" i="14"/>
  <c r="T408" i="14" s="1"/>
  <c r="D413" i="16"/>
  <c r="B413" i="16"/>
  <c r="A413" i="16"/>
  <c r="C414" i="16"/>
  <c r="AD407" i="20"/>
  <c r="AE407" i="20" s="1"/>
  <c r="L411" i="14"/>
  <c r="C408" i="23"/>
  <c r="G409" i="23"/>
  <c r="F409" i="23"/>
  <c r="K409" i="23"/>
  <c r="C413" i="18" s="1"/>
  <c r="A410" i="23"/>
  <c r="P408" i="14"/>
  <c r="Q408" i="14" s="1"/>
  <c r="J410" i="14"/>
  <c r="K410" i="14" s="1"/>
  <c r="I411" i="14"/>
  <c r="H412" i="4"/>
  <c r="G412" i="4"/>
  <c r="B413" i="18"/>
  <c r="A414" i="18"/>
  <c r="I410" i="23" l="1"/>
  <c r="J410" i="23"/>
  <c r="AA408" i="20"/>
  <c r="AA409" i="20"/>
  <c r="E408" i="23"/>
  <c r="H410" i="23"/>
  <c r="R410" i="14"/>
  <c r="S410" i="14" s="1"/>
  <c r="T410" i="14" s="1"/>
  <c r="O411" i="14"/>
  <c r="P411" i="14" s="1"/>
  <c r="Q411" i="14" s="1"/>
  <c r="C410" i="14"/>
  <c r="D410" i="14" s="1"/>
  <c r="E410" i="14" s="1"/>
  <c r="E413" i="16"/>
  <c r="F410" i="23"/>
  <c r="G410" i="23"/>
  <c r="C409" i="23"/>
  <c r="A411" i="23"/>
  <c r="K410" i="23"/>
  <c r="C414" i="18" s="1"/>
  <c r="G413" i="4"/>
  <c r="H413" i="4"/>
  <c r="AB409" i="20"/>
  <c r="AC409" i="20" s="1"/>
  <c r="I412" i="14"/>
  <c r="M411" i="14"/>
  <c r="N411" i="14" s="1"/>
  <c r="B414" i="16"/>
  <c r="D414" i="16"/>
  <c r="A414" i="16"/>
  <c r="C415" i="16"/>
  <c r="L412" i="14"/>
  <c r="AD408" i="20"/>
  <c r="AE408" i="20" s="1"/>
  <c r="B414" i="18"/>
  <c r="A415" i="18"/>
  <c r="J411" i="14"/>
  <c r="K411" i="14" s="1"/>
  <c r="P410" i="14"/>
  <c r="Q410" i="14" s="1"/>
  <c r="I411" i="23" l="1"/>
  <c r="J411" i="23"/>
  <c r="I413" i="14"/>
  <c r="E409" i="23"/>
  <c r="H411" i="23"/>
  <c r="R411" i="14"/>
  <c r="S411" i="14" s="1"/>
  <c r="T411" i="14" s="1"/>
  <c r="O412" i="14"/>
  <c r="P412" i="14" s="1"/>
  <c r="Q412" i="14" s="1"/>
  <c r="B415" i="18"/>
  <c r="A416" i="18"/>
  <c r="AB410" i="20"/>
  <c r="AD409" i="20"/>
  <c r="AE409" i="20" s="1"/>
  <c r="L413" i="14"/>
  <c r="G414" i="4"/>
  <c r="H414" i="4"/>
  <c r="G411" i="23"/>
  <c r="F411" i="23"/>
  <c r="C410" i="23"/>
  <c r="K411" i="23"/>
  <c r="C415" i="18" s="1"/>
  <c r="A412" i="23"/>
  <c r="M412" i="14"/>
  <c r="N412" i="14" s="1"/>
  <c r="J412" i="14"/>
  <c r="K412" i="14" s="1"/>
  <c r="D415" i="16"/>
  <c r="B415" i="16"/>
  <c r="A415" i="16"/>
  <c r="C416" i="16"/>
  <c r="F412" i="14"/>
  <c r="E414" i="16"/>
  <c r="F411" i="14"/>
  <c r="C411" i="14"/>
  <c r="I412" i="23" l="1"/>
  <c r="J412" i="23"/>
  <c r="L414" i="14"/>
  <c r="AA410" i="20"/>
  <c r="R412" i="14"/>
  <c r="S412" i="14" s="1"/>
  <c r="T412" i="14" s="1"/>
  <c r="O413" i="14"/>
  <c r="P413" i="14" s="1"/>
  <c r="Q413" i="14" s="1"/>
  <c r="E410" i="23"/>
  <c r="H412" i="23"/>
  <c r="C412" i="14"/>
  <c r="D412" i="14" s="1"/>
  <c r="E412" i="14" s="1"/>
  <c r="E415" i="16"/>
  <c r="G412" i="14"/>
  <c r="H412" i="14" s="1"/>
  <c r="J413" i="14"/>
  <c r="K413" i="14" s="1"/>
  <c r="M413" i="14"/>
  <c r="N413" i="14" s="1"/>
  <c r="D411" i="14"/>
  <c r="E411" i="14" s="1"/>
  <c r="A416" i="16"/>
  <c r="D416" i="16"/>
  <c r="B416" i="16"/>
  <c r="C417" i="16"/>
  <c r="G411" i="14"/>
  <c r="H411" i="14" s="1"/>
  <c r="B416" i="18"/>
  <c r="A417" i="18"/>
  <c r="AC410" i="20"/>
  <c r="I414" i="14"/>
  <c r="AB411" i="20"/>
  <c r="AC411" i="20" s="1"/>
  <c r="F413" i="14"/>
  <c r="G412" i="23"/>
  <c r="C411" i="23"/>
  <c r="F412" i="23"/>
  <c r="K412" i="23"/>
  <c r="C416" i="18" s="1"/>
  <c r="A413" i="23"/>
  <c r="G415" i="4"/>
  <c r="H415" i="4"/>
  <c r="AD410" i="20"/>
  <c r="I413" i="23" l="1"/>
  <c r="J413" i="23"/>
  <c r="AA411" i="20"/>
  <c r="I415" i="14"/>
  <c r="R413" i="14"/>
  <c r="S413" i="14" s="1"/>
  <c r="T413" i="14" s="1"/>
  <c r="E411" i="23"/>
  <c r="H413" i="23"/>
  <c r="E416" i="16"/>
  <c r="C413" i="14"/>
  <c r="D413" i="14" s="1"/>
  <c r="E413" i="14" s="1"/>
  <c r="F413" i="23"/>
  <c r="C412" i="23"/>
  <c r="G413" i="23"/>
  <c r="K413" i="23"/>
  <c r="C417" i="18" s="1"/>
  <c r="A414" i="23"/>
  <c r="M414" i="14"/>
  <c r="N414" i="14" s="1"/>
  <c r="G413" i="14"/>
  <c r="H413" i="14" s="1"/>
  <c r="J414" i="14"/>
  <c r="K414" i="14" s="1"/>
  <c r="AD411" i="20"/>
  <c r="AE411" i="20" s="1"/>
  <c r="L415" i="14"/>
  <c r="F414" i="14"/>
  <c r="AE410" i="20"/>
  <c r="O414" i="14"/>
  <c r="B417" i="18"/>
  <c r="A418" i="18"/>
  <c r="A417" i="16"/>
  <c r="D417" i="16"/>
  <c r="B417" i="16"/>
  <c r="C418" i="16"/>
  <c r="G416" i="4"/>
  <c r="H416" i="4"/>
  <c r="AB412" i="20"/>
  <c r="AC412" i="20" s="1"/>
  <c r="I414" i="23" l="1"/>
  <c r="J414" i="23"/>
  <c r="L416" i="14"/>
  <c r="AA412" i="20"/>
  <c r="E412" i="23"/>
  <c r="H414" i="23"/>
  <c r="E417" i="16"/>
  <c r="B418" i="18"/>
  <c r="A419" i="18"/>
  <c r="G417" i="4"/>
  <c r="H417" i="4"/>
  <c r="B418" i="16"/>
  <c r="D418" i="16"/>
  <c r="A418" i="16"/>
  <c r="C419" i="16"/>
  <c r="AB413" i="20"/>
  <c r="AC413" i="20" s="1"/>
  <c r="J415" i="14"/>
  <c r="K415" i="14" s="1"/>
  <c r="G414" i="14"/>
  <c r="H414" i="14" s="1"/>
  <c r="AD412" i="20"/>
  <c r="AE412" i="20" s="1"/>
  <c r="F415" i="14"/>
  <c r="C414" i="14"/>
  <c r="O415" i="14"/>
  <c r="P414" i="14"/>
  <c r="Q414" i="14" s="1"/>
  <c r="I416" i="14"/>
  <c r="R414" i="14"/>
  <c r="M415" i="14"/>
  <c r="N415" i="14" s="1"/>
  <c r="G414" i="23"/>
  <c r="F414" i="23"/>
  <c r="C413" i="23"/>
  <c r="K414" i="23"/>
  <c r="C418" i="18" s="1"/>
  <c r="A415" i="23"/>
  <c r="I415" i="23" l="1"/>
  <c r="J415" i="23"/>
  <c r="AA413" i="20"/>
  <c r="E413" i="23"/>
  <c r="H415" i="23"/>
  <c r="AB414" i="20"/>
  <c r="AC414" i="20" s="1"/>
  <c r="R415" i="14"/>
  <c r="J416" i="14"/>
  <c r="K416" i="14" s="1"/>
  <c r="D414" i="14"/>
  <c r="E414" i="14" s="1"/>
  <c r="S414" i="14"/>
  <c r="T414" i="14" s="1"/>
  <c r="G415" i="14"/>
  <c r="H415" i="14" s="1"/>
  <c r="AD413" i="20"/>
  <c r="AE413" i="20" s="1"/>
  <c r="L417" i="14"/>
  <c r="C415" i="14"/>
  <c r="C414" i="23"/>
  <c r="G415" i="23"/>
  <c r="F415" i="23"/>
  <c r="A416" i="23"/>
  <c r="K415" i="23"/>
  <c r="C419" i="18" s="1"/>
  <c r="O416" i="14"/>
  <c r="D419" i="16"/>
  <c r="A419" i="16"/>
  <c r="B419" i="16"/>
  <c r="C420" i="16"/>
  <c r="G418" i="4"/>
  <c r="H418" i="4"/>
  <c r="I417" i="14"/>
  <c r="B419" i="18"/>
  <c r="A420" i="18"/>
  <c r="P415" i="14"/>
  <c r="Q415" i="14" s="1"/>
  <c r="M416" i="14"/>
  <c r="N416" i="14" s="1"/>
  <c r="E418" i="16"/>
  <c r="I416" i="23" l="1"/>
  <c r="J416" i="23"/>
  <c r="AA414" i="20"/>
  <c r="L418" i="14"/>
  <c r="AA415" i="20"/>
  <c r="E414" i="23"/>
  <c r="H416" i="23"/>
  <c r="E419" i="16"/>
  <c r="G419" i="4"/>
  <c r="H419" i="4"/>
  <c r="B420" i="18"/>
  <c r="A421" i="18"/>
  <c r="J417" i="14"/>
  <c r="K417" i="14" s="1"/>
  <c r="A420" i="16"/>
  <c r="D420" i="16"/>
  <c r="B420" i="16"/>
  <c r="C421" i="16"/>
  <c r="F416" i="14"/>
  <c r="C416" i="14"/>
  <c r="AB415" i="20"/>
  <c r="AC415" i="20" s="1"/>
  <c r="S415" i="14"/>
  <c r="T415" i="14" s="1"/>
  <c r="P416" i="14"/>
  <c r="Q416" i="14" s="1"/>
  <c r="D415" i="14"/>
  <c r="E415" i="14" s="1"/>
  <c r="AD414" i="20"/>
  <c r="AE414" i="20" s="1"/>
  <c r="F416" i="23"/>
  <c r="G416" i="23"/>
  <c r="C415" i="23"/>
  <c r="K416" i="23"/>
  <c r="C420" i="18" s="1"/>
  <c r="A417" i="23"/>
  <c r="I418" i="14"/>
  <c r="M417" i="14"/>
  <c r="N417" i="14" s="1"/>
  <c r="R416" i="14"/>
  <c r="I417" i="23" l="1"/>
  <c r="J417" i="23"/>
  <c r="L419" i="14"/>
  <c r="I419" i="14"/>
  <c r="E415" i="23"/>
  <c r="H417" i="23"/>
  <c r="F417" i="14"/>
  <c r="G417" i="14" s="1"/>
  <c r="H417" i="14" s="1"/>
  <c r="C417" i="14"/>
  <c r="D417" i="14" s="1"/>
  <c r="E417" i="14" s="1"/>
  <c r="O417" i="14"/>
  <c r="R417" i="14"/>
  <c r="J418" i="14"/>
  <c r="K418" i="14" s="1"/>
  <c r="S416" i="14"/>
  <c r="T416" i="14" s="1"/>
  <c r="F418" i="14"/>
  <c r="C416" i="23"/>
  <c r="G417" i="23"/>
  <c r="F417" i="23"/>
  <c r="K417" i="23"/>
  <c r="C421" i="18" s="1"/>
  <c r="A418" i="23"/>
  <c r="M418" i="14"/>
  <c r="N418" i="14" s="1"/>
  <c r="D416" i="14"/>
  <c r="E416" i="14" s="1"/>
  <c r="B421" i="18"/>
  <c r="A422" i="18"/>
  <c r="AD415" i="20"/>
  <c r="AE415" i="20" s="1"/>
  <c r="G416" i="14"/>
  <c r="H416" i="14" s="1"/>
  <c r="E420" i="16"/>
  <c r="AB416" i="20"/>
  <c r="AC416" i="20" s="1"/>
  <c r="D421" i="16"/>
  <c r="B421" i="16"/>
  <c r="A421" i="16"/>
  <c r="C422" i="16"/>
  <c r="H420" i="4"/>
  <c r="G420" i="4"/>
  <c r="I418" i="23" l="1"/>
  <c r="J418" i="23"/>
  <c r="AA416" i="20"/>
  <c r="I420" i="14"/>
  <c r="E416" i="23"/>
  <c r="H418" i="23"/>
  <c r="E421" i="16"/>
  <c r="F419" i="14"/>
  <c r="G419" i="14" s="1"/>
  <c r="H419" i="14" s="1"/>
  <c r="P417" i="14"/>
  <c r="Q417" i="14" s="1"/>
  <c r="G421" i="4"/>
  <c r="H421" i="4"/>
  <c r="AB417" i="20"/>
  <c r="G418" i="14"/>
  <c r="H418" i="14" s="1"/>
  <c r="C418" i="14"/>
  <c r="B422" i="18"/>
  <c r="A423" i="18"/>
  <c r="D422" i="16"/>
  <c r="A422" i="16"/>
  <c r="B422" i="16"/>
  <c r="C423" i="16"/>
  <c r="O418" i="14"/>
  <c r="R418" i="14"/>
  <c r="M419" i="14"/>
  <c r="N419" i="14" s="1"/>
  <c r="G418" i="23"/>
  <c r="C417" i="23"/>
  <c r="F418" i="23"/>
  <c r="K418" i="23"/>
  <c r="C422" i="18" s="1"/>
  <c r="A419" i="23"/>
  <c r="J419" i="14"/>
  <c r="K419" i="14" s="1"/>
  <c r="AD416" i="20"/>
  <c r="AE416" i="20" s="1"/>
  <c r="L420" i="14"/>
  <c r="S417" i="14"/>
  <c r="T417" i="14" s="1"/>
  <c r="I419" i="23" l="1"/>
  <c r="J419" i="23"/>
  <c r="L421" i="14"/>
  <c r="AA417" i="20"/>
  <c r="E417" i="23"/>
  <c r="H419" i="23"/>
  <c r="C419" i="14"/>
  <c r="D419" i="14" s="1"/>
  <c r="E419" i="14" s="1"/>
  <c r="E422" i="16"/>
  <c r="O420" i="14"/>
  <c r="P420" i="14" s="1"/>
  <c r="Q420" i="14" s="1"/>
  <c r="AC417" i="20"/>
  <c r="J420" i="14"/>
  <c r="K420" i="14" s="1"/>
  <c r="S418" i="14"/>
  <c r="T418" i="14" s="1"/>
  <c r="D418" i="14"/>
  <c r="E418" i="14" s="1"/>
  <c r="G422" i="4"/>
  <c r="H422" i="4"/>
  <c r="AB418" i="20"/>
  <c r="AC418" i="20" s="1"/>
  <c r="F420" i="14"/>
  <c r="P418" i="14"/>
  <c r="Q418" i="14" s="1"/>
  <c r="AD417" i="20"/>
  <c r="M420" i="14"/>
  <c r="N420" i="14" s="1"/>
  <c r="D423" i="16"/>
  <c r="A423" i="16"/>
  <c r="B423" i="16"/>
  <c r="C424" i="16"/>
  <c r="B423" i="18"/>
  <c r="A424" i="18"/>
  <c r="F419" i="23"/>
  <c r="C418" i="23"/>
  <c r="G419" i="23"/>
  <c r="A420" i="23"/>
  <c r="K419" i="23"/>
  <c r="C423" i="18" s="1"/>
  <c r="I421" i="14"/>
  <c r="O419" i="14"/>
  <c r="R419" i="14"/>
  <c r="I420" i="23" l="1"/>
  <c r="J420" i="23"/>
  <c r="AA418" i="20"/>
  <c r="E418" i="23"/>
  <c r="H420" i="23"/>
  <c r="C420" i="14"/>
  <c r="D420" i="14" s="1"/>
  <c r="E420" i="14" s="1"/>
  <c r="R420" i="14"/>
  <c r="S420" i="14" s="1"/>
  <c r="T420" i="14" s="1"/>
  <c r="E423" i="16"/>
  <c r="F421" i="14"/>
  <c r="G421" i="14" s="1"/>
  <c r="H421" i="14" s="1"/>
  <c r="B424" i="18"/>
  <c r="A425" i="18"/>
  <c r="M421" i="14"/>
  <c r="N421" i="14" s="1"/>
  <c r="AB419" i="20"/>
  <c r="G420" i="23"/>
  <c r="C419" i="23"/>
  <c r="F420" i="23"/>
  <c r="K420" i="23"/>
  <c r="C424" i="18" s="1"/>
  <c r="A421" i="23"/>
  <c r="J421" i="14"/>
  <c r="K421" i="14" s="1"/>
  <c r="B424" i="16"/>
  <c r="A424" i="16"/>
  <c r="D424" i="16"/>
  <c r="C425" i="16"/>
  <c r="G420" i="14"/>
  <c r="H420" i="14" s="1"/>
  <c r="AE417" i="20"/>
  <c r="P419" i="14"/>
  <c r="Q419" i="14" s="1"/>
  <c r="S419" i="14"/>
  <c r="T419" i="14" s="1"/>
  <c r="I422" i="14"/>
  <c r="AD418" i="20"/>
  <c r="AE418" i="20" s="1"/>
  <c r="L422" i="14"/>
  <c r="G423" i="4"/>
  <c r="H423" i="4"/>
  <c r="I421" i="23" l="1"/>
  <c r="J421" i="23"/>
  <c r="AA419" i="20"/>
  <c r="L423" i="14"/>
  <c r="E419" i="23"/>
  <c r="H421" i="23"/>
  <c r="C421" i="14"/>
  <c r="D421" i="14" s="1"/>
  <c r="E421" i="14" s="1"/>
  <c r="E424" i="16"/>
  <c r="H424" i="4"/>
  <c r="G424" i="4"/>
  <c r="M422" i="14"/>
  <c r="N422" i="14" s="1"/>
  <c r="AB420" i="20"/>
  <c r="O421" i="14"/>
  <c r="R421" i="14"/>
  <c r="F421" i="23"/>
  <c r="C420" i="23"/>
  <c r="G421" i="23"/>
  <c r="K421" i="23"/>
  <c r="C425" i="18" s="1"/>
  <c r="A422" i="23"/>
  <c r="AD419" i="20"/>
  <c r="I423" i="14"/>
  <c r="J422" i="14"/>
  <c r="K422" i="14" s="1"/>
  <c r="F422" i="14"/>
  <c r="AC419" i="20"/>
  <c r="B425" i="16"/>
  <c r="D425" i="16"/>
  <c r="A425" i="16"/>
  <c r="C426" i="16"/>
  <c r="O422" i="14"/>
  <c r="B425" i="18"/>
  <c r="A426" i="18"/>
  <c r="I422" i="23" l="1"/>
  <c r="J422" i="23"/>
  <c r="AA420" i="20"/>
  <c r="E420" i="23"/>
  <c r="H422" i="23"/>
  <c r="F423" i="14"/>
  <c r="G423" i="14" s="1"/>
  <c r="H423" i="14" s="1"/>
  <c r="G422" i="14"/>
  <c r="H422" i="14" s="1"/>
  <c r="R422" i="14"/>
  <c r="B426" i="18"/>
  <c r="A427" i="18"/>
  <c r="J423" i="14"/>
  <c r="K423" i="14" s="1"/>
  <c r="M423" i="14"/>
  <c r="N423" i="14" s="1"/>
  <c r="AB421" i="20"/>
  <c r="AC421" i="20" s="1"/>
  <c r="C421" i="23"/>
  <c r="G422" i="23"/>
  <c r="F422" i="23"/>
  <c r="A423" i="23"/>
  <c r="K422" i="23"/>
  <c r="C426" i="18" s="1"/>
  <c r="S421" i="14"/>
  <c r="T421" i="14" s="1"/>
  <c r="G425" i="4"/>
  <c r="H425" i="4"/>
  <c r="B426" i="16"/>
  <c r="D426" i="16"/>
  <c r="A426" i="16"/>
  <c r="C427" i="16"/>
  <c r="AC420" i="20"/>
  <c r="P421" i="14"/>
  <c r="Q421" i="14" s="1"/>
  <c r="C422" i="14"/>
  <c r="P422" i="14"/>
  <c r="Q422" i="14" s="1"/>
  <c r="E425" i="16"/>
  <c r="O423" i="14"/>
  <c r="AE419" i="20"/>
  <c r="I424" i="14"/>
  <c r="L424" i="14"/>
  <c r="AD420" i="20"/>
  <c r="I423" i="23" l="1"/>
  <c r="J423" i="23"/>
  <c r="I425" i="14"/>
  <c r="AA421" i="20"/>
  <c r="AA422" i="20"/>
  <c r="E421" i="23"/>
  <c r="H423" i="23"/>
  <c r="C423" i="14"/>
  <c r="D423" i="14" s="1"/>
  <c r="E423" i="14" s="1"/>
  <c r="E426" i="16"/>
  <c r="D427" i="16"/>
  <c r="B427" i="16"/>
  <c r="A427" i="16"/>
  <c r="C428" i="16"/>
  <c r="C422" i="23"/>
  <c r="F423" i="23"/>
  <c r="G423" i="23"/>
  <c r="K423" i="23"/>
  <c r="C427" i="18" s="1"/>
  <c r="A424" i="23"/>
  <c r="AD421" i="20"/>
  <c r="AE421" i="20" s="1"/>
  <c r="L425" i="14"/>
  <c r="S422" i="14"/>
  <c r="T422" i="14" s="1"/>
  <c r="M424" i="14"/>
  <c r="N424" i="14" s="1"/>
  <c r="P423" i="14"/>
  <c r="Q423" i="14" s="1"/>
  <c r="D422" i="14"/>
  <c r="E422" i="14" s="1"/>
  <c r="AB422" i="20"/>
  <c r="AC422" i="20" s="1"/>
  <c r="O424" i="14"/>
  <c r="AE420" i="20"/>
  <c r="G426" i="4"/>
  <c r="H426" i="4"/>
  <c r="J424" i="14"/>
  <c r="K424" i="14" s="1"/>
  <c r="R423" i="14"/>
  <c r="B427" i="18"/>
  <c r="A428" i="18"/>
  <c r="I424" i="23" l="1"/>
  <c r="J424" i="23"/>
  <c r="L426" i="14"/>
  <c r="I426" i="14"/>
  <c r="E422" i="23"/>
  <c r="H424" i="23"/>
  <c r="O425" i="14"/>
  <c r="P425" i="14" s="1"/>
  <c r="Q425" i="14" s="1"/>
  <c r="S423" i="14"/>
  <c r="T423" i="14" s="1"/>
  <c r="F424" i="14"/>
  <c r="C424" i="14"/>
  <c r="H427" i="4"/>
  <c r="G427" i="4"/>
  <c r="AD422" i="20"/>
  <c r="AE422" i="20" s="1"/>
  <c r="M425" i="14"/>
  <c r="N425" i="14" s="1"/>
  <c r="AB423" i="20"/>
  <c r="AC423" i="20" s="1"/>
  <c r="B428" i="18"/>
  <c r="A429" i="18"/>
  <c r="D428" i="16"/>
  <c r="B428" i="16"/>
  <c r="A428" i="16"/>
  <c r="C429" i="16"/>
  <c r="R424" i="14"/>
  <c r="J425" i="14"/>
  <c r="K425" i="14" s="1"/>
  <c r="P424" i="14"/>
  <c r="Q424" i="14" s="1"/>
  <c r="F425" i="14"/>
  <c r="G424" i="23"/>
  <c r="C423" i="23"/>
  <c r="F424" i="23"/>
  <c r="K424" i="23"/>
  <c r="C428" i="18" s="1"/>
  <c r="A425" i="23"/>
  <c r="E427" i="16"/>
  <c r="I425" i="23" l="1"/>
  <c r="J425" i="23"/>
  <c r="AA423" i="20"/>
  <c r="L427" i="14"/>
  <c r="E423" i="23"/>
  <c r="H425" i="23"/>
  <c r="R425" i="14"/>
  <c r="S425" i="14" s="1"/>
  <c r="T425" i="14" s="1"/>
  <c r="O426" i="14"/>
  <c r="P426" i="14" s="1"/>
  <c r="Q426" i="14" s="1"/>
  <c r="E428" i="16"/>
  <c r="J426" i="14"/>
  <c r="K426" i="14" s="1"/>
  <c r="D424" i="14"/>
  <c r="E424" i="14" s="1"/>
  <c r="AD423" i="20"/>
  <c r="AE423" i="20" s="1"/>
  <c r="I427" i="14"/>
  <c r="C425" i="14"/>
  <c r="H428" i="4"/>
  <c r="G428" i="4"/>
  <c r="G424" i="14"/>
  <c r="H424" i="14" s="1"/>
  <c r="AB424" i="20"/>
  <c r="AC424" i="20" s="1"/>
  <c r="S424" i="14"/>
  <c r="T424" i="14" s="1"/>
  <c r="B429" i="18"/>
  <c r="A430" i="18"/>
  <c r="M426" i="14"/>
  <c r="N426" i="14" s="1"/>
  <c r="G425" i="23"/>
  <c r="F425" i="23"/>
  <c r="C424" i="23"/>
  <c r="K425" i="23"/>
  <c r="C429" i="18" s="1"/>
  <c r="A426" i="23"/>
  <c r="G425" i="14"/>
  <c r="H425" i="14" s="1"/>
  <c r="D429" i="16"/>
  <c r="A429" i="16"/>
  <c r="B429" i="16"/>
  <c r="C430" i="16"/>
  <c r="F426" i="14"/>
  <c r="I426" i="23" l="1"/>
  <c r="J426" i="23"/>
  <c r="AA424" i="20"/>
  <c r="L428" i="14"/>
  <c r="O427" i="14"/>
  <c r="P427" i="14" s="1"/>
  <c r="Q427" i="14" s="1"/>
  <c r="E424" i="23"/>
  <c r="H426" i="23"/>
  <c r="E429" i="16"/>
  <c r="R426" i="14"/>
  <c r="S426" i="14" s="1"/>
  <c r="T426" i="14" s="1"/>
  <c r="B430" i="18"/>
  <c r="A431" i="18"/>
  <c r="G426" i="23"/>
  <c r="C425" i="23"/>
  <c r="F426" i="23"/>
  <c r="A427" i="23"/>
  <c r="K426" i="23"/>
  <c r="C430" i="18" s="1"/>
  <c r="F427" i="14"/>
  <c r="I428" i="14"/>
  <c r="G426" i="14"/>
  <c r="H426" i="14" s="1"/>
  <c r="AB425" i="20"/>
  <c r="AC425" i="20" s="1"/>
  <c r="AD424" i="20"/>
  <c r="AE424" i="20" s="1"/>
  <c r="D425" i="14"/>
  <c r="E425" i="14" s="1"/>
  <c r="B430" i="16"/>
  <c r="D430" i="16"/>
  <c r="A430" i="16"/>
  <c r="C431" i="16"/>
  <c r="G429" i="4"/>
  <c r="H429" i="4"/>
  <c r="J427" i="14"/>
  <c r="K427" i="14" s="1"/>
  <c r="M427" i="14"/>
  <c r="N427" i="14" s="1"/>
  <c r="C426" i="14"/>
  <c r="I427" i="23" l="1"/>
  <c r="J427" i="23"/>
  <c r="AA425" i="20"/>
  <c r="R427" i="14"/>
  <c r="S427" i="14" s="1"/>
  <c r="T427" i="14" s="1"/>
  <c r="I429" i="14"/>
  <c r="E425" i="23"/>
  <c r="H427" i="23"/>
  <c r="O428" i="14"/>
  <c r="P428" i="14" s="1"/>
  <c r="Q428" i="14" s="1"/>
  <c r="E430" i="16"/>
  <c r="AB426" i="20"/>
  <c r="C426" i="23"/>
  <c r="G427" i="23"/>
  <c r="F427" i="23"/>
  <c r="A428" i="23"/>
  <c r="K427" i="23"/>
  <c r="C431" i="18" s="1"/>
  <c r="C427" i="14"/>
  <c r="M428" i="14"/>
  <c r="N428" i="14" s="1"/>
  <c r="AD425" i="20"/>
  <c r="AE425" i="20" s="1"/>
  <c r="L429" i="14"/>
  <c r="J428" i="14"/>
  <c r="K428" i="14" s="1"/>
  <c r="B431" i="18"/>
  <c r="A432" i="18"/>
  <c r="G430" i="4"/>
  <c r="H430" i="4"/>
  <c r="D426" i="14"/>
  <c r="E426" i="14" s="1"/>
  <c r="D431" i="16"/>
  <c r="B431" i="16"/>
  <c r="A431" i="16"/>
  <c r="C432" i="16"/>
  <c r="G427" i="14"/>
  <c r="H427" i="14" s="1"/>
  <c r="I428" i="23" l="1"/>
  <c r="J428" i="23"/>
  <c r="AA426" i="20"/>
  <c r="L430" i="14"/>
  <c r="AA427" i="20"/>
  <c r="E426" i="23"/>
  <c r="H428" i="23"/>
  <c r="R428" i="14"/>
  <c r="S428" i="14" s="1"/>
  <c r="T428" i="14" s="1"/>
  <c r="E431" i="16"/>
  <c r="O429" i="14"/>
  <c r="P429" i="14" s="1"/>
  <c r="Q429" i="14" s="1"/>
  <c r="F429" i="14"/>
  <c r="G429" i="14" s="1"/>
  <c r="H429" i="14" s="1"/>
  <c r="F428" i="14"/>
  <c r="G428" i="14" s="1"/>
  <c r="H428" i="14" s="1"/>
  <c r="C428" i="14"/>
  <c r="D428" i="14" s="1"/>
  <c r="E428" i="14" s="1"/>
  <c r="B432" i="18"/>
  <c r="A433" i="18"/>
  <c r="M429" i="14"/>
  <c r="N429" i="14" s="1"/>
  <c r="F428" i="23"/>
  <c r="G428" i="23"/>
  <c r="C427" i="23"/>
  <c r="A429" i="23"/>
  <c r="K428" i="23"/>
  <c r="C432" i="18" s="1"/>
  <c r="AC426" i="20"/>
  <c r="AD426" i="20"/>
  <c r="G431" i="4"/>
  <c r="H431" i="4"/>
  <c r="J429" i="14"/>
  <c r="K429" i="14" s="1"/>
  <c r="I430" i="14"/>
  <c r="AB427" i="20"/>
  <c r="AC427" i="20" s="1"/>
  <c r="B432" i="16"/>
  <c r="A432" i="16"/>
  <c r="D432" i="16"/>
  <c r="C433" i="16"/>
  <c r="D427" i="14"/>
  <c r="E427" i="14" s="1"/>
  <c r="I429" i="23" l="1"/>
  <c r="J429" i="23"/>
  <c r="I431" i="14"/>
  <c r="AA428" i="20"/>
  <c r="E427" i="23"/>
  <c r="H429" i="23"/>
  <c r="F430" i="14"/>
  <c r="G430" i="14" s="1"/>
  <c r="H430" i="14" s="1"/>
  <c r="R429" i="14"/>
  <c r="S429" i="14" s="1"/>
  <c r="T429" i="14" s="1"/>
  <c r="C429" i="14"/>
  <c r="D429" i="14" s="1"/>
  <c r="E429" i="14" s="1"/>
  <c r="E432" i="16"/>
  <c r="O430" i="14"/>
  <c r="AE426" i="20"/>
  <c r="B433" i="18"/>
  <c r="A434" i="18"/>
  <c r="G432" i="4"/>
  <c r="H432" i="4"/>
  <c r="M430" i="14"/>
  <c r="N430" i="14" s="1"/>
  <c r="D433" i="16"/>
  <c r="B433" i="16"/>
  <c r="A433" i="16"/>
  <c r="C434" i="16"/>
  <c r="AD427" i="20"/>
  <c r="AE427" i="20" s="1"/>
  <c r="L431" i="14"/>
  <c r="J430" i="14"/>
  <c r="K430" i="14" s="1"/>
  <c r="AB428" i="20"/>
  <c r="AC428" i="20" s="1"/>
  <c r="C428" i="23"/>
  <c r="F429" i="23"/>
  <c r="G429" i="23"/>
  <c r="K429" i="23"/>
  <c r="C433" i="18" s="1"/>
  <c r="A430" i="23"/>
  <c r="I430" i="23" l="1"/>
  <c r="J430" i="23"/>
  <c r="L432" i="14"/>
  <c r="I432" i="14"/>
  <c r="AA429" i="20"/>
  <c r="E428" i="23"/>
  <c r="H430" i="23"/>
  <c r="C430" i="14"/>
  <c r="D430" i="14" s="1"/>
  <c r="E430" i="14" s="1"/>
  <c r="E433" i="16"/>
  <c r="O431" i="14"/>
  <c r="P431" i="14" s="1"/>
  <c r="Q431" i="14" s="1"/>
  <c r="F431" i="14"/>
  <c r="G431" i="14" s="1"/>
  <c r="H431" i="14" s="1"/>
  <c r="AD428" i="20"/>
  <c r="AE428" i="20" s="1"/>
  <c r="B434" i="16"/>
  <c r="A434" i="16"/>
  <c r="D434" i="16"/>
  <c r="C435" i="16"/>
  <c r="G433" i="4"/>
  <c r="H433" i="4"/>
  <c r="M431" i="14"/>
  <c r="N431" i="14" s="1"/>
  <c r="P430" i="14"/>
  <c r="Q430" i="14" s="1"/>
  <c r="J431" i="14"/>
  <c r="K431" i="14" s="1"/>
  <c r="AB429" i="20"/>
  <c r="AC429" i="20" s="1"/>
  <c r="B434" i="18"/>
  <c r="A435" i="18"/>
  <c r="R430" i="14"/>
  <c r="G430" i="23"/>
  <c r="C429" i="23"/>
  <c r="F430" i="23"/>
  <c r="A431" i="23"/>
  <c r="K430" i="23"/>
  <c r="C434" i="18" s="1"/>
  <c r="I431" i="23" l="1"/>
  <c r="J431" i="23"/>
  <c r="L433" i="14"/>
  <c r="I433" i="14"/>
  <c r="AA430" i="20"/>
  <c r="E429" i="23"/>
  <c r="H431" i="23"/>
  <c r="C431" i="14"/>
  <c r="D431" i="14" s="1"/>
  <c r="E431" i="14" s="1"/>
  <c r="R431" i="14"/>
  <c r="S431" i="14" s="1"/>
  <c r="T431" i="14" s="1"/>
  <c r="O432" i="14"/>
  <c r="P432" i="14" s="1"/>
  <c r="Q432" i="14" s="1"/>
  <c r="E434" i="16"/>
  <c r="F432" i="14"/>
  <c r="G432" i="14" s="1"/>
  <c r="H432" i="14" s="1"/>
  <c r="S430" i="14"/>
  <c r="T430" i="14" s="1"/>
  <c r="J432" i="14"/>
  <c r="K432" i="14" s="1"/>
  <c r="B435" i="16"/>
  <c r="D435" i="16"/>
  <c r="A435" i="16"/>
  <c r="C436" i="16"/>
  <c r="B435" i="18"/>
  <c r="A436" i="18"/>
  <c r="G434" i="4"/>
  <c r="H434" i="4"/>
  <c r="M432" i="14"/>
  <c r="N432" i="14" s="1"/>
  <c r="C430" i="23"/>
  <c r="F431" i="23"/>
  <c r="G431" i="23"/>
  <c r="K431" i="23"/>
  <c r="C435" i="18" s="1"/>
  <c r="A432" i="23"/>
  <c r="AB430" i="20"/>
  <c r="AC430" i="20" s="1"/>
  <c r="AD429" i="20"/>
  <c r="AE429" i="20" s="1"/>
  <c r="I432" i="23" l="1"/>
  <c r="J432" i="23"/>
  <c r="L434" i="14"/>
  <c r="I434" i="14"/>
  <c r="C432" i="14"/>
  <c r="D432" i="14" s="1"/>
  <c r="E432" i="14" s="1"/>
  <c r="E430" i="23"/>
  <c r="H432" i="23"/>
  <c r="E435" i="16"/>
  <c r="F433" i="14"/>
  <c r="G433" i="14" s="1"/>
  <c r="H433" i="14" s="1"/>
  <c r="R432" i="14"/>
  <c r="S432" i="14" s="1"/>
  <c r="T432" i="14" s="1"/>
  <c r="O433" i="14"/>
  <c r="P433" i="14" s="1"/>
  <c r="Q433" i="14" s="1"/>
  <c r="D436" i="16"/>
  <c r="B436" i="16"/>
  <c r="A436" i="16"/>
  <c r="C437" i="16"/>
  <c r="AB431" i="20"/>
  <c r="G435" i="4"/>
  <c r="H435" i="4"/>
  <c r="AD430" i="20"/>
  <c r="AE430" i="20" s="1"/>
  <c r="M433" i="14"/>
  <c r="N433" i="14" s="1"/>
  <c r="F432" i="23"/>
  <c r="G432" i="23"/>
  <c r="C431" i="23"/>
  <c r="K432" i="23"/>
  <c r="C436" i="18" s="1"/>
  <c r="A433" i="23"/>
  <c r="B436" i="18"/>
  <c r="A437" i="18"/>
  <c r="J433" i="14"/>
  <c r="K433" i="14" s="1"/>
  <c r="I433" i="23" l="1"/>
  <c r="J433" i="23"/>
  <c r="I435" i="14"/>
  <c r="AA431" i="20"/>
  <c r="AA432" i="20"/>
  <c r="E431" i="23"/>
  <c r="H433" i="23"/>
  <c r="E436" i="16"/>
  <c r="R433" i="14"/>
  <c r="S433" i="14" s="1"/>
  <c r="T433" i="14" s="1"/>
  <c r="C433" i="14"/>
  <c r="D433" i="14" s="1"/>
  <c r="E433" i="14" s="1"/>
  <c r="O434" i="14"/>
  <c r="P434" i="14" s="1"/>
  <c r="Q434" i="14" s="1"/>
  <c r="F434" i="14"/>
  <c r="G434" i="14" s="1"/>
  <c r="H434" i="14" s="1"/>
  <c r="AC431" i="20"/>
  <c r="J434" i="14"/>
  <c r="K434" i="14" s="1"/>
  <c r="H436" i="4"/>
  <c r="G436" i="4"/>
  <c r="D437" i="16"/>
  <c r="B437" i="16"/>
  <c r="A437" i="16"/>
  <c r="C438" i="16"/>
  <c r="AB432" i="20"/>
  <c r="AD431" i="20"/>
  <c r="L435" i="14"/>
  <c r="B437" i="18"/>
  <c r="A438" i="18"/>
  <c r="G433" i="23"/>
  <c r="F433" i="23"/>
  <c r="C432" i="23"/>
  <c r="K433" i="23"/>
  <c r="C437" i="18" s="1"/>
  <c r="A434" i="23"/>
  <c r="M434" i="14"/>
  <c r="N434" i="14" s="1"/>
  <c r="I434" i="23" l="1"/>
  <c r="J434" i="23"/>
  <c r="I436" i="14"/>
  <c r="E432" i="23"/>
  <c r="H434" i="23"/>
  <c r="R434" i="14"/>
  <c r="S434" i="14" s="1"/>
  <c r="T434" i="14" s="1"/>
  <c r="C434" i="14"/>
  <c r="D434" i="14" s="1"/>
  <c r="E434" i="14" s="1"/>
  <c r="E437" i="16"/>
  <c r="F435" i="14"/>
  <c r="G435" i="14" s="1"/>
  <c r="H435" i="14" s="1"/>
  <c r="B438" i="16"/>
  <c r="A438" i="16"/>
  <c r="D438" i="16"/>
  <c r="C439" i="16"/>
  <c r="G437" i="4"/>
  <c r="H437" i="4"/>
  <c r="J435" i="14"/>
  <c r="K435" i="14" s="1"/>
  <c r="B438" i="18"/>
  <c r="A439" i="18"/>
  <c r="F434" i="23"/>
  <c r="C433" i="23"/>
  <c r="G434" i="23"/>
  <c r="K434" i="23"/>
  <c r="C438" i="18" s="1"/>
  <c r="A435" i="23"/>
  <c r="AC432" i="20"/>
  <c r="AD432" i="20"/>
  <c r="L436" i="14"/>
  <c r="AE431" i="20"/>
  <c r="M435" i="14"/>
  <c r="N435" i="14" s="1"/>
  <c r="AB433" i="20"/>
  <c r="AC433" i="20" s="1"/>
  <c r="AA433" i="20" l="1"/>
  <c r="I435" i="23"/>
  <c r="J435" i="23"/>
  <c r="L437" i="14"/>
  <c r="E433" i="23"/>
  <c r="H435" i="23"/>
  <c r="E438" i="16"/>
  <c r="F436" i="14"/>
  <c r="G436" i="14" s="1"/>
  <c r="H436" i="14" s="1"/>
  <c r="C435" i="14"/>
  <c r="D435" i="14" s="1"/>
  <c r="E435" i="14" s="1"/>
  <c r="F435" i="23"/>
  <c r="C434" i="23"/>
  <c r="G435" i="23"/>
  <c r="K435" i="23"/>
  <c r="C439" i="18" s="1"/>
  <c r="A436" i="23"/>
  <c r="J436" i="14"/>
  <c r="K436" i="14" s="1"/>
  <c r="B439" i="16"/>
  <c r="D439" i="16"/>
  <c r="A439" i="16"/>
  <c r="C440" i="16"/>
  <c r="AD433" i="20"/>
  <c r="AE433" i="20" s="1"/>
  <c r="I437" i="14"/>
  <c r="O435" i="14"/>
  <c r="R435" i="14"/>
  <c r="AE432" i="20"/>
  <c r="O436" i="14"/>
  <c r="G438" i="4"/>
  <c r="H438" i="4"/>
  <c r="M436" i="14"/>
  <c r="N436" i="14" s="1"/>
  <c r="AB434" i="20"/>
  <c r="AC434" i="20" s="1"/>
  <c r="B439" i="18"/>
  <c r="A440" i="18"/>
  <c r="I436" i="23" l="1"/>
  <c r="J436" i="23"/>
  <c r="AA434" i="20"/>
  <c r="L438" i="14"/>
  <c r="E434" i="23"/>
  <c r="H436" i="23"/>
  <c r="C436" i="14"/>
  <c r="D436" i="14" s="1"/>
  <c r="E436" i="14" s="1"/>
  <c r="R436" i="14"/>
  <c r="S436" i="14" s="1"/>
  <c r="T436" i="14" s="1"/>
  <c r="O437" i="14"/>
  <c r="P435" i="14"/>
  <c r="Q435" i="14" s="1"/>
  <c r="J437" i="14"/>
  <c r="K437" i="14" s="1"/>
  <c r="E439" i="16"/>
  <c r="AD434" i="20"/>
  <c r="AE434" i="20" s="1"/>
  <c r="G439" i="4"/>
  <c r="H439" i="4"/>
  <c r="S435" i="14"/>
  <c r="T435" i="14" s="1"/>
  <c r="F436" i="23"/>
  <c r="C435" i="23"/>
  <c r="G436" i="23"/>
  <c r="K436" i="23"/>
  <c r="C440" i="18" s="1"/>
  <c r="A437" i="23"/>
  <c r="M437" i="14"/>
  <c r="N437" i="14" s="1"/>
  <c r="I438" i="14"/>
  <c r="B440" i="18"/>
  <c r="A441" i="18"/>
  <c r="P436" i="14"/>
  <c r="Q436" i="14" s="1"/>
  <c r="F437" i="14"/>
  <c r="D440" i="16"/>
  <c r="B440" i="16"/>
  <c r="A440" i="16"/>
  <c r="C441" i="16"/>
  <c r="AB435" i="20"/>
  <c r="AC435" i="20" s="1"/>
  <c r="I437" i="23" l="1"/>
  <c r="J437" i="23"/>
  <c r="AA435" i="20"/>
  <c r="L439" i="14"/>
  <c r="E435" i="23"/>
  <c r="H437" i="23"/>
  <c r="R437" i="14"/>
  <c r="S437" i="14" s="1"/>
  <c r="T437" i="14" s="1"/>
  <c r="O438" i="14"/>
  <c r="P438" i="14" s="1"/>
  <c r="Q438" i="14" s="1"/>
  <c r="E440" i="16"/>
  <c r="F438" i="14"/>
  <c r="G438" i="14" s="1"/>
  <c r="H438" i="14" s="1"/>
  <c r="I439" i="14"/>
  <c r="C436" i="23"/>
  <c r="G437" i="23"/>
  <c r="F437" i="23"/>
  <c r="K437" i="23"/>
  <c r="C441" i="18" s="1"/>
  <c r="A438" i="23"/>
  <c r="H440" i="4"/>
  <c r="G440" i="4"/>
  <c r="C437" i="14"/>
  <c r="J438" i="14"/>
  <c r="K438" i="14" s="1"/>
  <c r="AB436" i="20"/>
  <c r="AC436" i="20" s="1"/>
  <c r="AD435" i="20"/>
  <c r="AE435" i="20" s="1"/>
  <c r="B441" i="18"/>
  <c r="A442" i="18"/>
  <c r="B441" i="16"/>
  <c r="D441" i="16"/>
  <c r="A441" i="16"/>
  <c r="C442" i="16"/>
  <c r="G437" i="14"/>
  <c r="H437" i="14" s="1"/>
  <c r="M438" i="14"/>
  <c r="N438" i="14" s="1"/>
  <c r="P437" i="14"/>
  <c r="Q437" i="14" s="1"/>
  <c r="I438" i="23" l="1"/>
  <c r="J438" i="23"/>
  <c r="I440" i="14"/>
  <c r="AA436" i="20"/>
  <c r="E436" i="23"/>
  <c r="H438" i="23"/>
  <c r="E441" i="16"/>
  <c r="R438" i="14"/>
  <c r="S438" i="14" s="1"/>
  <c r="T438" i="14" s="1"/>
  <c r="C438" i="14"/>
  <c r="D438" i="14" s="1"/>
  <c r="E438" i="14" s="1"/>
  <c r="C437" i="23"/>
  <c r="G438" i="23"/>
  <c r="F438" i="23"/>
  <c r="A439" i="23"/>
  <c r="K438" i="23"/>
  <c r="C442" i="18" s="1"/>
  <c r="M439" i="14"/>
  <c r="N439" i="14" s="1"/>
  <c r="D437" i="14"/>
  <c r="E437" i="14" s="1"/>
  <c r="J439" i="14"/>
  <c r="K439" i="14" s="1"/>
  <c r="AB437" i="20"/>
  <c r="AC437" i="20" s="1"/>
  <c r="D442" i="16"/>
  <c r="B442" i="16"/>
  <c r="A442" i="16"/>
  <c r="C443" i="16"/>
  <c r="B442" i="18"/>
  <c r="A443" i="18"/>
  <c r="O439" i="14"/>
  <c r="AD436" i="20"/>
  <c r="AE436" i="20" s="1"/>
  <c r="L440" i="14"/>
  <c r="G441" i="4"/>
  <c r="H441" i="4"/>
  <c r="F439" i="14"/>
  <c r="I439" i="23" l="1"/>
  <c r="J439" i="23"/>
  <c r="AA437" i="20"/>
  <c r="E437" i="23"/>
  <c r="H439" i="23"/>
  <c r="B443" i="18"/>
  <c r="A444" i="18"/>
  <c r="G442" i="4"/>
  <c r="H442" i="4"/>
  <c r="R439" i="14"/>
  <c r="B443" i="16"/>
  <c r="A443" i="16"/>
  <c r="D443" i="16"/>
  <c r="C444" i="16"/>
  <c r="I441" i="14"/>
  <c r="J440" i="14"/>
  <c r="K440" i="14" s="1"/>
  <c r="P439" i="14"/>
  <c r="Q439" i="14" s="1"/>
  <c r="E442" i="16"/>
  <c r="C439" i="14"/>
  <c r="M440" i="14"/>
  <c r="N440" i="14" s="1"/>
  <c r="AD437" i="20"/>
  <c r="AE437" i="20" s="1"/>
  <c r="L441" i="14"/>
  <c r="AB438" i="20"/>
  <c r="G439" i="14"/>
  <c r="H439" i="14" s="1"/>
  <c r="O440" i="14"/>
  <c r="C438" i="23"/>
  <c r="F439" i="23"/>
  <c r="G439" i="23"/>
  <c r="K439" i="23"/>
  <c r="C443" i="18" s="1"/>
  <c r="A440" i="23"/>
  <c r="I440" i="23" l="1"/>
  <c r="J440" i="23"/>
  <c r="AA438" i="20"/>
  <c r="I442" i="14"/>
  <c r="E443" i="16"/>
  <c r="O441" i="14"/>
  <c r="P441" i="14" s="1"/>
  <c r="Q441" i="14" s="1"/>
  <c r="E438" i="23"/>
  <c r="H440" i="23"/>
  <c r="P440" i="14"/>
  <c r="Q440" i="14" s="1"/>
  <c r="R440" i="14"/>
  <c r="J441" i="14"/>
  <c r="K441" i="14" s="1"/>
  <c r="H443" i="4"/>
  <c r="G443" i="4"/>
  <c r="AD438" i="20"/>
  <c r="L442" i="14"/>
  <c r="D439" i="14"/>
  <c r="E439" i="14" s="1"/>
  <c r="AC438" i="20"/>
  <c r="F440" i="14"/>
  <c r="C440" i="14"/>
  <c r="B444" i="16"/>
  <c r="D444" i="16"/>
  <c r="A444" i="16"/>
  <c r="C445" i="16"/>
  <c r="S439" i="14"/>
  <c r="T439" i="14" s="1"/>
  <c r="B444" i="18"/>
  <c r="A445" i="18"/>
  <c r="F440" i="23"/>
  <c r="C439" i="23"/>
  <c r="G440" i="23"/>
  <c r="K440" i="23"/>
  <c r="C444" i="18" s="1"/>
  <c r="A441" i="23"/>
  <c r="M441" i="14"/>
  <c r="N441" i="14" s="1"/>
  <c r="AB439" i="20"/>
  <c r="AC439" i="20" s="1"/>
  <c r="F441" i="14"/>
  <c r="I441" i="23" l="1"/>
  <c r="J441" i="23"/>
  <c r="AA439" i="20"/>
  <c r="E444" i="16"/>
  <c r="R441" i="14"/>
  <c r="S441" i="14" s="1"/>
  <c r="T441" i="14" s="1"/>
  <c r="E439" i="23"/>
  <c r="H441" i="23"/>
  <c r="G441" i="14"/>
  <c r="H441" i="14" s="1"/>
  <c r="AD439" i="20"/>
  <c r="AE439" i="20" s="1"/>
  <c r="L443" i="14"/>
  <c r="B445" i="18"/>
  <c r="A446" i="18"/>
  <c r="B445" i="16"/>
  <c r="D445" i="16"/>
  <c r="A445" i="16"/>
  <c r="C446" i="16"/>
  <c r="G440" i="14"/>
  <c r="H440" i="14" s="1"/>
  <c r="AB440" i="20"/>
  <c r="F442" i="14"/>
  <c r="H444" i="4"/>
  <c r="G444" i="4"/>
  <c r="AE438" i="20"/>
  <c r="O442" i="14"/>
  <c r="M442" i="14"/>
  <c r="N442" i="14" s="1"/>
  <c r="S440" i="14"/>
  <c r="T440" i="14" s="1"/>
  <c r="G441" i="23"/>
  <c r="C440" i="23"/>
  <c r="F441" i="23"/>
  <c r="K441" i="23"/>
  <c r="C445" i="18" s="1"/>
  <c r="A442" i="23"/>
  <c r="J442" i="14"/>
  <c r="K442" i="14" s="1"/>
  <c r="I443" i="14"/>
  <c r="D440" i="14"/>
  <c r="E440" i="14" s="1"/>
  <c r="C441" i="14"/>
  <c r="AA440" i="20" l="1"/>
  <c r="I442" i="23"/>
  <c r="J442" i="23"/>
  <c r="L444" i="14"/>
  <c r="E440" i="23"/>
  <c r="H442" i="23"/>
  <c r="O443" i="14"/>
  <c r="P443" i="14" s="1"/>
  <c r="Q443" i="14" s="1"/>
  <c r="C442" i="14"/>
  <c r="D442" i="14" s="1"/>
  <c r="E442" i="14" s="1"/>
  <c r="R442" i="14"/>
  <c r="S442" i="14" s="1"/>
  <c r="T442" i="14" s="1"/>
  <c r="E445" i="16"/>
  <c r="AC440" i="20"/>
  <c r="J443" i="14"/>
  <c r="K443" i="14" s="1"/>
  <c r="C441" i="23"/>
  <c r="G442" i="23"/>
  <c r="F442" i="23"/>
  <c r="A443" i="23"/>
  <c r="K442" i="23"/>
  <c r="C446" i="18" s="1"/>
  <c r="P442" i="14"/>
  <c r="Q442" i="14" s="1"/>
  <c r="G442" i="14"/>
  <c r="H442" i="14" s="1"/>
  <c r="B446" i="16"/>
  <c r="D446" i="16"/>
  <c r="A446" i="16"/>
  <c r="C447" i="16"/>
  <c r="B446" i="18"/>
  <c r="A447" i="18"/>
  <c r="I444" i="14"/>
  <c r="G445" i="4"/>
  <c r="H445" i="4"/>
  <c r="AD440" i="20"/>
  <c r="D441" i="14"/>
  <c r="E441" i="14" s="1"/>
  <c r="AB441" i="20"/>
  <c r="AC441" i="20" s="1"/>
  <c r="M443" i="14"/>
  <c r="N443" i="14" s="1"/>
  <c r="I443" i="23" l="1"/>
  <c r="J443" i="23"/>
  <c r="AA441" i="20"/>
  <c r="L445" i="14"/>
  <c r="E441" i="23"/>
  <c r="H443" i="23"/>
  <c r="R443" i="14"/>
  <c r="S443" i="14" s="1"/>
  <c r="T443" i="14" s="1"/>
  <c r="E446" i="16"/>
  <c r="AD441" i="20"/>
  <c r="G446" i="4"/>
  <c r="H446" i="4"/>
  <c r="A447" i="16"/>
  <c r="D447" i="16"/>
  <c r="B447" i="16"/>
  <c r="C448" i="16"/>
  <c r="J444" i="14"/>
  <c r="K444" i="14" s="1"/>
  <c r="AB442" i="20"/>
  <c r="AE441" i="20"/>
  <c r="B447" i="18"/>
  <c r="A448" i="18"/>
  <c r="F443" i="23"/>
  <c r="C442" i="23"/>
  <c r="G443" i="23"/>
  <c r="K443" i="23"/>
  <c r="C447" i="18" s="1"/>
  <c r="A444" i="23"/>
  <c r="AE440" i="20"/>
  <c r="F443" i="14"/>
  <c r="C443" i="14"/>
  <c r="M444" i="14"/>
  <c r="N444" i="14" s="1"/>
  <c r="F444" i="14"/>
  <c r="I445" i="14"/>
  <c r="I444" i="23" l="1"/>
  <c r="J444" i="23"/>
  <c r="AA442" i="20"/>
  <c r="L446" i="14"/>
  <c r="E442" i="23"/>
  <c r="H444" i="23"/>
  <c r="O445" i="14"/>
  <c r="P445" i="14" s="1"/>
  <c r="Q445" i="14" s="1"/>
  <c r="G444" i="14"/>
  <c r="H444" i="14" s="1"/>
  <c r="J445" i="14"/>
  <c r="K445" i="14" s="1"/>
  <c r="D443" i="14"/>
  <c r="E443" i="14" s="1"/>
  <c r="G444" i="23"/>
  <c r="C443" i="23"/>
  <c r="F444" i="23"/>
  <c r="K444" i="23"/>
  <c r="C448" i="18" s="1"/>
  <c r="A445" i="23"/>
  <c r="B448" i="18"/>
  <c r="A449" i="18"/>
  <c r="E447" i="16"/>
  <c r="AD442" i="20"/>
  <c r="I446" i="14"/>
  <c r="B448" i="16"/>
  <c r="A448" i="16"/>
  <c r="D448" i="16"/>
  <c r="C449" i="16"/>
  <c r="C444" i="14"/>
  <c r="M445" i="14"/>
  <c r="N445" i="14" s="1"/>
  <c r="AC442" i="20"/>
  <c r="G443" i="14"/>
  <c r="H443" i="14" s="1"/>
  <c r="O444" i="14"/>
  <c r="R444" i="14"/>
  <c r="AB443" i="20"/>
  <c r="AC443" i="20" s="1"/>
  <c r="G447" i="4"/>
  <c r="H447" i="4"/>
  <c r="I445" i="23" l="1"/>
  <c r="J445" i="23"/>
  <c r="AA443" i="20"/>
  <c r="I447" i="14"/>
  <c r="AA444" i="20"/>
  <c r="E443" i="23"/>
  <c r="H445" i="23"/>
  <c r="E448" i="16"/>
  <c r="R445" i="14"/>
  <c r="S445" i="14" s="1"/>
  <c r="T445" i="14" s="1"/>
  <c r="G448" i="4"/>
  <c r="H448" i="4"/>
  <c r="D444" i="14"/>
  <c r="E444" i="14" s="1"/>
  <c r="M446" i="14"/>
  <c r="N446" i="14" s="1"/>
  <c r="F445" i="14"/>
  <c r="C445" i="14"/>
  <c r="S444" i="14"/>
  <c r="T444" i="14" s="1"/>
  <c r="AE442" i="20"/>
  <c r="O446" i="14"/>
  <c r="D449" i="16"/>
  <c r="B449" i="16"/>
  <c r="A449" i="16"/>
  <c r="C450" i="16"/>
  <c r="J446" i="14"/>
  <c r="K446" i="14" s="1"/>
  <c r="B449" i="18"/>
  <c r="A450" i="18"/>
  <c r="AB444" i="20"/>
  <c r="AD443" i="20"/>
  <c r="AE443" i="20" s="1"/>
  <c r="L447" i="14"/>
  <c r="P444" i="14"/>
  <c r="Q444" i="14" s="1"/>
  <c r="F445" i="23"/>
  <c r="C444" i="23"/>
  <c r="G445" i="23"/>
  <c r="K445" i="23"/>
  <c r="C449" i="18" s="1"/>
  <c r="A446" i="23"/>
  <c r="I446" i="23" l="1"/>
  <c r="J446" i="23"/>
  <c r="L448" i="14"/>
  <c r="I448" i="14"/>
  <c r="E449" i="16"/>
  <c r="E444" i="23"/>
  <c r="H446" i="23"/>
  <c r="O447" i="14"/>
  <c r="P447" i="14" s="1"/>
  <c r="Q447" i="14" s="1"/>
  <c r="AC444" i="20"/>
  <c r="AD444" i="20"/>
  <c r="D445" i="14"/>
  <c r="E445" i="14" s="1"/>
  <c r="J447" i="14"/>
  <c r="K447" i="14" s="1"/>
  <c r="AB445" i="20"/>
  <c r="AC445" i="20" s="1"/>
  <c r="G445" i="14"/>
  <c r="H445" i="14" s="1"/>
  <c r="R446" i="14"/>
  <c r="G449" i="4"/>
  <c r="H449" i="4"/>
  <c r="M447" i="14"/>
  <c r="N447" i="14" s="1"/>
  <c r="G446" i="23"/>
  <c r="F446" i="23"/>
  <c r="C445" i="23"/>
  <c r="A447" i="23"/>
  <c r="K446" i="23"/>
  <c r="C450" i="18" s="1"/>
  <c r="F446" i="14"/>
  <c r="C446" i="14"/>
  <c r="B450" i="18"/>
  <c r="A451" i="18"/>
  <c r="D450" i="16"/>
  <c r="A450" i="16"/>
  <c r="B450" i="16"/>
  <c r="C451" i="16"/>
  <c r="P446" i="14"/>
  <c r="Q446" i="14" s="1"/>
  <c r="F447" i="14"/>
  <c r="I447" i="23" l="1"/>
  <c r="J447" i="23"/>
  <c r="AA445" i="20"/>
  <c r="I449" i="14"/>
  <c r="R447" i="14"/>
  <c r="S447" i="14" s="1"/>
  <c r="T447" i="14" s="1"/>
  <c r="E445" i="23"/>
  <c r="H447" i="23"/>
  <c r="E450" i="16"/>
  <c r="F448" i="14"/>
  <c r="G448" i="14" s="1"/>
  <c r="H448" i="14" s="1"/>
  <c r="G447" i="14"/>
  <c r="H447" i="14" s="1"/>
  <c r="AB446" i="20"/>
  <c r="AC446" i="20" s="1"/>
  <c r="F447" i="23"/>
  <c r="C446" i="23"/>
  <c r="G447" i="23"/>
  <c r="A448" i="23"/>
  <c r="K447" i="23"/>
  <c r="C451" i="18" s="1"/>
  <c r="S446" i="14"/>
  <c r="T446" i="14" s="1"/>
  <c r="G450" i="4"/>
  <c r="H450" i="4"/>
  <c r="D446" i="14"/>
  <c r="E446" i="14" s="1"/>
  <c r="J448" i="14"/>
  <c r="K448" i="14" s="1"/>
  <c r="G446" i="14"/>
  <c r="H446" i="14" s="1"/>
  <c r="C447" i="14"/>
  <c r="AE444" i="20"/>
  <c r="B451" i="16"/>
  <c r="D451" i="16"/>
  <c r="A451" i="16"/>
  <c r="C452" i="16"/>
  <c r="B451" i="18"/>
  <c r="A452" i="18"/>
  <c r="AD445" i="20"/>
  <c r="AE445" i="20" s="1"/>
  <c r="L449" i="14"/>
  <c r="M448" i="14"/>
  <c r="N448" i="14" s="1"/>
  <c r="AA446" i="20" l="1"/>
  <c r="I448" i="23"/>
  <c r="J448" i="23"/>
  <c r="I450" i="14"/>
  <c r="AA447" i="20"/>
  <c r="E446" i="23"/>
  <c r="H448" i="23"/>
  <c r="C448" i="14"/>
  <c r="D448" i="14" s="1"/>
  <c r="E448" i="14" s="1"/>
  <c r="E451" i="16"/>
  <c r="J449" i="14"/>
  <c r="K449" i="14" s="1"/>
  <c r="B452" i="16"/>
  <c r="D452" i="16"/>
  <c r="A452" i="16"/>
  <c r="C453" i="16"/>
  <c r="G451" i="4"/>
  <c r="H451" i="4"/>
  <c r="C447" i="23"/>
  <c r="G448" i="23"/>
  <c r="F448" i="23"/>
  <c r="K448" i="23"/>
  <c r="C452" i="18" s="1"/>
  <c r="A449" i="23"/>
  <c r="AB447" i="20"/>
  <c r="AC447" i="20" s="1"/>
  <c r="D447" i="14"/>
  <c r="E447" i="14" s="1"/>
  <c r="M449" i="14"/>
  <c r="N449" i="14" s="1"/>
  <c r="B452" i="18"/>
  <c r="A453" i="18"/>
  <c r="O448" i="14"/>
  <c r="R448" i="14"/>
  <c r="AD446" i="20"/>
  <c r="AE446" i="20" s="1"/>
  <c r="L450" i="14"/>
  <c r="I449" i="23" l="1"/>
  <c r="J449" i="23"/>
  <c r="L451" i="14"/>
  <c r="I451" i="14"/>
  <c r="AA448" i="20"/>
  <c r="E447" i="23"/>
  <c r="H449" i="23"/>
  <c r="E452" i="16"/>
  <c r="F449" i="14"/>
  <c r="C449" i="14"/>
  <c r="O449" i="14"/>
  <c r="R449" i="14"/>
  <c r="P448" i="14"/>
  <c r="Q448" i="14" s="1"/>
  <c r="B453" i="18"/>
  <c r="A454" i="18"/>
  <c r="G449" i="23"/>
  <c r="C448" i="23"/>
  <c r="F449" i="23"/>
  <c r="K449" i="23"/>
  <c r="C453" i="18" s="1"/>
  <c r="A450" i="23"/>
  <c r="AB448" i="20"/>
  <c r="AC448" i="20" s="1"/>
  <c r="J450" i="14"/>
  <c r="K450" i="14" s="1"/>
  <c r="M450" i="14"/>
  <c r="N450" i="14" s="1"/>
  <c r="S448" i="14"/>
  <c r="T448" i="14" s="1"/>
  <c r="AD447" i="20"/>
  <c r="AE447" i="20" s="1"/>
  <c r="H452" i="4"/>
  <c r="G452" i="4"/>
  <c r="O450" i="14"/>
  <c r="A453" i="16"/>
  <c r="D453" i="16"/>
  <c r="B453" i="16"/>
  <c r="C454" i="16"/>
  <c r="F450" i="14"/>
  <c r="I450" i="23" l="1"/>
  <c r="J450" i="23"/>
  <c r="L452" i="14"/>
  <c r="I452" i="14"/>
  <c r="AA449" i="20"/>
  <c r="E448" i="23"/>
  <c r="H450" i="23"/>
  <c r="E453" i="16"/>
  <c r="F451" i="14"/>
  <c r="G451" i="14" s="1"/>
  <c r="H451" i="14" s="1"/>
  <c r="D454" i="16"/>
  <c r="A454" i="16"/>
  <c r="B454" i="16"/>
  <c r="C455" i="16"/>
  <c r="M451" i="14"/>
  <c r="N451" i="14" s="1"/>
  <c r="S449" i="14"/>
  <c r="T449" i="14" s="1"/>
  <c r="AB449" i="20"/>
  <c r="P450" i="14"/>
  <c r="Q450" i="14" s="1"/>
  <c r="B454" i="18"/>
  <c r="A455" i="18"/>
  <c r="P449" i="14"/>
  <c r="Q449" i="14" s="1"/>
  <c r="G450" i="14"/>
  <c r="H450" i="14" s="1"/>
  <c r="G453" i="4"/>
  <c r="H453" i="4"/>
  <c r="AD448" i="20"/>
  <c r="AE448" i="20" s="1"/>
  <c r="F450" i="23"/>
  <c r="C449" i="23"/>
  <c r="G450" i="23"/>
  <c r="A451" i="23"/>
  <c r="K450" i="23"/>
  <c r="C454" i="18" s="1"/>
  <c r="C450" i="14"/>
  <c r="D449" i="14"/>
  <c r="E449" i="14" s="1"/>
  <c r="R450" i="14"/>
  <c r="J451" i="14"/>
  <c r="K451" i="14" s="1"/>
  <c r="G449" i="14"/>
  <c r="H449" i="14" s="1"/>
  <c r="I451" i="23" l="1"/>
  <c r="J451" i="23"/>
  <c r="L453" i="14"/>
  <c r="I453" i="14"/>
  <c r="AA450" i="20"/>
  <c r="E449" i="23"/>
  <c r="H451" i="23"/>
  <c r="C451" i="14"/>
  <c r="D451" i="14" s="1"/>
  <c r="E451" i="14" s="1"/>
  <c r="O452" i="14"/>
  <c r="P452" i="14" s="1"/>
  <c r="Q452" i="14" s="1"/>
  <c r="E454" i="16"/>
  <c r="M452" i="14"/>
  <c r="N452" i="14" s="1"/>
  <c r="AD449" i="20"/>
  <c r="D455" i="16"/>
  <c r="B455" i="16"/>
  <c r="A455" i="16"/>
  <c r="C456" i="16"/>
  <c r="S450" i="14"/>
  <c r="T450" i="14" s="1"/>
  <c r="J452" i="14"/>
  <c r="K452" i="14" s="1"/>
  <c r="AC449" i="20"/>
  <c r="O451" i="14"/>
  <c r="R451" i="14"/>
  <c r="G454" i="4"/>
  <c r="H454" i="4"/>
  <c r="AB450" i="20"/>
  <c r="AC450" i="20" s="1"/>
  <c r="D450" i="14"/>
  <c r="E450" i="14" s="1"/>
  <c r="C450" i="23"/>
  <c r="G451" i="23"/>
  <c r="F451" i="23"/>
  <c r="K451" i="23"/>
  <c r="C455" i="18" s="1"/>
  <c r="A452" i="23"/>
  <c r="F452" i="14"/>
  <c r="B455" i="18"/>
  <c r="A456" i="18"/>
  <c r="I452" i="23" l="1"/>
  <c r="J452" i="23"/>
  <c r="L454" i="14"/>
  <c r="I454" i="14"/>
  <c r="AA451" i="20"/>
  <c r="E450" i="23"/>
  <c r="H452" i="23"/>
  <c r="R452" i="14"/>
  <c r="S452" i="14" s="1"/>
  <c r="T452" i="14" s="1"/>
  <c r="E455" i="16"/>
  <c r="F453" i="14"/>
  <c r="G453" i="14" s="1"/>
  <c r="H453" i="14" s="1"/>
  <c r="G452" i="14"/>
  <c r="H452" i="14" s="1"/>
  <c r="S451" i="14"/>
  <c r="T451" i="14" s="1"/>
  <c r="A456" i="16"/>
  <c r="D456" i="16"/>
  <c r="B456" i="16"/>
  <c r="C457" i="16"/>
  <c r="M453" i="14"/>
  <c r="N453" i="14" s="1"/>
  <c r="AD450" i="20"/>
  <c r="AE450" i="20" s="1"/>
  <c r="AB451" i="20"/>
  <c r="P451" i="14"/>
  <c r="Q451" i="14" s="1"/>
  <c r="G455" i="4"/>
  <c r="H455" i="4"/>
  <c r="J453" i="14"/>
  <c r="K453" i="14" s="1"/>
  <c r="F452" i="23"/>
  <c r="G452" i="23"/>
  <c r="C451" i="23"/>
  <c r="A453" i="23"/>
  <c r="K452" i="23"/>
  <c r="C456" i="18" s="1"/>
  <c r="B456" i="18"/>
  <c r="A457" i="18"/>
  <c r="AE449" i="20"/>
  <c r="C452" i="14"/>
  <c r="I453" i="23" l="1"/>
  <c r="J453" i="23"/>
  <c r="L455" i="14"/>
  <c r="I455" i="14"/>
  <c r="E451" i="23"/>
  <c r="H453" i="23"/>
  <c r="E456" i="16"/>
  <c r="O454" i="14"/>
  <c r="P454" i="14" s="1"/>
  <c r="Q454" i="14" s="1"/>
  <c r="C453" i="14"/>
  <c r="D453" i="14" s="1"/>
  <c r="E453" i="14" s="1"/>
  <c r="F454" i="14"/>
  <c r="G454" i="14" s="1"/>
  <c r="H454" i="14" s="1"/>
  <c r="C452" i="23"/>
  <c r="G453" i="23"/>
  <c r="F453" i="23"/>
  <c r="K453" i="23"/>
  <c r="C457" i="18" s="1"/>
  <c r="A454" i="23"/>
  <c r="D457" i="16"/>
  <c r="B457" i="16"/>
  <c r="A457" i="16"/>
  <c r="C458" i="16"/>
  <c r="J454" i="14"/>
  <c r="K454" i="14" s="1"/>
  <c r="H456" i="4"/>
  <c r="G456" i="4"/>
  <c r="M454" i="14"/>
  <c r="N454" i="14" s="1"/>
  <c r="D452" i="14"/>
  <c r="E452" i="14" s="1"/>
  <c r="AC451" i="20"/>
  <c r="AD451" i="20"/>
  <c r="B457" i="18"/>
  <c r="A458" i="18"/>
  <c r="O453" i="14"/>
  <c r="R453" i="14"/>
  <c r="AB452" i="20"/>
  <c r="AC452" i="20" s="1"/>
  <c r="I454" i="23" l="1"/>
  <c r="J454" i="23"/>
  <c r="I456" i="14"/>
  <c r="AA452" i="20"/>
  <c r="E457" i="16"/>
  <c r="E452" i="23"/>
  <c r="H454" i="23"/>
  <c r="C454" i="14"/>
  <c r="D454" i="14" s="1"/>
  <c r="E454" i="14" s="1"/>
  <c r="R454" i="14"/>
  <c r="S454" i="14" s="1"/>
  <c r="T454" i="14" s="1"/>
  <c r="O455" i="14"/>
  <c r="AE451" i="20"/>
  <c r="G457" i="4"/>
  <c r="H457" i="4"/>
  <c r="AB453" i="20"/>
  <c r="AD452" i="20"/>
  <c r="AE452" i="20" s="1"/>
  <c r="L456" i="14"/>
  <c r="S453" i="14"/>
  <c r="T453" i="14" s="1"/>
  <c r="D458" i="16"/>
  <c r="B458" i="16"/>
  <c r="A458" i="16"/>
  <c r="C459" i="16"/>
  <c r="M455" i="14"/>
  <c r="N455" i="14" s="1"/>
  <c r="G454" i="23"/>
  <c r="F454" i="23"/>
  <c r="C453" i="23"/>
  <c r="A455" i="23"/>
  <c r="K454" i="23"/>
  <c r="C458" i="18" s="1"/>
  <c r="P453" i="14"/>
  <c r="Q453" i="14" s="1"/>
  <c r="B458" i="18"/>
  <c r="A459" i="18"/>
  <c r="J455" i="14"/>
  <c r="K455" i="14" s="1"/>
  <c r="I455" i="23" l="1"/>
  <c r="J455" i="23"/>
  <c r="AA453" i="20"/>
  <c r="L457" i="14"/>
  <c r="E453" i="23"/>
  <c r="H455" i="23"/>
  <c r="R455" i="14"/>
  <c r="S455" i="14" s="1"/>
  <c r="T455" i="14" s="1"/>
  <c r="E458" i="16"/>
  <c r="F456" i="14"/>
  <c r="G456" i="14" s="1"/>
  <c r="H456" i="14" s="1"/>
  <c r="O456" i="14"/>
  <c r="P456" i="14" s="1"/>
  <c r="Q456" i="14" s="1"/>
  <c r="AD453" i="20"/>
  <c r="AB454" i="20"/>
  <c r="AC454" i="20" s="1"/>
  <c r="A459" i="16"/>
  <c r="D459" i="16"/>
  <c r="B459" i="16"/>
  <c r="C460" i="16"/>
  <c r="F455" i="14"/>
  <c r="C455" i="14"/>
  <c r="I457" i="14"/>
  <c r="M456" i="14"/>
  <c r="N456" i="14" s="1"/>
  <c r="AC453" i="20"/>
  <c r="B459" i="18"/>
  <c r="A460" i="18"/>
  <c r="J456" i="14"/>
  <c r="K456" i="14" s="1"/>
  <c r="F455" i="23"/>
  <c r="C454" i="23"/>
  <c r="G455" i="23"/>
  <c r="K455" i="23"/>
  <c r="C459" i="18" s="1"/>
  <c r="A456" i="23"/>
  <c r="G458" i="4"/>
  <c r="H458" i="4"/>
  <c r="P455" i="14"/>
  <c r="Q455" i="14" s="1"/>
  <c r="I456" i="23" l="1"/>
  <c r="J456" i="23"/>
  <c r="AA454" i="20"/>
  <c r="L458" i="14"/>
  <c r="E454" i="23"/>
  <c r="H456" i="23"/>
  <c r="R456" i="14"/>
  <c r="S456" i="14" s="1"/>
  <c r="T456" i="14" s="1"/>
  <c r="E459" i="16"/>
  <c r="C456" i="14"/>
  <c r="D456" i="14" s="1"/>
  <c r="E456" i="14" s="1"/>
  <c r="C455" i="23"/>
  <c r="F456" i="23"/>
  <c r="G456" i="23"/>
  <c r="A457" i="23"/>
  <c r="K456" i="23"/>
  <c r="C460" i="18" s="1"/>
  <c r="H459" i="4"/>
  <c r="G459" i="4"/>
  <c r="B460" i="18"/>
  <c r="A461" i="18"/>
  <c r="D455" i="14"/>
  <c r="E455" i="14" s="1"/>
  <c r="AD454" i="20"/>
  <c r="AE454" i="20" s="1"/>
  <c r="M457" i="14"/>
  <c r="N457" i="14" s="1"/>
  <c r="I458" i="14"/>
  <c r="J457" i="14"/>
  <c r="K457" i="14" s="1"/>
  <c r="G455" i="14"/>
  <c r="H455" i="14" s="1"/>
  <c r="AB455" i="20"/>
  <c r="AC455" i="20" s="1"/>
  <c r="AE453" i="20"/>
  <c r="D460" i="16"/>
  <c r="A460" i="16"/>
  <c r="B460" i="16"/>
  <c r="C461" i="16"/>
  <c r="F457" i="14"/>
  <c r="I457" i="23" l="1"/>
  <c r="J457" i="23"/>
  <c r="AA455" i="20"/>
  <c r="L459" i="14"/>
  <c r="AA456" i="20"/>
  <c r="E455" i="23"/>
  <c r="H457" i="23"/>
  <c r="C457" i="14"/>
  <c r="D457" i="14" s="1"/>
  <c r="E457" i="14" s="1"/>
  <c r="E460" i="16"/>
  <c r="I459" i="14"/>
  <c r="J458" i="14"/>
  <c r="K458" i="14" s="1"/>
  <c r="G457" i="14"/>
  <c r="H457" i="14" s="1"/>
  <c r="B461" i="18"/>
  <c r="A462" i="18"/>
  <c r="M458" i="14"/>
  <c r="N458" i="14" s="1"/>
  <c r="O458" i="14"/>
  <c r="F458" i="14"/>
  <c r="D461" i="16"/>
  <c r="B461" i="16"/>
  <c r="A461" i="16"/>
  <c r="C462" i="16"/>
  <c r="O457" i="14"/>
  <c r="R457" i="14"/>
  <c r="AD455" i="20"/>
  <c r="AE455" i="20" s="1"/>
  <c r="H460" i="4"/>
  <c r="G460" i="4"/>
  <c r="F457" i="23"/>
  <c r="G457" i="23"/>
  <c r="C456" i="23"/>
  <c r="K457" i="23"/>
  <c r="C461" i="18" s="1"/>
  <c r="A458" i="23"/>
  <c r="AB456" i="20"/>
  <c r="AC456" i="20" s="1"/>
  <c r="I458" i="23" l="1"/>
  <c r="J458" i="23"/>
  <c r="I460" i="14"/>
  <c r="L460" i="14"/>
  <c r="AA457" i="20"/>
  <c r="E456" i="23"/>
  <c r="H458" i="23"/>
  <c r="C458" i="14"/>
  <c r="D458" i="14" s="1"/>
  <c r="E458" i="14" s="1"/>
  <c r="S457" i="14"/>
  <c r="T457" i="14" s="1"/>
  <c r="G458" i="14"/>
  <c r="H458" i="14" s="1"/>
  <c r="R458" i="14"/>
  <c r="G461" i="4"/>
  <c r="H461" i="4"/>
  <c r="AB457" i="20"/>
  <c r="M459" i="14"/>
  <c r="N459" i="14" s="1"/>
  <c r="P457" i="14"/>
  <c r="Q457" i="14" s="1"/>
  <c r="P458" i="14"/>
  <c r="Q458" i="14" s="1"/>
  <c r="AD456" i="20"/>
  <c r="AE456" i="20" s="1"/>
  <c r="C457" i="23"/>
  <c r="G458" i="23"/>
  <c r="F458" i="23"/>
  <c r="A459" i="23"/>
  <c r="K458" i="23"/>
  <c r="C462" i="18" s="1"/>
  <c r="B462" i="16"/>
  <c r="D462" i="16"/>
  <c r="A462" i="16"/>
  <c r="C463" i="16"/>
  <c r="E461" i="16"/>
  <c r="B462" i="18"/>
  <c r="A463" i="18"/>
  <c r="J459" i="14"/>
  <c r="K459" i="14" s="1"/>
  <c r="I459" i="23" l="1"/>
  <c r="J459" i="23"/>
  <c r="L461" i="14"/>
  <c r="E457" i="23"/>
  <c r="H459" i="23"/>
  <c r="O460" i="14"/>
  <c r="P460" i="14" s="1"/>
  <c r="Q460" i="14" s="1"/>
  <c r="O459" i="14"/>
  <c r="R459" i="14"/>
  <c r="B463" i="18"/>
  <c r="A464" i="18"/>
  <c r="I461" i="14"/>
  <c r="F459" i="14"/>
  <c r="C459" i="14"/>
  <c r="F459" i="23"/>
  <c r="G459" i="23"/>
  <c r="C458" i="23"/>
  <c r="K459" i="23"/>
  <c r="C463" i="18" s="1"/>
  <c r="A460" i="23"/>
  <c r="S458" i="14"/>
  <c r="T458" i="14" s="1"/>
  <c r="J460" i="14"/>
  <c r="K460" i="14" s="1"/>
  <c r="G462" i="4"/>
  <c r="H462" i="4"/>
  <c r="B463" i="16"/>
  <c r="D463" i="16"/>
  <c r="A463" i="16"/>
  <c r="C464" i="16"/>
  <c r="AC457" i="20"/>
  <c r="M460" i="14"/>
  <c r="N460" i="14" s="1"/>
  <c r="F460" i="14"/>
  <c r="AD457" i="20"/>
  <c r="AB458" i="20"/>
  <c r="AC458" i="20" s="1"/>
  <c r="E462" i="16"/>
  <c r="I460" i="23" l="1"/>
  <c r="J460" i="23"/>
  <c r="AA458" i="20"/>
  <c r="I462" i="14"/>
  <c r="E458" i="23"/>
  <c r="H460" i="23"/>
  <c r="R460" i="14"/>
  <c r="S460" i="14" s="1"/>
  <c r="T460" i="14" s="1"/>
  <c r="E463" i="16"/>
  <c r="F461" i="14"/>
  <c r="G461" i="14" s="1"/>
  <c r="H461" i="14" s="1"/>
  <c r="C460" i="14"/>
  <c r="D460" i="14" s="1"/>
  <c r="E460" i="14" s="1"/>
  <c r="G460" i="23"/>
  <c r="C459" i="23"/>
  <c r="F460" i="23"/>
  <c r="K460" i="23"/>
  <c r="C464" i="18" s="1"/>
  <c r="A461" i="23"/>
  <c r="G459" i="14"/>
  <c r="H459" i="14" s="1"/>
  <c r="B464" i="18"/>
  <c r="A465" i="18"/>
  <c r="AE457" i="20"/>
  <c r="G463" i="4"/>
  <c r="H463" i="4"/>
  <c r="G460" i="14"/>
  <c r="H460" i="14" s="1"/>
  <c r="S459" i="14"/>
  <c r="T459" i="14" s="1"/>
  <c r="AD458" i="20"/>
  <c r="AE458" i="20" s="1"/>
  <c r="L462" i="14"/>
  <c r="M461" i="14"/>
  <c r="N461" i="14" s="1"/>
  <c r="A464" i="16"/>
  <c r="D464" i="16"/>
  <c r="B464" i="16"/>
  <c r="C465" i="16"/>
  <c r="AB459" i="20"/>
  <c r="AC459" i="20" s="1"/>
  <c r="D459" i="14"/>
  <c r="E459" i="14" s="1"/>
  <c r="J461" i="14"/>
  <c r="K461" i="14" s="1"/>
  <c r="P459" i="14"/>
  <c r="Q459" i="14" s="1"/>
  <c r="AA459" i="20" l="1"/>
  <c r="I461" i="23"/>
  <c r="J461" i="23"/>
  <c r="E459" i="23"/>
  <c r="H461" i="23"/>
  <c r="C461" i="14"/>
  <c r="D461" i="14" s="1"/>
  <c r="E461" i="14" s="1"/>
  <c r="F462" i="14"/>
  <c r="G462" i="14" s="1"/>
  <c r="H462" i="14" s="1"/>
  <c r="E464" i="16"/>
  <c r="AD459" i="20"/>
  <c r="AE459" i="20" s="1"/>
  <c r="L463" i="14"/>
  <c r="M462" i="14"/>
  <c r="N462" i="14" s="1"/>
  <c r="I463" i="14"/>
  <c r="AB460" i="20"/>
  <c r="AC460" i="20" s="1"/>
  <c r="O461" i="14"/>
  <c r="R461" i="14"/>
  <c r="B465" i="18"/>
  <c r="A466" i="18"/>
  <c r="C460" i="23"/>
  <c r="F461" i="23"/>
  <c r="G461" i="23"/>
  <c r="K461" i="23"/>
  <c r="C465" i="18" s="1"/>
  <c r="A462" i="23"/>
  <c r="J462" i="14"/>
  <c r="K462" i="14" s="1"/>
  <c r="G464" i="4"/>
  <c r="H464" i="4"/>
  <c r="D465" i="16"/>
  <c r="B465" i="16"/>
  <c r="A465" i="16"/>
  <c r="C466" i="16"/>
  <c r="I462" i="23" l="1"/>
  <c r="J462" i="23"/>
  <c r="I464" i="14"/>
  <c r="AA460" i="20"/>
  <c r="AA461" i="20"/>
  <c r="C462" i="14"/>
  <c r="D462" i="14" s="1"/>
  <c r="E462" i="14" s="1"/>
  <c r="E460" i="23"/>
  <c r="H462" i="23"/>
  <c r="E465" i="16"/>
  <c r="B466" i="18"/>
  <c r="A467" i="18"/>
  <c r="AD460" i="20"/>
  <c r="AE460" i="20" s="1"/>
  <c r="L464" i="14"/>
  <c r="J463" i="14"/>
  <c r="K463" i="14" s="1"/>
  <c r="F462" i="23"/>
  <c r="C461" i="23"/>
  <c r="G462" i="23"/>
  <c r="A463" i="23"/>
  <c r="K462" i="23"/>
  <c r="C466" i="18" s="1"/>
  <c r="S461" i="14"/>
  <c r="T461" i="14" s="1"/>
  <c r="M463" i="14"/>
  <c r="N463" i="14" s="1"/>
  <c r="B466" i="16"/>
  <c r="D466" i="16"/>
  <c r="A466" i="16"/>
  <c r="C467" i="16"/>
  <c r="G465" i="4"/>
  <c r="H465" i="4"/>
  <c r="O462" i="14"/>
  <c r="R462" i="14"/>
  <c r="P461" i="14"/>
  <c r="Q461" i="14" s="1"/>
  <c r="F463" i="14"/>
  <c r="AB461" i="20"/>
  <c r="AC461" i="20" s="1"/>
  <c r="I463" i="23" l="1"/>
  <c r="J463" i="23"/>
  <c r="L465" i="14"/>
  <c r="I465" i="14"/>
  <c r="E461" i="23"/>
  <c r="H463" i="23"/>
  <c r="O464" i="14"/>
  <c r="P464" i="14" s="1"/>
  <c r="Q464" i="14" s="1"/>
  <c r="C463" i="14"/>
  <c r="D463" i="14" s="1"/>
  <c r="E463" i="14" s="1"/>
  <c r="E466" i="16"/>
  <c r="O463" i="14"/>
  <c r="P463" i="14" s="1"/>
  <c r="Q463" i="14" s="1"/>
  <c r="R463" i="14"/>
  <c r="S463" i="14" s="1"/>
  <c r="T463" i="14" s="1"/>
  <c r="C462" i="23"/>
  <c r="G463" i="23"/>
  <c r="F463" i="23"/>
  <c r="A464" i="23"/>
  <c r="K463" i="23"/>
  <c r="C467" i="18" s="1"/>
  <c r="S462" i="14"/>
  <c r="T462" i="14" s="1"/>
  <c r="G463" i="14"/>
  <c r="H463" i="14" s="1"/>
  <c r="P462" i="14"/>
  <c r="Q462" i="14" s="1"/>
  <c r="G466" i="4"/>
  <c r="H466" i="4"/>
  <c r="B467" i="18"/>
  <c r="A468" i="18"/>
  <c r="F464" i="14"/>
  <c r="AD461" i="20"/>
  <c r="AE461" i="20" s="1"/>
  <c r="D467" i="16"/>
  <c r="B467" i="16"/>
  <c r="A467" i="16"/>
  <c r="C468" i="16"/>
  <c r="M464" i="14"/>
  <c r="N464" i="14" s="1"/>
  <c r="AB462" i="20"/>
  <c r="AC462" i="20" s="1"/>
  <c r="J464" i="14"/>
  <c r="K464" i="14" s="1"/>
  <c r="I464" i="23" l="1"/>
  <c r="J464" i="23"/>
  <c r="AA462" i="20"/>
  <c r="I466" i="14"/>
  <c r="R464" i="14"/>
  <c r="S464" i="14" s="1"/>
  <c r="T464" i="14" s="1"/>
  <c r="E462" i="23"/>
  <c r="H464" i="23"/>
  <c r="E467" i="16"/>
  <c r="O465" i="14"/>
  <c r="P465" i="14" s="1"/>
  <c r="Q465" i="14" s="1"/>
  <c r="M465" i="14"/>
  <c r="N465" i="14" s="1"/>
  <c r="B468" i="18"/>
  <c r="A469" i="18"/>
  <c r="C464" i="14"/>
  <c r="G464" i="23"/>
  <c r="F464" i="23"/>
  <c r="C463" i="23"/>
  <c r="K464" i="23"/>
  <c r="C468" i="18" s="1"/>
  <c r="A465" i="23"/>
  <c r="AD462" i="20"/>
  <c r="AE462" i="20" s="1"/>
  <c r="L466" i="14"/>
  <c r="B468" i="16"/>
  <c r="D468" i="16"/>
  <c r="A468" i="16"/>
  <c r="C469" i="16"/>
  <c r="F465" i="14"/>
  <c r="J465" i="14"/>
  <c r="K465" i="14" s="1"/>
  <c r="G464" i="14"/>
  <c r="H464" i="14" s="1"/>
  <c r="AB463" i="20"/>
  <c r="AC463" i="20" s="1"/>
  <c r="G467" i="4"/>
  <c r="H467" i="4"/>
  <c r="I465" i="23" l="1"/>
  <c r="J465" i="23"/>
  <c r="AA463" i="20"/>
  <c r="L467" i="14"/>
  <c r="AA464" i="20"/>
  <c r="E463" i="23"/>
  <c r="H465" i="23"/>
  <c r="R465" i="14"/>
  <c r="S465" i="14" s="1"/>
  <c r="T465" i="14" s="1"/>
  <c r="C465" i="14"/>
  <c r="D465" i="14" s="1"/>
  <c r="E465" i="14" s="1"/>
  <c r="O466" i="14"/>
  <c r="P466" i="14" s="1"/>
  <c r="Q466" i="14" s="1"/>
  <c r="B469" i="16"/>
  <c r="A469" i="16"/>
  <c r="D469" i="16"/>
  <c r="C470" i="16"/>
  <c r="AD463" i="20"/>
  <c r="AE463" i="20" s="1"/>
  <c r="C464" i="23"/>
  <c r="G465" i="23"/>
  <c r="F465" i="23"/>
  <c r="K465" i="23"/>
  <c r="C469" i="18" s="1"/>
  <c r="A466" i="23"/>
  <c r="H468" i="4"/>
  <c r="G468" i="4"/>
  <c r="G465" i="14"/>
  <c r="H465" i="14" s="1"/>
  <c r="F466" i="14"/>
  <c r="AB464" i="20"/>
  <c r="J466" i="14"/>
  <c r="K466" i="14" s="1"/>
  <c r="B469" i="18"/>
  <c r="A470" i="18"/>
  <c r="I467" i="14"/>
  <c r="E468" i="16"/>
  <c r="M466" i="14"/>
  <c r="N466" i="14" s="1"/>
  <c r="D464" i="14"/>
  <c r="E464" i="14" s="1"/>
  <c r="I466" i="23" l="1"/>
  <c r="J466" i="23"/>
  <c r="L468" i="14"/>
  <c r="E464" i="23"/>
  <c r="H466" i="23"/>
  <c r="C466" i="14"/>
  <c r="D466" i="14" s="1"/>
  <c r="E466" i="14" s="1"/>
  <c r="R466" i="14"/>
  <c r="S466" i="14" s="1"/>
  <c r="T466" i="14" s="1"/>
  <c r="F467" i="14"/>
  <c r="G467" i="14" s="1"/>
  <c r="H467" i="14" s="1"/>
  <c r="E469" i="16"/>
  <c r="B470" i="18"/>
  <c r="A471" i="18"/>
  <c r="I468" i="14"/>
  <c r="AC464" i="20"/>
  <c r="C465" i="23"/>
  <c r="F466" i="23"/>
  <c r="G466" i="23"/>
  <c r="K466" i="23"/>
  <c r="C470" i="18" s="1"/>
  <c r="A467" i="23"/>
  <c r="B470" i="16"/>
  <c r="D470" i="16"/>
  <c r="A470" i="16"/>
  <c r="C471" i="16"/>
  <c r="AD464" i="20"/>
  <c r="AB465" i="20"/>
  <c r="G469" i="4"/>
  <c r="H469" i="4"/>
  <c r="J467" i="14"/>
  <c r="K467" i="14" s="1"/>
  <c r="G466" i="14"/>
  <c r="H466" i="14" s="1"/>
  <c r="M467" i="14"/>
  <c r="N467" i="14" s="1"/>
  <c r="I467" i="23" l="1"/>
  <c r="J467" i="23"/>
  <c r="I469" i="14"/>
  <c r="AA465" i="20"/>
  <c r="AA466" i="20"/>
  <c r="E465" i="23"/>
  <c r="H467" i="23"/>
  <c r="O467" i="14"/>
  <c r="P467" i="14" s="1"/>
  <c r="Q467" i="14" s="1"/>
  <c r="R467" i="14"/>
  <c r="S467" i="14" s="1"/>
  <c r="T467" i="14" s="1"/>
  <c r="E470" i="16"/>
  <c r="C467" i="14"/>
  <c r="D467" i="14" s="1"/>
  <c r="E467" i="14" s="1"/>
  <c r="AC465" i="20"/>
  <c r="D471" i="16"/>
  <c r="B471" i="16"/>
  <c r="A471" i="16"/>
  <c r="C472" i="16"/>
  <c r="F467" i="23"/>
  <c r="C466" i="23"/>
  <c r="G467" i="23"/>
  <c r="A468" i="23"/>
  <c r="K467" i="23"/>
  <c r="C471" i="18" s="1"/>
  <c r="M468" i="14"/>
  <c r="N468" i="14" s="1"/>
  <c r="AB466" i="20"/>
  <c r="AC466" i="20" s="1"/>
  <c r="AE464" i="20"/>
  <c r="O468" i="14"/>
  <c r="J468" i="14"/>
  <c r="K468" i="14" s="1"/>
  <c r="B471" i="18"/>
  <c r="A472" i="18"/>
  <c r="G470" i="4"/>
  <c r="H470" i="4"/>
  <c r="AD465" i="20"/>
  <c r="L469" i="14"/>
  <c r="F468" i="14"/>
  <c r="I468" i="23" l="1"/>
  <c r="J468" i="23"/>
  <c r="L470" i="14"/>
  <c r="I470" i="14"/>
  <c r="E466" i="23"/>
  <c r="H468" i="23"/>
  <c r="R468" i="14"/>
  <c r="S468" i="14" s="1"/>
  <c r="T468" i="14" s="1"/>
  <c r="E471" i="16"/>
  <c r="F469" i="14"/>
  <c r="G469" i="14" s="1"/>
  <c r="H469" i="14" s="1"/>
  <c r="AE465" i="20"/>
  <c r="O469" i="14"/>
  <c r="B472" i="18"/>
  <c r="A473" i="18"/>
  <c r="C468" i="14"/>
  <c r="G468" i="23"/>
  <c r="C467" i="23"/>
  <c r="F468" i="23"/>
  <c r="K468" i="23"/>
  <c r="C472" i="18" s="1"/>
  <c r="A469" i="23"/>
  <c r="M469" i="14"/>
  <c r="N469" i="14" s="1"/>
  <c r="P468" i="14"/>
  <c r="Q468" i="14" s="1"/>
  <c r="AD466" i="20"/>
  <c r="AE466" i="20" s="1"/>
  <c r="G468" i="14"/>
  <c r="H468" i="14" s="1"/>
  <c r="AB467" i="20"/>
  <c r="AC467" i="20" s="1"/>
  <c r="J469" i="14"/>
  <c r="K469" i="14" s="1"/>
  <c r="G471" i="4"/>
  <c r="H471" i="4"/>
  <c r="D472" i="16"/>
  <c r="B472" i="16"/>
  <c r="A472" i="16"/>
  <c r="C473" i="16"/>
  <c r="I469" i="23" l="1"/>
  <c r="J469" i="23"/>
  <c r="AA467" i="20"/>
  <c r="L471" i="14"/>
  <c r="E467" i="23"/>
  <c r="H469" i="23"/>
  <c r="R469" i="14"/>
  <c r="S469" i="14" s="1"/>
  <c r="T469" i="14" s="1"/>
  <c r="C469" i="14"/>
  <c r="D469" i="14" s="1"/>
  <c r="E469" i="14" s="1"/>
  <c r="F470" i="14"/>
  <c r="G470" i="14" s="1"/>
  <c r="H470" i="14" s="1"/>
  <c r="E472" i="16"/>
  <c r="H472" i="4"/>
  <c r="G472" i="4"/>
  <c r="I471" i="14"/>
  <c r="AD467" i="20"/>
  <c r="AE467" i="20" s="1"/>
  <c r="O470" i="14"/>
  <c r="A473" i="16"/>
  <c r="D473" i="16"/>
  <c r="B473" i="16"/>
  <c r="C474" i="16"/>
  <c r="D468" i="14"/>
  <c r="E468" i="14" s="1"/>
  <c r="M470" i="14"/>
  <c r="N470" i="14" s="1"/>
  <c r="G469" i="23"/>
  <c r="F469" i="23"/>
  <c r="C468" i="23"/>
  <c r="K469" i="23"/>
  <c r="C473" i="18" s="1"/>
  <c r="A470" i="23"/>
  <c r="B473" i="18"/>
  <c r="A474" i="18"/>
  <c r="AB468" i="20"/>
  <c r="AC468" i="20" s="1"/>
  <c r="P469" i="14"/>
  <c r="Q469" i="14" s="1"/>
  <c r="J470" i="14"/>
  <c r="K470" i="14" s="1"/>
  <c r="I470" i="23" l="1"/>
  <c r="J470" i="23"/>
  <c r="AA468" i="20"/>
  <c r="I472" i="14"/>
  <c r="C470" i="14"/>
  <c r="D470" i="14" s="1"/>
  <c r="E470" i="14" s="1"/>
  <c r="E468" i="23"/>
  <c r="H470" i="23"/>
  <c r="F471" i="14"/>
  <c r="G471" i="14" s="1"/>
  <c r="H471" i="14" s="1"/>
  <c r="E473" i="16"/>
  <c r="R470" i="14"/>
  <c r="S470" i="14" s="1"/>
  <c r="T470" i="14" s="1"/>
  <c r="M471" i="14"/>
  <c r="N471" i="14" s="1"/>
  <c r="B474" i="18"/>
  <c r="A475" i="18"/>
  <c r="J471" i="14"/>
  <c r="K471" i="14" s="1"/>
  <c r="AD468" i="20"/>
  <c r="AE468" i="20" s="1"/>
  <c r="L472" i="14"/>
  <c r="G470" i="23"/>
  <c r="C469" i="23"/>
  <c r="F470" i="23"/>
  <c r="A471" i="23"/>
  <c r="K470" i="23"/>
  <c r="C474" i="18" s="1"/>
  <c r="B474" i="16"/>
  <c r="D474" i="16"/>
  <c r="A474" i="16"/>
  <c r="C475" i="16"/>
  <c r="AB469" i="20"/>
  <c r="AC469" i="20" s="1"/>
  <c r="P470" i="14"/>
  <c r="Q470" i="14" s="1"/>
  <c r="G473" i="4"/>
  <c r="H473" i="4"/>
  <c r="I471" i="23" l="1"/>
  <c r="J471" i="23"/>
  <c r="AA469" i="20"/>
  <c r="I473" i="14"/>
  <c r="AA470" i="20"/>
  <c r="C471" i="14"/>
  <c r="D471" i="14" s="1"/>
  <c r="E471" i="14" s="1"/>
  <c r="E469" i="23"/>
  <c r="H471" i="23"/>
  <c r="E474" i="16"/>
  <c r="O471" i="14"/>
  <c r="P471" i="14" s="1"/>
  <c r="Q471" i="14" s="1"/>
  <c r="R471" i="14"/>
  <c r="S471" i="14" s="1"/>
  <c r="T471" i="14" s="1"/>
  <c r="M472" i="14"/>
  <c r="N472" i="14" s="1"/>
  <c r="AB470" i="20"/>
  <c r="AC470" i="20" s="1"/>
  <c r="G474" i="4"/>
  <c r="H474" i="4"/>
  <c r="G471" i="23"/>
  <c r="F471" i="23"/>
  <c r="C470" i="23"/>
  <c r="A472" i="23"/>
  <c r="K471" i="23"/>
  <c r="C475" i="18" s="1"/>
  <c r="F472" i="14"/>
  <c r="AD469" i="20"/>
  <c r="AE469" i="20" s="1"/>
  <c r="L473" i="14"/>
  <c r="A475" i="16"/>
  <c r="B475" i="16"/>
  <c r="D475" i="16"/>
  <c r="C476" i="16"/>
  <c r="B475" i="18"/>
  <c r="A476" i="18"/>
  <c r="J472" i="14"/>
  <c r="K472" i="14" s="1"/>
  <c r="I472" i="23" l="1"/>
  <c r="J472" i="23"/>
  <c r="L474" i="14"/>
  <c r="I474" i="14"/>
  <c r="E470" i="23"/>
  <c r="H472" i="23"/>
  <c r="D476" i="16"/>
  <c r="A476" i="16"/>
  <c r="B476" i="16"/>
  <c r="C477" i="16"/>
  <c r="AB471" i="20"/>
  <c r="AC471" i="20" s="1"/>
  <c r="G472" i="14"/>
  <c r="H472" i="14" s="1"/>
  <c r="AD470" i="20"/>
  <c r="AE470" i="20" s="1"/>
  <c r="C472" i="14"/>
  <c r="B476" i="18"/>
  <c r="A477" i="18"/>
  <c r="H475" i="4"/>
  <c r="G475" i="4"/>
  <c r="J473" i="14"/>
  <c r="K473" i="14" s="1"/>
  <c r="O472" i="14"/>
  <c r="R472" i="14"/>
  <c r="E475" i="16"/>
  <c r="F472" i="23"/>
  <c r="G472" i="23"/>
  <c r="C471" i="23"/>
  <c r="K472" i="23"/>
  <c r="C476" i="18" s="1"/>
  <c r="A473" i="23"/>
  <c r="M473" i="14"/>
  <c r="N473" i="14" s="1"/>
  <c r="O473" i="14"/>
  <c r="F473" i="14"/>
  <c r="I473" i="23" l="1"/>
  <c r="J473" i="23"/>
  <c r="AA471" i="20"/>
  <c r="I475" i="14"/>
  <c r="E471" i="23"/>
  <c r="H473" i="23"/>
  <c r="O474" i="14"/>
  <c r="P474" i="14" s="1"/>
  <c r="Q474" i="14" s="1"/>
  <c r="C473" i="14"/>
  <c r="D473" i="14" s="1"/>
  <c r="E473" i="14" s="1"/>
  <c r="S472" i="14"/>
  <c r="T472" i="14" s="1"/>
  <c r="H476" i="4"/>
  <c r="G476" i="4"/>
  <c r="D472" i="14"/>
  <c r="E472" i="14" s="1"/>
  <c r="F474" i="14"/>
  <c r="B477" i="16"/>
  <c r="D477" i="16"/>
  <c r="A477" i="16"/>
  <c r="C478" i="16"/>
  <c r="G473" i="14"/>
  <c r="H473" i="14" s="1"/>
  <c r="G473" i="23"/>
  <c r="C472" i="23"/>
  <c r="F473" i="23"/>
  <c r="K473" i="23"/>
  <c r="C477" i="18" s="1"/>
  <c r="A474" i="23"/>
  <c r="R473" i="14"/>
  <c r="P472" i="14"/>
  <c r="Q472" i="14" s="1"/>
  <c r="J474" i="14"/>
  <c r="K474" i="14" s="1"/>
  <c r="AD471" i="20"/>
  <c r="AE471" i="20" s="1"/>
  <c r="L475" i="14"/>
  <c r="B477" i="18"/>
  <c r="A478" i="18"/>
  <c r="M474" i="14"/>
  <c r="N474" i="14" s="1"/>
  <c r="E476" i="16"/>
  <c r="AB472" i="20"/>
  <c r="AC472" i="20" s="1"/>
  <c r="P473" i="14"/>
  <c r="Q473" i="14" s="1"/>
  <c r="I474" i="23" l="1"/>
  <c r="J474" i="23"/>
  <c r="AA472" i="20"/>
  <c r="L476" i="14"/>
  <c r="C474" i="14"/>
  <c r="D474" i="14" s="1"/>
  <c r="E474" i="14" s="1"/>
  <c r="E472" i="23"/>
  <c r="H474" i="23"/>
  <c r="R474" i="14"/>
  <c r="S474" i="14" s="1"/>
  <c r="T474" i="14" s="1"/>
  <c r="F475" i="14"/>
  <c r="G475" i="14" s="1"/>
  <c r="H475" i="14" s="1"/>
  <c r="E477" i="16"/>
  <c r="M475" i="14"/>
  <c r="N475" i="14" s="1"/>
  <c r="C473" i="23"/>
  <c r="G474" i="23"/>
  <c r="F474" i="23"/>
  <c r="A475" i="23"/>
  <c r="K474" i="23"/>
  <c r="C478" i="18" s="1"/>
  <c r="D478" i="16"/>
  <c r="B478" i="16"/>
  <c r="A478" i="16"/>
  <c r="C479" i="16"/>
  <c r="G474" i="14"/>
  <c r="H474" i="14" s="1"/>
  <c r="AD472" i="20"/>
  <c r="AE472" i="20" s="1"/>
  <c r="J475" i="14"/>
  <c r="K475" i="14" s="1"/>
  <c r="B478" i="18"/>
  <c r="A479" i="18"/>
  <c r="I476" i="14"/>
  <c r="S473" i="14"/>
  <c r="T473" i="14" s="1"/>
  <c r="AB473" i="20"/>
  <c r="AC473" i="20" s="1"/>
  <c r="G477" i="4"/>
  <c r="H477" i="4"/>
  <c r="I475" i="23" l="1"/>
  <c r="J475" i="23"/>
  <c r="AA473" i="20"/>
  <c r="L477" i="14"/>
  <c r="C475" i="14"/>
  <c r="D475" i="14" s="1"/>
  <c r="E475" i="14" s="1"/>
  <c r="E473" i="23"/>
  <c r="H475" i="23"/>
  <c r="E478" i="16"/>
  <c r="M476" i="14"/>
  <c r="N476" i="14" s="1"/>
  <c r="G478" i="4"/>
  <c r="H478" i="4"/>
  <c r="AD473" i="20"/>
  <c r="AE473" i="20" s="1"/>
  <c r="O475" i="14"/>
  <c r="R475" i="14"/>
  <c r="O476" i="14"/>
  <c r="B479" i="16"/>
  <c r="D479" i="16"/>
  <c r="A479" i="16"/>
  <c r="C480" i="16"/>
  <c r="AB474" i="20"/>
  <c r="I477" i="14"/>
  <c r="J476" i="14"/>
  <c r="K476" i="14" s="1"/>
  <c r="F476" i="14"/>
  <c r="B479" i="18"/>
  <c r="A480" i="18"/>
  <c r="G475" i="23"/>
  <c r="C474" i="23"/>
  <c r="F475" i="23"/>
  <c r="K475" i="23"/>
  <c r="C479" i="18" s="1"/>
  <c r="A476" i="23"/>
  <c r="I476" i="23" l="1"/>
  <c r="J476" i="23"/>
  <c r="L478" i="14"/>
  <c r="AA474" i="20"/>
  <c r="E474" i="23"/>
  <c r="H476" i="23"/>
  <c r="R476" i="14"/>
  <c r="S476" i="14" s="1"/>
  <c r="T476" i="14" s="1"/>
  <c r="E479" i="16"/>
  <c r="O477" i="14"/>
  <c r="P477" i="14" s="1"/>
  <c r="Q477" i="14" s="1"/>
  <c r="F477" i="14"/>
  <c r="G477" i="14" s="1"/>
  <c r="H477" i="14" s="1"/>
  <c r="AC474" i="20"/>
  <c r="AD474" i="20"/>
  <c r="B480" i="16"/>
  <c r="D480" i="16"/>
  <c r="A480" i="16"/>
  <c r="C481" i="16"/>
  <c r="P476" i="14"/>
  <c r="Q476" i="14" s="1"/>
  <c r="S475" i="14"/>
  <c r="T475" i="14" s="1"/>
  <c r="G476" i="23"/>
  <c r="F476" i="23"/>
  <c r="C475" i="23"/>
  <c r="K476" i="23"/>
  <c r="C480" i="18" s="1"/>
  <c r="A477" i="23"/>
  <c r="G476" i="14"/>
  <c r="H476" i="14" s="1"/>
  <c r="AB475" i="20"/>
  <c r="AC475" i="20" s="1"/>
  <c r="P475" i="14"/>
  <c r="Q475" i="14" s="1"/>
  <c r="B480" i="18"/>
  <c r="A481" i="18"/>
  <c r="I478" i="14"/>
  <c r="J477" i="14"/>
  <c r="K477" i="14" s="1"/>
  <c r="M477" i="14"/>
  <c r="N477" i="14" s="1"/>
  <c r="G479" i="4"/>
  <c r="H479" i="4"/>
  <c r="C476" i="14"/>
  <c r="I477" i="23" l="1"/>
  <c r="J477" i="23"/>
  <c r="AA475" i="20"/>
  <c r="I479" i="14"/>
  <c r="AA476" i="20"/>
  <c r="E475" i="23"/>
  <c r="H477" i="23"/>
  <c r="R477" i="14"/>
  <c r="S477" i="14" s="1"/>
  <c r="T477" i="14" s="1"/>
  <c r="C477" i="14"/>
  <c r="D477" i="14" s="1"/>
  <c r="E477" i="14" s="1"/>
  <c r="E480" i="16"/>
  <c r="C476" i="23"/>
  <c r="F477" i="23"/>
  <c r="G477" i="23"/>
  <c r="K477" i="23"/>
  <c r="C481" i="18" s="1"/>
  <c r="A478" i="23"/>
  <c r="AB476" i="20"/>
  <c r="AC476" i="20" s="1"/>
  <c r="J478" i="14"/>
  <c r="K478" i="14" s="1"/>
  <c r="AD475" i="20"/>
  <c r="AE475" i="20" s="1"/>
  <c r="L479" i="14"/>
  <c r="D476" i="14"/>
  <c r="E476" i="14" s="1"/>
  <c r="B481" i="18"/>
  <c r="A482" i="18"/>
  <c r="AE474" i="20"/>
  <c r="G480" i="4"/>
  <c r="H480" i="4"/>
  <c r="D481" i="16"/>
  <c r="B481" i="16"/>
  <c r="A481" i="16"/>
  <c r="C482" i="16"/>
  <c r="M478" i="14"/>
  <c r="N478" i="14" s="1"/>
  <c r="I478" i="23" l="1"/>
  <c r="J478" i="23"/>
  <c r="I480" i="14"/>
  <c r="E476" i="23"/>
  <c r="H478" i="23"/>
  <c r="F479" i="14"/>
  <c r="G479" i="14" s="1"/>
  <c r="H479" i="14" s="1"/>
  <c r="E481" i="16"/>
  <c r="AB477" i="20"/>
  <c r="B482" i="16"/>
  <c r="A482" i="16"/>
  <c r="D482" i="16"/>
  <c r="C483" i="16"/>
  <c r="F478" i="14"/>
  <c r="C478" i="14"/>
  <c r="B482" i="18"/>
  <c r="A483" i="18"/>
  <c r="O479" i="14"/>
  <c r="G478" i="23"/>
  <c r="F478" i="23"/>
  <c r="C477" i="23"/>
  <c r="K478" i="23"/>
  <c r="C482" i="18" s="1"/>
  <c r="A479" i="23"/>
  <c r="G481" i="4"/>
  <c r="H481" i="4"/>
  <c r="M479" i="14"/>
  <c r="N479" i="14" s="1"/>
  <c r="AD476" i="20"/>
  <c r="AE476" i="20" s="1"/>
  <c r="L480" i="14"/>
  <c r="O478" i="14"/>
  <c r="R478" i="14"/>
  <c r="J479" i="14"/>
  <c r="K479" i="14" s="1"/>
  <c r="I479" i="23" l="1"/>
  <c r="J479" i="23"/>
  <c r="AA477" i="20"/>
  <c r="L481" i="14"/>
  <c r="E482" i="16"/>
  <c r="R479" i="14"/>
  <c r="S479" i="14" s="1"/>
  <c r="T479" i="14" s="1"/>
  <c r="E477" i="23"/>
  <c r="H479" i="23"/>
  <c r="C479" i="14"/>
  <c r="D479" i="14" s="1"/>
  <c r="E479" i="14" s="1"/>
  <c r="O480" i="14"/>
  <c r="P480" i="14" s="1"/>
  <c r="Q480" i="14" s="1"/>
  <c r="J480" i="14"/>
  <c r="K480" i="14" s="1"/>
  <c r="P479" i="14"/>
  <c r="Q479" i="14" s="1"/>
  <c r="G478" i="14"/>
  <c r="H478" i="14" s="1"/>
  <c r="S478" i="14"/>
  <c r="T478" i="14" s="1"/>
  <c r="F480" i="14"/>
  <c r="P478" i="14"/>
  <c r="Q478" i="14" s="1"/>
  <c r="I481" i="14"/>
  <c r="M480" i="14"/>
  <c r="N480" i="14" s="1"/>
  <c r="C478" i="23"/>
  <c r="G479" i="23"/>
  <c r="F479" i="23"/>
  <c r="A480" i="23"/>
  <c r="K479" i="23"/>
  <c r="C483" i="18" s="1"/>
  <c r="B483" i="18"/>
  <c r="A484" i="18"/>
  <c r="D483" i="16"/>
  <c r="B483" i="16"/>
  <c r="A483" i="16"/>
  <c r="C484" i="16"/>
  <c r="AD477" i="20"/>
  <c r="AC477" i="20"/>
  <c r="G482" i="4"/>
  <c r="H482" i="4"/>
  <c r="D478" i="14"/>
  <c r="E478" i="14" s="1"/>
  <c r="AB478" i="20"/>
  <c r="AC478" i="20" s="1"/>
  <c r="I480" i="23" l="1"/>
  <c r="J480" i="23"/>
  <c r="I482" i="14"/>
  <c r="AA478" i="20"/>
  <c r="AA479" i="20"/>
  <c r="E478" i="23"/>
  <c r="H480" i="23"/>
  <c r="C480" i="14"/>
  <c r="D480" i="14" s="1"/>
  <c r="E480" i="14" s="1"/>
  <c r="R480" i="14"/>
  <c r="S480" i="14" s="1"/>
  <c r="T480" i="14" s="1"/>
  <c r="F481" i="14"/>
  <c r="G481" i="14" s="1"/>
  <c r="H481" i="14" s="1"/>
  <c r="G483" i="4"/>
  <c r="H483" i="4"/>
  <c r="B484" i="18"/>
  <c r="A485" i="18"/>
  <c r="G480" i="14"/>
  <c r="H480" i="14" s="1"/>
  <c r="E483" i="16"/>
  <c r="D484" i="16"/>
  <c r="B484" i="16"/>
  <c r="A484" i="16"/>
  <c r="C485" i="16"/>
  <c r="AE477" i="20"/>
  <c r="O481" i="14"/>
  <c r="AB479" i="20"/>
  <c r="AC479" i="20" s="1"/>
  <c r="L482" i="14"/>
  <c r="AD478" i="20"/>
  <c r="AE478" i="20" s="1"/>
  <c r="M481" i="14"/>
  <c r="N481" i="14" s="1"/>
  <c r="F480" i="23"/>
  <c r="G480" i="23"/>
  <c r="C479" i="23"/>
  <c r="K480" i="23"/>
  <c r="C484" i="18" s="1"/>
  <c r="A481" i="23"/>
  <c r="J481" i="14"/>
  <c r="K481" i="14" s="1"/>
  <c r="I481" i="23" l="1"/>
  <c r="J481" i="23"/>
  <c r="L483" i="14"/>
  <c r="E479" i="23"/>
  <c r="H481" i="23"/>
  <c r="E484" i="16"/>
  <c r="F482" i="14"/>
  <c r="G482" i="14" s="1"/>
  <c r="H482" i="14" s="1"/>
  <c r="C481" i="14"/>
  <c r="D481" i="14" s="1"/>
  <c r="E481" i="14" s="1"/>
  <c r="A485" i="16"/>
  <c r="B485" i="16"/>
  <c r="D485" i="16"/>
  <c r="C486" i="16"/>
  <c r="M482" i="14"/>
  <c r="N482" i="14" s="1"/>
  <c r="I483" i="14"/>
  <c r="R481" i="14"/>
  <c r="B485" i="18"/>
  <c r="A486" i="18"/>
  <c r="O482" i="14"/>
  <c r="P481" i="14"/>
  <c r="Q481" i="14" s="1"/>
  <c r="G481" i="23"/>
  <c r="C480" i="23"/>
  <c r="F481" i="23"/>
  <c r="K481" i="23"/>
  <c r="C485" i="18" s="1"/>
  <c r="A482" i="23"/>
  <c r="J482" i="14"/>
  <c r="K482" i="14" s="1"/>
  <c r="AD479" i="20"/>
  <c r="AE479" i="20" s="1"/>
  <c r="AB480" i="20"/>
  <c r="AC480" i="20" s="1"/>
  <c r="H484" i="4"/>
  <c r="G484" i="4"/>
  <c r="I482" i="23" l="1"/>
  <c r="J482" i="23"/>
  <c r="L484" i="14"/>
  <c r="AA480" i="20"/>
  <c r="AA481" i="20"/>
  <c r="E480" i="23"/>
  <c r="H482" i="23"/>
  <c r="C482" i="14"/>
  <c r="E485" i="16"/>
  <c r="O483" i="14"/>
  <c r="I484" i="14"/>
  <c r="S481" i="14"/>
  <c r="T481" i="14" s="1"/>
  <c r="R482" i="14"/>
  <c r="M483" i="14"/>
  <c r="N483" i="14" s="1"/>
  <c r="G482" i="23"/>
  <c r="C481" i="23"/>
  <c r="F482" i="23"/>
  <c r="A483" i="23"/>
  <c r="K482" i="23"/>
  <c r="C486" i="18" s="1"/>
  <c r="AB481" i="20"/>
  <c r="B486" i="16"/>
  <c r="A486" i="16"/>
  <c r="D486" i="16"/>
  <c r="C487" i="16"/>
  <c r="P482" i="14"/>
  <c r="Q482" i="14" s="1"/>
  <c r="B486" i="18"/>
  <c r="A487" i="18"/>
  <c r="J483" i="14"/>
  <c r="K483" i="14" s="1"/>
  <c r="AD480" i="20"/>
  <c r="AE480" i="20" s="1"/>
  <c r="G485" i="4"/>
  <c r="H485" i="4"/>
  <c r="I483" i="23" l="1"/>
  <c r="J483" i="23"/>
  <c r="L485" i="14"/>
  <c r="I485" i="14"/>
  <c r="E481" i="23"/>
  <c r="H483" i="23"/>
  <c r="D482" i="14"/>
  <c r="E482" i="14" s="1"/>
  <c r="F484" i="14"/>
  <c r="G484" i="14" s="1"/>
  <c r="H484" i="14" s="1"/>
  <c r="R483" i="14"/>
  <c r="S483" i="14" s="1"/>
  <c r="T483" i="14" s="1"/>
  <c r="M484" i="14"/>
  <c r="N484" i="14" s="1"/>
  <c r="A487" i="16"/>
  <c r="B487" i="16"/>
  <c r="D487" i="16"/>
  <c r="C488" i="16"/>
  <c r="AD481" i="20"/>
  <c r="F483" i="23"/>
  <c r="C482" i="23"/>
  <c r="G483" i="23"/>
  <c r="K483" i="23"/>
  <c r="C487" i="18" s="1"/>
  <c r="A484" i="23"/>
  <c r="S482" i="14"/>
  <c r="T482" i="14" s="1"/>
  <c r="F483" i="14"/>
  <c r="C483" i="14"/>
  <c r="G486" i="4"/>
  <c r="H486" i="4"/>
  <c r="AC481" i="20"/>
  <c r="AB482" i="20"/>
  <c r="AC482" i="20" s="1"/>
  <c r="J484" i="14"/>
  <c r="K484" i="14" s="1"/>
  <c r="B487" i="18"/>
  <c r="A488" i="18"/>
  <c r="O484" i="14"/>
  <c r="E486" i="16"/>
  <c r="P483" i="14"/>
  <c r="Q483" i="14" s="1"/>
  <c r="I484" i="23" l="1"/>
  <c r="J484" i="23"/>
  <c r="L486" i="14"/>
  <c r="AA482" i="20"/>
  <c r="AA483" i="20"/>
  <c r="E482" i="23"/>
  <c r="H484" i="23"/>
  <c r="R484" i="14"/>
  <c r="S484" i="14" s="1"/>
  <c r="T484" i="14" s="1"/>
  <c r="C484" i="14"/>
  <c r="D484" i="14" s="1"/>
  <c r="E484" i="14" s="1"/>
  <c r="P484" i="14"/>
  <c r="Q484" i="14" s="1"/>
  <c r="B488" i="18"/>
  <c r="A489" i="18"/>
  <c r="G483" i="14"/>
  <c r="H483" i="14" s="1"/>
  <c r="B488" i="16"/>
  <c r="D488" i="16"/>
  <c r="A488" i="16"/>
  <c r="C489" i="16"/>
  <c r="AE481" i="20"/>
  <c r="O485" i="14"/>
  <c r="J485" i="14"/>
  <c r="K485" i="14" s="1"/>
  <c r="AD482" i="20"/>
  <c r="AE482" i="20" s="1"/>
  <c r="F485" i="14"/>
  <c r="G487" i="4"/>
  <c r="H487" i="4"/>
  <c r="F484" i="23"/>
  <c r="C483" i="23"/>
  <c r="G484" i="23"/>
  <c r="K484" i="23"/>
  <c r="C488" i="18" s="1"/>
  <c r="A485" i="23"/>
  <c r="M485" i="14"/>
  <c r="N485" i="14" s="1"/>
  <c r="I486" i="14"/>
  <c r="D483" i="14"/>
  <c r="E483" i="14" s="1"/>
  <c r="E487" i="16"/>
  <c r="AB483" i="20"/>
  <c r="AC483" i="20" s="1"/>
  <c r="I485" i="23" l="1"/>
  <c r="J485" i="23"/>
  <c r="L487" i="14"/>
  <c r="I487" i="14"/>
  <c r="E483" i="23"/>
  <c r="H485" i="23"/>
  <c r="E488" i="16"/>
  <c r="O486" i="14"/>
  <c r="P486" i="14" s="1"/>
  <c r="Q486" i="14" s="1"/>
  <c r="C484" i="23"/>
  <c r="G485" i="23"/>
  <c r="F485" i="23"/>
  <c r="K485" i="23"/>
  <c r="C489" i="18" s="1"/>
  <c r="A486" i="23"/>
  <c r="AD483" i="20"/>
  <c r="AE483" i="20" s="1"/>
  <c r="AB484" i="20"/>
  <c r="G485" i="14"/>
  <c r="H485" i="14" s="1"/>
  <c r="R485" i="14"/>
  <c r="B489" i="18"/>
  <c r="A490" i="18"/>
  <c r="H488" i="4"/>
  <c r="G488" i="4"/>
  <c r="B489" i="16"/>
  <c r="D489" i="16"/>
  <c r="A489" i="16"/>
  <c r="C490" i="16"/>
  <c r="J486" i="14"/>
  <c r="K486" i="14" s="1"/>
  <c r="M486" i="14"/>
  <c r="N486" i="14" s="1"/>
  <c r="P485" i="14"/>
  <c r="Q485" i="14" s="1"/>
  <c r="F486" i="14"/>
  <c r="C485" i="14"/>
  <c r="I486" i="23" l="1"/>
  <c r="J486" i="23"/>
  <c r="AA484" i="20"/>
  <c r="I488" i="14"/>
  <c r="AA485" i="20"/>
  <c r="E484" i="23"/>
  <c r="H486" i="23"/>
  <c r="R486" i="14"/>
  <c r="S486" i="14" s="1"/>
  <c r="T486" i="14" s="1"/>
  <c r="E489" i="16"/>
  <c r="O487" i="14"/>
  <c r="AB485" i="20"/>
  <c r="AC485" i="20" s="1"/>
  <c r="B490" i="16"/>
  <c r="D490" i="16"/>
  <c r="A490" i="16"/>
  <c r="C491" i="16"/>
  <c r="G489" i="4"/>
  <c r="H489" i="4"/>
  <c r="B490" i="18"/>
  <c r="A491" i="18"/>
  <c r="C486" i="14"/>
  <c r="F487" i="14"/>
  <c r="D485" i="14"/>
  <c r="E485" i="14" s="1"/>
  <c r="AD484" i="20"/>
  <c r="L488" i="14"/>
  <c r="C485" i="23"/>
  <c r="F486" i="23"/>
  <c r="G486" i="23"/>
  <c r="A487" i="23"/>
  <c r="K486" i="23"/>
  <c r="C490" i="18" s="1"/>
  <c r="G486" i="14"/>
  <c r="H486" i="14" s="1"/>
  <c r="S485" i="14"/>
  <c r="T485" i="14" s="1"/>
  <c r="M487" i="14"/>
  <c r="N487" i="14" s="1"/>
  <c r="AC484" i="20"/>
  <c r="J487" i="14"/>
  <c r="K487" i="14" s="1"/>
  <c r="I487" i="23" l="1"/>
  <c r="J487" i="23"/>
  <c r="I489" i="14"/>
  <c r="L489" i="14"/>
  <c r="E485" i="23"/>
  <c r="H487" i="23"/>
  <c r="R487" i="14"/>
  <c r="S487" i="14" s="1"/>
  <c r="T487" i="14" s="1"/>
  <c r="E490" i="16"/>
  <c r="F488" i="14"/>
  <c r="G488" i="14" s="1"/>
  <c r="AE484" i="20"/>
  <c r="O488" i="14"/>
  <c r="M488" i="14"/>
  <c r="N488" i="14" s="1"/>
  <c r="B491" i="18"/>
  <c r="A492" i="18"/>
  <c r="C486" i="23"/>
  <c r="F487" i="23"/>
  <c r="G487" i="23"/>
  <c r="A488" i="23"/>
  <c r="K487" i="23"/>
  <c r="C491" i="18" s="1"/>
  <c r="J488" i="14"/>
  <c r="K488" i="14" s="1"/>
  <c r="D491" i="16"/>
  <c r="B491" i="16"/>
  <c r="A491" i="16"/>
  <c r="C492" i="16"/>
  <c r="P487" i="14"/>
  <c r="Q487" i="14" s="1"/>
  <c r="AB486" i="20"/>
  <c r="G487" i="14"/>
  <c r="H487" i="14" s="1"/>
  <c r="G490" i="4"/>
  <c r="H490" i="4"/>
  <c r="AD485" i="20"/>
  <c r="AE485" i="20" s="1"/>
  <c r="C487" i="14"/>
  <c r="D486" i="14"/>
  <c r="E486" i="14" s="1"/>
  <c r="I488" i="23" l="1"/>
  <c r="J488" i="23"/>
  <c r="AA486" i="20"/>
  <c r="E486" i="23"/>
  <c r="H488" i="23"/>
  <c r="C488" i="14"/>
  <c r="D488" i="14" s="1"/>
  <c r="E488" i="14" s="1"/>
  <c r="R488" i="14"/>
  <c r="S488" i="14" s="1"/>
  <c r="T488" i="14" s="1"/>
  <c r="H488" i="14"/>
  <c r="O489" i="14"/>
  <c r="P489" i="14" s="1"/>
  <c r="Q489" i="14" s="1"/>
  <c r="H491" i="4"/>
  <c r="G491" i="4"/>
  <c r="C487" i="23"/>
  <c r="F488" i="23"/>
  <c r="G488" i="23"/>
  <c r="K488" i="23"/>
  <c r="C492" i="18" s="1"/>
  <c r="A489" i="23"/>
  <c r="I490" i="14"/>
  <c r="D492" i="16"/>
  <c r="B492" i="16"/>
  <c r="A492" i="16"/>
  <c r="C493" i="16"/>
  <c r="AB487" i="20"/>
  <c r="AC487" i="20" s="1"/>
  <c r="AC486" i="20"/>
  <c r="F489" i="14"/>
  <c r="E491" i="16"/>
  <c r="P488" i="14"/>
  <c r="Q488" i="14" s="1"/>
  <c r="D487" i="14"/>
  <c r="E487" i="14" s="1"/>
  <c r="M489" i="14"/>
  <c r="N489" i="14" s="1"/>
  <c r="J489" i="14"/>
  <c r="K489" i="14" s="1"/>
  <c r="L490" i="14"/>
  <c r="AD486" i="20"/>
  <c r="B492" i="18"/>
  <c r="A493" i="18"/>
  <c r="I489" i="23" l="1"/>
  <c r="J489" i="23"/>
  <c r="AA487" i="20"/>
  <c r="E487" i="23"/>
  <c r="H489" i="23"/>
  <c r="R489" i="14"/>
  <c r="S489" i="14" s="1"/>
  <c r="T489" i="14" s="1"/>
  <c r="F490" i="14"/>
  <c r="G490" i="14" s="1"/>
  <c r="H490" i="14" s="1"/>
  <c r="E492" i="16"/>
  <c r="M490" i="14"/>
  <c r="N490" i="14" s="1"/>
  <c r="AD487" i="20"/>
  <c r="AE487" i="20" s="1"/>
  <c r="L491" i="14"/>
  <c r="J490" i="14"/>
  <c r="K490" i="14" s="1"/>
  <c r="C489" i="14"/>
  <c r="B493" i="18"/>
  <c r="A494" i="18"/>
  <c r="G489" i="14"/>
  <c r="H489" i="14" s="1"/>
  <c r="AB488" i="20"/>
  <c r="AC488" i="20" s="1"/>
  <c r="I491" i="14"/>
  <c r="AE486" i="20"/>
  <c r="F489" i="23"/>
  <c r="G489" i="23"/>
  <c r="C488" i="23"/>
  <c r="K489" i="23"/>
  <c r="C493" i="18" s="1"/>
  <c r="A490" i="23"/>
  <c r="A493" i="16"/>
  <c r="B493" i="16"/>
  <c r="D493" i="16"/>
  <c r="C494" i="16"/>
  <c r="H492" i="4"/>
  <c r="G492" i="4"/>
  <c r="I490" i="23" l="1"/>
  <c r="J490" i="23"/>
  <c r="AA488" i="20"/>
  <c r="E488" i="23"/>
  <c r="H490" i="23"/>
  <c r="C490" i="14"/>
  <c r="D490" i="14" s="1"/>
  <c r="E490" i="14" s="1"/>
  <c r="O491" i="14"/>
  <c r="P491" i="14" s="1"/>
  <c r="Q491" i="14" s="1"/>
  <c r="F491" i="14"/>
  <c r="G491" i="14" s="1"/>
  <c r="H491" i="14" s="1"/>
  <c r="E493" i="16"/>
  <c r="O490" i="14"/>
  <c r="R490" i="14"/>
  <c r="D489" i="14"/>
  <c r="E489" i="14" s="1"/>
  <c r="M491" i="14"/>
  <c r="N491" i="14" s="1"/>
  <c r="I492" i="14"/>
  <c r="B494" i="16"/>
  <c r="D494" i="16"/>
  <c r="A494" i="16"/>
  <c r="C495" i="16"/>
  <c r="AD488" i="20"/>
  <c r="AE488" i="20" s="1"/>
  <c r="L492" i="14"/>
  <c r="B494" i="18"/>
  <c r="A495" i="18"/>
  <c r="AB489" i="20"/>
  <c r="AC489" i="20" s="1"/>
  <c r="G493" i="4"/>
  <c r="H493" i="4"/>
  <c r="C489" i="23"/>
  <c r="F490" i="23"/>
  <c r="G490" i="23"/>
  <c r="K490" i="23"/>
  <c r="C494" i="18" s="1"/>
  <c r="A491" i="23"/>
  <c r="J491" i="14"/>
  <c r="K491" i="14" s="1"/>
  <c r="AA489" i="20" l="1"/>
  <c r="I491" i="23"/>
  <c r="J491" i="23"/>
  <c r="L493" i="14"/>
  <c r="E489" i="23"/>
  <c r="H491" i="23"/>
  <c r="R491" i="14"/>
  <c r="S491" i="14" s="1"/>
  <c r="T491" i="14" s="1"/>
  <c r="C491" i="14"/>
  <c r="D491" i="14" s="1"/>
  <c r="E491" i="14" s="1"/>
  <c r="E494" i="16"/>
  <c r="F491" i="23"/>
  <c r="C490" i="23"/>
  <c r="G491" i="23"/>
  <c r="K491" i="23"/>
  <c r="C495" i="18" s="1"/>
  <c r="A492" i="23"/>
  <c r="G494" i="4"/>
  <c r="H494" i="4"/>
  <c r="AD489" i="20"/>
  <c r="AE489" i="20" s="1"/>
  <c r="M492" i="14"/>
  <c r="N492" i="14" s="1"/>
  <c r="A495" i="16"/>
  <c r="D495" i="16"/>
  <c r="B495" i="16"/>
  <c r="C496" i="16"/>
  <c r="AB490" i="20"/>
  <c r="AC490" i="20" s="1"/>
  <c r="J492" i="14"/>
  <c r="K492" i="14" s="1"/>
  <c r="S490" i="14"/>
  <c r="T490" i="14" s="1"/>
  <c r="B495" i="18"/>
  <c r="A496" i="18"/>
  <c r="I493" i="14"/>
  <c r="O492" i="14"/>
  <c r="P490" i="14"/>
  <c r="Q490" i="14" s="1"/>
  <c r="I492" i="23" l="1"/>
  <c r="J492" i="23"/>
  <c r="AA490" i="20"/>
  <c r="E490" i="23"/>
  <c r="H492" i="23"/>
  <c r="F493" i="14"/>
  <c r="G493" i="14" s="1"/>
  <c r="H493" i="14" s="1"/>
  <c r="O493" i="14"/>
  <c r="P493" i="14" s="1"/>
  <c r="Q493" i="14" s="1"/>
  <c r="E495" i="16"/>
  <c r="AD490" i="20"/>
  <c r="AE490" i="20" s="1"/>
  <c r="L494" i="14"/>
  <c r="D496" i="16"/>
  <c r="A496" i="16"/>
  <c r="B496" i="16"/>
  <c r="C497" i="16"/>
  <c r="F492" i="14"/>
  <c r="C492" i="14"/>
  <c r="AB491" i="20"/>
  <c r="G495" i="4"/>
  <c r="H495" i="4"/>
  <c r="B496" i="18"/>
  <c r="A497" i="18"/>
  <c r="I494" i="14"/>
  <c r="P492" i="14"/>
  <c r="Q492" i="14" s="1"/>
  <c r="J493" i="14"/>
  <c r="K493" i="14" s="1"/>
  <c r="R492" i="14"/>
  <c r="M493" i="14"/>
  <c r="N493" i="14" s="1"/>
  <c r="G492" i="23"/>
  <c r="F492" i="23"/>
  <c r="C491" i="23"/>
  <c r="A493" i="23"/>
  <c r="K492" i="23"/>
  <c r="C496" i="18" s="1"/>
  <c r="I493" i="23" l="1"/>
  <c r="J493" i="23"/>
  <c r="AA491" i="20"/>
  <c r="R493" i="14"/>
  <c r="S493" i="14" s="1"/>
  <c r="T493" i="14" s="1"/>
  <c r="L495" i="14"/>
  <c r="E491" i="23"/>
  <c r="H493" i="23"/>
  <c r="C493" i="14"/>
  <c r="D493" i="14" s="1"/>
  <c r="E493" i="14" s="1"/>
  <c r="F494" i="14"/>
  <c r="G494" i="14" s="1"/>
  <c r="H494" i="14" s="1"/>
  <c r="E496" i="16"/>
  <c r="O494" i="14"/>
  <c r="P494" i="14" s="1"/>
  <c r="Q494" i="14" s="1"/>
  <c r="AC491" i="20"/>
  <c r="B497" i="18"/>
  <c r="A498" i="18"/>
  <c r="I495" i="14"/>
  <c r="AB492" i="20"/>
  <c r="S492" i="14"/>
  <c r="T492" i="14" s="1"/>
  <c r="G496" i="4"/>
  <c r="H496" i="4"/>
  <c r="D492" i="14"/>
  <c r="E492" i="14" s="1"/>
  <c r="M494" i="14"/>
  <c r="N494" i="14" s="1"/>
  <c r="C492" i="23"/>
  <c r="F493" i="23"/>
  <c r="G493" i="23"/>
  <c r="K493" i="23"/>
  <c r="C497" i="18" s="1"/>
  <c r="A494" i="23"/>
  <c r="J494" i="14"/>
  <c r="K494" i="14" s="1"/>
  <c r="AD491" i="20"/>
  <c r="G492" i="14"/>
  <c r="H492" i="14" s="1"/>
  <c r="D497" i="16"/>
  <c r="B497" i="16"/>
  <c r="A497" i="16"/>
  <c r="C498" i="16"/>
  <c r="I494" i="23" l="1"/>
  <c r="J494" i="23"/>
  <c r="AA492" i="20"/>
  <c r="L496" i="14"/>
  <c r="AA493" i="20"/>
  <c r="E492" i="23"/>
  <c r="H494" i="23"/>
  <c r="C494" i="14"/>
  <c r="D494" i="14" s="1"/>
  <c r="E494" i="14" s="1"/>
  <c r="R494" i="14"/>
  <c r="S494" i="14" s="1"/>
  <c r="T494" i="14" s="1"/>
  <c r="F495" i="14"/>
  <c r="G495" i="14" s="1"/>
  <c r="H495" i="14" s="1"/>
  <c r="G497" i="4"/>
  <c r="H497" i="4"/>
  <c r="I496" i="14"/>
  <c r="O495" i="14"/>
  <c r="AE491" i="20"/>
  <c r="AC492" i="20"/>
  <c r="B498" i="16"/>
  <c r="A498" i="16"/>
  <c r="D498" i="16"/>
  <c r="C499" i="16"/>
  <c r="M495" i="14"/>
  <c r="N495" i="14" s="1"/>
  <c r="G494" i="23"/>
  <c r="F494" i="23"/>
  <c r="C493" i="23"/>
  <c r="A495" i="23"/>
  <c r="K494" i="23"/>
  <c r="C498" i="18" s="1"/>
  <c r="AD492" i="20"/>
  <c r="J495" i="14"/>
  <c r="K495" i="14" s="1"/>
  <c r="AB493" i="20"/>
  <c r="AC493" i="20" s="1"/>
  <c r="B498" i="18"/>
  <c r="A499" i="18"/>
  <c r="E497" i="16"/>
  <c r="I495" i="23" l="1"/>
  <c r="J495" i="23"/>
  <c r="I497" i="14"/>
  <c r="E493" i="23"/>
  <c r="H495" i="23"/>
  <c r="E498" i="16"/>
  <c r="C495" i="14"/>
  <c r="D495" i="14" s="1"/>
  <c r="E495" i="14" s="1"/>
  <c r="B499" i="18"/>
  <c r="A500" i="18"/>
  <c r="M496" i="14"/>
  <c r="N496" i="14" s="1"/>
  <c r="P495" i="14"/>
  <c r="Q495" i="14" s="1"/>
  <c r="AB494" i="20"/>
  <c r="J496" i="14"/>
  <c r="K496" i="14" s="1"/>
  <c r="R495" i="14"/>
  <c r="G498" i="4"/>
  <c r="H498" i="4"/>
  <c r="AD493" i="20"/>
  <c r="AE493" i="20" s="1"/>
  <c r="L497" i="14"/>
  <c r="C494" i="23"/>
  <c r="G495" i="23"/>
  <c r="F495" i="23"/>
  <c r="K495" i="23"/>
  <c r="C499" i="18" s="1"/>
  <c r="A496" i="23"/>
  <c r="A499" i="16"/>
  <c r="B499" i="16"/>
  <c r="D499" i="16"/>
  <c r="C500" i="16"/>
  <c r="AE492" i="20"/>
  <c r="O496" i="14"/>
  <c r="F496" i="14"/>
  <c r="I496" i="23" l="1"/>
  <c r="J496" i="23"/>
  <c r="I498" i="14"/>
  <c r="AA494" i="20"/>
  <c r="E494" i="23"/>
  <c r="H496" i="23"/>
  <c r="O497" i="14"/>
  <c r="P497" i="14" s="1"/>
  <c r="Q497" i="14" s="1"/>
  <c r="F497" i="14"/>
  <c r="G497" i="14" s="1"/>
  <c r="H497" i="14" s="1"/>
  <c r="P496" i="14"/>
  <c r="Q496" i="14" s="1"/>
  <c r="A500" i="16"/>
  <c r="B500" i="16"/>
  <c r="D500" i="16"/>
  <c r="C501" i="16"/>
  <c r="F496" i="23"/>
  <c r="G496" i="23"/>
  <c r="C495" i="23"/>
  <c r="K496" i="23"/>
  <c r="C500" i="18" s="1"/>
  <c r="A497" i="23"/>
  <c r="M497" i="14"/>
  <c r="N497" i="14" s="1"/>
  <c r="S495" i="14"/>
  <c r="T495" i="14" s="1"/>
  <c r="G496" i="14"/>
  <c r="H496" i="14" s="1"/>
  <c r="C496" i="14"/>
  <c r="J497" i="14"/>
  <c r="K497" i="14" s="1"/>
  <c r="G499" i="4"/>
  <c r="H499" i="4"/>
  <c r="B500" i="18"/>
  <c r="A501" i="18"/>
  <c r="AC494" i="20"/>
  <c r="E499" i="16"/>
  <c r="R496" i="14"/>
  <c r="AB495" i="20"/>
  <c r="AC495" i="20" s="1"/>
  <c r="AD494" i="20"/>
  <c r="L498" i="14"/>
  <c r="I497" i="23" l="1"/>
  <c r="J497" i="23"/>
  <c r="AA495" i="20"/>
  <c r="I499" i="14"/>
  <c r="R497" i="14"/>
  <c r="S497" i="14" s="1"/>
  <c r="T497" i="14" s="1"/>
  <c r="E495" i="23"/>
  <c r="H497" i="23"/>
  <c r="C497" i="14"/>
  <c r="D497" i="14" s="1"/>
  <c r="E497" i="14" s="1"/>
  <c r="E500" i="16"/>
  <c r="D501" i="16"/>
  <c r="A501" i="16"/>
  <c r="B501" i="16"/>
  <c r="C502" i="16"/>
  <c r="J498" i="14"/>
  <c r="K498" i="14" s="1"/>
  <c r="S496" i="14"/>
  <c r="T496" i="14" s="1"/>
  <c r="B501" i="18"/>
  <c r="A502" i="18"/>
  <c r="F497" i="23"/>
  <c r="G497" i="23"/>
  <c r="C496" i="23"/>
  <c r="K497" i="23"/>
  <c r="C501" i="18" s="1"/>
  <c r="A498" i="23"/>
  <c r="AD495" i="20"/>
  <c r="AE495" i="20" s="1"/>
  <c r="L499" i="14"/>
  <c r="AB496" i="20"/>
  <c r="M498" i="14"/>
  <c r="N498" i="14" s="1"/>
  <c r="F498" i="14"/>
  <c r="O498" i="14"/>
  <c r="AE494" i="20"/>
  <c r="H500" i="4"/>
  <c r="G500" i="4"/>
  <c r="D496" i="14"/>
  <c r="E496" i="14" s="1"/>
  <c r="I498" i="23" l="1"/>
  <c r="J498" i="23"/>
  <c r="AA496" i="20"/>
  <c r="I500" i="14"/>
  <c r="E496" i="23"/>
  <c r="H498" i="23"/>
  <c r="E501" i="16"/>
  <c r="F499" i="14"/>
  <c r="G499" i="14" s="1"/>
  <c r="H499" i="14" s="1"/>
  <c r="R498" i="14"/>
  <c r="S498" i="14" s="1"/>
  <c r="T498" i="14" s="1"/>
  <c r="B502" i="18"/>
  <c r="A503" i="18"/>
  <c r="G498" i="14"/>
  <c r="H498" i="14" s="1"/>
  <c r="J499" i="14"/>
  <c r="K499" i="14" s="1"/>
  <c r="C497" i="23"/>
  <c r="G498" i="23"/>
  <c r="F498" i="23"/>
  <c r="A499" i="23"/>
  <c r="K498" i="23"/>
  <c r="C502" i="18" s="1"/>
  <c r="C498" i="14"/>
  <c r="M499" i="14"/>
  <c r="N499" i="14" s="1"/>
  <c r="AC496" i="20"/>
  <c r="AB497" i="20"/>
  <c r="AC497" i="20" s="1"/>
  <c r="B502" i="16"/>
  <c r="A502" i="16"/>
  <c r="D502" i="16"/>
  <c r="C503" i="16"/>
  <c r="G501" i="4"/>
  <c r="H501" i="4"/>
  <c r="P498" i="14"/>
  <c r="Q498" i="14" s="1"/>
  <c r="AD496" i="20"/>
  <c r="L500" i="14"/>
  <c r="O499" i="14"/>
  <c r="I499" i="23" l="1"/>
  <c r="J499" i="23"/>
  <c r="AA497" i="20"/>
  <c r="E497" i="23"/>
  <c r="H499" i="23"/>
  <c r="F500" i="14"/>
  <c r="G500" i="14" s="1"/>
  <c r="H500" i="14" s="1"/>
  <c r="C499" i="14"/>
  <c r="D499" i="14" s="1"/>
  <c r="E499" i="14" s="1"/>
  <c r="P499" i="14"/>
  <c r="Q499" i="14" s="1"/>
  <c r="D498" i="14"/>
  <c r="E498" i="14" s="1"/>
  <c r="I501" i="14"/>
  <c r="J500" i="14"/>
  <c r="K500" i="14" s="1"/>
  <c r="G502" i="4"/>
  <c r="H502" i="4"/>
  <c r="R499" i="14"/>
  <c r="M500" i="14"/>
  <c r="N500" i="14" s="1"/>
  <c r="E502" i="16"/>
  <c r="AB498" i="20"/>
  <c r="AC498" i="20" s="1"/>
  <c r="G499" i="23"/>
  <c r="C498" i="23"/>
  <c r="F499" i="23"/>
  <c r="K499" i="23"/>
  <c r="C503" i="18" s="1"/>
  <c r="A500" i="23"/>
  <c r="B503" i="18"/>
  <c r="A504" i="18"/>
  <c r="B503" i="16"/>
  <c r="D503" i="16"/>
  <c r="A503" i="16"/>
  <c r="C504" i="16"/>
  <c r="AD497" i="20"/>
  <c r="AE497" i="20" s="1"/>
  <c r="L501" i="14"/>
  <c r="AE496" i="20"/>
  <c r="I500" i="23" l="1"/>
  <c r="J500" i="23"/>
  <c r="L502" i="14"/>
  <c r="AA498" i="20"/>
  <c r="AA499" i="20"/>
  <c r="C500" i="14"/>
  <c r="D500" i="14" s="1"/>
  <c r="E500" i="14" s="1"/>
  <c r="E498" i="23"/>
  <c r="H500" i="23"/>
  <c r="I502" i="14"/>
  <c r="AB499" i="20"/>
  <c r="AC499" i="20" s="1"/>
  <c r="J501" i="14"/>
  <c r="K501" i="14" s="1"/>
  <c r="O500" i="14"/>
  <c r="R500" i="14"/>
  <c r="E503" i="16"/>
  <c r="AD498" i="20"/>
  <c r="AE498" i="20" s="1"/>
  <c r="G503" i="4"/>
  <c r="H503" i="4"/>
  <c r="D504" i="16"/>
  <c r="A504" i="16"/>
  <c r="B504" i="16"/>
  <c r="C505" i="16"/>
  <c r="F500" i="23"/>
  <c r="G500" i="23"/>
  <c r="C499" i="23"/>
  <c r="K500" i="23"/>
  <c r="C504" i="18" s="1"/>
  <c r="A501" i="23"/>
  <c r="M501" i="14"/>
  <c r="N501" i="14" s="1"/>
  <c r="B504" i="18"/>
  <c r="A505" i="18"/>
  <c r="S499" i="14"/>
  <c r="T499" i="14" s="1"/>
  <c r="F501" i="14"/>
  <c r="I501" i="23" l="1"/>
  <c r="J501" i="23"/>
  <c r="L503" i="14"/>
  <c r="I503" i="14"/>
  <c r="E499" i="23"/>
  <c r="H501" i="23"/>
  <c r="E504" i="16"/>
  <c r="F502" i="14"/>
  <c r="G502" i="14" s="1"/>
  <c r="H502" i="14" s="1"/>
  <c r="C501" i="14"/>
  <c r="D501" i="14" s="1"/>
  <c r="E501" i="14" s="1"/>
  <c r="O501" i="14"/>
  <c r="R501" i="14"/>
  <c r="S501" i="14" s="1"/>
  <c r="T501" i="14" s="1"/>
  <c r="H504" i="4"/>
  <c r="G504" i="4"/>
  <c r="P500" i="14"/>
  <c r="Q500" i="14" s="1"/>
  <c r="B505" i="18"/>
  <c r="A506" i="18"/>
  <c r="G501" i="23"/>
  <c r="F501" i="23"/>
  <c r="C500" i="23"/>
  <c r="K501" i="23"/>
  <c r="C505" i="18" s="1"/>
  <c r="A502" i="23"/>
  <c r="AB500" i="20"/>
  <c r="AC500" i="20" s="1"/>
  <c r="B505" i="16"/>
  <c r="D505" i="16"/>
  <c r="A505" i="16"/>
  <c r="C506" i="16"/>
  <c r="M502" i="14"/>
  <c r="N502" i="14" s="1"/>
  <c r="J502" i="14"/>
  <c r="K502" i="14" s="1"/>
  <c r="G501" i="14"/>
  <c r="H501" i="14" s="1"/>
  <c r="S500" i="14"/>
  <c r="T500" i="14" s="1"/>
  <c r="O502" i="14"/>
  <c r="AD499" i="20"/>
  <c r="AE499" i="20" s="1"/>
  <c r="AA500" i="20" l="1"/>
  <c r="I502" i="23"/>
  <c r="J502" i="23"/>
  <c r="L504" i="14"/>
  <c r="AA501" i="20"/>
  <c r="E500" i="23"/>
  <c r="H502" i="23"/>
  <c r="C502" i="14"/>
  <c r="D502" i="14" s="1"/>
  <c r="E502" i="14" s="1"/>
  <c r="O503" i="14"/>
  <c r="P503" i="14" s="1"/>
  <c r="Q503" i="14" s="1"/>
  <c r="R502" i="14"/>
  <c r="S502" i="14" s="1"/>
  <c r="T502" i="14" s="1"/>
  <c r="P501" i="14"/>
  <c r="Q501" i="14" s="1"/>
  <c r="E505" i="16"/>
  <c r="J503" i="14"/>
  <c r="K503" i="14" s="1"/>
  <c r="I504" i="14"/>
  <c r="AB501" i="20"/>
  <c r="B506" i="16"/>
  <c r="D506" i="16"/>
  <c r="A506" i="16"/>
  <c r="C507" i="16"/>
  <c r="AD500" i="20"/>
  <c r="AE500" i="20" s="1"/>
  <c r="G502" i="23"/>
  <c r="F502" i="23"/>
  <c r="C501" i="23"/>
  <c r="K502" i="23"/>
  <c r="C506" i="18" s="1"/>
  <c r="A503" i="23"/>
  <c r="M503" i="14"/>
  <c r="N503" i="14" s="1"/>
  <c r="P502" i="14"/>
  <c r="Q502" i="14" s="1"/>
  <c r="B506" i="18"/>
  <c r="A507" i="18"/>
  <c r="G505" i="4"/>
  <c r="H505" i="4"/>
  <c r="I503" i="23" l="1"/>
  <c r="J503" i="23"/>
  <c r="L505" i="14"/>
  <c r="I505" i="14"/>
  <c r="E501" i="23"/>
  <c r="H503" i="23"/>
  <c r="R503" i="14"/>
  <c r="S503" i="14" s="1"/>
  <c r="T503" i="14" s="1"/>
  <c r="E506" i="16"/>
  <c r="B507" i="18"/>
  <c r="A508" i="18"/>
  <c r="G503" i="23"/>
  <c r="F503" i="23"/>
  <c r="C502" i="23"/>
  <c r="K503" i="23"/>
  <c r="C507" i="18" s="1"/>
  <c r="A504" i="23"/>
  <c r="J504" i="14"/>
  <c r="K504" i="14" s="1"/>
  <c r="AC501" i="20"/>
  <c r="G506" i="4"/>
  <c r="H506" i="4"/>
  <c r="O504" i="14"/>
  <c r="M504" i="14"/>
  <c r="N504" i="14" s="1"/>
  <c r="F503" i="14"/>
  <c r="C503" i="14"/>
  <c r="AB502" i="20"/>
  <c r="AC502" i="20" s="1"/>
  <c r="D507" i="16"/>
  <c r="A507" i="16"/>
  <c r="B507" i="16"/>
  <c r="C508" i="16"/>
  <c r="AD501" i="20"/>
  <c r="I504" i="23" l="1"/>
  <c r="J504" i="23"/>
  <c r="L506" i="14"/>
  <c r="AA502" i="20"/>
  <c r="AA503" i="20"/>
  <c r="E502" i="23"/>
  <c r="H504" i="23"/>
  <c r="E507" i="16"/>
  <c r="I506" i="14"/>
  <c r="AB503" i="20"/>
  <c r="AC503" i="20" s="1"/>
  <c r="H507" i="4"/>
  <c r="G507" i="4"/>
  <c r="B508" i="18"/>
  <c r="A509" i="18"/>
  <c r="F504" i="23"/>
  <c r="G504" i="23"/>
  <c r="C503" i="23"/>
  <c r="K504" i="23"/>
  <c r="C508" i="18" s="1"/>
  <c r="A505" i="23"/>
  <c r="D503" i="14"/>
  <c r="E503" i="14" s="1"/>
  <c r="D508" i="16"/>
  <c r="A508" i="16"/>
  <c r="B508" i="16"/>
  <c r="C509" i="16"/>
  <c r="AD502" i="20"/>
  <c r="AE502" i="20" s="1"/>
  <c r="G503" i="14"/>
  <c r="H503" i="14" s="1"/>
  <c r="F504" i="14"/>
  <c r="C504" i="14"/>
  <c r="M505" i="14"/>
  <c r="N505" i="14" s="1"/>
  <c r="J505" i="14"/>
  <c r="K505" i="14" s="1"/>
  <c r="P504" i="14"/>
  <c r="Q504" i="14" s="1"/>
  <c r="R504" i="14"/>
  <c r="AE501" i="20"/>
  <c r="O505" i="14"/>
  <c r="I505" i="23" l="1"/>
  <c r="J505" i="23"/>
  <c r="I507" i="14"/>
  <c r="L507" i="14"/>
  <c r="E503" i="23"/>
  <c r="H505" i="23"/>
  <c r="E508" i="16"/>
  <c r="F505" i="14"/>
  <c r="G505" i="14" s="1"/>
  <c r="H505" i="14" s="1"/>
  <c r="C505" i="14"/>
  <c r="S504" i="14"/>
  <c r="T504" i="14" s="1"/>
  <c r="M506" i="14"/>
  <c r="N506" i="14" s="1"/>
  <c r="AB504" i="20"/>
  <c r="D504" i="14"/>
  <c r="E504" i="14" s="1"/>
  <c r="R505" i="14"/>
  <c r="AD503" i="20"/>
  <c r="AE503" i="20" s="1"/>
  <c r="G504" i="14"/>
  <c r="H504" i="14" s="1"/>
  <c r="H508" i="4"/>
  <c r="G508" i="4"/>
  <c r="P505" i="14"/>
  <c r="Q505" i="14" s="1"/>
  <c r="B509" i="16"/>
  <c r="D509" i="16"/>
  <c r="A509" i="16"/>
  <c r="C510" i="16"/>
  <c r="O506" i="14"/>
  <c r="G505" i="23"/>
  <c r="F505" i="23"/>
  <c r="C504" i="23"/>
  <c r="K505" i="23"/>
  <c r="C509" i="18" s="1"/>
  <c r="A506" i="23"/>
  <c r="B509" i="18"/>
  <c r="A510" i="18"/>
  <c r="J506" i="14"/>
  <c r="K506" i="14" s="1"/>
  <c r="I506" i="23" l="1"/>
  <c r="J506" i="23"/>
  <c r="AA504" i="20"/>
  <c r="E504" i="23"/>
  <c r="H506" i="23"/>
  <c r="D505" i="14"/>
  <c r="E505" i="14" s="1"/>
  <c r="E509" i="16"/>
  <c r="R506" i="14"/>
  <c r="S506" i="14" s="1"/>
  <c r="T506" i="14" s="1"/>
  <c r="AB505" i="20"/>
  <c r="B510" i="16"/>
  <c r="D510" i="16"/>
  <c r="A510" i="16"/>
  <c r="C511" i="16"/>
  <c r="S505" i="14"/>
  <c r="T505" i="14" s="1"/>
  <c r="J507" i="14"/>
  <c r="K507" i="14" s="1"/>
  <c r="M507" i="14"/>
  <c r="N507" i="14" s="1"/>
  <c r="AD504" i="20"/>
  <c r="L508" i="14"/>
  <c r="F506" i="14"/>
  <c r="C506" i="14"/>
  <c r="B510" i="18"/>
  <c r="A511" i="18"/>
  <c r="G509" i="4"/>
  <c r="H509" i="4"/>
  <c r="I508" i="14"/>
  <c r="G506" i="23"/>
  <c r="C505" i="23"/>
  <c r="F506" i="23"/>
  <c r="K506" i="23"/>
  <c r="C510" i="18" s="1"/>
  <c r="A507" i="23"/>
  <c r="AC504" i="20"/>
  <c r="P506" i="14"/>
  <c r="Q506" i="14" s="1"/>
  <c r="F507" i="14"/>
  <c r="I507" i="23" l="1"/>
  <c r="J507" i="23"/>
  <c r="I509" i="14"/>
  <c r="AA505" i="20"/>
  <c r="E505" i="23"/>
  <c r="H507" i="23"/>
  <c r="F508" i="14"/>
  <c r="G508" i="14" s="1"/>
  <c r="H508" i="14" s="1"/>
  <c r="G507" i="14"/>
  <c r="H507" i="14" s="1"/>
  <c r="C507" i="14"/>
  <c r="B511" i="18"/>
  <c r="A512" i="18"/>
  <c r="A511" i="16"/>
  <c r="B511" i="16"/>
  <c r="D511" i="16"/>
  <c r="C512" i="16"/>
  <c r="AD505" i="20"/>
  <c r="L509" i="14"/>
  <c r="AE504" i="20"/>
  <c r="G510" i="4"/>
  <c r="H510" i="4"/>
  <c r="M508" i="14"/>
  <c r="N508" i="14" s="1"/>
  <c r="E510" i="16"/>
  <c r="O507" i="14"/>
  <c r="R507" i="14"/>
  <c r="G506" i="14"/>
  <c r="H506" i="14" s="1"/>
  <c r="AB506" i="20"/>
  <c r="AC506" i="20" s="1"/>
  <c r="F507" i="23"/>
  <c r="C506" i="23"/>
  <c r="G507" i="23"/>
  <c r="A508" i="23"/>
  <c r="K507" i="23"/>
  <c r="C511" i="18" s="1"/>
  <c r="J508" i="14"/>
  <c r="K508" i="14" s="1"/>
  <c r="AC505" i="20"/>
  <c r="D506" i="14"/>
  <c r="E506" i="14" s="1"/>
  <c r="I508" i="23" l="1"/>
  <c r="J508" i="23"/>
  <c r="AA506" i="20"/>
  <c r="I510" i="14"/>
  <c r="AA507" i="20"/>
  <c r="E506" i="23"/>
  <c r="H508" i="23"/>
  <c r="C508" i="14"/>
  <c r="D508" i="14" s="1"/>
  <c r="E508" i="14" s="1"/>
  <c r="F509" i="14"/>
  <c r="G509" i="14" s="1"/>
  <c r="H509" i="14" s="1"/>
  <c r="E511" i="16"/>
  <c r="G511" i="4"/>
  <c r="H511" i="4"/>
  <c r="D507" i="14"/>
  <c r="E507" i="14" s="1"/>
  <c r="J509" i="14"/>
  <c r="K509" i="14" s="1"/>
  <c r="AD506" i="20"/>
  <c r="AE506" i="20" s="1"/>
  <c r="L510" i="14"/>
  <c r="AB507" i="20"/>
  <c r="AC507" i="20" s="1"/>
  <c r="S507" i="14"/>
  <c r="T507" i="14" s="1"/>
  <c r="O508" i="14"/>
  <c r="R508" i="14"/>
  <c r="D512" i="16"/>
  <c r="A512" i="16"/>
  <c r="B512" i="16"/>
  <c r="C513" i="16"/>
  <c r="B512" i="18"/>
  <c r="A513" i="18"/>
  <c r="AE505" i="20"/>
  <c r="O509" i="14"/>
  <c r="F508" i="23"/>
  <c r="G508" i="23"/>
  <c r="C507" i="23"/>
  <c r="A509" i="23"/>
  <c r="K508" i="23"/>
  <c r="C512" i="18" s="1"/>
  <c r="P507" i="14"/>
  <c r="Q507" i="14" s="1"/>
  <c r="M509" i="14"/>
  <c r="N509" i="14" s="1"/>
  <c r="I509" i="23" l="1"/>
  <c r="J509" i="23"/>
  <c r="L511" i="14"/>
  <c r="I511" i="14"/>
  <c r="AA508" i="20"/>
  <c r="E507" i="23"/>
  <c r="H509" i="23"/>
  <c r="E512" i="16"/>
  <c r="R509" i="14"/>
  <c r="S509" i="14" s="1"/>
  <c r="T509" i="14" s="1"/>
  <c r="C509" i="14"/>
  <c r="D509" i="14" s="1"/>
  <c r="E509" i="14" s="1"/>
  <c r="O510" i="14"/>
  <c r="P510" i="14" s="1"/>
  <c r="Q510" i="14" s="1"/>
  <c r="B513" i="18"/>
  <c r="A514" i="18"/>
  <c r="F509" i="23"/>
  <c r="G509" i="23"/>
  <c r="C508" i="23"/>
  <c r="K509" i="23"/>
  <c r="C513" i="18" s="1"/>
  <c r="A510" i="23"/>
  <c r="P508" i="14"/>
  <c r="Q508" i="14" s="1"/>
  <c r="F510" i="14"/>
  <c r="J510" i="14"/>
  <c r="K510" i="14" s="1"/>
  <c r="AB508" i="20"/>
  <c r="AC508" i="20" s="1"/>
  <c r="P509" i="14"/>
  <c r="Q509" i="14" s="1"/>
  <c r="M510" i="14"/>
  <c r="N510" i="14" s="1"/>
  <c r="D513" i="16"/>
  <c r="B513" i="16"/>
  <c r="A513" i="16"/>
  <c r="C514" i="16"/>
  <c r="S508" i="14"/>
  <c r="T508" i="14" s="1"/>
  <c r="AD507" i="20"/>
  <c r="AE507" i="20" s="1"/>
  <c r="G512" i="4"/>
  <c r="H512" i="4"/>
  <c r="I510" i="23" l="1"/>
  <c r="J510" i="23"/>
  <c r="I512" i="14"/>
  <c r="L512" i="14"/>
  <c r="AA509" i="20"/>
  <c r="E508" i="23"/>
  <c r="H510" i="23"/>
  <c r="R510" i="14"/>
  <c r="S510" i="14" s="1"/>
  <c r="T510" i="14" s="1"/>
  <c r="E513" i="16"/>
  <c r="C510" i="14"/>
  <c r="D510" i="14" s="1"/>
  <c r="E510" i="14" s="1"/>
  <c r="M511" i="14"/>
  <c r="N511" i="14" s="1"/>
  <c r="AD508" i="20"/>
  <c r="AE508" i="20" s="1"/>
  <c r="O511" i="14"/>
  <c r="G510" i="14"/>
  <c r="H510" i="14" s="1"/>
  <c r="C509" i="23"/>
  <c r="F510" i="23"/>
  <c r="G510" i="23"/>
  <c r="K510" i="23"/>
  <c r="C514" i="18" s="1"/>
  <c r="A511" i="23"/>
  <c r="G513" i="4"/>
  <c r="H513" i="4"/>
  <c r="J511" i="14"/>
  <c r="K511" i="14" s="1"/>
  <c r="B514" i="18"/>
  <c r="A515" i="18"/>
  <c r="AB509" i="20"/>
  <c r="AC509" i="20" s="1"/>
  <c r="B514" i="16"/>
  <c r="D514" i="16"/>
  <c r="A514" i="16"/>
  <c r="C515" i="16"/>
  <c r="I511" i="23" l="1"/>
  <c r="J511" i="23"/>
  <c r="I513" i="14"/>
  <c r="L513" i="14"/>
  <c r="E509" i="23"/>
  <c r="H511" i="23"/>
  <c r="E514" i="16"/>
  <c r="F511" i="14"/>
  <c r="G511" i="14" s="1"/>
  <c r="H511" i="14" s="1"/>
  <c r="C511" i="14"/>
  <c r="O512" i="14"/>
  <c r="P512" i="14" s="1"/>
  <c r="Q512" i="14" s="1"/>
  <c r="B515" i="16"/>
  <c r="D515" i="16"/>
  <c r="A515" i="16"/>
  <c r="C516" i="16"/>
  <c r="AD509" i="20"/>
  <c r="AE509" i="20" s="1"/>
  <c r="F512" i="14"/>
  <c r="G514" i="4"/>
  <c r="H514" i="4"/>
  <c r="P511" i="14"/>
  <c r="Q511" i="14" s="1"/>
  <c r="R511" i="14"/>
  <c r="J512" i="14"/>
  <c r="K512" i="14" s="1"/>
  <c r="AB510" i="20"/>
  <c r="M512" i="14"/>
  <c r="N512" i="14" s="1"/>
  <c r="B515" i="18"/>
  <c r="A516" i="18"/>
  <c r="F511" i="23"/>
  <c r="C510" i="23"/>
  <c r="G511" i="23"/>
  <c r="K511" i="23"/>
  <c r="C515" i="18" s="1"/>
  <c r="A512" i="23"/>
  <c r="I512" i="23" l="1"/>
  <c r="J512" i="23"/>
  <c r="L514" i="14"/>
  <c r="AA510" i="20"/>
  <c r="E510" i="23"/>
  <c r="H512" i="23"/>
  <c r="R512" i="14"/>
  <c r="S512" i="14" s="1"/>
  <c r="T512" i="14" s="1"/>
  <c r="D511" i="14"/>
  <c r="E511" i="14" s="1"/>
  <c r="C512" i="14"/>
  <c r="D512" i="14" s="1"/>
  <c r="E512" i="14" s="1"/>
  <c r="E515" i="16"/>
  <c r="F512" i="23"/>
  <c r="C511" i="23"/>
  <c r="G512" i="23"/>
  <c r="K512" i="23"/>
  <c r="C516" i="18" s="1"/>
  <c r="A513" i="23"/>
  <c r="B516" i="18"/>
  <c r="A517" i="18"/>
  <c r="AD510" i="20"/>
  <c r="AB511" i="20"/>
  <c r="J513" i="14"/>
  <c r="K513" i="14" s="1"/>
  <c r="I514" i="14"/>
  <c r="G515" i="4"/>
  <c r="H515" i="4"/>
  <c r="F513" i="14"/>
  <c r="M513" i="14"/>
  <c r="N513" i="14" s="1"/>
  <c r="AC510" i="20"/>
  <c r="S511" i="14"/>
  <c r="T511" i="14" s="1"/>
  <c r="G512" i="14"/>
  <c r="H512" i="14" s="1"/>
  <c r="B516" i="16"/>
  <c r="D516" i="16"/>
  <c r="A516" i="16"/>
  <c r="C517" i="16"/>
  <c r="I513" i="23" l="1"/>
  <c r="J513" i="23"/>
  <c r="AA511" i="20"/>
  <c r="L515" i="14"/>
  <c r="E511" i="23"/>
  <c r="H513" i="23"/>
  <c r="C513" i="14"/>
  <c r="D513" i="14" s="1"/>
  <c r="E513" i="14" s="1"/>
  <c r="AB512" i="20"/>
  <c r="C512" i="23"/>
  <c r="F513" i="23"/>
  <c r="G513" i="23"/>
  <c r="K513" i="23"/>
  <c r="C517" i="18" s="1"/>
  <c r="A514" i="23"/>
  <c r="A517" i="16"/>
  <c r="B517" i="16"/>
  <c r="D517" i="16"/>
  <c r="C518" i="16"/>
  <c r="H516" i="4"/>
  <c r="G516" i="4"/>
  <c r="AD511" i="20"/>
  <c r="O513" i="14"/>
  <c r="R513" i="14"/>
  <c r="J514" i="14"/>
  <c r="K514" i="14" s="1"/>
  <c r="I515" i="14"/>
  <c r="AC511" i="20"/>
  <c r="B517" i="18"/>
  <c r="A518" i="18"/>
  <c r="E516" i="16"/>
  <c r="AE510" i="20"/>
  <c r="G513" i="14"/>
  <c r="H513" i="14" s="1"/>
  <c r="F514" i="14"/>
  <c r="M514" i="14"/>
  <c r="N514" i="14" s="1"/>
  <c r="I514" i="23" l="1"/>
  <c r="J514" i="23"/>
  <c r="AA512" i="20"/>
  <c r="I516" i="14"/>
  <c r="AA513" i="20"/>
  <c r="E512" i="23"/>
  <c r="H514" i="23"/>
  <c r="E517" i="16"/>
  <c r="J515" i="14"/>
  <c r="K515" i="14" s="1"/>
  <c r="M515" i="14"/>
  <c r="N515" i="14" s="1"/>
  <c r="G517" i="4"/>
  <c r="H517" i="4"/>
  <c r="L516" i="14"/>
  <c r="AD512" i="20"/>
  <c r="G514" i="14"/>
  <c r="H514" i="14" s="1"/>
  <c r="AB513" i="20"/>
  <c r="AC513" i="20" s="1"/>
  <c r="O515" i="14"/>
  <c r="AE511" i="20"/>
  <c r="P513" i="14"/>
  <c r="Q513" i="14" s="1"/>
  <c r="A518" i="16"/>
  <c r="D518" i="16"/>
  <c r="B518" i="16"/>
  <c r="C519" i="16"/>
  <c r="F514" i="23"/>
  <c r="C513" i="23"/>
  <c r="G514" i="23"/>
  <c r="K514" i="23"/>
  <c r="C518" i="18" s="1"/>
  <c r="A515" i="23"/>
  <c r="O514" i="14"/>
  <c r="R514" i="14"/>
  <c r="S513" i="14"/>
  <c r="T513" i="14" s="1"/>
  <c r="B518" i="18"/>
  <c r="A519" i="18"/>
  <c r="C514" i="14"/>
  <c r="AC512" i="20"/>
  <c r="I515" i="23" l="1"/>
  <c r="J515" i="23"/>
  <c r="I517" i="14"/>
  <c r="R515" i="14"/>
  <c r="S515" i="14" s="1"/>
  <c r="T515" i="14" s="1"/>
  <c r="E513" i="23"/>
  <c r="H515" i="23"/>
  <c r="F516" i="14"/>
  <c r="G516" i="14" s="1"/>
  <c r="H516" i="14" s="1"/>
  <c r="O516" i="14"/>
  <c r="AE512" i="20"/>
  <c r="P514" i="14"/>
  <c r="Q514" i="14" s="1"/>
  <c r="B519" i="16"/>
  <c r="A519" i="16"/>
  <c r="D519" i="16"/>
  <c r="C520" i="16"/>
  <c r="P515" i="14"/>
  <c r="Q515" i="14" s="1"/>
  <c r="AD513" i="20"/>
  <c r="AE513" i="20" s="1"/>
  <c r="L517" i="14"/>
  <c r="G518" i="4"/>
  <c r="H518" i="4"/>
  <c r="F515" i="14"/>
  <c r="C515" i="14"/>
  <c r="AB514" i="20"/>
  <c r="AC514" i="20" s="1"/>
  <c r="B519" i="18"/>
  <c r="A520" i="18"/>
  <c r="C514" i="23"/>
  <c r="G515" i="23"/>
  <c r="F515" i="23"/>
  <c r="K515" i="23"/>
  <c r="C519" i="18" s="1"/>
  <c r="A516" i="23"/>
  <c r="D514" i="14"/>
  <c r="E514" i="14" s="1"/>
  <c r="S514" i="14"/>
  <c r="T514" i="14" s="1"/>
  <c r="E518" i="16"/>
  <c r="J516" i="14"/>
  <c r="K516" i="14" s="1"/>
  <c r="M516" i="14"/>
  <c r="N516" i="14" s="1"/>
  <c r="I516" i="23" l="1"/>
  <c r="J516" i="23"/>
  <c r="AA514" i="20"/>
  <c r="I518" i="14"/>
  <c r="AA515" i="20"/>
  <c r="R516" i="14"/>
  <c r="S516" i="14" s="1"/>
  <c r="T516" i="14" s="1"/>
  <c r="E514" i="23"/>
  <c r="H516" i="23"/>
  <c r="C516" i="14"/>
  <c r="D516" i="14" s="1"/>
  <c r="E516" i="14" s="1"/>
  <c r="O517" i="14"/>
  <c r="P517" i="14" s="1"/>
  <c r="Q517" i="14" s="1"/>
  <c r="E519" i="16"/>
  <c r="D515" i="14"/>
  <c r="E515" i="14" s="1"/>
  <c r="M517" i="14"/>
  <c r="N517" i="14" s="1"/>
  <c r="D520" i="16"/>
  <c r="A520" i="16"/>
  <c r="B520" i="16"/>
  <c r="C521" i="16"/>
  <c r="B520" i="18"/>
  <c r="A521" i="18"/>
  <c r="AB515" i="20"/>
  <c r="AC515" i="20" s="1"/>
  <c r="J517" i="14"/>
  <c r="K517" i="14" s="1"/>
  <c r="F516" i="23"/>
  <c r="C515" i="23"/>
  <c r="G516" i="23"/>
  <c r="K516" i="23"/>
  <c r="C520" i="18" s="1"/>
  <c r="A517" i="23"/>
  <c r="G515" i="14"/>
  <c r="H515" i="14" s="1"/>
  <c r="G519" i="4"/>
  <c r="H519" i="4"/>
  <c r="AD514" i="20"/>
  <c r="AE514" i="20" s="1"/>
  <c r="L518" i="14"/>
  <c r="P516" i="14"/>
  <c r="Q516" i="14" s="1"/>
  <c r="I517" i="23" l="1"/>
  <c r="J517" i="23"/>
  <c r="L519" i="14"/>
  <c r="I519" i="14"/>
  <c r="E515" i="23"/>
  <c r="H517" i="23"/>
  <c r="R517" i="14"/>
  <c r="S517" i="14" s="1"/>
  <c r="T517" i="14" s="1"/>
  <c r="F518" i="14"/>
  <c r="G518" i="14" s="1"/>
  <c r="H518" i="14" s="1"/>
  <c r="E520" i="16"/>
  <c r="AD515" i="20"/>
  <c r="AE515" i="20" s="1"/>
  <c r="M518" i="14"/>
  <c r="N518" i="14" s="1"/>
  <c r="H520" i="4"/>
  <c r="G520" i="4"/>
  <c r="B521" i="18"/>
  <c r="A522" i="18"/>
  <c r="AB516" i="20"/>
  <c r="AC516" i="20" s="1"/>
  <c r="C516" i="23"/>
  <c r="F517" i="23"/>
  <c r="G517" i="23"/>
  <c r="K517" i="23"/>
  <c r="C521" i="18" s="1"/>
  <c r="A518" i="23"/>
  <c r="B521" i="16"/>
  <c r="D521" i="16"/>
  <c r="A521" i="16"/>
  <c r="C522" i="16"/>
  <c r="F517" i="14"/>
  <c r="C517" i="14"/>
  <c r="J518" i="14"/>
  <c r="K518" i="14" s="1"/>
  <c r="I518" i="23" l="1"/>
  <c r="J518" i="23"/>
  <c r="AA516" i="20"/>
  <c r="E516" i="23"/>
  <c r="H518" i="23"/>
  <c r="C518" i="14"/>
  <c r="D518" i="14" s="1"/>
  <c r="E518" i="14" s="1"/>
  <c r="E521" i="16"/>
  <c r="O519" i="14"/>
  <c r="P519" i="14" s="1"/>
  <c r="Q519" i="14" s="1"/>
  <c r="F519" i="14"/>
  <c r="G519" i="14" s="1"/>
  <c r="H519" i="14" s="1"/>
  <c r="D517" i="14"/>
  <c r="E517" i="14" s="1"/>
  <c r="G521" i="4"/>
  <c r="H521" i="4"/>
  <c r="AB517" i="20"/>
  <c r="AC517" i="20" s="1"/>
  <c r="I520" i="14"/>
  <c r="J519" i="14"/>
  <c r="K519" i="14" s="1"/>
  <c r="G517" i="14"/>
  <c r="H517" i="14" s="1"/>
  <c r="O518" i="14"/>
  <c r="R518" i="14"/>
  <c r="B522" i="16"/>
  <c r="D522" i="16"/>
  <c r="A522" i="16"/>
  <c r="C523" i="16"/>
  <c r="F518" i="23"/>
  <c r="G518" i="23"/>
  <c r="C517" i="23"/>
  <c r="A519" i="23"/>
  <c r="K518" i="23"/>
  <c r="C522" i="18" s="1"/>
  <c r="AD516" i="20"/>
  <c r="AE516" i="20" s="1"/>
  <c r="L520" i="14"/>
  <c r="B522" i="18"/>
  <c r="A523" i="18"/>
  <c r="M519" i="14"/>
  <c r="N519" i="14" s="1"/>
  <c r="I519" i="23" l="1"/>
  <c r="J519" i="23"/>
  <c r="AA517" i="20"/>
  <c r="L521" i="14"/>
  <c r="AA518" i="20"/>
  <c r="E517" i="23"/>
  <c r="H519" i="23"/>
  <c r="R519" i="14"/>
  <c r="S519" i="14" s="1"/>
  <c r="T519" i="14" s="1"/>
  <c r="E522" i="16"/>
  <c r="C519" i="14"/>
  <c r="D519" i="14" s="1"/>
  <c r="E519" i="14" s="1"/>
  <c r="F520" i="14"/>
  <c r="G520" i="14" s="1"/>
  <c r="H520" i="14" s="1"/>
  <c r="I521" i="14"/>
  <c r="G522" i="4"/>
  <c r="H522" i="4"/>
  <c r="AB518" i="20"/>
  <c r="AC518" i="20" s="1"/>
  <c r="M520" i="14"/>
  <c r="N520" i="14" s="1"/>
  <c r="G519" i="23"/>
  <c r="F519" i="23"/>
  <c r="C518" i="23"/>
  <c r="A520" i="23"/>
  <c r="K519" i="23"/>
  <c r="C523" i="18" s="1"/>
  <c r="AD517" i="20"/>
  <c r="AE517" i="20" s="1"/>
  <c r="S518" i="14"/>
  <c r="T518" i="14" s="1"/>
  <c r="B523" i="18"/>
  <c r="A524" i="18"/>
  <c r="D523" i="16"/>
  <c r="B523" i="16"/>
  <c r="A523" i="16"/>
  <c r="C524" i="16"/>
  <c r="O520" i="14"/>
  <c r="P518" i="14"/>
  <c r="Q518" i="14" s="1"/>
  <c r="J520" i="14"/>
  <c r="K520" i="14" s="1"/>
  <c r="I520" i="23" l="1"/>
  <c r="J520" i="23"/>
  <c r="L522" i="14"/>
  <c r="I522" i="14"/>
  <c r="AA519" i="20"/>
  <c r="E518" i="23"/>
  <c r="H520" i="23"/>
  <c r="O521" i="14"/>
  <c r="P521" i="14" s="1"/>
  <c r="Q521" i="14" s="1"/>
  <c r="C520" i="14"/>
  <c r="D520" i="14" s="1"/>
  <c r="E520" i="14" s="1"/>
  <c r="H523" i="4"/>
  <c r="G523" i="4"/>
  <c r="P520" i="14"/>
  <c r="Q520" i="14" s="1"/>
  <c r="G520" i="23"/>
  <c r="C519" i="23"/>
  <c r="F520" i="23"/>
  <c r="K520" i="23"/>
  <c r="C524" i="18" s="1"/>
  <c r="A521" i="23"/>
  <c r="AD518" i="20"/>
  <c r="AE518" i="20" s="1"/>
  <c r="J521" i="14"/>
  <c r="K521" i="14" s="1"/>
  <c r="D524" i="16"/>
  <c r="B524" i="16"/>
  <c r="A524" i="16"/>
  <c r="C525" i="16"/>
  <c r="B524" i="18"/>
  <c r="A525" i="18"/>
  <c r="R520" i="14"/>
  <c r="F521" i="14"/>
  <c r="E523" i="16"/>
  <c r="AB519" i="20"/>
  <c r="AC519" i="20" s="1"/>
  <c r="M521" i="14"/>
  <c r="N521" i="14" s="1"/>
  <c r="I521" i="23" l="1"/>
  <c r="J521" i="23"/>
  <c r="L523" i="14"/>
  <c r="I523" i="14"/>
  <c r="AA520" i="20"/>
  <c r="E519" i="23"/>
  <c r="H521" i="23"/>
  <c r="R521" i="14"/>
  <c r="S521" i="14" s="1"/>
  <c r="T521" i="14" s="1"/>
  <c r="C521" i="14"/>
  <c r="D521" i="14" s="1"/>
  <c r="E521" i="14" s="1"/>
  <c r="E524" i="16"/>
  <c r="F522" i="14"/>
  <c r="G522" i="14" s="1"/>
  <c r="H522" i="14" s="1"/>
  <c r="B525" i="18"/>
  <c r="A526" i="18"/>
  <c r="S520" i="14"/>
  <c r="T520" i="14" s="1"/>
  <c r="G521" i="14"/>
  <c r="H521" i="14" s="1"/>
  <c r="AB520" i="20"/>
  <c r="AC520" i="20" s="1"/>
  <c r="J522" i="14"/>
  <c r="K522" i="14" s="1"/>
  <c r="O522" i="14"/>
  <c r="M522" i="14"/>
  <c r="N522" i="14" s="1"/>
  <c r="AD519" i="20"/>
  <c r="AE519" i="20" s="1"/>
  <c r="B525" i="16"/>
  <c r="D525" i="16"/>
  <c r="A525" i="16"/>
  <c r="C526" i="16"/>
  <c r="G521" i="23"/>
  <c r="C520" i="23"/>
  <c r="F521" i="23"/>
  <c r="A522" i="23"/>
  <c r="K521" i="23"/>
  <c r="C525" i="18" s="1"/>
  <c r="H524" i="4"/>
  <c r="G524" i="4"/>
  <c r="I522" i="23" l="1"/>
  <c r="J522" i="23"/>
  <c r="L524" i="14"/>
  <c r="I524" i="14"/>
  <c r="C522" i="14"/>
  <c r="D522" i="14" s="1"/>
  <c r="E522" i="14" s="1"/>
  <c r="E520" i="23"/>
  <c r="H522" i="23"/>
  <c r="G525" i="4"/>
  <c r="H525" i="4"/>
  <c r="C521" i="23"/>
  <c r="F522" i="23"/>
  <c r="G522" i="23"/>
  <c r="A523" i="23"/>
  <c r="K522" i="23"/>
  <c r="C526" i="18" s="1"/>
  <c r="B526" i="18"/>
  <c r="A527" i="18"/>
  <c r="F523" i="14"/>
  <c r="P522" i="14"/>
  <c r="Q522" i="14" s="1"/>
  <c r="AD520" i="20"/>
  <c r="AE520" i="20" s="1"/>
  <c r="J523" i="14"/>
  <c r="K523" i="14" s="1"/>
  <c r="A526" i="16"/>
  <c r="D526" i="16"/>
  <c r="B526" i="16"/>
  <c r="C527" i="16"/>
  <c r="M523" i="14"/>
  <c r="N523" i="14" s="1"/>
  <c r="R522" i="14"/>
  <c r="AB521" i="20"/>
  <c r="AC521" i="20" s="1"/>
  <c r="E525" i="16"/>
  <c r="I523" i="23" l="1"/>
  <c r="J523" i="23"/>
  <c r="AA521" i="20"/>
  <c r="E521" i="23"/>
  <c r="H523" i="23"/>
  <c r="C523" i="14"/>
  <c r="D523" i="14" s="1"/>
  <c r="E523" i="14" s="1"/>
  <c r="O524" i="14"/>
  <c r="P524" i="14" s="1"/>
  <c r="Q524" i="14" s="1"/>
  <c r="F524" i="14"/>
  <c r="G524" i="14" s="1"/>
  <c r="H524" i="14" s="1"/>
  <c r="E526" i="16"/>
  <c r="A527" i="16"/>
  <c r="D527" i="16"/>
  <c r="B527" i="16"/>
  <c r="C528" i="16"/>
  <c r="B527" i="18"/>
  <c r="A528" i="18"/>
  <c r="AD521" i="20"/>
  <c r="AE521" i="20" s="1"/>
  <c r="L525" i="14"/>
  <c r="M524" i="14"/>
  <c r="N524" i="14" s="1"/>
  <c r="S522" i="14"/>
  <c r="T522" i="14" s="1"/>
  <c r="I525" i="14"/>
  <c r="G526" i="4"/>
  <c r="H526" i="4"/>
  <c r="AB522" i="20"/>
  <c r="AC522" i="20" s="1"/>
  <c r="O523" i="14"/>
  <c r="R523" i="14"/>
  <c r="J524" i="14"/>
  <c r="K524" i="14" s="1"/>
  <c r="G523" i="14"/>
  <c r="H523" i="14" s="1"/>
  <c r="C522" i="23"/>
  <c r="F523" i="23"/>
  <c r="G523" i="23"/>
  <c r="K523" i="23"/>
  <c r="C527" i="18" s="1"/>
  <c r="A524" i="23"/>
  <c r="I524" i="23" l="1"/>
  <c r="J524" i="23"/>
  <c r="AA522" i="20"/>
  <c r="E522" i="23"/>
  <c r="H524" i="23"/>
  <c r="R524" i="14"/>
  <c r="S524" i="14" s="1"/>
  <c r="T524" i="14" s="1"/>
  <c r="E527" i="16"/>
  <c r="C524" i="14"/>
  <c r="D524" i="14" s="1"/>
  <c r="E524" i="14" s="1"/>
  <c r="AB523" i="20"/>
  <c r="B528" i="18"/>
  <c r="A529" i="18"/>
  <c r="S523" i="14"/>
  <c r="T523" i="14" s="1"/>
  <c r="G527" i="4"/>
  <c r="H527" i="4"/>
  <c r="M525" i="14"/>
  <c r="N525" i="14" s="1"/>
  <c r="G524" i="23"/>
  <c r="F524" i="23"/>
  <c r="C523" i="23"/>
  <c r="K524" i="23"/>
  <c r="C528" i="18" s="1"/>
  <c r="A525" i="23"/>
  <c r="O525" i="14"/>
  <c r="I526" i="14"/>
  <c r="P523" i="14"/>
  <c r="Q523" i="14" s="1"/>
  <c r="J525" i="14"/>
  <c r="K525" i="14" s="1"/>
  <c r="A528" i="16"/>
  <c r="B528" i="16"/>
  <c r="D528" i="16"/>
  <c r="C529" i="16"/>
  <c r="AD522" i="20"/>
  <c r="AE522" i="20" s="1"/>
  <c r="L526" i="14"/>
  <c r="I525" i="23" l="1"/>
  <c r="J525" i="23"/>
  <c r="I527" i="14"/>
  <c r="AA523" i="20"/>
  <c r="E523" i="23"/>
  <c r="H525" i="23"/>
  <c r="F526" i="14"/>
  <c r="G526" i="14" s="1"/>
  <c r="H526" i="14" s="1"/>
  <c r="AC523" i="20"/>
  <c r="E528" i="16"/>
  <c r="P525" i="14"/>
  <c r="Q525" i="14" s="1"/>
  <c r="G525" i="23"/>
  <c r="C524" i="23"/>
  <c r="F525" i="23"/>
  <c r="K525" i="23"/>
  <c r="C529" i="18" s="1"/>
  <c r="A526" i="23"/>
  <c r="B529" i="18"/>
  <c r="A530" i="18"/>
  <c r="AB524" i="20"/>
  <c r="B529" i="16"/>
  <c r="D529" i="16"/>
  <c r="A529" i="16"/>
  <c r="C530" i="16"/>
  <c r="L527" i="14"/>
  <c r="AD523" i="20"/>
  <c r="R525" i="14"/>
  <c r="M526" i="14"/>
  <c r="N526" i="14" s="1"/>
  <c r="O526" i="14"/>
  <c r="J526" i="14"/>
  <c r="K526" i="14" s="1"/>
  <c r="G528" i="4"/>
  <c r="H528" i="4"/>
  <c r="F525" i="14"/>
  <c r="C525" i="14"/>
  <c r="I526" i="23" l="1"/>
  <c r="J526" i="23"/>
  <c r="L528" i="14"/>
  <c r="AA524" i="20"/>
  <c r="C526" i="14"/>
  <c r="D526" i="14" s="1"/>
  <c r="E526" i="14" s="1"/>
  <c r="E524" i="23"/>
  <c r="H526" i="23"/>
  <c r="E529" i="16"/>
  <c r="G529" i="4"/>
  <c r="H529" i="4"/>
  <c r="I528" i="14"/>
  <c r="C525" i="23"/>
  <c r="F526" i="23"/>
  <c r="G526" i="23"/>
  <c r="A527" i="23"/>
  <c r="K526" i="23"/>
  <c r="C530" i="18" s="1"/>
  <c r="D525" i="14"/>
  <c r="E525" i="14" s="1"/>
  <c r="P526" i="14"/>
  <c r="Q526" i="14" s="1"/>
  <c r="M527" i="14"/>
  <c r="N527" i="14" s="1"/>
  <c r="R526" i="14"/>
  <c r="G525" i="14"/>
  <c r="H525" i="14" s="1"/>
  <c r="AC524" i="20"/>
  <c r="S525" i="14"/>
  <c r="T525" i="14" s="1"/>
  <c r="J527" i="14"/>
  <c r="K527" i="14" s="1"/>
  <c r="AB525" i="20"/>
  <c r="AC525" i="20" s="1"/>
  <c r="D530" i="16"/>
  <c r="A530" i="16"/>
  <c r="B530" i="16"/>
  <c r="C531" i="16"/>
  <c r="AD524" i="20"/>
  <c r="B530" i="18"/>
  <c r="A531" i="18"/>
  <c r="AE523" i="20"/>
  <c r="I527" i="23" l="1"/>
  <c r="J527" i="23"/>
  <c r="AA525" i="20"/>
  <c r="I529" i="14"/>
  <c r="E525" i="23"/>
  <c r="H527" i="23"/>
  <c r="E530" i="16"/>
  <c r="AE524" i="20"/>
  <c r="AB526" i="20"/>
  <c r="F528" i="14"/>
  <c r="A531" i="16"/>
  <c r="D531" i="16"/>
  <c r="B531" i="16"/>
  <c r="C532" i="16"/>
  <c r="G527" i="23"/>
  <c r="C526" i="23"/>
  <c r="F527" i="23"/>
  <c r="K527" i="23"/>
  <c r="C531" i="18" s="1"/>
  <c r="A528" i="23"/>
  <c r="J528" i="14"/>
  <c r="K528" i="14" s="1"/>
  <c r="G530" i="4"/>
  <c r="H530" i="4"/>
  <c r="B531" i="18"/>
  <c r="A532" i="18"/>
  <c r="AD525" i="20"/>
  <c r="AE525" i="20" s="1"/>
  <c r="L529" i="14"/>
  <c r="O527" i="14"/>
  <c r="R527" i="14"/>
  <c r="M528" i="14"/>
  <c r="N528" i="14" s="1"/>
  <c r="S526" i="14"/>
  <c r="T526" i="14" s="1"/>
  <c r="F527" i="14"/>
  <c r="C527" i="14"/>
  <c r="I528" i="23" l="1"/>
  <c r="J528" i="23"/>
  <c r="I530" i="14"/>
  <c r="AA526" i="20"/>
  <c r="E526" i="23"/>
  <c r="H528" i="23"/>
  <c r="E531" i="16"/>
  <c r="C528" i="14"/>
  <c r="D528" i="14" s="1"/>
  <c r="E528" i="14" s="1"/>
  <c r="O529" i="14"/>
  <c r="P529" i="14" s="1"/>
  <c r="Q529" i="14" s="1"/>
  <c r="G527" i="14"/>
  <c r="H527" i="14" s="1"/>
  <c r="S527" i="14"/>
  <c r="T527" i="14" s="1"/>
  <c r="G531" i="4"/>
  <c r="H531" i="4"/>
  <c r="G528" i="23"/>
  <c r="F528" i="23"/>
  <c r="C527" i="23"/>
  <c r="K528" i="23"/>
  <c r="C532" i="18" s="1"/>
  <c r="A529" i="23"/>
  <c r="J529" i="14"/>
  <c r="K529" i="14" s="1"/>
  <c r="AC526" i="20"/>
  <c r="P527" i="14"/>
  <c r="Q527" i="14" s="1"/>
  <c r="A532" i="16"/>
  <c r="D532" i="16"/>
  <c r="B532" i="16"/>
  <c r="C533" i="16"/>
  <c r="G528" i="14"/>
  <c r="H528" i="14" s="1"/>
  <c r="L530" i="14"/>
  <c r="AD526" i="20"/>
  <c r="O528" i="14"/>
  <c r="R528" i="14"/>
  <c r="AB527" i="20"/>
  <c r="AC527" i="20" s="1"/>
  <c r="B532" i="18"/>
  <c r="A533" i="18"/>
  <c r="D527" i="14"/>
  <c r="E527" i="14" s="1"/>
  <c r="M529" i="14"/>
  <c r="N529" i="14" s="1"/>
  <c r="F529" i="14"/>
  <c r="I529" i="23" l="1"/>
  <c r="J529" i="23"/>
  <c r="I531" i="14"/>
  <c r="AA527" i="20"/>
  <c r="E527" i="23"/>
  <c r="H529" i="23"/>
  <c r="R529" i="14"/>
  <c r="S529" i="14" s="1"/>
  <c r="T529" i="14" s="1"/>
  <c r="F530" i="14"/>
  <c r="G530" i="14" s="1"/>
  <c r="H530" i="14" s="1"/>
  <c r="E532" i="16"/>
  <c r="D533" i="16"/>
  <c r="B533" i="16"/>
  <c r="A533" i="16"/>
  <c r="C534" i="16"/>
  <c r="AE526" i="20"/>
  <c r="AD527" i="20"/>
  <c r="AE527" i="20" s="1"/>
  <c r="L531" i="14"/>
  <c r="S528" i="14"/>
  <c r="T528" i="14" s="1"/>
  <c r="M530" i="14"/>
  <c r="N530" i="14" s="1"/>
  <c r="C529" i="14"/>
  <c r="H532" i="4"/>
  <c r="G532" i="4"/>
  <c r="G529" i="14"/>
  <c r="H529" i="14" s="1"/>
  <c r="AB528" i="20"/>
  <c r="AC528" i="20" s="1"/>
  <c r="B533" i="18"/>
  <c r="A534" i="18"/>
  <c r="P528" i="14"/>
  <c r="Q528" i="14" s="1"/>
  <c r="J530" i="14"/>
  <c r="K530" i="14" s="1"/>
  <c r="C528" i="23"/>
  <c r="G529" i="23"/>
  <c r="F529" i="23"/>
  <c r="K529" i="23"/>
  <c r="C533" i="18" s="1"/>
  <c r="A530" i="23"/>
  <c r="I530" i="23" l="1"/>
  <c r="J530" i="23"/>
  <c r="AA528" i="20"/>
  <c r="L532" i="14"/>
  <c r="E528" i="23"/>
  <c r="H530" i="23"/>
  <c r="O531" i="14"/>
  <c r="P531" i="14" s="1"/>
  <c r="Q531" i="14" s="1"/>
  <c r="C530" i="14"/>
  <c r="D530" i="14" s="1"/>
  <c r="E530" i="14" s="1"/>
  <c r="E533" i="16"/>
  <c r="AB529" i="20"/>
  <c r="M531" i="14"/>
  <c r="N531" i="14" s="1"/>
  <c r="D534" i="16"/>
  <c r="A534" i="16"/>
  <c r="B534" i="16"/>
  <c r="C535" i="16"/>
  <c r="I532" i="14"/>
  <c r="J531" i="14"/>
  <c r="K531" i="14" s="1"/>
  <c r="D529" i="14"/>
  <c r="E529" i="14" s="1"/>
  <c r="F530" i="23"/>
  <c r="G530" i="23"/>
  <c r="C529" i="23"/>
  <c r="K530" i="23"/>
  <c r="C534" i="18" s="1"/>
  <c r="A531" i="23"/>
  <c r="AD528" i="20"/>
  <c r="AE528" i="20" s="1"/>
  <c r="G533" i="4"/>
  <c r="H533" i="4"/>
  <c r="O530" i="14"/>
  <c r="R530" i="14"/>
  <c r="B534" i="18"/>
  <c r="A535" i="18"/>
  <c r="F531" i="14"/>
  <c r="I531" i="23" l="1"/>
  <c r="J531" i="23"/>
  <c r="L533" i="14"/>
  <c r="AA529" i="20"/>
  <c r="E529" i="23"/>
  <c r="H531" i="23"/>
  <c r="E534" i="16"/>
  <c r="R531" i="14"/>
  <c r="S531" i="14" s="1"/>
  <c r="T531" i="14" s="1"/>
  <c r="F532" i="14"/>
  <c r="G532" i="14" s="1"/>
  <c r="H532" i="14" s="1"/>
  <c r="O532" i="14"/>
  <c r="P532" i="14" s="1"/>
  <c r="Q532" i="14" s="1"/>
  <c r="C531" i="14"/>
  <c r="D531" i="14" s="1"/>
  <c r="E531" i="14" s="1"/>
  <c r="P530" i="14"/>
  <c r="Q530" i="14" s="1"/>
  <c r="B535" i="18"/>
  <c r="A536" i="18"/>
  <c r="AB530" i="20"/>
  <c r="AC530" i="20" s="1"/>
  <c r="G531" i="14"/>
  <c r="H531" i="14" s="1"/>
  <c r="I533" i="14"/>
  <c r="F531" i="23"/>
  <c r="C530" i="23"/>
  <c r="G531" i="23"/>
  <c r="K531" i="23"/>
  <c r="C535" i="18" s="1"/>
  <c r="A532" i="23"/>
  <c r="J532" i="14"/>
  <c r="K532" i="14" s="1"/>
  <c r="AD529" i="20"/>
  <c r="G534" i="4"/>
  <c r="H534" i="4"/>
  <c r="AC529" i="20"/>
  <c r="S530" i="14"/>
  <c r="T530" i="14" s="1"/>
  <c r="M532" i="14"/>
  <c r="N532" i="14" s="1"/>
  <c r="D535" i="16"/>
  <c r="B535" i="16"/>
  <c r="A535" i="16"/>
  <c r="C536" i="16"/>
  <c r="I532" i="23" l="1"/>
  <c r="J532" i="23"/>
  <c r="AA530" i="20"/>
  <c r="I534" i="14"/>
  <c r="C532" i="14"/>
  <c r="D532" i="14" s="1"/>
  <c r="E532" i="14" s="1"/>
  <c r="E530" i="23"/>
  <c r="H532" i="23"/>
  <c r="R532" i="14"/>
  <c r="S532" i="14" s="1"/>
  <c r="T532" i="14" s="1"/>
  <c r="E535" i="16"/>
  <c r="F533" i="14"/>
  <c r="G533" i="14" s="1"/>
  <c r="H533" i="14" s="1"/>
  <c r="D536" i="16"/>
  <c r="A536" i="16"/>
  <c r="B536" i="16"/>
  <c r="C537" i="16"/>
  <c r="B536" i="18"/>
  <c r="A537" i="18"/>
  <c r="M533" i="14"/>
  <c r="N533" i="14" s="1"/>
  <c r="L534" i="14"/>
  <c r="AD530" i="20"/>
  <c r="AE530" i="20" s="1"/>
  <c r="G535" i="4"/>
  <c r="H535" i="4"/>
  <c r="O533" i="14"/>
  <c r="AE529" i="20"/>
  <c r="J533" i="14"/>
  <c r="K533" i="14" s="1"/>
  <c r="G532" i="23"/>
  <c r="C531" i="23"/>
  <c r="F532" i="23"/>
  <c r="K532" i="23"/>
  <c r="C536" i="18" s="1"/>
  <c r="A533" i="23"/>
  <c r="AB531" i="20"/>
  <c r="AC531" i="20" s="1"/>
  <c r="I533" i="23" l="1"/>
  <c r="J533" i="23"/>
  <c r="I535" i="14"/>
  <c r="AA531" i="20"/>
  <c r="E531" i="23"/>
  <c r="H533" i="23"/>
  <c r="C533" i="14"/>
  <c r="D533" i="14" s="1"/>
  <c r="E533" i="14" s="1"/>
  <c r="O534" i="14"/>
  <c r="P534" i="14" s="1"/>
  <c r="Q534" i="14" s="1"/>
  <c r="F534" i="14"/>
  <c r="G534" i="14" s="1"/>
  <c r="H534" i="14" s="1"/>
  <c r="E536" i="16"/>
  <c r="R533" i="14"/>
  <c r="S533" i="14" s="1"/>
  <c r="T533" i="14" s="1"/>
  <c r="G533" i="23"/>
  <c r="F533" i="23"/>
  <c r="C532" i="23"/>
  <c r="A534" i="23"/>
  <c r="K533" i="23"/>
  <c r="C537" i="18" s="1"/>
  <c r="AD531" i="20"/>
  <c r="AE531" i="20" s="1"/>
  <c r="L535" i="14"/>
  <c r="AB532" i="20"/>
  <c r="AC532" i="20" s="1"/>
  <c r="J534" i="14"/>
  <c r="K534" i="14" s="1"/>
  <c r="M534" i="14"/>
  <c r="N534" i="14" s="1"/>
  <c r="B537" i="18"/>
  <c r="A538" i="18"/>
  <c r="P533" i="14"/>
  <c r="Q533" i="14" s="1"/>
  <c r="H536" i="4"/>
  <c r="G536" i="4"/>
  <c r="B537" i="16"/>
  <c r="A537" i="16"/>
  <c r="D537" i="16"/>
  <c r="C538" i="16"/>
  <c r="I534" i="23" l="1"/>
  <c r="J534" i="23"/>
  <c r="AA532" i="20"/>
  <c r="I536" i="14"/>
  <c r="E532" i="23"/>
  <c r="H534" i="23"/>
  <c r="R534" i="14"/>
  <c r="S534" i="14" s="1"/>
  <c r="T534" i="14" s="1"/>
  <c r="C534" i="14"/>
  <c r="D534" i="14" s="1"/>
  <c r="E534" i="14" s="1"/>
  <c r="AD532" i="20"/>
  <c r="AE532" i="20" s="1"/>
  <c r="L536" i="14"/>
  <c r="D538" i="16"/>
  <c r="B538" i="16"/>
  <c r="A538" i="16"/>
  <c r="C539" i="16"/>
  <c r="B538" i="18"/>
  <c r="A539" i="18"/>
  <c r="AB533" i="20"/>
  <c r="AC533" i="20" s="1"/>
  <c r="J535" i="14"/>
  <c r="K535" i="14" s="1"/>
  <c r="E537" i="16"/>
  <c r="G537" i="4"/>
  <c r="H537" i="4"/>
  <c r="G534" i="23"/>
  <c r="C533" i="23"/>
  <c r="F534" i="23"/>
  <c r="K534" i="23"/>
  <c r="C538" i="18" s="1"/>
  <c r="A535" i="23"/>
  <c r="M535" i="14"/>
  <c r="N535" i="14" s="1"/>
  <c r="F535" i="14"/>
  <c r="I535" i="23" l="1"/>
  <c r="J535" i="23"/>
  <c r="AA533" i="20"/>
  <c r="L537" i="14"/>
  <c r="E533" i="23"/>
  <c r="H535" i="23"/>
  <c r="E538" i="16"/>
  <c r="O536" i="14"/>
  <c r="P536" i="14" s="1"/>
  <c r="Q536" i="14" s="1"/>
  <c r="AD533" i="20"/>
  <c r="AE533" i="20" s="1"/>
  <c r="D539" i="16"/>
  <c r="B539" i="16"/>
  <c r="A539" i="16"/>
  <c r="C540" i="16"/>
  <c r="M536" i="14"/>
  <c r="N536" i="14" s="1"/>
  <c r="I537" i="14"/>
  <c r="C535" i="14"/>
  <c r="J536" i="14"/>
  <c r="K536" i="14" s="1"/>
  <c r="AB534" i="20"/>
  <c r="AC534" i="20" s="1"/>
  <c r="F535" i="23"/>
  <c r="C534" i="23"/>
  <c r="G535" i="23"/>
  <c r="A536" i="23"/>
  <c r="K535" i="23"/>
  <c r="C539" i="18" s="1"/>
  <c r="G538" i="4"/>
  <c r="H538" i="4"/>
  <c r="G535" i="14"/>
  <c r="H535" i="14" s="1"/>
  <c r="O535" i="14"/>
  <c r="R535" i="14"/>
  <c r="B539" i="18"/>
  <c r="A540" i="18"/>
  <c r="F536" i="14"/>
  <c r="I536" i="23" l="1"/>
  <c r="J536" i="23"/>
  <c r="E539" i="16"/>
  <c r="AA534" i="20"/>
  <c r="L538" i="14"/>
  <c r="AA535" i="20"/>
  <c r="E534" i="23"/>
  <c r="H536" i="23"/>
  <c r="O537" i="14"/>
  <c r="P537" i="14" s="1"/>
  <c r="Q537" i="14" s="1"/>
  <c r="R536" i="14"/>
  <c r="S536" i="14" s="1"/>
  <c r="T536" i="14" s="1"/>
  <c r="G536" i="14"/>
  <c r="H536" i="14" s="1"/>
  <c r="P535" i="14"/>
  <c r="Q535" i="14" s="1"/>
  <c r="H539" i="4"/>
  <c r="G539" i="4"/>
  <c r="J537" i="14"/>
  <c r="K537" i="14" s="1"/>
  <c r="C536" i="14"/>
  <c r="I538" i="14"/>
  <c r="B540" i="18"/>
  <c r="A541" i="18"/>
  <c r="AD534" i="20"/>
  <c r="AE534" i="20" s="1"/>
  <c r="M537" i="14"/>
  <c r="N537" i="14" s="1"/>
  <c r="D535" i="14"/>
  <c r="E535" i="14" s="1"/>
  <c r="AB535" i="20"/>
  <c r="AC535" i="20" s="1"/>
  <c r="S535" i="14"/>
  <c r="T535" i="14" s="1"/>
  <c r="F536" i="23"/>
  <c r="G536" i="23"/>
  <c r="C535" i="23"/>
  <c r="K536" i="23"/>
  <c r="C540" i="18" s="1"/>
  <c r="A537" i="23"/>
  <c r="F537" i="14"/>
  <c r="B540" i="16"/>
  <c r="A540" i="16"/>
  <c r="D540" i="16"/>
  <c r="C541" i="16"/>
  <c r="I537" i="23" l="1"/>
  <c r="J537" i="23"/>
  <c r="L539" i="14"/>
  <c r="E540" i="16"/>
  <c r="I539" i="14"/>
  <c r="R537" i="14"/>
  <c r="S537" i="14" s="1"/>
  <c r="T537" i="14" s="1"/>
  <c r="E535" i="23"/>
  <c r="H537" i="23"/>
  <c r="F538" i="14"/>
  <c r="G538" i="14" s="1"/>
  <c r="H538" i="14" s="1"/>
  <c r="O538" i="14"/>
  <c r="P538" i="14" s="1"/>
  <c r="F537" i="23"/>
  <c r="C536" i="23"/>
  <c r="G537" i="23"/>
  <c r="K537" i="23"/>
  <c r="C541" i="18" s="1"/>
  <c r="A538" i="23"/>
  <c r="AD535" i="20"/>
  <c r="AE535" i="20" s="1"/>
  <c r="C537" i="14"/>
  <c r="B541" i="18"/>
  <c r="A542" i="18"/>
  <c r="AB536" i="20"/>
  <c r="AC536" i="20" s="1"/>
  <c r="H540" i="4"/>
  <c r="G540" i="4"/>
  <c r="M538" i="14"/>
  <c r="N538" i="14" s="1"/>
  <c r="D536" i="14"/>
  <c r="E536" i="14" s="1"/>
  <c r="B541" i="16"/>
  <c r="D541" i="16"/>
  <c r="A541" i="16"/>
  <c r="C542" i="16"/>
  <c r="G537" i="14"/>
  <c r="H537" i="14" s="1"/>
  <c r="J538" i="14"/>
  <c r="K538" i="14" s="1"/>
  <c r="I538" i="23" l="1"/>
  <c r="J538" i="23"/>
  <c r="AA536" i="20"/>
  <c r="L540" i="14"/>
  <c r="E536" i="23"/>
  <c r="H538" i="23"/>
  <c r="C538" i="14"/>
  <c r="D538" i="14" s="1"/>
  <c r="E538" i="14" s="1"/>
  <c r="Q538" i="14"/>
  <c r="O539" i="14"/>
  <c r="P539" i="14" s="1"/>
  <c r="Q539" i="14" s="1"/>
  <c r="F539" i="14"/>
  <c r="G539" i="14" s="1"/>
  <c r="E541" i="16"/>
  <c r="R538" i="14"/>
  <c r="AD536" i="20"/>
  <c r="AE536" i="20" s="1"/>
  <c r="AB537" i="20"/>
  <c r="G541" i="4"/>
  <c r="H541" i="4"/>
  <c r="B542" i="18"/>
  <c r="A543" i="18"/>
  <c r="I540" i="14"/>
  <c r="M539" i="14"/>
  <c r="N539" i="14" s="1"/>
  <c r="J539" i="14"/>
  <c r="K539" i="14" s="1"/>
  <c r="B542" i="16"/>
  <c r="D542" i="16"/>
  <c r="A542" i="16"/>
  <c r="C543" i="16"/>
  <c r="D537" i="14"/>
  <c r="E537" i="14" s="1"/>
  <c r="F538" i="23"/>
  <c r="C537" i="23"/>
  <c r="G538" i="23"/>
  <c r="K538" i="23"/>
  <c r="C542" i="18" s="1"/>
  <c r="A539" i="23"/>
  <c r="I539" i="23" l="1"/>
  <c r="J539" i="23"/>
  <c r="AA537" i="20"/>
  <c r="I541" i="14"/>
  <c r="E537" i="23"/>
  <c r="H539" i="23"/>
  <c r="F540" i="14"/>
  <c r="G540" i="14" s="1"/>
  <c r="H540" i="14" s="1"/>
  <c r="R539" i="14"/>
  <c r="S539" i="14" s="1"/>
  <c r="T539" i="14" s="1"/>
  <c r="E542" i="16"/>
  <c r="O540" i="14"/>
  <c r="P540" i="14" s="1"/>
  <c r="Q540" i="14" s="1"/>
  <c r="C539" i="14"/>
  <c r="D539" i="14" s="1"/>
  <c r="E539" i="14" s="1"/>
  <c r="H539" i="14"/>
  <c r="S538" i="14"/>
  <c r="T538" i="14" s="1"/>
  <c r="B543" i="16"/>
  <c r="D543" i="16"/>
  <c r="A543" i="16"/>
  <c r="C544" i="16"/>
  <c r="AD537" i="20"/>
  <c r="L541" i="14"/>
  <c r="AB538" i="20"/>
  <c r="AC538" i="20" s="1"/>
  <c r="AC537" i="20"/>
  <c r="G542" i="4"/>
  <c r="H542" i="4"/>
  <c r="J540" i="14"/>
  <c r="K540" i="14" s="1"/>
  <c r="M540" i="14"/>
  <c r="N540" i="14" s="1"/>
  <c r="G539" i="23"/>
  <c r="F539" i="23"/>
  <c r="C538" i="23"/>
  <c r="K539" i="23"/>
  <c r="C543" i="18" s="1"/>
  <c r="A540" i="23"/>
  <c r="B543" i="18"/>
  <c r="A544" i="18"/>
  <c r="I540" i="23" l="1"/>
  <c r="J540" i="23"/>
  <c r="L542" i="14"/>
  <c r="AA538" i="20"/>
  <c r="E538" i="23"/>
  <c r="H540" i="23"/>
  <c r="C540" i="14"/>
  <c r="D540" i="14" s="1"/>
  <c r="E540" i="14" s="1"/>
  <c r="R540" i="14"/>
  <c r="S540" i="14" s="1"/>
  <c r="T540" i="14" s="1"/>
  <c r="E543" i="16"/>
  <c r="F541" i="14"/>
  <c r="G541" i="14" s="1"/>
  <c r="H541" i="14" s="1"/>
  <c r="B544" i="18"/>
  <c r="A545" i="18"/>
  <c r="AD538" i="20"/>
  <c r="AE538" i="20" s="1"/>
  <c r="AB539" i="20"/>
  <c r="AC539" i="20" s="1"/>
  <c r="F540" i="23"/>
  <c r="G540" i="23"/>
  <c r="C539" i="23"/>
  <c r="K540" i="23"/>
  <c r="C544" i="18" s="1"/>
  <c r="A541" i="23"/>
  <c r="J541" i="14"/>
  <c r="K541" i="14" s="1"/>
  <c r="B544" i="16"/>
  <c r="A544" i="16"/>
  <c r="D544" i="16"/>
  <c r="C545" i="16"/>
  <c r="G543" i="4"/>
  <c r="H543" i="4"/>
  <c r="AE537" i="20"/>
  <c r="I542" i="14"/>
  <c r="M541" i="14"/>
  <c r="N541" i="14" s="1"/>
  <c r="I541" i="23" l="1"/>
  <c r="J541" i="23"/>
  <c r="AA539" i="20"/>
  <c r="L543" i="14"/>
  <c r="AA540" i="20"/>
  <c r="E539" i="23"/>
  <c r="H541" i="23"/>
  <c r="C541" i="14"/>
  <c r="D541" i="14" s="1"/>
  <c r="E541" i="14" s="1"/>
  <c r="F542" i="14"/>
  <c r="G542" i="14" s="1"/>
  <c r="H542" i="14" s="1"/>
  <c r="E544" i="16"/>
  <c r="J542" i="14"/>
  <c r="K542" i="14" s="1"/>
  <c r="AD539" i="20"/>
  <c r="AE539" i="20" s="1"/>
  <c r="M542" i="14"/>
  <c r="N542" i="14" s="1"/>
  <c r="AB540" i="20"/>
  <c r="AC540" i="20" s="1"/>
  <c r="I543" i="14"/>
  <c r="F541" i="23"/>
  <c r="G541" i="23"/>
  <c r="C540" i="23"/>
  <c r="K541" i="23"/>
  <c r="C545" i="18" s="1"/>
  <c r="A542" i="23"/>
  <c r="B545" i="18"/>
  <c r="A546" i="18"/>
  <c r="G544" i="4"/>
  <c r="H544" i="4"/>
  <c r="O541" i="14"/>
  <c r="R541" i="14"/>
  <c r="D545" i="16"/>
  <c r="B545" i="16"/>
  <c r="A545" i="16"/>
  <c r="C546" i="16"/>
  <c r="I542" i="23" l="1"/>
  <c r="J542" i="23"/>
  <c r="L544" i="14"/>
  <c r="I544" i="14"/>
  <c r="E540" i="23"/>
  <c r="H542" i="23"/>
  <c r="C542" i="14"/>
  <c r="D542" i="14" s="1"/>
  <c r="E542" i="14" s="1"/>
  <c r="O543" i="14"/>
  <c r="P543" i="14" s="1"/>
  <c r="Q543" i="14" s="1"/>
  <c r="O542" i="14"/>
  <c r="R542" i="14"/>
  <c r="S542" i="14" s="1"/>
  <c r="T542" i="14" s="1"/>
  <c r="E545" i="16"/>
  <c r="AB541" i="20"/>
  <c r="AC541" i="20" s="1"/>
  <c r="B546" i="16"/>
  <c r="D546" i="16"/>
  <c r="A546" i="16"/>
  <c r="C547" i="16"/>
  <c r="S541" i="14"/>
  <c r="T541" i="14" s="1"/>
  <c r="C541" i="23"/>
  <c r="G542" i="23"/>
  <c r="F542" i="23"/>
  <c r="K542" i="23"/>
  <c r="C546" i="18" s="1"/>
  <c r="A543" i="23"/>
  <c r="P541" i="14"/>
  <c r="Q541" i="14" s="1"/>
  <c r="G545" i="4"/>
  <c r="H545" i="4"/>
  <c r="J543" i="14"/>
  <c r="K543" i="14" s="1"/>
  <c r="AD540" i="20"/>
  <c r="AE540" i="20" s="1"/>
  <c r="B546" i="18"/>
  <c r="A547" i="18"/>
  <c r="F543" i="14"/>
  <c r="M543" i="14"/>
  <c r="N543" i="14" s="1"/>
  <c r="I543" i="23" l="1"/>
  <c r="J543" i="23"/>
  <c r="AA541" i="20"/>
  <c r="L545" i="14"/>
  <c r="AA542" i="20"/>
  <c r="E541" i="23"/>
  <c r="H543" i="23"/>
  <c r="R543" i="14"/>
  <c r="S543" i="14" s="1"/>
  <c r="T543" i="14" s="1"/>
  <c r="E546" i="16"/>
  <c r="F544" i="14"/>
  <c r="G544" i="14" s="1"/>
  <c r="H544" i="14" s="1"/>
  <c r="P542" i="14"/>
  <c r="Q542" i="14" s="1"/>
  <c r="B547" i="18"/>
  <c r="A548" i="18"/>
  <c r="AD541" i="20"/>
  <c r="AE541" i="20" s="1"/>
  <c r="I545" i="14"/>
  <c r="J544" i="14"/>
  <c r="K544" i="14" s="1"/>
  <c r="G546" i="4"/>
  <c r="H546" i="4"/>
  <c r="F543" i="23"/>
  <c r="C542" i="23"/>
  <c r="G543" i="23"/>
  <c r="K543" i="23"/>
  <c r="C547" i="18" s="1"/>
  <c r="A544" i="23"/>
  <c r="M544" i="14"/>
  <c r="N544" i="14" s="1"/>
  <c r="A547" i="16"/>
  <c r="D547" i="16"/>
  <c r="B547" i="16"/>
  <c r="C548" i="16"/>
  <c r="G543" i="14"/>
  <c r="H543" i="14" s="1"/>
  <c r="C543" i="14"/>
  <c r="O544" i="14"/>
  <c r="AB542" i="20"/>
  <c r="AC542" i="20" s="1"/>
  <c r="I544" i="23" l="1"/>
  <c r="J544" i="23"/>
  <c r="L546" i="14"/>
  <c r="I546" i="14"/>
  <c r="E542" i="23"/>
  <c r="H544" i="23"/>
  <c r="O545" i="14"/>
  <c r="P545" i="14" s="1"/>
  <c r="Q545" i="14" s="1"/>
  <c r="C544" i="14"/>
  <c r="D544" i="14" s="1"/>
  <c r="E544" i="14" s="1"/>
  <c r="F545" i="14"/>
  <c r="G545" i="14" s="1"/>
  <c r="H545" i="14" s="1"/>
  <c r="R544" i="14"/>
  <c r="S544" i="14" s="1"/>
  <c r="T544" i="14" s="1"/>
  <c r="F544" i="23"/>
  <c r="C543" i="23"/>
  <c r="G544" i="23"/>
  <c r="K544" i="23"/>
  <c r="C548" i="18" s="1"/>
  <c r="A545" i="23"/>
  <c r="G547" i="4"/>
  <c r="H547" i="4"/>
  <c r="J545" i="14"/>
  <c r="K545" i="14" s="1"/>
  <c r="AB543" i="20"/>
  <c r="AC543" i="20" s="1"/>
  <c r="M545" i="14"/>
  <c r="N545" i="14" s="1"/>
  <c r="P544" i="14"/>
  <c r="Q544" i="14" s="1"/>
  <c r="E547" i="16"/>
  <c r="B548" i="18"/>
  <c r="A549" i="18"/>
  <c r="AD542" i="20"/>
  <c r="AE542" i="20" s="1"/>
  <c r="D543" i="14"/>
  <c r="E543" i="14" s="1"/>
  <c r="B548" i="16"/>
  <c r="A548" i="16"/>
  <c r="D548" i="16"/>
  <c r="C549" i="16"/>
  <c r="I545" i="23" l="1"/>
  <c r="J545" i="23"/>
  <c r="AA543" i="20"/>
  <c r="I547" i="14"/>
  <c r="R545" i="14"/>
  <c r="S545" i="14" s="1"/>
  <c r="T545" i="14" s="1"/>
  <c r="E543" i="23"/>
  <c r="H545" i="23"/>
  <c r="E548" i="16"/>
  <c r="C545" i="14"/>
  <c r="D545" i="14" s="1"/>
  <c r="E545" i="14" s="1"/>
  <c r="M546" i="14"/>
  <c r="N546" i="14" s="1"/>
  <c r="J546" i="14"/>
  <c r="K546" i="14" s="1"/>
  <c r="B549" i="18"/>
  <c r="A550" i="18"/>
  <c r="H548" i="4"/>
  <c r="G548" i="4"/>
  <c r="AB544" i="20"/>
  <c r="AC544" i="20" s="1"/>
  <c r="O546" i="14"/>
  <c r="AD543" i="20"/>
  <c r="AE543" i="20" s="1"/>
  <c r="L547" i="14"/>
  <c r="G545" i="23"/>
  <c r="C544" i="23"/>
  <c r="F545" i="23"/>
  <c r="K545" i="23"/>
  <c r="C549" i="18" s="1"/>
  <c r="A546" i="23"/>
  <c r="B549" i="16"/>
  <c r="A549" i="16"/>
  <c r="D549" i="16"/>
  <c r="C550" i="16"/>
  <c r="F546" i="14"/>
  <c r="I546" i="23" l="1"/>
  <c r="J546" i="23"/>
  <c r="AA544" i="20"/>
  <c r="AA545" i="20"/>
  <c r="E544" i="23"/>
  <c r="H546" i="23"/>
  <c r="O547" i="14"/>
  <c r="P547" i="14" s="1"/>
  <c r="Q547" i="14" s="1"/>
  <c r="E549" i="16"/>
  <c r="B550" i="16"/>
  <c r="D550" i="16"/>
  <c r="A550" i="16"/>
  <c r="C551" i="16"/>
  <c r="F546" i="23"/>
  <c r="C545" i="23"/>
  <c r="G546" i="23"/>
  <c r="K546" i="23"/>
  <c r="C550" i="18" s="1"/>
  <c r="A547" i="23"/>
  <c r="J547" i="14"/>
  <c r="K547" i="14" s="1"/>
  <c r="I548" i="14"/>
  <c r="P546" i="14"/>
  <c r="Q546" i="14" s="1"/>
  <c r="B550" i="18"/>
  <c r="A551" i="18"/>
  <c r="R546" i="14"/>
  <c r="G549" i="4"/>
  <c r="H549" i="4"/>
  <c r="AB545" i="20"/>
  <c r="AC545" i="20" s="1"/>
  <c r="G546" i="14"/>
  <c r="H546" i="14" s="1"/>
  <c r="C546" i="14"/>
  <c r="M547" i="14"/>
  <c r="N547" i="14" s="1"/>
  <c r="AD544" i="20"/>
  <c r="AE544" i="20" s="1"/>
  <c r="L548" i="14"/>
  <c r="I547" i="23" l="1"/>
  <c r="J547" i="23"/>
  <c r="L549" i="14"/>
  <c r="I549" i="14"/>
  <c r="AA546" i="20"/>
  <c r="R547" i="14"/>
  <c r="S547" i="14" s="1"/>
  <c r="T547" i="14" s="1"/>
  <c r="E545" i="23"/>
  <c r="H547" i="23"/>
  <c r="E550" i="16"/>
  <c r="O548" i="14"/>
  <c r="P548" i="14" s="1"/>
  <c r="Q548" i="14" s="1"/>
  <c r="F547" i="14"/>
  <c r="C547" i="14"/>
  <c r="M548" i="14"/>
  <c r="N548" i="14" s="1"/>
  <c r="D546" i="14"/>
  <c r="E546" i="14" s="1"/>
  <c r="AD545" i="20"/>
  <c r="AE545" i="20" s="1"/>
  <c r="B551" i="18"/>
  <c r="A552" i="18"/>
  <c r="J548" i="14"/>
  <c r="K548" i="14" s="1"/>
  <c r="AB546" i="20"/>
  <c r="AC546" i="20" s="1"/>
  <c r="G547" i="23"/>
  <c r="C546" i="23"/>
  <c r="F547" i="23"/>
  <c r="K547" i="23"/>
  <c r="C551" i="18" s="1"/>
  <c r="A548" i="23"/>
  <c r="D551" i="16"/>
  <c r="B551" i="16"/>
  <c r="A551" i="16"/>
  <c r="C552" i="16"/>
  <c r="G550" i="4"/>
  <c r="H550" i="4"/>
  <c r="S546" i="14"/>
  <c r="T546" i="14" s="1"/>
  <c r="F548" i="14"/>
  <c r="I548" i="23" l="1"/>
  <c r="J548" i="23"/>
  <c r="L550" i="14"/>
  <c r="R548" i="14"/>
  <c r="S548" i="14" s="1"/>
  <c r="T548" i="14" s="1"/>
  <c r="E546" i="23"/>
  <c r="H548" i="23"/>
  <c r="E551" i="16"/>
  <c r="O549" i="14"/>
  <c r="P549" i="14" s="1"/>
  <c r="Q549" i="14" s="1"/>
  <c r="AB547" i="20"/>
  <c r="G551" i="4"/>
  <c r="H551" i="4"/>
  <c r="D552" i="16"/>
  <c r="A552" i="16"/>
  <c r="B552" i="16"/>
  <c r="C553" i="16"/>
  <c r="C548" i="14"/>
  <c r="M549" i="14"/>
  <c r="N549" i="14" s="1"/>
  <c r="D547" i="14"/>
  <c r="E547" i="14" s="1"/>
  <c r="G548" i="14"/>
  <c r="H548" i="14" s="1"/>
  <c r="J549" i="14"/>
  <c r="K549" i="14" s="1"/>
  <c r="AD546" i="20"/>
  <c r="AE546" i="20" s="1"/>
  <c r="B552" i="18"/>
  <c r="A553" i="18"/>
  <c r="I550" i="14"/>
  <c r="G548" i="23"/>
  <c r="C547" i="23"/>
  <c r="F548" i="23"/>
  <c r="K548" i="23"/>
  <c r="C552" i="18" s="1"/>
  <c r="A549" i="23"/>
  <c r="G547" i="14"/>
  <c r="H547" i="14" s="1"/>
  <c r="I549" i="23" l="1"/>
  <c r="J549" i="23"/>
  <c r="AA547" i="20"/>
  <c r="L551" i="14"/>
  <c r="AA548" i="20"/>
  <c r="E547" i="23"/>
  <c r="H549" i="23"/>
  <c r="R549" i="14"/>
  <c r="S549" i="14" s="1"/>
  <c r="T549" i="14" s="1"/>
  <c r="E552" i="16"/>
  <c r="F549" i="14"/>
  <c r="C549" i="14"/>
  <c r="D549" i="14" s="1"/>
  <c r="E549" i="14" s="1"/>
  <c r="M550" i="14"/>
  <c r="N550" i="14" s="1"/>
  <c r="D553" i="16"/>
  <c r="B553" i="16"/>
  <c r="A553" i="16"/>
  <c r="C554" i="16"/>
  <c r="I551" i="14"/>
  <c r="B553" i="18"/>
  <c r="A554" i="18"/>
  <c r="D548" i="14"/>
  <c r="E548" i="14" s="1"/>
  <c r="H552" i="4"/>
  <c r="G552" i="4"/>
  <c r="G549" i="23"/>
  <c r="C548" i="23"/>
  <c r="F549" i="23"/>
  <c r="K549" i="23"/>
  <c r="C553" i="18" s="1"/>
  <c r="A550" i="23"/>
  <c r="O550" i="14"/>
  <c r="AD547" i="20"/>
  <c r="J550" i="14"/>
  <c r="K550" i="14" s="1"/>
  <c r="AB548" i="20"/>
  <c r="AC548" i="20" s="1"/>
  <c r="AC547" i="20"/>
  <c r="I550" i="23" l="1"/>
  <c r="J550" i="23"/>
  <c r="I552" i="14"/>
  <c r="L552" i="14"/>
  <c r="E553" i="16"/>
  <c r="E548" i="23"/>
  <c r="H550" i="23"/>
  <c r="F551" i="14"/>
  <c r="G551" i="14" s="1"/>
  <c r="H551" i="14" s="1"/>
  <c r="G549" i="14"/>
  <c r="H549" i="14" s="1"/>
  <c r="B554" i="18"/>
  <c r="A555" i="18"/>
  <c r="R550" i="14"/>
  <c r="AB549" i="20"/>
  <c r="AC549" i="20" s="1"/>
  <c r="AD548" i="20"/>
  <c r="AE548" i="20" s="1"/>
  <c r="AE547" i="20"/>
  <c r="M551" i="14"/>
  <c r="N551" i="14" s="1"/>
  <c r="F550" i="14"/>
  <c r="C550" i="14"/>
  <c r="G550" i="23"/>
  <c r="C549" i="23"/>
  <c r="F550" i="23"/>
  <c r="K550" i="23"/>
  <c r="C554" i="18" s="1"/>
  <c r="A551" i="23"/>
  <c r="G553" i="4"/>
  <c r="H553" i="4"/>
  <c r="B554" i="16"/>
  <c r="D554" i="16"/>
  <c r="A554" i="16"/>
  <c r="C555" i="16"/>
  <c r="P550" i="14"/>
  <c r="Q550" i="14" s="1"/>
  <c r="J551" i="14"/>
  <c r="K551" i="14" s="1"/>
  <c r="I551" i="23" l="1"/>
  <c r="J551" i="23"/>
  <c r="L553" i="14"/>
  <c r="AA549" i="20"/>
  <c r="AA550" i="20"/>
  <c r="E549" i="23"/>
  <c r="H551" i="23"/>
  <c r="O552" i="14"/>
  <c r="P552" i="14" s="1"/>
  <c r="Q552" i="14" s="1"/>
  <c r="C551" i="14"/>
  <c r="D551" i="14" s="1"/>
  <c r="E551" i="14" s="1"/>
  <c r="E554" i="16"/>
  <c r="D555" i="16"/>
  <c r="B555" i="16"/>
  <c r="A555" i="16"/>
  <c r="C556" i="16"/>
  <c r="G554" i="4"/>
  <c r="H554" i="4"/>
  <c r="S550" i="14"/>
  <c r="T550" i="14" s="1"/>
  <c r="AD549" i="20"/>
  <c r="AE549" i="20" s="1"/>
  <c r="D550" i="14"/>
  <c r="E550" i="14" s="1"/>
  <c r="AB550" i="20"/>
  <c r="AC550" i="20" s="1"/>
  <c r="O551" i="14"/>
  <c r="R551" i="14"/>
  <c r="M552" i="14"/>
  <c r="N552" i="14" s="1"/>
  <c r="J552" i="14"/>
  <c r="K552" i="14" s="1"/>
  <c r="B555" i="18"/>
  <c r="A556" i="18"/>
  <c r="I553" i="14"/>
  <c r="F551" i="23"/>
  <c r="C550" i="23"/>
  <c r="G551" i="23"/>
  <c r="K551" i="23"/>
  <c r="C555" i="18" s="1"/>
  <c r="A552" i="23"/>
  <c r="G550" i="14"/>
  <c r="H550" i="14" s="1"/>
  <c r="F552" i="14"/>
  <c r="I552" i="23" l="1"/>
  <c r="J552" i="23"/>
  <c r="I554" i="14"/>
  <c r="L554" i="14"/>
  <c r="E550" i="23"/>
  <c r="H552" i="23"/>
  <c r="R552" i="14"/>
  <c r="S552" i="14" s="1"/>
  <c r="T552" i="14" s="1"/>
  <c r="O553" i="14"/>
  <c r="P553" i="14" s="1"/>
  <c r="Q553" i="14" s="1"/>
  <c r="C552" i="14"/>
  <c r="D552" i="14" s="1"/>
  <c r="E552" i="14" s="1"/>
  <c r="G552" i="14"/>
  <c r="H552" i="14" s="1"/>
  <c r="B556" i="18"/>
  <c r="A557" i="18"/>
  <c r="AD550" i="20"/>
  <c r="AE550" i="20" s="1"/>
  <c r="M553" i="14"/>
  <c r="N553" i="14" s="1"/>
  <c r="H555" i="4"/>
  <c r="G555" i="4"/>
  <c r="F552" i="23"/>
  <c r="G552" i="23"/>
  <c r="C551" i="23"/>
  <c r="A553" i="23"/>
  <c r="K552" i="23"/>
  <c r="C556" i="18" s="1"/>
  <c r="S551" i="14"/>
  <c r="T551" i="14" s="1"/>
  <c r="AB551" i="20"/>
  <c r="AC551" i="20" s="1"/>
  <c r="D556" i="16"/>
  <c r="B556" i="16"/>
  <c r="A556" i="16"/>
  <c r="C557" i="16"/>
  <c r="J553" i="14"/>
  <c r="K553" i="14" s="1"/>
  <c r="P551" i="14"/>
  <c r="Q551" i="14" s="1"/>
  <c r="E555" i="16"/>
  <c r="I553" i="23" l="1"/>
  <c r="J553" i="23"/>
  <c r="I555" i="14"/>
  <c r="AA551" i="20"/>
  <c r="E551" i="23"/>
  <c r="H553" i="23"/>
  <c r="E556" i="16"/>
  <c r="R553" i="14"/>
  <c r="S553" i="14" s="1"/>
  <c r="T553" i="14" s="1"/>
  <c r="O554" i="14"/>
  <c r="P554" i="14" s="1"/>
  <c r="Q554" i="14" s="1"/>
  <c r="F553" i="14"/>
  <c r="G553" i="14" s="1"/>
  <c r="H553" i="14" s="1"/>
  <c r="C553" i="14"/>
  <c r="D553" i="14" s="1"/>
  <c r="E553" i="14" s="1"/>
  <c r="D557" i="16"/>
  <c r="B557" i="16"/>
  <c r="A557" i="16"/>
  <c r="C558" i="16"/>
  <c r="J554" i="14"/>
  <c r="K554" i="14" s="1"/>
  <c r="B557" i="18"/>
  <c r="A558" i="18"/>
  <c r="M554" i="14"/>
  <c r="N554" i="14" s="1"/>
  <c r="L555" i="14"/>
  <c r="AD551" i="20"/>
  <c r="AE551" i="20" s="1"/>
  <c r="F553" i="23"/>
  <c r="G553" i="23"/>
  <c r="C552" i="23"/>
  <c r="K553" i="23"/>
  <c r="C557" i="18" s="1"/>
  <c r="A554" i="23"/>
  <c r="AB552" i="20"/>
  <c r="AC552" i="20" s="1"/>
  <c r="H556" i="4"/>
  <c r="G556" i="4"/>
  <c r="I554" i="23" l="1"/>
  <c r="J554" i="23"/>
  <c r="L556" i="14"/>
  <c r="AA552" i="20"/>
  <c r="AA553" i="20"/>
  <c r="E552" i="23"/>
  <c r="H554" i="23"/>
  <c r="R554" i="14"/>
  <c r="S554" i="14" s="1"/>
  <c r="T554" i="14" s="1"/>
  <c r="O555" i="14"/>
  <c r="P555" i="14" s="1"/>
  <c r="Q555" i="14" s="1"/>
  <c r="E557" i="16"/>
  <c r="G557" i="4"/>
  <c r="H557" i="4"/>
  <c r="AD552" i="20"/>
  <c r="AE552" i="20" s="1"/>
  <c r="F554" i="14"/>
  <c r="C554" i="14"/>
  <c r="I556" i="14"/>
  <c r="C553" i="23"/>
  <c r="F554" i="23"/>
  <c r="G554" i="23"/>
  <c r="K554" i="23"/>
  <c r="C558" i="18" s="1"/>
  <c r="A555" i="23"/>
  <c r="B558" i="18"/>
  <c r="A559" i="18"/>
  <c r="B558" i="16"/>
  <c r="D558" i="16"/>
  <c r="A558" i="16"/>
  <c r="C559" i="16"/>
  <c r="AB553" i="20"/>
  <c r="AC553" i="20" s="1"/>
  <c r="J555" i="14"/>
  <c r="K555" i="14" s="1"/>
  <c r="M555" i="14"/>
  <c r="N555" i="14" s="1"/>
  <c r="I555" i="23" l="1"/>
  <c r="J555" i="23"/>
  <c r="I557" i="14"/>
  <c r="L557" i="14"/>
  <c r="AA554" i="20"/>
  <c r="R555" i="14"/>
  <c r="S555" i="14" s="1"/>
  <c r="T555" i="14" s="1"/>
  <c r="E553" i="23"/>
  <c r="H555" i="23"/>
  <c r="O556" i="14"/>
  <c r="P556" i="14" s="1"/>
  <c r="Q556" i="14" s="1"/>
  <c r="J556" i="14"/>
  <c r="K556" i="14" s="1"/>
  <c r="M556" i="14"/>
  <c r="N556" i="14" s="1"/>
  <c r="A559" i="16"/>
  <c r="D559" i="16"/>
  <c r="B559" i="16"/>
  <c r="C560" i="16"/>
  <c r="B559" i="18"/>
  <c r="A560" i="18"/>
  <c r="F555" i="14"/>
  <c r="C555" i="14"/>
  <c r="E558" i="16"/>
  <c r="F556" i="14"/>
  <c r="D554" i="14"/>
  <c r="E554" i="14" s="1"/>
  <c r="AD553" i="20"/>
  <c r="AE553" i="20" s="1"/>
  <c r="G555" i="23"/>
  <c r="F555" i="23"/>
  <c r="C554" i="23"/>
  <c r="K555" i="23"/>
  <c r="C559" i="18" s="1"/>
  <c r="A556" i="23"/>
  <c r="G554" i="14"/>
  <c r="H554" i="14" s="1"/>
  <c r="G558" i="4"/>
  <c r="H558" i="4"/>
  <c r="AB554" i="20"/>
  <c r="AC554" i="20" s="1"/>
  <c r="I556" i="23" l="1"/>
  <c r="J556" i="23"/>
  <c r="L558" i="14"/>
  <c r="AA555" i="20"/>
  <c r="E554" i="23"/>
  <c r="H556" i="23"/>
  <c r="R556" i="14"/>
  <c r="S556" i="14" s="1"/>
  <c r="T556" i="14" s="1"/>
  <c r="C556" i="14"/>
  <c r="D556" i="14" s="1"/>
  <c r="E556" i="14" s="1"/>
  <c r="E559" i="16"/>
  <c r="B560" i="18"/>
  <c r="A561" i="18"/>
  <c r="AD554" i="20"/>
  <c r="AE554" i="20" s="1"/>
  <c r="G559" i="4"/>
  <c r="H559" i="4"/>
  <c r="M557" i="14"/>
  <c r="N557" i="14" s="1"/>
  <c r="AB555" i="20"/>
  <c r="D555" i="14"/>
  <c r="E555" i="14" s="1"/>
  <c r="D560" i="16"/>
  <c r="B560" i="16"/>
  <c r="A560" i="16"/>
  <c r="C561" i="16"/>
  <c r="G556" i="23"/>
  <c r="C555" i="23"/>
  <c r="F556" i="23"/>
  <c r="A557" i="23"/>
  <c r="K556" i="23"/>
  <c r="C560" i="18" s="1"/>
  <c r="O557" i="14"/>
  <c r="G556" i="14"/>
  <c r="H556" i="14" s="1"/>
  <c r="J557" i="14"/>
  <c r="K557" i="14" s="1"/>
  <c r="G555" i="14"/>
  <c r="H555" i="14" s="1"/>
  <c r="I558" i="14"/>
  <c r="I557" i="23" l="1"/>
  <c r="J557" i="23"/>
  <c r="I559" i="14"/>
  <c r="L559" i="14"/>
  <c r="AA556" i="20"/>
  <c r="E555" i="23"/>
  <c r="H557" i="23"/>
  <c r="O558" i="14"/>
  <c r="P558" i="14" s="1"/>
  <c r="F558" i="14"/>
  <c r="G558" i="14" s="1"/>
  <c r="H558" i="14" s="1"/>
  <c r="F557" i="14"/>
  <c r="C557" i="14"/>
  <c r="D557" i="14" s="1"/>
  <c r="E557" i="14" s="1"/>
  <c r="AC555" i="20"/>
  <c r="E560" i="16"/>
  <c r="G560" i="4"/>
  <c r="H560" i="4"/>
  <c r="P557" i="14"/>
  <c r="Q557" i="14" s="1"/>
  <c r="R557" i="14"/>
  <c r="B561" i="18"/>
  <c r="A562" i="18"/>
  <c r="AD555" i="20"/>
  <c r="AB556" i="20"/>
  <c r="AC556" i="20" s="1"/>
  <c r="J558" i="14"/>
  <c r="K558" i="14" s="1"/>
  <c r="G557" i="23"/>
  <c r="C556" i="23"/>
  <c r="F557" i="23"/>
  <c r="K557" i="23"/>
  <c r="C561" i="18" s="1"/>
  <c r="A558" i="23"/>
  <c r="D561" i="16"/>
  <c r="B561" i="16"/>
  <c r="A561" i="16"/>
  <c r="C562" i="16"/>
  <c r="M558" i="14"/>
  <c r="N558" i="14" s="1"/>
  <c r="I558" i="23" l="1"/>
  <c r="J558" i="23"/>
  <c r="L560" i="14"/>
  <c r="AA557" i="20"/>
  <c r="R558" i="14"/>
  <c r="S558" i="14" s="1"/>
  <c r="T558" i="14" s="1"/>
  <c r="E556" i="23"/>
  <c r="H558" i="23"/>
  <c r="Q558" i="14"/>
  <c r="F559" i="14"/>
  <c r="G559" i="14" s="1"/>
  <c r="H559" i="14" s="1"/>
  <c r="E561" i="16"/>
  <c r="G557" i="14"/>
  <c r="H557" i="14" s="1"/>
  <c r="C558" i="14"/>
  <c r="B562" i="16"/>
  <c r="A562" i="16"/>
  <c r="D562" i="16"/>
  <c r="C563" i="16"/>
  <c r="G561" i="4"/>
  <c r="H561" i="4"/>
  <c r="B562" i="18"/>
  <c r="A563" i="18"/>
  <c r="AE555" i="20"/>
  <c r="M559" i="14"/>
  <c r="N559" i="14" s="1"/>
  <c r="I560" i="14"/>
  <c r="F558" i="23"/>
  <c r="C557" i="23"/>
  <c r="G558" i="23"/>
  <c r="A559" i="23"/>
  <c r="K558" i="23"/>
  <c r="C562" i="18" s="1"/>
  <c r="AD556" i="20"/>
  <c r="AE556" i="20" s="1"/>
  <c r="S557" i="14"/>
  <c r="T557" i="14" s="1"/>
  <c r="AB557" i="20"/>
  <c r="AC557" i="20" s="1"/>
  <c r="J559" i="14"/>
  <c r="K559" i="14" s="1"/>
  <c r="I559" i="23" l="1"/>
  <c r="J559" i="23"/>
  <c r="L561" i="14"/>
  <c r="E557" i="23"/>
  <c r="H559" i="23"/>
  <c r="C559" i="14"/>
  <c r="D559" i="14" s="1"/>
  <c r="E559" i="14" s="1"/>
  <c r="D558" i="14"/>
  <c r="E558" i="14" s="1"/>
  <c r="O560" i="14"/>
  <c r="P560" i="14" s="1"/>
  <c r="Q560" i="14" s="1"/>
  <c r="AD557" i="20"/>
  <c r="AE557" i="20" s="1"/>
  <c r="F560" i="14"/>
  <c r="B563" i="16"/>
  <c r="A563" i="16"/>
  <c r="D563" i="16"/>
  <c r="C564" i="16"/>
  <c r="M560" i="14"/>
  <c r="N560" i="14" s="1"/>
  <c r="B563" i="18"/>
  <c r="A564" i="18"/>
  <c r="G562" i="4"/>
  <c r="H562" i="4"/>
  <c r="G559" i="23"/>
  <c r="F559" i="23"/>
  <c r="C558" i="23"/>
  <c r="K559" i="23"/>
  <c r="C563" i="18" s="1"/>
  <c r="A560" i="23"/>
  <c r="O559" i="14"/>
  <c r="R559" i="14"/>
  <c r="AB558" i="20"/>
  <c r="AC558" i="20" s="1"/>
  <c r="E562" i="16"/>
  <c r="I561" i="14"/>
  <c r="J560" i="14"/>
  <c r="K560" i="14" s="1"/>
  <c r="I560" i="23" l="1"/>
  <c r="J560" i="23"/>
  <c r="AA558" i="20"/>
  <c r="I562" i="14"/>
  <c r="E558" i="23"/>
  <c r="H560" i="23"/>
  <c r="E563" i="16"/>
  <c r="C560" i="14"/>
  <c r="D560" i="14" s="1"/>
  <c r="E560" i="14" s="1"/>
  <c r="R560" i="14"/>
  <c r="S560" i="14" s="1"/>
  <c r="T560" i="14" s="1"/>
  <c r="O561" i="14"/>
  <c r="P561" i="14" s="1"/>
  <c r="Q561" i="14" s="1"/>
  <c r="F561" i="14"/>
  <c r="G561" i="14" s="1"/>
  <c r="H561" i="14" s="1"/>
  <c r="G563" i="4"/>
  <c r="H563" i="4"/>
  <c r="G560" i="14"/>
  <c r="H560" i="14" s="1"/>
  <c r="AB559" i="20"/>
  <c r="AC559" i="20" s="1"/>
  <c r="D564" i="16"/>
  <c r="B564" i="16"/>
  <c r="A564" i="16"/>
  <c r="C565" i="16"/>
  <c r="AD558" i="20"/>
  <c r="AE558" i="20" s="1"/>
  <c r="L562" i="14"/>
  <c r="P559" i="14"/>
  <c r="Q559" i="14" s="1"/>
  <c r="J561" i="14"/>
  <c r="K561" i="14" s="1"/>
  <c r="S559" i="14"/>
  <c r="T559" i="14" s="1"/>
  <c r="B564" i="18"/>
  <c r="A565" i="18"/>
  <c r="M561" i="14"/>
  <c r="N561" i="14" s="1"/>
  <c r="F560" i="23"/>
  <c r="G560" i="23"/>
  <c r="C559" i="23"/>
  <c r="A561" i="23"/>
  <c r="K560" i="23"/>
  <c r="C564" i="18" s="1"/>
  <c r="AA559" i="20" l="1"/>
  <c r="I561" i="23"/>
  <c r="J561" i="23"/>
  <c r="I563" i="14"/>
  <c r="E564" i="16"/>
  <c r="E559" i="23"/>
  <c r="H561" i="23"/>
  <c r="R561" i="14"/>
  <c r="S561" i="14" s="1"/>
  <c r="T561" i="14" s="1"/>
  <c r="C561" i="14"/>
  <c r="D561" i="14" s="1"/>
  <c r="E561" i="14" s="1"/>
  <c r="O562" i="14"/>
  <c r="P562" i="14" s="1"/>
  <c r="Q562" i="14" s="1"/>
  <c r="G561" i="23"/>
  <c r="C560" i="23"/>
  <c r="F561" i="23"/>
  <c r="K561" i="23"/>
  <c r="C565" i="18" s="1"/>
  <c r="A562" i="23"/>
  <c r="AD559" i="20"/>
  <c r="AE559" i="20" s="1"/>
  <c r="L563" i="14"/>
  <c r="H564" i="4"/>
  <c r="G564" i="4"/>
  <c r="AB560" i="20"/>
  <c r="AC560" i="20" s="1"/>
  <c r="J562" i="14"/>
  <c r="K562" i="14" s="1"/>
  <c r="B565" i="18"/>
  <c r="A566" i="18"/>
  <c r="M562" i="14"/>
  <c r="N562" i="14" s="1"/>
  <c r="B565" i="16"/>
  <c r="D565" i="16"/>
  <c r="A565" i="16"/>
  <c r="C566" i="16"/>
  <c r="I562" i="23" l="1"/>
  <c r="J562" i="23"/>
  <c r="I564" i="14"/>
  <c r="AA560" i="20"/>
  <c r="AA561" i="20"/>
  <c r="E560" i="23"/>
  <c r="H562" i="23"/>
  <c r="R562" i="14"/>
  <c r="S562" i="14" s="1"/>
  <c r="T562" i="14" s="1"/>
  <c r="F563" i="14"/>
  <c r="G563" i="14" s="1"/>
  <c r="H563" i="14" s="1"/>
  <c r="E565" i="16"/>
  <c r="AB561" i="20"/>
  <c r="B566" i="18"/>
  <c r="A567" i="18"/>
  <c r="J563" i="14"/>
  <c r="K563" i="14" s="1"/>
  <c r="G565" i="4"/>
  <c r="H565" i="4"/>
  <c r="M563" i="14"/>
  <c r="N563" i="14" s="1"/>
  <c r="O563" i="14"/>
  <c r="AD560" i="20"/>
  <c r="AE560" i="20" s="1"/>
  <c r="L564" i="14"/>
  <c r="F562" i="14"/>
  <c r="C562" i="14"/>
  <c r="D566" i="16"/>
  <c r="A566" i="16"/>
  <c r="B566" i="16"/>
  <c r="C567" i="16"/>
  <c r="F562" i="23"/>
  <c r="G562" i="23"/>
  <c r="C561" i="23"/>
  <c r="K562" i="23"/>
  <c r="C566" i="18" s="1"/>
  <c r="A563" i="23"/>
  <c r="I563" i="23" l="1"/>
  <c r="J563" i="23"/>
  <c r="L565" i="14"/>
  <c r="I565" i="14"/>
  <c r="C563" i="14"/>
  <c r="D563" i="14" s="1"/>
  <c r="E563" i="14" s="1"/>
  <c r="E561" i="23"/>
  <c r="H563" i="23"/>
  <c r="E566" i="16"/>
  <c r="AC561" i="20"/>
  <c r="G566" i="4"/>
  <c r="H566" i="4"/>
  <c r="F564" i="14"/>
  <c r="P563" i="14"/>
  <c r="Q563" i="14" s="1"/>
  <c r="AD561" i="20"/>
  <c r="A567" i="16"/>
  <c r="D567" i="16"/>
  <c r="B567" i="16"/>
  <c r="C568" i="16"/>
  <c r="D562" i="14"/>
  <c r="E562" i="14" s="1"/>
  <c r="J564" i="14"/>
  <c r="K564" i="14" s="1"/>
  <c r="M564" i="14"/>
  <c r="N564" i="14" s="1"/>
  <c r="B567" i="18"/>
  <c r="A568" i="18"/>
  <c r="C562" i="23"/>
  <c r="G563" i="23"/>
  <c r="F563" i="23"/>
  <c r="K563" i="23"/>
  <c r="C567" i="18" s="1"/>
  <c r="A564" i="23"/>
  <c r="G562" i="14"/>
  <c r="H562" i="14" s="1"/>
  <c r="AB562" i="20"/>
  <c r="AC562" i="20" s="1"/>
  <c r="R563" i="14"/>
  <c r="I564" i="23" l="1"/>
  <c r="J564" i="23"/>
  <c r="AA562" i="20"/>
  <c r="I566" i="14"/>
  <c r="AA563" i="20"/>
  <c r="E562" i="23"/>
  <c r="H564" i="23"/>
  <c r="E567" i="16"/>
  <c r="O564" i="14"/>
  <c r="R564" i="14"/>
  <c r="AD562" i="20"/>
  <c r="AE562" i="20" s="1"/>
  <c r="L566" i="14"/>
  <c r="F564" i="23"/>
  <c r="G564" i="23"/>
  <c r="C563" i="23"/>
  <c r="A565" i="23"/>
  <c r="K564" i="23"/>
  <c r="C568" i="18" s="1"/>
  <c r="G564" i="14"/>
  <c r="H564" i="14" s="1"/>
  <c r="B568" i="18"/>
  <c r="A569" i="18"/>
  <c r="AB563" i="20"/>
  <c r="AC563" i="20" s="1"/>
  <c r="G567" i="4"/>
  <c r="H567" i="4"/>
  <c r="C564" i="14"/>
  <c r="S563" i="14"/>
  <c r="T563" i="14" s="1"/>
  <c r="J565" i="14"/>
  <c r="K565" i="14" s="1"/>
  <c r="F565" i="14"/>
  <c r="A568" i="16"/>
  <c r="B568" i="16"/>
  <c r="D568" i="16"/>
  <c r="C569" i="16"/>
  <c r="M565" i="14"/>
  <c r="N565" i="14" s="1"/>
  <c r="AE561" i="20"/>
  <c r="I565" i="23" l="1"/>
  <c r="J565" i="23"/>
  <c r="L567" i="14"/>
  <c r="I567" i="14"/>
  <c r="E563" i="23"/>
  <c r="H565" i="23"/>
  <c r="O566" i="14"/>
  <c r="P566" i="14" s="1"/>
  <c r="Q566" i="14" s="1"/>
  <c r="E568" i="16"/>
  <c r="F566" i="14"/>
  <c r="G566" i="14" s="1"/>
  <c r="H566" i="14" s="1"/>
  <c r="O565" i="14"/>
  <c r="R565" i="14"/>
  <c r="B569" i="16"/>
  <c r="D569" i="16"/>
  <c r="A569" i="16"/>
  <c r="C570" i="16"/>
  <c r="B569" i="18"/>
  <c r="A570" i="18"/>
  <c r="AB564" i="20"/>
  <c r="AC564" i="20" s="1"/>
  <c r="F565" i="23"/>
  <c r="G565" i="23"/>
  <c r="C564" i="23"/>
  <c r="K565" i="23"/>
  <c r="C569" i="18" s="1"/>
  <c r="A566" i="23"/>
  <c r="C565" i="14"/>
  <c r="G565" i="14"/>
  <c r="H565" i="14" s="1"/>
  <c r="D564" i="14"/>
  <c r="E564" i="14" s="1"/>
  <c r="AD563" i="20"/>
  <c r="AE563" i="20" s="1"/>
  <c r="S564" i="14"/>
  <c r="T564" i="14" s="1"/>
  <c r="J566" i="14"/>
  <c r="K566" i="14" s="1"/>
  <c r="H568" i="4"/>
  <c r="G568" i="4"/>
  <c r="M566" i="14"/>
  <c r="N566" i="14" s="1"/>
  <c r="P564" i="14"/>
  <c r="Q564" i="14" s="1"/>
  <c r="I566" i="23" l="1"/>
  <c r="J566" i="23"/>
  <c r="L568" i="14"/>
  <c r="AA564" i="20"/>
  <c r="AA565" i="20"/>
  <c r="E564" i="23"/>
  <c r="H566" i="23"/>
  <c r="C566" i="14"/>
  <c r="D566" i="14" s="1"/>
  <c r="E566" i="14" s="1"/>
  <c r="R566" i="14"/>
  <c r="S566" i="14" s="1"/>
  <c r="T566" i="14" s="1"/>
  <c r="F567" i="14"/>
  <c r="J567" i="14"/>
  <c r="K567" i="14" s="1"/>
  <c r="B570" i="18"/>
  <c r="A571" i="18"/>
  <c r="I568" i="14"/>
  <c r="AB565" i="20"/>
  <c r="AC565" i="20" s="1"/>
  <c r="D565" i="14"/>
  <c r="E565" i="14" s="1"/>
  <c r="AD564" i="20"/>
  <c r="AE564" i="20" s="1"/>
  <c r="B570" i="16"/>
  <c r="D570" i="16"/>
  <c r="A570" i="16"/>
  <c r="C571" i="16"/>
  <c r="S565" i="14"/>
  <c r="T565" i="14" s="1"/>
  <c r="M567" i="14"/>
  <c r="N567" i="14" s="1"/>
  <c r="G569" i="4"/>
  <c r="H569" i="4"/>
  <c r="O567" i="14"/>
  <c r="G566" i="23"/>
  <c r="C565" i="23"/>
  <c r="F566" i="23"/>
  <c r="K566" i="23"/>
  <c r="C570" i="18" s="1"/>
  <c r="A567" i="23"/>
  <c r="E569" i="16"/>
  <c r="P565" i="14"/>
  <c r="Q565" i="14" s="1"/>
  <c r="I567" i="23" l="1"/>
  <c r="J567" i="23"/>
  <c r="C567" i="14"/>
  <c r="D567" i="14" s="1"/>
  <c r="E567" i="14" s="1"/>
  <c r="L569" i="14"/>
  <c r="I569" i="14"/>
  <c r="E565" i="23"/>
  <c r="H567" i="23"/>
  <c r="F568" i="14"/>
  <c r="O568" i="14"/>
  <c r="AD565" i="20"/>
  <c r="AE565" i="20" s="1"/>
  <c r="J568" i="14"/>
  <c r="K568" i="14" s="1"/>
  <c r="B571" i="18"/>
  <c r="A572" i="18"/>
  <c r="AB566" i="20"/>
  <c r="AC566" i="20" s="1"/>
  <c r="P567" i="14"/>
  <c r="Q567" i="14" s="1"/>
  <c r="A571" i="16"/>
  <c r="D571" i="16"/>
  <c r="B571" i="16"/>
  <c r="C572" i="16"/>
  <c r="M568" i="14"/>
  <c r="N568" i="14" s="1"/>
  <c r="G567" i="14"/>
  <c r="H567" i="14" s="1"/>
  <c r="C566" i="23"/>
  <c r="G567" i="23"/>
  <c r="F567" i="23"/>
  <c r="K567" i="23"/>
  <c r="C571" i="18" s="1"/>
  <c r="A568" i="23"/>
  <c r="G570" i="4"/>
  <c r="H570" i="4"/>
  <c r="E570" i="16"/>
  <c r="R567" i="14"/>
  <c r="I568" i="23" l="1"/>
  <c r="J568" i="23"/>
  <c r="AA566" i="20"/>
  <c r="I570" i="14"/>
  <c r="E566" i="23"/>
  <c r="H568" i="23"/>
  <c r="E571" i="16"/>
  <c r="R568" i="14"/>
  <c r="S568" i="14" s="1"/>
  <c r="T568" i="14" s="1"/>
  <c r="O569" i="14"/>
  <c r="P569" i="14" s="1"/>
  <c r="Q569" i="14" s="1"/>
  <c r="F569" i="14"/>
  <c r="G569" i="14" s="1"/>
  <c r="H569" i="14" s="1"/>
  <c r="C568" i="14"/>
  <c r="D568" i="14" s="1"/>
  <c r="E568" i="14" s="1"/>
  <c r="J569" i="14"/>
  <c r="K569" i="14" s="1"/>
  <c r="A572" i="16"/>
  <c r="D572" i="16"/>
  <c r="B572" i="16"/>
  <c r="C573" i="16"/>
  <c r="H571" i="4"/>
  <c r="G571" i="4"/>
  <c r="AB567" i="20"/>
  <c r="AC567" i="20" s="1"/>
  <c r="S567" i="14"/>
  <c r="T567" i="14" s="1"/>
  <c r="P568" i="14"/>
  <c r="Q568" i="14" s="1"/>
  <c r="F568" i="23"/>
  <c r="C567" i="23"/>
  <c r="G568" i="23"/>
  <c r="K568" i="23"/>
  <c r="C572" i="18" s="1"/>
  <c r="A569" i="23"/>
  <c r="AD566" i="20"/>
  <c r="AE566" i="20" s="1"/>
  <c r="L570" i="14"/>
  <c r="B572" i="18"/>
  <c r="A573" i="18"/>
  <c r="M569" i="14"/>
  <c r="N569" i="14" s="1"/>
  <c r="G568" i="14"/>
  <c r="H568" i="14" s="1"/>
  <c r="I569" i="23" l="1"/>
  <c r="J569" i="23"/>
  <c r="AA567" i="20"/>
  <c r="L571" i="14"/>
  <c r="E567" i="23"/>
  <c r="H569" i="23"/>
  <c r="C569" i="14"/>
  <c r="D569" i="14" s="1"/>
  <c r="E569" i="14" s="1"/>
  <c r="R569" i="14"/>
  <c r="S569" i="14" s="1"/>
  <c r="T569" i="14" s="1"/>
  <c r="E572" i="16"/>
  <c r="F570" i="14"/>
  <c r="G570" i="14" s="1"/>
  <c r="H570" i="14" s="1"/>
  <c r="B573" i="18"/>
  <c r="A574" i="18"/>
  <c r="H572" i="4"/>
  <c r="G572" i="4"/>
  <c r="M570" i="14"/>
  <c r="N570" i="14" s="1"/>
  <c r="O570" i="14"/>
  <c r="J570" i="14"/>
  <c r="K570" i="14" s="1"/>
  <c r="AD567" i="20"/>
  <c r="AE567" i="20" s="1"/>
  <c r="D573" i="16"/>
  <c r="B573" i="16"/>
  <c r="A573" i="16"/>
  <c r="C574" i="16"/>
  <c r="C568" i="23"/>
  <c r="G569" i="23"/>
  <c r="F569" i="23"/>
  <c r="K569" i="23"/>
  <c r="C573" i="18" s="1"/>
  <c r="A570" i="23"/>
  <c r="AB568" i="20"/>
  <c r="I571" i="14"/>
  <c r="I570" i="23" l="1"/>
  <c r="J570" i="23"/>
  <c r="L572" i="14"/>
  <c r="AA568" i="20"/>
  <c r="AA569" i="20"/>
  <c r="E568" i="23"/>
  <c r="H570" i="23"/>
  <c r="C570" i="14"/>
  <c r="D570" i="14" s="1"/>
  <c r="E570" i="14" s="1"/>
  <c r="O571" i="14"/>
  <c r="P571" i="14" s="1"/>
  <c r="Q571" i="14" s="1"/>
  <c r="E573" i="16"/>
  <c r="F571" i="14"/>
  <c r="I572" i="14"/>
  <c r="AB569" i="20"/>
  <c r="AC569" i="20" s="1"/>
  <c r="AC568" i="20"/>
  <c r="AD568" i="20"/>
  <c r="G570" i="23"/>
  <c r="F570" i="23"/>
  <c r="C569" i="23"/>
  <c r="K570" i="23"/>
  <c r="C574" i="18" s="1"/>
  <c r="A571" i="23"/>
  <c r="P570" i="14"/>
  <c r="Q570" i="14" s="1"/>
  <c r="G573" i="4"/>
  <c r="H573" i="4"/>
  <c r="J571" i="14"/>
  <c r="K571" i="14" s="1"/>
  <c r="A574" i="16"/>
  <c r="D574" i="16"/>
  <c r="B574" i="16"/>
  <c r="C575" i="16"/>
  <c r="M571" i="14"/>
  <c r="N571" i="14" s="1"/>
  <c r="R570" i="14"/>
  <c r="B574" i="18"/>
  <c r="A575" i="18"/>
  <c r="I571" i="23" l="1"/>
  <c r="J571" i="23"/>
  <c r="L573" i="14"/>
  <c r="AA570" i="20"/>
  <c r="R571" i="14"/>
  <c r="S571" i="14" s="1"/>
  <c r="T571" i="14" s="1"/>
  <c r="E569" i="23"/>
  <c r="H571" i="23"/>
  <c r="C571" i="14"/>
  <c r="D571" i="14" s="1"/>
  <c r="E571" i="14" s="1"/>
  <c r="E574" i="16"/>
  <c r="S570" i="14"/>
  <c r="T570" i="14" s="1"/>
  <c r="G571" i="23"/>
  <c r="F571" i="23"/>
  <c r="C570" i="23"/>
  <c r="K571" i="23"/>
  <c r="C575" i="18" s="1"/>
  <c r="A572" i="23"/>
  <c r="J572" i="14"/>
  <c r="K572" i="14" s="1"/>
  <c r="AB570" i="20"/>
  <c r="AC570" i="20" s="1"/>
  <c r="I573" i="14"/>
  <c r="AE568" i="20"/>
  <c r="B575" i="18"/>
  <c r="A576" i="18"/>
  <c r="G574" i="4"/>
  <c r="H574" i="4"/>
  <c r="D575" i="16"/>
  <c r="A575" i="16"/>
  <c r="B575" i="16"/>
  <c r="C576" i="16"/>
  <c r="M572" i="14"/>
  <c r="N572" i="14" s="1"/>
  <c r="AD569" i="20"/>
  <c r="AE569" i="20" s="1"/>
  <c r="F572" i="14"/>
  <c r="G571" i="14"/>
  <c r="H571" i="14" s="1"/>
  <c r="I572" i="23" l="1"/>
  <c r="J572" i="23"/>
  <c r="I574" i="14"/>
  <c r="E570" i="23"/>
  <c r="H572" i="23"/>
  <c r="G572" i="14"/>
  <c r="H572" i="14" s="1"/>
  <c r="AB571" i="20"/>
  <c r="M573" i="14"/>
  <c r="N573" i="14" s="1"/>
  <c r="C572" i="14"/>
  <c r="F573" i="14"/>
  <c r="G572" i="23"/>
  <c r="C571" i="23"/>
  <c r="F572" i="23"/>
  <c r="K572" i="23"/>
  <c r="C576" i="18" s="1"/>
  <c r="A573" i="23"/>
  <c r="O572" i="14"/>
  <c r="R572" i="14"/>
  <c r="AD570" i="20"/>
  <c r="AE570" i="20" s="1"/>
  <c r="L574" i="14"/>
  <c r="B576" i="16"/>
  <c r="D576" i="16"/>
  <c r="A576" i="16"/>
  <c r="C577" i="16"/>
  <c r="B576" i="18"/>
  <c r="A577" i="18"/>
  <c r="G575" i="4"/>
  <c r="H575" i="4"/>
  <c r="J573" i="14"/>
  <c r="K573" i="14" s="1"/>
  <c r="E575" i="16"/>
  <c r="O573" i="14"/>
  <c r="I573" i="23" l="1"/>
  <c r="J573" i="23"/>
  <c r="AA571" i="20"/>
  <c r="I575" i="14"/>
  <c r="C573" i="14"/>
  <c r="D573" i="14" s="1"/>
  <c r="E573" i="14" s="1"/>
  <c r="E571" i="23"/>
  <c r="H573" i="23"/>
  <c r="R573" i="14"/>
  <c r="S573" i="14" s="1"/>
  <c r="T573" i="14" s="1"/>
  <c r="E576" i="16"/>
  <c r="F574" i="14"/>
  <c r="G574" i="14" s="1"/>
  <c r="H574" i="14" s="1"/>
  <c r="O574" i="14"/>
  <c r="P574" i="14" s="1"/>
  <c r="Q574" i="14" s="1"/>
  <c r="P573" i="14"/>
  <c r="Q573" i="14" s="1"/>
  <c r="AC571" i="20"/>
  <c r="AB572" i="20"/>
  <c r="AC572" i="20" s="1"/>
  <c r="G576" i="4"/>
  <c r="H576" i="4"/>
  <c r="M574" i="14"/>
  <c r="N574" i="14" s="1"/>
  <c r="P572" i="14"/>
  <c r="Q572" i="14" s="1"/>
  <c r="D572" i="14"/>
  <c r="E572" i="14" s="1"/>
  <c r="J574" i="14"/>
  <c r="K574" i="14" s="1"/>
  <c r="G573" i="14"/>
  <c r="H573" i="14" s="1"/>
  <c r="D577" i="16"/>
  <c r="B577" i="16"/>
  <c r="A577" i="16"/>
  <c r="C578" i="16"/>
  <c r="B577" i="18"/>
  <c r="A578" i="18"/>
  <c r="S572" i="14"/>
  <c r="T572" i="14" s="1"/>
  <c r="G573" i="23"/>
  <c r="F573" i="23"/>
  <c r="C572" i="23"/>
  <c r="K573" i="23"/>
  <c r="C577" i="18" s="1"/>
  <c r="A574" i="23"/>
  <c r="AD571" i="20"/>
  <c r="L575" i="14"/>
  <c r="I574" i="23" l="1"/>
  <c r="J574" i="23"/>
  <c r="I576" i="14"/>
  <c r="AA572" i="20"/>
  <c r="AA573" i="20"/>
  <c r="E572" i="23"/>
  <c r="H574" i="23"/>
  <c r="C574" i="14"/>
  <c r="D574" i="14" s="1"/>
  <c r="E574" i="14" s="1"/>
  <c r="R574" i="14"/>
  <c r="S574" i="14" s="1"/>
  <c r="T574" i="14" s="1"/>
  <c r="F575" i="14"/>
  <c r="G575" i="14" s="1"/>
  <c r="H575" i="14" s="1"/>
  <c r="E577" i="16"/>
  <c r="AB573" i="20"/>
  <c r="AE571" i="20"/>
  <c r="O575" i="14"/>
  <c r="M575" i="14"/>
  <c r="N575" i="14" s="1"/>
  <c r="G574" i="23"/>
  <c r="C573" i="23"/>
  <c r="F574" i="23"/>
  <c r="K574" i="23"/>
  <c r="C578" i="18" s="1"/>
  <c r="A575" i="23"/>
  <c r="L576" i="14"/>
  <c r="AD572" i="20"/>
  <c r="AE572" i="20" s="1"/>
  <c r="B578" i="18"/>
  <c r="A579" i="18"/>
  <c r="D578" i="16"/>
  <c r="B578" i="16"/>
  <c r="A578" i="16"/>
  <c r="C579" i="16"/>
  <c r="J575" i="14"/>
  <c r="K575" i="14" s="1"/>
  <c r="G577" i="4"/>
  <c r="H577" i="4"/>
  <c r="I575" i="23" l="1"/>
  <c r="J575" i="23"/>
  <c r="I577" i="14"/>
  <c r="E573" i="23"/>
  <c r="H575" i="23"/>
  <c r="E578" i="16"/>
  <c r="C575" i="14"/>
  <c r="D575" i="14" s="1"/>
  <c r="E575" i="14" s="1"/>
  <c r="G578" i="4"/>
  <c r="H578" i="4"/>
  <c r="M576" i="14"/>
  <c r="N576" i="14" s="1"/>
  <c r="D579" i="16"/>
  <c r="B579" i="16"/>
  <c r="A579" i="16"/>
  <c r="C580" i="16"/>
  <c r="B579" i="18"/>
  <c r="A580" i="18"/>
  <c r="F575" i="23"/>
  <c r="C574" i="23"/>
  <c r="G575" i="23"/>
  <c r="K575" i="23"/>
  <c r="C579" i="18" s="1"/>
  <c r="A576" i="23"/>
  <c r="AD573" i="20"/>
  <c r="L577" i="14"/>
  <c r="O576" i="14"/>
  <c r="AC573" i="20"/>
  <c r="P575" i="14"/>
  <c r="Q575" i="14" s="1"/>
  <c r="AB574" i="20"/>
  <c r="AC574" i="20" s="1"/>
  <c r="J576" i="14"/>
  <c r="K576" i="14" s="1"/>
  <c r="R575" i="14"/>
  <c r="I576" i="23" l="1"/>
  <c r="J576" i="23"/>
  <c r="I578" i="14"/>
  <c r="AA574" i="20"/>
  <c r="E574" i="23"/>
  <c r="H576" i="23"/>
  <c r="E579" i="16"/>
  <c r="J577" i="14"/>
  <c r="K577" i="14" s="1"/>
  <c r="L578" i="14"/>
  <c r="AD574" i="20"/>
  <c r="AE574" i="20" s="1"/>
  <c r="F577" i="14"/>
  <c r="R576" i="14"/>
  <c r="F576" i="14"/>
  <c r="C576" i="14"/>
  <c r="S575" i="14"/>
  <c r="T575" i="14" s="1"/>
  <c r="AE573" i="20"/>
  <c r="G576" i="23"/>
  <c r="C575" i="23"/>
  <c r="F576" i="23"/>
  <c r="A577" i="23"/>
  <c r="K576" i="23"/>
  <c r="C580" i="18" s="1"/>
  <c r="G579" i="4"/>
  <c r="H579" i="4"/>
  <c r="M577" i="14"/>
  <c r="N577" i="14" s="1"/>
  <c r="AB575" i="20"/>
  <c r="AC575" i="20" s="1"/>
  <c r="B580" i="16"/>
  <c r="D580" i="16"/>
  <c r="A580" i="16"/>
  <c r="C581" i="16"/>
  <c r="P576" i="14"/>
  <c r="Q576" i="14" s="1"/>
  <c r="B580" i="18"/>
  <c r="A581" i="18"/>
  <c r="I577" i="23" l="1"/>
  <c r="J577" i="23"/>
  <c r="AA575" i="20"/>
  <c r="E575" i="23"/>
  <c r="H577" i="23"/>
  <c r="C577" i="14"/>
  <c r="D577" i="14" s="1"/>
  <c r="E577" i="14" s="1"/>
  <c r="O578" i="14"/>
  <c r="P578" i="14" s="1"/>
  <c r="Q578" i="14" s="1"/>
  <c r="F578" i="14"/>
  <c r="G578" i="14" s="1"/>
  <c r="H578" i="14" s="1"/>
  <c r="E580" i="16"/>
  <c r="J578" i="14"/>
  <c r="K578" i="14" s="1"/>
  <c r="D581" i="16"/>
  <c r="B581" i="16"/>
  <c r="A581" i="16"/>
  <c r="C582" i="16"/>
  <c r="AD575" i="20"/>
  <c r="AE575" i="20" s="1"/>
  <c r="L579" i="14"/>
  <c r="I579" i="14"/>
  <c r="H580" i="4"/>
  <c r="G580" i="4"/>
  <c r="F577" i="23"/>
  <c r="C576" i="23"/>
  <c r="G577" i="23"/>
  <c r="K577" i="23"/>
  <c r="C581" i="18" s="1"/>
  <c r="A578" i="23"/>
  <c r="D576" i="14"/>
  <c r="E576" i="14" s="1"/>
  <c r="G576" i="14"/>
  <c r="H576" i="14" s="1"/>
  <c r="AB576" i="20"/>
  <c r="AC576" i="20" s="1"/>
  <c r="S576" i="14"/>
  <c r="T576" i="14" s="1"/>
  <c r="M578" i="14"/>
  <c r="N578" i="14" s="1"/>
  <c r="B581" i="18"/>
  <c r="A582" i="18"/>
  <c r="O577" i="14"/>
  <c r="R577" i="14"/>
  <c r="G577" i="14"/>
  <c r="H577" i="14" s="1"/>
  <c r="I578" i="23" l="1"/>
  <c r="J578" i="23"/>
  <c r="AA576" i="20"/>
  <c r="E576" i="23"/>
  <c r="H578" i="23"/>
  <c r="E581" i="16"/>
  <c r="R578" i="14"/>
  <c r="S578" i="14" s="1"/>
  <c r="T578" i="14" s="1"/>
  <c r="O579" i="14"/>
  <c r="P579" i="14" s="1"/>
  <c r="Q579" i="14" s="1"/>
  <c r="C578" i="14"/>
  <c r="D578" i="14" s="1"/>
  <c r="E578" i="14" s="1"/>
  <c r="F579" i="14"/>
  <c r="G579" i="14" s="1"/>
  <c r="H579" i="14" s="1"/>
  <c r="S577" i="14"/>
  <c r="T577" i="14" s="1"/>
  <c r="I580" i="14"/>
  <c r="C577" i="23"/>
  <c r="G578" i="23"/>
  <c r="F578" i="23"/>
  <c r="A579" i="23"/>
  <c r="K578" i="23"/>
  <c r="C582" i="18" s="1"/>
  <c r="J579" i="14"/>
  <c r="K579" i="14" s="1"/>
  <c r="D582" i="16"/>
  <c r="A582" i="16"/>
  <c r="B582" i="16"/>
  <c r="C583" i="16"/>
  <c r="B582" i="18"/>
  <c r="A583" i="18"/>
  <c r="M579" i="14"/>
  <c r="N579" i="14" s="1"/>
  <c r="P577" i="14"/>
  <c r="Q577" i="14" s="1"/>
  <c r="AB577" i="20"/>
  <c r="AC577" i="20" s="1"/>
  <c r="AD576" i="20"/>
  <c r="AE576" i="20" s="1"/>
  <c r="L580" i="14"/>
  <c r="G581" i="4"/>
  <c r="H581" i="4"/>
  <c r="I579" i="23" l="1"/>
  <c r="J579" i="23"/>
  <c r="I581" i="14"/>
  <c r="AA577" i="20"/>
  <c r="R579" i="14"/>
  <c r="S579" i="14" s="1"/>
  <c r="T579" i="14" s="1"/>
  <c r="E577" i="23"/>
  <c r="H579" i="23"/>
  <c r="C579" i="14"/>
  <c r="D579" i="14" s="1"/>
  <c r="E579" i="14" s="1"/>
  <c r="O580" i="14"/>
  <c r="B583" i="16"/>
  <c r="A583" i="16"/>
  <c r="D583" i="16"/>
  <c r="C584" i="16"/>
  <c r="M580" i="14"/>
  <c r="N580" i="14" s="1"/>
  <c r="G582" i="4"/>
  <c r="H582" i="4"/>
  <c r="L581" i="14"/>
  <c r="AD577" i="20"/>
  <c r="AE577" i="20" s="1"/>
  <c r="E582" i="16"/>
  <c r="AB578" i="20"/>
  <c r="AC578" i="20" s="1"/>
  <c r="B583" i="18"/>
  <c r="A584" i="18"/>
  <c r="F579" i="23"/>
  <c r="G579" i="23"/>
  <c r="C578" i="23"/>
  <c r="K579" i="23"/>
  <c r="C583" i="18" s="1"/>
  <c r="A580" i="23"/>
  <c r="J580" i="14"/>
  <c r="K580" i="14" s="1"/>
  <c r="AA578" i="20" l="1"/>
  <c r="I580" i="23"/>
  <c r="J580" i="23"/>
  <c r="L582" i="14"/>
  <c r="AA579" i="20"/>
  <c r="E578" i="23"/>
  <c r="H580" i="23"/>
  <c r="O581" i="14"/>
  <c r="P581" i="14" s="1"/>
  <c r="Q581" i="14" s="1"/>
  <c r="AD578" i="20"/>
  <c r="AE578" i="20" s="1"/>
  <c r="I582" i="14"/>
  <c r="J581" i="14"/>
  <c r="K581" i="14" s="1"/>
  <c r="E583" i="16"/>
  <c r="AB579" i="20"/>
  <c r="AC579" i="20" s="1"/>
  <c r="F580" i="14"/>
  <c r="C580" i="14"/>
  <c r="G583" i="4"/>
  <c r="H583" i="4"/>
  <c r="A584" i="16"/>
  <c r="B584" i="16"/>
  <c r="D584" i="16"/>
  <c r="C585" i="16"/>
  <c r="R580" i="14"/>
  <c r="F580" i="23"/>
  <c r="G580" i="23"/>
  <c r="C579" i="23"/>
  <c r="A581" i="23"/>
  <c r="K580" i="23"/>
  <c r="C584" i="18" s="1"/>
  <c r="B584" i="18"/>
  <c r="A585" i="18"/>
  <c r="M581" i="14"/>
  <c r="N581" i="14" s="1"/>
  <c r="P580" i="14"/>
  <c r="Q580" i="14" s="1"/>
  <c r="I581" i="23" l="1"/>
  <c r="J581" i="23"/>
  <c r="I583" i="14"/>
  <c r="E579" i="23"/>
  <c r="H581" i="23"/>
  <c r="R581" i="14"/>
  <c r="S581" i="14" s="1"/>
  <c r="T581" i="14" s="1"/>
  <c r="O582" i="14"/>
  <c r="P582" i="14" s="1"/>
  <c r="Q582" i="14" s="1"/>
  <c r="F582" i="14"/>
  <c r="G582" i="14" s="1"/>
  <c r="AB580" i="20"/>
  <c r="F581" i="23"/>
  <c r="G581" i="23"/>
  <c r="C580" i="23"/>
  <c r="K581" i="23"/>
  <c r="C585" i="18" s="1"/>
  <c r="A582" i="23"/>
  <c r="S580" i="14"/>
  <c r="T580" i="14" s="1"/>
  <c r="E584" i="16"/>
  <c r="D580" i="14"/>
  <c r="E580" i="14" s="1"/>
  <c r="AD579" i="20"/>
  <c r="AE579" i="20" s="1"/>
  <c r="L583" i="14"/>
  <c r="J582" i="14"/>
  <c r="K582" i="14" s="1"/>
  <c r="F581" i="14"/>
  <c r="C581" i="14"/>
  <c r="B585" i="18"/>
  <c r="A586" i="18"/>
  <c r="A585" i="16"/>
  <c r="B585" i="16"/>
  <c r="D585" i="16"/>
  <c r="C586" i="16"/>
  <c r="H584" i="4"/>
  <c r="G584" i="4"/>
  <c r="G580" i="14"/>
  <c r="H580" i="14" s="1"/>
  <c r="M582" i="14"/>
  <c r="N582" i="14" s="1"/>
  <c r="I582" i="23" l="1"/>
  <c r="J582" i="23"/>
  <c r="AA580" i="20"/>
  <c r="I584" i="14"/>
  <c r="E580" i="23"/>
  <c r="H582" i="23"/>
  <c r="R582" i="14"/>
  <c r="S582" i="14" s="1"/>
  <c r="T582" i="14" s="1"/>
  <c r="C582" i="14"/>
  <c r="D582" i="14" s="1"/>
  <c r="E582" i="14" s="1"/>
  <c r="H582" i="14"/>
  <c r="O583" i="14"/>
  <c r="P583" i="14" s="1"/>
  <c r="Q583" i="14" s="1"/>
  <c r="B586" i="18"/>
  <c r="A587" i="18"/>
  <c r="E585" i="16"/>
  <c r="G581" i="14"/>
  <c r="H581" i="14" s="1"/>
  <c r="F583" i="14"/>
  <c r="C581" i="23"/>
  <c r="G582" i="23"/>
  <c r="F582" i="23"/>
  <c r="K582" i="23"/>
  <c r="C586" i="18" s="1"/>
  <c r="A583" i="23"/>
  <c r="AD580" i="20"/>
  <c r="L584" i="14"/>
  <c r="M583" i="14"/>
  <c r="N583" i="14" s="1"/>
  <c r="AB581" i="20"/>
  <c r="AC581" i="20" s="1"/>
  <c r="D586" i="16"/>
  <c r="A586" i="16"/>
  <c r="B586" i="16"/>
  <c r="C587" i="16"/>
  <c r="G585" i="4"/>
  <c r="H585" i="4"/>
  <c r="J583" i="14"/>
  <c r="K583" i="14" s="1"/>
  <c r="D581" i="14"/>
  <c r="E581" i="14" s="1"/>
  <c r="AC580" i="20"/>
  <c r="I583" i="23" l="1"/>
  <c r="J583" i="23"/>
  <c r="AA581" i="20"/>
  <c r="L585" i="14"/>
  <c r="E581" i="23"/>
  <c r="H583" i="23"/>
  <c r="R583" i="14"/>
  <c r="S583" i="14" s="1"/>
  <c r="T583" i="14" s="1"/>
  <c r="C583" i="14"/>
  <c r="D583" i="14" s="1"/>
  <c r="E583" i="14" s="1"/>
  <c r="E586" i="16"/>
  <c r="AD581" i="20"/>
  <c r="AE581" i="20" s="1"/>
  <c r="AE580" i="20"/>
  <c r="O584" i="14"/>
  <c r="AB582" i="20"/>
  <c r="I585" i="14"/>
  <c r="G586" i="4"/>
  <c r="H586" i="4"/>
  <c r="M584" i="14"/>
  <c r="N584" i="14" s="1"/>
  <c r="G583" i="14"/>
  <c r="H583" i="14" s="1"/>
  <c r="B587" i="18"/>
  <c r="A588" i="18"/>
  <c r="A587" i="16"/>
  <c r="D587" i="16"/>
  <c r="B587" i="16"/>
  <c r="C588" i="16"/>
  <c r="J584" i="14"/>
  <c r="K584" i="14" s="1"/>
  <c r="F583" i="23"/>
  <c r="C582" i="23"/>
  <c r="G583" i="23"/>
  <c r="K583" i="23"/>
  <c r="C587" i="18" s="1"/>
  <c r="A584" i="23"/>
  <c r="I584" i="23" l="1"/>
  <c r="J584" i="23"/>
  <c r="AA582" i="20"/>
  <c r="E582" i="23"/>
  <c r="H584" i="23"/>
  <c r="O585" i="14"/>
  <c r="P585" i="14" s="1"/>
  <c r="Q585" i="14" s="1"/>
  <c r="R584" i="14"/>
  <c r="S584" i="14" s="1"/>
  <c r="T584" i="14" s="1"/>
  <c r="E587" i="16"/>
  <c r="AC582" i="20"/>
  <c r="A588" i="16"/>
  <c r="B588" i="16"/>
  <c r="D588" i="16"/>
  <c r="C589" i="16"/>
  <c r="B588" i="18"/>
  <c r="A589" i="18"/>
  <c r="F584" i="14"/>
  <c r="C584" i="14"/>
  <c r="H587" i="4"/>
  <c r="G587" i="4"/>
  <c r="J585" i="14"/>
  <c r="K585" i="14" s="1"/>
  <c r="AD582" i="20"/>
  <c r="L586" i="14"/>
  <c r="M585" i="14"/>
  <c r="N585" i="14" s="1"/>
  <c r="F584" i="23"/>
  <c r="C583" i="23"/>
  <c r="G584" i="23"/>
  <c r="A585" i="23"/>
  <c r="K584" i="23"/>
  <c r="C588" i="18" s="1"/>
  <c r="AB583" i="20"/>
  <c r="AC583" i="20" s="1"/>
  <c r="F585" i="14"/>
  <c r="I586" i="14"/>
  <c r="P584" i="14"/>
  <c r="Q584" i="14" s="1"/>
  <c r="AA583" i="20" l="1"/>
  <c r="I585" i="23"/>
  <c r="J585" i="23"/>
  <c r="L587" i="14"/>
  <c r="R585" i="14"/>
  <c r="S585" i="14" s="1"/>
  <c r="T585" i="14" s="1"/>
  <c r="E583" i="23"/>
  <c r="H585" i="23"/>
  <c r="E588" i="16"/>
  <c r="F586" i="14"/>
  <c r="G586" i="14" s="1"/>
  <c r="H586" i="14" s="1"/>
  <c r="G585" i="14"/>
  <c r="H585" i="14" s="1"/>
  <c r="M586" i="14"/>
  <c r="N586" i="14" s="1"/>
  <c r="D584" i="14"/>
  <c r="E584" i="14" s="1"/>
  <c r="AB584" i="20"/>
  <c r="AC584" i="20" s="1"/>
  <c r="B589" i="16"/>
  <c r="A589" i="16"/>
  <c r="D589" i="16"/>
  <c r="C590" i="16"/>
  <c r="AE582" i="20"/>
  <c r="H588" i="4"/>
  <c r="G588" i="4"/>
  <c r="G584" i="14"/>
  <c r="H584" i="14" s="1"/>
  <c r="AD583" i="20"/>
  <c r="AE583" i="20" s="1"/>
  <c r="C584" i="23"/>
  <c r="G585" i="23"/>
  <c r="F585" i="23"/>
  <c r="K585" i="23"/>
  <c r="C589" i="18" s="1"/>
  <c r="A586" i="23"/>
  <c r="J586" i="14"/>
  <c r="K586" i="14" s="1"/>
  <c r="I587" i="14"/>
  <c r="B589" i="18"/>
  <c r="A590" i="18"/>
  <c r="C585" i="14"/>
  <c r="AA584" i="20" l="1"/>
  <c r="I586" i="23"/>
  <c r="J586" i="23"/>
  <c r="I588" i="14"/>
  <c r="E584" i="23"/>
  <c r="H586" i="23"/>
  <c r="E589" i="16"/>
  <c r="O587" i="14"/>
  <c r="P587" i="14" s="1"/>
  <c r="Q587" i="14" s="1"/>
  <c r="F587" i="14"/>
  <c r="G587" i="14" s="1"/>
  <c r="H587" i="14" s="1"/>
  <c r="C586" i="14"/>
  <c r="D586" i="14" s="1"/>
  <c r="E586" i="14" s="1"/>
  <c r="AB585" i="20"/>
  <c r="J587" i="14"/>
  <c r="K587" i="14" s="1"/>
  <c r="B590" i="18"/>
  <c r="A591" i="18"/>
  <c r="D590" i="16"/>
  <c r="B590" i="16"/>
  <c r="A590" i="16"/>
  <c r="C591" i="16"/>
  <c r="AD584" i="20"/>
  <c r="AE584" i="20" s="1"/>
  <c r="L588" i="14"/>
  <c r="G586" i="23"/>
  <c r="F586" i="23"/>
  <c r="C585" i="23"/>
  <c r="K586" i="23"/>
  <c r="C590" i="18" s="1"/>
  <c r="A587" i="23"/>
  <c r="M587" i="14"/>
  <c r="N587" i="14" s="1"/>
  <c r="G589" i="4"/>
  <c r="H589" i="4"/>
  <c r="O586" i="14"/>
  <c r="R586" i="14"/>
  <c r="D585" i="14"/>
  <c r="E585" i="14" s="1"/>
  <c r="I587" i="23" l="1"/>
  <c r="J587" i="23"/>
  <c r="AA585" i="20"/>
  <c r="E585" i="23"/>
  <c r="H587" i="23"/>
  <c r="R587" i="14"/>
  <c r="S587" i="14" s="1"/>
  <c r="T587" i="14" s="1"/>
  <c r="C587" i="14"/>
  <c r="D587" i="14" s="1"/>
  <c r="E587" i="14" s="1"/>
  <c r="I589" i="14"/>
  <c r="J588" i="14"/>
  <c r="K588" i="14" s="1"/>
  <c r="M588" i="14"/>
  <c r="N588" i="14" s="1"/>
  <c r="AB586" i="20"/>
  <c r="AD585" i="20"/>
  <c r="L589" i="14"/>
  <c r="G590" i="4"/>
  <c r="H590" i="4"/>
  <c r="S586" i="14"/>
  <c r="T586" i="14" s="1"/>
  <c r="F588" i="14"/>
  <c r="D591" i="16"/>
  <c r="B591" i="16"/>
  <c r="A591" i="16"/>
  <c r="C592" i="16"/>
  <c r="AC585" i="20"/>
  <c r="P586" i="14"/>
  <c r="Q586" i="14" s="1"/>
  <c r="C586" i="23"/>
  <c r="F587" i="23"/>
  <c r="G587" i="23"/>
  <c r="K587" i="23"/>
  <c r="C591" i="18" s="1"/>
  <c r="A588" i="23"/>
  <c r="E590" i="16"/>
  <c r="B591" i="18"/>
  <c r="A592" i="18"/>
  <c r="I588" i="23" l="1"/>
  <c r="J588" i="23"/>
  <c r="AA586" i="20"/>
  <c r="AA587" i="20"/>
  <c r="E586" i="23"/>
  <c r="H588" i="23"/>
  <c r="E591" i="16"/>
  <c r="F589" i="14"/>
  <c r="G589" i="14" s="1"/>
  <c r="AE585" i="20"/>
  <c r="AC586" i="20"/>
  <c r="D592" i="16"/>
  <c r="B592" i="16"/>
  <c r="A592" i="16"/>
  <c r="C593" i="16"/>
  <c r="G588" i="14"/>
  <c r="H588" i="14" s="1"/>
  <c r="C588" i="14"/>
  <c r="G588" i="23"/>
  <c r="C587" i="23"/>
  <c r="F588" i="23"/>
  <c r="K588" i="23"/>
  <c r="C592" i="18" s="1"/>
  <c r="A589" i="23"/>
  <c r="M589" i="14"/>
  <c r="N589" i="14" s="1"/>
  <c r="O588" i="14"/>
  <c r="R588" i="14"/>
  <c r="B592" i="18"/>
  <c r="A593" i="18"/>
  <c r="AB587" i="20"/>
  <c r="AC587" i="20" s="1"/>
  <c r="G591" i="4"/>
  <c r="H591" i="4"/>
  <c r="AD586" i="20"/>
  <c r="L590" i="14"/>
  <c r="I590" i="14"/>
  <c r="J589" i="14"/>
  <c r="K589" i="14" s="1"/>
  <c r="I589" i="23" l="1"/>
  <c r="J589" i="23"/>
  <c r="I591" i="14"/>
  <c r="L591" i="14"/>
  <c r="E587" i="23"/>
  <c r="H589" i="23"/>
  <c r="H589" i="14"/>
  <c r="C589" i="14"/>
  <c r="D589" i="14" s="1"/>
  <c r="E589" i="14" s="1"/>
  <c r="E592" i="16"/>
  <c r="B593" i="18"/>
  <c r="A594" i="18"/>
  <c r="S588" i="14"/>
  <c r="T588" i="14" s="1"/>
  <c r="C588" i="23"/>
  <c r="G589" i="23"/>
  <c r="F589" i="23"/>
  <c r="K589" i="23"/>
  <c r="C593" i="18" s="1"/>
  <c r="A590" i="23"/>
  <c r="AB588" i="20"/>
  <c r="AC588" i="20" s="1"/>
  <c r="AE586" i="20"/>
  <c r="O590" i="14"/>
  <c r="J590" i="14"/>
  <c r="K590" i="14" s="1"/>
  <c r="AD587" i="20"/>
  <c r="AE587" i="20" s="1"/>
  <c r="M590" i="14"/>
  <c r="N590" i="14" s="1"/>
  <c r="P588" i="14"/>
  <c r="Q588" i="14" s="1"/>
  <c r="F590" i="14"/>
  <c r="G592" i="4"/>
  <c r="H592" i="4"/>
  <c r="D588" i="14"/>
  <c r="E588" i="14" s="1"/>
  <c r="D593" i="16"/>
  <c r="B593" i="16"/>
  <c r="A593" i="16"/>
  <c r="C594" i="16"/>
  <c r="O589" i="14"/>
  <c r="R589" i="14"/>
  <c r="I590" i="23" l="1"/>
  <c r="J590" i="23"/>
  <c r="L592" i="14"/>
  <c r="AA588" i="20"/>
  <c r="E588" i="23"/>
  <c r="H590" i="23"/>
  <c r="O591" i="14"/>
  <c r="P591" i="14" s="1"/>
  <c r="Q591" i="14" s="1"/>
  <c r="E593" i="16"/>
  <c r="R590" i="14"/>
  <c r="S590" i="14" s="1"/>
  <c r="T590" i="14" s="1"/>
  <c r="C590" i="14"/>
  <c r="D590" i="14" s="1"/>
  <c r="E590" i="14" s="1"/>
  <c r="AB589" i="20"/>
  <c r="AC589" i="20" s="1"/>
  <c r="G593" i="4"/>
  <c r="H593" i="4"/>
  <c r="G590" i="14"/>
  <c r="H590" i="14" s="1"/>
  <c r="I592" i="14"/>
  <c r="M591" i="14"/>
  <c r="N591" i="14" s="1"/>
  <c r="P590" i="14"/>
  <c r="Q590" i="14" s="1"/>
  <c r="P589" i="14"/>
  <c r="Q589" i="14" s="1"/>
  <c r="F591" i="14"/>
  <c r="F590" i="23"/>
  <c r="G590" i="23"/>
  <c r="C589" i="23"/>
  <c r="A591" i="23"/>
  <c r="K590" i="23"/>
  <c r="C594" i="18" s="1"/>
  <c r="S589" i="14"/>
  <c r="T589" i="14" s="1"/>
  <c r="D594" i="16"/>
  <c r="A594" i="16"/>
  <c r="B594" i="16"/>
  <c r="C595" i="16"/>
  <c r="AD588" i="20"/>
  <c r="AE588" i="20" s="1"/>
  <c r="B594" i="18"/>
  <c r="A595" i="18"/>
  <c r="J591" i="14"/>
  <c r="K591" i="14" s="1"/>
  <c r="I591" i="23" l="1"/>
  <c r="J591" i="23"/>
  <c r="I593" i="14"/>
  <c r="AA589" i="20"/>
  <c r="R591" i="14"/>
  <c r="S591" i="14" s="1"/>
  <c r="T591" i="14" s="1"/>
  <c r="E589" i="23"/>
  <c r="H591" i="23"/>
  <c r="C591" i="14"/>
  <c r="D591" i="14" s="1"/>
  <c r="E591" i="14" s="1"/>
  <c r="E594" i="16"/>
  <c r="F592" i="14"/>
  <c r="G592" i="14" s="1"/>
  <c r="H592" i="14" s="1"/>
  <c r="B595" i="16"/>
  <c r="D595" i="16"/>
  <c r="A595" i="16"/>
  <c r="C596" i="16"/>
  <c r="B595" i="18"/>
  <c r="A596" i="18"/>
  <c r="O592" i="14"/>
  <c r="G591" i="14"/>
  <c r="H591" i="14" s="1"/>
  <c r="G594" i="4"/>
  <c r="H594" i="4"/>
  <c r="M592" i="14"/>
  <c r="N592" i="14" s="1"/>
  <c r="AB590" i="20"/>
  <c r="AC590" i="20" s="1"/>
  <c r="C590" i="23"/>
  <c r="F591" i="23"/>
  <c r="G591" i="23"/>
  <c r="K591" i="23"/>
  <c r="C595" i="18" s="1"/>
  <c r="A592" i="23"/>
  <c r="J592" i="14"/>
  <c r="K592" i="14" s="1"/>
  <c r="AD589" i="20"/>
  <c r="AE589" i="20" s="1"/>
  <c r="L593" i="14"/>
  <c r="AA590" i="20" l="1"/>
  <c r="I592" i="23"/>
  <c r="J592" i="23"/>
  <c r="AA591" i="20"/>
  <c r="E590" i="23"/>
  <c r="H592" i="23"/>
  <c r="R592" i="14"/>
  <c r="S592" i="14" s="1"/>
  <c r="T592" i="14" s="1"/>
  <c r="C592" i="14"/>
  <c r="D592" i="14" s="1"/>
  <c r="E592" i="14" s="1"/>
  <c r="E595" i="16"/>
  <c r="P592" i="14"/>
  <c r="Q592" i="14" s="1"/>
  <c r="F593" i="14"/>
  <c r="B596" i="16"/>
  <c r="D596" i="16"/>
  <c r="A596" i="16"/>
  <c r="C597" i="16"/>
  <c r="AD590" i="20"/>
  <c r="AE590" i="20" s="1"/>
  <c r="L594" i="14"/>
  <c r="AB591" i="20"/>
  <c r="AC591" i="20" s="1"/>
  <c r="O593" i="14"/>
  <c r="G595" i="4"/>
  <c r="H595" i="4"/>
  <c r="B596" i="18"/>
  <c r="A597" i="18"/>
  <c r="J593" i="14"/>
  <c r="K593" i="14" s="1"/>
  <c r="M593" i="14"/>
  <c r="N593" i="14" s="1"/>
  <c r="G592" i="23"/>
  <c r="C591" i="23"/>
  <c r="F592" i="23"/>
  <c r="K592" i="23"/>
  <c r="C596" i="18" s="1"/>
  <c r="A593" i="23"/>
  <c r="I594" i="14"/>
  <c r="I593" i="23" l="1"/>
  <c r="J593" i="23"/>
  <c r="L595" i="14"/>
  <c r="I595" i="14"/>
  <c r="E591" i="23"/>
  <c r="H593" i="23"/>
  <c r="E596" i="16"/>
  <c r="R593" i="14"/>
  <c r="S593" i="14" s="1"/>
  <c r="T593" i="14" s="1"/>
  <c r="C593" i="14"/>
  <c r="D593" i="14" s="1"/>
  <c r="E593" i="14" s="1"/>
  <c r="F594" i="14"/>
  <c r="G594" i="14" s="1"/>
  <c r="H594" i="14" s="1"/>
  <c r="O594" i="14"/>
  <c r="AD591" i="20"/>
  <c r="AE591" i="20" s="1"/>
  <c r="B597" i="18"/>
  <c r="A598" i="18"/>
  <c r="J594" i="14"/>
  <c r="K594" i="14" s="1"/>
  <c r="C592" i="23"/>
  <c r="G593" i="23"/>
  <c r="F593" i="23"/>
  <c r="K593" i="23"/>
  <c r="C597" i="18" s="1"/>
  <c r="A594" i="23"/>
  <c r="B597" i="16"/>
  <c r="D597" i="16"/>
  <c r="A597" i="16"/>
  <c r="C598" i="16"/>
  <c r="G593" i="14"/>
  <c r="H593" i="14" s="1"/>
  <c r="H596" i="4"/>
  <c r="G596" i="4"/>
  <c r="P593" i="14"/>
  <c r="Q593" i="14" s="1"/>
  <c r="M594" i="14"/>
  <c r="N594" i="14" s="1"/>
  <c r="AB592" i="20"/>
  <c r="AC592" i="20" s="1"/>
  <c r="I594" i="23" l="1"/>
  <c r="J594" i="23"/>
  <c r="I596" i="14"/>
  <c r="AA592" i="20"/>
  <c r="AA593" i="20"/>
  <c r="E592" i="23"/>
  <c r="H594" i="23"/>
  <c r="R594" i="14"/>
  <c r="S594" i="14" s="1"/>
  <c r="T594" i="14" s="1"/>
  <c r="E597" i="16"/>
  <c r="O595" i="14"/>
  <c r="P595" i="14" s="1"/>
  <c r="Q595" i="14" s="1"/>
  <c r="C594" i="14"/>
  <c r="D594" i="14" s="1"/>
  <c r="E594" i="14" s="1"/>
  <c r="F595" i="14"/>
  <c r="G595" i="14" s="1"/>
  <c r="H595" i="14" s="1"/>
  <c r="J595" i="14"/>
  <c r="K595" i="14" s="1"/>
  <c r="G597" i="4"/>
  <c r="H597" i="4"/>
  <c r="F594" i="23"/>
  <c r="C593" i="23"/>
  <c r="G594" i="23"/>
  <c r="K594" i="23"/>
  <c r="C598" i="18" s="1"/>
  <c r="A595" i="23"/>
  <c r="B598" i="18"/>
  <c r="A599" i="18"/>
  <c r="AD592" i="20"/>
  <c r="AE592" i="20" s="1"/>
  <c r="L596" i="14"/>
  <c r="B598" i="16"/>
  <c r="D598" i="16"/>
  <c r="A598" i="16"/>
  <c r="C599" i="16"/>
  <c r="P594" i="14"/>
  <c r="Q594" i="14" s="1"/>
  <c r="AB593" i="20"/>
  <c r="AC593" i="20" s="1"/>
  <c r="M595" i="14"/>
  <c r="N595" i="14" s="1"/>
  <c r="I595" i="23" l="1"/>
  <c r="J595" i="23"/>
  <c r="L597" i="14"/>
  <c r="I597" i="14"/>
  <c r="E593" i="23"/>
  <c r="H595" i="23"/>
  <c r="R595" i="14"/>
  <c r="S595" i="14" s="1"/>
  <c r="T595" i="14" s="1"/>
  <c r="C595" i="14"/>
  <c r="D595" i="14" s="1"/>
  <c r="O596" i="14"/>
  <c r="P596" i="14" s="1"/>
  <c r="Q596" i="14" s="1"/>
  <c r="F595" i="23"/>
  <c r="C594" i="23"/>
  <c r="G595" i="23"/>
  <c r="A596" i="23"/>
  <c r="K595" i="23"/>
  <c r="C599" i="18" s="1"/>
  <c r="AD593" i="20"/>
  <c r="AE593" i="20" s="1"/>
  <c r="M596" i="14"/>
  <c r="N596" i="14" s="1"/>
  <c r="F596" i="14"/>
  <c r="G598" i="4"/>
  <c r="H598" i="4"/>
  <c r="D599" i="16"/>
  <c r="B599" i="16"/>
  <c r="A599" i="16"/>
  <c r="C600" i="16"/>
  <c r="J596" i="14"/>
  <c r="K596" i="14" s="1"/>
  <c r="E598" i="16"/>
  <c r="B599" i="18"/>
  <c r="A600" i="18"/>
  <c r="AB594" i="20"/>
  <c r="AC594" i="20" s="1"/>
  <c r="I596" i="23" l="1"/>
  <c r="J596" i="23"/>
  <c r="AA594" i="20"/>
  <c r="I598" i="14"/>
  <c r="E594" i="23"/>
  <c r="H596" i="23"/>
  <c r="O597" i="14"/>
  <c r="P597" i="14" s="1"/>
  <c r="Q597" i="14" s="1"/>
  <c r="E595" i="14"/>
  <c r="R596" i="14"/>
  <c r="M597" i="14"/>
  <c r="N597" i="14" s="1"/>
  <c r="C596" i="14"/>
  <c r="J597" i="14"/>
  <c r="K597" i="14" s="1"/>
  <c r="B600" i="18"/>
  <c r="A601" i="18"/>
  <c r="G596" i="14"/>
  <c r="H596" i="14" s="1"/>
  <c r="D600" i="16"/>
  <c r="A600" i="16"/>
  <c r="B600" i="16"/>
  <c r="C601" i="16"/>
  <c r="G599" i="4"/>
  <c r="H599" i="4"/>
  <c r="C595" i="23"/>
  <c r="G596" i="23"/>
  <c r="F596" i="23"/>
  <c r="A597" i="23"/>
  <c r="K596" i="23"/>
  <c r="C600" i="18" s="1"/>
  <c r="AB595" i="20"/>
  <c r="AC595" i="20" s="1"/>
  <c r="AD594" i="20"/>
  <c r="AE594" i="20" s="1"/>
  <c r="L598" i="14"/>
  <c r="E599" i="16"/>
  <c r="F597" i="14"/>
  <c r="I597" i="23" l="1"/>
  <c r="J597" i="23"/>
  <c r="L599" i="14"/>
  <c r="AA595" i="20"/>
  <c r="E595" i="23"/>
  <c r="H597" i="23"/>
  <c r="R597" i="14"/>
  <c r="S597" i="14" s="1"/>
  <c r="T597" i="14" s="1"/>
  <c r="E600" i="16"/>
  <c r="C597" i="14"/>
  <c r="D597" i="14" s="1"/>
  <c r="E597" i="14" s="1"/>
  <c r="S596" i="14"/>
  <c r="T596" i="14" s="1"/>
  <c r="B601" i="18"/>
  <c r="A602" i="18"/>
  <c r="AD595" i="20"/>
  <c r="AE595" i="20" s="1"/>
  <c r="C596" i="23"/>
  <c r="F597" i="23"/>
  <c r="G597" i="23"/>
  <c r="K597" i="23"/>
  <c r="C601" i="18" s="1"/>
  <c r="A598" i="23"/>
  <c r="AB596" i="20"/>
  <c r="F598" i="14"/>
  <c r="I599" i="14"/>
  <c r="G597" i="14"/>
  <c r="H597" i="14" s="1"/>
  <c r="M598" i="14"/>
  <c r="N598" i="14" s="1"/>
  <c r="H600" i="4"/>
  <c r="G600" i="4"/>
  <c r="J598" i="14"/>
  <c r="K598" i="14" s="1"/>
  <c r="B601" i="16"/>
  <c r="D601" i="16"/>
  <c r="A601" i="16"/>
  <c r="C602" i="16"/>
  <c r="D596" i="14"/>
  <c r="E596" i="14" s="1"/>
  <c r="I598" i="23" l="1"/>
  <c r="J598" i="23"/>
  <c r="AA596" i="20"/>
  <c r="E596" i="23"/>
  <c r="H598" i="23"/>
  <c r="E601" i="16"/>
  <c r="O599" i="14"/>
  <c r="P599" i="14" s="1"/>
  <c r="Q599" i="14" s="1"/>
  <c r="F599" i="14"/>
  <c r="G599" i="14" s="1"/>
  <c r="H599" i="14" s="1"/>
  <c r="G598" i="14"/>
  <c r="H598" i="14" s="1"/>
  <c r="C598" i="14"/>
  <c r="AC596" i="20"/>
  <c r="G601" i="4"/>
  <c r="H601" i="4"/>
  <c r="G598" i="23"/>
  <c r="C597" i="23"/>
  <c r="F598" i="23"/>
  <c r="A599" i="23"/>
  <c r="K598" i="23"/>
  <c r="C602" i="18" s="1"/>
  <c r="AD596" i="20"/>
  <c r="L600" i="14"/>
  <c r="AB597" i="20"/>
  <c r="AC597" i="20" s="1"/>
  <c r="B602" i="16"/>
  <c r="A602" i="16"/>
  <c r="D602" i="16"/>
  <c r="C603" i="16"/>
  <c r="B602" i="18"/>
  <c r="A603" i="18"/>
  <c r="I600" i="14"/>
  <c r="O598" i="14"/>
  <c r="R598" i="14"/>
  <c r="J599" i="14"/>
  <c r="K599" i="14" s="1"/>
  <c r="M599" i="14"/>
  <c r="N599" i="14" s="1"/>
  <c r="I599" i="23" l="1"/>
  <c r="J599" i="23"/>
  <c r="I601" i="14"/>
  <c r="AA597" i="20"/>
  <c r="AA598" i="20"/>
  <c r="E597" i="23"/>
  <c r="H599" i="23"/>
  <c r="R599" i="14"/>
  <c r="S599" i="14" s="1"/>
  <c r="T599" i="14" s="1"/>
  <c r="E602" i="16"/>
  <c r="F600" i="14"/>
  <c r="G600" i="14" s="1"/>
  <c r="H600" i="14" s="1"/>
  <c r="C599" i="14"/>
  <c r="B603" i="18"/>
  <c r="A604" i="18"/>
  <c r="J600" i="14"/>
  <c r="K600" i="14" s="1"/>
  <c r="M600" i="14"/>
  <c r="N600" i="14" s="1"/>
  <c r="P598" i="14"/>
  <c r="Q598" i="14" s="1"/>
  <c r="A603" i="16"/>
  <c r="D603" i="16"/>
  <c r="B603" i="16"/>
  <c r="C604" i="16"/>
  <c r="AD597" i="20"/>
  <c r="AE597" i="20" s="1"/>
  <c r="L601" i="14"/>
  <c r="AE596" i="20"/>
  <c r="S598" i="14"/>
  <c r="T598" i="14" s="1"/>
  <c r="C598" i="23"/>
  <c r="F599" i="23"/>
  <c r="G599" i="23"/>
  <c r="A600" i="23"/>
  <c r="K599" i="23"/>
  <c r="C603" i="18" s="1"/>
  <c r="G602" i="4"/>
  <c r="H602" i="4"/>
  <c r="AB598" i="20"/>
  <c r="AC598" i="20" s="1"/>
  <c r="D598" i="14"/>
  <c r="E598" i="14" s="1"/>
  <c r="I600" i="23" l="1"/>
  <c r="J600" i="23"/>
  <c r="I602" i="14"/>
  <c r="L602" i="14"/>
  <c r="E598" i="23"/>
  <c r="H600" i="23"/>
  <c r="C600" i="14"/>
  <c r="D600" i="14" s="1"/>
  <c r="E600" i="14" s="1"/>
  <c r="O601" i="14"/>
  <c r="P601" i="14" s="1"/>
  <c r="Q601" i="14" s="1"/>
  <c r="D599" i="14"/>
  <c r="E599" i="14" s="1"/>
  <c r="AD598" i="20"/>
  <c r="AE598" i="20" s="1"/>
  <c r="G600" i="23"/>
  <c r="F600" i="23"/>
  <c r="C599" i="23"/>
  <c r="A601" i="23"/>
  <c r="K600" i="23"/>
  <c r="C604" i="18" s="1"/>
  <c r="O600" i="14"/>
  <c r="R600" i="14"/>
  <c r="AB599" i="20"/>
  <c r="AC599" i="20" s="1"/>
  <c r="D604" i="16"/>
  <c r="B604" i="16"/>
  <c r="A604" i="16"/>
  <c r="C605" i="16"/>
  <c r="F601" i="14"/>
  <c r="H603" i="4"/>
  <c r="G603" i="4"/>
  <c r="M601" i="14"/>
  <c r="N601" i="14" s="1"/>
  <c r="J601" i="14"/>
  <c r="K601" i="14" s="1"/>
  <c r="B604" i="18"/>
  <c r="A605" i="18"/>
  <c r="E603" i="16"/>
  <c r="I601" i="23" l="1"/>
  <c r="J601" i="23"/>
  <c r="I603" i="14"/>
  <c r="AA599" i="20"/>
  <c r="AA600" i="20"/>
  <c r="E599" i="23"/>
  <c r="H601" i="23"/>
  <c r="R601" i="14"/>
  <c r="S601" i="14" s="1"/>
  <c r="T601" i="14" s="1"/>
  <c r="F602" i="14"/>
  <c r="G602" i="14" s="1"/>
  <c r="H602" i="14" s="1"/>
  <c r="E604" i="16"/>
  <c r="AD599" i="20"/>
  <c r="AE599" i="20" s="1"/>
  <c r="L603" i="14"/>
  <c r="S600" i="14"/>
  <c r="T600" i="14" s="1"/>
  <c r="O602" i="14"/>
  <c r="C601" i="14"/>
  <c r="B605" i="18"/>
  <c r="A606" i="18"/>
  <c r="H604" i="4"/>
  <c r="G604" i="4"/>
  <c r="D605" i="16"/>
  <c r="B605" i="16"/>
  <c r="A605" i="16"/>
  <c r="C606" i="16"/>
  <c r="P600" i="14"/>
  <c r="Q600" i="14" s="1"/>
  <c r="G601" i="14"/>
  <c r="H601" i="14" s="1"/>
  <c r="M602" i="14"/>
  <c r="N602" i="14" s="1"/>
  <c r="AB600" i="20"/>
  <c r="AC600" i="20" s="1"/>
  <c r="F601" i="23"/>
  <c r="C600" i="23"/>
  <c r="G601" i="23"/>
  <c r="K601" i="23"/>
  <c r="C605" i="18" s="1"/>
  <c r="A602" i="23"/>
  <c r="J602" i="14"/>
  <c r="K602" i="14" s="1"/>
  <c r="I602" i="23" l="1"/>
  <c r="J602" i="23"/>
  <c r="L604" i="14"/>
  <c r="I604" i="14"/>
  <c r="E600" i="23"/>
  <c r="H602" i="23"/>
  <c r="O603" i="14"/>
  <c r="P603" i="14" s="1"/>
  <c r="Q603" i="14" s="1"/>
  <c r="E605" i="16"/>
  <c r="R602" i="14"/>
  <c r="S602" i="14" s="1"/>
  <c r="T602" i="14" s="1"/>
  <c r="C602" i="14"/>
  <c r="D606" i="16"/>
  <c r="A606" i="16"/>
  <c r="B606" i="16"/>
  <c r="C607" i="16"/>
  <c r="G605" i="4"/>
  <c r="H605" i="4"/>
  <c r="D601" i="14"/>
  <c r="E601" i="14" s="1"/>
  <c r="F602" i="23"/>
  <c r="C601" i="23"/>
  <c r="G602" i="23"/>
  <c r="A603" i="23"/>
  <c r="K602" i="23"/>
  <c r="C606" i="18" s="1"/>
  <c r="P602" i="14"/>
  <c r="Q602" i="14" s="1"/>
  <c r="AD600" i="20"/>
  <c r="AE600" i="20" s="1"/>
  <c r="J603" i="14"/>
  <c r="K603" i="14" s="1"/>
  <c r="B606" i="18"/>
  <c r="A607" i="18"/>
  <c r="AB601" i="20"/>
  <c r="AC601" i="20" s="1"/>
  <c r="M603" i="14"/>
  <c r="N603" i="14" s="1"/>
  <c r="AA601" i="20" l="1"/>
  <c r="I603" i="23"/>
  <c r="J603" i="23"/>
  <c r="I605" i="14"/>
  <c r="R603" i="14"/>
  <c r="S603" i="14" s="1"/>
  <c r="T603" i="14" s="1"/>
  <c r="E601" i="23"/>
  <c r="H603" i="23"/>
  <c r="F604" i="14"/>
  <c r="G604" i="14" s="1"/>
  <c r="H604" i="14" s="1"/>
  <c r="D602" i="14"/>
  <c r="E602" i="14" s="1"/>
  <c r="O604" i="14"/>
  <c r="P604" i="14" s="1"/>
  <c r="Q604" i="14" s="1"/>
  <c r="B607" i="18"/>
  <c r="A608" i="18"/>
  <c r="J604" i="14"/>
  <c r="K604" i="14" s="1"/>
  <c r="D607" i="16"/>
  <c r="B607" i="16"/>
  <c r="A607" i="16"/>
  <c r="C608" i="16"/>
  <c r="F603" i="14"/>
  <c r="C603" i="14"/>
  <c r="G606" i="4"/>
  <c r="H606" i="4"/>
  <c r="E606" i="16"/>
  <c r="L605" i="14"/>
  <c r="AD601" i="20"/>
  <c r="AE601" i="20" s="1"/>
  <c r="M604" i="14"/>
  <c r="N604" i="14" s="1"/>
  <c r="F603" i="23"/>
  <c r="C602" i="23"/>
  <c r="G603" i="23"/>
  <c r="K603" i="23"/>
  <c r="C607" i="18" s="1"/>
  <c r="A604" i="23"/>
  <c r="AB602" i="20"/>
  <c r="AC602" i="20" s="1"/>
  <c r="I604" i="23" l="1"/>
  <c r="J604" i="23"/>
  <c r="I606" i="14"/>
  <c r="AA602" i="20"/>
  <c r="E602" i="23"/>
  <c r="H604" i="23"/>
  <c r="E607" i="16"/>
  <c r="C604" i="14"/>
  <c r="D604" i="14" s="1"/>
  <c r="E604" i="14" s="1"/>
  <c r="R604" i="14"/>
  <c r="S604" i="14" s="1"/>
  <c r="T604" i="14" s="1"/>
  <c r="F605" i="14"/>
  <c r="G605" i="14" s="1"/>
  <c r="H605" i="14" s="1"/>
  <c r="O605" i="14"/>
  <c r="P605" i="14" s="1"/>
  <c r="Q605" i="14" s="1"/>
  <c r="G607" i="4"/>
  <c r="H607" i="4"/>
  <c r="B608" i="18"/>
  <c r="A609" i="18"/>
  <c r="AD602" i="20"/>
  <c r="AE602" i="20" s="1"/>
  <c r="L606" i="14"/>
  <c r="C603" i="23"/>
  <c r="G604" i="23"/>
  <c r="F604" i="23"/>
  <c r="K604" i="23"/>
  <c r="C608" i="18" s="1"/>
  <c r="A605" i="23"/>
  <c r="B608" i="16"/>
  <c r="A608" i="16"/>
  <c r="D608" i="16"/>
  <c r="C609" i="16"/>
  <c r="D603" i="14"/>
  <c r="E603" i="14" s="1"/>
  <c r="M605" i="14"/>
  <c r="N605" i="14" s="1"/>
  <c r="AB603" i="20"/>
  <c r="AC603" i="20" s="1"/>
  <c r="G603" i="14"/>
  <c r="H603" i="14" s="1"/>
  <c r="J605" i="14"/>
  <c r="K605" i="14" s="1"/>
  <c r="AA603" i="20" l="1"/>
  <c r="I605" i="23"/>
  <c r="J605" i="23"/>
  <c r="L607" i="14"/>
  <c r="AA604" i="20"/>
  <c r="E603" i="23"/>
  <c r="H605" i="23"/>
  <c r="C605" i="14"/>
  <c r="D605" i="14" s="1"/>
  <c r="E605" i="14" s="1"/>
  <c r="E608" i="16"/>
  <c r="R605" i="14"/>
  <c r="S605" i="14" s="1"/>
  <c r="T605" i="14" s="1"/>
  <c r="B609" i="16"/>
  <c r="D609" i="16"/>
  <c r="A609" i="16"/>
  <c r="C610" i="16"/>
  <c r="B609" i="18"/>
  <c r="A610" i="18"/>
  <c r="AD603" i="20"/>
  <c r="AE603" i="20" s="1"/>
  <c r="AB604" i="20"/>
  <c r="AC604" i="20" s="1"/>
  <c r="G605" i="23"/>
  <c r="C604" i="23"/>
  <c r="F605" i="23"/>
  <c r="K605" i="23"/>
  <c r="C609" i="18" s="1"/>
  <c r="A606" i="23"/>
  <c r="J606" i="14"/>
  <c r="K606" i="14" s="1"/>
  <c r="I607" i="14"/>
  <c r="M606" i="14"/>
  <c r="N606" i="14" s="1"/>
  <c r="G608" i="4"/>
  <c r="H608" i="4"/>
  <c r="O606" i="14"/>
  <c r="F606" i="14"/>
  <c r="I606" i="23" l="1"/>
  <c r="J606" i="23"/>
  <c r="AA605" i="20"/>
  <c r="E604" i="23"/>
  <c r="H606" i="23"/>
  <c r="O607" i="14"/>
  <c r="P607" i="14" s="1"/>
  <c r="Q607" i="14" s="1"/>
  <c r="F607" i="14"/>
  <c r="G607" i="14" s="1"/>
  <c r="H607" i="14" s="1"/>
  <c r="G609" i="4"/>
  <c r="H609" i="4"/>
  <c r="C605" i="23"/>
  <c r="F606" i="23"/>
  <c r="G606" i="23"/>
  <c r="A607" i="23"/>
  <c r="K606" i="23"/>
  <c r="C610" i="18" s="1"/>
  <c r="C606" i="14"/>
  <c r="E609" i="16"/>
  <c r="P606" i="14"/>
  <c r="Q606" i="14" s="1"/>
  <c r="AD604" i="20"/>
  <c r="AE604" i="20" s="1"/>
  <c r="L608" i="14"/>
  <c r="M607" i="14"/>
  <c r="N607" i="14" s="1"/>
  <c r="B610" i="18"/>
  <c r="A611" i="18"/>
  <c r="AB605" i="20"/>
  <c r="AC605" i="20" s="1"/>
  <c r="G606" i="14"/>
  <c r="H606" i="14" s="1"/>
  <c r="I608" i="14"/>
  <c r="J607" i="14"/>
  <c r="K607" i="14" s="1"/>
  <c r="D610" i="16"/>
  <c r="B610" i="16"/>
  <c r="A610" i="16"/>
  <c r="C611" i="16"/>
  <c r="R606" i="14"/>
  <c r="I607" i="23" l="1"/>
  <c r="J607" i="23"/>
  <c r="I609" i="14"/>
  <c r="R607" i="14"/>
  <c r="S607" i="14" s="1"/>
  <c r="T607" i="14" s="1"/>
  <c r="E605" i="23"/>
  <c r="H607" i="23"/>
  <c r="C607" i="14"/>
  <c r="D607" i="14" s="1"/>
  <c r="E607" i="14" s="1"/>
  <c r="O608" i="14"/>
  <c r="P608" i="14" s="1"/>
  <c r="Q608" i="14" s="1"/>
  <c r="J608" i="14"/>
  <c r="K608" i="14" s="1"/>
  <c r="AB606" i="20"/>
  <c r="D606" i="14"/>
  <c r="E606" i="14" s="1"/>
  <c r="D611" i="16"/>
  <c r="B611" i="16"/>
  <c r="A611" i="16"/>
  <c r="C612" i="16"/>
  <c r="AD605" i="20"/>
  <c r="AE605" i="20" s="1"/>
  <c r="L609" i="14"/>
  <c r="S606" i="14"/>
  <c r="T606" i="14" s="1"/>
  <c r="B611" i="18"/>
  <c r="A612" i="18"/>
  <c r="M608" i="14"/>
  <c r="N608" i="14" s="1"/>
  <c r="G610" i="4"/>
  <c r="H610" i="4"/>
  <c r="E610" i="16"/>
  <c r="F608" i="14"/>
  <c r="F607" i="23"/>
  <c r="C606" i="23"/>
  <c r="G607" i="23"/>
  <c r="K607" i="23"/>
  <c r="C611" i="18" s="1"/>
  <c r="A608" i="23"/>
  <c r="I608" i="23" l="1"/>
  <c r="J608" i="23"/>
  <c r="AA606" i="20"/>
  <c r="I610" i="14"/>
  <c r="E606" i="23"/>
  <c r="H608" i="23"/>
  <c r="R608" i="14"/>
  <c r="S608" i="14" s="1"/>
  <c r="T608" i="14" s="1"/>
  <c r="G611" i="4"/>
  <c r="H611" i="4"/>
  <c r="F608" i="23"/>
  <c r="G608" i="23"/>
  <c r="C607" i="23"/>
  <c r="K608" i="23"/>
  <c r="C612" i="18" s="1"/>
  <c r="A609" i="23"/>
  <c r="AC606" i="20"/>
  <c r="F609" i="14"/>
  <c r="C608" i="14"/>
  <c r="D612" i="16"/>
  <c r="B612" i="16"/>
  <c r="A612" i="16"/>
  <c r="C613" i="16"/>
  <c r="AD606" i="20"/>
  <c r="L610" i="14"/>
  <c r="M609" i="14"/>
  <c r="N609" i="14" s="1"/>
  <c r="E611" i="16"/>
  <c r="J609" i="14"/>
  <c r="K609" i="14" s="1"/>
  <c r="G608" i="14"/>
  <c r="H608" i="14" s="1"/>
  <c r="AB607" i="20"/>
  <c r="AC607" i="20" s="1"/>
  <c r="B612" i="18"/>
  <c r="A613" i="18"/>
  <c r="I609" i="23" l="1"/>
  <c r="J609" i="23"/>
  <c r="AA607" i="20"/>
  <c r="L611" i="14"/>
  <c r="E607" i="23"/>
  <c r="H609" i="23"/>
  <c r="F610" i="14"/>
  <c r="G610" i="14" s="1"/>
  <c r="H610" i="14" s="1"/>
  <c r="C609" i="14"/>
  <c r="D609" i="14" s="1"/>
  <c r="J610" i="14"/>
  <c r="K610" i="14" s="1"/>
  <c r="H612" i="4"/>
  <c r="G612" i="4"/>
  <c r="O609" i="14"/>
  <c r="R609" i="14"/>
  <c r="B613" i="16"/>
  <c r="A613" i="16"/>
  <c r="D613" i="16"/>
  <c r="C614" i="16"/>
  <c r="D608" i="14"/>
  <c r="E608" i="14" s="1"/>
  <c r="C608" i="23"/>
  <c r="F609" i="23"/>
  <c r="G609" i="23"/>
  <c r="K609" i="23"/>
  <c r="C613" i="18" s="1"/>
  <c r="A610" i="23"/>
  <c r="I611" i="14"/>
  <c r="AB608" i="20"/>
  <c r="AC608" i="20" s="1"/>
  <c r="AE606" i="20"/>
  <c r="B613" i="18"/>
  <c r="A614" i="18"/>
  <c r="AD607" i="20"/>
  <c r="AE607" i="20" s="1"/>
  <c r="M610" i="14"/>
  <c r="N610" i="14" s="1"/>
  <c r="E612" i="16"/>
  <c r="G609" i="14"/>
  <c r="H609" i="14" s="1"/>
  <c r="I610" i="23" l="1"/>
  <c r="J610" i="23"/>
  <c r="I612" i="14"/>
  <c r="AA608" i="20"/>
  <c r="AA609" i="20"/>
  <c r="E608" i="23"/>
  <c r="H610" i="23"/>
  <c r="C610" i="14"/>
  <c r="D610" i="14" s="1"/>
  <c r="E610" i="14" s="1"/>
  <c r="E609" i="14"/>
  <c r="F611" i="14"/>
  <c r="G611" i="14" s="1"/>
  <c r="H611" i="14" s="1"/>
  <c r="E613" i="16"/>
  <c r="B614" i="16"/>
  <c r="A614" i="16"/>
  <c r="D614" i="16"/>
  <c r="C615" i="16"/>
  <c r="B614" i="18"/>
  <c r="A615" i="18"/>
  <c r="AD608" i="20"/>
  <c r="AE608" i="20" s="1"/>
  <c r="L612" i="14"/>
  <c r="C609" i="23"/>
  <c r="G610" i="23"/>
  <c r="F610" i="23"/>
  <c r="K610" i="23"/>
  <c r="C614" i="18" s="1"/>
  <c r="A611" i="23"/>
  <c r="S609" i="14"/>
  <c r="T609" i="14" s="1"/>
  <c r="O611" i="14"/>
  <c r="O610" i="14"/>
  <c r="R610" i="14"/>
  <c r="G613" i="4"/>
  <c r="H613" i="4"/>
  <c r="AB609" i="20"/>
  <c r="AC609" i="20" s="1"/>
  <c r="M611" i="14"/>
  <c r="N611" i="14" s="1"/>
  <c r="J611" i="14"/>
  <c r="K611" i="14" s="1"/>
  <c r="P609" i="14"/>
  <c r="Q609" i="14" s="1"/>
  <c r="I611" i="23" l="1"/>
  <c r="J611" i="23"/>
  <c r="L613" i="14"/>
  <c r="I613" i="14"/>
  <c r="E609" i="23"/>
  <c r="H611" i="23"/>
  <c r="F612" i="14"/>
  <c r="G612" i="14" s="1"/>
  <c r="H612" i="14" s="1"/>
  <c r="C611" i="14"/>
  <c r="D611" i="14" s="1"/>
  <c r="E611" i="14" s="1"/>
  <c r="R611" i="14"/>
  <c r="S611" i="14" s="1"/>
  <c r="T611" i="14" s="1"/>
  <c r="E614" i="16"/>
  <c r="O612" i="14"/>
  <c r="P612" i="14" s="1"/>
  <c r="Q612" i="14" s="1"/>
  <c r="AD609" i="20"/>
  <c r="AE609" i="20" s="1"/>
  <c r="B615" i="18"/>
  <c r="A616" i="18"/>
  <c r="A615" i="16"/>
  <c r="D615" i="16"/>
  <c r="B615" i="16"/>
  <c r="C616" i="16"/>
  <c r="J612" i="14"/>
  <c r="K612" i="14" s="1"/>
  <c r="S610" i="14"/>
  <c r="T610" i="14" s="1"/>
  <c r="P611" i="14"/>
  <c r="Q611" i="14" s="1"/>
  <c r="F611" i="23"/>
  <c r="C610" i="23"/>
  <c r="G611" i="23"/>
  <c r="K611" i="23"/>
  <c r="C615" i="18" s="1"/>
  <c r="A612" i="23"/>
  <c r="M612" i="14"/>
  <c r="N612" i="14" s="1"/>
  <c r="G614" i="4"/>
  <c r="H614" i="4"/>
  <c r="P610" i="14"/>
  <c r="Q610" i="14" s="1"/>
  <c r="AB610" i="20"/>
  <c r="AC610" i="20" s="1"/>
  <c r="I612" i="23" l="1"/>
  <c r="J612" i="23"/>
  <c r="I614" i="14"/>
  <c r="AA610" i="20"/>
  <c r="C612" i="14"/>
  <c r="D612" i="14" s="1"/>
  <c r="E612" i="14" s="1"/>
  <c r="E610" i="23"/>
  <c r="H612" i="23"/>
  <c r="O613" i="14"/>
  <c r="P613" i="14" s="1"/>
  <c r="Q613" i="14" s="1"/>
  <c r="R612" i="14"/>
  <c r="S612" i="14" s="1"/>
  <c r="T612" i="14" s="1"/>
  <c r="AD610" i="20"/>
  <c r="AE610" i="20" s="1"/>
  <c r="L614" i="14"/>
  <c r="G612" i="23"/>
  <c r="F612" i="23"/>
  <c r="C611" i="23"/>
  <c r="A613" i="23"/>
  <c r="K612" i="23"/>
  <c r="C616" i="18" s="1"/>
  <c r="G615" i="4"/>
  <c r="H615" i="4"/>
  <c r="J613" i="14"/>
  <c r="K613" i="14" s="1"/>
  <c r="E615" i="16"/>
  <c r="AB611" i="20"/>
  <c r="AC611" i="20" s="1"/>
  <c r="B616" i="16"/>
  <c r="D616" i="16"/>
  <c r="A616" i="16"/>
  <c r="C617" i="16"/>
  <c r="B616" i="18"/>
  <c r="A617" i="18"/>
  <c r="M613" i="14"/>
  <c r="N613" i="14" s="1"/>
  <c r="I613" i="23" l="1"/>
  <c r="J613" i="23"/>
  <c r="AA611" i="20"/>
  <c r="I615" i="14"/>
  <c r="E611" i="23"/>
  <c r="H613" i="23"/>
  <c r="R613" i="14"/>
  <c r="S613" i="14" s="1"/>
  <c r="T613" i="14" s="1"/>
  <c r="E616" i="16"/>
  <c r="O614" i="14"/>
  <c r="P614" i="14" s="1"/>
  <c r="Q614" i="14" s="1"/>
  <c r="AB612" i="20"/>
  <c r="B617" i="18"/>
  <c r="A618" i="18"/>
  <c r="AD611" i="20"/>
  <c r="AE611" i="20" s="1"/>
  <c r="L615" i="14"/>
  <c r="H616" i="4"/>
  <c r="G616" i="4"/>
  <c r="F614" i="14"/>
  <c r="D617" i="16"/>
  <c r="A617" i="16"/>
  <c r="B617" i="16"/>
  <c r="C618" i="16"/>
  <c r="F613" i="23"/>
  <c r="G613" i="23"/>
  <c r="C612" i="23"/>
  <c r="K613" i="23"/>
  <c r="C617" i="18" s="1"/>
  <c r="A614" i="23"/>
  <c r="F613" i="14"/>
  <c r="C613" i="14"/>
  <c r="J614" i="14"/>
  <c r="K614" i="14" s="1"/>
  <c r="M614" i="14"/>
  <c r="N614" i="14" s="1"/>
  <c r="I614" i="23" l="1"/>
  <c r="J614" i="23"/>
  <c r="AA612" i="20"/>
  <c r="AA613" i="20"/>
  <c r="E612" i="23"/>
  <c r="H614" i="23"/>
  <c r="R614" i="14"/>
  <c r="S614" i="14" s="1"/>
  <c r="T614" i="14" s="1"/>
  <c r="C614" i="14"/>
  <c r="D614" i="14" s="1"/>
  <c r="E614" i="14" s="1"/>
  <c r="O615" i="14"/>
  <c r="P615" i="14" s="1"/>
  <c r="Q615" i="14" s="1"/>
  <c r="F615" i="14"/>
  <c r="G615" i="14" s="1"/>
  <c r="H615" i="14" s="1"/>
  <c r="AC612" i="20"/>
  <c r="B618" i="18"/>
  <c r="A619" i="18"/>
  <c r="J615" i="14"/>
  <c r="K615" i="14" s="1"/>
  <c r="D618" i="16"/>
  <c r="A618" i="16"/>
  <c r="B618" i="16"/>
  <c r="C619" i="16"/>
  <c r="G614" i="14"/>
  <c r="H614" i="14" s="1"/>
  <c r="G617" i="4"/>
  <c r="H617" i="4"/>
  <c r="AB613" i="20"/>
  <c r="AC613" i="20" s="1"/>
  <c r="AD612" i="20"/>
  <c r="L616" i="14"/>
  <c r="D613" i="14"/>
  <c r="E613" i="14" s="1"/>
  <c r="G613" i="14"/>
  <c r="H613" i="14" s="1"/>
  <c r="G614" i="23"/>
  <c r="F614" i="23"/>
  <c r="C613" i="23"/>
  <c r="A615" i="23"/>
  <c r="K614" i="23"/>
  <c r="C618" i="18" s="1"/>
  <c r="E617" i="16"/>
  <c r="I616" i="14"/>
  <c r="M615" i="14"/>
  <c r="N615" i="14" s="1"/>
  <c r="I615" i="23" l="1"/>
  <c r="J615" i="23"/>
  <c r="L617" i="14"/>
  <c r="I617" i="14"/>
  <c r="E613" i="23"/>
  <c r="H615" i="23"/>
  <c r="R615" i="14"/>
  <c r="S615" i="14" s="1"/>
  <c r="T615" i="14" s="1"/>
  <c r="C615" i="14"/>
  <c r="D615" i="14" s="1"/>
  <c r="E615" i="14" s="1"/>
  <c r="G615" i="23"/>
  <c r="F615" i="23"/>
  <c r="C614" i="23"/>
  <c r="K615" i="23"/>
  <c r="C619" i="18" s="1"/>
  <c r="A616" i="23"/>
  <c r="M616" i="14"/>
  <c r="N616" i="14" s="1"/>
  <c r="G618" i="4"/>
  <c r="H618" i="4"/>
  <c r="AB614" i="20"/>
  <c r="AE612" i="20"/>
  <c r="O616" i="14"/>
  <c r="J616" i="14"/>
  <c r="K616" i="14" s="1"/>
  <c r="B619" i="16"/>
  <c r="D619" i="16"/>
  <c r="A619" i="16"/>
  <c r="C620" i="16"/>
  <c r="AD613" i="20"/>
  <c r="AE613" i="20" s="1"/>
  <c r="E618" i="16"/>
  <c r="B619" i="18"/>
  <c r="A620" i="18"/>
  <c r="I616" i="23" l="1"/>
  <c r="J616" i="23"/>
  <c r="AA614" i="20"/>
  <c r="L618" i="14"/>
  <c r="E614" i="23"/>
  <c r="H616" i="23"/>
  <c r="R616" i="14"/>
  <c r="S616" i="14" s="1"/>
  <c r="T616" i="14" s="1"/>
  <c r="E619" i="16"/>
  <c r="AC614" i="20"/>
  <c r="AB615" i="20"/>
  <c r="J617" i="14"/>
  <c r="K617" i="14" s="1"/>
  <c r="I618" i="14"/>
  <c r="P616" i="14"/>
  <c r="Q616" i="14" s="1"/>
  <c r="G616" i="23"/>
  <c r="C615" i="23"/>
  <c r="F616" i="23"/>
  <c r="K616" i="23"/>
  <c r="C620" i="18" s="1"/>
  <c r="A617" i="23"/>
  <c r="B620" i="18"/>
  <c r="A621" i="18"/>
  <c r="F617" i="14"/>
  <c r="F616" i="14"/>
  <c r="C616" i="14"/>
  <c r="M617" i="14"/>
  <c r="N617" i="14" s="1"/>
  <c r="B620" i="16"/>
  <c r="D620" i="16"/>
  <c r="A620" i="16"/>
  <c r="C621" i="16"/>
  <c r="AD614" i="20"/>
  <c r="H619" i="4"/>
  <c r="G619" i="4"/>
  <c r="O617" i="14"/>
  <c r="I617" i="23" l="1"/>
  <c r="J617" i="23"/>
  <c r="AA615" i="20"/>
  <c r="E615" i="23"/>
  <c r="H617" i="23"/>
  <c r="C617" i="14"/>
  <c r="D617" i="14" s="1"/>
  <c r="E617" i="14" s="1"/>
  <c r="R617" i="14"/>
  <c r="S617" i="14" s="1"/>
  <c r="T617" i="14" s="1"/>
  <c r="F618" i="14"/>
  <c r="P617" i="14"/>
  <c r="Q617" i="14" s="1"/>
  <c r="D621" i="16"/>
  <c r="B621" i="16"/>
  <c r="A621" i="16"/>
  <c r="C622" i="16"/>
  <c r="D616" i="14"/>
  <c r="E616" i="14" s="1"/>
  <c r="G617" i="14"/>
  <c r="H617" i="14" s="1"/>
  <c r="F617" i="23"/>
  <c r="G617" i="23"/>
  <c r="C616" i="23"/>
  <c r="K617" i="23"/>
  <c r="C621" i="18" s="1"/>
  <c r="A618" i="23"/>
  <c r="H620" i="4"/>
  <c r="G620" i="4"/>
  <c r="M618" i="14"/>
  <c r="N618" i="14" s="1"/>
  <c r="E620" i="16"/>
  <c r="AC615" i="20"/>
  <c r="G616" i="14"/>
  <c r="H616" i="14" s="1"/>
  <c r="B621" i="18"/>
  <c r="A622" i="18"/>
  <c r="J618" i="14"/>
  <c r="K618" i="14" s="1"/>
  <c r="AE614" i="20"/>
  <c r="AB616" i="20"/>
  <c r="I619" i="14"/>
  <c r="AD615" i="20"/>
  <c r="L619" i="14"/>
  <c r="I618" i="23" l="1"/>
  <c r="J618" i="23"/>
  <c r="L620" i="14"/>
  <c r="AA616" i="20"/>
  <c r="E616" i="23"/>
  <c r="H618" i="23"/>
  <c r="C618" i="14"/>
  <c r="D618" i="14" s="1"/>
  <c r="E618" i="14" s="1"/>
  <c r="E621" i="16"/>
  <c r="G618" i="14"/>
  <c r="H618" i="14" s="1"/>
  <c r="AB617" i="20"/>
  <c r="I620" i="14"/>
  <c r="O618" i="14"/>
  <c r="R618" i="14"/>
  <c r="B622" i="18"/>
  <c r="A623" i="18"/>
  <c r="O619" i="14"/>
  <c r="AE615" i="20"/>
  <c r="F618" i="23"/>
  <c r="C617" i="23"/>
  <c r="G618" i="23"/>
  <c r="A619" i="23"/>
  <c r="K618" i="23"/>
  <c r="C622" i="18" s="1"/>
  <c r="J619" i="14"/>
  <c r="K619" i="14" s="1"/>
  <c r="B622" i="16"/>
  <c r="D622" i="16"/>
  <c r="A622" i="16"/>
  <c r="C623" i="16"/>
  <c r="AC616" i="20"/>
  <c r="G621" i="4"/>
  <c r="H621" i="4"/>
  <c r="AD616" i="20"/>
  <c r="M619" i="14"/>
  <c r="N619" i="14" s="1"/>
  <c r="F619" i="14"/>
  <c r="AA617" i="20" l="1"/>
  <c r="I619" i="23"/>
  <c r="J619" i="23"/>
  <c r="I621" i="14"/>
  <c r="E617" i="23"/>
  <c r="H619" i="23"/>
  <c r="R619" i="14"/>
  <c r="S619" i="14" s="1"/>
  <c r="T619" i="14" s="1"/>
  <c r="C619" i="14"/>
  <c r="D619" i="14" s="1"/>
  <c r="E619" i="14" s="1"/>
  <c r="G619" i="23"/>
  <c r="C618" i="23"/>
  <c r="F619" i="23"/>
  <c r="A620" i="23"/>
  <c r="K619" i="23"/>
  <c r="C623" i="18" s="1"/>
  <c r="B623" i="18"/>
  <c r="A624" i="18"/>
  <c r="J620" i="14"/>
  <c r="K620" i="14" s="1"/>
  <c r="AB618" i="20"/>
  <c r="AC618" i="20" s="1"/>
  <c r="B623" i="16"/>
  <c r="D623" i="16"/>
  <c r="A623" i="16"/>
  <c r="C624" i="16"/>
  <c r="AD617" i="20"/>
  <c r="L621" i="14"/>
  <c r="AC617" i="20"/>
  <c r="O620" i="14"/>
  <c r="AE616" i="20"/>
  <c r="S618" i="14"/>
  <c r="T618" i="14" s="1"/>
  <c r="F620" i="14"/>
  <c r="M620" i="14"/>
  <c r="N620" i="14" s="1"/>
  <c r="E622" i="16"/>
  <c r="G619" i="14"/>
  <c r="H619" i="14" s="1"/>
  <c r="G622" i="4"/>
  <c r="H622" i="4"/>
  <c r="P619" i="14"/>
  <c r="Q619" i="14" s="1"/>
  <c r="P618" i="14"/>
  <c r="Q618" i="14" s="1"/>
  <c r="I620" i="23" l="1"/>
  <c r="J620" i="23"/>
  <c r="AA618" i="20"/>
  <c r="E618" i="23"/>
  <c r="H620" i="23"/>
  <c r="E623" i="16"/>
  <c r="AB619" i="20"/>
  <c r="M621" i="14"/>
  <c r="N621" i="14" s="1"/>
  <c r="G623" i="4"/>
  <c r="H623" i="4"/>
  <c r="J621" i="14"/>
  <c r="K621" i="14" s="1"/>
  <c r="I622" i="14"/>
  <c r="G620" i="14"/>
  <c r="H620" i="14" s="1"/>
  <c r="R620" i="14"/>
  <c r="AE617" i="20"/>
  <c r="O621" i="14"/>
  <c r="AD618" i="20"/>
  <c r="AE618" i="20" s="1"/>
  <c r="L622" i="14"/>
  <c r="C619" i="23"/>
  <c r="G620" i="23"/>
  <c r="F620" i="23"/>
  <c r="K620" i="23"/>
  <c r="C624" i="18" s="1"/>
  <c r="A621" i="23"/>
  <c r="P620" i="14"/>
  <c r="Q620" i="14" s="1"/>
  <c r="C620" i="14"/>
  <c r="B624" i="16"/>
  <c r="A624" i="16"/>
  <c r="D624" i="16"/>
  <c r="C625" i="16"/>
  <c r="F621" i="14"/>
  <c r="B624" i="18"/>
  <c r="A625" i="18"/>
  <c r="I621" i="23" l="1"/>
  <c r="J621" i="23"/>
  <c r="AA619" i="20"/>
  <c r="L623" i="14"/>
  <c r="AA620" i="20"/>
  <c r="E619" i="23"/>
  <c r="H621" i="23"/>
  <c r="E624" i="16"/>
  <c r="R621" i="14"/>
  <c r="S621" i="14" s="1"/>
  <c r="T621" i="14" s="1"/>
  <c r="O622" i="14"/>
  <c r="P622" i="14" s="1"/>
  <c r="Q622" i="14" s="1"/>
  <c r="S620" i="14"/>
  <c r="T620" i="14" s="1"/>
  <c r="D620" i="14"/>
  <c r="E620" i="14" s="1"/>
  <c r="I623" i="14"/>
  <c r="AD619" i="20"/>
  <c r="G621" i="14"/>
  <c r="H621" i="14" s="1"/>
  <c r="M622" i="14"/>
  <c r="N622" i="14" s="1"/>
  <c r="P621" i="14"/>
  <c r="Q621" i="14" s="1"/>
  <c r="AB620" i="20"/>
  <c r="AC620" i="20" s="1"/>
  <c r="B625" i="18"/>
  <c r="A626" i="18"/>
  <c r="AC619" i="20"/>
  <c r="J622" i="14"/>
  <c r="K622" i="14" s="1"/>
  <c r="G624" i="4"/>
  <c r="H624" i="4"/>
  <c r="C621" i="14"/>
  <c r="B625" i="16"/>
  <c r="D625" i="16"/>
  <c r="A625" i="16"/>
  <c r="C626" i="16"/>
  <c r="C620" i="23"/>
  <c r="G621" i="23"/>
  <c r="F621" i="23"/>
  <c r="K621" i="23"/>
  <c r="C625" i="18" s="1"/>
  <c r="A622" i="23"/>
  <c r="F622" i="14"/>
  <c r="I622" i="23" l="1"/>
  <c r="J622" i="23"/>
  <c r="L624" i="14"/>
  <c r="I624" i="14"/>
  <c r="E620" i="23"/>
  <c r="H622" i="23"/>
  <c r="R622" i="14"/>
  <c r="S622" i="14" s="1"/>
  <c r="T622" i="14" s="1"/>
  <c r="E625" i="16"/>
  <c r="F623" i="14"/>
  <c r="G623" i="14" s="1"/>
  <c r="H623" i="14" s="1"/>
  <c r="G622" i="14"/>
  <c r="H622" i="14" s="1"/>
  <c r="C621" i="23"/>
  <c r="F622" i="23"/>
  <c r="G622" i="23"/>
  <c r="A623" i="23"/>
  <c r="K622" i="23"/>
  <c r="C626" i="18" s="1"/>
  <c r="AB621" i="20"/>
  <c r="AC621" i="20" s="1"/>
  <c r="A626" i="16"/>
  <c r="D626" i="16"/>
  <c r="B626" i="16"/>
  <c r="C627" i="16"/>
  <c r="D621" i="14"/>
  <c r="E621" i="14" s="1"/>
  <c r="G625" i="4"/>
  <c r="H625" i="4"/>
  <c r="AE619" i="20"/>
  <c r="M623" i="14"/>
  <c r="N623" i="14" s="1"/>
  <c r="C622" i="14"/>
  <c r="AD620" i="20"/>
  <c r="AE620" i="20" s="1"/>
  <c r="J623" i="14"/>
  <c r="K623" i="14" s="1"/>
  <c r="B626" i="18"/>
  <c r="A627" i="18"/>
  <c r="AA621" i="20" l="1"/>
  <c r="I623" i="23"/>
  <c r="J623" i="23"/>
  <c r="E621" i="23"/>
  <c r="H623" i="23"/>
  <c r="O624" i="14"/>
  <c r="P624" i="14" s="1"/>
  <c r="Q624" i="14" s="1"/>
  <c r="E626" i="16"/>
  <c r="F624" i="14"/>
  <c r="G624" i="14" s="1"/>
  <c r="H624" i="14" s="1"/>
  <c r="C623" i="14"/>
  <c r="B627" i="18"/>
  <c r="A628" i="18"/>
  <c r="I625" i="14"/>
  <c r="G626" i="4"/>
  <c r="H626" i="4"/>
  <c r="AD621" i="20"/>
  <c r="AE621" i="20" s="1"/>
  <c r="L625" i="14"/>
  <c r="G623" i="23"/>
  <c r="F623" i="23"/>
  <c r="C622" i="23"/>
  <c r="K623" i="23"/>
  <c r="C627" i="18" s="1"/>
  <c r="A624" i="23"/>
  <c r="J624" i="14"/>
  <c r="K624" i="14" s="1"/>
  <c r="O623" i="14"/>
  <c r="R623" i="14"/>
  <c r="AB622" i="20"/>
  <c r="AC622" i="20" s="1"/>
  <c r="D627" i="16"/>
  <c r="B627" i="16"/>
  <c r="A627" i="16"/>
  <c r="C628" i="16"/>
  <c r="M624" i="14"/>
  <c r="N624" i="14" s="1"/>
  <c r="D622" i="14"/>
  <c r="E622" i="14" s="1"/>
  <c r="I626" i="14" l="1"/>
  <c r="AA622" i="20"/>
  <c r="I624" i="23"/>
  <c r="J624" i="23"/>
  <c r="AA623" i="20"/>
  <c r="R624" i="14"/>
  <c r="S624" i="14" s="1"/>
  <c r="T624" i="14" s="1"/>
  <c r="E622" i="23"/>
  <c r="H624" i="23"/>
  <c r="C624" i="14"/>
  <c r="D624" i="14" s="1"/>
  <c r="E624" i="14" s="1"/>
  <c r="E627" i="16"/>
  <c r="O625" i="14"/>
  <c r="P625" i="14" s="1"/>
  <c r="Q625" i="14" s="1"/>
  <c r="D623" i="14"/>
  <c r="E623" i="14" s="1"/>
  <c r="F624" i="23"/>
  <c r="G624" i="23"/>
  <c r="C623" i="23"/>
  <c r="K624" i="23"/>
  <c r="C628" i="18" s="1"/>
  <c r="A625" i="23"/>
  <c r="F625" i="14"/>
  <c r="B628" i="18"/>
  <c r="A629" i="18"/>
  <c r="S623" i="14"/>
  <c r="T623" i="14" s="1"/>
  <c r="AB623" i="20"/>
  <c r="AC623" i="20" s="1"/>
  <c r="D628" i="16"/>
  <c r="B628" i="16"/>
  <c r="A628" i="16"/>
  <c r="C629" i="16"/>
  <c r="L626" i="14"/>
  <c r="AD622" i="20"/>
  <c r="AE622" i="20" s="1"/>
  <c r="P623" i="14"/>
  <c r="Q623" i="14" s="1"/>
  <c r="M625" i="14"/>
  <c r="N625" i="14" s="1"/>
  <c r="G627" i="4"/>
  <c r="H627" i="4"/>
  <c r="J625" i="14"/>
  <c r="K625" i="14" s="1"/>
  <c r="I625" i="23" l="1"/>
  <c r="J625" i="23"/>
  <c r="E628" i="16"/>
  <c r="E623" i="23"/>
  <c r="H625" i="23"/>
  <c r="R625" i="14"/>
  <c r="S625" i="14" s="1"/>
  <c r="T625" i="14" s="1"/>
  <c r="C625" i="14"/>
  <c r="D625" i="14" s="1"/>
  <c r="E625" i="14" s="1"/>
  <c r="O626" i="14"/>
  <c r="P626" i="14" s="1"/>
  <c r="Q626" i="14" s="1"/>
  <c r="AB624" i="20"/>
  <c r="G625" i="14"/>
  <c r="H625" i="14" s="1"/>
  <c r="M626" i="14"/>
  <c r="N626" i="14" s="1"/>
  <c r="F626" i="14"/>
  <c r="H628" i="4"/>
  <c r="G628" i="4"/>
  <c r="J626" i="14"/>
  <c r="K626" i="14" s="1"/>
  <c r="B629" i="16"/>
  <c r="D629" i="16"/>
  <c r="A629" i="16"/>
  <c r="C630" i="16"/>
  <c r="AD623" i="20"/>
  <c r="AE623" i="20" s="1"/>
  <c r="L627" i="14"/>
  <c r="B629" i="18"/>
  <c r="A630" i="18"/>
  <c r="I627" i="14"/>
  <c r="F625" i="23"/>
  <c r="G625" i="23"/>
  <c r="C624" i="23"/>
  <c r="K625" i="23"/>
  <c r="C629" i="18" s="1"/>
  <c r="A626" i="23"/>
  <c r="I626" i="23" l="1"/>
  <c r="J626" i="23"/>
  <c r="L628" i="14"/>
  <c r="AA624" i="20"/>
  <c r="E624" i="23"/>
  <c r="H626" i="23"/>
  <c r="C626" i="14"/>
  <c r="D626" i="14" s="1"/>
  <c r="E626" i="14" s="1"/>
  <c r="R626" i="14"/>
  <c r="E629" i="16"/>
  <c r="C625" i="23"/>
  <c r="F626" i="23"/>
  <c r="G626" i="23"/>
  <c r="A627" i="23"/>
  <c r="K626" i="23"/>
  <c r="C630" i="18" s="1"/>
  <c r="G626" i="14"/>
  <c r="H626" i="14" s="1"/>
  <c r="AC624" i="20"/>
  <c r="AD624" i="20"/>
  <c r="B630" i="18"/>
  <c r="A631" i="18"/>
  <c r="M627" i="14"/>
  <c r="N627" i="14" s="1"/>
  <c r="J627" i="14"/>
  <c r="K627" i="14" s="1"/>
  <c r="D630" i="16"/>
  <c r="A630" i="16"/>
  <c r="B630" i="16"/>
  <c r="C631" i="16"/>
  <c r="I628" i="14"/>
  <c r="F627" i="14"/>
  <c r="G629" i="4"/>
  <c r="H629" i="4"/>
  <c r="AB625" i="20"/>
  <c r="AC625" i="20" s="1"/>
  <c r="I627" i="23" l="1"/>
  <c r="J627" i="23"/>
  <c r="I629" i="14"/>
  <c r="AA625" i="20"/>
  <c r="E625" i="23"/>
  <c r="H627" i="23"/>
  <c r="C627" i="14"/>
  <c r="D627" i="14" s="1"/>
  <c r="E627" i="14" s="1"/>
  <c r="S626" i="14"/>
  <c r="T626" i="14" s="1"/>
  <c r="F628" i="14"/>
  <c r="G628" i="14" s="1"/>
  <c r="H628" i="14" s="1"/>
  <c r="E630" i="16"/>
  <c r="AD625" i="20"/>
  <c r="AE625" i="20" s="1"/>
  <c r="L629" i="14"/>
  <c r="M628" i="14"/>
  <c r="N628" i="14" s="1"/>
  <c r="G627" i="14"/>
  <c r="H627" i="14" s="1"/>
  <c r="A631" i="16"/>
  <c r="D631" i="16"/>
  <c r="B631" i="16"/>
  <c r="C632" i="16"/>
  <c r="O627" i="14"/>
  <c r="R627" i="14"/>
  <c r="AE624" i="20"/>
  <c r="O628" i="14"/>
  <c r="J628" i="14"/>
  <c r="K628" i="14" s="1"/>
  <c r="B631" i="18"/>
  <c r="A632" i="18"/>
  <c r="G630" i="4"/>
  <c r="H630" i="4"/>
  <c r="AB626" i="20"/>
  <c r="AC626" i="20" s="1"/>
  <c r="G627" i="23"/>
  <c r="C626" i="23"/>
  <c r="F627" i="23"/>
  <c r="K627" i="23"/>
  <c r="C631" i="18" s="1"/>
  <c r="A628" i="23"/>
  <c r="I628" i="23" l="1"/>
  <c r="J628" i="23"/>
  <c r="AA626" i="20"/>
  <c r="I630" i="14"/>
  <c r="E626" i="23"/>
  <c r="H628" i="23"/>
  <c r="C628" i="14"/>
  <c r="D628" i="14" s="1"/>
  <c r="E628" i="14" s="1"/>
  <c r="R628" i="14"/>
  <c r="S628" i="14" s="1"/>
  <c r="T628" i="14" s="1"/>
  <c r="O629" i="14"/>
  <c r="P629" i="14" s="1"/>
  <c r="Q629" i="14" s="1"/>
  <c r="E631" i="16"/>
  <c r="J629" i="14"/>
  <c r="K629" i="14" s="1"/>
  <c r="P627" i="14"/>
  <c r="Q627" i="14" s="1"/>
  <c r="C627" i="23"/>
  <c r="G628" i="23"/>
  <c r="F628" i="23"/>
  <c r="K628" i="23"/>
  <c r="C632" i="18" s="1"/>
  <c r="A629" i="23"/>
  <c r="AD626" i="20"/>
  <c r="AE626" i="20" s="1"/>
  <c r="L630" i="14"/>
  <c r="P628" i="14"/>
  <c r="Q628" i="14" s="1"/>
  <c r="B632" i="16"/>
  <c r="D632" i="16"/>
  <c r="A632" i="16"/>
  <c r="C633" i="16"/>
  <c r="F629" i="14"/>
  <c r="M629" i="14"/>
  <c r="N629" i="14" s="1"/>
  <c r="S627" i="14"/>
  <c r="T627" i="14" s="1"/>
  <c r="G631" i="4"/>
  <c r="H631" i="4"/>
  <c r="B632" i="18"/>
  <c r="A633" i="18"/>
  <c r="AB627" i="20"/>
  <c r="AC627" i="20" s="1"/>
  <c r="I629" i="23" l="1"/>
  <c r="J629" i="23"/>
  <c r="AA627" i="20"/>
  <c r="L631" i="14"/>
  <c r="E627" i="23"/>
  <c r="H629" i="23"/>
  <c r="R629" i="14"/>
  <c r="S629" i="14" s="1"/>
  <c r="T629" i="14" s="1"/>
  <c r="F630" i="14"/>
  <c r="G630" i="14" s="1"/>
  <c r="H630" i="14" s="1"/>
  <c r="E632" i="16"/>
  <c r="C629" i="14"/>
  <c r="D629" i="14" s="1"/>
  <c r="E629" i="14" s="1"/>
  <c r="AD627" i="20"/>
  <c r="AE627" i="20" s="1"/>
  <c r="B633" i="18"/>
  <c r="A634" i="18"/>
  <c r="AB628" i="20"/>
  <c r="AC628" i="20" s="1"/>
  <c r="M630" i="14"/>
  <c r="N630" i="14" s="1"/>
  <c r="G629" i="23"/>
  <c r="C628" i="23"/>
  <c r="F629" i="23"/>
  <c r="K629" i="23"/>
  <c r="C633" i="18" s="1"/>
  <c r="A630" i="23"/>
  <c r="G629" i="14"/>
  <c r="H629" i="14" s="1"/>
  <c r="H632" i="4"/>
  <c r="G632" i="4"/>
  <c r="I631" i="14"/>
  <c r="J630" i="14"/>
  <c r="K630" i="14" s="1"/>
  <c r="D633" i="16"/>
  <c r="A633" i="16"/>
  <c r="B633" i="16"/>
  <c r="C634" i="16"/>
  <c r="I630" i="23" l="1"/>
  <c r="J630" i="23"/>
  <c r="AA628" i="20"/>
  <c r="L632" i="14"/>
  <c r="E628" i="23"/>
  <c r="H630" i="23"/>
  <c r="O631" i="14"/>
  <c r="P631" i="14" s="1"/>
  <c r="Q631" i="14" s="1"/>
  <c r="C630" i="14"/>
  <c r="D630" i="14" s="1"/>
  <c r="E630" i="14" s="1"/>
  <c r="E633" i="16"/>
  <c r="G633" i="4"/>
  <c r="H633" i="4"/>
  <c r="M631" i="14"/>
  <c r="N631" i="14" s="1"/>
  <c r="A634" i="16"/>
  <c r="B634" i="16"/>
  <c r="D634" i="16"/>
  <c r="C635" i="16"/>
  <c r="AB629" i="20"/>
  <c r="AC629" i="20" s="1"/>
  <c r="J631" i="14"/>
  <c r="K631" i="14" s="1"/>
  <c r="O630" i="14"/>
  <c r="R630" i="14"/>
  <c r="G630" i="23"/>
  <c r="F630" i="23"/>
  <c r="C629" i="23"/>
  <c r="K630" i="23"/>
  <c r="C634" i="18" s="1"/>
  <c r="A631" i="23"/>
  <c r="I632" i="14"/>
  <c r="AD628" i="20"/>
  <c r="AE628" i="20" s="1"/>
  <c r="B634" i="18"/>
  <c r="A635" i="18"/>
  <c r="I631" i="23" l="1"/>
  <c r="J631" i="23"/>
  <c r="AA629" i="20"/>
  <c r="E629" i="23"/>
  <c r="H631" i="23"/>
  <c r="R631" i="14"/>
  <c r="S631" i="14" s="1"/>
  <c r="T631" i="14" s="1"/>
  <c r="M632" i="14"/>
  <c r="N632" i="14" s="1"/>
  <c r="F631" i="14"/>
  <c r="C631" i="14"/>
  <c r="O632" i="14"/>
  <c r="F632" i="14"/>
  <c r="P630" i="14"/>
  <c r="Q630" i="14" s="1"/>
  <c r="AD629" i="20"/>
  <c r="AE629" i="20" s="1"/>
  <c r="L633" i="14"/>
  <c r="D635" i="16"/>
  <c r="B635" i="16"/>
  <c r="A635" i="16"/>
  <c r="C636" i="16"/>
  <c r="I633" i="14"/>
  <c r="J632" i="14"/>
  <c r="K632" i="14" s="1"/>
  <c r="AB630" i="20"/>
  <c r="AC630" i="20" s="1"/>
  <c r="B635" i="18"/>
  <c r="A636" i="18"/>
  <c r="F631" i="23"/>
  <c r="G631" i="23"/>
  <c r="C630" i="23"/>
  <c r="K631" i="23"/>
  <c r="C635" i="18" s="1"/>
  <c r="A632" i="23"/>
  <c r="S630" i="14"/>
  <c r="T630" i="14" s="1"/>
  <c r="E634" i="16"/>
  <c r="G634" i="4"/>
  <c r="H634" i="4"/>
  <c r="I632" i="23" l="1"/>
  <c r="J632" i="23"/>
  <c r="AA630" i="20"/>
  <c r="E630" i="23"/>
  <c r="H632" i="23"/>
  <c r="R632" i="14"/>
  <c r="S632" i="14" s="1"/>
  <c r="T632" i="14" s="1"/>
  <c r="F632" i="23"/>
  <c r="G632" i="23"/>
  <c r="C631" i="23"/>
  <c r="K632" i="23"/>
  <c r="C636" i="18" s="1"/>
  <c r="A633" i="23"/>
  <c r="J633" i="14"/>
  <c r="K633" i="14" s="1"/>
  <c r="G632" i="14"/>
  <c r="H632" i="14" s="1"/>
  <c r="H635" i="4"/>
  <c r="G635" i="4"/>
  <c r="B636" i="18"/>
  <c r="A637" i="18"/>
  <c r="E635" i="16"/>
  <c r="G631" i="14"/>
  <c r="H631" i="14" s="1"/>
  <c r="AB631" i="20"/>
  <c r="AC631" i="20" s="1"/>
  <c r="AD630" i="20"/>
  <c r="AE630" i="20" s="1"/>
  <c r="L634" i="14"/>
  <c r="C632" i="14"/>
  <c r="O633" i="14"/>
  <c r="F633" i="14"/>
  <c r="P632" i="14"/>
  <c r="Q632" i="14" s="1"/>
  <c r="M633" i="14"/>
  <c r="N633" i="14" s="1"/>
  <c r="B636" i="16"/>
  <c r="D636" i="16"/>
  <c r="A636" i="16"/>
  <c r="C637" i="16"/>
  <c r="I634" i="14"/>
  <c r="D631" i="14"/>
  <c r="E631" i="14" s="1"/>
  <c r="I633" i="23" l="1"/>
  <c r="J633" i="23"/>
  <c r="AA631" i="20"/>
  <c r="AA632" i="20"/>
  <c r="E631" i="23"/>
  <c r="H633" i="23"/>
  <c r="O634" i="14"/>
  <c r="P634" i="14" s="1"/>
  <c r="Q634" i="14" s="1"/>
  <c r="R633" i="14"/>
  <c r="D632" i="14"/>
  <c r="E632" i="14" s="1"/>
  <c r="AB632" i="20"/>
  <c r="AC632" i="20" s="1"/>
  <c r="AD631" i="20"/>
  <c r="AE631" i="20" s="1"/>
  <c r="L635" i="14"/>
  <c r="B637" i="16"/>
  <c r="D637" i="16"/>
  <c r="A637" i="16"/>
  <c r="C638" i="16"/>
  <c r="I635" i="14"/>
  <c r="M634" i="14"/>
  <c r="N634" i="14" s="1"/>
  <c r="B637" i="18"/>
  <c r="A638" i="18"/>
  <c r="P633" i="14"/>
  <c r="Q633" i="14" s="1"/>
  <c r="H636" i="4"/>
  <c r="G636" i="4"/>
  <c r="J634" i="14"/>
  <c r="K634" i="14" s="1"/>
  <c r="E636" i="16"/>
  <c r="G633" i="14"/>
  <c r="H633" i="14" s="1"/>
  <c r="C633" i="14"/>
  <c r="G633" i="23"/>
  <c r="C632" i="23"/>
  <c r="F633" i="23"/>
  <c r="K633" i="23"/>
  <c r="C637" i="18" s="1"/>
  <c r="A634" i="23"/>
  <c r="I634" i="23" l="1"/>
  <c r="J634" i="23"/>
  <c r="L636" i="14"/>
  <c r="I636" i="14"/>
  <c r="AA633" i="20"/>
  <c r="E632" i="23"/>
  <c r="H634" i="23"/>
  <c r="E637" i="16"/>
  <c r="R634" i="14"/>
  <c r="S634" i="14" s="1"/>
  <c r="T634" i="14" s="1"/>
  <c r="O635" i="14"/>
  <c r="P635" i="14" s="1"/>
  <c r="Q635" i="14" s="1"/>
  <c r="D633" i="14"/>
  <c r="E633" i="14" s="1"/>
  <c r="S633" i="14"/>
  <c r="T633" i="14" s="1"/>
  <c r="C633" i="23"/>
  <c r="F634" i="23"/>
  <c r="G634" i="23"/>
  <c r="A635" i="23"/>
  <c r="K634" i="23"/>
  <c r="C638" i="18" s="1"/>
  <c r="B638" i="18"/>
  <c r="A639" i="18"/>
  <c r="B638" i="16"/>
  <c r="A638" i="16"/>
  <c r="D638" i="16"/>
  <c r="C639" i="16"/>
  <c r="F634" i="14"/>
  <c r="C634" i="14"/>
  <c r="AD632" i="20"/>
  <c r="AE632" i="20" s="1"/>
  <c r="AB633" i="20"/>
  <c r="AC633" i="20" s="1"/>
  <c r="G637" i="4"/>
  <c r="H637" i="4"/>
  <c r="J635" i="14"/>
  <c r="K635" i="14" s="1"/>
  <c r="M635" i="14"/>
  <c r="N635" i="14" s="1"/>
  <c r="I635" i="23" l="1"/>
  <c r="J635" i="23"/>
  <c r="L637" i="14"/>
  <c r="I637" i="14"/>
  <c r="E633" i="23"/>
  <c r="H635" i="23"/>
  <c r="R635" i="14"/>
  <c r="S635" i="14" s="1"/>
  <c r="T635" i="14" s="1"/>
  <c r="O636" i="14"/>
  <c r="P636" i="14" s="1"/>
  <c r="Q636" i="14" s="1"/>
  <c r="F636" i="14"/>
  <c r="G636" i="14" s="1"/>
  <c r="H636" i="14" s="1"/>
  <c r="AD633" i="20"/>
  <c r="AE633" i="20" s="1"/>
  <c r="D639" i="16"/>
  <c r="B639" i="16"/>
  <c r="A639" i="16"/>
  <c r="C640" i="16"/>
  <c r="F635" i="14"/>
  <c r="C635" i="14"/>
  <c r="G635" i="23"/>
  <c r="C634" i="23"/>
  <c r="F635" i="23"/>
  <c r="K635" i="23"/>
  <c r="C639" i="18" s="1"/>
  <c r="A636" i="23"/>
  <c r="G634" i="14"/>
  <c r="H634" i="14" s="1"/>
  <c r="AB634" i="20"/>
  <c r="AC634" i="20" s="1"/>
  <c r="G638" i="4"/>
  <c r="H638" i="4"/>
  <c r="B639" i="18"/>
  <c r="A640" i="18"/>
  <c r="M636" i="14"/>
  <c r="N636" i="14" s="1"/>
  <c r="D634" i="14"/>
  <c r="E634" i="14" s="1"/>
  <c r="E638" i="16"/>
  <c r="J636" i="14"/>
  <c r="K636" i="14" s="1"/>
  <c r="I636" i="23" l="1"/>
  <c r="J636" i="23"/>
  <c r="AA634" i="20"/>
  <c r="L638" i="14"/>
  <c r="E634" i="23"/>
  <c r="H636" i="23"/>
  <c r="R636" i="14"/>
  <c r="S636" i="14" s="1"/>
  <c r="C636" i="14"/>
  <c r="D636" i="14" s="1"/>
  <c r="E636" i="14" s="1"/>
  <c r="F637" i="14"/>
  <c r="G637" i="14" s="1"/>
  <c r="H637" i="14" s="1"/>
  <c r="E639" i="16"/>
  <c r="G639" i="4"/>
  <c r="H639" i="4"/>
  <c r="C635" i="23"/>
  <c r="F636" i="23"/>
  <c r="G636" i="23"/>
  <c r="K636" i="23"/>
  <c r="C640" i="18" s="1"/>
  <c r="A637" i="23"/>
  <c r="B640" i="18"/>
  <c r="A641" i="18"/>
  <c r="I638" i="14"/>
  <c r="AD634" i="20"/>
  <c r="AE634" i="20" s="1"/>
  <c r="D635" i="14"/>
  <c r="E635" i="14" s="1"/>
  <c r="J637" i="14"/>
  <c r="K637" i="14" s="1"/>
  <c r="AB635" i="20"/>
  <c r="AC635" i="20" s="1"/>
  <c r="G635" i="14"/>
  <c r="H635" i="14" s="1"/>
  <c r="M637" i="14"/>
  <c r="N637" i="14" s="1"/>
  <c r="O637" i="14"/>
  <c r="D640" i="16"/>
  <c r="B640" i="16"/>
  <c r="A640" i="16"/>
  <c r="C641" i="16"/>
  <c r="AA635" i="20" l="1"/>
  <c r="I637" i="23"/>
  <c r="J637" i="23"/>
  <c r="L639" i="14"/>
  <c r="AA636" i="20"/>
  <c r="O638" i="14"/>
  <c r="P638" i="14" s="1"/>
  <c r="Q638" i="14" s="1"/>
  <c r="C637" i="14"/>
  <c r="D637" i="14" s="1"/>
  <c r="E637" i="14" s="1"/>
  <c r="E635" i="23"/>
  <c r="H637" i="23"/>
  <c r="T636" i="14"/>
  <c r="R637" i="14"/>
  <c r="S637" i="14" s="1"/>
  <c r="T637" i="14" s="1"/>
  <c r="E640" i="16"/>
  <c r="B641" i="18"/>
  <c r="A642" i="18"/>
  <c r="AB636" i="20"/>
  <c r="M638" i="14"/>
  <c r="N638" i="14" s="1"/>
  <c r="P637" i="14"/>
  <c r="Q637" i="14" s="1"/>
  <c r="D641" i="16"/>
  <c r="A641" i="16"/>
  <c r="B641" i="16"/>
  <c r="C642" i="16"/>
  <c r="AD635" i="20"/>
  <c r="AE635" i="20" s="1"/>
  <c r="F638" i="14"/>
  <c r="G640" i="4"/>
  <c r="H640" i="4"/>
  <c r="I639" i="14"/>
  <c r="J638" i="14"/>
  <c r="K638" i="14" s="1"/>
  <c r="F637" i="23"/>
  <c r="C636" i="23"/>
  <c r="G637" i="23"/>
  <c r="K637" i="23"/>
  <c r="C641" i="18" s="1"/>
  <c r="A638" i="23"/>
  <c r="I638" i="23" l="1"/>
  <c r="J638" i="23"/>
  <c r="R638" i="14"/>
  <c r="S638" i="14" s="1"/>
  <c r="T638" i="14" s="1"/>
  <c r="E636" i="23"/>
  <c r="H638" i="23"/>
  <c r="C638" i="14"/>
  <c r="D638" i="14" s="1"/>
  <c r="E638" i="14" s="1"/>
  <c r="I640" i="14"/>
  <c r="F638" i="23"/>
  <c r="C637" i="23"/>
  <c r="G638" i="23"/>
  <c r="K638" i="23"/>
  <c r="C642" i="18" s="1"/>
  <c r="A639" i="23"/>
  <c r="E641" i="16"/>
  <c r="AB637" i="20"/>
  <c r="AC637" i="20" s="1"/>
  <c r="G638" i="14"/>
  <c r="H638" i="14" s="1"/>
  <c r="B642" i="18"/>
  <c r="A643" i="18"/>
  <c r="M639" i="14"/>
  <c r="N639" i="14" s="1"/>
  <c r="J639" i="14"/>
  <c r="K639" i="14" s="1"/>
  <c r="G641" i="4"/>
  <c r="H641" i="4"/>
  <c r="B642" i="16"/>
  <c r="A642" i="16"/>
  <c r="D642" i="16"/>
  <c r="C643" i="16"/>
  <c r="AC636" i="20"/>
  <c r="O639" i="14"/>
  <c r="AD636" i="20"/>
  <c r="L640" i="14"/>
  <c r="I639" i="23" l="1"/>
  <c r="J639" i="23"/>
  <c r="I641" i="14"/>
  <c r="AA637" i="20"/>
  <c r="E637" i="23"/>
  <c r="H639" i="23"/>
  <c r="F640" i="14"/>
  <c r="G640" i="14" s="1"/>
  <c r="H640" i="14" s="1"/>
  <c r="E642" i="16"/>
  <c r="P639" i="14"/>
  <c r="Q639" i="14" s="1"/>
  <c r="AE636" i="20"/>
  <c r="F639" i="14"/>
  <c r="C639" i="14"/>
  <c r="B643" i="18"/>
  <c r="A644" i="18"/>
  <c r="M640" i="14"/>
  <c r="N640" i="14" s="1"/>
  <c r="AB638" i="20"/>
  <c r="AC638" i="20" s="1"/>
  <c r="R639" i="14"/>
  <c r="L641" i="14"/>
  <c r="AD637" i="20"/>
  <c r="AE637" i="20" s="1"/>
  <c r="C638" i="23"/>
  <c r="G639" i="23"/>
  <c r="F639" i="23"/>
  <c r="A640" i="23"/>
  <c r="K639" i="23"/>
  <c r="C643" i="18" s="1"/>
  <c r="D643" i="16"/>
  <c r="A643" i="16"/>
  <c r="B643" i="16"/>
  <c r="C644" i="16"/>
  <c r="G642" i="4"/>
  <c r="H642" i="4"/>
  <c r="J640" i="14"/>
  <c r="K640" i="14" s="1"/>
  <c r="I640" i="23" l="1"/>
  <c r="J640" i="23"/>
  <c r="AA638" i="20"/>
  <c r="L642" i="14"/>
  <c r="AA639" i="20"/>
  <c r="C640" i="14"/>
  <c r="D640" i="14" s="1"/>
  <c r="E640" i="14" s="1"/>
  <c r="E638" i="23"/>
  <c r="H640" i="23"/>
  <c r="F641" i="14"/>
  <c r="G641" i="14" s="1"/>
  <c r="H641" i="14" s="1"/>
  <c r="E643" i="16"/>
  <c r="G643" i="4"/>
  <c r="H643" i="4"/>
  <c r="B644" i="18"/>
  <c r="A645" i="18"/>
  <c r="I642" i="14"/>
  <c r="B644" i="16"/>
  <c r="D644" i="16"/>
  <c r="A644" i="16"/>
  <c r="C645" i="16"/>
  <c r="G640" i="23"/>
  <c r="C639" i="23"/>
  <c r="F640" i="23"/>
  <c r="K640" i="23"/>
  <c r="C644" i="18" s="1"/>
  <c r="A641" i="23"/>
  <c r="M641" i="14"/>
  <c r="N641" i="14" s="1"/>
  <c r="S639" i="14"/>
  <c r="T639" i="14" s="1"/>
  <c r="O640" i="14"/>
  <c r="R640" i="14"/>
  <c r="J641" i="14"/>
  <c r="K641" i="14" s="1"/>
  <c r="O641" i="14"/>
  <c r="AD638" i="20"/>
  <c r="AE638" i="20" s="1"/>
  <c r="D639" i="14"/>
  <c r="E639" i="14" s="1"/>
  <c r="AB639" i="20"/>
  <c r="AC639" i="20" s="1"/>
  <c r="G639" i="14"/>
  <c r="H639" i="14" s="1"/>
  <c r="I641" i="23" l="1"/>
  <c r="J641" i="23"/>
  <c r="L643" i="14"/>
  <c r="AA640" i="20"/>
  <c r="E644" i="16"/>
  <c r="E639" i="23"/>
  <c r="H641" i="23"/>
  <c r="C641" i="14"/>
  <c r="D641" i="14" s="1"/>
  <c r="E641" i="14" s="1"/>
  <c r="R641" i="14"/>
  <c r="S641" i="14" s="1"/>
  <c r="T641" i="14" s="1"/>
  <c r="S640" i="14"/>
  <c r="T640" i="14" s="1"/>
  <c r="G641" i="23"/>
  <c r="F641" i="23"/>
  <c r="C640" i="23"/>
  <c r="K641" i="23"/>
  <c r="C645" i="18" s="1"/>
  <c r="A642" i="23"/>
  <c r="I643" i="14"/>
  <c r="AD639" i="20"/>
  <c r="AE639" i="20" s="1"/>
  <c r="A645" i="16"/>
  <c r="D645" i="16"/>
  <c r="B645" i="16"/>
  <c r="C646" i="16"/>
  <c r="M642" i="14"/>
  <c r="N642" i="14" s="1"/>
  <c r="J642" i="14"/>
  <c r="K642" i="14" s="1"/>
  <c r="P640" i="14"/>
  <c r="Q640" i="14" s="1"/>
  <c r="AB640" i="20"/>
  <c r="AC640" i="20" s="1"/>
  <c r="P641" i="14"/>
  <c r="Q641" i="14" s="1"/>
  <c r="B645" i="18"/>
  <c r="A646" i="18"/>
  <c r="H644" i="4"/>
  <c r="G644" i="4"/>
  <c r="I642" i="23" l="1"/>
  <c r="J642" i="23"/>
  <c r="E645" i="16"/>
  <c r="AA641" i="20"/>
  <c r="E640" i="23"/>
  <c r="H642" i="23"/>
  <c r="O643" i="14"/>
  <c r="P643" i="14" s="1"/>
  <c r="Q643" i="14" s="1"/>
  <c r="AB641" i="20"/>
  <c r="G645" i="4"/>
  <c r="H645" i="4"/>
  <c r="I644" i="14"/>
  <c r="F642" i="23"/>
  <c r="G642" i="23"/>
  <c r="C641" i="23"/>
  <c r="A643" i="23"/>
  <c r="K642" i="23"/>
  <c r="C646" i="18" s="1"/>
  <c r="B646" i="18"/>
  <c r="A647" i="18"/>
  <c r="J643" i="14"/>
  <c r="K643" i="14" s="1"/>
  <c r="F642" i="14"/>
  <c r="C642" i="14"/>
  <c r="F643" i="14"/>
  <c r="AD640" i="20"/>
  <c r="AE640" i="20" s="1"/>
  <c r="L644" i="14"/>
  <c r="D646" i="16"/>
  <c r="B646" i="16"/>
  <c r="A646" i="16"/>
  <c r="C647" i="16"/>
  <c r="O642" i="14"/>
  <c r="R642" i="14"/>
  <c r="M643" i="14"/>
  <c r="N643" i="14" s="1"/>
  <c r="I643" i="23" l="1"/>
  <c r="J643" i="23"/>
  <c r="I645" i="14"/>
  <c r="AA642" i="20"/>
  <c r="E641" i="23"/>
  <c r="R643" i="14"/>
  <c r="S643" i="14" s="1"/>
  <c r="T643" i="14" s="1"/>
  <c r="H643" i="23"/>
  <c r="E646" i="16"/>
  <c r="C643" i="14"/>
  <c r="D643" i="14" s="1"/>
  <c r="E643" i="14" s="1"/>
  <c r="F644" i="14"/>
  <c r="G644" i="14" s="1"/>
  <c r="H644" i="14" s="1"/>
  <c r="O644" i="14"/>
  <c r="P644" i="14" s="1"/>
  <c r="Q644" i="14" s="1"/>
  <c r="AD641" i="20"/>
  <c r="L645" i="14"/>
  <c r="A647" i="16"/>
  <c r="B647" i="16"/>
  <c r="D647" i="16"/>
  <c r="C648" i="16"/>
  <c r="S642" i="14"/>
  <c r="T642" i="14" s="1"/>
  <c r="G643" i="14"/>
  <c r="H643" i="14" s="1"/>
  <c r="F643" i="23"/>
  <c r="C642" i="23"/>
  <c r="G643" i="23"/>
  <c r="K643" i="23"/>
  <c r="C647" i="18" s="1"/>
  <c r="A644" i="23"/>
  <c r="AC641" i="20"/>
  <c r="G642" i="14"/>
  <c r="H642" i="14" s="1"/>
  <c r="B647" i="18"/>
  <c r="A648" i="18"/>
  <c r="G646" i="4"/>
  <c r="H646" i="4"/>
  <c r="P642" i="14"/>
  <c r="Q642" i="14" s="1"/>
  <c r="D642" i="14"/>
  <c r="E642" i="14" s="1"/>
  <c r="M644" i="14"/>
  <c r="N644" i="14" s="1"/>
  <c r="AB642" i="20"/>
  <c r="AC642" i="20" s="1"/>
  <c r="J644" i="14"/>
  <c r="K644" i="14" s="1"/>
  <c r="I644" i="23" l="1"/>
  <c r="J644" i="23"/>
  <c r="L646" i="14"/>
  <c r="I646" i="14"/>
  <c r="AA643" i="20"/>
  <c r="E642" i="23"/>
  <c r="H644" i="23"/>
  <c r="C644" i="14"/>
  <c r="D644" i="14" s="1"/>
  <c r="E644" i="14" s="1"/>
  <c r="R644" i="14"/>
  <c r="S644" i="14" s="1"/>
  <c r="T644" i="14" s="1"/>
  <c r="E647" i="16"/>
  <c r="F645" i="14"/>
  <c r="G645" i="14" s="1"/>
  <c r="H645" i="14" s="1"/>
  <c r="G644" i="23"/>
  <c r="F644" i="23"/>
  <c r="C643" i="23"/>
  <c r="A645" i="23"/>
  <c r="K644" i="23"/>
  <c r="C648" i="18" s="1"/>
  <c r="AD642" i="20"/>
  <c r="AE642" i="20" s="1"/>
  <c r="G647" i="4"/>
  <c r="H647" i="4"/>
  <c r="J645" i="14"/>
  <c r="K645" i="14" s="1"/>
  <c r="D648" i="16"/>
  <c r="A648" i="16"/>
  <c r="B648" i="16"/>
  <c r="C649" i="16"/>
  <c r="M645" i="14"/>
  <c r="N645" i="14" s="1"/>
  <c r="B648" i="18"/>
  <c r="A649" i="18"/>
  <c r="AB643" i="20"/>
  <c r="AE641" i="20"/>
  <c r="O645" i="14"/>
  <c r="I645" i="23" l="1"/>
  <c r="J645" i="23"/>
  <c r="I647" i="14"/>
  <c r="AA644" i="20"/>
  <c r="E643" i="23"/>
  <c r="H645" i="23"/>
  <c r="O646" i="14"/>
  <c r="P646" i="14" s="1"/>
  <c r="Q646" i="14" s="1"/>
  <c r="R645" i="14"/>
  <c r="S645" i="14" s="1"/>
  <c r="T645" i="14" s="1"/>
  <c r="E648" i="16"/>
  <c r="C645" i="14"/>
  <c r="D645" i="14" s="1"/>
  <c r="E645" i="14" s="1"/>
  <c r="AD643" i="20"/>
  <c r="L647" i="14"/>
  <c r="B649" i="18"/>
  <c r="A650" i="18"/>
  <c r="J646" i="14"/>
  <c r="K646" i="14" s="1"/>
  <c r="AB644" i="20"/>
  <c r="AC644" i="20" s="1"/>
  <c r="D649" i="16"/>
  <c r="A649" i="16"/>
  <c r="B649" i="16"/>
  <c r="C650" i="16"/>
  <c r="F646" i="14"/>
  <c r="M646" i="14"/>
  <c r="N646" i="14" s="1"/>
  <c r="F645" i="23"/>
  <c r="C644" i="23"/>
  <c r="G645" i="23"/>
  <c r="K645" i="23"/>
  <c r="C649" i="18" s="1"/>
  <c r="A646" i="23"/>
  <c r="P645" i="14"/>
  <c r="Q645" i="14" s="1"/>
  <c r="AC643" i="20"/>
  <c r="H648" i="4"/>
  <c r="G648" i="4"/>
  <c r="I646" i="23" l="1"/>
  <c r="J646" i="23"/>
  <c r="L648" i="14"/>
  <c r="I648" i="14"/>
  <c r="E644" i="23"/>
  <c r="H646" i="23"/>
  <c r="R646" i="14"/>
  <c r="S646" i="14" s="1"/>
  <c r="T646" i="14" s="1"/>
  <c r="C646" i="14"/>
  <c r="D646" i="14" s="1"/>
  <c r="E646" i="14" s="1"/>
  <c r="E649" i="16"/>
  <c r="F647" i="14"/>
  <c r="G647" i="14" s="1"/>
  <c r="H647" i="14" s="1"/>
  <c r="AD644" i="20"/>
  <c r="AE644" i="20" s="1"/>
  <c r="J647" i="14"/>
  <c r="K647" i="14" s="1"/>
  <c r="B650" i="18"/>
  <c r="A651" i="18"/>
  <c r="B650" i="16"/>
  <c r="D650" i="16"/>
  <c r="A650" i="16"/>
  <c r="C651" i="16"/>
  <c r="G649" i="4"/>
  <c r="H649" i="4"/>
  <c r="AE643" i="20"/>
  <c r="F646" i="23"/>
  <c r="G646" i="23"/>
  <c r="C645" i="23"/>
  <c r="K646" i="23"/>
  <c r="C650" i="18" s="1"/>
  <c r="A647" i="23"/>
  <c r="G646" i="14"/>
  <c r="H646" i="14" s="1"/>
  <c r="AB645" i="20"/>
  <c r="AC645" i="20" s="1"/>
  <c r="M647" i="14"/>
  <c r="N647" i="14" s="1"/>
  <c r="I647" i="23" l="1"/>
  <c r="J647" i="23"/>
  <c r="AA645" i="20"/>
  <c r="L649" i="14"/>
  <c r="AA646" i="20"/>
  <c r="E645" i="23"/>
  <c r="H647" i="23"/>
  <c r="C647" i="14"/>
  <c r="D647" i="14" s="1"/>
  <c r="E647" i="14" s="1"/>
  <c r="F648" i="14"/>
  <c r="G648" i="14" s="1"/>
  <c r="H648" i="14" s="1"/>
  <c r="E650" i="16"/>
  <c r="AD645" i="20"/>
  <c r="AE645" i="20" s="1"/>
  <c r="AB646" i="20"/>
  <c r="AC646" i="20" s="1"/>
  <c r="M648" i="14"/>
  <c r="N648" i="14" s="1"/>
  <c r="G650" i="4"/>
  <c r="H650" i="4"/>
  <c r="B651" i="18"/>
  <c r="A652" i="18"/>
  <c r="O647" i="14"/>
  <c r="R647" i="14"/>
  <c r="J648" i="14"/>
  <c r="K648" i="14" s="1"/>
  <c r="I649" i="14"/>
  <c r="C646" i="23"/>
  <c r="F647" i="23"/>
  <c r="G647" i="23"/>
  <c r="K647" i="23"/>
  <c r="C651" i="18" s="1"/>
  <c r="A648" i="23"/>
  <c r="D651" i="16"/>
  <c r="B651" i="16"/>
  <c r="A651" i="16"/>
  <c r="C652" i="16"/>
  <c r="I648" i="23" l="1"/>
  <c r="J648" i="23"/>
  <c r="L650" i="14"/>
  <c r="E646" i="23"/>
  <c r="H648" i="23"/>
  <c r="C648" i="14"/>
  <c r="D648" i="14" s="1"/>
  <c r="E648" i="14" s="1"/>
  <c r="O649" i="14"/>
  <c r="P649" i="14" s="1"/>
  <c r="Q649" i="14" s="1"/>
  <c r="O648" i="14"/>
  <c r="R648" i="14"/>
  <c r="J649" i="14"/>
  <c r="K649" i="14" s="1"/>
  <c r="D652" i="16"/>
  <c r="B652" i="16"/>
  <c r="A652" i="16"/>
  <c r="C653" i="16"/>
  <c r="C647" i="23"/>
  <c r="G648" i="23"/>
  <c r="F648" i="23"/>
  <c r="K648" i="23"/>
  <c r="C652" i="18" s="1"/>
  <c r="A649" i="23"/>
  <c r="S647" i="14"/>
  <c r="T647" i="14" s="1"/>
  <c r="H651" i="4"/>
  <c r="G651" i="4"/>
  <c r="AD646" i="20"/>
  <c r="AE646" i="20" s="1"/>
  <c r="I650" i="14"/>
  <c r="M649" i="14"/>
  <c r="N649" i="14" s="1"/>
  <c r="AB647" i="20"/>
  <c r="AC647" i="20" s="1"/>
  <c r="E651" i="16"/>
  <c r="F649" i="14"/>
  <c r="P647" i="14"/>
  <c r="Q647" i="14" s="1"/>
  <c r="B652" i="18"/>
  <c r="A653" i="18"/>
  <c r="I649" i="23" l="1"/>
  <c r="J649" i="23"/>
  <c r="I651" i="14"/>
  <c r="AA647" i="20"/>
  <c r="R649" i="14"/>
  <c r="S649" i="14" s="1"/>
  <c r="T649" i="14" s="1"/>
  <c r="E647" i="23"/>
  <c r="H649" i="23"/>
  <c r="O650" i="14"/>
  <c r="P650" i="14" s="1"/>
  <c r="Q650" i="14" s="1"/>
  <c r="S648" i="14"/>
  <c r="T648" i="14" s="1"/>
  <c r="P648" i="14"/>
  <c r="Q648" i="14" s="1"/>
  <c r="E652" i="16"/>
  <c r="J650" i="14"/>
  <c r="K650" i="14" s="1"/>
  <c r="G649" i="23"/>
  <c r="F649" i="23"/>
  <c r="C648" i="23"/>
  <c r="K649" i="23"/>
  <c r="C653" i="18" s="1"/>
  <c r="A650" i="23"/>
  <c r="AD647" i="20"/>
  <c r="AE647" i="20" s="1"/>
  <c r="L651" i="14"/>
  <c r="G649" i="14"/>
  <c r="H649" i="14" s="1"/>
  <c r="H652" i="4"/>
  <c r="G652" i="4"/>
  <c r="AB648" i="20"/>
  <c r="AC648" i="20" s="1"/>
  <c r="B653" i="18"/>
  <c r="A654" i="18"/>
  <c r="F650" i="14"/>
  <c r="M650" i="14"/>
  <c r="N650" i="14" s="1"/>
  <c r="C649" i="14"/>
  <c r="D653" i="16"/>
  <c r="B653" i="16"/>
  <c r="A653" i="16"/>
  <c r="C654" i="16"/>
  <c r="I650" i="23" l="1"/>
  <c r="J650" i="23"/>
  <c r="AA648" i="20"/>
  <c r="AA649" i="20"/>
  <c r="E648" i="23"/>
  <c r="H650" i="23"/>
  <c r="R650" i="14"/>
  <c r="S650" i="14" s="1"/>
  <c r="T650" i="14" s="1"/>
  <c r="O651" i="14"/>
  <c r="P651" i="14" s="1"/>
  <c r="Q651" i="14" s="1"/>
  <c r="F651" i="14"/>
  <c r="G651" i="14" s="1"/>
  <c r="H651" i="14" s="1"/>
  <c r="G650" i="14"/>
  <c r="H650" i="14" s="1"/>
  <c r="F650" i="23"/>
  <c r="C649" i="23"/>
  <c r="G650" i="23"/>
  <c r="A651" i="23"/>
  <c r="K650" i="23"/>
  <c r="C654" i="18" s="1"/>
  <c r="AD648" i="20"/>
  <c r="AE648" i="20" s="1"/>
  <c r="L652" i="14"/>
  <c r="D649" i="14"/>
  <c r="E649" i="14" s="1"/>
  <c r="G653" i="4"/>
  <c r="H653" i="4"/>
  <c r="E653" i="16"/>
  <c r="B654" i="18"/>
  <c r="A655" i="18"/>
  <c r="C650" i="14"/>
  <c r="B654" i="16"/>
  <c r="D654" i="16"/>
  <c r="A654" i="16"/>
  <c r="C655" i="16"/>
  <c r="AB649" i="20"/>
  <c r="AC649" i="20" s="1"/>
  <c r="I652" i="14"/>
  <c r="M651" i="14"/>
  <c r="N651" i="14" s="1"/>
  <c r="J651" i="14"/>
  <c r="K651" i="14" s="1"/>
  <c r="I651" i="23" l="1"/>
  <c r="J651" i="23"/>
  <c r="I653" i="14"/>
  <c r="O652" i="14"/>
  <c r="P652" i="14" s="1"/>
  <c r="Q652" i="14" s="1"/>
  <c r="E649" i="23"/>
  <c r="H651" i="23"/>
  <c r="R651" i="14"/>
  <c r="S651" i="14" s="1"/>
  <c r="T651" i="14" s="1"/>
  <c r="C651" i="14"/>
  <c r="D651" i="14" s="1"/>
  <c r="E651" i="14" s="1"/>
  <c r="E654" i="16"/>
  <c r="AD649" i="20"/>
  <c r="AE649" i="20" s="1"/>
  <c r="L653" i="14"/>
  <c r="B655" i="18"/>
  <c r="A656" i="18"/>
  <c r="AB650" i="20"/>
  <c r="AC650" i="20" s="1"/>
  <c r="J652" i="14"/>
  <c r="K652" i="14" s="1"/>
  <c r="G654" i="4"/>
  <c r="H654" i="4"/>
  <c r="A655" i="16"/>
  <c r="B655" i="16"/>
  <c r="D655" i="16"/>
  <c r="C656" i="16"/>
  <c r="D650" i="14"/>
  <c r="E650" i="14" s="1"/>
  <c r="M652" i="14"/>
  <c r="N652" i="14" s="1"/>
  <c r="G651" i="23"/>
  <c r="F651" i="23"/>
  <c r="C650" i="23"/>
  <c r="A652" i="23"/>
  <c r="K651" i="23"/>
  <c r="C655" i="18" s="1"/>
  <c r="I652" i="23" l="1"/>
  <c r="J652" i="23"/>
  <c r="R652" i="14"/>
  <c r="S652" i="14" s="1"/>
  <c r="T652" i="14" s="1"/>
  <c r="AA650" i="20"/>
  <c r="I654" i="14"/>
  <c r="E650" i="23"/>
  <c r="H652" i="23"/>
  <c r="E655" i="16"/>
  <c r="O653" i="14"/>
  <c r="P653" i="14" s="1"/>
  <c r="Q653" i="14" s="1"/>
  <c r="F653" i="14"/>
  <c r="G653" i="14" s="1"/>
  <c r="H653" i="14" s="1"/>
  <c r="G655" i="4"/>
  <c r="H655" i="4"/>
  <c r="M653" i="14"/>
  <c r="N653" i="14" s="1"/>
  <c r="J653" i="14"/>
  <c r="K653" i="14" s="1"/>
  <c r="F652" i="23"/>
  <c r="G652" i="23"/>
  <c r="C651" i="23"/>
  <c r="K652" i="23"/>
  <c r="C656" i="18" s="1"/>
  <c r="A653" i="23"/>
  <c r="B656" i="18"/>
  <c r="A657" i="18"/>
  <c r="AB651" i="20"/>
  <c r="AC651" i="20" s="1"/>
  <c r="D656" i="16"/>
  <c r="B656" i="16"/>
  <c r="A656" i="16"/>
  <c r="C657" i="16"/>
  <c r="AD650" i="20"/>
  <c r="AE650" i="20" s="1"/>
  <c r="L654" i="14"/>
  <c r="F652" i="14"/>
  <c r="C652" i="14"/>
  <c r="I653" i="23" l="1"/>
  <c r="J653" i="23"/>
  <c r="AA651" i="20"/>
  <c r="L655" i="14"/>
  <c r="E651" i="23"/>
  <c r="H653" i="23"/>
  <c r="E656" i="16"/>
  <c r="R653" i="14"/>
  <c r="S653" i="14" s="1"/>
  <c r="T653" i="14" s="1"/>
  <c r="C653" i="14"/>
  <c r="D653" i="14" s="1"/>
  <c r="F654" i="14"/>
  <c r="G654" i="14" s="1"/>
  <c r="H654" i="14" s="1"/>
  <c r="M654" i="14"/>
  <c r="N654" i="14" s="1"/>
  <c r="D652" i="14"/>
  <c r="E652" i="14" s="1"/>
  <c r="F653" i="23"/>
  <c r="G653" i="23"/>
  <c r="C652" i="23"/>
  <c r="K653" i="23"/>
  <c r="C657" i="18" s="1"/>
  <c r="A654" i="23"/>
  <c r="G652" i="14"/>
  <c r="H652" i="14" s="1"/>
  <c r="B657" i="18"/>
  <c r="A658" i="18"/>
  <c r="G656" i="4"/>
  <c r="H656" i="4"/>
  <c r="D657" i="16"/>
  <c r="A657" i="16"/>
  <c r="B657" i="16"/>
  <c r="C658" i="16"/>
  <c r="AB652" i="20"/>
  <c r="AC652" i="20" s="1"/>
  <c r="I655" i="14"/>
  <c r="AD651" i="20"/>
  <c r="AE651" i="20" s="1"/>
  <c r="O654" i="14"/>
  <c r="J654" i="14"/>
  <c r="K654" i="14" s="1"/>
  <c r="I654" i="23" l="1"/>
  <c r="J654" i="23"/>
  <c r="AA652" i="20"/>
  <c r="AA653" i="20"/>
  <c r="E652" i="23"/>
  <c r="H654" i="23"/>
  <c r="E653" i="14"/>
  <c r="C654" i="14"/>
  <c r="E657" i="16"/>
  <c r="O655" i="14"/>
  <c r="P655" i="14" s="1"/>
  <c r="Q655" i="14" s="1"/>
  <c r="P654" i="14"/>
  <c r="Q654" i="14" s="1"/>
  <c r="G654" i="23"/>
  <c r="F654" i="23"/>
  <c r="C653" i="23"/>
  <c r="A655" i="23"/>
  <c r="K654" i="23"/>
  <c r="C658" i="18" s="1"/>
  <c r="AD652" i="20"/>
  <c r="AE652" i="20" s="1"/>
  <c r="L656" i="14"/>
  <c r="G657" i="4"/>
  <c r="H657" i="4"/>
  <c r="I656" i="14"/>
  <c r="R654" i="14"/>
  <c r="AB653" i="20"/>
  <c r="B658" i="18"/>
  <c r="A659" i="18"/>
  <c r="J655" i="14"/>
  <c r="K655" i="14" s="1"/>
  <c r="M655" i="14"/>
  <c r="N655" i="14" s="1"/>
  <c r="F655" i="14"/>
  <c r="D658" i="16"/>
  <c r="B658" i="16"/>
  <c r="A658" i="16"/>
  <c r="C659" i="16"/>
  <c r="I655" i="23" l="1"/>
  <c r="J655" i="23"/>
  <c r="L657" i="14"/>
  <c r="E653" i="23"/>
  <c r="H655" i="23"/>
  <c r="R655" i="14"/>
  <c r="S655" i="14" s="1"/>
  <c r="T655" i="14" s="1"/>
  <c r="O656" i="14"/>
  <c r="P656" i="14" s="1"/>
  <c r="Q656" i="14" s="1"/>
  <c r="E658" i="16"/>
  <c r="D654" i="14"/>
  <c r="E654" i="14" s="1"/>
  <c r="F656" i="14"/>
  <c r="G656" i="14" s="1"/>
  <c r="H656" i="14" s="1"/>
  <c r="AD653" i="20"/>
  <c r="I657" i="14"/>
  <c r="S654" i="14"/>
  <c r="T654" i="14" s="1"/>
  <c r="G658" i="4"/>
  <c r="H658" i="4"/>
  <c r="F655" i="23"/>
  <c r="C654" i="23"/>
  <c r="G655" i="23"/>
  <c r="K655" i="23"/>
  <c r="C659" i="18" s="1"/>
  <c r="A656" i="23"/>
  <c r="B659" i="16"/>
  <c r="D659" i="16"/>
  <c r="A659" i="16"/>
  <c r="C660" i="16"/>
  <c r="G655" i="14"/>
  <c r="H655" i="14" s="1"/>
  <c r="AB654" i="20"/>
  <c r="AC654" i="20" s="1"/>
  <c r="C655" i="14"/>
  <c r="AC653" i="20"/>
  <c r="B659" i="18"/>
  <c r="A660" i="18"/>
  <c r="J656" i="14"/>
  <c r="K656" i="14" s="1"/>
  <c r="M656" i="14"/>
  <c r="N656" i="14" s="1"/>
  <c r="AA654" i="20" l="1"/>
  <c r="I656" i="23"/>
  <c r="J656" i="23"/>
  <c r="AA655" i="20"/>
  <c r="R656" i="14"/>
  <c r="S656" i="14" s="1"/>
  <c r="T656" i="14" s="1"/>
  <c r="E654" i="23"/>
  <c r="H656" i="23"/>
  <c r="C656" i="14"/>
  <c r="D656" i="14" s="1"/>
  <c r="E656" i="14" s="1"/>
  <c r="E659" i="16"/>
  <c r="F657" i="14"/>
  <c r="G657" i="14" s="1"/>
  <c r="H657" i="14" s="1"/>
  <c r="I658" i="14"/>
  <c r="L658" i="14"/>
  <c r="AD654" i="20"/>
  <c r="AE654" i="20" s="1"/>
  <c r="B660" i="18"/>
  <c r="A661" i="18"/>
  <c r="D655" i="14"/>
  <c r="E655" i="14" s="1"/>
  <c r="A660" i="16"/>
  <c r="D660" i="16"/>
  <c r="B660" i="16"/>
  <c r="C661" i="16"/>
  <c r="AB655" i="20"/>
  <c r="F656" i="23"/>
  <c r="G656" i="23"/>
  <c r="C655" i="23"/>
  <c r="K656" i="23"/>
  <c r="C660" i="18" s="1"/>
  <c r="A657" i="23"/>
  <c r="G659" i="4"/>
  <c r="H659" i="4"/>
  <c r="M657" i="14"/>
  <c r="N657" i="14" s="1"/>
  <c r="AE653" i="20"/>
  <c r="J657" i="14"/>
  <c r="K657" i="14" s="1"/>
  <c r="I657" i="23" l="1"/>
  <c r="J657" i="23"/>
  <c r="L659" i="14"/>
  <c r="O658" i="14"/>
  <c r="P658" i="14" s="1"/>
  <c r="Q658" i="14" s="1"/>
  <c r="E655" i="23"/>
  <c r="H657" i="23"/>
  <c r="E660" i="16"/>
  <c r="C657" i="14"/>
  <c r="D657" i="14" s="1"/>
  <c r="E657" i="14" s="1"/>
  <c r="F658" i="14"/>
  <c r="G658" i="14" s="1"/>
  <c r="H658" i="14" s="1"/>
  <c r="AB656" i="20"/>
  <c r="AC656" i="20" s="1"/>
  <c r="H660" i="4"/>
  <c r="G660" i="4"/>
  <c r="B661" i="18"/>
  <c r="A662" i="18"/>
  <c r="I659" i="14"/>
  <c r="AC655" i="20"/>
  <c r="J658" i="14"/>
  <c r="K658" i="14" s="1"/>
  <c r="D661" i="16"/>
  <c r="A661" i="16"/>
  <c r="B661" i="16"/>
  <c r="C662" i="16"/>
  <c r="O657" i="14"/>
  <c r="R657" i="14"/>
  <c r="C656" i="23"/>
  <c r="F657" i="23"/>
  <c r="G657" i="23"/>
  <c r="K657" i="23"/>
  <c r="C661" i="18" s="1"/>
  <c r="A658" i="23"/>
  <c r="AD655" i="20"/>
  <c r="M658" i="14"/>
  <c r="N658" i="14" s="1"/>
  <c r="I658" i="23" l="1"/>
  <c r="J658" i="23"/>
  <c r="AA656" i="20"/>
  <c r="R658" i="14"/>
  <c r="S658" i="14" s="1"/>
  <c r="T658" i="14" s="1"/>
  <c r="E656" i="23"/>
  <c r="H658" i="23"/>
  <c r="C658" i="14"/>
  <c r="D658" i="14" s="1"/>
  <c r="E658" i="14" s="1"/>
  <c r="E661" i="16"/>
  <c r="S657" i="14"/>
  <c r="T657" i="14" s="1"/>
  <c r="B662" i="16"/>
  <c r="D662" i="16"/>
  <c r="A662" i="16"/>
  <c r="C663" i="16"/>
  <c r="J659" i="14"/>
  <c r="K659" i="14" s="1"/>
  <c r="F658" i="23"/>
  <c r="C657" i="23"/>
  <c r="G658" i="23"/>
  <c r="K658" i="23"/>
  <c r="C662" i="18" s="1"/>
  <c r="A659" i="23"/>
  <c r="P657" i="14"/>
  <c r="Q657" i="14" s="1"/>
  <c r="AD656" i="20"/>
  <c r="AE656" i="20" s="1"/>
  <c r="L660" i="14"/>
  <c r="M659" i="14"/>
  <c r="N659" i="14" s="1"/>
  <c r="AE655" i="20"/>
  <c r="O659" i="14"/>
  <c r="G661" i="4"/>
  <c r="H661" i="4"/>
  <c r="B662" i="18"/>
  <c r="A663" i="18"/>
  <c r="I660" i="14"/>
  <c r="AB657" i="20"/>
  <c r="AC657" i="20" s="1"/>
  <c r="I659" i="23" l="1"/>
  <c r="J659" i="23"/>
  <c r="L661" i="14"/>
  <c r="AA657" i="20"/>
  <c r="AA658" i="20"/>
  <c r="E657" i="23"/>
  <c r="H659" i="23"/>
  <c r="F660" i="14"/>
  <c r="G660" i="14" s="1"/>
  <c r="H660" i="14" s="1"/>
  <c r="E662" i="16"/>
  <c r="O660" i="14"/>
  <c r="P660" i="14" s="1"/>
  <c r="Q660" i="14" s="1"/>
  <c r="F659" i="14"/>
  <c r="C659" i="14"/>
  <c r="B663" i="18"/>
  <c r="A664" i="18"/>
  <c r="F659" i="23"/>
  <c r="G659" i="23"/>
  <c r="C658" i="23"/>
  <c r="A660" i="23"/>
  <c r="K659" i="23"/>
  <c r="C663" i="18" s="1"/>
  <c r="I661" i="14"/>
  <c r="J660" i="14"/>
  <c r="K660" i="14" s="1"/>
  <c r="P659" i="14"/>
  <c r="Q659" i="14" s="1"/>
  <c r="M660" i="14"/>
  <c r="N660" i="14" s="1"/>
  <c r="AB658" i="20"/>
  <c r="AC658" i="20" s="1"/>
  <c r="AD657" i="20"/>
  <c r="AE657" i="20" s="1"/>
  <c r="G662" i="4"/>
  <c r="H662" i="4"/>
  <c r="R659" i="14"/>
  <c r="D663" i="16"/>
  <c r="B663" i="16"/>
  <c r="A663" i="16"/>
  <c r="C664" i="16"/>
  <c r="I660" i="23" l="1"/>
  <c r="J660" i="23"/>
  <c r="AA659" i="20"/>
  <c r="C660" i="14"/>
  <c r="D660" i="14" s="1"/>
  <c r="E660" i="14" s="1"/>
  <c r="E658" i="23"/>
  <c r="H660" i="23"/>
  <c r="R660" i="14"/>
  <c r="S660" i="14" s="1"/>
  <c r="T660" i="14" s="1"/>
  <c r="F661" i="14"/>
  <c r="G661" i="14" s="1"/>
  <c r="H661" i="14" s="1"/>
  <c r="E663" i="16"/>
  <c r="O661" i="14"/>
  <c r="P661" i="14" s="1"/>
  <c r="Q661" i="14" s="1"/>
  <c r="S659" i="14"/>
  <c r="T659" i="14" s="1"/>
  <c r="G663" i="4"/>
  <c r="H663" i="4"/>
  <c r="AD658" i="20"/>
  <c r="AE658" i="20" s="1"/>
  <c r="L662" i="14"/>
  <c r="B664" i="18"/>
  <c r="A665" i="18"/>
  <c r="M661" i="14"/>
  <c r="N661" i="14" s="1"/>
  <c r="J661" i="14"/>
  <c r="K661" i="14" s="1"/>
  <c r="G660" i="23"/>
  <c r="C659" i="23"/>
  <c r="F660" i="23"/>
  <c r="K660" i="23"/>
  <c r="C664" i="18" s="1"/>
  <c r="A661" i="23"/>
  <c r="D659" i="14"/>
  <c r="E659" i="14" s="1"/>
  <c r="B664" i="16"/>
  <c r="D664" i="16"/>
  <c r="A664" i="16"/>
  <c r="C665" i="16"/>
  <c r="I662" i="14"/>
  <c r="AB659" i="20"/>
  <c r="AC659" i="20" s="1"/>
  <c r="G659" i="14"/>
  <c r="H659" i="14" s="1"/>
  <c r="I661" i="23" l="1"/>
  <c r="J661" i="23"/>
  <c r="L663" i="14"/>
  <c r="I663" i="14"/>
  <c r="E659" i="23"/>
  <c r="H661" i="23"/>
  <c r="C661" i="14"/>
  <c r="D661" i="14" s="1"/>
  <c r="E661" i="14" s="1"/>
  <c r="R661" i="14"/>
  <c r="S661" i="14" s="1"/>
  <c r="T661" i="14" s="1"/>
  <c r="F662" i="14"/>
  <c r="G662" i="14" s="1"/>
  <c r="H662" i="14" s="1"/>
  <c r="O662" i="14"/>
  <c r="P662" i="14" s="1"/>
  <c r="Q662" i="14" s="1"/>
  <c r="B665" i="16"/>
  <c r="D665" i="16"/>
  <c r="A665" i="16"/>
  <c r="C666" i="16"/>
  <c r="M662" i="14"/>
  <c r="N662" i="14" s="1"/>
  <c r="AD659" i="20"/>
  <c r="AE659" i="20" s="1"/>
  <c r="AB660" i="20"/>
  <c r="AC660" i="20" s="1"/>
  <c r="E664" i="16"/>
  <c r="C660" i="23"/>
  <c r="G661" i="23"/>
  <c r="F661" i="23"/>
  <c r="K661" i="23"/>
  <c r="C665" i="18" s="1"/>
  <c r="A662" i="23"/>
  <c r="J662" i="14"/>
  <c r="K662" i="14" s="1"/>
  <c r="B665" i="18"/>
  <c r="A666" i="18"/>
  <c r="H664" i="4"/>
  <c r="G664" i="4"/>
  <c r="I662" i="23" l="1"/>
  <c r="J662" i="23"/>
  <c r="L664" i="14"/>
  <c r="AA660" i="20"/>
  <c r="AA661" i="20"/>
  <c r="E660" i="23"/>
  <c r="H662" i="23"/>
  <c r="R662" i="14"/>
  <c r="S662" i="14" s="1"/>
  <c r="T662" i="14" s="1"/>
  <c r="C662" i="14"/>
  <c r="D662" i="14" s="1"/>
  <c r="E662" i="14" s="1"/>
  <c r="E665" i="16"/>
  <c r="J663" i="14"/>
  <c r="K663" i="14" s="1"/>
  <c r="G665" i="4"/>
  <c r="H665" i="4"/>
  <c r="I664" i="14"/>
  <c r="AD660" i="20"/>
  <c r="AE660" i="20" s="1"/>
  <c r="A666" i="16"/>
  <c r="B666" i="16"/>
  <c r="D666" i="16"/>
  <c r="C667" i="16"/>
  <c r="B666" i="18"/>
  <c r="A667" i="18"/>
  <c r="C661" i="23"/>
  <c r="G662" i="23"/>
  <c r="F662" i="23"/>
  <c r="A663" i="23"/>
  <c r="K662" i="23"/>
  <c r="C666" i="18" s="1"/>
  <c r="M663" i="14"/>
  <c r="N663" i="14" s="1"/>
  <c r="AB661" i="20"/>
  <c r="AC661" i="20" s="1"/>
  <c r="O663" i="14"/>
  <c r="F663" i="14"/>
  <c r="I663" i="23" l="1"/>
  <c r="J663" i="23"/>
  <c r="L665" i="14"/>
  <c r="I665" i="14"/>
  <c r="E661" i="23"/>
  <c r="H663" i="23"/>
  <c r="R663" i="14"/>
  <c r="S663" i="14" s="1"/>
  <c r="T663" i="14" s="1"/>
  <c r="C663" i="14"/>
  <c r="D663" i="14" s="1"/>
  <c r="E663" i="14" s="1"/>
  <c r="O664" i="14"/>
  <c r="P664" i="14" s="1"/>
  <c r="Q664" i="14" s="1"/>
  <c r="F664" i="14"/>
  <c r="G664" i="14" s="1"/>
  <c r="B667" i="18"/>
  <c r="A668" i="18"/>
  <c r="E666" i="16"/>
  <c r="AD661" i="20"/>
  <c r="AE661" i="20" s="1"/>
  <c r="AB662" i="20"/>
  <c r="G663" i="14"/>
  <c r="H663" i="14" s="1"/>
  <c r="C662" i="23"/>
  <c r="F663" i="23"/>
  <c r="G663" i="23"/>
  <c r="K663" i="23"/>
  <c r="C667" i="18" s="1"/>
  <c r="A664" i="23"/>
  <c r="B667" i="16"/>
  <c r="A667" i="16"/>
  <c r="D667" i="16"/>
  <c r="C668" i="16"/>
  <c r="M664" i="14"/>
  <c r="N664" i="14" s="1"/>
  <c r="G666" i="4"/>
  <c r="H666" i="4"/>
  <c r="P663" i="14"/>
  <c r="Q663" i="14" s="1"/>
  <c r="J664" i="14"/>
  <c r="K664" i="14" s="1"/>
  <c r="I664" i="23" l="1"/>
  <c r="J664" i="23"/>
  <c r="AA662" i="20"/>
  <c r="AA663" i="20"/>
  <c r="E662" i="23"/>
  <c r="H664" i="23"/>
  <c r="C664" i="14"/>
  <c r="D664" i="14" s="1"/>
  <c r="E664" i="14" s="1"/>
  <c r="R664" i="14"/>
  <c r="S664" i="14" s="1"/>
  <c r="T664" i="14" s="1"/>
  <c r="H664" i="14"/>
  <c r="AD662" i="20"/>
  <c r="L666" i="14"/>
  <c r="J665" i="14"/>
  <c r="K665" i="14" s="1"/>
  <c r="B668" i="16"/>
  <c r="D668" i="16"/>
  <c r="A668" i="16"/>
  <c r="C669" i="16"/>
  <c r="F665" i="14"/>
  <c r="I666" i="14"/>
  <c r="B668" i="18"/>
  <c r="A669" i="18"/>
  <c r="H667" i="4"/>
  <c r="G667" i="4"/>
  <c r="M665" i="14"/>
  <c r="N665" i="14" s="1"/>
  <c r="AC662" i="20"/>
  <c r="E667" i="16"/>
  <c r="AB663" i="20"/>
  <c r="AC663" i="20" s="1"/>
  <c r="G664" i="23"/>
  <c r="C663" i="23"/>
  <c r="F664" i="23"/>
  <c r="K664" i="23"/>
  <c r="C668" i="18" s="1"/>
  <c r="A665" i="23"/>
  <c r="I665" i="23" l="1"/>
  <c r="J665" i="23"/>
  <c r="I667" i="14"/>
  <c r="L667" i="14"/>
  <c r="E663" i="23"/>
  <c r="H665" i="23"/>
  <c r="C665" i="14"/>
  <c r="D665" i="14" s="1"/>
  <c r="E665" i="14" s="1"/>
  <c r="F666" i="14"/>
  <c r="G666" i="14" s="1"/>
  <c r="H666" i="14" s="1"/>
  <c r="E668" i="16"/>
  <c r="M666" i="14"/>
  <c r="N666" i="14" s="1"/>
  <c r="G665" i="23"/>
  <c r="C664" i="23"/>
  <c r="F665" i="23"/>
  <c r="A666" i="23"/>
  <c r="K665" i="23"/>
  <c r="C669" i="18" s="1"/>
  <c r="O665" i="14"/>
  <c r="R665" i="14"/>
  <c r="B669" i="16"/>
  <c r="D669" i="16"/>
  <c r="A669" i="16"/>
  <c r="C670" i="16"/>
  <c r="AD663" i="20"/>
  <c r="AE663" i="20" s="1"/>
  <c r="B669" i="18"/>
  <c r="A670" i="18"/>
  <c r="J666" i="14"/>
  <c r="K666" i="14" s="1"/>
  <c r="AE662" i="20"/>
  <c r="O666" i="14"/>
  <c r="H668" i="4"/>
  <c r="G668" i="4"/>
  <c r="G665" i="14"/>
  <c r="H665" i="14" s="1"/>
  <c r="AB664" i="20"/>
  <c r="AC664" i="20" s="1"/>
  <c r="I666" i="23" l="1"/>
  <c r="J666" i="23"/>
  <c r="AA664" i="20"/>
  <c r="E664" i="23"/>
  <c r="H666" i="23"/>
  <c r="C666" i="14"/>
  <c r="D666" i="14" s="1"/>
  <c r="E666" i="14" s="1"/>
  <c r="R666" i="14"/>
  <c r="S666" i="14" s="1"/>
  <c r="T666" i="14" s="1"/>
  <c r="F667" i="14"/>
  <c r="G667" i="14" s="1"/>
  <c r="H667" i="14" s="1"/>
  <c r="B670" i="18"/>
  <c r="A671" i="18"/>
  <c r="E669" i="16"/>
  <c r="I668" i="14"/>
  <c r="G666" i="23"/>
  <c r="C665" i="23"/>
  <c r="F666" i="23"/>
  <c r="K666" i="23"/>
  <c r="C670" i="18" s="1"/>
  <c r="A667" i="23"/>
  <c r="AB665" i="20"/>
  <c r="S665" i="14"/>
  <c r="T665" i="14" s="1"/>
  <c r="AD664" i="20"/>
  <c r="AE664" i="20" s="1"/>
  <c r="L668" i="14"/>
  <c r="G669" i="4"/>
  <c r="H669" i="4"/>
  <c r="J667" i="14"/>
  <c r="K667" i="14" s="1"/>
  <c r="A670" i="16"/>
  <c r="D670" i="16"/>
  <c r="B670" i="16"/>
  <c r="C671" i="16"/>
  <c r="P665" i="14"/>
  <c r="Q665" i="14" s="1"/>
  <c r="P666" i="14"/>
  <c r="Q666" i="14" s="1"/>
  <c r="M667" i="14"/>
  <c r="N667" i="14" s="1"/>
  <c r="I667" i="23" l="1"/>
  <c r="J667" i="23"/>
  <c r="L669" i="14"/>
  <c r="AA665" i="20"/>
  <c r="AA666" i="20"/>
  <c r="E665" i="23"/>
  <c r="H667" i="23"/>
  <c r="C667" i="14"/>
  <c r="D667" i="14" s="1"/>
  <c r="E667" i="14" s="1"/>
  <c r="E670" i="16"/>
  <c r="M668" i="14"/>
  <c r="N668" i="14" s="1"/>
  <c r="I669" i="14"/>
  <c r="AD665" i="20"/>
  <c r="O668" i="14"/>
  <c r="AB666" i="20"/>
  <c r="AC666" i="20" s="1"/>
  <c r="D671" i="16"/>
  <c r="B671" i="16"/>
  <c r="A671" i="16"/>
  <c r="C672" i="16"/>
  <c r="G670" i="4"/>
  <c r="H670" i="4"/>
  <c r="G667" i="23"/>
  <c r="C666" i="23"/>
  <c r="F667" i="23"/>
  <c r="K667" i="23"/>
  <c r="C671" i="18" s="1"/>
  <c r="A668" i="23"/>
  <c r="AC665" i="20"/>
  <c r="J668" i="14"/>
  <c r="K668" i="14" s="1"/>
  <c r="O667" i="14"/>
  <c r="R667" i="14"/>
  <c r="B671" i="18"/>
  <c r="A672" i="18"/>
  <c r="I668" i="23" l="1"/>
  <c r="J668" i="23"/>
  <c r="L670" i="14"/>
  <c r="I670" i="14"/>
  <c r="AA667" i="20"/>
  <c r="E666" i="23"/>
  <c r="H668" i="23"/>
  <c r="R668" i="14"/>
  <c r="S668" i="14" s="1"/>
  <c r="T668" i="14" s="1"/>
  <c r="F669" i="14"/>
  <c r="G669" i="14" s="1"/>
  <c r="H669" i="14" s="1"/>
  <c r="B672" i="18"/>
  <c r="A673" i="18"/>
  <c r="F668" i="23"/>
  <c r="C667" i="23"/>
  <c r="G668" i="23"/>
  <c r="A669" i="23"/>
  <c r="K668" i="23"/>
  <c r="C672" i="18" s="1"/>
  <c r="G671" i="4"/>
  <c r="H671" i="4"/>
  <c r="S667" i="14"/>
  <c r="T667" i="14" s="1"/>
  <c r="P668" i="14"/>
  <c r="Q668" i="14" s="1"/>
  <c r="P667" i="14"/>
  <c r="Q667" i="14" s="1"/>
  <c r="AE665" i="20"/>
  <c r="D672" i="16"/>
  <c r="B672" i="16"/>
  <c r="A672" i="16"/>
  <c r="C673" i="16"/>
  <c r="AD666" i="20"/>
  <c r="AE666" i="20" s="1"/>
  <c r="F668" i="14"/>
  <c r="C668" i="14"/>
  <c r="AB667" i="20"/>
  <c r="AC667" i="20" s="1"/>
  <c r="E671" i="16"/>
  <c r="M669" i="14"/>
  <c r="N669" i="14" s="1"/>
  <c r="J669" i="14"/>
  <c r="K669" i="14" s="1"/>
  <c r="I669" i="23" l="1"/>
  <c r="J669" i="23"/>
  <c r="I671" i="14"/>
  <c r="AA668" i="20"/>
  <c r="E667" i="23"/>
  <c r="H669" i="23"/>
  <c r="C669" i="14"/>
  <c r="D669" i="14" s="1"/>
  <c r="E669" i="14" s="1"/>
  <c r="F670" i="14"/>
  <c r="G670" i="14" s="1"/>
  <c r="H670" i="14" s="1"/>
  <c r="E672" i="16"/>
  <c r="G672" i="4"/>
  <c r="H672" i="4"/>
  <c r="F669" i="23"/>
  <c r="C668" i="23"/>
  <c r="G669" i="23"/>
  <c r="K669" i="23"/>
  <c r="C673" i="18" s="1"/>
  <c r="A670" i="23"/>
  <c r="AD667" i="20"/>
  <c r="AE667" i="20" s="1"/>
  <c r="L671" i="14"/>
  <c r="J670" i="14"/>
  <c r="K670" i="14" s="1"/>
  <c r="D668" i="14"/>
  <c r="E668" i="14" s="1"/>
  <c r="O670" i="14"/>
  <c r="G668" i="14"/>
  <c r="H668" i="14" s="1"/>
  <c r="D673" i="16"/>
  <c r="B673" i="16"/>
  <c r="A673" i="16"/>
  <c r="C674" i="16"/>
  <c r="O669" i="14"/>
  <c r="R669" i="14"/>
  <c r="AB668" i="20"/>
  <c r="AC668" i="20" s="1"/>
  <c r="B673" i="18"/>
  <c r="A674" i="18"/>
  <c r="M670" i="14"/>
  <c r="N670" i="14" s="1"/>
  <c r="I670" i="23" l="1"/>
  <c r="J670" i="23"/>
  <c r="L672" i="14"/>
  <c r="I672" i="14"/>
  <c r="AA669" i="20"/>
  <c r="E668" i="23"/>
  <c r="H670" i="23"/>
  <c r="C670" i="14"/>
  <c r="D670" i="14" s="1"/>
  <c r="E670" i="14" s="1"/>
  <c r="E673" i="16"/>
  <c r="F671" i="14"/>
  <c r="G671" i="14" s="1"/>
  <c r="H671" i="14" s="1"/>
  <c r="AD668" i="20"/>
  <c r="AE668" i="20" s="1"/>
  <c r="P669" i="14"/>
  <c r="Q669" i="14" s="1"/>
  <c r="J671" i="14"/>
  <c r="K671" i="14" s="1"/>
  <c r="B674" i="18"/>
  <c r="A675" i="18"/>
  <c r="D674" i="16"/>
  <c r="B674" i="16"/>
  <c r="A674" i="16"/>
  <c r="C675" i="16"/>
  <c r="AB669" i="20"/>
  <c r="AC669" i="20" s="1"/>
  <c r="G673" i="4"/>
  <c r="H673" i="4"/>
  <c r="R670" i="14"/>
  <c r="F670" i="23"/>
  <c r="C669" i="23"/>
  <c r="G670" i="23"/>
  <c r="K670" i="23"/>
  <c r="C674" i="18" s="1"/>
  <c r="A671" i="23"/>
  <c r="O671" i="14"/>
  <c r="S669" i="14"/>
  <c r="T669" i="14" s="1"/>
  <c r="P670" i="14"/>
  <c r="Q670" i="14" s="1"/>
  <c r="M671" i="14"/>
  <c r="N671" i="14" s="1"/>
  <c r="I671" i="23" l="1"/>
  <c r="J671" i="23"/>
  <c r="I673" i="14"/>
  <c r="E669" i="23"/>
  <c r="H671" i="23"/>
  <c r="E674" i="16"/>
  <c r="O672" i="14"/>
  <c r="P672" i="14" s="1"/>
  <c r="Q672" i="14" s="1"/>
  <c r="C671" i="14"/>
  <c r="D671" i="14" s="1"/>
  <c r="E671" i="14" s="1"/>
  <c r="AB670" i="20"/>
  <c r="AC670" i="20" s="1"/>
  <c r="G671" i="23"/>
  <c r="C670" i="23"/>
  <c r="F671" i="23"/>
  <c r="K671" i="23"/>
  <c r="C675" i="18" s="1"/>
  <c r="A672" i="23"/>
  <c r="G674" i="4"/>
  <c r="H674" i="4"/>
  <c r="AD669" i="20"/>
  <c r="AE669" i="20" s="1"/>
  <c r="L673" i="14"/>
  <c r="R671" i="14"/>
  <c r="M672" i="14"/>
  <c r="N672" i="14" s="1"/>
  <c r="S670" i="14"/>
  <c r="T670" i="14" s="1"/>
  <c r="J672" i="14"/>
  <c r="K672" i="14" s="1"/>
  <c r="P671" i="14"/>
  <c r="Q671" i="14" s="1"/>
  <c r="B675" i="16"/>
  <c r="D675" i="16"/>
  <c r="A675" i="16"/>
  <c r="C676" i="16"/>
  <c r="B675" i="18"/>
  <c r="A676" i="18"/>
  <c r="F672" i="14"/>
  <c r="I672" i="23" l="1"/>
  <c r="J672" i="23"/>
  <c r="AA670" i="20"/>
  <c r="E670" i="23"/>
  <c r="H672" i="23"/>
  <c r="R672" i="14"/>
  <c r="S672" i="14" s="1"/>
  <c r="T672" i="14" s="1"/>
  <c r="E675" i="16"/>
  <c r="J673" i="14"/>
  <c r="K673" i="14" s="1"/>
  <c r="O673" i="14"/>
  <c r="G675" i="4"/>
  <c r="H675" i="4"/>
  <c r="AB671" i="20"/>
  <c r="M673" i="14"/>
  <c r="N673" i="14" s="1"/>
  <c r="G672" i="14"/>
  <c r="H672" i="14" s="1"/>
  <c r="F673" i="14"/>
  <c r="C672" i="14"/>
  <c r="I674" i="14"/>
  <c r="F672" i="23"/>
  <c r="C671" i="23"/>
  <c r="G672" i="23"/>
  <c r="K672" i="23"/>
  <c r="C676" i="18" s="1"/>
  <c r="A673" i="23"/>
  <c r="D676" i="16"/>
  <c r="B676" i="16"/>
  <c r="A676" i="16"/>
  <c r="C677" i="16"/>
  <c r="AD670" i="20"/>
  <c r="AE670" i="20" s="1"/>
  <c r="L674" i="14"/>
  <c r="B676" i="18"/>
  <c r="A677" i="18"/>
  <c r="S671" i="14"/>
  <c r="T671" i="14" s="1"/>
  <c r="I673" i="23" l="1"/>
  <c r="J673" i="23"/>
  <c r="AA671" i="20"/>
  <c r="L675" i="14"/>
  <c r="E671" i="23"/>
  <c r="H673" i="23"/>
  <c r="E676" i="16"/>
  <c r="P673" i="14"/>
  <c r="Q673" i="14" s="1"/>
  <c r="I675" i="14"/>
  <c r="C673" i="14"/>
  <c r="M674" i="14"/>
  <c r="N674" i="14" s="1"/>
  <c r="D672" i="14"/>
  <c r="E672" i="14" s="1"/>
  <c r="R673" i="14"/>
  <c r="G673" i="14"/>
  <c r="H673" i="14" s="1"/>
  <c r="H676" i="4"/>
  <c r="G676" i="4"/>
  <c r="B677" i="18"/>
  <c r="A678" i="18"/>
  <c r="A679" i="18" s="1"/>
  <c r="D677" i="16"/>
  <c r="B677" i="16"/>
  <c r="A677" i="16"/>
  <c r="C678" i="16"/>
  <c r="C679" i="16" s="1"/>
  <c r="C672" i="23"/>
  <c r="G673" i="23"/>
  <c r="F673" i="23"/>
  <c r="A674" i="23"/>
  <c r="A675" i="23" s="1"/>
  <c r="K673" i="23"/>
  <c r="C677" i="18" s="1"/>
  <c r="AD671" i="20"/>
  <c r="AC671" i="20"/>
  <c r="J674" i="14"/>
  <c r="K674" i="14" s="1"/>
  <c r="AB672" i="20"/>
  <c r="AC672" i="20" s="1"/>
  <c r="F675" i="23" l="1"/>
  <c r="J675" i="23"/>
  <c r="H675" i="23"/>
  <c r="G675" i="23"/>
  <c r="K675" i="23"/>
  <c r="A676" i="23"/>
  <c r="E675" i="23"/>
  <c r="I675" i="23"/>
  <c r="C679" i="18"/>
  <c r="J674" i="23"/>
  <c r="A679" i="16"/>
  <c r="C680" i="16"/>
  <c r="D679" i="16"/>
  <c r="B679" i="16"/>
  <c r="B679" i="18"/>
  <c r="A680" i="18"/>
  <c r="AA672" i="20"/>
  <c r="I674" i="23"/>
  <c r="L676" i="14"/>
  <c r="E672" i="23"/>
  <c r="H674" i="23"/>
  <c r="AD672" i="20"/>
  <c r="AE672" i="20" s="1"/>
  <c r="M675" i="14"/>
  <c r="N675" i="14" s="1"/>
  <c r="E677" i="16"/>
  <c r="D673" i="14"/>
  <c r="E673" i="14" s="1"/>
  <c r="F674" i="23"/>
  <c r="C673" i="23"/>
  <c r="E674" i="23"/>
  <c r="G674" i="23"/>
  <c r="K674" i="23"/>
  <c r="C678" i="18" s="1"/>
  <c r="G677" i="4"/>
  <c r="H677" i="4"/>
  <c r="O674" i="14"/>
  <c r="R674" i="14"/>
  <c r="J675" i="14"/>
  <c r="K675" i="14" s="1"/>
  <c r="S673" i="14"/>
  <c r="T673" i="14" s="1"/>
  <c r="F675" i="14"/>
  <c r="AE671" i="20"/>
  <c r="I676" i="14"/>
  <c r="AB673" i="20"/>
  <c r="AC673" i="20" s="1"/>
  <c r="F674" i="14"/>
  <c r="C674" i="14"/>
  <c r="D678" i="16"/>
  <c r="A678" i="16"/>
  <c r="B678" i="16"/>
  <c r="B678" i="18"/>
  <c r="A677" i="23" l="1"/>
  <c r="E676" i="23"/>
  <c r="J676" i="23"/>
  <c r="F676" i="23"/>
  <c r="K676" i="23"/>
  <c r="I676" i="23"/>
  <c r="G676" i="23"/>
  <c r="H676" i="23"/>
  <c r="C680" i="18"/>
  <c r="E679" i="16"/>
  <c r="D680" i="16"/>
  <c r="A680" i="16"/>
  <c r="E680" i="16" s="1"/>
  <c r="C681" i="16"/>
  <c r="B680" i="16"/>
  <c r="A681" i="18"/>
  <c r="B680" i="18"/>
  <c r="AA673" i="20"/>
  <c r="I677" i="14"/>
  <c r="AA674" i="20"/>
  <c r="E673" i="23"/>
  <c r="O676" i="14"/>
  <c r="P676" i="14" s="1"/>
  <c r="Q676" i="14" s="1"/>
  <c r="E678" i="16"/>
  <c r="AB674" i="20"/>
  <c r="AC674" i="20" s="1"/>
  <c r="G675" i="14"/>
  <c r="H675" i="14" s="1"/>
  <c r="G674" i="14"/>
  <c r="H674" i="14" s="1"/>
  <c r="J676" i="14"/>
  <c r="K676" i="14" s="1"/>
  <c r="G678" i="4"/>
  <c r="H678" i="4"/>
  <c r="AD673" i="20"/>
  <c r="AE673" i="20" s="1"/>
  <c r="L677" i="14"/>
  <c r="F676" i="14"/>
  <c r="D674" i="14"/>
  <c r="E674" i="14" s="1"/>
  <c r="O675" i="14"/>
  <c r="R675" i="14"/>
  <c r="P674" i="14"/>
  <c r="Q674" i="14" s="1"/>
  <c r="C675" i="14"/>
  <c r="S674" i="14"/>
  <c r="T674" i="14" s="1"/>
  <c r="M676" i="14"/>
  <c r="N676" i="14" s="1"/>
  <c r="K677" i="23" l="1"/>
  <c r="H677" i="23"/>
  <c r="I677" i="23"/>
  <c r="G677" i="23"/>
  <c r="F677" i="23"/>
  <c r="J677" i="23"/>
  <c r="A678" i="23"/>
  <c r="E677" i="23"/>
  <c r="C681" i="18"/>
  <c r="D681" i="16"/>
  <c r="A681" i="16"/>
  <c r="C682" i="16"/>
  <c r="B681" i="16"/>
  <c r="A682" i="18"/>
  <c r="B681" i="18"/>
  <c r="L678" i="14"/>
  <c r="I678" i="14"/>
  <c r="R676" i="14"/>
  <c r="S676" i="14" s="1"/>
  <c r="T676" i="14" s="1"/>
  <c r="O677" i="14"/>
  <c r="P677" i="14" s="1"/>
  <c r="Q677" i="14" s="1"/>
  <c r="AB675" i="20"/>
  <c r="AC675" i="20" s="1"/>
  <c r="J677" i="14"/>
  <c r="K677" i="14" s="1"/>
  <c r="G676" i="14"/>
  <c r="H676" i="14" s="1"/>
  <c r="C676" i="14"/>
  <c r="S675" i="14"/>
  <c r="T675" i="14" s="1"/>
  <c r="M677" i="14"/>
  <c r="N677" i="14" s="1"/>
  <c r="AD674" i="20"/>
  <c r="AE674" i="20" s="1"/>
  <c r="D675" i="14"/>
  <c r="E675" i="14" s="1"/>
  <c r="F677" i="14"/>
  <c r="P675" i="14"/>
  <c r="Q675" i="14" s="1"/>
  <c r="I678" i="23" l="1"/>
  <c r="G678" i="23"/>
  <c r="K678" i="23"/>
  <c r="C682" i="18" s="1"/>
  <c r="A679" i="23"/>
  <c r="J678" i="23"/>
  <c r="H678" i="23"/>
  <c r="F678" i="23"/>
  <c r="E678" i="23"/>
  <c r="L679" i="14"/>
  <c r="I679" i="14"/>
  <c r="J679" i="14" s="1"/>
  <c r="K679" i="14" s="1"/>
  <c r="L680" i="14"/>
  <c r="M680" i="14" s="1"/>
  <c r="N680" i="14" s="1"/>
  <c r="D682" i="16"/>
  <c r="A682" i="16"/>
  <c r="B682" i="16"/>
  <c r="C683" i="16"/>
  <c r="E681" i="16"/>
  <c r="B682" i="18"/>
  <c r="A683" i="18"/>
  <c r="AA675" i="20"/>
  <c r="R677" i="14"/>
  <c r="S677" i="14" s="1"/>
  <c r="T677" i="14" s="1"/>
  <c r="F678" i="14"/>
  <c r="G678" i="14" s="1"/>
  <c r="H678" i="14" s="1"/>
  <c r="G677" i="14"/>
  <c r="H677" i="14" s="1"/>
  <c r="AB676" i="20"/>
  <c r="AC676" i="20" s="1"/>
  <c r="J678" i="14"/>
  <c r="K678" i="14" s="1"/>
  <c r="D676" i="14"/>
  <c r="E676" i="14" s="1"/>
  <c r="AD675" i="20"/>
  <c r="AE675" i="20" s="1"/>
  <c r="M678" i="14"/>
  <c r="N678" i="14" s="1"/>
  <c r="O678" i="14"/>
  <c r="C677" i="14"/>
  <c r="A680" i="23" l="1"/>
  <c r="J679" i="23"/>
  <c r="K679" i="23"/>
  <c r="C683" i="18" s="1"/>
  <c r="G679" i="23"/>
  <c r="H679" i="23"/>
  <c r="E679" i="23"/>
  <c r="I679" i="23"/>
  <c r="F679" i="23"/>
  <c r="E682" i="16"/>
  <c r="A683" i="16"/>
  <c r="B683" i="16"/>
  <c r="D683" i="16"/>
  <c r="C684" i="16"/>
  <c r="F679" i="14"/>
  <c r="G679" i="14" s="1"/>
  <c r="H679" i="14" s="1"/>
  <c r="C679" i="14"/>
  <c r="M679" i="14"/>
  <c r="N679" i="14" s="1"/>
  <c r="R679" i="14"/>
  <c r="O679" i="14"/>
  <c r="I681" i="14"/>
  <c r="J681" i="14" s="1"/>
  <c r="K681" i="14" s="1"/>
  <c r="F680" i="14"/>
  <c r="I680" i="14"/>
  <c r="J680" i="14" s="1"/>
  <c r="K680" i="14" s="1"/>
  <c r="A684" i="18"/>
  <c r="B683" i="18"/>
  <c r="C678" i="14"/>
  <c r="D678" i="14" s="1"/>
  <c r="E678" i="14" s="1"/>
  <c r="D677" i="14"/>
  <c r="E677" i="14" s="1"/>
  <c r="AD676" i="20"/>
  <c r="AE676" i="20" s="1"/>
  <c r="P678" i="14"/>
  <c r="Q678" i="14" s="1"/>
  <c r="R678" i="14"/>
  <c r="AB677" i="20"/>
  <c r="H680" i="23" l="1"/>
  <c r="G680" i="23"/>
  <c r="A681" i="23"/>
  <c r="K680" i="23"/>
  <c r="C684" i="18" s="1"/>
  <c r="J680" i="23"/>
  <c r="E680" i="23"/>
  <c r="I680" i="23"/>
  <c r="F680" i="23"/>
  <c r="E683" i="16"/>
  <c r="C685" i="16"/>
  <c r="A684" i="16"/>
  <c r="D684" i="16"/>
  <c r="B684" i="16"/>
  <c r="G680" i="14"/>
  <c r="H680" i="14" s="1"/>
  <c r="P679" i="14"/>
  <c r="Q679" i="14" s="1"/>
  <c r="S679" i="14"/>
  <c r="T679" i="14" s="1"/>
  <c r="L681" i="14"/>
  <c r="M681" i="14" s="1"/>
  <c r="N681" i="14" s="1"/>
  <c r="D679" i="14"/>
  <c r="E679" i="14" s="1"/>
  <c r="C680" i="14"/>
  <c r="R680" i="14"/>
  <c r="O680" i="14"/>
  <c r="L682" i="14"/>
  <c r="B684" i="18"/>
  <c r="A685" i="18"/>
  <c r="AA676" i="20"/>
  <c r="AC677" i="20"/>
  <c r="S678" i="14"/>
  <c r="T678" i="14" s="1"/>
  <c r="AD677" i="20"/>
  <c r="AB678" i="20"/>
  <c r="AC678" i="20" s="1"/>
  <c r="K681" i="23" l="1"/>
  <c r="H681" i="23"/>
  <c r="A682" i="23"/>
  <c r="I681" i="23"/>
  <c r="F681" i="23"/>
  <c r="J681" i="23"/>
  <c r="G681" i="23"/>
  <c r="E681" i="23"/>
  <c r="C685" i="18"/>
  <c r="S680" i="14"/>
  <c r="T680" i="14" s="1"/>
  <c r="E684" i="16"/>
  <c r="A685" i="16"/>
  <c r="D685" i="16"/>
  <c r="B685" i="16"/>
  <c r="C686" i="16"/>
  <c r="L683" i="14"/>
  <c r="M683" i="14" s="1"/>
  <c r="N683" i="14" s="1"/>
  <c r="O681" i="14"/>
  <c r="R681" i="14"/>
  <c r="F681" i="14"/>
  <c r="G681" i="14" s="1"/>
  <c r="H681" i="14" s="1"/>
  <c r="C681" i="14"/>
  <c r="D680" i="14"/>
  <c r="E680" i="14" s="1"/>
  <c r="M682" i="14"/>
  <c r="N682" i="14" s="1"/>
  <c r="P680" i="14"/>
  <c r="Q680" i="14" s="1"/>
  <c r="I682" i="14"/>
  <c r="J682" i="14" s="1"/>
  <c r="K682" i="14" s="1"/>
  <c r="A686" i="18"/>
  <c r="B685" i="18"/>
  <c r="AA677" i="20"/>
  <c r="AB679" i="20"/>
  <c r="AD678" i="20"/>
  <c r="AE678" i="20" s="1"/>
  <c r="AE677" i="20"/>
  <c r="K682" i="23" l="1"/>
  <c r="H682" i="23"/>
  <c r="F682" i="23"/>
  <c r="I682" i="23"/>
  <c r="G682" i="23"/>
  <c r="J682" i="23"/>
  <c r="A683" i="23"/>
  <c r="E682" i="23"/>
  <c r="C686" i="18"/>
  <c r="E685" i="16"/>
  <c r="S681" i="14"/>
  <c r="T681" i="14" s="1"/>
  <c r="P681" i="14"/>
  <c r="Q681" i="14" s="1"/>
  <c r="B686" i="16"/>
  <c r="C687" i="16"/>
  <c r="A686" i="16"/>
  <c r="D686" i="16"/>
  <c r="I684" i="14"/>
  <c r="J684" i="14" s="1"/>
  <c r="K684" i="14" s="1"/>
  <c r="D681" i="14"/>
  <c r="E681" i="14" s="1"/>
  <c r="F682" i="14"/>
  <c r="C682" i="14"/>
  <c r="I683" i="14"/>
  <c r="J683" i="14" s="1"/>
  <c r="K683" i="14" s="1"/>
  <c r="L684" i="14"/>
  <c r="R682" i="14"/>
  <c r="O682" i="14"/>
  <c r="F683" i="14"/>
  <c r="B686" i="18"/>
  <c r="A687" i="18"/>
  <c r="AA678" i="20"/>
  <c r="AA679" i="20"/>
  <c r="AD679" i="20"/>
  <c r="AC679" i="20"/>
  <c r="AB680" i="20"/>
  <c r="AC680" i="20" s="1"/>
  <c r="J683" i="23" l="1"/>
  <c r="K683" i="23"/>
  <c r="C687" i="18" s="1"/>
  <c r="G683" i="23"/>
  <c r="A684" i="23"/>
  <c r="H683" i="23"/>
  <c r="F683" i="23"/>
  <c r="I683" i="23"/>
  <c r="E683" i="23"/>
  <c r="S682" i="14"/>
  <c r="T682" i="14" s="1"/>
  <c r="E686" i="16"/>
  <c r="M684" i="14"/>
  <c r="N684" i="14" s="1"/>
  <c r="A687" i="16"/>
  <c r="E687" i="16" s="1"/>
  <c r="B687" i="16"/>
  <c r="D687" i="16"/>
  <c r="C688" i="16"/>
  <c r="R683" i="14"/>
  <c r="O683" i="14"/>
  <c r="C683" i="14"/>
  <c r="D682" i="14"/>
  <c r="E682" i="14" s="1"/>
  <c r="G683" i="14"/>
  <c r="H683" i="14" s="1"/>
  <c r="P682" i="14"/>
  <c r="Q682" i="14" s="1"/>
  <c r="G682" i="14"/>
  <c r="H682" i="14" s="1"/>
  <c r="I685" i="14"/>
  <c r="J685" i="14" s="1"/>
  <c r="K685" i="14" s="1"/>
  <c r="A688" i="18"/>
  <c r="B687" i="18"/>
  <c r="AD680" i="20"/>
  <c r="AE680" i="20" s="1"/>
  <c r="AE679" i="20"/>
  <c r="AB681" i="20"/>
  <c r="J684" i="23" l="1"/>
  <c r="I684" i="23"/>
  <c r="A685" i="23"/>
  <c r="F684" i="23"/>
  <c r="K684" i="23"/>
  <c r="G684" i="23"/>
  <c r="H684" i="23"/>
  <c r="E684" i="23"/>
  <c r="C688" i="18"/>
  <c r="F685" i="14"/>
  <c r="C684" i="14"/>
  <c r="F684" i="14"/>
  <c r="I686" i="14"/>
  <c r="J686" i="14" s="1"/>
  <c r="K686" i="14" s="1"/>
  <c r="S683" i="14"/>
  <c r="T683" i="14" s="1"/>
  <c r="L685" i="14"/>
  <c r="M685" i="14" s="1"/>
  <c r="N685" i="14" s="1"/>
  <c r="P683" i="14"/>
  <c r="Q683" i="14" s="1"/>
  <c r="R684" i="14"/>
  <c r="S684" i="14" s="1"/>
  <c r="T684" i="14" s="1"/>
  <c r="O684" i="14"/>
  <c r="D688" i="16"/>
  <c r="C689" i="16"/>
  <c r="B688" i="16"/>
  <c r="A688" i="16"/>
  <c r="L686" i="14"/>
  <c r="M686" i="14" s="1"/>
  <c r="N686" i="14" s="1"/>
  <c r="D683" i="14"/>
  <c r="E683" i="14" s="1"/>
  <c r="B688" i="18"/>
  <c r="A689" i="18"/>
  <c r="AA680" i="20"/>
  <c r="AB682" i="20"/>
  <c r="AC681" i="20"/>
  <c r="AD681" i="20"/>
  <c r="K685" i="23" l="1"/>
  <c r="G685" i="23"/>
  <c r="H685" i="23"/>
  <c r="F685" i="23"/>
  <c r="J685" i="23"/>
  <c r="A686" i="23"/>
  <c r="I685" i="23"/>
  <c r="E685" i="23"/>
  <c r="C689" i="18"/>
  <c r="C685" i="14"/>
  <c r="E688" i="16"/>
  <c r="D685" i="14"/>
  <c r="E685" i="14" s="1"/>
  <c r="P684" i="14"/>
  <c r="Q684" i="14" s="1"/>
  <c r="O685" i="14"/>
  <c r="R685" i="14"/>
  <c r="G684" i="14"/>
  <c r="H684" i="14" s="1"/>
  <c r="D684" i="14"/>
  <c r="E684" i="14" s="1"/>
  <c r="I687" i="14"/>
  <c r="J687" i="14" s="1"/>
  <c r="K687" i="14" s="1"/>
  <c r="C690" i="16"/>
  <c r="B689" i="16"/>
  <c r="A689" i="16"/>
  <c r="E689" i="16" s="1"/>
  <c r="D689" i="16"/>
  <c r="G685" i="14"/>
  <c r="H685" i="14" s="1"/>
  <c r="A690" i="18"/>
  <c r="B689" i="18"/>
  <c r="AA681" i="20"/>
  <c r="AC682" i="20"/>
  <c r="AE681" i="20"/>
  <c r="AD682" i="20"/>
  <c r="AB683" i="20"/>
  <c r="A687" i="23" l="1"/>
  <c r="I686" i="23"/>
  <c r="E686" i="23"/>
  <c r="J686" i="23"/>
  <c r="K686" i="23"/>
  <c r="G686" i="23"/>
  <c r="F686" i="23"/>
  <c r="H686" i="23"/>
  <c r="C690" i="18"/>
  <c r="C687" i="14"/>
  <c r="P685" i="14"/>
  <c r="Q685" i="14" s="1"/>
  <c r="R686" i="14"/>
  <c r="O686" i="14"/>
  <c r="C691" i="16"/>
  <c r="B690" i="16"/>
  <c r="D690" i="16"/>
  <c r="A690" i="16"/>
  <c r="L687" i="14"/>
  <c r="M687" i="14" s="1"/>
  <c r="N687" i="14" s="1"/>
  <c r="I688" i="14"/>
  <c r="J688" i="14" s="1"/>
  <c r="K688" i="14" s="1"/>
  <c r="C686" i="14"/>
  <c r="F686" i="14"/>
  <c r="L688" i="14"/>
  <c r="S685" i="14"/>
  <c r="T685" i="14" s="1"/>
  <c r="B690" i="18"/>
  <c r="A691" i="18"/>
  <c r="AA682" i="20"/>
  <c r="AB684" i="20"/>
  <c r="AC684" i="20" s="1"/>
  <c r="AD683" i="20"/>
  <c r="AE682" i="20"/>
  <c r="AC683" i="20"/>
  <c r="F687" i="23" l="1"/>
  <c r="H687" i="23"/>
  <c r="A688" i="23"/>
  <c r="I687" i="23"/>
  <c r="K687" i="23"/>
  <c r="J687" i="23"/>
  <c r="G687" i="23"/>
  <c r="E687" i="23"/>
  <c r="C691" i="18"/>
  <c r="F687" i="14"/>
  <c r="G687" i="14" s="1"/>
  <c r="H687" i="14" s="1"/>
  <c r="E690" i="16"/>
  <c r="I689" i="14"/>
  <c r="J689" i="14" s="1"/>
  <c r="K689" i="14" s="1"/>
  <c r="L689" i="14"/>
  <c r="M689" i="14" s="1"/>
  <c r="N689" i="14" s="1"/>
  <c r="P686" i="14"/>
  <c r="Q686" i="14" s="1"/>
  <c r="R687" i="14"/>
  <c r="O687" i="14"/>
  <c r="S686" i="14"/>
  <c r="T686" i="14" s="1"/>
  <c r="M688" i="14"/>
  <c r="N688" i="14" s="1"/>
  <c r="D687" i="14"/>
  <c r="E687" i="14" s="1"/>
  <c r="G686" i="14"/>
  <c r="H686" i="14" s="1"/>
  <c r="D686" i="14"/>
  <c r="E686" i="14" s="1"/>
  <c r="D691" i="16"/>
  <c r="C692" i="16"/>
  <c r="B691" i="16"/>
  <c r="A691" i="16"/>
  <c r="E691" i="16" s="1"/>
  <c r="A692" i="18"/>
  <c r="B691" i="18"/>
  <c r="AA683" i="20"/>
  <c r="AD684" i="20"/>
  <c r="AE684" i="20" s="1"/>
  <c r="AB685" i="20"/>
  <c r="AE683" i="20"/>
  <c r="J688" i="23" l="1"/>
  <c r="K688" i="23"/>
  <c r="C692" i="18" s="1"/>
  <c r="F688" i="23"/>
  <c r="H688" i="23"/>
  <c r="A689" i="23"/>
  <c r="I688" i="23"/>
  <c r="G688" i="23"/>
  <c r="E688" i="23"/>
  <c r="R689" i="14"/>
  <c r="I690" i="14"/>
  <c r="J690" i="14" s="1"/>
  <c r="K690" i="14" s="1"/>
  <c r="C688" i="14"/>
  <c r="F688" i="14"/>
  <c r="P687" i="14"/>
  <c r="Q687" i="14" s="1"/>
  <c r="R688" i="14"/>
  <c r="S688" i="14" s="1"/>
  <c r="T688" i="14" s="1"/>
  <c r="O688" i="14"/>
  <c r="S687" i="14"/>
  <c r="T687" i="14" s="1"/>
  <c r="L690" i="14"/>
  <c r="M690" i="14" s="1"/>
  <c r="N690" i="14" s="1"/>
  <c r="C693" i="16"/>
  <c r="D692" i="16"/>
  <c r="A692" i="16"/>
  <c r="B692" i="16"/>
  <c r="B692" i="18"/>
  <c r="A693" i="18"/>
  <c r="AA684" i="20"/>
  <c r="AA685" i="20"/>
  <c r="AB686" i="20"/>
  <c r="AD685" i="20"/>
  <c r="AC685" i="20"/>
  <c r="A690" i="23" l="1"/>
  <c r="K689" i="23"/>
  <c r="C693" i="18" s="1"/>
  <c r="F689" i="23"/>
  <c r="J689" i="23"/>
  <c r="G689" i="23"/>
  <c r="H689" i="23"/>
  <c r="I689" i="23"/>
  <c r="E689" i="23"/>
  <c r="O689" i="14"/>
  <c r="E692" i="16"/>
  <c r="C690" i="14"/>
  <c r="D688" i="14"/>
  <c r="E688" i="14" s="1"/>
  <c r="L691" i="14"/>
  <c r="M691" i="14" s="1"/>
  <c r="N691" i="14" s="1"/>
  <c r="P689" i="14"/>
  <c r="Q689" i="14" s="1"/>
  <c r="S689" i="14"/>
  <c r="T689" i="14" s="1"/>
  <c r="D693" i="16"/>
  <c r="A693" i="16"/>
  <c r="E693" i="16" s="1"/>
  <c r="B693" i="16"/>
  <c r="C694" i="16"/>
  <c r="P688" i="14"/>
  <c r="Q688" i="14" s="1"/>
  <c r="C689" i="14"/>
  <c r="F689" i="14"/>
  <c r="G689" i="14" s="1"/>
  <c r="H689" i="14" s="1"/>
  <c r="G688" i="14"/>
  <c r="H688" i="14" s="1"/>
  <c r="I691" i="14"/>
  <c r="J691" i="14" s="1"/>
  <c r="K691" i="14" s="1"/>
  <c r="B693" i="18"/>
  <c r="A694" i="18"/>
  <c r="AB687" i="20"/>
  <c r="AC687" i="20" s="1"/>
  <c r="AC686" i="20"/>
  <c r="AD686" i="20"/>
  <c r="AE685" i="20"/>
  <c r="G690" i="23" l="1"/>
  <c r="J690" i="23"/>
  <c r="A691" i="23"/>
  <c r="H690" i="23"/>
  <c r="E690" i="23"/>
  <c r="F690" i="23"/>
  <c r="I690" i="23"/>
  <c r="K690" i="23"/>
  <c r="C694" i="18" s="1"/>
  <c r="F690" i="14"/>
  <c r="R691" i="14"/>
  <c r="C691" i="14"/>
  <c r="D690" i="14"/>
  <c r="E690" i="14" s="1"/>
  <c r="L692" i="14"/>
  <c r="C695" i="16"/>
  <c r="B694" i="16"/>
  <c r="D694" i="16"/>
  <c r="A694" i="16"/>
  <c r="E694" i="16" s="1"/>
  <c r="O690" i="14"/>
  <c r="R690" i="14"/>
  <c r="S690" i="14" s="1"/>
  <c r="T690" i="14" s="1"/>
  <c r="I692" i="14"/>
  <c r="J692" i="14" s="1"/>
  <c r="K692" i="14" s="1"/>
  <c r="D689" i="14"/>
  <c r="E689" i="14" s="1"/>
  <c r="G690" i="14"/>
  <c r="H690" i="14" s="1"/>
  <c r="A695" i="18"/>
  <c r="B694" i="18"/>
  <c r="AA686" i="20"/>
  <c r="AB688" i="20"/>
  <c r="AE686" i="20"/>
  <c r="AD687" i="20"/>
  <c r="AE687" i="20" s="1"/>
  <c r="E691" i="23" l="1"/>
  <c r="G691" i="23"/>
  <c r="H691" i="23"/>
  <c r="I691" i="23"/>
  <c r="A692" i="23"/>
  <c r="K691" i="23"/>
  <c r="C695" i="18" s="1"/>
  <c r="J691" i="23"/>
  <c r="F691" i="23"/>
  <c r="O691" i="14"/>
  <c r="P691" i="14" s="1"/>
  <c r="Q691" i="14" s="1"/>
  <c r="F691" i="14"/>
  <c r="G691" i="14" s="1"/>
  <c r="H691" i="14" s="1"/>
  <c r="F692" i="14"/>
  <c r="S691" i="14"/>
  <c r="T691" i="14" s="1"/>
  <c r="P690" i="14"/>
  <c r="Q690" i="14" s="1"/>
  <c r="I693" i="14"/>
  <c r="J693" i="14" s="1"/>
  <c r="K693" i="14" s="1"/>
  <c r="A695" i="16"/>
  <c r="E695" i="16" s="1"/>
  <c r="B695" i="16"/>
  <c r="D695" i="16"/>
  <c r="C696" i="16"/>
  <c r="D691" i="14"/>
  <c r="E691" i="14" s="1"/>
  <c r="M692" i="14"/>
  <c r="N692" i="14" s="1"/>
  <c r="B695" i="18"/>
  <c r="A696" i="18"/>
  <c r="AA687" i="20"/>
  <c r="AC688" i="20"/>
  <c r="AD688" i="20"/>
  <c r="AB689" i="20"/>
  <c r="AC689" i="20" s="1"/>
  <c r="G692" i="23" l="1"/>
  <c r="J692" i="23"/>
  <c r="F692" i="23"/>
  <c r="K692" i="23"/>
  <c r="C696" i="18" s="1"/>
  <c r="A693" i="23"/>
  <c r="H692" i="23"/>
  <c r="I692" i="23"/>
  <c r="E692" i="23"/>
  <c r="C692" i="14"/>
  <c r="C693" i="14"/>
  <c r="O693" i="14"/>
  <c r="L693" i="14"/>
  <c r="M693" i="14" s="1"/>
  <c r="N693" i="14" s="1"/>
  <c r="L694" i="14"/>
  <c r="M694" i="14" s="1"/>
  <c r="N694" i="14" s="1"/>
  <c r="D696" i="16"/>
  <c r="C697" i="16"/>
  <c r="A696" i="16"/>
  <c r="B696" i="16"/>
  <c r="G692" i="14"/>
  <c r="H692" i="14" s="1"/>
  <c r="D692" i="14"/>
  <c r="E692" i="14" s="1"/>
  <c r="I694" i="14"/>
  <c r="J694" i="14" s="1"/>
  <c r="K694" i="14" s="1"/>
  <c r="R692" i="14"/>
  <c r="S692" i="14" s="1"/>
  <c r="T692" i="14" s="1"/>
  <c r="O692" i="14"/>
  <c r="B696" i="18"/>
  <c r="A697" i="18"/>
  <c r="AA688" i="20"/>
  <c r="AA689" i="20"/>
  <c r="AB690" i="20"/>
  <c r="AD689" i="20"/>
  <c r="AE689" i="20" s="1"/>
  <c r="AE688" i="20"/>
  <c r="E693" i="23" l="1"/>
  <c r="I693" i="23"/>
  <c r="G693" i="23"/>
  <c r="A694" i="23"/>
  <c r="K693" i="23"/>
  <c r="F693" i="23"/>
  <c r="J693" i="23"/>
  <c r="H693" i="23"/>
  <c r="C697" i="18"/>
  <c r="F693" i="14"/>
  <c r="G693" i="14" s="1"/>
  <c r="H693" i="14" s="1"/>
  <c r="R693" i="14"/>
  <c r="S693" i="14" s="1"/>
  <c r="T693" i="14" s="1"/>
  <c r="E696" i="16"/>
  <c r="F694" i="14"/>
  <c r="G694" i="14" s="1"/>
  <c r="H694" i="14" s="1"/>
  <c r="R694" i="14"/>
  <c r="S694" i="14" s="1"/>
  <c r="T694" i="14" s="1"/>
  <c r="L695" i="14"/>
  <c r="M695" i="14" s="1"/>
  <c r="N695" i="14" s="1"/>
  <c r="I695" i="14"/>
  <c r="J695" i="14" s="1"/>
  <c r="K695" i="14" s="1"/>
  <c r="C698" i="16"/>
  <c r="A697" i="16"/>
  <c r="B697" i="16"/>
  <c r="D697" i="16"/>
  <c r="P692" i="14"/>
  <c r="Q692" i="14" s="1"/>
  <c r="D693" i="14"/>
  <c r="E693" i="14" s="1"/>
  <c r="P693" i="14"/>
  <c r="Q693" i="14" s="1"/>
  <c r="A698" i="18"/>
  <c r="B697" i="18"/>
  <c r="AB691" i="20"/>
  <c r="AC691" i="20" s="1"/>
  <c r="AD690" i="20"/>
  <c r="AC690" i="20"/>
  <c r="H694" i="23" l="1"/>
  <c r="G694" i="23"/>
  <c r="J694" i="23"/>
  <c r="F694" i="23"/>
  <c r="K694" i="23"/>
  <c r="C698" i="18" s="1"/>
  <c r="I694" i="23"/>
  <c r="A695" i="23"/>
  <c r="E694" i="23"/>
  <c r="O694" i="14"/>
  <c r="P694" i="14" s="1"/>
  <c r="Q694" i="14" s="1"/>
  <c r="O695" i="14"/>
  <c r="E697" i="16"/>
  <c r="C694" i="14"/>
  <c r="D694" i="14" s="1"/>
  <c r="E694" i="14" s="1"/>
  <c r="F695" i="14"/>
  <c r="G695" i="14" s="1"/>
  <c r="H695" i="14" s="1"/>
  <c r="A698" i="16"/>
  <c r="C699" i="16"/>
  <c r="B698" i="16"/>
  <c r="D698" i="16"/>
  <c r="L696" i="14"/>
  <c r="I696" i="14"/>
  <c r="J696" i="14" s="1"/>
  <c r="K696" i="14" s="1"/>
  <c r="B698" i="18"/>
  <c r="A699" i="18"/>
  <c r="AA690" i="20"/>
  <c r="AD691" i="20"/>
  <c r="AE691" i="20" s="1"/>
  <c r="AE690" i="20"/>
  <c r="AB692" i="20"/>
  <c r="AC692" i="20" s="1"/>
  <c r="F695" i="23" l="1"/>
  <c r="E695" i="23"/>
  <c r="G695" i="23"/>
  <c r="I695" i="23"/>
  <c r="H695" i="23"/>
  <c r="A696" i="23"/>
  <c r="J695" i="23"/>
  <c r="K695" i="23"/>
  <c r="C699" i="18" s="1"/>
  <c r="R695" i="14"/>
  <c r="S695" i="14" s="1"/>
  <c r="T695" i="14" s="1"/>
  <c r="C695" i="14"/>
  <c r="D695" i="14" s="1"/>
  <c r="E695" i="14" s="1"/>
  <c r="R696" i="14"/>
  <c r="M696" i="14"/>
  <c r="N696" i="14" s="1"/>
  <c r="I697" i="14"/>
  <c r="J697" i="14" s="1"/>
  <c r="K697" i="14" s="1"/>
  <c r="D699" i="16"/>
  <c r="C700" i="16"/>
  <c r="B699" i="16"/>
  <c r="A699" i="16"/>
  <c r="E699" i="16" s="1"/>
  <c r="P695" i="14"/>
  <c r="Q695" i="14" s="1"/>
  <c r="L697" i="14"/>
  <c r="M697" i="14" s="1"/>
  <c r="N697" i="14" s="1"/>
  <c r="E698" i="16"/>
  <c r="B699" i="18"/>
  <c r="A700" i="18"/>
  <c r="AA691" i="20"/>
  <c r="AD692" i="20"/>
  <c r="AE692" i="20" s="1"/>
  <c r="AB693" i="20"/>
  <c r="AC693" i="20" s="1"/>
  <c r="E696" i="23" l="1"/>
  <c r="G696" i="23"/>
  <c r="H696" i="23"/>
  <c r="K696" i="23"/>
  <c r="C700" i="18" s="1"/>
  <c r="I696" i="23"/>
  <c r="J696" i="23"/>
  <c r="A697" i="23"/>
  <c r="F696" i="23"/>
  <c r="O696" i="14"/>
  <c r="P696" i="14" s="1"/>
  <c r="Q696" i="14" s="1"/>
  <c r="F697" i="14"/>
  <c r="G697" i="14" s="1"/>
  <c r="H697" i="14" s="1"/>
  <c r="C696" i="14"/>
  <c r="F696" i="14"/>
  <c r="L698" i="14"/>
  <c r="A700" i="16"/>
  <c r="C701" i="16"/>
  <c r="B700" i="16"/>
  <c r="D700" i="16"/>
  <c r="I698" i="14"/>
  <c r="J698" i="14" s="1"/>
  <c r="K698" i="14" s="1"/>
  <c r="S696" i="14"/>
  <c r="T696" i="14" s="1"/>
  <c r="B700" i="18"/>
  <c r="A701" i="18"/>
  <c r="AA692" i="20"/>
  <c r="AB694" i="20"/>
  <c r="AC694" i="20" s="1"/>
  <c r="AD693" i="20"/>
  <c r="AE693" i="20" s="1"/>
  <c r="H697" i="23" l="1"/>
  <c r="I697" i="23"/>
  <c r="J697" i="23"/>
  <c r="G697" i="23"/>
  <c r="K697" i="23"/>
  <c r="A698" i="23"/>
  <c r="F697" i="23"/>
  <c r="E697" i="23"/>
  <c r="C701" i="18"/>
  <c r="C697" i="14"/>
  <c r="E700" i="16"/>
  <c r="G696" i="14"/>
  <c r="H696" i="14" s="1"/>
  <c r="D696" i="14"/>
  <c r="E696" i="14" s="1"/>
  <c r="L699" i="14"/>
  <c r="M699" i="14" s="1"/>
  <c r="N699" i="14" s="1"/>
  <c r="D701" i="16"/>
  <c r="C702" i="16"/>
  <c r="A701" i="16"/>
  <c r="B701" i="16"/>
  <c r="R697" i="14"/>
  <c r="O697" i="14"/>
  <c r="I699" i="14"/>
  <c r="J699" i="14" s="1"/>
  <c r="K699" i="14" s="1"/>
  <c r="D697" i="14"/>
  <c r="E697" i="14" s="1"/>
  <c r="M698" i="14"/>
  <c r="N698" i="14" s="1"/>
  <c r="B701" i="18"/>
  <c r="A702" i="18"/>
  <c r="AA693" i="20"/>
  <c r="AD694" i="20"/>
  <c r="AE694" i="20" s="1"/>
  <c r="AB695" i="20"/>
  <c r="AC695" i="20" s="1"/>
  <c r="G698" i="23" l="1"/>
  <c r="H698" i="23"/>
  <c r="A699" i="23"/>
  <c r="J698" i="23"/>
  <c r="F698" i="23"/>
  <c r="I698" i="23"/>
  <c r="E698" i="23"/>
  <c r="K698" i="23"/>
  <c r="C702" i="18" s="1"/>
  <c r="R699" i="14"/>
  <c r="C698" i="14"/>
  <c r="F698" i="14"/>
  <c r="R698" i="14"/>
  <c r="S698" i="14" s="1"/>
  <c r="T698" i="14" s="1"/>
  <c r="O698" i="14"/>
  <c r="E701" i="16"/>
  <c r="C703" i="16"/>
  <c r="B702" i="16"/>
  <c r="D702" i="16"/>
  <c r="A702" i="16"/>
  <c r="L700" i="14"/>
  <c r="M700" i="14" s="1"/>
  <c r="N700" i="14" s="1"/>
  <c r="P697" i="14"/>
  <c r="Q697" i="14" s="1"/>
  <c r="I700" i="14"/>
  <c r="J700" i="14" s="1"/>
  <c r="K700" i="14" s="1"/>
  <c r="S697" i="14"/>
  <c r="T697" i="14" s="1"/>
  <c r="A703" i="18"/>
  <c r="B702" i="18"/>
  <c r="AA694" i="20"/>
  <c r="AB696" i="20"/>
  <c r="AC696" i="20" s="1"/>
  <c r="AD695" i="20"/>
  <c r="AE695" i="20" s="1"/>
  <c r="E699" i="23" l="1"/>
  <c r="G699" i="23"/>
  <c r="I699" i="23"/>
  <c r="K699" i="23"/>
  <c r="C703" i="18" s="1"/>
  <c r="A700" i="23"/>
  <c r="J699" i="23"/>
  <c r="F699" i="23"/>
  <c r="H699" i="23"/>
  <c r="E702" i="16"/>
  <c r="O699" i="14"/>
  <c r="P699" i="14" s="1"/>
  <c r="Q699" i="14" s="1"/>
  <c r="L701" i="14"/>
  <c r="M701" i="14" s="1"/>
  <c r="N701" i="14" s="1"/>
  <c r="P698" i="14"/>
  <c r="Q698" i="14" s="1"/>
  <c r="G698" i="14"/>
  <c r="H698" i="14" s="1"/>
  <c r="D698" i="14"/>
  <c r="E698" i="14" s="1"/>
  <c r="C699" i="14"/>
  <c r="F699" i="14"/>
  <c r="I701" i="14"/>
  <c r="J701" i="14" s="1"/>
  <c r="K701" i="14" s="1"/>
  <c r="B703" i="16"/>
  <c r="D703" i="16"/>
  <c r="A703" i="16"/>
  <c r="C704" i="16"/>
  <c r="S699" i="14"/>
  <c r="T699" i="14" s="1"/>
  <c r="B703" i="18"/>
  <c r="A704" i="18"/>
  <c r="AA695" i="20"/>
  <c r="AD696" i="20"/>
  <c r="AE696" i="20" s="1"/>
  <c r="AB697" i="20"/>
  <c r="AC697" i="20" s="1"/>
  <c r="A701" i="23" l="1"/>
  <c r="G700" i="23"/>
  <c r="K700" i="23"/>
  <c r="C704" i="18" s="1"/>
  <c r="H700" i="23"/>
  <c r="J700" i="23"/>
  <c r="F700" i="23"/>
  <c r="E700" i="23"/>
  <c r="I700" i="23"/>
  <c r="AB699" i="20"/>
  <c r="C701" i="14"/>
  <c r="L702" i="14"/>
  <c r="M702" i="14" s="1"/>
  <c r="N702" i="14" s="1"/>
  <c r="AD699" i="20"/>
  <c r="G699" i="14"/>
  <c r="H699" i="14" s="1"/>
  <c r="D699" i="14"/>
  <c r="E699" i="14" s="1"/>
  <c r="C700" i="14"/>
  <c r="F700" i="14"/>
  <c r="C705" i="16"/>
  <c r="D704" i="16"/>
  <c r="A704" i="16"/>
  <c r="B704" i="16"/>
  <c r="I702" i="14"/>
  <c r="J702" i="14" s="1"/>
  <c r="K702" i="14" s="1"/>
  <c r="R700" i="14"/>
  <c r="S700" i="14" s="1"/>
  <c r="T700" i="14" s="1"/>
  <c r="O700" i="14"/>
  <c r="E703" i="16"/>
  <c r="B704" i="18"/>
  <c r="A705" i="18"/>
  <c r="AA696" i="20"/>
  <c r="AB698" i="20"/>
  <c r="AC698" i="20" s="1"/>
  <c r="AD697" i="20"/>
  <c r="AE697" i="20" s="1"/>
  <c r="I701" i="23" l="1"/>
  <c r="G701" i="23"/>
  <c r="A702" i="23"/>
  <c r="J701" i="23"/>
  <c r="E701" i="23"/>
  <c r="K701" i="23"/>
  <c r="C705" i="18" s="1"/>
  <c r="H701" i="23"/>
  <c r="F701" i="23"/>
  <c r="F701" i="14"/>
  <c r="G701" i="14" s="1"/>
  <c r="H701" i="14" s="1"/>
  <c r="R702" i="14"/>
  <c r="S702" i="14" s="1"/>
  <c r="T702" i="14" s="1"/>
  <c r="AD700" i="20"/>
  <c r="E704" i="16"/>
  <c r="AB700" i="20"/>
  <c r="AB701" i="20"/>
  <c r="D701" i="14"/>
  <c r="E701" i="14" s="1"/>
  <c r="A705" i="16"/>
  <c r="C706" i="16"/>
  <c r="B705" i="16"/>
  <c r="D705" i="16"/>
  <c r="I703" i="14"/>
  <c r="J703" i="14" s="1"/>
  <c r="K703" i="14" s="1"/>
  <c r="P700" i="14"/>
  <c r="Q700" i="14" s="1"/>
  <c r="G700" i="14"/>
  <c r="H700" i="14" s="1"/>
  <c r="R701" i="14"/>
  <c r="O701" i="14"/>
  <c r="D700" i="14"/>
  <c r="E700" i="14" s="1"/>
  <c r="A706" i="18"/>
  <c r="B705" i="18"/>
  <c r="AE699" i="20"/>
  <c r="AC699" i="20"/>
  <c r="AA697" i="20"/>
  <c r="AD698" i="20"/>
  <c r="AE698" i="20" s="1"/>
  <c r="F702" i="23" l="1"/>
  <c r="A703" i="23"/>
  <c r="E702" i="23"/>
  <c r="G702" i="23"/>
  <c r="J702" i="23"/>
  <c r="K702" i="23"/>
  <c r="C706" i="18" s="1"/>
  <c r="H702" i="23"/>
  <c r="I702" i="23"/>
  <c r="O702" i="14"/>
  <c r="E705" i="16"/>
  <c r="F703" i="14"/>
  <c r="G703" i="14" s="1"/>
  <c r="H703" i="14" s="1"/>
  <c r="L703" i="14"/>
  <c r="M703" i="14" s="1"/>
  <c r="N703" i="14" s="1"/>
  <c r="B706" i="16"/>
  <c r="C707" i="16"/>
  <c r="D706" i="16"/>
  <c r="A706" i="16"/>
  <c r="S701" i="14"/>
  <c r="T701" i="14" s="1"/>
  <c r="AD701" i="20"/>
  <c r="P702" i="14"/>
  <c r="Q702" i="14" s="1"/>
  <c r="I704" i="14"/>
  <c r="J704" i="14" s="1"/>
  <c r="K704" i="14" s="1"/>
  <c r="C702" i="14"/>
  <c r="F702" i="14"/>
  <c r="P701" i="14"/>
  <c r="Q701" i="14" s="1"/>
  <c r="L704" i="14"/>
  <c r="M704" i="14" s="1"/>
  <c r="N704" i="14" s="1"/>
  <c r="B706" i="18"/>
  <c r="A707" i="18"/>
  <c r="AA699" i="20"/>
  <c r="AE700" i="20"/>
  <c r="AC700" i="20"/>
  <c r="AA698" i="20"/>
  <c r="E703" i="23" l="1"/>
  <c r="H703" i="23"/>
  <c r="J703" i="23"/>
  <c r="A704" i="23"/>
  <c r="I703" i="23"/>
  <c r="F703" i="23"/>
  <c r="G703" i="23"/>
  <c r="K703" i="23"/>
  <c r="C707" i="18" s="1"/>
  <c r="E706" i="16"/>
  <c r="C703" i="14"/>
  <c r="D703" i="14" s="1"/>
  <c r="E703" i="14" s="1"/>
  <c r="AD702" i="20"/>
  <c r="G702" i="14"/>
  <c r="H702" i="14" s="1"/>
  <c r="C708" i="16"/>
  <c r="D707" i="16"/>
  <c r="A707" i="16"/>
  <c r="B707" i="16"/>
  <c r="D702" i="14"/>
  <c r="E702" i="14" s="1"/>
  <c r="I705" i="14"/>
  <c r="J705" i="14" s="1"/>
  <c r="K705" i="14" s="1"/>
  <c r="R703" i="14"/>
  <c r="O703" i="14"/>
  <c r="B707" i="18"/>
  <c r="A708" i="18"/>
  <c r="AA700" i="20"/>
  <c r="AB702" i="20"/>
  <c r="AE701" i="20"/>
  <c r="AC701" i="20"/>
  <c r="E704" i="23" l="1"/>
  <c r="H704" i="23"/>
  <c r="G704" i="23"/>
  <c r="J704" i="23"/>
  <c r="K704" i="23"/>
  <c r="A705" i="23"/>
  <c r="I704" i="23"/>
  <c r="F704" i="23"/>
  <c r="C708" i="18"/>
  <c r="E707" i="16"/>
  <c r="AB703" i="20"/>
  <c r="F705" i="14"/>
  <c r="G705" i="14" s="1"/>
  <c r="H705" i="14" s="1"/>
  <c r="I706" i="14"/>
  <c r="J706" i="14" s="1"/>
  <c r="K706" i="14" s="1"/>
  <c r="R704" i="14"/>
  <c r="S704" i="14" s="1"/>
  <c r="T704" i="14" s="1"/>
  <c r="O704" i="14"/>
  <c r="P703" i="14"/>
  <c r="Q703" i="14" s="1"/>
  <c r="S703" i="14"/>
  <c r="T703" i="14" s="1"/>
  <c r="C709" i="16"/>
  <c r="B708" i="16"/>
  <c r="A708" i="16"/>
  <c r="E708" i="16" s="1"/>
  <c r="D708" i="16"/>
  <c r="L705" i="14"/>
  <c r="M705" i="14" s="1"/>
  <c r="N705" i="14" s="1"/>
  <c r="L706" i="14"/>
  <c r="M706" i="14" s="1"/>
  <c r="N706" i="14" s="1"/>
  <c r="C704" i="14"/>
  <c r="F704" i="14"/>
  <c r="AD703" i="20"/>
  <c r="B708" i="18"/>
  <c r="A709" i="18"/>
  <c r="AA701" i="20"/>
  <c r="AA702" i="20"/>
  <c r="AC702" i="20"/>
  <c r="AE702" i="20"/>
  <c r="F705" i="23" l="1"/>
  <c r="A706" i="23"/>
  <c r="I705" i="23"/>
  <c r="G705" i="23"/>
  <c r="J705" i="23"/>
  <c r="H705" i="23"/>
  <c r="K705" i="23"/>
  <c r="C709" i="18" s="1"/>
  <c r="E705" i="23"/>
  <c r="C705" i="14"/>
  <c r="D705" i="14" s="1"/>
  <c r="E705" i="14" s="1"/>
  <c r="P704" i="14"/>
  <c r="Q704" i="14" s="1"/>
  <c r="AD704" i="20"/>
  <c r="I707" i="14"/>
  <c r="J707" i="14" s="1"/>
  <c r="K707" i="14" s="1"/>
  <c r="D709" i="16"/>
  <c r="C710" i="16"/>
  <c r="B709" i="16"/>
  <c r="A709" i="16"/>
  <c r="E709" i="16" s="1"/>
  <c r="G704" i="14"/>
  <c r="H704" i="14" s="1"/>
  <c r="D704" i="14"/>
  <c r="E704" i="14" s="1"/>
  <c r="R705" i="14"/>
  <c r="O705" i="14"/>
  <c r="AB704" i="20"/>
  <c r="B709" i="18"/>
  <c r="A710" i="18"/>
  <c r="AA703" i="20"/>
  <c r="AE703" i="20"/>
  <c r="AC703" i="20"/>
  <c r="K706" i="23" l="1"/>
  <c r="E706" i="23"/>
  <c r="A707" i="23"/>
  <c r="F706" i="23"/>
  <c r="I706" i="23"/>
  <c r="J706" i="23"/>
  <c r="H706" i="23"/>
  <c r="G706" i="23"/>
  <c r="C710" i="18"/>
  <c r="AB705" i="20"/>
  <c r="C706" i="14"/>
  <c r="F706" i="14"/>
  <c r="I708" i="14"/>
  <c r="J708" i="14" s="1"/>
  <c r="K708" i="14" s="1"/>
  <c r="AD705" i="20"/>
  <c r="P705" i="14"/>
  <c r="Q705" i="14" s="1"/>
  <c r="C711" i="16"/>
  <c r="B710" i="16"/>
  <c r="A710" i="16"/>
  <c r="D710" i="16"/>
  <c r="L708" i="14"/>
  <c r="M708" i="14" s="1"/>
  <c r="N708" i="14" s="1"/>
  <c r="S705" i="14"/>
  <c r="T705" i="14" s="1"/>
  <c r="R706" i="14"/>
  <c r="S706" i="14" s="1"/>
  <c r="T706" i="14" s="1"/>
  <c r="O706" i="14"/>
  <c r="P706" i="14" s="1"/>
  <c r="Q706" i="14" s="1"/>
  <c r="L707" i="14"/>
  <c r="M707" i="14" s="1"/>
  <c r="N707" i="14" s="1"/>
  <c r="A711" i="18"/>
  <c r="B710" i="18"/>
  <c r="AE704" i="20"/>
  <c r="AC704" i="20"/>
  <c r="H707" i="23" l="1"/>
  <c r="E707" i="23"/>
  <c r="I707" i="23"/>
  <c r="F707" i="23"/>
  <c r="J707" i="23"/>
  <c r="A708" i="23"/>
  <c r="K707" i="23"/>
  <c r="C711" i="18" s="1"/>
  <c r="G707" i="23"/>
  <c r="AB706" i="20"/>
  <c r="R708" i="14"/>
  <c r="I709" i="14"/>
  <c r="J709" i="14" s="1"/>
  <c r="K709" i="14" s="1"/>
  <c r="E710" i="16"/>
  <c r="AD706" i="20"/>
  <c r="B711" i="16"/>
  <c r="A711" i="16"/>
  <c r="D711" i="16"/>
  <c r="C712" i="16"/>
  <c r="C707" i="14"/>
  <c r="D707" i="14" s="1"/>
  <c r="E707" i="14" s="1"/>
  <c r="F707" i="14"/>
  <c r="AB707" i="20"/>
  <c r="R707" i="14"/>
  <c r="O707" i="14"/>
  <c r="P707" i="14" s="1"/>
  <c r="Q707" i="14" s="1"/>
  <c r="L709" i="14"/>
  <c r="M709" i="14" s="1"/>
  <c r="N709" i="14" s="1"/>
  <c r="G706" i="14"/>
  <c r="H706" i="14" s="1"/>
  <c r="D706" i="14"/>
  <c r="E706" i="14" s="1"/>
  <c r="B711" i="18"/>
  <c r="A712" i="18"/>
  <c r="AA704" i="20"/>
  <c r="AE705" i="20"/>
  <c r="AC705" i="20"/>
  <c r="H708" i="23" l="1"/>
  <c r="A709" i="23"/>
  <c r="F708" i="23"/>
  <c r="J708" i="23"/>
  <c r="K708" i="23"/>
  <c r="E708" i="23"/>
  <c r="I708" i="23"/>
  <c r="G708" i="23"/>
  <c r="C712" i="18"/>
  <c r="O708" i="14"/>
  <c r="P708" i="14" s="1"/>
  <c r="Q708" i="14" s="1"/>
  <c r="F709" i="14"/>
  <c r="AB708" i="20"/>
  <c r="S708" i="14"/>
  <c r="T708" i="14" s="1"/>
  <c r="AD707" i="20"/>
  <c r="I710" i="14"/>
  <c r="J710" i="14" s="1"/>
  <c r="K710" i="14" s="1"/>
  <c r="G707" i="14"/>
  <c r="H707" i="14" s="1"/>
  <c r="C708" i="14"/>
  <c r="F708" i="14"/>
  <c r="D712" i="16"/>
  <c r="B712" i="16"/>
  <c r="C713" i="16"/>
  <c r="A712" i="16"/>
  <c r="S707" i="14"/>
  <c r="T707" i="14" s="1"/>
  <c r="E711" i="16"/>
  <c r="B712" i="18"/>
  <c r="A713" i="18"/>
  <c r="AA705" i="20"/>
  <c r="AE706" i="20"/>
  <c r="AC706" i="20"/>
  <c r="H709" i="23" l="1"/>
  <c r="A710" i="23"/>
  <c r="E709" i="23"/>
  <c r="K709" i="23"/>
  <c r="C713" i="18" s="1"/>
  <c r="F709" i="23"/>
  <c r="J709" i="23"/>
  <c r="I709" i="23"/>
  <c r="G709" i="23"/>
  <c r="C709" i="14"/>
  <c r="D709" i="14" s="1"/>
  <c r="E709" i="14" s="1"/>
  <c r="C710" i="14"/>
  <c r="D708" i="14"/>
  <c r="E708" i="14" s="1"/>
  <c r="O710" i="14"/>
  <c r="P710" i="14" s="1"/>
  <c r="Q710" i="14" s="1"/>
  <c r="L710" i="14"/>
  <c r="R709" i="14"/>
  <c r="O709" i="14"/>
  <c r="AD708" i="20"/>
  <c r="C714" i="16"/>
  <c r="B713" i="16"/>
  <c r="A713" i="16"/>
  <c r="D713" i="16"/>
  <c r="G709" i="14"/>
  <c r="H709" i="14" s="1"/>
  <c r="L711" i="14"/>
  <c r="M711" i="14" s="1"/>
  <c r="N711" i="14" s="1"/>
  <c r="E712" i="16"/>
  <c r="G708" i="14"/>
  <c r="H708" i="14" s="1"/>
  <c r="I711" i="14"/>
  <c r="J711" i="14" s="1"/>
  <c r="K711" i="14" s="1"/>
  <c r="B713" i="18"/>
  <c r="A714" i="18"/>
  <c r="AA706" i="20"/>
  <c r="AE707" i="20"/>
  <c r="AC707" i="20"/>
  <c r="F710" i="23" l="1"/>
  <c r="A711" i="23"/>
  <c r="K710" i="23"/>
  <c r="C714" i="18" s="1"/>
  <c r="E710" i="23"/>
  <c r="H710" i="23"/>
  <c r="J710" i="23"/>
  <c r="G710" i="23"/>
  <c r="I710" i="23"/>
  <c r="F710" i="14"/>
  <c r="G710" i="14" s="1"/>
  <c r="H710" i="14" s="1"/>
  <c r="E713" i="16"/>
  <c r="R710" i="14"/>
  <c r="S710" i="14" s="1"/>
  <c r="T710" i="14" s="1"/>
  <c r="F711" i="14"/>
  <c r="G711" i="14" s="1"/>
  <c r="H711" i="14" s="1"/>
  <c r="AB710" i="20"/>
  <c r="D710" i="14"/>
  <c r="E710" i="14" s="1"/>
  <c r="P709" i="14"/>
  <c r="Q709" i="14" s="1"/>
  <c r="AD709" i="20"/>
  <c r="S709" i="14"/>
  <c r="T709" i="14" s="1"/>
  <c r="AB709" i="20"/>
  <c r="M710" i="14"/>
  <c r="N710" i="14" s="1"/>
  <c r="I712" i="14"/>
  <c r="J712" i="14" s="1"/>
  <c r="K712" i="14" s="1"/>
  <c r="B714" i="16"/>
  <c r="C715" i="16"/>
  <c r="D714" i="16"/>
  <c r="A714" i="16"/>
  <c r="L712" i="14"/>
  <c r="B714" i="18"/>
  <c r="A715" i="18"/>
  <c r="AA708" i="20"/>
  <c r="AA707" i="20"/>
  <c r="AE708" i="20"/>
  <c r="AC708" i="20"/>
  <c r="E711" i="23" l="1"/>
  <c r="G711" i="23"/>
  <c r="H711" i="23"/>
  <c r="K711" i="23"/>
  <c r="C715" i="18" s="1"/>
  <c r="J711" i="23"/>
  <c r="A712" i="23"/>
  <c r="I711" i="23"/>
  <c r="F711" i="23"/>
  <c r="C711" i="14"/>
  <c r="D711" i="14" s="1"/>
  <c r="E711" i="14" s="1"/>
  <c r="M712" i="14"/>
  <c r="N712" i="14" s="1"/>
  <c r="E714" i="16"/>
  <c r="I713" i="14"/>
  <c r="J713" i="14" s="1"/>
  <c r="K713" i="14" s="1"/>
  <c r="B715" i="16"/>
  <c r="A715" i="16"/>
  <c r="C716" i="16"/>
  <c r="D715" i="16"/>
  <c r="O711" i="14"/>
  <c r="R711" i="14"/>
  <c r="S711" i="14" s="1"/>
  <c r="T711" i="14" s="1"/>
  <c r="A716" i="18"/>
  <c r="B715" i="18"/>
  <c r="AE709" i="20"/>
  <c r="AC709" i="20"/>
  <c r="H712" i="23" l="1"/>
  <c r="E712" i="23"/>
  <c r="G712" i="23"/>
  <c r="I712" i="23"/>
  <c r="J712" i="23"/>
  <c r="F712" i="23"/>
  <c r="K712" i="23"/>
  <c r="C716" i="18" s="1"/>
  <c r="A713" i="23"/>
  <c r="E715" i="16"/>
  <c r="C712" i="14"/>
  <c r="F712" i="14"/>
  <c r="I714" i="14"/>
  <c r="J714" i="14" s="1"/>
  <c r="K714" i="14" s="1"/>
  <c r="AD711" i="20"/>
  <c r="P711" i="14"/>
  <c r="Q711" i="14" s="1"/>
  <c r="L714" i="14"/>
  <c r="AD710" i="20"/>
  <c r="AE710" i="20" s="1"/>
  <c r="AB712" i="20"/>
  <c r="B716" i="16"/>
  <c r="D716" i="16"/>
  <c r="C717" i="16"/>
  <c r="A716" i="16"/>
  <c r="L713" i="14"/>
  <c r="M713" i="14" s="1"/>
  <c r="N713" i="14" s="1"/>
  <c r="R712" i="14"/>
  <c r="O712" i="14"/>
  <c r="B716" i="18"/>
  <c r="A717" i="18"/>
  <c r="AA709" i="20"/>
  <c r="AB711" i="20"/>
  <c r="AC710" i="20"/>
  <c r="F713" i="23" l="1"/>
  <c r="A714" i="23"/>
  <c r="K713" i="23"/>
  <c r="C717" i="18" s="1"/>
  <c r="I713" i="23"/>
  <c r="E713" i="23"/>
  <c r="J713" i="23"/>
  <c r="H713" i="23"/>
  <c r="G713" i="23"/>
  <c r="E716" i="16"/>
  <c r="M714" i="14"/>
  <c r="N714" i="14" s="1"/>
  <c r="B717" i="16"/>
  <c r="C718" i="16"/>
  <c r="D717" i="16"/>
  <c r="A717" i="16"/>
  <c r="G712" i="14"/>
  <c r="H712" i="14" s="1"/>
  <c r="O713" i="14"/>
  <c r="R713" i="14"/>
  <c r="D712" i="14"/>
  <c r="E712" i="14" s="1"/>
  <c r="I715" i="14"/>
  <c r="J715" i="14" s="1"/>
  <c r="K715" i="14" s="1"/>
  <c r="L715" i="14"/>
  <c r="M715" i="14" s="1"/>
  <c r="N715" i="14" s="1"/>
  <c r="P712" i="14"/>
  <c r="Q712" i="14" s="1"/>
  <c r="AD712" i="20"/>
  <c r="C713" i="14"/>
  <c r="D713" i="14" s="1"/>
  <c r="E713" i="14" s="1"/>
  <c r="F713" i="14"/>
  <c r="G713" i="14" s="1"/>
  <c r="H713" i="14" s="1"/>
  <c r="S712" i="14"/>
  <c r="T712" i="14" s="1"/>
  <c r="B717" i="18"/>
  <c r="A718" i="18"/>
  <c r="AA711" i="20"/>
  <c r="AA710" i="20"/>
  <c r="AE711" i="20"/>
  <c r="AC711" i="20"/>
  <c r="H714" i="23" l="1"/>
  <c r="A715" i="23"/>
  <c r="E714" i="23"/>
  <c r="I714" i="23"/>
  <c r="F714" i="23"/>
  <c r="J714" i="23"/>
  <c r="G714" i="23"/>
  <c r="K714" i="23"/>
  <c r="C718" i="18" s="1"/>
  <c r="D718" i="16"/>
  <c r="C719" i="16"/>
  <c r="A718" i="16"/>
  <c r="B718" i="16"/>
  <c r="S713" i="14"/>
  <c r="T713" i="14" s="1"/>
  <c r="R714" i="14"/>
  <c r="O714" i="14"/>
  <c r="P714" i="14" s="1"/>
  <c r="Q714" i="14" s="1"/>
  <c r="C714" i="14"/>
  <c r="F714" i="14"/>
  <c r="G714" i="14" s="1"/>
  <c r="H714" i="14" s="1"/>
  <c r="P713" i="14"/>
  <c r="Q713" i="14" s="1"/>
  <c r="L716" i="14"/>
  <c r="I716" i="14"/>
  <c r="J716" i="14" s="1"/>
  <c r="K716" i="14" s="1"/>
  <c r="E717" i="16"/>
  <c r="B718" i="18"/>
  <c r="A719" i="18"/>
  <c r="AB713" i="20"/>
  <c r="AE712" i="20"/>
  <c r="AC712" i="20"/>
  <c r="E715" i="23" l="1"/>
  <c r="I715" i="23"/>
  <c r="A716" i="23"/>
  <c r="F715" i="23"/>
  <c r="J715" i="23"/>
  <c r="H715" i="23"/>
  <c r="G715" i="23"/>
  <c r="K715" i="23"/>
  <c r="C719" i="18" s="1"/>
  <c r="D714" i="14"/>
  <c r="E714" i="14" s="1"/>
  <c r="S714" i="14"/>
  <c r="T714" i="14" s="1"/>
  <c r="O715" i="14"/>
  <c r="R715" i="14"/>
  <c r="S715" i="14" s="1"/>
  <c r="T715" i="14" s="1"/>
  <c r="C715" i="14"/>
  <c r="D715" i="14" s="1"/>
  <c r="E715" i="14" s="1"/>
  <c r="F715" i="14"/>
  <c r="G715" i="14" s="1"/>
  <c r="H715" i="14" s="1"/>
  <c r="AD714" i="20"/>
  <c r="E718" i="16"/>
  <c r="I717" i="14"/>
  <c r="J717" i="14" s="1"/>
  <c r="K717" i="14" s="1"/>
  <c r="B719" i="16"/>
  <c r="D719" i="16"/>
  <c r="A719" i="16"/>
  <c r="E719" i="16" s="1"/>
  <c r="C720" i="16"/>
  <c r="M716" i="14"/>
  <c r="N716" i="14" s="1"/>
  <c r="AD713" i="20"/>
  <c r="AE713" i="20" s="1"/>
  <c r="A720" i="18"/>
  <c r="B719" i="18"/>
  <c r="AA713" i="20"/>
  <c r="AA712" i="20"/>
  <c r="AC713" i="20"/>
  <c r="AB714" i="20"/>
  <c r="E716" i="23" l="1"/>
  <c r="I716" i="23"/>
  <c r="K716" i="23"/>
  <c r="C720" i="18" s="1"/>
  <c r="H716" i="23"/>
  <c r="J716" i="23"/>
  <c r="G716" i="23"/>
  <c r="F716" i="23"/>
  <c r="A717" i="23"/>
  <c r="I718" i="14"/>
  <c r="J718" i="14" s="1"/>
  <c r="K718" i="14" s="1"/>
  <c r="P715" i="14"/>
  <c r="Q715" i="14" s="1"/>
  <c r="F717" i="14"/>
  <c r="G717" i="14" s="1"/>
  <c r="H717" i="14" s="1"/>
  <c r="L718" i="14"/>
  <c r="L717" i="14"/>
  <c r="M717" i="14" s="1"/>
  <c r="N717" i="14" s="1"/>
  <c r="A720" i="16"/>
  <c r="B720" i="16"/>
  <c r="D720" i="16"/>
  <c r="C721" i="16"/>
  <c r="AB715" i="20"/>
  <c r="C716" i="14"/>
  <c r="F716" i="14"/>
  <c r="G716" i="14" s="1"/>
  <c r="H716" i="14" s="1"/>
  <c r="R716" i="14"/>
  <c r="O716" i="14"/>
  <c r="P716" i="14" s="1"/>
  <c r="Q716" i="14" s="1"/>
  <c r="A721" i="18"/>
  <c r="B720" i="18"/>
  <c r="AC714" i="20"/>
  <c r="AE714" i="20"/>
  <c r="A718" i="23" l="1"/>
  <c r="H717" i="23"/>
  <c r="E717" i="23"/>
  <c r="J717" i="23"/>
  <c r="F717" i="23"/>
  <c r="G717" i="23"/>
  <c r="I717" i="23"/>
  <c r="K717" i="23"/>
  <c r="C721" i="18" s="1"/>
  <c r="E720" i="16"/>
  <c r="S716" i="14"/>
  <c r="T716" i="14" s="1"/>
  <c r="AD716" i="20"/>
  <c r="AB717" i="20"/>
  <c r="L719" i="14"/>
  <c r="AD715" i="20"/>
  <c r="AE715" i="20" s="1"/>
  <c r="O717" i="14"/>
  <c r="R717" i="14"/>
  <c r="M718" i="14"/>
  <c r="N718" i="14" s="1"/>
  <c r="D716" i="14"/>
  <c r="E716" i="14" s="1"/>
  <c r="A721" i="16"/>
  <c r="D721" i="16"/>
  <c r="B721" i="16"/>
  <c r="C722" i="16"/>
  <c r="I719" i="14"/>
  <c r="J719" i="14" s="1"/>
  <c r="K719" i="14" s="1"/>
  <c r="C717" i="14"/>
  <c r="D717" i="14" s="1"/>
  <c r="E717" i="14" s="1"/>
  <c r="B721" i="18"/>
  <c r="A722" i="18"/>
  <c r="AA714" i="20"/>
  <c r="AC715" i="20"/>
  <c r="AB716" i="20"/>
  <c r="E718" i="23" l="1"/>
  <c r="I718" i="23"/>
  <c r="H718" i="23"/>
  <c r="A719" i="23"/>
  <c r="K718" i="23"/>
  <c r="F718" i="23"/>
  <c r="G718" i="23"/>
  <c r="J718" i="23"/>
  <c r="C722" i="18"/>
  <c r="P717" i="14"/>
  <c r="Q717" i="14" s="1"/>
  <c r="I720" i="14"/>
  <c r="J720" i="14" s="1"/>
  <c r="K720" i="14" s="1"/>
  <c r="L720" i="14"/>
  <c r="C718" i="14"/>
  <c r="F718" i="14"/>
  <c r="G718" i="14" s="1"/>
  <c r="H718" i="14" s="1"/>
  <c r="D722" i="16"/>
  <c r="A722" i="16"/>
  <c r="B722" i="16"/>
  <c r="C723" i="16"/>
  <c r="M719" i="14"/>
  <c r="N719" i="14" s="1"/>
  <c r="AD717" i="20"/>
  <c r="E721" i="16"/>
  <c r="R718" i="14"/>
  <c r="O718" i="14"/>
  <c r="P718" i="14" s="1"/>
  <c r="Q718" i="14" s="1"/>
  <c r="S717" i="14"/>
  <c r="T717" i="14" s="1"/>
  <c r="A723" i="18"/>
  <c r="B722" i="18"/>
  <c r="AA715" i="20"/>
  <c r="AA716" i="20"/>
  <c r="AC716" i="20"/>
  <c r="AE716" i="20"/>
  <c r="A720" i="23" l="1"/>
  <c r="H719" i="23"/>
  <c r="F719" i="23"/>
  <c r="E719" i="23"/>
  <c r="J719" i="23"/>
  <c r="I719" i="23"/>
  <c r="K719" i="23"/>
  <c r="C723" i="18" s="1"/>
  <c r="G719" i="23"/>
  <c r="E722" i="16"/>
  <c r="R719" i="14"/>
  <c r="O719" i="14"/>
  <c r="P719" i="14" s="1"/>
  <c r="Q719" i="14" s="1"/>
  <c r="L721" i="14"/>
  <c r="M721" i="14" s="1"/>
  <c r="N721" i="14" s="1"/>
  <c r="C719" i="14"/>
  <c r="F719" i="14"/>
  <c r="G719" i="14" s="1"/>
  <c r="H719" i="14" s="1"/>
  <c r="D718" i="14"/>
  <c r="E718" i="14" s="1"/>
  <c r="I721" i="14"/>
  <c r="J721" i="14" s="1"/>
  <c r="K721" i="14" s="1"/>
  <c r="M720" i="14"/>
  <c r="N720" i="14" s="1"/>
  <c r="A723" i="16"/>
  <c r="B723" i="16"/>
  <c r="D723" i="16"/>
  <c r="C724" i="16"/>
  <c r="F720" i="14"/>
  <c r="S718" i="14"/>
  <c r="T718" i="14" s="1"/>
  <c r="A724" i="18"/>
  <c r="B723" i="18"/>
  <c r="AE717" i="20"/>
  <c r="AC717" i="20"/>
  <c r="AB718" i="20"/>
  <c r="K720" i="23" l="1"/>
  <c r="E720" i="23"/>
  <c r="A721" i="23"/>
  <c r="H720" i="23"/>
  <c r="F720" i="23"/>
  <c r="I720" i="23"/>
  <c r="G720" i="23"/>
  <c r="J720" i="23"/>
  <c r="C724" i="18"/>
  <c r="R721" i="14"/>
  <c r="F721" i="14"/>
  <c r="G721" i="14" s="1"/>
  <c r="H721" i="14" s="1"/>
  <c r="S719" i="14"/>
  <c r="T719" i="14" s="1"/>
  <c r="L722" i="14"/>
  <c r="M722" i="14" s="1"/>
  <c r="N722" i="14" s="1"/>
  <c r="G720" i="14"/>
  <c r="H720" i="14" s="1"/>
  <c r="I722" i="14"/>
  <c r="J722" i="14" s="1"/>
  <c r="K722" i="14" s="1"/>
  <c r="C725" i="16"/>
  <c r="B724" i="16"/>
  <c r="A724" i="16"/>
  <c r="D724" i="16"/>
  <c r="D719" i="14"/>
  <c r="E719" i="14" s="1"/>
  <c r="R720" i="14"/>
  <c r="O720" i="14"/>
  <c r="P720" i="14" s="1"/>
  <c r="Q720" i="14" s="1"/>
  <c r="AD719" i="20"/>
  <c r="AD718" i="20"/>
  <c r="AE718" i="20" s="1"/>
  <c r="E723" i="16"/>
  <c r="AB719" i="20"/>
  <c r="C720" i="14"/>
  <c r="AB720" i="20"/>
  <c r="B724" i="18"/>
  <c r="A725" i="18"/>
  <c r="AA717" i="20"/>
  <c r="AC718" i="20"/>
  <c r="G721" i="23" l="1"/>
  <c r="F721" i="23"/>
  <c r="J721" i="23"/>
  <c r="H721" i="23"/>
  <c r="I721" i="23"/>
  <c r="A722" i="23"/>
  <c r="K721" i="23"/>
  <c r="C725" i="18" s="1"/>
  <c r="E721" i="23"/>
  <c r="E724" i="16"/>
  <c r="O721" i="14"/>
  <c r="P721" i="14" s="1"/>
  <c r="Q721" i="14" s="1"/>
  <c r="C722" i="14"/>
  <c r="C721" i="14"/>
  <c r="D721" i="14" s="1"/>
  <c r="E721" i="14" s="1"/>
  <c r="D725" i="16"/>
  <c r="B725" i="16"/>
  <c r="A725" i="16"/>
  <c r="C726" i="16"/>
  <c r="S720" i="14"/>
  <c r="T720" i="14" s="1"/>
  <c r="S721" i="14"/>
  <c r="T721" i="14" s="1"/>
  <c r="D720" i="14"/>
  <c r="E720" i="14" s="1"/>
  <c r="I723" i="14"/>
  <c r="J723" i="14" s="1"/>
  <c r="K723" i="14" s="1"/>
  <c r="B725" i="18"/>
  <c r="A726" i="18"/>
  <c r="AA718" i="20"/>
  <c r="AE719" i="20"/>
  <c r="AC719" i="20"/>
  <c r="G722" i="23" l="1"/>
  <c r="E722" i="23"/>
  <c r="H722" i="23"/>
  <c r="J722" i="23"/>
  <c r="F722" i="23"/>
  <c r="I722" i="23"/>
  <c r="K722" i="23"/>
  <c r="C726" i="18" s="1"/>
  <c r="E725" i="16"/>
  <c r="F722" i="14"/>
  <c r="G722" i="14" s="1"/>
  <c r="H722" i="14" s="1"/>
  <c r="L724" i="14"/>
  <c r="M724" i="14" s="1"/>
  <c r="N724" i="14" s="1"/>
  <c r="AD721" i="20"/>
  <c r="B726" i="16"/>
  <c r="D726" i="16"/>
  <c r="A726" i="16"/>
  <c r="AB722" i="20"/>
  <c r="D722" i="14"/>
  <c r="E722" i="14" s="1"/>
  <c r="I724" i="14"/>
  <c r="J724" i="14" s="1"/>
  <c r="K724" i="14" s="1"/>
  <c r="AB721" i="20"/>
  <c r="R722" i="14"/>
  <c r="O722" i="14"/>
  <c r="AD720" i="20"/>
  <c r="AE720" i="20" s="1"/>
  <c r="L723" i="14"/>
  <c r="M723" i="14" s="1"/>
  <c r="N723" i="14" s="1"/>
  <c r="B726" i="18"/>
  <c r="AA719" i="20"/>
  <c r="AC720" i="20"/>
  <c r="C727" i="18" l="1"/>
  <c r="O724" i="14"/>
  <c r="P724" i="14" s="1"/>
  <c r="Q724" i="14" s="1"/>
  <c r="C723" i="14"/>
  <c r="D723" i="14" s="1"/>
  <c r="E723" i="14" s="1"/>
  <c r="F723" i="14"/>
  <c r="AB723" i="20"/>
  <c r="P722" i="14"/>
  <c r="Q722" i="14" s="1"/>
  <c r="S722" i="14"/>
  <c r="T722" i="14" s="1"/>
  <c r="E726" i="16"/>
  <c r="AD722" i="20"/>
  <c r="O723" i="14"/>
  <c r="R723" i="14"/>
  <c r="I725" i="14"/>
  <c r="J725" i="14" s="1"/>
  <c r="K725" i="14" s="1"/>
  <c r="AA720" i="20"/>
  <c r="AE721" i="20"/>
  <c r="AC721" i="20"/>
  <c r="L727" i="14" l="1"/>
  <c r="C728" i="18"/>
  <c r="I727" i="14"/>
  <c r="J727" i="14" s="1"/>
  <c r="K727" i="14" s="1"/>
  <c r="R724" i="14"/>
  <c r="S724" i="14" s="1"/>
  <c r="T724" i="14" s="1"/>
  <c r="AE722" i="20"/>
  <c r="L725" i="14"/>
  <c r="M725" i="14" s="1"/>
  <c r="N725" i="14" s="1"/>
  <c r="P723" i="14"/>
  <c r="Q723" i="14" s="1"/>
  <c r="AB724" i="20"/>
  <c r="S723" i="14"/>
  <c r="T723" i="14" s="1"/>
  <c r="I726" i="14"/>
  <c r="J726" i="14" s="1"/>
  <c r="K726" i="14" s="1"/>
  <c r="C724" i="14"/>
  <c r="F724" i="14"/>
  <c r="G723" i="14"/>
  <c r="H723" i="14" s="1"/>
  <c r="L726" i="14"/>
  <c r="M726" i="14" s="1"/>
  <c r="N726" i="14" s="1"/>
  <c r="AA721" i="20"/>
  <c r="AC722" i="20"/>
  <c r="AC723" i="20"/>
  <c r="AA723" i="20"/>
  <c r="AD723" i="20"/>
  <c r="AE723" i="20" s="1"/>
  <c r="L728" i="14" l="1"/>
  <c r="M728" i="14" s="1"/>
  <c r="N728" i="14" s="1"/>
  <c r="C729" i="18"/>
  <c r="F727" i="14"/>
  <c r="G727" i="14" s="1"/>
  <c r="H727" i="14" s="1"/>
  <c r="O727" i="14"/>
  <c r="P727" i="14" s="1"/>
  <c r="Q727" i="14" s="1"/>
  <c r="M727" i="14"/>
  <c r="N727" i="14" s="1"/>
  <c r="I728" i="14"/>
  <c r="R726" i="14"/>
  <c r="C726" i="14"/>
  <c r="C725" i="14"/>
  <c r="D725" i="14" s="1"/>
  <c r="E725" i="14" s="1"/>
  <c r="F725" i="14"/>
  <c r="AB725" i="20"/>
  <c r="G724" i="14"/>
  <c r="H724" i="14" s="1"/>
  <c r="AD724" i="20"/>
  <c r="D724" i="14"/>
  <c r="E724" i="14" s="1"/>
  <c r="O725" i="14"/>
  <c r="R725" i="14"/>
  <c r="AA722" i="20"/>
  <c r="AA724" i="20"/>
  <c r="R727" i="14" l="1"/>
  <c r="S727" i="14" s="1"/>
  <c r="T727" i="14" s="1"/>
  <c r="C727" i="14"/>
  <c r="D727" i="14" s="1"/>
  <c r="E727" i="14" s="1"/>
  <c r="C730" i="18"/>
  <c r="L729" i="14"/>
  <c r="J728" i="14"/>
  <c r="K728" i="14" s="1"/>
  <c r="O728" i="14"/>
  <c r="P728" i="14" s="1"/>
  <c r="Q728" i="14" s="1"/>
  <c r="I729" i="14"/>
  <c r="J729" i="14" s="1"/>
  <c r="K729" i="14" s="1"/>
  <c r="O726" i="14"/>
  <c r="P726" i="14" s="1"/>
  <c r="Q726" i="14" s="1"/>
  <c r="F726" i="14"/>
  <c r="G726" i="14" s="1"/>
  <c r="H726" i="14" s="1"/>
  <c r="AE724" i="20"/>
  <c r="D726" i="14"/>
  <c r="E726" i="14" s="1"/>
  <c r="AB726" i="20"/>
  <c r="AC724" i="20"/>
  <c r="AD725" i="20"/>
  <c r="AE725" i="20" s="1"/>
  <c r="S725" i="14"/>
  <c r="T725" i="14" s="1"/>
  <c r="P725" i="14"/>
  <c r="Q725" i="14" s="1"/>
  <c r="S726" i="14"/>
  <c r="T726" i="14" s="1"/>
  <c r="G725" i="14"/>
  <c r="H725" i="14" s="1"/>
  <c r="AC725" i="20"/>
  <c r="AA725" i="20"/>
  <c r="C731" i="18" l="1"/>
  <c r="L730" i="14"/>
  <c r="R728" i="14"/>
  <c r="S728" i="14" s="1"/>
  <c r="T728" i="14" s="1"/>
  <c r="M729" i="14"/>
  <c r="N729" i="14" s="1"/>
  <c r="F728" i="14"/>
  <c r="G728" i="14" s="1"/>
  <c r="H728" i="14" s="1"/>
  <c r="C728" i="14"/>
  <c r="D728" i="14" s="1"/>
  <c r="E728" i="14" s="1"/>
  <c r="O729" i="14"/>
  <c r="P729" i="14" s="1"/>
  <c r="Q729" i="14" s="1"/>
  <c r="I730" i="14"/>
  <c r="J730" i="14" s="1"/>
  <c r="K730" i="14" s="1"/>
  <c r="AC726" i="20"/>
  <c r="AA726" i="20"/>
  <c r="L731" i="14" l="1"/>
  <c r="C732" i="18"/>
  <c r="R729" i="14"/>
  <c r="S729" i="14" s="1"/>
  <c r="T729" i="14" s="1"/>
  <c r="F729" i="14"/>
  <c r="G729" i="14" s="1"/>
  <c r="H729" i="14" s="1"/>
  <c r="C729" i="14"/>
  <c r="D729" i="14" s="1"/>
  <c r="E729" i="14" s="1"/>
  <c r="M730" i="14"/>
  <c r="N730" i="14" s="1"/>
  <c r="O730" i="14"/>
  <c r="P730" i="14" s="1"/>
  <c r="Q730" i="14" s="1"/>
  <c r="I731" i="14"/>
  <c r="J731" i="14" s="1"/>
  <c r="K731" i="14" s="1"/>
  <c r="F730" i="14"/>
  <c r="G730" i="14" s="1"/>
  <c r="H730" i="14" s="1"/>
  <c r="AD726" i="20"/>
  <c r="AE726" i="20" s="1"/>
  <c r="AB727" i="20"/>
  <c r="AC727" i="20" s="1"/>
  <c r="AA727" i="20"/>
  <c r="AD727" i="20"/>
  <c r="AE727" i="20" s="1"/>
  <c r="I732" i="14" l="1"/>
  <c r="J732" i="14" s="1"/>
  <c r="K732" i="14" s="1"/>
  <c r="C733" i="18"/>
  <c r="F731" i="14"/>
  <c r="G731" i="14" s="1"/>
  <c r="H731" i="14" s="1"/>
  <c r="M731" i="14"/>
  <c r="N731" i="14" s="1"/>
  <c r="R730" i="14"/>
  <c r="S730" i="14" s="1"/>
  <c r="T730" i="14" s="1"/>
  <c r="C730" i="14"/>
  <c r="D730" i="14" s="1"/>
  <c r="E730" i="14" s="1"/>
  <c r="L732" i="14"/>
  <c r="M732" i="14" s="1"/>
  <c r="N732" i="14" s="1"/>
  <c r="AB728" i="20"/>
  <c r="AC728" i="20" s="1"/>
  <c r="AB729" i="20"/>
  <c r="AA728" i="20"/>
  <c r="AD728" i="20"/>
  <c r="AE728" i="20" s="1"/>
  <c r="L733" i="14" l="1"/>
  <c r="C734" i="18"/>
  <c r="C731" i="14"/>
  <c r="D731" i="14" s="1"/>
  <c r="E731" i="14" s="1"/>
  <c r="O732" i="14"/>
  <c r="P732" i="14" s="1"/>
  <c r="Q732" i="14" s="1"/>
  <c r="I733" i="14"/>
  <c r="J733" i="14" s="1"/>
  <c r="K733" i="14" s="1"/>
  <c r="O731" i="14"/>
  <c r="P731" i="14" s="1"/>
  <c r="Q731" i="14" s="1"/>
  <c r="R731" i="14"/>
  <c r="S731" i="14" s="1"/>
  <c r="T731" i="14" s="1"/>
  <c r="AB730" i="20"/>
  <c r="AA729" i="20"/>
  <c r="AC729" i="20"/>
  <c r="AD729" i="20"/>
  <c r="AE729" i="20" s="1"/>
  <c r="C735" i="18" l="1"/>
  <c r="F733" i="14"/>
  <c r="G733" i="14" s="1"/>
  <c r="H733" i="14" s="1"/>
  <c r="R732" i="14"/>
  <c r="F732" i="14"/>
  <c r="G732" i="14" s="1"/>
  <c r="H732" i="14" s="1"/>
  <c r="C732" i="14"/>
  <c r="D732" i="14" s="1"/>
  <c r="E732" i="14" s="1"/>
  <c r="L734" i="14"/>
  <c r="M733" i="14"/>
  <c r="N733" i="14" s="1"/>
  <c r="I734" i="14"/>
  <c r="J734" i="14" s="1"/>
  <c r="K734" i="14" s="1"/>
  <c r="AD730" i="20"/>
  <c r="AE730" i="20" s="1"/>
  <c r="AC730" i="20"/>
  <c r="AA730" i="20"/>
  <c r="AB731" i="20"/>
  <c r="C733" i="14" l="1"/>
  <c r="D733" i="14" s="1"/>
  <c r="E733" i="14" s="1"/>
  <c r="C736" i="18"/>
  <c r="I735" i="14"/>
  <c r="J735" i="14" s="1"/>
  <c r="K735" i="14" s="1"/>
  <c r="S732" i="14"/>
  <c r="T732" i="14" s="1"/>
  <c r="M734" i="14"/>
  <c r="N734" i="14" s="1"/>
  <c r="F734" i="14"/>
  <c r="G734" i="14" s="1"/>
  <c r="H734" i="14" s="1"/>
  <c r="O733" i="14"/>
  <c r="P733" i="14" s="1"/>
  <c r="Q733" i="14" s="1"/>
  <c r="R733" i="14"/>
  <c r="S733" i="14" s="1"/>
  <c r="T733" i="14" s="1"/>
  <c r="L735" i="14"/>
  <c r="AD731" i="20"/>
  <c r="AE731" i="20" s="1"/>
  <c r="AA731" i="20"/>
  <c r="AC731" i="20"/>
  <c r="AB732" i="20"/>
  <c r="L736" i="14" l="1"/>
  <c r="M736" i="14" s="1"/>
  <c r="N736" i="14" s="1"/>
  <c r="C737" i="18"/>
  <c r="M735" i="14"/>
  <c r="N735" i="14" s="1"/>
  <c r="O734" i="14"/>
  <c r="P734" i="14" s="1"/>
  <c r="Q734" i="14" s="1"/>
  <c r="R734" i="14"/>
  <c r="S734" i="14" s="1"/>
  <c r="T734" i="14" s="1"/>
  <c r="C734" i="14"/>
  <c r="D734" i="14" s="1"/>
  <c r="E734" i="14" s="1"/>
  <c r="I736" i="14"/>
  <c r="J736" i="14" s="1"/>
  <c r="K736" i="14" s="1"/>
  <c r="AC732" i="20"/>
  <c r="AB733" i="20"/>
  <c r="AC733" i="20" s="1"/>
  <c r="AD732" i="20"/>
  <c r="AE732" i="20" s="1"/>
  <c r="AA732" i="20"/>
  <c r="C738" i="18" l="1"/>
  <c r="L737" i="14"/>
  <c r="M737" i="14" s="1"/>
  <c r="N737" i="14" s="1"/>
  <c r="F736" i="14"/>
  <c r="G736" i="14" s="1"/>
  <c r="H736" i="14" s="1"/>
  <c r="I737" i="14"/>
  <c r="J737" i="14" s="1"/>
  <c r="K737" i="14" s="1"/>
  <c r="O735" i="14"/>
  <c r="P735" i="14" s="1"/>
  <c r="Q735" i="14" s="1"/>
  <c r="R735" i="14"/>
  <c r="S735" i="14" s="1"/>
  <c r="T735" i="14" s="1"/>
  <c r="F735" i="14"/>
  <c r="C735" i="14"/>
  <c r="D735" i="14" s="1"/>
  <c r="E735" i="14" s="1"/>
  <c r="AB734" i="20"/>
  <c r="AA733" i="20"/>
  <c r="C739" i="18" l="1"/>
  <c r="C736" i="14"/>
  <c r="D736" i="14" s="1"/>
  <c r="E736" i="14" s="1"/>
  <c r="F737" i="14"/>
  <c r="G737" i="14" s="1"/>
  <c r="H737" i="14" s="1"/>
  <c r="O737" i="14"/>
  <c r="P737" i="14" s="1"/>
  <c r="Q737" i="14" s="1"/>
  <c r="L738" i="14"/>
  <c r="G735" i="14"/>
  <c r="H735" i="14" s="1"/>
  <c r="O736" i="14"/>
  <c r="P736" i="14" s="1"/>
  <c r="Q736" i="14" s="1"/>
  <c r="R736" i="14"/>
  <c r="S736" i="14" s="1"/>
  <c r="T736" i="14" s="1"/>
  <c r="I738" i="14"/>
  <c r="J738" i="14" s="1"/>
  <c r="K738" i="14" s="1"/>
  <c r="AB735" i="20"/>
  <c r="AD733" i="20"/>
  <c r="AE733" i="20" s="1"/>
  <c r="AD734" i="20"/>
  <c r="AE734" i="20" s="1"/>
  <c r="AC734" i="20"/>
  <c r="AA734" i="20"/>
  <c r="R737" i="14" l="1"/>
  <c r="S737" i="14" s="1"/>
  <c r="T737" i="14" s="1"/>
  <c r="C740" i="18"/>
  <c r="I739" i="14"/>
  <c r="J739" i="14" s="1"/>
  <c r="K739" i="14" s="1"/>
  <c r="C737" i="14"/>
  <c r="D737" i="14" s="1"/>
  <c r="E737" i="14" s="1"/>
  <c r="O738" i="14"/>
  <c r="P738" i="14" s="1"/>
  <c r="Q738" i="14" s="1"/>
  <c r="F738" i="14"/>
  <c r="G738" i="14" s="1"/>
  <c r="H738" i="14" s="1"/>
  <c r="L739" i="14"/>
  <c r="M739" i="14" s="1"/>
  <c r="N739" i="14" s="1"/>
  <c r="M738" i="14"/>
  <c r="N738" i="14" s="1"/>
  <c r="AD735" i="20"/>
  <c r="AA735" i="20"/>
  <c r="AB736" i="20"/>
  <c r="AC736" i="20" s="1"/>
  <c r="L740" i="14" l="1"/>
  <c r="C741" i="18"/>
  <c r="R738" i="14"/>
  <c r="S738" i="14" s="1"/>
  <c r="T738" i="14" s="1"/>
  <c r="F739" i="14"/>
  <c r="G739" i="14" s="1"/>
  <c r="H739" i="14" s="1"/>
  <c r="O739" i="14"/>
  <c r="P739" i="14" s="1"/>
  <c r="Q739" i="14" s="1"/>
  <c r="I740" i="14"/>
  <c r="C738" i="14"/>
  <c r="D738" i="14" s="1"/>
  <c r="E738" i="14" s="1"/>
  <c r="AE735" i="20"/>
  <c r="AC735" i="20"/>
  <c r="AA736" i="20"/>
  <c r="AB737" i="20"/>
  <c r="AD736" i="20"/>
  <c r="AE736" i="20" s="1"/>
  <c r="C739" i="14" l="1"/>
  <c r="D739" i="14" s="1"/>
  <c r="E739" i="14" s="1"/>
  <c r="C742" i="18"/>
  <c r="R739" i="14"/>
  <c r="S739" i="14" s="1"/>
  <c r="T739" i="14" s="1"/>
  <c r="I741" i="14"/>
  <c r="J741" i="14" s="1"/>
  <c r="K741" i="14" s="1"/>
  <c r="O740" i="14"/>
  <c r="M740" i="14"/>
  <c r="N740" i="14" s="1"/>
  <c r="L741" i="14"/>
  <c r="M741" i="14" s="1"/>
  <c r="N741" i="14" s="1"/>
  <c r="J740" i="14"/>
  <c r="K740" i="14" s="1"/>
  <c r="AB738" i="20"/>
  <c r="AD737" i="20"/>
  <c r="AA737" i="20"/>
  <c r="C743" i="18" l="1"/>
  <c r="I742" i="14"/>
  <c r="L742" i="14"/>
  <c r="M742" i="14" s="1"/>
  <c r="N742" i="14" s="1"/>
  <c r="F740" i="14"/>
  <c r="C740" i="14"/>
  <c r="D740" i="14" s="1"/>
  <c r="E740" i="14" s="1"/>
  <c r="P740" i="14"/>
  <c r="Q740" i="14" s="1"/>
  <c r="O741" i="14"/>
  <c r="P741" i="14" s="1"/>
  <c r="Q741" i="14" s="1"/>
  <c r="R740" i="14"/>
  <c r="AB739" i="20"/>
  <c r="AE737" i="20"/>
  <c r="AC737" i="20"/>
  <c r="AA738" i="20"/>
  <c r="AD738" i="20"/>
  <c r="AE738" i="20" s="1"/>
  <c r="AC738" i="20"/>
  <c r="I743" i="14" l="1"/>
  <c r="J743" i="14" s="1"/>
  <c r="K743" i="14" s="1"/>
  <c r="C744" i="18"/>
  <c r="F741" i="14"/>
  <c r="G741" i="14" s="1"/>
  <c r="H741" i="14" s="1"/>
  <c r="C741" i="14"/>
  <c r="D741" i="14" s="1"/>
  <c r="E741" i="14" s="1"/>
  <c r="G740" i="14"/>
  <c r="H740" i="14" s="1"/>
  <c r="S740" i="14"/>
  <c r="T740" i="14" s="1"/>
  <c r="R741" i="14"/>
  <c r="S741" i="14" s="1"/>
  <c r="T741" i="14" s="1"/>
  <c r="L743" i="14"/>
  <c r="J742" i="14"/>
  <c r="K742" i="14" s="1"/>
  <c r="AB740" i="20"/>
  <c r="AA739" i="20"/>
  <c r="AD739" i="20"/>
  <c r="C745" i="18" l="1"/>
  <c r="I744" i="14"/>
  <c r="J744" i="14" s="1"/>
  <c r="K744" i="14" s="1"/>
  <c r="L744" i="14"/>
  <c r="M744" i="14" s="1"/>
  <c r="N744" i="14" s="1"/>
  <c r="F743" i="14"/>
  <c r="F742" i="14"/>
  <c r="C742" i="14"/>
  <c r="D742" i="14" s="1"/>
  <c r="E742" i="14" s="1"/>
  <c r="O742" i="14"/>
  <c r="R742" i="14"/>
  <c r="O743" i="14"/>
  <c r="P743" i="14" s="1"/>
  <c r="Q743" i="14" s="1"/>
  <c r="M743" i="14"/>
  <c r="N743" i="14" s="1"/>
  <c r="AE739" i="20"/>
  <c r="AC739" i="20"/>
  <c r="AB741" i="20"/>
  <c r="AC740" i="20"/>
  <c r="AA740" i="20"/>
  <c r="AD740" i="20"/>
  <c r="AE740" i="20" s="1"/>
  <c r="C746" i="18" l="1"/>
  <c r="C743" i="14"/>
  <c r="D743" i="14" s="1"/>
  <c r="E743" i="14" s="1"/>
  <c r="L745" i="14"/>
  <c r="I745" i="14"/>
  <c r="J745" i="14" s="1"/>
  <c r="K745" i="14" s="1"/>
  <c r="S742" i="14"/>
  <c r="T742" i="14" s="1"/>
  <c r="P742" i="14"/>
  <c r="Q742" i="14" s="1"/>
  <c r="R743" i="14"/>
  <c r="S743" i="14" s="1"/>
  <c r="T743" i="14" s="1"/>
  <c r="G742" i="14"/>
  <c r="H742" i="14" s="1"/>
  <c r="G743" i="14"/>
  <c r="H743" i="14" s="1"/>
  <c r="AA741" i="20"/>
  <c r="AB742" i="20"/>
  <c r="AD741" i="20"/>
  <c r="AE741" i="20" s="1"/>
  <c r="C747" i="18" l="1"/>
  <c r="I746" i="14"/>
  <c r="J746" i="14" s="1"/>
  <c r="K746" i="14" s="1"/>
  <c r="F745" i="14"/>
  <c r="G745" i="14" s="1"/>
  <c r="H745" i="14" s="1"/>
  <c r="F744" i="14"/>
  <c r="C744" i="14"/>
  <c r="D744" i="14" s="1"/>
  <c r="E744" i="14" s="1"/>
  <c r="O744" i="14"/>
  <c r="P744" i="14" s="1"/>
  <c r="Q744" i="14" s="1"/>
  <c r="R744" i="14"/>
  <c r="L746" i="14"/>
  <c r="M746" i="14" s="1"/>
  <c r="N746" i="14" s="1"/>
  <c r="M745" i="14"/>
  <c r="N745" i="14" s="1"/>
  <c r="AB743" i="20"/>
  <c r="AC741" i="20"/>
  <c r="AC742" i="20"/>
  <c r="AA742" i="20"/>
  <c r="AD742" i="20"/>
  <c r="AE742" i="20" s="1"/>
  <c r="C745" i="14" l="1"/>
  <c r="D745" i="14" s="1"/>
  <c r="E745" i="14" s="1"/>
  <c r="C748" i="18"/>
  <c r="L747" i="14"/>
  <c r="O745" i="14"/>
  <c r="P745" i="14" s="1"/>
  <c r="Q745" i="14" s="1"/>
  <c r="R745" i="14"/>
  <c r="S745" i="14" s="1"/>
  <c r="T745" i="14" s="1"/>
  <c r="G744" i="14"/>
  <c r="H744" i="14" s="1"/>
  <c r="I747" i="14"/>
  <c r="J747" i="14" s="1"/>
  <c r="K747" i="14" s="1"/>
  <c r="S744" i="14"/>
  <c r="T744" i="14" s="1"/>
  <c r="AB744" i="20"/>
  <c r="AA743" i="20"/>
  <c r="AD743" i="20"/>
  <c r="I748" i="14" l="1"/>
  <c r="C749" i="18"/>
  <c r="F747" i="14"/>
  <c r="G747" i="14" s="1"/>
  <c r="H747" i="14" s="1"/>
  <c r="L748" i="14"/>
  <c r="M748" i="14" s="1"/>
  <c r="N748" i="14" s="1"/>
  <c r="F746" i="14"/>
  <c r="C746" i="14"/>
  <c r="D746" i="14" s="1"/>
  <c r="E746" i="14" s="1"/>
  <c r="M747" i="14"/>
  <c r="N747" i="14" s="1"/>
  <c r="O747" i="14"/>
  <c r="P747" i="14" s="1"/>
  <c r="Q747" i="14" s="1"/>
  <c r="O746" i="14"/>
  <c r="R746" i="14"/>
  <c r="AE743" i="20"/>
  <c r="AC743" i="20"/>
  <c r="AA744" i="20"/>
  <c r="AD744" i="20"/>
  <c r="G1" i="23" l="1"/>
  <c r="K1" i="23"/>
  <c r="F1" i="23"/>
  <c r="J1" i="23"/>
  <c r="I1" i="23"/>
  <c r="H1" i="23"/>
  <c r="C750" i="18"/>
  <c r="C747" i="14"/>
  <c r="D747" i="14" s="1"/>
  <c r="E747" i="14" s="1"/>
  <c r="O748" i="14"/>
  <c r="P748" i="14" s="1"/>
  <c r="Q748" i="14" s="1"/>
  <c r="F748" i="14"/>
  <c r="G748" i="14" s="1"/>
  <c r="H748" i="14" s="1"/>
  <c r="R747" i="14"/>
  <c r="S747" i="14" s="1"/>
  <c r="T747" i="14" s="1"/>
  <c r="L749" i="14"/>
  <c r="M749" i="14" s="1"/>
  <c r="N749" i="14" s="1"/>
  <c r="I749" i="14"/>
  <c r="J748" i="14"/>
  <c r="K748" i="14" s="1"/>
  <c r="S746" i="14"/>
  <c r="T746" i="14" s="1"/>
  <c r="P746" i="14"/>
  <c r="Q746" i="14" s="1"/>
  <c r="G746" i="14"/>
  <c r="H746" i="14" s="1"/>
  <c r="AE744" i="20"/>
  <c r="AC744" i="20"/>
  <c r="N1" i="23" l="1"/>
  <c r="C748" i="14"/>
  <c r="D748" i="14" s="1"/>
  <c r="E748" i="14" s="1"/>
  <c r="R748" i="14"/>
  <c r="S748" i="14" s="1"/>
  <c r="T748" i="14" s="1"/>
  <c r="L750" i="14"/>
  <c r="M750" i="14" s="1"/>
  <c r="N750" i="14" s="1"/>
  <c r="I750" i="14"/>
  <c r="J750" i="14" s="1"/>
  <c r="K750" i="14" s="1"/>
  <c r="J749" i="14"/>
  <c r="K749" i="14" s="1"/>
  <c r="O749" i="14" l="1"/>
  <c r="R749" i="14"/>
  <c r="O750" i="14"/>
  <c r="P750" i="14" s="1"/>
  <c r="Q750" i="14" s="1"/>
  <c r="F749" i="14"/>
  <c r="C749" i="14"/>
  <c r="G749" i="14" l="1"/>
  <c r="H749" i="14" s="1"/>
  <c r="D749" i="14"/>
  <c r="E749" i="14" s="1"/>
  <c r="R750" i="14"/>
  <c r="S749" i="14"/>
  <c r="T749" i="14" s="1"/>
  <c r="F750" i="14"/>
  <c r="G750" i="14" s="1"/>
  <c r="H750" i="14" s="1"/>
  <c r="C750" i="14"/>
  <c r="P749" i="14"/>
  <c r="Q749" i="14" s="1"/>
  <c r="L754" i="14"/>
  <c r="I754" i="14"/>
  <c r="S750" i="14" l="1"/>
  <c r="T750" i="14" s="1"/>
  <c r="D750" i="14"/>
  <c r="E750" i="14" s="1"/>
  <c r="N754" i="14"/>
  <c r="K754" i="14"/>
  <c r="E754" i="14" l="1"/>
  <c r="C754" i="14"/>
  <c r="R754" i="14"/>
  <c r="Q754" i="14" l="1"/>
  <c r="O754" i="14"/>
  <c r="T754" i="14"/>
  <c r="H754" i="14"/>
  <c r="F75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Barranco</author>
  </authors>
  <commentList>
    <comment ref="K4" authorId="0" shapeId="0" xr:uid="{24EB8094-E4B1-43CE-A07D-D53DD9D16043}">
      <text>
        <r>
          <rPr>
            <b/>
            <sz val="9"/>
            <color indexed="81"/>
            <rFont val="Tahoma"/>
            <family val="2"/>
          </rPr>
          <t>Ana Barranco:</t>
        </r>
        <r>
          <rPr>
            <sz val="9"/>
            <color indexed="81"/>
            <rFont val="Tahoma"/>
            <family val="2"/>
          </rPr>
          <t xml:space="preserve">
Prices not updated in Oati since january. Might need to use SPP prices-pending to resolve</t>
        </r>
      </text>
    </comment>
  </commentList>
</comments>
</file>

<file path=xl/sharedStrings.xml><?xml version="1.0" encoding="utf-8"?>
<sst xmlns="http://schemas.openxmlformats.org/spreadsheetml/2006/main" count="576" uniqueCount="130">
  <si>
    <t>CUSTOMER'S METERED LOAD</t>
  </si>
  <si>
    <t>City of Aztec Meter</t>
  </si>
  <si>
    <t>AZT4908O81 (1)</t>
  </si>
  <si>
    <t>Transmission Losses</t>
  </si>
  <si>
    <t>Transformer Losses</t>
  </si>
  <si>
    <t>HOUR BEGINS</t>
  </si>
  <si>
    <t>HOUR ENDS</t>
  </si>
  <si>
    <t>TOTAL METERED LOAD with LOSSES (MWs)</t>
  </si>
  <si>
    <t>Aztec Load</t>
  </si>
  <si>
    <t>TOTAL</t>
  </si>
  <si>
    <t>CHECK</t>
  </si>
  <si>
    <t>Date</t>
  </si>
  <si>
    <t>HE</t>
  </si>
  <si>
    <t>isHoliday</t>
  </si>
  <si>
    <t>PeakHour</t>
  </si>
  <si>
    <t>PeakType</t>
  </si>
  <si>
    <t>GE Served</t>
  </si>
  <si>
    <t>AHP</t>
  </si>
  <si>
    <t>WRP</t>
  </si>
  <si>
    <t>WRP-Rep</t>
  </si>
  <si>
    <t>WRF-Rep</t>
  </si>
  <si>
    <t>Total Delivered</t>
  </si>
  <si>
    <t>Actual Load</t>
  </si>
  <si>
    <t># flow_date</t>
  </si>
  <si>
    <t>CP</t>
  </si>
  <si>
    <t>HE 1</t>
  </si>
  <si>
    <t>HE 2</t>
  </si>
  <si>
    <t>HE 3</t>
  </si>
  <si>
    <t>HE 4</t>
  </si>
  <si>
    <t>HE 5</t>
  </si>
  <si>
    <t>HE 6</t>
  </si>
  <si>
    <t>HE 7</t>
  </si>
  <si>
    <t>HE 8</t>
  </si>
  <si>
    <t>HE 9</t>
  </si>
  <si>
    <t>HE 10</t>
  </si>
  <si>
    <t>HE 11</t>
  </si>
  <si>
    <t>HE 12</t>
  </si>
  <si>
    <t>HE 13</t>
  </si>
  <si>
    <t>HE 14</t>
  </si>
  <si>
    <t>HE 15</t>
  </si>
  <si>
    <t>HE 16</t>
  </si>
  <si>
    <t>HE 17</t>
  </si>
  <si>
    <t>HE 18</t>
  </si>
  <si>
    <t>HE 19</t>
  </si>
  <si>
    <t>HE 20</t>
  </si>
  <si>
    <t>HE 21</t>
  </si>
  <si>
    <t>HE 22</t>
  </si>
  <si>
    <t>HE 23</t>
  </si>
  <si>
    <t>HE 24</t>
  </si>
  <si>
    <t>TOTALS</t>
  </si>
  <si>
    <t>Aztec</t>
  </si>
  <si>
    <t>WRP-Replacement</t>
  </si>
  <si>
    <t>Day</t>
  </si>
  <si>
    <t>On-Peak</t>
  </si>
  <si>
    <t>Off-Peak</t>
  </si>
  <si>
    <t>Sunday</t>
  </si>
  <si>
    <t>WRF-Replacement</t>
  </si>
  <si>
    <t xml:space="preserve">DSA (AHP) </t>
  </si>
  <si>
    <t xml:space="preserve">DATE </t>
  </si>
  <si>
    <t>KWh</t>
  </si>
  <si>
    <t>MWh</t>
  </si>
  <si>
    <t>Grand Total</t>
  </si>
  <si>
    <t>Row Labels</t>
  </si>
  <si>
    <t>Sum of AHP</t>
  </si>
  <si>
    <t>Sum of WRP</t>
  </si>
  <si>
    <t>Sum of Total</t>
  </si>
  <si>
    <t>NERCHoliday</t>
  </si>
  <si>
    <t>Weekday</t>
  </si>
  <si>
    <t>New Year's Day</t>
  </si>
  <si>
    <t>Sat</t>
  </si>
  <si>
    <t>Memorial Day</t>
  </si>
  <si>
    <t>Mon</t>
  </si>
  <si>
    <t>Independence Day</t>
  </si>
  <si>
    <t>Labor Day</t>
  </si>
  <si>
    <t>Thanksgivig Day</t>
  </si>
  <si>
    <t>Thu</t>
  </si>
  <si>
    <t>Christmas Day</t>
  </si>
  <si>
    <t>Wed</t>
  </si>
  <si>
    <t>Tue</t>
  </si>
  <si>
    <t>Fri</t>
  </si>
  <si>
    <t>Sun</t>
  </si>
  <si>
    <t>Month</t>
  </si>
  <si>
    <t>ATC</t>
  </si>
  <si>
    <t>PK</t>
  </si>
  <si>
    <t>OP</t>
  </si>
  <si>
    <t>Note</t>
  </si>
  <si>
    <t>ATC Hours</t>
  </si>
  <si>
    <t>PK Hours</t>
  </si>
  <si>
    <t>OP Hours</t>
  </si>
  <si>
    <t>Scheduled PK</t>
  </si>
  <si>
    <t>Scheduled OP</t>
  </si>
  <si>
    <t>WRP Cost ($/MWh)</t>
  </si>
  <si>
    <t>Final</t>
  </si>
  <si>
    <t>Estimated</t>
  </si>
  <si>
    <t>Energy Imbalance Global</t>
  </si>
  <si>
    <t>Date/time beginning</t>
  </si>
  <si>
    <t>BILLING PHASE</t>
  </si>
  <si>
    <t>Preliminary</t>
  </si>
  <si>
    <t>TRANSMISSION LOSSES (L-AS7)</t>
  </si>
  <si>
    <t>1st Deviation Bandwidth (L-AS4 and L-AS9)</t>
  </si>
  <si>
    <r>
      <t xml:space="preserve">Bandwidth percentage, over or under (less than or equal to 1.5%) </t>
    </r>
    <r>
      <rPr>
        <b/>
        <u/>
        <sz val="12"/>
        <rFont val="Arial"/>
        <family val="2"/>
      </rPr>
      <t>or</t>
    </r>
  </si>
  <si>
    <t>Bandwidth minimum, MW</t>
  </si>
  <si>
    <t>Credit Factor for In-Band Over Delivery</t>
  </si>
  <si>
    <t>Debit Factor for In-Band Under Delivery</t>
  </si>
  <si>
    <t>2nd Deviation Bandwidth (L-AS4 and L-AS9)</t>
  </si>
  <si>
    <r>
      <t xml:space="preserve">Bandwidth percentage, over or under  (1.5% to 7.5%) </t>
    </r>
    <r>
      <rPr>
        <b/>
        <u/>
        <sz val="12"/>
        <rFont val="Arial"/>
        <family val="2"/>
      </rPr>
      <t>or</t>
    </r>
  </si>
  <si>
    <t>Bandwidth minimum/maximum, MW</t>
  </si>
  <si>
    <t>Credit Factor for Out-of-Band Over Delivery</t>
  </si>
  <si>
    <t>Debit Factor for Out-of-Band Under Delivery</t>
  </si>
  <si>
    <t>3rd Deviation Bandwidth (L-AS4 and L-AS9)</t>
  </si>
  <si>
    <r>
      <t xml:space="preserve">Bandwidth percentage, over or under (greater than 7.5%) </t>
    </r>
    <r>
      <rPr>
        <b/>
        <u/>
        <sz val="12"/>
        <rFont val="Arial"/>
        <family val="2"/>
      </rPr>
      <t>or</t>
    </r>
  </si>
  <si>
    <t>Bandwidth maximum, MW</t>
  </si>
  <si>
    <t xml:space="preserve">Note: Intermittent generators are exempt from 25% penalties. All intermittent generation imbalances greater than 1.5% of metered generation are subject only to a 10% penalty. </t>
  </si>
  <si>
    <t>CUSTOMER'S SCHEDULED RESOURCES</t>
  </si>
  <si>
    <t>PAGE WACM NET RESOURCES (MWh)</t>
  </si>
  <si>
    <t>AGGREGATE PRICING</t>
  </si>
  <si>
    <t>Prices are from Oati website</t>
  </si>
  <si>
    <t>PRICING</t>
  </si>
  <si>
    <t>Energy Imbalance Billing Calculations</t>
  </si>
  <si>
    <t>SALES</t>
  </si>
  <si>
    <t>PURCHASES</t>
  </si>
  <si>
    <t>3rd Deviation Bandwidth (Over Delivery)</t>
  </si>
  <si>
    <t>2nd Deviation Bandwidth (Over Delivery)</t>
  </si>
  <si>
    <t>1st Deviation Bandwidth (Over Delivery)</t>
  </si>
  <si>
    <t>1st Deviation Bandwidth (Under Delivery)</t>
  </si>
  <si>
    <t>2nd Deviation Bandwidth (Under Delivery)</t>
  </si>
  <si>
    <t>3rd Deviation Bandwidth (Under Delivery)</t>
  </si>
  <si>
    <t>Credit Rate</t>
  </si>
  <si>
    <t>Sub Total</t>
  </si>
  <si>
    <t>Charge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</si>
</sst>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/d/yy\ h:mm;@"/>
    <numFmt numFmtId="166" formatCode="0.000_);[Red]\(0.000\)"/>
    <numFmt numFmtId="167" formatCode="#,##0.000_);[Red]\(#,##0.000\)"/>
    <numFmt numFmtId="168" formatCode="0.000"/>
    <numFmt numFmtId="169" formatCode="_(* #,##0_);_(* \(#,##0\);_(* &quot;-&quot;??_);_(@_)"/>
    <numFmt numFmtId="170" formatCode="General_)"/>
    <numFmt numFmtId="173" formatCode="m/d/yy\ h:mm"/>
    <numFmt numFmtId="174" formatCode="0.000;[Red]\(0.000\);;@"/>
    <numFmt numFmtId="175" formatCode="&quot;$&quot;0.00;[Red]\(&quot;$&quot;0.00\);;@"/>
    <numFmt numFmtId="176" formatCode="&quot;$&quot;#,##0.000_);[Red]\(&quot;$&quot;#,##0.000\)"/>
    <numFmt numFmtId="177" formatCode="0.00_);[Red]\(0.00\)"/>
    <numFmt numFmtId="178" formatCode="m/d/yyyy;@"/>
    <numFmt numFmtId="179" formatCode="0_);[Red]\(0\)"/>
    <numFmt numFmtId="180" formatCode="0;\-0;;@"/>
    <numFmt numFmtId="181" formatCode="_([$€-2]* #,##0.00_);_([$€-2]* \(#,##0.00\);_([$€-2]* &quot;-&quot;??_)"/>
    <numFmt numFmtId="182" formatCode="[$-409]d\-mmm\-yy;@"/>
    <numFmt numFmtId="183" formatCode="0_)"/>
    <numFmt numFmtId="184" formatCode="#,##0.0_);\(#,##0.0\)"/>
  </numFmts>
  <fonts count="10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0"/>
      <color theme="0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0"/>
      <color rgb="FF9C0006"/>
      <name val="Arial"/>
      <family val="2"/>
    </font>
    <font>
      <b/>
      <sz val="11"/>
      <color indexed="10"/>
      <name val="Calibri"/>
      <family val="2"/>
    </font>
    <font>
      <b/>
      <sz val="10"/>
      <color indexed="52"/>
      <name val="Arial"/>
      <family val="2"/>
    </font>
    <font>
      <b/>
      <sz val="10"/>
      <color rgb="FFFA7D00"/>
      <name val="Arial"/>
      <family val="2"/>
    </font>
    <font>
      <b/>
      <sz val="11"/>
      <color indexed="52"/>
      <name val="Calibri"/>
      <family val="2"/>
      <scheme val="minor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0"/>
      <color rgb="FF7F7F7F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0"/>
      <color rgb="FF006100"/>
      <name val="Arial"/>
      <family val="2"/>
    </font>
    <font>
      <b/>
      <sz val="15"/>
      <color indexed="62"/>
      <name val="Calibri"/>
      <family val="2"/>
    </font>
    <font>
      <b/>
      <sz val="15"/>
      <color indexed="62"/>
      <name val="Arial"/>
      <family val="2"/>
    </font>
    <font>
      <b/>
      <sz val="15"/>
      <color theme="3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62"/>
      <name val="Arial"/>
      <family val="2"/>
    </font>
    <font>
      <b/>
      <sz val="13"/>
      <color theme="3"/>
      <name val="Arial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</font>
    <font>
      <b/>
      <sz val="11"/>
      <color indexed="62"/>
      <name val="Arial"/>
      <family val="2"/>
    </font>
    <font>
      <b/>
      <sz val="11"/>
      <color theme="3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0"/>
      <color rgb="FF3F3F76"/>
      <name val="Arial"/>
      <family val="2"/>
    </font>
    <font>
      <sz val="11"/>
      <color indexed="10"/>
      <name val="Calibri"/>
      <family val="2"/>
    </font>
    <font>
      <sz val="10"/>
      <color indexed="52"/>
      <name val="Arial"/>
      <family val="2"/>
    </font>
    <font>
      <sz val="10"/>
      <color rgb="FFFA7D00"/>
      <name val="Arial"/>
      <family val="2"/>
    </font>
    <font>
      <sz val="11"/>
      <color indexed="52"/>
      <name val="Calibri"/>
      <family val="2"/>
    </font>
    <font>
      <sz val="11"/>
      <color indexed="19"/>
      <name val="Calibri"/>
      <family val="2"/>
    </font>
    <font>
      <sz val="10"/>
      <color indexed="60"/>
      <name val="Arial"/>
      <family val="2"/>
    </font>
    <font>
      <sz val="10"/>
      <color rgb="FF9C6500"/>
      <name val="Arial"/>
      <family val="2"/>
    </font>
    <font>
      <sz val="11"/>
      <color indexed="60"/>
      <name val="Calibri"/>
      <family val="2"/>
      <scheme val="minor"/>
    </font>
    <font>
      <sz val="11"/>
      <color indexed="60"/>
      <name val="Calibri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0"/>
      <color rgb="FF3F3F3F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sz val="8"/>
      <name val="Helv"/>
    </font>
    <font>
      <b/>
      <sz val="10"/>
      <name val="MS Sans Serif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0"/>
      <name val="Helv"/>
    </font>
    <font>
      <sz val="10"/>
      <name val="Arial Narrow"/>
      <family val="2"/>
    </font>
    <font>
      <sz val="12"/>
      <name val="Helv"/>
    </font>
    <font>
      <sz val="10"/>
      <color rgb="FF000000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108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36" borderId="0" applyNumberFormat="0" applyBorder="0" applyAlignment="0" applyProtection="0"/>
    <xf numFmtId="0" fontId="23" fillId="35" borderId="0" applyNumberFormat="0" applyBorder="0" applyAlignment="0" applyProtection="0"/>
    <xf numFmtId="0" fontId="22" fillId="36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1" fillId="10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1" fillId="10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4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22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3" fillId="35" borderId="0" applyNumberFormat="0" applyBorder="0" applyAlignment="0" applyProtection="0"/>
    <xf numFmtId="0" fontId="1" fillId="10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1" fillId="10" borderId="0" applyNumberFormat="0" applyBorder="0" applyAlignment="0" applyProtection="0"/>
    <xf numFmtId="0" fontId="22" fillId="35" borderId="0" applyNumberFormat="0" applyBorder="0" applyAlignment="0" applyProtection="0"/>
    <xf numFmtId="0" fontId="1" fillId="10" borderId="0" applyNumberFormat="0" applyBorder="0" applyAlignment="0" applyProtection="0"/>
    <xf numFmtId="0" fontId="22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3" fillId="35" borderId="0" applyNumberFormat="0" applyBorder="0" applyAlignment="0" applyProtection="0"/>
    <xf numFmtId="0" fontId="1" fillId="10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6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39" borderId="0" applyNumberFormat="0" applyBorder="0" applyAlignment="0" applyProtection="0"/>
    <xf numFmtId="0" fontId="23" fillId="38" borderId="0" applyNumberFormat="0" applyBorder="0" applyAlignment="0" applyProtection="0"/>
    <xf numFmtId="0" fontId="22" fillId="39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14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2" fillId="38" borderId="0" applyNumberFormat="0" applyBorder="0" applyAlignment="0" applyProtection="0"/>
    <xf numFmtId="0" fontId="1" fillId="14" borderId="0" applyNumberFormat="0" applyBorder="0" applyAlignment="0" applyProtection="0"/>
    <xf numFmtId="0" fontId="22" fillId="38" borderId="0" applyNumberFormat="0" applyBorder="0" applyAlignment="0" applyProtection="0"/>
    <xf numFmtId="0" fontId="1" fillId="14" borderId="0" applyNumberFormat="0" applyBorder="0" applyAlignment="0" applyProtection="0"/>
    <xf numFmtId="0" fontId="22" fillId="38" borderId="0" applyNumberFormat="0" applyBorder="0" applyAlignment="0" applyProtection="0"/>
    <xf numFmtId="0" fontId="1" fillId="14" borderId="0" applyNumberFormat="0" applyBorder="0" applyAlignment="0" applyProtection="0"/>
    <xf numFmtId="0" fontId="22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3" fillId="38" borderId="0" applyNumberFormat="0" applyBorder="0" applyAlignment="0" applyProtection="0"/>
    <xf numFmtId="0" fontId="1" fillId="14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1" fillId="14" borderId="0" applyNumberFormat="0" applyBorder="0" applyAlignment="0" applyProtection="0"/>
    <xf numFmtId="0" fontId="22" fillId="38" borderId="0" applyNumberFormat="0" applyBorder="0" applyAlignment="0" applyProtection="0"/>
    <xf numFmtId="0" fontId="1" fillId="14" borderId="0" applyNumberFormat="0" applyBorder="0" applyAlignment="0" applyProtection="0"/>
    <xf numFmtId="0" fontId="22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3" fillId="38" borderId="0" applyNumberFormat="0" applyBorder="0" applyAlignment="0" applyProtection="0"/>
    <xf numFmtId="0" fontId="1" fillId="14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9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41" borderId="0" applyNumberFormat="0" applyBorder="0" applyAlignment="0" applyProtection="0"/>
    <xf numFmtId="0" fontId="23" fillId="40" borderId="0" applyNumberFormat="0" applyBorder="0" applyAlignment="0" applyProtection="0"/>
    <xf numFmtId="0" fontId="22" fillId="41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1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1" fillId="18" borderId="0" applyNumberFormat="0" applyBorder="0" applyAlignment="0" applyProtection="0"/>
    <xf numFmtId="0" fontId="22" fillId="40" borderId="0" applyNumberFormat="0" applyBorder="0" applyAlignment="0" applyProtection="0"/>
    <xf numFmtId="0" fontId="1" fillId="18" borderId="0" applyNumberFormat="0" applyBorder="0" applyAlignment="0" applyProtection="0"/>
    <xf numFmtId="0" fontId="22" fillId="40" borderId="0" applyNumberFormat="0" applyBorder="0" applyAlignment="0" applyProtection="0"/>
    <xf numFmtId="0" fontId="1" fillId="18" borderId="0" applyNumberFormat="0" applyBorder="0" applyAlignment="0" applyProtection="0"/>
    <xf numFmtId="0" fontId="22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3" fillId="40" borderId="0" applyNumberFormat="0" applyBorder="0" applyAlignment="0" applyProtection="0"/>
    <xf numFmtId="0" fontId="1" fillId="18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1" fillId="18" borderId="0" applyNumberFormat="0" applyBorder="0" applyAlignment="0" applyProtection="0"/>
    <xf numFmtId="0" fontId="22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3" fillId="40" borderId="0" applyNumberFormat="0" applyBorder="0" applyAlignment="0" applyProtection="0"/>
    <xf numFmtId="0" fontId="1" fillId="18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2" fillId="40" borderId="0" applyNumberFormat="0" applyBorder="0" applyAlignment="0" applyProtection="0"/>
    <xf numFmtId="0" fontId="23" fillId="40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42" borderId="0" applyNumberFormat="0" applyBorder="0" applyAlignment="0" applyProtection="0"/>
    <xf numFmtId="0" fontId="23" fillId="35" borderId="0" applyNumberFormat="0" applyBorder="0" applyAlignment="0" applyProtection="0"/>
    <xf numFmtId="0" fontId="22" fillId="42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3" fillId="38" borderId="0" applyNumberFormat="0" applyBorder="0" applyAlignment="0" applyProtection="0"/>
    <xf numFmtId="0" fontId="23" fillId="35" borderId="0" applyNumberFormat="0" applyBorder="0" applyAlignment="0" applyProtection="0"/>
    <xf numFmtId="0" fontId="23" fillId="38" borderId="0" applyNumberFormat="0" applyBorder="0" applyAlignment="0" applyProtection="0"/>
    <xf numFmtId="0" fontId="23" fillId="35" borderId="0" applyNumberFormat="0" applyBorder="0" applyAlignment="0" applyProtection="0"/>
    <xf numFmtId="0" fontId="23" fillId="38" borderId="0" applyNumberFormat="0" applyBorder="0" applyAlignment="0" applyProtection="0"/>
    <xf numFmtId="0" fontId="23" fillId="35" borderId="0" applyNumberFormat="0" applyBorder="0" applyAlignment="0" applyProtection="0"/>
    <xf numFmtId="0" fontId="23" fillId="38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1" fillId="22" borderId="0" applyNumberFormat="0" applyBorder="0" applyAlignment="0" applyProtection="0"/>
    <xf numFmtId="0" fontId="22" fillId="38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1" fillId="22" borderId="0" applyNumberFormat="0" applyBorder="0" applyAlignment="0" applyProtection="0"/>
    <xf numFmtId="0" fontId="22" fillId="38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1" fillId="22" borderId="0" applyNumberFormat="0" applyBorder="0" applyAlignment="0" applyProtection="0"/>
    <xf numFmtId="0" fontId="22" fillId="38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22" fillId="35" borderId="0" applyNumberFormat="0" applyBorder="0" applyAlignment="0" applyProtection="0"/>
    <xf numFmtId="0" fontId="22" fillId="43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2" fillId="35" borderId="0" applyNumberFormat="0" applyBorder="0" applyAlignment="0" applyProtection="0"/>
    <xf numFmtId="0" fontId="1" fillId="22" borderId="0" applyNumberFormat="0" applyBorder="0" applyAlignment="0" applyProtection="0"/>
    <xf numFmtId="0" fontId="22" fillId="35" borderId="0" applyNumberFormat="0" applyBorder="0" applyAlignment="0" applyProtection="0"/>
    <xf numFmtId="0" fontId="1" fillId="22" borderId="0" applyNumberFormat="0" applyBorder="0" applyAlignment="0" applyProtection="0"/>
    <xf numFmtId="0" fontId="22" fillId="35" borderId="0" applyNumberFormat="0" applyBorder="0" applyAlignment="0" applyProtection="0"/>
    <xf numFmtId="0" fontId="1" fillId="22" borderId="0" applyNumberFormat="0" applyBorder="0" applyAlignment="0" applyProtection="0"/>
    <xf numFmtId="0" fontId="22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3" fillId="35" borderId="0" applyNumberFormat="0" applyBorder="0" applyAlignment="0" applyProtection="0"/>
    <xf numFmtId="0" fontId="1" fillId="22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1" fillId="22" borderId="0" applyNumberFormat="0" applyBorder="0" applyAlignment="0" applyProtection="0"/>
    <xf numFmtId="0" fontId="22" fillId="35" borderId="0" applyNumberFormat="0" applyBorder="0" applyAlignment="0" applyProtection="0"/>
    <xf numFmtId="0" fontId="1" fillId="22" borderId="0" applyNumberFormat="0" applyBorder="0" applyAlignment="0" applyProtection="0"/>
    <xf numFmtId="0" fontId="22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3" fillId="35" borderId="0" applyNumberFormat="0" applyBorder="0" applyAlignment="0" applyProtection="0"/>
    <xf numFmtId="0" fontId="1" fillId="22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5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4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38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1" fillId="26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3" fillId="44" borderId="0" applyNumberFormat="0" applyBorder="0" applyAlignment="0" applyProtection="0"/>
    <xf numFmtId="0" fontId="1" fillId="26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3" fillId="44" borderId="0" applyNumberFormat="0" applyBorder="0" applyAlignment="0" applyProtection="0"/>
    <xf numFmtId="0" fontId="1" fillId="26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44" borderId="0" applyNumberFormat="0" applyBorder="0" applyAlignment="0" applyProtection="0"/>
    <xf numFmtId="0" fontId="23" fillId="44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1" fillId="11" borderId="0" applyNumberFormat="0" applyBorder="0" applyAlignment="0" applyProtection="0"/>
    <xf numFmtId="0" fontId="1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3" fillId="44" borderId="0" applyNumberFormat="0" applyBorder="0" applyAlignment="0" applyProtection="0"/>
    <xf numFmtId="0" fontId="23" fillId="35" borderId="0" applyNumberFormat="0" applyBorder="0" applyAlignment="0" applyProtection="0"/>
    <xf numFmtId="0" fontId="23" fillId="44" borderId="0" applyNumberFormat="0" applyBorder="0" applyAlignment="0" applyProtection="0"/>
    <xf numFmtId="0" fontId="23" fillId="35" borderId="0" applyNumberFormat="0" applyBorder="0" applyAlignment="0" applyProtection="0"/>
    <xf numFmtId="0" fontId="23" fillId="44" borderId="0" applyNumberFormat="0" applyBorder="0" applyAlignment="0" applyProtection="0"/>
    <xf numFmtId="0" fontId="23" fillId="35" borderId="0" applyNumberFormat="0" applyBorder="0" applyAlignment="0" applyProtection="0"/>
    <xf numFmtId="0" fontId="23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1" fillId="11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1" fillId="11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1" fillId="11" borderId="0" applyNumberFormat="0" applyBorder="0" applyAlignment="0" applyProtection="0"/>
    <xf numFmtId="0" fontId="22" fillId="44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44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2" fillId="35" borderId="0" applyNumberFormat="0" applyBorder="0" applyAlignment="0" applyProtection="0"/>
    <xf numFmtId="0" fontId="1" fillId="11" borderId="0" applyNumberFormat="0" applyBorder="0" applyAlignment="0" applyProtection="0"/>
    <xf numFmtId="0" fontId="22" fillId="35" borderId="0" applyNumberFormat="0" applyBorder="0" applyAlignment="0" applyProtection="0"/>
    <xf numFmtId="0" fontId="1" fillId="11" borderId="0" applyNumberFormat="0" applyBorder="0" applyAlignment="0" applyProtection="0"/>
    <xf numFmtId="0" fontId="22" fillId="35" borderId="0" applyNumberFormat="0" applyBorder="0" applyAlignment="0" applyProtection="0"/>
    <xf numFmtId="0" fontId="1" fillId="11" borderId="0" applyNumberFormat="0" applyBorder="0" applyAlignment="0" applyProtection="0"/>
    <xf numFmtId="0" fontId="22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3" fillId="35" borderId="0" applyNumberFormat="0" applyBorder="0" applyAlignment="0" applyProtection="0"/>
    <xf numFmtId="0" fontId="1" fillId="11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1" fillId="11" borderId="0" applyNumberFormat="0" applyBorder="0" applyAlignment="0" applyProtection="0"/>
    <xf numFmtId="0" fontId="22" fillId="35" borderId="0" applyNumberFormat="0" applyBorder="0" applyAlignment="0" applyProtection="0"/>
    <xf numFmtId="0" fontId="1" fillId="11" borderId="0" applyNumberFormat="0" applyBorder="0" applyAlignment="0" applyProtection="0"/>
    <xf numFmtId="0" fontId="22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3" fillId="35" borderId="0" applyNumberFormat="0" applyBorder="0" applyAlignment="0" applyProtection="0"/>
    <xf numFmtId="0" fontId="1" fillId="11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3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34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44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1" fillId="15" borderId="0" applyNumberFormat="0" applyBorder="0" applyAlignment="0" applyProtection="0"/>
    <xf numFmtId="0" fontId="1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3" fillId="37" borderId="0" applyNumberFormat="0" applyBorder="0" applyAlignment="0" applyProtection="0"/>
    <xf numFmtId="0" fontId="1" fillId="15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3" fillId="37" borderId="0" applyNumberFormat="0" applyBorder="0" applyAlignment="0" applyProtection="0"/>
    <xf numFmtId="0" fontId="1" fillId="15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37" borderId="0" applyNumberFormat="0" applyBorder="0" applyAlignment="0" applyProtection="0"/>
    <xf numFmtId="0" fontId="23" fillId="37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46" borderId="0" applyNumberFormat="0" applyBorder="0" applyAlignment="0" applyProtection="0"/>
    <xf numFmtId="0" fontId="23" fillId="45" borderId="0" applyNumberFormat="0" applyBorder="0" applyAlignment="0" applyProtection="0"/>
    <xf numFmtId="0" fontId="22" fillId="46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22" fillId="45" borderId="0" applyNumberFormat="0" applyBorder="0" applyAlignment="0" applyProtection="0"/>
    <xf numFmtId="0" fontId="22" fillId="38" borderId="0" applyNumberFormat="0" applyBorder="0" applyAlignment="0" applyProtection="0"/>
    <xf numFmtId="0" fontId="1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1" fillId="19" borderId="0" applyNumberFormat="0" applyBorder="0" applyAlignment="0" applyProtection="0"/>
    <xf numFmtId="0" fontId="22" fillId="45" borderId="0" applyNumberFormat="0" applyBorder="0" applyAlignment="0" applyProtection="0"/>
    <xf numFmtId="0" fontId="1" fillId="19" borderId="0" applyNumberFormat="0" applyBorder="0" applyAlignment="0" applyProtection="0"/>
    <xf numFmtId="0" fontId="22" fillId="45" borderId="0" applyNumberFormat="0" applyBorder="0" applyAlignment="0" applyProtection="0"/>
    <xf numFmtId="0" fontId="1" fillId="19" borderId="0" applyNumberFormat="0" applyBorder="0" applyAlignment="0" applyProtection="0"/>
    <xf numFmtId="0" fontId="22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3" fillId="45" borderId="0" applyNumberFormat="0" applyBorder="0" applyAlignment="0" applyProtection="0"/>
    <xf numFmtId="0" fontId="1" fillId="19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1" fillId="19" borderId="0" applyNumberFormat="0" applyBorder="0" applyAlignment="0" applyProtection="0"/>
    <xf numFmtId="0" fontId="22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3" fillId="45" borderId="0" applyNumberFormat="0" applyBorder="0" applyAlignment="0" applyProtection="0"/>
    <xf numFmtId="0" fontId="1" fillId="19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6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45" borderId="0" applyNumberFormat="0" applyBorder="0" applyAlignment="0" applyProtection="0"/>
    <xf numFmtId="0" fontId="23" fillId="45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42" borderId="0" applyNumberFormat="0" applyBorder="0" applyAlignment="0" applyProtection="0"/>
    <xf numFmtId="0" fontId="23" fillId="35" borderId="0" applyNumberFormat="0" applyBorder="0" applyAlignment="0" applyProtection="0"/>
    <xf numFmtId="0" fontId="22" fillId="42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1" fillId="23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1" fillId="23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1" fillId="23" borderId="0" applyNumberFormat="0" applyBorder="0" applyAlignment="0" applyProtection="0"/>
    <xf numFmtId="0" fontId="22" fillId="39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9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2" fillId="35" borderId="0" applyNumberFormat="0" applyBorder="0" applyAlignment="0" applyProtection="0"/>
    <xf numFmtId="0" fontId="1" fillId="23" borderId="0" applyNumberFormat="0" applyBorder="0" applyAlignment="0" applyProtection="0"/>
    <xf numFmtId="0" fontId="22" fillId="35" borderId="0" applyNumberFormat="0" applyBorder="0" applyAlignment="0" applyProtection="0"/>
    <xf numFmtId="0" fontId="1" fillId="23" borderId="0" applyNumberFormat="0" applyBorder="0" applyAlignment="0" applyProtection="0"/>
    <xf numFmtId="0" fontId="22" fillId="35" borderId="0" applyNumberFormat="0" applyBorder="0" applyAlignment="0" applyProtection="0"/>
    <xf numFmtId="0" fontId="1" fillId="23" borderId="0" applyNumberFormat="0" applyBorder="0" applyAlignment="0" applyProtection="0"/>
    <xf numFmtId="0" fontId="22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3" fillId="35" borderId="0" applyNumberFormat="0" applyBorder="0" applyAlignment="0" applyProtection="0"/>
    <xf numFmtId="0" fontId="1" fillId="23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1" fillId="23" borderId="0" applyNumberFormat="0" applyBorder="0" applyAlignment="0" applyProtection="0"/>
    <xf numFmtId="0" fontId="22" fillId="35" borderId="0" applyNumberFormat="0" applyBorder="0" applyAlignment="0" applyProtection="0"/>
    <xf numFmtId="0" fontId="1" fillId="23" borderId="0" applyNumberFormat="0" applyBorder="0" applyAlignment="0" applyProtection="0"/>
    <xf numFmtId="0" fontId="22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3" fillId="35" borderId="0" applyNumberFormat="0" applyBorder="0" applyAlignment="0" applyProtection="0"/>
    <xf numFmtId="0" fontId="1" fillId="23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42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39" borderId="0" applyNumberFormat="0" applyBorder="0" applyAlignment="0" applyProtection="0"/>
    <xf numFmtId="0" fontId="22" fillId="35" borderId="0" applyNumberFormat="0" applyBorder="0" applyAlignment="0" applyProtection="0"/>
    <xf numFmtId="0" fontId="23" fillId="35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23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3" fillId="44" borderId="0" applyNumberFormat="0" applyBorder="0" applyAlignment="0" applyProtection="0"/>
    <xf numFmtId="0" fontId="23" fillId="34" borderId="0" applyNumberFormat="0" applyBorder="0" applyAlignment="0" applyProtection="0"/>
    <xf numFmtId="0" fontId="23" fillId="44" borderId="0" applyNumberFormat="0" applyBorder="0" applyAlignment="0" applyProtection="0"/>
    <xf numFmtId="0" fontId="23" fillId="34" borderId="0" applyNumberFormat="0" applyBorder="0" applyAlignment="0" applyProtection="0"/>
    <xf numFmtId="0" fontId="23" fillId="44" borderId="0" applyNumberFormat="0" applyBorder="0" applyAlignment="0" applyProtection="0"/>
    <xf numFmtId="0" fontId="23" fillId="34" borderId="0" applyNumberFormat="0" applyBorder="0" applyAlignment="0" applyProtection="0"/>
    <xf numFmtId="0" fontId="23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4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4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3" fillId="34" borderId="0" applyNumberFormat="0" applyBorder="0" applyAlignment="0" applyProtection="0"/>
    <xf numFmtId="0" fontId="1" fillId="27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2" fillId="34" borderId="0" applyNumberFormat="0" applyBorder="0" applyAlignment="0" applyProtection="0"/>
    <xf numFmtId="0" fontId="1" fillId="27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3" fillId="34" borderId="0" applyNumberFormat="0" applyBorder="0" applyAlignment="0" applyProtection="0"/>
    <xf numFmtId="0" fontId="1" fillId="27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34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44" borderId="0" applyNumberFormat="0" applyBorder="0" applyAlignment="0" applyProtection="0"/>
    <xf numFmtId="0" fontId="22" fillId="34" borderId="0" applyNumberFormat="0" applyBorder="0" applyAlignment="0" applyProtection="0"/>
    <xf numFmtId="0" fontId="23" fillId="34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1" fillId="31" borderId="0" applyNumberFormat="0" applyBorder="0" applyAlignment="0" applyProtection="0"/>
    <xf numFmtId="0" fontId="1" fillId="47" borderId="0" applyNumberFormat="0" applyBorder="0" applyAlignment="0" applyProtection="0"/>
    <xf numFmtId="0" fontId="23" fillId="38" borderId="0" applyNumberFormat="0" applyBorder="0" applyAlignment="0" applyProtection="0"/>
    <xf numFmtId="0" fontId="22" fillId="47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40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8" borderId="0" applyNumberFormat="0" applyBorder="0" applyAlignment="0" applyProtection="0"/>
    <xf numFmtId="0" fontId="22" fillId="38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2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3" fillId="38" borderId="0" applyNumberFormat="0" applyBorder="0" applyAlignment="0" applyProtection="0"/>
    <xf numFmtId="0" fontId="1" fillId="31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1" fillId="31" borderId="0" applyNumberFormat="0" applyBorder="0" applyAlignment="0" applyProtection="0"/>
    <xf numFmtId="0" fontId="22" fillId="38" borderId="0" applyNumberFormat="0" applyBorder="0" applyAlignment="0" applyProtection="0"/>
    <xf numFmtId="0" fontId="1" fillId="31" borderId="0" applyNumberFormat="0" applyBorder="0" applyAlignment="0" applyProtection="0"/>
    <xf numFmtId="0" fontId="22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3" fillId="38" borderId="0" applyNumberFormat="0" applyBorder="0" applyAlignment="0" applyProtection="0"/>
    <xf numFmtId="0" fontId="1" fillId="31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38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7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3" fillId="38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" fillId="31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12" borderId="0" applyNumberFormat="0" applyBorder="0" applyAlignment="0" applyProtection="0"/>
    <xf numFmtId="0" fontId="17" fillId="49" borderId="0" applyNumberFormat="0" applyBorder="0" applyAlignment="0" applyProtection="0"/>
    <xf numFmtId="0" fontId="25" fillId="48" borderId="0" applyNumberFormat="0" applyBorder="0" applyAlignment="0" applyProtection="0"/>
    <xf numFmtId="0" fontId="24" fillId="49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8" borderId="0" applyNumberFormat="0" applyBorder="0" applyAlignment="0" applyProtection="0"/>
    <xf numFmtId="0" fontId="26" fillId="12" borderId="0" applyNumberFormat="0" applyBorder="0" applyAlignment="0" applyProtection="0"/>
    <xf numFmtId="0" fontId="24" fillId="48" borderId="0" applyNumberFormat="0" applyBorder="0" applyAlignment="0" applyProtection="0"/>
    <xf numFmtId="0" fontId="26" fillId="12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24" fillId="48" borderId="0" applyNumberFormat="0" applyBorder="0" applyAlignment="0" applyProtection="0"/>
    <xf numFmtId="0" fontId="26" fillId="12" borderId="0" applyNumberFormat="0" applyBorder="0" applyAlignment="0" applyProtection="0"/>
    <xf numFmtId="0" fontId="25" fillId="48" borderId="0" applyNumberFormat="0" applyBorder="0" applyAlignment="0" applyProtection="0"/>
    <xf numFmtId="0" fontId="17" fillId="12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12" borderId="0" applyNumberFormat="0" applyBorder="0" applyAlignment="0" applyProtection="0"/>
    <xf numFmtId="0" fontId="24" fillId="48" borderId="0" applyNumberFormat="0" applyBorder="0" applyAlignment="0" applyProtection="0"/>
    <xf numFmtId="0" fontId="26" fillId="12" borderId="0" applyNumberFormat="0" applyBorder="0" applyAlignment="0" applyProtection="0"/>
    <xf numFmtId="0" fontId="25" fillId="48" borderId="0" applyNumberFormat="0" applyBorder="0" applyAlignment="0" applyProtection="0"/>
    <xf numFmtId="0" fontId="17" fillId="12" borderId="0" applyNumberFormat="0" applyBorder="0" applyAlignment="0" applyProtection="0"/>
    <xf numFmtId="0" fontId="25" fillId="48" borderId="0" applyNumberFormat="0" applyBorder="0" applyAlignment="0" applyProtection="0"/>
    <xf numFmtId="0" fontId="26" fillId="12" borderId="0" applyNumberFormat="0" applyBorder="0" applyAlignment="0" applyProtection="0"/>
    <xf numFmtId="0" fontId="24" fillId="48" borderId="0" applyNumberFormat="0" applyBorder="0" applyAlignment="0" applyProtection="0"/>
    <xf numFmtId="0" fontId="26" fillId="12" borderId="0" applyNumberFormat="0" applyBorder="0" applyAlignment="0" applyProtection="0"/>
    <xf numFmtId="0" fontId="24" fillId="48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26" fillId="12" borderId="0" applyNumberFormat="0" applyBorder="0" applyAlignment="0" applyProtection="0"/>
    <xf numFmtId="0" fontId="24" fillId="49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17" fillId="16" borderId="0" applyNumberFormat="0" applyBorder="0" applyAlignment="0" applyProtection="0"/>
    <xf numFmtId="0" fontId="17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50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50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50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26" fillId="16" borderId="0" applyNumberFormat="0" applyBorder="0" applyAlignment="0" applyProtection="0"/>
    <xf numFmtId="0" fontId="24" fillId="37" borderId="0" applyNumberFormat="0" applyBorder="0" applyAlignment="0" applyProtection="0"/>
    <xf numFmtId="0" fontId="26" fillId="16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24" fillId="37" borderId="0" applyNumberFormat="0" applyBorder="0" applyAlignment="0" applyProtection="0"/>
    <xf numFmtId="0" fontId="26" fillId="16" borderId="0" applyNumberFormat="0" applyBorder="0" applyAlignment="0" applyProtection="0"/>
    <xf numFmtId="0" fontId="25" fillId="37" borderId="0" applyNumberFormat="0" applyBorder="0" applyAlignment="0" applyProtection="0"/>
    <xf numFmtId="0" fontId="17" fillId="16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24" fillId="50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7" fillId="16" borderId="0" applyNumberFormat="0" applyBorder="0" applyAlignment="0" applyProtection="0"/>
    <xf numFmtId="0" fontId="24" fillId="37" borderId="0" applyNumberFormat="0" applyBorder="0" applyAlignment="0" applyProtection="0"/>
    <xf numFmtId="0" fontId="26" fillId="16" borderId="0" applyNumberFormat="0" applyBorder="0" applyAlignment="0" applyProtection="0"/>
    <xf numFmtId="0" fontId="25" fillId="37" borderId="0" applyNumberFormat="0" applyBorder="0" applyAlignment="0" applyProtection="0"/>
    <xf numFmtId="0" fontId="17" fillId="16" borderId="0" applyNumberFormat="0" applyBorder="0" applyAlignment="0" applyProtection="0"/>
    <xf numFmtId="0" fontId="25" fillId="37" borderId="0" applyNumberFormat="0" applyBorder="0" applyAlignment="0" applyProtection="0"/>
    <xf numFmtId="0" fontId="26" fillId="16" borderId="0" applyNumberFormat="0" applyBorder="0" applyAlignment="0" applyProtection="0"/>
    <xf numFmtId="0" fontId="24" fillId="37" borderId="0" applyNumberFormat="0" applyBorder="0" applyAlignment="0" applyProtection="0"/>
    <xf numFmtId="0" fontId="26" fillId="16" borderId="0" applyNumberFormat="0" applyBorder="0" applyAlignment="0" applyProtection="0"/>
    <xf numFmtId="0" fontId="24" fillId="37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26" fillId="16" borderId="0" applyNumberFormat="0" applyBorder="0" applyAlignment="0" applyProtection="0"/>
    <xf numFmtId="0" fontId="24" fillId="37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4" fillId="50" borderId="0" applyNumberFormat="0" applyBorder="0" applyAlignment="0" applyProtection="0"/>
    <xf numFmtId="0" fontId="25" fillId="3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17" fillId="20" borderId="0" applyNumberFormat="0" applyBorder="0" applyAlignment="0" applyProtection="0"/>
    <xf numFmtId="0" fontId="17" fillId="46" borderId="0" applyNumberFormat="0" applyBorder="0" applyAlignment="0" applyProtection="0"/>
    <xf numFmtId="0" fontId="25" fillId="45" borderId="0" applyNumberFormat="0" applyBorder="0" applyAlignment="0" applyProtection="0"/>
    <xf numFmtId="0" fontId="24" fillId="46" borderId="0" applyNumberFormat="0" applyBorder="0" applyAlignment="0" applyProtection="0"/>
    <xf numFmtId="0" fontId="25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45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45" borderId="0" applyNumberFormat="0" applyBorder="0" applyAlignment="0" applyProtection="0"/>
    <xf numFmtId="0" fontId="25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7" borderId="0" applyNumberFormat="0" applyBorder="0" applyAlignment="0" applyProtection="0"/>
    <xf numFmtId="0" fontId="24" fillId="45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7" borderId="0" applyNumberFormat="0" applyBorder="0" applyAlignment="0" applyProtection="0"/>
    <xf numFmtId="0" fontId="24" fillId="45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5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7" borderId="0" applyNumberFormat="0" applyBorder="0" applyAlignment="0" applyProtection="0"/>
    <xf numFmtId="0" fontId="24" fillId="45" borderId="0" applyNumberFormat="0" applyBorder="0" applyAlignment="0" applyProtection="0"/>
    <xf numFmtId="0" fontId="25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5" borderId="0" applyNumberFormat="0" applyBorder="0" applyAlignment="0" applyProtection="0"/>
    <xf numFmtId="0" fontId="26" fillId="20" borderId="0" applyNumberFormat="0" applyBorder="0" applyAlignment="0" applyProtection="0"/>
    <xf numFmtId="0" fontId="24" fillId="45" borderId="0" applyNumberFormat="0" applyBorder="0" applyAlignment="0" applyProtection="0"/>
    <xf numFmtId="0" fontId="26" fillId="20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24" fillId="45" borderId="0" applyNumberFormat="0" applyBorder="0" applyAlignment="0" applyProtection="0"/>
    <xf numFmtId="0" fontId="26" fillId="20" borderId="0" applyNumberFormat="0" applyBorder="0" applyAlignment="0" applyProtection="0"/>
    <xf numFmtId="0" fontId="25" fillId="45" borderId="0" applyNumberFormat="0" applyBorder="0" applyAlignment="0" applyProtection="0"/>
    <xf numFmtId="0" fontId="17" fillId="20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24" fillId="47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17" fillId="20" borderId="0" applyNumberFormat="0" applyBorder="0" applyAlignment="0" applyProtection="0"/>
    <xf numFmtId="0" fontId="24" fillId="45" borderId="0" applyNumberFormat="0" applyBorder="0" applyAlignment="0" applyProtection="0"/>
    <xf numFmtId="0" fontId="26" fillId="20" borderId="0" applyNumberFormat="0" applyBorder="0" applyAlignment="0" applyProtection="0"/>
    <xf numFmtId="0" fontId="25" fillId="45" borderId="0" applyNumberFormat="0" applyBorder="0" applyAlignment="0" applyProtection="0"/>
    <xf numFmtId="0" fontId="17" fillId="20" borderId="0" applyNumberFormat="0" applyBorder="0" applyAlignment="0" applyProtection="0"/>
    <xf numFmtId="0" fontId="25" fillId="45" borderId="0" applyNumberFormat="0" applyBorder="0" applyAlignment="0" applyProtection="0"/>
    <xf numFmtId="0" fontId="26" fillId="20" borderId="0" applyNumberFormat="0" applyBorder="0" applyAlignment="0" applyProtection="0"/>
    <xf numFmtId="0" fontId="24" fillId="45" borderId="0" applyNumberFormat="0" applyBorder="0" applyAlignment="0" applyProtection="0"/>
    <xf numFmtId="0" fontId="26" fillId="20" borderId="0" applyNumberFormat="0" applyBorder="0" applyAlignment="0" applyProtection="0"/>
    <xf numFmtId="0" fontId="24" fillId="45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26" fillId="20" borderId="0" applyNumberFormat="0" applyBorder="0" applyAlignment="0" applyProtection="0"/>
    <xf numFmtId="0" fontId="24" fillId="46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4" fillId="47" borderId="0" applyNumberFormat="0" applyBorder="0" applyAlignment="0" applyProtection="0"/>
    <xf numFmtId="0" fontId="25" fillId="4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17" fillId="52" borderId="0" applyNumberFormat="0" applyBorder="0" applyAlignment="0" applyProtection="0"/>
    <xf numFmtId="0" fontId="25" fillId="51" borderId="0" applyNumberFormat="0" applyBorder="0" applyAlignment="0" applyProtection="0"/>
    <xf numFmtId="0" fontId="24" fillId="52" borderId="0" applyNumberFormat="0" applyBorder="0" applyAlignment="0" applyProtection="0"/>
    <xf numFmtId="0" fontId="25" fillId="51" borderId="0" applyNumberFormat="0" applyBorder="0" applyAlignment="0" applyProtection="0"/>
    <xf numFmtId="0" fontId="24" fillId="51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51" borderId="0" applyNumberFormat="0" applyBorder="0" applyAlignment="0" applyProtection="0"/>
    <xf numFmtId="0" fontId="25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5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51" borderId="0" applyNumberFormat="0" applyBorder="0" applyAlignment="0" applyProtection="0"/>
    <xf numFmtId="0" fontId="26" fillId="24" borderId="0" applyNumberFormat="0" applyBorder="0" applyAlignment="0" applyProtection="0"/>
    <xf numFmtId="0" fontId="24" fillId="51" borderId="0" applyNumberFormat="0" applyBorder="0" applyAlignment="0" applyProtection="0"/>
    <xf numFmtId="0" fontId="26" fillId="24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24" fillId="51" borderId="0" applyNumberFormat="0" applyBorder="0" applyAlignment="0" applyProtection="0"/>
    <xf numFmtId="0" fontId="26" fillId="24" borderId="0" applyNumberFormat="0" applyBorder="0" applyAlignment="0" applyProtection="0"/>
    <xf numFmtId="0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17" fillId="24" borderId="0" applyNumberFormat="0" applyBorder="0" applyAlignment="0" applyProtection="0"/>
    <xf numFmtId="0" fontId="24" fillId="51" borderId="0" applyNumberFormat="0" applyBorder="0" applyAlignment="0" applyProtection="0"/>
    <xf numFmtId="0" fontId="26" fillId="24" borderId="0" applyNumberFormat="0" applyBorder="0" applyAlignment="0" applyProtection="0"/>
    <xf numFmtId="0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25" fillId="51" borderId="0" applyNumberFormat="0" applyBorder="0" applyAlignment="0" applyProtection="0"/>
    <xf numFmtId="0" fontId="26" fillId="24" borderId="0" applyNumberFormat="0" applyBorder="0" applyAlignment="0" applyProtection="0"/>
    <xf numFmtId="0" fontId="24" fillId="51" borderId="0" applyNumberFormat="0" applyBorder="0" applyAlignment="0" applyProtection="0"/>
    <xf numFmtId="0" fontId="26" fillId="24" borderId="0" applyNumberFormat="0" applyBorder="0" applyAlignment="0" applyProtection="0"/>
    <xf numFmtId="0" fontId="24" fillId="51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26" fillId="24" borderId="0" applyNumberFormat="0" applyBorder="0" applyAlignment="0" applyProtection="0"/>
    <xf numFmtId="0" fontId="24" fillId="52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4" fillId="39" borderId="0" applyNumberFormat="0" applyBorder="0" applyAlignment="0" applyProtection="0"/>
    <xf numFmtId="0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28" borderId="0" applyNumberFormat="0" applyBorder="0" applyAlignment="0" applyProtection="0"/>
    <xf numFmtId="0" fontId="17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26" fillId="28" borderId="0" applyNumberFormat="0" applyBorder="0" applyAlignment="0" applyProtection="0"/>
    <xf numFmtId="0" fontId="24" fillId="48" borderId="0" applyNumberFormat="0" applyBorder="0" applyAlignment="0" applyProtection="0"/>
    <xf numFmtId="0" fontId="26" fillId="28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24" fillId="48" borderId="0" applyNumberFormat="0" applyBorder="0" applyAlignment="0" applyProtection="0"/>
    <xf numFmtId="0" fontId="26" fillId="28" borderId="0" applyNumberFormat="0" applyBorder="0" applyAlignment="0" applyProtection="0"/>
    <xf numFmtId="0" fontId="25" fillId="48" borderId="0" applyNumberFormat="0" applyBorder="0" applyAlignment="0" applyProtection="0"/>
    <xf numFmtId="0" fontId="17" fillId="28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24" fillId="44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28" borderId="0" applyNumberFormat="0" applyBorder="0" applyAlignment="0" applyProtection="0"/>
    <xf numFmtId="0" fontId="24" fillId="48" borderId="0" applyNumberFormat="0" applyBorder="0" applyAlignment="0" applyProtection="0"/>
    <xf numFmtId="0" fontId="26" fillId="28" borderId="0" applyNumberFormat="0" applyBorder="0" applyAlignment="0" applyProtection="0"/>
    <xf numFmtId="0" fontId="25" fillId="48" borderId="0" applyNumberFormat="0" applyBorder="0" applyAlignment="0" applyProtection="0"/>
    <xf numFmtId="0" fontId="17" fillId="28" borderId="0" applyNumberFormat="0" applyBorder="0" applyAlignment="0" applyProtection="0"/>
    <xf numFmtId="0" fontId="25" fillId="48" borderId="0" applyNumberFormat="0" applyBorder="0" applyAlignment="0" applyProtection="0"/>
    <xf numFmtId="0" fontId="26" fillId="28" borderId="0" applyNumberFormat="0" applyBorder="0" applyAlignment="0" applyProtection="0"/>
    <xf numFmtId="0" fontId="24" fillId="48" borderId="0" applyNumberFormat="0" applyBorder="0" applyAlignment="0" applyProtection="0"/>
    <xf numFmtId="0" fontId="26" fillId="28" borderId="0" applyNumberFormat="0" applyBorder="0" applyAlignment="0" applyProtection="0"/>
    <xf numFmtId="0" fontId="24" fillId="4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26" fillId="28" borderId="0" applyNumberFormat="0" applyBorder="0" applyAlignment="0" applyProtection="0"/>
    <xf numFmtId="0" fontId="24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4" fillId="44" borderId="0" applyNumberFormat="0" applyBorder="0" applyAlignment="0" applyProtection="0"/>
    <xf numFmtId="0" fontId="25" fillId="4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17" fillId="32" borderId="0" applyNumberFormat="0" applyBorder="0" applyAlignment="0" applyProtection="0"/>
    <xf numFmtId="0" fontId="17" fillId="53" borderId="0" applyNumberFormat="0" applyBorder="0" applyAlignment="0" applyProtection="0"/>
    <xf numFmtId="0" fontId="25" fillId="38" borderId="0" applyNumberFormat="0" applyBorder="0" applyAlignment="0" applyProtection="0"/>
    <xf numFmtId="0" fontId="24" fillId="53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8" borderId="0" applyNumberFormat="0" applyBorder="0" applyAlignment="0" applyProtection="0"/>
    <xf numFmtId="0" fontId="26" fillId="32" borderId="0" applyNumberFormat="0" applyBorder="0" applyAlignment="0" applyProtection="0"/>
    <xf numFmtId="0" fontId="24" fillId="38" borderId="0" applyNumberFormat="0" applyBorder="0" applyAlignment="0" applyProtection="0"/>
    <xf numFmtId="0" fontId="26" fillId="32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24" fillId="38" borderId="0" applyNumberFormat="0" applyBorder="0" applyAlignment="0" applyProtection="0"/>
    <xf numFmtId="0" fontId="26" fillId="32" borderId="0" applyNumberFormat="0" applyBorder="0" applyAlignment="0" applyProtection="0"/>
    <xf numFmtId="0" fontId="25" fillId="38" borderId="0" applyNumberFormat="0" applyBorder="0" applyAlignment="0" applyProtection="0"/>
    <xf numFmtId="0" fontId="17" fillId="32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7" fillId="32" borderId="0" applyNumberFormat="0" applyBorder="0" applyAlignment="0" applyProtection="0"/>
    <xf numFmtId="0" fontId="24" fillId="38" borderId="0" applyNumberFormat="0" applyBorder="0" applyAlignment="0" applyProtection="0"/>
    <xf numFmtId="0" fontId="26" fillId="32" borderId="0" applyNumberFormat="0" applyBorder="0" applyAlignment="0" applyProtection="0"/>
    <xf numFmtId="0" fontId="25" fillId="38" borderId="0" applyNumberFormat="0" applyBorder="0" applyAlignment="0" applyProtection="0"/>
    <xf numFmtId="0" fontId="17" fillId="32" borderId="0" applyNumberFormat="0" applyBorder="0" applyAlignment="0" applyProtection="0"/>
    <xf numFmtId="0" fontId="25" fillId="38" borderId="0" applyNumberFormat="0" applyBorder="0" applyAlignment="0" applyProtection="0"/>
    <xf numFmtId="0" fontId="26" fillId="32" borderId="0" applyNumberFormat="0" applyBorder="0" applyAlignment="0" applyProtection="0"/>
    <xf numFmtId="0" fontId="24" fillId="38" borderId="0" applyNumberFormat="0" applyBorder="0" applyAlignment="0" applyProtection="0"/>
    <xf numFmtId="0" fontId="26" fillId="32" borderId="0" applyNumberFormat="0" applyBorder="0" applyAlignment="0" applyProtection="0"/>
    <xf numFmtId="0" fontId="24" fillId="38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32" borderId="0" applyNumberFormat="0" applyBorder="0" applyAlignment="0" applyProtection="0"/>
    <xf numFmtId="0" fontId="24" fillId="53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17" fillId="9" borderId="0" applyNumberFormat="0" applyBorder="0" applyAlignment="0" applyProtection="0"/>
    <xf numFmtId="0" fontId="17" fillId="55" borderId="0" applyNumberFormat="0" applyBorder="0" applyAlignment="0" applyProtection="0"/>
    <xf numFmtId="0" fontId="25" fillId="48" borderId="0" applyNumberFormat="0" applyBorder="0" applyAlignment="0" applyProtection="0"/>
    <xf numFmtId="0" fontId="24" fillId="55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48" borderId="0" applyNumberFormat="0" applyBorder="0" applyAlignment="0" applyProtection="0"/>
    <xf numFmtId="0" fontId="26" fillId="9" borderId="0" applyNumberFormat="0" applyBorder="0" applyAlignment="0" applyProtection="0"/>
    <xf numFmtId="0" fontId="24" fillId="48" borderId="0" applyNumberFormat="0" applyBorder="0" applyAlignment="0" applyProtection="0"/>
    <xf numFmtId="0" fontId="26" fillId="9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24" fillId="48" borderId="0" applyNumberFormat="0" applyBorder="0" applyAlignment="0" applyProtection="0"/>
    <xf numFmtId="0" fontId="26" fillId="9" borderId="0" applyNumberFormat="0" applyBorder="0" applyAlignment="0" applyProtection="0"/>
    <xf numFmtId="0" fontId="25" fillId="48" borderId="0" applyNumberFormat="0" applyBorder="0" applyAlignment="0" applyProtection="0"/>
    <xf numFmtId="0" fontId="17" fillId="9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24" fillId="54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9" borderId="0" applyNumberFormat="0" applyBorder="0" applyAlignment="0" applyProtection="0"/>
    <xf numFmtId="0" fontId="24" fillId="48" borderId="0" applyNumberFormat="0" applyBorder="0" applyAlignment="0" applyProtection="0"/>
    <xf numFmtId="0" fontId="26" fillId="9" borderId="0" applyNumberFormat="0" applyBorder="0" applyAlignment="0" applyProtection="0"/>
    <xf numFmtId="0" fontId="25" fillId="48" borderId="0" applyNumberFormat="0" applyBorder="0" applyAlignment="0" applyProtection="0"/>
    <xf numFmtId="0" fontId="17" fillId="9" borderId="0" applyNumberFormat="0" applyBorder="0" applyAlignment="0" applyProtection="0"/>
    <xf numFmtId="0" fontId="25" fillId="48" borderId="0" applyNumberFormat="0" applyBorder="0" applyAlignment="0" applyProtection="0"/>
    <xf numFmtId="0" fontId="26" fillId="9" borderId="0" applyNumberFormat="0" applyBorder="0" applyAlignment="0" applyProtection="0"/>
    <xf numFmtId="0" fontId="24" fillId="48" borderId="0" applyNumberFormat="0" applyBorder="0" applyAlignment="0" applyProtection="0"/>
    <xf numFmtId="0" fontId="26" fillId="9" borderId="0" applyNumberFormat="0" applyBorder="0" applyAlignment="0" applyProtection="0"/>
    <xf numFmtId="0" fontId="24" fillId="48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26" fillId="9" borderId="0" applyNumberFormat="0" applyBorder="0" applyAlignment="0" applyProtection="0"/>
    <xf numFmtId="0" fontId="24" fillId="55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4" fillId="54" borderId="0" applyNumberFormat="0" applyBorder="0" applyAlignment="0" applyProtection="0"/>
    <xf numFmtId="0" fontId="25" fillId="4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17" fillId="13" borderId="0" applyNumberFormat="0" applyBorder="0" applyAlignment="0" applyProtection="0"/>
    <xf numFmtId="0" fontId="17" fillId="56" borderId="0" applyNumberFormat="0" applyBorder="0" applyAlignment="0" applyProtection="0"/>
    <xf numFmtId="0" fontId="25" fillId="56" borderId="0" applyNumberFormat="0" applyBorder="0" applyAlignment="0" applyProtection="0"/>
    <xf numFmtId="0" fontId="24" fillId="56" borderId="0" applyNumberFormat="0" applyBorder="0" applyAlignment="0" applyProtection="0"/>
    <xf numFmtId="0" fontId="25" fillId="56" borderId="0" applyNumberFormat="0" applyBorder="0" applyAlignment="0" applyProtection="0"/>
    <xf numFmtId="0" fontId="24" fillId="56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6" borderId="0" applyNumberFormat="0" applyBorder="0" applyAlignment="0" applyProtection="0"/>
    <xf numFmtId="0" fontId="25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26" fillId="13" borderId="0" applyNumberFormat="0" applyBorder="0" applyAlignment="0" applyProtection="0"/>
    <xf numFmtId="0" fontId="24" fillId="56" borderId="0" applyNumberFormat="0" applyBorder="0" applyAlignment="0" applyProtection="0"/>
    <xf numFmtId="0" fontId="26" fillId="13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24" fillId="56" borderId="0" applyNumberFormat="0" applyBorder="0" applyAlignment="0" applyProtection="0"/>
    <xf numFmtId="0" fontId="26" fillId="13" borderId="0" applyNumberFormat="0" applyBorder="0" applyAlignment="0" applyProtection="0"/>
    <xf numFmtId="0" fontId="25" fillId="56" borderId="0" applyNumberFormat="0" applyBorder="0" applyAlignment="0" applyProtection="0"/>
    <xf numFmtId="0" fontId="17" fillId="13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17" fillId="13" borderId="0" applyNumberFormat="0" applyBorder="0" applyAlignment="0" applyProtection="0"/>
    <xf numFmtId="0" fontId="24" fillId="56" borderId="0" applyNumberFormat="0" applyBorder="0" applyAlignment="0" applyProtection="0"/>
    <xf numFmtId="0" fontId="26" fillId="13" borderId="0" applyNumberFormat="0" applyBorder="0" applyAlignment="0" applyProtection="0"/>
    <xf numFmtId="0" fontId="25" fillId="56" borderId="0" applyNumberFormat="0" applyBorder="0" applyAlignment="0" applyProtection="0"/>
    <xf numFmtId="0" fontId="17" fillId="13" borderId="0" applyNumberFormat="0" applyBorder="0" applyAlignment="0" applyProtection="0"/>
    <xf numFmtId="0" fontId="25" fillId="56" borderId="0" applyNumberFormat="0" applyBorder="0" applyAlignment="0" applyProtection="0"/>
    <xf numFmtId="0" fontId="26" fillId="13" borderId="0" applyNumberFormat="0" applyBorder="0" applyAlignment="0" applyProtection="0"/>
    <xf numFmtId="0" fontId="24" fillId="56" borderId="0" applyNumberFormat="0" applyBorder="0" applyAlignment="0" applyProtection="0"/>
    <xf numFmtId="0" fontId="26" fillId="13" borderId="0" applyNumberFormat="0" applyBorder="0" applyAlignment="0" applyProtection="0"/>
    <xf numFmtId="0" fontId="24" fillId="56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26" fillId="13" borderId="0" applyNumberFormat="0" applyBorder="0" applyAlignment="0" applyProtection="0"/>
    <xf numFmtId="0" fontId="24" fillId="56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4" fillId="50" borderId="0" applyNumberFormat="0" applyBorder="0" applyAlignment="0" applyProtection="0"/>
    <xf numFmtId="0" fontId="25" fillId="56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17" fillId="17" borderId="0" applyNumberFormat="0" applyBorder="0" applyAlignment="0" applyProtection="0"/>
    <xf numFmtId="0" fontId="17" fillId="57" borderId="0" applyNumberFormat="0" applyBorder="0" applyAlignment="0" applyProtection="0"/>
    <xf numFmtId="0" fontId="25" fillId="57" borderId="0" applyNumberFormat="0" applyBorder="0" applyAlignment="0" applyProtection="0"/>
    <xf numFmtId="0" fontId="24" fillId="57" borderId="0" applyNumberFormat="0" applyBorder="0" applyAlignment="0" applyProtection="0"/>
    <xf numFmtId="0" fontId="25" fillId="57" borderId="0" applyNumberFormat="0" applyBorder="0" applyAlignment="0" applyProtection="0"/>
    <xf numFmtId="0" fontId="24" fillId="5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57" borderId="0" applyNumberFormat="0" applyBorder="0" applyAlignment="0" applyProtection="0"/>
    <xf numFmtId="0" fontId="25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5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26" fillId="17" borderId="0" applyNumberFormat="0" applyBorder="0" applyAlignment="0" applyProtection="0"/>
    <xf numFmtId="0" fontId="24" fillId="57" borderId="0" applyNumberFormat="0" applyBorder="0" applyAlignment="0" applyProtection="0"/>
    <xf numFmtId="0" fontId="26" fillId="1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24" fillId="57" borderId="0" applyNumberFormat="0" applyBorder="0" applyAlignment="0" applyProtection="0"/>
    <xf numFmtId="0" fontId="26" fillId="17" borderId="0" applyNumberFormat="0" applyBorder="0" applyAlignment="0" applyProtection="0"/>
    <xf numFmtId="0" fontId="25" fillId="57" borderId="0" applyNumberFormat="0" applyBorder="0" applyAlignment="0" applyProtection="0"/>
    <xf numFmtId="0" fontId="17" fillId="1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24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17" fillId="17" borderId="0" applyNumberFormat="0" applyBorder="0" applyAlignment="0" applyProtection="0"/>
    <xf numFmtId="0" fontId="24" fillId="57" borderId="0" applyNumberFormat="0" applyBorder="0" applyAlignment="0" applyProtection="0"/>
    <xf numFmtId="0" fontId="26" fillId="17" borderId="0" applyNumberFormat="0" applyBorder="0" applyAlignment="0" applyProtection="0"/>
    <xf numFmtId="0" fontId="25" fillId="57" borderId="0" applyNumberFormat="0" applyBorder="0" applyAlignment="0" applyProtection="0"/>
    <xf numFmtId="0" fontId="17" fillId="17" borderId="0" applyNumberFormat="0" applyBorder="0" applyAlignment="0" applyProtection="0"/>
    <xf numFmtId="0" fontId="25" fillId="57" borderId="0" applyNumberFormat="0" applyBorder="0" applyAlignment="0" applyProtection="0"/>
    <xf numFmtId="0" fontId="26" fillId="17" borderId="0" applyNumberFormat="0" applyBorder="0" applyAlignment="0" applyProtection="0"/>
    <xf numFmtId="0" fontId="24" fillId="57" borderId="0" applyNumberFormat="0" applyBorder="0" applyAlignment="0" applyProtection="0"/>
    <xf numFmtId="0" fontId="26" fillId="17" borderId="0" applyNumberFormat="0" applyBorder="0" applyAlignment="0" applyProtection="0"/>
    <xf numFmtId="0" fontId="24" fillId="5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26" fillId="17" borderId="0" applyNumberFormat="0" applyBorder="0" applyAlignment="0" applyProtection="0"/>
    <xf numFmtId="0" fontId="24" fillId="5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4" fillId="47" borderId="0" applyNumberFormat="0" applyBorder="0" applyAlignment="0" applyProtection="0"/>
    <xf numFmtId="0" fontId="25" fillId="5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52" borderId="0" applyNumberFormat="0" applyBorder="0" applyAlignment="0" applyProtection="0"/>
    <xf numFmtId="0" fontId="25" fillId="58" borderId="0" applyNumberFormat="0" applyBorder="0" applyAlignment="0" applyProtection="0"/>
    <xf numFmtId="0" fontId="24" fillId="52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5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6" fillId="21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6" fillId="21" borderId="0" applyNumberFormat="0" applyBorder="0" applyAlignment="0" applyProtection="0"/>
    <xf numFmtId="0" fontId="25" fillId="58" borderId="0" applyNumberFormat="0" applyBorder="0" applyAlignment="0" applyProtection="0"/>
    <xf numFmtId="0" fontId="17" fillId="21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6" fillId="21" borderId="0" applyNumberFormat="0" applyBorder="0" applyAlignment="0" applyProtection="0"/>
    <xf numFmtId="0" fontId="25" fillId="58" borderId="0" applyNumberFormat="0" applyBorder="0" applyAlignment="0" applyProtection="0"/>
    <xf numFmtId="0" fontId="17" fillId="21" borderId="0" applyNumberFormat="0" applyBorder="0" applyAlignment="0" applyProtection="0"/>
    <xf numFmtId="0" fontId="25" fillId="58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6" fillId="21" borderId="0" applyNumberFormat="0" applyBorder="0" applyAlignment="0" applyProtection="0"/>
    <xf numFmtId="0" fontId="24" fillId="58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26" fillId="21" borderId="0" applyNumberFormat="0" applyBorder="0" applyAlignment="0" applyProtection="0"/>
    <xf numFmtId="0" fontId="24" fillId="52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4" fillId="58" borderId="0" applyNumberFormat="0" applyBorder="0" applyAlignment="0" applyProtection="0"/>
    <xf numFmtId="0" fontId="25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25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6" fillId="25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6" fillId="25" borderId="0" applyNumberFormat="0" applyBorder="0" applyAlignment="0" applyProtection="0"/>
    <xf numFmtId="0" fontId="25" fillId="48" borderId="0" applyNumberFormat="0" applyBorder="0" applyAlignment="0" applyProtection="0"/>
    <xf numFmtId="0" fontId="17" fillId="25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6" fillId="25" borderId="0" applyNumberFormat="0" applyBorder="0" applyAlignment="0" applyProtection="0"/>
    <xf numFmtId="0" fontId="25" fillId="48" borderId="0" applyNumberFormat="0" applyBorder="0" applyAlignment="0" applyProtection="0"/>
    <xf numFmtId="0" fontId="17" fillId="25" borderId="0" applyNumberFormat="0" applyBorder="0" applyAlignment="0" applyProtection="0"/>
    <xf numFmtId="0" fontId="25" fillId="48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26" fillId="25" borderId="0" applyNumberFormat="0" applyBorder="0" applyAlignment="0" applyProtection="0"/>
    <xf numFmtId="0" fontId="24" fillId="48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17" fillId="50" borderId="0" applyNumberFormat="0" applyBorder="0" applyAlignment="0" applyProtection="0"/>
    <xf numFmtId="0" fontId="25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50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5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5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26" fillId="29" borderId="0" applyNumberFormat="0" applyBorder="0" applyAlignment="0" applyProtection="0"/>
    <xf numFmtId="0" fontId="24" fillId="50" borderId="0" applyNumberFormat="0" applyBorder="0" applyAlignment="0" applyProtection="0"/>
    <xf numFmtId="0" fontId="26" fillId="29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4" fillId="50" borderId="0" applyNumberFormat="0" applyBorder="0" applyAlignment="0" applyProtection="0"/>
    <xf numFmtId="0" fontId="26" fillId="29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4" fillId="56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17" fillId="29" borderId="0" applyNumberFormat="0" applyBorder="0" applyAlignment="0" applyProtection="0"/>
    <xf numFmtId="0" fontId="24" fillId="50" borderId="0" applyNumberFormat="0" applyBorder="0" applyAlignment="0" applyProtection="0"/>
    <xf numFmtId="0" fontId="26" fillId="29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25" fillId="50" borderId="0" applyNumberFormat="0" applyBorder="0" applyAlignment="0" applyProtection="0"/>
    <xf numFmtId="0" fontId="26" fillId="29" borderId="0" applyNumberFormat="0" applyBorder="0" applyAlignment="0" applyProtection="0"/>
    <xf numFmtId="0" fontId="24" fillId="50" borderId="0" applyNumberFormat="0" applyBorder="0" applyAlignment="0" applyProtection="0"/>
    <xf numFmtId="0" fontId="26" fillId="29" borderId="0" applyNumberFormat="0" applyBorder="0" applyAlignment="0" applyProtection="0"/>
    <xf numFmtId="0" fontId="24" fillId="50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26" fillId="29" borderId="0" applyNumberFormat="0" applyBorder="0" applyAlignment="0" applyProtection="0"/>
    <xf numFmtId="0" fontId="24" fillId="50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4" fillId="56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7" fillId="3" borderId="0" applyNumberFormat="0" applyBorder="0" applyAlignment="0" applyProtection="0"/>
    <xf numFmtId="0" fontId="7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8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29" fillId="3" borderId="0" applyNumberFormat="0" applyBorder="0" applyAlignment="0" applyProtection="0"/>
    <xf numFmtId="0" fontId="27" fillId="39" borderId="0" applyNumberFormat="0" applyBorder="0" applyAlignment="0" applyProtection="0"/>
    <xf numFmtId="0" fontId="29" fillId="3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27" fillId="39" borderId="0" applyNumberFormat="0" applyBorder="0" applyAlignment="0" applyProtection="0"/>
    <xf numFmtId="0" fontId="29" fillId="3" borderId="0" applyNumberFormat="0" applyBorder="0" applyAlignment="0" applyProtection="0"/>
    <xf numFmtId="0" fontId="28" fillId="39" borderId="0" applyNumberFormat="0" applyBorder="0" applyAlignment="0" applyProtection="0"/>
    <xf numFmtId="0" fontId="7" fillId="3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27" fillId="42" borderId="0" applyNumberFormat="0" applyBorder="0" applyAlignment="0" applyProtection="0"/>
    <xf numFmtId="0" fontId="27" fillId="39" borderId="0" applyNumberFormat="0" applyBorder="0" applyAlignment="0" applyProtection="0"/>
    <xf numFmtId="0" fontId="27" fillId="39" borderId="0" applyNumberFormat="0" applyBorder="0" applyAlignment="0" applyProtection="0"/>
    <xf numFmtId="0" fontId="7" fillId="3" borderId="0" applyNumberFormat="0" applyBorder="0" applyAlignment="0" applyProtection="0"/>
    <xf numFmtId="0" fontId="27" fillId="39" borderId="0" applyNumberFormat="0" applyBorder="0" applyAlignment="0" applyProtection="0"/>
    <xf numFmtId="0" fontId="29" fillId="3" borderId="0" applyNumberFormat="0" applyBorder="0" applyAlignment="0" applyProtection="0"/>
    <xf numFmtId="0" fontId="28" fillId="39" borderId="0" applyNumberFormat="0" applyBorder="0" applyAlignment="0" applyProtection="0"/>
    <xf numFmtId="0" fontId="7" fillId="3" borderId="0" applyNumberFormat="0" applyBorder="0" applyAlignment="0" applyProtection="0"/>
    <xf numFmtId="0" fontId="28" fillId="39" borderId="0" applyNumberFormat="0" applyBorder="0" applyAlignment="0" applyProtection="0"/>
    <xf numFmtId="0" fontId="29" fillId="3" borderId="0" applyNumberFormat="0" applyBorder="0" applyAlignment="0" applyProtection="0"/>
    <xf numFmtId="0" fontId="27" fillId="39" borderId="0" applyNumberFormat="0" applyBorder="0" applyAlignment="0" applyProtection="0"/>
    <xf numFmtId="0" fontId="29" fillId="3" borderId="0" applyNumberFormat="0" applyBorder="0" applyAlignment="0" applyProtection="0"/>
    <xf numFmtId="0" fontId="27" fillId="39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3" borderId="0" applyNumberFormat="0" applyBorder="0" applyAlignment="0" applyProtection="0"/>
    <xf numFmtId="0" fontId="27" fillId="39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7" fillId="42" borderId="0" applyNumberFormat="0" applyBorder="0" applyAlignment="0" applyProtection="0"/>
    <xf numFmtId="0" fontId="28" fillId="3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7" fillId="3" borderId="0" applyNumberFormat="0" applyBorder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11" fillId="6" borderId="4" applyNumberFormat="0" applyAlignment="0" applyProtection="0"/>
    <xf numFmtId="0" fontId="33" fillId="35" borderId="4" applyNumberFormat="0" applyAlignment="0" applyProtection="0"/>
    <xf numFmtId="0" fontId="31" fillId="43" borderId="15" applyNumberFormat="0" applyAlignment="0" applyProtection="0"/>
    <xf numFmtId="0" fontId="34" fillId="35" borderId="15" applyNumberFormat="0" applyAlignment="0" applyProtection="0"/>
    <xf numFmtId="0" fontId="31" fillId="43" borderId="15" applyNumberFormat="0" applyAlignment="0" applyProtection="0"/>
    <xf numFmtId="0" fontId="34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11" fillId="6" borderId="4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4" fillId="43" borderId="15" applyNumberFormat="0" applyAlignment="0" applyProtection="0"/>
    <xf numFmtId="0" fontId="31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11" fillId="6" borderId="4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11" fillId="6" borderId="4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4" fillId="43" borderId="15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1" fillId="43" borderId="15" applyNumberFormat="0" applyAlignment="0" applyProtection="0"/>
    <xf numFmtId="0" fontId="34" fillId="43" borderId="15" applyNumberFormat="0" applyAlignment="0" applyProtection="0"/>
    <xf numFmtId="0" fontId="34" fillId="43" borderId="15" applyNumberFormat="0" applyAlignment="0" applyProtection="0"/>
    <xf numFmtId="0" fontId="34" fillId="43" borderId="15" applyNumberFormat="0" applyAlignment="0" applyProtection="0"/>
    <xf numFmtId="0" fontId="34" fillId="43" borderId="15" applyNumberFormat="0" applyAlignment="0" applyProtection="0"/>
    <xf numFmtId="0" fontId="11" fillId="43" borderId="4" applyNumberFormat="0" applyAlignment="0" applyProtection="0"/>
    <xf numFmtId="0" fontId="34" fillId="43" borderId="15" applyNumberFormat="0" applyAlignment="0" applyProtection="0"/>
    <xf numFmtId="0" fontId="11" fillId="43" borderId="4" applyNumberFormat="0" applyAlignment="0" applyProtection="0"/>
    <xf numFmtId="0" fontId="34" fillId="43" borderId="15" applyNumberFormat="0" applyAlignment="0" applyProtection="0"/>
    <xf numFmtId="0" fontId="11" fillId="43" borderId="4" applyNumberFormat="0" applyAlignment="0" applyProtection="0"/>
    <xf numFmtId="0" fontId="34" fillId="43" borderId="15" applyNumberFormat="0" applyAlignment="0" applyProtection="0"/>
    <xf numFmtId="0" fontId="11" fillId="43" borderId="4" applyNumberFormat="0" applyAlignment="0" applyProtection="0"/>
    <xf numFmtId="0" fontId="34" fillId="43" borderId="15" applyNumberFormat="0" applyAlignment="0" applyProtection="0"/>
    <xf numFmtId="0" fontId="11" fillId="43" borderId="4" applyNumberFormat="0" applyAlignment="0" applyProtection="0"/>
    <xf numFmtId="0" fontId="34" fillId="43" borderId="15" applyNumberFormat="0" applyAlignment="0" applyProtection="0"/>
    <xf numFmtId="0" fontId="11" fillId="43" borderId="4" applyNumberFormat="0" applyAlignment="0" applyProtection="0"/>
    <xf numFmtId="0" fontId="34" fillId="43" borderId="15" applyNumberFormat="0" applyAlignment="0" applyProtection="0"/>
    <xf numFmtId="0" fontId="11" fillId="6" borderId="4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34" fillId="43" borderId="15" applyNumberFormat="0" applyAlignment="0" applyProtection="0"/>
    <xf numFmtId="0" fontId="11" fillId="6" borderId="4" applyNumberFormat="0" applyAlignment="0" applyProtection="0"/>
    <xf numFmtId="0" fontId="34" fillId="43" borderId="15" applyNumberFormat="0" applyAlignment="0" applyProtection="0"/>
    <xf numFmtId="0" fontId="11" fillId="6" borderId="4" applyNumberFormat="0" applyAlignment="0" applyProtection="0"/>
    <xf numFmtId="0" fontId="34" fillId="43" borderId="15" applyNumberFormat="0" applyAlignment="0" applyProtection="0"/>
    <xf numFmtId="0" fontId="11" fillId="6" borderId="4" applyNumberFormat="0" applyAlignment="0" applyProtection="0"/>
    <xf numFmtId="0" fontId="34" fillId="43" borderId="15" applyNumberFormat="0" applyAlignment="0" applyProtection="0"/>
    <xf numFmtId="0" fontId="32" fillId="6" borderId="4" applyNumberFormat="0" applyAlignment="0" applyProtection="0"/>
    <xf numFmtId="0" fontId="34" fillId="43" borderId="15" applyNumberFormat="0" applyAlignment="0" applyProtection="0"/>
    <xf numFmtId="0" fontId="32" fillId="6" borderId="4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34" fillId="43" borderId="15" applyNumberFormat="0" applyAlignment="0" applyProtection="0"/>
    <xf numFmtId="0" fontId="32" fillId="6" borderId="4" applyNumberFormat="0" applyAlignment="0" applyProtection="0"/>
    <xf numFmtId="0" fontId="31" fillId="43" borderId="15" applyNumberFormat="0" applyAlignment="0" applyProtection="0"/>
    <xf numFmtId="0" fontId="11" fillId="6" borderId="4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30" fillId="43" borderId="15" applyNumberFormat="0" applyAlignment="0" applyProtection="0"/>
    <xf numFmtId="0" fontId="34" fillId="43" borderId="15" applyNumberFormat="0" applyAlignment="0" applyProtection="0"/>
    <xf numFmtId="0" fontId="34" fillId="43" borderId="15" applyNumberFormat="0" applyAlignment="0" applyProtection="0"/>
    <xf numFmtId="0" fontId="11" fillId="6" borderId="4" applyNumberFormat="0" applyAlignment="0" applyProtection="0"/>
    <xf numFmtId="0" fontId="34" fillId="43" borderId="15" applyNumberFormat="0" applyAlignment="0" applyProtection="0"/>
    <xf numFmtId="0" fontId="32" fillId="6" borderId="4" applyNumberFormat="0" applyAlignment="0" applyProtection="0"/>
    <xf numFmtId="0" fontId="31" fillId="43" borderId="15" applyNumberFormat="0" applyAlignment="0" applyProtection="0"/>
    <xf numFmtId="0" fontId="11" fillId="6" borderId="4" applyNumberFormat="0" applyAlignment="0" applyProtection="0"/>
    <xf numFmtId="0" fontId="31" fillId="43" borderId="15" applyNumberFormat="0" applyAlignment="0" applyProtection="0"/>
    <xf numFmtId="0" fontId="32" fillId="6" borderId="4" applyNumberFormat="0" applyAlignment="0" applyProtection="0"/>
    <xf numFmtId="0" fontId="34" fillId="43" borderId="15" applyNumberFormat="0" applyAlignment="0" applyProtection="0"/>
    <xf numFmtId="0" fontId="32" fillId="6" borderId="4" applyNumberFormat="0" applyAlignment="0" applyProtection="0"/>
    <xf numFmtId="0" fontId="34" fillId="43" borderId="15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32" fillId="6" borderId="4" applyNumberFormat="0" applyAlignment="0" applyProtection="0"/>
    <xf numFmtId="0" fontId="34" fillId="35" borderId="15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30" fillId="43" borderId="15" applyNumberFormat="0" applyAlignment="0" applyProtection="0"/>
    <xf numFmtId="0" fontId="31" fillId="43" borderId="15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32" fillId="6" borderId="4" applyNumberFormat="0" applyAlignment="0" applyProtection="0"/>
    <xf numFmtId="0" fontId="11" fillId="6" borderId="4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13" fillId="7" borderId="7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6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7" fillId="7" borderId="7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7" fillId="7" borderId="7" applyNumberFormat="0" applyAlignment="0" applyProtection="0"/>
    <xf numFmtId="0" fontId="36" fillId="51" borderId="16" applyNumberFormat="0" applyAlignment="0" applyProtection="0"/>
    <xf numFmtId="0" fontId="13" fillId="7" borderId="7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5" fillId="51" borderId="16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7" fillId="7" borderId="7" applyNumberFormat="0" applyAlignment="0" applyProtection="0"/>
    <xf numFmtId="0" fontId="36" fillId="51" borderId="16" applyNumberFormat="0" applyAlignment="0" applyProtection="0"/>
    <xf numFmtId="0" fontId="13" fillId="7" borderId="7" applyNumberFormat="0" applyAlignment="0" applyProtection="0"/>
    <xf numFmtId="0" fontId="36" fillId="51" borderId="16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0" fontId="37" fillId="7" borderId="7" applyNumberFormat="0" applyAlignment="0" applyProtection="0"/>
    <xf numFmtId="0" fontId="35" fillId="51" borderId="16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35" fillId="51" borderId="16" applyNumberFormat="0" applyAlignment="0" applyProtection="0"/>
    <xf numFmtId="0" fontId="36" fillId="51" borderId="16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37" fillId="7" borderId="7" applyNumberFormat="0" applyAlignment="0" applyProtection="0"/>
    <xf numFmtId="0" fontId="13" fillId="7" borderId="7" applyNumberForma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8" fillId="59" borderId="17" applyProtection="0">
      <alignment horizontal="center"/>
    </xf>
    <xf numFmtId="0" fontId="38" fillId="60" borderId="17" applyProtection="0">
      <alignment horizontal="center"/>
    </xf>
    <xf numFmtId="0" fontId="38" fillId="60" borderId="18" applyProtection="0">
      <alignment horizontal="center"/>
    </xf>
    <xf numFmtId="44" fontId="1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6" fillId="2" borderId="0" applyNumberFormat="0" applyBorder="0" applyAlignment="0" applyProtection="0"/>
    <xf numFmtId="0" fontId="6" fillId="41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44" fillId="2" borderId="0" applyNumberFormat="0" applyBorder="0" applyAlignment="0" applyProtection="0"/>
    <xf numFmtId="0" fontId="42" fillId="41" borderId="0" applyNumberFormat="0" applyBorder="0" applyAlignment="0" applyProtection="0"/>
    <xf numFmtId="0" fontId="44" fillId="2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42" fillId="41" borderId="0" applyNumberFormat="0" applyBorder="0" applyAlignment="0" applyProtection="0"/>
    <xf numFmtId="0" fontId="44" fillId="2" borderId="0" applyNumberFormat="0" applyBorder="0" applyAlignment="0" applyProtection="0"/>
    <xf numFmtId="0" fontId="43" fillId="41" borderId="0" applyNumberFormat="0" applyBorder="0" applyAlignment="0" applyProtection="0"/>
    <xf numFmtId="0" fontId="6" fillId="2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6" fillId="2" borderId="0" applyNumberFormat="0" applyBorder="0" applyAlignment="0" applyProtection="0"/>
    <xf numFmtId="0" fontId="42" fillId="41" borderId="0" applyNumberFormat="0" applyBorder="0" applyAlignment="0" applyProtection="0"/>
    <xf numFmtId="0" fontId="44" fillId="2" borderId="0" applyNumberFormat="0" applyBorder="0" applyAlignment="0" applyProtection="0"/>
    <xf numFmtId="0" fontId="43" fillId="41" borderId="0" applyNumberFormat="0" applyBorder="0" applyAlignment="0" applyProtection="0"/>
    <xf numFmtId="0" fontId="6" fillId="2" borderId="0" applyNumberFormat="0" applyBorder="0" applyAlignment="0" applyProtection="0"/>
    <xf numFmtId="0" fontId="43" fillId="41" borderId="0" applyNumberFormat="0" applyBorder="0" applyAlignment="0" applyProtection="0"/>
    <xf numFmtId="0" fontId="44" fillId="2" borderId="0" applyNumberFormat="0" applyBorder="0" applyAlignment="0" applyProtection="0"/>
    <xf numFmtId="0" fontId="42" fillId="41" borderId="0" applyNumberFormat="0" applyBorder="0" applyAlignment="0" applyProtection="0"/>
    <xf numFmtId="0" fontId="44" fillId="2" borderId="0" applyNumberFormat="0" applyBorder="0" applyAlignment="0" applyProtection="0"/>
    <xf numFmtId="0" fontId="42" fillId="41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2" borderId="0" applyNumberFormat="0" applyBorder="0" applyAlignment="0" applyProtection="0"/>
    <xf numFmtId="0" fontId="42" fillId="41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2" fillId="44" borderId="0" applyNumberFormat="0" applyBorder="0" applyAlignment="0" applyProtection="0"/>
    <xf numFmtId="0" fontId="43" fillId="41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44" fillId="2" borderId="0" applyNumberFormat="0" applyBorder="0" applyAlignment="0" applyProtection="0"/>
    <xf numFmtId="0" fontId="6" fillId="2" borderId="0" applyNumberFormat="0" applyBorder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3" fillId="0" borderId="1" applyNumberFormat="0" applyFill="0" applyAlignment="0" applyProtection="0"/>
    <xf numFmtId="0" fontId="48" fillId="0" borderId="21" applyNumberFormat="0" applyFill="0" applyAlignment="0" applyProtection="0"/>
    <xf numFmtId="0" fontId="46" fillId="0" borderId="20" applyNumberFormat="0" applyFill="0" applyAlignment="0" applyProtection="0"/>
    <xf numFmtId="0" fontId="48" fillId="0" borderId="21" applyNumberFormat="0" applyFill="0" applyAlignment="0" applyProtection="0"/>
    <xf numFmtId="0" fontId="46" fillId="0" borderId="20" applyNumberFormat="0" applyFill="0" applyAlignment="0" applyProtection="0"/>
    <xf numFmtId="0" fontId="45" fillId="0" borderId="20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20" applyNumberFormat="0" applyFill="0" applyAlignment="0" applyProtection="0"/>
    <xf numFmtId="0" fontId="46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6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5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20" applyNumberFormat="0" applyFill="0" applyAlignment="0" applyProtection="0"/>
    <xf numFmtId="0" fontId="47" fillId="0" borderId="1" applyNumberFormat="0" applyFill="0" applyAlignment="0" applyProtection="0"/>
    <xf numFmtId="0" fontId="45" fillId="0" borderId="20" applyNumberFormat="0" applyFill="0" applyAlignment="0" applyProtection="0"/>
    <xf numFmtId="0" fontId="47" fillId="0" borderId="1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45" fillId="0" borderId="20" applyNumberFormat="0" applyFill="0" applyAlignment="0" applyProtection="0"/>
    <xf numFmtId="0" fontId="47" fillId="0" borderId="1" applyNumberFormat="0" applyFill="0" applyAlignment="0" applyProtection="0"/>
    <xf numFmtId="0" fontId="46" fillId="0" borderId="20" applyNumberFormat="0" applyFill="0" applyAlignment="0" applyProtection="0"/>
    <xf numFmtId="0" fontId="3" fillId="0" borderId="1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4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3" fillId="0" borderId="1" applyNumberFormat="0" applyFill="0" applyAlignment="0" applyProtection="0"/>
    <xf numFmtId="0" fontId="45" fillId="0" borderId="20" applyNumberFormat="0" applyFill="0" applyAlignment="0" applyProtection="0"/>
    <xf numFmtId="0" fontId="47" fillId="0" borderId="1" applyNumberFormat="0" applyFill="0" applyAlignment="0" applyProtection="0"/>
    <xf numFmtId="0" fontId="46" fillId="0" borderId="20" applyNumberFormat="0" applyFill="0" applyAlignment="0" applyProtection="0"/>
    <xf numFmtId="0" fontId="3" fillId="0" borderId="1" applyNumberFormat="0" applyFill="0" applyAlignment="0" applyProtection="0"/>
    <xf numFmtId="0" fontId="46" fillId="0" borderId="20" applyNumberFormat="0" applyFill="0" applyAlignment="0" applyProtection="0"/>
    <xf numFmtId="0" fontId="47" fillId="0" borderId="1" applyNumberFormat="0" applyFill="0" applyAlignment="0" applyProtection="0"/>
    <xf numFmtId="0" fontId="45" fillId="0" borderId="20" applyNumberFormat="0" applyFill="0" applyAlignment="0" applyProtection="0"/>
    <xf numFmtId="0" fontId="47" fillId="0" borderId="1" applyNumberFormat="0" applyFill="0" applyAlignment="0" applyProtection="0"/>
    <xf numFmtId="0" fontId="45" fillId="0" borderId="20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47" fillId="0" borderId="1" applyNumberFormat="0" applyFill="0" applyAlignment="0" applyProtection="0"/>
    <xf numFmtId="0" fontId="48" fillId="0" borderId="2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3" fillId="0" borderId="1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" fillId="0" borderId="2" applyNumberFormat="0" applyFill="0" applyAlignment="0" applyProtection="0"/>
    <xf numFmtId="0" fontId="52" fillId="0" borderId="23" applyNumberFormat="0" applyFill="0" applyAlignment="0" applyProtection="0"/>
    <xf numFmtId="0" fontId="50" fillId="0" borderId="23" applyNumberFormat="0" applyFill="0" applyAlignment="0" applyProtection="0"/>
    <xf numFmtId="0" fontId="52" fillId="0" borderId="23" applyNumberFormat="0" applyFill="0" applyAlignment="0" applyProtection="0"/>
    <xf numFmtId="0" fontId="50" fillId="0" borderId="23" applyNumberFormat="0" applyFill="0" applyAlignment="0" applyProtection="0"/>
    <xf numFmtId="0" fontId="49" fillId="0" borderId="23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3" applyNumberFormat="0" applyFill="0" applyAlignment="0" applyProtection="0"/>
    <xf numFmtId="0" fontId="50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50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53" fillId="0" borderId="2" applyNumberFormat="0" applyFill="0" applyAlignment="0" applyProtection="0"/>
    <xf numFmtId="0" fontId="49" fillId="0" borderId="23" applyNumberFormat="0" applyFill="0" applyAlignment="0" applyProtection="0"/>
    <xf numFmtId="0" fontId="53" fillId="0" borderId="2" applyNumberFormat="0" applyFill="0" applyAlignment="0" applyProtection="0"/>
    <xf numFmtId="0" fontId="49" fillId="0" borderId="23" applyNumberFormat="0" applyFill="0" applyAlignment="0" applyProtection="0"/>
    <xf numFmtId="0" fontId="53" fillId="0" borderId="2" applyNumberFormat="0" applyFill="0" applyAlignment="0" applyProtection="0"/>
    <xf numFmtId="0" fontId="49" fillId="0" borderId="23" applyNumberFormat="0" applyFill="0" applyAlignment="0" applyProtection="0"/>
    <xf numFmtId="0" fontId="53" fillId="0" borderId="2" applyNumberFormat="0" applyFill="0" applyAlignment="0" applyProtection="0"/>
    <xf numFmtId="0" fontId="49" fillId="0" borderId="23" applyNumberFormat="0" applyFill="0" applyAlignment="0" applyProtection="0"/>
    <xf numFmtId="0" fontId="53" fillId="0" borderId="2" applyNumberFormat="0" applyFill="0" applyAlignment="0" applyProtection="0"/>
    <xf numFmtId="0" fontId="49" fillId="0" borderId="23" applyNumberFormat="0" applyFill="0" applyAlignment="0" applyProtection="0"/>
    <xf numFmtId="0" fontId="53" fillId="0" borderId="2" applyNumberFormat="0" applyFill="0" applyAlignment="0" applyProtection="0"/>
    <xf numFmtId="0" fontId="49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9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3" applyNumberFormat="0" applyFill="0" applyAlignment="0" applyProtection="0"/>
    <xf numFmtId="0" fontId="51" fillId="0" borderId="2" applyNumberFormat="0" applyFill="0" applyAlignment="0" applyProtection="0"/>
    <xf numFmtId="0" fontId="49" fillId="0" borderId="23" applyNumberFormat="0" applyFill="0" applyAlignment="0" applyProtection="0"/>
    <xf numFmtId="0" fontId="51" fillId="0" borderId="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49" fillId="0" borderId="23" applyNumberFormat="0" applyFill="0" applyAlignment="0" applyProtection="0"/>
    <xf numFmtId="0" fontId="51" fillId="0" borderId="2" applyNumberFormat="0" applyFill="0" applyAlignment="0" applyProtection="0"/>
    <xf numFmtId="0" fontId="50" fillId="0" borderId="23" applyNumberFormat="0" applyFill="0" applyAlignment="0" applyProtection="0"/>
    <xf numFmtId="0" fontId="4" fillId="0" borderId="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49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23" applyNumberFormat="0" applyFill="0" applyAlignment="0" applyProtection="0"/>
    <xf numFmtId="0" fontId="4" fillId="0" borderId="2" applyNumberFormat="0" applyFill="0" applyAlignment="0" applyProtection="0"/>
    <xf numFmtId="0" fontId="49" fillId="0" borderId="23" applyNumberFormat="0" applyFill="0" applyAlignment="0" applyProtection="0"/>
    <xf numFmtId="0" fontId="51" fillId="0" borderId="2" applyNumberFormat="0" applyFill="0" applyAlignment="0" applyProtection="0"/>
    <xf numFmtId="0" fontId="50" fillId="0" borderId="23" applyNumberFormat="0" applyFill="0" applyAlignment="0" applyProtection="0"/>
    <xf numFmtId="0" fontId="4" fillId="0" borderId="2" applyNumberFormat="0" applyFill="0" applyAlignment="0" applyProtection="0"/>
    <xf numFmtId="0" fontId="50" fillId="0" borderId="23" applyNumberFormat="0" applyFill="0" applyAlignment="0" applyProtection="0"/>
    <xf numFmtId="0" fontId="51" fillId="0" borderId="2" applyNumberFormat="0" applyFill="0" applyAlignment="0" applyProtection="0"/>
    <xf numFmtId="0" fontId="49" fillId="0" borderId="23" applyNumberFormat="0" applyFill="0" applyAlignment="0" applyProtection="0"/>
    <xf numFmtId="0" fontId="51" fillId="0" borderId="2" applyNumberFormat="0" applyFill="0" applyAlignment="0" applyProtection="0"/>
    <xf numFmtId="0" fontId="49" fillId="0" borderId="23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51" fillId="0" borderId="2" applyNumberFormat="0" applyFill="0" applyAlignment="0" applyProtection="0"/>
    <xf numFmtId="0" fontId="52" fillId="0" borderId="23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" fillId="0" borderId="3" applyNumberFormat="0" applyFill="0" applyAlignment="0" applyProtection="0"/>
    <xf numFmtId="0" fontId="57" fillId="0" borderId="26" applyNumberFormat="0" applyFill="0" applyAlignment="0" applyProtection="0"/>
    <xf numFmtId="0" fontId="55" fillId="0" borderId="25" applyNumberFormat="0" applyFill="0" applyAlignment="0" applyProtection="0"/>
    <xf numFmtId="0" fontId="57" fillId="0" borderId="26" applyNumberFormat="0" applyFill="0" applyAlignment="0" applyProtection="0"/>
    <xf numFmtId="0" fontId="55" fillId="0" borderId="25" applyNumberFormat="0" applyFill="0" applyAlignment="0" applyProtection="0"/>
    <xf numFmtId="0" fontId="54" fillId="0" borderId="25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5" applyNumberFormat="0" applyFill="0" applyAlignment="0" applyProtection="0"/>
    <xf numFmtId="0" fontId="55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5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4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5" applyNumberFormat="0" applyFill="0" applyAlignment="0" applyProtection="0"/>
    <xf numFmtId="0" fontId="56" fillId="0" borderId="3" applyNumberFormat="0" applyFill="0" applyAlignment="0" applyProtection="0"/>
    <xf numFmtId="0" fontId="54" fillId="0" borderId="25" applyNumberFormat="0" applyFill="0" applyAlignment="0" applyProtection="0"/>
    <xf numFmtId="0" fontId="56" fillId="0" borderId="3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4" fillId="0" borderId="25" applyNumberFormat="0" applyFill="0" applyAlignment="0" applyProtection="0"/>
    <xf numFmtId="0" fontId="56" fillId="0" borderId="3" applyNumberFormat="0" applyFill="0" applyAlignment="0" applyProtection="0"/>
    <xf numFmtId="0" fontId="55" fillId="0" borderId="25" applyNumberFormat="0" applyFill="0" applyAlignment="0" applyProtection="0"/>
    <xf numFmtId="0" fontId="5" fillId="0" borderId="3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4" fillId="0" borderId="24" applyNumberFormat="0" applyFill="0" applyAlignment="0" applyProtection="0"/>
    <xf numFmtId="0" fontId="54" fillId="0" borderId="25" applyNumberFormat="0" applyFill="0" applyAlignment="0" applyProtection="0"/>
    <xf numFmtId="0" fontId="54" fillId="0" borderId="25" applyNumberFormat="0" applyFill="0" applyAlignment="0" applyProtection="0"/>
    <xf numFmtId="0" fontId="5" fillId="0" borderId="3" applyNumberFormat="0" applyFill="0" applyAlignment="0" applyProtection="0"/>
    <xf numFmtId="0" fontId="54" fillId="0" borderId="25" applyNumberFormat="0" applyFill="0" applyAlignment="0" applyProtection="0"/>
    <xf numFmtId="0" fontId="56" fillId="0" borderId="3" applyNumberFormat="0" applyFill="0" applyAlignment="0" applyProtection="0"/>
    <xf numFmtId="0" fontId="55" fillId="0" borderId="25" applyNumberFormat="0" applyFill="0" applyAlignment="0" applyProtection="0"/>
    <xf numFmtId="0" fontId="5" fillId="0" borderId="3" applyNumberFormat="0" applyFill="0" applyAlignment="0" applyProtection="0"/>
    <xf numFmtId="0" fontId="55" fillId="0" borderId="25" applyNumberFormat="0" applyFill="0" applyAlignment="0" applyProtection="0"/>
    <xf numFmtId="0" fontId="56" fillId="0" borderId="3" applyNumberFormat="0" applyFill="0" applyAlignment="0" applyProtection="0"/>
    <xf numFmtId="0" fontId="54" fillId="0" borderId="25" applyNumberFormat="0" applyFill="0" applyAlignment="0" applyProtection="0"/>
    <xf numFmtId="0" fontId="56" fillId="0" borderId="3" applyNumberFormat="0" applyFill="0" applyAlignment="0" applyProtection="0"/>
    <xf numFmtId="0" fontId="54" fillId="0" borderId="25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6" fillId="0" borderId="3" applyNumberFormat="0" applyFill="0" applyAlignment="0" applyProtection="0"/>
    <xf numFmtId="0" fontId="57" fillId="0" borderId="26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6" fillId="0" borderId="3" applyNumberFormat="0" applyFill="0" applyAlignment="0" applyProtection="0"/>
    <xf numFmtId="0" fontId="5" fillId="0" borderId="3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9" fillId="5" borderId="4" applyNumberFormat="0" applyAlignment="0" applyProtection="0"/>
    <xf numFmtId="0" fontId="9" fillId="38" borderId="4" applyNumberFormat="0" applyAlignment="0" applyProtection="0"/>
    <xf numFmtId="0" fontId="59" fillId="38" borderId="15" applyNumberFormat="0" applyAlignment="0" applyProtection="0"/>
    <xf numFmtId="0" fontId="58" fillId="38" borderId="15" applyNumberFormat="0" applyAlignment="0" applyProtection="0"/>
    <xf numFmtId="0" fontId="59" fillId="38" borderId="15" applyNumberFormat="0" applyAlignment="0" applyProtection="0"/>
    <xf numFmtId="0" fontId="58" fillId="38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9" fillId="5" borderId="4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38" borderId="15" applyNumberFormat="0" applyAlignment="0" applyProtection="0"/>
    <xf numFmtId="0" fontId="59" fillId="38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9" fillId="5" borderId="4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9" fillId="5" borderId="4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38" borderId="15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9" fillId="38" borderId="15" applyNumberFormat="0" applyAlignment="0" applyProtection="0"/>
    <xf numFmtId="0" fontId="58" fillId="38" borderId="15" applyNumberFormat="0" applyAlignment="0" applyProtection="0"/>
    <xf numFmtId="0" fontId="58" fillId="38" borderId="15" applyNumberFormat="0" applyAlignment="0" applyProtection="0"/>
    <xf numFmtId="0" fontId="58" fillId="38" borderId="15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60" fillId="5" borderId="4" applyNumberFormat="0" applyAlignment="0" applyProtection="0"/>
    <xf numFmtId="0" fontId="58" fillId="38" borderId="15" applyNumberFormat="0" applyAlignment="0" applyProtection="0"/>
    <xf numFmtId="0" fontId="60" fillId="5" borderId="4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58" fillId="38" borderId="15" applyNumberFormat="0" applyAlignment="0" applyProtection="0"/>
    <xf numFmtId="0" fontId="60" fillId="5" borderId="4" applyNumberFormat="0" applyAlignment="0" applyProtection="0"/>
    <xf numFmtId="0" fontId="59" fillId="38" borderId="15" applyNumberFormat="0" applyAlignment="0" applyProtection="0"/>
    <xf numFmtId="0" fontId="9" fillId="5" borderId="4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58" fillId="45" borderId="15" applyNumberFormat="0" applyAlignment="0" applyProtection="0"/>
    <xf numFmtId="0" fontId="58" fillId="38" borderId="15" applyNumberFormat="0" applyAlignment="0" applyProtection="0"/>
    <xf numFmtId="0" fontId="58" fillId="38" borderId="15" applyNumberFormat="0" applyAlignment="0" applyProtection="0"/>
    <xf numFmtId="0" fontId="9" fillId="5" borderId="4" applyNumberFormat="0" applyAlignment="0" applyProtection="0"/>
    <xf numFmtId="0" fontId="58" fillId="38" borderId="15" applyNumberFormat="0" applyAlignment="0" applyProtection="0"/>
    <xf numFmtId="0" fontId="60" fillId="5" borderId="4" applyNumberFormat="0" applyAlignment="0" applyProtection="0"/>
    <xf numFmtId="0" fontId="59" fillId="38" borderId="15" applyNumberFormat="0" applyAlignment="0" applyProtection="0"/>
    <xf numFmtId="0" fontId="9" fillId="5" borderId="4" applyNumberFormat="0" applyAlignment="0" applyProtection="0"/>
    <xf numFmtId="0" fontId="59" fillId="38" borderId="15" applyNumberFormat="0" applyAlignment="0" applyProtection="0"/>
    <xf numFmtId="0" fontId="60" fillId="5" borderId="4" applyNumberFormat="0" applyAlignment="0" applyProtection="0"/>
    <xf numFmtId="0" fontId="58" fillId="38" borderId="15" applyNumberFormat="0" applyAlignment="0" applyProtection="0"/>
    <xf numFmtId="0" fontId="60" fillId="5" borderId="4" applyNumberFormat="0" applyAlignment="0" applyProtection="0"/>
    <xf numFmtId="0" fontId="58" fillId="38" borderId="15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60" fillId="5" borderId="4" applyNumberFormat="0" applyAlignment="0" applyProtection="0"/>
    <xf numFmtId="0" fontId="58" fillId="38" borderId="15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58" fillId="45" borderId="15" applyNumberFormat="0" applyAlignment="0" applyProtection="0"/>
    <xf numFmtId="0" fontId="59" fillId="38" borderId="15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60" fillId="5" borderId="4" applyNumberFormat="0" applyAlignment="0" applyProtection="0"/>
    <xf numFmtId="0" fontId="9" fillId="5" borderId="4" applyNumberFormat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62" fillId="0" borderId="28" applyNumberFormat="0" applyFill="0" applyAlignment="0" applyProtection="0"/>
    <xf numFmtId="0" fontId="64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12" fillId="0" borderId="6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4" fillId="0" borderId="28" applyNumberFormat="0" applyFill="0" applyAlignment="0" applyProtection="0"/>
    <xf numFmtId="0" fontId="62" fillId="0" borderId="28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12" fillId="0" borderId="6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12" fillId="0" borderId="6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4" fillId="0" borderId="28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2" fillId="0" borderId="28" applyNumberFormat="0" applyFill="0" applyAlignment="0" applyProtection="0"/>
    <xf numFmtId="0" fontId="64" fillId="0" borderId="28" applyNumberFormat="0" applyFill="0" applyAlignment="0" applyProtection="0"/>
    <xf numFmtId="0" fontId="64" fillId="0" borderId="28" applyNumberFormat="0" applyFill="0" applyAlignment="0" applyProtection="0"/>
    <xf numFmtId="0" fontId="64" fillId="0" borderId="28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63" fillId="0" borderId="6" applyNumberFormat="0" applyFill="0" applyAlignment="0" applyProtection="0"/>
    <xf numFmtId="0" fontId="64" fillId="0" borderId="28" applyNumberFormat="0" applyFill="0" applyAlignment="0" applyProtection="0"/>
    <xf numFmtId="0" fontId="63" fillId="0" borderId="6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64" fillId="0" borderId="28" applyNumberFormat="0" applyFill="0" applyAlignment="0" applyProtection="0"/>
    <xf numFmtId="0" fontId="63" fillId="0" borderId="6" applyNumberFormat="0" applyFill="0" applyAlignment="0" applyProtection="0"/>
    <xf numFmtId="0" fontId="62" fillId="0" borderId="28" applyNumberFormat="0" applyFill="0" applyAlignment="0" applyProtection="0"/>
    <xf numFmtId="0" fontId="12" fillId="0" borderId="6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61" fillId="0" borderId="27" applyNumberFormat="0" applyFill="0" applyAlignment="0" applyProtection="0"/>
    <xf numFmtId="0" fontId="64" fillId="0" borderId="28" applyNumberFormat="0" applyFill="0" applyAlignment="0" applyProtection="0"/>
    <xf numFmtId="0" fontId="64" fillId="0" borderId="28" applyNumberFormat="0" applyFill="0" applyAlignment="0" applyProtection="0"/>
    <xf numFmtId="0" fontId="12" fillId="0" borderId="6" applyNumberFormat="0" applyFill="0" applyAlignment="0" applyProtection="0"/>
    <xf numFmtId="0" fontId="64" fillId="0" borderId="28" applyNumberFormat="0" applyFill="0" applyAlignment="0" applyProtection="0"/>
    <xf numFmtId="0" fontId="63" fillId="0" borderId="6" applyNumberFormat="0" applyFill="0" applyAlignment="0" applyProtection="0"/>
    <xf numFmtId="0" fontId="62" fillId="0" borderId="28" applyNumberFormat="0" applyFill="0" applyAlignment="0" applyProtection="0"/>
    <xf numFmtId="0" fontId="12" fillId="0" borderId="6" applyNumberFormat="0" applyFill="0" applyAlignment="0" applyProtection="0"/>
    <xf numFmtId="0" fontId="62" fillId="0" borderId="28" applyNumberFormat="0" applyFill="0" applyAlignment="0" applyProtection="0"/>
    <xf numFmtId="0" fontId="63" fillId="0" borderId="6" applyNumberFormat="0" applyFill="0" applyAlignment="0" applyProtection="0"/>
    <xf numFmtId="0" fontId="64" fillId="0" borderId="28" applyNumberFormat="0" applyFill="0" applyAlignment="0" applyProtection="0"/>
    <xf numFmtId="0" fontId="63" fillId="0" borderId="6" applyNumberFormat="0" applyFill="0" applyAlignment="0" applyProtection="0"/>
    <xf numFmtId="0" fontId="64" fillId="0" borderId="28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63" fillId="0" borderId="6" applyNumberFormat="0" applyFill="0" applyAlignment="0" applyProtection="0"/>
    <xf numFmtId="0" fontId="64" fillId="0" borderId="28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61" fillId="0" borderId="27" applyNumberFormat="0" applyFill="0" applyAlignment="0" applyProtection="0"/>
    <xf numFmtId="0" fontId="62" fillId="0" borderId="28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63" fillId="0" borderId="6" applyNumberFormat="0" applyFill="0" applyAlignment="0" applyProtection="0"/>
    <xf numFmtId="0" fontId="12" fillId="0" borderId="6" applyNumberFormat="0" applyFill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8" fillId="4" borderId="0" applyNumberFormat="0" applyBorder="0" applyAlignment="0" applyProtection="0"/>
    <xf numFmtId="0" fontId="68" fillId="4" borderId="0" applyNumberFormat="0" applyBorder="0" applyAlignment="0" applyProtection="0"/>
    <xf numFmtId="0" fontId="66" fillId="45" borderId="0" applyNumberFormat="0" applyBorder="0" applyAlignment="0" applyProtection="0"/>
    <xf numFmtId="0" fontId="69" fillId="45" borderId="0" applyNumberFormat="0" applyBorder="0" applyAlignment="0" applyProtection="0"/>
    <xf numFmtId="0" fontId="66" fillId="45" borderId="0" applyNumberFormat="0" applyBorder="0" applyAlignment="0" applyProtection="0"/>
    <xf numFmtId="0" fontId="69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8" fillId="4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9" fillId="45" borderId="0" applyNumberFormat="0" applyBorder="0" applyAlignment="0" applyProtection="0"/>
    <xf numFmtId="0" fontId="66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8" fillId="4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8" fillId="4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6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67" fillId="4" borderId="0" applyNumberFormat="0" applyBorder="0" applyAlignment="0" applyProtection="0"/>
    <xf numFmtId="0" fontId="69" fillId="45" borderId="0" applyNumberFormat="0" applyBorder="0" applyAlignment="0" applyProtection="0"/>
    <xf numFmtId="0" fontId="67" fillId="4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69" fillId="45" borderId="0" applyNumberFormat="0" applyBorder="0" applyAlignment="0" applyProtection="0"/>
    <xf numFmtId="0" fontId="67" fillId="4" borderId="0" applyNumberFormat="0" applyBorder="0" applyAlignment="0" applyProtection="0"/>
    <xf numFmtId="0" fontId="66" fillId="45" borderId="0" applyNumberFormat="0" applyBorder="0" applyAlignment="0" applyProtection="0"/>
    <xf numFmtId="0" fontId="8" fillId="4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65" fillId="45" borderId="0" applyNumberFormat="0" applyBorder="0" applyAlignment="0" applyProtection="0"/>
    <xf numFmtId="0" fontId="69" fillId="45" borderId="0" applyNumberFormat="0" applyBorder="0" applyAlignment="0" applyProtection="0"/>
    <xf numFmtId="0" fontId="69" fillId="45" borderId="0" applyNumberFormat="0" applyBorder="0" applyAlignment="0" applyProtection="0"/>
    <xf numFmtId="0" fontId="8" fillId="4" borderId="0" applyNumberFormat="0" applyBorder="0" applyAlignment="0" applyProtection="0"/>
    <xf numFmtId="0" fontId="69" fillId="45" borderId="0" applyNumberFormat="0" applyBorder="0" applyAlignment="0" applyProtection="0"/>
    <xf numFmtId="0" fontId="67" fillId="4" borderId="0" applyNumberFormat="0" applyBorder="0" applyAlignment="0" applyProtection="0"/>
    <xf numFmtId="0" fontId="66" fillId="45" borderId="0" applyNumberFormat="0" applyBorder="0" applyAlignment="0" applyProtection="0"/>
    <xf numFmtId="0" fontId="8" fillId="4" borderId="0" applyNumberFormat="0" applyBorder="0" applyAlignment="0" applyProtection="0"/>
    <xf numFmtId="0" fontId="66" fillId="45" borderId="0" applyNumberFormat="0" applyBorder="0" applyAlignment="0" applyProtection="0"/>
    <xf numFmtId="0" fontId="67" fillId="4" borderId="0" applyNumberFormat="0" applyBorder="0" applyAlignment="0" applyProtection="0"/>
    <xf numFmtId="0" fontId="69" fillId="45" borderId="0" applyNumberFormat="0" applyBorder="0" applyAlignment="0" applyProtection="0"/>
    <xf numFmtId="0" fontId="67" fillId="4" borderId="0" applyNumberFormat="0" applyBorder="0" applyAlignment="0" applyProtection="0"/>
    <xf numFmtId="0" fontId="69" fillId="45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67" fillId="4" borderId="0" applyNumberFormat="0" applyBorder="0" applyAlignment="0" applyProtection="0"/>
    <xf numFmtId="0" fontId="69" fillId="45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65" fillId="45" borderId="0" applyNumberFormat="0" applyBorder="0" applyAlignment="0" applyProtection="0"/>
    <xf numFmtId="0" fontId="66" fillId="4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8" fillId="4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170" fontId="70" fillId="0" borderId="0"/>
    <xf numFmtId="0" fontId="1" fillId="0" borderId="0"/>
    <xf numFmtId="170" fontId="7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" fillId="0" borderId="0"/>
    <xf numFmtId="0" fontId="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21" fillId="0" borderId="0"/>
    <xf numFmtId="0" fontId="23" fillId="0" borderId="0"/>
    <xf numFmtId="0" fontId="18" fillId="0" borderId="0"/>
    <xf numFmtId="0" fontId="21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1" fillId="0" borderId="0"/>
    <xf numFmtId="0" fontId="23" fillId="0" borderId="0"/>
    <xf numFmtId="0" fontId="18" fillId="0" borderId="0"/>
    <xf numFmtId="0" fontId="21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1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23" fillId="0" borderId="0"/>
    <xf numFmtId="0" fontId="22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23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3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3" fillId="0" borderId="0"/>
    <xf numFmtId="0" fontId="18" fillId="0" borderId="0"/>
    <xf numFmtId="0" fontId="23" fillId="0" borderId="0"/>
    <xf numFmtId="0" fontId="21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3" fillId="0" borderId="0"/>
    <xf numFmtId="0" fontId="18" fillId="0" borderId="0"/>
    <xf numFmtId="0" fontId="23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2" fillId="0" borderId="0"/>
    <xf numFmtId="170" fontId="70" fillId="0" borderId="0"/>
    <xf numFmtId="0" fontId="23" fillId="0" borderId="0"/>
    <xf numFmtId="0" fontId="18" fillId="0" borderId="0"/>
    <xf numFmtId="0" fontId="18" fillId="0" borderId="0"/>
    <xf numFmtId="0" fontId="23" fillId="0" borderId="0"/>
    <xf numFmtId="170" fontId="70" fillId="0" borderId="0"/>
    <xf numFmtId="0" fontId="23" fillId="0" borderId="0"/>
    <xf numFmtId="0" fontId="70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8" fillId="0" borderId="0"/>
    <xf numFmtId="0" fontId="23" fillId="0" borderId="0"/>
    <xf numFmtId="0" fontId="18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3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22" fillId="0" borderId="0"/>
    <xf numFmtId="170" fontId="70" fillId="0" borderId="0"/>
    <xf numFmtId="0" fontId="18" fillId="0" borderId="0"/>
    <xf numFmtId="170" fontId="70" fillId="0" borderId="0"/>
    <xf numFmtId="0" fontId="1" fillId="0" borderId="0"/>
    <xf numFmtId="170" fontId="70" fillId="0" borderId="0"/>
    <xf numFmtId="0" fontId="1" fillId="0" borderId="0"/>
    <xf numFmtId="170" fontId="70" fillId="0" borderId="0"/>
    <xf numFmtId="0" fontId="1" fillId="0" borderId="0"/>
    <xf numFmtId="0" fontId="22" fillId="8" borderId="8" applyNumberFormat="0" applyFont="0" applyAlignment="0" applyProtection="0"/>
    <xf numFmtId="0" fontId="23" fillId="40" borderId="29" applyNumberFormat="0" applyFont="0" applyAlignment="0" applyProtection="0"/>
    <xf numFmtId="0" fontId="22" fillId="40" borderId="30" applyNumberFormat="0" applyFont="0" applyAlignment="0" applyProtection="0"/>
    <xf numFmtId="0" fontId="23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1" fillId="8" borderId="8" applyNumberFormat="0" applyFont="0" applyAlignment="0" applyProtection="0"/>
    <xf numFmtId="0" fontId="22" fillId="40" borderId="29" applyNumberFormat="0" applyFont="0" applyAlignment="0" applyProtection="0"/>
    <xf numFmtId="0" fontId="1" fillId="8" borderId="8" applyNumberFormat="0" applyFont="0" applyAlignment="0" applyProtection="0"/>
    <xf numFmtId="0" fontId="22" fillId="40" borderId="29" applyNumberFormat="0" applyFont="0" applyAlignment="0" applyProtection="0"/>
    <xf numFmtId="0" fontId="1" fillId="8" borderId="8" applyNumberFormat="0" applyFont="0" applyAlignment="0" applyProtection="0"/>
    <xf numFmtId="0" fontId="22" fillId="40" borderId="29" applyNumberFormat="0" applyFont="0" applyAlignment="0" applyProtection="0"/>
    <xf numFmtId="0" fontId="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8" borderId="8" applyNumberFormat="0" applyFont="0" applyAlignment="0" applyProtection="0"/>
    <xf numFmtId="0" fontId="23" fillId="40" borderId="29" applyNumberFormat="0" applyFont="0" applyAlignment="0" applyProtection="0"/>
    <xf numFmtId="0" fontId="22" fillId="40" borderId="30" applyNumberFormat="0" applyFont="0" applyAlignment="0" applyProtection="0"/>
    <xf numFmtId="0" fontId="23" fillId="40" borderId="30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1" fillId="8" borderId="8" applyNumberFormat="0" applyFont="0" applyAlignment="0" applyProtection="0"/>
    <xf numFmtId="0" fontId="22" fillId="40" borderId="29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1" fillId="8" borderId="8" applyNumberFormat="0" applyFont="0" applyAlignment="0" applyProtection="0"/>
    <xf numFmtId="0" fontId="22" fillId="40" borderId="29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2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2" fillId="40" borderId="30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2" fillId="40" borderId="30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2" fillId="40" borderId="30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3" fillId="8" borderId="8" applyNumberFormat="0" applyFont="0" applyAlignment="0" applyProtection="0"/>
    <xf numFmtId="0" fontId="22" fillId="8" borderId="30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2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2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3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8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3" fillId="40" borderId="29" applyNumberFormat="0" applyFont="0" applyAlignment="0" applyProtection="0"/>
    <xf numFmtId="0" fontId="1" fillId="8" borderId="8" applyNumberFormat="0" applyFont="0" applyAlignment="0" applyProtection="0"/>
    <xf numFmtId="0" fontId="23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2" fillId="40" borderId="30" applyNumberFormat="0" applyFont="0" applyAlignment="0" applyProtection="0"/>
    <xf numFmtId="0" fontId="23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3" fillId="8" borderId="8" applyNumberFormat="0" applyFont="0" applyAlignment="0" applyProtection="0"/>
    <xf numFmtId="0" fontId="23" fillId="40" borderId="29" applyNumberFormat="0" applyFont="0" applyAlignment="0" applyProtection="0"/>
    <xf numFmtId="0" fontId="23" fillId="40" borderId="30" applyNumberFormat="0" applyFont="0" applyAlignment="0" applyProtection="0"/>
    <xf numFmtId="0" fontId="23" fillId="40" borderId="30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2" fillId="40" borderId="29" applyNumberFormat="0" applyFont="0" applyAlignment="0" applyProtection="0"/>
    <xf numFmtId="0" fontId="22" fillId="8" borderId="8" applyNumberFormat="0" applyFont="0" applyAlignment="0" applyProtection="0"/>
    <xf numFmtId="0" fontId="22" fillId="40" borderId="29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10" fillId="6" borderId="5" applyNumberFormat="0" applyAlignment="0" applyProtection="0"/>
    <xf numFmtId="0" fontId="10" fillId="35" borderId="5" applyNumberFormat="0" applyAlignment="0" applyProtection="0"/>
    <xf numFmtId="0" fontId="72" fillId="43" borderId="31" applyNumberFormat="0" applyAlignment="0" applyProtection="0"/>
    <xf numFmtId="0" fontId="71" fillId="35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2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10" fillId="43" borderId="5" applyNumberFormat="0" applyAlignment="0" applyProtection="0"/>
    <xf numFmtId="0" fontId="71" fillId="43" borderId="31" applyNumberFormat="0" applyAlignment="0" applyProtection="0"/>
    <xf numFmtId="0" fontId="10" fillId="43" borderId="5" applyNumberFormat="0" applyAlignment="0" applyProtection="0"/>
    <xf numFmtId="0" fontId="71" fillId="43" borderId="31" applyNumberFormat="0" applyAlignment="0" applyProtection="0"/>
    <xf numFmtId="0" fontId="10" fillId="43" borderId="5" applyNumberFormat="0" applyAlignment="0" applyProtection="0"/>
    <xf numFmtId="0" fontId="71" fillId="43" borderId="31" applyNumberFormat="0" applyAlignment="0" applyProtection="0"/>
    <xf numFmtId="0" fontId="10" fillId="43" borderId="5" applyNumberFormat="0" applyAlignment="0" applyProtection="0"/>
    <xf numFmtId="0" fontId="71" fillId="43" borderId="31" applyNumberFormat="0" applyAlignment="0" applyProtection="0"/>
    <xf numFmtId="0" fontId="10" fillId="43" borderId="5" applyNumberFormat="0" applyAlignment="0" applyProtection="0"/>
    <xf numFmtId="0" fontId="71" fillId="43" borderId="31" applyNumberFormat="0" applyAlignment="0" applyProtection="0"/>
    <xf numFmtId="0" fontId="10" fillId="43" borderId="5" applyNumberFormat="0" applyAlignment="0" applyProtection="0"/>
    <xf numFmtId="0" fontId="71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71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3" fillId="6" borderId="5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3" fillId="6" borderId="5" applyNumberFormat="0" applyAlignment="0" applyProtection="0"/>
    <xf numFmtId="0" fontId="72" fillId="43" borderId="31" applyNumberFormat="0" applyAlignment="0" applyProtection="0"/>
    <xf numFmtId="0" fontId="10" fillId="6" borderId="5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1" fillId="43" borderId="31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3" fillId="6" borderId="5" applyNumberFormat="0" applyAlignment="0" applyProtection="0"/>
    <xf numFmtId="0" fontId="72" fillId="43" borderId="31" applyNumberFormat="0" applyAlignment="0" applyProtection="0"/>
    <xf numFmtId="0" fontId="10" fillId="6" borderId="5" applyNumberFormat="0" applyAlignment="0" applyProtection="0"/>
    <xf numFmtId="0" fontId="72" fillId="43" borderId="31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3" fillId="6" borderId="5" applyNumberFormat="0" applyAlignment="0" applyProtection="0"/>
    <xf numFmtId="0" fontId="71" fillId="43" borderId="31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73" fillId="6" borderId="5" applyNumberFormat="0" applyAlignment="0" applyProtection="0"/>
    <xf numFmtId="0" fontId="71" fillId="35" borderId="31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71" fillId="43" borderId="31" applyNumberFormat="0" applyAlignment="0" applyProtection="0"/>
    <xf numFmtId="0" fontId="72" fillId="43" borderId="31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73" fillId="6" borderId="5" applyNumberFormat="0" applyAlignment="0" applyProtection="0"/>
    <xf numFmtId="0" fontId="10" fillId="6" borderId="5" applyNumberFormat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16" fillId="0" borderId="9" applyNumberFormat="0" applyFill="0" applyAlignment="0" applyProtection="0"/>
    <xf numFmtId="0" fontId="16" fillId="0" borderId="34" applyNumberFormat="0" applyFill="0" applyAlignment="0" applyProtection="0"/>
    <xf numFmtId="0" fontId="77" fillId="0" borderId="33" applyNumberFormat="0" applyFill="0" applyAlignment="0" applyProtection="0"/>
    <xf numFmtId="0" fontId="76" fillId="0" borderId="34" applyNumberFormat="0" applyFill="0" applyAlignment="0" applyProtection="0"/>
    <xf numFmtId="0" fontId="77" fillId="0" borderId="33" applyNumberFormat="0" applyFill="0" applyAlignment="0" applyProtection="0"/>
    <xf numFmtId="0" fontId="76" fillId="0" borderId="33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3" applyNumberFormat="0" applyFill="0" applyAlignment="0" applyProtection="0"/>
    <xf numFmtId="0" fontId="77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7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3" applyNumberFormat="0" applyFill="0" applyAlignment="0" applyProtection="0"/>
    <xf numFmtId="0" fontId="78" fillId="0" borderId="9" applyNumberFormat="0" applyFill="0" applyAlignment="0" applyProtection="0"/>
    <xf numFmtId="0" fontId="76" fillId="0" borderId="33" applyNumberFormat="0" applyFill="0" applyAlignment="0" applyProtection="0"/>
    <xf numFmtId="0" fontId="78" fillId="0" borderId="9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76" fillId="0" borderId="33" applyNumberFormat="0" applyFill="0" applyAlignment="0" applyProtection="0"/>
    <xf numFmtId="0" fontId="78" fillId="0" borderId="9" applyNumberFormat="0" applyFill="0" applyAlignment="0" applyProtection="0"/>
    <xf numFmtId="0" fontId="77" fillId="0" borderId="33" applyNumberFormat="0" applyFill="0" applyAlignment="0" applyProtection="0"/>
    <xf numFmtId="0" fontId="16" fillId="0" borderId="9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76" fillId="0" borderId="32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16" fillId="0" borderId="9" applyNumberFormat="0" applyFill="0" applyAlignment="0" applyProtection="0"/>
    <xf numFmtId="0" fontId="76" fillId="0" borderId="33" applyNumberFormat="0" applyFill="0" applyAlignment="0" applyProtection="0"/>
    <xf numFmtId="0" fontId="78" fillId="0" borderId="9" applyNumberFormat="0" applyFill="0" applyAlignment="0" applyProtection="0"/>
    <xf numFmtId="0" fontId="77" fillId="0" borderId="33" applyNumberFormat="0" applyFill="0" applyAlignment="0" applyProtection="0"/>
    <xf numFmtId="0" fontId="16" fillId="0" borderId="9" applyNumberFormat="0" applyFill="0" applyAlignment="0" applyProtection="0"/>
    <xf numFmtId="0" fontId="77" fillId="0" borderId="33" applyNumberFormat="0" applyFill="0" applyAlignment="0" applyProtection="0"/>
    <xf numFmtId="0" fontId="78" fillId="0" borderId="9" applyNumberFormat="0" applyFill="0" applyAlignment="0" applyProtection="0"/>
    <xf numFmtId="0" fontId="76" fillId="0" borderId="33" applyNumberFormat="0" applyFill="0" applyAlignment="0" applyProtection="0"/>
    <xf numFmtId="0" fontId="78" fillId="0" borderId="9" applyNumberFormat="0" applyFill="0" applyAlignment="0" applyProtection="0"/>
    <xf numFmtId="0" fontId="76" fillId="0" borderId="33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78" fillId="0" borderId="9" applyNumberFormat="0" applyFill="0" applyAlignment="0" applyProtection="0"/>
    <xf numFmtId="0" fontId="76" fillId="0" borderId="34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76" fillId="0" borderId="32" applyNumberFormat="0" applyFill="0" applyAlignment="0" applyProtection="0"/>
    <xf numFmtId="0" fontId="77" fillId="0" borderId="33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78" fillId="0" borderId="9" applyNumberFormat="0" applyFill="0" applyAlignment="0" applyProtection="0"/>
    <xf numFmtId="0" fontId="16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87" fillId="0" borderId="0"/>
    <xf numFmtId="0" fontId="1" fillId="0" borderId="0"/>
    <xf numFmtId="0" fontId="1" fillId="0" borderId="0"/>
    <xf numFmtId="0" fontId="1" fillId="0" borderId="0"/>
    <xf numFmtId="0" fontId="88" fillId="0" borderId="0" applyNumberFormat="0" applyFill="0" applyBorder="0" applyAlignment="0" applyProtection="0"/>
    <xf numFmtId="0" fontId="35" fillId="71" borderId="0"/>
    <xf numFmtId="181" fontId="18" fillId="0" borderId="0"/>
    <xf numFmtId="9" fontId="18" fillId="0" borderId="0" applyFont="0" applyFill="0" applyBorder="0" applyAlignment="0" applyProtection="0"/>
    <xf numFmtId="0" fontId="18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0" borderId="0" applyNumberFormat="0" applyFill="0" applyBorder="0" applyAlignment="0" applyProtection="0"/>
    <xf numFmtId="0" fontId="18" fillId="0" borderId="0"/>
    <xf numFmtId="0" fontId="91" fillId="0" borderId="0"/>
    <xf numFmtId="0" fontId="22" fillId="34" borderId="0" applyNumberFormat="0" applyBorder="0" applyAlignment="0" applyProtection="0"/>
    <xf numFmtId="0" fontId="22" fillId="37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4" borderId="0" applyNumberFormat="0" applyBorder="0" applyAlignment="0" applyProtection="0"/>
    <xf numFmtId="0" fontId="22" fillId="40" borderId="0" applyNumberFormat="0" applyBorder="0" applyAlignment="0" applyProtection="0"/>
    <xf numFmtId="0" fontId="24" fillId="44" borderId="0" applyNumberFormat="0" applyBorder="0" applyAlignment="0" applyProtection="0"/>
    <xf numFmtId="0" fontId="24" fillId="50" borderId="0" applyNumberFormat="0" applyBorder="0" applyAlignment="0" applyProtection="0"/>
    <xf numFmtId="0" fontId="24" fillId="47" borderId="0" applyNumberFormat="0" applyBorder="0" applyAlignment="0" applyProtection="0"/>
    <xf numFmtId="0" fontId="24" fillId="39" borderId="0" applyNumberFormat="0" applyBorder="0" applyAlignment="0" applyProtection="0"/>
    <xf numFmtId="0" fontId="24" fillId="44" borderId="0" applyNumberFormat="0" applyBorder="0" applyAlignment="0" applyProtection="0"/>
    <xf numFmtId="0" fontId="24" fillId="37" borderId="0" applyNumberFormat="0" applyBorder="0" applyAlignment="0" applyProtection="0"/>
    <xf numFmtId="0" fontId="24" fillId="54" borderId="0" applyNumberFormat="0" applyBorder="0" applyAlignment="0" applyProtection="0"/>
    <xf numFmtId="0" fontId="24" fillId="50" borderId="0" applyNumberFormat="0" applyBorder="0" applyAlignment="0" applyProtection="0"/>
    <xf numFmtId="0" fontId="24" fillId="47" borderId="0" applyNumberFormat="0" applyBorder="0" applyAlignment="0" applyProtection="0"/>
    <xf numFmtId="0" fontId="24" fillId="56" borderId="0" applyNumberFormat="0" applyBorder="0" applyAlignment="0" applyProtection="0"/>
    <xf numFmtId="0" fontId="27" fillId="42" borderId="0" applyNumberFormat="0" applyBorder="0" applyAlignment="0" applyProtection="0"/>
    <xf numFmtId="0" fontId="30" fillId="43" borderId="15" applyNumberFormat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2" fillId="44" borderId="0" applyNumberFormat="0" applyBorder="0" applyAlignment="0" applyProtection="0"/>
    <xf numFmtId="0" fontId="45" fillId="0" borderId="19" applyNumberFormat="0" applyFill="0" applyAlignment="0" applyProtection="0"/>
    <xf numFmtId="0" fontId="49" fillId="0" borderId="22" applyNumberFormat="0" applyFill="0" applyAlignment="0" applyProtection="0"/>
    <xf numFmtId="0" fontId="54" fillId="0" borderId="24" applyNumberFormat="0" applyFill="0" applyAlignment="0" applyProtection="0"/>
    <xf numFmtId="0" fontId="58" fillId="45" borderId="15" applyNumberFormat="0" applyAlignment="0" applyProtection="0"/>
    <xf numFmtId="0" fontId="61" fillId="0" borderId="27" applyNumberFormat="0" applyFill="0" applyAlignment="0" applyProtection="0"/>
    <xf numFmtId="0" fontId="65" fillId="45" borderId="0" applyNumberFormat="0" applyBorder="0" applyAlignment="0" applyProtection="0"/>
    <xf numFmtId="0" fontId="92" fillId="0" borderId="0"/>
    <xf numFmtId="184" fontId="70" fillId="0" borderId="0"/>
    <xf numFmtId="170" fontId="70" fillId="0" borderId="0"/>
    <xf numFmtId="184" fontId="70" fillId="0" borderId="0"/>
    <xf numFmtId="0" fontId="93" fillId="0" borderId="0"/>
    <xf numFmtId="0" fontId="1" fillId="0" borderId="0"/>
    <xf numFmtId="0" fontId="1" fillId="0" borderId="0"/>
    <xf numFmtId="183" fontId="94" fillId="0" borderId="0"/>
    <xf numFmtId="0" fontId="93" fillId="40" borderId="29" applyNumberFormat="0" applyFont="0" applyAlignment="0" applyProtection="0"/>
    <xf numFmtId="9" fontId="1" fillId="0" borderId="0" applyFont="0" applyFill="0" applyBorder="0" applyAlignment="0" applyProtection="0"/>
    <xf numFmtId="0" fontId="76" fillId="0" borderId="32" applyNumberFormat="0" applyFill="0" applyAlignment="0" applyProtection="0"/>
    <xf numFmtId="0" fontId="95" fillId="0" borderId="0"/>
    <xf numFmtId="0" fontId="96" fillId="0" borderId="0"/>
  </cellStyleXfs>
  <cellXfs count="206">
    <xf numFmtId="0" fontId="0" fillId="0" borderId="0" xfId="0"/>
    <xf numFmtId="0" fontId="18" fillId="0" borderId="0" xfId="3"/>
    <xf numFmtId="0" fontId="18" fillId="0" borderId="0" xfId="3" applyAlignment="1">
      <alignment horizontal="center"/>
    </xf>
    <xf numFmtId="0" fontId="18" fillId="0" borderId="0" xfId="3" applyAlignment="1">
      <alignment horizontal="center" vertical="center"/>
    </xf>
    <xf numFmtId="0" fontId="18" fillId="0" borderId="0" xfId="4"/>
    <xf numFmtId="0" fontId="20" fillId="0" borderId="0" xfId="3" applyFont="1" applyAlignment="1">
      <alignment horizontal="center" wrapText="1"/>
    </xf>
    <xf numFmtId="0" fontId="18" fillId="0" borderId="0" xfId="3" applyAlignment="1">
      <alignment horizontal="right"/>
    </xf>
    <xf numFmtId="9" fontId="0" fillId="0" borderId="0" xfId="6" applyFont="1" applyAlignment="1">
      <alignment horizontal="center" vertical="center"/>
    </xf>
    <xf numFmtId="164" fontId="0" fillId="0" borderId="0" xfId="6" applyNumberFormat="1" applyFont="1" applyAlignment="1">
      <alignment horizontal="center" vertical="center"/>
    </xf>
    <xf numFmtId="0" fontId="18" fillId="0" borderId="10" xfId="3" applyBorder="1" applyAlignment="1">
      <alignment horizontal="center" vertical="center"/>
    </xf>
    <xf numFmtId="0" fontId="18" fillId="33" borderId="10" xfId="3" applyFill="1" applyBorder="1" applyAlignment="1">
      <alignment horizontal="center" wrapText="1"/>
    </xf>
    <xf numFmtId="10" fontId="0" fillId="0" borderId="0" xfId="6" applyNumberFormat="1" applyFont="1" applyAlignment="1">
      <alignment horizontal="center"/>
    </xf>
    <xf numFmtId="165" fontId="18" fillId="0" borderId="0" xfId="3" applyNumberFormat="1" applyAlignment="1">
      <alignment horizontal="center"/>
    </xf>
    <xf numFmtId="166" fontId="18" fillId="0" borderId="0" xfId="3" applyNumberFormat="1" applyAlignment="1">
      <alignment horizontal="center"/>
    </xf>
    <xf numFmtId="167" fontId="0" fillId="0" borderId="0" xfId="6" applyNumberFormat="1" applyFont="1" applyAlignment="1">
      <alignment horizontal="center"/>
    </xf>
    <xf numFmtId="167" fontId="0" fillId="0" borderId="11" xfId="5" applyNumberFormat="1" applyFont="1" applyBorder="1" applyAlignment="1">
      <alignment horizontal="center"/>
    </xf>
    <xf numFmtId="43" fontId="0" fillId="0" borderId="0" xfId="1" applyFont="1"/>
    <xf numFmtId="14" fontId="18" fillId="0" borderId="0" xfId="4" applyNumberFormat="1"/>
    <xf numFmtId="0" fontId="19" fillId="0" borderId="0" xfId="4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19" fillId="0" borderId="12" xfId="3" applyFont="1" applyBorder="1"/>
    <xf numFmtId="44" fontId="0" fillId="0" borderId="0" xfId="0" applyNumberFormat="1"/>
    <xf numFmtId="0" fontId="16" fillId="0" borderId="0" xfId="0" applyFont="1"/>
    <xf numFmtId="14" fontId="16" fillId="0" borderId="0" xfId="0" applyNumberFormat="1" applyFont="1"/>
    <xf numFmtId="44" fontId="0" fillId="0" borderId="0" xfId="2" applyFont="1"/>
    <xf numFmtId="44" fontId="16" fillId="61" borderId="17" xfId="2" applyFont="1" applyFill="1" applyBorder="1"/>
    <xf numFmtId="0" fontId="16" fillId="62" borderId="17" xfId="0" applyFont="1" applyFill="1" applyBorder="1"/>
    <xf numFmtId="44" fontId="16" fillId="62" borderId="17" xfId="2" applyFont="1" applyFill="1" applyBorder="1"/>
    <xf numFmtId="0" fontId="18" fillId="0" borderId="0" xfId="4" applyAlignment="1">
      <alignment horizontal="center"/>
    </xf>
    <xf numFmtId="0" fontId="81" fillId="0" borderId="0" xfId="4" applyFont="1" applyAlignment="1">
      <alignment horizontal="center"/>
    </xf>
    <xf numFmtId="0" fontId="82" fillId="0" borderId="0" xfId="4" applyFont="1"/>
    <xf numFmtId="0" fontId="19" fillId="0" borderId="0" xfId="4" applyFont="1" applyAlignment="1">
      <alignment horizontal="right"/>
    </xf>
    <xf numFmtId="0" fontId="19" fillId="0" borderId="0" xfId="4" applyFont="1" applyAlignment="1">
      <alignment horizontal="center"/>
    </xf>
    <xf numFmtId="9" fontId="19" fillId="64" borderId="48" xfId="4" applyNumberFormat="1" applyFont="1" applyFill="1" applyBorder="1" applyAlignment="1">
      <alignment horizontal="center" vertical="center"/>
    </xf>
    <xf numFmtId="9" fontId="19" fillId="65" borderId="49" xfId="4" applyNumberFormat="1" applyFont="1" applyFill="1" applyBorder="1" applyAlignment="1">
      <alignment horizontal="center" vertical="center"/>
    </xf>
    <xf numFmtId="9" fontId="19" fillId="66" borderId="50" xfId="4" applyNumberFormat="1" applyFont="1" applyFill="1" applyBorder="1" applyAlignment="1">
      <alignment horizontal="center" vertical="center"/>
    </xf>
    <xf numFmtId="9" fontId="19" fillId="67" borderId="49" xfId="4" applyNumberFormat="1" applyFont="1" applyFill="1" applyBorder="1" applyAlignment="1">
      <alignment horizontal="center" vertical="center"/>
    </xf>
    <xf numFmtId="9" fontId="19" fillId="68" borderId="50" xfId="4" applyNumberFormat="1" applyFont="1" applyFill="1" applyBorder="1" applyAlignment="1">
      <alignment horizontal="center" vertical="center"/>
    </xf>
    <xf numFmtId="9" fontId="19" fillId="69" borderId="49" xfId="4" applyNumberFormat="1" applyFont="1" applyFill="1" applyBorder="1" applyAlignment="1">
      <alignment horizontal="center" vertical="center"/>
    </xf>
    <xf numFmtId="0" fontId="18" fillId="64" borderId="51" xfId="4" applyFill="1" applyBorder="1" applyAlignment="1">
      <alignment horizontal="center"/>
    </xf>
    <xf numFmtId="0" fontId="18" fillId="64" borderId="52" xfId="4" applyFill="1" applyBorder="1" applyAlignment="1">
      <alignment horizontal="center"/>
    </xf>
    <xf numFmtId="0" fontId="18" fillId="64" borderId="53" xfId="4" applyFill="1" applyBorder="1" applyAlignment="1">
      <alignment horizontal="center"/>
    </xf>
    <xf numFmtId="0" fontId="18" fillId="65" borderId="54" xfId="4" applyFill="1" applyBorder="1" applyAlignment="1">
      <alignment horizontal="center"/>
    </xf>
    <xf numFmtId="0" fontId="18" fillId="65" borderId="55" xfId="4" applyFill="1" applyBorder="1" applyAlignment="1">
      <alignment horizontal="center"/>
    </xf>
    <xf numFmtId="0" fontId="18" fillId="65" borderId="56" xfId="4" applyFill="1" applyBorder="1" applyAlignment="1">
      <alignment horizontal="center"/>
    </xf>
    <xf numFmtId="0" fontId="19" fillId="66" borderId="57" xfId="4" applyFont="1" applyFill="1" applyBorder="1" applyAlignment="1">
      <alignment horizontal="center"/>
    </xf>
    <xf numFmtId="0" fontId="18" fillId="66" borderId="55" xfId="4" applyFill="1" applyBorder="1" applyAlignment="1">
      <alignment horizontal="center"/>
    </xf>
    <xf numFmtId="0" fontId="18" fillId="66" borderId="53" xfId="4" applyFill="1" applyBorder="1" applyAlignment="1">
      <alignment horizontal="center"/>
    </xf>
    <xf numFmtId="0" fontId="18" fillId="67" borderId="57" xfId="4" applyFill="1" applyBorder="1" applyAlignment="1">
      <alignment horizontal="center"/>
    </xf>
    <xf numFmtId="0" fontId="18" fillId="67" borderId="55" xfId="4" applyFill="1" applyBorder="1" applyAlignment="1">
      <alignment horizontal="center"/>
    </xf>
    <xf numFmtId="0" fontId="18" fillId="67" borderId="56" xfId="4" applyFill="1" applyBorder="1" applyAlignment="1">
      <alignment horizontal="center"/>
    </xf>
    <xf numFmtId="0" fontId="18" fillId="68" borderId="57" xfId="4" applyFill="1" applyBorder="1" applyAlignment="1">
      <alignment horizontal="center"/>
    </xf>
    <xf numFmtId="0" fontId="18" fillId="68" borderId="55" xfId="4" applyFill="1" applyBorder="1" applyAlignment="1">
      <alignment horizontal="center"/>
    </xf>
    <xf numFmtId="0" fontId="18" fillId="68" borderId="53" xfId="4" applyFill="1" applyBorder="1" applyAlignment="1">
      <alignment horizontal="center"/>
    </xf>
    <xf numFmtId="0" fontId="18" fillId="69" borderId="54" xfId="4" applyFill="1" applyBorder="1" applyAlignment="1">
      <alignment horizontal="center"/>
    </xf>
    <xf numFmtId="0" fontId="18" fillId="69" borderId="55" xfId="4" applyFill="1" applyBorder="1" applyAlignment="1">
      <alignment horizontal="center"/>
    </xf>
    <xf numFmtId="0" fontId="18" fillId="69" borderId="56" xfId="4" applyFill="1" applyBorder="1" applyAlignment="1">
      <alignment horizontal="center"/>
    </xf>
    <xf numFmtId="165" fontId="18" fillId="0" borderId="0" xfId="4" applyNumberFormat="1" applyAlignment="1">
      <alignment horizontal="center"/>
    </xf>
    <xf numFmtId="173" fontId="18" fillId="0" borderId="0" xfId="4" applyNumberFormat="1" applyAlignment="1" applyProtection="1">
      <alignment horizontal="center"/>
      <protection locked="0"/>
    </xf>
    <xf numFmtId="174" fontId="18" fillId="0" borderId="58" xfId="4" applyNumberFormat="1" applyBorder="1" applyAlignment="1">
      <alignment horizontal="center"/>
    </xf>
    <xf numFmtId="175" fontId="18" fillId="0" borderId="58" xfId="4" applyNumberFormat="1" applyBorder="1"/>
    <xf numFmtId="174" fontId="19" fillId="0" borderId="58" xfId="4" applyNumberFormat="1" applyFont="1" applyBorder="1" applyAlignment="1">
      <alignment horizontal="center"/>
    </xf>
    <xf numFmtId="175" fontId="18" fillId="0" borderId="39" xfId="4" applyNumberFormat="1" applyBorder="1"/>
    <xf numFmtId="174" fontId="18" fillId="0" borderId="40" xfId="4" applyNumberFormat="1" applyBorder="1" applyAlignment="1">
      <alignment horizontal="center"/>
    </xf>
    <xf numFmtId="40" fontId="18" fillId="0" borderId="11" xfId="4" applyNumberFormat="1" applyBorder="1" applyAlignment="1">
      <alignment horizontal="center"/>
    </xf>
    <xf numFmtId="40" fontId="18" fillId="0" borderId="11" xfId="4" applyNumberFormat="1" applyBorder="1"/>
    <xf numFmtId="40" fontId="18" fillId="0" borderId="0" xfId="4" applyNumberFormat="1" applyAlignment="1">
      <alignment horizontal="center"/>
    </xf>
    <xf numFmtId="40" fontId="18" fillId="0" borderId="0" xfId="4" applyNumberFormat="1"/>
    <xf numFmtId="40" fontId="19" fillId="0" borderId="0" xfId="4" applyNumberFormat="1" applyFont="1" applyAlignment="1">
      <alignment horizontal="center"/>
    </xf>
    <xf numFmtId="176" fontId="19" fillId="0" borderId="0" xfId="4" applyNumberFormat="1" applyFont="1" applyAlignment="1">
      <alignment horizontal="center"/>
    </xf>
    <xf numFmtId="177" fontId="18" fillId="0" borderId="0" xfId="4" applyNumberFormat="1" applyAlignment="1">
      <alignment horizontal="center"/>
    </xf>
    <xf numFmtId="177" fontId="18" fillId="0" borderId="0" xfId="4" applyNumberFormat="1"/>
    <xf numFmtId="177" fontId="19" fillId="0" borderId="0" xfId="4" applyNumberFormat="1" applyFont="1" applyAlignment="1">
      <alignment horizontal="center"/>
    </xf>
    <xf numFmtId="0" fontId="82" fillId="0" borderId="59" xfId="4" applyFont="1" applyBorder="1" applyAlignment="1">
      <alignment horizontal="left"/>
    </xf>
    <xf numFmtId="0" fontId="81" fillId="0" borderId="49" xfId="4" applyFont="1" applyBorder="1" applyAlignment="1">
      <alignment horizontal="center"/>
    </xf>
    <xf numFmtId="22" fontId="82" fillId="0" borderId="61" xfId="4" applyNumberFormat="1" applyFont="1" applyBorder="1"/>
    <xf numFmtId="0" fontId="81" fillId="0" borderId="17" xfId="4" applyFont="1" applyBorder="1"/>
    <xf numFmtId="9" fontId="84" fillId="0" borderId="62" xfId="6" applyFont="1" applyBorder="1" applyAlignment="1">
      <alignment horizontal="center"/>
    </xf>
    <xf numFmtId="22" fontId="82" fillId="0" borderId="54" xfId="4" applyNumberFormat="1" applyFont="1" applyBorder="1"/>
    <xf numFmtId="0" fontId="81" fillId="0" borderId="55" xfId="4" applyFont="1" applyBorder="1"/>
    <xf numFmtId="164" fontId="81" fillId="0" borderId="56" xfId="6" applyNumberFormat="1" applyFont="1" applyBorder="1" applyAlignment="1">
      <alignment horizontal="center"/>
    </xf>
    <xf numFmtId="22" fontId="81" fillId="0" borderId="0" xfId="4" applyNumberFormat="1" applyFont="1"/>
    <xf numFmtId="0" fontId="81" fillId="0" borderId="0" xfId="4" applyFont="1"/>
    <xf numFmtId="0" fontId="82" fillId="0" borderId="59" xfId="4" applyFont="1" applyBorder="1"/>
    <xf numFmtId="0" fontId="81" fillId="0" borderId="60" xfId="4" applyFont="1" applyBorder="1" applyAlignment="1">
      <alignment horizontal="center"/>
    </xf>
    <xf numFmtId="22" fontId="81" fillId="0" borderId="61" xfId="4" applyNumberFormat="1" applyFont="1" applyBorder="1"/>
    <xf numFmtId="0" fontId="81" fillId="0" borderId="17" xfId="4" applyFont="1" applyBorder="1" applyAlignment="1">
      <alignment horizontal="center"/>
    </xf>
    <xf numFmtId="164" fontId="81" fillId="0" borderId="62" xfId="4" applyNumberFormat="1" applyFont="1" applyBorder="1" applyAlignment="1">
      <alignment horizontal="center"/>
    </xf>
    <xf numFmtId="179" fontId="81" fillId="0" borderId="17" xfId="4" applyNumberFormat="1" applyFont="1" applyBorder="1" applyAlignment="1">
      <alignment horizontal="center"/>
    </xf>
    <xf numFmtId="179" fontId="81" fillId="0" borderId="62" xfId="4" applyNumberFormat="1" applyFont="1" applyBorder="1" applyAlignment="1">
      <alignment horizontal="center"/>
    </xf>
    <xf numFmtId="9" fontId="81" fillId="0" borderId="62" xfId="6" applyFont="1" applyBorder="1" applyAlignment="1">
      <alignment horizontal="center"/>
    </xf>
    <xf numFmtId="22" fontId="81" fillId="0" borderId="54" xfId="4" applyNumberFormat="1" applyFont="1" applyBorder="1"/>
    <xf numFmtId="0" fontId="81" fillId="0" borderId="55" xfId="4" applyFont="1" applyBorder="1" applyAlignment="1">
      <alignment horizontal="center"/>
    </xf>
    <xf numFmtId="9" fontId="81" fillId="0" borderId="56" xfId="6" applyFont="1" applyBorder="1" applyAlignment="1">
      <alignment horizontal="center"/>
    </xf>
    <xf numFmtId="179" fontId="81" fillId="0" borderId="0" xfId="4" applyNumberFormat="1" applyFont="1" applyAlignment="1">
      <alignment horizontal="center"/>
    </xf>
    <xf numFmtId="179" fontId="81" fillId="0" borderId="49" xfId="4" applyNumberFormat="1" applyFont="1" applyBorder="1" applyAlignment="1">
      <alignment horizontal="center"/>
    </xf>
    <xf numFmtId="164" fontId="81" fillId="0" borderId="17" xfId="6" applyNumberFormat="1" applyFont="1" applyBorder="1" applyAlignment="1">
      <alignment horizontal="center"/>
    </xf>
    <xf numFmtId="9" fontId="83" fillId="0" borderId="62" xfId="6" applyFont="1" applyBorder="1" applyAlignment="1">
      <alignment horizontal="center"/>
    </xf>
    <xf numFmtId="9" fontId="83" fillId="0" borderId="56" xfId="6" applyFont="1" applyBorder="1" applyAlignment="1">
      <alignment horizontal="center"/>
    </xf>
    <xf numFmtId="10" fontId="81" fillId="0" borderId="60" xfId="4" applyNumberFormat="1" applyFont="1" applyBorder="1"/>
    <xf numFmtId="10" fontId="81" fillId="0" borderId="62" xfId="4" applyNumberFormat="1" applyFont="1" applyBorder="1" applyAlignment="1">
      <alignment horizontal="center"/>
    </xf>
    <xf numFmtId="0" fontId="86" fillId="0" borderId="0" xfId="4" applyFont="1"/>
    <xf numFmtId="179" fontId="86" fillId="0" borderId="0" xfId="4" applyNumberFormat="1" applyFont="1" applyAlignment="1">
      <alignment horizontal="center"/>
    </xf>
    <xf numFmtId="22" fontId="18" fillId="0" borderId="0" xfId="4" applyNumberFormat="1"/>
    <xf numFmtId="0" fontId="18" fillId="0" borderId="10" xfId="4" applyBorder="1" applyAlignment="1">
      <alignment horizontal="center" vertical="center"/>
    </xf>
    <xf numFmtId="44" fontId="18" fillId="0" borderId="0" xfId="4" applyNumberFormat="1"/>
    <xf numFmtId="0" fontId="18" fillId="0" borderId="10" xfId="4" applyBorder="1" applyAlignment="1">
      <alignment horizontal="center" vertical="center" wrapText="1"/>
    </xf>
    <xf numFmtId="0" fontId="18" fillId="0" borderId="0" xfId="4" applyAlignment="1">
      <alignment horizontal="right"/>
    </xf>
    <xf numFmtId="0" fontId="18" fillId="0" borderId="0" xfId="40994" applyFont="1" applyAlignment="1">
      <alignment horizontal="left"/>
    </xf>
    <xf numFmtId="0" fontId="18" fillId="0" borderId="0" xfId="40994" applyFont="1" applyAlignment="1">
      <alignment horizontal="center"/>
    </xf>
    <xf numFmtId="0" fontId="18" fillId="0" borderId="0" xfId="40994" applyFont="1"/>
    <xf numFmtId="180" fontId="23" fillId="0" borderId="3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37" xfId="4" applyNumberFormat="1" applyFont="1" applyBorder="1" applyAlignment="1">
      <alignment horizontal="center"/>
    </xf>
    <xf numFmtId="180" fontId="18" fillId="0" borderId="0" xfId="4" applyNumberFormat="1"/>
    <xf numFmtId="180" fontId="18" fillId="0" borderId="0" xfId="40994" applyNumberFormat="1" applyFont="1" applyAlignment="1">
      <alignment horizontal="center"/>
    </xf>
    <xf numFmtId="180" fontId="23" fillId="0" borderId="0" xfId="4" applyNumberFormat="1" applyFont="1" applyAlignment="1">
      <alignment horizontal="center"/>
    </xf>
    <xf numFmtId="180" fontId="23" fillId="0" borderId="38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0" fontId="23" fillId="0" borderId="42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43" xfId="4" applyNumberFormat="1" applyFont="1" applyBorder="1" applyAlignment="1">
      <alignment horizontal="center"/>
    </xf>
    <xf numFmtId="38" fontId="18" fillId="0" borderId="0" xfId="29467" applyNumberFormat="1" applyAlignment="1">
      <alignment horizontal="left"/>
    </xf>
    <xf numFmtId="0" fontId="38" fillId="0" borderId="0" xfId="4" applyFont="1" applyAlignment="1">
      <alignment horizontal="center"/>
    </xf>
    <xf numFmtId="169" fontId="0" fillId="0" borderId="0" xfId="1" applyNumberFormat="1" applyFont="1"/>
    <xf numFmtId="43" fontId="18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61" borderId="0" xfId="0" applyFill="1"/>
    <xf numFmtId="43" fontId="0" fillId="0" borderId="0" xfId="1" applyFont="1" applyAlignment="1">
      <alignment horizontal="center" vertical="center"/>
    </xf>
    <xf numFmtId="168" fontId="18" fillId="0" borderId="0" xfId="3" applyNumberFormat="1"/>
    <xf numFmtId="166" fontId="18" fillId="0" borderId="0" xfId="3" applyNumberFormat="1" applyAlignment="1">
      <alignment horizontal="center" vertical="center"/>
    </xf>
    <xf numFmtId="174" fontId="18" fillId="0" borderId="0" xfId="4" applyNumberFormat="1" applyAlignment="1">
      <alignment horizontal="center"/>
    </xf>
    <xf numFmtId="175" fontId="18" fillId="0" borderId="0" xfId="4" applyNumberFormat="1"/>
    <xf numFmtId="174" fontId="19" fillId="0" borderId="0" xfId="4" applyNumberFormat="1" applyFont="1" applyAlignment="1">
      <alignment horizontal="center"/>
    </xf>
    <xf numFmtId="179" fontId="0" fillId="0" borderId="0" xfId="0" applyNumberFormat="1"/>
    <xf numFmtId="4" fontId="90" fillId="68" borderId="0" xfId="41038" applyNumberFormat="1" applyFont="1" applyFill="1"/>
    <xf numFmtId="182" fontId="23" fillId="0" borderId="63" xfId="0" applyNumberFormat="1" applyFont="1" applyBorder="1"/>
    <xf numFmtId="4" fontId="90" fillId="68" borderId="11" xfId="41038" applyNumberFormat="1" applyFont="1" applyFill="1" applyBorder="1"/>
    <xf numFmtId="4" fontId="90" fillId="68" borderId="64" xfId="41038" applyNumberFormat="1" applyFont="1" applyFill="1" applyBorder="1"/>
    <xf numFmtId="182" fontId="23" fillId="0" borderId="65" xfId="0" applyNumberFormat="1" applyFont="1" applyBorder="1"/>
    <xf numFmtId="4" fontId="90" fillId="68" borderId="44" xfId="41038" applyNumberFormat="1" applyFont="1" applyFill="1" applyBorder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6" fillId="61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61" borderId="0" xfId="0" applyFont="1" applyFill="1"/>
    <xf numFmtId="179" fontId="16" fillId="0" borderId="0" xfId="0" applyNumberFormat="1" applyFont="1"/>
    <xf numFmtId="1" fontId="16" fillId="0" borderId="0" xfId="0" applyNumberFormat="1" applyFont="1"/>
    <xf numFmtId="0" fontId="16" fillId="61" borderId="0" xfId="0" applyFont="1" applyFill="1" applyAlignment="1">
      <alignment horizontal="center" vertical="center" wrapText="1"/>
    </xf>
    <xf numFmtId="0" fontId="0" fillId="6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8" fontId="19" fillId="0" borderId="0" xfId="4" applyNumberFormat="1" applyFont="1" applyAlignment="1">
      <alignment horizontal="center"/>
    </xf>
    <xf numFmtId="179" fontId="0" fillId="68" borderId="0" xfId="0" applyNumberFormat="1" applyFill="1" applyAlignment="1">
      <alignment horizontal="center" vertical="center" wrapText="1"/>
    </xf>
    <xf numFmtId="1" fontId="0" fillId="0" borderId="0" xfId="1" applyNumberFormat="1" applyFont="1"/>
    <xf numFmtId="43" fontId="16" fillId="0" borderId="0" xfId="1" applyFont="1"/>
    <xf numFmtId="178" fontId="83" fillId="0" borderId="60" xfId="4" applyNumberFormat="1" applyFont="1" applyBorder="1" applyAlignment="1">
      <alignment horizontal="center"/>
    </xf>
    <xf numFmtId="0" fontId="0" fillId="68" borderId="0" xfId="0" applyFill="1"/>
    <xf numFmtId="43" fontId="0" fillId="0" borderId="0" xfId="0" applyNumberFormat="1"/>
    <xf numFmtId="38" fontId="0" fillId="0" borderId="0" xfId="5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8" fillId="72" borderId="0" xfId="3" applyFill="1" applyAlignment="1">
      <alignment horizontal="center"/>
    </xf>
    <xf numFmtId="0" fontId="18" fillId="72" borderId="0" xfId="3" applyFill="1"/>
    <xf numFmtId="0" fontId="18" fillId="72" borderId="0" xfId="3" applyFill="1" applyAlignment="1">
      <alignment horizontal="right"/>
    </xf>
    <xf numFmtId="10" fontId="0" fillId="72" borderId="0" xfId="6" applyNumberFormat="1" applyFont="1" applyFill="1" applyAlignment="1">
      <alignment horizontal="center"/>
    </xf>
    <xf numFmtId="0" fontId="0" fillId="72" borderId="0" xfId="0" applyFill="1"/>
    <xf numFmtId="43" fontId="0" fillId="72" borderId="0" xfId="1" applyFont="1" applyFill="1"/>
    <xf numFmtId="43" fontId="19" fillId="72" borderId="12" xfId="1" applyFont="1" applyFill="1" applyBorder="1"/>
    <xf numFmtId="41" fontId="16" fillId="0" borderId="0" xfId="0" applyNumberFormat="1" applyFon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6" fontId="18" fillId="0" borderId="0" xfId="3" applyNumberFormat="1"/>
    <xf numFmtId="1" fontId="14" fillId="0" borderId="0" xfId="0" applyNumberFormat="1" applyFont="1"/>
    <xf numFmtId="0" fontId="16" fillId="73" borderId="0" xfId="0" applyFont="1" applyFill="1" applyAlignment="1">
      <alignment horizontal="left" vertical="center"/>
    </xf>
    <xf numFmtId="0" fontId="16" fillId="70" borderId="0" xfId="0" applyFont="1" applyFill="1" applyAlignment="1">
      <alignment horizontal="left" vertical="center"/>
    </xf>
    <xf numFmtId="168" fontId="0" fillId="0" borderId="0" xfId="0" applyNumberFormat="1"/>
    <xf numFmtId="168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68" borderId="0" xfId="0" applyFont="1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22" fontId="18" fillId="0" borderId="0" xfId="4" applyNumberFormat="1" applyAlignment="1">
      <alignment wrapText="1"/>
    </xf>
    <xf numFmtId="0" fontId="18" fillId="0" borderId="0" xfId="4" applyAlignment="1">
      <alignment wrapText="1"/>
    </xf>
    <xf numFmtId="0" fontId="19" fillId="33" borderId="12" xfId="4" applyFont="1" applyFill="1" applyBorder="1" applyAlignment="1">
      <alignment horizontal="center" vertical="center"/>
    </xf>
    <xf numFmtId="0" fontId="19" fillId="63" borderId="12" xfId="4" applyFont="1" applyFill="1" applyBorder="1" applyAlignment="1">
      <alignment horizontal="center" vertical="center"/>
    </xf>
    <xf numFmtId="0" fontId="19" fillId="63" borderId="12" xfId="4" applyFont="1" applyFill="1" applyBorder="1"/>
    <xf numFmtId="0" fontId="18" fillId="0" borderId="11" xfId="4" applyBorder="1" applyAlignment="1">
      <alignment horizontal="center" vertical="center"/>
    </xf>
    <xf numFmtId="0" fontId="18" fillId="0" borderId="35" xfId="4" applyBorder="1" applyAlignment="1">
      <alignment horizontal="center" vertical="center"/>
    </xf>
    <xf numFmtId="0" fontId="18" fillId="0" borderId="45" xfId="4" applyBorder="1" applyAlignment="1">
      <alignment horizontal="center" vertical="center"/>
    </xf>
    <xf numFmtId="0" fontId="18" fillId="0" borderId="41" xfId="4" applyBorder="1" applyAlignment="1">
      <alignment horizontal="center" vertical="center"/>
    </xf>
    <xf numFmtId="0" fontId="18" fillId="64" borderId="46" xfId="4" applyFill="1" applyBorder="1" applyAlignment="1">
      <alignment horizontal="center" vertical="center" wrapText="1"/>
    </xf>
    <xf numFmtId="0" fontId="18" fillId="64" borderId="47" xfId="4" applyFill="1" applyBorder="1" applyAlignment="1">
      <alignment horizontal="center" vertical="center" wrapText="1"/>
    </xf>
    <xf numFmtId="0" fontId="18" fillId="65" borderId="46" xfId="4" applyFill="1" applyBorder="1" applyAlignment="1">
      <alignment horizontal="center" vertical="center" wrapText="1"/>
    </xf>
    <xf numFmtId="0" fontId="18" fillId="65" borderId="47" xfId="4" applyFill="1" applyBorder="1" applyAlignment="1">
      <alignment horizontal="center" vertical="center" wrapText="1"/>
    </xf>
    <xf numFmtId="0" fontId="18" fillId="66" borderId="46" xfId="4" applyFill="1" applyBorder="1" applyAlignment="1">
      <alignment horizontal="center" vertical="center" wrapText="1"/>
    </xf>
    <xf numFmtId="0" fontId="18" fillId="66" borderId="47" xfId="4" applyFill="1" applyBorder="1" applyAlignment="1">
      <alignment horizontal="center" vertical="center" wrapText="1"/>
    </xf>
    <xf numFmtId="0" fontId="18" fillId="67" borderId="48" xfId="4" applyFill="1" applyBorder="1" applyAlignment="1">
      <alignment horizontal="center" vertical="center" wrapText="1"/>
    </xf>
    <xf numFmtId="0" fontId="18" fillId="67" borderId="47" xfId="4" applyFill="1" applyBorder="1" applyAlignment="1">
      <alignment horizontal="center" vertical="center" wrapText="1"/>
    </xf>
    <xf numFmtId="0" fontId="18" fillId="68" borderId="46" xfId="4" applyFill="1" applyBorder="1" applyAlignment="1">
      <alignment horizontal="center" vertical="center" wrapText="1"/>
    </xf>
    <xf numFmtId="0" fontId="18" fillId="68" borderId="47" xfId="4" applyFill="1" applyBorder="1" applyAlignment="1">
      <alignment horizontal="center" vertical="center" wrapText="1"/>
    </xf>
    <xf numFmtId="0" fontId="18" fillId="69" borderId="46" xfId="4" applyFill="1" applyBorder="1" applyAlignment="1">
      <alignment horizontal="center" vertical="center" wrapText="1"/>
    </xf>
    <xf numFmtId="0" fontId="18" fillId="69" borderId="47" xfId="4" applyFill="1" applyBorder="1" applyAlignment="1">
      <alignment horizontal="center" vertical="center" wrapText="1"/>
    </xf>
    <xf numFmtId="0" fontId="18" fillId="0" borderId="0" xfId="4" applyAlignment="1">
      <alignment horizontal="center" vertical="center" wrapText="1"/>
    </xf>
  </cellXfs>
  <cellStyles count="41084">
    <cellStyle name="_x000a_386grabber=M" xfId="40998" xr:uid="{00000000-0005-0000-0000-000000000000}"/>
    <cellStyle name="20% - Accent1" xfId="41020" builtinId="30" customBuiltin="1"/>
    <cellStyle name="20% - Accent1 10" xfId="7" xr:uid="{00000000-0005-0000-0000-000002000000}"/>
    <cellStyle name="20% - Accent1 10 2" xfId="8" xr:uid="{00000000-0005-0000-0000-000003000000}"/>
    <cellStyle name="20% - Accent1 10 2 2" xfId="9" xr:uid="{00000000-0005-0000-0000-000004000000}"/>
    <cellStyle name="20% - Accent1 10 3" xfId="10" xr:uid="{00000000-0005-0000-0000-000005000000}"/>
    <cellStyle name="20% - Accent1 100" xfId="11" xr:uid="{00000000-0005-0000-0000-000006000000}"/>
    <cellStyle name="20% - Accent1 100 2" xfId="12" xr:uid="{00000000-0005-0000-0000-000007000000}"/>
    <cellStyle name="20% - Accent1 100 2 2" xfId="13" xr:uid="{00000000-0005-0000-0000-000008000000}"/>
    <cellStyle name="20% - Accent1 100 3" xfId="14" xr:uid="{00000000-0005-0000-0000-000009000000}"/>
    <cellStyle name="20% - Accent1 101" xfId="15" xr:uid="{00000000-0005-0000-0000-00000A000000}"/>
    <cellStyle name="20% - Accent1 102" xfId="16" xr:uid="{00000000-0005-0000-0000-00000B000000}"/>
    <cellStyle name="20% - Accent1 102 2" xfId="17" xr:uid="{00000000-0005-0000-0000-00000C000000}"/>
    <cellStyle name="20% - Accent1 102 2 2" xfId="18" xr:uid="{00000000-0005-0000-0000-00000D000000}"/>
    <cellStyle name="20% - Accent1 102 3" xfId="19" xr:uid="{00000000-0005-0000-0000-00000E000000}"/>
    <cellStyle name="20% - Accent1 103" xfId="20" xr:uid="{00000000-0005-0000-0000-00000F000000}"/>
    <cellStyle name="20% - Accent1 104" xfId="21" xr:uid="{00000000-0005-0000-0000-000010000000}"/>
    <cellStyle name="20% - Accent1 104 2" xfId="22" xr:uid="{00000000-0005-0000-0000-000011000000}"/>
    <cellStyle name="20% - Accent1 104 2 2" xfId="23" xr:uid="{00000000-0005-0000-0000-000012000000}"/>
    <cellStyle name="20% - Accent1 104 3" xfId="24" xr:uid="{00000000-0005-0000-0000-000013000000}"/>
    <cellStyle name="20% - Accent1 105" xfId="25" xr:uid="{00000000-0005-0000-0000-000014000000}"/>
    <cellStyle name="20% - Accent1 105 2" xfId="26" xr:uid="{00000000-0005-0000-0000-000015000000}"/>
    <cellStyle name="20% - Accent1 105 2 2" xfId="27" xr:uid="{00000000-0005-0000-0000-000016000000}"/>
    <cellStyle name="20% - Accent1 105 3" xfId="28" xr:uid="{00000000-0005-0000-0000-000017000000}"/>
    <cellStyle name="20% - Accent1 106" xfId="29" xr:uid="{00000000-0005-0000-0000-000018000000}"/>
    <cellStyle name="20% - Accent1 107" xfId="30" xr:uid="{00000000-0005-0000-0000-000019000000}"/>
    <cellStyle name="20% - Accent1 108" xfId="31" xr:uid="{00000000-0005-0000-0000-00001A000000}"/>
    <cellStyle name="20% - Accent1 109" xfId="32" xr:uid="{00000000-0005-0000-0000-00001B000000}"/>
    <cellStyle name="20% - Accent1 11" xfId="33" xr:uid="{00000000-0005-0000-0000-00001C000000}"/>
    <cellStyle name="20% - Accent1 11 2" xfId="34" xr:uid="{00000000-0005-0000-0000-00001D000000}"/>
    <cellStyle name="20% - Accent1 11 2 2" xfId="35" xr:uid="{00000000-0005-0000-0000-00001E000000}"/>
    <cellStyle name="20% - Accent1 11 3" xfId="36" xr:uid="{00000000-0005-0000-0000-00001F000000}"/>
    <cellStyle name="20% - Accent1 110" xfId="37" xr:uid="{00000000-0005-0000-0000-000020000000}"/>
    <cellStyle name="20% - Accent1 110 2" xfId="38" xr:uid="{00000000-0005-0000-0000-000021000000}"/>
    <cellStyle name="20% - Accent1 110 2 2" xfId="39" xr:uid="{00000000-0005-0000-0000-000022000000}"/>
    <cellStyle name="20% - Accent1 110 3" xfId="40" xr:uid="{00000000-0005-0000-0000-000023000000}"/>
    <cellStyle name="20% - Accent1 111" xfId="41" xr:uid="{00000000-0005-0000-0000-000024000000}"/>
    <cellStyle name="20% - Accent1 111 2" xfId="42" xr:uid="{00000000-0005-0000-0000-000025000000}"/>
    <cellStyle name="20% - Accent1 111 2 2" xfId="43" xr:uid="{00000000-0005-0000-0000-000026000000}"/>
    <cellStyle name="20% - Accent1 111 3" xfId="44" xr:uid="{00000000-0005-0000-0000-000027000000}"/>
    <cellStyle name="20% - Accent1 112" xfId="45" xr:uid="{00000000-0005-0000-0000-000028000000}"/>
    <cellStyle name="20% - Accent1 112 2" xfId="46" xr:uid="{00000000-0005-0000-0000-000029000000}"/>
    <cellStyle name="20% - Accent1 112 2 2" xfId="47" xr:uid="{00000000-0005-0000-0000-00002A000000}"/>
    <cellStyle name="20% - Accent1 112 3" xfId="48" xr:uid="{00000000-0005-0000-0000-00002B000000}"/>
    <cellStyle name="20% - Accent1 113" xfId="49" xr:uid="{00000000-0005-0000-0000-00002C000000}"/>
    <cellStyle name="20% - Accent1 114" xfId="50" xr:uid="{00000000-0005-0000-0000-00002D000000}"/>
    <cellStyle name="20% - Accent1 115" xfId="51" xr:uid="{00000000-0005-0000-0000-00002E000000}"/>
    <cellStyle name="20% - Accent1 116" xfId="52" xr:uid="{00000000-0005-0000-0000-00002F000000}"/>
    <cellStyle name="20% - Accent1 117" xfId="53" xr:uid="{00000000-0005-0000-0000-000030000000}"/>
    <cellStyle name="20% - Accent1 117 2" xfId="54" xr:uid="{00000000-0005-0000-0000-000031000000}"/>
    <cellStyle name="20% - Accent1 117 2 2" xfId="55" xr:uid="{00000000-0005-0000-0000-000032000000}"/>
    <cellStyle name="20% - Accent1 117 3" xfId="56" xr:uid="{00000000-0005-0000-0000-000033000000}"/>
    <cellStyle name="20% - Accent1 118" xfId="57" xr:uid="{00000000-0005-0000-0000-000034000000}"/>
    <cellStyle name="20% - Accent1 118 2" xfId="58" xr:uid="{00000000-0005-0000-0000-000035000000}"/>
    <cellStyle name="20% - Accent1 118 2 2" xfId="59" xr:uid="{00000000-0005-0000-0000-000036000000}"/>
    <cellStyle name="20% - Accent1 118 3" xfId="60" xr:uid="{00000000-0005-0000-0000-000037000000}"/>
    <cellStyle name="20% - Accent1 119" xfId="61" xr:uid="{00000000-0005-0000-0000-000038000000}"/>
    <cellStyle name="20% - Accent1 119 2" xfId="62" xr:uid="{00000000-0005-0000-0000-000039000000}"/>
    <cellStyle name="20% - Accent1 119 2 2" xfId="63" xr:uid="{00000000-0005-0000-0000-00003A000000}"/>
    <cellStyle name="20% - Accent1 119 3" xfId="64" xr:uid="{00000000-0005-0000-0000-00003B000000}"/>
    <cellStyle name="20% - Accent1 12" xfId="65" xr:uid="{00000000-0005-0000-0000-00003C000000}"/>
    <cellStyle name="20% - Accent1 12 2" xfId="66" xr:uid="{00000000-0005-0000-0000-00003D000000}"/>
    <cellStyle name="20% - Accent1 12 2 2" xfId="67" xr:uid="{00000000-0005-0000-0000-00003E000000}"/>
    <cellStyle name="20% - Accent1 12 3" xfId="68" xr:uid="{00000000-0005-0000-0000-00003F000000}"/>
    <cellStyle name="20% - Accent1 120" xfId="69" xr:uid="{00000000-0005-0000-0000-000040000000}"/>
    <cellStyle name="20% - Accent1 120 2" xfId="70" xr:uid="{00000000-0005-0000-0000-000041000000}"/>
    <cellStyle name="20% - Accent1 120 2 2" xfId="71" xr:uid="{00000000-0005-0000-0000-000042000000}"/>
    <cellStyle name="20% - Accent1 120 3" xfId="72" xr:uid="{00000000-0005-0000-0000-000043000000}"/>
    <cellStyle name="20% - Accent1 121" xfId="73" xr:uid="{00000000-0005-0000-0000-000044000000}"/>
    <cellStyle name="20% - Accent1 121 2" xfId="74" xr:uid="{00000000-0005-0000-0000-000045000000}"/>
    <cellStyle name="20% - Accent1 121 2 2" xfId="75" xr:uid="{00000000-0005-0000-0000-000046000000}"/>
    <cellStyle name="20% - Accent1 121 3" xfId="76" xr:uid="{00000000-0005-0000-0000-000047000000}"/>
    <cellStyle name="20% - Accent1 122" xfId="77" xr:uid="{00000000-0005-0000-0000-000048000000}"/>
    <cellStyle name="20% - Accent1 122 2" xfId="78" xr:uid="{00000000-0005-0000-0000-000049000000}"/>
    <cellStyle name="20% - Accent1 122 2 2" xfId="79" xr:uid="{00000000-0005-0000-0000-00004A000000}"/>
    <cellStyle name="20% - Accent1 122 3" xfId="80" xr:uid="{00000000-0005-0000-0000-00004B000000}"/>
    <cellStyle name="20% - Accent1 123" xfId="81" xr:uid="{00000000-0005-0000-0000-00004C000000}"/>
    <cellStyle name="20% - Accent1 123 2" xfId="82" xr:uid="{00000000-0005-0000-0000-00004D000000}"/>
    <cellStyle name="20% - Accent1 123 2 2" xfId="83" xr:uid="{00000000-0005-0000-0000-00004E000000}"/>
    <cellStyle name="20% - Accent1 123 3" xfId="84" xr:uid="{00000000-0005-0000-0000-00004F000000}"/>
    <cellStyle name="20% - Accent1 124" xfId="85" xr:uid="{00000000-0005-0000-0000-000050000000}"/>
    <cellStyle name="20% - Accent1 125" xfId="86" xr:uid="{00000000-0005-0000-0000-000051000000}"/>
    <cellStyle name="20% - Accent1 125 2" xfId="87" xr:uid="{00000000-0005-0000-0000-000052000000}"/>
    <cellStyle name="20% - Accent1 125 2 2" xfId="88" xr:uid="{00000000-0005-0000-0000-000053000000}"/>
    <cellStyle name="20% - Accent1 125 3" xfId="89" xr:uid="{00000000-0005-0000-0000-000054000000}"/>
    <cellStyle name="20% - Accent1 126" xfId="90" xr:uid="{00000000-0005-0000-0000-000055000000}"/>
    <cellStyle name="20% - Accent1 126 2" xfId="91" xr:uid="{00000000-0005-0000-0000-000056000000}"/>
    <cellStyle name="20% - Accent1 126 2 2" xfId="92" xr:uid="{00000000-0005-0000-0000-000057000000}"/>
    <cellStyle name="20% - Accent1 126 3" xfId="93" xr:uid="{00000000-0005-0000-0000-000058000000}"/>
    <cellStyle name="20% - Accent1 127" xfId="94" xr:uid="{00000000-0005-0000-0000-000059000000}"/>
    <cellStyle name="20% - Accent1 127 2" xfId="95" xr:uid="{00000000-0005-0000-0000-00005A000000}"/>
    <cellStyle name="20% - Accent1 127 2 2" xfId="96" xr:uid="{00000000-0005-0000-0000-00005B000000}"/>
    <cellStyle name="20% - Accent1 127 3" xfId="97" xr:uid="{00000000-0005-0000-0000-00005C000000}"/>
    <cellStyle name="20% - Accent1 128" xfId="98" xr:uid="{00000000-0005-0000-0000-00005D000000}"/>
    <cellStyle name="20% - Accent1 128 2" xfId="99" xr:uid="{00000000-0005-0000-0000-00005E000000}"/>
    <cellStyle name="20% - Accent1 128 2 2" xfId="100" xr:uid="{00000000-0005-0000-0000-00005F000000}"/>
    <cellStyle name="20% - Accent1 128 3" xfId="101" xr:uid="{00000000-0005-0000-0000-000060000000}"/>
    <cellStyle name="20% - Accent1 129" xfId="102" xr:uid="{00000000-0005-0000-0000-000061000000}"/>
    <cellStyle name="20% - Accent1 129 2" xfId="103" xr:uid="{00000000-0005-0000-0000-000062000000}"/>
    <cellStyle name="20% - Accent1 129 2 2" xfId="104" xr:uid="{00000000-0005-0000-0000-000063000000}"/>
    <cellStyle name="20% - Accent1 129 3" xfId="105" xr:uid="{00000000-0005-0000-0000-000064000000}"/>
    <cellStyle name="20% - Accent1 13" xfId="106" xr:uid="{00000000-0005-0000-0000-000065000000}"/>
    <cellStyle name="20% - Accent1 13 2" xfId="107" xr:uid="{00000000-0005-0000-0000-000066000000}"/>
    <cellStyle name="20% - Accent1 13 2 2" xfId="108" xr:uid="{00000000-0005-0000-0000-000067000000}"/>
    <cellStyle name="20% - Accent1 13 3" xfId="109" xr:uid="{00000000-0005-0000-0000-000068000000}"/>
    <cellStyle name="20% - Accent1 130" xfId="110" xr:uid="{00000000-0005-0000-0000-000069000000}"/>
    <cellStyle name="20% - Accent1 130 2" xfId="111" xr:uid="{00000000-0005-0000-0000-00006A000000}"/>
    <cellStyle name="20% - Accent1 130 2 2" xfId="112" xr:uid="{00000000-0005-0000-0000-00006B000000}"/>
    <cellStyle name="20% - Accent1 130 3" xfId="113" xr:uid="{00000000-0005-0000-0000-00006C000000}"/>
    <cellStyle name="20% - Accent1 131" xfId="114" xr:uid="{00000000-0005-0000-0000-00006D000000}"/>
    <cellStyle name="20% - Accent1 131 2" xfId="115" xr:uid="{00000000-0005-0000-0000-00006E000000}"/>
    <cellStyle name="20% - Accent1 131 2 2" xfId="116" xr:uid="{00000000-0005-0000-0000-00006F000000}"/>
    <cellStyle name="20% - Accent1 131 3" xfId="117" xr:uid="{00000000-0005-0000-0000-000070000000}"/>
    <cellStyle name="20% - Accent1 132" xfId="118" xr:uid="{00000000-0005-0000-0000-000071000000}"/>
    <cellStyle name="20% - Accent1 132 2" xfId="119" xr:uid="{00000000-0005-0000-0000-000072000000}"/>
    <cellStyle name="20% - Accent1 132 2 2" xfId="120" xr:uid="{00000000-0005-0000-0000-000073000000}"/>
    <cellStyle name="20% - Accent1 132 3" xfId="121" xr:uid="{00000000-0005-0000-0000-000074000000}"/>
    <cellStyle name="20% - Accent1 133" xfId="122" xr:uid="{00000000-0005-0000-0000-000075000000}"/>
    <cellStyle name="20% - Accent1 133 2" xfId="123" xr:uid="{00000000-0005-0000-0000-000076000000}"/>
    <cellStyle name="20% - Accent1 133 2 2" xfId="124" xr:uid="{00000000-0005-0000-0000-000077000000}"/>
    <cellStyle name="20% - Accent1 133 3" xfId="125" xr:uid="{00000000-0005-0000-0000-000078000000}"/>
    <cellStyle name="20% - Accent1 134" xfId="126" xr:uid="{00000000-0005-0000-0000-000079000000}"/>
    <cellStyle name="20% - Accent1 134 2" xfId="127" xr:uid="{00000000-0005-0000-0000-00007A000000}"/>
    <cellStyle name="20% - Accent1 135" xfId="128" xr:uid="{00000000-0005-0000-0000-00007B000000}"/>
    <cellStyle name="20% - Accent1 135 2" xfId="129" xr:uid="{00000000-0005-0000-0000-00007C000000}"/>
    <cellStyle name="20% - Accent1 136" xfId="130" xr:uid="{00000000-0005-0000-0000-00007D000000}"/>
    <cellStyle name="20% - Accent1 136 2" xfId="131" xr:uid="{00000000-0005-0000-0000-00007E000000}"/>
    <cellStyle name="20% - Accent1 137" xfId="132" xr:uid="{00000000-0005-0000-0000-00007F000000}"/>
    <cellStyle name="20% - Accent1 14" xfId="133" xr:uid="{00000000-0005-0000-0000-000080000000}"/>
    <cellStyle name="20% - Accent1 14 2" xfId="134" xr:uid="{00000000-0005-0000-0000-000081000000}"/>
    <cellStyle name="20% - Accent1 14 2 2" xfId="135" xr:uid="{00000000-0005-0000-0000-000082000000}"/>
    <cellStyle name="20% - Accent1 14 3" xfId="136" xr:uid="{00000000-0005-0000-0000-000083000000}"/>
    <cellStyle name="20% - Accent1 15" xfId="137" xr:uid="{00000000-0005-0000-0000-000084000000}"/>
    <cellStyle name="20% - Accent1 15 2" xfId="138" xr:uid="{00000000-0005-0000-0000-000085000000}"/>
    <cellStyle name="20% - Accent1 15 2 2" xfId="139" xr:uid="{00000000-0005-0000-0000-000086000000}"/>
    <cellStyle name="20% - Accent1 15 3" xfId="140" xr:uid="{00000000-0005-0000-0000-000087000000}"/>
    <cellStyle name="20% - Accent1 16" xfId="141" xr:uid="{00000000-0005-0000-0000-000088000000}"/>
    <cellStyle name="20% - Accent1 16 2" xfId="142" xr:uid="{00000000-0005-0000-0000-000089000000}"/>
    <cellStyle name="20% - Accent1 17" xfId="143" xr:uid="{00000000-0005-0000-0000-00008A000000}"/>
    <cellStyle name="20% - Accent1 17 2" xfId="144" xr:uid="{00000000-0005-0000-0000-00008B000000}"/>
    <cellStyle name="20% - Accent1 18" xfId="145" xr:uid="{00000000-0005-0000-0000-00008C000000}"/>
    <cellStyle name="20% - Accent1 18 2" xfId="146" xr:uid="{00000000-0005-0000-0000-00008D000000}"/>
    <cellStyle name="20% - Accent1 19" xfId="147" xr:uid="{00000000-0005-0000-0000-00008E000000}"/>
    <cellStyle name="20% - Accent1 19 2" xfId="148" xr:uid="{00000000-0005-0000-0000-00008F000000}"/>
    <cellStyle name="20% - Accent1 2" xfId="149" xr:uid="{00000000-0005-0000-0000-000090000000}"/>
    <cellStyle name="20% - Accent1 2 2" xfId="150" xr:uid="{00000000-0005-0000-0000-000091000000}"/>
    <cellStyle name="20% - Accent1 2 2 2" xfId="151" xr:uid="{00000000-0005-0000-0000-000092000000}"/>
    <cellStyle name="20% - Accent1 2 2 2 2" xfId="152" xr:uid="{00000000-0005-0000-0000-000093000000}"/>
    <cellStyle name="20% - Accent1 2 2 2 2 2" xfId="153" xr:uid="{00000000-0005-0000-0000-000094000000}"/>
    <cellStyle name="20% - Accent1 2 3" xfId="154" xr:uid="{00000000-0005-0000-0000-000095000000}"/>
    <cellStyle name="20% - Accent1 2 4" xfId="155" xr:uid="{00000000-0005-0000-0000-000096000000}"/>
    <cellStyle name="20% - Accent1 2 5" xfId="41040" xr:uid="{00000000-0005-0000-0000-000000000000}"/>
    <cellStyle name="20% - Accent1 20" xfId="156" xr:uid="{00000000-0005-0000-0000-000097000000}"/>
    <cellStyle name="20% - Accent1 20 2" xfId="157" xr:uid="{00000000-0005-0000-0000-000098000000}"/>
    <cellStyle name="20% - Accent1 21" xfId="158" xr:uid="{00000000-0005-0000-0000-000099000000}"/>
    <cellStyle name="20% - Accent1 21 2" xfId="159" xr:uid="{00000000-0005-0000-0000-00009A000000}"/>
    <cellStyle name="20% - Accent1 22" xfId="160" xr:uid="{00000000-0005-0000-0000-00009B000000}"/>
    <cellStyle name="20% - Accent1 22 2" xfId="161" xr:uid="{00000000-0005-0000-0000-00009C000000}"/>
    <cellStyle name="20% - Accent1 23" xfId="162" xr:uid="{00000000-0005-0000-0000-00009D000000}"/>
    <cellStyle name="20% - Accent1 23 2" xfId="163" xr:uid="{00000000-0005-0000-0000-00009E000000}"/>
    <cellStyle name="20% - Accent1 24" xfId="164" xr:uid="{00000000-0005-0000-0000-00009F000000}"/>
    <cellStyle name="20% - Accent1 24 2" xfId="165" xr:uid="{00000000-0005-0000-0000-0000A0000000}"/>
    <cellStyle name="20% - Accent1 25" xfId="166" xr:uid="{00000000-0005-0000-0000-0000A1000000}"/>
    <cellStyle name="20% - Accent1 25 2" xfId="167" xr:uid="{00000000-0005-0000-0000-0000A2000000}"/>
    <cellStyle name="20% - Accent1 26" xfId="168" xr:uid="{00000000-0005-0000-0000-0000A3000000}"/>
    <cellStyle name="20% - Accent1 26 2" xfId="169" xr:uid="{00000000-0005-0000-0000-0000A4000000}"/>
    <cellStyle name="20% - Accent1 27" xfId="170" xr:uid="{00000000-0005-0000-0000-0000A5000000}"/>
    <cellStyle name="20% - Accent1 27 2" xfId="171" xr:uid="{00000000-0005-0000-0000-0000A6000000}"/>
    <cellStyle name="20% - Accent1 28" xfId="172" xr:uid="{00000000-0005-0000-0000-0000A7000000}"/>
    <cellStyle name="20% - Accent1 28 2" xfId="173" xr:uid="{00000000-0005-0000-0000-0000A8000000}"/>
    <cellStyle name="20% - Accent1 29" xfId="174" xr:uid="{00000000-0005-0000-0000-0000A9000000}"/>
    <cellStyle name="20% - Accent1 29 2" xfId="175" xr:uid="{00000000-0005-0000-0000-0000AA000000}"/>
    <cellStyle name="20% - Accent1 3" xfId="176" xr:uid="{00000000-0005-0000-0000-0000AB000000}"/>
    <cellStyle name="20% - Accent1 3 2" xfId="177" xr:uid="{00000000-0005-0000-0000-0000AC000000}"/>
    <cellStyle name="20% - Accent1 3 2 2" xfId="178" xr:uid="{00000000-0005-0000-0000-0000AD000000}"/>
    <cellStyle name="20% - Accent1 3 3" xfId="179" xr:uid="{00000000-0005-0000-0000-0000AE000000}"/>
    <cellStyle name="20% - Accent1 3 4" xfId="180" xr:uid="{00000000-0005-0000-0000-0000AF000000}"/>
    <cellStyle name="20% - Accent1 3 5" xfId="181" xr:uid="{00000000-0005-0000-0000-0000B0000000}"/>
    <cellStyle name="20% - Accent1 3_MAR 2009" xfId="182" xr:uid="{00000000-0005-0000-0000-0000B1000000}"/>
    <cellStyle name="20% - Accent1 30" xfId="183" xr:uid="{00000000-0005-0000-0000-0000B2000000}"/>
    <cellStyle name="20% - Accent1 30 2" xfId="184" xr:uid="{00000000-0005-0000-0000-0000B3000000}"/>
    <cellStyle name="20% - Accent1 31" xfId="185" xr:uid="{00000000-0005-0000-0000-0000B4000000}"/>
    <cellStyle name="20% - Accent1 31 2" xfId="186" xr:uid="{00000000-0005-0000-0000-0000B5000000}"/>
    <cellStyle name="20% - Accent1 32" xfId="187" xr:uid="{00000000-0005-0000-0000-0000B6000000}"/>
    <cellStyle name="20% - Accent1 32 2" xfId="188" xr:uid="{00000000-0005-0000-0000-0000B7000000}"/>
    <cellStyle name="20% - Accent1 33" xfId="189" xr:uid="{00000000-0005-0000-0000-0000B8000000}"/>
    <cellStyle name="20% - Accent1 33 2" xfId="190" xr:uid="{00000000-0005-0000-0000-0000B9000000}"/>
    <cellStyle name="20% - Accent1 34" xfId="191" xr:uid="{00000000-0005-0000-0000-0000BA000000}"/>
    <cellStyle name="20% - Accent1 34 2" xfId="192" xr:uid="{00000000-0005-0000-0000-0000BB000000}"/>
    <cellStyle name="20% - Accent1 35" xfId="193" xr:uid="{00000000-0005-0000-0000-0000BC000000}"/>
    <cellStyle name="20% - Accent1 35 2" xfId="194" xr:uid="{00000000-0005-0000-0000-0000BD000000}"/>
    <cellStyle name="20% - Accent1 36" xfId="195" xr:uid="{00000000-0005-0000-0000-0000BE000000}"/>
    <cellStyle name="20% - Accent1 36 2" xfId="196" xr:uid="{00000000-0005-0000-0000-0000BF000000}"/>
    <cellStyle name="20% - Accent1 37" xfId="197" xr:uid="{00000000-0005-0000-0000-0000C0000000}"/>
    <cellStyle name="20% - Accent1 37 2" xfId="198" xr:uid="{00000000-0005-0000-0000-0000C1000000}"/>
    <cellStyle name="20% - Accent1 38" xfId="199" xr:uid="{00000000-0005-0000-0000-0000C2000000}"/>
    <cellStyle name="20% - Accent1 38 2" xfId="200" xr:uid="{00000000-0005-0000-0000-0000C3000000}"/>
    <cellStyle name="20% - Accent1 39" xfId="201" xr:uid="{00000000-0005-0000-0000-0000C4000000}"/>
    <cellStyle name="20% - Accent1 39 2" xfId="202" xr:uid="{00000000-0005-0000-0000-0000C5000000}"/>
    <cellStyle name="20% - Accent1 4" xfId="203" xr:uid="{00000000-0005-0000-0000-0000C6000000}"/>
    <cellStyle name="20% - Accent1 4 2" xfId="204" xr:uid="{00000000-0005-0000-0000-0000C7000000}"/>
    <cellStyle name="20% - Accent1 4 2 2" xfId="205" xr:uid="{00000000-0005-0000-0000-0000C8000000}"/>
    <cellStyle name="20% - Accent1 4 3" xfId="206" xr:uid="{00000000-0005-0000-0000-0000C9000000}"/>
    <cellStyle name="20% - Accent1 40" xfId="207" xr:uid="{00000000-0005-0000-0000-0000CA000000}"/>
    <cellStyle name="20% - Accent1 40 2" xfId="208" xr:uid="{00000000-0005-0000-0000-0000CB000000}"/>
    <cellStyle name="20% - Accent1 41" xfId="209" xr:uid="{00000000-0005-0000-0000-0000CC000000}"/>
    <cellStyle name="20% - Accent1 41 2" xfId="210" xr:uid="{00000000-0005-0000-0000-0000CD000000}"/>
    <cellStyle name="20% - Accent1 42" xfId="211" xr:uid="{00000000-0005-0000-0000-0000CE000000}"/>
    <cellStyle name="20% - Accent1 42 2" xfId="212" xr:uid="{00000000-0005-0000-0000-0000CF000000}"/>
    <cellStyle name="20% - Accent1 43" xfId="213" xr:uid="{00000000-0005-0000-0000-0000D0000000}"/>
    <cellStyle name="20% - Accent1 43 2" xfId="214" xr:uid="{00000000-0005-0000-0000-0000D1000000}"/>
    <cellStyle name="20% - Accent1 44" xfId="215" xr:uid="{00000000-0005-0000-0000-0000D2000000}"/>
    <cellStyle name="20% - Accent1 44 2" xfId="216" xr:uid="{00000000-0005-0000-0000-0000D3000000}"/>
    <cellStyle name="20% - Accent1 45" xfId="217" xr:uid="{00000000-0005-0000-0000-0000D4000000}"/>
    <cellStyle name="20% - Accent1 45 2" xfId="218" xr:uid="{00000000-0005-0000-0000-0000D5000000}"/>
    <cellStyle name="20% - Accent1 46" xfId="219" xr:uid="{00000000-0005-0000-0000-0000D6000000}"/>
    <cellStyle name="20% - Accent1 46 2" xfId="220" xr:uid="{00000000-0005-0000-0000-0000D7000000}"/>
    <cellStyle name="20% - Accent1 47" xfId="221" xr:uid="{00000000-0005-0000-0000-0000D8000000}"/>
    <cellStyle name="20% - Accent1 47 2" xfId="222" xr:uid="{00000000-0005-0000-0000-0000D9000000}"/>
    <cellStyle name="20% - Accent1 48" xfId="223" xr:uid="{00000000-0005-0000-0000-0000DA000000}"/>
    <cellStyle name="20% - Accent1 48 2" xfId="224" xr:uid="{00000000-0005-0000-0000-0000DB000000}"/>
    <cellStyle name="20% - Accent1 49" xfId="225" xr:uid="{00000000-0005-0000-0000-0000DC000000}"/>
    <cellStyle name="20% - Accent1 49 2" xfId="226" xr:uid="{00000000-0005-0000-0000-0000DD000000}"/>
    <cellStyle name="20% - Accent1 5" xfId="227" xr:uid="{00000000-0005-0000-0000-0000DE000000}"/>
    <cellStyle name="20% - Accent1 5 2" xfId="228" xr:uid="{00000000-0005-0000-0000-0000DF000000}"/>
    <cellStyle name="20% - Accent1 5 2 2" xfId="229" xr:uid="{00000000-0005-0000-0000-0000E0000000}"/>
    <cellStyle name="20% - Accent1 5 3" xfId="230" xr:uid="{00000000-0005-0000-0000-0000E1000000}"/>
    <cellStyle name="20% - Accent1 50" xfId="231" xr:uid="{00000000-0005-0000-0000-0000E2000000}"/>
    <cellStyle name="20% - Accent1 50 2" xfId="232" xr:uid="{00000000-0005-0000-0000-0000E3000000}"/>
    <cellStyle name="20% - Accent1 51" xfId="233" xr:uid="{00000000-0005-0000-0000-0000E4000000}"/>
    <cellStyle name="20% - Accent1 51 2" xfId="234" xr:uid="{00000000-0005-0000-0000-0000E5000000}"/>
    <cellStyle name="20% - Accent1 52" xfId="235" xr:uid="{00000000-0005-0000-0000-0000E6000000}"/>
    <cellStyle name="20% - Accent1 52 2" xfId="236" xr:uid="{00000000-0005-0000-0000-0000E7000000}"/>
    <cellStyle name="20% - Accent1 53" xfId="237" xr:uid="{00000000-0005-0000-0000-0000E8000000}"/>
    <cellStyle name="20% - Accent1 53 2" xfId="238" xr:uid="{00000000-0005-0000-0000-0000E9000000}"/>
    <cellStyle name="20% - Accent1 54" xfId="239" xr:uid="{00000000-0005-0000-0000-0000EA000000}"/>
    <cellStyle name="20% - Accent1 54 2" xfId="240" xr:uid="{00000000-0005-0000-0000-0000EB000000}"/>
    <cellStyle name="20% - Accent1 55" xfId="241" xr:uid="{00000000-0005-0000-0000-0000EC000000}"/>
    <cellStyle name="20% - Accent1 55 2" xfId="242" xr:uid="{00000000-0005-0000-0000-0000ED000000}"/>
    <cellStyle name="20% - Accent1 56" xfId="243" xr:uid="{00000000-0005-0000-0000-0000EE000000}"/>
    <cellStyle name="20% - Accent1 56 2" xfId="244" xr:uid="{00000000-0005-0000-0000-0000EF000000}"/>
    <cellStyle name="20% - Accent1 57" xfId="245" xr:uid="{00000000-0005-0000-0000-0000F0000000}"/>
    <cellStyle name="20% - Accent1 57 2" xfId="246" xr:uid="{00000000-0005-0000-0000-0000F1000000}"/>
    <cellStyle name="20% - Accent1 58" xfId="247" xr:uid="{00000000-0005-0000-0000-0000F2000000}"/>
    <cellStyle name="20% - Accent1 58 2" xfId="248" xr:uid="{00000000-0005-0000-0000-0000F3000000}"/>
    <cellStyle name="20% - Accent1 59" xfId="249" xr:uid="{00000000-0005-0000-0000-0000F4000000}"/>
    <cellStyle name="20% - Accent1 59 2" xfId="250" xr:uid="{00000000-0005-0000-0000-0000F5000000}"/>
    <cellStyle name="20% - Accent1 6" xfId="251" xr:uid="{00000000-0005-0000-0000-0000F6000000}"/>
    <cellStyle name="20% - Accent1 6 2" xfId="252" xr:uid="{00000000-0005-0000-0000-0000F7000000}"/>
    <cellStyle name="20% - Accent1 6 2 2" xfId="253" xr:uid="{00000000-0005-0000-0000-0000F8000000}"/>
    <cellStyle name="20% - Accent1 6 3" xfId="254" xr:uid="{00000000-0005-0000-0000-0000F9000000}"/>
    <cellStyle name="20% - Accent1 60" xfId="255" xr:uid="{00000000-0005-0000-0000-0000FA000000}"/>
    <cellStyle name="20% - Accent1 60 2" xfId="256" xr:uid="{00000000-0005-0000-0000-0000FB000000}"/>
    <cellStyle name="20% - Accent1 61" xfId="257" xr:uid="{00000000-0005-0000-0000-0000FC000000}"/>
    <cellStyle name="20% - Accent1 61 2" xfId="258" xr:uid="{00000000-0005-0000-0000-0000FD000000}"/>
    <cellStyle name="20% - Accent1 62" xfId="259" xr:uid="{00000000-0005-0000-0000-0000FE000000}"/>
    <cellStyle name="20% - Accent1 62 2" xfId="260" xr:uid="{00000000-0005-0000-0000-0000FF000000}"/>
    <cellStyle name="20% - Accent1 63" xfId="261" xr:uid="{00000000-0005-0000-0000-000000010000}"/>
    <cellStyle name="20% - Accent1 63 2" xfId="262" xr:uid="{00000000-0005-0000-0000-000001010000}"/>
    <cellStyle name="20% - Accent1 64" xfId="263" xr:uid="{00000000-0005-0000-0000-000002010000}"/>
    <cellStyle name="20% - Accent1 64 2" xfId="264" xr:uid="{00000000-0005-0000-0000-000003010000}"/>
    <cellStyle name="20% - Accent1 65" xfId="265" xr:uid="{00000000-0005-0000-0000-000004010000}"/>
    <cellStyle name="20% - Accent1 65 2" xfId="266" xr:uid="{00000000-0005-0000-0000-000005010000}"/>
    <cellStyle name="20% - Accent1 66" xfId="267" xr:uid="{00000000-0005-0000-0000-000006010000}"/>
    <cellStyle name="20% - Accent1 66 2" xfId="268" xr:uid="{00000000-0005-0000-0000-000007010000}"/>
    <cellStyle name="20% - Accent1 67" xfId="269" xr:uid="{00000000-0005-0000-0000-000008010000}"/>
    <cellStyle name="20% - Accent1 67 2" xfId="270" xr:uid="{00000000-0005-0000-0000-000009010000}"/>
    <cellStyle name="20% - Accent1 68" xfId="271" xr:uid="{00000000-0005-0000-0000-00000A010000}"/>
    <cellStyle name="20% - Accent1 68 2" xfId="272" xr:uid="{00000000-0005-0000-0000-00000B010000}"/>
    <cellStyle name="20% - Accent1 69" xfId="273" xr:uid="{00000000-0005-0000-0000-00000C010000}"/>
    <cellStyle name="20% - Accent1 69 2" xfId="274" xr:uid="{00000000-0005-0000-0000-00000D010000}"/>
    <cellStyle name="20% - Accent1 7" xfId="275" xr:uid="{00000000-0005-0000-0000-00000E010000}"/>
    <cellStyle name="20% - Accent1 7 2" xfId="276" xr:uid="{00000000-0005-0000-0000-00000F010000}"/>
    <cellStyle name="20% - Accent1 7 2 2" xfId="277" xr:uid="{00000000-0005-0000-0000-000010010000}"/>
    <cellStyle name="20% - Accent1 7 3" xfId="278" xr:uid="{00000000-0005-0000-0000-000011010000}"/>
    <cellStyle name="20% - Accent1 7 4" xfId="279" xr:uid="{00000000-0005-0000-0000-000012010000}"/>
    <cellStyle name="20% - Accent1 70" xfId="280" xr:uid="{00000000-0005-0000-0000-000013010000}"/>
    <cellStyle name="20% - Accent1 70 2" xfId="281" xr:uid="{00000000-0005-0000-0000-000014010000}"/>
    <cellStyle name="20% - Accent1 71" xfId="282" xr:uid="{00000000-0005-0000-0000-000015010000}"/>
    <cellStyle name="20% - Accent1 71 2" xfId="283" xr:uid="{00000000-0005-0000-0000-000016010000}"/>
    <cellStyle name="20% - Accent1 72" xfId="284" xr:uid="{00000000-0005-0000-0000-000017010000}"/>
    <cellStyle name="20% - Accent1 72 2" xfId="285" xr:uid="{00000000-0005-0000-0000-000018010000}"/>
    <cellStyle name="20% - Accent1 73" xfId="286" xr:uid="{00000000-0005-0000-0000-000019010000}"/>
    <cellStyle name="20% - Accent1 73 10" xfId="287" xr:uid="{00000000-0005-0000-0000-00001A010000}"/>
    <cellStyle name="20% - Accent1 73 10 2" xfId="288" xr:uid="{00000000-0005-0000-0000-00001B010000}"/>
    <cellStyle name="20% - Accent1 73 10 2 2" xfId="289" xr:uid="{00000000-0005-0000-0000-00001C010000}"/>
    <cellStyle name="20% - Accent1 73 10 3" xfId="290" xr:uid="{00000000-0005-0000-0000-00001D010000}"/>
    <cellStyle name="20% - Accent1 73 11" xfId="291" xr:uid="{00000000-0005-0000-0000-00001E010000}"/>
    <cellStyle name="20% - Accent1 73 11 2" xfId="292" xr:uid="{00000000-0005-0000-0000-00001F010000}"/>
    <cellStyle name="20% - Accent1 73 11 2 2" xfId="293" xr:uid="{00000000-0005-0000-0000-000020010000}"/>
    <cellStyle name="20% - Accent1 73 11 3" xfId="294" xr:uid="{00000000-0005-0000-0000-000021010000}"/>
    <cellStyle name="20% - Accent1 73 12" xfId="295" xr:uid="{00000000-0005-0000-0000-000022010000}"/>
    <cellStyle name="20% - Accent1 73 12 2" xfId="296" xr:uid="{00000000-0005-0000-0000-000023010000}"/>
    <cellStyle name="20% - Accent1 73 12 2 2" xfId="297" xr:uid="{00000000-0005-0000-0000-000024010000}"/>
    <cellStyle name="20% - Accent1 73 12 3" xfId="298" xr:uid="{00000000-0005-0000-0000-000025010000}"/>
    <cellStyle name="20% - Accent1 73 13" xfId="299" xr:uid="{00000000-0005-0000-0000-000026010000}"/>
    <cellStyle name="20% - Accent1 73 13 2" xfId="300" xr:uid="{00000000-0005-0000-0000-000027010000}"/>
    <cellStyle name="20% - Accent1 73 13 2 2" xfId="301" xr:uid="{00000000-0005-0000-0000-000028010000}"/>
    <cellStyle name="20% - Accent1 73 13 3" xfId="302" xr:uid="{00000000-0005-0000-0000-000029010000}"/>
    <cellStyle name="20% - Accent1 73 14" xfId="303" xr:uid="{00000000-0005-0000-0000-00002A010000}"/>
    <cellStyle name="20% - Accent1 73 14 2" xfId="304" xr:uid="{00000000-0005-0000-0000-00002B010000}"/>
    <cellStyle name="20% - Accent1 73 14 2 2" xfId="305" xr:uid="{00000000-0005-0000-0000-00002C010000}"/>
    <cellStyle name="20% - Accent1 73 14 3" xfId="306" xr:uid="{00000000-0005-0000-0000-00002D010000}"/>
    <cellStyle name="20% - Accent1 73 15" xfId="307" xr:uid="{00000000-0005-0000-0000-00002E010000}"/>
    <cellStyle name="20% - Accent1 73 15 2" xfId="308" xr:uid="{00000000-0005-0000-0000-00002F010000}"/>
    <cellStyle name="20% - Accent1 73 15 2 2" xfId="309" xr:uid="{00000000-0005-0000-0000-000030010000}"/>
    <cellStyle name="20% - Accent1 73 15 3" xfId="310" xr:uid="{00000000-0005-0000-0000-000031010000}"/>
    <cellStyle name="20% - Accent1 73 16" xfId="311" xr:uid="{00000000-0005-0000-0000-000032010000}"/>
    <cellStyle name="20% - Accent1 73 16 2" xfId="312" xr:uid="{00000000-0005-0000-0000-000033010000}"/>
    <cellStyle name="20% - Accent1 73 16 2 2" xfId="313" xr:uid="{00000000-0005-0000-0000-000034010000}"/>
    <cellStyle name="20% - Accent1 73 16 3" xfId="314" xr:uid="{00000000-0005-0000-0000-000035010000}"/>
    <cellStyle name="20% - Accent1 73 17" xfId="315" xr:uid="{00000000-0005-0000-0000-000036010000}"/>
    <cellStyle name="20% - Accent1 73 17 2" xfId="316" xr:uid="{00000000-0005-0000-0000-000037010000}"/>
    <cellStyle name="20% - Accent1 73 17 2 2" xfId="317" xr:uid="{00000000-0005-0000-0000-000038010000}"/>
    <cellStyle name="20% - Accent1 73 17 3" xfId="318" xr:uid="{00000000-0005-0000-0000-000039010000}"/>
    <cellStyle name="20% - Accent1 73 18" xfId="319" xr:uid="{00000000-0005-0000-0000-00003A010000}"/>
    <cellStyle name="20% - Accent1 73 18 2" xfId="320" xr:uid="{00000000-0005-0000-0000-00003B010000}"/>
    <cellStyle name="20% - Accent1 73 18 2 2" xfId="321" xr:uid="{00000000-0005-0000-0000-00003C010000}"/>
    <cellStyle name="20% - Accent1 73 18 3" xfId="322" xr:uid="{00000000-0005-0000-0000-00003D010000}"/>
    <cellStyle name="20% - Accent1 73 19" xfId="323" xr:uid="{00000000-0005-0000-0000-00003E010000}"/>
    <cellStyle name="20% - Accent1 73 19 2" xfId="324" xr:uid="{00000000-0005-0000-0000-00003F010000}"/>
    <cellStyle name="20% - Accent1 73 19 2 2" xfId="325" xr:uid="{00000000-0005-0000-0000-000040010000}"/>
    <cellStyle name="20% - Accent1 73 19 3" xfId="326" xr:uid="{00000000-0005-0000-0000-000041010000}"/>
    <cellStyle name="20% - Accent1 73 2" xfId="327" xr:uid="{00000000-0005-0000-0000-000042010000}"/>
    <cellStyle name="20% - Accent1 73 2 2" xfId="328" xr:uid="{00000000-0005-0000-0000-000043010000}"/>
    <cellStyle name="20% - Accent1 73 2 2 2" xfId="329" xr:uid="{00000000-0005-0000-0000-000044010000}"/>
    <cellStyle name="20% - Accent1 73 2 3" xfId="330" xr:uid="{00000000-0005-0000-0000-000045010000}"/>
    <cellStyle name="20% - Accent1 73 20" xfId="331" xr:uid="{00000000-0005-0000-0000-000046010000}"/>
    <cellStyle name="20% - Accent1 73 20 2" xfId="332" xr:uid="{00000000-0005-0000-0000-000047010000}"/>
    <cellStyle name="20% - Accent1 73 20 2 2" xfId="333" xr:uid="{00000000-0005-0000-0000-000048010000}"/>
    <cellStyle name="20% - Accent1 73 20 3" xfId="334" xr:uid="{00000000-0005-0000-0000-000049010000}"/>
    <cellStyle name="20% - Accent1 73 21" xfId="335" xr:uid="{00000000-0005-0000-0000-00004A010000}"/>
    <cellStyle name="20% - Accent1 73 21 2" xfId="336" xr:uid="{00000000-0005-0000-0000-00004B010000}"/>
    <cellStyle name="20% - Accent1 73 21 2 2" xfId="337" xr:uid="{00000000-0005-0000-0000-00004C010000}"/>
    <cellStyle name="20% - Accent1 73 21 3" xfId="338" xr:uid="{00000000-0005-0000-0000-00004D010000}"/>
    <cellStyle name="20% - Accent1 73 22" xfId="339" xr:uid="{00000000-0005-0000-0000-00004E010000}"/>
    <cellStyle name="20% - Accent1 73 22 2" xfId="340" xr:uid="{00000000-0005-0000-0000-00004F010000}"/>
    <cellStyle name="20% - Accent1 73 22 2 2" xfId="341" xr:uid="{00000000-0005-0000-0000-000050010000}"/>
    <cellStyle name="20% - Accent1 73 22 3" xfId="342" xr:uid="{00000000-0005-0000-0000-000051010000}"/>
    <cellStyle name="20% - Accent1 73 23" xfId="343" xr:uid="{00000000-0005-0000-0000-000052010000}"/>
    <cellStyle name="20% - Accent1 73 23 2" xfId="344" xr:uid="{00000000-0005-0000-0000-000053010000}"/>
    <cellStyle name="20% - Accent1 73 23 2 2" xfId="345" xr:uid="{00000000-0005-0000-0000-000054010000}"/>
    <cellStyle name="20% - Accent1 73 23 3" xfId="346" xr:uid="{00000000-0005-0000-0000-000055010000}"/>
    <cellStyle name="20% - Accent1 73 24" xfId="347" xr:uid="{00000000-0005-0000-0000-000056010000}"/>
    <cellStyle name="20% - Accent1 73 24 2" xfId="348" xr:uid="{00000000-0005-0000-0000-000057010000}"/>
    <cellStyle name="20% - Accent1 73 24 2 2" xfId="349" xr:uid="{00000000-0005-0000-0000-000058010000}"/>
    <cellStyle name="20% - Accent1 73 24 3" xfId="350" xr:uid="{00000000-0005-0000-0000-000059010000}"/>
    <cellStyle name="20% - Accent1 73 25" xfId="351" xr:uid="{00000000-0005-0000-0000-00005A010000}"/>
    <cellStyle name="20% - Accent1 73 25 2" xfId="352" xr:uid="{00000000-0005-0000-0000-00005B010000}"/>
    <cellStyle name="20% - Accent1 73 25 2 2" xfId="353" xr:uid="{00000000-0005-0000-0000-00005C010000}"/>
    <cellStyle name="20% - Accent1 73 25 3" xfId="354" xr:uid="{00000000-0005-0000-0000-00005D010000}"/>
    <cellStyle name="20% - Accent1 73 26" xfId="355" xr:uid="{00000000-0005-0000-0000-00005E010000}"/>
    <cellStyle name="20% - Accent1 73 26 2" xfId="356" xr:uid="{00000000-0005-0000-0000-00005F010000}"/>
    <cellStyle name="20% - Accent1 73 26 2 2" xfId="357" xr:uid="{00000000-0005-0000-0000-000060010000}"/>
    <cellStyle name="20% - Accent1 73 26 3" xfId="358" xr:uid="{00000000-0005-0000-0000-000061010000}"/>
    <cellStyle name="20% - Accent1 73 27" xfId="359" xr:uid="{00000000-0005-0000-0000-000062010000}"/>
    <cellStyle name="20% - Accent1 73 27 2" xfId="360" xr:uid="{00000000-0005-0000-0000-000063010000}"/>
    <cellStyle name="20% - Accent1 73 27 2 2" xfId="361" xr:uid="{00000000-0005-0000-0000-000064010000}"/>
    <cellStyle name="20% - Accent1 73 27 3" xfId="362" xr:uid="{00000000-0005-0000-0000-000065010000}"/>
    <cellStyle name="20% - Accent1 73 28" xfId="363" xr:uid="{00000000-0005-0000-0000-000066010000}"/>
    <cellStyle name="20% - Accent1 73 28 2" xfId="364" xr:uid="{00000000-0005-0000-0000-000067010000}"/>
    <cellStyle name="20% - Accent1 73 28 2 2" xfId="365" xr:uid="{00000000-0005-0000-0000-000068010000}"/>
    <cellStyle name="20% - Accent1 73 28 3" xfId="366" xr:uid="{00000000-0005-0000-0000-000069010000}"/>
    <cellStyle name="20% - Accent1 73 29" xfId="367" xr:uid="{00000000-0005-0000-0000-00006A010000}"/>
    <cellStyle name="20% - Accent1 73 29 2" xfId="368" xr:uid="{00000000-0005-0000-0000-00006B010000}"/>
    <cellStyle name="20% - Accent1 73 29 2 2" xfId="369" xr:uid="{00000000-0005-0000-0000-00006C010000}"/>
    <cellStyle name="20% - Accent1 73 29 3" xfId="370" xr:uid="{00000000-0005-0000-0000-00006D010000}"/>
    <cellStyle name="20% - Accent1 73 3" xfId="371" xr:uid="{00000000-0005-0000-0000-00006E010000}"/>
    <cellStyle name="20% - Accent1 73 3 2" xfId="372" xr:uid="{00000000-0005-0000-0000-00006F010000}"/>
    <cellStyle name="20% - Accent1 73 3 2 2" xfId="373" xr:uid="{00000000-0005-0000-0000-000070010000}"/>
    <cellStyle name="20% - Accent1 73 3 3" xfId="374" xr:uid="{00000000-0005-0000-0000-000071010000}"/>
    <cellStyle name="20% - Accent1 73 30" xfId="375" xr:uid="{00000000-0005-0000-0000-000072010000}"/>
    <cellStyle name="20% - Accent1 73 30 2" xfId="376" xr:uid="{00000000-0005-0000-0000-000073010000}"/>
    <cellStyle name="20% - Accent1 73 30 2 2" xfId="377" xr:uid="{00000000-0005-0000-0000-000074010000}"/>
    <cellStyle name="20% - Accent1 73 30 3" xfId="378" xr:uid="{00000000-0005-0000-0000-000075010000}"/>
    <cellStyle name="20% - Accent1 73 31" xfId="379" xr:uid="{00000000-0005-0000-0000-000076010000}"/>
    <cellStyle name="20% - Accent1 73 31 2" xfId="380" xr:uid="{00000000-0005-0000-0000-000077010000}"/>
    <cellStyle name="20% - Accent1 73 31 2 2" xfId="381" xr:uid="{00000000-0005-0000-0000-000078010000}"/>
    <cellStyle name="20% - Accent1 73 31 3" xfId="382" xr:uid="{00000000-0005-0000-0000-000079010000}"/>
    <cellStyle name="20% - Accent1 73 32" xfId="383" xr:uid="{00000000-0005-0000-0000-00007A010000}"/>
    <cellStyle name="20% - Accent1 73 32 2" xfId="384" xr:uid="{00000000-0005-0000-0000-00007B010000}"/>
    <cellStyle name="20% - Accent1 73 32 2 2" xfId="385" xr:uid="{00000000-0005-0000-0000-00007C010000}"/>
    <cellStyle name="20% - Accent1 73 32 3" xfId="386" xr:uid="{00000000-0005-0000-0000-00007D010000}"/>
    <cellStyle name="20% - Accent1 73 33" xfId="387" xr:uid="{00000000-0005-0000-0000-00007E010000}"/>
    <cellStyle name="20% - Accent1 73 33 2" xfId="388" xr:uid="{00000000-0005-0000-0000-00007F010000}"/>
    <cellStyle name="20% - Accent1 73 33 2 2" xfId="389" xr:uid="{00000000-0005-0000-0000-000080010000}"/>
    <cellStyle name="20% - Accent1 73 33 3" xfId="390" xr:uid="{00000000-0005-0000-0000-000081010000}"/>
    <cellStyle name="20% - Accent1 73 34" xfId="391" xr:uid="{00000000-0005-0000-0000-000082010000}"/>
    <cellStyle name="20% - Accent1 73 34 2" xfId="392" xr:uid="{00000000-0005-0000-0000-000083010000}"/>
    <cellStyle name="20% - Accent1 73 34 2 2" xfId="393" xr:uid="{00000000-0005-0000-0000-000084010000}"/>
    <cellStyle name="20% - Accent1 73 34 3" xfId="394" xr:uid="{00000000-0005-0000-0000-000085010000}"/>
    <cellStyle name="20% - Accent1 73 35" xfId="395" xr:uid="{00000000-0005-0000-0000-000086010000}"/>
    <cellStyle name="20% - Accent1 73 35 2" xfId="396" xr:uid="{00000000-0005-0000-0000-000087010000}"/>
    <cellStyle name="20% - Accent1 73 35 2 2" xfId="397" xr:uid="{00000000-0005-0000-0000-000088010000}"/>
    <cellStyle name="20% - Accent1 73 35 3" xfId="398" xr:uid="{00000000-0005-0000-0000-000089010000}"/>
    <cellStyle name="20% - Accent1 73 36" xfId="399" xr:uid="{00000000-0005-0000-0000-00008A010000}"/>
    <cellStyle name="20% - Accent1 73 36 2" xfId="400" xr:uid="{00000000-0005-0000-0000-00008B010000}"/>
    <cellStyle name="20% - Accent1 73 36 2 2" xfId="401" xr:uid="{00000000-0005-0000-0000-00008C010000}"/>
    <cellStyle name="20% - Accent1 73 36 3" xfId="402" xr:uid="{00000000-0005-0000-0000-00008D010000}"/>
    <cellStyle name="20% - Accent1 73 4" xfId="403" xr:uid="{00000000-0005-0000-0000-00008E010000}"/>
    <cellStyle name="20% - Accent1 73 4 2" xfId="404" xr:uid="{00000000-0005-0000-0000-00008F010000}"/>
    <cellStyle name="20% - Accent1 73 4 2 2" xfId="405" xr:uid="{00000000-0005-0000-0000-000090010000}"/>
    <cellStyle name="20% - Accent1 73 4 3" xfId="406" xr:uid="{00000000-0005-0000-0000-000091010000}"/>
    <cellStyle name="20% - Accent1 73 5" xfId="407" xr:uid="{00000000-0005-0000-0000-000092010000}"/>
    <cellStyle name="20% - Accent1 73 5 2" xfId="408" xr:uid="{00000000-0005-0000-0000-000093010000}"/>
    <cellStyle name="20% - Accent1 73 5 2 2" xfId="409" xr:uid="{00000000-0005-0000-0000-000094010000}"/>
    <cellStyle name="20% - Accent1 73 5 3" xfId="410" xr:uid="{00000000-0005-0000-0000-000095010000}"/>
    <cellStyle name="20% - Accent1 73 6" xfId="411" xr:uid="{00000000-0005-0000-0000-000096010000}"/>
    <cellStyle name="20% - Accent1 73 6 2" xfId="412" xr:uid="{00000000-0005-0000-0000-000097010000}"/>
    <cellStyle name="20% - Accent1 73 6 2 2" xfId="413" xr:uid="{00000000-0005-0000-0000-000098010000}"/>
    <cellStyle name="20% - Accent1 73 6 3" xfId="414" xr:uid="{00000000-0005-0000-0000-000099010000}"/>
    <cellStyle name="20% - Accent1 73 7" xfId="415" xr:uid="{00000000-0005-0000-0000-00009A010000}"/>
    <cellStyle name="20% - Accent1 73 7 2" xfId="416" xr:uid="{00000000-0005-0000-0000-00009B010000}"/>
    <cellStyle name="20% - Accent1 73 7 2 2" xfId="417" xr:uid="{00000000-0005-0000-0000-00009C010000}"/>
    <cellStyle name="20% - Accent1 73 7 3" xfId="418" xr:uid="{00000000-0005-0000-0000-00009D010000}"/>
    <cellStyle name="20% - Accent1 73 8" xfId="419" xr:uid="{00000000-0005-0000-0000-00009E010000}"/>
    <cellStyle name="20% - Accent1 73 8 2" xfId="420" xr:uid="{00000000-0005-0000-0000-00009F010000}"/>
    <cellStyle name="20% - Accent1 73 8 2 2" xfId="421" xr:uid="{00000000-0005-0000-0000-0000A0010000}"/>
    <cellStyle name="20% - Accent1 73 8 3" xfId="422" xr:uid="{00000000-0005-0000-0000-0000A1010000}"/>
    <cellStyle name="20% - Accent1 73 9" xfId="423" xr:uid="{00000000-0005-0000-0000-0000A2010000}"/>
    <cellStyle name="20% - Accent1 73 9 2" xfId="424" xr:uid="{00000000-0005-0000-0000-0000A3010000}"/>
    <cellStyle name="20% - Accent1 73 9 2 2" xfId="425" xr:uid="{00000000-0005-0000-0000-0000A4010000}"/>
    <cellStyle name="20% - Accent1 73 9 3" xfId="426" xr:uid="{00000000-0005-0000-0000-0000A5010000}"/>
    <cellStyle name="20% - Accent1 74" xfId="427" xr:uid="{00000000-0005-0000-0000-0000A6010000}"/>
    <cellStyle name="20% - Accent1 74 10" xfId="428" xr:uid="{00000000-0005-0000-0000-0000A7010000}"/>
    <cellStyle name="20% - Accent1 74 10 2" xfId="429" xr:uid="{00000000-0005-0000-0000-0000A8010000}"/>
    <cellStyle name="20% - Accent1 74 10 2 2" xfId="430" xr:uid="{00000000-0005-0000-0000-0000A9010000}"/>
    <cellStyle name="20% - Accent1 74 10 3" xfId="431" xr:uid="{00000000-0005-0000-0000-0000AA010000}"/>
    <cellStyle name="20% - Accent1 74 11" xfId="432" xr:uid="{00000000-0005-0000-0000-0000AB010000}"/>
    <cellStyle name="20% - Accent1 74 11 2" xfId="433" xr:uid="{00000000-0005-0000-0000-0000AC010000}"/>
    <cellStyle name="20% - Accent1 74 11 2 2" xfId="434" xr:uid="{00000000-0005-0000-0000-0000AD010000}"/>
    <cellStyle name="20% - Accent1 74 11 3" xfId="435" xr:uid="{00000000-0005-0000-0000-0000AE010000}"/>
    <cellStyle name="20% - Accent1 74 12" xfId="436" xr:uid="{00000000-0005-0000-0000-0000AF010000}"/>
    <cellStyle name="20% - Accent1 74 12 2" xfId="437" xr:uid="{00000000-0005-0000-0000-0000B0010000}"/>
    <cellStyle name="20% - Accent1 74 12 2 2" xfId="438" xr:uid="{00000000-0005-0000-0000-0000B1010000}"/>
    <cellStyle name="20% - Accent1 74 12 3" xfId="439" xr:uid="{00000000-0005-0000-0000-0000B2010000}"/>
    <cellStyle name="20% - Accent1 74 13" xfId="440" xr:uid="{00000000-0005-0000-0000-0000B3010000}"/>
    <cellStyle name="20% - Accent1 74 13 2" xfId="441" xr:uid="{00000000-0005-0000-0000-0000B4010000}"/>
    <cellStyle name="20% - Accent1 74 13 2 2" xfId="442" xr:uid="{00000000-0005-0000-0000-0000B5010000}"/>
    <cellStyle name="20% - Accent1 74 13 3" xfId="443" xr:uid="{00000000-0005-0000-0000-0000B6010000}"/>
    <cellStyle name="20% - Accent1 74 14" xfId="444" xr:uid="{00000000-0005-0000-0000-0000B7010000}"/>
    <cellStyle name="20% - Accent1 74 14 2" xfId="445" xr:uid="{00000000-0005-0000-0000-0000B8010000}"/>
    <cellStyle name="20% - Accent1 74 14 2 2" xfId="446" xr:uid="{00000000-0005-0000-0000-0000B9010000}"/>
    <cellStyle name="20% - Accent1 74 14 3" xfId="447" xr:uid="{00000000-0005-0000-0000-0000BA010000}"/>
    <cellStyle name="20% - Accent1 74 15" xfId="448" xr:uid="{00000000-0005-0000-0000-0000BB010000}"/>
    <cellStyle name="20% - Accent1 74 15 2" xfId="449" xr:uid="{00000000-0005-0000-0000-0000BC010000}"/>
    <cellStyle name="20% - Accent1 74 15 2 2" xfId="450" xr:uid="{00000000-0005-0000-0000-0000BD010000}"/>
    <cellStyle name="20% - Accent1 74 15 3" xfId="451" xr:uid="{00000000-0005-0000-0000-0000BE010000}"/>
    <cellStyle name="20% - Accent1 74 16" xfId="452" xr:uid="{00000000-0005-0000-0000-0000BF010000}"/>
    <cellStyle name="20% - Accent1 74 16 2" xfId="453" xr:uid="{00000000-0005-0000-0000-0000C0010000}"/>
    <cellStyle name="20% - Accent1 74 16 2 2" xfId="454" xr:uid="{00000000-0005-0000-0000-0000C1010000}"/>
    <cellStyle name="20% - Accent1 74 16 3" xfId="455" xr:uid="{00000000-0005-0000-0000-0000C2010000}"/>
    <cellStyle name="20% - Accent1 74 17" xfId="456" xr:uid="{00000000-0005-0000-0000-0000C3010000}"/>
    <cellStyle name="20% - Accent1 74 17 2" xfId="457" xr:uid="{00000000-0005-0000-0000-0000C4010000}"/>
    <cellStyle name="20% - Accent1 74 17 2 2" xfId="458" xr:uid="{00000000-0005-0000-0000-0000C5010000}"/>
    <cellStyle name="20% - Accent1 74 17 3" xfId="459" xr:uid="{00000000-0005-0000-0000-0000C6010000}"/>
    <cellStyle name="20% - Accent1 74 18" xfId="460" xr:uid="{00000000-0005-0000-0000-0000C7010000}"/>
    <cellStyle name="20% - Accent1 74 18 2" xfId="461" xr:uid="{00000000-0005-0000-0000-0000C8010000}"/>
    <cellStyle name="20% - Accent1 74 18 2 2" xfId="462" xr:uid="{00000000-0005-0000-0000-0000C9010000}"/>
    <cellStyle name="20% - Accent1 74 18 3" xfId="463" xr:uid="{00000000-0005-0000-0000-0000CA010000}"/>
    <cellStyle name="20% - Accent1 74 19" xfId="464" xr:uid="{00000000-0005-0000-0000-0000CB010000}"/>
    <cellStyle name="20% - Accent1 74 19 2" xfId="465" xr:uid="{00000000-0005-0000-0000-0000CC010000}"/>
    <cellStyle name="20% - Accent1 74 19 2 2" xfId="466" xr:uid="{00000000-0005-0000-0000-0000CD010000}"/>
    <cellStyle name="20% - Accent1 74 19 3" xfId="467" xr:uid="{00000000-0005-0000-0000-0000CE010000}"/>
    <cellStyle name="20% - Accent1 74 2" xfId="468" xr:uid="{00000000-0005-0000-0000-0000CF010000}"/>
    <cellStyle name="20% - Accent1 74 2 2" xfId="469" xr:uid="{00000000-0005-0000-0000-0000D0010000}"/>
    <cellStyle name="20% - Accent1 74 2 2 2" xfId="470" xr:uid="{00000000-0005-0000-0000-0000D1010000}"/>
    <cellStyle name="20% - Accent1 74 2 3" xfId="471" xr:uid="{00000000-0005-0000-0000-0000D2010000}"/>
    <cellStyle name="20% - Accent1 74 20" xfId="472" xr:uid="{00000000-0005-0000-0000-0000D3010000}"/>
    <cellStyle name="20% - Accent1 74 20 2" xfId="473" xr:uid="{00000000-0005-0000-0000-0000D4010000}"/>
    <cellStyle name="20% - Accent1 74 20 2 2" xfId="474" xr:uid="{00000000-0005-0000-0000-0000D5010000}"/>
    <cellStyle name="20% - Accent1 74 20 3" xfId="475" xr:uid="{00000000-0005-0000-0000-0000D6010000}"/>
    <cellStyle name="20% - Accent1 74 21" xfId="476" xr:uid="{00000000-0005-0000-0000-0000D7010000}"/>
    <cellStyle name="20% - Accent1 74 21 2" xfId="477" xr:uid="{00000000-0005-0000-0000-0000D8010000}"/>
    <cellStyle name="20% - Accent1 74 21 2 2" xfId="478" xr:uid="{00000000-0005-0000-0000-0000D9010000}"/>
    <cellStyle name="20% - Accent1 74 21 3" xfId="479" xr:uid="{00000000-0005-0000-0000-0000DA010000}"/>
    <cellStyle name="20% - Accent1 74 22" xfId="480" xr:uid="{00000000-0005-0000-0000-0000DB010000}"/>
    <cellStyle name="20% - Accent1 74 22 2" xfId="481" xr:uid="{00000000-0005-0000-0000-0000DC010000}"/>
    <cellStyle name="20% - Accent1 74 22 2 2" xfId="482" xr:uid="{00000000-0005-0000-0000-0000DD010000}"/>
    <cellStyle name="20% - Accent1 74 22 3" xfId="483" xr:uid="{00000000-0005-0000-0000-0000DE010000}"/>
    <cellStyle name="20% - Accent1 74 23" xfId="484" xr:uid="{00000000-0005-0000-0000-0000DF010000}"/>
    <cellStyle name="20% - Accent1 74 23 2" xfId="485" xr:uid="{00000000-0005-0000-0000-0000E0010000}"/>
    <cellStyle name="20% - Accent1 74 23 2 2" xfId="486" xr:uid="{00000000-0005-0000-0000-0000E1010000}"/>
    <cellStyle name="20% - Accent1 74 23 3" xfId="487" xr:uid="{00000000-0005-0000-0000-0000E2010000}"/>
    <cellStyle name="20% - Accent1 74 24" xfId="488" xr:uid="{00000000-0005-0000-0000-0000E3010000}"/>
    <cellStyle name="20% - Accent1 74 24 2" xfId="489" xr:uid="{00000000-0005-0000-0000-0000E4010000}"/>
    <cellStyle name="20% - Accent1 74 24 2 2" xfId="490" xr:uid="{00000000-0005-0000-0000-0000E5010000}"/>
    <cellStyle name="20% - Accent1 74 24 3" xfId="491" xr:uid="{00000000-0005-0000-0000-0000E6010000}"/>
    <cellStyle name="20% - Accent1 74 25" xfId="492" xr:uid="{00000000-0005-0000-0000-0000E7010000}"/>
    <cellStyle name="20% - Accent1 74 25 2" xfId="493" xr:uid="{00000000-0005-0000-0000-0000E8010000}"/>
    <cellStyle name="20% - Accent1 74 25 2 2" xfId="494" xr:uid="{00000000-0005-0000-0000-0000E9010000}"/>
    <cellStyle name="20% - Accent1 74 25 3" xfId="495" xr:uid="{00000000-0005-0000-0000-0000EA010000}"/>
    <cellStyle name="20% - Accent1 74 26" xfId="496" xr:uid="{00000000-0005-0000-0000-0000EB010000}"/>
    <cellStyle name="20% - Accent1 74 26 2" xfId="497" xr:uid="{00000000-0005-0000-0000-0000EC010000}"/>
    <cellStyle name="20% - Accent1 74 26 2 2" xfId="498" xr:uid="{00000000-0005-0000-0000-0000ED010000}"/>
    <cellStyle name="20% - Accent1 74 26 3" xfId="499" xr:uid="{00000000-0005-0000-0000-0000EE010000}"/>
    <cellStyle name="20% - Accent1 74 27" xfId="500" xr:uid="{00000000-0005-0000-0000-0000EF010000}"/>
    <cellStyle name="20% - Accent1 74 27 2" xfId="501" xr:uid="{00000000-0005-0000-0000-0000F0010000}"/>
    <cellStyle name="20% - Accent1 74 27 2 2" xfId="502" xr:uid="{00000000-0005-0000-0000-0000F1010000}"/>
    <cellStyle name="20% - Accent1 74 27 3" xfId="503" xr:uid="{00000000-0005-0000-0000-0000F2010000}"/>
    <cellStyle name="20% - Accent1 74 28" xfId="504" xr:uid="{00000000-0005-0000-0000-0000F3010000}"/>
    <cellStyle name="20% - Accent1 74 28 2" xfId="505" xr:uid="{00000000-0005-0000-0000-0000F4010000}"/>
    <cellStyle name="20% - Accent1 74 28 2 2" xfId="506" xr:uid="{00000000-0005-0000-0000-0000F5010000}"/>
    <cellStyle name="20% - Accent1 74 28 3" xfId="507" xr:uid="{00000000-0005-0000-0000-0000F6010000}"/>
    <cellStyle name="20% - Accent1 74 29" xfId="508" xr:uid="{00000000-0005-0000-0000-0000F7010000}"/>
    <cellStyle name="20% - Accent1 74 29 2" xfId="509" xr:uid="{00000000-0005-0000-0000-0000F8010000}"/>
    <cellStyle name="20% - Accent1 74 29 2 2" xfId="510" xr:uid="{00000000-0005-0000-0000-0000F9010000}"/>
    <cellStyle name="20% - Accent1 74 29 3" xfId="511" xr:uid="{00000000-0005-0000-0000-0000FA010000}"/>
    <cellStyle name="20% - Accent1 74 3" xfId="512" xr:uid="{00000000-0005-0000-0000-0000FB010000}"/>
    <cellStyle name="20% - Accent1 74 3 2" xfId="513" xr:uid="{00000000-0005-0000-0000-0000FC010000}"/>
    <cellStyle name="20% - Accent1 74 3 2 2" xfId="514" xr:uid="{00000000-0005-0000-0000-0000FD010000}"/>
    <cellStyle name="20% - Accent1 74 3 3" xfId="515" xr:uid="{00000000-0005-0000-0000-0000FE010000}"/>
    <cellStyle name="20% - Accent1 74 30" xfId="516" xr:uid="{00000000-0005-0000-0000-0000FF010000}"/>
    <cellStyle name="20% - Accent1 74 30 2" xfId="517" xr:uid="{00000000-0005-0000-0000-000000020000}"/>
    <cellStyle name="20% - Accent1 74 30 2 2" xfId="518" xr:uid="{00000000-0005-0000-0000-000001020000}"/>
    <cellStyle name="20% - Accent1 74 30 3" xfId="519" xr:uid="{00000000-0005-0000-0000-000002020000}"/>
    <cellStyle name="20% - Accent1 74 31" xfId="520" xr:uid="{00000000-0005-0000-0000-000003020000}"/>
    <cellStyle name="20% - Accent1 74 31 2" xfId="521" xr:uid="{00000000-0005-0000-0000-000004020000}"/>
    <cellStyle name="20% - Accent1 74 31 2 2" xfId="522" xr:uid="{00000000-0005-0000-0000-000005020000}"/>
    <cellStyle name="20% - Accent1 74 31 3" xfId="523" xr:uid="{00000000-0005-0000-0000-000006020000}"/>
    <cellStyle name="20% - Accent1 74 32" xfId="524" xr:uid="{00000000-0005-0000-0000-000007020000}"/>
    <cellStyle name="20% - Accent1 74 32 2" xfId="525" xr:uid="{00000000-0005-0000-0000-000008020000}"/>
    <cellStyle name="20% - Accent1 74 32 2 2" xfId="526" xr:uid="{00000000-0005-0000-0000-000009020000}"/>
    <cellStyle name="20% - Accent1 74 32 3" xfId="527" xr:uid="{00000000-0005-0000-0000-00000A020000}"/>
    <cellStyle name="20% - Accent1 74 33" xfId="528" xr:uid="{00000000-0005-0000-0000-00000B020000}"/>
    <cellStyle name="20% - Accent1 74 33 2" xfId="529" xr:uid="{00000000-0005-0000-0000-00000C020000}"/>
    <cellStyle name="20% - Accent1 74 33 2 2" xfId="530" xr:uid="{00000000-0005-0000-0000-00000D020000}"/>
    <cellStyle name="20% - Accent1 74 33 3" xfId="531" xr:uid="{00000000-0005-0000-0000-00000E020000}"/>
    <cellStyle name="20% - Accent1 74 34" xfId="532" xr:uid="{00000000-0005-0000-0000-00000F020000}"/>
    <cellStyle name="20% - Accent1 74 34 2" xfId="533" xr:uid="{00000000-0005-0000-0000-000010020000}"/>
    <cellStyle name="20% - Accent1 74 34 2 2" xfId="534" xr:uid="{00000000-0005-0000-0000-000011020000}"/>
    <cellStyle name="20% - Accent1 74 34 3" xfId="535" xr:uid="{00000000-0005-0000-0000-000012020000}"/>
    <cellStyle name="20% - Accent1 74 35" xfId="536" xr:uid="{00000000-0005-0000-0000-000013020000}"/>
    <cellStyle name="20% - Accent1 74 35 2" xfId="537" xr:uid="{00000000-0005-0000-0000-000014020000}"/>
    <cellStyle name="20% - Accent1 74 35 2 2" xfId="538" xr:uid="{00000000-0005-0000-0000-000015020000}"/>
    <cellStyle name="20% - Accent1 74 35 3" xfId="539" xr:uid="{00000000-0005-0000-0000-000016020000}"/>
    <cellStyle name="20% - Accent1 74 36" xfId="540" xr:uid="{00000000-0005-0000-0000-000017020000}"/>
    <cellStyle name="20% - Accent1 74 36 2" xfId="541" xr:uid="{00000000-0005-0000-0000-000018020000}"/>
    <cellStyle name="20% - Accent1 74 36 2 2" xfId="542" xr:uid="{00000000-0005-0000-0000-000019020000}"/>
    <cellStyle name="20% - Accent1 74 36 3" xfId="543" xr:uid="{00000000-0005-0000-0000-00001A020000}"/>
    <cellStyle name="20% - Accent1 74 4" xfId="544" xr:uid="{00000000-0005-0000-0000-00001B020000}"/>
    <cellStyle name="20% - Accent1 74 4 2" xfId="545" xr:uid="{00000000-0005-0000-0000-00001C020000}"/>
    <cellStyle name="20% - Accent1 74 4 2 2" xfId="546" xr:uid="{00000000-0005-0000-0000-00001D020000}"/>
    <cellStyle name="20% - Accent1 74 4 3" xfId="547" xr:uid="{00000000-0005-0000-0000-00001E020000}"/>
    <cellStyle name="20% - Accent1 74 5" xfId="548" xr:uid="{00000000-0005-0000-0000-00001F020000}"/>
    <cellStyle name="20% - Accent1 74 5 2" xfId="549" xr:uid="{00000000-0005-0000-0000-000020020000}"/>
    <cellStyle name="20% - Accent1 74 5 2 2" xfId="550" xr:uid="{00000000-0005-0000-0000-000021020000}"/>
    <cellStyle name="20% - Accent1 74 5 3" xfId="551" xr:uid="{00000000-0005-0000-0000-000022020000}"/>
    <cellStyle name="20% - Accent1 74 6" xfId="552" xr:uid="{00000000-0005-0000-0000-000023020000}"/>
    <cellStyle name="20% - Accent1 74 6 2" xfId="553" xr:uid="{00000000-0005-0000-0000-000024020000}"/>
    <cellStyle name="20% - Accent1 74 6 2 2" xfId="554" xr:uid="{00000000-0005-0000-0000-000025020000}"/>
    <cellStyle name="20% - Accent1 74 6 3" xfId="555" xr:uid="{00000000-0005-0000-0000-000026020000}"/>
    <cellStyle name="20% - Accent1 74 7" xfId="556" xr:uid="{00000000-0005-0000-0000-000027020000}"/>
    <cellStyle name="20% - Accent1 74 7 2" xfId="557" xr:uid="{00000000-0005-0000-0000-000028020000}"/>
    <cellStyle name="20% - Accent1 74 7 2 2" xfId="558" xr:uid="{00000000-0005-0000-0000-000029020000}"/>
    <cellStyle name="20% - Accent1 74 7 3" xfId="559" xr:uid="{00000000-0005-0000-0000-00002A020000}"/>
    <cellStyle name="20% - Accent1 74 8" xfId="560" xr:uid="{00000000-0005-0000-0000-00002B020000}"/>
    <cellStyle name="20% - Accent1 74 8 2" xfId="561" xr:uid="{00000000-0005-0000-0000-00002C020000}"/>
    <cellStyle name="20% - Accent1 74 8 2 2" xfId="562" xr:uid="{00000000-0005-0000-0000-00002D020000}"/>
    <cellStyle name="20% - Accent1 74 8 3" xfId="563" xr:uid="{00000000-0005-0000-0000-00002E020000}"/>
    <cellStyle name="20% - Accent1 74 9" xfId="564" xr:uid="{00000000-0005-0000-0000-00002F020000}"/>
    <cellStyle name="20% - Accent1 74 9 2" xfId="565" xr:uid="{00000000-0005-0000-0000-000030020000}"/>
    <cellStyle name="20% - Accent1 74 9 2 2" xfId="566" xr:uid="{00000000-0005-0000-0000-000031020000}"/>
    <cellStyle name="20% - Accent1 74 9 3" xfId="567" xr:uid="{00000000-0005-0000-0000-000032020000}"/>
    <cellStyle name="20% - Accent1 75" xfId="568" xr:uid="{00000000-0005-0000-0000-000033020000}"/>
    <cellStyle name="20% - Accent1 75 10" xfId="569" xr:uid="{00000000-0005-0000-0000-000034020000}"/>
    <cellStyle name="20% - Accent1 75 10 2" xfId="570" xr:uid="{00000000-0005-0000-0000-000035020000}"/>
    <cellStyle name="20% - Accent1 75 10 2 2" xfId="571" xr:uid="{00000000-0005-0000-0000-000036020000}"/>
    <cellStyle name="20% - Accent1 75 10 3" xfId="572" xr:uid="{00000000-0005-0000-0000-000037020000}"/>
    <cellStyle name="20% - Accent1 75 11" xfId="573" xr:uid="{00000000-0005-0000-0000-000038020000}"/>
    <cellStyle name="20% - Accent1 75 11 2" xfId="574" xr:uid="{00000000-0005-0000-0000-000039020000}"/>
    <cellStyle name="20% - Accent1 75 11 2 2" xfId="575" xr:uid="{00000000-0005-0000-0000-00003A020000}"/>
    <cellStyle name="20% - Accent1 75 11 3" xfId="576" xr:uid="{00000000-0005-0000-0000-00003B020000}"/>
    <cellStyle name="20% - Accent1 75 12" xfId="577" xr:uid="{00000000-0005-0000-0000-00003C020000}"/>
    <cellStyle name="20% - Accent1 75 12 2" xfId="578" xr:uid="{00000000-0005-0000-0000-00003D020000}"/>
    <cellStyle name="20% - Accent1 75 12 2 2" xfId="579" xr:uid="{00000000-0005-0000-0000-00003E020000}"/>
    <cellStyle name="20% - Accent1 75 12 3" xfId="580" xr:uid="{00000000-0005-0000-0000-00003F020000}"/>
    <cellStyle name="20% - Accent1 75 13" xfId="581" xr:uid="{00000000-0005-0000-0000-000040020000}"/>
    <cellStyle name="20% - Accent1 75 13 2" xfId="582" xr:uid="{00000000-0005-0000-0000-000041020000}"/>
    <cellStyle name="20% - Accent1 75 13 2 2" xfId="583" xr:uid="{00000000-0005-0000-0000-000042020000}"/>
    <cellStyle name="20% - Accent1 75 13 3" xfId="584" xr:uid="{00000000-0005-0000-0000-000043020000}"/>
    <cellStyle name="20% - Accent1 75 14" xfId="585" xr:uid="{00000000-0005-0000-0000-000044020000}"/>
    <cellStyle name="20% - Accent1 75 14 2" xfId="586" xr:uid="{00000000-0005-0000-0000-000045020000}"/>
    <cellStyle name="20% - Accent1 75 14 2 2" xfId="587" xr:uid="{00000000-0005-0000-0000-000046020000}"/>
    <cellStyle name="20% - Accent1 75 14 3" xfId="588" xr:uid="{00000000-0005-0000-0000-000047020000}"/>
    <cellStyle name="20% - Accent1 75 15" xfId="589" xr:uid="{00000000-0005-0000-0000-000048020000}"/>
    <cellStyle name="20% - Accent1 75 15 2" xfId="590" xr:uid="{00000000-0005-0000-0000-000049020000}"/>
    <cellStyle name="20% - Accent1 75 15 2 2" xfId="591" xr:uid="{00000000-0005-0000-0000-00004A020000}"/>
    <cellStyle name="20% - Accent1 75 15 3" xfId="592" xr:uid="{00000000-0005-0000-0000-00004B020000}"/>
    <cellStyle name="20% - Accent1 75 16" xfId="593" xr:uid="{00000000-0005-0000-0000-00004C020000}"/>
    <cellStyle name="20% - Accent1 75 16 2" xfId="594" xr:uid="{00000000-0005-0000-0000-00004D020000}"/>
    <cellStyle name="20% - Accent1 75 16 2 2" xfId="595" xr:uid="{00000000-0005-0000-0000-00004E020000}"/>
    <cellStyle name="20% - Accent1 75 16 3" xfId="596" xr:uid="{00000000-0005-0000-0000-00004F020000}"/>
    <cellStyle name="20% - Accent1 75 17" xfId="597" xr:uid="{00000000-0005-0000-0000-000050020000}"/>
    <cellStyle name="20% - Accent1 75 17 2" xfId="598" xr:uid="{00000000-0005-0000-0000-000051020000}"/>
    <cellStyle name="20% - Accent1 75 17 2 2" xfId="599" xr:uid="{00000000-0005-0000-0000-000052020000}"/>
    <cellStyle name="20% - Accent1 75 17 3" xfId="600" xr:uid="{00000000-0005-0000-0000-000053020000}"/>
    <cellStyle name="20% - Accent1 75 18" xfId="601" xr:uid="{00000000-0005-0000-0000-000054020000}"/>
    <cellStyle name="20% - Accent1 75 18 2" xfId="602" xr:uid="{00000000-0005-0000-0000-000055020000}"/>
    <cellStyle name="20% - Accent1 75 18 2 2" xfId="603" xr:uid="{00000000-0005-0000-0000-000056020000}"/>
    <cellStyle name="20% - Accent1 75 18 3" xfId="604" xr:uid="{00000000-0005-0000-0000-000057020000}"/>
    <cellStyle name="20% - Accent1 75 19" xfId="605" xr:uid="{00000000-0005-0000-0000-000058020000}"/>
    <cellStyle name="20% - Accent1 75 19 2" xfId="606" xr:uid="{00000000-0005-0000-0000-000059020000}"/>
    <cellStyle name="20% - Accent1 75 19 2 2" xfId="607" xr:uid="{00000000-0005-0000-0000-00005A020000}"/>
    <cellStyle name="20% - Accent1 75 19 3" xfId="608" xr:uid="{00000000-0005-0000-0000-00005B020000}"/>
    <cellStyle name="20% - Accent1 75 2" xfId="609" xr:uid="{00000000-0005-0000-0000-00005C020000}"/>
    <cellStyle name="20% - Accent1 75 2 2" xfId="610" xr:uid="{00000000-0005-0000-0000-00005D020000}"/>
    <cellStyle name="20% - Accent1 75 2 2 2" xfId="611" xr:uid="{00000000-0005-0000-0000-00005E020000}"/>
    <cellStyle name="20% - Accent1 75 2 3" xfId="612" xr:uid="{00000000-0005-0000-0000-00005F020000}"/>
    <cellStyle name="20% - Accent1 75 20" xfId="613" xr:uid="{00000000-0005-0000-0000-000060020000}"/>
    <cellStyle name="20% - Accent1 75 20 2" xfId="614" xr:uid="{00000000-0005-0000-0000-000061020000}"/>
    <cellStyle name="20% - Accent1 75 20 2 2" xfId="615" xr:uid="{00000000-0005-0000-0000-000062020000}"/>
    <cellStyle name="20% - Accent1 75 20 3" xfId="616" xr:uid="{00000000-0005-0000-0000-000063020000}"/>
    <cellStyle name="20% - Accent1 75 21" xfId="617" xr:uid="{00000000-0005-0000-0000-000064020000}"/>
    <cellStyle name="20% - Accent1 75 21 2" xfId="618" xr:uid="{00000000-0005-0000-0000-000065020000}"/>
    <cellStyle name="20% - Accent1 75 21 2 2" xfId="619" xr:uid="{00000000-0005-0000-0000-000066020000}"/>
    <cellStyle name="20% - Accent1 75 21 3" xfId="620" xr:uid="{00000000-0005-0000-0000-000067020000}"/>
    <cellStyle name="20% - Accent1 75 22" xfId="621" xr:uid="{00000000-0005-0000-0000-000068020000}"/>
    <cellStyle name="20% - Accent1 75 22 2" xfId="622" xr:uid="{00000000-0005-0000-0000-000069020000}"/>
    <cellStyle name="20% - Accent1 75 22 2 2" xfId="623" xr:uid="{00000000-0005-0000-0000-00006A020000}"/>
    <cellStyle name="20% - Accent1 75 22 3" xfId="624" xr:uid="{00000000-0005-0000-0000-00006B020000}"/>
    <cellStyle name="20% - Accent1 75 23" xfId="625" xr:uid="{00000000-0005-0000-0000-00006C020000}"/>
    <cellStyle name="20% - Accent1 75 23 2" xfId="626" xr:uid="{00000000-0005-0000-0000-00006D020000}"/>
    <cellStyle name="20% - Accent1 75 23 2 2" xfId="627" xr:uid="{00000000-0005-0000-0000-00006E020000}"/>
    <cellStyle name="20% - Accent1 75 23 3" xfId="628" xr:uid="{00000000-0005-0000-0000-00006F020000}"/>
    <cellStyle name="20% - Accent1 75 24" xfId="629" xr:uid="{00000000-0005-0000-0000-000070020000}"/>
    <cellStyle name="20% - Accent1 75 24 2" xfId="630" xr:uid="{00000000-0005-0000-0000-000071020000}"/>
    <cellStyle name="20% - Accent1 75 24 2 2" xfId="631" xr:uid="{00000000-0005-0000-0000-000072020000}"/>
    <cellStyle name="20% - Accent1 75 24 3" xfId="632" xr:uid="{00000000-0005-0000-0000-000073020000}"/>
    <cellStyle name="20% - Accent1 75 25" xfId="633" xr:uid="{00000000-0005-0000-0000-000074020000}"/>
    <cellStyle name="20% - Accent1 75 25 2" xfId="634" xr:uid="{00000000-0005-0000-0000-000075020000}"/>
    <cellStyle name="20% - Accent1 75 25 2 2" xfId="635" xr:uid="{00000000-0005-0000-0000-000076020000}"/>
    <cellStyle name="20% - Accent1 75 25 3" xfId="636" xr:uid="{00000000-0005-0000-0000-000077020000}"/>
    <cellStyle name="20% - Accent1 75 26" xfId="637" xr:uid="{00000000-0005-0000-0000-000078020000}"/>
    <cellStyle name="20% - Accent1 75 26 2" xfId="638" xr:uid="{00000000-0005-0000-0000-000079020000}"/>
    <cellStyle name="20% - Accent1 75 26 2 2" xfId="639" xr:uid="{00000000-0005-0000-0000-00007A020000}"/>
    <cellStyle name="20% - Accent1 75 26 3" xfId="640" xr:uid="{00000000-0005-0000-0000-00007B020000}"/>
    <cellStyle name="20% - Accent1 75 27" xfId="641" xr:uid="{00000000-0005-0000-0000-00007C020000}"/>
    <cellStyle name="20% - Accent1 75 27 2" xfId="642" xr:uid="{00000000-0005-0000-0000-00007D020000}"/>
    <cellStyle name="20% - Accent1 75 27 2 2" xfId="643" xr:uid="{00000000-0005-0000-0000-00007E020000}"/>
    <cellStyle name="20% - Accent1 75 27 3" xfId="644" xr:uid="{00000000-0005-0000-0000-00007F020000}"/>
    <cellStyle name="20% - Accent1 75 28" xfId="645" xr:uid="{00000000-0005-0000-0000-000080020000}"/>
    <cellStyle name="20% - Accent1 75 28 2" xfId="646" xr:uid="{00000000-0005-0000-0000-000081020000}"/>
    <cellStyle name="20% - Accent1 75 28 2 2" xfId="647" xr:uid="{00000000-0005-0000-0000-000082020000}"/>
    <cellStyle name="20% - Accent1 75 28 3" xfId="648" xr:uid="{00000000-0005-0000-0000-000083020000}"/>
    <cellStyle name="20% - Accent1 75 29" xfId="649" xr:uid="{00000000-0005-0000-0000-000084020000}"/>
    <cellStyle name="20% - Accent1 75 29 2" xfId="650" xr:uid="{00000000-0005-0000-0000-000085020000}"/>
    <cellStyle name="20% - Accent1 75 29 2 2" xfId="651" xr:uid="{00000000-0005-0000-0000-000086020000}"/>
    <cellStyle name="20% - Accent1 75 29 3" xfId="652" xr:uid="{00000000-0005-0000-0000-000087020000}"/>
    <cellStyle name="20% - Accent1 75 3" xfId="653" xr:uid="{00000000-0005-0000-0000-000088020000}"/>
    <cellStyle name="20% - Accent1 75 3 2" xfId="654" xr:uid="{00000000-0005-0000-0000-000089020000}"/>
    <cellStyle name="20% - Accent1 75 3 2 2" xfId="655" xr:uid="{00000000-0005-0000-0000-00008A020000}"/>
    <cellStyle name="20% - Accent1 75 3 3" xfId="656" xr:uid="{00000000-0005-0000-0000-00008B020000}"/>
    <cellStyle name="20% - Accent1 75 30" xfId="657" xr:uid="{00000000-0005-0000-0000-00008C020000}"/>
    <cellStyle name="20% - Accent1 75 30 2" xfId="658" xr:uid="{00000000-0005-0000-0000-00008D020000}"/>
    <cellStyle name="20% - Accent1 75 30 2 2" xfId="659" xr:uid="{00000000-0005-0000-0000-00008E020000}"/>
    <cellStyle name="20% - Accent1 75 30 3" xfId="660" xr:uid="{00000000-0005-0000-0000-00008F020000}"/>
    <cellStyle name="20% - Accent1 75 31" xfId="661" xr:uid="{00000000-0005-0000-0000-000090020000}"/>
    <cellStyle name="20% - Accent1 75 31 2" xfId="662" xr:uid="{00000000-0005-0000-0000-000091020000}"/>
    <cellStyle name="20% - Accent1 75 31 2 2" xfId="663" xr:uid="{00000000-0005-0000-0000-000092020000}"/>
    <cellStyle name="20% - Accent1 75 31 3" xfId="664" xr:uid="{00000000-0005-0000-0000-000093020000}"/>
    <cellStyle name="20% - Accent1 75 32" xfId="665" xr:uid="{00000000-0005-0000-0000-000094020000}"/>
    <cellStyle name="20% - Accent1 75 32 2" xfId="666" xr:uid="{00000000-0005-0000-0000-000095020000}"/>
    <cellStyle name="20% - Accent1 75 32 2 2" xfId="667" xr:uid="{00000000-0005-0000-0000-000096020000}"/>
    <cellStyle name="20% - Accent1 75 32 3" xfId="668" xr:uid="{00000000-0005-0000-0000-000097020000}"/>
    <cellStyle name="20% - Accent1 75 33" xfId="669" xr:uid="{00000000-0005-0000-0000-000098020000}"/>
    <cellStyle name="20% - Accent1 75 33 2" xfId="670" xr:uid="{00000000-0005-0000-0000-000099020000}"/>
    <cellStyle name="20% - Accent1 75 33 2 2" xfId="671" xr:uid="{00000000-0005-0000-0000-00009A020000}"/>
    <cellStyle name="20% - Accent1 75 33 3" xfId="672" xr:uid="{00000000-0005-0000-0000-00009B020000}"/>
    <cellStyle name="20% - Accent1 75 34" xfId="673" xr:uid="{00000000-0005-0000-0000-00009C020000}"/>
    <cellStyle name="20% - Accent1 75 34 2" xfId="674" xr:uid="{00000000-0005-0000-0000-00009D020000}"/>
    <cellStyle name="20% - Accent1 75 34 2 2" xfId="675" xr:uid="{00000000-0005-0000-0000-00009E020000}"/>
    <cellStyle name="20% - Accent1 75 34 3" xfId="676" xr:uid="{00000000-0005-0000-0000-00009F020000}"/>
    <cellStyle name="20% - Accent1 75 35" xfId="677" xr:uid="{00000000-0005-0000-0000-0000A0020000}"/>
    <cellStyle name="20% - Accent1 75 35 2" xfId="678" xr:uid="{00000000-0005-0000-0000-0000A1020000}"/>
    <cellStyle name="20% - Accent1 75 35 2 2" xfId="679" xr:uid="{00000000-0005-0000-0000-0000A2020000}"/>
    <cellStyle name="20% - Accent1 75 35 3" xfId="680" xr:uid="{00000000-0005-0000-0000-0000A3020000}"/>
    <cellStyle name="20% - Accent1 75 36" xfId="681" xr:uid="{00000000-0005-0000-0000-0000A4020000}"/>
    <cellStyle name="20% - Accent1 75 36 2" xfId="682" xr:uid="{00000000-0005-0000-0000-0000A5020000}"/>
    <cellStyle name="20% - Accent1 75 36 2 2" xfId="683" xr:uid="{00000000-0005-0000-0000-0000A6020000}"/>
    <cellStyle name="20% - Accent1 75 36 3" xfId="684" xr:uid="{00000000-0005-0000-0000-0000A7020000}"/>
    <cellStyle name="20% - Accent1 75 4" xfId="685" xr:uid="{00000000-0005-0000-0000-0000A8020000}"/>
    <cellStyle name="20% - Accent1 75 4 2" xfId="686" xr:uid="{00000000-0005-0000-0000-0000A9020000}"/>
    <cellStyle name="20% - Accent1 75 4 2 2" xfId="687" xr:uid="{00000000-0005-0000-0000-0000AA020000}"/>
    <cellStyle name="20% - Accent1 75 4 3" xfId="688" xr:uid="{00000000-0005-0000-0000-0000AB020000}"/>
    <cellStyle name="20% - Accent1 75 5" xfId="689" xr:uid="{00000000-0005-0000-0000-0000AC020000}"/>
    <cellStyle name="20% - Accent1 75 5 2" xfId="690" xr:uid="{00000000-0005-0000-0000-0000AD020000}"/>
    <cellStyle name="20% - Accent1 75 5 2 2" xfId="691" xr:uid="{00000000-0005-0000-0000-0000AE020000}"/>
    <cellStyle name="20% - Accent1 75 5 3" xfId="692" xr:uid="{00000000-0005-0000-0000-0000AF020000}"/>
    <cellStyle name="20% - Accent1 75 6" xfId="693" xr:uid="{00000000-0005-0000-0000-0000B0020000}"/>
    <cellStyle name="20% - Accent1 75 6 2" xfId="694" xr:uid="{00000000-0005-0000-0000-0000B1020000}"/>
    <cellStyle name="20% - Accent1 75 6 2 2" xfId="695" xr:uid="{00000000-0005-0000-0000-0000B2020000}"/>
    <cellStyle name="20% - Accent1 75 6 3" xfId="696" xr:uid="{00000000-0005-0000-0000-0000B3020000}"/>
    <cellStyle name="20% - Accent1 75 7" xfId="697" xr:uid="{00000000-0005-0000-0000-0000B4020000}"/>
    <cellStyle name="20% - Accent1 75 7 2" xfId="698" xr:uid="{00000000-0005-0000-0000-0000B5020000}"/>
    <cellStyle name="20% - Accent1 75 7 2 2" xfId="699" xr:uid="{00000000-0005-0000-0000-0000B6020000}"/>
    <cellStyle name="20% - Accent1 75 7 3" xfId="700" xr:uid="{00000000-0005-0000-0000-0000B7020000}"/>
    <cellStyle name="20% - Accent1 75 8" xfId="701" xr:uid="{00000000-0005-0000-0000-0000B8020000}"/>
    <cellStyle name="20% - Accent1 75 8 2" xfId="702" xr:uid="{00000000-0005-0000-0000-0000B9020000}"/>
    <cellStyle name="20% - Accent1 75 8 2 2" xfId="703" xr:uid="{00000000-0005-0000-0000-0000BA020000}"/>
    <cellStyle name="20% - Accent1 75 8 3" xfId="704" xr:uid="{00000000-0005-0000-0000-0000BB020000}"/>
    <cellStyle name="20% - Accent1 75 9" xfId="705" xr:uid="{00000000-0005-0000-0000-0000BC020000}"/>
    <cellStyle name="20% - Accent1 75 9 2" xfId="706" xr:uid="{00000000-0005-0000-0000-0000BD020000}"/>
    <cellStyle name="20% - Accent1 75 9 2 2" xfId="707" xr:uid="{00000000-0005-0000-0000-0000BE020000}"/>
    <cellStyle name="20% - Accent1 75 9 3" xfId="708" xr:uid="{00000000-0005-0000-0000-0000BF020000}"/>
    <cellStyle name="20% - Accent1 76" xfId="709" xr:uid="{00000000-0005-0000-0000-0000C0020000}"/>
    <cellStyle name="20% - Accent1 76 10" xfId="710" xr:uid="{00000000-0005-0000-0000-0000C1020000}"/>
    <cellStyle name="20% - Accent1 76 10 2" xfId="711" xr:uid="{00000000-0005-0000-0000-0000C2020000}"/>
    <cellStyle name="20% - Accent1 76 10 2 2" xfId="712" xr:uid="{00000000-0005-0000-0000-0000C3020000}"/>
    <cellStyle name="20% - Accent1 76 10 3" xfId="713" xr:uid="{00000000-0005-0000-0000-0000C4020000}"/>
    <cellStyle name="20% - Accent1 76 11" xfId="714" xr:uid="{00000000-0005-0000-0000-0000C5020000}"/>
    <cellStyle name="20% - Accent1 76 11 2" xfId="715" xr:uid="{00000000-0005-0000-0000-0000C6020000}"/>
    <cellStyle name="20% - Accent1 76 11 2 2" xfId="716" xr:uid="{00000000-0005-0000-0000-0000C7020000}"/>
    <cellStyle name="20% - Accent1 76 11 3" xfId="717" xr:uid="{00000000-0005-0000-0000-0000C8020000}"/>
    <cellStyle name="20% - Accent1 76 12" xfId="718" xr:uid="{00000000-0005-0000-0000-0000C9020000}"/>
    <cellStyle name="20% - Accent1 76 12 2" xfId="719" xr:uid="{00000000-0005-0000-0000-0000CA020000}"/>
    <cellStyle name="20% - Accent1 76 12 2 2" xfId="720" xr:uid="{00000000-0005-0000-0000-0000CB020000}"/>
    <cellStyle name="20% - Accent1 76 12 3" xfId="721" xr:uid="{00000000-0005-0000-0000-0000CC020000}"/>
    <cellStyle name="20% - Accent1 76 13" xfId="722" xr:uid="{00000000-0005-0000-0000-0000CD020000}"/>
    <cellStyle name="20% - Accent1 76 13 2" xfId="723" xr:uid="{00000000-0005-0000-0000-0000CE020000}"/>
    <cellStyle name="20% - Accent1 76 13 2 2" xfId="724" xr:uid="{00000000-0005-0000-0000-0000CF020000}"/>
    <cellStyle name="20% - Accent1 76 13 3" xfId="725" xr:uid="{00000000-0005-0000-0000-0000D0020000}"/>
    <cellStyle name="20% - Accent1 76 14" xfId="726" xr:uid="{00000000-0005-0000-0000-0000D1020000}"/>
    <cellStyle name="20% - Accent1 76 14 2" xfId="727" xr:uid="{00000000-0005-0000-0000-0000D2020000}"/>
    <cellStyle name="20% - Accent1 76 14 2 2" xfId="728" xr:uid="{00000000-0005-0000-0000-0000D3020000}"/>
    <cellStyle name="20% - Accent1 76 14 3" xfId="729" xr:uid="{00000000-0005-0000-0000-0000D4020000}"/>
    <cellStyle name="20% - Accent1 76 15" xfId="730" xr:uid="{00000000-0005-0000-0000-0000D5020000}"/>
    <cellStyle name="20% - Accent1 76 15 2" xfId="731" xr:uid="{00000000-0005-0000-0000-0000D6020000}"/>
    <cellStyle name="20% - Accent1 76 15 2 2" xfId="732" xr:uid="{00000000-0005-0000-0000-0000D7020000}"/>
    <cellStyle name="20% - Accent1 76 15 3" xfId="733" xr:uid="{00000000-0005-0000-0000-0000D8020000}"/>
    <cellStyle name="20% - Accent1 76 16" xfId="734" xr:uid="{00000000-0005-0000-0000-0000D9020000}"/>
    <cellStyle name="20% - Accent1 76 16 2" xfId="735" xr:uid="{00000000-0005-0000-0000-0000DA020000}"/>
    <cellStyle name="20% - Accent1 76 16 2 2" xfId="736" xr:uid="{00000000-0005-0000-0000-0000DB020000}"/>
    <cellStyle name="20% - Accent1 76 16 3" xfId="737" xr:uid="{00000000-0005-0000-0000-0000DC020000}"/>
    <cellStyle name="20% - Accent1 76 17" xfId="738" xr:uid="{00000000-0005-0000-0000-0000DD020000}"/>
    <cellStyle name="20% - Accent1 76 17 2" xfId="739" xr:uid="{00000000-0005-0000-0000-0000DE020000}"/>
    <cellStyle name="20% - Accent1 76 17 2 2" xfId="740" xr:uid="{00000000-0005-0000-0000-0000DF020000}"/>
    <cellStyle name="20% - Accent1 76 17 3" xfId="741" xr:uid="{00000000-0005-0000-0000-0000E0020000}"/>
    <cellStyle name="20% - Accent1 76 18" xfId="742" xr:uid="{00000000-0005-0000-0000-0000E1020000}"/>
    <cellStyle name="20% - Accent1 76 18 2" xfId="743" xr:uid="{00000000-0005-0000-0000-0000E2020000}"/>
    <cellStyle name="20% - Accent1 76 18 2 2" xfId="744" xr:uid="{00000000-0005-0000-0000-0000E3020000}"/>
    <cellStyle name="20% - Accent1 76 18 3" xfId="745" xr:uid="{00000000-0005-0000-0000-0000E4020000}"/>
    <cellStyle name="20% - Accent1 76 19" xfId="746" xr:uid="{00000000-0005-0000-0000-0000E5020000}"/>
    <cellStyle name="20% - Accent1 76 19 2" xfId="747" xr:uid="{00000000-0005-0000-0000-0000E6020000}"/>
    <cellStyle name="20% - Accent1 76 19 2 2" xfId="748" xr:uid="{00000000-0005-0000-0000-0000E7020000}"/>
    <cellStyle name="20% - Accent1 76 19 3" xfId="749" xr:uid="{00000000-0005-0000-0000-0000E8020000}"/>
    <cellStyle name="20% - Accent1 76 2" xfId="750" xr:uid="{00000000-0005-0000-0000-0000E9020000}"/>
    <cellStyle name="20% - Accent1 76 2 2" xfId="751" xr:uid="{00000000-0005-0000-0000-0000EA020000}"/>
    <cellStyle name="20% - Accent1 76 2 2 2" xfId="752" xr:uid="{00000000-0005-0000-0000-0000EB020000}"/>
    <cellStyle name="20% - Accent1 76 2 3" xfId="753" xr:uid="{00000000-0005-0000-0000-0000EC020000}"/>
    <cellStyle name="20% - Accent1 76 20" xfId="754" xr:uid="{00000000-0005-0000-0000-0000ED020000}"/>
    <cellStyle name="20% - Accent1 76 20 2" xfId="755" xr:uid="{00000000-0005-0000-0000-0000EE020000}"/>
    <cellStyle name="20% - Accent1 76 20 2 2" xfId="756" xr:uid="{00000000-0005-0000-0000-0000EF020000}"/>
    <cellStyle name="20% - Accent1 76 20 3" xfId="757" xr:uid="{00000000-0005-0000-0000-0000F0020000}"/>
    <cellStyle name="20% - Accent1 76 21" xfId="758" xr:uid="{00000000-0005-0000-0000-0000F1020000}"/>
    <cellStyle name="20% - Accent1 76 21 2" xfId="759" xr:uid="{00000000-0005-0000-0000-0000F2020000}"/>
    <cellStyle name="20% - Accent1 76 21 2 2" xfId="760" xr:uid="{00000000-0005-0000-0000-0000F3020000}"/>
    <cellStyle name="20% - Accent1 76 21 3" xfId="761" xr:uid="{00000000-0005-0000-0000-0000F4020000}"/>
    <cellStyle name="20% - Accent1 76 22" xfId="762" xr:uid="{00000000-0005-0000-0000-0000F5020000}"/>
    <cellStyle name="20% - Accent1 76 22 2" xfId="763" xr:uid="{00000000-0005-0000-0000-0000F6020000}"/>
    <cellStyle name="20% - Accent1 76 22 2 2" xfId="764" xr:uid="{00000000-0005-0000-0000-0000F7020000}"/>
    <cellStyle name="20% - Accent1 76 22 3" xfId="765" xr:uid="{00000000-0005-0000-0000-0000F8020000}"/>
    <cellStyle name="20% - Accent1 76 23" xfId="766" xr:uid="{00000000-0005-0000-0000-0000F9020000}"/>
    <cellStyle name="20% - Accent1 76 23 2" xfId="767" xr:uid="{00000000-0005-0000-0000-0000FA020000}"/>
    <cellStyle name="20% - Accent1 76 23 2 2" xfId="768" xr:uid="{00000000-0005-0000-0000-0000FB020000}"/>
    <cellStyle name="20% - Accent1 76 23 3" xfId="769" xr:uid="{00000000-0005-0000-0000-0000FC020000}"/>
    <cellStyle name="20% - Accent1 76 24" xfId="770" xr:uid="{00000000-0005-0000-0000-0000FD020000}"/>
    <cellStyle name="20% - Accent1 76 24 2" xfId="771" xr:uid="{00000000-0005-0000-0000-0000FE020000}"/>
    <cellStyle name="20% - Accent1 76 24 2 2" xfId="772" xr:uid="{00000000-0005-0000-0000-0000FF020000}"/>
    <cellStyle name="20% - Accent1 76 24 3" xfId="773" xr:uid="{00000000-0005-0000-0000-000000030000}"/>
    <cellStyle name="20% - Accent1 76 25" xfId="774" xr:uid="{00000000-0005-0000-0000-000001030000}"/>
    <cellStyle name="20% - Accent1 76 25 2" xfId="775" xr:uid="{00000000-0005-0000-0000-000002030000}"/>
    <cellStyle name="20% - Accent1 76 25 2 2" xfId="776" xr:uid="{00000000-0005-0000-0000-000003030000}"/>
    <cellStyle name="20% - Accent1 76 25 3" xfId="777" xr:uid="{00000000-0005-0000-0000-000004030000}"/>
    <cellStyle name="20% - Accent1 76 26" xfId="778" xr:uid="{00000000-0005-0000-0000-000005030000}"/>
    <cellStyle name="20% - Accent1 76 26 2" xfId="779" xr:uid="{00000000-0005-0000-0000-000006030000}"/>
    <cellStyle name="20% - Accent1 76 26 2 2" xfId="780" xr:uid="{00000000-0005-0000-0000-000007030000}"/>
    <cellStyle name="20% - Accent1 76 26 3" xfId="781" xr:uid="{00000000-0005-0000-0000-000008030000}"/>
    <cellStyle name="20% - Accent1 76 27" xfId="782" xr:uid="{00000000-0005-0000-0000-000009030000}"/>
    <cellStyle name="20% - Accent1 76 27 2" xfId="783" xr:uid="{00000000-0005-0000-0000-00000A030000}"/>
    <cellStyle name="20% - Accent1 76 27 2 2" xfId="784" xr:uid="{00000000-0005-0000-0000-00000B030000}"/>
    <cellStyle name="20% - Accent1 76 27 3" xfId="785" xr:uid="{00000000-0005-0000-0000-00000C030000}"/>
    <cellStyle name="20% - Accent1 76 28" xfId="786" xr:uid="{00000000-0005-0000-0000-00000D030000}"/>
    <cellStyle name="20% - Accent1 76 28 2" xfId="787" xr:uid="{00000000-0005-0000-0000-00000E030000}"/>
    <cellStyle name="20% - Accent1 76 28 2 2" xfId="788" xr:uid="{00000000-0005-0000-0000-00000F030000}"/>
    <cellStyle name="20% - Accent1 76 28 3" xfId="789" xr:uid="{00000000-0005-0000-0000-000010030000}"/>
    <cellStyle name="20% - Accent1 76 29" xfId="790" xr:uid="{00000000-0005-0000-0000-000011030000}"/>
    <cellStyle name="20% - Accent1 76 29 2" xfId="791" xr:uid="{00000000-0005-0000-0000-000012030000}"/>
    <cellStyle name="20% - Accent1 76 29 2 2" xfId="792" xr:uid="{00000000-0005-0000-0000-000013030000}"/>
    <cellStyle name="20% - Accent1 76 29 3" xfId="793" xr:uid="{00000000-0005-0000-0000-000014030000}"/>
    <cellStyle name="20% - Accent1 76 3" xfId="794" xr:uid="{00000000-0005-0000-0000-000015030000}"/>
    <cellStyle name="20% - Accent1 76 3 2" xfId="795" xr:uid="{00000000-0005-0000-0000-000016030000}"/>
    <cellStyle name="20% - Accent1 76 3 2 2" xfId="796" xr:uid="{00000000-0005-0000-0000-000017030000}"/>
    <cellStyle name="20% - Accent1 76 3 3" xfId="797" xr:uid="{00000000-0005-0000-0000-000018030000}"/>
    <cellStyle name="20% - Accent1 76 30" xfId="798" xr:uid="{00000000-0005-0000-0000-000019030000}"/>
    <cellStyle name="20% - Accent1 76 30 2" xfId="799" xr:uid="{00000000-0005-0000-0000-00001A030000}"/>
    <cellStyle name="20% - Accent1 76 30 2 2" xfId="800" xr:uid="{00000000-0005-0000-0000-00001B030000}"/>
    <cellStyle name="20% - Accent1 76 30 3" xfId="801" xr:uid="{00000000-0005-0000-0000-00001C030000}"/>
    <cellStyle name="20% - Accent1 76 31" xfId="802" xr:uid="{00000000-0005-0000-0000-00001D030000}"/>
    <cellStyle name="20% - Accent1 76 31 2" xfId="803" xr:uid="{00000000-0005-0000-0000-00001E030000}"/>
    <cellStyle name="20% - Accent1 76 31 2 2" xfId="804" xr:uid="{00000000-0005-0000-0000-00001F030000}"/>
    <cellStyle name="20% - Accent1 76 31 3" xfId="805" xr:uid="{00000000-0005-0000-0000-000020030000}"/>
    <cellStyle name="20% - Accent1 76 32" xfId="806" xr:uid="{00000000-0005-0000-0000-000021030000}"/>
    <cellStyle name="20% - Accent1 76 32 2" xfId="807" xr:uid="{00000000-0005-0000-0000-000022030000}"/>
    <cellStyle name="20% - Accent1 76 32 2 2" xfId="808" xr:uid="{00000000-0005-0000-0000-000023030000}"/>
    <cellStyle name="20% - Accent1 76 32 3" xfId="809" xr:uid="{00000000-0005-0000-0000-000024030000}"/>
    <cellStyle name="20% - Accent1 76 33" xfId="810" xr:uid="{00000000-0005-0000-0000-000025030000}"/>
    <cellStyle name="20% - Accent1 76 33 2" xfId="811" xr:uid="{00000000-0005-0000-0000-000026030000}"/>
    <cellStyle name="20% - Accent1 76 33 2 2" xfId="812" xr:uid="{00000000-0005-0000-0000-000027030000}"/>
    <cellStyle name="20% - Accent1 76 33 3" xfId="813" xr:uid="{00000000-0005-0000-0000-000028030000}"/>
    <cellStyle name="20% - Accent1 76 34" xfId="814" xr:uid="{00000000-0005-0000-0000-000029030000}"/>
    <cellStyle name="20% - Accent1 76 34 2" xfId="815" xr:uid="{00000000-0005-0000-0000-00002A030000}"/>
    <cellStyle name="20% - Accent1 76 34 2 2" xfId="816" xr:uid="{00000000-0005-0000-0000-00002B030000}"/>
    <cellStyle name="20% - Accent1 76 34 3" xfId="817" xr:uid="{00000000-0005-0000-0000-00002C030000}"/>
    <cellStyle name="20% - Accent1 76 35" xfId="818" xr:uid="{00000000-0005-0000-0000-00002D030000}"/>
    <cellStyle name="20% - Accent1 76 35 2" xfId="819" xr:uid="{00000000-0005-0000-0000-00002E030000}"/>
    <cellStyle name="20% - Accent1 76 35 2 2" xfId="820" xr:uid="{00000000-0005-0000-0000-00002F030000}"/>
    <cellStyle name="20% - Accent1 76 35 3" xfId="821" xr:uid="{00000000-0005-0000-0000-000030030000}"/>
    <cellStyle name="20% - Accent1 76 36" xfId="822" xr:uid="{00000000-0005-0000-0000-000031030000}"/>
    <cellStyle name="20% - Accent1 76 36 2" xfId="823" xr:uid="{00000000-0005-0000-0000-000032030000}"/>
    <cellStyle name="20% - Accent1 76 36 2 2" xfId="824" xr:uid="{00000000-0005-0000-0000-000033030000}"/>
    <cellStyle name="20% - Accent1 76 36 3" xfId="825" xr:uid="{00000000-0005-0000-0000-000034030000}"/>
    <cellStyle name="20% - Accent1 76 4" xfId="826" xr:uid="{00000000-0005-0000-0000-000035030000}"/>
    <cellStyle name="20% - Accent1 76 4 2" xfId="827" xr:uid="{00000000-0005-0000-0000-000036030000}"/>
    <cellStyle name="20% - Accent1 76 4 2 2" xfId="828" xr:uid="{00000000-0005-0000-0000-000037030000}"/>
    <cellStyle name="20% - Accent1 76 4 3" xfId="829" xr:uid="{00000000-0005-0000-0000-000038030000}"/>
    <cellStyle name="20% - Accent1 76 5" xfId="830" xr:uid="{00000000-0005-0000-0000-000039030000}"/>
    <cellStyle name="20% - Accent1 76 5 2" xfId="831" xr:uid="{00000000-0005-0000-0000-00003A030000}"/>
    <cellStyle name="20% - Accent1 76 5 2 2" xfId="832" xr:uid="{00000000-0005-0000-0000-00003B030000}"/>
    <cellStyle name="20% - Accent1 76 5 3" xfId="833" xr:uid="{00000000-0005-0000-0000-00003C030000}"/>
    <cellStyle name="20% - Accent1 76 6" xfId="834" xr:uid="{00000000-0005-0000-0000-00003D030000}"/>
    <cellStyle name="20% - Accent1 76 6 2" xfId="835" xr:uid="{00000000-0005-0000-0000-00003E030000}"/>
    <cellStyle name="20% - Accent1 76 6 2 2" xfId="836" xr:uid="{00000000-0005-0000-0000-00003F030000}"/>
    <cellStyle name="20% - Accent1 76 6 3" xfId="837" xr:uid="{00000000-0005-0000-0000-000040030000}"/>
    <cellStyle name="20% - Accent1 76 7" xfId="838" xr:uid="{00000000-0005-0000-0000-000041030000}"/>
    <cellStyle name="20% - Accent1 76 7 2" xfId="839" xr:uid="{00000000-0005-0000-0000-000042030000}"/>
    <cellStyle name="20% - Accent1 76 7 2 2" xfId="840" xr:uid="{00000000-0005-0000-0000-000043030000}"/>
    <cellStyle name="20% - Accent1 76 7 3" xfId="841" xr:uid="{00000000-0005-0000-0000-000044030000}"/>
    <cellStyle name="20% - Accent1 76 8" xfId="842" xr:uid="{00000000-0005-0000-0000-000045030000}"/>
    <cellStyle name="20% - Accent1 76 8 2" xfId="843" xr:uid="{00000000-0005-0000-0000-000046030000}"/>
    <cellStyle name="20% - Accent1 76 8 2 2" xfId="844" xr:uid="{00000000-0005-0000-0000-000047030000}"/>
    <cellStyle name="20% - Accent1 76 8 3" xfId="845" xr:uid="{00000000-0005-0000-0000-000048030000}"/>
    <cellStyle name="20% - Accent1 76 9" xfId="846" xr:uid="{00000000-0005-0000-0000-000049030000}"/>
    <cellStyle name="20% - Accent1 76 9 2" xfId="847" xr:uid="{00000000-0005-0000-0000-00004A030000}"/>
    <cellStyle name="20% - Accent1 76 9 2 2" xfId="848" xr:uid="{00000000-0005-0000-0000-00004B030000}"/>
    <cellStyle name="20% - Accent1 76 9 3" xfId="849" xr:uid="{00000000-0005-0000-0000-00004C030000}"/>
    <cellStyle name="20% - Accent1 77" xfId="850" xr:uid="{00000000-0005-0000-0000-00004D030000}"/>
    <cellStyle name="20% - Accent1 77 10" xfId="851" xr:uid="{00000000-0005-0000-0000-00004E030000}"/>
    <cellStyle name="20% - Accent1 77 10 2" xfId="852" xr:uid="{00000000-0005-0000-0000-00004F030000}"/>
    <cellStyle name="20% - Accent1 77 10 2 2" xfId="853" xr:uid="{00000000-0005-0000-0000-000050030000}"/>
    <cellStyle name="20% - Accent1 77 10 3" xfId="854" xr:uid="{00000000-0005-0000-0000-000051030000}"/>
    <cellStyle name="20% - Accent1 77 11" xfId="855" xr:uid="{00000000-0005-0000-0000-000052030000}"/>
    <cellStyle name="20% - Accent1 77 11 2" xfId="856" xr:uid="{00000000-0005-0000-0000-000053030000}"/>
    <cellStyle name="20% - Accent1 77 11 2 2" xfId="857" xr:uid="{00000000-0005-0000-0000-000054030000}"/>
    <cellStyle name="20% - Accent1 77 11 3" xfId="858" xr:uid="{00000000-0005-0000-0000-000055030000}"/>
    <cellStyle name="20% - Accent1 77 12" xfId="859" xr:uid="{00000000-0005-0000-0000-000056030000}"/>
    <cellStyle name="20% - Accent1 77 12 2" xfId="860" xr:uid="{00000000-0005-0000-0000-000057030000}"/>
    <cellStyle name="20% - Accent1 77 12 2 2" xfId="861" xr:uid="{00000000-0005-0000-0000-000058030000}"/>
    <cellStyle name="20% - Accent1 77 12 3" xfId="862" xr:uid="{00000000-0005-0000-0000-000059030000}"/>
    <cellStyle name="20% - Accent1 77 13" xfId="863" xr:uid="{00000000-0005-0000-0000-00005A030000}"/>
    <cellStyle name="20% - Accent1 77 13 2" xfId="864" xr:uid="{00000000-0005-0000-0000-00005B030000}"/>
    <cellStyle name="20% - Accent1 77 13 2 2" xfId="865" xr:uid="{00000000-0005-0000-0000-00005C030000}"/>
    <cellStyle name="20% - Accent1 77 13 3" xfId="866" xr:uid="{00000000-0005-0000-0000-00005D030000}"/>
    <cellStyle name="20% - Accent1 77 14" xfId="867" xr:uid="{00000000-0005-0000-0000-00005E030000}"/>
    <cellStyle name="20% - Accent1 77 14 2" xfId="868" xr:uid="{00000000-0005-0000-0000-00005F030000}"/>
    <cellStyle name="20% - Accent1 77 14 2 2" xfId="869" xr:uid="{00000000-0005-0000-0000-000060030000}"/>
    <cellStyle name="20% - Accent1 77 14 3" xfId="870" xr:uid="{00000000-0005-0000-0000-000061030000}"/>
    <cellStyle name="20% - Accent1 77 15" xfId="871" xr:uid="{00000000-0005-0000-0000-000062030000}"/>
    <cellStyle name="20% - Accent1 77 15 2" xfId="872" xr:uid="{00000000-0005-0000-0000-000063030000}"/>
    <cellStyle name="20% - Accent1 77 15 2 2" xfId="873" xr:uid="{00000000-0005-0000-0000-000064030000}"/>
    <cellStyle name="20% - Accent1 77 15 3" xfId="874" xr:uid="{00000000-0005-0000-0000-000065030000}"/>
    <cellStyle name="20% - Accent1 77 16" xfId="875" xr:uid="{00000000-0005-0000-0000-000066030000}"/>
    <cellStyle name="20% - Accent1 77 16 2" xfId="876" xr:uid="{00000000-0005-0000-0000-000067030000}"/>
    <cellStyle name="20% - Accent1 77 16 2 2" xfId="877" xr:uid="{00000000-0005-0000-0000-000068030000}"/>
    <cellStyle name="20% - Accent1 77 16 3" xfId="878" xr:uid="{00000000-0005-0000-0000-000069030000}"/>
    <cellStyle name="20% - Accent1 77 17" xfId="879" xr:uid="{00000000-0005-0000-0000-00006A030000}"/>
    <cellStyle name="20% - Accent1 77 17 2" xfId="880" xr:uid="{00000000-0005-0000-0000-00006B030000}"/>
    <cellStyle name="20% - Accent1 77 17 2 2" xfId="881" xr:uid="{00000000-0005-0000-0000-00006C030000}"/>
    <cellStyle name="20% - Accent1 77 17 3" xfId="882" xr:uid="{00000000-0005-0000-0000-00006D030000}"/>
    <cellStyle name="20% - Accent1 77 18" xfId="883" xr:uid="{00000000-0005-0000-0000-00006E030000}"/>
    <cellStyle name="20% - Accent1 77 18 2" xfId="884" xr:uid="{00000000-0005-0000-0000-00006F030000}"/>
    <cellStyle name="20% - Accent1 77 18 2 2" xfId="885" xr:uid="{00000000-0005-0000-0000-000070030000}"/>
    <cellStyle name="20% - Accent1 77 18 3" xfId="886" xr:uid="{00000000-0005-0000-0000-000071030000}"/>
    <cellStyle name="20% - Accent1 77 19" xfId="887" xr:uid="{00000000-0005-0000-0000-000072030000}"/>
    <cellStyle name="20% - Accent1 77 19 2" xfId="888" xr:uid="{00000000-0005-0000-0000-000073030000}"/>
    <cellStyle name="20% - Accent1 77 19 2 2" xfId="889" xr:uid="{00000000-0005-0000-0000-000074030000}"/>
    <cellStyle name="20% - Accent1 77 19 3" xfId="890" xr:uid="{00000000-0005-0000-0000-000075030000}"/>
    <cellStyle name="20% - Accent1 77 2" xfId="891" xr:uid="{00000000-0005-0000-0000-000076030000}"/>
    <cellStyle name="20% - Accent1 77 2 2" xfId="892" xr:uid="{00000000-0005-0000-0000-000077030000}"/>
    <cellStyle name="20% - Accent1 77 2 2 2" xfId="893" xr:uid="{00000000-0005-0000-0000-000078030000}"/>
    <cellStyle name="20% - Accent1 77 2 3" xfId="894" xr:uid="{00000000-0005-0000-0000-000079030000}"/>
    <cellStyle name="20% - Accent1 77 20" xfId="895" xr:uid="{00000000-0005-0000-0000-00007A030000}"/>
    <cellStyle name="20% - Accent1 77 20 2" xfId="896" xr:uid="{00000000-0005-0000-0000-00007B030000}"/>
    <cellStyle name="20% - Accent1 77 20 2 2" xfId="897" xr:uid="{00000000-0005-0000-0000-00007C030000}"/>
    <cellStyle name="20% - Accent1 77 20 3" xfId="898" xr:uid="{00000000-0005-0000-0000-00007D030000}"/>
    <cellStyle name="20% - Accent1 77 21" xfId="899" xr:uid="{00000000-0005-0000-0000-00007E030000}"/>
    <cellStyle name="20% - Accent1 77 21 2" xfId="900" xr:uid="{00000000-0005-0000-0000-00007F030000}"/>
    <cellStyle name="20% - Accent1 77 21 2 2" xfId="901" xr:uid="{00000000-0005-0000-0000-000080030000}"/>
    <cellStyle name="20% - Accent1 77 21 3" xfId="902" xr:uid="{00000000-0005-0000-0000-000081030000}"/>
    <cellStyle name="20% - Accent1 77 22" xfId="903" xr:uid="{00000000-0005-0000-0000-000082030000}"/>
    <cellStyle name="20% - Accent1 77 22 2" xfId="904" xr:uid="{00000000-0005-0000-0000-000083030000}"/>
    <cellStyle name="20% - Accent1 77 22 2 2" xfId="905" xr:uid="{00000000-0005-0000-0000-000084030000}"/>
    <cellStyle name="20% - Accent1 77 22 3" xfId="906" xr:uid="{00000000-0005-0000-0000-000085030000}"/>
    <cellStyle name="20% - Accent1 77 23" xfId="907" xr:uid="{00000000-0005-0000-0000-000086030000}"/>
    <cellStyle name="20% - Accent1 77 23 2" xfId="908" xr:uid="{00000000-0005-0000-0000-000087030000}"/>
    <cellStyle name="20% - Accent1 77 23 2 2" xfId="909" xr:uid="{00000000-0005-0000-0000-000088030000}"/>
    <cellStyle name="20% - Accent1 77 23 3" xfId="910" xr:uid="{00000000-0005-0000-0000-000089030000}"/>
    <cellStyle name="20% - Accent1 77 24" xfId="911" xr:uid="{00000000-0005-0000-0000-00008A030000}"/>
    <cellStyle name="20% - Accent1 77 24 2" xfId="912" xr:uid="{00000000-0005-0000-0000-00008B030000}"/>
    <cellStyle name="20% - Accent1 77 24 2 2" xfId="913" xr:uid="{00000000-0005-0000-0000-00008C030000}"/>
    <cellStyle name="20% - Accent1 77 24 3" xfId="914" xr:uid="{00000000-0005-0000-0000-00008D030000}"/>
    <cellStyle name="20% - Accent1 77 25" xfId="915" xr:uid="{00000000-0005-0000-0000-00008E030000}"/>
    <cellStyle name="20% - Accent1 77 25 2" xfId="916" xr:uid="{00000000-0005-0000-0000-00008F030000}"/>
    <cellStyle name="20% - Accent1 77 25 2 2" xfId="917" xr:uid="{00000000-0005-0000-0000-000090030000}"/>
    <cellStyle name="20% - Accent1 77 25 3" xfId="918" xr:uid="{00000000-0005-0000-0000-000091030000}"/>
    <cellStyle name="20% - Accent1 77 26" xfId="919" xr:uid="{00000000-0005-0000-0000-000092030000}"/>
    <cellStyle name="20% - Accent1 77 26 2" xfId="920" xr:uid="{00000000-0005-0000-0000-000093030000}"/>
    <cellStyle name="20% - Accent1 77 26 2 2" xfId="921" xr:uid="{00000000-0005-0000-0000-000094030000}"/>
    <cellStyle name="20% - Accent1 77 26 3" xfId="922" xr:uid="{00000000-0005-0000-0000-000095030000}"/>
    <cellStyle name="20% - Accent1 77 27" xfId="923" xr:uid="{00000000-0005-0000-0000-000096030000}"/>
    <cellStyle name="20% - Accent1 77 27 2" xfId="924" xr:uid="{00000000-0005-0000-0000-000097030000}"/>
    <cellStyle name="20% - Accent1 77 27 2 2" xfId="925" xr:uid="{00000000-0005-0000-0000-000098030000}"/>
    <cellStyle name="20% - Accent1 77 27 3" xfId="926" xr:uid="{00000000-0005-0000-0000-000099030000}"/>
    <cellStyle name="20% - Accent1 77 28" xfId="927" xr:uid="{00000000-0005-0000-0000-00009A030000}"/>
    <cellStyle name="20% - Accent1 77 28 2" xfId="928" xr:uid="{00000000-0005-0000-0000-00009B030000}"/>
    <cellStyle name="20% - Accent1 77 28 2 2" xfId="929" xr:uid="{00000000-0005-0000-0000-00009C030000}"/>
    <cellStyle name="20% - Accent1 77 28 3" xfId="930" xr:uid="{00000000-0005-0000-0000-00009D030000}"/>
    <cellStyle name="20% - Accent1 77 29" xfId="931" xr:uid="{00000000-0005-0000-0000-00009E030000}"/>
    <cellStyle name="20% - Accent1 77 29 2" xfId="932" xr:uid="{00000000-0005-0000-0000-00009F030000}"/>
    <cellStyle name="20% - Accent1 77 29 2 2" xfId="933" xr:uid="{00000000-0005-0000-0000-0000A0030000}"/>
    <cellStyle name="20% - Accent1 77 29 3" xfId="934" xr:uid="{00000000-0005-0000-0000-0000A1030000}"/>
    <cellStyle name="20% - Accent1 77 3" xfId="935" xr:uid="{00000000-0005-0000-0000-0000A2030000}"/>
    <cellStyle name="20% - Accent1 77 3 2" xfId="936" xr:uid="{00000000-0005-0000-0000-0000A3030000}"/>
    <cellStyle name="20% - Accent1 77 3 2 2" xfId="937" xr:uid="{00000000-0005-0000-0000-0000A4030000}"/>
    <cellStyle name="20% - Accent1 77 3 3" xfId="938" xr:uid="{00000000-0005-0000-0000-0000A5030000}"/>
    <cellStyle name="20% - Accent1 77 30" xfId="939" xr:uid="{00000000-0005-0000-0000-0000A6030000}"/>
    <cellStyle name="20% - Accent1 77 30 2" xfId="940" xr:uid="{00000000-0005-0000-0000-0000A7030000}"/>
    <cellStyle name="20% - Accent1 77 30 2 2" xfId="941" xr:uid="{00000000-0005-0000-0000-0000A8030000}"/>
    <cellStyle name="20% - Accent1 77 30 3" xfId="942" xr:uid="{00000000-0005-0000-0000-0000A9030000}"/>
    <cellStyle name="20% - Accent1 77 31" xfId="943" xr:uid="{00000000-0005-0000-0000-0000AA030000}"/>
    <cellStyle name="20% - Accent1 77 31 2" xfId="944" xr:uid="{00000000-0005-0000-0000-0000AB030000}"/>
    <cellStyle name="20% - Accent1 77 31 2 2" xfId="945" xr:uid="{00000000-0005-0000-0000-0000AC030000}"/>
    <cellStyle name="20% - Accent1 77 31 3" xfId="946" xr:uid="{00000000-0005-0000-0000-0000AD030000}"/>
    <cellStyle name="20% - Accent1 77 32" xfId="947" xr:uid="{00000000-0005-0000-0000-0000AE030000}"/>
    <cellStyle name="20% - Accent1 77 32 2" xfId="948" xr:uid="{00000000-0005-0000-0000-0000AF030000}"/>
    <cellStyle name="20% - Accent1 77 32 2 2" xfId="949" xr:uid="{00000000-0005-0000-0000-0000B0030000}"/>
    <cellStyle name="20% - Accent1 77 32 3" xfId="950" xr:uid="{00000000-0005-0000-0000-0000B1030000}"/>
    <cellStyle name="20% - Accent1 77 33" xfId="951" xr:uid="{00000000-0005-0000-0000-0000B2030000}"/>
    <cellStyle name="20% - Accent1 77 33 2" xfId="952" xr:uid="{00000000-0005-0000-0000-0000B3030000}"/>
    <cellStyle name="20% - Accent1 77 33 2 2" xfId="953" xr:uid="{00000000-0005-0000-0000-0000B4030000}"/>
    <cellStyle name="20% - Accent1 77 33 3" xfId="954" xr:uid="{00000000-0005-0000-0000-0000B5030000}"/>
    <cellStyle name="20% - Accent1 77 34" xfId="955" xr:uid="{00000000-0005-0000-0000-0000B6030000}"/>
    <cellStyle name="20% - Accent1 77 34 2" xfId="956" xr:uid="{00000000-0005-0000-0000-0000B7030000}"/>
    <cellStyle name="20% - Accent1 77 34 2 2" xfId="957" xr:uid="{00000000-0005-0000-0000-0000B8030000}"/>
    <cellStyle name="20% - Accent1 77 34 3" xfId="958" xr:uid="{00000000-0005-0000-0000-0000B9030000}"/>
    <cellStyle name="20% - Accent1 77 35" xfId="959" xr:uid="{00000000-0005-0000-0000-0000BA030000}"/>
    <cellStyle name="20% - Accent1 77 35 2" xfId="960" xr:uid="{00000000-0005-0000-0000-0000BB030000}"/>
    <cellStyle name="20% - Accent1 77 35 2 2" xfId="961" xr:uid="{00000000-0005-0000-0000-0000BC030000}"/>
    <cellStyle name="20% - Accent1 77 35 3" xfId="962" xr:uid="{00000000-0005-0000-0000-0000BD030000}"/>
    <cellStyle name="20% - Accent1 77 36" xfId="963" xr:uid="{00000000-0005-0000-0000-0000BE030000}"/>
    <cellStyle name="20% - Accent1 77 36 2" xfId="964" xr:uid="{00000000-0005-0000-0000-0000BF030000}"/>
    <cellStyle name="20% - Accent1 77 36 2 2" xfId="965" xr:uid="{00000000-0005-0000-0000-0000C0030000}"/>
    <cellStyle name="20% - Accent1 77 36 3" xfId="966" xr:uid="{00000000-0005-0000-0000-0000C1030000}"/>
    <cellStyle name="20% - Accent1 77 4" xfId="967" xr:uid="{00000000-0005-0000-0000-0000C2030000}"/>
    <cellStyle name="20% - Accent1 77 4 2" xfId="968" xr:uid="{00000000-0005-0000-0000-0000C3030000}"/>
    <cellStyle name="20% - Accent1 77 4 2 2" xfId="969" xr:uid="{00000000-0005-0000-0000-0000C4030000}"/>
    <cellStyle name="20% - Accent1 77 4 3" xfId="970" xr:uid="{00000000-0005-0000-0000-0000C5030000}"/>
    <cellStyle name="20% - Accent1 77 5" xfId="971" xr:uid="{00000000-0005-0000-0000-0000C6030000}"/>
    <cellStyle name="20% - Accent1 77 5 2" xfId="972" xr:uid="{00000000-0005-0000-0000-0000C7030000}"/>
    <cellStyle name="20% - Accent1 77 5 2 2" xfId="973" xr:uid="{00000000-0005-0000-0000-0000C8030000}"/>
    <cellStyle name="20% - Accent1 77 5 3" xfId="974" xr:uid="{00000000-0005-0000-0000-0000C9030000}"/>
    <cellStyle name="20% - Accent1 77 6" xfId="975" xr:uid="{00000000-0005-0000-0000-0000CA030000}"/>
    <cellStyle name="20% - Accent1 77 6 2" xfId="976" xr:uid="{00000000-0005-0000-0000-0000CB030000}"/>
    <cellStyle name="20% - Accent1 77 6 2 2" xfId="977" xr:uid="{00000000-0005-0000-0000-0000CC030000}"/>
    <cellStyle name="20% - Accent1 77 6 3" xfId="978" xr:uid="{00000000-0005-0000-0000-0000CD030000}"/>
    <cellStyle name="20% - Accent1 77 7" xfId="979" xr:uid="{00000000-0005-0000-0000-0000CE030000}"/>
    <cellStyle name="20% - Accent1 77 7 2" xfId="980" xr:uid="{00000000-0005-0000-0000-0000CF030000}"/>
    <cellStyle name="20% - Accent1 77 7 2 2" xfId="981" xr:uid="{00000000-0005-0000-0000-0000D0030000}"/>
    <cellStyle name="20% - Accent1 77 7 3" xfId="982" xr:uid="{00000000-0005-0000-0000-0000D1030000}"/>
    <cellStyle name="20% - Accent1 77 8" xfId="983" xr:uid="{00000000-0005-0000-0000-0000D2030000}"/>
    <cellStyle name="20% - Accent1 77 8 2" xfId="984" xr:uid="{00000000-0005-0000-0000-0000D3030000}"/>
    <cellStyle name="20% - Accent1 77 8 2 2" xfId="985" xr:uid="{00000000-0005-0000-0000-0000D4030000}"/>
    <cellStyle name="20% - Accent1 77 8 3" xfId="986" xr:uid="{00000000-0005-0000-0000-0000D5030000}"/>
    <cellStyle name="20% - Accent1 77 9" xfId="987" xr:uid="{00000000-0005-0000-0000-0000D6030000}"/>
    <cellStyle name="20% - Accent1 77 9 2" xfId="988" xr:uid="{00000000-0005-0000-0000-0000D7030000}"/>
    <cellStyle name="20% - Accent1 77 9 2 2" xfId="989" xr:uid="{00000000-0005-0000-0000-0000D8030000}"/>
    <cellStyle name="20% - Accent1 77 9 3" xfId="990" xr:uid="{00000000-0005-0000-0000-0000D9030000}"/>
    <cellStyle name="20% - Accent1 78" xfId="991" xr:uid="{00000000-0005-0000-0000-0000DA030000}"/>
    <cellStyle name="20% - Accent1 78 2" xfId="992" xr:uid="{00000000-0005-0000-0000-0000DB030000}"/>
    <cellStyle name="20% - Accent1 79" xfId="993" xr:uid="{00000000-0005-0000-0000-0000DC030000}"/>
    <cellStyle name="20% - Accent1 79 10" xfId="994" xr:uid="{00000000-0005-0000-0000-0000DD030000}"/>
    <cellStyle name="20% - Accent1 79 10 2" xfId="995" xr:uid="{00000000-0005-0000-0000-0000DE030000}"/>
    <cellStyle name="20% - Accent1 79 10 2 2" xfId="996" xr:uid="{00000000-0005-0000-0000-0000DF030000}"/>
    <cellStyle name="20% - Accent1 79 10 3" xfId="997" xr:uid="{00000000-0005-0000-0000-0000E0030000}"/>
    <cellStyle name="20% - Accent1 79 11" xfId="998" xr:uid="{00000000-0005-0000-0000-0000E1030000}"/>
    <cellStyle name="20% - Accent1 79 11 2" xfId="999" xr:uid="{00000000-0005-0000-0000-0000E2030000}"/>
    <cellStyle name="20% - Accent1 79 11 2 2" xfId="1000" xr:uid="{00000000-0005-0000-0000-0000E3030000}"/>
    <cellStyle name="20% - Accent1 79 11 3" xfId="1001" xr:uid="{00000000-0005-0000-0000-0000E4030000}"/>
    <cellStyle name="20% - Accent1 79 12" xfId="1002" xr:uid="{00000000-0005-0000-0000-0000E5030000}"/>
    <cellStyle name="20% - Accent1 79 12 2" xfId="1003" xr:uid="{00000000-0005-0000-0000-0000E6030000}"/>
    <cellStyle name="20% - Accent1 79 12 2 2" xfId="1004" xr:uid="{00000000-0005-0000-0000-0000E7030000}"/>
    <cellStyle name="20% - Accent1 79 12 3" xfId="1005" xr:uid="{00000000-0005-0000-0000-0000E8030000}"/>
    <cellStyle name="20% - Accent1 79 13" xfId="1006" xr:uid="{00000000-0005-0000-0000-0000E9030000}"/>
    <cellStyle name="20% - Accent1 79 13 2" xfId="1007" xr:uid="{00000000-0005-0000-0000-0000EA030000}"/>
    <cellStyle name="20% - Accent1 79 13 2 2" xfId="1008" xr:uid="{00000000-0005-0000-0000-0000EB030000}"/>
    <cellStyle name="20% - Accent1 79 13 3" xfId="1009" xr:uid="{00000000-0005-0000-0000-0000EC030000}"/>
    <cellStyle name="20% - Accent1 79 14" xfId="1010" xr:uid="{00000000-0005-0000-0000-0000ED030000}"/>
    <cellStyle name="20% - Accent1 79 14 2" xfId="1011" xr:uid="{00000000-0005-0000-0000-0000EE030000}"/>
    <cellStyle name="20% - Accent1 79 14 2 2" xfId="1012" xr:uid="{00000000-0005-0000-0000-0000EF030000}"/>
    <cellStyle name="20% - Accent1 79 14 3" xfId="1013" xr:uid="{00000000-0005-0000-0000-0000F0030000}"/>
    <cellStyle name="20% - Accent1 79 15" xfId="1014" xr:uid="{00000000-0005-0000-0000-0000F1030000}"/>
    <cellStyle name="20% - Accent1 79 15 2" xfId="1015" xr:uid="{00000000-0005-0000-0000-0000F2030000}"/>
    <cellStyle name="20% - Accent1 79 15 2 2" xfId="1016" xr:uid="{00000000-0005-0000-0000-0000F3030000}"/>
    <cellStyle name="20% - Accent1 79 15 3" xfId="1017" xr:uid="{00000000-0005-0000-0000-0000F4030000}"/>
    <cellStyle name="20% - Accent1 79 16" xfId="1018" xr:uid="{00000000-0005-0000-0000-0000F5030000}"/>
    <cellStyle name="20% - Accent1 79 16 2" xfId="1019" xr:uid="{00000000-0005-0000-0000-0000F6030000}"/>
    <cellStyle name="20% - Accent1 79 16 2 2" xfId="1020" xr:uid="{00000000-0005-0000-0000-0000F7030000}"/>
    <cellStyle name="20% - Accent1 79 16 3" xfId="1021" xr:uid="{00000000-0005-0000-0000-0000F8030000}"/>
    <cellStyle name="20% - Accent1 79 17" xfId="1022" xr:uid="{00000000-0005-0000-0000-0000F9030000}"/>
    <cellStyle name="20% - Accent1 79 17 2" xfId="1023" xr:uid="{00000000-0005-0000-0000-0000FA030000}"/>
    <cellStyle name="20% - Accent1 79 17 2 2" xfId="1024" xr:uid="{00000000-0005-0000-0000-0000FB030000}"/>
    <cellStyle name="20% - Accent1 79 17 3" xfId="1025" xr:uid="{00000000-0005-0000-0000-0000FC030000}"/>
    <cellStyle name="20% - Accent1 79 18" xfId="1026" xr:uid="{00000000-0005-0000-0000-0000FD030000}"/>
    <cellStyle name="20% - Accent1 79 18 2" xfId="1027" xr:uid="{00000000-0005-0000-0000-0000FE030000}"/>
    <cellStyle name="20% - Accent1 79 18 2 2" xfId="1028" xr:uid="{00000000-0005-0000-0000-0000FF030000}"/>
    <cellStyle name="20% - Accent1 79 18 3" xfId="1029" xr:uid="{00000000-0005-0000-0000-000000040000}"/>
    <cellStyle name="20% - Accent1 79 19" xfId="1030" xr:uid="{00000000-0005-0000-0000-000001040000}"/>
    <cellStyle name="20% - Accent1 79 19 2" xfId="1031" xr:uid="{00000000-0005-0000-0000-000002040000}"/>
    <cellStyle name="20% - Accent1 79 19 2 2" xfId="1032" xr:uid="{00000000-0005-0000-0000-000003040000}"/>
    <cellStyle name="20% - Accent1 79 19 3" xfId="1033" xr:uid="{00000000-0005-0000-0000-000004040000}"/>
    <cellStyle name="20% - Accent1 79 2" xfId="1034" xr:uid="{00000000-0005-0000-0000-000005040000}"/>
    <cellStyle name="20% - Accent1 79 2 2" xfId="1035" xr:uid="{00000000-0005-0000-0000-000006040000}"/>
    <cellStyle name="20% - Accent1 79 2 2 2" xfId="1036" xr:uid="{00000000-0005-0000-0000-000007040000}"/>
    <cellStyle name="20% - Accent1 79 2 3" xfId="1037" xr:uid="{00000000-0005-0000-0000-000008040000}"/>
    <cellStyle name="20% - Accent1 79 20" xfId="1038" xr:uid="{00000000-0005-0000-0000-000009040000}"/>
    <cellStyle name="20% - Accent1 79 20 2" xfId="1039" xr:uid="{00000000-0005-0000-0000-00000A040000}"/>
    <cellStyle name="20% - Accent1 79 20 2 2" xfId="1040" xr:uid="{00000000-0005-0000-0000-00000B040000}"/>
    <cellStyle name="20% - Accent1 79 20 3" xfId="1041" xr:uid="{00000000-0005-0000-0000-00000C040000}"/>
    <cellStyle name="20% - Accent1 79 21" xfId="1042" xr:uid="{00000000-0005-0000-0000-00000D040000}"/>
    <cellStyle name="20% - Accent1 79 21 2" xfId="1043" xr:uid="{00000000-0005-0000-0000-00000E040000}"/>
    <cellStyle name="20% - Accent1 79 21 2 2" xfId="1044" xr:uid="{00000000-0005-0000-0000-00000F040000}"/>
    <cellStyle name="20% - Accent1 79 21 3" xfId="1045" xr:uid="{00000000-0005-0000-0000-000010040000}"/>
    <cellStyle name="20% - Accent1 79 22" xfId="1046" xr:uid="{00000000-0005-0000-0000-000011040000}"/>
    <cellStyle name="20% - Accent1 79 22 2" xfId="1047" xr:uid="{00000000-0005-0000-0000-000012040000}"/>
    <cellStyle name="20% - Accent1 79 22 2 2" xfId="1048" xr:uid="{00000000-0005-0000-0000-000013040000}"/>
    <cellStyle name="20% - Accent1 79 22 3" xfId="1049" xr:uid="{00000000-0005-0000-0000-000014040000}"/>
    <cellStyle name="20% - Accent1 79 23" xfId="1050" xr:uid="{00000000-0005-0000-0000-000015040000}"/>
    <cellStyle name="20% - Accent1 79 23 2" xfId="1051" xr:uid="{00000000-0005-0000-0000-000016040000}"/>
    <cellStyle name="20% - Accent1 79 23 2 2" xfId="1052" xr:uid="{00000000-0005-0000-0000-000017040000}"/>
    <cellStyle name="20% - Accent1 79 23 3" xfId="1053" xr:uid="{00000000-0005-0000-0000-000018040000}"/>
    <cellStyle name="20% - Accent1 79 24" xfId="1054" xr:uid="{00000000-0005-0000-0000-000019040000}"/>
    <cellStyle name="20% - Accent1 79 24 2" xfId="1055" xr:uid="{00000000-0005-0000-0000-00001A040000}"/>
    <cellStyle name="20% - Accent1 79 24 2 2" xfId="1056" xr:uid="{00000000-0005-0000-0000-00001B040000}"/>
    <cellStyle name="20% - Accent1 79 24 3" xfId="1057" xr:uid="{00000000-0005-0000-0000-00001C040000}"/>
    <cellStyle name="20% - Accent1 79 25" xfId="1058" xr:uid="{00000000-0005-0000-0000-00001D040000}"/>
    <cellStyle name="20% - Accent1 79 25 2" xfId="1059" xr:uid="{00000000-0005-0000-0000-00001E040000}"/>
    <cellStyle name="20% - Accent1 79 25 2 2" xfId="1060" xr:uid="{00000000-0005-0000-0000-00001F040000}"/>
    <cellStyle name="20% - Accent1 79 25 3" xfId="1061" xr:uid="{00000000-0005-0000-0000-000020040000}"/>
    <cellStyle name="20% - Accent1 79 26" xfId="1062" xr:uid="{00000000-0005-0000-0000-000021040000}"/>
    <cellStyle name="20% - Accent1 79 26 2" xfId="1063" xr:uid="{00000000-0005-0000-0000-000022040000}"/>
    <cellStyle name="20% - Accent1 79 26 2 2" xfId="1064" xr:uid="{00000000-0005-0000-0000-000023040000}"/>
    <cellStyle name="20% - Accent1 79 26 3" xfId="1065" xr:uid="{00000000-0005-0000-0000-000024040000}"/>
    <cellStyle name="20% - Accent1 79 27" xfId="1066" xr:uid="{00000000-0005-0000-0000-000025040000}"/>
    <cellStyle name="20% - Accent1 79 27 2" xfId="1067" xr:uid="{00000000-0005-0000-0000-000026040000}"/>
    <cellStyle name="20% - Accent1 79 27 2 2" xfId="1068" xr:uid="{00000000-0005-0000-0000-000027040000}"/>
    <cellStyle name="20% - Accent1 79 27 3" xfId="1069" xr:uid="{00000000-0005-0000-0000-000028040000}"/>
    <cellStyle name="20% - Accent1 79 28" xfId="1070" xr:uid="{00000000-0005-0000-0000-000029040000}"/>
    <cellStyle name="20% - Accent1 79 28 2" xfId="1071" xr:uid="{00000000-0005-0000-0000-00002A040000}"/>
    <cellStyle name="20% - Accent1 79 28 2 2" xfId="1072" xr:uid="{00000000-0005-0000-0000-00002B040000}"/>
    <cellStyle name="20% - Accent1 79 28 3" xfId="1073" xr:uid="{00000000-0005-0000-0000-00002C040000}"/>
    <cellStyle name="20% - Accent1 79 29" xfId="1074" xr:uid="{00000000-0005-0000-0000-00002D040000}"/>
    <cellStyle name="20% - Accent1 79 29 2" xfId="1075" xr:uid="{00000000-0005-0000-0000-00002E040000}"/>
    <cellStyle name="20% - Accent1 79 29 2 2" xfId="1076" xr:uid="{00000000-0005-0000-0000-00002F040000}"/>
    <cellStyle name="20% - Accent1 79 29 3" xfId="1077" xr:uid="{00000000-0005-0000-0000-000030040000}"/>
    <cellStyle name="20% - Accent1 79 3" xfId="1078" xr:uid="{00000000-0005-0000-0000-000031040000}"/>
    <cellStyle name="20% - Accent1 79 3 2" xfId="1079" xr:uid="{00000000-0005-0000-0000-000032040000}"/>
    <cellStyle name="20% - Accent1 79 3 2 2" xfId="1080" xr:uid="{00000000-0005-0000-0000-000033040000}"/>
    <cellStyle name="20% - Accent1 79 3 3" xfId="1081" xr:uid="{00000000-0005-0000-0000-000034040000}"/>
    <cellStyle name="20% - Accent1 79 30" xfId="1082" xr:uid="{00000000-0005-0000-0000-000035040000}"/>
    <cellStyle name="20% - Accent1 79 30 2" xfId="1083" xr:uid="{00000000-0005-0000-0000-000036040000}"/>
    <cellStyle name="20% - Accent1 79 30 2 2" xfId="1084" xr:uid="{00000000-0005-0000-0000-000037040000}"/>
    <cellStyle name="20% - Accent1 79 30 3" xfId="1085" xr:uid="{00000000-0005-0000-0000-000038040000}"/>
    <cellStyle name="20% - Accent1 79 31" xfId="1086" xr:uid="{00000000-0005-0000-0000-000039040000}"/>
    <cellStyle name="20% - Accent1 79 31 2" xfId="1087" xr:uid="{00000000-0005-0000-0000-00003A040000}"/>
    <cellStyle name="20% - Accent1 79 31 2 2" xfId="1088" xr:uid="{00000000-0005-0000-0000-00003B040000}"/>
    <cellStyle name="20% - Accent1 79 31 3" xfId="1089" xr:uid="{00000000-0005-0000-0000-00003C040000}"/>
    <cellStyle name="20% - Accent1 79 32" xfId="1090" xr:uid="{00000000-0005-0000-0000-00003D040000}"/>
    <cellStyle name="20% - Accent1 79 32 2" xfId="1091" xr:uid="{00000000-0005-0000-0000-00003E040000}"/>
    <cellStyle name="20% - Accent1 79 32 2 2" xfId="1092" xr:uid="{00000000-0005-0000-0000-00003F040000}"/>
    <cellStyle name="20% - Accent1 79 32 3" xfId="1093" xr:uid="{00000000-0005-0000-0000-000040040000}"/>
    <cellStyle name="20% - Accent1 79 33" xfId="1094" xr:uid="{00000000-0005-0000-0000-000041040000}"/>
    <cellStyle name="20% - Accent1 79 33 2" xfId="1095" xr:uid="{00000000-0005-0000-0000-000042040000}"/>
    <cellStyle name="20% - Accent1 79 33 2 2" xfId="1096" xr:uid="{00000000-0005-0000-0000-000043040000}"/>
    <cellStyle name="20% - Accent1 79 33 3" xfId="1097" xr:uid="{00000000-0005-0000-0000-000044040000}"/>
    <cellStyle name="20% - Accent1 79 34" xfId="1098" xr:uid="{00000000-0005-0000-0000-000045040000}"/>
    <cellStyle name="20% - Accent1 79 34 2" xfId="1099" xr:uid="{00000000-0005-0000-0000-000046040000}"/>
    <cellStyle name="20% - Accent1 79 34 2 2" xfId="1100" xr:uid="{00000000-0005-0000-0000-000047040000}"/>
    <cellStyle name="20% - Accent1 79 34 3" xfId="1101" xr:uid="{00000000-0005-0000-0000-000048040000}"/>
    <cellStyle name="20% - Accent1 79 35" xfId="1102" xr:uid="{00000000-0005-0000-0000-000049040000}"/>
    <cellStyle name="20% - Accent1 79 35 2" xfId="1103" xr:uid="{00000000-0005-0000-0000-00004A040000}"/>
    <cellStyle name="20% - Accent1 79 35 2 2" xfId="1104" xr:uid="{00000000-0005-0000-0000-00004B040000}"/>
    <cellStyle name="20% - Accent1 79 35 3" xfId="1105" xr:uid="{00000000-0005-0000-0000-00004C040000}"/>
    <cellStyle name="20% - Accent1 79 36" xfId="1106" xr:uid="{00000000-0005-0000-0000-00004D040000}"/>
    <cellStyle name="20% - Accent1 79 36 2" xfId="1107" xr:uid="{00000000-0005-0000-0000-00004E040000}"/>
    <cellStyle name="20% - Accent1 79 36 2 2" xfId="1108" xr:uid="{00000000-0005-0000-0000-00004F040000}"/>
    <cellStyle name="20% - Accent1 79 36 3" xfId="1109" xr:uid="{00000000-0005-0000-0000-000050040000}"/>
    <cellStyle name="20% - Accent1 79 4" xfId="1110" xr:uid="{00000000-0005-0000-0000-000051040000}"/>
    <cellStyle name="20% - Accent1 79 4 2" xfId="1111" xr:uid="{00000000-0005-0000-0000-000052040000}"/>
    <cellStyle name="20% - Accent1 79 4 2 2" xfId="1112" xr:uid="{00000000-0005-0000-0000-000053040000}"/>
    <cellStyle name="20% - Accent1 79 4 3" xfId="1113" xr:uid="{00000000-0005-0000-0000-000054040000}"/>
    <cellStyle name="20% - Accent1 79 5" xfId="1114" xr:uid="{00000000-0005-0000-0000-000055040000}"/>
    <cellStyle name="20% - Accent1 79 5 2" xfId="1115" xr:uid="{00000000-0005-0000-0000-000056040000}"/>
    <cellStyle name="20% - Accent1 79 5 2 2" xfId="1116" xr:uid="{00000000-0005-0000-0000-000057040000}"/>
    <cellStyle name="20% - Accent1 79 5 3" xfId="1117" xr:uid="{00000000-0005-0000-0000-000058040000}"/>
    <cellStyle name="20% - Accent1 79 6" xfId="1118" xr:uid="{00000000-0005-0000-0000-000059040000}"/>
    <cellStyle name="20% - Accent1 79 6 2" xfId="1119" xr:uid="{00000000-0005-0000-0000-00005A040000}"/>
    <cellStyle name="20% - Accent1 79 6 2 2" xfId="1120" xr:uid="{00000000-0005-0000-0000-00005B040000}"/>
    <cellStyle name="20% - Accent1 79 6 3" xfId="1121" xr:uid="{00000000-0005-0000-0000-00005C040000}"/>
    <cellStyle name="20% - Accent1 79 7" xfId="1122" xr:uid="{00000000-0005-0000-0000-00005D040000}"/>
    <cellStyle name="20% - Accent1 79 7 2" xfId="1123" xr:uid="{00000000-0005-0000-0000-00005E040000}"/>
    <cellStyle name="20% - Accent1 79 7 2 2" xfId="1124" xr:uid="{00000000-0005-0000-0000-00005F040000}"/>
    <cellStyle name="20% - Accent1 79 7 3" xfId="1125" xr:uid="{00000000-0005-0000-0000-000060040000}"/>
    <cellStyle name="20% - Accent1 79 8" xfId="1126" xr:uid="{00000000-0005-0000-0000-000061040000}"/>
    <cellStyle name="20% - Accent1 79 8 2" xfId="1127" xr:uid="{00000000-0005-0000-0000-000062040000}"/>
    <cellStyle name="20% - Accent1 79 8 2 2" xfId="1128" xr:uid="{00000000-0005-0000-0000-000063040000}"/>
    <cellStyle name="20% - Accent1 79 8 3" xfId="1129" xr:uid="{00000000-0005-0000-0000-000064040000}"/>
    <cellStyle name="20% - Accent1 79 9" xfId="1130" xr:uid="{00000000-0005-0000-0000-000065040000}"/>
    <cellStyle name="20% - Accent1 79 9 2" xfId="1131" xr:uid="{00000000-0005-0000-0000-000066040000}"/>
    <cellStyle name="20% - Accent1 79 9 2 2" xfId="1132" xr:uid="{00000000-0005-0000-0000-000067040000}"/>
    <cellStyle name="20% - Accent1 79 9 3" xfId="1133" xr:uid="{00000000-0005-0000-0000-000068040000}"/>
    <cellStyle name="20% - Accent1 8" xfId="1134" xr:uid="{00000000-0005-0000-0000-000069040000}"/>
    <cellStyle name="20% - Accent1 8 2" xfId="1135" xr:uid="{00000000-0005-0000-0000-00006A040000}"/>
    <cellStyle name="20% - Accent1 8 2 2" xfId="1136" xr:uid="{00000000-0005-0000-0000-00006B040000}"/>
    <cellStyle name="20% - Accent1 8 3" xfId="1137" xr:uid="{00000000-0005-0000-0000-00006C040000}"/>
    <cellStyle name="20% - Accent1 8 4" xfId="1138" xr:uid="{00000000-0005-0000-0000-00006D040000}"/>
    <cellStyle name="20% - Accent1 80" xfId="1139" xr:uid="{00000000-0005-0000-0000-00006E040000}"/>
    <cellStyle name="20% - Accent1 80 2" xfId="1140" xr:uid="{00000000-0005-0000-0000-00006F040000}"/>
    <cellStyle name="20% - Accent1 81" xfId="1141" xr:uid="{00000000-0005-0000-0000-000070040000}"/>
    <cellStyle name="20% - Accent1 81 10" xfId="1142" xr:uid="{00000000-0005-0000-0000-000071040000}"/>
    <cellStyle name="20% - Accent1 81 10 2" xfId="1143" xr:uid="{00000000-0005-0000-0000-000072040000}"/>
    <cellStyle name="20% - Accent1 81 10 2 2" xfId="1144" xr:uid="{00000000-0005-0000-0000-000073040000}"/>
    <cellStyle name="20% - Accent1 81 10 3" xfId="1145" xr:uid="{00000000-0005-0000-0000-000074040000}"/>
    <cellStyle name="20% - Accent1 81 11" xfId="1146" xr:uid="{00000000-0005-0000-0000-000075040000}"/>
    <cellStyle name="20% - Accent1 81 11 2" xfId="1147" xr:uid="{00000000-0005-0000-0000-000076040000}"/>
    <cellStyle name="20% - Accent1 81 11 2 2" xfId="1148" xr:uid="{00000000-0005-0000-0000-000077040000}"/>
    <cellStyle name="20% - Accent1 81 11 3" xfId="1149" xr:uid="{00000000-0005-0000-0000-000078040000}"/>
    <cellStyle name="20% - Accent1 81 12" xfId="1150" xr:uid="{00000000-0005-0000-0000-000079040000}"/>
    <cellStyle name="20% - Accent1 81 12 2" xfId="1151" xr:uid="{00000000-0005-0000-0000-00007A040000}"/>
    <cellStyle name="20% - Accent1 81 12 2 2" xfId="1152" xr:uid="{00000000-0005-0000-0000-00007B040000}"/>
    <cellStyle name="20% - Accent1 81 12 3" xfId="1153" xr:uid="{00000000-0005-0000-0000-00007C040000}"/>
    <cellStyle name="20% - Accent1 81 13" xfId="1154" xr:uid="{00000000-0005-0000-0000-00007D040000}"/>
    <cellStyle name="20% - Accent1 81 13 2" xfId="1155" xr:uid="{00000000-0005-0000-0000-00007E040000}"/>
    <cellStyle name="20% - Accent1 81 13 2 2" xfId="1156" xr:uid="{00000000-0005-0000-0000-00007F040000}"/>
    <cellStyle name="20% - Accent1 81 13 3" xfId="1157" xr:uid="{00000000-0005-0000-0000-000080040000}"/>
    <cellStyle name="20% - Accent1 81 14" xfId="1158" xr:uid="{00000000-0005-0000-0000-000081040000}"/>
    <cellStyle name="20% - Accent1 81 14 2" xfId="1159" xr:uid="{00000000-0005-0000-0000-000082040000}"/>
    <cellStyle name="20% - Accent1 81 14 2 2" xfId="1160" xr:uid="{00000000-0005-0000-0000-000083040000}"/>
    <cellStyle name="20% - Accent1 81 14 3" xfId="1161" xr:uid="{00000000-0005-0000-0000-000084040000}"/>
    <cellStyle name="20% - Accent1 81 15" xfId="1162" xr:uid="{00000000-0005-0000-0000-000085040000}"/>
    <cellStyle name="20% - Accent1 81 15 2" xfId="1163" xr:uid="{00000000-0005-0000-0000-000086040000}"/>
    <cellStyle name="20% - Accent1 81 15 2 2" xfId="1164" xr:uid="{00000000-0005-0000-0000-000087040000}"/>
    <cellStyle name="20% - Accent1 81 15 3" xfId="1165" xr:uid="{00000000-0005-0000-0000-000088040000}"/>
    <cellStyle name="20% - Accent1 81 16" xfId="1166" xr:uid="{00000000-0005-0000-0000-000089040000}"/>
    <cellStyle name="20% - Accent1 81 16 2" xfId="1167" xr:uid="{00000000-0005-0000-0000-00008A040000}"/>
    <cellStyle name="20% - Accent1 81 16 2 2" xfId="1168" xr:uid="{00000000-0005-0000-0000-00008B040000}"/>
    <cellStyle name="20% - Accent1 81 16 3" xfId="1169" xr:uid="{00000000-0005-0000-0000-00008C040000}"/>
    <cellStyle name="20% - Accent1 81 17" xfId="1170" xr:uid="{00000000-0005-0000-0000-00008D040000}"/>
    <cellStyle name="20% - Accent1 81 17 2" xfId="1171" xr:uid="{00000000-0005-0000-0000-00008E040000}"/>
    <cellStyle name="20% - Accent1 81 17 2 2" xfId="1172" xr:uid="{00000000-0005-0000-0000-00008F040000}"/>
    <cellStyle name="20% - Accent1 81 17 3" xfId="1173" xr:uid="{00000000-0005-0000-0000-000090040000}"/>
    <cellStyle name="20% - Accent1 81 18" xfId="1174" xr:uid="{00000000-0005-0000-0000-000091040000}"/>
    <cellStyle name="20% - Accent1 81 18 2" xfId="1175" xr:uid="{00000000-0005-0000-0000-000092040000}"/>
    <cellStyle name="20% - Accent1 81 18 2 2" xfId="1176" xr:uid="{00000000-0005-0000-0000-000093040000}"/>
    <cellStyle name="20% - Accent1 81 18 3" xfId="1177" xr:uid="{00000000-0005-0000-0000-000094040000}"/>
    <cellStyle name="20% - Accent1 81 19" xfId="1178" xr:uid="{00000000-0005-0000-0000-000095040000}"/>
    <cellStyle name="20% - Accent1 81 19 2" xfId="1179" xr:uid="{00000000-0005-0000-0000-000096040000}"/>
    <cellStyle name="20% - Accent1 81 19 2 2" xfId="1180" xr:uid="{00000000-0005-0000-0000-000097040000}"/>
    <cellStyle name="20% - Accent1 81 19 3" xfId="1181" xr:uid="{00000000-0005-0000-0000-000098040000}"/>
    <cellStyle name="20% - Accent1 81 2" xfId="1182" xr:uid="{00000000-0005-0000-0000-000099040000}"/>
    <cellStyle name="20% - Accent1 81 2 2" xfId="1183" xr:uid="{00000000-0005-0000-0000-00009A040000}"/>
    <cellStyle name="20% - Accent1 81 2 2 2" xfId="1184" xr:uid="{00000000-0005-0000-0000-00009B040000}"/>
    <cellStyle name="20% - Accent1 81 2 3" xfId="1185" xr:uid="{00000000-0005-0000-0000-00009C040000}"/>
    <cellStyle name="20% - Accent1 81 20" xfId="1186" xr:uid="{00000000-0005-0000-0000-00009D040000}"/>
    <cellStyle name="20% - Accent1 81 20 2" xfId="1187" xr:uid="{00000000-0005-0000-0000-00009E040000}"/>
    <cellStyle name="20% - Accent1 81 20 2 2" xfId="1188" xr:uid="{00000000-0005-0000-0000-00009F040000}"/>
    <cellStyle name="20% - Accent1 81 20 3" xfId="1189" xr:uid="{00000000-0005-0000-0000-0000A0040000}"/>
    <cellStyle name="20% - Accent1 81 21" xfId="1190" xr:uid="{00000000-0005-0000-0000-0000A1040000}"/>
    <cellStyle name="20% - Accent1 81 21 2" xfId="1191" xr:uid="{00000000-0005-0000-0000-0000A2040000}"/>
    <cellStyle name="20% - Accent1 81 21 2 2" xfId="1192" xr:uid="{00000000-0005-0000-0000-0000A3040000}"/>
    <cellStyle name="20% - Accent1 81 21 3" xfId="1193" xr:uid="{00000000-0005-0000-0000-0000A4040000}"/>
    <cellStyle name="20% - Accent1 81 22" xfId="1194" xr:uid="{00000000-0005-0000-0000-0000A5040000}"/>
    <cellStyle name="20% - Accent1 81 22 2" xfId="1195" xr:uid="{00000000-0005-0000-0000-0000A6040000}"/>
    <cellStyle name="20% - Accent1 81 22 2 2" xfId="1196" xr:uid="{00000000-0005-0000-0000-0000A7040000}"/>
    <cellStyle name="20% - Accent1 81 22 3" xfId="1197" xr:uid="{00000000-0005-0000-0000-0000A8040000}"/>
    <cellStyle name="20% - Accent1 81 23" xfId="1198" xr:uid="{00000000-0005-0000-0000-0000A9040000}"/>
    <cellStyle name="20% - Accent1 81 23 2" xfId="1199" xr:uid="{00000000-0005-0000-0000-0000AA040000}"/>
    <cellStyle name="20% - Accent1 81 23 2 2" xfId="1200" xr:uid="{00000000-0005-0000-0000-0000AB040000}"/>
    <cellStyle name="20% - Accent1 81 23 3" xfId="1201" xr:uid="{00000000-0005-0000-0000-0000AC040000}"/>
    <cellStyle name="20% - Accent1 81 24" xfId="1202" xr:uid="{00000000-0005-0000-0000-0000AD040000}"/>
    <cellStyle name="20% - Accent1 81 24 2" xfId="1203" xr:uid="{00000000-0005-0000-0000-0000AE040000}"/>
    <cellStyle name="20% - Accent1 81 24 2 2" xfId="1204" xr:uid="{00000000-0005-0000-0000-0000AF040000}"/>
    <cellStyle name="20% - Accent1 81 24 3" xfId="1205" xr:uid="{00000000-0005-0000-0000-0000B0040000}"/>
    <cellStyle name="20% - Accent1 81 25" xfId="1206" xr:uid="{00000000-0005-0000-0000-0000B1040000}"/>
    <cellStyle name="20% - Accent1 81 25 2" xfId="1207" xr:uid="{00000000-0005-0000-0000-0000B2040000}"/>
    <cellStyle name="20% - Accent1 81 25 2 2" xfId="1208" xr:uid="{00000000-0005-0000-0000-0000B3040000}"/>
    <cellStyle name="20% - Accent1 81 25 3" xfId="1209" xr:uid="{00000000-0005-0000-0000-0000B4040000}"/>
    <cellStyle name="20% - Accent1 81 26" xfId="1210" xr:uid="{00000000-0005-0000-0000-0000B5040000}"/>
    <cellStyle name="20% - Accent1 81 26 2" xfId="1211" xr:uid="{00000000-0005-0000-0000-0000B6040000}"/>
    <cellStyle name="20% - Accent1 81 26 2 2" xfId="1212" xr:uid="{00000000-0005-0000-0000-0000B7040000}"/>
    <cellStyle name="20% - Accent1 81 26 3" xfId="1213" xr:uid="{00000000-0005-0000-0000-0000B8040000}"/>
    <cellStyle name="20% - Accent1 81 27" xfId="1214" xr:uid="{00000000-0005-0000-0000-0000B9040000}"/>
    <cellStyle name="20% - Accent1 81 27 2" xfId="1215" xr:uid="{00000000-0005-0000-0000-0000BA040000}"/>
    <cellStyle name="20% - Accent1 81 27 2 2" xfId="1216" xr:uid="{00000000-0005-0000-0000-0000BB040000}"/>
    <cellStyle name="20% - Accent1 81 27 3" xfId="1217" xr:uid="{00000000-0005-0000-0000-0000BC040000}"/>
    <cellStyle name="20% - Accent1 81 28" xfId="1218" xr:uid="{00000000-0005-0000-0000-0000BD040000}"/>
    <cellStyle name="20% - Accent1 81 28 2" xfId="1219" xr:uid="{00000000-0005-0000-0000-0000BE040000}"/>
    <cellStyle name="20% - Accent1 81 28 2 2" xfId="1220" xr:uid="{00000000-0005-0000-0000-0000BF040000}"/>
    <cellStyle name="20% - Accent1 81 28 3" xfId="1221" xr:uid="{00000000-0005-0000-0000-0000C0040000}"/>
    <cellStyle name="20% - Accent1 81 29" xfId="1222" xr:uid="{00000000-0005-0000-0000-0000C1040000}"/>
    <cellStyle name="20% - Accent1 81 29 2" xfId="1223" xr:uid="{00000000-0005-0000-0000-0000C2040000}"/>
    <cellStyle name="20% - Accent1 81 29 2 2" xfId="1224" xr:uid="{00000000-0005-0000-0000-0000C3040000}"/>
    <cellStyle name="20% - Accent1 81 29 3" xfId="1225" xr:uid="{00000000-0005-0000-0000-0000C4040000}"/>
    <cellStyle name="20% - Accent1 81 3" xfId="1226" xr:uid="{00000000-0005-0000-0000-0000C5040000}"/>
    <cellStyle name="20% - Accent1 81 3 2" xfId="1227" xr:uid="{00000000-0005-0000-0000-0000C6040000}"/>
    <cellStyle name="20% - Accent1 81 3 2 2" xfId="1228" xr:uid="{00000000-0005-0000-0000-0000C7040000}"/>
    <cellStyle name="20% - Accent1 81 3 3" xfId="1229" xr:uid="{00000000-0005-0000-0000-0000C8040000}"/>
    <cellStyle name="20% - Accent1 81 30" xfId="1230" xr:uid="{00000000-0005-0000-0000-0000C9040000}"/>
    <cellStyle name="20% - Accent1 81 30 2" xfId="1231" xr:uid="{00000000-0005-0000-0000-0000CA040000}"/>
    <cellStyle name="20% - Accent1 81 30 2 2" xfId="1232" xr:uid="{00000000-0005-0000-0000-0000CB040000}"/>
    <cellStyle name="20% - Accent1 81 30 3" xfId="1233" xr:uid="{00000000-0005-0000-0000-0000CC040000}"/>
    <cellStyle name="20% - Accent1 81 31" xfId="1234" xr:uid="{00000000-0005-0000-0000-0000CD040000}"/>
    <cellStyle name="20% - Accent1 81 31 2" xfId="1235" xr:uid="{00000000-0005-0000-0000-0000CE040000}"/>
    <cellStyle name="20% - Accent1 81 31 2 2" xfId="1236" xr:uid="{00000000-0005-0000-0000-0000CF040000}"/>
    <cellStyle name="20% - Accent1 81 31 3" xfId="1237" xr:uid="{00000000-0005-0000-0000-0000D0040000}"/>
    <cellStyle name="20% - Accent1 81 32" xfId="1238" xr:uid="{00000000-0005-0000-0000-0000D1040000}"/>
    <cellStyle name="20% - Accent1 81 32 2" xfId="1239" xr:uid="{00000000-0005-0000-0000-0000D2040000}"/>
    <cellStyle name="20% - Accent1 81 32 2 2" xfId="1240" xr:uid="{00000000-0005-0000-0000-0000D3040000}"/>
    <cellStyle name="20% - Accent1 81 32 3" xfId="1241" xr:uid="{00000000-0005-0000-0000-0000D4040000}"/>
    <cellStyle name="20% - Accent1 81 33" xfId="1242" xr:uid="{00000000-0005-0000-0000-0000D5040000}"/>
    <cellStyle name="20% - Accent1 81 33 2" xfId="1243" xr:uid="{00000000-0005-0000-0000-0000D6040000}"/>
    <cellStyle name="20% - Accent1 81 33 2 2" xfId="1244" xr:uid="{00000000-0005-0000-0000-0000D7040000}"/>
    <cellStyle name="20% - Accent1 81 33 3" xfId="1245" xr:uid="{00000000-0005-0000-0000-0000D8040000}"/>
    <cellStyle name="20% - Accent1 81 34" xfId="1246" xr:uid="{00000000-0005-0000-0000-0000D9040000}"/>
    <cellStyle name="20% - Accent1 81 34 2" xfId="1247" xr:uid="{00000000-0005-0000-0000-0000DA040000}"/>
    <cellStyle name="20% - Accent1 81 34 2 2" xfId="1248" xr:uid="{00000000-0005-0000-0000-0000DB040000}"/>
    <cellStyle name="20% - Accent1 81 34 3" xfId="1249" xr:uid="{00000000-0005-0000-0000-0000DC040000}"/>
    <cellStyle name="20% - Accent1 81 35" xfId="1250" xr:uid="{00000000-0005-0000-0000-0000DD040000}"/>
    <cellStyle name="20% - Accent1 81 35 2" xfId="1251" xr:uid="{00000000-0005-0000-0000-0000DE040000}"/>
    <cellStyle name="20% - Accent1 81 35 2 2" xfId="1252" xr:uid="{00000000-0005-0000-0000-0000DF040000}"/>
    <cellStyle name="20% - Accent1 81 35 3" xfId="1253" xr:uid="{00000000-0005-0000-0000-0000E0040000}"/>
    <cellStyle name="20% - Accent1 81 36" xfId="1254" xr:uid="{00000000-0005-0000-0000-0000E1040000}"/>
    <cellStyle name="20% - Accent1 81 36 2" xfId="1255" xr:uid="{00000000-0005-0000-0000-0000E2040000}"/>
    <cellStyle name="20% - Accent1 81 36 2 2" xfId="1256" xr:uid="{00000000-0005-0000-0000-0000E3040000}"/>
    <cellStyle name="20% - Accent1 81 36 3" xfId="1257" xr:uid="{00000000-0005-0000-0000-0000E4040000}"/>
    <cellStyle name="20% - Accent1 81 4" xfId="1258" xr:uid="{00000000-0005-0000-0000-0000E5040000}"/>
    <cellStyle name="20% - Accent1 81 4 2" xfId="1259" xr:uid="{00000000-0005-0000-0000-0000E6040000}"/>
    <cellStyle name="20% - Accent1 81 4 2 2" xfId="1260" xr:uid="{00000000-0005-0000-0000-0000E7040000}"/>
    <cellStyle name="20% - Accent1 81 4 3" xfId="1261" xr:uid="{00000000-0005-0000-0000-0000E8040000}"/>
    <cellStyle name="20% - Accent1 81 5" xfId="1262" xr:uid="{00000000-0005-0000-0000-0000E9040000}"/>
    <cellStyle name="20% - Accent1 81 5 2" xfId="1263" xr:uid="{00000000-0005-0000-0000-0000EA040000}"/>
    <cellStyle name="20% - Accent1 81 5 2 2" xfId="1264" xr:uid="{00000000-0005-0000-0000-0000EB040000}"/>
    <cellStyle name="20% - Accent1 81 5 3" xfId="1265" xr:uid="{00000000-0005-0000-0000-0000EC040000}"/>
    <cellStyle name="20% - Accent1 81 6" xfId="1266" xr:uid="{00000000-0005-0000-0000-0000ED040000}"/>
    <cellStyle name="20% - Accent1 81 6 2" xfId="1267" xr:uid="{00000000-0005-0000-0000-0000EE040000}"/>
    <cellStyle name="20% - Accent1 81 6 2 2" xfId="1268" xr:uid="{00000000-0005-0000-0000-0000EF040000}"/>
    <cellStyle name="20% - Accent1 81 6 3" xfId="1269" xr:uid="{00000000-0005-0000-0000-0000F0040000}"/>
    <cellStyle name="20% - Accent1 81 7" xfId="1270" xr:uid="{00000000-0005-0000-0000-0000F1040000}"/>
    <cellStyle name="20% - Accent1 81 7 2" xfId="1271" xr:uid="{00000000-0005-0000-0000-0000F2040000}"/>
    <cellStyle name="20% - Accent1 81 7 2 2" xfId="1272" xr:uid="{00000000-0005-0000-0000-0000F3040000}"/>
    <cellStyle name="20% - Accent1 81 7 3" xfId="1273" xr:uid="{00000000-0005-0000-0000-0000F4040000}"/>
    <cellStyle name="20% - Accent1 81 8" xfId="1274" xr:uid="{00000000-0005-0000-0000-0000F5040000}"/>
    <cellStyle name="20% - Accent1 81 8 2" xfId="1275" xr:uid="{00000000-0005-0000-0000-0000F6040000}"/>
    <cellStyle name="20% - Accent1 81 8 2 2" xfId="1276" xr:uid="{00000000-0005-0000-0000-0000F7040000}"/>
    <cellStyle name="20% - Accent1 81 8 3" xfId="1277" xr:uid="{00000000-0005-0000-0000-0000F8040000}"/>
    <cellStyle name="20% - Accent1 81 9" xfId="1278" xr:uid="{00000000-0005-0000-0000-0000F9040000}"/>
    <cellStyle name="20% - Accent1 81 9 2" xfId="1279" xr:uid="{00000000-0005-0000-0000-0000FA040000}"/>
    <cellStyle name="20% - Accent1 81 9 2 2" xfId="1280" xr:uid="{00000000-0005-0000-0000-0000FB040000}"/>
    <cellStyle name="20% - Accent1 81 9 3" xfId="1281" xr:uid="{00000000-0005-0000-0000-0000FC040000}"/>
    <cellStyle name="20% - Accent1 82" xfId="1282" xr:uid="{00000000-0005-0000-0000-0000FD040000}"/>
    <cellStyle name="20% - Accent1 82 2" xfId="1283" xr:uid="{00000000-0005-0000-0000-0000FE040000}"/>
    <cellStyle name="20% - Accent1 83" xfId="1284" xr:uid="{00000000-0005-0000-0000-0000FF040000}"/>
    <cellStyle name="20% - Accent1 83 10" xfId="1285" xr:uid="{00000000-0005-0000-0000-000000050000}"/>
    <cellStyle name="20% - Accent1 83 10 2" xfId="1286" xr:uid="{00000000-0005-0000-0000-000001050000}"/>
    <cellStyle name="20% - Accent1 83 10 2 2" xfId="1287" xr:uid="{00000000-0005-0000-0000-000002050000}"/>
    <cellStyle name="20% - Accent1 83 10 3" xfId="1288" xr:uid="{00000000-0005-0000-0000-000003050000}"/>
    <cellStyle name="20% - Accent1 83 11" xfId="1289" xr:uid="{00000000-0005-0000-0000-000004050000}"/>
    <cellStyle name="20% - Accent1 83 11 2" xfId="1290" xr:uid="{00000000-0005-0000-0000-000005050000}"/>
    <cellStyle name="20% - Accent1 83 11 2 2" xfId="1291" xr:uid="{00000000-0005-0000-0000-000006050000}"/>
    <cellStyle name="20% - Accent1 83 11 3" xfId="1292" xr:uid="{00000000-0005-0000-0000-000007050000}"/>
    <cellStyle name="20% - Accent1 83 12" xfId="1293" xr:uid="{00000000-0005-0000-0000-000008050000}"/>
    <cellStyle name="20% - Accent1 83 12 2" xfId="1294" xr:uid="{00000000-0005-0000-0000-000009050000}"/>
    <cellStyle name="20% - Accent1 83 12 2 2" xfId="1295" xr:uid="{00000000-0005-0000-0000-00000A050000}"/>
    <cellStyle name="20% - Accent1 83 12 3" xfId="1296" xr:uid="{00000000-0005-0000-0000-00000B050000}"/>
    <cellStyle name="20% - Accent1 83 13" xfId="1297" xr:uid="{00000000-0005-0000-0000-00000C050000}"/>
    <cellStyle name="20% - Accent1 83 13 2" xfId="1298" xr:uid="{00000000-0005-0000-0000-00000D050000}"/>
    <cellStyle name="20% - Accent1 83 13 2 2" xfId="1299" xr:uid="{00000000-0005-0000-0000-00000E050000}"/>
    <cellStyle name="20% - Accent1 83 13 3" xfId="1300" xr:uid="{00000000-0005-0000-0000-00000F050000}"/>
    <cellStyle name="20% - Accent1 83 14" xfId="1301" xr:uid="{00000000-0005-0000-0000-000010050000}"/>
    <cellStyle name="20% - Accent1 83 14 2" xfId="1302" xr:uid="{00000000-0005-0000-0000-000011050000}"/>
    <cellStyle name="20% - Accent1 83 14 2 2" xfId="1303" xr:uid="{00000000-0005-0000-0000-000012050000}"/>
    <cellStyle name="20% - Accent1 83 14 3" xfId="1304" xr:uid="{00000000-0005-0000-0000-000013050000}"/>
    <cellStyle name="20% - Accent1 83 15" xfId="1305" xr:uid="{00000000-0005-0000-0000-000014050000}"/>
    <cellStyle name="20% - Accent1 83 15 2" xfId="1306" xr:uid="{00000000-0005-0000-0000-000015050000}"/>
    <cellStyle name="20% - Accent1 83 15 2 2" xfId="1307" xr:uid="{00000000-0005-0000-0000-000016050000}"/>
    <cellStyle name="20% - Accent1 83 15 3" xfId="1308" xr:uid="{00000000-0005-0000-0000-000017050000}"/>
    <cellStyle name="20% - Accent1 83 16" xfId="1309" xr:uid="{00000000-0005-0000-0000-000018050000}"/>
    <cellStyle name="20% - Accent1 83 16 2" xfId="1310" xr:uid="{00000000-0005-0000-0000-000019050000}"/>
    <cellStyle name="20% - Accent1 83 16 2 2" xfId="1311" xr:uid="{00000000-0005-0000-0000-00001A050000}"/>
    <cellStyle name="20% - Accent1 83 16 3" xfId="1312" xr:uid="{00000000-0005-0000-0000-00001B050000}"/>
    <cellStyle name="20% - Accent1 83 17" xfId="1313" xr:uid="{00000000-0005-0000-0000-00001C050000}"/>
    <cellStyle name="20% - Accent1 83 17 2" xfId="1314" xr:uid="{00000000-0005-0000-0000-00001D050000}"/>
    <cellStyle name="20% - Accent1 83 17 2 2" xfId="1315" xr:uid="{00000000-0005-0000-0000-00001E050000}"/>
    <cellStyle name="20% - Accent1 83 17 3" xfId="1316" xr:uid="{00000000-0005-0000-0000-00001F050000}"/>
    <cellStyle name="20% - Accent1 83 18" xfId="1317" xr:uid="{00000000-0005-0000-0000-000020050000}"/>
    <cellStyle name="20% - Accent1 83 18 2" xfId="1318" xr:uid="{00000000-0005-0000-0000-000021050000}"/>
    <cellStyle name="20% - Accent1 83 18 2 2" xfId="1319" xr:uid="{00000000-0005-0000-0000-000022050000}"/>
    <cellStyle name="20% - Accent1 83 18 3" xfId="1320" xr:uid="{00000000-0005-0000-0000-000023050000}"/>
    <cellStyle name="20% - Accent1 83 19" xfId="1321" xr:uid="{00000000-0005-0000-0000-000024050000}"/>
    <cellStyle name="20% - Accent1 83 19 2" xfId="1322" xr:uid="{00000000-0005-0000-0000-000025050000}"/>
    <cellStyle name="20% - Accent1 83 19 2 2" xfId="1323" xr:uid="{00000000-0005-0000-0000-000026050000}"/>
    <cellStyle name="20% - Accent1 83 19 3" xfId="1324" xr:uid="{00000000-0005-0000-0000-000027050000}"/>
    <cellStyle name="20% - Accent1 83 2" xfId="1325" xr:uid="{00000000-0005-0000-0000-000028050000}"/>
    <cellStyle name="20% - Accent1 83 2 2" xfId="1326" xr:uid="{00000000-0005-0000-0000-000029050000}"/>
    <cellStyle name="20% - Accent1 83 2 2 2" xfId="1327" xr:uid="{00000000-0005-0000-0000-00002A050000}"/>
    <cellStyle name="20% - Accent1 83 2 3" xfId="1328" xr:uid="{00000000-0005-0000-0000-00002B050000}"/>
    <cellStyle name="20% - Accent1 83 20" xfId="1329" xr:uid="{00000000-0005-0000-0000-00002C050000}"/>
    <cellStyle name="20% - Accent1 83 20 2" xfId="1330" xr:uid="{00000000-0005-0000-0000-00002D050000}"/>
    <cellStyle name="20% - Accent1 83 20 2 2" xfId="1331" xr:uid="{00000000-0005-0000-0000-00002E050000}"/>
    <cellStyle name="20% - Accent1 83 20 3" xfId="1332" xr:uid="{00000000-0005-0000-0000-00002F050000}"/>
    <cellStyle name="20% - Accent1 83 21" xfId="1333" xr:uid="{00000000-0005-0000-0000-000030050000}"/>
    <cellStyle name="20% - Accent1 83 21 2" xfId="1334" xr:uid="{00000000-0005-0000-0000-000031050000}"/>
    <cellStyle name="20% - Accent1 83 21 2 2" xfId="1335" xr:uid="{00000000-0005-0000-0000-000032050000}"/>
    <cellStyle name="20% - Accent1 83 21 3" xfId="1336" xr:uid="{00000000-0005-0000-0000-000033050000}"/>
    <cellStyle name="20% - Accent1 83 22" xfId="1337" xr:uid="{00000000-0005-0000-0000-000034050000}"/>
    <cellStyle name="20% - Accent1 83 22 2" xfId="1338" xr:uid="{00000000-0005-0000-0000-000035050000}"/>
    <cellStyle name="20% - Accent1 83 22 2 2" xfId="1339" xr:uid="{00000000-0005-0000-0000-000036050000}"/>
    <cellStyle name="20% - Accent1 83 22 3" xfId="1340" xr:uid="{00000000-0005-0000-0000-000037050000}"/>
    <cellStyle name="20% - Accent1 83 23" xfId="1341" xr:uid="{00000000-0005-0000-0000-000038050000}"/>
    <cellStyle name="20% - Accent1 83 23 2" xfId="1342" xr:uid="{00000000-0005-0000-0000-000039050000}"/>
    <cellStyle name="20% - Accent1 83 23 2 2" xfId="1343" xr:uid="{00000000-0005-0000-0000-00003A050000}"/>
    <cellStyle name="20% - Accent1 83 23 3" xfId="1344" xr:uid="{00000000-0005-0000-0000-00003B050000}"/>
    <cellStyle name="20% - Accent1 83 24" xfId="1345" xr:uid="{00000000-0005-0000-0000-00003C050000}"/>
    <cellStyle name="20% - Accent1 83 24 2" xfId="1346" xr:uid="{00000000-0005-0000-0000-00003D050000}"/>
    <cellStyle name="20% - Accent1 83 24 2 2" xfId="1347" xr:uid="{00000000-0005-0000-0000-00003E050000}"/>
    <cellStyle name="20% - Accent1 83 24 3" xfId="1348" xr:uid="{00000000-0005-0000-0000-00003F050000}"/>
    <cellStyle name="20% - Accent1 83 25" xfId="1349" xr:uid="{00000000-0005-0000-0000-000040050000}"/>
    <cellStyle name="20% - Accent1 83 25 2" xfId="1350" xr:uid="{00000000-0005-0000-0000-000041050000}"/>
    <cellStyle name="20% - Accent1 83 25 2 2" xfId="1351" xr:uid="{00000000-0005-0000-0000-000042050000}"/>
    <cellStyle name="20% - Accent1 83 25 3" xfId="1352" xr:uid="{00000000-0005-0000-0000-000043050000}"/>
    <cellStyle name="20% - Accent1 83 26" xfId="1353" xr:uid="{00000000-0005-0000-0000-000044050000}"/>
    <cellStyle name="20% - Accent1 83 26 2" xfId="1354" xr:uid="{00000000-0005-0000-0000-000045050000}"/>
    <cellStyle name="20% - Accent1 83 26 2 2" xfId="1355" xr:uid="{00000000-0005-0000-0000-000046050000}"/>
    <cellStyle name="20% - Accent1 83 26 3" xfId="1356" xr:uid="{00000000-0005-0000-0000-000047050000}"/>
    <cellStyle name="20% - Accent1 83 27" xfId="1357" xr:uid="{00000000-0005-0000-0000-000048050000}"/>
    <cellStyle name="20% - Accent1 83 27 2" xfId="1358" xr:uid="{00000000-0005-0000-0000-000049050000}"/>
    <cellStyle name="20% - Accent1 83 27 2 2" xfId="1359" xr:uid="{00000000-0005-0000-0000-00004A050000}"/>
    <cellStyle name="20% - Accent1 83 27 3" xfId="1360" xr:uid="{00000000-0005-0000-0000-00004B050000}"/>
    <cellStyle name="20% - Accent1 83 28" xfId="1361" xr:uid="{00000000-0005-0000-0000-00004C050000}"/>
    <cellStyle name="20% - Accent1 83 28 2" xfId="1362" xr:uid="{00000000-0005-0000-0000-00004D050000}"/>
    <cellStyle name="20% - Accent1 83 28 2 2" xfId="1363" xr:uid="{00000000-0005-0000-0000-00004E050000}"/>
    <cellStyle name="20% - Accent1 83 28 3" xfId="1364" xr:uid="{00000000-0005-0000-0000-00004F050000}"/>
    <cellStyle name="20% - Accent1 83 29" xfId="1365" xr:uid="{00000000-0005-0000-0000-000050050000}"/>
    <cellStyle name="20% - Accent1 83 29 2" xfId="1366" xr:uid="{00000000-0005-0000-0000-000051050000}"/>
    <cellStyle name="20% - Accent1 83 29 2 2" xfId="1367" xr:uid="{00000000-0005-0000-0000-000052050000}"/>
    <cellStyle name="20% - Accent1 83 29 3" xfId="1368" xr:uid="{00000000-0005-0000-0000-000053050000}"/>
    <cellStyle name="20% - Accent1 83 3" xfId="1369" xr:uid="{00000000-0005-0000-0000-000054050000}"/>
    <cellStyle name="20% - Accent1 83 3 2" xfId="1370" xr:uid="{00000000-0005-0000-0000-000055050000}"/>
    <cellStyle name="20% - Accent1 83 3 2 2" xfId="1371" xr:uid="{00000000-0005-0000-0000-000056050000}"/>
    <cellStyle name="20% - Accent1 83 3 3" xfId="1372" xr:uid="{00000000-0005-0000-0000-000057050000}"/>
    <cellStyle name="20% - Accent1 83 30" xfId="1373" xr:uid="{00000000-0005-0000-0000-000058050000}"/>
    <cellStyle name="20% - Accent1 83 30 2" xfId="1374" xr:uid="{00000000-0005-0000-0000-000059050000}"/>
    <cellStyle name="20% - Accent1 83 30 2 2" xfId="1375" xr:uid="{00000000-0005-0000-0000-00005A050000}"/>
    <cellStyle name="20% - Accent1 83 30 3" xfId="1376" xr:uid="{00000000-0005-0000-0000-00005B050000}"/>
    <cellStyle name="20% - Accent1 83 31" xfId="1377" xr:uid="{00000000-0005-0000-0000-00005C050000}"/>
    <cellStyle name="20% - Accent1 83 31 2" xfId="1378" xr:uid="{00000000-0005-0000-0000-00005D050000}"/>
    <cellStyle name="20% - Accent1 83 31 2 2" xfId="1379" xr:uid="{00000000-0005-0000-0000-00005E050000}"/>
    <cellStyle name="20% - Accent1 83 31 3" xfId="1380" xr:uid="{00000000-0005-0000-0000-00005F050000}"/>
    <cellStyle name="20% - Accent1 83 32" xfId="1381" xr:uid="{00000000-0005-0000-0000-000060050000}"/>
    <cellStyle name="20% - Accent1 83 32 2" xfId="1382" xr:uid="{00000000-0005-0000-0000-000061050000}"/>
    <cellStyle name="20% - Accent1 83 32 2 2" xfId="1383" xr:uid="{00000000-0005-0000-0000-000062050000}"/>
    <cellStyle name="20% - Accent1 83 32 3" xfId="1384" xr:uid="{00000000-0005-0000-0000-000063050000}"/>
    <cellStyle name="20% - Accent1 83 33" xfId="1385" xr:uid="{00000000-0005-0000-0000-000064050000}"/>
    <cellStyle name="20% - Accent1 83 33 2" xfId="1386" xr:uid="{00000000-0005-0000-0000-000065050000}"/>
    <cellStyle name="20% - Accent1 83 33 2 2" xfId="1387" xr:uid="{00000000-0005-0000-0000-000066050000}"/>
    <cellStyle name="20% - Accent1 83 33 3" xfId="1388" xr:uid="{00000000-0005-0000-0000-000067050000}"/>
    <cellStyle name="20% - Accent1 83 34" xfId="1389" xr:uid="{00000000-0005-0000-0000-000068050000}"/>
    <cellStyle name="20% - Accent1 83 34 2" xfId="1390" xr:uid="{00000000-0005-0000-0000-000069050000}"/>
    <cellStyle name="20% - Accent1 83 34 2 2" xfId="1391" xr:uid="{00000000-0005-0000-0000-00006A050000}"/>
    <cellStyle name="20% - Accent1 83 34 3" xfId="1392" xr:uid="{00000000-0005-0000-0000-00006B050000}"/>
    <cellStyle name="20% - Accent1 83 35" xfId="1393" xr:uid="{00000000-0005-0000-0000-00006C050000}"/>
    <cellStyle name="20% - Accent1 83 35 2" xfId="1394" xr:uid="{00000000-0005-0000-0000-00006D050000}"/>
    <cellStyle name="20% - Accent1 83 35 2 2" xfId="1395" xr:uid="{00000000-0005-0000-0000-00006E050000}"/>
    <cellStyle name="20% - Accent1 83 35 3" xfId="1396" xr:uid="{00000000-0005-0000-0000-00006F050000}"/>
    <cellStyle name="20% - Accent1 83 36" xfId="1397" xr:uid="{00000000-0005-0000-0000-000070050000}"/>
    <cellStyle name="20% - Accent1 83 36 2" xfId="1398" xr:uid="{00000000-0005-0000-0000-000071050000}"/>
    <cellStyle name="20% - Accent1 83 36 2 2" xfId="1399" xr:uid="{00000000-0005-0000-0000-000072050000}"/>
    <cellStyle name="20% - Accent1 83 36 3" xfId="1400" xr:uid="{00000000-0005-0000-0000-000073050000}"/>
    <cellStyle name="20% - Accent1 83 4" xfId="1401" xr:uid="{00000000-0005-0000-0000-000074050000}"/>
    <cellStyle name="20% - Accent1 83 4 2" xfId="1402" xr:uid="{00000000-0005-0000-0000-000075050000}"/>
    <cellStyle name="20% - Accent1 83 4 2 2" xfId="1403" xr:uid="{00000000-0005-0000-0000-000076050000}"/>
    <cellStyle name="20% - Accent1 83 4 3" xfId="1404" xr:uid="{00000000-0005-0000-0000-000077050000}"/>
    <cellStyle name="20% - Accent1 83 5" xfId="1405" xr:uid="{00000000-0005-0000-0000-000078050000}"/>
    <cellStyle name="20% - Accent1 83 5 2" xfId="1406" xr:uid="{00000000-0005-0000-0000-000079050000}"/>
    <cellStyle name="20% - Accent1 83 5 2 2" xfId="1407" xr:uid="{00000000-0005-0000-0000-00007A050000}"/>
    <cellStyle name="20% - Accent1 83 5 3" xfId="1408" xr:uid="{00000000-0005-0000-0000-00007B050000}"/>
    <cellStyle name="20% - Accent1 83 6" xfId="1409" xr:uid="{00000000-0005-0000-0000-00007C050000}"/>
    <cellStyle name="20% - Accent1 83 6 2" xfId="1410" xr:uid="{00000000-0005-0000-0000-00007D050000}"/>
    <cellStyle name="20% - Accent1 83 6 2 2" xfId="1411" xr:uid="{00000000-0005-0000-0000-00007E050000}"/>
    <cellStyle name="20% - Accent1 83 6 3" xfId="1412" xr:uid="{00000000-0005-0000-0000-00007F050000}"/>
    <cellStyle name="20% - Accent1 83 7" xfId="1413" xr:uid="{00000000-0005-0000-0000-000080050000}"/>
    <cellStyle name="20% - Accent1 83 7 2" xfId="1414" xr:uid="{00000000-0005-0000-0000-000081050000}"/>
    <cellStyle name="20% - Accent1 83 7 2 2" xfId="1415" xr:uid="{00000000-0005-0000-0000-000082050000}"/>
    <cellStyle name="20% - Accent1 83 7 3" xfId="1416" xr:uid="{00000000-0005-0000-0000-000083050000}"/>
    <cellStyle name="20% - Accent1 83 8" xfId="1417" xr:uid="{00000000-0005-0000-0000-000084050000}"/>
    <cellStyle name="20% - Accent1 83 8 2" xfId="1418" xr:uid="{00000000-0005-0000-0000-000085050000}"/>
    <cellStyle name="20% - Accent1 83 8 2 2" xfId="1419" xr:uid="{00000000-0005-0000-0000-000086050000}"/>
    <cellStyle name="20% - Accent1 83 8 3" xfId="1420" xr:uid="{00000000-0005-0000-0000-000087050000}"/>
    <cellStyle name="20% - Accent1 83 9" xfId="1421" xr:uid="{00000000-0005-0000-0000-000088050000}"/>
    <cellStyle name="20% - Accent1 83 9 2" xfId="1422" xr:uid="{00000000-0005-0000-0000-000089050000}"/>
    <cellStyle name="20% - Accent1 83 9 2 2" xfId="1423" xr:uid="{00000000-0005-0000-0000-00008A050000}"/>
    <cellStyle name="20% - Accent1 83 9 3" xfId="1424" xr:uid="{00000000-0005-0000-0000-00008B050000}"/>
    <cellStyle name="20% - Accent1 84" xfId="1425" xr:uid="{00000000-0005-0000-0000-00008C050000}"/>
    <cellStyle name="20% - Accent1 84 10" xfId="1426" xr:uid="{00000000-0005-0000-0000-00008D050000}"/>
    <cellStyle name="20% - Accent1 84 10 2" xfId="1427" xr:uid="{00000000-0005-0000-0000-00008E050000}"/>
    <cellStyle name="20% - Accent1 84 10 2 2" xfId="1428" xr:uid="{00000000-0005-0000-0000-00008F050000}"/>
    <cellStyle name="20% - Accent1 84 10 3" xfId="1429" xr:uid="{00000000-0005-0000-0000-000090050000}"/>
    <cellStyle name="20% - Accent1 84 11" xfId="1430" xr:uid="{00000000-0005-0000-0000-000091050000}"/>
    <cellStyle name="20% - Accent1 84 11 2" xfId="1431" xr:uid="{00000000-0005-0000-0000-000092050000}"/>
    <cellStyle name="20% - Accent1 84 11 2 2" xfId="1432" xr:uid="{00000000-0005-0000-0000-000093050000}"/>
    <cellStyle name="20% - Accent1 84 11 3" xfId="1433" xr:uid="{00000000-0005-0000-0000-000094050000}"/>
    <cellStyle name="20% - Accent1 84 12" xfId="1434" xr:uid="{00000000-0005-0000-0000-000095050000}"/>
    <cellStyle name="20% - Accent1 84 12 2" xfId="1435" xr:uid="{00000000-0005-0000-0000-000096050000}"/>
    <cellStyle name="20% - Accent1 84 12 2 2" xfId="1436" xr:uid="{00000000-0005-0000-0000-000097050000}"/>
    <cellStyle name="20% - Accent1 84 12 3" xfId="1437" xr:uid="{00000000-0005-0000-0000-000098050000}"/>
    <cellStyle name="20% - Accent1 84 13" xfId="1438" xr:uid="{00000000-0005-0000-0000-000099050000}"/>
    <cellStyle name="20% - Accent1 84 13 2" xfId="1439" xr:uid="{00000000-0005-0000-0000-00009A050000}"/>
    <cellStyle name="20% - Accent1 84 13 2 2" xfId="1440" xr:uid="{00000000-0005-0000-0000-00009B050000}"/>
    <cellStyle name="20% - Accent1 84 13 3" xfId="1441" xr:uid="{00000000-0005-0000-0000-00009C050000}"/>
    <cellStyle name="20% - Accent1 84 14" xfId="1442" xr:uid="{00000000-0005-0000-0000-00009D050000}"/>
    <cellStyle name="20% - Accent1 84 14 2" xfId="1443" xr:uid="{00000000-0005-0000-0000-00009E050000}"/>
    <cellStyle name="20% - Accent1 84 14 2 2" xfId="1444" xr:uid="{00000000-0005-0000-0000-00009F050000}"/>
    <cellStyle name="20% - Accent1 84 14 3" xfId="1445" xr:uid="{00000000-0005-0000-0000-0000A0050000}"/>
    <cellStyle name="20% - Accent1 84 15" xfId="1446" xr:uid="{00000000-0005-0000-0000-0000A1050000}"/>
    <cellStyle name="20% - Accent1 84 15 2" xfId="1447" xr:uid="{00000000-0005-0000-0000-0000A2050000}"/>
    <cellStyle name="20% - Accent1 84 15 2 2" xfId="1448" xr:uid="{00000000-0005-0000-0000-0000A3050000}"/>
    <cellStyle name="20% - Accent1 84 15 3" xfId="1449" xr:uid="{00000000-0005-0000-0000-0000A4050000}"/>
    <cellStyle name="20% - Accent1 84 16" xfId="1450" xr:uid="{00000000-0005-0000-0000-0000A5050000}"/>
    <cellStyle name="20% - Accent1 84 16 2" xfId="1451" xr:uid="{00000000-0005-0000-0000-0000A6050000}"/>
    <cellStyle name="20% - Accent1 84 16 2 2" xfId="1452" xr:uid="{00000000-0005-0000-0000-0000A7050000}"/>
    <cellStyle name="20% - Accent1 84 16 3" xfId="1453" xr:uid="{00000000-0005-0000-0000-0000A8050000}"/>
    <cellStyle name="20% - Accent1 84 17" xfId="1454" xr:uid="{00000000-0005-0000-0000-0000A9050000}"/>
    <cellStyle name="20% - Accent1 84 17 2" xfId="1455" xr:uid="{00000000-0005-0000-0000-0000AA050000}"/>
    <cellStyle name="20% - Accent1 84 17 2 2" xfId="1456" xr:uid="{00000000-0005-0000-0000-0000AB050000}"/>
    <cellStyle name="20% - Accent1 84 17 3" xfId="1457" xr:uid="{00000000-0005-0000-0000-0000AC050000}"/>
    <cellStyle name="20% - Accent1 84 18" xfId="1458" xr:uid="{00000000-0005-0000-0000-0000AD050000}"/>
    <cellStyle name="20% - Accent1 84 18 2" xfId="1459" xr:uid="{00000000-0005-0000-0000-0000AE050000}"/>
    <cellStyle name="20% - Accent1 84 18 2 2" xfId="1460" xr:uid="{00000000-0005-0000-0000-0000AF050000}"/>
    <cellStyle name="20% - Accent1 84 18 3" xfId="1461" xr:uid="{00000000-0005-0000-0000-0000B0050000}"/>
    <cellStyle name="20% - Accent1 84 19" xfId="1462" xr:uid="{00000000-0005-0000-0000-0000B1050000}"/>
    <cellStyle name="20% - Accent1 84 19 2" xfId="1463" xr:uid="{00000000-0005-0000-0000-0000B2050000}"/>
    <cellStyle name="20% - Accent1 84 19 2 2" xfId="1464" xr:uid="{00000000-0005-0000-0000-0000B3050000}"/>
    <cellStyle name="20% - Accent1 84 19 3" xfId="1465" xr:uid="{00000000-0005-0000-0000-0000B4050000}"/>
    <cellStyle name="20% - Accent1 84 2" xfId="1466" xr:uid="{00000000-0005-0000-0000-0000B5050000}"/>
    <cellStyle name="20% - Accent1 84 2 2" xfId="1467" xr:uid="{00000000-0005-0000-0000-0000B6050000}"/>
    <cellStyle name="20% - Accent1 84 2 2 2" xfId="1468" xr:uid="{00000000-0005-0000-0000-0000B7050000}"/>
    <cellStyle name="20% - Accent1 84 2 3" xfId="1469" xr:uid="{00000000-0005-0000-0000-0000B8050000}"/>
    <cellStyle name="20% - Accent1 84 20" xfId="1470" xr:uid="{00000000-0005-0000-0000-0000B9050000}"/>
    <cellStyle name="20% - Accent1 84 20 2" xfId="1471" xr:uid="{00000000-0005-0000-0000-0000BA050000}"/>
    <cellStyle name="20% - Accent1 84 20 2 2" xfId="1472" xr:uid="{00000000-0005-0000-0000-0000BB050000}"/>
    <cellStyle name="20% - Accent1 84 20 3" xfId="1473" xr:uid="{00000000-0005-0000-0000-0000BC050000}"/>
    <cellStyle name="20% - Accent1 84 21" xfId="1474" xr:uid="{00000000-0005-0000-0000-0000BD050000}"/>
    <cellStyle name="20% - Accent1 84 21 2" xfId="1475" xr:uid="{00000000-0005-0000-0000-0000BE050000}"/>
    <cellStyle name="20% - Accent1 84 21 2 2" xfId="1476" xr:uid="{00000000-0005-0000-0000-0000BF050000}"/>
    <cellStyle name="20% - Accent1 84 21 3" xfId="1477" xr:uid="{00000000-0005-0000-0000-0000C0050000}"/>
    <cellStyle name="20% - Accent1 84 22" xfId="1478" xr:uid="{00000000-0005-0000-0000-0000C1050000}"/>
    <cellStyle name="20% - Accent1 84 22 2" xfId="1479" xr:uid="{00000000-0005-0000-0000-0000C2050000}"/>
    <cellStyle name="20% - Accent1 84 22 2 2" xfId="1480" xr:uid="{00000000-0005-0000-0000-0000C3050000}"/>
    <cellStyle name="20% - Accent1 84 22 3" xfId="1481" xr:uid="{00000000-0005-0000-0000-0000C4050000}"/>
    <cellStyle name="20% - Accent1 84 23" xfId="1482" xr:uid="{00000000-0005-0000-0000-0000C5050000}"/>
    <cellStyle name="20% - Accent1 84 23 2" xfId="1483" xr:uid="{00000000-0005-0000-0000-0000C6050000}"/>
    <cellStyle name="20% - Accent1 84 23 2 2" xfId="1484" xr:uid="{00000000-0005-0000-0000-0000C7050000}"/>
    <cellStyle name="20% - Accent1 84 23 3" xfId="1485" xr:uid="{00000000-0005-0000-0000-0000C8050000}"/>
    <cellStyle name="20% - Accent1 84 24" xfId="1486" xr:uid="{00000000-0005-0000-0000-0000C9050000}"/>
    <cellStyle name="20% - Accent1 84 24 2" xfId="1487" xr:uid="{00000000-0005-0000-0000-0000CA050000}"/>
    <cellStyle name="20% - Accent1 84 24 2 2" xfId="1488" xr:uid="{00000000-0005-0000-0000-0000CB050000}"/>
    <cellStyle name="20% - Accent1 84 24 3" xfId="1489" xr:uid="{00000000-0005-0000-0000-0000CC050000}"/>
    <cellStyle name="20% - Accent1 84 25" xfId="1490" xr:uid="{00000000-0005-0000-0000-0000CD050000}"/>
    <cellStyle name="20% - Accent1 84 25 2" xfId="1491" xr:uid="{00000000-0005-0000-0000-0000CE050000}"/>
    <cellStyle name="20% - Accent1 84 25 2 2" xfId="1492" xr:uid="{00000000-0005-0000-0000-0000CF050000}"/>
    <cellStyle name="20% - Accent1 84 25 3" xfId="1493" xr:uid="{00000000-0005-0000-0000-0000D0050000}"/>
    <cellStyle name="20% - Accent1 84 26" xfId="1494" xr:uid="{00000000-0005-0000-0000-0000D1050000}"/>
    <cellStyle name="20% - Accent1 84 26 2" xfId="1495" xr:uid="{00000000-0005-0000-0000-0000D2050000}"/>
    <cellStyle name="20% - Accent1 84 26 2 2" xfId="1496" xr:uid="{00000000-0005-0000-0000-0000D3050000}"/>
    <cellStyle name="20% - Accent1 84 26 3" xfId="1497" xr:uid="{00000000-0005-0000-0000-0000D4050000}"/>
    <cellStyle name="20% - Accent1 84 27" xfId="1498" xr:uid="{00000000-0005-0000-0000-0000D5050000}"/>
    <cellStyle name="20% - Accent1 84 27 2" xfId="1499" xr:uid="{00000000-0005-0000-0000-0000D6050000}"/>
    <cellStyle name="20% - Accent1 84 27 2 2" xfId="1500" xr:uid="{00000000-0005-0000-0000-0000D7050000}"/>
    <cellStyle name="20% - Accent1 84 27 3" xfId="1501" xr:uid="{00000000-0005-0000-0000-0000D8050000}"/>
    <cellStyle name="20% - Accent1 84 28" xfId="1502" xr:uid="{00000000-0005-0000-0000-0000D9050000}"/>
    <cellStyle name="20% - Accent1 84 28 2" xfId="1503" xr:uid="{00000000-0005-0000-0000-0000DA050000}"/>
    <cellStyle name="20% - Accent1 84 28 2 2" xfId="1504" xr:uid="{00000000-0005-0000-0000-0000DB050000}"/>
    <cellStyle name="20% - Accent1 84 28 3" xfId="1505" xr:uid="{00000000-0005-0000-0000-0000DC050000}"/>
    <cellStyle name="20% - Accent1 84 29" xfId="1506" xr:uid="{00000000-0005-0000-0000-0000DD050000}"/>
    <cellStyle name="20% - Accent1 84 29 2" xfId="1507" xr:uid="{00000000-0005-0000-0000-0000DE050000}"/>
    <cellStyle name="20% - Accent1 84 29 2 2" xfId="1508" xr:uid="{00000000-0005-0000-0000-0000DF050000}"/>
    <cellStyle name="20% - Accent1 84 29 3" xfId="1509" xr:uid="{00000000-0005-0000-0000-0000E0050000}"/>
    <cellStyle name="20% - Accent1 84 3" xfId="1510" xr:uid="{00000000-0005-0000-0000-0000E1050000}"/>
    <cellStyle name="20% - Accent1 84 3 2" xfId="1511" xr:uid="{00000000-0005-0000-0000-0000E2050000}"/>
    <cellStyle name="20% - Accent1 84 3 2 2" xfId="1512" xr:uid="{00000000-0005-0000-0000-0000E3050000}"/>
    <cellStyle name="20% - Accent1 84 3 3" xfId="1513" xr:uid="{00000000-0005-0000-0000-0000E4050000}"/>
    <cellStyle name="20% - Accent1 84 30" xfId="1514" xr:uid="{00000000-0005-0000-0000-0000E5050000}"/>
    <cellStyle name="20% - Accent1 84 30 2" xfId="1515" xr:uid="{00000000-0005-0000-0000-0000E6050000}"/>
    <cellStyle name="20% - Accent1 84 30 2 2" xfId="1516" xr:uid="{00000000-0005-0000-0000-0000E7050000}"/>
    <cellStyle name="20% - Accent1 84 30 3" xfId="1517" xr:uid="{00000000-0005-0000-0000-0000E8050000}"/>
    <cellStyle name="20% - Accent1 84 31" xfId="1518" xr:uid="{00000000-0005-0000-0000-0000E9050000}"/>
    <cellStyle name="20% - Accent1 84 31 2" xfId="1519" xr:uid="{00000000-0005-0000-0000-0000EA050000}"/>
    <cellStyle name="20% - Accent1 84 31 2 2" xfId="1520" xr:uid="{00000000-0005-0000-0000-0000EB050000}"/>
    <cellStyle name="20% - Accent1 84 31 3" xfId="1521" xr:uid="{00000000-0005-0000-0000-0000EC050000}"/>
    <cellStyle name="20% - Accent1 84 32" xfId="1522" xr:uid="{00000000-0005-0000-0000-0000ED050000}"/>
    <cellStyle name="20% - Accent1 84 32 2" xfId="1523" xr:uid="{00000000-0005-0000-0000-0000EE050000}"/>
    <cellStyle name="20% - Accent1 84 32 2 2" xfId="1524" xr:uid="{00000000-0005-0000-0000-0000EF050000}"/>
    <cellStyle name="20% - Accent1 84 32 3" xfId="1525" xr:uid="{00000000-0005-0000-0000-0000F0050000}"/>
    <cellStyle name="20% - Accent1 84 33" xfId="1526" xr:uid="{00000000-0005-0000-0000-0000F1050000}"/>
    <cellStyle name="20% - Accent1 84 33 2" xfId="1527" xr:uid="{00000000-0005-0000-0000-0000F2050000}"/>
    <cellStyle name="20% - Accent1 84 33 2 2" xfId="1528" xr:uid="{00000000-0005-0000-0000-0000F3050000}"/>
    <cellStyle name="20% - Accent1 84 33 3" xfId="1529" xr:uid="{00000000-0005-0000-0000-0000F4050000}"/>
    <cellStyle name="20% - Accent1 84 34" xfId="1530" xr:uid="{00000000-0005-0000-0000-0000F5050000}"/>
    <cellStyle name="20% - Accent1 84 34 2" xfId="1531" xr:uid="{00000000-0005-0000-0000-0000F6050000}"/>
    <cellStyle name="20% - Accent1 84 34 2 2" xfId="1532" xr:uid="{00000000-0005-0000-0000-0000F7050000}"/>
    <cellStyle name="20% - Accent1 84 34 3" xfId="1533" xr:uid="{00000000-0005-0000-0000-0000F8050000}"/>
    <cellStyle name="20% - Accent1 84 35" xfId="1534" xr:uid="{00000000-0005-0000-0000-0000F9050000}"/>
    <cellStyle name="20% - Accent1 84 35 2" xfId="1535" xr:uid="{00000000-0005-0000-0000-0000FA050000}"/>
    <cellStyle name="20% - Accent1 84 35 2 2" xfId="1536" xr:uid="{00000000-0005-0000-0000-0000FB050000}"/>
    <cellStyle name="20% - Accent1 84 35 3" xfId="1537" xr:uid="{00000000-0005-0000-0000-0000FC050000}"/>
    <cellStyle name="20% - Accent1 84 36" xfId="1538" xr:uid="{00000000-0005-0000-0000-0000FD050000}"/>
    <cellStyle name="20% - Accent1 84 36 2" xfId="1539" xr:uid="{00000000-0005-0000-0000-0000FE050000}"/>
    <cellStyle name="20% - Accent1 84 36 2 2" xfId="1540" xr:uid="{00000000-0005-0000-0000-0000FF050000}"/>
    <cellStyle name="20% - Accent1 84 36 3" xfId="1541" xr:uid="{00000000-0005-0000-0000-000000060000}"/>
    <cellStyle name="20% - Accent1 84 4" xfId="1542" xr:uid="{00000000-0005-0000-0000-000001060000}"/>
    <cellStyle name="20% - Accent1 84 4 2" xfId="1543" xr:uid="{00000000-0005-0000-0000-000002060000}"/>
    <cellStyle name="20% - Accent1 84 4 2 2" xfId="1544" xr:uid="{00000000-0005-0000-0000-000003060000}"/>
    <cellStyle name="20% - Accent1 84 4 3" xfId="1545" xr:uid="{00000000-0005-0000-0000-000004060000}"/>
    <cellStyle name="20% - Accent1 84 5" xfId="1546" xr:uid="{00000000-0005-0000-0000-000005060000}"/>
    <cellStyle name="20% - Accent1 84 5 2" xfId="1547" xr:uid="{00000000-0005-0000-0000-000006060000}"/>
    <cellStyle name="20% - Accent1 84 5 2 2" xfId="1548" xr:uid="{00000000-0005-0000-0000-000007060000}"/>
    <cellStyle name="20% - Accent1 84 5 3" xfId="1549" xr:uid="{00000000-0005-0000-0000-000008060000}"/>
    <cellStyle name="20% - Accent1 84 6" xfId="1550" xr:uid="{00000000-0005-0000-0000-000009060000}"/>
    <cellStyle name="20% - Accent1 84 6 2" xfId="1551" xr:uid="{00000000-0005-0000-0000-00000A060000}"/>
    <cellStyle name="20% - Accent1 84 6 2 2" xfId="1552" xr:uid="{00000000-0005-0000-0000-00000B060000}"/>
    <cellStyle name="20% - Accent1 84 6 3" xfId="1553" xr:uid="{00000000-0005-0000-0000-00000C060000}"/>
    <cellStyle name="20% - Accent1 84 7" xfId="1554" xr:uid="{00000000-0005-0000-0000-00000D060000}"/>
    <cellStyle name="20% - Accent1 84 7 2" xfId="1555" xr:uid="{00000000-0005-0000-0000-00000E060000}"/>
    <cellStyle name="20% - Accent1 84 7 2 2" xfId="1556" xr:uid="{00000000-0005-0000-0000-00000F060000}"/>
    <cellStyle name="20% - Accent1 84 7 3" xfId="1557" xr:uid="{00000000-0005-0000-0000-000010060000}"/>
    <cellStyle name="20% - Accent1 84 8" xfId="1558" xr:uid="{00000000-0005-0000-0000-000011060000}"/>
    <cellStyle name="20% - Accent1 84 8 2" xfId="1559" xr:uid="{00000000-0005-0000-0000-000012060000}"/>
    <cellStyle name="20% - Accent1 84 8 2 2" xfId="1560" xr:uid="{00000000-0005-0000-0000-000013060000}"/>
    <cellStyle name="20% - Accent1 84 8 3" xfId="1561" xr:uid="{00000000-0005-0000-0000-000014060000}"/>
    <cellStyle name="20% - Accent1 84 9" xfId="1562" xr:uid="{00000000-0005-0000-0000-000015060000}"/>
    <cellStyle name="20% - Accent1 84 9 2" xfId="1563" xr:uid="{00000000-0005-0000-0000-000016060000}"/>
    <cellStyle name="20% - Accent1 84 9 2 2" xfId="1564" xr:uid="{00000000-0005-0000-0000-000017060000}"/>
    <cellStyle name="20% - Accent1 84 9 3" xfId="1565" xr:uid="{00000000-0005-0000-0000-000018060000}"/>
    <cellStyle name="20% - Accent1 85" xfId="1566" xr:uid="{00000000-0005-0000-0000-000019060000}"/>
    <cellStyle name="20% - Accent1 85 10" xfId="1567" xr:uid="{00000000-0005-0000-0000-00001A060000}"/>
    <cellStyle name="20% - Accent1 85 10 2" xfId="1568" xr:uid="{00000000-0005-0000-0000-00001B060000}"/>
    <cellStyle name="20% - Accent1 85 10 2 2" xfId="1569" xr:uid="{00000000-0005-0000-0000-00001C060000}"/>
    <cellStyle name="20% - Accent1 85 10 3" xfId="1570" xr:uid="{00000000-0005-0000-0000-00001D060000}"/>
    <cellStyle name="20% - Accent1 85 11" xfId="1571" xr:uid="{00000000-0005-0000-0000-00001E060000}"/>
    <cellStyle name="20% - Accent1 85 11 2" xfId="1572" xr:uid="{00000000-0005-0000-0000-00001F060000}"/>
    <cellStyle name="20% - Accent1 85 11 2 2" xfId="1573" xr:uid="{00000000-0005-0000-0000-000020060000}"/>
    <cellStyle name="20% - Accent1 85 11 3" xfId="1574" xr:uid="{00000000-0005-0000-0000-000021060000}"/>
    <cellStyle name="20% - Accent1 85 12" xfId="1575" xr:uid="{00000000-0005-0000-0000-000022060000}"/>
    <cellStyle name="20% - Accent1 85 12 2" xfId="1576" xr:uid="{00000000-0005-0000-0000-000023060000}"/>
    <cellStyle name="20% - Accent1 85 12 2 2" xfId="1577" xr:uid="{00000000-0005-0000-0000-000024060000}"/>
    <cellStyle name="20% - Accent1 85 12 3" xfId="1578" xr:uid="{00000000-0005-0000-0000-000025060000}"/>
    <cellStyle name="20% - Accent1 85 13" xfId="1579" xr:uid="{00000000-0005-0000-0000-000026060000}"/>
    <cellStyle name="20% - Accent1 85 13 2" xfId="1580" xr:uid="{00000000-0005-0000-0000-000027060000}"/>
    <cellStyle name="20% - Accent1 85 13 2 2" xfId="1581" xr:uid="{00000000-0005-0000-0000-000028060000}"/>
    <cellStyle name="20% - Accent1 85 13 3" xfId="1582" xr:uid="{00000000-0005-0000-0000-000029060000}"/>
    <cellStyle name="20% - Accent1 85 14" xfId="1583" xr:uid="{00000000-0005-0000-0000-00002A060000}"/>
    <cellStyle name="20% - Accent1 85 14 2" xfId="1584" xr:uid="{00000000-0005-0000-0000-00002B060000}"/>
    <cellStyle name="20% - Accent1 85 14 2 2" xfId="1585" xr:uid="{00000000-0005-0000-0000-00002C060000}"/>
    <cellStyle name="20% - Accent1 85 14 3" xfId="1586" xr:uid="{00000000-0005-0000-0000-00002D060000}"/>
    <cellStyle name="20% - Accent1 85 15" xfId="1587" xr:uid="{00000000-0005-0000-0000-00002E060000}"/>
    <cellStyle name="20% - Accent1 85 15 2" xfId="1588" xr:uid="{00000000-0005-0000-0000-00002F060000}"/>
    <cellStyle name="20% - Accent1 85 15 2 2" xfId="1589" xr:uid="{00000000-0005-0000-0000-000030060000}"/>
    <cellStyle name="20% - Accent1 85 15 3" xfId="1590" xr:uid="{00000000-0005-0000-0000-000031060000}"/>
    <cellStyle name="20% - Accent1 85 16" xfId="1591" xr:uid="{00000000-0005-0000-0000-000032060000}"/>
    <cellStyle name="20% - Accent1 85 16 2" xfId="1592" xr:uid="{00000000-0005-0000-0000-000033060000}"/>
    <cellStyle name="20% - Accent1 85 16 2 2" xfId="1593" xr:uid="{00000000-0005-0000-0000-000034060000}"/>
    <cellStyle name="20% - Accent1 85 16 3" xfId="1594" xr:uid="{00000000-0005-0000-0000-000035060000}"/>
    <cellStyle name="20% - Accent1 85 17" xfId="1595" xr:uid="{00000000-0005-0000-0000-000036060000}"/>
    <cellStyle name="20% - Accent1 85 17 2" xfId="1596" xr:uid="{00000000-0005-0000-0000-000037060000}"/>
    <cellStyle name="20% - Accent1 85 17 2 2" xfId="1597" xr:uid="{00000000-0005-0000-0000-000038060000}"/>
    <cellStyle name="20% - Accent1 85 17 3" xfId="1598" xr:uid="{00000000-0005-0000-0000-000039060000}"/>
    <cellStyle name="20% - Accent1 85 18" xfId="1599" xr:uid="{00000000-0005-0000-0000-00003A060000}"/>
    <cellStyle name="20% - Accent1 85 18 2" xfId="1600" xr:uid="{00000000-0005-0000-0000-00003B060000}"/>
    <cellStyle name="20% - Accent1 85 18 2 2" xfId="1601" xr:uid="{00000000-0005-0000-0000-00003C060000}"/>
    <cellStyle name="20% - Accent1 85 18 3" xfId="1602" xr:uid="{00000000-0005-0000-0000-00003D060000}"/>
    <cellStyle name="20% - Accent1 85 19" xfId="1603" xr:uid="{00000000-0005-0000-0000-00003E060000}"/>
    <cellStyle name="20% - Accent1 85 19 2" xfId="1604" xr:uid="{00000000-0005-0000-0000-00003F060000}"/>
    <cellStyle name="20% - Accent1 85 19 2 2" xfId="1605" xr:uid="{00000000-0005-0000-0000-000040060000}"/>
    <cellStyle name="20% - Accent1 85 19 3" xfId="1606" xr:uid="{00000000-0005-0000-0000-000041060000}"/>
    <cellStyle name="20% - Accent1 85 2" xfId="1607" xr:uid="{00000000-0005-0000-0000-000042060000}"/>
    <cellStyle name="20% - Accent1 85 2 2" xfId="1608" xr:uid="{00000000-0005-0000-0000-000043060000}"/>
    <cellStyle name="20% - Accent1 85 2 2 2" xfId="1609" xr:uid="{00000000-0005-0000-0000-000044060000}"/>
    <cellStyle name="20% - Accent1 85 2 3" xfId="1610" xr:uid="{00000000-0005-0000-0000-000045060000}"/>
    <cellStyle name="20% - Accent1 85 20" xfId="1611" xr:uid="{00000000-0005-0000-0000-000046060000}"/>
    <cellStyle name="20% - Accent1 85 20 2" xfId="1612" xr:uid="{00000000-0005-0000-0000-000047060000}"/>
    <cellStyle name="20% - Accent1 85 20 2 2" xfId="1613" xr:uid="{00000000-0005-0000-0000-000048060000}"/>
    <cellStyle name="20% - Accent1 85 20 3" xfId="1614" xr:uid="{00000000-0005-0000-0000-000049060000}"/>
    <cellStyle name="20% - Accent1 85 21" xfId="1615" xr:uid="{00000000-0005-0000-0000-00004A060000}"/>
    <cellStyle name="20% - Accent1 85 21 2" xfId="1616" xr:uid="{00000000-0005-0000-0000-00004B060000}"/>
    <cellStyle name="20% - Accent1 85 21 2 2" xfId="1617" xr:uid="{00000000-0005-0000-0000-00004C060000}"/>
    <cellStyle name="20% - Accent1 85 21 3" xfId="1618" xr:uid="{00000000-0005-0000-0000-00004D060000}"/>
    <cellStyle name="20% - Accent1 85 22" xfId="1619" xr:uid="{00000000-0005-0000-0000-00004E060000}"/>
    <cellStyle name="20% - Accent1 85 22 2" xfId="1620" xr:uid="{00000000-0005-0000-0000-00004F060000}"/>
    <cellStyle name="20% - Accent1 85 22 2 2" xfId="1621" xr:uid="{00000000-0005-0000-0000-000050060000}"/>
    <cellStyle name="20% - Accent1 85 22 3" xfId="1622" xr:uid="{00000000-0005-0000-0000-000051060000}"/>
    <cellStyle name="20% - Accent1 85 23" xfId="1623" xr:uid="{00000000-0005-0000-0000-000052060000}"/>
    <cellStyle name="20% - Accent1 85 23 2" xfId="1624" xr:uid="{00000000-0005-0000-0000-000053060000}"/>
    <cellStyle name="20% - Accent1 85 23 2 2" xfId="1625" xr:uid="{00000000-0005-0000-0000-000054060000}"/>
    <cellStyle name="20% - Accent1 85 23 3" xfId="1626" xr:uid="{00000000-0005-0000-0000-000055060000}"/>
    <cellStyle name="20% - Accent1 85 24" xfId="1627" xr:uid="{00000000-0005-0000-0000-000056060000}"/>
    <cellStyle name="20% - Accent1 85 24 2" xfId="1628" xr:uid="{00000000-0005-0000-0000-000057060000}"/>
    <cellStyle name="20% - Accent1 85 24 2 2" xfId="1629" xr:uid="{00000000-0005-0000-0000-000058060000}"/>
    <cellStyle name="20% - Accent1 85 24 3" xfId="1630" xr:uid="{00000000-0005-0000-0000-000059060000}"/>
    <cellStyle name="20% - Accent1 85 25" xfId="1631" xr:uid="{00000000-0005-0000-0000-00005A060000}"/>
    <cellStyle name="20% - Accent1 85 25 2" xfId="1632" xr:uid="{00000000-0005-0000-0000-00005B060000}"/>
    <cellStyle name="20% - Accent1 85 25 2 2" xfId="1633" xr:uid="{00000000-0005-0000-0000-00005C060000}"/>
    <cellStyle name="20% - Accent1 85 25 3" xfId="1634" xr:uid="{00000000-0005-0000-0000-00005D060000}"/>
    <cellStyle name="20% - Accent1 85 26" xfId="1635" xr:uid="{00000000-0005-0000-0000-00005E060000}"/>
    <cellStyle name="20% - Accent1 85 26 2" xfId="1636" xr:uid="{00000000-0005-0000-0000-00005F060000}"/>
    <cellStyle name="20% - Accent1 85 26 2 2" xfId="1637" xr:uid="{00000000-0005-0000-0000-000060060000}"/>
    <cellStyle name="20% - Accent1 85 26 3" xfId="1638" xr:uid="{00000000-0005-0000-0000-000061060000}"/>
    <cellStyle name="20% - Accent1 85 27" xfId="1639" xr:uid="{00000000-0005-0000-0000-000062060000}"/>
    <cellStyle name="20% - Accent1 85 27 2" xfId="1640" xr:uid="{00000000-0005-0000-0000-000063060000}"/>
    <cellStyle name="20% - Accent1 85 27 2 2" xfId="1641" xr:uid="{00000000-0005-0000-0000-000064060000}"/>
    <cellStyle name="20% - Accent1 85 27 3" xfId="1642" xr:uid="{00000000-0005-0000-0000-000065060000}"/>
    <cellStyle name="20% - Accent1 85 28" xfId="1643" xr:uid="{00000000-0005-0000-0000-000066060000}"/>
    <cellStyle name="20% - Accent1 85 28 2" xfId="1644" xr:uid="{00000000-0005-0000-0000-000067060000}"/>
    <cellStyle name="20% - Accent1 85 28 2 2" xfId="1645" xr:uid="{00000000-0005-0000-0000-000068060000}"/>
    <cellStyle name="20% - Accent1 85 28 3" xfId="1646" xr:uid="{00000000-0005-0000-0000-000069060000}"/>
    <cellStyle name="20% - Accent1 85 29" xfId="1647" xr:uid="{00000000-0005-0000-0000-00006A060000}"/>
    <cellStyle name="20% - Accent1 85 29 2" xfId="1648" xr:uid="{00000000-0005-0000-0000-00006B060000}"/>
    <cellStyle name="20% - Accent1 85 29 2 2" xfId="1649" xr:uid="{00000000-0005-0000-0000-00006C060000}"/>
    <cellStyle name="20% - Accent1 85 29 3" xfId="1650" xr:uid="{00000000-0005-0000-0000-00006D060000}"/>
    <cellStyle name="20% - Accent1 85 3" xfId="1651" xr:uid="{00000000-0005-0000-0000-00006E060000}"/>
    <cellStyle name="20% - Accent1 85 3 2" xfId="1652" xr:uid="{00000000-0005-0000-0000-00006F060000}"/>
    <cellStyle name="20% - Accent1 85 3 2 2" xfId="1653" xr:uid="{00000000-0005-0000-0000-000070060000}"/>
    <cellStyle name="20% - Accent1 85 3 3" xfId="1654" xr:uid="{00000000-0005-0000-0000-000071060000}"/>
    <cellStyle name="20% - Accent1 85 30" xfId="1655" xr:uid="{00000000-0005-0000-0000-000072060000}"/>
    <cellStyle name="20% - Accent1 85 30 2" xfId="1656" xr:uid="{00000000-0005-0000-0000-000073060000}"/>
    <cellStyle name="20% - Accent1 85 30 2 2" xfId="1657" xr:uid="{00000000-0005-0000-0000-000074060000}"/>
    <cellStyle name="20% - Accent1 85 30 3" xfId="1658" xr:uid="{00000000-0005-0000-0000-000075060000}"/>
    <cellStyle name="20% - Accent1 85 31" xfId="1659" xr:uid="{00000000-0005-0000-0000-000076060000}"/>
    <cellStyle name="20% - Accent1 85 31 2" xfId="1660" xr:uid="{00000000-0005-0000-0000-000077060000}"/>
    <cellStyle name="20% - Accent1 85 31 2 2" xfId="1661" xr:uid="{00000000-0005-0000-0000-000078060000}"/>
    <cellStyle name="20% - Accent1 85 31 3" xfId="1662" xr:uid="{00000000-0005-0000-0000-000079060000}"/>
    <cellStyle name="20% - Accent1 85 32" xfId="1663" xr:uid="{00000000-0005-0000-0000-00007A060000}"/>
    <cellStyle name="20% - Accent1 85 32 2" xfId="1664" xr:uid="{00000000-0005-0000-0000-00007B060000}"/>
    <cellStyle name="20% - Accent1 85 32 2 2" xfId="1665" xr:uid="{00000000-0005-0000-0000-00007C060000}"/>
    <cellStyle name="20% - Accent1 85 32 3" xfId="1666" xr:uid="{00000000-0005-0000-0000-00007D060000}"/>
    <cellStyle name="20% - Accent1 85 33" xfId="1667" xr:uid="{00000000-0005-0000-0000-00007E060000}"/>
    <cellStyle name="20% - Accent1 85 33 2" xfId="1668" xr:uid="{00000000-0005-0000-0000-00007F060000}"/>
    <cellStyle name="20% - Accent1 85 33 2 2" xfId="1669" xr:uid="{00000000-0005-0000-0000-000080060000}"/>
    <cellStyle name="20% - Accent1 85 33 3" xfId="1670" xr:uid="{00000000-0005-0000-0000-000081060000}"/>
    <cellStyle name="20% - Accent1 85 34" xfId="1671" xr:uid="{00000000-0005-0000-0000-000082060000}"/>
    <cellStyle name="20% - Accent1 85 34 2" xfId="1672" xr:uid="{00000000-0005-0000-0000-000083060000}"/>
    <cellStyle name="20% - Accent1 85 34 2 2" xfId="1673" xr:uid="{00000000-0005-0000-0000-000084060000}"/>
    <cellStyle name="20% - Accent1 85 34 3" xfId="1674" xr:uid="{00000000-0005-0000-0000-000085060000}"/>
    <cellStyle name="20% - Accent1 85 35" xfId="1675" xr:uid="{00000000-0005-0000-0000-000086060000}"/>
    <cellStyle name="20% - Accent1 85 35 2" xfId="1676" xr:uid="{00000000-0005-0000-0000-000087060000}"/>
    <cellStyle name="20% - Accent1 85 35 2 2" xfId="1677" xr:uid="{00000000-0005-0000-0000-000088060000}"/>
    <cellStyle name="20% - Accent1 85 35 3" xfId="1678" xr:uid="{00000000-0005-0000-0000-000089060000}"/>
    <cellStyle name="20% - Accent1 85 36" xfId="1679" xr:uid="{00000000-0005-0000-0000-00008A060000}"/>
    <cellStyle name="20% - Accent1 85 36 2" xfId="1680" xr:uid="{00000000-0005-0000-0000-00008B060000}"/>
    <cellStyle name="20% - Accent1 85 36 2 2" xfId="1681" xr:uid="{00000000-0005-0000-0000-00008C060000}"/>
    <cellStyle name="20% - Accent1 85 36 3" xfId="1682" xr:uid="{00000000-0005-0000-0000-00008D060000}"/>
    <cellStyle name="20% - Accent1 85 4" xfId="1683" xr:uid="{00000000-0005-0000-0000-00008E060000}"/>
    <cellStyle name="20% - Accent1 85 4 2" xfId="1684" xr:uid="{00000000-0005-0000-0000-00008F060000}"/>
    <cellStyle name="20% - Accent1 85 4 2 2" xfId="1685" xr:uid="{00000000-0005-0000-0000-000090060000}"/>
    <cellStyle name="20% - Accent1 85 4 3" xfId="1686" xr:uid="{00000000-0005-0000-0000-000091060000}"/>
    <cellStyle name="20% - Accent1 85 5" xfId="1687" xr:uid="{00000000-0005-0000-0000-000092060000}"/>
    <cellStyle name="20% - Accent1 85 5 2" xfId="1688" xr:uid="{00000000-0005-0000-0000-000093060000}"/>
    <cellStyle name="20% - Accent1 85 5 2 2" xfId="1689" xr:uid="{00000000-0005-0000-0000-000094060000}"/>
    <cellStyle name="20% - Accent1 85 5 3" xfId="1690" xr:uid="{00000000-0005-0000-0000-000095060000}"/>
    <cellStyle name="20% - Accent1 85 6" xfId="1691" xr:uid="{00000000-0005-0000-0000-000096060000}"/>
    <cellStyle name="20% - Accent1 85 6 2" xfId="1692" xr:uid="{00000000-0005-0000-0000-000097060000}"/>
    <cellStyle name="20% - Accent1 85 6 2 2" xfId="1693" xr:uid="{00000000-0005-0000-0000-000098060000}"/>
    <cellStyle name="20% - Accent1 85 6 3" xfId="1694" xr:uid="{00000000-0005-0000-0000-000099060000}"/>
    <cellStyle name="20% - Accent1 85 7" xfId="1695" xr:uid="{00000000-0005-0000-0000-00009A060000}"/>
    <cellStyle name="20% - Accent1 85 7 2" xfId="1696" xr:uid="{00000000-0005-0000-0000-00009B060000}"/>
    <cellStyle name="20% - Accent1 85 7 2 2" xfId="1697" xr:uid="{00000000-0005-0000-0000-00009C060000}"/>
    <cellStyle name="20% - Accent1 85 7 3" xfId="1698" xr:uid="{00000000-0005-0000-0000-00009D060000}"/>
    <cellStyle name="20% - Accent1 85 8" xfId="1699" xr:uid="{00000000-0005-0000-0000-00009E060000}"/>
    <cellStyle name="20% - Accent1 85 8 2" xfId="1700" xr:uid="{00000000-0005-0000-0000-00009F060000}"/>
    <cellStyle name="20% - Accent1 85 8 2 2" xfId="1701" xr:uid="{00000000-0005-0000-0000-0000A0060000}"/>
    <cellStyle name="20% - Accent1 85 8 3" xfId="1702" xr:uid="{00000000-0005-0000-0000-0000A1060000}"/>
    <cellStyle name="20% - Accent1 85 9" xfId="1703" xr:uid="{00000000-0005-0000-0000-0000A2060000}"/>
    <cellStyle name="20% - Accent1 85 9 2" xfId="1704" xr:uid="{00000000-0005-0000-0000-0000A3060000}"/>
    <cellStyle name="20% - Accent1 85 9 2 2" xfId="1705" xr:uid="{00000000-0005-0000-0000-0000A4060000}"/>
    <cellStyle name="20% - Accent1 85 9 3" xfId="1706" xr:uid="{00000000-0005-0000-0000-0000A5060000}"/>
    <cellStyle name="20% - Accent1 86" xfId="1707" xr:uid="{00000000-0005-0000-0000-0000A6060000}"/>
    <cellStyle name="20% - Accent1 86 10" xfId="1708" xr:uid="{00000000-0005-0000-0000-0000A7060000}"/>
    <cellStyle name="20% - Accent1 86 10 2" xfId="1709" xr:uid="{00000000-0005-0000-0000-0000A8060000}"/>
    <cellStyle name="20% - Accent1 86 10 2 2" xfId="1710" xr:uid="{00000000-0005-0000-0000-0000A9060000}"/>
    <cellStyle name="20% - Accent1 86 10 3" xfId="1711" xr:uid="{00000000-0005-0000-0000-0000AA060000}"/>
    <cellStyle name="20% - Accent1 86 11" xfId="1712" xr:uid="{00000000-0005-0000-0000-0000AB060000}"/>
    <cellStyle name="20% - Accent1 86 11 2" xfId="1713" xr:uid="{00000000-0005-0000-0000-0000AC060000}"/>
    <cellStyle name="20% - Accent1 86 11 2 2" xfId="1714" xr:uid="{00000000-0005-0000-0000-0000AD060000}"/>
    <cellStyle name="20% - Accent1 86 11 3" xfId="1715" xr:uid="{00000000-0005-0000-0000-0000AE060000}"/>
    <cellStyle name="20% - Accent1 86 12" xfId="1716" xr:uid="{00000000-0005-0000-0000-0000AF060000}"/>
    <cellStyle name="20% - Accent1 86 12 2" xfId="1717" xr:uid="{00000000-0005-0000-0000-0000B0060000}"/>
    <cellStyle name="20% - Accent1 86 12 2 2" xfId="1718" xr:uid="{00000000-0005-0000-0000-0000B1060000}"/>
    <cellStyle name="20% - Accent1 86 12 3" xfId="1719" xr:uid="{00000000-0005-0000-0000-0000B2060000}"/>
    <cellStyle name="20% - Accent1 86 13" xfId="1720" xr:uid="{00000000-0005-0000-0000-0000B3060000}"/>
    <cellStyle name="20% - Accent1 86 13 2" xfId="1721" xr:uid="{00000000-0005-0000-0000-0000B4060000}"/>
    <cellStyle name="20% - Accent1 86 13 2 2" xfId="1722" xr:uid="{00000000-0005-0000-0000-0000B5060000}"/>
    <cellStyle name="20% - Accent1 86 13 3" xfId="1723" xr:uid="{00000000-0005-0000-0000-0000B6060000}"/>
    <cellStyle name="20% - Accent1 86 14" xfId="1724" xr:uid="{00000000-0005-0000-0000-0000B7060000}"/>
    <cellStyle name="20% - Accent1 86 14 2" xfId="1725" xr:uid="{00000000-0005-0000-0000-0000B8060000}"/>
    <cellStyle name="20% - Accent1 86 14 2 2" xfId="1726" xr:uid="{00000000-0005-0000-0000-0000B9060000}"/>
    <cellStyle name="20% - Accent1 86 14 3" xfId="1727" xr:uid="{00000000-0005-0000-0000-0000BA060000}"/>
    <cellStyle name="20% - Accent1 86 15" xfId="1728" xr:uid="{00000000-0005-0000-0000-0000BB060000}"/>
    <cellStyle name="20% - Accent1 86 15 2" xfId="1729" xr:uid="{00000000-0005-0000-0000-0000BC060000}"/>
    <cellStyle name="20% - Accent1 86 15 2 2" xfId="1730" xr:uid="{00000000-0005-0000-0000-0000BD060000}"/>
    <cellStyle name="20% - Accent1 86 15 3" xfId="1731" xr:uid="{00000000-0005-0000-0000-0000BE060000}"/>
    <cellStyle name="20% - Accent1 86 16" xfId="1732" xr:uid="{00000000-0005-0000-0000-0000BF060000}"/>
    <cellStyle name="20% - Accent1 86 16 2" xfId="1733" xr:uid="{00000000-0005-0000-0000-0000C0060000}"/>
    <cellStyle name="20% - Accent1 86 16 2 2" xfId="1734" xr:uid="{00000000-0005-0000-0000-0000C1060000}"/>
    <cellStyle name="20% - Accent1 86 16 3" xfId="1735" xr:uid="{00000000-0005-0000-0000-0000C2060000}"/>
    <cellStyle name="20% - Accent1 86 17" xfId="1736" xr:uid="{00000000-0005-0000-0000-0000C3060000}"/>
    <cellStyle name="20% - Accent1 86 17 2" xfId="1737" xr:uid="{00000000-0005-0000-0000-0000C4060000}"/>
    <cellStyle name="20% - Accent1 86 17 2 2" xfId="1738" xr:uid="{00000000-0005-0000-0000-0000C5060000}"/>
    <cellStyle name="20% - Accent1 86 17 3" xfId="1739" xr:uid="{00000000-0005-0000-0000-0000C6060000}"/>
    <cellStyle name="20% - Accent1 86 18" xfId="1740" xr:uid="{00000000-0005-0000-0000-0000C7060000}"/>
    <cellStyle name="20% - Accent1 86 18 2" xfId="1741" xr:uid="{00000000-0005-0000-0000-0000C8060000}"/>
    <cellStyle name="20% - Accent1 86 18 2 2" xfId="1742" xr:uid="{00000000-0005-0000-0000-0000C9060000}"/>
    <cellStyle name="20% - Accent1 86 18 3" xfId="1743" xr:uid="{00000000-0005-0000-0000-0000CA060000}"/>
    <cellStyle name="20% - Accent1 86 19" xfId="1744" xr:uid="{00000000-0005-0000-0000-0000CB060000}"/>
    <cellStyle name="20% - Accent1 86 19 2" xfId="1745" xr:uid="{00000000-0005-0000-0000-0000CC060000}"/>
    <cellStyle name="20% - Accent1 86 19 2 2" xfId="1746" xr:uid="{00000000-0005-0000-0000-0000CD060000}"/>
    <cellStyle name="20% - Accent1 86 19 3" xfId="1747" xr:uid="{00000000-0005-0000-0000-0000CE060000}"/>
    <cellStyle name="20% - Accent1 86 2" xfId="1748" xr:uid="{00000000-0005-0000-0000-0000CF060000}"/>
    <cellStyle name="20% - Accent1 86 2 2" xfId="1749" xr:uid="{00000000-0005-0000-0000-0000D0060000}"/>
    <cellStyle name="20% - Accent1 86 2 2 2" xfId="1750" xr:uid="{00000000-0005-0000-0000-0000D1060000}"/>
    <cellStyle name="20% - Accent1 86 2 3" xfId="1751" xr:uid="{00000000-0005-0000-0000-0000D2060000}"/>
    <cellStyle name="20% - Accent1 86 20" xfId="1752" xr:uid="{00000000-0005-0000-0000-0000D3060000}"/>
    <cellStyle name="20% - Accent1 86 20 2" xfId="1753" xr:uid="{00000000-0005-0000-0000-0000D4060000}"/>
    <cellStyle name="20% - Accent1 86 20 2 2" xfId="1754" xr:uid="{00000000-0005-0000-0000-0000D5060000}"/>
    <cellStyle name="20% - Accent1 86 20 3" xfId="1755" xr:uid="{00000000-0005-0000-0000-0000D6060000}"/>
    <cellStyle name="20% - Accent1 86 21" xfId="1756" xr:uid="{00000000-0005-0000-0000-0000D7060000}"/>
    <cellStyle name="20% - Accent1 86 21 2" xfId="1757" xr:uid="{00000000-0005-0000-0000-0000D8060000}"/>
    <cellStyle name="20% - Accent1 86 21 2 2" xfId="1758" xr:uid="{00000000-0005-0000-0000-0000D9060000}"/>
    <cellStyle name="20% - Accent1 86 21 3" xfId="1759" xr:uid="{00000000-0005-0000-0000-0000DA060000}"/>
    <cellStyle name="20% - Accent1 86 22" xfId="1760" xr:uid="{00000000-0005-0000-0000-0000DB060000}"/>
    <cellStyle name="20% - Accent1 86 22 2" xfId="1761" xr:uid="{00000000-0005-0000-0000-0000DC060000}"/>
    <cellStyle name="20% - Accent1 86 22 2 2" xfId="1762" xr:uid="{00000000-0005-0000-0000-0000DD060000}"/>
    <cellStyle name="20% - Accent1 86 22 3" xfId="1763" xr:uid="{00000000-0005-0000-0000-0000DE060000}"/>
    <cellStyle name="20% - Accent1 86 23" xfId="1764" xr:uid="{00000000-0005-0000-0000-0000DF060000}"/>
    <cellStyle name="20% - Accent1 86 23 2" xfId="1765" xr:uid="{00000000-0005-0000-0000-0000E0060000}"/>
    <cellStyle name="20% - Accent1 86 23 2 2" xfId="1766" xr:uid="{00000000-0005-0000-0000-0000E1060000}"/>
    <cellStyle name="20% - Accent1 86 23 3" xfId="1767" xr:uid="{00000000-0005-0000-0000-0000E2060000}"/>
    <cellStyle name="20% - Accent1 86 24" xfId="1768" xr:uid="{00000000-0005-0000-0000-0000E3060000}"/>
    <cellStyle name="20% - Accent1 86 24 2" xfId="1769" xr:uid="{00000000-0005-0000-0000-0000E4060000}"/>
    <cellStyle name="20% - Accent1 86 24 2 2" xfId="1770" xr:uid="{00000000-0005-0000-0000-0000E5060000}"/>
    <cellStyle name="20% - Accent1 86 24 3" xfId="1771" xr:uid="{00000000-0005-0000-0000-0000E6060000}"/>
    <cellStyle name="20% - Accent1 86 25" xfId="1772" xr:uid="{00000000-0005-0000-0000-0000E7060000}"/>
    <cellStyle name="20% - Accent1 86 25 2" xfId="1773" xr:uid="{00000000-0005-0000-0000-0000E8060000}"/>
    <cellStyle name="20% - Accent1 86 25 2 2" xfId="1774" xr:uid="{00000000-0005-0000-0000-0000E9060000}"/>
    <cellStyle name="20% - Accent1 86 25 3" xfId="1775" xr:uid="{00000000-0005-0000-0000-0000EA060000}"/>
    <cellStyle name="20% - Accent1 86 26" xfId="1776" xr:uid="{00000000-0005-0000-0000-0000EB060000}"/>
    <cellStyle name="20% - Accent1 86 26 2" xfId="1777" xr:uid="{00000000-0005-0000-0000-0000EC060000}"/>
    <cellStyle name="20% - Accent1 86 26 2 2" xfId="1778" xr:uid="{00000000-0005-0000-0000-0000ED060000}"/>
    <cellStyle name="20% - Accent1 86 26 3" xfId="1779" xr:uid="{00000000-0005-0000-0000-0000EE060000}"/>
    <cellStyle name="20% - Accent1 86 27" xfId="1780" xr:uid="{00000000-0005-0000-0000-0000EF060000}"/>
    <cellStyle name="20% - Accent1 86 27 2" xfId="1781" xr:uid="{00000000-0005-0000-0000-0000F0060000}"/>
    <cellStyle name="20% - Accent1 86 27 2 2" xfId="1782" xr:uid="{00000000-0005-0000-0000-0000F1060000}"/>
    <cellStyle name="20% - Accent1 86 27 3" xfId="1783" xr:uid="{00000000-0005-0000-0000-0000F2060000}"/>
    <cellStyle name="20% - Accent1 86 28" xfId="1784" xr:uid="{00000000-0005-0000-0000-0000F3060000}"/>
    <cellStyle name="20% - Accent1 86 28 2" xfId="1785" xr:uid="{00000000-0005-0000-0000-0000F4060000}"/>
    <cellStyle name="20% - Accent1 86 28 2 2" xfId="1786" xr:uid="{00000000-0005-0000-0000-0000F5060000}"/>
    <cellStyle name="20% - Accent1 86 28 3" xfId="1787" xr:uid="{00000000-0005-0000-0000-0000F6060000}"/>
    <cellStyle name="20% - Accent1 86 29" xfId="1788" xr:uid="{00000000-0005-0000-0000-0000F7060000}"/>
    <cellStyle name="20% - Accent1 86 29 2" xfId="1789" xr:uid="{00000000-0005-0000-0000-0000F8060000}"/>
    <cellStyle name="20% - Accent1 86 29 2 2" xfId="1790" xr:uid="{00000000-0005-0000-0000-0000F9060000}"/>
    <cellStyle name="20% - Accent1 86 29 3" xfId="1791" xr:uid="{00000000-0005-0000-0000-0000FA060000}"/>
    <cellStyle name="20% - Accent1 86 3" xfId="1792" xr:uid="{00000000-0005-0000-0000-0000FB060000}"/>
    <cellStyle name="20% - Accent1 86 3 2" xfId="1793" xr:uid="{00000000-0005-0000-0000-0000FC060000}"/>
    <cellStyle name="20% - Accent1 86 3 2 2" xfId="1794" xr:uid="{00000000-0005-0000-0000-0000FD060000}"/>
    <cellStyle name="20% - Accent1 86 3 3" xfId="1795" xr:uid="{00000000-0005-0000-0000-0000FE060000}"/>
    <cellStyle name="20% - Accent1 86 30" xfId="1796" xr:uid="{00000000-0005-0000-0000-0000FF060000}"/>
    <cellStyle name="20% - Accent1 86 30 2" xfId="1797" xr:uid="{00000000-0005-0000-0000-000000070000}"/>
    <cellStyle name="20% - Accent1 86 30 2 2" xfId="1798" xr:uid="{00000000-0005-0000-0000-000001070000}"/>
    <cellStyle name="20% - Accent1 86 30 3" xfId="1799" xr:uid="{00000000-0005-0000-0000-000002070000}"/>
    <cellStyle name="20% - Accent1 86 31" xfId="1800" xr:uid="{00000000-0005-0000-0000-000003070000}"/>
    <cellStyle name="20% - Accent1 86 31 2" xfId="1801" xr:uid="{00000000-0005-0000-0000-000004070000}"/>
    <cellStyle name="20% - Accent1 86 31 2 2" xfId="1802" xr:uid="{00000000-0005-0000-0000-000005070000}"/>
    <cellStyle name="20% - Accent1 86 31 3" xfId="1803" xr:uid="{00000000-0005-0000-0000-000006070000}"/>
    <cellStyle name="20% - Accent1 86 32" xfId="1804" xr:uid="{00000000-0005-0000-0000-000007070000}"/>
    <cellStyle name="20% - Accent1 86 32 2" xfId="1805" xr:uid="{00000000-0005-0000-0000-000008070000}"/>
    <cellStyle name="20% - Accent1 86 32 2 2" xfId="1806" xr:uid="{00000000-0005-0000-0000-000009070000}"/>
    <cellStyle name="20% - Accent1 86 32 3" xfId="1807" xr:uid="{00000000-0005-0000-0000-00000A070000}"/>
    <cellStyle name="20% - Accent1 86 33" xfId="1808" xr:uid="{00000000-0005-0000-0000-00000B070000}"/>
    <cellStyle name="20% - Accent1 86 33 2" xfId="1809" xr:uid="{00000000-0005-0000-0000-00000C070000}"/>
    <cellStyle name="20% - Accent1 86 33 2 2" xfId="1810" xr:uid="{00000000-0005-0000-0000-00000D070000}"/>
    <cellStyle name="20% - Accent1 86 33 3" xfId="1811" xr:uid="{00000000-0005-0000-0000-00000E070000}"/>
    <cellStyle name="20% - Accent1 86 34" xfId="1812" xr:uid="{00000000-0005-0000-0000-00000F070000}"/>
    <cellStyle name="20% - Accent1 86 34 2" xfId="1813" xr:uid="{00000000-0005-0000-0000-000010070000}"/>
    <cellStyle name="20% - Accent1 86 34 2 2" xfId="1814" xr:uid="{00000000-0005-0000-0000-000011070000}"/>
    <cellStyle name="20% - Accent1 86 34 3" xfId="1815" xr:uid="{00000000-0005-0000-0000-000012070000}"/>
    <cellStyle name="20% - Accent1 86 35" xfId="1816" xr:uid="{00000000-0005-0000-0000-000013070000}"/>
    <cellStyle name="20% - Accent1 86 35 2" xfId="1817" xr:uid="{00000000-0005-0000-0000-000014070000}"/>
    <cellStyle name="20% - Accent1 86 35 2 2" xfId="1818" xr:uid="{00000000-0005-0000-0000-000015070000}"/>
    <cellStyle name="20% - Accent1 86 35 3" xfId="1819" xr:uid="{00000000-0005-0000-0000-000016070000}"/>
    <cellStyle name="20% - Accent1 86 36" xfId="1820" xr:uid="{00000000-0005-0000-0000-000017070000}"/>
    <cellStyle name="20% - Accent1 86 36 2" xfId="1821" xr:uid="{00000000-0005-0000-0000-000018070000}"/>
    <cellStyle name="20% - Accent1 86 36 2 2" xfId="1822" xr:uid="{00000000-0005-0000-0000-000019070000}"/>
    <cellStyle name="20% - Accent1 86 36 3" xfId="1823" xr:uid="{00000000-0005-0000-0000-00001A070000}"/>
    <cellStyle name="20% - Accent1 86 4" xfId="1824" xr:uid="{00000000-0005-0000-0000-00001B070000}"/>
    <cellStyle name="20% - Accent1 86 4 2" xfId="1825" xr:uid="{00000000-0005-0000-0000-00001C070000}"/>
    <cellStyle name="20% - Accent1 86 4 2 2" xfId="1826" xr:uid="{00000000-0005-0000-0000-00001D070000}"/>
    <cellStyle name="20% - Accent1 86 4 3" xfId="1827" xr:uid="{00000000-0005-0000-0000-00001E070000}"/>
    <cellStyle name="20% - Accent1 86 5" xfId="1828" xr:uid="{00000000-0005-0000-0000-00001F070000}"/>
    <cellStyle name="20% - Accent1 86 5 2" xfId="1829" xr:uid="{00000000-0005-0000-0000-000020070000}"/>
    <cellStyle name="20% - Accent1 86 5 2 2" xfId="1830" xr:uid="{00000000-0005-0000-0000-000021070000}"/>
    <cellStyle name="20% - Accent1 86 5 3" xfId="1831" xr:uid="{00000000-0005-0000-0000-000022070000}"/>
    <cellStyle name="20% - Accent1 86 6" xfId="1832" xr:uid="{00000000-0005-0000-0000-000023070000}"/>
    <cellStyle name="20% - Accent1 86 6 2" xfId="1833" xr:uid="{00000000-0005-0000-0000-000024070000}"/>
    <cellStyle name="20% - Accent1 86 6 2 2" xfId="1834" xr:uid="{00000000-0005-0000-0000-000025070000}"/>
    <cellStyle name="20% - Accent1 86 6 3" xfId="1835" xr:uid="{00000000-0005-0000-0000-000026070000}"/>
    <cellStyle name="20% - Accent1 86 7" xfId="1836" xr:uid="{00000000-0005-0000-0000-000027070000}"/>
    <cellStyle name="20% - Accent1 86 7 2" xfId="1837" xr:uid="{00000000-0005-0000-0000-000028070000}"/>
    <cellStyle name="20% - Accent1 86 7 2 2" xfId="1838" xr:uid="{00000000-0005-0000-0000-000029070000}"/>
    <cellStyle name="20% - Accent1 86 7 3" xfId="1839" xr:uid="{00000000-0005-0000-0000-00002A070000}"/>
    <cellStyle name="20% - Accent1 86 8" xfId="1840" xr:uid="{00000000-0005-0000-0000-00002B070000}"/>
    <cellStyle name="20% - Accent1 86 8 2" xfId="1841" xr:uid="{00000000-0005-0000-0000-00002C070000}"/>
    <cellStyle name="20% - Accent1 86 8 2 2" xfId="1842" xr:uid="{00000000-0005-0000-0000-00002D070000}"/>
    <cellStyle name="20% - Accent1 86 8 3" xfId="1843" xr:uid="{00000000-0005-0000-0000-00002E070000}"/>
    <cellStyle name="20% - Accent1 86 9" xfId="1844" xr:uid="{00000000-0005-0000-0000-00002F070000}"/>
    <cellStyle name="20% - Accent1 86 9 2" xfId="1845" xr:uid="{00000000-0005-0000-0000-000030070000}"/>
    <cellStyle name="20% - Accent1 86 9 2 2" xfId="1846" xr:uid="{00000000-0005-0000-0000-000031070000}"/>
    <cellStyle name="20% - Accent1 86 9 3" xfId="1847" xr:uid="{00000000-0005-0000-0000-000032070000}"/>
    <cellStyle name="20% - Accent1 87" xfId="1848" xr:uid="{00000000-0005-0000-0000-000033070000}"/>
    <cellStyle name="20% - Accent1 87 10" xfId="1849" xr:uid="{00000000-0005-0000-0000-000034070000}"/>
    <cellStyle name="20% - Accent1 87 10 2" xfId="1850" xr:uid="{00000000-0005-0000-0000-000035070000}"/>
    <cellStyle name="20% - Accent1 87 10 2 2" xfId="1851" xr:uid="{00000000-0005-0000-0000-000036070000}"/>
    <cellStyle name="20% - Accent1 87 10 3" xfId="1852" xr:uid="{00000000-0005-0000-0000-000037070000}"/>
    <cellStyle name="20% - Accent1 87 11" xfId="1853" xr:uid="{00000000-0005-0000-0000-000038070000}"/>
    <cellStyle name="20% - Accent1 87 11 2" xfId="1854" xr:uid="{00000000-0005-0000-0000-000039070000}"/>
    <cellStyle name="20% - Accent1 87 11 2 2" xfId="1855" xr:uid="{00000000-0005-0000-0000-00003A070000}"/>
    <cellStyle name="20% - Accent1 87 11 3" xfId="1856" xr:uid="{00000000-0005-0000-0000-00003B070000}"/>
    <cellStyle name="20% - Accent1 87 12" xfId="1857" xr:uid="{00000000-0005-0000-0000-00003C070000}"/>
    <cellStyle name="20% - Accent1 87 12 2" xfId="1858" xr:uid="{00000000-0005-0000-0000-00003D070000}"/>
    <cellStyle name="20% - Accent1 87 12 2 2" xfId="1859" xr:uid="{00000000-0005-0000-0000-00003E070000}"/>
    <cellStyle name="20% - Accent1 87 12 3" xfId="1860" xr:uid="{00000000-0005-0000-0000-00003F070000}"/>
    <cellStyle name="20% - Accent1 87 13" xfId="1861" xr:uid="{00000000-0005-0000-0000-000040070000}"/>
    <cellStyle name="20% - Accent1 87 13 2" xfId="1862" xr:uid="{00000000-0005-0000-0000-000041070000}"/>
    <cellStyle name="20% - Accent1 87 13 2 2" xfId="1863" xr:uid="{00000000-0005-0000-0000-000042070000}"/>
    <cellStyle name="20% - Accent1 87 13 3" xfId="1864" xr:uid="{00000000-0005-0000-0000-000043070000}"/>
    <cellStyle name="20% - Accent1 87 14" xfId="1865" xr:uid="{00000000-0005-0000-0000-000044070000}"/>
    <cellStyle name="20% - Accent1 87 14 2" xfId="1866" xr:uid="{00000000-0005-0000-0000-000045070000}"/>
    <cellStyle name="20% - Accent1 87 14 2 2" xfId="1867" xr:uid="{00000000-0005-0000-0000-000046070000}"/>
    <cellStyle name="20% - Accent1 87 14 3" xfId="1868" xr:uid="{00000000-0005-0000-0000-000047070000}"/>
    <cellStyle name="20% - Accent1 87 15" xfId="1869" xr:uid="{00000000-0005-0000-0000-000048070000}"/>
    <cellStyle name="20% - Accent1 87 15 2" xfId="1870" xr:uid="{00000000-0005-0000-0000-000049070000}"/>
    <cellStyle name="20% - Accent1 87 15 2 2" xfId="1871" xr:uid="{00000000-0005-0000-0000-00004A070000}"/>
    <cellStyle name="20% - Accent1 87 15 3" xfId="1872" xr:uid="{00000000-0005-0000-0000-00004B070000}"/>
    <cellStyle name="20% - Accent1 87 16" xfId="1873" xr:uid="{00000000-0005-0000-0000-00004C070000}"/>
    <cellStyle name="20% - Accent1 87 16 2" xfId="1874" xr:uid="{00000000-0005-0000-0000-00004D070000}"/>
    <cellStyle name="20% - Accent1 87 16 2 2" xfId="1875" xr:uid="{00000000-0005-0000-0000-00004E070000}"/>
    <cellStyle name="20% - Accent1 87 16 3" xfId="1876" xr:uid="{00000000-0005-0000-0000-00004F070000}"/>
    <cellStyle name="20% - Accent1 87 17" xfId="1877" xr:uid="{00000000-0005-0000-0000-000050070000}"/>
    <cellStyle name="20% - Accent1 87 17 2" xfId="1878" xr:uid="{00000000-0005-0000-0000-000051070000}"/>
    <cellStyle name="20% - Accent1 87 17 2 2" xfId="1879" xr:uid="{00000000-0005-0000-0000-000052070000}"/>
    <cellStyle name="20% - Accent1 87 17 3" xfId="1880" xr:uid="{00000000-0005-0000-0000-000053070000}"/>
    <cellStyle name="20% - Accent1 87 18" xfId="1881" xr:uid="{00000000-0005-0000-0000-000054070000}"/>
    <cellStyle name="20% - Accent1 87 18 2" xfId="1882" xr:uid="{00000000-0005-0000-0000-000055070000}"/>
    <cellStyle name="20% - Accent1 87 18 2 2" xfId="1883" xr:uid="{00000000-0005-0000-0000-000056070000}"/>
    <cellStyle name="20% - Accent1 87 18 3" xfId="1884" xr:uid="{00000000-0005-0000-0000-000057070000}"/>
    <cellStyle name="20% - Accent1 87 19" xfId="1885" xr:uid="{00000000-0005-0000-0000-000058070000}"/>
    <cellStyle name="20% - Accent1 87 19 2" xfId="1886" xr:uid="{00000000-0005-0000-0000-000059070000}"/>
    <cellStyle name="20% - Accent1 87 19 2 2" xfId="1887" xr:uid="{00000000-0005-0000-0000-00005A070000}"/>
    <cellStyle name="20% - Accent1 87 19 3" xfId="1888" xr:uid="{00000000-0005-0000-0000-00005B070000}"/>
    <cellStyle name="20% - Accent1 87 2" xfId="1889" xr:uid="{00000000-0005-0000-0000-00005C070000}"/>
    <cellStyle name="20% - Accent1 87 2 2" xfId="1890" xr:uid="{00000000-0005-0000-0000-00005D070000}"/>
    <cellStyle name="20% - Accent1 87 2 2 2" xfId="1891" xr:uid="{00000000-0005-0000-0000-00005E070000}"/>
    <cellStyle name="20% - Accent1 87 2 3" xfId="1892" xr:uid="{00000000-0005-0000-0000-00005F070000}"/>
    <cellStyle name="20% - Accent1 87 20" xfId="1893" xr:uid="{00000000-0005-0000-0000-000060070000}"/>
    <cellStyle name="20% - Accent1 87 20 2" xfId="1894" xr:uid="{00000000-0005-0000-0000-000061070000}"/>
    <cellStyle name="20% - Accent1 87 20 2 2" xfId="1895" xr:uid="{00000000-0005-0000-0000-000062070000}"/>
    <cellStyle name="20% - Accent1 87 20 3" xfId="1896" xr:uid="{00000000-0005-0000-0000-000063070000}"/>
    <cellStyle name="20% - Accent1 87 21" xfId="1897" xr:uid="{00000000-0005-0000-0000-000064070000}"/>
    <cellStyle name="20% - Accent1 87 21 2" xfId="1898" xr:uid="{00000000-0005-0000-0000-000065070000}"/>
    <cellStyle name="20% - Accent1 87 21 2 2" xfId="1899" xr:uid="{00000000-0005-0000-0000-000066070000}"/>
    <cellStyle name="20% - Accent1 87 21 3" xfId="1900" xr:uid="{00000000-0005-0000-0000-000067070000}"/>
    <cellStyle name="20% - Accent1 87 22" xfId="1901" xr:uid="{00000000-0005-0000-0000-000068070000}"/>
    <cellStyle name="20% - Accent1 87 22 2" xfId="1902" xr:uid="{00000000-0005-0000-0000-000069070000}"/>
    <cellStyle name="20% - Accent1 87 22 2 2" xfId="1903" xr:uid="{00000000-0005-0000-0000-00006A070000}"/>
    <cellStyle name="20% - Accent1 87 22 3" xfId="1904" xr:uid="{00000000-0005-0000-0000-00006B070000}"/>
    <cellStyle name="20% - Accent1 87 23" xfId="1905" xr:uid="{00000000-0005-0000-0000-00006C070000}"/>
    <cellStyle name="20% - Accent1 87 23 2" xfId="1906" xr:uid="{00000000-0005-0000-0000-00006D070000}"/>
    <cellStyle name="20% - Accent1 87 23 2 2" xfId="1907" xr:uid="{00000000-0005-0000-0000-00006E070000}"/>
    <cellStyle name="20% - Accent1 87 23 3" xfId="1908" xr:uid="{00000000-0005-0000-0000-00006F070000}"/>
    <cellStyle name="20% - Accent1 87 24" xfId="1909" xr:uid="{00000000-0005-0000-0000-000070070000}"/>
    <cellStyle name="20% - Accent1 87 24 2" xfId="1910" xr:uid="{00000000-0005-0000-0000-000071070000}"/>
    <cellStyle name="20% - Accent1 87 24 2 2" xfId="1911" xr:uid="{00000000-0005-0000-0000-000072070000}"/>
    <cellStyle name="20% - Accent1 87 24 3" xfId="1912" xr:uid="{00000000-0005-0000-0000-000073070000}"/>
    <cellStyle name="20% - Accent1 87 25" xfId="1913" xr:uid="{00000000-0005-0000-0000-000074070000}"/>
    <cellStyle name="20% - Accent1 87 25 2" xfId="1914" xr:uid="{00000000-0005-0000-0000-000075070000}"/>
    <cellStyle name="20% - Accent1 87 25 2 2" xfId="1915" xr:uid="{00000000-0005-0000-0000-000076070000}"/>
    <cellStyle name="20% - Accent1 87 25 3" xfId="1916" xr:uid="{00000000-0005-0000-0000-000077070000}"/>
    <cellStyle name="20% - Accent1 87 26" xfId="1917" xr:uid="{00000000-0005-0000-0000-000078070000}"/>
    <cellStyle name="20% - Accent1 87 26 2" xfId="1918" xr:uid="{00000000-0005-0000-0000-000079070000}"/>
    <cellStyle name="20% - Accent1 87 26 2 2" xfId="1919" xr:uid="{00000000-0005-0000-0000-00007A070000}"/>
    <cellStyle name="20% - Accent1 87 26 3" xfId="1920" xr:uid="{00000000-0005-0000-0000-00007B070000}"/>
    <cellStyle name="20% - Accent1 87 27" xfId="1921" xr:uid="{00000000-0005-0000-0000-00007C070000}"/>
    <cellStyle name="20% - Accent1 87 27 2" xfId="1922" xr:uid="{00000000-0005-0000-0000-00007D070000}"/>
    <cellStyle name="20% - Accent1 87 27 2 2" xfId="1923" xr:uid="{00000000-0005-0000-0000-00007E070000}"/>
    <cellStyle name="20% - Accent1 87 27 3" xfId="1924" xr:uid="{00000000-0005-0000-0000-00007F070000}"/>
    <cellStyle name="20% - Accent1 87 28" xfId="1925" xr:uid="{00000000-0005-0000-0000-000080070000}"/>
    <cellStyle name="20% - Accent1 87 28 2" xfId="1926" xr:uid="{00000000-0005-0000-0000-000081070000}"/>
    <cellStyle name="20% - Accent1 87 28 2 2" xfId="1927" xr:uid="{00000000-0005-0000-0000-000082070000}"/>
    <cellStyle name="20% - Accent1 87 28 3" xfId="1928" xr:uid="{00000000-0005-0000-0000-000083070000}"/>
    <cellStyle name="20% - Accent1 87 29" xfId="1929" xr:uid="{00000000-0005-0000-0000-000084070000}"/>
    <cellStyle name="20% - Accent1 87 29 2" xfId="1930" xr:uid="{00000000-0005-0000-0000-000085070000}"/>
    <cellStyle name="20% - Accent1 87 29 2 2" xfId="1931" xr:uid="{00000000-0005-0000-0000-000086070000}"/>
    <cellStyle name="20% - Accent1 87 29 3" xfId="1932" xr:uid="{00000000-0005-0000-0000-000087070000}"/>
    <cellStyle name="20% - Accent1 87 3" xfId="1933" xr:uid="{00000000-0005-0000-0000-000088070000}"/>
    <cellStyle name="20% - Accent1 87 3 2" xfId="1934" xr:uid="{00000000-0005-0000-0000-000089070000}"/>
    <cellStyle name="20% - Accent1 87 3 2 2" xfId="1935" xr:uid="{00000000-0005-0000-0000-00008A070000}"/>
    <cellStyle name="20% - Accent1 87 3 3" xfId="1936" xr:uid="{00000000-0005-0000-0000-00008B070000}"/>
    <cellStyle name="20% - Accent1 87 30" xfId="1937" xr:uid="{00000000-0005-0000-0000-00008C070000}"/>
    <cellStyle name="20% - Accent1 87 30 2" xfId="1938" xr:uid="{00000000-0005-0000-0000-00008D070000}"/>
    <cellStyle name="20% - Accent1 87 30 2 2" xfId="1939" xr:uid="{00000000-0005-0000-0000-00008E070000}"/>
    <cellStyle name="20% - Accent1 87 30 3" xfId="1940" xr:uid="{00000000-0005-0000-0000-00008F070000}"/>
    <cellStyle name="20% - Accent1 87 31" xfId="1941" xr:uid="{00000000-0005-0000-0000-000090070000}"/>
    <cellStyle name="20% - Accent1 87 31 2" xfId="1942" xr:uid="{00000000-0005-0000-0000-000091070000}"/>
    <cellStyle name="20% - Accent1 87 31 2 2" xfId="1943" xr:uid="{00000000-0005-0000-0000-000092070000}"/>
    <cellStyle name="20% - Accent1 87 31 3" xfId="1944" xr:uid="{00000000-0005-0000-0000-000093070000}"/>
    <cellStyle name="20% - Accent1 87 32" xfId="1945" xr:uid="{00000000-0005-0000-0000-000094070000}"/>
    <cellStyle name="20% - Accent1 87 32 2" xfId="1946" xr:uid="{00000000-0005-0000-0000-000095070000}"/>
    <cellStyle name="20% - Accent1 87 32 2 2" xfId="1947" xr:uid="{00000000-0005-0000-0000-000096070000}"/>
    <cellStyle name="20% - Accent1 87 32 3" xfId="1948" xr:uid="{00000000-0005-0000-0000-000097070000}"/>
    <cellStyle name="20% - Accent1 87 33" xfId="1949" xr:uid="{00000000-0005-0000-0000-000098070000}"/>
    <cellStyle name="20% - Accent1 87 33 2" xfId="1950" xr:uid="{00000000-0005-0000-0000-000099070000}"/>
    <cellStyle name="20% - Accent1 87 33 2 2" xfId="1951" xr:uid="{00000000-0005-0000-0000-00009A070000}"/>
    <cellStyle name="20% - Accent1 87 33 3" xfId="1952" xr:uid="{00000000-0005-0000-0000-00009B070000}"/>
    <cellStyle name="20% - Accent1 87 34" xfId="1953" xr:uid="{00000000-0005-0000-0000-00009C070000}"/>
    <cellStyle name="20% - Accent1 87 34 2" xfId="1954" xr:uid="{00000000-0005-0000-0000-00009D070000}"/>
    <cellStyle name="20% - Accent1 87 34 2 2" xfId="1955" xr:uid="{00000000-0005-0000-0000-00009E070000}"/>
    <cellStyle name="20% - Accent1 87 34 3" xfId="1956" xr:uid="{00000000-0005-0000-0000-00009F070000}"/>
    <cellStyle name="20% - Accent1 87 35" xfId="1957" xr:uid="{00000000-0005-0000-0000-0000A0070000}"/>
    <cellStyle name="20% - Accent1 87 35 2" xfId="1958" xr:uid="{00000000-0005-0000-0000-0000A1070000}"/>
    <cellStyle name="20% - Accent1 87 35 2 2" xfId="1959" xr:uid="{00000000-0005-0000-0000-0000A2070000}"/>
    <cellStyle name="20% - Accent1 87 35 3" xfId="1960" xr:uid="{00000000-0005-0000-0000-0000A3070000}"/>
    <cellStyle name="20% - Accent1 87 36" xfId="1961" xr:uid="{00000000-0005-0000-0000-0000A4070000}"/>
    <cellStyle name="20% - Accent1 87 36 2" xfId="1962" xr:uid="{00000000-0005-0000-0000-0000A5070000}"/>
    <cellStyle name="20% - Accent1 87 36 2 2" xfId="1963" xr:uid="{00000000-0005-0000-0000-0000A6070000}"/>
    <cellStyle name="20% - Accent1 87 36 3" xfId="1964" xr:uid="{00000000-0005-0000-0000-0000A7070000}"/>
    <cellStyle name="20% - Accent1 87 4" xfId="1965" xr:uid="{00000000-0005-0000-0000-0000A8070000}"/>
    <cellStyle name="20% - Accent1 87 4 2" xfId="1966" xr:uid="{00000000-0005-0000-0000-0000A9070000}"/>
    <cellStyle name="20% - Accent1 87 4 2 2" xfId="1967" xr:uid="{00000000-0005-0000-0000-0000AA070000}"/>
    <cellStyle name="20% - Accent1 87 4 3" xfId="1968" xr:uid="{00000000-0005-0000-0000-0000AB070000}"/>
    <cellStyle name="20% - Accent1 87 5" xfId="1969" xr:uid="{00000000-0005-0000-0000-0000AC070000}"/>
    <cellStyle name="20% - Accent1 87 5 2" xfId="1970" xr:uid="{00000000-0005-0000-0000-0000AD070000}"/>
    <cellStyle name="20% - Accent1 87 5 2 2" xfId="1971" xr:uid="{00000000-0005-0000-0000-0000AE070000}"/>
    <cellStyle name="20% - Accent1 87 5 3" xfId="1972" xr:uid="{00000000-0005-0000-0000-0000AF070000}"/>
    <cellStyle name="20% - Accent1 87 6" xfId="1973" xr:uid="{00000000-0005-0000-0000-0000B0070000}"/>
    <cellStyle name="20% - Accent1 87 6 2" xfId="1974" xr:uid="{00000000-0005-0000-0000-0000B1070000}"/>
    <cellStyle name="20% - Accent1 87 6 2 2" xfId="1975" xr:uid="{00000000-0005-0000-0000-0000B2070000}"/>
    <cellStyle name="20% - Accent1 87 6 3" xfId="1976" xr:uid="{00000000-0005-0000-0000-0000B3070000}"/>
    <cellStyle name="20% - Accent1 87 7" xfId="1977" xr:uid="{00000000-0005-0000-0000-0000B4070000}"/>
    <cellStyle name="20% - Accent1 87 7 2" xfId="1978" xr:uid="{00000000-0005-0000-0000-0000B5070000}"/>
    <cellStyle name="20% - Accent1 87 7 2 2" xfId="1979" xr:uid="{00000000-0005-0000-0000-0000B6070000}"/>
    <cellStyle name="20% - Accent1 87 7 3" xfId="1980" xr:uid="{00000000-0005-0000-0000-0000B7070000}"/>
    <cellStyle name="20% - Accent1 87 8" xfId="1981" xr:uid="{00000000-0005-0000-0000-0000B8070000}"/>
    <cellStyle name="20% - Accent1 87 8 2" xfId="1982" xr:uid="{00000000-0005-0000-0000-0000B9070000}"/>
    <cellStyle name="20% - Accent1 87 8 2 2" xfId="1983" xr:uid="{00000000-0005-0000-0000-0000BA070000}"/>
    <cellStyle name="20% - Accent1 87 8 3" xfId="1984" xr:uid="{00000000-0005-0000-0000-0000BB070000}"/>
    <cellStyle name="20% - Accent1 87 9" xfId="1985" xr:uid="{00000000-0005-0000-0000-0000BC070000}"/>
    <cellStyle name="20% - Accent1 87 9 2" xfId="1986" xr:uid="{00000000-0005-0000-0000-0000BD070000}"/>
    <cellStyle name="20% - Accent1 87 9 2 2" xfId="1987" xr:uid="{00000000-0005-0000-0000-0000BE070000}"/>
    <cellStyle name="20% - Accent1 87 9 3" xfId="1988" xr:uid="{00000000-0005-0000-0000-0000BF070000}"/>
    <cellStyle name="20% - Accent1 88" xfId="1989" xr:uid="{00000000-0005-0000-0000-0000C0070000}"/>
    <cellStyle name="20% - Accent1 88 10" xfId="1990" xr:uid="{00000000-0005-0000-0000-0000C1070000}"/>
    <cellStyle name="20% - Accent1 88 10 2" xfId="1991" xr:uid="{00000000-0005-0000-0000-0000C2070000}"/>
    <cellStyle name="20% - Accent1 88 10 2 2" xfId="1992" xr:uid="{00000000-0005-0000-0000-0000C3070000}"/>
    <cellStyle name="20% - Accent1 88 10 3" xfId="1993" xr:uid="{00000000-0005-0000-0000-0000C4070000}"/>
    <cellStyle name="20% - Accent1 88 11" xfId="1994" xr:uid="{00000000-0005-0000-0000-0000C5070000}"/>
    <cellStyle name="20% - Accent1 88 11 2" xfId="1995" xr:uid="{00000000-0005-0000-0000-0000C6070000}"/>
    <cellStyle name="20% - Accent1 88 11 2 2" xfId="1996" xr:uid="{00000000-0005-0000-0000-0000C7070000}"/>
    <cellStyle name="20% - Accent1 88 11 3" xfId="1997" xr:uid="{00000000-0005-0000-0000-0000C8070000}"/>
    <cellStyle name="20% - Accent1 88 12" xfId="1998" xr:uid="{00000000-0005-0000-0000-0000C9070000}"/>
    <cellStyle name="20% - Accent1 88 12 2" xfId="1999" xr:uid="{00000000-0005-0000-0000-0000CA070000}"/>
    <cellStyle name="20% - Accent1 88 12 2 2" xfId="2000" xr:uid="{00000000-0005-0000-0000-0000CB070000}"/>
    <cellStyle name="20% - Accent1 88 12 3" xfId="2001" xr:uid="{00000000-0005-0000-0000-0000CC070000}"/>
    <cellStyle name="20% - Accent1 88 13" xfId="2002" xr:uid="{00000000-0005-0000-0000-0000CD070000}"/>
    <cellStyle name="20% - Accent1 88 13 2" xfId="2003" xr:uid="{00000000-0005-0000-0000-0000CE070000}"/>
    <cellStyle name="20% - Accent1 88 13 2 2" xfId="2004" xr:uid="{00000000-0005-0000-0000-0000CF070000}"/>
    <cellStyle name="20% - Accent1 88 13 3" xfId="2005" xr:uid="{00000000-0005-0000-0000-0000D0070000}"/>
    <cellStyle name="20% - Accent1 88 14" xfId="2006" xr:uid="{00000000-0005-0000-0000-0000D1070000}"/>
    <cellStyle name="20% - Accent1 88 14 2" xfId="2007" xr:uid="{00000000-0005-0000-0000-0000D2070000}"/>
    <cellStyle name="20% - Accent1 88 14 2 2" xfId="2008" xr:uid="{00000000-0005-0000-0000-0000D3070000}"/>
    <cellStyle name="20% - Accent1 88 14 3" xfId="2009" xr:uid="{00000000-0005-0000-0000-0000D4070000}"/>
    <cellStyle name="20% - Accent1 88 15" xfId="2010" xr:uid="{00000000-0005-0000-0000-0000D5070000}"/>
    <cellStyle name="20% - Accent1 88 15 2" xfId="2011" xr:uid="{00000000-0005-0000-0000-0000D6070000}"/>
    <cellStyle name="20% - Accent1 88 15 2 2" xfId="2012" xr:uid="{00000000-0005-0000-0000-0000D7070000}"/>
    <cellStyle name="20% - Accent1 88 15 3" xfId="2013" xr:uid="{00000000-0005-0000-0000-0000D8070000}"/>
    <cellStyle name="20% - Accent1 88 16" xfId="2014" xr:uid="{00000000-0005-0000-0000-0000D9070000}"/>
    <cellStyle name="20% - Accent1 88 16 2" xfId="2015" xr:uid="{00000000-0005-0000-0000-0000DA070000}"/>
    <cellStyle name="20% - Accent1 88 16 2 2" xfId="2016" xr:uid="{00000000-0005-0000-0000-0000DB070000}"/>
    <cellStyle name="20% - Accent1 88 16 3" xfId="2017" xr:uid="{00000000-0005-0000-0000-0000DC070000}"/>
    <cellStyle name="20% - Accent1 88 17" xfId="2018" xr:uid="{00000000-0005-0000-0000-0000DD070000}"/>
    <cellStyle name="20% - Accent1 88 17 2" xfId="2019" xr:uid="{00000000-0005-0000-0000-0000DE070000}"/>
    <cellStyle name="20% - Accent1 88 17 2 2" xfId="2020" xr:uid="{00000000-0005-0000-0000-0000DF070000}"/>
    <cellStyle name="20% - Accent1 88 17 3" xfId="2021" xr:uid="{00000000-0005-0000-0000-0000E0070000}"/>
    <cellStyle name="20% - Accent1 88 18" xfId="2022" xr:uid="{00000000-0005-0000-0000-0000E1070000}"/>
    <cellStyle name="20% - Accent1 88 18 2" xfId="2023" xr:uid="{00000000-0005-0000-0000-0000E2070000}"/>
    <cellStyle name="20% - Accent1 88 18 2 2" xfId="2024" xr:uid="{00000000-0005-0000-0000-0000E3070000}"/>
    <cellStyle name="20% - Accent1 88 18 3" xfId="2025" xr:uid="{00000000-0005-0000-0000-0000E4070000}"/>
    <cellStyle name="20% - Accent1 88 19" xfId="2026" xr:uid="{00000000-0005-0000-0000-0000E5070000}"/>
    <cellStyle name="20% - Accent1 88 19 2" xfId="2027" xr:uid="{00000000-0005-0000-0000-0000E6070000}"/>
    <cellStyle name="20% - Accent1 88 19 2 2" xfId="2028" xr:uid="{00000000-0005-0000-0000-0000E7070000}"/>
    <cellStyle name="20% - Accent1 88 19 3" xfId="2029" xr:uid="{00000000-0005-0000-0000-0000E8070000}"/>
    <cellStyle name="20% - Accent1 88 2" xfId="2030" xr:uid="{00000000-0005-0000-0000-0000E9070000}"/>
    <cellStyle name="20% - Accent1 88 2 2" xfId="2031" xr:uid="{00000000-0005-0000-0000-0000EA070000}"/>
    <cellStyle name="20% - Accent1 88 2 2 2" xfId="2032" xr:uid="{00000000-0005-0000-0000-0000EB070000}"/>
    <cellStyle name="20% - Accent1 88 2 3" xfId="2033" xr:uid="{00000000-0005-0000-0000-0000EC070000}"/>
    <cellStyle name="20% - Accent1 88 20" xfId="2034" xr:uid="{00000000-0005-0000-0000-0000ED070000}"/>
    <cellStyle name="20% - Accent1 88 20 2" xfId="2035" xr:uid="{00000000-0005-0000-0000-0000EE070000}"/>
    <cellStyle name="20% - Accent1 88 20 2 2" xfId="2036" xr:uid="{00000000-0005-0000-0000-0000EF070000}"/>
    <cellStyle name="20% - Accent1 88 20 3" xfId="2037" xr:uid="{00000000-0005-0000-0000-0000F0070000}"/>
    <cellStyle name="20% - Accent1 88 21" xfId="2038" xr:uid="{00000000-0005-0000-0000-0000F1070000}"/>
    <cellStyle name="20% - Accent1 88 21 2" xfId="2039" xr:uid="{00000000-0005-0000-0000-0000F2070000}"/>
    <cellStyle name="20% - Accent1 88 21 2 2" xfId="2040" xr:uid="{00000000-0005-0000-0000-0000F3070000}"/>
    <cellStyle name="20% - Accent1 88 21 3" xfId="2041" xr:uid="{00000000-0005-0000-0000-0000F4070000}"/>
    <cellStyle name="20% - Accent1 88 22" xfId="2042" xr:uid="{00000000-0005-0000-0000-0000F5070000}"/>
    <cellStyle name="20% - Accent1 88 22 2" xfId="2043" xr:uid="{00000000-0005-0000-0000-0000F6070000}"/>
    <cellStyle name="20% - Accent1 88 22 2 2" xfId="2044" xr:uid="{00000000-0005-0000-0000-0000F7070000}"/>
    <cellStyle name="20% - Accent1 88 22 3" xfId="2045" xr:uid="{00000000-0005-0000-0000-0000F8070000}"/>
    <cellStyle name="20% - Accent1 88 23" xfId="2046" xr:uid="{00000000-0005-0000-0000-0000F9070000}"/>
    <cellStyle name="20% - Accent1 88 23 2" xfId="2047" xr:uid="{00000000-0005-0000-0000-0000FA070000}"/>
    <cellStyle name="20% - Accent1 88 23 2 2" xfId="2048" xr:uid="{00000000-0005-0000-0000-0000FB070000}"/>
    <cellStyle name="20% - Accent1 88 23 3" xfId="2049" xr:uid="{00000000-0005-0000-0000-0000FC070000}"/>
    <cellStyle name="20% - Accent1 88 24" xfId="2050" xr:uid="{00000000-0005-0000-0000-0000FD070000}"/>
    <cellStyle name="20% - Accent1 88 24 2" xfId="2051" xr:uid="{00000000-0005-0000-0000-0000FE070000}"/>
    <cellStyle name="20% - Accent1 88 24 2 2" xfId="2052" xr:uid="{00000000-0005-0000-0000-0000FF070000}"/>
    <cellStyle name="20% - Accent1 88 24 3" xfId="2053" xr:uid="{00000000-0005-0000-0000-000000080000}"/>
    <cellStyle name="20% - Accent1 88 25" xfId="2054" xr:uid="{00000000-0005-0000-0000-000001080000}"/>
    <cellStyle name="20% - Accent1 88 25 2" xfId="2055" xr:uid="{00000000-0005-0000-0000-000002080000}"/>
    <cellStyle name="20% - Accent1 88 25 2 2" xfId="2056" xr:uid="{00000000-0005-0000-0000-000003080000}"/>
    <cellStyle name="20% - Accent1 88 25 3" xfId="2057" xr:uid="{00000000-0005-0000-0000-000004080000}"/>
    <cellStyle name="20% - Accent1 88 26" xfId="2058" xr:uid="{00000000-0005-0000-0000-000005080000}"/>
    <cellStyle name="20% - Accent1 88 26 2" xfId="2059" xr:uid="{00000000-0005-0000-0000-000006080000}"/>
    <cellStyle name="20% - Accent1 88 26 2 2" xfId="2060" xr:uid="{00000000-0005-0000-0000-000007080000}"/>
    <cellStyle name="20% - Accent1 88 26 3" xfId="2061" xr:uid="{00000000-0005-0000-0000-000008080000}"/>
    <cellStyle name="20% - Accent1 88 27" xfId="2062" xr:uid="{00000000-0005-0000-0000-000009080000}"/>
    <cellStyle name="20% - Accent1 88 27 2" xfId="2063" xr:uid="{00000000-0005-0000-0000-00000A080000}"/>
    <cellStyle name="20% - Accent1 88 27 2 2" xfId="2064" xr:uid="{00000000-0005-0000-0000-00000B080000}"/>
    <cellStyle name="20% - Accent1 88 27 3" xfId="2065" xr:uid="{00000000-0005-0000-0000-00000C080000}"/>
    <cellStyle name="20% - Accent1 88 28" xfId="2066" xr:uid="{00000000-0005-0000-0000-00000D080000}"/>
    <cellStyle name="20% - Accent1 88 28 2" xfId="2067" xr:uid="{00000000-0005-0000-0000-00000E080000}"/>
    <cellStyle name="20% - Accent1 88 28 2 2" xfId="2068" xr:uid="{00000000-0005-0000-0000-00000F080000}"/>
    <cellStyle name="20% - Accent1 88 28 3" xfId="2069" xr:uid="{00000000-0005-0000-0000-000010080000}"/>
    <cellStyle name="20% - Accent1 88 29" xfId="2070" xr:uid="{00000000-0005-0000-0000-000011080000}"/>
    <cellStyle name="20% - Accent1 88 29 2" xfId="2071" xr:uid="{00000000-0005-0000-0000-000012080000}"/>
    <cellStyle name="20% - Accent1 88 29 2 2" xfId="2072" xr:uid="{00000000-0005-0000-0000-000013080000}"/>
    <cellStyle name="20% - Accent1 88 29 3" xfId="2073" xr:uid="{00000000-0005-0000-0000-000014080000}"/>
    <cellStyle name="20% - Accent1 88 3" xfId="2074" xr:uid="{00000000-0005-0000-0000-000015080000}"/>
    <cellStyle name="20% - Accent1 88 3 2" xfId="2075" xr:uid="{00000000-0005-0000-0000-000016080000}"/>
    <cellStyle name="20% - Accent1 88 3 2 2" xfId="2076" xr:uid="{00000000-0005-0000-0000-000017080000}"/>
    <cellStyle name="20% - Accent1 88 3 3" xfId="2077" xr:uid="{00000000-0005-0000-0000-000018080000}"/>
    <cellStyle name="20% - Accent1 88 30" xfId="2078" xr:uid="{00000000-0005-0000-0000-000019080000}"/>
    <cellStyle name="20% - Accent1 88 30 2" xfId="2079" xr:uid="{00000000-0005-0000-0000-00001A080000}"/>
    <cellStyle name="20% - Accent1 88 30 2 2" xfId="2080" xr:uid="{00000000-0005-0000-0000-00001B080000}"/>
    <cellStyle name="20% - Accent1 88 30 3" xfId="2081" xr:uid="{00000000-0005-0000-0000-00001C080000}"/>
    <cellStyle name="20% - Accent1 88 31" xfId="2082" xr:uid="{00000000-0005-0000-0000-00001D080000}"/>
    <cellStyle name="20% - Accent1 88 31 2" xfId="2083" xr:uid="{00000000-0005-0000-0000-00001E080000}"/>
    <cellStyle name="20% - Accent1 88 31 2 2" xfId="2084" xr:uid="{00000000-0005-0000-0000-00001F080000}"/>
    <cellStyle name="20% - Accent1 88 31 3" xfId="2085" xr:uid="{00000000-0005-0000-0000-000020080000}"/>
    <cellStyle name="20% - Accent1 88 32" xfId="2086" xr:uid="{00000000-0005-0000-0000-000021080000}"/>
    <cellStyle name="20% - Accent1 88 32 2" xfId="2087" xr:uid="{00000000-0005-0000-0000-000022080000}"/>
    <cellStyle name="20% - Accent1 88 32 2 2" xfId="2088" xr:uid="{00000000-0005-0000-0000-000023080000}"/>
    <cellStyle name="20% - Accent1 88 32 3" xfId="2089" xr:uid="{00000000-0005-0000-0000-000024080000}"/>
    <cellStyle name="20% - Accent1 88 33" xfId="2090" xr:uid="{00000000-0005-0000-0000-000025080000}"/>
    <cellStyle name="20% - Accent1 88 33 2" xfId="2091" xr:uid="{00000000-0005-0000-0000-000026080000}"/>
    <cellStyle name="20% - Accent1 88 33 2 2" xfId="2092" xr:uid="{00000000-0005-0000-0000-000027080000}"/>
    <cellStyle name="20% - Accent1 88 33 3" xfId="2093" xr:uid="{00000000-0005-0000-0000-000028080000}"/>
    <cellStyle name="20% - Accent1 88 34" xfId="2094" xr:uid="{00000000-0005-0000-0000-000029080000}"/>
    <cellStyle name="20% - Accent1 88 34 2" xfId="2095" xr:uid="{00000000-0005-0000-0000-00002A080000}"/>
    <cellStyle name="20% - Accent1 88 34 2 2" xfId="2096" xr:uid="{00000000-0005-0000-0000-00002B080000}"/>
    <cellStyle name="20% - Accent1 88 34 3" xfId="2097" xr:uid="{00000000-0005-0000-0000-00002C080000}"/>
    <cellStyle name="20% - Accent1 88 35" xfId="2098" xr:uid="{00000000-0005-0000-0000-00002D080000}"/>
    <cellStyle name="20% - Accent1 88 35 2" xfId="2099" xr:uid="{00000000-0005-0000-0000-00002E080000}"/>
    <cellStyle name="20% - Accent1 88 35 2 2" xfId="2100" xr:uid="{00000000-0005-0000-0000-00002F080000}"/>
    <cellStyle name="20% - Accent1 88 35 3" xfId="2101" xr:uid="{00000000-0005-0000-0000-000030080000}"/>
    <cellStyle name="20% - Accent1 88 36" xfId="2102" xr:uid="{00000000-0005-0000-0000-000031080000}"/>
    <cellStyle name="20% - Accent1 88 36 2" xfId="2103" xr:uid="{00000000-0005-0000-0000-000032080000}"/>
    <cellStyle name="20% - Accent1 88 36 2 2" xfId="2104" xr:uid="{00000000-0005-0000-0000-000033080000}"/>
    <cellStyle name="20% - Accent1 88 36 3" xfId="2105" xr:uid="{00000000-0005-0000-0000-000034080000}"/>
    <cellStyle name="20% - Accent1 88 37" xfId="2106" xr:uid="{00000000-0005-0000-0000-000035080000}"/>
    <cellStyle name="20% - Accent1 88 37 2" xfId="2107" xr:uid="{00000000-0005-0000-0000-000036080000}"/>
    <cellStyle name="20% - Accent1 88 38" xfId="2108" xr:uid="{00000000-0005-0000-0000-000037080000}"/>
    <cellStyle name="20% - Accent1 88 4" xfId="2109" xr:uid="{00000000-0005-0000-0000-000038080000}"/>
    <cellStyle name="20% - Accent1 88 4 2" xfId="2110" xr:uid="{00000000-0005-0000-0000-000039080000}"/>
    <cellStyle name="20% - Accent1 88 4 2 2" xfId="2111" xr:uid="{00000000-0005-0000-0000-00003A080000}"/>
    <cellStyle name="20% - Accent1 88 4 3" xfId="2112" xr:uid="{00000000-0005-0000-0000-00003B080000}"/>
    <cellStyle name="20% - Accent1 88 5" xfId="2113" xr:uid="{00000000-0005-0000-0000-00003C080000}"/>
    <cellStyle name="20% - Accent1 88 5 2" xfId="2114" xr:uid="{00000000-0005-0000-0000-00003D080000}"/>
    <cellStyle name="20% - Accent1 88 5 2 2" xfId="2115" xr:uid="{00000000-0005-0000-0000-00003E080000}"/>
    <cellStyle name="20% - Accent1 88 5 3" xfId="2116" xr:uid="{00000000-0005-0000-0000-00003F080000}"/>
    <cellStyle name="20% - Accent1 88 6" xfId="2117" xr:uid="{00000000-0005-0000-0000-000040080000}"/>
    <cellStyle name="20% - Accent1 88 6 2" xfId="2118" xr:uid="{00000000-0005-0000-0000-000041080000}"/>
    <cellStyle name="20% - Accent1 88 6 2 2" xfId="2119" xr:uid="{00000000-0005-0000-0000-000042080000}"/>
    <cellStyle name="20% - Accent1 88 6 3" xfId="2120" xr:uid="{00000000-0005-0000-0000-000043080000}"/>
    <cellStyle name="20% - Accent1 88 7" xfId="2121" xr:uid="{00000000-0005-0000-0000-000044080000}"/>
    <cellStyle name="20% - Accent1 88 7 2" xfId="2122" xr:uid="{00000000-0005-0000-0000-000045080000}"/>
    <cellStyle name="20% - Accent1 88 7 2 2" xfId="2123" xr:uid="{00000000-0005-0000-0000-000046080000}"/>
    <cellStyle name="20% - Accent1 88 7 3" xfId="2124" xr:uid="{00000000-0005-0000-0000-000047080000}"/>
    <cellStyle name="20% - Accent1 88 8" xfId="2125" xr:uid="{00000000-0005-0000-0000-000048080000}"/>
    <cellStyle name="20% - Accent1 88 8 2" xfId="2126" xr:uid="{00000000-0005-0000-0000-000049080000}"/>
    <cellStyle name="20% - Accent1 88 8 2 2" xfId="2127" xr:uid="{00000000-0005-0000-0000-00004A080000}"/>
    <cellStyle name="20% - Accent1 88 8 3" xfId="2128" xr:uid="{00000000-0005-0000-0000-00004B080000}"/>
    <cellStyle name="20% - Accent1 88 9" xfId="2129" xr:uid="{00000000-0005-0000-0000-00004C080000}"/>
    <cellStyle name="20% - Accent1 88 9 2" xfId="2130" xr:uid="{00000000-0005-0000-0000-00004D080000}"/>
    <cellStyle name="20% - Accent1 88 9 2 2" xfId="2131" xr:uid="{00000000-0005-0000-0000-00004E080000}"/>
    <cellStyle name="20% - Accent1 88 9 3" xfId="2132" xr:uid="{00000000-0005-0000-0000-00004F080000}"/>
    <cellStyle name="20% - Accent1 89" xfId="2133" xr:uid="{00000000-0005-0000-0000-000050080000}"/>
    <cellStyle name="20% - Accent1 89 2" xfId="2134" xr:uid="{00000000-0005-0000-0000-000051080000}"/>
    <cellStyle name="20% - Accent1 9" xfId="2135" xr:uid="{00000000-0005-0000-0000-000052080000}"/>
    <cellStyle name="20% - Accent1 9 2" xfId="2136" xr:uid="{00000000-0005-0000-0000-000053080000}"/>
    <cellStyle name="20% - Accent1 9 2 2" xfId="2137" xr:uid="{00000000-0005-0000-0000-000054080000}"/>
    <cellStyle name="20% - Accent1 9 3" xfId="2138" xr:uid="{00000000-0005-0000-0000-000055080000}"/>
    <cellStyle name="20% - Accent1 9 4" xfId="2139" xr:uid="{00000000-0005-0000-0000-000056080000}"/>
    <cellStyle name="20% - Accent1 90" xfId="2140" xr:uid="{00000000-0005-0000-0000-000057080000}"/>
    <cellStyle name="20% - Accent1 90 2" xfId="2141" xr:uid="{00000000-0005-0000-0000-000058080000}"/>
    <cellStyle name="20% - Accent1 91" xfId="2142" xr:uid="{00000000-0005-0000-0000-000059080000}"/>
    <cellStyle name="20% - Accent1 91 2" xfId="2143" xr:uid="{00000000-0005-0000-0000-00005A080000}"/>
    <cellStyle name="20% - Accent1 92" xfId="2144" xr:uid="{00000000-0005-0000-0000-00005B080000}"/>
    <cellStyle name="20% - Accent1 92 2" xfId="2145" xr:uid="{00000000-0005-0000-0000-00005C080000}"/>
    <cellStyle name="20% - Accent1 93" xfId="2146" xr:uid="{00000000-0005-0000-0000-00005D080000}"/>
    <cellStyle name="20% - Accent1 93 2" xfId="2147" xr:uid="{00000000-0005-0000-0000-00005E080000}"/>
    <cellStyle name="20% - Accent1 93 2 2" xfId="2148" xr:uid="{00000000-0005-0000-0000-00005F080000}"/>
    <cellStyle name="20% - Accent1 93 2 2 2" xfId="2149" xr:uid="{00000000-0005-0000-0000-000060080000}"/>
    <cellStyle name="20% - Accent1 93 2 3" xfId="2150" xr:uid="{00000000-0005-0000-0000-000061080000}"/>
    <cellStyle name="20% - Accent1 93 3" xfId="2151" xr:uid="{00000000-0005-0000-0000-000062080000}"/>
    <cellStyle name="20% - Accent1 93 3 2" xfId="2152" xr:uid="{00000000-0005-0000-0000-000063080000}"/>
    <cellStyle name="20% - Accent1 93 4" xfId="2153" xr:uid="{00000000-0005-0000-0000-000064080000}"/>
    <cellStyle name="20% - Accent1 94" xfId="2154" xr:uid="{00000000-0005-0000-0000-000065080000}"/>
    <cellStyle name="20% - Accent1 94 2" xfId="2155" xr:uid="{00000000-0005-0000-0000-000066080000}"/>
    <cellStyle name="20% - Accent1 94 2 2" xfId="2156" xr:uid="{00000000-0005-0000-0000-000067080000}"/>
    <cellStyle name="20% - Accent1 94 2 2 2" xfId="2157" xr:uid="{00000000-0005-0000-0000-000068080000}"/>
    <cellStyle name="20% - Accent1 94 2 3" xfId="2158" xr:uid="{00000000-0005-0000-0000-000069080000}"/>
    <cellStyle name="20% - Accent1 94 3" xfId="2159" xr:uid="{00000000-0005-0000-0000-00006A080000}"/>
    <cellStyle name="20% - Accent1 94 3 2" xfId="2160" xr:uid="{00000000-0005-0000-0000-00006B080000}"/>
    <cellStyle name="20% - Accent1 94 4" xfId="2161" xr:uid="{00000000-0005-0000-0000-00006C080000}"/>
    <cellStyle name="20% - Accent1 95" xfId="2162" xr:uid="{00000000-0005-0000-0000-00006D080000}"/>
    <cellStyle name="20% - Accent1 95 2" xfId="2163" xr:uid="{00000000-0005-0000-0000-00006E080000}"/>
    <cellStyle name="20% - Accent1 95 2 2" xfId="2164" xr:uid="{00000000-0005-0000-0000-00006F080000}"/>
    <cellStyle name="20% - Accent1 95 3" xfId="2165" xr:uid="{00000000-0005-0000-0000-000070080000}"/>
    <cellStyle name="20% - Accent1 96" xfId="2166" xr:uid="{00000000-0005-0000-0000-000071080000}"/>
    <cellStyle name="20% - Accent1 96 2" xfId="2167" xr:uid="{00000000-0005-0000-0000-000072080000}"/>
    <cellStyle name="20% - Accent1 96 2 2" xfId="2168" xr:uid="{00000000-0005-0000-0000-000073080000}"/>
    <cellStyle name="20% - Accent1 96 3" xfId="2169" xr:uid="{00000000-0005-0000-0000-000074080000}"/>
    <cellStyle name="20% - Accent1 97" xfId="2170" xr:uid="{00000000-0005-0000-0000-000075080000}"/>
    <cellStyle name="20% - Accent1 97 2" xfId="2171" xr:uid="{00000000-0005-0000-0000-000076080000}"/>
    <cellStyle name="20% - Accent1 97 2 2" xfId="2172" xr:uid="{00000000-0005-0000-0000-000077080000}"/>
    <cellStyle name="20% - Accent1 97 3" xfId="2173" xr:uid="{00000000-0005-0000-0000-000078080000}"/>
    <cellStyle name="20% - Accent1 98" xfId="2174" xr:uid="{00000000-0005-0000-0000-000079080000}"/>
    <cellStyle name="20% - Accent1 98 2" xfId="2175" xr:uid="{00000000-0005-0000-0000-00007A080000}"/>
    <cellStyle name="20% - Accent1 98 2 2" xfId="2176" xr:uid="{00000000-0005-0000-0000-00007B080000}"/>
    <cellStyle name="20% - Accent1 98 3" xfId="2177" xr:uid="{00000000-0005-0000-0000-00007C080000}"/>
    <cellStyle name="20% - Accent1 99" xfId="2178" xr:uid="{00000000-0005-0000-0000-00007D080000}"/>
    <cellStyle name="20% - Accent2" xfId="41023" builtinId="34" customBuiltin="1"/>
    <cellStyle name="20% - Accent2 10" xfId="2179" xr:uid="{00000000-0005-0000-0000-00007F080000}"/>
    <cellStyle name="20% - Accent2 10 2" xfId="2180" xr:uid="{00000000-0005-0000-0000-000080080000}"/>
    <cellStyle name="20% - Accent2 10 2 2" xfId="2181" xr:uid="{00000000-0005-0000-0000-000081080000}"/>
    <cellStyle name="20% - Accent2 10 3" xfId="2182" xr:uid="{00000000-0005-0000-0000-000082080000}"/>
    <cellStyle name="20% - Accent2 100" xfId="2183" xr:uid="{00000000-0005-0000-0000-000083080000}"/>
    <cellStyle name="20% - Accent2 100 2" xfId="2184" xr:uid="{00000000-0005-0000-0000-000084080000}"/>
    <cellStyle name="20% - Accent2 100 2 2" xfId="2185" xr:uid="{00000000-0005-0000-0000-000085080000}"/>
    <cellStyle name="20% - Accent2 100 3" xfId="2186" xr:uid="{00000000-0005-0000-0000-000086080000}"/>
    <cellStyle name="20% - Accent2 101" xfId="2187" xr:uid="{00000000-0005-0000-0000-000087080000}"/>
    <cellStyle name="20% - Accent2 102" xfId="2188" xr:uid="{00000000-0005-0000-0000-000088080000}"/>
    <cellStyle name="20% - Accent2 102 2" xfId="2189" xr:uid="{00000000-0005-0000-0000-000089080000}"/>
    <cellStyle name="20% - Accent2 102 2 2" xfId="2190" xr:uid="{00000000-0005-0000-0000-00008A080000}"/>
    <cellStyle name="20% - Accent2 102 3" xfId="2191" xr:uid="{00000000-0005-0000-0000-00008B080000}"/>
    <cellStyle name="20% - Accent2 103" xfId="2192" xr:uid="{00000000-0005-0000-0000-00008C080000}"/>
    <cellStyle name="20% - Accent2 104" xfId="2193" xr:uid="{00000000-0005-0000-0000-00008D080000}"/>
    <cellStyle name="20% - Accent2 104 2" xfId="2194" xr:uid="{00000000-0005-0000-0000-00008E080000}"/>
    <cellStyle name="20% - Accent2 104 2 2" xfId="2195" xr:uid="{00000000-0005-0000-0000-00008F080000}"/>
    <cellStyle name="20% - Accent2 104 3" xfId="2196" xr:uid="{00000000-0005-0000-0000-000090080000}"/>
    <cellStyle name="20% - Accent2 105" xfId="2197" xr:uid="{00000000-0005-0000-0000-000091080000}"/>
    <cellStyle name="20% - Accent2 105 2" xfId="2198" xr:uid="{00000000-0005-0000-0000-000092080000}"/>
    <cellStyle name="20% - Accent2 105 2 2" xfId="2199" xr:uid="{00000000-0005-0000-0000-000093080000}"/>
    <cellStyle name="20% - Accent2 105 3" xfId="2200" xr:uid="{00000000-0005-0000-0000-000094080000}"/>
    <cellStyle name="20% - Accent2 106" xfId="2201" xr:uid="{00000000-0005-0000-0000-000095080000}"/>
    <cellStyle name="20% - Accent2 107" xfId="2202" xr:uid="{00000000-0005-0000-0000-000096080000}"/>
    <cellStyle name="20% - Accent2 108" xfId="2203" xr:uid="{00000000-0005-0000-0000-000097080000}"/>
    <cellStyle name="20% - Accent2 109" xfId="2204" xr:uid="{00000000-0005-0000-0000-000098080000}"/>
    <cellStyle name="20% - Accent2 11" xfId="2205" xr:uid="{00000000-0005-0000-0000-000099080000}"/>
    <cellStyle name="20% - Accent2 11 2" xfId="2206" xr:uid="{00000000-0005-0000-0000-00009A080000}"/>
    <cellStyle name="20% - Accent2 11 2 2" xfId="2207" xr:uid="{00000000-0005-0000-0000-00009B080000}"/>
    <cellStyle name="20% - Accent2 11 3" xfId="2208" xr:uid="{00000000-0005-0000-0000-00009C080000}"/>
    <cellStyle name="20% - Accent2 110" xfId="2209" xr:uid="{00000000-0005-0000-0000-00009D080000}"/>
    <cellStyle name="20% - Accent2 110 2" xfId="2210" xr:uid="{00000000-0005-0000-0000-00009E080000}"/>
    <cellStyle name="20% - Accent2 110 2 2" xfId="2211" xr:uid="{00000000-0005-0000-0000-00009F080000}"/>
    <cellStyle name="20% - Accent2 110 3" xfId="2212" xr:uid="{00000000-0005-0000-0000-0000A0080000}"/>
    <cellStyle name="20% - Accent2 111" xfId="2213" xr:uid="{00000000-0005-0000-0000-0000A1080000}"/>
    <cellStyle name="20% - Accent2 111 2" xfId="2214" xr:uid="{00000000-0005-0000-0000-0000A2080000}"/>
    <cellStyle name="20% - Accent2 111 2 2" xfId="2215" xr:uid="{00000000-0005-0000-0000-0000A3080000}"/>
    <cellStyle name="20% - Accent2 111 3" xfId="2216" xr:uid="{00000000-0005-0000-0000-0000A4080000}"/>
    <cellStyle name="20% - Accent2 112" xfId="2217" xr:uid="{00000000-0005-0000-0000-0000A5080000}"/>
    <cellStyle name="20% - Accent2 112 2" xfId="2218" xr:uid="{00000000-0005-0000-0000-0000A6080000}"/>
    <cellStyle name="20% - Accent2 112 2 2" xfId="2219" xr:uid="{00000000-0005-0000-0000-0000A7080000}"/>
    <cellStyle name="20% - Accent2 112 3" xfId="2220" xr:uid="{00000000-0005-0000-0000-0000A8080000}"/>
    <cellStyle name="20% - Accent2 113" xfId="2221" xr:uid="{00000000-0005-0000-0000-0000A9080000}"/>
    <cellStyle name="20% - Accent2 114" xfId="2222" xr:uid="{00000000-0005-0000-0000-0000AA080000}"/>
    <cellStyle name="20% - Accent2 115" xfId="2223" xr:uid="{00000000-0005-0000-0000-0000AB080000}"/>
    <cellStyle name="20% - Accent2 116" xfId="2224" xr:uid="{00000000-0005-0000-0000-0000AC080000}"/>
    <cellStyle name="20% - Accent2 117" xfId="2225" xr:uid="{00000000-0005-0000-0000-0000AD080000}"/>
    <cellStyle name="20% - Accent2 117 2" xfId="2226" xr:uid="{00000000-0005-0000-0000-0000AE080000}"/>
    <cellStyle name="20% - Accent2 117 2 2" xfId="2227" xr:uid="{00000000-0005-0000-0000-0000AF080000}"/>
    <cellStyle name="20% - Accent2 117 3" xfId="2228" xr:uid="{00000000-0005-0000-0000-0000B0080000}"/>
    <cellStyle name="20% - Accent2 118" xfId="2229" xr:uid="{00000000-0005-0000-0000-0000B1080000}"/>
    <cellStyle name="20% - Accent2 118 2" xfId="2230" xr:uid="{00000000-0005-0000-0000-0000B2080000}"/>
    <cellStyle name="20% - Accent2 118 2 2" xfId="2231" xr:uid="{00000000-0005-0000-0000-0000B3080000}"/>
    <cellStyle name="20% - Accent2 118 3" xfId="2232" xr:uid="{00000000-0005-0000-0000-0000B4080000}"/>
    <cellStyle name="20% - Accent2 119" xfId="2233" xr:uid="{00000000-0005-0000-0000-0000B5080000}"/>
    <cellStyle name="20% - Accent2 119 2" xfId="2234" xr:uid="{00000000-0005-0000-0000-0000B6080000}"/>
    <cellStyle name="20% - Accent2 119 2 2" xfId="2235" xr:uid="{00000000-0005-0000-0000-0000B7080000}"/>
    <cellStyle name="20% - Accent2 119 3" xfId="2236" xr:uid="{00000000-0005-0000-0000-0000B8080000}"/>
    <cellStyle name="20% - Accent2 12" xfId="2237" xr:uid="{00000000-0005-0000-0000-0000B9080000}"/>
    <cellStyle name="20% - Accent2 12 2" xfId="2238" xr:uid="{00000000-0005-0000-0000-0000BA080000}"/>
    <cellStyle name="20% - Accent2 12 2 2" xfId="2239" xr:uid="{00000000-0005-0000-0000-0000BB080000}"/>
    <cellStyle name="20% - Accent2 12 3" xfId="2240" xr:uid="{00000000-0005-0000-0000-0000BC080000}"/>
    <cellStyle name="20% - Accent2 120" xfId="2241" xr:uid="{00000000-0005-0000-0000-0000BD080000}"/>
    <cellStyle name="20% - Accent2 120 2" xfId="2242" xr:uid="{00000000-0005-0000-0000-0000BE080000}"/>
    <cellStyle name="20% - Accent2 120 2 2" xfId="2243" xr:uid="{00000000-0005-0000-0000-0000BF080000}"/>
    <cellStyle name="20% - Accent2 120 3" xfId="2244" xr:uid="{00000000-0005-0000-0000-0000C0080000}"/>
    <cellStyle name="20% - Accent2 121" xfId="2245" xr:uid="{00000000-0005-0000-0000-0000C1080000}"/>
    <cellStyle name="20% - Accent2 121 2" xfId="2246" xr:uid="{00000000-0005-0000-0000-0000C2080000}"/>
    <cellStyle name="20% - Accent2 121 2 2" xfId="2247" xr:uid="{00000000-0005-0000-0000-0000C3080000}"/>
    <cellStyle name="20% - Accent2 121 3" xfId="2248" xr:uid="{00000000-0005-0000-0000-0000C4080000}"/>
    <cellStyle name="20% - Accent2 122" xfId="2249" xr:uid="{00000000-0005-0000-0000-0000C5080000}"/>
    <cellStyle name="20% - Accent2 122 2" xfId="2250" xr:uid="{00000000-0005-0000-0000-0000C6080000}"/>
    <cellStyle name="20% - Accent2 122 2 2" xfId="2251" xr:uid="{00000000-0005-0000-0000-0000C7080000}"/>
    <cellStyle name="20% - Accent2 122 3" xfId="2252" xr:uid="{00000000-0005-0000-0000-0000C8080000}"/>
    <cellStyle name="20% - Accent2 123" xfId="2253" xr:uid="{00000000-0005-0000-0000-0000C9080000}"/>
    <cellStyle name="20% - Accent2 123 2" xfId="2254" xr:uid="{00000000-0005-0000-0000-0000CA080000}"/>
    <cellStyle name="20% - Accent2 123 2 2" xfId="2255" xr:uid="{00000000-0005-0000-0000-0000CB080000}"/>
    <cellStyle name="20% - Accent2 123 3" xfId="2256" xr:uid="{00000000-0005-0000-0000-0000CC080000}"/>
    <cellStyle name="20% - Accent2 124" xfId="2257" xr:uid="{00000000-0005-0000-0000-0000CD080000}"/>
    <cellStyle name="20% - Accent2 125" xfId="2258" xr:uid="{00000000-0005-0000-0000-0000CE080000}"/>
    <cellStyle name="20% - Accent2 125 2" xfId="2259" xr:uid="{00000000-0005-0000-0000-0000CF080000}"/>
    <cellStyle name="20% - Accent2 125 2 2" xfId="2260" xr:uid="{00000000-0005-0000-0000-0000D0080000}"/>
    <cellStyle name="20% - Accent2 125 3" xfId="2261" xr:uid="{00000000-0005-0000-0000-0000D1080000}"/>
    <cellStyle name="20% - Accent2 126" xfId="2262" xr:uid="{00000000-0005-0000-0000-0000D2080000}"/>
    <cellStyle name="20% - Accent2 126 2" xfId="2263" xr:uid="{00000000-0005-0000-0000-0000D3080000}"/>
    <cellStyle name="20% - Accent2 126 2 2" xfId="2264" xr:uid="{00000000-0005-0000-0000-0000D4080000}"/>
    <cellStyle name="20% - Accent2 126 3" xfId="2265" xr:uid="{00000000-0005-0000-0000-0000D5080000}"/>
    <cellStyle name="20% - Accent2 127" xfId="2266" xr:uid="{00000000-0005-0000-0000-0000D6080000}"/>
    <cellStyle name="20% - Accent2 127 2" xfId="2267" xr:uid="{00000000-0005-0000-0000-0000D7080000}"/>
    <cellStyle name="20% - Accent2 127 2 2" xfId="2268" xr:uid="{00000000-0005-0000-0000-0000D8080000}"/>
    <cellStyle name="20% - Accent2 127 3" xfId="2269" xr:uid="{00000000-0005-0000-0000-0000D9080000}"/>
    <cellStyle name="20% - Accent2 128" xfId="2270" xr:uid="{00000000-0005-0000-0000-0000DA080000}"/>
    <cellStyle name="20% - Accent2 128 2" xfId="2271" xr:uid="{00000000-0005-0000-0000-0000DB080000}"/>
    <cellStyle name="20% - Accent2 128 2 2" xfId="2272" xr:uid="{00000000-0005-0000-0000-0000DC080000}"/>
    <cellStyle name="20% - Accent2 128 3" xfId="2273" xr:uid="{00000000-0005-0000-0000-0000DD080000}"/>
    <cellStyle name="20% - Accent2 129" xfId="2274" xr:uid="{00000000-0005-0000-0000-0000DE080000}"/>
    <cellStyle name="20% - Accent2 129 2" xfId="2275" xr:uid="{00000000-0005-0000-0000-0000DF080000}"/>
    <cellStyle name="20% - Accent2 129 2 2" xfId="2276" xr:uid="{00000000-0005-0000-0000-0000E0080000}"/>
    <cellStyle name="20% - Accent2 129 3" xfId="2277" xr:uid="{00000000-0005-0000-0000-0000E1080000}"/>
    <cellStyle name="20% - Accent2 13" xfId="2278" xr:uid="{00000000-0005-0000-0000-0000E2080000}"/>
    <cellStyle name="20% - Accent2 13 2" xfId="2279" xr:uid="{00000000-0005-0000-0000-0000E3080000}"/>
    <cellStyle name="20% - Accent2 13 2 2" xfId="2280" xr:uid="{00000000-0005-0000-0000-0000E4080000}"/>
    <cellStyle name="20% - Accent2 13 3" xfId="2281" xr:uid="{00000000-0005-0000-0000-0000E5080000}"/>
    <cellStyle name="20% - Accent2 130" xfId="2282" xr:uid="{00000000-0005-0000-0000-0000E6080000}"/>
    <cellStyle name="20% - Accent2 130 2" xfId="2283" xr:uid="{00000000-0005-0000-0000-0000E7080000}"/>
    <cellStyle name="20% - Accent2 130 2 2" xfId="2284" xr:uid="{00000000-0005-0000-0000-0000E8080000}"/>
    <cellStyle name="20% - Accent2 130 3" xfId="2285" xr:uid="{00000000-0005-0000-0000-0000E9080000}"/>
    <cellStyle name="20% - Accent2 131" xfId="2286" xr:uid="{00000000-0005-0000-0000-0000EA080000}"/>
    <cellStyle name="20% - Accent2 131 2" xfId="2287" xr:uid="{00000000-0005-0000-0000-0000EB080000}"/>
    <cellStyle name="20% - Accent2 131 2 2" xfId="2288" xr:uid="{00000000-0005-0000-0000-0000EC080000}"/>
    <cellStyle name="20% - Accent2 131 3" xfId="2289" xr:uid="{00000000-0005-0000-0000-0000ED080000}"/>
    <cellStyle name="20% - Accent2 132" xfId="2290" xr:uid="{00000000-0005-0000-0000-0000EE080000}"/>
    <cellStyle name="20% - Accent2 132 2" xfId="2291" xr:uid="{00000000-0005-0000-0000-0000EF080000}"/>
    <cellStyle name="20% - Accent2 132 2 2" xfId="2292" xr:uid="{00000000-0005-0000-0000-0000F0080000}"/>
    <cellStyle name="20% - Accent2 132 3" xfId="2293" xr:uid="{00000000-0005-0000-0000-0000F1080000}"/>
    <cellStyle name="20% - Accent2 133" xfId="2294" xr:uid="{00000000-0005-0000-0000-0000F2080000}"/>
    <cellStyle name="20% - Accent2 133 2" xfId="2295" xr:uid="{00000000-0005-0000-0000-0000F3080000}"/>
    <cellStyle name="20% - Accent2 133 2 2" xfId="2296" xr:uid="{00000000-0005-0000-0000-0000F4080000}"/>
    <cellStyle name="20% - Accent2 133 3" xfId="2297" xr:uid="{00000000-0005-0000-0000-0000F5080000}"/>
    <cellStyle name="20% - Accent2 134" xfId="2298" xr:uid="{00000000-0005-0000-0000-0000F6080000}"/>
    <cellStyle name="20% - Accent2 134 2" xfId="2299" xr:uid="{00000000-0005-0000-0000-0000F7080000}"/>
    <cellStyle name="20% - Accent2 135" xfId="2300" xr:uid="{00000000-0005-0000-0000-0000F8080000}"/>
    <cellStyle name="20% - Accent2 135 2" xfId="2301" xr:uid="{00000000-0005-0000-0000-0000F9080000}"/>
    <cellStyle name="20% - Accent2 136" xfId="2302" xr:uid="{00000000-0005-0000-0000-0000FA080000}"/>
    <cellStyle name="20% - Accent2 136 2" xfId="2303" xr:uid="{00000000-0005-0000-0000-0000FB080000}"/>
    <cellStyle name="20% - Accent2 137" xfId="2304" xr:uid="{00000000-0005-0000-0000-0000FC080000}"/>
    <cellStyle name="20% - Accent2 14" xfId="2305" xr:uid="{00000000-0005-0000-0000-0000FD080000}"/>
    <cellStyle name="20% - Accent2 14 2" xfId="2306" xr:uid="{00000000-0005-0000-0000-0000FE080000}"/>
    <cellStyle name="20% - Accent2 14 2 2" xfId="2307" xr:uid="{00000000-0005-0000-0000-0000FF080000}"/>
    <cellStyle name="20% - Accent2 14 3" xfId="2308" xr:uid="{00000000-0005-0000-0000-000000090000}"/>
    <cellStyle name="20% - Accent2 15" xfId="2309" xr:uid="{00000000-0005-0000-0000-000001090000}"/>
    <cellStyle name="20% - Accent2 15 2" xfId="2310" xr:uid="{00000000-0005-0000-0000-000002090000}"/>
    <cellStyle name="20% - Accent2 15 2 2" xfId="2311" xr:uid="{00000000-0005-0000-0000-000003090000}"/>
    <cellStyle name="20% - Accent2 15 3" xfId="2312" xr:uid="{00000000-0005-0000-0000-000004090000}"/>
    <cellStyle name="20% - Accent2 16" xfId="2313" xr:uid="{00000000-0005-0000-0000-000005090000}"/>
    <cellStyle name="20% - Accent2 16 2" xfId="2314" xr:uid="{00000000-0005-0000-0000-000006090000}"/>
    <cellStyle name="20% - Accent2 17" xfId="2315" xr:uid="{00000000-0005-0000-0000-000007090000}"/>
    <cellStyle name="20% - Accent2 17 2" xfId="2316" xr:uid="{00000000-0005-0000-0000-000008090000}"/>
    <cellStyle name="20% - Accent2 18" xfId="2317" xr:uid="{00000000-0005-0000-0000-000009090000}"/>
    <cellStyle name="20% - Accent2 18 2" xfId="2318" xr:uid="{00000000-0005-0000-0000-00000A090000}"/>
    <cellStyle name="20% - Accent2 19" xfId="2319" xr:uid="{00000000-0005-0000-0000-00000B090000}"/>
    <cellStyle name="20% - Accent2 19 2" xfId="2320" xr:uid="{00000000-0005-0000-0000-00000C090000}"/>
    <cellStyle name="20% - Accent2 2" xfId="2321" xr:uid="{00000000-0005-0000-0000-00000D090000}"/>
    <cellStyle name="20% - Accent2 2 2" xfId="2322" xr:uid="{00000000-0005-0000-0000-00000E090000}"/>
    <cellStyle name="20% - Accent2 2 2 2" xfId="2323" xr:uid="{00000000-0005-0000-0000-00000F090000}"/>
    <cellStyle name="20% - Accent2 2 2 2 2" xfId="2324" xr:uid="{00000000-0005-0000-0000-000010090000}"/>
    <cellStyle name="20% - Accent2 2 2 2 2 2" xfId="2325" xr:uid="{00000000-0005-0000-0000-000011090000}"/>
    <cellStyle name="20% - Accent2 2 3" xfId="2326" xr:uid="{00000000-0005-0000-0000-000012090000}"/>
    <cellStyle name="20% - Accent2 2 4" xfId="2327" xr:uid="{00000000-0005-0000-0000-000013090000}"/>
    <cellStyle name="20% - Accent2 2 5" xfId="41041" xr:uid="{00000000-0005-0000-0000-000001000000}"/>
    <cellStyle name="20% - Accent2 20" xfId="2328" xr:uid="{00000000-0005-0000-0000-000014090000}"/>
    <cellStyle name="20% - Accent2 20 2" xfId="2329" xr:uid="{00000000-0005-0000-0000-000015090000}"/>
    <cellStyle name="20% - Accent2 21" xfId="2330" xr:uid="{00000000-0005-0000-0000-000016090000}"/>
    <cellStyle name="20% - Accent2 21 2" xfId="2331" xr:uid="{00000000-0005-0000-0000-000017090000}"/>
    <cellStyle name="20% - Accent2 22" xfId="2332" xr:uid="{00000000-0005-0000-0000-000018090000}"/>
    <cellStyle name="20% - Accent2 22 2" xfId="2333" xr:uid="{00000000-0005-0000-0000-000019090000}"/>
    <cellStyle name="20% - Accent2 23" xfId="2334" xr:uid="{00000000-0005-0000-0000-00001A090000}"/>
    <cellStyle name="20% - Accent2 23 2" xfId="2335" xr:uid="{00000000-0005-0000-0000-00001B090000}"/>
    <cellStyle name="20% - Accent2 24" xfId="2336" xr:uid="{00000000-0005-0000-0000-00001C090000}"/>
    <cellStyle name="20% - Accent2 24 2" xfId="2337" xr:uid="{00000000-0005-0000-0000-00001D090000}"/>
    <cellStyle name="20% - Accent2 25" xfId="2338" xr:uid="{00000000-0005-0000-0000-00001E090000}"/>
    <cellStyle name="20% - Accent2 25 2" xfId="2339" xr:uid="{00000000-0005-0000-0000-00001F090000}"/>
    <cellStyle name="20% - Accent2 26" xfId="2340" xr:uid="{00000000-0005-0000-0000-000020090000}"/>
    <cellStyle name="20% - Accent2 26 2" xfId="2341" xr:uid="{00000000-0005-0000-0000-000021090000}"/>
    <cellStyle name="20% - Accent2 27" xfId="2342" xr:uid="{00000000-0005-0000-0000-000022090000}"/>
    <cellStyle name="20% - Accent2 27 2" xfId="2343" xr:uid="{00000000-0005-0000-0000-000023090000}"/>
    <cellStyle name="20% - Accent2 28" xfId="2344" xr:uid="{00000000-0005-0000-0000-000024090000}"/>
    <cellStyle name="20% - Accent2 28 2" xfId="2345" xr:uid="{00000000-0005-0000-0000-000025090000}"/>
    <cellStyle name="20% - Accent2 29" xfId="2346" xr:uid="{00000000-0005-0000-0000-000026090000}"/>
    <cellStyle name="20% - Accent2 29 2" xfId="2347" xr:uid="{00000000-0005-0000-0000-000027090000}"/>
    <cellStyle name="20% - Accent2 3" xfId="2348" xr:uid="{00000000-0005-0000-0000-000028090000}"/>
    <cellStyle name="20% - Accent2 3 2" xfId="2349" xr:uid="{00000000-0005-0000-0000-000029090000}"/>
    <cellStyle name="20% - Accent2 3 2 2" xfId="2350" xr:uid="{00000000-0005-0000-0000-00002A090000}"/>
    <cellStyle name="20% - Accent2 3 3" xfId="2351" xr:uid="{00000000-0005-0000-0000-00002B090000}"/>
    <cellStyle name="20% - Accent2 3 4" xfId="2352" xr:uid="{00000000-0005-0000-0000-00002C090000}"/>
    <cellStyle name="20% - Accent2 3 5" xfId="2353" xr:uid="{00000000-0005-0000-0000-00002D090000}"/>
    <cellStyle name="20% - Accent2 3_MAR 2009" xfId="2354" xr:uid="{00000000-0005-0000-0000-00002E090000}"/>
    <cellStyle name="20% - Accent2 30" xfId="2355" xr:uid="{00000000-0005-0000-0000-00002F090000}"/>
    <cellStyle name="20% - Accent2 30 2" xfId="2356" xr:uid="{00000000-0005-0000-0000-000030090000}"/>
    <cellStyle name="20% - Accent2 31" xfId="2357" xr:uid="{00000000-0005-0000-0000-000031090000}"/>
    <cellStyle name="20% - Accent2 31 2" xfId="2358" xr:uid="{00000000-0005-0000-0000-000032090000}"/>
    <cellStyle name="20% - Accent2 32" xfId="2359" xr:uid="{00000000-0005-0000-0000-000033090000}"/>
    <cellStyle name="20% - Accent2 32 2" xfId="2360" xr:uid="{00000000-0005-0000-0000-000034090000}"/>
    <cellStyle name="20% - Accent2 33" xfId="2361" xr:uid="{00000000-0005-0000-0000-000035090000}"/>
    <cellStyle name="20% - Accent2 33 2" xfId="2362" xr:uid="{00000000-0005-0000-0000-000036090000}"/>
    <cellStyle name="20% - Accent2 34" xfId="2363" xr:uid="{00000000-0005-0000-0000-000037090000}"/>
    <cellStyle name="20% - Accent2 35" xfId="2364" xr:uid="{00000000-0005-0000-0000-000038090000}"/>
    <cellStyle name="20% - Accent2 35 2" xfId="2365" xr:uid="{00000000-0005-0000-0000-000039090000}"/>
    <cellStyle name="20% - Accent2 36" xfId="2366" xr:uid="{00000000-0005-0000-0000-00003A090000}"/>
    <cellStyle name="20% - Accent2 36 2" xfId="2367" xr:uid="{00000000-0005-0000-0000-00003B090000}"/>
    <cellStyle name="20% - Accent2 37" xfId="2368" xr:uid="{00000000-0005-0000-0000-00003C090000}"/>
    <cellStyle name="20% - Accent2 37 2" xfId="2369" xr:uid="{00000000-0005-0000-0000-00003D090000}"/>
    <cellStyle name="20% - Accent2 38" xfId="2370" xr:uid="{00000000-0005-0000-0000-00003E090000}"/>
    <cellStyle name="20% - Accent2 38 2" xfId="2371" xr:uid="{00000000-0005-0000-0000-00003F090000}"/>
    <cellStyle name="20% - Accent2 39" xfId="2372" xr:uid="{00000000-0005-0000-0000-000040090000}"/>
    <cellStyle name="20% - Accent2 39 2" xfId="2373" xr:uid="{00000000-0005-0000-0000-000041090000}"/>
    <cellStyle name="20% - Accent2 4" xfId="2374" xr:uid="{00000000-0005-0000-0000-000042090000}"/>
    <cellStyle name="20% - Accent2 4 2" xfId="2375" xr:uid="{00000000-0005-0000-0000-000043090000}"/>
    <cellStyle name="20% - Accent2 4 2 2" xfId="2376" xr:uid="{00000000-0005-0000-0000-000044090000}"/>
    <cellStyle name="20% - Accent2 4 3" xfId="2377" xr:uid="{00000000-0005-0000-0000-000045090000}"/>
    <cellStyle name="20% - Accent2 40" xfId="2378" xr:uid="{00000000-0005-0000-0000-000046090000}"/>
    <cellStyle name="20% - Accent2 40 2" xfId="2379" xr:uid="{00000000-0005-0000-0000-000047090000}"/>
    <cellStyle name="20% - Accent2 41" xfId="2380" xr:uid="{00000000-0005-0000-0000-000048090000}"/>
    <cellStyle name="20% - Accent2 41 2" xfId="2381" xr:uid="{00000000-0005-0000-0000-000049090000}"/>
    <cellStyle name="20% - Accent2 42" xfId="2382" xr:uid="{00000000-0005-0000-0000-00004A090000}"/>
    <cellStyle name="20% - Accent2 42 2" xfId="2383" xr:uid="{00000000-0005-0000-0000-00004B090000}"/>
    <cellStyle name="20% - Accent2 43" xfId="2384" xr:uid="{00000000-0005-0000-0000-00004C090000}"/>
    <cellStyle name="20% - Accent2 43 2" xfId="2385" xr:uid="{00000000-0005-0000-0000-00004D090000}"/>
    <cellStyle name="20% - Accent2 44" xfId="2386" xr:uid="{00000000-0005-0000-0000-00004E090000}"/>
    <cellStyle name="20% - Accent2 44 2" xfId="2387" xr:uid="{00000000-0005-0000-0000-00004F090000}"/>
    <cellStyle name="20% - Accent2 45" xfId="2388" xr:uid="{00000000-0005-0000-0000-000050090000}"/>
    <cellStyle name="20% - Accent2 45 2" xfId="2389" xr:uid="{00000000-0005-0000-0000-000051090000}"/>
    <cellStyle name="20% - Accent2 46" xfId="2390" xr:uid="{00000000-0005-0000-0000-000052090000}"/>
    <cellStyle name="20% - Accent2 46 2" xfId="2391" xr:uid="{00000000-0005-0000-0000-000053090000}"/>
    <cellStyle name="20% - Accent2 47" xfId="2392" xr:uid="{00000000-0005-0000-0000-000054090000}"/>
    <cellStyle name="20% - Accent2 47 2" xfId="2393" xr:uid="{00000000-0005-0000-0000-000055090000}"/>
    <cellStyle name="20% - Accent2 48" xfId="2394" xr:uid="{00000000-0005-0000-0000-000056090000}"/>
    <cellStyle name="20% - Accent2 48 2" xfId="2395" xr:uid="{00000000-0005-0000-0000-000057090000}"/>
    <cellStyle name="20% - Accent2 49" xfId="2396" xr:uid="{00000000-0005-0000-0000-000058090000}"/>
    <cellStyle name="20% - Accent2 49 2" xfId="2397" xr:uid="{00000000-0005-0000-0000-000059090000}"/>
    <cellStyle name="20% - Accent2 5" xfId="2398" xr:uid="{00000000-0005-0000-0000-00005A090000}"/>
    <cellStyle name="20% - Accent2 5 2" xfId="2399" xr:uid="{00000000-0005-0000-0000-00005B090000}"/>
    <cellStyle name="20% - Accent2 5 2 2" xfId="2400" xr:uid="{00000000-0005-0000-0000-00005C090000}"/>
    <cellStyle name="20% - Accent2 5 3" xfId="2401" xr:uid="{00000000-0005-0000-0000-00005D090000}"/>
    <cellStyle name="20% - Accent2 50" xfId="2402" xr:uid="{00000000-0005-0000-0000-00005E090000}"/>
    <cellStyle name="20% - Accent2 50 2" xfId="2403" xr:uid="{00000000-0005-0000-0000-00005F090000}"/>
    <cellStyle name="20% - Accent2 51" xfId="2404" xr:uid="{00000000-0005-0000-0000-000060090000}"/>
    <cellStyle name="20% - Accent2 51 2" xfId="2405" xr:uid="{00000000-0005-0000-0000-000061090000}"/>
    <cellStyle name="20% - Accent2 52" xfId="2406" xr:uid="{00000000-0005-0000-0000-000062090000}"/>
    <cellStyle name="20% - Accent2 53" xfId="2407" xr:uid="{00000000-0005-0000-0000-000063090000}"/>
    <cellStyle name="20% - Accent2 54" xfId="2408" xr:uid="{00000000-0005-0000-0000-000064090000}"/>
    <cellStyle name="20% - Accent2 55" xfId="2409" xr:uid="{00000000-0005-0000-0000-000065090000}"/>
    <cellStyle name="20% - Accent2 56" xfId="2410" xr:uid="{00000000-0005-0000-0000-000066090000}"/>
    <cellStyle name="20% - Accent2 57" xfId="2411" xr:uid="{00000000-0005-0000-0000-000067090000}"/>
    <cellStyle name="20% - Accent2 58" xfId="2412" xr:uid="{00000000-0005-0000-0000-000068090000}"/>
    <cellStyle name="20% - Accent2 59" xfId="2413" xr:uid="{00000000-0005-0000-0000-000069090000}"/>
    <cellStyle name="20% - Accent2 6" xfId="2414" xr:uid="{00000000-0005-0000-0000-00006A090000}"/>
    <cellStyle name="20% - Accent2 6 2" xfId="2415" xr:uid="{00000000-0005-0000-0000-00006B090000}"/>
    <cellStyle name="20% - Accent2 6 2 2" xfId="2416" xr:uid="{00000000-0005-0000-0000-00006C090000}"/>
    <cellStyle name="20% - Accent2 6 3" xfId="2417" xr:uid="{00000000-0005-0000-0000-00006D090000}"/>
    <cellStyle name="20% - Accent2 60" xfId="2418" xr:uid="{00000000-0005-0000-0000-00006E090000}"/>
    <cellStyle name="20% - Accent2 61" xfId="2419" xr:uid="{00000000-0005-0000-0000-00006F090000}"/>
    <cellStyle name="20% - Accent2 62" xfId="2420" xr:uid="{00000000-0005-0000-0000-000070090000}"/>
    <cellStyle name="20% - Accent2 63" xfId="2421" xr:uid="{00000000-0005-0000-0000-000071090000}"/>
    <cellStyle name="20% - Accent2 63 2" xfId="2422" xr:uid="{00000000-0005-0000-0000-000072090000}"/>
    <cellStyle name="20% - Accent2 64" xfId="2423" xr:uid="{00000000-0005-0000-0000-000073090000}"/>
    <cellStyle name="20% - Accent2 64 2" xfId="2424" xr:uid="{00000000-0005-0000-0000-000074090000}"/>
    <cellStyle name="20% - Accent2 65" xfId="2425" xr:uid="{00000000-0005-0000-0000-000075090000}"/>
    <cellStyle name="20% - Accent2 65 2" xfId="2426" xr:uid="{00000000-0005-0000-0000-000076090000}"/>
    <cellStyle name="20% - Accent2 66" xfId="2427" xr:uid="{00000000-0005-0000-0000-000077090000}"/>
    <cellStyle name="20% - Accent2 66 2" xfId="2428" xr:uid="{00000000-0005-0000-0000-000078090000}"/>
    <cellStyle name="20% - Accent2 67" xfId="2429" xr:uid="{00000000-0005-0000-0000-000079090000}"/>
    <cellStyle name="20% - Accent2 67 2" xfId="2430" xr:uid="{00000000-0005-0000-0000-00007A090000}"/>
    <cellStyle name="20% - Accent2 68" xfId="2431" xr:uid="{00000000-0005-0000-0000-00007B090000}"/>
    <cellStyle name="20% - Accent2 68 2" xfId="2432" xr:uid="{00000000-0005-0000-0000-00007C090000}"/>
    <cellStyle name="20% - Accent2 69" xfId="2433" xr:uid="{00000000-0005-0000-0000-00007D090000}"/>
    <cellStyle name="20% - Accent2 69 2" xfId="2434" xr:uid="{00000000-0005-0000-0000-00007E090000}"/>
    <cellStyle name="20% - Accent2 7" xfId="2435" xr:uid="{00000000-0005-0000-0000-00007F090000}"/>
    <cellStyle name="20% - Accent2 7 2" xfId="2436" xr:uid="{00000000-0005-0000-0000-000080090000}"/>
    <cellStyle name="20% - Accent2 7 2 2" xfId="2437" xr:uid="{00000000-0005-0000-0000-000081090000}"/>
    <cellStyle name="20% - Accent2 7 3" xfId="2438" xr:uid="{00000000-0005-0000-0000-000082090000}"/>
    <cellStyle name="20% - Accent2 7 4" xfId="2439" xr:uid="{00000000-0005-0000-0000-000083090000}"/>
    <cellStyle name="20% - Accent2 70" xfId="2440" xr:uid="{00000000-0005-0000-0000-000084090000}"/>
    <cellStyle name="20% - Accent2 70 2" xfId="2441" xr:uid="{00000000-0005-0000-0000-000085090000}"/>
    <cellStyle name="20% - Accent2 71" xfId="2442" xr:uid="{00000000-0005-0000-0000-000086090000}"/>
    <cellStyle name="20% - Accent2 71 2" xfId="2443" xr:uid="{00000000-0005-0000-0000-000087090000}"/>
    <cellStyle name="20% - Accent2 72" xfId="2444" xr:uid="{00000000-0005-0000-0000-000088090000}"/>
    <cellStyle name="20% - Accent2 72 2" xfId="2445" xr:uid="{00000000-0005-0000-0000-000089090000}"/>
    <cellStyle name="20% - Accent2 73" xfId="2446" xr:uid="{00000000-0005-0000-0000-00008A090000}"/>
    <cellStyle name="20% - Accent2 73 10" xfId="2447" xr:uid="{00000000-0005-0000-0000-00008B090000}"/>
    <cellStyle name="20% - Accent2 73 10 2" xfId="2448" xr:uid="{00000000-0005-0000-0000-00008C090000}"/>
    <cellStyle name="20% - Accent2 73 10 2 2" xfId="2449" xr:uid="{00000000-0005-0000-0000-00008D090000}"/>
    <cellStyle name="20% - Accent2 73 10 3" xfId="2450" xr:uid="{00000000-0005-0000-0000-00008E090000}"/>
    <cellStyle name="20% - Accent2 73 11" xfId="2451" xr:uid="{00000000-0005-0000-0000-00008F090000}"/>
    <cellStyle name="20% - Accent2 73 11 2" xfId="2452" xr:uid="{00000000-0005-0000-0000-000090090000}"/>
    <cellStyle name="20% - Accent2 73 11 2 2" xfId="2453" xr:uid="{00000000-0005-0000-0000-000091090000}"/>
    <cellStyle name="20% - Accent2 73 11 3" xfId="2454" xr:uid="{00000000-0005-0000-0000-000092090000}"/>
    <cellStyle name="20% - Accent2 73 12" xfId="2455" xr:uid="{00000000-0005-0000-0000-000093090000}"/>
    <cellStyle name="20% - Accent2 73 12 2" xfId="2456" xr:uid="{00000000-0005-0000-0000-000094090000}"/>
    <cellStyle name="20% - Accent2 73 12 2 2" xfId="2457" xr:uid="{00000000-0005-0000-0000-000095090000}"/>
    <cellStyle name="20% - Accent2 73 12 3" xfId="2458" xr:uid="{00000000-0005-0000-0000-000096090000}"/>
    <cellStyle name="20% - Accent2 73 13" xfId="2459" xr:uid="{00000000-0005-0000-0000-000097090000}"/>
    <cellStyle name="20% - Accent2 73 13 2" xfId="2460" xr:uid="{00000000-0005-0000-0000-000098090000}"/>
    <cellStyle name="20% - Accent2 73 13 2 2" xfId="2461" xr:uid="{00000000-0005-0000-0000-000099090000}"/>
    <cellStyle name="20% - Accent2 73 13 3" xfId="2462" xr:uid="{00000000-0005-0000-0000-00009A090000}"/>
    <cellStyle name="20% - Accent2 73 14" xfId="2463" xr:uid="{00000000-0005-0000-0000-00009B090000}"/>
    <cellStyle name="20% - Accent2 73 14 2" xfId="2464" xr:uid="{00000000-0005-0000-0000-00009C090000}"/>
    <cellStyle name="20% - Accent2 73 14 2 2" xfId="2465" xr:uid="{00000000-0005-0000-0000-00009D090000}"/>
    <cellStyle name="20% - Accent2 73 14 3" xfId="2466" xr:uid="{00000000-0005-0000-0000-00009E090000}"/>
    <cellStyle name="20% - Accent2 73 15" xfId="2467" xr:uid="{00000000-0005-0000-0000-00009F090000}"/>
    <cellStyle name="20% - Accent2 73 15 2" xfId="2468" xr:uid="{00000000-0005-0000-0000-0000A0090000}"/>
    <cellStyle name="20% - Accent2 73 15 2 2" xfId="2469" xr:uid="{00000000-0005-0000-0000-0000A1090000}"/>
    <cellStyle name="20% - Accent2 73 15 3" xfId="2470" xr:uid="{00000000-0005-0000-0000-0000A2090000}"/>
    <cellStyle name="20% - Accent2 73 16" xfId="2471" xr:uid="{00000000-0005-0000-0000-0000A3090000}"/>
    <cellStyle name="20% - Accent2 73 16 2" xfId="2472" xr:uid="{00000000-0005-0000-0000-0000A4090000}"/>
    <cellStyle name="20% - Accent2 73 16 2 2" xfId="2473" xr:uid="{00000000-0005-0000-0000-0000A5090000}"/>
    <cellStyle name="20% - Accent2 73 16 3" xfId="2474" xr:uid="{00000000-0005-0000-0000-0000A6090000}"/>
    <cellStyle name="20% - Accent2 73 17" xfId="2475" xr:uid="{00000000-0005-0000-0000-0000A7090000}"/>
    <cellStyle name="20% - Accent2 73 17 2" xfId="2476" xr:uid="{00000000-0005-0000-0000-0000A8090000}"/>
    <cellStyle name="20% - Accent2 73 17 2 2" xfId="2477" xr:uid="{00000000-0005-0000-0000-0000A9090000}"/>
    <cellStyle name="20% - Accent2 73 17 3" xfId="2478" xr:uid="{00000000-0005-0000-0000-0000AA090000}"/>
    <cellStyle name="20% - Accent2 73 18" xfId="2479" xr:uid="{00000000-0005-0000-0000-0000AB090000}"/>
    <cellStyle name="20% - Accent2 73 18 2" xfId="2480" xr:uid="{00000000-0005-0000-0000-0000AC090000}"/>
    <cellStyle name="20% - Accent2 73 18 2 2" xfId="2481" xr:uid="{00000000-0005-0000-0000-0000AD090000}"/>
    <cellStyle name="20% - Accent2 73 18 3" xfId="2482" xr:uid="{00000000-0005-0000-0000-0000AE090000}"/>
    <cellStyle name="20% - Accent2 73 19" xfId="2483" xr:uid="{00000000-0005-0000-0000-0000AF090000}"/>
    <cellStyle name="20% - Accent2 73 19 2" xfId="2484" xr:uid="{00000000-0005-0000-0000-0000B0090000}"/>
    <cellStyle name="20% - Accent2 73 19 2 2" xfId="2485" xr:uid="{00000000-0005-0000-0000-0000B1090000}"/>
    <cellStyle name="20% - Accent2 73 19 3" xfId="2486" xr:uid="{00000000-0005-0000-0000-0000B2090000}"/>
    <cellStyle name="20% - Accent2 73 2" xfId="2487" xr:uid="{00000000-0005-0000-0000-0000B3090000}"/>
    <cellStyle name="20% - Accent2 73 2 2" xfId="2488" xr:uid="{00000000-0005-0000-0000-0000B4090000}"/>
    <cellStyle name="20% - Accent2 73 2 2 2" xfId="2489" xr:uid="{00000000-0005-0000-0000-0000B5090000}"/>
    <cellStyle name="20% - Accent2 73 2 3" xfId="2490" xr:uid="{00000000-0005-0000-0000-0000B6090000}"/>
    <cellStyle name="20% - Accent2 73 20" xfId="2491" xr:uid="{00000000-0005-0000-0000-0000B7090000}"/>
    <cellStyle name="20% - Accent2 73 20 2" xfId="2492" xr:uid="{00000000-0005-0000-0000-0000B8090000}"/>
    <cellStyle name="20% - Accent2 73 20 2 2" xfId="2493" xr:uid="{00000000-0005-0000-0000-0000B9090000}"/>
    <cellStyle name="20% - Accent2 73 20 3" xfId="2494" xr:uid="{00000000-0005-0000-0000-0000BA090000}"/>
    <cellStyle name="20% - Accent2 73 21" xfId="2495" xr:uid="{00000000-0005-0000-0000-0000BB090000}"/>
    <cellStyle name="20% - Accent2 73 21 2" xfId="2496" xr:uid="{00000000-0005-0000-0000-0000BC090000}"/>
    <cellStyle name="20% - Accent2 73 21 2 2" xfId="2497" xr:uid="{00000000-0005-0000-0000-0000BD090000}"/>
    <cellStyle name="20% - Accent2 73 21 3" xfId="2498" xr:uid="{00000000-0005-0000-0000-0000BE090000}"/>
    <cellStyle name="20% - Accent2 73 22" xfId="2499" xr:uid="{00000000-0005-0000-0000-0000BF090000}"/>
    <cellStyle name="20% - Accent2 73 22 2" xfId="2500" xr:uid="{00000000-0005-0000-0000-0000C0090000}"/>
    <cellStyle name="20% - Accent2 73 22 2 2" xfId="2501" xr:uid="{00000000-0005-0000-0000-0000C1090000}"/>
    <cellStyle name="20% - Accent2 73 22 3" xfId="2502" xr:uid="{00000000-0005-0000-0000-0000C2090000}"/>
    <cellStyle name="20% - Accent2 73 23" xfId="2503" xr:uid="{00000000-0005-0000-0000-0000C3090000}"/>
    <cellStyle name="20% - Accent2 73 23 2" xfId="2504" xr:uid="{00000000-0005-0000-0000-0000C4090000}"/>
    <cellStyle name="20% - Accent2 73 23 2 2" xfId="2505" xr:uid="{00000000-0005-0000-0000-0000C5090000}"/>
    <cellStyle name="20% - Accent2 73 23 3" xfId="2506" xr:uid="{00000000-0005-0000-0000-0000C6090000}"/>
    <cellStyle name="20% - Accent2 73 24" xfId="2507" xr:uid="{00000000-0005-0000-0000-0000C7090000}"/>
    <cellStyle name="20% - Accent2 73 24 2" xfId="2508" xr:uid="{00000000-0005-0000-0000-0000C8090000}"/>
    <cellStyle name="20% - Accent2 73 24 2 2" xfId="2509" xr:uid="{00000000-0005-0000-0000-0000C9090000}"/>
    <cellStyle name="20% - Accent2 73 24 3" xfId="2510" xr:uid="{00000000-0005-0000-0000-0000CA090000}"/>
    <cellStyle name="20% - Accent2 73 25" xfId="2511" xr:uid="{00000000-0005-0000-0000-0000CB090000}"/>
    <cellStyle name="20% - Accent2 73 25 2" xfId="2512" xr:uid="{00000000-0005-0000-0000-0000CC090000}"/>
    <cellStyle name="20% - Accent2 73 25 2 2" xfId="2513" xr:uid="{00000000-0005-0000-0000-0000CD090000}"/>
    <cellStyle name="20% - Accent2 73 25 3" xfId="2514" xr:uid="{00000000-0005-0000-0000-0000CE090000}"/>
    <cellStyle name="20% - Accent2 73 26" xfId="2515" xr:uid="{00000000-0005-0000-0000-0000CF090000}"/>
    <cellStyle name="20% - Accent2 73 26 2" xfId="2516" xr:uid="{00000000-0005-0000-0000-0000D0090000}"/>
    <cellStyle name="20% - Accent2 73 26 2 2" xfId="2517" xr:uid="{00000000-0005-0000-0000-0000D1090000}"/>
    <cellStyle name="20% - Accent2 73 26 3" xfId="2518" xr:uid="{00000000-0005-0000-0000-0000D2090000}"/>
    <cellStyle name="20% - Accent2 73 27" xfId="2519" xr:uid="{00000000-0005-0000-0000-0000D3090000}"/>
    <cellStyle name="20% - Accent2 73 27 2" xfId="2520" xr:uid="{00000000-0005-0000-0000-0000D4090000}"/>
    <cellStyle name="20% - Accent2 73 27 2 2" xfId="2521" xr:uid="{00000000-0005-0000-0000-0000D5090000}"/>
    <cellStyle name="20% - Accent2 73 27 3" xfId="2522" xr:uid="{00000000-0005-0000-0000-0000D6090000}"/>
    <cellStyle name="20% - Accent2 73 28" xfId="2523" xr:uid="{00000000-0005-0000-0000-0000D7090000}"/>
    <cellStyle name="20% - Accent2 73 28 2" xfId="2524" xr:uid="{00000000-0005-0000-0000-0000D8090000}"/>
    <cellStyle name="20% - Accent2 73 28 2 2" xfId="2525" xr:uid="{00000000-0005-0000-0000-0000D9090000}"/>
    <cellStyle name="20% - Accent2 73 28 3" xfId="2526" xr:uid="{00000000-0005-0000-0000-0000DA090000}"/>
    <cellStyle name="20% - Accent2 73 29" xfId="2527" xr:uid="{00000000-0005-0000-0000-0000DB090000}"/>
    <cellStyle name="20% - Accent2 73 29 2" xfId="2528" xr:uid="{00000000-0005-0000-0000-0000DC090000}"/>
    <cellStyle name="20% - Accent2 73 29 2 2" xfId="2529" xr:uid="{00000000-0005-0000-0000-0000DD090000}"/>
    <cellStyle name="20% - Accent2 73 29 3" xfId="2530" xr:uid="{00000000-0005-0000-0000-0000DE090000}"/>
    <cellStyle name="20% - Accent2 73 3" xfId="2531" xr:uid="{00000000-0005-0000-0000-0000DF090000}"/>
    <cellStyle name="20% - Accent2 73 3 2" xfId="2532" xr:uid="{00000000-0005-0000-0000-0000E0090000}"/>
    <cellStyle name="20% - Accent2 73 3 2 2" xfId="2533" xr:uid="{00000000-0005-0000-0000-0000E1090000}"/>
    <cellStyle name="20% - Accent2 73 3 3" xfId="2534" xr:uid="{00000000-0005-0000-0000-0000E2090000}"/>
    <cellStyle name="20% - Accent2 73 30" xfId="2535" xr:uid="{00000000-0005-0000-0000-0000E3090000}"/>
    <cellStyle name="20% - Accent2 73 30 2" xfId="2536" xr:uid="{00000000-0005-0000-0000-0000E4090000}"/>
    <cellStyle name="20% - Accent2 73 30 2 2" xfId="2537" xr:uid="{00000000-0005-0000-0000-0000E5090000}"/>
    <cellStyle name="20% - Accent2 73 30 3" xfId="2538" xr:uid="{00000000-0005-0000-0000-0000E6090000}"/>
    <cellStyle name="20% - Accent2 73 31" xfId="2539" xr:uid="{00000000-0005-0000-0000-0000E7090000}"/>
    <cellStyle name="20% - Accent2 73 31 2" xfId="2540" xr:uid="{00000000-0005-0000-0000-0000E8090000}"/>
    <cellStyle name="20% - Accent2 73 31 2 2" xfId="2541" xr:uid="{00000000-0005-0000-0000-0000E9090000}"/>
    <cellStyle name="20% - Accent2 73 31 3" xfId="2542" xr:uid="{00000000-0005-0000-0000-0000EA090000}"/>
    <cellStyle name="20% - Accent2 73 32" xfId="2543" xr:uid="{00000000-0005-0000-0000-0000EB090000}"/>
    <cellStyle name="20% - Accent2 73 32 2" xfId="2544" xr:uid="{00000000-0005-0000-0000-0000EC090000}"/>
    <cellStyle name="20% - Accent2 73 32 2 2" xfId="2545" xr:uid="{00000000-0005-0000-0000-0000ED090000}"/>
    <cellStyle name="20% - Accent2 73 32 3" xfId="2546" xr:uid="{00000000-0005-0000-0000-0000EE090000}"/>
    <cellStyle name="20% - Accent2 73 33" xfId="2547" xr:uid="{00000000-0005-0000-0000-0000EF090000}"/>
    <cellStyle name="20% - Accent2 73 33 2" xfId="2548" xr:uid="{00000000-0005-0000-0000-0000F0090000}"/>
    <cellStyle name="20% - Accent2 73 33 2 2" xfId="2549" xr:uid="{00000000-0005-0000-0000-0000F1090000}"/>
    <cellStyle name="20% - Accent2 73 33 3" xfId="2550" xr:uid="{00000000-0005-0000-0000-0000F2090000}"/>
    <cellStyle name="20% - Accent2 73 34" xfId="2551" xr:uid="{00000000-0005-0000-0000-0000F3090000}"/>
    <cellStyle name="20% - Accent2 73 34 2" xfId="2552" xr:uid="{00000000-0005-0000-0000-0000F4090000}"/>
    <cellStyle name="20% - Accent2 73 34 2 2" xfId="2553" xr:uid="{00000000-0005-0000-0000-0000F5090000}"/>
    <cellStyle name="20% - Accent2 73 34 3" xfId="2554" xr:uid="{00000000-0005-0000-0000-0000F6090000}"/>
    <cellStyle name="20% - Accent2 73 35" xfId="2555" xr:uid="{00000000-0005-0000-0000-0000F7090000}"/>
    <cellStyle name="20% - Accent2 73 35 2" xfId="2556" xr:uid="{00000000-0005-0000-0000-0000F8090000}"/>
    <cellStyle name="20% - Accent2 73 35 2 2" xfId="2557" xr:uid="{00000000-0005-0000-0000-0000F9090000}"/>
    <cellStyle name="20% - Accent2 73 35 3" xfId="2558" xr:uid="{00000000-0005-0000-0000-0000FA090000}"/>
    <cellStyle name="20% - Accent2 73 36" xfId="2559" xr:uid="{00000000-0005-0000-0000-0000FB090000}"/>
    <cellStyle name="20% - Accent2 73 36 2" xfId="2560" xr:uid="{00000000-0005-0000-0000-0000FC090000}"/>
    <cellStyle name="20% - Accent2 73 36 2 2" xfId="2561" xr:uid="{00000000-0005-0000-0000-0000FD090000}"/>
    <cellStyle name="20% - Accent2 73 36 3" xfId="2562" xr:uid="{00000000-0005-0000-0000-0000FE090000}"/>
    <cellStyle name="20% - Accent2 73 4" xfId="2563" xr:uid="{00000000-0005-0000-0000-0000FF090000}"/>
    <cellStyle name="20% - Accent2 73 4 2" xfId="2564" xr:uid="{00000000-0005-0000-0000-0000000A0000}"/>
    <cellStyle name="20% - Accent2 73 4 2 2" xfId="2565" xr:uid="{00000000-0005-0000-0000-0000010A0000}"/>
    <cellStyle name="20% - Accent2 73 4 3" xfId="2566" xr:uid="{00000000-0005-0000-0000-0000020A0000}"/>
    <cellStyle name="20% - Accent2 73 5" xfId="2567" xr:uid="{00000000-0005-0000-0000-0000030A0000}"/>
    <cellStyle name="20% - Accent2 73 5 2" xfId="2568" xr:uid="{00000000-0005-0000-0000-0000040A0000}"/>
    <cellStyle name="20% - Accent2 73 5 2 2" xfId="2569" xr:uid="{00000000-0005-0000-0000-0000050A0000}"/>
    <cellStyle name="20% - Accent2 73 5 3" xfId="2570" xr:uid="{00000000-0005-0000-0000-0000060A0000}"/>
    <cellStyle name="20% - Accent2 73 6" xfId="2571" xr:uid="{00000000-0005-0000-0000-0000070A0000}"/>
    <cellStyle name="20% - Accent2 73 6 2" xfId="2572" xr:uid="{00000000-0005-0000-0000-0000080A0000}"/>
    <cellStyle name="20% - Accent2 73 6 2 2" xfId="2573" xr:uid="{00000000-0005-0000-0000-0000090A0000}"/>
    <cellStyle name="20% - Accent2 73 6 3" xfId="2574" xr:uid="{00000000-0005-0000-0000-00000A0A0000}"/>
    <cellStyle name="20% - Accent2 73 7" xfId="2575" xr:uid="{00000000-0005-0000-0000-00000B0A0000}"/>
    <cellStyle name="20% - Accent2 73 7 2" xfId="2576" xr:uid="{00000000-0005-0000-0000-00000C0A0000}"/>
    <cellStyle name="20% - Accent2 73 7 2 2" xfId="2577" xr:uid="{00000000-0005-0000-0000-00000D0A0000}"/>
    <cellStyle name="20% - Accent2 73 7 3" xfId="2578" xr:uid="{00000000-0005-0000-0000-00000E0A0000}"/>
    <cellStyle name="20% - Accent2 73 8" xfId="2579" xr:uid="{00000000-0005-0000-0000-00000F0A0000}"/>
    <cellStyle name="20% - Accent2 73 8 2" xfId="2580" xr:uid="{00000000-0005-0000-0000-0000100A0000}"/>
    <cellStyle name="20% - Accent2 73 8 2 2" xfId="2581" xr:uid="{00000000-0005-0000-0000-0000110A0000}"/>
    <cellStyle name="20% - Accent2 73 8 3" xfId="2582" xr:uid="{00000000-0005-0000-0000-0000120A0000}"/>
    <cellStyle name="20% - Accent2 73 9" xfId="2583" xr:uid="{00000000-0005-0000-0000-0000130A0000}"/>
    <cellStyle name="20% - Accent2 73 9 2" xfId="2584" xr:uid="{00000000-0005-0000-0000-0000140A0000}"/>
    <cellStyle name="20% - Accent2 73 9 2 2" xfId="2585" xr:uid="{00000000-0005-0000-0000-0000150A0000}"/>
    <cellStyle name="20% - Accent2 73 9 3" xfId="2586" xr:uid="{00000000-0005-0000-0000-0000160A0000}"/>
    <cellStyle name="20% - Accent2 74" xfId="2587" xr:uid="{00000000-0005-0000-0000-0000170A0000}"/>
    <cellStyle name="20% - Accent2 74 10" xfId="2588" xr:uid="{00000000-0005-0000-0000-0000180A0000}"/>
    <cellStyle name="20% - Accent2 74 10 2" xfId="2589" xr:uid="{00000000-0005-0000-0000-0000190A0000}"/>
    <cellStyle name="20% - Accent2 74 10 2 2" xfId="2590" xr:uid="{00000000-0005-0000-0000-00001A0A0000}"/>
    <cellStyle name="20% - Accent2 74 10 3" xfId="2591" xr:uid="{00000000-0005-0000-0000-00001B0A0000}"/>
    <cellStyle name="20% - Accent2 74 11" xfId="2592" xr:uid="{00000000-0005-0000-0000-00001C0A0000}"/>
    <cellStyle name="20% - Accent2 74 11 2" xfId="2593" xr:uid="{00000000-0005-0000-0000-00001D0A0000}"/>
    <cellStyle name="20% - Accent2 74 11 2 2" xfId="2594" xr:uid="{00000000-0005-0000-0000-00001E0A0000}"/>
    <cellStyle name="20% - Accent2 74 11 3" xfId="2595" xr:uid="{00000000-0005-0000-0000-00001F0A0000}"/>
    <cellStyle name="20% - Accent2 74 12" xfId="2596" xr:uid="{00000000-0005-0000-0000-0000200A0000}"/>
    <cellStyle name="20% - Accent2 74 12 2" xfId="2597" xr:uid="{00000000-0005-0000-0000-0000210A0000}"/>
    <cellStyle name="20% - Accent2 74 12 2 2" xfId="2598" xr:uid="{00000000-0005-0000-0000-0000220A0000}"/>
    <cellStyle name="20% - Accent2 74 12 3" xfId="2599" xr:uid="{00000000-0005-0000-0000-0000230A0000}"/>
    <cellStyle name="20% - Accent2 74 13" xfId="2600" xr:uid="{00000000-0005-0000-0000-0000240A0000}"/>
    <cellStyle name="20% - Accent2 74 13 2" xfId="2601" xr:uid="{00000000-0005-0000-0000-0000250A0000}"/>
    <cellStyle name="20% - Accent2 74 13 2 2" xfId="2602" xr:uid="{00000000-0005-0000-0000-0000260A0000}"/>
    <cellStyle name="20% - Accent2 74 13 3" xfId="2603" xr:uid="{00000000-0005-0000-0000-0000270A0000}"/>
    <cellStyle name="20% - Accent2 74 14" xfId="2604" xr:uid="{00000000-0005-0000-0000-0000280A0000}"/>
    <cellStyle name="20% - Accent2 74 14 2" xfId="2605" xr:uid="{00000000-0005-0000-0000-0000290A0000}"/>
    <cellStyle name="20% - Accent2 74 14 2 2" xfId="2606" xr:uid="{00000000-0005-0000-0000-00002A0A0000}"/>
    <cellStyle name="20% - Accent2 74 14 3" xfId="2607" xr:uid="{00000000-0005-0000-0000-00002B0A0000}"/>
    <cellStyle name="20% - Accent2 74 15" xfId="2608" xr:uid="{00000000-0005-0000-0000-00002C0A0000}"/>
    <cellStyle name="20% - Accent2 74 15 2" xfId="2609" xr:uid="{00000000-0005-0000-0000-00002D0A0000}"/>
    <cellStyle name="20% - Accent2 74 15 2 2" xfId="2610" xr:uid="{00000000-0005-0000-0000-00002E0A0000}"/>
    <cellStyle name="20% - Accent2 74 15 3" xfId="2611" xr:uid="{00000000-0005-0000-0000-00002F0A0000}"/>
    <cellStyle name="20% - Accent2 74 16" xfId="2612" xr:uid="{00000000-0005-0000-0000-0000300A0000}"/>
    <cellStyle name="20% - Accent2 74 16 2" xfId="2613" xr:uid="{00000000-0005-0000-0000-0000310A0000}"/>
    <cellStyle name="20% - Accent2 74 16 2 2" xfId="2614" xr:uid="{00000000-0005-0000-0000-0000320A0000}"/>
    <cellStyle name="20% - Accent2 74 16 3" xfId="2615" xr:uid="{00000000-0005-0000-0000-0000330A0000}"/>
    <cellStyle name="20% - Accent2 74 17" xfId="2616" xr:uid="{00000000-0005-0000-0000-0000340A0000}"/>
    <cellStyle name="20% - Accent2 74 17 2" xfId="2617" xr:uid="{00000000-0005-0000-0000-0000350A0000}"/>
    <cellStyle name="20% - Accent2 74 17 2 2" xfId="2618" xr:uid="{00000000-0005-0000-0000-0000360A0000}"/>
    <cellStyle name="20% - Accent2 74 17 3" xfId="2619" xr:uid="{00000000-0005-0000-0000-0000370A0000}"/>
    <cellStyle name="20% - Accent2 74 18" xfId="2620" xr:uid="{00000000-0005-0000-0000-0000380A0000}"/>
    <cellStyle name="20% - Accent2 74 18 2" xfId="2621" xr:uid="{00000000-0005-0000-0000-0000390A0000}"/>
    <cellStyle name="20% - Accent2 74 18 2 2" xfId="2622" xr:uid="{00000000-0005-0000-0000-00003A0A0000}"/>
    <cellStyle name="20% - Accent2 74 18 3" xfId="2623" xr:uid="{00000000-0005-0000-0000-00003B0A0000}"/>
    <cellStyle name="20% - Accent2 74 19" xfId="2624" xr:uid="{00000000-0005-0000-0000-00003C0A0000}"/>
    <cellStyle name="20% - Accent2 74 19 2" xfId="2625" xr:uid="{00000000-0005-0000-0000-00003D0A0000}"/>
    <cellStyle name="20% - Accent2 74 19 2 2" xfId="2626" xr:uid="{00000000-0005-0000-0000-00003E0A0000}"/>
    <cellStyle name="20% - Accent2 74 19 3" xfId="2627" xr:uid="{00000000-0005-0000-0000-00003F0A0000}"/>
    <cellStyle name="20% - Accent2 74 2" xfId="2628" xr:uid="{00000000-0005-0000-0000-0000400A0000}"/>
    <cellStyle name="20% - Accent2 74 2 2" xfId="2629" xr:uid="{00000000-0005-0000-0000-0000410A0000}"/>
    <cellStyle name="20% - Accent2 74 2 2 2" xfId="2630" xr:uid="{00000000-0005-0000-0000-0000420A0000}"/>
    <cellStyle name="20% - Accent2 74 2 3" xfId="2631" xr:uid="{00000000-0005-0000-0000-0000430A0000}"/>
    <cellStyle name="20% - Accent2 74 20" xfId="2632" xr:uid="{00000000-0005-0000-0000-0000440A0000}"/>
    <cellStyle name="20% - Accent2 74 20 2" xfId="2633" xr:uid="{00000000-0005-0000-0000-0000450A0000}"/>
    <cellStyle name="20% - Accent2 74 20 2 2" xfId="2634" xr:uid="{00000000-0005-0000-0000-0000460A0000}"/>
    <cellStyle name="20% - Accent2 74 20 3" xfId="2635" xr:uid="{00000000-0005-0000-0000-0000470A0000}"/>
    <cellStyle name="20% - Accent2 74 21" xfId="2636" xr:uid="{00000000-0005-0000-0000-0000480A0000}"/>
    <cellStyle name="20% - Accent2 74 21 2" xfId="2637" xr:uid="{00000000-0005-0000-0000-0000490A0000}"/>
    <cellStyle name="20% - Accent2 74 21 2 2" xfId="2638" xr:uid="{00000000-0005-0000-0000-00004A0A0000}"/>
    <cellStyle name="20% - Accent2 74 21 3" xfId="2639" xr:uid="{00000000-0005-0000-0000-00004B0A0000}"/>
    <cellStyle name="20% - Accent2 74 22" xfId="2640" xr:uid="{00000000-0005-0000-0000-00004C0A0000}"/>
    <cellStyle name="20% - Accent2 74 22 2" xfId="2641" xr:uid="{00000000-0005-0000-0000-00004D0A0000}"/>
    <cellStyle name="20% - Accent2 74 22 2 2" xfId="2642" xr:uid="{00000000-0005-0000-0000-00004E0A0000}"/>
    <cellStyle name="20% - Accent2 74 22 3" xfId="2643" xr:uid="{00000000-0005-0000-0000-00004F0A0000}"/>
    <cellStyle name="20% - Accent2 74 23" xfId="2644" xr:uid="{00000000-0005-0000-0000-0000500A0000}"/>
    <cellStyle name="20% - Accent2 74 23 2" xfId="2645" xr:uid="{00000000-0005-0000-0000-0000510A0000}"/>
    <cellStyle name="20% - Accent2 74 23 2 2" xfId="2646" xr:uid="{00000000-0005-0000-0000-0000520A0000}"/>
    <cellStyle name="20% - Accent2 74 23 3" xfId="2647" xr:uid="{00000000-0005-0000-0000-0000530A0000}"/>
    <cellStyle name="20% - Accent2 74 24" xfId="2648" xr:uid="{00000000-0005-0000-0000-0000540A0000}"/>
    <cellStyle name="20% - Accent2 74 24 2" xfId="2649" xr:uid="{00000000-0005-0000-0000-0000550A0000}"/>
    <cellStyle name="20% - Accent2 74 24 2 2" xfId="2650" xr:uid="{00000000-0005-0000-0000-0000560A0000}"/>
    <cellStyle name="20% - Accent2 74 24 3" xfId="2651" xr:uid="{00000000-0005-0000-0000-0000570A0000}"/>
    <cellStyle name="20% - Accent2 74 25" xfId="2652" xr:uid="{00000000-0005-0000-0000-0000580A0000}"/>
    <cellStyle name="20% - Accent2 74 25 2" xfId="2653" xr:uid="{00000000-0005-0000-0000-0000590A0000}"/>
    <cellStyle name="20% - Accent2 74 25 2 2" xfId="2654" xr:uid="{00000000-0005-0000-0000-00005A0A0000}"/>
    <cellStyle name="20% - Accent2 74 25 3" xfId="2655" xr:uid="{00000000-0005-0000-0000-00005B0A0000}"/>
    <cellStyle name="20% - Accent2 74 26" xfId="2656" xr:uid="{00000000-0005-0000-0000-00005C0A0000}"/>
    <cellStyle name="20% - Accent2 74 26 2" xfId="2657" xr:uid="{00000000-0005-0000-0000-00005D0A0000}"/>
    <cellStyle name="20% - Accent2 74 26 2 2" xfId="2658" xr:uid="{00000000-0005-0000-0000-00005E0A0000}"/>
    <cellStyle name="20% - Accent2 74 26 3" xfId="2659" xr:uid="{00000000-0005-0000-0000-00005F0A0000}"/>
    <cellStyle name="20% - Accent2 74 27" xfId="2660" xr:uid="{00000000-0005-0000-0000-0000600A0000}"/>
    <cellStyle name="20% - Accent2 74 27 2" xfId="2661" xr:uid="{00000000-0005-0000-0000-0000610A0000}"/>
    <cellStyle name="20% - Accent2 74 27 2 2" xfId="2662" xr:uid="{00000000-0005-0000-0000-0000620A0000}"/>
    <cellStyle name="20% - Accent2 74 27 3" xfId="2663" xr:uid="{00000000-0005-0000-0000-0000630A0000}"/>
    <cellStyle name="20% - Accent2 74 28" xfId="2664" xr:uid="{00000000-0005-0000-0000-0000640A0000}"/>
    <cellStyle name="20% - Accent2 74 28 2" xfId="2665" xr:uid="{00000000-0005-0000-0000-0000650A0000}"/>
    <cellStyle name="20% - Accent2 74 28 2 2" xfId="2666" xr:uid="{00000000-0005-0000-0000-0000660A0000}"/>
    <cellStyle name="20% - Accent2 74 28 3" xfId="2667" xr:uid="{00000000-0005-0000-0000-0000670A0000}"/>
    <cellStyle name="20% - Accent2 74 29" xfId="2668" xr:uid="{00000000-0005-0000-0000-0000680A0000}"/>
    <cellStyle name="20% - Accent2 74 29 2" xfId="2669" xr:uid="{00000000-0005-0000-0000-0000690A0000}"/>
    <cellStyle name="20% - Accent2 74 29 2 2" xfId="2670" xr:uid="{00000000-0005-0000-0000-00006A0A0000}"/>
    <cellStyle name="20% - Accent2 74 29 3" xfId="2671" xr:uid="{00000000-0005-0000-0000-00006B0A0000}"/>
    <cellStyle name="20% - Accent2 74 3" xfId="2672" xr:uid="{00000000-0005-0000-0000-00006C0A0000}"/>
    <cellStyle name="20% - Accent2 74 3 2" xfId="2673" xr:uid="{00000000-0005-0000-0000-00006D0A0000}"/>
    <cellStyle name="20% - Accent2 74 3 2 2" xfId="2674" xr:uid="{00000000-0005-0000-0000-00006E0A0000}"/>
    <cellStyle name="20% - Accent2 74 3 3" xfId="2675" xr:uid="{00000000-0005-0000-0000-00006F0A0000}"/>
    <cellStyle name="20% - Accent2 74 30" xfId="2676" xr:uid="{00000000-0005-0000-0000-0000700A0000}"/>
    <cellStyle name="20% - Accent2 74 30 2" xfId="2677" xr:uid="{00000000-0005-0000-0000-0000710A0000}"/>
    <cellStyle name="20% - Accent2 74 30 2 2" xfId="2678" xr:uid="{00000000-0005-0000-0000-0000720A0000}"/>
    <cellStyle name="20% - Accent2 74 30 3" xfId="2679" xr:uid="{00000000-0005-0000-0000-0000730A0000}"/>
    <cellStyle name="20% - Accent2 74 31" xfId="2680" xr:uid="{00000000-0005-0000-0000-0000740A0000}"/>
    <cellStyle name="20% - Accent2 74 31 2" xfId="2681" xr:uid="{00000000-0005-0000-0000-0000750A0000}"/>
    <cellStyle name="20% - Accent2 74 31 2 2" xfId="2682" xr:uid="{00000000-0005-0000-0000-0000760A0000}"/>
    <cellStyle name="20% - Accent2 74 31 3" xfId="2683" xr:uid="{00000000-0005-0000-0000-0000770A0000}"/>
    <cellStyle name="20% - Accent2 74 32" xfId="2684" xr:uid="{00000000-0005-0000-0000-0000780A0000}"/>
    <cellStyle name="20% - Accent2 74 32 2" xfId="2685" xr:uid="{00000000-0005-0000-0000-0000790A0000}"/>
    <cellStyle name="20% - Accent2 74 32 2 2" xfId="2686" xr:uid="{00000000-0005-0000-0000-00007A0A0000}"/>
    <cellStyle name="20% - Accent2 74 32 3" xfId="2687" xr:uid="{00000000-0005-0000-0000-00007B0A0000}"/>
    <cellStyle name="20% - Accent2 74 33" xfId="2688" xr:uid="{00000000-0005-0000-0000-00007C0A0000}"/>
    <cellStyle name="20% - Accent2 74 33 2" xfId="2689" xr:uid="{00000000-0005-0000-0000-00007D0A0000}"/>
    <cellStyle name="20% - Accent2 74 33 2 2" xfId="2690" xr:uid="{00000000-0005-0000-0000-00007E0A0000}"/>
    <cellStyle name="20% - Accent2 74 33 3" xfId="2691" xr:uid="{00000000-0005-0000-0000-00007F0A0000}"/>
    <cellStyle name="20% - Accent2 74 34" xfId="2692" xr:uid="{00000000-0005-0000-0000-0000800A0000}"/>
    <cellStyle name="20% - Accent2 74 34 2" xfId="2693" xr:uid="{00000000-0005-0000-0000-0000810A0000}"/>
    <cellStyle name="20% - Accent2 74 34 2 2" xfId="2694" xr:uid="{00000000-0005-0000-0000-0000820A0000}"/>
    <cellStyle name="20% - Accent2 74 34 3" xfId="2695" xr:uid="{00000000-0005-0000-0000-0000830A0000}"/>
    <cellStyle name="20% - Accent2 74 35" xfId="2696" xr:uid="{00000000-0005-0000-0000-0000840A0000}"/>
    <cellStyle name="20% - Accent2 74 35 2" xfId="2697" xr:uid="{00000000-0005-0000-0000-0000850A0000}"/>
    <cellStyle name="20% - Accent2 74 35 2 2" xfId="2698" xr:uid="{00000000-0005-0000-0000-0000860A0000}"/>
    <cellStyle name="20% - Accent2 74 35 3" xfId="2699" xr:uid="{00000000-0005-0000-0000-0000870A0000}"/>
    <cellStyle name="20% - Accent2 74 36" xfId="2700" xr:uid="{00000000-0005-0000-0000-0000880A0000}"/>
    <cellStyle name="20% - Accent2 74 36 2" xfId="2701" xr:uid="{00000000-0005-0000-0000-0000890A0000}"/>
    <cellStyle name="20% - Accent2 74 36 2 2" xfId="2702" xr:uid="{00000000-0005-0000-0000-00008A0A0000}"/>
    <cellStyle name="20% - Accent2 74 36 3" xfId="2703" xr:uid="{00000000-0005-0000-0000-00008B0A0000}"/>
    <cellStyle name="20% - Accent2 74 4" xfId="2704" xr:uid="{00000000-0005-0000-0000-00008C0A0000}"/>
    <cellStyle name="20% - Accent2 74 4 2" xfId="2705" xr:uid="{00000000-0005-0000-0000-00008D0A0000}"/>
    <cellStyle name="20% - Accent2 74 4 2 2" xfId="2706" xr:uid="{00000000-0005-0000-0000-00008E0A0000}"/>
    <cellStyle name="20% - Accent2 74 4 3" xfId="2707" xr:uid="{00000000-0005-0000-0000-00008F0A0000}"/>
    <cellStyle name="20% - Accent2 74 5" xfId="2708" xr:uid="{00000000-0005-0000-0000-0000900A0000}"/>
    <cellStyle name="20% - Accent2 74 5 2" xfId="2709" xr:uid="{00000000-0005-0000-0000-0000910A0000}"/>
    <cellStyle name="20% - Accent2 74 5 2 2" xfId="2710" xr:uid="{00000000-0005-0000-0000-0000920A0000}"/>
    <cellStyle name="20% - Accent2 74 5 3" xfId="2711" xr:uid="{00000000-0005-0000-0000-0000930A0000}"/>
    <cellStyle name="20% - Accent2 74 6" xfId="2712" xr:uid="{00000000-0005-0000-0000-0000940A0000}"/>
    <cellStyle name="20% - Accent2 74 6 2" xfId="2713" xr:uid="{00000000-0005-0000-0000-0000950A0000}"/>
    <cellStyle name="20% - Accent2 74 6 2 2" xfId="2714" xr:uid="{00000000-0005-0000-0000-0000960A0000}"/>
    <cellStyle name="20% - Accent2 74 6 3" xfId="2715" xr:uid="{00000000-0005-0000-0000-0000970A0000}"/>
    <cellStyle name="20% - Accent2 74 7" xfId="2716" xr:uid="{00000000-0005-0000-0000-0000980A0000}"/>
    <cellStyle name="20% - Accent2 74 7 2" xfId="2717" xr:uid="{00000000-0005-0000-0000-0000990A0000}"/>
    <cellStyle name="20% - Accent2 74 7 2 2" xfId="2718" xr:uid="{00000000-0005-0000-0000-00009A0A0000}"/>
    <cellStyle name="20% - Accent2 74 7 3" xfId="2719" xr:uid="{00000000-0005-0000-0000-00009B0A0000}"/>
    <cellStyle name="20% - Accent2 74 8" xfId="2720" xr:uid="{00000000-0005-0000-0000-00009C0A0000}"/>
    <cellStyle name="20% - Accent2 74 8 2" xfId="2721" xr:uid="{00000000-0005-0000-0000-00009D0A0000}"/>
    <cellStyle name="20% - Accent2 74 8 2 2" xfId="2722" xr:uid="{00000000-0005-0000-0000-00009E0A0000}"/>
    <cellStyle name="20% - Accent2 74 8 3" xfId="2723" xr:uid="{00000000-0005-0000-0000-00009F0A0000}"/>
    <cellStyle name="20% - Accent2 74 9" xfId="2724" xr:uid="{00000000-0005-0000-0000-0000A00A0000}"/>
    <cellStyle name="20% - Accent2 74 9 2" xfId="2725" xr:uid="{00000000-0005-0000-0000-0000A10A0000}"/>
    <cellStyle name="20% - Accent2 74 9 2 2" xfId="2726" xr:uid="{00000000-0005-0000-0000-0000A20A0000}"/>
    <cellStyle name="20% - Accent2 74 9 3" xfId="2727" xr:uid="{00000000-0005-0000-0000-0000A30A0000}"/>
    <cellStyle name="20% - Accent2 75" xfId="2728" xr:uid="{00000000-0005-0000-0000-0000A40A0000}"/>
    <cellStyle name="20% - Accent2 75 10" xfId="2729" xr:uid="{00000000-0005-0000-0000-0000A50A0000}"/>
    <cellStyle name="20% - Accent2 75 10 2" xfId="2730" xr:uid="{00000000-0005-0000-0000-0000A60A0000}"/>
    <cellStyle name="20% - Accent2 75 10 2 2" xfId="2731" xr:uid="{00000000-0005-0000-0000-0000A70A0000}"/>
    <cellStyle name="20% - Accent2 75 10 3" xfId="2732" xr:uid="{00000000-0005-0000-0000-0000A80A0000}"/>
    <cellStyle name="20% - Accent2 75 11" xfId="2733" xr:uid="{00000000-0005-0000-0000-0000A90A0000}"/>
    <cellStyle name="20% - Accent2 75 11 2" xfId="2734" xr:uid="{00000000-0005-0000-0000-0000AA0A0000}"/>
    <cellStyle name="20% - Accent2 75 11 2 2" xfId="2735" xr:uid="{00000000-0005-0000-0000-0000AB0A0000}"/>
    <cellStyle name="20% - Accent2 75 11 3" xfId="2736" xr:uid="{00000000-0005-0000-0000-0000AC0A0000}"/>
    <cellStyle name="20% - Accent2 75 12" xfId="2737" xr:uid="{00000000-0005-0000-0000-0000AD0A0000}"/>
    <cellStyle name="20% - Accent2 75 12 2" xfId="2738" xr:uid="{00000000-0005-0000-0000-0000AE0A0000}"/>
    <cellStyle name="20% - Accent2 75 12 2 2" xfId="2739" xr:uid="{00000000-0005-0000-0000-0000AF0A0000}"/>
    <cellStyle name="20% - Accent2 75 12 3" xfId="2740" xr:uid="{00000000-0005-0000-0000-0000B00A0000}"/>
    <cellStyle name="20% - Accent2 75 13" xfId="2741" xr:uid="{00000000-0005-0000-0000-0000B10A0000}"/>
    <cellStyle name="20% - Accent2 75 13 2" xfId="2742" xr:uid="{00000000-0005-0000-0000-0000B20A0000}"/>
    <cellStyle name="20% - Accent2 75 13 2 2" xfId="2743" xr:uid="{00000000-0005-0000-0000-0000B30A0000}"/>
    <cellStyle name="20% - Accent2 75 13 3" xfId="2744" xr:uid="{00000000-0005-0000-0000-0000B40A0000}"/>
    <cellStyle name="20% - Accent2 75 14" xfId="2745" xr:uid="{00000000-0005-0000-0000-0000B50A0000}"/>
    <cellStyle name="20% - Accent2 75 14 2" xfId="2746" xr:uid="{00000000-0005-0000-0000-0000B60A0000}"/>
    <cellStyle name="20% - Accent2 75 14 2 2" xfId="2747" xr:uid="{00000000-0005-0000-0000-0000B70A0000}"/>
    <cellStyle name="20% - Accent2 75 14 3" xfId="2748" xr:uid="{00000000-0005-0000-0000-0000B80A0000}"/>
    <cellStyle name="20% - Accent2 75 15" xfId="2749" xr:uid="{00000000-0005-0000-0000-0000B90A0000}"/>
    <cellStyle name="20% - Accent2 75 15 2" xfId="2750" xr:uid="{00000000-0005-0000-0000-0000BA0A0000}"/>
    <cellStyle name="20% - Accent2 75 15 2 2" xfId="2751" xr:uid="{00000000-0005-0000-0000-0000BB0A0000}"/>
    <cellStyle name="20% - Accent2 75 15 3" xfId="2752" xr:uid="{00000000-0005-0000-0000-0000BC0A0000}"/>
    <cellStyle name="20% - Accent2 75 16" xfId="2753" xr:uid="{00000000-0005-0000-0000-0000BD0A0000}"/>
    <cellStyle name="20% - Accent2 75 16 2" xfId="2754" xr:uid="{00000000-0005-0000-0000-0000BE0A0000}"/>
    <cellStyle name="20% - Accent2 75 16 2 2" xfId="2755" xr:uid="{00000000-0005-0000-0000-0000BF0A0000}"/>
    <cellStyle name="20% - Accent2 75 16 3" xfId="2756" xr:uid="{00000000-0005-0000-0000-0000C00A0000}"/>
    <cellStyle name="20% - Accent2 75 17" xfId="2757" xr:uid="{00000000-0005-0000-0000-0000C10A0000}"/>
    <cellStyle name="20% - Accent2 75 17 2" xfId="2758" xr:uid="{00000000-0005-0000-0000-0000C20A0000}"/>
    <cellStyle name="20% - Accent2 75 17 2 2" xfId="2759" xr:uid="{00000000-0005-0000-0000-0000C30A0000}"/>
    <cellStyle name="20% - Accent2 75 17 3" xfId="2760" xr:uid="{00000000-0005-0000-0000-0000C40A0000}"/>
    <cellStyle name="20% - Accent2 75 18" xfId="2761" xr:uid="{00000000-0005-0000-0000-0000C50A0000}"/>
    <cellStyle name="20% - Accent2 75 18 2" xfId="2762" xr:uid="{00000000-0005-0000-0000-0000C60A0000}"/>
    <cellStyle name="20% - Accent2 75 18 2 2" xfId="2763" xr:uid="{00000000-0005-0000-0000-0000C70A0000}"/>
    <cellStyle name="20% - Accent2 75 18 3" xfId="2764" xr:uid="{00000000-0005-0000-0000-0000C80A0000}"/>
    <cellStyle name="20% - Accent2 75 19" xfId="2765" xr:uid="{00000000-0005-0000-0000-0000C90A0000}"/>
    <cellStyle name="20% - Accent2 75 19 2" xfId="2766" xr:uid="{00000000-0005-0000-0000-0000CA0A0000}"/>
    <cellStyle name="20% - Accent2 75 19 2 2" xfId="2767" xr:uid="{00000000-0005-0000-0000-0000CB0A0000}"/>
    <cellStyle name="20% - Accent2 75 19 3" xfId="2768" xr:uid="{00000000-0005-0000-0000-0000CC0A0000}"/>
    <cellStyle name="20% - Accent2 75 2" xfId="2769" xr:uid="{00000000-0005-0000-0000-0000CD0A0000}"/>
    <cellStyle name="20% - Accent2 75 2 2" xfId="2770" xr:uid="{00000000-0005-0000-0000-0000CE0A0000}"/>
    <cellStyle name="20% - Accent2 75 2 2 2" xfId="2771" xr:uid="{00000000-0005-0000-0000-0000CF0A0000}"/>
    <cellStyle name="20% - Accent2 75 2 3" xfId="2772" xr:uid="{00000000-0005-0000-0000-0000D00A0000}"/>
    <cellStyle name="20% - Accent2 75 20" xfId="2773" xr:uid="{00000000-0005-0000-0000-0000D10A0000}"/>
    <cellStyle name="20% - Accent2 75 20 2" xfId="2774" xr:uid="{00000000-0005-0000-0000-0000D20A0000}"/>
    <cellStyle name="20% - Accent2 75 20 2 2" xfId="2775" xr:uid="{00000000-0005-0000-0000-0000D30A0000}"/>
    <cellStyle name="20% - Accent2 75 20 3" xfId="2776" xr:uid="{00000000-0005-0000-0000-0000D40A0000}"/>
    <cellStyle name="20% - Accent2 75 21" xfId="2777" xr:uid="{00000000-0005-0000-0000-0000D50A0000}"/>
    <cellStyle name="20% - Accent2 75 21 2" xfId="2778" xr:uid="{00000000-0005-0000-0000-0000D60A0000}"/>
    <cellStyle name="20% - Accent2 75 21 2 2" xfId="2779" xr:uid="{00000000-0005-0000-0000-0000D70A0000}"/>
    <cellStyle name="20% - Accent2 75 21 3" xfId="2780" xr:uid="{00000000-0005-0000-0000-0000D80A0000}"/>
    <cellStyle name="20% - Accent2 75 22" xfId="2781" xr:uid="{00000000-0005-0000-0000-0000D90A0000}"/>
    <cellStyle name="20% - Accent2 75 22 2" xfId="2782" xr:uid="{00000000-0005-0000-0000-0000DA0A0000}"/>
    <cellStyle name="20% - Accent2 75 22 2 2" xfId="2783" xr:uid="{00000000-0005-0000-0000-0000DB0A0000}"/>
    <cellStyle name="20% - Accent2 75 22 3" xfId="2784" xr:uid="{00000000-0005-0000-0000-0000DC0A0000}"/>
    <cellStyle name="20% - Accent2 75 23" xfId="2785" xr:uid="{00000000-0005-0000-0000-0000DD0A0000}"/>
    <cellStyle name="20% - Accent2 75 23 2" xfId="2786" xr:uid="{00000000-0005-0000-0000-0000DE0A0000}"/>
    <cellStyle name="20% - Accent2 75 23 2 2" xfId="2787" xr:uid="{00000000-0005-0000-0000-0000DF0A0000}"/>
    <cellStyle name="20% - Accent2 75 23 3" xfId="2788" xr:uid="{00000000-0005-0000-0000-0000E00A0000}"/>
    <cellStyle name="20% - Accent2 75 24" xfId="2789" xr:uid="{00000000-0005-0000-0000-0000E10A0000}"/>
    <cellStyle name="20% - Accent2 75 24 2" xfId="2790" xr:uid="{00000000-0005-0000-0000-0000E20A0000}"/>
    <cellStyle name="20% - Accent2 75 24 2 2" xfId="2791" xr:uid="{00000000-0005-0000-0000-0000E30A0000}"/>
    <cellStyle name="20% - Accent2 75 24 3" xfId="2792" xr:uid="{00000000-0005-0000-0000-0000E40A0000}"/>
    <cellStyle name="20% - Accent2 75 25" xfId="2793" xr:uid="{00000000-0005-0000-0000-0000E50A0000}"/>
    <cellStyle name="20% - Accent2 75 25 2" xfId="2794" xr:uid="{00000000-0005-0000-0000-0000E60A0000}"/>
    <cellStyle name="20% - Accent2 75 25 2 2" xfId="2795" xr:uid="{00000000-0005-0000-0000-0000E70A0000}"/>
    <cellStyle name="20% - Accent2 75 25 3" xfId="2796" xr:uid="{00000000-0005-0000-0000-0000E80A0000}"/>
    <cellStyle name="20% - Accent2 75 26" xfId="2797" xr:uid="{00000000-0005-0000-0000-0000E90A0000}"/>
    <cellStyle name="20% - Accent2 75 26 2" xfId="2798" xr:uid="{00000000-0005-0000-0000-0000EA0A0000}"/>
    <cellStyle name="20% - Accent2 75 26 2 2" xfId="2799" xr:uid="{00000000-0005-0000-0000-0000EB0A0000}"/>
    <cellStyle name="20% - Accent2 75 26 3" xfId="2800" xr:uid="{00000000-0005-0000-0000-0000EC0A0000}"/>
    <cellStyle name="20% - Accent2 75 27" xfId="2801" xr:uid="{00000000-0005-0000-0000-0000ED0A0000}"/>
    <cellStyle name="20% - Accent2 75 27 2" xfId="2802" xr:uid="{00000000-0005-0000-0000-0000EE0A0000}"/>
    <cellStyle name="20% - Accent2 75 27 2 2" xfId="2803" xr:uid="{00000000-0005-0000-0000-0000EF0A0000}"/>
    <cellStyle name="20% - Accent2 75 27 3" xfId="2804" xr:uid="{00000000-0005-0000-0000-0000F00A0000}"/>
    <cellStyle name="20% - Accent2 75 28" xfId="2805" xr:uid="{00000000-0005-0000-0000-0000F10A0000}"/>
    <cellStyle name="20% - Accent2 75 28 2" xfId="2806" xr:uid="{00000000-0005-0000-0000-0000F20A0000}"/>
    <cellStyle name="20% - Accent2 75 28 2 2" xfId="2807" xr:uid="{00000000-0005-0000-0000-0000F30A0000}"/>
    <cellStyle name="20% - Accent2 75 28 3" xfId="2808" xr:uid="{00000000-0005-0000-0000-0000F40A0000}"/>
    <cellStyle name="20% - Accent2 75 29" xfId="2809" xr:uid="{00000000-0005-0000-0000-0000F50A0000}"/>
    <cellStyle name="20% - Accent2 75 29 2" xfId="2810" xr:uid="{00000000-0005-0000-0000-0000F60A0000}"/>
    <cellStyle name="20% - Accent2 75 29 2 2" xfId="2811" xr:uid="{00000000-0005-0000-0000-0000F70A0000}"/>
    <cellStyle name="20% - Accent2 75 29 3" xfId="2812" xr:uid="{00000000-0005-0000-0000-0000F80A0000}"/>
    <cellStyle name="20% - Accent2 75 3" xfId="2813" xr:uid="{00000000-0005-0000-0000-0000F90A0000}"/>
    <cellStyle name="20% - Accent2 75 3 2" xfId="2814" xr:uid="{00000000-0005-0000-0000-0000FA0A0000}"/>
    <cellStyle name="20% - Accent2 75 3 2 2" xfId="2815" xr:uid="{00000000-0005-0000-0000-0000FB0A0000}"/>
    <cellStyle name="20% - Accent2 75 3 3" xfId="2816" xr:uid="{00000000-0005-0000-0000-0000FC0A0000}"/>
    <cellStyle name="20% - Accent2 75 30" xfId="2817" xr:uid="{00000000-0005-0000-0000-0000FD0A0000}"/>
    <cellStyle name="20% - Accent2 75 30 2" xfId="2818" xr:uid="{00000000-0005-0000-0000-0000FE0A0000}"/>
    <cellStyle name="20% - Accent2 75 30 2 2" xfId="2819" xr:uid="{00000000-0005-0000-0000-0000FF0A0000}"/>
    <cellStyle name="20% - Accent2 75 30 3" xfId="2820" xr:uid="{00000000-0005-0000-0000-0000000B0000}"/>
    <cellStyle name="20% - Accent2 75 31" xfId="2821" xr:uid="{00000000-0005-0000-0000-0000010B0000}"/>
    <cellStyle name="20% - Accent2 75 31 2" xfId="2822" xr:uid="{00000000-0005-0000-0000-0000020B0000}"/>
    <cellStyle name="20% - Accent2 75 31 2 2" xfId="2823" xr:uid="{00000000-0005-0000-0000-0000030B0000}"/>
    <cellStyle name="20% - Accent2 75 31 3" xfId="2824" xr:uid="{00000000-0005-0000-0000-0000040B0000}"/>
    <cellStyle name="20% - Accent2 75 32" xfId="2825" xr:uid="{00000000-0005-0000-0000-0000050B0000}"/>
    <cellStyle name="20% - Accent2 75 32 2" xfId="2826" xr:uid="{00000000-0005-0000-0000-0000060B0000}"/>
    <cellStyle name="20% - Accent2 75 32 2 2" xfId="2827" xr:uid="{00000000-0005-0000-0000-0000070B0000}"/>
    <cellStyle name="20% - Accent2 75 32 3" xfId="2828" xr:uid="{00000000-0005-0000-0000-0000080B0000}"/>
    <cellStyle name="20% - Accent2 75 33" xfId="2829" xr:uid="{00000000-0005-0000-0000-0000090B0000}"/>
    <cellStyle name="20% - Accent2 75 33 2" xfId="2830" xr:uid="{00000000-0005-0000-0000-00000A0B0000}"/>
    <cellStyle name="20% - Accent2 75 33 2 2" xfId="2831" xr:uid="{00000000-0005-0000-0000-00000B0B0000}"/>
    <cellStyle name="20% - Accent2 75 33 3" xfId="2832" xr:uid="{00000000-0005-0000-0000-00000C0B0000}"/>
    <cellStyle name="20% - Accent2 75 34" xfId="2833" xr:uid="{00000000-0005-0000-0000-00000D0B0000}"/>
    <cellStyle name="20% - Accent2 75 34 2" xfId="2834" xr:uid="{00000000-0005-0000-0000-00000E0B0000}"/>
    <cellStyle name="20% - Accent2 75 34 2 2" xfId="2835" xr:uid="{00000000-0005-0000-0000-00000F0B0000}"/>
    <cellStyle name="20% - Accent2 75 34 3" xfId="2836" xr:uid="{00000000-0005-0000-0000-0000100B0000}"/>
    <cellStyle name="20% - Accent2 75 35" xfId="2837" xr:uid="{00000000-0005-0000-0000-0000110B0000}"/>
    <cellStyle name="20% - Accent2 75 35 2" xfId="2838" xr:uid="{00000000-0005-0000-0000-0000120B0000}"/>
    <cellStyle name="20% - Accent2 75 35 2 2" xfId="2839" xr:uid="{00000000-0005-0000-0000-0000130B0000}"/>
    <cellStyle name="20% - Accent2 75 35 3" xfId="2840" xr:uid="{00000000-0005-0000-0000-0000140B0000}"/>
    <cellStyle name="20% - Accent2 75 36" xfId="2841" xr:uid="{00000000-0005-0000-0000-0000150B0000}"/>
    <cellStyle name="20% - Accent2 75 36 2" xfId="2842" xr:uid="{00000000-0005-0000-0000-0000160B0000}"/>
    <cellStyle name="20% - Accent2 75 36 2 2" xfId="2843" xr:uid="{00000000-0005-0000-0000-0000170B0000}"/>
    <cellStyle name="20% - Accent2 75 36 3" xfId="2844" xr:uid="{00000000-0005-0000-0000-0000180B0000}"/>
    <cellStyle name="20% - Accent2 75 4" xfId="2845" xr:uid="{00000000-0005-0000-0000-0000190B0000}"/>
    <cellStyle name="20% - Accent2 75 4 2" xfId="2846" xr:uid="{00000000-0005-0000-0000-00001A0B0000}"/>
    <cellStyle name="20% - Accent2 75 4 2 2" xfId="2847" xr:uid="{00000000-0005-0000-0000-00001B0B0000}"/>
    <cellStyle name="20% - Accent2 75 4 3" xfId="2848" xr:uid="{00000000-0005-0000-0000-00001C0B0000}"/>
    <cellStyle name="20% - Accent2 75 5" xfId="2849" xr:uid="{00000000-0005-0000-0000-00001D0B0000}"/>
    <cellStyle name="20% - Accent2 75 5 2" xfId="2850" xr:uid="{00000000-0005-0000-0000-00001E0B0000}"/>
    <cellStyle name="20% - Accent2 75 5 2 2" xfId="2851" xr:uid="{00000000-0005-0000-0000-00001F0B0000}"/>
    <cellStyle name="20% - Accent2 75 5 3" xfId="2852" xr:uid="{00000000-0005-0000-0000-0000200B0000}"/>
    <cellStyle name="20% - Accent2 75 6" xfId="2853" xr:uid="{00000000-0005-0000-0000-0000210B0000}"/>
    <cellStyle name="20% - Accent2 75 6 2" xfId="2854" xr:uid="{00000000-0005-0000-0000-0000220B0000}"/>
    <cellStyle name="20% - Accent2 75 6 2 2" xfId="2855" xr:uid="{00000000-0005-0000-0000-0000230B0000}"/>
    <cellStyle name="20% - Accent2 75 6 3" xfId="2856" xr:uid="{00000000-0005-0000-0000-0000240B0000}"/>
    <cellStyle name="20% - Accent2 75 7" xfId="2857" xr:uid="{00000000-0005-0000-0000-0000250B0000}"/>
    <cellStyle name="20% - Accent2 75 7 2" xfId="2858" xr:uid="{00000000-0005-0000-0000-0000260B0000}"/>
    <cellStyle name="20% - Accent2 75 7 2 2" xfId="2859" xr:uid="{00000000-0005-0000-0000-0000270B0000}"/>
    <cellStyle name="20% - Accent2 75 7 3" xfId="2860" xr:uid="{00000000-0005-0000-0000-0000280B0000}"/>
    <cellStyle name="20% - Accent2 75 8" xfId="2861" xr:uid="{00000000-0005-0000-0000-0000290B0000}"/>
    <cellStyle name="20% - Accent2 75 8 2" xfId="2862" xr:uid="{00000000-0005-0000-0000-00002A0B0000}"/>
    <cellStyle name="20% - Accent2 75 8 2 2" xfId="2863" xr:uid="{00000000-0005-0000-0000-00002B0B0000}"/>
    <cellStyle name="20% - Accent2 75 8 3" xfId="2864" xr:uid="{00000000-0005-0000-0000-00002C0B0000}"/>
    <cellStyle name="20% - Accent2 75 9" xfId="2865" xr:uid="{00000000-0005-0000-0000-00002D0B0000}"/>
    <cellStyle name="20% - Accent2 75 9 2" xfId="2866" xr:uid="{00000000-0005-0000-0000-00002E0B0000}"/>
    <cellStyle name="20% - Accent2 75 9 2 2" xfId="2867" xr:uid="{00000000-0005-0000-0000-00002F0B0000}"/>
    <cellStyle name="20% - Accent2 75 9 3" xfId="2868" xr:uid="{00000000-0005-0000-0000-0000300B0000}"/>
    <cellStyle name="20% - Accent2 76" xfId="2869" xr:uid="{00000000-0005-0000-0000-0000310B0000}"/>
    <cellStyle name="20% - Accent2 76 10" xfId="2870" xr:uid="{00000000-0005-0000-0000-0000320B0000}"/>
    <cellStyle name="20% - Accent2 76 10 2" xfId="2871" xr:uid="{00000000-0005-0000-0000-0000330B0000}"/>
    <cellStyle name="20% - Accent2 76 10 2 2" xfId="2872" xr:uid="{00000000-0005-0000-0000-0000340B0000}"/>
    <cellStyle name="20% - Accent2 76 10 3" xfId="2873" xr:uid="{00000000-0005-0000-0000-0000350B0000}"/>
    <cellStyle name="20% - Accent2 76 11" xfId="2874" xr:uid="{00000000-0005-0000-0000-0000360B0000}"/>
    <cellStyle name="20% - Accent2 76 11 2" xfId="2875" xr:uid="{00000000-0005-0000-0000-0000370B0000}"/>
    <cellStyle name="20% - Accent2 76 11 2 2" xfId="2876" xr:uid="{00000000-0005-0000-0000-0000380B0000}"/>
    <cellStyle name="20% - Accent2 76 11 3" xfId="2877" xr:uid="{00000000-0005-0000-0000-0000390B0000}"/>
    <cellStyle name="20% - Accent2 76 12" xfId="2878" xr:uid="{00000000-0005-0000-0000-00003A0B0000}"/>
    <cellStyle name="20% - Accent2 76 12 2" xfId="2879" xr:uid="{00000000-0005-0000-0000-00003B0B0000}"/>
    <cellStyle name="20% - Accent2 76 12 2 2" xfId="2880" xr:uid="{00000000-0005-0000-0000-00003C0B0000}"/>
    <cellStyle name="20% - Accent2 76 12 3" xfId="2881" xr:uid="{00000000-0005-0000-0000-00003D0B0000}"/>
    <cellStyle name="20% - Accent2 76 13" xfId="2882" xr:uid="{00000000-0005-0000-0000-00003E0B0000}"/>
    <cellStyle name="20% - Accent2 76 13 2" xfId="2883" xr:uid="{00000000-0005-0000-0000-00003F0B0000}"/>
    <cellStyle name="20% - Accent2 76 13 2 2" xfId="2884" xr:uid="{00000000-0005-0000-0000-0000400B0000}"/>
    <cellStyle name="20% - Accent2 76 13 3" xfId="2885" xr:uid="{00000000-0005-0000-0000-0000410B0000}"/>
    <cellStyle name="20% - Accent2 76 14" xfId="2886" xr:uid="{00000000-0005-0000-0000-0000420B0000}"/>
    <cellStyle name="20% - Accent2 76 14 2" xfId="2887" xr:uid="{00000000-0005-0000-0000-0000430B0000}"/>
    <cellStyle name="20% - Accent2 76 14 2 2" xfId="2888" xr:uid="{00000000-0005-0000-0000-0000440B0000}"/>
    <cellStyle name="20% - Accent2 76 14 3" xfId="2889" xr:uid="{00000000-0005-0000-0000-0000450B0000}"/>
    <cellStyle name="20% - Accent2 76 15" xfId="2890" xr:uid="{00000000-0005-0000-0000-0000460B0000}"/>
    <cellStyle name="20% - Accent2 76 15 2" xfId="2891" xr:uid="{00000000-0005-0000-0000-0000470B0000}"/>
    <cellStyle name="20% - Accent2 76 15 2 2" xfId="2892" xr:uid="{00000000-0005-0000-0000-0000480B0000}"/>
    <cellStyle name="20% - Accent2 76 15 3" xfId="2893" xr:uid="{00000000-0005-0000-0000-0000490B0000}"/>
    <cellStyle name="20% - Accent2 76 16" xfId="2894" xr:uid="{00000000-0005-0000-0000-00004A0B0000}"/>
    <cellStyle name="20% - Accent2 76 16 2" xfId="2895" xr:uid="{00000000-0005-0000-0000-00004B0B0000}"/>
    <cellStyle name="20% - Accent2 76 16 2 2" xfId="2896" xr:uid="{00000000-0005-0000-0000-00004C0B0000}"/>
    <cellStyle name="20% - Accent2 76 16 3" xfId="2897" xr:uid="{00000000-0005-0000-0000-00004D0B0000}"/>
    <cellStyle name="20% - Accent2 76 17" xfId="2898" xr:uid="{00000000-0005-0000-0000-00004E0B0000}"/>
    <cellStyle name="20% - Accent2 76 17 2" xfId="2899" xr:uid="{00000000-0005-0000-0000-00004F0B0000}"/>
    <cellStyle name="20% - Accent2 76 17 2 2" xfId="2900" xr:uid="{00000000-0005-0000-0000-0000500B0000}"/>
    <cellStyle name="20% - Accent2 76 17 3" xfId="2901" xr:uid="{00000000-0005-0000-0000-0000510B0000}"/>
    <cellStyle name="20% - Accent2 76 18" xfId="2902" xr:uid="{00000000-0005-0000-0000-0000520B0000}"/>
    <cellStyle name="20% - Accent2 76 18 2" xfId="2903" xr:uid="{00000000-0005-0000-0000-0000530B0000}"/>
    <cellStyle name="20% - Accent2 76 18 2 2" xfId="2904" xr:uid="{00000000-0005-0000-0000-0000540B0000}"/>
    <cellStyle name="20% - Accent2 76 18 3" xfId="2905" xr:uid="{00000000-0005-0000-0000-0000550B0000}"/>
    <cellStyle name="20% - Accent2 76 19" xfId="2906" xr:uid="{00000000-0005-0000-0000-0000560B0000}"/>
    <cellStyle name="20% - Accent2 76 19 2" xfId="2907" xr:uid="{00000000-0005-0000-0000-0000570B0000}"/>
    <cellStyle name="20% - Accent2 76 19 2 2" xfId="2908" xr:uid="{00000000-0005-0000-0000-0000580B0000}"/>
    <cellStyle name="20% - Accent2 76 19 3" xfId="2909" xr:uid="{00000000-0005-0000-0000-0000590B0000}"/>
    <cellStyle name="20% - Accent2 76 2" xfId="2910" xr:uid="{00000000-0005-0000-0000-00005A0B0000}"/>
    <cellStyle name="20% - Accent2 76 2 2" xfId="2911" xr:uid="{00000000-0005-0000-0000-00005B0B0000}"/>
    <cellStyle name="20% - Accent2 76 2 2 2" xfId="2912" xr:uid="{00000000-0005-0000-0000-00005C0B0000}"/>
    <cellStyle name="20% - Accent2 76 2 3" xfId="2913" xr:uid="{00000000-0005-0000-0000-00005D0B0000}"/>
    <cellStyle name="20% - Accent2 76 20" xfId="2914" xr:uid="{00000000-0005-0000-0000-00005E0B0000}"/>
    <cellStyle name="20% - Accent2 76 20 2" xfId="2915" xr:uid="{00000000-0005-0000-0000-00005F0B0000}"/>
    <cellStyle name="20% - Accent2 76 20 2 2" xfId="2916" xr:uid="{00000000-0005-0000-0000-0000600B0000}"/>
    <cellStyle name="20% - Accent2 76 20 3" xfId="2917" xr:uid="{00000000-0005-0000-0000-0000610B0000}"/>
    <cellStyle name="20% - Accent2 76 21" xfId="2918" xr:uid="{00000000-0005-0000-0000-0000620B0000}"/>
    <cellStyle name="20% - Accent2 76 21 2" xfId="2919" xr:uid="{00000000-0005-0000-0000-0000630B0000}"/>
    <cellStyle name="20% - Accent2 76 21 2 2" xfId="2920" xr:uid="{00000000-0005-0000-0000-0000640B0000}"/>
    <cellStyle name="20% - Accent2 76 21 3" xfId="2921" xr:uid="{00000000-0005-0000-0000-0000650B0000}"/>
    <cellStyle name="20% - Accent2 76 22" xfId="2922" xr:uid="{00000000-0005-0000-0000-0000660B0000}"/>
    <cellStyle name="20% - Accent2 76 22 2" xfId="2923" xr:uid="{00000000-0005-0000-0000-0000670B0000}"/>
    <cellStyle name="20% - Accent2 76 22 2 2" xfId="2924" xr:uid="{00000000-0005-0000-0000-0000680B0000}"/>
    <cellStyle name="20% - Accent2 76 22 3" xfId="2925" xr:uid="{00000000-0005-0000-0000-0000690B0000}"/>
    <cellStyle name="20% - Accent2 76 23" xfId="2926" xr:uid="{00000000-0005-0000-0000-00006A0B0000}"/>
    <cellStyle name="20% - Accent2 76 23 2" xfId="2927" xr:uid="{00000000-0005-0000-0000-00006B0B0000}"/>
    <cellStyle name="20% - Accent2 76 23 2 2" xfId="2928" xr:uid="{00000000-0005-0000-0000-00006C0B0000}"/>
    <cellStyle name="20% - Accent2 76 23 3" xfId="2929" xr:uid="{00000000-0005-0000-0000-00006D0B0000}"/>
    <cellStyle name="20% - Accent2 76 24" xfId="2930" xr:uid="{00000000-0005-0000-0000-00006E0B0000}"/>
    <cellStyle name="20% - Accent2 76 24 2" xfId="2931" xr:uid="{00000000-0005-0000-0000-00006F0B0000}"/>
    <cellStyle name="20% - Accent2 76 24 2 2" xfId="2932" xr:uid="{00000000-0005-0000-0000-0000700B0000}"/>
    <cellStyle name="20% - Accent2 76 24 3" xfId="2933" xr:uid="{00000000-0005-0000-0000-0000710B0000}"/>
    <cellStyle name="20% - Accent2 76 25" xfId="2934" xr:uid="{00000000-0005-0000-0000-0000720B0000}"/>
    <cellStyle name="20% - Accent2 76 25 2" xfId="2935" xr:uid="{00000000-0005-0000-0000-0000730B0000}"/>
    <cellStyle name="20% - Accent2 76 25 2 2" xfId="2936" xr:uid="{00000000-0005-0000-0000-0000740B0000}"/>
    <cellStyle name="20% - Accent2 76 25 3" xfId="2937" xr:uid="{00000000-0005-0000-0000-0000750B0000}"/>
    <cellStyle name="20% - Accent2 76 26" xfId="2938" xr:uid="{00000000-0005-0000-0000-0000760B0000}"/>
    <cellStyle name="20% - Accent2 76 26 2" xfId="2939" xr:uid="{00000000-0005-0000-0000-0000770B0000}"/>
    <cellStyle name="20% - Accent2 76 26 2 2" xfId="2940" xr:uid="{00000000-0005-0000-0000-0000780B0000}"/>
    <cellStyle name="20% - Accent2 76 26 3" xfId="2941" xr:uid="{00000000-0005-0000-0000-0000790B0000}"/>
    <cellStyle name="20% - Accent2 76 27" xfId="2942" xr:uid="{00000000-0005-0000-0000-00007A0B0000}"/>
    <cellStyle name="20% - Accent2 76 27 2" xfId="2943" xr:uid="{00000000-0005-0000-0000-00007B0B0000}"/>
    <cellStyle name="20% - Accent2 76 27 2 2" xfId="2944" xr:uid="{00000000-0005-0000-0000-00007C0B0000}"/>
    <cellStyle name="20% - Accent2 76 27 3" xfId="2945" xr:uid="{00000000-0005-0000-0000-00007D0B0000}"/>
    <cellStyle name="20% - Accent2 76 28" xfId="2946" xr:uid="{00000000-0005-0000-0000-00007E0B0000}"/>
    <cellStyle name="20% - Accent2 76 28 2" xfId="2947" xr:uid="{00000000-0005-0000-0000-00007F0B0000}"/>
    <cellStyle name="20% - Accent2 76 28 2 2" xfId="2948" xr:uid="{00000000-0005-0000-0000-0000800B0000}"/>
    <cellStyle name="20% - Accent2 76 28 3" xfId="2949" xr:uid="{00000000-0005-0000-0000-0000810B0000}"/>
    <cellStyle name="20% - Accent2 76 29" xfId="2950" xr:uid="{00000000-0005-0000-0000-0000820B0000}"/>
    <cellStyle name="20% - Accent2 76 29 2" xfId="2951" xr:uid="{00000000-0005-0000-0000-0000830B0000}"/>
    <cellStyle name="20% - Accent2 76 29 2 2" xfId="2952" xr:uid="{00000000-0005-0000-0000-0000840B0000}"/>
    <cellStyle name="20% - Accent2 76 29 3" xfId="2953" xr:uid="{00000000-0005-0000-0000-0000850B0000}"/>
    <cellStyle name="20% - Accent2 76 3" xfId="2954" xr:uid="{00000000-0005-0000-0000-0000860B0000}"/>
    <cellStyle name="20% - Accent2 76 3 2" xfId="2955" xr:uid="{00000000-0005-0000-0000-0000870B0000}"/>
    <cellStyle name="20% - Accent2 76 3 2 2" xfId="2956" xr:uid="{00000000-0005-0000-0000-0000880B0000}"/>
    <cellStyle name="20% - Accent2 76 3 3" xfId="2957" xr:uid="{00000000-0005-0000-0000-0000890B0000}"/>
    <cellStyle name="20% - Accent2 76 30" xfId="2958" xr:uid="{00000000-0005-0000-0000-00008A0B0000}"/>
    <cellStyle name="20% - Accent2 76 30 2" xfId="2959" xr:uid="{00000000-0005-0000-0000-00008B0B0000}"/>
    <cellStyle name="20% - Accent2 76 30 2 2" xfId="2960" xr:uid="{00000000-0005-0000-0000-00008C0B0000}"/>
    <cellStyle name="20% - Accent2 76 30 3" xfId="2961" xr:uid="{00000000-0005-0000-0000-00008D0B0000}"/>
    <cellStyle name="20% - Accent2 76 31" xfId="2962" xr:uid="{00000000-0005-0000-0000-00008E0B0000}"/>
    <cellStyle name="20% - Accent2 76 31 2" xfId="2963" xr:uid="{00000000-0005-0000-0000-00008F0B0000}"/>
    <cellStyle name="20% - Accent2 76 31 2 2" xfId="2964" xr:uid="{00000000-0005-0000-0000-0000900B0000}"/>
    <cellStyle name="20% - Accent2 76 31 3" xfId="2965" xr:uid="{00000000-0005-0000-0000-0000910B0000}"/>
    <cellStyle name="20% - Accent2 76 32" xfId="2966" xr:uid="{00000000-0005-0000-0000-0000920B0000}"/>
    <cellStyle name="20% - Accent2 76 32 2" xfId="2967" xr:uid="{00000000-0005-0000-0000-0000930B0000}"/>
    <cellStyle name="20% - Accent2 76 32 2 2" xfId="2968" xr:uid="{00000000-0005-0000-0000-0000940B0000}"/>
    <cellStyle name="20% - Accent2 76 32 3" xfId="2969" xr:uid="{00000000-0005-0000-0000-0000950B0000}"/>
    <cellStyle name="20% - Accent2 76 33" xfId="2970" xr:uid="{00000000-0005-0000-0000-0000960B0000}"/>
    <cellStyle name="20% - Accent2 76 33 2" xfId="2971" xr:uid="{00000000-0005-0000-0000-0000970B0000}"/>
    <cellStyle name="20% - Accent2 76 33 2 2" xfId="2972" xr:uid="{00000000-0005-0000-0000-0000980B0000}"/>
    <cellStyle name="20% - Accent2 76 33 3" xfId="2973" xr:uid="{00000000-0005-0000-0000-0000990B0000}"/>
    <cellStyle name="20% - Accent2 76 34" xfId="2974" xr:uid="{00000000-0005-0000-0000-00009A0B0000}"/>
    <cellStyle name="20% - Accent2 76 34 2" xfId="2975" xr:uid="{00000000-0005-0000-0000-00009B0B0000}"/>
    <cellStyle name="20% - Accent2 76 34 2 2" xfId="2976" xr:uid="{00000000-0005-0000-0000-00009C0B0000}"/>
    <cellStyle name="20% - Accent2 76 34 3" xfId="2977" xr:uid="{00000000-0005-0000-0000-00009D0B0000}"/>
    <cellStyle name="20% - Accent2 76 35" xfId="2978" xr:uid="{00000000-0005-0000-0000-00009E0B0000}"/>
    <cellStyle name="20% - Accent2 76 35 2" xfId="2979" xr:uid="{00000000-0005-0000-0000-00009F0B0000}"/>
    <cellStyle name="20% - Accent2 76 35 2 2" xfId="2980" xr:uid="{00000000-0005-0000-0000-0000A00B0000}"/>
    <cellStyle name="20% - Accent2 76 35 3" xfId="2981" xr:uid="{00000000-0005-0000-0000-0000A10B0000}"/>
    <cellStyle name="20% - Accent2 76 36" xfId="2982" xr:uid="{00000000-0005-0000-0000-0000A20B0000}"/>
    <cellStyle name="20% - Accent2 76 36 2" xfId="2983" xr:uid="{00000000-0005-0000-0000-0000A30B0000}"/>
    <cellStyle name="20% - Accent2 76 36 2 2" xfId="2984" xr:uid="{00000000-0005-0000-0000-0000A40B0000}"/>
    <cellStyle name="20% - Accent2 76 36 3" xfId="2985" xr:uid="{00000000-0005-0000-0000-0000A50B0000}"/>
    <cellStyle name="20% - Accent2 76 4" xfId="2986" xr:uid="{00000000-0005-0000-0000-0000A60B0000}"/>
    <cellStyle name="20% - Accent2 76 4 2" xfId="2987" xr:uid="{00000000-0005-0000-0000-0000A70B0000}"/>
    <cellStyle name="20% - Accent2 76 4 2 2" xfId="2988" xr:uid="{00000000-0005-0000-0000-0000A80B0000}"/>
    <cellStyle name="20% - Accent2 76 4 3" xfId="2989" xr:uid="{00000000-0005-0000-0000-0000A90B0000}"/>
    <cellStyle name="20% - Accent2 76 5" xfId="2990" xr:uid="{00000000-0005-0000-0000-0000AA0B0000}"/>
    <cellStyle name="20% - Accent2 76 5 2" xfId="2991" xr:uid="{00000000-0005-0000-0000-0000AB0B0000}"/>
    <cellStyle name="20% - Accent2 76 5 2 2" xfId="2992" xr:uid="{00000000-0005-0000-0000-0000AC0B0000}"/>
    <cellStyle name="20% - Accent2 76 5 3" xfId="2993" xr:uid="{00000000-0005-0000-0000-0000AD0B0000}"/>
    <cellStyle name="20% - Accent2 76 6" xfId="2994" xr:uid="{00000000-0005-0000-0000-0000AE0B0000}"/>
    <cellStyle name="20% - Accent2 76 6 2" xfId="2995" xr:uid="{00000000-0005-0000-0000-0000AF0B0000}"/>
    <cellStyle name="20% - Accent2 76 6 2 2" xfId="2996" xr:uid="{00000000-0005-0000-0000-0000B00B0000}"/>
    <cellStyle name="20% - Accent2 76 6 3" xfId="2997" xr:uid="{00000000-0005-0000-0000-0000B10B0000}"/>
    <cellStyle name="20% - Accent2 76 7" xfId="2998" xr:uid="{00000000-0005-0000-0000-0000B20B0000}"/>
    <cellStyle name="20% - Accent2 76 7 2" xfId="2999" xr:uid="{00000000-0005-0000-0000-0000B30B0000}"/>
    <cellStyle name="20% - Accent2 76 7 2 2" xfId="3000" xr:uid="{00000000-0005-0000-0000-0000B40B0000}"/>
    <cellStyle name="20% - Accent2 76 7 3" xfId="3001" xr:uid="{00000000-0005-0000-0000-0000B50B0000}"/>
    <cellStyle name="20% - Accent2 76 8" xfId="3002" xr:uid="{00000000-0005-0000-0000-0000B60B0000}"/>
    <cellStyle name="20% - Accent2 76 8 2" xfId="3003" xr:uid="{00000000-0005-0000-0000-0000B70B0000}"/>
    <cellStyle name="20% - Accent2 76 8 2 2" xfId="3004" xr:uid="{00000000-0005-0000-0000-0000B80B0000}"/>
    <cellStyle name="20% - Accent2 76 8 3" xfId="3005" xr:uid="{00000000-0005-0000-0000-0000B90B0000}"/>
    <cellStyle name="20% - Accent2 76 9" xfId="3006" xr:uid="{00000000-0005-0000-0000-0000BA0B0000}"/>
    <cellStyle name="20% - Accent2 76 9 2" xfId="3007" xr:uid="{00000000-0005-0000-0000-0000BB0B0000}"/>
    <cellStyle name="20% - Accent2 76 9 2 2" xfId="3008" xr:uid="{00000000-0005-0000-0000-0000BC0B0000}"/>
    <cellStyle name="20% - Accent2 76 9 3" xfId="3009" xr:uid="{00000000-0005-0000-0000-0000BD0B0000}"/>
    <cellStyle name="20% - Accent2 77" xfId="3010" xr:uid="{00000000-0005-0000-0000-0000BE0B0000}"/>
    <cellStyle name="20% - Accent2 77 10" xfId="3011" xr:uid="{00000000-0005-0000-0000-0000BF0B0000}"/>
    <cellStyle name="20% - Accent2 77 10 2" xfId="3012" xr:uid="{00000000-0005-0000-0000-0000C00B0000}"/>
    <cellStyle name="20% - Accent2 77 10 2 2" xfId="3013" xr:uid="{00000000-0005-0000-0000-0000C10B0000}"/>
    <cellStyle name="20% - Accent2 77 10 3" xfId="3014" xr:uid="{00000000-0005-0000-0000-0000C20B0000}"/>
    <cellStyle name="20% - Accent2 77 11" xfId="3015" xr:uid="{00000000-0005-0000-0000-0000C30B0000}"/>
    <cellStyle name="20% - Accent2 77 11 2" xfId="3016" xr:uid="{00000000-0005-0000-0000-0000C40B0000}"/>
    <cellStyle name="20% - Accent2 77 11 2 2" xfId="3017" xr:uid="{00000000-0005-0000-0000-0000C50B0000}"/>
    <cellStyle name="20% - Accent2 77 11 3" xfId="3018" xr:uid="{00000000-0005-0000-0000-0000C60B0000}"/>
    <cellStyle name="20% - Accent2 77 12" xfId="3019" xr:uid="{00000000-0005-0000-0000-0000C70B0000}"/>
    <cellStyle name="20% - Accent2 77 12 2" xfId="3020" xr:uid="{00000000-0005-0000-0000-0000C80B0000}"/>
    <cellStyle name="20% - Accent2 77 12 2 2" xfId="3021" xr:uid="{00000000-0005-0000-0000-0000C90B0000}"/>
    <cellStyle name="20% - Accent2 77 12 3" xfId="3022" xr:uid="{00000000-0005-0000-0000-0000CA0B0000}"/>
    <cellStyle name="20% - Accent2 77 13" xfId="3023" xr:uid="{00000000-0005-0000-0000-0000CB0B0000}"/>
    <cellStyle name="20% - Accent2 77 13 2" xfId="3024" xr:uid="{00000000-0005-0000-0000-0000CC0B0000}"/>
    <cellStyle name="20% - Accent2 77 13 2 2" xfId="3025" xr:uid="{00000000-0005-0000-0000-0000CD0B0000}"/>
    <cellStyle name="20% - Accent2 77 13 3" xfId="3026" xr:uid="{00000000-0005-0000-0000-0000CE0B0000}"/>
    <cellStyle name="20% - Accent2 77 14" xfId="3027" xr:uid="{00000000-0005-0000-0000-0000CF0B0000}"/>
    <cellStyle name="20% - Accent2 77 14 2" xfId="3028" xr:uid="{00000000-0005-0000-0000-0000D00B0000}"/>
    <cellStyle name="20% - Accent2 77 14 2 2" xfId="3029" xr:uid="{00000000-0005-0000-0000-0000D10B0000}"/>
    <cellStyle name="20% - Accent2 77 14 3" xfId="3030" xr:uid="{00000000-0005-0000-0000-0000D20B0000}"/>
    <cellStyle name="20% - Accent2 77 15" xfId="3031" xr:uid="{00000000-0005-0000-0000-0000D30B0000}"/>
    <cellStyle name="20% - Accent2 77 15 2" xfId="3032" xr:uid="{00000000-0005-0000-0000-0000D40B0000}"/>
    <cellStyle name="20% - Accent2 77 15 2 2" xfId="3033" xr:uid="{00000000-0005-0000-0000-0000D50B0000}"/>
    <cellStyle name="20% - Accent2 77 15 3" xfId="3034" xr:uid="{00000000-0005-0000-0000-0000D60B0000}"/>
    <cellStyle name="20% - Accent2 77 16" xfId="3035" xr:uid="{00000000-0005-0000-0000-0000D70B0000}"/>
    <cellStyle name="20% - Accent2 77 16 2" xfId="3036" xr:uid="{00000000-0005-0000-0000-0000D80B0000}"/>
    <cellStyle name="20% - Accent2 77 16 2 2" xfId="3037" xr:uid="{00000000-0005-0000-0000-0000D90B0000}"/>
    <cellStyle name="20% - Accent2 77 16 3" xfId="3038" xr:uid="{00000000-0005-0000-0000-0000DA0B0000}"/>
    <cellStyle name="20% - Accent2 77 17" xfId="3039" xr:uid="{00000000-0005-0000-0000-0000DB0B0000}"/>
    <cellStyle name="20% - Accent2 77 17 2" xfId="3040" xr:uid="{00000000-0005-0000-0000-0000DC0B0000}"/>
    <cellStyle name="20% - Accent2 77 17 2 2" xfId="3041" xr:uid="{00000000-0005-0000-0000-0000DD0B0000}"/>
    <cellStyle name="20% - Accent2 77 17 3" xfId="3042" xr:uid="{00000000-0005-0000-0000-0000DE0B0000}"/>
    <cellStyle name="20% - Accent2 77 18" xfId="3043" xr:uid="{00000000-0005-0000-0000-0000DF0B0000}"/>
    <cellStyle name="20% - Accent2 77 18 2" xfId="3044" xr:uid="{00000000-0005-0000-0000-0000E00B0000}"/>
    <cellStyle name="20% - Accent2 77 18 2 2" xfId="3045" xr:uid="{00000000-0005-0000-0000-0000E10B0000}"/>
    <cellStyle name="20% - Accent2 77 18 3" xfId="3046" xr:uid="{00000000-0005-0000-0000-0000E20B0000}"/>
    <cellStyle name="20% - Accent2 77 19" xfId="3047" xr:uid="{00000000-0005-0000-0000-0000E30B0000}"/>
    <cellStyle name="20% - Accent2 77 19 2" xfId="3048" xr:uid="{00000000-0005-0000-0000-0000E40B0000}"/>
    <cellStyle name="20% - Accent2 77 19 2 2" xfId="3049" xr:uid="{00000000-0005-0000-0000-0000E50B0000}"/>
    <cellStyle name="20% - Accent2 77 19 3" xfId="3050" xr:uid="{00000000-0005-0000-0000-0000E60B0000}"/>
    <cellStyle name="20% - Accent2 77 2" xfId="3051" xr:uid="{00000000-0005-0000-0000-0000E70B0000}"/>
    <cellStyle name="20% - Accent2 77 2 2" xfId="3052" xr:uid="{00000000-0005-0000-0000-0000E80B0000}"/>
    <cellStyle name="20% - Accent2 77 2 2 2" xfId="3053" xr:uid="{00000000-0005-0000-0000-0000E90B0000}"/>
    <cellStyle name="20% - Accent2 77 2 3" xfId="3054" xr:uid="{00000000-0005-0000-0000-0000EA0B0000}"/>
    <cellStyle name="20% - Accent2 77 20" xfId="3055" xr:uid="{00000000-0005-0000-0000-0000EB0B0000}"/>
    <cellStyle name="20% - Accent2 77 20 2" xfId="3056" xr:uid="{00000000-0005-0000-0000-0000EC0B0000}"/>
    <cellStyle name="20% - Accent2 77 20 2 2" xfId="3057" xr:uid="{00000000-0005-0000-0000-0000ED0B0000}"/>
    <cellStyle name="20% - Accent2 77 20 3" xfId="3058" xr:uid="{00000000-0005-0000-0000-0000EE0B0000}"/>
    <cellStyle name="20% - Accent2 77 21" xfId="3059" xr:uid="{00000000-0005-0000-0000-0000EF0B0000}"/>
    <cellStyle name="20% - Accent2 77 21 2" xfId="3060" xr:uid="{00000000-0005-0000-0000-0000F00B0000}"/>
    <cellStyle name="20% - Accent2 77 21 2 2" xfId="3061" xr:uid="{00000000-0005-0000-0000-0000F10B0000}"/>
    <cellStyle name="20% - Accent2 77 21 3" xfId="3062" xr:uid="{00000000-0005-0000-0000-0000F20B0000}"/>
    <cellStyle name="20% - Accent2 77 22" xfId="3063" xr:uid="{00000000-0005-0000-0000-0000F30B0000}"/>
    <cellStyle name="20% - Accent2 77 22 2" xfId="3064" xr:uid="{00000000-0005-0000-0000-0000F40B0000}"/>
    <cellStyle name="20% - Accent2 77 22 2 2" xfId="3065" xr:uid="{00000000-0005-0000-0000-0000F50B0000}"/>
    <cellStyle name="20% - Accent2 77 22 3" xfId="3066" xr:uid="{00000000-0005-0000-0000-0000F60B0000}"/>
    <cellStyle name="20% - Accent2 77 23" xfId="3067" xr:uid="{00000000-0005-0000-0000-0000F70B0000}"/>
    <cellStyle name="20% - Accent2 77 23 2" xfId="3068" xr:uid="{00000000-0005-0000-0000-0000F80B0000}"/>
    <cellStyle name="20% - Accent2 77 23 2 2" xfId="3069" xr:uid="{00000000-0005-0000-0000-0000F90B0000}"/>
    <cellStyle name="20% - Accent2 77 23 3" xfId="3070" xr:uid="{00000000-0005-0000-0000-0000FA0B0000}"/>
    <cellStyle name="20% - Accent2 77 24" xfId="3071" xr:uid="{00000000-0005-0000-0000-0000FB0B0000}"/>
    <cellStyle name="20% - Accent2 77 24 2" xfId="3072" xr:uid="{00000000-0005-0000-0000-0000FC0B0000}"/>
    <cellStyle name="20% - Accent2 77 24 2 2" xfId="3073" xr:uid="{00000000-0005-0000-0000-0000FD0B0000}"/>
    <cellStyle name="20% - Accent2 77 24 3" xfId="3074" xr:uid="{00000000-0005-0000-0000-0000FE0B0000}"/>
    <cellStyle name="20% - Accent2 77 25" xfId="3075" xr:uid="{00000000-0005-0000-0000-0000FF0B0000}"/>
    <cellStyle name="20% - Accent2 77 25 2" xfId="3076" xr:uid="{00000000-0005-0000-0000-0000000C0000}"/>
    <cellStyle name="20% - Accent2 77 25 2 2" xfId="3077" xr:uid="{00000000-0005-0000-0000-0000010C0000}"/>
    <cellStyle name="20% - Accent2 77 25 3" xfId="3078" xr:uid="{00000000-0005-0000-0000-0000020C0000}"/>
    <cellStyle name="20% - Accent2 77 26" xfId="3079" xr:uid="{00000000-0005-0000-0000-0000030C0000}"/>
    <cellStyle name="20% - Accent2 77 26 2" xfId="3080" xr:uid="{00000000-0005-0000-0000-0000040C0000}"/>
    <cellStyle name="20% - Accent2 77 26 2 2" xfId="3081" xr:uid="{00000000-0005-0000-0000-0000050C0000}"/>
    <cellStyle name="20% - Accent2 77 26 3" xfId="3082" xr:uid="{00000000-0005-0000-0000-0000060C0000}"/>
    <cellStyle name="20% - Accent2 77 27" xfId="3083" xr:uid="{00000000-0005-0000-0000-0000070C0000}"/>
    <cellStyle name="20% - Accent2 77 27 2" xfId="3084" xr:uid="{00000000-0005-0000-0000-0000080C0000}"/>
    <cellStyle name="20% - Accent2 77 27 2 2" xfId="3085" xr:uid="{00000000-0005-0000-0000-0000090C0000}"/>
    <cellStyle name="20% - Accent2 77 27 3" xfId="3086" xr:uid="{00000000-0005-0000-0000-00000A0C0000}"/>
    <cellStyle name="20% - Accent2 77 28" xfId="3087" xr:uid="{00000000-0005-0000-0000-00000B0C0000}"/>
    <cellStyle name="20% - Accent2 77 28 2" xfId="3088" xr:uid="{00000000-0005-0000-0000-00000C0C0000}"/>
    <cellStyle name="20% - Accent2 77 28 2 2" xfId="3089" xr:uid="{00000000-0005-0000-0000-00000D0C0000}"/>
    <cellStyle name="20% - Accent2 77 28 3" xfId="3090" xr:uid="{00000000-0005-0000-0000-00000E0C0000}"/>
    <cellStyle name="20% - Accent2 77 29" xfId="3091" xr:uid="{00000000-0005-0000-0000-00000F0C0000}"/>
    <cellStyle name="20% - Accent2 77 29 2" xfId="3092" xr:uid="{00000000-0005-0000-0000-0000100C0000}"/>
    <cellStyle name="20% - Accent2 77 29 2 2" xfId="3093" xr:uid="{00000000-0005-0000-0000-0000110C0000}"/>
    <cellStyle name="20% - Accent2 77 29 3" xfId="3094" xr:uid="{00000000-0005-0000-0000-0000120C0000}"/>
    <cellStyle name="20% - Accent2 77 3" xfId="3095" xr:uid="{00000000-0005-0000-0000-0000130C0000}"/>
    <cellStyle name="20% - Accent2 77 3 2" xfId="3096" xr:uid="{00000000-0005-0000-0000-0000140C0000}"/>
    <cellStyle name="20% - Accent2 77 3 2 2" xfId="3097" xr:uid="{00000000-0005-0000-0000-0000150C0000}"/>
    <cellStyle name="20% - Accent2 77 3 3" xfId="3098" xr:uid="{00000000-0005-0000-0000-0000160C0000}"/>
    <cellStyle name="20% - Accent2 77 30" xfId="3099" xr:uid="{00000000-0005-0000-0000-0000170C0000}"/>
    <cellStyle name="20% - Accent2 77 30 2" xfId="3100" xr:uid="{00000000-0005-0000-0000-0000180C0000}"/>
    <cellStyle name="20% - Accent2 77 30 2 2" xfId="3101" xr:uid="{00000000-0005-0000-0000-0000190C0000}"/>
    <cellStyle name="20% - Accent2 77 30 3" xfId="3102" xr:uid="{00000000-0005-0000-0000-00001A0C0000}"/>
    <cellStyle name="20% - Accent2 77 31" xfId="3103" xr:uid="{00000000-0005-0000-0000-00001B0C0000}"/>
    <cellStyle name="20% - Accent2 77 31 2" xfId="3104" xr:uid="{00000000-0005-0000-0000-00001C0C0000}"/>
    <cellStyle name="20% - Accent2 77 31 2 2" xfId="3105" xr:uid="{00000000-0005-0000-0000-00001D0C0000}"/>
    <cellStyle name="20% - Accent2 77 31 3" xfId="3106" xr:uid="{00000000-0005-0000-0000-00001E0C0000}"/>
    <cellStyle name="20% - Accent2 77 32" xfId="3107" xr:uid="{00000000-0005-0000-0000-00001F0C0000}"/>
    <cellStyle name="20% - Accent2 77 32 2" xfId="3108" xr:uid="{00000000-0005-0000-0000-0000200C0000}"/>
    <cellStyle name="20% - Accent2 77 32 2 2" xfId="3109" xr:uid="{00000000-0005-0000-0000-0000210C0000}"/>
    <cellStyle name="20% - Accent2 77 32 3" xfId="3110" xr:uid="{00000000-0005-0000-0000-0000220C0000}"/>
    <cellStyle name="20% - Accent2 77 33" xfId="3111" xr:uid="{00000000-0005-0000-0000-0000230C0000}"/>
    <cellStyle name="20% - Accent2 77 33 2" xfId="3112" xr:uid="{00000000-0005-0000-0000-0000240C0000}"/>
    <cellStyle name="20% - Accent2 77 33 2 2" xfId="3113" xr:uid="{00000000-0005-0000-0000-0000250C0000}"/>
    <cellStyle name="20% - Accent2 77 33 3" xfId="3114" xr:uid="{00000000-0005-0000-0000-0000260C0000}"/>
    <cellStyle name="20% - Accent2 77 34" xfId="3115" xr:uid="{00000000-0005-0000-0000-0000270C0000}"/>
    <cellStyle name="20% - Accent2 77 34 2" xfId="3116" xr:uid="{00000000-0005-0000-0000-0000280C0000}"/>
    <cellStyle name="20% - Accent2 77 34 2 2" xfId="3117" xr:uid="{00000000-0005-0000-0000-0000290C0000}"/>
    <cellStyle name="20% - Accent2 77 34 3" xfId="3118" xr:uid="{00000000-0005-0000-0000-00002A0C0000}"/>
    <cellStyle name="20% - Accent2 77 35" xfId="3119" xr:uid="{00000000-0005-0000-0000-00002B0C0000}"/>
    <cellStyle name="20% - Accent2 77 35 2" xfId="3120" xr:uid="{00000000-0005-0000-0000-00002C0C0000}"/>
    <cellStyle name="20% - Accent2 77 35 2 2" xfId="3121" xr:uid="{00000000-0005-0000-0000-00002D0C0000}"/>
    <cellStyle name="20% - Accent2 77 35 3" xfId="3122" xr:uid="{00000000-0005-0000-0000-00002E0C0000}"/>
    <cellStyle name="20% - Accent2 77 36" xfId="3123" xr:uid="{00000000-0005-0000-0000-00002F0C0000}"/>
    <cellStyle name="20% - Accent2 77 36 2" xfId="3124" xr:uid="{00000000-0005-0000-0000-0000300C0000}"/>
    <cellStyle name="20% - Accent2 77 36 2 2" xfId="3125" xr:uid="{00000000-0005-0000-0000-0000310C0000}"/>
    <cellStyle name="20% - Accent2 77 36 3" xfId="3126" xr:uid="{00000000-0005-0000-0000-0000320C0000}"/>
    <cellStyle name="20% - Accent2 77 4" xfId="3127" xr:uid="{00000000-0005-0000-0000-0000330C0000}"/>
    <cellStyle name="20% - Accent2 77 4 2" xfId="3128" xr:uid="{00000000-0005-0000-0000-0000340C0000}"/>
    <cellStyle name="20% - Accent2 77 4 2 2" xfId="3129" xr:uid="{00000000-0005-0000-0000-0000350C0000}"/>
    <cellStyle name="20% - Accent2 77 4 3" xfId="3130" xr:uid="{00000000-0005-0000-0000-0000360C0000}"/>
    <cellStyle name="20% - Accent2 77 5" xfId="3131" xr:uid="{00000000-0005-0000-0000-0000370C0000}"/>
    <cellStyle name="20% - Accent2 77 5 2" xfId="3132" xr:uid="{00000000-0005-0000-0000-0000380C0000}"/>
    <cellStyle name="20% - Accent2 77 5 2 2" xfId="3133" xr:uid="{00000000-0005-0000-0000-0000390C0000}"/>
    <cellStyle name="20% - Accent2 77 5 3" xfId="3134" xr:uid="{00000000-0005-0000-0000-00003A0C0000}"/>
    <cellStyle name="20% - Accent2 77 6" xfId="3135" xr:uid="{00000000-0005-0000-0000-00003B0C0000}"/>
    <cellStyle name="20% - Accent2 77 6 2" xfId="3136" xr:uid="{00000000-0005-0000-0000-00003C0C0000}"/>
    <cellStyle name="20% - Accent2 77 6 2 2" xfId="3137" xr:uid="{00000000-0005-0000-0000-00003D0C0000}"/>
    <cellStyle name="20% - Accent2 77 6 3" xfId="3138" xr:uid="{00000000-0005-0000-0000-00003E0C0000}"/>
    <cellStyle name="20% - Accent2 77 7" xfId="3139" xr:uid="{00000000-0005-0000-0000-00003F0C0000}"/>
    <cellStyle name="20% - Accent2 77 7 2" xfId="3140" xr:uid="{00000000-0005-0000-0000-0000400C0000}"/>
    <cellStyle name="20% - Accent2 77 7 2 2" xfId="3141" xr:uid="{00000000-0005-0000-0000-0000410C0000}"/>
    <cellStyle name="20% - Accent2 77 7 3" xfId="3142" xr:uid="{00000000-0005-0000-0000-0000420C0000}"/>
    <cellStyle name="20% - Accent2 77 8" xfId="3143" xr:uid="{00000000-0005-0000-0000-0000430C0000}"/>
    <cellStyle name="20% - Accent2 77 8 2" xfId="3144" xr:uid="{00000000-0005-0000-0000-0000440C0000}"/>
    <cellStyle name="20% - Accent2 77 8 2 2" xfId="3145" xr:uid="{00000000-0005-0000-0000-0000450C0000}"/>
    <cellStyle name="20% - Accent2 77 8 3" xfId="3146" xr:uid="{00000000-0005-0000-0000-0000460C0000}"/>
    <cellStyle name="20% - Accent2 77 9" xfId="3147" xr:uid="{00000000-0005-0000-0000-0000470C0000}"/>
    <cellStyle name="20% - Accent2 77 9 2" xfId="3148" xr:uid="{00000000-0005-0000-0000-0000480C0000}"/>
    <cellStyle name="20% - Accent2 77 9 2 2" xfId="3149" xr:uid="{00000000-0005-0000-0000-0000490C0000}"/>
    <cellStyle name="20% - Accent2 77 9 3" xfId="3150" xr:uid="{00000000-0005-0000-0000-00004A0C0000}"/>
    <cellStyle name="20% - Accent2 78" xfId="3151" xr:uid="{00000000-0005-0000-0000-00004B0C0000}"/>
    <cellStyle name="20% - Accent2 78 2" xfId="3152" xr:uid="{00000000-0005-0000-0000-00004C0C0000}"/>
    <cellStyle name="20% - Accent2 79" xfId="3153" xr:uid="{00000000-0005-0000-0000-00004D0C0000}"/>
    <cellStyle name="20% - Accent2 79 10" xfId="3154" xr:uid="{00000000-0005-0000-0000-00004E0C0000}"/>
    <cellStyle name="20% - Accent2 79 10 2" xfId="3155" xr:uid="{00000000-0005-0000-0000-00004F0C0000}"/>
    <cellStyle name="20% - Accent2 79 10 2 2" xfId="3156" xr:uid="{00000000-0005-0000-0000-0000500C0000}"/>
    <cellStyle name="20% - Accent2 79 10 3" xfId="3157" xr:uid="{00000000-0005-0000-0000-0000510C0000}"/>
    <cellStyle name="20% - Accent2 79 11" xfId="3158" xr:uid="{00000000-0005-0000-0000-0000520C0000}"/>
    <cellStyle name="20% - Accent2 79 11 2" xfId="3159" xr:uid="{00000000-0005-0000-0000-0000530C0000}"/>
    <cellStyle name="20% - Accent2 79 11 2 2" xfId="3160" xr:uid="{00000000-0005-0000-0000-0000540C0000}"/>
    <cellStyle name="20% - Accent2 79 11 3" xfId="3161" xr:uid="{00000000-0005-0000-0000-0000550C0000}"/>
    <cellStyle name="20% - Accent2 79 12" xfId="3162" xr:uid="{00000000-0005-0000-0000-0000560C0000}"/>
    <cellStyle name="20% - Accent2 79 12 2" xfId="3163" xr:uid="{00000000-0005-0000-0000-0000570C0000}"/>
    <cellStyle name="20% - Accent2 79 12 2 2" xfId="3164" xr:uid="{00000000-0005-0000-0000-0000580C0000}"/>
    <cellStyle name="20% - Accent2 79 12 3" xfId="3165" xr:uid="{00000000-0005-0000-0000-0000590C0000}"/>
    <cellStyle name="20% - Accent2 79 13" xfId="3166" xr:uid="{00000000-0005-0000-0000-00005A0C0000}"/>
    <cellStyle name="20% - Accent2 79 13 2" xfId="3167" xr:uid="{00000000-0005-0000-0000-00005B0C0000}"/>
    <cellStyle name="20% - Accent2 79 13 2 2" xfId="3168" xr:uid="{00000000-0005-0000-0000-00005C0C0000}"/>
    <cellStyle name="20% - Accent2 79 13 3" xfId="3169" xr:uid="{00000000-0005-0000-0000-00005D0C0000}"/>
    <cellStyle name="20% - Accent2 79 14" xfId="3170" xr:uid="{00000000-0005-0000-0000-00005E0C0000}"/>
    <cellStyle name="20% - Accent2 79 14 2" xfId="3171" xr:uid="{00000000-0005-0000-0000-00005F0C0000}"/>
    <cellStyle name="20% - Accent2 79 14 2 2" xfId="3172" xr:uid="{00000000-0005-0000-0000-0000600C0000}"/>
    <cellStyle name="20% - Accent2 79 14 3" xfId="3173" xr:uid="{00000000-0005-0000-0000-0000610C0000}"/>
    <cellStyle name="20% - Accent2 79 15" xfId="3174" xr:uid="{00000000-0005-0000-0000-0000620C0000}"/>
    <cellStyle name="20% - Accent2 79 15 2" xfId="3175" xr:uid="{00000000-0005-0000-0000-0000630C0000}"/>
    <cellStyle name="20% - Accent2 79 15 2 2" xfId="3176" xr:uid="{00000000-0005-0000-0000-0000640C0000}"/>
    <cellStyle name="20% - Accent2 79 15 3" xfId="3177" xr:uid="{00000000-0005-0000-0000-0000650C0000}"/>
    <cellStyle name="20% - Accent2 79 16" xfId="3178" xr:uid="{00000000-0005-0000-0000-0000660C0000}"/>
    <cellStyle name="20% - Accent2 79 16 2" xfId="3179" xr:uid="{00000000-0005-0000-0000-0000670C0000}"/>
    <cellStyle name="20% - Accent2 79 16 2 2" xfId="3180" xr:uid="{00000000-0005-0000-0000-0000680C0000}"/>
    <cellStyle name="20% - Accent2 79 16 3" xfId="3181" xr:uid="{00000000-0005-0000-0000-0000690C0000}"/>
    <cellStyle name="20% - Accent2 79 17" xfId="3182" xr:uid="{00000000-0005-0000-0000-00006A0C0000}"/>
    <cellStyle name="20% - Accent2 79 17 2" xfId="3183" xr:uid="{00000000-0005-0000-0000-00006B0C0000}"/>
    <cellStyle name="20% - Accent2 79 17 2 2" xfId="3184" xr:uid="{00000000-0005-0000-0000-00006C0C0000}"/>
    <cellStyle name="20% - Accent2 79 17 3" xfId="3185" xr:uid="{00000000-0005-0000-0000-00006D0C0000}"/>
    <cellStyle name="20% - Accent2 79 18" xfId="3186" xr:uid="{00000000-0005-0000-0000-00006E0C0000}"/>
    <cellStyle name="20% - Accent2 79 18 2" xfId="3187" xr:uid="{00000000-0005-0000-0000-00006F0C0000}"/>
    <cellStyle name="20% - Accent2 79 18 2 2" xfId="3188" xr:uid="{00000000-0005-0000-0000-0000700C0000}"/>
    <cellStyle name="20% - Accent2 79 18 3" xfId="3189" xr:uid="{00000000-0005-0000-0000-0000710C0000}"/>
    <cellStyle name="20% - Accent2 79 19" xfId="3190" xr:uid="{00000000-0005-0000-0000-0000720C0000}"/>
    <cellStyle name="20% - Accent2 79 19 2" xfId="3191" xr:uid="{00000000-0005-0000-0000-0000730C0000}"/>
    <cellStyle name="20% - Accent2 79 19 2 2" xfId="3192" xr:uid="{00000000-0005-0000-0000-0000740C0000}"/>
    <cellStyle name="20% - Accent2 79 19 3" xfId="3193" xr:uid="{00000000-0005-0000-0000-0000750C0000}"/>
    <cellStyle name="20% - Accent2 79 2" xfId="3194" xr:uid="{00000000-0005-0000-0000-0000760C0000}"/>
    <cellStyle name="20% - Accent2 79 2 2" xfId="3195" xr:uid="{00000000-0005-0000-0000-0000770C0000}"/>
    <cellStyle name="20% - Accent2 79 2 2 2" xfId="3196" xr:uid="{00000000-0005-0000-0000-0000780C0000}"/>
    <cellStyle name="20% - Accent2 79 2 3" xfId="3197" xr:uid="{00000000-0005-0000-0000-0000790C0000}"/>
    <cellStyle name="20% - Accent2 79 20" xfId="3198" xr:uid="{00000000-0005-0000-0000-00007A0C0000}"/>
    <cellStyle name="20% - Accent2 79 20 2" xfId="3199" xr:uid="{00000000-0005-0000-0000-00007B0C0000}"/>
    <cellStyle name="20% - Accent2 79 20 2 2" xfId="3200" xr:uid="{00000000-0005-0000-0000-00007C0C0000}"/>
    <cellStyle name="20% - Accent2 79 20 3" xfId="3201" xr:uid="{00000000-0005-0000-0000-00007D0C0000}"/>
    <cellStyle name="20% - Accent2 79 21" xfId="3202" xr:uid="{00000000-0005-0000-0000-00007E0C0000}"/>
    <cellStyle name="20% - Accent2 79 21 2" xfId="3203" xr:uid="{00000000-0005-0000-0000-00007F0C0000}"/>
    <cellStyle name="20% - Accent2 79 21 2 2" xfId="3204" xr:uid="{00000000-0005-0000-0000-0000800C0000}"/>
    <cellStyle name="20% - Accent2 79 21 3" xfId="3205" xr:uid="{00000000-0005-0000-0000-0000810C0000}"/>
    <cellStyle name="20% - Accent2 79 22" xfId="3206" xr:uid="{00000000-0005-0000-0000-0000820C0000}"/>
    <cellStyle name="20% - Accent2 79 22 2" xfId="3207" xr:uid="{00000000-0005-0000-0000-0000830C0000}"/>
    <cellStyle name="20% - Accent2 79 22 2 2" xfId="3208" xr:uid="{00000000-0005-0000-0000-0000840C0000}"/>
    <cellStyle name="20% - Accent2 79 22 3" xfId="3209" xr:uid="{00000000-0005-0000-0000-0000850C0000}"/>
    <cellStyle name="20% - Accent2 79 23" xfId="3210" xr:uid="{00000000-0005-0000-0000-0000860C0000}"/>
    <cellStyle name="20% - Accent2 79 23 2" xfId="3211" xr:uid="{00000000-0005-0000-0000-0000870C0000}"/>
    <cellStyle name="20% - Accent2 79 23 2 2" xfId="3212" xr:uid="{00000000-0005-0000-0000-0000880C0000}"/>
    <cellStyle name="20% - Accent2 79 23 3" xfId="3213" xr:uid="{00000000-0005-0000-0000-0000890C0000}"/>
    <cellStyle name="20% - Accent2 79 24" xfId="3214" xr:uid="{00000000-0005-0000-0000-00008A0C0000}"/>
    <cellStyle name="20% - Accent2 79 24 2" xfId="3215" xr:uid="{00000000-0005-0000-0000-00008B0C0000}"/>
    <cellStyle name="20% - Accent2 79 24 2 2" xfId="3216" xr:uid="{00000000-0005-0000-0000-00008C0C0000}"/>
    <cellStyle name="20% - Accent2 79 24 3" xfId="3217" xr:uid="{00000000-0005-0000-0000-00008D0C0000}"/>
    <cellStyle name="20% - Accent2 79 25" xfId="3218" xr:uid="{00000000-0005-0000-0000-00008E0C0000}"/>
    <cellStyle name="20% - Accent2 79 25 2" xfId="3219" xr:uid="{00000000-0005-0000-0000-00008F0C0000}"/>
    <cellStyle name="20% - Accent2 79 25 2 2" xfId="3220" xr:uid="{00000000-0005-0000-0000-0000900C0000}"/>
    <cellStyle name="20% - Accent2 79 25 3" xfId="3221" xr:uid="{00000000-0005-0000-0000-0000910C0000}"/>
    <cellStyle name="20% - Accent2 79 26" xfId="3222" xr:uid="{00000000-0005-0000-0000-0000920C0000}"/>
    <cellStyle name="20% - Accent2 79 26 2" xfId="3223" xr:uid="{00000000-0005-0000-0000-0000930C0000}"/>
    <cellStyle name="20% - Accent2 79 26 2 2" xfId="3224" xr:uid="{00000000-0005-0000-0000-0000940C0000}"/>
    <cellStyle name="20% - Accent2 79 26 3" xfId="3225" xr:uid="{00000000-0005-0000-0000-0000950C0000}"/>
    <cellStyle name="20% - Accent2 79 27" xfId="3226" xr:uid="{00000000-0005-0000-0000-0000960C0000}"/>
    <cellStyle name="20% - Accent2 79 27 2" xfId="3227" xr:uid="{00000000-0005-0000-0000-0000970C0000}"/>
    <cellStyle name="20% - Accent2 79 27 2 2" xfId="3228" xr:uid="{00000000-0005-0000-0000-0000980C0000}"/>
    <cellStyle name="20% - Accent2 79 27 3" xfId="3229" xr:uid="{00000000-0005-0000-0000-0000990C0000}"/>
    <cellStyle name="20% - Accent2 79 28" xfId="3230" xr:uid="{00000000-0005-0000-0000-00009A0C0000}"/>
    <cellStyle name="20% - Accent2 79 28 2" xfId="3231" xr:uid="{00000000-0005-0000-0000-00009B0C0000}"/>
    <cellStyle name="20% - Accent2 79 28 2 2" xfId="3232" xr:uid="{00000000-0005-0000-0000-00009C0C0000}"/>
    <cellStyle name="20% - Accent2 79 28 3" xfId="3233" xr:uid="{00000000-0005-0000-0000-00009D0C0000}"/>
    <cellStyle name="20% - Accent2 79 29" xfId="3234" xr:uid="{00000000-0005-0000-0000-00009E0C0000}"/>
    <cellStyle name="20% - Accent2 79 29 2" xfId="3235" xr:uid="{00000000-0005-0000-0000-00009F0C0000}"/>
    <cellStyle name="20% - Accent2 79 29 2 2" xfId="3236" xr:uid="{00000000-0005-0000-0000-0000A00C0000}"/>
    <cellStyle name="20% - Accent2 79 29 3" xfId="3237" xr:uid="{00000000-0005-0000-0000-0000A10C0000}"/>
    <cellStyle name="20% - Accent2 79 3" xfId="3238" xr:uid="{00000000-0005-0000-0000-0000A20C0000}"/>
    <cellStyle name="20% - Accent2 79 3 2" xfId="3239" xr:uid="{00000000-0005-0000-0000-0000A30C0000}"/>
    <cellStyle name="20% - Accent2 79 3 2 2" xfId="3240" xr:uid="{00000000-0005-0000-0000-0000A40C0000}"/>
    <cellStyle name="20% - Accent2 79 3 3" xfId="3241" xr:uid="{00000000-0005-0000-0000-0000A50C0000}"/>
    <cellStyle name="20% - Accent2 79 30" xfId="3242" xr:uid="{00000000-0005-0000-0000-0000A60C0000}"/>
    <cellStyle name="20% - Accent2 79 30 2" xfId="3243" xr:uid="{00000000-0005-0000-0000-0000A70C0000}"/>
    <cellStyle name="20% - Accent2 79 30 2 2" xfId="3244" xr:uid="{00000000-0005-0000-0000-0000A80C0000}"/>
    <cellStyle name="20% - Accent2 79 30 3" xfId="3245" xr:uid="{00000000-0005-0000-0000-0000A90C0000}"/>
    <cellStyle name="20% - Accent2 79 31" xfId="3246" xr:uid="{00000000-0005-0000-0000-0000AA0C0000}"/>
    <cellStyle name="20% - Accent2 79 31 2" xfId="3247" xr:uid="{00000000-0005-0000-0000-0000AB0C0000}"/>
    <cellStyle name="20% - Accent2 79 31 2 2" xfId="3248" xr:uid="{00000000-0005-0000-0000-0000AC0C0000}"/>
    <cellStyle name="20% - Accent2 79 31 3" xfId="3249" xr:uid="{00000000-0005-0000-0000-0000AD0C0000}"/>
    <cellStyle name="20% - Accent2 79 32" xfId="3250" xr:uid="{00000000-0005-0000-0000-0000AE0C0000}"/>
    <cellStyle name="20% - Accent2 79 32 2" xfId="3251" xr:uid="{00000000-0005-0000-0000-0000AF0C0000}"/>
    <cellStyle name="20% - Accent2 79 32 2 2" xfId="3252" xr:uid="{00000000-0005-0000-0000-0000B00C0000}"/>
    <cellStyle name="20% - Accent2 79 32 3" xfId="3253" xr:uid="{00000000-0005-0000-0000-0000B10C0000}"/>
    <cellStyle name="20% - Accent2 79 33" xfId="3254" xr:uid="{00000000-0005-0000-0000-0000B20C0000}"/>
    <cellStyle name="20% - Accent2 79 33 2" xfId="3255" xr:uid="{00000000-0005-0000-0000-0000B30C0000}"/>
    <cellStyle name="20% - Accent2 79 33 2 2" xfId="3256" xr:uid="{00000000-0005-0000-0000-0000B40C0000}"/>
    <cellStyle name="20% - Accent2 79 33 3" xfId="3257" xr:uid="{00000000-0005-0000-0000-0000B50C0000}"/>
    <cellStyle name="20% - Accent2 79 34" xfId="3258" xr:uid="{00000000-0005-0000-0000-0000B60C0000}"/>
    <cellStyle name="20% - Accent2 79 34 2" xfId="3259" xr:uid="{00000000-0005-0000-0000-0000B70C0000}"/>
    <cellStyle name="20% - Accent2 79 34 2 2" xfId="3260" xr:uid="{00000000-0005-0000-0000-0000B80C0000}"/>
    <cellStyle name="20% - Accent2 79 34 3" xfId="3261" xr:uid="{00000000-0005-0000-0000-0000B90C0000}"/>
    <cellStyle name="20% - Accent2 79 35" xfId="3262" xr:uid="{00000000-0005-0000-0000-0000BA0C0000}"/>
    <cellStyle name="20% - Accent2 79 35 2" xfId="3263" xr:uid="{00000000-0005-0000-0000-0000BB0C0000}"/>
    <cellStyle name="20% - Accent2 79 35 2 2" xfId="3264" xr:uid="{00000000-0005-0000-0000-0000BC0C0000}"/>
    <cellStyle name="20% - Accent2 79 35 3" xfId="3265" xr:uid="{00000000-0005-0000-0000-0000BD0C0000}"/>
    <cellStyle name="20% - Accent2 79 36" xfId="3266" xr:uid="{00000000-0005-0000-0000-0000BE0C0000}"/>
    <cellStyle name="20% - Accent2 79 36 2" xfId="3267" xr:uid="{00000000-0005-0000-0000-0000BF0C0000}"/>
    <cellStyle name="20% - Accent2 79 36 2 2" xfId="3268" xr:uid="{00000000-0005-0000-0000-0000C00C0000}"/>
    <cellStyle name="20% - Accent2 79 36 3" xfId="3269" xr:uid="{00000000-0005-0000-0000-0000C10C0000}"/>
    <cellStyle name="20% - Accent2 79 4" xfId="3270" xr:uid="{00000000-0005-0000-0000-0000C20C0000}"/>
    <cellStyle name="20% - Accent2 79 4 2" xfId="3271" xr:uid="{00000000-0005-0000-0000-0000C30C0000}"/>
    <cellStyle name="20% - Accent2 79 4 2 2" xfId="3272" xr:uid="{00000000-0005-0000-0000-0000C40C0000}"/>
    <cellStyle name="20% - Accent2 79 4 3" xfId="3273" xr:uid="{00000000-0005-0000-0000-0000C50C0000}"/>
    <cellStyle name="20% - Accent2 79 5" xfId="3274" xr:uid="{00000000-0005-0000-0000-0000C60C0000}"/>
    <cellStyle name="20% - Accent2 79 5 2" xfId="3275" xr:uid="{00000000-0005-0000-0000-0000C70C0000}"/>
    <cellStyle name="20% - Accent2 79 5 2 2" xfId="3276" xr:uid="{00000000-0005-0000-0000-0000C80C0000}"/>
    <cellStyle name="20% - Accent2 79 5 3" xfId="3277" xr:uid="{00000000-0005-0000-0000-0000C90C0000}"/>
    <cellStyle name="20% - Accent2 79 6" xfId="3278" xr:uid="{00000000-0005-0000-0000-0000CA0C0000}"/>
    <cellStyle name="20% - Accent2 79 6 2" xfId="3279" xr:uid="{00000000-0005-0000-0000-0000CB0C0000}"/>
    <cellStyle name="20% - Accent2 79 6 2 2" xfId="3280" xr:uid="{00000000-0005-0000-0000-0000CC0C0000}"/>
    <cellStyle name="20% - Accent2 79 6 3" xfId="3281" xr:uid="{00000000-0005-0000-0000-0000CD0C0000}"/>
    <cellStyle name="20% - Accent2 79 7" xfId="3282" xr:uid="{00000000-0005-0000-0000-0000CE0C0000}"/>
    <cellStyle name="20% - Accent2 79 7 2" xfId="3283" xr:uid="{00000000-0005-0000-0000-0000CF0C0000}"/>
    <cellStyle name="20% - Accent2 79 7 2 2" xfId="3284" xr:uid="{00000000-0005-0000-0000-0000D00C0000}"/>
    <cellStyle name="20% - Accent2 79 7 3" xfId="3285" xr:uid="{00000000-0005-0000-0000-0000D10C0000}"/>
    <cellStyle name="20% - Accent2 79 8" xfId="3286" xr:uid="{00000000-0005-0000-0000-0000D20C0000}"/>
    <cellStyle name="20% - Accent2 79 8 2" xfId="3287" xr:uid="{00000000-0005-0000-0000-0000D30C0000}"/>
    <cellStyle name="20% - Accent2 79 8 2 2" xfId="3288" xr:uid="{00000000-0005-0000-0000-0000D40C0000}"/>
    <cellStyle name="20% - Accent2 79 8 3" xfId="3289" xr:uid="{00000000-0005-0000-0000-0000D50C0000}"/>
    <cellStyle name="20% - Accent2 79 9" xfId="3290" xr:uid="{00000000-0005-0000-0000-0000D60C0000}"/>
    <cellStyle name="20% - Accent2 79 9 2" xfId="3291" xr:uid="{00000000-0005-0000-0000-0000D70C0000}"/>
    <cellStyle name="20% - Accent2 79 9 2 2" xfId="3292" xr:uid="{00000000-0005-0000-0000-0000D80C0000}"/>
    <cellStyle name="20% - Accent2 79 9 3" xfId="3293" xr:uid="{00000000-0005-0000-0000-0000D90C0000}"/>
    <cellStyle name="20% - Accent2 8" xfId="3294" xr:uid="{00000000-0005-0000-0000-0000DA0C0000}"/>
    <cellStyle name="20% - Accent2 8 2" xfId="3295" xr:uid="{00000000-0005-0000-0000-0000DB0C0000}"/>
    <cellStyle name="20% - Accent2 8 2 2" xfId="3296" xr:uid="{00000000-0005-0000-0000-0000DC0C0000}"/>
    <cellStyle name="20% - Accent2 8 3" xfId="3297" xr:uid="{00000000-0005-0000-0000-0000DD0C0000}"/>
    <cellStyle name="20% - Accent2 8 4" xfId="3298" xr:uid="{00000000-0005-0000-0000-0000DE0C0000}"/>
    <cellStyle name="20% - Accent2 80" xfId="3299" xr:uid="{00000000-0005-0000-0000-0000DF0C0000}"/>
    <cellStyle name="20% - Accent2 80 2" xfId="3300" xr:uid="{00000000-0005-0000-0000-0000E00C0000}"/>
    <cellStyle name="20% - Accent2 81" xfId="3301" xr:uid="{00000000-0005-0000-0000-0000E10C0000}"/>
    <cellStyle name="20% - Accent2 81 10" xfId="3302" xr:uid="{00000000-0005-0000-0000-0000E20C0000}"/>
    <cellStyle name="20% - Accent2 81 10 2" xfId="3303" xr:uid="{00000000-0005-0000-0000-0000E30C0000}"/>
    <cellStyle name="20% - Accent2 81 10 2 2" xfId="3304" xr:uid="{00000000-0005-0000-0000-0000E40C0000}"/>
    <cellStyle name="20% - Accent2 81 10 3" xfId="3305" xr:uid="{00000000-0005-0000-0000-0000E50C0000}"/>
    <cellStyle name="20% - Accent2 81 11" xfId="3306" xr:uid="{00000000-0005-0000-0000-0000E60C0000}"/>
    <cellStyle name="20% - Accent2 81 11 2" xfId="3307" xr:uid="{00000000-0005-0000-0000-0000E70C0000}"/>
    <cellStyle name="20% - Accent2 81 11 2 2" xfId="3308" xr:uid="{00000000-0005-0000-0000-0000E80C0000}"/>
    <cellStyle name="20% - Accent2 81 11 3" xfId="3309" xr:uid="{00000000-0005-0000-0000-0000E90C0000}"/>
    <cellStyle name="20% - Accent2 81 12" xfId="3310" xr:uid="{00000000-0005-0000-0000-0000EA0C0000}"/>
    <cellStyle name="20% - Accent2 81 12 2" xfId="3311" xr:uid="{00000000-0005-0000-0000-0000EB0C0000}"/>
    <cellStyle name="20% - Accent2 81 12 2 2" xfId="3312" xr:uid="{00000000-0005-0000-0000-0000EC0C0000}"/>
    <cellStyle name="20% - Accent2 81 12 3" xfId="3313" xr:uid="{00000000-0005-0000-0000-0000ED0C0000}"/>
    <cellStyle name="20% - Accent2 81 13" xfId="3314" xr:uid="{00000000-0005-0000-0000-0000EE0C0000}"/>
    <cellStyle name="20% - Accent2 81 13 2" xfId="3315" xr:uid="{00000000-0005-0000-0000-0000EF0C0000}"/>
    <cellStyle name="20% - Accent2 81 13 2 2" xfId="3316" xr:uid="{00000000-0005-0000-0000-0000F00C0000}"/>
    <cellStyle name="20% - Accent2 81 13 3" xfId="3317" xr:uid="{00000000-0005-0000-0000-0000F10C0000}"/>
    <cellStyle name="20% - Accent2 81 14" xfId="3318" xr:uid="{00000000-0005-0000-0000-0000F20C0000}"/>
    <cellStyle name="20% - Accent2 81 14 2" xfId="3319" xr:uid="{00000000-0005-0000-0000-0000F30C0000}"/>
    <cellStyle name="20% - Accent2 81 14 2 2" xfId="3320" xr:uid="{00000000-0005-0000-0000-0000F40C0000}"/>
    <cellStyle name="20% - Accent2 81 14 3" xfId="3321" xr:uid="{00000000-0005-0000-0000-0000F50C0000}"/>
    <cellStyle name="20% - Accent2 81 15" xfId="3322" xr:uid="{00000000-0005-0000-0000-0000F60C0000}"/>
    <cellStyle name="20% - Accent2 81 15 2" xfId="3323" xr:uid="{00000000-0005-0000-0000-0000F70C0000}"/>
    <cellStyle name="20% - Accent2 81 15 2 2" xfId="3324" xr:uid="{00000000-0005-0000-0000-0000F80C0000}"/>
    <cellStyle name="20% - Accent2 81 15 3" xfId="3325" xr:uid="{00000000-0005-0000-0000-0000F90C0000}"/>
    <cellStyle name="20% - Accent2 81 16" xfId="3326" xr:uid="{00000000-0005-0000-0000-0000FA0C0000}"/>
    <cellStyle name="20% - Accent2 81 16 2" xfId="3327" xr:uid="{00000000-0005-0000-0000-0000FB0C0000}"/>
    <cellStyle name="20% - Accent2 81 16 2 2" xfId="3328" xr:uid="{00000000-0005-0000-0000-0000FC0C0000}"/>
    <cellStyle name="20% - Accent2 81 16 3" xfId="3329" xr:uid="{00000000-0005-0000-0000-0000FD0C0000}"/>
    <cellStyle name="20% - Accent2 81 17" xfId="3330" xr:uid="{00000000-0005-0000-0000-0000FE0C0000}"/>
    <cellStyle name="20% - Accent2 81 17 2" xfId="3331" xr:uid="{00000000-0005-0000-0000-0000FF0C0000}"/>
    <cellStyle name="20% - Accent2 81 17 2 2" xfId="3332" xr:uid="{00000000-0005-0000-0000-0000000D0000}"/>
    <cellStyle name="20% - Accent2 81 17 3" xfId="3333" xr:uid="{00000000-0005-0000-0000-0000010D0000}"/>
    <cellStyle name="20% - Accent2 81 18" xfId="3334" xr:uid="{00000000-0005-0000-0000-0000020D0000}"/>
    <cellStyle name="20% - Accent2 81 18 2" xfId="3335" xr:uid="{00000000-0005-0000-0000-0000030D0000}"/>
    <cellStyle name="20% - Accent2 81 18 2 2" xfId="3336" xr:uid="{00000000-0005-0000-0000-0000040D0000}"/>
    <cellStyle name="20% - Accent2 81 18 3" xfId="3337" xr:uid="{00000000-0005-0000-0000-0000050D0000}"/>
    <cellStyle name="20% - Accent2 81 19" xfId="3338" xr:uid="{00000000-0005-0000-0000-0000060D0000}"/>
    <cellStyle name="20% - Accent2 81 19 2" xfId="3339" xr:uid="{00000000-0005-0000-0000-0000070D0000}"/>
    <cellStyle name="20% - Accent2 81 19 2 2" xfId="3340" xr:uid="{00000000-0005-0000-0000-0000080D0000}"/>
    <cellStyle name="20% - Accent2 81 19 3" xfId="3341" xr:uid="{00000000-0005-0000-0000-0000090D0000}"/>
    <cellStyle name="20% - Accent2 81 2" xfId="3342" xr:uid="{00000000-0005-0000-0000-00000A0D0000}"/>
    <cellStyle name="20% - Accent2 81 2 2" xfId="3343" xr:uid="{00000000-0005-0000-0000-00000B0D0000}"/>
    <cellStyle name="20% - Accent2 81 2 2 2" xfId="3344" xr:uid="{00000000-0005-0000-0000-00000C0D0000}"/>
    <cellStyle name="20% - Accent2 81 2 3" xfId="3345" xr:uid="{00000000-0005-0000-0000-00000D0D0000}"/>
    <cellStyle name="20% - Accent2 81 20" xfId="3346" xr:uid="{00000000-0005-0000-0000-00000E0D0000}"/>
    <cellStyle name="20% - Accent2 81 20 2" xfId="3347" xr:uid="{00000000-0005-0000-0000-00000F0D0000}"/>
    <cellStyle name="20% - Accent2 81 20 2 2" xfId="3348" xr:uid="{00000000-0005-0000-0000-0000100D0000}"/>
    <cellStyle name="20% - Accent2 81 20 3" xfId="3349" xr:uid="{00000000-0005-0000-0000-0000110D0000}"/>
    <cellStyle name="20% - Accent2 81 21" xfId="3350" xr:uid="{00000000-0005-0000-0000-0000120D0000}"/>
    <cellStyle name="20% - Accent2 81 21 2" xfId="3351" xr:uid="{00000000-0005-0000-0000-0000130D0000}"/>
    <cellStyle name="20% - Accent2 81 21 2 2" xfId="3352" xr:uid="{00000000-0005-0000-0000-0000140D0000}"/>
    <cellStyle name="20% - Accent2 81 21 3" xfId="3353" xr:uid="{00000000-0005-0000-0000-0000150D0000}"/>
    <cellStyle name="20% - Accent2 81 22" xfId="3354" xr:uid="{00000000-0005-0000-0000-0000160D0000}"/>
    <cellStyle name="20% - Accent2 81 22 2" xfId="3355" xr:uid="{00000000-0005-0000-0000-0000170D0000}"/>
    <cellStyle name="20% - Accent2 81 22 2 2" xfId="3356" xr:uid="{00000000-0005-0000-0000-0000180D0000}"/>
    <cellStyle name="20% - Accent2 81 22 3" xfId="3357" xr:uid="{00000000-0005-0000-0000-0000190D0000}"/>
    <cellStyle name="20% - Accent2 81 23" xfId="3358" xr:uid="{00000000-0005-0000-0000-00001A0D0000}"/>
    <cellStyle name="20% - Accent2 81 23 2" xfId="3359" xr:uid="{00000000-0005-0000-0000-00001B0D0000}"/>
    <cellStyle name="20% - Accent2 81 23 2 2" xfId="3360" xr:uid="{00000000-0005-0000-0000-00001C0D0000}"/>
    <cellStyle name="20% - Accent2 81 23 3" xfId="3361" xr:uid="{00000000-0005-0000-0000-00001D0D0000}"/>
    <cellStyle name="20% - Accent2 81 24" xfId="3362" xr:uid="{00000000-0005-0000-0000-00001E0D0000}"/>
    <cellStyle name="20% - Accent2 81 24 2" xfId="3363" xr:uid="{00000000-0005-0000-0000-00001F0D0000}"/>
    <cellStyle name="20% - Accent2 81 24 2 2" xfId="3364" xr:uid="{00000000-0005-0000-0000-0000200D0000}"/>
    <cellStyle name="20% - Accent2 81 24 3" xfId="3365" xr:uid="{00000000-0005-0000-0000-0000210D0000}"/>
    <cellStyle name="20% - Accent2 81 25" xfId="3366" xr:uid="{00000000-0005-0000-0000-0000220D0000}"/>
    <cellStyle name="20% - Accent2 81 25 2" xfId="3367" xr:uid="{00000000-0005-0000-0000-0000230D0000}"/>
    <cellStyle name="20% - Accent2 81 25 2 2" xfId="3368" xr:uid="{00000000-0005-0000-0000-0000240D0000}"/>
    <cellStyle name="20% - Accent2 81 25 3" xfId="3369" xr:uid="{00000000-0005-0000-0000-0000250D0000}"/>
    <cellStyle name="20% - Accent2 81 26" xfId="3370" xr:uid="{00000000-0005-0000-0000-0000260D0000}"/>
    <cellStyle name="20% - Accent2 81 26 2" xfId="3371" xr:uid="{00000000-0005-0000-0000-0000270D0000}"/>
    <cellStyle name="20% - Accent2 81 26 2 2" xfId="3372" xr:uid="{00000000-0005-0000-0000-0000280D0000}"/>
    <cellStyle name="20% - Accent2 81 26 3" xfId="3373" xr:uid="{00000000-0005-0000-0000-0000290D0000}"/>
    <cellStyle name="20% - Accent2 81 27" xfId="3374" xr:uid="{00000000-0005-0000-0000-00002A0D0000}"/>
    <cellStyle name="20% - Accent2 81 27 2" xfId="3375" xr:uid="{00000000-0005-0000-0000-00002B0D0000}"/>
    <cellStyle name="20% - Accent2 81 27 2 2" xfId="3376" xr:uid="{00000000-0005-0000-0000-00002C0D0000}"/>
    <cellStyle name="20% - Accent2 81 27 3" xfId="3377" xr:uid="{00000000-0005-0000-0000-00002D0D0000}"/>
    <cellStyle name="20% - Accent2 81 28" xfId="3378" xr:uid="{00000000-0005-0000-0000-00002E0D0000}"/>
    <cellStyle name="20% - Accent2 81 28 2" xfId="3379" xr:uid="{00000000-0005-0000-0000-00002F0D0000}"/>
    <cellStyle name="20% - Accent2 81 28 2 2" xfId="3380" xr:uid="{00000000-0005-0000-0000-0000300D0000}"/>
    <cellStyle name="20% - Accent2 81 28 3" xfId="3381" xr:uid="{00000000-0005-0000-0000-0000310D0000}"/>
    <cellStyle name="20% - Accent2 81 29" xfId="3382" xr:uid="{00000000-0005-0000-0000-0000320D0000}"/>
    <cellStyle name="20% - Accent2 81 29 2" xfId="3383" xr:uid="{00000000-0005-0000-0000-0000330D0000}"/>
    <cellStyle name="20% - Accent2 81 29 2 2" xfId="3384" xr:uid="{00000000-0005-0000-0000-0000340D0000}"/>
    <cellStyle name="20% - Accent2 81 29 3" xfId="3385" xr:uid="{00000000-0005-0000-0000-0000350D0000}"/>
    <cellStyle name="20% - Accent2 81 3" xfId="3386" xr:uid="{00000000-0005-0000-0000-0000360D0000}"/>
    <cellStyle name="20% - Accent2 81 3 2" xfId="3387" xr:uid="{00000000-0005-0000-0000-0000370D0000}"/>
    <cellStyle name="20% - Accent2 81 3 2 2" xfId="3388" xr:uid="{00000000-0005-0000-0000-0000380D0000}"/>
    <cellStyle name="20% - Accent2 81 3 3" xfId="3389" xr:uid="{00000000-0005-0000-0000-0000390D0000}"/>
    <cellStyle name="20% - Accent2 81 30" xfId="3390" xr:uid="{00000000-0005-0000-0000-00003A0D0000}"/>
    <cellStyle name="20% - Accent2 81 30 2" xfId="3391" xr:uid="{00000000-0005-0000-0000-00003B0D0000}"/>
    <cellStyle name="20% - Accent2 81 30 2 2" xfId="3392" xr:uid="{00000000-0005-0000-0000-00003C0D0000}"/>
    <cellStyle name="20% - Accent2 81 30 3" xfId="3393" xr:uid="{00000000-0005-0000-0000-00003D0D0000}"/>
    <cellStyle name="20% - Accent2 81 31" xfId="3394" xr:uid="{00000000-0005-0000-0000-00003E0D0000}"/>
    <cellStyle name="20% - Accent2 81 31 2" xfId="3395" xr:uid="{00000000-0005-0000-0000-00003F0D0000}"/>
    <cellStyle name="20% - Accent2 81 31 2 2" xfId="3396" xr:uid="{00000000-0005-0000-0000-0000400D0000}"/>
    <cellStyle name="20% - Accent2 81 31 3" xfId="3397" xr:uid="{00000000-0005-0000-0000-0000410D0000}"/>
    <cellStyle name="20% - Accent2 81 32" xfId="3398" xr:uid="{00000000-0005-0000-0000-0000420D0000}"/>
    <cellStyle name="20% - Accent2 81 32 2" xfId="3399" xr:uid="{00000000-0005-0000-0000-0000430D0000}"/>
    <cellStyle name="20% - Accent2 81 32 2 2" xfId="3400" xr:uid="{00000000-0005-0000-0000-0000440D0000}"/>
    <cellStyle name="20% - Accent2 81 32 3" xfId="3401" xr:uid="{00000000-0005-0000-0000-0000450D0000}"/>
    <cellStyle name="20% - Accent2 81 33" xfId="3402" xr:uid="{00000000-0005-0000-0000-0000460D0000}"/>
    <cellStyle name="20% - Accent2 81 33 2" xfId="3403" xr:uid="{00000000-0005-0000-0000-0000470D0000}"/>
    <cellStyle name="20% - Accent2 81 33 2 2" xfId="3404" xr:uid="{00000000-0005-0000-0000-0000480D0000}"/>
    <cellStyle name="20% - Accent2 81 33 3" xfId="3405" xr:uid="{00000000-0005-0000-0000-0000490D0000}"/>
    <cellStyle name="20% - Accent2 81 34" xfId="3406" xr:uid="{00000000-0005-0000-0000-00004A0D0000}"/>
    <cellStyle name="20% - Accent2 81 34 2" xfId="3407" xr:uid="{00000000-0005-0000-0000-00004B0D0000}"/>
    <cellStyle name="20% - Accent2 81 34 2 2" xfId="3408" xr:uid="{00000000-0005-0000-0000-00004C0D0000}"/>
    <cellStyle name="20% - Accent2 81 34 3" xfId="3409" xr:uid="{00000000-0005-0000-0000-00004D0D0000}"/>
    <cellStyle name="20% - Accent2 81 35" xfId="3410" xr:uid="{00000000-0005-0000-0000-00004E0D0000}"/>
    <cellStyle name="20% - Accent2 81 35 2" xfId="3411" xr:uid="{00000000-0005-0000-0000-00004F0D0000}"/>
    <cellStyle name="20% - Accent2 81 35 2 2" xfId="3412" xr:uid="{00000000-0005-0000-0000-0000500D0000}"/>
    <cellStyle name="20% - Accent2 81 35 3" xfId="3413" xr:uid="{00000000-0005-0000-0000-0000510D0000}"/>
    <cellStyle name="20% - Accent2 81 36" xfId="3414" xr:uid="{00000000-0005-0000-0000-0000520D0000}"/>
    <cellStyle name="20% - Accent2 81 36 2" xfId="3415" xr:uid="{00000000-0005-0000-0000-0000530D0000}"/>
    <cellStyle name="20% - Accent2 81 36 2 2" xfId="3416" xr:uid="{00000000-0005-0000-0000-0000540D0000}"/>
    <cellStyle name="20% - Accent2 81 36 3" xfId="3417" xr:uid="{00000000-0005-0000-0000-0000550D0000}"/>
    <cellStyle name="20% - Accent2 81 4" xfId="3418" xr:uid="{00000000-0005-0000-0000-0000560D0000}"/>
    <cellStyle name="20% - Accent2 81 4 2" xfId="3419" xr:uid="{00000000-0005-0000-0000-0000570D0000}"/>
    <cellStyle name="20% - Accent2 81 4 2 2" xfId="3420" xr:uid="{00000000-0005-0000-0000-0000580D0000}"/>
    <cellStyle name="20% - Accent2 81 4 3" xfId="3421" xr:uid="{00000000-0005-0000-0000-0000590D0000}"/>
    <cellStyle name="20% - Accent2 81 5" xfId="3422" xr:uid="{00000000-0005-0000-0000-00005A0D0000}"/>
    <cellStyle name="20% - Accent2 81 5 2" xfId="3423" xr:uid="{00000000-0005-0000-0000-00005B0D0000}"/>
    <cellStyle name="20% - Accent2 81 5 2 2" xfId="3424" xr:uid="{00000000-0005-0000-0000-00005C0D0000}"/>
    <cellStyle name="20% - Accent2 81 5 3" xfId="3425" xr:uid="{00000000-0005-0000-0000-00005D0D0000}"/>
    <cellStyle name="20% - Accent2 81 6" xfId="3426" xr:uid="{00000000-0005-0000-0000-00005E0D0000}"/>
    <cellStyle name="20% - Accent2 81 6 2" xfId="3427" xr:uid="{00000000-0005-0000-0000-00005F0D0000}"/>
    <cellStyle name="20% - Accent2 81 6 2 2" xfId="3428" xr:uid="{00000000-0005-0000-0000-0000600D0000}"/>
    <cellStyle name="20% - Accent2 81 6 3" xfId="3429" xr:uid="{00000000-0005-0000-0000-0000610D0000}"/>
    <cellStyle name="20% - Accent2 81 7" xfId="3430" xr:uid="{00000000-0005-0000-0000-0000620D0000}"/>
    <cellStyle name="20% - Accent2 81 7 2" xfId="3431" xr:uid="{00000000-0005-0000-0000-0000630D0000}"/>
    <cellStyle name="20% - Accent2 81 7 2 2" xfId="3432" xr:uid="{00000000-0005-0000-0000-0000640D0000}"/>
    <cellStyle name="20% - Accent2 81 7 3" xfId="3433" xr:uid="{00000000-0005-0000-0000-0000650D0000}"/>
    <cellStyle name="20% - Accent2 81 8" xfId="3434" xr:uid="{00000000-0005-0000-0000-0000660D0000}"/>
    <cellStyle name="20% - Accent2 81 8 2" xfId="3435" xr:uid="{00000000-0005-0000-0000-0000670D0000}"/>
    <cellStyle name="20% - Accent2 81 8 2 2" xfId="3436" xr:uid="{00000000-0005-0000-0000-0000680D0000}"/>
    <cellStyle name="20% - Accent2 81 8 3" xfId="3437" xr:uid="{00000000-0005-0000-0000-0000690D0000}"/>
    <cellStyle name="20% - Accent2 81 9" xfId="3438" xr:uid="{00000000-0005-0000-0000-00006A0D0000}"/>
    <cellStyle name="20% - Accent2 81 9 2" xfId="3439" xr:uid="{00000000-0005-0000-0000-00006B0D0000}"/>
    <cellStyle name="20% - Accent2 81 9 2 2" xfId="3440" xr:uid="{00000000-0005-0000-0000-00006C0D0000}"/>
    <cellStyle name="20% - Accent2 81 9 3" xfId="3441" xr:uid="{00000000-0005-0000-0000-00006D0D0000}"/>
    <cellStyle name="20% - Accent2 82" xfId="3442" xr:uid="{00000000-0005-0000-0000-00006E0D0000}"/>
    <cellStyle name="20% - Accent2 82 2" xfId="3443" xr:uid="{00000000-0005-0000-0000-00006F0D0000}"/>
    <cellStyle name="20% - Accent2 83" xfId="3444" xr:uid="{00000000-0005-0000-0000-0000700D0000}"/>
    <cellStyle name="20% - Accent2 83 10" xfId="3445" xr:uid="{00000000-0005-0000-0000-0000710D0000}"/>
    <cellStyle name="20% - Accent2 83 10 2" xfId="3446" xr:uid="{00000000-0005-0000-0000-0000720D0000}"/>
    <cellStyle name="20% - Accent2 83 10 2 2" xfId="3447" xr:uid="{00000000-0005-0000-0000-0000730D0000}"/>
    <cellStyle name="20% - Accent2 83 10 3" xfId="3448" xr:uid="{00000000-0005-0000-0000-0000740D0000}"/>
    <cellStyle name="20% - Accent2 83 11" xfId="3449" xr:uid="{00000000-0005-0000-0000-0000750D0000}"/>
    <cellStyle name="20% - Accent2 83 11 2" xfId="3450" xr:uid="{00000000-0005-0000-0000-0000760D0000}"/>
    <cellStyle name="20% - Accent2 83 11 2 2" xfId="3451" xr:uid="{00000000-0005-0000-0000-0000770D0000}"/>
    <cellStyle name="20% - Accent2 83 11 3" xfId="3452" xr:uid="{00000000-0005-0000-0000-0000780D0000}"/>
    <cellStyle name="20% - Accent2 83 12" xfId="3453" xr:uid="{00000000-0005-0000-0000-0000790D0000}"/>
    <cellStyle name="20% - Accent2 83 12 2" xfId="3454" xr:uid="{00000000-0005-0000-0000-00007A0D0000}"/>
    <cellStyle name="20% - Accent2 83 12 2 2" xfId="3455" xr:uid="{00000000-0005-0000-0000-00007B0D0000}"/>
    <cellStyle name="20% - Accent2 83 12 3" xfId="3456" xr:uid="{00000000-0005-0000-0000-00007C0D0000}"/>
    <cellStyle name="20% - Accent2 83 13" xfId="3457" xr:uid="{00000000-0005-0000-0000-00007D0D0000}"/>
    <cellStyle name="20% - Accent2 83 13 2" xfId="3458" xr:uid="{00000000-0005-0000-0000-00007E0D0000}"/>
    <cellStyle name="20% - Accent2 83 13 2 2" xfId="3459" xr:uid="{00000000-0005-0000-0000-00007F0D0000}"/>
    <cellStyle name="20% - Accent2 83 13 3" xfId="3460" xr:uid="{00000000-0005-0000-0000-0000800D0000}"/>
    <cellStyle name="20% - Accent2 83 14" xfId="3461" xr:uid="{00000000-0005-0000-0000-0000810D0000}"/>
    <cellStyle name="20% - Accent2 83 14 2" xfId="3462" xr:uid="{00000000-0005-0000-0000-0000820D0000}"/>
    <cellStyle name="20% - Accent2 83 14 2 2" xfId="3463" xr:uid="{00000000-0005-0000-0000-0000830D0000}"/>
    <cellStyle name="20% - Accent2 83 14 3" xfId="3464" xr:uid="{00000000-0005-0000-0000-0000840D0000}"/>
    <cellStyle name="20% - Accent2 83 15" xfId="3465" xr:uid="{00000000-0005-0000-0000-0000850D0000}"/>
    <cellStyle name="20% - Accent2 83 15 2" xfId="3466" xr:uid="{00000000-0005-0000-0000-0000860D0000}"/>
    <cellStyle name="20% - Accent2 83 15 2 2" xfId="3467" xr:uid="{00000000-0005-0000-0000-0000870D0000}"/>
    <cellStyle name="20% - Accent2 83 15 3" xfId="3468" xr:uid="{00000000-0005-0000-0000-0000880D0000}"/>
    <cellStyle name="20% - Accent2 83 16" xfId="3469" xr:uid="{00000000-0005-0000-0000-0000890D0000}"/>
    <cellStyle name="20% - Accent2 83 16 2" xfId="3470" xr:uid="{00000000-0005-0000-0000-00008A0D0000}"/>
    <cellStyle name="20% - Accent2 83 16 2 2" xfId="3471" xr:uid="{00000000-0005-0000-0000-00008B0D0000}"/>
    <cellStyle name="20% - Accent2 83 16 3" xfId="3472" xr:uid="{00000000-0005-0000-0000-00008C0D0000}"/>
    <cellStyle name="20% - Accent2 83 17" xfId="3473" xr:uid="{00000000-0005-0000-0000-00008D0D0000}"/>
    <cellStyle name="20% - Accent2 83 17 2" xfId="3474" xr:uid="{00000000-0005-0000-0000-00008E0D0000}"/>
    <cellStyle name="20% - Accent2 83 17 2 2" xfId="3475" xr:uid="{00000000-0005-0000-0000-00008F0D0000}"/>
    <cellStyle name="20% - Accent2 83 17 3" xfId="3476" xr:uid="{00000000-0005-0000-0000-0000900D0000}"/>
    <cellStyle name="20% - Accent2 83 18" xfId="3477" xr:uid="{00000000-0005-0000-0000-0000910D0000}"/>
    <cellStyle name="20% - Accent2 83 18 2" xfId="3478" xr:uid="{00000000-0005-0000-0000-0000920D0000}"/>
    <cellStyle name="20% - Accent2 83 18 2 2" xfId="3479" xr:uid="{00000000-0005-0000-0000-0000930D0000}"/>
    <cellStyle name="20% - Accent2 83 18 3" xfId="3480" xr:uid="{00000000-0005-0000-0000-0000940D0000}"/>
    <cellStyle name="20% - Accent2 83 19" xfId="3481" xr:uid="{00000000-0005-0000-0000-0000950D0000}"/>
    <cellStyle name="20% - Accent2 83 19 2" xfId="3482" xr:uid="{00000000-0005-0000-0000-0000960D0000}"/>
    <cellStyle name="20% - Accent2 83 19 2 2" xfId="3483" xr:uid="{00000000-0005-0000-0000-0000970D0000}"/>
    <cellStyle name="20% - Accent2 83 19 3" xfId="3484" xr:uid="{00000000-0005-0000-0000-0000980D0000}"/>
    <cellStyle name="20% - Accent2 83 2" xfId="3485" xr:uid="{00000000-0005-0000-0000-0000990D0000}"/>
    <cellStyle name="20% - Accent2 83 2 2" xfId="3486" xr:uid="{00000000-0005-0000-0000-00009A0D0000}"/>
    <cellStyle name="20% - Accent2 83 2 2 2" xfId="3487" xr:uid="{00000000-0005-0000-0000-00009B0D0000}"/>
    <cellStyle name="20% - Accent2 83 2 3" xfId="3488" xr:uid="{00000000-0005-0000-0000-00009C0D0000}"/>
    <cellStyle name="20% - Accent2 83 20" xfId="3489" xr:uid="{00000000-0005-0000-0000-00009D0D0000}"/>
    <cellStyle name="20% - Accent2 83 20 2" xfId="3490" xr:uid="{00000000-0005-0000-0000-00009E0D0000}"/>
    <cellStyle name="20% - Accent2 83 20 2 2" xfId="3491" xr:uid="{00000000-0005-0000-0000-00009F0D0000}"/>
    <cellStyle name="20% - Accent2 83 20 3" xfId="3492" xr:uid="{00000000-0005-0000-0000-0000A00D0000}"/>
    <cellStyle name="20% - Accent2 83 21" xfId="3493" xr:uid="{00000000-0005-0000-0000-0000A10D0000}"/>
    <cellStyle name="20% - Accent2 83 21 2" xfId="3494" xr:uid="{00000000-0005-0000-0000-0000A20D0000}"/>
    <cellStyle name="20% - Accent2 83 21 2 2" xfId="3495" xr:uid="{00000000-0005-0000-0000-0000A30D0000}"/>
    <cellStyle name="20% - Accent2 83 21 3" xfId="3496" xr:uid="{00000000-0005-0000-0000-0000A40D0000}"/>
    <cellStyle name="20% - Accent2 83 22" xfId="3497" xr:uid="{00000000-0005-0000-0000-0000A50D0000}"/>
    <cellStyle name="20% - Accent2 83 22 2" xfId="3498" xr:uid="{00000000-0005-0000-0000-0000A60D0000}"/>
    <cellStyle name="20% - Accent2 83 22 2 2" xfId="3499" xr:uid="{00000000-0005-0000-0000-0000A70D0000}"/>
    <cellStyle name="20% - Accent2 83 22 3" xfId="3500" xr:uid="{00000000-0005-0000-0000-0000A80D0000}"/>
    <cellStyle name="20% - Accent2 83 23" xfId="3501" xr:uid="{00000000-0005-0000-0000-0000A90D0000}"/>
    <cellStyle name="20% - Accent2 83 23 2" xfId="3502" xr:uid="{00000000-0005-0000-0000-0000AA0D0000}"/>
    <cellStyle name="20% - Accent2 83 23 2 2" xfId="3503" xr:uid="{00000000-0005-0000-0000-0000AB0D0000}"/>
    <cellStyle name="20% - Accent2 83 23 3" xfId="3504" xr:uid="{00000000-0005-0000-0000-0000AC0D0000}"/>
    <cellStyle name="20% - Accent2 83 24" xfId="3505" xr:uid="{00000000-0005-0000-0000-0000AD0D0000}"/>
    <cellStyle name="20% - Accent2 83 24 2" xfId="3506" xr:uid="{00000000-0005-0000-0000-0000AE0D0000}"/>
    <cellStyle name="20% - Accent2 83 24 2 2" xfId="3507" xr:uid="{00000000-0005-0000-0000-0000AF0D0000}"/>
    <cellStyle name="20% - Accent2 83 24 3" xfId="3508" xr:uid="{00000000-0005-0000-0000-0000B00D0000}"/>
    <cellStyle name="20% - Accent2 83 25" xfId="3509" xr:uid="{00000000-0005-0000-0000-0000B10D0000}"/>
    <cellStyle name="20% - Accent2 83 25 2" xfId="3510" xr:uid="{00000000-0005-0000-0000-0000B20D0000}"/>
    <cellStyle name="20% - Accent2 83 25 2 2" xfId="3511" xr:uid="{00000000-0005-0000-0000-0000B30D0000}"/>
    <cellStyle name="20% - Accent2 83 25 3" xfId="3512" xr:uid="{00000000-0005-0000-0000-0000B40D0000}"/>
    <cellStyle name="20% - Accent2 83 26" xfId="3513" xr:uid="{00000000-0005-0000-0000-0000B50D0000}"/>
    <cellStyle name="20% - Accent2 83 26 2" xfId="3514" xr:uid="{00000000-0005-0000-0000-0000B60D0000}"/>
    <cellStyle name="20% - Accent2 83 26 2 2" xfId="3515" xr:uid="{00000000-0005-0000-0000-0000B70D0000}"/>
    <cellStyle name="20% - Accent2 83 26 3" xfId="3516" xr:uid="{00000000-0005-0000-0000-0000B80D0000}"/>
    <cellStyle name="20% - Accent2 83 27" xfId="3517" xr:uid="{00000000-0005-0000-0000-0000B90D0000}"/>
    <cellStyle name="20% - Accent2 83 27 2" xfId="3518" xr:uid="{00000000-0005-0000-0000-0000BA0D0000}"/>
    <cellStyle name="20% - Accent2 83 27 2 2" xfId="3519" xr:uid="{00000000-0005-0000-0000-0000BB0D0000}"/>
    <cellStyle name="20% - Accent2 83 27 3" xfId="3520" xr:uid="{00000000-0005-0000-0000-0000BC0D0000}"/>
    <cellStyle name="20% - Accent2 83 28" xfId="3521" xr:uid="{00000000-0005-0000-0000-0000BD0D0000}"/>
    <cellStyle name="20% - Accent2 83 28 2" xfId="3522" xr:uid="{00000000-0005-0000-0000-0000BE0D0000}"/>
    <cellStyle name="20% - Accent2 83 28 2 2" xfId="3523" xr:uid="{00000000-0005-0000-0000-0000BF0D0000}"/>
    <cellStyle name="20% - Accent2 83 28 3" xfId="3524" xr:uid="{00000000-0005-0000-0000-0000C00D0000}"/>
    <cellStyle name="20% - Accent2 83 29" xfId="3525" xr:uid="{00000000-0005-0000-0000-0000C10D0000}"/>
    <cellStyle name="20% - Accent2 83 29 2" xfId="3526" xr:uid="{00000000-0005-0000-0000-0000C20D0000}"/>
    <cellStyle name="20% - Accent2 83 29 2 2" xfId="3527" xr:uid="{00000000-0005-0000-0000-0000C30D0000}"/>
    <cellStyle name="20% - Accent2 83 29 3" xfId="3528" xr:uid="{00000000-0005-0000-0000-0000C40D0000}"/>
    <cellStyle name="20% - Accent2 83 3" xfId="3529" xr:uid="{00000000-0005-0000-0000-0000C50D0000}"/>
    <cellStyle name="20% - Accent2 83 3 2" xfId="3530" xr:uid="{00000000-0005-0000-0000-0000C60D0000}"/>
    <cellStyle name="20% - Accent2 83 3 2 2" xfId="3531" xr:uid="{00000000-0005-0000-0000-0000C70D0000}"/>
    <cellStyle name="20% - Accent2 83 3 3" xfId="3532" xr:uid="{00000000-0005-0000-0000-0000C80D0000}"/>
    <cellStyle name="20% - Accent2 83 30" xfId="3533" xr:uid="{00000000-0005-0000-0000-0000C90D0000}"/>
    <cellStyle name="20% - Accent2 83 30 2" xfId="3534" xr:uid="{00000000-0005-0000-0000-0000CA0D0000}"/>
    <cellStyle name="20% - Accent2 83 30 2 2" xfId="3535" xr:uid="{00000000-0005-0000-0000-0000CB0D0000}"/>
    <cellStyle name="20% - Accent2 83 30 3" xfId="3536" xr:uid="{00000000-0005-0000-0000-0000CC0D0000}"/>
    <cellStyle name="20% - Accent2 83 31" xfId="3537" xr:uid="{00000000-0005-0000-0000-0000CD0D0000}"/>
    <cellStyle name="20% - Accent2 83 31 2" xfId="3538" xr:uid="{00000000-0005-0000-0000-0000CE0D0000}"/>
    <cellStyle name="20% - Accent2 83 31 2 2" xfId="3539" xr:uid="{00000000-0005-0000-0000-0000CF0D0000}"/>
    <cellStyle name="20% - Accent2 83 31 3" xfId="3540" xr:uid="{00000000-0005-0000-0000-0000D00D0000}"/>
    <cellStyle name="20% - Accent2 83 32" xfId="3541" xr:uid="{00000000-0005-0000-0000-0000D10D0000}"/>
    <cellStyle name="20% - Accent2 83 32 2" xfId="3542" xr:uid="{00000000-0005-0000-0000-0000D20D0000}"/>
    <cellStyle name="20% - Accent2 83 32 2 2" xfId="3543" xr:uid="{00000000-0005-0000-0000-0000D30D0000}"/>
    <cellStyle name="20% - Accent2 83 32 3" xfId="3544" xr:uid="{00000000-0005-0000-0000-0000D40D0000}"/>
    <cellStyle name="20% - Accent2 83 33" xfId="3545" xr:uid="{00000000-0005-0000-0000-0000D50D0000}"/>
    <cellStyle name="20% - Accent2 83 33 2" xfId="3546" xr:uid="{00000000-0005-0000-0000-0000D60D0000}"/>
    <cellStyle name="20% - Accent2 83 33 2 2" xfId="3547" xr:uid="{00000000-0005-0000-0000-0000D70D0000}"/>
    <cellStyle name="20% - Accent2 83 33 3" xfId="3548" xr:uid="{00000000-0005-0000-0000-0000D80D0000}"/>
    <cellStyle name="20% - Accent2 83 34" xfId="3549" xr:uid="{00000000-0005-0000-0000-0000D90D0000}"/>
    <cellStyle name="20% - Accent2 83 34 2" xfId="3550" xr:uid="{00000000-0005-0000-0000-0000DA0D0000}"/>
    <cellStyle name="20% - Accent2 83 34 2 2" xfId="3551" xr:uid="{00000000-0005-0000-0000-0000DB0D0000}"/>
    <cellStyle name="20% - Accent2 83 34 3" xfId="3552" xr:uid="{00000000-0005-0000-0000-0000DC0D0000}"/>
    <cellStyle name="20% - Accent2 83 35" xfId="3553" xr:uid="{00000000-0005-0000-0000-0000DD0D0000}"/>
    <cellStyle name="20% - Accent2 83 35 2" xfId="3554" xr:uid="{00000000-0005-0000-0000-0000DE0D0000}"/>
    <cellStyle name="20% - Accent2 83 35 2 2" xfId="3555" xr:uid="{00000000-0005-0000-0000-0000DF0D0000}"/>
    <cellStyle name="20% - Accent2 83 35 3" xfId="3556" xr:uid="{00000000-0005-0000-0000-0000E00D0000}"/>
    <cellStyle name="20% - Accent2 83 36" xfId="3557" xr:uid="{00000000-0005-0000-0000-0000E10D0000}"/>
    <cellStyle name="20% - Accent2 83 36 2" xfId="3558" xr:uid="{00000000-0005-0000-0000-0000E20D0000}"/>
    <cellStyle name="20% - Accent2 83 36 2 2" xfId="3559" xr:uid="{00000000-0005-0000-0000-0000E30D0000}"/>
    <cellStyle name="20% - Accent2 83 36 3" xfId="3560" xr:uid="{00000000-0005-0000-0000-0000E40D0000}"/>
    <cellStyle name="20% - Accent2 83 4" xfId="3561" xr:uid="{00000000-0005-0000-0000-0000E50D0000}"/>
    <cellStyle name="20% - Accent2 83 4 2" xfId="3562" xr:uid="{00000000-0005-0000-0000-0000E60D0000}"/>
    <cellStyle name="20% - Accent2 83 4 2 2" xfId="3563" xr:uid="{00000000-0005-0000-0000-0000E70D0000}"/>
    <cellStyle name="20% - Accent2 83 4 3" xfId="3564" xr:uid="{00000000-0005-0000-0000-0000E80D0000}"/>
    <cellStyle name="20% - Accent2 83 5" xfId="3565" xr:uid="{00000000-0005-0000-0000-0000E90D0000}"/>
    <cellStyle name="20% - Accent2 83 5 2" xfId="3566" xr:uid="{00000000-0005-0000-0000-0000EA0D0000}"/>
    <cellStyle name="20% - Accent2 83 5 2 2" xfId="3567" xr:uid="{00000000-0005-0000-0000-0000EB0D0000}"/>
    <cellStyle name="20% - Accent2 83 5 3" xfId="3568" xr:uid="{00000000-0005-0000-0000-0000EC0D0000}"/>
    <cellStyle name="20% - Accent2 83 6" xfId="3569" xr:uid="{00000000-0005-0000-0000-0000ED0D0000}"/>
    <cellStyle name="20% - Accent2 83 6 2" xfId="3570" xr:uid="{00000000-0005-0000-0000-0000EE0D0000}"/>
    <cellStyle name="20% - Accent2 83 6 2 2" xfId="3571" xr:uid="{00000000-0005-0000-0000-0000EF0D0000}"/>
    <cellStyle name="20% - Accent2 83 6 3" xfId="3572" xr:uid="{00000000-0005-0000-0000-0000F00D0000}"/>
    <cellStyle name="20% - Accent2 83 7" xfId="3573" xr:uid="{00000000-0005-0000-0000-0000F10D0000}"/>
    <cellStyle name="20% - Accent2 83 7 2" xfId="3574" xr:uid="{00000000-0005-0000-0000-0000F20D0000}"/>
    <cellStyle name="20% - Accent2 83 7 2 2" xfId="3575" xr:uid="{00000000-0005-0000-0000-0000F30D0000}"/>
    <cellStyle name="20% - Accent2 83 7 3" xfId="3576" xr:uid="{00000000-0005-0000-0000-0000F40D0000}"/>
    <cellStyle name="20% - Accent2 83 8" xfId="3577" xr:uid="{00000000-0005-0000-0000-0000F50D0000}"/>
    <cellStyle name="20% - Accent2 83 8 2" xfId="3578" xr:uid="{00000000-0005-0000-0000-0000F60D0000}"/>
    <cellStyle name="20% - Accent2 83 8 2 2" xfId="3579" xr:uid="{00000000-0005-0000-0000-0000F70D0000}"/>
    <cellStyle name="20% - Accent2 83 8 3" xfId="3580" xr:uid="{00000000-0005-0000-0000-0000F80D0000}"/>
    <cellStyle name="20% - Accent2 83 9" xfId="3581" xr:uid="{00000000-0005-0000-0000-0000F90D0000}"/>
    <cellStyle name="20% - Accent2 83 9 2" xfId="3582" xr:uid="{00000000-0005-0000-0000-0000FA0D0000}"/>
    <cellStyle name="20% - Accent2 83 9 2 2" xfId="3583" xr:uid="{00000000-0005-0000-0000-0000FB0D0000}"/>
    <cellStyle name="20% - Accent2 83 9 3" xfId="3584" xr:uid="{00000000-0005-0000-0000-0000FC0D0000}"/>
    <cellStyle name="20% - Accent2 84" xfId="3585" xr:uid="{00000000-0005-0000-0000-0000FD0D0000}"/>
    <cellStyle name="20% - Accent2 84 10" xfId="3586" xr:uid="{00000000-0005-0000-0000-0000FE0D0000}"/>
    <cellStyle name="20% - Accent2 84 10 2" xfId="3587" xr:uid="{00000000-0005-0000-0000-0000FF0D0000}"/>
    <cellStyle name="20% - Accent2 84 10 2 2" xfId="3588" xr:uid="{00000000-0005-0000-0000-0000000E0000}"/>
    <cellStyle name="20% - Accent2 84 10 3" xfId="3589" xr:uid="{00000000-0005-0000-0000-0000010E0000}"/>
    <cellStyle name="20% - Accent2 84 11" xfId="3590" xr:uid="{00000000-0005-0000-0000-0000020E0000}"/>
    <cellStyle name="20% - Accent2 84 11 2" xfId="3591" xr:uid="{00000000-0005-0000-0000-0000030E0000}"/>
    <cellStyle name="20% - Accent2 84 11 2 2" xfId="3592" xr:uid="{00000000-0005-0000-0000-0000040E0000}"/>
    <cellStyle name="20% - Accent2 84 11 3" xfId="3593" xr:uid="{00000000-0005-0000-0000-0000050E0000}"/>
    <cellStyle name="20% - Accent2 84 12" xfId="3594" xr:uid="{00000000-0005-0000-0000-0000060E0000}"/>
    <cellStyle name="20% - Accent2 84 12 2" xfId="3595" xr:uid="{00000000-0005-0000-0000-0000070E0000}"/>
    <cellStyle name="20% - Accent2 84 12 2 2" xfId="3596" xr:uid="{00000000-0005-0000-0000-0000080E0000}"/>
    <cellStyle name="20% - Accent2 84 12 3" xfId="3597" xr:uid="{00000000-0005-0000-0000-0000090E0000}"/>
    <cellStyle name="20% - Accent2 84 13" xfId="3598" xr:uid="{00000000-0005-0000-0000-00000A0E0000}"/>
    <cellStyle name="20% - Accent2 84 13 2" xfId="3599" xr:uid="{00000000-0005-0000-0000-00000B0E0000}"/>
    <cellStyle name="20% - Accent2 84 13 2 2" xfId="3600" xr:uid="{00000000-0005-0000-0000-00000C0E0000}"/>
    <cellStyle name="20% - Accent2 84 13 3" xfId="3601" xr:uid="{00000000-0005-0000-0000-00000D0E0000}"/>
    <cellStyle name="20% - Accent2 84 14" xfId="3602" xr:uid="{00000000-0005-0000-0000-00000E0E0000}"/>
    <cellStyle name="20% - Accent2 84 14 2" xfId="3603" xr:uid="{00000000-0005-0000-0000-00000F0E0000}"/>
    <cellStyle name="20% - Accent2 84 14 2 2" xfId="3604" xr:uid="{00000000-0005-0000-0000-0000100E0000}"/>
    <cellStyle name="20% - Accent2 84 14 3" xfId="3605" xr:uid="{00000000-0005-0000-0000-0000110E0000}"/>
    <cellStyle name="20% - Accent2 84 15" xfId="3606" xr:uid="{00000000-0005-0000-0000-0000120E0000}"/>
    <cellStyle name="20% - Accent2 84 15 2" xfId="3607" xr:uid="{00000000-0005-0000-0000-0000130E0000}"/>
    <cellStyle name="20% - Accent2 84 15 2 2" xfId="3608" xr:uid="{00000000-0005-0000-0000-0000140E0000}"/>
    <cellStyle name="20% - Accent2 84 15 3" xfId="3609" xr:uid="{00000000-0005-0000-0000-0000150E0000}"/>
    <cellStyle name="20% - Accent2 84 16" xfId="3610" xr:uid="{00000000-0005-0000-0000-0000160E0000}"/>
    <cellStyle name="20% - Accent2 84 16 2" xfId="3611" xr:uid="{00000000-0005-0000-0000-0000170E0000}"/>
    <cellStyle name="20% - Accent2 84 16 2 2" xfId="3612" xr:uid="{00000000-0005-0000-0000-0000180E0000}"/>
    <cellStyle name="20% - Accent2 84 16 3" xfId="3613" xr:uid="{00000000-0005-0000-0000-0000190E0000}"/>
    <cellStyle name="20% - Accent2 84 17" xfId="3614" xr:uid="{00000000-0005-0000-0000-00001A0E0000}"/>
    <cellStyle name="20% - Accent2 84 17 2" xfId="3615" xr:uid="{00000000-0005-0000-0000-00001B0E0000}"/>
    <cellStyle name="20% - Accent2 84 17 2 2" xfId="3616" xr:uid="{00000000-0005-0000-0000-00001C0E0000}"/>
    <cellStyle name="20% - Accent2 84 17 3" xfId="3617" xr:uid="{00000000-0005-0000-0000-00001D0E0000}"/>
    <cellStyle name="20% - Accent2 84 18" xfId="3618" xr:uid="{00000000-0005-0000-0000-00001E0E0000}"/>
    <cellStyle name="20% - Accent2 84 18 2" xfId="3619" xr:uid="{00000000-0005-0000-0000-00001F0E0000}"/>
    <cellStyle name="20% - Accent2 84 18 2 2" xfId="3620" xr:uid="{00000000-0005-0000-0000-0000200E0000}"/>
    <cellStyle name="20% - Accent2 84 18 3" xfId="3621" xr:uid="{00000000-0005-0000-0000-0000210E0000}"/>
    <cellStyle name="20% - Accent2 84 19" xfId="3622" xr:uid="{00000000-0005-0000-0000-0000220E0000}"/>
    <cellStyle name="20% - Accent2 84 19 2" xfId="3623" xr:uid="{00000000-0005-0000-0000-0000230E0000}"/>
    <cellStyle name="20% - Accent2 84 19 2 2" xfId="3624" xr:uid="{00000000-0005-0000-0000-0000240E0000}"/>
    <cellStyle name="20% - Accent2 84 19 3" xfId="3625" xr:uid="{00000000-0005-0000-0000-0000250E0000}"/>
    <cellStyle name="20% - Accent2 84 2" xfId="3626" xr:uid="{00000000-0005-0000-0000-0000260E0000}"/>
    <cellStyle name="20% - Accent2 84 2 2" xfId="3627" xr:uid="{00000000-0005-0000-0000-0000270E0000}"/>
    <cellStyle name="20% - Accent2 84 2 2 2" xfId="3628" xr:uid="{00000000-0005-0000-0000-0000280E0000}"/>
    <cellStyle name="20% - Accent2 84 2 3" xfId="3629" xr:uid="{00000000-0005-0000-0000-0000290E0000}"/>
    <cellStyle name="20% - Accent2 84 20" xfId="3630" xr:uid="{00000000-0005-0000-0000-00002A0E0000}"/>
    <cellStyle name="20% - Accent2 84 20 2" xfId="3631" xr:uid="{00000000-0005-0000-0000-00002B0E0000}"/>
    <cellStyle name="20% - Accent2 84 20 2 2" xfId="3632" xr:uid="{00000000-0005-0000-0000-00002C0E0000}"/>
    <cellStyle name="20% - Accent2 84 20 3" xfId="3633" xr:uid="{00000000-0005-0000-0000-00002D0E0000}"/>
    <cellStyle name="20% - Accent2 84 21" xfId="3634" xr:uid="{00000000-0005-0000-0000-00002E0E0000}"/>
    <cellStyle name="20% - Accent2 84 21 2" xfId="3635" xr:uid="{00000000-0005-0000-0000-00002F0E0000}"/>
    <cellStyle name="20% - Accent2 84 21 2 2" xfId="3636" xr:uid="{00000000-0005-0000-0000-0000300E0000}"/>
    <cellStyle name="20% - Accent2 84 21 3" xfId="3637" xr:uid="{00000000-0005-0000-0000-0000310E0000}"/>
    <cellStyle name="20% - Accent2 84 22" xfId="3638" xr:uid="{00000000-0005-0000-0000-0000320E0000}"/>
    <cellStyle name="20% - Accent2 84 22 2" xfId="3639" xr:uid="{00000000-0005-0000-0000-0000330E0000}"/>
    <cellStyle name="20% - Accent2 84 22 2 2" xfId="3640" xr:uid="{00000000-0005-0000-0000-0000340E0000}"/>
    <cellStyle name="20% - Accent2 84 22 3" xfId="3641" xr:uid="{00000000-0005-0000-0000-0000350E0000}"/>
    <cellStyle name="20% - Accent2 84 23" xfId="3642" xr:uid="{00000000-0005-0000-0000-0000360E0000}"/>
    <cellStyle name="20% - Accent2 84 23 2" xfId="3643" xr:uid="{00000000-0005-0000-0000-0000370E0000}"/>
    <cellStyle name="20% - Accent2 84 23 2 2" xfId="3644" xr:uid="{00000000-0005-0000-0000-0000380E0000}"/>
    <cellStyle name="20% - Accent2 84 23 3" xfId="3645" xr:uid="{00000000-0005-0000-0000-0000390E0000}"/>
    <cellStyle name="20% - Accent2 84 24" xfId="3646" xr:uid="{00000000-0005-0000-0000-00003A0E0000}"/>
    <cellStyle name="20% - Accent2 84 24 2" xfId="3647" xr:uid="{00000000-0005-0000-0000-00003B0E0000}"/>
    <cellStyle name="20% - Accent2 84 24 2 2" xfId="3648" xr:uid="{00000000-0005-0000-0000-00003C0E0000}"/>
    <cellStyle name="20% - Accent2 84 24 3" xfId="3649" xr:uid="{00000000-0005-0000-0000-00003D0E0000}"/>
    <cellStyle name="20% - Accent2 84 25" xfId="3650" xr:uid="{00000000-0005-0000-0000-00003E0E0000}"/>
    <cellStyle name="20% - Accent2 84 25 2" xfId="3651" xr:uid="{00000000-0005-0000-0000-00003F0E0000}"/>
    <cellStyle name="20% - Accent2 84 25 2 2" xfId="3652" xr:uid="{00000000-0005-0000-0000-0000400E0000}"/>
    <cellStyle name="20% - Accent2 84 25 3" xfId="3653" xr:uid="{00000000-0005-0000-0000-0000410E0000}"/>
    <cellStyle name="20% - Accent2 84 26" xfId="3654" xr:uid="{00000000-0005-0000-0000-0000420E0000}"/>
    <cellStyle name="20% - Accent2 84 26 2" xfId="3655" xr:uid="{00000000-0005-0000-0000-0000430E0000}"/>
    <cellStyle name="20% - Accent2 84 26 2 2" xfId="3656" xr:uid="{00000000-0005-0000-0000-0000440E0000}"/>
    <cellStyle name="20% - Accent2 84 26 3" xfId="3657" xr:uid="{00000000-0005-0000-0000-0000450E0000}"/>
    <cellStyle name="20% - Accent2 84 27" xfId="3658" xr:uid="{00000000-0005-0000-0000-0000460E0000}"/>
    <cellStyle name="20% - Accent2 84 27 2" xfId="3659" xr:uid="{00000000-0005-0000-0000-0000470E0000}"/>
    <cellStyle name="20% - Accent2 84 27 2 2" xfId="3660" xr:uid="{00000000-0005-0000-0000-0000480E0000}"/>
    <cellStyle name="20% - Accent2 84 27 3" xfId="3661" xr:uid="{00000000-0005-0000-0000-0000490E0000}"/>
    <cellStyle name="20% - Accent2 84 28" xfId="3662" xr:uid="{00000000-0005-0000-0000-00004A0E0000}"/>
    <cellStyle name="20% - Accent2 84 28 2" xfId="3663" xr:uid="{00000000-0005-0000-0000-00004B0E0000}"/>
    <cellStyle name="20% - Accent2 84 28 2 2" xfId="3664" xr:uid="{00000000-0005-0000-0000-00004C0E0000}"/>
    <cellStyle name="20% - Accent2 84 28 3" xfId="3665" xr:uid="{00000000-0005-0000-0000-00004D0E0000}"/>
    <cellStyle name="20% - Accent2 84 29" xfId="3666" xr:uid="{00000000-0005-0000-0000-00004E0E0000}"/>
    <cellStyle name="20% - Accent2 84 29 2" xfId="3667" xr:uid="{00000000-0005-0000-0000-00004F0E0000}"/>
    <cellStyle name="20% - Accent2 84 29 2 2" xfId="3668" xr:uid="{00000000-0005-0000-0000-0000500E0000}"/>
    <cellStyle name="20% - Accent2 84 29 3" xfId="3669" xr:uid="{00000000-0005-0000-0000-0000510E0000}"/>
    <cellStyle name="20% - Accent2 84 3" xfId="3670" xr:uid="{00000000-0005-0000-0000-0000520E0000}"/>
    <cellStyle name="20% - Accent2 84 3 2" xfId="3671" xr:uid="{00000000-0005-0000-0000-0000530E0000}"/>
    <cellStyle name="20% - Accent2 84 3 2 2" xfId="3672" xr:uid="{00000000-0005-0000-0000-0000540E0000}"/>
    <cellStyle name="20% - Accent2 84 3 3" xfId="3673" xr:uid="{00000000-0005-0000-0000-0000550E0000}"/>
    <cellStyle name="20% - Accent2 84 30" xfId="3674" xr:uid="{00000000-0005-0000-0000-0000560E0000}"/>
    <cellStyle name="20% - Accent2 84 30 2" xfId="3675" xr:uid="{00000000-0005-0000-0000-0000570E0000}"/>
    <cellStyle name="20% - Accent2 84 30 2 2" xfId="3676" xr:uid="{00000000-0005-0000-0000-0000580E0000}"/>
    <cellStyle name="20% - Accent2 84 30 3" xfId="3677" xr:uid="{00000000-0005-0000-0000-0000590E0000}"/>
    <cellStyle name="20% - Accent2 84 31" xfId="3678" xr:uid="{00000000-0005-0000-0000-00005A0E0000}"/>
    <cellStyle name="20% - Accent2 84 31 2" xfId="3679" xr:uid="{00000000-0005-0000-0000-00005B0E0000}"/>
    <cellStyle name="20% - Accent2 84 31 2 2" xfId="3680" xr:uid="{00000000-0005-0000-0000-00005C0E0000}"/>
    <cellStyle name="20% - Accent2 84 31 3" xfId="3681" xr:uid="{00000000-0005-0000-0000-00005D0E0000}"/>
    <cellStyle name="20% - Accent2 84 32" xfId="3682" xr:uid="{00000000-0005-0000-0000-00005E0E0000}"/>
    <cellStyle name="20% - Accent2 84 32 2" xfId="3683" xr:uid="{00000000-0005-0000-0000-00005F0E0000}"/>
    <cellStyle name="20% - Accent2 84 32 2 2" xfId="3684" xr:uid="{00000000-0005-0000-0000-0000600E0000}"/>
    <cellStyle name="20% - Accent2 84 32 3" xfId="3685" xr:uid="{00000000-0005-0000-0000-0000610E0000}"/>
    <cellStyle name="20% - Accent2 84 33" xfId="3686" xr:uid="{00000000-0005-0000-0000-0000620E0000}"/>
    <cellStyle name="20% - Accent2 84 33 2" xfId="3687" xr:uid="{00000000-0005-0000-0000-0000630E0000}"/>
    <cellStyle name="20% - Accent2 84 33 2 2" xfId="3688" xr:uid="{00000000-0005-0000-0000-0000640E0000}"/>
    <cellStyle name="20% - Accent2 84 33 3" xfId="3689" xr:uid="{00000000-0005-0000-0000-0000650E0000}"/>
    <cellStyle name="20% - Accent2 84 34" xfId="3690" xr:uid="{00000000-0005-0000-0000-0000660E0000}"/>
    <cellStyle name="20% - Accent2 84 34 2" xfId="3691" xr:uid="{00000000-0005-0000-0000-0000670E0000}"/>
    <cellStyle name="20% - Accent2 84 34 2 2" xfId="3692" xr:uid="{00000000-0005-0000-0000-0000680E0000}"/>
    <cellStyle name="20% - Accent2 84 34 3" xfId="3693" xr:uid="{00000000-0005-0000-0000-0000690E0000}"/>
    <cellStyle name="20% - Accent2 84 35" xfId="3694" xr:uid="{00000000-0005-0000-0000-00006A0E0000}"/>
    <cellStyle name="20% - Accent2 84 35 2" xfId="3695" xr:uid="{00000000-0005-0000-0000-00006B0E0000}"/>
    <cellStyle name="20% - Accent2 84 35 2 2" xfId="3696" xr:uid="{00000000-0005-0000-0000-00006C0E0000}"/>
    <cellStyle name="20% - Accent2 84 35 3" xfId="3697" xr:uid="{00000000-0005-0000-0000-00006D0E0000}"/>
    <cellStyle name="20% - Accent2 84 36" xfId="3698" xr:uid="{00000000-0005-0000-0000-00006E0E0000}"/>
    <cellStyle name="20% - Accent2 84 36 2" xfId="3699" xr:uid="{00000000-0005-0000-0000-00006F0E0000}"/>
    <cellStyle name="20% - Accent2 84 36 2 2" xfId="3700" xr:uid="{00000000-0005-0000-0000-0000700E0000}"/>
    <cellStyle name="20% - Accent2 84 36 3" xfId="3701" xr:uid="{00000000-0005-0000-0000-0000710E0000}"/>
    <cellStyle name="20% - Accent2 84 4" xfId="3702" xr:uid="{00000000-0005-0000-0000-0000720E0000}"/>
    <cellStyle name="20% - Accent2 84 4 2" xfId="3703" xr:uid="{00000000-0005-0000-0000-0000730E0000}"/>
    <cellStyle name="20% - Accent2 84 4 2 2" xfId="3704" xr:uid="{00000000-0005-0000-0000-0000740E0000}"/>
    <cellStyle name="20% - Accent2 84 4 3" xfId="3705" xr:uid="{00000000-0005-0000-0000-0000750E0000}"/>
    <cellStyle name="20% - Accent2 84 5" xfId="3706" xr:uid="{00000000-0005-0000-0000-0000760E0000}"/>
    <cellStyle name="20% - Accent2 84 5 2" xfId="3707" xr:uid="{00000000-0005-0000-0000-0000770E0000}"/>
    <cellStyle name="20% - Accent2 84 5 2 2" xfId="3708" xr:uid="{00000000-0005-0000-0000-0000780E0000}"/>
    <cellStyle name="20% - Accent2 84 5 3" xfId="3709" xr:uid="{00000000-0005-0000-0000-0000790E0000}"/>
    <cellStyle name="20% - Accent2 84 6" xfId="3710" xr:uid="{00000000-0005-0000-0000-00007A0E0000}"/>
    <cellStyle name="20% - Accent2 84 6 2" xfId="3711" xr:uid="{00000000-0005-0000-0000-00007B0E0000}"/>
    <cellStyle name="20% - Accent2 84 6 2 2" xfId="3712" xr:uid="{00000000-0005-0000-0000-00007C0E0000}"/>
    <cellStyle name="20% - Accent2 84 6 3" xfId="3713" xr:uid="{00000000-0005-0000-0000-00007D0E0000}"/>
    <cellStyle name="20% - Accent2 84 7" xfId="3714" xr:uid="{00000000-0005-0000-0000-00007E0E0000}"/>
    <cellStyle name="20% - Accent2 84 7 2" xfId="3715" xr:uid="{00000000-0005-0000-0000-00007F0E0000}"/>
    <cellStyle name="20% - Accent2 84 7 2 2" xfId="3716" xr:uid="{00000000-0005-0000-0000-0000800E0000}"/>
    <cellStyle name="20% - Accent2 84 7 3" xfId="3717" xr:uid="{00000000-0005-0000-0000-0000810E0000}"/>
    <cellStyle name="20% - Accent2 84 8" xfId="3718" xr:uid="{00000000-0005-0000-0000-0000820E0000}"/>
    <cellStyle name="20% - Accent2 84 8 2" xfId="3719" xr:uid="{00000000-0005-0000-0000-0000830E0000}"/>
    <cellStyle name="20% - Accent2 84 8 2 2" xfId="3720" xr:uid="{00000000-0005-0000-0000-0000840E0000}"/>
    <cellStyle name="20% - Accent2 84 8 3" xfId="3721" xr:uid="{00000000-0005-0000-0000-0000850E0000}"/>
    <cellStyle name="20% - Accent2 84 9" xfId="3722" xr:uid="{00000000-0005-0000-0000-0000860E0000}"/>
    <cellStyle name="20% - Accent2 84 9 2" xfId="3723" xr:uid="{00000000-0005-0000-0000-0000870E0000}"/>
    <cellStyle name="20% - Accent2 84 9 2 2" xfId="3724" xr:uid="{00000000-0005-0000-0000-0000880E0000}"/>
    <cellStyle name="20% - Accent2 84 9 3" xfId="3725" xr:uid="{00000000-0005-0000-0000-0000890E0000}"/>
    <cellStyle name="20% - Accent2 85" xfId="3726" xr:uid="{00000000-0005-0000-0000-00008A0E0000}"/>
    <cellStyle name="20% - Accent2 85 10" xfId="3727" xr:uid="{00000000-0005-0000-0000-00008B0E0000}"/>
    <cellStyle name="20% - Accent2 85 10 2" xfId="3728" xr:uid="{00000000-0005-0000-0000-00008C0E0000}"/>
    <cellStyle name="20% - Accent2 85 10 2 2" xfId="3729" xr:uid="{00000000-0005-0000-0000-00008D0E0000}"/>
    <cellStyle name="20% - Accent2 85 10 3" xfId="3730" xr:uid="{00000000-0005-0000-0000-00008E0E0000}"/>
    <cellStyle name="20% - Accent2 85 11" xfId="3731" xr:uid="{00000000-0005-0000-0000-00008F0E0000}"/>
    <cellStyle name="20% - Accent2 85 11 2" xfId="3732" xr:uid="{00000000-0005-0000-0000-0000900E0000}"/>
    <cellStyle name="20% - Accent2 85 11 2 2" xfId="3733" xr:uid="{00000000-0005-0000-0000-0000910E0000}"/>
    <cellStyle name="20% - Accent2 85 11 3" xfId="3734" xr:uid="{00000000-0005-0000-0000-0000920E0000}"/>
    <cellStyle name="20% - Accent2 85 12" xfId="3735" xr:uid="{00000000-0005-0000-0000-0000930E0000}"/>
    <cellStyle name="20% - Accent2 85 12 2" xfId="3736" xr:uid="{00000000-0005-0000-0000-0000940E0000}"/>
    <cellStyle name="20% - Accent2 85 12 2 2" xfId="3737" xr:uid="{00000000-0005-0000-0000-0000950E0000}"/>
    <cellStyle name="20% - Accent2 85 12 3" xfId="3738" xr:uid="{00000000-0005-0000-0000-0000960E0000}"/>
    <cellStyle name="20% - Accent2 85 13" xfId="3739" xr:uid="{00000000-0005-0000-0000-0000970E0000}"/>
    <cellStyle name="20% - Accent2 85 13 2" xfId="3740" xr:uid="{00000000-0005-0000-0000-0000980E0000}"/>
    <cellStyle name="20% - Accent2 85 13 2 2" xfId="3741" xr:uid="{00000000-0005-0000-0000-0000990E0000}"/>
    <cellStyle name="20% - Accent2 85 13 3" xfId="3742" xr:uid="{00000000-0005-0000-0000-00009A0E0000}"/>
    <cellStyle name="20% - Accent2 85 14" xfId="3743" xr:uid="{00000000-0005-0000-0000-00009B0E0000}"/>
    <cellStyle name="20% - Accent2 85 14 2" xfId="3744" xr:uid="{00000000-0005-0000-0000-00009C0E0000}"/>
    <cellStyle name="20% - Accent2 85 14 2 2" xfId="3745" xr:uid="{00000000-0005-0000-0000-00009D0E0000}"/>
    <cellStyle name="20% - Accent2 85 14 3" xfId="3746" xr:uid="{00000000-0005-0000-0000-00009E0E0000}"/>
    <cellStyle name="20% - Accent2 85 15" xfId="3747" xr:uid="{00000000-0005-0000-0000-00009F0E0000}"/>
    <cellStyle name="20% - Accent2 85 15 2" xfId="3748" xr:uid="{00000000-0005-0000-0000-0000A00E0000}"/>
    <cellStyle name="20% - Accent2 85 15 2 2" xfId="3749" xr:uid="{00000000-0005-0000-0000-0000A10E0000}"/>
    <cellStyle name="20% - Accent2 85 15 3" xfId="3750" xr:uid="{00000000-0005-0000-0000-0000A20E0000}"/>
    <cellStyle name="20% - Accent2 85 16" xfId="3751" xr:uid="{00000000-0005-0000-0000-0000A30E0000}"/>
    <cellStyle name="20% - Accent2 85 16 2" xfId="3752" xr:uid="{00000000-0005-0000-0000-0000A40E0000}"/>
    <cellStyle name="20% - Accent2 85 16 2 2" xfId="3753" xr:uid="{00000000-0005-0000-0000-0000A50E0000}"/>
    <cellStyle name="20% - Accent2 85 16 3" xfId="3754" xr:uid="{00000000-0005-0000-0000-0000A60E0000}"/>
    <cellStyle name="20% - Accent2 85 17" xfId="3755" xr:uid="{00000000-0005-0000-0000-0000A70E0000}"/>
    <cellStyle name="20% - Accent2 85 17 2" xfId="3756" xr:uid="{00000000-0005-0000-0000-0000A80E0000}"/>
    <cellStyle name="20% - Accent2 85 17 2 2" xfId="3757" xr:uid="{00000000-0005-0000-0000-0000A90E0000}"/>
    <cellStyle name="20% - Accent2 85 17 3" xfId="3758" xr:uid="{00000000-0005-0000-0000-0000AA0E0000}"/>
    <cellStyle name="20% - Accent2 85 18" xfId="3759" xr:uid="{00000000-0005-0000-0000-0000AB0E0000}"/>
    <cellStyle name="20% - Accent2 85 18 2" xfId="3760" xr:uid="{00000000-0005-0000-0000-0000AC0E0000}"/>
    <cellStyle name="20% - Accent2 85 18 2 2" xfId="3761" xr:uid="{00000000-0005-0000-0000-0000AD0E0000}"/>
    <cellStyle name="20% - Accent2 85 18 3" xfId="3762" xr:uid="{00000000-0005-0000-0000-0000AE0E0000}"/>
    <cellStyle name="20% - Accent2 85 19" xfId="3763" xr:uid="{00000000-0005-0000-0000-0000AF0E0000}"/>
    <cellStyle name="20% - Accent2 85 19 2" xfId="3764" xr:uid="{00000000-0005-0000-0000-0000B00E0000}"/>
    <cellStyle name="20% - Accent2 85 19 2 2" xfId="3765" xr:uid="{00000000-0005-0000-0000-0000B10E0000}"/>
    <cellStyle name="20% - Accent2 85 19 3" xfId="3766" xr:uid="{00000000-0005-0000-0000-0000B20E0000}"/>
    <cellStyle name="20% - Accent2 85 2" xfId="3767" xr:uid="{00000000-0005-0000-0000-0000B30E0000}"/>
    <cellStyle name="20% - Accent2 85 2 2" xfId="3768" xr:uid="{00000000-0005-0000-0000-0000B40E0000}"/>
    <cellStyle name="20% - Accent2 85 2 2 2" xfId="3769" xr:uid="{00000000-0005-0000-0000-0000B50E0000}"/>
    <cellStyle name="20% - Accent2 85 2 3" xfId="3770" xr:uid="{00000000-0005-0000-0000-0000B60E0000}"/>
    <cellStyle name="20% - Accent2 85 20" xfId="3771" xr:uid="{00000000-0005-0000-0000-0000B70E0000}"/>
    <cellStyle name="20% - Accent2 85 20 2" xfId="3772" xr:uid="{00000000-0005-0000-0000-0000B80E0000}"/>
    <cellStyle name="20% - Accent2 85 20 2 2" xfId="3773" xr:uid="{00000000-0005-0000-0000-0000B90E0000}"/>
    <cellStyle name="20% - Accent2 85 20 3" xfId="3774" xr:uid="{00000000-0005-0000-0000-0000BA0E0000}"/>
    <cellStyle name="20% - Accent2 85 21" xfId="3775" xr:uid="{00000000-0005-0000-0000-0000BB0E0000}"/>
    <cellStyle name="20% - Accent2 85 21 2" xfId="3776" xr:uid="{00000000-0005-0000-0000-0000BC0E0000}"/>
    <cellStyle name="20% - Accent2 85 21 2 2" xfId="3777" xr:uid="{00000000-0005-0000-0000-0000BD0E0000}"/>
    <cellStyle name="20% - Accent2 85 21 3" xfId="3778" xr:uid="{00000000-0005-0000-0000-0000BE0E0000}"/>
    <cellStyle name="20% - Accent2 85 22" xfId="3779" xr:uid="{00000000-0005-0000-0000-0000BF0E0000}"/>
    <cellStyle name="20% - Accent2 85 22 2" xfId="3780" xr:uid="{00000000-0005-0000-0000-0000C00E0000}"/>
    <cellStyle name="20% - Accent2 85 22 2 2" xfId="3781" xr:uid="{00000000-0005-0000-0000-0000C10E0000}"/>
    <cellStyle name="20% - Accent2 85 22 3" xfId="3782" xr:uid="{00000000-0005-0000-0000-0000C20E0000}"/>
    <cellStyle name="20% - Accent2 85 23" xfId="3783" xr:uid="{00000000-0005-0000-0000-0000C30E0000}"/>
    <cellStyle name="20% - Accent2 85 23 2" xfId="3784" xr:uid="{00000000-0005-0000-0000-0000C40E0000}"/>
    <cellStyle name="20% - Accent2 85 23 2 2" xfId="3785" xr:uid="{00000000-0005-0000-0000-0000C50E0000}"/>
    <cellStyle name="20% - Accent2 85 23 3" xfId="3786" xr:uid="{00000000-0005-0000-0000-0000C60E0000}"/>
    <cellStyle name="20% - Accent2 85 24" xfId="3787" xr:uid="{00000000-0005-0000-0000-0000C70E0000}"/>
    <cellStyle name="20% - Accent2 85 24 2" xfId="3788" xr:uid="{00000000-0005-0000-0000-0000C80E0000}"/>
    <cellStyle name="20% - Accent2 85 24 2 2" xfId="3789" xr:uid="{00000000-0005-0000-0000-0000C90E0000}"/>
    <cellStyle name="20% - Accent2 85 24 3" xfId="3790" xr:uid="{00000000-0005-0000-0000-0000CA0E0000}"/>
    <cellStyle name="20% - Accent2 85 25" xfId="3791" xr:uid="{00000000-0005-0000-0000-0000CB0E0000}"/>
    <cellStyle name="20% - Accent2 85 25 2" xfId="3792" xr:uid="{00000000-0005-0000-0000-0000CC0E0000}"/>
    <cellStyle name="20% - Accent2 85 25 2 2" xfId="3793" xr:uid="{00000000-0005-0000-0000-0000CD0E0000}"/>
    <cellStyle name="20% - Accent2 85 25 3" xfId="3794" xr:uid="{00000000-0005-0000-0000-0000CE0E0000}"/>
    <cellStyle name="20% - Accent2 85 26" xfId="3795" xr:uid="{00000000-0005-0000-0000-0000CF0E0000}"/>
    <cellStyle name="20% - Accent2 85 26 2" xfId="3796" xr:uid="{00000000-0005-0000-0000-0000D00E0000}"/>
    <cellStyle name="20% - Accent2 85 26 2 2" xfId="3797" xr:uid="{00000000-0005-0000-0000-0000D10E0000}"/>
    <cellStyle name="20% - Accent2 85 26 3" xfId="3798" xr:uid="{00000000-0005-0000-0000-0000D20E0000}"/>
    <cellStyle name="20% - Accent2 85 27" xfId="3799" xr:uid="{00000000-0005-0000-0000-0000D30E0000}"/>
    <cellStyle name="20% - Accent2 85 27 2" xfId="3800" xr:uid="{00000000-0005-0000-0000-0000D40E0000}"/>
    <cellStyle name="20% - Accent2 85 27 2 2" xfId="3801" xr:uid="{00000000-0005-0000-0000-0000D50E0000}"/>
    <cellStyle name="20% - Accent2 85 27 3" xfId="3802" xr:uid="{00000000-0005-0000-0000-0000D60E0000}"/>
    <cellStyle name="20% - Accent2 85 28" xfId="3803" xr:uid="{00000000-0005-0000-0000-0000D70E0000}"/>
    <cellStyle name="20% - Accent2 85 28 2" xfId="3804" xr:uid="{00000000-0005-0000-0000-0000D80E0000}"/>
    <cellStyle name="20% - Accent2 85 28 2 2" xfId="3805" xr:uid="{00000000-0005-0000-0000-0000D90E0000}"/>
    <cellStyle name="20% - Accent2 85 28 3" xfId="3806" xr:uid="{00000000-0005-0000-0000-0000DA0E0000}"/>
    <cellStyle name="20% - Accent2 85 29" xfId="3807" xr:uid="{00000000-0005-0000-0000-0000DB0E0000}"/>
    <cellStyle name="20% - Accent2 85 29 2" xfId="3808" xr:uid="{00000000-0005-0000-0000-0000DC0E0000}"/>
    <cellStyle name="20% - Accent2 85 29 2 2" xfId="3809" xr:uid="{00000000-0005-0000-0000-0000DD0E0000}"/>
    <cellStyle name="20% - Accent2 85 29 3" xfId="3810" xr:uid="{00000000-0005-0000-0000-0000DE0E0000}"/>
    <cellStyle name="20% - Accent2 85 3" xfId="3811" xr:uid="{00000000-0005-0000-0000-0000DF0E0000}"/>
    <cellStyle name="20% - Accent2 85 3 2" xfId="3812" xr:uid="{00000000-0005-0000-0000-0000E00E0000}"/>
    <cellStyle name="20% - Accent2 85 3 2 2" xfId="3813" xr:uid="{00000000-0005-0000-0000-0000E10E0000}"/>
    <cellStyle name="20% - Accent2 85 3 3" xfId="3814" xr:uid="{00000000-0005-0000-0000-0000E20E0000}"/>
    <cellStyle name="20% - Accent2 85 30" xfId="3815" xr:uid="{00000000-0005-0000-0000-0000E30E0000}"/>
    <cellStyle name="20% - Accent2 85 30 2" xfId="3816" xr:uid="{00000000-0005-0000-0000-0000E40E0000}"/>
    <cellStyle name="20% - Accent2 85 30 2 2" xfId="3817" xr:uid="{00000000-0005-0000-0000-0000E50E0000}"/>
    <cellStyle name="20% - Accent2 85 30 3" xfId="3818" xr:uid="{00000000-0005-0000-0000-0000E60E0000}"/>
    <cellStyle name="20% - Accent2 85 31" xfId="3819" xr:uid="{00000000-0005-0000-0000-0000E70E0000}"/>
    <cellStyle name="20% - Accent2 85 31 2" xfId="3820" xr:uid="{00000000-0005-0000-0000-0000E80E0000}"/>
    <cellStyle name="20% - Accent2 85 31 2 2" xfId="3821" xr:uid="{00000000-0005-0000-0000-0000E90E0000}"/>
    <cellStyle name="20% - Accent2 85 31 3" xfId="3822" xr:uid="{00000000-0005-0000-0000-0000EA0E0000}"/>
    <cellStyle name="20% - Accent2 85 32" xfId="3823" xr:uid="{00000000-0005-0000-0000-0000EB0E0000}"/>
    <cellStyle name="20% - Accent2 85 32 2" xfId="3824" xr:uid="{00000000-0005-0000-0000-0000EC0E0000}"/>
    <cellStyle name="20% - Accent2 85 32 2 2" xfId="3825" xr:uid="{00000000-0005-0000-0000-0000ED0E0000}"/>
    <cellStyle name="20% - Accent2 85 32 3" xfId="3826" xr:uid="{00000000-0005-0000-0000-0000EE0E0000}"/>
    <cellStyle name="20% - Accent2 85 33" xfId="3827" xr:uid="{00000000-0005-0000-0000-0000EF0E0000}"/>
    <cellStyle name="20% - Accent2 85 33 2" xfId="3828" xr:uid="{00000000-0005-0000-0000-0000F00E0000}"/>
    <cellStyle name="20% - Accent2 85 33 2 2" xfId="3829" xr:uid="{00000000-0005-0000-0000-0000F10E0000}"/>
    <cellStyle name="20% - Accent2 85 33 3" xfId="3830" xr:uid="{00000000-0005-0000-0000-0000F20E0000}"/>
    <cellStyle name="20% - Accent2 85 34" xfId="3831" xr:uid="{00000000-0005-0000-0000-0000F30E0000}"/>
    <cellStyle name="20% - Accent2 85 34 2" xfId="3832" xr:uid="{00000000-0005-0000-0000-0000F40E0000}"/>
    <cellStyle name="20% - Accent2 85 34 2 2" xfId="3833" xr:uid="{00000000-0005-0000-0000-0000F50E0000}"/>
    <cellStyle name="20% - Accent2 85 34 3" xfId="3834" xr:uid="{00000000-0005-0000-0000-0000F60E0000}"/>
    <cellStyle name="20% - Accent2 85 35" xfId="3835" xr:uid="{00000000-0005-0000-0000-0000F70E0000}"/>
    <cellStyle name="20% - Accent2 85 35 2" xfId="3836" xr:uid="{00000000-0005-0000-0000-0000F80E0000}"/>
    <cellStyle name="20% - Accent2 85 35 2 2" xfId="3837" xr:uid="{00000000-0005-0000-0000-0000F90E0000}"/>
    <cellStyle name="20% - Accent2 85 35 3" xfId="3838" xr:uid="{00000000-0005-0000-0000-0000FA0E0000}"/>
    <cellStyle name="20% - Accent2 85 36" xfId="3839" xr:uid="{00000000-0005-0000-0000-0000FB0E0000}"/>
    <cellStyle name="20% - Accent2 85 36 2" xfId="3840" xr:uid="{00000000-0005-0000-0000-0000FC0E0000}"/>
    <cellStyle name="20% - Accent2 85 36 2 2" xfId="3841" xr:uid="{00000000-0005-0000-0000-0000FD0E0000}"/>
    <cellStyle name="20% - Accent2 85 36 3" xfId="3842" xr:uid="{00000000-0005-0000-0000-0000FE0E0000}"/>
    <cellStyle name="20% - Accent2 85 4" xfId="3843" xr:uid="{00000000-0005-0000-0000-0000FF0E0000}"/>
    <cellStyle name="20% - Accent2 85 4 2" xfId="3844" xr:uid="{00000000-0005-0000-0000-0000000F0000}"/>
    <cellStyle name="20% - Accent2 85 4 2 2" xfId="3845" xr:uid="{00000000-0005-0000-0000-0000010F0000}"/>
    <cellStyle name="20% - Accent2 85 4 3" xfId="3846" xr:uid="{00000000-0005-0000-0000-0000020F0000}"/>
    <cellStyle name="20% - Accent2 85 5" xfId="3847" xr:uid="{00000000-0005-0000-0000-0000030F0000}"/>
    <cellStyle name="20% - Accent2 85 5 2" xfId="3848" xr:uid="{00000000-0005-0000-0000-0000040F0000}"/>
    <cellStyle name="20% - Accent2 85 5 2 2" xfId="3849" xr:uid="{00000000-0005-0000-0000-0000050F0000}"/>
    <cellStyle name="20% - Accent2 85 5 3" xfId="3850" xr:uid="{00000000-0005-0000-0000-0000060F0000}"/>
    <cellStyle name="20% - Accent2 85 6" xfId="3851" xr:uid="{00000000-0005-0000-0000-0000070F0000}"/>
    <cellStyle name="20% - Accent2 85 6 2" xfId="3852" xr:uid="{00000000-0005-0000-0000-0000080F0000}"/>
    <cellStyle name="20% - Accent2 85 6 2 2" xfId="3853" xr:uid="{00000000-0005-0000-0000-0000090F0000}"/>
    <cellStyle name="20% - Accent2 85 6 3" xfId="3854" xr:uid="{00000000-0005-0000-0000-00000A0F0000}"/>
    <cellStyle name="20% - Accent2 85 7" xfId="3855" xr:uid="{00000000-0005-0000-0000-00000B0F0000}"/>
    <cellStyle name="20% - Accent2 85 7 2" xfId="3856" xr:uid="{00000000-0005-0000-0000-00000C0F0000}"/>
    <cellStyle name="20% - Accent2 85 7 2 2" xfId="3857" xr:uid="{00000000-0005-0000-0000-00000D0F0000}"/>
    <cellStyle name="20% - Accent2 85 7 3" xfId="3858" xr:uid="{00000000-0005-0000-0000-00000E0F0000}"/>
    <cellStyle name="20% - Accent2 85 8" xfId="3859" xr:uid="{00000000-0005-0000-0000-00000F0F0000}"/>
    <cellStyle name="20% - Accent2 85 8 2" xfId="3860" xr:uid="{00000000-0005-0000-0000-0000100F0000}"/>
    <cellStyle name="20% - Accent2 85 8 2 2" xfId="3861" xr:uid="{00000000-0005-0000-0000-0000110F0000}"/>
    <cellStyle name="20% - Accent2 85 8 3" xfId="3862" xr:uid="{00000000-0005-0000-0000-0000120F0000}"/>
    <cellStyle name="20% - Accent2 85 9" xfId="3863" xr:uid="{00000000-0005-0000-0000-0000130F0000}"/>
    <cellStyle name="20% - Accent2 85 9 2" xfId="3864" xr:uid="{00000000-0005-0000-0000-0000140F0000}"/>
    <cellStyle name="20% - Accent2 85 9 2 2" xfId="3865" xr:uid="{00000000-0005-0000-0000-0000150F0000}"/>
    <cellStyle name="20% - Accent2 85 9 3" xfId="3866" xr:uid="{00000000-0005-0000-0000-0000160F0000}"/>
    <cellStyle name="20% - Accent2 86" xfId="3867" xr:uid="{00000000-0005-0000-0000-0000170F0000}"/>
    <cellStyle name="20% - Accent2 86 10" xfId="3868" xr:uid="{00000000-0005-0000-0000-0000180F0000}"/>
    <cellStyle name="20% - Accent2 86 10 2" xfId="3869" xr:uid="{00000000-0005-0000-0000-0000190F0000}"/>
    <cellStyle name="20% - Accent2 86 10 2 2" xfId="3870" xr:uid="{00000000-0005-0000-0000-00001A0F0000}"/>
    <cellStyle name="20% - Accent2 86 10 3" xfId="3871" xr:uid="{00000000-0005-0000-0000-00001B0F0000}"/>
    <cellStyle name="20% - Accent2 86 11" xfId="3872" xr:uid="{00000000-0005-0000-0000-00001C0F0000}"/>
    <cellStyle name="20% - Accent2 86 11 2" xfId="3873" xr:uid="{00000000-0005-0000-0000-00001D0F0000}"/>
    <cellStyle name="20% - Accent2 86 11 2 2" xfId="3874" xr:uid="{00000000-0005-0000-0000-00001E0F0000}"/>
    <cellStyle name="20% - Accent2 86 11 3" xfId="3875" xr:uid="{00000000-0005-0000-0000-00001F0F0000}"/>
    <cellStyle name="20% - Accent2 86 12" xfId="3876" xr:uid="{00000000-0005-0000-0000-0000200F0000}"/>
    <cellStyle name="20% - Accent2 86 12 2" xfId="3877" xr:uid="{00000000-0005-0000-0000-0000210F0000}"/>
    <cellStyle name="20% - Accent2 86 12 2 2" xfId="3878" xr:uid="{00000000-0005-0000-0000-0000220F0000}"/>
    <cellStyle name="20% - Accent2 86 12 3" xfId="3879" xr:uid="{00000000-0005-0000-0000-0000230F0000}"/>
    <cellStyle name="20% - Accent2 86 13" xfId="3880" xr:uid="{00000000-0005-0000-0000-0000240F0000}"/>
    <cellStyle name="20% - Accent2 86 13 2" xfId="3881" xr:uid="{00000000-0005-0000-0000-0000250F0000}"/>
    <cellStyle name="20% - Accent2 86 13 2 2" xfId="3882" xr:uid="{00000000-0005-0000-0000-0000260F0000}"/>
    <cellStyle name="20% - Accent2 86 13 3" xfId="3883" xr:uid="{00000000-0005-0000-0000-0000270F0000}"/>
    <cellStyle name="20% - Accent2 86 14" xfId="3884" xr:uid="{00000000-0005-0000-0000-0000280F0000}"/>
    <cellStyle name="20% - Accent2 86 14 2" xfId="3885" xr:uid="{00000000-0005-0000-0000-0000290F0000}"/>
    <cellStyle name="20% - Accent2 86 14 2 2" xfId="3886" xr:uid="{00000000-0005-0000-0000-00002A0F0000}"/>
    <cellStyle name="20% - Accent2 86 14 3" xfId="3887" xr:uid="{00000000-0005-0000-0000-00002B0F0000}"/>
    <cellStyle name="20% - Accent2 86 15" xfId="3888" xr:uid="{00000000-0005-0000-0000-00002C0F0000}"/>
    <cellStyle name="20% - Accent2 86 15 2" xfId="3889" xr:uid="{00000000-0005-0000-0000-00002D0F0000}"/>
    <cellStyle name="20% - Accent2 86 15 2 2" xfId="3890" xr:uid="{00000000-0005-0000-0000-00002E0F0000}"/>
    <cellStyle name="20% - Accent2 86 15 3" xfId="3891" xr:uid="{00000000-0005-0000-0000-00002F0F0000}"/>
    <cellStyle name="20% - Accent2 86 16" xfId="3892" xr:uid="{00000000-0005-0000-0000-0000300F0000}"/>
    <cellStyle name="20% - Accent2 86 16 2" xfId="3893" xr:uid="{00000000-0005-0000-0000-0000310F0000}"/>
    <cellStyle name="20% - Accent2 86 16 2 2" xfId="3894" xr:uid="{00000000-0005-0000-0000-0000320F0000}"/>
    <cellStyle name="20% - Accent2 86 16 3" xfId="3895" xr:uid="{00000000-0005-0000-0000-0000330F0000}"/>
    <cellStyle name="20% - Accent2 86 17" xfId="3896" xr:uid="{00000000-0005-0000-0000-0000340F0000}"/>
    <cellStyle name="20% - Accent2 86 17 2" xfId="3897" xr:uid="{00000000-0005-0000-0000-0000350F0000}"/>
    <cellStyle name="20% - Accent2 86 17 2 2" xfId="3898" xr:uid="{00000000-0005-0000-0000-0000360F0000}"/>
    <cellStyle name="20% - Accent2 86 17 3" xfId="3899" xr:uid="{00000000-0005-0000-0000-0000370F0000}"/>
    <cellStyle name="20% - Accent2 86 18" xfId="3900" xr:uid="{00000000-0005-0000-0000-0000380F0000}"/>
    <cellStyle name="20% - Accent2 86 18 2" xfId="3901" xr:uid="{00000000-0005-0000-0000-0000390F0000}"/>
    <cellStyle name="20% - Accent2 86 18 2 2" xfId="3902" xr:uid="{00000000-0005-0000-0000-00003A0F0000}"/>
    <cellStyle name="20% - Accent2 86 18 3" xfId="3903" xr:uid="{00000000-0005-0000-0000-00003B0F0000}"/>
    <cellStyle name="20% - Accent2 86 19" xfId="3904" xr:uid="{00000000-0005-0000-0000-00003C0F0000}"/>
    <cellStyle name="20% - Accent2 86 19 2" xfId="3905" xr:uid="{00000000-0005-0000-0000-00003D0F0000}"/>
    <cellStyle name="20% - Accent2 86 19 2 2" xfId="3906" xr:uid="{00000000-0005-0000-0000-00003E0F0000}"/>
    <cellStyle name="20% - Accent2 86 19 3" xfId="3907" xr:uid="{00000000-0005-0000-0000-00003F0F0000}"/>
    <cellStyle name="20% - Accent2 86 2" xfId="3908" xr:uid="{00000000-0005-0000-0000-0000400F0000}"/>
    <cellStyle name="20% - Accent2 86 2 2" xfId="3909" xr:uid="{00000000-0005-0000-0000-0000410F0000}"/>
    <cellStyle name="20% - Accent2 86 2 2 2" xfId="3910" xr:uid="{00000000-0005-0000-0000-0000420F0000}"/>
    <cellStyle name="20% - Accent2 86 2 3" xfId="3911" xr:uid="{00000000-0005-0000-0000-0000430F0000}"/>
    <cellStyle name="20% - Accent2 86 20" xfId="3912" xr:uid="{00000000-0005-0000-0000-0000440F0000}"/>
    <cellStyle name="20% - Accent2 86 20 2" xfId="3913" xr:uid="{00000000-0005-0000-0000-0000450F0000}"/>
    <cellStyle name="20% - Accent2 86 20 2 2" xfId="3914" xr:uid="{00000000-0005-0000-0000-0000460F0000}"/>
    <cellStyle name="20% - Accent2 86 20 3" xfId="3915" xr:uid="{00000000-0005-0000-0000-0000470F0000}"/>
    <cellStyle name="20% - Accent2 86 21" xfId="3916" xr:uid="{00000000-0005-0000-0000-0000480F0000}"/>
    <cellStyle name="20% - Accent2 86 21 2" xfId="3917" xr:uid="{00000000-0005-0000-0000-0000490F0000}"/>
    <cellStyle name="20% - Accent2 86 21 2 2" xfId="3918" xr:uid="{00000000-0005-0000-0000-00004A0F0000}"/>
    <cellStyle name="20% - Accent2 86 21 3" xfId="3919" xr:uid="{00000000-0005-0000-0000-00004B0F0000}"/>
    <cellStyle name="20% - Accent2 86 22" xfId="3920" xr:uid="{00000000-0005-0000-0000-00004C0F0000}"/>
    <cellStyle name="20% - Accent2 86 22 2" xfId="3921" xr:uid="{00000000-0005-0000-0000-00004D0F0000}"/>
    <cellStyle name="20% - Accent2 86 22 2 2" xfId="3922" xr:uid="{00000000-0005-0000-0000-00004E0F0000}"/>
    <cellStyle name="20% - Accent2 86 22 3" xfId="3923" xr:uid="{00000000-0005-0000-0000-00004F0F0000}"/>
    <cellStyle name="20% - Accent2 86 23" xfId="3924" xr:uid="{00000000-0005-0000-0000-0000500F0000}"/>
    <cellStyle name="20% - Accent2 86 23 2" xfId="3925" xr:uid="{00000000-0005-0000-0000-0000510F0000}"/>
    <cellStyle name="20% - Accent2 86 23 2 2" xfId="3926" xr:uid="{00000000-0005-0000-0000-0000520F0000}"/>
    <cellStyle name="20% - Accent2 86 23 3" xfId="3927" xr:uid="{00000000-0005-0000-0000-0000530F0000}"/>
    <cellStyle name="20% - Accent2 86 24" xfId="3928" xr:uid="{00000000-0005-0000-0000-0000540F0000}"/>
    <cellStyle name="20% - Accent2 86 24 2" xfId="3929" xr:uid="{00000000-0005-0000-0000-0000550F0000}"/>
    <cellStyle name="20% - Accent2 86 24 2 2" xfId="3930" xr:uid="{00000000-0005-0000-0000-0000560F0000}"/>
    <cellStyle name="20% - Accent2 86 24 3" xfId="3931" xr:uid="{00000000-0005-0000-0000-0000570F0000}"/>
    <cellStyle name="20% - Accent2 86 25" xfId="3932" xr:uid="{00000000-0005-0000-0000-0000580F0000}"/>
    <cellStyle name="20% - Accent2 86 25 2" xfId="3933" xr:uid="{00000000-0005-0000-0000-0000590F0000}"/>
    <cellStyle name="20% - Accent2 86 25 2 2" xfId="3934" xr:uid="{00000000-0005-0000-0000-00005A0F0000}"/>
    <cellStyle name="20% - Accent2 86 25 3" xfId="3935" xr:uid="{00000000-0005-0000-0000-00005B0F0000}"/>
    <cellStyle name="20% - Accent2 86 26" xfId="3936" xr:uid="{00000000-0005-0000-0000-00005C0F0000}"/>
    <cellStyle name="20% - Accent2 86 26 2" xfId="3937" xr:uid="{00000000-0005-0000-0000-00005D0F0000}"/>
    <cellStyle name="20% - Accent2 86 26 2 2" xfId="3938" xr:uid="{00000000-0005-0000-0000-00005E0F0000}"/>
    <cellStyle name="20% - Accent2 86 26 3" xfId="3939" xr:uid="{00000000-0005-0000-0000-00005F0F0000}"/>
    <cellStyle name="20% - Accent2 86 27" xfId="3940" xr:uid="{00000000-0005-0000-0000-0000600F0000}"/>
    <cellStyle name="20% - Accent2 86 27 2" xfId="3941" xr:uid="{00000000-0005-0000-0000-0000610F0000}"/>
    <cellStyle name="20% - Accent2 86 27 2 2" xfId="3942" xr:uid="{00000000-0005-0000-0000-0000620F0000}"/>
    <cellStyle name="20% - Accent2 86 27 3" xfId="3943" xr:uid="{00000000-0005-0000-0000-0000630F0000}"/>
    <cellStyle name="20% - Accent2 86 28" xfId="3944" xr:uid="{00000000-0005-0000-0000-0000640F0000}"/>
    <cellStyle name="20% - Accent2 86 28 2" xfId="3945" xr:uid="{00000000-0005-0000-0000-0000650F0000}"/>
    <cellStyle name="20% - Accent2 86 28 2 2" xfId="3946" xr:uid="{00000000-0005-0000-0000-0000660F0000}"/>
    <cellStyle name="20% - Accent2 86 28 3" xfId="3947" xr:uid="{00000000-0005-0000-0000-0000670F0000}"/>
    <cellStyle name="20% - Accent2 86 29" xfId="3948" xr:uid="{00000000-0005-0000-0000-0000680F0000}"/>
    <cellStyle name="20% - Accent2 86 29 2" xfId="3949" xr:uid="{00000000-0005-0000-0000-0000690F0000}"/>
    <cellStyle name="20% - Accent2 86 29 2 2" xfId="3950" xr:uid="{00000000-0005-0000-0000-00006A0F0000}"/>
    <cellStyle name="20% - Accent2 86 29 3" xfId="3951" xr:uid="{00000000-0005-0000-0000-00006B0F0000}"/>
    <cellStyle name="20% - Accent2 86 3" xfId="3952" xr:uid="{00000000-0005-0000-0000-00006C0F0000}"/>
    <cellStyle name="20% - Accent2 86 3 2" xfId="3953" xr:uid="{00000000-0005-0000-0000-00006D0F0000}"/>
    <cellStyle name="20% - Accent2 86 3 2 2" xfId="3954" xr:uid="{00000000-0005-0000-0000-00006E0F0000}"/>
    <cellStyle name="20% - Accent2 86 3 3" xfId="3955" xr:uid="{00000000-0005-0000-0000-00006F0F0000}"/>
    <cellStyle name="20% - Accent2 86 30" xfId="3956" xr:uid="{00000000-0005-0000-0000-0000700F0000}"/>
    <cellStyle name="20% - Accent2 86 30 2" xfId="3957" xr:uid="{00000000-0005-0000-0000-0000710F0000}"/>
    <cellStyle name="20% - Accent2 86 30 2 2" xfId="3958" xr:uid="{00000000-0005-0000-0000-0000720F0000}"/>
    <cellStyle name="20% - Accent2 86 30 3" xfId="3959" xr:uid="{00000000-0005-0000-0000-0000730F0000}"/>
    <cellStyle name="20% - Accent2 86 31" xfId="3960" xr:uid="{00000000-0005-0000-0000-0000740F0000}"/>
    <cellStyle name="20% - Accent2 86 31 2" xfId="3961" xr:uid="{00000000-0005-0000-0000-0000750F0000}"/>
    <cellStyle name="20% - Accent2 86 31 2 2" xfId="3962" xr:uid="{00000000-0005-0000-0000-0000760F0000}"/>
    <cellStyle name="20% - Accent2 86 31 3" xfId="3963" xr:uid="{00000000-0005-0000-0000-0000770F0000}"/>
    <cellStyle name="20% - Accent2 86 32" xfId="3964" xr:uid="{00000000-0005-0000-0000-0000780F0000}"/>
    <cellStyle name="20% - Accent2 86 32 2" xfId="3965" xr:uid="{00000000-0005-0000-0000-0000790F0000}"/>
    <cellStyle name="20% - Accent2 86 32 2 2" xfId="3966" xr:uid="{00000000-0005-0000-0000-00007A0F0000}"/>
    <cellStyle name="20% - Accent2 86 32 3" xfId="3967" xr:uid="{00000000-0005-0000-0000-00007B0F0000}"/>
    <cellStyle name="20% - Accent2 86 33" xfId="3968" xr:uid="{00000000-0005-0000-0000-00007C0F0000}"/>
    <cellStyle name="20% - Accent2 86 33 2" xfId="3969" xr:uid="{00000000-0005-0000-0000-00007D0F0000}"/>
    <cellStyle name="20% - Accent2 86 33 2 2" xfId="3970" xr:uid="{00000000-0005-0000-0000-00007E0F0000}"/>
    <cellStyle name="20% - Accent2 86 33 3" xfId="3971" xr:uid="{00000000-0005-0000-0000-00007F0F0000}"/>
    <cellStyle name="20% - Accent2 86 34" xfId="3972" xr:uid="{00000000-0005-0000-0000-0000800F0000}"/>
    <cellStyle name="20% - Accent2 86 34 2" xfId="3973" xr:uid="{00000000-0005-0000-0000-0000810F0000}"/>
    <cellStyle name="20% - Accent2 86 34 2 2" xfId="3974" xr:uid="{00000000-0005-0000-0000-0000820F0000}"/>
    <cellStyle name="20% - Accent2 86 34 3" xfId="3975" xr:uid="{00000000-0005-0000-0000-0000830F0000}"/>
    <cellStyle name="20% - Accent2 86 35" xfId="3976" xr:uid="{00000000-0005-0000-0000-0000840F0000}"/>
    <cellStyle name="20% - Accent2 86 35 2" xfId="3977" xr:uid="{00000000-0005-0000-0000-0000850F0000}"/>
    <cellStyle name="20% - Accent2 86 35 2 2" xfId="3978" xr:uid="{00000000-0005-0000-0000-0000860F0000}"/>
    <cellStyle name="20% - Accent2 86 35 3" xfId="3979" xr:uid="{00000000-0005-0000-0000-0000870F0000}"/>
    <cellStyle name="20% - Accent2 86 36" xfId="3980" xr:uid="{00000000-0005-0000-0000-0000880F0000}"/>
    <cellStyle name="20% - Accent2 86 36 2" xfId="3981" xr:uid="{00000000-0005-0000-0000-0000890F0000}"/>
    <cellStyle name="20% - Accent2 86 36 2 2" xfId="3982" xr:uid="{00000000-0005-0000-0000-00008A0F0000}"/>
    <cellStyle name="20% - Accent2 86 36 3" xfId="3983" xr:uid="{00000000-0005-0000-0000-00008B0F0000}"/>
    <cellStyle name="20% - Accent2 86 4" xfId="3984" xr:uid="{00000000-0005-0000-0000-00008C0F0000}"/>
    <cellStyle name="20% - Accent2 86 4 2" xfId="3985" xr:uid="{00000000-0005-0000-0000-00008D0F0000}"/>
    <cellStyle name="20% - Accent2 86 4 2 2" xfId="3986" xr:uid="{00000000-0005-0000-0000-00008E0F0000}"/>
    <cellStyle name="20% - Accent2 86 4 3" xfId="3987" xr:uid="{00000000-0005-0000-0000-00008F0F0000}"/>
    <cellStyle name="20% - Accent2 86 5" xfId="3988" xr:uid="{00000000-0005-0000-0000-0000900F0000}"/>
    <cellStyle name="20% - Accent2 86 5 2" xfId="3989" xr:uid="{00000000-0005-0000-0000-0000910F0000}"/>
    <cellStyle name="20% - Accent2 86 5 2 2" xfId="3990" xr:uid="{00000000-0005-0000-0000-0000920F0000}"/>
    <cellStyle name="20% - Accent2 86 5 3" xfId="3991" xr:uid="{00000000-0005-0000-0000-0000930F0000}"/>
    <cellStyle name="20% - Accent2 86 6" xfId="3992" xr:uid="{00000000-0005-0000-0000-0000940F0000}"/>
    <cellStyle name="20% - Accent2 86 6 2" xfId="3993" xr:uid="{00000000-0005-0000-0000-0000950F0000}"/>
    <cellStyle name="20% - Accent2 86 6 2 2" xfId="3994" xr:uid="{00000000-0005-0000-0000-0000960F0000}"/>
    <cellStyle name="20% - Accent2 86 6 3" xfId="3995" xr:uid="{00000000-0005-0000-0000-0000970F0000}"/>
    <cellStyle name="20% - Accent2 86 7" xfId="3996" xr:uid="{00000000-0005-0000-0000-0000980F0000}"/>
    <cellStyle name="20% - Accent2 86 7 2" xfId="3997" xr:uid="{00000000-0005-0000-0000-0000990F0000}"/>
    <cellStyle name="20% - Accent2 86 7 2 2" xfId="3998" xr:uid="{00000000-0005-0000-0000-00009A0F0000}"/>
    <cellStyle name="20% - Accent2 86 7 3" xfId="3999" xr:uid="{00000000-0005-0000-0000-00009B0F0000}"/>
    <cellStyle name="20% - Accent2 86 8" xfId="4000" xr:uid="{00000000-0005-0000-0000-00009C0F0000}"/>
    <cellStyle name="20% - Accent2 86 8 2" xfId="4001" xr:uid="{00000000-0005-0000-0000-00009D0F0000}"/>
    <cellStyle name="20% - Accent2 86 8 2 2" xfId="4002" xr:uid="{00000000-0005-0000-0000-00009E0F0000}"/>
    <cellStyle name="20% - Accent2 86 8 3" xfId="4003" xr:uid="{00000000-0005-0000-0000-00009F0F0000}"/>
    <cellStyle name="20% - Accent2 86 9" xfId="4004" xr:uid="{00000000-0005-0000-0000-0000A00F0000}"/>
    <cellStyle name="20% - Accent2 86 9 2" xfId="4005" xr:uid="{00000000-0005-0000-0000-0000A10F0000}"/>
    <cellStyle name="20% - Accent2 86 9 2 2" xfId="4006" xr:uid="{00000000-0005-0000-0000-0000A20F0000}"/>
    <cellStyle name="20% - Accent2 86 9 3" xfId="4007" xr:uid="{00000000-0005-0000-0000-0000A30F0000}"/>
    <cellStyle name="20% - Accent2 87" xfId="4008" xr:uid="{00000000-0005-0000-0000-0000A40F0000}"/>
    <cellStyle name="20% - Accent2 87 10" xfId="4009" xr:uid="{00000000-0005-0000-0000-0000A50F0000}"/>
    <cellStyle name="20% - Accent2 87 10 2" xfId="4010" xr:uid="{00000000-0005-0000-0000-0000A60F0000}"/>
    <cellStyle name="20% - Accent2 87 10 2 2" xfId="4011" xr:uid="{00000000-0005-0000-0000-0000A70F0000}"/>
    <cellStyle name="20% - Accent2 87 10 3" xfId="4012" xr:uid="{00000000-0005-0000-0000-0000A80F0000}"/>
    <cellStyle name="20% - Accent2 87 11" xfId="4013" xr:uid="{00000000-0005-0000-0000-0000A90F0000}"/>
    <cellStyle name="20% - Accent2 87 11 2" xfId="4014" xr:uid="{00000000-0005-0000-0000-0000AA0F0000}"/>
    <cellStyle name="20% - Accent2 87 11 2 2" xfId="4015" xr:uid="{00000000-0005-0000-0000-0000AB0F0000}"/>
    <cellStyle name="20% - Accent2 87 11 3" xfId="4016" xr:uid="{00000000-0005-0000-0000-0000AC0F0000}"/>
    <cellStyle name="20% - Accent2 87 12" xfId="4017" xr:uid="{00000000-0005-0000-0000-0000AD0F0000}"/>
    <cellStyle name="20% - Accent2 87 12 2" xfId="4018" xr:uid="{00000000-0005-0000-0000-0000AE0F0000}"/>
    <cellStyle name="20% - Accent2 87 12 2 2" xfId="4019" xr:uid="{00000000-0005-0000-0000-0000AF0F0000}"/>
    <cellStyle name="20% - Accent2 87 12 3" xfId="4020" xr:uid="{00000000-0005-0000-0000-0000B00F0000}"/>
    <cellStyle name="20% - Accent2 87 13" xfId="4021" xr:uid="{00000000-0005-0000-0000-0000B10F0000}"/>
    <cellStyle name="20% - Accent2 87 13 2" xfId="4022" xr:uid="{00000000-0005-0000-0000-0000B20F0000}"/>
    <cellStyle name="20% - Accent2 87 13 2 2" xfId="4023" xr:uid="{00000000-0005-0000-0000-0000B30F0000}"/>
    <cellStyle name="20% - Accent2 87 13 3" xfId="4024" xr:uid="{00000000-0005-0000-0000-0000B40F0000}"/>
    <cellStyle name="20% - Accent2 87 14" xfId="4025" xr:uid="{00000000-0005-0000-0000-0000B50F0000}"/>
    <cellStyle name="20% - Accent2 87 14 2" xfId="4026" xr:uid="{00000000-0005-0000-0000-0000B60F0000}"/>
    <cellStyle name="20% - Accent2 87 14 2 2" xfId="4027" xr:uid="{00000000-0005-0000-0000-0000B70F0000}"/>
    <cellStyle name="20% - Accent2 87 14 3" xfId="4028" xr:uid="{00000000-0005-0000-0000-0000B80F0000}"/>
    <cellStyle name="20% - Accent2 87 15" xfId="4029" xr:uid="{00000000-0005-0000-0000-0000B90F0000}"/>
    <cellStyle name="20% - Accent2 87 15 2" xfId="4030" xr:uid="{00000000-0005-0000-0000-0000BA0F0000}"/>
    <cellStyle name="20% - Accent2 87 15 2 2" xfId="4031" xr:uid="{00000000-0005-0000-0000-0000BB0F0000}"/>
    <cellStyle name="20% - Accent2 87 15 3" xfId="4032" xr:uid="{00000000-0005-0000-0000-0000BC0F0000}"/>
    <cellStyle name="20% - Accent2 87 16" xfId="4033" xr:uid="{00000000-0005-0000-0000-0000BD0F0000}"/>
    <cellStyle name="20% - Accent2 87 16 2" xfId="4034" xr:uid="{00000000-0005-0000-0000-0000BE0F0000}"/>
    <cellStyle name="20% - Accent2 87 16 2 2" xfId="4035" xr:uid="{00000000-0005-0000-0000-0000BF0F0000}"/>
    <cellStyle name="20% - Accent2 87 16 3" xfId="4036" xr:uid="{00000000-0005-0000-0000-0000C00F0000}"/>
    <cellStyle name="20% - Accent2 87 17" xfId="4037" xr:uid="{00000000-0005-0000-0000-0000C10F0000}"/>
    <cellStyle name="20% - Accent2 87 17 2" xfId="4038" xr:uid="{00000000-0005-0000-0000-0000C20F0000}"/>
    <cellStyle name="20% - Accent2 87 17 2 2" xfId="4039" xr:uid="{00000000-0005-0000-0000-0000C30F0000}"/>
    <cellStyle name="20% - Accent2 87 17 3" xfId="4040" xr:uid="{00000000-0005-0000-0000-0000C40F0000}"/>
    <cellStyle name="20% - Accent2 87 18" xfId="4041" xr:uid="{00000000-0005-0000-0000-0000C50F0000}"/>
    <cellStyle name="20% - Accent2 87 18 2" xfId="4042" xr:uid="{00000000-0005-0000-0000-0000C60F0000}"/>
    <cellStyle name="20% - Accent2 87 18 2 2" xfId="4043" xr:uid="{00000000-0005-0000-0000-0000C70F0000}"/>
    <cellStyle name="20% - Accent2 87 18 3" xfId="4044" xr:uid="{00000000-0005-0000-0000-0000C80F0000}"/>
    <cellStyle name="20% - Accent2 87 19" xfId="4045" xr:uid="{00000000-0005-0000-0000-0000C90F0000}"/>
    <cellStyle name="20% - Accent2 87 19 2" xfId="4046" xr:uid="{00000000-0005-0000-0000-0000CA0F0000}"/>
    <cellStyle name="20% - Accent2 87 19 2 2" xfId="4047" xr:uid="{00000000-0005-0000-0000-0000CB0F0000}"/>
    <cellStyle name="20% - Accent2 87 19 3" xfId="4048" xr:uid="{00000000-0005-0000-0000-0000CC0F0000}"/>
    <cellStyle name="20% - Accent2 87 2" xfId="4049" xr:uid="{00000000-0005-0000-0000-0000CD0F0000}"/>
    <cellStyle name="20% - Accent2 87 2 2" xfId="4050" xr:uid="{00000000-0005-0000-0000-0000CE0F0000}"/>
    <cellStyle name="20% - Accent2 87 2 2 2" xfId="4051" xr:uid="{00000000-0005-0000-0000-0000CF0F0000}"/>
    <cellStyle name="20% - Accent2 87 2 3" xfId="4052" xr:uid="{00000000-0005-0000-0000-0000D00F0000}"/>
    <cellStyle name="20% - Accent2 87 20" xfId="4053" xr:uid="{00000000-0005-0000-0000-0000D10F0000}"/>
    <cellStyle name="20% - Accent2 87 20 2" xfId="4054" xr:uid="{00000000-0005-0000-0000-0000D20F0000}"/>
    <cellStyle name="20% - Accent2 87 20 2 2" xfId="4055" xr:uid="{00000000-0005-0000-0000-0000D30F0000}"/>
    <cellStyle name="20% - Accent2 87 20 3" xfId="4056" xr:uid="{00000000-0005-0000-0000-0000D40F0000}"/>
    <cellStyle name="20% - Accent2 87 21" xfId="4057" xr:uid="{00000000-0005-0000-0000-0000D50F0000}"/>
    <cellStyle name="20% - Accent2 87 21 2" xfId="4058" xr:uid="{00000000-0005-0000-0000-0000D60F0000}"/>
    <cellStyle name="20% - Accent2 87 21 2 2" xfId="4059" xr:uid="{00000000-0005-0000-0000-0000D70F0000}"/>
    <cellStyle name="20% - Accent2 87 21 3" xfId="4060" xr:uid="{00000000-0005-0000-0000-0000D80F0000}"/>
    <cellStyle name="20% - Accent2 87 22" xfId="4061" xr:uid="{00000000-0005-0000-0000-0000D90F0000}"/>
    <cellStyle name="20% - Accent2 87 22 2" xfId="4062" xr:uid="{00000000-0005-0000-0000-0000DA0F0000}"/>
    <cellStyle name="20% - Accent2 87 22 2 2" xfId="4063" xr:uid="{00000000-0005-0000-0000-0000DB0F0000}"/>
    <cellStyle name="20% - Accent2 87 22 3" xfId="4064" xr:uid="{00000000-0005-0000-0000-0000DC0F0000}"/>
    <cellStyle name="20% - Accent2 87 23" xfId="4065" xr:uid="{00000000-0005-0000-0000-0000DD0F0000}"/>
    <cellStyle name="20% - Accent2 87 23 2" xfId="4066" xr:uid="{00000000-0005-0000-0000-0000DE0F0000}"/>
    <cellStyle name="20% - Accent2 87 23 2 2" xfId="4067" xr:uid="{00000000-0005-0000-0000-0000DF0F0000}"/>
    <cellStyle name="20% - Accent2 87 23 3" xfId="4068" xr:uid="{00000000-0005-0000-0000-0000E00F0000}"/>
    <cellStyle name="20% - Accent2 87 24" xfId="4069" xr:uid="{00000000-0005-0000-0000-0000E10F0000}"/>
    <cellStyle name="20% - Accent2 87 24 2" xfId="4070" xr:uid="{00000000-0005-0000-0000-0000E20F0000}"/>
    <cellStyle name="20% - Accent2 87 24 2 2" xfId="4071" xr:uid="{00000000-0005-0000-0000-0000E30F0000}"/>
    <cellStyle name="20% - Accent2 87 24 3" xfId="4072" xr:uid="{00000000-0005-0000-0000-0000E40F0000}"/>
    <cellStyle name="20% - Accent2 87 25" xfId="4073" xr:uid="{00000000-0005-0000-0000-0000E50F0000}"/>
    <cellStyle name="20% - Accent2 87 25 2" xfId="4074" xr:uid="{00000000-0005-0000-0000-0000E60F0000}"/>
    <cellStyle name="20% - Accent2 87 25 2 2" xfId="4075" xr:uid="{00000000-0005-0000-0000-0000E70F0000}"/>
    <cellStyle name="20% - Accent2 87 25 3" xfId="4076" xr:uid="{00000000-0005-0000-0000-0000E80F0000}"/>
    <cellStyle name="20% - Accent2 87 26" xfId="4077" xr:uid="{00000000-0005-0000-0000-0000E90F0000}"/>
    <cellStyle name="20% - Accent2 87 26 2" xfId="4078" xr:uid="{00000000-0005-0000-0000-0000EA0F0000}"/>
    <cellStyle name="20% - Accent2 87 26 2 2" xfId="4079" xr:uid="{00000000-0005-0000-0000-0000EB0F0000}"/>
    <cellStyle name="20% - Accent2 87 26 3" xfId="4080" xr:uid="{00000000-0005-0000-0000-0000EC0F0000}"/>
    <cellStyle name="20% - Accent2 87 27" xfId="4081" xr:uid="{00000000-0005-0000-0000-0000ED0F0000}"/>
    <cellStyle name="20% - Accent2 87 27 2" xfId="4082" xr:uid="{00000000-0005-0000-0000-0000EE0F0000}"/>
    <cellStyle name="20% - Accent2 87 27 2 2" xfId="4083" xr:uid="{00000000-0005-0000-0000-0000EF0F0000}"/>
    <cellStyle name="20% - Accent2 87 27 3" xfId="4084" xr:uid="{00000000-0005-0000-0000-0000F00F0000}"/>
    <cellStyle name="20% - Accent2 87 28" xfId="4085" xr:uid="{00000000-0005-0000-0000-0000F10F0000}"/>
    <cellStyle name="20% - Accent2 87 28 2" xfId="4086" xr:uid="{00000000-0005-0000-0000-0000F20F0000}"/>
    <cellStyle name="20% - Accent2 87 28 2 2" xfId="4087" xr:uid="{00000000-0005-0000-0000-0000F30F0000}"/>
    <cellStyle name="20% - Accent2 87 28 3" xfId="4088" xr:uid="{00000000-0005-0000-0000-0000F40F0000}"/>
    <cellStyle name="20% - Accent2 87 29" xfId="4089" xr:uid="{00000000-0005-0000-0000-0000F50F0000}"/>
    <cellStyle name="20% - Accent2 87 29 2" xfId="4090" xr:uid="{00000000-0005-0000-0000-0000F60F0000}"/>
    <cellStyle name="20% - Accent2 87 29 2 2" xfId="4091" xr:uid="{00000000-0005-0000-0000-0000F70F0000}"/>
    <cellStyle name="20% - Accent2 87 29 3" xfId="4092" xr:uid="{00000000-0005-0000-0000-0000F80F0000}"/>
    <cellStyle name="20% - Accent2 87 3" xfId="4093" xr:uid="{00000000-0005-0000-0000-0000F90F0000}"/>
    <cellStyle name="20% - Accent2 87 3 2" xfId="4094" xr:uid="{00000000-0005-0000-0000-0000FA0F0000}"/>
    <cellStyle name="20% - Accent2 87 3 2 2" xfId="4095" xr:uid="{00000000-0005-0000-0000-0000FB0F0000}"/>
    <cellStyle name="20% - Accent2 87 3 3" xfId="4096" xr:uid="{00000000-0005-0000-0000-0000FC0F0000}"/>
    <cellStyle name="20% - Accent2 87 30" xfId="4097" xr:uid="{00000000-0005-0000-0000-0000FD0F0000}"/>
    <cellStyle name="20% - Accent2 87 30 2" xfId="4098" xr:uid="{00000000-0005-0000-0000-0000FE0F0000}"/>
    <cellStyle name="20% - Accent2 87 30 2 2" xfId="4099" xr:uid="{00000000-0005-0000-0000-0000FF0F0000}"/>
    <cellStyle name="20% - Accent2 87 30 3" xfId="4100" xr:uid="{00000000-0005-0000-0000-000000100000}"/>
    <cellStyle name="20% - Accent2 87 31" xfId="4101" xr:uid="{00000000-0005-0000-0000-000001100000}"/>
    <cellStyle name="20% - Accent2 87 31 2" xfId="4102" xr:uid="{00000000-0005-0000-0000-000002100000}"/>
    <cellStyle name="20% - Accent2 87 31 2 2" xfId="4103" xr:uid="{00000000-0005-0000-0000-000003100000}"/>
    <cellStyle name="20% - Accent2 87 31 3" xfId="4104" xr:uid="{00000000-0005-0000-0000-000004100000}"/>
    <cellStyle name="20% - Accent2 87 32" xfId="4105" xr:uid="{00000000-0005-0000-0000-000005100000}"/>
    <cellStyle name="20% - Accent2 87 32 2" xfId="4106" xr:uid="{00000000-0005-0000-0000-000006100000}"/>
    <cellStyle name="20% - Accent2 87 32 2 2" xfId="4107" xr:uid="{00000000-0005-0000-0000-000007100000}"/>
    <cellStyle name="20% - Accent2 87 32 3" xfId="4108" xr:uid="{00000000-0005-0000-0000-000008100000}"/>
    <cellStyle name="20% - Accent2 87 33" xfId="4109" xr:uid="{00000000-0005-0000-0000-000009100000}"/>
    <cellStyle name="20% - Accent2 87 33 2" xfId="4110" xr:uid="{00000000-0005-0000-0000-00000A100000}"/>
    <cellStyle name="20% - Accent2 87 33 2 2" xfId="4111" xr:uid="{00000000-0005-0000-0000-00000B100000}"/>
    <cellStyle name="20% - Accent2 87 33 3" xfId="4112" xr:uid="{00000000-0005-0000-0000-00000C100000}"/>
    <cellStyle name="20% - Accent2 87 34" xfId="4113" xr:uid="{00000000-0005-0000-0000-00000D100000}"/>
    <cellStyle name="20% - Accent2 87 34 2" xfId="4114" xr:uid="{00000000-0005-0000-0000-00000E100000}"/>
    <cellStyle name="20% - Accent2 87 34 2 2" xfId="4115" xr:uid="{00000000-0005-0000-0000-00000F100000}"/>
    <cellStyle name="20% - Accent2 87 34 3" xfId="4116" xr:uid="{00000000-0005-0000-0000-000010100000}"/>
    <cellStyle name="20% - Accent2 87 35" xfId="4117" xr:uid="{00000000-0005-0000-0000-000011100000}"/>
    <cellStyle name="20% - Accent2 87 35 2" xfId="4118" xr:uid="{00000000-0005-0000-0000-000012100000}"/>
    <cellStyle name="20% - Accent2 87 35 2 2" xfId="4119" xr:uid="{00000000-0005-0000-0000-000013100000}"/>
    <cellStyle name="20% - Accent2 87 35 3" xfId="4120" xr:uid="{00000000-0005-0000-0000-000014100000}"/>
    <cellStyle name="20% - Accent2 87 36" xfId="4121" xr:uid="{00000000-0005-0000-0000-000015100000}"/>
    <cellStyle name="20% - Accent2 87 36 2" xfId="4122" xr:uid="{00000000-0005-0000-0000-000016100000}"/>
    <cellStyle name="20% - Accent2 87 36 2 2" xfId="4123" xr:uid="{00000000-0005-0000-0000-000017100000}"/>
    <cellStyle name="20% - Accent2 87 36 3" xfId="4124" xr:uid="{00000000-0005-0000-0000-000018100000}"/>
    <cellStyle name="20% - Accent2 87 4" xfId="4125" xr:uid="{00000000-0005-0000-0000-000019100000}"/>
    <cellStyle name="20% - Accent2 87 4 2" xfId="4126" xr:uid="{00000000-0005-0000-0000-00001A100000}"/>
    <cellStyle name="20% - Accent2 87 4 2 2" xfId="4127" xr:uid="{00000000-0005-0000-0000-00001B100000}"/>
    <cellStyle name="20% - Accent2 87 4 3" xfId="4128" xr:uid="{00000000-0005-0000-0000-00001C100000}"/>
    <cellStyle name="20% - Accent2 87 5" xfId="4129" xr:uid="{00000000-0005-0000-0000-00001D100000}"/>
    <cellStyle name="20% - Accent2 87 5 2" xfId="4130" xr:uid="{00000000-0005-0000-0000-00001E100000}"/>
    <cellStyle name="20% - Accent2 87 5 2 2" xfId="4131" xr:uid="{00000000-0005-0000-0000-00001F100000}"/>
    <cellStyle name="20% - Accent2 87 5 3" xfId="4132" xr:uid="{00000000-0005-0000-0000-000020100000}"/>
    <cellStyle name="20% - Accent2 87 6" xfId="4133" xr:uid="{00000000-0005-0000-0000-000021100000}"/>
    <cellStyle name="20% - Accent2 87 6 2" xfId="4134" xr:uid="{00000000-0005-0000-0000-000022100000}"/>
    <cellStyle name="20% - Accent2 87 6 2 2" xfId="4135" xr:uid="{00000000-0005-0000-0000-000023100000}"/>
    <cellStyle name="20% - Accent2 87 6 3" xfId="4136" xr:uid="{00000000-0005-0000-0000-000024100000}"/>
    <cellStyle name="20% - Accent2 87 7" xfId="4137" xr:uid="{00000000-0005-0000-0000-000025100000}"/>
    <cellStyle name="20% - Accent2 87 7 2" xfId="4138" xr:uid="{00000000-0005-0000-0000-000026100000}"/>
    <cellStyle name="20% - Accent2 87 7 2 2" xfId="4139" xr:uid="{00000000-0005-0000-0000-000027100000}"/>
    <cellStyle name="20% - Accent2 87 7 3" xfId="4140" xr:uid="{00000000-0005-0000-0000-000028100000}"/>
    <cellStyle name="20% - Accent2 87 8" xfId="4141" xr:uid="{00000000-0005-0000-0000-000029100000}"/>
    <cellStyle name="20% - Accent2 87 8 2" xfId="4142" xr:uid="{00000000-0005-0000-0000-00002A100000}"/>
    <cellStyle name="20% - Accent2 87 8 2 2" xfId="4143" xr:uid="{00000000-0005-0000-0000-00002B100000}"/>
    <cellStyle name="20% - Accent2 87 8 3" xfId="4144" xr:uid="{00000000-0005-0000-0000-00002C100000}"/>
    <cellStyle name="20% - Accent2 87 9" xfId="4145" xr:uid="{00000000-0005-0000-0000-00002D100000}"/>
    <cellStyle name="20% - Accent2 87 9 2" xfId="4146" xr:uid="{00000000-0005-0000-0000-00002E100000}"/>
    <cellStyle name="20% - Accent2 87 9 2 2" xfId="4147" xr:uid="{00000000-0005-0000-0000-00002F100000}"/>
    <cellStyle name="20% - Accent2 87 9 3" xfId="4148" xr:uid="{00000000-0005-0000-0000-000030100000}"/>
    <cellStyle name="20% - Accent2 88" xfId="4149" xr:uid="{00000000-0005-0000-0000-000031100000}"/>
    <cellStyle name="20% - Accent2 88 10" xfId="4150" xr:uid="{00000000-0005-0000-0000-000032100000}"/>
    <cellStyle name="20% - Accent2 88 10 2" xfId="4151" xr:uid="{00000000-0005-0000-0000-000033100000}"/>
    <cellStyle name="20% - Accent2 88 10 2 2" xfId="4152" xr:uid="{00000000-0005-0000-0000-000034100000}"/>
    <cellStyle name="20% - Accent2 88 10 3" xfId="4153" xr:uid="{00000000-0005-0000-0000-000035100000}"/>
    <cellStyle name="20% - Accent2 88 11" xfId="4154" xr:uid="{00000000-0005-0000-0000-000036100000}"/>
    <cellStyle name="20% - Accent2 88 11 2" xfId="4155" xr:uid="{00000000-0005-0000-0000-000037100000}"/>
    <cellStyle name="20% - Accent2 88 11 2 2" xfId="4156" xr:uid="{00000000-0005-0000-0000-000038100000}"/>
    <cellStyle name="20% - Accent2 88 11 3" xfId="4157" xr:uid="{00000000-0005-0000-0000-000039100000}"/>
    <cellStyle name="20% - Accent2 88 12" xfId="4158" xr:uid="{00000000-0005-0000-0000-00003A100000}"/>
    <cellStyle name="20% - Accent2 88 12 2" xfId="4159" xr:uid="{00000000-0005-0000-0000-00003B100000}"/>
    <cellStyle name="20% - Accent2 88 12 2 2" xfId="4160" xr:uid="{00000000-0005-0000-0000-00003C100000}"/>
    <cellStyle name="20% - Accent2 88 12 3" xfId="4161" xr:uid="{00000000-0005-0000-0000-00003D100000}"/>
    <cellStyle name="20% - Accent2 88 13" xfId="4162" xr:uid="{00000000-0005-0000-0000-00003E100000}"/>
    <cellStyle name="20% - Accent2 88 13 2" xfId="4163" xr:uid="{00000000-0005-0000-0000-00003F100000}"/>
    <cellStyle name="20% - Accent2 88 13 2 2" xfId="4164" xr:uid="{00000000-0005-0000-0000-000040100000}"/>
    <cellStyle name="20% - Accent2 88 13 3" xfId="4165" xr:uid="{00000000-0005-0000-0000-000041100000}"/>
    <cellStyle name="20% - Accent2 88 14" xfId="4166" xr:uid="{00000000-0005-0000-0000-000042100000}"/>
    <cellStyle name="20% - Accent2 88 14 2" xfId="4167" xr:uid="{00000000-0005-0000-0000-000043100000}"/>
    <cellStyle name="20% - Accent2 88 14 2 2" xfId="4168" xr:uid="{00000000-0005-0000-0000-000044100000}"/>
    <cellStyle name="20% - Accent2 88 14 3" xfId="4169" xr:uid="{00000000-0005-0000-0000-000045100000}"/>
    <cellStyle name="20% - Accent2 88 15" xfId="4170" xr:uid="{00000000-0005-0000-0000-000046100000}"/>
    <cellStyle name="20% - Accent2 88 15 2" xfId="4171" xr:uid="{00000000-0005-0000-0000-000047100000}"/>
    <cellStyle name="20% - Accent2 88 15 2 2" xfId="4172" xr:uid="{00000000-0005-0000-0000-000048100000}"/>
    <cellStyle name="20% - Accent2 88 15 3" xfId="4173" xr:uid="{00000000-0005-0000-0000-000049100000}"/>
    <cellStyle name="20% - Accent2 88 16" xfId="4174" xr:uid="{00000000-0005-0000-0000-00004A100000}"/>
    <cellStyle name="20% - Accent2 88 16 2" xfId="4175" xr:uid="{00000000-0005-0000-0000-00004B100000}"/>
    <cellStyle name="20% - Accent2 88 16 2 2" xfId="4176" xr:uid="{00000000-0005-0000-0000-00004C100000}"/>
    <cellStyle name="20% - Accent2 88 16 3" xfId="4177" xr:uid="{00000000-0005-0000-0000-00004D100000}"/>
    <cellStyle name="20% - Accent2 88 17" xfId="4178" xr:uid="{00000000-0005-0000-0000-00004E100000}"/>
    <cellStyle name="20% - Accent2 88 17 2" xfId="4179" xr:uid="{00000000-0005-0000-0000-00004F100000}"/>
    <cellStyle name="20% - Accent2 88 17 2 2" xfId="4180" xr:uid="{00000000-0005-0000-0000-000050100000}"/>
    <cellStyle name="20% - Accent2 88 17 3" xfId="4181" xr:uid="{00000000-0005-0000-0000-000051100000}"/>
    <cellStyle name="20% - Accent2 88 18" xfId="4182" xr:uid="{00000000-0005-0000-0000-000052100000}"/>
    <cellStyle name="20% - Accent2 88 18 2" xfId="4183" xr:uid="{00000000-0005-0000-0000-000053100000}"/>
    <cellStyle name="20% - Accent2 88 18 2 2" xfId="4184" xr:uid="{00000000-0005-0000-0000-000054100000}"/>
    <cellStyle name="20% - Accent2 88 18 3" xfId="4185" xr:uid="{00000000-0005-0000-0000-000055100000}"/>
    <cellStyle name="20% - Accent2 88 19" xfId="4186" xr:uid="{00000000-0005-0000-0000-000056100000}"/>
    <cellStyle name="20% - Accent2 88 19 2" xfId="4187" xr:uid="{00000000-0005-0000-0000-000057100000}"/>
    <cellStyle name="20% - Accent2 88 19 2 2" xfId="4188" xr:uid="{00000000-0005-0000-0000-000058100000}"/>
    <cellStyle name="20% - Accent2 88 19 3" xfId="4189" xr:uid="{00000000-0005-0000-0000-000059100000}"/>
    <cellStyle name="20% - Accent2 88 2" xfId="4190" xr:uid="{00000000-0005-0000-0000-00005A100000}"/>
    <cellStyle name="20% - Accent2 88 2 2" xfId="4191" xr:uid="{00000000-0005-0000-0000-00005B100000}"/>
    <cellStyle name="20% - Accent2 88 2 2 2" xfId="4192" xr:uid="{00000000-0005-0000-0000-00005C100000}"/>
    <cellStyle name="20% - Accent2 88 2 3" xfId="4193" xr:uid="{00000000-0005-0000-0000-00005D100000}"/>
    <cellStyle name="20% - Accent2 88 20" xfId="4194" xr:uid="{00000000-0005-0000-0000-00005E100000}"/>
    <cellStyle name="20% - Accent2 88 20 2" xfId="4195" xr:uid="{00000000-0005-0000-0000-00005F100000}"/>
    <cellStyle name="20% - Accent2 88 20 2 2" xfId="4196" xr:uid="{00000000-0005-0000-0000-000060100000}"/>
    <cellStyle name="20% - Accent2 88 20 3" xfId="4197" xr:uid="{00000000-0005-0000-0000-000061100000}"/>
    <cellStyle name="20% - Accent2 88 21" xfId="4198" xr:uid="{00000000-0005-0000-0000-000062100000}"/>
    <cellStyle name="20% - Accent2 88 21 2" xfId="4199" xr:uid="{00000000-0005-0000-0000-000063100000}"/>
    <cellStyle name="20% - Accent2 88 21 2 2" xfId="4200" xr:uid="{00000000-0005-0000-0000-000064100000}"/>
    <cellStyle name="20% - Accent2 88 21 3" xfId="4201" xr:uid="{00000000-0005-0000-0000-000065100000}"/>
    <cellStyle name="20% - Accent2 88 22" xfId="4202" xr:uid="{00000000-0005-0000-0000-000066100000}"/>
    <cellStyle name="20% - Accent2 88 22 2" xfId="4203" xr:uid="{00000000-0005-0000-0000-000067100000}"/>
    <cellStyle name="20% - Accent2 88 22 2 2" xfId="4204" xr:uid="{00000000-0005-0000-0000-000068100000}"/>
    <cellStyle name="20% - Accent2 88 22 3" xfId="4205" xr:uid="{00000000-0005-0000-0000-000069100000}"/>
    <cellStyle name="20% - Accent2 88 23" xfId="4206" xr:uid="{00000000-0005-0000-0000-00006A100000}"/>
    <cellStyle name="20% - Accent2 88 23 2" xfId="4207" xr:uid="{00000000-0005-0000-0000-00006B100000}"/>
    <cellStyle name="20% - Accent2 88 23 2 2" xfId="4208" xr:uid="{00000000-0005-0000-0000-00006C100000}"/>
    <cellStyle name="20% - Accent2 88 23 3" xfId="4209" xr:uid="{00000000-0005-0000-0000-00006D100000}"/>
    <cellStyle name="20% - Accent2 88 24" xfId="4210" xr:uid="{00000000-0005-0000-0000-00006E100000}"/>
    <cellStyle name="20% - Accent2 88 24 2" xfId="4211" xr:uid="{00000000-0005-0000-0000-00006F100000}"/>
    <cellStyle name="20% - Accent2 88 24 2 2" xfId="4212" xr:uid="{00000000-0005-0000-0000-000070100000}"/>
    <cellStyle name="20% - Accent2 88 24 3" xfId="4213" xr:uid="{00000000-0005-0000-0000-000071100000}"/>
    <cellStyle name="20% - Accent2 88 25" xfId="4214" xr:uid="{00000000-0005-0000-0000-000072100000}"/>
    <cellStyle name="20% - Accent2 88 25 2" xfId="4215" xr:uid="{00000000-0005-0000-0000-000073100000}"/>
    <cellStyle name="20% - Accent2 88 25 2 2" xfId="4216" xr:uid="{00000000-0005-0000-0000-000074100000}"/>
    <cellStyle name="20% - Accent2 88 25 3" xfId="4217" xr:uid="{00000000-0005-0000-0000-000075100000}"/>
    <cellStyle name="20% - Accent2 88 26" xfId="4218" xr:uid="{00000000-0005-0000-0000-000076100000}"/>
    <cellStyle name="20% - Accent2 88 26 2" xfId="4219" xr:uid="{00000000-0005-0000-0000-000077100000}"/>
    <cellStyle name="20% - Accent2 88 26 2 2" xfId="4220" xr:uid="{00000000-0005-0000-0000-000078100000}"/>
    <cellStyle name="20% - Accent2 88 26 3" xfId="4221" xr:uid="{00000000-0005-0000-0000-000079100000}"/>
    <cellStyle name="20% - Accent2 88 27" xfId="4222" xr:uid="{00000000-0005-0000-0000-00007A100000}"/>
    <cellStyle name="20% - Accent2 88 27 2" xfId="4223" xr:uid="{00000000-0005-0000-0000-00007B100000}"/>
    <cellStyle name="20% - Accent2 88 27 2 2" xfId="4224" xr:uid="{00000000-0005-0000-0000-00007C100000}"/>
    <cellStyle name="20% - Accent2 88 27 3" xfId="4225" xr:uid="{00000000-0005-0000-0000-00007D100000}"/>
    <cellStyle name="20% - Accent2 88 28" xfId="4226" xr:uid="{00000000-0005-0000-0000-00007E100000}"/>
    <cellStyle name="20% - Accent2 88 28 2" xfId="4227" xr:uid="{00000000-0005-0000-0000-00007F100000}"/>
    <cellStyle name="20% - Accent2 88 28 2 2" xfId="4228" xr:uid="{00000000-0005-0000-0000-000080100000}"/>
    <cellStyle name="20% - Accent2 88 28 3" xfId="4229" xr:uid="{00000000-0005-0000-0000-000081100000}"/>
    <cellStyle name="20% - Accent2 88 29" xfId="4230" xr:uid="{00000000-0005-0000-0000-000082100000}"/>
    <cellStyle name="20% - Accent2 88 29 2" xfId="4231" xr:uid="{00000000-0005-0000-0000-000083100000}"/>
    <cellStyle name="20% - Accent2 88 29 2 2" xfId="4232" xr:uid="{00000000-0005-0000-0000-000084100000}"/>
    <cellStyle name="20% - Accent2 88 29 3" xfId="4233" xr:uid="{00000000-0005-0000-0000-000085100000}"/>
    <cellStyle name="20% - Accent2 88 3" xfId="4234" xr:uid="{00000000-0005-0000-0000-000086100000}"/>
    <cellStyle name="20% - Accent2 88 3 2" xfId="4235" xr:uid="{00000000-0005-0000-0000-000087100000}"/>
    <cellStyle name="20% - Accent2 88 3 2 2" xfId="4236" xr:uid="{00000000-0005-0000-0000-000088100000}"/>
    <cellStyle name="20% - Accent2 88 3 3" xfId="4237" xr:uid="{00000000-0005-0000-0000-000089100000}"/>
    <cellStyle name="20% - Accent2 88 30" xfId="4238" xr:uid="{00000000-0005-0000-0000-00008A100000}"/>
    <cellStyle name="20% - Accent2 88 30 2" xfId="4239" xr:uid="{00000000-0005-0000-0000-00008B100000}"/>
    <cellStyle name="20% - Accent2 88 30 2 2" xfId="4240" xr:uid="{00000000-0005-0000-0000-00008C100000}"/>
    <cellStyle name="20% - Accent2 88 30 3" xfId="4241" xr:uid="{00000000-0005-0000-0000-00008D100000}"/>
    <cellStyle name="20% - Accent2 88 31" xfId="4242" xr:uid="{00000000-0005-0000-0000-00008E100000}"/>
    <cellStyle name="20% - Accent2 88 31 2" xfId="4243" xr:uid="{00000000-0005-0000-0000-00008F100000}"/>
    <cellStyle name="20% - Accent2 88 31 2 2" xfId="4244" xr:uid="{00000000-0005-0000-0000-000090100000}"/>
    <cellStyle name="20% - Accent2 88 31 3" xfId="4245" xr:uid="{00000000-0005-0000-0000-000091100000}"/>
    <cellStyle name="20% - Accent2 88 32" xfId="4246" xr:uid="{00000000-0005-0000-0000-000092100000}"/>
    <cellStyle name="20% - Accent2 88 32 2" xfId="4247" xr:uid="{00000000-0005-0000-0000-000093100000}"/>
    <cellStyle name="20% - Accent2 88 32 2 2" xfId="4248" xr:uid="{00000000-0005-0000-0000-000094100000}"/>
    <cellStyle name="20% - Accent2 88 32 3" xfId="4249" xr:uid="{00000000-0005-0000-0000-000095100000}"/>
    <cellStyle name="20% - Accent2 88 33" xfId="4250" xr:uid="{00000000-0005-0000-0000-000096100000}"/>
    <cellStyle name="20% - Accent2 88 33 2" xfId="4251" xr:uid="{00000000-0005-0000-0000-000097100000}"/>
    <cellStyle name="20% - Accent2 88 33 2 2" xfId="4252" xr:uid="{00000000-0005-0000-0000-000098100000}"/>
    <cellStyle name="20% - Accent2 88 33 3" xfId="4253" xr:uid="{00000000-0005-0000-0000-000099100000}"/>
    <cellStyle name="20% - Accent2 88 34" xfId="4254" xr:uid="{00000000-0005-0000-0000-00009A100000}"/>
    <cellStyle name="20% - Accent2 88 34 2" xfId="4255" xr:uid="{00000000-0005-0000-0000-00009B100000}"/>
    <cellStyle name="20% - Accent2 88 34 2 2" xfId="4256" xr:uid="{00000000-0005-0000-0000-00009C100000}"/>
    <cellStyle name="20% - Accent2 88 34 3" xfId="4257" xr:uid="{00000000-0005-0000-0000-00009D100000}"/>
    <cellStyle name="20% - Accent2 88 35" xfId="4258" xr:uid="{00000000-0005-0000-0000-00009E100000}"/>
    <cellStyle name="20% - Accent2 88 35 2" xfId="4259" xr:uid="{00000000-0005-0000-0000-00009F100000}"/>
    <cellStyle name="20% - Accent2 88 35 2 2" xfId="4260" xr:uid="{00000000-0005-0000-0000-0000A0100000}"/>
    <cellStyle name="20% - Accent2 88 35 3" xfId="4261" xr:uid="{00000000-0005-0000-0000-0000A1100000}"/>
    <cellStyle name="20% - Accent2 88 36" xfId="4262" xr:uid="{00000000-0005-0000-0000-0000A2100000}"/>
    <cellStyle name="20% - Accent2 88 36 2" xfId="4263" xr:uid="{00000000-0005-0000-0000-0000A3100000}"/>
    <cellStyle name="20% - Accent2 88 36 2 2" xfId="4264" xr:uid="{00000000-0005-0000-0000-0000A4100000}"/>
    <cellStyle name="20% - Accent2 88 36 3" xfId="4265" xr:uid="{00000000-0005-0000-0000-0000A5100000}"/>
    <cellStyle name="20% - Accent2 88 37" xfId="4266" xr:uid="{00000000-0005-0000-0000-0000A6100000}"/>
    <cellStyle name="20% - Accent2 88 37 2" xfId="4267" xr:uid="{00000000-0005-0000-0000-0000A7100000}"/>
    <cellStyle name="20% - Accent2 88 38" xfId="4268" xr:uid="{00000000-0005-0000-0000-0000A8100000}"/>
    <cellStyle name="20% - Accent2 88 4" xfId="4269" xr:uid="{00000000-0005-0000-0000-0000A9100000}"/>
    <cellStyle name="20% - Accent2 88 4 2" xfId="4270" xr:uid="{00000000-0005-0000-0000-0000AA100000}"/>
    <cellStyle name="20% - Accent2 88 4 2 2" xfId="4271" xr:uid="{00000000-0005-0000-0000-0000AB100000}"/>
    <cellStyle name="20% - Accent2 88 4 3" xfId="4272" xr:uid="{00000000-0005-0000-0000-0000AC100000}"/>
    <cellStyle name="20% - Accent2 88 5" xfId="4273" xr:uid="{00000000-0005-0000-0000-0000AD100000}"/>
    <cellStyle name="20% - Accent2 88 5 2" xfId="4274" xr:uid="{00000000-0005-0000-0000-0000AE100000}"/>
    <cellStyle name="20% - Accent2 88 5 2 2" xfId="4275" xr:uid="{00000000-0005-0000-0000-0000AF100000}"/>
    <cellStyle name="20% - Accent2 88 5 3" xfId="4276" xr:uid="{00000000-0005-0000-0000-0000B0100000}"/>
    <cellStyle name="20% - Accent2 88 6" xfId="4277" xr:uid="{00000000-0005-0000-0000-0000B1100000}"/>
    <cellStyle name="20% - Accent2 88 6 2" xfId="4278" xr:uid="{00000000-0005-0000-0000-0000B2100000}"/>
    <cellStyle name="20% - Accent2 88 6 2 2" xfId="4279" xr:uid="{00000000-0005-0000-0000-0000B3100000}"/>
    <cellStyle name="20% - Accent2 88 6 3" xfId="4280" xr:uid="{00000000-0005-0000-0000-0000B4100000}"/>
    <cellStyle name="20% - Accent2 88 7" xfId="4281" xr:uid="{00000000-0005-0000-0000-0000B5100000}"/>
    <cellStyle name="20% - Accent2 88 7 2" xfId="4282" xr:uid="{00000000-0005-0000-0000-0000B6100000}"/>
    <cellStyle name="20% - Accent2 88 7 2 2" xfId="4283" xr:uid="{00000000-0005-0000-0000-0000B7100000}"/>
    <cellStyle name="20% - Accent2 88 7 3" xfId="4284" xr:uid="{00000000-0005-0000-0000-0000B8100000}"/>
    <cellStyle name="20% - Accent2 88 8" xfId="4285" xr:uid="{00000000-0005-0000-0000-0000B9100000}"/>
    <cellStyle name="20% - Accent2 88 8 2" xfId="4286" xr:uid="{00000000-0005-0000-0000-0000BA100000}"/>
    <cellStyle name="20% - Accent2 88 8 2 2" xfId="4287" xr:uid="{00000000-0005-0000-0000-0000BB100000}"/>
    <cellStyle name="20% - Accent2 88 8 3" xfId="4288" xr:uid="{00000000-0005-0000-0000-0000BC100000}"/>
    <cellStyle name="20% - Accent2 88 9" xfId="4289" xr:uid="{00000000-0005-0000-0000-0000BD100000}"/>
    <cellStyle name="20% - Accent2 88 9 2" xfId="4290" xr:uid="{00000000-0005-0000-0000-0000BE100000}"/>
    <cellStyle name="20% - Accent2 88 9 2 2" xfId="4291" xr:uid="{00000000-0005-0000-0000-0000BF100000}"/>
    <cellStyle name="20% - Accent2 88 9 3" xfId="4292" xr:uid="{00000000-0005-0000-0000-0000C0100000}"/>
    <cellStyle name="20% - Accent2 89" xfId="4293" xr:uid="{00000000-0005-0000-0000-0000C1100000}"/>
    <cellStyle name="20% - Accent2 89 2" xfId="4294" xr:uid="{00000000-0005-0000-0000-0000C2100000}"/>
    <cellStyle name="20% - Accent2 9" xfId="4295" xr:uid="{00000000-0005-0000-0000-0000C3100000}"/>
    <cellStyle name="20% - Accent2 9 2" xfId="4296" xr:uid="{00000000-0005-0000-0000-0000C4100000}"/>
    <cellStyle name="20% - Accent2 9 2 2" xfId="4297" xr:uid="{00000000-0005-0000-0000-0000C5100000}"/>
    <cellStyle name="20% - Accent2 9 3" xfId="4298" xr:uid="{00000000-0005-0000-0000-0000C6100000}"/>
    <cellStyle name="20% - Accent2 9 4" xfId="4299" xr:uid="{00000000-0005-0000-0000-0000C7100000}"/>
    <cellStyle name="20% - Accent2 90" xfId="4300" xr:uid="{00000000-0005-0000-0000-0000C8100000}"/>
    <cellStyle name="20% - Accent2 90 2" xfId="4301" xr:uid="{00000000-0005-0000-0000-0000C9100000}"/>
    <cellStyle name="20% - Accent2 91" xfId="4302" xr:uid="{00000000-0005-0000-0000-0000CA100000}"/>
    <cellStyle name="20% - Accent2 91 2" xfId="4303" xr:uid="{00000000-0005-0000-0000-0000CB100000}"/>
    <cellStyle name="20% - Accent2 92" xfId="4304" xr:uid="{00000000-0005-0000-0000-0000CC100000}"/>
    <cellStyle name="20% - Accent2 92 2" xfId="4305" xr:uid="{00000000-0005-0000-0000-0000CD100000}"/>
    <cellStyle name="20% - Accent2 93" xfId="4306" xr:uid="{00000000-0005-0000-0000-0000CE100000}"/>
    <cellStyle name="20% - Accent2 93 2" xfId="4307" xr:uid="{00000000-0005-0000-0000-0000CF100000}"/>
    <cellStyle name="20% - Accent2 93 2 2" xfId="4308" xr:uid="{00000000-0005-0000-0000-0000D0100000}"/>
    <cellStyle name="20% - Accent2 93 2 2 2" xfId="4309" xr:uid="{00000000-0005-0000-0000-0000D1100000}"/>
    <cellStyle name="20% - Accent2 93 2 3" xfId="4310" xr:uid="{00000000-0005-0000-0000-0000D2100000}"/>
    <cellStyle name="20% - Accent2 93 3" xfId="4311" xr:uid="{00000000-0005-0000-0000-0000D3100000}"/>
    <cellStyle name="20% - Accent2 93 3 2" xfId="4312" xr:uid="{00000000-0005-0000-0000-0000D4100000}"/>
    <cellStyle name="20% - Accent2 93 4" xfId="4313" xr:uid="{00000000-0005-0000-0000-0000D5100000}"/>
    <cellStyle name="20% - Accent2 94" xfId="4314" xr:uid="{00000000-0005-0000-0000-0000D6100000}"/>
    <cellStyle name="20% - Accent2 94 2" xfId="4315" xr:uid="{00000000-0005-0000-0000-0000D7100000}"/>
    <cellStyle name="20% - Accent2 94 2 2" xfId="4316" xr:uid="{00000000-0005-0000-0000-0000D8100000}"/>
    <cellStyle name="20% - Accent2 94 2 2 2" xfId="4317" xr:uid="{00000000-0005-0000-0000-0000D9100000}"/>
    <cellStyle name="20% - Accent2 94 2 3" xfId="4318" xr:uid="{00000000-0005-0000-0000-0000DA100000}"/>
    <cellStyle name="20% - Accent2 94 3" xfId="4319" xr:uid="{00000000-0005-0000-0000-0000DB100000}"/>
    <cellStyle name="20% - Accent2 94 3 2" xfId="4320" xr:uid="{00000000-0005-0000-0000-0000DC100000}"/>
    <cellStyle name="20% - Accent2 94 4" xfId="4321" xr:uid="{00000000-0005-0000-0000-0000DD100000}"/>
    <cellStyle name="20% - Accent2 95" xfId="4322" xr:uid="{00000000-0005-0000-0000-0000DE100000}"/>
    <cellStyle name="20% - Accent2 95 2" xfId="4323" xr:uid="{00000000-0005-0000-0000-0000DF100000}"/>
    <cellStyle name="20% - Accent2 95 2 2" xfId="4324" xr:uid="{00000000-0005-0000-0000-0000E0100000}"/>
    <cellStyle name="20% - Accent2 95 3" xfId="4325" xr:uid="{00000000-0005-0000-0000-0000E1100000}"/>
    <cellStyle name="20% - Accent2 96" xfId="4326" xr:uid="{00000000-0005-0000-0000-0000E2100000}"/>
    <cellStyle name="20% - Accent2 96 2" xfId="4327" xr:uid="{00000000-0005-0000-0000-0000E3100000}"/>
    <cellStyle name="20% - Accent2 96 2 2" xfId="4328" xr:uid="{00000000-0005-0000-0000-0000E4100000}"/>
    <cellStyle name="20% - Accent2 96 3" xfId="4329" xr:uid="{00000000-0005-0000-0000-0000E5100000}"/>
    <cellStyle name="20% - Accent2 97" xfId="4330" xr:uid="{00000000-0005-0000-0000-0000E6100000}"/>
    <cellStyle name="20% - Accent2 97 2" xfId="4331" xr:uid="{00000000-0005-0000-0000-0000E7100000}"/>
    <cellStyle name="20% - Accent2 97 2 2" xfId="4332" xr:uid="{00000000-0005-0000-0000-0000E8100000}"/>
    <cellStyle name="20% - Accent2 97 3" xfId="4333" xr:uid="{00000000-0005-0000-0000-0000E9100000}"/>
    <cellStyle name="20% - Accent2 98" xfId="4334" xr:uid="{00000000-0005-0000-0000-0000EA100000}"/>
    <cellStyle name="20% - Accent2 98 2" xfId="4335" xr:uid="{00000000-0005-0000-0000-0000EB100000}"/>
    <cellStyle name="20% - Accent2 98 2 2" xfId="4336" xr:uid="{00000000-0005-0000-0000-0000EC100000}"/>
    <cellStyle name="20% - Accent2 98 3" xfId="4337" xr:uid="{00000000-0005-0000-0000-0000ED100000}"/>
    <cellStyle name="20% - Accent2 99" xfId="4338" xr:uid="{00000000-0005-0000-0000-0000EE100000}"/>
    <cellStyle name="20% - Accent3" xfId="41026" builtinId="38" customBuiltin="1"/>
    <cellStyle name="20% - Accent3 10" xfId="4339" xr:uid="{00000000-0005-0000-0000-0000F0100000}"/>
    <cellStyle name="20% - Accent3 10 2" xfId="4340" xr:uid="{00000000-0005-0000-0000-0000F1100000}"/>
    <cellStyle name="20% - Accent3 10 2 2" xfId="4341" xr:uid="{00000000-0005-0000-0000-0000F2100000}"/>
    <cellStyle name="20% - Accent3 10 3" xfId="4342" xr:uid="{00000000-0005-0000-0000-0000F3100000}"/>
    <cellStyle name="20% - Accent3 100" xfId="4343" xr:uid="{00000000-0005-0000-0000-0000F4100000}"/>
    <cellStyle name="20% - Accent3 100 2" xfId="4344" xr:uid="{00000000-0005-0000-0000-0000F5100000}"/>
    <cellStyle name="20% - Accent3 100 2 2" xfId="4345" xr:uid="{00000000-0005-0000-0000-0000F6100000}"/>
    <cellStyle name="20% - Accent3 100 3" xfId="4346" xr:uid="{00000000-0005-0000-0000-0000F7100000}"/>
    <cellStyle name="20% - Accent3 101" xfId="4347" xr:uid="{00000000-0005-0000-0000-0000F8100000}"/>
    <cellStyle name="20% - Accent3 102" xfId="4348" xr:uid="{00000000-0005-0000-0000-0000F9100000}"/>
    <cellStyle name="20% - Accent3 102 2" xfId="4349" xr:uid="{00000000-0005-0000-0000-0000FA100000}"/>
    <cellStyle name="20% - Accent3 102 2 2" xfId="4350" xr:uid="{00000000-0005-0000-0000-0000FB100000}"/>
    <cellStyle name="20% - Accent3 102 3" xfId="4351" xr:uid="{00000000-0005-0000-0000-0000FC100000}"/>
    <cellStyle name="20% - Accent3 103" xfId="4352" xr:uid="{00000000-0005-0000-0000-0000FD100000}"/>
    <cellStyle name="20% - Accent3 104" xfId="4353" xr:uid="{00000000-0005-0000-0000-0000FE100000}"/>
    <cellStyle name="20% - Accent3 104 2" xfId="4354" xr:uid="{00000000-0005-0000-0000-0000FF100000}"/>
    <cellStyle name="20% - Accent3 104 2 2" xfId="4355" xr:uid="{00000000-0005-0000-0000-000000110000}"/>
    <cellStyle name="20% - Accent3 104 3" xfId="4356" xr:uid="{00000000-0005-0000-0000-000001110000}"/>
    <cellStyle name="20% - Accent3 105" xfId="4357" xr:uid="{00000000-0005-0000-0000-000002110000}"/>
    <cellStyle name="20% - Accent3 105 2" xfId="4358" xr:uid="{00000000-0005-0000-0000-000003110000}"/>
    <cellStyle name="20% - Accent3 105 2 2" xfId="4359" xr:uid="{00000000-0005-0000-0000-000004110000}"/>
    <cellStyle name="20% - Accent3 105 3" xfId="4360" xr:uid="{00000000-0005-0000-0000-000005110000}"/>
    <cellStyle name="20% - Accent3 106" xfId="4361" xr:uid="{00000000-0005-0000-0000-000006110000}"/>
    <cellStyle name="20% - Accent3 107" xfId="4362" xr:uid="{00000000-0005-0000-0000-000007110000}"/>
    <cellStyle name="20% - Accent3 108" xfId="4363" xr:uid="{00000000-0005-0000-0000-000008110000}"/>
    <cellStyle name="20% - Accent3 109" xfId="4364" xr:uid="{00000000-0005-0000-0000-000009110000}"/>
    <cellStyle name="20% - Accent3 11" xfId="4365" xr:uid="{00000000-0005-0000-0000-00000A110000}"/>
    <cellStyle name="20% - Accent3 11 2" xfId="4366" xr:uid="{00000000-0005-0000-0000-00000B110000}"/>
    <cellStyle name="20% - Accent3 11 2 2" xfId="4367" xr:uid="{00000000-0005-0000-0000-00000C110000}"/>
    <cellStyle name="20% - Accent3 11 3" xfId="4368" xr:uid="{00000000-0005-0000-0000-00000D110000}"/>
    <cellStyle name="20% - Accent3 110" xfId="4369" xr:uid="{00000000-0005-0000-0000-00000E110000}"/>
    <cellStyle name="20% - Accent3 110 2" xfId="4370" xr:uid="{00000000-0005-0000-0000-00000F110000}"/>
    <cellStyle name="20% - Accent3 110 2 2" xfId="4371" xr:uid="{00000000-0005-0000-0000-000010110000}"/>
    <cellStyle name="20% - Accent3 110 3" xfId="4372" xr:uid="{00000000-0005-0000-0000-000011110000}"/>
    <cellStyle name="20% - Accent3 111" xfId="4373" xr:uid="{00000000-0005-0000-0000-000012110000}"/>
    <cellStyle name="20% - Accent3 111 2" xfId="4374" xr:uid="{00000000-0005-0000-0000-000013110000}"/>
    <cellStyle name="20% - Accent3 111 2 2" xfId="4375" xr:uid="{00000000-0005-0000-0000-000014110000}"/>
    <cellStyle name="20% - Accent3 111 3" xfId="4376" xr:uid="{00000000-0005-0000-0000-000015110000}"/>
    <cellStyle name="20% - Accent3 112" xfId="4377" xr:uid="{00000000-0005-0000-0000-000016110000}"/>
    <cellStyle name="20% - Accent3 112 2" xfId="4378" xr:uid="{00000000-0005-0000-0000-000017110000}"/>
    <cellStyle name="20% - Accent3 112 2 2" xfId="4379" xr:uid="{00000000-0005-0000-0000-000018110000}"/>
    <cellStyle name="20% - Accent3 112 3" xfId="4380" xr:uid="{00000000-0005-0000-0000-000019110000}"/>
    <cellStyle name="20% - Accent3 113" xfId="4381" xr:uid="{00000000-0005-0000-0000-00001A110000}"/>
    <cellStyle name="20% - Accent3 114" xfId="4382" xr:uid="{00000000-0005-0000-0000-00001B110000}"/>
    <cellStyle name="20% - Accent3 115" xfId="4383" xr:uid="{00000000-0005-0000-0000-00001C110000}"/>
    <cellStyle name="20% - Accent3 116" xfId="4384" xr:uid="{00000000-0005-0000-0000-00001D110000}"/>
    <cellStyle name="20% - Accent3 117" xfId="4385" xr:uid="{00000000-0005-0000-0000-00001E110000}"/>
    <cellStyle name="20% - Accent3 117 2" xfId="4386" xr:uid="{00000000-0005-0000-0000-00001F110000}"/>
    <cellStyle name="20% - Accent3 117 2 2" xfId="4387" xr:uid="{00000000-0005-0000-0000-000020110000}"/>
    <cellStyle name="20% - Accent3 117 3" xfId="4388" xr:uid="{00000000-0005-0000-0000-000021110000}"/>
    <cellStyle name="20% - Accent3 118" xfId="4389" xr:uid="{00000000-0005-0000-0000-000022110000}"/>
    <cellStyle name="20% - Accent3 118 2" xfId="4390" xr:uid="{00000000-0005-0000-0000-000023110000}"/>
    <cellStyle name="20% - Accent3 118 2 2" xfId="4391" xr:uid="{00000000-0005-0000-0000-000024110000}"/>
    <cellStyle name="20% - Accent3 118 3" xfId="4392" xr:uid="{00000000-0005-0000-0000-000025110000}"/>
    <cellStyle name="20% - Accent3 119" xfId="4393" xr:uid="{00000000-0005-0000-0000-000026110000}"/>
    <cellStyle name="20% - Accent3 119 2" xfId="4394" xr:uid="{00000000-0005-0000-0000-000027110000}"/>
    <cellStyle name="20% - Accent3 119 2 2" xfId="4395" xr:uid="{00000000-0005-0000-0000-000028110000}"/>
    <cellStyle name="20% - Accent3 119 3" xfId="4396" xr:uid="{00000000-0005-0000-0000-000029110000}"/>
    <cellStyle name="20% - Accent3 12" xfId="4397" xr:uid="{00000000-0005-0000-0000-00002A110000}"/>
    <cellStyle name="20% - Accent3 12 2" xfId="4398" xr:uid="{00000000-0005-0000-0000-00002B110000}"/>
    <cellStyle name="20% - Accent3 12 2 2" xfId="4399" xr:uid="{00000000-0005-0000-0000-00002C110000}"/>
    <cellStyle name="20% - Accent3 12 3" xfId="4400" xr:uid="{00000000-0005-0000-0000-00002D110000}"/>
    <cellStyle name="20% - Accent3 120" xfId="4401" xr:uid="{00000000-0005-0000-0000-00002E110000}"/>
    <cellStyle name="20% - Accent3 120 2" xfId="4402" xr:uid="{00000000-0005-0000-0000-00002F110000}"/>
    <cellStyle name="20% - Accent3 120 2 2" xfId="4403" xr:uid="{00000000-0005-0000-0000-000030110000}"/>
    <cellStyle name="20% - Accent3 120 3" xfId="4404" xr:uid="{00000000-0005-0000-0000-000031110000}"/>
    <cellStyle name="20% - Accent3 121" xfId="4405" xr:uid="{00000000-0005-0000-0000-000032110000}"/>
    <cellStyle name="20% - Accent3 121 2" xfId="4406" xr:uid="{00000000-0005-0000-0000-000033110000}"/>
    <cellStyle name="20% - Accent3 121 2 2" xfId="4407" xr:uid="{00000000-0005-0000-0000-000034110000}"/>
    <cellStyle name="20% - Accent3 121 3" xfId="4408" xr:uid="{00000000-0005-0000-0000-000035110000}"/>
    <cellStyle name="20% - Accent3 122" xfId="4409" xr:uid="{00000000-0005-0000-0000-000036110000}"/>
    <cellStyle name="20% - Accent3 122 2" xfId="4410" xr:uid="{00000000-0005-0000-0000-000037110000}"/>
    <cellStyle name="20% - Accent3 122 2 2" xfId="4411" xr:uid="{00000000-0005-0000-0000-000038110000}"/>
    <cellStyle name="20% - Accent3 122 3" xfId="4412" xr:uid="{00000000-0005-0000-0000-000039110000}"/>
    <cellStyle name="20% - Accent3 123" xfId="4413" xr:uid="{00000000-0005-0000-0000-00003A110000}"/>
    <cellStyle name="20% - Accent3 123 2" xfId="4414" xr:uid="{00000000-0005-0000-0000-00003B110000}"/>
    <cellStyle name="20% - Accent3 123 2 2" xfId="4415" xr:uid="{00000000-0005-0000-0000-00003C110000}"/>
    <cellStyle name="20% - Accent3 123 3" xfId="4416" xr:uid="{00000000-0005-0000-0000-00003D110000}"/>
    <cellStyle name="20% - Accent3 124" xfId="4417" xr:uid="{00000000-0005-0000-0000-00003E110000}"/>
    <cellStyle name="20% - Accent3 125" xfId="4418" xr:uid="{00000000-0005-0000-0000-00003F110000}"/>
    <cellStyle name="20% - Accent3 125 2" xfId="4419" xr:uid="{00000000-0005-0000-0000-000040110000}"/>
    <cellStyle name="20% - Accent3 125 2 2" xfId="4420" xr:uid="{00000000-0005-0000-0000-000041110000}"/>
    <cellStyle name="20% - Accent3 125 3" xfId="4421" xr:uid="{00000000-0005-0000-0000-000042110000}"/>
    <cellStyle name="20% - Accent3 126" xfId="4422" xr:uid="{00000000-0005-0000-0000-000043110000}"/>
    <cellStyle name="20% - Accent3 126 2" xfId="4423" xr:uid="{00000000-0005-0000-0000-000044110000}"/>
    <cellStyle name="20% - Accent3 126 2 2" xfId="4424" xr:uid="{00000000-0005-0000-0000-000045110000}"/>
    <cellStyle name="20% - Accent3 126 3" xfId="4425" xr:uid="{00000000-0005-0000-0000-000046110000}"/>
    <cellStyle name="20% - Accent3 127" xfId="4426" xr:uid="{00000000-0005-0000-0000-000047110000}"/>
    <cellStyle name="20% - Accent3 127 2" xfId="4427" xr:uid="{00000000-0005-0000-0000-000048110000}"/>
    <cellStyle name="20% - Accent3 127 2 2" xfId="4428" xr:uid="{00000000-0005-0000-0000-000049110000}"/>
    <cellStyle name="20% - Accent3 127 3" xfId="4429" xr:uid="{00000000-0005-0000-0000-00004A110000}"/>
    <cellStyle name="20% - Accent3 128" xfId="4430" xr:uid="{00000000-0005-0000-0000-00004B110000}"/>
    <cellStyle name="20% - Accent3 128 2" xfId="4431" xr:uid="{00000000-0005-0000-0000-00004C110000}"/>
    <cellStyle name="20% - Accent3 128 2 2" xfId="4432" xr:uid="{00000000-0005-0000-0000-00004D110000}"/>
    <cellStyle name="20% - Accent3 128 3" xfId="4433" xr:uid="{00000000-0005-0000-0000-00004E110000}"/>
    <cellStyle name="20% - Accent3 129" xfId="4434" xr:uid="{00000000-0005-0000-0000-00004F110000}"/>
    <cellStyle name="20% - Accent3 129 2" xfId="4435" xr:uid="{00000000-0005-0000-0000-000050110000}"/>
    <cellStyle name="20% - Accent3 129 2 2" xfId="4436" xr:uid="{00000000-0005-0000-0000-000051110000}"/>
    <cellStyle name="20% - Accent3 129 3" xfId="4437" xr:uid="{00000000-0005-0000-0000-000052110000}"/>
    <cellStyle name="20% - Accent3 13" xfId="4438" xr:uid="{00000000-0005-0000-0000-000053110000}"/>
    <cellStyle name="20% - Accent3 13 2" xfId="4439" xr:uid="{00000000-0005-0000-0000-000054110000}"/>
    <cellStyle name="20% - Accent3 13 2 2" xfId="4440" xr:uid="{00000000-0005-0000-0000-000055110000}"/>
    <cellStyle name="20% - Accent3 13 3" xfId="4441" xr:uid="{00000000-0005-0000-0000-000056110000}"/>
    <cellStyle name="20% - Accent3 130" xfId="4442" xr:uid="{00000000-0005-0000-0000-000057110000}"/>
    <cellStyle name="20% - Accent3 130 2" xfId="4443" xr:uid="{00000000-0005-0000-0000-000058110000}"/>
    <cellStyle name="20% - Accent3 130 2 2" xfId="4444" xr:uid="{00000000-0005-0000-0000-000059110000}"/>
    <cellStyle name="20% - Accent3 130 3" xfId="4445" xr:uid="{00000000-0005-0000-0000-00005A110000}"/>
    <cellStyle name="20% - Accent3 131" xfId="4446" xr:uid="{00000000-0005-0000-0000-00005B110000}"/>
    <cellStyle name="20% - Accent3 131 2" xfId="4447" xr:uid="{00000000-0005-0000-0000-00005C110000}"/>
    <cellStyle name="20% - Accent3 131 2 2" xfId="4448" xr:uid="{00000000-0005-0000-0000-00005D110000}"/>
    <cellStyle name="20% - Accent3 131 3" xfId="4449" xr:uid="{00000000-0005-0000-0000-00005E110000}"/>
    <cellStyle name="20% - Accent3 132" xfId="4450" xr:uid="{00000000-0005-0000-0000-00005F110000}"/>
    <cellStyle name="20% - Accent3 132 2" xfId="4451" xr:uid="{00000000-0005-0000-0000-000060110000}"/>
    <cellStyle name="20% - Accent3 132 2 2" xfId="4452" xr:uid="{00000000-0005-0000-0000-000061110000}"/>
    <cellStyle name="20% - Accent3 132 3" xfId="4453" xr:uid="{00000000-0005-0000-0000-000062110000}"/>
    <cellStyle name="20% - Accent3 133" xfId="4454" xr:uid="{00000000-0005-0000-0000-000063110000}"/>
    <cellStyle name="20% - Accent3 133 2" xfId="4455" xr:uid="{00000000-0005-0000-0000-000064110000}"/>
    <cellStyle name="20% - Accent3 133 2 2" xfId="4456" xr:uid="{00000000-0005-0000-0000-000065110000}"/>
    <cellStyle name="20% - Accent3 133 3" xfId="4457" xr:uid="{00000000-0005-0000-0000-000066110000}"/>
    <cellStyle name="20% - Accent3 134" xfId="4458" xr:uid="{00000000-0005-0000-0000-000067110000}"/>
    <cellStyle name="20% - Accent3 134 2" xfId="4459" xr:uid="{00000000-0005-0000-0000-000068110000}"/>
    <cellStyle name="20% - Accent3 135" xfId="4460" xr:uid="{00000000-0005-0000-0000-000069110000}"/>
    <cellStyle name="20% - Accent3 135 2" xfId="4461" xr:uid="{00000000-0005-0000-0000-00006A110000}"/>
    <cellStyle name="20% - Accent3 136" xfId="4462" xr:uid="{00000000-0005-0000-0000-00006B110000}"/>
    <cellStyle name="20% - Accent3 136 2" xfId="4463" xr:uid="{00000000-0005-0000-0000-00006C110000}"/>
    <cellStyle name="20% - Accent3 137" xfId="4464" xr:uid="{00000000-0005-0000-0000-00006D110000}"/>
    <cellStyle name="20% - Accent3 14" xfId="4465" xr:uid="{00000000-0005-0000-0000-00006E110000}"/>
    <cellStyle name="20% - Accent3 14 2" xfId="4466" xr:uid="{00000000-0005-0000-0000-00006F110000}"/>
    <cellStyle name="20% - Accent3 14 2 2" xfId="4467" xr:uid="{00000000-0005-0000-0000-000070110000}"/>
    <cellStyle name="20% - Accent3 14 3" xfId="4468" xr:uid="{00000000-0005-0000-0000-000071110000}"/>
    <cellStyle name="20% - Accent3 15" xfId="4469" xr:uid="{00000000-0005-0000-0000-000072110000}"/>
    <cellStyle name="20% - Accent3 15 2" xfId="4470" xr:uid="{00000000-0005-0000-0000-000073110000}"/>
    <cellStyle name="20% - Accent3 15 2 2" xfId="4471" xr:uid="{00000000-0005-0000-0000-000074110000}"/>
    <cellStyle name="20% - Accent3 15 3" xfId="4472" xr:uid="{00000000-0005-0000-0000-000075110000}"/>
    <cellStyle name="20% - Accent3 16" xfId="4473" xr:uid="{00000000-0005-0000-0000-000076110000}"/>
    <cellStyle name="20% - Accent3 16 2" xfId="4474" xr:uid="{00000000-0005-0000-0000-000077110000}"/>
    <cellStyle name="20% - Accent3 17" xfId="4475" xr:uid="{00000000-0005-0000-0000-000078110000}"/>
    <cellStyle name="20% - Accent3 17 2" xfId="4476" xr:uid="{00000000-0005-0000-0000-000079110000}"/>
    <cellStyle name="20% - Accent3 18" xfId="4477" xr:uid="{00000000-0005-0000-0000-00007A110000}"/>
    <cellStyle name="20% - Accent3 18 2" xfId="4478" xr:uid="{00000000-0005-0000-0000-00007B110000}"/>
    <cellStyle name="20% - Accent3 19" xfId="4479" xr:uid="{00000000-0005-0000-0000-00007C110000}"/>
    <cellStyle name="20% - Accent3 19 2" xfId="4480" xr:uid="{00000000-0005-0000-0000-00007D110000}"/>
    <cellStyle name="20% - Accent3 2" xfId="4481" xr:uid="{00000000-0005-0000-0000-00007E110000}"/>
    <cellStyle name="20% - Accent3 2 2" xfId="4482" xr:uid="{00000000-0005-0000-0000-00007F110000}"/>
    <cellStyle name="20% - Accent3 2 2 2" xfId="4483" xr:uid="{00000000-0005-0000-0000-000080110000}"/>
    <cellStyle name="20% - Accent3 2 2 2 2" xfId="4484" xr:uid="{00000000-0005-0000-0000-000081110000}"/>
    <cellStyle name="20% - Accent3 2 2 2 2 2" xfId="4485" xr:uid="{00000000-0005-0000-0000-000082110000}"/>
    <cellStyle name="20% - Accent3 2 3" xfId="4486" xr:uid="{00000000-0005-0000-0000-000083110000}"/>
    <cellStyle name="20% - Accent3 2 4" xfId="4487" xr:uid="{00000000-0005-0000-0000-000084110000}"/>
    <cellStyle name="20% - Accent3 2 5" xfId="41042" xr:uid="{00000000-0005-0000-0000-000002000000}"/>
    <cellStyle name="20% - Accent3 20" xfId="4488" xr:uid="{00000000-0005-0000-0000-000085110000}"/>
    <cellStyle name="20% - Accent3 20 2" xfId="4489" xr:uid="{00000000-0005-0000-0000-000086110000}"/>
    <cellStyle name="20% - Accent3 21" xfId="4490" xr:uid="{00000000-0005-0000-0000-000087110000}"/>
    <cellStyle name="20% - Accent3 21 2" xfId="4491" xr:uid="{00000000-0005-0000-0000-000088110000}"/>
    <cellStyle name="20% - Accent3 22" xfId="4492" xr:uid="{00000000-0005-0000-0000-000089110000}"/>
    <cellStyle name="20% - Accent3 23" xfId="4493" xr:uid="{00000000-0005-0000-0000-00008A110000}"/>
    <cellStyle name="20% - Accent3 24" xfId="4494" xr:uid="{00000000-0005-0000-0000-00008B110000}"/>
    <cellStyle name="20% - Accent3 25" xfId="4495" xr:uid="{00000000-0005-0000-0000-00008C110000}"/>
    <cellStyle name="20% - Accent3 26" xfId="4496" xr:uid="{00000000-0005-0000-0000-00008D110000}"/>
    <cellStyle name="20% - Accent3 26 2" xfId="4497" xr:uid="{00000000-0005-0000-0000-00008E110000}"/>
    <cellStyle name="20% - Accent3 27" xfId="4498" xr:uid="{00000000-0005-0000-0000-00008F110000}"/>
    <cellStyle name="20% - Accent3 27 2" xfId="4499" xr:uid="{00000000-0005-0000-0000-000090110000}"/>
    <cellStyle name="20% - Accent3 28" xfId="4500" xr:uid="{00000000-0005-0000-0000-000091110000}"/>
    <cellStyle name="20% - Accent3 28 2" xfId="4501" xr:uid="{00000000-0005-0000-0000-000092110000}"/>
    <cellStyle name="20% - Accent3 29" xfId="4502" xr:uid="{00000000-0005-0000-0000-000093110000}"/>
    <cellStyle name="20% - Accent3 29 2" xfId="4503" xr:uid="{00000000-0005-0000-0000-000094110000}"/>
    <cellStyle name="20% - Accent3 3" xfId="4504" xr:uid="{00000000-0005-0000-0000-000095110000}"/>
    <cellStyle name="20% - Accent3 3 2" xfId="4505" xr:uid="{00000000-0005-0000-0000-000096110000}"/>
    <cellStyle name="20% - Accent3 3 2 2" xfId="4506" xr:uid="{00000000-0005-0000-0000-000097110000}"/>
    <cellStyle name="20% - Accent3 3 3" xfId="4507" xr:uid="{00000000-0005-0000-0000-000098110000}"/>
    <cellStyle name="20% - Accent3 3 4" xfId="4508" xr:uid="{00000000-0005-0000-0000-000099110000}"/>
    <cellStyle name="20% - Accent3 3 5" xfId="4509" xr:uid="{00000000-0005-0000-0000-00009A110000}"/>
    <cellStyle name="20% - Accent3 3_MAR 2009" xfId="4510" xr:uid="{00000000-0005-0000-0000-00009B110000}"/>
    <cellStyle name="20% - Accent3 30" xfId="4511" xr:uid="{00000000-0005-0000-0000-00009C110000}"/>
    <cellStyle name="20% - Accent3 30 2" xfId="4512" xr:uid="{00000000-0005-0000-0000-00009D110000}"/>
    <cellStyle name="20% - Accent3 31" xfId="4513" xr:uid="{00000000-0005-0000-0000-00009E110000}"/>
    <cellStyle name="20% - Accent3 31 2" xfId="4514" xr:uid="{00000000-0005-0000-0000-00009F110000}"/>
    <cellStyle name="20% - Accent3 32" xfId="4515" xr:uid="{00000000-0005-0000-0000-0000A0110000}"/>
    <cellStyle name="20% - Accent3 32 2" xfId="4516" xr:uid="{00000000-0005-0000-0000-0000A1110000}"/>
    <cellStyle name="20% - Accent3 33" xfId="4517" xr:uid="{00000000-0005-0000-0000-0000A2110000}"/>
    <cellStyle name="20% - Accent3 33 2" xfId="4518" xr:uid="{00000000-0005-0000-0000-0000A3110000}"/>
    <cellStyle name="20% - Accent3 34" xfId="4519" xr:uid="{00000000-0005-0000-0000-0000A4110000}"/>
    <cellStyle name="20% - Accent3 34 2" xfId="4520" xr:uid="{00000000-0005-0000-0000-0000A5110000}"/>
    <cellStyle name="20% - Accent3 35" xfId="4521" xr:uid="{00000000-0005-0000-0000-0000A6110000}"/>
    <cellStyle name="20% - Accent3 35 2" xfId="4522" xr:uid="{00000000-0005-0000-0000-0000A7110000}"/>
    <cellStyle name="20% - Accent3 36" xfId="4523" xr:uid="{00000000-0005-0000-0000-0000A8110000}"/>
    <cellStyle name="20% - Accent3 36 2" xfId="4524" xr:uid="{00000000-0005-0000-0000-0000A9110000}"/>
    <cellStyle name="20% - Accent3 37" xfId="4525" xr:uid="{00000000-0005-0000-0000-0000AA110000}"/>
    <cellStyle name="20% - Accent3 37 2" xfId="4526" xr:uid="{00000000-0005-0000-0000-0000AB110000}"/>
    <cellStyle name="20% - Accent3 38" xfId="4527" xr:uid="{00000000-0005-0000-0000-0000AC110000}"/>
    <cellStyle name="20% - Accent3 38 2" xfId="4528" xr:uid="{00000000-0005-0000-0000-0000AD110000}"/>
    <cellStyle name="20% - Accent3 39" xfId="4529" xr:uid="{00000000-0005-0000-0000-0000AE110000}"/>
    <cellStyle name="20% - Accent3 39 2" xfId="4530" xr:uid="{00000000-0005-0000-0000-0000AF110000}"/>
    <cellStyle name="20% - Accent3 4" xfId="4531" xr:uid="{00000000-0005-0000-0000-0000B0110000}"/>
    <cellStyle name="20% - Accent3 4 2" xfId="4532" xr:uid="{00000000-0005-0000-0000-0000B1110000}"/>
    <cellStyle name="20% - Accent3 4 2 2" xfId="4533" xr:uid="{00000000-0005-0000-0000-0000B2110000}"/>
    <cellStyle name="20% - Accent3 40" xfId="4534" xr:uid="{00000000-0005-0000-0000-0000B3110000}"/>
    <cellStyle name="20% - Accent3 40 2" xfId="4535" xr:uid="{00000000-0005-0000-0000-0000B4110000}"/>
    <cellStyle name="20% - Accent3 41" xfId="4536" xr:uid="{00000000-0005-0000-0000-0000B5110000}"/>
    <cellStyle name="20% - Accent3 41 2" xfId="4537" xr:uid="{00000000-0005-0000-0000-0000B6110000}"/>
    <cellStyle name="20% - Accent3 42" xfId="4538" xr:uid="{00000000-0005-0000-0000-0000B7110000}"/>
    <cellStyle name="20% - Accent3 42 2" xfId="4539" xr:uid="{00000000-0005-0000-0000-0000B8110000}"/>
    <cellStyle name="20% - Accent3 43" xfId="4540" xr:uid="{00000000-0005-0000-0000-0000B9110000}"/>
    <cellStyle name="20% - Accent3 43 2" xfId="4541" xr:uid="{00000000-0005-0000-0000-0000BA110000}"/>
    <cellStyle name="20% - Accent3 44" xfId="4542" xr:uid="{00000000-0005-0000-0000-0000BB110000}"/>
    <cellStyle name="20% - Accent3 44 2" xfId="4543" xr:uid="{00000000-0005-0000-0000-0000BC110000}"/>
    <cellStyle name="20% - Accent3 45" xfId="4544" xr:uid="{00000000-0005-0000-0000-0000BD110000}"/>
    <cellStyle name="20% - Accent3 45 2" xfId="4545" xr:uid="{00000000-0005-0000-0000-0000BE110000}"/>
    <cellStyle name="20% - Accent3 46" xfId="4546" xr:uid="{00000000-0005-0000-0000-0000BF110000}"/>
    <cellStyle name="20% - Accent3 46 2" xfId="4547" xr:uid="{00000000-0005-0000-0000-0000C0110000}"/>
    <cellStyle name="20% - Accent3 47" xfId="4548" xr:uid="{00000000-0005-0000-0000-0000C1110000}"/>
    <cellStyle name="20% - Accent3 47 2" xfId="4549" xr:uid="{00000000-0005-0000-0000-0000C2110000}"/>
    <cellStyle name="20% - Accent3 48" xfId="4550" xr:uid="{00000000-0005-0000-0000-0000C3110000}"/>
    <cellStyle name="20% - Accent3 48 2" xfId="4551" xr:uid="{00000000-0005-0000-0000-0000C4110000}"/>
    <cellStyle name="20% - Accent3 49" xfId="4552" xr:uid="{00000000-0005-0000-0000-0000C5110000}"/>
    <cellStyle name="20% - Accent3 49 2" xfId="4553" xr:uid="{00000000-0005-0000-0000-0000C6110000}"/>
    <cellStyle name="20% - Accent3 5" xfId="4554" xr:uid="{00000000-0005-0000-0000-0000C7110000}"/>
    <cellStyle name="20% - Accent3 5 2" xfId="4555" xr:uid="{00000000-0005-0000-0000-0000C8110000}"/>
    <cellStyle name="20% - Accent3 5 2 2" xfId="4556" xr:uid="{00000000-0005-0000-0000-0000C9110000}"/>
    <cellStyle name="20% - Accent3 50" xfId="4557" xr:uid="{00000000-0005-0000-0000-0000CA110000}"/>
    <cellStyle name="20% - Accent3 50 2" xfId="4558" xr:uid="{00000000-0005-0000-0000-0000CB110000}"/>
    <cellStyle name="20% - Accent3 51" xfId="4559" xr:uid="{00000000-0005-0000-0000-0000CC110000}"/>
    <cellStyle name="20% - Accent3 51 2" xfId="4560" xr:uid="{00000000-0005-0000-0000-0000CD110000}"/>
    <cellStyle name="20% - Accent3 52" xfId="4561" xr:uid="{00000000-0005-0000-0000-0000CE110000}"/>
    <cellStyle name="20% - Accent3 52 2" xfId="4562" xr:uid="{00000000-0005-0000-0000-0000CF110000}"/>
    <cellStyle name="20% - Accent3 53" xfId="4563" xr:uid="{00000000-0005-0000-0000-0000D0110000}"/>
    <cellStyle name="20% - Accent3 53 2" xfId="4564" xr:uid="{00000000-0005-0000-0000-0000D1110000}"/>
    <cellStyle name="20% - Accent3 54" xfId="4565" xr:uid="{00000000-0005-0000-0000-0000D2110000}"/>
    <cellStyle name="20% - Accent3 54 2" xfId="4566" xr:uid="{00000000-0005-0000-0000-0000D3110000}"/>
    <cellStyle name="20% - Accent3 55" xfId="4567" xr:uid="{00000000-0005-0000-0000-0000D4110000}"/>
    <cellStyle name="20% - Accent3 55 2" xfId="4568" xr:uid="{00000000-0005-0000-0000-0000D5110000}"/>
    <cellStyle name="20% - Accent3 56" xfId="4569" xr:uid="{00000000-0005-0000-0000-0000D6110000}"/>
    <cellStyle name="20% - Accent3 56 2" xfId="4570" xr:uid="{00000000-0005-0000-0000-0000D7110000}"/>
    <cellStyle name="20% - Accent3 57" xfId="4571" xr:uid="{00000000-0005-0000-0000-0000D8110000}"/>
    <cellStyle name="20% - Accent3 57 2" xfId="4572" xr:uid="{00000000-0005-0000-0000-0000D9110000}"/>
    <cellStyle name="20% - Accent3 58" xfId="4573" xr:uid="{00000000-0005-0000-0000-0000DA110000}"/>
    <cellStyle name="20% - Accent3 58 2" xfId="4574" xr:uid="{00000000-0005-0000-0000-0000DB110000}"/>
    <cellStyle name="20% - Accent3 59" xfId="4575" xr:uid="{00000000-0005-0000-0000-0000DC110000}"/>
    <cellStyle name="20% - Accent3 59 2" xfId="4576" xr:uid="{00000000-0005-0000-0000-0000DD110000}"/>
    <cellStyle name="20% - Accent3 6" xfId="4577" xr:uid="{00000000-0005-0000-0000-0000DE110000}"/>
    <cellStyle name="20% - Accent3 6 2" xfId="4578" xr:uid="{00000000-0005-0000-0000-0000DF110000}"/>
    <cellStyle name="20% - Accent3 6 2 2" xfId="4579" xr:uid="{00000000-0005-0000-0000-0000E0110000}"/>
    <cellStyle name="20% - Accent3 6 3" xfId="4580" xr:uid="{00000000-0005-0000-0000-0000E1110000}"/>
    <cellStyle name="20% - Accent3 60" xfId="4581" xr:uid="{00000000-0005-0000-0000-0000E2110000}"/>
    <cellStyle name="20% - Accent3 60 2" xfId="4582" xr:uid="{00000000-0005-0000-0000-0000E3110000}"/>
    <cellStyle name="20% - Accent3 61" xfId="4583" xr:uid="{00000000-0005-0000-0000-0000E4110000}"/>
    <cellStyle name="20% - Accent3 61 2" xfId="4584" xr:uid="{00000000-0005-0000-0000-0000E5110000}"/>
    <cellStyle name="20% - Accent3 62" xfId="4585" xr:uid="{00000000-0005-0000-0000-0000E6110000}"/>
    <cellStyle name="20% - Accent3 62 2" xfId="4586" xr:uid="{00000000-0005-0000-0000-0000E7110000}"/>
    <cellStyle name="20% - Accent3 63" xfId="4587" xr:uid="{00000000-0005-0000-0000-0000E8110000}"/>
    <cellStyle name="20% - Accent3 63 2" xfId="4588" xr:uid="{00000000-0005-0000-0000-0000E9110000}"/>
    <cellStyle name="20% - Accent3 64" xfId="4589" xr:uid="{00000000-0005-0000-0000-0000EA110000}"/>
    <cellStyle name="20% - Accent3 64 2" xfId="4590" xr:uid="{00000000-0005-0000-0000-0000EB110000}"/>
    <cellStyle name="20% - Accent3 65" xfId="4591" xr:uid="{00000000-0005-0000-0000-0000EC110000}"/>
    <cellStyle name="20% - Accent3 65 2" xfId="4592" xr:uid="{00000000-0005-0000-0000-0000ED110000}"/>
    <cellStyle name="20% - Accent3 66" xfId="4593" xr:uid="{00000000-0005-0000-0000-0000EE110000}"/>
    <cellStyle name="20% - Accent3 66 2" xfId="4594" xr:uid="{00000000-0005-0000-0000-0000EF110000}"/>
    <cellStyle name="20% - Accent3 67" xfId="4595" xr:uid="{00000000-0005-0000-0000-0000F0110000}"/>
    <cellStyle name="20% - Accent3 67 2" xfId="4596" xr:uid="{00000000-0005-0000-0000-0000F1110000}"/>
    <cellStyle name="20% - Accent3 68" xfId="4597" xr:uid="{00000000-0005-0000-0000-0000F2110000}"/>
    <cellStyle name="20% - Accent3 68 2" xfId="4598" xr:uid="{00000000-0005-0000-0000-0000F3110000}"/>
    <cellStyle name="20% - Accent3 69" xfId="4599" xr:uid="{00000000-0005-0000-0000-0000F4110000}"/>
    <cellStyle name="20% - Accent3 69 2" xfId="4600" xr:uid="{00000000-0005-0000-0000-0000F5110000}"/>
    <cellStyle name="20% - Accent3 7" xfId="4601" xr:uid="{00000000-0005-0000-0000-0000F6110000}"/>
    <cellStyle name="20% - Accent3 7 2" xfId="4602" xr:uid="{00000000-0005-0000-0000-0000F7110000}"/>
    <cellStyle name="20% - Accent3 7 2 2" xfId="4603" xr:uid="{00000000-0005-0000-0000-0000F8110000}"/>
    <cellStyle name="20% - Accent3 7 3" xfId="4604" xr:uid="{00000000-0005-0000-0000-0000F9110000}"/>
    <cellStyle name="20% - Accent3 70" xfId="4605" xr:uid="{00000000-0005-0000-0000-0000FA110000}"/>
    <cellStyle name="20% - Accent3 70 2" xfId="4606" xr:uid="{00000000-0005-0000-0000-0000FB110000}"/>
    <cellStyle name="20% - Accent3 71" xfId="4607" xr:uid="{00000000-0005-0000-0000-0000FC110000}"/>
    <cellStyle name="20% - Accent3 71 2" xfId="4608" xr:uid="{00000000-0005-0000-0000-0000FD110000}"/>
    <cellStyle name="20% - Accent3 72" xfId="4609" xr:uid="{00000000-0005-0000-0000-0000FE110000}"/>
    <cellStyle name="20% - Accent3 72 2" xfId="4610" xr:uid="{00000000-0005-0000-0000-0000FF110000}"/>
    <cellStyle name="20% - Accent3 73" xfId="4611" xr:uid="{00000000-0005-0000-0000-000000120000}"/>
    <cellStyle name="20% - Accent3 73 10" xfId="4612" xr:uid="{00000000-0005-0000-0000-000001120000}"/>
    <cellStyle name="20% - Accent3 73 10 2" xfId="4613" xr:uid="{00000000-0005-0000-0000-000002120000}"/>
    <cellStyle name="20% - Accent3 73 10 2 2" xfId="4614" xr:uid="{00000000-0005-0000-0000-000003120000}"/>
    <cellStyle name="20% - Accent3 73 10 3" xfId="4615" xr:uid="{00000000-0005-0000-0000-000004120000}"/>
    <cellStyle name="20% - Accent3 73 11" xfId="4616" xr:uid="{00000000-0005-0000-0000-000005120000}"/>
    <cellStyle name="20% - Accent3 73 11 2" xfId="4617" xr:uid="{00000000-0005-0000-0000-000006120000}"/>
    <cellStyle name="20% - Accent3 73 11 2 2" xfId="4618" xr:uid="{00000000-0005-0000-0000-000007120000}"/>
    <cellStyle name="20% - Accent3 73 11 3" xfId="4619" xr:uid="{00000000-0005-0000-0000-000008120000}"/>
    <cellStyle name="20% - Accent3 73 12" xfId="4620" xr:uid="{00000000-0005-0000-0000-000009120000}"/>
    <cellStyle name="20% - Accent3 73 12 2" xfId="4621" xr:uid="{00000000-0005-0000-0000-00000A120000}"/>
    <cellStyle name="20% - Accent3 73 12 2 2" xfId="4622" xr:uid="{00000000-0005-0000-0000-00000B120000}"/>
    <cellStyle name="20% - Accent3 73 12 3" xfId="4623" xr:uid="{00000000-0005-0000-0000-00000C120000}"/>
    <cellStyle name="20% - Accent3 73 13" xfId="4624" xr:uid="{00000000-0005-0000-0000-00000D120000}"/>
    <cellStyle name="20% - Accent3 73 13 2" xfId="4625" xr:uid="{00000000-0005-0000-0000-00000E120000}"/>
    <cellStyle name="20% - Accent3 73 13 2 2" xfId="4626" xr:uid="{00000000-0005-0000-0000-00000F120000}"/>
    <cellStyle name="20% - Accent3 73 13 3" xfId="4627" xr:uid="{00000000-0005-0000-0000-000010120000}"/>
    <cellStyle name="20% - Accent3 73 14" xfId="4628" xr:uid="{00000000-0005-0000-0000-000011120000}"/>
    <cellStyle name="20% - Accent3 73 14 2" xfId="4629" xr:uid="{00000000-0005-0000-0000-000012120000}"/>
    <cellStyle name="20% - Accent3 73 14 2 2" xfId="4630" xr:uid="{00000000-0005-0000-0000-000013120000}"/>
    <cellStyle name="20% - Accent3 73 14 3" xfId="4631" xr:uid="{00000000-0005-0000-0000-000014120000}"/>
    <cellStyle name="20% - Accent3 73 15" xfId="4632" xr:uid="{00000000-0005-0000-0000-000015120000}"/>
    <cellStyle name="20% - Accent3 73 15 2" xfId="4633" xr:uid="{00000000-0005-0000-0000-000016120000}"/>
    <cellStyle name="20% - Accent3 73 15 2 2" xfId="4634" xr:uid="{00000000-0005-0000-0000-000017120000}"/>
    <cellStyle name="20% - Accent3 73 15 3" xfId="4635" xr:uid="{00000000-0005-0000-0000-000018120000}"/>
    <cellStyle name="20% - Accent3 73 16" xfId="4636" xr:uid="{00000000-0005-0000-0000-000019120000}"/>
    <cellStyle name="20% - Accent3 73 16 2" xfId="4637" xr:uid="{00000000-0005-0000-0000-00001A120000}"/>
    <cellStyle name="20% - Accent3 73 16 2 2" xfId="4638" xr:uid="{00000000-0005-0000-0000-00001B120000}"/>
    <cellStyle name="20% - Accent3 73 16 3" xfId="4639" xr:uid="{00000000-0005-0000-0000-00001C120000}"/>
    <cellStyle name="20% - Accent3 73 17" xfId="4640" xr:uid="{00000000-0005-0000-0000-00001D120000}"/>
    <cellStyle name="20% - Accent3 73 17 2" xfId="4641" xr:uid="{00000000-0005-0000-0000-00001E120000}"/>
    <cellStyle name="20% - Accent3 73 17 2 2" xfId="4642" xr:uid="{00000000-0005-0000-0000-00001F120000}"/>
    <cellStyle name="20% - Accent3 73 17 3" xfId="4643" xr:uid="{00000000-0005-0000-0000-000020120000}"/>
    <cellStyle name="20% - Accent3 73 18" xfId="4644" xr:uid="{00000000-0005-0000-0000-000021120000}"/>
    <cellStyle name="20% - Accent3 73 18 2" xfId="4645" xr:uid="{00000000-0005-0000-0000-000022120000}"/>
    <cellStyle name="20% - Accent3 73 18 2 2" xfId="4646" xr:uid="{00000000-0005-0000-0000-000023120000}"/>
    <cellStyle name="20% - Accent3 73 18 3" xfId="4647" xr:uid="{00000000-0005-0000-0000-000024120000}"/>
    <cellStyle name="20% - Accent3 73 19" xfId="4648" xr:uid="{00000000-0005-0000-0000-000025120000}"/>
    <cellStyle name="20% - Accent3 73 19 2" xfId="4649" xr:uid="{00000000-0005-0000-0000-000026120000}"/>
    <cellStyle name="20% - Accent3 73 19 2 2" xfId="4650" xr:uid="{00000000-0005-0000-0000-000027120000}"/>
    <cellStyle name="20% - Accent3 73 19 3" xfId="4651" xr:uid="{00000000-0005-0000-0000-000028120000}"/>
    <cellStyle name="20% - Accent3 73 2" xfId="4652" xr:uid="{00000000-0005-0000-0000-000029120000}"/>
    <cellStyle name="20% - Accent3 73 2 2" xfId="4653" xr:uid="{00000000-0005-0000-0000-00002A120000}"/>
    <cellStyle name="20% - Accent3 73 2 2 2" xfId="4654" xr:uid="{00000000-0005-0000-0000-00002B120000}"/>
    <cellStyle name="20% - Accent3 73 2 3" xfId="4655" xr:uid="{00000000-0005-0000-0000-00002C120000}"/>
    <cellStyle name="20% - Accent3 73 20" xfId="4656" xr:uid="{00000000-0005-0000-0000-00002D120000}"/>
    <cellStyle name="20% - Accent3 73 20 2" xfId="4657" xr:uid="{00000000-0005-0000-0000-00002E120000}"/>
    <cellStyle name="20% - Accent3 73 20 2 2" xfId="4658" xr:uid="{00000000-0005-0000-0000-00002F120000}"/>
    <cellStyle name="20% - Accent3 73 20 3" xfId="4659" xr:uid="{00000000-0005-0000-0000-000030120000}"/>
    <cellStyle name="20% - Accent3 73 21" xfId="4660" xr:uid="{00000000-0005-0000-0000-000031120000}"/>
    <cellStyle name="20% - Accent3 73 21 2" xfId="4661" xr:uid="{00000000-0005-0000-0000-000032120000}"/>
    <cellStyle name="20% - Accent3 73 21 2 2" xfId="4662" xr:uid="{00000000-0005-0000-0000-000033120000}"/>
    <cellStyle name="20% - Accent3 73 21 3" xfId="4663" xr:uid="{00000000-0005-0000-0000-000034120000}"/>
    <cellStyle name="20% - Accent3 73 22" xfId="4664" xr:uid="{00000000-0005-0000-0000-000035120000}"/>
    <cellStyle name="20% - Accent3 73 22 2" xfId="4665" xr:uid="{00000000-0005-0000-0000-000036120000}"/>
    <cellStyle name="20% - Accent3 73 22 2 2" xfId="4666" xr:uid="{00000000-0005-0000-0000-000037120000}"/>
    <cellStyle name="20% - Accent3 73 22 3" xfId="4667" xr:uid="{00000000-0005-0000-0000-000038120000}"/>
    <cellStyle name="20% - Accent3 73 23" xfId="4668" xr:uid="{00000000-0005-0000-0000-000039120000}"/>
    <cellStyle name="20% - Accent3 73 23 2" xfId="4669" xr:uid="{00000000-0005-0000-0000-00003A120000}"/>
    <cellStyle name="20% - Accent3 73 23 2 2" xfId="4670" xr:uid="{00000000-0005-0000-0000-00003B120000}"/>
    <cellStyle name="20% - Accent3 73 23 3" xfId="4671" xr:uid="{00000000-0005-0000-0000-00003C120000}"/>
    <cellStyle name="20% - Accent3 73 24" xfId="4672" xr:uid="{00000000-0005-0000-0000-00003D120000}"/>
    <cellStyle name="20% - Accent3 73 24 2" xfId="4673" xr:uid="{00000000-0005-0000-0000-00003E120000}"/>
    <cellStyle name="20% - Accent3 73 24 2 2" xfId="4674" xr:uid="{00000000-0005-0000-0000-00003F120000}"/>
    <cellStyle name="20% - Accent3 73 24 3" xfId="4675" xr:uid="{00000000-0005-0000-0000-000040120000}"/>
    <cellStyle name="20% - Accent3 73 25" xfId="4676" xr:uid="{00000000-0005-0000-0000-000041120000}"/>
    <cellStyle name="20% - Accent3 73 25 2" xfId="4677" xr:uid="{00000000-0005-0000-0000-000042120000}"/>
    <cellStyle name="20% - Accent3 73 25 2 2" xfId="4678" xr:uid="{00000000-0005-0000-0000-000043120000}"/>
    <cellStyle name="20% - Accent3 73 25 3" xfId="4679" xr:uid="{00000000-0005-0000-0000-000044120000}"/>
    <cellStyle name="20% - Accent3 73 26" xfId="4680" xr:uid="{00000000-0005-0000-0000-000045120000}"/>
    <cellStyle name="20% - Accent3 73 26 2" xfId="4681" xr:uid="{00000000-0005-0000-0000-000046120000}"/>
    <cellStyle name="20% - Accent3 73 26 2 2" xfId="4682" xr:uid="{00000000-0005-0000-0000-000047120000}"/>
    <cellStyle name="20% - Accent3 73 26 3" xfId="4683" xr:uid="{00000000-0005-0000-0000-000048120000}"/>
    <cellStyle name="20% - Accent3 73 27" xfId="4684" xr:uid="{00000000-0005-0000-0000-000049120000}"/>
    <cellStyle name="20% - Accent3 73 27 2" xfId="4685" xr:uid="{00000000-0005-0000-0000-00004A120000}"/>
    <cellStyle name="20% - Accent3 73 27 2 2" xfId="4686" xr:uid="{00000000-0005-0000-0000-00004B120000}"/>
    <cellStyle name="20% - Accent3 73 27 3" xfId="4687" xr:uid="{00000000-0005-0000-0000-00004C120000}"/>
    <cellStyle name="20% - Accent3 73 28" xfId="4688" xr:uid="{00000000-0005-0000-0000-00004D120000}"/>
    <cellStyle name="20% - Accent3 73 28 2" xfId="4689" xr:uid="{00000000-0005-0000-0000-00004E120000}"/>
    <cellStyle name="20% - Accent3 73 28 2 2" xfId="4690" xr:uid="{00000000-0005-0000-0000-00004F120000}"/>
    <cellStyle name="20% - Accent3 73 28 3" xfId="4691" xr:uid="{00000000-0005-0000-0000-000050120000}"/>
    <cellStyle name="20% - Accent3 73 29" xfId="4692" xr:uid="{00000000-0005-0000-0000-000051120000}"/>
    <cellStyle name="20% - Accent3 73 29 2" xfId="4693" xr:uid="{00000000-0005-0000-0000-000052120000}"/>
    <cellStyle name="20% - Accent3 73 29 2 2" xfId="4694" xr:uid="{00000000-0005-0000-0000-000053120000}"/>
    <cellStyle name="20% - Accent3 73 29 3" xfId="4695" xr:uid="{00000000-0005-0000-0000-000054120000}"/>
    <cellStyle name="20% - Accent3 73 3" xfId="4696" xr:uid="{00000000-0005-0000-0000-000055120000}"/>
    <cellStyle name="20% - Accent3 73 3 2" xfId="4697" xr:uid="{00000000-0005-0000-0000-000056120000}"/>
    <cellStyle name="20% - Accent3 73 3 2 2" xfId="4698" xr:uid="{00000000-0005-0000-0000-000057120000}"/>
    <cellStyle name="20% - Accent3 73 3 3" xfId="4699" xr:uid="{00000000-0005-0000-0000-000058120000}"/>
    <cellStyle name="20% - Accent3 73 30" xfId="4700" xr:uid="{00000000-0005-0000-0000-000059120000}"/>
    <cellStyle name="20% - Accent3 73 30 2" xfId="4701" xr:uid="{00000000-0005-0000-0000-00005A120000}"/>
    <cellStyle name="20% - Accent3 73 30 2 2" xfId="4702" xr:uid="{00000000-0005-0000-0000-00005B120000}"/>
    <cellStyle name="20% - Accent3 73 30 3" xfId="4703" xr:uid="{00000000-0005-0000-0000-00005C120000}"/>
    <cellStyle name="20% - Accent3 73 31" xfId="4704" xr:uid="{00000000-0005-0000-0000-00005D120000}"/>
    <cellStyle name="20% - Accent3 73 31 2" xfId="4705" xr:uid="{00000000-0005-0000-0000-00005E120000}"/>
    <cellStyle name="20% - Accent3 73 31 2 2" xfId="4706" xr:uid="{00000000-0005-0000-0000-00005F120000}"/>
    <cellStyle name="20% - Accent3 73 31 3" xfId="4707" xr:uid="{00000000-0005-0000-0000-000060120000}"/>
    <cellStyle name="20% - Accent3 73 32" xfId="4708" xr:uid="{00000000-0005-0000-0000-000061120000}"/>
    <cellStyle name="20% - Accent3 73 32 2" xfId="4709" xr:uid="{00000000-0005-0000-0000-000062120000}"/>
    <cellStyle name="20% - Accent3 73 32 2 2" xfId="4710" xr:uid="{00000000-0005-0000-0000-000063120000}"/>
    <cellStyle name="20% - Accent3 73 32 3" xfId="4711" xr:uid="{00000000-0005-0000-0000-000064120000}"/>
    <cellStyle name="20% - Accent3 73 33" xfId="4712" xr:uid="{00000000-0005-0000-0000-000065120000}"/>
    <cellStyle name="20% - Accent3 73 33 2" xfId="4713" xr:uid="{00000000-0005-0000-0000-000066120000}"/>
    <cellStyle name="20% - Accent3 73 33 2 2" xfId="4714" xr:uid="{00000000-0005-0000-0000-000067120000}"/>
    <cellStyle name="20% - Accent3 73 33 3" xfId="4715" xr:uid="{00000000-0005-0000-0000-000068120000}"/>
    <cellStyle name="20% - Accent3 73 34" xfId="4716" xr:uid="{00000000-0005-0000-0000-000069120000}"/>
    <cellStyle name="20% - Accent3 73 34 2" xfId="4717" xr:uid="{00000000-0005-0000-0000-00006A120000}"/>
    <cellStyle name="20% - Accent3 73 34 2 2" xfId="4718" xr:uid="{00000000-0005-0000-0000-00006B120000}"/>
    <cellStyle name="20% - Accent3 73 34 3" xfId="4719" xr:uid="{00000000-0005-0000-0000-00006C120000}"/>
    <cellStyle name="20% - Accent3 73 35" xfId="4720" xr:uid="{00000000-0005-0000-0000-00006D120000}"/>
    <cellStyle name="20% - Accent3 73 35 2" xfId="4721" xr:uid="{00000000-0005-0000-0000-00006E120000}"/>
    <cellStyle name="20% - Accent3 73 35 2 2" xfId="4722" xr:uid="{00000000-0005-0000-0000-00006F120000}"/>
    <cellStyle name="20% - Accent3 73 35 3" xfId="4723" xr:uid="{00000000-0005-0000-0000-000070120000}"/>
    <cellStyle name="20% - Accent3 73 36" xfId="4724" xr:uid="{00000000-0005-0000-0000-000071120000}"/>
    <cellStyle name="20% - Accent3 73 36 2" xfId="4725" xr:uid="{00000000-0005-0000-0000-000072120000}"/>
    <cellStyle name="20% - Accent3 73 36 2 2" xfId="4726" xr:uid="{00000000-0005-0000-0000-000073120000}"/>
    <cellStyle name="20% - Accent3 73 36 3" xfId="4727" xr:uid="{00000000-0005-0000-0000-000074120000}"/>
    <cellStyle name="20% - Accent3 73 4" xfId="4728" xr:uid="{00000000-0005-0000-0000-000075120000}"/>
    <cellStyle name="20% - Accent3 73 4 2" xfId="4729" xr:uid="{00000000-0005-0000-0000-000076120000}"/>
    <cellStyle name="20% - Accent3 73 4 2 2" xfId="4730" xr:uid="{00000000-0005-0000-0000-000077120000}"/>
    <cellStyle name="20% - Accent3 73 4 3" xfId="4731" xr:uid="{00000000-0005-0000-0000-000078120000}"/>
    <cellStyle name="20% - Accent3 73 5" xfId="4732" xr:uid="{00000000-0005-0000-0000-000079120000}"/>
    <cellStyle name="20% - Accent3 73 5 2" xfId="4733" xr:uid="{00000000-0005-0000-0000-00007A120000}"/>
    <cellStyle name="20% - Accent3 73 5 2 2" xfId="4734" xr:uid="{00000000-0005-0000-0000-00007B120000}"/>
    <cellStyle name="20% - Accent3 73 5 3" xfId="4735" xr:uid="{00000000-0005-0000-0000-00007C120000}"/>
    <cellStyle name="20% - Accent3 73 6" xfId="4736" xr:uid="{00000000-0005-0000-0000-00007D120000}"/>
    <cellStyle name="20% - Accent3 73 6 2" xfId="4737" xr:uid="{00000000-0005-0000-0000-00007E120000}"/>
    <cellStyle name="20% - Accent3 73 6 2 2" xfId="4738" xr:uid="{00000000-0005-0000-0000-00007F120000}"/>
    <cellStyle name="20% - Accent3 73 6 3" xfId="4739" xr:uid="{00000000-0005-0000-0000-000080120000}"/>
    <cellStyle name="20% - Accent3 73 7" xfId="4740" xr:uid="{00000000-0005-0000-0000-000081120000}"/>
    <cellStyle name="20% - Accent3 73 7 2" xfId="4741" xr:uid="{00000000-0005-0000-0000-000082120000}"/>
    <cellStyle name="20% - Accent3 73 7 2 2" xfId="4742" xr:uid="{00000000-0005-0000-0000-000083120000}"/>
    <cellStyle name="20% - Accent3 73 7 3" xfId="4743" xr:uid="{00000000-0005-0000-0000-000084120000}"/>
    <cellStyle name="20% - Accent3 73 8" xfId="4744" xr:uid="{00000000-0005-0000-0000-000085120000}"/>
    <cellStyle name="20% - Accent3 73 8 2" xfId="4745" xr:uid="{00000000-0005-0000-0000-000086120000}"/>
    <cellStyle name="20% - Accent3 73 8 2 2" xfId="4746" xr:uid="{00000000-0005-0000-0000-000087120000}"/>
    <cellStyle name="20% - Accent3 73 8 3" xfId="4747" xr:uid="{00000000-0005-0000-0000-000088120000}"/>
    <cellStyle name="20% - Accent3 73 9" xfId="4748" xr:uid="{00000000-0005-0000-0000-000089120000}"/>
    <cellStyle name="20% - Accent3 73 9 2" xfId="4749" xr:uid="{00000000-0005-0000-0000-00008A120000}"/>
    <cellStyle name="20% - Accent3 73 9 2 2" xfId="4750" xr:uid="{00000000-0005-0000-0000-00008B120000}"/>
    <cellStyle name="20% - Accent3 73 9 3" xfId="4751" xr:uid="{00000000-0005-0000-0000-00008C120000}"/>
    <cellStyle name="20% - Accent3 74" xfId="4752" xr:uid="{00000000-0005-0000-0000-00008D120000}"/>
    <cellStyle name="20% - Accent3 74 10" xfId="4753" xr:uid="{00000000-0005-0000-0000-00008E120000}"/>
    <cellStyle name="20% - Accent3 74 10 2" xfId="4754" xr:uid="{00000000-0005-0000-0000-00008F120000}"/>
    <cellStyle name="20% - Accent3 74 10 2 2" xfId="4755" xr:uid="{00000000-0005-0000-0000-000090120000}"/>
    <cellStyle name="20% - Accent3 74 10 3" xfId="4756" xr:uid="{00000000-0005-0000-0000-000091120000}"/>
    <cellStyle name="20% - Accent3 74 11" xfId="4757" xr:uid="{00000000-0005-0000-0000-000092120000}"/>
    <cellStyle name="20% - Accent3 74 11 2" xfId="4758" xr:uid="{00000000-0005-0000-0000-000093120000}"/>
    <cellStyle name="20% - Accent3 74 11 2 2" xfId="4759" xr:uid="{00000000-0005-0000-0000-000094120000}"/>
    <cellStyle name="20% - Accent3 74 11 3" xfId="4760" xr:uid="{00000000-0005-0000-0000-000095120000}"/>
    <cellStyle name="20% - Accent3 74 12" xfId="4761" xr:uid="{00000000-0005-0000-0000-000096120000}"/>
    <cellStyle name="20% - Accent3 74 12 2" xfId="4762" xr:uid="{00000000-0005-0000-0000-000097120000}"/>
    <cellStyle name="20% - Accent3 74 12 2 2" xfId="4763" xr:uid="{00000000-0005-0000-0000-000098120000}"/>
    <cellStyle name="20% - Accent3 74 12 3" xfId="4764" xr:uid="{00000000-0005-0000-0000-000099120000}"/>
    <cellStyle name="20% - Accent3 74 13" xfId="4765" xr:uid="{00000000-0005-0000-0000-00009A120000}"/>
    <cellStyle name="20% - Accent3 74 13 2" xfId="4766" xr:uid="{00000000-0005-0000-0000-00009B120000}"/>
    <cellStyle name="20% - Accent3 74 13 2 2" xfId="4767" xr:uid="{00000000-0005-0000-0000-00009C120000}"/>
    <cellStyle name="20% - Accent3 74 13 3" xfId="4768" xr:uid="{00000000-0005-0000-0000-00009D120000}"/>
    <cellStyle name="20% - Accent3 74 14" xfId="4769" xr:uid="{00000000-0005-0000-0000-00009E120000}"/>
    <cellStyle name="20% - Accent3 74 14 2" xfId="4770" xr:uid="{00000000-0005-0000-0000-00009F120000}"/>
    <cellStyle name="20% - Accent3 74 14 2 2" xfId="4771" xr:uid="{00000000-0005-0000-0000-0000A0120000}"/>
    <cellStyle name="20% - Accent3 74 14 3" xfId="4772" xr:uid="{00000000-0005-0000-0000-0000A1120000}"/>
    <cellStyle name="20% - Accent3 74 15" xfId="4773" xr:uid="{00000000-0005-0000-0000-0000A2120000}"/>
    <cellStyle name="20% - Accent3 74 15 2" xfId="4774" xr:uid="{00000000-0005-0000-0000-0000A3120000}"/>
    <cellStyle name="20% - Accent3 74 15 2 2" xfId="4775" xr:uid="{00000000-0005-0000-0000-0000A4120000}"/>
    <cellStyle name="20% - Accent3 74 15 3" xfId="4776" xr:uid="{00000000-0005-0000-0000-0000A5120000}"/>
    <cellStyle name="20% - Accent3 74 16" xfId="4777" xr:uid="{00000000-0005-0000-0000-0000A6120000}"/>
    <cellStyle name="20% - Accent3 74 16 2" xfId="4778" xr:uid="{00000000-0005-0000-0000-0000A7120000}"/>
    <cellStyle name="20% - Accent3 74 16 2 2" xfId="4779" xr:uid="{00000000-0005-0000-0000-0000A8120000}"/>
    <cellStyle name="20% - Accent3 74 16 3" xfId="4780" xr:uid="{00000000-0005-0000-0000-0000A9120000}"/>
    <cellStyle name="20% - Accent3 74 17" xfId="4781" xr:uid="{00000000-0005-0000-0000-0000AA120000}"/>
    <cellStyle name="20% - Accent3 74 17 2" xfId="4782" xr:uid="{00000000-0005-0000-0000-0000AB120000}"/>
    <cellStyle name="20% - Accent3 74 17 2 2" xfId="4783" xr:uid="{00000000-0005-0000-0000-0000AC120000}"/>
    <cellStyle name="20% - Accent3 74 17 3" xfId="4784" xr:uid="{00000000-0005-0000-0000-0000AD120000}"/>
    <cellStyle name="20% - Accent3 74 18" xfId="4785" xr:uid="{00000000-0005-0000-0000-0000AE120000}"/>
    <cellStyle name="20% - Accent3 74 18 2" xfId="4786" xr:uid="{00000000-0005-0000-0000-0000AF120000}"/>
    <cellStyle name="20% - Accent3 74 18 2 2" xfId="4787" xr:uid="{00000000-0005-0000-0000-0000B0120000}"/>
    <cellStyle name="20% - Accent3 74 18 3" xfId="4788" xr:uid="{00000000-0005-0000-0000-0000B1120000}"/>
    <cellStyle name="20% - Accent3 74 19" xfId="4789" xr:uid="{00000000-0005-0000-0000-0000B2120000}"/>
    <cellStyle name="20% - Accent3 74 19 2" xfId="4790" xr:uid="{00000000-0005-0000-0000-0000B3120000}"/>
    <cellStyle name="20% - Accent3 74 19 2 2" xfId="4791" xr:uid="{00000000-0005-0000-0000-0000B4120000}"/>
    <cellStyle name="20% - Accent3 74 19 3" xfId="4792" xr:uid="{00000000-0005-0000-0000-0000B5120000}"/>
    <cellStyle name="20% - Accent3 74 2" xfId="4793" xr:uid="{00000000-0005-0000-0000-0000B6120000}"/>
    <cellStyle name="20% - Accent3 74 2 2" xfId="4794" xr:uid="{00000000-0005-0000-0000-0000B7120000}"/>
    <cellStyle name="20% - Accent3 74 2 2 2" xfId="4795" xr:uid="{00000000-0005-0000-0000-0000B8120000}"/>
    <cellStyle name="20% - Accent3 74 2 3" xfId="4796" xr:uid="{00000000-0005-0000-0000-0000B9120000}"/>
    <cellStyle name="20% - Accent3 74 20" xfId="4797" xr:uid="{00000000-0005-0000-0000-0000BA120000}"/>
    <cellStyle name="20% - Accent3 74 20 2" xfId="4798" xr:uid="{00000000-0005-0000-0000-0000BB120000}"/>
    <cellStyle name="20% - Accent3 74 20 2 2" xfId="4799" xr:uid="{00000000-0005-0000-0000-0000BC120000}"/>
    <cellStyle name="20% - Accent3 74 20 3" xfId="4800" xr:uid="{00000000-0005-0000-0000-0000BD120000}"/>
    <cellStyle name="20% - Accent3 74 21" xfId="4801" xr:uid="{00000000-0005-0000-0000-0000BE120000}"/>
    <cellStyle name="20% - Accent3 74 21 2" xfId="4802" xr:uid="{00000000-0005-0000-0000-0000BF120000}"/>
    <cellStyle name="20% - Accent3 74 21 2 2" xfId="4803" xr:uid="{00000000-0005-0000-0000-0000C0120000}"/>
    <cellStyle name="20% - Accent3 74 21 3" xfId="4804" xr:uid="{00000000-0005-0000-0000-0000C1120000}"/>
    <cellStyle name="20% - Accent3 74 22" xfId="4805" xr:uid="{00000000-0005-0000-0000-0000C2120000}"/>
    <cellStyle name="20% - Accent3 74 22 2" xfId="4806" xr:uid="{00000000-0005-0000-0000-0000C3120000}"/>
    <cellStyle name="20% - Accent3 74 22 2 2" xfId="4807" xr:uid="{00000000-0005-0000-0000-0000C4120000}"/>
    <cellStyle name="20% - Accent3 74 22 3" xfId="4808" xr:uid="{00000000-0005-0000-0000-0000C5120000}"/>
    <cellStyle name="20% - Accent3 74 23" xfId="4809" xr:uid="{00000000-0005-0000-0000-0000C6120000}"/>
    <cellStyle name="20% - Accent3 74 23 2" xfId="4810" xr:uid="{00000000-0005-0000-0000-0000C7120000}"/>
    <cellStyle name="20% - Accent3 74 23 2 2" xfId="4811" xr:uid="{00000000-0005-0000-0000-0000C8120000}"/>
    <cellStyle name="20% - Accent3 74 23 3" xfId="4812" xr:uid="{00000000-0005-0000-0000-0000C9120000}"/>
    <cellStyle name="20% - Accent3 74 24" xfId="4813" xr:uid="{00000000-0005-0000-0000-0000CA120000}"/>
    <cellStyle name="20% - Accent3 74 24 2" xfId="4814" xr:uid="{00000000-0005-0000-0000-0000CB120000}"/>
    <cellStyle name="20% - Accent3 74 24 2 2" xfId="4815" xr:uid="{00000000-0005-0000-0000-0000CC120000}"/>
    <cellStyle name="20% - Accent3 74 24 3" xfId="4816" xr:uid="{00000000-0005-0000-0000-0000CD120000}"/>
    <cellStyle name="20% - Accent3 74 25" xfId="4817" xr:uid="{00000000-0005-0000-0000-0000CE120000}"/>
    <cellStyle name="20% - Accent3 74 25 2" xfId="4818" xr:uid="{00000000-0005-0000-0000-0000CF120000}"/>
    <cellStyle name="20% - Accent3 74 25 2 2" xfId="4819" xr:uid="{00000000-0005-0000-0000-0000D0120000}"/>
    <cellStyle name="20% - Accent3 74 25 3" xfId="4820" xr:uid="{00000000-0005-0000-0000-0000D1120000}"/>
    <cellStyle name="20% - Accent3 74 26" xfId="4821" xr:uid="{00000000-0005-0000-0000-0000D2120000}"/>
    <cellStyle name="20% - Accent3 74 26 2" xfId="4822" xr:uid="{00000000-0005-0000-0000-0000D3120000}"/>
    <cellStyle name="20% - Accent3 74 26 2 2" xfId="4823" xr:uid="{00000000-0005-0000-0000-0000D4120000}"/>
    <cellStyle name="20% - Accent3 74 26 3" xfId="4824" xr:uid="{00000000-0005-0000-0000-0000D5120000}"/>
    <cellStyle name="20% - Accent3 74 27" xfId="4825" xr:uid="{00000000-0005-0000-0000-0000D6120000}"/>
    <cellStyle name="20% - Accent3 74 27 2" xfId="4826" xr:uid="{00000000-0005-0000-0000-0000D7120000}"/>
    <cellStyle name="20% - Accent3 74 27 2 2" xfId="4827" xr:uid="{00000000-0005-0000-0000-0000D8120000}"/>
    <cellStyle name="20% - Accent3 74 27 3" xfId="4828" xr:uid="{00000000-0005-0000-0000-0000D9120000}"/>
    <cellStyle name="20% - Accent3 74 28" xfId="4829" xr:uid="{00000000-0005-0000-0000-0000DA120000}"/>
    <cellStyle name="20% - Accent3 74 28 2" xfId="4830" xr:uid="{00000000-0005-0000-0000-0000DB120000}"/>
    <cellStyle name="20% - Accent3 74 28 2 2" xfId="4831" xr:uid="{00000000-0005-0000-0000-0000DC120000}"/>
    <cellStyle name="20% - Accent3 74 28 3" xfId="4832" xr:uid="{00000000-0005-0000-0000-0000DD120000}"/>
    <cellStyle name="20% - Accent3 74 29" xfId="4833" xr:uid="{00000000-0005-0000-0000-0000DE120000}"/>
    <cellStyle name="20% - Accent3 74 29 2" xfId="4834" xr:uid="{00000000-0005-0000-0000-0000DF120000}"/>
    <cellStyle name="20% - Accent3 74 29 2 2" xfId="4835" xr:uid="{00000000-0005-0000-0000-0000E0120000}"/>
    <cellStyle name="20% - Accent3 74 29 3" xfId="4836" xr:uid="{00000000-0005-0000-0000-0000E1120000}"/>
    <cellStyle name="20% - Accent3 74 3" xfId="4837" xr:uid="{00000000-0005-0000-0000-0000E2120000}"/>
    <cellStyle name="20% - Accent3 74 3 2" xfId="4838" xr:uid="{00000000-0005-0000-0000-0000E3120000}"/>
    <cellStyle name="20% - Accent3 74 3 2 2" xfId="4839" xr:uid="{00000000-0005-0000-0000-0000E4120000}"/>
    <cellStyle name="20% - Accent3 74 3 3" xfId="4840" xr:uid="{00000000-0005-0000-0000-0000E5120000}"/>
    <cellStyle name="20% - Accent3 74 30" xfId="4841" xr:uid="{00000000-0005-0000-0000-0000E6120000}"/>
    <cellStyle name="20% - Accent3 74 30 2" xfId="4842" xr:uid="{00000000-0005-0000-0000-0000E7120000}"/>
    <cellStyle name="20% - Accent3 74 30 2 2" xfId="4843" xr:uid="{00000000-0005-0000-0000-0000E8120000}"/>
    <cellStyle name="20% - Accent3 74 30 3" xfId="4844" xr:uid="{00000000-0005-0000-0000-0000E9120000}"/>
    <cellStyle name="20% - Accent3 74 31" xfId="4845" xr:uid="{00000000-0005-0000-0000-0000EA120000}"/>
    <cellStyle name="20% - Accent3 74 31 2" xfId="4846" xr:uid="{00000000-0005-0000-0000-0000EB120000}"/>
    <cellStyle name="20% - Accent3 74 31 2 2" xfId="4847" xr:uid="{00000000-0005-0000-0000-0000EC120000}"/>
    <cellStyle name="20% - Accent3 74 31 3" xfId="4848" xr:uid="{00000000-0005-0000-0000-0000ED120000}"/>
    <cellStyle name="20% - Accent3 74 32" xfId="4849" xr:uid="{00000000-0005-0000-0000-0000EE120000}"/>
    <cellStyle name="20% - Accent3 74 32 2" xfId="4850" xr:uid="{00000000-0005-0000-0000-0000EF120000}"/>
    <cellStyle name="20% - Accent3 74 32 2 2" xfId="4851" xr:uid="{00000000-0005-0000-0000-0000F0120000}"/>
    <cellStyle name="20% - Accent3 74 32 3" xfId="4852" xr:uid="{00000000-0005-0000-0000-0000F1120000}"/>
    <cellStyle name="20% - Accent3 74 33" xfId="4853" xr:uid="{00000000-0005-0000-0000-0000F2120000}"/>
    <cellStyle name="20% - Accent3 74 33 2" xfId="4854" xr:uid="{00000000-0005-0000-0000-0000F3120000}"/>
    <cellStyle name="20% - Accent3 74 33 2 2" xfId="4855" xr:uid="{00000000-0005-0000-0000-0000F4120000}"/>
    <cellStyle name="20% - Accent3 74 33 3" xfId="4856" xr:uid="{00000000-0005-0000-0000-0000F5120000}"/>
    <cellStyle name="20% - Accent3 74 34" xfId="4857" xr:uid="{00000000-0005-0000-0000-0000F6120000}"/>
    <cellStyle name="20% - Accent3 74 34 2" xfId="4858" xr:uid="{00000000-0005-0000-0000-0000F7120000}"/>
    <cellStyle name="20% - Accent3 74 34 2 2" xfId="4859" xr:uid="{00000000-0005-0000-0000-0000F8120000}"/>
    <cellStyle name="20% - Accent3 74 34 3" xfId="4860" xr:uid="{00000000-0005-0000-0000-0000F9120000}"/>
    <cellStyle name="20% - Accent3 74 35" xfId="4861" xr:uid="{00000000-0005-0000-0000-0000FA120000}"/>
    <cellStyle name="20% - Accent3 74 35 2" xfId="4862" xr:uid="{00000000-0005-0000-0000-0000FB120000}"/>
    <cellStyle name="20% - Accent3 74 35 2 2" xfId="4863" xr:uid="{00000000-0005-0000-0000-0000FC120000}"/>
    <cellStyle name="20% - Accent3 74 35 3" xfId="4864" xr:uid="{00000000-0005-0000-0000-0000FD120000}"/>
    <cellStyle name="20% - Accent3 74 36" xfId="4865" xr:uid="{00000000-0005-0000-0000-0000FE120000}"/>
    <cellStyle name="20% - Accent3 74 36 2" xfId="4866" xr:uid="{00000000-0005-0000-0000-0000FF120000}"/>
    <cellStyle name="20% - Accent3 74 36 2 2" xfId="4867" xr:uid="{00000000-0005-0000-0000-000000130000}"/>
    <cellStyle name="20% - Accent3 74 36 3" xfId="4868" xr:uid="{00000000-0005-0000-0000-000001130000}"/>
    <cellStyle name="20% - Accent3 74 4" xfId="4869" xr:uid="{00000000-0005-0000-0000-000002130000}"/>
    <cellStyle name="20% - Accent3 74 4 2" xfId="4870" xr:uid="{00000000-0005-0000-0000-000003130000}"/>
    <cellStyle name="20% - Accent3 74 4 2 2" xfId="4871" xr:uid="{00000000-0005-0000-0000-000004130000}"/>
    <cellStyle name="20% - Accent3 74 4 3" xfId="4872" xr:uid="{00000000-0005-0000-0000-000005130000}"/>
    <cellStyle name="20% - Accent3 74 5" xfId="4873" xr:uid="{00000000-0005-0000-0000-000006130000}"/>
    <cellStyle name="20% - Accent3 74 5 2" xfId="4874" xr:uid="{00000000-0005-0000-0000-000007130000}"/>
    <cellStyle name="20% - Accent3 74 5 2 2" xfId="4875" xr:uid="{00000000-0005-0000-0000-000008130000}"/>
    <cellStyle name="20% - Accent3 74 5 3" xfId="4876" xr:uid="{00000000-0005-0000-0000-000009130000}"/>
    <cellStyle name="20% - Accent3 74 6" xfId="4877" xr:uid="{00000000-0005-0000-0000-00000A130000}"/>
    <cellStyle name="20% - Accent3 74 6 2" xfId="4878" xr:uid="{00000000-0005-0000-0000-00000B130000}"/>
    <cellStyle name="20% - Accent3 74 6 2 2" xfId="4879" xr:uid="{00000000-0005-0000-0000-00000C130000}"/>
    <cellStyle name="20% - Accent3 74 6 3" xfId="4880" xr:uid="{00000000-0005-0000-0000-00000D130000}"/>
    <cellStyle name="20% - Accent3 74 7" xfId="4881" xr:uid="{00000000-0005-0000-0000-00000E130000}"/>
    <cellStyle name="20% - Accent3 74 7 2" xfId="4882" xr:uid="{00000000-0005-0000-0000-00000F130000}"/>
    <cellStyle name="20% - Accent3 74 7 2 2" xfId="4883" xr:uid="{00000000-0005-0000-0000-000010130000}"/>
    <cellStyle name="20% - Accent3 74 7 3" xfId="4884" xr:uid="{00000000-0005-0000-0000-000011130000}"/>
    <cellStyle name="20% - Accent3 74 8" xfId="4885" xr:uid="{00000000-0005-0000-0000-000012130000}"/>
    <cellStyle name="20% - Accent3 74 8 2" xfId="4886" xr:uid="{00000000-0005-0000-0000-000013130000}"/>
    <cellStyle name="20% - Accent3 74 8 2 2" xfId="4887" xr:uid="{00000000-0005-0000-0000-000014130000}"/>
    <cellStyle name="20% - Accent3 74 8 3" xfId="4888" xr:uid="{00000000-0005-0000-0000-000015130000}"/>
    <cellStyle name="20% - Accent3 74 9" xfId="4889" xr:uid="{00000000-0005-0000-0000-000016130000}"/>
    <cellStyle name="20% - Accent3 74 9 2" xfId="4890" xr:uid="{00000000-0005-0000-0000-000017130000}"/>
    <cellStyle name="20% - Accent3 74 9 2 2" xfId="4891" xr:uid="{00000000-0005-0000-0000-000018130000}"/>
    <cellStyle name="20% - Accent3 74 9 3" xfId="4892" xr:uid="{00000000-0005-0000-0000-000019130000}"/>
    <cellStyle name="20% - Accent3 75" xfId="4893" xr:uid="{00000000-0005-0000-0000-00001A130000}"/>
    <cellStyle name="20% - Accent3 75 10" xfId="4894" xr:uid="{00000000-0005-0000-0000-00001B130000}"/>
    <cellStyle name="20% - Accent3 75 10 2" xfId="4895" xr:uid="{00000000-0005-0000-0000-00001C130000}"/>
    <cellStyle name="20% - Accent3 75 10 2 2" xfId="4896" xr:uid="{00000000-0005-0000-0000-00001D130000}"/>
    <cellStyle name="20% - Accent3 75 10 3" xfId="4897" xr:uid="{00000000-0005-0000-0000-00001E130000}"/>
    <cellStyle name="20% - Accent3 75 11" xfId="4898" xr:uid="{00000000-0005-0000-0000-00001F130000}"/>
    <cellStyle name="20% - Accent3 75 11 2" xfId="4899" xr:uid="{00000000-0005-0000-0000-000020130000}"/>
    <cellStyle name="20% - Accent3 75 11 2 2" xfId="4900" xr:uid="{00000000-0005-0000-0000-000021130000}"/>
    <cellStyle name="20% - Accent3 75 11 3" xfId="4901" xr:uid="{00000000-0005-0000-0000-000022130000}"/>
    <cellStyle name="20% - Accent3 75 12" xfId="4902" xr:uid="{00000000-0005-0000-0000-000023130000}"/>
    <cellStyle name="20% - Accent3 75 12 2" xfId="4903" xr:uid="{00000000-0005-0000-0000-000024130000}"/>
    <cellStyle name="20% - Accent3 75 12 2 2" xfId="4904" xr:uid="{00000000-0005-0000-0000-000025130000}"/>
    <cellStyle name="20% - Accent3 75 12 3" xfId="4905" xr:uid="{00000000-0005-0000-0000-000026130000}"/>
    <cellStyle name="20% - Accent3 75 13" xfId="4906" xr:uid="{00000000-0005-0000-0000-000027130000}"/>
    <cellStyle name="20% - Accent3 75 13 2" xfId="4907" xr:uid="{00000000-0005-0000-0000-000028130000}"/>
    <cellStyle name="20% - Accent3 75 13 2 2" xfId="4908" xr:uid="{00000000-0005-0000-0000-000029130000}"/>
    <cellStyle name="20% - Accent3 75 13 3" xfId="4909" xr:uid="{00000000-0005-0000-0000-00002A130000}"/>
    <cellStyle name="20% - Accent3 75 14" xfId="4910" xr:uid="{00000000-0005-0000-0000-00002B130000}"/>
    <cellStyle name="20% - Accent3 75 14 2" xfId="4911" xr:uid="{00000000-0005-0000-0000-00002C130000}"/>
    <cellStyle name="20% - Accent3 75 14 2 2" xfId="4912" xr:uid="{00000000-0005-0000-0000-00002D130000}"/>
    <cellStyle name="20% - Accent3 75 14 3" xfId="4913" xr:uid="{00000000-0005-0000-0000-00002E130000}"/>
    <cellStyle name="20% - Accent3 75 15" xfId="4914" xr:uid="{00000000-0005-0000-0000-00002F130000}"/>
    <cellStyle name="20% - Accent3 75 15 2" xfId="4915" xr:uid="{00000000-0005-0000-0000-000030130000}"/>
    <cellStyle name="20% - Accent3 75 15 2 2" xfId="4916" xr:uid="{00000000-0005-0000-0000-000031130000}"/>
    <cellStyle name="20% - Accent3 75 15 3" xfId="4917" xr:uid="{00000000-0005-0000-0000-000032130000}"/>
    <cellStyle name="20% - Accent3 75 16" xfId="4918" xr:uid="{00000000-0005-0000-0000-000033130000}"/>
    <cellStyle name="20% - Accent3 75 16 2" xfId="4919" xr:uid="{00000000-0005-0000-0000-000034130000}"/>
    <cellStyle name="20% - Accent3 75 16 2 2" xfId="4920" xr:uid="{00000000-0005-0000-0000-000035130000}"/>
    <cellStyle name="20% - Accent3 75 16 3" xfId="4921" xr:uid="{00000000-0005-0000-0000-000036130000}"/>
    <cellStyle name="20% - Accent3 75 17" xfId="4922" xr:uid="{00000000-0005-0000-0000-000037130000}"/>
    <cellStyle name="20% - Accent3 75 17 2" xfId="4923" xr:uid="{00000000-0005-0000-0000-000038130000}"/>
    <cellStyle name="20% - Accent3 75 17 2 2" xfId="4924" xr:uid="{00000000-0005-0000-0000-000039130000}"/>
    <cellStyle name="20% - Accent3 75 17 3" xfId="4925" xr:uid="{00000000-0005-0000-0000-00003A130000}"/>
    <cellStyle name="20% - Accent3 75 18" xfId="4926" xr:uid="{00000000-0005-0000-0000-00003B130000}"/>
    <cellStyle name="20% - Accent3 75 18 2" xfId="4927" xr:uid="{00000000-0005-0000-0000-00003C130000}"/>
    <cellStyle name="20% - Accent3 75 18 2 2" xfId="4928" xr:uid="{00000000-0005-0000-0000-00003D130000}"/>
    <cellStyle name="20% - Accent3 75 18 3" xfId="4929" xr:uid="{00000000-0005-0000-0000-00003E130000}"/>
    <cellStyle name="20% - Accent3 75 19" xfId="4930" xr:uid="{00000000-0005-0000-0000-00003F130000}"/>
    <cellStyle name="20% - Accent3 75 19 2" xfId="4931" xr:uid="{00000000-0005-0000-0000-000040130000}"/>
    <cellStyle name="20% - Accent3 75 19 2 2" xfId="4932" xr:uid="{00000000-0005-0000-0000-000041130000}"/>
    <cellStyle name="20% - Accent3 75 19 3" xfId="4933" xr:uid="{00000000-0005-0000-0000-000042130000}"/>
    <cellStyle name="20% - Accent3 75 2" xfId="4934" xr:uid="{00000000-0005-0000-0000-000043130000}"/>
    <cellStyle name="20% - Accent3 75 2 2" xfId="4935" xr:uid="{00000000-0005-0000-0000-000044130000}"/>
    <cellStyle name="20% - Accent3 75 2 2 2" xfId="4936" xr:uid="{00000000-0005-0000-0000-000045130000}"/>
    <cellStyle name="20% - Accent3 75 2 3" xfId="4937" xr:uid="{00000000-0005-0000-0000-000046130000}"/>
    <cellStyle name="20% - Accent3 75 20" xfId="4938" xr:uid="{00000000-0005-0000-0000-000047130000}"/>
    <cellStyle name="20% - Accent3 75 20 2" xfId="4939" xr:uid="{00000000-0005-0000-0000-000048130000}"/>
    <cellStyle name="20% - Accent3 75 20 2 2" xfId="4940" xr:uid="{00000000-0005-0000-0000-000049130000}"/>
    <cellStyle name="20% - Accent3 75 20 3" xfId="4941" xr:uid="{00000000-0005-0000-0000-00004A130000}"/>
    <cellStyle name="20% - Accent3 75 21" xfId="4942" xr:uid="{00000000-0005-0000-0000-00004B130000}"/>
    <cellStyle name="20% - Accent3 75 21 2" xfId="4943" xr:uid="{00000000-0005-0000-0000-00004C130000}"/>
    <cellStyle name="20% - Accent3 75 21 2 2" xfId="4944" xr:uid="{00000000-0005-0000-0000-00004D130000}"/>
    <cellStyle name="20% - Accent3 75 21 3" xfId="4945" xr:uid="{00000000-0005-0000-0000-00004E130000}"/>
    <cellStyle name="20% - Accent3 75 22" xfId="4946" xr:uid="{00000000-0005-0000-0000-00004F130000}"/>
    <cellStyle name="20% - Accent3 75 22 2" xfId="4947" xr:uid="{00000000-0005-0000-0000-000050130000}"/>
    <cellStyle name="20% - Accent3 75 22 2 2" xfId="4948" xr:uid="{00000000-0005-0000-0000-000051130000}"/>
    <cellStyle name="20% - Accent3 75 22 3" xfId="4949" xr:uid="{00000000-0005-0000-0000-000052130000}"/>
    <cellStyle name="20% - Accent3 75 23" xfId="4950" xr:uid="{00000000-0005-0000-0000-000053130000}"/>
    <cellStyle name="20% - Accent3 75 23 2" xfId="4951" xr:uid="{00000000-0005-0000-0000-000054130000}"/>
    <cellStyle name="20% - Accent3 75 23 2 2" xfId="4952" xr:uid="{00000000-0005-0000-0000-000055130000}"/>
    <cellStyle name="20% - Accent3 75 23 3" xfId="4953" xr:uid="{00000000-0005-0000-0000-000056130000}"/>
    <cellStyle name="20% - Accent3 75 24" xfId="4954" xr:uid="{00000000-0005-0000-0000-000057130000}"/>
    <cellStyle name="20% - Accent3 75 24 2" xfId="4955" xr:uid="{00000000-0005-0000-0000-000058130000}"/>
    <cellStyle name="20% - Accent3 75 24 2 2" xfId="4956" xr:uid="{00000000-0005-0000-0000-000059130000}"/>
    <cellStyle name="20% - Accent3 75 24 3" xfId="4957" xr:uid="{00000000-0005-0000-0000-00005A130000}"/>
    <cellStyle name="20% - Accent3 75 25" xfId="4958" xr:uid="{00000000-0005-0000-0000-00005B130000}"/>
    <cellStyle name="20% - Accent3 75 25 2" xfId="4959" xr:uid="{00000000-0005-0000-0000-00005C130000}"/>
    <cellStyle name="20% - Accent3 75 25 2 2" xfId="4960" xr:uid="{00000000-0005-0000-0000-00005D130000}"/>
    <cellStyle name="20% - Accent3 75 25 3" xfId="4961" xr:uid="{00000000-0005-0000-0000-00005E130000}"/>
    <cellStyle name="20% - Accent3 75 26" xfId="4962" xr:uid="{00000000-0005-0000-0000-00005F130000}"/>
    <cellStyle name="20% - Accent3 75 26 2" xfId="4963" xr:uid="{00000000-0005-0000-0000-000060130000}"/>
    <cellStyle name="20% - Accent3 75 26 2 2" xfId="4964" xr:uid="{00000000-0005-0000-0000-000061130000}"/>
    <cellStyle name="20% - Accent3 75 26 3" xfId="4965" xr:uid="{00000000-0005-0000-0000-000062130000}"/>
    <cellStyle name="20% - Accent3 75 27" xfId="4966" xr:uid="{00000000-0005-0000-0000-000063130000}"/>
    <cellStyle name="20% - Accent3 75 27 2" xfId="4967" xr:uid="{00000000-0005-0000-0000-000064130000}"/>
    <cellStyle name="20% - Accent3 75 27 2 2" xfId="4968" xr:uid="{00000000-0005-0000-0000-000065130000}"/>
    <cellStyle name="20% - Accent3 75 27 3" xfId="4969" xr:uid="{00000000-0005-0000-0000-000066130000}"/>
    <cellStyle name="20% - Accent3 75 28" xfId="4970" xr:uid="{00000000-0005-0000-0000-000067130000}"/>
    <cellStyle name="20% - Accent3 75 28 2" xfId="4971" xr:uid="{00000000-0005-0000-0000-000068130000}"/>
    <cellStyle name="20% - Accent3 75 28 2 2" xfId="4972" xr:uid="{00000000-0005-0000-0000-000069130000}"/>
    <cellStyle name="20% - Accent3 75 28 3" xfId="4973" xr:uid="{00000000-0005-0000-0000-00006A130000}"/>
    <cellStyle name="20% - Accent3 75 29" xfId="4974" xr:uid="{00000000-0005-0000-0000-00006B130000}"/>
    <cellStyle name="20% - Accent3 75 29 2" xfId="4975" xr:uid="{00000000-0005-0000-0000-00006C130000}"/>
    <cellStyle name="20% - Accent3 75 29 2 2" xfId="4976" xr:uid="{00000000-0005-0000-0000-00006D130000}"/>
    <cellStyle name="20% - Accent3 75 29 3" xfId="4977" xr:uid="{00000000-0005-0000-0000-00006E130000}"/>
    <cellStyle name="20% - Accent3 75 3" xfId="4978" xr:uid="{00000000-0005-0000-0000-00006F130000}"/>
    <cellStyle name="20% - Accent3 75 3 2" xfId="4979" xr:uid="{00000000-0005-0000-0000-000070130000}"/>
    <cellStyle name="20% - Accent3 75 3 2 2" xfId="4980" xr:uid="{00000000-0005-0000-0000-000071130000}"/>
    <cellStyle name="20% - Accent3 75 3 3" xfId="4981" xr:uid="{00000000-0005-0000-0000-000072130000}"/>
    <cellStyle name="20% - Accent3 75 30" xfId="4982" xr:uid="{00000000-0005-0000-0000-000073130000}"/>
    <cellStyle name="20% - Accent3 75 30 2" xfId="4983" xr:uid="{00000000-0005-0000-0000-000074130000}"/>
    <cellStyle name="20% - Accent3 75 30 2 2" xfId="4984" xr:uid="{00000000-0005-0000-0000-000075130000}"/>
    <cellStyle name="20% - Accent3 75 30 3" xfId="4985" xr:uid="{00000000-0005-0000-0000-000076130000}"/>
    <cellStyle name="20% - Accent3 75 31" xfId="4986" xr:uid="{00000000-0005-0000-0000-000077130000}"/>
    <cellStyle name="20% - Accent3 75 31 2" xfId="4987" xr:uid="{00000000-0005-0000-0000-000078130000}"/>
    <cellStyle name="20% - Accent3 75 31 2 2" xfId="4988" xr:uid="{00000000-0005-0000-0000-000079130000}"/>
    <cellStyle name="20% - Accent3 75 31 3" xfId="4989" xr:uid="{00000000-0005-0000-0000-00007A130000}"/>
    <cellStyle name="20% - Accent3 75 32" xfId="4990" xr:uid="{00000000-0005-0000-0000-00007B130000}"/>
    <cellStyle name="20% - Accent3 75 32 2" xfId="4991" xr:uid="{00000000-0005-0000-0000-00007C130000}"/>
    <cellStyle name="20% - Accent3 75 32 2 2" xfId="4992" xr:uid="{00000000-0005-0000-0000-00007D130000}"/>
    <cellStyle name="20% - Accent3 75 32 3" xfId="4993" xr:uid="{00000000-0005-0000-0000-00007E130000}"/>
    <cellStyle name="20% - Accent3 75 33" xfId="4994" xr:uid="{00000000-0005-0000-0000-00007F130000}"/>
    <cellStyle name="20% - Accent3 75 33 2" xfId="4995" xr:uid="{00000000-0005-0000-0000-000080130000}"/>
    <cellStyle name="20% - Accent3 75 33 2 2" xfId="4996" xr:uid="{00000000-0005-0000-0000-000081130000}"/>
    <cellStyle name="20% - Accent3 75 33 3" xfId="4997" xr:uid="{00000000-0005-0000-0000-000082130000}"/>
    <cellStyle name="20% - Accent3 75 34" xfId="4998" xr:uid="{00000000-0005-0000-0000-000083130000}"/>
    <cellStyle name="20% - Accent3 75 34 2" xfId="4999" xr:uid="{00000000-0005-0000-0000-000084130000}"/>
    <cellStyle name="20% - Accent3 75 34 2 2" xfId="5000" xr:uid="{00000000-0005-0000-0000-000085130000}"/>
    <cellStyle name="20% - Accent3 75 34 3" xfId="5001" xr:uid="{00000000-0005-0000-0000-000086130000}"/>
    <cellStyle name="20% - Accent3 75 35" xfId="5002" xr:uid="{00000000-0005-0000-0000-000087130000}"/>
    <cellStyle name="20% - Accent3 75 35 2" xfId="5003" xr:uid="{00000000-0005-0000-0000-000088130000}"/>
    <cellStyle name="20% - Accent3 75 35 2 2" xfId="5004" xr:uid="{00000000-0005-0000-0000-000089130000}"/>
    <cellStyle name="20% - Accent3 75 35 3" xfId="5005" xr:uid="{00000000-0005-0000-0000-00008A130000}"/>
    <cellStyle name="20% - Accent3 75 36" xfId="5006" xr:uid="{00000000-0005-0000-0000-00008B130000}"/>
    <cellStyle name="20% - Accent3 75 36 2" xfId="5007" xr:uid="{00000000-0005-0000-0000-00008C130000}"/>
    <cellStyle name="20% - Accent3 75 36 2 2" xfId="5008" xr:uid="{00000000-0005-0000-0000-00008D130000}"/>
    <cellStyle name="20% - Accent3 75 36 3" xfId="5009" xr:uid="{00000000-0005-0000-0000-00008E130000}"/>
    <cellStyle name="20% - Accent3 75 4" xfId="5010" xr:uid="{00000000-0005-0000-0000-00008F130000}"/>
    <cellStyle name="20% - Accent3 75 4 2" xfId="5011" xr:uid="{00000000-0005-0000-0000-000090130000}"/>
    <cellStyle name="20% - Accent3 75 4 2 2" xfId="5012" xr:uid="{00000000-0005-0000-0000-000091130000}"/>
    <cellStyle name="20% - Accent3 75 4 3" xfId="5013" xr:uid="{00000000-0005-0000-0000-000092130000}"/>
    <cellStyle name="20% - Accent3 75 5" xfId="5014" xr:uid="{00000000-0005-0000-0000-000093130000}"/>
    <cellStyle name="20% - Accent3 75 5 2" xfId="5015" xr:uid="{00000000-0005-0000-0000-000094130000}"/>
    <cellStyle name="20% - Accent3 75 5 2 2" xfId="5016" xr:uid="{00000000-0005-0000-0000-000095130000}"/>
    <cellStyle name="20% - Accent3 75 5 3" xfId="5017" xr:uid="{00000000-0005-0000-0000-000096130000}"/>
    <cellStyle name="20% - Accent3 75 6" xfId="5018" xr:uid="{00000000-0005-0000-0000-000097130000}"/>
    <cellStyle name="20% - Accent3 75 6 2" xfId="5019" xr:uid="{00000000-0005-0000-0000-000098130000}"/>
    <cellStyle name="20% - Accent3 75 6 2 2" xfId="5020" xr:uid="{00000000-0005-0000-0000-000099130000}"/>
    <cellStyle name="20% - Accent3 75 6 3" xfId="5021" xr:uid="{00000000-0005-0000-0000-00009A130000}"/>
    <cellStyle name="20% - Accent3 75 7" xfId="5022" xr:uid="{00000000-0005-0000-0000-00009B130000}"/>
    <cellStyle name="20% - Accent3 75 7 2" xfId="5023" xr:uid="{00000000-0005-0000-0000-00009C130000}"/>
    <cellStyle name="20% - Accent3 75 7 2 2" xfId="5024" xr:uid="{00000000-0005-0000-0000-00009D130000}"/>
    <cellStyle name="20% - Accent3 75 7 3" xfId="5025" xr:uid="{00000000-0005-0000-0000-00009E130000}"/>
    <cellStyle name="20% - Accent3 75 8" xfId="5026" xr:uid="{00000000-0005-0000-0000-00009F130000}"/>
    <cellStyle name="20% - Accent3 75 8 2" xfId="5027" xr:uid="{00000000-0005-0000-0000-0000A0130000}"/>
    <cellStyle name="20% - Accent3 75 8 2 2" xfId="5028" xr:uid="{00000000-0005-0000-0000-0000A1130000}"/>
    <cellStyle name="20% - Accent3 75 8 3" xfId="5029" xr:uid="{00000000-0005-0000-0000-0000A2130000}"/>
    <cellStyle name="20% - Accent3 75 9" xfId="5030" xr:uid="{00000000-0005-0000-0000-0000A3130000}"/>
    <cellStyle name="20% - Accent3 75 9 2" xfId="5031" xr:uid="{00000000-0005-0000-0000-0000A4130000}"/>
    <cellStyle name="20% - Accent3 75 9 2 2" xfId="5032" xr:uid="{00000000-0005-0000-0000-0000A5130000}"/>
    <cellStyle name="20% - Accent3 75 9 3" xfId="5033" xr:uid="{00000000-0005-0000-0000-0000A6130000}"/>
    <cellStyle name="20% - Accent3 76" xfId="5034" xr:uid="{00000000-0005-0000-0000-0000A7130000}"/>
    <cellStyle name="20% - Accent3 76 10" xfId="5035" xr:uid="{00000000-0005-0000-0000-0000A8130000}"/>
    <cellStyle name="20% - Accent3 76 10 2" xfId="5036" xr:uid="{00000000-0005-0000-0000-0000A9130000}"/>
    <cellStyle name="20% - Accent3 76 10 2 2" xfId="5037" xr:uid="{00000000-0005-0000-0000-0000AA130000}"/>
    <cellStyle name="20% - Accent3 76 10 3" xfId="5038" xr:uid="{00000000-0005-0000-0000-0000AB130000}"/>
    <cellStyle name="20% - Accent3 76 11" xfId="5039" xr:uid="{00000000-0005-0000-0000-0000AC130000}"/>
    <cellStyle name="20% - Accent3 76 11 2" xfId="5040" xr:uid="{00000000-0005-0000-0000-0000AD130000}"/>
    <cellStyle name="20% - Accent3 76 11 2 2" xfId="5041" xr:uid="{00000000-0005-0000-0000-0000AE130000}"/>
    <cellStyle name="20% - Accent3 76 11 3" xfId="5042" xr:uid="{00000000-0005-0000-0000-0000AF130000}"/>
    <cellStyle name="20% - Accent3 76 12" xfId="5043" xr:uid="{00000000-0005-0000-0000-0000B0130000}"/>
    <cellStyle name="20% - Accent3 76 12 2" xfId="5044" xr:uid="{00000000-0005-0000-0000-0000B1130000}"/>
    <cellStyle name="20% - Accent3 76 12 2 2" xfId="5045" xr:uid="{00000000-0005-0000-0000-0000B2130000}"/>
    <cellStyle name="20% - Accent3 76 12 3" xfId="5046" xr:uid="{00000000-0005-0000-0000-0000B3130000}"/>
    <cellStyle name="20% - Accent3 76 13" xfId="5047" xr:uid="{00000000-0005-0000-0000-0000B4130000}"/>
    <cellStyle name="20% - Accent3 76 13 2" xfId="5048" xr:uid="{00000000-0005-0000-0000-0000B5130000}"/>
    <cellStyle name="20% - Accent3 76 13 2 2" xfId="5049" xr:uid="{00000000-0005-0000-0000-0000B6130000}"/>
    <cellStyle name="20% - Accent3 76 13 3" xfId="5050" xr:uid="{00000000-0005-0000-0000-0000B7130000}"/>
    <cellStyle name="20% - Accent3 76 14" xfId="5051" xr:uid="{00000000-0005-0000-0000-0000B8130000}"/>
    <cellStyle name="20% - Accent3 76 14 2" xfId="5052" xr:uid="{00000000-0005-0000-0000-0000B9130000}"/>
    <cellStyle name="20% - Accent3 76 14 2 2" xfId="5053" xr:uid="{00000000-0005-0000-0000-0000BA130000}"/>
    <cellStyle name="20% - Accent3 76 14 3" xfId="5054" xr:uid="{00000000-0005-0000-0000-0000BB130000}"/>
    <cellStyle name="20% - Accent3 76 15" xfId="5055" xr:uid="{00000000-0005-0000-0000-0000BC130000}"/>
    <cellStyle name="20% - Accent3 76 15 2" xfId="5056" xr:uid="{00000000-0005-0000-0000-0000BD130000}"/>
    <cellStyle name="20% - Accent3 76 15 2 2" xfId="5057" xr:uid="{00000000-0005-0000-0000-0000BE130000}"/>
    <cellStyle name="20% - Accent3 76 15 3" xfId="5058" xr:uid="{00000000-0005-0000-0000-0000BF130000}"/>
    <cellStyle name="20% - Accent3 76 16" xfId="5059" xr:uid="{00000000-0005-0000-0000-0000C0130000}"/>
    <cellStyle name="20% - Accent3 76 16 2" xfId="5060" xr:uid="{00000000-0005-0000-0000-0000C1130000}"/>
    <cellStyle name="20% - Accent3 76 16 2 2" xfId="5061" xr:uid="{00000000-0005-0000-0000-0000C2130000}"/>
    <cellStyle name="20% - Accent3 76 16 3" xfId="5062" xr:uid="{00000000-0005-0000-0000-0000C3130000}"/>
    <cellStyle name="20% - Accent3 76 17" xfId="5063" xr:uid="{00000000-0005-0000-0000-0000C4130000}"/>
    <cellStyle name="20% - Accent3 76 17 2" xfId="5064" xr:uid="{00000000-0005-0000-0000-0000C5130000}"/>
    <cellStyle name="20% - Accent3 76 17 2 2" xfId="5065" xr:uid="{00000000-0005-0000-0000-0000C6130000}"/>
    <cellStyle name="20% - Accent3 76 17 3" xfId="5066" xr:uid="{00000000-0005-0000-0000-0000C7130000}"/>
    <cellStyle name="20% - Accent3 76 18" xfId="5067" xr:uid="{00000000-0005-0000-0000-0000C8130000}"/>
    <cellStyle name="20% - Accent3 76 18 2" xfId="5068" xr:uid="{00000000-0005-0000-0000-0000C9130000}"/>
    <cellStyle name="20% - Accent3 76 18 2 2" xfId="5069" xr:uid="{00000000-0005-0000-0000-0000CA130000}"/>
    <cellStyle name="20% - Accent3 76 18 3" xfId="5070" xr:uid="{00000000-0005-0000-0000-0000CB130000}"/>
    <cellStyle name="20% - Accent3 76 19" xfId="5071" xr:uid="{00000000-0005-0000-0000-0000CC130000}"/>
    <cellStyle name="20% - Accent3 76 19 2" xfId="5072" xr:uid="{00000000-0005-0000-0000-0000CD130000}"/>
    <cellStyle name="20% - Accent3 76 19 2 2" xfId="5073" xr:uid="{00000000-0005-0000-0000-0000CE130000}"/>
    <cellStyle name="20% - Accent3 76 19 3" xfId="5074" xr:uid="{00000000-0005-0000-0000-0000CF130000}"/>
    <cellStyle name="20% - Accent3 76 2" xfId="5075" xr:uid="{00000000-0005-0000-0000-0000D0130000}"/>
    <cellStyle name="20% - Accent3 76 2 2" xfId="5076" xr:uid="{00000000-0005-0000-0000-0000D1130000}"/>
    <cellStyle name="20% - Accent3 76 2 2 2" xfId="5077" xr:uid="{00000000-0005-0000-0000-0000D2130000}"/>
    <cellStyle name="20% - Accent3 76 2 3" xfId="5078" xr:uid="{00000000-0005-0000-0000-0000D3130000}"/>
    <cellStyle name="20% - Accent3 76 20" xfId="5079" xr:uid="{00000000-0005-0000-0000-0000D4130000}"/>
    <cellStyle name="20% - Accent3 76 20 2" xfId="5080" xr:uid="{00000000-0005-0000-0000-0000D5130000}"/>
    <cellStyle name="20% - Accent3 76 20 2 2" xfId="5081" xr:uid="{00000000-0005-0000-0000-0000D6130000}"/>
    <cellStyle name="20% - Accent3 76 20 3" xfId="5082" xr:uid="{00000000-0005-0000-0000-0000D7130000}"/>
    <cellStyle name="20% - Accent3 76 21" xfId="5083" xr:uid="{00000000-0005-0000-0000-0000D8130000}"/>
    <cellStyle name="20% - Accent3 76 21 2" xfId="5084" xr:uid="{00000000-0005-0000-0000-0000D9130000}"/>
    <cellStyle name="20% - Accent3 76 21 2 2" xfId="5085" xr:uid="{00000000-0005-0000-0000-0000DA130000}"/>
    <cellStyle name="20% - Accent3 76 21 3" xfId="5086" xr:uid="{00000000-0005-0000-0000-0000DB130000}"/>
    <cellStyle name="20% - Accent3 76 22" xfId="5087" xr:uid="{00000000-0005-0000-0000-0000DC130000}"/>
    <cellStyle name="20% - Accent3 76 22 2" xfId="5088" xr:uid="{00000000-0005-0000-0000-0000DD130000}"/>
    <cellStyle name="20% - Accent3 76 22 2 2" xfId="5089" xr:uid="{00000000-0005-0000-0000-0000DE130000}"/>
    <cellStyle name="20% - Accent3 76 22 3" xfId="5090" xr:uid="{00000000-0005-0000-0000-0000DF130000}"/>
    <cellStyle name="20% - Accent3 76 23" xfId="5091" xr:uid="{00000000-0005-0000-0000-0000E0130000}"/>
    <cellStyle name="20% - Accent3 76 23 2" xfId="5092" xr:uid="{00000000-0005-0000-0000-0000E1130000}"/>
    <cellStyle name="20% - Accent3 76 23 2 2" xfId="5093" xr:uid="{00000000-0005-0000-0000-0000E2130000}"/>
    <cellStyle name="20% - Accent3 76 23 3" xfId="5094" xr:uid="{00000000-0005-0000-0000-0000E3130000}"/>
    <cellStyle name="20% - Accent3 76 24" xfId="5095" xr:uid="{00000000-0005-0000-0000-0000E4130000}"/>
    <cellStyle name="20% - Accent3 76 24 2" xfId="5096" xr:uid="{00000000-0005-0000-0000-0000E5130000}"/>
    <cellStyle name="20% - Accent3 76 24 2 2" xfId="5097" xr:uid="{00000000-0005-0000-0000-0000E6130000}"/>
    <cellStyle name="20% - Accent3 76 24 3" xfId="5098" xr:uid="{00000000-0005-0000-0000-0000E7130000}"/>
    <cellStyle name="20% - Accent3 76 25" xfId="5099" xr:uid="{00000000-0005-0000-0000-0000E8130000}"/>
    <cellStyle name="20% - Accent3 76 25 2" xfId="5100" xr:uid="{00000000-0005-0000-0000-0000E9130000}"/>
    <cellStyle name="20% - Accent3 76 25 2 2" xfId="5101" xr:uid="{00000000-0005-0000-0000-0000EA130000}"/>
    <cellStyle name="20% - Accent3 76 25 3" xfId="5102" xr:uid="{00000000-0005-0000-0000-0000EB130000}"/>
    <cellStyle name="20% - Accent3 76 26" xfId="5103" xr:uid="{00000000-0005-0000-0000-0000EC130000}"/>
    <cellStyle name="20% - Accent3 76 26 2" xfId="5104" xr:uid="{00000000-0005-0000-0000-0000ED130000}"/>
    <cellStyle name="20% - Accent3 76 26 2 2" xfId="5105" xr:uid="{00000000-0005-0000-0000-0000EE130000}"/>
    <cellStyle name="20% - Accent3 76 26 3" xfId="5106" xr:uid="{00000000-0005-0000-0000-0000EF130000}"/>
    <cellStyle name="20% - Accent3 76 27" xfId="5107" xr:uid="{00000000-0005-0000-0000-0000F0130000}"/>
    <cellStyle name="20% - Accent3 76 27 2" xfId="5108" xr:uid="{00000000-0005-0000-0000-0000F1130000}"/>
    <cellStyle name="20% - Accent3 76 27 2 2" xfId="5109" xr:uid="{00000000-0005-0000-0000-0000F2130000}"/>
    <cellStyle name="20% - Accent3 76 27 3" xfId="5110" xr:uid="{00000000-0005-0000-0000-0000F3130000}"/>
    <cellStyle name="20% - Accent3 76 28" xfId="5111" xr:uid="{00000000-0005-0000-0000-0000F4130000}"/>
    <cellStyle name="20% - Accent3 76 28 2" xfId="5112" xr:uid="{00000000-0005-0000-0000-0000F5130000}"/>
    <cellStyle name="20% - Accent3 76 28 2 2" xfId="5113" xr:uid="{00000000-0005-0000-0000-0000F6130000}"/>
    <cellStyle name="20% - Accent3 76 28 3" xfId="5114" xr:uid="{00000000-0005-0000-0000-0000F7130000}"/>
    <cellStyle name="20% - Accent3 76 29" xfId="5115" xr:uid="{00000000-0005-0000-0000-0000F8130000}"/>
    <cellStyle name="20% - Accent3 76 29 2" xfId="5116" xr:uid="{00000000-0005-0000-0000-0000F9130000}"/>
    <cellStyle name="20% - Accent3 76 29 2 2" xfId="5117" xr:uid="{00000000-0005-0000-0000-0000FA130000}"/>
    <cellStyle name="20% - Accent3 76 29 3" xfId="5118" xr:uid="{00000000-0005-0000-0000-0000FB130000}"/>
    <cellStyle name="20% - Accent3 76 3" xfId="5119" xr:uid="{00000000-0005-0000-0000-0000FC130000}"/>
    <cellStyle name="20% - Accent3 76 3 2" xfId="5120" xr:uid="{00000000-0005-0000-0000-0000FD130000}"/>
    <cellStyle name="20% - Accent3 76 3 2 2" xfId="5121" xr:uid="{00000000-0005-0000-0000-0000FE130000}"/>
    <cellStyle name="20% - Accent3 76 3 3" xfId="5122" xr:uid="{00000000-0005-0000-0000-0000FF130000}"/>
    <cellStyle name="20% - Accent3 76 30" xfId="5123" xr:uid="{00000000-0005-0000-0000-000000140000}"/>
    <cellStyle name="20% - Accent3 76 30 2" xfId="5124" xr:uid="{00000000-0005-0000-0000-000001140000}"/>
    <cellStyle name="20% - Accent3 76 30 2 2" xfId="5125" xr:uid="{00000000-0005-0000-0000-000002140000}"/>
    <cellStyle name="20% - Accent3 76 30 3" xfId="5126" xr:uid="{00000000-0005-0000-0000-000003140000}"/>
    <cellStyle name="20% - Accent3 76 31" xfId="5127" xr:uid="{00000000-0005-0000-0000-000004140000}"/>
    <cellStyle name="20% - Accent3 76 31 2" xfId="5128" xr:uid="{00000000-0005-0000-0000-000005140000}"/>
    <cellStyle name="20% - Accent3 76 31 2 2" xfId="5129" xr:uid="{00000000-0005-0000-0000-000006140000}"/>
    <cellStyle name="20% - Accent3 76 31 3" xfId="5130" xr:uid="{00000000-0005-0000-0000-000007140000}"/>
    <cellStyle name="20% - Accent3 76 32" xfId="5131" xr:uid="{00000000-0005-0000-0000-000008140000}"/>
    <cellStyle name="20% - Accent3 76 32 2" xfId="5132" xr:uid="{00000000-0005-0000-0000-000009140000}"/>
    <cellStyle name="20% - Accent3 76 32 2 2" xfId="5133" xr:uid="{00000000-0005-0000-0000-00000A140000}"/>
    <cellStyle name="20% - Accent3 76 32 3" xfId="5134" xr:uid="{00000000-0005-0000-0000-00000B140000}"/>
    <cellStyle name="20% - Accent3 76 33" xfId="5135" xr:uid="{00000000-0005-0000-0000-00000C140000}"/>
    <cellStyle name="20% - Accent3 76 33 2" xfId="5136" xr:uid="{00000000-0005-0000-0000-00000D140000}"/>
    <cellStyle name="20% - Accent3 76 33 2 2" xfId="5137" xr:uid="{00000000-0005-0000-0000-00000E140000}"/>
    <cellStyle name="20% - Accent3 76 33 3" xfId="5138" xr:uid="{00000000-0005-0000-0000-00000F140000}"/>
    <cellStyle name="20% - Accent3 76 34" xfId="5139" xr:uid="{00000000-0005-0000-0000-000010140000}"/>
    <cellStyle name="20% - Accent3 76 34 2" xfId="5140" xr:uid="{00000000-0005-0000-0000-000011140000}"/>
    <cellStyle name="20% - Accent3 76 34 2 2" xfId="5141" xr:uid="{00000000-0005-0000-0000-000012140000}"/>
    <cellStyle name="20% - Accent3 76 34 3" xfId="5142" xr:uid="{00000000-0005-0000-0000-000013140000}"/>
    <cellStyle name="20% - Accent3 76 35" xfId="5143" xr:uid="{00000000-0005-0000-0000-000014140000}"/>
    <cellStyle name="20% - Accent3 76 35 2" xfId="5144" xr:uid="{00000000-0005-0000-0000-000015140000}"/>
    <cellStyle name="20% - Accent3 76 35 2 2" xfId="5145" xr:uid="{00000000-0005-0000-0000-000016140000}"/>
    <cellStyle name="20% - Accent3 76 35 3" xfId="5146" xr:uid="{00000000-0005-0000-0000-000017140000}"/>
    <cellStyle name="20% - Accent3 76 36" xfId="5147" xr:uid="{00000000-0005-0000-0000-000018140000}"/>
    <cellStyle name="20% - Accent3 76 36 2" xfId="5148" xr:uid="{00000000-0005-0000-0000-000019140000}"/>
    <cellStyle name="20% - Accent3 76 36 2 2" xfId="5149" xr:uid="{00000000-0005-0000-0000-00001A140000}"/>
    <cellStyle name="20% - Accent3 76 36 3" xfId="5150" xr:uid="{00000000-0005-0000-0000-00001B140000}"/>
    <cellStyle name="20% - Accent3 76 4" xfId="5151" xr:uid="{00000000-0005-0000-0000-00001C140000}"/>
    <cellStyle name="20% - Accent3 76 4 2" xfId="5152" xr:uid="{00000000-0005-0000-0000-00001D140000}"/>
    <cellStyle name="20% - Accent3 76 4 2 2" xfId="5153" xr:uid="{00000000-0005-0000-0000-00001E140000}"/>
    <cellStyle name="20% - Accent3 76 4 3" xfId="5154" xr:uid="{00000000-0005-0000-0000-00001F140000}"/>
    <cellStyle name="20% - Accent3 76 5" xfId="5155" xr:uid="{00000000-0005-0000-0000-000020140000}"/>
    <cellStyle name="20% - Accent3 76 5 2" xfId="5156" xr:uid="{00000000-0005-0000-0000-000021140000}"/>
    <cellStyle name="20% - Accent3 76 5 2 2" xfId="5157" xr:uid="{00000000-0005-0000-0000-000022140000}"/>
    <cellStyle name="20% - Accent3 76 5 3" xfId="5158" xr:uid="{00000000-0005-0000-0000-000023140000}"/>
    <cellStyle name="20% - Accent3 76 6" xfId="5159" xr:uid="{00000000-0005-0000-0000-000024140000}"/>
    <cellStyle name="20% - Accent3 76 6 2" xfId="5160" xr:uid="{00000000-0005-0000-0000-000025140000}"/>
    <cellStyle name="20% - Accent3 76 6 2 2" xfId="5161" xr:uid="{00000000-0005-0000-0000-000026140000}"/>
    <cellStyle name="20% - Accent3 76 6 3" xfId="5162" xr:uid="{00000000-0005-0000-0000-000027140000}"/>
    <cellStyle name="20% - Accent3 76 7" xfId="5163" xr:uid="{00000000-0005-0000-0000-000028140000}"/>
    <cellStyle name="20% - Accent3 76 7 2" xfId="5164" xr:uid="{00000000-0005-0000-0000-000029140000}"/>
    <cellStyle name="20% - Accent3 76 7 2 2" xfId="5165" xr:uid="{00000000-0005-0000-0000-00002A140000}"/>
    <cellStyle name="20% - Accent3 76 7 3" xfId="5166" xr:uid="{00000000-0005-0000-0000-00002B140000}"/>
    <cellStyle name="20% - Accent3 76 8" xfId="5167" xr:uid="{00000000-0005-0000-0000-00002C140000}"/>
    <cellStyle name="20% - Accent3 76 8 2" xfId="5168" xr:uid="{00000000-0005-0000-0000-00002D140000}"/>
    <cellStyle name="20% - Accent3 76 8 2 2" xfId="5169" xr:uid="{00000000-0005-0000-0000-00002E140000}"/>
    <cellStyle name="20% - Accent3 76 8 3" xfId="5170" xr:uid="{00000000-0005-0000-0000-00002F140000}"/>
    <cellStyle name="20% - Accent3 76 9" xfId="5171" xr:uid="{00000000-0005-0000-0000-000030140000}"/>
    <cellStyle name="20% - Accent3 76 9 2" xfId="5172" xr:uid="{00000000-0005-0000-0000-000031140000}"/>
    <cellStyle name="20% - Accent3 76 9 2 2" xfId="5173" xr:uid="{00000000-0005-0000-0000-000032140000}"/>
    <cellStyle name="20% - Accent3 76 9 3" xfId="5174" xr:uid="{00000000-0005-0000-0000-000033140000}"/>
    <cellStyle name="20% - Accent3 77" xfId="5175" xr:uid="{00000000-0005-0000-0000-000034140000}"/>
    <cellStyle name="20% - Accent3 77 10" xfId="5176" xr:uid="{00000000-0005-0000-0000-000035140000}"/>
    <cellStyle name="20% - Accent3 77 10 2" xfId="5177" xr:uid="{00000000-0005-0000-0000-000036140000}"/>
    <cellStyle name="20% - Accent3 77 10 2 2" xfId="5178" xr:uid="{00000000-0005-0000-0000-000037140000}"/>
    <cellStyle name="20% - Accent3 77 10 3" xfId="5179" xr:uid="{00000000-0005-0000-0000-000038140000}"/>
    <cellStyle name="20% - Accent3 77 11" xfId="5180" xr:uid="{00000000-0005-0000-0000-000039140000}"/>
    <cellStyle name="20% - Accent3 77 11 2" xfId="5181" xr:uid="{00000000-0005-0000-0000-00003A140000}"/>
    <cellStyle name="20% - Accent3 77 11 2 2" xfId="5182" xr:uid="{00000000-0005-0000-0000-00003B140000}"/>
    <cellStyle name="20% - Accent3 77 11 3" xfId="5183" xr:uid="{00000000-0005-0000-0000-00003C140000}"/>
    <cellStyle name="20% - Accent3 77 12" xfId="5184" xr:uid="{00000000-0005-0000-0000-00003D140000}"/>
    <cellStyle name="20% - Accent3 77 12 2" xfId="5185" xr:uid="{00000000-0005-0000-0000-00003E140000}"/>
    <cellStyle name="20% - Accent3 77 12 2 2" xfId="5186" xr:uid="{00000000-0005-0000-0000-00003F140000}"/>
    <cellStyle name="20% - Accent3 77 12 3" xfId="5187" xr:uid="{00000000-0005-0000-0000-000040140000}"/>
    <cellStyle name="20% - Accent3 77 13" xfId="5188" xr:uid="{00000000-0005-0000-0000-000041140000}"/>
    <cellStyle name="20% - Accent3 77 13 2" xfId="5189" xr:uid="{00000000-0005-0000-0000-000042140000}"/>
    <cellStyle name="20% - Accent3 77 13 2 2" xfId="5190" xr:uid="{00000000-0005-0000-0000-000043140000}"/>
    <cellStyle name="20% - Accent3 77 13 3" xfId="5191" xr:uid="{00000000-0005-0000-0000-000044140000}"/>
    <cellStyle name="20% - Accent3 77 14" xfId="5192" xr:uid="{00000000-0005-0000-0000-000045140000}"/>
    <cellStyle name="20% - Accent3 77 14 2" xfId="5193" xr:uid="{00000000-0005-0000-0000-000046140000}"/>
    <cellStyle name="20% - Accent3 77 14 2 2" xfId="5194" xr:uid="{00000000-0005-0000-0000-000047140000}"/>
    <cellStyle name="20% - Accent3 77 14 3" xfId="5195" xr:uid="{00000000-0005-0000-0000-000048140000}"/>
    <cellStyle name="20% - Accent3 77 15" xfId="5196" xr:uid="{00000000-0005-0000-0000-000049140000}"/>
    <cellStyle name="20% - Accent3 77 15 2" xfId="5197" xr:uid="{00000000-0005-0000-0000-00004A140000}"/>
    <cellStyle name="20% - Accent3 77 15 2 2" xfId="5198" xr:uid="{00000000-0005-0000-0000-00004B140000}"/>
    <cellStyle name="20% - Accent3 77 15 3" xfId="5199" xr:uid="{00000000-0005-0000-0000-00004C140000}"/>
    <cellStyle name="20% - Accent3 77 16" xfId="5200" xr:uid="{00000000-0005-0000-0000-00004D140000}"/>
    <cellStyle name="20% - Accent3 77 16 2" xfId="5201" xr:uid="{00000000-0005-0000-0000-00004E140000}"/>
    <cellStyle name="20% - Accent3 77 16 2 2" xfId="5202" xr:uid="{00000000-0005-0000-0000-00004F140000}"/>
    <cellStyle name="20% - Accent3 77 16 3" xfId="5203" xr:uid="{00000000-0005-0000-0000-000050140000}"/>
    <cellStyle name="20% - Accent3 77 17" xfId="5204" xr:uid="{00000000-0005-0000-0000-000051140000}"/>
    <cellStyle name="20% - Accent3 77 17 2" xfId="5205" xr:uid="{00000000-0005-0000-0000-000052140000}"/>
    <cellStyle name="20% - Accent3 77 17 2 2" xfId="5206" xr:uid="{00000000-0005-0000-0000-000053140000}"/>
    <cellStyle name="20% - Accent3 77 17 3" xfId="5207" xr:uid="{00000000-0005-0000-0000-000054140000}"/>
    <cellStyle name="20% - Accent3 77 18" xfId="5208" xr:uid="{00000000-0005-0000-0000-000055140000}"/>
    <cellStyle name="20% - Accent3 77 18 2" xfId="5209" xr:uid="{00000000-0005-0000-0000-000056140000}"/>
    <cellStyle name="20% - Accent3 77 18 2 2" xfId="5210" xr:uid="{00000000-0005-0000-0000-000057140000}"/>
    <cellStyle name="20% - Accent3 77 18 3" xfId="5211" xr:uid="{00000000-0005-0000-0000-000058140000}"/>
    <cellStyle name="20% - Accent3 77 19" xfId="5212" xr:uid="{00000000-0005-0000-0000-000059140000}"/>
    <cellStyle name="20% - Accent3 77 19 2" xfId="5213" xr:uid="{00000000-0005-0000-0000-00005A140000}"/>
    <cellStyle name="20% - Accent3 77 19 2 2" xfId="5214" xr:uid="{00000000-0005-0000-0000-00005B140000}"/>
    <cellStyle name="20% - Accent3 77 19 3" xfId="5215" xr:uid="{00000000-0005-0000-0000-00005C140000}"/>
    <cellStyle name="20% - Accent3 77 2" xfId="5216" xr:uid="{00000000-0005-0000-0000-00005D140000}"/>
    <cellStyle name="20% - Accent3 77 2 2" xfId="5217" xr:uid="{00000000-0005-0000-0000-00005E140000}"/>
    <cellStyle name="20% - Accent3 77 2 2 2" xfId="5218" xr:uid="{00000000-0005-0000-0000-00005F140000}"/>
    <cellStyle name="20% - Accent3 77 2 3" xfId="5219" xr:uid="{00000000-0005-0000-0000-000060140000}"/>
    <cellStyle name="20% - Accent3 77 20" xfId="5220" xr:uid="{00000000-0005-0000-0000-000061140000}"/>
    <cellStyle name="20% - Accent3 77 20 2" xfId="5221" xr:uid="{00000000-0005-0000-0000-000062140000}"/>
    <cellStyle name="20% - Accent3 77 20 2 2" xfId="5222" xr:uid="{00000000-0005-0000-0000-000063140000}"/>
    <cellStyle name="20% - Accent3 77 20 3" xfId="5223" xr:uid="{00000000-0005-0000-0000-000064140000}"/>
    <cellStyle name="20% - Accent3 77 21" xfId="5224" xr:uid="{00000000-0005-0000-0000-000065140000}"/>
    <cellStyle name="20% - Accent3 77 21 2" xfId="5225" xr:uid="{00000000-0005-0000-0000-000066140000}"/>
    <cellStyle name="20% - Accent3 77 21 2 2" xfId="5226" xr:uid="{00000000-0005-0000-0000-000067140000}"/>
    <cellStyle name="20% - Accent3 77 21 3" xfId="5227" xr:uid="{00000000-0005-0000-0000-000068140000}"/>
    <cellStyle name="20% - Accent3 77 22" xfId="5228" xr:uid="{00000000-0005-0000-0000-000069140000}"/>
    <cellStyle name="20% - Accent3 77 22 2" xfId="5229" xr:uid="{00000000-0005-0000-0000-00006A140000}"/>
    <cellStyle name="20% - Accent3 77 22 2 2" xfId="5230" xr:uid="{00000000-0005-0000-0000-00006B140000}"/>
    <cellStyle name="20% - Accent3 77 22 3" xfId="5231" xr:uid="{00000000-0005-0000-0000-00006C140000}"/>
    <cellStyle name="20% - Accent3 77 23" xfId="5232" xr:uid="{00000000-0005-0000-0000-00006D140000}"/>
    <cellStyle name="20% - Accent3 77 23 2" xfId="5233" xr:uid="{00000000-0005-0000-0000-00006E140000}"/>
    <cellStyle name="20% - Accent3 77 23 2 2" xfId="5234" xr:uid="{00000000-0005-0000-0000-00006F140000}"/>
    <cellStyle name="20% - Accent3 77 23 3" xfId="5235" xr:uid="{00000000-0005-0000-0000-000070140000}"/>
    <cellStyle name="20% - Accent3 77 24" xfId="5236" xr:uid="{00000000-0005-0000-0000-000071140000}"/>
    <cellStyle name="20% - Accent3 77 24 2" xfId="5237" xr:uid="{00000000-0005-0000-0000-000072140000}"/>
    <cellStyle name="20% - Accent3 77 24 2 2" xfId="5238" xr:uid="{00000000-0005-0000-0000-000073140000}"/>
    <cellStyle name="20% - Accent3 77 24 3" xfId="5239" xr:uid="{00000000-0005-0000-0000-000074140000}"/>
    <cellStyle name="20% - Accent3 77 25" xfId="5240" xr:uid="{00000000-0005-0000-0000-000075140000}"/>
    <cellStyle name="20% - Accent3 77 25 2" xfId="5241" xr:uid="{00000000-0005-0000-0000-000076140000}"/>
    <cellStyle name="20% - Accent3 77 25 2 2" xfId="5242" xr:uid="{00000000-0005-0000-0000-000077140000}"/>
    <cellStyle name="20% - Accent3 77 25 3" xfId="5243" xr:uid="{00000000-0005-0000-0000-000078140000}"/>
    <cellStyle name="20% - Accent3 77 26" xfId="5244" xr:uid="{00000000-0005-0000-0000-000079140000}"/>
    <cellStyle name="20% - Accent3 77 26 2" xfId="5245" xr:uid="{00000000-0005-0000-0000-00007A140000}"/>
    <cellStyle name="20% - Accent3 77 26 2 2" xfId="5246" xr:uid="{00000000-0005-0000-0000-00007B140000}"/>
    <cellStyle name="20% - Accent3 77 26 3" xfId="5247" xr:uid="{00000000-0005-0000-0000-00007C140000}"/>
    <cellStyle name="20% - Accent3 77 27" xfId="5248" xr:uid="{00000000-0005-0000-0000-00007D140000}"/>
    <cellStyle name="20% - Accent3 77 27 2" xfId="5249" xr:uid="{00000000-0005-0000-0000-00007E140000}"/>
    <cellStyle name="20% - Accent3 77 27 2 2" xfId="5250" xr:uid="{00000000-0005-0000-0000-00007F140000}"/>
    <cellStyle name="20% - Accent3 77 27 3" xfId="5251" xr:uid="{00000000-0005-0000-0000-000080140000}"/>
    <cellStyle name="20% - Accent3 77 28" xfId="5252" xr:uid="{00000000-0005-0000-0000-000081140000}"/>
    <cellStyle name="20% - Accent3 77 28 2" xfId="5253" xr:uid="{00000000-0005-0000-0000-000082140000}"/>
    <cellStyle name="20% - Accent3 77 28 2 2" xfId="5254" xr:uid="{00000000-0005-0000-0000-000083140000}"/>
    <cellStyle name="20% - Accent3 77 28 3" xfId="5255" xr:uid="{00000000-0005-0000-0000-000084140000}"/>
    <cellStyle name="20% - Accent3 77 29" xfId="5256" xr:uid="{00000000-0005-0000-0000-000085140000}"/>
    <cellStyle name="20% - Accent3 77 29 2" xfId="5257" xr:uid="{00000000-0005-0000-0000-000086140000}"/>
    <cellStyle name="20% - Accent3 77 29 2 2" xfId="5258" xr:uid="{00000000-0005-0000-0000-000087140000}"/>
    <cellStyle name="20% - Accent3 77 29 3" xfId="5259" xr:uid="{00000000-0005-0000-0000-000088140000}"/>
    <cellStyle name="20% - Accent3 77 3" xfId="5260" xr:uid="{00000000-0005-0000-0000-000089140000}"/>
    <cellStyle name="20% - Accent3 77 3 2" xfId="5261" xr:uid="{00000000-0005-0000-0000-00008A140000}"/>
    <cellStyle name="20% - Accent3 77 3 2 2" xfId="5262" xr:uid="{00000000-0005-0000-0000-00008B140000}"/>
    <cellStyle name="20% - Accent3 77 3 3" xfId="5263" xr:uid="{00000000-0005-0000-0000-00008C140000}"/>
    <cellStyle name="20% - Accent3 77 30" xfId="5264" xr:uid="{00000000-0005-0000-0000-00008D140000}"/>
    <cellStyle name="20% - Accent3 77 30 2" xfId="5265" xr:uid="{00000000-0005-0000-0000-00008E140000}"/>
    <cellStyle name="20% - Accent3 77 30 2 2" xfId="5266" xr:uid="{00000000-0005-0000-0000-00008F140000}"/>
    <cellStyle name="20% - Accent3 77 30 3" xfId="5267" xr:uid="{00000000-0005-0000-0000-000090140000}"/>
    <cellStyle name="20% - Accent3 77 31" xfId="5268" xr:uid="{00000000-0005-0000-0000-000091140000}"/>
    <cellStyle name="20% - Accent3 77 31 2" xfId="5269" xr:uid="{00000000-0005-0000-0000-000092140000}"/>
    <cellStyle name="20% - Accent3 77 31 2 2" xfId="5270" xr:uid="{00000000-0005-0000-0000-000093140000}"/>
    <cellStyle name="20% - Accent3 77 31 3" xfId="5271" xr:uid="{00000000-0005-0000-0000-000094140000}"/>
    <cellStyle name="20% - Accent3 77 32" xfId="5272" xr:uid="{00000000-0005-0000-0000-000095140000}"/>
    <cellStyle name="20% - Accent3 77 32 2" xfId="5273" xr:uid="{00000000-0005-0000-0000-000096140000}"/>
    <cellStyle name="20% - Accent3 77 32 2 2" xfId="5274" xr:uid="{00000000-0005-0000-0000-000097140000}"/>
    <cellStyle name="20% - Accent3 77 32 3" xfId="5275" xr:uid="{00000000-0005-0000-0000-000098140000}"/>
    <cellStyle name="20% - Accent3 77 33" xfId="5276" xr:uid="{00000000-0005-0000-0000-000099140000}"/>
    <cellStyle name="20% - Accent3 77 33 2" xfId="5277" xr:uid="{00000000-0005-0000-0000-00009A140000}"/>
    <cellStyle name="20% - Accent3 77 33 2 2" xfId="5278" xr:uid="{00000000-0005-0000-0000-00009B140000}"/>
    <cellStyle name="20% - Accent3 77 33 3" xfId="5279" xr:uid="{00000000-0005-0000-0000-00009C140000}"/>
    <cellStyle name="20% - Accent3 77 34" xfId="5280" xr:uid="{00000000-0005-0000-0000-00009D140000}"/>
    <cellStyle name="20% - Accent3 77 34 2" xfId="5281" xr:uid="{00000000-0005-0000-0000-00009E140000}"/>
    <cellStyle name="20% - Accent3 77 34 2 2" xfId="5282" xr:uid="{00000000-0005-0000-0000-00009F140000}"/>
    <cellStyle name="20% - Accent3 77 34 3" xfId="5283" xr:uid="{00000000-0005-0000-0000-0000A0140000}"/>
    <cellStyle name="20% - Accent3 77 35" xfId="5284" xr:uid="{00000000-0005-0000-0000-0000A1140000}"/>
    <cellStyle name="20% - Accent3 77 35 2" xfId="5285" xr:uid="{00000000-0005-0000-0000-0000A2140000}"/>
    <cellStyle name="20% - Accent3 77 35 2 2" xfId="5286" xr:uid="{00000000-0005-0000-0000-0000A3140000}"/>
    <cellStyle name="20% - Accent3 77 35 3" xfId="5287" xr:uid="{00000000-0005-0000-0000-0000A4140000}"/>
    <cellStyle name="20% - Accent3 77 36" xfId="5288" xr:uid="{00000000-0005-0000-0000-0000A5140000}"/>
    <cellStyle name="20% - Accent3 77 36 2" xfId="5289" xr:uid="{00000000-0005-0000-0000-0000A6140000}"/>
    <cellStyle name="20% - Accent3 77 36 2 2" xfId="5290" xr:uid="{00000000-0005-0000-0000-0000A7140000}"/>
    <cellStyle name="20% - Accent3 77 36 3" xfId="5291" xr:uid="{00000000-0005-0000-0000-0000A8140000}"/>
    <cellStyle name="20% - Accent3 77 4" xfId="5292" xr:uid="{00000000-0005-0000-0000-0000A9140000}"/>
    <cellStyle name="20% - Accent3 77 4 2" xfId="5293" xr:uid="{00000000-0005-0000-0000-0000AA140000}"/>
    <cellStyle name="20% - Accent3 77 4 2 2" xfId="5294" xr:uid="{00000000-0005-0000-0000-0000AB140000}"/>
    <cellStyle name="20% - Accent3 77 4 3" xfId="5295" xr:uid="{00000000-0005-0000-0000-0000AC140000}"/>
    <cellStyle name="20% - Accent3 77 5" xfId="5296" xr:uid="{00000000-0005-0000-0000-0000AD140000}"/>
    <cellStyle name="20% - Accent3 77 5 2" xfId="5297" xr:uid="{00000000-0005-0000-0000-0000AE140000}"/>
    <cellStyle name="20% - Accent3 77 5 2 2" xfId="5298" xr:uid="{00000000-0005-0000-0000-0000AF140000}"/>
    <cellStyle name="20% - Accent3 77 5 3" xfId="5299" xr:uid="{00000000-0005-0000-0000-0000B0140000}"/>
    <cellStyle name="20% - Accent3 77 6" xfId="5300" xr:uid="{00000000-0005-0000-0000-0000B1140000}"/>
    <cellStyle name="20% - Accent3 77 6 2" xfId="5301" xr:uid="{00000000-0005-0000-0000-0000B2140000}"/>
    <cellStyle name="20% - Accent3 77 6 2 2" xfId="5302" xr:uid="{00000000-0005-0000-0000-0000B3140000}"/>
    <cellStyle name="20% - Accent3 77 6 3" xfId="5303" xr:uid="{00000000-0005-0000-0000-0000B4140000}"/>
    <cellStyle name="20% - Accent3 77 7" xfId="5304" xr:uid="{00000000-0005-0000-0000-0000B5140000}"/>
    <cellStyle name="20% - Accent3 77 7 2" xfId="5305" xr:uid="{00000000-0005-0000-0000-0000B6140000}"/>
    <cellStyle name="20% - Accent3 77 7 2 2" xfId="5306" xr:uid="{00000000-0005-0000-0000-0000B7140000}"/>
    <cellStyle name="20% - Accent3 77 7 3" xfId="5307" xr:uid="{00000000-0005-0000-0000-0000B8140000}"/>
    <cellStyle name="20% - Accent3 77 8" xfId="5308" xr:uid="{00000000-0005-0000-0000-0000B9140000}"/>
    <cellStyle name="20% - Accent3 77 8 2" xfId="5309" xr:uid="{00000000-0005-0000-0000-0000BA140000}"/>
    <cellStyle name="20% - Accent3 77 8 2 2" xfId="5310" xr:uid="{00000000-0005-0000-0000-0000BB140000}"/>
    <cellStyle name="20% - Accent3 77 8 3" xfId="5311" xr:uid="{00000000-0005-0000-0000-0000BC140000}"/>
    <cellStyle name="20% - Accent3 77 9" xfId="5312" xr:uid="{00000000-0005-0000-0000-0000BD140000}"/>
    <cellStyle name="20% - Accent3 77 9 2" xfId="5313" xr:uid="{00000000-0005-0000-0000-0000BE140000}"/>
    <cellStyle name="20% - Accent3 77 9 2 2" xfId="5314" xr:uid="{00000000-0005-0000-0000-0000BF140000}"/>
    <cellStyle name="20% - Accent3 77 9 3" xfId="5315" xr:uid="{00000000-0005-0000-0000-0000C0140000}"/>
    <cellStyle name="20% - Accent3 78" xfId="5316" xr:uid="{00000000-0005-0000-0000-0000C1140000}"/>
    <cellStyle name="20% - Accent3 78 2" xfId="5317" xr:uid="{00000000-0005-0000-0000-0000C2140000}"/>
    <cellStyle name="20% - Accent3 79" xfId="5318" xr:uid="{00000000-0005-0000-0000-0000C3140000}"/>
    <cellStyle name="20% - Accent3 79 10" xfId="5319" xr:uid="{00000000-0005-0000-0000-0000C4140000}"/>
    <cellStyle name="20% - Accent3 79 10 2" xfId="5320" xr:uid="{00000000-0005-0000-0000-0000C5140000}"/>
    <cellStyle name="20% - Accent3 79 10 2 2" xfId="5321" xr:uid="{00000000-0005-0000-0000-0000C6140000}"/>
    <cellStyle name="20% - Accent3 79 10 3" xfId="5322" xr:uid="{00000000-0005-0000-0000-0000C7140000}"/>
    <cellStyle name="20% - Accent3 79 11" xfId="5323" xr:uid="{00000000-0005-0000-0000-0000C8140000}"/>
    <cellStyle name="20% - Accent3 79 11 2" xfId="5324" xr:uid="{00000000-0005-0000-0000-0000C9140000}"/>
    <cellStyle name="20% - Accent3 79 11 2 2" xfId="5325" xr:uid="{00000000-0005-0000-0000-0000CA140000}"/>
    <cellStyle name="20% - Accent3 79 11 3" xfId="5326" xr:uid="{00000000-0005-0000-0000-0000CB140000}"/>
    <cellStyle name="20% - Accent3 79 12" xfId="5327" xr:uid="{00000000-0005-0000-0000-0000CC140000}"/>
    <cellStyle name="20% - Accent3 79 12 2" xfId="5328" xr:uid="{00000000-0005-0000-0000-0000CD140000}"/>
    <cellStyle name="20% - Accent3 79 12 2 2" xfId="5329" xr:uid="{00000000-0005-0000-0000-0000CE140000}"/>
    <cellStyle name="20% - Accent3 79 12 3" xfId="5330" xr:uid="{00000000-0005-0000-0000-0000CF140000}"/>
    <cellStyle name="20% - Accent3 79 13" xfId="5331" xr:uid="{00000000-0005-0000-0000-0000D0140000}"/>
    <cellStyle name="20% - Accent3 79 13 2" xfId="5332" xr:uid="{00000000-0005-0000-0000-0000D1140000}"/>
    <cellStyle name="20% - Accent3 79 13 2 2" xfId="5333" xr:uid="{00000000-0005-0000-0000-0000D2140000}"/>
    <cellStyle name="20% - Accent3 79 13 3" xfId="5334" xr:uid="{00000000-0005-0000-0000-0000D3140000}"/>
    <cellStyle name="20% - Accent3 79 14" xfId="5335" xr:uid="{00000000-0005-0000-0000-0000D4140000}"/>
    <cellStyle name="20% - Accent3 79 14 2" xfId="5336" xr:uid="{00000000-0005-0000-0000-0000D5140000}"/>
    <cellStyle name="20% - Accent3 79 14 2 2" xfId="5337" xr:uid="{00000000-0005-0000-0000-0000D6140000}"/>
    <cellStyle name="20% - Accent3 79 14 3" xfId="5338" xr:uid="{00000000-0005-0000-0000-0000D7140000}"/>
    <cellStyle name="20% - Accent3 79 15" xfId="5339" xr:uid="{00000000-0005-0000-0000-0000D8140000}"/>
    <cellStyle name="20% - Accent3 79 15 2" xfId="5340" xr:uid="{00000000-0005-0000-0000-0000D9140000}"/>
    <cellStyle name="20% - Accent3 79 15 2 2" xfId="5341" xr:uid="{00000000-0005-0000-0000-0000DA140000}"/>
    <cellStyle name="20% - Accent3 79 15 3" xfId="5342" xr:uid="{00000000-0005-0000-0000-0000DB140000}"/>
    <cellStyle name="20% - Accent3 79 16" xfId="5343" xr:uid="{00000000-0005-0000-0000-0000DC140000}"/>
    <cellStyle name="20% - Accent3 79 16 2" xfId="5344" xr:uid="{00000000-0005-0000-0000-0000DD140000}"/>
    <cellStyle name="20% - Accent3 79 16 2 2" xfId="5345" xr:uid="{00000000-0005-0000-0000-0000DE140000}"/>
    <cellStyle name="20% - Accent3 79 16 3" xfId="5346" xr:uid="{00000000-0005-0000-0000-0000DF140000}"/>
    <cellStyle name="20% - Accent3 79 17" xfId="5347" xr:uid="{00000000-0005-0000-0000-0000E0140000}"/>
    <cellStyle name="20% - Accent3 79 17 2" xfId="5348" xr:uid="{00000000-0005-0000-0000-0000E1140000}"/>
    <cellStyle name="20% - Accent3 79 17 2 2" xfId="5349" xr:uid="{00000000-0005-0000-0000-0000E2140000}"/>
    <cellStyle name="20% - Accent3 79 17 3" xfId="5350" xr:uid="{00000000-0005-0000-0000-0000E3140000}"/>
    <cellStyle name="20% - Accent3 79 18" xfId="5351" xr:uid="{00000000-0005-0000-0000-0000E4140000}"/>
    <cellStyle name="20% - Accent3 79 18 2" xfId="5352" xr:uid="{00000000-0005-0000-0000-0000E5140000}"/>
    <cellStyle name="20% - Accent3 79 18 2 2" xfId="5353" xr:uid="{00000000-0005-0000-0000-0000E6140000}"/>
    <cellStyle name="20% - Accent3 79 18 3" xfId="5354" xr:uid="{00000000-0005-0000-0000-0000E7140000}"/>
    <cellStyle name="20% - Accent3 79 19" xfId="5355" xr:uid="{00000000-0005-0000-0000-0000E8140000}"/>
    <cellStyle name="20% - Accent3 79 19 2" xfId="5356" xr:uid="{00000000-0005-0000-0000-0000E9140000}"/>
    <cellStyle name="20% - Accent3 79 19 2 2" xfId="5357" xr:uid="{00000000-0005-0000-0000-0000EA140000}"/>
    <cellStyle name="20% - Accent3 79 19 3" xfId="5358" xr:uid="{00000000-0005-0000-0000-0000EB140000}"/>
    <cellStyle name="20% - Accent3 79 2" xfId="5359" xr:uid="{00000000-0005-0000-0000-0000EC140000}"/>
    <cellStyle name="20% - Accent3 79 2 2" xfId="5360" xr:uid="{00000000-0005-0000-0000-0000ED140000}"/>
    <cellStyle name="20% - Accent3 79 2 2 2" xfId="5361" xr:uid="{00000000-0005-0000-0000-0000EE140000}"/>
    <cellStyle name="20% - Accent3 79 2 3" xfId="5362" xr:uid="{00000000-0005-0000-0000-0000EF140000}"/>
    <cellStyle name="20% - Accent3 79 20" xfId="5363" xr:uid="{00000000-0005-0000-0000-0000F0140000}"/>
    <cellStyle name="20% - Accent3 79 20 2" xfId="5364" xr:uid="{00000000-0005-0000-0000-0000F1140000}"/>
    <cellStyle name="20% - Accent3 79 20 2 2" xfId="5365" xr:uid="{00000000-0005-0000-0000-0000F2140000}"/>
    <cellStyle name="20% - Accent3 79 20 3" xfId="5366" xr:uid="{00000000-0005-0000-0000-0000F3140000}"/>
    <cellStyle name="20% - Accent3 79 21" xfId="5367" xr:uid="{00000000-0005-0000-0000-0000F4140000}"/>
    <cellStyle name="20% - Accent3 79 21 2" xfId="5368" xr:uid="{00000000-0005-0000-0000-0000F5140000}"/>
    <cellStyle name="20% - Accent3 79 21 2 2" xfId="5369" xr:uid="{00000000-0005-0000-0000-0000F6140000}"/>
    <cellStyle name="20% - Accent3 79 21 3" xfId="5370" xr:uid="{00000000-0005-0000-0000-0000F7140000}"/>
    <cellStyle name="20% - Accent3 79 22" xfId="5371" xr:uid="{00000000-0005-0000-0000-0000F8140000}"/>
    <cellStyle name="20% - Accent3 79 22 2" xfId="5372" xr:uid="{00000000-0005-0000-0000-0000F9140000}"/>
    <cellStyle name="20% - Accent3 79 22 2 2" xfId="5373" xr:uid="{00000000-0005-0000-0000-0000FA140000}"/>
    <cellStyle name="20% - Accent3 79 22 3" xfId="5374" xr:uid="{00000000-0005-0000-0000-0000FB140000}"/>
    <cellStyle name="20% - Accent3 79 23" xfId="5375" xr:uid="{00000000-0005-0000-0000-0000FC140000}"/>
    <cellStyle name="20% - Accent3 79 23 2" xfId="5376" xr:uid="{00000000-0005-0000-0000-0000FD140000}"/>
    <cellStyle name="20% - Accent3 79 23 2 2" xfId="5377" xr:uid="{00000000-0005-0000-0000-0000FE140000}"/>
    <cellStyle name="20% - Accent3 79 23 3" xfId="5378" xr:uid="{00000000-0005-0000-0000-0000FF140000}"/>
    <cellStyle name="20% - Accent3 79 24" xfId="5379" xr:uid="{00000000-0005-0000-0000-000000150000}"/>
    <cellStyle name="20% - Accent3 79 24 2" xfId="5380" xr:uid="{00000000-0005-0000-0000-000001150000}"/>
    <cellStyle name="20% - Accent3 79 24 2 2" xfId="5381" xr:uid="{00000000-0005-0000-0000-000002150000}"/>
    <cellStyle name="20% - Accent3 79 24 3" xfId="5382" xr:uid="{00000000-0005-0000-0000-000003150000}"/>
    <cellStyle name="20% - Accent3 79 25" xfId="5383" xr:uid="{00000000-0005-0000-0000-000004150000}"/>
    <cellStyle name="20% - Accent3 79 25 2" xfId="5384" xr:uid="{00000000-0005-0000-0000-000005150000}"/>
    <cellStyle name="20% - Accent3 79 25 2 2" xfId="5385" xr:uid="{00000000-0005-0000-0000-000006150000}"/>
    <cellStyle name="20% - Accent3 79 25 3" xfId="5386" xr:uid="{00000000-0005-0000-0000-000007150000}"/>
    <cellStyle name="20% - Accent3 79 26" xfId="5387" xr:uid="{00000000-0005-0000-0000-000008150000}"/>
    <cellStyle name="20% - Accent3 79 26 2" xfId="5388" xr:uid="{00000000-0005-0000-0000-000009150000}"/>
    <cellStyle name="20% - Accent3 79 26 2 2" xfId="5389" xr:uid="{00000000-0005-0000-0000-00000A150000}"/>
    <cellStyle name="20% - Accent3 79 26 3" xfId="5390" xr:uid="{00000000-0005-0000-0000-00000B150000}"/>
    <cellStyle name="20% - Accent3 79 27" xfId="5391" xr:uid="{00000000-0005-0000-0000-00000C150000}"/>
    <cellStyle name="20% - Accent3 79 27 2" xfId="5392" xr:uid="{00000000-0005-0000-0000-00000D150000}"/>
    <cellStyle name="20% - Accent3 79 27 2 2" xfId="5393" xr:uid="{00000000-0005-0000-0000-00000E150000}"/>
    <cellStyle name="20% - Accent3 79 27 3" xfId="5394" xr:uid="{00000000-0005-0000-0000-00000F150000}"/>
    <cellStyle name="20% - Accent3 79 28" xfId="5395" xr:uid="{00000000-0005-0000-0000-000010150000}"/>
    <cellStyle name="20% - Accent3 79 28 2" xfId="5396" xr:uid="{00000000-0005-0000-0000-000011150000}"/>
    <cellStyle name="20% - Accent3 79 28 2 2" xfId="5397" xr:uid="{00000000-0005-0000-0000-000012150000}"/>
    <cellStyle name="20% - Accent3 79 28 3" xfId="5398" xr:uid="{00000000-0005-0000-0000-000013150000}"/>
    <cellStyle name="20% - Accent3 79 29" xfId="5399" xr:uid="{00000000-0005-0000-0000-000014150000}"/>
    <cellStyle name="20% - Accent3 79 29 2" xfId="5400" xr:uid="{00000000-0005-0000-0000-000015150000}"/>
    <cellStyle name="20% - Accent3 79 29 2 2" xfId="5401" xr:uid="{00000000-0005-0000-0000-000016150000}"/>
    <cellStyle name="20% - Accent3 79 29 3" xfId="5402" xr:uid="{00000000-0005-0000-0000-000017150000}"/>
    <cellStyle name="20% - Accent3 79 3" xfId="5403" xr:uid="{00000000-0005-0000-0000-000018150000}"/>
    <cellStyle name="20% - Accent3 79 3 2" xfId="5404" xr:uid="{00000000-0005-0000-0000-000019150000}"/>
    <cellStyle name="20% - Accent3 79 3 2 2" xfId="5405" xr:uid="{00000000-0005-0000-0000-00001A150000}"/>
    <cellStyle name="20% - Accent3 79 3 3" xfId="5406" xr:uid="{00000000-0005-0000-0000-00001B150000}"/>
    <cellStyle name="20% - Accent3 79 30" xfId="5407" xr:uid="{00000000-0005-0000-0000-00001C150000}"/>
    <cellStyle name="20% - Accent3 79 30 2" xfId="5408" xr:uid="{00000000-0005-0000-0000-00001D150000}"/>
    <cellStyle name="20% - Accent3 79 30 2 2" xfId="5409" xr:uid="{00000000-0005-0000-0000-00001E150000}"/>
    <cellStyle name="20% - Accent3 79 30 3" xfId="5410" xr:uid="{00000000-0005-0000-0000-00001F150000}"/>
    <cellStyle name="20% - Accent3 79 31" xfId="5411" xr:uid="{00000000-0005-0000-0000-000020150000}"/>
    <cellStyle name="20% - Accent3 79 31 2" xfId="5412" xr:uid="{00000000-0005-0000-0000-000021150000}"/>
    <cellStyle name="20% - Accent3 79 31 2 2" xfId="5413" xr:uid="{00000000-0005-0000-0000-000022150000}"/>
    <cellStyle name="20% - Accent3 79 31 3" xfId="5414" xr:uid="{00000000-0005-0000-0000-000023150000}"/>
    <cellStyle name="20% - Accent3 79 32" xfId="5415" xr:uid="{00000000-0005-0000-0000-000024150000}"/>
    <cellStyle name="20% - Accent3 79 32 2" xfId="5416" xr:uid="{00000000-0005-0000-0000-000025150000}"/>
    <cellStyle name="20% - Accent3 79 32 2 2" xfId="5417" xr:uid="{00000000-0005-0000-0000-000026150000}"/>
    <cellStyle name="20% - Accent3 79 32 3" xfId="5418" xr:uid="{00000000-0005-0000-0000-000027150000}"/>
    <cellStyle name="20% - Accent3 79 33" xfId="5419" xr:uid="{00000000-0005-0000-0000-000028150000}"/>
    <cellStyle name="20% - Accent3 79 33 2" xfId="5420" xr:uid="{00000000-0005-0000-0000-000029150000}"/>
    <cellStyle name="20% - Accent3 79 33 2 2" xfId="5421" xr:uid="{00000000-0005-0000-0000-00002A150000}"/>
    <cellStyle name="20% - Accent3 79 33 3" xfId="5422" xr:uid="{00000000-0005-0000-0000-00002B150000}"/>
    <cellStyle name="20% - Accent3 79 34" xfId="5423" xr:uid="{00000000-0005-0000-0000-00002C150000}"/>
    <cellStyle name="20% - Accent3 79 34 2" xfId="5424" xr:uid="{00000000-0005-0000-0000-00002D150000}"/>
    <cellStyle name="20% - Accent3 79 34 2 2" xfId="5425" xr:uid="{00000000-0005-0000-0000-00002E150000}"/>
    <cellStyle name="20% - Accent3 79 34 3" xfId="5426" xr:uid="{00000000-0005-0000-0000-00002F150000}"/>
    <cellStyle name="20% - Accent3 79 35" xfId="5427" xr:uid="{00000000-0005-0000-0000-000030150000}"/>
    <cellStyle name="20% - Accent3 79 35 2" xfId="5428" xr:uid="{00000000-0005-0000-0000-000031150000}"/>
    <cellStyle name="20% - Accent3 79 35 2 2" xfId="5429" xr:uid="{00000000-0005-0000-0000-000032150000}"/>
    <cellStyle name="20% - Accent3 79 35 3" xfId="5430" xr:uid="{00000000-0005-0000-0000-000033150000}"/>
    <cellStyle name="20% - Accent3 79 36" xfId="5431" xr:uid="{00000000-0005-0000-0000-000034150000}"/>
    <cellStyle name="20% - Accent3 79 36 2" xfId="5432" xr:uid="{00000000-0005-0000-0000-000035150000}"/>
    <cellStyle name="20% - Accent3 79 36 2 2" xfId="5433" xr:uid="{00000000-0005-0000-0000-000036150000}"/>
    <cellStyle name="20% - Accent3 79 36 3" xfId="5434" xr:uid="{00000000-0005-0000-0000-000037150000}"/>
    <cellStyle name="20% - Accent3 79 4" xfId="5435" xr:uid="{00000000-0005-0000-0000-000038150000}"/>
    <cellStyle name="20% - Accent3 79 4 2" xfId="5436" xr:uid="{00000000-0005-0000-0000-000039150000}"/>
    <cellStyle name="20% - Accent3 79 4 2 2" xfId="5437" xr:uid="{00000000-0005-0000-0000-00003A150000}"/>
    <cellStyle name="20% - Accent3 79 4 3" xfId="5438" xr:uid="{00000000-0005-0000-0000-00003B150000}"/>
    <cellStyle name="20% - Accent3 79 5" xfId="5439" xr:uid="{00000000-0005-0000-0000-00003C150000}"/>
    <cellStyle name="20% - Accent3 79 5 2" xfId="5440" xr:uid="{00000000-0005-0000-0000-00003D150000}"/>
    <cellStyle name="20% - Accent3 79 5 2 2" xfId="5441" xr:uid="{00000000-0005-0000-0000-00003E150000}"/>
    <cellStyle name="20% - Accent3 79 5 3" xfId="5442" xr:uid="{00000000-0005-0000-0000-00003F150000}"/>
    <cellStyle name="20% - Accent3 79 6" xfId="5443" xr:uid="{00000000-0005-0000-0000-000040150000}"/>
    <cellStyle name="20% - Accent3 79 6 2" xfId="5444" xr:uid="{00000000-0005-0000-0000-000041150000}"/>
    <cellStyle name="20% - Accent3 79 6 2 2" xfId="5445" xr:uid="{00000000-0005-0000-0000-000042150000}"/>
    <cellStyle name="20% - Accent3 79 6 3" xfId="5446" xr:uid="{00000000-0005-0000-0000-000043150000}"/>
    <cellStyle name="20% - Accent3 79 7" xfId="5447" xr:uid="{00000000-0005-0000-0000-000044150000}"/>
    <cellStyle name="20% - Accent3 79 7 2" xfId="5448" xr:uid="{00000000-0005-0000-0000-000045150000}"/>
    <cellStyle name="20% - Accent3 79 7 2 2" xfId="5449" xr:uid="{00000000-0005-0000-0000-000046150000}"/>
    <cellStyle name="20% - Accent3 79 7 3" xfId="5450" xr:uid="{00000000-0005-0000-0000-000047150000}"/>
    <cellStyle name="20% - Accent3 79 8" xfId="5451" xr:uid="{00000000-0005-0000-0000-000048150000}"/>
    <cellStyle name="20% - Accent3 79 8 2" xfId="5452" xr:uid="{00000000-0005-0000-0000-000049150000}"/>
    <cellStyle name="20% - Accent3 79 8 2 2" xfId="5453" xr:uid="{00000000-0005-0000-0000-00004A150000}"/>
    <cellStyle name="20% - Accent3 79 8 3" xfId="5454" xr:uid="{00000000-0005-0000-0000-00004B150000}"/>
    <cellStyle name="20% - Accent3 79 9" xfId="5455" xr:uid="{00000000-0005-0000-0000-00004C150000}"/>
    <cellStyle name="20% - Accent3 79 9 2" xfId="5456" xr:uid="{00000000-0005-0000-0000-00004D150000}"/>
    <cellStyle name="20% - Accent3 79 9 2 2" xfId="5457" xr:uid="{00000000-0005-0000-0000-00004E150000}"/>
    <cellStyle name="20% - Accent3 79 9 3" xfId="5458" xr:uid="{00000000-0005-0000-0000-00004F150000}"/>
    <cellStyle name="20% - Accent3 8" xfId="5459" xr:uid="{00000000-0005-0000-0000-000050150000}"/>
    <cellStyle name="20% - Accent3 8 2" xfId="5460" xr:uid="{00000000-0005-0000-0000-000051150000}"/>
    <cellStyle name="20% - Accent3 8 3" xfId="5461" xr:uid="{00000000-0005-0000-0000-000052150000}"/>
    <cellStyle name="20% - Accent3 80" xfId="5462" xr:uid="{00000000-0005-0000-0000-000053150000}"/>
    <cellStyle name="20% - Accent3 80 2" xfId="5463" xr:uid="{00000000-0005-0000-0000-000054150000}"/>
    <cellStyle name="20% - Accent3 81" xfId="5464" xr:uid="{00000000-0005-0000-0000-000055150000}"/>
    <cellStyle name="20% - Accent3 81 10" xfId="5465" xr:uid="{00000000-0005-0000-0000-000056150000}"/>
    <cellStyle name="20% - Accent3 81 10 2" xfId="5466" xr:uid="{00000000-0005-0000-0000-000057150000}"/>
    <cellStyle name="20% - Accent3 81 10 2 2" xfId="5467" xr:uid="{00000000-0005-0000-0000-000058150000}"/>
    <cellStyle name="20% - Accent3 81 10 3" xfId="5468" xr:uid="{00000000-0005-0000-0000-000059150000}"/>
    <cellStyle name="20% - Accent3 81 11" xfId="5469" xr:uid="{00000000-0005-0000-0000-00005A150000}"/>
    <cellStyle name="20% - Accent3 81 11 2" xfId="5470" xr:uid="{00000000-0005-0000-0000-00005B150000}"/>
    <cellStyle name="20% - Accent3 81 11 2 2" xfId="5471" xr:uid="{00000000-0005-0000-0000-00005C150000}"/>
    <cellStyle name="20% - Accent3 81 11 3" xfId="5472" xr:uid="{00000000-0005-0000-0000-00005D150000}"/>
    <cellStyle name="20% - Accent3 81 12" xfId="5473" xr:uid="{00000000-0005-0000-0000-00005E150000}"/>
    <cellStyle name="20% - Accent3 81 12 2" xfId="5474" xr:uid="{00000000-0005-0000-0000-00005F150000}"/>
    <cellStyle name="20% - Accent3 81 12 2 2" xfId="5475" xr:uid="{00000000-0005-0000-0000-000060150000}"/>
    <cellStyle name="20% - Accent3 81 12 3" xfId="5476" xr:uid="{00000000-0005-0000-0000-000061150000}"/>
    <cellStyle name="20% - Accent3 81 13" xfId="5477" xr:uid="{00000000-0005-0000-0000-000062150000}"/>
    <cellStyle name="20% - Accent3 81 13 2" xfId="5478" xr:uid="{00000000-0005-0000-0000-000063150000}"/>
    <cellStyle name="20% - Accent3 81 13 2 2" xfId="5479" xr:uid="{00000000-0005-0000-0000-000064150000}"/>
    <cellStyle name="20% - Accent3 81 13 3" xfId="5480" xr:uid="{00000000-0005-0000-0000-000065150000}"/>
    <cellStyle name="20% - Accent3 81 14" xfId="5481" xr:uid="{00000000-0005-0000-0000-000066150000}"/>
    <cellStyle name="20% - Accent3 81 14 2" xfId="5482" xr:uid="{00000000-0005-0000-0000-000067150000}"/>
    <cellStyle name="20% - Accent3 81 14 2 2" xfId="5483" xr:uid="{00000000-0005-0000-0000-000068150000}"/>
    <cellStyle name="20% - Accent3 81 14 3" xfId="5484" xr:uid="{00000000-0005-0000-0000-000069150000}"/>
    <cellStyle name="20% - Accent3 81 15" xfId="5485" xr:uid="{00000000-0005-0000-0000-00006A150000}"/>
    <cellStyle name="20% - Accent3 81 15 2" xfId="5486" xr:uid="{00000000-0005-0000-0000-00006B150000}"/>
    <cellStyle name="20% - Accent3 81 15 2 2" xfId="5487" xr:uid="{00000000-0005-0000-0000-00006C150000}"/>
    <cellStyle name="20% - Accent3 81 15 3" xfId="5488" xr:uid="{00000000-0005-0000-0000-00006D150000}"/>
    <cellStyle name="20% - Accent3 81 16" xfId="5489" xr:uid="{00000000-0005-0000-0000-00006E150000}"/>
    <cellStyle name="20% - Accent3 81 16 2" xfId="5490" xr:uid="{00000000-0005-0000-0000-00006F150000}"/>
    <cellStyle name="20% - Accent3 81 16 2 2" xfId="5491" xr:uid="{00000000-0005-0000-0000-000070150000}"/>
    <cellStyle name="20% - Accent3 81 16 3" xfId="5492" xr:uid="{00000000-0005-0000-0000-000071150000}"/>
    <cellStyle name="20% - Accent3 81 17" xfId="5493" xr:uid="{00000000-0005-0000-0000-000072150000}"/>
    <cellStyle name="20% - Accent3 81 17 2" xfId="5494" xr:uid="{00000000-0005-0000-0000-000073150000}"/>
    <cellStyle name="20% - Accent3 81 17 2 2" xfId="5495" xr:uid="{00000000-0005-0000-0000-000074150000}"/>
    <cellStyle name="20% - Accent3 81 17 3" xfId="5496" xr:uid="{00000000-0005-0000-0000-000075150000}"/>
    <cellStyle name="20% - Accent3 81 18" xfId="5497" xr:uid="{00000000-0005-0000-0000-000076150000}"/>
    <cellStyle name="20% - Accent3 81 18 2" xfId="5498" xr:uid="{00000000-0005-0000-0000-000077150000}"/>
    <cellStyle name="20% - Accent3 81 18 2 2" xfId="5499" xr:uid="{00000000-0005-0000-0000-000078150000}"/>
    <cellStyle name="20% - Accent3 81 18 3" xfId="5500" xr:uid="{00000000-0005-0000-0000-000079150000}"/>
    <cellStyle name="20% - Accent3 81 19" xfId="5501" xr:uid="{00000000-0005-0000-0000-00007A150000}"/>
    <cellStyle name="20% - Accent3 81 19 2" xfId="5502" xr:uid="{00000000-0005-0000-0000-00007B150000}"/>
    <cellStyle name="20% - Accent3 81 19 2 2" xfId="5503" xr:uid="{00000000-0005-0000-0000-00007C150000}"/>
    <cellStyle name="20% - Accent3 81 19 3" xfId="5504" xr:uid="{00000000-0005-0000-0000-00007D150000}"/>
    <cellStyle name="20% - Accent3 81 2" xfId="5505" xr:uid="{00000000-0005-0000-0000-00007E150000}"/>
    <cellStyle name="20% - Accent3 81 2 2" xfId="5506" xr:uid="{00000000-0005-0000-0000-00007F150000}"/>
    <cellStyle name="20% - Accent3 81 2 2 2" xfId="5507" xr:uid="{00000000-0005-0000-0000-000080150000}"/>
    <cellStyle name="20% - Accent3 81 2 3" xfId="5508" xr:uid="{00000000-0005-0000-0000-000081150000}"/>
    <cellStyle name="20% - Accent3 81 20" xfId="5509" xr:uid="{00000000-0005-0000-0000-000082150000}"/>
    <cellStyle name="20% - Accent3 81 20 2" xfId="5510" xr:uid="{00000000-0005-0000-0000-000083150000}"/>
    <cellStyle name="20% - Accent3 81 20 2 2" xfId="5511" xr:uid="{00000000-0005-0000-0000-000084150000}"/>
    <cellStyle name="20% - Accent3 81 20 3" xfId="5512" xr:uid="{00000000-0005-0000-0000-000085150000}"/>
    <cellStyle name="20% - Accent3 81 21" xfId="5513" xr:uid="{00000000-0005-0000-0000-000086150000}"/>
    <cellStyle name="20% - Accent3 81 21 2" xfId="5514" xr:uid="{00000000-0005-0000-0000-000087150000}"/>
    <cellStyle name="20% - Accent3 81 21 2 2" xfId="5515" xr:uid="{00000000-0005-0000-0000-000088150000}"/>
    <cellStyle name="20% - Accent3 81 21 3" xfId="5516" xr:uid="{00000000-0005-0000-0000-000089150000}"/>
    <cellStyle name="20% - Accent3 81 22" xfId="5517" xr:uid="{00000000-0005-0000-0000-00008A150000}"/>
    <cellStyle name="20% - Accent3 81 22 2" xfId="5518" xr:uid="{00000000-0005-0000-0000-00008B150000}"/>
    <cellStyle name="20% - Accent3 81 22 2 2" xfId="5519" xr:uid="{00000000-0005-0000-0000-00008C150000}"/>
    <cellStyle name="20% - Accent3 81 22 3" xfId="5520" xr:uid="{00000000-0005-0000-0000-00008D150000}"/>
    <cellStyle name="20% - Accent3 81 23" xfId="5521" xr:uid="{00000000-0005-0000-0000-00008E150000}"/>
    <cellStyle name="20% - Accent3 81 23 2" xfId="5522" xr:uid="{00000000-0005-0000-0000-00008F150000}"/>
    <cellStyle name="20% - Accent3 81 23 2 2" xfId="5523" xr:uid="{00000000-0005-0000-0000-000090150000}"/>
    <cellStyle name="20% - Accent3 81 23 3" xfId="5524" xr:uid="{00000000-0005-0000-0000-000091150000}"/>
    <cellStyle name="20% - Accent3 81 24" xfId="5525" xr:uid="{00000000-0005-0000-0000-000092150000}"/>
    <cellStyle name="20% - Accent3 81 24 2" xfId="5526" xr:uid="{00000000-0005-0000-0000-000093150000}"/>
    <cellStyle name="20% - Accent3 81 24 2 2" xfId="5527" xr:uid="{00000000-0005-0000-0000-000094150000}"/>
    <cellStyle name="20% - Accent3 81 24 3" xfId="5528" xr:uid="{00000000-0005-0000-0000-000095150000}"/>
    <cellStyle name="20% - Accent3 81 25" xfId="5529" xr:uid="{00000000-0005-0000-0000-000096150000}"/>
    <cellStyle name="20% - Accent3 81 25 2" xfId="5530" xr:uid="{00000000-0005-0000-0000-000097150000}"/>
    <cellStyle name="20% - Accent3 81 25 2 2" xfId="5531" xr:uid="{00000000-0005-0000-0000-000098150000}"/>
    <cellStyle name="20% - Accent3 81 25 3" xfId="5532" xr:uid="{00000000-0005-0000-0000-000099150000}"/>
    <cellStyle name="20% - Accent3 81 26" xfId="5533" xr:uid="{00000000-0005-0000-0000-00009A150000}"/>
    <cellStyle name="20% - Accent3 81 26 2" xfId="5534" xr:uid="{00000000-0005-0000-0000-00009B150000}"/>
    <cellStyle name="20% - Accent3 81 26 2 2" xfId="5535" xr:uid="{00000000-0005-0000-0000-00009C150000}"/>
    <cellStyle name="20% - Accent3 81 26 3" xfId="5536" xr:uid="{00000000-0005-0000-0000-00009D150000}"/>
    <cellStyle name="20% - Accent3 81 27" xfId="5537" xr:uid="{00000000-0005-0000-0000-00009E150000}"/>
    <cellStyle name="20% - Accent3 81 27 2" xfId="5538" xr:uid="{00000000-0005-0000-0000-00009F150000}"/>
    <cellStyle name="20% - Accent3 81 27 2 2" xfId="5539" xr:uid="{00000000-0005-0000-0000-0000A0150000}"/>
    <cellStyle name="20% - Accent3 81 27 3" xfId="5540" xr:uid="{00000000-0005-0000-0000-0000A1150000}"/>
    <cellStyle name="20% - Accent3 81 28" xfId="5541" xr:uid="{00000000-0005-0000-0000-0000A2150000}"/>
    <cellStyle name="20% - Accent3 81 28 2" xfId="5542" xr:uid="{00000000-0005-0000-0000-0000A3150000}"/>
    <cellStyle name="20% - Accent3 81 28 2 2" xfId="5543" xr:uid="{00000000-0005-0000-0000-0000A4150000}"/>
    <cellStyle name="20% - Accent3 81 28 3" xfId="5544" xr:uid="{00000000-0005-0000-0000-0000A5150000}"/>
    <cellStyle name="20% - Accent3 81 29" xfId="5545" xr:uid="{00000000-0005-0000-0000-0000A6150000}"/>
    <cellStyle name="20% - Accent3 81 29 2" xfId="5546" xr:uid="{00000000-0005-0000-0000-0000A7150000}"/>
    <cellStyle name="20% - Accent3 81 29 2 2" xfId="5547" xr:uid="{00000000-0005-0000-0000-0000A8150000}"/>
    <cellStyle name="20% - Accent3 81 29 3" xfId="5548" xr:uid="{00000000-0005-0000-0000-0000A9150000}"/>
    <cellStyle name="20% - Accent3 81 3" xfId="5549" xr:uid="{00000000-0005-0000-0000-0000AA150000}"/>
    <cellStyle name="20% - Accent3 81 3 2" xfId="5550" xr:uid="{00000000-0005-0000-0000-0000AB150000}"/>
    <cellStyle name="20% - Accent3 81 3 2 2" xfId="5551" xr:uid="{00000000-0005-0000-0000-0000AC150000}"/>
    <cellStyle name="20% - Accent3 81 3 3" xfId="5552" xr:uid="{00000000-0005-0000-0000-0000AD150000}"/>
    <cellStyle name="20% - Accent3 81 30" xfId="5553" xr:uid="{00000000-0005-0000-0000-0000AE150000}"/>
    <cellStyle name="20% - Accent3 81 30 2" xfId="5554" xr:uid="{00000000-0005-0000-0000-0000AF150000}"/>
    <cellStyle name="20% - Accent3 81 30 2 2" xfId="5555" xr:uid="{00000000-0005-0000-0000-0000B0150000}"/>
    <cellStyle name="20% - Accent3 81 30 3" xfId="5556" xr:uid="{00000000-0005-0000-0000-0000B1150000}"/>
    <cellStyle name="20% - Accent3 81 31" xfId="5557" xr:uid="{00000000-0005-0000-0000-0000B2150000}"/>
    <cellStyle name="20% - Accent3 81 31 2" xfId="5558" xr:uid="{00000000-0005-0000-0000-0000B3150000}"/>
    <cellStyle name="20% - Accent3 81 31 2 2" xfId="5559" xr:uid="{00000000-0005-0000-0000-0000B4150000}"/>
    <cellStyle name="20% - Accent3 81 31 3" xfId="5560" xr:uid="{00000000-0005-0000-0000-0000B5150000}"/>
    <cellStyle name="20% - Accent3 81 32" xfId="5561" xr:uid="{00000000-0005-0000-0000-0000B6150000}"/>
    <cellStyle name="20% - Accent3 81 32 2" xfId="5562" xr:uid="{00000000-0005-0000-0000-0000B7150000}"/>
    <cellStyle name="20% - Accent3 81 32 2 2" xfId="5563" xr:uid="{00000000-0005-0000-0000-0000B8150000}"/>
    <cellStyle name="20% - Accent3 81 32 3" xfId="5564" xr:uid="{00000000-0005-0000-0000-0000B9150000}"/>
    <cellStyle name="20% - Accent3 81 33" xfId="5565" xr:uid="{00000000-0005-0000-0000-0000BA150000}"/>
    <cellStyle name="20% - Accent3 81 33 2" xfId="5566" xr:uid="{00000000-0005-0000-0000-0000BB150000}"/>
    <cellStyle name="20% - Accent3 81 33 2 2" xfId="5567" xr:uid="{00000000-0005-0000-0000-0000BC150000}"/>
    <cellStyle name="20% - Accent3 81 33 3" xfId="5568" xr:uid="{00000000-0005-0000-0000-0000BD150000}"/>
    <cellStyle name="20% - Accent3 81 34" xfId="5569" xr:uid="{00000000-0005-0000-0000-0000BE150000}"/>
    <cellStyle name="20% - Accent3 81 34 2" xfId="5570" xr:uid="{00000000-0005-0000-0000-0000BF150000}"/>
    <cellStyle name="20% - Accent3 81 34 2 2" xfId="5571" xr:uid="{00000000-0005-0000-0000-0000C0150000}"/>
    <cellStyle name="20% - Accent3 81 34 3" xfId="5572" xr:uid="{00000000-0005-0000-0000-0000C1150000}"/>
    <cellStyle name="20% - Accent3 81 35" xfId="5573" xr:uid="{00000000-0005-0000-0000-0000C2150000}"/>
    <cellStyle name="20% - Accent3 81 35 2" xfId="5574" xr:uid="{00000000-0005-0000-0000-0000C3150000}"/>
    <cellStyle name="20% - Accent3 81 35 2 2" xfId="5575" xr:uid="{00000000-0005-0000-0000-0000C4150000}"/>
    <cellStyle name="20% - Accent3 81 35 3" xfId="5576" xr:uid="{00000000-0005-0000-0000-0000C5150000}"/>
    <cellStyle name="20% - Accent3 81 36" xfId="5577" xr:uid="{00000000-0005-0000-0000-0000C6150000}"/>
    <cellStyle name="20% - Accent3 81 36 2" xfId="5578" xr:uid="{00000000-0005-0000-0000-0000C7150000}"/>
    <cellStyle name="20% - Accent3 81 36 2 2" xfId="5579" xr:uid="{00000000-0005-0000-0000-0000C8150000}"/>
    <cellStyle name="20% - Accent3 81 36 3" xfId="5580" xr:uid="{00000000-0005-0000-0000-0000C9150000}"/>
    <cellStyle name="20% - Accent3 81 4" xfId="5581" xr:uid="{00000000-0005-0000-0000-0000CA150000}"/>
    <cellStyle name="20% - Accent3 81 4 2" xfId="5582" xr:uid="{00000000-0005-0000-0000-0000CB150000}"/>
    <cellStyle name="20% - Accent3 81 4 2 2" xfId="5583" xr:uid="{00000000-0005-0000-0000-0000CC150000}"/>
    <cellStyle name="20% - Accent3 81 4 3" xfId="5584" xr:uid="{00000000-0005-0000-0000-0000CD150000}"/>
    <cellStyle name="20% - Accent3 81 5" xfId="5585" xr:uid="{00000000-0005-0000-0000-0000CE150000}"/>
    <cellStyle name="20% - Accent3 81 5 2" xfId="5586" xr:uid="{00000000-0005-0000-0000-0000CF150000}"/>
    <cellStyle name="20% - Accent3 81 5 2 2" xfId="5587" xr:uid="{00000000-0005-0000-0000-0000D0150000}"/>
    <cellStyle name="20% - Accent3 81 5 3" xfId="5588" xr:uid="{00000000-0005-0000-0000-0000D1150000}"/>
    <cellStyle name="20% - Accent3 81 6" xfId="5589" xr:uid="{00000000-0005-0000-0000-0000D2150000}"/>
    <cellStyle name="20% - Accent3 81 6 2" xfId="5590" xr:uid="{00000000-0005-0000-0000-0000D3150000}"/>
    <cellStyle name="20% - Accent3 81 6 2 2" xfId="5591" xr:uid="{00000000-0005-0000-0000-0000D4150000}"/>
    <cellStyle name="20% - Accent3 81 6 3" xfId="5592" xr:uid="{00000000-0005-0000-0000-0000D5150000}"/>
    <cellStyle name="20% - Accent3 81 7" xfId="5593" xr:uid="{00000000-0005-0000-0000-0000D6150000}"/>
    <cellStyle name="20% - Accent3 81 7 2" xfId="5594" xr:uid="{00000000-0005-0000-0000-0000D7150000}"/>
    <cellStyle name="20% - Accent3 81 7 2 2" xfId="5595" xr:uid="{00000000-0005-0000-0000-0000D8150000}"/>
    <cellStyle name="20% - Accent3 81 7 3" xfId="5596" xr:uid="{00000000-0005-0000-0000-0000D9150000}"/>
    <cellStyle name="20% - Accent3 81 8" xfId="5597" xr:uid="{00000000-0005-0000-0000-0000DA150000}"/>
    <cellStyle name="20% - Accent3 81 8 2" xfId="5598" xr:uid="{00000000-0005-0000-0000-0000DB150000}"/>
    <cellStyle name="20% - Accent3 81 8 2 2" xfId="5599" xr:uid="{00000000-0005-0000-0000-0000DC150000}"/>
    <cellStyle name="20% - Accent3 81 8 3" xfId="5600" xr:uid="{00000000-0005-0000-0000-0000DD150000}"/>
    <cellStyle name="20% - Accent3 81 9" xfId="5601" xr:uid="{00000000-0005-0000-0000-0000DE150000}"/>
    <cellStyle name="20% - Accent3 81 9 2" xfId="5602" xr:uid="{00000000-0005-0000-0000-0000DF150000}"/>
    <cellStyle name="20% - Accent3 81 9 2 2" xfId="5603" xr:uid="{00000000-0005-0000-0000-0000E0150000}"/>
    <cellStyle name="20% - Accent3 81 9 3" xfId="5604" xr:uid="{00000000-0005-0000-0000-0000E1150000}"/>
    <cellStyle name="20% - Accent3 82" xfId="5605" xr:uid="{00000000-0005-0000-0000-0000E2150000}"/>
    <cellStyle name="20% - Accent3 82 2" xfId="5606" xr:uid="{00000000-0005-0000-0000-0000E3150000}"/>
    <cellStyle name="20% - Accent3 83" xfId="5607" xr:uid="{00000000-0005-0000-0000-0000E4150000}"/>
    <cellStyle name="20% - Accent3 83 10" xfId="5608" xr:uid="{00000000-0005-0000-0000-0000E5150000}"/>
    <cellStyle name="20% - Accent3 83 10 2" xfId="5609" xr:uid="{00000000-0005-0000-0000-0000E6150000}"/>
    <cellStyle name="20% - Accent3 83 10 2 2" xfId="5610" xr:uid="{00000000-0005-0000-0000-0000E7150000}"/>
    <cellStyle name="20% - Accent3 83 10 3" xfId="5611" xr:uid="{00000000-0005-0000-0000-0000E8150000}"/>
    <cellStyle name="20% - Accent3 83 11" xfId="5612" xr:uid="{00000000-0005-0000-0000-0000E9150000}"/>
    <cellStyle name="20% - Accent3 83 11 2" xfId="5613" xr:uid="{00000000-0005-0000-0000-0000EA150000}"/>
    <cellStyle name="20% - Accent3 83 11 2 2" xfId="5614" xr:uid="{00000000-0005-0000-0000-0000EB150000}"/>
    <cellStyle name="20% - Accent3 83 11 3" xfId="5615" xr:uid="{00000000-0005-0000-0000-0000EC150000}"/>
    <cellStyle name="20% - Accent3 83 12" xfId="5616" xr:uid="{00000000-0005-0000-0000-0000ED150000}"/>
    <cellStyle name="20% - Accent3 83 12 2" xfId="5617" xr:uid="{00000000-0005-0000-0000-0000EE150000}"/>
    <cellStyle name="20% - Accent3 83 12 2 2" xfId="5618" xr:uid="{00000000-0005-0000-0000-0000EF150000}"/>
    <cellStyle name="20% - Accent3 83 12 3" xfId="5619" xr:uid="{00000000-0005-0000-0000-0000F0150000}"/>
    <cellStyle name="20% - Accent3 83 13" xfId="5620" xr:uid="{00000000-0005-0000-0000-0000F1150000}"/>
    <cellStyle name="20% - Accent3 83 13 2" xfId="5621" xr:uid="{00000000-0005-0000-0000-0000F2150000}"/>
    <cellStyle name="20% - Accent3 83 13 2 2" xfId="5622" xr:uid="{00000000-0005-0000-0000-0000F3150000}"/>
    <cellStyle name="20% - Accent3 83 13 3" xfId="5623" xr:uid="{00000000-0005-0000-0000-0000F4150000}"/>
    <cellStyle name="20% - Accent3 83 14" xfId="5624" xr:uid="{00000000-0005-0000-0000-0000F5150000}"/>
    <cellStyle name="20% - Accent3 83 14 2" xfId="5625" xr:uid="{00000000-0005-0000-0000-0000F6150000}"/>
    <cellStyle name="20% - Accent3 83 14 2 2" xfId="5626" xr:uid="{00000000-0005-0000-0000-0000F7150000}"/>
    <cellStyle name="20% - Accent3 83 14 3" xfId="5627" xr:uid="{00000000-0005-0000-0000-0000F8150000}"/>
    <cellStyle name="20% - Accent3 83 15" xfId="5628" xr:uid="{00000000-0005-0000-0000-0000F9150000}"/>
    <cellStyle name="20% - Accent3 83 15 2" xfId="5629" xr:uid="{00000000-0005-0000-0000-0000FA150000}"/>
    <cellStyle name="20% - Accent3 83 15 2 2" xfId="5630" xr:uid="{00000000-0005-0000-0000-0000FB150000}"/>
    <cellStyle name="20% - Accent3 83 15 3" xfId="5631" xr:uid="{00000000-0005-0000-0000-0000FC150000}"/>
    <cellStyle name="20% - Accent3 83 16" xfId="5632" xr:uid="{00000000-0005-0000-0000-0000FD150000}"/>
    <cellStyle name="20% - Accent3 83 16 2" xfId="5633" xr:uid="{00000000-0005-0000-0000-0000FE150000}"/>
    <cellStyle name="20% - Accent3 83 16 2 2" xfId="5634" xr:uid="{00000000-0005-0000-0000-0000FF150000}"/>
    <cellStyle name="20% - Accent3 83 16 3" xfId="5635" xr:uid="{00000000-0005-0000-0000-000000160000}"/>
    <cellStyle name="20% - Accent3 83 17" xfId="5636" xr:uid="{00000000-0005-0000-0000-000001160000}"/>
    <cellStyle name="20% - Accent3 83 17 2" xfId="5637" xr:uid="{00000000-0005-0000-0000-000002160000}"/>
    <cellStyle name="20% - Accent3 83 17 2 2" xfId="5638" xr:uid="{00000000-0005-0000-0000-000003160000}"/>
    <cellStyle name="20% - Accent3 83 17 3" xfId="5639" xr:uid="{00000000-0005-0000-0000-000004160000}"/>
    <cellStyle name="20% - Accent3 83 18" xfId="5640" xr:uid="{00000000-0005-0000-0000-000005160000}"/>
    <cellStyle name="20% - Accent3 83 18 2" xfId="5641" xr:uid="{00000000-0005-0000-0000-000006160000}"/>
    <cellStyle name="20% - Accent3 83 18 2 2" xfId="5642" xr:uid="{00000000-0005-0000-0000-000007160000}"/>
    <cellStyle name="20% - Accent3 83 18 3" xfId="5643" xr:uid="{00000000-0005-0000-0000-000008160000}"/>
    <cellStyle name="20% - Accent3 83 19" xfId="5644" xr:uid="{00000000-0005-0000-0000-000009160000}"/>
    <cellStyle name="20% - Accent3 83 19 2" xfId="5645" xr:uid="{00000000-0005-0000-0000-00000A160000}"/>
    <cellStyle name="20% - Accent3 83 19 2 2" xfId="5646" xr:uid="{00000000-0005-0000-0000-00000B160000}"/>
    <cellStyle name="20% - Accent3 83 19 3" xfId="5647" xr:uid="{00000000-0005-0000-0000-00000C160000}"/>
    <cellStyle name="20% - Accent3 83 2" xfId="5648" xr:uid="{00000000-0005-0000-0000-00000D160000}"/>
    <cellStyle name="20% - Accent3 83 2 2" xfId="5649" xr:uid="{00000000-0005-0000-0000-00000E160000}"/>
    <cellStyle name="20% - Accent3 83 2 2 2" xfId="5650" xr:uid="{00000000-0005-0000-0000-00000F160000}"/>
    <cellStyle name="20% - Accent3 83 2 3" xfId="5651" xr:uid="{00000000-0005-0000-0000-000010160000}"/>
    <cellStyle name="20% - Accent3 83 20" xfId="5652" xr:uid="{00000000-0005-0000-0000-000011160000}"/>
    <cellStyle name="20% - Accent3 83 20 2" xfId="5653" xr:uid="{00000000-0005-0000-0000-000012160000}"/>
    <cellStyle name="20% - Accent3 83 20 2 2" xfId="5654" xr:uid="{00000000-0005-0000-0000-000013160000}"/>
    <cellStyle name="20% - Accent3 83 20 3" xfId="5655" xr:uid="{00000000-0005-0000-0000-000014160000}"/>
    <cellStyle name="20% - Accent3 83 21" xfId="5656" xr:uid="{00000000-0005-0000-0000-000015160000}"/>
    <cellStyle name="20% - Accent3 83 21 2" xfId="5657" xr:uid="{00000000-0005-0000-0000-000016160000}"/>
    <cellStyle name="20% - Accent3 83 21 2 2" xfId="5658" xr:uid="{00000000-0005-0000-0000-000017160000}"/>
    <cellStyle name="20% - Accent3 83 21 3" xfId="5659" xr:uid="{00000000-0005-0000-0000-000018160000}"/>
    <cellStyle name="20% - Accent3 83 22" xfId="5660" xr:uid="{00000000-0005-0000-0000-000019160000}"/>
    <cellStyle name="20% - Accent3 83 22 2" xfId="5661" xr:uid="{00000000-0005-0000-0000-00001A160000}"/>
    <cellStyle name="20% - Accent3 83 22 2 2" xfId="5662" xr:uid="{00000000-0005-0000-0000-00001B160000}"/>
    <cellStyle name="20% - Accent3 83 22 3" xfId="5663" xr:uid="{00000000-0005-0000-0000-00001C160000}"/>
    <cellStyle name="20% - Accent3 83 23" xfId="5664" xr:uid="{00000000-0005-0000-0000-00001D160000}"/>
    <cellStyle name="20% - Accent3 83 23 2" xfId="5665" xr:uid="{00000000-0005-0000-0000-00001E160000}"/>
    <cellStyle name="20% - Accent3 83 23 2 2" xfId="5666" xr:uid="{00000000-0005-0000-0000-00001F160000}"/>
    <cellStyle name="20% - Accent3 83 23 3" xfId="5667" xr:uid="{00000000-0005-0000-0000-000020160000}"/>
    <cellStyle name="20% - Accent3 83 24" xfId="5668" xr:uid="{00000000-0005-0000-0000-000021160000}"/>
    <cellStyle name="20% - Accent3 83 24 2" xfId="5669" xr:uid="{00000000-0005-0000-0000-000022160000}"/>
    <cellStyle name="20% - Accent3 83 24 2 2" xfId="5670" xr:uid="{00000000-0005-0000-0000-000023160000}"/>
    <cellStyle name="20% - Accent3 83 24 3" xfId="5671" xr:uid="{00000000-0005-0000-0000-000024160000}"/>
    <cellStyle name="20% - Accent3 83 25" xfId="5672" xr:uid="{00000000-0005-0000-0000-000025160000}"/>
    <cellStyle name="20% - Accent3 83 25 2" xfId="5673" xr:uid="{00000000-0005-0000-0000-000026160000}"/>
    <cellStyle name="20% - Accent3 83 25 2 2" xfId="5674" xr:uid="{00000000-0005-0000-0000-000027160000}"/>
    <cellStyle name="20% - Accent3 83 25 3" xfId="5675" xr:uid="{00000000-0005-0000-0000-000028160000}"/>
    <cellStyle name="20% - Accent3 83 26" xfId="5676" xr:uid="{00000000-0005-0000-0000-000029160000}"/>
    <cellStyle name="20% - Accent3 83 26 2" xfId="5677" xr:uid="{00000000-0005-0000-0000-00002A160000}"/>
    <cellStyle name="20% - Accent3 83 26 2 2" xfId="5678" xr:uid="{00000000-0005-0000-0000-00002B160000}"/>
    <cellStyle name="20% - Accent3 83 26 3" xfId="5679" xr:uid="{00000000-0005-0000-0000-00002C160000}"/>
    <cellStyle name="20% - Accent3 83 27" xfId="5680" xr:uid="{00000000-0005-0000-0000-00002D160000}"/>
    <cellStyle name="20% - Accent3 83 27 2" xfId="5681" xr:uid="{00000000-0005-0000-0000-00002E160000}"/>
    <cellStyle name="20% - Accent3 83 27 2 2" xfId="5682" xr:uid="{00000000-0005-0000-0000-00002F160000}"/>
    <cellStyle name="20% - Accent3 83 27 3" xfId="5683" xr:uid="{00000000-0005-0000-0000-000030160000}"/>
    <cellStyle name="20% - Accent3 83 28" xfId="5684" xr:uid="{00000000-0005-0000-0000-000031160000}"/>
    <cellStyle name="20% - Accent3 83 28 2" xfId="5685" xr:uid="{00000000-0005-0000-0000-000032160000}"/>
    <cellStyle name="20% - Accent3 83 28 2 2" xfId="5686" xr:uid="{00000000-0005-0000-0000-000033160000}"/>
    <cellStyle name="20% - Accent3 83 28 3" xfId="5687" xr:uid="{00000000-0005-0000-0000-000034160000}"/>
    <cellStyle name="20% - Accent3 83 29" xfId="5688" xr:uid="{00000000-0005-0000-0000-000035160000}"/>
    <cellStyle name="20% - Accent3 83 29 2" xfId="5689" xr:uid="{00000000-0005-0000-0000-000036160000}"/>
    <cellStyle name="20% - Accent3 83 29 2 2" xfId="5690" xr:uid="{00000000-0005-0000-0000-000037160000}"/>
    <cellStyle name="20% - Accent3 83 29 3" xfId="5691" xr:uid="{00000000-0005-0000-0000-000038160000}"/>
    <cellStyle name="20% - Accent3 83 3" xfId="5692" xr:uid="{00000000-0005-0000-0000-000039160000}"/>
    <cellStyle name="20% - Accent3 83 3 2" xfId="5693" xr:uid="{00000000-0005-0000-0000-00003A160000}"/>
    <cellStyle name="20% - Accent3 83 3 2 2" xfId="5694" xr:uid="{00000000-0005-0000-0000-00003B160000}"/>
    <cellStyle name="20% - Accent3 83 3 3" xfId="5695" xr:uid="{00000000-0005-0000-0000-00003C160000}"/>
    <cellStyle name="20% - Accent3 83 30" xfId="5696" xr:uid="{00000000-0005-0000-0000-00003D160000}"/>
    <cellStyle name="20% - Accent3 83 30 2" xfId="5697" xr:uid="{00000000-0005-0000-0000-00003E160000}"/>
    <cellStyle name="20% - Accent3 83 30 2 2" xfId="5698" xr:uid="{00000000-0005-0000-0000-00003F160000}"/>
    <cellStyle name="20% - Accent3 83 30 3" xfId="5699" xr:uid="{00000000-0005-0000-0000-000040160000}"/>
    <cellStyle name="20% - Accent3 83 31" xfId="5700" xr:uid="{00000000-0005-0000-0000-000041160000}"/>
    <cellStyle name="20% - Accent3 83 31 2" xfId="5701" xr:uid="{00000000-0005-0000-0000-000042160000}"/>
    <cellStyle name="20% - Accent3 83 31 2 2" xfId="5702" xr:uid="{00000000-0005-0000-0000-000043160000}"/>
    <cellStyle name="20% - Accent3 83 31 3" xfId="5703" xr:uid="{00000000-0005-0000-0000-000044160000}"/>
    <cellStyle name="20% - Accent3 83 32" xfId="5704" xr:uid="{00000000-0005-0000-0000-000045160000}"/>
    <cellStyle name="20% - Accent3 83 32 2" xfId="5705" xr:uid="{00000000-0005-0000-0000-000046160000}"/>
    <cellStyle name="20% - Accent3 83 32 2 2" xfId="5706" xr:uid="{00000000-0005-0000-0000-000047160000}"/>
    <cellStyle name="20% - Accent3 83 32 3" xfId="5707" xr:uid="{00000000-0005-0000-0000-000048160000}"/>
    <cellStyle name="20% - Accent3 83 33" xfId="5708" xr:uid="{00000000-0005-0000-0000-000049160000}"/>
    <cellStyle name="20% - Accent3 83 33 2" xfId="5709" xr:uid="{00000000-0005-0000-0000-00004A160000}"/>
    <cellStyle name="20% - Accent3 83 33 2 2" xfId="5710" xr:uid="{00000000-0005-0000-0000-00004B160000}"/>
    <cellStyle name="20% - Accent3 83 33 3" xfId="5711" xr:uid="{00000000-0005-0000-0000-00004C160000}"/>
    <cellStyle name="20% - Accent3 83 34" xfId="5712" xr:uid="{00000000-0005-0000-0000-00004D160000}"/>
    <cellStyle name="20% - Accent3 83 34 2" xfId="5713" xr:uid="{00000000-0005-0000-0000-00004E160000}"/>
    <cellStyle name="20% - Accent3 83 34 2 2" xfId="5714" xr:uid="{00000000-0005-0000-0000-00004F160000}"/>
    <cellStyle name="20% - Accent3 83 34 3" xfId="5715" xr:uid="{00000000-0005-0000-0000-000050160000}"/>
    <cellStyle name="20% - Accent3 83 35" xfId="5716" xr:uid="{00000000-0005-0000-0000-000051160000}"/>
    <cellStyle name="20% - Accent3 83 35 2" xfId="5717" xr:uid="{00000000-0005-0000-0000-000052160000}"/>
    <cellStyle name="20% - Accent3 83 35 2 2" xfId="5718" xr:uid="{00000000-0005-0000-0000-000053160000}"/>
    <cellStyle name="20% - Accent3 83 35 3" xfId="5719" xr:uid="{00000000-0005-0000-0000-000054160000}"/>
    <cellStyle name="20% - Accent3 83 36" xfId="5720" xr:uid="{00000000-0005-0000-0000-000055160000}"/>
    <cellStyle name="20% - Accent3 83 36 2" xfId="5721" xr:uid="{00000000-0005-0000-0000-000056160000}"/>
    <cellStyle name="20% - Accent3 83 36 2 2" xfId="5722" xr:uid="{00000000-0005-0000-0000-000057160000}"/>
    <cellStyle name="20% - Accent3 83 36 3" xfId="5723" xr:uid="{00000000-0005-0000-0000-000058160000}"/>
    <cellStyle name="20% - Accent3 83 4" xfId="5724" xr:uid="{00000000-0005-0000-0000-000059160000}"/>
    <cellStyle name="20% - Accent3 83 4 2" xfId="5725" xr:uid="{00000000-0005-0000-0000-00005A160000}"/>
    <cellStyle name="20% - Accent3 83 4 2 2" xfId="5726" xr:uid="{00000000-0005-0000-0000-00005B160000}"/>
    <cellStyle name="20% - Accent3 83 4 3" xfId="5727" xr:uid="{00000000-0005-0000-0000-00005C160000}"/>
    <cellStyle name="20% - Accent3 83 5" xfId="5728" xr:uid="{00000000-0005-0000-0000-00005D160000}"/>
    <cellStyle name="20% - Accent3 83 5 2" xfId="5729" xr:uid="{00000000-0005-0000-0000-00005E160000}"/>
    <cellStyle name="20% - Accent3 83 5 2 2" xfId="5730" xr:uid="{00000000-0005-0000-0000-00005F160000}"/>
    <cellStyle name="20% - Accent3 83 5 3" xfId="5731" xr:uid="{00000000-0005-0000-0000-000060160000}"/>
    <cellStyle name="20% - Accent3 83 6" xfId="5732" xr:uid="{00000000-0005-0000-0000-000061160000}"/>
    <cellStyle name="20% - Accent3 83 6 2" xfId="5733" xr:uid="{00000000-0005-0000-0000-000062160000}"/>
    <cellStyle name="20% - Accent3 83 6 2 2" xfId="5734" xr:uid="{00000000-0005-0000-0000-000063160000}"/>
    <cellStyle name="20% - Accent3 83 6 3" xfId="5735" xr:uid="{00000000-0005-0000-0000-000064160000}"/>
    <cellStyle name="20% - Accent3 83 7" xfId="5736" xr:uid="{00000000-0005-0000-0000-000065160000}"/>
    <cellStyle name="20% - Accent3 83 7 2" xfId="5737" xr:uid="{00000000-0005-0000-0000-000066160000}"/>
    <cellStyle name="20% - Accent3 83 7 2 2" xfId="5738" xr:uid="{00000000-0005-0000-0000-000067160000}"/>
    <cellStyle name="20% - Accent3 83 7 3" xfId="5739" xr:uid="{00000000-0005-0000-0000-000068160000}"/>
    <cellStyle name="20% - Accent3 83 8" xfId="5740" xr:uid="{00000000-0005-0000-0000-000069160000}"/>
    <cellStyle name="20% - Accent3 83 8 2" xfId="5741" xr:uid="{00000000-0005-0000-0000-00006A160000}"/>
    <cellStyle name="20% - Accent3 83 8 2 2" xfId="5742" xr:uid="{00000000-0005-0000-0000-00006B160000}"/>
    <cellStyle name="20% - Accent3 83 8 3" xfId="5743" xr:uid="{00000000-0005-0000-0000-00006C160000}"/>
    <cellStyle name="20% - Accent3 83 9" xfId="5744" xr:uid="{00000000-0005-0000-0000-00006D160000}"/>
    <cellStyle name="20% - Accent3 83 9 2" xfId="5745" xr:uid="{00000000-0005-0000-0000-00006E160000}"/>
    <cellStyle name="20% - Accent3 83 9 2 2" xfId="5746" xr:uid="{00000000-0005-0000-0000-00006F160000}"/>
    <cellStyle name="20% - Accent3 83 9 3" xfId="5747" xr:uid="{00000000-0005-0000-0000-000070160000}"/>
    <cellStyle name="20% - Accent3 84" xfId="5748" xr:uid="{00000000-0005-0000-0000-000071160000}"/>
    <cellStyle name="20% - Accent3 84 10" xfId="5749" xr:uid="{00000000-0005-0000-0000-000072160000}"/>
    <cellStyle name="20% - Accent3 84 10 2" xfId="5750" xr:uid="{00000000-0005-0000-0000-000073160000}"/>
    <cellStyle name="20% - Accent3 84 10 2 2" xfId="5751" xr:uid="{00000000-0005-0000-0000-000074160000}"/>
    <cellStyle name="20% - Accent3 84 10 3" xfId="5752" xr:uid="{00000000-0005-0000-0000-000075160000}"/>
    <cellStyle name="20% - Accent3 84 11" xfId="5753" xr:uid="{00000000-0005-0000-0000-000076160000}"/>
    <cellStyle name="20% - Accent3 84 11 2" xfId="5754" xr:uid="{00000000-0005-0000-0000-000077160000}"/>
    <cellStyle name="20% - Accent3 84 11 2 2" xfId="5755" xr:uid="{00000000-0005-0000-0000-000078160000}"/>
    <cellStyle name="20% - Accent3 84 11 3" xfId="5756" xr:uid="{00000000-0005-0000-0000-000079160000}"/>
    <cellStyle name="20% - Accent3 84 12" xfId="5757" xr:uid="{00000000-0005-0000-0000-00007A160000}"/>
    <cellStyle name="20% - Accent3 84 12 2" xfId="5758" xr:uid="{00000000-0005-0000-0000-00007B160000}"/>
    <cellStyle name="20% - Accent3 84 12 2 2" xfId="5759" xr:uid="{00000000-0005-0000-0000-00007C160000}"/>
    <cellStyle name="20% - Accent3 84 12 3" xfId="5760" xr:uid="{00000000-0005-0000-0000-00007D160000}"/>
    <cellStyle name="20% - Accent3 84 13" xfId="5761" xr:uid="{00000000-0005-0000-0000-00007E160000}"/>
    <cellStyle name="20% - Accent3 84 13 2" xfId="5762" xr:uid="{00000000-0005-0000-0000-00007F160000}"/>
    <cellStyle name="20% - Accent3 84 13 2 2" xfId="5763" xr:uid="{00000000-0005-0000-0000-000080160000}"/>
    <cellStyle name="20% - Accent3 84 13 3" xfId="5764" xr:uid="{00000000-0005-0000-0000-000081160000}"/>
    <cellStyle name="20% - Accent3 84 14" xfId="5765" xr:uid="{00000000-0005-0000-0000-000082160000}"/>
    <cellStyle name="20% - Accent3 84 14 2" xfId="5766" xr:uid="{00000000-0005-0000-0000-000083160000}"/>
    <cellStyle name="20% - Accent3 84 14 2 2" xfId="5767" xr:uid="{00000000-0005-0000-0000-000084160000}"/>
    <cellStyle name="20% - Accent3 84 14 3" xfId="5768" xr:uid="{00000000-0005-0000-0000-000085160000}"/>
    <cellStyle name="20% - Accent3 84 15" xfId="5769" xr:uid="{00000000-0005-0000-0000-000086160000}"/>
    <cellStyle name="20% - Accent3 84 15 2" xfId="5770" xr:uid="{00000000-0005-0000-0000-000087160000}"/>
    <cellStyle name="20% - Accent3 84 15 2 2" xfId="5771" xr:uid="{00000000-0005-0000-0000-000088160000}"/>
    <cellStyle name="20% - Accent3 84 15 3" xfId="5772" xr:uid="{00000000-0005-0000-0000-000089160000}"/>
    <cellStyle name="20% - Accent3 84 16" xfId="5773" xr:uid="{00000000-0005-0000-0000-00008A160000}"/>
    <cellStyle name="20% - Accent3 84 16 2" xfId="5774" xr:uid="{00000000-0005-0000-0000-00008B160000}"/>
    <cellStyle name="20% - Accent3 84 16 2 2" xfId="5775" xr:uid="{00000000-0005-0000-0000-00008C160000}"/>
    <cellStyle name="20% - Accent3 84 16 3" xfId="5776" xr:uid="{00000000-0005-0000-0000-00008D160000}"/>
    <cellStyle name="20% - Accent3 84 17" xfId="5777" xr:uid="{00000000-0005-0000-0000-00008E160000}"/>
    <cellStyle name="20% - Accent3 84 17 2" xfId="5778" xr:uid="{00000000-0005-0000-0000-00008F160000}"/>
    <cellStyle name="20% - Accent3 84 17 2 2" xfId="5779" xr:uid="{00000000-0005-0000-0000-000090160000}"/>
    <cellStyle name="20% - Accent3 84 17 3" xfId="5780" xr:uid="{00000000-0005-0000-0000-000091160000}"/>
    <cellStyle name="20% - Accent3 84 18" xfId="5781" xr:uid="{00000000-0005-0000-0000-000092160000}"/>
    <cellStyle name="20% - Accent3 84 18 2" xfId="5782" xr:uid="{00000000-0005-0000-0000-000093160000}"/>
    <cellStyle name="20% - Accent3 84 18 2 2" xfId="5783" xr:uid="{00000000-0005-0000-0000-000094160000}"/>
    <cellStyle name="20% - Accent3 84 18 3" xfId="5784" xr:uid="{00000000-0005-0000-0000-000095160000}"/>
    <cellStyle name="20% - Accent3 84 19" xfId="5785" xr:uid="{00000000-0005-0000-0000-000096160000}"/>
    <cellStyle name="20% - Accent3 84 19 2" xfId="5786" xr:uid="{00000000-0005-0000-0000-000097160000}"/>
    <cellStyle name="20% - Accent3 84 19 2 2" xfId="5787" xr:uid="{00000000-0005-0000-0000-000098160000}"/>
    <cellStyle name="20% - Accent3 84 19 3" xfId="5788" xr:uid="{00000000-0005-0000-0000-000099160000}"/>
    <cellStyle name="20% - Accent3 84 2" xfId="5789" xr:uid="{00000000-0005-0000-0000-00009A160000}"/>
    <cellStyle name="20% - Accent3 84 2 2" xfId="5790" xr:uid="{00000000-0005-0000-0000-00009B160000}"/>
    <cellStyle name="20% - Accent3 84 2 2 2" xfId="5791" xr:uid="{00000000-0005-0000-0000-00009C160000}"/>
    <cellStyle name="20% - Accent3 84 2 3" xfId="5792" xr:uid="{00000000-0005-0000-0000-00009D160000}"/>
    <cellStyle name="20% - Accent3 84 20" xfId="5793" xr:uid="{00000000-0005-0000-0000-00009E160000}"/>
    <cellStyle name="20% - Accent3 84 20 2" xfId="5794" xr:uid="{00000000-0005-0000-0000-00009F160000}"/>
    <cellStyle name="20% - Accent3 84 20 2 2" xfId="5795" xr:uid="{00000000-0005-0000-0000-0000A0160000}"/>
    <cellStyle name="20% - Accent3 84 20 3" xfId="5796" xr:uid="{00000000-0005-0000-0000-0000A1160000}"/>
    <cellStyle name="20% - Accent3 84 21" xfId="5797" xr:uid="{00000000-0005-0000-0000-0000A2160000}"/>
    <cellStyle name="20% - Accent3 84 21 2" xfId="5798" xr:uid="{00000000-0005-0000-0000-0000A3160000}"/>
    <cellStyle name="20% - Accent3 84 21 2 2" xfId="5799" xr:uid="{00000000-0005-0000-0000-0000A4160000}"/>
    <cellStyle name="20% - Accent3 84 21 3" xfId="5800" xr:uid="{00000000-0005-0000-0000-0000A5160000}"/>
    <cellStyle name="20% - Accent3 84 22" xfId="5801" xr:uid="{00000000-0005-0000-0000-0000A6160000}"/>
    <cellStyle name="20% - Accent3 84 22 2" xfId="5802" xr:uid="{00000000-0005-0000-0000-0000A7160000}"/>
    <cellStyle name="20% - Accent3 84 22 2 2" xfId="5803" xr:uid="{00000000-0005-0000-0000-0000A8160000}"/>
    <cellStyle name="20% - Accent3 84 22 3" xfId="5804" xr:uid="{00000000-0005-0000-0000-0000A9160000}"/>
    <cellStyle name="20% - Accent3 84 23" xfId="5805" xr:uid="{00000000-0005-0000-0000-0000AA160000}"/>
    <cellStyle name="20% - Accent3 84 23 2" xfId="5806" xr:uid="{00000000-0005-0000-0000-0000AB160000}"/>
    <cellStyle name="20% - Accent3 84 23 2 2" xfId="5807" xr:uid="{00000000-0005-0000-0000-0000AC160000}"/>
    <cellStyle name="20% - Accent3 84 23 3" xfId="5808" xr:uid="{00000000-0005-0000-0000-0000AD160000}"/>
    <cellStyle name="20% - Accent3 84 24" xfId="5809" xr:uid="{00000000-0005-0000-0000-0000AE160000}"/>
    <cellStyle name="20% - Accent3 84 24 2" xfId="5810" xr:uid="{00000000-0005-0000-0000-0000AF160000}"/>
    <cellStyle name="20% - Accent3 84 24 2 2" xfId="5811" xr:uid="{00000000-0005-0000-0000-0000B0160000}"/>
    <cellStyle name="20% - Accent3 84 24 3" xfId="5812" xr:uid="{00000000-0005-0000-0000-0000B1160000}"/>
    <cellStyle name="20% - Accent3 84 25" xfId="5813" xr:uid="{00000000-0005-0000-0000-0000B2160000}"/>
    <cellStyle name="20% - Accent3 84 25 2" xfId="5814" xr:uid="{00000000-0005-0000-0000-0000B3160000}"/>
    <cellStyle name="20% - Accent3 84 25 2 2" xfId="5815" xr:uid="{00000000-0005-0000-0000-0000B4160000}"/>
    <cellStyle name="20% - Accent3 84 25 3" xfId="5816" xr:uid="{00000000-0005-0000-0000-0000B5160000}"/>
    <cellStyle name="20% - Accent3 84 26" xfId="5817" xr:uid="{00000000-0005-0000-0000-0000B6160000}"/>
    <cellStyle name="20% - Accent3 84 26 2" xfId="5818" xr:uid="{00000000-0005-0000-0000-0000B7160000}"/>
    <cellStyle name="20% - Accent3 84 26 2 2" xfId="5819" xr:uid="{00000000-0005-0000-0000-0000B8160000}"/>
    <cellStyle name="20% - Accent3 84 26 3" xfId="5820" xr:uid="{00000000-0005-0000-0000-0000B9160000}"/>
    <cellStyle name="20% - Accent3 84 27" xfId="5821" xr:uid="{00000000-0005-0000-0000-0000BA160000}"/>
    <cellStyle name="20% - Accent3 84 27 2" xfId="5822" xr:uid="{00000000-0005-0000-0000-0000BB160000}"/>
    <cellStyle name="20% - Accent3 84 27 2 2" xfId="5823" xr:uid="{00000000-0005-0000-0000-0000BC160000}"/>
    <cellStyle name="20% - Accent3 84 27 3" xfId="5824" xr:uid="{00000000-0005-0000-0000-0000BD160000}"/>
    <cellStyle name="20% - Accent3 84 28" xfId="5825" xr:uid="{00000000-0005-0000-0000-0000BE160000}"/>
    <cellStyle name="20% - Accent3 84 28 2" xfId="5826" xr:uid="{00000000-0005-0000-0000-0000BF160000}"/>
    <cellStyle name="20% - Accent3 84 28 2 2" xfId="5827" xr:uid="{00000000-0005-0000-0000-0000C0160000}"/>
    <cellStyle name="20% - Accent3 84 28 3" xfId="5828" xr:uid="{00000000-0005-0000-0000-0000C1160000}"/>
    <cellStyle name="20% - Accent3 84 29" xfId="5829" xr:uid="{00000000-0005-0000-0000-0000C2160000}"/>
    <cellStyle name="20% - Accent3 84 29 2" xfId="5830" xr:uid="{00000000-0005-0000-0000-0000C3160000}"/>
    <cellStyle name="20% - Accent3 84 29 2 2" xfId="5831" xr:uid="{00000000-0005-0000-0000-0000C4160000}"/>
    <cellStyle name="20% - Accent3 84 29 3" xfId="5832" xr:uid="{00000000-0005-0000-0000-0000C5160000}"/>
    <cellStyle name="20% - Accent3 84 3" xfId="5833" xr:uid="{00000000-0005-0000-0000-0000C6160000}"/>
    <cellStyle name="20% - Accent3 84 3 2" xfId="5834" xr:uid="{00000000-0005-0000-0000-0000C7160000}"/>
    <cellStyle name="20% - Accent3 84 3 2 2" xfId="5835" xr:uid="{00000000-0005-0000-0000-0000C8160000}"/>
    <cellStyle name="20% - Accent3 84 3 3" xfId="5836" xr:uid="{00000000-0005-0000-0000-0000C9160000}"/>
    <cellStyle name="20% - Accent3 84 30" xfId="5837" xr:uid="{00000000-0005-0000-0000-0000CA160000}"/>
    <cellStyle name="20% - Accent3 84 30 2" xfId="5838" xr:uid="{00000000-0005-0000-0000-0000CB160000}"/>
    <cellStyle name="20% - Accent3 84 30 2 2" xfId="5839" xr:uid="{00000000-0005-0000-0000-0000CC160000}"/>
    <cellStyle name="20% - Accent3 84 30 3" xfId="5840" xr:uid="{00000000-0005-0000-0000-0000CD160000}"/>
    <cellStyle name="20% - Accent3 84 31" xfId="5841" xr:uid="{00000000-0005-0000-0000-0000CE160000}"/>
    <cellStyle name="20% - Accent3 84 31 2" xfId="5842" xr:uid="{00000000-0005-0000-0000-0000CF160000}"/>
    <cellStyle name="20% - Accent3 84 31 2 2" xfId="5843" xr:uid="{00000000-0005-0000-0000-0000D0160000}"/>
    <cellStyle name="20% - Accent3 84 31 3" xfId="5844" xr:uid="{00000000-0005-0000-0000-0000D1160000}"/>
    <cellStyle name="20% - Accent3 84 32" xfId="5845" xr:uid="{00000000-0005-0000-0000-0000D2160000}"/>
    <cellStyle name="20% - Accent3 84 32 2" xfId="5846" xr:uid="{00000000-0005-0000-0000-0000D3160000}"/>
    <cellStyle name="20% - Accent3 84 32 2 2" xfId="5847" xr:uid="{00000000-0005-0000-0000-0000D4160000}"/>
    <cellStyle name="20% - Accent3 84 32 3" xfId="5848" xr:uid="{00000000-0005-0000-0000-0000D5160000}"/>
    <cellStyle name="20% - Accent3 84 33" xfId="5849" xr:uid="{00000000-0005-0000-0000-0000D6160000}"/>
    <cellStyle name="20% - Accent3 84 33 2" xfId="5850" xr:uid="{00000000-0005-0000-0000-0000D7160000}"/>
    <cellStyle name="20% - Accent3 84 33 2 2" xfId="5851" xr:uid="{00000000-0005-0000-0000-0000D8160000}"/>
    <cellStyle name="20% - Accent3 84 33 3" xfId="5852" xr:uid="{00000000-0005-0000-0000-0000D9160000}"/>
    <cellStyle name="20% - Accent3 84 34" xfId="5853" xr:uid="{00000000-0005-0000-0000-0000DA160000}"/>
    <cellStyle name="20% - Accent3 84 34 2" xfId="5854" xr:uid="{00000000-0005-0000-0000-0000DB160000}"/>
    <cellStyle name="20% - Accent3 84 34 2 2" xfId="5855" xr:uid="{00000000-0005-0000-0000-0000DC160000}"/>
    <cellStyle name="20% - Accent3 84 34 3" xfId="5856" xr:uid="{00000000-0005-0000-0000-0000DD160000}"/>
    <cellStyle name="20% - Accent3 84 35" xfId="5857" xr:uid="{00000000-0005-0000-0000-0000DE160000}"/>
    <cellStyle name="20% - Accent3 84 35 2" xfId="5858" xr:uid="{00000000-0005-0000-0000-0000DF160000}"/>
    <cellStyle name="20% - Accent3 84 35 2 2" xfId="5859" xr:uid="{00000000-0005-0000-0000-0000E0160000}"/>
    <cellStyle name="20% - Accent3 84 35 3" xfId="5860" xr:uid="{00000000-0005-0000-0000-0000E1160000}"/>
    <cellStyle name="20% - Accent3 84 36" xfId="5861" xr:uid="{00000000-0005-0000-0000-0000E2160000}"/>
    <cellStyle name="20% - Accent3 84 36 2" xfId="5862" xr:uid="{00000000-0005-0000-0000-0000E3160000}"/>
    <cellStyle name="20% - Accent3 84 36 2 2" xfId="5863" xr:uid="{00000000-0005-0000-0000-0000E4160000}"/>
    <cellStyle name="20% - Accent3 84 36 3" xfId="5864" xr:uid="{00000000-0005-0000-0000-0000E5160000}"/>
    <cellStyle name="20% - Accent3 84 4" xfId="5865" xr:uid="{00000000-0005-0000-0000-0000E6160000}"/>
    <cellStyle name="20% - Accent3 84 4 2" xfId="5866" xr:uid="{00000000-0005-0000-0000-0000E7160000}"/>
    <cellStyle name="20% - Accent3 84 4 2 2" xfId="5867" xr:uid="{00000000-0005-0000-0000-0000E8160000}"/>
    <cellStyle name="20% - Accent3 84 4 3" xfId="5868" xr:uid="{00000000-0005-0000-0000-0000E9160000}"/>
    <cellStyle name="20% - Accent3 84 5" xfId="5869" xr:uid="{00000000-0005-0000-0000-0000EA160000}"/>
    <cellStyle name="20% - Accent3 84 5 2" xfId="5870" xr:uid="{00000000-0005-0000-0000-0000EB160000}"/>
    <cellStyle name="20% - Accent3 84 5 2 2" xfId="5871" xr:uid="{00000000-0005-0000-0000-0000EC160000}"/>
    <cellStyle name="20% - Accent3 84 5 3" xfId="5872" xr:uid="{00000000-0005-0000-0000-0000ED160000}"/>
    <cellStyle name="20% - Accent3 84 6" xfId="5873" xr:uid="{00000000-0005-0000-0000-0000EE160000}"/>
    <cellStyle name="20% - Accent3 84 6 2" xfId="5874" xr:uid="{00000000-0005-0000-0000-0000EF160000}"/>
    <cellStyle name="20% - Accent3 84 6 2 2" xfId="5875" xr:uid="{00000000-0005-0000-0000-0000F0160000}"/>
    <cellStyle name="20% - Accent3 84 6 3" xfId="5876" xr:uid="{00000000-0005-0000-0000-0000F1160000}"/>
    <cellStyle name="20% - Accent3 84 7" xfId="5877" xr:uid="{00000000-0005-0000-0000-0000F2160000}"/>
    <cellStyle name="20% - Accent3 84 7 2" xfId="5878" xr:uid="{00000000-0005-0000-0000-0000F3160000}"/>
    <cellStyle name="20% - Accent3 84 7 2 2" xfId="5879" xr:uid="{00000000-0005-0000-0000-0000F4160000}"/>
    <cellStyle name="20% - Accent3 84 7 3" xfId="5880" xr:uid="{00000000-0005-0000-0000-0000F5160000}"/>
    <cellStyle name="20% - Accent3 84 8" xfId="5881" xr:uid="{00000000-0005-0000-0000-0000F6160000}"/>
    <cellStyle name="20% - Accent3 84 8 2" xfId="5882" xr:uid="{00000000-0005-0000-0000-0000F7160000}"/>
    <cellStyle name="20% - Accent3 84 8 2 2" xfId="5883" xr:uid="{00000000-0005-0000-0000-0000F8160000}"/>
    <cellStyle name="20% - Accent3 84 8 3" xfId="5884" xr:uid="{00000000-0005-0000-0000-0000F9160000}"/>
    <cellStyle name="20% - Accent3 84 9" xfId="5885" xr:uid="{00000000-0005-0000-0000-0000FA160000}"/>
    <cellStyle name="20% - Accent3 84 9 2" xfId="5886" xr:uid="{00000000-0005-0000-0000-0000FB160000}"/>
    <cellStyle name="20% - Accent3 84 9 2 2" xfId="5887" xr:uid="{00000000-0005-0000-0000-0000FC160000}"/>
    <cellStyle name="20% - Accent3 84 9 3" xfId="5888" xr:uid="{00000000-0005-0000-0000-0000FD160000}"/>
    <cellStyle name="20% - Accent3 85" xfId="5889" xr:uid="{00000000-0005-0000-0000-0000FE160000}"/>
    <cellStyle name="20% - Accent3 85 10" xfId="5890" xr:uid="{00000000-0005-0000-0000-0000FF160000}"/>
    <cellStyle name="20% - Accent3 85 10 2" xfId="5891" xr:uid="{00000000-0005-0000-0000-000000170000}"/>
    <cellStyle name="20% - Accent3 85 10 2 2" xfId="5892" xr:uid="{00000000-0005-0000-0000-000001170000}"/>
    <cellStyle name="20% - Accent3 85 10 3" xfId="5893" xr:uid="{00000000-0005-0000-0000-000002170000}"/>
    <cellStyle name="20% - Accent3 85 11" xfId="5894" xr:uid="{00000000-0005-0000-0000-000003170000}"/>
    <cellStyle name="20% - Accent3 85 11 2" xfId="5895" xr:uid="{00000000-0005-0000-0000-000004170000}"/>
    <cellStyle name="20% - Accent3 85 11 2 2" xfId="5896" xr:uid="{00000000-0005-0000-0000-000005170000}"/>
    <cellStyle name="20% - Accent3 85 11 3" xfId="5897" xr:uid="{00000000-0005-0000-0000-000006170000}"/>
    <cellStyle name="20% - Accent3 85 12" xfId="5898" xr:uid="{00000000-0005-0000-0000-000007170000}"/>
    <cellStyle name="20% - Accent3 85 12 2" xfId="5899" xr:uid="{00000000-0005-0000-0000-000008170000}"/>
    <cellStyle name="20% - Accent3 85 12 2 2" xfId="5900" xr:uid="{00000000-0005-0000-0000-000009170000}"/>
    <cellStyle name="20% - Accent3 85 12 3" xfId="5901" xr:uid="{00000000-0005-0000-0000-00000A170000}"/>
    <cellStyle name="20% - Accent3 85 13" xfId="5902" xr:uid="{00000000-0005-0000-0000-00000B170000}"/>
    <cellStyle name="20% - Accent3 85 13 2" xfId="5903" xr:uid="{00000000-0005-0000-0000-00000C170000}"/>
    <cellStyle name="20% - Accent3 85 13 2 2" xfId="5904" xr:uid="{00000000-0005-0000-0000-00000D170000}"/>
    <cellStyle name="20% - Accent3 85 13 3" xfId="5905" xr:uid="{00000000-0005-0000-0000-00000E170000}"/>
    <cellStyle name="20% - Accent3 85 14" xfId="5906" xr:uid="{00000000-0005-0000-0000-00000F170000}"/>
    <cellStyle name="20% - Accent3 85 14 2" xfId="5907" xr:uid="{00000000-0005-0000-0000-000010170000}"/>
    <cellStyle name="20% - Accent3 85 14 2 2" xfId="5908" xr:uid="{00000000-0005-0000-0000-000011170000}"/>
    <cellStyle name="20% - Accent3 85 14 3" xfId="5909" xr:uid="{00000000-0005-0000-0000-000012170000}"/>
    <cellStyle name="20% - Accent3 85 15" xfId="5910" xr:uid="{00000000-0005-0000-0000-000013170000}"/>
    <cellStyle name="20% - Accent3 85 15 2" xfId="5911" xr:uid="{00000000-0005-0000-0000-000014170000}"/>
    <cellStyle name="20% - Accent3 85 15 2 2" xfId="5912" xr:uid="{00000000-0005-0000-0000-000015170000}"/>
    <cellStyle name="20% - Accent3 85 15 3" xfId="5913" xr:uid="{00000000-0005-0000-0000-000016170000}"/>
    <cellStyle name="20% - Accent3 85 16" xfId="5914" xr:uid="{00000000-0005-0000-0000-000017170000}"/>
    <cellStyle name="20% - Accent3 85 16 2" xfId="5915" xr:uid="{00000000-0005-0000-0000-000018170000}"/>
    <cellStyle name="20% - Accent3 85 16 2 2" xfId="5916" xr:uid="{00000000-0005-0000-0000-000019170000}"/>
    <cellStyle name="20% - Accent3 85 16 3" xfId="5917" xr:uid="{00000000-0005-0000-0000-00001A170000}"/>
    <cellStyle name="20% - Accent3 85 17" xfId="5918" xr:uid="{00000000-0005-0000-0000-00001B170000}"/>
    <cellStyle name="20% - Accent3 85 17 2" xfId="5919" xr:uid="{00000000-0005-0000-0000-00001C170000}"/>
    <cellStyle name="20% - Accent3 85 17 2 2" xfId="5920" xr:uid="{00000000-0005-0000-0000-00001D170000}"/>
    <cellStyle name="20% - Accent3 85 17 3" xfId="5921" xr:uid="{00000000-0005-0000-0000-00001E170000}"/>
    <cellStyle name="20% - Accent3 85 18" xfId="5922" xr:uid="{00000000-0005-0000-0000-00001F170000}"/>
    <cellStyle name="20% - Accent3 85 18 2" xfId="5923" xr:uid="{00000000-0005-0000-0000-000020170000}"/>
    <cellStyle name="20% - Accent3 85 18 2 2" xfId="5924" xr:uid="{00000000-0005-0000-0000-000021170000}"/>
    <cellStyle name="20% - Accent3 85 18 3" xfId="5925" xr:uid="{00000000-0005-0000-0000-000022170000}"/>
    <cellStyle name="20% - Accent3 85 19" xfId="5926" xr:uid="{00000000-0005-0000-0000-000023170000}"/>
    <cellStyle name="20% - Accent3 85 19 2" xfId="5927" xr:uid="{00000000-0005-0000-0000-000024170000}"/>
    <cellStyle name="20% - Accent3 85 19 2 2" xfId="5928" xr:uid="{00000000-0005-0000-0000-000025170000}"/>
    <cellStyle name="20% - Accent3 85 19 3" xfId="5929" xr:uid="{00000000-0005-0000-0000-000026170000}"/>
    <cellStyle name="20% - Accent3 85 2" xfId="5930" xr:uid="{00000000-0005-0000-0000-000027170000}"/>
    <cellStyle name="20% - Accent3 85 2 2" xfId="5931" xr:uid="{00000000-0005-0000-0000-000028170000}"/>
    <cellStyle name="20% - Accent3 85 2 2 2" xfId="5932" xr:uid="{00000000-0005-0000-0000-000029170000}"/>
    <cellStyle name="20% - Accent3 85 2 3" xfId="5933" xr:uid="{00000000-0005-0000-0000-00002A170000}"/>
    <cellStyle name="20% - Accent3 85 20" xfId="5934" xr:uid="{00000000-0005-0000-0000-00002B170000}"/>
    <cellStyle name="20% - Accent3 85 20 2" xfId="5935" xr:uid="{00000000-0005-0000-0000-00002C170000}"/>
    <cellStyle name="20% - Accent3 85 20 2 2" xfId="5936" xr:uid="{00000000-0005-0000-0000-00002D170000}"/>
    <cellStyle name="20% - Accent3 85 20 3" xfId="5937" xr:uid="{00000000-0005-0000-0000-00002E170000}"/>
    <cellStyle name="20% - Accent3 85 21" xfId="5938" xr:uid="{00000000-0005-0000-0000-00002F170000}"/>
    <cellStyle name="20% - Accent3 85 21 2" xfId="5939" xr:uid="{00000000-0005-0000-0000-000030170000}"/>
    <cellStyle name="20% - Accent3 85 21 2 2" xfId="5940" xr:uid="{00000000-0005-0000-0000-000031170000}"/>
    <cellStyle name="20% - Accent3 85 21 3" xfId="5941" xr:uid="{00000000-0005-0000-0000-000032170000}"/>
    <cellStyle name="20% - Accent3 85 22" xfId="5942" xr:uid="{00000000-0005-0000-0000-000033170000}"/>
    <cellStyle name="20% - Accent3 85 22 2" xfId="5943" xr:uid="{00000000-0005-0000-0000-000034170000}"/>
    <cellStyle name="20% - Accent3 85 22 2 2" xfId="5944" xr:uid="{00000000-0005-0000-0000-000035170000}"/>
    <cellStyle name="20% - Accent3 85 22 3" xfId="5945" xr:uid="{00000000-0005-0000-0000-000036170000}"/>
    <cellStyle name="20% - Accent3 85 23" xfId="5946" xr:uid="{00000000-0005-0000-0000-000037170000}"/>
    <cellStyle name="20% - Accent3 85 23 2" xfId="5947" xr:uid="{00000000-0005-0000-0000-000038170000}"/>
    <cellStyle name="20% - Accent3 85 23 2 2" xfId="5948" xr:uid="{00000000-0005-0000-0000-000039170000}"/>
    <cellStyle name="20% - Accent3 85 23 3" xfId="5949" xr:uid="{00000000-0005-0000-0000-00003A170000}"/>
    <cellStyle name="20% - Accent3 85 24" xfId="5950" xr:uid="{00000000-0005-0000-0000-00003B170000}"/>
    <cellStyle name="20% - Accent3 85 24 2" xfId="5951" xr:uid="{00000000-0005-0000-0000-00003C170000}"/>
    <cellStyle name="20% - Accent3 85 24 2 2" xfId="5952" xr:uid="{00000000-0005-0000-0000-00003D170000}"/>
    <cellStyle name="20% - Accent3 85 24 3" xfId="5953" xr:uid="{00000000-0005-0000-0000-00003E170000}"/>
    <cellStyle name="20% - Accent3 85 25" xfId="5954" xr:uid="{00000000-0005-0000-0000-00003F170000}"/>
    <cellStyle name="20% - Accent3 85 25 2" xfId="5955" xr:uid="{00000000-0005-0000-0000-000040170000}"/>
    <cellStyle name="20% - Accent3 85 25 2 2" xfId="5956" xr:uid="{00000000-0005-0000-0000-000041170000}"/>
    <cellStyle name="20% - Accent3 85 25 3" xfId="5957" xr:uid="{00000000-0005-0000-0000-000042170000}"/>
    <cellStyle name="20% - Accent3 85 26" xfId="5958" xr:uid="{00000000-0005-0000-0000-000043170000}"/>
    <cellStyle name="20% - Accent3 85 26 2" xfId="5959" xr:uid="{00000000-0005-0000-0000-000044170000}"/>
    <cellStyle name="20% - Accent3 85 26 2 2" xfId="5960" xr:uid="{00000000-0005-0000-0000-000045170000}"/>
    <cellStyle name="20% - Accent3 85 26 3" xfId="5961" xr:uid="{00000000-0005-0000-0000-000046170000}"/>
    <cellStyle name="20% - Accent3 85 27" xfId="5962" xr:uid="{00000000-0005-0000-0000-000047170000}"/>
    <cellStyle name="20% - Accent3 85 27 2" xfId="5963" xr:uid="{00000000-0005-0000-0000-000048170000}"/>
    <cellStyle name="20% - Accent3 85 27 2 2" xfId="5964" xr:uid="{00000000-0005-0000-0000-000049170000}"/>
    <cellStyle name="20% - Accent3 85 27 3" xfId="5965" xr:uid="{00000000-0005-0000-0000-00004A170000}"/>
    <cellStyle name="20% - Accent3 85 28" xfId="5966" xr:uid="{00000000-0005-0000-0000-00004B170000}"/>
    <cellStyle name="20% - Accent3 85 28 2" xfId="5967" xr:uid="{00000000-0005-0000-0000-00004C170000}"/>
    <cellStyle name="20% - Accent3 85 28 2 2" xfId="5968" xr:uid="{00000000-0005-0000-0000-00004D170000}"/>
    <cellStyle name="20% - Accent3 85 28 3" xfId="5969" xr:uid="{00000000-0005-0000-0000-00004E170000}"/>
    <cellStyle name="20% - Accent3 85 29" xfId="5970" xr:uid="{00000000-0005-0000-0000-00004F170000}"/>
    <cellStyle name="20% - Accent3 85 29 2" xfId="5971" xr:uid="{00000000-0005-0000-0000-000050170000}"/>
    <cellStyle name="20% - Accent3 85 29 2 2" xfId="5972" xr:uid="{00000000-0005-0000-0000-000051170000}"/>
    <cellStyle name="20% - Accent3 85 29 3" xfId="5973" xr:uid="{00000000-0005-0000-0000-000052170000}"/>
    <cellStyle name="20% - Accent3 85 3" xfId="5974" xr:uid="{00000000-0005-0000-0000-000053170000}"/>
    <cellStyle name="20% - Accent3 85 3 2" xfId="5975" xr:uid="{00000000-0005-0000-0000-000054170000}"/>
    <cellStyle name="20% - Accent3 85 3 2 2" xfId="5976" xr:uid="{00000000-0005-0000-0000-000055170000}"/>
    <cellStyle name="20% - Accent3 85 3 3" xfId="5977" xr:uid="{00000000-0005-0000-0000-000056170000}"/>
    <cellStyle name="20% - Accent3 85 30" xfId="5978" xr:uid="{00000000-0005-0000-0000-000057170000}"/>
    <cellStyle name="20% - Accent3 85 30 2" xfId="5979" xr:uid="{00000000-0005-0000-0000-000058170000}"/>
    <cellStyle name="20% - Accent3 85 30 2 2" xfId="5980" xr:uid="{00000000-0005-0000-0000-000059170000}"/>
    <cellStyle name="20% - Accent3 85 30 3" xfId="5981" xr:uid="{00000000-0005-0000-0000-00005A170000}"/>
    <cellStyle name="20% - Accent3 85 31" xfId="5982" xr:uid="{00000000-0005-0000-0000-00005B170000}"/>
    <cellStyle name="20% - Accent3 85 31 2" xfId="5983" xr:uid="{00000000-0005-0000-0000-00005C170000}"/>
    <cellStyle name="20% - Accent3 85 31 2 2" xfId="5984" xr:uid="{00000000-0005-0000-0000-00005D170000}"/>
    <cellStyle name="20% - Accent3 85 31 3" xfId="5985" xr:uid="{00000000-0005-0000-0000-00005E170000}"/>
    <cellStyle name="20% - Accent3 85 32" xfId="5986" xr:uid="{00000000-0005-0000-0000-00005F170000}"/>
    <cellStyle name="20% - Accent3 85 32 2" xfId="5987" xr:uid="{00000000-0005-0000-0000-000060170000}"/>
    <cellStyle name="20% - Accent3 85 32 2 2" xfId="5988" xr:uid="{00000000-0005-0000-0000-000061170000}"/>
    <cellStyle name="20% - Accent3 85 32 3" xfId="5989" xr:uid="{00000000-0005-0000-0000-000062170000}"/>
    <cellStyle name="20% - Accent3 85 33" xfId="5990" xr:uid="{00000000-0005-0000-0000-000063170000}"/>
    <cellStyle name="20% - Accent3 85 33 2" xfId="5991" xr:uid="{00000000-0005-0000-0000-000064170000}"/>
    <cellStyle name="20% - Accent3 85 33 2 2" xfId="5992" xr:uid="{00000000-0005-0000-0000-000065170000}"/>
    <cellStyle name="20% - Accent3 85 33 3" xfId="5993" xr:uid="{00000000-0005-0000-0000-000066170000}"/>
    <cellStyle name="20% - Accent3 85 34" xfId="5994" xr:uid="{00000000-0005-0000-0000-000067170000}"/>
    <cellStyle name="20% - Accent3 85 34 2" xfId="5995" xr:uid="{00000000-0005-0000-0000-000068170000}"/>
    <cellStyle name="20% - Accent3 85 34 2 2" xfId="5996" xr:uid="{00000000-0005-0000-0000-000069170000}"/>
    <cellStyle name="20% - Accent3 85 34 3" xfId="5997" xr:uid="{00000000-0005-0000-0000-00006A170000}"/>
    <cellStyle name="20% - Accent3 85 35" xfId="5998" xr:uid="{00000000-0005-0000-0000-00006B170000}"/>
    <cellStyle name="20% - Accent3 85 35 2" xfId="5999" xr:uid="{00000000-0005-0000-0000-00006C170000}"/>
    <cellStyle name="20% - Accent3 85 35 2 2" xfId="6000" xr:uid="{00000000-0005-0000-0000-00006D170000}"/>
    <cellStyle name="20% - Accent3 85 35 3" xfId="6001" xr:uid="{00000000-0005-0000-0000-00006E170000}"/>
    <cellStyle name="20% - Accent3 85 36" xfId="6002" xr:uid="{00000000-0005-0000-0000-00006F170000}"/>
    <cellStyle name="20% - Accent3 85 36 2" xfId="6003" xr:uid="{00000000-0005-0000-0000-000070170000}"/>
    <cellStyle name="20% - Accent3 85 36 2 2" xfId="6004" xr:uid="{00000000-0005-0000-0000-000071170000}"/>
    <cellStyle name="20% - Accent3 85 36 3" xfId="6005" xr:uid="{00000000-0005-0000-0000-000072170000}"/>
    <cellStyle name="20% - Accent3 85 4" xfId="6006" xr:uid="{00000000-0005-0000-0000-000073170000}"/>
    <cellStyle name="20% - Accent3 85 4 2" xfId="6007" xr:uid="{00000000-0005-0000-0000-000074170000}"/>
    <cellStyle name="20% - Accent3 85 4 2 2" xfId="6008" xr:uid="{00000000-0005-0000-0000-000075170000}"/>
    <cellStyle name="20% - Accent3 85 4 3" xfId="6009" xr:uid="{00000000-0005-0000-0000-000076170000}"/>
    <cellStyle name="20% - Accent3 85 5" xfId="6010" xr:uid="{00000000-0005-0000-0000-000077170000}"/>
    <cellStyle name="20% - Accent3 85 5 2" xfId="6011" xr:uid="{00000000-0005-0000-0000-000078170000}"/>
    <cellStyle name="20% - Accent3 85 5 2 2" xfId="6012" xr:uid="{00000000-0005-0000-0000-000079170000}"/>
    <cellStyle name="20% - Accent3 85 5 3" xfId="6013" xr:uid="{00000000-0005-0000-0000-00007A170000}"/>
    <cellStyle name="20% - Accent3 85 6" xfId="6014" xr:uid="{00000000-0005-0000-0000-00007B170000}"/>
    <cellStyle name="20% - Accent3 85 6 2" xfId="6015" xr:uid="{00000000-0005-0000-0000-00007C170000}"/>
    <cellStyle name="20% - Accent3 85 6 2 2" xfId="6016" xr:uid="{00000000-0005-0000-0000-00007D170000}"/>
    <cellStyle name="20% - Accent3 85 6 3" xfId="6017" xr:uid="{00000000-0005-0000-0000-00007E170000}"/>
    <cellStyle name="20% - Accent3 85 7" xfId="6018" xr:uid="{00000000-0005-0000-0000-00007F170000}"/>
    <cellStyle name="20% - Accent3 85 7 2" xfId="6019" xr:uid="{00000000-0005-0000-0000-000080170000}"/>
    <cellStyle name="20% - Accent3 85 7 2 2" xfId="6020" xr:uid="{00000000-0005-0000-0000-000081170000}"/>
    <cellStyle name="20% - Accent3 85 7 3" xfId="6021" xr:uid="{00000000-0005-0000-0000-000082170000}"/>
    <cellStyle name="20% - Accent3 85 8" xfId="6022" xr:uid="{00000000-0005-0000-0000-000083170000}"/>
    <cellStyle name="20% - Accent3 85 8 2" xfId="6023" xr:uid="{00000000-0005-0000-0000-000084170000}"/>
    <cellStyle name="20% - Accent3 85 8 2 2" xfId="6024" xr:uid="{00000000-0005-0000-0000-000085170000}"/>
    <cellStyle name="20% - Accent3 85 8 3" xfId="6025" xr:uid="{00000000-0005-0000-0000-000086170000}"/>
    <cellStyle name="20% - Accent3 85 9" xfId="6026" xr:uid="{00000000-0005-0000-0000-000087170000}"/>
    <cellStyle name="20% - Accent3 85 9 2" xfId="6027" xr:uid="{00000000-0005-0000-0000-000088170000}"/>
    <cellStyle name="20% - Accent3 85 9 2 2" xfId="6028" xr:uid="{00000000-0005-0000-0000-000089170000}"/>
    <cellStyle name="20% - Accent3 85 9 3" xfId="6029" xr:uid="{00000000-0005-0000-0000-00008A170000}"/>
    <cellStyle name="20% - Accent3 86" xfId="6030" xr:uid="{00000000-0005-0000-0000-00008B170000}"/>
    <cellStyle name="20% - Accent3 86 10" xfId="6031" xr:uid="{00000000-0005-0000-0000-00008C170000}"/>
    <cellStyle name="20% - Accent3 86 10 2" xfId="6032" xr:uid="{00000000-0005-0000-0000-00008D170000}"/>
    <cellStyle name="20% - Accent3 86 10 2 2" xfId="6033" xr:uid="{00000000-0005-0000-0000-00008E170000}"/>
    <cellStyle name="20% - Accent3 86 10 3" xfId="6034" xr:uid="{00000000-0005-0000-0000-00008F170000}"/>
    <cellStyle name="20% - Accent3 86 11" xfId="6035" xr:uid="{00000000-0005-0000-0000-000090170000}"/>
    <cellStyle name="20% - Accent3 86 11 2" xfId="6036" xr:uid="{00000000-0005-0000-0000-000091170000}"/>
    <cellStyle name="20% - Accent3 86 11 2 2" xfId="6037" xr:uid="{00000000-0005-0000-0000-000092170000}"/>
    <cellStyle name="20% - Accent3 86 11 3" xfId="6038" xr:uid="{00000000-0005-0000-0000-000093170000}"/>
    <cellStyle name="20% - Accent3 86 12" xfId="6039" xr:uid="{00000000-0005-0000-0000-000094170000}"/>
    <cellStyle name="20% - Accent3 86 12 2" xfId="6040" xr:uid="{00000000-0005-0000-0000-000095170000}"/>
    <cellStyle name="20% - Accent3 86 12 2 2" xfId="6041" xr:uid="{00000000-0005-0000-0000-000096170000}"/>
    <cellStyle name="20% - Accent3 86 12 3" xfId="6042" xr:uid="{00000000-0005-0000-0000-000097170000}"/>
    <cellStyle name="20% - Accent3 86 13" xfId="6043" xr:uid="{00000000-0005-0000-0000-000098170000}"/>
    <cellStyle name="20% - Accent3 86 13 2" xfId="6044" xr:uid="{00000000-0005-0000-0000-000099170000}"/>
    <cellStyle name="20% - Accent3 86 13 2 2" xfId="6045" xr:uid="{00000000-0005-0000-0000-00009A170000}"/>
    <cellStyle name="20% - Accent3 86 13 3" xfId="6046" xr:uid="{00000000-0005-0000-0000-00009B170000}"/>
    <cellStyle name="20% - Accent3 86 14" xfId="6047" xr:uid="{00000000-0005-0000-0000-00009C170000}"/>
    <cellStyle name="20% - Accent3 86 14 2" xfId="6048" xr:uid="{00000000-0005-0000-0000-00009D170000}"/>
    <cellStyle name="20% - Accent3 86 14 2 2" xfId="6049" xr:uid="{00000000-0005-0000-0000-00009E170000}"/>
    <cellStyle name="20% - Accent3 86 14 3" xfId="6050" xr:uid="{00000000-0005-0000-0000-00009F170000}"/>
    <cellStyle name="20% - Accent3 86 15" xfId="6051" xr:uid="{00000000-0005-0000-0000-0000A0170000}"/>
    <cellStyle name="20% - Accent3 86 15 2" xfId="6052" xr:uid="{00000000-0005-0000-0000-0000A1170000}"/>
    <cellStyle name="20% - Accent3 86 15 2 2" xfId="6053" xr:uid="{00000000-0005-0000-0000-0000A2170000}"/>
    <cellStyle name="20% - Accent3 86 15 3" xfId="6054" xr:uid="{00000000-0005-0000-0000-0000A3170000}"/>
    <cellStyle name="20% - Accent3 86 16" xfId="6055" xr:uid="{00000000-0005-0000-0000-0000A4170000}"/>
    <cellStyle name="20% - Accent3 86 16 2" xfId="6056" xr:uid="{00000000-0005-0000-0000-0000A5170000}"/>
    <cellStyle name="20% - Accent3 86 16 2 2" xfId="6057" xr:uid="{00000000-0005-0000-0000-0000A6170000}"/>
    <cellStyle name="20% - Accent3 86 16 3" xfId="6058" xr:uid="{00000000-0005-0000-0000-0000A7170000}"/>
    <cellStyle name="20% - Accent3 86 17" xfId="6059" xr:uid="{00000000-0005-0000-0000-0000A8170000}"/>
    <cellStyle name="20% - Accent3 86 17 2" xfId="6060" xr:uid="{00000000-0005-0000-0000-0000A9170000}"/>
    <cellStyle name="20% - Accent3 86 17 2 2" xfId="6061" xr:uid="{00000000-0005-0000-0000-0000AA170000}"/>
    <cellStyle name="20% - Accent3 86 17 3" xfId="6062" xr:uid="{00000000-0005-0000-0000-0000AB170000}"/>
    <cellStyle name="20% - Accent3 86 18" xfId="6063" xr:uid="{00000000-0005-0000-0000-0000AC170000}"/>
    <cellStyle name="20% - Accent3 86 18 2" xfId="6064" xr:uid="{00000000-0005-0000-0000-0000AD170000}"/>
    <cellStyle name="20% - Accent3 86 18 2 2" xfId="6065" xr:uid="{00000000-0005-0000-0000-0000AE170000}"/>
    <cellStyle name="20% - Accent3 86 18 3" xfId="6066" xr:uid="{00000000-0005-0000-0000-0000AF170000}"/>
    <cellStyle name="20% - Accent3 86 19" xfId="6067" xr:uid="{00000000-0005-0000-0000-0000B0170000}"/>
    <cellStyle name="20% - Accent3 86 19 2" xfId="6068" xr:uid="{00000000-0005-0000-0000-0000B1170000}"/>
    <cellStyle name="20% - Accent3 86 19 2 2" xfId="6069" xr:uid="{00000000-0005-0000-0000-0000B2170000}"/>
    <cellStyle name="20% - Accent3 86 19 3" xfId="6070" xr:uid="{00000000-0005-0000-0000-0000B3170000}"/>
    <cellStyle name="20% - Accent3 86 2" xfId="6071" xr:uid="{00000000-0005-0000-0000-0000B4170000}"/>
    <cellStyle name="20% - Accent3 86 2 2" xfId="6072" xr:uid="{00000000-0005-0000-0000-0000B5170000}"/>
    <cellStyle name="20% - Accent3 86 2 2 2" xfId="6073" xr:uid="{00000000-0005-0000-0000-0000B6170000}"/>
    <cellStyle name="20% - Accent3 86 2 3" xfId="6074" xr:uid="{00000000-0005-0000-0000-0000B7170000}"/>
    <cellStyle name="20% - Accent3 86 20" xfId="6075" xr:uid="{00000000-0005-0000-0000-0000B8170000}"/>
    <cellStyle name="20% - Accent3 86 20 2" xfId="6076" xr:uid="{00000000-0005-0000-0000-0000B9170000}"/>
    <cellStyle name="20% - Accent3 86 20 2 2" xfId="6077" xr:uid="{00000000-0005-0000-0000-0000BA170000}"/>
    <cellStyle name="20% - Accent3 86 20 3" xfId="6078" xr:uid="{00000000-0005-0000-0000-0000BB170000}"/>
    <cellStyle name="20% - Accent3 86 21" xfId="6079" xr:uid="{00000000-0005-0000-0000-0000BC170000}"/>
    <cellStyle name="20% - Accent3 86 21 2" xfId="6080" xr:uid="{00000000-0005-0000-0000-0000BD170000}"/>
    <cellStyle name="20% - Accent3 86 21 2 2" xfId="6081" xr:uid="{00000000-0005-0000-0000-0000BE170000}"/>
    <cellStyle name="20% - Accent3 86 21 3" xfId="6082" xr:uid="{00000000-0005-0000-0000-0000BF170000}"/>
    <cellStyle name="20% - Accent3 86 22" xfId="6083" xr:uid="{00000000-0005-0000-0000-0000C0170000}"/>
    <cellStyle name="20% - Accent3 86 22 2" xfId="6084" xr:uid="{00000000-0005-0000-0000-0000C1170000}"/>
    <cellStyle name="20% - Accent3 86 22 2 2" xfId="6085" xr:uid="{00000000-0005-0000-0000-0000C2170000}"/>
    <cellStyle name="20% - Accent3 86 22 3" xfId="6086" xr:uid="{00000000-0005-0000-0000-0000C3170000}"/>
    <cellStyle name="20% - Accent3 86 23" xfId="6087" xr:uid="{00000000-0005-0000-0000-0000C4170000}"/>
    <cellStyle name="20% - Accent3 86 23 2" xfId="6088" xr:uid="{00000000-0005-0000-0000-0000C5170000}"/>
    <cellStyle name="20% - Accent3 86 23 2 2" xfId="6089" xr:uid="{00000000-0005-0000-0000-0000C6170000}"/>
    <cellStyle name="20% - Accent3 86 23 3" xfId="6090" xr:uid="{00000000-0005-0000-0000-0000C7170000}"/>
    <cellStyle name="20% - Accent3 86 24" xfId="6091" xr:uid="{00000000-0005-0000-0000-0000C8170000}"/>
    <cellStyle name="20% - Accent3 86 24 2" xfId="6092" xr:uid="{00000000-0005-0000-0000-0000C9170000}"/>
    <cellStyle name="20% - Accent3 86 24 2 2" xfId="6093" xr:uid="{00000000-0005-0000-0000-0000CA170000}"/>
    <cellStyle name="20% - Accent3 86 24 3" xfId="6094" xr:uid="{00000000-0005-0000-0000-0000CB170000}"/>
    <cellStyle name="20% - Accent3 86 25" xfId="6095" xr:uid="{00000000-0005-0000-0000-0000CC170000}"/>
    <cellStyle name="20% - Accent3 86 25 2" xfId="6096" xr:uid="{00000000-0005-0000-0000-0000CD170000}"/>
    <cellStyle name="20% - Accent3 86 25 2 2" xfId="6097" xr:uid="{00000000-0005-0000-0000-0000CE170000}"/>
    <cellStyle name="20% - Accent3 86 25 3" xfId="6098" xr:uid="{00000000-0005-0000-0000-0000CF170000}"/>
    <cellStyle name="20% - Accent3 86 26" xfId="6099" xr:uid="{00000000-0005-0000-0000-0000D0170000}"/>
    <cellStyle name="20% - Accent3 86 26 2" xfId="6100" xr:uid="{00000000-0005-0000-0000-0000D1170000}"/>
    <cellStyle name="20% - Accent3 86 26 2 2" xfId="6101" xr:uid="{00000000-0005-0000-0000-0000D2170000}"/>
    <cellStyle name="20% - Accent3 86 26 3" xfId="6102" xr:uid="{00000000-0005-0000-0000-0000D3170000}"/>
    <cellStyle name="20% - Accent3 86 27" xfId="6103" xr:uid="{00000000-0005-0000-0000-0000D4170000}"/>
    <cellStyle name="20% - Accent3 86 27 2" xfId="6104" xr:uid="{00000000-0005-0000-0000-0000D5170000}"/>
    <cellStyle name="20% - Accent3 86 27 2 2" xfId="6105" xr:uid="{00000000-0005-0000-0000-0000D6170000}"/>
    <cellStyle name="20% - Accent3 86 27 3" xfId="6106" xr:uid="{00000000-0005-0000-0000-0000D7170000}"/>
    <cellStyle name="20% - Accent3 86 28" xfId="6107" xr:uid="{00000000-0005-0000-0000-0000D8170000}"/>
    <cellStyle name="20% - Accent3 86 28 2" xfId="6108" xr:uid="{00000000-0005-0000-0000-0000D9170000}"/>
    <cellStyle name="20% - Accent3 86 28 2 2" xfId="6109" xr:uid="{00000000-0005-0000-0000-0000DA170000}"/>
    <cellStyle name="20% - Accent3 86 28 3" xfId="6110" xr:uid="{00000000-0005-0000-0000-0000DB170000}"/>
    <cellStyle name="20% - Accent3 86 29" xfId="6111" xr:uid="{00000000-0005-0000-0000-0000DC170000}"/>
    <cellStyle name="20% - Accent3 86 29 2" xfId="6112" xr:uid="{00000000-0005-0000-0000-0000DD170000}"/>
    <cellStyle name="20% - Accent3 86 29 2 2" xfId="6113" xr:uid="{00000000-0005-0000-0000-0000DE170000}"/>
    <cellStyle name="20% - Accent3 86 29 3" xfId="6114" xr:uid="{00000000-0005-0000-0000-0000DF170000}"/>
    <cellStyle name="20% - Accent3 86 3" xfId="6115" xr:uid="{00000000-0005-0000-0000-0000E0170000}"/>
    <cellStyle name="20% - Accent3 86 3 2" xfId="6116" xr:uid="{00000000-0005-0000-0000-0000E1170000}"/>
    <cellStyle name="20% - Accent3 86 3 2 2" xfId="6117" xr:uid="{00000000-0005-0000-0000-0000E2170000}"/>
    <cellStyle name="20% - Accent3 86 3 3" xfId="6118" xr:uid="{00000000-0005-0000-0000-0000E3170000}"/>
    <cellStyle name="20% - Accent3 86 30" xfId="6119" xr:uid="{00000000-0005-0000-0000-0000E4170000}"/>
    <cellStyle name="20% - Accent3 86 30 2" xfId="6120" xr:uid="{00000000-0005-0000-0000-0000E5170000}"/>
    <cellStyle name="20% - Accent3 86 30 2 2" xfId="6121" xr:uid="{00000000-0005-0000-0000-0000E6170000}"/>
    <cellStyle name="20% - Accent3 86 30 3" xfId="6122" xr:uid="{00000000-0005-0000-0000-0000E7170000}"/>
    <cellStyle name="20% - Accent3 86 31" xfId="6123" xr:uid="{00000000-0005-0000-0000-0000E8170000}"/>
    <cellStyle name="20% - Accent3 86 31 2" xfId="6124" xr:uid="{00000000-0005-0000-0000-0000E9170000}"/>
    <cellStyle name="20% - Accent3 86 31 2 2" xfId="6125" xr:uid="{00000000-0005-0000-0000-0000EA170000}"/>
    <cellStyle name="20% - Accent3 86 31 3" xfId="6126" xr:uid="{00000000-0005-0000-0000-0000EB170000}"/>
    <cellStyle name="20% - Accent3 86 32" xfId="6127" xr:uid="{00000000-0005-0000-0000-0000EC170000}"/>
    <cellStyle name="20% - Accent3 86 32 2" xfId="6128" xr:uid="{00000000-0005-0000-0000-0000ED170000}"/>
    <cellStyle name="20% - Accent3 86 32 2 2" xfId="6129" xr:uid="{00000000-0005-0000-0000-0000EE170000}"/>
    <cellStyle name="20% - Accent3 86 32 3" xfId="6130" xr:uid="{00000000-0005-0000-0000-0000EF170000}"/>
    <cellStyle name="20% - Accent3 86 33" xfId="6131" xr:uid="{00000000-0005-0000-0000-0000F0170000}"/>
    <cellStyle name="20% - Accent3 86 33 2" xfId="6132" xr:uid="{00000000-0005-0000-0000-0000F1170000}"/>
    <cellStyle name="20% - Accent3 86 33 2 2" xfId="6133" xr:uid="{00000000-0005-0000-0000-0000F2170000}"/>
    <cellStyle name="20% - Accent3 86 33 3" xfId="6134" xr:uid="{00000000-0005-0000-0000-0000F3170000}"/>
    <cellStyle name="20% - Accent3 86 34" xfId="6135" xr:uid="{00000000-0005-0000-0000-0000F4170000}"/>
    <cellStyle name="20% - Accent3 86 34 2" xfId="6136" xr:uid="{00000000-0005-0000-0000-0000F5170000}"/>
    <cellStyle name="20% - Accent3 86 34 2 2" xfId="6137" xr:uid="{00000000-0005-0000-0000-0000F6170000}"/>
    <cellStyle name="20% - Accent3 86 34 3" xfId="6138" xr:uid="{00000000-0005-0000-0000-0000F7170000}"/>
    <cellStyle name="20% - Accent3 86 35" xfId="6139" xr:uid="{00000000-0005-0000-0000-0000F8170000}"/>
    <cellStyle name="20% - Accent3 86 35 2" xfId="6140" xr:uid="{00000000-0005-0000-0000-0000F9170000}"/>
    <cellStyle name="20% - Accent3 86 35 2 2" xfId="6141" xr:uid="{00000000-0005-0000-0000-0000FA170000}"/>
    <cellStyle name="20% - Accent3 86 35 3" xfId="6142" xr:uid="{00000000-0005-0000-0000-0000FB170000}"/>
    <cellStyle name="20% - Accent3 86 36" xfId="6143" xr:uid="{00000000-0005-0000-0000-0000FC170000}"/>
    <cellStyle name="20% - Accent3 86 36 2" xfId="6144" xr:uid="{00000000-0005-0000-0000-0000FD170000}"/>
    <cellStyle name="20% - Accent3 86 36 2 2" xfId="6145" xr:uid="{00000000-0005-0000-0000-0000FE170000}"/>
    <cellStyle name="20% - Accent3 86 36 3" xfId="6146" xr:uid="{00000000-0005-0000-0000-0000FF170000}"/>
    <cellStyle name="20% - Accent3 86 4" xfId="6147" xr:uid="{00000000-0005-0000-0000-000000180000}"/>
    <cellStyle name="20% - Accent3 86 4 2" xfId="6148" xr:uid="{00000000-0005-0000-0000-000001180000}"/>
    <cellStyle name="20% - Accent3 86 4 2 2" xfId="6149" xr:uid="{00000000-0005-0000-0000-000002180000}"/>
    <cellStyle name="20% - Accent3 86 4 3" xfId="6150" xr:uid="{00000000-0005-0000-0000-000003180000}"/>
    <cellStyle name="20% - Accent3 86 5" xfId="6151" xr:uid="{00000000-0005-0000-0000-000004180000}"/>
    <cellStyle name="20% - Accent3 86 5 2" xfId="6152" xr:uid="{00000000-0005-0000-0000-000005180000}"/>
    <cellStyle name="20% - Accent3 86 5 2 2" xfId="6153" xr:uid="{00000000-0005-0000-0000-000006180000}"/>
    <cellStyle name="20% - Accent3 86 5 3" xfId="6154" xr:uid="{00000000-0005-0000-0000-000007180000}"/>
    <cellStyle name="20% - Accent3 86 6" xfId="6155" xr:uid="{00000000-0005-0000-0000-000008180000}"/>
    <cellStyle name="20% - Accent3 86 6 2" xfId="6156" xr:uid="{00000000-0005-0000-0000-000009180000}"/>
    <cellStyle name="20% - Accent3 86 6 2 2" xfId="6157" xr:uid="{00000000-0005-0000-0000-00000A180000}"/>
    <cellStyle name="20% - Accent3 86 6 3" xfId="6158" xr:uid="{00000000-0005-0000-0000-00000B180000}"/>
    <cellStyle name="20% - Accent3 86 7" xfId="6159" xr:uid="{00000000-0005-0000-0000-00000C180000}"/>
    <cellStyle name="20% - Accent3 86 7 2" xfId="6160" xr:uid="{00000000-0005-0000-0000-00000D180000}"/>
    <cellStyle name="20% - Accent3 86 7 2 2" xfId="6161" xr:uid="{00000000-0005-0000-0000-00000E180000}"/>
    <cellStyle name="20% - Accent3 86 7 3" xfId="6162" xr:uid="{00000000-0005-0000-0000-00000F180000}"/>
    <cellStyle name="20% - Accent3 86 8" xfId="6163" xr:uid="{00000000-0005-0000-0000-000010180000}"/>
    <cellStyle name="20% - Accent3 86 8 2" xfId="6164" xr:uid="{00000000-0005-0000-0000-000011180000}"/>
    <cellStyle name="20% - Accent3 86 8 2 2" xfId="6165" xr:uid="{00000000-0005-0000-0000-000012180000}"/>
    <cellStyle name="20% - Accent3 86 8 3" xfId="6166" xr:uid="{00000000-0005-0000-0000-000013180000}"/>
    <cellStyle name="20% - Accent3 86 9" xfId="6167" xr:uid="{00000000-0005-0000-0000-000014180000}"/>
    <cellStyle name="20% - Accent3 86 9 2" xfId="6168" xr:uid="{00000000-0005-0000-0000-000015180000}"/>
    <cellStyle name="20% - Accent3 86 9 2 2" xfId="6169" xr:uid="{00000000-0005-0000-0000-000016180000}"/>
    <cellStyle name="20% - Accent3 86 9 3" xfId="6170" xr:uid="{00000000-0005-0000-0000-000017180000}"/>
    <cellStyle name="20% - Accent3 87" xfId="6171" xr:uid="{00000000-0005-0000-0000-000018180000}"/>
    <cellStyle name="20% - Accent3 87 10" xfId="6172" xr:uid="{00000000-0005-0000-0000-000019180000}"/>
    <cellStyle name="20% - Accent3 87 10 2" xfId="6173" xr:uid="{00000000-0005-0000-0000-00001A180000}"/>
    <cellStyle name="20% - Accent3 87 10 2 2" xfId="6174" xr:uid="{00000000-0005-0000-0000-00001B180000}"/>
    <cellStyle name="20% - Accent3 87 10 3" xfId="6175" xr:uid="{00000000-0005-0000-0000-00001C180000}"/>
    <cellStyle name="20% - Accent3 87 11" xfId="6176" xr:uid="{00000000-0005-0000-0000-00001D180000}"/>
    <cellStyle name="20% - Accent3 87 11 2" xfId="6177" xr:uid="{00000000-0005-0000-0000-00001E180000}"/>
    <cellStyle name="20% - Accent3 87 11 2 2" xfId="6178" xr:uid="{00000000-0005-0000-0000-00001F180000}"/>
    <cellStyle name="20% - Accent3 87 11 3" xfId="6179" xr:uid="{00000000-0005-0000-0000-000020180000}"/>
    <cellStyle name="20% - Accent3 87 12" xfId="6180" xr:uid="{00000000-0005-0000-0000-000021180000}"/>
    <cellStyle name="20% - Accent3 87 12 2" xfId="6181" xr:uid="{00000000-0005-0000-0000-000022180000}"/>
    <cellStyle name="20% - Accent3 87 12 2 2" xfId="6182" xr:uid="{00000000-0005-0000-0000-000023180000}"/>
    <cellStyle name="20% - Accent3 87 12 3" xfId="6183" xr:uid="{00000000-0005-0000-0000-000024180000}"/>
    <cellStyle name="20% - Accent3 87 13" xfId="6184" xr:uid="{00000000-0005-0000-0000-000025180000}"/>
    <cellStyle name="20% - Accent3 87 13 2" xfId="6185" xr:uid="{00000000-0005-0000-0000-000026180000}"/>
    <cellStyle name="20% - Accent3 87 13 2 2" xfId="6186" xr:uid="{00000000-0005-0000-0000-000027180000}"/>
    <cellStyle name="20% - Accent3 87 13 3" xfId="6187" xr:uid="{00000000-0005-0000-0000-000028180000}"/>
    <cellStyle name="20% - Accent3 87 14" xfId="6188" xr:uid="{00000000-0005-0000-0000-000029180000}"/>
    <cellStyle name="20% - Accent3 87 14 2" xfId="6189" xr:uid="{00000000-0005-0000-0000-00002A180000}"/>
    <cellStyle name="20% - Accent3 87 14 2 2" xfId="6190" xr:uid="{00000000-0005-0000-0000-00002B180000}"/>
    <cellStyle name="20% - Accent3 87 14 3" xfId="6191" xr:uid="{00000000-0005-0000-0000-00002C180000}"/>
    <cellStyle name="20% - Accent3 87 15" xfId="6192" xr:uid="{00000000-0005-0000-0000-00002D180000}"/>
    <cellStyle name="20% - Accent3 87 15 2" xfId="6193" xr:uid="{00000000-0005-0000-0000-00002E180000}"/>
    <cellStyle name="20% - Accent3 87 15 2 2" xfId="6194" xr:uid="{00000000-0005-0000-0000-00002F180000}"/>
    <cellStyle name="20% - Accent3 87 15 3" xfId="6195" xr:uid="{00000000-0005-0000-0000-000030180000}"/>
    <cellStyle name="20% - Accent3 87 16" xfId="6196" xr:uid="{00000000-0005-0000-0000-000031180000}"/>
    <cellStyle name="20% - Accent3 87 16 2" xfId="6197" xr:uid="{00000000-0005-0000-0000-000032180000}"/>
    <cellStyle name="20% - Accent3 87 16 2 2" xfId="6198" xr:uid="{00000000-0005-0000-0000-000033180000}"/>
    <cellStyle name="20% - Accent3 87 16 3" xfId="6199" xr:uid="{00000000-0005-0000-0000-000034180000}"/>
    <cellStyle name="20% - Accent3 87 17" xfId="6200" xr:uid="{00000000-0005-0000-0000-000035180000}"/>
    <cellStyle name="20% - Accent3 87 17 2" xfId="6201" xr:uid="{00000000-0005-0000-0000-000036180000}"/>
    <cellStyle name="20% - Accent3 87 17 2 2" xfId="6202" xr:uid="{00000000-0005-0000-0000-000037180000}"/>
    <cellStyle name="20% - Accent3 87 17 3" xfId="6203" xr:uid="{00000000-0005-0000-0000-000038180000}"/>
    <cellStyle name="20% - Accent3 87 18" xfId="6204" xr:uid="{00000000-0005-0000-0000-000039180000}"/>
    <cellStyle name="20% - Accent3 87 18 2" xfId="6205" xr:uid="{00000000-0005-0000-0000-00003A180000}"/>
    <cellStyle name="20% - Accent3 87 18 2 2" xfId="6206" xr:uid="{00000000-0005-0000-0000-00003B180000}"/>
    <cellStyle name="20% - Accent3 87 18 3" xfId="6207" xr:uid="{00000000-0005-0000-0000-00003C180000}"/>
    <cellStyle name="20% - Accent3 87 19" xfId="6208" xr:uid="{00000000-0005-0000-0000-00003D180000}"/>
    <cellStyle name="20% - Accent3 87 19 2" xfId="6209" xr:uid="{00000000-0005-0000-0000-00003E180000}"/>
    <cellStyle name="20% - Accent3 87 19 2 2" xfId="6210" xr:uid="{00000000-0005-0000-0000-00003F180000}"/>
    <cellStyle name="20% - Accent3 87 19 3" xfId="6211" xr:uid="{00000000-0005-0000-0000-000040180000}"/>
    <cellStyle name="20% - Accent3 87 2" xfId="6212" xr:uid="{00000000-0005-0000-0000-000041180000}"/>
    <cellStyle name="20% - Accent3 87 2 2" xfId="6213" xr:uid="{00000000-0005-0000-0000-000042180000}"/>
    <cellStyle name="20% - Accent3 87 2 2 2" xfId="6214" xr:uid="{00000000-0005-0000-0000-000043180000}"/>
    <cellStyle name="20% - Accent3 87 2 3" xfId="6215" xr:uid="{00000000-0005-0000-0000-000044180000}"/>
    <cellStyle name="20% - Accent3 87 20" xfId="6216" xr:uid="{00000000-0005-0000-0000-000045180000}"/>
    <cellStyle name="20% - Accent3 87 20 2" xfId="6217" xr:uid="{00000000-0005-0000-0000-000046180000}"/>
    <cellStyle name="20% - Accent3 87 20 2 2" xfId="6218" xr:uid="{00000000-0005-0000-0000-000047180000}"/>
    <cellStyle name="20% - Accent3 87 20 3" xfId="6219" xr:uid="{00000000-0005-0000-0000-000048180000}"/>
    <cellStyle name="20% - Accent3 87 21" xfId="6220" xr:uid="{00000000-0005-0000-0000-000049180000}"/>
    <cellStyle name="20% - Accent3 87 21 2" xfId="6221" xr:uid="{00000000-0005-0000-0000-00004A180000}"/>
    <cellStyle name="20% - Accent3 87 21 2 2" xfId="6222" xr:uid="{00000000-0005-0000-0000-00004B180000}"/>
    <cellStyle name="20% - Accent3 87 21 3" xfId="6223" xr:uid="{00000000-0005-0000-0000-00004C180000}"/>
    <cellStyle name="20% - Accent3 87 22" xfId="6224" xr:uid="{00000000-0005-0000-0000-00004D180000}"/>
    <cellStyle name="20% - Accent3 87 22 2" xfId="6225" xr:uid="{00000000-0005-0000-0000-00004E180000}"/>
    <cellStyle name="20% - Accent3 87 22 2 2" xfId="6226" xr:uid="{00000000-0005-0000-0000-00004F180000}"/>
    <cellStyle name="20% - Accent3 87 22 3" xfId="6227" xr:uid="{00000000-0005-0000-0000-000050180000}"/>
    <cellStyle name="20% - Accent3 87 23" xfId="6228" xr:uid="{00000000-0005-0000-0000-000051180000}"/>
    <cellStyle name="20% - Accent3 87 23 2" xfId="6229" xr:uid="{00000000-0005-0000-0000-000052180000}"/>
    <cellStyle name="20% - Accent3 87 23 2 2" xfId="6230" xr:uid="{00000000-0005-0000-0000-000053180000}"/>
    <cellStyle name="20% - Accent3 87 23 3" xfId="6231" xr:uid="{00000000-0005-0000-0000-000054180000}"/>
    <cellStyle name="20% - Accent3 87 24" xfId="6232" xr:uid="{00000000-0005-0000-0000-000055180000}"/>
    <cellStyle name="20% - Accent3 87 24 2" xfId="6233" xr:uid="{00000000-0005-0000-0000-000056180000}"/>
    <cellStyle name="20% - Accent3 87 24 2 2" xfId="6234" xr:uid="{00000000-0005-0000-0000-000057180000}"/>
    <cellStyle name="20% - Accent3 87 24 3" xfId="6235" xr:uid="{00000000-0005-0000-0000-000058180000}"/>
    <cellStyle name="20% - Accent3 87 25" xfId="6236" xr:uid="{00000000-0005-0000-0000-000059180000}"/>
    <cellStyle name="20% - Accent3 87 25 2" xfId="6237" xr:uid="{00000000-0005-0000-0000-00005A180000}"/>
    <cellStyle name="20% - Accent3 87 25 2 2" xfId="6238" xr:uid="{00000000-0005-0000-0000-00005B180000}"/>
    <cellStyle name="20% - Accent3 87 25 3" xfId="6239" xr:uid="{00000000-0005-0000-0000-00005C180000}"/>
    <cellStyle name="20% - Accent3 87 26" xfId="6240" xr:uid="{00000000-0005-0000-0000-00005D180000}"/>
    <cellStyle name="20% - Accent3 87 26 2" xfId="6241" xr:uid="{00000000-0005-0000-0000-00005E180000}"/>
    <cellStyle name="20% - Accent3 87 26 2 2" xfId="6242" xr:uid="{00000000-0005-0000-0000-00005F180000}"/>
    <cellStyle name="20% - Accent3 87 26 3" xfId="6243" xr:uid="{00000000-0005-0000-0000-000060180000}"/>
    <cellStyle name="20% - Accent3 87 27" xfId="6244" xr:uid="{00000000-0005-0000-0000-000061180000}"/>
    <cellStyle name="20% - Accent3 87 27 2" xfId="6245" xr:uid="{00000000-0005-0000-0000-000062180000}"/>
    <cellStyle name="20% - Accent3 87 27 2 2" xfId="6246" xr:uid="{00000000-0005-0000-0000-000063180000}"/>
    <cellStyle name="20% - Accent3 87 27 3" xfId="6247" xr:uid="{00000000-0005-0000-0000-000064180000}"/>
    <cellStyle name="20% - Accent3 87 28" xfId="6248" xr:uid="{00000000-0005-0000-0000-000065180000}"/>
    <cellStyle name="20% - Accent3 87 28 2" xfId="6249" xr:uid="{00000000-0005-0000-0000-000066180000}"/>
    <cellStyle name="20% - Accent3 87 28 2 2" xfId="6250" xr:uid="{00000000-0005-0000-0000-000067180000}"/>
    <cellStyle name="20% - Accent3 87 28 3" xfId="6251" xr:uid="{00000000-0005-0000-0000-000068180000}"/>
    <cellStyle name="20% - Accent3 87 29" xfId="6252" xr:uid="{00000000-0005-0000-0000-000069180000}"/>
    <cellStyle name="20% - Accent3 87 29 2" xfId="6253" xr:uid="{00000000-0005-0000-0000-00006A180000}"/>
    <cellStyle name="20% - Accent3 87 29 2 2" xfId="6254" xr:uid="{00000000-0005-0000-0000-00006B180000}"/>
    <cellStyle name="20% - Accent3 87 29 3" xfId="6255" xr:uid="{00000000-0005-0000-0000-00006C180000}"/>
    <cellStyle name="20% - Accent3 87 3" xfId="6256" xr:uid="{00000000-0005-0000-0000-00006D180000}"/>
    <cellStyle name="20% - Accent3 87 3 2" xfId="6257" xr:uid="{00000000-0005-0000-0000-00006E180000}"/>
    <cellStyle name="20% - Accent3 87 3 2 2" xfId="6258" xr:uid="{00000000-0005-0000-0000-00006F180000}"/>
    <cellStyle name="20% - Accent3 87 3 3" xfId="6259" xr:uid="{00000000-0005-0000-0000-000070180000}"/>
    <cellStyle name="20% - Accent3 87 30" xfId="6260" xr:uid="{00000000-0005-0000-0000-000071180000}"/>
    <cellStyle name="20% - Accent3 87 30 2" xfId="6261" xr:uid="{00000000-0005-0000-0000-000072180000}"/>
    <cellStyle name="20% - Accent3 87 30 2 2" xfId="6262" xr:uid="{00000000-0005-0000-0000-000073180000}"/>
    <cellStyle name="20% - Accent3 87 30 3" xfId="6263" xr:uid="{00000000-0005-0000-0000-000074180000}"/>
    <cellStyle name="20% - Accent3 87 31" xfId="6264" xr:uid="{00000000-0005-0000-0000-000075180000}"/>
    <cellStyle name="20% - Accent3 87 31 2" xfId="6265" xr:uid="{00000000-0005-0000-0000-000076180000}"/>
    <cellStyle name="20% - Accent3 87 31 2 2" xfId="6266" xr:uid="{00000000-0005-0000-0000-000077180000}"/>
    <cellStyle name="20% - Accent3 87 31 3" xfId="6267" xr:uid="{00000000-0005-0000-0000-000078180000}"/>
    <cellStyle name="20% - Accent3 87 32" xfId="6268" xr:uid="{00000000-0005-0000-0000-000079180000}"/>
    <cellStyle name="20% - Accent3 87 32 2" xfId="6269" xr:uid="{00000000-0005-0000-0000-00007A180000}"/>
    <cellStyle name="20% - Accent3 87 32 2 2" xfId="6270" xr:uid="{00000000-0005-0000-0000-00007B180000}"/>
    <cellStyle name="20% - Accent3 87 32 3" xfId="6271" xr:uid="{00000000-0005-0000-0000-00007C180000}"/>
    <cellStyle name="20% - Accent3 87 33" xfId="6272" xr:uid="{00000000-0005-0000-0000-00007D180000}"/>
    <cellStyle name="20% - Accent3 87 33 2" xfId="6273" xr:uid="{00000000-0005-0000-0000-00007E180000}"/>
    <cellStyle name="20% - Accent3 87 33 2 2" xfId="6274" xr:uid="{00000000-0005-0000-0000-00007F180000}"/>
    <cellStyle name="20% - Accent3 87 33 3" xfId="6275" xr:uid="{00000000-0005-0000-0000-000080180000}"/>
    <cellStyle name="20% - Accent3 87 34" xfId="6276" xr:uid="{00000000-0005-0000-0000-000081180000}"/>
    <cellStyle name="20% - Accent3 87 34 2" xfId="6277" xr:uid="{00000000-0005-0000-0000-000082180000}"/>
    <cellStyle name="20% - Accent3 87 34 2 2" xfId="6278" xr:uid="{00000000-0005-0000-0000-000083180000}"/>
    <cellStyle name="20% - Accent3 87 34 3" xfId="6279" xr:uid="{00000000-0005-0000-0000-000084180000}"/>
    <cellStyle name="20% - Accent3 87 35" xfId="6280" xr:uid="{00000000-0005-0000-0000-000085180000}"/>
    <cellStyle name="20% - Accent3 87 35 2" xfId="6281" xr:uid="{00000000-0005-0000-0000-000086180000}"/>
    <cellStyle name="20% - Accent3 87 35 2 2" xfId="6282" xr:uid="{00000000-0005-0000-0000-000087180000}"/>
    <cellStyle name="20% - Accent3 87 35 3" xfId="6283" xr:uid="{00000000-0005-0000-0000-000088180000}"/>
    <cellStyle name="20% - Accent3 87 36" xfId="6284" xr:uid="{00000000-0005-0000-0000-000089180000}"/>
    <cellStyle name="20% - Accent3 87 36 2" xfId="6285" xr:uid="{00000000-0005-0000-0000-00008A180000}"/>
    <cellStyle name="20% - Accent3 87 36 2 2" xfId="6286" xr:uid="{00000000-0005-0000-0000-00008B180000}"/>
    <cellStyle name="20% - Accent3 87 36 3" xfId="6287" xr:uid="{00000000-0005-0000-0000-00008C180000}"/>
    <cellStyle name="20% - Accent3 87 4" xfId="6288" xr:uid="{00000000-0005-0000-0000-00008D180000}"/>
    <cellStyle name="20% - Accent3 87 4 2" xfId="6289" xr:uid="{00000000-0005-0000-0000-00008E180000}"/>
    <cellStyle name="20% - Accent3 87 4 2 2" xfId="6290" xr:uid="{00000000-0005-0000-0000-00008F180000}"/>
    <cellStyle name="20% - Accent3 87 4 3" xfId="6291" xr:uid="{00000000-0005-0000-0000-000090180000}"/>
    <cellStyle name="20% - Accent3 87 5" xfId="6292" xr:uid="{00000000-0005-0000-0000-000091180000}"/>
    <cellStyle name="20% - Accent3 87 5 2" xfId="6293" xr:uid="{00000000-0005-0000-0000-000092180000}"/>
    <cellStyle name="20% - Accent3 87 5 2 2" xfId="6294" xr:uid="{00000000-0005-0000-0000-000093180000}"/>
    <cellStyle name="20% - Accent3 87 5 3" xfId="6295" xr:uid="{00000000-0005-0000-0000-000094180000}"/>
    <cellStyle name="20% - Accent3 87 6" xfId="6296" xr:uid="{00000000-0005-0000-0000-000095180000}"/>
    <cellStyle name="20% - Accent3 87 6 2" xfId="6297" xr:uid="{00000000-0005-0000-0000-000096180000}"/>
    <cellStyle name="20% - Accent3 87 6 2 2" xfId="6298" xr:uid="{00000000-0005-0000-0000-000097180000}"/>
    <cellStyle name="20% - Accent3 87 6 3" xfId="6299" xr:uid="{00000000-0005-0000-0000-000098180000}"/>
    <cellStyle name="20% - Accent3 87 7" xfId="6300" xr:uid="{00000000-0005-0000-0000-000099180000}"/>
    <cellStyle name="20% - Accent3 87 7 2" xfId="6301" xr:uid="{00000000-0005-0000-0000-00009A180000}"/>
    <cellStyle name="20% - Accent3 87 7 2 2" xfId="6302" xr:uid="{00000000-0005-0000-0000-00009B180000}"/>
    <cellStyle name="20% - Accent3 87 7 3" xfId="6303" xr:uid="{00000000-0005-0000-0000-00009C180000}"/>
    <cellStyle name="20% - Accent3 87 8" xfId="6304" xr:uid="{00000000-0005-0000-0000-00009D180000}"/>
    <cellStyle name="20% - Accent3 87 8 2" xfId="6305" xr:uid="{00000000-0005-0000-0000-00009E180000}"/>
    <cellStyle name="20% - Accent3 87 8 2 2" xfId="6306" xr:uid="{00000000-0005-0000-0000-00009F180000}"/>
    <cellStyle name="20% - Accent3 87 8 3" xfId="6307" xr:uid="{00000000-0005-0000-0000-0000A0180000}"/>
    <cellStyle name="20% - Accent3 87 9" xfId="6308" xr:uid="{00000000-0005-0000-0000-0000A1180000}"/>
    <cellStyle name="20% - Accent3 87 9 2" xfId="6309" xr:uid="{00000000-0005-0000-0000-0000A2180000}"/>
    <cellStyle name="20% - Accent3 87 9 2 2" xfId="6310" xr:uid="{00000000-0005-0000-0000-0000A3180000}"/>
    <cellStyle name="20% - Accent3 87 9 3" xfId="6311" xr:uid="{00000000-0005-0000-0000-0000A4180000}"/>
    <cellStyle name="20% - Accent3 88" xfId="6312" xr:uid="{00000000-0005-0000-0000-0000A5180000}"/>
    <cellStyle name="20% - Accent3 88 10" xfId="6313" xr:uid="{00000000-0005-0000-0000-0000A6180000}"/>
    <cellStyle name="20% - Accent3 88 10 2" xfId="6314" xr:uid="{00000000-0005-0000-0000-0000A7180000}"/>
    <cellStyle name="20% - Accent3 88 10 2 2" xfId="6315" xr:uid="{00000000-0005-0000-0000-0000A8180000}"/>
    <cellStyle name="20% - Accent3 88 10 3" xfId="6316" xr:uid="{00000000-0005-0000-0000-0000A9180000}"/>
    <cellStyle name="20% - Accent3 88 11" xfId="6317" xr:uid="{00000000-0005-0000-0000-0000AA180000}"/>
    <cellStyle name="20% - Accent3 88 11 2" xfId="6318" xr:uid="{00000000-0005-0000-0000-0000AB180000}"/>
    <cellStyle name="20% - Accent3 88 11 2 2" xfId="6319" xr:uid="{00000000-0005-0000-0000-0000AC180000}"/>
    <cellStyle name="20% - Accent3 88 11 3" xfId="6320" xr:uid="{00000000-0005-0000-0000-0000AD180000}"/>
    <cellStyle name="20% - Accent3 88 12" xfId="6321" xr:uid="{00000000-0005-0000-0000-0000AE180000}"/>
    <cellStyle name="20% - Accent3 88 12 2" xfId="6322" xr:uid="{00000000-0005-0000-0000-0000AF180000}"/>
    <cellStyle name="20% - Accent3 88 12 2 2" xfId="6323" xr:uid="{00000000-0005-0000-0000-0000B0180000}"/>
    <cellStyle name="20% - Accent3 88 12 3" xfId="6324" xr:uid="{00000000-0005-0000-0000-0000B1180000}"/>
    <cellStyle name="20% - Accent3 88 13" xfId="6325" xr:uid="{00000000-0005-0000-0000-0000B2180000}"/>
    <cellStyle name="20% - Accent3 88 13 2" xfId="6326" xr:uid="{00000000-0005-0000-0000-0000B3180000}"/>
    <cellStyle name="20% - Accent3 88 13 2 2" xfId="6327" xr:uid="{00000000-0005-0000-0000-0000B4180000}"/>
    <cellStyle name="20% - Accent3 88 13 3" xfId="6328" xr:uid="{00000000-0005-0000-0000-0000B5180000}"/>
    <cellStyle name="20% - Accent3 88 14" xfId="6329" xr:uid="{00000000-0005-0000-0000-0000B6180000}"/>
    <cellStyle name="20% - Accent3 88 14 2" xfId="6330" xr:uid="{00000000-0005-0000-0000-0000B7180000}"/>
    <cellStyle name="20% - Accent3 88 14 2 2" xfId="6331" xr:uid="{00000000-0005-0000-0000-0000B8180000}"/>
    <cellStyle name="20% - Accent3 88 14 3" xfId="6332" xr:uid="{00000000-0005-0000-0000-0000B9180000}"/>
    <cellStyle name="20% - Accent3 88 15" xfId="6333" xr:uid="{00000000-0005-0000-0000-0000BA180000}"/>
    <cellStyle name="20% - Accent3 88 15 2" xfId="6334" xr:uid="{00000000-0005-0000-0000-0000BB180000}"/>
    <cellStyle name="20% - Accent3 88 15 2 2" xfId="6335" xr:uid="{00000000-0005-0000-0000-0000BC180000}"/>
    <cellStyle name="20% - Accent3 88 15 3" xfId="6336" xr:uid="{00000000-0005-0000-0000-0000BD180000}"/>
    <cellStyle name="20% - Accent3 88 16" xfId="6337" xr:uid="{00000000-0005-0000-0000-0000BE180000}"/>
    <cellStyle name="20% - Accent3 88 16 2" xfId="6338" xr:uid="{00000000-0005-0000-0000-0000BF180000}"/>
    <cellStyle name="20% - Accent3 88 16 2 2" xfId="6339" xr:uid="{00000000-0005-0000-0000-0000C0180000}"/>
    <cellStyle name="20% - Accent3 88 16 3" xfId="6340" xr:uid="{00000000-0005-0000-0000-0000C1180000}"/>
    <cellStyle name="20% - Accent3 88 17" xfId="6341" xr:uid="{00000000-0005-0000-0000-0000C2180000}"/>
    <cellStyle name="20% - Accent3 88 17 2" xfId="6342" xr:uid="{00000000-0005-0000-0000-0000C3180000}"/>
    <cellStyle name="20% - Accent3 88 17 2 2" xfId="6343" xr:uid="{00000000-0005-0000-0000-0000C4180000}"/>
    <cellStyle name="20% - Accent3 88 17 3" xfId="6344" xr:uid="{00000000-0005-0000-0000-0000C5180000}"/>
    <cellStyle name="20% - Accent3 88 18" xfId="6345" xr:uid="{00000000-0005-0000-0000-0000C6180000}"/>
    <cellStyle name="20% - Accent3 88 18 2" xfId="6346" xr:uid="{00000000-0005-0000-0000-0000C7180000}"/>
    <cellStyle name="20% - Accent3 88 18 2 2" xfId="6347" xr:uid="{00000000-0005-0000-0000-0000C8180000}"/>
    <cellStyle name="20% - Accent3 88 18 3" xfId="6348" xr:uid="{00000000-0005-0000-0000-0000C9180000}"/>
    <cellStyle name="20% - Accent3 88 19" xfId="6349" xr:uid="{00000000-0005-0000-0000-0000CA180000}"/>
    <cellStyle name="20% - Accent3 88 19 2" xfId="6350" xr:uid="{00000000-0005-0000-0000-0000CB180000}"/>
    <cellStyle name="20% - Accent3 88 19 2 2" xfId="6351" xr:uid="{00000000-0005-0000-0000-0000CC180000}"/>
    <cellStyle name="20% - Accent3 88 19 3" xfId="6352" xr:uid="{00000000-0005-0000-0000-0000CD180000}"/>
    <cellStyle name="20% - Accent3 88 2" xfId="6353" xr:uid="{00000000-0005-0000-0000-0000CE180000}"/>
    <cellStyle name="20% - Accent3 88 2 2" xfId="6354" xr:uid="{00000000-0005-0000-0000-0000CF180000}"/>
    <cellStyle name="20% - Accent3 88 2 2 2" xfId="6355" xr:uid="{00000000-0005-0000-0000-0000D0180000}"/>
    <cellStyle name="20% - Accent3 88 2 3" xfId="6356" xr:uid="{00000000-0005-0000-0000-0000D1180000}"/>
    <cellStyle name="20% - Accent3 88 20" xfId="6357" xr:uid="{00000000-0005-0000-0000-0000D2180000}"/>
    <cellStyle name="20% - Accent3 88 20 2" xfId="6358" xr:uid="{00000000-0005-0000-0000-0000D3180000}"/>
    <cellStyle name="20% - Accent3 88 20 2 2" xfId="6359" xr:uid="{00000000-0005-0000-0000-0000D4180000}"/>
    <cellStyle name="20% - Accent3 88 20 3" xfId="6360" xr:uid="{00000000-0005-0000-0000-0000D5180000}"/>
    <cellStyle name="20% - Accent3 88 21" xfId="6361" xr:uid="{00000000-0005-0000-0000-0000D6180000}"/>
    <cellStyle name="20% - Accent3 88 21 2" xfId="6362" xr:uid="{00000000-0005-0000-0000-0000D7180000}"/>
    <cellStyle name="20% - Accent3 88 21 2 2" xfId="6363" xr:uid="{00000000-0005-0000-0000-0000D8180000}"/>
    <cellStyle name="20% - Accent3 88 21 3" xfId="6364" xr:uid="{00000000-0005-0000-0000-0000D9180000}"/>
    <cellStyle name="20% - Accent3 88 22" xfId="6365" xr:uid="{00000000-0005-0000-0000-0000DA180000}"/>
    <cellStyle name="20% - Accent3 88 22 2" xfId="6366" xr:uid="{00000000-0005-0000-0000-0000DB180000}"/>
    <cellStyle name="20% - Accent3 88 22 2 2" xfId="6367" xr:uid="{00000000-0005-0000-0000-0000DC180000}"/>
    <cellStyle name="20% - Accent3 88 22 3" xfId="6368" xr:uid="{00000000-0005-0000-0000-0000DD180000}"/>
    <cellStyle name="20% - Accent3 88 23" xfId="6369" xr:uid="{00000000-0005-0000-0000-0000DE180000}"/>
    <cellStyle name="20% - Accent3 88 23 2" xfId="6370" xr:uid="{00000000-0005-0000-0000-0000DF180000}"/>
    <cellStyle name="20% - Accent3 88 23 2 2" xfId="6371" xr:uid="{00000000-0005-0000-0000-0000E0180000}"/>
    <cellStyle name="20% - Accent3 88 23 3" xfId="6372" xr:uid="{00000000-0005-0000-0000-0000E1180000}"/>
    <cellStyle name="20% - Accent3 88 24" xfId="6373" xr:uid="{00000000-0005-0000-0000-0000E2180000}"/>
    <cellStyle name="20% - Accent3 88 24 2" xfId="6374" xr:uid="{00000000-0005-0000-0000-0000E3180000}"/>
    <cellStyle name="20% - Accent3 88 24 2 2" xfId="6375" xr:uid="{00000000-0005-0000-0000-0000E4180000}"/>
    <cellStyle name="20% - Accent3 88 24 3" xfId="6376" xr:uid="{00000000-0005-0000-0000-0000E5180000}"/>
    <cellStyle name="20% - Accent3 88 25" xfId="6377" xr:uid="{00000000-0005-0000-0000-0000E6180000}"/>
    <cellStyle name="20% - Accent3 88 25 2" xfId="6378" xr:uid="{00000000-0005-0000-0000-0000E7180000}"/>
    <cellStyle name="20% - Accent3 88 25 2 2" xfId="6379" xr:uid="{00000000-0005-0000-0000-0000E8180000}"/>
    <cellStyle name="20% - Accent3 88 25 3" xfId="6380" xr:uid="{00000000-0005-0000-0000-0000E9180000}"/>
    <cellStyle name="20% - Accent3 88 26" xfId="6381" xr:uid="{00000000-0005-0000-0000-0000EA180000}"/>
    <cellStyle name="20% - Accent3 88 26 2" xfId="6382" xr:uid="{00000000-0005-0000-0000-0000EB180000}"/>
    <cellStyle name="20% - Accent3 88 26 2 2" xfId="6383" xr:uid="{00000000-0005-0000-0000-0000EC180000}"/>
    <cellStyle name="20% - Accent3 88 26 3" xfId="6384" xr:uid="{00000000-0005-0000-0000-0000ED180000}"/>
    <cellStyle name="20% - Accent3 88 27" xfId="6385" xr:uid="{00000000-0005-0000-0000-0000EE180000}"/>
    <cellStyle name="20% - Accent3 88 27 2" xfId="6386" xr:uid="{00000000-0005-0000-0000-0000EF180000}"/>
    <cellStyle name="20% - Accent3 88 27 2 2" xfId="6387" xr:uid="{00000000-0005-0000-0000-0000F0180000}"/>
    <cellStyle name="20% - Accent3 88 27 3" xfId="6388" xr:uid="{00000000-0005-0000-0000-0000F1180000}"/>
    <cellStyle name="20% - Accent3 88 28" xfId="6389" xr:uid="{00000000-0005-0000-0000-0000F2180000}"/>
    <cellStyle name="20% - Accent3 88 28 2" xfId="6390" xr:uid="{00000000-0005-0000-0000-0000F3180000}"/>
    <cellStyle name="20% - Accent3 88 28 2 2" xfId="6391" xr:uid="{00000000-0005-0000-0000-0000F4180000}"/>
    <cellStyle name="20% - Accent3 88 28 3" xfId="6392" xr:uid="{00000000-0005-0000-0000-0000F5180000}"/>
    <cellStyle name="20% - Accent3 88 29" xfId="6393" xr:uid="{00000000-0005-0000-0000-0000F6180000}"/>
    <cellStyle name="20% - Accent3 88 29 2" xfId="6394" xr:uid="{00000000-0005-0000-0000-0000F7180000}"/>
    <cellStyle name="20% - Accent3 88 29 2 2" xfId="6395" xr:uid="{00000000-0005-0000-0000-0000F8180000}"/>
    <cellStyle name="20% - Accent3 88 29 3" xfId="6396" xr:uid="{00000000-0005-0000-0000-0000F9180000}"/>
    <cellStyle name="20% - Accent3 88 3" xfId="6397" xr:uid="{00000000-0005-0000-0000-0000FA180000}"/>
    <cellStyle name="20% - Accent3 88 3 2" xfId="6398" xr:uid="{00000000-0005-0000-0000-0000FB180000}"/>
    <cellStyle name="20% - Accent3 88 3 2 2" xfId="6399" xr:uid="{00000000-0005-0000-0000-0000FC180000}"/>
    <cellStyle name="20% - Accent3 88 3 3" xfId="6400" xr:uid="{00000000-0005-0000-0000-0000FD180000}"/>
    <cellStyle name="20% - Accent3 88 30" xfId="6401" xr:uid="{00000000-0005-0000-0000-0000FE180000}"/>
    <cellStyle name="20% - Accent3 88 30 2" xfId="6402" xr:uid="{00000000-0005-0000-0000-0000FF180000}"/>
    <cellStyle name="20% - Accent3 88 30 2 2" xfId="6403" xr:uid="{00000000-0005-0000-0000-000000190000}"/>
    <cellStyle name="20% - Accent3 88 30 3" xfId="6404" xr:uid="{00000000-0005-0000-0000-000001190000}"/>
    <cellStyle name="20% - Accent3 88 31" xfId="6405" xr:uid="{00000000-0005-0000-0000-000002190000}"/>
    <cellStyle name="20% - Accent3 88 31 2" xfId="6406" xr:uid="{00000000-0005-0000-0000-000003190000}"/>
    <cellStyle name="20% - Accent3 88 31 2 2" xfId="6407" xr:uid="{00000000-0005-0000-0000-000004190000}"/>
    <cellStyle name="20% - Accent3 88 31 3" xfId="6408" xr:uid="{00000000-0005-0000-0000-000005190000}"/>
    <cellStyle name="20% - Accent3 88 32" xfId="6409" xr:uid="{00000000-0005-0000-0000-000006190000}"/>
    <cellStyle name="20% - Accent3 88 32 2" xfId="6410" xr:uid="{00000000-0005-0000-0000-000007190000}"/>
    <cellStyle name="20% - Accent3 88 32 2 2" xfId="6411" xr:uid="{00000000-0005-0000-0000-000008190000}"/>
    <cellStyle name="20% - Accent3 88 32 3" xfId="6412" xr:uid="{00000000-0005-0000-0000-000009190000}"/>
    <cellStyle name="20% - Accent3 88 33" xfId="6413" xr:uid="{00000000-0005-0000-0000-00000A190000}"/>
    <cellStyle name="20% - Accent3 88 33 2" xfId="6414" xr:uid="{00000000-0005-0000-0000-00000B190000}"/>
    <cellStyle name="20% - Accent3 88 33 2 2" xfId="6415" xr:uid="{00000000-0005-0000-0000-00000C190000}"/>
    <cellStyle name="20% - Accent3 88 33 3" xfId="6416" xr:uid="{00000000-0005-0000-0000-00000D190000}"/>
    <cellStyle name="20% - Accent3 88 34" xfId="6417" xr:uid="{00000000-0005-0000-0000-00000E190000}"/>
    <cellStyle name="20% - Accent3 88 34 2" xfId="6418" xr:uid="{00000000-0005-0000-0000-00000F190000}"/>
    <cellStyle name="20% - Accent3 88 34 2 2" xfId="6419" xr:uid="{00000000-0005-0000-0000-000010190000}"/>
    <cellStyle name="20% - Accent3 88 34 3" xfId="6420" xr:uid="{00000000-0005-0000-0000-000011190000}"/>
    <cellStyle name="20% - Accent3 88 35" xfId="6421" xr:uid="{00000000-0005-0000-0000-000012190000}"/>
    <cellStyle name="20% - Accent3 88 35 2" xfId="6422" xr:uid="{00000000-0005-0000-0000-000013190000}"/>
    <cellStyle name="20% - Accent3 88 35 2 2" xfId="6423" xr:uid="{00000000-0005-0000-0000-000014190000}"/>
    <cellStyle name="20% - Accent3 88 35 3" xfId="6424" xr:uid="{00000000-0005-0000-0000-000015190000}"/>
    <cellStyle name="20% - Accent3 88 36" xfId="6425" xr:uid="{00000000-0005-0000-0000-000016190000}"/>
    <cellStyle name="20% - Accent3 88 36 2" xfId="6426" xr:uid="{00000000-0005-0000-0000-000017190000}"/>
    <cellStyle name="20% - Accent3 88 36 2 2" xfId="6427" xr:uid="{00000000-0005-0000-0000-000018190000}"/>
    <cellStyle name="20% - Accent3 88 36 3" xfId="6428" xr:uid="{00000000-0005-0000-0000-000019190000}"/>
    <cellStyle name="20% - Accent3 88 37" xfId="6429" xr:uid="{00000000-0005-0000-0000-00001A190000}"/>
    <cellStyle name="20% - Accent3 88 37 2" xfId="6430" xr:uid="{00000000-0005-0000-0000-00001B190000}"/>
    <cellStyle name="20% - Accent3 88 38" xfId="6431" xr:uid="{00000000-0005-0000-0000-00001C190000}"/>
    <cellStyle name="20% - Accent3 88 4" xfId="6432" xr:uid="{00000000-0005-0000-0000-00001D190000}"/>
    <cellStyle name="20% - Accent3 88 4 2" xfId="6433" xr:uid="{00000000-0005-0000-0000-00001E190000}"/>
    <cellStyle name="20% - Accent3 88 4 2 2" xfId="6434" xr:uid="{00000000-0005-0000-0000-00001F190000}"/>
    <cellStyle name="20% - Accent3 88 4 3" xfId="6435" xr:uid="{00000000-0005-0000-0000-000020190000}"/>
    <cellStyle name="20% - Accent3 88 5" xfId="6436" xr:uid="{00000000-0005-0000-0000-000021190000}"/>
    <cellStyle name="20% - Accent3 88 5 2" xfId="6437" xr:uid="{00000000-0005-0000-0000-000022190000}"/>
    <cellStyle name="20% - Accent3 88 5 2 2" xfId="6438" xr:uid="{00000000-0005-0000-0000-000023190000}"/>
    <cellStyle name="20% - Accent3 88 5 3" xfId="6439" xr:uid="{00000000-0005-0000-0000-000024190000}"/>
    <cellStyle name="20% - Accent3 88 6" xfId="6440" xr:uid="{00000000-0005-0000-0000-000025190000}"/>
    <cellStyle name="20% - Accent3 88 6 2" xfId="6441" xr:uid="{00000000-0005-0000-0000-000026190000}"/>
    <cellStyle name="20% - Accent3 88 6 2 2" xfId="6442" xr:uid="{00000000-0005-0000-0000-000027190000}"/>
    <cellStyle name="20% - Accent3 88 6 3" xfId="6443" xr:uid="{00000000-0005-0000-0000-000028190000}"/>
    <cellStyle name="20% - Accent3 88 7" xfId="6444" xr:uid="{00000000-0005-0000-0000-000029190000}"/>
    <cellStyle name="20% - Accent3 88 7 2" xfId="6445" xr:uid="{00000000-0005-0000-0000-00002A190000}"/>
    <cellStyle name="20% - Accent3 88 7 2 2" xfId="6446" xr:uid="{00000000-0005-0000-0000-00002B190000}"/>
    <cellStyle name="20% - Accent3 88 7 3" xfId="6447" xr:uid="{00000000-0005-0000-0000-00002C190000}"/>
    <cellStyle name="20% - Accent3 88 8" xfId="6448" xr:uid="{00000000-0005-0000-0000-00002D190000}"/>
    <cellStyle name="20% - Accent3 88 8 2" xfId="6449" xr:uid="{00000000-0005-0000-0000-00002E190000}"/>
    <cellStyle name="20% - Accent3 88 8 2 2" xfId="6450" xr:uid="{00000000-0005-0000-0000-00002F190000}"/>
    <cellStyle name="20% - Accent3 88 8 3" xfId="6451" xr:uid="{00000000-0005-0000-0000-000030190000}"/>
    <cellStyle name="20% - Accent3 88 9" xfId="6452" xr:uid="{00000000-0005-0000-0000-000031190000}"/>
    <cellStyle name="20% - Accent3 88 9 2" xfId="6453" xr:uid="{00000000-0005-0000-0000-000032190000}"/>
    <cellStyle name="20% - Accent3 88 9 2 2" xfId="6454" xr:uid="{00000000-0005-0000-0000-000033190000}"/>
    <cellStyle name="20% - Accent3 88 9 3" xfId="6455" xr:uid="{00000000-0005-0000-0000-000034190000}"/>
    <cellStyle name="20% - Accent3 89" xfId="6456" xr:uid="{00000000-0005-0000-0000-000035190000}"/>
    <cellStyle name="20% - Accent3 89 2" xfId="6457" xr:uid="{00000000-0005-0000-0000-000036190000}"/>
    <cellStyle name="20% - Accent3 9" xfId="6458" xr:uid="{00000000-0005-0000-0000-000037190000}"/>
    <cellStyle name="20% - Accent3 9 2" xfId="6459" xr:uid="{00000000-0005-0000-0000-000038190000}"/>
    <cellStyle name="20% - Accent3 9 2 2" xfId="6460" xr:uid="{00000000-0005-0000-0000-000039190000}"/>
    <cellStyle name="20% - Accent3 9 3" xfId="6461" xr:uid="{00000000-0005-0000-0000-00003A190000}"/>
    <cellStyle name="20% - Accent3 90" xfId="6462" xr:uid="{00000000-0005-0000-0000-00003B190000}"/>
    <cellStyle name="20% - Accent3 90 2" xfId="6463" xr:uid="{00000000-0005-0000-0000-00003C190000}"/>
    <cellStyle name="20% - Accent3 91" xfId="6464" xr:uid="{00000000-0005-0000-0000-00003D190000}"/>
    <cellStyle name="20% - Accent3 91 2" xfId="6465" xr:uid="{00000000-0005-0000-0000-00003E190000}"/>
    <cellStyle name="20% - Accent3 92" xfId="6466" xr:uid="{00000000-0005-0000-0000-00003F190000}"/>
    <cellStyle name="20% - Accent3 92 2" xfId="6467" xr:uid="{00000000-0005-0000-0000-000040190000}"/>
    <cellStyle name="20% - Accent3 93" xfId="6468" xr:uid="{00000000-0005-0000-0000-000041190000}"/>
    <cellStyle name="20% - Accent3 93 2" xfId="6469" xr:uid="{00000000-0005-0000-0000-000042190000}"/>
    <cellStyle name="20% - Accent3 93 2 2" xfId="6470" xr:uid="{00000000-0005-0000-0000-000043190000}"/>
    <cellStyle name="20% - Accent3 93 2 2 2" xfId="6471" xr:uid="{00000000-0005-0000-0000-000044190000}"/>
    <cellStyle name="20% - Accent3 93 2 3" xfId="6472" xr:uid="{00000000-0005-0000-0000-000045190000}"/>
    <cellStyle name="20% - Accent3 93 3" xfId="6473" xr:uid="{00000000-0005-0000-0000-000046190000}"/>
    <cellStyle name="20% - Accent3 93 3 2" xfId="6474" xr:uid="{00000000-0005-0000-0000-000047190000}"/>
    <cellStyle name="20% - Accent3 93 4" xfId="6475" xr:uid="{00000000-0005-0000-0000-000048190000}"/>
    <cellStyle name="20% - Accent3 94" xfId="6476" xr:uid="{00000000-0005-0000-0000-000049190000}"/>
    <cellStyle name="20% - Accent3 94 2" xfId="6477" xr:uid="{00000000-0005-0000-0000-00004A190000}"/>
    <cellStyle name="20% - Accent3 94 2 2" xfId="6478" xr:uid="{00000000-0005-0000-0000-00004B190000}"/>
    <cellStyle name="20% - Accent3 94 2 2 2" xfId="6479" xr:uid="{00000000-0005-0000-0000-00004C190000}"/>
    <cellStyle name="20% - Accent3 94 2 3" xfId="6480" xr:uid="{00000000-0005-0000-0000-00004D190000}"/>
    <cellStyle name="20% - Accent3 94 3" xfId="6481" xr:uid="{00000000-0005-0000-0000-00004E190000}"/>
    <cellStyle name="20% - Accent3 94 3 2" xfId="6482" xr:uid="{00000000-0005-0000-0000-00004F190000}"/>
    <cellStyle name="20% - Accent3 94 4" xfId="6483" xr:uid="{00000000-0005-0000-0000-000050190000}"/>
    <cellStyle name="20% - Accent3 95" xfId="6484" xr:uid="{00000000-0005-0000-0000-000051190000}"/>
    <cellStyle name="20% - Accent3 95 2" xfId="6485" xr:uid="{00000000-0005-0000-0000-000052190000}"/>
    <cellStyle name="20% - Accent3 95 2 2" xfId="6486" xr:uid="{00000000-0005-0000-0000-000053190000}"/>
    <cellStyle name="20% - Accent3 95 3" xfId="6487" xr:uid="{00000000-0005-0000-0000-000054190000}"/>
    <cellStyle name="20% - Accent3 96" xfId="6488" xr:uid="{00000000-0005-0000-0000-000055190000}"/>
    <cellStyle name="20% - Accent3 96 2" xfId="6489" xr:uid="{00000000-0005-0000-0000-000056190000}"/>
    <cellStyle name="20% - Accent3 96 2 2" xfId="6490" xr:uid="{00000000-0005-0000-0000-000057190000}"/>
    <cellStyle name="20% - Accent3 96 3" xfId="6491" xr:uid="{00000000-0005-0000-0000-000058190000}"/>
    <cellStyle name="20% - Accent3 97" xfId="6492" xr:uid="{00000000-0005-0000-0000-000059190000}"/>
    <cellStyle name="20% - Accent3 97 2" xfId="6493" xr:uid="{00000000-0005-0000-0000-00005A190000}"/>
    <cellStyle name="20% - Accent3 97 2 2" xfId="6494" xr:uid="{00000000-0005-0000-0000-00005B190000}"/>
    <cellStyle name="20% - Accent3 97 3" xfId="6495" xr:uid="{00000000-0005-0000-0000-00005C190000}"/>
    <cellStyle name="20% - Accent3 98" xfId="6496" xr:uid="{00000000-0005-0000-0000-00005D190000}"/>
    <cellStyle name="20% - Accent3 98 2" xfId="6497" xr:uid="{00000000-0005-0000-0000-00005E190000}"/>
    <cellStyle name="20% - Accent3 98 2 2" xfId="6498" xr:uid="{00000000-0005-0000-0000-00005F190000}"/>
    <cellStyle name="20% - Accent3 98 3" xfId="6499" xr:uid="{00000000-0005-0000-0000-000060190000}"/>
    <cellStyle name="20% - Accent3 99" xfId="6500" xr:uid="{00000000-0005-0000-0000-000061190000}"/>
    <cellStyle name="20% - Accent4" xfId="41029" builtinId="42" customBuiltin="1"/>
    <cellStyle name="20% - Accent4 10" xfId="6501" xr:uid="{00000000-0005-0000-0000-000063190000}"/>
    <cellStyle name="20% - Accent4 10 2" xfId="6502" xr:uid="{00000000-0005-0000-0000-000064190000}"/>
    <cellStyle name="20% - Accent4 10 2 2" xfId="6503" xr:uid="{00000000-0005-0000-0000-000065190000}"/>
    <cellStyle name="20% - Accent4 10 3" xfId="6504" xr:uid="{00000000-0005-0000-0000-000066190000}"/>
    <cellStyle name="20% - Accent4 100" xfId="6505" xr:uid="{00000000-0005-0000-0000-000067190000}"/>
    <cellStyle name="20% - Accent4 100 2" xfId="6506" xr:uid="{00000000-0005-0000-0000-000068190000}"/>
    <cellStyle name="20% - Accent4 100 2 2" xfId="6507" xr:uid="{00000000-0005-0000-0000-000069190000}"/>
    <cellStyle name="20% - Accent4 100 3" xfId="6508" xr:uid="{00000000-0005-0000-0000-00006A190000}"/>
    <cellStyle name="20% - Accent4 101" xfId="6509" xr:uid="{00000000-0005-0000-0000-00006B190000}"/>
    <cellStyle name="20% - Accent4 102" xfId="6510" xr:uid="{00000000-0005-0000-0000-00006C190000}"/>
    <cellStyle name="20% - Accent4 102 2" xfId="6511" xr:uid="{00000000-0005-0000-0000-00006D190000}"/>
    <cellStyle name="20% - Accent4 102 2 2" xfId="6512" xr:uid="{00000000-0005-0000-0000-00006E190000}"/>
    <cellStyle name="20% - Accent4 102 3" xfId="6513" xr:uid="{00000000-0005-0000-0000-00006F190000}"/>
    <cellStyle name="20% - Accent4 103" xfId="6514" xr:uid="{00000000-0005-0000-0000-000070190000}"/>
    <cellStyle name="20% - Accent4 104" xfId="6515" xr:uid="{00000000-0005-0000-0000-000071190000}"/>
    <cellStyle name="20% - Accent4 104 2" xfId="6516" xr:uid="{00000000-0005-0000-0000-000072190000}"/>
    <cellStyle name="20% - Accent4 104 2 2" xfId="6517" xr:uid="{00000000-0005-0000-0000-000073190000}"/>
    <cellStyle name="20% - Accent4 104 3" xfId="6518" xr:uid="{00000000-0005-0000-0000-000074190000}"/>
    <cellStyle name="20% - Accent4 105" xfId="6519" xr:uid="{00000000-0005-0000-0000-000075190000}"/>
    <cellStyle name="20% - Accent4 105 2" xfId="6520" xr:uid="{00000000-0005-0000-0000-000076190000}"/>
    <cellStyle name="20% - Accent4 105 2 2" xfId="6521" xr:uid="{00000000-0005-0000-0000-000077190000}"/>
    <cellStyle name="20% - Accent4 105 3" xfId="6522" xr:uid="{00000000-0005-0000-0000-000078190000}"/>
    <cellStyle name="20% - Accent4 106" xfId="6523" xr:uid="{00000000-0005-0000-0000-000079190000}"/>
    <cellStyle name="20% - Accent4 107" xfId="6524" xr:uid="{00000000-0005-0000-0000-00007A190000}"/>
    <cellStyle name="20% - Accent4 108" xfId="6525" xr:uid="{00000000-0005-0000-0000-00007B190000}"/>
    <cellStyle name="20% - Accent4 109" xfId="6526" xr:uid="{00000000-0005-0000-0000-00007C190000}"/>
    <cellStyle name="20% - Accent4 11" xfId="6527" xr:uid="{00000000-0005-0000-0000-00007D190000}"/>
    <cellStyle name="20% - Accent4 11 2" xfId="6528" xr:uid="{00000000-0005-0000-0000-00007E190000}"/>
    <cellStyle name="20% - Accent4 11 2 2" xfId="6529" xr:uid="{00000000-0005-0000-0000-00007F190000}"/>
    <cellStyle name="20% - Accent4 11 3" xfId="6530" xr:uid="{00000000-0005-0000-0000-000080190000}"/>
    <cellStyle name="20% - Accent4 110" xfId="6531" xr:uid="{00000000-0005-0000-0000-000081190000}"/>
    <cellStyle name="20% - Accent4 110 2" xfId="6532" xr:uid="{00000000-0005-0000-0000-000082190000}"/>
    <cellStyle name="20% - Accent4 110 2 2" xfId="6533" xr:uid="{00000000-0005-0000-0000-000083190000}"/>
    <cellStyle name="20% - Accent4 110 3" xfId="6534" xr:uid="{00000000-0005-0000-0000-000084190000}"/>
    <cellStyle name="20% - Accent4 111" xfId="6535" xr:uid="{00000000-0005-0000-0000-000085190000}"/>
    <cellStyle name="20% - Accent4 111 2" xfId="6536" xr:uid="{00000000-0005-0000-0000-000086190000}"/>
    <cellStyle name="20% - Accent4 111 2 2" xfId="6537" xr:uid="{00000000-0005-0000-0000-000087190000}"/>
    <cellStyle name="20% - Accent4 111 3" xfId="6538" xr:uid="{00000000-0005-0000-0000-000088190000}"/>
    <cellStyle name="20% - Accent4 112" xfId="6539" xr:uid="{00000000-0005-0000-0000-000089190000}"/>
    <cellStyle name="20% - Accent4 112 2" xfId="6540" xr:uid="{00000000-0005-0000-0000-00008A190000}"/>
    <cellStyle name="20% - Accent4 112 2 2" xfId="6541" xr:uid="{00000000-0005-0000-0000-00008B190000}"/>
    <cellStyle name="20% - Accent4 112 3" xfId="6542" xr:uid="{00000000-0005-0000-0000-00008C190000}"/>
    <cellStyle name="20% - Accent4 113" xfId="6543" xr:uid="{00000000-0005-0000-0000-00008D190000}"/>
    <cellStyle name="20% - Accent4 114" xfId="6544" xr:uid="{00000000-0005-0000-0000-00008E190000}"/>
    <cellStyle name="20% - Accent4 115" xfId="6545" xr:uid="{00000000-0005-0000-0000-00008F190000}"/>
    <cellStyle name="20% - Accent4 116" xfId="6546" xr:uid="{00000000-0005-0000-0000-000090190000}"/>
    <cellStyle name="20% - Accent4 117" xfId="6547" xr:uid="{00000000-0005-0000-0000-000091190000}"/>
    <cellStyle name="20% - Accent4 117 2" xfId="6548" xr:uid="{00000000-0005-0000-0000-000092190000}"/>
    <cellStyle name="20% - Accent4 117 2 2" xfId="6549" xr:uid="{00000000-0005-0000-0000-000093190000}"/>
    <cellStyle name="20% - Accent4 117 3" xfId="6550" xr:uid="{00000000-0005-0000-0000-000094190000}"/>
    <cellStyle name="20% - Accent4 118" xfId="6551" xr:uid="{00000000-0005-0000-0000-000095190000}"/>
    <cellStyle name="20% - Accent4 118 2" xfId="6552" xr:uid="{00000000-0005-0000-0000-000096190000}"/>
    <cellStyle name="20% - Accent4 118 2 2" xfId="6553" xr:uid="{00000000-0005-0000-0000-000097190000}"/>
    <cellStyle name="20% - Accent4 118 3" xfId="6554" xr:uid="{00000000-0005-0000-0000-000098190000}"/>
    <cellStyle name="20% - Accent4 119" xfId="6555" xr:uid="{00000000-0005-0000-0000-000099190000}"/>
    <cellStyle name="20% - Accent4 119 2" xfId="6556" xr:uid="{00000000-0005-0000-0000-00009A190000}"/>
    <cellStyle name="20% - Accent4 119 2 2" xfId="6557" xr:uid="{00000000-0005-0000-0000-00009B190000}"/>
    <cellStyle name="20% - Accent4 119 3" xfId="6558" xr:uid="{00000000-0005-0000-0000-00009C190000}"/>
    <cellStyle name="20% - Accent4 12" xfId="6559" xr:uid="{00000000-0005-0000-0000-00009D190000}"/>
    <cellStyle name="20% - Accent4 12 2" xfId="6560" xr:uid="{00000000-0005-0000-0000-00009E190000}"/>
    <cellStyle name="20% - Accent4 12 2 2" xfId="6561" xr:uid="{00000000-0005-0000-0000-00009F190000}"/>
    <cellStyle name="20% - Accent4 12 3" xfId="6562" xr:uid="{00000000-0005-0000-0000-0000A0190000}"/>
    <cellStyle name="20% - Accent4 120" xfId="6563" xr:uid="{00000000-0005-0000-0000-0000A1190000}"/>
    <cellStyle name="20% - Accent4 120 2" xfId="6564" xr:uid="{00000000-0005-0000-0000-0000A2190000}"/>
    <cellStyle name="20% - Accent4 120 2 2" xfId="6565" xr:uid="{00000000-0005-0000-0000-0000A3190000}"/>
    <cellStyle name="20% - Accent4 120 3" xfId="6566" xr:uid="{00000000-0005-0000-0000-0000A4190000}"/>
    <cellStyle name="20% - Accent4 121" xfId="6567" xr:uid="{00000000-0005-0000-0000-0000A5190000}"/>
    <cellStyle name="20% - Accent4 121 2" xfId="6568" xr:uid="{00000000-0005-0000-0000-0000A6190000}"/>
    <cellStyle name="20% - Accent4 121 2 2" xfId="6569" xr:uid="{00000000-0005-0000-0000-0000A7190000}"/>
    <cellStyle name="20% - Accent4 121 3" xfId="6570" xr:uid="{00000000-0005-0000-0000-0000A8190000}"/>
    <cellStyle name="20% - Accent4 122" xfId="6571" xr:uid="{00000000-0005-0000-0000-0000A9190000}"/>
    <cellStyle name="20% - Accent4 122 2" xfId="6572" xr:uid="{00000000-0005-0000-0000-0000AA190000}"/>
    <cellStyle name="20% - Accent4 122 2 2" xfId="6573" xr:uid="{00000000-0005-0000-0000-0000AB190000}"/>
    <cellStyle name="20% - Accent4 122 3" xfId="6574" xr:uid="{00000000-0005-0000-0000-0000AC190000}"/>
    <cellStyle name="20% - Accent4 123" xfId="6575" xr:uid="{00000000-0005-0000-0000-0000AD190000}"/>
    <cellStyle name="20% - Accent4 123 2" xfId="6576" xr:uid="{00000000-0005-0000-0000-0000AE190000}"/>
    <cellStyle name="20% - Accent4 123 2 2" xfId="6577" xr:uid="{00000000-0005-0000-0000-0000AF190000}"/>
    <cellStyle name="20% - Accent4 123 3" xfId="6578" xr:uid="{00000000-0005-0000-0000-0000B0190000}"/>
    <cellStyle name="20% - Accent4 124" xfId="6579" xr:uid="{00000000-0005-0000-0000-0000B1190000}"/>
    <cellStyle name="20% - Accent4 125" xfId="6580" xr:uid="{00000000-0005-0000-0000-0000B2190000}"/>
    <cellStyle name="20% - Accent4 125 2" xfId="6581" xr:uid="{00000000-0005-0000-0000-0000B3190000}"/>
    <cellStyle name="20% - Accent4 125 2 2" xfId="6582" xr:uid="{00000000-0005-0000-0000-0000B4190000}"/>
    <cellStyle name="20% - Accent4 125 3" xfId="6583" xr:uid="{00000000-0005-0000-0000-0000B5190000}"/>
    <cellStyle name="20% - Accent4 126" xfId="6584" xr:uid="{00000000-0005-0000-0000-0000B6190000}"/>
    <cellStyle name="20% - Accent4 126 2" xfId="6585" xr:uid="{00000000-0005-0000-0000-0000B7190000}"/>
    <cellStyle name="20% - Accent4 126 2 2" xfId="6586" xr:uid="{00000000-0005-0000-0000-0000B8190000}"/>
    <cellStyle name="20% - Accent4 126 3" xfId="6587" xr:uid="{00000000-0005-0000-0000-0000B9190000}"/>
    <cellStyle name="20% - Accent4 127" xfId="6588" xr:uid="{00000000-0005-0000-0000-0000BA190000}"/>
    <cellStyle name="20% - Accent4 127 2" xfId="6589" xr:uid="{00000000-0005-0000-0000-0000BB190000}"/>
    <cellStyle name="20% - Accent4 127 2 2" xfId="6590" xr:uid="{00000000-0005-0000-0000-0000BC190000}"/>
    <cellStyle name="20% - Accent4 127 3" xfId="6591" xr:uid="{00000000-0005-0000-0000-0000BD190000}"/>
    <cellStyle name="20% - Accent4 128" xfId="6592" xr:uid="{00000000-0005-0000-0000-0000BE190000}"/>
    <cellStyle name="20% - Accent4 128 2" xfId="6593" xr:uid="{00000000-0005-0000-0000-0000BF190000}"/>
    <cellStyle name="20% - Accent4 128 2 2" xfId="6594" xr:uid="{00000000-0005-0000-0000-0000C0190000}"/>
    <cellStyle name="20% - Accent4 128 3" xfId="6595" xr:uid="{00000000-0005-0000-0000-0000C1190000}"/>
    <cellStyle name="20% - Accent4 129" xfId="6596" xr:uid="{00000000-0005-0000-0000-0000C2190000}"/>
    <cellStyle name="20% - Accent4 129 2" xfId="6597" xr:uid="{00000000-0005-0000-0000-0000C3190000}"/>
    <cellStyle name="20% - Accent4 129 2 2" xfId="6598" xr:uid="{00000000-0005-0000-0000-0000C4190000}"/>
    <cellStyle name="20% - Accent4 129 3" xfId="6599" xr:uid="{00000000-0005-0000-0000-0000C5190000}"/>
    <cellStyle name="20% - Accent4 13" xfId="6600" xr:uid="{00000000-0005-0000-0000-0000C6190000}"/>
    <cellStyle name="20% - Accent4 13 2" xfId="6601" xr:uid="{00000000-0005-0000-0000-0000C7190000}"/>
    <cellStyle name="20% - Accent4 13 2 2" xfId="6602" xr:uid="{00000000-0005-0000-0000-0000C8190000}"/>
    <cellStyle name="20% - Accent4 13 3" xfId="6603" xr:uid="{00000000-0005-0000-0000-0000C9190000}"/>
    <cellStyle name="20% - Accent4 130" xfId="6604" xr:uid="{00000000-0005-0000-0000-0000CA190000}"/>
    <cellStyle name="20% - Accent4 130 2" xfId="6605" xr:uid="{00000000-0005-0000-0000-0000CB190000}"/>
    <cellStyle name="20% - Accent4 130 2 2" xfId="6606" xr:uid="{00000000-0005-0000-0000-0000CC190000}"/>
    <cellStyle name="20% - Accent4 130 3" xfId="6607" xr:uid="{00000000-0005-0000-0000-0000CD190000}"/>
    <cellStyle name="20% - Accent4 131" xfId="6608" xr:uid="{00000000-0005-0000-0000-0000CE190000}"/>
    <cellStyle name="20% - Accent4 131 2" xfId="6609" xr:uid="{00000000-0005-0000-0000-0000CF190000}"/>
    <cellStyle name="20% - Accent4 131 2 2" xfId="6610" xr:uid="{00000000-0005-0000-0000-0000D0190000}"/>
    <cellStyle name="20% - Accent4 131 3" xfId="6611" xr:uid="{00000000-0005-0000-0000-0000D1190000}"/>
    <cellStyle name="20% - Accent4 132" xfId="6612" xr:uid="{00000000-0005-0000-0000-0000D2190000}"/>
    <cellStyle name="20% - Accent4 132 2" xfId="6613" xr:uid="{00000000-0005-0000-0000-0000D3190000}"/>
    <cellStyle name="20% - Accent4 132 2 2" xfId="6614" xr:uid="{00000000-0005-0000-0000-0000D4190000}"/>
    <cellStyle name="20% - Accent4 132 3" xfId="6615" xr:uid="{00000000-0005-0000-0000-0000D5190000}"/>
    <cellStyle name="20% - Accent4 133" xfId="6616" xr:uid="{00000000-0005-0000-0000-0000D6190000}"/>
    <cellStyle name="20% - Accent4 133 2" xfId="6617" xr:uid="{00000000-0005-0000-0000-0000D7190000}"/>
    <cellStyle name="20% - Accent4 133 2 2" xfId="6618" xr:uid="{00000000-0005-0000-0000-0000D8190000}"/>
    <cellStyle name="20% - Accent4 133 3" xfId="6619" xr:uid="{00000000-0005-0000-0000-0000D9190000}"/>
    <cellStyle name="20% - Accent4 134" xfId="6620" xr:uid="{00000000-0005-0000-0000-0000DA190000}"/>
    <cellStyle name="20% - Accent4 134 2" xfId="6621" xr:uid="{00000000-0005-0000-0000-0000DB190000}"/>
    <cellStyle name="20% - Accent4 135" xfId="6622" xr:uid="{00000000-0005-0000-0000-0000DC190000}"/>
    <cellStyle name="20% - Accent4 135 2" xfId="6623" xr:uid="{00000000-0005-0000-0000-0000DD190000}"/>
    <cellStyle name="20% - Accent4 136" xfId="6624" xr:uid="{00000000-0005-0000-0000-0000DE190000}"/>
    <cellStyle name="20% - Accent4 136 2" xfId="6625" xr:uid="{00000000-0005-0000-0000-0000DF190000}"/>
    <cellStyle name="20% - Accent4 137" xfId="6626" xr:uid="{00000000-0005-0000-0000-0000E0190000}"/>
    <cellStyle name="20% - Accent4 14" xfId="6627" xr:uid="{00000000-0005-0000-0000-0000E1190000}"/>
    <cellStyle name="20% - Accent4 14 2" xfId="6628" xr:uid="{00000000-0005-0000-0000-0000E2190000}"/>
    <cellStyle name="20% - Accent4 14 2 2" xfId="6629" xr:uid="{00000000-0005-0000-0000-0000E3190000}"/>
    <cellStyle name="20% - Accent4 14 3" xfId="6630" xr:uid="{00000000-0005-0000-0000-0000E4190000}"/>
    <cellStyle name="20% - Accent4 15" xfId="6631" xr:uid="{00000000-0005-0000-0000-0000E5190000}"/>
    <cellStyle name="20% - Accent4 15 2" xfId="6632" xr:uid="{00000000-0005-0000-0000-0000E6190000}"/>
    <cellStyle name="20% - Accent4 15 2 2" xfId="6633" xr:uid="{00000000-0005-0000-0000-0000E7190000}"/>
    <cellStyle name="20% - Accent4 15 3" xfId="6634" xr:uid="{00000000-0005-0000-0000-0000E8190000}"/>
    <cellStyle name="20% - Accent4 16" xfId="6635" xr:uid="{00000000-0005-0000-0000-0000E9190000}"/>
    <cellStyle name="20% - Accent4 16 2" xfId="6636" xr:uid="{00000000-0005-0000-0000-0000EA190000}"/>
    <cellStyle name="20% - Accent4 17" xfId="6637" xr:uid="{00000000-0005-0000-0000-0000EB190000}"/>
    <cellStyle name="20% - Accent4 17 2" xfId="6638" xr:uid="{00000000-0005-0000-0000-0000EC190000}"/>
    <cellStyle name="20% - Accent4 18" xfId="6639" xr:uid="{00000000-0005-0000-0000-0000ED190000}"/>
    <cellStyle name="20% - Accent4 18 2" xfId="6640" xr:uid="{00000000-0005-0000-0000-0000EE190000}"/>
    <cellStyle name="20% - Accent4 19" xfId="6641" xr:uid="{00000000-0005-0000-0000-0000EF190000}"/>
    <cellStyle name="20% - Accent4 19 2" xfId="6642" xr:uid="{00000000-0005-0000-0000-0000F0190000}"/>
    <cellStyle name="20% - Accent4 2" xfId="6643" xr:uid="{00000000-0005-0000-0000-0000F1190000}"/>
    <cellStyle name="20% - Accent4 2 2" xfId="6644" xr:uid="{00000000-0005-0000-0000-0000F2190000}"/>
    <cellStyle name="20% - Accent4 2 2 2" xfId="6645" xr:uid="{00000000-0005-0000-0000-0000F3190000}"/>
    <cellStyle name="20% - Accent4 2 2 2 2" xfId="6646" xr:uid="{00000000-0005-0000-0000-0000F4190000}"/>
    <cellStyle name="20% - Accent4 2 2 2 2 2" xfId="6647" xr:uid="{00000000-0005-0000-0000-0000F5190000}"/>
    <cellStyle name="20% - Accent4 2 3" xfId="6648" xr:uid="{00000000-0005-0000-0000-0000F6190000}"/>
    <cellStyle name="20% - Accent4 2 4" xfId="6649" xr:uid="{00000000-0005-0000-0000-0000F7190000}"/>
    <cellStyle name="20% - Accent4 2 5" xfId="41043" xr:uid="{00000000-0005-0000-0000-000003000000}"/>
    <cellStyle name="20% - Accent4 20" xfId="6650" xr:uid="{00000000-0005-0000-0000-0000F8190000}"/>
    <cellStyle name="20% - Accent4 20 2" xfId="6651" xr:uid="{00000000-0005-0000-0000-0000F9190000}"/>
    <cellStyle name="20% - Accent4 21" xfId="6652" xr:uid="{00000000-0005-0000-0000-0000FA190000}"/>
    <cellStyle name="20% - Accent4 21 2" xfId="6653" xr:uid="{00000000-0005-0000-0000-0000FB190000}"/>
    <cellStyle name="20% - Accent4 22" xfId="6654" xr:uid="{00000000-0005-0000-0000-0000FC190000}"/>
    <cellStyle name="20% - Accent4 22 2" xfId="6655" xr:uid="{00000000-0005-0000-0000-0000FD190000}"/>
    <cellStyle name="20% - Accent4 23" xfId="6656" xr:uid="{00000000-0005-0000-0000-0000FE190000}"/>
    <cellStyle name="20% - Accent4 23 2" xfId="6657" xr:uid="{00000000-0005-0000-0000-0000FF190000}"/>
    <cellStyle name="20% - Accent4 24" xfId="6658" xr:uid="{00000000-0005-0000-0000-0000001A0000}"/>
    <cellStyle name="20% - Accent4 24 2" xfId="6659" xr:uid="{00000000-0005-0000-0000-0000011A0000}"/>
    <cellStyle name="20% - Accent4 25" xfId="6660" xr:uid="{00000000-0005-0000-0000-0000021A0000}"/>
    <cellStyle name="20% - Accent4 25 2" xfId="6661" xr:uid="{00000000-0005-0000-0000-0000031A0000}"/>
    <cellStyle name="20% - Accent4 26" xfId="6662" xr:uid="{00000000-0005-0000-0000-0000041A0000}"/>
    <cellStyle name="20% - Accent4 26 2" xfId="6663" xr:uid="{00000000-0005-0000-0000-0000051A0000}"/>
    <cellStyle name="20% - Accent4 27" xfId="6664" xr:uid="{00000000-0005-0000-0000-0000061A0000}"/>
    <cellStyle name="20% - Accent4 27 2" xfId="6665" xr:uid="{00000000-0005-0000-0000-0000071A0000}"/>
    <cellStyle name="20% - Accent4 28" xfId="6666" xr:uid="{00000000-0005-0000-0000-0000081A0000}"/>
    <cellStyle name="20% - Accent4 28 2" xfId="6667" xr:uid="{00000000-0005-0000-0000-0000091A0000}"/>
    <cellStyle name="20% - Accent4 29" xfId="6668" xr:uid="{00000000-0005-0000-0000-00000A1A0000}"/>
    <cellStyle name="20% - Accent4 29 2" xfId="6669" xr:uid="{00000000-0005-0000-0000-00000B1A0000}"/>
    <cellStyle name="20% - Accent4 3" xfId="6670" xr:uid="{00000000-0005-0000-0000-00000C1A0000}"/>
    <cellStyle name="20% - Accent4 3 2" xfId="6671" xr:uid="{00000000-0005-0000-0000-00000D1A0000}"/>
    <cellStyle name="20% - Accent4 3 2 2" xfId="6672" xr:uid="{00000000-0005-0000-0000-00000E1A0000}"/>
    <cellStyle name="20% - Accent4 3 3" xfId="6673" xr:uid="{00000000-0005-0000-0000-00000F1A0000}"/>
    <cellStyle name="20% - Accent4 3 4" xfId="6674" xr:uid="{00000000-0005-0000-0000-0000101A0000}"/>
    <cellStyle name="20% - Accent4 3 5" xfId="6675" xr:uid="{00000000-0005-0000-0000-0000111A0000}"/>
    <cellStyle name="20% - Accent4 3_MAR 2009" xfId="6676" xr:uid="{00000000-0005-0000-0000-0000121A0000}"/>
    <cellStyle name="20% - Accent4 30" xfId="6677" xr:uid="{00000000-0005-0000-0000-0000131A0000}"/>
    <cellStyle name="20% - Accent4 30 2" xfId="6678" xr:uid="{00000000-0005-0000-0000-0000141A0000}"/>
    <cellStyle name="20% - Accent4 31" xfId="6679" xr:uid="{00000000-0005-0000-0000-0000151A0000}"/>
    <cellStyle name="20% - Accent4 31 2" xfId="6680" xr:uid="{00000000-0005-0000-0000-0000161A0000}"/>
    <cellStyle name="20% - Accent4 32" xfId="6681" xr:uid="{00000000-0005-0000-0000-0000171A0000}"/>
    <cellStyle name="20% - Accent4 32 2" xfId="6682" xr:uid="{00000000-0005-0000-0000-0000181A0000}"/>
    <cellStyle name="20% - Accent4 33" xfId="6683" xr:uid="{00000000-0005-0000-0000-0000191A0000}"/>
    <cellStyle name="20% - Accent4 33 2" xfId="6684" xr:uid="{00000000-0005-0000-0000-00001A1A0000}"/>
    <cellStyle name="20% - Accent4 34" xfId="6685" xr:uid="{00000000-0005-0000-0000-00001B1A0000}"/>
    <cellStyle name="20% - Accent4 34 2" xfId="6686" xr:uid="{00000000-0005-0000-0000-00001C1A0000}"/>
    <cellStyle name="20% - Accent4 35" xfId="6687" xr:uid="{00000000-0005-0000-0000-00001D1A0000}"/>
    <cellStyle name="20% - Accent4 35 2" xfId="6688" xr:uid="{00000000-0005-0000-0000-00001E1A0000}"/>
    <cellStyle name="20% - Accent4 36" xfId="6689" xr:uid="{00000000-0005-0000-0000-00001F1A0000}"/>
    <cellStyle name="20% - Accent4 36 2" xfId="6690" xr:uid="{00000000-0005-0000-0000-0000201A0000}"/>
    <cellStyle name="20% - Accent4 37" xfId="6691" xr:uid="{00000000-0005-0000-0000-0000211A0000}"/>
    <cellStyle name="20% - Accent4 37 2" xfId="6692" xr:uid="{00000000-0005-0000-0000-0000221A0000}"/>
    <cellStyle name="20% - Accent4 38" xfId="6693" xr:uid="{00000000-0005-0000-0000-0000231A0000}"/>
    <cellStyle name="20% - Accent4 38 2" xfId="6694" xr:uid="{00000000-0005-0000-0000-0000241A0000}"/>
    <cellStyle name="20% - Accent4 39" xfId="6695" xr:uid="{00000000-0005-0000-0000-0000251A0000}"/>
    <cellStyle name="20% - Accent4 39 2" xfId="6696" xr:uid="{00000000-0005-0000-0000-0000261A0000}"/>
    <cellStyle name="20% - Accent4 4" xfId="6697" xr:uid="{00000000-0005-0000-0000-0000271A0000}"/>
    <cellStyle name="20% - Accent4 4 2" xfId="6698" xr:uid="{00000000-0005-0000-0000-0000281A0000}"/>
    <cellStyle name="20% - Accent4 4 2 2" xfId="6699" xr:uid="{00000000-0005-0000-0000-0000291A0000}"/>
    <cellStyle name="20% - Accent4 4 3" xfId="6700" xr:uid="{00000000-0005-0000-0000-00002A1A0000}"/>
    <cellStyle name="20% - Accent4 40" xfId="6701" xr:uid="{00000000-0005-0000-0000-00002B1A0000}"/>
    <cellStyle name="20% - Accent4 40 2" xfId="6702" xr:uid="{00000000-0005-0000-0000-00002C1A0000}"/>
    <cellStyle name="20% - Accent4 41" xfId="6703" xr:uid="{00000000-0005-0000-0000-00002D1A0000}"/>
    <cellStyle name="20% - Accent4 41 2" xfId="6704" xr:uid="{00000000-0005-0000-0000-00002E1A0000}"/>
    <cellStyle name="20% - Accent4 42" xfId="6705" xr:uid="{00000000-0005-0000-0000-00002F1A0000}"/>
    <cellStyle name="20% - Accent4 42 2" xfId="6706" xr:uid="{00000000-0005-0000-0000-0000301A0000}"/>
    <cellStyle name="20% - Accent4 43" xfId="6707" xr:uid="{00000000-0005-0000-0000-0000311A0000}"/>
    <cellStyle name="20% - Accent4 43 2" xfId="6708" xr:uid="{00000000-0005-0000-0000-0000321A0000}"/>
    <cellStyle name="20% - Accent4 44" xfId="6709" xr:uid="{00000000-0005-0000-0000-0000331A0000}"/>
    <cellStyle name="20% - Accent4 44 2" xfId="6710" xr:uid="{00000000-0005-0000-0000-0000341A0000}"/>
    <cellStyle name="20% - Accent4 45" xfId="6711" xr:uid="{00000000-0005-0000-0000-0000351A0000}"/>
    <cellStyle name="20% - Accent4 45 2" xfId="6712" xr:uid="{00000000-0005-0000-0000-0000361A0000}"/>
    <cellStyle name="20% - Accent4 46" xfId="6713" xr:uid="{00000000-0005-0000-0000-0000371A0000}"/>
    <cellStyle name="20% - Accent4 46 2" xfId="6714" xr:uid="{00000000-0005-0000-0000-0000381A0000}"/>
    <cellStyle name="20% - Accent4 47" xfId="6715" xr:uid="{00000000-0005-0000-0000-0000391A0000}"/>
    <cellStyle name="20% - Accent4 47 2" xfId="6716" xr:uid="{00000000-0005-0000-0000-00003A1A0000}"/>
    <cellStyle name="20% - Accent4 48" xfId="6717" xr:uid="{00000000-0005-0000-0000-00003B1A0000}"/>
    <cellStyle name="20% - Accent4 48 2" xfId="6718" xr:uid="{00000000-0005-0000-0000-00003C1A0000}"/>
    <cellStyle name="20% - Accent4 49" xfId="6719" xr:uid="{00000000-0005-0000-0000-00003D1A0000}"/>
    <cellStyle name="20% - Accent4 49 2" xfId="6720" xr:uid="{00000000-0005-0000-0000-00003E1A0000}"/>
    <cellStyle name="20% - Accent4 5" xfId="6721" xr:uid="{00000000-0005-0000-0000-00003F1A0000}"/>
    <cellStyle name="20% - Accent4 5 2" xfId="6722" xr:uid="{00000000-0005-0000-0000-0000401A0000}"/>
    <cellStyle name="20% - Accent4 5 2 2" xfId="6723" xr:uid="{00000000-0005-0000-0000-0000411A0000}"/>
    <cellStyle name="20% - Accent4 5 3" xfId="6724" xr:uid="{00000000-0005-0000-0000-0000421A0000}"/>
    <cellStyle name="20% - Accent4 50" xfId="6725" xr:uid="{00000000-0005-0000-0000-0000431A0000}"/>
    <cellStyle name="20% - Accent4 50 2" xfId="6726" xr:uid="{00000000-0005-0000-0000-0000441A0000}"/>
    <cellStyle name="20% - Accent4 51" xfId="6727" xr:uid="{00000000-0005-0000-0000-0000451A0000}"/>
    <cellStyle name="20% - Accent4 51 2" xfId="6728" xr:uid="{00000000-0005-0000-0000-0000461A0000}"/>
    <cellStyle name="20% - Accent4 52" xfId="6729" xr:uid="{00000000-0005-0000-0000-0000471A0000}"/>
    <cellStyle name="20% - Accent4 52 2" xfId="6730" xr:uid="{00000000-0005-0000-0000-0000481A0000}"/>
    <cellStyle name="20% - Accent4 53" xfId="6731" xr:uid="{00000000-0005-0000-0000-0000491A0000}"/>
    <cellStyle name="20% - Accent4 53 2" xfId="6732" xr:uid="{00000000-0005-0000-0000-00004A1A0000}"/>
    <cellStyle name="20% - Accent4 54" xfId="6733" xr:uid="{00000000-0005-0000-0000-00004B1A0000}"/>
    <cellStyle name="20% - Accent4 54 2" xfId="6734" xr:uid="{00000000-0005-0000-0000-00004C1A0000}"/>
    <cellStyle name="20% - Accent4 55" xfId="6735" xr:uid="{00000000-0005-0000-0000-00004D1A0000}"/>
    <cellStyle name="20% - Accent4 55 2" xfId="6736" xr:uid="{00000000-0005-0000-0000-00004E1A0000}"/>
    <cellStyle name="20% - Accent4 56" xfId="6737" xr:uid="{00000000-0005-0000-0000-00004F1A0000}"/>
    <cellStyle name="20% - Accent4 56 2" xfId="6738" xr:uid="{00000000-0005-0000-0000-0000501A0000}"/>
    <cellStyle name="20% - Accent4 57" xfId="6739" xr:uid="{00000000-0005-0000-0000-0000511A0000}"/>
    <cellStyle name="20% - Accent4 57 2" xfId="6740" xr:uid="{00000000-0005-0000-0000-0000521A0000}"/>
    <cellStyle name="20% - Accent4 58" xfId="6741" xr:uid="{00000000-0005-0000-0000-0000531A0000}"/>
    <cellStyle name="20% - Accent4 58 2" xfId="6742" xr:uid="{00000000-0005-0000-0000-0000541A0000}"/>
    <cellStyle name="20% - Accent4 59" xfId="6743" xr:uid="{00000000-0005-0000-0000-0000551A0000}"/>
    <cellStyle name="20% - Accent4 59 2" xfId="6744" xr:uid="{00000000-0005-0000-0000-0000561A0000}"/>
    <cellStyle name="20% - Accent4 6" xfId="6745" xr:uid="{00000000-0005-0000-0000-0000571A0000}"/>
    <cellStyle name="20% - Accent4 6 2" xfId="6746" xr:uid="{00000000-0005-0000-0000-0000581A0000}"/>
    <cellStyle name="20% - Accent4 6 2 2" xfId="6747" xr:uid="{00000000-0005-0000-0000-0000591A0000}"/>
    <cellStyle name="20% - Accent4 6 3" xfId="6748" xr:uid="{00000000-0005-0000-0000-00005A1A0000}"/>
    <cellStyle name="20% - Accent4 60" xfId="6749" xr:uid="{00000000-0005-0000-0000-00005B1A0000}"/>
    <cellStyle name="20% - Accent4 60 2" xfId="6750" xr:uid="{00000000-0005-0000-0000-00005C1A0000}"/>
    <cellStyle name="20% - Accent4 61" xfId="6751" xr:uid="{00000000-0005-0000-0000-00005D1A0000}"/>
    <cellStyle name="20% - Accent4 61 2" xfId="6752" xr:uid="{00000000-0005-0000-0000-00005E1A0000}"/>
    <cellStyle name="20% - Accent4 62" xfId="6753" xr:uid="{00000000-0005-0000-0000-00005F1A0000}"/>
    <cellStyle name="20% - Accent4 62 2" xfId="6754" xr:uid="{00000000-0005-0000-0000-0000601A0000}"/>
    <cellStyle name="20% - Accent4 63" xfId="6755" xr:uid="{00000000-0005-0000-0000-0000611A0000}"/>
    <cellStyle name="20% - Accent4 63 2" xfId="6756" xr:uid="{00000000-0005-0000-0000-0000621A0000}"/>
    <cellStyle name="20% - Accent4 64" xfId="6757" xr:uid="{00000000-0005-0000-0000-0000631A0000}"/>
    <cellStyle name="20% - Accent4 64 2" xfId="6758" xr:uid="{00000000-0005-0000-0000-0000641A0000}"/>
    <cellStyle name="20% - Accent4 65" xfId="6759" xr:uid="{00000000-0005-0000-0000-0000651A0000}"/>
    <cellStyle name="20% - Accent4 65 2" xfId="6760" xr:uid="{00000000-0005-0000-0000-0000661A0000}"/>
    <cellStyle name="20% - Accent4 66" xfId="6761" xr:uid="{00000000-0005-0000-0000-0000671A0000}"/>
    <cellStyle name="20% - Accent4 66 2" xfId="6762" xr:uid="{00000000-0005-0000-0000-0000681A0000}"/>
    <cellStyle name="20% - Accent4 67" xfId="6763" xr:uid="{00000000-0005-0000-0000-0000691A0000}"/>
    <cellStyle name="20% - Accent4 67 2" xfId="6764" xr:uid="{00000000-0005-0000-0000-00006A1A0000}"/>
    <cellStyle name="20% - Accent4 68" xfId="6765" xr:uid="{00000000-0005-0000-0000-00006B1A0000}"/>
    <cellStyle name="20% - Accent4 68 2" xfId="6766" xr:uid="{00000000-0005-0000-0000-00006C1A0000}"/>
    <cellStyle name="20% - Accent4 69" xfId="6767" xr:uid="{00000000-0005-0000-0000-00006D1A0000}"/>
    <cellStyle name="20% - Accent4 69 2" xfId="6768" xr:uid="{00000000-0005-0000-0000-00006E1A0000}"/>
    <cellStyle name="20% - Accent4 7" xfId="6769" xr:uid="{00000000-0005-0000-0000-00006F1A0000}"/>
    <cellStyle name="20% - Accent4 7 2" xfId="6770" xr:uid="{00000000-0005-0000-0000-0000701A0000}"/>
    <cellStyle name="20% - Accent4 7 2 2" xfId="6771" xr:uid="{00000000-0005-0000-0000-0000711A0000}"/>
    <cellStyle name="20% - Accent4 7 3" xfId="6772" xr:uid="{00000000-0005-0000-0000-0000721A0000}"/>
    <cellStyle name="20% - Accent4 7 4" xfId="6773" xr:uid="{00000000-0005-0000-0000-0000731A0000}"/>
    <cellStyle name="20% - Accent4 70" xfId="6774" xr:uid="{00000000-0005-0000-0000-0000741A0000}"/>
    <cellStyle name="20% - Accent4 70 2" xfId="6775" xr:uid="{00000000-0005-0000-0000-0000751A0000}"/>
    <cellStyle name="20% - Accent4 71" xfId="6776" xr:uid="{00000000-0005-0000-0000-0000761A0000}"/>
    <cellStyle name="20% - Accent4 71 2" xfId="6777" xr:uid="{00000000-0005-0000-0000-0000771A0000}"/>
    <cellStyle name="20% - Accent4 72" xfId="6778" xr:uid="{00000000-0005-0000-0000-0000781A0000}"/>
    <cellStyle name="20% - Accent4 72 2" xfId="6779" xr:uid="{00000000-0005-0000-0000-0000791A0000}"/>
    <cellStyle name="20% - Accent4 73" xfId="6780" xr:uid="{00000000-0005-0000-0000-00007A1A0000}"/>
    <cellStyle name="20% - Accent4 73 10" xfId="6781" xr:uid="{00000000-0005-0000-0000-00007B1A0000}"/>
    <cellStyle name="20% - Accent4 73 10 2" xfId="6782" xr:uid="{00000000-0005-0000-0000-00007C1A0000}"/>
    <cellStyle name="20% - Accent4 73 10 2 2" xfId="6783" xr:uid="{00000000-0005-0000-0000-00007D1A0000}"/>
    <cellStyle name="20% - Accent4 73 10 3" xfId="6784" xr:uid="{00000000-0005-0000-0000-00007E1A0000}"/>
    <cellStyle name="20% - Accent4 73 11" xfId="6785" xr:uid="{00000000-0005-0000-0000-00007F1A0000}"/>
    <cellStyle name="20% - Accent4 73 11 2" xfId="6786" xr:uid="{00000000-0005-0000-0000-0000801A0000}"/>
    <cellStyle name="20% - Accent4 73 11 2 2" xfId="6787" xr:uid="{00000000-0005-0000-0000-0000811A0000}"/>
    <cellStyle name="20% - Accent4 73 11 3" xfId="6788" xr:uid="{00000000-0005-0000-0000-0000821A0000}"/>
    <cellStyle name="20% - Accent4 73 12" xfId="6789" xr:uid="{00000000-0005-0000-0000-0000831A0000}"/>
    <cellStyle name="20% - Accent4 73 12 2" xfId="6790" xr:uid="{00000000-0005-0000-0000-0000841A0000}"/>
    <cellStyle name="20% - Accent4 73 12 2 2" xfId="6791" xr:uid="{00000000-0005-0000-0000-0000851A0000}"/>
    <cellStyle name="20% - Accent4 73 12 3" xfId="6792" xr:uid="{00000000-0005-0000-0000-0000861A0000}"/>
    <cellStyle name="20% - Accent4 73 13" xfId="6793" xr:uid="{00000000-0005-0000-0000-0000871A0000}"/>
    <cellStyle name="20% - Accent4 73 13 2" xfId="6794" xr:uid="{00000000-0005-0000-0000-0000881A0000}"/>
    <cellStyle name="20% - Accent4 73 13 2 2" xfId="6795" xr:uid="{00000000-0005-0000-0000-0000891A0000}"/>
    <cellStyle name="20% - Accent4 73 13 3" xfId="6796" xr:uid="{00000000-0005-0000-0000-00008A1A0000}"/>
    <cellStyle name="20% - Accent4 73 14" xfId="6797" xr:uid="{00000000-0005-0000-0000-00008B1A0000}"/>
    <cellStyle name="20% - Accent4 73 14 2" xfId="6798" xr:uid="{00000000-0005-0000-0000-00008C1A0000}"/>
    <cellStyle name="20% - Accent4 73 14 2 2" xfId="6799" xr:uid="{00000000-0005-0000-0000-00008D1A0000}"/>
    <cellStyle name="20% - Accent4 73 14 3" xfId="6800" xr:uid="{00000000-0005-0000-0000-00008E1A0000}"/>
    <cellStyle name="20% - Accent4 73 15" xfId="6801" xr:uid="{00000000-0005-0000-0000-00008F1A0000}"/>
    <cellStyle name="20% - Accent4 73 15 2" xfId="6802" xr:uid="{00000000-0005-0000-0000-0000901A0000}"/>
    <cellStyle name="20% - Accent4 73 15 2 2" xfId="6803" xr:uid="{00000000-0005-0000-0000-0000911A0000}"/>
    <cellStyle name="20% - Accent4 73 15 3" xfId="6804" xr:uid="{00000000-0005-0000-0000-0000921A0000}"/>
    <cellStyle name="20% - Accent4 73 16" xfId="6805" xr:uid="{00000000-0005-0000-0000-0000931A0000}"/>
    <cellStyle name="20% - Accent4 73 16 2" xfId="6806" xr:uid="{00000000-0005-0000-0000-0000941A0000}"/>
    <cellStyle name="20% - Accent4 73 16 2 2" xfId="6807" xr:uid="{00000000-0005-0000-0000-0000951A0000}"/>
    <cellStyle name="20% - Accent4 73 16 3" xfId="6808" xr:uid="{00000000-0005-0000-0000-0000961A0000}"/>
    <cellStyle name="20% - Accent4 73 17" xfId="6809" xr:uid="{00000000-0005-0000-0000-0000971A0000}"/>
    <cellStyle name="20% - Accent4 73 17 2" xfId="6810" xr:uid="{00000000-0005-0000-0000-0000981A0000}"/>
    <cellStyle name="20% - Accent4 73 17 2 2" xfId="6811" xr:uid="{00000000-0005-0000-0000-0000991A0000}"/>
    <cellStyle name="20% - Accent4 73 17 3" xfId="6812" xr:uid="{00000000-0005-0000-0000-00009A1A0000}"/>
    <cellStyle name="20% - Accent4 73 18" xfId="6813" xr:uid="{00000000-0005-0000-0000-00009B1A0000}"/>
    <cellStyle name="20% - Accent4 73 18 2" xfId="6814" xr:uid="{00000000-0005-0000-0000-00009C1A0000}"/>
    <cellStyle name="20% - Accent4 73 18 2 2" xfId="6815" xr:uid="{00000000-0005-0000-0000-00009D1A0000}"/>
    <cellStyle name="20% - Accent4 73 18 3" xfId="6816" xr:uid="{00000000-0005-0000-0000-00009E1A0000}"/>
    <cellStyle name="20% - Accent4 73 19" xfId="6817" xr:uid="{00000000-0005-0000-0000-00009F1A0000}"/>
    <cellStyle name="20% - Accent4 73 19 2" xfId="6818" xr:uid="{00000000-0005-0000-0000-0000A01A0000}"/>
    <cellStyle name="20% - Accent4 73 19 2 2" xfId="6819" xr:uid="{00000000-0005-0000-0000-0000A11A0000}"/>
    <cellStyle name="20% - Accent4 73 19 3" xfId="6820" xr:uid="{00000000-0005-0000-0000-0000A21A0000}"/>
    <cellStyle name="20% - Accent4 73 2" xfId="6821" xr:uid="{00000000-0005-0000-0000-0000A31A0000}"/>
    <cellStyle name="20% - Accent4 73 2 2" xfId="6822" xr:uid="{00000000-0005-0000-0000-0000A41A0000}"/>
    <cellStyle name="20% - Accent4 73 2 2 2" xfId="6823" xr:uid="{00000000-0005-0000-0000-0000A51A0000}"/>
    <cellStyle name="20% - Accent4 73 2 3" xfId="6824" xr:uid="{00000000-0005-0000-0000-0000A61A0000}"/>
    <cellStyle name="20% - Accent4 73 20" xfId="6825" xr:uid="{00000000-0005-0000-0000-0000A71A0000}"/>
    <cellStyle name="20% - Accent4 73 20 2" xfId="6826" xr:uid="{00000000-0005-0000-0000-0000A81A0000}"/>
    <cellStyle name="20% - Accent4 73 20 2 2" xfId="6827" xr:uid="{00000000-0005-0000-0000-0000A91A0000}"/>
    <cellStyle name="20% - Accent4 73 20 3" xfId="6828" xr:uid="{00000000-0005-0000-0000-0000AA1A0000}"/>
    <cellStyle name="20% - Accent4 73 21" xfId="6829" xr:uid="{00000000-0005-0000-0000-0000AB1A0000}"/>
    <cellStyle name="20% - Accent4 73 21 2" xfId="6830" xr:uid="{00000000-0005-0000-0000-0000AC1A0000}"/>
    <cellStyle name="20% - Accent4 73 21 2 2" xfId="6831" xr:uid="{00000000-0005-0000-0000-0000AD1A0000}"/>
    <cellStyle name="20% - Accent4 73 21 3" xfId="6832" xr:uid="{00000000-0005-0000-0000-0000AE1A0000}"/>
    <cellStyle name="20% - Accent4 73 22" xfId="6833" xr:uid="{00000000-0005-0000-0000-0000AF1A0000}"/>
    <cellStyle name="20% - Accent4 73 22 2" xfId="6834" xr:uid="{00000000-0005-0000-0000-0000B01A0000}"/>
    <cellStyle name="20% - Accent4 73 22 2 2" xfId="6835" xr:uid="{00000000-0005-0000-0000-0000B11A0000}"/>
    <cellStyle name="20% - Accent4 73 22 3" xfId="6836" xr:uid="{00000000-0005-0000-0000-0000B21A0000}"/>
    <cellStyle name="20% - Accent4 73 23" xfId="6837" xr:uid="{00000000-0005-0000-0000-0000B31A0000}"/>
    <cellStyle name="20% - Accent4 73 23 2" xfId="6838" xr:uid="{00000000-0005-0000-0000-0000B41A0000}"/>
    <cellStyle name="20% - Accent4 73 23 2 2" xfId="6839" xr:uid="{00000000-0005-0000-0000-0000B51A0000}"/>
    <cellStyle name="20% - Accent4 73 23 3" xfId="6840" xr:uid="{00000000-0005-0000-0000-0000B61A0000}"/>
    <cellStyle name="20% - Accent4 73 24" xfId="6841" xr:uid="{00000000-0005-0000-0000-0000B71A0000}"/>
    <cellStyle name="20% - Accent4 73 24 2" xfId="6842" xr:uid="{00000000-0005-0000-0000-0000B81A0000}"/>
    <cellStyle name="20% - Accent4 73 24 2 2" xfId="6843" xr:uid="{00000000-0005-0000-0000-0000B91A0000}"/>
    <cellStyle name="20% - Accent4 73 24 3" xfId="6844" xr:uid="{00000000-0005-0000-0000-0000BA1A0000}"/>
    <cellStyle name="20% - Accent4 73 25" xfId="6845" xr:uid="{00000000-0005-0000-0000-0000BB1A0000}"/>
    <cellStyle name="20% - Accent4 73 25 2" xfId="6846" xr:uid="{00000000-0005-0000-0000-0000BC1A0000}"/>
    <cellStyle name="20% - Accent4 73 25 2 2" xfId="6847" xr:uid="{00000000-0005-0000-0000-0000BD1A0000}"/>
    <cellStyle name="20% - Accent4 73 25 3" xfId="6848" xr:uid="{00000000-0005-0000-0000-0000BE1A0000}"/>
    <cellStyle name="20% - Accent4 73 26" xfId="6849" xr:uid="{00000000-0005-0000-0000-0000BF1A0000}"/>
    <cellStyle name="20% - Accent4 73 26 2" xfId="6850" xr:uid="{00000000-0005-0000-0000-0000C01A0000}"/>
    <cellStyle name="20% - Accent4 73 26 2 2" xfId="6851" xr:uid="{00000000-0005-0000-0000-0000C11A0000}"/>
    <cellStyle name="20% - Accent4 73 26 3" xfId="6852" xr:uid="{00000000-0005-0000-0000-0000C21A0000}"/>
    <cellStyle name="20% - Accent4 73 27" xfId="6853" xr:uid="{00000000-0005-0000-0000-0000C31A0000}"/>
    <cellStyle name="20% - Accent4 73 27 2" xfId="6854" xr:uid="{00000000-0005-0000-0000-0000C41A0000}"/>
    <cellStyle name="20% - Accent4 73 27 2 2" xfId="6855" xr:uid="{00000000-0005-0000-0000-0000C51A0000}"/>
    <cellStyle name="20% - Accent4 73 27 3" xfId="6856" xr:uid="{00000000-0005-0000-0000-0000C61A0000}"/>
    <cellStyle name="20% - Accent4 73 28" xfId="6857" xr:uid="{00000000-0005-0000-0000-0000C71A0000}"/>
    <cellStyle name="20% - Accent4 73 28 2" xfId="6858" xr:uid="{00000000-0005-0000-0000-0000C81A0000}"/>
    <cellStyle name="20% - Accent4 73 28 2 2" xfId="6859" xr:uid="{00000000-0005-0000-0000-0000C91A0000}"/>
    <cellStyle name="20% - Accent4 73 28 3" xfId="6860" xr:uid="{00000000-0005-0000-0000-0000CA1A0000}"/>
    <cellStyle name="20% - Accent4 73 29" xfId="6861" xr:uid="{00000000-0005-0000-0000-0000CB1A0000}"/>
    <cellStyle name="20% - Accent4 73 29 2" xfId="6862" xr:uid="{00000000-0005-0000-0000-0000CC1A0000}"/>
    <cellStyle name="20% - Accent4 73 29 2 2" xfId="6863" xr:uid="{00000000-0005-0000-0000-0000CD1A0000}"/>
    <cellStyle name="20% - Accent4 73 29 3" xfId="6864" xr:uid="{00000000-0005-0000-0000-0000CE1A0000}"/>
    <cellStyle name="20% - Accent4 73 3" xfId="6865" xr:uid="{00000000-0005-0000-0000-0000CF1A0000}"/>
    <cellStyle name="20% - Accent4 73 3 2" xfId="6866" xr:uid="{00000000-0005-0000-0000-0000D01A0000}"/>
    <cellStyle name="20% - Accent4 73 3 2 2" xfId="6867" xr:uid="{00000000-0005-0000-0000-0000D11A0000}"/>
    <cellStyle name="20% - Accent4 73 3 3" xfId="6868" xr:uid="{00000000-0005-0000-0000-0000D21A0000}"/>
    <cellStyle name="20% - Accent4 73 30" xfId="6869" xr:uid="{00000000-0005-0000-0000-0000D31A0000}"/>
    <cellStyle name="20% - Accent4 73 30 2" xfId="6870" xr:uid="{00000000-0005-0000-0000-0000D41A0000}"/>
    <cellStyle name="20% - Accent4 73 30 2 2" xfId="6871" xr:uid="{00000000-0005-0000-0000-0000D51A0000}"/>
    <cellStyle name="20% - Accent4 73 30 3" xfId="6872" xr:uid="{00000000-0005-0000-0000-0000D61A0000}"/>
    <cellStyle name="20% - Accent4 73 31" xfId="6873" xr:uid="{00000000-0005-0000-0000-0000D71A0000}"/>
    <cellStyle name="20% - Accent4 73 31 2" xfId="6874" xr:uid="{00000000-0005-0000-0000-0000D81A0000}"/>
    <cellStyle name="20% - Accent4 73 31 2 2" xfId="6875" xr:uid="{00000000-0005-0000-0000-0000D91A0000}"/>
    <cellStyle name="20% - Accent4 73 31 3" xfId="6876" xr:uid="{00000000-0005-0000-0000-0000DA1A0000}"/>
    <cellStyle name="20% - Accent4 73 32" xfId="6877" xr:uid="{00000000-0005-0000-0000-0000DB1A0000}"/>
    <cellStyle name="20% - Accent4 73 32 2" xfId="6878" xr:uid="{00000000-0005-0000-0000-0000DC1A0000}"/>
    <cellStyle name="20% - Accent4 73 32 2 2" xfId="6879" xr:uid="{00000000-0005-0000-0000-0000DD1A0000}"/>
    <cellStyle name="20% - Accent4 73 32 3" xfId="6880" xr:uid="{00000000-0005-0000-0000-0000DE1A0000}"/>
    <cellStyle name="20% - Accent4 73 33" xfId="6881" xr:uid="{00000000-0005-0000-0000-0000DF1A0000}"/>
    <cellStyle name="20% - Accent4 73 33 2" xfId="6882" xr:uid="{00000000-0005-0000-0000-0000E01A0000}"/>
    <cellStyle name="20% - Accent4 73 33 2 2" xfId="6883" xr:uid="{00000000-0005-0000-0000-0000E11A0000}"/>
    <cellStyle name="20% - Accent4 73 33 3" xfId="6884" xr:uid="{00000000-0005-0000-0000-0000E21A0000}"/>
    <cellStyle name="20% - Accent4 73 34" xfId="6885" xr:uid="{00000000-0005-0000-0000-0000E31A0000}"/>
    <cellStyle name="20% - Accent4 73 34 2" xfId="6886" xr:uid="{00000000-0005-0000-0000-0000E41A0000}"/>
    <cellStyle name="20% - Accent4 73 34 2 2" xfId="6887" xr:uid="{00000000-0005-0000-0000-0000E51A0000}"/>
    <cellStyle name="20% - Accent4 73 34 3" xfId="6888" xr:uid="{00000000-0005-0000-0000-0000E61A0000}"/>
    <cellStyle name="20% - Accent4 73 35" xfId="6889" xr:uid="{00000000-0005-0000-0000-0000E71A0000}"/>
    <cellStyle name="20% - Accent4 73 35 2" xfId="6890" xr:uid="{00000000-0005-0000-0000-0000E81A0000}"/>
    <cellStyle name="20% - Accent4 73 35 2 2" xfId="6891" xr:uid="{00000000-0005-0000-0000-0000E91A0000}"/>
    <cellStyle name="20% - Accent4 73 35 3" xfId="6892" xr:uid="{00000000-0005-0000-0000-0000EA1A0000}"/>
    <cellStyle name="20% - Accent4 73 36" xfId="6893" xr:uid="{00000000-0005-0000-0000-0000EB1A0000}"/>
    <cellStyle name="20% - Accent4 73 36 2" xfId="6894" xr:uid="{00000000-0005-0000-0000-0000EC1A0000}"/>
    <cellStyle name="20% - Accent4 73 36 2 2" xfId="6895" xr:uid="{00000000-0005-0000-0000-0000ED1A0000}"/>
    <cellStyle name="20% - Accent4 73 36 3" xfId="6896" xr:uid="{00000000-0005-0000-0000-0000EE1A0000}"/>
    <cellStyle name="20% - Accent4 73 4" xfId="6897" xr:uid="{00000000-0005-0000-0000-0000EF1A0000}"/>
    <cellStyle name="20% - Accent4 73 4 2" xfId="6898" xr:uid="{00000000-0005-0000-0000-0000F01A0000}"/>
    <cellStyle name="20% - Accent4 73 4 2 2" xfId="6899" xr:uid="{00000000-0005-0000-0000-0000F11A0000}"/>
    <cellStyle name="20% - Accent4 73 4 3" xfId="6900" xr:uid="{00000000-0005-0000-0000-0000F21A0000}"/>
    <cellStyle name="20% - Accent4 73 5" xfId="6901" xr:uid="{00000000-0005-0000-0000-0000F31A0000}"/>
    <cellStyle name="20% - Accent4 73 5 2" xfId="6902" xr:uid="{00000000-0005-0000-0000-0000F41A0000}"/>
    <cellStyle name="20% - Accent4 73 5 2 2" xfId="6903" xr:uid="{00000000-0005-0000-0000-0000F51A0000}"/>
    <cellStyle name="20% - Accent4 73 5 3" xfId="6904" xr:uid="{00000000-0005-0000-0000-0000F61A0000}"/>
    <cellStyle name="20% - Accent4 73 6" xfId="6905" xr:uid="{00000000-0005-0000-0000-0000F71A0000}"/>
    <cellStyle name="20% - Accent4 73 6 2" xfId="6906" xr:uid="{00000000-0005-0000-0000-0000F81A0000}"/>
    <cellStyle name="20% - Accent4 73 6 2 2" xfId="6907" xr:uid="{00000000-0005-0000-0000-0000F91A0000}"/>
    <cellStyle name="20% - Accent4 73 6 3" xfId="6908" xr:uid="{00000000-0005-0000-0000-0000FA1A0000}"/>
    <cellStyle name="20% - Accent4 73 7" xfId="6909" xr:uid="{00000000-0005-0000-0000-0000FB1A0000}"/>
    <cellStyle name="20% - Accent4 73 7 2" xfId="6910" xr:uid="{00000000-0005-0000-0000-0000FC1A0000}"/>
    <cellStyle name="20% - Accent4 73 7 2 2" xfId="6911" xr:uid="{00000000-0005-0000-0000-0000FD1A0000}"/>
    <cellStyle name="20% - Accent4 73 7 3" xfId="6912" xr:uid="{00000000-0005-0000-0000-0000FE1A0000}"/>
    <cellStyle name="20% - Accent4 73 8" xfId="6913" xr:uid="{00000000-0005-0000-0000-0000FF1A0000}"/>
    <cellStyle name="20% - Accent4 73 8 2" xfId="6914" xr:uid="{00000000-0005-0000-0000-0000001B0000}"/>
    <cellStyle name="20% - Accent4 73 8 2 2" xfId="6915" xr:uid="{00000000-0005-0000-0000-0000011B0000}"/>
    <cellStyle name="20% - Accent4 73 8 3" xfId="6916" xr:uid="{00000000-0005-0000-0000-0000021B0000}"/>
    <cellStyle name="20% - Accent4 73 9" xfId="6917" xr:uid="{00000000-0005-0000-0000-0000031B0000}"/>
    <cellStyle name="20% - Accent4 73 9 2" xfId="6918" xr:uid="{00000000-0005-0000-0000-0000041B0000}"/>
    <cellStyle name="20% - Accent4 73 9 2 2" xfId="6919" xr:uid="{00000000-0005-0000-0000-0000051B0000}"/>
    <cellStyle name="20% - Accent4 73 9 3" xfId="6920" xr:uid="{00000000-0005-0000-0000-0000061B0000}"/>
    <cellStyle name="20% - Accent4 74" xfId="6921" xr:uid="{00000000-0005-0000-0000-0000071B0000}"/>
    <cellStyle name="20% - Accent4 74 10" xfId="6922" xr:uid="{00000000-0005-0000-0000-0000081B0000}"/>
    <cellStyle name="20% - Accent4 74 10 2" xfId="6923" xr:uid="{00000000-0005-0000-0000-0000091B0000}"/>
    <cellStyle name="20% - Accent4 74 10 2 2" xfId="6924" xr:uid="{00000000-0005-0000-0000-00000A1B0000}"/>
    <cellStyle name="20% - Accent4 74 10 3" xfId="6925" xr:uid="{00000000-0005-0000-0000-00000B1B0000}"/>
    <cellStyle name="20% - Accent4 74 11" xfId="6926" xr:uid="{00000000-0005-0000-0000-00000C1B0000}"/>
    <cellStyle name="20% - Accent4 74 11 2" xfId="6927" xr:uid="{00000000-0005-0000-0000-00000D1B0000}"/>
    <cellStyle name="20% - Accent4 74 11 2 2" xfId="6928" xr:uid="{00000000-0005-0000-0000-00000E1B0000}"/>
    <cellStyle name="20% - Accent4 74 11 3" xfId="6929" xr:uid="{00000000-0005-0000-0000-00000F1B0000}"/>
    <cellStyle name="20% - Accent4 74 12" xfId="6930" xr:uid="{00000000-0005-0000-0000-0000101B0000}"/>
    <cellStyle name="20% - Accent4 74 12 2" xfId="6931" xr:uid="{00000000-0005-0000-0000-0000111B0000}"/>
    <cellStyle name="20% - Accent4 74 12 2 2" xfId="6932" xr:uid="{00000000-0005-0000-0000-0000121B0000}"/>
    <cellStyle name="20% - Accent4 74 12 3" xfId="6933" xr:uid="{00000000-0005-0000-0000-0000131B0000}"/>
    <cellStyle name="20% - Accent4 74 13" xfId="6934" xr:uid="{00000000-0005-0000-0000-0000141B0000}"/>
    <cellStyle name="20% - Accent4 74 13 2" xfId="6935" xr:uid="{00000000-0005-0000-0000-0000151B0000}"/>
    <cellStyle name="20% - Accent4 74 13 2 2" xfId="6936" xr:uid="{00000000-0005-0000-0000-0000161B0000}"/>
    <cellStyle name="20% - Accent4 74 13 3" xfId="6937" xr:uid="{00000000-0005-0000-0000-0000171B0000}"/>
    <cellStyle name="20% - Accent4 74 14" xfId="6938" xr:uid="{00000000-0005-0000-0000-0000181B0000}"/>
    <cellStyle name="20% - Accent4 74 14 2" xfId="6939" xr:uid="{00000000-0005-0000-0000-0000191B0000}"/>
    <cellStyle name="20% - Accent4 74 14 2 2" xfId="6940" xr:uid="{00000000-0005-0000-0000-00001A1B0000}"/>
    <cellStyle name="20% - Accent4 74 14 3" xfId="6941" xr:uid="{00000000-0005-0000-0000-00001B1B0000}"/>
    <cellStyle name="20% - Accent4 74 15" xfId="6942" xr:uid="{00000000-0005-0000-0000-00001C1B0000}"/>
    <cellStyle name="20% - Accent4 74 15 2" xfId="6943" xr:uid="{00000000-0005-0000-0000-00001D1B0000}"/>
    <cellStyle name="20% - Accent4 74 15 2 2" xfId="6944" xr:uid="{00000000-0005-0000-0000-00001E1B0000}"/>
    <cellStyle name="20% - Accent4 74 15 3" xfId="6945" xr:uid="{00000000-0005-0000-0000-00001F1B0000}"/>
    <cellStyle name="20% - Accent4 74 16" xfId="6946" xr:uid="{00000000-0005-0000-0000-0000201B0000}"/>
    <cellStyle name="20% - Accent4 74 16 2" xfId="6947" xr:uid="{00000000-0005-0000-0000-0000211B0000}"/>
    <cellStyle name="20% - Accent4 74 16 2 2" xfId="6948" xr:uid="{00000000-0005-0000-0000-0000221B0000}"/>
    <cellStyle name="20% - Accent4 74 16 3" xfId="6949" xr:uid="{00000000-0005-0000-0000-0000231B0000}"/>
    <cellStyle name="20% - Accent4 74 17" xfId="6950" xr:uid="{00000000-0005-0000-0000-0000241B0000}"/>
    <cellStyle name="20% - Accent4 74 17 2" xfId="6951" xr:uid="{00000000-0005-0000-0000-0000251B0000}"/>
    <cellStyle name="20% - Accent4 74 17 2 2" xfId="6952" xr:uid="{00000000-0005-0000-0000-0000261B0000}"/>
    <cellStyle name="20% - Accent4 74 17 3" xfId="6953" xr:uid="{00000000-0005-0000-0000-0000271B0000}"/>
    <cellStyle name="20% - Accent4 74 18" xfId="6954" xr:uid="{00000000-0005-0000-0000-0000281B0000}"/>
    <cellStyle name="20% - Accent4 74 18 2" xfId="6955" xr:uid="{00000000-0005-0000-0000-0000291B0000}"/>
    <cellStyle name="20% - Accent4 74 18 2 2" xfId="6956" xr:uid="{00000000-0005-0000-0000-00002A1B0000}"/>
    <cellStyle name="20% - Accent4 74 18 3" xfId="6957" xr:uid="{00000000-0005-0000-0000-00002B1B0000}"/>
    <cellStyle name="20% - Accent4 74 19" xfId="6958" xr:uid="{00000000-0005-0000-0000-00002C1B0000}"/>
    <cellStyle name="20% - Accent4 74 19 2" xfId="6959" xr:uid="{00000000-0005-0000-0000-00002D1B0000}"/>
    <cellStyle name="20% - Accent4 74 19 2 2" xfId="6960" xr:uid="{00000000-0005-0000-0000-00002E1B0000}"/>
    <cellStyle name="20% - Accent4 74 19 3" xfId="6961" xr:uid="{00000000-0005-0000-0000-00002F1B0000}"/>
    <cellStyle name="20% - Accent4 74 2" xfId="6962" xr:uid="{00000000-0005-0000-0000-0000301B0000}"/>
    <cellStyle name="20% - Accent4 74 2 2" xfId="6963" xr:uid="{00000000-0005-0000-0000-0000311B0000}"/>
    <cellStyle name="20% - Accent4 74 2 2 2" xfId="6964" xr:uid="{00000000-0005-0000-0000-0000321B0000}"/>
    <cellStyle name="20% - Accent4 74 2 3" xfId="6965" xr:uid="{00000000-0005-0000-0000-0000331B0000}"/>
    <cellStyle name="20% - Accent4 74 20" xfId="6966" xr:uid="{00000000-0005-0000-0000-0000341B0000}"/>
    <cellStyle name="20% - Accent4 74 20 2" xfId="6967" xr:uid="{00000000-0005-0000-0000-0000351B0000}"/>
    <cellStyle name="20% - Accent4 74 20 2 2" xfId="6968" xr:uid="{00000000-0005-0000-0000-0000361B0000}"/>
    <cellStyle name="20% - Accent4 74 20 3" xfId="6969" xr:uid="{00000000-0005-0000-0000-0000371B0000}"/>
    <cellStyle name="20% - Accent4 74 21" xfId="6970" xr:uid="{00000000-0005-0000-0000-0000381B0000}"/>
    <cellStyle name="20% - Accent4 74 21 2" xfId="6971" xr:uid="{00000000-0005-0000-0000-0000391B0000}"/>
    <cellStyle name="20% - Accent4 74 21 2 2" xfId="6972" xr:uid="{00000000-0005-0000-0000-00003A1B0000}"/>
    <cellStyle name="20% - Accent4 74 21 3" xfId="6973" xr:uid="{00000000-0005-0000-0000-00003B1B0000}"/>
    <cellStyle name="20% - Accent4 74 22" xfId="6974" xr:uid="{00000000-0005-0000-0000-00003C1B0000}"/>
    <cellStyle name="20% - Accent4 74 22 2" xfId="6975" xr:uid="{00000000-0005-0000-0000-00003D1B0000}"/>
    <cellStyle name="20% - Accent4 74 22 2 2" xfId="6976" xr:uid="{00000000-0005-0000-0000-00003E1B0000}"/>
    <cellStyle name="20% - Accent4 74 22 3" xfId="6977" xr:uid="{00000000-0005-0000-0000-00003F1B0000}"/>
    <cellStyle name="20% - Accent4 74 23" xfId="6978" xr:uid="{00000000-0005-0000-0000-0000401B0000}"/>
    <cellStyle name="20% - Accent4 74 23 2" xfId="6979" xr:uid="{00000000-0005-0000-0000-0000411B0000}"/>
    <cellStyle name="20% - Accent4 74 23 2 2" xfId="6980" xr:uid="{00000000-0005-0000-0000-0000421B0000}"/>
    <cellStyle name="20% - Accent4 74 23 3" xfId="6981" xr:uid="{00000000-0005-0000-0000-0000431B0000}"/>
    <cellStyle name="20% - Accent4 74 24" xfId="6982" xr:uid="{00000000-0005-0000-0000-0000441B0000}"/>
    <cellStyle name="20% - Accent4 74 24 2" xfId="6983" xr:uid="{00000000-0005-0000-0000-0000451B0000}"/>
    <cellStyle name="20% - Accent4 74 24 2 2" xfId="6984" xr:uid="{00000000-0005-0000-0000-0000461B0000}"/>
    <cellStyle name="20% - Accent4 74 24 3" xfId="6985" xr:uid="{00000000-0005-0000-0000-0000471B0000}"/>
    <cellStyle name="20% - Accent4 74 25" xfId="6986" xr:uid="{00000000-0005-0000-0000-0000481B0000}"/>
    <cellStyle name="20% - Accent4 74 25 2" xfId="6987" xr:uid="{00000000-0005-0000-0000-0000491B0000}"/>
    <cellStyle name="20% - Accent4 74 25 2 2" xfId="6988" xr:uid="{00000000-0005-0000-0000-00004A1B0000}"/>
    <cellStyle name="20% - Accent4 74 25 3" xfId="6989" xr:uid="{00000000-0005-0000-0000-00004B1B0000}"/>
    <cellStyle name="20% - Accent4 74 26" xfId="6990" xr:uid="{00000000-0005-0000-0000-00004C1B0000}"/>
    <cellStyle name="20% - Accent4 74 26 2" xfId="6991" xr:uid="{00000000-0005-0000-0000-00004D1B0000}"/>
    <cellStyle name="20% - Accent4 74 26 2 2" xfId="6992" xr:uid="{00000000-0005-0000-0000-00004E1B0000}"/>
    <cellStyle name="20% - Accent4 74 26 3" xfId="6993" xr:uid="{00000000-0005-0000-0000-00004F1B0000}"/>
    <cellStyle name="20% - Accent4 74 27" xfId="6994" xr:uid="{00000000-0005-0000-0000-0000501B0000}"/>
    <cellStyle name="20% - Accent4 74 27 2" xfId="6995" xr:uid="{00000000-0005-0000-0000-0000511B0000}"/>
    <cellStyle name="20% - Accent4 74 27 2 2" xfId="6996" xr:uid="{00000000-0005-0000-0000-0000521B0000}"/>
    <cellStyle name="20% - Accent4 74 27 3" xfId="6997" xr:uid="{00000000-0005-0000-0000-0000531B0000}"/>
    <cellStyle name="20% - Accent4 74 28" xfId="6998" xr:uid="{00000000-0005-0000-0000-0000541B0000}"/>
    <cellStyle name="20% - Accent4 74 28 2" xfId="6999" xr:uid="{00000000-0005-0000-0000-0000551B0000}"/>
    <cellStyle name="20% - Accent4 74 28 2 2" xfId="7000" xr:uid="{00000000-0005-0000-0000-0000561B0000}"/>
    <cellStyle name="20% - Accent4 74 28 3" xfId="7001" xr:uid="{00000000-0005-0000-0000-0000571B0000}"/>
    <cellStyle name="20% - Accent4 74 29" xfId="7002" xr:uid="{00000000-0005-0000-0000-0000581B0000}"/>
    <cellStyle name="20% - Accent4 74 29 2" xfId="7003" xr:uid="{00000000-0005-0000-0000-0000591B0000}"/>
    <cellStyle name="20% - Accent4 74 29 2 2" xfId="7004" xr:uid="{00000000-0005-0000-0000-00005A1B0000}"/>
    <cellStyle name="20% - Accent4 74 29 3" xfId="7005" xr:uid="{00000000-0005-0000-0000-00005B1B0000}"/>
    <cellStyle name="20% - Accent4 74 3" xfId="7006" xr:uid="{00000000-0005-0000-0000-00005C1B0000}"/>
    <cellStyle name="20% - Accent4 74 3 2" xfId="7007" xr:uid="{00000000-0005-0000-0000-00005D1B0000}"/>
    <cellStyle name="20% - Accent4 74 3 2 2" xfId="7008" xr:uid="{00000000-0005-0000-0000-00005E1B0000}"/>
    <cellStyle name="20% - Accent4 74 3 3" xfId="7009" xr:uid="{00000000-0005-0000-0000-00005F1B0000}"/>
    <cellStyle name="20% - Accent4 74 30" xfId="7010" xr:uid="{00000000-0005-0000-0000-0000601B0000}"/>
    <cellStyle name="20% - Accent4 74 30 2" xfId="7011" xr:uid="{00000000-0005-0000-0000-0000611B0000}"/>
    <cellStyle name="20% - Accent4 74 30 2 2" xfId="7012" xr:uid="{00000000-0005-0000-0000-0000621B0000}"/>
    <cellStyle name="20% - Accent4 74 30 3" xfId="7013" xr:uid="{00000000-0005-0000-0000-0000631B0000}"/>
    <cellStyle name="20% - Accent4 74 31" xfId="7014" xr:uid="{00000000-0005-0000-0000-0000641B0000}"/>
    <cellStyle name="20% - Accent4 74 31 2" xfId="7015" xr:uid="{00000000-0005-0000-0000-0000651B0000}"/>
    <cellStyle name="20% - Accent4 74 31 2 2" xfId="7016" xr:uid="{00000000-0005-0000-0000-0000661B0000}"/>
    <cellStyle name="20% - Accent4 74 31 3" xfId="7017" xr:uid="{00000000-0005-0000-0000-0000671B0000}"/>
    <cellStyle name="20% - Accent4 74 32" xfId="7018" xr:uid="{00000000-0005-0000-0000-0000681B0000}"/>
    <cellStyle name="20% - Accent4 74 32 2" xfId="7019" xr:uid="{00000000-0005-0000-0000-0000691B0000}"/>
    <cellStyle name="20% - Accent4 74 32 2 2" xfId="7020" xr:uid="{00000000-0005-0000-0000-00006A1B0000}"/>
    <cellStyle name="20% - Accent4 74 32 3" xfId="7021" xr:uid="{00000000-0005-0000-0000-00006B1B0000}"/>
    <cellStyle name="20% - Accent4 74 33" xfId="7022" xr:uid="{00000000-0005-0000-0000-00006C1B0000}"/>
    <cellStyle name="20% - Accent4 74 33 2" xfId="7023" xr:uid="{00000000-0005-0000-0000-00006D1B0000}"/>
    <cellStyle name="20% - Accent4 74 33 2 2" xfId="7024" xr:uid="{00000000-0005-0000-0000-00006E1B0000}"/>
    <cellStyle name="20% - Accent4 74 33 3" xfId="7025" xr:uid="{00000000-0005-0000-0000-00006F1B0000}"/>
    <cellStyle name="20% - Accent4 74 34" xfId="7026" xr:uid="{00000000-0005-0000-0000-0000701B0000}"/>
    <cellStyle name="20% - Accent4 74 34 2" xfId="7027" xr:uid="{00000000-0005-0000-0000-0000711B0000}"/>
    <cellStyle name="20% - Accent4 74 34 2 2" xfId="7028" xr:uid="{00000000-0005-0000-0000-0000721B0000}"/>
    <cellStyle name="20% - Accent4 74 34 3" xfId="7029" xr:uid="{00000000-0005-0000-0000-0000731B0000}"/>
    <cellStyle name="20% - Accent4 74 35" xfId="7030" xr:uid="{00000000-0005-0000-0000-0000741B0000}"/>
    <cellStyle name="20% - Accent4 74 35 2" xfId="7031" xr:uid="{00000000-0005-0000-0000-0000751B0000}"/>
    <cellStyle name="20% - Accent4 74 35 2 2" xfId="7032" xr:uid="{00000000-0005-0000-0000-0000761B0000}"/>
    <cellStyle name="20% - Accent4 74 35 3" xfId="7033" xr:uid="{00000000-0005-0000-0000-0000771B0000}"/>
    <cellStyle name="20% - Accent4 74 36" xfId="7034" xr:uid="{00000000-0005-0000-0000-0000781B0000}"/>
    <cellStyle name="20% - Accent4 74 36 2" xfId="7035" xr:uid="{00000000-0005-0000-0000-0000791B0000}"/>
    <cellStyle name="20% - Accent4 74 36 2 2" xfId="7036" xr:uid="{00000000-0005-0000-0000-00007A1B0000}"/>
    <cellStyle name="20% - Accent4 74 36 3" xfId="7037" xr:uid="{00000000-0005-0000-0000-00007B1B0000}"/>
    <cellStyle name="20% - Accent4 74 4" xfId="7038" xr:uid="{00000000-0005-0000-0000-00007C1B0000}"/>
    <cellStyle name="20% - Accent4 74 4 2" xfId="7039" xr:uid="{00000000-0005-0000-0000-00007D1B0000}"/>
    <cellStyle name="20% - Accent4 74 4 2 2" xfId="7040" xr:uid="{00000000-0005-0000-0000-00007E1B0000}"/>
    <cellStyle name="20% - Accent4 74 4 3" xfId="7041" xr:uid="{00000000-0005-0000-0000-00007F1B0000}"/>
    <cellStyle name="20% - Accent4 74 5" xfId="7042" xr:uid="{00000000-0005-0000-0000-0000801B0000}"/>
    <cellStyle name="20% - Accent4 74 5 2" xfId="7043" xr:uid="{00000000-0005-0000-0000-0000811B0000}"/>
    <cellStyle name="20% - Accent4 74 5 2 2" xfId="7044" xr:uid="{00000000-0005-0000-0000-0000821B0000}"/>
    <cellStyle name="20% - Accent4 74 5 3" xfId="7045" xr:uid="{00000000-0005-0000-0000-0000831B0000}"/>
    <cellStyle name="20% - Accent4 74 6" xfId="7046" xr:uid="{00000000-0005-0000-0000-0000841B0000}"/>
    <cellStyle name="20% - Accent4 74 6 2" xfId="7047" xr:uid="{00000000-0005-0000-0000-0000851B0000}"/>
    <cellStyle name="20% - Accent4 74 6 2 2" xfId="7048" xr:uid="{00000000-0005-0000-0000-0000861B0000}"/>
    <cellStyle name="20% - Accent4 74 6 3" xfId="7049" xr:uid="{00000000-0005-0000-0000-0000871B0000}"/>
    <cellStyle name="20% - Accent4 74 7" xfId="7050" xr:uid="{00000000-0005-0000-0000-0000881B0000}"/>
    <cellStyle name="20% - Accent4 74 7 2" xfId="7051" xr:uid="{00000000-0005-0000-0000-0000891B0000}"/>
    <cellStyle name="20% - Accent4 74 7 2 2" xfId="7052" xr:uid="{00000000-0005-0000-0000-00008A1B0000}"/>
    <cellStyle name="20% - Accent4 74 7 3" xfId="7053" xr:uid="{00000000-0005-0000-0000-00008B1B0000}"/>
    <cellStyle name="20% - Accent4 74 8" xfId="7054" xr:uid="{00000000-0005-0000-0000-00008C1B0000}"/>
    <cellStyle name="20% - Accent4 74 8 2" xfId="7055" xr:uid="{00000000-0005-0000-0000-00008D1B0000}"/>
    <cellStyle name="20% - Accent4 74 8 2 2" xfId="7056" xr:uid="{00000000-0005-0000-0000-00008E1B0000}"/>
    <cellStyle name="20% - Accent4 74 8 3" xfId="7057" xr:uid="{00000000-0005-0000-0000-00008F1B0000}"/>
    <cellStyle name="20% - Accent4 74 9" xfId="7058" xr:uid="{00000000-0005-0000-0000-0000901B0000}"/>
    <cellStyle name="20% - Accent4 74 9 2" xfId="7059" xr:uid="{00000000-0005-0000-0000-0000911B0000}"/>
    <cellStyle name="20% - Accent4 74 9 2 2" xfId="7060" xr:uid="{00000000-0005-0000-0000-0000921B0000}"/>
    <cellStyle name="20% - Accent4 74 9 3" xfId="7061" xr:uid="{00000000-0005-0000-0000-0000931B0000}"/>
    <cellStyle name="20% - Accent4 75" xfId="7062" xr:uid="{00000000-0005-0000-0000-0000941B0000}"/>
    <cellStyle name="20% - Accent4 75 10" xfId="7063" xr:uid="{00000000-0005-0000-0000-0000951B0000}"/>
    <cellStyle name="20% - Accent4 75 10 2" xfId="7064" xr:uid="{00000000-0005-0000-0000-0000961B0000}"/>
    <cellStyle name="20% - Accent4 75 10 2 2" xfId="7065" xr:uid="{00000000-0005-0000-0000-0000971B0000}"/>
    <cellStyle name="20% - Accent4 75 10 3" xfId="7066" xr:uid="{00000000-0005-0000-0000-0000981B0000}"/>
    <cellStyle name="20% - Accent4 75 11" xfId="7067" xr:uid="{00000000-0005-0000-0000-0000991B0000}"/>
    <cellStyle name="20% - Accent4 75 11 2" xfId="7068" xr:uid="{00000000-0005-0000-0000-00009A1B0000}"/>
    <cellStyle name="20% - Accent4 75 11 2 2" xfId="7069" xr:uid="{00000000-0005-0000-0000-00009B1B0000}"/>
    <cellStyle name="20% - Accent4 75 11 3" xfId="7070" xr:uid="{00000000-0005-0000-0000-00009C1B0000}"/>
    <cellStyle name="20% - Accent4 75 12" xfId="7071" xr:uid="{00000000-0005-0000-0000-00009D1B0000}"/>
    <cellStyle name="20% - Accent4 75 12 2" xfId="7072" xr:uid="{00000000-0005-0000-0000-00009E1B0000}"/>
    <cellStyle name="20% - Accent4 75 12 2 2" xfId="7073" xr:uid="{00000000-0005-0000-0000-00009F1B0000}"/>
    <cellStyle name="20% - Accent4 75 12 3" xfId="7074" xr:uid="{00000000-0005-0000-0000-0000A01B0000}"/>
    <cellStyle name="20% - Accent4 75 13" xfId="7075" xr:uid="{00000000-0005-0000-0000-0000A11B0000}"/>
    <cellStyle name="20% - Accent4 75 13 2" xfId="7076" xr:uid="{00000000-0005-0000-0000-0000A21B0000}"/>
    <cellStyle name="20% - Accent4 75 13 2 2" xfId="7077" xr:uid="{00000000-0005-0000-0000-0000A31B0000}"/>
    <cellStyle name="20% - Accent4 75 13 3" xfId="7078" xr:uid="{00000000-0005-0000-0000-0000A41B0000}"/>
    <cellStyle name="20% - Accent4 75 14" xfId="7079" xr:uid="{00000000-0005-0000-0000-0000A51B0000}"/>
    <cellStyle name="20% - Accent4 75 14 2" xfId="7080" xr:uid="{00000000-0005-0000-0000-0000A61B0000}"/>
    <cellStyle name="20% - Accent4 75 14 2 2" xfId="7081" xr:uid="{00000000-0005-0000-0000-0000A71B0000}"/>
    <cellStyle name="20% - Accent4 75 14 3" xfId="7082" xr:uid="{00000000-0005-0000-0000-0000A81B0000}"/>
    <cellStyle name="20% - Accent4 75 15" xfId="7083" xr:uid="{00000000-0005-0000-0000-0000A91B0000}"/>
    <cellStyle name="20% - Accent4 75 15 2" xfId="7084" xr:uid="{00000000-0005-0000-0000-0000AA1B0000}"/>
    <cellStyle name="20% - Accent4 75 15 2 2" xfId="7085" xr:uid="{00000000-0005-0000-0000-0000AB1B0000}"/>
    <cellStyle name="20% - Accent4 75 15 3" xfId="7086" xr:uid="{00000000-0005-0000-0000-0000AC1B0000}"/>
    <cellStyle name="20% - Accent4 75 16" xfId="7087" xr:uid="{00000000-0005-0000-0000-0000AD1B0000}"/>
    <cellStyle name="20% - Accent4 75 16 2" xfId="7088" xr:uid="{00000000-0005-0000-0000-0000AE1B0000}"/>
    <cellStyle name="20% - Accent4 75 16 2 2" xfId="7089" xr:uid="{00000000-0005-0000-0000-0000AF1B0000}"/>
    <cellStyle name="20% - Accent4 75 16 3" xfId="7090" xr:uid="{00000000-0005-0000-0000-0000B01B0000}"/>
    <cellStyle name="20% - Accent4 75 17" xfId="7091" xr:uid="{00000000-0005-0000-0000-0000B11B0000}"/>
    <cellStyle name="20% - Accent4 75 17 2" xfId="7092" xr:uid="{00000000-0005-0000-0000-0000B21B0000}"/>
    <cellStyle name="20% - Accent4 75 17 2 2" xfId="7093" xr:uid="{00000000-0005-0000-0000-0000B31B0000}"/>
    <cellStyle name="20% - Accent4 75 17 3" xfId="7094" xr:uid="{00000000-0005-0000-0000-0000B41B0000}"/>
    <cellStyle name="20% - Accent4 75 18" xfId="7095" xr:uid="{00000000-0005-0000-0000-0000B51B0000}"/>
    <cellStyle name="20% - Accent4 75 18 2" xfId="7096" xr:uid="{00000000-0005-0000-0000-0000B61B0000}"/>
    <cellStyle name="20% - Accent4 75 18 2 2" xfId="7097" xr:uid="{00000000-0005-0000-0000-0000B71B0000}"/>
    <cellStyle name="20% - Accent4 75 18 3" xfId="7098" xr:uid="{00000000-0005-0000-0000-0000B81B0000}"/>
    <cellStyle name="20% - Accent4 75 19" xfId="7099" xr:uid="{00000000-0005-0000-0000-0000B91B0000}"/>
    <cellStyle name="20% - Accent4 75 19 2" xfId="7100" xr:uid="{00000000-0005-0000-0000-0000BA1B0000}"/>
    <cellStyle name="20% - Accent4 75 19 2 2" xfId="7101" xr:uid="{00000000-0005-0000-0000-0000BB1B0000}"/>
    <cellStyle name="20% - Accent4 75 19 3" xfId="7102" xr:uid="{00000000-0005-0000-0000-0000BC1B0000}"/>
    <cellStyle name="20% - Accent4 75 2" xfId="7103" xr:uid="{00000000-0005-0000-0000-0000BD1B0000}"/>
    <cellStyle name="20% - Accent4 75 2 2" xfId="7104" xr:uid="{00000000-0005-0000-0000-0000BE1B0000}"/>
    <cellStyle name="20% - Accent4 75 2 2 2" xfId="7105" xr:uid="{00000000-0005-0000-0000-0000BF1B0000}"/>
    <cellStyle name="20% - Accent4 75 2 3" xfId="7106" xr:uid="{00000000-0005-0000-0000-0000C01B0000}"/>
    <cellStyle name="20% - Accent4 75 20" xfId="7107" xr:uid="{00000000-0005-0000-0000-0000C11B0000}"/>
    <cellStyle name="20% - Accent4 75 20 2" xfId="7108" xr:uid="{00000000-0005-0000-0000-0000C21B0000}"/>
    <cellStyle name="20% - Accent4 75 20 2 2" xfId="7109" xr:uid="{00000000-0005-0000-0000-0000C31B0000}"/>
    <cellStyle name="20% - Accent4 75 20 3" xfId="7110" xr:uid="{00000000-0005-0000-0000-0000C41B0000}"/>
    <cellStyle name="20% - Accent4 75 21" xfId="7111" xr:uid="{00000000-0005-0000-0000-0000C51B0000}"/>
    <cellStyle name="20% - Accent4 75 21 2" xfId="7112" xr:uid="{00000000-0005-0000-0000-0000C61B0000}"/>
    <cellStyle name="20% - Accent4 75 21 2 2" xfId="7113" xr:uid="{00000000-0005-0000-0000-0000C71B0000}"/>
    <cellStyle name="20% - Accent4 75 21 3" xfId="7114" xr:uid="{00000000-0005-0000-0000-0000C81B0000}"/>
    <cellStyle name="20% - Accent4 75 22" xfId="7115" xr:uid="{00000000-0005-0000-0000-0000C91B0000}"/>
    <cellStyle name="20% - Accent4 75 22 2" xfId="7116" xr:uid="{00000000-0005-0000-0000-0000CA1B0000}"/>
    <cellStyle name="20% - Accent4 75 22 2 2" xfId="7117" xr:uid="{00000000-0005-0000-0000-0000CB1B0000}"/>
    <cellStyle name="20% - Accent4 75 22 3" xfId="7118" xr:uid="{00000000-0005-0000-0000-0000CC1B0000}"/>
    <cellStyle name="20% - Accent4 75 23" xfId="7119" xr:uid="{00000000-0005-0000-0000-0000CD1B0000}"/>
    <cellStyle name="20% - Accent4 75 23 2" xfId="7120" xr:uid="{00000000-0005-0000-0000-0000CE1B0000}"/>
    <cellStyle name="20% - Accent4 75 23 2 2" xfId="7121" xr:uid="{00000000-0005-0000-0000-0000CF1B0000}"/>
    <cellStyle name="20% - Accent4 75 23 3" xfId="7122" xr:uid="{00000000-0005-0000-0000-0000D01B0000}"/>
    <cellStyle name="20% - Accent4 75 24" xfId="7123" xr:uid="{00000000-0005-0000-0000-0000D11B0000}"/>
    <cellStyle name="20% - Accent4 75 24 2" xfId="7124" xr:uid="{00000000-0005-0000-0000-0000D21B0000}"/>
    <cellStyle name="20% - Accent4 75 24 2 2" xfId="7125" xr:uid="{00000000-0005-0000-0000-0000D31B0000}"/>
    <cellStyle name="20% - Accent4 75 24 3" xfId="7126" xr:uid="{00000000-0005-0000-0000-0000D41B0000}"/>
    <cellStyle name="20% - Accent4 75 25" xfId="7127" xr:uid="{00000000-0005-0000-0000-0000D51B0000}"/>
    <cellStyle name="20% - Accent4 75 25 2" xfId="7128" xr:uid="{00000000-0005-0000-0000-0000D61B0000}"/>
    <cellStyle name="20% - Accent4 75 25 2 2" xfId="7129" xr:uid="{00000000-0005-0000-0000-0000D71B0000}"/>
    <cellStyle name="20% - Accent4 75 25 3" xfId="7130" xr:uid="{00000000-0005-0000-0000-0000D81B0000}"/>
    <cellStyle name="20% - Accent4 75 26" xfId="7131" xr:uid="{00000000-0005-0000-0000-0000D91B0000}"/>
    <cellStyle name="20% - Accent4 75 26 2" xfId="7132" xr:uid="{00000000-0005-0000-0000-0000DA1B0000}"/>
    <cellStyle name="20% - Accent4 75 26 2 2" xfId="7133" xr:uid="{00000000-0005-0000-0000-0000DB1B0000}"/>
    <cellStyle name="20% - Accent4 75 26 3" xfId="7134" xr:uid="{00000000-0005-0000-0000-0000DC1B0000}"/>
    <cellStyle name="20% - Accent4 75 27" xfId="7135" xr:uid="{00000000-0005-0000-0000-0000DD1B0000}"/>
    <cellStyle name="20% - Accent4 75 27 2" xfId="7136" xr:uid="{00000000-0005-0000-0000-0000DE1B0000}"/>
    <cellStyle name="20% - Accent4 75 27 2 2" xfId="7137" xr:uid="{00000000-0005-0000-0000-0000DF1B0000}"/>
    <cellStyle name="20% - Accent4 75 27 3" xfId="7138" xr:uid="{00000000-0005-0000-0000-0000E01B0000}"/>
    <cellStyle name="20% - Accent4 75 28" xfId="7139" xr:uid="{00000000-0005-0000-0000-0000E11B0000}"/>
    <cellStyle name="20% - Accent4 75 28 2" xfId="7140" xr:uid="{00000000-0005-0000-0000-0000E21B0000}"/>
    <cellStyle name="20% - Accent4 75 28 2 2" xfId="7141" xr:uid="{00000000-0005-0000-0000-0000E31B0000}"/>
    <cellStyle name="20% - Accent4 75 28 3" xfId="7142" xr:uid="{00000000-0005-0000-0000-0000E41B0000}"/>
    <cellStyle name="20% - Accent4 75 29" xfId="7143" xr:uid="{00000000-0005-0000-0000-0000E51B0000}"/>
    <cellStyle name="20% - Accent4 75 29 2" xfId="7144" xr:uid="{00000000-0005-0000-0000-0000E61B0000}"/>
    <cellStyle name="20% - Accent4 75 29 2 2" xfId="7145" xr:uid="{00000000-0005-0000-0000-0000E71B0000}"/>
    <cellStyle name="20% - Accent4 75 29 3" xfId="7146" xr:uid="{00000000-0005-0000-0000-0000E81B0000}"/>
    <cellStyle name="20% - Accent4 75 3" xfId="7147" xr:uid="{00000000-0005-0000-0000-0000E91B0000}"/>
    <cellStyle name="20% - Accent4 75 3 2" xfId="7148" xr:uid="{00000000-0005-0000-0000-0000EA1B0000}"/>
    <cellStyle name="20% - Accent4 75 3 2 2" xfId="7149" xr:uid="{00000000-0005-0000-0000-0000EB1B0000}"/>
    <cellStyle name="20% - Accent4 75 3 3" xfId="7150" xr:uid="{00000000-0005-0000-0000-0000EC1B0000}"/>
    <cellStyle name="20% - Accent4 75 30" xfId="7151" xr:uid="{00000000-0005-0000-0000-0000ED1B0000}"/>
    <cellStyle name="20% - Accent4 75 30 2" xfId="7152" xr:uid="{00000000-0005-0000-0000-0000EE1B0000}"/>
    <cellStyle name="20% - Accent4 75 30 2 2" xfId="7153" xr:uid="{00000000-0005-0000-0000-0000EF1B0000}"/>
    <cellStyle name="20% - Accent4 75 30 3" xfId="7154" xr:uid="{00000000-0005-0000-0000-0000F01B0000}"/>
    <cellStyle name="20% - Accent4 75 31" xfId="7155" xr:uid="{00000000-0005-0000-0000-0000F11B0000}"/>
    <cellStyle name="20% - Accent4 75 31 2" xfId="7156" xr:uid="{00000000-0005-0000-0000-0000F21B0000}"/>
    <cellStyle name="20% - Accent4 75 31 2 2" xfId="7157" xr:uid="{00000000-0005-0000-0000-0000F31B0000}"/>
    <cellStyle name="20% - Accent4 75 31 3" xfId="7158" xr:uid="{00000000-0005-0000-0000-0000F41B0000}"/>
    <cellStyle name="20% - Accent4 75 32" xfId="7159" xr:uid="{00000000-0005-0000-0000-0000F51B0000}"/>
    <cellStyle name="20% - Accent4 75 32 2" xfId="7160" xr:uid="{00000000-0005-0000-0000-0000F61B0000}"/>
    <cellStyle name="20% - Accent4 75 32 2 2" xfId="7161" xr:uid="{00000000-0005-0000-0000-0000F71B0000}"/>
    <cellStyle name="20% - Accent4 75 32 3" xfId="7162" xr:uid="{00000000-0005-0000-0000-0000F81B0000}"/>
    <cellStyle name="20% - Accent4 75 33" xfId="7163" xr:uid="{00000000-0005-0000-0000-0000F91B0000}"/>
    <cellStyle name="20% - Accent4 75 33 2" xfId="7164" xr:uid="{00000000-0005-0000-0000-0000FA1B0000}"/>
    <cellStyle name="20% - Accent4 75 33 2 2" xfId="7165" xr:uid="{00000000-0005-0000-0000-0000FB1B0000}"/>
    <cellStyle name="20% - Accent4 75 33 3" xfId="7166" xr:uid="{00000000-0005-0000-0000-0000FC1B0000}"/>
    <cellStyle name="20% - Accent4 75 34" xfId="7167" xr:uid="{00000000-0005-0000-0000-0000FD1B0000}"/>
    <cellStyle name="20% - Accent4 75 34 2" xfId="7168" xr:uid="{00000000-0005-0000-0000-0000FE1B0000}"/>
    <cellStyle name="20% - Accent4 75 34 2 2" xfId="7169" xr:uid="{00000000-0005-0000-0000-0000FF1B0000}"/>
    <cellStyle name="20% - Accent4 75 34 3" xfId="7170" xr:uid="{00000000-0005-0000-0000-0000001C0000}"/>
    <cellStyle name="20% - Accent4 75 35" xfId="7171" xr:uid="{00000000-0005-0000-0000-0000011C0000}"/>
    <cellStyle name="20% - Accent4 75 35 2" xfId="7172" xr:uid="{00000000-0005-0000-0000-0000021C0000}"/>
    <cellStyle name="20% - Accent4 75 35 2 2" xfId="7173" xr:uid="{00000000-0005-0000-0000-0000031C0000}"/>
    <cellStyle name="20% - Accent4 75 35 3" xfId="7174" xr:uid="{00000000-0005-0000-0000-0000041C0000}"/>
    <cellStyle name="20% - Accent4 75 36" xfId="7175" xr:uid="{00000000-0005-0000-0000-0000051C0000}"/>
    <cellStyle name="20% - Accent4 75 36 2" xfId="7176" xr:uid="{00000000-0005-0000-0000-0000061C0000}"/>
    <cellStyle name="20% - Accent4 75 36 2 2" xfId="7177" xr:uid="{00000000-0005-0000-0000-0000071C0000}"/>
    <cellStyle name="20% - Accent4 75 36 3" xfId="7178" xr:uid="{00000000-0005-0000-0000-0000081C0000}"/>
    <cellStyle name="20% - Accent4 75 4" xfId="7179" xr:uid="{00000000-0005-0000-0000-0000091C0000}"/>
    <cellStyle name="20% - Accent4 75 4 2" xfId="7180" xr:uid="{00000000-0005-0000-0000-00000A1C0000}"/>
    <cellStyle name="20% - Accent4 75 4 2 2" xfId="7181" xr:uid="{00000000-0005-0000-0000-00000B1C0000}"/>
    <cellStyle name="20% - Accent4 75 4 3" xfId="7182" xr:uid="{00000000-0005-0000-0000-00000C1C0000}"/>
    <cellStyle name="20% - Accent4 75 5" xfId="7183" xr:uid="{00000000-0005-0000-0000-00000D1C0000}"/>
    <cellStyle name="20% - Accent4 75 5 2" xfId="7184" xr:uid="{00000000-0005-0000-0000-00000E1C0000}"/>
    <cellStyle name="20% - Accent4 75 5 2 2" xfId="7185" xr:uid="{00000000-0005-0000-0000-00000F1C0000}"/>
    <cellStyle name="20% - Accent4 75 5 3" xfId="7186" xr:uid="{00000000-0005-0000-0000-0000101C0000}"/>
    <cellStyle name="20% - Accent4 75 6" xfId="7187" xr:uid="{00000000-0005-0000-0000-0000111C0000}"/>
    <cellStyle name="20% - Accent4 75 6 2" xfId="7188" xr:uid="{00000000-0005-0000-0000-0000121C0000}"/>
    <cellStyle name="20% - Accent4 75 6 2 2" xfId="7189" xr:uid="{00000000-0005-0000-0000-0000131C0000}"/>
    <cellStyle name="20% - Accent4 75 6 3" xfId="7190" xr:uid="{00000000-0005-0000-0000-0000141C0000}"/>
    <cellStyle name="20% - Accent4 75 7" xfId="7191" xr:uid="{00000000-0005-0000-0000-0000151C0000}"/>
    <cellStyle name="20% - Accent4 75 7 2" xfId="7192" xr:uid="{00000000-0005-0000-0000-0000161C0000}"/>
    <cellStyle name="20% - Accent4 75 7 2 2" xfId="7193" xr:uid="{00000000-0005-0000-0000-0000171C0000}"/>
    <cellStyle name="20% - Accent4 75 7 3" xfId="7194" xr:uid="{00000000-0005-0000-0000-0000181C0000}"/>
    <cellStyle name="20% - Accent4 75 8" xfId="7195" xr:uid="{00000000-0005-0000-0000-0000191C0000}"/>
    <cellStyle name="20% - Accent4 75 8 2" xfId="7196" xr:uid="{00000000-0005-0000-0000-00001A1C0000}"/>
    <cellStyle name="20% - Accent4 75 8 2 2" xfId="7197" xr:uid="{00000000-0005-0000-0000-00001B1C0000}"/>
    <cellStyle name="20% - Accent4 75 8 3" xfId="7198" xr:uid="{00000000-0005-0000-0000-00001C1C0000}"/>
    <cellStyle name="20% - Accent4 75 9" xfId="7199" xr:uid="{00000000-0005-0000-0000-00001D1C0000}"/>
    <cellStyle name="20% - Accent4 75 9 2" xfId="7200" xr:uid="{00000000-0005-0000-0000-00001E1C0000}"/>
    <cellStyle name="20% - Accent4 75 9 2 2" xfId="7201" xr:uid="{00000000-0005-0000-0000-00001F1C0000}"/>
    <cellStyle name="20% - Accent4 75 9 3" xfId="7202" xr:uid="{00000000-0005-0000-0000-0000201C0000}"/>
    <cellStyle name="20% - Accent4 76" xfId="7203" xr:uid="{00000000-0005-0000-0000-0000211C0000}"/>
    <cellStyle name="20% - Accent4 76 10" xfId="7204" xr:uid="{00000000-0005-0000-0000-0000221C0000}"/>
    <cellStyle name="20% - Accent4 76 10 2" xfId="7205" xr:uid="{00000000-0005-0000-0000-0000231C0000}"/>
    <cellStyle name="20% - Accent4 76 10 2 2" xfId="7206" xr:uid="{00000000-0005-0000-0000-0000241C0000}"/>
    <cellStyle name="20% - Accent4 76 10 3" xfId="7207" xr:uid="{00000000-0005-0000-0000-0000251C0000}"/>
    <cellStyle name="20% - Accent4 76 11" xfId="7208" xr:uid="{00000000-0005-0000-0000-0000261C0000}"/>
    <cellStyle name="20% - Accent4 76 11 2" xfId="7209" xr:uid="{00000000-0005-0000-0000-0000271C0000}"/>
    <cellStyle name="20% - Accent4 76 11 2 2" xfId="7210" xr:uid="{00000000-0005-0000-0000-0000281C0000}"/>
    <cellStyle name="20% - Accent4 76 11 3" xfId="7211" xr:uid="{00000000-0005-0000-0000-0000291C0000}"/>
    <cellStyle name="20% - Accent4 76 12" xfId="7212" xr:uid="{00000000-0005-0000-0000-00002A1C0000}"/>
    <cellStyle name="20% - Accent4 76 12 2" xfId="7213" xr:uid="{00000000-0005-0000-0000-00002B1C0000}"/>
    <cellStyle name="20% - Accent4 76 12 2 2" xfId="7214" xr:uid="{00000000-0005-0000-0000-00002C1C0000}"/>
    <cellStyle name="20% - Accent4 76 12 3" xfId="7215" xr:uid="{00000000-0005-0000-0000-00002D1C0000}"/>
    <cellStyle name="20% - Accent4 76 13" xfId="7216" xr:uid="{00000000-0005-0000-0000-00002E1C0000}"/>
    <cellStyle name="20% - Accent4 76 13 2" xfId="7217" xr:uid="{00000000-0005-0000-0000-00002F1C0000}"/>
    <cellStyle name="20% - Accent4 76 13 2 2" xfId="7218" xr:uid="{00000000-0005-0000-0000-0000301C0000}"/>
    <cellStyle name="20% - Accent4 76 13 3" xfId="7219" xr:uid="{00000000-0005-0000-0000-0000311C0000}"/>
    <cellStyle name="20% - Accent4 76 14" xfId="7220" xr:uid="{00000000-0005-0000-0000-0000321C0000}"/>
    <cellStyle name="20% - Accent4 76 14 2" xfId="7221" xr:uid="{00000000-0005-0000-0000-0000331C0000}"/>
    <cellStyle name="20% - Accent4 76 14 2 2" xfId="7222" xr:uid="{00000000-0005-0000-0000-0000341C0000}"/>
    <cellStyle name="20% - Accent4 76 14 3" xfId="7223" xr:uid="{00000000-0005-0000-0000-0000351C0000}"/>
    <cellStyle name="20% - Accent4 76 15" xfId="7224" xr:uid="{00000000-0005-0000-0000-0000361C0000}"/>
    <cellStyle name="20% - Accent4 76 15 2" xfId="7225" xr:uid="{00000000-0005-0000-0000-0000371C0000}"/>
    <cellStyle name="20% - Accent4 76 15 2 2" xfId="7226" xr:uid="{00000000-0005-0000-0000-0000381C0000}"/>
    <cellStyle name="20% - Accent4 76 15 3" xfId="7227" xr:uid="{00000000-0005-0000-0000-0000391C0000}"/>
    <cellStyle name="20% - Accent4 76 16" xfId="7228" xr:uid="{00000000-0005-0000-0000-00003A1C0000}"/>
    <cellStyle name="20% - Accent4 76 16 2" xfId="7229" xr:uid="{00000000-0005-0000-0000-00003B1C0000}"/>
    <cellStyle name="20% - Accent4 76 16 2 2" xfId="7230" xr:uid="{00000000-0005-0000-0000-00003C1C0000}"/>
    <cellStyle name="20% - Accent4 76 16 3" xfId="7231" xr:uid="{00000000-0005-0000-0000-00003D1C0000}"/>
    <cellStyle name="20% - Accent4 76 17" xfId="7232" xr:uid="{00000000-0005-0000-0000-00003E1C0000}"/>
    <cellStyle name="20% - Accent4 76 17 2" xfId="7233" xr:uid="{00000000-0005-0000-0000-00003F1C0000}"/>
    <cellStyle name="20% - Accent4 76 17 2 2" xfId="7234" xr:uid="{00000000-0005-0000-0000-0000401C0000}"/>
    <cellStyle name="20% - Accent4 76 17 3" xfId="7235" xr:uid="{00000000-0005-0000-0000-0000411C0000}"/>
    <cellStyle name="20% - Accent4 76 18" xfId="7236" xr:uid="{00000000-0005-0000-0000-0000421C0000}"/>
    <cellStyle name="20% - Accent4 76 18 2" xfId="7237" xr:uid="{00000000-0005-0000-0000-0000431C0000}"/>
    <cellStyle name="20% - Accent4 76 18 2 2" xfId="7238" xr:uid="{00000000-0005-0000-0000-0000441C0000}"/>
    <cellStyle name="20% - Accent4 76 18 3" xfId="7239" xr:uid="{00000000-0005-0000-0000-0000451C0000}"/>
    <cellStyle name="20% - Accent4 76 19" xfId="7240" xr:uid="{00000000-0005-0000-0000-0000461C0000}"/>
    <cellStyle name="20% - Accent4 76 19 2" xfId="7241" xr:uid="{00000000-0005-0000-0000-0000471C0000}"/>
    <cellStyle name="20% - Accent4 76 19 2 2" xfId="7242" xr:uid="{00000000-0005-0000-0000-0000481C0000}"/>
    <cellStyle name="20% - Accent4 76 19 3" xfId="7243" xr:uid="{00000000-0005-0000-0000-0000491C0000}"/>
    <cellStyle name="20% - Accent4 76 2" xfId="7244" xr:uid="{00000000-0005-0000-0000-00004A1C0000}"/>
    <cellStyle name="20% - Accent4 76 2 2" xfId="7245" xr:uid="{00000000-0005-0000-0000-00004B1C0000}"/>
    <cellStyle name="20% - Accent4 76 2 2 2" xfId="7246" xr:uid="{00000000-0005-0000-0000-00004C1C0000}"/>
    <cellStyle name="20% - Accent4 76 2 3" xfId="7247" xr:uid="{00000000-0005-0000-0000-00004D1C0000}"/>
    <cellStyle name="20% - Accent4 76 20" xfId="7248" xr:uid="{00000000-0005-0000-0000-00004E1C0000}"/>
    <cellStyle name="20% - Accent4 76 20 2" xfId="7249" xr:uid="{00000000-0005-0000-0000-00004F1C0000}"/>
    <cellStyle name="20% - Accent4 76 20 2 2" xfId="7250" xr:uid="{00000000-0005-0000-0000-0000501C0000}"/>
    <cellStyle name="20% - Accent4 76 20 3" xfId="7251" xr:uid="{00000000-0005-0000-0000-0000511C0000}"/>
    <cellStyle name="20% - Accent4 76 21" xfId="7252" xr:uid="{00000000-0005-0000-0000-0000521C0000}"/>
    <cellStyle name="20% - Accent4 76 21 2" xfId="7253" xr:uid="{00000000-0005-0000-0000-0000531C0000}"/>
    <cellStyle name="20% - Accent4 76 21 2 2" xfId="7254" xr:uid="{00000000-0005-0000-0000-0000541C0000}"/>
    <cellStyle name="20% - Accent4 76 21 3" xfId="7255" xr:uid="{00000000-0005-0000-0000-0000551C0000}"/>
    <cellStyle name="20% - Accent4 76 22" xfId="7256" xr:uid="{00000000-0005-0000-0000-0000561C0000}"/>
    <cellStyle name="20% - Accent4 76 22 2" xfId="7257" xr:uid="{00000000-0005-0000-0000-0000571C0000}"/>
    <cellStyle name="20% - Accent4 76 22 2 2" xfId="7258" xr:uid="{00000000-0005-0000-0000-0000581C0000}"/>
    <cellStyle name="20% - Accent4 76 22 3" xfId="7259" xr:uid="{00000000-0005-0000-0000-0000591C0000}"/>
    <cellStyle name="20% - Accent4 76 23" xfId="7260" xr:uid="{00000000-0005-0000-0000-00005A1C0000}"/>
    <cellStyle name="20% - Accent4 76 23 2" xfId="7261" xr:uid="{00000000-0005-0000-0000-00005B1C0000}"/>
    <cellStyle name="20% - Accent4 76 23 2 2" xfId="7262" xr:uid="{00000000-0005-0000-0000-00005C1C0000}"/>
    <cellStyle name="20% - Accent4 76 23 3" xfId="7263" xr:uid="{00000000-0005-0000-0000-00005D1C0000}"/>
    <cellStyle name="20% - Accent4 76 24" xfId="7264" xr:uid="{00000000-0005-0000-0000-00005E1C0000}"/>
    <cellStyle name="20% - Accent4 76 24 2" xfId="7265" xr:uid="{00000000-0005-0000-0000-00005F1C0000}"/>
    <cellStyle name="20% - Accent4 76 24 2 2" xfId="7266" xr:uid="{00000000-0005-0000-0000-0000601C0000}"/>
    <cellStyle name="20% - Accent4 76 24 3" xfId="7267" xr:uid="{00000000-0005-0000-0000-0000611C0000}"/>
    <cellStyle name="20% - Accent4 76 25" xfId="7268" xr:uid="{00000000-0005-0000-0000-0000621C0000}"/>
    <cellStyle name="20% - Accent4 76 25 2" xfId="7269" xr:uid="{00000000-0005-0000-0000-0000631C0000}"/>
    <cellStyle name="20% - Accent4 76 25 2 2" xfId="7270" xr:uid="{00000000-0005-0000-0000-0000641C0000}"/>
    <cellStyle name="20% - Accent4 76 25 3" xfId="7271" xr:uid="{00000000-0005-0000-0000-0000651C0000}"/>
    <cellStyle name="20% - Accent4 76 26" xfId="7272" xr:uid="{00000000-0005-0000-0000-0000661C0000}"/>
    <cellStyle name="20% - Accent4 76 26 2" xfId="7273" xr:uid="{00000000-0005-0000-0000-0000671C0000}"/>
    <cellStyle name="20% - Accent4 76 26 2 2" xfId="7274" xr:uid="{00000000-0005-0000-0000-0000681C0000}"/>
    <cellStyle name="20% - Accent4 76 26 3" xfId="7275" xr:uid="{00000000-0005-0000-0000-0000691C0000}"/>
    <cellStyle name="20% - Accent4 76 27" xfId="7276" xr:uid="{00000000-0005-0000-0000-00006A1C0000}"/>
    <cellStyle name="20% - Accent4 76 27 2" xfId="7277" xr:uid="{00000000-0005-0000-0000-00006B1C0000}"/>
    <cellStyle name="20% - Accent4 76 27 2 2" xfId="7278" xr:uid="{00000000-0005-0000-0000-00006C1C0000}"/>
    <cellStyle name="20% - Accent4 76 27 3" xfId="7279" xr:uid="{00000000-0005-0000-0000-00006D1C0000}"/>
    <cellStyle name="20% - Accent4 76 28" xfId="7280" xr:uid="{00000000-0005-0000-0000-00006E1C0000}"/>
    <cellStyle name="20% - Accent4 76 28 2" xfId="7281" xr:uid="{00000000-0005-0000-0000-00006F1C0000}"/>
    <cellStyle name="20% - Accent4 76 28 2 2" xfId="7282" xr:uid="{00000000-0005-0000-0000-0000701C0000}"/>
    <cellStyle name="20% - Accent4 76 28 3" xfId="7283" xr:uid="{00000000-0005-0000-0000-0000711C0000}"/>
    <cellStyle name="20% - Accent4 76 29" xfId="7284" xr:uid="{00000000-0005-0000-0000-0000721C0000}"/>
    <cellStyle name="20% - Accent4 76 29 2" xfId="7285" xr:uid="{00000000-0005-0000-0000-0000731C0000}"/>
    <cellStyle name="20% - Accent4 76 29 2 2" xfId="7286" xr:uid="{00000000-0005-0000-0000-0000741C0000}"/>
    <cellStyle name="20% - Accent4 76 29 3" xfId="7287" xr:uid="{00000000-0005-0000-0000-0000751C0000}"/>
    <cellStyle name="20% - Accent4 76 3" xfId="7288" xr:uid="{00000000-0005-0000-0000-0000761C0000}"/>
    <cellStyle name="20% - Accent4 76 3 2" xfId="7289" xr:uid="{00000000-0005-0000-0000-0000771C0000}"/>
    <cellStyle name="20% - Accent4 76 3 2 2" xfId="7290" xr:uid="{00000000-0005-0000-0000-0000781C0000}"/>
    <cellStyle name="20% - Accent4 76 3 3" xfId="7291" xr:uid="{00000000-0005-0000-0000-0000791C0000}"/>
    <cellStyle name="20% - Accent4 76 30" xfId="7292" xr:uid="{00000000-0005-0000-0000-00007A1C0000}"/>
    <cellStyle name="20% - Accent4 76 30 2" xfId="7293" xr:uid="{00000000-0005-0000-0000-00007B1C0000}"/>
    <cellStyle name="20% - Accent4 76 30 2 2" xfId="7294" xr:uid="{00000000-0005-0000-0000-00007C1C0000}"/>
    <cellStyle name="20% - Accent4 76 30 3" xfId="7295" xr:uid="{00000000-0005-0000-0000-00007D1C0000}"/>
    <cellStyle name="20% - Accent4 76 31" xfId="7296" xr:uid="{00000000-0005-0000-0000-00007E1C0000}"/>
    <cellStyle name="20% - Accent4 76 31 2" xfId="7297" xr:uid="{00000000-0005-0000-0000-00007F1C0000}"/>
    <cellStyle name="20% - Accent4 76 31 2 2" xfId="7298" xr:uid="{00000000-0005-0000-0000-0000801C0000}"/>
    <cellStyle name="20% - Accent4 76 31 3" xfId="7299" xr:uid="{00000000-0005-0000-0000-0000811C0000}"/>
    <cellStyle name="20% - Accent4 76 32" xfId="7300" xr:uid="{00000000-0005-0000-0000-0000821C0000}"/>
    <cellStyle name="20% - Accent4 76 32 2" xfId="7301" xr:uid="{00000000-0005-0000-0000-0000831C0000}"/>
    <cellStyle name="20% - Accent4 76 32 2 2" xfId="7302" xr:uid="{00000000-0005-0000-0000-0000841C0000}"/>
    <cellStyle name="20% - Accent4 76 32 3" xfId="7303" xr:uid="{00000000-0005-0000-0000-0000851C0000}"/>
    <cellStyle name="20% - Accent4 76 33" xfId="7304" xr:uid="{00000000-0005-0000-0000-0000861C0000}"/>
    <cellStyle name="20% - Accent4 76 33 2" xfId="7305" xr:uid="{00000000-0005-0000-0000-0000871C0000}"/>
    <cellStyle name="20% - Accent4 76 33 2 2" xfId="7306" xr:uid="{00000000-0005-0000-0000-0000881C0000}"/>
    <cellStyle name="20% - Accent4 76 33 3" xfId="7307" xr:uid="{00000000-0005-0000-0000-0000891C0000}"/>
    <cellStyle name="20% - Accent4 76 34" xfId="7308" xr:uid="{00000000-0005-0000-0000-00008A1C0000}"/>
    <cellStyle name="20% - Accent4 76 34 2" xfId="7309" xr:uid="{00000000-0005-0000-0000-00008B1C0000}"/>
    <cellStyle name="20% - Accent4 76 34 2 2" xfId="7310" xr:uid="{00000000-0005-0000-0000-00008C1C0000}"/>
    <cellStyle name="20% - Accent4 76 34 3" xfId="7311" xr:uid="{00000000-0005-0000-0000-00008D1C0000}"/>
    <cellStyle name="20% - Accent4 76 35" xfId="7312" xr:uid="{00000000-0005-0000-0000-00008E1C0000}"/>
    <cellStyle name="20% - Accent4 76 35 2" xfId="7313" xr:uid="{00000000-0005-0000-0000-00008F1C0000}"/>
    <cellStyle name="20% - Accent4 76 35 2 2" xfId="7314" xr:uid="{00000000-0005-0000-0000-0000901C0000}"/>
    <cellStyle name="20% - Accent4 76 35 3" xfId="7315" xr:uid="{00000000-0005-0000-0000-0000911C0000}"/>
    <cellStyle name="20% - Accent4 76 36" xfId="7316" xr:uid="{00000000-0005-0000-0000-0000921C0000}"/>
    <cellStyle name="20% - Accent4 76 36 2" xfId="7317" xr:uid="{00000000-0005-0000-0000-0000931C0000}"/>
    <cellStyle name="20% - Accent4 76 36 2 2" xfId="7318" xr:uid="{00000000-0005-0000-0000-0000941C0000}"/>
    <cellStyle name="20% - Accent4 76 36 3" xfId="7319" xr:uid="{00000000-0005-0000-0000-0000951C0000}"/>
    <cellStyle name="20% - Accent4 76 4" xfId="7320" xr:uid="{00000000-0005-0000-0000-0000961C0000}"/>
    <cellStyle name="20% - Accent4 76 4 2" xfId="7321" xr:uid="{00000000-0005-0000-0000-0000971C0000}"/>
    <cellStyle name="20% - Accent4 76 4 2 2" xfId="7322" xr:uid="{00000000-0005-0000-0000-0000981C0000}"/>
    <cellStyle name="20% - Accent4 76 4 3" xfId="7323" xr:uid="{00000000-0005-0000-0000-0000991C0000}"/>
    <cellStyle name="20% - Accent4 76 5" xfId="7324" xr:uid="{00000000-0005-0000-0000-00009A1C0000}"/>
    <cellStyle name="20% - Accent4 76 5 2" xfId="7325" xr:uid="{00000000-0005-0000-0000-00009B1C0000}"/>
    <cellStyle name="20% - Accent4 76 5 2 2" xfId="7326" xr:uid="{00000000-0005-0000-0000-00009C1C0000}"/>
    <cellStyle name="20% - Accent4 76 5 3" xfId="7327" xr:uid="{00000000-0005-0000-0000-00009D1C0000}"/>
    <cellStyle name="20% - Accent4 76 6" xfId="7328" xr:uid="{00000000-0005-0000-0000-00009E1C0000}"/>
    <cellStyle name="20% - Accent4 76 6 2" xfId="7329" xr:uid="{00000000-0005-0000-0000-00009F1C0000}"/>
    <cellStyle name="20% - Accent4 76 6 2 2" xfId="7330" xr:uid="{00000000-0005-0000-0000-0000A01C0000}"/>
    <cellStyle name="20% - Accent4 76 6 3" xfId="7331" xr:uid="{00000000-0005-0000-0000-0000A11C0000}"/>
    <cellStyle name="20% - Accent4 76 7" xfId="7332" xr:uid="{00000000-0005-0000-0000-0000A21C0000}"/>
    <cellStyle name="20% - Accent4 76 7 2" xfId="7333" xr:uid="{00000000-0005-0000-0000-0000A31C0000}"/>
    <cellStyle name="20% - Accent4 76 7 2 2" xfId="7334" xr:uid="{00000000-0005-0000-0000-0000A41C0000}"/>
    <cellStyle name="20% - Accent4 76 7 3" xfId="7335" xr:uid="{00000000-0005-0000-0000-0000A51C0000}"/>
    <cellStyle name="20% - Accent4 76 8" xfId="7336" xr:uid="{00000000-0005-0000-0000-0000A61C0000}"/>
    <cellStyle name="20% - Accent4 76 8 2" xfId="7337" xr:uid="{00000000-0005-0000-0000-0000A71C0000}"/>
    <cellStyle name="20% - Accent4 76 8 2 2" xfId="7338" xr:uid="{00000000-0005-0000-0000-0000A81C0000}"/>
    <cellStyle name="20% - Accent4 76 8 3" xfId="7339" xr:uid="{00000000-0005-0000-0000-0000A91C0000}"/>
    <cellStyle name="20% - Accent4 76 9" xfId="7340" xr:uid="{00000000-0005-0000-0000-0000AA1C0000}"/>
    <cellStyle name="20% - Accent4 76 9 2" xfId="7341" xr:uid="{00000000-0005-0000-0000-0000AB1C0000}"/>
    <cellStyle name="20% - Accent4 76 9 2 2" xfId="7342" xr:uid="{00000000-0005-0000-0000-0000AC1C0000}"/>
    <cellStyle name="20% - Accent4 76 9 3" xfId="7343" xr:uid="{00000000-0005-0000-0000-0000AD1C0000}"/>
    <cellStyle name="20% - Accent4 77" xfId="7344" xr:uid="{00000000-0005-0000-0000-0000AE1C0000}"/>
    <cellStyle name="20% - Accent4 77 10" xfId="7345" xr:uid="{00000000-0005-0000-0000-0000AF1C0000}"/>
    <cellStyle name="20% - Accent4 77 10 2" xfId="7346" xr:uid="{00000000-0005-0000-0000-0000B01C0000}"/>
    <cellStyle name="20% - Accent4 77 10 2 2" xfId="7347" xr:uid="{00000000-0005-0000-0000-0000B11C0000}"/>
    <cellStyle name="20% - Accent4 77 10 3" xfId="7348" xr:uid="{00000000-0005-0000-0000-0000B21C0000}"/>
    <cellStyle name="20% - Accent4 77 11" xfId="7349" xr:uid="{00000000-0005-0000-0000-0000B31C0000}"/>
    <cellStyle name="20% - Accent4 77 11 2" xfId="7350" xr:uid="{00000000-0005-0000-0000-0000B41C0000}"/>
    <cellStyle name="20% - Accent4 77 11 2 2" xfId="7351" xr:uid="{00000000-0005-0000-0000-0000B51C0000}"/>
    <cellStyle name="20% - Accent4 77 11 3" xfId="7352" xr:uid="{00000000-0005-0000-0000-0000B61C0000}"/>
    <cellStyle name="20% - Accent4 77 12" xfId="7353" xr:uid="{00000000-0005-0000-0000-0000B71C0000}"/>
    <cellStyle name="20% - Accent4 77 12 2" xfId="7354" xr:uid="{00000000-0005-0000-0000-0000B81C0000}"/>
    <cellStyle name="20% - Accent4 77 12 2 2" xfId="7355" xr:uid="{00000000-0005-0000-0000-0000B91C0000}"/>
    <cellStyle name="20% - Accent4 77 12 3" xfId="7356" xr:uid="{00000000-0005-0000-0000-0000BA1C0000}"/>
    <cellStyle name="20% - Accent4 77 13" xfId="7357" xr:uid="{00000000-0005-0000-0000-0000BB1C0000}"/>
    <cellStyle name="20% - Accent4 77 13 2" xfId="7358" xr:uid="{00000000-0005-0000-0000-0000BC1C0000}"/>
    <cellStyle name="20% - Accent4 77 13 2 2" xfId="7359" xr:uid="{00000000-0005-0000-0000-0000BD1C0000}"/>
    <cellStyle name="20% - Accent4 77 13 3" xfId="7360" xr:uid="{00000000-0005-0000-0000-0000BE1C0000}"/>
    <cellStyle name="20% - Accent4 77 14" xfId="7361" xr:uid="{00000000-0005-0000-0000-0000BF1C0000}"/>
    <cellStyle name="20% - Accent4 77 14 2" xfId="7362" xr:uid="{00000000-0005-0000-0000-0000C01C0000}"/>
    <cellStyle name="20% - Accent4 77 14 2 2" xfId="7363" xr:uid="{00000000-0005-0000-0000-0000C11C0000}"/>
    <cellStyle name="20% - Accent4 77 14 3" xfId="7364" xr:uid="{00000000-0005-0000-0000-0000C21C0000}"/>
    <cellStyle name="20% - Accent4 77 15" xfId="7365" xr:uid="{00000000-0005-0000-0000-0000C31C0000}"/>
    <cellStyle name="20% - Accent4 77 15 2" xfId="7366" xr:uid="{00000000-0005-0000-0000-0000C41C0000}"/>
    <cellStyle name="20% - Accent4 77 15 2 2" xfId="7367" xr:uid="{00000000-0005-0000-0000-0000C51C0000}"/>
    <cellStyle name="20% - Accent4 77 15 3" xfId="7368" xr:uid="{00000000-0005-0000-0000-0000C61C0000}"/>
    <cellStyle name="20% - Accent4 77 16" xfId="7369" xr:uid="{00000000-0005-0000-0000-0000C71C0000}"/>
    <cellStyle name="20% - Accent4 77 16 2" xfId="7370" xr:uid="{00000000-0005-0000-0000-0000C81C0000}"/>
    <cellStyle name="20% - Accent4 77 16 2 2" xfId="7371" xr:uid="{00000000-0005-0000-0000-0000C91C0000}"/>
    <cellStyle name="20% - Accent4 77 16 3" xfId="7372" xr:uid="{00000000-0005-0000-0000-0000CA1C0000}"/>
    <cellStyle name="20% - Accent4 77 17" xfId="7373" xr:uid="{00000000-0005-0000-0000-0000CB1C0000}"/>
    <cellStyle name="20% - Accent4 77 17 2" xfId="7374" xr:uid="{00000000-0005-0000-0000-0000CC1C0000}"/>
    <cellStyle name="20% - Accent4 77 17 2 2" xfId="7375" xr:uid="{00000000-0005-0000-0000-0000CD1C0000}"/>
    <cellStyle name="20% - Accent4 77 17 3" xfId="7376" xr:uid="{00000000-0005-0000-0000-0000CE1C0000}"/>
    <cellStyle name="20% - Accent4 77 18" xfId="7377" xr:uid="{00000000-0005-0000-0000-0000CF1C0000}"/>
    <cellStyle name="20% - Accent4 77 18 2" xfId="7378" xr:uid="{00000000-0005-0000-0000-0000D01C0000}"/>
    <cellStyle name="20% - Accent4 77 18 2 2" xfId="7379" xr:uid="{00000000-0005-0000-0000-0000D11C0000}"/>
    <cellStyle name="20% - Accent4 77 18 3" xfId="7380" xr:uid="{00000000-0005-0000-0000-0000D21C0000}"/>
    <cellStyle name="20% - Accent4 77 19" xfId="7381" xr:uid="{00000000-0005-0000-0000-0000D31C0000}"/>
    <cellStyle name="20% - Accent4 77 19 2" xfId="7382" xr:uid="{00000000-0005-0000-0000-0000D41C0000}"/>
    <cellStyle name="20% - Accent4 77 19 2 2" xfId="7383" xr:uid="{00000000-0005-0000-0000-0000D51C0000}"/>
    <cellStyle name="20% - Accent4 77 19 3" xfId="7384" xr:uid="{00000000-0005-0000-0000-0000D61C0000}"/>
    <cellStyle name="20% - Accent4 77 2" xfId="7385" xr:uid="{00000000-0005-0000-0000-0000D71C0000}"/>
    <cellStyle name="20% - Accent4 77 2 2" xfId="7386" xr:uid="{00000000-0005-0000-0000-0000D81C0000}"/>
    <cellStyle name="20% - Accent4 77 2 2 2" xfId="7387" xr:uid="{00000000-0005-0000-0000-0000D91C0000}"/>
    <cellStyle name="20% - Accent4 77 2 3" xfId="7388" xr:uid="{00000000-0005-0000-0000-0000DA1C0000}"/>
    <cellStyle name="20% - Accent4 77 20" xfId="7389" xr:uid="{00000000-0005-0000-0000-0000DB1C0000}"/>
    <cellStyle name="20% - Accent4 77 20 2" xfId="7390" xr:uid="{00000000-0005-0000-0000-0000DC1C0000}"/>
    <cellStyle name="20% - Accent4 77 20 2 2" xfId="7391" xr:uid="{00000000-0005-0000-0000-0000DD1C0000}"/>
    <cellStyle name="20% - Accent4 77 20 3" xfId="7392" xr:uid="{00000000-0005-0000-0000-0000DE1C0000}"/>
    <cellStyle name="20% - Accent4 77 21" xfId="7393" xr:uid="{00000000-0005-0000-0000-0000DF1C0000}"/>
    <cellStyle name="20% - Accent4 77 21 2" xfId="7394" xr:uid="{00000000-0005-0000-0000-0000E01C0000}"/>
    <cellStyle name="20% - Accent4 77 21 2 2" xfId="7395" xr:uid="{00000000-0005-0000-0000-0000E11C0000}"/>
    <cellStyle name="20% - Accent4 77 21 3" xfId="7396" xr:uid="{00000000-0005-0000-0000-0000E21C0000}"/>
    <cellStyle name="20% - Accent4 77 22" xfId="7397" xr:uid="{00000000-0005-0000-0000-0000E31C0000}"/>
    <cellStyle name="20% - Accent4 77 22 2" xfId="7398" xr:uid="{00000000-0005-0000-0000-0000E41C0000}"/>
    <cellStyle name="20% - Accent4 77 22 2 2" xfId="7399" xr:uid="{00000000-0005-0000-0000-0000E51C0000}"/>
    <cellStyle name="20% - Accent4 77 22 3" xfId="7400" xr:uid="{00000000-0005-0000-0000-0000E61C0000}"/>
    <cellStyle name="20% - Accent4 77 23" xfId="7401" xr:uid="{00000000-0005-0000-0000-0000E71C0000}"/>
    <cellStyle name="20% - Accent4 77 23 2" xfId="7402" xr:uid="{00000000-0005-0000-0000-0000E81C0000}"/>
    <cellStyle name="20% - Accent4 77 23 2 2" xfId="7403" xr:uid="{00000000-0005-0000-0000-0000E91C0000}"/>
    <cellStyle name="20% - Accent4 77 23 3" xfId="7404" xr:uid="{00000000-0005-0000-0000-0000EA1C0000}"/>
    <cellStyle name="20% - Accent4 77 24" xfId="7405" xr:uid="{00000000-0005-0000-0000-0000EB1C0000}"/>
    <cellStyle name="20% - Accent4 77 24 2" xfId="7406" xr:uid="{00000000-0005-0000-0000-0000EC1C0000}"/>
    <cellStyle name="20% - Accent4 77 24 2 2" xfId="7407" xr:uid="{00000000-0005-0000-0000-0000ED1C0000}"/>
    <cellStyle name="20% - Accent4 77 24 3" xfId="7408" xr:uid="{00000000-0005-0000-0000-0000EE1C0000}"/>
    <cellStyle name="20% - Accent4 77 25" xfId="7409" xr:uid="{00000000-0005-0000-0000-0000EF1C0000}"/>
    <cellStyle name="20% - Accent4 77 25 2" xfId="7410" xr:uid="{00000000-0005-0000-0000-0000F01C0000}"/>
    <cellStyle name="20% - Accent4 77 25 2 2" xfId="7411" xr:uid="{00000000-0005-0000-0000-0000F11C0000}"/>
    <cellStyle name="20% - Accent4 77 25 3" xfId="7412" xr:uid="{00000000-0005-0000-0000-0000F21C0000}"/>
    <cellStyle name="20% - Accent4 77 26" xfId="7413" xr:uid="{00000000-0005-0000-0000-0000F31C0000}"/>
    <cellStyle name="20% - Accent4 77 26 2" xfId="7414" xr:uid="{00000000-0005-0000-0000-0000F41C0000}"/>
    <cellStyle name="20% - Accent4 77 26 2 2" xfId="7415" xr:uid="{00000000-0005-0000-0000-0000F51C0000}"/>
    <cellStyle name="20% - Accent4 77 26 3" xfId="7416" xr:uid="{00000000-0005-0000-0000-0000F61C0000}"/>
    <cellStyle name="20% - Accent4 77 27" xfId="7417" xr:uid="{00000000-0005-0000-0000-0000F71C0000}"/>
    <cellStyle name="20% - Accent4 77 27 2" xfId="7418" xr:uid="{00000000-0005-0000-0000-0000F81C0000}"/>
    <cellStyle name="20% - Accent4 77 27 2 2" xfId="7419" xr:uid="{00000000-0005-0000-0000-0000F91C0000}"/>
    <cellStyle name="20% - Accent4 77 27 3" xfId="7420" xr:uid="{00000000-0005-0000-0000-0000FA1C0000}"/>
    <cellStyle name="20% - Accent4 77 28" xfId="7421" xr:uid="{00000000-0005-0000-0000-0000FB1C0000}"/>
    <cellStyle name="20% - Accent4 77 28 2" xfId="7422" xr:uid="{00000000-0005-0000-0000-0000FC1C0000}"/>
    <cellStyle name="20% - Accent4 77 28 2 2" xfId="7423" xr:uid="{00000000-0005-0000-0000-0000FD1C0000}"/>
    <cellStyle name="20% - Accent4 77 28 3" xfId="7424" xr:uid="{00000000-0005-0000-0000-0000FE1C0000}"/>
    <cellStyle name="20% - Accent4 77 29" xfId="7425" xr:uid="{00000000-0005-0000-0000-0000FF1C0000}"/>
    <cellStyle name="20% - Accent4 77 29 2" xfId="7426" xr:uid="{00000000-0005-0000-0000-0000001D0000}"/>
    <cellStyle name="20% - Accent4 77 29 2 2" xfId="7427" xr:uid="{00000000-0005-0000-0000-0000011D0000}"/>
    <cellStyle name="20% - Accent4 77 29 3" xfId="7428" xr:uid="{00000000-0005-0000-0000-0000021D0000}"/>
    <cellStyle name="20% - Accent4 77 3" xfId="7429" xr:uid="{00000000-0005-0000-0000-0000031D0000}"/>
    <cellStyle name="20% - Accent4 77 3 2" xfId="7430" xr:uid="{00000000-0005-0000-0000-0000041D0000}"/>
    <cellStyle name="20% - Accent4 77 3 2 2" xfId="7431" xr:uid="{00000000-0005-0000-0000-0000051D0000}"/>
    <cellStyle name="20% - Accent4 77 3 3" xfId="7432" xr:uid="{00000000-0005-0000-0000-0000061D0000}"/>
    <cellStyle name="20% - Accent4 77 30" xfId="7433" xr:uid="{00000000-0005-0000-0000-0000071D0000}"/>
    <cellStyle name="20% - Accent4 77 30 2" xfId="7434" xr:uid="{00000000-0005-0000-0000-0000081D0000}"/>
    <cellStyle name="20% - Accent4 77 30 2 2" xfId="7435" xr:uid="{00000000-0005-0000-0000-0000091D0000}"/>
    <cellStyle name="20% - Accent4 77 30 3" xfId="7436" xr:uid="{00000000-0005-0000-0000-00000A1D0000}"/>
    <cellStyle name="20% - Accent4 77 31" xfId="7437" xr:uid="{00000000-0005-0000-0000-00000B1D0000}"/>
    <cellStyle name="20% - Accent4 77 31 2" xfId="7438" xr:uid="{00000000-0005-0000-0000-00000C1D0000}"/>
    <cellStyle name="20% - Accent4 77 31 2 2" xfId="7439" xr:uid="{00000000-0005-0000-0000-00000D1D0000}"/>
    <cellStyle name="20% - Accent4 77 31 3" xfId="7440" xr:uid="{00000000-0005-0000-0000-00000E1D0000}"/>
    <cellStyle name="20% - Accent4 77 32" xfId="7441" xr:uid="{00000000-0005-0000-0000-00000F1D0000}"/>
    <cellStyle name="20% - Accent4 77 32 2" xfId="7442" xr:uid="{00000000-0005-0000-0000-0000101D0000}"/>
    <cellStyle name="20% - Accent4 77 32 2 2" xfId="7443" xr:uid="{00000000-0005-0000-0000-0000111D0000}"/>
    <cellStyle name="20% - Accent4 77 32 3" xfId="7444" xr:uid="{00000000-0005-0000-0000-0000121D0000}"/>
    <cellStyle name="20% - Accent4 77 33" xfId="7445" xr:uid="{00000000-0005-0000-0000-0000131D0000}"/>
    <cellStyle name="20% - Accent4 77 33 2" xfId="7446" xr:uid="{00000000-0005-0000-0000-0000141D0000}"/>
    <cellStyle name="20% - Accent4 77 33 2 2" xfId="7447" xr:uid="{00000000-0005-0000-0000-0000151D0000}"/>
    <cellStyle name="20% - Accent4 77 33 3" xfId="7448" xr:uid="{00000000-0005-0000-0000-0000161D0000}"/>
    <cellStyle name="20% - Accent4 77 34" xfId="7449" xr:uid="{00000000-0005-0000-0000-0000171D0000}"/>
    <cellStyle name="20% - Accent4 77 34 2" xfId="7450" xr:uid="{00000000-0005-0000-0000-0000181D0000}"/>
    <cellStyle name="20% - Accent4 77 34 2 2" xfId="7451" xr:uid="{00000000-0005-0000-0000-0000191D0000}"/>
    <cellStyle name="20% - Accent4 77 34 3" xfId="7452" xr:uid="{00000000-0005-0000-0000-00001A1D0000}"/>
    <cellStyle name="20% - Accent4 77 35" xfId="7453" xr:uid="{00000000-0005-0000-0000-00001B1D0000}"/>
    <cellStyle name="20% - Accent4 77 35 2" xfId="7454" xr:uid="{00000000-0005-0000-0000-00001C1D0000}"/>
    <cellStyle name="20% - Accent4 77 35 2 2" xfId="7455" xr:uid="{00000000-0005-0000-0000-00001D1D0000}"/>
    <cellStyle name="20% - Accent4 77 35 3" xfId="7456" xr:uid="{00000000-0005-0000-0000-00001E1D0000}"/>
    <cellStyle name="20% - Accent4 77 36" xfId="7457" xr:uid="{00000000-0005-0000-0000-00001F1D0000}"/>
    <cellStyle name="20% - Accent4 77 36 2" xfId="7458" xr:uid="{00000000-0005-0000-0000-0000201D0000}"/>
    <cellStyle name="20% - Accent4 77 36 2 2" xfId="7459" xr:uid="{00000000-0005-0000-0000-0000211D0000}"/>
    <cellStyle name="20% - Accent4 77 36 3" xfId="7460" xr:uid="{00000000-0005-0000-0000-0000221D0000}"/>
    <cellStyle name="20% - Accent4 77 4" xfId="7461" xr:uid="{00000000-0005-0000-0000-0000231D0000}"/>
    <cellStyle name="20% - Accent4 77 4 2" xfId="7462" xr:uid="{00000000-0005-0000-0000-0000241D0000}"/>
    <cellStyle name="20% - Accent4 77 4 2 2" xfId="7463" xr:uid="{00000000-0005-0000-0000-0000251D0000}"/>
    <cellStyle name="20% - Accent4 77 4 3" xfId="7464" xr:uid="{00000000-0005-0000-0000-0000261D0000}"/>
    <cellStyle name="20% - Accent4 77 5" xfId="7465" xr:uid="{00000000-0005-0000-0000-0000271D0000}"/>
    <cellStyle name="20% - Accent4 77 5 2" xfId="7466" xr:uid="{00000000-0005-0000-0000-0000281D0000}"/>
    <cellStyle name="20% - Accent4 77 5 2 2" xfId="7467" xr:uid="{00000000-0005-0000-0000-0000291D0000}"/>
    <cellStyle name="20% - Accent4 77 5 3" xfId="7468" xr:uid="{00000000-0005-0000-0000-00002A1D0000}"/>
    <cellStyle name="20% - Accent4 77 6" xfId="7469" xr:uid="{00000000-0005-0000-0000-00002B1D0000}"/>
    <cellStyle name="20% - Accent4 77 6 2" xfId="7470" xr:uid="{00000000-0005-0000-0000-00002C1D0000}"/>
    <cellStyle name="20% - Accent4 77 6 2 2" xfId="7471" xr:uid="{00000000-0005-0000-0000-00002D1D0000}"/>
    <cellStyle name="20% - Accent4 77 6 3" xfId="7472" xr:uid="{00000000-0005-0000-0000-00002E1D0000}"/>
    <cellStyle name="20% - Accent4 77 7" xfId="7473" xr:uid="{00000000-0005-0000-0000-00002F1D0000}"/>
    <cellStyle name="20% - Accent4 77 7 2" xfId="7474" xr:uid="{00000000-0005-0000-0000-0000301D0000}"/>
    <cellStyle name="20% - Accent4 77 7 2 2" xfId="7475" xr:uid="{00000000-0005-0000-0000-0000311D0000}"/>
    <cellStyle name="20% - Accent4 77 7 3" xfId="7476" xr:uid="{00000000-0005-0000-0000-0000321D0000}"/>
    <cellStyle name="20% - Accent4 77 8" xfId="7477" xr:uid="{00000000-0005-0000-0000-0000331D0000}"/>
    <cellStyle name="20% - Accent4 77 8 2" xfId="7478" xr:uid="{00000000-0005-0000-0000-0000341D0000}"/>
    <cellStyle name="20% - Accent4 77 8 2 2" xfId="7479" xr:uid="{00000000-0005-0000-0000-0000351D0000}"/>
    <cellStyle name="20% - Accent4 77 8 3" xfId="7480" xr:uid="{00000000-0005-0000-0000-0000361D0000}"/>
    <cellStyle name="20% - Accent4 77 9" xfId="7481" xr:uid="{00000000-0005-0000-0000-0000371D0000}"/>
    <cellStyle name="20% - Accent4 77 9 2" xfId="7482" xr:uid="{00000000-0005-0000-0000-0000381D0000}"/>
    <cellStyle name="20% - Accent4 77 9 2 2" xfId="7483" xr:uid="{00000000-0005-0000-0000-0000391D0000}"/>
    <cellStyle name="20% - Accent4 77 9 3" xfId="7484" xr:uid="{00000000-0005-0000-0000-00003A1D0000}"/>
    <cellStyle name="20% - Accent4 78" xfId="7485" xr:uid="{00000000-0005-0000-0000-00003B1D0000}"/>
    <cellStyle name="20% - Accent4 78 2" xfId="7486" xr:uid="{00000000-0005-0000-0000-00003C1D0000}"/>
    <cellStyle name="20% - Accent4 79" xfId="7487" xr:uid="{00000000-0005-0000-0000-00003D1D0000}"/>
    <cellStyle name="20% - Accent4 79 10" xfId="7488" xr:uid="{00000000-0005-0000-0000-00003E1D0000}"/>
    <cellStyle name="20% - Accent4 79 10 2" xfId="7489" xr:uid="{00000000-0005-0000-0000-00003F1D0000}"/>
    <cellStyle name="20% - Accent4 79 10 2 2" xfId="7490" xr:uid="{00000000-0005-0000-0000-0000401D0000}"/>
    <cellStyle name="20% - Accent4 79 10 3" xfId="7491" xr:uid="{00000000-0005-0000-0000-0000411D0000}"/>
    <cellStyle name="20% - Accent4 79 11" xfId="7492" xr:uid="{00000000-0005-0000-0000-0000421D0000}"/>
    <cellStyle name="20% - Accent4 79 11 2" xfId="7493" xr:uid="{00000000-0005-0000-0000-0000431D0000}"/>
    <cellStyle name="20% - Accent4 79 11 2 2" xfId="7494" xr:uid="{00000000-0005-0000-0000-0000441D0000}"/>
    <cellStyle name="20% - Accent4 79 11 3" xfId="7495" xr:uid="{00000000-0005-0000-0000-0000451D0000}"/>
    <cellStyle name="20% - Accent4 79 12" xfId="7496" xr:uid="{00000000-0005-0000-0000-0000461D0000}"/>
    <cellStyle name="20% - Accent4 79 12 2" xfId="7497" xr:uid="{00000000-0005-0000-0000-0000471D0000}"/>
    <cellStyle name="20% - Accent4 79 12 2 2" xfId="7498" xr:uid="{00000000-0005-0000-0000-0000481D0000}"/>
    <cellStyle name="20% - Accent4 79 12 3" xfId="7499" xr:uid="{00000000-0005-0000-0000-0000491D0000}"/>
    <cellStyle name="20% - Accent4 79 13" xfId="7500" xr:uid="{00000000-0005-0000-0000-00004A1D0000}"/>
    <cellStyle name="20% - Accent4 79 13 2" xfId="7501" xr:uid="{00000000-0005-0000-0000-00004B1D0000}"/>
    <cellStyle name="20% - Accent4 79 13 2 2" xfId="7502" xr:uid="{00000000-0005-0000-0000-00004C1D0000}"/>
    <cellStyle name="20% - Accent4 79 13 3" xfId="7503" xr:uid="{00000000-0005-0000-0000-00004D1D0000}"/>
    <cellStyle name="20% - Accent4 79 14" xfId="7504" xr:uid="{00000000-0005-0000-0000-00004E1D0000}"/>
    <cellStyle name="20% - Accent4 79 14 2" xfId="7505" xr:uid="{00000000-0005-0000-0000-00004F1D0000}"/>
    <cellStyle name="20% - Accent4 79 14 2 2" xfId="7506" xr:uid="{00000000-0005-0000-0000-0000501D0000}"/>
    <cellStyle name="20% - Accent4 79 14 3" xfId="7507" xr:uid="{00000000-0005-0000-0000-0000511D0000}"/>
    <cellStyle name="20% - Accent4 79 15" xfId="7508" xr:uid="{00000000-0005-0000-0000-0000521D0000}"/>
    <cellStyle name="20% - Accent4 79 15 2" xfId="7509" xr:uid="{00000000-0005-0000-0000-0000531D0000}"/>
    <cellStyle name="20% - Accent4 79 15 2 2" xfId="7510" xr:uid="{00000000-0005-0000-0000-0000541D0000}"/>
    <cellStyle name="20% - Accent4 79 15 3" xfId="7511" xr:uid="{00000000-0005-0000-0000-0000551D0000}"/>
    <cellStyle name="20% - Accent4 79 16" xfId="7512" xr:uid="{00000000-0005-0000-0000-0000561D0000}"/>
    <cellStyle name="20% - Accent4 79 16 2" xfId="7513" xr:uid="{00000000-0005-0000-0000-0000571D0000}"/>
    <cellStyle name="20% - Accent4 79 16 2 2" xfId="7514" xr:uid="{00000000-0005-0000-0000-0000581D0000}"/>
    <cellStyle name="20% - Accent4 79 16 3" xfId="7515" xr:uid="{00000000-0005-0000-0000-0000591D0000}"/>
    <cellStyle name="20% - Accent4 79 17" xfId="7516" xr:uid="{00000000-0005-0000-0000-00005A1D0000}"/>
    <cellStyle name="20% - Accent4 79 17 2" xfId="7517" xr:uid="{00000000-0005-0000-0000-00005B1D0000}"/>
    <cellStyle name="20% - Accent4 79 17 2 2" xfId="7518" xr:uid="{00000000-0005-0000-0000-00005C1D0000}"/>
    <cellStyle name="20% - Accent4 79 17 3" xfId="7519" xr:uid="{00000000-0005-0000-0000-00005D1D0000}"/>
    <cellStyle name="20% - Accent4 79 18" xfId="7520" xr:uid="{00000000-0005-0000-0000-00005E1D0000}"/>
    <cellStyle name="20% - Accent4 79 18 2" xfId="7521" xr:uid="{00000000-0005-0000-0000-00005F1D0000}"/>
    <cellStyle name="20% - Accent4 79 18 2 2" xfId="7522" xr:uid="{00000000-0005-0000-0000-0000601D0000}"/>
    <cellStyle name="20% - Accent4 79 18 3" xfId="7523" xr:uid="{00000000-0005-0000-0000-0000611D0000}"/>
    <cellStyle name="20% - Accent4 79 19" xfId="7524" xr:uid="{00000000-0005-0000-0000-0000621D0000}"/>
    <cellStyle name="20% - Accent4 79 19 2" xfId="7525" xr:uid="{00000000-0005-0000-0000-0000631D0000}"/>
    <cellStyle name="20% - Accent4 79 19 2 2" xfId="7526" xr:uid="{00000000-0005-0000-0000-0000641D0000}"/>
    <cellStyle name="20% - Accent4 79 19 3" xfId="7527" xr:uid="{00000000-0005-0000-0000-0000651D0000}"/>
    <cellStyle name="20% - Accent4 79 2" xfId="7528" xr:uid="{00000000-0005-0000-0000-0000661D0000}"/>
    <cellStyle name="20% - Accent4 79 2 2" xfId="7529" xr:uid="{00000000-0005-0000-0000-0000671D0000}"/>
    <cellStyle name="20% - Accent4 79 2 2 2" xfId="7530" xr:uid="{00000000-0005-0000-0000-0000681D0000}"/>
    <cellStyle name="20% - Accent4 79 2 3" xfId="7531" xr:uid="{00000000-0005-0000-0000-0000691D0000}"/>
    <cellStyle name="20% - Accent4 79 20" xfId="7532" xr:uid="{00000000-0005-0000-0000-00006A1D0000}"/>
    <cellStyle name="20% - Accent4 79 20 2" xfId="7533" xr:uid="{00000000-0005-0000-0000-00006B1D0000}"/>
    <cellStyle name="20% - Accent4 79 20 2 2" xfId="7534" xr:uid="{00000000-0005-0000-0000-00006C1D0000}"/>
    <cellStyle name="20% - Accent4 79 20 3" xfId="7535" xr:uid="{00000000-0005-0000-0000-00006D1D0000}"/>
    <cellStyle name="20% - Accent4 79 21" xfId="7536" xr:uid="{00000000-0005-0000-0000-00006E1D0000}"/>
    <cellStyle name="20% - Accent4 79 21 2" xfId="7537" xr:uid="{00000000-0005-0000-0000-00006F1D0000}"/>
    <cellStyle name="20% - Accent4 79 21 2 2" xfId="7538" xr:uid="{00000000-0005-0000-0000-0000701D0000}"/>
    <cellStyle name="20% - Accent4 79 21 3" xfId="7539" xr:uid="{00000000-0005-0000-0000-0000711D0000}"/>
    <cellStyle name="20% - Accent4 79 22" xfId="7540" xr:uid="{00000000-0005-0000-0000-0000721D0000}"/>
    <cellStyle name="20% - Accent4 79 22 2" xfId="7541" xr:uid="{00000000-0005-0000-0000-0000731D0000}"/>
    <cellStyle name="20% - Accent4 79 22 2 2" xfId="7542" xr:uid="{00000000-0005-0000-0000-0000741D0000}"/>
    <cellStyle name="20% - Accent4 79 22 3" xfId="7543" xr:uid="{00000000-0005-0000-0000-0000751D0000}"/>
    <cellStyle name="20% - Accent4 79 23" xfId="7544" xr:uid="{00000000-0005-0000-0000-0000761D0000}"/>
    <cellStyle name="20% - Accent4 79 23 2" xfId="7545" xr:uid="{00000000-0005-0000-0000-0000771D0000}"/>
    <cellStyle name="20% - Accent4 79 23 2 2" xfId="7546" xr:uid="{00000000-0005-0000-0000-0000781D0000}"/>
    <cellStyle name="20% - Accent4 79 23 3" xfId="7547" xr:uid="{00000000-0005-0000-0000-0000791D0000}"/>
    <cellStyle name="20% - Accent4 79 24" xfId="7548" xr:uid="{00000000-0005-0000-0000-00007A1D0000}"/>
    <cellStyle name="20% - Accent4 79 24 2" xfId="7549" xr:uid="{00000000-0005-0000-0000-00007B1D0000}"/>
    <cellStyle name="20% - Accent4 79 24 2 2" xfId="7550" xr:uid="{00000000-0005-0000-0000-00007C1D0000}"/>
    <cellStyle name="20% - Accent4 79 24 3" xfId="7551" xr:uid="{00000000-0005-0000-0000-00007D1D0000}"/>
    <cellStyle name="20% - Accent4 79 25" xfId="7552" xr:uid="{00000000-0005-0000-0000-00007E1D0000}"/>
    <cellStyle name="20% - Accent4 79 25 2" xfId="7553" xr:uid="{00000000-0005-0000-0000-00007F1D0000}"/>
    <cellStyle name="20% - Accent4 79 25 2 2" xfId="7554" xr:uid="{00000000-0005-0000-0000-0000801D0000}"/>
    <cellStyle name="20% - Accent4 79 25 3" xfId="7555" xr:uid="{00000000-0005-0000-0000-0000811D0000}"/>
    <cellStyle name="20% - Accent4 79 26" xfId="7556" xr:uid="{00000000-0005-0000-0000-0000821D0000}"/>
    <cellStyle name="20% - Accent4 79 26 2" xfId="7557" xr:uid="{00000000-0005-0000-0000-0000831D0000}"/>
    <cellStyle name="20% - Accent4 79 26 2 2" xfId="7558" xr:uid="{00000000-0005-0000-0000-0000841D0000}"/>
    <cellStyle name="20% - Accent4 79 26 3" xfId="7559" xr:uid="{00000000-0005-0000-0000-0000851D0000}"/>
    <cellStyle name="20% - Accent4 79 27" xfId="7560" xr:uid="{00000000-0005-0000-0000-0000861D0000}"/>
    <cellStyle name="20% - Accent4 79 27 2" xfId="7561" xr:uid="{00000000-0005-0000-0000-0000871D0000}"/>
    <cellStyle name="20% - Accent4 79 27 2 2" xfId="7562" xr:uid="{00000000-0005-0000-0000-0000881D0000}"/>
    <cellStyle name="20% - Accent4 79 27 3" xfId="7563" xr:uid="{00000000-0005-0000-0000-0000891D0000}"/>
    <cellStyle name="20% - Accent4 79 28" xfId="7564" xr:uid="{00000000-0005-0000-0000-00008A1D0000}"/>
    <cellStyle name="20% - Accent4 79 28 2" xfId="7565" xr:uid="{00000000-0005-0000-0000-00008B1D0000}"/>
    <cellStyle name="20% - Accent4 79 28 2 2" xfId="7566" xr:uid="{00000000-0005-0000-0000-00008C1D0000}"/>
    <cellStyle name="20% - Accent4 79 28 3" xfId="7567" xr:uid="{00000000-0005-0000-0000-00008D1D0000}"/>
    <cellStyle name="20% - Accent4 79 29" xfId="7568" xr:uid="{00000000-0005-0000-0000-00008E1D0000}"/>
    <cellStyle name="20% - Accent4 79 29 2" xfId="7569" xr:uid="{00000000-0005-0000-0000-00008F1D0000}"/>
    <cellStyle name="20% - Accent4 79 29 2 2" xfId="7570" xr:uid="{00000000-0005-0000-0000-0000901D0000}"/>
    <cellStyle name="20% - Accent4 79 29 3" xfId="7571" xr:uid="{00000000-0005-0000-0000-0000911D0000}"/>
    <cellStyle name="20% - Accent4 79 3" xfId="7572" xr:uid="{00000000-0005-0000-0000-0000921D0000}"/>
    <cellStyle name="20% - Accent4 79 3 2" xfId="7573" xr:uid="{00000000-0005-0000-0000-0000931D0000}"/>
    <cellStyle name="20% - Accent4 79 3 2 2" xfId="7574" xr:uid="{00000000-0005-0000-0000-0000941D0000}"/>
    <cellStyle name="20% - Accent4 79 3 3" xfId="7575" xr:uid="{00000000-0005-0000-0000-0000951D0000}"/>
    <cellStyle name="20% - Accent4 79 30" xfId="7576" xr:uid="{00000000-0005-0000-0000-0000961D0000}"/>
    <cellStyle name="20% - Accent4 79 30 2" xfId="7577" xr:uid="{00000000-0005-0000-0000-0000971D0000}"/>
    <cellStyle name="20% - Accent4 79 30 2 2" xfId="7578" xr:uid="{00000000-0005-0000-0000-0000981D0000}"/>
    <cellStyle name="20% - Accent4 79 30 3" xfId="7579" xr:uid="{00000000-0005-0000-0000-0000991D0000}"/>
    <cellStyle name="20% - Accent4 79 31" xfId="7580" xr:uid="{00000000-0005-0000-0000-00009A1D0000}"/>
    <cellStyle name="20% - Accent4 79 31 2" xfId="7581" xr:uid="{00000000-0005-0000-0000-00009B1D0000}"/>
    <cellStyle name="20% - Accent4 79 31 2 2" xfId="7582" xr:uid="{00000000-0005-0000-0000-00009C1D0000}"/>
    <cellStyle name="20% - Accent4 79 31 3" xfId="7583" xr:uid="{00000000-0005-0000-0000-00009D1D0000}"/>
    <cellStyle name="20% - Accent4 79 32" xfId="7584" xr:uid="{00000000-0005-0000-0000-00009E1D0000}"/>
    <cellStyle name="20% - Accent4 79 32 2" xfId="7585" xr:uid="{00000000-0005-0000-0000-00009F1D0000}"/>
    <cellStyle name="20% - Accent4 79 32 2 2" xfId="7586" xr:uid="{00000000-0005-0000-0000-0000A01D0000}"/>
    <cellStyle name="20% - Accent4 79 32 3" xfId="7587" xr:uid="{00000000-0005-0000-0000-0000A11D0000}"/>
    <cellStyle name="20% - Accent4 79 33" xfId="7588" xr:uid="{00000000-0005-0000-0000-0000A21D0000}"/>
    <cellStyle name="20% - Accent4 79 33 2" xfId="7589" xr:uid="{00000000-0005-0000-0000-0000A31D0000}"/>
    <cellStyle name="20% - Accent4 79 33 2 2" xfId="7590" xr:uid="{00000000-0005-0000-0000-0000A41D0000}"/>
    <cellStyle name="20% - Accent4 79 33 3" xfId="7591" xr:uid="{00000000-0005-0000-0000-0000A51D0000}"/>
    <cellStyle name="20% - Accent4 79 34" xfId="7592" xr:uid="{00000000-0005-0000-0000-0000A61D0000}"/>
    <cellStyle name="20% - Accent4 79 34 2" xfId="7593" xr:uid="{00000000-0005-0000-0000-0000A71D0000}"/>
    <cellStyle name="20% - Accent4 79 34 2 2" xfId="7594" xr:uid="{00000000-0005-0000-0000-0000A81D0000}"/>
    <cellStyle name="20% - Accent4 79 34 3" xfId="7595" xr:uid="{00000000-0005-0000-0000-0000A91D0000}"/>
    <cellStyle name="20% - Accent4 79 35" xfId="7596" xr:uid="{00000000-0005-0000-0000-0000AA1D0000}"/>
    <cellStyle name="20% - Accent4 79 35 2" xfId="7597" xr:uid="{00000000-0005-0000-0000-0000AB1D0000}"/>
    <cellStyle name="20% - Accent4 79 35 2 2" xfId="7598" xr:uid="{00000000-0005-0000-0000-0000AC1D0000}"/>
    <cellStyle name="20% - Accent4 79 35 3" xfId="7599" xr:uid="{00000000-0005-0000-0000-0000AD1D0000}"/>
    <cellStyle name="20% - Accent4 79 36" xfId="7600" xr:uid="{00000000-0005-0000-0000-0000AE1D0000}"/>
    <cellStyle name="20% - Accent4 79 36 2" xfId="7601" xr:uid="{00000000-0005-0000-0000-0000AF1D0000}"/>
    <cellStyle name="20% - Accent4 79 36 2 2" xfId="7602" xr:uid="{00000000-0005-0000-0000-0000B01D0000}"/>
    <cellStyle name="20% - Accent4 79 36 3" xfId="7603" xr:uid="{00000000-0005-0000-0000-0000B11D0000}"/>
    <cellStyle name="20% - Accent4 79 4" xfId="7604" xr:uid="{00000000-0005-0000-0000-0000B21D0000}"/>
    <cellStyle name="20% - Accent4 79 4 2" xfId="7605" xr:uid="{00000000-0005-0000-0000-0000B31D0000}"/>
    <cellStyle name="20% - Accent4 79 4 2 2" xfId="7606" xr:uid="{00000000-0005-0000-0000-0000B41D0000}"/>
    <cellStyle name="20% - Accent4 79 4 3" xfId="7607" xr:uid="{00000000-0005-0000-0000-0000B51D0000}"/>
    <cellStyle name="20% - Accent4 79 5" xfId="7608" xr:uid="{00000000-0005-0000-0000-0000B61D0000}"/>
    <cellStyle name="20% - Accent4 79 5 2" xfId="7609" xr:uid="{00000000-0005-0000-0000-0000B71D0000}"/>
    <cellStyle name="20% - Accent4 79 5 2 2" xfId="7610" xr:uid="{00000000-0005-0000-0000-0000B81D0000}"/>
    <cellStyle name="20% - Accent4 79 5 3" xfId="7611" xr:uid="{00000000-0005-0000-0000-0000B91D0000}"/>
    <cellStyle name="20% - Accent4 79 6" xfId="7612" xr:uid="{00000000-0005-0000-0000-0000BA1D0000}"/>
    <cellStyle name="20% - Accent4 79 6 2" xfId="7613" xr:uid="{00000000-0005-0000-0000-0000BB1D0000}"/>
    <cellStyle name="20% - Accent4 79 6 2 2" xfId="7614" xr:uid="{00000000-0005-0000-0000-0000BC1D0000}"/>
    <cellStyle name="20% - Accent4 79 6 3" xfId="7615" xr:uid="{00000000-0005-0000-0000-0000BD1D0000}"/>
    <cellStyle name="20% - Accent4 79 7" xfId="7616" xr:uid="{00000000-0005-0000-0000-0000BE1D0000}"/>
    <cellStyle name="20% - Accent4 79 7 2" xfId="7617" xr:uid="{00000000-0005-0000-0000-0000BF1D0000}"/>
    <cellStyle name="20% - Accent4 79 7 2 2" xfId="7618" xr:uid="{00000000-0005-0000-0000-0000C01D0000}"/>
    <cellStyle name="20% - Accent4 79 7 3" xfId="7619" xr:uid="{00000000-0005-0000-0000-0000C11D0000}"/>
    <cellStyle name="20% - Accent4 79 8" xfId="7620" xr:uid="{00000000-0005-0000-0000-0000C21D0000}"/>
    <cellStyle name="20% - Accent4 79 8 2" xfId="7621" xr:uid="{00000000-0005-0000-0000-0000C31D0000}"/>
    <cellStyle name="20% - Accent4 79 8 2 2" xfId="7622" xr:uid="{00000000-0005-0000-0000-0000C41D0000}"/>
    <cellStyle name="20% - Accent4 79 8 3" xfId="7623" xr:uid="{00000000-0005-0000-0000-0000C51D0000}"/>
    <cellStyle name="20% - Accent4 79 9" xfId="7624" xr:uid="{00000000-0005-0000-0000-0000C61D0000}"/>
    <cellStyle name="20% - Accent4 79 9 2" xfId="7625" xr:uid="{00000000-0005-0000-0000-0000C71D0000}"/>
    <cellStyle name="20% - Accent4 79 9 2 2" xfId="7626" xr:uid="{00000000-0005-0000-0000-0000C81D0000}"/>
    <cellStyle name="20% - Accent4 79 9 3" xfId="7627" xr:uid="{00000000-0005-0000-0000-0000C91D0000}"/>
    <cellStyle name="20% - Accent4 8" xfId="7628" xr:uid="{00000000-0005-0000-0000-0000CA1D0000}"/>
    <cellStyle name="20% - Accent4 8 2" xfId="7629" xr:uid="{00000000-0005-0000-0000-0000CB1D0000}"/>
    <cellStyle name="20% - Accent4 8 2 2" xfId="7630" xr:uid="{00000000-0005-0000-0000-0000CC1D0000}"/>
    <cellStyle name="20% - Accent4 8 3" xfId="7631" xr:uid="{00000000-0005-0000-0000-0000CD1D0000}"/>
    <cellStyle name="20% - Accent4 8 4" xfId="7632" xr:uid="{00000000-0005-0000-0000-0000CE1D0000}"/>
    <cellStyle name="20% - Accent4 80" xfId="7633" xr:uid="{00000000-0005-0000-0000-0000CF1D0000}"/>
    <cellStyle name="20% - Accent4 80 2" xfId="7634" xr:uid="{00000000-0005-0000-0000-0000D01D0000}"/>
    <cellStyle name="20% - Accent4 81" xfId="7635" xr:uid="{00000000-0005-0000-0000-0000D11D0000}"/>
    <cellStyle name="20% - Accent4 81 10" xfId="7636" xr:uid="{00000000-0005-0000-0000-0000D21D0000}"/>
    <cellStyle name="20% - Accent4 81 10 2" xfId="7637" xr:uid="{00000000-0005-0000-0000-0000D31D0000}"/>
    <cellStyle name="20% - Accent4 81 10 2 2" xfId="7638" xr:uid="{00000000-0005-0000-0000-0000D41D0000}"/>
    <cellStyle name="20% - Accent4 81 10 3" xfId="7639" xr:uid="{00000000-0005-0000-0000-0000D51D0000}"/>
    <cellStyle name="20% - Accent4 81 11" xfId="7640" xr:uid="{00000000-0005-0000-0000-0000D61D0000}"/>
    <cellStyle name="20% - Accent4 81 11 2" xfId="7641" xr:uid="{00000000-0005-0000-0000-0000D71D0000}"/>
    <cellStyle name="20% - Accent4 81 11 2 2" xfId="7642" xr:uid="{00000000-0005-0000-0000-0000D81D0000}"/>
    <cellStyle name="20% - Accent4 81 11 3" xfId="7643" xr:uid="{00000000-0005-0000-0000-0000D91D0000}"/>
    <cellStyle name="20% - Accent4 81 12" xfId="7644" xr:uid="{00000000-0005-0000-0000-0000DA1D0000}"/>
    <cellStyle name="20% - Accent4 81 12 2" xfId="7645" xr:uid="{00000000-0005-0000-0000-0000DB1D0000}"/>
    <cellStyle name="20% - Accent4 81 12 2 2" xfId="7646" xr:uid="{00000000-0005-0000-0000-0000DC1D0000}"/>
    <cellStyle name="20% - Accent4 81 12 3" xfId="7647" xr:uid="{00000000-0005-0000-0000-0000DD1D0000}"/>
    <cellStyle name="20% - Accent4 81 13" xfId="7648" xr:uid="{00000000-0005-0000-0000-0000DE1D0000}"/>
    <cellStyle name="20% - Accent4 81 13 2" xfId="7649" xr:uid="{00000000-0005-0000-0000-0000DF1D0000}"/>
    <cellStyle name="20% - Accent4 81 13 2 2" xfId="7650" xr:uid="{00000000-0005-0000-0000-0000E01D0000}"/>
    <cellStyle name="20% - Accent4 81 13 3" xfId="7651" xr:uid="{00000000-0005-0000-0000-0000E11D0000}"/>
    <cellStyle name="20% - Accent4 81 14" xfId="7652" xr:uid="{00000000-0005-0000-0000-0000E21D0000}"/>
    <cellStyle name="20% - Accent4 81 14 2" xfId="7653" xr:uid="{00000000-0005-0000-0000-0000E31D0000}"/>
    <cellStyle name="20% - Accent4 81 14 2 2" xfId="7654" xr:uid="{00000000-0005-0000-0000-0000E41D0000}"/>
    <cellStyle name="20% - Accent4 81 14 3" xfId="7655" xr:uid="{00000000-0005-0000-0000-0000E51D0000}"/>
    <cellStyle name="20% - Accent4 81 15" xfId="7656" xr:uid="{00000000-0005-0000-0000-0000E61D0000}"/>
    <cellStyle name="20% - Accent4 81 15 2" xfId="7657" xr:uid="{00000000-0005-0000-0000-0000E71D0000}"/>
    <cellStyle name="20% - Accent4 81 15 2 2" xfId="7658" xr:uid="{00000000-0005-0000-0000-0000E81D0000}"/>
    <cellStyle name="20% - Accent4 81 15 3" xfId="7659" xr:uid="{00000000-0005-0000-0000-0000E91D0000}"/>
    <cellStyle name="20% - Accent4 81 16" xfId="7660" xr:uid="{00000000-0005-0000-0000-0000EA1D0000}"/>
    <cellStyle name="20% - Accent4 81 16 2" xfId="7661" xr:uid="{00000000-0005-0000-0000-0000EB1D0000}"/>
    <cellStyle name="20% - Accent4 81 16 2 2" xfId="7662" xr:uid="{00000000-0005-0000-0000-0000EC1D0000}"/>
    <cellStyle name="20% - Accent4 81 16 3" xfId="7663" xr:uid="{00000000-0005-0000-0000-0000ED1D0000}"/>
    <cellStyle name="20% - Accent4 81 17" xfId="7664" xr:uid="{00000000-0005-0000-0000-0000EE1D0000}"/>
    <cellStyle name="20% - Accent4 81 17 2" xfId="7665" xr:uid="{00000000-0005-0000-0000-0000EF1D0000}"/>
    <cellStyle name="20% - Accent4 81 17 2 2" xfId="7666" xr:uid="{00000000-0005-0000-0000-0000F01D0000}"/>
    <cellStyle name="20% - Accent4 81 17 3" xfId="7667" xr:uid="{00000000-0005-0000-0000-0000F11D0000}"/>
    <cellStyle name="20% - Accent4 81 18" xfId="7668" xr:uid="{00000000-0005-0000-0000-0000F21D0000}"/>
    <cellStyle name="20% - Accent4 81 18 2" xfId="7669" xr:uid="{00000000-0005-0000-0000-0000F31D0000}"/>
    <cellStyle name="20% - Accent4 81 18 2 2" xfId="7670" xr:uid="{00000000-0005-0000-0000-0000F41D0000}"/>
    <cellStyle name="20% - Accent4 81 18 3" xfId="7671" xr:uid="{00000000-0005-0000-0000-0000F51D0000}"/>
    <cellStyle name="20% - Accent4 81 19" xfId="7672" xr:uid="{00000000-0005-0000-0000-0000F61D0000}"/>
    <cellStyle name="20% - Accent4 81 19 2" xfId="7673" xr:uid="{00000000-0005-0000-0000-0000F71D0000}"/>
    <cellStyle name="20% - Accent4 81 19 2 2" xfId="7674" xr:uid="{00000000-0005-0000-0000-0000F81D0000}"/>
    <cellStyle name="20% - Accent4 81 19 3" xfId="7675" xr:uid="{00000000-0005-0000-0000-0000F91D0000}"/>
    <cellStyle name="20% - Accent4 81 2" xfId="7676" xr:uid="{00000000-0005-0000-0000-0000FA1D0000}"/>
    <cellStyle name="20% - Accent4 81 2 2" xfId="7677" xr:uid="{00000000-0005-0000-0000-0000FB1D0000}"/>
    <cellStyle name="20% - Accent4 81 2 2 2" xfId="7678" xr:uid="{00000000-0005-0000-0000-0000FC1D0000}"/>
    <cellStyle name="20% - Accent4 81 2 3" xfId="7679" xr:uid="{00000000-0005-0000-0000-0000FD1D0000}"/>
    <cellStyle name="20% - Accent4 81 20" xfId="7680" xr:uid="{00000000-0005-0000-0000-0000FE1D0000}"/>
    <cellStyle name="20% - Accent4 81 20 2" xfId="7681" xr:uid="{00000000-0005-0000-0000-0000FF1D0000}"/>
    <cellStyle name="20% - Accent4 81 20 2 2" xfId="7682" xr:uid="{00000000-0005-0000-0000-0000001E0000}"/>
    <cellStyle name="20% - Accent4 81 20 3" xfId="7683" xr:uid="{00000000-0005-0000-0000-0000011E0000}"/>
    <cellStyle name="20% - Accent4 81 21" xfId="7684" xr:uid="{00000000-0005-0000-0000-0000021E0000}"/>
    <cellStyle name="20% - Accent4 81 21 2" xfId="7685" xr:uid="{00000000-0005-0000-0000-0000031E0000}"/>
    <cellStyle name="20% - Accent4 81 21 2 2" xfId="7686" xr:uid="{00000000-0005-0000-0000-0000041E0000}"/>
    <cellStyle name="20% - Accent4 81 21 3" xfId="7687" xr:uid="{00000000-0005-0000-0000-0000051E0000}"/>
    <cellStyle name="20% - Accent4 81 22" xfId="7688" xr:uid="{00000000-0005-0000-0000-0000061E0000}"/>
    <cellStyle name="20% - Accent4 81 22 2" xfId="7689" xr:uid="{00000000-0005-0000-0000-0000071E0000}"/>
    <cellStyle name="20% - Accent4 81 22 2 2" xfId="7690" xr:uid="{00000000-0005-0000-0000-0000081E0000}"/>
    <cellStyle name="20% - Accent4 81 22 3" xfId="7691" xr:uid="{00000000-0005-0000-0000-0000091E0000}"/>
    <cellStyle name="20% - Accent4 81 23" xfId="7692" xr:uid="{00000000-0005-0000-0000-00000A1E0000}"/>
    <cellStyle name="20% - Accent4 81 23 2" xfId="7693" xr:uid="{00000000-0005-0000-0000-00000B1E0000}"/>
    <cellStyle name="20% - Accent4 81 23 2 2" xfId="7694" xr:uid="{00000000-0005-0000-0000-00000C1E0000}"/>
    <cellStyle name="20% - Accent4 81 23 3" xfId="7695" xr:uid="{00000000-0005-0000-0000-00000D1E0000}"/>
    <cellStyle name="20% - Accent4 81 24" xfId="7696" xr:uid="{00000000-0005-0000-0000-00000E1E0000}"/>
    <cellStyle name="20% - Accent4 81 24 2" xfId="7697" xr:uid="{00000000-0005-0000-0000-00000F1E0000}"/>
    <cellStyle name="20% - Accent4 81 24 2 2" xfId="7698" xr:uid="{00000000-0005-0000-0000-0000101E0000}"/>
    <cellStyle name="20% - Accent4 81 24 3" xfId="7699" xr:uid="{00000000-0005-0000-0000-0000111E0000}"/>
    <cellStyle name="20% - Accent4 81 25" xfId="7700" xr:uid="{00000000-0005-0000-0000-0000121E0000}"/>
    <cellStyle name="20% - Accent4 81 25 2" xfId="7701" xr:uid="{00000000-0005-0000-0000-0000131E0000}"/>
    <cellStyle name="20% - Accent4 81 25 2 2" xfId="7702" xr:uid="{00000000-0005-0000-0000-0000141E0000}"/>
    <cellStyle name="20% - Accent4 81 25 3" xfId="7703" xr:uid="{00000000-0005-0000-0000-0000151E0000}"/>
    <cellStyle name="20% - Accent4 81 26" xfId="7704" xr:uid="{00000000-0005-0000-0000-0000161E0000}"/>
    <cellStyle name="20% - Accent4 81 26 2" xfId="7705" xr:uid="{00000000-0005-0000-0000-0000171E0000}"/>
    <cellStyle name="20% - Accent4 81 26 2 2" xfId="7706" xr:uid="{00000000-0005-0000-0000-0000181E0000}"/>
    <cellStyle name="20% - Accent4 81 26 3" xfId="7707" xr:uid="{00000000-0005-0000-0000-0000191E0000}"/>
    <cellStyle name="20% - Accent4 81 27" xfId="7708" xr:uid="{00000000-0005-0000-0000-00001A1E0000}"/>
    <cellStyle name="20% - Accent4 81 27 2" xfId="7709" xr:uid="{00000000-0005-0000-0000-00001B1E0000}"/>
    <cellStyle name="20% - Accent4 81 27 2 2" xfId="7710" xr:uid="{00000000-0005-0000-0000-00001C1E0000}"/>
    <cellStyle name="20% - Accent4 81 27 3" xfId="7711" xr:uid="{00000000-0005-0000-0000-00001D1E0000}"/>
    <cellStyle name="20% - Accent4 81 28" xfId="7712" xr:uid="{00000000-0005-0000-0000-00001E1E0000}"/>
    <cellStyle name="20% - Accent4 81 28 2" xfId="7713" xr:uid="{00000000-0005-0000-0000-00001F1E0000}"/>
    <cellStyle name="20% - Accent4 81 28 2 2" xfId="7714" xr:uid="{00000000-0005-0000-0000-0000201E0000}"/>
    <cellStyle name="20% - Accent4 81 28 3" xfId="7715" xr:uid="{00000000-0005-0000-0000-0000211E0000}"/>
    <cellStyle name="20% - Accent4 81 29" xfId="7716" xr:uid="{00000000-0005-0000-0000-0000221E0000}"/>
    <cellStyle name="20% - Accent4 81 29 2" xfId="7717" xr:uid="{00000000-0005-0000-0000-0000231E0000}"/>
    <cellStyle name="20% - Accent4 81 29 2 2" xfId="7718" xr:uid="{00000000-0005-0000-0000-0000241E0000}"/>
    <cellStyle name="20% - Accent4 81 29 3" xfId="7719" xr:uid="{00000000-0005-0000-0000-0000251E0000}"/>
    <cellStyle name="20% - Accent4 81 3" xfId="7720" xr:uid="{00000000-0005-0000-0000-0000261E0000}"/>
    <cellStyle name="20% - Accent4 81 3 2" xfId="7721" xr:uid="{00000000-0005-0000-0000-0000271E0000}"/>
    <cellStyle name="20% - Accent4 81 3 2 2" xfId="7722" xr:uid="{00000000-0005-0000-0000-0000281E0000}"/>
    <cellStyle name="20% - Accent4 81 3 3" xfId="7723" xr:uid="{00000000-0005-0000-0000-0000291E0000}"/>
    <cellStyle name="20% - Accent4 81 30" xfId="7724" xr:uid="{00000000-0005-0000-0000-00002A1E0000}"/>
    <cellStyle name="20% - Accent4 81 30 2" xfId="7725" xr:uid="{00000000-0005-0000-0000-00002B1E0000}"/>
    <cellStyle name="20% - Accent4 81 30 2 2" xfId="7726" xr:uid="{00000000-0005-0000-0000-00002C1E0000}"/>
    <cellStyle name="20% - Accent4 81 30 3" xfId="7727" xr:uid="{00000000-0005-0000-0000-00002D1E0000}"/>
    <cellStyle name="20% - Accent4 81 31" xfId="7728" xr:uid="{00000000-0005-0000-0000-00002E1E0000}"/>
    <cellStyle name="20% - Accent4 81 31 2" xfId="7729" xr:uid="{00000000-0005-0000-0000-00002F1E0000}"/>
    <cellStyle name="20% - Accent4 81 31 2 2" xfId="7730" xr:uid="{00000000-0005-0000-0000-0000301E0000}"/>
    <cellStyle name="20% - Accent4 81 31 3" xfId="7731" xr:uid="{00000000-0005-0000-0000-0000311E0000}"/>
    <cellStyle name="20% - Accent4 81 32" xfId="7732" xr:uid="{00000000-0005-0000-0000-0000321E0000}"/>
    <cellStyle name="20% - Accent4 81 32 2" xfId="7733" xr:uid="{00000000-0005-0000-0000-0000331E0000}"/>
    <cellStyle name="20% - Accent4 81 32 2 2" xfId="7734" xr:uid="{00000000-0005-0000-0000-0000341E0000}"/>
    <cellStyle name="20% - Accent4 81 32 3" xfId="7735" xr:uid="{00000000-0005-0000-0000-0000351E0000}"/>
    <cellStyle name="20% - Accent4 81 33" xfId="7736" xr:uid="{00000000-0005-0000-0000-0000361E0000}"/>
    <cellStyle name="20% - Accent4 81 33 2" xfId="7737" xr:uid="{00000000-0005-0000-0000-0000371E0000}"/>
    <cellStyle name="20% - Accent4 81 33 2 2" xfId="7738" xr:uid="{00000000-0005-0000-0000-0000381E0000}"/>
    <cellStyle name="20% - Accent4 81 33 3" xfId="7739" xr:uid="{00000000-0005-0000-0000-0000391E0000}"/>
    <cellStyle name="20% - Accent4 81 34" xfId="7740" xr:uid="{00000000-0005-0000-0000-00003A1E0000}"/>
    <cellStyle name="20% - Accent4 81 34 2" xfId="7741" xr:uid="{00000000-0005-0000-0000-00003B1E0000}"/>
    <cellStyle name="20% - Accent4 81 34 2 2" xfId="7742" xr:uid="{00000000-0005-0000-0000-00003C1E0000}"/>
    <cellStyle name="20% - Accent4 81 34 3" xfId="7743" xr:uid="{00000000-0005-0000-0000-00003D1E0000}"/>
    <cellStyle name="20% - Accent4 81 35" xfId="7744" xr:uid="{00000000-0005-0000-0000-00003E1E0000}"/>
    <cellStyle name="20% - Accent4 81 35 2" xfId="7745" xr:uid="{00000000-0005-0000-0000-00003F1E0000}"/>
    <cellStyle name="20% - Accent4 81 35 2 2" xfId="7746" xr:uid="{00000000-0005-0000-0000-0000401E0000}"/>
    <cellStyle name="20% - Accent4 81 35 3" xfId="7747" xr:uid="{00000000-0005-0000-0000-0000411E0000}"/>
    <cellStyle name="20% - Accent4 81 36" xfId="7748" xr:uid="{00000000-0005-0000-0000-0000421E0000}"/>
    <cellStyle name="20% - Accent4 81 36 2" xfId="7749" xr:uid="{00000000-0005-0000-0000-0000431E0000}"/>
    <cellStyle name="20% - Accent4 81 36 2 2" xfId="7750" xr:uid="{00000000-0005-0000-0000-0000441E0000}"/>
    <cellStyle name="20% - Accent4 81 36 3" xfId="7751" xr:uid="{00000000-0005-0000-0000-0000451E0000}"/>
    <cellStyle name="20% - Accent4 81 4" xfId="7752" xr:uid="{00000000-0005-0000-0000-0000461E0000}"/>
    <cellStyle name="20% - Accent4 81 4 2" xfId="7753" xr:uid="{00000000-0005-0000-0000-0000471E0000}"/>
    <cellStyle name="20% - Accent4 81 4 2 2" xfId="7754" xr:uid="{00000000-0005-0000-0000-0000481E0000}"/>
    <cellStyle name="20% - Accent4 81 4 3" xfId="7755" xr:uid="{00000000-0005-0000-0000-0000491E0000}"/>
    <cellStyle name="20% - Accent4 81 5" xfId="7756" xr:uid="{00000000-0005-0000-0000-00004A1E0000}"/>
    <cellStyle name="20% - Accent4 81 5 2" xfId="7757" xr:uid="{00000000-0005-0000-0000-00004B1E0000}"/>
    <cellStyle name="20% - Accent4 81 5 2 2" xfId="7758" xr:uid="{00000000-0005-0000-0000-00004C1E0000}"/>
    <cellStyle name="20% - Accent4 81 5 3" xfId="7759" xr:uid="{00000000-0005-0000-0000-00004D1E0000}"/>
    <cellStyle name="20% - Accent4 81 6" xfId="7760" xr:uid="{00000000-0005-0000-0000-00004E1E0000}"/>
    <cellStyle name="20% - Accent4 81 6 2" xfId="7761" xr:uid="{00000000-0005-0000-0000-00004F1E0000}"/>
    <cellStyle name="20% - Accent4 81 6 2 2" xfId="7762" xr:uid="{00000000-0005-0000-0000-0000501E0000}"/>
    <cellStyle name="20% - Accent4 81 6 3" xfId="7763" xr:uid="{00000000-0005-0000-0000-0000511E0000}"/>
    <cellStyle name="20% - Accent4 81 7" xfId="7764" xr:uid="{00000000-0005-0000-0000-0000521E0000}"/>
    <cellStyle name="20% - Accent4 81 7 2" xfId="7765" xr:uid="{00000000-0005-0000-0000-0000531E0000}"/>
    <cellStyle name="20% - Accent4 81 7 2 2" xfId="7766" xr:uid="{00000000-0005-0000-0000-0000541E0000}"/>
    <cellStyle name="20% - Accent4 81 7 3" xfId="7767" xr:uid="{00000000-0005-0000-0000-0000551E0000}"/>
    <cellStyle name="20% - Accent4 81 8" xfId="7768" xr:uid="{00000000-0005-0000-0000-0000561E0000}"/>
    <cellStyle name="20% - Accent4 81 8 2" xfId="7769" xr:uid="{00000000-0005-0000-0000-0000571E0000}"/>
    <cellStyle name="20% - Accent4 81 8 2 2" xfId="7770" xr:uid="{00000000-0005-0000-0000-0000581E0000}"/>
    <cellStyle name="20% - Accent4 81 8 3" xfId="7771" xr:uid="{00000000-0005-0000-0000-0000591E0000}"/>
    <cellStyle name="20% - Accent4 81 9" xfId="7772" xr:uid="{00000000-0005-0000-0000-00005A1E0000}"/>
    <cellStyle name="20% - Accent4 81 9 2" xfId="7773" xr:uid="{00000000-0005-0000-0000-00005B1E0000}"/>
    <cellStyle name="20% - Accent4 81 9 2 2" xfId="7774" xr:uid="{00000000-0005-0000-0000-00005C1E0000}"/>
    <cellStyle name="20% - Accent4 81 9 3" xfId="7775" xr:uid="{00000000-0005-0000-0000-00005D1E0000}"/>
    <cellStyle name="20% - Accent4 82" xfId="7776" xr:uid="{00000000-0005-0000-0000-00005E1E0000}"/>
    <cellStyle name="20% - Accent4 82 2" xfId="7777" xr:uid="{00000000-0005-0000-0000-00005F1E0000}"/>
    <cellStyle name="20% - Accent4 83" xfId="7778" xr:uid="{00000000-0005-0000-0000-0000601E0000}"/>
    <cellStyle name="20% - Accent4 83 10" xfId="7779" xr:uid="{00000000-0005-0000-0000-0000611E0000}"/>
    <cellStyle name="20% - Accent4 83 10 2" xfId="7780" xr:uid="{00000000-0005-0000-0000-0000621E0000}"/>
    <cellStyle name="20% - Accent4 83 10 2 2" xfId="7781" xr:uid="{00000000-0005-0000-0000-0000631E0000}"/>
    <cellStyle name="20% - Accent4 83 10 3" xfId="7782" xr:uid="{00000000-0005-0000-0000-0000641E0000}"/>
    <cellStyle name="20% - Accent4 83 11" xfId="7783" xr:uid="{00000000-0005-0000-0000-0000651E0000}"/>
    <cellStyle name="20% - Accent4 83 11 2" xfId="7784" xr:uid="{00000000-0005-0000-0000-0000661E0000}"/>
    <cellStyle name="20% - Accent4 83 11 2 2" xfId="7785" xr:uid="{00000000-0005-0000-0000-0000671E0000}"/>
    <cellStyle name="20% - Accent4 83 11 3" xfId="7786" xr:uid="{00000000-0005-0000-0000-0000681E0000}"/>
    <cellStyle name="20% - Accent4 83 12" xfId="7787" xr:uid="{00000000-0005-0000-0000-0000691E0000}"/>
    <cellStyle name="20% - Accent4 83 12 2" xfId="7788" xr:uid="{00000000-0005-0000-0000-00006A1E0000}"/>
    <cellStyle name="20% - Accent4 83 12 2 2" xfId="7789" xr:uid="{00000000-0005-0000-0000-00006B1E0000}"/>
    <cellStyle name="20% - Accent4 83 12 3" xfId="7790" xr:uid="{00000000-0005-0000-0000-00006C1E0000}"/>
    <cellStyle name="20% - Accent4 83 13" xfId="7791" xr:uid="{00000000-0005-0000-0000-00006D1E0000}"/>
    <cellStyle name="20% - Accent4 83 13 2" xfId="7792" xr:uid="{00000000-0005-0000-0000-00006E1E0000}"/>
    <cellStyle name="20% - Accent4 83 13 2 2" xfId="7793" xr:uid="{00000000-0005-0000-0000-00006F1E0000}"/>
    <cellStyle name="20% - Accent4 83 13 3" xfId="7794" xr:uid="{00000000-0005-0000-0000-0000701E0000}"/>
    <cellStyle name="20% - Accent4 83 14" xfId="7795" xr:uid="{00000000-0005-0000-0000-0000711E0000}"/>
    <cellStyle name="20% - Accent4 83 14 2" xfId="7796" xr:uid="{00000000-0005-0000-0000-0000721E0000}"/>
    <cellStyle name="20% - Accent4 83 14 2 2" xfId="7797" xr:uid="{00000000-0005-0000-0000-0000731E0000}"/>
    <cellStyle name="20% - Accent4 83 14 3" xfId="7798" xr:uid="{00000000-0005-0000-0000-0000741E0000}"/>
    <cellStyle name="20% - Accent4 83 15" xfId="7799" xr:uid="{00000000-0005-0000-0000-0000751E0000}"/>
    <cellStyle name="20% - Accent4 83 15 2" xfId="7800" xr:uid="{00000000-0005-0000-0000-0000761E0000}"/>
    <cellStyle name="20% - Accent4 83 15 2 2" xfId="7801" xr:uid="{00000000-0005-0000-0000-0000771E0000}"/>
    <cellStyle name="20% - Accent4 83 15 3" xfId="7802" xr:uid="{00000000-0005-0000-0000-0000781E0000}"/>
    <cellStyle name="20% - Accent4 83 16" xfId="7803" xr:uid="{00000000-0005-0000-0000-0000791E0000}"/>
    <cellStyle name="20% - Accent4 83 16 2" xfId="7804" xr:uid="{00000000-0005-0000-0000-00007A1E0000}"/>
    <cellStyle name="20% - Accent4 83 16 2 2" xfId="7805" xr:uid="{00000000-0005-0000-0000-00007B1E0000}"/>
    <cellStyle name="20% - Accent4 83 16 3" xfId="7806" xr:uid="{00000000-0005-0000-0000-00007C1E0000}"/>
    <cellStyle name="20% - Accent4 83 17" xfId="7807" xr:uid="{00000000-0005-0000-0000-00007D1E0000}"/>
    <cellStyle name="20% - Accent4 83 17 2" xfId="7808" xr:uid="{00000000-0005-0000-0000-00007E1E0000}"/>
    <cellStyle name="20% - Accent4 83 17 2 2" xfId="7809" xr:uid="{00000000-0005-0000-0000-00007F1E0000}"/>
    <cellStyle name="20% - Accent4 83 17 3" xfId="7810" xr:uid="{00000000-0005-0000-0000-0000801E0000}"/>
    <cellStyle name="20% - Accent4 83 18" xfId="7811" xr:uid="{00000000-0005-0000-0000-0000811E0000}"/>
    <cellStyle name="20% - Accent4 83 18 2" xfId="7812" xr:uid="{00000000-0005-0000-0000-0000821E0000}"/>
    <cellStyle name="20% - Accent4 83 18 2 2" xfId="7813" xr:uid="{00000000-0005-0000-0000-0000831E0000}"/>
    <cellStyle name="20% - Accent4 83 18 3" xfId="7814" xr:uid="{00000000-0005-0000-0000-0000841E0000}"/>
    <cellStyle name="20% - Accent4 83 19" xfId="7815" xr:uid="{00000000-0005-0000-0000-0000851E0000}"/>
    <cellStyle name="20% - Accent4 83 19 2" xfId="7816" xr:uid="{00000000-0005-0000-0000-0000861E0000}"/>
    <cellStyle name="20% - Accent4 83 19 2 2" xfId="7817" xr:uid="{00000000-0005-0000-0000-0000871E0000}"/>
    <cellStyle name="20% - Accent4 83 19 3" xfId="7818" xr:uid="{00000000-0005-0000-0000-0000881E0000}"/>
    <cellStyle name="20% - Accent4 83 2" xfId="7819" xr:uid="{00000000-0005-0000-0000-0000891E0000}"/>
    <cellStyle name="20% - Accent4 83 2 2" xfId="7820" xr:uid="{00000000-0005-0000-0000-00008A1E0000}"/>
    <cellStyle name="20% - Accent4 83 2 2 2" xfId="7821" xr:uid="{00000000-0005-0000-0000-00008B1E0000}"/>
    <cellStyle name="20% - Accent4 83 2 3" xfId="7822" xr:uid="{00000000-0005-0000-0000-00008C1E0000}"/>
    <cellStyle name="20% - Accent4 83 20" xfId="7823" xr:uid="{00000000-0005-0000-0000-00008D1E0000}"/>
    <cellStyle name="20% - Accent4 83 20 2" xfId="7824" xr:uid="{00000000-0005-0000-0000-00008E1E0000}"/>
    <cellStyle name="20% - Accent4 83 20 2 2" xfId="7825" xr:uid="{00000000-0005-0000-0000-00008F1E0000}"/>
    <cellStyle name="20% - Accent4 83 20 3" xfId="7826" xr:uid="{00000000-0005-0000-0000-0000901E0000}"/>
    <cellStyle name="20% - Accent4 83 21" xfId="7827" xr:uid="{00000000-0005-0000-0000-0000911E0000}"/>
    <cellStyle name="20% - Accent4 83 21 2" xfId="7828" xr:uid="{00000000-0005-0000-0000-0000921E0000}"/>
    <cellStyle name="20% - Accent4 83 21 2 2" xfId="7829" xr:uid="{00000000-0005-0000-0000-0000931E0000}"/>
    <cellStyle name="20% - Accent4 83 21 3" xfId="7830" xr:uid="{00000000-0005-0000-0000-0000941E0000}"/>
    <cellStyle name="20% - Accent4 83 22" xfId="7831" xr:uid="{00000000-0005-0000-0000-0000951E0000}"/>
    <cellStyle name="20% - Accent4 83 22 2" xfId="7832" xr:uid="{00000000-0005-0000-0000-0000961E0000}"/>
    <cellStyle name="20% - Accent4 83 22 2 2" xfId="7833" xr:uid="{00000000-0005-0000-0000-0000971E0000}"/>
    <cellStyle name="20% - Accent4 83 22 3" xfId="7834" xr:uid="{00000000-0005-0000-0000-0000981E0000}"/>
    <cellStyle name="20% - Accent4 83 23" xfId="7835" xr:uid="{00000000-0005-0000-0000-0000991E0000}"/>
    <cellStyle name="20% - Accent4 83 23 2" xfId="7836" xr:uid="{00000000-0005-0000-0000-00009A1E0000}"/>
    <cellStyle name="20% - Accent4 83 23 2 2" xfId="7837" xr:uid="{00000000-0005-0000-0000-00009B1E0000}"/>
    <cellStyle name="20% - Accent4 83 23 3" xfId="7838" xr:uid="{00000000-0005-0000-0000-00009C1E0000}"/>
    <cellStyle name="20% - Accent4 83 24" xfId="7839" xr:uid="{00000000-0005-0000-0000-00009D1E0000}"/>
    <cellStyle name="20% - Accent4 83 24 2" xfId="7840" xr:uid="{00000000-0005-0000-0000-00009E1E0000}"/>
    <cellStyle name="20% - Accent4 83 24 2 2" xfId="7841" xr:uid="{00000000-0005-0000-0000-00009F1E0000}"/>
    <cellStyle name="20% - Accent4 83 24 3" xfId="7842" xr:uid="{00000000-0005-0000-0000-0000A01E0000}"/>
    <cellStyle name="20% - Accent4 83 25" xfId="7843" xr:uid="{00000000-0005-0000-0000-0000A11E0000}"/>
    <cellStyle name="20% - Accent4 83 25 2" xfId="7844" xr:uid="{00000000-0005-0000-0000-0000A21E0000}"/>
    <cellStyle name="20% - Accent4 83 25 2 2" xfId="7845" xr:uid="{00000000-0005-0000-0000-0000A31E0000}"/>
    <cellStyle name="20% - Accent4 83 25 3" xfId="7846" xr:uid="{00000000-0005-0000-0000-0000A41E0000}"/>
    <cellStyle name="20% - Accent4 83 26" xfId="7847" xr:uid="{00000000-0005-0000-0000-0000A51E0000}"/>
    <cellStyle name="20% - Accent4 83 26 2" xfId="7848" xr:uid="{00000000-0005-0000-0000-0000A61E0000}"/>
    <cellStyle name="20% - Accent4 83 26 2 2" xfId="7849" xr:uid="{00000000-0005-0000-0000-0000A71E0000}"/>
    <cellStyle name="20% - Accent4 83 26 3" xfId="7850" xr:uid="{00000000-0005-0000-0000-0000A81E0000}"/>
    <cellStyle name="20% - Accent4 83 27" xfId="7851" xr:uid="{00000000-0005-0000-0000-0000A91E0000}"/>
    <cellStyle name="20% - Accent4 83 27 2" xfId="7852" xr:uid="{00000000-0005-0000-0000-0000AA1E0000}"/>
    <cellStyle name="20% - Accent4 83 27 2 2" xfId="7853" xr:uid="{00000000-0005-0000-0000-0000AB1E0000}"/>
    <cellStyle name="20% - Accent4 83 27 3" xfId="7854" xr:uid="{00000000-0005-0000-0000-0000AC1E0000}"/>
    <cellStyle name="20% - Accent4 83 28" xfId="7855" xr:uid="{00000000-0005-0000-0000-0000AD1E0000}"/>
    <cellStyle name="20% - Accent4 83 28 2" xfId="7856" xr:uid="{00000000-0005-0000-0000-0000AE1E0000}"/>
    <cellStyle name="20% - Accent4 83 28 2 2" xfId="7857" xr:uid="{00000000-0005-0000-0000-0000AF1E0000}"/>
    <cellStyle name="20% - Accent4 83 28 3" xfId="7858" xr:uid="{00000000-0005-0000-0000-0000B01E0000}"/>
    <cellStyle name="20% - Accent4 83 29" xfId="7859" xr:uid="{00000000-0005-0000-0000-0000B11E0000}"/>
    <cellStyle name="20% - Accent4 83 29 2" xfId="7860" xr:uid="{00000000-0005-0000-0000-0000B21E0000}"/>
    <cellStyle name="20% - Accent4 83 29 2 2" xfId="7861" xr:uid="{00000000-0005-0000-0000-0000B31E0000}"/>
    <cellStyle name="20% - Accent4 83 29 3" xfId="7862" xr:uid="{00000000-0005-0000-0000-0000B41E0000}"/>
    <cellStyle name="20% - Accent4 83 3" xfId="7863" xr:uid="{00000000-0005-0000-0000-0000B51E0000}"/>
    <cellStyle name="20% - Accent4 83 3 2" xfId="7864" xr:uid="{00000000-0005-0000-0000-0000B61E0000}"/>
    <cellStyle name="20% - Accent4 83 3 2 2" xfId="7865" xr:uid="{00000000-0005-0000-0000-0000B71E0000}"/>
    <cellStyle name="20% - Accent4 83 3 3" xfId="7866" xr:uid="{00000000-0005-0000-0000-0000B81E0000}"/>
    <cellStyle name="20% - Accent4 83 30" xfId="7867" xr:uid="{00000000-0005-0000-0000-0000B91E0000}"/>
    <cellStyle name="20% - Accent4 83 30 2" xfId="7868" xr:uid="{00000000-0005-0000-0000-0000BA1E0000}"/>
    <cellStyle name="20% - Accent4 83 30 2 2" xfId="7869" xr:uid="{00000000-0005-0000-0000-0000BB1E0000}"/>
    <cellStyle name="20% - Accent4 83 30 3" xfId="7870" xr:uid="{00000000-0005-0000-0000-0000BC1E0000}"/>
    <cellStyle name="20% - Accent4 83 31" xfId="7871" xr:uid="{00000000-0005-0000-0000-0000BD1E0000}"/>
    <cellStyle name="20% - Accent4 83 31 2" xfId="7872" xr:uid="{00000000-0005-0000-0000-0000BE1E0000}"/>
    <cellStyle name="20% - Accent4 83 31 2 2" xfId="7873" xr:uid="{00000000-0005-0000-0000-0000BF1E0000}"/>
    <cellStyle name="20% - Accent4 83 31 3" xfId="7874" xr:uid="{00000000-0005-0000-0000-0000C01E0000}"/>
    <cellStyle name="20% - Accent4 83 32" xfId="7875" xr:uid="{00000000-0005-0000-0000-0000C11E0000}"/>
    <cellStyle name="20% - Accent4 83 32 2" xfId="7876" xr:uid="{00000000-0005-0000-0000-0000C21E0000}"/>
    <cellStyle name="20% - Accent4 83 32 2 2" xfId="7877" xr:uid="{00000000-0005-0000-0000-0000C31E0000}"/>
    <cellStyle name="20% - Accent4 83 32 3" xfId="7878" xr:uid="{00000000-0005-0000-0000-0000C41E0000}"/>
    <cellStyle name="20% - Accent4 83 33" xfId="7879" xr:uid="{00000000-0005-0000-0000-0000C51E0000}"/>
    <cellStyle name="20% - Accent4 83 33 2" xfId="7880" xr:uid="{00000000-0005-0000-0000-0000C61E0000}"/>
    <cellStyle name="20% - Accent4 83 33 2 2" xfId="7881" xr:uid="{00000000-0005-0000-0000-0000C71E0000}"/>
    <cellStyle name="20% - Accent4 83 33 3" xfId="7882" xr:uid="{00000000-0005-0000-0000-0000C81E0000}"/>
    <cellStyle name="20% - Accent4 83 34" xfId="7883" xr:uid="{00000000-0005-0000-0000-0000C91E0000}"/>
    <cellStyle name="20% - Accent4 83 34 2" xfId="7884" xr:uid="{00000000-0005-0000-0000-0000CA1E0000}"/>
    <cellStyle name="20% - Accent4 83 34 2 2" xfId="7885" xr:uid="{00000000-0005-0000-0000-0000CB1E0000}"/>
    <cellStyle name="20% - Accent4 83 34 3" xfId="7886" xr:uid="{00000000-0005-0000-0000-0000CC1E0000}"/>
    <cellStyle name="20% - Accent4 83 35" xfId="7887" xr:uid="{00000000-0005-0000-0000-0000CD1E0000}"/>
    <cellStyle name="20% - Accent4 83 35 2" xfId="7888" xr:uid="{00000000-0005-0000-0000-0000CE1E0000}"/>
    <cellStyle name="20% - Accent4 83 35 2 2" xfId="7889" xr:uid="{00000000-0005-0000-0000-0000CF1E0000}"/>
    <cellStyle name="20% - Accent4 83 35 3" xfId="7890" xr:uid="{00000000-0005-0000-0000-0000D01E0000}"/>
    <cellStyle name="20% - Accent4 83 36" xfId="7891" xr:uid="{00000000-0005-0000-0000-0000D11E0000}"/>
    <cellStyle name="20% - Accent4 83 36 2" xfId="7892" xr:uid="{00000000-0005-0000-0000-0000D21E0000}"/>
    <cellStyle name="20% - Accent4 83 36 2 2" xfId="7893" xr:uid="{00000000-0005-0000-0000-0000D31E0000}"/>
    <cellStyle name="20% - Accent4 83 36 3" xfId="7894" xr:uid="{00000000-0005-0000-0000-0000D41E0000}"/>
    <cellStyle name="20% - Accent4 83 4" xfId="7895" xr:uid="{00000000-0005-0000-0000-0000D51E0000}"/>
    <cellStyle name="20% - Accent4 83 4 2" xfId="7896" xr:uid="{00000000-0005-0000-0000-0000D61E0000}"/>
    <cellStyle name="20% - Accent4 83 4 2 2" xfId="7897" xr:uid="{00000000-0005-0000-0000-0000D71E0000}"/>
    <cellStyle name="20% - Accent4 83 4 3" xfId="7898" xr:uid="{00000000-0005-0000-0000-0000D81E0000}"/>
    <cellStyle name="20% - Accent4 83 5" xfId="7899" xr:uid="{00000000-0005-0000-0000-0000D91E0000}"/>
    <cellStyle name="20% - Accent4 83 5 2" xfId="7900" xr:uid="{00000000-0005-0000-0000-0000DA1E0000}"/>
    <cellStyle name="20% - Accent4 83 5 2 2" xfId="7901" xr:uid="{00000000-0005-0000-0000-0000DB1E0000}"/>
    <cellStyle name="20% - Accent4 83 5 3" xfId="7902" xr:uid="{00000000-0005-0000-0000-0000DC1E0000}"/>
    <cellStyle name="20% - Accent4 83 6" xfId="7903" xr:uid="{00000000-0005-0000-0000-0000DD1E0000}"/>
    <cellStyle name="20% - Accent4 83 6 2" xfId="7904" xr:uid="{00000000-0005-0000-0000-0000DE1E0000}"/>
    <cellStyle name="20% - Accent4 83 6 2 2" xfId="7905" xr:uid="{00000000-0005-0000-0000-0000DF1E0000}"/>
    <cellStyle name="20% - Accent4 83 6 3" xfId="7906" xr:uid="{00000000-0005-0000-0000-0000E01E0000}"/>
    <cellStyle name="20% - Accent4 83 7" xfId="7907" xr:uid="{00000000-0005-0000-0000-0000E11E0000}"/>
    <cellStyle name="20% - Accent4 83 7 2" xfId="7908" xr:uid="{00000000-0005-0000-0000-0000E21E0000}"/>
    <cellStyle name="20% - Accent4 83 7 2 2" xfId="7909" xr:uid="{00000000-0005-0000-0000-0000E31E0000}"/>
    <cellStyle name="20% - Accent4 83 7 3" xfId="7910" xr:uid="{00000000-0005-0000-0000-0000E41E0000}"/>
    <cellStyle name="20% - Accent4 83 8" xfId="7911" xr:uid="{00000000-0005-0000-0000-0000E51E0000}"/>
    <cellStyle name="20% - Accent4 83 8 2" xfId="7912" xr:uid="{00000000-0005-0000-0000-0000E61E0000}"/>
    <cellStyle name="20% - Accent4 83 8 2 2" xfId="7913" xr:uid="{00000000-0005-0000-0000-0000E71E0000}"/>
    <cellStyle name="20% - Accent4 83 8 3" xfId="7914" xr:uid="{00000000-0005-0000-0000-0000E81E0000}"/>
    <cellStyle name="20% - Accent4 83 9" xfId="7915" xr:uid="{00000000-0005-0000-0000-0000E91E0000}"/>
    <cellStyle name="20% - Accent4 83 9 2" xfId="7916" xr:uid="{00000000-0005-0000-0000-0000EA1E0000}"/>
    <cellStyle name="20% - Accent4 83 9 2 2" xfId="7917" xr:uid="{00000000-0005-0000-0000-0000EB1E0000}"/>
    <cellStyle name="20% - Accent4 83 9 3" xfId="7918" xr:uid="{00000000-0005-0000-0000-0000EC1E0000}"/>
    <cellStyle name="20% - Accent4 84" xfId="7919" xr:uid="{00000000-0005-0000-0000-0000ED1E0000}"/>
    <cellStyle name="20% - Accent4 84 10" xfId="7920" xr:uid="{00000000-0005-0000-0000-0000EE1E0000}"/>
    <cellStyle name="20% - Accent4 84 10 2" xfId="7921" xr:uid="{00000000-0005-0000-0000-0000EF1E0000}"/>
    <cellStyle name="20% - Accent4 84 10 2 2" xfId="7922" xr:uid="{00000000-0005-0000-0000-0000F01E0000}"/>
    <cellStyle name="20% - Accent4 84 10 3" xfId="7923" xr:uid="{00000000-0005-0000-0000-0000F11E0000}"/>
    <cellStyle name="20% - Accent4 84 11" xfId="7924" xr:uid="{00000000-0005-0000-0000-0000F21E0000}"/>
    <cellStyle name="20% - Accent4 84 11 2" xfId="7925" xr:uid="{00000000-0005-0000-0000-0000F31E0000}"/>
    <cellStyle name="20% - Accent4 84 11 2 2" xfId="7926" xr:uid="{00000000-0005-0000-0000-0000F41E0000}"/>
    <cellStyle name="20% - Accent4 84 11 3" xfId="7927" xr:uid="{00000000-0005-0000-0000-0000F51E0000}"/>
    <cellStyle name="20% - Accent4 84 12" xfId="7928" xr:uid="{00000000-0005-0000-0000-0000F61E0000}"/>
    <cellStyle name="20% - Accent4 84 12 2" xfId="7929" xr:uid="{00000000-0005-0000-0000-0000F71E0000}"/>
    <cellStyle name="20% - Accent4 84 12 2 2" xfId="7930" xr:uid="{00000000-0005-0000-0000-0000F81E0000}"/>
    <cellStyle name="20% - Accent4 84 12 3" xfId="7931" xr:uid="{00000000-0005-0000-0000-0000F91E0000}"/>
    <cellStyle name="20% - Accent4 84 13" xfId="7932" xr:uid="{00000000-0005-0000-0000-0000FA1E0000}"/>
    <cellStyle name="20% - Accent4 84 13 2" xfId="7933" xr:uid="{00000000-0005-0000-0000-0000FB1E0000}"/>
    <cellStyle name="20% - Accent4 84 13 2 2" xfId="7934" xr:uid="{00000000-0005-0000-0000-0000FC1E0000}"/>
    <cellStyle name="20% - Accent4 84 13 3" xfId="7935" xr:uid="{00000000-0005-0000-0000-0000FD1E0000}"/>
    <cellStyle name="20% - Accent4 84 14" xfId="7936" xr:uid="{00000000-0005-0000-0000-0000FE1E0000}"/>
    <cellStyle name="20% - Accent4 84 14 2" xfId="7937" xr:uid="{00000000-0005-0000-0000-0000FF1E0000}"/>
    <cellStyle name="20% - Accent4 84 14 2 2" xfId="7938" xr:uid="{00000000-0005-0000-0000-0000001F0000}"/>
    <cellStyle name="20% - Accent4 84 14 3" xfId="7939" xr:uid="{00000000-0005-0000-0000-0000011F0000}"/>
    <cellStyle name="20% - Accent4 84 15" xfId="7940" xr:uid="{00000000-0005-0000-0000-0000021F0000}"/>
    <cellStyle name="20% - Accent4 84 15 2" xfId="7941" xr:uid="{00000000-0005-0000-0000-0000031F0000}"/>
    <cellStyle name="20% - Accent4 84 15 2 2" xfId="7942" xr:uid="{00000000-0005-0000-0000-0000041F0000}"/>
    <cellStyle name="20% - Accent4 84 15 3" xfId="7943" xr:uid="{00000000-0005-0000-0000-0000051F0000}"/>
    <cellStyle name="20% - Accent4 84 16" xfId="7944" xr:uid="{00000000-0005-0000-0000-0000061F0000}"/>
    <cellStyle name="20% - Accent4 84 16 2" xfId="7945" xr:uid="{00000000-0005-0000-0000-0000071F0000}"/>
    <cellStyle name="20% - Accent4 84 16 2 2" xfId="7946" xr:uid="{00000000-0005-0000-0000-0000081F0000}"/>
    <cellStyle name="20% - Accent4 84 16 3" xfId="7947" xr:uid="{00000000-0005-0000-0000-0000091F0000}"/>
    <cellStyle name="20% - Accent4 84 17" xfId="7948" xr:uid="{00000000-0005-0000-0000-00000A1F0000}"/>
    <cellStyle name="20% - Accent4 84 17 2" xfId="7949" xr:uid="{00000000-0005-0000-0000-00000B1F0000}"/>
    <cellStyle name="20% - Accent4 84 17 2 2" xfId="7950" xr:uid="{00000000-0005-0000-0000-00000C1F0000}"/>
    <cellStyle name="20% - Accent4 84 17 3" xfId="7951" xr:uid="{00000000-0005-0000-0000-00000D1F0000}"/>
    <cellStyle name="20% - Accent4 84 18" xfId="7952" xr:uid="{00000000-0005-0000-0000-00000E1F0000}"/>
    <cellStyle name="20% - Accent4 84 18 2" xfId="7953" xr:uid="{00000000-0005-0000-0000-00000F1F0000}"/>
    <cellStyle name="20% - Accent4 84 18 2 2" xfId="7954" xr:uid="{00000000-0005-0000-0000-0000101F0000}"/>
    <cellStyle name="20% - Accent4 84 18 3" xfId="7955" xr:uid="{00000000-0005-0000-0000-0000111F0000}"/>
    <cellStyle name="20% - Accent4 84 19" xfId="7956" xr:uid="{00000000-0005-0000-0000-0000121F0000}"/>
    <cellStyle name="20% - Accent4 84 19 2" xfId="7957" xr:uid="{00000000-0005-0000-0000-0000131F0000}"/>
    <cellStyle name="20% - Accent4 84 19 2 2" xfId="7958" xr:uid="{00000000-0005-0000-0000-0000141F0000}"/>
    <cellStyle name="20% - Accent4 84 19 3" xfId="7959" xr:uid="{00000000-0005-0000-0000-0000151F0000}"/>
    <cellStyle name="20% - Accent4 84 2" xfId="7960" xr:uid="{00000000-0005-0000-0000-0000161F0000}"/>
    <cellStyle name="20% - Accent4 84 2 2" xfId="7961" xr:uid="{00000000-0005-0000-0000-0000171F0000}"/>
    <cellStyle name="20% - Accent4 84 2 2 2" xfId="7962" xr:uid="{00000000-0005-0000-0000-0000181F0000}"/>
    <cellStyle name="20% - Accent4 84 2 3" xfId="7963" xr:uid="{00000000-0005-0000-0000-0000191F0000}"/>
    <cellStyle name="20% - Accent4 84 20" xfId="7964" xr:uid="{00000000-0005-0000-0000-00001A1F0000}"/>
    <cellStyle name="20% - Accent4 84 20 2" xfId="7965" xr:uid="{00000000-0005-0000-0000-00001B1F0000}"/>
    <cellStyle name="20% - Accent4 84 20 2 2" xfId="7966" xr:uid="{00000000-0005-0000-0000-00001C1F0000}"/>
    <cellStyle name="20% - Accent4 84 20 3" xfId="7967" xr:uid="{00000000-0005-0000-0000-00001D1F0000}"/>
    <cellStyle name="20% - Accent4 84 21" xfId="7968" xr:uid="{00000000-0005-0000-0000-00001E1F0000}"/>
    <cellStyle name="20% - Accent4 84 21 2" xfId="7969" xr:uid="{00000000-0005-0000-0000-00001F1F0000}"/>
    <cellStyle name="20% - Accent4 84 21 2 2" xfId="7970" xr:uid="{00000000-0005-0000-0000-0000201F0000}"/>
    <cellStyle name="20% - Accent4 84 21 3" xfId="7971" xr:uid="{00000000-0005-0000-0000-0000211F0000}"/>
    <cellStyle name="20% - Accent4 84 22" xfId="7972" xr:uid="{00000000-0005-0000-0000-0000221F0000}"/>
    <cellStyle name="20% - Accent4 84 22 2" xfId="7973" xr:uid="{00000000-0005-0000-0000-0000231F0000}"/>
    <cellStyle name="20% - Accent4 84 22 2 2" xfId="7974" xr:uid="{00000000-0005-0000-0000-0000241F0000}"/>
    <cellStyle name="20% - Accent4 84 22 3" xfId="7975" xr:uid="{00000000-0005-0000-0000-0000251F0000}"/>
    <cellStyle name="20% - Accent4 84 23" xfId="7976" xr:uid="{00000000-0005-0000-0000-0000261F0000}"/>
    <cellStyle name="20% - Accent4 84 23 2" xfId="7977" xr:uid="{00000000-0005-0000-0000-0000271F0000}"/>
    <cellStyle name="20% - Accent4 84 23 2 2" xfId="7978" xr:uid="{00000000-0005-0000-0000-0000281F0000}"/>
    <cellStyle name="20% - Accent4 84 23 3" xfId="7979" xr:uid="{00000000-0005-0000-0000-0000291F0000}"/>
    <cellStyle name="20% - Accent4 84 24" xfId="7980" xr:uid="{00000000-0005-0000-0000-00002A1F0000}"/>
    <cellStyle name="20% - Accent4 84 24 2" xfId="7981" xr:uid="{00000000-0005-0000-0000-00002B1F0000}"/>
    <cellStyle name="20% - Accent4 84 24 2 2" xfId="7982" xr:uid="{00000000-0005-0000-0000-00002C1F0000}"/>
    <cellStyle name="20% - Accent4 84 24 3" xfId="7983" xr:uid="{00000000-0005-0000-0000-00002D1F0000}"/>
    <cellStyle name="20% - Accent4 84 25" xfId="7984" xr:uid="{00000000-0005-0000-0000-00002E1F0000}"/>
    <cellStyle name="20% - Accent4 84 25 2" xfId="7985" xr:uid="{00000000-0005-0000-0000-00002F1F0000}"/>
    <cellStyle name="20% - Accent4 84 25 2 2" xfId="7986" xr:uid="{00000000-0005-0000-0000-0000301F0000}"/>
    <cellStyle name="20% - Accent4 84 25 3" xfId="7987" xr:uid="{00000000-0005-0000-0000-0000311F0000}"/>
    <cellStyle name="20% - Accent4 84 26" xfId="7988" xr:uid="{00000000-0005-0000-0000-0000321F0000}"/>
    <cellStyle name="20% - Accent4 84 26 2" xfId="7989" xr:uid="{00000000-0005-0000-0000-0000331F0000}"/>
    <cellStyle name="20% - Accent4 84 26 2 2" xfId="7990" xr:uid="{00000000-0005-0000-0000-0000341F0000}"/>
    <cellStyle name="20% - Accent4 84 26 3" xfId="7991" xr:uid="{00000000-0005-0000-0000-0000351F0000}"/>
    <cellStyle name="20% - Accent4 84 27" xfId="7992" xr:uid="{00000000-0005-0000-0000-0000361F0000}"/>
    <cellStyle name="20% - Accent4 84 27 2" xfId="7993" xr:uid="{00000000-0005-0000-0000-0000371F0000}"/>
    <cellStyle name="20% - Accent4 84 27 2 2" xfId="7994" xr:uid="{00000000-0005-0000-0000-0000381F0000}"/>
    <cellStyle name="20% - Accent4 84 27 3" xfId="7995" xr:uid="{00000000-0005-0000-0000-0000391F0000}"/>
    <cellStyle name="20% - Accent4 84 28" xfId="7996" xr:uid="{00000000-0005-0000-0000-00003A1F0000}"/>
    <cellStyle name="20% - Accent4 84 28 2" xfId="7997" xr:uid="{00000000-0005-0000-0000-00003B1F0000}"/>
    <cellStyle name="20% - Accent4 84 28 2 2" xfId="7998" xr:uid="{00000000-0005-0000-0000-00003C1F0000}"/>
    <cellStyle name="20% - Accent4 84 28 3" xfId="7999" xr:uid="{00000000-0005-0000-0000-00003D1F0000}"/>
    <cellStyle name="20% - Accent4 84 29" xfId="8000" xr:uid="{00000000-0005-0000-0000-00003E1F0000}"/>
    <cellStyle name="20% - Accent4 84 29 2" xfId="8001" xr:uid="{00000000-0005-0000-0000-00003F1F0000}"/>
    <cellStyle name="20% - Accent4 84 29 2 2" xfId="8002" xr:uid="{00000000-0005-0000-0000-0000401F0000}"/>
    <cellStyle name="20% - Accent4 84 29 3" xfId="8003" xr:uid="{00000000-0005-0000-0000-0000411F0000}"/>
    <cellStyle name="20% - Accent4 84 3" xfId="8004" xr:uid="{00000000-0005-0000-0000-0000421F0000}"/>
    <cellStyle name="20% - Accent4 84 3 2" xfId="8005" xr:uid="{00000000-0005-0000-0000-0000431F0000}"/>
    <cellStyle name="20% - Accent4 84 3 2 2" xfId="8006" xr:uid="{00000000-0005-0000-0000-0000441F0000}"/>
    <cellStyle name="20% - Accent4 84 3 3" xfId="8007" xr:uid="{00000000-0005-0000-0000-0000451F0000}"/>
    <cellStyle name="20% - Accent4 84 30" xfId="8008" xr:uid="{00000000-0005-0000-0000-0000461F0000}"/>
    <cellStyle name="20% - Accent4 84 30 2" xfId="8009" xr:uid="{00000000-0005-0000-0000-0000471F0000}"/>
    <cellStyle name="20% - Accent4 84 30 2 2" xfId="8010" xr:uid="{00000000-0005-0000-0000-0000481F0000}"/>
    <cellStyle name="20% - Accent4 84 30 3" xfId="8011" xr:uid="{00000000-0005-0000-0000-0000491F0000}"/>
    <cellStyle name="20% - Accent4 84 31" xfId="8012" xr:uid="{00000000-0005-0000-0000-00004A1F0000}"/>
    <cellStyle name="20% - Accent4 84 31 2" xfId="8013" xr:uid="{00000000-0005-0000-0000-00004B1F0000}"/>
    <cellStyle name="20% - Accent4 84 31 2 2" xfId="8014" xr:uid="{00000000-0005-0000-0000-00004C1F0000}"/>
    <cellStyle name="20% - Accent4 84 31 3" xfId="8015" xr:uid="{00000000-0005-0000-0000-00004D1F0000}"/>
    <cellStyle name="20% - Accent4 84 32" xfId="8016" xr:uid="{00000000-0005-0000-0000-00004E1F0000}"/>
    <cellStyle name="20% - Accent4 84 32 2" xfId="8017" xr:uid="{00000000-0005-0000-0000-00004F1F0000}"/>
    <cellStyle name="20% - Accent4 84 32 2 2" xfId="8018" xr:uid="{00000000-0005-0000-0000-0000501F0000}"/>
    <cellStyle name="20% - Accent4 84 32 3" xfId="8019" xr:uid="{00000000-0005-0000-0000-0000511F0000}"/>
    <cellStyle name="20% - Accent4 84 33" xfId="8020" xr:uid="{00000000-0005-0000-0000-0000521F0000}"/>
    <cellStyle name="20% - Accent4 84 33 2" xfId="8021" xr:uid="{00000000-0005-0000-0000-0000531F0000}"/>
    <cellStyle name="20% - Accent4 84 33 2 2" xfId="8022" xr:uid="{00000000-0005-0000-0000-0000541F0000}"/>
    <cellStyle name="20% - Accent4 84 33 3" xfId="8023" xr:uid="{00000000-0005-0000-0000-0000551F0000}"/>
    <cellStyle name="20% - Accent4 84 34" xfId="8024" xr:uid="{00000000-0005-0000-0000-0000561F0000}"/>
    <cellStyle name="20% - Accent4 84 34 2" xfId="8025" xr:uid="{00000000-0005-0000-0000-0000571F0000}"/>
    <cellStyle name="20% - Accent4 84 34 2 2" xfId="8026" xr:uid="{00000000-0005-0000-0000-0000581F0000}"/>
    <cellStyle name="20% - Accent4 84 34 3" xfId="8027" xr:uid="{00000000-0005-0000-0000-0000591F0000}"/>
    <cellStyle name="20% - Accent4 84 35" xfId="8028" xr:uid="{00000000-0005-0000-0000-00005A1F0000}"/>
    <cellStyle name="20% - Accent4 84 35 2" xfId="8029" xr:uid="{00000000-0005-0000-0000-00005B1F0000}"/>
    <cellStyle name="20% - Accent4 84 35 2 2" xfId="8030" xr:uid="{00000000-0005-0000-0000-00005C1F0000}"/>
    <cellStyle name="20% - Accent4 84 35 3" xfId="8031" xr:uid="{00000000-0005-0000-0000-00005D1F0000}"/>
    <cellStyle name="20% - Accent4 84 36" xfId="8032" xr:uid="{00000000-0005-0000-0000-00005E1F0000}"/>
    <cellStyle name="20% - Accent4 84 36 2" xfId="8033" xr:uid="{00000000-0005-0000-0000-00005F1F0000}"/>
    <cellStyle name="20% - Accent4 84 36 2 2" xfId="8034" xr:uid="{00000000-0005-0000-0000-0000601F0000}"/>
    <cellStyle name="20% - Accent4 84 36 3" xfId="8035" xr:uid="{00000000-0005-0000-0000-0000611F0000}"/>
    <cellStyle name="20% - Accent4 84 4" xfId="8036" xr:uid="{00000000-0005-0000-0000-0000621F0000}"/>
    <cellStyle name="20% - Accent4 84 4 2" xfId="8037" xr:uid="{00000000-0005-0000-0000-0000631F0000}"/>
    <cellStyle name="20% - Accent4 84 4 2 2" xfId="8038" xr:uid="{00000000-0005-0000-0000-0000641F0000}"/>
    <cellStyle name="20% - Accent4 84 4 3" xfId="8039" xr:uid="{00000000-0005-0000-0000-0000651F0000}"/>
    <cellStyle name="20% - Accent4 84 5" xfId="8040" xr:uid="{00000000-0005-0000-0000-0000661F0000}"/>
    <cellStyle name="20% - Accent4 84 5 2" xfId="8041" xr:uid="{00000000-0005-0000-0000-0000671F0000}"/>
    <cellStyle name="20% - Accent4 84 5 2 2" xfId="8042" xr:uid="{00000000-0005-0000-0000-0000681F0000}"/>
    <cellStyle name="20% - Accent4 84 5 3" xfId="8043" xr:uid="{00000000-0005-0000-0000-0000691F0000}"/>
    <cellStyle name="20% - Accent4 84 6" xfId="8044" xr:uid="{00000000-0005-0000-0000-00006A1F0000}"/>
    <cellStyle name="20% - Accent4 84 6 2" xfId="8045" xr:uid="{00000000-0005-0000-0000-00006B1F0000}"/>
    <cellStyle name="20% - Accent4 84 6 2 2" xfId="8046" xr:uid="{00000000-0005-0000-0000-00006C1F0000}"/>
    <cellStyle name="20% - Accent4 84 6 3" xfId="8047" xr:uid="{00000000-0005-0000-0000-00006D1F0000}"/>
    <cellStyle name="20% - Accent4 84 7" xfId="8048" xr:uid="{00000000-0005-0000-0000-00006E1F0000}"/>
    <cellStyle name="20% - Accent4 84 7 2" xfId="8049" xr:uid="{00000000-0005-0000-0000-00006F1F0000}"/>
    <cellStyle name="20% - Accent4 84 7 2 2" xfId="8050" xr:uid="{00000000-0005-0000-0000-0000701F0000}"/>
    <cellStyle name="20% - Accent4 84 7 3" xfId="8051" xr:uid="{00000000-0005-0000-0000-0000711F0000}"/>
    <cellStyle name="20% - Accent4 84 8" xfId="8052" xr:uid="{00000000-0005-0000-0000-0000721F0000}"/>
    <cellStyle name="20% - Accent4 84 8 2" xfId="8053" xr:uid="{00000000-0005-0000-0000-0000731F0000}"/>
    <cellStyle name="20% - Accent4 84 8 2 2" xfId="8054" xr:uid="{00000000-0005-0000-0000-0000741F0000}"/>
    <cellStyle name="20% - Accent4 84 8 3" xfId="8055" xr:uid="{00000000-0005-0000-0000-0000751F0000}"/>
    <cellStyle name="20% - Accent4 84 9" xfId="8056" xr:uid="{00000000-0005-0000-0000-0000761F0000}"/>
    <cellStyle name="20% - Accent4 84 9 2" xfId="8057" xr:uid="{00000000-0005-0000-0000-0000771F0000}"/>
    <cellStyle name="20% - Accent4 84 9 2 2" xfId="8058" xr:uid="{00000000-0005-0000-0000-0000781F0000}"/>
    <cellStyle name="20% - Accent4 84 9 3" xfId="8059" xr:uid="{00000000-0005-0000-0000-0000791F0000}"/>
    <cellStyle name="20% - Accent4 85" xfId="8060" xr:uid="{00000000-0005-0000-0000-00007A1F0000}"/>
    <cellStyle name="20% - Accent4 85 10" xfId="8061" xr:uid="{00000000-0005-0000-0000-00007B1F0000}"/>
    <cellStyle name="20% - Accent4 85 10 2" xfId="8062" xr:uid="{00000000-0005-0000-0000-00007C1F0000}"/>
    <cellStyle name="20% - Accent4 85 10 2 2" xfId="8063" xr:uid="{00000000-0005-0000-0000-00007D1F0000}"/>
    <cellStyle name="20% - Accent4 85 10 3" xfId="8064" xr:uid="{00000000-0005-0000-0000-00007E1F0000}"/>
    <cellStyle name="20% - Accent4 85 11" xfId="8065" xr:uid="{00000000-0005-0000-0000-00007F1F0000}"/>
    <cellStyle name="20% - Accent4 85 11 2" xfId="8066" xr:uid="{00000000-0005-0000-0000-0000801F0000}"/>
    <cellStyle name="20% - Accent4 85 11 2 2" xfId="8067" xr:uid="{00000000-0005-0000-0000-0000811F0000}"/>
    <cellStyle name="20% - Accent4 85 11 3" xfId="8068" xr:uid="{00000000-0005-0000-0000-0000821F0000}"/>
    <cellStyle name="20% - Accent4 85 12" xfId="8069" xr:uid="{00000000-0005-0000-0000-0000831F0000}"/>
    <cellStyle name="20% - Accent4 85 12 2" xfId="8070" xr:uid="{00000000-0005-0000-0000-0000841F0000}"/>
    <cellStyle name="20% - Accent4 85 12 2 2" xfId="8071" xr:uid="{00000000-0005-0000-0000-0000851F0000}"/>
    <cellStyle name="20% - Accent4 85 12 3" xfId="8072" xr:uid="{00000000-0005-0000-0000-0000861F0000}"/>
    <cellStyle name="20% - Accent4 85 13" xfId="8073" xr:uid="{00000000-0005-0000-0000-0000871F0000}"/>
    <cellStyle name="20% - Accent4 85 13 2" xfId="8074" xr:uid="{00000000-0005-0000-0000-0000881F0000}"/>
    <cellStyle name="20% - Accent4 85 13 2 2" xfId="8075" xr:uid="{00000000-0005-0000-0000-0000891F0000}"/>
    <cellStyle name="20% - Accent4 85 13 3" xfId="8076" xr:uid="{00000000-0005-0000-0000-00008A1F0000}"/>
    <cellStyle name="20% - Accent4 85 14" xfId="8077" xr:uid="{00000000-0005-0000-0000-00008B1F0000}"/>
    <cellStyle name="20% - Accent4 85 14 2" xfId="8078" xr:uid="{00000000-0005-0000-0000-00008C1F0000}"/>
    <cellStyle name="20% - Accent4 85 14 2 2" xfId="8079" xr:uid="{00000000-0005-0000-0000-00008D1F0000}"/>
    <cellStyle name="20% - Accent4 85 14 3" xfId="8080" xr:uid="{00000000-0005-0000-0000-00008E1F0000}"/>
    <cellStyle name="20% - Accent4 85 15" xfId="8081" xr:uid="{00000000-0005-0000-0000-00008F1F0000}"/>
    <cellStyle name="20% - Accent4 85 15 2" xfId="8082" xr:uid="{00000000-0005-0000-0000-0000901F0000}"/>
    <cellStyle name="20% - Accent4 85 15 2 2" xfId="8083" xr:uid="{00000000-0005-0000-0000-0000911F0000}"/>
    <cellStyle name="20% - Accent4 85 15 3" xfId="8084" xr:uid="{00000000-0005-0000-0000-0000921F0000}"/>
    <cellStyle name="20% - Accent4 85 16" xfId="8085" xr:uid="{00000000-0005-0000-0000-0000931F0000}"/>
    <cellStyle name="20% - Accent4 85 16 2" xfId="8086" xr:uid="{00000000-0005-0000-0000-0000941F0000}"/>
    <cellStyle name="20% - Accent4 85 16 2 2" xfId="8087" xr:uid="{00000000-0005-0000-0000-0000951F0000}"/>
    <cellStyle name="20% - Accent4 85 16 3" xfId="8088" xr:uid="{00000000-0005-0000-0000-0000961F0000}"/>
    <cellStyle name="20% - Accent4 85 17" xfId="8089" xr:uid="{00000000-0005-0000-0000-0000971F0000}"/>
    <cellStyle name="20% - Accent4 85 17 2" xfId="8090" xr:uid="{00000000-0005-0000-0000-0000981F0000}"/>
    <cellStyle name="20% - Accent4 85 17 2 2" xfId="8091" xr:uid="{00000000-0005-0000-0000-0000991F0000}"/>
    <cellStyle name="20% - Accent4 85 17 3" xfId="8092" xr:uid="{00000000-0005-0000-0000-00009A1F0000}"/>
    <cellStyle name="20% - Accent4 85 18" xfId="8093" xr:uid="{00000000-0005-0000-0000-00009B1F0000}"/>
    <cellStyle name="20% - Accent4 85 18 2" xfId="8094" xr:uid="{00000000-0005-0000-0000-00009C1F0000}"/>
    <cellStyle name="20% - Accent4 85 18 2 2" xfId="8095" xr:uid="{00000000-0005-0000-0000-00009D1F0000}"/>
    <cellStyle name="20% - Accent4 85 18 3" xfId="8096" xr:uid="{00000000-0005-0000-0000-00009E1F0000}"/>
    <cellStyle name="20% - Accent4 85 19" xfId="8097" xr:uid="{00000000-0005-0000-0000-00009F1F0000}"/>
    <cellStyle name="20% - Accent4 85 19 2" xfId="8098" xr:uid="{00000000-0005-0000-0000-0000A01F0000}"/>
    <cellStyle name="20% - Accent4 85 19 2 2" xfId="8099" xr:uid="{00000000-0005-0000-0000-0000A11F0000}"/>
    <cellStyle name="20% - Accent4 85 19 3" xfId="8100" xr:uid="{00000000-0005-0000-0000-0000A21F0000}"/>
    <cellStyle name="20% - Accent4 85 2" xfId="8101" xr:uid="{00000000-0005-0000-0000-0000A31F0000}"/>
    <cellStyle name="20% - Accent4 85 2 2" xfId="8102" xr:uid="{00000000-0005-0000-0000-0000A41F0000}"/>
    <cellStyle name="20% - Accent4 85 2 2 2" xfId="8103" xr:uid="{00000000-0005-0000-0000-0000A51F0000}"/>
    <cellStyle name="20% - Accent4 85 2 3" xfId="8104" xr:uid="{00000000-0005-0000-0000-0000A61F0000}"/>
    <cellStyle name="20% - Accent4 85 20" xfId="8105" xr:uid="{00000000-0005-0000-0000-0000A71F0000}"/>
    <cellStyle name="20% - Accent4 85 20 2" xfId="8106" xr:uid="{00000000-0005-0000-0000-0000A81F0000}"/>
    <cellStyle name="20% - Accent4 85 20 2 2" xfId="8107" xr:uid="{00000000-0005-0000-0000-0000A91F0000}"/>
    <cellStyle name="20% - Accent4 85 20 3" xfId="8108" xr:uid="{00000000-0005-0000-0000-0000AA1F0000}"/>
    <cellStyle name="20% - Accent4 85 21" xfId="8109" xr:uid="{00000000-0005-0000-0000-0000AB1F0000}"/>
    <cellStyle name="20% - Accent4 85 21 2" xfId="8110" xr:uid="{00000000-0005-0000-0000-0000AC1F0000}"/>
    <cellStyle name="20% - Accent4 85 21 2 2" xfId="8111" xr:uid="{00000000-0005-0000-0000-0000AD1F0000}"/>
    <cellStyle name="20% - Accent4 85 21 3" xfId="8112" xr:uid="{00000000-0005-0000-0000-0000AE1F0000}"/>
    <cellStyle name="20% - Accent4 85 22" xfId="8113" xr:uid="{00000000-0005-0000-0000-0000AF1F0000}"/>
    <cellStyle name="20% - Accent4 85 22 2" xfId="8114" xr:uid="{00000000-0005-0000-0000-0000B01F0000}"/>
    <cellStyle name="20% - Accent4 85 22 2 2" xfId="8115" xr:uid="{00000000-0005-0000-0000-0000B11F0000}"/>
    <cellStyle name="20% - Accent4 85 22 3" xfId="8116" xr:uid="{00000000-0005-0000-0000-0000B21F0000}"/>
    <cellStyle name="20% - Accent4 85 23" xfId="8117" xr:uid="{00000000-0005-0000-0000-0000B31F0000}"/>
    <cellStyle name="20% - Accent4 85 23 2" xfId="8118" xr:uid="{00000000-0005-0000-0000-0000B41F0000}"/>
    <cellStyle name="20% - Accent4 85 23 2 2" xfId="8119" xr:uid="{00000000-0005-0000-0000-0000B51F0000}"/>
    <cellStyle name="20% - Accent4 85 23 3" xfId="8120" xr:uid="{00000000-0005-0000-0000-0000B61F0000}"/>
    <cellStyle name="20% - Accent4 85 24" xfId="8121" xr:uid="{00000000-0005-0000-0000-0000B71F0000}"/>
    <cellStyle name="20% - Accent4 85 24 2" xfId="8122" xr:uid="{00000000-0005-0000-0000-0000B81F0000}"/>
    <cellStyle name="20% - Accent4 85 24 2 2" xfId="8123" xr:uid="{00000000-0005-0000-0000-0000B91F0000}"/>
    <cellStyle name="20% - Accent4 85 24 3" xfId="8124" xr:uid="{00000000-0005-0000-0000-0000BA1F0000}"/>
    <cellStyle name="20% - Accent4 85 25" xfId="8125" xr:uid="{00000000-0005-0000-0000-0000BB1F0000}"/>
    <cellStyle name="20% - Accent4 85 25 2" xfId="8126" xr:uid="{00000000-0005-0000-0000-0000BC1F0000}"/>
    <cellStyle name="20% - Accent4 85 25 2 2" xfId="8127" xr:uid="{00000000-0005-0000-0000-0000BD1F0000}"/>
    <cellStyle name="20% - Accent4 85 25 3" xfId="8128" xr:uid="{00000000-0005-0000-0000-0000BE1F0000}"/>
    <cellStyle name="20% - Accent4 85 26" xfId="8129" xr:uid="{00000000-0005-0000-0000-0000BF1F0000}"/>
    <cellStyle name="20% - Accent4 85 26 2" xfId="8130" xr:uid="{00000000-0005-0000-0000-0000C01F0000}"/>
    <cellStyle name="20% - Accent4 85 26 2 2" xfId="8131" xr:uid="{00000000-0005-0000-0000-0000C11F0000}"/>
    <cellStyle name="20% - Accent4 85 26 3" xfId="8132" xr:uid="{00000000-0005-0000-0000-0000C21F0000}"/>
    <cellStyle name="20% - Accent4 85 27" xfId="8133" xr:uid="{00000000-0005-0000-0000-0000C31F0000}"/>
    <cellStyle name="20% - Accent4 85 27 2" xfId="8134" xr:uid="{00000000-0005-0000-0000-0000C41F0000}"/>
    <cellStyle name="20% - Accent4 85 27 2 2" xfId="8135" xr:uid="{00000000-0005-0000-0000-0000C51F0000}"/>
    <cellStyle name="20% - Accent4 85 27 3" xfId="8136" xr:uid="{00000000-0005-0000-0000-0000C61F0000}"/>
    <cellStyle name="20% - Accent4 85 28" xfId="8137" xr:uid="{00000000-0005-0000-0000-0000C71F0000}"/>
    <cellStyle name="20% - Accent4 85 28 2" xfId="8138" xr:uid="{00000000-0005-0000-0000-0000C81F0000}"/>
    <cellStyle name="20% - Accent4 85 28 2 2" xfId="8139" xr:uid="{00000000-0005-0000-0000-0000C91F0000}"/>
    <cellStyle name="20% - Accent4 85 28 3" xfId="8140" xr:uid="{00000000-0005-0000-0000-0000CA1F0000}"/>
    <cellStyle name="20% - Accent4 85 29" xfId="8141" xr:uid="{00000000-0005-0000-0000-0000CB1F0000}"/>
    <cellStyle name="20% - Accent4 85 29 2" xfId="8142" xr:uid="{00000000-0005-0000-0000-0000CC1F0000}"/>
    <cellStyle name="20% - Accent4 85 29 2 2" xfId="8143" xr:uid="{00000000-0005-0000-0000-0000CD1F0000}"/>
    <cellStyle name="20% - Accent4 85 29 3" xfId="8144" xr:uid="{00000000-0005-0000-0000-0000CE1F0000}"/>
    <cellStyle name="20% - Accent4 85 3" xfId="8145" xr:uid="{00000000-0005-0000-0000-0000CF1F0000}"/>
    <cellStyle name="20% - Accent4 85 3 2" xfId="8146" xr:uid="{00000000-0005-0000-0000-0000D01F0000}"/>
    <cellStyle name="20% - Accent4 85 3 2 2" xfId="8147" xr:uid="{00000000-0005-0000-0000-0000D11F0000}"/>
    <cellStyle name="20% - Accent4 85 3 3" xfId="8148" xr:uid="{00000000-0005-0000-0000-0000D21F0000}"/>
    <cellStyle name="20% - Accent4 85 30" xfId="8149" xr:uid="{00000000-0005-0000-0000-0000D31F0000}"/>
    <cellStyle name="20% - Accent4 85 30 2" xfId="8150" xr:uid="{00000000-0005-0000-0000-0000D41F0000}"/>
    <cellStyle name="20% - Accent4 85 30 2 2" xfId="8151" xr:uid="{00000000-0005-0000-0000-0000D51F0000}"/>
    <cellStyle name="20% - Accent4 85 30 3" xfId="8152" xr:uid="{00000000-0005-0000-0000-0000D61F0000}"/>
    <cellStyle name="20% - Accent4 85 31" xfId="8153" xr:uid="{00000000-0005-0000-0000-0000D71F0000}"/>
    <cellStyle name="20% - Accent4 85 31 2" xfId="8154" xr:uid="{00000000-0005-0000-0000-0000D81F0000}"/>
    <cellStyle name="20% - Accent4 85 31 2 2" xfId="8155" xr:uid="{00000000-0005-0000-0000-0000D91F0000}"/>
    <cellStyle name="20% - Accent4 85 31 3" xfId="8156" xr:uid="{00000000-0005-0000-0000-0000DA1F0000}"/>
    <cellStyle name="20% - Accent4 85 32" xfId="8157" xr:uid="{00000000-0005-0000-0000-0000DB1F0000}"/>
    <cellStyle name="20% - Accent4 85 32 2" xfId="8158" xr:uid="{00000000-0005-0000-0000-0000DC1F0000}"/>
    <cellStyle name="20% - Accent4 85 32 2 2" xfId="8159" xr:uid="{00000000-0005-0000-0000-0000DD1F0000}"/>
    <cellStyle name="20% - Accent4 85 32 3" xfId="8160" xr:uid="{00000000-0005-0000-0000-0000DE1F0000}"/>
    <cellStyle name="20% - Accent4 85 33" xfId="8161" xr:uid="{00000000-0005-0000-0000-0000DF1F0000}"/>
    <cellStyle name="20% - Accent4 85 33 2" xfId="8162" xr:uid="{00000000-0005-0000-0000-0000E01F0000}"/>
    <cellStyle name="20% - Accent4 85 33 2 2" xfId="8163" xr:uid="{00000000-0005-0000-0000-0000E11F0000}"/>
    <cellStyle name="20% - Accent4 85 33 3" xfId="8164" xr:uid="{00000000-0005-0000-0000-0000E21F0000}"/>
    <cellStyle name="20% - Accent4 85 34" xfId="8165" xr:uid="{00000000-0005-0000-0000-0000E31F0000}"/>
    <cellStyle name="20% - Accent4 85 34 2" xfId="8166" xr:uid="{00000000-0005-0000-0000-0000E41F0000}"/>
    <cellStyle name="20% - Accent4 85 34 2 2" xfId="8167" xr:uid="{00000000-0005-0000-0000-0000E51F0000}"/>
    <cellStyle name="20% - Accent4 85 34 3" xfId="8168" xr:uid="{00000000-0005-0000-0000-0000E61F0000}"/>
    <cellStyle name="20% - Accent4 85 35" xfId="8169" xr:uid="{00000000-0005-0000-0000-0000E71F0000}"/>
    <cellStyle name="20% - Accent4 85 35 2" xfId="8170" xr:uid="{00000000-0005-0000-0000-0000E81F0000}"/>
    <cellStyle name="20% - Accent4 85 35 2 2" xfId="8171" xr:uid="{00000000-0005-0000-0000-0000E91F0000}"/>
    <cellStyle name="20% - Accent4 85 35 3" xfId="8172" xr:uid="{00000000-0005-0000-0000-0000EA1F0000}"/>
    <cellStyle name="20% - Accent4 85 36" xfId="8173" xr:uid="{00000000-0005-0000-0000-0000EB1F0000}"/>
    <cellStyle name="20% - Accent4 85 36 2" xfId="8174" xr:uid="{00000000-0005-0000-0000-0000EC1F0000}"/>
    <cellStyle name="20% - Accent4 85 36 2 2" xfId="8175" xr:uid="{00000000-0005-0000-0000-0000ED1F0000}"/>
    <cellStyle name="20% - Accent4 85 36 3" xfId="8176" xr:uid="{00000000-0005-0000-0000-0000EE1F0000}"/>
    <cellStyle name="20% - Accent4 85 4" xfId="8177" xr:uid="{00000000-0005-0000-0000-0000EF1F0000}"/>
    <cellStyle name="20% - Accent4 85 4 2" xfId="8178" xr:uid="{00000000-0005-0000-0000-0000F01F0000}"/>
    <cellStyle name="20% - Accent4 85 4 2 2" xfId="8179" xr:uid="{00000000-0005-0000-0000-0000F11F0000}"/>
    <cellStyle name="20% - Accent4 85 4 3" xfId="8180" xr:uid="{00000000-0005-0000-0000-0000F21F0000}"/>
    <cellStyle name="20% - Accent4 85 5" xfId="8181" xr:uid="{00000000-0005-0000-0000-0000F31F0000}"/>
    <cellStyle name="20% - Accent4 85 5 2" xfId="8182" xr:uid="{00000000-0005-0000-0000-0000F41F0000}"/>
    <cellStyle name="20% - Accent4 85 5 2 2" xfId="8183" xr:uid="{00000000-0005-0000-0000-0000F51F0000}"/>
    <cellStyle name="20% - Accent4 85 5 3" xfId="8184" xr:uid="{00000000-0005-0000-0000-0000F61F0000}"/>
    <cellStyle name="20% - Accent4 85 6" xfId="8185" xr:uid="{00000000-0005-0000-0000-0000F71F0000}"/>
    <cellStyle name="20% - Accent4 85 6 2" xfId="8186" xr:uid="{00000000-0005-0000-0000-0000F81F0000}"/>
    <cellStyle name="20% - Accent4 85 6 2 2" xfId="8187" xr:uid="{00000000-0005-0000-0000-0000F91F0000}"/>
    <cellStyle name="20% - Accent4 85 6 3" xfId="8188" xr:uid="{00000000-0005-0000-0000-0000FA1F0000}"/>
    <cellStyle name="20% - Accent4 85 7" xfId="8189" xr:uid="{00000000-0005-0000-0000-0000FB1F0000}"/>
    <cellStyle name="20% - Accent4 85 7 2" xfId="8190" xr:uid="{00000000-0005-0000-0000-0000FC1F0000}"/>
    <cellStyle name="20% - Accent4 85 7 2 2" xfId="8191" xr:uid="{00000000-0005-0000-0000-0000FD1F0000}"/>
    <cellStyle name="20% - Accent4 85 7 3" xfId="8192" xr:uid="{00000000-0005-0000-0000-0000FE1F0000}"/>
    <cellStyle name="20% - Accent4 85 8" xfId="8193" xr:uid="{00000000-0005-0000-0000-0000FF1F0000}"/>
    <cellStyle name="20% - Accent4 85 8 2" xfId="8194" xr:uid="{00000000-0005-0000-0000-000000200000}"/>
    <cellStyle name="20% - Accent4 85 8 2 2" xfId="8195" xr:uid="{00000000-0005-0000-0000-000001200000}"/>
    <cellStyle name="20% - Accent4 85 8 3" xfId="8196" xr:uid="{00000000-0005-0000-0000-000002200000}"/>
    <cellStyle name="20% - Accent4 85 9" xfId="8197" xr:uid="{00000000-0005-0000-0000-000003200000}"/>
    <cellStyle name="20% - Accent4 85 9 2" xfId="8198" xr:uid="{00000000-0005-0000-0000-000004200000}"/>
    <cellStyle name="20% - Accent4 85 9 2 2" xfId="8199" xr:uid="{00000000-0005-0000-0000-000005200000}"/>
    <cellStyle name="20% - Accent4 85 9 3" xfId="8200" xr:uid="{00000000-0005-0000-0000-000006200000}"/>
    <cellStyle name="20% - Accent4 86" xfId="8201" xr:uid="{00000000-0005-0000-0000-000007200000}"/>
    <cellStyle name="20% - Accent4 86 10" xfId="8202" xr:uid="{00000000-0005-0000-0000-000008200000}"/>
    <cellStyle name="20% - Accent4 86 10 2" xfId="8203" xr:uid="{00000000-0005-0000-0000-000009200000}"/>
    <cellStyle name="20% - Accent4 86 10 2 2" xfId="8204" xr:uid="{00000000-0005-0000-0000-00000A200000}"/>
    <cellStyle name="20% - Accent4 86 10 3" xfId="8205" xr:uid="{00000000-0005-0000-0000-00000B200000}"/>
    <cellStyle name="20% - Accent4 86 11" xfId="8206" xr:uid="{00000000-0005-0000-0000-00000C200000}"/>
    <cellStyle name="20% - Accent4 86 11 2" xfId="8207" xr:uid="{00000000-0005-0000-0000-00000D200000}"/>
    <cellStyle name="20% - Accent4 86 11 2 2" xfId="8208" xr:uid="{00000000-0005-0000-0000-00000E200000}"/>
    <cellStyle name="20% - Accent4 86 11 3" xfId="8209" xr:uid="{00000000-0005-0000-0000-00000F200000}"/>
    <cellStyle name="20% - Accent4 86 12" xfId="8210" xr:uid="{00000000-0005-0000-0000-000010200000}"/>
    <cellStyle name="20% - Accent4 86 12 2" xfId="8211" xr:uid="{00000000-0005-0000-0000-000011200000}"/>
    <cellStyle name="20% - Accent4 86 12 2 2" xfId="8212" xr:uid="{00000000-0005-0000-0000-000012200000}"/>
    <cellStyle name="20% - Accent4 86 12 3" xfId="8213" xr:uid="{00000000-0005-0000-0000-000013200000}"/>
    <cellStyle name="20% - Accent4 86 13" xfId="8214" xr:uid="{00000000-0005-0000-0000-000014200000}"/>
    <cellStyle name="20% - Accent4 86 13 2" xfId="8215" xr:uid="{00000000-0005-0000-0000-000015200000}"/>
    <cellStyle name="20% - Accent4 86 13 2 2" xfId="8216" xr:uid="{00000000-0005-0000-0000-000016200000}"/>
    <cellStyle name="20% - Accent4 86 13 3" xfId="8217" xr:uid="{00000000-0005-0000-0000-000017200000}"/>
    <cellStyle name="20% - Accent4 86 14" xfId="8218" xr:uid="{00000000-0005-0000-0000-000018200000}"/>
    <cellStyle name="20% - Accent4 86 14 2" xfId="8219" xr:uid="{00000000-0005-0000-0000-000019200000}"/>
    <cellStyle name="20% - Accent4 86 14 2 2" xfId="8220" xr:uid="{00000000-0005-0000-0000-00001A200000}"/>
    <cellStyle name="20% - Accent4 86 14 3" xfId="8221" xr:uid="{00000000-0005-0000-0000-00001B200000}"/>
    <cellStyle name="20% - Accent4 86 15" xfId="8222" xr:uid="{00000000-0005-0000-0000-00001C200000}"/>
    <cellStyle name="20% - Accent4 86 15 2" xfId="8223" xr:uid="{00000000-0005-0000-0000-00001D200000}"/>
    <cellStyle name="20% - Accent4 86 15 2 2" xfId="8224" xr:uid="{00000000-0005-0000-0000-00001E200000}"/>
    <cellStyle name="20% - Accent4 86 15 3" xfId="8225" xr:uid="{00000000-0005-0000-0000-00001F200000}"/>
    <cellStyle name="20% - Accent4 86 16" xfId="8226" xr:uid="{00000000-0005-0000-0000-000020200000}"/>
    <cellStyle name="20% - Accent4 86 16 2" xfId="8227" xr:uid="{00000000-0005-0000-0000-000021200000}"/>
    <cellStyle name="20% - Accent4 86 16 2 2" xfId="8228" xr:uid="{00000000-0005-0000-0000-000022200000}"/>
    <cellStyle name="20% - Accent4 86 16 3" xfId="8229" xr:uid="{00000000-0005-0000-0000-000023200000}"/>
    <cellStyle name="20% - Accent4 86 17" xfId="8230" xr:uid="{00000000-0005-0000-0000-000024200000}"/>
    <cellStyle name="20% - Accent4 86 17 2" xfId="8231" xr:uid="{00000000-0005-0000-0000-000025200000}"/>
    <cellStyle name="20% - Accent4 86 17 2 2" xfId="8232" xr:uid="{00000000-0005-0000-0000-000026200000}"/>
    <cellStyle name="20% - Accent4 86 17 3" xfId="8233" xr:uid="{00000000-0005-0000-0000-000027200000}"/>
    <cellStyle name="20% - Accent4 86 18" xfId="8234" xr:uid="{00000000-0005-0000-0000-000028200000}"/>
    <cellStyle name="20% - Accent4 86 18 2" xfId="8235" xr:uid="{00000000-0005-0000-0000-000029200000}"/>
    <cellStyle name="20% - Accent4 86 18 2 2" xfId="8236" xr:uid="{00000000-0005-0000-0000-00002A200000}"/>
    <cellStyle name="20% - Accent4 86 18 3" xfId="8237" xr:uid="{00000000-0005-0000-0000-00002B200000}"/>
    <cellStyle name="20% - Accent4 86 19" xfId="8238" xr:uid="{00000000-0005-0000-0000-00002C200000}"/>
    <cellStyle name="20% - Accent4 86 19 2" xfId="8239" xr:uid="{00000000-0005-0000-0000-00002D200000}"/>
    <cellStyle name="20% - Accent4 86 19 2 2" xfId="8240" xr:uid="{00000000-0005-0000-0000-00002E200000}"/>
    <cellStyle name="20% - Accent4 86 19 3" xfId="8241" xr:uid="{00000000-0005-0000-0000-00002F200000}"/>
    <cellStyle name="20% - Accent4 86 2" xfId="8242" xr:uid="{00000000-0005-0000-0000-000030200000}"/>
    <cellStyle name="20% - Accent4 86 2 2" xfId="8243" xr:uid="{00000000-0005-0000-0000-000031200000}"/>
    <cellStyle name="20% - Accent4 86 2 2 2" xfId="8244" xr:uid="{00000000-0005-0000-0000-000032200000}"/>
    <cellStyle name="20% - Accent4 86 2 3" xfId="8245" xr:uid="{00000000-0005-0000-0000-000033200000}"/>
    <cellStyle name="20% - Accent4 86 20" xfId="8246" xr:uid="{00000000-0005-0000-0000-000034200000}"/>
    <cellStyle name="20% - Accent4 86 20 2" xfId="8247" xr:uid="{00000000-0005-0000-0000-000035200000}"/>
    <cellStyle name="20% - Accent4 86 20 2 2" xfId="8248" xr:uid="{00000000-0005-0000-0000-000036200000}"/>
    <cellStyle name="20% - Accent4 86 20 3" xfId="8249" xr:uid="{00000000-0005-0000-0000-000037200000}"/>
    <cellStyle name="20% - Accent4 86 21" xfId="8250" xr:uid="{00000000-0005-0000-0000-000038200000}"/>
    <cellStyle name="20% - Accent4 86 21 2" xfId="8251" xr:uid="{00000000-0005-0000-0000-000039200000}"/>
    <cellStyle name="20% - Accent4 86 21 2 2" xfId="8252" xr:uid="{00000000-0005-0000-0000-00003A200000}"/>
    <cellStyle name="20% - Accent4 86 21 3" xfId="8253" xr:uid="{00000000-0005-0000-0000-00003B200000}"/>
    <cellStyle name="20% - Accent4 86 22" xfId="8254" xr:uid="{00000000-0005-0000-0000-00003C200000}"/>
    <cellStyle name="20% - Accent4 86 22 2" xfId="8255" xr:uid="{00000000-0005-0000-0000-00003D200000}"/>
    <cellStyle name="20% - Accent4 86 22 2 2" xfId="8256" xr:uid="{00000000-0005-0000-0000-00003E200000}"/>
    <cellStyle name="20% - Accent4 86 22 3" xfId="8257" xr:uid="{00000000-0005-0000-0000-00003F200000}"/>
    <cellStyle name="20% - Accent4 86 23" xfId="8258" xr:uid="{00000000-0005-0000-0000-000040200000}"/>
    <cellStyle name="20% - Accent4 86 23 2" xfId="8259" xr:uid="{00000000-0005-0000-0000-000041200000}"/>
    <cellStyle name="20% - Accent4 86 23 2 2" xfId="8260" xr:uid="{00000000-0005-0000-0000-000042200000}"/>
    <cellStyle name="20% - Accent4 86 23 3" xfId="8261" xr:uid="{00000000-0005-0000-0000-000043200000}"/>
    <cellStyle name="20% - Accent4 86 24" xfId="8262" xr:uid="{00000000-0005-0000-0000-000044200000}"/>
    <cellStyle name="20% - Accent4 86 24 2" xfId="8263" xr:uid="{00000000-0005-0000-0000-000045200000}"/>
    <cellStyle name="20% - Accent4 86 24 2 2" xfId="8264" xr:uid="{00000000-0005-0000-0000-000046200000}"/>
    <cellStyle name="20% - Accent4 86 24 3" xfId="8265" xr:uid="{00000000-0005-0000-0000-000047200000}"/>
    <cellStyle name="20% - Accent4 86 25" xfId="8266" xr:uid="{00000000-0005-0000-0000-000048200000}"/>
    <cellStyle name="20% - Accent4 86 25 2" xfId="8267" xr:uid="{00000000-0005-0000-0000-000049200000}"/>
    <cellStyle name="20% - Accent4 86 25 2 2" xfId="8268" xr:uid="{00000000-0005-0000-0000-00004A200000}"/>
    <cellStyle name="20% - Accent4 86 25 3" xfId="8269" xr:uid="{00000000-0005-0000-0000-00004B200000}"/>
    <cellStyle name="20% - Accent4 86 26" xfId="8270" xr:uid="{00000000-0005-0000-0000-00004C200000}"/>
    <cellStyle name="20% - Accent4 86 26 2" xfId="8271" xr:uid="{00000000-0005-0000-0000-00004D200000}"/>
    <cellStyle name="20% - Accent4 86 26 2 2" xfId="8272" xr:uid="{00000000-0005-0000-0000-00004E200000}"/>
    <cellStyle name="20% - Accent4 86 26 3" xfId="8273" xr:uid="{00000000-0005-0000-0000-00004F200000}"/>
    <cellStyle name="20% - Accent4 86 27" xfId="8274" xr:uid="{00000000-0005-0000-0000-000050200000}"/>
    <cellStyle name="20% - Accent4 86 27 2" xfId="8275" xr:uid="{00000000-0005-0000-0000-000051200000}"/>
    <cellStyle name="20% - Accent4 86 27 2 2" xfId="8276" xr:uid="{00000000-0005-0000-0000-000052200000}"/>
    <cellStyle name="20% - Accent4 86 27 3" xfId="8277" xr:uid="{00000000-0005-0000-0000-000053200000}"/>
    <cellStyle name="20% - Accent4 86 28" xfId="8278" xr:uid="{00000000-0005-0000-0000-000054200000}"/>
    <cellStyle name="20% - Accent4 86 28 2" xfId="8279" xr:uid="{00000000-0005-0000-0000-000055200000}"/>
    <cellStyle name="20% - Accent4 86 28 2 2" xfId="8280" xr:uid="{00000000-0005-0000-0000-000056200000}"/>
    <cellStyle name="20% - Accent4 86 28 3" xfId="8281" xr:uid="{00000000-0005-0000-0000-000057200000}"/>
    <cellStyle name="20% - Accent4 86 29" xfId="8282" xr:uid="{00000000-0005-0000-0000-000058200000}"/>
    <cellStyle name="20% - Accent4 86 29 2" xfId="8283" xr:uid="{00000000-0005-0000-0000-000059200000}"/>
    <cellStyle name="20% - Accent4 86 29 2 2" xfId="8284" xr:uid="{00000000-0005-0000-0000-00005A200000}"/>
    <cellStyle name="20% - Accent4 86 29 3" xfId="8285" xr:uid="{00000000-0005-0000-0000-00005B200000}"/>
    <cellStyle name="20% - Accent4 86 3" xfId="8286" xr:uid="{00000000-0005-0000-0000-00005C200000}"/>
    <cellStyle name="20% - Accent4 86 3 2" xfId="8287" xr:uid="{00000000-0005-0000-0000-00005D200000}"/>
    <cellStyle name="20% - Accent4 86 3 2 2" xfId="8288" xr:uid="{00000000-0005-0000-0000-00005E200000}"/>
    <cellStyle name="20% - Accent4 86 3 3" xfId="8289" xr:uid="{00000000-0005-0000-0000-00005F200000}"/>
    <cellStyle name="20% - Accent4 86 30" xfId="8290" xr:uid="{00000000-0005-0000-0000-000060200000}"/>
    <cellStyle name="20% - Accent4 86 30 2" xfId="8291" xr:uid="{00000000-0005-0000-0000-000061200000}"/>
    <cellStyle name="20% - Accent4 86 30 2 2" xfId="8292" xr:uid="{00000000-0005-0000-0000-000062200000}"/>
    <cellStyle name="20% - Accent4 86 30 3" xfId="8293" xr:uid="{00000000-0005-0000-0000-000063200000}"/>
    <cellStyle name="20% - Accent4 86 31" xfId="8294" xr:uid="{00000000-0005-0000-0000-000064200000}"/>
    <cellStyle name="20% - Accent4 86 31 2" xfId="8295" xr:uid="{00000000-0005-0000-0000-000065200000}"/>
    <cellStyle name="20% - Accent4 86 31 2 2" xfId="8296" xr:uid="{00000000-0005-0000-0000-000066200000}"/>
    <cellStyle name="20% - Accent4 86 31 3" xfId="8297" xr:uid="{00000000-0005-0000-0000-000067200000}"/>
    <cellStyle name="20% - Accent4 86 32" xfId="8298" xr:uid="{00000000-0005-0000-0000-000068200000}"/>
    <cellStyle name="20% - Accent4 86 32 2" xfId="8299" xr:uid="{00000000-0005-0000-0000-000069200000}"/>
    <cellStyle name="20% - Accent4 86 32 2 2" xfId="8300" xr:uid="{00000000-0005-0000-0000-00006A200000}"/>
    <cellStyle name="20% - Accent4 86 32 3" xfId="8301" xr:uid="{00000000-0005-0000-0000-00006B200000}"/>
    <cellStyle name="20% - Accent4 86 33" xfId="8302" xr:uid="{00000000-0005-0000-0000-00006C200000}"/>
    <cellStyle name="20% - Accent4 86 33 2" xfId="8303" xr:uid="{00000000-0005-0000-0000-00006D200000}"/>
    <cellStyle name="20% - Accent4 86 33 2 2" xfId="8304" xr:uid="{00000000-0005-0000-0000-00006E200000}"/>
    <cellStyle name="20% - Accent4 86 33 3" xfId="8305" xr:uid="{00000000-0005-0000-0000-00006F200000}"/>
    <cellStyle name="20% - Accent4 86 34" xfId="8306" xr:uid="{00000000-0005-0000-0000-000070200000}"/>
    <cellStyle name="20% - Accent4 86 34 2" xfId="8307" xr:uid="{00000000-0005-0000-0000-000071200000}"/>
    <cellStyle name="20% - Accent4 86 34 2 2" xfId="8308" xr:uid="{00000000-0005-0000-0000-000072200000}"/>
    <cellStyle name="20% - Accent4 86 34 3" xfId="8309" xr:uid="{00000000-0005-0000-0000-000073200000}"/>
    <cellStyle name="20% - Accent4 86 35" xfId="8310" xr:uid="{00000000-0005-0000-0000-000074200000}"/>
    <cellStyle name="20% - Accent4 86 35 2" xfId="8311" xr:uid="{00000000-0005-0000-0000-000075200000}"/>
    <cellStyle name="20% - Accent4 86 35 2 2" xfId="8312" xr:uid="{00000000-0005-0000-0000-000076200000}"/>
    <cellStyle name="20% - Accent4 86 35 3" xfId="8313" xr:uid="{00000000-0005-0000-0000-000077200000}"/>
    <cellStyle name="20% - Accent4 86 36" xfId="8314" xr:uid="{00000000-0005-0000-0000-000078200000}"/>
    <cellStyle name="20% - Accent4 86 36 2" xfId="8315" xr:uid="{00000000-0005-0000-0000-000079200000}"/>
    <cellStyle name="20% - Accent4 86 36 2 2" xfId="8316" xr:uid="{00000000-0005-0000-0000-00007A200000}"/>
    <cellStyle name="20% - Accent4 86 36 3" xfId="8317" xr:uid="{00000000-0005-0000-0000-00007B200000}"/>
    <cellStyle name="20% - Accent4 86 4" xfId="8318" xr:uid="{00000000-0005-0000-0000-00007C200000}"/>
    <cellStyle name="20% - Accent4 86 4 2" xfId="8319" xr:uid="{00000000-0005-0000-0000-00007D200000}"/>
    <cellStyle name="20% - Accent4 86 4 2 2" xfId="8320" xr:uid="{00000000-0005-0000-0000-00007E200000}"/>
    <cellStyle name="20% - Accent4 86 4 3" xfId="8321" xr:uid="{00000000-0005-0000-0000-00007F200000}"/>
    <cellStyle name="20% - Accent4 86 5" xfId="8322" xr:uid="{00000000-0005-0000-0000-000080200000}"/>
    <cellStyle name="20% - Accent4 86 5 2" xfId="8323" xr:uid="{00000000-0005-0000-0000-000081200000}"/>
    <cellStyle name="20% - Accent4 86 5 2 2" xfId="8324" xr:uid="{00000000-0005-0000-0000-000082200000}"/>
    <cellStyle name="20% - Accent4 86 5 3" xfId="8325" xr:uid="{00000000-0005-0000-0000-000083200000}"/>
    <cellStyle name="20% - Accent4 86 6" xfId="8326" xr:uid="{00000000-0005-0000-0000-000084200000}"/>
    <cellStyle name="20% - Accent4 86 6 2" xfId="8327" xr:uid="{00000000-0005-0000-0000-000085200000}"/>
    <cellStyle name="20% - Accent4 86 6 2 2" xfId="8328" xr:uid="{00000000-0005-0000-0000-000086200000}"/>
    <cellStyle name="20% - Accent4 86 6 3" xfId="8329" xr:uid="{00000000-0005-0000-0000-000087200000}"/>
    <cellStyle name="20% - Accent4 86 7" xfId="8330" xr:uid="{00000000-0005-0000-0000-000088200000}"/>
    <cellStyle name="20% - Accent4 86 7 2" xfId="8331" xr:uid="{00000000-0005-0000-0000-000089200000}"/>
    <cellStyle name="20% - Accent4 86 7 2 2" xfId="8332" xr:uid="{00000000-0005-0000-0000-00008A200000}"/>
    <cellStyle name="20% - Accent4 86 7 3" xfId="8333" xr:uid="{00000000-0005-0000-0000-00008B200000}"/>
    <cellStyle name="20% - Accent4 86 8" xfId="8334" xr:uid="{00000000-0005-0000-0000-00008C200000}"/>
    <cellStyle name="20% - Accent4 86 8 2" xfId="8335" xr:uid="{00000000-0005-0000-0000-00008D200000}"/>
    <cellStyle name="20% - Accent4 86 8 2 2" xfId="8336" xr:uid="{00000000-0005-0000-0000-00008E200000}"/>
    <cellStyle name="20% - Accent4 86 8 3" xfId="8337" xr:uid="{00000000-0005-0000-0000-00008F200000}"/>
    <cellStyle name="20% - Accent4 86 9" xfId="8338" xr:uid="{00000000-0005-0000-0000-000090200000}"/>
    <cellStyle name="20% - Accent4 86 9 2" xfId="8339" xr:uid="{00000000-0005-0000-0000-000091200000}"/>
    <cellStyle name="20% - Accent4 86 9 2 2" xfId="8340" xr:uid="{00000000-0005-0000-0000-000092200000}"/>
    <cellStyle name="20% - Accent4 86 9 3" xfId="8341" xr:uid="{00000000-0005-0000-0000-000093200000}"/>
    <cellStyle name="20% - Accent4 87" xfId="8342" xr:uid="{00000000-0005-0000-0000-000094200000}"/>
    <cellStyle name="20% - Accent4 87 10" xfId="8343" xr:uid="{00000000-0005-0000-0000-000095200000}"/>
    <cellStyle name="20% - Accent4 87 10 2" xfId="8344" xr:uid="{00000000-0005-0000-0000-000096200000}"/>
    <cellStyle name="20% - Accent4 87 10 2 2" xfId="8345" xr:uid="{00000000-0005-0000-0000-000097200000}"/>
    <cellStyle name="20% - Accent4 87 10 3" xfId="8346" xr:uid="{00000000-0005-0000-0000-000098200000}"/>
    <cellStyle name="20% - Accent4 87 11" xfId="8347" xr:uid="{00000000-0005-0000-0000-000099200000}"/>
    <cellStyle name="20% - Accent4 87 11 2" xfId="8348" xr:uid="{00000000-0005-0000-0000-00009A200000}"/>
    <cellStyle name="20% - Accent4 87 11 2 2" xfId="8349" xr:uid="{00000000-0005-0000-0000-00009B200000}"/>
    <cellStyle name="20% - Accent4 87 11 3" xfId="8350" xr:uid="{00000000-0005-0000-0000-00009C200000}"/>
    <cellStyle name="20% - Accent4 87 12" xfId="8351" xr:uid="{00000000-0005-0000-0000-00009D200000}"/>
    <cellStyle name="20% - Accent4 87 12 2" xfId="8352" xr:uid="{00000000-0005-0000-0000-00009E200000}"/>
    <cellStyle name="20% - Accent4 87 12 2 2" xfId="8353" xr:uid="{00000000-0005-0000-0000-00009F200000}"/>
    <cellStyle name="20% - Accent4 87 12 3" xfId="8354" xr:uid="{00000000-0005-0000-0000-0000A0200000}"/>
    <cellStyle name="20% - Accent4 87 13" xfId="8355" xr:uid="{00000000-0005-0000-0000-0000A1200000}"/>
    <cellStyle name="20% - Accent4 87 13 2" xfId="8356" xr:uid="{00000000-0005-0000-0000-0000A2200000}"/>
    <cellStyle name="20% - Accent4 87 13 2 2" xfId="8357" xr:uid="{00000000-0005-0000-0000-0000A3200000}"/>
    <cellStyle name="20% - Accent4 87 13 3" xfId="8358" xr:uid="{00000000-0005-0000-0000-0000A4200000}"/>
    <cellStyle name="20% - Accent4 87 14" xfId="8359" xr:uid="{00000000-0005-0000-0000-0000A5200000}"/>
    <cellStyle name="20% - Accent4 87 14 2" xfId="8360" xr:uid="{00000000-0005-0000-0000-0000A6200000}"/>
    <cellStyle name="20% - Accent4 87 14 2 2" xfId="8361" xr:uid="{00000000-0005-0000-0000-0000A7200000}"/>
    <cellStyle name="20% - Accent4 87 14 3" xfId="8362" xr:uid="{00000000-0005-0000-0000-0000A8200000}"/>
    <cellStyle name="20% - Accent4 87 15" xfId="8363" xr:uid="{00000000-0005-0000-0000-0000A9200000}"/>
    <cellStyle name="20% - Accent4 87 15 2" xfId="8364" xr:uid="{00000000-0005-0000-0000-0000AA200000}"/>
    <cellStyle name="20% - Accent4 87 15 2 2" xfId="8365" xr:uid="{00000000-0005-0000-0000-0000AB200000}"/>
    <cellStyle name="20% - Accent4 87 15 3" xfId="8366" xr:uid="{00000000-0005-0000-0000-0000AC200000}"/>
    <cellStyle name="20% - Accent4 87 16" xfId="8367" xr:uid="{00000000-0005-0000-0000-0000AD200000}"/>
    <cellStyle name="20% - Accent4 87 16 2" xfId="8368" xr:uid="{00000000-0005-0000-0000-0000AE200000}"/>
    <cellStyle name="20% - Accent4 87 16 2 2" xfId="8369" xr:uid="{00000000-0005-0000-0000-0000AF200000}"/>
    <cellStyle name="20% - Accent4 87 16 3" xfId="8370" xr:uid="{00000000-0005-0000-0000-0000B0200000}"/>
    <cellStyle name="20% - Accent4 87 17" xfId="8371" xr:uid="{00000000-0005-0000-0000-0000B1200000}"/>
    <cellStyle name="20% - Accent4 87 17 2" xfId="8372" xr:uid="{00000000-0005-0000-0000-0000B2200000}"/>
    <cellStyle name="20% - Accent4 87 17 2 2" xfId="8373" xr:uid="{00000000-0005-0000-0000-0000B3200000}"/>
    <cellStyle name="20% - Accent4 87 17 3" xfId="8374" xr:uid="{00000000-0005-0000-0000-0000B4200000}"/>
    <cellStyle name="20% - Accent4 87 18" xfId="8375" xr:uid="{00000000-0005-0000-0000-0000B5200000}"/>
    <cellStyle name="20% - Accent4 87 18 2" xfId="8376" xr:uid="{00000000-0005-0000-0000-0000B6200000}"/>
    <cellStyle name="20% - Accent4 87 18 2 2" xfId="8377" xr:uid="{00000000-0005-0000-0000-0000B7200000}"/>
    <cellStyle name="20% - Accent4 87 18 3" xfId="8378" xr:uid="{00000000-0005-0000-0000-0000B8200000}"/>
    <cellStyle name="20% - Accent4 87 19" xfId="8379" xr:uid="{00000000-0005-0000-0000-0000B9200000}"/>
    <cellStyle name="20% - Accent4 87 19 2" xfId="8380" xr:uid="{00000000-0005-0000-0000-0000BA200000}"/>
    <cellStyle name="20% - Accent4 87 19 2 2" xfId="8381" xr:uid="{00000000-0005-0000-0000-0000BB200000}"/>
    <cellStyle name="20% - Accent4 87 19 3" xfId="8382" xr:uid="{00000000-0005-0000-0000-0000BC200000}"/>
    <cellStyle name="20% - Accent4 87 2" xfId="8383" xr:uid="{00000000-0005-0000-0000-0000BD200000}"/>
    <cellStyle name="20% - Accent4 87 2 2" xfId="8384" xr:uid="{00000000-0005-0000-0000-0000BE200000}"/>
    <cellStyle name="20% - Accent4 87 2 2 2" xfId="8385" xr:uid="{00000000-0005-0000-0000-0000BF200000}"/>
    <cellStyle name="20% - Accent4 87 2 3" xfId="8386" xr:uid="{00000000-0005-0000-0000-0000C0200000}"/>
    <cellStyle name="20% - Accent4 87 20" xfId="8387" xr:uid="{00000000-0005-0000-0000-0000C1200000}"/>
    <cellStyle name="20% - Accent4 87 20 2" xfId="8388" xr:uid="{00000000-0005-0000-0000-0000C2200000}"/>
    <cellStyle name="20% - Accent4 87 20 2 2" xfId="8389" xr:uid="{00000000-0005-0000-0000-0000C3200000}"/>
    <cellStyle name="20% - Accent4 87 20 3" xfId="8390" xr:uid="{00000000-0005-0000-0000-0000C4200000}"/>
    <cellStyle name="20% - Accent4 87 21" xfId="8391" xr:uid="{00000000-0005-0000-0000-0000C5200000}"/>
    <cellStyle name="20% - Accent4 87 21 2" xfId="8392" xr:uid="{00000000-0005-0000-0000-0000C6200000}"/>
    <cellStyle name="20% - Accent4 87 21 2 2" xfId="8393" xr:uid="{00000000-0005-0000-0000-0000C7200000}"/>
    <cellStyle name="20% - Accent4 87 21 3" xfId="8394" xr:uid="{00000000-0005-0000-0000-0000C8200000}"/>
    <cellStyle name="20% - Accent4 87 22" xfId="8395" xr:uid="{00000000-0005-0000-0000-0000C9200000}"/>
    <cellStyle name="20% - Accent4 87 22 2" xfId="8396" xr:uid="{00000000-0005-0000-0000-0000CA200000}"/>
    <cellStyle name="20% - Accent4 87 22 2 2" xfId="8397" xr:uid="{00000000-0005-0000-0000-0000CB200000}"/>
    <cellStyle name="20% - Accent4 87 22 3" xfId="8398" xr:uid="{00000000-0005-0000-0000-0000CC200000}"/>
    <cellStyle name="20% - Accent4 87 23" xfId="8399" xr:uid="{00000000-0005-0000-0000-0000CD200000}"/>
    <cellStyle name="20% - Accent4 87 23 2" xfId="8400" xr:uid="{00000000-0005-0000-0000-0000CE200000}"/>
    <cellStyle name="20% - Accent4 87 23 2 2" xfId="8401" xr:uid="{00000000-0005-0000-0000-0000CF200000}"/>
    <cellStyle name="20% - Accent4 87 23 3" xfId="8402" xr:uid="{00000000-0005-0000-0000-0000D0200000}"/>
    <cellStyle name="20% - Accent4 87 24" xfId="8403" xr:uid="{00000000-0005-0000-0000-0000D1200000}"/>
    <cellStyle name="20% - Accent4 87 24 2" xfId="8404" xr:uid="{00000000-0005-0000-0000-0000D2200000}"/>
    <cellStyle name="20% - Accent4 87 24 2 2" xfId="8405" xr:uid="{00000000-0005-0000-0000-0000D3200000}"/>
    <cellStyle name="20% - Accent4 87 24 3" xfId="8406" xr:uid="{00000000-0005-0000-0000-0000D4200000}"/>
    <cellStyle name="20% - Accent4 87 25" xfId="8407" xr:uid="{00000000-0005-0000-0000-0000D5200000}"/>
    <cellStyle name="20% - Accent4 87 25 2" xfId="8408" xr:uid="{00000000-0005-0000-0000-0000D6200000}"/>
    <cellStyle name="20% - Accent4 87 25 2 2" xfId="8409" xr:uid="{00000000-0005-0000-0000-0000D7200000}"/>
    <cellStyle name="20% - Accent4 87 25 3" xfId="8410" xr:uid="{00000000-0005-0000-0000-0000D8200000}"/>
    <cellStyle name="20% - Accent4 87 26" xfId="8411" xr:uid="{00000000-0005-0000-0000-0000D9200000}"/>
    <cellStyle name="20% - Accent4 87 26 2" xfId="8412" xr:uid="{00000000-0005-0000-0000-0000DA200000}"/>
    <cellStyle name="20% - Accent4 87 26 2 2" xfId="8413" xr:uid="{00000000-0005-0000-0000-0000DB200000}"/>
    <cellStyle name="20% - Accent4 87 26 3" xfId="8414" xr:uid="{00000000-0005-0000-0000-0000DC200000}"/>
    <cellStyle name="20% - Accent4 87 27" xfId="8415" xr:uid="{00000000-0005-0000-0000-0000DD200000}"/>
    <cellStyle name="20% - Accent4 87 27 2" xfId="8416" xr:uid="{00000000-0005-0000-0000-0000DE200000}"/>
    <cellStyle name="20% - Accent4 87 27 2 2" xfId="8417" xr:uid="{00000000-0005-0000-0000-0000DF200000}"/>
    <cellStyle name="20% - Accent4 87 27 3" xfId="8418" xr:uid="{00000000-0005-0000-0000-0000E0200000}"/>
    <cellStyle name="20% - Accent4 87 28" xfId="8419" xr:uid="{00000000-0005-0000-0000-0000E1200000}"/>
    <cellStyle name="20% - Accent4 87 28 2" xfId="8420" xr:uid="{00000000-0005-0000-0000-0000E2200000}"/>
    <cellStyle name="20% - Accent4 87 28 2 2" xfId="8421" xr:uid="{00000000-0005-0000-0000-0000E3200000}"/>
    <cellStyle name="20% - Accent4 87 28 3" xfId="8422" xr:uid="{00000000-0005-0000-0000-0000E4200000}"/>
    <cellStyle name="20% - Accent4 87 29" xfId="8423" xr:uid="{00000000-0005-0000-0000-0000E5200000}"/>
    <cellStyle name="20% - Accent4 87 29 2" xfId="8424" xr:uid="{00000000-0005-0000-0000-0000E6200000}"/>
    <cellStyle name="20% - Accent4 87 29 2 2" xfId="8425" xr:uid="{00000000-0005-0000-0000-0000E7200000}"/>
    <cellStyle name="20% - Accent4 87 29 3" xfId="8426" xr:uid="{00000000-0005-0000-0000-0000E8200000}"/>
    <cellStyle name="20% - Accent4 87 3" xfId="8427" xr:uid="{00000000-0005-0000-0000-0000E9200000}"/>
    <cellStyle name="20% - Accent4 87 3 2" xfId="8428" xr:uid="{00000000-0005-0000-0000-0000EA200000}"/>
    <cellStyle name="20% - Accent4 87 3 2 2" xfId="8429" xr:uid="{00000000-0005-0000-0000-0000EB200000}"/>
    <cellStyle name="20% - Accent4 87 3 3" xfId="8430" xr:uid="{00000000-0005-0000-0000-0000EC200000}"/>
    <cellStyle name="20% - Accent4 87 30" xfId="8431" xr:uid="{00000000-0005-0000-0000-0000ED200000}"/>
    <cellStyle name="20% - Accent4 87 30 2" xfId="8432" xr:uid="{00000000-0005-0000-0000-0000EE200000}"/>
    <cellStyle name="20% - Accent4 87 30 2 2" xfId="8433" xr:uid="{00000000-0005-0000-0000-0000EF200000}"/>
    <cellStyle name="20% - Accent4 87 30 3" xfId="8434" xr:uid="{00000000-0005-0000-0000-0000F0200000}"/>
    <cellStyle name="20% - Accent4 87 31" xfId="8435" xr:uid="{00000000-0005-0000-0000-0000F1200000}"/>
    <cellStyle name="20% - Accent4 87 31 2" xfId="8436" xr:uid="{00000000-0005-0000-0000-0000F2200000}"/>
    <cellStyle name="20% - Accent4 87 31 2 2" xfId="8437" xr:uid="{00000000-0005-0000-0000-0000F3200000}"/>
    <cellStyle name="20% - Accent4 87 31 3" xfId="8438" xr:uid="{00000000-0005-0000-0000-0000F4200000}"/>
    <cellStyle name="20% - Accent4 87 32" xfId="8439" xr:uid="{00000000-0005-0000-0000-0000F5200000}"/>
    <cellStyle name="20% - Accent4 87 32 2" xfId="8440" xr:uid="{00000000-0005-0000-0000-0000F6200000}"/>
    <cellStyle name="20% - Accent4 87 32 2 2" xfId="8441" xr:uid="{00000000-0005-0000-0000-0000F7200000}"/>
    <cellStyle name="20% - Accent4 87 32 3" xfId="8442" xr:uid="{00000000-0005-0000-0000-0000F8200000}"/>
    <cellStyle name="20% - Accent4 87 33" xfId="8443" xr:uid="{00000000-0005-0000-0000-0000F9200000}"/>
    <cellStyle name="20% - Accent4 87 33 2" xfId="8444" xr:uid="{00000000-0005-0000-0000-0000FA200000}"/>
    <cellStyle name="20% - Accent4 87 33 2 2" xfId="8445" xr:uid="{00000000-0005-0000-0000-0000FB200000}"/>
    <cellStyle name="20% - Accent4 87 33 3" xfId="8446" xr:uid="{00000000-0005-0000-0000-0000FC200000}"/>
    <cellStyle name="20% - Accent4 87 34" xfId="8447" xr:uid="{00000000-0005-0000-0000-0000FD200000}"/>
    <cellStyle name="20% - Accent4 87 34 2" xfId="8448" xr:uid="{00000000-0005-0000-0000-0000FE200000}"/>
    <cellStyle name="20% - Accent4 87 34 2 2" xfId="8449" xr:uid="{00000000-0005-0000-0000-0000FF200000}"/>
    <cellStyle name="20% - Accent4 87 34 3" xfId="8450" xr:uid="{00000000-0005-0000-0000-000000210000}"/>
    <cellStyle name="20% - Accent4 87 35" xfId="8451" xr:uid="{00000000-0005-0000-0000-000001210000}"/>
    <cellStyle name="20% - Accent4 87 35 2" xfId="8452" xr:uid="{00000000-0005-0000-0000-000002210000}"/>
    <cellStyle name="20% - Accent4 87 35 2 2" xfId="8453" xr:uid="{00000000-0005-0000-0000-000003210000}"/>
    <cellStyle name="20% - Accent4 87 35 3" xfId="8454" xr:uid="{00000000-0005-0000-0000-000004210000}"/>
    <cellStyle name="20% - Accent4 87 36" xfId="8455" xr:uid="{00000000-0005-0000-0000-000005210000}"/>
    <cellStyle name="20% - Accent4 87 36 2" xfId="8456" xr:uid="{00000000-0005-0000-0000-000006210000}"/>
    <cellStyle name="20% - Accent4 87 36 2 2" xfId="8457" xr:uid="{00000000-0005-0000-0000-000007210000}"/>
    <cellStyle name="20% - Accent4 87 36 3" xfId="8458" xr:uid="{00000000-0005-0000-0000-000008210000}"/>
    <cellStyle name="20% - Accent4 87 4" xfId="8459" xr:uid="{00000000-0005-0000-0000-000009210000}"/>
    <cellStyle name="20% - Accent4 87 4 2" xfId="8460" xr:uid="{00000000-0005-0000-0000-00000A210000}"/>
    <cellStyle name="20% - Accent4 87 4 2 2" xfId="8461" xr:uid="{00000000-0005-0000-0000-00000B210000}"/>
    <cellStyle name="20% - Accent4 87 4 3" xfId="8462" xr:uid="{00000000-0005-0000-0000-00000C210000}"/>
    <cellStyle name="20% - Accent4 87 5" xfId="8463" xr:uid="{00000000-0005-0000-0000-00000D210000}"/>
    <cellStyle name="20% - Accent4 87 5 2" xfId="8464" xr:uid="{00000000-0005-0000-0000-00000E210000}"/>
    <cellStyle name="20% - Accent4 87 5 2 2" xfId="8465" xr:uid="{00000000-0005-0000-0000-00000F210000}"/>
    <cellStyle name="20% - Accent4 87 5 3" xfId="8466" xr:uid="{00000000-0005-0000-0000-000010210000}"/>
    <cellStyle name="20% - Accent4 87 6" xfId="8467" xr:uid="{00000000-0005-0000-0000-000011210000}"/>
    <cellStyle name="20% - Accent4 87 6 2" xfId="8468" xr:uid="{00000000-0005-0000-0000-000012210000}"/>
    <cellStyle name="20% - Accent4 87 6 2 2" xfId="8469" xr:uid="{00000000-0005-0000-0000-000013210000}"/>
    <cellStyle name="20% - Accent4 87 6 3" xfId="8470" xr:uid="{00000000-0005-0000-0000-000014210000}"/>
    <cellStyle name="20% - Accent4 87 7" xfId="8471" xr:uid="{00000000-0005-0000-0000-000015210000}"/>
    <cellStyle name="20% - Accent4 87 7 2" xfId="8472" xr:uid="{00000000-0005-0000-0000-000016210000}"/>
    <cellStyle name="20% - Accent4 87 7 2 2" xfId="8473" xr:uid="{00000000-0005-0000-0000-000017210000}"/>
    <cellStyle name="20% - Accent4 87 7 3" xfId="8474" xr:uid="{00000000-0005-0000-0000-000018210000}"/>
    <cellStyle name="20% - Accent4 87 8" xfId="8475" xr:uid="{00000000-0005-0000-0000-000019210000}"/>
    <cellStyle name="20% - Accent4 87 8 2" xfId="8476" xr:uid="{00000000-0005-0000-0000-00001A210000}"/>
    <cellStyle name="20% - Accent4 87 8 2 2" xfId="8477" xr:uid="{00000000-0005-0000-0000-00001B210000}"/>
    <cellStyle name="20% - Accent4 87 8 3" xfId="8478" xr:uid="{00000000-0005-0000-0000-00001C210000}"/>
    <cellStyle name="20% - Accent4 87 9" xfId="8479" xr:uid="{00000000-0005-0000-0000-00001D210000}"/>
    <cellStyle name="20% - Accent4 87 9 2" xfId="8480" xr:uid="{00000000-0005-0000-0000-00001E210000}"/>
    <cellStyle name="20% - Accent4 87 9 2 2" xfId="8481" xr:uid="{00000000-0005-0000-0000-00001F210000}"/>
    <cellStyle name="20% - Accent4 87 9 3" xfId="8482" xr:uid="{00000000-0005-0000-0000-000020210000}"/>
    <cellStyle name="20% - Accent4 88" xfId="8483" xr:uid="{00000000-0005-0000-0000-000021210000}"/>
    <cellStyle name="20% - Accent4 88 10" xfId="8484" xr:uid="{00000000-0005-0000-0000-000022210000}"/>
    <cellStyle name="20% - Accent4 88 10 2" xfId="8485" xr:uid="{00000000-0005-0000-0000-000023210000}"/>
    <cellStyle name="20% - Accent4 88 10 2 2" xfId="8486" xr:uid="{00000000-0005-0000-0000-000024210000}"/>
    <cellStyle name="20% - Accent4 88 10 3" xfId="8487" xr:uid="{00000000-0005-0000-0000-000025210000}"/>
    <cellStyle name="20% - Accent4 88 11" xfId="8488" xr:uid="{00000000-0005-0000-0000-000026210000}"/>
    <cellStyle name="20% - Accent4 88 11 2" xfId="8489" xr:uid="{00000000-0005-0000-0000-000027210000}"/>
    <cellStyle name="20% - Accent4 88 11 2 2" xfId="8490" xr:uid="{00000000-0005-0000-0000-000028210000}"/>
    <cellStyle name="20% - Accent4 88 11 3" xfId="8491" xr:uid="{00000000-0005-0000-0000-000029210000}"/>
    <cellStyle name="20% - Accent4 88 12" xfId="8492" xr:uid="{00000000-0005-0000-0000-00002A210000}"/>
    <cellStyle name="20% - Accent4 88 12 2" xfId="8493" xr:uid="{00000000-0005-0000-0000-00002B210000}"/>
    <cellStyle name="20% - Accent4 88 12 2 2" xfId="8494" xr:uid="{00000000-0005-0000-0000-00002C210000}"/>
    <cellStyle name="20% - Accent4 88 12 3" xfId="8495" xr:uid="{00000000-0005-0000-0000-00002D210000}"/>
    <cellStyle name="20% - Accent4 88 13" xfId="8496" xr:uid="{00000000-0005-0000-0000-00002E210000}"/>
    <cellStyle name="20% - Accent4 88 13 2" xfId="8497" xr:uid="{00000000-0005-0000-0000-00002F210000}"/>
    <cellStyle name="20% - Accent4 88 13 2 2" xfId="8498" xr:uid="{00000000-0005-0000-0000-000030210000}"/>
    <cellStyle name="20% - Accent4 88 13 3" xfId="8499" xr:uid="{00000000-0005-0000-0000-000031210000}"/>
    <cellStyle name="20% - Accent4 88 14" xfId="8500" xr:uid="{00000000-0005-0000-0000-000032210000}"/>
    <cellStyle name="20% - Accent4 88 14 2" xfId="8501" xr:uid="{00000000-0005-0000-0000-000033210000}"/>
    <cellStyle name="20% - Accent4 88 14 2 2" xfId="8502" xr:uid="{00000000-0005-0000-0000-000034210000}"/>
    <cellStyle name="20% - Accent4 88 14 3" xfId="8503" xr:uid="{00000000-0005-0000-0000-000035210000}"/>
    <cellStyle name="20% - Accent4 88 15" xfId="8504" xr:uid="{00000000-0005-0000-0000-000036210000}"/>
    <cellStyle name="20% - Accent4 88 15 2" xfId="8505" xr:uid="{00000000-0005-0000-0000-000037210000}"/>
    <cellStyle name="20% - Accent4 88 15 2 2" xfId="8506" xr:uid="{00000000-0005-0000-0000-000038210000}"/>
    <cellStyle name="20% - Accent4 88 15 3" xfId="8507" xr:uid="{00000000-0005-0000-0000-000039210000}"/>
    <cellStyle name="20% - Accent4 88 16" xfId="8508" xr:uid="{00000000-0005-0000-0000-00003A210000}"/>
    <cellStyle name="20% - Accent4 88 16 2" xfId="8509" xr:uid="{00000000-0005-0000-0000-00003B210000}"/>
    <cellStyle name="20% - Accent4 88 16 2 2" xfId="8510" xr:uid="{00000000-0005-0000-0000-00003C210000}"/>
    <cellStyle name="20% - Accent4 88 16 3" xfId="8511" xr:uid="{00000000-0005-0000-0000-00003D210000}"/>
    <cellStyle name="20% - Accent4 88 17" xfId="8512" xr:uid="{00000000-0005-0000-0000-00003E210000}"/>
    <cellStyle name="20% - Accent4 88 17 2" xfId="8513" xr:uid="{00000000-0005-0000-0000-00003F210000}"/>
    <cellStyle name="20% - Accent4 88 17 2 2" xfId="8514" xr:uid="{00000000-0005-0000-0000-000040210000}"/>
    <cellStyle name="20% - Accent4 88 17 3" xfId="8515" xr:uid="{00000000-0005-0000-0000-000041210000}"/>
    <cellStyle name="20% - Accent4 88 18" xfId="8516" xr:uid="{00000000-0005-0000-0000-000042210000}"/>
    <cellStyle name="20% - Accent4 88 18 2" xfId="8517" xr:uid="{00000000-0005-0000-0000-000043210000}"/>
    <cellStyle name="20% - Accent4 88 18 2 2" xfId="8518" xr:uid="{00000000-0005-0000-0000-000044210000}"/>
    <cellStyle name="20% - Accent4 88 18 3" xfId="8519" xr:uid="{00000000-0005-0000-0000-000045210000}"/>
    <cellStyle name="20% - Accent4 88 19" xfId="8520" xr:uid="{00000000-0005-0000-0000-000046210000}"/>
    <cellStyle name="20% - Accent4 88 19 2" xfId="8521" xr:uid="{00000000-0005-0000-0000-000047210000}"/>
    <cellStyle name="20% - Accent4 88 19 2 2" xfId="8522" xr:uid="{00000000-0005-0000-0000-000048210000}"/>
    <cellStyle name="20% - Accent4 88 19 3" xfId="8523" xr:uid="{00000000-0005-0000-0000-000049210000}"/>
    <cellStyle name="20% - Accent4 88 2" xfId="8524" xr:uid="{00000000-0005-0000-0000-00004A210000}"/>
    <cellStyle name="20% - Accent4 88 2 2" xfId="8525" xr:uid="{00000000-0005-0000-0000-00004B210000}"/>
    <cellStyle name="20% - Accent4 88 2 2 2" xfId="8526" xr:uid="{00000000-0005-0000-0000-00004C210000}"/>
    <cellStyle name="20% - Accent4 88 2 3" xfId="8527" xr:uid="{00000000-0005-0000-0000-00004D210000}"/>
    <cellStyle name="20% - Accent4 88 20" xfId="8528" xr:uid="{00000000-0005-0000-0000-00004E210000}"/>
    <cellStyle name="20% - Accent4 88 20 2" xfId="8529" xr:uid="{00000000-0005-0000-0000-00004F210000}"/>
    <cellStyle name="20% - Accent4 88 20 2 2" xfId="8530" xr:uid="{00000000-0005-0000-0000-000050210000}"/>
    <cellStyle name="20% - Accent4 88 20 3" xfId="8531" xr:uid="{00000000-0005-0000-0000-000051210000}"/>
    <cellStyle name="20% - Accent4 88 21" xfId="8532" xr:uid="{00000000-0005-0000-0000-000052210000}"/>
    <cellStyle name="20% - Accent4 88 21 2" xfId="8533" xr:uid="{00000000-0005-0000-0000-000053210000}"/>
    <cellStyle name="20% - Accent4 88 21 2 2" xfId="8534" xr:uid="{00000000-0005-0000-0000-000054210000}"/>
    <cellStyle name="20% - Accent4 88 21 3" xfId="8535" xr:uid="{00000000-0005-0000-0000-000055210000}"/>
    <cellStyle name="20% - Accent4 88 22" xfId="8536" xr:uid="{00000000-0005-0000-0000-000056210000}"/>
    <cellStyle name="20% - Accent4 88 22 2" xfId="8537" xr:uid="{00000000-0005-0000-0000-000057210000}"/>
    <cellStyle name="20% - Accent4 88 22 2 2" xfId="8538" xr:uid="{00000000-0005-0000-0000-000058210000}"/>
    <cellStyle name="20% - Accent4 88 22 3" xfId="8539" xr:uid="{00000000-0005-0000-0000-000059210000}"/>
    <cellStyle name="20% - Accent4 88 23" xfId="8540" xr:uid="{00000000-0005-0000-0000-00005A210000}"/>
    <cellStyle name="20% - Accent4 88 23 2" xfId="8541" xr:uid="{00000000-0005-0000-0000-00005B210000}"/>
    <cellStyle name="20% - Accent4 88 23 2 2" xfId="8542" xr:uid="{00000000-0005-0000-0000-00005C210000}"/>
    <cellStyle name="20% - Accent4 88 23 3" xfId="8543" xr:uid="{00000000-0005-0000-0000-00005D210000}"/>
    <cellStyle name="20% - Accent4 88 24" xfId="8544" xr:uid="{00000000-0005-0000-0000-00005E210000}"/>
    <cellStyle name="20% - Accent4 88 24 2" xfId="8545" xr:uid="{00000000-0005-0000-0000-00005F210000}"/>
    <cellStyle name="20% - Accent4 88 24 2 2" xfId="8546" xr:uid="{00000000-0005-0000-0000-000060210000}"/>
    <cellStyle name="20% - Accent4 88 24 3" xfId="8547" xr:uid="{00000000-0005-0000-0000-000061210000}"/>
    <cellStyle name="20% - Accent4 88 25" xfId="8548" xr:uid="{00000000-0005-0000-0000-000062210000}"/>
    <cellStyle name="20% - Accent4 88 25 2" xfId="8549" xr:uid="{00000000-0005-0000-0000-000063210000}"/>
    <cellStyle name="20% - Accent4 88 25 2 2" xfId="8550" xr:uid="{00000000-0005-0000-0000-000064210000}"/>
    <cellStyle name="20% - Accent4 88 25 3" xfId="8551" xr:uid="{00000000-0005-0000-0000-000065210000}"/>
    <cellStyle name="20% - Accent4 88 26" xfId="8552" xr:uid="{00000000-0005-0000-0000-000066210000}"/>
    <cellStyle name="20% - Accent4 88 26 2" xfId="8553" xr:uid="{00000000-0005-0000-0000-000067210000}"/>
    <cellStyle name="20% - Accent4 88 26 2 2" xfId="8554" xr:uid="{00000000-0005-0000-0000-000068210000}"/>
    <cellStyle name="20% - Accent4 88 26 3" xfId="8555" xr:uid="{00000000-0005-0000-0000-000069210000}"/>
    <cellStyle name="20% - Accent4 88 27" xfId="8556" xr:uid="{00000000-0005-0000-0000-00006A210000}"/>
    <cellStyle name="20% - Accent4 88 27 2" xfId="8557" xr:uid="{00000000-0005-0000-0000-00006B210000}"/>
    <cellStyle name="20% - Accent4 88 27 2 2" xfId="8558" xr:uid="{00000000-0005-0000-0000-00006C210000}"/>
    <cellStyle name="20% - Accent4 88 27 3" xfId="8559" xr:uid="{00000000-0005-0000-0000-00006D210000}"/>
    <cellStyle name="20% - Accent4 88 28" xfId="8560" xr:uid="{00000000-0005-0000-0000-00006E210000}"/>
    <cellStyle name="20% - Accent4 88 28 2" xfId="8561" xr:uid="{00000000-0005-0000-0000-00006F210000}"/>
    <cellStyle name="20% - Accent4 88 28 2 2" xfId="8562" xr:uid="{00000000-0005-0000-0000-000070210000}"/>
    <cellStyle name="20% - Accent4 88 28 3" xfId="8563" xr:uid="{00000000-0005-0000-0000-000071210000}"/>
    <cellStyle name="20% - Accent4 88 29" xfId="8564" xr:uid="{00000000-0005-0000-0000-000072210000}"/>
    <cellStyle name="20% - Accent4 88 29 2" xfId="8565" xr:uid="{00000000-0005-0000-0000-000073210000}"/>
    <cellStyle name="20% - Accent4 88 29 2 2" xfId="8566" xr:uid="{00000000-0005-0000-0000-000074210000}"/>
    <cellStyle name="20% - Accent4 88 29 3" xfId="8567" xr:uid="{00000000-0005-0000-0000-000075210000}"/>
    <cellStyle name="20% - Accent4 88 3" xfId="8568" xr:uid="{00000000-0005-0000-0000-000076210000}"/>
    <cellStyle name="20% - Accent4 88 3 2" xfId="8569" xr:uid="{00000000-0005-0000-0000-000077210000}"/>
    <cellStyle name="20% - Accent4 88 3 2 2" xfId="8570" xr:uid="{00000000-0005-0000-0000-000078210000}"/>
    <cellStyle name="20% - Accent4 88 3 3" xfId="8571" xr:uid="{00000000-0005-0000-0000-000079210000}"/>
    <cellStyle name="20% - Accent4 88 30" xfId="8572" xr:uid="{00000000-0005-0000-0000-00007A210000}"/>
    <cellStyle name="20% - Accent4 88 30 2" xfId="8573" xr:uid="{00000000-0005-0000-0000-00007B210000}"/>
    <cellStyle name="20% - Accent4 88 30 2 2" xfId="8574" xr:uid="{00000000-0005-0000-0000-00007C210000}"/>
    <cellStyle name="20% - Accent4 88 30 3" xfId="8575" xr:uid="{00000000-0005-0000-0000-00007D210000}"/>
    <cellStyle name="20% - Accent4 88 31" xfId="8576" xr:uid="{00000000-0005-0000-0000-00007E210000}"/>
    <cellStyle name="20% - Accent4 88 31 2" xfId="8577" xr:uid="{00000000-0005-0000-0000-00007F210000}"/>
    <cellStyle name="20% - Accent4 88 31 2 2" xfId="8578" xr:uid="{00000000-0005-0000-0000-000080210000}"/>
    <cellStyle name="20% - Accent4 88 31 3" xfId="8579" xr:uid="{00000000-0005-0000-0000-000081210000}"/>
    <cellStyle name="20% - Accent4 88 32" xfId="8580" xr:uid="{00000000-0005-0000-0000-000082210000}"/>
    <cellStyle name="20% - Accent4 88 32 2" xfId="8581" xr:uid="{00000000-0005-0000-0000-000083210000}"/>
    <cellStyle name="20% - Accent4 88 32 2 2" xfId="8582" xr:uid="{00000000-0005-0000-0000-000084210000}"/>
    <cellStyle name="20% - Accent4 88 32 3" xfId="8583" xr:uid="{00000000-0005-0000-0000-000085210000}"/>
    <cellStyle name="20% - Accent4 88 33" xfId="8584" xr:uid="{00000000-0005-0000-0000-000086210000}"/>
    <cellStyle name="20% - Accent4 88 33 2" xfId="8585" xr:uid="{00000000-0005-0000-0000-000087210000}"/>
    <cellStyle name="20% - Accent4 88 33 2 2" xfId="8586" xr:uid="{00000000-0005-0000-0000-000088210000}"/>
    <cellStyle name="20% - Accent4 88 33 3" xfId="8587" xr:uid="{00000000-0005-0000-0000-000089210000}"/>
    <cellStyle name="20% - Accent4 88 34" xfId="8588" xr:uid="{00000000-0005-0000-0000-00008A210000}"/>
    <cellStyle name="20% - Accent4 88 34 2" xfId="8589" xr:uid="{00000000-0005-0000-0000-00008B210000}"/>
    <cellStyle name="20% - Accent4 88 34 2 2" xfId="8590" xr:uid="{00000000-0005-0000-0000-00008C210000}"/>
    <cellStyle name="20% - Accent4 88 34 3" xfId="8591" xr:uid="{00000000-0005-0000-0000-00008D210000}"/>
    <cellStyle name="20% - Accent4 88 35" xfId="8592" xr:uid="{00000000-0005-0000-0000-00008E210000}"/>
    <cellStyle name="20% - Accent4 88 35 2" xfId="8593" xr:uid="{00000000-0005-0000-0000-00008F210000}"/>
    <cellStyle name="20% - Accent4 88 35 2 2" xfId="8594" xr:uid="{00000000-0005-0000-0000-000090210000}"/>
    <cellStyle name="20% - Accent4 88 35 3" xfId="8595" xr:uid="{00000000-0005-0000-0000-000091210000}"/>
    <cellStyle name="20% - Accent4 88 36" xfId="8596" xr:uid="{00000000-0005-0000-0000-000092210000}"/>
    <cellStyle name="20% - Accent4 88 36 2" xfId="8597" xr:uid="{00000000-0005-0000-0000-000093210000}"/>
    <cellStyle name="20% - Accent4 88 36 2 2" xfId="8598" xr:uid="{00000000-0005-0000-0000-000094210000}"/>
    <cellStyle name="20% - Accent4 88 36 3" xfId="8599" xr:uid="{00000000-0005-0000-0000-000095210000}"/>
    <cellStyle name="20% - Accent4 88 37" xfId="8600" xr:uid="{00000000-0005-0000-0000-000096210000}"/>
    <cellStyle name="20% - Accent4 88 37 2" xfId="8601" xr:uid="{00000000-0005-0000-0000-000097210000}"/>
    <cellStyle name="20% - Accent4 88 38" xfId="8602" xr:uid="{00000000-0005-0000-0000-000098210000}"/>
    <cellStyle name="20% - Accent4 88 4" xfId="8603" xr:uid="{00000000-0005-0000-0000-000099210000}"/>
    <cellStyle name="20% - Accent4 88 4 2" xfId="8604" xr:uid="{00000000-0005-0000-0000-00009A210000}"/>
    <cellStyle name="20% - Accent4 88 4 2 2" xfId="8605" xr:uid="{00000000-0005-0000-0000-00009B210000}"/>
    <cellStyle name="20% - Accent4 88 4 3" xfId="8606" xr:uid="{00000000-0005-0000-0000-00009C210000}"/>
    <cellStyle name="20% - Accent4 88 5" xfId="8607" xr:uid="{00000000-0005-0000-0000-00009D210000}"/>
    <cellStyle name="20% - Accent4 88 5 2" xfId="8608" xr:uid="{00000000-0005-0000-0000-00009E210000}"/>
    <cellStyle name="20% - Accent4 88 5 2 2" xfId="8609" xr:uid="{00000000-0005-0000-0000-00009F210000}"/>
    <cellStyle name="20% - Accent4 88 5 3" xfId="8610" xr:uid="{00000000-0005-0000-0000-0000A0210000}"/>
    <cellStyle name="20% - Accent4 88 6" xfId="8611" xr:uid="{00000000-0005-0000-0000-0000A1210000}"/>
    <cellStyle name="20% - Accent4 88 6 2" xfId="8612" xr:uid="{00000000-0005-0000-0000-0000A2210000}"/>
    <cellStyle name="20% - Accent4 88 6 2 2" xfId="8613" xr:uid="{00000000-0005-0000-0000-0000A3210000}"/>
    <cellStyle name="20% - Accent4 88 6 3" xfId="8614" xr:uid="{00000000-0005-0000-0000-0000A4210000}"/>
    <cellStyle name="20% - Accent4 88 7" xfId="8615" xr:uid="{00000000-0005-0000-0000-0000A5210000}"/>
    <cellStyle name="20% - Accent4 88 7 2" xfId="8616" xr:uid="{00000000-0005-0000-0000-0000A6210000}"/>
    <cellStyle name="20% - Accent4 88 7 2 2" xfId="8617" xr:uid="{00000000-0005-0000-0000-0000A7210000}"/>
    <cellStyle name="20% - Accent4 88 7 3" xfId="8618" xr:uid="{00000000-0005-0000-0000-0000A8210000}"/>
    <cellStyle name="20% - Accent4 88 8" xfId="8619" xr:uid="{00000000-0005-0000-0000-0000A9210000}"/>
    <cellStyle name="20% - Accent4 88 8 2" xfId="8620" xr:uid="{00000000-0005-0000-0000-0000AA210000}"/>
    <cellStyle name="20% - Accent4 88 8 2 2" xfId="8621" xr:uid="{00000000-0005-0000-0000-0000AB210000}"/>
    <cellStyle name="20% - Accent4 88 8 3" xfId="8622" xr:uid="{00000000-0005-0000-0000-0000AC210000}"/>
    <cellStyle name="20% - Accent4 88 9" xfId="8623" xr:uid="{00000000-0005-0000-0000-0000AD210000}"/>
    <cellStyle name="20% - Accent4 88 9 2" xfId="8624" xr:uid="{00000000-0005-0000-0000-0000AE210000}"/>
    <cellStyle name="20% - Accent4 88 9 2 2" xfId="8625" xr:uid="{00000000-0005-0000-0000-0000AF210000}"/>
    <cellStyle name="20% - Accent4 88 9 3" xfId="8626" xr:uid="{00000000-0005-0000-0000-0000B0210000}"/>
    <cellStyle name="20% - Accent4 89" xfId="8627" xr:uid="{00000000-0005-0000-0000-0000B1210000}"/>
    <cellStyle name="20% - Accent4 89 2" xfId="8628" xr:uid="{00000000-0005-0000-0000-0000B2210000}"/>
    <cellStyle name="20% - Accent4 9" xfId="8629" xr:uid="{00000000-0005-0000-0000-0000B3210000}"/>
    <cellStyle name="20% - Accent4 9 2" xfId="8630" xr:uid="{00000000-0005-0000-0000-0000B4210000}"/>
    <cellStyle name="20% - Accent4 9 2 2" xfId="8631" xr:uid="{00000000-0005-0000-0000-0000B5210000}"/>
    <cellStyle name="20% - Accent4 9 3" xfId="8632" xr:uid="{00000000-0005-0000-0000-0000B6210000}"/>
    <cellStyle name="20% - Accent4 9 4" xfId="8633" xr:uid="{00000000-0005-0000-0000-0000B7210000}"/>
    <cellStyle name="20% - Accent4 90" xfId="8634" xr:uid="{00000000-0005-0000-0000-0000B8210000}"/>
    <cellStyle name="20% - Accent4 90 2" xfId="8635" xr:uid="{00000000-0005-0000-0000-0000B9210000}"/>
    <cellStyle name="20% - Accent4 91" xfId="8636" xr:uid="{00000000-0005-0000-0000-0000BA210000}"/>
    <cellStyle name="20% - Accent4 91 2" xfId="8637" xr:uid="{00000000-0005-0000-0000-0000BB210000}"/>
    <cellStyle name="20% - Accent4 92" xfId="8638" xr:uid="{00000000-0005-0000-0000-0000BC210000}"/>
    <cellStyle name="20% - Accent4 92 2" xfId="8639" xr:uid="{00000000-0005-0000-0000-0000BD210000}"/>
    <cellStyle name="20% - Accent4 93" xfId="8640" xr:uid="{00000000-0005-0000-0000-0000BE210000}"/>
    <cellStyle name="20% - Accent4 93 2" xfId="8641" xr:uid="{00000000-0005-0000-0000-0000BF210000}"/>
    <cellStyle name="20% - Accent4 93 2 2" xfId="8642" xr:uid="{00000000-0005-0000-0000-0000C0210000}"/>
    <cellStyle name="20% - Accent4 93 2 2 2" xfId="8643" xr:uid="{00000000-0005-0000-0000-0000C1210000}"/>
    <cellStyle name="20% - Accent4 93 2 3" xfId="8644" xr:uid="{00000000-0005-0000-0000-0000C2210000}"/>
    <cellStyle name="20% - Accent4 93 3" xfId="8645" xr:uid="{00000000-0005-0000-0000-0000C3210000}"/>
    <cellStyle name="20% - Accent4 93 3 2" xfId="8646" xr:uid="{00000000-0005-0000-0000-0000C4210000}"/>
    <cellStyle name="20% - Accent4 93 4" xfId="8647" xr:uid="{00000000-0005-0000-0000-0000C5210000}"/>
    <cellStyle name="20% - Accent4 94" xfId="8648" xr:uid="{00000000-0005-0000-0000-0000C6210000}"/>
    <cellStyle name="20% - Accent4 94 2" xfId="8649" xr:uid="{00000000-0005-0000-0000-0000C7210000}"/>
    <cellStyle name="20% - Accent4 94 2 2" xfId="8650" xr:uid="{00000000-0005-0000-0000-0000C8210000}"/>
    <cellStyle name="20% - Accent4 94 2 2 2" xfId="8651" xr:uid="{00000000-0005-0000-0000-0000C9210000}"/>
    <cellStyle name="20% - Accent4 94 2 3" xfId="8652" xr:uid="{00000000-0005-0000-0000-0000CA210000}"/>
    <cellStyle name="20% - Accent4 94 3" xfId="8653" xr:uid="{00000000-0005-0000-0000-0000CB210000}"/>
    <cellStyle name="20% - Accent4 94 3 2" xfId="8654" xr:uid="{00000000-0005-0000-0000-0000CC210000}"/>
    <cellStyle name="20% - Accent4 94 4" xfId="8655" xr:uid="{00000000-0005-0000-0000-0000CD210000}"/>
    <cellStyle name="20% - Accent4 95" xfId="8656" xr:uid="{00000000-0005-0000-0000-0000CE210000}"/>
    <cellStyle name="20% - Accent4 95 2" xfId="8657" xr:uid="{00000000-0005-0000-0000-0000CF210000}"/>
    <cellStyle name="20% - Accent4 95 2 2" xfId="8658" xr:uid="{00000000-0005-0000-0000-0000D0210000}"/>
    <cellStyle name="20% - Accent4 95 3" xfId="8659" xr:uid="{00000000-0005-0000-0000-0000D1210000}"/>
    <cellStyle name="20% - Accent4 96" xfId="8660" xr:uid="{00000000-0005-0000-0000-0000D2210000}"/>
    <cellStyle name="20% - Accent4 96 2" xfId="8661" xr:uid="{00000000-0005-0000-0000-0000D3210000}"/>
    <cellStyle name="20% - Accent4 96 2 2" xfId="8662" xr:uid="{00000000-0005-0000-0000-0000D4210000}"/>
    <cellStyle name="20% - Accent4 96 3" xfId="8663" xr:uid="{00000000-0005-0000-0000-0000D5210000}"/>
    <cellStyle name="20% - Accent4 97" xfId="8664" xr:uid="{00000000-0005-0000-0000-0000D6210000}"/>
    <cellStyle name="20% - Accent4 97 2" xfId="8665" xr:uid="{00000000-0005-0000-0000-0000D7210000}"/>
    <cellStyle name="20% - Accent4 97 2 2" xfId="8666" xr:uid="{00000000-0005-0000-0000-0000D8210000}"/>
    <cellStyle name="20% - Accent4 97 3" xfId="8667" xr:uid="{00000000-0005-0000-0000-0000D9210000}"/>
    <cellStyle name="20% - Accent4 98" xfId="8668" xr:uid="{00000000-0005-0000-0000-0000DA210000}"/>
    <cellStyle name="20% - Accent4 98 2" xfId="8669" xr:uid="{00000000-0005-0000-0000-0000DB210000}"/>
    <cellStyle name="20% - Accent4 98 2 2" xfId="8670" xr:uid="{00000000-0005-0000-0000-0000DC210000}"/>
    <cellStyle name="20% - Accent4 98 3" xfId="8671" xr:uid="{00000000-0005-0000-0000-0000DD210000}"/>
    <cellStyle name="20% - Accent4 99" xfId="8672" xr:uid="{00000000-0005-0000-0000-0000DE210000}"/>
    <cellStyle name="20% - Accent5" xfId="41032" builtinId="46" customBuiltin="1"/>
    <cellStyle name="20% - Accent5 10" xfId="8673" xr:uid="{00000000-0005-0000-0000-0000E0210000}"/>
    <cellStyle name="20% - Accent5 10 2" xfId="8674" xr:uid="{00000000-0005-0000-0000-0000E1210000}"/>
    <cellStyle name="20% - Accent5 10 2 2" xfId="8675" xr:uid="{00000000-0005-0000-0000-0000E2210000}"/>
    <cellStyle name="20% - Accent5 10 3" xfId="8676" xr:uid="{00000000-0005-0000-0000-0000E3210000}"/>
    <cellStyle name="20% - Accent5 100" xfId="8677" xr:uid="{00000000-0005-0000-0000-0000E4210000}"/>
    <cellStyle name="20% - Accent5 100 2" xfId="8678" xr:uid="{00000000-0005-0000-0000-0000E5210000}"/>
    <cellStyle name="20% - Accent5 100 2 2" xfId="8679" xr:uid="{00000000-0005-0000-0000-0000E6210000}"/>
    <cellStyle name="20% - Accent5 100 3" xfId="8680" xr:uid="{00000000-0005-0000-0000-0000E7210000}"/>
    <cellStyle name="20% - Accent5 101" xfId="8681" xr:uid="{00000000-0005-0000-0000-0000E8210000}"/>
    <cellStyle name="20% - Accent5 102" xfId="8682" xr:uid="{00000000-0005-0000-0000-0000E9210000}"/>
    <cellStyle name="20% - Accent5 102 2" xfId="8683" xr:uid="{00000000-0005-0000-0000-0000EA210000}"/>
    <cellStyle name="20% - Accent5 102 2 2" xfId="8684" xr:uid="{00000000-0005-0000-0000-0000EB210000}"/>
    <cellStyle name="20% - Accent5 102 3" xfId="8685" xr:uid="{00000000-0005-0000-0000-0000EC210000}"/>
    <cellStyle name="20% - Accent5 103" xfId="8686" xr:uid="{00000000-0005-0000-0000-0000ED210000}"/>
    <cellStyle name="20% - Accent5 104" xfId="8687" xr:uid="{00000000-0005-0000-0000-0000EE210000}"/>
    <cellStyle name="20% - Accent5 104 2" xfId="8688" xr:uid="{00000000-0005-0000-0000-0000EF210000}"/>
    <cellStyle name="20% - Accent5 104 2 2" xfId="8689" xr:uid="{00000000-0005-0000-0000-0000F0210000}"/>
    <cellStyle name="20% - Accent5 104 3" xfId="8690" xr:uid="{00000000-0005-0000-0000-0000F1210000}"/>
    <cellStyle name="20% - Accent5 105" xfId="8691" xr:uid="{00000000-0005-0000-0000-0000F2210000}"/>
    <cellStyle name="20% - Accent5 105 2" xfId="8692" xr:uid="{00000000-0005-0000-0000-0000F3210000}"/>
    <cellStyle name="20% - Accent5 105 2 2" xfId="8693" xr:uid="{00000000-0005-0000-0000-0000F4210000}"/>
    <cellStyle name="20% - Accent5 105 3" xfId="8694" xr:uid="{00000000-0005-0000-0000-0000F5210000}"/>
    <cellStyle name="20% - Accent5 106" xfId="8695" xr:uid="{00000000-0005-0000-0000-0000F6210000}"/>
    <cellStyle name="20% - Accent5 107" xfId="8696" xr:uid="{00000000-0005-0000-0000-0000F7210000}"/>
    <cellStyle name="20% - Accent5 108" xfId="8697" xr:uid="{00000000-0005-0000-0000-0000F8210000}"/>
    <cellStyle name="20% - Accent5 109" xfId="8698" xr:uid="{00000000-0005-0000-0000-0000F9210000}"/>
    <cellStyle name="20% - Accent5 11" xfId="8699" xr:uid="{00000000-0005-0000-0000-0000FA210000}"/>
    <cellStyle name="20% - Accent5 11 2" xfId="8700" xr:uid="{00000000-0005-0000-0000-0000FB210000}"/>
    <cellStyle name="20% - Accent5 11 2 2" xfId="8701" xr:uid="{00000000-0005-0000-0000-0000FC210000}"/>
    <cellStyle name="20% - Accent5 11 3" xfId="8702" xr:uid="{00000000-0005-0000-0000-0000FD210000}"/>
    <cellStyle name="20% - Accent5 110" xfId="8703" xr:uid="{00000000-0005-0000-0000-0000FE210000}"/>
    <cellStyle name="20% - Accent5 110 2" xfId="8704" xr:uid="{00000000-0005-0000-0000-0000FF210000}"/>
    <cellStyle name="20% - Accent5 110 2 2" xfId="8705" xr:uid="{00000000-0005-0000-0000-000000220000}"/>
    <cellStyle name="20% - Accent5 110 3" xfId="8706" xr:uid="{00000000-0005-0000-0000-000001220000}"/>
    <cellStyle name="20% - Accent5 111" xfId="8707" xr:uid="{00000000-0005-0000-0000-000002220000}"/>
    <cellStyle name="20% - Accent5 111 2" xfId="8708" xr:uid="{00000000-0005-0000-0000-000003220000}"/>
    <cellStyle name="20% - Accent5 111 2 2" xfId="8709" xr:uid="{00000000-0005-0000-0000-000004220000}"/>
    <cellStyle name="20% - Accent5 111 3" xfId="8710" xr:uid="{00000000-0005-0000-0000-000005220000}"/>
    <cellStyle name="20% - Accent5 112" xfId="8711" xr:uid="{00000000-0005-0000-0000-000006220000}"/>
    <cellStyle name="20% - Accent5 112 2" xfId="8712" xr:uid="{00000000-0005-0000-0000-000007220000}"/>
    <cellStyle name="20% - Accent5 112 2 2" xfId="8713" xr:uid="{00000000-0005-0000-0000-000008220000}"/>
    <cellStyle name="20% - Accent5 112 3" xfId="8714" xr:uid="{00000000-0005-0000-0000-000009220000}"/>
    <cellStyle name="20% - Accent5 113" xfId="8715" xr:uid="{00000000-0005-0000-0000-00000A220000}"/>
    <cellStyle name="20% - Accent5 114" xfId="8716" xr:uid="{00000000-0005-0000-0000-00000B220000}"/>
    <cellStyle name="20% - Accent5 115" xfId="8717" xr:uid="{00000000-0005-0000-0000-00000C220000}"/>
    <cellStyle name="20% - Accent5 116" xfId="8718" xr:uid="{00000000-0005-0000-0000-00000D220000}"/>
    <cellStyle name="20% - Accent5 117" xfId="8719" xr:uid="{00000000-0005-0000-0000-00000E220000}"/>
    <cellStyle name="20% - Accent5 117 2" xfId="8720" xr:uid="{00000000-0005-0000-0000-00000F220000}"/>
    <cellStyle name="20% - Accent5 117 2 2" xfId="8721" xr:uid="{00000000-0005-0000-0000-000010220000}"/>
    <cellStyle name="20% - Accent5 117 3" xfId="8722" xr:uid="{00000000-0005-0000-0000-000011220000}"/>
    <cellStyle name="20% - Accent5 118" xfId="8723" xr:uid="{00000000-0005-0000-0000-000012220000}"/>
    <cellStyle name="20% - Accent5 118 2" xfId="8724" xr:uid="{00000000-0005-0000-0000-000013220000}"/>
    <cellStyle name="20% - Accent5 118 2 2" xfId="8725" xr:uid="{00000000-0005-0000-0000-000014220000}"/>
    <cellStyle name="20% - Accent5 118 3" xfId="8726" xr:uid="{00000000-0005-0000-0000-000015220000}"/>
    <cellStyle name="20% - Accent5 119" xfId="8727" xr:uid="{00000000-0005-0000-0000-000016220000}"/>
    <cellStyle name="20% - Accent5 119 2" xfId="8728" xr:uid="{00000000-0005-0000-0000-000017220000}"/>
    <cellStyle name="20% - Accent5 119 2 2" xfId="8729" xr:uid="{00000000-0005-0000-0000-000018220000}"/>
    <cellStyle name="20% - Accent5 119 3" xfId="8730" xr:uid="{00000000-0005-0000-0000-000019220000}"/>
    <cellStyle name="20% - Accent5 12" xfId="8731" xr:uid="{00000000-0005-0000-0000-00001A220000}"/>
    <cellStyle name="20% - Accent5 12 2" xfId="8732" xr:uid="{00000000-0005-0000-0000-00001B220000}"/>
    <cellStyle name="20% - Accent5 12 2 2" xfId="8733" xr:uid="{00000000-0005-0000-0000-00001C220000}"/>
    <cellStyle name="20% - Accent5 12 3" xfId="8734" xr:uid="{00000000-0005-0000-0000-00001D220000}"/>
    <cellStyle name="20% - Accent5 120" xfId="8735" xr:uid="{00000000-0005-0000-0000-00001E220000}"/>
    <cellStyle name="20% - Accent5 120 2" xfId="8736" xr:uid="{00000000-0005-0000-0000-00001F220000}"/>
    <cellStyle name="20% - Accent5 120 2 2" xfId="8737" xr:uid="{00000000-0005-0000-0000-000020220000}"/>
    <cellStyle name="20% - Accent5 120 3" xfId="8738" xr:uid="{00000000-0005-0000-0000-000021220000}"/>
    <cellStyle name="20% - Accent5 121" xfId="8739" xr:uid="{00000000-0005-0000-0000-000022220000}"/>
    <cellStyle name="20% - Accent5 121 2" xfId="8740" xr:uid="{00000000-0005-0000-0000-000023220000}"/>
    <cellStyle name="20% - Accent5 121 2 2" xfId="8741" xr:uid="{00000000-0005-0000-0000-000024220000}"/>
    <cellStyle name="20% - Accent5 121 3" xfId="8742" xr:uid="{00000000-0005-0000-0000-000025220000}"/>
    <cellStyle name="20% - Accent5 122" xfId="8743" xr:uid="{00000000-0005-0000-0000-000026220000}"/>
    <cellStyle name="20% - Accent5 122 2" xfId="8744" xr:uid="{00000000-0005-0000-0000-000027220000}"/>
    <cellStyle name="20% - Accent5 122 2 2" xfId="8745" xr:uid="{00000000-0005-0000-0000-000028220000}"/>
    <cellStyle name="20% - Accent5 122 3" xfId="8746" xr:uid="{00000000-0005-0000-0000-000029220000}"/>
    <cellStyle name="20% - Accent5 123" xfId="8747" xr:uid="{00000000-0005-0000-0000-00002A220000}"/>
    <cellStyle name="20% - Accent5 123 2" xfId="8748" xr:uid="{00000000-0005-0000-0000-00002B220000}"/>
    <cellStyle name="20% - Accent5 123 2 2" xfId="8749" xr:uid="{00000000-0005-0000-0000-00002C220000}"/>
    <cellStyle name="20% - Accent5 123 3" xfId="8750" xr:uid="{00000000-0005-0000-0000-00002D220000}"/>
    <cellStyle name="20% - Accent5 124" xfId="8751" xr:uid="{00000000-0005-0000-0000-00002E220000}"/>
    <cellStyle name="20% - Accent5 125" xfId="8752" xr:uid="{00000000-0005-0000-0000-00002F220000}"/>
    <cellStyle name="20% - Accent5 125 2" xfId="8753" xr:uid="{00000000-0005-0000-0000-000030220000}"/>
    <cellStyle name="20% - Accent5 125 2 2" xfId="8754" xr:uid="{00000000-0005-0000-0000-000031220000}"/>
    <cellStyle name="20% - Accent5 125 3" xfId="8755" xr:uid="{00000000-0005-0000-0000-000032220000}"/>
    <cellStyle name="20% - Accent5 126" xfId="8756" xr:uid="{00000000-0005-0000-0000-000033220000}"/>
    <cellStyle name="20% - Accent5 126 2" xfId="8757" xr:uid="{00000000-0005-0000-0000-000034220000}"/>
    <cellStyle name="20% - Accent5 126 2 2" xfId="8758" xr:uid="{00000000-0005-0000-0000-000035220000}"/>
    <cellStyle name="20% - Accent5 126 3" xfId="8759" xr:uid="{00000000-0005-0000-0000-000036220000}"/>
    <cellStyle name="20% - Accent5 127" xfId="8760" xr:uid="{00000000-0005-0000-0000-000037220000}"/>
    <cellStyle name="20% - Accent5 127 2" xfId="8761" xr:uid="{00000000-0005-0000-0000-000038220000}"/>
    <cellStyle name="20% - Accent5 127 2 2" xfId="8762" xr:uid="{00000000-0005-0000-0000-000039220000}"/>
    <cellStyle name="20% - Accent5 127 3" xfId="8763" xr:uid="{00000000-0005-0000-0000-00003A220000}"/>
    <cellStyle name="20% - Accent5 128" xfId="8764" xr:uid="{00000000-0005-0000-0000-00003B220000}"/>
    <cellStyle name="20% - Accent5 128 2" xfId="8765" xr:uid="{00000000-0005-0000-0000-00003C220000}"/>
    <cellStyle name="20% - Accent5 128 2 2" xfId="8766" xr:uid="{00000000-0005-0000-0000-00003D220000}"/>
    <cellStyle name="20% - Accent5 128 3" xfId="8767" xr:uid="{00000000-0005-0000-0000-00003E220000}"/>
    <cellStyle name="20% - Accent5 129" xfId="8768" xr:uid="{00000000-0005-0000-0000-00003F220000}"/>
    <cellStyle name="20% - Accent5 129 2" xfId="8769" xr:uid="{00000000-0005-0000-0000-000040220000}"/>
    <cellStyle name="20% - Accent5 129 2 2" xfId="8770" xr:uid="{00000000-0005-0000-0000-000041220000}"/>
    <cellStyle name="20% - Accent5 129 3" xfId="8771" xr:uid="{00000000-0005-0000-0000-000042220000}"/>
    <cellStyle name="20% - Accent5 13" xfId="8772" xr:uid="{00000000-0005-0000-0000-000043220000}"/>
    <cellStyle name="20% - Accent5 13 2" xfId="8773" xr:uid="{00000000-0005-0000-0000-000044220000}"/>
    <cellStyle name="20% - Accent5 13 2 2" xfId="8774" xr:uid="{00000000-0005-0000-0000-000045220000}"/>
    <cellStyle name="20% - Accent5 13 3" xfId="8775" xr:uid="{00000000-0005-0000-0000-000046220000}"/>
    <cellStyle name="20% - Accent5 130" xfId="8776" xr:uid="{00000000-0005-0000-0000-000047220000}"/>
    <cellStyle name="20% - Accent5 130 2" xfId="8777" xr:uid="{00000000-0005-0000-0000-000048220000}"/>
    <cellStyle name="20% - Accent5 130 2 2" xfId="8778" xr:uid="{00000000-0005-0000-0000-000049220000}"/>
    <cellStyle name="20% - Accent5 130 3" xfId="8779" xr:uid="{00000000-0005-0000-0000-00004A220000}"/>
    <cellStyle name="20% - Accent5 131" xfId="8780" xr:uid="{00000000-0005-0000-0000-00004B220000}"/>
    <cellStyle name="20% - Accent5 131 2" xfId="8781" xr:uid="{00000000-0005-0000-0000-00004C220000}"/>
    <cellStyle name="20% - Accent5 131 2 2" xfId="8782" xr:uid="{00000000-0005-0000-0000-00004D220000}"/>
    <cellStyle name="20% - Accent5 131 3" xfId="8783" xr:uid="{00000000-0005-0000-0000-00004E220000}"/>
    <cellStyle name="20% - Accent5 132" xfId="8784" xr:uid="{00000000-0005-0000-0000-00004F220000}"/>
    <cellStyle name="20% - Accent5 132 2" xfId="8785" xr:uid="{00000000-0005-0000-0000-000050220000}"/>
    <cellStyle name="20% - Accent5 132 2 2" xfId="8786" xr:uid="{00000000-0005-0000-0000-000051220000}"/>
    <cellStyle name="20% - Accent5 132 3" xfId="8787" xr:uid="{00000000-0005-0000-0000-000052220000}"/>
    <cellStyle name="20% - Accent5 133" xfId="8788" xr:uid="{00000000-0005-0000-0000-000053220000}"/>
    <cellStyle name="20% - Accent5 133 2" xfId="8789" xr:uid="{00000000-0005-0000-0000-000054220000}"/>
    <cellStyle name="20% - Accent5 133 2 2" xfId="8790" xr:uid="{00000000-0005-0000-0000-000055220000}"/>
    <cellStyle name="20% - Accent5 133 3" xfId="8791" xr:uid="{00000000-0005-0000-0000-000056220000}"/>
    <cellStyle name="20% - Accent5 134" xfId="8792" xr:uid="{00000000-0005-0000-0000-000057220000}"/>
    <cellStyle name="20% - Accent5 134 2" xfId="8793" xr:uid="{00000000-0005-0000-0000-000058220000}"/>
    <cellStyle name="20% - Accent5 135" xfId="8794" xr:uid="{00000000-0005-0000-0000-000059220000}"/>
    <cellStyle name="20% - Accent5 135 2" xfId="8795" xr:uid="{00000000-0005-0000-0000-00005A220000}"/>
    <cellStyle name="20% - Accent5 136" xfId="8796" xr:uid="{00000000-0005-0000-0000-00005B220000}"/>
    <cellStyle name="20% - Accent5 136 2" xfId="8797" xr:uid="{00000000-0005-0000-0000-00005C220000}"/>
    <cellStyle name="20% - Accent5 137" xfId="8798" xr:uid="{00000000-0005-0000-0000-00005D220000}"/>
    <cellStyle name="20% - Accent5 14" xfId="8799" xr:uid="{00000000-0005-0000-0000-00005E220000}"/>
    <cellStyle name="20% - Accent5 14 2" xfId="8800" xr:uid="{00000000-0005-0000-0000-00005F220000}"/>
    <cellStyle name="20% - Accent5 14 2 2" xfId="8801" xr:uid="{00000000-0005-0000-0000-000060220000}"/>
    <cellStyle name="20% - Accent5 14 3" xfId="8802" xr:uid="{00000000-0005-0000-0000-000061220000}"/>
    <cellStyle name="20% - Accent5 15" xfId="8803" xr:uid="{00000000-0005-0000-0000-000062220000}"/>
    <cellStyle name="20% - Accent5 15 2" xfId="8804" xr:uid="{00000000-0005-0000-0000-000063220000}"/>
    <cellStyle name="20% - Accent5 15 2 2" xfId="8805" xr:uid="{00000000-0005-0000-0000-000064220000}"/>
    <cellStyle name="20% - Accent5 15 3" xfId="8806" xr:uid="{00000000-0005-0000-0000-000065220000}"/>
    <cellStyle name="20% - Accent5 16" xfId="8807" xr:uid="{00000000-0005-0000-0000-000066220000}"/>
    <cellStyle name="20% - Accent5 16 2" xfId="8808" xr:uid="{00000000-0005-0000-0000-000067220000}"/>
    <cellStyle name="20% - Accent5 17" xfId="8809" xr:uid="{00000000-0005-0000-0000-000068220000}"/>
    <cellStyle name="20% - Accent5 17 2" xfId="8810" xr:uid="{00000000-0005-0000-0000-000069220000}"/>
    <cellStyle name="20% - Accent5 18" xfId="8811" xr:uid="{00000000-0005-0000-0000-00006A220000}"/>
    <cellStyle name="20% - Accent5 18 2" xfId="8812" xr:uid="{00000000-0005-0000-0000-00006B220000}"/>
    <cellStyle name="20% - Accent5 19" xfId="8813" xr:uid="{00000000-0005-0000-0000-00006C220000}"/>
    <cellStyle name="20% - Accent5 19 2" xfId="8814" xr:uid="{00000000-0005-0000-0000-00006D220000}"/>
    <cellStyle name="20% - Accent5 2" xfId="8815" xr:uid="{00000000-0005-0000-0000-00006E220000}"/>
    <cellStyle name="20% - Accent5 2 2" xfId="8816" xr:uid="{00000000-0005-0000-0000-00006F220000}"/>
    <cellStyle name="20% - Accent5 2 2 2" xfId="8817" xr:uid="{00000000-0005-0000-0000-000070220000}"/>
    <cellStyle name="20% - Accent5 2 2 2 2" xfId="8818" xr:uid="{00000000-0005-0000-0000-000071220000}"/>
    <cellStyle name="20% - Accent5 2 3" xfId="8819" xr:uid="{00000000-0005-0000-0000-000072220000}"/>
    <cellStyle name="20% - Accent5 2 4" xfId="8820" xr:uid="{00000000-0005-0000-0000-000073220000}"/>
    <cellStyle name="20% - Accent5 20" xfId="8821" xr:uid="{00000000-0005-0000-0000-000074220000}"/>
    <cellStyle name="20% - Accent5 20 2" xfId="8822" xr:uid="{00000000-0005-0000-0000-000075220000}"/>
    <cellStyle name="20% - Accent5 21" xfId="8823" xr:uid="{00000000-0005-0000-0000-000076220000}"/>
    <cellStyle name="20% - Accent5 21 2" xfId="8824" xr:uid="{00000000-0005-0000-0000-000077220000}"/>
    <cellStyle name="20% - Accent5 22" xfId="8825" xr:uid="{00000000-0005-0000-0000-000078220000}"/>
    <cellStyle name="20% - Accent5 23" xfId="8826" xr:uid="{00000000-0005-0000-0000-000079220000}"/>
    <cellStyle name="20% - Accent5 24" xfId="8827" xr:uid="{00000000-0005-0000-0000-00007A220000}"/>
    <cellStyle name="20% - Accent5 25" xfId="8828" xr:uid="{00000000-0005-0000-0000-00007B220000}"/>
    <cellStyle name="20% - Accent5 26" xfId="8829" xr:uid="{00000000-0005-0000-0000-00007C220000}"/>
    <cellStyle name="20% - Accent5 26 2" xfId="8830" xr:uid="{00000000-0005-0000-0000-00007D220000}"/>
    <cellStyle name="20% - Accent5 27" xfId="8831" xr:uid="{00000000-0005-0000-0000-00007E220000}"/>
    <cellStyle name="20% - Accent5 27 2" xfId="8832" xr:uid="{00000000-0005-0000-0000-00007F220000}"/>
    <cellStyle name="20% - Accent5 28" xfId="8833" xr:uid="{00000000-0005-0000-0000-000080220000}"/>
    <cellStyle name="20% - Accent5 28 2" xfId="8834" xr:uid="{00000000-0005-0000-0000-000081220000}"/>
    <cellStyle name="20% - Accent5 29" xfId="8835" xr:uid="{00000000-0005-0000-0000-000082220000}"/>
    <cellStyle name="20% - Accent5 29 2" xfId="8836" xr:uid="{00000000-0005-0000-0000-000083220000}"/>
    <cellStyle name="20% - Accent5 3" xfId="8837" xr:uid="{00000000-0005-0000-0000-000084220000}"/>
    <cellStyle name="20% - Accent5 3 2" xfId="8838" xr:uid="{00000000-0005-0000-0000-000085220000}"/>
    <cellStyle name="20% - Accent5 3 2 2" xfId="8839" xr:uid="{00000000-0005-0000-0000-000086220000}"/>
    <cellStyle name="20% - Accent5 3 3" xfId="8840" xr:uid="{00000000-0005-0000-0000-000087220000}"/>
    <cellStyle name="20% - Accent5 3 4" xfId="8841" xr:uid="{00000000-0005-0000-0000-000088220000}"/>
    <cellStyle name="20% - Accent5 3 5" xfId="8842" xr:uid="{00000000-0005-0000-0000-000089220000}"/>
    <cellStyle name="20% - Accent5 3_MAR 2009" xfId="8843" xr:uid="{00000000-0005-0000-0000-00008A220000}"/>
    <cellStyle name="20% - Accent5 30" xfId="8844" xr:uid="{00000000-0005-0000-0000-00008B220000}"/>
    <cellStyle name="20% - Accent5 30 2" xfId="8845" xr:uid="{00000000-0005-0000-0000-00008C220000}"/>
    <cellStyle name="20% - Accent5 31" xfId="8846" xr:uid="{00000000-0005-0000-0000-00008D220000}"/>
    <cellStyle name="20% - Accent5 31 2" xfId="8847" xr:uid="{00000000-0005-0000-0000-00008E220000}"/>
    <cellStyle name="20% - Accent5 32" xfId="8848" xr:uid="{00000000-0005-0000-0000-00008F220000}"/>
    <cellStyle name="20% - Accent5 32 2" xfId="8849" xr:uid="{00000000-0005-0000-0000-000090220000}"/>
    <cellStyle name="20% - Accent5 33" xfId="8850" xr:uid="{00000000-0005-0000-0000-000091220000}"/>
    <cellStyle name="20% - Accent5 33 2" xfId="8851" xr:uid="{00000000-0005-0000-0000-000092220000}"/>
    <cellStyle name="20% - Accent5 34" xfId="8852" xr:uid="{00000000-0005-0000-0000-000093220000}"/>
    <cellStyle name="20% - Accent5 35" xfId="8853" xr:uid="{00000000-0005-0000-0000-000094220000}"/>
    <cellStyle name="20% - Accent5 35 2" xfId="8854" xr:uid="{00000000-0005-0000-0000-000095220000}"/>
    <cellStyle name="20% - Accent5 36" xfId="8855" xr:uid="{00000000-0005-0000-0000-000096220000}"/>
    <cellStyle name="20% - Accent5 36 2" xfId="8856" xr:uid="{00000000-0005-0000-0000-000097220000}"/>
    <cellStyle name="20% - Accent5 37" xfId="8857" xr:uid="{00000000-0005-0000-0000-000098220000}"/>
    <cellStyle name="20% - Accent5 37 2" xfId="8858" xr:uid="{00000000-0005-0000-0000-000099220000}"/>
    <cellStyle name="20% - Accent5 38" xfId="8859" xr:uid="{00000000-0005-0000-0000-00009A220000}"/>
    <cellStyle name="20% - Accent5 38 2" xfId="8860" xr:uid="{00000000-0005-0000-0000-00009B220000}"/>
    <cellStyle name="20% - Accent5 39" xfId="8861" xr:uid="{00000000-0005-0000-0000-00009C220000}"/>
    <cellStyle name="20% - Accent5 39 2" xfId="8862" xr:uid="{00000000-0005-0000-0000-00009D220000}"/>
    <cellStyle name="20% - Accent5 4" xfId="8863" xr:uid="{00000000-0005-0000-0000-00009E220000}"/>
    <cellStyle name="20% - Accent5 4 2" xfId="8864" xr:uid="{00000000-0005-0000-0000-00009F220000}"/>
    <cellStyle name="20% - Accent5 4 2 2" xfId="8865" xr:uid="{00000000-0005-0000-0000-0000A0220000}"/>
    <cellStyle name="20% - Accent5 40" xfId="8866" xr:uid="{00000000-0005-0000-0000-0000A1220000}"/>
    <cellStyle name="20% - Accent5 40 2" xfId="8867" xr:uid="{00000000-0005-0000-0000-0000A2220000}"/>
    <cellStyle name="20% - Accent5 41" xfId="8868" xr:uid="{00000000-0005-0000-0000-0000A3220000}"/>
    <cellStyle name="20% - Accent5 41 2" xfId="8869" xr:uid="{00000000-0005-0000-0000-0000A4220000}"/>
    <cellStyle name="20% - Accent5 42" xfId="8870" xr:uid="{00000000-0005-0000-0000-0000A5220000}"/>
    <cellStyle name="20% - Accent5 42 2" xfId="8871" xr:uid="{00000000-0005-0000-0000-0000A6220000}"/>
    <cellStyle name="20% - Accent5 43" xfId="8872" xr:uid="{00000000-0005-0000-0000-0000A7220000}"/>
    <cellStyle name="20% - Accent5 43 2" xfId="8873" xr:uid="{00000000-0005-0000-0000-0000A8220000}"/>
    <cellStyle name="20% - Accent5 44" xfId="8874" xr:uid="{00000000-0005-0000-0000-0000A9220000}"/>
    <cellStyle name="20% - Accent5 44 2" xfId="8875" xr:uid="{00000000-0005-0000-0000-0000AA220000}"/>
    <cellStyle name="20% - Accent5 45" xfId="8876" xr:uid="{00000000-0005-0000-0000-0000AB220000}"/>
    <cellStyle name="20% - Accent5 45 2" xfId="8877" xr:uid="{00000000-0005-0000-0000-0000AC220000}"/>
    <cellStyle name="20% - Accent5 46" xfId="8878" xr:uid="{00000000-0005-0000-0000-0000AD220000}"/>
    <cellStyle name="20% - Accent5 46 2" xfId="8879" xr:uid="{00000000-0005-0000-0000-0000AE220000}"/>
    <cellStyle name="20% - Accent5 47" xfId="8880" xr:uid="{00000000-0005-0000-0000-0000AF220000}"/>
    <cellStyle name="20% - Accent5 47 2" xfId="8881" xr:uid="{00000000-0005-0000-0000-0000B0220000}"/>
    <cellStyle name="20% - Accent5 48" xfId="8882" xr:uid="{00000000-0005-0000-0000-0000B1220000}"/>
    <cellStyle name="20% - Accent5 48 2" xfId="8883" xr:uid="{00000000-0005-0000-0000-0000B2220000}"/>
    <cellStyle name="20% - Accent5 49" xfId="8884" xr:uid="{00000000-0005-0000-0000-0000B3220000}"/>
    <cellStyle name="20% - Accent5 49 2" xfId="8885" xr:uid="{00000000-0005-0000-0000-0000B4220000}"/>
    <cellStyle name="20% - Accent5 5" xfId="8886" xr:uid="{00000000-0005-0000-0000-0000B5220000}"/>
    <cellStyle name="20% - Accent5 5 2" xfId="8887" xr:uid="{00000000-0005-0000-0000-0000B6220000}"/>
    <cellStyle name="20% - Accent5 5 2 2" xfId="8888" xr:uid="{00000000-0005-0000-0000-0000B7220000}"/>
    <cellStyle name="20% - Accent5 50" xfId="8889" xr:uid="{00000000-0005-0000-0000-0000B8220000}"/>
    <cellStyle name="20% - Accent5 50 2" xfId="8890" xr:uid="{00000000-0005-0000-0000-0000B9220000}"/>
    <cellStyle name="20% - Accent5 51" xfId="8891" xr:uid="{00000000-0005-0000-0000-0000BA220000}"/>
    <cellStyle name="20% - Accent5 51 2" xfId="8892" xr:uid="{00000000-0005-0000-0000-0000BB220000}"/>
    <cellStyle name="20% - Accent5 52" xfId="8893" xr:uid="{00000000-0005-0000-0000-0000BC220000}"/>
    <cellStyle name="20% - Accent5 53" xfId="8894" xr:uid="{00000000-0005-0000-0000-0000BD220000}"/>
    <cellStyle name="20% - Accent5 54" xfId="8895" xr:uid="{00000000-0005-0000-0000-0000BE220000}"/>
    <cellStyle name="20% - Accent5 55" xfId="8896" xr:uid="{00000000-0005-0000-0000-0000BF220000}"/>
    <cellStyle name="20% - Accent5 56" xfId="8897" xr:uid="{00000000-0005-0000-0000-0000C0220000}"/>
    <cellStyle name="20% - Accent5 57" xfId="8898" xr:uid="{00000000-0005-0000-0000-0000C1220000}"/>
    <cellStyle name="20% - Accent5 58" xfId="8899" xr:uid="{00000000-0005-0000-0000-0000C2220000}"/>
    <cellStyle name="20% - Accent5 59" xfId="8900" xr:uid="{00000000-0005-0000-0000-0000C3220000}"/>
    <cellStyle name="20% - Accent5 6" xfId="8901" xr:uid="{00000000-0005-0000-0000-0000C4220000}"/>
    <cellStyle name="20% - Accent5 6 2" xfId="8902" xr:uid="{00000000-0005-0000-0000-0000C5220000}"/>
    <cellStyle name="20% - Accent5 6 2 2" xfId="8903" xr:uid="{00000000-0005-0000-0000-0000C6220000}"/>
    <cellStyle name="20% - Accent5 6 3" xfId="8904" xr:uid="{00000000-0005-0000-0000-0000C7220000}"/>
    <cellStyle name="20% - Accent5 60" xfId="8905" xr:uid="{00000000-0005-0000-0000-0000C8220000}"/>
    <cellStyle name="20% - Accent5 61" xfId="8906" xr:uid="{00000000-0005-0000-0000-0000C9220000}"/>
    <cellStyle name="20% - Accent5 62" xfId="8907" xr:uid="{00000000-0005-0000-0000-0000CA220000}"/>
    <cellStyle name="20% - Accent5 63" xfId="8908" xr:uid="{00000000-0005-0000-0000-0000CB220000}"/>
    <cellStyle name="20% - Accent5 63 2" xfId="8909" xr:uid="{00000000-0005-0000-0000-0000CC220000}"/>
    <cellStyle name="20% - Accent5 64" xfId="8910" xr:uid="{00000000-0005-0000-0000-0000CD220000}"/>
    <cellStyle name="20% - Accent5 64 2" xfId="8911" xr:uid="{00000000-0005-0000-0000-0000CE220000}"/>
    <cellStyle name="20% - Accent5 65" xfId="8912" xr:uid="{00000000-0005-0000-0000-0000CF220000}"/>
    <cellStyle name="20% - Accent5 65 2" xfId="8913" xr:uid="{00000000-0005-0000-0000-0000D0220000}"/>
    <cellStyle name="20% - Accent5 66" xfId="8914" xr:uid="{00000000-0005-0000-0000-0000D1220000}"/>
    <cellStyle name="20% - Accent5 66 2" xfId="8915" xr:uid="{00000000-0005-0000-0000-0000D2220000}"/>
    <cellStyle name="20% - Accent5 67" xfId="8916" xr:uid="{00000000-0005-0000-0000-0000D3220000}"/>
    <cellStyle name="20% - Accent5 67 2" xfId="8917" xr:uid="{00000000-0005-0000-0000-0000D4220000}"/>
    <cellStyle name="20% - Accent5 68" xfId="8918" xr:uid="{00000000-0005-0000-0000-0000D5220000}"/>
    <cellStyle name="20% - Accent5 68 2" xfId="8919" xr:uid="{00000000-0005-0000-0000-0000D6220000}"/>
    <cellStyle name="20% - Accent5 69" xfId="8920" xr:uid="{00000000-0005-0000-0000-0000D7220000}"/>
    <cellStyle name="20% - Accent5 69 2" xfId="8921" xr:uid="{00000000-0005-0000-0000-0000D8220000}"/>
    <cellStyle name="20% - Accent5 7" xfId="8922" xr:uid="{00000000-0005-0000-0000-0000D9220000}"/>
    <cellStyle name="20% - Accent5 7 2" xfId="8923" xr:uid="{00000000-0005-0000-0000-0000DA220000}"/>
    <cellStyle name="20% - Accent5 7 2 2" xfId="8924" xr:uid="{00000000-0005-0000-0000-0000DB220000}"/>
    <cellStyle name="20% - Accent5 7 3" xfId="8925" xr:uid="{00000000-0005-0000-0000-0000DC220000}"/>
    <cellStyle name="20% - Accent5 70" xfId="8926" xr:uid="{00000000-0005-0000-0000-0000DD220000}"/>
    <cellStyle name="20% - Accent5 70 2" xfId="8927" xr:uid="{00000000-0005-0000-0000-0000DE220000}"/>
    <cellStyle name="20% - Accent5 71" xfId="8928" xr:uid="{00000000-0005-0000-0000-0000DF220000}"/>
    <cellStyle name="20% - Accent5 71 2" xfId="8929" xr:uid="{00000000-0005-0000-0000-0000E0220000}"/>
    <cellStyle name="20% - Accent5 72" xfId="8930" xr:uid="{00000000-0005-0000-0000-0000E1220000}"/>
    <cellStyle name="20% - Accent5 72 2" xfId="8931" xr:uid="{00000000-0005-0000-0000-0000E2220000}"/>
    <cellStyle name="20% - Accent5 73" xfId="8932" xr:uid="{00000000-0005-0000-0000-0000E3220000}"/>
    <cellStyle name="20% - Accent5 73 10" xfId="8933" xr:uid="{00000000-0005-0000-0000-0000E4220000}"/>
    <cellStyle name="20% - Accent5 73 10 2" xfId="8934" xr:uid="{00000000-0005-0000-0000-0000E5220000}"/>
    <cellStyle name="20% - Accent5 73 10 2 2" xfId="8935" xr:uid="{00000000-0005-0000-0000-0000E6220000}"/>
    <cellStyle name="20% - Accent5 73 10 3" xfId="8936" xr:uid="{00000000-0005-0000-0000-0000E7220000}"/>
    <cellStyle name="20% - Accent5 73 11" xfId="8937" xr:uid="{00000000-0005-0000-0000-0000E8220000}"/>
    <cellStyle name="20% - Accent5 73 11 2" xfId="8938" xr:uid="{00000000-0005-0000-0000-0000E9220000}"/>
    <cellStyle name="20% - Accent5 73 11 2 2" xfId="8939" xr:uid="{00000000-0005-0000-0000-0000EA220000}"/>
    <cellStyle name="20% - Accent5 73 11 3" xfId="8940" xr:uid="{00000000-0005-0000-0000-0000EB220000}"/>
    <cellStyle name="20% - Accent5 73 12" xfId="8941" xr:uid="{00000000-0005-0000-0000-0000EC220000}"/>
    <cellStyle name="20% - Accent5 73 12 2" xfId="8942" xr:uid="{00000000-0005-0000-0000-0000ED220000}"/>
    <cellStyle name="20% - Accent5 73 12 2 2" xfId="8943" xr:uid="{00000000-0005-0000-0000-0000EE220000}"/>
    <cellStyle name="20% - Accent5 73 12 3" xfId="8944" xr:uid="{00000000-0005-0000-0000-0000EF220000}"/>
    <cellStyle name="20% - Accent5 73 13" xfId="8945" xr:uid="{00000000-0005-0000-0000-0000F0220000}"/>
    <cellStyle name="20% - Accent5 73 13 2" xfId="8946" xr:uid="{00000000-0005-0000-0000-0000F1220000}"/>
    <cellStyle name="20% - Accent5 73 13 2 2" xfId="8947" xr:uid="{00000000-0005-0000-0000-0000F2220000}"/>
    <cellStyle name="20% - Accent5 73 13 3" xfId="8948" xr:uid="{00000000-0005-0000-0000-0000F3220000}"/>
    <cellStyle name="20% - Accent5 73 14" xfId="8949" xr:uid="{00000000-0005-0000-0000-0000F4220000}"/>
    <cellStyle name="20% - Accent5 73 14 2" xfId="8950" xr:uid="{00000000-0005-0000-0000-0000F5220000}"/>
    <cellStyle name="20% - Accent5 73 14 2 2" xfId="8951" xr:uid="{00000000-0005-0000-0000-0000F6220000}"/>
    <cellStyle name="20% - Accent5 73 14 3" xfId="8952" xr:uid="{00000000-0005-0000-0000-0000F7220000}"/>
    <cellStyle name="20% - Accent5 73 15" xfId="8953" xr:uid="{00000000-0005-0000-0000-0000F8220000}"/>
    <cellStyle name="20% - Accent5 73 15 2" xfId="8954" xr:uid="{00000000-0005-0000-0000-0000F9220000}"/>
    <cellStyle name="20% - Accent5 73 15 2 2" xfId="8955" xr:uid="{00000000-0005-0000-0000-0000FA220000}"/>
    <cellStyle name="20% - Accent5 73 15 3" xfId="8956" xr:uid="{00000000-0005-0000-0000-0000FB220000}"/>
    <cellStyle name="20% - Accent5 73 16" xfId="8957" xr:uid="{00000000-0005-0000-0000-0000FC220000}"/>
    <cellStyle name="20% - Accent5 73 16 2" xfId="8958" xr:uid="{00000000-0005-0000-0000-0000FD220000}"/>
    <cellStyle name="20% - Accent5 73 16 2 2" xfId="8959" xr:uid="{00000000-0005-0000-0000-0000FE220000}"/>
    <cellStyle name="20% - Accent5 73 16 3" xfId="8960" xr:uid="{00000000-0005-0000-0000-0000FF220000}"/>
    <cellStyle name="20% - Accent5 73 17" xfId="8961" xr:uid="{00000000-0005-0000-0000-000000230000}"/>
    <cellStyle name="20% - Accent5 73 17 2" xfId="8962" xr:uid="{00000000-0005-0000-0000-000001230000}"/>
    <cellStyle name="20% - Accent5 73 17 2 2" xfId="8963" xr:uid="{00000000-0005-0000-0000-000002230000}"/>
    <cellStyle name="20% - Accent5 73 17 3" xfId="8964" xr:uid="{00000000-0005-0000-0000-000003230000}"/>
    <cellStyle name="20% - Accent5 73 18" xfId="8965" xr:uid="{00000000-0005-0000-0000-000004230000}"/>
    <cellStyle name="20% - Accent5 73 18 2" xfId="8966" xr:uid="{00000000-0005-0000-0000-000005230000}"/>
    <cellStyle name="20% - Accent5 73 18 2 2" xfId="8967" xr:uid="{00000000-0005-0000-0000-000006230000}"/>
    <cellStyle name="20% - Accent5 73 18 3" xfId="8968" xr:uid="{00000000-0005-0000-0000-000007230000}"/>
    <cellStyle name="20% - Accent5 73 19" xfId="8969" xr:uid="{00000000-0005-0000-0000-000008230000}"/>
    <cellStyle name="20% - Accent5 73 19 2" xfId="8970" xr:uid="{00000000-0005-0000-0000-000009230000}"/>
    <cellStyle name="20% - Accent5 73 19 2 2" xfId="8971" xr:uid="{00000000-0005-0000-0000-00000A230000}"/>
    <cellStyle name="20% - Accent5 73 19 3" xfId="8972" xr:uid="{00000000-0005-0000-0000-00000B230000}"/>
    <cellStyle name="20% - Accent5 73 2" xfId="8973" xr:uid="{00000000-0005-0000-0000-00000C230000}"/>
    <cellStyle name="20% - Accent5 73 2 2" xfId="8974" xr:uid="{00000000-0005-0000-0000-00000D230000}"/>
    <cellStyle name="20% - Accent5 73 2 2 2" xfId="8975" xr:uid="{00000000-0005-0000-0000-00000E230000}"/>
    <cellStyle name="20% - Accent5 73 2 3" xfId="8976" xr:uid="{00000000-0005-0000-0000-00000F230000}"/>
    <cellStyle name="20% - Accent5 73 20" xfId="8977" xr:uid="{00000000-0005-0000-0000-000010230000}"/>
    <cellStyle name="20% - Accent5 73 20 2" xfId="8978" xr:uid="{00000000-0005-0000-0000-000011230000}"/>
    <cellStyle name="20% - Accent5 73 20 2 2" xfId="8979" xr:uid="{00000000-0005-0000-0000-000012230000}"/>
    <cellStyle name="20% - Accent5 73 20 3" xfId="8980" xr:uid="{00000000-0005-0000-0000-000013230000}"/>
    <cellStyle name="20% - Accent5 73 21" xfId="8981" xr:uid="{00000000-0005-0000-0000-000014230000}"/>
    <cellStyle name="20% - Accent5 73 21 2" xfId="8982" xr:uid="{00000000-0005-0000-0000-000015230000}"/>
    <cellStyle name="20% - Accent5 73 21 2 2" xfId="8983" xr:uid="{00000000-0005-0000-0000-000016230000}"/>
    <cellStyle name="20% - Accent5 73 21 3" xfId="8984" xr:uid="{00000000-0005-0000-0000-000017230000}"/>
    <cellStyle name="20% - Accent5 73 22" xfId="8985" xr:uid="{00000000-0005-0000-0000-000018230000}"/>
    <cellStyle name="20% - Accent5 73 22 2" xfId="8986" xr:uid="{00000000-0005-0000-0000-000019230000}"/>
    <cellStyle name="20% - Accent5 73 22 2 2" xfId="8987" xr:uid="{00000000-0005-0000-0000-00001A230000}"/>
    <cellStyle name="20% - Accent5 73 22 3" xfId="8988" xr:uid="{00000000-0005-0000-0000-00001B230000}"/>
    <cellStyle name="20% - Accent5 73 23" xfId="8989" xr:uid="{00000000-0005-0000-0000-00001C230000}"/>
    <cellStyle name="20% - Accent5 73 23 2" xfId="8990" xr:uid="{00000000-0005-0000-0000-00001D230000}"/>
    <cellStyle name="20% - Accent5 73 23 2 2" xfId="8991" xr:uid="{00000000-0005-0000-0000-00001E230000}"/>
    <cellStyle name="20% - Accent5 73 23 3" xfId="8992" xr:uid="{00000000-0005-0000-0000-00001F230000}"/>
    <cellStyle name="20% - Accent5 73 24" xfId="8993" xr:uid="{00000000-0005-0000-0000-000020230000}"/>
    <cellStyle name="20% - Accent5 73 24 2" xfId="8994" xr:uid="{00000000-0005-0000-0000-000021230000}"/>
    <cellStyle name="20% - Accent5 73 24 2 2" xfId="8995" xr:uid="{00000000-0005-0000-0000-000022230000}"/>
    <cellStyle name="20% - Accent5 73 24 3" xfId="8996" xr:uid="{00000000-0005-0000-0000-000023230000}"/>
    <cellStyle name="20% - Accent5 73 25" xfId="8997" xr:uid="{00000000-0005-0000-0000-000024230000}"/>
    <cellStyle name="20% - Accent5 73 25 2" xfId="8998" xr:uid="{00000000-0005-0000-0000-000025230000}"/>
    <cellStyle name="20% - Accent5 73 25 2 2" xfId="8999" xr:uid="{00000000-0005-0000-0000-000026230000}"/>
    <cellStyle name="20% - Accent5 73 25 3" xfId="9000" xr:uid="{00000000-0005-0000-0000-000027230000}"/>
    <cellStyle name="20% - Accent5 73 26" xfId="9001" xr:uid="{00000000-0005-0000-0000-000028230000}"/>
    <cellStyle name="20% - Accent5 73 26 2" xfId="9002" xr:uid="{00000000-0005-0000-0000-000029230000}"/>
    <cellStyle name="20% - Accent5 73 26 2 2" xfId="9003" xr:uid="{00000000-0005-0000-0000-00002A230000}"/>
    <cellStyle name="20% - Accent5 73 26 3" xfId="9004" xr:uid="{00000000-0005-0000-0000-00002B230000}"/>
    <cellStyle name="20% - Accent5 73 27" xfId="9005" xr:uid="{00000000-0005-0000-0000-00002C230000}"/>
    <cellStyle name="20% - Accent5 73 27 2" xfId="9006" xr:uid="{00000000-0005-0000-0000-00002D230000}"/>
    <cellStyle name="20% - Accent5 73 27 2 2" xfId="9007" xr:uid="{00000000-0005-0000-0000-00002E230000}"/>
    <cellStyle name="20% - Accent5 73 27 3" xfId="9008" xr:uid="{00000000-0005-0000-0000-00002F230000}"/>
    <cellStyle name="20% - Accent5 73 28" xfId="9009" xr:uid="{00000000-0005-0000-0000-000030230000}"/>
    <cellStyle name="20% - Accent5 73 28 2" xfId="9010" xr:uid="{00000000-0005-0000-0000-000031230000}"/>
    <cellStyle name="20% - Accent5 73 28 2 2" xfId="9011" xr:uid="{00000000-0005-0000-0000-000032230000}"/>
    <cellStyle name="20% - Accent5 73 28 3" xfId="9012" xr:uid="{00000000-0005-0000-0000-000033230000}"/>
    <cellStyle name="20% - Accent5 73 29" xfId="9013" xr:uid="{00000000-0005-0000-0000-000034230000}"/>
    <cellStyle name="20% - Accent5 73 29 2" xfId="9014" xr:uid="{00000000-0005-0000-0000-000035230000}"/>
    <cellStyle name="20% - Accent5 73 29 2 2" xfId="9015" xr:uid="{00000000-0005-0000-0000-000036230000}"/>
    <cellStyle name="20% - Accent5 73 29 3" xfId="9016" xr:uid="{00000000-0005-0000-0000-000037230000}"/>
    <cellStyle name="20% - Accent5 73 3" xfId="9017" xr:uid="{00000000-0005-0000-0000-000038230000}"/>
    <cellStyle name="20% - Accent5 73 3 2" xfId="9018" xr:uid="{00000000-0005-0000-0000-000039230000}"/>
    <cellStyle name="20% - Accent5 73 3 2 2" xfId="9019" xr:uid="{00000000-0005-0000-0000-00003A230000}"/>
    <cellStyle name="20% - Accent5 73 3 3" xfId="9020" xr:uid="{00000000-0005-0000-0000-00003B230000}"/>
    <cellStyle name="20% - Accent5 73 30" xfId="9021" xr:uid="{00000000-0005-0000-0000-00003C230000}"/>
    <cellStyle name="20% - Accent5 73 30 2" xfId="9022" xr:uid="{00000000-0005-0000-0000-00003D230000}"/>
    <cellStyle name="20% - Accent5 73 30 2 2" xfId="9023" xr:uid="{00000000-0005-0000-0000-00003E230000}"/>
    <cellStyle name="20% - Accent5 73 30 3" xfId="9024" xr:uid="{00000000-0005-0000-0000-00003F230000}"/>
    <cellStyle name="20% - Accent5 73 31" xfId="9025" xr:uid="{00000000-0005-0000-0000-000040230000}"/>
    <cellStyle name="20% - Accent5 73 31 2" xfId="9026" xr:uid="{00000000-0005-0000-0000-000041230000}"/>
    <cellStyle name="20% - Accent5 73 31 2 2" xfId="9027" xr:uid="{00000000-0005-0000-0000-000042230000}"/>
    <cellStyle name="20% - Accent5 73 31 3" xfId="9028" xr:uid="{00000000-0005-0000-0000-000043230000}"/>
    <cellStyle name="20% - Accent5 73 32" xfId="9029" xr:uid="{00000000-0005-0000-0000-000044230000}"/>
    <cellStyle name="20% - Accent5 73 32 2" xfId="9030" xr:uid="{00000000-0005-0000-0000-000045230000}"/>
    <cellStyle name="20% - Accent5 73 32 2 2" xfId="9031" xr:uid="{00000000-0005-0000-0000-000046230000}"/>
    <cellStyle name="20% - Accent5 73 32 3" xfId="9032" xr:uid="{00000000-0005-0000-0000-000047230000}"/>
    <cellStyle name="20% - Accent5 73 33" xfId="9033" xr:uid="{00000000-0005-0000-0000-000048230000}"/>
    <cellStyle name="20% - Accent5 73 33 2" xfId="9034" xr:uid="{00000000-0005-0000-0000-000049230000}"/>
    <cellStyle name="20% - Accent5 73 33 2 2" xfId="9035" xr:uid="{00000000-0005-0000-0000-00004A230000}"/>
    <cellStyle name="20% - Accent5 73 33 3" xfId="9036" xr:uid="{00000000-0005-0000-0000-00004B230000}"/>
    <cellStyle name="20% - Accent5 73 34" xfId="9037" xr:uid="{00000000-0005-0000-0000-00004C230000}"/>
    <cellStyle name="20% - Accent5 73 34 2" xfId="9038" xr:uid="{00000000-0005-0000-0000-00004D230000}"/>
    <cellStyle name="20% - Accent5 73 34 2 2" xfId="9039" xr:uid="{00000000-0005-0000-0000-00004E230000}"/>
    <cellStyle name="20% - Accent5 73 34 3" xfId="9040" xr:uid="{00000000-0005-0000-0000-00004F230000}"/>
    <cellStyle name="20% - Accent5 73 35" xfId="9041" xr:uid="{00000000-0005-0000-0000-000050230000}"/>
    <cellStyle name="20% - Accent5 73 35 2" xfId="9042" xr:uid="{00000000-0005-0000-0000-000051230000}"/>
    <cellStyle name="20% - Accent5 73 35 2 2" xfId="9043" xr:uid="{00000000-0005-0000-0000-000052230000}"/>
    <cellStyle name="20% - Accent5 73 35 3" xfId="9044" xr:uid="{00000000-0005-0000-0000-000053230000}"/>
    <cellStyle name="20% - Accent5 73 36" xfId="9045" xr:uid="{00000000-0005-0000-0000-000054230000}"/>
    <cellStyle name="20% - Accent5 73 36 2" xfId="9046" xr:uid="{00000000-0005-0000-0000-000055230000}"/>
    <cellStyle name="20% - Accent5 73 36 2 2" xfId="9047" xr:uid="{00000000-0005-0000-0000-000056230000}"/>
    <cellStyle name="20% - Accent5 73 36 3" xfId="9048" xr:uid="{00000000-0005-0000-0000-000057230000}"/>
    <cellStyle name="20% - Accent5 73 4" xfId="9049" xr:uid="{00000000-0005-0000-0000-000058230000}"/>
    <cellStyle name="20% - Accent5 73 4 2" xfId="9050" xr:uid="{00000000-0005-0000-0000-000059230000}"/>
    <cellStyle name="20% - Accent5 73 4 2 2" xfId="9051" xr:uid="{00000000-0005-0000-0000-00005A230000}"/>
    <cellStyle name="20% - Accent5 73 4 3" xfId="9052" xr:uid="{00000000-0005-0000-0000-00005B230000}"/>
    <cellStyle name="20% - Accent5 73 5" xfId="9053" xr:uid="{00000000-0005-0000-0000-00005C230000}"/>
    <cellStyle name="20% - Accent5 73 5 2" xfId="9054" xr:uid="{00000000-0005-0000-0000-00005D230000}"/>
    <cellStyle name="20% - Accent5 73 5 2 2" xfId="9055" xr:uid="{00000000-0005-0000-0000-00005E230000}"/>
    <cellStyle name="20% - Accent5 73 5 3" xfId="9056" xr:uid="{00000000-0005-0000-0000-00005F230000}"/>
    <cellStyle name="20% - Accent5 73 6" xfId="9057" xr:uid="{00000000-0005-0000-0000-000060230000}"/>
    <cellStyle name="20% - Accent5 73 6 2" xfId="9058" xr:uid="{00000000-0005-0000-0000-000061230000}"/>
    <cellStyle name="20% - Accent5 73 6 2 2" xfId="9059" xr:uid="{00000000-0005-0000-0000-000062230000}"/>
    <cellStyle name="20% - Accent5 73 6 3" xfId="9060" xr:uid="{00000000-0005-0000-0000-000063230000}"/>
    <cellStyle name="20% - Accent5 73 7" xfId="9061" xr:uid="{00000000-0005-0000-0000-000064230000}"/>
    <cellStyle name="20% - Accent5 73 7 2" xfId="9062" xr:uid="{00000000-0005-0000-0000-000065230000}"/>
    <cellStyle name="20% - Accent5 73 7 2 2" xfId="9063" xr:uid="{00000000-0005-0000-0000-000066230000}"/>
    <cellStyle name="20% - Accent5 73 7 3" xfId="9064" xr:uid="{00000000-0005-0000-0000-000067230000}"/>
    <cellStyle name="20% - Accent5 73 8" xfId="9065" xr:uid="{00000000-0005-0000-0000-000068230000}"/>
    <cellStyle name="20% - Accent5 73 8 2" xfId="9066" xr:uid="{00000000-0005-0000-0000-000069230000}"/>
    <cellStyle name="20% - Accent5 73 8 2 2" xfId="9067" xr:uid="{00000000-0005-0000-0000-00006A230000}"/>
    <cellStyle name="20% - Accent5 73 8 3" xfId="9068" xr:uid="{00000000-0005-0000-0000-00006B230000}"/>
    <cellStyle name="20% - Accent5 73 9" xfId="9069" xr:uid="{00000000-0005-0000-0000-00006C230000}"/>
    <cellStyle name="20% - Accent5 73 9 2" xfId="9070" xr:uid="{00000000-0005-0000-0000-00006D230000}"/>
    <cellStyle name="20% - Accent5 73 9 2 2" xfId="9071" xr:uid="{00000000-0005-0000-0000-00006E230000}"/>
    <cellStyle name="20% - Accent5 73 9 3" xfId="9072" xr:uid="{00000000-0005-0000-0000-00006F230000}"/>
    <cellStyle name="20% - Accent5 74" xfId="9073" xr:uid="{00000000-0005-0000-0000-000070230000}"/>
    <cellStyle name="20% - Accent5 74 10" xfId="9074" xr:uid="{00000000-0005-0000-0000-000071230000}"/>
    <cellStyle name="20% - Accent5 74 10 2" xfId="9075" xr:uid="{00000000-0005-0000-0000-000072230000}"/>
    <cellStyle name="20% - Accent5 74 10 2 2" xfId="9076" xr:uid="{00000000-0005-0000-0000-000073230000}"/>
    <cellStyle name="20% - Accent5 74 10 3" xfId="9077" xr:uid="{00000000-0005-0000-0000-000074230000}"/>
    <cellStyle name="20% - Accent5 74 11" xfId="9078" xr:uid="{00000000-0005-0000-0000-000075230000}"/>
    <cellStyle name="20% - Accent5 74 11 2" xfId="9079" xr:uid="{00000000-0005-0000-0000-000076230000}"/>
    <cellStyle name="20% - Accent5 74 11 2 2" xfId="9080" xr:uid="{00000000-0005-0000-0000-000077230000}"/>
    <cellStyle name="20% - Accent5 74 11 3" xfId="9081" xr:uid="{00000000-0005-0000-0000-000078230000}"/>
    <cellStyle name="20% - Accent5 74 12" xfId="9082" xr:uid="{00000000-0005-0000-0000-000079230000}"/>
    <cellStyle name="20% - Accent5 74 12 2" xfId="9083" xr:uid="{00000000-0005-0000-0000-00007A230000}"/>
    <cellStyle name="20% - Accent5 74 12 2 2" xfId="9084" xr:uid="{00000000-0005-0000-0000-00007B230000}"/>
    <cellStyle name="20% - Accent5 74 12 3" xfId="9085" xr:uid="{00000000-0005-0000-0000-00007C230000}"/>
    <cellStyle name="20% - Accent5 74 13" xfId="9086" xr:uid="{00000000-0005-0000-0000-00007D230000}"/>
    <cellStyle name="20% - Accent5 74 13 2" xfId="9087" xr:uid="{00000000-0005-0000-0000-00007E230000}"/>
    <cellStyle name="20% - Accent5 74 13 2 2" xfId="9088" xr:uid="{00000000-0005-0000-0000-00007F230000}"/>
    <cellStyle name="20% - Accent5 74 13 3" xfId="9089" xr:uid="{00000000-0005-0000-0000-000080230000}"/>
    <cellStyle name="20% - Accent5 74 14" xfId="9090" xr:uid="{00000000-0005-0000-0000-000081230000}"/>
    <cellStyle name="20% - Accent5 74 14 2" xfId="9091" xr:uid="{00000000-0005-0000-0000-000082230000}"/>
    <cellStyle name="20% - Accent5 74 14 2 2" xfId="9092" xr:uid="{00000000-0005-0000-0000-000083230000}"/>
    <cellStyle name="20% - Accent5 74 14 3" xfId="9093" xr:uid="{00000000-0005-0000-0000-000084230000}"/>
    <cellStyle name="20% - Accent5 74 15" xfId="9094" xr:uid="{00000000-0005-0000-0000-000085230000}"/>
    <cellStyle name="20% - Accent5 74 15 2" xfId="9095" xr:uid="{00000000-0005-0000-0000-000086230000}"/>
    <cellStyle name="20% - Accent5 74 15 2 2" xfId="9096" xr:uid="{00000000-0005-0000-0000-000087230000}"/>
    <cellStyle name="20% - Accent5 74 15 3" xfId="9097" xr:uid="{00000000-0005-0000-0000-000088230000}"/>
    <cellStyle name="20% - Accent5 74 16" xfId="9098" xr:uid="{00000000-0005-0000-0000-000089230000}"/>
    <cellStyle name="20% - Accent5 74 16 2" xfId="9099" xr:uid="{00000000-0005-0000-0000-00008A230000}"/>
    <cellStyle name="20% - Accent5 74 16 2 2" xfId="9100" xr:uid="{00000000-0005-0000-0000-00008B230000}"/>
    <cellStyle name="20% - Accent5 74 16 3" xfId="9101" xr:uid="{00000000-0005-0000-0000-00008C230000}"/>
    <cellStyle name="20% - Accent5 74 17" xfId="9102" xr:uid="{00000000-0005-0000-0000-00008D230000}"/>
    <cellStyle name="20% - Accent5 74 17 2" xfId="9103" xr:uid="{00000000-0005-0000-0000-00008E230000}"/>
    <cellStyle name="20% - Accent5 74 17 2 2" xfId="9104" xr:uid="{00000000-0005-0000-0000-00008F230000}"/>
    <cellStyle name="20% - Accent5 74 17 3" xfId="9105" xr:uid="{00000000-0005-0000-0000-000090230000}"/>
    <cellStyle name="20% - Accent5 74 18" xfId="9106" xr:uid="{00000000-0005-0000-0000-000091230000}"/>
    <cellStyle name="20% - Accent5 74 18 2" xfId="9107" xr:uid="{00000000-0005-0000-0000-000092230000}"/>
    <cellStyle name="20% - Accent5 74 18 2 2" xfId="9108" xr:uid="{00000000-0005-0000-0000-000093230000}"/>
    <cellStyle name="20% - Accent5 74 18 3" xfId="9109" xr:uid="{00000000-0005-0000-0000-000094230000}"/>
    <cellStyle name="20% - Accent5 74 19" xfId="9110" xr:uid="{00000000-0005-0000-0000-000095230000}"/>
    <cellStyle name="20% - Accent5 74 19 2" xfId="9111" xr:uid="{00000000-0005-0000-0000-000096230000}"/>
    <cellStyle name="20% - Accent5 74 19 2 2" xfId="9112" xr:uid="{00000000-0005-0000-0000-000097230000}"/>
    <cellStyle name="20% - Accent5 74 19 3" xfId="9113" xr:uid="{00000000-0005-0000-0000-000098230000}"/>
    <cellStyle name="20% - Accent5 74 2" xfId="9114" xr:uid="{00000000-0005-0000-0000-000099230000}"/>
    <cellStyle name="20% - Accent5 74 2 2" xfId="9115" xr:uid="{00000000-0005-0000-0000-00009A230000}"/>
    <cellStyle name="20% - Accent5 74 2 2 2" xfId="9116" xr:uid="{00000000-0005-0000-0000-00009B230000}"/>
    <cellStyle name="20% - Accent5 74 2 3" xfId="9117" xr:uid="{00000000-0005-0000-0000-00009C230000}"/>
    <cellStyle name="20% - Accent5 74 20" xfId="9118" xr:uid="{00000000-0005-0000-0000-00009D230000}"/>
    <cellStyle name="20% - Accent5 74 20 2" xfId="9119" xr:uid="{00000000-0005-0000-0000-00009E230000}"/>
    <cellStyle name="20% - Accent5 74 20 2 2" xfId="9120" xr:uid="{00000000-0005-0000-0000-00009F230000}"/>
    <cellStyle name="20% - Accent5 74 20 3" xfId="9121" xr:uid="{00000000-0005-0000-0000-0000A0230000}"/>
    <cellStyle name="20% - Accent5 74 21" xfId="9122" xr:uid="{00000000-0005-0000-0000-0000A1230000}"/>
    <cellStyle name="20% - Accent5 74 21 2" xfId="9123" xr:uid="{00000000-0005-0000-0000-0000A2230000}"/>
    <cellStyle name="20% - Accent5 74 21 2 2" xfId="9124" xr:uid="{00000000-0005-0000-0000-0000A3230000}"/>
    <cellStyle name="20% - Accent5 74 21 3" xfId="9125" xr:uid="{00000000-0005-0000-0000-0000A4230000}"/>
    <cellStyle name="20% - Accent5 74 22" xfId="9126" xr:uid="{00000000-0005-0000-0000-0000A5230000}"/>
    <cellStyle name="20% - Accent5 74 22 2" xfId="9127" xr:uid="{00000000-0005-0000-0000-0000A6230000}"/>
    <cellStyle name="20% - Accent5 74 22 2 2" xfId="9128" xr:uid="{00000000-0005-0000-0000-0000A7230000}"/>
    <cellStyle name="20% - Accent5 74 22 3" xfId="9129" xr:uid="{00000000-0005-0000-0000-0000A8230000}"/>
    <cellStyle name="20% - Accent5 74 23" xfId="9130" xr:uid="{00000000-0005-0000-0000-0000A9230000}"/>
    <cellStyle name="20% - Accent5 74 23 2" xfId="9131" xr:uid="{00000000-0005-0000-0000-0000AA230000}"/>
    <cellStyle name="20% - Accent5 74 23 2 2" xfId="9132" xr:uid="{00000000-0005-0000-0000-0000AB230000}"/>
    <cellStyle name="20% - Accent5 74 23 3" xfId="9133" xr:uid="{00000000-0005-0000-0000-0000AC230000}"/>
    <cellStyle name="20% - Accent5 74 24" xfId="9134" xr:uid="{00000000-0005-0000-0000-0000AD230000}"/>
    <cellStyle name="20% - Accent5 74 24 2" xfId="9135" xr:uid="{00000000-0005-0000-0000-0000AE230000}"/>
    <cellStyle name="20% - Accent5 74 24 2 2" xfId="9136" xr:uid="{00000000-0005-0000-0000-0000AF230000}"/>
    <cellStyle name="20% - Accent5 74 24 3" xfId="9137" xr:uid="{00000000-0005-0000-0000-0000B0230000}"/>
    <cellStyle name="20% - Accent5 74 25" xfId="9138" xr:uid="{00000000-0005-0000-0000-0000B1230000}"/>
    <cellStyle name="20% - Accent5 74 25 2" xfId="9139" xr:uid="{00000000-0005-0000-0000-0000B2230000}"/>
    <cellStyle name="20% - Accent5 74 25 2 2" xfId="9140" xr:uid="{00000000-0005-0000-0000-0000B3230000}"/>
    <cellStyle name="20% - Accent5 74 25 3" xfId="9141" xr:uid="{00000000-0005-0000-0000-0000B4230000}"/>
    <cellStyle name="20% - Accent5 74 26" xfId="9142" xr:uid="{00000000-0005-0000-0000-0000B5230000}"/>
    <cellStyle name="20% - Accent5 74 26 2" xfId="9143" xr:uid="{00000000-0005-0000-0000-0000B6230000}"/>
    <cellStyle name="20% - Accent5 74 26 2 2" xfId="9144" xr:uid="{00000000-0005-0000-0000-0000B7230000}"/>
    <cellStyle name="20% - Accent5 74 26 3" xfId="9145" xr:uid="{00000000-0005-0000-0000-0000B8230000}"/>
    <cellStyle name="20% - Accent5 74 27" xfId="9146" xr:uid="{00000000-0005-0000-0000-0000B9230000}"/>
    <cellStyle name="20% - Accent5 74 27 2" xfId="9147" xr:uid="{00000000-0005-0000-0000-0000BA230000}"/>
    <cellStyle name="20% - Accent5 74 27 2 2" xfId="9148" xr:uid="{00000000-0005-0000-0000-0000BB230000}"/>
    <cellStyle name="20% - Accent5 74 27 3" xfId="9149" xr:uid="{00000000-0005-0000-0000-0000BC230000}"/>
    <cellStyle name="20% - Accent5 74 28" xfId="9150" xr:uid="{00000000-0005-0000-0000-0000BD230000}"/>
    <cellStyle name="20% - Accent5 74 28 2" xfId="9151" xr:uid="{00000000-0005-0000-0000-0000BE230000}"/>
    <cellStyle name="20% - Accent5 74 28 2 2" xfId="9152" xr:uid="{00000000-0005-0000-0000-0000BF230000}"/>
    <cellStyle name="20% - Accent5 74 28 3" xfId="9153" xr:uid="{00000000-0005-0000-0000-0000C0230000}"/>
    <cellStyle name="20% - Accent5 74 29" xfId="9154" xr:uid="{00000000-0005-0000-0000-0000C1230000}"/>
    <cellStyle name="20% - Accent5 74 29 2" xfId="9155" xr:uid="{00000000-0005-0000-0000-0000C2230000}"/>
    <cellStyle name="20% - Accent5 74 29 2 2" xfId="9156" xr:uid="{00000000-0005-0000-0000-0000C3230000}"/>
    <cellStyle name="20% - Accent5 74 29 3" xfId="9157" xr:uid="{00000000-0005-0000-0000-0000C4230000}"/>
    <cellStyle name="20% - Accent5 74 3" xfId="9158" xr:uid="{00000000-0005-0000-0000-0000C5230000}"/>
    <cellStyle name="20% - Accent5 74 3 2" xfId="9159" xr:uid="{00000000-0005-0000-0000-0000C6230000}"/>
    <cellStyle name="20% - Accent5 74 3 2 2" xfId="9160" xr:uid="{00000000-0005-0000-0000-0000C7230000}"/>
    <cellStyle name="20% - Accent5 74 3 3" xfId="9161" xr:uid="{00000000-0005-0000-0000-0000C8230000}"/>
    <cellStyle name="20% - Accent5 74 30" xfId="9162" xr:uid="{00000000-0005-0000-0000-0000C9230000}"/>
    <cellStyle name="20% - Accent5 74 30 2" xfId="9163" xr:uid="{00000000-0005-0000-0000-0000CA230000}"/>
    <cellStyle name="20% - Accent5 74 30 2 2" xfId="9164" xr:uid="{00000000-0005-0000-0000-0000CB230000}"/>
    <cellStyle name="20% - Accent5 74 30 3" xfId="9165" xr:uid="{00000000-0005-0000-0000-0000CC230000}"/>
    <cellStyle name="20% - Accent5 74 31" xfId="9166" xr:uid="{00000000-0005-0000-0000-0000CD230000}"/>
    <cellStyle name="20% - Accent5 74 31 2" xfId="9167" xr:uid="{00000000-0005-0000-0000-0000CE230000}"/>
    <cellStyle name="20% - Accent5 74 31 2 2" xfId="9168" xr:uid="{00000000-0005-0000-0000-0000CF230000}"/>
    <cellStyle name="20% - Accent5 74 31 3" xfId="9169" xr:uid="{00000000-0005-0000-0000-0000D0230000}"/>
    <cellStyle name="20% - Accent5 74 32" xfId="9170" xr:uid="{00000000-0005-0000-0000-0000D1230000}"/>
    <cellStyle name="20% - Accent5 74 32 2" xfId="9171" xr:uid="{00000000-0005-0000-0000-0000D2230000}"/>
    <cellStyle name="20% - Accent5 74 32 2 2" xfId="9172" xr:uid="{00000000-0005-0000-0000-0000D3230000}"/>
    <cellStyle name="20% - Accent5 74 32 3" xfId="9173" xr:uid="{00000000-0005-0000-0000-0000D4230000}"/>
    <cellStyle name="20% - Accent5 74 33" xfId="9174" xr:uid="{00000000-0005-0000-0000-0000D5230000}"/>
    <cellStyle name="20% - Accent5 74 33 2" xfId="9175" xr:uid="{00000000-0005-0000-0000-0000D6230000}"/>
    <cellStyle name="20% - Accent5 74 33 2 2" xfId="9176" xr:uid="{00000000-0005-0000-0000-0000D7230000}"/>
    <cellStyle name="20% - Accent5 74 33 3" xfId="9177" xr:uid="{00000000-0005-0000-0000-0000D8230000}"/>
    <cellStyle name="20% - Accent5 74 34" xfId="9178" xr:uid="{00000000-0005-0000-0000-0000D9230000}"/>
    <cellStyle name="20% - Accent5 74 34 2" xfId="9179" xr:uid="{00000000-0005-0000-0000-0000DA230000}"/>
    <cellStyle name="20% - Accent5 74 34 2 2" xfId="9180" xr:uid="{00000000-0005-0000-0000-0000DB230000}"/>
    <cellStyle name="20% - Accent5 74 34 3" xfId="9181" xr:uid="{00000000-0005-0000-0000-0000DC230000}"/>
    <cellStyle name="20% - Accent5 74 35" xfId="9182" xr:uid="{00000000-0005-0000-0000-0000DD230000}"/>
    <cellStyle name="20% - Accent5 74 35 2" xfId="9183" xr:uid="{00000000-0005-0000-0000-0000DE230000}"/>
    <cellStyle name="20% - Accent5 74 35 2 2" xfId="9184" xr:uid="{00000000-0005-0000-0000-0000DF230000}"/>
    <cellStyle name="20% - Accent5 74 35 3" xfId="9185" xr:uid="{00000000-0005-0000-0000-0000E0230000}"/>
    <cellStyle name="20% - Accent5 74 36" xfId="9186" xr:uid="{00000000-0005-0000-0000-0000E1230000}"/>
    <cellStyle name="20% - Accent5 74 36 2" xfId="9187" xr:uid="{00000000-0005-0000-0000-0000E2230000}"/>
    <cellStyle name="20% - Accent5 74 36 2 2" xfId="9188" xr:uid="{00000000-0005-0000-0000-0000E3230000}"/>
    <cellStyle name="20% - Accent5 74 36 3" xfId="9189" xr:uid="{00000000-0005-0000-0000-0000E4230000}"/>
    <cellStyle name="20% - Accent5 74 4" xfId="9190" xr:uid="{00000000-0005-0000-0000-0000E5230000}"/>
    <cellStyle name="20% - Accent5 74 4 2" xfId="9191" xr:uid="{00000000-0005-0000-0000-0000E6230000}"/>
    <cellStyle name="20% - Accent5 74 4 2 2" xfId="9192" xr:uid="{00000000-0005-0000-0000-0000E7230000}"/>
    <cellStyle name="20% - Accent5 74 4 3" xfId="9193" xr:uid="{00000000-0005-0000-0000-0000E8230000}"/>
    <cellStyle name="20% - Accent5 74 5" xfId="9194" xr:uid="{00000000-0005-0000-0000-0000E9230000}"/>
    <cellStyle name="20% - Accent5 74 5 2" xfId="9195" xr:uid="{00000000-0005-0000-0000-0000EA230000}"/>
    <cellStyle name="20% - Accent5 74 5 2 2" xfId="9196" xr:uid="{00000000-0005-0000-0000-0000EB230000}"/>
    <cellStyle name="20% - Accent5 74 5 3" xfId="9197" xr:uid="{00000000-0005-0000-0000-0000EC230000}"/>
    <cellStyle name="20% - Accent5 74 6" xfId="9198" xr:uid="{00000000-0005-0000-0000-0000ED230000}"/>
    <cellStyle name="20% - Accent5 74 6 2" xfId="9199" xr:uid="{00000000-0005-0000-0000-0000EE230000}"/>
    <cellStyle name="20% - Accent5 74 6 2 2" xfId="9200" xr:uid="{00000000-0005-0000-0000-0000EF230000}"/>
    <cellStyle name="20% - Accent5 74 6 3" xfId="9201" xr:uid="{00000000-0005-0000-0000-0000F0230000}"/>
    <cellStyle name="20% - Accent5 74 7" xfId="9202" xr:uid="{00000000-0005-0000-0000-0000F1230000}"/>
    <cellStyle name="20% - Accent5 74 7 2" xfId="9203" xr:uid="{00000000-0005-0000-0000-0000F2230000}"/>
    <cellStyle name="20% - Accent5 74 7 2 2" xfId="9204" xr:uid="{00000000-0005-0000-0000-0000F3230000}"/>
    <cellStyle name="20% - Accent5 74 7 3" xfId="9205" xr:uid="{00000000-0005-0000-0000-0000F4230000}"/>
    <cellStyle name="20% - Accent5 74 8" xfId="9206" xr:uid="{00000000-0005-0000-0000-0000F5230000}"/>
    <cellStyle name="20% - Accent5 74 8 2" xfId="9207" xr:uid="{00000000-0005-0000-0000-0000F6230000}"/>
    <cellStyle name="20% - Accent5 74 8 2 2" xfId="9208" xr:uid="{00000000-0005-0000-0000-0000F7230000}"/>
    <cellStyle name="20% - Accent5 74 8 3" xfId="9209" xr:uid="{00000000-0005-0000-0000-0000F8230000}"/>
    <cellStyle name="20% - Accent5 74 9" xfId="9210" xr:uid="{00000000-0005-0000-0000-0000F9230000}"/>
    <cellStyle name="20% - Accent5 74 9 2" xfId="9211" xr:uid="{00000000-0005-0000-0000-0000FA230000}"/>
    <cellStyle name="20% - Accent5 74 9 2 2" xfId="9212" xr:uid="{00000000-0005-0000-0000-0000FB230000}"/>
    <cellStyle name="20% - Accent5 74 9 3" xfId="9213" xr:uid="{00000000-0005-0000-0000-0000FC230000}"/>
    <cellStyle name="20% - Accent5 75" xfId="9214" xr:uid="{00000000-0005-0000-0000-0000FD230000}"/>
    <cellStyle name="20% - Accent5 75 10" xfId="9215" xr:uid="{00000000-0005-0000-0000-0000FE230000}"/>
    <cellStyle name="20% - Accent5 75 10 2" xfId="9216" xr:uid="{00000000-0005-0000-0000-0000FF230000}"/>
    <cellStyle name="20% - Accent5 75 10 2 2" xfId="9217" xr:uid="{00000000-0005-0000-0000-000000240000}"/>
    <cellStyle name="20% - Accent5 75 10 3" xfId="9218" xr:uid="{00000000-0005-0000-0000-000001240000}"/>
    <cellStyle name="20% - Accent5 75 11" xfId="9219" xr:uid="{00000000-0005-0000-0000-000002240000}"/>
    <cellStyle name="20% - Accent5 75 11 2" xfId="9220" xr:uid="{00000000-0005-0000-0000-000003240000}"/>
    <cellStyle name="20% - Accent5 75 11 2 2" xfId="9221" xr:uid="{00000000-0005-0000-0000-000004240000}"/>
    <cellStyle name="20% - Accent5 75 11 3" xfId="9222" xr:uid="{00000000-0005-0000-0000-000005240000}"/>
    <cellStyle name="20% - Accent5 75 12" xfId="9223" xr:uid="{00000000-0005-0000-0000-000006240000}"/>
    <cellStyle name="20% - Accent5 75 12 2" xfId="9224" xr:uid="{00000000-0005-0000-0000-000007240000}"/>
    <cellStyle name="20% - Accent5 75 12 2 2" xfId="9225" xr:uid="{00000000-0005-0000-0000-000008240000}"/>
    <cellStyle name="20% - Accent5 75 12 3" xfId="9226" xr:uid="{00000000-0005-0000-0000-000009240000}"/>
    <cellStyle name="20% - Accent5 75 13" xfId="9227" xr:uid="{00000000-0005-0000-0000-00000A240000}"/>
    <cellStyle name="20% - Accent5 75 13 2" xfId="9228" xr:uid="{00000000-0005-0000-0000-00000B240000}"/>
    <cellStyle name="20% - Accent5 75 13 2 2" xfId="9229" xr:uid="{00000000-0005-0000-0000-00000C240000}"/>
    <cellStyle name="20% - Accent5 75 13 3" xfId="9230" xr:uid="{00000000-0005-0000-0000-00000D240000}"/>
    <cellStyle name="20% - Accent5 75 14" xfId="9231" xr:uid="{00000000-0005-0000-0000-00000E240000}"/>
    <cellStyle name="20% - Accent5 75 14 2" xfId="9232" xr:uid="{00000000-0005-0000-0000-00000F240000}"/>
    <cellStyle name="20% - Accent5 75 14 2 2" xfId="9233" xr:uid="{00000000-0005-0000-0000-000010240000}"/>
    <cellStyle name="20% - Accent5 75 14 3" xfId="9234" xr:uid="{00000000-0005-0000-0000-000011240000}"/>
    <cellStyle name="20% - Accent5 75 15" xfId="9235" xr:uid="{00000000-0005-0000-0000-000012240000}"/>
    <cellStyle name="20% - Accent5 75 15 2" xfId="9236" xr:uid="{00000000-0005-0000-0000-000013240000}"/>
    <cellStyle name="20% - Accent5 75 15 2 2" xfId="9237" xr:uid="{00000000-0005-0000-0000-000014240000}"/>
    <cellStyle name="20% - Accent5 75 15 3" xfId="9238" xr:uid="{00000000-0005-0000-0000-000015240000}"/>
    <cellStyle name="20% - Accent5 75 16" xfId="9239" xr:uid="{00000000-0005-0000-0000-000016240000}"/>
    <cellStyle name="20% - Accent5 75 16 2" xfId="9240" xr:uid="{00000000-0005-0000-0000-000017240000}"/>
    <cellStyle name="20% - Accent5 75 16 2 2" xfId="9241" xr:uid="{00000000-0005-0000-0000-000018240000}"/>
    <cellStyle name="20% - Accent5 75 16 3" xfId="9242" xr:uid="{00000000-0005-0000-0000-000019240000}"/>
    <cellStyle name="20% - Accent5 75 17" xfId="9243" xr:uid="{00000000-0005-0000-0000-00001A240000}"/>
    <cellStyle name="20% - Accent5 75 17 2" xfId="9244" xr:uid="{00000000-0005-0000-0000-00001B240000}"/>
    <cellStyle name="20% - Accent5 75 17 2 2" xfId="9245" xr:uid="{00000000-0005-0000-0000-00001C240000}"/>
    <cellStyle name="20% - Accent5 75 17 3" xfId="9246" xr:uid="{00000000-0005-0000-0000-00001D240000}"/>
    <cellStyle name="20% - Accent5 75 18" xfId="9247" xr:uid="{00000000-0005-0000-0000-00001E240000}"/>
    <cellStyle name="20% - Accent5 75 18 2" xfId="9248" xr:uid="{00000000-0005-0000-0000-00001F240000}"/>
    <cellStyle name="20% - Accent5 75 18 2 2" xfId="9249" xr:uid="{00000000-0005-0000-0000-000020240000}"/>
    <cellStyle name="20% - Accent5 75 18 3" xfId="9250" xr:uid="{00000000-0005-0000-0000-000021240000}"/>
    <cellStyle name="20% - Accent5 75 19" xfId="9251" xr:uid="{00000000-0005-0000-0000-000022240000}"/>
    <cellStyle name="20% - Accent5 75 19 2" xfId="9252" xr:uid="{00000000-0005-0000-0000-000023240000}"/>
    <cellStyle name="20% - Accent5 75 19 2 2" xfId="9253" xr:uid="{00000000-0005-0000-0000-000024240000}"/>
    <cellStyle name="20% - Accent5 75 19 3" xfId="9254" xr:uid="{00000000-0005-0000-0000-000025240000}"/>
    <cellStyle name="20% - Accent5 75 2" xfId="9255" xr:uid="{00000000-0005-0000-0000-000026240000}"/>
    <cellStyle name="20% - Accent5 75 2 2" xfId="9256" xr:uid="{00000000-0005-0000-0000-000027240000}"/>
    <cellStyle name="20% - Accent5 75 2 2 2" xfId="9257" xr:uid="{00000000-0005-0000-0000-000028240000}"/>
    <cellStyle name="20% - Accent5 75 2 3" xfId="9258" xr:uid="{00000000-0005-0000-0000-000029240000}"/>
    <cellStyle name="20% - Accent5 75 20" xfId="9259" xr:uid="{00000000-0005-0000-0000-00002A240000}"/>
    <cellStyle name="20% - Accent5 75 20 2" xfId="9260" xr:uid="{00000000-0005-0000-0000-00002B240000}"/>
    <cellStyle name="20% - Accent5 75 20 2 2" xfId="9261" xr:uid="{00000000-0005-0000-0000-00002C240000}"/>
    <cellStyle name="20% - Accent5 75 20 3" xfId="9262" xr:uid="{00000000-0005-0000-0000-00002D240000}"/>
    <cellStyle name="20% - Accent5 75 21" xfId="9263" xr:uid="{00000000-0005-0000-0000-00002E240000}"/>
    <cellStyle name="20% - Accent5 75 21 2" xfId="9264" xr:uid="{00000000-0005-0000-0000-00002F240000}"/>
    <cellStyle name="20% - Accent5 75 21 2 2" xfId="9265" xr:uid="{00000000-0005-0000-0000-000030240000}"/>
    <cellStyle name="20% - Accent5 75 21 3" xfId="9266" xr:uid="{00000000-0005-0000-0000-000031240000}"/>
    <cellStyle name="20% - Accent5 75 22" xfId="9267" xr:uid="{00000000-0005-0000-0000-000032240000}"/>
    <cellStyle name="20% - Accent5 75 22 2" xfId="9268" xr:uid="{00000000-0005-0000-0000-000033240000}"/>
    <cellStyle name="20% - Accent5 75 22 2 2" xfId="9269" xr:uid="{00000000-0005-0000-0000-000034240000}"/>
    <cellStyle name="20% - Accent5 75 22 3" xfId="9270" xr:uid="{00000000-0005-0000-0000-000035240000}"/>
    <cellStyle name="20% - Accent5 75 23" xfId="9271" xr:uid="{00000000-0005-0000-0000-000036240000}"/>
    <cellStyle name="20% - Accent5 75 23 2" xfId="9272" xr:uid="{00000000-0005-0000-0000-000037240000}"/>
    <cellStyle name="20% - Accent5 75 23 2 2" xfId="9273" xr:uid="{00000000-0005-0000-0000-000038240000}"/>
    <cellStyle name="20% - Accent5 75 23 3" xfId="9274" xr:uid="{00000000-0005-0000-0000-000039240000}"/>
    <cellStyle name="20% - Accent5 75 24" xfId="9275" xr:uid="{00000000-0005-0000-0000-00003A240000}"/>
    <cellStyle name="20% - Accent5 75 24 2" xfId="9276" xr:uid="{00000000-0005-0000-0000-00003B240000}"/>
    <cellStyle name="20% - Accent5 75 24 2 2" xfId="9277" xr:uid="{00000000-0005-0000-0000-00003C240000}"/>
    <cellStyle name="20% - Accent5 75 24 3" xfId="9278" xr:uid="{00000000-0005-0000-0000-00003D240000}"/>
    <cellStyle name="20% - Accent5 75 25" xfId="9279" xr:uid="{00000000-0005-0000-0000-00003E240000}"/>
    <cellStyle name="20% - Accent5 75 25 2" xfId="9280" xr:uid="{00000000-0005-0000-0000-00003F240000}"/>
    <cellStyle name="20% - Accent5 75 25 2 2" xfId="9281" xr:uid="{00000000-0005-0000-0000-000040240000}"/>
    <cellStyle name="20% - Accent5 75 25 3" xfId="9282" xr:uid="{00000000-0005-0000-0000-000041240000}"/>
    <cellStyle name="20% - Accent5 75 26" xfId="9283" xr:uid="{00000000-0005-0000-0000-000042240000}"/>
    <cellStyle name="20% - Accent5 75 26 2" xfId="9284" xr:uid="{00000000-0005-0000-0000-000043240000}"/>
    <cellStyle name="20% - Accent5 75 26 2 2" xfId="9285" xr:uid="{00000000-0005-0000-0000-000044240000}"/>
    <cellStyle name="20% - Accent5 75 26 3" xfId="9286" xr:uid="{00000000-0005-0000-0000-000045240000}"/>
    <cellStyle name="20% - Accent5 75 27" xfId="9287" xr:uid="{00000000-0005-0000-0000-000046240000}"/>
    <cellStyle name="20% - Accent5 75 27 2" xfId="9288" xr:uid="{00000000-0005-0000-0000-000047240000}"/>
    <cellStyle name="20% - Accent5 75 27 2 2" xfId="9289" xr:uid="{00000000-0005-0000-0000-000048240000}"/>
    <cellStyle name="20% - Accent5 75 27 3" xfId="9290" xr:uid="{00000000-0005-0000-0000-000049240000}"/>
    <cellStyle name="20% - Accent5 75 28" xfId="9291" xr:uid="{00000000-0005-0000-0000-00004A240000}"/>
    <cellStyle name="20% - Accent5 75 28 2" xfId="9292" xr:uid="{00000000-0005-0000-0000-00004B240000}"/>
    <cellStyle name="20% - Accent5 75 28 2 2" xfId="9293" xr:uid="{00000000-0005-0000-0000-00004C240000}"/>
    <cellStyle name="20% - Accent5 75 28 3" xfId="9294" xr:uid="{00000000-0005-0000-0000-00004D240000}"/>
    <cellStyle name="20% - Accent5 75 29" xfId="9295" xr:uid="{00000000-0005-0000-0000-00004E240000}"/>
    <cellStyle name="20% - Accent5 75 29 2" xfId="9296" xr:uid="{00000000-0005-0000-0000-00004F240000}"/>
    <cellStyle name="20% - Accent5 75 29 2 2" xfId="9297" xr:uid="{00000000-0005-0000-0000-000050240000}"/>
    <cellStyle name="20% - Accent5 75 29 3" xfId="9298" xr:uid="{00000000-0005-0000-0000-000051240000}"/>
    <cellStyle name="20% - Accent5 75 3" xfId="9299" xr:uid="{00000000-0005-0000-0000-000052240000}"/>
    <cellStyle name="20% - Accent5 75 3 2" xfId="9300" xr:uid="{00000000-0005-0000-0000-000053240000}"/>
    <cellStyle name="20% - Accent5 75 3 2 2" xfId="9301" xr:uid="{00000000-0005-0000-0000-000054240000}"/>
    <cellStyle name="20% - Accent5 75 3 3" xfId="9302" xr:uid="{00000000-0005-0000-0000-000055240000}"/>
    <cellStyle name="20% - Accent5 75 30" xfId="9303" xr:uid="{00000000-0005-0000-0000-000056240000}"/>
    <cellStyle name="20% - Accent5 75 30 2" xfId="9304" xr:uid="{00000000-0005-0000-0000-000057240000}"/>
    <cellStyle name="20% - Accent5 75 30 2 2" xfId="9305" xr:uid="{00000000-0005-0000-0000-000058240000}"/>
    <cellStyle name="20% - Accent5 75 30 3" xfId="9306" xr:uid="{00000000-0005-0000-0000-000059240000}"/>
    <cellStyle name="20% - Accent5 75 31" xfId="9307" xr:uid="{00000000-0005-0000-0000-00005A240000}"/>
    <cellStyle name="20% - Accent5 75 31 2" xfId="9308" xr:uid="{00000000-0005-0000-0000-00005B240000}"/>
    <cellStyle name="20% - Accent5 75 31 2 2" xfId="9309" xr:uid="{00000000-0005-0000-0000-00005C240000}"/>
    <cellStyle name="20% - Accent5 75 31 3" xfId="9310" xr:uid="{00000000-0005-0000-0000-00005D240000}"/>
    <cellStyle name="20% - Accent5 75 32" xfId="9311" xr:uid="{00000000-0005-0000-0000-00005E240000}"/>
    <cellStyle name="20% - Accent5 75 32 2" xfId="9312" xr:uid="{00000000-0005-0000-0000-00005F240000}"/>
    <cellStyle name="20% - Accent5 75 32 2 2" xfId="9313" xr:uid="{00000000-0005-0000-0000-000060240000}"/>
    <cellStyle name="20% - Accent5 75 32 3" xfId="9314" xr:uid="{00000000-0005-0000-0000-000061240000}"/>
    <cellStyle name="20% - Accent5 75 33" xfId="9315" xr:uid="{00000000-0005-0000-0000-000062240000}"/>
    <cellStyle name="20% - Accent5 75 33 2" xfId="9316" xr:uid="{00000000-0005-0000-0000-000063240000}"/>
    <cellStyle name="20% - Accent5 75 33 2 2" xfId="9317" xr:uid="{00000000-0005-0000-0000-000064240000}"/>
    <cellStyle name="20% - Accent5 75 33 3" xfId="9318" xr:uid="{00000000-0005-0000-0000-000065240000}"/>
    <cellStyle name="20% - Accent5 75 34" xfId="9319" xr:uid="{00000000-0005-0000-0000-000066240000}"/>
    <cellStyle name="20% - Accent5 75 34 2" xfId="9320" xr:uid="{00000000-0005-0000-0000-000067240000}"/>
    <cellStyle name="20% - Accent5 75 34 2 2" xfId="9321" xr:uid="{00000000-0005-0000-0000-000068240000}"/>
    <cellStyle name="20% - Accent5 75 34 3" xfId="9322" xr:uid="{00000000-0005-0000-0000-000069240000}"/>
    <cellStyle name="20% - Accent5 75 35" xfId="9323" xr:uid="{00000000-0005-0000-0000-00006A240000}"/>
    <cellStyle name="20% - Accent5 75 35 2" xfId="9324" xr:uid="{00000000-0005-0000-0000-00006B240000}"/>
    <cellStyle name="20% - Accent5 75 35 2 2" xfId="9325" xr:uid="{00000000-0005-0000-0000-00006C240000}"/>
    <cellStyle name="20% - Accent5 75 35 3" xfId="9326" xr:uid="{00000000-0005-0000-0000-00006D240000}"/>
    <cellStyle name="20% - Accent5 75 36" xfId="9327" xr:uid="{00000000-0005-0000-0000-00006E240000}"/>
    <cellStyle name="20% - Accent5 75 36 2" xfId="9328" xr:uid="{00000000-0005-0000-0000-00006F240000}"/>
    <cellStyle name="20% - Accent5 75 36 2 2" xfId="9329" xr:uid="{00000000-0005-0000-0000-000070240000}"/>
    <cellStyle name="20% - Accent5 75 36 3" xfId="9330" xr:uid="{00000000-0005-0000-0000-000071240000}"/>
    <cellStyle name="20% - Accent5 75 4" xfId="9331" xr:uid="{00000000-0005-0000-0000-000072240000}"/>
    <cellStyle name="20% - Accent5 75 4 2" xfId="9332" xr:uid="{00000000-0005-0000-0000-000073240000}"/>
    <cellStyle name="20% - Accent5 75 4 2 2" xfId="9333" xr:uid="{00000000-0005-0000-0000-000074240000}"/>
    <cellStyle name="20% - Accent5 75 4 3" xfId="9334" xr:uid="{00000000-0005-0000-0000-000075240000}"/>
    <cellStyle name="20% - Accent5 75 5" xfId="9335" xr:uid="{00000000-0005-0000-0000-000076240000}"/>
    <cellStyle name="20% - Accent5 75 5 2" xfId="9336" xr:uid="{00000000-0005-0000-0000-000077240000}"/>
    <cellStyle name="20% - Accent5 75 5 2 2" xfId="9337" xr:uid="{00000000-0005-0000-0000-000078240000}"/>
    <cellStyle name="20% - Accent5 75 5 3" xfId="9338" xr:uid="{00000000-0005-0000-0000-000079240000}"/>
    <cellStyle name="20% - Accent5 75 6" xfId="9339" xr:uid="{00000000-0005-0000-0000-00007A240000}"/>
    <cellStyle name="20% - Accent5 75 6 2" xfId="9340" xr:uid="{00000000-0005-0000-0000-00007B240000}"/>
    <cellStyle name="20% - Accent5 75 6 2 2" xfId="9341" xr:uid="{00000000-0005-0000-0000-00007C240000}"/>
    <cellStyle name="20% - Accent5 75 6 3" xfId="9342" xr:uid="{00000000-0005-0000-0000-00007D240000}"/>
    <cellStyle name="20% - Accent5 75 7" xfId="9343" xr:uid="{00000000-0005-0000-0000-00007E240000}"/>
    <cellStyle name="20% - Accent5 75 7 2" xfId="9344" xr:uid="{00000000-0005-0000-0000-00007F240000}"/>
    <cellStyle name="20% - Accent5 75 7 2 2" xfId="9345" xr:uid="{00000000-0005-0000-0000-000080240000}"/>
    <cellStyle name="20% - Accent5 75 7 3" xfId="9346" xr:uid="{00000000-0005-0000-0000-000081240000}"/>
    <cellStyle name="20% - Accent5 75 8" xfId="9347" xr:uid="{00000000-0005-0000-0000-000082240000}"/>
    <cellStyle name="20% - Accent5 75 8 2" xfId="9348" xr:uid="{00000000-0005-0000-0000-000083240000}"/>
    <cellStyle name="20% - Accent5 75 8 2 2" xfId="9349" xr:uid="{00000000-0005-0000-0000-000084240000}"/>
    <cellStyle name="20% - Accent5 75 8 3" xfId="9350" xr:uid="{00000000-0005-0000-0000-000085240000}"/>
    <cellStyle name="20% - Accent5 75 9" xfId="9351" xr:uid="{00000000-0005-0000-0000-000086240000}"/>
    <cellStyle name="20% - Accent5 75 9 2" xfId="9352" xr:uid="{00000000-0005-0000-0000-000087240000}"/>
    <cellStyle name="20% - Accent5 75 9 2 2" xfId="9353" xr:uid="{00000000-0005-0000-0000-000088240000}"/>
    <cellStyle name="20% - Accent5 75 9 3" xfId="9354" xr:uid="{00000000-0005-0000-0000-000089240000}"/>
    <cellStyle name="20% - Accent5 76" xfId="9355" xr:uid="{00000000-0005-0000-0000-00008A240000}"/>
    <cellStyle name="20% - Accent5 76 10" xfId="9356" xr:uid="{00000000-0005-0000-0000-00008B240000}"/>
    <cellStyle name="20% - Accent5 76 10 2" xfId="9357" xr:uid="{00000000-0005-0000-0000-00008C240000}"/>
    <cellStyle name="20% - Accent5 76 10 2 2" xfId="9358" xr:uid="{00000000-0005-0000-0000-00008D240000}"/>
    <cellStyle name="20% - Accent5 76 10 3" xfId="9359" xr:uid="{00000000-0005-0000-0000-00008E240000}"/>
    <cellStyle name="20% - Accent5 76 11" xfId="9360" xr:uid="{00000000-0005-0000-0000-00008F240000}"/>
    <cellStyle name="20% - Accent5 76 11 2" xfId="9361" xr:uid="{00000000-0005-0000-0000-000090240000}"/>
    <cellStyle name="20% - Accent5 76 11 2 2" xfId="9362" xr:uid="{00000000-0005-0000-0000-000091240000}"/>
    <cellStyle name="20% - Accent5 76 11 3" xfId="9363" xr:uid="{00000000-0005-0000-0000-000092240000}"/>
    <cellStyle name="20% - Accent5 76 12" xfId="9364" xr:uid="{00000000-0005-0000-0000-000093240000}"/>
    <cellStyle name="20% - Accent5 76 12 2" xfId="9365" xr:uid="{00000000-0005-0000-0000-000094240000}"/>
    <cellStyle name="20% - Accent5 76 12 2 2" xfId="9366" xr:uid="{00000000-0005-0000-0000-000095240000}"/>
    <cellStyle name="20% - Accent5 76 12 3" xfId="9367" xr:uid="{00000000-0005-0000-0000-000096240000}"/>
    <cellStyle name="20% - Accent5 76 13" xfId="9368" xr:uid="{00000000-0005-0000-0000-000097240000}"/>
    <cellStyle name="20% - Accent5 76 13 2" xfId="9369" xr:uid="{00000000-0005-0000-0000-000098240000}"/>
    <cellStyle name="20% - Accent5 76 13 2 2" xfId="9370" xr:uid="{00000000-0005-0000-0000-000099240000}"/>
    <cellStyle name="20% - Accent5 76 13 3" xfId="9371" xr:uid="{00000000-0005-0000-0000-00009A240000}"/>
    <cellStyle name="20% - Accent5 76 14" xfId="9372" xr:uid="{00000000-0005-0000-0000-00009B240000}"/>
    <cellStyle name="20% - Accent5 76 14 2" xfId="9373" xr:uid="{00000000-0005-0000-0000-00009C240000}"/>
    <cellStyle name="20% - Accent5 76 14 2 2" xfId="9374" xr:uid="{00000000-0005-0000-0000-00009D240000}"/>
    <cellStyle name="20% - Accent5 76 14 3" xfId="9375" xr:uid="{00000000-0005-0000-0000-00009E240000}"/>
    <cellStyle name="20% - Accent5 76 15" xfId="9376" xr:uid="{00000000-0005-0000-0000-00009F240000}"/>
    <cellStyle name="20% - Accent5 76 15 2" xfId="9377" xr:uid="{00000000-0005-0000-0000-0000A0240000}"/>
    <cellStyle name="20% - Accent5 76 15 2 2" xfId="9378" xr:uid="{00000000-0005-0000-0000-0000A1240000}"/>
    <cellStyle name="20% - Accent5 76 15 3" xfId="9379" xr:uid="{00000000-0005-0000-0000-0000A2240000}"/>
    <cellStyle name="20% - Accent5 76 16" xfId="9380" xr:uid="{00000000-0005-0000-0000-0000A3240000}"/>
    <cellStyle name="20% - Accent5 76 16 2" xfId="9381" xr:uid="{00000000-0005-0000-0000-0000A4240000}"/>
    <cellStyle name="20% - Accent5 76 16 2 2" xfId="9382" xr:uid="{00000000-0005-0000-0000-0000A5240000}"/>
    <cellStyle name="20% - Accent5 76 16 3" xfId="9383" xr:uid="{00000000-0005-0000-0000-0000A6240000}"/>
    <cellStyle name="20% - Accent5 76 17" xfId="9384" xr:uid="{00000000-0005-0000-0000-0000A7240000}"/>
    <cellStyle name="20% - Accent5 76 17 2" xfId="9385" xr:uid="{00000000-0005-0000-0000-0000A8240000}"/>
    <cellStyle name="20% - Accent5 76 17 2 2" xfId="9386" xr:uid="{00000000-0005-0000-0000-0000A9240000}"/>
    <cellStyle name="20% - Accent5 76 17 3" xfId="9387" xr:uid="{00000000-0005-0000-0000-0000AA240000}"/>
    <cellStyle name="20% - Accent5 76 18" xfId="9388" xr:uid="{00000000-0005-0000-0000-0000AB240000}"/>
    <cellStyle name="20% - Accent5 76 18 2" xfId="9389" xr:uid="{00000000-0005-0000-0000-0000AC240000}"/>
    <cellStyle name="20% - Accent5 76 18 2 2" xfId="9390" xr:uid="{00000000-0005-0000-0000-0000AD240000}"/>
    <cellStyle name="20% - Accent5 76 18 3" xfId="9391" xr:uid="{00000000-0005-0000-0000-0000AE240000}"/>
    <cellStyle name="20% - Accent5 76 19" xfId="9392" xr:uid="{00000000-0005-0000-0000-0000AF240000}"/>
    <cellStyle name="20% - Accent5 76 19 2" xfId="9393" xr:uid="{00000000-0005-0000-0000-0000B0240000}"/>
    <cellStyle name="20% - Accent5 76 19 2 2" xfId="9394" xr:uid="{00000000-0005-0000-0000-0000B1240000}"/>
    <cellStyle name="20% - Accent5 76 19 3" xfId="9395" xr:uid="{00000000-0005-0000-0000-0000B2240000}"/>
    <cellStyle name="20% - Accent5 76 2" xfId="9396" xr:uid="{00000000-0005-0000-0000-0000B3240000}"/>
    <cellStyle name="20% - Accent5 76 2 2" xfId="9397" xr:uid="{00000000-0005-0000-0000-0000B4240000}"/>
    <cellStyle name="20% - Accent5 76 2 2 2" xfId="9398" xr:uid="{00000000-0005-0000-0000-0000B5240000}"/>
    <cellStyle name="20% - Accent5 76 2 3" xfId="9399" xr:uid="{00000000-0005-0000-0000-0000B6240000}"/>
    <cellStyle name="20% - Accent5 76 20" xfId="9400" xr:uid="{00000000-0005-0000-0000-0000B7240000}"/>
    <cellStyle name="20% - Accent5 76 20 2" xfId="9401" xr:uid="{00000000-0005-0000-0000-0000B8240000}"/>
    <cellStyle name="20% - Accent5 76 20 2 2" xfId="9402" xr:uid="{00000000-0005-0000-0000-0000B9240000}"/>
    <cellStyle name="20% - Accent5 76 20 3" xfId="9403" xr:uid="{00000000-0005-0000-0000-0000BA240000}"/>
    <cellStyle name="20% - Accent5 76 21" xfId="9404" xr:uid="{00000000-0005-0000-0000-0000BB240000}"/>
    <cellStyle name="20% - Accent5 76 21 2" xfId="9405" xr:uid="{00000000-0005-0000-0000-0000BC240000}"/>
    <cellStyle name="20% - Accent5 76 21 2 2" xfId="9406" xr:uid="{00000000-0005-0000-0000-0000BD240000}"/>
    <cellStyle name="20% - Accent5 76 21 3" xfId="9407" xr:uid="{00000000-0005-0000-0000-0000BE240000}"/>
    <cellStyle name="20% - Accent5 76 22" xfId="9408" xr:uid="{00000000-0005-0000-0000-0000BF240000}"/>
    <cellStyle name="20% - Accent5 76 22 2" xfId="9409" xr:uid="{00000000-0005-0000-0000-0000C0240000}"/>
    <cellStyle name="20% - Accent5 76 22 2 2" xfId="9410" xr:uid="{00000000-0005-0000-0000-0000C1240000}"/>
    <cellStyle name="20% - Accent5 76 22 3" xfId="9411" xr:uid="{00000000-0005-0000-0000-0000C2240000}"/>
    <cellStyle name="20% - Accent5 76 23" xfId="9412" xr:uid="{00000000-0005-0000-0000-0000C3240000}"/>
    <cellStyle name="20% - Accent5 76 23 2" xfId="9413" xr:uid="{00000000-0005-0000-0000-0000C4240000}"/>
    <cellStyle name="20% - Accent5 76 23 2 2" xfId="9414" xr:uid="{00000000-0005-0000-0000-0000C5240000}"/>
    <cellStyle name="20% - Accent5 76 23 3" xfId="9415" xr:uid="{00000000-0005-0000-0000-0000C6240000}"/>
    <cellStyle name="20% - Accent5 76 24" xfId="9416" xr:uid="{00000000-0005-0000-0000-0000C7240000}"/>
    <cellStyle name="20% - Accent5 76 24 2" xfId="9417" xr:uid="{00000000-0005-0000-0000-0000C8240000}"/>
    <cellStyle name="20% - Accent5 76 24 2 2" xfId="9418" xr:uid="{00000000-0005-0000-0000-0000C9240000}"/>
    <cellStyle name="20% - Accent5 76 24 3" xfId="9419" xr:uid="{00000000-0005-0000-0000-0000CA240000}"/>
    <cellStyle name="20% - Accent5 76 25" xfId="9420" xr:uid="{00000000-0005-0000-0000-0000CB240000}"/>
    <cellStyle name="20% - Accent5 76 25 2" xfId="9421" xr:uid="{00000000-0005-0000-0000-0000CC240000}"/>
    <cellStyle name="20% - Accent5 76 25 2 2" xfId="9422" xr:uid="{00000000-0005-0000-0000-0000CD240000}"/>
    <cellStyle name="20% - Accent5 76 25 3" xfId="9423" xr:uid="{00000000-0005-0000-0000-0000CE240000}"/>
    <cellStyle name="20% - Accent5 76 26" xfId="9424" xr:uid="{00000000-0005-0000-0000-0000CF240000}"/>
    <cellStyle name="20% - Accent5 76 26 2" xfId="9425" xr:uid="{00000000-0005-0000-0000-0000D0240000}"/>
    <cellStyle name="20% - Accent5 76 26 2 2" xfId="9426" xr:uid="{00000000-0005-0000-0000-0000D1240000}"/>
    <cellStyle name="20% - Accent5 76 26 3" xfId="9427" xr:uid="{00000000-0005-0000-0000-0000D2240000}"/>
    <cellStyle name="20% - Accent5 76 27" xfId="9428" xr:uid="{00000000-0005-0000-0000-0000D3240000}"/>
    <cellStyle name="20% - Accent5 76 27 2" xfId="9429" xr:uid="{00000000-0005-0000-0000-0000D4240000}"/>
    <cellStyle name="20% - Accent5 76 27 2 2" xfId="9430" xr:uid="{00000000-0005-0000-0000-0000D5240000}"/>
    <cellStyle name="20% - Accent5 76 27 3" xfId="9431" xr:uid="{00000000-0005-0000-0000-0000D6240000}"/>
    <cellStyle name="20% - Accent5 76 28" xfId="9432" xr:uid="{00000000-0005-0000-0000-0000D7240000}"/>
    <cellStyle name="20% - Accent5 76 28 2" xfId="9433" xr:uid="{00000000-0005-0000-0000-0000D8240000}"/>
    <cellStyle name="20% - Accent5 76 28 2 2" xfId="9434" xr:uid="{00000000-0005-0000-0000-0000D9240000}"/>
    <cellStyle name="20% - Accent5 76 28 3" xfId="9435" xr:uid="{00000000-0005-0000-0000-0000DA240000}"/>
    <cellStyle name="20% - Accent5 76 29" xfId="9436" xr:uid="{00000000-0005-0000-0000-0000DB240000}"/>
    <cellStyle name="20% - Accent5 76 29 2" xfId="9437" xr:uid="{00000000-0005-0000-0000-0000DC240000}"/>
    <cellStyle name="20% - Accent5 76 29 2 2" xfId="9438" xr:uid="{00000000-0005-0000-0000-0000DD240000}"/>
    <cellStyle name="20% - Accent5 76 29 3" xfId="9439" xr:uid="{00000000-0005-0000-0000-0000DE240000}"/>
    <cellStyle name="20% - Accent5 76 3" xfId="9440" xr:uid="{00000000-0005-0000-0000-0000DF240000}"/>
    <cellStyle name="20% - Accent5 76 3 2" xfId="9441" xr:uid="{00000000-0005-0000-0000-0000E0240000}"/>
    <cellStyle name="20% - Accent5 76 3 2 2" xfId="9442" xr:uid="{00000000-0005-0000-0000-0000E1240000}"/>
    <cellStyle name="20% - Accent5 76 3 3" xfId="9443" xr:uid="{00000000-0005-0000-0000-0000E2240000}"/>
    <cellStyle name="20% - Accent5 76 30" xfId="9444" xr:uid="{00000000-0005-0000-0000-0000E3240000}"/>
    <cellStyle name="20% - Accent5 76 30 2" xfId="9445" xr:uid="{00000000-0005-0000-0000-0000E4240000}"/>
    <cellStyle name="20% - Accent5 76 30 2 2" xfId="9446" xr:uid="{00000000-0005-0000-0000-0000E5240000}"/>
    <cellStyle name="20% - Accent5 76 30 3" xfId="9447" xr:uid="{00000000-0005-0000-0000-0000E6240000}"/>
    <cellStyle name="20% - Accent5 76 31" xfId="9448" xr:uid="{00000000-0005-0000-0000-0000E7240000}"/>
    <cellStyle name="20% - Accent5 76 31 2" xfId="9449" xr:uid="{00000000-0005-0000-0000-0000E8240000}"/>
    <cellStyle name="20% - Accent5 76 31 2 2" xfId="9450" xr:uid="{00000000-0005-0000-0000-0000E9240000}"/>
    <cellStyle name="20% - Accent5 76 31 3" xfId="9451" xr:uid="{00000000-0005-0000-0000-0000EA240000}"/>
    <cellStyle name="20% - Accent5 76 32" xfId="9452" xr:uid="{00000000-0005-0000-0000-0000EB240000}"/>
    <cellStyle name="20% - Accent5 76 32 2" xfId="9453" xr:uid="{00000000-0005-0000-0000-0000EC240000}"/>
    <cellStyle name="20% - Accent5 76 32 2 2" xfId="9454" xr:uid="{00000000-0005-0000-0000-0000ED240000}"/>
    <cellStyle name="20% - Accent5 76 32 3" xfId="9455" xr:uid="{00000000-0005-0000-0000-0000EE240000}"/>
    <cellStyle name="20% - Accent5 76 33" xfId="9456" xr:uid="{00000000-0005-0000-0000-0000EF240000}"/>
    <cellStyle name="20% - Accent5 76 33 2" xfId="9457" xr:uid="{00000000-0005-0000-0000-0000F0240000}"/>
    <cellStyle name="20% - Accent5 76 33 2 2" xfId="9458" xr:uid="{00000000-0005-0000-0000-0000F1240000}"/>
    <cellStyle name="20% - Accent5 76 33 3" xfId="9459" xr:uid="{00000000-0005-0000-0000-0000F2240000}"/>
    <cellStyle name="20% - Accent5 76 34" xfId="9460" xr:uid="{00000000-0005-0000-0000-0000F3240000}"/>
    <cellStyle name="20% - Accent5 76 34 2" xfId="9461" xr:uid="{00000000-0005-0000-0000-0000F4240000}"/>
    <cellStyle name="20% - Accent5 76 34 2 2" xfId="9462" xr:uid="{00000000-0005-0000-0000-0000F5240000}"/>
    <cellStyle name="20% - Accent5 76 34 3" xfId="9463" xr:uid="{00000000-0005-0000-0000-0000F6240000}"/>
    <cellStyle name="20% - Accent5 76 35" xfId="9464" xr:uid="{00000000-0005-0000-0000-0000F7240000}"/>
    <cellStyle name="20% - Accent5 76 35 2" xfId="9465" xr:uid="{00000000-0005-0000-0000-0000F8240000}"/>
    <cellStyle name="20% - Accent5 76 35 2 2" xfId="9466" xr:uid="{00000000-0005-0000-0000-0000F9240000}"/>
    <cellStyle name="20% - Accent5 76 35 3" xfId="9467" xr:uid="{00000000-0005-0000-0000-0000FA240000}"/>
    <cellStyle name="20% - Accent5 76 36" xfId="9468" xr:uid="{00000000-0005-0000-0000-0000FB240000}"/>
    <cellStyle name="20% - Accent5 76 36 2" xfId="9469" xr:uid="{00000000-0005-0000-0000-0000FC240000}"/>
    <cellStyle name="20% - Accent5 76 36 2 2" xfId="9470" xr:uid="{00000000-0005-0000-0000-0000FD240000}"/>
    <cellStyle name="20% - Accent5 76 36 3" xfId="9471" xr:uid="{00000000-0005-0000-0000-0000FE240000}"/>
    <cellStyle name="20% - Accent5 76 4" xfId="9472" xr:uid="{00000000-0005-0000-0000-0000FF240000}"/>
    <cellStyle name="20% - Accent5 76 4 2" xfId="9473" xr:uid="{00000000-0005-0000-0000-000000250000}"/>
    <cellStyle name="20% - Accent5 76 4 2 2" xfId="9474" xr:uid="{00000000-0005-0000-0000-000001250000}"/>
    <cellStyle name="20% - Accent5 76 4 3" xfId="9475" xr:uid="{00000000-0005-0000-0000-000002250000}"/>
    <cellStyle name="20% - Accent5 76 5" xfId="9476" xr:uid="{00000000-0005-0000-0000-000003250000}"/>
    <cellStyle name="20% - Accent5 76 5 2" xfId="9477" xr:uid="{00000000-0005-0000-0000-000004250000}"/>
    <cellStyle name="20% - Accent5 76 5 2 2" xfId="9478" xr:uid="{00000000-0005-0000-0000-000005250000}"/>
    <cellStyle name="20% - Accent5 76 5 3" xfId="9479" xr:uid="{00000000-0005-0000-0000-000006250000}"/>
    <cellStyle name="20% - Accent5 76 6" xfId="9480" xr:uid="{00000000-0005-0000-0000-000007250000}"/>
    <cellStyle name="20% - Accent5 76 6 2" xfId="9481" xr:uid="{00000000-0005-0000-0000-000008250000}"/>
    <cellStyle name="20% - Accent5 76 6 2 2" xfId="9482" xr:uid="{00000000-0005-0000-0000-000009250000}"/>
    <cellStyle name="20% - Accent5 76 6 3" xfId="9483" xr:uid="{00000000-0005-0000-0000-00000A250000}"/>
    <cellStyle name="20% - Accent5 76 7" xfId="9484" xr:uid="{00000000-0005-0000-0000-00000B250000}"/>
    <cellStyle name="20% - Accent5 76 7 2" xfId="9485" xr:uid="{00000000-0005-0000-0000-00000C250000}"/>
    <cellStyle name="20% - Accent5 76 7 2 2" xfId="9486" xr:uid="{00000000-0005-0000-0000-00000D250000}"/>
    <cellStyle name="20% - Accent5 76 7 3" xfId="9487" xr:uid="{00000000-0005-0000-0000-00000E250000}"/>
    <cellStyle name="20% - Accent5 76 8" xfId="9488" xr:uid="{00000000-0005-0000-0000-00000F250000}"/>
    <cellStyle name="20% - Accent5 76 8 2" xfId="9489" xr:uid="{00000000-0005-0000-0000-000010250000}"/>
    <cellStyle name="20% - Accent5 76 8 2 2" xfId="9490" xr:uid="{00000000-0005-0000-0000-000011250000}"/>
    <cellStyle name="20% - Accent5 76 8 3" xfId="9491" xr:uid="{00000000-0005-0000-0000-000012250000}"/>
    <cellStyle name="20% - Accent5 76 9" xfId="9492" xr:uid="{00000000-0005-0000-0000-000013250000}"/>
    <cellStyle name="20% - Accent5 76 9 2" xfId="9493" xr:uid="{00000000-0005-0000-0000-000014250000}"/>
    <cellStyle name="20% - Accent5 76 9 2 2" xfId="9494" xr:uid="{00000000-0005-0000-0000-000015250000}"/>
    <cellStyle name="20% - Accent5 76 9 3" xfId="9495" xr:uid="{00000000-0005-0000-0000-000016250000}"/>
    <cellStyle name="20% - Accent5 77" xfId="9496" xr:uid="{00000000-0005-0000-0000-000017250000}"/>
    <cellStyle name="20% - Accent5 77 10" xfId="9497" xr:uid="{00000000-0005-0000-0000-000018250000}"/>
    <cellStyle name="20% - Accent5 77 10 2" xfId="9498" xr:uid="{00000000-0005-0000-0000-000019250000}"/>
    <cellStyle name="20% - Accent5 77 10 2 2" xfId="9499" xr:uid="{00000000-0005-0000-0000-00001A250000}"/>
    <cellStyle name="20% - Accent5 77 10 3" xfId="9500" xr:uid="{00000000-0005-0000-0000-00001B250000}"/>
    <cellStyle name="20% - Accent5 77 11" xfId="9501" xr:uid="{00000000-0005-0000-0000-00001C250000}"/>
    <cellStyle name="20% - Accent5 77 11 2" xfId="9502" xr:uid="{00000000-0005-0000-0000-00001D250000}"/>
    <cellStyle name="20% - Accent5 77 11 2 2" xfId="9503" xr:uid="{00000000-0005-0000-0000-00001E250000}"/>
    <cellStyle name="20% - Accent5 77 11 3" xfId="9504" xr:uid="{00000000-0005-0000-0000-00001F250000}"/>
    <cellStyle name="20% - Accent5 77 12" xfId="9505" xr:uid="{00000000-0005-0000-0000-000020250000}"/>
    <cellStyle name="20% - Accent5 77 12 2" xfId="9506" xr:uid="{00000000-0005-0000-0000-000021250000}"/>
    <cellStyle name="20% - Accent5 77 12 2 2" xfId="9507" xr:uid="{00000000-0005-0000-0000-000022250000}"/>
    <cellStyle name="20% - Accent5 77 12 3" xfId="9508" xr:uid="{00000000-0005-0000-0000-000023250000}"/>
    <cellStyle name="20% - Accent5 77 13" xfId="9509" xr:uid="{00000000-0005-0000-0000-000024250000}"/>
    <cellStyle name="20% - Accent5 77 13 2" xfId="9510" xr:uid="{00000000-0005-0000-0000-000025250000}"/>
    <cellStyle name="20% - Accent5 77 13 2 2" xfId="9511" xr:uid="{00000000-0005-0000-0000-000026250000}"/>
    <cellStyle name="20% - Accent5 77 13 3" xfId="9512" xr:uid="{00000000-0005-0000-0000-000027250000}"/>
    <cellStyle name="20% - Accent5 77 14" xfId="9513" xr:uid="{00000000-0005-0000-0000-000028250000}"/>
    <cellStyle name="20% - Accent5 77 14 2" xfId="9514" xr:uid="{00000000-0005-0000-0000-000029250000}"/>
    <cellStyle name="20% - Accent5 77 14 2 2" xfId="9515" xr:uid="{00000000-0005-0000-0000-00002A250000}"/>
    <cellStyle name="20% - Accent5 77 14 3" xfId="9516" xr:uid="{00000000-0005-0000-0000-00002B250000}"/>
    <cellStyle name="20% - Accent5 77 15" xfId="9517" xr:uid="{00000000-0005-0000-0000-00002C250000}"/>
    <cellStyle name="20% - Accent5 77 15 2" xfId="9518" xr:uid="{00000000-0005-0000-0000-00002D250000}"/>
    <cellStyle name="20% - Accent5 77 15 2 2" xfId="9519" xr:uid="{00000000-0005-0000-0000-00002E250000}"/>
    <cellStyle name="20% - Accent5 77 15 3" xfId="9520" xr:uid="{00000000-0005-0000-0000-00002F250000}"/>
    <cellStyle name="20% - Accent5 77 16" xfId="9521" xr:uid="{00000000-0005-0000-0000-000030250000}"/>
    <cellStyle name="20% - Accent5 77 16 2" xfId="9522" xr:uid="{00000000-0005-0000-0000-000031250000}"/>
    <cellStyle name="20% - Accent5 77 16 2 2" xfId="9523" xr:uid="{00000000-0005-0000-0000-000032250000}"/>
    <cellStyle name="20% - Accent5 77 16 3" xfId="9524" xr:uid="{00000000-0005-0000-0000-000033250000}"/>
    <cellStyle name="20% - Accent5 77 17" xfId="9525" xr:uid="{00000000-0005-0000-0000-000034250000}"/>
    <cellStyle name="20% - Accent5 77 17 2" xfId="9526" xr:uid="{00000000-0005-0000-0000-000035250000}"/>
    <cellStyle name="20% - Accent5 77 17 2 2" xfId="9527" xr:uid="{00000000-0005-0000-0000-000036250000}"/>
    <cellStyle name="20% - Accent5 77 17 3" xfId="9528" xr:uid="{00000000-0005-0000-0000-000037250000}"/>
    <cellStyle name="20% - Accent5 77 18" xfId="9529" xr:uid="{00000000-0005-0000-0000-000038250000}"/>
    <cellStyle name="20% - Accent5 77 18 2" xfId="9530" xr:uid="{00000000-0005-0000-0000-000039250000}"/>
    <cellStyle name="20% - Accent5 77 18 2 2" xfId="9531" xr:uid="{00000000-0005-0000-0000-00003A250000}"/>
    <cellStyle name="20% - Accent5 77 18 3" xfId="9532" xr:uid="{00000000-0005-0000-0000-00003B250000}"/>
    <cellStyle name="20% - Accent5 77 19" xfId="9533" xr:uid="{00000000-0005-0000-0000-00003C250000}"/>
    <cellStyle name="20% - Accent5 77 19 2" xfId="9534" xr:uid="{00000000-0005-0000-0000-00003D250000}"/>
    <cellStyle name="20% - Accent5 77 19 2 2" xfId="9535" xr:uid="{00000000-0005-0000-0000-00003E250000}"/>
    <cellStyle name="20% - Accent5 77 19 3" xfId="9536" xr:uid="{00000000-0005-0000-0000-00003F250000}"/>
    <cellStyle name="20% - Accent5 77 2" xfId="9537" xr:uid="{00000000-0005-0000-0000-000040250000}"/>
    <cellStyle name="20% - Accent5 77 2 2" xfId="9538" xr:uid="{00000000-0005-0000-0000-000041250000}"/>
    <cellStyle name="20% - Accent5 77 2 2 2" xfId="9539" xr:uid="{00000000-0005-0000-0000-000042250000}"/>
    <cellStyle name="20% - Accent5 77 2 3" xfId="9540" xr:uid="{00000000-0005-0000-0000-000043250000}"/>
    <cellStyle name="20% - Accent5 77 20" xfId="9541" xr:uid="{00000000-0005-0000-0000-000044250000}"/>
    <cellStyle name="20% - Accent5 77 20 2" xfId="9542" xr:uid="{00000000-0005-0000-0000-000045250000}"/>
    <cellStyle name="20% - Accent5 77 20 2 2" xfId="9543" xr:uid="{00000000-0005-0000-0000-000046250000}"/>
    <cellStyle name="20% - Accent5 77 20 3" xfId="9544" xr:uid="{00000000-0005-0000-0000-000047250000}"/>
    <cellStyle name="20% - Accent5 77 21" xfId="9545" xr:uid="{00000000-0005-0000-0000-000048250000}"/>
    <cellStyle name="20% - Accent5 77 21 2" xfId="9546" xr:uid="{00000000-0005-0000-0000-000049250000}"/>
    <cellStyle name="20% - Accent5 77 21 2 2" xfId="9547" xr:uid="{00000000-0005-0000-0000-00004A250000}"/>
    <cellStyle name="20% - Accent5 77 21 3" xfId="9548" xr:uid="{00000000-0005-0000-0000-00004B250000}"/>
    <cellStyle name="20% - Accent5 77 22" xfId="9549" xr:uid="{00000000-0005-0000-0000-00004C250000}"/>
    <cellStyle name="20% - Accent5 77 22 2" xfId="9550" xr:uid="{00000000-0005-0000-0000-00004D250000}"/>
    <cellStyle name="20% - Accent5 77 22 2 2" xfId="9551" xr:uid="{00000000-0005-0000-0000-00004E250000}"/>
    <cellStyle name="20% - Accent5 77 22 3" xfId="9552" xr:uid="{00000000-0005-0000-0000-00004F250000}"/>
    <cellStyle name="20% - Accent5 77 23" xfId="9553" xr:uid="{00000000-0005-0000-0000-000050250000}"/>
    <cellStyle name="20% - Accent5 77 23 2" xfId="9554" xr:uid="{00000000-0005-0000-0000-000051250000}"/>
    <cellStyle name="20% - Accent5 77 23 2 2" xfId="9555" xr:uid="{00000000-0005-0000-0000-000052250000}"/>
    <cellStyle name="20% - Accent5 77 23 3" xfId="9556" xr:uid="{00000000-0005-0000-0000-000053250000}"/>
    <cellStyle name="20% - Accent5 77 24" xfId="9557" xr:uid="{00000000-0005-0000-0000-000054250000}"/>
    <cellStyle name="20% - Accent5 77 24 2" xfId="9558" xr:uid="{00000000-0005-0000-0000-000055250000}"/>
    <cellStyle name="20% - Accent5 77 24 2 2" xfId="9559" xr:uid="{00000000-0005-0000-0000-000056250000}"/>
    <cellStyle name="20% - Accent5 77 24 3" xfId="9560" xr:uid="{00000000-0005-0000-0000-000057250000}"/>
    <cellStyle name="20% - Accent5 77 25" xfId="9561" xr:uid="{00000000-0005-0000-0000-000058250000}"/>
    <cellStyle name="20% - Accent5 77 25 2" xfId="9562" xr:uid="{00000000-0005-0000-0000-000059250000}"/>
    <cellStyle name="20% - Accent5 77 25 2 2" xfId="9563" xr:uid="{00000000-0005-0000-0000-00005A250000}"/>
    <cellStyle name="20% - Accent5 77 25 3" xfId="9564" xr:uid="{00000000-0005-0000-0000-00005B250000}"/>
    <cellStyle name="20% - Accent5 77 26" xfId="9565" xr:uid="{00000000-0005-0000-0000-00005C250000}"/>
    <cellStyle name="20% - Accent5 77 26 2" xfId="9566" xr:uid="{00000000-0005-0000-0000-00005D250000}"/>
    <cellStyle name="20% - Accent5 77 26 2 2" xfId="9567" xr:uid="{00000000-0005-0000-0000-00005E250000}"/>
    <cellStyle name="20% - Accent5 77 26 3" xfId="9568" xr:uid="{00000000-0005-0000-0000-00005F250000}"/>
    <cellStyle name="20% - Accent5 77 27" xfId="9569" xr:uid="{00000000-0005-0000-0000-000060250000}"/>
    <cellStyle name="20% - Accent5 77 27 2" xfId="9570" xr:uid="{00000000-0005-0000-0000-000061250000}"/>
    <cellStyle name="20% - Accent5 77 27 2 2" xfId="9571" xr:uid="{00000000-0005-0000-0000-000062250000}"/>
    <cellStyle name="20% - Accent5 77 27 3" xfId="9572" xr:uid="{00000000-0005-0000-0000-000063250000}"/>
    <cellStyle name="20% - Accent5 77 28" xfId="9573" xr:uid="{00000000-0005-0000-0000-000064250000}"/>
    <cellStyle name="20% - Accent5 77 28 2" xfId="9574" xr:uid="{00000000-0005-0000-0000-000065250000}"/>
    <cellStyle name="20% - Accent5 77 28 2 2" xfId="9575" xr:uid="{00000000-0005-0000-0000-000066250000}"/>
    <cellStyle name="20% - Accent5 77 28 3" xfId="9576" xr:uid="{00000000-0005-0000-0000-000067250000}"/>
    <cellStyle name="20% - Accent5 77 29" xfId="9577" xr:uid="{00000000-0005-0000-0000-000068250000}"/>
    <cellStyle name="20% - Accent5 77 29 2" xfId="9578" xr:uid="{00000000-0005-0000-0000-000069250000}"/>
    <cellStyle name="20% - Accent5 77 29 2 2" xfId="9579" xr:uid="{00000000-0005-0000-0000-00006A250000}"/>
    <cellStyle name="20% - Accent5 77 29 3" xfId="9580" xr:uid="{00000000-0005-0000-0000-00006B250000}"/>
    <cellStyle name="20% - Accent5 77 3" xfId="9581" xr:uid="{00000000-0005-0000-0000-00006C250000}"/>
    <cellStyle name="20% - Accent5 77 3 2" xfId="9582" xr:uid="{00000000-0005-0000-0000-00006D250000}"/>
    <cellStyle name="20% - Accent5 77 3 2 2" xfId="9583" xr:uid="{00000000-0005-0000-0000-00006E250000}"/>
    <cellStyle name="20% - Accent5 77 3 3" xfId="9584" xr:uid="{00000000-0005-0000-0000-00006F250000}"/>
    <cellStyle name="20% - Accent5 77 30" xfId="9585" xr:uid="{00000000-0005-0000-0000-000070250000}"/>
    <cellStyle name="20% - Accent5 77 30 2" xfId="9586" xr:uid="{00000000-0005-0000-0000-000071250000}"/>
    <cellStyle name="20% - Accent5 77 30 2 2" xfId="9587" xr:uid="{00000000-0005-0000-0000-000072250000}"/>
    <cellStyle name="20% - Accent5 77 30 3" xfId="9588" xr:uid="{00000000-0005-0000-0000-000073250000}"/>
    <cellStyle name="20% - Accent5 77 31" xfId="9589" xr:uid="{00000000-0005-0000-0000-000074250000}"/>
    <cellStyle name="20% - Accent5 77 31 2" xfId="9590" xr:uid="{00000000-0005-0000-0000-000075250000}"/>
    <cellStyle name="20% - Accent5 77 31 2 2" xfId="9591" xr:uid="{00000000-0005-0000-0000-000076250000}"/>
    <cellStyle name="20% - Accent5 77 31 3" xfId="9592" xr:uid="{00000000-0005-0000-0000-000077250000}"/>
    <cellStyle name="20% - Accent5 77 32" xfId="9593" xr:uid="{00000000-0005-0000-0000-000078250000}"/>
    <cellStyle name="20% - Accent5 77 32 2" xfId="9594" xr:uid="{00000000-0005-0000-0000-000079250000}"/>
    <cellStyle name="20% - Accent5 77 32 2 2" xfId="9595" xr:uid="{00000000-0005-0000-0000-00007A250000}"/>
    <cellStyle name="20% - Accent5 77 32 3" xfId="9596" xr:uid="{00000000-0005-0000-0000-00007B250000}"/>
    <cellStyle name="20% - Accent5 77 33" xfId="9597" xr:uid="{00000000-0005-0000-0000-00007C250000}"/>
    <cellStyle name="20% - Accent5 77 33 2" xfId="9598" xr:uid="{00000000-0005-0000-0000-00007D250000}"/>
    <cellStyle name="20% - Accent5 77 33 2 2" xfId="9599" xr:uid="{00000000-0005-0000-0000-00007E250000}"/>
    <cellStyle name="20% - Accent5 77 33 3" xfId="9600" xr:uid="{00000000-0005-0000-0000-00007F250000}"/>
    <cellStyle name="20% - Accent5 77 34" xfId="9601" xr:uid="{00000000-0005-0000-0000-000080250000}"/>
    <cellStyle name="20% - Accent5 77 34 2" xfId="9602" xr:uid="{00000000-0005-0000-0000-000081250000}"/>
    <cellStyle name="20% - Accent5 77 34 2 2" xfId="9603" xr:uid="{00000000-0005-0000-0000-000082250000}"/>
    <cellStyle name="20% - Accent5 77 34 3" xfId="9604" xr:uid="{00000000-0005-0000-0000-000083250000}"/>
    <cellStyle name="20% - Accent5 77 35" xfId="9605" xr:uid="{00000000-0005-0000-0000-000084250000}"/>
    <cellStyle name="20% - Accent5 77 35 2" xfId="9606" xr:uid="{00000000-0005-0000-0000-000085250000}"/>
    <cellStyle name="20% - Accent5 77 35 2 2" xfId="9607" xr:uid="{00000000-0005-0000-0000-000086250000}"/>
    <cellStyle name="20% - Accent5 77 35 3" xfId="9608" xr:uid="{00000000-0005-0000-0000-000087250000}"/>
    <cellStyle name="20% - Accent5 77 36" xfId="9609" xr:uid="{00000000-0005-0000-0000-000088250000}"/>
    <cellStyle name="20% - Accent5 77 36 2" xfId="9610" xr:uid="{00000000-0005-0000-0000-000089250000}"/>
    <cellStyle name="20% - Accent5 77 36 2 2" xfId="9611" xr:uid="{00000000-0005-0000-0000-00008A250000}"/>
    <cellStyle name="20% - Accent5 77 36 3" xfId="9612" xr:uid="{00000000-0005-0000-0000-00008B250000}"/>
    <cellStyle name="20% - Accent5 77 4" xfId="9613" xr:uid="{00000000-0005-0000-0000-00008C250000}"/>
    <cellStyle name="20% - Accent5 77 4 2" xfId="9614" xr:uid="{00000000-0005-0000-0000-00008D250000}"/>
    <cellStyle name="20% - Accent5 77 4 2 2" xfId="9615" xr:uid="{00000000-0005-0000-0000-00008E250000}"/>
    <cellStyle name="20% - Accent5 77 4 3" xfId="9616" xr:uid="{00000000-0005-0000-0000-00008F250000}"/>
    <cellStyle name="20% - Accent5 77 5" xfId="9617" xr:uid="{00000000-0005-0000-0000-000090250000}"/>
    <cellStyle name="20% - Accent5 77 5 2" xfId="9618" xr:uid="{00000000-0005-0000-0000-000091250000}"/>
    <cellStyle name="20% - Accent5 77 5 2 2" xfId="9619" xr:uid="{00000000-0005-0000-0000-000092250000}"/>
    <cellStyle name="20% - Accent5 77 5 3" xfId="9620" xr:uid="{00000000-0005-0000-0000-000093250000}"/>
    <cellStyle name="20% - Accent5 77 6" xfId="9621" xr:uid="{00000000-0005-0000-0000-000094250000}"/>
    <cellStyle name="20% - Accent5 77 6 2" xfId="9622" xr:uid="{00000000-0005-0000-0000-000095250000}"/>
    <cellStyle name="20% - Accent5 77 6 2 2" xfId="9623" xr:uid="{00000000-0005-0000-0000-000096250000}"/>
    <cellStyle name="20% - Accent5 77 6 3" xfId="9624" xr:uid="{00000000-0005-0000-0000-000097250000}"/>
    <cellStyle name="20% - Accent5 77 7" xfId="9625" xr:uid="{00000000-0005-0000-0000-000098250000}"/>
    <cellStyle name="20% - Accent5 77 7 2" xfId="9626" xr:uid="{00000000-0005-0000-0000-000099250000}"/>
    <cellStyle name="20% - Accent5 77 7 2 2" xfId="9627" xr:uid="{00000000-0005-0000-0000-00009A250000}"/>
    <cellStyle name="20% - Accent5 77 7 3" xfId="9628" xr:uid="{00000000-0005-0000-0000-00009B250000}"/>
    <cellStyle name="20% - Accent5 77 8" xfId="9629" xr:uid="{00000000-0005-0000-0000-00009C250000}"/>
    <cellStyle name="20% - Accent5 77 8 2" xfId="9630" xr:uid="{00000000-0005-0000-0000-00009D250000}"/>
    <cellStyle name="20% - Accent5 77 8 2 2" xfId="9631" xr:uid="{00000000-0005-0000-0000-00009E250000}"/>
    <cellStyle name="20% - Accent5 77 8 3" xfId="9632" xr:uid="{00000000-0005-0000-0000-00009F250000}"/>
    <cellStyle name="20% - Accent5 77 9" xfId="9633" xr:uid="{00000000-0005-0000-0000-0000A0250000}"/>
    <cellStyle name="20% - Accent5 77 9 2" xfId="9634" xr:uid="{00000000-0005-0000-0000-0000A1250000}"/>
    <cellStyle name="20% - Accent5 77 9 2 2" xfId="9635" xr:uid="{00000000-0005-0000-0000-0000A2250000}"/>
    <cellStyle name="20% - Accent5 77 9 3" xfId="9636" xr:uid="{00000000-0005-0000-0000-0000A3250000}"/>
    <cellStyle name="20% - Accent5 78" xfId="9637" xr:uid="{00000000-0005-0000-0000-0000A4250000}"/>
    <cellStyle name="20% - Accent5 78 2" xfId="9638" xr:uid="{00000000-0005-0000-0000-0000A5250000}"/>
    <cellStyle name="20% - Accent5 79" xfId="9639" xr:uid="{00000000-0005-0000-0000-0000A6250000}"/>
    <cellStyle name="20% - Accent5 79 10" xfId="9640" xr:uid="{00000000-0005-0000-0000-0000A7250000}"/>
    <cellStyle name="20% - Accent5 79 10 2" xfId="9641" xr:uid="{00000000-0005-0000-0000-0000A8250000}"/>
    <cellStyle name="20% - Accent5 79 10 2 2" xfId="9642" xr:uid="{00000000-0005-0000-0000-0000A9250000}"/>
    <cellStyle name="20% - Accent5 79 10 3" xfId="9643" xr:uid="{00000000-0005-0000-0000-0000AA250000}"/>
    <cellStyle name="20% - Accent5 79 11" xfId="9644" xr:uid="{00000000-0005-0000-0000-0000AB250000}"/>
    <cellStyle name="20% - Accent5 79 11 2" xfId="9645" xr:uid="{00000000-0005-0000-0000-0000AC250000}"/>
    <cellStyle name="20% - Accent5 79 11 2 2" xfId="9646" xr:uid="{00000000-0005-0000-0000-0000AD250000}"/>
    <cellStyle name="20% - Accent5 79 11 3" xfId="9647" xr:uid="{00000000-0005-0000-0000-0000AE250000}"/>
    <cellStyle name="20% - Accent5 79 12" xfId="9648" xr:uid="{00000000-0005-0000-0000-0000AF250000}"/>
    <cellStyle name="20% - Accent5 79 12 2" xfId="9649" xr:uid="{00000000-0005-0000-0000-0000B0250000}"/>
    <cellStyle name="20% - Accent5 79 12 2 2" xfId="9650" xr:uid="{00000000-0005-0000-0000-0000B1250000}"/>
    <cellStyle name="20% - Accent5 79 12 3" xfId="9651" xr:uid="{00000000-0005-0000-0000-0000B2250000}"/>
    <cellStyle name="20% - Accent5 79 13" xfId="9652" xr:uid="{00000000-0005-0000-0000-0000B3250000}"/>
    <cellStyle name="20% - Accent5 79 13 2" xfId="9653" xr:uid="{00000000-0005-0000-0000-0000B4250000}"/>
    <cellStyle name="20% - Accent5 79 13 2 2" xfId="9654" xr:uid="{00000000-0005-0000-0000-0000B5250000}"/>
    <cellStyle name="20% - Accent5 79 13 3" xfId="9655" xr:uid="{00000000-0005-0000-0000-0000B6250000}"/>
    <cellStyle name="20% - Accent5 79 14" xfId="9656" xr:uid="{00000000-0005-0000-0000-0000B7250000}"/>
    <cellStyle name="20% - Accent5 79 14 2" xfId="9657" xr:uid="{00000000-0005-0000-0000-0000B8250000}"/>
    <cellStyle name="20% - Accent5 79 14 2 2" xfId="9658" xr:uid="{00000000-0005-0000-0000-0000B9250000}"/>
    <cellStyle name="20% - Accent5 79 14 3" xfId="9659" xr:uid="{00000000-0005-0000-0000-0000BA250000}"/>
    <cellStyle name="20% - Accent5 79 15" xfId="9660" xr:uid="{00000000-0005-0000-0000-0000BB250000}"/>
    <cellStyle name="20% - Accent5 79 15 2" xfId="9661" xr:uid="{00000000-0005-0000-0000-0000BC250000}"/>
    <cellStyle name="20% - Accent5 79 15 2 2" xfId="9662" xr:uid="{00000000-0005-0000-0000-0000BD250000}"/>
    <cellStyle name="20% - Accent5 79 15 3" xfId="9663" xr:uid="{00000000-0005-0000-0000-0000BE250000}"/>
    <cellStyle name="20% - Accent5 79 16" xfId="9664" xr:uid="{00000000-0005-0000-0000-0000BF250000}"/>
    <cellStyle name="20% - Accent5 79 16 2" xfId="9665" xr:uid="{00000000-0005-0000-0000-0000C0250000}"/>
    <cellStyle name="20% - Accent5 79 16 2 2" xfId="9666" xr:uid="{00000000-0005-0000-0000-0000C1250000}"/>
    <cellStyle name="20% - Accent5 79 16 3" xfId="9667" xr:uid="{00000000-0005-0000-0000-0000C2250000}"/>
    <cellStyle name="20% - Accent5 79 17" xfId="9668" xr:uid="{00000000-0005-0000-0000-0000C3250000}"/>
    <cellStyle name="20% - Accent5 79 17 2" xfId="9669" xr:uid="{00000000-0005-0000-0000-0000C4250000}"/>
    <cellStyle name="20% - Accent5 79 17 2 2" xfId="9670" xr:uid="{00000000-0005-0000-0000-0000C5250000}"/>
    <cellStyle name="20% - Accent5 79 17 3" xfId="9671" xr:uid="{00000000-0005-0000-0000-0000C6250000}"/>
    <cellStyle name="20% - Accent5 79 18" xfId="9672" xr:uid="{00000000-0005-0000-0000-0000C7250000}"/>
    <cellStyle name="20% - Accent5 79 18 2" xfId="9673" xr:uid="{00000000-0005-0000-0000-0000C8250000}"/>
    <cellStyle name="20% - Accent5 79 18 2 2" xfId="9674" xr:uid="{00000000-0005-0000-0000-0000C9250000}"/>
    <cellStyle name="20% - Accent5 79 18 3" xfId="9675" xr:uid="{00000000-0005-0000-0000-0000CA250000}"/>
    <cellStyle name="20% - Accent5 79 19" xfId="9676" xr:uid="{00000000-0005-0000-0000-0000CB250000}"/>
    <cellStyle name="20% - Accent5 79 19 2" xfId="9677" xr:uid="{00000000-0005-0000-0000-0000CC250000}"/>
    <cellStyle name="20% - Accent5 79 19 2 2" xfId="9678" xr:uid="{00000000-0005-0000-0000-0000CD250000}"/>
    <cellStyle name="20% - Accent5 79 19 3" xfId="9679" xr:uid="{00000000-0005-0000-0000-0000CE250000}"/>
    <cellStyle name="20% - Accent5 79 2" xfId="9680" xr:uid="{00000000-0005-0000-0000-0000CF250000}"/>
    <cellStyle name="20% - Accent5 79 2 2" xfId="9681" xr:uid="{00000000-0005-0000-0000-0000D0250000}"/>
    <cellStyle name="20% - Accent5 79 2 2 2" xfId="9682" xr:uid="{00000000-0005-0000-0000-0000D1250000}"/>
    <cellStyle name="20% - Accent5 79 2 3" xfId="9683" xr:uid="{00000000-0005-0000-0000-0000D2250000}"/>
    <cellStyle name="20% - Accent5 79 20" xfId="9684" xr:uid="{00000000-0005-0000-0000-0000D3250000}"/>
    <cellStyle name="20% - Accent5 79 20 2" xfId="9685" xr:uid="{00000000-0005-0000-0000-0000D4250000}"/>
    <cellStyle name="20% - Accent5 79 20 2 2" xfId="9686" xr:uid="{00000000-0005-0000-0000-0000D5250000}"/>
    <cellStyle name="20% - Accent5 79 20 3" xfId="9687" xr:uid="{00000000-0005-0000-0000-0000D6250000}"/>
    <cellStyle name="20% - Accent5 79 21" xfId="9688" xr:uid="{00000000-0005-0000-0000-0000D7250000}"/>
    <cellStyle name="20% - Accent5 79 21 2" xfId="9689" xr:uid="{00000000-0005-0000-0000-0000D8250000}"/>
    <cellStyle name="20% - Accent5 79 21 2 2" xfId="9690" xr:uid="{00000000-0005-0000-0000-0000D9250000}"/>
    <cellStyle name="20% - Accent5 79 21 3" xfId="9691" xr:uid="{00000000-0005-0000-0000-0000DA250000}"/>
    <cellStyle name="20% - Accent5 79 22" xfId="9692" xr:uid="{00000000-0005-0000-0000-0000DB250000}"/>
    <cellStyle name="20% - Accent5 79 22 2" xfId="9693" xr:uid="{00000000-0005-0000-0000-0000DC250000}"/>
    <cellStyle name="20% - Accent5 79 22 2 2" xfId="9694" xr:uid="{00000000-0005-0000-0000-0000DD250000}"/>
    <cellStyle name="20% - Accent5 79 22 3" xfId="9695" xr:uid="{00000000-0005-0000-0000-0000DE250000}"/>
    <cellStyle name="20% - Accent5 79 23" xfId="9696" xr:uid="{00000000-0005-0000-0000-0000DF250000}"/>
    <cellStyle name="20% - Accent5 79 23 2" xfId="9697" xr:uid="{00000000-0005-0000-0000-0000E0250000}"/>
    <cellStyle name="20% - Accent5 79 23 2 2" xfId="9698" xr:uid="{00000000-0005-0000-0000-0000E1250000}"/>
    <cellStyle name="20% - Accent5 79 23 3" xfId="9699" xr:uid="{00000000-0005-0000-0000-0000E2250000}"/>
    <cellStyle name="20% - Accent5 79 24" xfId="9700" xr:uid="{00000000-0005-0000-0000-0000E3250000}"/>
    <cellStyle name="20% - Accent5 79 24 2" xfId="9701" xr:uid="{00000000-0005-0000-0000-0000E4250000}"/>
    <cellStyle name="20% - Accent5 79 24 2 2" xfId="9702" xr:uid="{00000000-0005-0000-0000-0000E5250000}"/>
    <cellStyle name="20% - Accent5 79 24 3" xfId="9703" xr:uid="{00000000-0005-0000-0000-0000E6250000}"/>
    <cellStyle name="20% - Accent5 79 25" xfId="9704" xr:uid="{00000000-0005-0000-0000-0000E7250000}"/>
    <cellStyle name="20% - Accent5 79 25 2" xfId="9705" xr:uid="{00000000-0005-0000-0000-0000E8250000}"/>
    <cellStyle name="20% - Accent5 79 25 2 2" xfId="9706" xr:uid="{00000000-0005-0000-0000-0000E9250000}"/>
    <cellStyle name="20% - Accent5 79 25 3" xfId="9707" xr:uid="{00000000-0005-0000-0000-0000EA250000}"/>
    <cellStyle name="20% - Accent5 79 26" xfId="9708" xr:uid="{00000000-0005-0000-0000-0000EB250000}"/>
    <cellStyle name="20% - Accent5 79 26 2" xfId="9709" xr:uid="{00000000-0005-0000-0000-0000EC250000}"/>
    <cellStyle name="20% - Accent5 79 26 2 2" xfId="9710" xr:uid="{00000000-0005-0000-0000-0000ED250000}"/>
    <cellStyle name="20% - Accent5 79 26 3" xfId="9711" xr:uid="{00000000-0005-0000-0000-0000EE250000}"/>
    <cellStyle name="20% - Accent5 79 27" xfId="9712" xr:uid="{00000000-0005-0000-0000-0000EF250000}"/>
    <cellStyle name="20% - Accent5 79 27 2" xfId="9713" xr:uid="{00000000-0005-0000-0000-0000F0250000}"/>
    <cellStyle name="20% - Accent5 79 27 2 2" xfId="9714" xr:uid="{00000000-0005-0000-0000-0000F1250000}"/>
    <cellStyle name="20% - Accent5 79 27 3" xfId="9715" xr:uid="{00000000-0005-0000-0000-0000F2250000}"/>
    <cellStyle name="20% - Accent5 79 28" xfId="9716" xr:uid="{00000000-0005-0000-0000-0000F3250000}"/>
    <cellStyle name="20% - Accent5 79 28 2" xfId="9717" xr:uid="{00000000-0005-0000-0000-0000F4250000}"/>
    <cellStyle name="20% - Accent5 79 28 2 2" xfId="9718" xr:uid="{00000000-0005-0000-0000-0000F5250000}"/>
    <cellStyle name="20% - Accent5 79 28 3" xfId="9719" xr:uid="{00000000-0005-0000-0000-0000F6250000}"/>
    <cellStyle name="20% - Accent5 79 29" xfId="9720" xr:uid="{00000000-0005-0000-0000-0000F7250000}"/>
    <cellStyle name="20% - Accent5 79 29 2" xfId="9721" xr:uid="{00000000-0005-0000-0000-0000F8250000}"/>
    <cellStyle name="20% - Accent5 79 29 2 2" xfId="9722" xr:uid="{00000000-0005-0000-0000-0000F9250000}"/>
    <cellStyle name="20% - Accent5 79 29 3" xfId="9723" xr:uid="{00000000-0005-0000-0000-0000FA250000}"/>
    <cellStyle name="20% - Accent5 79 3" xfId="9724" xr:uid="{00000000-0005-0000-0000-0000FB250000}"/>
    <cellStyle name="20% - Accent5 79 3 2" xfId="9725" xr:uid="{00000000-0005-0000-0000-0000FC250000}"/>
    <cellStyle name="20% - Accent5 79 3 2 2" xfId="9726" xr:uid="{00000000-0005-0000-0000-0000FD250000}"/>
    <cellStyle name="20% - Accent5 79 3 3" xfId="9727" xr:uid="{00000000-0005-0000-0000-0000FE250000}"/>
    <cellStyle name="20% - Accent5 79 30" xfId="9728" xr:uid="{00000000-0005-0000-0000-0000FF250000}"/>
    <cellStyle name="20% - Accent5 79 30 2" xfId="9729" xr:uid="{00000000-0005-0000-0000-000000260000}"/>
    <cellStyle name="20% - Accent5 79 30 2 2" xfId="9730" xr:uid="{00000000-0005-0000-0000-000001260000}"/>
    <cellStyle name="20% - Accent5 79 30 3" xfId="9731" xr:uid="{00000000-0005-0000-0000-000002260000}"/>
    <cellStyle name="20% - Accent5 79 31" xfId="9732" xr:uid="{00000000-0005-0000-0000-000003260000}"/>
    <cellStyle name="20% - Accent5 79 31 2" xfId="9733" xr:uid="{00000000-0005-0000-0000-000004260000}"/>
    <cellStyle name="20% - Accent5 79 31 2 2" xfId="9734" xr:uid="{00000000-0005-0000-0000-000005260000}"/>
    <cellStyle name="20% - Accent5 79 31 3" xfId="9735" xr:uid="{00000000-0005-0000-0000-000006260000}"/>
    <cellStyle name="20% - Accent5 79 32" xfId="9736" xr:uid="{00000000-0005-0000-0000-000007260000}"/>
    <cellStyle name="20% - Accent5 79 32 2" xfId="9737" xr:uid="{00000000-0005-0000-0000-000008260000}"/>
    <cellStyle name="20% - Accent5 79 32 2 2" xfId="9738" xr:uid="{00000000-0005-0000-0000-000009260000}"/>
    <cellStyle name="20% - Accent5 79 32 3" xfId="9739" xr:uid="{00000000-0005-0000-0000-00000A260000}"/>
    <cellStyle name="20% - Accent5 79 33" xfId="9740" xr:uid="{00000000-0005-0000-0000-00000B260000}"/>
    <cellStyle name="20% - Accent5 79 33 2" xfId="9741" xr:uid="{00000000-0005-0000-0000-00000C260000}"/>
    <cellStyle name="20% - Accent5 79 33 2 2" xfId="9742" xr:uid="{00000000-0005-0000-0000-00000D260000}"/>
    <cellStyle name="20% - Accent5 79 33 3" xfId="9743" xr:uid="{00000000-0005-0000-0000-00000E260000}"/>
    <cellStyle name="20% - Accent5 79 34" xfId="9744" xr:uid="{00000000-0005-0000-0000-00000F260000}"/>
    <cellStyle name="20% - Accent5 79 34 2" xfId="9745" xr:uid="{00000000-0005-0000-0000-000010260000}"/>
    <cellStyle name="20% - Accent5 79 34 2 2" xfId="9746" xr:uid="{00000000-0005-0000-0000-000011260000}"/>
    <cellStyle name="20% - Accent5 79 34 3" xfId="9747" xr:uid="{00000000-0005-0000-0000-000012260000}"/>
    <cellStyle name="20% - Accent5 79 35" xfId="9748" xr:uid="{00000000-0005-0000-0000-000013260000}"/>
    <cellStyle name="20% - Accent5 79 35 2" xfId="9749" xr:uid="{00000000-0005-0000-0000-000014260000}"/>
    <cellStyle name="20% - Accent5 79 35 2 2" xfId="9750" xr:uid="{00000000-0005-0000-0000-000015260000}"/>
    <cellStyle name="20% - Accent5 79 35 3" xfId="9751" xr:uid="{00000000-0005-0000-0000-000016260000}"/>
    <cellStyle name="20% - Accent5 79 36" xfId="9752" xr:uid="{00000000-0005-0000-0000-000017260000}"/>
    <cellStyle name="20% - Accent5 79 36 2" xfId="9753" xr:uid="{00000000-0005-0000-0000-000018260000}"/>
    <cellStyle name="20% - Accent5 79 36 2 2" xfId="9754" xr:uid="{00000000-0005-0000-0000-000019260000}"/>
    <cellStyle name="20% - Accent5 79 36 3" xfId="9755" xr:uid="{00000000-0005-0000-0000-00001A260000}"/>
    <cellStyle name="20% - Accent5 79 4" xfId="9756" xr:uid="{00000000-0005-0000-0000-00001B260000}"/>
    <cellStyle name="20% - Accent5 79 4 2" xfId="9757" xr:uid="{00000000-0005-0000-0000-00001C260000}"/>
    <cellStyle name="20% - Accent5 79 4 2 2" xfId="9758" xr:uid="{00000000-0005-0000-0000-00001D260000}"/>
    <cellStyle name="20% - Accent5 79 4 3" xfId="9759" xr:uid="{00000000-0005-0000-0000-00001E260000}"/>
    <cellStyle name="20% - Accent5 79 5" xfId="9760" xr:uid="{00000000-0005-0000-0000-00001F260000}"/>
    <cellStyle name="20% - Accent5 79 5 2" xfId="9761" xr:uid="{00000000-0005-0000-0000-000020260000}"/>
    <cellStyle name="20% - Accent5 79 5 2 2" xfId="9762" xr:uid="{00000000-0005-0000-0000-000021260000}"/>
    <cellStyle name="20% - Accent5 79 5 3" xfId="9763" xr:uid="{00000000-0005-0000-0000-000022260000}"/>
    <cellStyle name="20% - Accent5 79 6" xfId="9764" xr:uid="{00000000-0005-0000-0000-000023260000}"/>
    <cellStyle name="20% - Accent5 79 6 2" xfId="9765" xr:uid="{00000000-0005-0000-0000-000024260000}"/>
    <cellStyle name="20% - Accent5 79 6 2 2" xfId="9766" xr:uid="{00000000-0005-0000-0000-000025260000}"/>
    <cellStyle name="20% - Accent5 79 6 3" xfId="9767" xr:uid="{00000000-0005-0000-0000-000026260000}"/>
    <cellStyle name="20% - Accent5 79 7" xfId="9768" xr:uid="{00000000-0005-0000-0000-000027260000}"/>
    <cellStyle name="20% - Accent5 79 7 2" xfId="9769" xr:uid="{00000000-0005-0000-0000-000028260000}"/>
    <cellStyle name="20% - Accent5 79 7 2 2" xfId="9770" xr:uid="{00000000-0005-0000-0000-000029260000}"/>
    <cellStyle name="20% - Accent5 79 7 3" xfId="9771" xr:uid="{00000000-0005-0000-0000-00002A260000}"/>
    <cellStyle name="20% - Accent5 79 8" xfId="9772" xr:uid="{00000000-0005-0000-0000-00002B260000}"/>
    <cellStyle name="20% - Accent5 79 8 2" xfId="9773" xr:uid="{00000000-0005-0000-0000-00002C260000}"/>
    <cellStyle name="20% - Accent5 79 8 2 2" xfId="9774" xr:uid="{00000000-0005-0000-0000-00002D260000}"/>
    <cellStyle name="20% - Accent5 79 8 3" xfId="9775" xr:uid="{00000000-0005-0000-0000-00002E260000}"/>
    <cellStyle name="20% - Accent5 79 9" xfId="9776" xr:uid="{00000000-0005-0000-0000-00002F260000}"/>
    <cellStyle name="20% - Accent5 79 9 2" xfId="9777" xr:uid="{00000000-0005-0000-0000-000030260000}"/>
    <cellStyle name="20% - Accent5 79 9 2 2" xfId="9778" xr:uid="{00000000-0005-0000-0000-000031260000}"/>
    <cellStyle name="20% - Accent5 79 9 3" xfId="9779" xr:uid="{00000000-0005-0000-0000-000032260000}"/>
    <cellStyle name="20% - Accent5 8" xfId="9780" xr:uid="{00000000-0005-0000-0000-000033260000}"/>
    <cellStyle name="20% - Accent5 8 2" xfId="9781" xr:uid="{00000000-0005-0000-0000-000034260000}"/>
    <cellStyle name="20% - Accent5 8 3" xfId="9782" xr:uid="{00000000-0005-0000-0000-000035260000}"/>
    <cellStyle name="20% - Accent5 80" xfId="9783" xr:uid="{00000000-0005-0000-0000-000036260000}"/>
    <cellStyle name="20% - Accent5 80 2" xfId="9784" xr:uid="{00000000-0005-0000-0000-000037260000}"/>
    <cellStyle name="20% - Accent5 81" xfId="9785" xr:uid="{00000000-0005-0000-0000-000038260000}"/>
    <cellStyle name="20% - Accent5 81 10" xfId="9786" xr:uid="{00000000-0005-0000-0000-000039260000}"/>
    <cellStyle name="20% - Accent5 81 10 2" xfId="9787" xr:uid="{00000000-0005-0000-0000-00003A260000}"/>
    <cellStyle name="20% - Accent5 81 10 2 2" xfId="9788" xr:uid="{00000000-0005-0000-0000-00003B260000}"/>
    <cellStyle name="20% - Accent5 81 10 3" xfId="9789" xr:uid="{00000000-0005-0000-0000-00003C260000}"/>
    <cellStyle name="20% - Accent5 81 11" xfId="9790" xr:uid="{00000000-0005-0000-0000-00003D260000}"/>
    <cellStyle name="20% - Accent5 81 11 2" xfId="9791" xr:uid="{00000000-0005-0000-0000-00003E260000}"/>
    <cellStyle name="20% - Accent5 81 11 2 2" xfId="9792" xr:uid="{00000000-0005-0000-0000-00003F260000}"/>
    <cellStyle name="20% - Accent5 81 11 3" xfId="9793" xr:uid="{00000000-0005-0000-0000-000040260000}"/>
    <cellStyle name="20% - Accent5 81 12" xfId="9794" xr:uid="{00000000-0005-0000-0000-000041260000}"/>
    <cellStyle name="20% - Accent5 81 12 2" xfId="9795" xr:uid="{00000000-0005-0000-0000-000042260000}"/>
    <cellStyle name="20% - Accent5 81 12 2 2" xfId="9796" xr:uid="{00000000-0005-0000-0000-000043260000}"/>
    <cellStyle name="20% - Accent5 81 12 3" xfId="9797" xr:uid="{00000000-0005-0000-0000-000044260000}"/>
    <cellStyle name="20% - Accent5 81 13" xfId="9798" xr:uid="{00000000-0005-0000-0000-000045260000}"/>
    <cellStyle name="20% - Accent5 81 13 2" xfId="9799" xr:uid="{00000000-0005-0000-0000-000046260000}"/>
    <cellStyle name="20% - Accent5 81 13 2 2" xfId="9800" xr:uid="{00000000-0005-0000-0000-000047260000}"/>
    <cellStyle name="20% - Accent5 81 13 3" xfId="9801" xr:uid="{00000000-0005-0000-0000-000048260000}"/>
    <cellStyle name="20% - Accent5 81 14" xfId="9802" xr:uid="{00000000-0005-0000-0000-000049260000}"/>
    <cellStyle name="20% - Accent5 81 14 2" xfId="9803" xr:uid="{00000000-0005-0000-0000-00004A260000}"/>
    <cellStyle name="20% - Accent5 81 14 2 2" xfId="9804" xr:uid="{00000000-0005-0000-0000-00004B260000}"/>
    <cellStyle name="20% - Accent5 81 14 3" xfId="9805" xr:uid="{00000000-0005-0000-0000-00004C260000}"/>
    <cellStyle name="20% - Accent5 81 15" xfId="9806" xr:uid="{00000000-0005-0000-0000-00004D260000}"/>
    <cellStyle name="20% - Accent5 81 15 2" xfId="9807" xr:uid="{00000000-0005-0000-0000-00004E260000}"/>
    <cellStyle name="20% - Accent5 81 15 2 2" xfId="9808" xr:uid="{00000000-0005-0000-0000-00004F260000}"/>
    <cellStyle name="20% - Accent5 81 15 3" xfId="9809" xr:uid="{00000000-0005-0000-0000-000050260000}"/>
    <cellStyle name="20% - Accent5 81 16" xfId="9810" xr:uid="{00000000-0005-0000-0000-000051260000}"/>
    <cellStyle name="20% - Accent5 81 16 2" xfId="9811" xr:uid="{00000000-0005-0000-0000-000052260000}"/>
    <cellStyle name="20% - Accent5 81 16 2 2" xfId="9812" xr:uid="{00000000-0005-0000-0000-000053260000}"/>
    <cellStyle name="20% - Accent5 81 16 3" xfId="9813" xr:uid="{00000000-0005-0000-0000-000054260000}"/>
    <cellStyle name="20% - Accent5 81 17" xfId="9814" xr:uid="{00000000-0005-0000-0000-000055260000}"/>
    <cellStyle name="20% - Accent5 81 17 2" xfId="9815" xr:uid="{00000000-0005-0000-0000-000056260000}"/>
    <cellStyle name="20% - Accent5 81 17 2 2" xfId="9816" xr:uid="{00000000-0005-0000-0000-000057260000}"/>
    <cellStyle name="20% - Accent5 81 17 3" xfId="9817" xr:uid="{00000000-0005-0000-0000-000058260000}"/>
    <cellStyle name="20% - Accent5 81 18" xfId="9818" xr:uid="{00000000-0005-0000-0000-000059260000}"/>
    <cellStyle name="20% - Accent5 81 18 2" xfId="9819" xr:uid="{00000000-0005-0000-0000-00005A260000}"/>
    <cellStyle name="20% - Accent5 81 18 2 2" xfId="9820" xr:uid="{00000000-0005-0000-0000-00005B260000}"/>
    <cellStyle name="20% - Accent5 81 18 3" xfId="9821" xr:uid="{00000000-0005-0000-0000-00005C260000}"/>
    <cellStyle name="20% - Accent5 81 19" xfId="9822" xr:uid="{00000000-0005-0000-0000-00005D260000}"/>
    <cellStyle name="20% - Accent5 81 19 2" xfId="9823" xr:uid="{00000000-0005-0000-0000-00005E260000}"/>
    <cellStyle name="20% - Accent5 81 19 2 2" xfId="9824" xr:uid="{00000000-0005-0000-0000-00005F260000}"/>
    <cellStyle name="20% - Accent5 81 19 3" xfId="9825" xr:uid="{00000000-0005-0000-0000-000060260000}"/>
    <cellStyle name="20% - Accent5 81 2" xfId="9826" xr:uid="{00000000-0005-0000-0000-000061260000}"/>
    <cellStyle name="20% - Accent5 81 2 2" xfId="9827" xr:uid="{00000000-0005-0000-0000-000062260000}"/>
    <cellStyle name="20% - Accent5 81 2 2 2" xfId="9828" xr:uid="{00000000-0005-0000-0000-000063260000}"/>
    <cellStyle name="20% - Accent5 81 2 3" xfId="9829" xr:uid="{00000000-0005-0000-0000-000064260000}"/>
    <cellStyle name="20% - Accent5 81 20" xfId="9830" xr:uid="{00000000-0005-0000-0000-000065260000}"/>
    <cellStyle name="20% - Accent5 81 20 2" xfId="9831" xr:uid="{00000000-0005-0000-0000-000066260000}"/>
    <cellStyle name="20% - Accent5 81 20 2 2" xfId="9832" xr:uid="{00000000-0005-0000-0000-000067260000}"/>
    <cellStyle name="20% - Accent5 81 20 3" xfId="9833" xr:uid="{00000000-0005-0000-0000-000068260000}"/>
    <cellStyle name="20% - Accent5 81 21" xfId="9834" xr:uid="{00000000-0005-0000-0000-000069260000}"/>
    <cellStyle name="20% - Accent5 81 21 2" xfId="9835" xr:uid="{00000000-0005-0000-0000-00006A260000}"/>
    <cellStyle name="20% - Accent5 81 21 2 2" xfId="9836" xr:uid="{00000000-0005-0000-0000-00006B260000}"/>
    <cellStyle name="20% - Accent5 81 21 3" xfId="9837" xr:uid="{00000000-0005-0000-0000-00006C260000}"/>
    <cellStyle name="20% - Accent5 81 22" xfId="9838" xr:uid="{00000000-0005-0000-0000-00006D260000}"/>
    <cellStyle name="20% - Accent5 81 22 2" xfId="9839" xr:uid="{00000000-0005-0000-0000-00006E260000}"/>
    <cellStyle name="20% - Accent5 81 22 2 2" xfId="9840" xr:uid="{00000000-0005-0000-0000-00006F260000}"/>
    <cellStyle name="20% - Accent5 81 22 3" xfId="9841" xr:uid="{00000000-0005-0000-0000-000070260000}"/>
    <cellStyle name="20% - Accent5 81 23" xfId="9842" xr:uid="{00000000-0005-0000-0000-000071260000}"/>
    <cellStyle name="20% - Accent5 81 23 2" xfId="9843" xr:uid="{00000000-0005-0000-0000-000072260000}"/>
    <cellStyle name="20% - Accent5 81 23 2 2" xfId="9844" xr:uid="{00000000-0005-0000-0000-000073260000}"/>
    <cellStyle name="20% - Accent5 81 23 3" xfId="9845" xr:uid="{00000000-0005-0000-0000-000074260000}"/>
    <cellStyle name="20% - Accent5 81 24" xfId="9846" xr:uid="{00000000-0005-0000-0000-000075260000}"/>
    <cellStyle name="20% - Accent5 81 24 2" xfId="9847" xr:uid="{00000000-0005-0000-0000-000076260000}"/>
    <cellStyle name="20% - Accent5 81 24 2 2" xfId="9848" xr:uid="{00000000-0005-0000-0000-000077260000}"/>
    <cellStyle name="20% - Accent5 81 24 3" xfId="9849" xr:uid="{00000000-0005-0000-0000-000078260000}"/>
    <cellStyle name="20% - Accent5 81 25" xfId="9850" xr:uid="{00000000-0005-0000-0000-000079260000}"/>
    <cellStyle name="20% - Accent5 81 25 2" xfId="9851" xr:uid="{00000000-0005-0000-0000-00007A260000}"/>
    <cellStyle name="20% - Accent5 81 25 2 2" xfId="9852" xr:uid="{00000000-0005-0000-0000-00007B260000}"/>
    <cellStyle name="20% - Accent5 81 25 3" xfId="9853" xr:uid="{00000000-0005-0000-0000-00007C260000}"/>
    <cellStyle name="20% - Accent5 81 26" xfId="9854" xr:uid="{00000000-0005-0000-0000-00007D260000}"/>
    <cellStyle name="20% - Accent5 81 26 2" xfId="9855" xr:uid="{00000000-0005-0000-0000-00007E260000}"/>
    <cellStyle name="20% - Accent5 81 26 2 2" xfId="9856" xr:uid="{00000000-0005-0000-0000-00007F260000}"/>
    <cellStyle name="20% - Accent5 81 26 3" xfId="9857" xr:uid="{00000000-0005-0000-0000-000080260000}"/>
    <cellStyle name="20% - Accent5 81 27" xfId="9858" xr:uid="{00000000-0005-0000-0000-000081260000}"/>
    <cellStyle name="20% - Accent5 81 27 2" xfId="9859" xr:uid="{00000000-0005-0000-0000-000082260000}"/>
    <cellStyle name="20% - Accent5 81 27 2 2" xfId="9860" xr:uid="{00000000-0005-0000-0000-000083260000}"/>
    <cellStyle name="20% - Accent5 81 27 3" xfId="9861" xr:uid="{00000000-0005-0000-0000-000084260000}"/>
    <cellStyle name="20% - Accent5 81 28" xfId="9862" xr:uid="{00000000-0005-0000-0000-000085260000}"/>
    <cellStyle name="20% - Accent5 81 28 2" xfId="9863" xr:uid="{00000000-0005-0000-0000-000086260000}"/>
    <cellStyle name="20% - Accent5 81 28 2 2" xfId="9864" xr:uid="{00000000-0005-0000-0000-000087260000}"/>
    <cellStyle name="20% - Accent5 81 28 3" xfId="9865" xr:uid="{00000000-0005-0000-0000-000088260000}"/>
    <cellStyle name="20% - Accent5 81 29" xfId="9866" xr:uid="{00000000-0005-0000-0000-000089260000}"/>
    <cellStyle name="20% - Accent5 81 29 2" xfId="9867" xr:uid="{00000000-0005-0000-0000-00008A260000}"/>
    <cellStyle name="20% - Accent5 81 29 2 2" xfId="9868" xr:uid="{00000000-0005-0000-0000-00008B260000}"/>
    <cellStyle name="20% - Accent5 81 29 3" xfId="9869" xr:uid="{00000000-0005-0000-0000-00008C260000}"/>
    <cellStyle name="20% - Accent5 81 3" xfId="9870" xr:uid="{00000000-0005-0000-0000-00008D260000}"/>
    <cellStyle name="20% - Accent5 81 3 2" xfId="9871" xr:uid="{00000000-0005-0000-0000-00008E260000}"/>
    <cellStyle name="20% - Accent5 81 3 2 2" xfId="9872" xr:uid="{00000000-0005-0000-0000-00008F260000}"/>
    <cellStyle name="20% - Accent5 81 3 3" xfId="9873" xr:uid="{00000000-0005-0000-0000-000090260000}"/>
    <cellStyle name="20% - Accent5 81 30" xfId="9874" xr:uid="{00000000-0005-0000-0000-000091260000}"/>
    <cellStyle name="20% - Accent5 81 30 2" xfId="9875" xr:uid="{00000000-0005-0000-0000-000092260000}"/>
    <cellStyle name="20% - Accent5 81 30 2 2" xfId="9876" xr:uid="{00000000-0005-0000-0000-000093260000}"/>
    <cellStyle name="20% - Accent5 81 30 3" xfId="9877" xr:uid="{00000000-0005-0000-0000-000094260000}"/>
    <cellStyle name="20% - Accent5 81 31" xfId="9878" xr:uid="{00000000-0005-0000-0000-000095260000}"/>
    <cellStyle name="20% - Accent5 81 31 2" xfId="9879" xr:uid="{00000000-0005-0000-0000-000096260000}"/>
    <cellStyle name="20% - Accent5 81 31 2 2" xfId="9880" xr:uid="{00000000-0005-0000-0000-000097260000}"/>
    <cellStyle name="20% - Accent5 81 31 3" xfId="9881" xr:uid="{00000000-0005-0000-0000-000098260000}"/>
    <cellStyle name="20% - Accent5 81 32" xfId="9882" xr:uid="{00000000-0005-0000-0000-000099260000}"/>
    <cellStyle name="20% - Accent5 81 32 2" xfId="9883" xr:uid="{00000000-0005-0000-0000-00009A260000}"/>
    <cellStyle name="20% - Accent5 81 32 2 2" xfId="9884" xr:uid="{00000000-0005-0000-0000-00009B260000}"/>
    <cellStyle name="20% - Accent5 81 32 3" xfId="9885" xr:uid="{00000000-0005-0000-0000-00009C260000}"/>
    <cellStyle name="20% - Accent5 81 33" xfId="9886" xr:uid="{00000000-0005-0000-0000-00009D260000}"/>
    <cellStyle name="20% - Accent5 81 33 2" xfId="9887" xr:uid="{00000000-0005-0000-0000-00009E260000}"/>
    <cellStyle name="20% - Accent5 81 33 2 2" xfId="9888" xr:uid="{00000000-0005-0000-0000-00009F260000}"/>
    <cellStyle name="20% - Accent5 81 33 3" xfId="9889" xr:uid="{00000000-0005-0000-0000-0000A0260000}"/>
    <cellStyle name="20% - Accent5 81 34" xfId="9890" xr:uid="{00000000-0005-0000-0000-0000A1260000}"/>
    <cellStyle name="20% - Accent5 81 34 2" xfId="9891" xr:uid="{00000000-0005-0000-0000-0000A2260000}"/>
    <cellStyle name="20% - Accent5 81 34 2 2" xfId="9892" xr:uid="{00000000-0005-0000-0000-0000A3260000}"/>
    <cellStyle name="20% - Accent5 81 34 3" xfId="9893" xr:uid="{00000000-0005-0000-0000-0000A4260000}"/>
    <cellStyle name="20% - Accent5 81 35" xfId="9894" xr:uid="{00000000-0005-0000-0000-0000A5260000}"/>
    <cellStyle name="20% - Accent5 81 35 2" xfId="9895" xr:uid="{00000000-0005-0000-0000-0000A6260000}"/>
    <cellStyle name="20% - Accent5 81 35 2 2" xfId="9896" xr:uid="{00000000-0005-0000-0000-0000A7260000}"/>
    <cellStyle name="20% - Accent5 81 35 3" xfId="9897" xr:uid="{00000000-0005-0000-0000-0000A8260000}"/>
    <cellStyle name="20% - Accent5 81 36" xfId="9898" xr:uid="{00000000-0005-0000-0000-0000A9260000}"/>
    <cellStyle name="20% - Accent5 81 36 2" xfId="9899" xr:uid="{00000000-0005-0000-0000-0000AA260000}"/>
    <cellStyle name="20% - Accent5 81 36 2 2" xfId="9900" xr:uid="{00000000-0005-0000-0000-0000AB260000}"/>
    <cellStyle name="20% - Accent5 81 36 3" xfId="9901" xr:uid="{00000000-0005-0000-0000-0000AC260000}"/>
    <cellStyle name="20% - Accent5 81 4" xfId="9902" xr:uid="{00000000-0005-0000-0000-0000AD260000}"/>
    <cellStyle name="20% - Accent5 81 4 2" xfId="9903" xr:uid="{00000000-0005-0000-0000-0000AE260000}"/>
    <cellStyle name="20% - Accent5 81 4 2 2" xfId="9904" xr:uid="{00000000-0005-0000-0000-0000AF260000}"/>
    <cellStyle name="20% - Accent5 81 4 3" xfId="9905" xr:uid="{00000000-0005-0000-0000-0000B0260000}"/>
    <cellStyle name="20% - Accent5 81 5" xfId="9906" xr:uid="{00000000-0005-0000-0000-0000B1260000}"/>
    <cellStyle name="20% - Accent5 81 5 2" xfId="9907" xr:uid="{00000000-0005-0000-0000-0000B2260000}"/>
    <cellStyle name="20% - Accent5 81 5 2 2" xfId="9908" xr:uid="{00000000-0005-0000-0000-0000B3260000}"/>
    <cellStyle name="20% - Accent5 81 5 3" xfId="9909" xr:uid="{00000000-0005-0000-0000-0000B4260000}"/>
    <cellStyle name="20% - Accent5 81 6" xfId="9910" xr:uid="{00000000-0005-0000-0000-0000B5260000}"/>
    <cellStyle name="20% - Accent5 81 6 2" xfId="9911" xr:uid="{00000000-0005-0000-0000-0000B6260000}"/>
    <cellStyle name="20% - Accent5 81 6 2 2" xfId="9912" xr:uid="{00000000-0005-0000-0000-0000B7260000}"/>
    <cellStyle name="20% - Accent5 81 6 3" xfId="9913" xr:uid="{00000000-0005-0000-0000-0000B8260000}"/>
    <cellStyle name="20% - Accent5 81 7" xfId="9914" xr:uid="{00000000-0005-0000-0000-0000B9260000}"/>
    <cellStyle name="20% - Accent5 81 7 2" xfId="9915" xr:uid="{00000000-0005-0000-0000-0000BA260000}"/>
    <cellStyle name="20% - Accent5 81 7 2 2" xfId="9916" xr:uid="{00000000-0005-0000-0000-0000BB260000}"/>
    <cellStyle name="20% - Accent5 81 7 3" xfId="9917" xr:uid="{00000000-0005-0000-0000-0000BC260000}"/>
    <cellStyle name="20% - Accent5 81 8" xfId="9918" xr:uid="{00000000-0005-0000-0000-0000BD260000}"/>
    <cellStyle name="20% - Accent5 81 8 2" xfId="9919" xr:uid="{00000000-0005-0000-0000-0000BE260000}"/>
    <cellStyle name="20% - Accent5 81 8 2 2" xfId="9920" xr:uid="{00000000-0005-0000-0000-0000BF260000}"/>
    <cellStyle name="20% - Accent5 81 8 3" xfId="9921" xr:uid="{00000000-0005-0000-0000-0000C0260000}"/>
    <cellStyle name="20% - Accent5 81 9" xfId="9922" xr:uid="{00000000-0005-0000-0000-0000C1260000}"/>
    <cellStyle name="20% - Accent5 81 9 2" xfId="9923" xr:uid="{00000000-0005-0000-0000-0000C2260000}"/>
    <cellStyle name="20% - Accent5 81 9 2 2" xfId="9924" xr:uid="{00000000-0005-0000-0000-0000C3260000}"/>
    <cellStyle name="20% - Accent5 81 9 3" xfId="9925" xr:uid="{00000000-0005-0000-0000-0000C4260000}"/>
    <cellStyle name="20% - Accent5 82" xfId="9926" xr:uid="{00000000-0005-0000-0000-0000C5260000}"/>
    <cellStyle name="20% - Accent5 82 2" xfId="9927" xr:uid="{00000000-0005-0000-0000-0000C6260000}"/>
    <cellStyle name="20% - Accent5 83" xfId="9928" xr:uid="{00000000-0005-0000-0000-0000C7260000}"/>
    <cellStyle name="20% - Accent5 83 10" xfId="9929" xr:uid="{00000000-0005-0000-0000-0000C8260000}"/>
    <cellStyle name="20% - Accent5 83 10 2" xfId="9930" xr:uid="{00000000-0005-0000-0000-0000C9260000}"/>
    <cellStyle name="20% - Accent5 83 10 2 2" xfId="9931" xr:uid="{00000000-0005-0000-0000-0000CA260000}"/>
    <cellStyle name="20% - Accent5 83 10 3" xfId="9932" xr:uid="{00000000-0005-0000-0000-0000CB260000}"/>
    <cellStyle name="20% - Accent5 83 11" xfId="9933" xr:uid="{00000000-0005-0000-0000-0000CC260000}"/>
    <cellStyle name="20% - Accent5 83 11 2" xfId="9934" xr:uid="{00000000-0005-0000-0000-0000CD260000}"/>
    <cellStyle name="20% - Accent5 83 11 2 2" xfId="9935" xr:uid="{00000000-0005-0000-0000-0000CE260000}"/>
    <cellStyle name="20% - Accent5 83 11 3" xfId="9936" xr:uid="{00000000-0005-0000-0000-0000CF260000}"/>
    <cellStyle name="20% - Accent5 83 12" xfId="9937" xr:uid="{00000000-0005-0000-0000-0000D0260000}"/>
    <cellStyle name="20% - Accent5 83 12 2" xfId="9938" xr:uid="{00000000-0005-0000-0000-0000D1260000}"/>
    <cellStyle name="20% - Accent5 83 12 2 2" xfId="9939" xr:uid="{00000000-0005-0000-0000-0000D2260000}"/>
    <cellStyle name="20% - Accent5 83 12 3" xfId="9940" xr:uid="{00000000-0005-0000-0000-0000D3260000}"/>
    <cellStyle name="20% - Accent5 83 13" xfId="9941" xr:uid="{00000000-0005-0000-0000-0000D4260000}"/>
    <cellStyle name="20% - Accent5 83 13 2" xfId="9942" xr:uid="{00000000-0005-0000-0000-0000D5260000}"/>
    <cellStyle name="20% - Accent5 83 13 2 2" xfId="9943" xr:uid="{00000000-0005-0000-0000-0000D6260000}"/>
    <cellStyle name="20% - Accent5 83 13 3" xfId="9944" xr:uid="{00000000-0005-0000-0000-0000D7260000}"/>
    <cellStyle name="20% - Accent5 83 14" xfId="9945" xr:uid="{00000000-0005-0000-0000-0000D8260000}"/>
    <cellStyle name="20% - Accent5 83 14 2" xfId="9946" xr:uid="{00000000-0005-0000-0000-0000D9260000}"/>
    <cellStyle name="20% - Accent5 83 14 2 2" xfId="9947" xr:uid="{00000000-0005-0000-0000-0000DA260000}"/>
    <cellStyle name="20% - Accent5 83 14 3" xfId="9948" xr:uid="{00000000-0005-0000-0000-0000DB260000}"/>
    <cellStyle name="20% - Accent5 83 15" xfId="9949" xr:uid="{00000000-0005-0000-0000-0000DC260000}"/>
    <cellStyle name="20% - Accent5 83 15 2" xfId="9950" xr:uid="{00000000-0005-0000-0000-0000DD260000}"/>
    <cellStyle name="20% - Accent5 83 15 2 2" xfId="9951" xr:uid="{00000000-0005-0000-0000-0000DE260000}"/>
    <cellStyle name="20% - Accent5 83 15 3" xfId="9952" xr:uid="{00000000-0005-0000-0000-0000DF260000}"/>
    <cellStyle name="20% - Accent5 83 16" xfId="9953" xr:uid="{00000000-0005-0000-0000-0000E0260000}"/>
    <cellStyle name="20% - Accent5 83 16 2" xfId="9954" xr:uid="{00000000-0005-0000-0000-0000E1260000}"/>
    <cellStyle name="20% - Accent5 83 16 2 2" xfId="9955" xr:uid="{00000000-0005-0000-0000-0000E2260000}"/>
    <cellStyle name="20% - Accent5 83 16 3" xfId="9956" xr:uid="{00000000-0005-0000-0000-0000E3260000}"/>
    <cellStyle name="20% - Accent5 83 17" xfId="9957" xr:uid="{00000000-0005-0000-0000-0000E4260000}"/>
    <cellStyle name="20% - Accent5 83 17 2" xfId="9958" xr:uid="{00000000-0005-0000-0000-0000E5260000}"/>
    <cellStyle name="20% - Accent5 83 17 2 2" xfId="9959" xr:uid="{00000000-0005-0000-0000-0000E6260000}"/>
    <cellStyle name="20% - Accent5 83 17 3" xfId="9960" xr:uid="{00000000-0005-0000-0000-0000E7260000}"/>
    <cellStyle name="20% - Accent5 83 18" xfId="9961" xr:uid="{00000000-0005-0000-0000-0000E8260000}"/>
    <cellStyle name="20% - Accent5 83 18 2" xfId="9962" xr:uid="{00000000-0005-0000-0000-0000E9260000}"/>
    <cellStyle name="20% - Accent5 83 18 2 2" xfId="9963" xr:uid="{00000000-0005-0000-0000-0000EA260000}"/>
    <cellStyle name="20% - Accent5 83 18 3" xfId="9964" xr:uid="{00000000-0005-0000-0000-0000EB260000}"/>
    <cellStyle name="20% - Accent5 83 19" xfId="9965" xr:uid="{00000000-0005-0000-0000-0000EC260000}"/>
    <cellStyle name="20% - Accent5 83 19 2" xfId="9966" xr:uid="{00000000-0005-0000-0000-0000ED260000}"/>
    <cellStyle name="20% - Accent5 83 19 2 2" xfId="9967" xr:uid="{00000000-0005-0000-0000-0000EE260000}"/>
    <cellStyle name="20% - Accent5 83 19 3" xfId="9968" xr:uid="{00000000-0005-0000-0000-0000EF260000}"/>
    <cellStyle name="20% - Accent5 83 2" xfId="9969" xr:uid="{00000000-0005-0000-0000-0000F0260000}"/>
    <cellStyle name="20% - Accent5 83 2 2" xfId="9970" xr:uid="{00000000-0005-0000-0000-0000F1260000}"/>
    <cellStyle name="20% - Accent5 83 2 2 2" xfId="9971" xr:uid="{00000000-0005-0000-0000-0000F2260000}"/>
    <cellStyle name="20% - Accent5 83 2 3" xfId="9972" xr:uid="{00000000-0005-0000-0000-0000F3260000}"/>
    <cellStyle name="20% - Accent5 83 20" xfId="9973" xr:uid="{00000000-0005-0000-0000-0000F4260000}"/>
    <cellStyle name="20% - Accent5 83 20 2" xfId="9974" xr:uid="{00000000-0005-0000-0000-0000F5260000}"/>
    <cellStyle name="20% - Accent5 83 20 2 2" xfId="9975" xr:uid="{00000000-0005-0000-0000-0000F6260000}"/>
    <cellStyle name="20% - Accent5 83 20 3" xfId="9976" xr:uid="{00000000-0005-0000-0000-0000F7260000}"/>
    <cellStyle name="20% - Accent5 83 21" xfId="9977" xr:uid="{00000000-0005-0000-0000-0000F8260000}"/>
    <cellStyle name="20% - Accent5 83 21 2" xfId="9978" xr:uid="{00000000-0005-0000-0000-0000F9260000}"/>
    <cellStyle name="20% - Accent5 83 21 2 2" xfId="9979" xr:uid="{00000000-0005-0000-0000-0000FA260000}"/>
    <cellStyle name="20% - Accent5 83 21 3" xfId="9980" xr:uid="{00000000-0005-0000-0000-0000FB260000}"/>
    <cellStyle name="20% - Accent5 83 22" xfId="9981" xr:uid="{00000000-0005-0000-0000-0000FC260000}"/>
    <cellStyle name="20% - Accent5 83 22 2" xfId="9982" xr:uid="{00000000-0005-0000-0000-0000FD260000}"/>
    <cellStyle name="20% - Accent5 83 22 2 2" xfId="9983" xr:uid="{00000000-0005-0000-0000-0000FE260000}"/>
    <cellStyle name="20% - Accent5 83 22 3" xfId="9984" xr:uid="{00000000-0005-0000-0000-0000FF260000}"/>
    <cellStyle name="20% - Accent5 83 23" xfId="9985" xr:uid="{00000000-0005-0000-0000-000000270000}"/>
    <cellStyle name="20% - Accent5 83 23 2" xfId="9986" xr:uid="{00000000-0005-0000-0000-000001270000}"/>
    <cellStyle name="20% - Accent5 83 23 2 2" xfId="9987" xr:uid="{00000000-0005-0000-0000-000002270000}"/>
    <cellStyle name="20% - Accent5 83 23 3" xfId="9988" xr:uid="{00000000-0005-0000-0000-000003270000}"/>
    <cellStyle name="20% - Accent5 83 24" xfId="9989" xr:uid="{00000000-0005-0000-0000-000004270000}"/>
    <cellStyle name="20% - Accent5 83 24 2" xfId="9990" xr:uid="{00000000-0005-0000-0000-000005270000}"/>
    <cellStyle name="20% - Accent5 83 24 2 2" xfId="9991" xr:uid="{00000000-0005-0000-0000-000006270000}"/>
    <cellStyle name="20% - Accent5 83 24 3" xfId="9992" xr:uid="{00000000-0005-0000-0000-000007270000}"/>
    <cellStyle name="20% - Accent5 83 25" xfId="9993" xr:uid="{00000000-0005-0000-0000-000008270000}"/>
    <cellStyle name="20% - Accent5 83 25 2" xfId="9994" xr:uid="{00000000-0005-0000-0000-000009270000}"/>
    <cellStyle name="20% - Accent5 83 25 2 2" xfId="9995" xr:uid="{00000000-0005-0000-0000-00000A270000}"/>
    <cellStyle name="20% - Accent5 83 25 3" xfId="9996" xr:uid="{00000000-0005-0000-0000-00000B270000}"/>
    <cellStyle name="20% - Accent5 83 26" xfId="9997" xr:uid="{00000000-0005-0000-0000-00000C270000}"/>
    <cellStyle name="20% - Accent5 83 26 2" xfId="9998" xr:uid="{00000000-0005-0000-0000-00000D270000}"/>
    <cellStyle name="20% - Accent5 83 26 2 2" xfId="9999" xr:uid="{00000000-0005-0000-0000-00000E270000}"/>
    <cellStyle name="20% - Accent5 83 26 3" xfId="10000" xr:uid="{00000000-0005-0000-0000-00000F270000}"/>
    <cellStyle name="20% - Accent5 83 27" xfId="10001" xr:uid="{00000000-0005-0000-0000-000010270000}"/>
    <cellStyle name="20% - Accent5 83 27 2" xfId="10002" xr:uid="{00000000-0005-0000-0000-000011270000}"/>
    <cellStyle name="20% - Accent5 83 27 2 2" xfId="10003" xr:uid="{00000000-0005-0000-0000-000012270000}"/>
    <cellStyle name="20% - Accent5 83 27 3" xfId="10004" xr:uid="{00000000-0005-0000-0000-000013270000}"/>
    <cellStyle name="20% - Accent5 83 28" xfId="10005" xr:uid="{00000000-0005-0000-0000-000014270000}"/>
    <cellStyle name="20% - Accent5 83 28 2" xfId="10006" xr:uid="{00000000-0005-0000-0000-000015270000}"/>
    <cellStyle name="20% - Accent5 83 28 2 2" xfId="10007" xr:uid="{00000000-0005-0000-0000-000016270000}"/>
    <cellStyle name="20% - Accent5 83 28 3" xfId="10008" xr:uid="{00000000-0005-0000-0000-000017270000}"/>
    <cellStyle name="20% - Accent5 83 29" xfId="10009" xr:uid="{00000000-0005-0000-0000-000018270000}"/>
    <cellStyle name="20% - Accent5 83 29 2" xfId="10010" xr:uid="{00000000-0005-0000-0000-000019270000}"/>
    <cellStyle name="20% - Accent5 83 29 2 2" xfId="10011" xr:uid="{00000000-0005-0000-0000-00001A270000}"/>
    <cellStyle name="20% - Accent5 83 29 3" xfId="10012" xr:uid="{00000000-0005-0000-0000-00001B270000}"/>
    <cellStyle name="20% - Accent5 83 3" xfId="10013" xr:uid="{00000000-0005-0000-0000-00001C270000}"/>
    <cellStyle name="20% - Accent5 83 3 2" xfId="10014" xr:uid="{00000000-0005-0000-0000-00001D270000}"/>
    <cellStyle name="20% - Accent5 83 3 2 2" xfId="10015" xr:uid="{00000000-0005-0000-0000-00001E270000}"/>
    <cellStyle name="20% - Accent5 83 3 3" xfId="10016" xr:uid="{00000000-0005-0000-0000-00001F270000}"/>
    <cellStyle name="20% - Accent5 83 30" xfId="10017" xr:uid="{00000000-0005-0000-0000-000020270000}"/>
    <cellStyle name="20% - Accent5 83 30 2" xfId="10018" xr:uid="{00000000-0005-0000-0000-000021270000}"/>
    <cellStyle name="20% - Accent5 83 30 2 2" xfId="10019" xr:uid="{00000000-0005-0000-0000-000022270000}"/>
    <cellStyle name="20% - Accent5 83 30 3" xfId="10020" xr:uid="{00000000-0005-0000-0000-000023270000}"/>
    <cellStyle name="20% - Accent5 83 31" xfId="10021" xr:uid="{00000000-0005-0000-0000-000024270000}"/>
    <cellStyle name="20% - Accent5 83 31 2" xfId="10022" xr:uid="{00000000-0005-0000-0000-000025270000}"/>
    <cellStyle name="20% - Accent5 83 31 2 2" xfId="10023" xr:uid="{00000000-0005-0000-0000-000026270000}"/>
    <cellStyle name="20% - Accent5 83 31 3" xfId="10024" xr:uid="{00000000-0005-0000-0000-000027270000}"/>
    <cellStyle name="20% - Accent5 83 32" xfId="10025" xr:uid="{00000000-0005-0000-0000-000028270000}"/>
    <cellStyle name="20% - Accent5 83 32 2" xfId="10026" xr:uid="{00000000-0005-0000-0000-000029270000}"/>
    <cellStyle name="20% - Accent5 83 32 2 2" xfId="10027" xr:uid="{00000000-0005-0000-0000-00002A270000}"/>
    <cellStyle name="20% - Accent5 83 32 3" xfId="10028" xr:uid="{00000000-0005-0000-0000-00002B270000}"/>
    <cellStyle name="20% - Accent5 83 33" xfId="10029" xr:uid="{00000000-0005-0000-0000-00002C270000}"/>
    <cellStyle name="20% - Accent5 83 33 2" xfId="10030" xr:uid="{00000000-0005-0000-0000-00002D270000}"/>
    <cellStyle name="20% - Accent5 83 33 2 2" xfId="10031" xr:uid="{00000000-0005-0000-0000-00002E270000}"/>
    <cellStyle name="20% - Accent5 83 33 3" xfId="10032" xr:uid="{00000000-0005-0000-0000-00002F270000}"/>
    <cellStyle name="20% - Accent5 83 34" xfId="10033" xr:uid="{00000000-0005-0000-0000-000030270000}"/>
    <cellStyle name="20% - Accent5 83 34 2" xfId="10034" xr:uid="{00000000-0005-0000-0000-000031270000}"/>
    <cellStyle name="20% - Accent5 83 34 2 2" xfId="10035" xr:uid="{00000000-0005-0000-0000-000032270000}"/>
    <cellStyle name="20% - Accent5 83 34 3" xfId="10036" xr:uid="{00000000-0005-0000-0000-000033270000}"/>
    <cellStyle name="20% - Accent5 83 35" xfId="10037" xr:uid="{00000000-0005-0000-0000-000034270000}"/>
    <cellStyle name="20% - Accent5 83 35 2" xfId="10038" xr:uid="{00000000-0005-0000-0000-000035270000}"/>
    <cellStyle name="20% - Accent5 83 35 2 2" xfId="10039" xr:uid="{00000000-0005-0000-0000-000036270000}"/>
    <cellStyle name="20% - Accent5 83 35 3" xfId="10040" xr:uid="{00000000-0005-0000-0000-000037270000}"/>
    <cellStyle name="20% - Accent5 83 36" xfId="10041" xr:uid="{00000000-0005-0000-0000-000038270000}"/>
    <cellStyle name="20% - Accent5 83 36 2" xfId="10042" xr:uid="{00000000-0005-0000-0000-000039270000}"/>
    <cellStyle name="20% - Accent5 83 36 2 2" xfId="10043" xr:uid="{00000000-0005-0000-0000-00003A270000}"/>
    <cellStyle name="20% - Accent5 83 36 3" xfId="10044" xr:uid="{00000000-0005-0000-0000-00003B270000}"/>
    <cellStyle name="20% - Accent5 83 4" xfId="10045" xr:uid="{00000000-0005-0000-0000-00003C270000}"/>
    <cellStyle name="20% - Accent5 83 4 2" xfId="10046" xr:uid="{00000000-0005-0000-0000-00003D270000}"/>
    <cellStyle name="20% - Accent5 83 4 2 2" xfId="10047" xr:uid="{00000000-0005-0000-0000-00003E270000}"/>
    <cellStyle name="20% - Accent5 83 4 3" xfId="10048" xr:uid="{00000000-0005-0000-0000-00003F270000}"/>
    <cellStyle name="20% - Accent5 83 5" xfId="10049" xr:uid="{00000000-0005-0000-0000-000040270000}"/>
    <cellStyle name="20% - Accent5 83 5 2" xfId="10050" xr:uid="{00000000-0005-0000-0000-000041270000}"/>
    <cellStyle name="20% - Accent5 83 5 2 2" xfId="10051" xr:uid="{00000000-0005-0000-0000-000042270000}"/>
    <cellStyle name="20% - Accent5 83 5 3" xfId="10052" xr:uid="{00000000-0005-0000-0000-000043270000}"/>
    <cellStyle name="20% - Accent5 83 6" xfId="10053" xr:uid="{00000000-0005-0000-0000-000044270000}"/>
    <cellStyle name="20% - Accent5 83 6 2" xfId="10054" xr:uid="{00000000-0005-0000-0000-000045270000}"/>
    <cellStyle name="20% - Accent5 83 6 2 2" xfId="10055" xr:uid="{00000000-0005-0000-0000-000046270000}"/>
    <cellStyle name="20% - Accent5 83 6 3" xfId="10056" xr:uid="{00000000-0005-0000-0000-000047270000}"/>
    <cellStyle name="20% - Accent5 83 7" xfId="10057" xr:uid="{00000000-0005-0000-0000-000048270000}"/>
    <cellStyle name="20% - Accent5 83 7 2" xfId="10058" xr:uid="{00000000-0005-0000-0000-000049270000}"/>
    <cellStyle name="20% - Accent5 83 7 2 2" xfId="10059" xr:uid="{00000000-0005-0000-0000-00004A270000}"/>
    <cellStyle name="20% - Accent5 83 7 3" xfId="10060" xr:uid="{00000000-0005-0000-0000-00004B270000}"/>
    <cellStyle name="20% - Accent5 83 8" xfId="10061" xr:uid="{00000000-0005-0000-0000-00004C270000}"/>
    <cellStyle name="20% - Accent5 83 8 2" xfId="10062" xr:uid="{00000000-0005-0000-0000-00004D270000}"/>
    <cellStyle name="20% - Accent5 83 8 2 2" xfId="10063" xr:uid="{00000000-0005-0000-0000-00004E270000}"/>
    <cellStyle name="20% - Accent5 83 8 3" xfId="10064" xr:uid="{00000000-0005-0000-0000-00004F270000}"/>
    <cellStyle name="20% - Accent5 83 9" xfId="10065" xr:uid="{00000000-0005-0000-0000-000050270000}"/>
    <cellStyle name="20% - Accent5 83 9 2" xfId="10066" xr:uid="{00000000-0005-0000-0000-000051270000}"/>
    <cellStyle name="20% - Accent5 83 9 2 2" xfId="10067" xr:uid="{00000000-0005-0000-0000-000052270000}"/>
    <cellStyle name="20% - Accent5 83 9 3" xfId="10068" xr:uid="{00000000-0005-0000-0000-000053270000}"/>
    <cellStyle name="20% - Accent5 84" xfId="10069" xr:uid="{00000000-0005-0000-0000-000054270000}"/>
    <cellStyle name="20% - Accent5 84 10" xfId="10070" xr:uid="{00000000-0005-0000-0000-000055270000}"/>
    <cellStyle name="20% - Accent5 84 10 2" xfId="10071" xr:uid="{00000000-0005-0000-0000-000056270000}"/>
    <cellStyle name="20% - Accent5 84 10 2 2" xfId="10072" xr:uid="{00000000-0005-0000-0000-000057270000}"/>
    <cellStyle name="20% - Accent5 84 10 3" xfId="10073" xr:uid="{00000000-0005-0000-0000-000058270000}"/>
    <cellStyle name="20% - Accent5 84 11" xfId="10074" xr:uid="{00000000-0005-0000-0000-000059270000}"/>
    <cellStyle name="20% - Accent5 84 11 2" xfId="10075" xr:uid="{00000000-0005-0000-0000-00005A270000}"/>
    <cellStyle name="20% - Accent5 84 11 2 2" xfId="10076" xr:uid="{00000000-0005-0000-0000-00005B270000}"/>
    <cellStyle name="20% - Accent5 84 11 3" xfId="10077" xr:uid="{00000000-0005-0000-0000-00005C270000}"/>
    <cellStyle name="20% - Accent5 84 12" xfId="10078" xr:uid="{00000000-0005-0000-0000-00005D270000}"/>
    <cellStyle name="20% - Accent5 84 12 2" xfId="10079" xr:uid="{00000000-0005-0000-0000-00005E270000}"/>
    <cellStyle name="20% - Accent5 84 12 2 2" xfId="10080" xr:uid="{00000000-0005-0000-0000-00005F270000}"/>
    <cellStyle name="20% - Accent5 84 12 3" xfId="10081" xr:uid="{00000000-0005-0000-0000-000060270000}"/>
    <cellStyle name="20% - Accent5 84 13" xfId="10082" xr:uid="{00000000-0005-0000-0000-000061270000}"/>
    <cellStyle name="20% - Accent5 84 13 2" xfId="10083" xr:uid="{00000000-0005-0000-0000-000062270000}"/>
    <cellStyle name="20% - Accent5 84 13 2 2" xfId="10084" xr:uid="{00000000-0005-0000-0000-000063270000}"/>
    <cellStyle name="20% - Accent5 84 13 3" xfId="10085" xr:uid="{00000000-0005-0000-0000-000064270000}"/>
    <cellStyle name="20% - Accent5 84 14" xfId="10086" xr:uid="{00000000-0005-0000-0000-000065270000}"/>
    <cellStyle name="20% - Accent5 84 14 2" xfId="10087" xr:uid="{00000000-0005-0000-0000-000066270000}"/>
    <cellStyle name="20% - Accent5 84 14 2 2" xfId="10088" xr:uid="{00000000-0005-0000-0000-000067270000}"/>
    <cellStyle name="20% - Accent5 84 14 3" xfId="10089" xr:uid="{00000000-0005-0000-0000-000068270000}"/>
    <cellStyle name="20% - Accent5 84 15" xfId="10090" xr:uid="{00000000-0005-0000-0000-000069270000}"/>
    <cellStyle name="20% - Accent5 84 15 2" xfId="10091" xr:uid="{00000000-0005-0000-0000-00006A270000}"/>
    <cellStyle name="20% - Accent5 84 15 2 2" xfId="10092" xr:uid="{00000000-0005-0000-0000-00006B270000}"/>
    <cellStyle name="20% - Accent5 84 15 3" xfId="10093" xr:uid="{00000000-0005-0000-0000-00006C270000}"/>
    <cellStyle name="20% - Accent5 84 16" xfId="10094" xr:uid="{00000000-0005-0000-0000-00006D270000}"/>
    <cellStyle name="20% - Accent5 84 16 2" xfId="10095" xr:uid="{00000000-0005-0000-0000-00006E270000}"/>
    <cellStyle name="20% - Accent5 84 16 2 2" xfId="10096" xr:uid="{00000000-0005-0000-0000-00006F270000}"/>
    <cellStyle name="20% - Accent5 84 16 3" xfId="10097" xr:uid="{00000000-0005-0000-0000-000070270000}"/>
    <cellStyle name="20% - Accent5 84 17" xfId="10098" xr:uid="{00000000-0005-0000-0000-000071270000}"/>
    <cellStyle name="20% - Accent5 84 17 2" xfId="10099" xr:uid="{00000000-0005-0000-0000-000072270000}"/>
    <cellStyle name="20% - Accent5 84 17 2 2" xfId="10100" xr:uid="{00000000-0005-0000-0000-000073270000}"/>
    <cellStyle name="20% - Accent5 84 17 3" xfId="10101" xr:uid="{00000000-0005-0000-0000-000074270000}"/>
    <cellStyle name="20% - Accent5 84 18" xfId="10102" xr:uid="{00000000-0005-0000-0000-000075270000}"/>
    <cellStyle name="20% - Accent5 84 18 2" xfId="10103" xr:uid="{00000000-0005-0000-0000-000076270000}"/>
    <cellStyle name="20% - Accent5 84 18 2 2" xfId="10104" xr:uid="{00000000-0005-0000-0000-000077270000}"/>
    <cellStyle name="20% - Accent5 84 18 3" xfId="10105" xr:uid="{00000000-0005-0000-0000-000078270000}"/>
    <cellStyle name="20% - Accent5 84 19" xfId="10106" xr:uid="{00000000-0005-0000-0000-000079270000}"/>
    <cellStyle name="20% - Accent5 84 19 2" xfId="10107" xr:uid="{00000000-0005-0000-0000-00007A270000}"/>
    <cellStyle name="20% - Accent5 84 19 2 2" xfId="10108" xr:uid="{00000000-0005-0000-0000-00007B270000}"/>
    <cellStyle name="20% - Accent5 84 19 3" xfId="10109" xr:uid="{00000000-0005-0000-0000-00007C270000}"/>
    <cellStyle name="20% - Accent5 84 2" xfId="10110" xr:uid="{00000000-0005-0000-0000-00007D270000}"/>
    <cellStyle name="20% - Accent5 84 2 2" xfId="10111" xr:uid="{00000000-0005-0000-0000-00007E270000}"/>
    <cellStyle name="20% - Accent5 84 2 2 2" xfId="10112" xr:uid="{00000000-0005-0000-0000-00007F270000}"/>
    <cellStyle name="20% - Accent5 84 2 3" xfId="10113" xr:uid="{00000000-0005-0000-0000-000080270000}"/>
    <cellStyle name="20% - Accent5 84 20" xfId="10114" xr:uid="{00000000-0005-0000-0000-000081270000}"/>
    <cellStyle name="20% - Accent5 84 20 2" xfId="10115" xr:uid="{00000000-0005-0000-0000-000082270000}"/>
    <cellStyle name="20% - Accent5 84 20 2 2" xfId="10116" xr:uid="{00000000-0005-0000-0000-000083270000}"/>
    <cellStyle name="20% - Accent5 84 20 3" xfId="10117" xr:uid="{00000000-0005-0000-0000-000084270000}"/>
    <cellStyle name="20% - Accent5 84 21" xfId="10118" xr:uid="{00000000-0005-0000-0000-000085270000}"/>
    <cellStyle name="20% - Accent5 84 21 2" xfId="10119" xr:uid="{00000000-0005-0000-0000-000086270000}"/>
    <cellStyle name="20% - Accent5 84 21 2 2" xfId="10120" xr:uid="{00000000-0005-0000-0000-000087270000}"/>
    <cellStyle name="20% - Accent5 84 21 3" xfId="10121" xr:uid="{00000000-0005-0000-0000-000088270000}"/>
    <cellStyle name="20% - Accent5 84 22" xfId="10122" xr:uid="{00000000-0005-0000-0000-000089270000}"/>
    <cellStyle name="20% - Accent5 84 22 2" xfId="10123" xr:uid="{00000000-0005-0000-0000-00008A270000}"/>
    <cellStyle name="20% - Accent5 84 22 2 2" xfId="10124" xr:uid="{00000000-0005-0000-0000-00008B270000}"/>
    <cellStyle name="20% - Accent5 84 22 3" xfId="10125" xr:uid="{00000000-0005-0000-0000-00008C270000}"/>
    <cellStyle name="20% - Accent5 84 23" xfId="10126" xr:uid="{00000000-0005-0000-0000-00008D270000}"/>
    <cellStyle name="20% - Accent5 84 23 2" xfId="10127" xr:uid="{00000000-0005-0000-0000-00008E270000}"/>
    <cellStyle name="20% - Accent5 84 23 2 2" xfId="10128" xr:uid="{00000000-0005-0000-0000-00008F270000}"/>
    <cellStyle name="20% - Accent5 84 23 3" xfId="10129" xr:uid="{00000000-0005-0000-0000-000090270000}"/>
    <cellStyle name="20% - Accent5 84 24" xfId="10130" xr:uid="{00000000-0005-0000-0000-000091270000}"/>
    <cellStyle name="20% - Accent5 84 24 2" xfId="10131" xr:uid="{00000000-0005-0000-0000-000092270000}"/>
    <cellStyle name="20% - Accent5 84 24 2 2" xfId="10132" xr:uid="{00000000-0005-0000-0000-000093270000}"/>
    <cellStyle name="20% - Accent5 84 24 3" xfId="10133" xr:uid="{00000000-0005-0000-0000-000094270000}"/>
    <cellStyle name="20% - Accent5 84 25" xfId="10134" xr:uid="{00000000-0005-0000-0000-000095270000}"/>
    <cellStyle name="20% - Accent5 84 25 2" xfId="10135" xr:uid="{00000000-0005-0000-0000-000096270000}"/>
    <cellStyle name="20% - Accent5 84 25 2 2" xfId="10136" xr:uid="{00000000-0005-0000-0000-000097270000}"/>
    <cellStyle name="20% - Accent5 84 25 3" xfId="10137" xr:uid="{00000000-0005-0000-0000-000098270000}"/>
    <cellStyle name="20% - Accent5 84 26" xfId="10138" xr:uid="{00000000-0005-0000-0000-000099270000}"/>
    <cellStyle name="20% - Accent5 84 26 2" xfId="10139" xr:uid="{00000000-0005-0000-0000-00009A270000}"/>
    <cellStyle name="20% - Accent5 84 26 2 2" xfId="10140" xr:uid="{00000000-0005-0000-0000-00009B270000}"/>
    <cellStyle name="20% - Accent5 84 26 3" xfId="10141" xr:uid="{00000000-0005-0000-0000-00009C270000}"/>
    <cellStyle name="20% - Accent5 84 27" xfId="10142" xr:uid="{00000000-0005-0000-0000-00009D270000}"/>
    <cellStyle name="20% - Accent5 84 27 2" xfId="10143" xr:uid="{00000000-0005-0000-0000-00009E270000}"/>
    <cellStyle name="20% - Accent5 84 27 2 2" xfId="10144" xr:uid="{00000000-0005-0000-0000-00009F270000}"/>
    <cellStyle name="20% - Accent5 84 27 3" xfId="10145" xr:uid="{00000000-0005-0000-0000-0000A0270000}"/>
    <cellStyle name="20% - Accent5 84 28" xfId="10146" xr:uid="{00000000-0005-0000-0000-0000A1270000}"/>
    <cellStyle name="20% - Accent5 84 28 2" xfId="10147" xr:uid="{00000000-0005-0000-0000-0000A2270000}"/>
    <cellStyle name="20% - Accent5 84 28 2 2" xfId="10148" xr:uid="{00000000-0005-0000-0000-0000A3270000}"/>
    <cellStyle name="20% - Accent5 84 28 3" xfId="10149" xr:uid="{00000000-0005-0000-0000-0000A4270000}"/>
    <cellStyle name="20% - Accent5 84 29" xfId="10150" xr:uid="{00000000-0005-0000-0000-0000A5270000}"/>
    <cellStyle name="20% - Accent5 84 29 2" xfId="10151" xr:uid="{00000000-0005-0000-0000-0000A6270000}"/>
    <cellStyle name="20% - Accent5 84 29 2 2" xfId="10152" xr:uid="{00000000-0005-0000-0000-0000A7270000}"/>
    <cellStyle name="20% - Accent5 84 29 3" xfId="10153" xr:uid="{00000000-0005-0000-0000-0000A8270000}"/>
    <cellStyle name="20% - Accent5 84 3" xfId="10154" xr:uid="{00000000-0005-0000-0000-0000A9270000}"/>
    <cellStyle name="20% - Accent5 84 3 2" xfId="10155" xr:uid="{00000000-0005-0000-0000-0000AA270000}"/>
    <cellStyle name="20% - Accent5 84 3 2 2" xfId="10156" xr:uid="{00000000-0005-0000-0000-0000AB270000}"/>
    <cellStyle name="20% - Accent5 84 3 3" xfId="10157" xr:uid="{00000000-0005-0000-0000-0000AC270000}"/>
    <cellStyle name="20% - Accent5 84 30" xfId="10158" xr:uid="{00000000-0005-0000-0000-0000AD270000}"/>
    <cellStyle name="20% - Accent5 84 30 2" xfId="10159" xr:uid="{00000000-0005-0000-0000-0000AE270000}"/>
    <cellStyle name="20% - Accent5 84 30 2 2" xfId="10160" xr:uid="{00000000-0005-0000-0000-0000AF270000}"/>
    <cellStyle name="20% - Accent5 84 30 3" xfId="10161" xr:uid="{00000000-0005-0000-0000-0000B0270000}"/>
    <cellStyle name="20% - Accent5 84 31" xfId="10162" xr:uid="{00000000-0005-0000-0000-0000B1270000}"/>
    <cellStyle name="20% - Accent5 84 31 2" xfId="10163" xr:uid="{00000000-0005-0000-0000-0000B2270000}"/>
    <cellStyle name="20% - Accent5 84 31 2 2" xfId="10164" xr:uid="{00000000-0005-0000-0000-0000B3270000}"/>
    <cellStyle name="20% - Accent5 84 31 3" xfId="10165" xr:uid="{00000000-0005-0000-0000-0000B4270000}"/>
    <cellStyle name="20% - Accent5 84 32" xfId="10166" xr:uid="{00000000-0005-0000-0000-0000B5270000}"/>
    <cellStyle name="20% - Accent5 84 32 2" xfId="10167" xr:uid="{00000000-0005-0000-0000-0000B6270000}"/>
    <cellStyle name="20% - Accent5 84 32 2 2" xfId="10168" xr:uid="{00000000-0005-0000-0000-0000B7270000}"/>
    <cellStyle name="20% - Accent5 84 32 3" xfId="10169" xr:uid="{00000000-0005-0000-0000-0000B8270000}"/>
    <cellStyle name="20% - Accent5 84 33" xfId="10170" xr:uid="{00000000-0005-0000-0000-0000B9270000}"/>
    <cellStyle name="20% - Accent5 84 33 2" xfId="10171" xr:uid="{00000000-0005-0000-0000-0000BA270000}"/>
    <cellStyle name="20% - Accent5 84 33 2 2" xfId="10172" xr:uid="{00000000-0005-0000-0000-0000BB270000}"/>
    <cellStyle name="20% - Accent5 84 33 3" xfId="10173" xr:uid="{00000000-0005-0000-0000-0000BC270000}"/>
    <cellStyle name="20% - Accent5 84 34" xfId="10174" xr:uid="{00000000-0005-0000-0000-0000BD270000}"/>
    <cellStyle name="20% - Accent5 84 34 2" xfId="10175" xr:uid="{00000000-0005-0000-0000-0000BE270000}"/>
    <cellStyle name="20% - Accent5 84 34 2 2" xfId="10176" xr:uid="{00000000-0005-0000-0000-0000BF270000}"/>
    <cellStyle name="20% - Accent5 84 34 3" xfId="10177" xr:uid="{00000000-0005-0000-0000-0000C0270000}"/>
    <cellStyle name="20% - Accent5 84 35" xfId="10178" xr:uid="{00000000-0005-0000-0000-0000C1270000}"/>
    <cellStyle name="20% - Accent5 84 35 2" xfId="10179" xr:uid="{00000000-0005-0000-0000-0000C2270000}"/>
    <cellStyle name="20% - Accent5 84 35 2 2" xfId="10180" xr:uid="{00000000-0005-0000-0000-0000C3270000}"/>
    <cellStyle name="20% - Accent5 84 35 3" xfId="10181" xr:uid="{00000000-0005-0000-0000-0000C4270000}"/>
    <cellStyle name="20% - Accent5 84 36" xfId="10182" xr:uid="{00000000-0005-0000-0000-0000C5270000}"/>
    <cellStyle name="20% - Accent5 84 36 2" xfId="10183" xr:uid="{00000000-0005-0000-0000-0000C6270000}"/>
    <cellStyle name="20% - Accent5 84 36 2 2" xfId="10184" xr:uid="{00000000-0005-0000-0000-0000C7270000}"/>
    <cellStyle name="20% - Accent5 84 36 3" xfId="10185" xr:uid="{00000000-0005-0000-0000-0000C8270000}"/>
    <cellStyle name="20% - Accent5 84 4" xfId="10186" xr:uid="{00000000-0005-0000-0000-0000C9270000}"/>
    <cellStyle name="20% - Accent5 84 4 2" xfId="10187" xr:uid="{00000000-0005-0000-0000-0000CA270000}"/>
    <cellStyle name="20% - Accent5 84 4 2 2" xfId="10188" xr:uid="{00000000-0005-0000-0000-0000CB270000}"/>
    <cellStyle name="20% - Accent5 84 4 3" xfId="10189" xr:uid="{00000000-0005-0000-0000-0000CC270000}"/>
    <cellStyle name="20% - Accent5 84 5" xfId="10190" xr:uid="{00000000-0005-0000-0000-0000CD270000}"/>
    <cellStyle name="20% - Accent5 84 5 2" xfId="10191" xr:uid="{00000000-0005-0000-0000-0000CE270000}"/>
    <cellStyle name="20% - Accent5 84 5 2 2" xfId="10192" xr:uid="{00000000-0005-0000-0000-0000CF270000}"/>
    <cellStyle name="20% - Accent5 84 5 3" xfId="10193" xr:uid="{00000000-0005-0000-0000-0000D0270000}"/>
    <cellStyle name="20% - Accent5 84 6" xfId="10194" xr:uid="{00000000-0005-0000-0000-0000D1270000}"/>
    <cellStyle name="20% - Accent5 84 6 2" xfId="10195" xr:uid="{00000000-0005-0000-0000-0000D2270000}"/>
    <cellStyle name="20% - Accent5 84 6 2 2" xfId="10196" xr:uid="{00000000-0005-0000-0000-0000D3270000}"/>
    <cellStyle name="20% - Accent5 84 6 3" xfId="10197" xr:uid="{00000000-0005-0000-0000-0000D4270000}"/>
    <cellStyle name="20% - Accent5 84 7" xfId="10198" xr:uid="{00000000-0005-0000-0000-0000D5270000}"/>
    <cellStyle name="20% - Accent5 84 7 2" xfId="10199" xr:uid="{00000000-0005-0000-0000-0000D6270000}"/>
    <cellStyle name="20% - Accent5 84 7 2 2" xfId="10200" xr:uid="{00000000-0005-0000-0000-0000D7270000}"/>
    <cellStyle name="20% - Accent5 84 7 3" xfId="10201" xr:uid="{00000000-0005-0000-0000-0000D8270000}"/>
    <cellStyle name="20% - Accent5 84 8" xfId="10202" xr:uid="{00000000-0005-0000-0000-0000D9270000}"/>
    <cellStyle name="20% - Accent5 84 8 2" xfId="10203" xr:uid="{00000000-0005-0000-0000-0000DA270000}"/>
    <cellStyle name="20% - Accent5 84 8 2 2" xfId="10204" xr:uid="{00000000-0005-0000-0000-0000DB270000}"/>
    <cellStyle name="20% - Accent5 84 8 3" xfId="10205" xr:uid="{00000000-0005-0000-0000-0000DC270000}"/>
    <cellStyle name="20% - Accent5 84 9" xfId="10206" xr:uid="{00000000-0005-0000-0000-0000DD270000}"/>
    <cellStyle name="20% - Accent5 84 9 2" xfId="10207" xr:uid="{00000000-0005-0000-0000-0000DE270000}"/>
    <cellStyle name="20% - Accent5 84 9 2 2" xfId="10208" xr:uid="{00000000-0005-0000-0000-0000DF270000}"/>
    <cellStyle name="20% - Accent5 84 9 3" xfId="10209" xr:uid="{00000000-0005-0000-0000-0000E0270000}"/>
    <cellStyle name="20% - Accent5 85" xfId="10210" xr:uid="{00000000-0005-0000-0000-0000E1270000}"/>
    <cellStyle name="20% - Accent5 85 10" xfId="10211" xr:uid="{00000000-0005-0000-0000-0000E2270000}"/>
    <cellStyle name="20% - Accent5 85 10 2" xfId="10212" xr:uid="{00000000-0005-0000-0000-0000E3270000}"/>
    <cellStyle name="20% - Accent5 85 10 2 2" xfId="10213" xr:uid="{00000000-0005-0000-0000-0000E4270000}"/>
    <cellStyle name="20% - Accent5 85 10 3" xfId="10214" xr:uid="{00000000-0005-0000-0000-0000E5270000}"/>
    <cellStyle name="20% - Accent5 85 11" xfId="10215" xr:uid="{00000000-0005-0000-0000-0000E6270000}"/>
    <cellStyle name="20% - Accent5 85 11 2" xfId="10216" xr:uid="{00000000-0005-0000-0000-0000E7270000}"/>
    <cellStyle name="20% - Accent5 85 11 2 2" xfId="10217" xr:uid="{00000000-0005-0000-0000-0000E8270000}"/>
    <cellStyle name="20% - Accent5 85 11 3" xfId="10218" xr:uid="{00000000-0005-0000-0000-0000E9270000}"/>
    <cellStyle name="20% - Accent5 85 12" xfId="10219" xr:uid="{00000000-0005-0000-0000-0000EA270000}"/>
    <cellStyle name="20% - Accent5 85 12 2" xfId="10220" xr:uid="{00000000-0005-0000-0000-0000EB270000}"/>
    <cellStyle name="20% - Accent5 85 12 2 2" xfId="10221" xr:uid="{00000000-0005-0000-0000-0000EC270000}"/>
    <cellStyle name="20% - Accent5 85 12 3" xfId="10222" xr:uid="{00000000-0005-0000-0000-0000ED270000}"/>
    <cellStyle name="20% - Accent5 85 13" xfId="10223" xr:uid="{00000000-0005-0000-0000-0000EE270000}"/>
    <cellStyle name="20% - Accent5 85 13 2" xfId="10224" xr:uid="{00000000-0005-0000-0000-0000EF270000}"/>
    <cellStyle name="20% - Accent5 85 13 2 2" xfId="10225" xr:uid="{00000000-0005-0000-0000-0000F0270000}"/>
    <cellStyle name="20% - Accent5 85 13 3" xfId="10226" xr:uid="{00000000-0005-0000-0000-0000F1270000}"/>
    <cellStyle name="20% - Accent5 85 14" xfId="10227" xr:uid="{00000000-0005-0000-0000-0000F2270000}"/>
    <cellStyle name="20% - Accent5 85 14 2" xfId="10228" xr:uid="{00000000-0005-0000-0000-0000F3270000}"/>
    <cellStyle name="20% - Accent5 85 14 2 2" xfId="10229" xr:uid="{00000000-0005-0000-0000-0000F4270000}"/>
    <cellStyle name="20% - Accent5 85 14 3" xfId="10230" xr:uid="{00000000-0005-0000-0000-0000F5270000}"/>
    <cellStyle name="20% - Accent5 85 15" xfId="10231" xr:uid="{00000000-0005-0000-0000-0000F6270000}"/>
    <cellStyle name="20% - Accent5 85 15 2" xfId="10232" xr:uid="{00000000-0005-0000-0000-0000F7270000}"/>
    <cellStyle name="20% - Accent5 85 15 2 2" xfId="10233" xr:uid="{00000000-0005-0000-0000-0000F8270000}"/>
    <cellStyle name="20% - Accent5 85 15 3" xfId="10234" xr:uid="{00000000-0005-0000-0000-0000F9270000}"/>
    <cellStyle name="20% - Accent5 85 16" xfId="10235" xr:uid="{00000000-0005-0000-0000-0000FA270000}"/>
    <cellStyle name="20% - Accent5 85 16 2" xfId="10236" xr:uid="{00000000-0005-0000-0000-0000FB270000}"/>
    <cellStyle name="20% - Accent5 85 16 2 2" xfId="10237" xr:uid="{00000000-0005-0000-0000-0000FC270000}"/>
    <cellStyle name="20% - Accent5 85 16 3" xfId="10238" xr:uid="{00000000-0005-0000-0000-0000FD270000}"/>
    <cellStyle name="20% - Accent5 85 17" xfId="10239" xr:uid="{00000000-0005-0000-0000-0000FE270000}"/>
    <cellStyle name="20% - Accent5 85 17 2" xfId="10240" xr:uid="{00000000-0005-0000-0000-0000FF270000}"/>
    <cellStyle name="20% - Accent5 85 17 2 2" xfId="10241" xr:uid="{00000000-0005-0000-0000-000000280000}"/>
    <cellStyle name="20% - Accent5 85 17 3" xfId="10242" xr:uid="{00000000-0005-0000-0000-000001280000}"/>
    <cellStyle name="20% - Accent5 85 18" xfId="10243" xr:uid="{00000000-0005-0000-0000-000002280000}"/>
    <cellStyle name="20% - Accent5 85 18 2" xfId="10244" xr:uid="{00000000-0005-0000-0000-000003280000}"/>
    <cellStyle name="20% - Accent5 85 18 2 2" xfId="10245" xr:uid="{00000000-0005-0000-0000-000004280000}"/>
    <cellStyle name="20% - Accent5 85 18 3" xfId="10246" xr:uid="{00000000-0005-0000-0000-000005280000}"/>
    <cellStyle name="20% - Accent5 85 19" xfId="10247" xr:uid="{00000000-0005-0000-0000-000006280000}"/>
    <cellStyle name="20% - Accent5 85 19 2" xfId="10248" xr:uid="{00000000-0005-0000-0000-000007280000}"/>
    <cellStyle name="20% - Accent5 85 19 2 2" xfId="10249" xr:uid="{00000000-0005-0000-0000-000008280000}"/>
    <cellStyle name="20% - Accent5 85 19 3" xfId="10250" xr:uid="{00000000-0005-0000-0000-000009280000}"/>
    <cellStyle name="20% - Accent5 85 2" xfId="10251" xr:uid="{00000000-0005-0000-0000-00000A280000}"/>
    <cellStyle name="20% - Accent5 85 2 2" xfId="10252" xr:uid="{00000000-0005-0000-0000-00000B280000}"/>
    <cellStyle name="20% - Accent5 85 2 2 2" xfId="10253" xr:uid="{00000000-0005-0000-0000-00000C280000}"/>
    <cellStyle name="20% - Accent5 85 2 3" xfId="10254" xr:uid="{00000000-0005-0000-0000-00000D280000}"/>
    <cellStyle name="20% - Accent5 85 20" xfId="10255" xr:uid="{00000000-0005-0000-0000-00000E280000}"/>
    <cellStyle name="20% - Accent5 85 20 2" xfId="10256" xr:uid="{00000000-0005-0000-0000-00000F280000}"/>
    <cellStyle name="20% - Accent5 85 20 2 2" xfId="10257" xr:uid="{00000000-0005-0000-0000-000010280000}"/>
    <cellStyle name="20% - Accent5 85 20 3" xfId="10258" xr:uid="{00000000-0005-0000-0000-000011280000}"/>
    <cellStyle name="20% - Accent5 85 21" xfId="10259" xr:uid="{00000000-0005-0000-0000-000012280000}"/>
    <cellStyle name="20% - Accent5 85 21 2" xfId="10260" xr:uid="{00000000-0005-0000-0000-000013280000}"/>
    <cellStyle name="20% - Accent5 85 21 2 2" xfId="10261" xr:uid="{00000000-0005-0000-0000-000014280000}"/>
    <cellStyle name="20% - Accent5 85 21 3" xfId="10262" xr:uid="{00000000-0005-0000-0000-000015280000}"/>
    <cellStyle name="20% - Accent5 85 22" xfId="10263" xr:uid="{00000000-0005-0000-0000-000016280000}"/>
    <cellStyle name="20% - Accent5 85 22 2" xfId="10264" xr:uid="{00000000-0005-0000-0000-000017280000}"/>
    <cellStyle name="20% - Accent5 85 22 2 2" xfId="10265" xr:uid="{00000000-0005-0000-0000-000018280000}"/>
    <cellStyle name="20% - Accent5 85 22 3" xfId="10266" xr:uid="{00000000-0005-0000-0000-000019280000}"/>
    <cellStyle name="20% - Accent5 85 23" xfId="10267" xr:uid="{00000000-0005-0000-0000-00001A280000}"/>
    <cellStyle name="20% - Accent5 85 23 2" xfId="10268" xr:uid="{00000000-0005-0000-0000-00001B280000}"/>
    <cellStyle name="20% - Accent5 85 23 2 2" xfId="10269" xr:uid="{00000000-0005-0000-0000-00001C280000}"/>
    <cellStyle name="20% - Accent5 85 23 3" xfId="10270" xr:uid="{00000000-0005-0000-0000-00001D280000}"/>
    <cellStyle name="20% - Accent5 85 24" xfId="10271" xr:uid="{00000000-0005-0000-0000-00001E280000}"/>
    <cellStyle name="20% - Accent5 85 24 2" xfId="10272" xr:uid="{00000000-0005-0000-0000-00001F280000}"/>
    <cellStyle name="20% - Accent5 85 24 2 2" xfId="10273" xr:uid="{00000000-0005-0000-0000-000020280000}"/>
    <cellStyle name="20% - Accent5 85 24 3" xfId="10274" xr:uid="{00000000-0005-0000-0000-000021280000}"/>
    <cellStyle name="20% - Accent5 85 25" xfId="10275" xr:uid="{00000000-0005-0000-0000-000022280000}"/>
    <cellStyle name="20% - Accent5 85 25 2" xfId="10276" xr:uid="{00000000-0005-0000-0000-000023280000}"/>
    <cellStyle name="20% - Accent5 85 25 2 2" xfId="10277" xr:uid="{00000000-0005-0000-0000-000024280000}"/>
    <cellStyle name="20% - Accent5 85 25 3" xfId="10278" xr:uid="{00000000-0005-0000-0000-000025280000}"/>
    <cellStyle name="20% - Accent5 85 26" xfId="10279" xr:uid="{00000000-0005-0000-0000-000026280000}"/>
    <cellStyle name="20% - Accent5 85 26 2" xfId="10280" xr:uid="{00000000-0005-0000-0000-000027280000}"/>
    <cellStyle name="20% - Accent5 85 26 2 2" xfId="10281" xr:uid="{00000000-0005-0000-0000-000028280000}"/>
    <cellStyle name="20% - Accent5 85 26 3" xfId="10282" xr:uid="{00000000-0005-0000-0000-000029280000}"/>
    <cellStyle name="20% - Accent5 85 27" xfId="10283" xr:uid="{00000000-0005-0000-0000-00002A280000}"/>
    <cellStyle name="20% - Accent5 85 27 2" xfId="10284" xr:uid="{00000000-0005-0000-0000-00002B280000}"/>
    <cellStyle name="20% - Accent5 85 27 2 2" xfId="10285" xr:uid="{00000000-0005-0000-0000-00002C280000}"/>
    <cellStyle name="20% - Accent5 85 27 3" xfId="10286" xr:uid="{00000000-0005-0000-0000-00002D280000}"/>
    <cellStyle name="20% - Accent5 85 28" xfId="10287" xr:uid="{00000000-0005-0000-0000-00002E280000}"/>
    <cellStyle name="20% - Accent5 85 28 2" xfId="10288" xr:uid="{00000000-0005-0000-0000-00002F280000}"/>
    <cellStyle name="20% - Accent5 85 28 2 2" xfId="10289" xr:uid="{00000000-0005-0000-0000-000030280000}"/>
    <cellStyle name="20% - Accent5 85 28 3" xfId="10290" xr:uid="{00000000-0005-0000-0000-000031280000}"/>
    <cellStyle name="20% - Accent5 85 29" xfId="10291" xr:uid="{00000000-0005-0000-0000-000032280000}"/>
    <cellStyle name="20% - Accent5 85 29 2" xfId="10292" xr:uid="{00000000-0005-0000-0000-000033280000}"/>
    <cellStyle name="20% - Accent5 85 29 2 2" xfId="10293" xr:uid="{00000000-0005-0000-0000-000034280000}"/>
    <cellStyle name="20% - Accent5 85 29 3" xfId="10294" xr:uid="{00000000-0005-0000-0000-000035280000}"/>
    <cellStyle name="20% - Accent5 85 3" xfId="10295" xr:uid="{00000000-0005-0000-0000-000036280000}"/>
    <cellStyle name="20% - Accent5 85 3 2" xfId="10296" xr:uid="{00000000-0005-0000-0000-000037280000}"/>
    <cellStyle name="20% - Accent5 85 3 2 2" xfId="10297" xr:uid="{00000000-0005-0000-0000-000038280000}"/>
    <cellStyle name="20% - Accent5 85 3 3" xfId="10298" xr:uid="{00000000-0005-0000-0000-000039280000}"/>
    <cellStyle name="20% - Accent5 85 30" xfId="10299" xr:uid="{00000000-0005-0000-0000-00003A280000}"/>
    <cellStyle name="20% - Accent5 85 30 2" xfId="10300" xr:uid="{00000000-0005-0000-0000-00003B280000}"/>
    <cellStyle name="20% - Accent5 85 30 2 2" xfId="10301" xr:uid="{00000000-0005-0000-0000-00003C280000}"/>
    <cellStyle name="20% - Accent5 85 30 3" xfId="10302" xr:uid="{00000000-0005-0000-0000-00003D280000}"/>
    <cellStyle name="20% - Accent5 85 31" xfId="10303" xr:uid="{00000000-0005-0000-0000-00003E280000}"/>
    <cellStyle name="20% - Accent5 85 31 2" xfId="10304" xr:uid="{00000000-0005-0000-0000-00003F280000}"/>
    <cellStyle name="20% - Accent5 85 31 2 2" xfId="10305" xr:uid="{00000000-0005-0000-0000-000040280000}"/>
    <cellStyle name="20% - Accent5 85 31 3" xfId="10306" xr:uid="{00000000-0005-0000-0000-000041280000}"/>
    <cellStyle name="20% - Accent5 85 32" xfId="10307" xr:uid="{00000000-0005-0000-0000-000042280000}"/>
    <cellStyle name="20% - Accent5 85 32 2" xfId="10308" xr:uid="{00000000-0005-0000-0000-000043280000}"/>
    <cellStyle name="20% - Accent5 85 32 2 2" xfId="10309" xr:uid="{00000000-0005-0000-0000-000044280000}"/>
    <cellStyle name="20% - Accent5 85 32 3" xfId="10310" xr:uid="{00000000-0005-0000-0000-000045280000}"/>
    <cellStyle name="20% - Accent5 85 33" xfId="10311" xr:uid="{00000000-0005-0000-0000-000046280000}"/>
    <cellStyle name="20% - Accent5 85 33 2" xfId="10312" xr:uid="{00000000-0005-0000-0000-000047280000}"/>
    <cellStyle name="20% - Accent5 85 33 2 2" xfId="10313" xr:uid="{00000000-0005-0000-0000-000048280000}"/>
    <cellStyle name="20% - Accent5 85 33 3" xfId="10314" xr:uid="{00000000-0005-0000-0000-000049280000}"/>
    <cellStyle name="20% - Accent5 85 34" xfId="10315" xr:uid="{00000000-0005-0000-0000-00004A280000}"/>
    <cellStyle name="20% - Accent5 85 34 2" xfId="10316" xr:uid="{00000000-0005-0000-0000-00004B280000}"/>
    <cellStyle name="20% - Accent5 85 34 2 2" xfId="10317" xr:uid="{00000000-0005-0000-0000-00004C280000}"/>
    <cellStyle name="20% - Accent5 85 34 3" xfId="10318" xr:uid="{00000000-0005-0000-0000-00004D280000}"/>
    <cellStyle name="20% - Accent5 85 35" xfId="10319" xr:uid="{00000000-0005-0000-0000-00004E280000}"/>
    <cellStyle name="20% - Accent5 85 35 2" xfId="10320" xr:uid="{00000000-0005-0000-0000-00004F280000}"/>
    <cellStyle name="20% - Accent5 85 35 2 2" xfId="10321" xr:uid="{00000000-0005-0000-0000-000050280000}"/>
    <cellStyle name="20% - Accent5 85 35 3" xfId="10322" xr:uid="{00000000-0005-0000-0000-000051280000}"/>
    <cellStyle name="20% - Accent5 85 36" xfId="10323" xr:uid="{00000000-0005-0000-0000-000052280000}"/>
    <cellStyle name="20% - Accent5 85 36 2" xfId="10324" xr:uid="{00000000-0005-0000-0000-000053280000}"/>
    <cellStyle name="20% - Accent5 85 36 2 2" xfId="10325" xr:uid="{00000000-0005-0000-0000-000054280000}"/>
    <cellStyle name="20% - Accent5 85 36 3" xfId="10326" xr:uid="{00000000-0005-0000-0000-000055280000}"/>
    <cellStyle name="20% - Accent5 85 4" xfId="10327" xr:uid="{00000000-0005-0000-0000-000056280000}"/>
    <cellStyle name="20% - Accent5 85 4 2" xfId="10328" xr:uid="{00000000-0005-0000-0000-000057280000}"/>
    <cellStyle name="20% - Accent5 85 4 2 2" xfId="10329" xr:uid="{00000000-0005-0000-0000-000058280000}"/>
    <cellStyle name="20% - Accent5 85 4 3" xfId="10330" xr:uid="{00000000-0005-0000-0000-000059280000}"/>
    <cellStyle name="20% - Accent5 85 5" xfId="10331" xr:uid="{00000000-0005-0000-0000-00005A280000}"/>
    <cellStyle name="20% - Accent5 85 5 2" xfId="10332" xr:uid="{00000000-0005-0000-0000-00005B280000}"/>
    <cellStyle name="20% - Accent5 85 5 2 2" xfId="10333" xr:uid="{00000000-0005-0000-0000-00005C280000}"/>
    <cellStyle name="20% - Accent5 85 5 3" xfId="10334" xr:uid="{00000000-0005-0000-0000-00005D280000}"/>
    <cellStyle name="20% - Accent5 85 6" xfId="10335" xr:uid="{00000000-0005-0000-0000-00005E280000}"/>
    <cellStyle name="20% - Accent5 85 6 2" xfId="10336" xr:uid="{00000000-0005-0000-0000-00005F280000}"/>
    <cellStyle name="20% - Accent5 85 6 2 2" xfId="10337" xr:uid="{00000000-0005-0000-0000-000060280000}"/>
    <cellStyle name="20% - Accent5 85 6 3" xfId="10338" xr:uid="{00000000-0005-0000-0000-000061280000}"/>
    <cellStyle name="20% - Accent5 85 7" xfId="10339" xr:uid="{00000000-0005-0000-0000-000062280000}"/>
    <cellStyle name="20% - Accent5 85 7 2" xfId="10340" xr:uid="{00000000-0005-0000-0000-000063280000}"/>
    <cellStyle name="20% - Accent5 85 7 2 2" xfId="10341" xr:uid="{00000000-0005-0000-0000-000064280000}"/>
    <cellStyle name="20% - Accent5 85 7 3" xfId="10342" xr:uid="{00000000-0005-0000-0000-000065280000}"/>
    <cellStyle name="20% - Accent5 85 8" xfId="10343" xr:uid="{00000000-0005-0000-0000-000066280000}"/>
    <cellStyle name="20% - Accent5 85 8 2" xfId="10344" xr:uid="{00000000-0005-0000-0000-000067280000}"/>
    <cellStyle name="20% - Accent5 85 8 2 2" xfId="10345" xr:uid="{00000000-0005-0000-0000-000068280000}"/>
    <cellStyle name="20% - Accent5 85 8 3" xfId="10346" xr:uid="{00000000-0005-0000-0000-000069280000}"/>
    <cellStyle name="20% - Accent5 85 9" xfId="10347" xr:uid="{00000000-0005-0000-0000-00006A280000}"/>
    <cellStyle name="20% - Accent5 85 9 2" xfId="10348" xr:uid="{00000000-0005-0000-0000-00006B280000}"/>
    <cellStyle name="20% - Accent5 85 9 2 2" xfId="10349" xr:uid="{00000000-0005-0000-0000-00006C280000}"/>
    <cellStyle name="20% - Accent5 85 9 3" xfId="10350" xr:uid="{00000000-0005-0000-0000-00006D280000}"/>
    <cellStyle name="20% - Accent5 86" xfId="10351" xr:uid="{00000000-0005-0000-0000-00006E280000}"/>
    <cellStyle name="20% - Accent5 86 10" xfId="10352" xr:uid="{00000000-0005-0000-0000-00006F280000}"/>
    <cellStyle name="20% - Accent5 86 10 2" xfId="10353" xr:uid="{00000000-0005-0000-0000-000070280000}"/>
    <cellStyle name="20% - Accent5 86 10 2 2" xfId="10354" xr:uid="{00000000-0005-0000-0000-000071280000}"/>
    <cellStyle name="20% - Accent5 86 10 3" xfId="10355" xr:uid="{00000000-0005-0000-0000-000072280000}"/>
    <cellStyle name="20% - Accent5 86 11" xfId="10356" xr:uid="{00000000-0005-0000-0000-000073280000}"/>
    <cellStyle name="20% - Accent5 86 11 2" xfId="10357" xr:uid="{00000000-0005-0000-0000-000074280000}"/>
    <cellStyle name="20% - Accent5 86 11 2 2" xfId="10358" xr:uid="{00000000-0005-0000-0000-000075280000}"/>
    <cellStyle name="20% - Accent5 86 11 3" xfId="10359" xr:uid="{00000000-0005-0000-0000-000076280000}"/>
    <cellStyle name="20% - Accent5 86 12" xfId="10360" xr:uid="{00000000-0005-0000-0000-000077280000}"/>
    <cellStyle name="20% - Accent5 86 12 2" xfId="10361" xr:uid="{00000000-0005-0000-0000-000078280000}"/>
    <cellStyle name="20% - Accent5 86 12 2 2" xfId="10362" xr:uid="{00000000-0005-0000-0000-000079280000}"/>
    <cellStyle name="20% - Accent5 86 12 3" xfId="10363" xr:uid="{00000000-0005-0000-0000-00007A280000}"/>
    <cellStyle name="20% - Accent5 86 13" xfId="10364" xr:uid="{00000000-0005-0000-0000-00007B280000}"/>
    <cellStyle name="20% - Accent5 86 13 2" xfId="10365" xr:uid="{00000000-0005-0000-0000-00007C280000}"/>
    <cellStyle name="20% - Accent5 86 13 2 2" xfId="10366" xr:uid="{00000000-0005-0000-0000-00007D280000}"/>
    <cellStyle name="20% - Accent5 86 13 3" xfId="10367" xr:uid="{00000000-0005-0000-0000-00007E280000}"/>
    <cellStyle name="20% - Accent5 86 14" xfId="10368" xr:uid="{00000000-0005-0000-0000-00007F280000}"/>
    <cellStyle name="20% - Accent5 86 14 2" xfId="10369" xr:uid="{00000000-0005-0000-0000-000080280000}"/>
    <cellStyle name="20% - Accent5 86 14 2 2" xfId="10370" xr:uid="{00000000-0005-0000-0000-000081280000}"/>
    <cellStyle name="20% - Accent5 86 14 3" xfId="10371" xr:uid="{00000000-0005-0000-0000-000082280000}"/>
    <cellStyle name="20% - Accent5 86 15" xfId="10372" xr:uid="{00000000-0005-0000-0000-000083280000}"/>
    <cellStyle name="20% - Accent5 86 15 2" xfId="10373" xr:uid="{00000000-0005-0000-0000-000084280000}"/>
    <cellStyle name="20% - Accent5 86 15 2 2" xfId="10374" xr:uid="{00000000-0005-0000-0000-000085280000}"/>
    <cellStyle name="20% - Accent5 86 15 3" xfId="10375" xr:uid="{00000000-0005-0000-0000-000086280000}"/>
    <cellStyle name="20% - Accent5 86 16" xfId="10376" xr:uid="{00000000-0005-0000-0000-000087280000}"/>
    <cellStyle name="20% - Accent5 86 16 2" xfId="10377" xr:uid="{00000000-0005-0000-0000-000088280000}"/>
    <cellStyle name="20% - Accent5 86 16 2 2" xfId="10378" xr:uid="{00000000-0005-0000-0000-000089280000}"/>
    <cellStyle name="20% - Accent5 86 16 3" xfId="10379" xr:uid="{00000000-0005-0000-0000-00008A280000}"/>
    <cellStyle name="20% - Accent5 86 17" xfId="10380" xr:uid="{00000000-0005-0000-0000-00008B280000}"/>
    <cellStyle name="20% - Accent5 86 17 2" xfId="10381" xr:uid="{00000000-0005-0000-0000-00008C280000}"/>
    <cellStyle name="20% - Accent5 86 17 2 2" xfId="10382" xr:uid="{00000000-0005-0000-0000-00008D280000}"/>
    <cellStyle name="20% - Accent5 86 17 3" xfId="10383" xr:uid="{00000000-0005-0000-0000-00008E280000}"/>
    <cellStyle name="20% - Accent5 86 18" xfId="10384" xr:uid="{00000000-0005-0000-0000-00008F280000}"/>
    <cellStyle name="20% - Accent5 86 18 2" xfId="10385" xr:uid="{00000000-0005-0000-0000-000090280000}"/>
    <cellStyle name="20% - Accent5 86 18 2 2" xfId="10386" xr:uid="{00000000-0005-0000-0000-000091280000}"/>
    <cellStyle name="20% - Accent5 86 18 3" xfId="10387" xr:uid="{00000000-0005-0000-0000-000092280000}"/>
    <cellStyle name="20% - Accent5 86 19" xfId="10388" xr:uid="{00000000-0005-0000-0000-000093280000}"/>
    <cellStyle name="20% - Accent5 86 19 2" xfId="10389" xr:uid="{00000000-0005-0000-0000-000094280000}"/>
    <cellStyle name="20% - Accent5 86 19 2 2" xfId="10390" xr:uid="{00000000-0005-0000-0000-000095280000}"/>
    <cellStyle name="20% - Accent5 86 19 3" xfId="10391" xr:uid="{00000000-0005-0000-0000-000096280000}"/>
    <cellStyle name="20% - Accent5 86 2" xfId="10392" xr:uid="{00000000-0005-0000-0000-000097280000}"/>
    <cellStyle name="20% - Accent5 86 2 2" xfId="10393" xr:uid="{00000000-0005-0000-0000-000098280000}"/>
    <cellStyle name="20% - Accent5 86 2 2 2" xfId="10394" xr:uid="{00000000-0005-0000-0000-000099280000}"/>
    <cellStyle name="20% - Accent5 86 2 3" xfId="10395" xr:uid="{00000000-0005-0000-0000-00009A280000}"/>
    <cellStyle name="20% - Accent5 86 20" xfId="10396" xr:uid="{00000000-0005-0000-0000-00009B280000}"/>
    <cellStyle name="20% - Accent5 86 20 2" xfId="10397" xr:uid="{00000000-0005-0000-0000-00009C280000}"/>
    <cellStyle name="20% - Accent5 86 20 2 2" xfId="10398" xr:uid="{00000000-0005-0000-0000-00009D280000}"/>
    <cellStyle name="20% - Accent5 86 20 3" xfId="10399" xr:uid="{00000000-0005-0000-0000-00009E280000}"/>
    <cellStyle name="20% - Accent5 86 21" xfId="10400" xr:uid="{00000000-0005-0000-0000-00009F280000}"/>
    <cellStyle name="20% - Accent5 86 21 2" xfId="10401" xr:uid="{00000000-0005-0000-0000-0000A0280000}"/>
    <cellStyle name="20% - Accent5 86 21 2 2" xfId="10402" xr:uid="{00000000-0005-0000-0000-0000A1280000}"/>
    <cellStyle name="20% - Accent5 86 21 3" xfId="10403" xr:uid="{00000000-0005-0000-0000-0000A2280000}"/>
    <cellStyle name="20% - Accent5 86 22" xfId="10404" xr:uid="{00000000-0005-0000-0000-0000A3280000}"/>
    <cellStyle name="20% - Accent5 86 22 2" xfId="10405" xr:uid="{00000000-0005-0000-0000-0000A4280000}"/>
    <cellStyle name="20% - Accent5 86 22 2 2" xfId="10406" xr:uid="{00000000-0005-0000-0000-0000A5280000}"/>
    <cellStyle name="20% - Accent5 86 22 3" xfId="10407" xr:uid="{00000000-0005-0000-0000-0000A6280000}"/>
    <cellStyle name="20% - Accent5 86 23" xfId="10408" xr:uid="{00000000-0005-0000-0000-0000A7280000}"/>
    <cellStyle name="20% - Accent5 86 23 2" xfId="10409" xr:uid="{00000000-0005-0000-0000-0000A8280000}"/>
    <cellStyle name="20% - Accent5 86 23 2 2" xfId="10410" xr:uid="{00000000-0005-0000-0000-0000A9280000}"/>
    <cellStyle name="20% - Accent5 86 23 3" xfId="10411" xr:uid="{00000000-0005-0000-0000-0000AA280000}"/>
    <cellStyle name="20% - Accent5 86 24" xfId="10412" xr:uid="{00000000-0005-0000-0000-0000AB280000}"/>
    <cellStyle name="20% - Accent5 86 24 2" xfId="10413" xr:uid="{00000000-0005-0000-0000-0000AC280000}"/>
    <cellStyle name="20% - Accent5 86 24 2 2" xfId="10414" xr:uid="{00000000-0005-0000-0000-0000AD280000}"/>
    <cellStyle name="20% - Accent5 86 24 3" xfId="10415" xr:uid="{00000000-0005-0000-0000-0000AE280000}"/>
    <cellStyle name="20% - Accent5 86 25" xfId="10416" xr:uid="{00000000-0005-0000-0000-0000AF280000}"/>
    <cellStyle name="20% - Accent5 86 25 2" xfId="10417" xr:uid="{00000000-0005-0000-0000-0000B0280000}"/>
    <cellStyle name="20% - Accent5 86 25 2 2" xfId="10418" xr:uid="{00000000-0005-0000-0000-0000B1280000}"/>
    <cellStyle name="20% - Accent5 86 25 3" xfId="10419" xr:uid="{00000000-0005-0000-0000-0000B2280000}"/>
    <cellStyle name="20% - Accent5 86 26" xfId="10420" xr:uid="{00000000-0005-0000-0000-0000B3280000}"/>
    <cellStyle name="20% - Accent5 86 26 2" xfId="10421" xr:uid="{00000000-0005-0000-0000-0000B4280000}"/>
    <cellStyle name="20% - Accent5 86 26 2 2" xfId="10422" xr:uid="{00000000-0005-0000-0000-0000B5280000}"/>
    <cellStyle name="20% - Accent5 86 26 3" xfId="10423" xr:uid="{00000000-0005-0000-0000-0000B6280000}"/>
    <cellStyle name="20% - Accent5 86 27" xfId="10424" xr:uid="{00000000-0005-0000-0000-0000B7280000}"/>
    <cellStyle name="20% - Accent5 86 27 2" xfId="10425" xr:uid="{00000000-0005-0000-0000-0000B8280000}"/>
    <cellStyle name="20% - Accent5 86 27 2 2" xfId="10426" xr:uid="{00000000-0005-0000-0000-0000B9280000}"/>
    <cellStyle name="20% - Accent5 86 27 3" xfId="10427" xr:uid="{00000000-0005-0000-0000-0000BA280000}"/>
    <cellStyle name="20% - Accent5 86 28" xfId="10428" xr:uid="{00000000-0005-0000-0000-0000BB280000}"/>
    <cellStyle name="20% - Accent5 86 28 2" xfId="10429" xr:uid="{00000000-0005-0000-0000-0000BC280000}"/>
    <cellStyle name="20% - Accent5 86 28 2 2" xfId="10430" xr:uid="{00000000-0005-0000-0000-0000BD280000}"/>
    <cellStyle name="20% - Accent5 86 28 3" xfId="10431" xr:uid="{00000000-0005-0000-0000-0000BE280000}"/>
    <cellStyle name="20% - Accent5 86 29" xfId="10432" xr:uid="{00000000-0005-0000-0000-0000BF280000}"/>
    <cellStyle name="20% - Accent5 86 29 2" xfId="10433" xr:uid="{00000000-0005-0000-0000-0000C0280000}"/>
    <cellStyle name="20% - Accent5 86 29 2 2" xfId="10434" xr:uid="{00000000-0005-0000-0000-0000C1280000}"/>
    <cellStyle name="20% - Accent5 86 29 3" xfId="10435" xr:uid="{00000000-0005-0000-0000-0000C2280000}"/>
    <cellStyle name="20% - Accent5 86 3" xfId="10436" xr:uid="{00000000-0005-0000-0000-0000C3280000}"/>
    <cellStyle name="20% - Accent5 86 3 2" xfId="10437" xr:uid="{00000000-0005-0000-0000-0000C4280000}"/>
    <cellStyle name="20% - Accent5 86 3 2 2" xfId="10438" xr:uid="{00000000-0005-0000-0000-0000C5280000}"/>
    <cellStyle name="20% - Accent5 86 3 3" xfId="10439" xr:uid="{00000000-0005-0000-0000-0000C6280000}"/>
    <cellStyle name="20% - Accent5 86 30" xfId="10440" xr:uid="{00000000-0005-0000-0000-0000C7280000}"/>
    <cellStyle name="20% - Accent5 86 30 2" xfId="10441" xr:uid="{00000000-0005-0000-0000-0000C8280000}"/>
    <cellStyle name="20% - Accent5 86 30 2 2" xfId="10442" xr:uid="{00000000-0005-0000-0000-0000C9280000}"/>
    <cellStyle name="20% - Accent5 86 30 3" xfId="10443" xr:uid="{00000000-0005-0000-0000-0000CA280000}"/>
    <cellStyle name="20% - Accent5 86 31" xfId="10444" xr:uid="{00000000-0005-0000-0000-0000CB280000}"/>
    <cellStyle name="20% - Accent5 86 31 2" xfId="10445" xr:uid="{00000000-0005-0000-0000-0000CC280000}"/>
    <cellStyle name="20% - Accent5 86 31 2 2" xfId="10446" xr:uid="{00000000-0005-0000-0000-0000CD280000}"/>
    <cellStyle name="20% - Accent5 86 31 3" xfId="10447" xr:uid="{00000000-0005-0000-0000-0000CE280000}"/>
    <cellStyle name="20% - Accent5 86 32" xfId="10448" xr:uid="{00000000-0005-0000-0000-0000CF280000}"/>
    <cellStyle name="20% - Accent5 86 32 2" xfId="10449" xr:uid="{00000000-0005-0000-0000-0000D0280000}"/>
    <cellStyle name="20% - Accent5 86 32 2 2" xfId="10450" xr:uid="{00000000-0005-0000-0000-0000D1280000}"/>
    <cellStyle name="20% - Accent5 86 32 3" xfId="10451" xr:uid="{00000000-0005-0000-0000-0000D2280000}"/>
    <cellStyle name="20% - Accent5 86 33" xfId="10452" xr:uid="{00000000-0005-0000-0000-0000D3280000}"/>
    <cellStyle name="20% - Accent5 86 33 2" xfId="10453" xr:uid="{00000000-0005-0000-0000-0000D4280000}"/>
    <cellStyle name="20% - Accent5 86 33 2 2" xfId="10454" xr:uid="{00000000-0005-0000-0000-0000D5280000}"/>
    <cellStyle name="20% - Accent5 86 33 3" xfId="10455" xr:uid="{00000000-0005-0000-0000-0000D6280000}"/>
    <cellStyle name="20% - Accent5 86 34" xfId="10456" xr:uid="{00000000-0005-0000-0000-0000D7280000}"/>
    <cellStyle name="20% - Accent5 86 34 2" xfId="10457" xr:uid="{00000000-0005-0000-0000-0000D8280000}"/>
    <cellStyle name="20% - Accent5 86 34 2 2" xfId="10458" xr:uid="{00000000-0005-0000-0000-0000D9280000}"/>
    <cellStyle name="20% - Accent5 86 34 3" xfId="10459" xr:uid="{00000000-0005-0000-0000-0000DA280000}"/>
    <cellStyle name="20% - Accent5 86 35" xfId="10460" xr:uid="{00000000-0005-0000-0000-0000DB280000}"/>
    <cellStyle name="20% - Accent5 86 35 2" xfId="10461" xr:uid="{00000000-0005-0000-0000-0000DC280000}"/>
    <cellStyle name="20% - Accent5 86 35 2 2" xfId="10462" xr:uid="{00000000-0005-0000-0000-0000DD280000}"/>
    <cellStyle name="20% - Accent5 86 35 3" xfId="10463" xr:uid="{00000000-0005-0000-0000-0000DE280000}"/>
    <cellStyle name="20% - Accent5 86 36" xfId="10464" xr:uid="{00000000-0005-0000-0000-0000DF280000}"/>
    <cellStyle name="20% - Accent5 86 36 2" xfId="10465" xr:uid="{00000000-0005-0000-0000-0000E0280000}"/>
    <cellStyle name="20% - Accent5 86 36 2 2" xfId="10466" xr:uid="{00000000-0005-0000-0000-0000E1280000}"/>
    <cellStyle name="20% - Accent5 86 36 3" xfId="10467" xr:uid="{00000000-0005-0000-0000-0000E2280000}"/>
    <cellStyle name="20% - Accent5 86 4" xfId="10468" xr:uid="{00000000-0005-0000-0000-0000E3280000}"/>
    <cellStyle name="20% - Accent5 86 4 2" xfId="10469" xr:uid="{00000000-0005-0000-0000-0000E4280000}"/>
    <cellStyle name="20% - Accent5 86 4 2 2" xfId="10470" xr:uid="{00000000-0005-0000-0000-0000E5280000}"/>
    <cellStyle name="20% - Accent5 86 4 3" xfId="10471" xr:uid="{00000000-0005-0000-0000-0000E6280000}"/>
    <cellStyle name="20% - Accent5 86 5" xfId="10472" xr:uid="{00000000-0005-0000-0000-0000E7280000}"/>
    <cellStyle name="20% - Accent5 86 5 2" xfId="10473" xr:uid="{00000000-0005-0000-0000-0000E8280000}"/>
    <cellStyle name="20% - Accent5 86 5 2 2" xfId="10474" xr:uid="{00000000-0005-0000-0000-0000E9280000}"/>
    <cellStyle name="20% - Accent5 86 5 3" xfId="10475" xr:uid="{00000000-0005-0000-0000-0000EA280000}"/>
    <cellStyle name="20% - Accent5 86 6" xfId="10476" xr:uid="{00000000-0005-0000-0000-0000EB280000}"/>
    <cellStyle name="20% - Accent5 86 6 2" xfId="10477" xr:uid="{00000000-0005-0000-0000-0000EC280000}"/>
    <cellStyle name="20% - Accent5 86 6 2 2" xfId="10478" xr:uid="{00000000-0005-0000-0000-0000ED280000}"/>
    <cellStyle name="20% - Accent5 86 6 3" xfId="10479" xr:uid="{00000000-0005-0000-0000-0000EE280000}"/>
    <cellStyle name="20% - Accent5 86 7" xfId="10480" xr:uid="{00000000-0005-0000-0000-0000EF280000}"/>
    <cellStyle name="20% - Accent5 86 7 2" xfId="10481" xr:uid="{00000000-0005-0000-0000-0000F0280000}"/>
    <cellStyle name="20% - Accent5 86 7 2 2" xfId="10482" xr:uid="{00000000-0005-0000-0000-0000F1280000}"/>
    <cellStyle name="20% - Accent5 86 7 3" xfId="10483" xr:uid="{00000000-0005-0000-0000-0000F2280000}"/>
    <cellStyle name="20% - Accent5 86 8" xfId="10484" xr:uid="{00000000-0005-0000-0000-0000F3280000}"/>
    <cellStyle name="20% - Accent5 86 8 2" xfId="10485" xr:uid="{00000000-0005-0000-0000-0000F4280000}"/>
    <cellStyle name="20% - Accent5 86 8 2 2" xfId="10486" xr:uid="{00000000-0005-0000-0000-0000F5280000}"/>
    <cellStyle name="20% - Accent5 86 8 3" xfId="10487" xr:uid="{00000000-0005-0000-0000-0000F6280000}"/>
    <cellStyle name="20% - Accent5 86 9" xfId="10488" xr:uid="{00000000-0005-0000-0000-0000F7280000}"/>
    <cellStyle name="20% - Accent5 86 9 2" xfId="10489" xr:uid="{00000000-0005-0000-0000-0000F8280000}"/>
    <cellStyle name="20% - Accent5 86 9 2 2" xfId="10490" xr:uid="{00000000-0005-0000-0000-0000F9280000}"/>
    <cellStyle name="20% - Accent5 86 9 3" xfId="10491" xr:uid="{00000000-0005-0000-0000-0000FA280000}"/>
    <cellStyle name="20% - Accent5 87" xfId="10492" xr:uid="{00000000-0005-0000-0000-0000FB280000}"/>
    <cellStyle name="20% - Accent5 87 10" xfId="10493" xr:uid="{00000000-0005-0000-0000-0000FC280000}"/>
    <cellStyle name="20% - Accent5 87 10 2" xfId="10494" xr:uid="{00000000-0005-0000-0000-0000FD280000}"/>
    <cellStyle name="20% - Accent5 87 10 2 2" xfId="10495" xr:uid="{00000000-0005-0000-0000-0000FE280000}"/>
    <cellStyle name="20% - Accent5 87 10 3" xfId="10496" xr:uid="{00000000-0005-0000-0000-0000FF280000}"/>
    <cellStyle name="20% - Accent5 87 11" xfId="10497" xr:uid="{00000000-0005-0000-0000-000000290000}"/>
    <cellStyle name="20% - Accent5 87 11 2" xfId="10498" xr:uid="{00000000-0005-0000-0000-000001290000}"/>
    <cellStyle name="20% - Accent5 87 11 2 2" xfId="10499" xr:uid="{00000000-0005-0000-0000-000002290000}"/>
    <cellStyle name="20% - Accent5 87 11 3" xfId="10500" xr:uid="{00000000-0005-0000-0000-000003290000}"/>
    <cellStyle name="20% - Accent5 87 12" xfId="10501" xr:uid="{00000000-0005-0000-0000-000004290000}"/>
    <cellStyle name="20% - Accent5 87 12 2" xfId="10502" xr:uid="{00000000-0005-0000-0000-000005290000}"/>
    <cellStyle name="20% - Accent5 87 12 2 2" xfId="10503" xr:uid="{00000000-0005-0000-0000-000006290000}"/>
    <cellStyle name="20% - Accent5 87 12 3" xfId="10504" xr:uid="{00000000-0005-0000-0000-000007290000}"/>
    <cellStyle name="20% - Accent5 87 13" xfId="10505" xr:uid="{00000000-0005-0000-0000-000008290000}"/>
    <cellStyle name="20% - Accent5 87 13 2" xfId="10506" xr:uid="{00000000-0005-0000-0000-000009290000}"/>
    <cellStyle name="20% - Accent5 87 13 2 2" xfId="10507" xr:uid="{00000000-0005-0000-0000-00000A290000}"/>
    <cellStyle name="20% - Accent5 87 13 3" xfId="10508" xr:uid="{00000000-0005-0000-0000-00000B290000}"/>
    <cellStyle name="20% - Accent5 87 14" xfId="10509" xr:uid="{00000000-0005-0000-0000-00000C290000}"/>
    <cellStyle name="20% - Accent5 87 14 2" xfId="10510" xr:uid="{00000000-0005-0000-0000-00000D290000}"/>
    <cellStyle name="20% - Accent5 87 14 2 2" xfId="10511" xr:uid="{00000000-0005-0000-0000-00000E290000}"/>
    <cellStyle name="20% - Accent5 87 14 3" xfId="10512" xr:uid="{00000000-0005-0000-0000-00000F290000}"/>
    <cellStyle name="20% - Accent5 87 15" xfId="10513" xr:uid="{00000000-0005-0000-0000-000010290000}"/>
    <cellStyle name="20% - Accent5 87 15 2" xfId="10514" xr:uid="{00000000-0005-0000-0000-000011290000}"/>
    <cellStyle name="20% - Accent5 87 15 2 2" xfId="10515" xr:uid="{00000000-0005-0000-0000-000012290000}"/>
    <cellStyle name="20% - Accent5 87 15 3" xfId="10516" xr:uid="{00000000-0005-0000-0000-000013290000}"/>
    <cellStyle name="20% - Accent5 87 16" xfId="10517" xr:uid="{00000000-0005-0000-0000-000014290000}"/>
    <cellStyle name="20% - Accent5 87 16 2" xfId="10518" xr:uid="{00000000-0005-0000-0000-000015290000}"/>
    <cellStyle name="20% - Accent5 87 16 2 2" xfId="10519" xr:uid="{00000000-0005-0000-0000-000016290000}"/>
    <cellStyle name="20% - Accent5 87 16 3" xfId="10520" xr:uid="{00000000-0005-0000-0000-000017290000}"/>
    <cellStyle name="20% - Accent5 87 17" xfId="10521" xr:uid="{00000000-0005-0000-0000-000018290000}"/>
    <cellStyle name="20% - Accent5 87 17 2" xfId="10522" xr:uid="{00000000-0005-0000-0000-000019290000}"/>
    <cellStyle name="20% - Accent5 87 17 2 2" xfId="10523" xr:uid="{00000000-0005-0000-0000-00001A290000}"/>
    <cellStyle name="20% - Accent5 87 17 3" xfId="10524" xr:uid="{00000000-0005-0000-0000-00001B290000}"/>
    <cellStyle name="20% - Accent5 87 18" xfId="10525" xr:uid="{00000000-0005-0000-0000-00001C290000}"/>
    <cellStyle name="20% - Accent5 87 18 2" xfId="10526" xr:uid="{00000000-0005-0000-0000-00001D290000}"/>
    <cellStyle name="20% - Accent5 87 18 2 2" xfId="10527" xr:uid="{00000000-0005-0000-0000-00001E290000}"/>
    <cellStyle name="20% - Accent5 87 18 3" xfId="10528" xr:uid="{00000000-0005-0000-0000-00001F290000}"/>
    <cellStyle name="20% - Accent5 87 19" xfId="10529" xr:uid="{00000000-0005-0000-0000-000020290000}"/>
    <cellStyle name="20% - Accent5 87 19 2" xfId="10530" xr:uid="{00000000-0005-0000-0000-000021290000}"/>
    <cellStyle name="20% - Accent5 87 19 2 2" xfId="10531" xr:uid="{00000000-0005-0000-0000-000022290000}"/>
    <cellStyle name="20% - Accent5 87 19 3" xfId="10532" xr:uid="{00000000-0005-0000-0000-000023290000}"/>
    <cellStyle name="20% - Accent5 87 2" xfId="10533" xr:uid="{00000000-0005-0000-0000-000024290000}"/>
    <cellStyle name="20% - Accent5 87 2 2" xfId="10534" xr:uid="{00000000-0005-0000-0000-000025290000}"/>
    <cellStyle name="20% - Accent5 87 2 2 2" xfId="10535" xr:uid="{00000000-0005-0000-0000-000026290000}"/>
    <cellStyle name="20% - Accent5 87 2 3" xfId="10536" xr:uid="{00000000-0005-0000-0000-000027290000}"/>
    <cellStyle name="20% - Accent5 87 20" xfId="10537" xr:uid="{00000000-0005-0000-0000-000028290000}"/>
    <cellStyle name="20% - Accent5 87 20 2" xfId="10538" xr:uid="{00000000-0005-0000-0000-000029290000}"/>
    <cellStyle name="20% - Accent5 87 20 2 2" xfId="10539" xr:uid="{00000000-0005-0000-0000-00002A290000}"/>
    <cellStyle name="20% - Accent5 87 20 3" xfId="10540" xr:uid="{00000000-0005-0000-0000-00002B290000}"/>
    <cellStyle name="20% - Accent5 87 21" xfId="10541" xr:uid="{00000000-0005-0000-0000-00002C290000}"/>
    <cellStyle name="20% - Accent5 87 21 2" xfId="10542" xr:uid="{00000000-0005-0000-0000-00002D290000}"/>
    <cellStyle name="20% - Accent5 87 21 2 2" xfId="10543" xr:uid="{00000000-0005-0000-0000-00002E290000}"/>
    <cellStyle name="20% - Accent5 87 21 3" xfId="10544" xr:uid="{00000000-0005-0000-0000-00002F290000}"/>
    <cellStyle name="20% - Accent5 87 22" xfId="10545" xr:uid="{00000000-0005-0000-0000-000030290000}"/>
    <cellStyle name="20% - Accent5 87 22 2" xfId="10546" xr:uid="{00000000-0005-0000-0000-000031290000}"/>
    <cellStyle name="20% - Accent5 87 22 2 2" xfId="10547" xr:uid="{00000000-0005-0000-0000-000032290000}"/>
    <cellStyle name="20% - Accent5 87 22 3" xfId="10548" xr:uid="{00000000-0005-0000-0000-000033290000}"/>
    <cellStyle name="20% - Accent5 87 23" xfId="10549" xr:uid="{00000000-0005-0000-0000-000034290000}"/>
    <cellStyle name="20% - Accent5 87 23 2" xfId="10550" xr:uid="{00000000-0005-0000-0000-000035290000}"/>
    <cellStyle name="20% - Accent5 87 23 2 2" xfId="10551" xr:uid="{00000000-0005-0000-0000-000036290000}"/>
    <cellStyle name="20% - Accent5 87 23 3" xfId="10552" xr:uid="{00000000-0005-0000-0000-000037290000}"/>
    <cellStyle name="20% - Accent5 87 24" xfId="10553" xr:uid="{00000000-0005-0000-0000-000038290000}"/>
    <cellStyle name="20% - Accent5 87 24 2" xfId="10554" xr:uid="{00000000-0005-0000-0000-000039290000}"/>
    <cellStyle name="20% - Accent5 87 24 2 2" xfId="10555" xr:uid="{00000000-0005-0000-0000-00003A290000}"/>
    <cellStyle name="20% - Accent5 87 24 3" xfId="10556" xr:uid="{00000000-0005-0000-0000-00003B290000}"/>
    <cellStyle name="20% - Accent5 87 25" xfId="10557" xr:uid="{00000000-0005-0000-0000-00003C290000}"/>
    <cellStyle name="20% - Accent5 87 25 2" xfId="10558" xr:uid="{00000000-0005-0000-0000-00003D290000}"/>
    <cellStyle name="20% - Accent5 87 25 2 2" xfId="10559" xr:uid="{00000000-0005-0000-0000-00003E290000}"/>
    <cellStyle name="20% - Accent5 87 25 3" xfId="10560" xr:uid="{00000000-0005-0000-0000-00003F290000}"/>
    <cellStyle name="20% - Accent5 87 26" xfId="10561" xr:uid="{00000000-0005-0000-0000-000040290000}"/>
    <cellStyle name="20% - Accent5 87 26 2" xfId="10562" xr:uid="{00000000-0005-0000-0000-000041290000}"/>
    <cellStyle name="20% - Accent5 87 26 2 2" xfId="10563" xr:uid="{00000000-0005-0000-0000-000042290000}"/>
    <cellStyle name="20% - Accent5 87 26 3" xfId="10564" xr:uid="{00000000-0005-0000-0000-000043290000}"/>
    <cellStyle name="20% - Accent5 87 27" xfId="10565" xr:uid="{00000000-0005-0000-0000-000044290000}"/>
    <cellStyle name="20% - Accent5 87 27 2" xfId="10566" xr:uid="{00000000-0005-0000-0000-000045290000}"/>
    <cellStyle name="20% - Accent5 87 27 2 2" xfId="10567" xr:uid="{00000000-0005-0000-0000-000046290000}"/>
    <cellStyle name="20% - Accent5 87 27 3" xfId="10568" xr:uid="{00000000-0005-0000-0000-000047290000}"/>
    <cellStyle name="20% - Accent5 87 28" xfId="10569" xr:uid="{00000000-0005-0000-0000-000048290000}"/>
    <cellStyle name="20% - Accent5 87 28 2" xfId="10570" xr:uid="{00000000-0005-0000-0000-000049290000}"/>
    <cellStyle name="20% - Accent5 87 28 2 2" xfId="10571" xr:uid="{00000000-0005-0000-0000-00004A290000}"/>
    <cellStyle name="20% - Accent5 87 28 3" xfId="10572" xr:uid="{00000000-0005-0000-0000-00004B290000}"/>
    <cellStyle name="20% - Accent5 87 29" xfId="10573" xr:uid="{00000000-0005-0000-0000-00004C290000}"/>
    <cellStyle name="20% - Accent5 87 29 2" xfId="10574" xr:uid="{00000000-0005-0000-0000-00004D290000}"/>
    <cellStyle name="20% - Accent5 87 29 2 2" xfId="10575" xr:uid="{00000000-0005-0000-0000-00004E290000}"/>
    <cellStyle name="20% - Accent5 87 29 3" xfId="10576" xr:uid="{00000000-0005-0000-0000-00004F290000}"/>
    <cellStyle name="20% - Accent5 87 3" xfId="10577" xr:uid="{00000000-0005-0000-0000-000050290000}"/>
    <cellStyle name="20% - Accent5 87 3 2" xfId="10578" xr:uid="{00000000-0005-0000-0000-000051290000}"/>
    <cellStyle name="20% - Accent5 87 3 2 2" xfId="10579" xr:uid="{00000000-0005-0000-0000-000052290000}"/>
    <cellStyle name="20% - Accent5 87 3 3" xfId="10580" xr:uid="{00000000-0005-0000-0000-000053290000}"/>
    <cellStyle name="20% - Accent5 87 30" xfId="10581" xr:uid="{00000000-0005-0000-0000-000054290000}"/>
    <cellStyle name="20% - Accent5 87 30 2" xfId="10582" xr:uid="{00000000-0005-0000-0000-000055290000}"/>
    <cellStyle name="20% - Accent5 87 30 2 2" xfId="10583" xr:uid="{00000000-0005-0000-0000-000056290000}"/>
    <cellStyle name="20% - Accent5 87 30 3" xfId="10584" xr:uid="{00000000-0005-0000-0000-000057290000}"/>
    <cellStyle name="20% - Accent5 87 31" xfId="10585" xr:uid="{00000000-0005-0000-0000-000058290000}"/>
    <cellStyle name="20% - Accent5 87 31 2" xfId="10586" xr:uid="{00000000-0005-0000-0000-000059290000}"/>
    <cellStyle name="20% - Accent5 87 31 2 2" xfId="10587" xr:uid="{00000000-0005-0000-0000-00005A290000}"/>
    <cellStyle name="20% - Accent5 87 31 3" xfId="10588" xr:uid="{00000000-0005-0000-0000-00005B290000}"/>
    <cellStyle name="20% - Accent5 87 32" xfId="10589" xr:uid="{00000000-0005-0000-0000-00005C290000}"/>
    <cellStyle name="20% - Accent5 87 32 2" xfId="10590" xr:uid="{00000000-0005-0000-0000-00005D290000}"/>
    <cellStyle name="20% - Accent5 87 32 2 2" xfId="10591" xr:uid="{00000000-0005-0000-0000-00005E290000}"/>
    <cellStyle name="20% - Accent5 87 32 3" xfId="10592" xr:uid="{00000000-0005-0000-0000-00005F290000}"/>
    <cellStyle name="20% - Accent5 87 33" xfId="10593" xr:uid="{00000000-0005-0000-0000-000060290000}"/>
    <cellStyle name="20% - Accent5 87 33 2" xfId="10594" xr:uid="{00000000-0005-0000-0000-000061290000}"/>
    <cellStyle name="20% - Accent5 87 33 2 2" xfId="10595" xr:uid="{00000000-0005-0000-0000-000062290000}"/>
    <cellStyle name="20% - Accent5 87 33 3" xfId="10596" xr:uid="{00000000-0005-0000-0000-000063290000}"/>
    <cellStyle name="20% - Accent5 87 34" xfId="10597" xr:uid="{00000000-0005-0000-0000-000064290000}"/>
    <cellStyle name="20% - Accent5 87 34 2" xfId="10598" xr:uid="{00000000-0005-0000-0000-000065290000}"/>
    <cellStyle name="20% - Accent5 87 34 2 2" xfId="10599" xr:uid="{00000000-0005-0000-0000-000066290000}"/>
    <cellStyle name="20% - Accent5 87 34 3" xfId="10600" xr:uid="{00000000-0005-0000-0000-000067290000}"/>
    <cellStyle name="20% - Accent5 87 35" xfId="10601" xr:uid="{00000000-0005-0000-0000-000068290000}"/>
    <cellStyle name="20% - Accent5 87 35 2" xfId="10602" xr:uid="{00000000-0005-0000-0000-000069290000}"/>
    <cellStyle name="20% - Accent5 87 35 2 2" xfId="10603" xr:uid="{00000000-0005-0000-0000-00006A290000}"/>
    <cellStyle name="20% - Accent5 87 35 3" xfId="10604" xr:uid="{00000000-0005-0000-0000-00006B290000}"/>
    <cellStyle name="20% - Accent5 87 36" xfId="10605" xr:uid="{00000000-0005-0000-0000-00006C290000}"/>
    <cellStyle name="20% - Accent5 87 36 2" xfId="10606" xr:uid="{00000000-0005-0000-0000-00006D290000}"/>
    <cellStyle name="20% - Accent5 87 36 2 2" xfId="10607" xr:uid="{00000000-0005-0000-0000-00006E290000}"/>
    <cellStyle name="20% - Accent5 87 36 3" xfId="10608" xr:uid="{00000000-0005-0000-0000-00006F290000}"/>
    <cellStyle name="20% - Accent5 87 4" xfId="10609" xr:uid="{00000000-0005-0000-0000-000070290000}"/>
    <cellStyle name="20% - Accent5 87 4 2" xfId="10610" xr:uid="{00000000-0005-0000-0000-000071290000}"/>
    <cellStyle name="20% - Accent5 87 4 2 2" xfId="10611" xr:uid="{00000000-0005-0000-0000-000072290000}"/>
    <cellStyle name="20% - Accent5 87 4 3" xfId="10612" xr:uid="{00000000-0005-0000-0000-000073290000}"/>
    <cellStyle name="20% - Accent5 87 5" xfId="10613" xr:uid="{00000000-0005-0000-0000-000074290000}"/>
    <cellStyle name="20% - Accent5 87 5 2" xfId="10614" xr:uid="{00000000-0005-0000-0000-000075290000}"/>
    <cellStyle name="20% - Accent5 87 5 2 2" xfId="10615" xr:uid="{00000000-0005-0000-0000-000076290000}"/>
    <cellStyle name="20% - Accent5 87 5 3" xfId="10616" xr:uid="{00000000-0005-0000-0000-000077290000}"/>
    <cellStyle name="20% - Accent5 87 6" xfId="10617" xr:uid="{00000000-0005-0000-0000-000078290000}"/>
    <cellStyle name="20% - Accent5 87 6 2" xfId="10618" xr:uid="{00000000-0005-0000-0000-000079290000}"/>
    <cellStyle name="20% - Accent5 87 6 2 2" xfId="10619" xr:uid="{00000000-0005-0000-0000-00007A290000}"/>
    <cellStyle name="20% - Accent5 87 6 3" xfId="10620" xr:uid="{00000000-0005-0000-0000-00007B290000}"/>
    <cellStyle name="20% - Accent5 87 7" xfId="10621" xr:uid="{00000000-0005-0000-0000-00007C290000}"/>
    <cellStyle name="20% - Accent5 87 7 2" xfId="10622" xr:uid="{00000000-0005-0000-0000-00007D290000}"/>
    <cellStyle name="20% - Accent5 87 7 2 2" xfId="10623" xr:uid="{00000000-0005-0000-0000-00007E290000}"/>
    <cellStyle name="20% - Accent5 87 7 3" xfId="10624" xr:uid="{00000000-0005-0000-0000-00007F290000}"/>
    <cellStyle name="20% - Accent5 87 8" xfId="10625" xr:uid="{00000000-0005-0000-0000-000080290000}"/>
    <cellStyle name="20% - Accent5 87 8 2" xfId="10626" xr:uid="{00000000-0005-0000-0000-000081290000}"/>
    <cellStyle name="20% - Accent5 87 8 2 2" xfId="10627" xr:uid="{00000000-0005-0000-0000-000082290000}"/>
    <cellStyle name="20% - Accent5 87 8 3" xfId="10628" xr:uid="{00000000-0005-0000-0000-000083290000}"/>
    <cellStyle name="20% - Accent5 87 9" xfId="10629" xr:uid="{00000000-0005-0000-0000-000084290000}"/>
    <cellStyle name="20% - Accent5 87 9 2" xfId="10630" xr:uid="{00000000-0005-0000-0000-000085290000}"/>
    <cellStyle name="20% - Accent5 87 9 2 2" xfId="10631" xr:uid="{00000000-0005-0000-0000-000086290000}"/>
    <cellStyle name="20% - Accent5 87 9 3" xfId="10632" xr:uid="{00000000-0005-0000-0000-000087290000}"/>
    <cellStyle name="20% - Accent5 88" xfId="10633" xr:uid="{00000000-0005-0000-0000-000088290000}"/>
    <cellStyle name="20% - Accent5 88 10" xfId="10634" xr:uid="{00000000-0005-0000-0000-000089290000}"/>
    <cellStyle name="20% - Accent5 88 10 2" xfId="10635" xr:uid="{00000000-0005-0000-0000-00008A290000}"/>
    <cellStyle name="20% - Accent5 88 10 2 2" xfId="10636" xr:uid="{00000000-0005-0000-0000-00008B290000}"/>
    <cellStyle name="20% - Accent5 88 10 3" xfId="10637" xr:uid="{00000000-0005-0000-0000-00008C290000}"/>
    <cellStyle name="20% - Accent5 88 11" xfId="10638" xr:uid="{00000000-0005-0000-0000-00008D290000}"/>
    <cellStyle name="20% - Accent5 88 11 2" xfId="10639" xr:uid="{00000000-0005-0000-0000-00008E290000}"/>
    <cellStyle name="20% - Accent5 88 11 2 2" xfId="10640" xr:uid="{00000000-0005-0000-0000-00008F290000}"/>
    <cellStyle name="20% - Accent5 88 11 3" xfId="10641" xr:uid="{00000000-0005-0000-0000-000090290000}"/>
    <cellStyle name="20% - Accent5 88 12" xfId="10642" xr:uid="{00000000-0005-0000-0000-000091290000}"/>
    <cellStyle name="20% - Accent5 88 12 2" xfId="10643" xr:uid="{00000000-0005-0000-0000-000092290000}"/>
    <cellStyle name="20% - Accent5 88 12 2 2" xfId="10644" xr:uid="{00000000-0005-0000-0000-000093290000}"/>
    <cellStyle name="20% - Accent5 88 12 3" xfId="10645" xr:uid="{00000000-0005-0000-0000-000094290000}"/>
    <cellStyle name="20% - Accent5 88 13" xfId="10646" xr:uid="{00000000-0005-0000-0000-000095290000}"/>
    <cellStyle name="20% - Accent5 88 13 2" xfId="10647" xr:uid="{00000000-0005-0000-0000-000096290000}"/>
    <cellStyle name="20% - Accent5 88 13 2 2" xfId="10648" xr:uid="{00000000-0005-0000-0000-000097290000}"/>
    <cellStyle name="20% - Accent5 88 13 3" xfId="10649" xr:uid="{00000000-0005-0000-0000-000098290000}"/>
    <cellStyle name="20% - Accent5 88 14" xfId="10650" xr:uid="{00000000-0005-0000-0000-000099290000}"/>
    <cellStyle name="20% - Accent5 88 14 2" xfId="10651" xr:uid="{00000000-0005-0000-0000-00009A290000}"/>
    <cellStyle name="20% - Accent5 88 14 2 2" xfId="10652" xr:uid="{00000000-0005-0000-0000-00009B290000}"/>
    <cellStyle name="20% - Accent5 88 14 3" xfId="10653" xr:uid="{00000000-0005-0000-0000-00009C290000}"/>
    <cellStyle name="20% - Accent5 88 15" xfId="10654" xr:uid="{00000000-0005-0000-0000-00009D290000}"/>
    <cellStyle name="20% - Accent5 88 15 2" xfId="10655" xr:uid="{00000000-0005-0000-0000-00009E290000}"/>
    <cellStyle name="20% - Accent5 88 15 2 2" xfId="10656" xr:uid="{00000000-0005-0000-0000-00009F290000}"/>
    <cellStyle name="20% - Accent5 88 15 3" xfId="10657" xr:uid="{00000000-0005-0000-0000-0000A0290000}"/>
    <cellStyle name="20% - Accent5 88 16" xfId="10658" xr:uid="{00000000-0005-0000-0000-0000A1290000}"/>
    <cellStyle name="20% - Accent5 88 16 2" xfId="10659" xr:uid="{00000000-0005-0000-0000-0000A2290000}"/>
    <cellStyle name="20% - Accent5 88 16 2 2" xfId="10660" xr:uid="{00000000-0005-0000-0000-0000A3290000}"/>
    <cellStyle name="20% - Accent5 88 16 3" xfId="10661" xr:uid="{00000000-0005-0000-0000-0000A4290000}"/>
    <cellStyle name="20% - Accent5 88 17" xfId="10662" xr:uid="{00000000-0005-0000-0000-0000A5290000}"/>
    <cellStyle name="20% - Accent5 88 17 2" xfId="10663" xr:uid="{00000000-0005-0000-0000-0000A6290000}"/>
    <cellStyle name="20% - Accent5 88 17 2 2" xfId="10664" xr:uid="{00000000-0005-0000-0000-0000A7290000}"/>
    <cellStyle name="20% - Accent5 88 17 3" xfId="10665" xr:uid="{00000000-0005-0000-0000-0000A8290000}"/>
    <cellStyle name="20% - Accent5 88 18" xfId="10666" xr:uid="{00000000-0005-0000-0000-0000A9290000}"/>
    <cellStyle name="20% - Accent5 88 18 2" xfId="10667" xr:uid="{00000000-0005-0000-0000-0000AA290000}"/>
    <cellStyle name="20% - Accent5 88 18 2 2" xfId="10668" xr:uid="{00000000-0005-0000-0000-0000AB290000}"/>
    <cellStyle name="20% - Accent5 88 18 3" xfId="10669" xr:uid="{00000000-0005-0000-0000-0000AC290000}"/>
    <cellStyle name="20% - Accent5 88 19" xfId="10670" xr:uid="{00000000-0005-0000-0000-0000AD290000}"/>
    <cellStyle name="20% - Accent5 88 19 2" xfId="10671" xr:uid="{00000000-0005-0000-0000-0000AE290000}"/>
    <cellStyle name="20% - Accent5 88 19 2 2" xfId="10672" xr:uid="{00000000-0005-0000-0000-0000AF290000}"/>
    <cellStyle name="20% - Accent5 88 19 3" xfId="10673" xr:uid="{00000000-0005-0000-0000-0000B0290000}"/>
    <cellStyle name="20% - Accent5 88 2" xfId="10674" xr:uid="{00000000-0005-0000-0000-0000B1290000}"/>
    <cellStyle name="20% - Accent5 88 2 2" xfId="10675" xr:uid="{00000000-0005-0000-0000-0000B2290000}"/>
    <cellStyle name="20% - Accent5 88 2 2 2" xfId="10676" xr:uid="{00000000-0005-0000-0000-0000B3290000}"/>
    <cellStyle name="20% - Accent5 88 2 3" xfId="10677" xr:uid="{00000000-0005-0000-0000-0000B4290000}"/>
    <cellStyle name="20% - Accent5 88 20" xfId="10678" xr:uid="{00000000-0005-0000-0000-0000B5290000}"/>
    <cellStyle name="20% - Accent5 88 20 2" xfId="10679" xr:uid="{00000000-0005-0000-0000-0000B6290000}"/>
    <cellStyle name="20% - Accent5 88 20 2 2" xfId="10680" xr:uid="{00000000-0005-0000-0000-0000B7290000}"/>
    <cellStyle name="20% - Accent5 88 20 3" xfId="10681" xr:uid="{00000000-0005-0000-0000-0000B8290000}"/>
    <cellStyle name="20% - Accent5 88 21" xfId="10682" xr:uid="{00000000-0005-0000-0000-0000B9290000}"/>
    <cellStyle name="20% - Accent5 88 21 2" xfId="10683" xr:uid="{00000000-0005-0000-0000-0000BA290000}"/>
    <cellStyle name="20% - Accent5 88 21 2 2" xfId="10684" xr:uid="{00000000-0005-0000-0000-0000BB290000}"/>
    <cellStyle name="20% - Accent5 88 21 3" xfId="10685" xr:uid="{00000000-0005-0000-0000-0000BC290000}"/>
    <cellStyle name="20% - Accent5 88 22" xfId="10686" xr:uid="{00000000-0005-0000-0000-0000BD290000}"/>
    <cellStyle name="20% - Accent5 88 22 2" xfId="10687" xr:uid="{00000000-0005-0000-0000-0000BE290000}"/>
    <cellStyle name="20% - Accent5 88 22 2 2" xfId="10688" xr:uid="{00000000-0005-0000-0000-0000BF290000}"/>
    <cellStyle name="20% - Accent5 88 22 3" xfId="10689" xr:uid="{00000000-0005-0000-0000-0000C0290000}"/>
    <cellStyle name="20% - Accent5 88 23" xfId="10690" xr:uid="{00000000-0005-0000-0000-0000C1290000}"/>
    <cellStyle name="20% - Accent5 88 23 2" xfId="10691" xr:uid="{00000000-0005-0000-0000-0000C2290000}"/>
    <cellStyle name="20% - Accent5 88 23 2 2" xfId="10692" xr:uid="{00000000-0005-0000-0000-0000C3290000}"/>
    <cellStyle name="20% - Accent5 88 23 3" xfId="10693" xr:uid="{00000000-0005-0000-0000-0000C4290000}"/>
    <cellStyle name="20% - Accent5 88 24" xfId="10694" xr:uid="{00000000-0005-0000-0000-0000C5290000}"/>
    <cellStyle name="20% - Accent5 88 24 2" xfId="10695" xr:uid="{00000000-0005-0000-0000-0000C6290000}"/>
    <cellStyle name="20% - Accent5 88 24 2 2" xfId="10696" xr:uid="{00000000-0005-0000-0000-0000C7290000}"/>
    <cellStyle name="20% - Accent5 88 24 3" xfId="10697" xr:uid="{00000000-0005-0000-0000-0000C8290000}"/>
    <cellStyle name="20% - Accent5 88 25" xfId="10698" xr:uid="{00000000-0005-0000-0000-0000C9290000}"/>
    <cellStyle name="20% - Accent5 88 25 2" xfId="10699" xr:uid="{00000000-0005-0000-0000-0000CA290000}"/>
    <cellStyle name="20% - Accent5 88 25 2 2" xfId="10700" xr:uid="{00000000-0005-0000-0000-0000CB290000}"/>
    <cellStyle name="20% - Accent5 88 25 3" xfId="10701" xr:uid="{00000000-0005-0000-0000-0000CC290000}"/>
    <cellStyle name="20% - Accent5 88 26" xfId="10702" xr:uid="{00000000-0005-0000-0000-0000CD290000}"/>
    <cellStyle name="20% - Accent5 88 26 2" xfId="10703" xr:uid="{00000000-0005-0000-0000-0000CE290000}"/>
    <cellStyle name="20% - Accent5 88 26 2 2" xfId="10704" xr:uid="{00000000-0005-0000-0000-0000CF290000}"/>
    <cellStyle name="20% - Accent5 88 26 3" xfId="10705" xr:uid="{00000000-0005-0000-0000-0000D0290000}"/>
    <cellStyle name="20% - Accent5 88 27" xfId="10706" xr:uid="{00000000-0005-0000-0000-0000D1290000}"/>
    <cellStyle name="20% - Accent5 88 27 2" xfId="10707" xr:uid="{00000000-0005-0000-0000-0000D2290000}"/>
    <cellStyle name="20% - Accent5 88 27 2 2" xfId="10708" xr:uid="{00000000-0005-0000-0000-0000D3290000}"/>
    <cellStyle name="20% - Accent5 88 27 3" xfId="10709" xr:uid="{00000000-0005-0000-0000-0000D4290000}"/>
    <cellStyle name="20% - Accent5 88 28" xfId="10710" xr:uid="{00000000-0005-0000-0000-0000D5290000}"/>
    <cellStyle name="20% - Accent5 88 28 2" xfId="10711" xr:uid="{00000000-0005-0000-0000-0000D6290000}"/>
    <cellStyle name="20% - Accent5 88 28 2 2" xfId="10712" xr:uid="{00000000-0005-0000-0000-0000D7290000}"/>
    <cellStyle name="20% - Accent5 88 28 3" xfId="10713" xr:uid="{00000000-0005-0000-0000-0000D8290000}"/>
    <cellStyle name="20% - Accent5 88 29" xfId="10714" xr:uid="{00000000-0005-0000-0000-0000D9290000}"/>
    <cellStyle name="20% - Accent5 88 29 2" xfId="10715" xr:uid="{00000000-0005-0000-0000-0000DA290000}"/>
    <cellStyle name="20% - Accent5 88 29 2 2" xfId="10716" xr:uid="{00000000-0005-0000-0000-0000DB290000}"/>
    <cellStyle name="20% - Accent5 88 29 3" xfId="10717" xr:uid="{00000000-0005-0000-0000-0000DC290000}"/>
    <cellStyle name="20% - Accent5 88 3" xfId="10718" xr:uid="{00000000-0005-0000-0000-0000DD290000}"/>
    <cellStyle name="20% - Accent5 88 3 2" xfId="10719" xr:uid="{00000000-0005-0000-0000-0000DE290000}"/>
    <cellStyle name="20% - Accent5 88 3 2 2" xfId="10720" xr:uid="{00000000-0005-0000-0000-0000DF290000}"/>
    <cellStyle name="20% - Accent5 88 3 3" xfId="10721" xr:uid="{00000000-0005-0000-0000-0000E0290000}"/>
    <cellStyle name="20% - Accent5 88 30" xfId="10722" xr:uid="{00000000-0005-0000-0000-0000E1290000}"/>
    <cellStyle name="20% - Accent5 88 30 2" xfId="10723" xr:uid="{00000000-0005-0000-0000-0000E2290000}"/>
    <cellStyle name="20% - Accent5 88 30 2 2" xfId="10724" xr:uid="{00000000-0005-0000-0000-0000E3290000}"/>
    <cellStyle name="20% - Accent5 88 30 3" xfId="10725" xr:uid="{00000000-0005-0000-0000-0000E4290000}"/>
    <cellStyle name="20% - Accent5 88 31" xfId="10726" xr:uid="{00000000-0005-0000-0000-0000E5290000}"/>
    <cellStyle name="20% - Accent5 88 31 2" xfId="10727" xr:uid="{00000000-0005-0000-0000-0000E6290000}"/>
    <cellStyle name="20% - Accent5 88 31 2 2" xfId="10728" xr:uid="{00000000-0005-0000-0000-0000E7290000}"/>
    <cellStyle name="20% - Accent5 88 31 3" xfId="10729" xr:uid="{00000000-0005-0000-0000-0000E8290000}"/>
    <cellStyle name="20% - Accent5 88 32" xfId="10730" xr:uid="{00000000-0005-0000-0000-0000E9290000}"/>
    <cellStyle name="20% - Accent5 88 32 2" xfId="10731" xr:uid="{00000000-0005-0000-0000-0000EA290000}"/>
    <cellStyle name="20% - Accent5 88 32 2 2" xfId="10732" xr:uid="{00000000-0005-0000-0000-0000EB290000}"/>
    <cellStyle name="20% - Accent5 88 32 3" xfId="10733" xr:uid="{00000000-0005-0000-0000-0000EC290000}"/>
    <cellStyle name="20% - Accent5 88 33" xfId="10734" xr:uid="{00000000-0005-0000-0000-0000ED290000}"/>
    <cellStyle name="20% - Accent5 88 33 2" xfId="10735" xr:uid="{00000000-0005-0000-0000-0000EE290000}"/>
    <cellStyle name="20% - Accent5 88 33 2 2" xfId="10736" xr:uid="{00000000-0005-0000-0000-0000EF290000}"/>
    <cellStyle name="20% - Accent5 88 33 3" xfId="10737" xr:uid="{00000000-0005-0000-0000-0000F0290000}"/>
    <cellStyle name="20% - Accent5 88 34" xfId="10738" xr:uid="{00000000-0005-0000-0000-0000F1290000}"/>
    <cellStyle name="20% - Accent5 88 34 2" xfId="10739" xr:uid="{00000000-0005-0000-0000-0000F2290000}"/>
    <cellStyle name="20% - Accent5 88 34 2 2" xfId="10740" xr:uid="{00000000-0005-0000-0000-0000F3290000}"/>
    <cellStyle name="20% - Accent5 88 34 3" xfId="10741" xr:uid="{00000000-0005-0000-0000-0000F4290000}"/>
    <cellStyle name="20% - Accent5 88 35" xfId="10742" xr:uid="{00000000-0005-0000-0000-0000F5290000}"/>
    <cellStyle name="20% - Accent5 88 35 2" xfId="10743" xr:uid="{00000000-0005-0000-0000-0000F6290000}"/>
    <cellStyle name="20% - Accent5 88 35 2 2" xfId="10744" xr:uid="{00000000-0005-0000-0000-0000F7290000}"/>
    <cellStyle name="20% - Accent5 88 35 3" xfId="10745" xr:uid="{00000000-0005-0000-0000-0000F8290000}"/>
    <cellStyle name="20% - Accent5 88 36" xfId="10746" xr:uid="{00000000-0005-0000-0000-0000F9290000}"/>
    <cellStyle name="20% - Accent5 88 36 2" xfId="10747" xr:uid="{00000000-0005-0000-0000-0000FA290000}"/>
    <cellStyle name="20% - Accent5 88 36 2 2" xfId="10748" xr:uid="{00000000-0005-0000-0000-0000FB290000}"/>
    <cellStyle name="20% - Accent5 88 36 3" xfId="10749" xr:uid="{00000000-0005-0000-0000-0000FC290000}"/>
    <cellStyle name="20% - Accent5 88 37" xfId="10750" xr:uid="{00000000-0005-0000-0000-0000FD290000}"/>
    <cellStyle name="20% - Accent5 88 37 2" xfId="10751" xr:uid="{00000000-0005-0000-0000-0000FE290000}"/>
    <cellStyle name="20% - Accent5 88 38" xfId="10752" xr:uid="{00000000-0005-0000-0000-0000FF290000}"/>
    <cellStyle name="20% - Accent5 88 4" xfId="10753" xr:uid="{00000000-0005-0000-0000-0000002A0000}"/>
    <cellStyle name="20% - Accent5 88 4 2" xfId="10754" xr:uid="{00000000-0005-0000-0000-0000012A0000}"/>
    <cellStyle name="20% - Accent5 88 4 2 2" xfId="10755" xr:uid="{00000000-0005-0000-0000-0000022A0000}"/>
    <cellStyle name="20% - Accent5 88 4 3" xfId="10756" xr:uid="{00000000-0005-0000-0000-0000032A0000}"/>
    <cellStyle name="20% - Accent5 88 5" xfId="10757" xr:uid="{00000000-0005-0000-0000-0000042A0000}"/>
    <cellStyle name="20% - Accent5 88 5 2" xfId="10758" xr:uid="{00000000-0005-0000-0000-0000052A0000}"/>
    <cellStyle name="20% - Accent5 88 5 2 2" xfId="10759" xr:uid="{00000000-0005-0000-0000-0000062A0000}"/>
    <cellStyle name="20% - Accent5 88 5 3" xfId="10760" xr:uid="{00000000-0005-0000-0000-0000072A0000}"/>
    <cellStyle name="20% - Accent5 88 6" xfId="10761" xr:uid="{00000000-0005-0000-0000-0000082A0000}"/>
    <cellStyle name="20% - Accent5 88 6 2" xfId="10762" xr:uid="{00000000-0005-0000-0000-0000092A0000}"/>
    <cellStyle name="20% - Accent5 88 6 2 2" xfId="10763" xr:uid="{00000000-0005-0000-0000-00000A2A0000}"/>
    <cellStyle name="20% - Accent5 88 6 3" xfId="10764" xr:uid="{00000000-0005-0000-0000-00000B2A0000}"/>
    <cellStyle name="20% - Accent5 88 7" xfId="10765" xr:uid="{00000000-0005-0000-0000-00000C2A0000}"/>
    <cellStyle name="20% - Accent5 88 7 2" xfId="10766" xr:uid="{00000000-0005-0000-0000-00000D2A0000}"/>
    <cellStyle name="20% - Accent5 88 7 2 2" xfId="10767" xr:uid="{00000000-0005-0000-0000-00000E2A0000}"/>
    <cellStyle name="20% - Accent5 88 7 3" xfId="10768" xr:uid="{00000000-0005-0000-0000-00000F2A0000}"/>
    <cellStyle name="20% - Accent5 88 8" xfId="10769" xr:uid="{00000000-0005-0000-0000-0000102A0000}"/>
    <cellStyle name="20% - Accent5 88 8 2" xfId="10770" xr:uid="{00000000-0005-0000-0000-0000112A0000}"/>
    <cellStyle name="20% - Accent5 88 8 2 2" xfId="10771" xr:uid="{00000000-0005-0000-0000-0000122A0000}"/>
    <cellStyle name="20% - Accent5 88 8 3" xfId="10772" xr:uid="{00000000-0005-0000-0000-0000132A0000}"/>
    <cellStyle name="20% - Accent5 88 9" xfId="10773" xr:uid="{00000000-0005-0000-0000-0000142A0000}"/>
    <cellStyle name="20% - Accent5 88 9 2" xfId="10774" xr:uid="{00000000-0005-0000-0000-0000152A0000}"/>
    <cellStyle name="20% - Accent5 88 9 2 2" xfId="10775" xr:uid="{00000000-0005-0000-0000-0000162A0000}"/>
    <cellStyle name="20% - Accent5 88 9 3" xfId="10776" xr:uid="{00000000-0005-0000-0000-0000172A0000}"/>
    <cellStyle name="20% - Accent5 89" xfId="10777" xr:uid="{00000000-0005-0000-0000-0000182A0000}"/>
    <cellStyle name="20% - Accent5 89 2" xfId="10778" xr:uid="{00000000-0005-0000-0000-0000192A0000}"/>
    <cellStyle name="20% - Accent5 9" xfId="10779" xr:uid="{00000000-0005-0000-0000-00001A2A0000}"/>
    <cellStyle name="20% - Accent5 9 2" xfId="10780" xr:uid="{00000000-0005-0000-0000-00001B2A0000}"/>
    <cellStyle name="20% - Accent5 9 2 2" xfId="10781" xr:uid="{00000000-0005-0000-0000-00001C2A0000}"/>
    <cellStyle name="20% - Accent5 9 3" xfId="10782" xr:uid="{00000000-0005-0000-0000-00001D2A0000}"/>
    <cellStyle name="20% - Accent5 90" xfId="10783" xr:uid="{00000000-0005-0000-0000-00001E2A0000}"/>
    <cellStyle name="20% - Accent5 90 2" xfId="10784" xr:uid="{00000000-0005-0000-0000-00001F2A0000}"/>
    <cellStyle name="20% - Accent5 91" xfId="10785" xr:uid="{00000000-0005-0000-0000-0000202A0000}"/>
    <cellStyle name="20% - Accent5 91 2" xfId="10786" xr:uid="{00000000-0005-0000-0000-0000212A0000}"/>
    <cellStyle name="20% - Accent5 92" xfId="10787" xr:uid="{00000000-0005-0000-0000-0000222A0000}"/>
    <cellStyle name="20% - Accent5 92 2" xfId="10788" xr:uid="{00000000-0005-0000-0000-0000232A0000}"/>
    <cellStyle name="20% - Accent5 93" xfId="10789" xr:uid="{00000000-0005-0000-0000-0000242A0000}"/>
    <cellStyle name="20% - Accent5 93 2" xfId="10790" xr:uid="{00000000-0005-0000-0000-0000252A0000}"/>
    <cellStyle name="20% - Accent5 93 2 2" xfId="10791" xr:uid="{00000000-0005-0000-0000-0000262A0000}"/>
    <cellStyle name="20% - Accent5 93 2 2 2" xfId="10792" xr:uid="{00000000-0005-0000-0000-0000272A0000}"/>
    <cellStyle name="20% - Accent5 93 2 3" xfId="10793" xr:uid="{00000000-0005-0000-0000-0000282A0000}"/>
    <cellStyle name="20% - Accent5 93 3" xfId="10794" xr:uid="{00000000-0005-0000-0000-0000292A0000}"/>
    <cellStyle name="20% - Accent5 93 3 2" xfId="10795" xr:uid="{00000000-0005-0000-0000-00002A2A0000}"/>
    <cellStyle name="20% - Accent5 93 4" xfId="10796" xr:uid="{00000000-0005-0000-0000-00002B2A0000}"/>
    <cellStyle name="20% - Accent5 94" xfId="10797" xr:uid="{00000000-0005-0000-0000-00002C2A0000}"/>
    <cellStyle name="20% - Accent5 94 2" xfId="10798" xr:uid="{00000000-0005-0000-0000-00002D2A0000}"/>
    <cellStyle name="20% - Accent5 94 2 2" xfId="10799" xr:uid="{00000000-0005-0000-0000-00002E2A0000}"/>
    <cellStyle name="20% - Accent5 94 2 2 2" xfId="10800" xr:uid="{00000000-0005-0000-0000-00002F2A0000}"/>
    <cellStyle name="20% - Accent5 94 2 3" xfId="10801" xr:uid="{00000000-0005-0000-0000-0000302A0000}"/>
    <cellStyle name="20% - Accent5 94 3" xfId="10802" xr:uid="{00000000-0005-0000-0000-0000312A0000}"/>
    <cellStyle name="20% - Accent5 94 3 2" xfId="10803" xr:uid="{00000000-0005-0000-0000-0000322A0000}"/>
    <cellStyle name="20% - Accent5 94 4" xfId="10804" xr:uid="{00000000-0005-0000-0000-0000332A0000}"/>
    <cellStyle name="20% - Accent5 95" xfId="10805" xr:uid="{00000000-0005-0000-0000-0000342A0000}"/>
    <cellStyle name="20% - Accent5 95 2" xfId="10806" xr:uid="{00000000-0005-0000-0000-0000352A0000}"/>
    <cellStyle name="20% - Accent5 95 2 2" xfId="10807" xr:uid="{00000000-0005-0000-0000-0000362A0000}"/>
    <cellStyle name="20% - Accent5 95 3" xfId="10808" xr:uid="{00000000-0005-0000-0000-0000372A0000}"/>
    <cellStyle name="20% - Accent5 96" xfId="10809" xr:uid="{00000000-0005-0000-0000-0000382A0000}"/>
    <cellStyle name="20% - Accent5 96 2" xfId="10810" xr:uid="{00000000-0005-0000-0000-0000392A0000}"/>
    <cellStyle name="20% - Accent5 96 2 2" xfId="10811" xr:uid="{00000000-0005-0000-0000-00003A2A0000}"/>
    <cellStyle name="20% - Accent5 96 3" xfId="10812" xr:uid="{00000000-0005-0000-0000-00003B2A0000}"/>
    <cellStyle name="20% - Accent5 97" xfId="10813" xr:uid="{00000000-0005-0000-0000-00003C2A0000}"/>
    <cellStyle name="20% - Accent5 97 2" xfId="10814" xr:uid="{00000000-0005-0000-0000-00003D2A0000}"/>
    <cellStyle name="20% - Accent5 97 2 2" xfId="10815" xr:uid="{00000000-0005-0000-0000-00003E2A0000}"/>
    <cellStyle name="20% - Accent5 97 3" xfId="10816" xr:uid="{00000000-0005-0000-0000-00003F2A0000}"/>
    <cellStyle name="20% - Accent5 98" xfId="10817" xr:uid="{00000000-0005-0000-0000-0000402A0000}"/>
    <cellStyle name="20% - Accent5 98 2" xfId="10818" xr:uid="{00000000-0005-0000-0000-0000412A0000}"/>
    <cellStyle name="20% - Accent5 98 2 2" xfId="10819" xr:uid="{00000000-0005-0000-0000-0000422A0000}"/>
    <cellStyle name="20% - Accent5 98 3" xfId="10820" xr:uid="{00000000-0005-0000-0000-0000432A0000}"/>
    <cellStyle name="20% - Accent5 99" xfId="10821" xr:uid="{00000000-0005-0000-0000-0000442A0000}"/>
    <cellStyle name="20% - Accent6" xfId="41035" builtinId="50" customBuiltin="1"/>
    <cellStyle name="20% - Accent6 10" xfId="10822" xr:uid="{00000000-0005-0000-0000-0000462A0000}"/>
    <cellStyle name="20% - Accent6 10 2" xfId="10823" xr:uid="{00000000-0005-0000-0000-0000472A0000}"/>
    <cellStyle name="20% - Accent6 10 2 2" xfId="10824" xr:uid="{00000000-0005-0000-0000-0000482A0000}"/>
    <cellStyle name="20% - Accent6 10 3" xfId="10825" xr:uid="{00000000-0005-0000-0000-0000492A0000}"/>
    <cellStyle name="20% - Accent6 100" xfId="10826" xr:uid="{00000000-0005-0000-0000-00004A2A0000}"/>
    <cellStyle name="20% - Accent6 100 2" xfId="10827" xr:uid="{00000000-0005-0000-0000-00004B2A0000}"/>
    <cellStyle name="20% - Accent6 100 2 2" xfId="10828" xr:uid="{00000000-0005-0000-0000-00004C2A0000}"/>
    <cellStyle name="20% - Accent6 100 3" xfId="10829" xr:uid="{00000000-0005-0000-0000-00004D2A0000}"/>
    <cellStyle name="20% - Accent6 101" xfId="10830" xr:uid="{00000000-0005-0000-0000-00004E2A0000}"/>
    <cellStyle name="20% - Accent6 102" xfId="10831" xr:uid="{00000000-0005-0000-0000-00004F2A0000}"/>
    <cellStyle name="20% - Accent6 102 2" xfId="10832" xr:uid="{00000000-0005-0000-0000-0000502A0000}"/>
    <cellStyle name="20% - Accent6 102 2 2" xfId="10833" xr:uid="{00000000-0005-0000-0000-0000512A0000}"/>
    <cellStyle name="20% - Accent6 102 3" xfId="10834" xr:uid="{00000000-0005-0000-0000-0000522A0000}"/>
    <cellStyle name="20% - Accent6 103" xfId="10835" xr:uid="{00000000-0005-0000-0000-0000532A0000}"/>
    <cellStyle name="20% - Accent6 104" xfId="10836" xr:uid="{00000000-0005-0000-0000-0000542A0000}"/>
    <cellStyle name="20% - Accent6 104 2" xfId="10837" xr:uid="{00000000-0005-0000-0000-0000552A0000}"/>
    <cellStyle name="20% - Accent6 104 2 2" xfId="10838" xr:uid="{00000000-0005-0000-0000-0000562A0000}"/>
    <cellStyle name="20% - Accent6 104 3" xfId="10839" xr:uid="{00000000-0005-0000-0000-0000572A0000}"/>
    <cellStyle name="20% - Accent6 105" xfId="10840" xr:uid="{00000000-0005-0000-0000-0000582A0000}"/>
    <cellStyle name="20% - Accent6 105 2" xfId="10841" xr:uid="{00000000-0005-0000-0000-0000592A0000}"/>
    <cellStyle name="20% - Accent6 105 2 2" xfId="10842" xr:uid="{00000000-0005-0000-0000-00005A2A0000}"/>
    <cellStyle name="20% - Accent6 105 3" xfId="10843" xr:uid="{00000000-0005-0000-0000-00005B2A0000}"/>
    <cellStyle name="20% - Accent6 106" xfId="10844" xr:uid="{00000000-0005-0000-0000-00005C2A0000}"/>
    <cellStyle name="20% - Accent6 107" xfId="10845" xr:uid="{00000000-0005-0000-0000-00005D2A0000}"/>
    <cellStyle name="20% - Accent6 108" xfId="10846" xr:uid="{00000000-0005-0000-0000-00005E2A0000}"/>
    <cellStyle name="20% - Accent6 109" xfId="10847" xr:uid="{00000000-0005-0000-0000-00005F2A0000}"/>
    <cellStyle name="20% - Accent6 11" xfId="10848" xr:uid="{00000000-0005-0000-0000-0000602A0000}"/>
    <cellStyle name="20% - Accent6 11 2" xfId="10849" xr:uid="{00000000-0005-0000-0000-0000612A0000}"/>
    <cellStyle name="20% - Accent6 11 2 2" xfId="10850" xr:uid="{00000000-0005-0000-0000-0000622A0000}"/>
    <cellStyle name="20% - Accent6 11 3" xfId="10851" xr:uid="{00000000-0005-0000-0000-0000632A0000}"/>
    <cellStyle name="20% - Accent6 110" xfId="10852" xr:uid="{00000000-0005-0000-0000-0000642A0000}"/>
    <cellStyle name="20% - Accent6 110 2" xfId="10853" xr:uid="{00000000-0005-0000-0000-0000652A0000}"/>
    <cellStyle name="20% - Accent6 110 2 2" xfId="10854" xr:uid="{00000000-0005-0000-0000-0000662A0000}"/>
    <cellStyle name="20% - Accent6 110 3" xfId="10855" xr:uid="{00000000-0005-0000-0000-0000672A0000}"/>
    <cellStyle name="20% - Accent6 111" xfId="10856" xr:uid="{00000000-0005-0000-0000-0000682A0000}"/>
    <cellStyle name="20% - Accent6 111 2" xfId="10857" xr:uid="{00000000-0005-0000-0000-0000692A0000}"/>
    <cellStyle name="20% - Accent6 111 2 2" xfId="10858" xr:uid="{00000000-0005-0000-0000-00006A2A0000}"/>
    <cellStyle name="20% - Accent6 111 3" xfId="10859" xr:uid="{00000000-0005-0000-0000-00006B2A0000}"/>
    <cellStyle name="20% - Accent6 112" xfId="10860" xr:uid="{00000000-0005-0000-0000-00006C2A0000}"/>
    <cellStyle name="20% - Accent6 112 2" xfId="10861" xr:uid="{00000000-0005-0000-0000-00006D2A0000}"/>
    <cellStyle name="20% - Accent6 112 2 2" xfId="10862" xr:uid="{00000000-0005-0000-0000-00006E2A0000}"/>
    <cellStyle name="20% - Accent6 112 3" xfId="10863" xr:uid="{00000000-0005-0000-0000-00006F2A0000}"/>
    <cellStyle name="20% - Accent6 113" xfId="10864" xr:uid="{00000000-0005-0000-0000-0000702A0000}"/>
    <cellStyle name="20% - Accent6 114" xfId="10865" xr:uid="{00000000-0005-0000-0000-0000712A0000}"/>
    <cellStyle name="20% - Accent6 115" xfId="10866" xr:uid="{00000000-0005-0000-0000-0000722A0000}"/>
    <cellStyle name="20% - Accent6 116" xfId="10867" xr:uid="{00000000-0005-0000-0000-0000732A0000}"/>
    <cellStyle name="20% - Accent6 117" xfId="10868" xr:uid="{00000000-0005-0000-0000-0000742A0000}"/>
    <cellStyle name="20% - Accent6 117 2" xfId="10869" xr:uid="{00000000-0005-0000-0000-0000752A0000}"/>
    <cellStyle name="20% - Accent6 117 2 2" xfId="10870" xr:uid="{00000000-0005-0000-0000-0000762A0000}"/>
    <cellStyle name="20% - Accent6 117 3" xfId="10871" xr:uid="{00000000-0005-0000-0000-0000772A0000}"/>
    <cellStyle name="20% - Accent6 118" xfId="10872" xr:uid="{00000000-0005-0000-0000-0000782A0000}"/>
    <cellStyle name="20% - Accent6 118 2" xfId="10873" xr:uid="{00000000-0005-0000-0000-0000792A0000}"/>
    <cellStyle name="20% - Accent6 118 2 2" xfId="10874" xr:uid="{00000000-0005-0000-0000-00007A2A0000}"/>
    <cellStyle name="20% - Accent6 118 3" xfId="10875" xr:uid="{00000000-0005-0000-0000-00007B2A0000}"/>
    <cellStyle name="20% - Accent6 119" xfId="10876" xr:uid="{00000000-0005-0000-0000-00007C2A0000}"/>
    <cellStyle name="20% - Accent6 119 2" xfId="10877" xr:uid="{00000000-0005-0000-0000-00007D2A0000}"/>
    <cellStyle name="20% - Accent6 119 2 2" xfId="10878" xr:uid="{00000000-0005-0000-0000-00007E2A0000}"/>
    <cellStyle name="20% - Accent6 119 3" xfId="10879" xr:uid="{00000000-0005-0000-0000-00007F2A0000}"/>
    <cellStyle name="20% - Accent6 12" xfId="10880" xr:uid="{00000000-0005-0000-0000-0000802A0000}"/>
    <cellStyle name="20% - Accent6 12 2" xfId="10881" xr:uid="{00000000-0005-0000-0000-0000812A0000}"/>
    <cellStyle name="20% - Accent6 12 2 2" xfId="10882" xr:uid="{00000000-0005-0000-0000-0000822A0000}"/>
    <cellStyle name="20% - Accent6 12 3" xfId="10883" xr:uid="{00000000-0005-0000-0000-0000832A0000}"/>
    <cellStyle name="20% - Accent6 120" xfId="10884" xr:uid="{00000000-0005-0000-0000-0000842A0000}"/>
    <cellStyle name="20% - Accent6 120 2" xfId="10885" xr:uid="{00000000-0005-0000-0000-0000852A0000}"/>
    <cellStyle name="20% - Accent6 120 2 2" xfId="10886" xr:uid="{00000000-0005-0000-0000-0000862A0000}"/>
    <cellStyle name="20% - Accent6 120 3" xfId="10887" xr:uid="{00000000-0005-0000-0000-0000872A0000}"/>
    <cellStyle name="20% - Accent6 121" xfId="10888" xr:uid="{00000000-0005-0000-0000-0000882A0000}"/>
    <cellStyle name="20% - Accent6 121 2" xfId="10889" xr:uid="{00000000-0005-0000-0000-0000892A0000}"/>
    <cellStyle name="20% - Accent6 121 2 2" xfId="10890" xr:uid="{00000000-0005-0000-0000-00008A2A0000}"/>
    <cellStyle name="20% - Accent6 121 3" xfId="10891" xr:uid="{00000000-0005-0000-0000-00008B2A0000}"/>
    <cellStyle name="20% - Accent6 122" xfId="10892" xr:uid="{00000000-0005-0000-0000-00008C2A0000}"/>
    <cellStyle name="20% - Accent6 122 2" xfId="10893" xr:uid="{00000000-0005-0000-0000-00008D2A0000}"/>
    <cellStyle name="20% - Accent6 122 2 2" xfId="10894" xr:uid="{00000000-0005-0000-0000-00008E2A0000}"/>
    <cellStyle name="20% - Accent6 122 3" xfId="10895" xr:uid="{00000000-0005-0000-0000-00008F2A0000}"/>
    <cellStyle name="20% - Accent6 123" xfId="10896" xr:uid="{00000000-0005-0000-0000-0000902A0000}"/>
    <cellStyle name="20% - Accent6 123 2" xfId="10897" xr:uid="{00000000-0005-0000-0000-0000912A0000}"/>
    <cellStyle name="20% - Accent6 123 2 2" xfId="10898" xr:uid="{00000000-0005-0000-0000-0000922A0000}"/>
    <cellStyle name="20% - Accent6 123 3" xfId="10899" xr:uid="{00000000-0005-0000-0000-0000932A0000}"/>
    <cellStyle name="20% - Accent6 124" xfId="10900" xr:uid="{00000000-0005-0000-0000-0000942A0000}"/>
    <cellStyle name="20% - Accent6 125" xfId="10901" xr:uid="{00000000-0005-0000-0000-0000952A0000}"/>
    <cellStyle name="20% - Accent6 125 2" xfId="10902" xr:uid="{00000000-0005-0000-0000-0000962A0000}"/>
    <cellStyle name="20% - Accent6 125 2 2" xfId="10903" xr:uid="{00000000-0005-0000-0000-0000972A0000}"/>
    <cellStyle name="20% - Accent6 125 3" xfId="10904" xr:uid="{00000000-0005-0000-0000-0000982A0000}"/>
    <cellStyle name="20% - Accent6 126" xfId="10905" xr:uid="{00000000-0005-0000-0000-0000992A0000}"/>
    <cellStyle name="20% - Accent6 126 2" xfId="10906" xr:uid="{00000000-0005-0000-0000-00009A2A0000}"/>
    <cellStyle name="20% - Accent6 126 2 2" xfId="10907" xr:uid="{00000000-0005-0000-0000-00009B2A0000}"/>
    <cellStyle name="20% - Accent6 126 3" xfId="10908" xr:uid="{00000000-0005-0000-0000-00009C2A0000}"/>
    <cellStyle name="20% - Accent6 127" xfId="10909" xr:uid="{00000000-0005-0000-0000-00009D2A0000}"/>
    <cellStyle name="20% - Accent6 127 2" xfId="10910" xr:uid="{00000000-0005-0000-0000-00009E2A0000}"/>
    <cellStyle name="20% - Accent6 127 2 2" xfId="10911" xr:uid="{00000000-0005-0000-0000-00009F2A0000}"/>
    <cellStyle name="20% - Accent6 127 3" xfId="10912" xr:uid="{00000000-0005-0000-0000-0000A02A0000}"/>
    <cellStyle name="20% - Accent6 128" xfId="10913" xr:uid="{00000000-0005-0000-0000-0000A12A0000}"/>
    <cellStyle name="20% - Accent6 128 2" xfId="10914" xr:uid="{00000000-0005-0000-0000-0000A22A0000}"/>
    <cellStyle name="20% - Accent6 128 2 2" xfId="10915" xr:uid="{00000000-0005-0000-0000-0000A32A0000}"/>
    <cellStyle name="20% - Accent6 128 3" xfId="10916" xr:uid="{00000000-0005-0000-0000-0000A42A0000}"/>
    <cellStyle name="20% - Accent6 129" xfId="10917" xr:uid="{00000000-0005-0000-0000-0000A52A0000}"/>
    <cellStyle name="20% - Accent6 129 2" xfId="10918" xr:uid="{00000000-0005-0000-0000-0000A62A0000}"/>
    <cellStyle name="20% - Accent6 129 2 2" xfId="10919" xr:uid="{00000000-0005-0000-0000-0000A72A0000}"/>
    <cellStyle name="20% - Accent6 129 3" xfId="10920" xr:uid="{00000000-0005-0000-0000-0000A82A0000}"/>
    <cellStyle name="20% - Accent6 13" xfId="10921" xr:uid="{00000000-0005-0000-0000-0000A92A0000}"/>
    <cellStyle name="20% - Accent6 13 2" xfId="10922" xr:uid="{00000000-0005-0000-0000-0000AA2A0000}"/>
    <cellStyle name="20% - Accent6 13 2 2" xfId="10923" xr:uid="{00000000-0005-0000-0000-0000AB2A0000}"/>
    <cellStyle name="20% - Accent6 13 3" xfId="10924" xr:uid="{00000000-0005-0000-0000-0000AC2A0000}"/>
    <cellStyle name="20% - Accent6 130" xfId="10925" xr:uid="{00000000-0005-0000-0000-0000AD2A0000}"/>
    <cellStyle name="20% - Accent6 130 2" xfId="10926" xr:uid="{00000000-0005-0000-0000-0000AE2A0000}"/>
    <cellStyle name="20% - Accent6 130 2 2" xfId="10927" xr:uid="{00000000-0005-0000-0000-0000AF2A0000}"/>
    <cellStyle name="20% - Accent6 130 3" xfId="10928" xr:uid="{00000000-0005-0000-0000-0000B02A0000}"/>
    <cellStyle name="20% - Accent6 131" xfId="10929" xr:uid="{00000000-0005-0000-0000-0000B12A0000}"/>
    <cellStyle name="20% - Accent6 131 2" xfId="10930" xr:uid="{00000000-0005-0000-0000-0000B22A0000}"/>
    <cellStyle name="20% - Accent6 131 2 2" xfId="10931" xr:uid="{00000000-0005-0000-0000-0000B32A0000}"/>
    <cellStyle name="20% - Accent6 131 3" xfId="10932" xr:uid="{00000000-0005-0000-0000-0000B42A0000}"/>
    <cellStyle name="20% - Accent6 132" xfId="10933" xr:uid="{00000000-0005-0000-0000-0000B52A0000}"/>
    <cellStyle name="20% - Accent6 132 2" xfId="10934" xr:uid="{00000000-0005-0000-0000-0000B62A0000}"/>
    <cellStyle name="20% - Accent6 132 2 2" xfId="10935" xr:uid="{00000000-0005-0000-0000-0000B72A0000}"/>
    <cellStyle name="20% - Accent6 132 3" xfId="10936" xr:uid="{00000000-0005-0000-0000-0000B82A0000}"/>
    <cellStyle name="20% - Accent6 133" xfId="10937" xr:uid="{00000000-0005-0000-0000-0000B92A0000}"/>
    <cellStyle name="20% - Accent6 133 2" xfId="10938" xr:uid="{00000000-0005-0000-0000-0000BA2A0000}"/>
    <cellStyle name="20% - Accent6 133 2 2" xfId="10939" xr:uid="{00000000-0005-0000-0000-0000BB2A0000}"/>
    <cellStyle name="20% - Accent6 133 3" xfId="10940" xr:uid="{00000000-0005-0000-0000-0000BC2A0000}"/>
    <cellStyle name="20% - Accent6 134" xfId="10941" xr:uid="{00000000-0005-0000-0000-0000BD2A0000}"/>
    <cellStyle name="20% - Accent6 134 2" xfId="10942" xr:uid="{00000000-0005-0000-0000-0000BE2A0000}"/>
    <cellStyle name="20% - Accent6 135" xfId="10943" xr:uid="{00000000-0005-0000-0000-0000BF2A0000}"/>
    <cellStyle name="20% - Accent6 135 2" xfId="10944" xr:uid="{00000000-0005-0000-0000-0000C02A0000}"/>
    <cellStyle name="20% - Accent6 136" xfId="10945" xr:uid="{00000000-0005-0000-0000-0000C12A0000}"/>
    <cellStyle name="20% - Accent6 136 2" xfId="10946" xr:uid="{00000000-0005-0000-0000-0000C22A0000}"/>
    <cellStyle name="20% - Accent6 137" xfId="10947" xr:uid="{00000000-0005-0000-0000-0000C32A0000}"/>
    <cellStyle name="20% - Accent6 14" xfId="10948" xr:uid="{00000000-0005-0000-0000-0000C42A0000}"/>
    <cellStyle name="20% - Accent6 14 2" xfId="10949" xr:uid="{00000000-0005-0000-0000-0000C52A0000}"/>
    <cellStyle name="20% - Accent6 14 2 2" xfId="10950" xr:uid="{00000000-0005-0000-0000-0000C62A0000}"/>
    <cellStyle name="20% - Accent6 14 3" xfId="10951" xr:uid="{00000000-0005-0000-0000-0000C72A0000}"/>
    <cellStyle name="20% - Accent6 15" xfId="10952" xr:uid="{00000000-0005-0000-0000-0000C82A0000}"/>
    <cellStyle name="20% - Accent6 15 2" xfId="10953" xr:uid="{00000000-0005-0000-0000-0000C92A0000}"/>
    <cellStyle name="20% - Accent6 15 2 2" xfId="10954" xr:uid="{00000000-0005-0000-0000-0000CA2A0000}"/>
    <cellStyle name="20% - Accent6 15 3" xfId="10955" xr:uid="{00000000-0005-0000-0000-0000CB2A0000}"/>
    <cellStyle name="20% - Accent6 16" xfId="10956" xr:uid="{00000000-0005-0000-0000-0000CC2A0000}"/>
    <cellStyle name="20% - Accent6 16 2" xfId="10957" xr:uid="{00000000-0005-0000-0000-0000CD2A0000}"/>
    <cellStyle name="20% - Accent6 17" xfId="10958" xr:uid="{00000000-0005-0000-0000-0000CE2A0000}"/>
    <cellStyle name="20% - Accent6 17 2" xfId="10959" xr:uid="{00000000-0005-0000-0000-0000CF2A0000}"/>
    <cellStyle name="20% - Accent6 18" xfId="10960" xr:uid="{00000000-0005-0000-0000-0000D02A0000}"/>
    <cellStyle name="20% - Accent6 18 2" xfId="10961" xr:uid="{00000000-0005-0000-0000-0000D12A0000}"/>
    <cellStyle name="20% - Accent6 19" xfId="10962" xr:uid="{00000000-0005-0000-0000-0000D22A0000}"/>
    <cellStyle name="20% - Accent6 19 2" xfId="10963" xr:uid="{00000000-0005-0000-0000-0000D32A0000}"/>
    <cellStyle name="20% - Accent6 2" xfId="10964" xr:uid="{00000000-0005-0000-0000-0000D42A0000}"/>
    <cellStyle name="20% - Accent6 2 2" xfId="10965" xr:uid="{00000000-0005-0000-0000-0000D52A0000}"/>
    <cellStyle name="20% - Accent6 2 2 2" xfId="10966" xr:uid="{00000000-0005-0000-0000-0000D62A0000}"/>
    <cellStyle name="20% - Accent6 2 2 2 2" xfId="10967" xr:uid="{00000000-0005-0000-0000-0000D72A0000}"/>
    <cellStyle name="20% - Accent6 2 2 2 2 2" xfId="10968" xr:uid="{00000000-0005-0000-0000-0000D82A0000}"/>
    <cellStyle name="20% - Accent6 2 3" xfId="10969" xr:uid="{00000000-0005-0000-0000-0000D92A0000}"/>
    <cellStyle name="20% - Accent6 2 4" xfId="10970" xr:uid="{00000000-0005-0000-0000-0000DA2A0000}"/>
    <cellStyle name="20% - Accent6 2 5" xfId="41044" xr:uid="{00000000-0005-0000-0000-000005000000}"/>
    <cellStyle name="20% - Accent6 20" xfId="10971" xr:uid="{00000000-0005-0000-0000-0000DB2A0000}"/>
    <cellStyle name="20% - Accent6 20 2" xfId="10972" xr:uid="{00000000-0005-0000-0000-0000DC2A0000}"/>
    <cellStyle name="20% - Accent6 21" xfId="10973" xr:uid="{00000000-0005-0000-0000-0000DD2A0000}"/>
    <cellStyle name="20% - Accent6 21 2" xfId="10974" xr:uid="{00000000-0005-0000-0000-0000DE2A0000}"/>
    <cellStyle name="20% - Accent6 22" xfId="10975" xr:uid="{00000000-0005-0000-0000-0000DF2A0000}"/>
    <cellStyle name="20% - Accent6 22 2" xfId="10976" xr:uid="{00000000-0005-0000-0000-0000E02A0000}"/>
    <cellStyle name="20% - Accent6 23" xfId="10977" xr:uid="{00000000-0005-0000-0000-0000E12A0000}"/>
    <cellStyle name="20% - Accent6 23 2" xfId="10978" xr:uid="{00000000-0005-0000-0000-0000E22A0000}"/>
    <cellStyle name="20% - Accent6 24" xfId="10979" xr:uid="{00000000-0005-0000-0000-0000E32A0000}"/>
    <cellStyle name="20% - Accent6 24 2" xfId="10980" xr:uid="{00000000-0005-0000-0000-0000E42A0000}"/>
    <cellStyle name="20% - Accent6 25" xfId="10981" xr:uid="{00000000-0005-0000-0000-0000E52A0000}"/>
    <cellStyle name="20% - Accent6 25 2" xfId="10982" xr:uid="{00000000-0005-0000-0000-0000E62A0000}"/>
    <cellStyle name="20% - Accent6 26" xfId="10983" xr:uid="{00000000-0005-0000-0000-0000E72A0000}"/>
    <cellStyle name="20% - Accent6 26 2" xfId="10984" xr:uid="{00000000-0005-0000-0000-0000E82A0000}"/>
    <cellStyle name="20% - Accent6 27" xfId="10985" xr:uid="{00000000-0005-0000-0000-0000E92A0000}"/>
    <cellStyle name="20% - Accent6 27 2" xfId="10986" xr:uid="{00000000-0005-0000-0000-0000EA2A0000}"/>
    <cellStyle name="20% - Accent6 28" xfId="10987" xr:uid="{00000000-0005-0000-0000-0000EB2A0000}"/>
    <cellStyle name="20% - Accent6 28 2" xfId="10988" xr:uid="{00000000-0005-0000-0000-0000EC2A0000}"/>
    <cellStyle name="20% - Accent6 29" xfId="10989" xr:uid="{00000000-0005-0000-0000-0000ED2A0000}"/>
    <cellStyle name="20% - Accent6 29 2" xfId="10990" xr:uid="{00000000-0005-0000-0000-0000EE2A0000}"/>
    <cellStyle name="20% - Accent6 3" xfId="10991" xr:uid="{00000000-0005-0000-0000-0000EF2A0000}"/>
    <cellStyle name="20% - Accent6 3 2" xfId="10992" xr:uid="{00000000-0005-0000-0000-0000F02A0000}"/>
    <cellStyle name="20% - Accent6 3 2 2" xfId="10993" xr:uid="{00000000-0005-0000-0000-0000F12A0000}"/>
    <cellStyle name="20% - Accent6 3 3" xfId="10994" xr:uid="{00000000-0005-0000-0000-0000F22A0000}"/>
    <cellStyle name="20% - Accent6 3 4" xfId="10995" xr:uid="{00000000-0005-0000-0000-0000F32A0000}"/>
    <cellStyle name="20% - Accent6 3 5" xfId="10996" xr:uid="{00000000-0005-0000-0000-0000F42A0000}"/>
    <cellStyle name="20% - Accent6 3_MAR 2009" xfId="10997" xr:uid="{00000000-0005-0000-0000-0000F52A0000}"/>
    <cellStyle name="20% - Accent6 30" xfId="10998" xr:uid="{00000000-0005-0000-0000-0000F62A0000}"/>
    <cellStyle name="20% - Accent6 30 2" xfId="10999" xr:uid="{00000000-0005-0000-0000-0000F72A0000}"/>
    <cellStyle name="20% - Accent6 31" xfId="11000" xr:uid="{00000000-0005-0000-0000-0000F82A0000}"/>
    <cellStyle name="20% - Accent6 31 2" xfId="11001" xr:uid="{00000000-0005-0000-0000-0000F92A0000}"/>
    <cellStyle name="20% - Accent6 32" xfId="11002" xr:uid="{00000000-0005-0000-0000-0000FA2A0000}"/>
    <cellStyle name="20% - Accent6 32 2" xfId="11003" xr:uid="{00000000-0005-0000-0000-0000FB2A0000}"/>
    <cellStyle name="20% - Accent6 33" xfId="11004" xr:uid="{00000000-0005-0000-0000-0000FC2A0000}"/>
    <cellStyle name="20% - Accent6 33 2" xfId="11005" xr:uid="{00000000-0005-0000-0000-0000FD2A0000}"/>
    <cellStyle name="20% - Accent6 34" xfId="11006" xr:uid="{00000000-0005-0000-0000-0000FE2A0000}"/>
    <cellStyle name="20% - Accent6 34 2" xfId="11007" xr:uid="{00000000-0005-0000-0000-0000FF2A0000}"/>
    <cellStyle name="20% - Accent6 35" xfId="11008" xr:uid="{00000000-0005-0000-0000-0000002B0000}"/>
    <cellStyle name="20% - Accent6 35 2" xfId="11009" xr:uid="{00000000-0005-0000-0000-0000012B0000}"/>
    <cellStyle name="20% - Accent6 36" xfId="11010" xr:uid="{00000000-0005-0000-0000-0000022B0000}"/>
    <cellStyle name="20% - Accent6 36 2" xfId="11011" xr:uid="{00000000-0005-0000-0000-0000032B0000}"/>
    <cellStyle name="20% - Accent6 37" xfId="11012" xr:uid="{00000000-0005-0000-0000-0000042B0000}"/>
    <cellStyle name="20% - Accent6 37 2" xfId="11013" xr:uid="{00000000-0005-0000-0000-0000052B0000}"/>
    <cellStyle name="20% - Accent6 38" xfId="11014" xr:uid="{00000000-0005-0000-0000-0000062B0000}"/>
    <cellStyle name="20% - Accent6 38 2" xfId="11015" xr:uid="{00000000-0005-0000-0000-0000072B0000}"/>
    <cellStyle name="20% - Accent6 39" xfId="11016" xr:uid="{00000000-0005-0000-0000-0000082B0000}"/>
    <cellStyle name="20% - Accent6 39 2" xfId="11017" xr:uid="{00000000-0005-0000-0000-0000092B0000}"/>
    <cellStyle name="20% - Accent6 4" xfId="11018" xr:uid="{00000000-0005-0000-0000-00000A2B0000}"/>
    <cellStyle name="20% - Accent6 4 2" xfId="11019" xr:uid="{00000000-0005-0000-0000-00000B2B0000}"/>
    <cellStyle name="20% - Accent6 4 2 2" xfId="11020" xr:uid="{00000000-0005-0000-0000-00000C2B0000}"/>
    <cellStyle name="20% - Accent6 4 3" xfId="11021" xr:uid="{00000000-0005-0000-0000-00000D2B0000}"/>
    <cellStyle name="20% - Accent6 40" xfId="11022" xr:uid="{00000000-0005-0000-0000-00000E2B0000}"/>
    <cellStyle name="20% - Accent6 40 2" xfId="11023" xr:uid="{00000000-0005-0000-0000-00000F2B0000}"/>
    <cellStyle name="20% - Accent6 41" xfId="11024" xr:uid="{00000000-0005-0000-0000-0000102B0000}"/>
    <cellStyle name="20% - Accent6 41 2" xfId="11025" xr:uid="{00000000-0005-0000-0000-0000112B0000}"/>
    <cellStyle name="20% - Accent6 42" xfId="11026" xr:uid="{00000000-0005-0000-0000-0000122B0000}"/>
    <cellStyle name="20% - Accent6 42 2" xfId="11027" xr:uid="{00000000-0005-0000-0000-0000132B0000}"/>
    <cellStyle name="20% - Accent6 43" xfId="11028" xr:uid="{00000000-0005-0000-0000-0000142B0000}"/>
    <cellStyle name="20% - Accent6 43 2" xfId="11029" xr:uid="{00000000-0005-0000-0000-0000152B0000}"/>
    <cellStyle name="20% - Accent6 44" xfId="11030" xr:uid="{00000000-0005-0000-0000-0000162B0000}"/>
    <cellStyle name="20% - Accent6 44 2" xfId="11031" xr:uid="{00000000-0005-0000-0000-0000172B0000}"/>
    <cellStyle name="20% - Accent6 45" xfId="11032" xr:uid="{00000000-0005-0000-0000-0000182B0000}"/>
    <cellStyle name="20% - Accent6 45 2" xfId="11033" xr:uid="{00000000-0005-0000-0000-0000192B0000}"/>
    <cellStyle name="20% - Accent6 46" xfId="11034" xr:uid="{00000000-0005-0000-0000-00001A2B0000}"/>
    <cellStyle name="20% - Accent6 46 2" xfId="11035" xr:uid="{00000000-0005-0000-0000-00001B2B0000}"/>
    <cellStyle name="20% - Accent6 47" xfId="11036" xr:uid="{00000000-0005-0000-0000-00001C2B0000}"/>
    <cellStyle name="20% - Accent6 47 2" xfId="11037" xr:uid="{00000000-0005-0000-0000-00001D2B0000}"/>
    <cellStyle name="20% - Accent6 48" xfId="11038" xr:uid="{00000000-0005-0000-0000-00001E2B0000}"/>
    <cellStyle name="20% - Accent6 48 2" xfId="11039" xr:uid="{00000000-0005-0000-0000-00001F2B0000}"/>
    <cellStyle name="20% - Accent6 49" xfId="11040" xr:uid="{00000000-0005-0000-0000-0000202B0000}"/>
    <cellStyle name="20% - Accent6 49 2" xfId="11041" xr:uid="{00000000-0005-0000-0000-0000212B0000}"/>
    <cellStyle name="20% - Accent6 5" xfId="11042" xr:uid="{00000000-0005-0000-0000-0000222B0000}"/>
    <cellStyle name="20% - Accent6 5 2" xfId="11043" xr:uid="{00000000-0005-0000-0000-0000232B0000}"/>
    <cellStyle name="20% - Accent6 5 2 2" xfId="11044" xr:uid="{00000000-0005-0000-0000-0000242B0000}"/>
    <cellStyle name="20% - Accent6 5 3" xfId="11045" xr:uid="{00000000-0005-0000-0000-0000252B0000}"/>
    <cellStyle name="20% - Accent6 50" xfId="11046" xr:uid="{00000000-0005-0000-0000-0000262B0000}"/>
    <cellStyle name="20% - Accent6 50 2" xfId="11047" xr:uid="{00000000-0005-0000-0000-0000272B0000}"/>
    <cellStyle name="20% - Accent6 51" xfId="11048" xr:uid="{00000000-0005-0000-0000-0000282B0000}"/>
    <cellStyle name="20% - Accent6 51 2" xfId="11049" xr:uid="{00000000-0005-0000-0000-0000292B0000}"/>
    <cellStyle name="20% - Accent6 52" xfId="11050" xr:uid="{00000000-0005-0000-0000-00002A2B0000}"/>
    <cellStyle name="20% - Accent6 52 2" xfId="11051" xr:uid="{00000000-0005-0000-0000-00002B2B0000}"/>
    <cellStyle name="20% - Accent6 53" xfId="11052" xr:uid="{00000000-0005-0000-0000-00002C2B0000}"/>
    <cellStyle name="20% - Accent6 53 2" xfId="11053" xr:uid="{00000000-0005-0000-0000-00002D2B0000}"/>
    <cellStyle name="20% - Accent6 54" xfId="11054" xr:uid="{00000000-0005-0000-0000-00002E2B0000}"/>
    <cellStyle name="20% - Accent6 54 2" xfId="11055" xr:uid="{00000000-0005-0000-0000-00002F2B0000}"/>
    <cellStyle name="20% - Accent6 55" xfId="11056" xr:uid="{00000000-0005-0000-0000-0000302B0000}"/>
    <cellStyle name="20% - Accent6 55 2" xfId="11057" xr:uid="{00000000-0005-0000-0000-0000312B0000}"/>
    <cellStyle name="20% - Accent6 56" xfId="11058" xr:uid="{00000000-0005-0000-0000-0000322B0000}"/>
    <cellStyle name="20% - Accent6 56 2" xfId="11059" xr:uid="{00000000-0005-0000-0000-0000332B0000}"/>
    <cellStyle name="20% - Accent6 57" xfId="11060" xr:uid="{00000000-0005-0000-0000-0000342B0000}"/>
    <cellStyle name="20% - Accent6 57 2" xfId="11061" xr:uid="{00000000-0005-0000-0000-0000352B0000}"/>
    <cellStyle name="20% - Accent6 58" xfId="11062" xr:uid="{00000000-0005-0000-0000-0000362B0000}"/>
    <cellStyle name="20% - Accent6 58 2" xfId="11063" xr:uid="{00000000-0005-0000-0000-0000372B0000}"/>
    <cellStyle name="20% - Accent6 59" xfId="11064" xr:uid="{00000000-0005-0000-0000-0000382B0000}"/>
    <cellStyle name="20% - Accent6 59 2" xfId="11065" xr:uid="{00000000-0005-0000-0000-0000392B0000}"/>
    <cellStyle name="20% - Accent6 6" xfId="11066" xr:uid="{00000000-0005-0000-0000-00003A2B0000}"/>
    <cellStyle name="20% - Accent6 6 2" xfId="11067" xr:uid="{00000000-0005-0000-0000-00003B2B0000}"/>
    <cellStyle name="20% - Accent6 6 2 2" xfId="11068" xr:uid="{00000000-0005-0000-0000-00003C2B0000}"/>
    <cellStyle name="20% - Accent6 6 3" xfId="11069" xr:uid="{00000000-0005-0000-0000-00003D2B0000}"/>
    <cellStyle name="20% - Accent6 60" xfId="11070" xr:uid="{00000000-0005-0000-0000-00003E2B0000}"/>
    <cellStyle name="20% - Accent6 60 2" xfId="11071" xr:uid="{00000000-0005-0000-0000-00003F2B0000}"/>
    <cellStyle name="20% - Accent6 61" xfId="11072" xr:uid="{00000000-0005-0000-0000-0000402B0000}"/>
    <cellStyle name="20% - Accent6 61 2" xfId="11073" xr:uid="{00000000-0005-0000-0000-0000412B0000}"/>
    <cellStyle name="20% - Accent6 62" xfId="11074" xr:uid="{00000000-0005-0000-0000-0000422B0000}"/>
    <cellStyle name="20% - Accent6 62 2" xfId="11075" xr:uid="{00000000-0005-0000-0000-0000432B0000}"/>
    <cellStyle name="20% - Accent6 63" xfId="11076" xr:uid="{00000000-0005-0000-0000-0000442B0000}"/>
    <cellStyle name="20% - Accent6 63 2" xfId="11077" xr:uid="{00000000-0005-0000-0000-0000452B0000}"/>
    <cellStyle name="20% - Accent6 64" xfId="11078" xr:uid="{00000000-0005-0000-0000-0000462B0000}"/>
    <cellStyle name="20% - Accent6 64 2" xfId="11079" xr:uid="{00000000-0005-0000-0000-0000472B0000}"/>
    <cellStyle name="20% - Accent6 65" xfId="11080" xr:uid="{00000000-0005-0000-0000-0000482B0000}"/>
    <cellStyle name="20% - Accent6 65 2" xfId="11081" xr:uid="{00000000-0005-0000-0000-0000492B0000}"/>
    <cellStyle name="20% - Accent6 66" xfId="11082" xr:uid="{00000000-0005-0000-0000-00004A2B0000}"/>
    <cellStyle name="20% - Accent6 66 2" xfId="11083" xr:uid="{00000000-0005-0000-0000-00004B2B0000}"/>
    <cellStyle name="20% - Accent6 67" xfId="11084" xr:uid="{00000000-0005-0000-0000-00004C2B0000}"/>
    <cellStyle name="20% - Accent6 67 2" xfId="11085" xr:uid="{00000000-0005-0000-0000-00004D2B0000}"/>
    <cellStyle name="20% - Accent6 68" xfId="11086" xr:uid="{00000000-0005-0000-0000-00004E2B0000}"/>
    <cellStyle name="20% - Accent6 68 2" xfId="11087" xr:uid="{00000000-0005-0000-0000-00004F2B0000}"/>
    <cellStyle name="20% - Accent6 69" xfId="11088" xr:uid="{00000000-0005-0000-0000-0000502B0000}"/>
    <cellStyle name="20% - Accent6 69 2" xfId="11089" xr:uid="{00000000-0005-0000-0000-0000512B0000}"/>
    <cellStyle name="20% - Accent6 7" xfId="11090" xr:uid="{00000000-0005-0000-0000-0000522B0000}"/>
    <cellStyle name="20% - Accent6 7 2" xfId="11091" xr:uid="{00000000-0005-0000-0000-0000532B0000}"/>
    <cellStyle name="20% - Accent6 7 2 2" xfId="11092" xr:uid="{00000000-0005-0000-0000-0000542B0000}"/>
    <cellStyle name="20% - Accent6 7 3" xfId="11093" xr:uid="{00000000-0005-0000-0000-0000552B0000}"/>
    <cellStyle name="20% - Accent6 7 4" xfId="11094" xr:uid="{00000000-0005-0000-0000-0000562B0000}"/>
    <cellStyle name="20% - Accent6 70" xfId="11095" xr:uid="{00000000-0005-0000-0000-0000572B0000}"/>
    <cellStyle name="20% - Accent6 70 2" xfId="11096" xr:uid="{00000000-0005-0000-0000-0000582B0000}"/>
    <cellStyle name="20% - Accent6 71" xfId="11097" xr:uid="{00000000-0005-0000-0000-0000592B0000}"/>
    <cellStyle name="20% - Accent6 71 2" xfId="11098" xr:uid="{00000000-0005-0000-0000-00005A2B0000}"/>
    <cellStyle name="20% - Accent6 72" xfId="11099" xr:uid="{00000000-0005-0000-0000-00005B2B0000}"/>
    <cellStyle name="20% - Accent6 72 2" xfId="11100" xr:uid="{00000000-0005-0000-0000-00005C2B0000}"/>
    <cellStyle name="20% - Accent6 73" xfId="11101" xr:uid="{00000000-0005-0000-0000-00005D2B0000}"/>
    <cellStyle name="20% - Accent6 73 10" xfId="11102" xr:uid="{00000000-0005-0000-0000-00005E2B0000}"/>
    <cellStyle name="20% - Accent6 73 10 2" xfId="11103" xr:uid="{00000000-0005-0000-0000-00005F2B0000}"/>
    <cellStyle name="20% - Accent6 73 10 2 2" xfId="11104" xr:uid="{00000000-0005-0000-0000-0000602B0000}"/>
    <cellStyle name="20% - Accent6 73 10 3" xfId="11105" xr:uid="{00000000-0005-0000-0000-0000612B0000}"/>
    <cellStyle name="20% - Accent6 73 11" xfId="11106" xr:uid="{00000000-0005-0000-0000-0000622B0000}"/>
    <cellStyle name="20% - Accent6 73 11 2" xfId="11107" xr:uid="{00000000-0005-0000-0000-0000632B0000}"/>
    <cellStyle name="20% - Accent6 73 11 2 2" xfId="11108" xr:uid="{00000000-0005-0000-0000-0000642B0000}"/>
    <cellStyle name="20% - Accent6 73 11 3" xfId="11109" xr:uid="{00000000-0005-0000-0000-0000652B0000}"/>
    <cellStyle name="20% - Accent6 73 12" xfId="11110" xr:uid="{00000000-0005-0000-0000-0000662B0000}"/>
    <cellStyle name="20% - Accent6 73 12 2" xfId="11111" xr:uid="{00000000-0005-0000-0000-0000672B0000}"/>
    <cellStyle name="20% - Accent6 73 12 2 2" xfId="11112" xr:uid="{00000000-0005-0000-0000-0000682B0000}"/>
    <cellStyle name="20% - Accent6 73 12 3" xfId="11113" xr:uid="{00000000-0005-0000-0000-0000692B0000}"/>
    <cellStyle name="20% - Accent6 73 13" xfId="11114" xr:uid="{00000000-0005-0000-0000-00006A2B0000}"/>
    <cellStyle name="20% - Accent6 73 13 2" xfId="11115" xr:uid="{00000000-0005-0000-0000-00006B2B0000}"/>
    <cellStyle name="20% - Accent6 73 13 2 2" xfId="11116" xr:uid="{00000000-0005-0000-0000-00006C2B0000}"/>
    <cellStyle name="20% - Accent6 73 13 3" xfId="11117" xr:uid="{00000000-0005-0000-0000-00006D2B0000}"/>
    <cellStyle name="20% - Accent6 73 14" xfId="11118" xr:uid="{00000000-0005-0000-0000-00006E2B0000}"/>
    <cellStyle name="20% - Accent6 73 14 2" xfId="11119" xr:uid="{00000000-0005-0000-0000-00006F2B0000}"/>
    <cellStyle name="20% - Accent6 73 14 2 2" xfId="11120" xr:uid="{00000000-0005-0000-0000-0000702B0000}"/>
    <cellStyle name="20% - Accent6 73 14 3" xfId="11121" xr:uid="{00000000-0005-0000-0000-0000712B0000}"/>
    <cellStyle name="20% - Accent6 73 15" xfId="11122" xr:uid="{00000000-0005-0000-0000-0000722B0000}"/>
    <cellStyle name="20% - Accent6 73 15 2" xfId="11123" xr:uid="{00000000-0005-0000-0000-0000732B0000}"/>
    <cellStyle name="20% - Accent6 73 15 2 2" xfId="11124" xr:uid="{00000000-0005-0000-0000-0000742B0000}"/>
    <cellStyle name="20% - Accent6 73 15 3" xfId="11125" xr:uid="{00000000-0005-0000-0000-0000752B0000}"/>
    <cellStyle name="20% - Accent6 73 16" xfId="11126" xr:uid="{00000000-0005-0000-0000-0000762B0000}"/>
    <cellStyle name="20% - Accent6 73 16 2" xfId="11127" xr:uid="{00000000-0005-0000-0000-0000772B0000}"/>
    <cellStyle name="20% - Accent6 73 16 2 2" xfId="11128" xr:uid="{00000000-0005-0000-0000-0000782B0000}"/>
    <cellStyle name="20% - Accent6 73 16 3" xfId="11129" xr:uid="{00000000-0005-0000-0000-0000792B0000}"/>
    <cellStyle name="20% - Accent6 73 17" xfId="11130" xr:uid="{00000000-0005-0000-0000-00007A2B0000}"/>
    <cellStyle name="20% - Accent6 73 17 2" xfId="11131" xr:uid="{00000000-0005-0000-0000-00007B2B0000}"/>
    <cellStyle name="20% - Accent6 73 17 2 2" xfId="11132" xr:uid="{00000000-0005-0000-0000-00007C2B0000}"/>
    <cellStyle name="20% - Accent6 73 17 3" xfId="11133" xr:uid="{00000000-0005-0000-0000-00007D2B0000}"/>
    <cellStyle name="20% - Accent6 73 18" xfId="11134" xr:uid="{00000000-0005-0000-0000-00007E2B0000}"/>
    <cellStyle name="20% - Accent6 73 18 2" xfId="11135" xr:uid="{00000000-0005-0000-0000-00007F2B0000}"/>
    <cellStyle name="20% - Accent6 73 18 2 2" xfId="11136" xr:uid="{00000000-0005-0000-0000-0000802B0000}"/>
    <cellStyle name="20% - Accent6 73 18 3" xfId="11137" xr:uid="{00000000-0005-0000-0000-0000812B0000}"/>
    <cellStyle name="20% - Accent6 73 19" xfId="11138" xr:uid="{00000000-0005-0000-0000-0000822B0000}"/>
    <cellStyle name="20% - Accent6 73 19 2" xfId="11139" xr:uid="{00000000-0005-0000-0000-0000832B0000}"/>
    <cellStyle name="20% - Accent6 73 19 2 2" xfId="11140" xr:uid="{00000000-0005-0000-0000-0000842B0000}"/>
    <cellStyle name="20% - Accent6 73 19 3" xfId="11141" xr:uid="{00000000-0005-0000-0000-0000852B0000}"/>
    <cellStyle name="20% - Accent6 73 2" xfId="11142" xr:uid="{00000000-0005-0000-0000-0000862B0000}"/>
    <cellStyle name="20% - Accent6 73 2 2" xfId="11143" xr:uid="{00000000-0005-0000-0000-0000872B0000}"/>
    <cellStyle name="20% - Accent6 73 2 2 2" xfId="11144" xr:uid="{00000000-0005-0000-0000-0000882B0000}"/>
    <cellStyle name="20% - Accent6 73 2 3" xfId="11145" xr:uid="{00000000-0005-0000-0000-0000892B0000}"/>
    <cellStyle name="20% - Accent6 73 20" xfId="11146" xr:uid="{00000000-0005-0000-0000-00008A2B0000}"/>
    <cellStyle name="20% - Accent6 73 20 2" xfId="11147" xr:uid="{00000000-0005-0000-0000-00008B2B0000}"/>
    <cellStyle name="20% - Accent6 73 20 2 2" xfId="11148" xr:uid="{00000000-0005-0000-0000-00008C2B0000}"/>
    <cellStyle name="20% - Accent6 73 20 3" xfId="11149" xr:uid="{00000000-0005-0000-0000-00008D2B0000}"/>
    <cellStyle name="20% - Accent6 73 21" xfId="11150" xr:uid="{00000000-0005-0000-0000-00008E2B0000}"/>
    <cellStyle name="20% - Accent6 73 21 2" xfId="11151" xr:uid="{00000000-0005-0000-0000-00008F2B0000}"/>
    <cellStyle name="20% - Accent6 73 21 2 2" xfId="11152" xr:uid="{00000000-0005-0000-0000-0000902B0000}"/>
    <cellStyle name="20% - Accent6 73 21 3" xfId="11153" xr:uid="{00000000-0005-0000-0000-0000912B0000}"/>
    <cellStyle name="20% - Accent6 73 22" xfId="11154" xr:uid="{00000000-0005-0000-0000-0000922B0000}"/>
    <cellStyle name="20% - Accent6 73 22 2" xfId="11155" xr:uid="{00000000-0005-0000-0000-0000932B0000}"/>
    <cellStyle name="20% - Accent6 73 22 2 2" xfId="11156" xr:uid="{00000000-0005-0000-0000-0000942B0000}"/>
    <cellStyle name="20% - Accent6 73 22 3" xfId="11157" xr:uid="{00000000-0005-0000-0000-0000952B0000}"/>
    <cellStyle name="20% - Accent6 73 23" xfId="11158" xr:uid="{00000000-0005-0000-0000-0000962B0000}"/>
    <cellStyle name="20% - Accent6 73 23 2" xfId="11159" xr:uid="{00000000-0005-0000-0000-0000972B0000}"/>
    <cellStyle name="20% - Accent6 73 23 2 2" xfId="11160" xr:uid="{00000000-0005-0000-0000-0000982B0000}"/>
    <cellStyle name="20% - Accent6 73 23 3" xfId="11161" xr:uid="{00000000-0005-0000-0000-0000992B0000}"/>
    <cellStyle name="20% - Accent6 73 24" xfId="11162" xr:uid="{00000000-0005-0000-0000-00009A2B0000}"/>
    <cellStyle name="20% - Accent6 73 24 2" xfId="11163" xr:uid="{00000000-0005-0000-0000-00009B2B0000}"/>
    <cellStyle name="20% - Accent6 73 24 2 2" xfId="11164" xr:uid="{00000000-0005-0000-0000-00009C2B0000}"/>
    <cellStyle name="20% - Accent6 73 24 3" xfId="11165" xr:uid="{00000000-0005-0000-0000-00009D2B0000}"/>
    <cellStyle name="20% - Accent6 73 25" xfId="11166" xr:uid="{00000000-0005-0000-0000-00009E2B0000}"/>
    <cellStyle name="20% - Accent6 73 25 2" xfId="11167" xr:uid="{00000000-0005-0000-0000-00009F2B0000}"/>
    <cellStyle name="20% - Accent6 73 25 2 2" xfId="11168" xr:uid="{00000000-0005-0000-0000-0000A02B0000}"/>
    <cellStyle name="20% - Accent6 73 25 3" xfId="11169" xr:uid="{00000000-0005-0000-0000-0000A12B0000}"/>
    <cellStyle name="20% - Accent6 73 26" xfId="11170" xr:uid="{00000000-0005-0000-0000-0000A22B0000}"/>
    <cellStyle name="20% - Accent6 73 26 2" xfId="11171" xr:uid="{00000000-0005-0000-0000-0000A32B0000}"/>
    <cellStyle name="20% - Accent6 73 26 2 2" xfId="11172" xr:uid="{00000000-0005-0000-0000-0000A42B0000}"/>
    <cellStyle name="20% - Accent6 73 26 3" xfId="11173" xr:uid="{00000000-0005-0000-0000-0000A52B0000}"/>
    <cellStyle name="20% - Accent6 73 27" xfId="11174" xr:uid="{00000000-0005-0000-0000-0000A62B0000}"/>
    <cellStyle name="20% - Accent6 73 27 2" xfId="11175" xr:uid="{00000000-0005-0000-0000-0000A72B0000}"/>
    <cellStyle name="20% - Accent6 73 27 2 2" xfId="11176" xr:uid="{00000000-0005-0000-0000-0000A82B0000}"/>
    <cellStyle name="20% - Accent6 73 27 3" xfId="11177" xr:uid="{00000000-0005-0000-0000-0000A92B0000}"/>
    <cellStyle name="20% - Accent6 73 28" xfId="11178" xr:uid="{00000000-0005-0000-0000-0000AA2B0000}"/>
    <cellStyle name="20% - Accent6 73 28 2" xfId="11179" xr:uid="{00000000-0005-0000-0000-0000AB2B0000}"/>
    <cellStyle name="20% - Accent6 73 28 2 2" xfId="11180" xr:uid="{00000000-0005-0000-0000-0000AC2B0000}"/>
    <cellStyle name="20% - Accent6 73 28 3" xfId="11181" xr:uid="{00000000-0005-0000-0000-0000AD2B0000}"/>
    <cellStyle name="20% - Accent6 73 29" xfId="11182" xr:uid="{00000000-0005-0000-0000-0000AE2B0000}"/>
    <cellStyle name="20% - Accent6 73 29 2" xfId="11183" xr:uid="{00000000-0005-0000-0000-0000AF2B0000}"/>
    <cellStyle name="20% - Accent6 73 29 2 2" xfId="11184" xr:uid="{00000000-0005-0000-0000-0000B02B0000}"/>
    <cellStyle name="20% - Accent6 73 29 3" xfId="11185" xr:uid="{00000000-0005-0000-0000-0000B12B0000}"/>
    <cellStyle name="20% - Accent6 73 3" xfId="11186" xr:uid="{00000000-0005-0000-0000-0000B22B0000}"/>
    <cellStyle name="20% - Accent6 73 3 2" xfId="11187" xr:uid="{00000000-0005-0000-0000-0000B32B0000}"/>
    <cellStyle name="20% - Accent6 73 3 2 2" xfId="11188" xr:uid="{00000000-0005-0000-0000-0000B42B0000}"/>
    <cellStyle name="20% - Accent6 73 3 3" xfId="11189" xr:uid="{00000000-0005-0000-0000-0000B52B0000}"/>
    <cellStyle name="20% - Accent6 73 30" xfId="11190" xr:uid="{00000000-0005-0000-0000-0000B62B0000}"/>
    <cellStyle name="20% - Accent6 73 30 2" xfId="11191" xr:uid="{00000000-0005-0000-0000-0000B72B0000}"/>
    <cellStyle name="20% - Accent6 73 30 2 2" xfId="11192" xr:uid="{00000000-0005-0000-0000-0000B82B0000}"/>
    <cellStyle name="20% - Accent6 73 30 3" xfId="11193" xr:uid="{00000000-0005-0000-0000-0000B92B0000}"/>
    <cellStyle name="20% - Accent6 73 31" xfId="11194" xr:uid="{00000000-0005-0000-0000-0000BA2B0000}"/>
    <cellStyle name="20% - Accent6 73 31 2" xfId="11195" xr:uid="{00000000-0005-0000-0000-0000BB2B0000}"/>
    <cellStyle name="20% - Accent6 73 31 2 2" xfId="11196" xr:uid="{00000000-0005-0000-0000-0000BC2B0000}"/>
    <cellStyle name="20% - Accent6 73 31 3" xfId="11197" xr:uid="{00000000-0005-0000-0000-0000BD2B0000}"/>
    <cellStyle name="20% - Accent6 73 32" xfId="11198" xr:uid="{00000000-0005-0000-0000-0000BE2B0000}"/>
    <cellStyle name="20% - Accent6 73 32 2" xfId="11199" xr:uid="{00000000-0005-0000-0000-0000BF2B0000}"/>
    <cellStyle name="20% - Accent6 73 32 2 2" xfId="11200" xr:uid="{00000000-0005-0000-0000-0000C02B0000}"/>
    <cellStyle name="20% - Accent6 73 32 3" xfId="11201" xr:uid="{00000000-0005-0000-0000-0000C12B0000}"/>
    <cellStyle name="20% - Accent6 73 33" xfId="11202" xr:uid="{00000000-0005-0000-0000-0000C22B0000}"/>
    <cellStyle name="20% - Accent6 73 33 2" xfId="11203" xr:uid="{00000000-0005-0000-0000-0000C32B0000}"/>
    <cellStyle name="20% - Accent6 73 33 2 2" xfId="11204" xr:uid="{00000000-0005-0000-0000-0000C42B0000}"/>
    <cellStyle name="20% - Accent6 73 33 3" xfId="11205" xr:uid="{00000000-0005-0000-0000-0000C52B0000}"/>
    <cellStyle name="20% - Accent6 73 34" xfId="11206" xr:uid="{00000000-0005-0000-0000-0000C62B0000}"/>
    <cellStyle name="20% - Accent6 73 34 2" xfId="11207" xr:uid="{00000000-0005-0000-0000-0000C72B0000}"/>
    <cellStyle name="20% - Accent6 73 34 2 2" xfId="11208" xr:uid="{00000000-0005-0000-0000-0000C82B0000}"/>
    <cellStyle name="20% - Accent6 73 34 3" xfId="11209" xr:uid="{00000000-0005-0000-0000-0000C92B0000}"/>
    <cellStyle name="20% - Accent6 73 35" xfId="11210" xr:uid="{00000000-0005-0000-0000-0000CA2B0000}"/>
    <cellStyle name="20% - Accent6 73 35 2" xfId="11211" xr:uid="{00000000-0005-0000-0000-0000CB2B0000}"/>
    <cellStyle name="20% - Accent6 73 35 2 2" xfId="11212" xr:uid="{00000000-0005-0000-0000-0000CC2B0000}"/>
    <cellStyle name="20% - Accent6 73 35 3" xfId="11213" xr:uid="{00000000-0005-0000-0000-0000CD2B0000}"/>
    <cellStyle name="20% - Accent6 73 36" xfId="11214" xr:uid="{00000000-0005-0000-0000-0000CE2B0000}"/>
    <cellStyle name="20% - Accent6 73 36 2" xfId="11215" xr:uid="{00000000-0005-0000-0000-0000CF2B0000}"/>
    <cellStyle name="20% - Accent6 73 36 2 2" xfId="11216" xr:uid="{00000000-0005-0000-0000-0000D02B0000}"/>
    <cellStyle name="20% - Accent6 73 36 3" xfId="11217" xr:uid="{00000000-0005-0000-0000-0000D12B0000}"/>
    <cellStyle name="20% - Accent6 73 4" xfId="11218" xr:uid="{00000000-0005-0000-0000-0000D22B0000}"/>
    <cellStyle name="20% - Accent6 73 4 2" xfId="11219" xr:uid="{00000000-0005-0000-0000-0000D32B0000}"/>
    <cellStyle name="20% - Accent6 73 4 2 2" xfId="11220" xr:uid="{00000000-0005-0000-0000-0000D42B0000}"/>
    <cellStyle name="20% - Accent6 73 4 3" xfId="11221" xr:uid="{00000000-0005-0000-0000-0000D52B0000}"/>
    <cellStyle name="20% - Accent6 73 5" xfId="11222" xr:uid="{00000000-0005-0000-0000-0000D62B0000}"/>
    <cellStyle name="20% - Accent6 73 5 2" xfId="11223" xr:uid="{00000000-0005-0000-0000-0000D72B0000}"/>
    <cellStyle name="20% - Accent6 73 5 2 2" xfId="11224" xr:uid="{00000000-0005-0000-0000-0000D82B0000}"/>
    <cellStyle name="20% - Accent6 73 5 3" xfId="11225" xr:uid="{00000000-0005-0000-0000-0000D92B0000}"/>
    <cellStyle name="20% - Accent6 73 6" xfId="11226" xr:uid="{00000000-0005-0000-0000-0000DA2B0000}"/>
    <cellStyle name="20% - Accent6 73 6 2" xfId="11227" xr:uid="{00000000-0005-0000-0000-0000DB2B0000}"/>
    <cellStyle name="20% - Accent6 73 6 2 2" xfId="11228" xr:uid="{00000000-0005-0000-0000-0000DC2B0000}"/>
    <cellStyle name="20% - Accent6 73 6 3" xfId="11229" xr:uid="{00000000-0005-0000-0000-0000DD2B0000}"/>
    <cellStyle name="20% - Accent6 73 7" xfId="11230" xr:uid="{00000000-0005-0000-0000-0000DE2B0000}"/>
    <cellStyle name="20% - Accent6 73 7 2" xfId="11231" xr:uid="{00000000-0005-0000-0000-0000DF2B0000}"/>
    <cellStyle name="20% - Accent6 73 7 2 2" xfId="11232" xr:uid="{00000000-0005-0000-0000-0000E02B0000}"/>
    <cellStyle name="20% - Accent6 73 7 3" xfId="11233" xr:uid="{00000000-0005-0000-0000-0000E12B0000}"/>
    <cellStyle name="20% - Accent6 73 8" xfId="11234" xr:uid="{00000000-0005-0000-0000-0000E22B0000}"/>
    <cellStyle name="20% - Accent6 73 8 2" xfId="11235" xr:uid="{00000000-0005-0000-0000-0000E32B0000}"/>
    <cellStyle name="20% - Accent6 73 8 2 2" xfId="11236" xr:uid="{00000000-0005-0000-0000-0000E42B0000}"/>
    <cellStyle name="20% - Accent6 73 8 3" xfId="11237" xr:uid="{00000000-0005-0000-0000-0000E52B0000}"/>
    <cellStyle name="20% - Accent6 73 9" xfId="11238" xr:uid="{00000000-0005-0000-0000-0000E62B0000}"/>
    <cellStyle name="20% - Accent6 73 9 2" xfId="11239" xr:uid="{00000000-0005-0000-0000-0000E72B0000}"/>
    <cellStyle name="20% - Accent6 73 9 2 2" xfId="11240" xr:uid="{00000000-0005-0000-0000-0000E82B0000}"/>
    <cellStyle name="20% - Accent6 73 9 3" xfId="11241" xr:uid="{00000000-0005-0000-0000-0000E92B0000}"/>
    <cellStyle name="20% - Accent6 74" xfId="11242" xr:uid="{00000000-0005-0000-0000-0000EA2B0000}"/>
    <cellStyle name="20% - Accent6 74 10" xfId="11243" xr:uid="{00000000-0005-0000-0000-0000EB2B0000}"/>
    <cellStyle name="20% - Accent6 74 10 2" xfId="11244" xr:uid="{00000000-0005-0000-0000-0000EC2B0000}"/>
    <cellStyle name="20% - Accent6 74 10 2 2" xfId="11245" xr:uid="{00000000-0005-0000-0000-0000ED2B0000}"/>
    <cellStyle name="20% - Accent6 74 10 3" xfId="11246" xr:uid="{00000000-0005-0000-0000-0000EE2B0000}"/>
    <cellStyle name="20% - Accent6 74 11" xfId="11247" xr:uid="{00000000-0005-0000-0000-0000EF2B0000}"/>
    <cellStyle name="20% - Accent6 74 11 2" xfId="11248" xr:uid="{00000000-0005-0000-0000-0000F02B0000}"/>
    <cellStyle name="20% - Accent6 74 11 2 2" xfId="11249" xr:uid="{00000000-0005-0000-0000-0000F12B0000}"/>
    <cellStyle name="20% - Accent6 74 11 3" xfId="11250" xr:uid="{00000000-0005-0000-0000-0000F22B0000}"/>
    <cellStyle name="20% - Accent6 74 12" xfId="11251" xr:uid="{00000000-0005-0000-0000-0000F32B0000}"/>
    <cellStyle name="20% - Accent6 74 12 2" xfId="11252" xr:uid="{00000000-0005-0000-0000-0000F42B0000}"/>
    <cellStyle name="20% - Accent6 74 12 2 2" xfId="11253" xr:uid="{00000000-0005-0000-0000-0000F52B0000}"/>
    <cellStyle name="20% - Accent6 74 12 3" xfId="11254" xr:uid="{00000000-0005-0000-0000-0000F62B0000}"/>
    <cellStyle name="20% - Accent6 74 13" xfId="11255" xr:uid="{00000000-0005-0000-0000-0000F72B0000}"/>
    <cellStyle name="20% - Accent6 74 13 2" xfId="11256" xr:uid="{00000000-0005-0000-0000-0000F82B0000}"/>
    <cellStyle name="20% - Accent6 74 13 2 2" xfId="11257" xr:uid="{00000000-0005-0000-0000-0000F92B0000}"/>
    <cellStyle name="20% - Accent6 74 13 3" xfId="11258" xr:uid="{00000000-0005-0000-0000-0000FA2B0000}"/>
    <cellStyle name="20% - Accent6 74 14" xfId="11259" xr:uid="{00000000-0005-0000-0000-0000FB2B0000}"/>
    <cellStyle name="20% - Accent6 74 14 2" xfId="11260" xr:uid="{00000000-0005-0000-0000-0000FC2B0000}"/>
    <cellStyle name="20% - Accent6 74 14 2 2" xfId="11261" xr:uid="{00000000-0005-0000-0000-0000FD2B0000}"/>
    <cellStyle name="20% - Accent6 74 14 3" xfId="11262" xr:uid="{00000000-0005-0000-0000-0000FE2B0000}"/>
    <cellStyle name="20% - Accent6 74 15" xfId="11263" xr:uid="{00000000-0005-0000-0000-0000FF2B0000}"/>
    <cellStyle name="20% - Accent6 74 15 2" xfId="11264" xr:uid="{00000000-0005-0000-0000-0000002C0000}"/>
    <cellStyle name="20% - Accent6 74 15 2 2" xfId="11265" xr:uid="{00000000-0005-0000-0000-0000012C0000}"/>
    <cellStyle name="20% - Accent6 74 15 3" xfId="11266" xr:uid="{00000000-0005-0000-0000-0000022C0000}"/>
    <cellStyle name="20% - Accent6 74 16" xfId="11267" xr:uid="{00000000-0005-0000-0000-0000032C0000}"/>
    <cellStyle name="20% - Accent6 74 16 2" xfId="11268" xr:uid="{00000000-0005-0000-0000-0000042C0000}"/>
    <cellStyle name="20% - Accent6 74 16 2 2" xfId="11269" xr:uid="{00000000-0005-0000-0000-0000052C0000}"/>
    <cellStyle name="20% - Accent6 74 16 3" xfId="11270" xr:uid="{00000000-0005-0000-0000-0000062C0000}"/>
    <cellStyle name="20% - Accent6 74 17" xfId="11271" xr:uid="{00000000-0005-0000-0000-0000072C0000}"/>
    <cellStyle name="20% - Accent6 74 17 2" xfId="11272" xr:uid="{00000000-0005-0000-0000-0000082C0000}"/>
    <cellStyle name="20% - Accent6 74 17 2 2" xfId="11273" xr:uid="{00000000-0005-0000-0000-0000092C0000}"/>
    <cellStyle name="20% - Accent6 74 17 3" xfId="11274" xr:uid="{00000000-0005-0000-0000-00000A2C0000}"/>
    <cellStyle name="20% - Accent6 74 18" xfId="11275" xr:uid="{00000000-0005-0000-0000-00000B2C0000}"/>
    <cellStyle name="20% - Accent6 74 18 2" xfId="11276" xr:uid="{00000000-0005-0000-0000-00000C2C0000}"/>
    <cellStyle name="20% - Accent6 74 18 2 2" xfId="11277" xr:uid="{00000000-0005-0000-0000-00000D2C0000}"/>
    <cellStyle name="20% - Accent6 74 18 3" xfId="11278" xr:uid="{00000000-0005-0000-0000-00000E2C0000}"/>
    <cellStyle name="20% - Accent6 74 19" xfId="11279" xr:uid="{00000000-0005-0000-0000-00000F2C0000}"/>
    <cellStyle name="20% - Accent6 74 19 2" xfId="11280" xr:uid="{00000000-0005-0000-0000-0000102C0000}"/>
    <cellStyle name="20% - Accent6 74 19 2 2" xfId="11281" xr:uid="{00000000-0005-0000-0000-0000112C0000}"/>
    <cellStyle name="20% - Accent6 74 19 3" xfId="11282" xr:uid="{00000000-0005-0000-0000-0000122C0000}"/>
    <cellStyle name="20% - Accent6 74 2" xfId="11283" xr:uid="{00000000-0005-0000-0000-0000132C0000}"/>
    <cellStyle name="20% - Accent6 74 2 2" xfId="11284" xr:uid="{00000000-0005-0000-0000-0000142C0000}"/>
    <cellStyle name="20% - Accent6 74 2 2 2" xfId="11285" xr:uid="{00000000-0005-0000-0000-0000152C0000}"/>
    <cellStyle name="20% - Accent6 74 2 3" xfId="11286" xr:uid="{00000000-0005-0000-0000-0000162C0000}"/>
    <cellStyle name="20% - Accent6 74 20" xfId="11287" xr:uid="{00000000-0005-0000-0000-0000172C0000}"/>
    <cellStyle name="20% - Accent6 74 20 2" xfId="11288" xr:uid="{00000000-0005-0000-0000-0000182C0000}"/>
    <cellStyle name="20% - Accent6 74 20 2 2" xfId="11289" xr:uid="{00000000-0005-0000-0000-0000192C0000}"/>
    <cellStyle name="20% - Accent6 74 20 3" xfId="11290" xr:uid="{00000000-0005-0000-0000-00001A2C0000}"/>
    <cellStyle name="20% - Accent6 74 21" xfId="11291" xr:uid="{00000000-0005-0000-0000-00001B2C0000}"/>
    <cellStyle name="20% - Accent6 74 21 2" xfId="11292" xr:uid="{00000000-0005-0000-0000-00001C2C0000}"/>
    <cellStyle name="20% - Accent6 74 21 2 2" xfId="11293" xr:uid="{00000000-0005-0000-0000-00001D2C0000}"/>
    <cellStyle name="20% - Accent6 74 21 3" xfId="11294" xr:uid="{00000000-0005-0000-0000-00001E2C0000}"/>
    <cellStyle name="20% - Accent6 74 22" xfId="11295" xr:uid="{00000000-0005-0000-0000-00001F2C0000}"/>
    <cellStyle name="20% - Accent6 74 22 2" xfId="11296" xr:uid="{00000000-0005-0000-0000-0000202C0000}"/>
    <cellStyle name="20% - Accent6 74 22 2 2" xfId="11297" xr:uid="{00000000-0005-0000-0000-0000212C0000}"/>
    <cellStyle name="20% - Accent6 74 22 3" xfId="11298" xr:uid="{00000000-0005-0000-0000-0000222C0000}"/>
    <cellStyle name="20% - Accent6 74 23" xfId="11299" xr:uid="{00000000-0005-0000-0000-0000232C0000}"/>
    <cellStyle name="20% - Accent6 74 23 2" xfId="11300" xr:uid="{00000000-0005-0000-0000-0000242C0000}"/>
    <cellStyle name="20% - Accent6 74 23 2 2" xfId="11301" xr:uid="{00000000-0005-0000-0000-0000252C0000}"/>
    <cellStyle name="20% - Accent6 74 23 3" xfId="11302" xr:uid="{00000000-0005-0000-0000-0000262C0000}"/>
    <cellStyle name="20% - Accent6 74 24" xfId="11303" xr:uid="{00000000-0005-0000-0000-0000272C0000}"/>
    <cellStyle name="20% - Accent6 74 24 2" xfId="11304" xr:uid="{00000000-0005-0000-0000-0000282C0000}"/>
    <cellStyle name="20% - Accent6 74 24 2 2" xfId="11305" xr:uid="{00000000-0005-0000-0000-0000292C0000}"/>
    <cellStyle name="20% - Accent6 74 24 3" xfId="11306" xr:uid="{00000000-0005-0000-0000-00002A2C0000}"/>
    <cellStyle name="20% - Accent6 74 25" xfId="11307" xr:uid="{00000000-0005-0000-0000-00002B2C0000}"/>
    <cellStyle name="20% - Accent6 74 25 2" xfId="11308" xr:uid="{00000000-0005-0000-0000-00002C2C0000}"/>
    <cellStyle name="20% - Accent6 74 25 2 2" xfId="11309" xr:uid="{00000000-0005-0000-0000-00002D2C0000}"/>
    <cellStyle name="20% - Accent6 74 25 3" xfId="11310" xr:uid="{00000000-0005-0000-0000-00002E2C0000}"/>
    <cellStyle name="20% - Accent6 74 26" xfId="11311" xr:uid="{00000000-0005-0000-0000-00002F2C0000}"/>
    <cellStyle name="20% - Accent6 74 26 2" xfId="11312" xr:uid="{00000000-0005-0000-0000-0000302C0000}"/>
    <cellStyle name="20% - Accent6 74 26 2 2" xfId="11313" xr:uid="{00000000-0005-0000-0000-0000312C0000}"/>
    <cellStyle name="20% - Accent6 74 26 3" xfId="11314" xr:uid="{00000000-0005-0000-0000-0000322C0000}"/>
    <cellStyle name="20% - Accent6 74 27" xfId="11315" xr:uid="{00000000-0005-0000-0000-0000332C0000}"/>
    <cellStyle name="20% - Accent6 74 27 2" xfId="11316" xr:uid="{00000000-0005-0000-0000-0000342C0000}"/>
    <cellStyle name="20% - Accent6 74 27 2 2" xfId="11317" xr:uid="{00000000-0005-0000-0000-0000352C0000}"/>
    <cellStyle name="20% - Accent6 74 27 3" xfId="11318" xr:uid="{00000000-0005-0000-0000-0000362C0000}"/>
    <cellStyle name="20% - Accent6 74 28" xfId="11319" xr:uid="{00000000-0005-0000-0000-0000372C0000}"/>
    <cellStyle name="20% - Accent6 74 28 2" xfId="11320" xr:uid="{00000000-0005-0000-0000-0000382C0000}"/>
    <cellStyle name="20% - Accent6 74 28 2 2" xfId="11321" xr:uid="{00000000-0005-0000-0000-0000392C0000}"/>
    <cellStyle name="20% - Accent6 74 28 3" xfId="11322" xr:uid="{00000000-0005-0000-0000-00003A2C0000}"/>
    <cellStyle name="20% - Accent6 74 29" xfId="11323" xr:uid="{00000000-0005-0000-0000-00003B2C0000}"/>
    <cellStyle name="20% - Accent6 74 29 2" xfId="11324" xr:uid="{00000000-0005-0000-0000-00003C2C0000}"/>
    <cellStyle name="20% - Accent6 74 29 2 2" xfId="11325" xr:uid="{00000000-0005-0000-0000-00003D2C0000}"/>
    <cellStyle name="20% - Accent6 74 29 3" xfId="11326" xr:uid="{00000000-0005-0000-0000-00003E2C0000}"/>
    <cellStyle name="20% - Accent6 74 3" xfId="11327" xr:uid="{00000000-0005-0000-0000-00003F2C0000}"/>
    <cellStyle name="20% - Accent6 74 3 2" xfId="11328" xr:uid="{00000000-0005-0000-0000-0000402C0000}"/>
    <cellStyle name="20% - Accent6 74 3 2 2" xfId="11329" xr:uid="{00000000-0005-0000-0000-0000412C0000}"/>
    <cellStyle name="20% - Accent6 74 3 3" xfId="11330" xr:uid="{00000000-0005-0000-0000-0000422C0000}"/>
    <cellStyle name="20% - Accent6 74 30" xfId="11331" xr:uid="{00000000-0005-0000-0000-0000432C0000}"/>
    <cellStyle name="20% - Accent6 74 30 2" xfId="11332" xr:uid="{00000000-0005-0000-0000-0000442C0000}"/>
    <cellStyle name="20% - Accent6 74 30 2 2" xfId="11333" xr:uid="{00000000-0005-0000-0000-0000452C0000}"/>
    <cellStyle name="20% - Accent6 74 30 3" xfId="11334" xr:uid="{00000000-0005-0000-0000-0000462C0000}"/>
    <cellStyle name="20% - Accent6 74 31" xfId="11335" xr:uid="{00000000-0005-0000-0000-0000472C0000}"/>
    <cellStyle name="20% - Accent6 74 31 2" xfId="11336" xr:uid="{00000000-0005-0000-0000-0000482C0000}"/>
    <cellStyle name="20% - Accent6 74 31 2 2" xfId="11337" xr:uid="{00000000-0005-0000-0000-0000492C0000}"/>
    <cellStyle name="20% - Accent6 74 31 3" xfId="11338" xr:uid="{00000000-0005-0000-0000-00004A2C0000}"/>
    <cellStyle name="20% - Accent6 74 32" xfId="11339" xr:uid="{00000000-0005-0000-0000-00004B2C0000}"/>
    <cellStyle name="20% - Accent6 74 32 2" xfId="11340" xr:uid="{00000000-0005-0000-0000-00004C2C0000}"/>
    <cellStyle name="20% - Accent6 74 32 2 2" xfId="11341" xr:uid="{00000000-0005-0000-0000-00004D2C0000}"/>
    <cellStyle name="20% - Accent6 74 32 3" xfId="11342" xr:uid="{00000000-0005-0000-0000-00004E2C0000}"/>
    <cellStyle name="20% - Accent6 74 33" xfId="11343" xr:uid="{00000000-0005-0000-0000-00004F2C0000}"/>
    <cellStyle name="20% - Accent6 74 33 2" xfId="11344" xr:uid="{00000000-0005-0000-0000-0000502C0000}"/>
    <cellStyle name="20% - Accent6 74 33 2 2" xfId="11345" xr:uid="{00000000-0005-0000-0000-0000512C0000}"/>
    <cellStyle name="20% - Accent6 74 33 3" xfId="11346" xr:uid="{00000000-0005-0000-0000-0000522C0000}"/>
    <cellStyle name="20% - Accent6 74 34" xfId="11347" xr:uid="{00000000-0005-0000-0000-0000532C0000}"/>
    <cellStyle name="20% - Accent6 74 34 2" xfId="11348" xr:uid="{00000000-0005-0000-0000-0000542C0000}"/>
    <cellStyle name="20% - Accent6 74 34 2 2" xfId="11349" xr:uid="{00000000-0005-0000-0000-0000552C0000}"/>
    <cellStyle name="20% - Accent6 74 34 3" xfId="11350" xr:uid="{00000000-0005-0000-0000-0000562C0000}"/>
    <cellStyle name="20% - Accent6 74 35" xfId="11351" xr:uid="{00000000-0005-0000-0000-0000572C0000}"/>
    <cellStyle name="20% - Accent6 74 35 2" xfId="11352" xr:uid="{00000000-0005-0000-0000-0000582C0000}"/>
    <cellStyle name="20% - Accent6 74 35 2 2" xfId="11353" xr:uid="{00000000-0005-0000-0000-0000592C0000}"/>
    <cellStyle name="20% - Accent6 74 35 3" xfId="11354" xr:uid="{00000000-0005-0000-0000-00005A2C0000}"/>
    <cellStyle name="20% - Accent6 74 36" xfId="11355" xr:uid="{00000000-0005-0000-0000-00005B2C0000}"/>
    <cellStyle name="20% - Accent6 74 36 2" xfId="11356" xr:uid="{00000000-0005-0000-0000-00005C2C0000}"/>
    <cellStyle name="20% - Accent6 74 36 2 2" xfId="11357" xr:uid="{00000000-0005-0000-0000-00005D2C0000}"/>
    <cellStyle name="20% - Accent6 74 36 3" xfId="11358" xr:uid="{00000000-0005-0000-0000-00005E2C0000}"/>
    <cellStyle name="20% - Accent6 74 4" xfId="11359" xr:uid="{00000000-0005-0000-0000-00005F2C0000}"/>
    <cellStyle name="20% - Accent6 74 4 2" xfId="11360" xr:uid="{00000000-0005-0000-0000-0000602C0000}"/>
    <cellStyle name="20% - Accent6 74 4 2 2" xfId="11361" xr:uid="{00000000-0005-0000-0000-0000612C0000}"/>
    <cellStyle name="20% - Accent6 74 4 3" xfId="11362" xr:uid="{00000000-0005-0000-0000-0000622C0000}"/>
    <cellStyle name="20% - Accent6 74 5" xfId="11363" xr:uid="{00000000-0005-0000-0000-0000632C0000}"/>
    <cellStyle name="20% - Accent6 74 5 2" xfId="11364" xr:uid="{00000000-0005-0000-0000-0000642C0000}"/>
    <cellStyle name="20% - Accent6 74 5 2 2" xfId="11365" xr:uid="{00000000-0005-0000-0000-0000652C0000}"/>
    <cellStyle name="20% - Accent6 74 5 3" xfId="11366" xr:uid="{00000000-0005-0000-0000-0000662C0000}"/>
    <cellStyle name="20% - Accent6 74 6" xfId="11367" xr:uid="{00000000-0005-0000-0000-0000672C0000}"/>
    <cellStyle name="20% - Accent6 74 6 2" xfId="11368" xr:uid="{00000000-0005-0000-0000-0000682C0000}"/>
    <cellStyle name="20% - Accent6 74 6 2 2" xfId="11369" xr:uid="{00000000-0005-0000-0000-0000692C0000}"/>
    <cellStyle name="20% - Accent6 74 6 3" xfId="11370" xr:uid="{00000000-0005-0000-0000-00006A2C0000}"/>
    <cellStyle name="20% - Accent6 74 7" xfId="11371" xr:uid="{00000000-0005-0000-0000-00006B2C0000}"/>
    <cellStyle name="20% - Accent6 74 7 2" xfId="11372" xr:uid="{00000000-0005-0000-0000-00006C2C0000}"/>
    <cellStyle name="20% - Accent6 74 7 2 2" xfId="11373" xr:uid="{00000000-0005-0000-0000-00006D2C0000}"/>
    <cellStyle name="20% - Accent6 74 7 3" xfId="11374" xr:uid="{00000000-0005-0000-0000-00006E2C0000}"/>
    <cellStyle name="20% - Accent6 74 8" xfId="11375" xr:uid="{00000000-0005-0000-0000-00006F2C0000}"/>
    <cellStyle name="20% - Accent6 74 8 2" xfId="11376" xr:uid="{00000000-0005-0000-0000-0000702C0000}"/>
    <cellStyle name="20% - Accent6 74 8 2 2" xfId="11377" xr:uid="{00000000-0005-0000-0000-0000712C0000}"/>
    <cellStyle name="20% - Accent6 74 8 3" xfId="11378" xr:uid="{00000000-0005-0000-0000-0000722C0000}"/>
    <cellStyle name="20% - Accent6 74 9" xfId="11379" xr:uid="{00000000-0005-0000-0000-0000732C0000}"/>
    <cellStyle name="20% - Accent6 74 9 2" xfId="11380" xr:uid="{00000000-0005-0000-0000-0000742C0000}"/>
    <cellStyle name="20% - Accent6 74 9 2 2" xfId="11381" xr:uid="{00000000-0005-0000-0000-0000752C0000}"/>
    <cellStyle name="20% - Accent6 74 9 3" xfId="11382" xr:uid="{00000000-0005-0000-0000-0000762C0000}"/>
    <cellStyle name="20% - Accent6 75" xfId="11383" xr:uid="{00000000-0005-0000-0000-0000772C0000}"/>
    <cellStyle name="20% - Accent6 75 10" xfId="11384" xr:uid="{00000000-0005-0000-0000-0000782C0000}"/>
    <cellStyle name="20% - Accent6 75 10 2" xfId="11385" xr:uid="{00000000-0005-0000-0000-0000792C0000}"/>
    <cellStyle name="20% - Accent6 75 10 2 2" xfId="11386" xr:uid="{00000000-0005-0000-0000-00007A2C0000}"/>
    <cellStyle name="20% - Accent6 75 10 3" xfId="11387" xr:uid="{00000000-0005-0000-0000-00007B2C0000}"/>
    <cellStyle name="20% - Accent6 75 11" xfId="11388" xr:uid="{00000000-0005-0000-0000-00007C2C0000}"/>
    <cellStyle name="20% - Accent6 75 11 2" xfId="11389" xr:uid="{00000000-0005-0000-0000-00007D2C0000}"/>
    <cellStyle name="20% - Accent6 75 11 2 2" xfId="11390" xr:uid="{00000000-0005-0000-0000-00007E2C0000}"/>
    <cellStyle name="20% - Accent6 75 11 3" xfId="11391" xr:uid="{00000000-0005-0000-0000-00007F2C0000}"/>
    <cellStyle name="20% - Accent6 75 12" xfId="11392" xr:uid="{00000000-0005-0000-0000-0000802C0000}"/>
    <cellStyle name="20% - Accent6 75 12 2" xfId="11393" xr:uid="{00000000-0005-0000-0000-0000812C0000}"/>
    <cellStyle name="20% - Accent6 75 12 2 2" xfId="11394" xr:uid="{00000000-0005-0000-0000-0000822C0000}"/>
    <cellStyle name="20% - Accent6 75 12 3" xfId="11395" xr:uid="{00000000-0005-0000-0000-0000832C0000}"/>
    <cellStyle name="20% - Accent6 75 13" xfId="11396" xr:uid="{00000000-0005-0000-0000-0000842C0000}"/>
    <cellStyle name="20% - Accent6 75 13 2" xfId="11397" xr:uid="{00000000-0005-0000-0000-0000852C0000}"/>
    <cellStyle name="20% - Accent6 75 13 2 2" xfId="11398" xr:uid="{00000000-0005-0000-0000-0000862C0000}"/>
    <cellStyle name="20% - Accent6 75 13 3" xfId="11399" xr:uid="{00000000-0005-0000-0000-0000872C0000}"/>
    <cellStyle name="20% - Accent6 75 14" xfId="11400" xr:uid="{00000000-0005-0000-0000-0000882C0000}"/>
    <cellStyle name="20% - Accent6 75 14 2" xfId="11401" xr:uid="{00000000-0005-0000-0000-0000892C0000}"/>
    <cellStyle name="20% - Accent6 75 14 2 2" xfId="11402" xr:uid="{00000000-0005-0000-0000-00008A2C0000}"/>
    <cellStyle name="20% - Accent6 75 14 3" xfId="11403" xr:uid="{00000000-0005-0000-0000-00008B2C0000}"/>
    <cellStyle name="20% - Accent6 75 15" xfId="11404" xr:uid="{00000000-0005-0000-0000-00008C2C0000}"/>
    <cellStyle name="20% - Accent6 75 15 2" xfId="11405" xr:uid="{00000000-0005-0000-0000-00008D2C0000}"/>
    <cellStyle name="20% - Accent6 75 15 2 2" xfId="11406" xr:uid="{00000000-0005-0000-0000-00008E2C0000}"/>
    <cellStyle name="20% - Accent6 75 15 3" xfId="11407" xr:uid="{00000000-0005-0000-0000-00008F2C0000}"/>
    <cellStyle name="20% - Accent6 75 16" xfId="11408" xr:uid="{00000000-0005-0000-0000-0000902C0000}"/>
    <cellStyle name="20% - Accent6 75 16 2" xfId="11409" xr:uid="{00000000-0005-0000-0000-0000912C0000}"/>
    <cellStyle name="20% - Accent6 75 16 2 2" xfId="11410" xr:uid="{00000000-0005-0000-0000-0000922C0000}"/>
    <cellStyle name="20% - Accent6 75 16 3" xfId="11411" xr:uid="{00000000-0005-0000-0000-0000932C0000}"/>
    <cellStyle name="20% - Accent6 75 17" xfId="11412" xr:uid="{00000000-0005-0000-0000-0000942C0000}"/>
    <cellStyle name="20% - Accent6 75 17 2" xfId="11413" xr:uid="{00000000-0005-0000-0000-0000952C0000}"/>
    <cellStyle name="20% - Accent6 75 17 2 2" xfId="11414" xr:uid="{00000000-0005-0000-0000-0000962C0000}"/>
    <cellStyle name="20% - Accent6 75 17 3" xfId="11415" xr:uid="{00000000-0005-0000-0000-0000972C0000}"/>
    <cellStyle name="20% - Accent6 75 18" xfId="11416" xr:uid="{00000000-0005-0000-0000-0000982C0000}"/>
    <cellStyle name="20% - Accent6 75 18 2" xfId="11417" xr:uid="{00000000-0005-0000-0000-0000992C0000}"/>
    <cellStyle name="20% - Accent6 75 18 2 2" xfId="11418" xr:uid="{00000000-0005-0000-0000-00009A2C0000}"/>
    <cellStyle name="20% - Accent6 75 18 3" xfId="11419" xr:uid="{00000000-0005-0000-0000-00009B2C0000}"/>
    <cellStyle name="20% - Accent6 75 19" xfId="11420" xr:uid="{00000000-0005-0000-0000-00009C2C0000}"/>
    <cellStyle name="20% - Accent6 75 19 2" xfId="11421" xr:uid="{00000000-0005-0000-0000-00009D2C0000}"/>
    <cellStyle name="20% - Accent6 75 19 2 2" xfId="11422" xr:uid="{00000000-0005-0000-0000-00009E2C0000}"/>
    <cellStyle name="20% - Accent6 75 19 3" xfId="11423" xr:uid="{00000000-0005-0000-0000-00009F2C0000}"/>
    <cellStyle name="20% - Accent6 75 2" xfId="11424" xr:uid="{00000000-0005-0000-0000-0000A02C0000}"/>
    <cellStyle name="20% - Accent6 75 2 2" xfId="11425" xr:uid="{00000000-0005-0000-0000-0000A12C0000}"/>
    <cellStyle name="20% - Accent6 75 2 2 2" xfId="11426" xr:uid="{00000000-0005-0000-0000-0000A22C0000}"/>
    <cellStyle name="20% - Accent6 75 2 3" xfId="11427" xr:uid="{00000000-0005-0000-0000-0000A32C0000}"/>
    <cellStyle name="20% - Accent6 75 20" xfId="11428" xr:uid="{00000000-0005-0000-0000-0000A42C0000}"/>
    <cellStyle name="20% - Accent6 75 20 2" xfId="11429" xr:uid="{00000000-0005-0000-0000-0000A52C0000}"/>
    <cellStyle name="20% - Accent6 75 20 2 2" xfId="11430" xr:uid="{00000000-0005-0000-0000-0000A62C0000}"/>
    <cellStyle name="20% - Accent6 75 20 3" xfId="11431" xr:uid="{00000000-0005-0000-0000-0000A72C0000}"/>
    <cellStyle name="20% - Accent6 75 21" xfId="11432" xr:uid="{00000000-0005-0000-0000-0000A82C0000}"/>
    <cellStyle name="20% - Accent6 75 21 2" xfId="11433" xr:uid="{00000000-0005-0000-0000-0000A92C0000}"/>
    <cellStyle name="20% - Accent6 75 21 2 2" xfId="11434" xr:uid="{00000000-0005-0000-0000-0000AA2C0000}"/>
    <cellStyle name="20% - Accent6 75 21 3" xfId="11435" xr:uid="{00000000-0005-0000-0000-0000AB2C0000}"/>
    <cellStyle name="20% - Accent6 75 22" xfId="11436" xr:uid="{00000000-0005-0000-0000-0000AC2C0000}"/>
    <cellStyle name="20% - Accent6 75 22 2" xfId="11437" xr:uid="{00000000-0005-0000-0000-0000AD2C0000}"/>
    <cellStyle name="20% - Accent6 75 22 2 2" xfId="11438" xr:uid="{00000000-0005-0000-0000-0000AE2C0000}"/>
    <cellStyle name="20% - Accent6 75 22 3" xfId="11439" xr:uid="{00000000-0005-0000-0000-0000AF2C0000}"/>
    <cellStyle name="20% - Accent6 75 23" xfId="11440" xr:uid="{00000000-0005-0000-0000-0000B02C0000}"/>
    <cellStyle name="20% - Accent6 75 23 2" xfId="11441" xr:uid="{00000000-0005-0000-0000-0000B12C0000}"/>
    <cellStyle name="20% - Accent6 75 23 2 2" xfId="11442" xr:uid="{00000000-0005-0000-0000-0000B22C0000}"/>
    <cellStyle name="20% - Accent6 75 23 3" xfId="11443" xr:uid="{00000000-0005-0000-0000-0000B32C0000}"/>
    <cellStyle name="20% - Accent6 75 24" xfId="11444" xr:uid="{00000000-0005-0000-0000-0000B42C0000}"/>
    <cellStyle name="20% - Accent6 75 24 2" xfId="11445" xr:uid="{00000000-0005-0000-0000-0000B52C0000}"/>
    <cellStyle name="20% - Accent6 75 24 2 2" xfId="11446" xr:uid="{00000000-0005-0000-0000-0000B62C0000}"/>
    <cellStyle name="20% - Accent6 75 24 3" xfId="11447" xr:uid="{00000000-0005-0000-0000-0000B72C0000}"/>
    <cellStyle name="20% - Accent6 75 25" xfId="11448" xr:uid="{00000000-0005-0000-0000-0000B82C0000}"/>
    <cellStyle name="20% - Accent6 75 25 2" xfId="11449" xr:uid="{00000000-0005-0000-0000-0000B92C0000}"/>
    <cellStyle name="20% - Accent6 75 25 2 2" xfId="11450" xr:uid="{00000000-0005-0000-0000-0000BA2C0000}"/>
    <cellStyle name="20% - Accent6 75 25 3" xfId="11451" xr:uid="{00000000-0005-0000-0000-0000BB2C0000}"/>
    <cellStyle name="20% - Accent6 75 26" xfId="11452" xr:uid="{00000000-0005-0000-0000-0000BC2C0000}"/>
    <cellStyle name="20% - Accent6 75 26 2" xfId="11453" xr:uid="{00000000-0005-0000-0000-0000BD2C0000}"/>
    <cellStyle name="20% - Accent6 75 26 2 2" xfId="11454" xr:uid="{00000000-0005-0000-0000-0000BE2C0000}"/>
    <cellStyle name="20% - Accent6 75 26 3" xfId="11455" xr:uid="{00000000-0005-0000-0000-0000BF2C0000}"/>
    <cellStyle name="20% - Accent6 75 27" xfId="11456" xr:uid="{00000000-0005-0000-0000-0000C02C0000}"/>
    <cellStyle name="20% - Accent6 75 27 2" xfId="11457" xr:uid="{00000000-0005-0000-0000-0000C12C0000}"/>
    <cellStyle name="20% - Accent6 75 27 2 2" xfId="11458" xr:uid="{00000000-0005-0000-0000-0000C22C0000}"/>
    <cellStyle name="20% - Accent6 75 27 3" xfId="11459" xr:uid="{00000000-0005-0000-0000-0000C32C0000}"/>
    <cellStyle name="20% - Accent6 75 28" xfId="11460" xr:uid="{00000000-0005-0000-0000-0000C42C0000}"/>
    <cellStyle name="20% - Accent6 75 28 2" xfId="11461" xr:uid="{00000000-0005-0000-0000-0000C52C0000}"/>
    <cellStyle name="20% - Accent6 75 28 2 2" xfId="11462" xr:uid="{00000000-0005-0000-0000-0000C62C0000}"/>
    <cellStyle name="20% - Accent6 75 28 3" xfId="11463" xr:uid="{00000000-0005-0000-0000-0000C72C0000}"/>
    <cellStyle name="20% - Accent6 75 29" xfId="11464" xr:uid="{00000000-0005-0000-0000-0000C82C0000}"/>
    <cellStyle name="20% - Accent6 75 29 2" xfId="11465" xr:uid="{00000000-0005-0000-0000-0000C92C0000}"/>
    <cellStyle name="20% - Accent6 75 29 2 2" xfId="11466" xr:uid="{00000000-0005-0000-0000-0000CA2C0000}"/>
    <cellStyle name="20% - Accent6 75 29 3" xfId="11467" xr:uid="{00000000-0005-0000-0000-0000CB2C0000}"/>
    <cellStyle name="20% - Accent6 75 3" xfId="11468" xr:uid="{00000000-0005-0000-0000-0000CC2C0000}"/>
    <cellStyle name="20% - Accent6 75 3 2" xfId="11469" xr:uid="{00000000-0005-0000-0000-0000CD2C0000}"/>
    <cellStyle name="20% - Accent6 75 3 2 2" xfId="11470" xr:uid="{00000000-0005-0000-0000-0000CE2C0000}"/>
    <cellStyle name="20% - Accent6 75 3 3" xfId="11471" xr:uid="{00000000-0005-0000-0000-0000CF2C0000}"/>
    <cellStyle name="20% - Accent6 75 30" xfId="11472" xr:uid="{00000000-0005-0000-0000-0000D02C0000}"/>
    <cellStyle name="20% - Accent6 75 30 2" xfId="11473" xr:uid="{00000000-0005-0000-0000-0000D12C0000}"/>
    <cellStyle name="20% - Accent6 75 30 2 2" xfId="11474" xr:uid="{00000000-0005-0000-0000-0000D22C0000}"/>
    <cellStyle name="20% - Accent6 75 30 3" xfId="11475" xr:uid="{00000000-0005-0000-0000-0000D32C0000}"/>
    <cellStyle name="20% - Accent6 75 31" xfId="11476" xr:uid="{00000000-0005-0000-0000-0000D42C0000}"/>
    <cellStyle name="20% - Accent6 75 31 2" xfId="11477" xr:uid="{00000000-0005-0000-0000-0000D52C0000}"/>
    <cellStyle name="20% - Accent6 75 31 2 2" xfId="11478" xr:uid="{00000000-0005-0000-0000-0000D62C0000}"/>
    <cellStyle name="20% - Accent6 75 31 3" xfId="11479" xr:uid="{00000000-0005-0000-0000-0000D72C0000}"/>
    <cellStyle name="20% - Accent6 75 32" xfId="11480" xr:uid="{00000000-0005-0000-0000-0000D82C0000}"/>
    <cellStyle name="20% - Accent6 75 32 2" xfId="11481" xr:uid="{00000000-0005-0000-0000-0000D92C0000}"/>
    <cellStyle name="20% - Accent6 75 32 2 2" xfId="11482" xr:uid="{00000000-0005-0000-0000-0000DA2C0000}"/>
    <cellStyle name="20% - Accent6 75 32 3" xfId="11483" xr:uid="{00000000-0005-0000-0000-0000DB2C0000}"/>
    <cellStyle name="20% - Accent6 75 33" xfId="11484" xr:uid="{00000000-0005-0000-0000-0000DC2C0000}"/>
    <cellStyle name="20% - Accent6 75 33 2" xfId="11485" xr:uid="{00000000-0005-0000-0000-0000DD2C0000}"/>
    <cellStyle name="20% - Accent6 75 33 2 2" xfId="11486" xr:uid="{00000000-0005-0000-0000-0000DE2C0000}"/>
    <cellStyle name="20% - Accent6 75 33 3" xfId="11487" xr:uid="{00000000-0005-0000-0000-0000DF2C0000}"/>
    <cellStyle name="20% - Accent6 75 34" xfId="11488" xr:uid="{00000000-0005-0000-0000-0000E02C0000}"/>
    <cellStyle name="20% - Accent6 75 34 2" xfId="11489" xr:uid="{00000000-0005-0000-0000-0000E12C0000}"/>
    <cellStyle name="20% - Accent6 75 34 2 2" xfId="11490" xr:uid="{00000000-0005-0000-0000-0000E22C0000}"/>
    <cellStyle name="20% - Accent6 75 34 3" xfId="11491" xr:uid="{00000000-0005-0000-0000-0000E32C0000}"/>
    <cellStyle name="20% - Accent6 75 35" xfId="11492" xr:uid="{00000000-0005-0000-0000-0000E42C0000}"/>
    <cellStyle name="20% - Accent6 75 35 2" xfId="11493" xr:uid="{00000000-0005-0000-0000-0000E52C0000}"/>
    <cellStyle name="20% - Accent6 75 35 2 2" xfId="11494" xr:uid="{00000000-0005-0000-0000-0000E62C0000}"/>
    <cellStyle name="20% - Accent6 75 35 3" xfId="11495" xr:uid="{00000000-0005-0000-0000-0000E72C0000}"/>
    <cellStyle name="20% - Accent6 75 36" xfId="11496" xr:uid="{00000000-0005-0000-0000-0000E82C0000}"/>
    <cellStyle name="20% - Accent6 75 36 2" xfId="11497" xr:uid="{00000000-0005-0000-0000-0000E92C0000}"/>
    <cellStyle name="20% - Accent6 75 36 2 2" xfId="11498" xr:uid="{00000000-0005-0000-0000-0000EA2C0000}"/>
    <cellStyle name="20% - Accent6 75 36 3" xfId="11499" xr:uid="{00000000-0005-0000-0000-0000EB2C0000}"/>
    <cellStyle name="20% - Accent6 75 4" xfId="11500" xr:uid="{00000000-0005-0000-0000-0000EC2C0000}"/>
    <cellStyle name="20% - Accent6 75 4 2" xfId="11501" xr:uid="{00000000-0005-0000-0000-0000ED2C0000}"/>
    <cellStyle name="20% - Accent6 75 4 2 2" xfId="11502" xr:uid="{00000000-0005-0000-0000-0000EE2C0000}"/>
    <cellStyle name="20% - Accent6 75 4 3" xfId="11503" xr:uid="{00000000-0005-0000-0000-0000EF2C0000}"/>
    <cellStyle name="20% - Accent6 75 5" xfId="11504" xr:uid="{00000000-0005-0000-0000-0000F02C0000}"/>
    <cellStyle name="20% - Accent6 75 5 2" xfId="11505" xr:uid="{00000000-0005-0000-0000-0000F12C0000}"/>
    <cellStyle name="20% - Accent6 75 5 2 2" xfId="11506" xr:uid="{00000000-0005-0000-0000-0000F22C0000}"/>
    <cellStyle name="20% - Accent6 75 5 3" xfId="11507" xr:uid="{00000000-0005-0000-0000-0000F32C0000}"/>
    <cellStyle name="20% - Accent6 75 6" xfId="11508" xr:uid="{00000000-0005-0000-0000-0000F42C0000}"/>
    <cellStyle name="20% - Accent6 75 6 2" xfId="11509" xr:uid="{00000000-0005-0000-0000-0000F52C0000}"/>
    <cellStyle name="20% - Accent6 75 6 2 2" xfId="11510" xr:uid="{00000000-0005-0000-0000-0000F62C0000}"/>
    <cellStyle name="20% - Accent6 75 6 3" xfId="11511" xr:uid="{00000000-0005-0000-0000-0000F72C0000}"/>
    <cellStyle name="20% - Accent6 75 7" xfId="11512" xr:uid="{00000000-0005-0000-0000-0000F82C0000}"/>
    <cellStyle name="20% - Accent6 75 7 2" xfId="11513" xr:uid="{00000000-0005-0000-0000-0000F92C0000}"/>
    <cellStyle name="20% - Accent6 75 7 2 2" xfId="11514" xr:uid="{00000000-0005-0000-0000-0000FA2C0000}"/>
    <cellStyle name="20% - Accent6 75 7 3" xfId="11515" xr:uid="{00000000-0005-0000-0000-0000FB2C0000}"/>
    <cellStyle name="20% - Accent6 75 8" xfId="11516" xr:uid="{00000000-0005-0000-0000-0000FC2C0000}"/>
    <cellStyle name="20% - Accent6 75 8 2" xfId="11517" xr:uid="{00000000-0005-0000-0000-0000FD2C0000}"/>
    <cellStyle name="20% - Accent6 75 8 2 2" xfId="11518" xr:uid="{00000000-0005-0000-0000-0000FE2C0000}"/>
    <cellStyle name="20% - Accent6 75 8 3" xfId="11519" xr:uid="{00000000-0005-0000-0000-0000FF2C0000}"/>
    <cellStyle name="20% - Accent6 75 9" xfId="11520" xr:uid="{00000000-0005-0000-0000-0000002D0000}"/>
    <cellStyle name="20% - Accent6 75 9 2" xfId="11521" xr:uid="{00000000-0005-0000-0000-0000012D0000}"/>
    <cellStyle name="20% - Accent6 75 9 2 2" xfId="11522" xr:uid="{00000000-0005-0000-0000-0000022D0000}"/>
    <cellStyle name="20% - Accent6 75 9 3" xfId="11523" xr:uid="{00000000-0005-0000-0000-0000032D0000}"/>
    <cellStyle name="20% - Accent6 76" xfId="11524" xr:uid="{00000000-0005-0000-0000-0000042D0000}"/>
    <cellStyle name="20% - Accent6 76 10" xfId="11525" xr:uid="{00000000-0005-0000-0000-0000052D0000}"/>
    <cellStyle name="20% - Accent6 76 10 2" xfId="11526" xr:uid="{00000000-0005-0000-0000-0000062D0000}"/>
    <cellStyle name="20% - Accent6 76 10 2 2" xfId="11527" xr:uid="{00000000-0005-0000-0000-0000072D0000}"/>
    <cellStyle name="20% - Accent6 76 10 3" xfId="11528" xr:uid="{00000000-0005-0000-0000-0000082D0000}"/>
    <cellStyle name="20% - Accent6 76 11" xfId="11529" xr:uid="{00000000-0005-0000-0000-0000092D0000}"/>
    <cellStyle name="20% - Accent6 76 11 2" xfId="11530" xr:uid="{00000000-0005-0000-0000-00000A2D0000}"/>
    <cellStyle name="20% - Accent6 76 11 2 2" xfId="11531" xr:uid="{00000000-0005-0000-0000-00000B2D0000}"/>
    <cellStyle name="20% - Accent6 76 11 3" xfId="11532" xr:uid="{00000000-0005-0000-0000-00000C2D0000}"/>
    <cellStyle name="20% - Accent6 76 12" xfId="11533" xr:uid="{00000000-0005-0000-0000-00000D2D0000}"/>
    <cellStyle name="20% - Accent6 76 12 2" xfId="11534" xr:uid="{00000000-0005-0000-0000-00000E2D0000}"/>
    <cellStyle name="20% - Accent6 76 12 2 2" xfId="11535" xr:uid="{00000000-0005-0000-0000-00000F2D0000}"/>
    <cellStyle name="20% - Accent6 76 12 3" xfId="11536" xr:uid="{00000000-0005-0000-0000-0000102D0000}"/>
    <cellStyle name="20% - Accent6 76 13" xfId="11537" xr:uid="{00000000-0005-0000-0000-0000112D0000}"/>
    <cellStyle name="20% - Accent6 76 13 2" xfId="11538" xr:uid="{00000000-0005-0000-0000-0000122D0000}"/>
    <cellStyle name="20% - Accent6 76 13 2 2" xfId="11539" xr:uid="{00000000-0005-0000-0000-0000132D0000}"/>
    <cellStyle name="20% - Accent6 76 13 3" xfId="11540" xr:uid="{00000000-0005-0000-0000-0000142D0000}"/>
    <cellStyle name="20% - Accent6 76 14" xfId="11541" xr:uid="{00000000-0005-0000-0000-0000152D0000}"/>
    <cellStyle name="20% - Accent6 76 14 2" xfId="11542" xr:uid="{00000000-0005-0000-0000-0000162D0000}"/>
    <cellStyle name="20% - Accent6 76 14 2 2" xfId="11543" xr:uid="{00000000-0005-0000-0000-0000172D0000}"/>
    <cellStyle name="20% - Accent6 76 14 3" xfId="11544" xr:uid="{00000000-0005-0000-0000-0000182D0000}"/>
    <cellStyle name="20% - Accent6 76 15" xfId="11545" xr:uid="{00000000-0005-0000-0000-0000192D0000}"/>
    <cellStyle name="20% - Accent6 76 15 2" xfId="11546" xr:uid="{00000000-0005-0000-0000-00001A2D0000}"/>
    <cellStyle name="20% - Accent6 76 15 2 2" xfId="11547" xr:uid="{00000000-0005-0000-0000-00001B2D0000}"/>
    <cellStyle name="20% - Accent6 76 15 3" xfId="11548" xr:uid="{00000000-0005-0000-0000-00001C2D0000}"/>
    <cellStyle name="20% - Accent6 76 16" xfId="11549" xr:uid="{00000000-0005-0000-0000-00001D2D0000}"/>
    <cellStyle name="20% - Accent6 76 16 2" xfId="11550" xr:uid="{00000000-0005-0000-0000-00001E2D0000}"/>
    <cellStyle name="20% - Accent6 76 16 2 2" xfId="11551" xr:uid="{00000000-0005-0000-0000-00001F2D0000}"/>
    <cellStyle name="20% - Accent6 76 16 3" xfId="11552" xr:uid="{00000000-0005-0000-0000-0000202D0000}"/>
    <cellStyle name="20% - Accent6 76 17" xfId="11553" xr:uid="{00000000-0005-0000-0000-0000212D0000}"/>
    <cellStyle name="20% - Accent6 76 17 2" xfId="11554" xr:uid="{00000000-0005-0000-0000-0000222D0000}"/>
    <cellStyle name="20% - Accent6 76 17 2 2" xfId="11555" xr:uid="{00000000-0005-0000-0000-0000232D0000}"/>
    <cellStyle name="20% - Accent6 76 17 3" xfId="11556" xr:uid="{00000000-0005-0000-0000-0000242D0000}"/>
    <cellStyle name="20% - Accent6 76 18" xfId="11557" xr:uid="{00000000-0005-0000-0000-0000252D0000}"/>
    <cellStyle name="20% - Accent6 76 18 2" xfId="11558" xr:uid="{00000000-0005-0000-0000-0000262D0000}"/>
    <cellStyle name="20% - Accent6 76 18 2 2" xfId="11559" xr:uid="{00000000-0005-0000-0000-0000272D0000}"/>
    <cellStyle name="20% - Accent6 76 18 3" xfId="11560" xr:uid="{00000000-0005-0000-0000-0000282D0000}"/>
    <cellStyle name="20% - Accent6 76 19" xfId="11561" xr:uid="{00000000-0005-0000-0000-0000292D0000}"/>
    <cellStyle name="20% - Accent6 76 19 2" xfId="11562" xr:uid="{00000000-0005-0000-0000-00002A2D0000}"/>
    <cellStyle name="20% - Accent6 76 19 2 2" xfId="11563" xr:uid="{00000000-0005-0000-0000-00002B2D0000}"/>
    <cellStyle name="20% - Accent6 76 19 3" xfId="11564" xr:uid="{00000000-0005-0000-0000-00002C2D0000}"/>
    <cellStyle name="20% - Accent6 76 2" xfId="11565" xr:uid="{00000000-0005-0000-0000-00002D2D0000}"/>
    <cellStyle name="20% - Accent6 76 2 2" xfId="11566" xr:uid="{00000000-0005-0000-0000-00002E2D0000}"/>
    <cellStyle name="20% - Accent6 76 2 2 2" xfId="11567" xr:uid="{00000000-0005-0000-0000-00002F2D0000}"/>
    <cellStyle name="20% - Accent6 76 2 3" xfId="11568" xr:uid="{00000000-0005-0000-0000-0000302D0000}"/>
    <cellStyle name="20% - Accent6 76 20" xfId="11569" xr:uid="{00000000-0005-0000-0000-0000312D0000}"/>
    <cellStyle name="20% - Accent6 76 20 2" xfId="11570" xr:uid="{00000000-0005-0000-0000-0000322D0000}"/>
    <cellStyle name="20% - Accent6 76 20 2 2" xfId="11571" xr:uid="{00000000-0005-0000-0000-0000332D0000}"/>
    <cellStyle name="20% - Accent6 76 20 3" xfId="11572" xr:uid="{00000000-0005-0000-0000-0000342D0000}"/>
    <cellStyle name="20% - Accent6 76 21" xfId="11573" xr:uid="{00000000-0005-0000-0000-0000352D0000}"/>
    <cellStyle name="20% - Accent6 76 21 2" xfId="11574" xr:uid="{00000000-0005-0000-0000-0000362D0000}"/>
    <cellStyle name="20% - Accent6 76 21 2 2" xfId="11575" xr:uid="{00000000-0005-0000-0000-0000372D0000}"/>
    <cellStyle name="20% - Accent6 76 21 3" xfId="11576" xr:uid="{00000000-0005-0000-0000-0000382D0000}"/>
    <cellStyle name="20% - Accent6 76 22" xfId="11577" xr:uid="{00000000-0005-0000-0000-0000392D0000}"/>
    <cellStyle name="20% - Accent6 76 22 2" xfId="11578" xr:uid="{00000000-0005-0000-0000-00003A2D0000}"/>
    <cellStyle name="20% - Accent6 76 22 2 2" xfId="11579" xr:uid="{00000000-0005-0000-0000-00003B2D0000}"/>
    <cellStyle name="20% - Accent6 76 22 3" xfId="11580" xr:uid="{00000000-0005-0000-0000-00003C2D0000}"/>
    <cellStyle name="20% - Accent6 76 23" xfId="11581" xr:uid="{00000000-0005-0000-0000-00003D2D0000}"/>
    <cellStyle name="20% - Accent6 76 23 2" xfId="11582" xr:uid="{00000000-0005-0000-0000-00003E2D0000}"/>
    <cellStyle name="20% - Accent6 76 23 2 2" xfId="11583" xr:uid="{00000000-0005-0000-0000-00003F2D0000}"/>
    <cellStyle name="20% - Accent6 76 23 3" xfId="11584" xr:uid="{00000000-0005-0000-0000-0000402D0000}"/>
    <cellStyle name="20% - Accent6 76 24" xfId="11585" xr:uid="{00000000-0005-0000-0000-0000412D0000}"/>
    <cellStyle name="20% - Accent6 76 24 2" xfId="11586" xr:uid="{00000000-0005-0000-0000-0000422D0000}"/>
    <cellStyle name="20% - Accent6 76 24 2 2" xfId="11587" xr:uid="{00000000-0005-0000-0000-0000432D0000}"/>
    <cellStyle name="20% - Accent6 76 24 3" xfId="11588" xr:uid="{00000000-0005-0000-0000-0000442D0000}"/>
    <cellStyle name="20% - Accent6 76 25" xfId="11589" xr:uid="{00000000-0005-0000-0000-0000452D0000}"/>
    <cellStyle name="20% - Accent6 76 25 2" xfId="11590" xr:uid="{00000000-0005-0000-0000-0000462D0000}"/>
    <cellStyle name="20% - Accent6 76 25 2 2" xfId="11591" xr:uid="{00000000-0005-0000-0000-0000472D0000}"/>
    <cellStyle name="20% - Accent6 76 25 3" xfId="11592" xr:uid="{00000000-0005-0000-0000-0000482D0000}"/>
    <cellStyle name="20% - Accent6 76 26" xfId="11593" xr:uid="{00000000-0005-0000-0000-0000492D0000}"/>
    <cellStyle name="20% - Accent6 76 26 2" xfId="11594" xr:uid="{00000000-0005-0000-0000-00004A2D0000}"/>
    <cellStyle name="20% - Accent6 76 26 2 2" xfId="11595" xr:uid="{00000000-0005-0000-0000-00004B2D0000}"/>
    <cellStyle name="20% - Accent6 76 26 3" xfId="11596" xr:uid="{00000000-0005-0000-0000-00004C2D0000}"/>
    <cellStyle name="20% - Accent6 76 27" xfId="11597" xr:uid="{00000000-0005-0000-0000-00004D2D0000}"/>
    <cellStyle name="20% - Accent6 76 27 2" xfId="11598" xr:uid="{00000000-0005-0000-0000-00004E2D0000}"/>
    <cellStyle name="20% - Accent6 76 27 2 2" xfId="11599" xr:uid="{00000000-0005-0000-0000-00004F2D0000}"/>
    <cellStyle name="20% - Accent6 76 27 3" xfId="11600" xr:uid="{00000000-0005-0000-0000-0000502D0000}"/>
    <cellStyle name="20% - Accent6 76 28" xfId="11601" xr:uid="{00000000-0005-0000-0000-0000512D0000}"/>
    <cellStyle name="20% - Accent6 76 28 2" xfId="11602" xr:uid="{00000000-0005-0000-0000-0000522D0000}"/>
    <cellStyle name="20% - Accent6 76 28 2 2" xfId="11603" xr:uid="{00000000-0005-0000-0000-0000532D0000}"/>
    <cellStyle name="20% - Accent6 76 28 3" xfId="11604" xr:uid="{00000000-0005-0000-0000-0000542D0000}"/>
    <cellStyle name="20% - Accent6 76 29" xfId="11605" xr:uid="{00000000-0005-0000-0000-0000552D0000}"/>
    <cellStyle name="20% - Accent6 76 29 2" xfId="11606" xr:uid="{00000000-0005-0000-0000-0000562D0000}"/>
    <cellStyle name="20% - Accent6 76 29 2 2" xfId="11607" xr:uid="{00000000-0005-0000-0000-0000572D0000}"/>
    <cellStyle name="20% - Accent6 76 29 3" xfId="11608" xr:uid="{00000000-0005-0000-0000-0000582D0000}"/>
    <cellStyle name="20% - Accent6 76 3" xfId="11609" xr:uid="{00000000-0005-0000-0000-0000592D0000}"/>
    <cellStyle name="20% - Accent6 76 3 2" xfId="11610" xr:uid="{00000000-0005-0000-0000-00005A2D0000}"/>
    <cellStyle name="20% - Accent6 76 3 2 2" xfId="11611" xr:uid="{00000000-0005-0000-0000-00005B2D0000}"/>
    <cellStyle name="20% - Accent6 76 3 3" xfId="11612" xr:uid="{00000000-0005-0000-0000-00005C2D0000}"/>
    <cellStyle name="20% - Accent6 76 30" xfId="11613" xr:uid="{00000000-0005-0000-0000-00005D2D0000}"/>
    <cellStyle name="20% - Accent6 76 30 2" xfId="11614" xr:uid="{00000000-0005-0000-0000-00005E2D0000}"/>
    <cellStyle name="20% - Accent6 76 30 2 2" xfId="11615" xr:uid="{00000000-0005-0000-0000-00005F2D0000}"/>
    <cellStyle name="20% - Accent6 76 30 3" xfId="11616" xr:uid="{00000000-0005-0000-0000-0000602D0000}"/>
    <cellStyle name="20% - Accent6 76 31" xfId="11617" xr:uid="{00000000-0005-0000-0000-0000612D0000}"/>
    <cellStyle name="20% - Accent6 76 31 2" xfId="11618" xr:uid="{00000000-0005-0000-0000-0000622D0000}"/>
    <cellStyle name="20% - Accent6 76 31 2 2" xfId="11619" xr:uid="{00000000-0005-0000-0000-0000632D0000}"/>
    <cellStyle name="20% - Accent6 76 31 3" xfId="11620" xr:uid="{00000000-0005-0000-0000-0000642D0000}"/>
    <cellStyle name="20% - Accent6 76 32" xfId="11621" xr:uid="{00000000-0005-0000-0000-0000652D0000}"/>
    <cellStyle name="20% - Accent6 76 32 2" xfId="11622" xr:uid="{00000000-0005-0000-0000-0000662D0000}"/>
    <cellStyle name="20% - Accent6 76 32 2 2" xfId="11623" xr:uid="{00000000-0005-0000-0000-0000672D0000}"/>
    <cellStyle name="20% - Accent6 76 32 3" xfId="11624" xr:uid="{00000000-0005-0000-0000-0000682D0000}"/>
    <cellStyle name="20% - Accent6 76 33" xfId="11625" xr:uid="{00000000-0005-0000-0000-0000692D0000}"/>
    <cellStyle name="20% - Accent6 76 33 2" xfId="11626" xr:uid="{00000000-0005-0000-0000-00006A2D0000}"/>
    <cellStyle name="20% - Accent6 76 33 2 2" xfId="11627" xr:uid="{00000000-0005-0000-0000-00006B2D0000}"/>
    <cellStyle name="20% - Accent6 76 33 3" xfId="11628" xr:uid="{00000000-0005-0000-0000-00006C2D0000}"/>
    <cellStyle name="20% - Accent6 76 34" xfId="11629" xr:uid="{00000000-0005-0000-0000-00006D2D0000}"/>
    <cellStyle name="20% - Accent6 76 34 2" xfId="11630" xr:uid="{00000000-0005-0000-0000-00006E2D0000}"/>
    <cellStyle name="20% - Accent6 76 34 2 2" xfId="11631" xr:uid="{00000000-0005-0000-0000-00006F2D0000}"/>
    <cellStyle name="20% - Accent6 76 34 3" xfId="11632" xr:uid="{00000000-0005-0000-0000-0000702D0000}"/>
    <cellStyle name="20% - Accent6 76 35" xfId="11633" xr:uid="{00000000-0005-0000-0000-0000712D0000}"/>
    <cellStyle name="20% - Accent6 76 35 2" xfId="11634" xr:uid="{00000000-0005-0000-0000-0000722D0000}"/>
    <cellStyle name="20% - Accent6 76 35 2 2" xfId="11635" xr:uid="{00000000-0005-0000-0000-0000732D0000}"/>
    <cellStyle name="20% - Accent6 76 35 3" xfId="11636" xr:uid="{00000000-0005-0000-0000-0000742D0000}"/>
    <cellStyle name="20% - Accent6 76 36" xfId="11637" xr:uid="{00000000-0005-0000-0000-0000752D0000}"/>
    <cellStyle name="20% - Accent6 76 36 2" xfId="11638" xr:uid="{00000000-0005-0000-0000-0000762D0000}"/>
    <cellStyle name="20% - Accent6 76 36 2 2" xfId="11639" xr:uid="{00000000-0005-0000-0000-0000772D0000}"/>
    <cellStyle name="20% - Accent6 76 36 3" xfId="11640" xr:uid="{00000000-0005-0000-0000-0000782D0000}"/>
    <cellStyle name="20% - Accent6 76 4" xfId="11641" xr:uid="{00000000-0005-0000-0000-0000792D0000}"/>
    <cellStyle name="20% - Accent6 76 4 2" xfId="11642" xr:uid="{00000000-0005-0000-0000-00007A2D0000}"/>
    <cellStyle name="20% - Accent6 76 4 2 2" xfId="11643" xr:uid="{00000000-0005-0000-0000-00007B2D0000}"/>
    <cellStyle name="20% - Accent6 76 4 3" xfId="11644" xr:uid="{00000000-0005-0000-0000-00007C2D0000}"/>
    <cellStyle name="20% - Accent6 76 5" xfId="11645" xr:uid="{00000000-0005-0000-0000-00007D2D0000}"/>
    <cellStyle name="20% - Accent6 76 5 2" xfId="11646" xr:uid="{00000000-0005-0000-0000-00007E2D0000}"/>
    <cellStyle name="20% - Accent6 76 5 2 2" xfId="11647" xr:uid="{00000000-0005-0000-0000-00007F2D0000}"/>
    <cellStyle name="20% - Accent6 76 5 3" xfId="11648" xr:uid="{00000000-0005-0000-0000-0000802D0000}"/>
    <cellStyle name="20% - Accent6 76 6" xfId="11649" xr:uid="{00000000-0005-0000-0000-0000812D0000}"/>
    <cellStyle name="20% - Accent6 76 6 2" xfId="11650" xr:uid="{00000000-0005-0000-0000-0000822D0000}"/>
    <cellStyle name="20% - Accent6 76 6 2 2" xfId="11651" xr:uid="{00000000-0005-0000-0000-0000832D0000}"/>
    <cellStyle name="20% - Accent6 76 6 3" xfId="11652" xr:uid="{00000000-0005-0000-0000-0000842D0000}"/>
    <cellStyle name="20% - Accent6 76 7" xfId="11653" xr:uid="{00000000-0005-0000-0000-0000852D0000}"/>
    <cellStyle name="20% - Accent6 76 7 2" xfId="11654" xr:uid="{00000000-0005-0000-0000-0000862D0000}"/>
    <cellStyle name="20% - Accent6 76 7 2 2" xfId="11655" xr:uid="{00000000-0005-0000-0000-0000872D0000}"/>
    <cellStyle name="20% - Accent6 76 7 3" xfId="11656" xr:uid="{00000000-0005-0000-0000-0000882D0000}"/>
    <cellStyle name="20% - Accent6 76 8" xfId="11657" xr:uid="{00000000-0005-0000-0000-0000892D0000}"/>
    <cellStyle name="20% - Accent6 76 8 2" xfId="11658" xr:uid="{00000000-0005-0000-0000-00008A2D0000}"/>
    <cellStyle name="20% - Accent6 76 8 2 2" xfId="11659" xr:uid="{00000000-0005-0000-0000-00008B2D0000}"/>
    <cellStyle name="20% - Accent6 76 8 3" xfId="11660" xr:uid="{00000000-0005-0000-0000-00008C2D0000}"/>
    <cellStyle name="20% - Accent6 76 9" xfId="11661" xr:uid="{00000000-0005-0000-0000-00008D2D0000}"/>
    <cellStyle name="20% - Accent6 76 9 2" xfId="11662" xr:uid="{00000000-0005-0000-0000-00008E2D0000}"/>
    <cellStyle name="20% - Accent6 76 9 2 2" xfId="11663" xr:uid="{00000000-0005-0000-0000-00008F2D0000}"/>
    <cellStyle name="20% - Accent6 76 9 3" xfId="11664" xr:uid="{00000000-0005-0000-0000-0000902D0000}"/>
    <cellStyle name="20% - Accent6 77" xfId="11665" xr:uid="{00000000-0005-0000-0000-0000912D0000}"/>
    <cellStyle name="20% - Accent6 77 10" xfId="11666" xr:uid="{00000000-0005-0000-0000-0000922D0000}"/>
    <cellStyle name="20% - Accent6 77 10 2" xfId="11667" xr:uid="{00000000-0005-0000-0000-0000932D0000}"/>
    <cellStyle name="20% - Accent6 77 10 2 2" xfId="11668" xr:uid="{00000000-0005-0000-0000-0000942D0000}"/>
    <cellStyle name="20% - Accent6 77 10 3" xfId="11669" xr:uid="{00000000-0005-0000-0000-0000952D0000}"/>
    <cellStyle name="20% - Accent6 77 11" xfId="11670" xr:uid="{00000000-0005-0000-0000-0000962D0000}"/>
    <cellStyle name="20% - Accent6 77 11 2" xfId="11671" xr:uid="{00000000-0005-0000-0000-0000972D0000}"/>
    <cellStyle name="20% - Accent6 77 11 2 2" xfId="11672" xr:uid="{00000000-0005-0000-0000-0000982D0000}"/>
    <cellStyle name="20% - Accent6 77 11 3" xfId="11673" xr:uid="{00000000-0005-0000-0000-0000992D0000}"/>
    <cellStyle name="20% - Accent6 77 12" xfId="11674" xr:uid="{00000000-0005-0000-0000-00009A2D0000}"/>
    <cellStyle name="20% - Accent6 77 12 2" xfId="11675" xr:uid="{00000000-0005-0000-0000-00009B2D0000}"/>
    <cellStyle name="20% - Accent6 77 12 2 2" xfId="11676" xr:uid="{00000000-0005-0000-0000-00009C2D0000}"/>
    <cellStyle name="20% - Accent6 77 12 3" xfId="11677" xr:uid="{00000000-0005-0000-0000-00009D2D0000}"/>
    <cellStyle name="20% - Accent6 77 13" xfId="11678" xr:uid="{00000000-0005-0000-0000-00009E2D0000}"/>
    <cellStyle name="20% - Accent6 77 13 2" xfId="11679" xr:uid="{00000000-0005-0000-0000-00009F2D0000}"/>
    <cellStyle name="20% - Accent6 77 13 2 2" xfId="11680" xr:uid="{00000000-0005-0000-0000-0000A02D0000}"/>
    <cellStyle name="20% - Accent6 77 13 3" xfId="11681" xr:uid="{00000000-0005-0000-0000-0000A12D0000}"/>
    <cellStyle name="20% - Accent6 77 14" xfId="11682" xr:uid="{00000000-0005-0000-0000-0000A22D0000}"/>
    <cellStyle name="20% - Accent6 77 14 2" xfId="11683" xr:uid="{00000000-0005-0000-0000-0000A32D0000}"/>
    <cellStyle name="20% - Accent6 77 14 2 2" xfId="11684" xr:uid="{00000000-0005-0000-0000-0000A42D0000}"/>
    <cellStyle name="20% - Accent6 77 14 3" xfId="11685" xr:uid="{00000000-0005-0000-0000-0000A52D0000}"/>
    <cellStyle name="20% - Accent6 77 15" xfId="11686" xr:uid="{00000000-0005-0000-0000-0000A62D0000}"/>
    <cellStyle name="20% - Accent6 77 15 2" xfId="11687" xr:uid="{00000000-0005-0000-0000-0000A72D0000}"/>
    <cellStyle name="20% - Accent6 77 15 2 2" xfId="11688" xr:uid="{00000000-0005-0000-0000-0000A82D0000}"/>
    <cellStyle name="20% - Accent6 77 15 3" xfId="11689" xr:uid="{00000000-0005-0000-0000-0000A92D0000}"/>
    <cellStyle name="20% - Accent6 77 16" xfId="11690" xr:uid="{00000000-0005-0000-0000-0000AA2D0000}"/>
    <cellStyle name="20% - Accent6 77 16 2" xfId="11691" xr:uid="{00000000-0005-0000-0000-0000AB2D0000}"/>
    <cellStyle name="20% - Accent6 77 16 2 2" xfId="11692" xr:uid="{00000000-0005-0000-0000-0000AC2D0000}"/>
    <cellStyle name="20% - Accent6 77 16 3" xfId="11693" xr:uid="{00000000-0005-0000-0000-0000AD2D0000}"/>
    <cellStyle name="20% - Accent6 77 17" xfId="11694" xr:uid="{00000000-0005-0000-0000-0000AE2D0000}"/>
    <cellStyle name="20% - Accent6 77 17 2" xfId="11695" xr:uid="{00000000-0005-0000-0000-0000AF2D0000}"/>
    <cellStyle name="20% - Accent6 77 17 2 2" xfId="11696" xr:uid="{00000000-0005-0000-0000-0000B02D0000}"/>
    <cellStyle name="20% - Accent6 77 17 3" xfId="11697" xr:uid="{00000000-0005-0000-0000-0000B12D0000}"/>
    <cellStyle name="20% - Accent6 77 18" xfId="11698" xr:uid="{00000000-0005-0000-0000-0000B22D0000}"/>
    <cellStyle name="20% - Accent6 77 18 2" xfId="11699" xr:uid="{00000000-0005-0000-0000-0000B32D0000}"/>
    <cellStyle name="20% - Accent6 77 18 2 2" xfId="11700" xr:uid="{00000000-0005-0000-0000-0000B42D0000}"/>
    <cellStyle name="20% - Accent6 77 18 3" xfId="11701" xr:uid="{00000000-0005-0000-0000-0000B52D0000}"/>
    <cellStyle name="20% - Accent6 77 19" xfId="11702" xr:uid="{00000000-0005-0000-0000-0000B62D0000}"/>
    <cellStyle name="20% - Accent6 77 19 2" xfId="11703" xr:uid="{00000000-0005-0000-0000-0000B72D0000}"/>
    <cellStyle name="20% - Accent6 77 19 2 2" xfId="11704" xr:uid="{00000000-0005-0000-0000-0000B82D0000}"/>
    <cellStyle name="20% - Accent6 77 19 3" xfId="11705" xr:uid="{00000000-0005-0000-0000-0000B92D0000}"/>
    <cellStyle name="20% - Accent6 77 2" xfId="11706" xr:uid="{00000000-0005-0000-0000-0000BA2D0000}"/>
    <cellStyle name="20% - Accent6 77 2 2" xfId="11707" xr:uid="{00000000-0005-0000-0000-0000BB2D0000}"/>
    <cellStyle name="20% - Accent6 77 2 2 2" xfId="11708" xr:uid="{00000000-0005-0000-0000-0000BC2D0000}"/>
    <cellStyle name="20% - Accent6 77 2 3" xfId="11709" xr:uid="{00000000-0005-0000-0000-0000BD2D0000}"/>
    <cellStyle name="20% - Accent6 77 20" xfId="11710" xr:uid="{00000000-0005-0000-0000-0000BE2D0000}"/>
    <cellStyle name="20% - Accent6 77 20 2" xfId="11711" xr:uid="{00000000-0005-0000-0000-0000BF2D0000}"/>
    <cellStyle name="20% - Accent6 77 20 2 2" xfId="11712" xr:uid="{00000000-0005-0000-0000-0000C02D0000}"/>
    <cellStyle name="20% - Accent6 77 20 3" xfId="11713" xr:uid="{00000000-0005-0000-0000-0000C12D0000}"/>
    <cellStyle name="20% - Accent6 77 21" xfId="11714" xr:uid="{00000000-0005-0000-0000-0000C22D0000}"/>
    <cellStyle name="20% - Accent6 77 21 2" xfId="11715" xr:uid="{00000000-0005-0000-0000-0000C32D0000}"/>
    <cellStyle name="20% - Accent6 77 21 2 2" xfId="11716" xr:uid="{00000000-0005-0000-0000-0000C42D0000}"/>
    <cellStyle name="20% - Accent6 77 21 3" xfId="11717" xr:uid="{00000000-0005-0000-0000-0000C52D0000}"/>
    <cellStyle name="20% - Accent6 77 22" xfId="11718" xr:uid="{00000000-0005-0000-0000-0000C62D0000}"/>
    <cellStyle name="20% - Accent6 77 22 2" xfId="11719" xr:uid="{00000000-0005-0000-0000-0000C72D0000}"/>
    <cellStyle name="20% - Accent6 77 22 2 2" xfId="11720" xr:uid="{00000000-0005-0000-0000-0000C82D0000}"/>
    <cellStyle name="20% - Accent6 77 22 3" xfId="11721" xr:uid="{00000000-0005-0000-0000-0000C92D0000}"/>
    <cellStyle name="20% - Accent6 77 23" xfId="11722" xr:uid="{00000000-0005-0000-0000-0000CA2D0000}"/>
    <cellStyle name="20% - Accent6 77 23 2" xfId="11723" xr:uid="{00000000-0005-0000-0000-0000CB2D0000}"/>
    <cellStyle name="20% - Accent6 77 23 2 2" xfId="11724" xr:uid="{00000000-0005-0000-0000-0000CC2D0000}"/>
    <cellStyle name="20% - Accent6 77 23 3" xfId="11725" xr:uid="{00000000-0005-0000-0000-0000CD2D0000}"/>
    <cellStyle name="20% - Accent6 77 24" xfId="11726" xr:uid="{00000000-0005-0000-0000-0000CE2D0000}"/>
    <cellStyle name="20% - Accent6 77 24 2" xfId="11727" xr:uid="{00000000-0005-0000-0000-0000CF2D0000}"/>
    <cellStyle name="20% - Accent6 77 24 2 2" xfId="11728" xr:uid="{00000000-0005-0000-0000-0000D02D0000}"/>
    <cellStyle name="20% - Accent6 77 24 3" xfId="11729" xr:uid="{00000000-0005-0000-0000-0000D12D0000}"/>
    <cellStyle name="20% - Accent6 77 25" xfId="11730" xr:uid="{00000000-0005-0000-0000-0000D22D0000}"/>
    <cellStyle name="20% - Accent6 77 25 2" xfId="11731" xr:uid="{00000000-0005-0000-0000-0000D32D0000}"/>
    <cellStyle name="20% - Accent6 77 25 2 2" xfId="11732" xr:uid="{00000000-0005-0000-0000-0000D42D0000}"/>
    <cellStyle name="20% - Accent6 77 25 3" xfId="11733" xr:uid="{00000000-0005-0000-0000-0000D52D0000}"/>
    <cellStyle name="20% - Accent6 77 26" xfId="11734" xr:uid="{00000000-0005-0000-0000-0000D62D0000}"/>
    <cellStyle name="20% - Accent6 77 26 2" xfId="11735" xr:uid="{00000000-0005-0000-0000-0000D72D0000}"/>
    <cellStyle name="20% - Accent6 77 26 2 2" xfId="11736" xr:uid="{00000000-0005-0000-0000-0000D82D0000}"/>
    <cellStyle name="20% - Accent6 77 26 3" xfId="11737" xr:uid="{00000000-0005-0000-0000-0000D92D0000}"/>
    <cellStyle name="20% - Accent6 77 27" xfId="11738" xr:uid="{00000000-0005-0000-0000-0000DA2D0000}"/>
    <cellStyle name="20% - Accent6 77 27 2" xfId="11739" xr:uid="{00000000-0005-0000-0000-0000DB2D0000}"/>
    <cellStyle name="20% - Accent6 77 27 2 2" xfId="11740" xr:uid="{00000000-0005-0000-0000-0000DC2D0000}"/>
    <cellStyle name="20% - Accent6 77 27 3" xfId="11741" xr:uid="{00000000-0005-0000-0000-0000DD2D0000}"/>
    <cellStyle name="20% - Accent6 77 28" xfId="11742" xr:uid="{00000000-0005-0000-0000-0000DE2D0000}"/>
    <cellStyle name="20% - Accent6 77 28 2" xfId="11743" xr:uid="{00000000-0005-0000-0000-0000DF2D0000}"/>
    <cellStyle name="20% - Accent6 77 28 2 2" xfId="11744" xr:uid="{00000000-0005-0000-0000-0000E02D0000}"/>
    <cellStyle name="20% - Accent6 77 28 3" xfId="11745" xr:uid="{00000000-0005-0000-0000-0000E12D0000}"/>
    <cellStyle name="20% - Accent6 77 29" xfId="11746" xr:uid="{00000000-0005-0000-0000-0000E22D0000}"/>
    <cellStyle name="20% - Accent6 77 29 2" xfId="11747" xr:uid="{00000000-0005-0000-0000-0000E32D0000}"/>
    <cellStyle name="20% - Accent6 77 29 2 2" xfId="11748" xr:uid="{00000000-0005-0000-0000-0000E42D0000}"/>
    <cellStyle name="20% - Accent6 77 29 3" xfId="11749" xr:uid="{00000000-0005-0000-0000-0000E52D0000}"/>
    <cellStyle name="20% - Accent6 77 3" xfId="11750" xr:uid="{00000000-0005-0000-0000-0000E62D0000}"/>
    <cellStyle name="20% - Accent6 77 3 2" xfId="11751" xr:uid="{00000000-0005-0000-0000-0000E72D0000}"/>
    <cellStyle name="20% - Accent6 77 3 2 2" xfId="11752" xr:uid="{00000000-0005-0000-0000-0000E82D0000}"/>
    <cellStyle name="20% - Accent6 77 3 3" xfId="11753" xr:uid="{00000000-0005-0000-0000-0000E92D0000}"/>
    <cellStyle name="20% - Accent6 77 30" xfId="11754" xr:uid="{00000000-0005-0000-0000-0000EA2D0000}"/>
    <cellStyle name="20% - Accent6 77 30 2" xfId="11755" xr:uid="{00000000-0005-0000-0000-0000EB2D0000}"/>
    <cellStyle name="20% - Accent6 77 30 2 2" xfId="11756" xr:uid="{00000000-0005-0000-0000-0000EC2D0000}"/>
    <cellStyle name="20% - Accent6 77 30 3" xfId="11757" xr:uid="{00000000-0005-0000-0000-0000ED2D0000}"/>
    <cellStyle name="20% - Accent6 77 31" xfId="11758" xr:uid="{00000000-0005-0000-0000-0000EE2D0000}"/>
    <cellStyle name="20% - Accent6 77 31 2" xfId="11759" xr:uid="{00000000-0005-0000-0000-0000EF2D0000}"/>
    <cellStyle name="20% - Accent6 77 31 2 2" xfId="11760" xr:uid="{00000000-0005-0000-0000-0000F02D0000}"/>
    <cellStyle name="20% - Accent6 77 31 3" xfId="11761" xr:uid="{00000000-0005-0000-0000-0000F12D0000}"/>
    <cellStyle name="20% - Accent6 77 32" xfId="11762" xr:uid="{00000000-0005-0000-0000-0000F22D0000}"/>
    <cellStyle name="20% - Accent6 77 32 2" xfId="11763" xr:uid="{00000000-0005-0000-0000-0000F32D0000}"/>
    <cellStyle name="20% - Accent6 77 32 2 2" xfId="11764" xr:uid="{00000000-0005-0000-0000-0000F42D0000}"/>
    <cellStyle name="20% - Accent6 77 32 3" xfId="11765" xr:uid="{00000000-0005-0000-0000-0000F52D0000}"/>
    <cellStyle name="20% - Accent6 77 33" xfId="11766" xr:uid="{00000000-0005-0000-0000-0000F62D0000}"/>
    <cellStyle name="20% - Accent6 77 33 2" xfId="11767" xr:uid="{00000000-0005-0000-0000-0000F72D0000}"/>
    <cellStyle name="20% - Accent6 77 33 2 2" xfId="11768" xr:uid="{00000000-0005-0000-0000-0000F82D0000}"/>
    <cellStyle name="20% - Accent6 77 33 3" xfId="11769" xr:uid="{00000000-0005-0000-0000-0000F92D0000}"/>
    <cellStyle name="20% - Accent6 77 34" xfId="11770" xr:uid="{00000000-0005-0000-0000-0000FA2D0000}"/>
    <cellStyle name="20% - Accent6 77 34 2" xfId="11771" xr:uid="{00000000-0005-0000-0000-0000FB2D0000}"/>
    <cellStyle name="20% - Accent6 77 34 2 2" xfId="11772" xr:uid="{00000000-0005-0000-0000-0000FC2D0000}"/>
    <cellStyle name="20% - Accent6 77 34 3" xfId="11773" xr:uid="{00000000-0005-0000-0000-0000FD2D0000}"/>
    <cellStyle name="20% - Accent6 77 35" xfId="11774" xr:uid="{00000000-0005-0000-0000-0000FE2D0000}"/>
    <cellStyle name="20% - Accent6 77 35 2" xfId="11775" xr:uid="{00000000-0005-0000-0000-0000FF2D0000}"/>
    <cellStyle name="20% - Accent6 77 35 2 2" xfId="11776" xr:uid="{00000000-0005-0000-0000-0000002E0000}"/>
    <cellStyle name="20% - Accent6 77 35 3" xfId="11777" xr:uid="{00000000-0005-0000-0000-0000012E0000}"/>
    <cellStyle name="20% - Accent6 77 36" xfId="11778" xr:uid="{00000000-0005-0000-0000-0000022E0000}"/>
    <cellStyle name="20% - Accent6 77 36 2" xfId="11779" xr:uid="{00000000-0005-0000-0000-0000032E0000}"/>
    <cellStyle name="20% - Accent6 77 36 2 2" xfId="11780" xr:uid="{00000000-0005-0000-0000-0000042E0000}"/>
    <cellStyle name="20% - Accent6 77 36 3" xfId="11781" xr:uid="{00000000-0005-0000-0000-0000052E0000}"/>
    <cellStyle name="20% - Accent6 77 4" xfId="11782" xr:uid="{00000000-0005-0000-0000-0000062E0000}"/>
    <cellStyle name="20% - Accent6 77 4 2" xfId="11783" xr:uid="{00000000-0005-0000-0000-0000072E0000}"/>
    <cellStyle name="20% - Accent6 77 4 2 2" xfId="11784" xr:uid="{00000000-0005-0000-0000-0000082E0000}"/>
    <cellStyle name="20% - Accent6 77 4 3" xfId="11785" xr:uid="{00000000-0005-0000-0000-0000092E0000}"/>
    <cellStyle name="20% - Accent6 77 5" xfId="11786" xr:uid="{00000000-0005-0000-0000-00000A2E0000}"/>
    <cellStyle name="20% - Accent6 77 5 2" xfId="11787" xr:uid="{00000000-0005-0000-0000-00000B2E0000}"/>
    <cellStyle name="20% - Accent6 77 5 2 2" xfId="11788" xr:uid="{00000000-0005-0000-0000-00000C2E0000}"/>
    <cellStyle name="20% - Accent6 77 5 3" xfId="11789" xr:uid="{00000000-0005-0000-0000-00000D2E0000}"/>
    <cellStyle name="20% - Accent6 77 6" xfId="11790" xr:uid="{00000000-0005-0000-0000-00000E2E0000}"/>
    <cellStyle name="20% - Accent6 77 6 2" xfId="11791" xr:uid="{00000000-0005-0000-0000-00000F2E0000}"/>
    <cellStyle name="20% - Accent6 77 6 2 2" xfId="11792" xr:uid="{00000000-0005-0000-0000-0000102E0000}"/>
    <cellStyle name="20% - Accent6 77 6 3" xfId="11793" xr:uid="{00000000-0005-0000-0000-0000112E0000}"/>
    <cellStyle name="20% - Accent6 77 7" xfId="11794" xr:uid="{00000000-0005-0000-0000-0000122E0000}"/>
    <cellStyle name="20% - Accent6 77 7 2" xfId="11795" xr:uid="{00000000-0005-0000-0000-0000132E0000}"/>
    <cellStyle name="20% - Accent6 77 7 2 2" xfId="11796" xr:uid="{00000000-0005-0000-0000-0000142E0000}"/>
    <cellStyle name="20% - Accent6 77 7 3" xfId="11797" xr:uid="{00000000-0005-0000-0000-0000152E0000}"/>
    <cellStyle name="20% - Accent6 77 8" xfId="11798" xr:uid="{00000000-0005-0000-0000-0000162E0000}"/>
    <cellStyle name="20% - Accent6 77 8 2" xfId="11799" xr:uid="{00000000-0005-0000-0000-0000172E0000}"/>
    <cellStyle name="20% - Accent6 77 8 2 2" xfId="11800" xr:uid="{00000000-0005-0000-0000-0000182E0000}"/>
    <cellStyle name="20% - Accent6 77 8 3" xfId="11801" xr:uid="{00000000-0005-0000-0000-0000192E0000}"/>
    <cellStyle name="20% - Accent6 77 9" xfId="11802" xr:uid="{00000000-0005-0000-0000-00001A2E0000}"/>
    <cellStyle name="20% - Accent6 77 9 2" xfId="11803" xr:uid="{00000000-0005-0000-0000-00001B2E0000}"/>
    <cellStyle name="20% - Accent6 77 9 2 2" xfId="11804" xr:uid="{00000000-0005-0000-0000-00001C2E0000}"/>
    <cellStyle name="20% - Accent6 77 9 3" xfId="11805" xr:uid="{00000000-0005-0000-0000-00001D2E0000}"/>
    <cellStyle name="20% - Accent6 78" xfId="11806" xr:uid="{00000000-0005-0000-0000-00001E2E0000}"/>
    <cellStyle name="20% - Accent6 78 2" xfId="11807" xr:uid="{00000000-0005-0000-0000-00001F2E0000}"/>
    <cellStyle name="20% - Accent6 79" xfId="11808" xr:uid="{00000000-0005-0000-0000-0000202E0000}"/>
    <cellStyle name="20% - Accent6 79 10" xfId="11809" xr:uid="{00000000-0005-0000-0000-0000212E0000}"/>
    <cellStyle name="20% - Accent6 79 10 2" xfId="11810" xr:uid="{00000000-0005-0000-0000-0000222E0000}"/>
    <cellStyle name="20% - Accent6 79 10 2 2" xfId="11811" xr:uid="{00000000-0005-0000-0000-0000232E0000}"/>
    <cellStyle name="20% - Accent6 79 10 3" xfId="11812" xr:uid="{00000000-0005-0000-0000-0000242E0000}"/>
    <cellStyle name="20% - Accent6 79 11" xfId="11813" xr:uid="{00000000-0005-0000-0000-0000252E0000}"/>
    <cellStyle name="20% - Accent6 79 11 2" xfId="11814" xr:uid="{00000000-0005-0000-0000-0000262E0000}"/>
    <cellStyle name="20% - Accent6 79 11 2 2" xfId="11815" xr:uid="{00000000-0005-0000-0000-0000272E0000}"/>
    <cellStyle name="20% - Accent6 79 11 3" xfId="11816" xr:uid="{00000000-0005-0000-0000-0000282E0000}"/>
    <cellStyle name="20% - Accent6 79 12" xfId="11817" xr:uid="{00000000-0005-0000-0000-0000292E0000}"/>
    <cellStyle name="20% - Accent6 79 12 2" xfId="11818" xr:uid="{00000000-0005-0000-0000-00002A2E0000}"/>
    <cellStyle name="20% - Accent6 79 12 2 2" xfId="11819" xr:uid="{00000000-0005-0000-0000-00002B2E0000}"/>
    <cellStyle name="20% - Accent6 79 12 3" xfId="11820" xr:uid="{00000000-0005-0000-0000-00002C2E0000}"/>
    <cellStyle name="20% - Accent6 79 13" xfId="11821" xr:uid="{00000000-0005-0000-0000-00002D2E0000}"/>
    <cellStyle name="20% - Accent6 79 13 2" xfId="11822" xr:uid="{00000000-0005-0000-0000-00002E2E0000}"/>
    <cellStyle name="20% - Accent6 79 13 2 2" xfId="11823" xr:uid="{00000000-0005-0000-0000-00002F2E0000}"/>
    <cellStyle name="20% - Accent6 79 13 3" xfId="11824" xr:uid="{00000000-0005-0000-0000-0000302E0000}"/>
    <cellStyle name="20% - Accent6 79 14" xfId="11825" xr:uid="{00000000-0005-0000-0000-0000312E0000}"/>
    <cellStyle name="20% - Accent6 79 14 2" xfId="11826" xr:uid="{00000000-0005-0000-0000-0000322E0000}"/>
    <cellStyle name="20% - Accent6 79 14 2 2" xfId="11827" xr:uid="{00000000-0005-0000-0000-0000332E0000}"/>
    <cellStyle name="20% - Accent6 79 14 3" xfId="11828" xr:uid="{00000000-0005-0000-0000-0000342E0000}"/>
    <cellStyle name="20% - Accent6 79 15" xfId="11829" xr:uid="{00000000-0005-0000-0000-0000352E0000}"/>
    <cellStyle name="20% - Accent6 79 15 2" xfId="11830" xr:uid="{00000000-0005-0000-0000-0000362E0000}"/>
    <cellStyle name="20% - Accent6 79 15 2 2" xfId="11831" xr:uid="{00000000-0005-0000-0000-0000372E0000}"/>
    <cellStyle name="20% - Accent6 79 15 3" xfId="11832" xr:uid="{00000000-0005-0000-0000-0000382E0000}"/>
    <cellStyle name="20% - Accent6 79 16" xfId="11833" xr:uid="{00000000-0005-0000-0000-0000392E0000}"/>
    <cellStyle name="20% - Accent6 79 16 2" xfId="11834" xr:uid="{00000000-0005-0000-0000-00003A2E0000}"/>
    <cellStyle name="20% - Accent6 79 16 2 2" xfId="11835" xr:uid="{00000000-0005-0000-0000-00003B2E0000}"/>
    <cellStyle name="20% - Accent6 79 16 3" xfId="11836" xr:uid="{00000000-0005-0000-0000-00003C2E0000}"/>
    <cellStyle name="20% - Accent6 79 17" xfId="11837" xr:uid="{00000000-0005-0000-0000-00003D2E0000}"/>
    <cellStyle name="20% - Accent6 79 17 2" xfId="11838" xr:uid="{00000000-0005-0000-0000-00003E2E0000}"/>
    <cellStyle name="20% - Accent6 79 17 2 2" xfId="11839" xr:uid="{00000000-0005-0000-0000-00003F2E0000}"/>
    <cellStyle name="20% - Accent6 79 17 3" xfId="11840" xr:uid="{00000000-0005-0000-0000-0000402E0000}"/>
    <cellStyle name="20% - Accent6 79 18" xfId="11841" xr:uid="{00000000-0005-0000-0000-0000412E0000}"/>
    <cellStyle name="20% - Accent6 79 18 2" xfId="11842" xr:uid="{00000000-0005-0000-0000-0000422E0000}"/>
    <cellStyle name="20% - Accent6 79 18 2 2" xfId="11843" xr:uid="{00000000-0005-0000-0000-0000432E0000}"/>
    <cellStyle name="20% - Accent6 79 18 3" xfId="11844" xr:uid="{00000000-0005-0000-0000-0000442E0000}"/>
    <cellStyle name="20% - Accent6 79 19" xfId="11845" xr:uid="{00000000-0005-0000-0000-0000452E0000}"/>
    <cellStyle name="20% - Accent6 79 19 2" xfId="11846" xr:uid="{00000000-0005-0000-0000-0000462E0000}"/>
    <cellStyle name="20% - Accent6 79 19 2 2" xfId="11847" xr:uid="{00000000-0005-0000-0000-0000472E0000}"/>
    <cellStyle name="20% - Accent6 79 19 3" xfId="11848" xr:uid="{00000000-0005-0000-0000-0000482E0000}"/>
    <cellStyle name="20% - Accent6 79 2" xfId="11849" xr:uid="{00000000-0005-0000-0000-0000492E0000}"/>
    <cellStyle name="20% - Accent6 79 2 2" xfId="11850" xr:uid="{00000000-0005-0000-0000-00004A2E0000}"/>
    <cellStyle name="20% - Accent6 79 2 2 2" xfId="11851" xr:uid="{00000000-0005-0000-0000-00004B2E0000}"/>
    <cellStyle name="20% - Accent6 79 2 3" xfId="11852" xr:uid="{00000000-0005-0000-0000-00004C2E0000}"/>
    <cellStyle name="20% - Accent6 79 20" xfId="11853" xr:uid="{00000000-0005-0000-0000-00004D2E0000}"/>
    <cellStyle name="20% - Accent6 79 20 2" xfId="11854" xr:uid="{00000000-0005-0000-0000-00004E2E0000}"/>
    <cellStyle name="20% - Accent6 79 20 2 2" xfId="11855" xr:uid="{00000000-0005-0000-0000-00004F2E0000}"/>
    <cellStyle name="20% - Accent6 79 20 3" xfId="11856" xr:uid="{00000000-0005-0000-0000-0000502E0000}"/>
    <cellStyle name="20% - Accent6 79 21" xfId="11857" xr:uid="{00000000-0005-0000-0000-0000512E0000}"/>
    <cellStyle name="20% - Accent6 79 21 2" xfId="11858" xr:uid="{00000000-0005-0000-0000-0000522E0000}"/>
    <cellStyle name="20% - Accent6 79 21 2 2" xfId="11859" xr:uid="{00000000-0005-0000-0000-0000532E0000}"/>
    <cellStyle name="20% - Accent6 79 21 3" xfId="11860" xr:uid="{00000000-0005-0000-0000-0000542E0000}"/>
    <cellStyle name="20% - Accent6 79 22" xfId="11861" xr:uid="{00000000-0005-0000-0000-0000552E0000}"/>
    <cellStyle name="20% - Accent6 79 22 2" xfId="11862" xr:uid="{00000000-0005-0000-0000-0000562E0000}"/>
    <cellStyle name="20% - Accent6 79 22 2 2" xfId="11863" xr:uid="{00000000-0005-0000-0000-0000572E0000}"/>
    <cellStyle name="20% - Accent6 79 22 3" xfId="11864" xr:uid="{00000000-0005-0000-0000-0000582E0000}"/>
    <cellStyle name="20% - Accent6 79 23" xfId="11865" xr:uid="{00000000-0005-0000-0000-0000592E0000}"/>
    <cellStyle name="20% - Accent6 79 23 2" xfId="11866" xr:uid="{00000000-0005-0000-0000-00005A2E0000}"/>
    <cellStyle name="20% - Accent6 79 23 2 2" xfId="11867" xr:uid="{00000000-0005-0000-0000-00005B2E0000}"/>
    <cellStyle name="20% - Accent6 79 23 3" xfId="11868" xr:uid="{00000000-0005-0000-0000-00005C2E0000}"/>
    <cellStyle name="20% - Accent6 79 24" xfId="11869" xr:uid="{00000000-0005-0000-0000-00005D2E0000}"/>
    <cellStyle name="20% - Accent6 79 24 2" xfId="11870" xr:uid="{00000000-0005-0000-0000-00005E2E0000}"/>
    <cellStyle name="20% - Accent6 79 24 2 2" xfId="11871" xr:uid="{00000000-0005-0000-0000-00005F2E0000}"/>
    <cellStyle name="20% - Accent6 79 24 3" xfId="11872" xr:uid="{00000000-0005-0000-0000-0000602E0000}"/>
    <cellStyle name="20% - Accent6 79 25" xfId="11873" xr:uid="{00000000-0005-0000-0000-0000612E0000}"/>
    <cellStyle name="20% - Accent6 79 25 2" xfId="11874" xr:uid="{00000000-0005-0000-0000-0000622E0000}"/>
    <cellStyle name="20% - Accent6 79 25 2 2" xfId="11875" xr:uid="{00000000-0005-0000-0000-0000632E0000}"/>
    <cellStyle name="20% - Accent6 79 25 3" xfId="11876" xr:uid="{00000000-0005-0000-0000-0000642E0000}"/>
    <cellStyle name="20% - Accent6 79 26" xfId="11877" xr:uid="{00000000-0005-0000-0000-0000652E0000}"/>
    <cellStyle name="20% - Accent6 79 26 2" xfId="11878" xr:uid="{00000000-0005-0000-0000-0000662E0000}"/>
    <cellStyle name="20% - Accent6 79 26 2 2" xfId="11879" xr:uid="{00000000-0005-0000-0000-0000672E0000}"/>
    <cellStyle name="20% - Accent6 79 26 3" xfId="11880" xr:uid="{00000000-0005-0000-0000-0000682E0000}"/>
    <cellStyle name="20% - Accent6 79 27" xfId="11881" xr:uid="{00000000-0005-0000-0000-0000692E0000}"/>
    <cellStyle name="20% - Accent6 79 27 2" xfId="11882" xr:uid="{00000000-0005-0000-0000-00006A2E0000}"/>
    <cellStyle name="20% - Accent6 79 27 2 2" xfId="11883" xr:uid="{00000000-0005-0000-0000-00006B2E0000}"/>
    <cellStyle name="20% - Accent6 79 27 3" xfId="11884" xr:uid="{00000000-0005-0000-0000-00006C2E0000}"/>
    <cellStyle name="20% - Accent6 79 28" xfId="11885" xr:uid="{00000000-0005-0000-0000-00006D2E0000}"/>
    <cellStyle name="20% - Accent6 79 28 2" xfId="11886" xr:uid="{00000000-0005-0000-0000-00006E2E0000}"/>
    <cellStyle name="20% - Accent6 79 28 2 2" xfId="11887" xr:uid="{00000000-0005-0000-0000-00006F2E0000}"/>
    <cellStyle name="20% - Accent6 79 28 3" xfId="11888" xr:uid="{00000000-0005-0000-0000-0000702E0000}"/>
    <cellStyle name="20% - Accent6 79 29" xfId="11889" xr:uid="{00000000-0005-0000-0000-0000712E0000}"/>
    <cellStyle name="20% - Accent6 79 29 2" xfId="11890" xr:uid="{00000000-0005-0000-0000-0000722E0000}"/>
    <cellStyle name="20% - Accent6 79 29 2 2" xfId="11891" xr:uid="{00000000-0005-0000-0000-0000732E0000}"/>
    <cellStyle name="20% - Accent6 79 29 3" xfId="11892" xr:uid="{00000000-0005-0000-0000-0000742E0000}"/>
    <cellStyle name="20% - Accent6 79 3" xfId="11893" xr:uid="{00000000-0005-0000-0000-0000752E0000}"/>
    <cellStyle name="20% - Accent6 79 3 2" xfId="11894" xr:uid="{00000000-0005-0000-0000-0000762E0000}"/>
    <cellStyle name="20% - Accent6 79 3 2 2" xfId="11895" xr:uid="{00000000-0005-0000-0000-0000772E0000}"/>
    <cellStyle name="20% - Accent6 79 3 3" xfId="11896" xr:uid="{00000000-0005-0000-0000-0000782E0000}"/>
    <cellStyle name="20% - Accent6 79 30" xfId="11897" xr:uid="{00000000-0005-0000-0000-0000792E0000}"/>
    <cellStyle name="20% - Accent6 79 30 2" xfId="11898" xr:uid="{00000000-0005-0000-0000-00007A2E0000}"/>
    <cellStyle name="20% - Accent6 79 30 2 2" xfId="11899" xr:uid="{00000000-0005-0000-0000-00007B2E0000}"/>
    <cellStyle name="20% - Accent6 79 30 3" xfId="11900" xr:uid="{00000000-0005-0000-0000-00007C2E0000}"/>
    <cellStyle name="20% - Accent6 79 31" xfId="11901" xr:uid="{00000000-0005-0000-0000-00007D2E0000}"/>
    <cellStyle name="20% - Accent6 79 31 2" xfId="11902" xr:uid="{00000000-0005-0000-0000-00007E2E0000}"/>
    <cellStyle name="20% - Accent6 79 31 2 2" xfId="11903" xr:uid="{00000000-0005-0000-0000-00007F2E0000}"/>
    <cellStyle name="20% - Accent6 79 31 3" xfId="11904" xr:uid="{00000000-0005-0000-0000-0000802E0000}"/>
    <cellStyle name="20% - Accent6 79 32" xfId="11905" xr:uid="{00000000-0005-0000-0000-0000812E0000}"/>
    <cellStyle name="20% - Accent6 79 32 2" xfId="11906" xr:uid="{00000000-0005-0000-0000-0000822E0000}"/>
    <cellStyle name="20% - Accent6 79 32 2 2" xfId="11907" xr:uid="{00000000-0005-0000-0000-0000832E0000}"/>
    <cellStyle name="20% - Accent6 79 32 3" xfId="11908" xr:uid="{00000000-0005-0000-0000-0000842E0000}"/>
    <cellStyle name="20% - Accent6 79 33" xfId="11909" xr:uid="{00000000-0005-0000-0000-0000852E0000}"/>
    <cellStyle name="20% - Accent6 79 33 2" xfId="11910" xr:uid="{00000000-0005-0000-0000-0000862E0000}"/>
    <cellStyle name="20% - Accent6 79 33 2 2" xfId="11911" xr:uid="{00000000-0005-0000-0000-0000872E0000}"/>
    <cellStyle name="20% - Accent6 79 33 3" xfId="11912" xr:uid="{00000000-0005-0000-0000-0000882E0000}"/>
    <cellStyle name="20% - Accent6 79 34" xfId="11913" xr:uid="{00000000-0005-0000-0000-0000892E0000}"/>
    <cellStyle name="20% - Accent6 79 34 2" xfId="11914" xr:uid="{00000000-0005-0000-0000-00008A2E0000}"/>
    <cellStyle name="20% - Accent6 79 34 2 2" xfId="11915" xr:uid="{00000000-0005-0000-0000-00008B2E0000}"/>
    <cellStyle name="20% - Accent6 79 34 3" xfId="11916" xr:uid="{00000000-0005-0000-0000-00008C2E0000}"/>
    <cellStyle name="20% - Accent6 79 35" xfId="11917" xr:uid="{00000000-0005-0000-0000-00008D2E0000}"/>
    <cellStyle name="20% - Accent6 79 35 2" xfId="11918" xr:uid="{00000000-0005-0000-0000-00008E2E0000}"/>
    <cellStyle name="20% - Accent6 79 35 2 2" xfId="11919" xr:uid="{00000000-0005-0000-0000-00008F2E0000}"/>
    <cellStyle name="20% - Accent6 79 35 3" xfId="11920" xr:uid="{00000000-0005-0000-0000-0000902E0000}"/>
    <cellStyle name="20% - Accent6 79 36" xfId="11921" xr:uid="{00000000-0005-0000-0000-0000912E0000}"/>
    <cellStyle name="20% - Accent6 79 36 2" xfId="11922" xr:uid="{00000000-0005-0000-0000-0000922E0000}"/>
    <cellStyle name="20% - Accent6 79 36 2 2" xfId="11923" xr:uid="{00000000-0005-0000-0000-0000932E0000}"/>
    <cellStyle name="20% - Accent6 79 36 3" xfId="11924" xr:uid="{00000000-0005-0000-0000-0000942E0000}"/>
    <cellStyle name="20% - Accent6 79 4" xfId="11925" xr:uid="{00000000-0005-0000-0000-0000952E0000}"/>
    <cellStyle name="20% - Accent6 79 4 2" xfId="11926" xr:uid="{00000000-0005-0000-0000-0000962E0000}"/>
    <cellStyle name="20% - Accent6 79 4 2 2" xfId="11927" xr:uid="{00000000-0005-0000-0000-0000972E0000}"/>
    <cellStyle name="20% - Accent6 79 4 3" xfId="11928" xr:uid="{00000000-0005-0000-0000-0000982E0000}"/>
    <cellStyle name="20% - Accent6 79 5" xfId="11929" xr:uid="{00000000-0005-0000-0000-0000992E0000}"/>
    <cellStyle name="20% - Accent6 79 5 2" xfId="11930" xr:uid="{00000000-0005-0000-0000-00009A2E0000}"/>
    <cellStyle name="20% - Accent6 79 5 2 2" xfId="11931" xr:uid="{00000000-0005-0000-0000-00009B2E0000}"/>
    <cellStyle name="20% - Accent6 79 5 3" xfId="11932" xr:uid="{00000000-0005-0000-0000-00009C2E0000}"/>
    <cellStyle name="20% - Accent6 79 6" xfId="11933" xr:uid="{00000000-0005-0000-0000-00009D2E0000}"/>
    <cellStyle name="20% - Accent6 79 6 2" xfId="11934" xr:uid="{00000000-0005-0000-0000-00009E2E0000}"/>
    <cellStyle name="20% - Accent6 79 6 2 2" xfId="11935" xr:uid="{00000000-0005-0000-0000-00009F2E0000}"/>
    <cellStyle name="20% - Accent6 79 6 3" xfId="11936" xr:uid="{00000000-0005-0000-0000-0000A02E0000}"/>
    <cellStyle name="20% - Accent6 79 7" xfId="11937" xr:uid="{00000000-0005-0000-0000-0000A12E0000}"/>
    <cellStyle name="20% - Accent6 79 7 2" xfId="11938" xr:uid="{00000000-0005-0000-0000-0000A22E0000}"/>
    <cellStyle name="20% - Accent6 79 7 2 2" xfId="11939" xr:uid="{00000000-0005-0000-0000-0000A32E0000}"/>
    <cellStyle name="20% - Accent6 79 7 3" xfId="11940" xr:uid="{00000000-0005-0000-0000-0000A42E0000}"/>
    <cellStyle name="20% - Accent6 79 8" xfId="11941" xr:uid="{00000000-0005-0000-0000-0000A52E0000}"/>
    <cellStyle name="20% - Accent6 79 8 2" xfId="11942" xr:uid="{00000000-0005-0000-0000-0000A62E0000}"/>
    <cellStyle name="20% - Accent6 79 8 2 2" xfId="11943" xr:uid="{00000000-0005-0000-0000-0000A72E0000}"/>
    <cellStyle name="20% - Accent6 79 8 3" xfId="11944" xr:uid="{00000000-0005-0000-0000-0000A82E0000}"/>
    <cellStyle name="20% - Accent6 79 9" xfId="11945" xr:uid="{00000000-0005-0000-0000-0000A92E0000}"/>
    <cellStyle name="20% - Accent6 79 9 2" xfId="11946" xr:uid="{00000000-0005-0000-0000-0000AA2E0000}"/>
    <cellStyle name="20% - Accent6 79 9 2 2" xfId="11947" xr:uid="{00000000-0005-0000-0000-0000AB2E0000}"/>
    <cellStyle name="20% - Accent6 79 9 3" xfId="11948" xr:uid="{00000000-0005-0000-0000-0000AC2E0000}"/>
    <cellStyle name="20% - Accent6 8" xfId="11949" xr:uid="{00000000-0005-0000-0000-0000AD2E0000}"/>
    <cellStyle name="20% - Accent6 8 2" xfId="11950" xr:uid="{00000000-0005-0000-0000-0000AE2E0000}"/>
    <cellStyle name="20% - Accent6 8 2 2" xfId="11951" xr:uid="{00000000-0005-0000-0000-0000AF2E0000}"/>
    <cellStyle name="20% - Accent6 8 3" xfId="11952" xr:uid="{00000000-0005-0000-0000-0000B02E0000}"/>
    <cellStyle name="20% - Accent6 8 4" xfId="11953" xr:uid="{00000000-0005-0000-0000-0000B12E0000}"/>
    <cellStyle name="20% - Accent6 80" xfId="11954" xr:uid="{00000000-0005-0000-0000-0000B22E0000}"/>
    <cellStyle name="20% - Accent6 80 2" xfId="11955" xr:uid="{00000000-0005-0000-0000-0000B32E0000}"/>
    <cellStyle name="20% - Accent6 81" xfId="11956" xr:uid="{00000000-0005-0000-0000-0000B42E0000}"/>
    <cellStyle name="20% - Accent6 81 10" xfId="11957" xr:uid="{00000000-0005-0000-0000-0000B52E0000}"/>
    <cellStyle name="20% - Accent6 81 10 2" xfId="11958" xr:uid="{00000000-0005-0000-0000-0000B62E0000}"/>
    <cellStyle name="20% - Accent6 81 10 2 2" xfId="11959" xr:uid="{00000000-0005-0000-0000-0000B72E0000}"/>
    <cellStyle name="20% - Accent6 81 10 3" xfId="11960" xr:uid="{00000000-0005-0000-0000-0000B82E0000}"/>
    <cellStyle name="20% - Accent6 81 11" xfId="11961" xr:uid="{00000000-0005-0000-0000-0000B92E0000}"/>
    <cellStyle name="20% - Accent6 81 11 2" xfId="11962" xr:uid="{00000000-0005-0000-0000-0000BA2E0000}"/>
    <cellStyle name="20% - Accent6 81 11 2 2" xfId="11963" xr:uid="{00000000-0005-0000-0000-0000BB2E0000}"/>
    <cellStyle name="20% - Accent6 81 11 3" xfId="11964" xr:uid="{00000000-0005-0000-0000-0000BC2E0000}"/>
    <cellStyle name="20% - Accent6 81 12" xfId="11965" xr:uid="{00000000-0005-0000-0000-0000BD2E0000}"/>
    <cellStyle name="20% - Accent6 81 12 2" xfId="11966" xr:uid="{00000000-0005-0000-0000-0000BE2E0000}"/>
    <cellStyle name="20% - Accent6 81 12 2 2" xfId="11967" xr:uid="{00000000-0005-0000-0000-0000BF2E0000}"/>
    <cellStyle name="20% - Accent6 81 12 3" xfId="11968" xr:uid="{00000000-0005-0000-0000-0000C02E0000}"/>
    <cellStyle name="20% - Accent6 81 13" xfId="11969" xr:uid="{00000000-0005-0000-0000-0000C12E0000}"/>
    <cellStyle name="20% - Accent6 81 13 2" xfId="11970" xr:uid="{00000000-0005-0000-0000-0000C22E0000}"/>
    <cellStyle name="20% - Accent6 81 13 2 2" xfId="11971" xr:uid="{00000000-0005-0000-0000-0000C32E0000}"/>
    <cellStyle name="20% - Accent6 81 13 3" xfId="11972" xr:uid="{00000000-0005-0000-0000-0000C42E0000}"/>
    <cellStyle name="20% - Accent6 81 14" xfId="11973" xr:uid="{00000000-0005-0000-0000-0000C52E0000}"/>
    <cellStyle name="20% - Accent6 81 14 2" xfId="11974" xr:uid="{00000000-0005-0000-0000-0000C62E0000}"/>
    <cellStyle name="20% - Accent6 81 14 2 2" xfId="11975" xr:uid="{00000000-0005-0000-0000-0000C72E0000}"/>
    <cellStyle name="20% - Accent6 81 14 3" xfId="11976" xr:uid="{00000000-0005-0000-0000-0000C82E0000}"/>
    <cellStyle name="20% - Accent6 81 15" xfId="11977" xr:uid="{00000000-0005-0000-0000-0000C92E0000}"/>
    <cellStyle name="20% - Accent6 81 15 2" xfId="11978" xr:uid="{00000000-0005-0000-0000-0000CA2E0000}"/>
    <cellStyle name="20% - Accent6 81 15 2 2" xfId="11979" xr:uid="{00000000-0005-0000-0000-0000CB2E0000}"/>
    <cellStyle name="20% - Accent6 81 15 3" xfId="11980" xr:uid="{00000000-0005-0000-0000-0000CC2E0000}"/>
    <cellStyle name="20% - Accent6 81 16" xfId="11981" xr:uid="{00000000-0005-0000-0000-0000CD2E0000}"/>
    <cellStyle name="20% - Accent6 81 16 2" xfId="11982" xr:uid="{00000000-0005-0000-0000-0000CE2E0000}"/>
    <cellStyle name="20% - Accent6 81 16 2 2" xfId="11983" xr:uid="{00000000-0005-0000-0000-0000CF2E0000}"/>
    <cellStyle name="20% - Accent6 81 16 3" xfId="11984" xr:uid="{00000000-0005-0000-0000-0000D02E0000}"/>
    <cellStyle name="20% - Accent6 81 17" xfId="11985" xr:uid="{00000000-0005-0000-0000-0000D12E0000}"/>
    <cellStyle name="20% - Accent6 81 17 2" xfId="11986" xr:uid="{00000000-0005-0000-0000-0000D22E0000}"/>
    <cellStyle name="20% - Accent6 81 17 2 2" xfId="11987" xr:uid="{00000000-0005-0000-0000-0000D32E0000}"/>
    <cellStyle name="20% - Accent6 81 17 3" xfId="11988" xr:uid="{00000000-0005-0000-0000-0000D42E0000}"/>
    <cellStyle name="20% - Accent6 81 18" xfId="11989" xr:uid="{00000000-0005-0000-0000-0000D52E0000}"/>
    <cellStyle name="20% - Accent6 81 18 2" xfId="11990" xr:uid="{00000000-0005-0000-0000-0000D62E0000}"/>
    <cellStyle name="20% - Accent6 81 18 2 2" xfId="11991" xr:uid="{00000000-0005-0000-0000-0000D72E0000}"/>
    <cellStyle name="20% - Accent6 81 18 3" xfId="11992" xr:uid="{00000000-0005-0000-0000-0000D82E0000}"/>
    <cellStyle name="20% - Accent6 81 19" xfId="11993" xr:uid="{00000000-0005-0000-0000-0000D92E0000}"/>
    <cellStyle name="20% - Accent6 81 19 2" xfId="11994" xr:uid="{00000000-0005-0000-0000-0000DA2E0000}"/>
    <cellStyle name="20% - Accent6 81 19 2 2" xfId="11995" xr:uid="{00000000-0005-0000-0000-0000DB2E0000}"/>
    <cellStyle name="20% - Accent6 81 19 3" xfId="11996" xr:uid="{00000000-0005-0000-0000-0000DC2E0000}"/>
    <cellStyle name="20% - Accent6 81 2" xfId="11997" xr:uid="{00000000-0005-0000-0000-0000DD2E0000}"/>
    <cellStyle name="20% - Accent6 81 2 2" xfId="11998" xr:uid="{00000000-0005-0000-0000-0000DE2E0000}"/>
    <cellStyle name="20% - Accent6 81 2 2 2" xfId="11999" xr:uid="{00000000-0005-0000-0000-0000DF2E0000}"/>
    <cellStyle name="20% - Accent6 81 2 3" xfId="12000" xr:uid="{00000000-0005-0000-0000-0000E02E0000}"/>
    <cellStyle name="20% - Accent6 81 20" xfId="12001" xr:uid="{00000000-0005-0000-0000-0000E12E0000}"/>
    <cellStyle name="20% - Accent6 81 20 2" xfId="12002" xr:uid="{00000000-0005-0000-0000-0000E22E0000}"/>
    <cellStyle name="20% - Accent6 81 20 2 2" xfId="12003" xr:uid="{00000000-0005-0000-0000-0000E32E0000}"/>
    <cellStyle name="20% - Accent6 81 20 3" xfId="12004" xr:uid="{00000000-0005-0000-0000-0000E42E0000}"/>
    <cellStyle name="20% - Accent6 81 21" xfId="12005" xr:uid="{00000000-0005-0000-0000-0000E52E0000}"/>
    <cellStyle name="20% - Accent6 81 21 2" xfId="12006" xr:uid="{00000000-0005-0000-0000-0000E62E0000}"/>
    <cellStyle name="20% - Accent6 81 21 2 2" xfId="12007" xr:uid="{00000000-0005-0000-0000-0000E72E0000}"/>
    <cellStyle name="20% - Accent6 81 21 3" xfId="12008" xr:uid="{00000000-0005-0000-0000-0000E82E0000}"/>
    <cellStyle name="20% - Accent6 81 22" xfId="12009" xr:uid="{00000000-0005-0000-0000-0000E92E0000}"/>
    <cellStyle name="20% - Accent6 81 22 2" xfId="12010" xr:uid="{00000000-0005-0000-0000-0000EA2E0000}"/>
    <cellStyle name="20% - Accent6 81 22 2 2" xfId="12011" xr:uid="{00000000-0005-0000-0000-0000EB2E0000}"/>
    <cellStyle name="20% - Accent6 81 22 3" xfId="12012" xr:uid="{00000000-0005-0000-0000-0000EC2E0000}"/>
    <cellStyle name="20% - Accent6 81 23" xfId="12013" xr:uid="{00000000-0005-0000-0000-0000ED2E0000}"/>
    <cellStyle name="20% - Accent6 81 23 2" xfId="12014" xr:uid="{00000000-0005-0000-0000-0000EE2E0000}"/>
    <cellStyle name="20% - Accent6 81 23 2 2" xfId="12015" xr:uid="{00000000-0005-0000-0000-0000EF2E0000}"/>
    <cellStyle name="20% - Accent6 81 23 3" xfId="12016" xr:uid="{00000000-0005-0000-0000-0000F02E0000}"/>
    <cellStyle name="20% - Accent6 81 24" xfId="12017" xr:uid="{00000000-0005-0000-0000-0000F12E0000}"/>
    <cellStyle name="20% - Accent6 81 24 2" xfId="12018" xr:uid="{00000000-0005-0000-0000-0000F22E0000}"/>
    <cellStyle name="20% - Accent6 81 24 2 2" xfId="12019" xr:uid="{00000000-0005-0000-0000-0000F32E0000}"/>
    <cellStyle name="20% - Accent6 81 24 3" xfId="12020" xr:uid="{00000000-0005-0000-0000-0000F42E0000}"/>
    <cellStyle name="20% - Accent6 81 25" xfId="12021" xr:uid="{00000000-0005-0000-0000-0000F52E0000}"/>
    <cellStyle name="20% - Accent6 81 25 2" xfId="12022" xr:uid="{00000000-0005-0000-0000-0000F62E0000}"/>
    <cellStyle name="20% - Accent6 81 25 2 2" xfId="12023" xr:uid="{00000000-0005-0000-0000-0000F72E0000}"/>
    <cellStyle name="20% - Accent6 81 25 3" xfId="12024" xr:uid="{00000000-0005-0000-0000-0000F82E0000}"/>
    <cellStyle name="20% - Accent6 81 26" xfId="12025" xr:uid="{00000000-0005-0000-0000-0000F92E0000}"/>
    <cellStyle name="20% - Accent6 81 26 2" xfId="12026" xr:uid="{00000000-0005-0000-0000-0000FA2E0000}"/>
    <cellStyle name="20% - Accent6 81 26 2 2" xfId="12027" xr:uid="{00000000-0005-0000-0000-0000FB2E0000}"/>
    <cellStyle name="20% - Accent6 81 26 3" xfId="12028" xr:uid="{00000000-0005-0000-0000-0000FC2E0000}"/>
    <cellStyle name="20% - Accent6 81 27" xfId="12029" xr:uid="{00000000-0005-0000-0000-0000FD2E0000}"/>
    <cellStyle name="20% - Accent6 81 27 2" xfId="12030" xr:uid="{00000000-0005-0000-0000-0000FE2E0000}"/>
    <cellStyle name="20% - Accent6 81 27 2 2" xfId="12031" xr:uid="{00000000-0005-0000-0000-0000FF2E0000}"/>
    <cellStyle name="20% - Accent6 81 27 3" xfId="12032" xr:uid="{00000000-0005-0000-0000-0000002F0000}"/>
    <cellStyle name="20% - Accent6 81 28" xfId="12033" xr:uid="{00000000-0005-0000-0000-0000012F0000}"/>
    <cellStyle name="20% - Accent6 81 28 2" xfId="12034" xr:uid="{00000000-0005-0000-0000-0000022F0000}"/>
    <cellStyle name="20% - Accent6 81 28 2 2" xfId="12035" xr:uid="{00000000-0005-0000-0000-0000032F0000}"/>
    <cellStyle name="20% - Accent6 81 28 3" xfId="12036" xr:uid="{00000000-0005-0000-0000-0000042F0000}"/>
    <cellStyle name="20% - Accent6 81 29" xfId="12037" xr:uid="{00000000-0005-0000-0000-0000052F0000}"/>
    <cellStyle name="20% - Accent6 81 29 2" xfId="12038" xr:uid="{00000000-0005-0000-0000-0000062F0000}"/>
    <cellStyle name="20% - Accent6 81 29 2 2" xfId="12039" xr:uid="{00000000-0005-0000-0000-0000072F0000}"/>
    <cellStyle name="20% - Accent6 81 29 3" xfId="12040" xr:uid="{00000000-0005-0000-0000-0000082F0000}"/>
    <cellStyle name="20% - Accent6 81 3" xfId="12041" xr:uid="{00000000-0005-0000-0000-0000092F0000}"/>
    <cellStyle name="20% - Accent6 81 3 2" xfId="12042" xr:uid="{00000000-0005-0000-0000-00000A2F0000}"/>
    <cellStyle name="20% - Accent6 81 3 2 2" xfId="12043" xr:uid="{00000000-0005-0000-0000-00000B2F0000}"/>
    <cellStyle name="20% - Accent6 81 3 3" xfId="12044" xr:uid="{00000000-0005-0000-0000-00000C2F0000}"/>
    <cellStyle name="20% - Accent6 81 30" xfId="12045" xr:uid="{00000000-0005-0000-0000-00000D2F0000}"/>
    <cellStyle name="20% - Accent6 81 30 2" xfId="12046" xr:uid="{00000000-0005-0000-0000-00000E2F0000}"/>
    <cellStyle name="20% - Accent6 81 30 2 2" xfId="12047" xr:uid="{00000000-0005-0000-0000-00000F2F0000}"/>
    <cellStyle name="20% - Accent6 81 30 3" xfId="12048" xr:uid="{00000000-0005-0000-0000-0000102F0000}"/>
    <cellStyle name="20% - Accent6 81 31" xfId="12049" xr:uid="{00000000-0005-0000-0000-0000112F0000}"/>
    <cellStyle name="20% - Accent6 81 31 2" xfId="12050" xr:uid="{00000000-0005-0000-0000-0000122F0000}"/>
    <cellStyle name="20% - Accent6 81 31 2 2" xfId="12051" xr:uid="{00000000-0005-0000-0000-0000132F0000}"/>
    <cellStyle name="20% - Accent6 81 31 3" xfId="12052" xr:uid="{00000000-0005-0000-0000-0000142F0000}"/>
    <cellStyle name="20% - Accent6 81 32" xfId="12053" xr:uid="{00000000-0005-0000-0000-0000152F0000}"/>
    <cellStyle name="20% - Accent6 81 32 2" xfId="12054" xr:uid="{00000000-0005-0000-0000-0000162F0000}"/>
    <cellStyle name="20% - Accent6 81 32 2 2" xfId="12055" xr:uid="{00000000-0005-0000-0000-0000172F0000}"/>
    <cellStyle name="20% - Accent6 81 32 3" xfId="12056" xr:uid="{00000000-0005-0000-0000-0000182F0000}"/>
    <cellStyle name="20% - Accent6 81 33" xfId="12057" xr:uid="{00000000-0005-0000-0000-0000192F0000}"/>
    <cellStyle name="20% - Accent6 81 33 2" xfId="12058" xr:uid="{00000000-0005-0000-0000-00001A2F0000}"/>
    <cellStyle name="20% - Accent6 81 33 2 2" xfId="12059" xr:uid="{00000000-0005-0000-0000-00001B2F0000}"/>
    <cellStyle name="20% - Accent6 81 33 3" xfId="12060" xr:uid="{00000000-0005-0000-0000-00001C2F0000}"/>
    <cellStyle name="20% - Accent6 81 34" xfId="12061" xr:uid="{00000000-0005-0000-0000-00001D2F0000}"/>
    <cellStyle name="20% - Accent6 81 34 2" xfId="12062" xr:uid="{00000000-0005-0000-0000-00001E2F0000}"/>
    <cellStyle name="20% - Accent6 81 34 2 2" xfId="12063" xr:uid="{00000000-0005-0000-0000-00001F2F0000}"/>
    <cellStyle name="20% - Accent6 81 34 3" xfId="12064" xr:uid="{00000000-0005-0000-0000-0000202F0000}"/>
    <cellStyle name="20% - Accent6 81 35" xfId="12065" xr:uid="{00000000-0005-0000-0000-0000212F0000}"/>
    <cellStyle name="20% - Accent6 81 35 2" xfId="12066" xr:uid="{00000000-0005-0000-0000-0000222F0000}"/>
    <cellStyle name="20% - Accent6 81 35 2 2" xfId="12067" xr:uid="{00000000-0005-0000-0000-0000232F0000}"/>
    <cellStyle name="20% - Accent6 81 35 3" xfId="12068" xr:uid="{00000000-0005-0000-0000-0000242F0000}"/>
    <cellStyle name="20% - Accent6 81 36" xfId="12069" xr:uid="{00000000-0005-0000-0000-0000252F0000}"/>
    <cellStyle name="20% - Accent6 81 36 2" xfId="12070" xr:uid="{00000000-0005-0000-0000-0000262F0000}"/>
    <cellStyle name="20% - Accent6 81 36 2 2" xfId="12071" xr:uid="{00000000-0005-0000-0000-0000272F0000}"/>
    <cellStyle name="20% - Accent6 81 36 3" xfId="12072" xr:uid="{00000000-0005-0000-0000-0000282F0000}"/>
    <cellStyle name="20% - Accent6 81 4" xfId="12073" xr:uid="{00000000-0005-0000-0000-0000292F0000}"/>
    <cellStyle name="20% - Accent6 81 4 2" xfId="12074" xr:uid="{00000000-0005-0000-0000-00002A2F0000}"/>
    <cellStyle name="20% - Accent6 81 4 2 2" xfId="12075" xr:uid="{00000000-0005-0000-0000-00002B2F0000}"/>
    <cellStyle name="20% - Accent6 81 4 3" xfId="12076" xr:uid="{00000000-0005-0000-0000-00002C2F0000}"/>
    <cellStyle name="20% - Accent6 81 5" xfId="12077" xr:uid="{00000000-0005-0000-0000-00002D2F0000}"/>
    <cellStyle name="20% - Accent6 81 5 2" xfId="12078" xr:uid="{00000000-0005-0000-0000-00002E2F0000}"/>
    <cellStyle name="20% - Accent6 81 5 2 2" xfId="12079" xr:uid="{00000000-0005-0000-0000-00002F2F0000}"/>
    <cellStyle name="20% - Accent6 81 5 3" xfId="12080" xr:uid="{00000000-0005-0000-0000-0000302F0000}"/>
    <cellStyle name="20% - Accent6 81 6" xfId="12081" xr:uid="{00000000-0005-0000-0000-0000312F0000}"/>
    <cellStyle name="20% - Accent6 81 6 2" xfId="12082" xr:uid="{00000000-0005-0000-0000-0000322F0000}"/>
    <cellStyle name="20% - Accent6 81 6 2 2" xfId="12083" xr:uid="{00000000-0005-0000-0000-0000332F0000}"/>
    <cellStyle name="20% - Accent6 81 6 3" xfId="12084" xr:uid="{00000000-0005-0000-0000-0000342F0000}"/>
    <cellStyle name="20% - Accent6 81 7" xfId="12085" xr:uid="{00000000-0005-0000-0000-0000352F0000}"/>
    <cellStyle name="20% - Accent6 81 7 2" xfId="12086" xr:uid="{00000000-0005-0000-0000-0000362F0000}"/>
    <cellStyle name="20% - Accent6 81 7 2 2" xfId="12087" xr:uid="{00000000-0005-0000-0000-0000372F0000}"/>
    <cellStyle name="20% - Accent6 81 7 3" xfId="12088" xr:uid="{00000000-0005-0000-0000-0000382F0000}"/>
    <cellStyle name="20% - Accent6 81 8" xfId="12089" xr:uid="{00000000-0005-0000-0000-0000392F0000}"/>
    <cellStyle name="20% - Accent6 81 8 2" xfId="12090" xr:uid="{00000000-0005-0000-0000-00003A2F0000}"/>
    <cellStyle name="20% - Accent6 81 8 2 2" xfId="12091" xr:uid="{00000000-0005-0000-0000-00003B2F0000}"/>
    <cellStyle name="20% - Accent6 81 8 3" xfId="12092" xr:uid="{00000000-0005-0000-0000-00003C2F0000}"/>
    <cellStyle name="20% - Accent6 81 9" xfId="12093" xr:uid="{00000000-0005-0000-0000-00003D2F0000}"/>
    <cellStyle name="20% - Accent6 81 9 2" xfId="12094" xr:uid="{00000000-0005-0000-0000-00003E2F0000}"/>
    <cellStyle name="20% - Accent6 81 9 2 2" xfId="12095" xr:uid="{00000000-0005-0000-0000-00003F2F0000}"/>
    <cellStyle name="20% - Accent6 81 9 3" xfId="12096" xr:uid="{00000000-0005-0000-0000-0000402F0000}"/>
    <cellStyle name="20% - Accent6 82" xfId="12097" xr:uid="{00000000-0005-0000-0000-0000412F0000}"/>
    <cellStyle name="20% - Accent6 82 2" xfId="12098" xr:uid="{00000000-0005-0000-0000-0000422F0000}"/>
    <cellStyle name="20% - Accent6 83" xfId="12099" xr:uid="{00000000-0005-0000-0000-0000432F0000}"/>
    <cellStyle name="20% - Accent6 83 10" xfId="12100" xr:uid="{00000000-0005-0000-0000-0000442F0000}"/>
    <cellStyle name="20% - Accent6 83 10 2" xfId="12101" xr:uid="{00000000-0005-0000-0000-0000452F0000}"/>
    <cellStyle name="20% - Accent6 83 10 2 2" xfId="12102" xr:uid="{00000000-0005-0000-0000-0000462F0000}"/>
    <cellStyle name="20% - Accent6 83 10 3" xfId="12103" xr:uid="{00000000-0005-0000-0000-0000472F0000}"/>
    <cellStyle name="20% - Accent6 83 11" xfId="12104" xr:uid="{00000000-0005-0000-0000-0000482F0000}"/>
    <cellStyle name="20% - Accent6 83 11 2" xfId="12105" xr:uid="{00000000-0005-0000-0000-0000492F0000}"/>
    <cellStyle name="20% - Accent6 83 11 2 2" xfId="12106" xr:uid="{00000000-0005-0000-0000-00004A2F0000}"/>
    <cellStyle name="20% - Accent6 83 11 3" xfId="12107" xr:uid="{00000000-0005-0000-0000-00004B2F0000}"/>
    <cellStyle name="20% - Accent6 83 12" xfId="12108" xr:uid="{00000000-0005-0000-0000-00004C2F0000}"/>
    <cellStyle name="20% - Accent6 83 12 2" xfId="12109" xr:uid="{00000000-0005-0000-0000-00004D2F0000}"/>
    <cellStyle name="20% - Accent6 83 12 2 2" xfId="12110" xr:uid="{00000000-0005-0000-0000-00004E2F0000}"/>
    <cellStyle name="20% - Accent6 83 12 3" xfId="12111" xr:uid="{00000000-0005-0000-0000-00004F2F0000}"/>
    <cellStyle name="20% - Accent6 83 13" xfId="12112" xr:uid="{00000000-0005-0000-0000-0000502F0000}"/>
    <cellStyle name="20% - Accent6 83 13 2" xfId="12113" xr:uid="{00000000-0005-0000-0000-0000512F0000}"/>
    <cellStyle name="20% - Accent6 83 13 2 2" xfId="12114" xr:uid="{00000000-0005-0000-0000-0000522F0000}"/>
    <cellStyle name="20% - Accent6 83 13 3" xfId="12115" xr:uid="{00000000-0005-0000-0000-0000532F0000}"/>
    <cellStyle name="20% - Accent6 83 14" xfId="12116" xr:uid="{00000000-0005-0000-0000-0000542F0000}"/>
    <cellStyle name="20% - Accent6 83 14 2" xfId="12117" xr:uid="{00000000-0005-0000-0000-0000552F0000}"/>
    <cellStyle name="20% - Accent6 83 14 2 2" xfId="12118" xr:uid="{00000000-0005-0000-0000-0000562F0000}"/>
    <cellStyle name="20% - Accent6 83 14 3" xfId="12119" xr:uid="{00000000-0005-0000-0000-0000572F0000}"/>
    <cellStyle name="20% - Accent6 83 15" xfId="12120" xr:uid="{00000000-0005-0000-0000-0000582F0000}"/>
    <cellStyle name="20% - Accent6 83 15 2" xfId="12121" xr:uid="{00000000-0005-0000-0000-0000592F0000}"/>
    <cellStyle name="20% - Accent6 83 15 2 2" xfId="12122" xr:uid="{00000000-0005-0000-0000-00005A2F0000}"/>
    <cellStyle name="20% - Accent6 83 15 3" xfId="12123" xr:uid="{00000000-0005-0000-0000-00005B2F0000}"/>
    <cellStyle name="20% - Accent6 83 16" xfId="12124" xr:uid="{00000000-0005-0000-0000-00005C2F0000}"/>
    <cellStyle name="20% - Accent6 83 16 2" xfId="12125" xr:uid="{00000000-0005-0000-0000-00005D2F0000}"/>
    <cellStyle name="20% - Accent6 83 16 2 2" xfId="12126" xr:uid="{00000000-0005-0000-0000-00005E2F0000}"/>
    <cellStyle name="20% - Accent6 83 16 3" xfId="12127" xr:uid="{00000000-0005-0000-0000-00005F2F0000}"/>
    <cellStyle name="20% - Accent6 83 17" xfId="12128" xr:uid="{00000000-0005-0000-0000-0000602F0000}"/>
    <cellStyle name="20% - Accent6 83 17 2" xfId="12129" xr:uid="{00000000-0005-0000-0000-0000612F0000}"/>
    <cellStyle name="20% - Accent6 83 17 2 2" xfId="12130" xr:uid="{00000000-0005-0000-0000-0000622F0000}"/>
    <cellStyle name="20% - Accent6 83 17 3" xfId="12131" xr:uid="{00000000-0005-0000-0000-0000632F0000}"/>
    <cellStyle name="20% - Accent6 83 18" xfId="12132" xr:uid="{00000000-0005-0000-0000-0000642F0000}"/>
    <cellStyle name="20% - Accent6 83 18 2" xfId="12133" xr:uid="{00000000-0005-0000-0000-0000652F0000}"/>
    <cellStyle name="20% - Accent6 83 18 2 2" xfId="12134" xr:uid="{00000000-0005-0000-0000-0000662F0000}"/>
    <cellStyle name="20% - Accent6 83 18 3" xfId="12135" xr:uid="{00000000-0005-0000-0000-0000672F0000}"/>
    <cellStyle name="20% - Accent6 83 19" xfId="12136" xr:uid="{00000000-0005-0000-0000-0000682F0000}"/>
    <cellStyle name="20% - Accent6 83 19 2" xfId="12137" xr:uid="{00000000-0005-0000-0000-0000692F0000}"/>
    <cellStyle name="20% - Accent6 83 19 2 2" xfId="12138" xr:uid="{00000000-0005-0000-0000-00006A2F0000}"/>
    <cellStyle name="20% - Accent6 83 19 3" xfId="12139" xr:uid="{00000000-0005-0000-0000-00006B2F0000}"/>
    <cellStyle name="20% - Accent6 83 2" xfId="12140" xr:uid="{00000000-0005-0000-0000-00006C2F0000}"/>
    <cellStyle name="20% - Accent6 83 2 2" xfId="12141" xr:uid="{00000000-0005-0000-0000-00006D2F0000}"/>
    <cellStyle name="20% - Accent6 83 2 2 2" xfId="12142" xr:uid="{00000000-0005-0000-0000-00006E2F0000}"/>
    <cellStyle name="20% - Accent6 83 2 3" xfId="12143" xr:uid="{00000000-0005-0000-0000-00006F2F0000}"/>
    <cellStyle name="20% - Accent6 83 20" xfId="12144" xr:uid="{00000000-0005-0000-0000-0000702F0000}"/>
    <cellStyle name="20% - Accent6 83 20 2" xfId="12145" xr:uid="{00000000-0005-0000-0000-0000712F0000}"/>
    <cellStyle name="20% - Accent6 83 20 2 2" xfId="12146" xr:uid="{00000000-0005-0000-0000-0000722F0000}"/>
    <cellStyle name="20% - Accent6 83 20 3" xfId="12147" xr:uid="{00000000-0005-0000-0000-0000732F0000}"/>
    <cellStyle name="20% - Accent6 83 21" xfId="12148" xr:uid="{00000000-0005-0000-0000-0000742F0000}"/>
    <cellStyle name="20% - Accent6 83 21 2" xfId="12149" xr:uid="{00000000-0005-0000-0000-0000752F0000}"/>
    <cellStyle name="20% - Accent6 83 21 2 2" xfId="12150" xr:uid="{00000000-0005-0000-0000-0000762F0000}"/>
    <cellStyle name="20% - Accent6 83 21 3" xfId="12151" xr:uid="{00000000-0005-0000-0000-0000772F0000}"/>
    <cellStyle name="20% - Accent6 83 22" xfId="12152" xr:uid="{00000000-0005-0000-0000-0000782F0000}"/>
    <cellStyle name="20% - Accent6 83 22 2" xfId="12153" xr:uid="{00000000-0005-0000-0000-0000792F0000}"/>
    <cellStyle name="20% - Accent6 83 22 2 2" xfId="12154" xr:uid="{00000000-0005-0000-0000-00007A2F0000}"/>
    <cellStyle name="20% - Accent6 83 22 3" xfId="12155" xr:uid="{00000000-0005-0000-0000-00007B2F0000}"/>
    <cellStyle name="20% - Accent6 83 23" xfId="12156" xr:uid="{00000000-0005-0000-0000-00007C2F0000}"/>
    <cellStyle name="20% - Accent6 83 23 2" xfId="12157" xr:uid="{00000000-0005-0000-0000-00007D2F0000}"/>
    <cellStyle name="20% - Accent6 83 23 2 2" xfId="12158" xr:uid="{00000000-0005-0000-0000-00007E2F0000}"/>
    <cellStyle name="20% - Accent6 83 23 3" xfId="12159" xr:uid="{00000000-0005-0000-0000-00007F2F0000}"/>
    <cellStyle name="20% - Accent6 83 24" xfId="12160" xr:uid="{00000000-0005-0000-0000-0000802F0000}"/>
    <cellStyle name="20% - Accent6 83 24 2" xfId="12161" xr:uid="{00000000-0005-0000-0000-0000812F0000}"/>
    <cellStyle name="20% - Accent6 83 24 2 2" xfId="12162" xr:uid="{00000000-0005-0000-0000-0000822F0000}"/>
    <cellStyle name="20% - Accent6 83 24 3" xfId="12163" xr:uid="{00000000-0005-0000-0000-0000832F0000}"/>
    <cellStyle name="20% - Accent6 83 25" xfId="12164" xr:uid="{00000000-0005-0000-0000-0000842F0000}"/>
    <cellStyle name="20% - Accent6 83 25 2" xfId="12165" xr:uid="{00000000-0005-0000-0000-0000852F0000}"/>
    <cellStyle name="20% - Accent6 83 25 2 2" xfId="12166" xr:uid="{00000000-0005-0000-0000-0000862F0000}"/>
    <cellStyle name="20% - Accent6 83 25 3" xfId="12167" xr:uid="{00000000-0005-0000-0000-0000872F0000}"/>
    <cellStyle name="20% - Accent6 83 26" xfId="12168" xr:uid="{00000000-0005-0000-0000-0000882F0000}"/>
    <cellStyle name="20% - Accent6 83 26 2" xfId="12169" xr:uid="{00000000-0005-0000-0000-0000892F0000}"/>
    <cellStyle name="20% - Accent6 83 26 2 2" xfId="12170" xr:uid="{00000000-0005-0000-0000-00008A2F0000}"/>
    <cellStyle name="20% - Accent6 83 26 3" xfId="12171" xr:uid="{00000000-0005-0000-0000-00008B2F0000}"/>
    <cellStyle name="20% - Accent6 83 27" xfId="12172" xr:uid="{00000000-0005-0000-0000-00008C2F0000}"/>
    <cellStyle name="20% - Accent6 83 27 2" xfId="12173" xr:uid="{00000000-0005-0000-0000-00008D2F0000}"/>
    <cellStyle name="20% - Accent6 83 27 2 2" xfId="12174" xr:uid="{00000000-0005-0000-0000-00008E2F0000}"/>
    <cellStyle name="20% - Accent6 83 27 3" xfId="12175" xr:uid="{00000000-0005-0000-0000-00008F2F0000}"/>
    <cellStyle name="20% - Accent6 83 28" xfId="12176" xr:uid="{00000000-0005-0000-0000-0000902F0000}"/>
    <cellStyle name="20% - Accent6 83 28 2" xfId="12177" xr:uid="{00000000-0005-0000-0000-0000912F0000}"/>
    <cellStyle name="20% - Accent6 83 28 2 2" xfId="12178" xr:uid="{00000000-0005-0000-0000-0000922F0000}"/>
    <cellStyle name="20% - Accent6 83 28 3" xfId="12179" xr:uid="{00000000-0005-0000-0000-0000932F0000}"/>
    <cellStyle name="20% - Accent6 83 29" xfId="12180" xr:uid="{00000000-0005-0000-0000-0000942F0000}"/>
    <cellStyle name="20% - Accent6 83 29 2" xfId="12181" xr:uid="{00000000-0005-0000-0000-0000952F0000}"/>
    <cellStyle name="20% - Accent6 83 29 2 2" xfId="12182" xr:uid="{00000000-0005-0000-0000-0000962F0000}"/>
    <cellStyle name="20% - Accent6 83 29 3" xfId="12183" xr:uid="{00000000-0005-0000-0000-0000972F0000}"/>
    <cellStyle name="20% - Accent6 83 3" xfId="12184" xr:uid="{00000000-0005-0000-0000-0000982F0000}"/>
    <cellStyle name="20% - Accent6 83 3 2" xfId="12185" xr:uid="{00000000-0005-0000-0000-0000992F0000}"/>
    <cellStyle name="20% - Accent6 83 3 2 2" xfId="12186" xr:uid="{00000000-0005-0000-0000-00009A2F0000}"/>
    <cellStyle name="20% - Accent6 83 3 3" xfId="12187" xr:uid="{00000000-0005-0000-0000-00009B2F0000}"/>
    <cellStyle name="20% - Accent6 83 30" xfId="12188" xr:uid="{00000000-0005-0000-0000-00009C2F0000}"/>
    <cellStyle name="20% - Accent6 83 30 2" xfId="12189" xr:uid="{00000000-0005-0000-0000-00009D2F0000}"/>
    <cellStyle name="20% - Accent6 83 30 2 2" xfId="12190" xr:uid="{00000000-0005-0000-0000-00009E2F0000}"/>
    <cellStyle name="20% - Accent6 83 30 3" xfId="12191" xr:uid="{00000000-0005-0000-0000-00009F2F0000}"/>
    <cellStyle name="20% - Accent6 83 31" xfId="12192" xr:uid="{00000000-0005-0000-0000-0000A02F0000}"/>
    <cellStyle name="20% - Accent6 83 31 2" xfId="12193" xr:uid="{00000000-0005-0000-0000-0000A12F0000}"/>
    <cellStyle name="20% - Accent6 83 31 2 2" xfId="12194" xr:uid="{00000000-0005-0000-0000-0000A22F0000}"/>
    <cellStyle name="20% - Accent6 83 31 3" xfId="12195" xr:uid="{00000000-0005-0000-0000-0000A32F0000}"/>
    <cellStyle name="20% - Accent6 83 32" xfId="12196" xr:uid="{00000000-0005-0000-0000-0000A42F0000}"/>
    <cellStyle name="20% - Accent6 83 32 2" xfId="12197" xr:uid="{00000000-0005-0000-0000-0000A52F0000}"/>
    <cellStyle name="20% - Accent6 83 32 2 2" xfId="12198" xr:uid="{00000000-0005-0000-0000-0000A62F0000}"/>
    <cellStyle name="20% - Accent6 83 32 3" xfId="12199" xr:uid="{00000000-0005-0000-0000-0000A72F0000}"/>
    <cellStyle name="20% - Accent6 83 33" xfId="12200" xr:uid="{00000000-0005-0000-0000-0000A82F0000}"/>
    <cellStyle name="20% - Accent6 83 33 2" xfId="12201" xr:uid="{00000000-0005-0000-0000-0000A92F0000}"/>
    <cellStyle name="20% - Accent6 83 33 2 2" xfId="12202" xr:uid="{00000000-0005-0000-0000-0000AA2F0000}"/>
    <cellStyle name="20% - Accent6 83 33 3" xfId="12203" xr:uid="{00000000-0005-0000-0000-0000AB2F0000}"/>
    <cellStyle name="20% - Accent6 83 34" xfId="12204" xr:uid="{00000000-0005-0000-0000-0000AC2F0000}"/>
    <cellStyle name="20% - Accent6 83 34 2" xfId="12205" xr:uid="{00000000-0005-0000-0000-0000AD2F0000}"/>
    <cellStyle name="20% - Accent6 83 34 2 2" xfId="12206" xr:uid="{00000000-0005-0000-0000-0000AE2F0000}"/>
    <cellStyle name="20% - Accent6 83 34 3" xfId="12207" xr:uid="{00000000-0005-0000-0000-0000AF2F0000}"/>
    <cellStyle name="20% - Accent6 83 35" xfId="12208" xr:uid="{00000000-0005-0000-0000-0000B02F0000}"/>
    <cellStyle name="20% - Accent6 83 35 2" xfId="12209" xr:uid="{00000000-0005-0000-0000-0000B12F0000}"/>
    <cellStyle name="20% - Accent6 83 35 2 2" xfId="12210" xr:uid="{00000000-0005-0000-0000-0000B22F0000}"/>
    <cellStyle name="20% - Accent6 83 35 3" xfId="12211" xr:uid="{00000000-0005-0000-0000-0000B32F0000}"/>
    <cellStyle name="20% - Accent6 83 36" xfId="12212" xr:uid="{00000000-0005-0000-0000-0000B42F0000}"/>
    <cellStyle name="20% - Accent6 83 36 2" xfId="12213" xr:uid="{00000000-0005-0000-0000-0000B52F0000}"/>
    <cellStyle name="20% - Accent6 83 36 2 2" xfId="12214" xr:uid="{00000000-0005-0000-0000-0000B62F0000}"/>
    <cellStyle name="20% - Accent6 83 36 3" xfId="12215" xr:uid="{00000000-0005-0000-0000-0000B72F0000}"/>
    <cellStyle name="20% - Accent6 83 4" xfId="12216" xr:uid="{00000000-0005-0000-0000-0000B82F0000}"/>
    <cellStyle name="20% - Accent6 83 4 2" xfId="12217" xr:uid="{00000000-0005-0000-0000-0000B92F0000}"/>
    <cellStyle name="20% - Accent6 83 4 2 2" xfId="12218" xr:uid="{00000000-0005-0000-0000-0000BA2F0000}"/>
    <cellStyle name="20% - Accent6 83 4 3" xfId="12219" xr:uid="{00000000-0005-0000-0000-0000BB2F0000}"/>
    <cellStyle name="20% - Accent6 83 5" xfId="12220" xr:uid="{00000000-0005-0000-0000-0000BC2F0000}"/>
    <cellStyle name="20% - Accent6 83 5 2" xfId="12221" xr:uid="{00000000-0005-0000-0000-0000BD2F0000}"/>
    <cellStyle name="20% - Accent6 83 5 2 2" xfId="12222" xr:uid="{00000000-0005-0000-0000-0000BE2F0000}"/>
    <cellStyle name="20% - Accent6 83 5 3" xfId="12223" xr:uid="{00000000-0005-0000-0000-0000BF2F0000}"/>
    <cellStyle name="20% - Accent6 83 6" xfId="12224" xr:uid="{00000000-0005-0000-0000-0000C02F0000}"/>
    <cellStyle name="20% - Accent6 83 6 2" xfId="12225" xr:uid="{00000000-0005-0000-0000-0000C12F0000}"/>
    <cellStyle name="20% - Accent6 83 6 2 2" xfId="12226" xr:uid="{00000000-0005-0000-0000-0000C22F0000}"/>
    <cellStyle name="20% - Accent6 83 6 3" xfId="12227" xr:uid="{00000000-0005-0000-0000-0000C32F0000}"/>
    <cellStyle name="20% - Accent6 83 7" xfId="12228" xr:uid="{00000000-0005-0000-0000-0000C42F0000}"/>
    <cellStyle name="20% - Accent6 83 7 2" xfId="12229" xr:uid="{00000000-0005-0000-0000-0000C52F0000}"/>
    <cellStyle name="20% - Accent6 83 7 2 2" xfId="12230" xr:uid="{00000000-0005-0000-0000-0000C62F0000}"/>
    <cellStyle name="20% - Accent6 83 7 3" xfId="12231" xr:uid="{00000000-0005-0000-0000-0000C72F0000}"/>
    <cellStyle name="20% - Accent6 83 8" xfId="12232" xr:uid="{00000000-0005-0000-0000-0000C82F0000}"/>
    <cellStyle name="20% - Accent6 83 8 2" xfId="12233" xr:uid="{00000000-0005-0000-0000-0000C92F0000}"/>
    <cellStyle name="20% - Accent6 83 8 2 2" xfId="12234" xr:uid="{00000000-0005-0000-0000-0000CA2F0000}"/>
    <cellStyle name="20% - Accent6 83 8 3" xfId="12235" xr:uid="{00000000-0005-0000-0000-0000CB2F0000}"/>
    <cellStyle name="20% - Accent6 83 9" xfId="12236" xr:uid="{00000000-0005-0000-0000-0000CC2F0000}"/>
    <cellStyle name="20% - Accent6 83 9 2" xfId="12237" xr:uid="{00000000-0005-0000-0000-0000CD2F0000}"/>
    <cellStyle name="20% - Accent6 83 9 2 2" xfId="12238" xr:uid="{00000000-0005-0000-0000-0000CE2F0000}"/>
    <cellStyle name="20% - Accent6 83 9 3" xfId="12239" xr:uid="{00000000-0005-0000-0000-0000CF2F0000}"/>
    <cellStyle name="20% - Accent6 84" xfId="12240" xr:uid="{00000000-0005-0000-0000-0000D02F0000}"/>
    <cellStyle name="20% - Accent6 84 10" xfId="12241" xr:uid="{00000000-0005-0000-0000-0000D12F0000}"/>
    <cellStyle name="20% - Accent6 84 10 2" xfId="12242" xr:uid="{00000000-0005-0000-0000-0000D22F0000}"/>
    <cellStyle name="20% - Accent6 84 10 2 2" xfId="12243" xr:uid="{00000000-0005-0000-0000-0000D32F0000}"/>
    <cellStyle name="20% - Accent6 84 10 3" xfId="12244" xr:uid="{00000000-0005-0000-0000-0000D42F0000}"/>
    <cellStyle name="20% - Accent6 84 11" xfId="12245" xr:uid="{00000000-0005-0000-0000-0000D52F0000}"/>
    <cellStyle name="20% - Accent6 84 11 2" xfId="12246" xr:uid="{00000000-0005-0000-0000-0000D62F0000}"/>
    <cellStyle name="20% - Accent6 84 11 2 2" xfId="12247" xr:uid="{00000000-0005-0000-0000-0000D72F0000}"/>
    <cellStyle name="20% - Accent6 84 11 3" xfId="12248" xr:uid="{00000000-0005-0000-0000-0000D82F0000}"/>
    <cellStyle name="20% - Accent6 84 12" xfId="12249" xr:uid="{00000000-0005-0000-0000-0000D92F0000}"/>
    <cellStyle name="20% - Accent6 84 12 2" xfId="12250" xr:uid="{00000000-0005-0000-0000-0000DA2F0000}"/>
    <cellStyle name="20% - Accent6 84 12 2 2" xfId="12251" xr:uid="{00000000-0005-0000-0000-0000DB2F0000}"/>
    <cellStyle name="20% - Accent6 84 12 3" xfId="12252" xr:uid="{00000000-0005-0000-0000-0000DC2F0000}"/>
    <cellStyle name="20% - Accent6 84 13" xfId="12253" xr:uid="{00000000-0005-0000-0000-0000DD2F0000}"/>
    <cellStyle name="20% - Accent6 84 13 2" xfId="12254" xr:uid="{00000000-0005-0000-0000-0000DE2F0000}"/>
    <cellStyle name="20% - Accent6 84 13 2 2" xfId="12255" xr:uid="{00000000-0005-0000-0000-0000DF2F0000}"/>
    <cellStyle name="20% - Accent6 84 13 3" xfId="12256" xr:uid="{00000000-0005-0000-0000-0000E02F0000}"/>
    <cellStyle name="20% - Accent6 84 14" xfId="12257" xr:uid="{00000000-0005-0000-0000-0000E12F0000}"/>
    <cellStyle name="20% - Accent6 84 14 2" xfId="12258" xr:uid="{00000000-0005-0000-0000-0000E22F0000}"/>
    <cellStyle name="20% - Accent6 84 14 2 2" xfId="12259" xr:uid="{00000000-0005-0000-0000-0000E32F0000}"/>
    <cellStyle name="20% - Accent6 84 14 3" xfId="12260" xr:uid="{00000000-0005-0000-0000-0000E42F0000}"/>
    <cellStyle name="20% - Accent6 84 15" xfId="12261" xr:uid="{00000000-0005-0000-0000-0000E52F0000}"/>
    <cellStyle name="20% - Accent6 84 15 2" xfId="12262" xr:uid="{00000000-0005-0000-0000-0000E62F0000}"/>
    <cellStyle name="20% - Accent6 84 15 2 2" xfId="12263" xr:uid="{00000000-0005-0000-0000-0000E72F0000}"/>
    <cellStyle name="20% - Accent6 84 15 3" xfId="12264" xr:uid="{00000000-0005-0000-0000-0000E82F0000}"/>
    <cellStyle name="20% - Accent6 84 16" xfId="12265" xr:uid="{00000000-0005-0000-0000-0000E92F0000}"/>
    <cellStyle name="20% - Accent6 84 16 2" xfId="12266" xr:uid="{00000000-0005-0000-0000-0000EA2F0000}"/>
    <cellStyle name="20% - Accent6 84 16 2 2" xfId="12267" xr:uid="{00000000-0005-0000-0000-0000EB2F0000}"/>
    <cellStyle name="20% - Accent6 84 16 3" xfId="12268" xr:uid="{00000000-0005-0000-0000-0000EC2F0000}"/>
    <cellStyle name="20% - Accent6 84 17" xfId="12269" xr:uid="{00000000-0005-0000-0000-0000ED2F0000}"/>
    <cellStyle name="20% - Accent6 84 17 2" xfId="12270" xr:uid="{00000000-0005-0000-0000-0000EE2F0000}"/>
    <cellStyle name="20% - Accent6 84 17 2 2" xfId="12271" xr:uid="{00000000-0005-0000-0000-0000EF2F0000}"/>
    <cellStyle name="20% - Accent6 84 17 3" xfId="12272" xr:uid="{00000000-0005-0000-0000-0000F02F0000}"/>
    <cellStyle name="20% - Accent6 84 18" xfId="12273" xr:uid="{00000000-0005-0000-0000-0000F12F0000}"/>
    <cellStyle name="20% - Accent6 84 18 2" xfId="12274" xr:uid="{00000000-0005-0000-0000-0000F22F0000}"/>
    <cellStyle name="20% - Accent6 84 18 2 2" xfId="12275" xr:uid="{00000000-0005-0000-0000-0000F32F0000}"/>
    <cellStyle name="20% - Accent6 84 18 3" xfId="12276" xr:uid="{00000000-0005-0000-0000-0000F42F0000}"/>
    <cellStyle name="20% - Accent6 84 19" xfId="12277" xr:uid="{00000000-0005-0000-0000-0000F52F0000}"/>
    <cellStyle name="20% - Accent6 84 19 2" xfId="12278" xr:uid="{00000000-0005-0000-0000-0000F62F0000}"/>
    <cellStyle name="20% - Accent6 84 19 2 2" xfId="12279" xr:uid="{00000000-0005-0000-0000-0000F72F0000}"/>
    <cellStyle name="20% - Accent6 84 19 3" xfId="12280" xr:uid="{00000000-0005-0000-0000-0000F82F0000}"/>
    <cellStyle name="20% - Accent6 84 2" xfId="12281" xr:uid="{00000000-0005-0000-0000-0000F92F0000}"/>
    <cellStyle name="20% - Accent6 84 2 2" xfId="12282" xr:uid="{00000000-0005-0000-0000-0000FA2F0000}"/>
    <cellStyle name="20% - Accent6 84 2 2 2" xfId="12283" xr:uid="{00000000-0005-0000-0000-0000FB2F0000}"/>
    <cellStyle name="20% - Accent6 84 2 3" xfId="12284" xr:uid="{00000000-0005-0000-0000-0000FC2F0000}"/>
    <cellStyle name="20% - Accent6 84 20" xfId="12285" xr:uid="{00000000-0005-0000-0000-0000FD2F0000}"/>
    <cellStyle name="20% - Accent6 84 20 2" xfId="12286" xr:uid="{00000000-0005-0000-0000-0000FE2F0000}"/>
    <cellStyle name="20% - Accent6 84 20 2 2" xfId="12287" xr:uid="{00000000-0005-0000-0000-0000FF2F0000}"/>
    <cellStyle name="20% - Accent6 84 20 3" xfId="12288" xr:uid="{00000000-0005-0000-0000-000000300000}"/>
    <cellStyle name="20% - Accent6 84 21" xfId="12289" xr:uid="{00000000-0005-0000-0000-000001300000}"/>
    <cellStyle name="20% - Accent6 84 21 2" xfId="12290" xr:uid="{00000000-0005-0000-0000-000002300000}"/>
    <cellStyle name="20% - Accent6 84 21 2 2" xfId="12291" xr:uid="{00000000-0005-0000-0000-000003300000}"/>
    <cellStyle name="20% - Accent6 84 21 3" xfId="12292" xr:uid="{00000000-0005-0000-0000-000004300000}"/>
    <cellStyle name="20% - Accent6 84 22" xfId="12293" xr:uid="{00000000-0005-0000-0000-000005300000}"/>
    <cellStyle name="20% - Accent6 84 22 2" xfId="12294" xr:uid="{00000000-0005-0000-0000-000006300000}"/>
    <cellStyle name="20% - Accent6 84 22 2 2" xfId="12295" xr:uid="{00000000-0005-0000-0000-000007300000}"/>
    <cellStyle name="20% - Accent6 84 22 3" xfId="12296" xr:uid="{00000000-0005-0000-0000-000008300000}"/>
    <cellStyle name="20% - Accent6 84 23" xfId="12297" xr:uid="{00000000-0005-0000-0000-000009300000}"/>
    <cellStyle name="20% - Accent6 84 23 2" xfId="12298" xr:uid="{00000000-0005-0000-0000-00000A300000}"/>
    <cellStyle name="20% - Accent6 84 23 2 2" xfId="12299" xr:uid="{00000000-0005-0000-0000-00000B300000}"/>
    <cellStyle name="20% - Accent6 84 23 3" xfId="12300" xr:uid="{00000000-0005-0000-0000-00000C300000}"/>
    <cellStyle name="20% - Accent6 84 24" xfId="12301" xr:uid="{00000000-0005-0000-0000-00000D300000}"/>
    <cellStyle name="20% - Accent6 84 24 2" xfId="12302" xr:uid="{00000000-0005-0000-0000-00000E300000}"/>
    <cellStyle name="20% - Accent6 84 24 2 2" xfId="12303" xr:uid="{00000000-0005-0000-0000-00000F300000}"/>
    <cellStyle name="20% - Accent6 84 24 3" xfId="12304" xr:uid="{00000000-0005-0000-0000-000010300000}"/>
    <cellStyle name="20% - Accent6 84 25" xfId="12305" xr:uid="{00000000-0005-0000-0000-000011300000}"/>
    <cellStyle name="20% - Accent6 84 25 2" xfId="12306" xr:uid="{00000000-0005-0000-0000-000012300000}"/>
    <cellStyle name="20% - Accent6 84 25 2 2" xfId="12307" xr:uid="{00000000-0005-0000-0000-000013300000}"/>
    <cellStyle name="20% - Accent6 84 25 3" xfId="12308" xr:uid="{00000000-0005-0000-0000-000014300000}"/>
    <cellStyle name="20% - Accent6 84 26" xfId="12309" xr:uid="{00000000-0005-0000-0000-000015300000}"/>
    <cellStyle name="20% - Accent6 84 26 2" xfId="12310" xr:uid="{00000000-0005-0000-0000-000016300000}"/>
    <cellStyle name="20% - Accent6 84 26 2 2" xfId="12311" xr:uid="{00000000-0005-0000-0000-000017300000}"/>
    <cellStyle name="20% - Accent6 84 26 3" xfId="12312" xr:uid="{00000000-0005-0000-0000-000018300000}"/>
    <cellStyle name="20% - Accent6 84 27" xfId="12313" xr:uid="{00000000-0005-0000-0000-000019300000}"/>
    <cellStyle name="20% - Accent6 84 27 2" xfId="12314" xr:uid="{00000000-0005-0000-0000-00001A300000}"/>
    <cellStyle name="20% - Accent6 84 27 2 2" xfId="12315" xr:uid="{00000000-0005-0000-0000-00001B300000}"/>
    <cellStyle name="20% - Accent6 84 27 3" xfId="12316" xr:uid="{00000000-0005-0000-0000-00001C300000}"/>
    <cellStyle name="20% - Accent6 84 28" xfId="12317" xr:uid="{00000000-0005-0000-0000-00001D300000}"/>
    <cellStyle name="20% - Accent6 84 28 2" xfId="12318" xr:uid="{00000000-0005-0000-0000-00001E300000}"/>
    <cellStyle name="20% - Accent6 84 28 2 2" xfId="12319" xr:uid="{00000000-0005-0000-0000-00001F300000}"/>
    <cellStyle name="20% - Accent6 84 28 3" xfId="12320" xr:uid="{00000000-0005-0000-0000-000020300000}"/>
    <cellStyle name="20% - Accent6 84 29" xfId="12321" xr:uid="{00000000-0005-0000-0000-000021300000}"/>
    <cellStyle name="20% - Accent6 84 29 2" xfId="12322" xr:uid="{00000000-0005-0000-0000-000022300000}"/>
    <cellStyle name="20% - Accent6 84 29 2 2" xfId="12323" xr:uid="{00000000-0005-0000-0000-000023300000}"/>
    <cellStyle name="20% - Accent6 84 29 3" xfId="12324" xr:uid="{00000000-0005-0000-0000-000024300000}"/>
    <cellStyle name="20% - Accent6 84 3" xfId="12325" xr:uid="{00000000-0005-0000-0000-000025300000}"/>
    <cellStyle name="20% - Accent6 84 3 2" xfId="12326" xr:uid="{00000000-0005-0000-0000-000026300000}"/>
    <cellStyle name="20% - Accent6 84 3 2 2" xfId="12327" xr:uid="{00000000-0005-0000-0000-000027300000}"/>
    <cellStyle name="20% - Accent6 84 3 3" xfId="12328" xr:uid="{00000000-0005-0000-0000-000028300000}"/>
    <cellStyle name="20% - Accent6 84 30" xfId="12329" xr:uid="{00000000-0005-0000-0000-000029300000}"/>
    <cellStyle name="20% - Accent6 84 30 2" xfId="12330" xr:uid="{00000000-0005-0000-0000-00002A300000}"/>
    <cellStyle name="20% - Accent6 84 30 2 2" xfId="12331" xr:uid="{00000000-0005-0000-0000-00002B300000}"/>
    <cellStyle name="20% - Accent6 84 30 3" xfId="12332" xr:uid="{00000000-0005-0000-0000-00002C300000}"/>
    <cellStyle name="20% - Accent6 84 31" xfId="12333" xr:uid="{00000000-0005-0000-0000-00002D300000}"/>
    <cellStyle name="20% - Accent6 84 31 2" xfId="12334" xr:uid="{00000000-0005-0000-0000-00002E300000}"/>
    <cellStyle name="20% - Accent6 84 31 2 2" xfId="12335" xr:uid="{00000000-0005-0000-0000-00002F300000}"/>
    <cellStyle name="20% - Accent6 84 31 3" xfId="12336" xr:uid="{00000000-0005-0000-0000-000030300000}"/>
    <cellStyle name="20% - Accent6 84 32" xfId="12337" xr:uid="{00000000-0005-0000-0000-000031300000}"/>
    <cellStyle name="20% - Accent6 84 32 2" xfId="12338" xr:uid="{00000000-0005-0000-0000-000032300000}"/>
    <cellStyle name="20% - Accent6 84 32 2 2" xfId="12339" xr:uid="{00000000-0005-0000-0000-000033300000}"/>
    <cellStyle name="20% - Accent6 84 32 3" xfId="12340" xr:uid="{00000000-0005-0000-0000-000034300000}"/>
    <cellStyle name="20% - Accent6 84 33" xfId="12341" xr:uid="{00000000-0005-0000-0000-000035300000}"/>
    <cellStyle name="20% - Accent6 84 33 2" xfId="12342" xr:uid="{00000000-0005-0000-0000-000036300000}"/>
    <cellStyle name="20% - Accent6 84 33 2 2" xfId="12343" xr:uid="{00000000-0005-0000-0000-000037300000}"/>
    <cellStyle name="20% - Accent6 84 33 3" xfId="12344" xr:uid="{00000000-0005-0000-0000-000038300000}"/>
    <cellStyle name="20% - Accent6 84 34" xfId="12345" xr:uid="{00000000-0005-0000-0000-000039300000}"/>
    <cellStyle name="20% - Accent6 84 34 2" xfId="12346" xr:uid="{00000000-0005-0000-0000-00003A300000}"/>
    <cellStyle name="20% - Accent6 84 34 2 2" xfId="12347" xr:uid="{00000000-0005-0000-0000-00003B300000}"/>
    <cellStyle name="20% - Accent6 84 34 3" xfId="12348" xr:uid="{00000000-0005-0000-0000-00003C300000}"/>
    <cellStyle name="20% - Accent6 84 35" xfId="12349" xr:uid="{00000000-0005-0000-0000-00003D300000}"/>
    <cellStyle name="20% - Accent6 84 35 2" xfId="12350" xr:uid="{00000000-0005-0000-0000-00003E300000}"/>
    <cellStyle name="20% - Accent6 84 35 2 2" xfId="12351" xr:uid="{00000000-0005-0000-0000-00003F300000}"/>
    <cellStyle name="20% - Accent6 84 35 3" xfId="12352" xr:uid="{00000000-0005-0000-0000-000040300000}"/>
    <cellStyle name="20% - Accent6 84 36" xfId="12353" xr:uid="{00000000-0005-0000-0000-000041300000}"/>
    <cellStyle name="20% - Accent6 84 36 2" xfId="12354" xr:uid="{00000000-0005-0000-0000-000042300000}"/>
    <cellStyle name="20% - Accent6 84 36 2 2" xfId="12355" xr:uid="{00000000-0005-0000-0000-000043300000}"/>
    <cellStyle name="20% - Accent6 84 36 3" xfId="12356" xr:uid="{00000000-0005-0000-0000-000044300000}"/>
    <cellStyle name="20% - Accent6 84 4" xfId="12357" xr:uid="{00000000-0005-0000-0000-000045300000}"/>
    <cellStyle name="20% - Accent6 84 4 2" xfId="12358" xr:uid="{00000000-0005-0000-0000-000046300000}"/>
    <cellStyle name="20% - Accent6 84 4 2 2" xfId="12359" xr:uid="{00000000-0005-0000-0000-000047300000}"/>
    <cellStyle name="20% - Accent6 84 4 3" xfId="12360" xr:uid="{00000000-0005-0000-0000-000048300000}"/>
    <cellStyle name="20% - Accent6 84 5" xfId="12361" xr:uid="{00000000-0005-0000-0000-000049300000}"/>
    <cellStyle name="20% - Accent6 84 5 2" xfId="12362" xr:uid="{00000000-0005-0000-0000-00004A300000}"/>
    <cellStyle name="20% - Accent6 84 5 2 2" xfId="12363" xr:uid="{00000000-0005-0000-0000-00004B300000}"/>
    <cellStyle name="20% - Accent6 84 5 3" xfId="12364" xr:uid="{00000000-0005-0000-0000-00004C300000}"/>
    <cellStyle name="20% - Accent6 84 6" xfId="12365" xr:uid="{00000000-0005-0000-0000-00004D300000}"/>
    <cellStyle name="20% - Accent6 84 6 2" xfId="12366" xr:uid="{00000000-0005-0000-0000-00004E300000}"/>
    <cellStyle name="20% - Accent6 84 6 2 2" xfId="12367" xr:uid="{00000000-0005-0000-0000-00004F300000}"/>
    <cellStyle name="20% - Accent6 84 6 3" xfId="12368" xr:uid="{00000000-0005-0000-0000-000050300000}"/>
    <cellStyle name="20% - Accent6 84 7" xfId="12369" xr:uid="{00000000-0005-0000-0000-000051300000}"/>
    <cellStyle name="20% - Accent6 84 7 2" xfId="12370" xr:uid="{00000000-0005-0000-0000-000052300000}"/>
    <cellStyle name="20% - Accent6 84 7 2 2" xfId="12371" xr:uid="{00000000-0005-0000-0000-000053300000}"/>
    <cellStyle name="20% - Accent6 84 7 3" xfId="12372" xr:uid="{00000000-0005-0000-0000-000054300000}"/>
    <cellStyle name="20% - Accent6 84 8" xfId="12373" xr:uid="{00000000-0005-0000-0000-000055300000}"/>
    <cellStyle name="20% - Accent6 84 8 2" xfId="12374" xr:uid="{00000000-0005-0000-0000-000056300000}"/>
    <cellStyle name="20% - Accent6 84 8 2 2" xfId="12375" xr:uid="{00000000-0005-0000-0000-000057300000}"/>
    <cellStyle name="20% - Accent6 84 8 3" xfId="12376" xr:uid="{00000000-0005-0000-0000-000058300000}"/>
    <cellStyle name="20% - Accent6 84 9" xfId="12377" xr:uid="{00000000-0005-0000-0000-000059300000}"/>
    <cellStyle name="20% - Accent6 84 9 2" xfId="12378" xr:uid="{00000000-0005-0000-0000-00005A300000}"/>
    <cellStyle name="20% - Accent6 84 9 2 2" xfId="12379" xr:uid="{00000000-0005-0000-0000-00005B300000}"/>
    <cellStyle name="20% - Accent6 84 9 3" xfId="12380" xr:uid="{00000000-0005-0000-0000-00005C300000}"/>
    <cellStyle name="20% - Accent6 85" xfId="12381" xr:uid="{00000000-0005-0000-0000-00005D300000}"/>
    <cellStyle name="20% - Accent6 85 10" xfId="12382" xr:uid="{00000000-0005-0000-0000-00005E300000}"/>
    <cellStyle name="20% - Accent6 85 10 2" xfId="12383" xr:uid="{00000000-0005-0000-0000-00005F300000}"/>
    <cellStyle name="20% - Accent6 85 10 2 2" xfId="12384" xr:uid="{00000000-0005-0000-0000-000060300000}"/>
    <cellStyle name="20% - Accent6 85 10 3" xfId="12385" xr:uid="{00000000-0005-0000-0000-000061300000}"/>
    <cellStyle name="20% - Accent6 85 11" xfId="12386" xr:uid="{00000000-0005-0000-0000-000062300000}"/>
    <cellStyle name="20% - Accent6 85 11 2" xfId="12387" xr:uid="{00000000-0005-0000-0000-000063300000}"/>
    <cellStyle name="20% - Accent6 85 11 2 2" xfId="12388" xr:uid="{00000000-0005-0000-0000-000064300000}"/>
    <cellStyle name="20% - Accent6 85 11 3" xfId="12389" xr:uid="{00000000-0005-0000-0000-000065300000}"/>
    <cellStyle name="20% - Accent6 85 12" xfId="12390" xr:uid="{00000000-0005-0000-0000-000066300000}"/>
    <cellStyle name="20% - Accent6 85 12 2" xfId="12391" xr:uid="{00000000-0005-0000-0000-000067300000}"/>
    <cellStyle name="20% - Accent6 85 12 2 2" xfId="12392" xr:uid="{00000000-0005-0000-0000-000068300000}"/>
    <cellStyle name="20% - Accent6 85 12 3" xfId="12393" xr:uid="{00000000-0005-0000-0000-000069300000}"/>
    <cellStyle name="20% - Accent6 85 13" xfId="12394" xr:uid="{00000000-0005-0000-0000-00006A300000}"/>
    <cellStyle name="20% - Accent6 85 13 2" xfId="12395" xr:uid="{00000000-0005-0000-0000-00006B300000}"/>
    <cellStyle name="20% - Accent6 85 13 2 2" xfId="12396" xr:uid="{00000000-0005-0000-0000-00006C300000}"/>
    <cellStyle name="20% - Accent6 85 13 3" xfId="12397" xr:uid="{00000000-0005-0000-0000-00006D300000}"/>
    <cellStyle name="20% - Accent6 85 14" xfId="12398" xr:uid="{00000000-0005-0000-0000-00006E300000}"/>
    <cellStyle name="20% - Accent6 85 14 2" xfId="12399" xr:uid="{00000000-0005-0000-0000-00006F300000}"/>
    <cellStyle name="20% - Accent6 85 14 2 2" xfId="12400" xr:uid="{00000000-0005-0000-0000-000070300000}"/>
    <cellStyle name="20% - Accent6 85 14 3" xfId="12401" xr:uid="{00000000-0005-0000-0000-000071300000}"/>
    <cellStyle name="20% - Accent6 85 15" xfId="12402" xr:uid="{00000000-0005-0000-0000-000072300000}"/>
    <cellStyle name="20% - Accent6 85 15 2" xfId="12403" xr:uid="{00000000-0005-0000-0000-000073300000}"/>
    <cellStyle name="20% - Accent6 85 15 2 2" xfId="12404" xr:uid="{00000000-0005-0000-0000-000074300000}"/>
    <cellStyle name="20% - Accent6 85 15 3" xfId="12405" xr:uid="{00000000-0005-0000-0000-000075300000}"/>
    <cellStyle name="20% - Accent6 85 16" xfId="12406" xr:uid="{00000000-0005-0000-0000-000076300000}"/>
    <cellStyle name="20% - Accent6 85 16 2" xfId="12407" xr:uid="{00000000-0005-0000-0000-000077300000}"/>
    <cellStyle name="20% - Accent6 85 16 2 2" xfId="12408" xr:uid="{00000000-0005-0000-0000-000078300000}"/>
    <cellStyle name="20% - Accent6 85 16 3" xfId="12409" xr:uid="{00000000-0005-0000-0000-000079300000}"/>
    <cellStyle name="20% - Accent6 85 17" xfId="12410" xr:uid="{00000000-0005-0000-0000-00007A300000}"/>
    <cellStyle name="20% - Accent6 85 17 2" xfId="12411" xr:uid="{00000000-0005-0000-0000-00007B300000}"/>
    <cellStyle name="20% - Accent6 85 17 2 2" xfId="12412" xr:uid="{00000000-0005-0000-0000-00007C300000}"/>
    <cellStyle name="20% - Accent6 85 17 3" xfId="12413" xr:uid="{00000000-0005-0000-0000-00007D300000}"/>
    <cellStyle name="20% - Accent6 85 18" xfId="12414" xr:uid="{00000000-0005-0000-0000-00007E300000}"/>
    <cellStyle name="20% - Accent6 85 18 2" xfId="12415" xr:uid="{00000000-0005-0000-0000-00007F300000}"/>
    <cellStyle name="20% - Accent6 85 18 2 2" xfId="12416" xr:uid="{00000000-0005-0000-0000-000080300000}"/>
    <cellStyle name="20% - Accent6 85 18 3" xfId="12417" xr:uid="{00000000-0005-0000-0000-000081300000}"/>
    <cellStyle name="20% - Accent6 85 19" xfId="12418" xr:uid="{00000000-0005-0000-0000-000082300000}"/>
    <cellStyle name="20% - Accent6 85 19 2" xfId="12419" xr:uid="{00000000-0005-0000-0000-000083300000}"/>
    <cellStyle name="20% - Accent6 85 19 2 2" xfId="12420" xr:uid="{00000000-0005-0000-0000-000084300000}"/>
    <cellStyle name="20% - Accent6 85 19 3" xfId="12421" xr:uid="{00000000-0005-0000-0000-000085300000}"/>
    <cellStyle name="20% - Accent6 85 2" xfId="12422" xr:uid="{00000000-0005-0000-0000-000086300000}"/>
    <cellStyle name="20% - Accent6 85 2 2" xfId="12423" xr:uid="{00000000-0005-0000-0000-000087300000}"/>
    <cellStyle name="20% - Accent6 85 2 2 2" xfId="12424" xr:uid="{00000000-0005-0000-0000-000088300000}"/>
    <cellStyle name="20% - Accent6 85 2 3" xfId="12425" xr:uid="{00000000-0005-0000-0000-000089300000}"/>
    <cellStyle name="20% - Accent6 85 20" xfId="12426" xr:uid="{00000000-0005-0000-0000-00008A300000}"/>
    <cellStyle name="20% - Accent6 85 20 2" xfId="12427" xr:uid="{00000000-0005-0000-0000-00008B300000}"/>
    <cellStyle name="20% - Accent6 85 20 2 2" xfId="12428" xr:uid="{00000000-0005-0000-0000-00008C300000}"/>
    <cellStyle name="20% - Accent6 85 20 3" xfId="12429" xr:uid="{00000000-0005-0000-0000-00008D300000}"/>
    <cellStyle name="20% - Accent6 85 21" xfId="12430" xr:uid="{00000000-0005-0000-0000-00008E300000}"/>
    <cellStyle name="20% - Accent6 85 21 2" xfId="12431" xr:uid="{00000000-0005-0000-0000-00008F300000}"/>
    <cellStyle name="20% - Accent6 85 21 2 2" xfId="12432" xr:uid="{00000000-0005-0000-0000-000090300000}"/>
    <cellStyle name="20% - Accent6 85 21 3" xfId="12433" xr:uid="{00000000-0005-0000-0000-000091300000}"/>
    <cellStyle name="20% - Accent6 85 22" xfId="12434" xr:uid="{00000000-0005-0000-0000-000092300000}"/>
    <cellStyle name="20% - Accent6 85 22 2" xfId="12435" xr:uid="{00000000-0005-0000-0000-000093300000}"/>
    <cellStyle name="20% - Accent6 85 22 2 2" xfId="12436" xr:uid="{00000000-0005-0000-0000-000094300000}"/>
    <cellStyle name="20% - Accent6 85 22 3" xfId="12437" xr:uid="{00000000-0005-0000-0000-000095300000}"/>
    <cellStyle name="20% - Accent6 85 23" xfId="12438" xr:uid="{00000000-0005-0000-0000-000096300000}"/>
    <cellStyle name="20% - Accent6 85 23 2" xfId="12439" xr:uid="{00000000-0005-0000-0000-000097300000}"/>
    <cellStyle name="20% - Accent6 85 23 2 2" xfId="12440" xr:uid="{00000000-0005-0000-0000-000098300000}"/>
    <cellStyle name="20% - Accent6 85 23 3" xfId="12441" xr:uid="{00000000-0005-0000-0000-000099300000}"/>
    <cellStyle name="20% - Accent6 85 24" xfId="12442" xr:uid="{00000000-0005-0000-0000-00009A300000}"/>
    <cellStyle name="20% - Accent6 85 24 2" xfId="12443" xr:uid="{00000000-0005-0000-0000-00009B300000}"/>
    <cellStyle name="20% - Accent6 85 24 2 2" xfId="12444" xr:uid="{00000000-0005-0000-0000-00009C300000}"/>
    <cellStyle name="20% - Accent6 85 24 3" xfId="12445" xr:uid="{00000000-0005-0000-0000-00009D300000}"/>
    <cellStyle name="20% - Accent6 85 25" xfId="12446" xr:uid="{00000000-0005-0000-0000-00009E300000}"/>
    <cellStyle name="20% - Accent6 85 25 2" xfId="12447" xr:uid="{00000000-0005-0000-0000-00009F300000}"/>
    <cellStyle name="20% - Accent6 85 25 2 2" xfId="12448" xr:uid="{00000000-0005-0000-0000-0000A0300000}"/>
    <cellStyle name="20% - Accent6 85 25 3" xfId="12449" xr:uid="{00000000-0005-0000-0000-0000A1300000}"/>
    <cellStyle name="20% - Accent6 85 26" xfId="12450" xr:uid="{00000000-0005-0000-0000-0000A2300000}"/>
    <cellStyle name="20% - Accent6 85 26 2" xfId="12451" xr:uid="{00000000-0005-0000-0000-0000A3300000}"/>
    <cellStyle name="20% - Accent6 85 26 2 2" xfId="12452" xr:uid="{00000000-0005-0000-0000-0000A4300000}"/>
    <cellStyle name="20% - Accent6 85 26 3" xfId="12453" xr:uid="{00000000-0005-0000-0000-0000A5300000}"/>
    <cellStyle name="20% - Accent6 85 27" xfId="12454" xr:uid="{00000000-0005-0000-0000-0000A6300000}"/>
    <cellStyle name="20% - Accent6 85 27 2" xfId="12455" xr:uid="{00000000-0005-0000-0000-0000A7300000}"/>
    <cellStyle name="20% - Accent6 85 27 2 2" xfId="12456" xr:uid="{00000000-0005-0000-0000-0000A8300000}"/>
    <cellStyle name="20% - Accent6 85 27 3" xfId="12457" xr:uid="{00000000-0005-0000-0000-0000A9300000}"/>
    <cellStyle name="20% - Accent6 85 28" xfId="12458" xr:uid="{00000000-0005-0000-0000-0000AA300000}"/>
    <cellStyle name="20% - Accent6 85 28 2" xfId="12459" xr:uid="{00000000-0005-0000-0000-0000AB300000}"/>
    <cellStyle name="20% - Accent6 85 28 2 2" xfId="12460" xr:uid="{00000000-0005-0000-0000-0000AC300000}"/>
    <cellStyle name="20% - Accent6 85 28 3" xfId="12461" xr:uid="{00000000-0005-0000-0000-0000AD300000}"/>
    <cellStyle name="20% - Accent6 85 29" xfId="12462" xr:uid="{00000000-0005-0000-0000-0000AE300000}"/>
    <cellStyle name="20% - Accent6 85 29 2" xfId="12463" xr:uid="{00000000-0005-0000-0000-0000AF300000}"/>
    <cellStyle name="20% - Accent6 85 29 2 2" xfId="12464" xr:uid="{00000000-0005-0000-0000-0000B0300000}"/>
    <cellStyle name="20% - Accent6 85 29 3" xfId="12465" xr:uid="{00000000-0005-0000-0000-0000B1300000}"/>
    <cellStyle name="20% - Accent6 85 3" xfId="12466" xr:uid="{00000000-0005-0000-0000-0000B2300000}"/>
    <cellStyle name="20% - Accent6 85 3 2" xfId="12467" xr:uid="{00000000-0005-0000-0000-0000B3300000}"/>
    <cellStyle name="20% - Accent6 85 3 2 2" xfId="12468" xr:uid="{00000000-0005-0000-0000-0000B4300000}"/>
    <cellStyle name="20% - Accent6 85 3 3" xfId="12469" xr:uid="{00000000-0005-0000-0000-0000B5300000}"/>
    <cellStyle name="20% - Accent6 85 30" xfId="12470" xr:uid="{00000000-0005-0000-0000-0000B6300000}"/>
    <cellStyle name="20% - Accent6 85 30 2" xfId="12471" xr:uid="{00000000-0005-0000-0000-0000B7300000}"/>
    <cellStyle name="20% - Accent6 85 30 2 2" xfId="12472" xr:uid="{00000000-0005-0000-0000-0000B8300000}"/>
    <cellStyle name="20% - Accent6 85 30 3" xfId="12473" xr:uid="{00000000-0005-0000-0000-0000B9300000}"/>
    <cellStyle name="20% - Accent6 85 31" xfId="12474" xr:uid="{00000000-0005-0000-0000-0000BA300000}"/>
    <cellStyle name="20% - Accent6 85 31 2" xfId="12475" xr:uid="{00000000-0005-0000-0000-0000BB300000}"/>
    <cellStyle name="20% - Accent6 85 31 2 2" xfId="12476" xr:uid="{00000000-0005-0000-0000-0000BC300000}"/>
    <cellStyle name="20% - Accent6 85 31 3" xfId="12477" xr:uid="{00000000-0005-0000-0000-0000BD300000}"/>
    <cellStyle name="20% - Accent6 85 32" xfId="12478" xr:uid="{00000000-0005-0000-0000-0000BE300000}"/>
    <cellStyle name="20% - Accent6 85 32 2" xfId="12479" xr:uid="{00000000-0005-0000-0000-0000BF300000}"/>
    <cellStyle name="20% - Accent6 85 32 2 2" xfId="12480" xr:uid="{00000000-0005-0000-0000-0000C0300000}"/>
    <cellStyle name="20% - Accent6 85 32 3" xfId="12481" xr:uid="{00000000-0005-0000-0000-0000C1300000}"/>
    <cellStyle name="20% - Accent6 85 33" xfId="12482" xr:uid="{00000000-0005-0000-0000-0000C2300000}"/>
    <cellStyle name="20% - Accent6 85 33 2" xfId="12483" xr:uid="{00000000-0005-0000-0000-0000C3300000}"/>
    <cellStyle name="20% - Accent6 85 33 2 2" xfId="12484" xr:uid="{00000000-0005-0000-0000-0000C4300000}"/>
    <cellStyle name="20% - Accent6 85 33 3" xfId="12485" xr:uid="{00000000-0005-0000-0000-0000C5300000}"/>
    <cellStyle name="20% - Accent6 85 34" xfId="12486" xr:uid="{00000000-0005-0000-0000-0000C6300000}"/>
    <cellStyle name="20% - Accent6 85 34 2" xfId="12487" xr:uid="{00000000-0005-0000-0000-0000C7300000}"/>
    <cellStyle name="20% - Accent6 85 34 2 2" xfId="12488" xr:uid="{00000000-0005-0000-0000-0000C8300000}"/>
    <cellStyle name="20% - Accent6 85 34 3" xfId="12489" xr:uid="{00000000-0005-0000-0000-0000C9300000}"/>
    <cellStyle name="20% - Accent6 85 35" xfId="12490" xr:uid="{00000000-0005-0000-0000-0000CA300000}"/>
    <cellStyle name="20% - Accent6 85 35 2" xfId="12491" xr:uid="{00000000-0005-0000-0000-0000CB300000}"/>
    <cellStyle name="20% - Accent6 85 35 2 2" xfId="12492" xr:uid="{00000000-0005-0000-0000-0000CC300000}"/>
    <cellStyle name="20% - Accent6 85 35 3" xfId="12493" xr:uid="{00000000-0005-0000-0000-0000CD300000}"/>
    <cellStyle name="20% - Accent6 85 36" xfId="12494" xr:uid="{00000000-0005-0000-0000-0000CE300000}"/>
    <cellStyle name="20% - Accent6 85 36 2" xfId="12495" xr:uid="{00000000-0005-0000-0000-0000CF300000}"/>
    <cellStyle name="20% - Accent6 85 36 2 2" xfId="12496" xr:uid="{00000000-0005-0000-0000-0000D0300000}"/>
    <cellStyle name="20% - Accent6 85 36 3" xfId="12497" xr:uid="{00000000-0005-0000-0000-0000D1300000}"/>
    <cellStyle name="20% - Accent6 85 4" xfId="12498" xr:uid="{00000000-0005-0000-0000-0000D2300000}"/>
    <cellStyle name="20% - Accent6 85 4 2" xfId="12499" xr:uid="{00000000-0005-0000-0000-0000D3300000}"/>
    <cellStyle name="20% - Accent6 85 4 2 2" xfId="12500" xr:uid="{00000000-0005-0000-0000-0000D4300000}"/>
    <cellStyle name="20% - Accent6 85 4 3" xfId="12501" xr:uid="{00000000-0005-0000-0000-0000D5300000}"/>
    <cellStyle name="20% - Accent6 85 5" xfId="12502" xr:uid="{00000000-0005-0000-0000-0000D6300000}"/>
    <cellStyle name="20% - Accent6 85 5 2" xfId="12503" xr:uid="{00000000-0005-0000-0000-0000D7300000}"/>
    <cellStyle name="20% - Accent6 85 5 2 2" xfId="12504" xr:uid="{00000000-0005-0000-0000-0000D8300000}"/>
    <cellStyle name="20% - Accent6 85 5 3" xfId="12505" xr:uid="{00000000-0005-0000-0000-0000D9300000}"/>
    <cellStyle name="20% - Accent6 85 6" xfId="12506" xr:uid="{00000000-0005-0000-0000-0000DA300000}"/>
    <cellStyle name="20% - Accent6 85 6 2" xfId="12507" xr:uid="{00000000-0005-0000-0000-0000DB300000}"/>
    <cellStyle name="20% - Accent6 85 6 2 2" xfId="12508" xr:uid="{00000000-0005-0000-0000-0000DC300000}"/>
    <cellStyle name="20% - Accent6 85 6 3" xfId="12509" xr:uid="{00000000-0005-0000-0000-0000DD300000}"/>
    <cellStyle name="20% - Accent6 85 7" xfId="12510" xr:uid="{00000000-0005-0000-0000-0000DE300000}"/>
    <cellStyle name="20% - Accent6 85 7 2" xfId="12511" xr:uid="{00000000-0005-0000-0000-0000DF300000}"/>
    <cellStyle name="20% - Accent6 85 7 2 2" xfId="12512" xr:uid="{00000000-0005-0000-0000-0000E0300000}"/>
    <cellStyle name="20% - Accent6 85 7 3" xfId="12513" xr:uid="{00000000-0005-0000-0000-0000E1300000}"/>
    <cellStyle name="20% - Accent6 85 8" xfId="12514" xr:uid="{00000000-0005-0000-0000-0000E2300000}"/>
    <cellStyle name="20% - Accent6 85 8 2" xfId="12515" xr:uid="{00000000-0005-0000-0000-0000E3300000}"/>
    <cellStyle name="20% - Accent6 85 8 2 2" xfId="12516" xr:uid="{00000000-0005-0000-0000-0000E4300000}"/>
    <cellStyle name="20% - Accent6 85 8 3" xfId="12517" xr:uid="{00000000-0005-0000-0000-0000E5300000}"/>
    <cellStyle name="20% - Accent6 85 9" xfId="12518" xr:uid="{00000000-0005-0000-0000-0000E6300000}"/>
    <cellStyle name="20% - Accent6 85 9 2" xfId="12519" xr:uid="{00000000-0005-0000-0000-0000E7300000}"/>
    <cellStyle name="20% - Accent6 85 9 2 2" xfId="12520" xr:uid="{00000000-0005-0000-0000-0000E8300000}"/>
    <cellStyle name="20% - Accent6 85 9 3" xfId="12521" xr:uid="{00000000-0005-0000-0000-0000E9300000}"/>
    <cellStyle name="20% - Accent6 86" xfId="12522" xr:uid="{00000000-0005-0000-0000-0000EA300000}"/>
    <cellStyle name="20% - Accent6 86 10" xfId="12523" xr:uid="{00000000-0005-0000-0000-0000EB300000}"/>
    <cellStyle name="20% - Accent6 86 10 2" xfId="12524" xr:uid="{00000000-0005-0000-0000-0000EC300000}"/>
    <cellStyle name="20% - Accent6 86 10 2 2" xfId="12525" xr:uid="{00000000-0005-0000-0000-0000ED300000}"/>
    <cellStyle name="20% - Accent6 86 10 3" xfId="12526" xr:uid="{00000000-0005-0000-0000-0000EE300000}"/>
    <cellStyle name="20% - Accent6 86 11" xfId="12527" xr:uid="{00000000-0005-0000-0000-0000EF300000}"/>
    <cellStyle name="20% - Accent6 86 11 2" xfId="12528" xr:uid="{00000000-0005-0000-0000-0000F0300000}"/>
    <cellStyle name="20% - Accent6 86 11 2 2" xfId="12529" xr:uid="{00000000-0005-0000-0000-0000F1300000}"/>
    <cellStyle name="20% - Accent6 86 11 3" xfId="12530" xr:uid="{00000000-0005-0000-0000-0000F2300000}"/>
    <cellStyle name="20% - Accent6 86 12" xfId="12531" xr:uid="{00000000-0005-0000-0000-0000F3300000}"/>
    <cellStyle name="20% - Accent6 86 12 2" xfId="12532" xr:uid="{00000000-0005-0000-0000-0000F4300000}"/>
    <cellStyle name="20% - Accent6 86 12 2 2" xfId="12533" xr:uid="{00000000-0005-0000-0000-0000F5300000}"/>
    <cellStyle name="20% - Accent6 86 12 3" xfId="12534" xr:uid="{00000000-0005-0000-0000-0000F6300000}"/>
    <cellStyle name="20% - Accent6 86 13" xfId="12535" xr:uid="{00000000-0005-0000-0000-0000F7300000}"/>
    <cellStyle name="20% - Accent6 86 13 2" xfId="12536" xr:uid="{00000000-0005-0000-0000-0000F8300000}"/>
    <cellStyle name="20% - Accent6 86 13 2 2" xfId="12537" xr:uid="{00000000-0005-0000-0000-0000F9300000}"/>
    <cellStyle name="20% - Accent6 86 13 3" xfId="12538" xr:uid="{00000000-0005-0000-0000-0000FA300000}"/>
    <cellStyle name="20% - Accent6 86 14" xfId="12539" xr:uid="{00000000-0005-0000-0000-0000FB300000}"/>
    <cellStyle name="20% - Accent6 86 14 2" xfId="12540" xr:uid="{00000000-0005-0000-0000-0000FC300000}"/>
    <cellStyle name="20% - Accent6 86 14 2 2" xfId="12541" xr:uid="{00000000-0005-0000-0000-0000FD300000}"/>
    <cellStyle name="20% - Accent6 86 14 3" xfId="12542" xr:uid="{00000000-0005-0000-0000-0000FE300000}"/>
    <cellStyle name="20% - Accent6 86 15" xfId="12543" xr:uid="{00000000-0005-0000-0000-0000FF300000}"/>
    <cellStyle name="20% - Accent6 86 15 2" xfId="12544" xr:uid="{00000000-0005-0000-0000-000000310000}"/>
    <cellStyle name="20% - Accent6 86 15 2 2" xfId="12545" xr:uid="{00000000-0005-0000-0000-000001310000}"/>
    <cellStyle name="20% - Accent6 86 15 3" xfId="12546" xr:uid="{00000000-0005-0000-0000-000002310000}"/>
    <cellStyle name="20% - Accent6 86 16" xfId="12547" xr:uid="{00000000-0005-0000-0000-000003310000}"/>
    <cellStyle name="20% - Accent6 86 16 2" xfId="12548" xr:uid="{00000000-0005-0000-0000-000004310000}"/>
    <cellStyle name="20% - Accent6 86 16 2 2" xfId="12549" xr:uid="{00000000-0005-0000-0000-000005310000}"/>
    <cellStyle name="20% - Accent6 86 16 3" xfId="12550" xr:uid="{00000000-0005-0000-0000-000006310000}"/>
    <cellStyle name="20% - Accent6 86 17" xfId="12551" xr:uid="{00000000-0005-0000-0000-000007310000}"/>
    <cellStyle name="20% - Accent6 86 17 2" xfId="12552" xr:uid="{00000000-0005-0000-0000-000008310000}"/>
    <cellStyle name="20% - Accent6 86 17 2 2" xfId="12553" xr:uid="{00000000-0005-0000-0000-000009310000}"/>
    <cellStyle name="20% - Accent6 86 17 3" xfId="12554" xr:uid="{00000000-0005-0000-0000-00000A310000}"/>
    <cellStyle name="20% - Accent6 86 18" xfId="12555" xr:uid="{00000000-0005-0000-0000-00000B310000}"/>
    <cellStyle name="20% - Accent6 86 18 2" xfId="12556" xr:uid="{00000000-0005-0000-0000-00000C310000}"/>
    <cellStyle name="20% - Accent6 86 18 2 2" xfId="12557" xr:uid="{00000000-0005-0000-0000-00000D310000}"/>
    <cellStyle name="20% - Accent6 86 18 3" xfId="12558" xr:uid="{00000000-0005-0000-0000-00000E310000}"/>
    <cellStyle name="20% - Accent6 86 19" xfId="12559" xr:uid="{00000000-0005-0000-0000-00000F310000}"/>
    <cellStyle name="20% - Accent6 86 19 2" xfId="12560" xr:uid="{00000000-0005-0000-0000-000010310000}"/>
    <cellStyle name="20% - Accent6 86 19 2 2" xfId="12561" xr:uid="{00000000-0005-0000-0000-000011310000}"/>
    <cellStyle name="20% - Accent6 86 19 3" xfId="12562" xr:uid="{00000000-0005-0000-0000-000012310000}"/>
    <cellStyle name="20% - Accent6 86 2" xfId="12563" xr:uid="{00000000-0005-0000-0000-000013310000}"/>
    <cellStyle name="20% - Accent6 86 2 2" xfId="12564" xr:uid="{00000000-0005-0000-0000-000014310000}"/>
    <cellStyle name="20% - Accent6 86 2 2 2" xfId="12565" xr:uid="{00000000-0005-0000-0000-000015310000}"/>
    <cellStyle name="20% - Accent6 86 2 3" xfId="12566" xr:uid="{00000000-0005-0000-0000-000016310000}"/>
    <cellStyle name="20% - Accent6 86 20" xfId="12567" xr:uid="{00000000-0005-0000-0000-000017310000}"/>
    <cellStyle name="20% - Accent6 86 20 2" xfId="12568" xr:uid="{00000000-0005-0000-0000-000018310000}"/>
    <cellStyle name="20% - Accent6 86 20 2 2" xfId="12569" xr:uid="{00000000-0005-0000-0000-000019310000}"/>
    <cellStyle name="20% - Accent6 86 20 3" xfId="12570" xr:uid="{00000000-0005-0000-0000-00001A310000}"/>
    <cellStyle name="20% - Accent6 86 21" xfId="12571" xr:uid="{00000000-0005-0000-0000-00001B310000}"/>
    <cellStyle name="20% - Accent6 86 21 2" xfId="12572" xr:uid="{00000000-0005-0000-0000-00001C310000}"/>
    <cellStyle name="20% - Accent6 86 21 2 2" xfId="12573" xr:uid="{00000000-0005-0000-0000-00001D310000}"/>
    <cellStyle name="20% - Accent6 86 21 3" xfId="12574" xr:uid="{00000000-0005-0000-0000-00001E310000}"/>
    <cellStyle name="20% - Accent6 86 22" xfId="12575" xr:uid="{00000000-0005-0000-0000-00001F310000}"/>
    <cellStyle name="20% - Accent6 86 22 2" xfId="12576" xr:uid="{00000000-0005-0000-0000-000020310000}"/>
    <cellStyle name="20% - Accent6 86 22 2 2" xfId="12577" xr:uid="{00000000-0005-0000-0000-000021310000}"/>
    <cellStyle name="20% - Accent6 86 22 3" xfId="12578" xr:uid="{00000000-0005-0000-0000-000022310000}"/>
    <cellStyle name="20% - Accent6 86 23" xfId="12579" xr:uid="{00000000-0005-0000-0000-000023310000}"/>
    <cellStyle name="20% - Accent6 86 23 2" xfId="12580" xr:uid="{00000000-0005-0000-0000-000024310000}"/>
    <cellStyle name="20% - Accent6 86 23 2 2" xfId="12581" xr:uid="{00000000-0005-0000-0000-000025310000}"/>
    <cellStyle name="20% - Accent6 86 23 3" xfId="12582" xr:uid="{00000000-0005-0000-0000-000026310000}"/>
    <cellStyle name="20% - Accent6 86 24" xfId="12583" xr:uid="{00000000-0005-0000-0000-000027310000}"/>
    <cellStyle name="20% - Accent6 86 24 2" xfId="12584" xr:uid="{00000000-0005-0000-0000-000028310000}"/>
    <cellStyle name="20% - Accent6 86 24 2 2" xfId="12585" xr:uid="{00000000-0005-0000-0000-000029310000}"/>
    <cellStyle name="20% - Accent6 86 24 3" xfId="12586" xr:uid="{00000000-0005-0000-0000-00002A310000}"/>
    <cellStyle name="20% - Accent6 86 25" xfId="12587" xr:uid="{00000000-0005-0000-0000-00002B310000}"/>
    <cellStyle name="20% - Accent6 86 25 2" xfId="12588" xr:uid="{00000000-0005-0000-0000-00002C310000}"/>
    <cellStyle name="20% - Accent6 86 25 2 2" xfId="12589" xr:uid="{00000000-0005-0000-0000-00002D310000}"/>
    <cellStyle name="20% - Accent6 86 25 3" xfId="12590" xr:uid="{00000000-0005-0000-0000-00002E310000}"/>
    <cellStyle name="20% - Accent6 86 26" xfId="12591" xr:uid="{00000000-0005-0000-0000-00002F310000}"/>
    <cellStyle name="20% - Accent6 86 26 2" xfId="12592" xr:uid="{00000000-0005-0000-0000-000030310000}"/>
    <cellStyle name="20% - Accent6 86 26 2 2" xfId="12593" xr:uid="{00000000-0005-0000-0000-000031310000}"/>
    <cellStyle name="20% - Accent6 86 26 3" xfId="12594" xr:uid="{00000000-0005-0000-0000-000032310000}"/>
    <cellStyle name="20% - Accent6 86 27" xfId="12595" xr:uid="{00000000-0005-0000-0000-000033310000}"/>
    <cellStyle name="20% - Accent6 86 27 2" xfId="12596" xr:uid="{00000000-0005-0000-0000-000034310000}"/>
    <cellStyle name="20% - Accent6 86 27 2 2" xfId="12597" xr:uid="{00000000-0005-0000-0000-000035310000}"/>
    <cellStyle name="20% - Accent6 86 27 3" xfId="12598" xr:uid="{00000000-0005-0000-0000-000036310000}"/>
    <cellStyle name="20% - Accent6 86 28" xfId="12599" xr:uid="{00000000-0005-0000-0000-000037310000}"/>
    <cellStyle name="20% - Accent6 86 28 2" xfId="12600" xr:uid="{00000000-0005-0000-0000-000038310000}"/>
    <cellStyle name="20% - Accent6 86 28 2 2" xfId="12601" xr:uid="{00000000-0005-0000-0000-000039310000}"/>
    <cellStyle name="20% - Accent6 86 28 3" xfId="12602" xr:uid="{00000000-0005-0000-0000-00003A310000}"/>
    <cellStyle name="20% - Accent6 86 29" xfId="12603" xr:uid="{00000000-0005-0000-0000-00003B310000}"/>
    <cellStyle name="20% - Accent6 86 29 2" xfId="12604" xr:uid="{00000000-0005-0000-0000-00003C310000}"/>
    <cellStyle name="20% - Accent6 86 29 2 2" xfId="12605" xr:uid="{00000000-0005-0000-0000-00003D310000}"/>
    <cellStyle name="20% - Accent6 86 29 3" xfId="12606" xr:uid="{00000000-0005-0000-0000-00003E310000}"/>
    <cellStyle name="20% - Accent6 86 3" xfId="12607" xr:uid="{00000000-0005-0000-0000-00003F310000}"/>
    <cellStyle name="20% - Accent6 86 3 2" xfId="12608" xr:uid="{00000000-0005-0000-0000-000040310000}"/>
    <cellStyle name="20% - Accent6 86 3 2 2" xfId="12609" xr:uid="{00000000-0005-0000-0000-000041310000}"/>
    <cellStyle name="20% - Accent6 86 3 3" xfId="12610" xr:uid="{00000000-0005-0000-0000-000042310000}"/>
    <cellStyle name="20% - Accent6 86 30" xfId="12611" xr:uid="{00000000-0005-0000-0000-000043310000}"/>
    <cellStyle name="20% - Accent6 86 30 2" xfId="12612" xr:uid="{00000000-0005-0000-0000-000044310000}"/>
    <cellStyle name="20% - Accent6 86 30 2 2" xfId="12613" xr:uid="{00000000-0005-0000-0000-000045310000}"/>
    <cellStyle name="20% - Accent6 86 30 3" xfId="12614" xr:uid="{00000000-0005-0000-0000-000046310000}"/>
    <cellStyle name="20% - Accent6 86 31" xfId="12615" xr:uid="{00000000-0005-0000-0000-000047310000}"/>
    <cellStyle name="20% - Accent6 86 31 2" xfId="12616" xr:uid="{00000000-0005-0000-0000-000048310000}"/>
    <cellStyle name="20% - Accent6 86 31 2 2" xfId="12617" xr:uid="{00000000-0005-0000-0000-000049310000}"/>
    <cellStyle name="20% - Accent6 86 31 3" xfId="12618" xr:uid="{00000000-0005-0000-0000-00004A310000}"/>
    <cellStyle name="20% - Accent6 86 32" xfId="12619" xr:uid="{00000000-0005-0000-0000-00004B310000}"/>
    <cellStyle name="20% - Accent6 86 32 2" xfId="12620" xr:uid="{00000000-0005-0000-0000-00004C310000}"/>
    <cellStyle name="20% - Accent6 86 32 2 2" xfId="12621" xr:uid="{00000000-0005-0000-0000-00004D310000}"/>
    <cellStyle name="20% - Accent6 86 32 3" xfId="12622" xr:uid="{00000000-0005-0000-0000-00004E310000}"/>
    <cellStyle name="20% - Accent6 86 33" xfId="12623" xr:uid="{00000000-0005-0000-0000-00004F310000}"/>
    <cellStyle name="20% - Accent6 86 33 2" xfId="12624" xr:uid="{00000000-0005-0000-0000-000050310000}"/>
    <cellStyle name="20% - Accent6 86 33 2 2" xfId="12625" xr:uid="{00000000-0005-0000-0000-000051310000}"/>
    <cellStyle name="20% - Accent6 86 33 3" xfId="12626" xr:uid="{00000000-0005-0000-0000-000052310000}"/>
    <cellStyle name="20% - Accent6 86 34" xfId="12627" xr:uid="{00000000-0005-0000-0000-000053310000}"/>
    <cellStyle name="20% - Accent6 86 34 2" xfId="12628" xr:uid="{00000000-0005-0000-0000-000054310000}"/>
    <cellStyle name="20% - Accent6 86 34 2 2" xfId="12629" xr:uid="{00000000-0005-0000-0000-000055310000}"/>
    <cellStyle name="20% - Accent6 86 34 3" xfId="12630" xr:uid="{00000000-0005-0000-0000-000056310000}"/>
    <cellStyle name="20% - Accent6 86 35" xfId="12631" xr:uid="{00000000-0005-0000-0000-000057310000}"/>
    <cellStyle name="20% - Accent6 86 35 2" xfId="12632" xr:uid="{00000000-0005-0000-0000-000058310000}"/>
    <cellStyle name="20% - Accent6 86 35 2 2" xfId="12633" xr:uid="{00000000-0005-0000-0000-000059310000}"/>
    <cellStyle name="20% - Accent6 86 35 3" xfId="12634" xr:uid="{00000000-0005-0000-0000-00005A310000}"/>
    <cellStyle name="20% - Accent6 86 36" xfId="12635" xr:uid="{00000000-0005-0000-0000-00005B310000}"/>
    <cellStyle name="20% - Accent6 86 36 2" xfId="12636" xr:uid="{00000000-0005-0000-0000-00005C310000}"/>
    <cellStyle name="20% - Accent6 86 36 2 2" xfId="12637" xr:uid="{00000000-0005-0000-0000-00005D310000}"/>
    <cellStyle name="20% - Accent6 86 36 3" xfId="12638" xr:uid="{00000000-0005-0000-0000-00005E310000}"/>
    <cellStyle name="20% - Accent6 86 4" xfId="12639" xr:uid="{00000000-0005-0000-0000-00005F310000}"/>
    <cellStyle name="20% - Accent6 86 4 2" xfId="12640" xr:uid="{00000000-0005-0000-0000-000060310000}"/>
    <cellStyle name="20% - Accent6 86 4 2 2" xfId="12641" xr:uid="{00000000-0005-0000-0000-000061310000}"/>
    <cellStyle name="20% - Accent6 86 4 3" xfId="12642" xr:uid="{00000000-0005-0000-0000-000062310000}"/>
    <cellStyle name="20% - Accent6 86 5" xfId="12643" xr:uid="{00000000-0005-0000-0000-000063310000}"/>
    <cellStyle name="20% - Accent6 86 5 2" xfId="12644" xr:uid="{00000000-0005-0000-0000-000064310000}"/>
    <cellStyle name="20% - Accent6 86 5 2 2" xfId="12645" xr:uid="{00000000-0005-0000-0000-000065310000}"/>
    <cellStyle name="20% - Accent6 86 5 3" xfId="12646" xr:uid="{00000000-0005-0000-0000-000066310000}"/>
    <cellStyle name="20% - Accent6 86 6" xfId="12647" xr:uid="{00000000-0005-0000-0000-000067310000}"/>
    <cellStyle name="20% - Accent6 86 6 2" xfId="12648" xr:uid="{00000000-0005-0000-0000-000068310000}"/>
    <cellStyle name="20% - Accent6 86 6 2 2" xfId="12649" xr:uid="{00000000-0005-0000-0000-000069310000}"/>
    <cellStyle name="20% - Accent6 86 6 3" xfId="12650" xr:uid="{00000000-0005-0000-0000-00006A310000}"/>
    <cellStyle name="20% - Accent6 86 7" xfId="12651" xr:uid="{00000000-0005-0000-0000-00006B310000}"/>
    <cellStyle name="20% - Accent6 86 7 2" xfId="12652" xr:uid="{00000000-0005-0000-0000-00006C310000}"/>
    <cellStyle name="20% - Accent6 86 7 2 2" xfId="12653" xr:uid="{00000000-0005-0000-0000-00006D310000}"/>
    <cellStyle name="20% - Accent6 86 7 3" xfId="12654" xr:uid="{00000000-0005-0000-0000-00006E310000}"/>
    <cellStyle name="20% - Accent6 86 8" xfId="12655" xr:uid="{00000000-0005-0000-0000-00006F310000}"/>
    <cellStyle name="20% - Accent6 86 8 2" xfId="12656" xr:uid="{00000000-0005-0000-0000-000070310000}"/>
    <cellStyle name="20% - Accent6 86 8 2 2" xfId="12657" xr:uid="{00000000-0005-0000-0000-000071310000}"/>
    <cellStyle name="20% - Accent6 86 8 3" xfId="12658" xr:uid="{00000000-0005-0000-0000-000072310000}"/>
    <cellStyle name="20% - Accent6 86 9" xfId="12659" xr:uid="{00000000-0005-0000-0000-000073310000}"/>
    <cellStyle name="20% - Accent6 86 9 2" xfId="12660" xr:uid="{00000000-0005-0000-0000-000074310000}"/>
    <cellStyle name="20% - Accent6 86 9 2 2" xfId="12661" xr:uid="{00000000-0005-0000-0000-000075310000}"/>
    <cellStyle name="20% - Accent6 86 9 3" xfId="12662" xr:uid="{00000000-0005-0000-0000-000076310000}"/>
    <cellStyle name="20% - Accent6 87" xfId="12663" xr:uid="{00000000-0005-0000-0000-000077310000}"/>
    <cellStyle name="20% - Accent6 87 10" xfId="12664" xr:uid="{00000000-0005-0000-0000-000078310000}"/>
    <cellStyle name="20% - Accent6 87 10 2" xfId="12665" xr:uid="{00000000-0005-0000-0000-000079310000}"/>
    <cellStyle name="20% - Accent6 87 10 2 2" xfId="12666" xr:uid="{00000000-0005-0000-0000-00007A310000}"/>
    <cellStyle name="20% - Accent6 87 10 3" xfId="12667" xr:uid="{00000000-0005-0000-0000-00007B310000}"/>
    <cellStyle name="20% - Accent6 87 11" xfId="12668" xr:uid="{00000000-0005-0000-0000-00007C310000}"/>
    <cellStyle name="20% - Accent6 87 11 2" xfId="12669" xr:uid="{00000000-0005-0000-0000-00007D310000}"/>
    <cellStyle name="20% - Accent6 87 11 2 2" xfId="12670" xr:uid="{00000000-0005-0000-0000-00007E310000}"/>
    <cellStyle name="20% - Accent6 87 11 3" xfId="12671" xr:uid="{00000000-0005-0000-0000-00007F310000}"/>
    <cellStyle name="20% - Accent6 87 12" xfId="12672" xr:uid="{00000000-0005-0000-0000-000080310000}"/>
    <cellStyle name="20% - Accent6 87 12 2" xfId="12673" xr:uid="{00000000-0005-0000-0000-000081310000}"/>
    <cellStyle name="20% - Accent6 87 12 2 2" xfId="12674" xr:uid="{00000000-0005-0000-0000-000082310000}"/>
    <cellStyle name="20% - Accent6 87 12 3" xfId="12675" xr:uid="{00000000-0005-0000-0000-000083310000}"/>
    <cellStyle name="20% - Accent6 87 13" xfId="12676" xr:uid="{00000000-0005-0000-0000-000084310000}"/>
    <cellStyle name="20% - Accent6 87 13 2" xfId="12677" xr:uid="{00000000-0005-0000-0000-000085310000}"/>
    <cellStyle name="20% - Accent6 87 13 2 2" xfId="12678" xr:uid="{00000000-0005-0000-0000-000086310000}"/>
    <cellStyle name="20% - Accent6 87 13 3" xfId="12679" xr:uid="{00000000-0005-0000-0000-000087310000}"/>
    <cellStyle name="20% - Accent6 87 14" xfId="12680" xr:uid="{00000000-0005-0000-0000-000088310000}"/>
    <cellStyle name="20% - Accent6 87 14 2" xfId="12681" xr:uid="{00000000-0005-0000-0000-000089310000}"/>
    <cellStyle name="20% - Accent6 87 14 2 2" xfId="12682" xr:uid="{00000000-0005-0000-0000-00008A310000}"/>
    <cellStyle name="20% - Accent6 87 14 3" xfId="12683" xr:uid="{00000000-0005-0000-0000-00008B310000}"/>
    <cellStyle name="20% - Accent6 87 15" xfId="12684" xr:uid="{00000000-0005-0000-0000-00008C310000}"/>
    <cellStyle name="20% - Accent6 87 15 2" xfId="12685" xr:uid="{00000000-0005-0000-0000-00008D310000}"/>
    <cellStyle name="20% - Accent6 87 15 2 2" xfId="12686" xr:uid="{00000000-0005-0000-0000-00008E310000}"/>
    <cellStyle name="20% - Accent6 87 15 3" xfId="12687" xr:uid="{00000000-0005-0000-0000-00008F310000}"/>
    <cellStyle name="20% - Accent6 87 16" xfId="12688" xr:uid="{00000000-0005-0000-0000-000090310000}"/>
    <cellStyle name="20% - Accent6 87 16 2" xfId="12689" xr:uid="{00000000-0005-0000-0000-000091310000}"/>
    <cellStyle name="20% - Accent6 87 16 2 2" xfId="12690" xr:uid="{00000000-0005-0000-0000-000092310000}"/>
    <cellStyle name="20% - Accent6 87 16 3" xfId="12691" xr:uid="{00000000-0005-0000-0000-000093310000}"/>
    <cellStyle name="20% - Accent6 87 17" xfId="12692" xr:uid="{00000000-0005-0000-0000-000094310000}"/>
    <cellStyle name="20% - Accent6 87 17 2" xfId="12693" xr:uid="{00000000-0005-0000-0000-000095310000}"/>
    <cellStyle name="20% - Accent6 87 17 2 2" xfId="12694" xr:uid="{00000000-0005-0000-0000-000096310000}"/>
    <cellStyle name="20% - Accent6 87 17 3" xfId="12695" xr:uid="{00000000-0005-0000-0000-000097310000}"/>
    <cellStyle name="20% - Accent6 87 18" xfId="12696" xr:uid="{00000000-0005-0000-0000-000098310000}"/>
    <cellStyle name="20% - Accent6 87 18 2" xfId="12697" xr:uid="{00000000-0005-0000-0000-000099310000}"/>
    <cellStyle name="20% - Accent6 87 18 2 2" xfId="12698" xr:uid="{00000000-0005-0000-0000-00009A310000}"/>
    <cellStyle name="20% - Accent6 87 18 3" xfId="12699" xr:uid="{00000000-0005-0000-0000-00009B310000}"/>
    <cellStyle name="20% - Accent6 87 19" xfId="12700" xr:uid="{00000000-0005-0000-0000-00009C310000}"/>
    <cellStyle name="20% - Accent6 87 19 2" xfId="12701" xr:uid="{00000000-0005-0000-0000-00009D310000}"/>
    <cellStyle name="20% - Accent6 87 19 2 2" xfId="12702" xr:uid="{00000000-0005-0000-0000-00009E310000}"/>
    <cellStyle name="20% - Accent6 87 19 3" xfId="12703" xr:uid="{00000000-0005-0000-0000-00009F310000}"/>
    <cellStyle name="20% - Accent6 87 2" xfId="12704" xr:uid="{00000000-0005-0000-0000-0000A0310000}"/>
    <cellStyle name="20% - Accent6 87 2 2" xfId="12705" xr:uid="{00000000-0005-0000-0000-0000A1310000}"/>
    <cellStyle name="20% - Accent6 87 2 2 2" xfId="12706" xr:uid="{00000000-0005-0000-0000-0000A2310000}"/>
    <cellStyle name="20% - Accent6 87 2 3" xfId="12707" xr:uid="{00000000-0005-0000-0000-0000A3310000}"/>
    <cellStyle name="20% - Accent6 87 20" xfId="12708" xr:uid="{00000000-0005-0000-0000-0000A4310000}"/>
    <cellStyle name="20% - Accent6 87 20 2" xfId="12709" xr:uid="{00000000-0005-0000-0000-0000A5310000}"/>
    <cellStyle name="20% - Accent6 87 20 2 2" xfId="12710" xr:uid="{00000000-0005-0000-0000-0000A6310000}"/>
    <cellStyle name="20% - Accent6 87 20 3" xfId="12711" xr:uid="{00000000-0005-0000-0000-0000A7310000}"/>
    <cellStyle name="20% - Accent6 87 21" xfId="12712" xr:uid="{00000000-0005-0000-0000-0000A8310000}"/>
    <cellStyle name="20% - Accent6 87 21 2" xfId="12713" xr:uid="{00000000-0005-0000-0000-0000A9310000}"/>
    <cellStyle name="20% - Accent6 87 21 2 2" xfId="12714" xr:uid="{00000000-0005-0000-0000-0000AA310000}"/>
    <cellStyle name="20% - Accent6 87 21 3" xfId="12715" xr:uid="{00000000-0005-0000-0000-0000AB310000}"/>
    <cellStyle name="20% - Accent6 87 22" xfId="12716" xr:uid="{00000000-0005-0000-0000-0000AC310000}"/>
    <cellStyle name="20% - Accent6 87 22 2" xfId="12717" xr:uid="{00000000-0005-0000-0000-0000AD310000}"/>
    <cellStyle name="20% - Accent6 87 22 2 2" xfId="12718" xr:uid="{00000000-0005-0000-0000-0000AE310000}"/>
    <cellStyle name="20% - Accent6 87 22 3" xfId="12719" xr:uid="{00000000-0005-0000-0000-0000AF310000}"/>
    <cellStyle name="20% - Accent6 87 23" xfId="12720" xr:uid="{00000000-0005-0000-0000-0000B0310000}"/>
    <cellStyle name="20% - Accent6 87 23 2" xfId="12721" xr:uid="{00000000-0005-0000-0000-0000B1310000}"/>
    <cellStyle name="20% - Accent6 87 23 2 2" xfId="12722" xr:uid="{00000000-0005-0000-0000-0000B2310000}"/>
    <cellStyle name="20% - Accent6 87 23 3" xfId="12723" xr:uid="{00000000-0005-0000-0000-0000B3310000}"/>
    <cellStyle name="20% - Accent6 87 24" xfId="12724" xr:uid="{00000000-0005-0000-0000-0000B4310000}"/>
    <cellStyle name="20% - Accent6 87 24 2" xfId="12725" xr:uid="{00000000-0005-0000-0000-0000B5310000}"/>
    <cellStyle name="20% - Accent6 87 24 2 2" xfId="12726" xr:uid="{00000000-0005-0000-0000-0000B6310000}"/>
    <cellStyle name="20% - Accent6 87 24 3" xfId="12727" xr:uid="{00000000-0005-0000-0000-0000B7310000}"/>
    <cellStyle name="20% - Accent6 87 25" xfId="12728" xr:uid="{00000000-0005-0000-0000-0000B8310000}"/>
    <cellStyle name="20% - Accent6 87 25 2" xfId="12729" xr:uid="{00000000-0005-0000-0000-0000B9310000}"/>
    <cellStyle name="20% - Accent6 87 25 2 2" xfId="12730" xr:uid="{00000000-0005-0000-0000-0000BA310000}"/>
    <cellStyle name="20% - Accent6 87 25 3" xfId="12731" xr:uid="{00000000-0005-0000-0000-0000BB310000}"/>
    <cellStyle name="20% - Accent6 87 26" xfId="12732" xr:uid="{00000000-0005-0000-0000-0000BC310000}"/>
    <cellStyle name="20% - Accent6 87 26 2" xfId="12733" xr:uid="{00000000-0005-0000-0000-0000BD310000}"/>
    <cellStyle name="20% - Accent6 87 26 2 2" xfId="12734" xr:uid="{00000000-0005-0000-0000-0000BE310000}"/>
    <cellStyle name="20% - Accent6 87 26 3" xfId="12735" xr:uid="{00000000-0005-0000-0000-0000BF310000}"/>
    <cellStyle name="20% - Accent6 87 27" xfId="12736" xr:uid="{00000000-0005-0000-0000-0000C0310000}"/>
    <cellStyle name="20% - Accent6 87 27 2" xfId="12737" xr:uid="{00000000-0005-0000-0000-0000C1310000}"/>
    <cellStyle name="20% - Accent6 87 27 2 2" xfId="12738" xr:uid="{00000000-0005-0000-0000-0000C2310000}"/>
    <cellStyle name="20% - Accent6 87 27 3" xfId="12739" xr:uid="{00000000-0005-0000-0000-0000C3310000}"/>
    <cellStyle name="20% - Accent6 87 28" xfId="12740" xr:uid="{00000000-0005-0000-0000-0000C4310000}"/>
    <cellStyle name="20% - Accent6 87 28 2" xfId="12741" xr:uid="{00000000-0005-0000-0000-0000C5310000}"/>
    <cellStyle name="20% - Accent6 87 28 2 2" xfId="12742" xr:uid="{00000000-0005-0000-0000-0000C6310000}"/>
    <cellStyle name="20% - Accent6 87 28 3" xfId="12743" xr:uid="{00000000-0005-0000-0000-0000C7310000}"/>
    <cellStyle name="20% - Accent6 87 29" xfId="12744" xr:uid="{00000000-0005-0000-0000-0000C8310000}"/>
    <cellStyle name="20% - Accent6 87 29 2" xfId="12745" xr:uid="{00000000-0005-0000-0000-0000C9310000}"/>
    <cellStyle name="20% - Accent6 87 29 2 2" xfId="12746" xr:uid="{00000000-0005-0000-0000-0000CA310000}"/>
    <cellStyle name="20% - Accent6 87 29 3" xfId="12747" xr:uid="{00000000-0005-0000-0000-0000CB310000}"/>
    <cellStyle name="20% - Accent6 87 3" xfId="12748" xr:uid="{00000000-0005-0000-0000-0000CC310000}"/>
    <cellStyle name="20% - Accent6 87 3 2" xfId="12749" xr:uid="{00000000-0005-0000-0000-0000CD310000}"/>
    <cellStyle name="20% - Accent6 87 3 2 2" xfId="12750" xr:uid="{00000000-0005-0000-0000-0000CE310000}"/>
    <cellStyle name="20% - Accent6 87 3 3" xfId="12751" xr:uid="{00000000-0005-0000-0000-0000CF310000}"/>
    <cellStyle name="20% - Accent6 87 30" xfId="12752" xr:uid="{00000000-0005-0000-0000-0000D0310000}"/>
    <cellStyle name="20% - Accent6 87 30 2" xfId="12753" xr:uid="{00000000-0005-0000-0000-0000D1310000}"/>
    <cellStyle name="20% - Accent6 87 30 2 2" xfId="12754" xr:uid="{00000000-0005-0000-0000-0000D2310000}"/>
    <cellStyle name="20% - Accent6 87 30 3" xfId="12755" xr:uid="{00000000-0005-0000-0000-0000D3310000}"/>
    <cellStyle name="20% - Accent6 87 31" xfId="12756" xr:uid="{00000000-0005-0000-0000-0000D4310000}"/>
    <cellStyle name="20% - Accent6 87 31 2" xfId="12757" xr:uid="{00000000-0005-0000-0000-0000D5310000}"/>
    <cellStyle name="20% - Accent6 87 31 2 2" xfId="12758" xr:uid="{00000000-0005-0000-0000-0000D6310000}"/>
    <cellStyle name="20% - Accent6 87 31 3" xfId="12759" xr:uid="{00000000-0005-0000-0000-0000D7310000}"/>
    <cellStyle name="20% - Accent6 87 32" xfId="12760" xr:uid="{00000000-0005-0000-0000-0000D8310000}"/>
    <cellStyle name="20% - Accent6 87 32 2" xfId="12761" xr:uid="{00000000-0005-0000-0000-0000D9310000}"/>
    <cellStyle name="20% - Accent6 87 32 2 2" xfId="12762" xr:uid="{00000000-0005-0000-0000-0000DA310000}"/>
    <cellStyle name="20% - Accent6 87 32 3" xfId="12763" xr:uid="{00000000-0005-0000-0000-0000DB310000}"/>
    <cellStyle name="20% - Accent6 87 33" xfId="12764" xr:uid="{00000000-0005-0000-0000-0000DC310000}"/>
    <cellStyle name="20% - Accent6 87 33 2" xfId="12765" xr:uid="{00000000-0005-0000-0000-0000DD310000}"/>
    <cellStyle name="20% - Accent6 87 33 2 2" xfId="12766" xr:uid="{00000000-0005-0000-0000-0000DE310000}"/>
    <cellStyle name="20% - Accent6 87 33 3" xfId="12767" xr:uid="{00000000-0005-0000-0000-0000DF310000}"/>
    <cellStyle name="20% - Accent6 87 34" xfId="12768" xr:uid="{00000000-0005-0000-0000-0000E0310000}"/>
    <cellStyle name="20% - Accent6 87 34 2" xfId="12769" xr:uid="{00000000-0005-0000-0000-0000E1310000}"/>
    <cellStyle name="20% - Accent6 87 34 2 2" xfId="12770" xr:uid="{00000000-0005-0000-0000-0000E2310000}"/>
    <cellStyle name="20% - Accent6 87 34 3" xfId="12771" xr:uid="{00000000-0005-0000-0000-0000E3310000}"/>
    <cellStyle name="20% - Accent6 87 35" xfId="12772" xr:uid="{00000000-0005-0000-0000-0000E4310000}"/>
    <cellStyle name="20% - Accent6 87 35 2" xfId="12773" xr:uid="{00000000-0005-0000-0000-0000E5310000}"/>
    <cellStyle name="20% - Accent6 87 35 2 2" xfId="12774" xr:uid="{00000000-0005-0000-0000-0000E6310000}"/>
    <cellStyle name="20% - Accent6 87 35 3" xfId="12775" xr:uid="{00000000-0005-0000-0000-0000E7310000}"/>
    <cellStyle name="20% - Accent6 87 36" xfId="12776" xr:uid="{00000000-0005-0000-0000-0000E8310000}"/>
    <cellStyle name="20% - Accent6 87 36 2" xfId="12777" xr:uid="{00000000-0005-0000-0000-0000E9310000}"/>
    <cellStyle name="20% - Accent6 87 36 2 2" xfId="12778" xr:uid="{00000000-0005-0000-0000-0000EA310000}"/>
    <cellStyle name="20% - Accent6 87 36 3" xfId="12779" xr:uid="{00000000-0005-0000-0000-0000EB310000}"/>
    <cellStyle name="20% - Accent6 87 4" xfId="12780" xr:uid="{00000000-0005-0000-0000-0000EC310000}"/>
    <cellStyle name="20% - Accent6 87 4 2" xfId="12781" xr:uid="{00000000-0005-0000-0000-0000ED310000}"/>
    <cellStyle name="20% - Accent6 87 4 2 2" xfId="12782" xr:uid="{00000000-0005-0000-0000-0000EE310000}"/>
    <cellStyle name="20% - Accent6 87 4 3" xfId="12783" xr:uid="{00000000-0005-0000-0000-0000EF310000}"/>
    <cellStyle name="20% - Accent6 87 5" xfId="12784" xr:uid="{00000000-0005-0000-0000-0000F0310000}"/>
    <cellStyle name="20% - Accent6 87 5 2" xfId="12785" xr:uid="{00000000-0005-0000-0000-0000F1310000}"/>
    <cellStyle name="20% - Accent6 87 5 2 2" xfId="12786" xr:uid="{00000000-0005-0000-0000-0000F2310000}"/>
    <cellStyle name="20% - Accent6 87 5 3" xfId="12787" xr:uid="{00000000-0005-0000-0000-0000F3310000}"/>
    <cellStyle name="20% - Accent6 87 6" xfId="12788" xr:uid="{00000000-0005-0000-0000-0000F4310000}"/>
    <cellStyle name="20% - Accent6 87 6 2" xfId="12789" xr:uid="{00000000-0005-0000-0000-0000F5310000}"/>
    <cellStyle name="20% - Accent6 87 6 2 2" xfId="12790" xr:uid="{00000000-0005-0000-0000-0000F6310000}"/>
    <cellStyle name="20% - Accent6 87 6 3" xfId="12791" xr:uid="{00000000-0005-0000-0000-0000F7310000}"/>
    <cellStyle name="20% - Accent6 87 7" xfId="12792" xr:uid="{00000000-0005-0000-0000-0000F8310000}"/>
    <cellStyle name="20% - Accent6 87 7 2" xfId="12793" xr:uid="{00000000-0005-0000-0000-0000F9310000}"/>
    <cellStyle name="20% - Accent6 87 7 2 2" xfId="12794" xr:uid="{00000000-0005-0000-0000-0000FA310000}"/>
    <cellStyle name="20% - Accent6 87 7 3" xfId="12795" xr:uid="{00000000-0005-0000-0000-0000FB310000}"/>
    <cellStyle name="20% - Accent6 87 8" xfId="12796" xr:uid="{00000000-0005-0000-0000-0000FC310000}"/>
    <cellStyle name="20% - Accent6 87 8 2" xfId="12797" xr:uid="{00000000-0005-0000-0000-0000FD310000}"/>
    <cellStyle name="20% - Accent6 87 8 2 2" xfId="12798" xr:uid="{00000000-0005-0000-0000-0000FE310000}"/>
    <cellStyle name="20% - Accent6 87 8 3" xfId="12799" xr:uid="{00000000-0005-0000-0000-0000FF310000}"/>
    <cellStyle name="20% - Accent6 87 9" xfId="12800" xr:uid="{00000000-0005-0000-0000-000000320000}"/>
    <cellStyle name="20% - Accent6 87 9 2" xfId="12801" xr:uid="{00000000-0005-0000-0000-000001320000}"/>
    <cellStyle name="20% - Accent6 87 9 2 2" xfId="12802" xr:uid="{00000000-0005-0000-0000-000002320000}"/>
    <cellStyle name="20% - Accent6 87 9 3" xfId="12803" xr:uid="{00000000-0005-0000-0000-000003320000}"/>
    <cellStyle name="20% - Accent6 88" xfId="12804" xr:uid="{00000000-0005-0000-0000-000004320000}"/>
    <cellStyle name="20% - Accent6 88 10" xfId="12805" xr:uid="{00000000-0005-0000-0000-000005320000}"/>
    <cellStyle name="20% - Accent6 88 10 2" xfId="12806" xr:uid="{00000000-0005-0000-0000-000006320000}"/>
    <cellStyle name="20% - Accent6 88 10 2 2" xfId="12807" xr:uid="{00000000-0005-0000-0000-000007320000}"/>
    <cellStyle name="20% - Accent6 88 10 3" xfId="12808" xr:uid="{00000000-0005-0000-0000-000008320000}"/>
    <cellStyle name="20% - Accent6 88 11" xfId="12809" xr:uid="{00000000-0005-0000-0000-000009320000}"/>
    <cellStyle name="20% - Accent6 88 11 2" xfId="12810" xr:uid="{00000000-0005-0000-0000-00000A320000}"/>
    <cellStyle name="20% - Accent6 88 11 2 2" xfId="12811" xr:uid="{00000000-0005-0000-0000-00000B320000}"/>
    <cellStyle name="20% - Accent6 88 11 3" xfId="12812" xr:uid="{00000000-0005-0000-0000-00000C320000}"/>
    <cellStyle name="20% - Accent6 88 12" xfId="12813" xr:uid="{00000000-0005-0000-0000-00000D320000}"/>
    <cellStyle name="20% - Accent6 88 12 2" xfId="12814" xr:uid="{00000000-0005-0000-0000-00000E320000}"/>
    <cellStyle name="20% - Accent6 88 12 2 2" xfId="12815" xr:uid="{00000000-0005-0000-0000-00000F320000}"/>
    <cellStyle name="20% - Accent6 88 12 3" xfId="12816" xr:uid="{00000000-0005-0000-0000-000010320000}"/>
    <cellStyle name="20% - Accent6 88 13" xfId="12817" xr:uid="{00000000-0005-0000-0000-000011320000}"/>
    <cellStyle name="20% - Accent6 88 13 2" xfId="12818" xr:uid="{00000000-0005-0000-0000-000012320000}"/>
    <cellStyle name="20% - Accent6 88 13 2 2" xfId="12819" xr:uid="{00000000-0005-0000-0000-000013320000}"/>
    <cellStyle name="20% - Accent6 88 13 3" xfId="12820" xr:uid="{00000000-0005-0000-0000-000014320000}"/>
    <cellStyle name="20% - Accent6 88 14" xfId="12821" xr:uid="{00000000-0005-0000-0000-000015320000}"/>
    <cellStyle name="20% - Accent6 88 14 2" xfId="12822" xr:uid="{00000000-0005-0000-0000-000016320000}"/>
    <cellStyle name="20% - Accent6 88 14 2 2" xfId="12823" xr:uid="{00000000-0005-0000-0000-000017320000}"/>
    <cellStyle name="20% - Accent6 88 14 3" xfId="12824" xr:uid="{00000000-0005-0000-0000-000018320000}"/>
    <cellStyle name="20% - Accent6 88 15" xfId="12825" xr:uid="{00000000-0005-0000-0000-000019320000}"/>
    <cellStyle name="20% - Accent6 88 15 2" xfId="12826" xr:uid="{00000000-0005-0000-0000-00001A320000}"/>
    <cellStyle name="20% - Accent6 88 15 2 2" xfId="12827" xr:uid="{00000000-0005-0000-0000-00001B320000}"/>
    <cellStyle name="20% - Accent6 88 15 3" xfId="12828" xr:uid="{00000000-0005-0000-0000-00001C320000}"/>
    <cellStyle name="20% - Accent6 88 16" xfId="12829" xr:uid="{00000000-0005-0000-0000-00001D320000}"/>
    <cellStyle name="20% - Accent6 88 16 2" xfId="12830" xr:uid="{00000000-0005-0000-0000-00001E320000}"/>
    <cellStyle name="20% - Accent6 88 16 2 2" xfId="12831" xr:uid="{00000000-0005-0000-0000-00001F320000}"/>
    <cellStyle name="20% - Accent6 88 16 3" xfId="12832" xr:uid="{00000000-0005-0000-0000-000020320000}"/>
    <cellStyle name="20% - Accent6 88 17" xfId="12833" xr:uid="{00000000-0005-0000-0000-000021320000}"/>
    <cellStyle name="20% - Accent6 88 17 2" xfId="12834" xr:uid="{00000000-0005-0000-0000-000022320000}"/>
    <cellStyle name="20% - Accent6 88 17 2 2" xfId="12835" xr:uid="{00000000-0005-0000-0000-000023320000}"/>
    <cellStyle name="20% - Accent6 88 17 3" xfId="12836" xr:uid="{00000000-0005-0000-0000-000024320000}"/>
    <cellStyle name="20% - Accent6 88 18" xfId="12837" xr:uid="{00000000-0005-0000-0000-000025320000}"/>
    <cellStyle name="20% - Accent6 88 18 2" xfId="12838" xr:uid="{00000000-0005-0000-0000-000026320000}"/>
    <cellStyle name="20% - Accent6 88 18 2 2" xfId="12839" xr:uid="{00000000-0005-0000-0000-000027320000}"/>
    <cellStyle name="20% - Accent6 88 18 3" xfId="12840" xr:uid="{00000000-0005-0000-0000-000028320000}"/>
    <cellStyle name="20% - Accent6 88 19" xfId="12841" xr:uid="{00000000-0005-0000-0000-000029320000}"/>
    <cellStyle name="20% - Accent6 88 19 2" xfId="12842" xr:uid="{00000000-0005-0000-0000-00002A320000}"/>
    <cellStyle name="20% - Accent6 88 19 2 2" xfId="12843" xr:uid="{00000000-0005-0000-0000-00002B320000}"/>
    <cellStyle name="20% - Accent6 88 19 3" xfId="12844" xr:uid="{00000000-0005-0000-0000-00002C320000}"/>
    <cellStyle name="20% - Accent6 88 2" xfId="12845" xr:uid="{00000000-0005-0000-0000-00002D320000}"/>
    <cellStyle name="20% - Accent6 88 2 2" xfId="12846" xr:uid="{00000000-0005-0000-0000-00002E320000}"/>
    <cellStyle name="20% - Accent6 88 2 2 2" xfId="12847" xr:uid="{00000000-0005-0000-0000-00002F320000}"/>
    <cellStyle name="20% - Accent6 88 2 3" xfId="12848" xr:uid="{00000000-0005-0000-0000-000030320000}"/>
    <cellStyle name="20% - Accent6 88 20" xfId="12849" xr:uid="{00000000-0005-0000-0000-000031320000}"/>
    <cellStyle name="20% - Accent6 88 20 2" xfId="12850" xr:uid="{00000000-0005-0000-0000-000032320000}"/>
    <cellStyle name="20% - Accent6 88 20 2 2" xfId="12851" xr:uid="{00000000-0005-0000-0000-000033320000}"/>
    <cellStyle name="20% - Accent6 88 20 3" xfId="12852" xr:uid="{00000000-0005-0000-0000-000034320000}"/>
    <cellStyle name="20% - Accent6 88 21" xfId="12853" xr:uid="{00000000-0005-0000-0000-000035320000}"/>
    <cellStyle name="20% - Accent6 88 21 2" xfId="12854" xr:uid="{00000000-0005-0000-0000-000036320000}"/>
    <cellStyle name="20% - Accent6 88 21 2 2" xfId="12855" xr:uid="{00000000-0005-0000-0000-000037320000}"/>
    <cellStyle name="20% - Accent6 88 21 3" xfId="12856" xr:uid="{00000000-0005-0000-0000-000038320000}"/>
    <cellStyle name="20% - Accent6 88 22" xfId="12857" xr:uid="{00000000-0005-0000-0000-000039320000}"/>
    <cellStyle name="20% - Accent6 88 22 2" xfId="12858" xr:uid="{00000000-0005-0000-0000-00003A320000}"/>
    <cellStyle name="20% - Accent6 88 22 2 2" xfId="12859" xr:uid="{00000000-0005-0000-0000-00003B320000}"/>
    <cellStyle name="20% - Accent6 88 22 3" xfId="12860" xr:uid="{00000000-0005-0000-0000-00003C320000}"/>
    <cellStyle name="20% - Accent6 88 23" xfId="12861" xr:uid="{00000000-0005-0000-0000-00003D320000}"/>
    <cellStyle name="20% - Accent6 88 23 2" xfId="12862" xr:uid="{00000000-0005-0000-0000-00003E320000}"/>
    <cellStyle name="20% - Accent6 88 23 2 2" xfId="12863" xr:uid="{00000000-0005-0000-0000-00003F320000}"/>
    <cellStyle name="20% - Accent6 88 23 3" xfId="12864" xr:uid="{00000000-0005-0000-0000-000040320000}"/>
    <cellStyle name="20% - Accent6 88 24" xfId="12865" xr:uid="{00000000-0005-0000-0000-000041320000}"/>
    <cellStyle name="20% - Accent6 88 24 2" xfId="12866" xr:uid="{00000000-0005-0000-0000-000042320000}"/>
    <cellStyle name="20% - Accent6 88 24 2 2" xfId="12867" xr:uid="{00000000-0005-0000-0000-000043320000}"/>
    <cellStyle name="20% - Accent6 88 24 3" xfId="12868" xr:uid="{00000000-0005-0000-0000-000044320000}"/>
    <cellStyle name="20% - Accent6 88 25" xfId="12869" xr:uid="{00000000-0005-0000-0000-000045320000}"/>
    <cellStyle name="20% - Accent6 88 25 2" xfId="12870" xr:uid="{00000000-0005-0000-0000-000046320000}"/>
    <cellStyle name="20% - Accent6 88 25 2 2" xfId="12871" xr:uid="{00000000-0005-0000-0000-000047320000}"/>
    <cellStyle name="20% - Accent6 88 25 3" xfId="12872" xr:uid="{00000000-0005-0000-0000-000048320000}"/>
    <cellStyle name="20% - Accent6 88 26" xfId="12873" xr:uid="{00000000-0005-0000-0000-000049320000}"/>
    <cellStyle name="20% - Accent6 88 26 2" xfId="12874" xr:uid="{00000000-0005-0000-0000-00004A320000}"/>
    <cellStyle name="20% - Accent6 88 26 2 2" xfId="12875" xr:uid="{00000000-0005-0000-0000-00004B320000}"/>
    <cellStyle name="20% - Accent6 88 26 3" xfId="12876" xr:uid="{00000000-0005-0000-0000-00004C320000}"/>
    <cellStyle name="20% - Accent6 88 27" xfId="12877" xr:uid="{00000000-0005-0000-0000-00004D320000}"/>
    <cellStyle name="20% - Accent6 88 27 2" xfId="12878" xr:uid="{00000000-0005-0000-0000-00004E320000}"/>
    <cellStyle name="20% - Accent6 88 27 2 2" xfId="12879" xr:uid="{00000000-0005-0000-0000-00004F320000}"/>
    <cellStyle name="20% - Accent6 88 27 3" xfId="12880" xr:uid="{00000000-0005-0000-0000-000050320000}"/>
    <cellStyle name="20% - Accent6 88 28" xfId="12881" xr:uid="{00000000-0005-0000-0000-000051320000}"/>
    <cellStyle name="20% - Accent6 88 28 2" xfId="12882" xr:uid="{00000000-0005-0000-0000-000052320000}"/>
    <cellStyle name="20% - Accent6 88 28 2 2" xfId="12883" xr:uid="{00000000-0005-0000-0000-000053320000}"/>
    <cellStyle name="20% - Accent6 88 28 3" xfId="12884" xr:uid="{00000000-0005-0000-0000-000054320000}"/>
    <cellStyle name="20% - Accent6 88 29" xfId="12885" xr:uid="{00000000-0005-0000-0000-000055320000}"/>
    <cellStyle name="20% - Accent6 88 29 2" xfId="12886" xr:uid="{00000000-0005-0000-0000-000056320000}"/>
    <cellStyle name="20% - Accent6 88 29 2 2" xfId="12887" xr:uid="{00000000-0005-0000-0000-000057320000}"/>
    <cellStyle name="20% - Accent6 88 29 3" xfId="12888" xr:uid="{00000000-0005-0000-0000-000058320000}"/>
    <cellStyle name="20% - Accent6 88 3" xfId="12889" xr:uid="{00000000-0005-0000-0000-000059320000}"/>
    <cellStyle name="20% - Accent6 88 3 2" xfId="12890" xr:uid="{00000000-0005-0000-0000-00005A320000}"/>
    <cellStyle name="20% - Accent6 88 3 2 2" xfId="12891" xr:uid="{00000000-0005-0000-0000-00005B320000}"/>
    <cellStyle name="20% - Accent6 88 3 3" xfId="12892" xr:uid="{00000000-0005-0000-0000-00005C320000}"/>
    <cellStyle name="20% - Accent6 88 30" xfId="12893" xr:uid="{00000000-0005-0000-0000-00005D320000}"/>
    <cellStyle name="20% - Accent6 88 30 2" xfId="12894" xr:uid="{00000000-0005-0000-0000-00005E320000}"/>
    <cellStyle name="20% - Accent6 88 30 2 2" xfId="12895" xr:uid="{00000000-0005-0000-0000-00005F320000}"/>
    <cellStyle name="20% - Accent6 88 30 3" xfId="12896" xr:uid="{00000000-0005-0000-0000-000060320000}"/>
    <cellStyle name="20% - Accent6 88 31" xfId="12897" xr:uid="{00000000-0005-0000-0000-000061320000}"/>
    <cellStyle name="20% - Accent6 88 31 2" xfId="12898" xr:uid="{00000000-0005-0000-0000-000062320000}"/>
    <cellStyle name="20% - Accent6 88 31 2 2" xfId="12899" xr:uid="{00000000-0005-0000-0000-000063320000}"/>
    <cellStyle name="20% - Accent6 88 31 3" xfId="12900" xr:uid="{00000000-0005-0000-0000-000064320000}"/>
    <cellStyle name="20% - Accent6 88 32" xfId="12901" xr:uid="{00000000-0005-0000-0000-000065320000}"/>
    <cellStyle name="20% - Accent6 88 32 2" xfId="12902" xr:uid="{00000000-0005-0000-0000-000066320000}"/>
    <cellStyle name="20% - Accent6 88 32 2 2" xfId="12903" xr:uid="{00000000-0005-0000-0000-000067320000}"/>
    <cellStyle name="20% - Accent6 88 32 3" xfId="12904" xr:uid="{00000000-0005-0000-0000-000068320000}"/>
    <cellStyle name="20% - Accent6 88 33" xfId="12905" xr:uid="{00000000-0005-0000-0000-000069320000}"/>
    <cellStyle name="20% - Accent6 88 33 2" xfId="12906" xr:uid="{00000000-0005-0000-0000-00006A320000}"/>
    <cellStyle name="20% - Accent6 88 33 2 2" xfId="12907" xr:uid="{00000000-0005-0000-0000-00006B320000}"/>
    <cellStyle name="20% - Accent6 88 33 3" xfId="12908" xr:uid="{00000000-0005-0000-0000-00006C320000}"/>
    <cellStyle name="20% - Accent6 88 34" xfId="12909" xr:uid="{00000000-0005-0000-0000-00006D320000}"/>
    <cellStyle name="20% - Accent6 88 34 2" xfId="12910" xr:uid="{00000000-0005-0000-0000-00006E320000}"/>
    <cellStyle name="20% - Accent6 88 34 2 2" xfId="12911" xr:uid="{00000000-0005-0000-0000-00006F320000}"/>
    <cellStyle name="20% - Accent6 88 34 3" xfId="12912" xr:uid="{00000000-0005-0000-0000-000070320000}"/>
    <cellStyle name="20% - Accent6 88 35" xfId="12913" xr:uid="{00000000-0005-0000-0000-000071320000}"/>
    <cellStyle name="20% - Accent6 88 35 2" xfId="12914" xr:uid="{00000000-0005-0000-0000-000072320000}"/>
    <cellStyle name="20% - Accent6 88 35 2 2" xfId="12915" xr:uid="{00000000-0005-0000-0000-000073320000}"/>
    <cellStyle name="20% - Accent6 88 35 3" xfId="12916" xr:uid="{00000000-0005-0000-0000-000074320000}"/>
    <cellStyle name="20% - Accent6 88 36" xfId="12917" xr:uid="{00000000-0005-0000-0000-000075320000}"/>
    <cellStyle name="20% - Accent6 88 36 2" xfId="12918" xr:uid="{00000000-0005-0000-0000-000076320000}"/>
    <cellStyle name="20% - Accent6 88 36 2 2" xfId="12919" xr:uid="{00000000-0005-0000-0000-000077320000}"/>
    <cellStyle name="20% - Accent6 88 36 3" xfId="12920" xr:uid="{00000000-0005-0000-0000-000078320000}"/>
    <cellStyle name="20% - Accent6 88 37" xfId="12921" xr:uid="{00000000-0005-0000-0000-000079320000}"/>
    <cellStyle name="20% - Accent6 88 37 2" xfId="12922" xr:uid="{00000000-0005-0000-0000-00007A320000}"/>
    <cellStyle name="20% - Accent6 88 38" xfId="12923" xr:uid="{00000000-0005-0000-0000-00007B320000}"/>
    <cellStyle name="20% - Accent6 88 4" xfId="12924" xr:uid="{00000000-0005-0000-0000-00007C320000}"/>
    <cellStyle name="20% - Accent6 88 4 2" xfId="12925" xr:uid="{00000000-0005-0000-0000-00007D320000}"/>
    <cellStyle name="20% - Accent6 88 4 2 2" xfId="12926" xr:uid="{00000000-0005-0000-0000-00007E320000}"/>
    <cellStyle name="20% - Accent6 88 4 3" xfId="12927" xr:uid="{00000000-0005-0000-0000-00007F320000}"/>
    <cellStyle name="20% - Accent6 88 5" xfId="12928" xr:uid="{00000000-0005-0000-0000-000080320000}"/>
    <cellStyle name="20% - Accent6 88 5 2" xfId="12929" xr:uid="{00000000-0005-0000-0000-000081320000}"/>
    <cellStyle name="20% - Accent6 88 5 2 2" xfId="12930" xr:uid="{00000000-0005-0000-0000-000082320000}"/>
    <cellStyle name="20% - Accent6 88 5 3" xfId="12931" xr:uid="{00000000-0005-0000-0000-000083320000}"/>
    <cellStyle name="20% - Accent6 88 6" xfId="12932" xr:uid="{00000000-0005-0000-0000-000084320000}"/>
    <cellStyle name="20% - Accent6 88 6 2" xfId="12933" xr:uid="{00000000-0005-0000-0000-000085320000}"/>
    <cellStyle name="20% - Accent6 88 6 2 2" xfId="12934" xr:uid="{00000000-0005-0000-0000-000086320000}"/>
    <cellStyle name="20% - Accent6 88 6 3" xfId="12935" xr:uid="{00000000-0005-0000-0000-000087320000}"/>
    <cellStyle name="20% - Accent6 88 7" xfId="12936" xr:uid="{00000000-0005-0000-0000-000088320000}"/>
    <cellStyle name="20% - Accent6 88 7 2" xfId="12937" xr:uid="{00000000-0005-0000-0000-000089320000}"/>
    <cellStyle name="20% - Accent6 88 7 2 2" xfId="12938" xr:uid="{00000000-0005-0000-0000-00008A320000}"/>
    <cellStyle name="20% - Accent6 88 7 3" xfId="12939" xr:uid="{00000000-0005-0000-0000-00008B320000}"/>
    <cellStyle name="20% - Accent6 88 8" xfId="12940" xr:uid="{00000000-0005-0000-0000-00008C320000}"/>
    <cellStyle name="20% - Accent6 88 8 2" xfId="12941" xr:uid="{00000000-0005-0000-0000-00008D320000}"/>
    <cellStyle name="20% - Accent6 88 8 2 2" xfId="12942" xr:uid="{00000000-0005-0000-0000-00008E320000}"/>
    <cellStyle name="20% - Accent6 88 8 3" xfId="12943" xr:uid="{00000000-0005-0000-0000-00008F320000}"/>
    <cellStyle name="20% - Accent6 88 9" xfId="12944" xr:uid="{00000000-0005-0000-0000-000090320000}"/>
    <cellStyle name="20% - Accent6 88 9 2" xfId="12945" xr:uid="{00000000-0005-0000-0000-000091320000}"/>
    <cellStyle name="20% - Accent6 88 9 2 2" xfId="12946" xr:uid="{00000000-0005-0000-0000-000092320000}"/>
    <cellStyle name="20% - Accent6 88 9 3" xfId="12947" xr:uid="{00000000-0005-0000-0000-000093320000}"/>
    <cellStyle name="20% - Accent6 89" xfId="12948" xr:uid="{00000000-0005-0000-0000-000094320000}"/>
    <cellStyle name="20% - Accent6 89 2" xfId="12949" xr:uid="{00000000-0005-0000-0000-000095320000}"/>
    <cellStyle name="20% - Accent6 9" xfId="12950" xr:uid="{00000000-0005-0000-0000-000096320000}"/>
    <cellStyle name="20% - Accent6 9 2" xfId="12951" xr:uid="{00000000-0005-0000-0000-000097320000}"/>
    <cellStyle name="20% - Accent6 9 2 2" xfId="12952" xr:uid="{00000000-0005-0000-0000-000098320000}"/>
    <cellStyle name="20% - Accent6 9 3" xfId="12953" xr:uid="{00000000-0005-0000-0000-000099320000}"/>
    <cellStyle name="20% - Accent6 9 4" xfId="12954" xr:uid="{00000000-0005-0000-0000-00009A320000}"/>
    <cellStyle name="20% - Accent6 90" xfId="12955" xr:uid="{00000000-0005-0000-0000-00009B320000}"/>
    <cellStyle name="20% - Accent6 90 2" xfId="12956" xr:uid="{00000000-0005-0000-0000-00009C320000}"/>
    <cellStyle name="20% - Accent6 91" xfId="12957" xr:uid="{00000000-0005-0000-0000-00009D320000}"/>
    <cellStyle name="20% - Accent6 91 2" xfId="12958" xr:uid="{00000000-0005-0000-0000-00009E320000}"/>
    <cellStyle name="20% - Accent6 92" xfId="12959" xr:uid="{00000000-0005-0000-0000-00009F320000}"/>
    <cellStyle name="20% - Accent6 92 2" xfId="12960" xr:uid="{00000000-0005-0000-0000-0000A0320000}"/>
    <cellStyle name="20% - Accent6 93" xfId="12961" xr:uid="{00000000-0005-0000-0000-0000A1320000}"/>
    <cellStyle name="20% - Accent6 93 2" xfId="12962" xr:uid="{00000000-0005-0000-0000-0000A2320000}"/>
    <cellStyle name="20% - Accent6 93 2 2" xfId="12963" xr:uid="{00000000-0005-0000-0000-0000A3320000}"/>
    <cellStyle name="20% - Accent6 93 2 2 2" xfId="12964" xr:uid="{00000000-0005-0000-0000-0000A4320000}"/>
    <cellStyle name="20% - Accent6 93 2 3" xfId="12965" xr:uid="{00000000-0005-0000-0000-0000A5320000}"/>
    <cellStyle name="20% - Accent6 93 3" xfId="12966" xr:uid="{00000000-0005-0000-0000-0000A6320000}"/>
    <cellStyle name="20% - Accent6 93 3 2" xfId="12967" xr:uid="{00000000-0005-0000-0000-0000A7320000}"/>
    <cellStyle name="20% - Accent6 93 4" xfId="12968" xr:uid="{00000000-0005-0000-0000-0000A8320000}"/>
    <cellStyle name="20% - Accent6 94" xfId="12969" xr:uid="{00000000-0005-0000-0000-0000A9320000}"/>
    <cellStyle name="20% - Accent6 94 2" xfId="12970" xr:uid="{00000000-0005-0000-0000-0000AA320000}"/>
    <cellStyle name="20% - Accent6 94 2 2" xfId="12971" xr:uid="{00000000-0005-0000-0000-0000AB320000}"/>
    <cellStyle name="20% - Accent6 94 2 2 2" xfId="12972" xr:uid="{00000000-0005-0000-0000-0000AC320000}"/>
    <cellStyle name="20% - Accent6 94 2 3" xfId="12973" xr:uid="{00000000-0005-0000-0000-0000AD320000}"/>
    <cellStyle name="20% - Accent6 94 3" xfId="12974" xr:uid="{00000000-0005-0000-0000-0000AE320000}"/>
    <cellStyle name="20% - Accent6 94 3 2" xfId="12975" xr:uid="{00000000-0005-0000-0000-0000AF320000}"/>
    <cellStyle name="20% - Accent6 94 4" xfId="12976" xr:uid="{00000000-0005-0000-0000-0000B0320000}"/>
    <cellStyle name="20% - Accent6 95" xfId="12977" xr:uid="{00000000-0005-0000-0000-0000B1320000}"/>
    <cellStyle name="20% - Accent6 95 2" xfId="12978" xr:uid="{00000000-0005-0000-0000-0000B2320000}"/>
    <cellStyle name="20% - Accent6 95 2 2" xfId="12979" xr:uid="{00000000-0005-0000-0000-0000B3320000}"/>
    <cellStyle name="20% - Accent6 95 3" xfId="12980" xr:uid="{00000000-0005-0000-0000-0000B4320000}"/>
    <cellStyle name="20% - Accent6 96" xfId="12981" xr:uid="{00000000-0005-0000-0000-0000B5320000}"/>
    <cellStyle name="20% - Accent6 96 2" xfId="12982" xr:uid="{00000000-0005-0000-0000-0000B6320000}"/>
    <cellStyle name="20% - Accent6 96 2 2" xfId="12983" xr:uid="{00000000-0005-0000-0000-0000B7320000}"/>
    <cellStyle name="20% - Accent6 96 3" xfId="12984" xr:uid="{00000000-0005-0000-0000-0000B8320000}"/>
    <cellStyle name="20% - Accent6 97" xfId="12985" xr:uid="{00000000-0005-0000-0000-0000B9320000}"/>
    <cellStyle name="20% - Accent6 97 2" xfId="12986" xr:uid="{00000000-0005-0000-0000-0000BA320000}"/>
    <cellStyle name="20% - Accent6 97 2 2" xfId="12987" xr:uid="{00000000-0005-0000-0000-0000BB320000}"/>
    <cellStyle name="20% - Accent6 97 3" xfId="12988" xr:uid="{00000000-0005-0000-0000-0000BC320000}"/>
    <cellStyle name="20% - Accent6 98" xfId="12989" xr:uid="{00000000-0005-0000-0000-0000BD320000}"/>
    <cellStyle name="20% - Accent6 98 2" xfId="12990" xr:uid="{00000000-0005-0000-0000-0000BE320000}"/>
    <cellStyle name="20% - Accent6 98 2 2" xfId="12991" xr:uid="{00000000-0005-0000-0000-0000BF320000}"/>
    <cellStyle name="20% - Accent6 98 3" xfId="12992" xr:uid="{00000000-0005-0000-0000-0000C0320000}"/>
    <cellStyle name="20% - Accent6 99" xfId="12993" xr:uid="{00000000-0005-0000-0000-0000C1320000}"/>
    <cellStyle name="40% - Accent1" xfId="41021" builtinId="31" customBuiltin="1"/>
    <cellStyle name="40% - Accent1 10" xfId="12994" xr:uid="{00000000-0005-0000-0000-0000C3320000}"/>
    <cellStyle name="40% - Accent1 10 2" xfId="12995" xr:uid="{00000000-0005-0000-0000-0000C4320000}"/>
    <cellStyle name="40% - Accent1 10 2 2" xfId="12996" xr:uid="{00000000-0005-0000-0000-0000C5320000}"/>
    <cellStyle name="40% - Accent1 10 3" xfId="12997" xr:uid="{00000000-0005-0000-0000-0000C6320000}"/>
    <cellStyle name="40% - Accent1 100" xfId="12998" xr:uid="{00000000-0005-0000-0000-0000C7320000}"/>
    <cellStyle name="40% - Accent1 100 2" xfId="12999" xr:uid="{00000000-0005-0000-0000-0000C8320000}"/>
    <cellStyle name="40% - Accent1 100 2 2" xfId="13000" xr:uid="{00000000-0005-0000-0000-0000C9320000}"/>
    <cellStyle name="40% - Accent1 100 3" xfId="13001" xr:uid="{00000000-0005-0000-0000-0000CA320000}"/>
    <cellStyle name="40% - Accent1 101" xfId="13002" xr:uid="{00000000-0005-0000-0000-0000CB320000}"/>
    <cellStyle name="40% - Accent1 102" xfId="13003" xr:uid="{00000000-0005-0000-0000-0000CC320000}"/>
    <cellStyle name="40% - Accent1 102 2" xfId="13004" xr:uid="{00000000-0005-0000-0000-0000CD320000}"/>
    <cellStyle name="40% - Accent1 102 2 2" xfId="13005" xr:uid="{00000000-0005-0000-0000-0000CE320000}"/>
    <cellStyle name="40% - Accent1 102 3" xfId="13006" xr:uid="{00000000-0005-0000-0000-0000CF320000}"/>
    <cellStyle name="40% - Accent1 103" xfId="13007" xr:uid="{00000000-0005-0000-0000-0000D0320000}"/>
    <cellStyle name="40% - Accent1 104" xfId="13008" xr:uid="{00000000-0005-0000-0000-0000D1320000}"/>
    <cellStyle name="40% - Accent1 104 2" xfId="13009" xr:uid="{00000000-0005-0000-0000-0000D2320000}"/>
    <cellStyle name="40% - Accent1 104 2 2" xfId="13010" xr:uid="{00000000-0005-0000-0000-0000D3320000}"/>
    <cellStyle name="40% - Accent1 104 3" xfId="13011" xr:uid="{00000000-0005-0000-0000-0000D4320000}"/>
    <cellStyle name="40% - Accent1 105" xfId="13012" xr:uid="{00000000-0005-0000-0000-0000D5320000}"/>
    <cellStyle name="40% - Accent1 105 2" xfId="13013" xr:uid="{00000000-0005-0000-0000-0000D6320000}"/>
    <cellStyle name="40% - Accent1 105 2 2" xfId="13014" xr:uid="{00000000-0005-0000-0000-0000D7320000}"/>
    <cellStyle name="40% - Accent1 105 3" xfId="13015" xr:uid="{00000000-0005-0000-0000-0000D8320000}"/>
    <cellStyle name="40% - Accent1 106" xfId="13016" xr:uid="{00000000-0005-0000-0000-0000D9320000}"/>
    <cellStyle name="40% - Accent1 107" xfId="13017" xr:uid="{00000000-0005-0000-0000-0000DA320000}"/>
    <cellStyle name="40% - Accent1 108" xfId="13018" xr:uid="{00000000-0005-0000-0000-0000DB320000}"/>
    <cellStyle name="40% - Accent1 109" xfId="13019" xr:uid="{00000000-0005-0000-0000-0000DC320000}"/>
    <cellStyle name="40% - Accent1 11" xfId="13020" xr:uid="{00000000-0005-0000-0000-0000DD320000}"/>
    <cellStyle name="40% - Accent1 11 2" xfId="13021" xr:uid="{00000000-0005-0000-0000-0000DE320000}"/>
    <cellStyle name="40% - Accent1 11 2 2" xfId="13022" xr:uid="{00000000-0005-0000-0000-0000DF320000}"/>
    <cellStyle name="40% - Accent1 11 3" xfId="13023" xr:uid="{00000000-0005-0000-0000-0000E0320000}"/>
    <cellStyle name="40% - Accent1 110" xfId="13024" xr:uid="{00000000-0005-0000-0000-0000E1320000}"/>
    <cellStyle name="40% - Accent1 110 2" xfId="13025" xr:uid="{00000000-0005-0000-0000-0000E2320000}"/>
    <cellStyle name="40% - Accent1 110 2 2" xfId="13026" xr:uid="{00000000-0005-0000-0000-0000E3320000}"/>
    <cellStyle name="40% - Accent1 110 3" xfId="13027" xr:uid="{00000000-0005-0000-0000-0000E4320000}"/>
    <cellStyle name="40% - Accent1 111" xfId="13028" xr:uid="{00000000-0005-0000-0000-0000E5320000}"/>
    <cellStyle name="40% - Accent1 111 2" xfId="13029" xr:uid="{00000000-0005-0000-0000-0000E6320000}"/>
    <cellStyle name="40% - Accent1 111 2 2" xfId="13030" xr:uid="{00000000-0005-0000-0000-0000E7320000}"/>
    <cellStyle name="40% - Accent1 111 3" xfId="13031" xr:uid="{00000000-0005-0000-0000-0000E8320000}"/>
    <cellStyle name="40% - Accent1 112" xfId="13032" xr:uid="{00000000-0005-0000-0000-0000E9320000}"/>
    <cellStyle name="40% - Accent1 112 2" xfId="13033" xr:uid="{00000000-0005-0000-0000-0000EA320000}"/>
    <cellStyle name="40% - Accent1 112 2 2" xfId="13034" xr:uid="{00000000-0005-0000-0000-0000EB320000}"/>
    <cellStyle name="40% - Accent1 112 3" xfId="13035" xr:uid="{00000000-0005-0000-0000-0000EC320000}"/>
    <cellStyle name="40% - Accent1 113" xfId="13036" xr:uid="{00000000-0005-0000-0000-0000ED320000}"/>
    <cellStyle name="40% - Accent1 114" xfId="13037" xr:uid="{00000000-0005-0000-0000-0000EE320000}"/>
    <cellStyle name="40% - Accent1 115" xfId="13038" xr:uid="{00000000-0005-0000-0000-0000EF320000}"/>
    <cellStyle name="40% - Accent1 116" xfId="13039" xr:uid="{00000000-0005-0000-0000-0000F0320000}"/>
    <cellStyle name="40% - Accent1 117" xfId="13040" xr:uid="{00000000-0005-0000-0000-0000F1320000}"/>
    <cellStyle name="40% - Accent1 117 2" xfId="13041" xr:uid="{00000000-0005-0000-0000-0000F2320000}"/>
    <cellStyle name="40% - Accent1 117 2 2" xfId="13042" xr:uid="{00000000-0005-0000-0000-0000F3320000}"/>
    <cellStyle name="40% - Accent1 117 3" xfId="13043" xr:uid="{00000000-0005-0000-0000-0000F4320000}"/>
    <cellStyle name="40% - Accent1 118" xfId="13044" xr:uid="{00000000-0005-0000-0000-0000F5320000}"/>
    <cellStyle name="40% - Accent1 118 2" xfId="13045" xr:uid="{00000000-0005-0000-0000-0000F6320000}"/>
    <cellStyle name="40% - Accent1 118 2 2" xfId="13046" xr:uid="{00000000-0005-0000-0000-0000F7320000}"/>
    <cellStyle name="40% - Accent1 118 3" xfId="13047" xr:uid="{00000000-0005-0000-0000-0000F8320000}"/>
    <cellStyle name="40% - Accent1 119" xfId="13048" xr:uid="{00000000-0005-0000-0000-0000F9320000}"/>
    <cellStyle name="40% - Accent1 119 2" xfId="13049" xr:uid="{00000000-0005-0000-0000-0000FA320000}"/>
    <cellStyle name="40% - Accent1 119 2 2" xfId="13050" xr:uid="{00000000-0005-0000-0000-0000FB320000}"/>
    <cellStyle name="40% - Accent1 119 3" xfId="13051" xr:uid="{00000000-0005-0000-0000-0000FC320000}"/>
    <cellStyle name="40% - Accent1 12" xfId="13052" xr:uid="{00000000-0005-0000-0000-0000FD320000}"/>
    <cellStyle name="40% - Accent1 12 2" xfId="13053" xr:uid="{00000000-0005-0000-0000-0000FE320000}"/>
    <cellStyle name="40% - Accent1 12 2 2" xfId="13054" xr:uid="{00000000-0005-0000-0000-0000FF320000}"/>
    <cellStyle name="40% - Accent1 12 3" xfId="13055" xr:uid="{00000000-0005-0000-0000-000000330000}"/>
    <cellStyle name="40% - Accent1 120" xfId="13056" xr:uid="{00000000-0005-0000-0000-000001330000}"/>
    <cellStyle name="40% - Accent1 120 2" xfId="13057" xr:uid="{00000000-0005-0000-0000-000002330000}"/>
    <cellStyle name="40% - Accent1 120 2 2" xfId="13058" xr:uid="{00000000-0005-0000-0000-000003330000}"/>
    <cellStyle name="40% - Accent1 120 3" xfId="13059" xr:uid="{00000000-0005-0000-0000-000004330000}"/>
    <cellStyle name="40% - Accent1 121" xfId="13060" xr:uid="{00000000-0005-0000-0000-000005330000}"/>
    <cellStyle name="40% - Accent1 121 2" xfId="13061" xr:uid="{00000000-0005-0000-0000-000006330000}"/>
    <cellStyle name="40% - Accent1 121 2 2" xfId="13062" xr:uid="{00000000-0005-0000-0000-000007330000}"/>
    <cellStyle name="40% - Accent1 121 3" xfId="13063" xr:uid="{00000000-0005-0000-0000-000008330000}"/>
    <cellStyle name="40% - Accent1 122" xfId="13064" xr:uid="{00000000-0005-0000-0000-000009330000}"/>
    <cellStyle name="40% - Accent1 122 2" xfId="13065" xr:uid="{00000000-0005-0000-0000-00000A330000}"/>
    <cellStyle name="40% - Accent1 122 2 2" xfId="13066" xr:uid="{00000000-0005-0000-0000-00000B330000}"/>
    <cellStyle name="40% - Accent1 122 3" xfId="13067" xr:uid="{00000000-0005-0000-0000-00000C330000}"/>
    <cellStyle name="40% - Accent1 123" xfId="13068" xr:uid="{00000000-0005-0000-0000-00000D330000}"/>
    <cellStyle name="40% - Accent1 123 2" xfId="13069" xr:uid="{00000000-0005-0000-0000-00000E330000}"/>
    <cellStyle name="40% - Accent1 123 2 2" xfId="13070" xr:uid="{00000000-0005-0000-0000-00000F330000}"/>
    <cellStyle name="40% - Accent1 123 3" xfId="13071" xr:uid="{00000000-0005-0000-0000-000010330000}"/>
    <cellStyle name="40% - Accent1 124" xfId="13072" xr:uid="{00000000-0005-0000-0000-000011330000}"/>
    <cellStyle name="40% - Accent1 125" xfId="13073" xr:uid="{00000000-0005-0000-0000-000012330000}"/>
    <cellStyle name="40% - Accent1 125 2" xfId="13074" xr:uid="{00000000-0005-0000-0000-000013330000}"/>
    <cellStyle name="40% - Accent1 125 2 2" xfId="13075" xr:uid="{00000000-0005-0000-0000-000014330000}"/>
    <cellStyle name="40% - Accent1 125 3" xfId="13076" xr:uid="{00000000-0005-0000-0000-000015330000}"/>
    <cellStyle name="40% - Accent1 126" xfId="13077" xr:uid="{00000000-0005-0000-0000-000016330000}"/>
    <cellStyle name="40% - Accent1 126 2" xfId="13078" xr:uid="{00000000-0005-0000-0000-000017330000}"/>
    <cellStyle name="40% - Accent1 126 2 2" xfId="13079" xr:uid="{00000000-0005-0000-0000-000018330000}"/>
    <cellStyle name="40% - Accent1 126 3" xfId="13080" xr:uid="{00000000-0005-0000-0000-000019330000}"/>
    <cellStyle name="40% - Accent1 127" xfId="13081" xr:uid="{00000000-0005-0000-0000-00001A330000}"/>
    <cellStyle name="40% - Accent1 127 2" xfId="13082" xr:uid="{00000000-0005-0000-0000-00001B330000}"/>
    <cellStyle name="40% - Accent1 127 2 2" xfId="13083" xr:uid="{00000000-0005-0000-0000-00001C330000}"/>
    <cellStyle name="40% - Accent1 127 3" xfId="13084" xr:uid="{00000000-0005-0000-0000-00001D330000}"/>
    <cellStyle name="40% - Accent1 128" xfId="13085" xr:uid="{00000000-0005-0000-0000-00001E330000}"/>
    <cellStyle name="40% - Accent1 128 2" xfId="13086" xr:uid="{00000000-0005-0000-0000-00001F330000}"/>
    <cellStyle name="40% - Accent1 128 2 2" xfId="13087" xr:uid="{00000000-0005-0000-0000-000020330000}"/>
    <cellStyle name="40% - Accent1 128 3" xfId="13088" xr:uid="{00000000-0005-0000-0000-000021330000}"/>
    <cellStyle name="40% - Accent1 129" xfId="13089" xr:uid="{00000000-0005-0000-0000-000022330000}"/>
    <cellStyle name="40% - Accent1 129 2" xfId="13090" xr:uid="{00000000-0005-0000-0000-000023330000}"/>
    <cellStyle name="40% - Accent1 129 2 2" xfId="13091" xr:uid="{00000000-0005-0000-0000-000024330000}"/>
    <cellStyle name="40% - Accent1 129 3" xfId="13092" xr:uid="{00000000-0005-0000-0000-000025330000}"/>
    <cellStyle name="40% - Accent1 13" xfId="13093" xr:uid="{00000000-0005-0000-0000-000026330000}"/>
    <cellStyle name="40% - Accent1 13 2" xfId="13094" xr:uid="{00000000-0005-0000-0000-000027330000}"/>
    <cellStyle name="40% - Accent1 13 2 2" xfId="13095" xr:uid="{00000000-0005-0000-0000-000028330000}"/>
    <cellStyle name="40% - Accent1 13 3" xfId="13096" xr:uid="{00000000-0005-0000-0000-000029330000}"/>
    <cellStyle name="40% - Accent1 130" xfId="13097" xr:uid="{00000000-0005-0000-0000-00002A330000}"/>
    <cellStyle name="40% - Accent1 130 2" xfId="13098" xr:uid="{00000000-0005-0000-0000-00002B330000}"/>
    <cellStyle name="40% - Accent1 130 2 2" xfId="13099" xr:uid="{00000000-0005-0000-0000-00002C330000}"/>
    <cellStyle name="40% - Accent1 130 3" xfId="13100" xr:uid="{00000000-0005-0000-0000-00002D330000}"/>
    <cellStyle name="40% - Accent1 131" xfId="13101" xr:uid="{00000000-0005-0000-0000-00002E330000}"/>
    <cellStyle name="40% - Accent1 131 2" xfId="13102" xr:uid="{00000000-0005-0000-0000-00002F330000}"/>
    <cellStyle name="40% - Accent1 131 2 2" xfId="13103" xr:uid="{00000000-0005-0000-0000-000030330000}"/>
    <cellStyle name="40% - Accent1 131 3" xfId="13104" xr:uid="{00000000-0005-0000-0000-000031330000}"/>
    <cellStyle name="40% - Accent1 132" xfId="13105" xr:uid="{00000000-0005-0000-0000-000032330000}"/>
    <cellStyle name="40% - Accent1 132 2" xfId="13106" xr:uid="{00000000-0005-0000-0000-000033330000}"/>
    <cellStyle name="40% - Accent1 132 2 2" xfId="13107" xr:uid="{00000000-0005-0000-0000-000034330000}"/>
    <cellStyle name="40% - Accent1 132 3" xfId="13108" xr:uid="{00000000-0005-0000-0000-000035330000}"/>
    <cellStyle name="40% - Accent1 133" xfId="13109" xr:uid="{00000000-0005-0000-0000-000036330000}"/>
    <cellStyle name="40% - Accent1 133 2" xfId="13110" xr:uid="{00000000-0005-0000-0000-000037330000}"/>
    <cellStyle name="40% - Accent1 133 2 2" xfId="13111" xr:uid="{00000000-0005-0000-0000-000038330000}"/>
    <cellStyle name="40% - Accent1 133 3" xfId="13112" xr:uid="{00000000-0005-0000-0000-000039330000}"/>
    <cellStyle name="40% - Accent1 134" xfId="13113" xr:uid="{00000000-0005-0000-0000-00003A330000}"/>
    <cellStyle name="40% - Accent1 134 2" xfId="13114" xr:uid="{00000000-0005-0000-0000-00003B330000}"/>
    <cellStyle name="40% - Accent1 135" xfId="13115" xr:uid="{00000000-0005-0000-0000-00003C330000}"/>
    <cellStyle name="40% - Accent1 135 2" xfId="13116" xr:uid="{00000000-0005-0000-0000-00003D330000}"/>
    <cellStyle name="40% - Accent1 136" xfId="13117" xr:uid="{00000000-0005-0000-0000-00003E330000}"/>
    <cellStyle name="40% - Accent1 136 2" xfId="13118" xr:uid="{00000000-0005-0000-0000-00003F330000}"/>
    <cellStyle name="40% - Accent1 137" xfId="13119" xr:uid="{00000000-0005-0000-0000-000040330000}"/>
    <cellStyle name="40% - Accent1 14" xfId="13120" xr:uid="{00000000-0005-0000-0000-000041330000}"/>
    <cellStyle name="40% - Accent1 14 2" xfId="13121" xr:uid="{00000000-0005-0000-0000-000042330000}"/>
    <cellStyle name="40% - Accent1 14 2 2" xfId="13122" xr:uid="{00000000-0005-0000-0000-000043330000}"/>
    <cellStyle name="40% - Accent1 14 3" xfId="13123" xr:uid="{00000000-0005-0000-0000-000044330000}"/>
    <cellStyle name="40% - Accent1 15" xfId="13124" xr:uid="{00000000-0005-0000-0000-000045330000}"/>
    <cellStyle name="40% - Accent1 15 2" xfId="13125" xr:uid="{00000000-0005-0000-0000-000046330000}"/>
    <cellStyle name="40% - Accent1 15 2 2" xfId="13126" xr:uid="{00000000-0005-0000-0000-000047330000}"/>
    <cellStyle name="40% - Accent1 15 3" xfId="13127" xr:uid="{00000000-0005-0000-0000-000048330000}"/>
    <cellStyle name="40% - Accent1 16" xfId="13128" xr:uid="{00000000-0005-0000-0000-000049330000}"/>
    <cellStyle name="40% - Accent1 16 2" xfId="13129" xr:uid="{00000000-0005-0000-0000-00004A330000}"/>
    <cellStyle name="40% - Accent1 17" xfId="13130" xr:uid="{00000000-0005-0000-0000-00004B330000}"/>
    <cellStyle name="40% - Accent1 17 2" xfId="13131" xr:uid="{00000000-0005-0000-0000-00004C330000}"/>
    <cellStyle name="40% - Accent1 18" xfId="13132" xr:uid="{00000000-0005-0000-0000-00004D330000}"/>
    <cellStyle name="40% - Accent1 18 2" xfId="13133" xr:uid="{00000000-0005-0000-0000-00004E330000}"/>
    <cellStyle name="40% - Accent1 19" xfId="13134" xr:uid="{00000000-0005-0000-0000-00004F330000}"/>
    <cellStyle name="40% - Accent1 19 2" xfId="13135" xr:uid="{00000000-0005-0000-0000-000050330000}"/>
    <cellStyle name="40% - Accent1 2" xfId="13136" xr:uid="{00000000-0005-0000-0000-000051330000}"/>
    <cellStyle name="40% - Accent1 2 2" xfId="13137" xr:uid="{00000000-0005-0000-0000-000052330000}"/>
    <cellStyle name="40% - Accent1 2 2 2" xfId="13138" xr:uid="{00000000-0005-0000-0000-000053330000}"/>
    <cellStyle name="40% - Accent1 2 2 2 2" xfId="13139" xr:uid="{00000000-0005-0000-0000-000054330000}"/>
    <cellStyle name="40% - Accent1 2 2 2 2 2" xfId="13140" xr:uid="{00000000-0005-0000-0000-000055330000}"/>
    <cellStyle name="40% - Accent1 2 3" xfId="13141" xr:uid="{00000000-0005-0000-0000-000056330000}"/>
    <cellStyle name="40% - Accent1 2 4" xfId="13142" xr:uid="{00000000-0005-0000-0000-000057330000}"/>
    <cellStyle name="40% - Accent1 2 5" xfId="41045" xr:uid="{00000000-0005-0000-0000-000006000000}"/>
    <cellStyle name="40% - Accent1 20" xfId="13143" xr:uid="{00000000-0005-0000-0000-000058330000}"/>
    <cellStyle name="40% - Accent1 20 2" xfId="13144" xr:uid="{00000000-0005-0000-0000-000059330000}"/>
    <cellStyle name="40% - Accent1 21" xfId="13145" xr:uid="{00000000-0005-0000-0000-00005A330000}"/>
    <cellStyle name="40% - Accent1 21 2" xfId="13146" xr:uid="{00000000-0005-0000-0000-00005B330000}"/>
    <cellStyle name="40% - Accent1 22" xfId="13147" xr:uid="{00000000-0005-0000-0000-00005C330000}"/>
    <cellStyle name="40% - Accent1 22 2" xfId="13148" xr:uid="{00000000-0005-0000-0000-00005D330000}"/>
    <cellStyle name="40% - Accent1 23" xfId="13149" xr:uid="{00000000-0005-0000-0000-00005E330000}"/>
    <cellStyle name="40% - Accent1 23 2" xfId="13150" xr:uid="{00000000-0005-0000-0000-00005F330000}"/>
    <cellStyle name="40% - Accent1 24" xfId="13151" xr:uid="{00000000-0005-0000-0000-000060330000}"/>
    <cellStyle name="40% - Accent1 24 2" xfId="13152" xr:uid="{00000000-0005-0000-0000-000061330000}"/>
    <cellStyle name="40% - Accent1 25" xfId="13153" xr:uid="{00000000-0005-0000-0000-000062330000}"/>
    <cellStyle name="40% - Accent1 25 2" xfId="13154" xr:uid="{00000000-0005-0000-0000-000063330000}"/>
    <cellStyle name="40% - Accent1 26" xfId="13155" xr:uid="{00000000-0005-0000-0000-000064330000}"/>
    <cellStyle name="40% - Accent1 26 2" xfId="13156" xr:uid="{00000000-0005-0000-0000-000065330000}"/>
    <cellStyle name="40% - Accent1 27" xfId="13157" xr:uid="{00000000-0005-0000-0000-000066330000}"/>
    <cellStyle name="40% - Accent1 27 2" xfId="13158" xr:uid="{00000000-0005-0000-0000-000067330000}"/>
    <cellStyle name="40% - Accent1 28" xfId="13159" xr:uid="{00000000-0005-0000-0000-000068330000}"/>
    <cellStyle name="40% - Accent1 28 2" xfId="13160" xr:uid="{00000000-0005-0000-0000-000069330000}"/>
    <cellStyle name="40% - Accent1 29" xfId="13161" xr:uid="{00000000-0005-0000-0000-00006A330000}"/>
    <cellStyle name="40% - Accent1 29 2" xfId="13162" xr:uid="{00000000-0005-0000-0000-00006B330000}"/>
    <cellStyle name="40% - Accent1 3" xfId="13163" xr:uid="{00000000-0005-0000-0000-00006C330000}"/>
    <cellStyle name="40% - Accent1 3 2" xfId="13164" xr:uid="{00000000-0005-0000-0000-00006D330000}"/>
    <cellStyle name="40% - Accent1 3 2 2" xfId="13165" xr:uid="{00000000-0005-0000-0000-00006E330000}"/>
    <cellStyle name="40% - Accent1 3 3" xfId="13166" xr:uid="{00000000-0005-0000-0000-00006F330000}"/>
    <cellStyle name="40% - Accent1 3 4" xfId="13167" xr:uid="{00000000-0005-0000-0000-000070330000}"/>
    <cellStyle name="40% - Accent1 3 5" xfId="13168" xr:uid="{00000000-0005-0000-0000-000071330000}"/>
    <cellStyle name="40% - Accent1 3_MAR 2009" xfId="13169" xr:uid="{00000000-0005-0000-0000-000072330000}"/>
    <cellStyle name="40% - Accent1 30" xfId="13170" xr:uid="{00000000-0005-0000-0000-000073330000}"/>
    <cellStyle name="40% - Accent1 30 2" xfId="13171" xr:uid="{00000000-0005-0000-0000-000074330000}"/>
    <cellStyle name="40% - Accent1 31" xfId="13172" xr:uid="{00000000-0005-0000-0000-000075330000}"/>
    <cellStyle name="40% - Accent1 31 2" xfId="13173" xr:uid="{00000000-0005-0000-0000-000076330000}"/>
    <cellStyle name="40% - Accent1 32" xfId="13174" xr:uid="{00000000-0005-0000-0000-000077330000}"/>
    <cellStyle name="40% - Accent1 32 2" xfId="13175" xr:uid="{00000000-0005-0000-0000-000078330000}"/>
    <cellStyle name="40% - Accent1 33" xfId="13176" xr:uid="{00000000-0005-0000-0000-000079330000}"/>
    <cellStyle name="40% - Accent1 33 2" xfId="13177" xr:uid="{00000000-0005-0000-0000-00007A330000}"/>
    <cellStyle name="40% - Accent1 34" xfId="13178" xr:uid="{00000000-0005-0000-0000-00007B330000}"/>
    <cellStyle name="40% - Accent1 34 2" xfId="13179" xr:uid="{00000000-0005-0000-0000-00007C330000}"/>
    <cellStyle name="40% - Accent1 35" xfId="13180" xr:uid="{00000000-0005-0000-0000-00007D330000}"/>
    <cellStyle name="40% - Accent1 35 2" xfId="13181" xr:uid="{00000000-0005-0000-0000-00007E330000}"/>
    <cellStyle name="40% - Accent1 36" xfId="13182" xr:uid="{00000000-0005-0000-0000-00007F330000}"/>
    <cellStyle name="40% - Accent1 36 2" xfId="13183" xr:uid="{00000000-0005-0000-0000-000080330000}"/>
    <cellStyle name="40% - Accent1 37" xfId="13184" xr:uid="{00000000-0005-0000-0000-000081330000}"/>
    <cellStyle name="40% - Accent1 37 2" xfId="13185" xr:uid="{00000000-0005-0000-0000-000082330000}"/>
    <cellStyle name="40% - Accent1 38" xfId="13186" xr:uid="{00000000-0005-0000-0000-000083330000}"/>
    <cellStyle name="40% - Accent1 38 2" xfId="13187" xr:uid="{00000000-0005-0000-0000-000084330000}"/>
    <cellStyle name="40% - Accent1 39" xfId="13188" xr:uid="{00000000-0005-0000-0000-000085330000}"/>
    <cellStyle name="40% - Accent1 39 2" xfId="13189" xr:uid="{00000000-0005-0000-0000-000086330000}"/>
    <cellStyle name="40% - Accent1 4" xfId="13190" xr:uid="{00000000-0005-0000-0000-000087330000}"/>
    <cellStyle name="40% - Accent1 4 2" xfId="13191" xr:uid="{00000000-0005-0000-0000-000088330000}"/>
    <cellStyle name="40% - Accent1 4 2 2" xfId="13192" xr:uid="{00000000-0005-0000-0000-000089330000}"/>
    <cellStyle name="40% - Accent1 4 3" xfId="13193" xr:uid="{00000000-0005-0000-0000-00008A330000}"/>
    <cellStyle name="40% - Accent1 40" xfId="13194" xr:uid="{00000000-0005-0000-0000-00008B330000}"/>
    <cellStyle name="40% - Accent1 40 2" xfId="13195" xr:uid="{00000000-0005-0000-0000-00008C330000}"/>
    <cellStyle name="40% - Accent1 41" xfId="13196" xr:uid="{00000000-0005-0000-0000-00008D330000}"/>
    <cellStyle name="40% - Accent1 41 2" xfId="13197" xr:uid="{00000000-0005-0000-0000-00008E330000}"/>
    <cellStyle name="40% - Accent1 42" xfId="13198" xr:uid="{00000000-0005-0000-0000-00008F330000}"/>
    <cellStyle name="40% - Accent1 42 2" xfId="13199" xr:uid="{00000000-0005-0000-0000-000090330000}"/>
    <cellStyle name="40% - Accent1 43" xfId="13200" xr:uid="{00000000-0005-0000-0000-000091330000}"/>
    <cellStyle name="40% - Accent1 43 2" xfId="13201" xr:uid="{00000000-0005-0000-0000-000092330000}"/>
    <cellStyle name="40% - Accent1 44" xfId="13202" xr:uid="{00000000-0005-0000-0000-000093330000}"/>
    <cellStyle name="40% - Accent1 44 2" xfId="13203" xr:uid="{00000000-0005-0000-0000-000094330000}"/>
    <cellStyle name="40% - Accent1 45" xfId="13204" xr:uid="{00000000-0005-0000-0000-000095330000}"/>
    <cellStyle name="40% - Accent1 45 2" xfId="13205" xr:uid="{00000000-0005-0000-0000-000096330000}"/>
    <cellStyle name="40% - Accent1 46" xfId="13206" xr:uid="{00000000-0005-0000-0000-000097330000}"/>
    <cellStyle name="40% - Accent1 46 2" xfId="13207" xr:uid="{00000000-0005-0000-0000-000098330000}"/>
    <cellStyle name="40% - Accent1 47" xfId="13208" xr:uid="{00000000-0005-0000-0000-000099330000}"/>
    <cellStyle name="40% - Accent1 47 2" xfId="13209" xr:uid="{00000000-0005-0000-0000-00009A330000}"/>
    <cellStyle name="40% - Accent1 48" xfId="13210" xr:uid="{00000000-0005-0000-0000-00009B330000}"/>
    <cellStyle name="40% - Accent1 48 2" xfId="13211" xr:uid="{00000000-0005-0000-0000-00009C330000}"/>
    <cellStyle name="40% - Accent1 49" xfId="13212" xr:uid="{00000000-0005-0000-0000-00009D330000}"/>
    <cellStyle name="40% - Accent1 49 2" xfId="13213" xr:uid="{00000000-0005-0000-0000-00009E330000}"/>
    <cellStyle name="40% - Accent1 5" xfId="13214" xr:uid="{00000000-0005-0000-0000-00009F330000}"/>
    <cellStyle name="40% - Accent1 5 2" xfId="13215" xr:uid="{00000000-0005-0000-0000-0000A0330000}"/>
    <cellStyle name="40% - Accent1 5 2 2" xfId="13216" xr:uid="{00000000-0005-0000-0000-0000A1330000}"/>
    <cellStyle name="40% - Accent1 5 3" xfId="13217" xr:uid="{00000000-0005-0000-0000-0000A2330000}"/>
    <cellStyle name="40% - Accent1 50" xfId="13218" xr:uid="{00000000-0005-0000-0000-0000A3330000}"/>
    <cellStyle name="40% - Accent1 50 2" xfId="13219" xr:uid="{00000000-0005-0000-0000-0000A4330000}"/>
    <cellStyle name="40% - Accent1 51" xfId="13220" xr:uid="{00000000-0005-0000-0000-0000A5330000}"/>
    <cellStyle name="40% - Accent1 51 2" xfId="13221" xr:uid="{00000000-0005-0000-0000-0000A6330000}"/>
    <cellStyle name="40% - Accent1 52" xfId="13222" xr:uid="{00000000-0005-0000-0000-0000A7330000}"/>
    <cellStyle name="40% - Accent1 52 2" xfId="13223" xr:uid="{00000000-0005-0000-0000-0000A8330000}"/>
    <cellStyle name="40% - Accent1 53" xfId="13224" xr:uid="{00000000-0005-0000-0000-0000A9330000}"/>
    <cellStyle name="40% - Accent1 53 2" xfId="13225" xr:uid="{00000000-0005-0000-0000-0000AA330000}"/>
    <cellStyle name="40% - Accent1 54" xfId="13226" xr:uid="{00000000-0005-0000-0000-0000AB330000}"/>
    <cellStyle name="40% - Accent1 54 2" xfId="13227" xr:uid="{00000000-0005-0000-0000-0000AC330000}"/>
    <cellStyle name="40% - Accent1 55" xfId="13228" xr:uid="{00000000-0005-0000-0000-0000AD330000}"/>
    <cellStyle name="40% - Accent1 55 2" xfId="13229" xr:uid="{00000000-0005-0000-0000-0000AE330000}"/>
    <cellStyle name="40% - Accent1 56" xfId="13230" xr:uid="{00000000-0005-0000-0000-0000AF330000}"/>
    <cellStyle name="40% - Accent1 56 2" xfId="13231" xr:uid="{00000000-0005-0000-0000-0000B0330000}"/>
    <cellStyle name="40% - Accent1 57" xfId="13232" xr:uid="{00000000-0005-0000-0000-0000B1330000}"/>
    <cellStyle name="40% - Accent1 57 2" xfId="13233" xr:uid="{00000000-0005-0000-0000-0000B2330000}"/>
    <cellStyle name="40% - Accent1 58" xfId="13234" xr:uid="{00000000-0005-0000-0000-0000B3330000}"/>
    <cellStyle name="40% - Accent1 58 2" xfId="13235" xr:uid="{00000000-0005-0000-0000-0000B4330000}"/>
    <cellStyle name="40% - Accent1 59" xfId="13236" xr:uid="{00000000-0005-0000-0000-0000B5330000}"/>
    <cellStyle name="40% - Accent1 59 2" xfId="13237" xr:uid="{00000000-0005-0000-0000-0000B6330000}"/>
    <cellStyle name="40% - Accent1 6" xfId="13238" xr:uid="{00000000-0005-0000-0000-0000B7330000}"/>
    <cellStyle name="40% - Accent1 6 2" xfId="13239" xr:uid="{00000000-0005-0000-0000-0000B8330000}"/>
    <cellStyle name="40% - Accent1 6 2 2" xfId="13240" xr:uid="{00000000-0005-0000-0000-0000B9330000}"/>
    <cellStyle name="40% - Accent1 6 3" xfId="13241" xr:uid="{00000000-0005-0000-0000-0000BA330000}"/>
    <cellStyle name="40% - Accent1 60" xfId="13242" xr:uid="{00000000-0005-0000-0000-0000BB330000}"/>
    <cellStyle name="40% - Accent1 60 2" xfId="13243" xr:uid="{00000000-0005-0000-0000-0000BC330000}"/>
    <cellStyle name="40% - Accent1 61" xfId="13244" xr:uid="{00000000-0005-0000-0000-0000BD330000}"/>
    <cellStyle name="40% - Accent1 61 2" xfId="13245" xr:uid="{00000000-0005-0000-0000-0000BE330000}"/>
    <cellStyle name="40% - Accent1 62" xfId="13246" xr:uid="{00000000-0005-0000-0000-0000BF330000}"/>
    <cellStyle name="40% - Accent1 62 2" xfId="13247" xr:uid="{00000000-0005-0000-0000-0000C0330000}"/>
    <cellStyle name="40% - Accent1 63" xfId="13248" xr:uid="{00000000-0005-0000-0000-0000C1330000}"/>
    <cellStyle name="40% - Accent1 63 2" xfId="13249" xr:uid="{00000000-0005-0000-0000-0000C2330000}"/>
    <cellStyle name="40% - Accent1 64" xfId="13250" xr:uid="{00000000-0005-0000-0000-0000C3330000}"/>
    <cellStyle name="40% - Accent1 64 2" xfId="13251" xr:uid="{00000000-0005-0000-0000-0000C4330000}"/>
    <cellStyle name="40% - Accent1 65" xfId="13252" xr:uid="{00000000-0005-0000-0000-0000C5330000}"/>
    <cellStyle name="40% - Accent1 65 2" xfId="13253" xr:uid="{00000000-0005-0000-0000-0000C6330000}"/>
    <cellStyle name="40% - Accent1 66" xfId="13254" xr:uid="{00000000-0005-0000-0000-0000C7330000}"/>
    <cellStyle name="40% - Accent1 66 2" xfId="13255" xr:uid="{00000000-0005-0000-0000-0000C8330000}"/>
    <cellStyle name="40% - Accent1 67" xfId="13256" xr:uid="{00000000-0005-0000-0000-0000C9330000}"/>
    <cellStyle name="40% - Accent1 67 2" xfId="13257" xr:uid="{00000000-0005-0000-0000-0000CA330000}"/>
    <cellStyle name="40% - Accent1 68" xfId="13258" xr:uid="{00000000-0005-0000-0000-0000CB330000}"/>
    <cellStyle name="40% - Accent1 68 2" xfId="13259" xr:uid="{00000000-0005-0000-0000-0000CC330000}"/>
    <cellStyle name="40% - Accent1 69" xfId="13260" xr:uid="{00000000-0005-0000-0000-0000CD330000}"/>
    <cellStyle name="40% - Accent1 69 2" xfId="13261" xr:uid="{00000000-0005-0000-0000-0000CE330000}"/>
    <cellStyle name="40% - Accent1 7" xfId="13262" xr:uid="{00000000-0005-0000-0000-0000CF330000}"/>
    <cellStyle name="40% - Accent1 7 2" xfId="13263" xr:uid="{00000000-0005-0000-0000-0000D0330000}"/>
    <cellStyle name="40% - Accent1 7 2 2" xfId="13264" xr:uid="{00000000-0005-0000-0000-0000D1330000}"/>
    <cellStyle name="40% - Accent1 7 3" xfId="13265" xr:uid="{00000000-0005-0000-0000-0000D2330000}"/>
    <cellStyle name="40% - Accent1 7 4" xfId="13266" xr:uid="{00000000-0005-0000-0000-0000D3330000}"/>
    <cellStyle name="40% - Accent1 70" xfId="13267" xr:uid="{00000000-0005-0000-0000-0000D4330000}"/>
    <cellStyle name="40% - Accent1 70 2" xfId="13268" xr:uid="{00000000-0005-0000-0000-0000D5330000}"/>
    <cellStyle name="40% - Accent1 71" xfId="13269" xr:uid="{00000000-0005-0000-0000-0000D6330000}"/>
    <cellStyle name="40% - Accent1 71 2" xfId="13270" xr:uid="{00000000-0005-0000-0000-0000D7330000}"/>
    <cellStyle name="40% - Accent1 72" xfId="13271" xr:uid="{00000000-0005-0000-0000-0000D8330000}"/>
    <cellStyle name="40% - Accent1 72 2" xfId="13272" xr:uid="{00000000-0005-0000-0000-0000D9330000}"/>
    <cellStyle name="40% - Accent1 73" xfId="13273" xr:uid="{00000000-0005-0000-0000-0000DA330000}"/>
    <cellStyle name="40% - Accent1 73 10" xfId="13274" xr:uid="{00000000-0005-0000-0000-0000DB330000}"/>
    <cellStyle name="40% - Accent1 73 10 2" xfId="13275" xr:uid="{00000000-0005-0000-0000-0000DC330000}"/>
    <cellStyle name="40% - Accent1 73 10 2 2" xfId="13276" xr:uid="{00000000-0005-0000-0000-0000DD330000}"/>
    <cellStyle name="40% - Accent1 73 10 3" xfId="13277" xr:uid="{00000000-0005-0000-0000-0000DE330000}"/>
    <cellStyle name="40% - Accent1 73 11" xfId="13278" xr:uid="{00000000-0005-0000-0000-0000DF330000}"/>
    <cellStyle name="40% - Accent1 73 11 2" xfId="13279" xr:uid="{00000000-0005-0000-0000-0000E0330000}"/>
    <cellStyle name="40% - Accent1 73 11 2 2" xfId="13280" xr:uid="{00000000-0005-0000-0000-0000E1330000}"/>
    <cellStyle name="40% - Accent1 73 11 3" xfId="13281" xr:uid="{00000000-0005-0000-0000-0000E2330000}"/>
    <cellStyle name="40% - Accent1 73 12" xfId="13282" xr:uid="{00000000-0005-0000-0000-0000E3330000}"/>
    <cellStyle name="40% - Accent1 73 12 2" xfId="13283" xr:uid="{00000000-0005-0000-0000-0000E4330000}"/>
    <cellStyle name="40% - Accent1 73 12 2 2" xfId="13284" xr:uid="{00000000-0005-0000-0000-0000E5330000}"/>
    <cellStyle name="40% - Accent1 73 12 3" xfId="13285" xr:uid="{00000000-0005-0000-0000-0000E6330000}"/>
    <cellStyle name="40% - Accent1 73 13" xfId="13286" xr:uid="{00000000-0005-0000-0000-0000E7330000}"/>
    <cellStyle name="40% - Accent1 73 13 2" xfId="13287" xr:uid="{00000000-0005-0000-0000-0000E8330000}"/>
    <cellStyle name="40% - Accent1 73 13 2 2" xfId="13288" xr:uid="{00000000-0005-0000-0000-0000E9330000}"/>
    <cellStyle name="40% - Accent1 73 13 3" xfId="13289" xr:uid="{00000000-0005-0000-0000-0000EA330000}"/>
    <cellStyle name="40% - Accent1 73 14" xfId="13290" xr:uid="{00000000-0005-0000-0000-0000EB330000}"/>
    <cellStyle name="40% - Accent1 73 14 2" xfId="13291" xr:uid="{00000000-0005-0000-0000-0000EC330000}"/>
    <cellStyle name="40% - Accent1 73 14 2 2" xfId="13292" xr:uid="{00000000-0005-0000-0000-0000ED330000}"/>
    <cellStyle name="40% - Accent1 73 14 3" xfId="13293" xr:uid="{00000000-0005-0000-0000-0000EE330000}"/>
    <cellStyle name="40% - Accent1 73 15" xfId="13294" xr:uid="{00000000-0005-0000-0000-0000EF330000}"/>
    <cellStyle name="40% - Accent1 73 15 2" xfId="13295" xr:uid="{00000000-0005-0000-0000-0000F0330000}"/>
    <cellStyle name="40% - Accent1 73 15 2 2" xfId="13296" xr:uid="{00000000-0005-0000-0000-0000F1330000}"/>
    <cellStyle name="40% - Accent1 73 15 3" xfId="13297" xr:uid="{00000000-0005-0000-0000-0000F2330000}"/>
    <cellStyle name="40% - Accent1 73 16" xfId="13298" xr:uid="{00000000-0005-0000-0000-0000F3330000}"/>
    <cellStyle name="40% - Accent1 73 16 2" xfId="13299" xr:uid="{00000000-0005-0000-0000-0000F4330000}"/>
    <cellStyle name="40% - Accent1 73 16 2 2" xfId="13300" xr:uid="{00000000-0005-0000-0000-0000F5330000}"/>
    <cellStyle name="40% - Accent1 73 16 3" xfId="13301" xr:uid="{00000000-0005-0000-0000-0000F6330000}"/>
    <cellStyle name="40% - Accent1 73 17" xfId="13302" xr:uid="{00000000-0005-0000-0000-0000F7330000}"/>
    <cellStyle name="40% - Accent1 73 17 2" xfId="13303" xr:uid="{00000000-0005-0000-0000-0000F8330000}"/>
    <cellStyle name="40% - Accent1 73 17 2 2" xfId="13304" xr:uid="{00000000-0005-0000-0000-0000F9330000}"/>
    <cellStyle name="40% - Accent1 73 17 3" xfId="13305" xr:uid="{00000000-0005-0000-0000-0000FA330000}"/>
    <cellStyle name="40% - Accent1 73 18" xfId="13306" xr:uid="{00000000-0005-0000-0000-0000FB330000}"/>
    <cellStyle name="40% - Accent1 73 18 2" xfId="13307" xr:uid="{00000000-0005-0000-0000-0000FC330000}"/>
    <cellStyle name="40% - Accent1 73 18 2 2" xfId="13308" xr:uid="{00000000-0005-0000-0000-0000FD330000}"/>
    <cellStyle name="40% - Accent1 73 18 3" xfId="13309" xr:uid="{00000000-0005-0000-0000-0000FE330000}"/>
    <cellStyle name="40% - Accent1 73 19" xfId="13310" xr:uid="{00000000-0005-0000-0000-0000FF330000}"/>
    <cellStyle name="40% - Accent1 73 19 2" xfId="13311" xr:uid="{00000000-0005-0000-0000-000000340000}"/>
    <cellStyle name="40% - Accent1 73 19 2 2" xfId="13312" xr:uid="{00000000-0005-0000-0000-000001340000}"/>
    <cellStyle name="40% - Accent1 73 19 3" xfId="13313" xr:uid="{00000000-0005-0000-0000-000002340000}"/>
    <cellStyle name="40% - Accent1 73 2" xfId="13314" xr:uid="{00000000-0005-0000-0000-000003340000}"/>
    <cellStyle name="40% - Accent1 73 2 2" xfId="13315" xr:uid="{00000000-0005-0000-0000-000004340000}"/>
    <cellStyle name="40% - Accent1 73 2 2 2" xfId="13316" xr:uid="{00000000-0005-0000-0000-000005340000}"/>
    <cellStyle name="40% - Accent1 73 2 3" xfId="13317" xr:uid="{00000000-0005-0000-0000-000006340000}"/>
    <cellStyle name="40% - Accent1 73 20" xfId="13318" xr:uid="{00000000-0005-0000-0000-000007340000}"/>
    <cellStyle name="40% - Accent1 73 20 2" xfId="13319" xr:uid="{00000000-0005-0000-0000-000008340000}"/>
    <cellStyle name="40% - Accent1 73 20 2 2" xfId="13320" xr:uid="{00000000-0005-0000-0000-000009340000}"/>
    <cellStyle name="40% - Accent1 73 20 3" xfId="13321" xr:uid="{00000000-0005-0000-0000-00000A340000}"/>
    <cellStyle name="40% - Accent1 73 21" xfId="13322" xr:uid="{00000000-0005-0000-0000-00000B340000}"/>
    <cellStyle name="40% - Accent1 73 21 2" xfId="13323" xr:uid="{00000000-0005-0000-0000-00000C340000}"/>
    <cellStyle name="40% - Accent1 73 21 2 2" xfId="13324" xr:uid="{00000000-0005-0000-0000-00000D340000}"/>
    <cellStyle name="40% - Accent1 73 21 3" xfId="13325" xr:uid="{00000000-0005-0000-0000-00000E340000}"/>
    <cellStyle name="40% - Accent1 73 22" xfId="13326" xr:uid="{00000000-0005-0000-0000-00000F340000}"/>
    <cellStyle name="40% - Accent1 73 22 2" xfId="13327" xr:uid="{00000000-0005-0000-0000-000010340000}"/>
    <cellStyle name="40% - Accent1 73 22 2 2" xfId="13328" xr:uid="{00000000-0005-0000-0000-000011340000}"/>
    <cellStyle name="40% - Accent1 73 22 3" xfId="13329" xr:uid="{00000000-0005-0000-0000-000012340000}"/>
    <cellStyle name="40% - Accent1 73 23" xfId="13330" xr:uid="{00000000-0005-0000-0000-000013340000}"/>
    <cellStyle name="40% - Accent1 73 23 2" xfId="13331" xr:uid="{00000000-0005-0000-0000-000014340000}"/>
    <cellStyle name="40% - Accent1 73 23 2 2" xfId="13332" xr:uid="{00000000-0005-0000-0000-000015340000}"/>
    <cellStyle name="40% - Accent1 73 23 3" xfId="13333" xr:uid="{00000000-0005-0000-0000-000016340000}"/>
    <cellStyle name="40% - Accent1 73 24" xfId="13334" xr:uid="{00000000-0005-0000-0000-000017340000}"/>
    <cellStyle name="40% - Accent1 73 24 2" xfId="13335" xr:uid="{00000000-0005-0000-0000-000018340000}"/>
    <cellStyle name="40% - Accent1 73 24 2 2" xfId="13336" xr:uid="{00000000-0005-0000-0000-000019340000}"/>
    <cellStyle name="40% - Accent1 73 24 3" xfId="13337" xr:uid="{00000000-0005-0000-0000-00001A340000}"/>
    <cellStyle name="40% - Accent1 73 25" xfId="13338" xr:uid="{00000000-0005-0000-0000-00001B340000}"/>
    <cellStyle name="40% - Accent1 73 25 2" xfId="13339" xr:uid="{00000000-0005-0000-0000-00001C340000}"/>
    <cellStyle name="40% - Accent1 73 25 2 2" xfId="13340" xr:uid="{00000000-0005-0000-0000-00001D340000}"/>
    <cellStyle name="40% - Accent1 73 25 3" xfId="13341" xr:uid="{00000000-0005-0000-0000-00001E340000}"/>
    <cellStyle name="40% - Accent1 73 26" xfId="13342" xr:uid="{00000000-0005-0000-0000-00001F340000}"/>
    <cellStyle name="40% - Accent1 73 26 2" xfId="13343" xr:uid="{00000000-0005-0000-0000-000020340000}"/>
    <cellStyle name="40% - Accent1 73 26 2 2" xfId="13344" xr:uid="{00000000-0005-0000-0000-000021340000}"/>
    <cellStyle name="40% - Accent1 73 26 3" xfId="13345" xr:uid="{00000000-0005-0000-0000-000022340000}"/>
    <cellStyle name="40% - Accent1 73 27" xfId="13346" xr:uid="{00000000-0005-0000-0000-000023340000}"/>
    <cellStyle name="40% - Accent1 73 27 2" xfId="13347" xr:uid="{00000000-0005-0000-0000-000024340000}"/>
    <cellStyle name="40% - Accent1 73 27 2 2" xfId="13348" xr:uid="{00000000-0005-0000-0000-000025340000}"/>
    <cellStyle name="40% - Accent1 73 27 3" xfId="13349" xr:uid="{00000000-0005-0000-0000-000026340000}"/>
    <cellStyle name="40% - Accent1 73 28" xfId="13350" xr:uid="{00000000-0005-0000-0000-000027340000}"/>
    <cellStyle name="40% - Accent1 73 28 2" xfId="13351" xr:uid="{00000000-0005-0000-0000-000028340000}"/>
    <cellStyle name="40% - Accent1 73 28 2 2" xfId="13352" xr:uid="{00000000-0005-0000-0000-000029340000}"/>
    <cellStyle name="40% - Accent1 73 28 3" xfId="13353" xr:uid="{00000000-0005-0000-0000-00002A340000}"/>
    <cellStyle name="40% - Accent1 73 29" xfId="13354" xr:uid="{00000000-0005-0000-0000-00002B340000}"/>
    <cellStyle name="40% - Accent1 73 29 2" xfId="13355" xr:uid="{00000000-0005-0000-0000-00002C340000}"/>
    <cellStyle name="40% - Accent1 73 29 2 2" xfId="13356" xr:uid="{00000000-0005-0000-0000-00002D340000}"/>
    <cellStyle name="40% - Accent1 73 29 3" xfId="13357" xr:uid="{00000000-0005-0000-0000-00002E340000}"/>
    <cellStyle name="40% - Accent1 73 3" xfId="13358" xr:uid="{00000000-0005-0000-0000-00002F340000}"/>
    <cellStyle name="40% - Accent1 73 3 2" xfId="13359" xr:uid="{00000000-0005-0000-0000-000030340000}"/>
    <cellStyle name="40% - Accent1 73 3 2 2" xfId="13360" xr:uid="{00000000-0005-0000-0000-000031340000}"/>
    <cellStyle name="40% - Accent1 73 3 3" xfId="13361" xr:uid="{00000000-0005-0000-0000-000032340000}"/>
    <cellStyle name="40% - Accent1 73 30" xfId="13362" xr:uid="{00000000-0005-0000-0000-000033340000}"/>
    <cellStyle name="40% - Accent1 73 30 2" xfId="13363" xr:uid="{00000000-0005-0000-0000-000034340000}"/>
    <cellStyle name="40% - Accent1 73 30 2 2" xfId="13364" xr:uid="{00000000-0005-0000-0000-000035340000}"/>
    <cellStyle name="40% - Accent1 73 30 3" xfId="13365" xr:uid="{00000000-0005-0000-0000-000036340000}"/>
    <cellStyle name="40% - Accent1 73 31" xfId="13366" xr:uid="{00000000-0005-0000-0000-000037340000}"/>
    <cellStyle name="40% - Accent1 73 31 2" xfId="13367" xr:uid="{00000000-0005-0000-0000-000038340000}"/>
    <cellStyle name="40% - Accent1 73 31 2 2" xfId="13368" xr:uid="{00000000-0005-0000-0000-000039340000}"/>
    <cellStyle name="40% - Accent1 73 31 3" xfId="13369" xr:uid="{00000000-0005-0000-0000-00003A340000}"/>
    <cellStyle name="40% - Accent1 73 32" xfId="13370" xr:uid="{00000000-0005-0000-0000-00003B340000}"/>
    <cellStyle name="40% - Accent1 73 32 2" xfId="13371" xr:uid="{00000000-0005-0000-0000-00003C340000}"/>
    <cellStyle name="40% - Accent1 73 32 2 2" xfId="13372" xr:uid="{00000000-0005-0000-0000-00003D340000}"/>
    <cellStyle name="40% - Accent1 73 32 3" xfId="13373" xr:uid="{00000000-0005-0000-0000-00003E340000}"/>
    <cellStyle name="40% - Accent1 73 33" xfId="13374" xr:uid="{00000000-0005-0000-0000-00003F340000}"/>
    <cellStyle name="40% - Accent1 73 33 2" xfId="13375" xr:uid="{00000000-0005-0000-0000-000040340000}"/>
    <cellStyle name="40% - Accent1 73 33 2 2" xfId="13376" xr:uid="{00000000-0005-0000-0000-000041340000}"/>
    <cellStyle name="40% - Accent1 73 33 3" xfId="13377" xr:uid="{00000000-0005-0000-0000-000042340000}"/>
    <cellStyle name="40% - Accent1 73 34" xfId="13378" xr:uid="{00000000-0005-0000-0000-000043340000}"/>
    <cellStyle name="40% - Accent1 73 34 2" xfId="13379" xr:uid="{00000000-0005-0000-0000-000044340000}"/>
    <cellStyle name="40% - Accent1 73 34 2 2" xfId="13380" xr:uid="{00000000-0005-0000-0000-000045340000}"/>
    <cellStyle name="40% - Accent1 73 34 3" xfId="13381" xr:uid="{00000000-0005-0000-0000-000046340000}"/>
    <cellStyle name="40% - Accent1 73 35" xfId="13382" xr:uid="{00000000-0005-0000-0000-000047340000}"/>
    <cellStyle name="40% - Accent1 73 35 2" xfId="13383" xr:uid="{00000000-0005-0000-0000-000048340000}"/>
    <cellStyle name="40% - Accent1 73 35 2 2" xfId="13384" xr:uid="{00000000-0005-0000-0000-000049340000}"/>
    <cellStyle name="40% - Accent1 73 35 3" xfId="13385" xr:uid="{00000000-0005-0000-0000-00004A340000}"/>
    <cellStyle name="40% - Accent1 73 36" xfId="13386" xr:uid="{00000000-0005-0000-0000-00004B340000}"/>
    <cellStyle name="40% - Accent1 73 36 2" xfId="13387" xr:uid="{00000000-0005-0000-0000-00004C340000}"/>
    <cellStyle name="40% - Accent1 73 36 2 2" xfId="13388" xr:uid="{00000000-0005-0000-0000-00004D340000}"/>
    <cellStyle name="40% - Accent1 73 36 3" xfId="13389" xr:uid="{00000000-0005-0000-0000-00004E340000}"/>
    <cellStyle name="40% - Accent1 73 4" xfId="13390" xr:uid="{00000000-0005-0000-0000-00004F340000}"/>
    <cellStyle name="40% - Accent1 73 4 2" xfId="13391" xr:uid="{00000000-0005-0000-0000-000050340000}"/>
    <cellStyle name="40% - Accent1 73 4 2 2" xfId="13392" xr:uid="{00000000-0005-0000-0000-000051340000}"/>
    <cellStyle name="40% - Accent1 73 4 3" xfId="13393" xr:uid="{00000000-0005-0000-0000-000052340000}"/>
    <cellStyle name="40% - Accent1 73 5" xfId="13394" xr:uid="{00000000-0005-0000-0000-000053340000}"/>
    <cellStyle name="40% - Accent1 73 5 2" xfId="13395" xr:uid="{00000000-0005-0000-0000-000054340000}"/>
    <cellStyle name="40% - Accent1 73 5 2 2" xfId="13396" xr:uid="{00000000-0005-0000-0000-000055340000}"/>
    <cellStyle name="40% - Accent1 73 5 3" xfId="13397" xr:uid="{00000000-0005-0000-0000-000056340000}"/>
    <cellStyle name="40% - Accent1 73 6" xfId="13398" xr:uid="{00000000-0005-0000-0000-000057340000}"/>
    <cellStyle name="40% - Accent1 73 6 2" xfId="13399" xr:uid="{00000000-0005-0000-0000-000058340000}"/>
    <cellStyle name="40% - Accent1 73 6 2 2" xfId="13400" xr:uid="{00000000-0005-0000-0000-000059340000}"/>
    <cellStyle name="40% - Accent1 73 6 3" xfId="13401" xr:uid="{00000000-0005-0000-0000-00005A340000}"/>
    <cellStyle name="40% - Accent1 73 7" xfId="13402" xr:uid="{00000000-0005-0000-0000-00005B340000}"/>
    <cellStyle name="40% - Accent1 73 7 2" xfId="13403" xr:uid="{00000000-0005-0000-0000-00005C340000}"/>
    <cellStyle name="40% - Accent1 73 7 2 2" xfId="13404" xr:uid="{00000000-0005-0000-0000-00005D340000}"/>
    <cellStyle name="40% - Accent1 73 7 3" xfId="13405" xr:uid="{00000000-0005-0000-0000-00005E340000}"/>
    <cellStyle name="40% - Accent1 73 8" xfId="13406" xr:uid="{00000000-0005-0000-0000-00005F340000}"/>
    <cellStyle name="40% - Accent1 73 8 2" xfId="13407" xr:uid="{00000000-0005-0000-0000-000060340000}"/>
    <cellStyle name="40% - Accent1 73 8 2 2" xfId="13408" xr:uid="{00000000-0005-0000-0000-000061340000}"/>
    <cellStyle name="40% - Accent1 73 8 3" xfId="13409" xr:uid="{00000000-0005-0000-0000-000062340000}"/>
    <cellStyle name="40% - Accent1 73 9" xfId="13410" xr:uid="{00000000-0005-0000-0000-000063340000}"/>
    <cellStyle name="40% - Accent1 73 9 2" xfId="13411" xr:uid="{00000000-0005-0000-0000-000064340000}"/>
    <cellStyle name="40% - Accent1 73 9 2 2" xfId="13412" xr:uid="{00000000-0005-0000-0000-000065340000}"/>
    <cellStyle name="40% - Accent1 73 9 3" xfId="13413" xr:uid="{00000000-0005-0000-0000-000066340000}"/>
    <cellStyle name="40% - Accent1 74" xfId="13414" xr:uid="{00000000-0005-0000-0000-000067340000}"/>
    <cellStyle name="40% - Accent1 74 10" xfId="13415" xr:uid="{00000000-0005-0000-0000-000068340000}"/>
    <cellStyle name="40% - Accent1 74 10 2" xfId="13416" xr:uid="{00000000-0005-0000-0000-000069340000}"/>
    <cellStyle name="40% - Accent1 74 10 2 2" xfId="13417" xr:uid="{00000000-0005-0000-0000-00006A340000}"/>
    <cellStyle name="40% - Accent1 74 10 3" xfId="13418" xr:uid="{00000000-0005-0000-0000-00006B340000}"/>
    <cellStyle name="40% - Accent1 74 11" xfId="13419" xr:uid="{00000000-0005-0000-0000-00006C340000}"/>
    <cellStyle name="40% - Accent1 74 11 2" xfId="13420" xr:uid="{00000000-0005-0000-0000-00006D340000}"/>
    <cellStyle name="40% - Accent1 74 11 2 2" xfId="13421" xr:uid="{00000000-0005-0000-0000-00006E340000}"/>
    <cellStyle name="40% - Accent1 74 11 3" xfId="13422" xr:uid="{00000000-0005-0000-0000-00006F340000}"/>
    <cellStyle name="40% - Accent1 74 12" xfId="13423" xr:uid="{00000000-0005-0000-0000-000070340000}"/>
    <cellStyle name="40% - Accent1 74 12 2" xfId="13424" xr:uid="{00000000-0005-0000-0000-000071340000}"/>
    <cellStyle name="40% - Accent1 74 12 2 2" xfId="13425" xr:uid="{00000000-0005-0000-0000-000072340000}"/>
    <cellStyle name="40% - Accent1 74 12 3" xfId="13426" xr:uid="{00000000-0005-0000-0000-000073340000}"/>
    <cellStyle name="40% - Accent1 74 13" xfId="13427" xr:uid="{00000000-0005-0000-0000-000074340000}"/>
    <cellStyle name="40% - Accent1 74 13 2" xfId="13428" xr:uid="{00000000-0005-0000-0000-000075340000}"/>
    <cellStyle name="40% - Accent1 74 13 2 2" xfId="13429" xr:uid="{00000000-0005-0000-0000-000076340000}"/>
    <cellStyle name="40% - Accent1 74 13 3" xfId="13430" xr:uid="{00000000-0005-0000-0000-000077340000}"/>
    <cellStyle name="40% - Accent1 74 14" xfId="13431" xr:uid="{00000000-0005-0000-0000-000078340000}"/>
    <cellStyle name="40% - Accent1 74 14 2" xfId="13432" xr:uid="{00000000-0005-0000-0000-000079340000}"/>
    <cellStyle name="40% - Accent1 74 14 2 2" xfId="13433" xr:uid="{00000000-0005-0000-0000-00007A340000}"/>
    <cellStyle name="40% - Accent1 74 14 3" xfId="13434" xr:uid="{00000000-0005-0000-0000-00007B340000}"/>
    <cellStyle name="40% - Accent1 74 15" xfId="13435" xr:uid="{00000000-0005-0000-0000-00007C340000}"/>
    <cellStyle name="40% - Accent1 74 15 2" xfId="13436" xr:uid="{00000000-0005-0000-0000-00007D340000}"/>
    <cellStyle name="40% - Accent1 74 15 2 2" xfId="13437" xr:uid="{00000000-0005-0000-0000-00007E340000}"/>
    <cellStyle name="40% - Accent1 74 15 3" xfId="13438" xr:uid="{00000000-0005-0000-0000-00007F340000}"/>
    <cellStyle name="40% - Accent1 74 16" xfId="13439" xr:uid="{00000000-0005-0000-0000-000080340000}"/>
    <cellStyle name="40% - Accent1 74 16 2" xfId="13440" xr:uid="{00000000-0005-0000-0000-000081340000}"/>
    <cellStyle name="40% - Accent1 74 16 2 2" xfId="13441" xr:uid="{00000000-0005-0000-0000-000082340000}"/>
    <cellStyle name="40% - Accent1 74 16 3" xfId="13442" xr:uid="{00000000-0005-0000-0000-000083340000}"/>
    <cellStyle name="40% - Accent1 74 17" xfId="13443" xr:uid="{00000000-0005-0000-0000-000084340000}"/>
    <cellStyle name="40% - Accent1 74 17 2" xfId="13444" xr:uid="{00000000-0005-0000-0000-000085340000}"/>
    <cellStyle name="40% - Accent1 74 17 2 2" xfId="13445" xr:uid="{00000000-0005-0000-0000-000086340000}"/>
    <cellStyle name="40% - Accent1 74 17 3" xfId="13446" xr:uid="{00000000-0005-0000-0000-000087340000}"/>
    <cellStyle name="40% - Accent1 74 18" xfId="13447" xr:uid="{00000000-0005-0000-0000-000088340000}"/>
    <cellStyle name="40% - Accent1 74 18 2" xfId="13448" xr:uid="{00000000-0005-0000-0000-000089340000}"/>
    <cellStyle name="40% - Accent1 74 18 2 2" xfId="13449" xr:uid="{00000000-0005-0000-0000-00008A340000}"/>
    <cellStyle name="40% - Accent1 74 18 3" xfId="13450" xr:uid="{00000000-0005-0000-0000-00008B340000}"/>
    <cellStyle name="40% - Accent1 74 19" xfId="13451" xr:uid="{00000000-0005-0000-0000-00008C340000}"/>
    <cellStyle name="40% - Accent1 74 19 2" xfId="13452" xr:uid="{00000000-0005-0000-0000-00008D340000}"/>
    <cellStyle name="40% - Accent1 74 19 2 2" xfId="13453" xr:uid="{00000000-0005-0000-0000-00008E340000}"/>
    <cellStyle name="40% - Accent1 74 19 3" xfId="13454" xr:uid="{00000000-0005-0000-0000-00008F340000}"/>
    <cellStyle name="40% - Accent1 74 2" xfId="13455" xr:uid="{00000000-0005-0000-0000-000090340000}"/>
    <cellStyle name="40% - Accent1 74 2 2" xfId="13456" xr:uid="{00000000-0005-0000-0000-000091340000}"/>
    <cellStyle name="40% - Accent1 74 2 2 2" xfId="13457" xr:uid="{00000000-0005-0000-0000-000092340000}"/>
    <cellStyle name="40% - Accent1 74 2 3" xfId="13458" xr:uid="{00000000-0005-0000-0000-000093340000}"/>
    <cellStyle name="40% - Accent1 74 20" xfId="13459" xr:uid="{00000000-0005-0000-0000-000094340000}"/>
    <cellStyle name="40% - Accent1 74 20 2" xfId="13460" xr:uid="{00000000-0005-0000-0000-000095340000}"/>
    <cellStyle name="40% - Accent1 74 20 2 2" xfId="13461" xr:uid="{00000000-0005-0000-0000-000096340000}"/>
    <cellStyle name="40% - Accent1 74 20 3" xfId="13462" xr:uid="{00000000-0005-0000-0000-000097340000}"/>
    <cellStyle name="40% - Accent1 74 21" xfId="13463" xr:uid="{00000000-0005-0000-0000-000098340000}"/>
    <cellStyle name="40% - Accent1 74 21 2" xfId="13464" xr:uid="{00000000-0005-0000-0000-000099340000}"/>
    <cellStyle name="40% - Accent1 74 21 2 2" xfId="13465" xr:uid="{00000000-0005-0000-0000-00009A340000}"/>
    <cellStyle name="40% - Accent1 74 21 3" xfId="13466" xr:uid="{00000000-0005-0000-0000-00009B340000}"/>
    <cellStyle name="40% - Accent1 74 22" xfId="13467" xr:uid="{00000000-0005-0000-0000-00009C340000}"/>
    <cellStyle name="40% - Accent1 74 22 2" xfId="13468" xr:uid="{00000000-0005-0000-0000-00009D340000}"/>
    <cellStyle name="40% - Accent1 74 22 2 2" xfId="13469" xr:uid="{00000000-0005-0000-0000-00009E340000}"/>
    <cellStyle name="40% - Accent1 74 22 3" xfId="13470" xr:uid="{00000000-0005-0000-0000-00009F340000}"/>
    <cellStyle name="40% - Accent1 74 23" xfId="13471" xr:uid="{00000000-0005-0000-0000-0000A0340000}"/>
    <cellStyle name="40% - Accent1 74 23 2" xfId="13472" xr:uid="{00000000-0005-0000-0000-0000A1340000}"/>
    <cellStyle name="40% - Accent1 74 23 2 2" xfId="13473" xr:uid="{00000000-0005-0000-0000-0000A2340000}"/>
    <cellStyle name="40% - Accent1 74 23 3" xfId="13474" xr:uid="{00000000-0005-0000-0000-0000A3340000}"/>
    <cellStyle name="40% - Accent1 74 24" xfId="13475" xr:uid="{00000000-0005-0000-0000-0000A4340000}"/>
    <cellStyle name="40% - Accent1 74 24 2" xfId="13476" xr:uid="{00000000-0005-0000-0000-0000A5340000}"/>
    <cellStyle name="40% - Accent1 74 24 2 2" xfId="13477" xr:uid="{00000000-0005-0000-0000-0000A6340000}"/>
    <cellStyle name="40% - Accent1 74 24 3" xfId="13478" xr:uid="{00000000-0005-0000-0000-0000A7340000}"/>
    <cellStyle name="40% - Accent1 74 25" xfId="13479" xr:uid="{00000000-0005-0000-0000-0000A8340000}"/>
    <cellStyle name="40% - Accent1 74 25 2" xfId="13480" xr:uid="{00000000-0005-0000-0000-0000A9340000}"/>
    <cellStyle name="40% - Accent1 74 25 2 2" xfId="13481" xr:uid="{00000000-0005-0000-0000-0000AA340000}"/>
    <cellStyle name="40% - Accent1 74 25 3" xfId="13482" xr:uid="{00000000-0005-0000-0000-0000AB340000}"/>
    <cellStyle name="40% - Accent1 74 26" xfId="13483" xr:uid="{00000000-0005-0000-0000-0000AC340000}"/>
    <cellStyle name="40% - Accent1 74 26 2" xfId="13484" xr:uid="{00000000-0005-0000-0000-0000AD340000}"/>
    <cellStyle name="40% - Accent1 74 26 2 2" xfId="13485" xr:uid="{00000000-0005-0000-0000-0000AE340000}"/>
    <cellStyle name="40% - Accent1 74 26 3" xfId="13486" xr:uid="{00000000-0005-0000-0000-0000AF340000}"/>
    <cellStyle name="40% - Accent1 74 27" xfId="13487" xr:uid="{00000000-0005-0000-0000-0000B0340000}"/>
    <cellStyle name="40% - Accent1 74 27 2" xfId="13488" xr:uid="{00000000-0005-0000-0000-0000B1340000}"/>
    <cellStyle name="40% - Accent1 74 27 2 2" xfId="13489" xr:uid="{00000000-0005-0000-0000-0000B2340000}"/>
    <cellStyle name="40% - Accent1 74 27 3" xfId="13490" xr:uid="{00000000-0005-0000-0000-0000B3340000}"/>
    <cellStyle name="40% - Accent1 74 28" xfId="13491" xr:uid="{00000000-0005-0000-0000-0000B4340000}"/>
    <cellStyle name="40% - Accent1 74 28 2" xfId="13492" xr:uid="{00000000-0005-0000-0000-0000B5340000}"/>
    <cellStyle name="40% - Accent1 74 28 2 2" xfId="13493" xr:uid="{00000000-0005-0000-0000-0000B6340000}"/>
    <cellStyle name="40% - Accent1 74 28 3" xfId="13494" xr:uid="{00000000-0005-0000-0000-0000B7340000}"/>
    <cellStyle name="40% - Accent1 74 29" xfId="13495" xr:uid="{00000000-0005-0000-0000-0000B8340000}"/>
    <cellStyle name="40% - Accent1 74 29 2" xfId="13496" xr:uid="{00000000-0005-0000-0000-0000B9340000}"/>
    <cellStyle name="40% - Accent1 74 29 2 2" xfId="13497" xr:uid="{00000000-0005-0000-0000-0000BA340000}"/>
    <cellStyle name="40% - Accent1 74 29 3" xfId="13498" xr:uid="{00000000-0005-0000-0000-0000BB340000}"/>
    <cellStyle name="40% - Accent1 74 3" xfId="13499" xr:uid="{00000000-0005-0000-0000-0000BC340000}"/>
    <cellStyle name="40% - Accent1 74 3 2" xfId="13500" xr:uid="{00000000-0005-0000-0000-0000BD340000}"/>
    <cellStyle name="40% - Accent1 74 3 2 2" xfId="13501" xr:uid="{00000000-0005-0000-0000-0000BE340000}"/>
    <cellStyle name="40% - Accent1 74 3 3" xfId="13502" xr:uid="{00000000-0005-0000-0000-0000BF340000}"/>
    <cellStyle name="40% - Accent1 74 30" xfId="13503" xr:uid="{00000000-0005-0000-0000-0000C0340000}"/>
    <cellStyle name="40% - Accent1 74 30 2" xfId="13504" xr:uid="{00000000-0005-0000-0000-0000C1340000}"/>
    <cellStyle name="40% - Accent1 74 30 2 2" xfId="13505" xr:uid="{00000000-0005-0000-0000-0000C2340000}"/>
    <cellStyle name="40% - Accent1 74 30 3" xfId="13506" xr:uid="{00000000-0005-0000-0000-0000C3340000}"/>
    <cellStyle name="40% - Accent1 74 31" xfId="13507" xr:uid="{00000000-0005-0000-0000-0000C4340000}"/>
    <cellStyle name="40% - Accent1 74 31 2" xfId="13508" xr:uid="{00000000-0005-0000-0000-0000C5340000}"/>
    <cellStyle name="40% - Accent1 74 31 2 2" xfId="13509" xr:uid="{00000000-0005-0000-0000-0000C6340000}"/>
    <cellStyle name="40% - Accent1 74 31 3" xfId="13510" xr:uid="{00000000-0005-0000-0000-0000C7340000}"/>
    <cellStyle name="40% - Accent1 74 32" xfId="13511" xr:uid="{00000000-0005-0000-0000-0000C8340000}"/>
    <cellStyle name="40% - Accent1 74 32 2" xfId="13512" xr:uid="{00000000-0005-0000-0000-0000C9340000}"/>
    <cellStyle name="40% - Accent1 74 32 2 2" xfId="13513" xr:uid="{00000000-0005-0000-0000-0000CA340000}"/>
    <cellStyle name="40% - Accent1 74 32 3" xfId="13514" xr:uid="{00000000-0005-0000-0000-0000CB340000}"/>
    <cellStyle name="40% - Accent1 74 33" xfId="13515" xr:uid="{00000000-0005-0000-0000-0000CC340000}"/>
    <cellStyle name="40% - Accent1 74 33 2" xfId="13516" xr:uid="{00000000-0005-0000-0000-0000CD340000}"/>
    <cellStyle name="40% - Accent1 74 33 2 2" xfId="13517" xr:uid="{00000000-0005-0000-0000-0000CE340000}"/>
    <cellStyle name="40% - Accent1 74 33 3" xfId="13518" xr:uid="{00000000-0005-0000-0000-0000CF340000}"/>
    <cellStyle name="40% - Accent1 74 34" xfId="13519" xr:uid="{00000000-0005-0000-0000-0000D0340000}"/>
    <cellStyle name="40% - Accent1 74 34 2" xfId="13520" xr:uid="{00000000-0005-0000-0000-0000D1340000}"/>
    <cellStyle name="40% - Accent1 74 34 2 2" xfId="13521" xr:uid="{00000000-0005-0000-0000-0000D2340000}"/>
    <cellStyle name="40% - Accent1 74 34 3" xfId="13522" xr:uid="{00000000-0005-0000-0000-0000D3340000}"/>
    <cellStyle name="40% - Accent1 74 35" xfId="13523" xr:uid="{00000000-0005-0000-0000-0000D4340000}"/>
    <cellStyle name="40% - Accent1 74 35 2" xfId="13524" xr:uid="{00000000-0005-0000-0000-0000D5340000}"/>
    <cellStyle name="40% - Accent1 74 35 2 2" xfId="13525" xr:uid="{00000000-0005-0000-0000-0000D6340000}"/>
    <cellStyle name="40% - Accent1 74 35 3" xfId="13526" xr:uid="{00000000-0005-0000-0000-0000D7340000}"/>
    <cellStyle name="40% - Accent1 74 36" xfId="13527" xr:uid="{00000000-0005-0000-0000-0000D8340000}"/>
    <cellStyle name="40% - Accent1 74 36 2" xfId="13528" xr:uid="{00000000-0005-0000-0000-0000D9340000}"/>
    <cellStyle name="40% - Accent1 74 36 2 2" xfId="13529" xr:uid="{00000000-0005-0000-0000-0000DA340000}"/>
    <cellStyle name="40% - Accent1 74 36 3" xfId="13530" xr:uid="{00000000-0005-0000-0000-0000DB340000}"/>
    <cellStyle name="40% - Accent1 74 4" xfId="13531" xr:uid="{00000000-0005-0000-0000-0000DC340000}"/>
    <cellStyle name="40% - Accent1 74 4 2" xfId="13532" xr:uid="{00000000-0005-0000-0000-0000DD340000}"/>
    <cellStyle name="40% - Accent1 74 4 2 2" xfId="13533" xr:uid="{00000000-0005-0000-0000-0000DE340000}"/>
    <cellStyle name="40% - Accent1 74 4 3" xfId="13534" xr:uid="{00000000-0005-0000-0000-0000DF340000}"/>
    <cellStyle name="40% - Accent1 74 5" xfId="13535" xr:uid="{00000000-0005-0000-0000-0000E0340000}"/>
    <cellStyle name="40% - Accent1 74 5 2" xfId="13536" xr:uid="{00000000-0005-0000-0000-0000E1340000}"/>
    <cellStyle name="40% - Accent1 74 5 2 2" xfId="13537" xr:uid="{00000000-0005-0000-0000-0000E2340000}"/>
    <cellStyle name="40% - Accent1 74 5 3" xfId="13538" xr:uid="{00000000-0005-0000-0000-0000E3340000}"/>
    <cellStyle name="40% - Accent1 74 6" xfId="13539" xr:uid="{00000000-0005-0000-0000-0000E4340000}"/>
    <cellStyle name="40% - Accent1 74 6 2" xfId="13540" xr:uid="{00000000-0005-0000-0000-0000E5340000}"/>
    <cellStyle name="40% - Accent1 74 6 2 2" xfId="13541" xr:uid="{00000000-0005-0000-0000-0000E6340000}"/>
    <cellStyle name="40% - Accent1 74 6 3" xfId="13542" xr:uid="{00000000-0005-0000-0000-0000E7340000}"/>
    <cellStyle name="40% - Accent1 74 7" xfId="13543" xr:uid="{00000000-0005-0000-0000-0000E8340000}"/>
    <cellStyle name="40% - Accent1 74 7 2" xfId="13544" xr:uid="{00000000-0005-0000-0000-0000E9340000}"/>
    <cellStyle name="40% - Accent1 74 7 2 2" xfId="13545" xr:uid="{00000000-0005-0000-0000-0000EA340000}"/>
    <cellStyle name="40% - Accent1 74 7 3" xfId="13546" xr:uid="{00000000-0005-0000-0000-0000EB340000}"/>
    <cellStyle name="40% - Accent1 74 8" xfId="13547" xr:uid="{00000000-0005-0000-0000-0000EC340000}"/>
    <cellStyle name="40% - Accent1 74 8 2" xfId="13548" xr:uid="{00000000-0005-0000-0000-0000ED340000}"/>
    <cellStyle name="40% - Accent1 74 8 2 2" xfId="13549" xr:uid="{00000000-0005-0000-0000-0000EE340000}"/>
    <cellStyle name="40% - Accent1 74 8 3" xfId="13550" xr:uid="{00000000-0005-0000-0000-0000EF340000}"/>
    <cellStyle name="40% - Accent1 74 9" xfId="13551" xr:uid="{00000000-0005-0000-0000-0000F0340000}"/>
    <cellStyle name="40% - Accent1 74 9 2" xfId="13552" xr:uid="{00000000-0005-0000-0000-0000F1340000}"/>
    <cellStyle name="40% - Accent1 74 9 2 2" xfId="13553" xr:uid="{00000000-0005-0000-0000-0000F2340000}"/>
    <cellStyle name="40% - Accent1 74 9 3" xfId="13554" xr:uid="{00000000-0005-0000-0000-0000F3340000}"/>
    <cellStyle name="40% - Accent1 75" xfId="13555" xr:uid="{00000000-0005-0000-0000-0000F4340000}"/>
    <cellStyle name="40% - Accent1 75 10" xfId="13556" xr:uid="{00000000-0005-0000-0000-0000F5340000}"/>
    <cellStyle name="40% - Accent1 75 10 2" xfId="13557" xr:uid="{00000000-0005-0000-0000-0000F6340000}"/>
    <cellStyle name="40% - Accent1 75 10 2 2" xfId="13558" xr:uid="{00000000-0005-0000-0000-0000F7340000}"/>
    <cellStyle name="40% - Accent1 75 10 3" xfId="13559" xr:uid="{00000000-0005-0000-0000-0000F8340000}"/>
    <cellStyle name="40% - Accent1 75 11" xfId="13560" xr:uid="{00000000-0005-0000-0000-0000F9340000}"/>
    <cellStyle name="40% - Accent1 75 11 2" xfId="13561" xr:uid="{00000000-0005-0000-0000-0000FA340000}"/>
    <cellStyle name="40% - Accent1 75 11 2 2" xfId="13562" xr:uid="{00000000-0005-0000-0000-0000FB340000}"/>
    <cellStyle name="40% - Accent1 75 11 3" xfId="13563" xr:uid="{00000000-0005-0000-0000-0000FC340000}"/>
    <cellStyle name="40% - Accent1 75 12" xfId="13564" xr:uid="{00000000-0005-0000-0000-0000FD340000}"/>
    <cellStyle name="40% - Accent1 75 12 2" xfId="13565" xr:uid="{00000000-0005-0000-0000-0000FE340000}"/>
    <cellStyle name="40% - Accent1 75 12 2 2" xfId="13566" xr:uid="{00000000-0005-0000-0000-0000FF340000}"/>
    <cellStyle name="40% - Accent1 75 12 3" xfId="13567" xr:uid="{00000000-0005-0000-0000-000000350000}"/>
    <cellStyle name="40% - Accent1 75 13" xfId="13568" xr:uid="{00000000-0005-0000-0000-000001350000}"/>
    <cellStyle name="40% - Accent1 75 13 2" xfId="13569" xr:uid="{00000000-0005-0000-0000-000002350000}"/>
    <cellStyle name="40% - Accent1 75 13 2 2" xfId="13570" xr:uid="{00000000-0005-0000-0000-000003350000}"/>
    <cellStyle name="40% - Accent1 75 13 3" xfId="13571" xr:uid="{00000000-0005-0000-0000-000004350000}"/>
    <cellStyle name="40% - Accent1 75 14" xfId="13572" xr:uid="{00000000-0005-0000-0000-000005350000}"/>
    <cellStyle name="40% - Accent1 75 14 2" xfId="13573" xr:uid="{00000000-0005-0000-0000-000006350000}"/>
    <cellStyle name="40% - Accent1 75 14 2 2" xfId="13574" xr:uid="{00000000-0005-0000-0000-000007350000}"/>
    <cellStyle name="40% - Accent1 75 14 3" xfId="13575" xr:uid="{00000000-0005-0000-0000-000008350000}"/>
    <cellStyle name="40% - Accent1 75 15" xfId="13576" xr:uid="{00000000-0005-0000-0000-000009350000}"/>
    <cellStyle name="40% - Accent1 75 15 2" xfId="13577" xr:uid="{00000000-0005-0000-0000-00000A350000}"/>
    <cellStyle name="40% - Accent1 75 15 2 2" xfId="13578" xr:uid="{00000000-0005-0000-0000-00000B350000}"/>
    <cellStyle name="40% - Accent1 75 15 3" xfId="13579" xr:uid="{00000000-0005-0000-0000-00000C350000}"/>
    <cellStyle name="40% - Accent1 75 16" xfId="13580" xr:uid="{00000000-0005-0000-0000-00000D350000}"/>
    <cellStyle name="40% - Accent1 75 16 2" xfId="13581" xr:uid="{00000000-0005-0000-0000-00000E350000}"/>
    <cellStyle name="40% - Accent1 75 16 2 2" xfId="13582" xr:uid="{00000000-0005-0000-0000-00000F350000}"/>
    <cellStyle name="40% - Accent1 75 16 3" xfId="13583" xr:uid="{00000000-0005-0000-0000-000010350000}"/>
    <cellStyle name="40% - Accent1 75 17" xfId="13584" xr:uid="{00000000-0005-0000-0000-000011350000}"/>
    <cellStyle name="40% - Accent1 75 17 2" xfId="13585" xr:uid="{00000000-0005-0000-0000-000012350000}"/>
    <cellStyle name="40% - Accent1 75 17 2 2" xfId="13586" xr:uid="{00000000-0005-0000-0000-000013350000}"/>
    <cellStyle name="40% - Accent1 75 17 3" xfId="13587" xr:uid="{00000000-0005-0000-0000-000014350000}"/>
    <cellStyle name="40% - Accent1 75 18" xfId="13588" xr:uid="{00000000-0005-0000-0000-000015350000}"/>
    <cellStyle name="40% - Accent1 75 18 2" xfId="13589" xr:uid="{00000000-0005-0000-0000-000016350000}"/>
    <cellStyle name="40% - Accent1 75 18 2 2" xfId="13590" xr:uid="{00000000-0005-0000-0000-000017350000}"/>
    <cellStyle name="40% - Accent1 75 18 3" xfId="13591" xr:uid="{00000000-0005-0000-0000-000018350000}"/>
    <cellStyle name="40% - Accent1 75 19" xfId="13592" xr:uid="{00000000-0005-0000-0000-000019350000}"/>
    <cellStyle name="40% - Accent1 75 19 2" xfId="13593" xr:uid="{00000000-0005-0000-0000-00001A350000}"/>
    <cellStyle name="40% - Accent1 75 19 2 2" xfId="13594" xr:uid="{00000000-0005-0000-0000-00001B350000}"/>
    <cellStyle name="40% - Accent1 75 19 3" xfId="13595" xr:uid="{00000000-0005-0000-0000-00001C350000}"/>
    <cellStyle name="40% - Accent1 75 2" xfId="13596" xr:uid="{00000000-0005-0000-0000-00001D350000}"/>
    <cellStyle name="40% - Accent1 75 2 2" xfId="13597" xr:uid="{00000000-0005-0000-0000-00001E350000}"/>
    <cellStyle name="40% - Accent1 75 2 2 2" xfId="13598" xr:uid="{00000000-0005-0000-0000-00001F350000}"/>
    <cellStyle name="40% - Accent1 75 2 3" xfId="13599" xr:uid="{00000000-0005-0000-0000-000020350000}"/>
    <cellStyle name="40% - Accent1 75 20" xfId="13600" xr:uid="{00000000-0005-0000-0000-000021350000}"/>
    <cellStyle name="40% - Accent1 75 20 2" xfId="13601" xr:uid="{00000000-0005-0000-0000-000022350000}"/>
    <cellStyle name="40% - Accent1 75 20 2 2" xfId="13602" xr:uid="{00000000-0005-0000-0000-000023350000}"/>
    <cellStyle name="40% - Accent1 75 20 3" xfId="13603" xr:uid="{00000000-0005-0000-0000-000024350000}"/>
    <cellStyle name="40% - Accent1 75 21" xfId="13604" xr:uid="{00000000-0005-0000-0000-000025350000}"/>
    <cellStyle name="40% - Accent1 75 21 2" xfId="13605" xr:uid="{00000000-0005-0000-0000-000026350000}"/>
    <cellStyle name="40% - Accent1 75 21 2 2" xfId="13606" xr:uid="{00000000-0005-0000-0000-000027350000}"/>
    <cellStyle name="40% - Accent1 75 21 3" xfId="13607" xr:uid="{00000000-0005-0000-0000-000028350000}"/>
    <cellStyle name="40% - Accent1 75 22" xfId="13608" xr:uid="{00000000-0005-0000-0000-000029350000}"/>
    <cellStyle name="40% - Accent1 75 22 2" xfId="13609" xr:uid="{00000000-0005-0000-0000-00002A350000}"/>
    <cellStyle name="40% - Accent1 75 22 2 2" xfId="13610" xr:uid="{00000000-0005-0000-0000-00002B350000}"/>
    <cellStyle name="40% - Accent1 75 22 3" xfId="13611" xr:uid="{00000000-0005-0000-0000-00002C350000}"/>
    <cellStyle name="40% - Accent1 75 23" xfId="13612" xr:uid="{00000000-0005-0000-0000-00002D350000}"/>
    <cellStyle name="40% - Accent1 75 23 2" xfId="13613" xr:uid="{00000000-0005-0000-0000-00002E350000}"/>
    <cellStyle name="40% - Accent1 75 23 2 2" xfId="13614" xr:uid="{00000000-0005-0000-0000-00002F350000}"/>
    <cellStyle name="40% - Accent1 75 23 3" xfId="13615" xr:uid="{00000000-0005-0000-0000-000030350000}"/>
    <cellStyle name="40% - Accent1 75 24" xfId="13616" xr:uid="{00000000-0005-0000-0000-000031350000}"/>
    <cellStyle name="40% - Accent1 75 24 2" xfId="13617" xr:uid="{00000000-0005-0000-0000-000032350000}"/>
    <cellStyle name="40% - Accent1 75 24 2 2" xfId="13618" xr:uid="{00000000-0005-0000-0000-000033350000}"/>
    <cellStyle name="40% - Accent1 75 24 3" xfId="13619" xr:uid="{00000000-0005-0000-0000-000034350000}"/>
    <cellStyle name="40% - Accent1 75 25" xfId="13620" xr:uid="{00000000-0005-0000-0000-000035350000}"/>
    <cellStyle name="40% - Accent1 75 25 2" xfId="13621" xr:uid="{00000000-0005-0000-0000-000036350000}"/>
    <cellStyle name="40% - Accent1 75 25 2 2" xfId="13622" xr:uid="{00000000-0005-0000-0000-000037350000}"/>
    <cellStyle name="40% - Accent1 75 25 3" xfId="13623" xr:uid="{00000000-0005-0000-0000-000038350000}"/>
    <cellStyle name="40% - Accent1 75 26" xfId="13624" xr:uid="{00000000-0005-0000-0000-000039350000}"/>
    <cellStyle name="40% - Accent1 75 26 2" xfId="13625" xr:uid="{00000000-0005-0000-0000-00003A350000}"/>
    <cellStyle name="40% - Accent1 75 26 2 2" xfId="13626" xr:uid="{00000000-0005-0000-0000-00003B350000}"/>
    <cellStyle name="40% - Accent1 75 26 3" xfId="13627" xr:uid="{00000000-0005-0000-0000-00003C350000}"/>
    <cellStyle name="40% - Accent1 75 27" xfId="13628" xr:uid="{00000000-0005-0000-0000-00003D350000}"/>
    <cellStyle name="40% - Accent1 75 27 2" xfId="13629" xr:uid="{00000000-0005-0000-0000-00003E350000}"/>
    <cellStyle name="40% - Accent1 75 27 2 2" xfId="13630" xr:uid="{00000000-0005-0000-0000-00003F350000}"/>
    <cellStyle name="40% - Accent1 75 27 3" xfId="13631" xr:uid="{00000000-0005-0000-0000-000040350000}"/>
    <cellStyle name="40% - Accent1 75 28" xfId="13632" xr:uid="{00000000-0005-0000-0000-000041350000}"/>
    <cellStyle name="40% - Accent1 75 28 2" xfId="13633" xr:uid="{00000000-0005-0000-0000-000042350000}"/>
    <cellStyle name="40% - Accent1 75 28 2 2" xfId="13634" xr:uid="{00000000-0005-0000-0000-000043350000}"/>
    <cellStyle name="40% - Accent1 75 28 3" xfId="13635" xr:uid="{00000000-0005-0000-0000-000044350000}"/>
    <cellStyle name="40% - Accent1 75 29" xfId="13636" xr:uid="{00000000-0005-0000-0000-000045350000}"/>
    <cellStyle name="40% - Accent1 75 29 2" xfId="13637" xr:uid="{00000000-0005-0000-0000-000046350000}"/>
    <cellStyle name="40% - Accent1 75 29 2 2" xfId="13638" xr:uid="{00000000-0005-0000-0000-000047350000}"/>
    <cellStyle name="40% - Accent1 75 29 3" xfId="13639" xr:uid="{00000000-0005-0000-0000-000048350000}"/>
    <cellStyle name="40% - Accent1 75 3" xfId="13640" xr:uid="{00000000-0005-0000-0000-000049350000}"/>
    <cellStyle name="40% - Accent1 75 3 2" xfId="13641" xr:uid="{00000000-0005-0000-0000-00004A350000}"/>
    <cellStyle name="40% - Accent1 75 3 2 2" xfId="13642" xr:uid="{00000000-0005-0000-0000-00004B350000}"/>
    <cellStyle name="40% - Accent1 75 3 3" xfId="13643" xr:uid="{00000000-0005-0000-0000-00004C350000}"/>
    <cellStyle name="40% - Accent1 75 30" xfId="13644" xr:uid="{00000000-0005-0000-0000-00004D350000}"/>
    <cellStyle name="40% - Accent1 75 30 2" xfId="13645" xr:uid="{00000000-0005-0000-0000-00004E350000}"/>
    <cellStyle name="40% - Accent1 75 30 2 2" xfId="13646" xr:uid="{00000000-0005-0000-0000-00004F350000}"/>
    <cellStyle name="40% - Accent1 75 30 3" xfId="13647" xr:uid="{00000000-0005-0000-0000-000050350000}"/>
    <cellStyle name="40% - Accent1 75 31" xfId="13648" xr:uid="{00000000-0005-0000-0000-000051350000}"/>
    <cellStyle name="40% - Accent1 75 31 2" xfId="13649" xr:uid="{00000000-0005-0000-0000-000052350000}"/>
    <cellStyle name="40% - Accent1 75 31 2 2" xfId="13650" xr:uid="{00000000-0005-0000-0000-000053350000}"/>
    <cellStyle name="40% - Accent1 75 31 3" xfId="13651" xr:uid="{00000000-0005-0000-0000-000054350000}"/>
    <cellStyle name="40% - Accent1 75 32" xfId="13652" xr:uid="{00000000-0005-0000-0000-000055350000}"/>
    <cellStyle name="40% - Accent1 75 32 2" xfId="13653" xr:uid="{00000000-0005-0000-0000-000056350000}"/>
    <cellStyle name="40% - Accent1 75 32 2 2" xfId="13654" xr:uid="{00000000-0005-0000-0000-000057350000}"/>
    <cellStyle name="40% - Accent1 75 32 3" xfId="13655" xr:uid="{00000000-0005-0000-0000-000058350000}"/>
    <cellStyle name="40% - Accent1 75 33" xfId="13656" xr:uid="{00000000-0005-0000-0000-000059350000}"/>
    <cellStyle name="40% - Accent1 75 33 2" xfId="13657" xr:uid="{00000000-0005-0000-0000-00005A350000}"/>
    <cellStyle name="40% - Accent1 75 33 2 2" xfId="13658" xr:uid="{00000000-0005-0000-0000-00005B350000}"/>
    <cellStyle name="40% - Accent1 75 33 3" xfId="13659" xr:uid="{00000000-0005-0000-0000-00005C350000}"/>
    <cellStyle name="40% - Accent1 75 34" xfId="13660" xr:uid="{00000000-0005-0000-0000-00005D350000}"/>
    <cellStyle name="40% - Accent1 75 34 2" xfId="13661" xr:uid="{00000000-0005-0000-0000-00005E350000}"/>
    <cellStyle name="40% - Accent1 75 34 2 2" xfId="13662" xr:uid="{00000000-0005-0000-0000-00005F350000}"/>
    <cellStyle name="40% - Accent1 75 34 3" xfId="13663" xr:uid="{00000000-0005-0000-0000-000060350000}"/>
    <cellStyle name="40% - Accent1 75 35" xfId="13664" xr:uid="{00000000-0005-0000-0000-000061350000}"/>
    <cellStyle name="40% - Accent1 75 35 2" xfId="13665" xr:uid="{00000000-0005-0000-0000-000062350000}"/>
    <cellStyle name="40% - Accent1 75 35 2 2" xfId="13666" xr:uid="{00000000-0005-0000-0000-000063350000}"/>
    <cellStyle name="40% - Accent1 75 35 3" xfId="13667" xr:uid="{00000000-0005-0000-0000-000064350000}"/>
    <cellStyle name="40% - Accent1 75 36" xfId="13668" xr:uid="{00000000-0005-0000-0000-000065350000}"/>
    <cellStyle name="40% - Accent1 75 36 2" xfId="13669" xr:uid="{00000000-0005-0000-0000-000066350000}"/>
    <cellStyle name="40% - Accent1 75 36 2 2" xfId="13670" xr:uid="{00000000-0005-0000-0000-000067350000}"/>
    <cellStyle name="40% - Accent1 75 36 3" xfId="13671" xr:uid="{00000000-0005-0000-0000-000068350000}"/>
    <cellStyle name="40% - Accent1 75 4" xfId="13672" xr:uid="{00000000-0005-0000-0000-000069350000}"/>
    <cellStyle name="40% - Accent1 75 4 2" xfId="13673" xr:uid="{00000000-0005-0000-0000-00006A350000}"/>
    <cellStyle name="40% - Accent1 75 4 2 2" xfId="13674" xr:uid="{00000000-0005-0000-0000-00006B350000}"/>
    <cellStyle name="40% - Accent1 75 4 3" xfId="13675" xr:uid="{00000000-0005-0000-0000-00006C350000}"/>
    <cellStyle name="40% - Accent1 75 5" xfId="13676" xr:uid="{00000000-0005-0000-0000-00006D350000}"/>
    <cellStyle name="40% - Accent1 75 5 2" xfId="13677" xr:uid="{00000000-0005-0000-0000-00006E350000}"/>
    <cellStyle name="40% - Accent1 75 5 2 2" xfId="13678" xr:uid="{00000000-0005-0000-0000-00006F350000}"/>
    <cellStyle name="40% - Accent1 75 5 3" xfId="13679" xr:uid="{00000000-0005-0000-0000-000070350000}"/>
    <cellStyle name="40% - Accent1 75 6" xfId="13680" xr:uid="{00000000-0005-0000-0000-000071350000}"/>
    <cellStyle name="40% - Accent1 75 6 2" xfId="13681" xr:uid="{00000000-0005-0000-0000-000072350000}"/>
    <cellStyle name="40% - Accent1 75 6 2 2" xfId="13682" xr:uid="{00000000-0005-0000-0000-000073350000}"/>
    <cellStyle name="40% - Accent1 75 6 3" xfId="13683" xr:uid="{00000000-0005-0000-0000-000074350000}"/>
    <cellStyle name="40% - Accent1 75 7" xfId="13684" xr:uid="{00000000-0005-0000-0000-000075350000}"/>
    <cellStyle name="40% - Accent1 75 7 2" xfId="13685" xr:uid="{00000000-0005-0000-0000-000076350000}"/>
    <cellStyle name="40% - Accent1 75 7 2 2" xfId="13686" xr:uid="{00000000-0005-0000-0000-000077350000}"/>
    <cellStyle name="40% - Accent1 75 7 3" xfId="13687" xr:uid="{00000000-0005-0000-0000-000078350000}"/>
    <cellStyle name="40% - Accent1 75 8" xfId="13688" xr:uid="{00000000-0005-0000-0000-000079350000}"/>
    <cellStyle name="40% - Accent1 75 8 2" xfId="13689" xr:uid="{00000000-0005-0000-0000-00007A350000}"/>
    <cellStyle name="40% - Accent1 75 8 2 2" xfId="13690" xr:uid="{00000000-0005-0000-0000-00007B350000}"/>
    <cellStyle name="40% - Accent1 75 8 3" xfId="13691" xr:uid="{00000000-0005-0000-0000-00007C350000}"/>
    <cellStyle name="40% - Accent1 75 9" xfId="13692" xr:uid="{00000000-0005-0000-0000-00007D350000}"/>
    <cellStyle name="40% - Accent1 75 9 2" xfId="13693" xr:uid="{00000000-0005-0000-0000-00007E350000}"/>
    <cellStyle name="40% - Accent1 75 9 2 2" xfId="13694" xr:uid="{00000000-0005-0000-0000-00007F350000}"/>
    <cellStyle name="40% - Accent1 75 9 3" xfId="13695" xr:uid="{00000000-0005-0000-0000-000080350000}"/>
    <cellStyle name="40% - Accent1 76" xfId="13696" xr:uid="{00000000-0005-0000-0000-000081350000}"/>
    <cellStyle name="40% - Accent1 76 10" xfId="13697" xr:uid="{00000000-0005-0000-0000-000082350000}"/>
    <cellStyle name="40% - Accent1 76 10 2" xfId="13698" xr:uid="{00000000-0005-0000-0000-000083350000}"/>
    <cellStyle name="40% - Accent1 76 10 2 2" xfId="13699" xr:uid="{00000000-0005-0000-0000-000084350000}"/>
    <cellStyle name="40% - Accent1 76 10 3" xfId="13700" xr:uid="{00000000-0005-0000-0000-000085350000}"/>
    <cellStyle name="40% - Accent1 76 11" xfId="13701" xr:uid="{00000000-0005-0000-0000-000086350000}"/>
    <cellStyle name="40% - Accent1 76 11 2" xfId="13702" xr:uid="{00000000-0005-0000-0000-000087350000}"/>
    <cellStyle name="40% - Accent1 76 11 2 2" xfId="13703" xr:uid="{00000000-0005-0000-0000-000088350000}"/>
    <cellStyle name="40% - Accent1 76 11 3" xfId="13704" xr:uid="{00000000-0005-0000-0000-000089350000}"/>
    <cellStyle name="40% - Accent1 76 12" xfId="13705" xr:uid="{00000000-0005-0000-0000-00008A350000}"/>
    <cellStyle name="40% - Accent1 76 12 2" xfId="13706" xr:uid="{00000000-0005-0000-0000-00008B350000}"/>
    <cellStyle name="40% - Accent1 76 12 2 2" xfId="13707" xr:uid="{00000000-0005-0000-0000-00008C350000}"/>
    <cellStyle name="40% - Accent1 76 12 3" xfId="13708" xr:uid="{00000000-0005-0000-0000-00008D350000}"/>
    <cellStyle name="40% - Accent1 76 13" xfId="13709" xr:uid="{00000000-0005-0000-0000-00008E350000}"/>
    <cellStyle name="40% - Accent1 76 13 2" xfId="13710" xr:uid="{00000000-0005-0000-0000-00008F350000}"/>
    <cellStyle name="40% - Accent1 76 13 2 2" xfId="13711" xr:uid="{00000000-0005-0000-0000-000090350000}"/>
    <cellStyle name="40% - Accent1 76 13 3" xfId="13712" xr:uid="{00000000-0005-0000-0000-000091350000}"/>
    <cellStyle name="40% - Accent1 76 14" xfId="13713" xr:uid="{00000000-0005-0000-0000-000092350000}"/>
    <cellStyle name="40% - Accent1 76 14 2" xfId="13714" xr:uid="{00000000-0005-0000-0000-000093350000}"/>
    <cellStyle name="40% - Accent1 76 14 2 2" xfId="13715" xr:uid="{00000000-0005-0000-0000-000094350000}"/>
    <cellStyle name="40% - Accent1 76 14 3" xfId="13716" xr:uid="{00000000-0005-0000-0000-000095350000}"/>
    <cellStyle name="40% - Accent1 76 15" xfId="13717" xr:uid="{00000000-0005-0000-0000-000096350000}"/>
    <cellStyle name="40% - Accent1 76 15 2" xfId="13718" xr:uid="{00000000-0005-0000-0000-000097350000}"/>
    <cellStyle name="40% - Accent1 76 15 2 2" xfId="13719" xr:uid="{00000000-0005-0000-0000-000098350000}"/>
    <cellStyle name="40% - Accent1 76 15 3" xfId="13720" xr:uid="{00000000-0005-0000-0000-000099350000}"/>
    <cellStyle name="40% - Accent1 76 16" xfId="13721" xr:uid="{00000000-0005-0000-0000-00009A350000}"/>
    <cellStyle name="40% - Accent1 76 16 2" xfId="13722" xr:uid="{00000000-0005-0000-0000-00009B350000}"/>
    <cellStyle name="40% - Accent1 76 16 2 2" xfId="13723" xr:uid="{00000000-0005-0000-0000-00009C350000}"/>
    <cellStyle name="40% - Accent1 76 16 3" xfId="13724" xr:uid="{00000000-0005-0000-0000-00009D350000}"/>
    <cellStyle name="40% - Accent1 76 17" xfId="13725" xr:uid="{00000000-0005-0000-0000-00009E350000}"/>
    <cellStyle name="40% - Accent1 76 17 2" xfId="13726" xr:uid="{00000000-0005-0000-0000-00009F350000}"/>
    <cellStyle name="40% - Accent1 76 17 2 2" xfId="13727" xr:uid="{00000000-0005-0000-0000-0000A0350000}"/>
    <cellStyle name="40% - Accent1 76 17 3" xfId="13728" xr:uid="{00000000-0005-0000-0000-0000A1350000}"/>
    <cellStyle name="40% - Accent1 76 18" xfId="13729" xr:uid="{00000000-0005-0000-0000-0000A2350000}"/>
    <cellStyle name="40% - Accent1 76 18 2" xfId="13730" xr:uid="{00000000-0005-0000-0000-0000A3350000}"/>
    <cellStyle name="40% - Accent1 76 18 2 2" xfId="13731" xr:uid="{00000000-0005-0000-0000-0000A4350000}"/>
    <cellStyle name="40% - Accent1 76 18 3" xfId="13732" xr:uid="{00000000-0005-0000-0000-0000A5350000}"/>
    <cellStyle name="40% - Accent1 76 19" xfId="13733" xr:uid="{00000000-0005-0000-0000-0000A6350000}"/>
    <cellStyle name="40% - Accent1 76 19 2" xfId="13734" xr:uid="{00000000-0005-0000-0000-0000A7350000}"/>
    <cellStyle name="40% - Accent1 76 19 2 2" xfId="13735" xr:uid="{00000000-0005-0000-0000-0000A8350000}"/>
    <cellStyle name="40% - Accent1 76 19 3" xfId="13736" xr:uid="{00000000-0005-0000-0000-0000A9350000}"/>
    <cellStyle name="40% - Accent1 76 2" xfId="13737" xr:uid="{00000000-0005-0000-0000-0000AA350000}"/>
    <cellStyle name="40% - Accent1 76 2 2" xfId="13738" xr:uid="{00000000-0005-0000-0000-0000AB350000}"/>
    <cellStyle name="40% - Accent1 76 2 2 2" xfId="13739" xr:uid="{00000000-0005-0000-0000-0000AC350000}"/>
    <cellStyle name="40% - Accent1 76 2 3" xfId="13740" xr:uid="{00000000-0005-0000-0000-0000AD350000}"/>
    <cellStyle name="40% - Accent1 76 20" xfId="13741" xr:uid="{00000000-0005-0000-0000-0000AE350000}"/>
    <cellStyle name="40% - Accent1 76 20 2" xfId="13742" xr:uid="{00000000-0005-0000-0000-0000AF350000}"/>
    <cellStyle name="40% - Accent1 76 20 2 2" xfId="13743" xr:uid="{00000000-0005-0000-0000-0000B0350000}"/>
    <cellStyle name="40% - Accent1 76 20 3" xfId="13744" xr:uid="{00000000-0005-0000-0000-0000B1350000}"/>
    <cellStyle name="40% - Accent1 76 21" xfId="13745" xr:uid="{00000000-0005-0000-0000-0000B2350000}"/>
    <cellStyle name="40% - Accent1 76 21 2" xfId="13746" xr:uid="{00000000-0005-0000-0000-0000B3350000}"/>
    <cellStyle name="40% - Accent1 76 21 2 2" xfId="13747" xr:uid="{00000000-0005-0000-0000-0000B4350000}"/>
    <cellStyle name="40% - Accent1 76 21 3" xfId="13748" xr:uid="{00000000-0005-0000-0000-0000B5350000}"/>
    <cellStyle name="40% - Accent1 76 22" xfId="13749" xr:uid="{00000000-0005-0000-0000-0000B6350000}"/>
    <cellStyle name="40% - Accent1 76 22 2" xfId="13750" xr:uid="{00000000-0005-0000-0000-0000B7350000}"/>
    <cellStyle name="40% - Accent1 76 22 2 2" xfId="13751" xr:uid="{00000000-0005-0000-0000-0000B8350000}"/>
    <cellStyle name="40% - Accent1 76 22 3" xfId="13752" xr:uid="{00000000-0005-0000-0000-0000B9350000}"/>
    <cellStyle name="40% - Accent1 76 23" xfId="13753" xr:uid="{00000000-0005-0000-0000-0000BA350000}"/>
    <cellStyle name="40% - Accent1 76 23 2" xfId="13754" xr:uid="{00000000-0005-0000-0000-0000BB350000}"/>
    <cellStyle name="40% - Accent1 76 23 2 2" xfId="13755" xr:uid="{00000000-0005-0000-0000-0000BC350000}"/>
    <cellStyle name="40% - Accent1 76 23 3" xfId="13756" xr:uid="{00000000-0005-0000-0000-0000BD350000}"/>
    <cellStyle name="40% - Accent1 76 24" xfId="13757" xr:uid="{00000000-0005-0000-0000-0000BE350000}"/>
    <cellStyle name="40% - Accent1 76 24 2" xfId="13758" xr:uid="{00000000-0005-0000-0000-0000BF350000}"/>
    <cellStyle name="40% - Accent1 76 24 2 2" xfId="13759" xr:uid="{00000000-0005-0000-0000-0000C0350000}"/>
    <cellStyle name="40% - Accent1 76 24 3" xfId="13760" xr:uid="{00000000-0005-0000-0000-0000C1350000}"/>
    <cellStyle name="40% - Accent1 76 25" xfId="13761" xr:uid="{00000000-0005-0000-0000-0000C2350000}"/>
    <cellStyle name="40% - Accent1 76 25 2" xfId="13762" xr:uid="{00000000-0005-0000-0000-0000C3350000}"/>
    <cellStyle name="40% - Accent1 76 25 2 2" xfId="13763" xr:uid="{00000000-0005-0000-0000-0000C4350000}"/>
    <cellStyle name="40% - Accent1 76 25 3" xfId="13764" xr:uid="{00000000-0005-0000-0000-0000C5350000}"/>
    <cellStyle name="40% - Accent1 76 26" xfId="13765" xr:uid="{00000000-0005-0000-0000-0000C6350000}"/>
    <cellStyle name="40% - Accent1 76 26 2" xfId="13766" xr:uid="{00000000-0005-0000-0000-0000C7350000}"/>
    <cellStyle name="40% - Accent1 76 26 2 2" xfId="13767" xr:uid="{00000000-0005-0000-0000-0000C8350000}"/>
    <cellStyle name="40% - Accent1 76 26 3" xfId="13768" xr:uid="{00000000-0005-0000-0000-0000C9350000}"/>
    <cellStyle name="40% - Accent1 76 27" xfId="13769" xr:uid="{00000000-0005-0000-0000-0000CA350000}"/>
    <cellStyle name="40% - Accent1 76 27 2" xfId="13770" xr:uid="{00000000-0005-0000-0000-0000CB350000}"/>
    <cellStyle name="40% - Accent1 76 27 2 2" xfId="13771" xr:uid="{00000000-0005-0000-0000-0000CC350000}"/>
    <cellStyle name="40% - Accent1 76 27 3" xfId="13772" xr:uid="{00000000-0005-0000-0000-0000CD350000}"/>
    <cellStyle name="40% - Accent1 76 28" xfId="13773" xr:uid="{00000000-0005-0000-0000-0000CE350000}"/>
    <cellStyle name="40% - Accent1 76 28 2" xfId="13774" xr:uid="{00000000-0005-0000-0000-0000CF350000}"/>
    <cellStyle name="40% - Accent1 76 28 2 2" xfId="13775" xr:uid="{00000000-0005-0000-0000-0000D0350000}"/>
    <cellStyle name="40% - Accent1 76 28 3" xfId="13776" xr:uid="{00000000-0005-0000-0000-0000D1350000}"/>
    <cellStyle name="40% - Accent1 76 29" xfId="13777" xr:uid="{00000000-0005-0000-0000-0000D2350000}"/>
    <cellStyle name="40% - Accent1 76 29 2" xfId="13778" xr:uid="{00000000-0005-0000-0000-0000D3350000}"/>
    <cellStyle name="40% - Accent1 76 29 2 2" xfId="13779" xr:uid="{00000000-0005-0000-0000-0000D4350000}"/>
    <cellStyle name="40% - Accent1 76 29 3" xfId="13780" xr:uid="{00000000-0005-0000-0000-0000D5350000}"/>
    <cellStyle name="40% - Accent1 76 3" xfId="13781" xr:uid="{00000000-0005-0000-0000-0000D6350000}"/>
    <cellStyle name="40% - Accent1 76 3 2" xfId="13782" xr:uid="{00000000-0005-0000-0000-0000D7350000}"/>
    <cellStyle name="40% - Accent1 76 3 2 2" xfId="13783" xr:uid="{00000000-0005-0000-0000-0000D8350000}"/>
    <cellStyle name="40% - Accent1 76 3 3" xfId="13784" xr:uid="{00000000-0005-0000-0000-0000D9350000}"/>
    <cellStyle name="40% - Accent1 76 30" xfId="13785" xr:uid="{00000000-0005-0000-0000-0000DA350000}"/>
    <cellStyle name="40% - Accent1 76 30 2" xfId="13786" xr:uid="{00000000-0005-0000-0000-0000DB350000}"/>
    <cellStyle name="40% - Accent1 76 30 2 2" xfId="13787" xr:uid="{00000000-0005-0000-0000-0000DC350000}"/>
    <cellStyle name="40% - Accent1 76 30 3" xfId="13788" xr:uid="{00000000-0005-0000-0000-0000DD350000}"/>
    <cellStyle name="40% - Accent1 76 31" xfId="13789" xr:uid="{00000000-0005-0000-0000-0000DE350000}"/>
    <cellStyle name="40% - Accent1 76 31 2" xfId="13790" xr:uid="{00000000-0005-0000-0000-0000DF350000}"/>
    <cellStyle name="40% - Accent1 76 31 2 2" xfId="13791" xr:uid="{00000000-0005-0000-0000-0000E0350000}"/>
    <cellStyle name="40% - Accent1 76 31 3" xfId="13792" xr:uid="{00000000-0005-0000-0000-0000E1350000}"/>
    <cellStyle name="40% - Accent1 76 32" xfId="13793" xr:uid="{00000000-0005-0000-0000-0000E2350000}"/>
    <cellStyle name="40% - Accent1 76 32 2" xfId="13794" xr:uid="{00000000-0005-0000-0000-0000E3350000}"/>
    <cellStyle name="40% - Accent1 76 32 2 2" xfId="13795" xr:uid="{00000000-0005-0000-0000-0000E4350000}"/>
    <cellStyle name="40% - Accent1 76 32 3" xfId="13796" xr:uid="{00000000-0005-0000-0000-0000E5350000}"/>
    <cellStyle name="40% - Accent1 76 33" xfId="13797" xr:uid="{00000000-0005-0000-0000-0000E6350000}"/>
    <cellStyle name="40% - Accent1 76 33 2" xfId="13798" xr:uid="{00000000-0005-0000-0000-0000E7350000}"/>
    <cellStyle name="40% - Accent1 76 33 2 2" xfId="13799" xr:uid="{00000000-0005-0000-0000-0000E8350000}"/>
    <cellStyle name="40% - Accent1 76 33 3" xfId="13800" xr:uid="{00000000-0005-0000-0000-0000E9350000}"/>
    <cellStyle name="40% - Accent1 76 34" xfId="13801" xr:uid="{00000000-0005-0000-0000-0000EA350000}"/>
    <cellStyle name="40% - Accent1 76 34 2" xfId="13802" xr:uid="{00000000-0005-0000-0000-0000EB350000}"/>
    <cellStyle name="40% - Accent1 76 34 2 2" xfId="13803" xr:uid="{00000000-0005-0000-0000-0000EC350000}"/>
    <cellStyle name="40% - Accent1 76 34 3" xfId="13804" xr:uid="{00000000-0005-0000-0000-0000ED350000}"/>
    <cellStyle name="40% - Accent1 76 35" xfId="13805" xr:uid="{00000000-0005-0000-0000-0000EE350000}"/>
    <cellStyle name="40% - Accent1 76 35 2" xfId="13806" xr:uid="{00000000-0005-0000-0000-0000EF350000}"/>
    <cellStyle name="40% - Accent1 76 35 2 2" xfId="13807" xr:uid="{00000000-0005-0000-0000-0000F0350000}"/>
    <cellStyle name="40% - Accent1 76 35 3" xfId="13808" xr:uid="{00000000-0005-0000-0000-0000F1350000}"/>
    <cellStyle name="40% - Accent1 76 36" xfId="13809" xr:uid="{00000000-0005-0000-0000-0000F2350000}"/>
    <cellStyle name="40% - Accent1 76 36 2" xfId="13810" xr:uid="{00000000-0005-0000-0000-0000F3350000}"/>
    <cellStyle name="40% - Accent1 76 36 2 2" xfId="13811" xr:uid="{00000000-0005-0000-0000-0000F4350000}"/>
    <cellStyle name="40% - Accent1 76 36 3" xfId="13812" xr:uid="{00000000-0005-0000-0000-0000F5350000}"/>
    <cellStyle name="40% - Accent1 76 4" xfId="13813" xr:uid="{00000000-0005-0000-0000-0000F6350000}"/>
    <cellStyle name="40% - Accent1 76 4 2" xfId="13814" xr:uid="{00000000-0005-0000-0000-0000F7350000}"/>
    <cellStyle name="40% - Accent1 76 4 2 2" xfId="13815" xr:uid="{00000000-0005-0000-0000-0000F8350000}"/>
    <cellStyle name="40% - Accent1 76 4 3" xfId="13816" xr:uid="{00000000-0005-0000-0000-0000F9350000}"/>
    <cellStyle name="40% - Accent1 76 5" xfId="13817" xr:uid="{00000000-0005-0000-0000-0000FA350000}"/>
    <cellStyle name="40% - Accent1 76 5 2" xfId="13818" xr:uid="{00000000-0005-0000-0000-0000FB350000}"/>
    <cellStyle name="40% - Accent1 76 5 2 2" xfId="13819" xr:uid="{00000000-0005-0000-0000-0000FC350000}"/>
    <cellStyle name="40% - Accent1 76 5 3" xfId="13820" xr:uid="{00000000-0005-0000-0000-0000FD350000}"/>
    <cellStyle name="40% - Accent1 76 6" xfId="13821" xr:uid="{00000000-0005-0000-0000-0000FE350000}"/>
    <cellStyle name="40% - Accent1 76 6 2" xfId="13822" xr:uid="{00000000-0005-0000-0000-0000FF350000}"/>
    <cellStyle name="40% - Accent1 76 6 2 2" xfId="13823" xr:uid="{00000000-0005-0000-0000-000000360000}"/>
    <cellStyle name="40% - Accent1 76 6 3" xfId="13824" xr:uid="{00000000-0005-0000-0000-000001360000}"/>
    <cellStyle name="40% - Accent1 76 7" xfId="13825" xr:uid="{00000000-0005-0000-0000-000002360000}"/>
    <cellStyle name="40% - Accent1 76 7 2" xfId="13826" xr:uid="{00000000-0005-0000-0000-000003360000}"/>
    <cellStyle name="40% - Accent1 76 7 2 2" xfId="13827" xr:uid="{00000000-0005-0000-0000-000004360000}"/>
    <cellStyle name="40% - Accent1 76 7 3" xfId="13828" xr:uid="{00000000-0005-0000-0000-000005360000}"/>
    <cellStyle name="40% - Accent1 76 8" xfId="13829" xr:uid="{00000000-0005-0000-0000-000006360000}"/>
    <cellStyle name="40% - Accent1 76 8 2" xfId="13830" xr:uid="{00000000-0005-0000-0000-000007360000}"/>
    <cellStyle name="40% - Accent1 76 8 2 2" xfId="13831" xr:uid="{00000000-0005-0000-0000-000008360000}"/>
    <cellStyle name="40% - Accent1 76 8 3" xfId="13832" xr:uid="{00000000-0005-0000-0000-000009360000}"/>
    <cellStyle name="40% - Accent1 76 9" xfId="13833" xr:uid="{00000000-0005-0000-0000-00000A360000}"/>
    <cellStyle name="40% - Accent1 76 9 2" xfId="13834" xr:uid="{00000000-0005-0000-0000-00000B360000}"/>
    <cellStyle name="40% - Accent1 76 9 2 2" xfId="13835" xr:uid="{00000000-0005-0000-0000-00000C360000}"/>
    <cellStyle name="40% - Accent1 76 9 3" xfId="13836" xr:uid="{00000000-0005-0000-0000-00000D360000}"/>
    <cellStyle name="40% - Accent1 77" xfId="13837" xr:uid="{00000000-0005-0000-0000-00000E360000}"/>
    <cellStyle name="40% - Accent1 77 10" xfId="13838" xr:uid="{00000000-0005-0000-0000-00000F360000}"/>
    <cellStyle name="40% - Accent1 77 10 2" xfId="13839" xr:uid="{00000000-0005-0000-0000-000010360000}"/>
    <cellStyle name="40% - Accent1 77 10 2 2" xfId="13840" xr:uid="{00000000-0005-0000-0000-000011360000}"/>
    <cellStyle name="40% - Accent1 77 10 3" xfId="13841" xr:uid="{00000000-0005-0000-0000-000012360000}"/>
    <cellStyle name="40% - Accent1 77 11" xfId="13842" xr:uid="{00000000-0005-0000-0000-000013360000}"/>
    <cellStyle name="40% - Accent1 77 11 2" xfId="13843" xr:uid="{00000000-0005-0000-0000-000014360000}"/>
    <cellStyle name="40% - Accent1 77 11 2 2" xfId="13844" xr:uid="{00000000-0005-0000-0000-000015360000}"/>
    <cellStyle name="40% - Accent1 77 11 3" xfId="13845" xr:uid="{00000000-0005-0000-0000-000016360000}"/>
    <cellStyle name="40% - Accent1 77 12" xfId="13846" xr:uid="{00000000-0005-0000-0000-000017360000}"/>
    <cellStyle name="40% - Accent1 77 12 2" xfId="13847" xr:uid="{00000000-0005-0000-0000-000018360000}"/>
    <cellStyle name="40% - Accent1 77 12 2 2" xfId="13848" xr:uid="{00000000-0005-0000-0000-000019360000}"/>
    <cellStyle name="40% - Accent1 77 12 3" xfId="13849" xr:uid="{00000000-0005-0000-0000-00001A360000}"/>
    <cellStyle name="40% - Accent1 77 13" xfId="13850" xr:uid="{00000000-0005-0000-0000-00001B360000}"/>
    <cellStyle name="40% - Accent1 77 13 2" xfId="13851" xr:uid="{00000000-0005-0000-0000-00001C360000}"/>
    <cellStyle name="40% - Accent1 77 13 2 2" xfId="13852" xr:uid="{00000000-0005-0000-0000-00001D360000}"/>
    <cellStyle name="40% - Accent1 77 13 3" xfId="13853" xr:uid="{00000000-0005-0000-0000-00001E360000}"/>
    <cellStyle name="40% - Accent1 77 14" xfId="13854" xr:uid="{00000000-0005-0000-0000-00001F360000}"/>
    <cellStyle name="40% - Accent1 77 14 2" xfId="13855" xr:uid="{00000000-0005-0000-0000-000020360000}"/>
    <cellStyle name="40% - Accent1 77 14 2 2" xfId="13856" xr:uid="{00000000-0005-0000-0000-000021360000}"/>
    <cellStyle name="40% - Accent1 77 14 3" xfId="13857" xr:uid="{00000000-0005-0000-0000-000022360000}"/>
    <cellStyle name="40% - Accent1 77 15" xfId="13858" xr:uid="{00000000-0005-0000-0000-000023360000}"/>
    <cellStyle name="40% - Accent1 77 15 2" xfId="13859" xr:uid="{00000000-0005-0000-0000-000024360000}"/>
    <cellStyle name="40% - Accent1 77 15 2 2" xfId="13860" xr:uid="{00000000-0005-0000-0000-000025360000}"/>
    <cellStyle name="40% - Accent1 77 15 3" xfId="13861" xr:uid="{00000000-0005-0000-0000-000026360000}"/>
    <cellStyle name="40% - Accent1 77 16" xfId="13862" xr:uid="{00000000-0005-0000-0000-000027360000}"/>
    <cellStyle name="40% - Accent1 77 16 2" xfId="13863" xr:uid="{00000000-0005-0000-0000-000028360000}"/>
    <cellStyle name="40% - Accent1 77 16 2 2" xfId="13864" xr:uid="{00000000-0005-0000-0000-000029360000}"/>
    <cellStyle name="40% - Accent1 77 16 3" xfId="13865" xr:uid="{00000000-0005-0000-0000-00002A360000}"/>
    <cellStyle name="40% - Accent1 77 17" xfId="13866" xr:uid="{00000000-0005-0000-0000-00002B360000}"/>
    <cellStyle name="40% - Accent1 77 17 2" xfId="13867" xr:uid="{00000000-0005-0000-0000-00002C360000}"/>
    <cellStyle name="40% - Accent1 77 17 2 2" xfId="13868" xr:uid="{00000000-0005-0000-0000-00002D360000}"/>
    <cellStyle name="40% - Accent1 77 17 3" xfId="13869" xr:uid="{00000000-0005-0000-0000-00002E360000}"/>
    <cellStyle name="40% - Accent1 77 18" xfId="13870" xr:uid="{00000000-0005-0000-0000-00002F360000}"/>
    <cellStyle name="40% - Accent1 77 18 2" xfId="13871" xr:uid="{00000000-0005-0000-0000-000030360000}"/>
    <cellStyle name="40% - Accent1 77 18 2 2" xfId="13872" xr:uid="{00000000-0005-0000-0000-000031360000}"/>
    <cellStyle name="40% - Accent1 77 18 3" xfId="13873" xr:uid="{00000000-0005-0000-0000-000032360000}"/>
    <cellStyle name="40% - Accent1 77 19" xfId="13874" xr:uid="{00000000-0005-0000-0000-000033360000}"/>
    <cellStyle name="40% - Accent1 77 19 2" xfId="13875" xr:uid="{00000000-0005-0000-0000-000034360000}"/>
    <cellStyle name="40% - Accent1 77 19 2 2" xfId="13876" xr:uid="{00000000-0005-0000-0000-000035360000}"/>
    <cellStyle name="40% - Accent1 77 19 3" xfId="13877" xr:uid="{00000000-0005-0000-0000-000036360000}"/>
    <cellStyle name="40% - Accent1 77 2" xfId="13878" xr:uid="{00000000-0005-0000-0000-000037360000}"/>
    <cellStyle name="40% - Accent1 77 2 2" xfId="13879" xr:uid="{00000000-0005-0000-0000-000038360000}"/>
    <cellStyle name="40% - Accent1 77 2 2 2" xfId="13880" xr:uid="{00000000-0005-0000-0000-000039360000}"/>
    <cellStyle name="40% - Accent1 77 2 3" xfId="13881" xr:uid="{00000000-0005-0000-0000-00003A360000}"/>
    <cellStyle name="40% - Accent1 77 20" xfId="13882" xr:uid="{00000000-0005-0000-0000-00003B360000}"/>
    <cellStyle name="40% - Accent1 77 20 2" xfId="13883" xr:uid="{00000000-0005-0000-0000-00003C360000}"/>
    <cellStyle name="40% - Accent1 77 20 2 2" xfId="13884" xr:uid="{00000000-0005-0000-0000-00003D360000}"/>
    <cellStyle name="40% - Accent1 77 20 3" xfId="13885" xr:uid="{00000000-0005-0000-0000-00003E360000}"/>
    <cellStyle name="40% - Accent1 77 21" xfId="13886" xr:uid="{00000000-0005-0000-0000-00003F360000}"/>
    <cellStyle name="40% - Accent1 77 21 2" xfId="13887" xr:uid="{00000000-0005-0000-0000-000040360000}"/>
    <cellStyle name="40% - Accent1 77 21 2 2" xfId="13888" xr:uid="{00000000-0005-0000-0000-000041360000}"/>
    <cellStyle name="40% - Accent1 77 21 3" xfId="13889" xr:uid="{00000000-0005-0000-0000-000042360000}"/>
    <cellStyle name="40% - Accent1 77 22" xfId="13890" xr:uid="{00000000-0005-0000-0000-000043360000}"/>
    <cellStyle name="40% - Accent1 77 22 2" xfId="13891" xr:uid="{00000000-0005-0000-0000-000044360000}"/>
    <cellStyle name="40% - Accent1 77 22 2 2" xfId="13892" xr:uid="{00000000-0005-0000-0000-000045360000}"/>
    <cellStyle name="40% - Accent1 77 22 3" xfId="13893" xr:uid="{00000000-0005-0000-0000-000046360000}"/>
    <cellStyle name="40% - Accent1 77 23" xfId="13894" xr:uid="{00000000-0005-0000-0000-000047360000}"/>
    <cellStyle name="40% - Accent1 77 23 2" xfId="13895" xr:uid="{00000000-0005-0000-0000-000048360000}"/>
    <cellStyle name="40% - Accent1 77 23 2 2" xfId="13896" xr:uid="{00000000-0005-0000-0000-000049360000}"/>
    <cellStyle name="40% - Accent1 77 23 3" xfId="13897" xr:uid="{00000000-0005-0000-0000-00004A360000}"/>
    <cellStyle name="40% - Accent1 77 24" xfId="13898" xr:uid="{00000000-0005-0000-0000-00004B360000}"/>
    <cellStyle name="40% - Accent1 77 24 2" xfId="13899" xr:uid="{00000000-0005-0000-0000-00004C360000}"/>
    <cellStyle name="40% - Accent1 77 24 2 2" xfId="13900" xr:uid="{00000000-0005-0000-0000-00004D360000}"/>
    <cellStyle name="40% - Accent1 77 24 3" xfId="13901" xr:uid="{00000000-0005-0000-0000-00004E360000}"/>
    <cellStyle name="40% - Accent1 77 25" xfId="13902" xr:uid="{00000000-0005-0000-0000-00004F360000}"/>
    <cellStyle name="40% - Accent1 77 25 2" xfId="13903" xr:uid="{00000000-0005-0000-0000-000050360000}"/>
    <cellStyle name="40% - Accent1 77 25 2 2" xfId="13904" xr:uid="{00000000-0005-0000-0000-000051360000}"/>
    <cellStyle name="40% - Accent1 77 25 3" xfId="13905" xr:uid="{00000000-0005-0000-0000-000052360000}"/>
    <cellStyle name="40% - Accent1 77 26" xfId="13906" xr:uid="{00000000-0005-0000-0000-000053360000}"/>
    <cellStyle name="40% - Accent1 77 26 2" xfId="13907" xr:uid="{00000000-0005-0000-0000-000054360000}"/>
    <cellStyle name="40% - Accent1 77 26 2 2" xfId="13908" xr:uid="{00000000-0005-0000-0000-000055360000}"/>
    <cellStyle name="40% - Accent1 77 26 3" xfId="13909" xr:uid="{00000000-0005-0000-0000-000056360000}"/>
    <cellStyle name="40% - Accent1 77 27" xfId="13910" xr:uid="{00000000-0005-0000-0000-000057360000}"/>
    <cellStyle name="40% - Accent1 77 27 2" xfId="13911" xr:uid="{00000000-0005-0000-0000-000058360000}"/>
    <cellStyle name="40% - Accent1 77 27 2 2" xfId="13912" xr:uid="{00000000-0005-0000-0000-000059360000}"/>
    <cellStyle name="40% - Accent1 77 27 3" xfId="13913" xr:uid="{00000000-0005-0000-0000-00005A360000}"/>
    <cellStyle name="40% - Accent1 77 28" xfId="13914" xr:uid="{00000000-0005-0000-0000-00005B360000}"/>
    <cellStyle name="40% - Accent1 77 28 2" xfId="13915" xr:uid="{00000000-0005-0000-0000-00005C360000}"/>
    <cellStyle name="40% - Accent1 77 28 2 2" xfId="13916" xr:uid="{00000000-0005-0000-0000-00005D360000}"/>
    <cellStyle name="40% - Accent1 77 28 3" xfId="13917" xr:uid="{00000000-0005-0000-0000-00005E360000}"/>
    <cellStyle name="40% - Accent1 77 29" xfId="13918" xr:uid="{00000000-0005-0000-0000-00005F360000}"/>
    <cellStyle name="40% - Accent1 77 29 2" xfId="13919" xr:uid="{00000000-0005-0000-0000-000060360000}"/>
    <cellStyle name="40% - Accent1 77 29 2 2" xfId="13920" xr:uid="{00000000-0005-0000-0000-000061360000}"/>
    <cellStyle name="40% - Accent1 77 29 3" xfId="13921" xr:uid="{00000000-0005-0000-0000-000062360000}"/>
    <cellStyle name="40% - Accent1 77 3" xfId="13922" xr:uid="{00000000-0005-0000-0000-000063360000}"/>
    <cellStyle name="40% - Accent1 77 3 2" xfId="13923" xr:uid="{00000000-0005-0000-0000-000064360000}"/>
    <cellStyle name="40% - Accent1 77 3 2 2" xfId="13924" xr:uid="{00000000-0005-0000-0000-000065360000}"/>
    <cellStyle name="40% - Accent1 77 3 3" xfId="13925" xr:uid="{00000000-0005-0000-0000-000066360000}"/>
    <cellStyle name="40% - Accent1 77 30" xfId="13926" xr:uid="{00000000-0005-0000-0000-000067360000}"/>
    <cellStyle name="40% - Accent1 77 30 2" xfId="13927" xr:uid="{00000000-0005-0000-0000-000068360000}"/>
    <cellStyle name="40% - Accent1 77 30 2 2" xfId="13928" xr:uid="{00000000-0005-0000-0000-000069360000}"/>
    <cellStyle name="40% - Accent1 77 30 3" xfId="13929" xr:uid="{00000000-0005-0000-0000-00006A360000}"/>
    <cellStyle name="40% - Accent1 77 31" xfId="13930" xr:uid="{00000000-0005-0000-0000-00006B360000}"/>
    <cellStyle name="40% - Accent1 77 31 2" xfId="13931" xr:uid="{00000000-0005-0000-0000-00006C360000}"/>
    <cellStyle name="40% - Accent1 77 31 2 2" xfId="13932" xr:uid="{00000000-0005-0000-0000-00006D360000}"/>
    <cellStyle name="40% - Accent1 77 31 3" xfId="13933" xr:uid="{00000000-0005-0000-0000-00006E360000}"/>
    <cellStyle name="40% - Accent1 77 32" xfId="13934" xr:uid="{00000000-0005-0000-0000-00006F360000}"/>
    <cellStyle name="40% - Accent1 77 32 2" xfId="13935" xr:uid="{00000000-0005-0000-0000-000070360000}"/>
    <cellStyle name="40% - Accent1 77 32 2 2" xfId="13936" xr:uid="{00000000-0005-0000-0000-000071360000}"/>
    <cellStyle name="40% - Accent1 77 32 3" xfId="13937" xr:uid="{00000000-0005-0000-0000-000072360000}"/>
    <cellStyle name="40% - Accent1 77 33" xfId="13938" xr:uid="{00000000-0005-0000-0000-000073360000}"/>
    <cellStyle name="40% - Accent1 77 33 2" xfId="13939" xr:uid="{00000000-0005-0000-0000-000074360000}"/>
    <cellStyle name="40% - Accent1 77 33 2 2" xfId="13940" xr:uid="{00000000-0005-0000-0000-000075360000}"/>
    <cellStyle name="40% - Accent1 77 33 3" xfId="13941" xr:uid="{00000000-0005-0000-0000-000076360000}"/>
    <cellStyle name="40% - Accent1 77 34" xfId="13942" xr:uid="{00000000-0005-0000-0000-000077360000}"/>
    <cellStyle name="40% - Accent1 77 34 2" xfId="13943" xr:uid="{00000000-0005-0000-0000-000078360000}"/>
    <cellStyle name="40% - Accent1 77 34 2 2" xfId="13944" xr:uid="{00000000-0005-0000-0000-000079360000}"/>
    <cellStyle name="40% - Accent1 77 34 3" xfId="13945" xr:uid="{00000000-0005-0000-0000-00007A360000}"/>
    <cellStyle name="40% - Accent1 77 35" xfId="13946" xr:uid="{00000000-0005-0000-0000-00007B360000}"/>
    <cellStyle name="40% - Accent1 77 35 2" xfId="13947" xr:uid="{00000000-0005-0000-0000-00007C360000}"/>
    <cellStyle name="40% - Accent1 77 35 2 2" xfId="13948" xr:uid="{00000000-0005-0000-0000-00007D360000}"/>
    <cellStyle name="40% - Accent1 77 35 3" xfId="13949" xr:uid="{00000000-0005-0000-0000-00007E360000}"/>
    <cellStyle name="40% - Accent1 77 36" xfId="13950" xr:uid="{00000000-0005-0000-0000-00007F360000}"/>
    <cellStyle name="40% - Accent1 77 36 2" xfId="13951" xr:uid="{00000000-0005-0000-0000-000080360000}"/>
    <cellStyle name="40% - Accent1 77 36 2 2" xfId="13952" xr:uid="{00000000-0005-0000-0000-000081360000}"/>
    <cellStyle name="40% - Accent1 77 36 3" xfId="13953" xr:uid="{00000000-0005-0000-0000-000082360000}"/>
    <cellStyle name="40% - Accent1 77 4" xfId="13954" xr:uid="{00000000-0005-0000-0000-000083360000}"/>
    <cellStyle name="40% - Accent1 77 4 2" xfId="13955" xr:uid="{00000000-0005-0000-0000-000084360000}"/>
    <cellStyle name="40% - Accent1 77 4 2 2" xfId="13956" xr:uid="{00000000-0005-0000-0000-000085360000}"/>
    <cellStyle name="40% - Accent1 77 4 3" xfId="13957" xr:uid="{00000000-0005-0000-0000-000086360000}"/>
    <cellStyle name="40% - Accent1 77 5" xfId="13958" xr:uid="{00000000-0005-0000-0000-000087360000}"/>
    <cellStyle name="40% - Accent1 77 5 2" xfId="13959" xr:uid="{00000000-0005-0000-0000-000088360000}"/>
    <cellStyle name="40% - Accent1 77 5 2 2" xfId="13960" xr:uid="{00000000-0005-0000-0000-000089360000}"/>
    <cellStyle name="40% - Accent1 77 5 3" xfId="13961" xr:uid="{00000000-0005-0000-0000-00008A360000}"/>
    <cellStyle name="40% - Accent1 77 6" xfId="13962" xr:uid="{00000000-0005-0000-0000-00008B360000}"/>
    <cellStyle name="40% - Accent1 77 6 2" xfId="13963" xr:uid="{00000000-0005-0000-0000-00008C360000}"/>
    <cellStyle name="40% - Accent1 77 6 2 2" xfId="13964" xr:uid="{00000000-0005-0000-0000-00008D360000}"/>
    <cellStyle name="40% - Accent1 77 6 3" xfId="13965" xr:uid="{00000000-0005-0000-0000-00008E360000}"/>
    <cellStyle name="40% - Accent1 77 7" xfId="13966" xr:uid="{00000000-0005-0000-0000-00008F360000}"/>
    <cellStyle name="40% - Accent1 77 7 2" xfId="13967" xr:uid="{00000000-0005-0000-0000-000090360000}"/>
    <cellStyle name="40% - Accent1 77 7 2 2" xfId="13968" xr:uid="{00000000-0005-0000-0000-000091360000}"/>
    <cellStyle name="40% - Accent1 77 7 3" xfId="13969" xr:uid="{00000000-0005-0000-0000-000092360000}"/>
    <cellStyle name="40% - Accent1 77 8" xfId="13970" xr:uid="{00000000-0005-0000-0000-000093360000}"/>
    <cellStyle name="40% - Accent1 77 8 2" xfId="13971" xr:uid="{00000000-0005-0000-0000-000094360000}"/>
    <cellStyle name="40% - Accent1 77 8 2 2" xfId="13972" xr:uid="{00000000-0005-0000-0000-000095360000}"/>
    <cellStyle name="40% - Accent1 77 8 3" xfId="13973" xr:uid="{00000000-0005-0000-0000-000096360000}"/>
    <cellStyle name="40% - Accent1 77 9" xfId="13974" xr:uid="{00000000-0005-0000-0000-000097360000}"/>
    <cellStyle name="40% - Accent1 77 9 2" xfId="13975" xr:uid="{00000000-0005-0000-0000-000098360000}"/>
    <cellStyle name="40% - Accent1 77 9 2 2" xfId="13976" xr:uid="{00000000-0005-0000-0000-000099360000}"/>
    <cellStyle name="40% - Accent1 77 9 3" xfId="13977" xr:uid="{00000000-0005-0000-0000-00009A360000}"/>
    <cellStyle name="40% - Accent1 78" xfId="13978" xr:uid="{00000000-0005-0000-0000-00009B360000}"/>
    <cellStyle name="40% - Accent1 78 2" xfId="13979" xr:uid="{00000000-0005-0000-0000-00009C360000}"/>
    <cellStyle name="40% - Accent1 79" xfId="13980" xr:uid="{00000000-0005-0000-0000-00009D360000}"/>
    <cellStyle name="40% - Accent1 79 10" xfId="13981" xr:uid="{00000000-0005-0000-0000-00009E360000}"/>
    <cellStyle name="40% - Accent1 79 10 2" xfId="13982" xr:uid="{00000000-0005-0000-0000-00009F360000}"/>
    <cellStyle name="40% - Accent1 79 10 2 2" xfId="13983" xr:uid="{00000000-0005-0000-0000-0000A0360000}"/>
    <cellStyle name="40% - Accent1 79 10 3" xfId="13984" xr:uid="{00000000-0005-0000-0000-0000A1360000}"/>
    <cellStyle name="40% - Accent1 79 11" xfId="13985" xr:uid="{00000000-0005-0000-0000-0000A2360000}"/>
    <cellStyle name="40% - Accent1 79 11 2" xfId="13986" xr:uid="{00000000-0005-0000-0000-0000A3360000}"/>
    <cellStyle name="40% - Accent1 79 11 2 2" xfId="13987" xr:uid="{00000000-0005-0000-0000-0000A4360000}"/>
    <cellStyle name="40% - Accent1 79 11 3" xfId="13988" xr:uid="{00000000-0005-0000-0000-0000A5360000}"/>
    <cellStyle name="40% - Accent1 79 12" xfId="13989" xr:uid="{00000000-0005-0000-0000-0000A6360000}"/>
    <cellStyle name="40% - Accent1 79 12 2" xfId="13990" xr:uid="{00000000-0005-0000-0000-0000A7360000}"/>
    <cellStyle name="40% - Accent1 79 12 2 2" xfId="13991" xr:uid="{00000000-0005-0000-0000-0000A8360000}"/>
    <cellStyle name="40% - Accent1 79 12 3" xfId="13992" xr:uid="{00000000-0005-0000-0000-0000A9360000}"/>
    <cellStyle name="40% - Accent1 79 13" xfId="13993" xr:uid="{00000000-0005-0000-0000-0000AA360000}"/>
    <cellStyle name="40% - Accent1 79 13 2" xfId="13994" xr:uid="{00000000-0005-0000-0000-0000AB360000}"/>
    <cellStyle name="40% - Accent1 79 13 2 2" xfId="13995" xr:uid="{00000000-0005-0000-0000-0000AC360000}"/>
    <cellStyle name="40% - Accent1 79 13 3" xfId="13996" xr:uid="{00000000-0005-0000-0000-0000AD360000}"/>
    <cellStyle name="40% - Accent1 79 14" xfId="13997" xr:uid="{00000000-0005-0000-0000-0000AE360000}"/>
    <cellStyle name="40% - Accent1 79 14 2" xfId="13998" xr:uid="{00000000-0005-0000-0000-0000AF360000}"/>
    <cellStyle name="40% - Accent1 79 14 2 2" xfId="13999" xr:uid="{00000000-0005-0000-0000-0000B0360000}"/>
    <cellStyle name="40% - Accent1 79 14 3" xfId="14000" xr:uid="{00000000-0005-0000-0000-0000B1360000}"/>
    <cellStyle name="40% - Accent1 79 15" xfId="14001" xr:uid="{00000000-0005-0000-0000-0000B2360000}"/>
    <cellStyle name="40% - Accent1 79 15 2" xfId="14002" xr:uid="{00000000-0005-0000-0000-0000B3360000}"/>
    <cellStyle name="40% - Accent1 79 15 2 2" xfId="14003" xr:uid="{00000000-0005-0000-0000-0000B4360000}"/>
    <cellStyle name="40% - Accent1 79 15 3" xfId="14004" xr:uid="{00000000-0005-0000-0000-0000B5360000}"/>
    <cellStyle name="40% - Accent1 79 16" xfId="14005" xr:uid="{00000000-0005-0000-0000-0000B6360000}"/>
    <cellStyle name="40% - Accent1 79 16 2" xfId="14006" xr:uid="{00000000-0005-0000-0000-0000B7360000}"/>
    <cellStyle name="40% - Accent1 79 16 2 2" xfId="14007" xr:uid="{00000000-0005-0000-0000-0000B8360000}"/>
    <cellStyle name="40% - Accent1 79 16 3" xfId="14008" xr:uid="{00000000-0005-0000-0000-0000B9360000}"/>
    <cellStyle name="40% - Accent1 79 17" xfId="14009" xr:uid="{00000000-0005-0000-0000-0000BA360000}"/>
    <cellStyle name="40% - Accent1 79 17 2" xfId="14010" xr:uid="{00000000-0005-0000-0000-0000BB360000}"/>
    <cellStyle name="40% - Accent1 79 17 2 2" xfId="14011" xr:uid="{00000000-0005-0000-0000-0000BC360000}"/>
    <cellStyle name="40% - Accent1 79 17 3" xfId="14012" xr:uid="{00000000-0005-0000-0000-0000BD360000}"/>
    <cellStyle name="40% - Accent1 79 18" xfId="14013" xr:uid="{00000000-0005-0000-0000-0000BE360000}"/>
    <cellStyle name="40% - Accent1 79 18 2" xfId="14014" xr:uid="{00000000-0005-0000-0000-0000BF360000}"/>
    <cellStyle name="40% - Accent1 79 18 2 2" xfId="14015" xr:uid="{00000000-0005-0000-0000-0000C0360000}"/>
    <cellStyle name="40% - Accent1 79 18 3" xfId="14016" xr:uid="{00000000-0005-0000-0000-0000C1360000}"/>
    <cellStyle name="40% - Accent1 79 19" xfId="14017" xr:uid="{00000000-0005-0000-0000-0000C2360000}"/>
    <cellStyle name="40% - Accent1 79 19 2" xfId="14018" xr:uid="{00000000-0005-0000-0000-0000C3360000}"/>
    <cellStyle name="40% - Accent1 79 19 2 2" xfId="14019" xr:uid="{00000000-0005-0000-0000-0000C4360000}"/>
    <cellStyle name="40% - Accent1 79 19 3" xfId="14020" xr:uid="{00000000-0005-0000-0000-0000C5360000}"/>
    <cellStyle name="40% - Accent1 79 2" xfId="14021" xr:uid="{00000000-0005-0000-0000-0000C6360000}"/>
    <cellStyle name="40% - Accent1 79 2 2" xfId="14022" xr:uid="{00000000-0005-0000-0000-0000C7360000}"/>
    <cellStyle name="40% - Accent1 79 2 2 2" xfId="14023" xr:uid="{00000000-0005-0000-0000-0000C8360000}"/>
    <cellStyle name="40% - Accent1 79 2 3" xfId="14024" xr:uid="{00000000-0005-0000-0000-0000C9360000}"/>
    <cellStyle name="40% - Accent1 79 20" xfId="14025" xr:uid="{00000000-0005-0000-0000-0000CA360000}"/>
    <cellStyle name="40% - Accent1 79 20 2" xfId="14026" xr:uid="{00000000-0005-0000-0000-0000CB360000}"/>
    <cellStyle name="40% - Accent1 79 20 2 2" xfId="14027" xr:uid="{00000000-0005-0000-0000-0000CC360000}"/>
    <cellStyle name="40% - Accent1 79 20 3" xfId="14028" xr:uid="{00000000-0005-0000-0000-0000CD360000}"/>
    <cellStyle name="40% - Accent1 79 21" xfId="14029" xr:uid="{00000000-0005-0000-0000-0000CE360000}"/>
    <cellStyle name="40% - Accent1 79 21 2" xfId="14030" xr:uid="{00000000-0005-0000-0000-0000CF360000}"/>
    <cellStyle name="40% - Accent1 79 21 2 2" xfId="14031" xr:uid="{00000000-0005-0000-0000-0000D0360000}"/>
    <cellStyle name="40% - Accent1 79 21 3" xfId="14032" xr:uid="{00000000-0005-0000-0000-0000D1360000}"/>
    <cellStyle name="40% - Accent1 79 22" xfId="14033" xr:uid="{00000000-0005-0000-0000-0000D2360000}"/>
    <cellStyle name="40% - Accent1 79 22 2" xfId="14034" xr:uid="{00000000-0005-0000-0000-0000D3360000}"/>
    <cellStyle name="40% - Accent1 79 22 2 2" xfId="14035" xr:uid="{00000000-0005-0000-0000-0000D4360000}"/>
    <cellStyle name="40% - Accent1 79 22 3" xfId="14036" xr:uid="{00000000-0005-0000-0000-0000D5360000}"/>
    <cellStyle name="40% - Accent1 79 23" xfId="14037" xr:uid="{00000000-0005-0000-0000-0000D6360000}"/>
    <cellStyle name="40% - Accent1 79 23 2" xfId="14038" xr:uid="{00000000-0005-0000-0000-0000D7360000}"/>
    <cellStyle name="40% - Accent1 79 23 2 2" xfId="14039" xr:uid="{00000000-0005-0000-0000-0000D8360000}"/>
    <cellStyle name="40% - Accent1 79 23 3" xfId="14040" xr:uid="{00000000-0005-0000-0000-0000D9360000}"/>
    <cellStyle name="40% - Accent1 79 24" xfId="14041" xr:uid="{00000000-0005-0000-0000-0000DA360000}"/>
    <cellStyle name="40% - Accent1 79 24 2" xfId="14042" xr:uid="{00000000-0005-0000-0000-0000DB360000}"/>
    <cellStyle name="40% - Accent1 79 24 2 2" xfId="14043" xr:uid="{00000000-0005-0000-0000-0000DC360000}"/>
    <cellStyle name="40% - Accent1 79 24 3" xfId="14044" xr:uid="{00000000-0005-0000-0000-0000DD360000}"/>
    <cellStyle name="40% - Accent1 79 25" xfId="14045" xr:uid="{00000000-0005-0000-0000-0000DE360000}"/>
    <cellStyle name="40% - Accent1 79 25 2" xfId="14046" xr:uid="{00000000-0005-0000-0000-0000DF360000}"/>
    <cellStyle name="40% - Accent1 79 25 2 2" xfId="14047" xr:uid="{00000000-0005-0000-0000-0000E0360000}"/>
    <cellStyle name="40% - Accent1 79 25 3" xfId="14048" xr:uid="{00000000-0005-0000-0000-0000E1360000}"/>
    <cellStyle name="40% - Accent1 79 26" xfId="14049" xr:uid="{00000000-0005-0000-0000-0000E2360000}"/>
    <cellStyle name="40% - Accent1 79 26 2" xfId="14050" xr:uid="{00000000-0005-0000-0000-0000E3360000}"/>
    <cellStyle name="40% - Accent1 79 26 2 2" xfId="14051" xr:uid="{00000000-0005-0000-0000-0000E4360000}"/>
    <cellStyle name="40% - Accent1 79 26 3" xfId="14052" xr:uid="{00000000-0005-0000-0000-0000E5360000}"/>
    <cellStyle name="40% - Accent1 79 27" xfId="14053" xr:uid="{00000000-0005-0000-0000-0000E6360000}"/>
    <cellStyle name="40% - Accent1 79 27 2" xfId="14054" xr:uid="{00000000-0005-0000-0000-0000E7360000}"/>
    <cellStyle name="40% - Accent1 79 27 2 2" xfId="14055" xr:uid="{00000000-0005-0000-0000-0000E8360000}"/>
    <cellStyle name="40% - Accent1 79 27 3" xfId="14056" xr:uid="{00000000-0005-0000-0000-0000E9360000}"/>
    <cellStyle name="40% - Accent1 79 28" xfId="14057" xr:uid="{00000000-0005-0000-0000-0000EA360000}"/>
    <cellStyle name="40% - Accent1 79 28 2" xfId="14058" xr:uid="{00000000-0005-0000-0000-0000EB360000}"/>
    <cellStyle name="40% - Accent1 79 28 2 2" xfId="14059" xr:uid="{00000000-0005-0000-0000-0000EC360000}"/>
    <cellStyle name="40% - Accent1 79 28 3" xfId="14060" xr:uid="{00000000-0005-0000-0000-0000ED360000}"/>
    <cellStyle name="40% - Accent1 79 29" xfId="14061" xr:uid="{00000000-0005-0000-0000-0000EE360000}"/>
    <cellStyle name="40% - Accent1 79 29 2" xfId="14062" xr:uid="{00000000-0005-0000-0000-0000EF360000}"/>
    <cellStyle name="40% - Accent1 79 29 2 2" xfId="14063" xr:uid="{00000000-0005-0000-0000-0000F0360000}"/>
    <cellStyle name="40% - Accent1 79 29 3" xfId="14064" xr:uid="{00000000-0005-0000-0000-0000F1360000}"/>
    <cellStyle name="40% - Accent1 79 3" xfId="14065" xr:uid="{00000000-0005-0000-0000-0000F2360000}"/>
    <cellStyle name="40% - Accent1 79 3 2" xfId="14066" xr:uid="{00000000-0005-0000-0000-0000F3360000}"/>
    <cellStyle name="40% - Accent1 79 3 2 2" xfId="14067" xr:uid="{00000000-0005-0000-0000-0000F4360000}"/>
    <cellStyle name="40% - Accent1 79 3 3" xfId="14068" xr:uid="{00000000-0005-0000-0000-0000F5360000}"/>
    <cellStyle name="40% - Accent1 79 30" xfId="14069" xr:uid="{00000000-0005-0000-0000-0000F6360000}"/>
    <cellStyle name="40% - Accent1 79 30 2" xfId="14070" xr:uid="{00000000-0005-0000-0000-0000F7360000}"/>
    <cellStyle name="40% - Accent1 79 30 2 2" xfId="14071" xr:uid="{00000000-0005-0000-0000-0000F8360000}"/>
    <cellStyle name="40% - Accent1 79 30 3" xfId="14072" xr:uid="{00000000-0005-0000-0000-0000F9360000}"/>
    <cellStyle name="40% - Accent1 79 31" xfId="14073" xr:uid="{00000000-0005-0000-0000-0000FA360000}"/>
    <cellStyle name="40% - Accent1 79 31 2" xfId="14074" xr:uid="{00000000-0005-0000-0000-0000FB360000}"/>
    <cellStyle name="40% - Accent1 79 31 2 2" xfId="14075" xr:uid="{00000000-0005-0000-0000-0000FC360000}"/>
    <cellStyle name="40% - Accent1 79 31 3" xfId="14076" xr:uid="{00000000-0005-0000-0000-0000FD360000}"/>
    <cellStyle name="40% - Accent1 79 32" xfId="14077" xr:uid="{00000000-0005-0000-0000-0000FE360000}"/>
    <cellStyle name="40% - Accent1 79 32 2" xfId="14078" xr:uid="{00000000-0005-0000-0000-0000FF360000}"/>
    <cellStyle name="40% - Accent1 79 32 2 2" xfId="14079" xr:uid="{00000000-0005-0000-0000-000000370000}"/>
    <cellStyle name="40% - Accent1 79 32 3" xfId="14080" xr:uid="{00000000-0005-0000-0000-000001370000}"/>
    <cellStyle name="40% - Accent1 79 33" xfId="14081" xr:uid="{00000000-0005-0000-0000-000002370000}"/>
    <cellStyle name="40% - Accent1 79 33 2" xfId="14082" xr:uid="{00000000-0005-0000-0000-000003370000}"/>
    <cellStyle name="40% - Accent1 79 33 2 2" xfId="14083" xr:uid="{00000000-0005-0000-0000-000004370000}"/>
    <cellStyle name="40% - Accent1 79 33 3" xfId="14084" xr:uid="{00000000-0005-0000-0000-000005370000}"/>
    <cellStyle name="40% - Accent1 79 34" xfId="14085" xr:uid="{00000000-0005-0000-0000-000006370000}"/>
    <cellStyle name="40% - Accent1 79 34 2" xfId="14086" xr:uid="{00000000-0005-0000-0000-000007370000}"/>
    <cellStyle name="40% - Accent1 79 34 2 2" xfId="14087" xr:uid="{00000000-0005-0000-0000-000008370000}"/>
    <cellStyle name="40% - Accent1 79 34 3" xfId="14088" xr:uid="{00000000-0005-0000-0000-000009370000}"/>
    <cellStyle name="40% - Accent1 79 35" xfId="14089" xr:uid="{00000000-0005-0000-0000-00000A370000}"/>
    <cellStyle name="40% - Accent1 79 35 2" xfId="14090" xr:uid="{00000000-0005-0000-0000-00000B370000}"/>
    <cellStyle name="40% - Accent1 79 35 2 2" xfId="14091" xr:uid="{00000000-0005-0000-0000-00000C370000}"/>
    <cellStyle name="40% - Accent1 79 35 3" xfId="14092" xr:uid="{00000000-0005-0000-0000-00000D370000}"/>
    <cellStyle name="40% - Accent1 79 36" xfId="14093" xr:uid="{00000000-0005-0000-0000-00000E370000}"/>
    <cellStyle name="40% - Accent1 79 36 2" xfId="14094" xr:uid="{00000000-0005-0000-0000-00000F370000}"/>
    <cellStyle name="40% - Accent1 79 36 2 2" xfId="14095" xr:uid="{00000000-0005-0000-0000-000010370000}"/>
    <cellStyle name="40% - Accent1 79 36 3" xfId="14096" xr:uid="{00000000-0005-0000-0000-000011370000}"/>
    <cellStyle name="40% - Accent1 79 4" xfId="14097" xr:uid="{00000000-0005-0000-0000-000012370000}"/>
    <cellStyle name="40% - Accent1 79 4 2" xfId="14098" xr:uid="{00000000-0005-0000-0000-000013370000}"/>
    <cellStyle name="40% - Accent1 79 4 2 2" xfId="14099" xr:uid="{00000000-0005-0000-0000-000014370000}"/>
    <cellStyle name="40% - Accent1 79 4 3" xfId="14100" xr:uid="{00000000-0005-0000-0000-000015370000}"/>
    <cellStyle name="40% - Accent1 79 5" xfId="14101" xr:uid="{00000000-0005-0000-0000-000016370000}"/>
    <cellStyle name="40% - Accent1 79 5 2" xfId="14102" xr:uid="{00000000-0005-0000-0000-000017370000}"/>
    <cellStyle name="40% - Accent1 79 5 2 2" xfId="14103" xr:uid="{00000000-0005-0000-0000-000018370000}"/>
    <cellStyle name="40% - Accent1 79 5 3" xfId="14104" xr:uid="{00000000-0005-0000-0000-000019370000}"/>
    <cellStyle name="40% - Accent1 79 6" xfId="14105" xr:uid="{00000000-0005-0000-0000-00001A370000}"/>
    <cellStyle name="40% - Accent1 79 6 2" xfId="14106" xr:uid="{00000000-0005-0000-0000-00001B370000}"/>
    <cellStyle name="40% - Accent1 79 6 2 2" xfId="14107" xr:uid="{00000000-0005-0000-0000-00001C370000}"/>
    <cellStyle name="40% - Accent1 79 6 3" xfId="14108" xr:uid="{00000000-0005-0000-0000-00001D370000}"/>
    <cellStyle name="40% - Accent1 79 7" xfId="14109" xr:uid="{00000000-0005-0000-0000-00001E370000}"/>
    <cellStyle name="40% - Accent1 79 7 2" xfId="14110" xr:uid="{00000000-0005-0000-0000-00001F370000}"/>
    <cellStyle name="40% - Accent1 79 7 2 2" xfId="14111" xr:uid="{00000000-0005-0000-0000-000020370000}"/>
    <cellStyle name="40% - Accent1 79 7 3" xfId="14112" xr:uid="{00000000-0005-0000-0000-000021370000}"/>
    <cellStyle name="40% - Accent1 79 8" xfId="14113" xr:uid="{00000000-0005-0000-0000-000022370000}"/>
    <cellStyle name="40% - Accent1 79 8 2" xfId="14114" xr:uid="{00000000-0005-0000-0000-000023370000}"/>
    <cellStyle name="40% - Accent1 79 8 2 2" xfId="14115" xr:uid="{00000000-0005-0000-0000-000024370000}"/>
    <cellStyle name="40% - Accent1 79 8 3" xfId="14116" xr:uid="{00000000-0005-0000-0000-000025370000}"/>
    <cellStyle name="40% - Accent1 79 9" xfId="14117" xr:uid="{00000000-0005-0000-0000-000026370000}"/>
    <cellStyle name="40% - Accent1 79 9 2" xfId="14118" xr:uid="{00000000-0005-0000-0000-000027370000}"/>
    <cellStyle name="40% - Accent1 79 9 2 2" xfId="14119" xr:uid="{00000000-0005-0000-0000-000028370000}"/>
    <cellStyle name="40% - Accent1 79 9 3" xfId="14120" xr:uid="{00000000-0005-0000-0000-000029370000}"/>
    <cellStyle name="40% - Accent1 8" xfId="14121" xr:uid="{00000000-0005-0000-0000-00002A370000}"/>
    <cellStyle name="40% - Accent1 8 2" xfId="14122" xr:uid="{00000000-0005-0000-0000-00002B370000}"/>
    <cellStyle name="40% - Accent1 8 2 2" xfId="14123" xr:uid="{00000000-0005-0000-0000-00002C370000}"/>
    <cellStyle name="40% - Accent1 8 3" xfId="14124" xr:uid="{00000000-0005-0000-0000-00002D370000}"/>
    <cellStyle name="40% - Accent1 8 4" xfId="14125" xr:uid="{00000000-0005-0000-0000-00002E370000}"/>
    <cellStyle name="40% - Accent1 80" xfId="14126" xr:uid="{00000000-0005-0000-0000-00002F370000}"/>
    <cellStyle name="40% - Accent1 80 2" xfId="14127" xr:uid="{00000000-0005-0000-0000-000030370000}"/>
    <cellStyle name="40% - Accent1 81" xfId="14128" xr:uid="{00000000-0005-0000-0000-000031370000}"/>
    <cellStyle name="40% - Accent1 81 10" xfId="14129" xr:uid="{00000000-0005-0000-0000-000032370000}"/>
    <cellStyle name="40% - Accent1 81 10 2" xfId="14130" xr:uid="{00000000-0005-0000-0000-000033370000}"/>
    <cellStyle name="40% - Accent1 81 10 2 2" xfId="14131" xr:uid="{00000000-0005-0000-0000-000034370000}"/>
    <cellStyle name="40% - Accent1 81 10 3" xfId="14132" xr:uid="{00000000-0005-0000-0000-000035370000}"/>
    <cellStyle name="40% - Accent1 81 11" xfId="14133" xr:uid="{00000000-0005-0000-0000-000036370000}"/>
    <cellStyle name="40% - Accent1 81 11 2" xfId="14134" xr:uid="{00000000-0005-0000-0000-000037370000}"/>
    <cellStyle name="40% - Accent1 81 11 2 2" xfId="14135" xr:uid="{00000000-0005-0000-0000-000038370000}"/>
    <cellStyle name="40% - Accent1 81 11 3" xfId="14136" xr:uid="{00000000-0005-0000-0000-000039370000}"/>
    <cellStyle name="40% - Accent1 81 12" xfId="14137" xr:uid="{00000000-0005-0000-0000-00003A370000}"/>
    <cellStyle name="40% - Accent1 81 12 2" xfId="14138" xr:uid="{00000000-0005-0000-0000-00003B370000}"/>
    <cellStyle name="40% - Accent1 81 12 2 2" xfId="14139" xr:uid="{00000000-0005-0000-0000-00003C370000}"/>
    <cellStyle name="40% - Accent1 81 12 3" xfId="14140" xr:uid="{00000000-0005-0000-0000-00003D370000}"/>
    <cellStyle name="40% - Accent1 81 13" xfId="14141" xr:uid="{00000000-0005-0000-0000-00003E370000}"/>
    <cellStyle name="40% - Accent1 81 13 2" xfId="14142" xr:uid="{00000000-0005-0000-0000-00003F370000}"/>
    <cellStyle name="40% - Accent1 81 13 2 2" xfId="14143" xr:uid="{00000000-0005-0000-0000-000040370000}"/>
    <cellStyle name="40% - Accent1 81 13 3" xfId="14144" xr:uid="{00000000-0005-0000-0000-000041370000}"/>
    <cellStyle name="40% - Accent1 81 14" xfId="14145" xr:uid="{00000000-0005-0000-0000-000042370000}"/>
    <cellStyle name="40% - Accent1 81 14 2" xfId="14146" xr:uid="{00000000-0005-0000-0000-000043370000}"/>
    <cellStyle name="40% - Accent1 81 14 2 2" xfId="14147" xr:uid="{00000000-0005-0000-0000-000044370000}"/>
    <cellStyle name="40% - Accent1 81 14 3" xfId="14148" xr:uid="{00000000-0005-0000-0000-000045370000}"/>
    <cellStyle name="40% - Accent1 81 15" xfId="14149" xr:uid="{00000000-0005-0000-0000-000046370000}"/>
    <cellStyle name="40% - Accent1 81 15 2" xfId="14150" xr:uid="{00000000-0005-0000-0000-000047370000}"/>
    <cellStyle name="40% - Accent1 81 15 2 2" xfId="14151" xr:uid="{00000000-0005-0000-0000-000048370000}"/>
    <cellStyle name="40% - Accent1 81 15 3" xfId="14152" xr:uid="{00000000-0005-0000-0000-000049370000}"/>
    <cellStyle name="40% - Accent1 81 16" xfId="14153" xr:uid="{00000000-0005-0000-0000-00004A370000}"/>
    <cellStyle name="40% - Accent1 81 16 2" xfId="14154" xr:uid="{00000000-0005-0000-0000-00004B370000}"/>
    <cellStyle name="40% - Accent1 81 16 2 2" xfId="14155" xr:uid="{00000000-0005-0000-0000-00004C370000}"/>
    <cellStyle name="40% - Accent1 81 16 3" xfId="14156" xr:uid="{00000000-0005-0000-0000-00004D370000}"/>
    <cellStyle name="40% - Accent1 81 17" xfId="14157" xr:uid="{00000000-0005-0000-0000-00004E370000}"/>
    <cellStyle name="40% - Accent1 81 17 2" xfId="14158" xr:uid="{00000000-0005-0000-0000-00004F370000}"/>
    <cellStyle name="40% - Accent1 81 17 2 2" xfId="14159" xr:uid="{00000000-0005-0000-0000-000050370000}"/>
    <cellStyle name="40% - Accent1 81 17 3" xfId="14160" xr:uid="{00000000-0005-0000-0000-000051370000}"/>
    <cellStyle name="40% - Accent1 81 18" xfId="14161" xr:uid="{00000000-0005-0000-0000-000052370000}"/>
    <cellStyle name="40% - Accent1 81 18 2" xfId="14162" xr:uid="{00000000-0005-0000-0000-000053370000}"/>
    <cellStyle name="40% - Accent1 81 18 2 2" xfId="14163" xr:uid="{00000000-0005-0000-0000-000054370000}"/>
    <cellStyle name="40% - Accent1 81 18 3" xfId="14164" xr:uid="{00000000-0005-0000-0000-000055370000}"/>
    <cellStyle name="40% - Accent1 81 19" xfId="14165" xr:uid="{00000000-0005-0000-0000-000056370000}"/>
    <cellStyle name="40% - Accent1 81 19 2" xfId="14166" xr:uid="{00000000-0005-0000-0000-000057370000}"/>
    <cellStyle name="40% - Accent1 81 19 2 2" xfId="14167" xr:uid="{00000000-0005-0000-0000-000058370000}"/>
    <cellStyle name="40% - Accent1 81 19 3" xfId="14168" xr:uid="{00000000-0005-0000-0000-000059370000}"/>
    <cellStyle name="40% - Accent1 81 2" xfId="14169" xr:uid="{00000000-0005-0000-0000-00005A370000}"/>
    <cellStyle name="40% - Accent1 81 2 2" xfId="14170" xr:uid="{00000000-0005-0000-0000-00005B370000}"/>
    <cellStyle name="40% - Accent1 81 2 2 2" xfId="14171" xr:uid="{00000000-0005-0000-0000-00005C370000}"/>
    <cellStyle name="40% - Accent1 81 2 3" xfId="14172" xr:uid="{00000000-0005-0000-0000-00005D370000}"/>
    <cellStyle name="40% - Accent1 81 20" xfId="14173" xr:uid="{00000000-0005-0000-0000-00005E370000}"/>
    <cellStyle name="40% - Accent1 81 20 2" xfId="14174" xr:uid="{00000000-0005-0000-0000-00005F370000}"/>
    <cellStyle name="40% - Accent1 81 20 2 2" xfId="14175" xr:uid="{00000000-0005-0000-0000-000060370000}"/>
    <cellStyle name="40% - Accent1 81 20 3" xfId="14176" xr:uid="{00000000-0005-0000-0000-000061370000}"/>
    <cellStyle name="40% - Accent1 81 21" xfId="14177" xr:uid="{00000000-0005-0000-0000-000062370000}"/>
    <cellStyle name="40% - Accent1 81 21 2" xfId="14178" xr:uid="{00000000-0005-0000-0000-000063370000}"/>
    <cellStyle name="40% - Accent1 81 21 2 2" xfId="14179" xr:uid="{00000000-0005-0000-0000-000064370000}"/>
    <cellStyle name="40% - Accent1 81 21 3" xfId="14180" xr:uid="{00000000-0005-0000-0000-000065370000}"/>
    <cellStyle name="40% - Accent1 81 22" xfId="14181" xr:uid="{00000000-0005-0000-0000-000066370000}"/>
    <cellStyle name="40% - Accent1 81 22 2" xfId="14182" xr:uid="{00000000-0005-0000-0000-000067370000}"/>
    <cellStyle name="40% - Accent1 81 22 2 2" xfId="14183" xr:uid="{00000000-0005-0000-0000-000068370000}"/>
    <cellStyle name="40% - Accent1 81 22 3" xfId="14184" xr:uid="{00000000-0005-0000-0000-000069370000}"/>
    <cellStyle name="40% - Accent1 81 23" xfId="14185" xr:uid="{00000000-0005-0000-0000-00006A370000}"/>
    <cellStyle name="40% - Accent1 81 23 2" xfId="14186" xr:uid="{00000000-0005-0000-0000-00006B370000}"/>
    <cellStyle name="40% - Accent1 81 23 2 2" xfId="14187" xr:uid="{00000000-0005-0000-0000-00006C370000}"/>
    <cellStyle name="40% - Accent1 81 23 3" xfId="14188" xr:uid="{00000000-0005-0000-0000-00006D370000}"/>
    <cellStyle name="40% - Accent1 81 24" xfId="14189" xr:uid="{00000000-0005-0000-0000-00006E370000}"/>
    <cellStyle name="40% - Accent1 81 24 2" xfId="14190" xr:uid="{00000000-0005-0000-0000-00006F370000}"/>
    <cellStyle name="40% - Accent1 81 24 2 2" xfId="14191" xr:uid="{00000000-0005-0000-0000-000070370000}"/>
    <cellStyle name="40% - Accent1 81 24 3" xfId="14192" xr:uid="{00000000-0005-0000-0000-000071370000}"/>
    <cellStyle name="40% - Accent1 81 25" xfId="14193" xr:uid="{00000000-0005-0000-0000-000072370000}"/>
    <cellStyle name="40% - Accent1 81 25 2" xfId="14194" xr:uid="{00000000-0005-0000-0000-000073370000}"/>
    <cellStyle name="40% - Accent1 81 25 2 2" xfId="14195" xr:uid="{00000000-0005-0000-0000-000074370000}"/>
    <cellStyle name="40% - Accent1 81 25 3" xfId="14196" xr:uid="{00000000-0005-0000-0000-000075370000}"/>
    <cellStyle name="40% - Accent1 81 26" xfId="14197" xr:uid="{00000000-0005-0000-0000-000076370000}"/>
    <cellStyle name="40% - Accent1 81 26 2" xfId="14198" xr:uid="{00000000-0005-0000-0000-000077370000}"/>
    <cellStyle name="40% - Accent1 81 26 2 2" xfId="14199" xr:uid="{00000000-0005-0000-0000-000078370000}"/>
    <cellStyle name="40% - Accent1 81 26 3" xfId="14200" xr:uid="{00000000-0005-0000-0000-000079370000}"/>
    <cellStyle name="40% - Accent1 81 27" xfId="14201" xr:uid="{00000000-0005-0000-0000-00007A370000}"/>
    <cellStyle name="40% - Accent1 81 27 2" xfId="14202" xr:uid="{00000000-0005-0000-0000-00007B370000}"/>
    <cellStyle name="40% - Accent1 81 27 2 2" xfId="14203" xr:uid="{00000000-0005-0000-0000-00007C370000}"/>
    <cellStyle name="40% - Accent1 81 27 3" xfId="14204" xr:uid="{00000000-0005-0000-0000-00007D370000}"/>
    <cellStyle name="40% - Accent1 81 28" xfId="14205" xr:uid="{00000000-0005-0000-0000-00007E370000}"/>
    <cellStyle name="40% - Accent1 81 28 2" xfId="14206" xr:uid="{00000000-0005-0000-0000-00007F370000}"/>
    <cellStyle name="40% - Accent1 81 28 2 2" xfId="14207" xr:uid="{00000000-0005-0000-0000-000080370000}"/>
    <cellStyle name="40% - Accent1 81 28 3" xfId="14208" xr:uid="{00000000-0005-0000-0000-000081370000}"/>
    <cellStyle name="40% - Accent1 81 29" xfId="14209" xr:uid="{00000000-0005-0000-0000-000082370000}"/>
    <cellStyle name="40% - Accent1 81 29 2" xfId="14210" xr:uid="{00000000-0005-0000-0000-000083370000}"/>
    <cellStyle name="40% - Accent1 81 29 2 2" xfId="14211" xr:uid="{00000000-0005-0000-0000-000084370000}"/>
    <cellStyle name="40% - Accent1 81 29 3" xfId="14212" xr:uid="{00000000-0005-0000-0000-000085370000}"/>
    <cellStyle name="40% - Accent1 81 3" xfId="14213" xr:uid="{00000000-0005-0000-0000-000086370000}"/>
    <cellStyle name="40% - Accent1 81 3 2" xfId="14214" xr:uid="{00000000-0005-0000-0000-000087370000}"/>
    <cellStyle name="40% - Accent1 81 3 2 2" xfId="14215" xr:uid="{00000000-0005-0000-0000-000088370000}"/>
    <cellStyle name="40% - Accent1 81 3 3" xfId="14216" xr:uid="{00000000-0005-0000-0000-000089370000}"/>
    <cellStyle name="40% - Accent1 81 30" xfId="14217" xr:uid="{00000000-0005-0000-0000-00008A370000}"/>
    <cellStyle name="40% - Accent1 81 30 2" xfId="14218" xr:uid="{00000000-0005-0000-0000-00008B370000}"/>
    <cellStyle name="40% - Accent1 81 30 2 2" xfId="14219" xr:uid="{00000000-0005-0000-0000-00008C370000}"/>
    <cellStyle name="40% - Accent1 81 30 3" xfId="14220" xr:uid="{00000000-0005-0000-0000-00008D370000}"/>
    <cellStyle name="40% - Accent1 81 31" xfId="14221" xr:uid="{00000000-0005-0000-0000-00008E370000}"/>
    <cellStyle name="40% - Accent1 81 31 2" xfId="14222" xr:uid="{00000000-0005-0000-0000-00008F370000}"/>
    <cellStyle name="40% - Accent1 81 31 2 2" xfId="14223" xr:uid="{00000000-0005-0000-0000-000090370000}"/>
    <cellStyle name="40% - Accent1 81 31 3" xfId="14224" xr:uid="{00000000-0005-0000-0000-000091370000}"/>
    <cellStyle name="40% - Accent1 81 32" xfId="14225" xr:uid="{00000000-0005-0000-0000-000092370000}"/>
    <cellStyle name="40% - Accent1 81 32 2" xfId="14226" xr:uid="{00000000-0005-0000-0000-000093370000}"/>
    <cellStyle name="40% - Accent1 81 32 2 2" xfId="14227" xr:uid="{00000000-0005-0000-0000-000094370000}"/>
    <cellStyle name="40% - Accent1 81 32 3" xfId="14228" xr:uid="{00000000-0005-0000-0000-000095370000}"/>
    <cellStyle name="40% - Accent1 81 33" xfId="14229" xr:uid="{00000000-0005-0000-0000-000096370000}"/>
    <cellStyle name="40% - Accent1 81 33 2" xfId="14230" xr:uid="{00000000-0005-0000-0000-000097370000}"/>
    <cellStyle name="40% - Accent1 81 33 2 2" xfId="14231" xr:uid="{00000000-0005-0000-0000-000098370000}"/>
    <cellStyle name="40% - Accent1 81 33 3" xfId="14232" xr:uid="{00000000-0005-0000-0000-000099370000}"/>
    <cellStyle name="40% - Accent1 81 34" xfId="14233" xr:uid="{00000000-0005-0000-0000-00009A370000}"/>
    <cellStyle name="40% - Accent1 81 34 2" xfId="14234" xr:uid="{00000000-0005-0000-0000-00009B370000}"/>
    <cellStyle name="40% - Accent1 81 34 2 2" xfId="14235" xr:uid="{00000000-0005-0000-0000-00009C370000}"/>
    <cellStyle name="40% - Accent1 81 34 3" xfId="14236" xr:uid="{00000000-0005-0000-0000-00009D370000}"/>
    <cellStyle name="40% - Accent1 81 35" xfId="14237" xr:uid="{00000000-0005-0000-0000-00009E370000}"/>
    <cellStyle name="40% - Accent1 81 35 2" xfId="14238" xr:uid="{00000000-0005-0000-0000-00009F370000}"/>
    <cellStyle name="40% - Accent1 81 35 2 2" xfId="14239" xr:uid="{00000000-0005-0000-0000-0000A0370000}"/>
    <cellStyle name="40% - Accent1 81 35 3" xfId="14240" xr:uid="{00000000-0005-0000-0000-0000A1370000}"/>
    <cellStyle name="40% - Accent1 81 36" xfId="14241" xr:uid="{00000000-0005-0000-0000-0000A2370000}"/>
    <cellStyle name="40% - Accent1 81 36 2" xfId="14242" xr:uid="{00000000-0005-0000-0000-0000A3370000}"/>
    <cellStyle name="40% - Accent1 81 36 2 2" xfId="14243" xr:uid="{00000000-0005-0000-0000-0000A4370000}"/>
    <cellStyle name="40% - Accent1 81 36 3" xfId="14244" xr:uid="{00000000-0005-0000-0000-0000A5370000}"/>
    <cellStyle name="40% - Accent1 81 4" xfId="14245" xr:uid="{00000000-0005-0000-0000-0000A6370000}"/>
    <cellStyle name="40% - Accent1 81 4 2" xfId="14246" xr:uid="{00000000-0005-0000-0000-0000A7370000}"/>
    <cellStyle name="40% - Accent1 81 4 2 2" xfId="14247" xr:uid="{00000000-0005-0000-0000-0000A8370000}"/>
    <cellStyle name="40% - Accent1 81 4 3" xfId="14248" xr:uid="{00000000-0005-0000-0000-0000A9370000}"/>
    <cellStyle name="40% - Accent1 81 5" xfId="14249" xr:uid="{00000000-0005-0000-0000-0000AA370000}"/>
    <cellStyle name="40% - Accent1 81 5 2" xfId="14250" xr:uid="{00000000-0005-0000-0000-0000AB370000}"/>
    <cellStyle name="40% - Accent1 81 5 2 2" xfId="14251" xr:uid="{00000000-0005-0000-0000-0000AC370000}"/>
    <cellStyle name="40% - Accent1 81 5 3" xfId="14252" xr:uid="{00000000-0005-0000-0000-0000AD370000}"/>
    <cellStyle name="40% - Accent1 81 6" xfId="14253" xr:uid="{00000000-0005-0000-0000-0000AE370000}"/>
    <cellStyle name="40% - Accent1 81 6 2" xfId="14254" xr:uid="{00000000-0005-0000-0000-0000AF370000}"/>
    <cellStyle name="40% - Accent1 81 6 2 2" xfId="14255" xr:uid="{00000000-0005-0000-0000-0000B0370000}"/>
    <cellStyle name="40% - Accent1 81 6 3" xfId="14256" xr:uid="{00000000-0005-0000-0000-0000B1370000}"/>
    <cellStyle name="40% - Accent1 81 7" xfId="14257" xr:uid="{00000000-0005-0000-0000-0000B2370000}"/>
    <cellStyle name="40% - Accent1 81 7 2" xfId="14258" xr:uid="{00000000-0005-0000-0000-0000B3370000}"/>
    <cellStyle name="40% - Accent1 81 7 2 2" xfId="14259" xr:uid="{00000000-0005-0000-0000-0000B4370000}"/>
    <cellStyle name="40% - Accent1 81 7 3" xfId="14260" xr:uid="{00000000-0005-0000-0000-0000B5370000}"/>
    <cellStyle name="40% - Accent1 81 8" xfId="14261" xr:uid="{00000000-0005-0000-0000-0000B6370000}"/>
    <cellStyle name="40% - Accent1 81 8 2" xfId="14262" xr:uid="{00000000-0005-0000-0000-0000B7370000}"/>
    <cellStyle name="40% - Accent1 81 8 2 2" xfId="14263" xr:uid="{00000000-0005-0000-0000-0000B8370000}"/>
    <cellStyle name="40% - Accent1 81 8 3" xfId="14264" xr:uid="{00000000-0005-0000-0000-0000B9370000}"/>
    <cellStyle name="40% - Accent1 81 9" xfId="14265" xr:uid="{00000000-0005-0000-0000-0000BA370000}"/>
    <cellStyle name="40% - Accent1 81 9 2" xfId="14266" xr:uid="{00000000-0005-0000-0000-0000BB370000}"/>
    <cellStyle name="40% - Accent1 81 9 2 2" xfId="14267" xr:uid="{00000000-0005-0000-0000-0000BC370000}"/>
    <cellStyle name="40% - Accent1 81 9 3" xfId="14268" xr:uid="{00000000-0005-0000-0000-0000BD370000}"/>
    <cellStyle name="40% - Accent1 82" xfId="14269" xr:uid="{00000000-0005-0000-0000-0000BE370000}"/>
    <cellStyle name="40% - Accent1 82 2" xfId="14270" xr:uid="{00000000-0005-0000-0000-0000BF370000}"/>
    <cellStyle name="40% - Accent1 83" xfId="14271" xr:uid="{00000000-0005-0000-0000-0000C0370000}"/>
    <cellStyle name="40% - Accent1 83 10" xfId="14272" xr:uid="{00000000-0005-0000-0000-0000C1370000}"/>
    <cellStyle name="40% - Accent1 83 10 2" xfId="14273" xr:uid="{00000000-0005-0000-0000-0000C2370000}"/>
    <cellStyle name="40% - Accent1 83 10 2 2" xfId="14274" xr:uid="{00000000-0005-0000-0000-0000C3370000}"/>
    <cellStyle name="40% - Accent1 83 10 3" xfId="14275" xr:uid="{00000000-0005-0000-0000-0000C4370000}"/>
    <cellStyle name="40% - Accent1 83 11" xfId="14276" xr:uid="{00000000-0005-0000-0000-0000C5370000}"/>
    <cellStyle name="40% - Accent1 83 11 2" xfId="14277" xr:uid="{00000000-0005-0000-0000-0000C6370000}"/>
    <cellStyle name="40% - Accent1 83 11 2 2" xfId="14278" xr:uid="{00000000-0005-0000-0000-0000C7370000}"/>
    <cellStyle name="40% - Accent1 83 11 3" xfId="14279" xr:uid="{00000000-0005-0000-0000-0000C8370000}"/>
    <cellStyle name="40% - Accent1 83 12" xfId="14280" xr:uid="{00000000-0005-0000-0000-0000C9370000}"/>
    <cellStyle name="40% - Accent1 83 12 2" xfId="14281" xr:uid="{00000000-0005-0000-0000-0000CA370000}"/>
    <cellStyle name="40% - Accent1 83 12 2 2" xfId="14282" xr:uid="{00000000-0005-0000-0000-0000CB370000}"/>
    <cellStyle name="40% - Accent1 83 12 3" xfId="14283" xr:uid="{00000000-0005-0000-0000-0000CC370000}"/>
    <cellStyle name="40% - Accent1 83 13" xfId="14284" xr:uid="{00000000-0005-0000-0000-0000CD370000}"/>
    <cellStyle name="40% - Accent1 83 13 2" xfId="14285" xr:uid="{00000000-0005-0000-0000-0000CE370000}"/>
    <cellStyle name="40% - Accent1 83 13 2 2" xfId="14286" xr:uid="{00000000-0005-0000-0000-0000CF370000}"/>
    <cellStyle name="40% - Accent1 83 13 3" xfId="14287" xr:uid="{00000000-0005-0000-0000-0000D0370000}"/>
    <cellStyle name="40% - Accent1 83 14" xfId="14288" xr:uid="{00000000-0005-0000-0000-0000D1370000}"/>
    <cellStyle name="40% - Accent1 83 14 2" xfId="14289" xr:uid="{00000000-0005-0000-0000-0000D2370000}"/>
    <cellStyle name="40% - Accent1 83 14 2 2" xfId="14290" xr:uid="{00000000-0005-0000-0000-0000D3370000}"/>
    <cellStyle name="40% - Accent1 83 14 3" xfId="14291" xr:uid="{00000000-0005-0000-0000-0000D4370000}"/>
    <cellStyle name="40% - Accent1 83 15" xfId="14292" xr:uid="{00000000-0005-0000-0000-0000D5370000}"/>
    <cellStyle name="40% - Accent1 83 15 2" xfId="14293" xr:uid="{00000000-0005-0000-0000-0000D6370000}"/>
    <cellStyle name="40% - Accent1 83 15 2 2" xfId="14294" xr:uid="{00000000-0005-0000-0000-0000D7370000}"/>
    <cellStyle name="40% - Accent1 83 15 3" xfId="14295" xr:uid="{00000000-0005-0000-0000-0000D8370000}"/>
    <cellStyle name="40% - Accent1 83 16" xfId="14296" xr:uid="{00000000-0005-0000-0000-0000D9370000}"/>
    <cellStyle name="40% - Accent1 83 16 2" xfId="14297" xr:uid="{00000000-0005-0000-0000-0000DA370000}"/>
    <cellStyle name="40% - Accent1 83 16 2 2" xfId="14298" xr:uid="{00000000-0005-0000-0000-0000DB370000}"/>
    <cellStyle name="40% - Accent1 83 16 3" xfId="14299" xr:uid="{00000000-0005-0000-0000-0000DC370000}"/>
    <cellStyle name="40% - Accent1 83 17" xfId="14300" xr:uid="{00000000-0005-0000-0000-0000DD370000}"/>
    <cellStyle name="40% - Accent1 83 17 2" xfId="14301" xr:uid="{00000000-0005-0000-0000-0000DE370000}"/>
    <cellStyle name="40% - Accent1 83 17 2 2" xfId="14302" xr:uid="{00000000-0005-0000-0000-0000DF370000}"/>
    <cellStyle name="40% - Accent1 83 17 3" xfId="14303" xr:uid="{00000000-0005-0000-0000-0000E0370000}"/>
    <cellStyle name="40% - Accent1 83 18" xfId="14304" xr:uid="{00000000-0005-0000-0000-0000E1370000}"/>
    <cellStyle name="40% - Accent1 83 18 2" xfId="14305" xr:uid="{00000000-0005-0000-0000-0000E2370000}"/>
    <cellStyle name="40% - Accent1 83 18 2 2" xfId="14306" xr:uid="{00000000-0005-0000-0000-0000E3370000}"/>
    <cellStyle name="40% - Accent1 83 18 3" xfId="14307" xr:uid="{00000000-0005-0000-0000-0000E4370000}"/>
    <cellStyle name="40% - Accent1 83 19" xfId="14308" xr:uid="{00000000-0005-0000-0000-0000E5370000}"/>
    <cellStyle name="40% - Accent1 83 19 2" xfId="14309" xr:uid="{00000000-0005-0000-0000-0000E6370000}"/>
    <cellStyle name="40% - Accent1 83 19 2 2" xfId="14310" xr:uid="{00000000-0005-0000-0000-0000E7370000}"/>
    <cellStyle name="40% - Accent1 83 19 3" xfId="14311" xr:uid="{00000000-0005-0000-0000-0000E8370000}"/>
    <cellStyle name="40% - Accent1 83 2" xfId="14312" xr:uid="{00000000-0005-0000-0000-0000E9370000}"/>
    <cellStyle name="40% - Accent1 83 2 2" xfId="14313" xr:uid="{00000000-0005-0000-0000-0000EA370000}"/>
    <cellStyle name="40% - Accent1 83 2 2 2" xfId="14314" xr:uid="{00000000-0005-0000-0000-0000EB370000}"/>
    <cellStyle name="40% - Accent1 83 2 3" xfId="14315" xr:uid="{00000000-0005-0000-0000-0000EC370000}"/>
    <cellStyle name="40% - Accent1 83 20" xfId="14316" xr:uid="{00000000-0005-0000-0000-0000ED370000}"/>
    <cellStyle name="40% - Accent1 83 20 2" xfId="14317" xr:uid="{00000000-0005-0000-0000-0000EE370000}"/>
    <cellStyle name="40% - Accent1 83 20 2 2" xfId="14318" xr:uid="{00000000-0005-0000-0000-0000EF370000}"/>
    <cellStyle name="40% - Accent1 83 20 3" xfId="14319" xr:uid="{00000000-0005-0000-0000-0000F0370000}"/>
    <cellStyle name="40% - Accent1 83 21" xfId="14320" xr:uid="{00000000-0005-0000-0000-0000F1370000}"/>
    <cellStyle name="40% - Accent1 83 21 2" xfId="14321" xr:uid="{00000000-0005-0000-0000-0000F2370000}"/>
    <cellStyle name="40% - Accent1 83 21 2 2" xfId="14322" xr:uid="{00000000-0005-0000-0000-0000F3370000}"/>
    <cellStyle name="40% - Accent1 83 21 3" xfId="14323" xr:uid="{00000000-0005-0000-0000-0000F4370000}"/>
    <cellStyle name="40% - Accent1 83 22" xfId="14324" xr:uid="{00000000-0005-0000-0000-0000F5370000}"/>
    <cellStyle name="40% - Accent1 83 22 2" xfId="14325" xr:uid="{00000000-0005-0000-0000-0000F6370000}"/>
    <cellStyle name="40% - Accent1 83 22 2 2" xfId="14326" xr:uid="{00000000-0005-0000-0000-0000F7370000}"/>
    <cellStyle name="40% - Accent1 83 22 3" xfId="14327" xr:uid="{00000000-0005-0000-0000-0000F8370000}"/>
    <cellStyle name="40% - Accent1 83 23" xfId="14328" xr:uid="{00000000-0005-0000-0000-0000F9370000}"/>
    <cellStyle name="40% - Accent1 83 23 2" xfId="14329" xr:uid="{00000000-0005-0000-0000-0000FA370000}"/>
    <cellStyle name="40% - Accent1 83 23 2 2" xfId="14330" xr:uid="{00000000-0005-0000-0000-0000FB370000}"/>
    <cellStyle name="40% - Accent1 83 23 3" xfId="14331" xr:uid="{00000000-0005-0000-0000-0000FC370000}"/>
    <cellStyle name="40% - Accent1 83 24" xfId="14332" xr:uid="{00000000-0005-0000-0000-0000FD370000}"/>
    <cellStyle name="40% - Accent1 83 24 2" xfId="14333" xr:uid="{00000000-0005-0000-0000-0000FE370000}"/>
    <cellStyle name="40% - Accent1 83 24 2 2" xfId="14334" xr:uid="{00000000-0005-0000-0000-0000FF370000}"/>
    <cellStyle name="40% - Accent1 83 24 3" xfId="14335" xr:uid="{00000000-0005-0000-0000-000000380000}"/>
    <cellStyle name="40% - Accent1 83 25" xfId="14336" xr:uid="{00000000-0005-0000-0000-000001380000}"/>
    <cellStyle name="40% - Accent1 83 25 2" xfId="14337" xr:uid="{00000000-0005-0000-0000-000002380000}"/>
    <cellStyle name="40% - Accent1 83 25 2 2" xfId="14338" xr:uid="{00000000-0005-0000-0000-000003380000}"/>
    <cellStyle name="40% - Accent1 83 25 3" xfId="14339" xr:uid="{00000000-0005-0000-0000-000004380000}"/>
    <cellStyle name="40% - Accent1 83 26" xfId="14340" xr:uid="{00000000-0005-0000-0000-000005380000}"/>
    <cellStyle name="40% - Accent1 83 26 2" xfId="14341" xr:uid="{00000000-0005-0000-0000-000006380000}"/>
    <cellStyle name="40% - Accent1 83 26 2 2" xfId="14342" xr:uid="{00000000-0005-0000-0000-000007380000}"/>
    <cellStyle name="40% - Accent1 83 26 3" xfId="14343" xr:uid="{00000000-0005-0000-0000-000008380000}"/>
    <cellStyle name="40% - Accent1 83 27" xfId="14344" xr:uid="{00000000-0005-0000-0000-000009380000}"/>
    <cellStyle name="40% - Accent1 83 27 2" xfId="14345" xr:uid="{00000000-0005-0000-0000-00000A380000}"/>
    <cellStyle name="40% - Accent1 83 27 2 2" xfId="14346" xr:uid="{00000000-0005-0000-0000-00000B380000}"/>
    <cellStyle name="40% - Accent1 83 27 3" xfId="14347" xr:uid="{00000000-0005-0000-0000-00000C380000}"/>
    <cellStyle name="40% - Accent1 83 28" xfId="14348" xr:uid="{00000000-0005-0000-0000-00000D380000}"/>
    <cellStyle name="40% - Accent1 83 28 2" xfId="14349" xr:uid="{00000000-0005-0000-0000-00000E380000}"/>
    <cellStyle name="40% - Accent1 83 28 2 2" xfId="14350" xr:uid="{00000000-0005-0000-0000-00000F380000}"/>
    <cellStyle name="40% - Accent1 83 28 3" xfId="14351" xr:uid="{00000000-0005-0000-0000-000010380000}"/>
    <cellStyle name="40% - Accent1 83 29" xfId="14352" xr:uid="{00000000-0005-0000-0000-000011380000}"/>
    <cellStyle name="40% - Accent1 83 29 2" xfId="14353" xr:uid="{00000000-0005-0000-0000-000012380000}"/>
    <cellStyle name="40% - Accent1 83 29 2 2" xfId="14354" xr:uid="{00000000-0005-0000-0000-000013380000}"/>
    <cellStyle name="40% - Accent1 83 29 3" xfId="14355" xr:uid="{00000000-0005-0000-0000-000014380000}"/>
    <cellStyle name="40% - Accent1 83 3" xfId="14356" xr:uid="{00000000-0005-0000-0000-000015380000}"/>
    <cellStyle name="40% - Accent1 83 3 2" xfId="14357" xr:uid="{00000000-0005-0000-0000-000016380000}"/>
    <cellStyle name="40% - Accent1 83 3 2 2" xfId="14358" xr:uid="{00000000-0005-0000-0000-000017380000}"/>
    <cellStyle name="40% - Accent1 83 3 3" xfId="14359" xr:uid="{00000000-0005-0000-0000-000018380000}"/>
    <cellStyle name="40% - Accent1 83 30" xfId="14360" xr:uid="{00000000-0005-0000-0000-000019380000}"/>
    <cellStyle name="40% - Accent1 83 30 2" xfId="14361" xr:uid="{00000000-0005-0000-0000-00001A380000}"/>
    <cellStyle name="40% - Accent1 83 30 2 2" xfId="14362" xr:uid="{00000000-0005-0000-0000-00001B380000}"/>
    <cellStyle name="40% - Accent1 83 30 3" xfId="14363" xr:uid="{00000000-0005-0000-0000-00001C380000}"/>
    <cellStyle name="40% - Accent1 83 31" xfId="14364" xr:uid="{00000000-0005-0000-0000-00001D380000}"/>
    <cellStyle name="40% - Accent1 83 31 2" xfId="14365" xr:uid="{00000000-0005-0000-0000-00001E380000}"/>
    <cellStyle name="40% - Accent1 83 31 2 2" xfId="14366" xr:uid="{00000000-0005-0000-0000-00001F380000}"/>
    <cellStyle name="40% - Accent1 83 31 3" xfId="14367" xr:uid="{00000000-0005-0000-0000-000020380000}"/>
    <cellStyle name="40% - Accent1 83 32" xfId="14368" xr:uid="{00000000-0005-0000-0000-000021380000}"/>
    <cellStyle name="40% - Accent1 83 32 2" xfId="14369" xr:uid="{00000000-0005-0000-0000-000022380000}"/>
    <cellStyle name="40% - Accent1 83 32 2 2" xfId="14370" xr:uid="{00000000-0005-0000-0000-000023380000}"/>
    <cellStyle name="40% - Accent1 83 32 3" xfId="14371" xr:uid="{00000000-0005-0000-0000-000024380000}"/>
    <cellStyle name="40% - Accent1 83 33" xfId="14372" xr:uid="{00000000-0005-0000-0000-000025380000}"/>
    <cellStyle name="40% - Accent1 83 33 2" xfId="14373" xr:uid="{00000000-0005-0000-0000-000026380000}"/>
    <cellStyle name="40% - Accent1 83 33 2 2" xfId="14374" xr:uid="{00000000-0005-0000-0000-000027380000}"/>
    <cellStyle name="40% - Accent1 83 33 3" xfId="14375" xr:uid="{00000000-0005-0000-0000-000028380000}"/>
    <cellStyle name="40% - Accent1 83 34" xfId="14376" xr:uid="{00000000-0005-0000-0000-000029380000}"/>
    <cellStyle name="40% - Accent1 83 34 2" xfId="14377" xr:uid="{00000000-0005-0000-0000-00002A380000}"/>
    <cellStyle name="40% - Accent1 83 34 2 2" xfId="14378" xr:uid="{00000000-0005-0000-0000-00002B380000}"/>
    <cellStyle name="40% - Accent1 83 34 3" xfId="14379" xr:uid="{00000000-0005-0000-0000-00002C380000}"/>
    <cellStyle name="40% - Accent1 83 35" xfId="14380" xr:uid="{00000000-0005-0000-0000-00002D380000}"/>
    <cellStyle name="40% - Accent1 83 35 2" xfId="14381" xr:uid="{00000000-0005-0000-0000-00002E380000}"/>
    <cellStyle name="40% - Accent1 83 35 2 2" xfId="14382" xr:uid="{00000000-0005-0000-0000-00002F380000}"/>
    <cellStyle name="40% - Accent1 83 35 3" xfId="14383" xr:uid="{00000000-0005-0000-0000-000030380000}"/>
    <cellStyle name="40% - Accent1 83 36" xfId="14384" xr:uid="{00000000-0005-0000-0000-000031380000}"/>
    <cellStyle name="40% - Accent1 83 36 2" xfId="14385" xr:uid="{00000000-0005-0000-0000-000032380000}"/>
    <cellStyle name="40% - Accent1 83 36 2 2" xfId="14386" xr:uid="{00000000-0005-0000-0000-000033380000}"/>
    <cellStyle name="40% - Accent1 83 36 3" xfId="14387" xr:uid="{00000000-0005-0000-0000-000034380000}"/>
    <cellStyle name="40% - Accent1 83 4" xfId="14388" xr:uid="{00000000-0005-0000-0000-000035380000}"/>
    <cellStyle name="40% - Accent1 83 4 2" xfId="14389" xr:uid="{00000000-0005-0000-0000-000036380000}"/>
    <cellStyle name="40% - Accent1 83 4 2 2" xfId="14390" xr:uid="{00000000-0005-0000-0000-000037380000}"/>
    <cellStyle name="40% - Accent1 83 4 3" xfId="14391" xr:uid="{00000000-0005-0000-0000-000038380000}"/>
    <cellStyle name="40% - Accent1 83 5" xfId="14392" xr:uid="{00000000-0005-0000-0000-000039380000}"/>
    <cellStyle name="40% - Accent1 83 5 2" xfId="14393" xr:uid="{00000000-0005-0000-0000-00003A380000}"/>
    <cellStyle name="40% - Accent1 83 5 2 2" xfId="14394" xr:uid="{00000000-0005-0000-0000-00003B380000}"/>
    <cellStyle name="40% - Accent1 83 5 3" xfId="14395" xr:uid="{00000000-0005-0000-0000-00003C380000}"/>
    <cellStyle name="40% - Accent1 83 6" xfId="14396" xr:uid="{00000000-0005-0000-0000-00003D380000}"/>
    <cellStyle name="40% - Accent1 83 6 2" xfId="14397" xr:uid="{00000000-0005-0000-0000-00003E380000}"/>
    <cellStyle name="40% - Accent1 83 6 2 2" xfId="14398" xr:uid="{00000000-0005-0000-0000-00003F380000}"/>
    <cellStyle name="40% - Accent1 83 6 3" xfId="14399" xr:uid="{00000000-0005-0000-0000-000040380000}"/>
    <cellStyle name="40% - Accent1 83 7" xfId="14400" xr:uid="{00000000-0005-0000-0000-000041380000}"/>
    <cellStyle name="40% - Accent1 83 7 2" xfId="14401" xr:uid="{00000000-0005-0000-0000-000042380000}"/>
    <cellStyle name="40% - Accent1 83 7 2 2" xfId="14402" xr:uid="{00000000-0005-0000-0000-000043380000}"/>
    <cellStyle name="40% - Accent1 83 7 3" xfId="14403" xr:uid="{00000000-0005-0000-0000-000044380000}"/>
    <cellStyle name="40% - Accent1 83 8" xfId="14404" xr:uid="{00000000-0005-0000-0000-000045380000}"/>
    <cellStyle name="40% - Accent1 83 8 2" xfId="14405" xr:uid="{00000000-0005-0000-0000-000046380000}"/>
    <cellStyle name="40% - Accent1 83 8 2 2" xfId="14406" xr:uid="{00000000-0005-0000-0000-000047380000}"/>
    <cellStyle name="40% - Accent1 83 8 3" xfId="14407" xr:uid="{00000000-0005-0000-0000-000048380000}"/>
    <cellStyle name="40% - Accent1 83 9" xfId="14408" xr:uid="{00000000-0005-0000-0000-000049380000}"/>
    <cellStyle name="40% - Accent1 83 9 2" xfId="14409" xr:uid="{00000000-0005-0000-0000-00004A380000}"/>
    <cellStyle name="40% - Accent1 83 9 2 2" xfId="14410" xr:uid="{00000000-0005-0000-0000-00004B380000}"/>
    <cellStyle name="40% - Accent1 83 9 3" xfId="14411" xr:uid="{00000000-0005-0000-0000-00004C380000}"/>
    <cellStyle name="40% - Accent1 84" xfId="14412" xr:uid="{00000000-0005-0000-0000-00004D380000}"/>
    <cellStyle name="40% - Accent1 84 10" xfId="14413" xr:uid="{00000000-0005-0000-0000-00004E380000}"/>
    <cellStyle name="40% - Accent1 84 10 2" xfId="14414" xr:uid="{00000000-0005-0000-0000-00004F380000}"/>
    <cellStyle name="40% - Accent1 84 10 2 2" xfId="14415" xr:uid="{00000000-0005-0000-0000-000050380000}"/>
    <cellStyle name="40% - Accent1 84 10 3" xfId="14416" xr:uid="{00000000-0005-0000-0000-000051380000}"/>
    <cellStyle name="40% - Accent1 84 11" xfId="14417" xr:uid="{00000000-0005-0000-0000-000052380000}"/>
    <cellStyle name="40% - Accent1 84 11 2" xfId="14418" xr:uid="{00000000-0005-0000-0000-000053380000}"/>
    <cellStyle name="40% - Accent1 84 11 2 2" xfId="14419" xr:uid="{00000000-0005-0000-0000-000054380000}"/>
    <cellStyle name="40% - Accent1 84 11 3" xfId="14420" xr:uid="{00000000-0005-0000-0000-000055380000}"/>
    <cellStyle name="40% - Accent1 84 12" xfId="14421" xr:uid="{00000000-0005-0000-0000-000056380000}"/>
    <cellStyle name="40% - Accent1 84 12 2" xfId="14422" xr:uid="{00000000-0005-0000-0000-000057380000}"/>
    <cellStyle name="40% - Accent1 84 12 2 2" xfId="14423" xr:uid="{00000000-0005-0000-0000-000058380000}"/>
    <cellStyle name="40% - Accent1 84 12 3" xfId="14424" xr:uid="{00000000-0005-0000-0000-000059380000}"/>
    <cellStyle name="40% - Accent1 84 13" xfId="14425" xr:uid="{00000000-0005-0000-0000-00005A380000}"/>
    <cellStyle name="40% - Accent1 84 13 2" xfId="14426" xr:uid="{00000000-0005-0000-0000-00005B380000}"/>
    <cellStyle name="40% - Accent1 84 13 2 2" xfId="14427" xr:uid="{00000000-0005-0000-0000-00005C380000}"/>
    <cellStyle name="40% - Accent1 84 13 3" xfId="14428" xr:uid="{00000000-0005-0000-0000-00005D380000}"/>
    <cellStyle name="40% - Accent1 84 14" xfId="14429" xr:uid="{00000000-0005-0000-0000-00005E380000}"/>
    <cellStyle name="40% - Accent1 84 14 2" xfId="14430" xr:uid="{00000000-0005-0000-0000-00005F380000}"/>
    <cellStyle name="40% - Accent1 84 14 2 2" xfId="14431" xr:uid="{00000000-0005-0000-0000-000060380000}"/>
    <cellStyle name="40% - Accent1 84 14 3" xfId="14432" xr:uid="{00000000-0005-0000-0000-000061380000}"/>
    <cellStyle name="40% - Accent1 84 15" xfId="14433" xr:uid="{00000000-0005-0000-0000-000062380000}"/>
    <cellStyle name="40% - Accent1 84 15 2" xfId="14434" xr:uid="{00000000-0005-0000-0000-000063380000}"/>
    <cellStyle name="40% - Accent1 84 15 2 2" xfId="14435" xr:uid="{00000000-0005-0000-0000-000064380000}"/>
    <cellStyle name="40% - Accent1 84 15 3" xfId="14436" xr:uid="{00000000-0005-0000-0000-000065380000}"/>
    <cellStyle name="40% - Accent1 84 16" xfId="14437" xr:uid="{00000000-0005-0000-0000-000066380000}"/>
    <cellStyle name="40% - Accent1 84 16 2" xfId="14438" xr:uid="{00000000-0005-0000-0000-000067380000}"/>
    <cellStyle name="40% - Accent1 84 16 2 2" xfId="14439" xr:uid="{00000000-0005-0000-0000-000068380000}"/>
    <cellStyle name="40% - Accent1 84 16 3" xfId="14440" xr:uid="{00000000-0005-0000-0000-000069380000}"/>
    <cellStyle name="40% - Accent1 84 17" xfId="14441" xr:uid="{00000000-0005-0000-0000-00006A380000}"/>
    <cellStyle name="40% - Accent1 84 17 2" xfId="14442" xr:uid="{00000000-0005-0000-0000-00006B380000}"/>
    <cellStyle name="40% - Accent1 84 17 2 2" xfId="14443" xr:uid="{00000000-0005-0000-0000-00006C380000}"/>
    <cellStyle name="40% - Accent1 84 17 3" xfId="14444" xr:uid="{00000000-0005-0000-0000-00006D380000}"/>
    <cellStyle name="40% - Accent1 84 18" xfId="14445" xr:uid="{00000000-0005-0000-0000-00006E380000}"/>
    <cellStyle name="40% - Accent1 84 18 2" xfId="14446" xr:uid="{00000000-0005-0000-0000-00006F380000}"/>
    <cellStyle name="40% - Accent1 84 18 2 2" xfId="14447" xr:uid="{00000000-0005-0000-0000-000070380000}"/>
    <cellStyle name="40% - Accent1 84 18 3" xfId="14448" xr:uid="{00000000-0005-0000-0000-000071380000}"/>
    <cellStyle name="40% - Accent1 84 19" xfId="14449" xr:uid="{00000000-0005-0000-0000-000072380000}"/>
    <cellStyle name="40% - Accent1 84 19 2" xfId="14450" xr:uid="{00000000-0005-0000-0000-000073380000}"/>
    <cellStyle name="40% - Accent1 84 19 2 2" xfId="14451" xr:uid="{00000000-0005-0000-0000-000074380000}"/>
    <cellStyle name="40% - Accent1 84 19 3" xfId="14452" xr:uid="{00000000-0005-0000-0000-000075380000}"/>
    <cellStyle name="40% - Accent1 84 2" xfId="14453" xr:uid="{00000000-0005-0000-0000-000076380000}"/>
    <cellStyle name="40% - Accent1 84 2 2" xfId="14454" xr:uid="{00000000-0005-0000-0000-000077380000}"/>
    <cellStyle name="40% - Accent1 84 2 2 2" xfId="14455" xr:uid="{00000000-0005-0000-0000-000078380000}"/>
    <cellStyle name="40% - Accent1 84 2 3" xfId="14456" xr:uid="{00000000-0005-0000-0000-000079380000}"/>
    <cellStyle name="40% - Accent1 84 20" xfId="14457" xr:uid="{00000000-0005-0000-0000-00007A380000}"/>
    <cellStyle name="40% - Accent1 84 20 2" xfId="14458" xr:uid="{00000000-0005-0000-0000-00007B380000}"/>
    <cellStyle name="40% - Accent1 84 20 2 2" xfId="14459" xr:uid="{00000000-0005-0000-0000-00007C380000}"/>
    <cellStyle name="40% - Accent1 84 20 3" xfId="14460" xr:uid="{00000000-0005-0000-0000-00007D380000}"/>
    <cellStyle name="40% - Accent1 84 21" xfId="14461" xr:uid="{00000000-0005-0000-0000-00007E380000}"/>
    <cellStyle name="40% - Accent1 84 21 2" xfId="14462" xr:uid="{00000000-0005-0000-0000-00007F380000}"/>
    <cellStyle name="40% - Accent1 84 21 2 2" xfId="14463" xr:uid="{00000000-0005-0000-0000-000080380000}"/>
    <cellStyle name="40% - Accent1 84 21 3" xfId="14464" xr:uid="{00000000-0005-0000-0000-000081380000}"/>
    <cellStyle name="40% - Accent1 84 22" xfId="14465" xr:uid="{00000000-0005-0000-0000-000082380000}"/>
    <cellStyle name="40% - Accent1 84 22 2" xfId="14466" xr:uid="{00000000-0005-0000-0000-000083380000}"/>
    <cellStyle name="40% - Accent1 84 22 2 2" xfId="14467" xr:uid="{00000000-0005-0000-0000-000084380000}"/>
    <cellStyle name="40% - Accent1 84 22 3" xfId="14468" xr:uid="{00000000-0005-0000-0000-000085380000}"/>
    <cellStyle name="40% - Accent1 84 23" xfId="14469" xr:uid="{00000000-0005-0000-0000-000086380000}"/>
    <cellStyle name="40% - Accent1 84 23 2" xfId="14470" xr:uid="{00000000-0005-0000-0000-000087380000}"/>
    <cellStyle name="40% - Accent1 84 23 2 2" xfId="14471" xr:uid="{00000000-0005-0000-0000-000088380000}"/>
    <cellStyle name="40% - Accent1 84 23 3" xfId="14472" xr:uid="{00000000-0005-0000-0000-000089380000}"/>
    <cellStyle name="40% - Accent1 84 24" xfId="14473" xr:uid="{00000000-0005-0000-0000-00008A380000}"/>
    <cellStyle name="40% - Accent1 84 24 2" xfId="14474" xr:uid="{00000000-0005-0000-0000-00008B380000}"/>
    <cellStyle name="40% - Accent1 84 24 2 2" xfId="14475" xr:uid="{00000000-0005-0000-0000-00008C380000}"/>
    <cellStyle name="40% - Accent1 84 24 3" xfId="14476" xr:uid="{00000000-0005-0000-0000-00008D380000}"/>
    <cellStyle name="40% - Accent1 84 25" xfId="14477" xr:uid="{00000000-0005-0000-0000-00008E380000}"/>
    <cellStyle name="40% - Accent1 84 25 2" xfId="14478" xr:uid="{00000000-0005-0000-0000-00008F380000}"/>
    <cellStyle name="40% - Accent1 84 25 2 2" xfId="14479" xr:uid="{00000000-0005-0000-0000-000090380000}"/>
    <cellStyle name="40% - Accent1 84 25 3" xfId="14480" xr:uid="{00000000-0005-0000-0000-000091380000}"/>
    <cellStyle name="40% - Accent1 84 26" xfId="14481" xr:uid="{00000000-0005-0000-0000-000092380000}"/>
    <cellStyle name="40% - Accent1 84 26 2" xfId="14482" xr:uid="{00000000-0005-0000-0000-000093380000}"/>
    <cellStyle name="40% - Accent1 84 26 2 2" xfId="14483" xr:uid="{00000000-0005-0000-0000-000094380000}"/>
    <cellStyle name="40% - Accent1 84 26 3" xfId="14484" xr:uid="{00000000-0005-0000-0000-000095380000}"/>
    <cellStyle name="40% - Accent1 84 27" xfId="14485" xr:uid="{00000000-0005-0000-0000-000096380000}"/>
    <cellStyle name="40% - Accent1 84 27 2" xfId="14486" xr:uid="{00000000-0005-0000-0000-000097380000}"/>
    <cellStyle name="40% - Accent1 84 27 2 2" xfId="14487" xr:uid="{00000000-0005-0000-0000-000098380000}"/>
    <cellStyle name="40% - Accent1 84 27 3" xfId="14488" xr:uid="{00000000-0005-0000-0000-000099380000}"/>
    <cellStyle name="40% - Accent1 84 28" xfId="14489" xr:uid="{00000000-0005-0000-0000-00009A380000}"/>
    <cellStyle name="40% - Accent1 84 28 2" xfId="14490" xr:uid="{00000000-0005-0000-0000-00009B380000}"/>
    <cellStyle name="40% - Accent1 84 28 2 2" xfId="14491" xr:uid="{00000000-0005-0000-0000-00009C380000}"/>
    <cellStyle name="40% - Accent1 84 28 3" xfId="14492" xr:uid="{00000000-0005-0000-0000-00009D380000}"/>
    <cellStyle name="40% - Accent1 84 29" xfId="14493" xr:uid="{00000000-0005-0000-0000-00009E380000}"/>
    <cellStyle name="40% - Accent1 84 29 2" xfId="14494" xr:uid="{00000000-0005-0000-0000-00009F380000}"/>
    <cellStyle name="40% - Accent1 84 29 2 2" xfId="14495" xr:uid="{00000000-0005-0000-0000-0000A0380000}"/>
    <cellStyle name="40% - Accent1 84 29 3" xfId="14496" xr:uid="{00000000-0005-0000-0000-0000A1380000}"/>
    <cellStyle name="40% - Accent1 84 3" xfId="14497" xr:uid="{00000000-0005-0000-0000-0000A2380000}"/>
    <cellStyle name="40% - Accent1 84 3 2" xfId="14498" xr:uid="{00000000-0005-0000-0000-0000A3380000}"/>
    <cellStyle name="40% - Accent1 84 3 2 2" xfId="14499" xr:uid="{00000000-0005-0000-0000-0000A4380000}"/>
    <cellStyle name="40% - Accent1 84 3 3" xfId="14500" xr:uid="{00000000-0005-0000-0000-0000A5380000}"/>
    <cellStyle name="40% - Accent1 84 30" xfId="14501" xr:uid="{00000000-0005-0000-0000-0000A6380000}"/>
    <cellStyle name="40% - Accent1 84 30 2" xfId="14502" xr:uid="{00000000-0005-0000-0000-0000A7380000}"/>
    <cellStyle name="40% - Accent1 84 30 2 2" xfId="14503" xr:uid="{00000000-0005-0000-0000-0000A8380000}"/>
    <cellStyle name="40% - Accent1 84 30 3" xfId="14504" xr:uid="{00000000-0005-0000-0000-0000A9380000}"/>
    <cellStyle name="40% - Accent1 84 31" xfId="14505" xr:uid="{00000000-0005-0000-0000-0000AA380000}"/>
    <cellStyle name="40% - Accent1 84 31 2" xfId="14506" xr:uid="{00000000-0005-0000-0000-0000AB380000}"/>
    <cellStyle name="40% - Accent1 84 31 2 2" xfId="14507" xr:uid="{00000000-0005-0000-0000-0000AC380000}"/>
    <cellStyle name="40% - Accent1 84 31 3" xfId="14508" xr:uid="{00000000-0005-0000-0000-0000AD380000}"/>
    <cellStyle name="40% - Accent1 84 32" xfId="14509" xr:uid="{00000000-0005-0000-0000-0000AE380000}"/>
    <cellStyle name="40% - Accent1 84 32 2" xfId="14510" xr:uid="{00000000-0005-0000-0000-0000AF380000}"/>
    <cellStyle name="40% - Accent1 84 32 2 2" xfId="14511" xr:uid="{00000000-0005-0000-0000-0000B0380000}"/>
    <cellStyle name="40% - Accent1 84 32 3" xfId="14512" xr:uid="{00000000-0005-0000-0000-0000B1380000}"/>
    <cellStyle name="40% - Accent1 84 33" xfId="14513" xr:uid="{00000000-0005-0000-0000-0000B2380000}"/>
    <cellStyle name="40% - Accent1 84 33 2" xfId="14514" xr:uid="{00000000-0005-0000-0000-0000B3380000}"/>
    <cellStyle name="40% - Accent1 84 33 2 2" xfId="14515" xr:uid="{00000000-0005-0000-0000-0000B4380000}"/>
    <cellStyle name="40% - Accent1 84 33 3" xfId="14516" xr:uid="{00000000-0005-0000-0000-0000B5380000}"/>
    <cellStyle name="40% - Accent1 84 34" xfId="14517" xr:uid="{00000000-0005-0000-0000-0000B6380000}"/>
    <cellStyle name="40% - Accent1 84 34 2" xfId="14518" xr:uid="{00000000-0005-0000-0000-0000B7380000}"/>
    <cellStyle name="40% - Accent1 84 34 2 2" xfId="14519" xr:uid="{00000000-0005-0000-0000-0000B8380000}"/>
    <cellStyle name="40% - Accent1 84 34 3" xfId="14520" xr:uid="{00000000-0005-0000-0000-0000B9380000}"/>
    <cellStyle name="40% - Accent1 84 35" xfId="14521" xr:uid="{00000000-0005-0000-0000-0000BA380000}"/>
    <cellStyle name="40% - Accent1 84 35 2" xfId="14522" xr:uid="{00000000-0005-0000-0000-0000BB380000}"/>
    <cellStyle name="40% - Accent1 84 35 2 2" xfId="14523" xr:uid="{00000000-0005-0000-0000-0000BC380000}"/>
    <cellStyle name="40% - Accent1 84 35 3" xfId="14524" xr:uid="{00000000-0005-0000-0000-0000BD380000}"/>
    <cellStyle name="40% - Accent1 84 36" xfId="14525" xr:uid="{00000000-0005-0000-0000-0000BE380000}"/>
    <cellStyle name="40% - Accent1 84 36 2" xfId="14526" xr:uid="{00000000-0005-0000-0000-0000BF380000}"/>
    <cellStyle name="40% - Accent1 84 36 2 2" xfId="14527" xr:uid="{00000000-0005-0000-0000-0000C0380000}"/>
    <cellStyle name="40% - Accent1 84 36 3" xfId="14528" xr:uid="{00000000-0005-0000-0000-0000C1380000}"/>
    <cellStyle name="40% - Accent1 84 4" xfId="14529" xr:uid="{00000000-0005-0000-0000-0000C2380000}"/>
    <cellStyle name="40% - Accent1 84 4 2" xfId="14530" xr:uid="{00000000-0005-0000-0000-0000C3380000}"/>
    <cellStyle name="40% - Accent1 84 4 2 2" xfId="14531" xr:uid="{00000000-0005-0000-0000-0000C4380000}"/>
    <cellStyle name="40% - Accent1 84 4 3" xfId="14532" xr:uid="{00000000-0005-0000-0000-0000C5380000}"/>
    <cellStyle name="40% - Accent1 84 5" xfId="14533" xr:uid="{00000000-0005-0000-0000-0000C6380000}"/>
    <cellStyle name="40% - Accent1 84 5 2" xfId="14534" xr:uid="{00000000-0005-0000-0000-0000C7380000}"/>
    <cellStyle name="40% - Accent1 84 5 2 2" xfId="14535" xr:uid="{00000000-0005-0000-0000-0000C8380000}"/>
    <cellStyle name="40% - Accent1 84 5 3" xfId="14536" xr:uid="{00000000-0005-0000-0000-0000C9380000}"/>
    <cellStyle name="40% - Accent1 84 6" xfId="14537" xr:uid="{00000000-0005-0000-0000-0000CA380000}"/>
    <cellStyle name="40% - Accent1 84 6 2" xfId="14538" xr:uid="{00000000-0005-0000-0000-0000CB380000}"/>
    <cellStyle name="40% - Accent1 84 6 2 2" xfId="14539" xr:uid="{00000000-0005-0000-0000-0000CC380000}"/>
    <cellStyle name="40% - Accent1 84 6 3" xfId="14540" xr:uid="{00000000-0005-0000-0000-0000CD380000}"/>
    <cellStyle name="40% - Accent1 84 7" xfId="14541" xr:uid="{00000000-0005-0000-0000-0000CE380000}"/>
    <cellStyle name="40% - Accent1 84 7 2" xfId="14542" xr:uid="{00000000-0005-0000-0000-0000CF380000}"/>
    <cellStyle name="40% - Accent1 84 7 2 2" xfId="14543" xr:uid="{00000000-0005-0000-0000-0000D0380000}"/>
    <cellStyle name="40% - Accent1 84 7 3" xfId="14544" xr:uid="{00000000-0005-0000-0000-0000D1380000}"/>
    <cellStyle name="40% - Accent1 84 8" xfId="14545" xr:uid="{00000000-0005-0000-0000-0000D2380000}"/>
    <cellStyle name="40% - Accent1 84 8 2" xfId="14546" xr:uid="{00000000-0005-0000-0000-0000D3380000}"/>
    <cellStyle name="40% - Accent1 84 8 2 2" xfId="14547" xr:uid="{00000000-0005-0000-0000-0000D4380000}"/>
    <cellStyle name="40% - Accent1 84 8 3" xfId="14548" xr:uid="{00000000-0005-0000-0000-0000D5380000}"/>
    <cellStyle name="40% - Accent1 84 9" xfId="14549" xr:uid="{00000000-0005-0000-0000-0000D6380000}"/>
    <cellStyle name="40% - Accent1 84 9 2" xfId="14550" xr:uid="{00000000-0005-0000-0000-0000D7380000}"/>
    <cellStyle name="40% - Accent1 84 9 2 2" xfId="14551" xr:uid="{00000000-0005-0000-0000-0000D8380000}"/>
    <cellStyle name="40% - Accent1 84 9 3" xfId="14552" xr:uid="{00000000-0005-0000-0000-0000D9380000}"/>
    <cellStyle name="40% - Accent1 85" xfId="14553" xr:uid="{00000000-0005-0000-0000-0000DA380000}"/>
    <cellStyle name="40% - Accent1 85 10" xfId="14554" xr:uid="{00000000-0005-0000-0000-0000DB380000}"/>
    <cellStyle name="40% - Accent1 85 10 2" xfId="14555" xr:uid="{00000000-0005-0000-0000-0000DC380000}"/>
    <cellStyle name="40% - Accent1 85 10 2 2" xfId="14556" xr:uid="{00000000-0005-0000-0000-0000DD380000}"/>
    <cellStyle name="40% - Accent1 85 10 3" xfId="14557" xr:uid="{00000000-0005-0000-0000-0000DE380000}"/>
    <cellStyle name="40% - Accent1 85 11" xfId="14558" xr:uid="{00000000-0005-0000-0000-0000DF380000}"/>
    <cellStyle name="40% - Accent1 85 11 2" xfId="14559" xr:uid="{00000000-0005-0000-0000-0000E0380000}"/>
    <cellStyle name="40% - Accent1 85 11 2 2" xfId="14560" xr:uid="{00000000-0005-0000-0000-0000E1380000}"/>
    <cellStyle name="40% - Accent1 85 11 3" xfId="14561" xr:uid="{00000000-0005-0000-0000-0000E2380000}"/>
    <cellStyle name="40% - Accent1 85 12" xfId="14562" xr:uid="{00000000-0005-0000-0000-0000E3380000}"/>
    <cellStyle name="40% - Accent1 85 12 2" xfId="14563" xr:uid="{00000000-0005-0000-0000-0000E4380000}"/>
    <cellStyle name="40% - Accent1 85 12 2 2" xfId="14564" xr:uid="{00000000-0005-0000-0000-0000E5380000}"/>
    <cellStyle name="40% - Accent1 85 12 3" xfId="14565" xr:uid="{00000000-0005-0000-0000-0000E6380000}"/>
    <cellStyle name="40% - Accent1 85 13" xfId="14566" xr:uid="{00000000-0005-0000-0000-0000E7380000}"/>
    <cellStyle name="40% - Accent1 85 13 2" xfId="14567" xr:uid="{00000000-0005-0000-0000-0000E8380000}"/>
    <cellStyle name="40% - Accent1 85 13 2 2" xfId="14568" xr:uid="{00000000-0005-0000-0000-0000E9380000}"/>
    <cellStyle name="40% - Accent1 85 13 3" xfId="14569" xr:uid="{00000000-0005-0000-0000-0000EA380000}"/>
    <cellStyle name="40% - Accent1 85 14" xfId="14570" xr:uid="{00000000-0005-0000-0000-0000EB380000}"/>
    <cellStyle name="40% - Accent1 85 14 2" xfId="14571" xr:uid="{00000000-0005-0000-0000-0000EC380000}"/>
    <cellStyle name="40% - Accent1 85 14 2 2" xfId="14572" xr:uid="{00000000-0005-0000-0000-0000ED380000}"/>
    <cellStyle name="40% - Accent1 85 14 3" xfId="14573" xr:uid="{00000000-0005-0000-0000-0000EE380000}"/>
    <cellStyle name="40% - Accent1 85 15" xfId="14574" xr:uid="{00000000-0005-0000-0000-0000EF380000}"/>
    <cellStyle name="40% - Accent1 85 15 2" xfId="14575" xr:uid="{00000000-0005-0000-0000-0000F0380000}"/>
    <cellStyle name="40% - Accent1 85 15 2 2" xfId="14576" xr:uid="{00000000-0005-0000-0000-0000F1380000}"/>
    <cellStyle name="40% - Accent1 85 15 3" xfId="14577" xr:uid="{00000000-0005-0000-0000-0000F2380000}"/>
    <cellStyle name="40% - Accent1 85 16" xfId="14578" xr:uid="{00000000-0005-0000-0000-0000F3380000}"/>
    <cellStyle name="40% - Accent1 85 16 2" xfId="14579" xr:uid="{00000000-0005-0000-0000-0000F4380000}"/>
    <cellStyle name="40% - Accent1 85 16 2 2" xfId="14580" xr:uid="{00000000-0005-0000-0000-0000F5380000}"/>
    <cellStyle name="40% - Accent1 85 16 3" xfId="14581" xr:uid="{00000000-0005-0000-0000-0000F6380000}"/>
    <cellStyle name="40% - Accent1 85 17" xfId="14582" xr:uid="{00000000-0005-0000-0000-0000F7380000}"/>
    <cellStyle name="40% - Accent1 85 17 2" xfId="14583" xr:uid="{00000000-0005-0000-0000-0000F8380000}"/>
    <cellStyle name="40% - Accent1 85 17 2 2" xfId="14584" xr:uid="{00000000-0005-0000-0000-0000F9380000}"/>
    <cellStyle name="40% - Accent1 85 17 3" xfId="14585" xr:uid="{00000000-0005-0000-0000-0000FA380000}"/>
    <cellStyle name="40% - Accent1 85 18" xfId="14586" xr:uid="{00000000-0005-0000-0000-0000FB380000}"/>
    <cellStyle name="40% - Accent1 85 18 2" xfId="14587" xr:uid="{00000000-0005-0000-0000-0000FC380000}"/>
    <cellStyle name="40% - Accent1 85 18 2 2" xfId="14588" xr:uid="{00000000-0005-0000-0000-0000FD380000}"/>
    <cellStyle name="40% - Accent1 85 18 3" xfId="14589" xr:uid="{00000000-0005-0000-0000-0000FE380000}"/>
    <cellStyle name="40% - Accent1 85 19" xfId="14590" xr:uid="{00000000-0005-0000-0000-0000FF380000}"/>
    <cellStyle name="40% - Accent1 85 19 2" xfId="14591" xr:uid="{00000000-0005-0000-0000-000000390000}"/>
    <cellStyle name="40% - Accent1 85 19 2 2" xfId="14592" xr:uid="{00000000-0005-0000-0000-000001390000}"/>
    <cellStyle name="40% - Accent1 85 19 3" xfId="14593" xr:uid="{00000000-0005-0000-0000-000002390000}"/>
    <cellStyle name="40% - Accent1 85 2" xfId="14594" xr:uid="{00000000-0005-0000-0000-000003390000}"/>
    <cellStyle name="40% - Accent1 85 2 2" xfId="14595" xr:uid="{00000000-0005-0000-0000-000004390000}"/>
    <cellStyle name="40% - Accent1 85 2 2 2" xfId="14596" xr:uid="{00000000-0005-0000-0000-000005390000}"/>
    <cellStyle name="40% - Accent1 85 2 3" xfId="14597" xr:uid="{00000000-0005-0000-0000-000006390000}"/>
    <cellStyle name="40% - Accent1 85 20" xfId="14598" xr:uid="{00000000-0005-0000-0000-000007390000}"/>
    <cellStyle name="40% - Accent1 85 20 2" xfId="14599" xr:uid="{00000000-0005-0000-0000-000008390000}"/>
    <cellStyle name="40% - Accent1 85 20 2 2" xfId="14600" xr:uid="{00000000-0005-0000-0000-000009390000}"/>
    <cellStyle name="40% - Accent1 85 20 3" xfId="14601" xr:uid="{00000000-0005-0000-0000-00000A390000}"/>
    <cellStyle name="40% - Accent1 85 21" xfId="14602" xr:uid="{00000000-0005-0000-0000-00000B390000}"/>
    <cellStyle name="40% - Accent1 85 21 2" xfId="14603" xr:uid="{00000000-0005-0000-0000-00000C390000}"/>
    <cellStyle name="40% - Accent1 85 21 2 2" xfId="14604" xr:uid="{00000000-0005-0000-0000-00000D390000}"/>
    <cellStyle name="40% - Accent1 85 21 3" xfId="14605" xr:uid="{00000000-0005-0000-0000-00000E390000}"/>
    <cellStyle name="40% - Accent1 85 22" xfId="14606" xr:uid="{00000000-0005-0000-0000-00000F390000}"/>
    <cellStyle name="40% - Accent1 85 22 2" xfId="14607" xr:uid="{00000000-0005-0000-0000-000010390000}"/>
    <cellStyle name="40% - Accent1 85 22 2 2" xfId="14608" xr:uid="{00000000-0005-0000-0000-000011390000}"/>
    <cellStyle name="40% - Accent1 85 22 3" xfId="14609" xr:uid="{00000000-0005-0000-0000-000012390000}"/>
    <cellStyle name="40% - Accent1 85 23" xfId="14610" xr:uid="{00000000-0005-0000-0000-000013390000}"/>
    <cellStyle name="40% - Accent1 85 23 2" xfId="14611" xr:uid="{00000000-0005-0000-0000-000014390000}"/>
    <cellStyle name="40% - Accent1 85 23 2 2" xfId="14612" xr:uid="{00000000-0005-0000-0000-000015390000}"/>
    <cellStyle name="40% - Accent1 85 23 3" xfId="14613" xr:uid="{00000000-0005-0000-0000-000016390000}"/>
    <cellStyle name="40% - Accent1 85 24" xfId="14614" xr:uid="{00000000-0005-0000-0000-000017390000}"/>
    <cellStyle name="40% - Accent1 85 24 2" xfId="14615" xr:uid="{00000000-0005-0000-0000-000018390000}"/>
    <cellStyle name="40% - Accent1 85 24 2 2" xfId="14616" xr:uid="{00000000-0005-0000-0000-000019390000}"/>
    <cellStyle name="40% - Accent1 85 24 3" xfId="14617" xr:uid="{00000000-0005-0000-0000-00001A390000}"/>
    <cellStyle name="40% - Accent1 85 25" xfId="14618" xr:uid="{00000000-0005-0000-0000-00001B390000}"/>
    <cellStyle name="40% - Accent1 85 25 2" xfId="14619" xr:uid="{00000000-0005-0000-0000-00001C390000}"/>
    <cellStyle name="40% - Accent1 85 25 2 2" xfId="14620" xr:uid="{00000000-0005-0000-0000-00001D390000}"/>
    <cellStyle name="40% - Accent1 85 25 3" xfId="14621" xr:uid="{00000000-0005-0000-0000-00001E390000}"/>
    <cellStyle name="40% - Accent1 85 26" xfId="14622" xr:uid="{00000000-0005-0000-0000-00001F390000}"/>
    <cellStyle name="40% - Accent1 85 26 2" xfId="14623" xr:uid="{00000000-0005-0000-0000-000020390000}"/>
    <cellStyle name="40% - Accent1 85 26 2 2" xfId="14624" xr:uid="{00000000-0005-0000-0000-000021390000}"/>
    <cellStyle name="40% - Accent1 85 26 3" xfId="14625" xr:uid="{00000000-0005-0000-0000-000022390000}"/>
    <cellStyle name="40% - Accent1 85 27" xfId="14626" xr:uid="{00000000-0005-0000-0000-000023390000}"/>
    <cellStyle name="40% - Accent1 85 27 2" xfId="14627" xr:uid="{00000000-0005-0000-0000-000024390000}"/>
    <cellStyle name="40% - Accent1 85 27 2 2" xfId="14628" xr:uid="{00000000-0005-0000-0000-000025390000}"/>
    <cellStyle name="40% - Accent1 85 27 3" xfId="14629" xr:uid="{00000000-0005-0000-0000-000026390000}"/>
    <cellStyle name="40% - Accent1 85 28" xfId="14630" xr:uid="{00000000-0005-0000-0000-000027390000}"/>
    <cellStyle name="40% - Accent1 85 28 2" xfId="14631" xr:uid="{00000000-0005-0000-0000-000028390000}"/>
    <cellStyle name="40% - Accent1 85 28 2 2" xfId="14632" xr:uid="{00000000-0005-0000-0000-000029390000}"/>
    <cellStyle name="40% - Accent1 85 28 3" xfId="14633" xr:uid="{00000000-0005-0000-0000-00002A390000}"/>
    <cellStyle name="40% - Accent1 85 29" xfId="14634" xr:uid="{00000000-0005-0000-0000-00002B390000}"/>
    <cellStyle name="40% - Accent1 85 29 2" xfId="14635" xr:uid="{00000000-0005-0000-0000-00002C390000}"/>
    <cellStyle name="40% - Accent1 85 29 2 2" xfId="14636" xr:uid="{00000000-0005-0000-0000-00002D390000}"/>
    <cellStyle name="40% - Accent1 85 29 3" xfId="14637" xr:uid="{00000000-0005-0000-0000-00002E390000}"/>
    <cellStyle name="40% - Accent1 85 3" xfId="14638" xr:uid="{00000000-0005-0000-0000-00002F390000}"/>
    <cellStyle name="40% - Accent1 85 3 2" xfId="14639" xr:uid="{00000000-0005-0000-0000-000030390000}"/>
    <cellStyle name="40% - Accent1 85 3 2 2" xfId="14640" xr:uid="{00000000-0005-0000-0000-000031390000}"/>
    <cellStyle name="40% - Accent1 85 3 3" xfId="14641" xr:uid="{00000000-0005-0000-0000-000032390000}"/>
    <cellStyle name="40% - Accent1 85 30" xfId="14642" xr:uid="{00000000-0005-0000-0000-000033390000}"/>
    <cellStyle name="40% - Accent1 85 30 2" xfId="14643" xr:uid="{00000000-0005-0000-0000-000034390000}"/>
    <cellStyle name="40% - Accent1 85 30 2 2" xfId="14644" xr:uid="{00000000-0005-0000-0000-000035390000}"/>
    <cellStyle name="40% - Accent1 85 30 3" xfId="14645" xr:uid="{00000000-0005-0000-0000-000036390000}"/>
    <cellStyle name="40% - Accent1 85 31" xfId="14646" xr:uid="{00000000-0005-0000-0000-000037390000}"/>
    <cellStyle name="40% - Accent1 85 31 2" xfId="14647" xr:uid="{00000000-0005-0000-0000-000038390000}"/>
    <cellStyle name="40% - Accent1 85 31 2 2" xfId="14648" xr:uid="{00000000-0005-0000-0000-000039390000}"/>
    <cellStyle name="40% - Accent1 85 31 3" xfId="14649" xr:uid="{00000000-0005-0000-0000-00003A390000}"/>
    <cellStyle name="40% - Accent1 85 32" xfId="14650" xr:uid="{00000000-0005-0000-0000-00003B390000}"/>
    <cellStyle name="40% - Accent1 85 32 2" xfId="14651" xr:uid="{00000000-0005-0000-0000-00003C390000}"/>
    <cellStyle name="40% - Accent1 85 32 2 2" xfId="14652" xr:uid="{00000000-0005-0000-0000-00003D390000}"/>
    <cellStyle name="40% - Accent1 85 32 3" xfId="14653" xr:uid="{00000000-0005-0000-0000-00003E390000}"/>
    <cellStyle name="40% - Accent1 85 33" xfId="14654" xr:uid="{00000000-0005-0000-0000-00003F390000}"/>
    <cellStyle name="40% - Accent1 85 33 2" xfId="14655" xr:uid="{00000000-0005-0000-0000-000040390000}"/>
    <cellStyle name="40% - Accent1 85 33 2 2" xfId="14656" xr:uid="{00000000-0005-0000-0000-000041390000}"/>
    <cellStyle name="40% - Accent1 85 33 3" xfId="14657" xr:uid="{00000000-0005-0000-0000-000042390000}"/>
    <cellStyle name="40% - Accent1 85 34" xfId="14658" xr:uid="{00000000-0005-0000-0000-000043390000}"/>
    <cellStyle name="40% - Accent1 85 34 2" xfId="14659" xr:uid="{00000000-0005-0000-0000-000044390000}"/>
    <cellStyle name="40% - Accent1 85 34 2 2" xfId="14660" xr:uid="{00000000-0005-0000-0000-000045390000}"/>
    <cellStyle name="40% - Accent1 85 34 3" xfId="14661" xr:uid="{00000000-0005-0000-0000-000046390000}"/>
    <cellStyle name="40% - Accent1 85 35" xfId="14662" xr:uid="{00000000-0005-0000-0000-000047390000}"/>
    <cellStyle name="40% - Accent1 85 35 2" xfId="14663" xr:uid="{00000000-0005-0000-0000-000048390000}"/>
    <cellStyle name="40% - Accent1 85 35 2 2" xfId="14664" xr:uid="{00000000-0005-0000-0000-000049390000}"/>
    <cellStyle name="40% - Accent1 85 35 3" xfId="14665" xr:uid="{00000000-0005-0000-0000-00004A390000}"/>
    <cellStyle name="40% - Accent1 85 36" xfId="14666" xr:uid="{00000000-0005-0000-0000-00004B390000}"/>
    <cellStyle name="40% - Accent1 85 36 2" xfId="14667" xr:uid="{00000000-0005-0000-0000-00004C390000}"/>
    <cellStyle name="40% - Accent1 85 36 2 2" xfId="14668" xr:uid="{00000000-0005-0000-0000-00004D390000}"/>
    <cellStyle name="40% - Accent1 85 36 3" xfId="14669" xr:uid="{00000000-0005-0000-0000-00004E390000}"/>
    <cellStyle name="40% - Accent1 85 4" xfId="14670" xr:uid="{00000000-0005-0000-0000-00004F390000}"/>
    <cellStyle name="40% - Accent1 85 4 2" xfId="14671" xr:uid="{00000000-0005-0000-0000-000050390000}"/>
    <cellStyle name="40% - Accent1 85 4 2 2" xfId="14672" xr:uid="{00000000-0005-0000-0000-000051390000}"/>
    <cellStyle name="40% - Accent1 85 4 3" xfId="14673" xr:uid="{00000000-0005-0000-0000-000052390000}"/>
    <cellStyle name="40% - Accent1 85 5" xfId="14674" xr:uid="{00000000-0005-0000-0000-000053390000}"/>
    <cellStyle name="40% - Accent1 85 5 2" xfId="14675" xr:uid="{00000000-0005-0000-0000-000054390000}"/>
    <cellStyle name="40% - Accent1 85 5 2 2" xfId="14676" xr:uid="{00000000-0005-0000-0000-000055390000}"/>
    <cellStyle name="40% - Accent1 85 5 3" xfId="14677" xr:uid="{00000000-0005-0000-0000-000056390000}"/>
    <cellStyle name="40% - Accent1 85 6" xfId="14678" xr:uid="{00000000-0005-0000-0000-000057390000}"/>
    <cellStyle name="40% - Accent1 85 6 2" xfId="14679" xr:uid="{00000000-0005-0000-0000-000058390000}"/>
    <cellStyle name="40% - Accent1 85 6 2 2" xfId="14680" xr:uid="{00000000-0005-0000-0000-000059390000}"/>
    <cellStyle name="40% - Accent1 85 6 3" xfId="14681" xr:uid="{00000000-0005-0000-0000-00005A390000}"/>
    <cellStyle name="40% - Accent1 85 7" xfId="14682" xr:uid="{00000000-0005-0000-0000-00005B390000}"/>
    <cellStyle name="40% - Accent1 85 7 2" xfId="14683" xr:uid="{00000000-0005-0000-0000-00005C390000}"/>
    <cellStyle name="40% - Accent1 85 7 2 2" xfId="14684" xr:uid="{00000000-0005-0000-0000-00005D390000}"/>
    <cellStyle name="40% - Accent1 85 7 3" xfId="14685" xr:uid="{00000000-0005-0000-0000-00005E390000}"/>
    <cellStyle name="40% - Accent1 85 8" xfId="14686" xr:uid="{00000000-0005-0000-0000-00005F390000}"/>
    <cellStyle name="40% - Accent1 85 8 2" xfId="14687" xr:uid="{00000000-0005-0000-0000-000060390000}"/>
    <cellStyle name="40% - Accent1 85 8 2 2" xfId="14688" xr:uid="{00000000-0005-0000-0000-000061390000}"/>
    <cellStyle name="40% - Accent1 85 8 3" xfId="14689" xr:uid="{00000000-0005-0000-0000-000062390000}"/>
    <cellStyle name="40% - Accent1 85 9" xfId="14690" xr:uid="{00000000-0005-0000-0000-000063390000}"/>
    <cellStyle name="40% - Accent1 85 9 2" xfId="14691" xr:uid="{00000000-0005-0000-0000-000064390000}"/>
    <cellStyle name="40% - Accent1 85 9 2 2" xfId="14692" xr:uid="{00000000-0005-0000-0000-000065390000}"/>
    <cellStyle name="40% - Accent1 85 9 3" xfId="14693" xr:uid="{00000000-0005-0000-0000-000066390000}"/>
    <cellStyle name="40% - Accent1 86" xfId="14694" xr:uid="{00000000-0005-0000-0000-000067390000}"/>
    <cellStyle name="40% - Accent1 86 10" xfId="14695" xr:uid="{00000000-0005-0000-0000-000068390000}"/>
    <cellStyle name="40% - Accent1 86 10 2" xfId="14696" xr:uid="{00000000-0005-0000-0000-000069390000}"/>
    <cellStyle name="40% - Accent1 86 10 2 2" xfId="14697" xr:uid="{00000000-0005-0000-0000-00006A390000}"/>
    <cellStyle name="40% - Accent1 86 10 3" xfId="14698" xr:uid="{00000000-0005-0000-0000-00006B390000}"/>
    <cellStyle name="40% - Accent1 86 11" xfId="14699" xr:uid="{00000000-0005-0000-0000-00006C390000}"/>
    <cellStyle name="40% - Accent1 86 11 2" xfId="14700" xr:uid="{00000000-0005-0000-0000-00006D390000}"/>
    <cellStyle name="40% - Accent1 86 11 2 2" xfId="14701" xr:uid="{00000000-0005-0000-0000-00006E390000}"/>
    <cellStyle name="40% - Accent1 86 11 3" xfId="14702" xr:uid="{00000000-0005-0000-0000-00006F390000}"/>
    <cellStyle name="40% - Accent1 86 12" xfId="14703" xr:uid="{00000000-0005-0000-0000-000070390000}"/>
    <cellStyle name="40% - Accent1 86 12 2" xfId="14704" xr:uid="{00000000-0005-0000-0000-000071390000}"/>
    <cellStyle name="40% - Accent1 86 12 2 2" xfId="14705" xr:uid="{00000000-0005-0000-0000-000072390000}"/>
    <cellStyle name="40% - Accent1 86 12 3" xfId="14706" xr:uid="{00000000-0005-0000-0000-000073390000}"/>
    <cellStyle name="40% - Accent1 86 13" xfId="14707" xr:uid="{00000000-0005-0000-0000-000074390000}"/>
    <cellStyle name="40% - Accent1 86 13 2" xfId="14708" xr:uid="{00000000-0005-0000-0000-000075390000}"/>
    <cellStyle name="40% - Accent1 86 13 2 2" xfId="14709" xr:uid="{00000000-0005-0000-0000-000076390000}"/>
    <cellStyle name="40% - Accent1 86 13 3" xfId="14710" xr:uid="{00000000-0005-0000-0000-000077390000}"/>
    <cellStyle name="40% - Accent1 86 14" xfId="14711" xr:uid="{00000000-0005-0000-0000-000078390000}"/>
    <cellStyle name="40% - Accent1 86 14 2" xfId="14712" xr:uid="{00000000-0005-0000-0000-000079390000}"/>
    <cellStyle name="40% - Accent1 86 14 2 2" xfId="14713" xr:uid="{00000000-0005-0000-0000-00007A390000}"/>
    <cellStyle name="40% - Accent1 86 14 3" xfId="14714" xr:uid="{00000000-0005-0000-0000-00007B390000}"/>
    <cellStyle name="40% - Accent1 86 15" xfId="14715" xr:uid="{00000000-0005-0000-0000-00007C390000}"/>
    <cellStyle name="40% - Accent1 86 15 2" xfId="14716" xr:uid="{00000000-0005-0000-0000-00007D390000}"/>
    <cellStyle name="40% - Accent1 86 15 2 2" xfId="14717" xr:uid="{00000000-0005-0000-0000-00007E390000}"/>
    <cellStyle name="40% - Accent1 86 15 3" xfId="14718" xr:uid="{00000000-0005-0000-0000-00007F390000}"/>
    <cellStyle name="40% - Accent1 86 16" xfId="14719" xr:uid="{00000000-0005-0000-0000-000080390000}"/>
    <cellStyle name="40% - Accent1 86 16 2" xfId="14720" xr:uid="{00000000-0005-0000-0000-000081390000}"/>
    <cellStyle name="40% - Accent1 86 16 2 2" xfId="14721" xr:uid="{00000000-0005-0000-0000-000082390000}"/>
    <cellStyle name="40% - Accent1 86 16 3" xfId="14722" xr:uid="{00000000-0005-0000-0000-000083390000}"/>
    <cellStyle name="40% - Accent1 86 17" xfId="14723" xr:uid="{00000000-0005-0000-0000-000084390000}"/>
    <cellStyle name="40% - Accent1 86 17 2" xfId="14724" xr:uid="{00000000-0005-0000-0000-000085390000}"/>
    <cellStyle name="40% - Accent1 86 17 2 2" xfId="14725" xr:uid="{00000000-0005-0000-0000-000086390000}"/>
    <cellStyle name="40% - Accent1 86 17 3" xfId="14726" xr:uid="{00000000-0005-0000-0000-000087390000}"/>
    <cellStyle name="40% - Accent1 86 18" xfId="14727" xr:uid="{00000000-0005-0000-0000-000088390000}"/>
    <cellStyle name="40% - Accent1 86 18 2" xfId="14728" xr:uid="{00000000-0005-0000-0000-000089390000}"/>
    <cellStyle name="40% - Accent1 86 18 2 2" xfId="14729" xr:uid="{00000000-0005-0000-0000-00008A390000}"/>
    <cellStyle name="40% - Accent1 86 18 3" xfId="14730" xr:uid="{00000000-0005-0000-0000-00008B390000}"/>
    <cellStyle name="40% - Accent1 86 19" xfId="14731" xr:uid="{00000000-0005-0000-0000-00008C390000}"/>
    <cellStyle name="40% - Accent1 86 19 2" xfId="14732" xr:uid="{00000000-0005-0000-0000-00008D390000}"/>
    <cellStyle name="40% - Accent1 86 19 2 2" xfId="14733" xr:uid="{00000000-0005-0000-0000-00008E390000}"/>
    <cellStyle name="40% - Accent1 86 19 3" xfId="14734" xr:uid="{00000000-0005-0000-0000-00008F390000}"/>
    <cellStyle name="40% - Accent1 86 2" xfId="14735" xr:uid="{00000000-0005-0000-0000-000090390000}"/>
    <cellStyle name="40% - Accent1 86 2 2" xfId="14736" xr:uid="{00000000-0005-0000-0000-000091390000}"/>
    <cellStyle name="40% - Accent1 86 2 2 2" xfId="14737" xr:uid="{00000000-0005-0000-0000-000092390000}"/>
    <cellStyle name="40% - Accent1 86 2 3" xfId="14738" xr:uid="{00000000-0005-0000-0000-000093390000}"/>
    <cellStyle name="40% - Accent1 86 20" xfId="14739" xr:uid="{00000000-0005-0000-0000-000094390000}"/>
    <cellStyle name="40% - Accent1 86 20 2" xfId="14740" xr:uid="{00000000-0005-0000-0000-000095390000}"/>
    <cellStyle name="40% - Accent1 86 20 2 2" xfId="14741" xr:uid="{00000000-0005-0000-0000-000096390000}"/>
    <cellStyle name="40% - Accent1 86 20 3" xfId="14742" xr:uid="{00000000-0005-0000-0000-000097390000}"/>
    <cellStyle name="40% - Accent1 86 21" xfId="14743" xr:uid="{00000000-0005-0000-0000-000098390000}"/>
    <cellStyle name="40% - Accent1 86 21 2" xfId="14744" xr:uid="{00000000-0005-0000-0000-000099390000}"/>
    <cellStyle name="40% - Accent1 86 21 2 2" xfId="14745" xr:uid="{00000000-0005-0000-0000-00009A390000}"/>
    <cellStyle name="40% - Accent1 86 21 3" xfId="14746" xr:uid="{00000000-0005-0000-0000-00009B390000}"/>
    <cellStyle name="40% - Accent1 86 22" xfId="14747" xr:uid="{00000000-0005-0000-0000-00009C390000}"/>
    <cellStyle name="40% - Accent1 86 22 2" xfId="14748" xr:uid="{00000000-0005-0000-0000-00009D390000}"/>
    <cellStyle name="40% - Accent1 86 22 2 2" xfId="14749" xr:uid="{00000000-0005-0000-0000-00009E390000}"/>
    <cellStyle name="40% - Accent1 86 22 3" xfId="14750" xr:uid="{00000000-0005-0000-0000-00009F390000}"/>
    <cellStyle name="40% - Accent1 86 23" xfId="14751" xr:uid="{00000000-0005-0000-0000-0000A0390000}"/>
    <cellStyle name="40% - Accent1 86 23 2" xfId="14752" xr:uid="{00000000-0005-0000-0000-0000A1390000}"/>
    <cellStyle name="40% - Accent1 86 23 2 2" xfId="14753" xr:uid="{00000000-0005-0000-0000-0000A2390000}"/>
    <cellStyle name="40% - Accent1 86 23 3" xfId="14754" xr:uid="{00000000-0005-0000-0000-0000A3390000}"/>
    <cellStyle name="40% - Accent1 86 24" xfId="14755" xr:uid="{00000000-0005-0000-0000-0000A4390000}"/>
    <cellStyle name="40% - Accent1 86 24 2" xfId="14756" xr:uid="{00000000-0005-0000-0000-0000A5390000}"/>
    <cellStyle name="40% - Accent1 86 24 2 2" xfId="14757" xr:uid="{00000000-0005-0000-0000-0000A6390000}"/>
    <cellStyle name="40% - Accent1 86 24 3" xfId="14758" xr:uid="{00000000-0005-0000-0000-0000A7390000}"/>
    <cellStyle name="40% - Accent1 86 25" xfId="14759" xr:uid="{00000000-0005-0000-0000-0000A8390000}"/>
    <cellStyle name="40% - Accent1 86 25 2" xfId="14760" xr:uid="{00000000-0005-0000-0000-0000A9390000}"/>
    <cellStyle name="40% - Accent1 86 25 2 2" xfId="14761" xr:uid="{00000000-0005-0000-0000-0000AA390000}"/>
    <cellStyle name="40% - Accent1 86 25 3" xfId="14762" xr:uid="{00000000-0005-0000-0000-0000AB390000}"/>
    <cellStyle name="40% - Accent1 86 26" xfId="14763" xr:uid="{00000000-0005-0000-0000-0000AC390000}"/>
    <cellStyle name="40% - Accent1 86 26 2" xfId="14764" xr:uid="{00000000-0005-0000-0000-0000AD390000}"/>
    <cellStyle name="40% - Accent1 86 26 2 2" xfId="14765" xr:uid="{00000000-0005-0000-0000-0000AE390000}"/>
    <cellStyle name="40% - Accent1 86 26 3" xfId="14766" xr:uid="{00000000-0005-0000-0000-0000AF390000}"/>
    <cellStyle name="40% - Accent1 86 27" xfId="14767" xr:uid="{00000000-0005-0000-0000-0000B0390000}"/>
    <cellStyle name="40% - Accent1 86 27 2" xfId="14768" xr:uid="{00000000-0005-0000-0000-0000B1390000}"/>
    <cellStyle name="40% - Accent1 86 27 2 2" xfId="14769" xr:uid="{00000000-0005-0000-0000-0000B2390000}"/>
    <cellStyle name="40% - Accent1 86 27 3" xfId="14770" xr:uid="{00000000-0005-0000-0000-0000B3390000}"/>
    <cellStyle name="40% - Accent1 86 28" xfId="14771" xr:uid="{00000000-0005-0000-0000-0000B4390000}"/>
    <cellStyle name="40% - Accent1 86 28 2" xfId="14772" xr:uid="{00000000-0005-0000-0000-0000B5390000}"/>
    <cellStyle name="40% - Accent1 86 28 2 2" xfId="14773" xr:uid="{00000000-0005-0000-0000-0000B6390000}"/>
    <cellStyle name="40% - Accent1 86 28 3" xfId="14774" xr:uid="{00000000-0005-0000-0000-0000B7390000}"/>
    <cellStyle name="40% - Accent1 86 29" xfId="14775" xr:uid="{00000000-0005-0000-0000-0000B8390000}"/>
    <cellStyle name="40% - Accent1 86 29 2" xfId="14776" xr:uid="{00000000-0005-0000-0000-0000B9390000}"/>
    <cellStyle name="40% - Accent1 86 29 2 2" xfId="14777" xr:uid="{00000000-0005-0000-0000-0000BA390000}"/>
    <cellStyle name="40% - Accent1 86 29 3" xfId="14778" xr:uid="{00000000-0005-0000-0000-0000BB390000}"/>
    <cellStyle name="40% - Accent1 86 3" xfId="14779" xr:uid="{00000000-0005-0000-0000-0000BC390000}"/>
    <cellStyle name="40% - Accent1 86 3 2" xfId="14780" xr:uid="{00000000-0005-0000-0000-0000BD390000}"/>
    <cellStyle name="40% - Accent1 86 3 2 2" xfId="14781" xr:uid="{00000000-0005-0000-0000-0000BE390000}"/>
    <cellStyle name="40% - Accent1 86 3 3" xfId="14782" xr:uid="{00000000-0005-0000-0000-0000BF390000}"/>
    <cellStyle name="40% - Accent1 86 30" xfId="14783" xr:uid="{00000000-0005-0000-0000-0000C0390000}"/>
    <cellStyle name="40% - Accent1 86 30 2" xfId="14784" xr:uid="{00000000-0005-0000-0000-0000C1390000}"/>
    <cellStyle name="40% - Accent1 86 30 2 2" xfId="14785" xr:uid="{00000000-0005-0000-0000-0000C2390000}"/>
    <cellStyle name="40% - Accent1 86 30 3" xfId="14786" xr:uid="{00000000-0005-0000-0000-0000C3390000}"/>
    <cellStyle name="40% - Accent1 86 31" xfId="14787" xr:uid="{00000000-0005-0000-0000-0000C4390000}"/>
    <cellStyle name="40% - Accent1 86 31 2" xfId="14788" xr:uid="{00000000-0005-0000-0000-0000C5390000}"/>
    <cellStyle name="40% - Accent1 86 31 2 2" xfId="14789" xr:uid="{00000000-0005-0000-0000-0000C6390000}"/>
    <cellStyle name="40% - Accent1 86 31 3" xfId="14790" xr:uid="{00000000-0005-0000-0000-0000C7390000}"/>
    <cellStyle name="40% - Accent1 86 32" xfId="14791" xr:uid="{00000000-0005-0000-0000-0000C8390000}"/>
    <cellStyle name="40% - Accent1 86 32 2" xfId="14792" xr:uid="{00000000-0005-0000-0000-0000C9390000}"/>
    <cellStyle name="40% - Accent1 86 32 2 2" xfId="14793" xr:uid="{00000000-0005-0000-0000-0000CA390000}"/>
    <cellStyle name="40% - Accent1 86 32 3" xfId="14794" xr:uid="{00000000-0005-0000-0000-0000CB390000}"/>
    <cellStyle name="40% - Accent1 86 33" xfId="14795" xr:uid="{00000000-0005-0000-0000-0000CC390000}"/>
    <cellStyle name="40% - Accent1 86 33 2" xfId="14796" xr:uid="{00000000-0005-0000-0000-0000CD390000}"/>
    <cellStyle name="40% - Accent1 86 33 2 2" xfId="14797" xr:uid="{00000000-0005-0000-0000-0000CE390000}"/>
    <cellStyle name="40% - Accent1 86 33 3" xfId="14798" xr:uid="{00000000-0005-0000-0000-0000CF390000}"/>
    <cellStyle name="40% - Accent1 86 34" xfId="14799" xr:uid="{00000000-0005-0000-0000-0000D0390000}"/>
    <cellStyle name="40% - Accent1 86 34 2" xfId="14800" xr:uid="{00000000-0005-0000-0000-0000D1390000}"/>
    <cellStyle name="40% - Accent1 86 34 2 2" xfId="14801" xr:uid="{00000000-0005-0000-0000-0000D2390000}"/>
    <cellStyle name="40% - Accent1 86 34 3" xfId="14802" xr:uid="{00000000-0005-0000-0000-0000D3390000}"/>
    <cellStyle name="40% - Accent1 86 35" xfId="14803" xr:uid="{00000000-0005-0000-0000-0000D4390000}"/>
    <cellStyle name="40% - Accent1 86 35 2" xfId="14804" xr:uid="{00000000-0005-0000-0000-0000D5390000}"/>
    <cellStyle name="40% - Accent1 86 35 2 2" xfId="14805" xr:uid="{00000000-0005-0000-0000-0000D6390000}"/>
    <cellStyle name="40% - Accent1 86 35 3" xfId="14806" xr:uid="{00000000-0005-0000-0000-0000D7390000}"/>
    <cellStyle name="40% - Accent1 86 36" xfId="14807" xr:uid="{00000000-0005-0000-0000-0000D8390000}"/>
    <cellStyle name="40% - Accent1 86 36 2" xfId="14808" xr:uid="{00000000-0005-0000-0000-0000D9390000}"/>
    <cellStyle name="40% - Accent1 86 36 2 2" xfId="14809" xr:uid="{00000000-0005-0000-0000-0000DA390000}"/>
    <cellStyle name="40% - Accent1 86 36 3" xfId="14810" xr:uid="{00000000-0005-0000-0000-0000DB390000}"/>
    <cellStyle name="40% - Accent1 86 4" xfId="14811" xr:uid="{00000000-0005-0000-0000-0000DC390000}"/>
    <cellStyle name="40% - Accent1 86 4 2" xfId="14812" xr:uid="{00000000-0005-0000-0000-0000DD390000}"/>
    <cellStyle name="40% - Accent1 86 4 2 2" xfId="14813" xr:uid="{00000000-0005-0000-0000-0000DE390000}"/>
    <cellStyle name="40% - Accent1 86 4 3" xfId="14814" xr:uid="{00000000-0005-0000-0000-0000DF390000}"/>
    <cellStyle name="40% - Accent1 86 5" xfId="14815" xr:uid="{00000000-0005-0000-0000-0000E0390000}"/>
    <cellStyle name="40% - Accent1 86 5 2" xfId="14816" xr:uid="{00000000-0005-0000-0000-0000E1390000}"/>
    <cellStyle name="40% - Accent1 86 5 2 2" xfId="14817" xr:uid="{00000000-0005-0000-0000-0000E2390000}"/>
    <cellStyle name="40% - Accent1 86 5 3" xfId="14818" xr:uid="{00000000-0005-0000-0000-0000E3390000}"/>
    <cellStyle name="40% - Accent1 86 6" xfId="14819" xr:uid="{00000000-0005-0000-0000-0000E4390000}"/>
    <cellStyle name="40% - Accent1 86 6 2" xfId="14820" xr:uid="{00000000-0005-0000-0000-0000E5390000}"/>
    <cellStyle name="40% - Accent1 86 6 2 2" xfId="14821" xr:uid="{00000000-0005-0000-0000-0000E6390000}"/>
    <cellStyle name="40% - Accent1 86 6 3" xfId="14822" xr:uid="{00000000-0005-0000-0000-0000E7390000}"/>
    <cellStyle name="40% - Accent1 86 7" xfId="14823" xr:uid="{00000000-0005-0000-0000-0000E8390000}"/>
    <cellStyle name="40% - Accent1 86 7 2" xfId="14824" xr:uid="{00000000-0005-0000-0000-0000E9390000}"/>
    <cellStyle name="40% - Accent1 86 7 2 2" xfId="14825" xr:uid="{00000000-0005-0000-0000-0000EA390000}"/>
    <cellStyle name="40% - Accent1 86 7 3" xfId="14826" xr:uid="{00000000-0005-0000-0000-0000EB390000}"/>
    <cellStyle name="40% - Accent1 86 8" xfId="14827" xr:uid="{00000000-0005-0000-0000-0000EC390000}"/>
    <cellStyle name="40% - Accent1 86 8 2" xfId="14828" xr:uid="{00000000-0005-0000-0000-0000ED390000}"/>
    <cellStyle name="40% - Accent1 86 8 2 2" xfId="14829" xr:uid="{00000000-0005-0000-0000-0000EE390000}"/>
    <cellStyle name="40% - Accent1 86 8 3" xfId="14830" xr:uid="{00000000-0005-0000-0000-0000EF390000}"/>
    <cellStyle name="40% - Accent1 86 9" xfId="14831" xr:uid="{00000000-0005-0000-0000-0000F0390000}"/>
    <cellStyle name="40% - Accent1 86 9 2" xfId="14832" xr:uid="{00000000-0005-0000-0000-0000F1390000}"/>
    <cellStyle name="40% - Accent1 86 9 2 2" xfId="14833" xr:uid="{00000000-0005-0000-0000-0000F2390000}"/>
    <cellStyle name="40% - Accent1 86 9 3" xfId="14834" xr:uid="{00000000-0005-0000-0000-0000F3390000}"/>
    <cellStyle name="40% - Accent1 87" xfId="14835" xr:uid="{00000000-0005-0000-0000-0000F4390000}"/>
    <cellStyle name="40% - Accent1 87 10" xfId="14836" xr:uid="{00000000-0005-0000-0000-0000F5390000}"/>
    <cellStyle name="40% - Accent1 87 10 2" xfId="14837" xr:uid="{00000000-0005-0000-0000-0000F6390000}"/>
    <cellStyle name="40% - Accent1 87 10 2 2" xfId="14838" xr:uid="{00000000-0005-0000-0000-0000F7390000}"/>
    <cellStyle name="40% - Accent1 87 10 3" xfId="14839" xr:uid="{00000000-0005-0000-0000-0000F8390000}"/>
    <cellStyle name="40% - Accent1 87 11" xfId="14840" xr:uid="{00000000-0005-0000-0000-0000F9390000}"/>
    <cellStyle name="40% - Accent1 87 11 2" xfId="14841" xr:uid="{00000000-0005-0000-0000-0000FA390000}"/>
    <cellStyle name="40% - Accent1 87 11 2 2" xfId="14842" xr:uid="{00000000-0005-0000-0000-0000FB390000}"/>
    <cellStyle name="40% - Accent1 87 11 3" xfId="14843" xr:uid="{00000000-0005-0000-0000-0000FC390000}"/>
    <cellStyle name="40% - Accent1 87 12" xfId="14844" xr:uid="{00000000-0005-0000-0000-0000FD390000}"/>
    <cellStyle name="40% - Accent1 87 12 2" xfId="14845" xr:uid="{00000000-0005-0000-0000-0000FE390000}"/>
    <cellStyle name="40% - Accent1 87 12 2 2" xfId="14846" xr:uid="{00000000-0005-0000-0000-0000FF390000}"/>
    <cellStyle name="40% - Accent1 87 12 3" xfId="14847" xr:uid="{00000000-0005-0000-0000-0000003A0000}"/>
    <cellStyle name="40% - Accent1 87 13" xfId="14848" xr:uid="{00000000-0005-0000-0000-0000013A0000}"/>
    <cellStyle name="40% - Accent1 87 13 2" xfId="14849" xr:uid="{00000000-0005-0000-0000-0000023A0000}"/>
    <cellStyle name="40% - Accent1 87 13 2 2" xfId="14850" xr:uid="{00000000-0005-0000-0000-0000033A0000}"/>
    <cellStyle name="40% - Accent1 87 13 3" xfId="14851" xr:uid="{00000000-0005-0000-0000-0000043A0000}"/>
    <cellStyle name="40% - Accent1 87 14" xfId="14852" xr:uid="{00000000-0005-0000-0000-0000053A0000}"/>
    <cellStyle name="40% - Accent1 87 14 2" xfId="14853" xr:uid="{00000000-0005-0000-0000-0000063A0000}"/>
    <cellStyle name="40% - Accent1 87 14 2 2" xfId="14854" xr:uid="{00000000-0005-0000-0000-0000073A0000}"/>
    <cellStyle name="40% - Accent1 87 14 3" xfId="14855" xr:uid="{00000000-0005-0000-0000-0000083A0000}"/>
    <cellStyle name="40% - Accent1 87 15" xfId="14856" xr:uid="{00000000-0005-0000-0000-0000093A0000}"/>
    <cellStyle name="40% - Accent1 87 15 2" xfId="14857" xr:uid="{00000000-0005-0000-0000-00000A3A0000}"/>
    <cellStyle name="40% - Accent1 87 15 2 2" xfId="14858" xr:uid="{00000000-0005-0000-0000-00000B3A0000}"/>
    <cellStyle name="40% - Accent1 87 15 3" xfId="14859" xr:uid="{00000000-0005-0000-0000-00000C3A0000}"/>
    <cellStyle name="40% - Accent1 87 16" xfId="14860" xr:uid="{00000000-0005-0000-0000-00000D3A0000}"/>
    <cellStyle name="40% - Accent1 87 16 2" xfId="14861" xr:uid="{00000000-0005-0000-0000-00000E3A0000}"/>
    <cellStyle name="40% - Accent1 87 16 2 2" xfId="14862" xr:uid="{00000000-0005-0000-0000-00000F3A0000}"/>
    <cellStyle name="40% - Accent1 87 16 3" xfId="14863" xr:uid="{00000000-0005-0000-0000-0000103A0000}"/>
    <cellStyle name="40% - Accent1 87 17" xfId="14864" xr:uid="{00000000-0005-0000-0000-0000113A0000}"/>
    <cellStyle name="40% - Accent1 87 17 2" xfId="14865" xr:uid="{00000000-0005-0000-0000-0000123A0000}"/>
    <cellStyle name="40% - Accent1 87 17 2 2" xfId="14866" xr:uid="{00000000-0005-0000-0000-0000133A0000}"/>
    <cellStyle name="40% - Accent1 87 17 3" xfId="14867" xr:uid="{00000000-0005-0000-0000-0000143A0000}"/>
    <cellStyle name="40% - Accent1 87 18" xfId="14868" xr:uid="{00000000-0005-0000-0000-0000153A0000}"/>
    <cellStyle name="40% - Accent1 87 18 2" xfId="14869" xr:uid="{00000000-0005-0000-0000-0000163A0000}"/>
    <cellStyle name="40% - Accent1 87 18 2 2" xfId="14870" xr:uid="{00000000-0005-0000-0000-0000173A0000}"/>
    <cellStyle name="40% - Accent1 87 18 3" xfId="14871" xr:uid="{00000000-0005-0000-0000-0000183A0000}"/>
    <cellStyle name="40% - Accent1 87 19" xfId="14872" xr:uid="{00000000-0005-0000-0000-0000193A0000}"/>
    <cellStyle name="40% - Accent1 87 19 2" xfId="14873" xr:uid="{00000000-0005-0000-0000-00001A3A0000}"/>
    <cellStyle name="40% - Accent1 87 19 2 2" xfId="14874" xr:uid="{00000000-0005-0000-0000-00001B3A0000}"/>
    <cellStyle name="40% - Accent1 87 19 3" xfId="14875" xr:uid="{00000000-0005-0000-0000-00001C3A0000}"/>
    <cellStyle name="40% - Accent1 87 2" xfId="14876" xr:uid="{00000000-0005-0000-0000-00001D3A0000}"/>
    <cellStyle name="40% - Accent1 87 2 2" xfId="14877" xr:uid="{00000000-0005-0000-0000-00001E3A0000}"/>
    <cellStyle name="40% - Accent1 87 2 2 2" xfId="14878" xr:uid="{00000000-0005-0000-0000-00001F3A0000}"/>
    <cellStyle name="40% - Accent1 87 2 3" xfId="14879" xr:uid="{00000000-0005-0000-0000-0000203A0000}"/>
    <cellStyle name="40% - Accent1 87 20" xfId="14880" xr:uid="{00000000-0005-0000-0000-0000213A0000}"/>
    <cellStyle name="40% - Accent1 87 20 2" xfId="14881" xr:uid="{00000000-0005-0000-0000-0000223A0000}"/>
    <cellStyle name="40% - Accent1 87 20 2 2" xfId="14882" xr:uid="{00000000-0005-0000-0000-0000233A0000}"/>
    <cellStyle name="40% - Accent1 87 20 3" xfId="14883" xr:uid="{00000000-0005-0000-0000-0000243A0000}"/>
    <cellStyle name="40% - Accent1 87 21" xfId="14884" xr:uid="{00000000-0005-0000-0000-0000253A0000}"/>
    <cellStyle name="40% - Accent1 87 21 2" xfId="14885" xr:uid="{00000000-0005-0000-0000-0000263A0000}"/>
    <cellStyle name="40% - Accent1 87 21 2 2" xfId="14886" xr:uid="{00000000-0005-0000-0000-0000273A0000}"/>
    <cellStyle name="40% - Accent1 87 21 3" xfId="14887" xr:uid="{00000000-0005-0000-0000-0000283A0000}"/>
    <cellStyle name="40% - Accent1 87 22" xfId="14888" xr:uid="{00000000-0005-0000-0000-0000293A0000}"/>
    <cellStyle name="40% - Accent1 87 22 2" xfId="14889" xr:uid="{00000000-0005-0000-0000-00002A3A0000}"/>
    <cellStyle name="40% - Accent1 87 22 2 2" xfId="14890" xr:uid="{00000000-0005-0000-0000-00002B3A0000}"/>
    <cellStyle name="40% - Accent1 87 22 3" xfId="14891" xr:uid="{00000000-0005-0000-0000-00002C3A0000}"/>
    <cellStyle name="40% - Accent1 87 23" xfId="14892" xr:uid="{00000000-0005-0000-0000-00002D3A0000}"/>
    <cellStyle name="40% - Accent1 87 23 2" xfId="14893" xr:uid="{00000000-0005-0000-0000-00002E3A0000}"/>
    <cellStyle name="40% - Accent1 87 23 2 2" xfId="14894" xr:uid="{00000000-0005-0000-0000-00002F3A0000}"/>
    <cellStyle name="40% - Accent1 87 23 3" xfId="14895" xr:uid="{00000000-0005-0000-0000-0000303A0000}"/>
    <cellStyle name="40% - Accent1 87 24" xfId="14896" xr:uid="{00000000-0005-0000-0000-0000313A0000}"/>
    <cellStyle name="40% - Accent1 87 24 2" xfId="14897" xr:uid="{00000000-0005-0000-0000-0000323A0000}"/>
    <cellStyle name="40% - Accent1 87 24 2 2" xfId="14898" xr:uid="{00000000-0005-0000-0000-0000333A0000}"/>
    <cellStyle name="40% - Accent1 87 24 3" xfId="14899" xr:uid="{00000000-0005-0000-0000-0000343A0000}"/>
    <cellStyle name="40% - Accent1 87 25" xfId="14900" xr:uid="{00000000-0005-0000-0000-0000353A0000}"/>
    <cellStyle name="40% - Accent1 87 25 2" xfId="14901" xr:uid="{00000000-0005-0000-0000-0000363A0000}"/>
    <cellStyle name="40% - Accent1 87 25 2 2" xfId="14902" xr:uid="{00000000-0005-0000-0000-0000373A0000}"/>
    <cellStyle name="40% - Accent1 87 25 3" xfId="14903" xr:uid="{00000000-0005-0000-0000-0000383A0000}"/>
    <cellStyle name="40% - Accent1 87 26" xfId="14904" xr:uid="{00000000-0005-0000-0000-0000393A0000}"/>
    <cellStyle name="40% - Accent1 87 26 2" xfId="14905" xr:uid="{00000000-0005-0000-0000-00003A3A0000}"/>
    <cellStyle name="40% - Accent1 87 26 2 2" xfId="14906" xr:uid="{00000000-0005-0000-0000-00003B3A0000}"/>
    <cellStyle name="40% - Accent1 87 26 3" xfId="14907" xr:uid="{00000000-0005-0000-0000-00003C3A0000}"/>
    <cellStyle name="40% - Accent1 87 27" xfId="14908" xr:uid="{00000000-0005-0000-0000-00003D3A0000}"/>
    <cellStyle name="40% - Accent1 87 27 2" xfId="14909" xr:uid="{00000000-0005-0000-0000-00003E3A0000}"/>
    <cellStyle name="40% - Accent1 87 27 2 2" xfId="14910" xr:uid="{00000000-0005-0000-0000-00003F3A0000}"/>
    <cellStyle name="40% - Accent1 87 27 3" xfId="14911" xr:uid="{00000000-0005-0000-0000-0000403A0000}"/>
    <cellStyle name="40% - Accent1 87 28" xfId="14912" xr:uid="{00000000-0005-0000-0000-0000413A0000}"/>
    <cellStyle name="40% - Accent1 87 28 2" xfId="14913" xr:uid="{00000000-0005-0000-0000-0000423A0000}"/>
    <cellStyle name="40% - Accent1 87 28 2 2" xfId="14914" xr:uid="{00000000-0005-0000-0000-0000433A0000}"/>
    <cellStyle name="40% - Accent1 87 28 3" xfId="14915" xr:uid="{00000000-0005-0000-0000-0000443A0000}"/>
    <cellStyle name="40% - Accent1 87 29" xfId="14916" xr:uid="{00000000-0005-0000-0000-0000453A0000}"/>
    <cellStyle name="40% - Accent1 87 29 2" xfId="14917" xr:uid="{00000000-0005-0000-0000-0000463A0000}"/>
    <cellStyle name="40% - Accent1 87 29 2 2" xfId="14918" xr:uid="{00000000-0005-0000-0000-0000473A0000}"/>
    <cellStyle name="40% - Accent1 87 29 3" xfId="14919" xr:uid="{00000000-0005-0000-0000-0000483A0000}"/>
    <cellStyle name="40% - Accent1 87 3" xfId="14920" xr:uid="{00000000-0005-0000-0000-0000493A0000}"/>
    <cellStyle name="40% - Accent1 87 3 2" xfId="14921" xr:uid="{00000000-0005-0000-0000-00004A3A0000}"/>
    <cellStyle name="40% - Accent1 87 3 2 2" xfId="14922" xr:uid="{00000000-0005-0000-0000-00004B3A0000}"/>
    <cellStyle name="40% - Accent1 87 3 3" xfId="14923" xr:uid="{00000000-0005-0000-0000-00004C3A0000}"/>
    <cellStyle name="40% - Accent1 87 30" xfId="14924" xr:uid="{00000000-0005-0000-0000-00004D3A0000}"/>
    <cellStyle name="40% - Accent1 87 30 2" xfId="14925" xr:uid="{00000000-0005-0000-0000-00004E3A0000}"/>
    <cellStyle name="40% - Accent1 87 30 2 2" xfId="14926" xr:uid="{00000000-0005-0000-0000-00004F3A0000}"/>
    <cellStyle name="40% - Accent1 87 30 3" xfId="14927" xr:uid="{00000000-0005-0000-0000-0000503A0000}"/>
    <cellStyle name="40% - Accent1 87 31" xfId="14928" xr:uid="{00000000-0005-0000-0000-0000513A0000}"/>
    <cellStyle name="40% - Accent1 87 31 2" xfId="14929" xr:uid="{00000000-0005-0000-0000-0000523A0000}"/>
    <cellStyle name="40% - Accent1 87 31 2 2" xfId="14930" xr:uid="{00000000-0005-0000-0000-0000533A0000}"/>
    <cellStyle name="40% - Accent1 87 31 3" xfId="14931" xr:uid="{00000000-0005-0000-0000-0000543A0000}"/>
    <cellStyle name="40% - Accent1 87 32" xfId="14932" xr:uid="{00000000-0005-0000-0000-0000553A0000}"/>
    <cellStyle name="40% - Accent1 87 32 2" xfId="14933" xr:uid="{00000000-0005-0000-0000-0000563A0000}"/>
    <cellStyle name="40% - Accent1 87 32 2 2" xfId="14934" xr:uid="{00000000-0005-0000-0000-0000573A0000}"/>
    <cellStyle name="40% - Accent1 87 32 3" xfId="14935" xr:uid="{00000000-0005-0000-0000-0000583A0000}"/>
    <cellStyle name="40% - Accent1 87 33" xfId="14936" xr:uid="{00000000-0005-0000-0000-0000593A0000}"/>
    <cellStyle name="40% - Accent1 87 33 2" xfId="14937" xr:uid="{00000000-0005-0000-0000-00005A3A0000}"/>
    <cellStyle name="40% - Accent1 87 33 2 2" xfId="14938" xr:uid="{00000000-0005-0000-0000-00005B3A0000}"/>
    <cellStyle name="40% - Accent1 87 33 3" xfId="14939" xr:uid="{00000000-0005-0000-0000-00005C3A0000}"/>
    <cellStyle name="40% - Accent1 87 34" xfId="14940" xr:uid="{00000000-0005-0000-0000-00005D3A0000}"/>
    <cellStyle name="40% - Accent1 87 34 2" xfId="14941" xr:uid="{00000000-0005-0000-0000-00005E3A0000}"/>
    <cellStyle name="40% - Accent1 87 34 2 2" xfId="14942" xr:uid="{00000000-0005-0000-0000-00005F3A0000}"/>
    <cellStyle name="40% - Accent1 87 34 3" xfId="14943" xr:uid="{00000000-0005-0000-0000-0000603A0000}"/>
    <cellStyle name="40% - Accent1 87 35" xfId="14944" xr:uid="{00000000-0005-0000-0000-0000613A0000}"/>
    <cellStyle name="40% - Accent1 87 35 2" xfId="14945" xr:uid="{00000000-0005-0000-0000-0000623A0000}"/>
    <cellStyle name="40% - Accent1 87 35 2 2" xfId="14946" xr:uid="{00000000-0005-0000-0000-0000633A0000}"/>
    <cellStyle name="40% - Accent1 87 35 3" xfId="14947" xr:uid="{00000000-0005-0000-0000-0000643A0000}"/>
    <cellStyle name="40% - Accent1 87 36" xfId="14948" xr:uid="{00000000-0005-0000-0000-0000653A0000}"/>
    <cellStyle name="40% - Accent1 87 36 2" xfId="14949" xr:uid="{00000000-0005-0000-0000-0000663A0000}"/>
    <cellStyle name="40% - Accent1 87 36 2 2" xfId="14950" xr:uid="{00000000-0005-0000-0000-0000673A0000}"/>
    <cellStyle name="40% - Accent1 87 36 3" xfId="14951" xr:uid="{00000000-0005-0000-0000-0000683A0000}"/>
    <cellStyle name="40% - Accent1 87 4" xfId="14952" xr:uid="{00000000-0005-0000-0000-0000693A0000}"/>
    <cellStyle name="40% - Accent1 87 4 2" xfId="14953" xr:uid="{00000000-0005-0000-0000-00006A3A0000}"/>
    <cellStyle name="40% - Accent1 87 4 2 2" xfId="14954" xr:uid="{00000000-0005-0000-0000-00006B3A0000}"/>
    <cellStyle name="40% - Accent1 87 4 3" xfId="14955" xr:uid="{00000000-0005-0000-0000-00006C3A0000}"/>
    <cellStyle name="40% - Accent1 87 5" xfId="14956" xr:uid="{00000000-0005-0000-0000-00006D3A0000}"/>
    <cellStyle name="40% - Accent1 87 5 2" xfId="14957" xr:uid="{00000000-0005-0000-0000-00006E3A0000}"/>
    <cellStyle name="40% - Accent1 87 5 2 2" xfId="14958" xr:uid="{00000000-0005-0000-0000-00006F3A0000}"/>
    <cellStyle name="40% - Accent1 87 5 3" xfId="14959" xr:uid="{00000000-0005-0000-0000-0000703A0000}"/>
    <cellStyle name="40% - Accent1 87 6" xfId="14960" xr:uid="{00000000-0005-0000-0000-0000713A0000}"/>
    <cellStyle name="40% - Accent1 87 6 2" xfId="14961" xr:uid="{00000000-0005-0000-0000-0000723A0000}"/>
    <cellStyle name="40% - Accent1 87 6 2 2" xfId="14962" xr:uid="{00000000-0005-0000-0000-0000733A0000}"/>
    <cellStyle name="40% - Accent1 87 6 3" xfId="14963" xr:uid="{00000000-0005-0000-0000-0000743A0000}"/>
    <cellStyle name="40% - Accent1 87 7" xfId="14964" xr:uid="{00000000-0005-0000-0000-0000753A0000}"/>
    <cellStyle name="40% - Accent1 87 7 2" xfId="14965" xr:uid="{00000000-0005-0000-0000-0000763A0000}"/>
    <cellStyle name="40% - Accent1 87 7 2 2" xfId="14966" xr:uid="{00000000-0005-0000-0000-0000773A0000}"/>
    <cellStyle name="40% - Accent1 87 7 3" xfId="14967" xr:uid="{00000000-0005-0000-0000-0000783A0000}"/>
    <cellStyle name="40% - Accent1 87 8" xfId="14968" xr:uid="{00000000-0005-0000-0000-0000793A0000}"/>
    <cellStyle name="40% - Accent1 87 8 2" xfId="14969" xr:uid="{00000000-0005-0000-0000-00007A3A0000}"/>
    <cellStyle name="40% - Accent1 87 8 2 2" xfId="14970" xr:uid="{00000000-0005-0000-0000-00007B3A0000}"/>
    <cellStyle name="40% - Accent1 87 8 3" xfId="14971" xr:uid="{00000000-0005-0000-0000-00007C3A0000}"/>
    <cellStyle name="40% - Accent1 87 9" xfId="14972" xr:uid="{00000000-0005-0000-0000-00007D3A0000}"/>
    <cellStyle name="40% - Accent1 87 9 2" xfId="14973" xr:uid="{00000000-0005-0000-0000-00007E3A0000}"/>
    <cellStyle name="40% - Accent1 87 9 2 2" xfId="14974" xr:uid="{00000000-0005-0000-0000-00007F3A0000}"/>
    <cellStyle name="40% - Accent1 87 9 3" xfId="14975" xr:uid="{00000000-0005-0000-0000-0000803A0000}"/>
    <cellStyle name="40% - Accent1 88" xfId="14976" xr:uid="{00000000-0005-0000-0000-0000813A0000}"/>
    <cellStyle name="40% - Accent1 88 10" xfId="14977" xr:uid="{00000000-0005-0000-0000-0000823A0000}"/>
    <cellStyle name="40% - Accent1 88 10 2" xfId="14978" xr:uid="{00000000-0005-0000-0000-0000833A0000}"/>
    <cellStyle name="40% - Accent1 88 10 2 2" xfId="14979" xr:uid="{00000000-0005-0000-0000-0000843A0000}"/>
    <cellStyle name="40% - Accent1 88 10 3" xfId="14980" xr:uid="{00000000-0005-0000-0000-0000853A0000}"/>
    <cellStyle name="40% - Accent1 88 11" xfId="14981" xr:uid="{00000000-0005-0000-0000-0000863A0000}"/>
    <cellStyle name="40% - Accent1 88 11 2" xfId="14982" xr:uid="{00000000-0005-0000-0000-0000873A0000}"/>
    <cellStyle name="40% - Accent1 88 11 2 2" xfId="14983" xr:uid="{00000000-0005-0000-0000-0000883A0000}"/>
    <cellStyle name="40% - Accent1 88 11 3" xfId="14984" xr:uid="{00000000-0005-0000-0000-0000893A0000}"/>
    <cellStyle name="40% - Accent1 88 12" xfId="14985" xr:uid="{00000000-0005-0000-0000-00008A3A0000}"/>
    <cellStyle name="40% - Accent1 88 12 2" xfId="14986" xr:uid="{00000000-0005-0000-0000-00008B3A0000}"/>
    <cellStyle name="40% - Accent1 88 12 2 2" xfId="14987" xr:uid="{00000000-0005-0000-0000-00008C3A0000}"/>
    <cellStyle name="40% - Accent1 88 12 3" xfId="14988" xr:uid="{00000000-0005-0000-0000-00008D3A0000}"/>
    <cellStyle name="40% - Accent1 88 13" xfId="14989" xr:uid="{00000000-0005-0000-0000-00008E3A0000}"/>
    <cellStyle name="40% - Accent1 88 13 2" xfId="14990" xr:uid="{00000000-0005-0000-0000-00008F3A0000}"/>
    <cellStyle name="40% - Accent1 88 13 2 2" xfId="14991" xr:uid="{00000000-0005-0000-0000-0000903A0000}"/>
    <cellStyle name="40% - Accent1 88 13 3" xfId="14992" xr:uid="{00000000-0005-0000-0000-0000913A0000}"/>
    <cellStyle name="40% - Accent1 88 14" xfId="14993" xr:uid="{00000000-0005-0000-0000-0000923A0000}"/>
    <cellStyle name="40% - Accent1 88 14 2" xfId="14994" xr:uid="{00000000-0005-0000-0000-0000933A0000}"/>
    <cellStyle name="40% - Accent1 88 14 2 2" xfId="14995" xr:uid="{00000000-0005-0000-0000-0000943A0000}"/>
    <cellStyle name="40% - Accent1 88 14 3" xfId="14996" xr:uid="{00000000-0005-0000-0000-0000953A0000}"/>
    <cellStyle name="40% - Accent1 88 15" xfId="14997" xr:uid="{00000000-0005-0000-0000-0000963A0000}"/>
    <cellStyle name="40% - Accent1 88 15 2" xfId="14998" xr:uid="{00000000-0005-0000-0000-0000973A0000}"/>
    <cellStyle name="40% - Accent1 88 15 2 2" xfId="14999" xr:uid="{00000000-0005-0000-0000-0000983A0000}"/>
    <cellStyle name="40% - Accent1 88 15 3" xfId="15000" xr:uid="{00000000-0005-0000-0000-0000993A0000}"/>
    <cellStyle name="40% - Accent1 88 16" xfId="15001" xr:uid="{00000000-0005-0000-0000-00009A3A0000}"/>
    <cellStyle name="40% - Accent1 88 16 2" xfId="15002" xr:uid="{00000000-0005-0000-0000-00009B3A0000}"/>
    <cellStyle name="40% - Accent1 88 16 2 2" xfId="15003" xr:uid="{00000000-0005-0000-0000-00009C3A0000}"/>
    <cellStyle name="40% - Accent1 88 16 3" xfId="15004" xr:uid="{00000000-0005-0000-0000-00009D3A0000}"/>
    <cellStyle name="40% - Accent1 88 17" xfId="15005" xr:uid="{00000000-0005-0000-0000-00009E3A0000}"/>
    <cellStyle name="40% - Accent1 88 17 2" xfId="15006" xr:uid="{00000000-0005-0000-0000-00009F3A0000}"/>
    <cellStyle name="40% - Accent1 88 17 2 2" xfId="15007" xr:uid="{00000000-0005-0000-0000-0000A03A0000}"/>
    <cellStyle name="40% - Accent1 88 17 3" xfId="15008" xr:uid="{00000000-0005-0000-0000-0000A13A0000}"/>
    <cellStyle name="40% - Accent1 88 18" xfId="15009" xr:uid="{00000000-0005-0000-0000-0000A23A0000}"/>
    <cellStyle name="40% - Accent1 88 18 2" xfId="15010" xr:uid="{00000000-0005-0000-0000-0000A33A0000}"/>
    <cellStyle name="40% - Accent1 88 18 2 2" xfId="15011" xr:uid="{00000000-0005-0000-0000-0000A43A0000}"/>
    <cellStyle name="40% - Accent1 88 18 3" xfId="15012" xr:uid="{00000000-0005-0000-0000-0000A53A0000}"/>
    <cellStyle name="40% - Accent1 88 19" xfId="15013" xr:uid="{00000000-0005-0000-0000-0000A63A0000}"/>
    <cellStyle name="40% - Accent1 88 19 2" xfId="15014" xr:uid="{00000000-0005-0000-0000-0000A73A0000}"/>
    <cellStyle name="40% - Accent1 88 19 2 2" xfId="15015" xr:uid="{00000000-0005-0000-0000-0000A83A0000}"/>
    <cellStyle name="40% - Accent1 88 19 3" xfId="15016" xr:uid="{00000000-0005-0000-0000-0000A93A0000}"/>
    <cellStyle name="40% - Accent1 88 2" xfId="15017" xr:uid="{00000000-0005-0000-0000-0000AA3A0000}"/>
    <cellStyle name="40% - Accent1 88 2 2" xfId="15018" xr:uid="{00000000-0005-0000-0000-0000AB3A0000}"/>
    <cellStyle name="40% - Accent1 88 2 2 2" xfId="15019" xr:uid="{00000000-0005-0000-0000-0000AC3A0000}"/>
    <cellStyle name="40% - Accent1 88 2 3" xfId="15020" xr:uid="{00000000-0005-0000-0000-0000AD3A0000}"/>
    <cellStyle name="40% - Accent1 88 20" xfId="15021" xr:uid="{00000000-0005-0000-0000-0000AE3A0000}"/>
    <cellStyle name="40% - Accent1 88 20 2" xfId="15022" xr:uid="{00000000-0005-0000-0000-0000AF3A0000}"/>
    <cellStyle name="40% - Accent1 88 20 2 2" xfId="15023" xr:uid="{00000000-0005-0000-0000-0000B03A0000}"/>
    <cellStyle name="40% - Accent1 88 20 3" xfId="15024" xr:uid="{00000000-0005-0000-0000-0000B13A0000}"/>
    <cellStyle name="40% - Accent1 88 21" xfId="15025" xr:uid="{00000000-0005-0000-0000-0000B23A0000}"/>
    <cellStyle name="40% - Accent1 88 21 2" xfId="15026" xr:uid="{00000000-0005-0000-0000-0000B33A0000}"/>
    <cellStyle name="40% - Accent1 88 21 2 2" xfId="15027" xr:uid="{00000000-0005-0000-0000-0000B43A0000}"/>
    <cellStyle name="40% - Accent1 88 21 3" xfId="15028" xr:uid="{00000000-0005-0000-0000-0000B53A0000}"/>
    <cellStyle name="40% - Accent1 88 22" xfId="15029" xr:uid="{00000000-0005-0000-0000-0000B63A0000}"/>
    <cellStyle name="40% - Accent1 88 22 2" xfId="15030" xr:uid="{00000000-0005-0000-0000-0000B73A0000}"/>
    <cellStyle name="40% - Accent1 88 22 2 2" xfId="15031" xr:uid="{00000000-0005-0000-0000-0000B83A0000}"/>
    <cellStyle name="40% - Accent1 88 22 3" xfId="15032" xr:uid="{00000000-0005-0000-0000-0000B93A0000}"/>
    <cellStyle name="40% - Accent1 88 23" xfId="15033" xr:uid="{00000000-0005-0000-0000-0000BA3A0000}"/>
    <cellStyle name="40% - Accent1 88 23 2" xfId="15034" xr:uid="{00000000-0005-0000-0000-0000BB3A0000}"/>
    <cellStyle name="40% - Accent1 88 23 2 2" xfId="15035" xr:uid="{00000000-0005-0000-0000-0000BC3A0000}"/>
    <cellStyle name="40% - Accent1 88 23 3" xfId="15036" xr:uid="{00000000-0005-0000-0000-0000BD3A0000}"/>
    <cellStyle name="40% - Accent1 88 24" xfId="15037" xr:uid="{00000000-0005-0000-0000-0000BE3A0000}"/>
    <cellStyle name="40% - Accent1 88 24 2" xfId="15038" xr:uid="{00000000-0005-0000-0000-0000BF3A0000}"/>
    <cellStyle name="40% - Accent1 88 24 2 2" xfId="15039" xr:uid="{00000000-0005-0000-0000-0000C03A0000}"/>
    <cellStyle name="40% - Accent1 88 24 3" xfId="15040" xr:uid="{00000000-0005-0000-0000-0000C13A0000}"/>
    <cellStyle name="40% - Accent1 88 25" xfId="15041" xr:uid="{00000000-0005-0000-0000-0000C23A0000}"/>
    <cellStyle name="40% - Accent1 88 25 2" xfId="15042" xr:uid="{00000000-0005-0000-0000-0000C33A0000}"/>
    <cellStyle name="40% - Accent1 88 25 2 2" xfId="15043" xr:uid="{00000000-0005-0000-0000-0000C43A0000}"/>
    <cellStyle name="40% - Accent1 88 25 3" xfId="15044" xr:uid="{00000000-0005-0000-0000-0000C53A0000}"/>
    <cellStyle name="40% - Accent1 88 26" xfId="15045" xr:uid="{00000000-0005-0000-0000-0000C63A0000}"/>
    <cellStyle name="40% - Accent1 88 26 2" xfId="15046" xr:uid="{00000000-0005-0000-0000-0000C73A0000}"/>
    <cellStyle name="40% - Accent1 88 26 2 2" xfId="15047" xr:uid="{00000000-0005-0000-0000-0000C83A0000}"/>
    <cellStyle name="40% - Accent1 88 26 3" xfId="15048" xr:uid="{00000000-0005-0000-0000-0000C93A0000}"/>
    <cellStyle name="40% - Accent1 88 27" xfId="15049" xr:uid="{00000000-0005-0000-0000-0000CA3A0000}"/>
    <cellStyle name="40% - Accent1 88 27 2" xfId="15050" xr:uid="{00000000-0005-0000-0000-0000CB3A0000}"/>
    <cellStyle name="40% - Accent1 88 27 2 2" xfId="15051" xr:uid="{00000000-0005-0000-0000-0000CC3A0000}"/>
    <cellStyle name="40% - Accent1 88 27 3" xfId="15052" xr:uid="{00000000-0005-0000-0000-0000CD3A0000}"/>
    <cellStyle name="40% - Accent1 88 28" xfId="15053" xr:uid="{00000000-0005-0000-0000-0000CE3A0000}"/>
    <cellStyle name="40% - Accent1 88 28 2" xfId="15054" xr:uid="{00000000-0005-0000-0000-0000CF3A0000}"/>
    <cellStyle name="40% - Accent1 88 28 2 2" xfId="15055" xr:uid="{00000000-0005-0000-0000-0000D03A0000}"/>
    <cellStyle name="40% - Accent1 88 28 3" xfId="15056" xr:uid="{00000000-0005-0000-0000-0000D13A0000}"/>
    <cellStyle name="40% - Accent1 88 29" xfId="15057" xr:uid="{00000000-0005-0000-0000-0000D23A0000}"/>
    <cellStyle name="40% - Accent1 88 29 2" xfId="15058" xr:uid="{00000000-0005-0000-0000-0000D33A0000}"/>
    <cellStyle name="40% - Accent1 88 29 2 2" xfId="15059" xr:uid="{00000000-0005-0000-0000-0000D43A0000}"/>
    <cellStyle name="40% - Accent1 88 29 3" xfId="15060" xr:uid="{00000000-0005-0000-0000-0000D53A0000}"/>
    <cellStyle name="40% - Accent1 88 3" xfId="15061" xr:uid="{00000000-0005-0000-0000-0000D63A0000}"/>
    <cellStyle name="40% - Accent1 88 3 2" xfId="15062" xr:uid="{00000000-0005-0000-0000-0000D73A0000}"/>
    <cellStyle name="40% - Accent1 88 3 2 2" xfId="15063" xr:uid="{00000000-0005-0000-0000-0000D83A0000}"/>
    <cellStyle name="40% - Accent1 88 3 3" xfId="15064" xr:uid="{00000000-0005-0000-0000-0000D93A0000}"/>
    <cellStyle name="40% - Accent1 88 30" xfId="15065" xr:uid="{00000000-0005-0000-0000-0000DA3A0000}"/>
    <cellStyle name="40% - Accent1 88 30 2" xfId="15066" xr:uid="{00000000-0005-0000-0000-0000DB3A0000}"/>
    <cellStyle name="40% - Accent1 88 30 2 2" xfId="15067" xr:uid="{00000000-0005-0000-0000-0000DC3A0000}"/>
    <cellStyle name="40% - Accent1 88 30 3" xfId="15068" xr:uid="{00000000-0005-0000-0000-0000DD3A0000}"/>
    <cellStyle name="40% - Accent1 88 31" xfId="15069" xr:uid="{00000000-0005-0000-0000-0000DE3A0000}"/>
    <cellStyle name="40% - Accent1 88 31 2" xfId="15070" xr:uid="{00000000-0005-0000-0000-0000DF3A0000}"/>
    <cellStyle name="40% - Accent1 88 31 2 2" xfId="15071" xr:uid="{00000000-0005-0000-0000-0000E03A0000}"/>
    <cellStyle name="40% - Accent1 88 31 3" xfId="15072" xr:uid="{00000000-0005-0000-0000-0000E13A0000}"/>
    <cellStyle name="40% - Accent1 88 32" xfId="15073" xr:uid="{00000000-0005-0000-0000-0000E23A0000}"/>
    <cellStyle name="40% - Accent1 88 32 2" xfId="15074" xr:uid="{00000000-0005-0000-0000-0000E33A0000}"/>
    <cellStyle name="40% - Accent1 88 32 2 2" xfId="15075" xr:uid="{00000000-0005-0000-0000-0000E43A0000}"/>
    <cellStyle name="40% - Accent1 88 32 3" xfId="15076" xr:uid="{00000000-0005-0000-0000-0000E53A0000}"/>
    <cellStyle name="40% - Accent1 88 33" xfId="15077" xr:uid="{00000000-0005-0000-0000-0000E63A0000}"/>
    <cellStyle name="40% - Accent1 88 33 2" xfId="15078" xr:uid="{00000000-0005-0000-0000-0000E73A0000}"/>
    <cellStyle name="40% - Accent1 88 33 2 2" xfId="15079" xr:uid="{00000000-0005-0000-0000-0000E83A0000}"/>
    <cellStyle name="40% - Accent1 88 33 3" xfId="15080" xr:uid="{00000000-0005-0000-0000-0000E93A0000}"/>
    <cellStyle name="40% - Accent1 88 34" xfId="15081" xr:uid="{00000000-0005-0000-0000-0000EA3A0000}"/>
    <cellStyle name="40% - Accent1 88 34 2" xfId="15082" xr:uid="{00000000-0005-0000-0000-0000EB3A0000}"/>
    <cellStyle name="40% - Accent1 88 34 2 2" xfId="15083" xr:uid="{00000000-0005-0000-0000-0000EC3A0000}"/>
    <cellStyle name="40% - Accent1 88 34 3" xfId="15084" xr:uid="{00000000-0005-0000-0000-0000ED3A0000}"/>
    <cellStyle name="40% - Accent1 88 35" xfId="15085" xr:uid="{00000000-0005-0000-0000-0000EE3A0000}"/>
    <cellStyle name="40% - Accent1 88 35 2" xfId="15086" xr:uid="{00000000-0005-0000-0000-0000EF3A0000}"/>
    <cellStyle name="40% - Accent1 88 35 2 2" xfId="15087" xr:uid="{00000000-0005-0000-0000-0000F03A0000}"/>
    <cellStyle name="40% - Accent1 88 35 3" xfId="15088" xr:uid="{00000000-0005-0000-0000-0000F13A0000}"/>
    <cellStyle name="40% - Accent1 88 36" xfId="15089" xr:uid="{00000000-0005-0000-0000-0000F23A0000}"/>
    <cellStyle name="40% - Accent1 88 36 2" xfId="15090" xr:uid="{00000000-0005-0000-0000-0000F33A0000}"/>
    <cellStyle name="40% - Accent1 88 36 2 2" xfId="15091" xr:uid="{00000000-0005-0000-0000-0000F43A0000}"/>
    <cellStyle name="40% - Accent1 88 36 3" xfId="15092" xr:uid="{00000000-0005-0000-0000-0000F53A0000}"/>
    <cellStyle name="40% - Accent1 88 37" xfId="15093" xr:uid="{00000000-0005-0000-0000-0000F63A0000}"/>
    <cellStyle name="40% - Accent1 88 37 2" xfId="15094" xr:uid="{00000000-0005-0000-0000-0000F73A0000}"/>
    <cellStyle name="40% - Accent1 88 38" xfId="15095" xr:uid="{00000000-0005-0000-0000-0000F83A0000}"/>
    <cellStyle name="40% - Accent1 88 4" xfId="15096" xr:uid="{00000000-0005-0000-0000-0000F93A0000}"/>
    <cellStyle name="40% - Accent1 88 4 2" xfId="15097" xr:uid="{00000000-0005-0000-0000-0000FA3A0000}"/>
    <cellStyle name="40% - Accent1 88 4 2 2" xfId="15098" xr:uid="{00000000-0005-0000-0000-0000FB3A0000}"/>
    <cellStyle name="40% - Accent1 88 4 3" xfId="15099" xr:uid="{00000000-0005-0000-0000-0000FC3A0000}"/>
    <cellStyle name="40% - Accent1 88 5" xfId="15100" xr:uid="{00000000-0005-0000-0000-0000FD3A0000}"/>
    <cellStyle name="40% - Accent1 88 5 2" xfId="15101" xr:uid="{00000000-0005-0000-0000-0000FE3A0000}"/>
    <cellStyle name="40% - Accent1 88 5 2 2" xfId="15102" xr:uid="{00000000-0005-0000-0000-0000FF3A0000}"/>
    <cellStyle name="40% - Accent1 88 5 3" xfId="15103" xr:uid="{00000000-0005-0000-0000-0000003B0000}"/>
    <cellStyle name="40% - Accent1 88 6" xfId="15104" xr:uid="{00000000-0005-0000-0000-0000013B0000}"/>
    <cellStyle name="40% - Accent1 88 6 2" xfId="15105" xr:uid="{00000000-0005-0000-0000-0000023B0000}"/>
    <cellStyle name="40% - Accent1 88 6 2 2" xfId="15106" xr:uid="{00000000-0005-0000-0000-0000033B0000}"/>
    <cellStyle name="40% - Accent1 88 6 3" xfId="15107" xr:uid="{00000000-0005-0000-0000-0000043B0000}"/>
    <cellStyle name="40% - Accent1 88 7" xfId="15108" xr:uid="{00000000-0005-0000-0000-0000053B0000}"/>
    <cellStyle name="40% - Accent1 88 7 2" xfId="15109" xr:uid="{00000000-0005-0000-0000-0000063B0000}"/>
    <cellStyle name="40% - Accent1 88 7 2 2" xfId="15110" xr:uid="{00000000-0005-0000-0000-0000073B0000}"/>
    <cellStyle name="40% - Accent1 88 7 3" xfId="15111" xr:uid="{00000000-0005-0000-0000-0000083B0000}"/>
    <cellStyle name="40% - Accent1 88 8" xfId="15112" xr:uid="{00000000-0005-0000-0000-0000093B0000}"/>
    <cellStyle name="40% - Accent1 88 8 2" xfId="15113" xr:uid="{00000000-0005-0000-0000-00000A3B0000}"/>
    <cellStyle name="40% - Accent1 88 8 2 2" xfId="15114" xr:uid="{00000000-0005-0000-0000-00000B3B0000}"/>
    <cellStyle name="40% - Accent1 88 8 3" xfId="15115" xr:uid="{00000000-0005-0000-0000-00000C3B0000}"/>
    <cellStyle name="40% - Accent1 88 9" xfId="15116" xr:uid="{00000000-0005-0000-0000-00000D3B0000}"/>
    <cellStyle name="40% - Accent1 88 9 2" xfId="15117" xr:uid="{00000000-0005-0000-0000-00000E3B0000}"/>
    <cellStyle name="40% - Accent1 88 9 2 2" xfId="15118" xr:uid="{00000000-0005-0000-0000-00000F3B0000}"/>
    <cellStyle name="40% - Accent1 88 9 3" xfId="15119" xr:uid="{00000000-0005-0000-0000-0000103B0000}"/>
    <cellStyle name="40% - Accent1 89" xfId="15120" xr:uid="{00000000-0005-0000-0000-0000113B0000}"/>
    <cellStyle name="40% - Accent1 89 2" xfId="15121" xr:uid="{00000000-0005-0000-0000-0000123B0000}"/>
    <cellStyle name="40% - Accent1 9" xfId="15122" xr:uid="{00000000-0005-0000-0000-0000133B0000}"/>
    <cellStyle name="40% - Accent1 9 2" xfId="15123" xr:uid="{00000000-0005-0000-0000-0000143B0000}"/>
    <cellStyle name="40% - Accent1 9 2 2" xfId="15124" xr:uid="{00000000-0005-0000-0000-0000153B0000}"/>
    <cellStyle name="40% - Accent1 9 3" xfId="15125" xr:uid="{00000000-0005-0000-0000-0000163B0000}"/>
    <cellStyle name="40% - Accent1 9 4" xfId="15126" xr:uid="{00000000-0005-0000-0000-0000173B0000}"/>
    <cellStyle name="40% - Accent1 90" xfId="15127" xr:uid="{00000000-0005-0000-0000-0000183B0000}"/>
    <cellStyle name="40% - Accent1 90 2" xfId="15128" xr:uid="{00000000-0005-0000-0000-0000193B0000}"/>
    <cellStyle name="40% - Accent1 91" xfId="15129" xr:uid="{00000000-0005-0000-0000-00001A3B0000}"/>
    <cellStyle name="40% - Accent1 91 2" xfId="15130" xr:uid="{00000000-0005-0000-0000-00001B3B0000}"/>
    <cellStyle name="40% - Accent1 92" xfId="15131" xr:uid="{00000000-0005-0000-0000-00001C3B0000}"/>
    <cellStyle name="40% - Accent1 92 2" xfId="15132" xr:uid="{00000000-0005-0000-0000-00001D3B0000}"/>
    <cellStyle name="40% - Accent1 93" xfId="15133" xr:uid="{00000000-0005-0000-0000-00001E3B0000}"/>
    <cellStyle name="40% - Accent1 93 2" xfId="15134" xr:uid="{00000000-0005-0000-0000-00001F3B0000}"/>
    <cellStyle name="40% - Accent1 93 2 2" xfId="15135" xr:uid="{00000000-0005-0000-0000-0000203B0000}"/>
    <cellStyle name="40% - Accent1 93 2 2 2" xfId="15136" xr:uid="{00000000-0005-0000-0000-0000213B0000}"/>
    <cellStyle name="40% - Accent1 93 2 3" xfId="15137" xr:uid="{00000000-0005-0000-0000-0000223B0000}"/>
    <cellStyle name="40% - Accent1 93 3" xfId="15138" xr:uid="{00000000-0005-0000-0000-0000233B0000}"/>
    <cellStyle name="40% - Accent1 93 3 2" xfId="15139" xr:uid="{00000000-0005-0000-0000-0000243B0000}"/>
    <cellStyle name="40% - Accent1 93 4" xfId="15140" xr:uid="{00000000-0005-0000-0000-0000253B0000}"/>
    <cellStyle name="40% - Accent1 94" xfId="15141" xr:uid="{00000000-0005-0000-0000-0000263B0000}"/>
    <cellStyle name="40% - Accent1 94 2" xfId="15142" xr:uid="{00000000-0005-0000-0000-0000273B0000}"/>
    <cellStyle name="40% - Accent1 94 2 2" xfId="15143" xr:uid="{00000000-0005-0000-0000-0000283B0000}"/>
    <cellStyle name="40% - Accent1 94 2 2 2" xfId="15144" xr:uid="{00000000-0005-0000-0000-0000293B0000}"/>
    <cellStyle name="40% - Accent1 94 2 3" xfId="15145" xr:uid="{00000000-0005-0000-0000-00002A3B0000}"/>
    <cellStyle name="40% - Accent1 94 3" xfId="15146" xr:uid="{00000000-0005-0000-0000-00002B3B0000}"/>
    <cellStyle name="40% - Accent1 94 3 2" xfId="15147" xr:uid="{00000000-0005-0000-0000-00002C3B0000}"/>
    <cellStyle name="40% - Accent1 94 4" xfId="15148" xr:uid="{00000000-0005-0000-0000-00002D3B0000}"/>
    <cellStyle name="40% - Accent1 95" xfId="15149" xr:uid="{00000000-0005-0000-0000-00002E3B0000}"/>
    <cellStyle name="40% - Accent1 95 2" xfId="15150" xr:uid="{00000000-0005-0000-0000-00002F3B0000}"/>
    <cellStyle name="40% - Accent1 95 2 2" xfId="15151" xr:uid="{00000000-0005-0000-0000-0000303B0000}"/>
    <cellStyle name="40% - Accent1 95 3" xfId="15152" xr:uid="{00000000-0005-0000-0000-0000313B0000}"/>
    <cellStyle name="40% - Accent1 96" xfId="15153" xr:uid="{00000000-0005-0000-0000-0000323B0000}"/>
    <cellStyle name="40% - Accent1 96 2" xfId="15154" xr:uid="{00000000-0005-0000-0000-0000333B0000}"/>
    <cellStyle name="40% - Accent1 96 2 2" xfId="15155" xr:uid="{00000000-0005-0000-0000-0000343B0000}"/>
    <cellStyle name="40% - Accent1 96 3" xfId="15156" xr:uid="{00000000-0005-0000-0000-0000353B0000}"/>
    <cellStyle name="40% - Accent1 97" xfId="15157" xr:uid="{00000000-0005-0000-0000-0000363B0000}"/>
    <cellStyle name="40% - Accent1 97 2" xfId="15158" xr:uid="{00000000-0005-0000-0000-0000373B0000}"/>
    <cellStyle name="40% - Accent1 97 2 2" xfId="15159" xr:uid="{00000000-0005-0000-0000-0000383B0000}"/>
    <cellStyle name="40% - Accent1 97 3" xfId="15160" xr:uid="{00000000-0005-0000-0000-0000393B0000}"/>
    <cellStyle name="40% - Accent1 98" xfId="15161" xr:uid="{00000000-0005-0000-0000-00003A3B0000}"/>
    <cellStyle name="40% - Accent1 98 2" xfId="15162" xr:uid="{00000000-0005-0000-0000-00003B3B0000}"/>
    <cellStyle name="40% - Accent1 98 2 2" xfId="15163" xr:uid="{00000000-0005-0000-0000-00003C3B0000}"/>
    <cellStyle name="40% - Accent1 98 3" xfId="15164" xr:uid="{00000000-0005-0000-0000-00003D3B0000}"/>
    <cellStyle name="40% - Accent1 99" xfId="15165" xr:uid="{00000000-0005-0000-0000-00003E3B0000}"/>
    <cellStyle name="40% - Accent2" xfId="41024" builtinId="35" customBuiltin="1"/>
    <cellStyle name="40% - Accent2 10" xfId="15166" xr:uid="{00000000-0005-0000-0000-0000403B0000}"/>
    <cellStyle name="40% - Accent2 10 2" xfId="15167" xr:uid="{00000000-0005-0000-0000-0000413B0000}"/>
    <cellStyle name="40% - Accent2 10 2 2" xfId="15168" xr:uid="{00000000-0005-0000-0000-0000423B0000}"/>
    <cellStyle name="40% - Accent2 10 3" xfId="15169" xr:uid="{00000000-0005-0000-0000-0000433B0000}"/>
    <cellStyle name="40% - Accent2 100" xfId="15170" xr:uid="{00000000-0005-0000-0000-0000443B0000}"/>
    <cellStyle name="40% - Accent2 100 2" xfId="15171" xr:uid="{00000000-0005-0000-0000-0000453B0000}"/>
    <cellStyle name="40% - Accent2 100 2 2" xfId="15172" xr:uid="{00000000-0005-0000-0000-0000463B0000}"/>
    <cellStyle name="40% - Accent2 100 3" xfId="15173" xr:uid="{00000000-0005-0000-0000-0000473B0000}"/>
    <cellStyle name="40% - Accent2 101" xfId="15174" xr:uid="{00000000-0005-0000-0000-0000483B0000}"/>
    <cellStyle name="40% - Accent2 102" xfId="15175" xr:uid="{00000000-0005-0000-0000-0000493B0000}"/>
    <cellStyle name="40% - Accent2 102 2" xfId="15176" xr:uid="{00000000-0005-0000-0000-00004A3B0000}"/>
    <cellStyle name="40% - Accent2 102 2 2" xfId="15177" xr:uid="{00000000-0005-0000-0000-00004B3B0000}"/>
    <cellStyle name="40% - Accent2 102 3" xfId="15178" xr:uid="{00000000-0005-0000-0000-00004C3B0000}"/>
    <cellStyle name="40% - Accent2 103" xfId="15179" xr:uid="{00000000-0005-0000-0000-00004D3B0000}"/>
    <cellStyle name="40% - Accent2 104" xfId="15180" xr:uid="{00000000-0005-0000-0000-00004E3B0000}"/>
    <cellStyle name="40% - Accent2 104 2" xfId="15181" xr:uid="{00000000-0005-0000-0000-00004F3B0000}"/>
    <cellStyle name="40% - Accent2 104 2 2" xfId="15182" xr:uid="{00000000-0005-0000-0000-0000503B0000}"/>
    <cellStyle name="40% - Accent2 104 3" xfId="15183" xr:uid="{00000000-0005-0000-0000-0000513B0000}"/>
    <cellStyle name="40% - Accent2 105" xfId="15184" xr:uid="{00000000-0005-0000-0000-0000523B0000}"/>
    <cellStyle name="40% - Accent2 105 2" xfId="15185" xr:uid="{00000000-0005-0000-0000-0000533B0000}"/>
    <cellStyle name="40% - Accent2 105 2 2" xfId="15186" xr:uid="{00000000-0005-0000-0000-0000543B0000}"/>
    <cellStyle name="40% - Accent2 105 3" xfId="15187" xr:uid="{00000000-0005-0000-0000-0000553B0000}"/>
    <cellStyle name="40% - Accent2 106" xfId="15188" xr:uid="{00000000-0005-0000-0000-0000563B0000}"/>
    <cellStyle name="40% - Accent2 107" xfId="15189" xr:uid="{00000000-0005-0000-0000-0000573B0000}"/>
    <cellStyle name="40% - Accent2 108" xfId="15190" xr:uid="{00000000-0005-0000-0000-0000583B0000}"/>
    <cellStyle name="40% - Accent2 109" xfId="15191" xr:uid="{00000000-0005-0000-0000-0000593B0000}"/>
    <cellStyle name="40% - Accent2 11" xfId="15192" xr:uid="{00000000-0005-0000-0000-00005A3B0000}"/>
    <cellStyle name="40% - Accent2 11 2" xfId="15193" xr:uid="{00000000-0005-0000-0000-00005B3B0000}"/>
    <cellStyle name="40% - Accent2 11 2 2" xfId="15194" xr:uid="{00000000-0005-0000-0000-00005C3B0000}"/>
    <cellStyle name="40% - Accent2 11 3" xfId="15195" xr:uid="{00000000-0005-0000-0000-00005D3B0000}"/>
    <cellStyle name="40% - Accent2 110" xfId="15196" xr:uid="{00000000-0005-0000-0000-00005E3B0000}"/>
    <cellStyle name="40% - Accent2 110 2" xfId="15197" xr:uid="{00000000-0005-0000-0000-00005F3B0000}"/>
    <cellStyle name="40% - Accent2 110 2 2" xfId="15198" xr:uid="{00000000-0005-0000-0000-0000603B0000}"/>
    <cellStyle name="40% - Accent2 110 3" xfId="15199" xr:uid="{00000000-0005-0000-0000-0000613B0000}"/>
    <cellStyle name="40% - Accent2 111" xfId="15200" xr:uid="{00000000-0005-0000-0000-0000623B0000}"/>
    <cellStyle name="40% - Accent2 111 2" xfId="15201" xr:uid="{00000000-0005-0000-0000-0000633B0000}"/>
    <cellStyle name="40% - Accent2 111 2 2" xfId="15202" xr:uid="{00000000-0005-0000-0000-0000643B0000}"/>
    <cellStyle name="40% - Accent2 111 3" xfId="15203" xr:uid="{00000000-0005-0000-0000-0000653B0000}"/>
    <cellStyle name="40% - Accent2 112" xfId="15204" xr:uid="{00000000-0005-0000-0000-0000663B0000}"/>
    <cellStyle name="40% - Accent2 112 2" xfId="15205" xr:uid="{00000000-0005-0000-0000-0000673B0000}"/>
    <cellStyle name="40% - Accent2 112 2 2" xfId="15206" xr:uid="{00000000-0005-0000-0000-0000683B0000}"/>
    <cellStyle name="40% - Accent2 112 3" xfId="15207" xr:uid="{00000000-0005-0000-0000-0000693B0000}"/>
    <cellStyle name="40% - Accent2 113" xfId="15208" xr:uid="{00000000-0005-0000-0000-00006A3B0000}"/>
    <cellStyle name="40% - Accent2 114" xfId="15209" xr:uid="{00000000-0005-0000-0000-00006B3B0000}"/>
    <cellStyle name="40% - Accent2 115" xfId="15210" xr:uid="{00000000-0005-0000-0000-00006C3B0000}"/>
    <cellStyle name="40% - Accent2 116" xfId="15211" xr:uid="{00000000-0005-0000-0000-00006D3B0000}"/>
    <cellStyle name="40% - Accent2 117" xfId="15212" xr:uid="{00000000-0005-0000-0000-00006E3B0000}"/>
    <cellStyle name="40% - Accent2 117 2" xfId="15213" xr:uid="{00000000-0005-0000-0000-00006F3B0000}"/>
    <cellStyle name="40% - Accent2 117 2 2" xfId="15214" xr:uid="{00000000-0005-0000-0000-0000703B0000}"/>
    <cellStyle name="40% - Accent2 117 3" xfId="15215" xr:uid="{00000000-0005-0000-0000-0000713B0000}"/>
    <cellStyle name="40% - Accent2 118" xfId="15216" xr:uid="{00000000-0005-0000-0000-0000723B0000}"/>
    <cellStyle name="40% - Accent2 118 2" xfId="15217" xr:uid="{00000000-0005-0000-0000-0000733B0000}"/>
    <cellStyle name="40% - Accent2 118 2 2" xfId="15218" xr:uid="{00000000-0005-0000-0000-0000743B0000}"/>
    <cellStyle name="40% - Accent2 118 3" xfId="15219" xr:uid="{00000000-0005-0000-0000-0000753B0000}"/>
    <cellStyle name="40% - Accent2 119" xfId="15220" xr:uid="{00000000-0005-0000-0000-0000763B0000}"/>
    <cellStyle name="40% - Accent2 119 2" xfId="15221" xr:uid="{00000000-0005-0000-0000-0000773B0000}"/>
    <cellStyle name="40% - Accent2 119 2 2" xfId="15222" xr:uid="{00000000-0005-0000-0000-0000783B0000}"/>
    <cellStyle name="40% - Accent2 119 3" xfId="15223" xr:uid="{00000000-0005-0000-0000-0000793B0000}"/>
    <cellStyle name="40% - Accent2 12" xfId="15224" xr:uid="{00000000-0005-0000-0000-00007A3B0000}"/>
    <cellStyle name="40% - Accent2 12 2" xfId="15225" xr:uid="{00000000-0005-0000-0000-00007B3B0000}"/>
    <cellStyle name="40% - Accent2 12 2 2" xfId="15226" xr:uid="{00000000-0005-0000-0000-00007C3B0000}"/>
    <cellStyle name="40% - Accent2 12 3" xfId="15227" xr:uid="{00000000-0005-0000-0000-00007D3B0000}"/>
    <cellStyle name="40% - Accent2 120" xfId="15228" xr:uid="{00000000-0005-0000-0000-00007E3B0000}"/>
    <cellStyle name="40% - Accent2 120 2" xfId="15229" xr:uid="{00000000-0005-0000-0000-00007F3B0000}"/>
    <cellStyle name="40% - Accent2 120 2 2" xfId="15230" xr:uid="{00000000-0005-0000-0000-0000803B0000}"/>
    <cellStyle name="40% - Accent2 120 3" xfId="15231" xr:uid="{00000000-0005-0000-0000-0000813B0000}"/>
    <cellStyle name="40% - Accent2 121" xfId="15232" xr:uid="{00000000-0005-0000-0000-0000823B0000}"/>
    <cellStyle name="40% - Accent2 121 2" xfId="15233" xr:uid="{00000000-0005-0000-0000-0000833B0000}"/>
    <cellStyle name="40% - Accent2 121 2 2" xfId="15234" xr:uid="{00000000-0005-0000-0000-0000843B0000}"/>
    <cellStyle name="40% - Accent2 121 3" xfId="15235" xr:uid="{00000000-0005-0000-0000-0000853B0000}"/>
    <cellStyle name="40% - Accent2 122" xfId="15236" xr:uid="{00000000-0005-0000-0000-0000863B0000}"/>
    <cellStyle name="40% - Accent2 122 2" xfId="15237" xr:uid="{00000000-0005-0000-0000-0000873B0000}"/>
    <cellStyle name="40% - Accent2 122 2 2" xfId="15238" xr:uid="{00000000-0005-0000-0000-0000883B0000}"/>
    <cellStyle name="40% - Accent2 122 3" xfId="15239" xr:uid="{00000000-0005-0000-0000-0000893B0000}"/>
    <cellStyle name="40% - Accent2 123" xfId="15240" xr:uid="{00000000-0005-0000-0000-00008A3B0000}"/>
    <cellStyle name="40% - Accent2 123 2" xfId="15241" xr:uid="{00000000-0005-0000-0000-00008B3B0000}"/>
    <cellStyle name="40% - Accent2 123 2 2" xfId="15242" xr:uid="{00000000-0005-0000-0000-00008C3B0000}"/>
    <cellStyle name="40% - Accent2 123 3" xfId="15243" xr:uid="{00000000-0005-0000-0000-00008D3B0000}"/>
    <cellStyle name="40% - Accent2 124" xfId="15244" xr:uid="{00000000-0005-0000-0000-00008E3B0000}"/>
    <cellStyle name="40% - Accent2 125" xfId="15245" xr:uid="{00000000-0005-0000-0000-00008F3B0000}"/>
    <cellStyle name="40% - Accent2 125 2" xfId="15246" xr:uid="{00000000-0005-0000-0000-0000903B0000}"/>
    <cellStyle name="40% - Accent2 125 2 2" xfId="15247" xr:uid="{00000000-0005-0000-0000-0000913B0000}"/>
    <cellStyle name="40% - Accent2 125 3" xfId="15248" xr:uid="{00000000-0005-0000-0000-0000923B0000}"/>
    <cellStyle name="40% - Accent2 126" xfId="15249" xr:uid="{00000000-0005-0000-0000-0000933B0000}"/>
    <cellStyle name="40% - Accent2 126 2" xfId="15250" xr:uid="{00000000-0005-0000-0000-0000943B0000}"/>
    <cellStyle name="40% - Accent2 126 2 2" xfId="15251" xr:uid="{00000000-0005-0000-0000-0000953B0000}"/>
    <cellStyle name="40% - Accent2 126 3" xfId="15252" xr:uid="{00000000-0005-0000-0000-0000963B0000}"/>
    <cellStyle name="40% - Accent2 127" xfId="15253" xr:uid="{00000000-0005-0000-0000-0000973B0000}"/>
    <cellStyle name="40% - Accent2 127 2" xfId="15254" xr:uid="{00000000-0005-0000-0000-0000983B0000}"/>
    <cellStyle name="40% - Accent2 127 2 2" xfId="15255" xr:uid="{00000000-0005-0000-0000-0000993B0000}"/>
    <cellStyle name="40% - Accent2 127 3" xfId="15256" xr:uid="{00000000-0005-0000-0000-00009A3B0000}"/>
    <cellStyle name="40% - Accent2 128" xfId="15257" xr:uid="{00000000-0005-0000-0000-00009B3B0000}"/>
    <cellStyle name="40% - Accent2 128 2" xfId="15258" xr:uid="{00000000-0005-0000-0000-00009C3B0000}"/>
    <cellStyle name="40% - Accent2 128 2 2" xfId="15259" xr:uid="{00000000-0005-0000-0000-00009D3B0000}"/>
    <cellStyle name="40% - Accent2 128 3" xfId="15260" xr:uid="{00000000-0005-0000-0000-00009E3B0000}"/>
    <cellStyle name="40% - Accent2 129" xfId="15261" xr:uid="{00000000-0005-0000-0000-00009F3B0000}"/>
    <cellStyle name="40% - Accent2 129 2" xfId="15262" xr:uid="{00000000-0005-0000-0000-0000A03B0000}"/>
    <cellStyle name="40% - Accent2 129 2 2" xfId="15263" xr:uid="{00000000-0005-0000-0000-0000A13B0000}"/>
    <cellStyle name="40% - Accent2 129 3" xfId="15264" xr:uid="{00000000-0005-0000-0000-0000A23B0000}"/>
    <cellStyle name="40% - Accent2 13" xfId="15265" xr:uid="{00000000-0005-0000-0000-0000A33B0000}"/>
    <cellStyle name="40% - Accent2 13 2" xfId="15266" xr:uid="{00000000-0005-0000-0000-0000A43B0000}"/>
    <cellStyle name="40% - Accent2 13 2 2" xfId="15267" xr:uid="{00000000-0005-0000-0000-0000A53B0000}"/>
    <cellStyle name="40% - Accent2 13 3" xfId="15268" xr:uid="{00000000-0005-0000-0000-0000A63B0000}"/>
    <cellStyle name="40% - Accent2 130" xfId="15269" xr:uid="{00000000-0005-0000-0000-0000A73B0000}"/>
    <cellStyle name="40% - Accent2 130 2" xfId="15270" xr:uid="{00000000-0005-0000-0000-0000A83B0000}"/>
    <cellStyle name="40% - Accent2 130 2 2" xfId="15271" xr:uid="{00000000-0005-0000-0000-0000A93B0000}"/>
    <cellStyle name="40% - Accent2 130 3" xfId="15272" xr:uid="{00000000-0005-0000-0000-0000AA3B0000}"/>
    <cellStyle name="40% - Accent2 131" xfId="15273" xr:uid="{00000000-0005-0000-0000-0000AB3B0000}"/>
    <cellStyle name="40% - Accent2 131 2" xfId="15274" xr:uid="{00000000-0005-0000-0000-0000AC3B0000}"/>
    <cellStyle name="40% - Accent2 131 2 2" xfId="15275" xr:uid="{00000000-0005-0000-0000-0000AD3B0000}"/>
    <cellStyle name="40% - Accent2 131 3" xfId="15276" xr:uid="{00000000-0005-0000-0000-0000AE3B0000}"/>
    <cellStyle name="40% - Accent2 132" xfId="15277" xr:uid="{00000000-0005-0000-0000-0000AF3B0000}"/>
    <cellStyle name="40% - Accent2 132 2" xfId="15278" xr:uid="{00000000-0005-0000-0000-0000B03B0000}"/>
    <cellStyle name="40% - Accent2 132 2 2" xfId="15279" xr:uid="{00000000-0005-0000-0000-0000B13B0000}"/>
    <cellStyle name="40% - Accent2 132 3" xfId="15280" xr:uid="{00000000-0005-0000-0000-0000B23B0000}"/>
    <cellStyle name="40% - Accent2 133" xfId="15281" xr:uid="{00000000-0005-0000-0000-0000B33B0000}"/>
    <cellStyle name="40% - Accent2 133 2" xfId="15282" xr:uid="{00000000-0005-0000-0000-0000B43B0000}"/>
    <cellStyle name="40% - Accent2 133 2 2" xfId="15283" xr:uid="{00000000-0005-0000-0000-0000B53B0000}"/>
    <cellStyle name="40% - Accent2 133 3" xfId="15284" xr:uid="{00000000-0005-0000-0000-0000B63B0000}"/>
    <cellStyle name="40% - Accent2 134" xfId="15285" xr:uid="{00000000-0005-0000-0000-0000B73B0000}"/>
    <cellStyle name="40% - Accent2 134 2" xfId="15286" xr:uid="{00000000-0005-0000-0000-0000B83B0000}"/>
    <cellStyle name="40% - Accent2 135" xfId="15287" xr:uid="{00000000-0005-0000-0000-0000B93B0000}"/>
    <cellStyle name="40% - Accent2 135 2" xfId="15288" xr:uid="{00000000-0005-0000-0000-0000BA3B0000}"/>
    <cellStyle name="40% - Accent2 136" xfId="15289" xr:uid="{00000000-0005-0000-0000-0000BB3B0000}"/>
    <cellStyle name="40% - Accent2 136 2" xfId="15290" xr:uid="{00000000-0005-0000-0000-0000BC3B0000}"/>
    <cellStyle name="40% - Accent2 137" xfId="15291" xr:uid="{00000000-0005-0000-0000-0000BD3B0000}"/>
    <cellStyle name="40% - Accent2 14" xfId="15292" xr:uid="{00000000-0005-0000-0000-0000BE3B0000}"/>
    <cellStyle name="40% - Accent2 14 2" xfId="15293" xr:uid="{00000000-0005-0000-0000-0000BF3B0000}"/>
    <cellStyle name="40% - Accent2 14 2 2" xfId="15294" xr:uid="{00000000-0005-0000-0000-0000C03B0000}"/>
    <cellStyle name="40% - Accent2 14 3" xfId="15295" xr:uid="{00000000-0005-0000-0000-0000C13B0000}"/>
    <cellStyle name="40% - Accent2 15" xfId="15296" xr:uid="{00000000-0005-0000-0000-0000C23B0000}"/>
    <cellStyle name="40% - Accent2 15 2" xfId="15297" xr:uid="{00000000-0005-0000-0000-0000C33B0000}"/>
    <cellStyle name="40% - Accent2 15 2 2" xfId="15298" xr:uid="{00000000-0005-0000-0000-0000C43B0000}"/>
    <cellStyle name="40% - Accent2 15 3" xfId="15299" xr:uid="{00000000-0005-0000-0000-0000C53B0000}"/>
    <cellStyle name="40% - Accent2 16" xfId="15300" xr:uid="{00000000-0005-0000-0000-0000C63B0000}"/>
    <cellStyle name="40% - Accent2 16 2" xfId="15301" xr:uid="{00000000-0005-0000-0000-0000C73B0000}"/>
    <cellStyle name="40% - Accent2 17" xfId="15302" xr:uid="{00000000-0005-0000-0000-0000C83B0000}"/>
    <cellStyle name="40% - Accent2 17 2" xfId="15303" xr:uid="{00000000-0005-0000-0000-0000C93B0000}"/>
    <cellStyle name="40% - Accent2 18" xfId="15304" xr:uid="{00000000-0005-0000-0000-0000CA3B0000}"/>
    <cellStyle name="40% - Accent2 18 2" xfId="15305" xr:uid="{00000000-0005-0000-0000-0000CB3B0000}"/>
    <cellStyle name="40% - Accent2 19" xfId="15306" xr:uid="{00000000-0005-0000-0000-0000CC3B0000}"/>
    <cellStyle name="40% - Accent2 19 2" xfId="15307" xr:uid="{00000000-0005-0000-0000-0000CD3B0000}"/>
    <cellStyle name="40% - Accent2 2" xfId="15308" xr:uid="{00000000-0005-0000-0000-0000CE3B0000}"/>
    <cellStyle name="40% - Accent2 2 2" xfId="15309" xr:uid="{00000000-0005-0000-0000-0000CF3B0000}"/>
    <cellStyle name="40% - Accent2 2 2 2" xfId="15310" xr:uid="{00000000-0005-0000-0000-0000D03B0000}"/>
    <cellStyle name="40% - Accent2 2 2 2 2" xfId="15311" xr:uid="{00000000-0005-0000-0000-0000D13B0000}"/>
    <cellStyle name="40% - Accent2 2 2 2 2 2" xfId="15312" xr:uid="{00000000-0005-0000-0000-0000D23B0000}"/>
    <cellStyle name="40% - Accent2 2 3" xfId="15313" xr:uid="{00000000-0005-0000-0000-0000D33B0000}"/>
    <cellStyle name="40% - Accent2 2 4" xfId="15314" xr:uid="{00000000-0005-0000-0000-0000D43B0000}"/>
    <cellStyle name="40% - Accent2 20" xfId="15315" xr:uid="{00000000-0005-0000-0000-0000D53B0000}"/>
    <cellStyle name="40% - Accent2 20 2" xfId="15316" xr:uid="{00000000-0005-0000-0000-0000D63B0000}"/>
    <cellStyle name="40% - Accent2 21" xfId="15317" xr:uid="{00000000-0005-0000-0000-0000D73B0000}"/>
    <cellStyle name="40% - Accent2 21 2" xfId="15318" xr:uid="{00000000-0005-0000-0000-0000D83B0000}"/>
    <cellStyle name="40% - Accent2 22" xfId="15319" xr:uid="{00000000-0005-0000-0000-0000D93B0000}"/>
    <cellStyle name="40% - Accent2 23" xfId="15320" xr:uid="{00000000-0005-0000-0000-0000DA3B0000}"/>
    <cellStyle name="40% - Accent2 24" xfId="15321" xr:uid="{00000000-0005-0000-0000-0000DB3B0000}"/>
    <cellStyle name="40% - Accent2 25" xfId="15322" xr:uid="{00000000-0005-0000-0000-0000DC3B0000}"/>
    <cellStyle name="40% - Accent2 26" xfId="15323" xr:uid="{00000000-0005-0000-0000-0000DD3B0000}"/>
    <cellStyle name="40% - Accent2 26 2" xfId="15324" xr:uid="{00000000-0005-0000-0000-0000DE3B0000}"/>
    <cellStyle name="40% - Accent2 27" xfId="15325" xr:uid="{00000000-0005-0000-0000-0000DF3B0000}"/>
    <cellStyle name="40% - Accent2 27 2" xfId="15326" xr:uid="{00000000-0005-0000-0000-0000E03B0000}"/>
    <cellStyle name="40% - Accent2 28" xfId="15327" xr:uid="{00000000-0005-0000-0000-0000E13B0000}"/>
    <cellStyle name="40% - Accent2 28 2" xfId="15328" xr:uid="{00000000-0005-0000-0000-0000E23B0000}"/>
    <cellStyle name="40% - Accent2 29" xfId="15329" xr:uid="{00000000-0005-0000-0000-0000E33B0000}"/>
    <cellStyle name="40% - Accent2 29 2" xfId="15330" xr:uid="{00000000-0005-0000-0000-0000E43B0000}"/>
    <cellStyle name="40% - Accent2 3" xfId="15331" xr:uid="{00000000-0005-0000-0000-0000E53B0000}"/>
    <cellStyle name="40% - Accent2 3 2" xfId="15332" xr:uid="{00000000-0005-0000-0000-0000E63B0000}"/>
    <cellStyle name="40% - Accent2 3 2 2" xfId="15333" xr:uid="{00000000-0005-0000-0000-0000E73B0000}"/>
    <cellStyle name="40% - Accent2 3 3" xfId="15334" xr:uid="{00000000-0005-0000-0000-0000E83B0000}"/>
    <cellStyle name="40% - Accent2 3 4" xfId="15335" xr:uid="{00000000-0005-0000-0000-0000E93B0000}"/>
    <cellStyle name="40% - Accent2 3 5" xfId="15336" xr:uid="{00000000-0005-0000-0000-0000EA3B0000}"/>
    <cellStyle name="40% - Accent2 3_MAR 2009" xfId="15337" xr:uid="{00000000-0005-0000-0000-0000EB3B0000}"/>
    <cellStyle name="40% - Accent2 30" xfId="15338" xr:uid="{00000000-0005-0000-0000-0000EC3B0000}"/>
    <cellStyle name="40% - Accent2 30 2" xfId="15339" xr:uid="{00000000-0005-0000-0000-0000ED3B0000}"/>
    <cellStyle name="40% - Accent2 31" xfId="15340" xr:uid="{00000000-0005-0000-0000-0000EE3B0000}"/>
    <cellStyle name="40% - Accent2 31 2" xfId="15341" xr:uid="{00000000-0005-0000-0000-0000EF3B0000}"/>
    <cellStyle name="40% - Accent2 32" xfId="15342" xr:uid="{00000000-0005-0000-0000-0000F03B0000}"/>
    <cellStyle name="40% - Accent2 32 2" xfId="15343" xr:uid="{00000000-0005-0000-0000-0000F13B0000}"/>
    <cellStyle name="40% - Accent2 33" xfId="15344" xr:uid="{00000000-0005-0000-0000-0000F23B0000}"/>
    <cellStyle name="40% - Accent2 33 2" xfId="15345" xr:uid="{00000000-0005-0000-0000-0000F33B0000}"/>
    <cellStyle name="40% - Accent2 34" xfId="15346" xr:uid="{00000000-0005-0000-0000-0000F43B0000}"/>
    <cellStyle name="40% - Accent2 34 2" xfId="15347" xr:uid="{00000000-0005-0000-0000-0000F53B0000}"/>
    <cellStyle name="40% - Accent2 35" xfId="15348" xr:uid="{00000000-0005-0000-0000-0000F63B0000}"/>
    <cellStyle name="40% - Accent2 35 2" xfId="15349" xr:uid="{00000000-0005-0000-0000-0000F73B0000}"/>
    <cellStyle name="40% - Accent2 36" xfId="15350" xr:uid="{00000000-0005-0000-0000-0000F83B0000}"/>
    <cellStyle name="40% - Accent2 36 2" xfId="15351" xr:uid="{00000000-0005-0000-0000-0000F93B0000}"/>
    <cellStyle name="40% - Accent2 37" xfId="15352" xr:uid="{00000000-0005-0000-0000-0000FA3B0000}"/>
    <cellStyle name="40% - Accent2 37 2" xfId="15353" xr:uid="{00000000-0005-0000-0000-0000FB3B0000}"/>
    <cellStyle name="40% - Accent2 38" xfId="15354" xr:uid="{00000000-0005-0000-0000-0000FC3B0000}"/>
    <cellStyle name="40% - Accent2 38 2" xfId="15355" xr:uid="{00000000-0005-0000-0000-0000FD3B0000}"/>
    <cellStyle name="40% - Accent2 39" xfId="15356" xr:uid="{00000000-0005-0000-0000-0000FE3B0000}"/>
    <cellStyle name="40% - Accent2 39 2" xfId="15357" xr:uid="{00000000-0005-0000-0000-0000FF3B0000}"/>
    <cellStyle name="40% - Accent2 4" xfId="15358" xr:uid="{00000000-0005-0000-0000-0000003C0000}"/>
    <cellStyle name="40% - Accent2 4 2" xfId="15359" xr:uid="{00000000-0005-0000-0000-0000013C0000}"/>
    <cellStyle name="40% - Accent2 4 2 2" xfId="15360" xr:uid="{00000000-0005-0000-0000-0000023C0000}"/>
    <cellStyle name="40% - Accent2 40" xfId="15361" xr:uid="{00000000-0005-0000-0000-0000033C0000}"/>
    <cellStyle name="40% - Accent2 40 2" xfId="15362" xr:uid="{00000000-0005-0000-0000-0000043C0000}"/>
    <cellStyle name="40% - Accent2 41" xfId="15363" xr:uid="{00000000-0005-0000-0000-0000053C0000}"/>
    <cellStyle name="40% - Accent2 41 2" xfId="15364" xr:uid="{00000000-0005-0000-0000-0000063C0000}"/>
    <cellStyle name="40% - Accent2 42" xfId="15365" xr:uid="{00000000-0005-0000-0000-0000073C0000}"/>
    <cellStyle name="40% - Accent2 42 2" xfId="15366" xr:uid="{00000000-0005-0000-0000-0000083C0000}"/>
    <cellStyle name="40% - Accent2 43" xfId="15367" xr:uid="{00000000-0005-0000-0000-0000093C0000}"/>
    <cellStyle name="40% - Accent2 43 2" xfId="15368" xr:uid="{00000000-0005-0000-0000-00000A3C0000}"/>
    <cellStyle name="40% - Accent2 44" xfId="15369" xr:uid="{00000000-0005-0000-0000-00000B3C0000}"/>
    <cellStyle name="40% - Accent2 44 2" xfId="15370" xr:uid="{00000000-0005-0000-0000-00000C3C0000}"/>
    <cellStyle name="40% - Accent2 45" xfId="15371" xr:uid="{00000000-0005-0000-0000-00000D3C0000}"/>
    <cellStyle name="40% - Accent2 45 2" xfId="15372" xr:uid="{00000000-0005-0000-0000-00000E3C0000}"/>
    <cellStyle name="40% - Accent2 46" xfId="15373" xr:uid="{00000000-0005-0000-0000-00000F3C0000}"/>
    <cellStyle name="40% - Accent2 46 2" xfId="15374" xr:uid="{00000000-0005-0000-0000-0000103C0000}"/>
    <cellStyle name="40% - Accent2 47" xfId="15375" xr:uid="{00000000-0005-0000-0000-0000113C0000}"/>
    <cellStyle name="40% - Accent2 47 2" xfId="15376" xr:uid="{00000000-0005-0000-0000-0000123C0000}"/>
    <cellStyle name="40% - Accent2 48" xfId="15377" xr:uid="{00000000-0005-0000-0000-0000133C0000}"/>
    <cellStyle name="40% - Accent2 48 2" xfId="15378" xr:uid="{00000000-0005-0000-0000-0000143C0000}"/>
    <cellStyle name="40% - Accent2 49" xfId="15379" xr:uid="{00000000-0005-0000-0000-0000153C0000}"/>
    <cellStyle name="40% - Accent2 49 2" xfId="15380" xr:uid="{00000000-0005-0000-0000-0000163C0000}"/>
    <cellStyle name="40% - Accent2 5" xfId="15381" xr:uid="{00000000-0005-0000-0000-0000173C0000}"/>
    <cellStyle name="40% - Accent2 5 2" xfId="15382" xr:uid="{00000000-0005-0000-0000-0000183C0000}"/>
    <cellStyle name="40% - Accent2 5 2 2" xfId="15383" xr:uid="{00000000-0005-0000-0000-0000193C0000}"/>
    <cellStyle name="40% - Accent2 50" xfId="15384" xr:uid="{00000000-0005-0000-0000-00001A3C0000}"/>
    <cellStyle name="40% - Accent2 50 2" xfId="15385" xr:uid="{00000000-0005-0000-0000-00001B3C0000}"/>
    <cellStyle name="40% - Accent2 51" xfId="15386" xr:uid="{00000000-0005-0000-0000-00001C3C0000}"/>
    <cellStyle name="40% - Accent2 51 2" xfId="15387" xr:uid="{00000000-0005-0000-0000-00001D3C0000}"/>
    <cellStyle name="40% - Accent2 52" xfId="15388" xr:uid="{00000000-0005-0000-0000-00001E3C0000}"/>
    <cellStyle name="40% - Accent2 52 2" xfId="15389" xr:uid="{00000000-0005-0000-0000-00001F3C0000}"/>
    <cellStyle name="40% - Accent2 53" xfId="15390" xr:uid="{00000000-0005-0000-0000-0000203C0000}"/>
    <cellStyle name="40% - Accent2 53 2" xfId="15391" xr:uid="{00000000-0005-0000-0000-0000213C0000}"/>
    <cellStyle name="40% - Accent2 54" xfId="15392" xr:uid="{00000000-0005-0000-0000-0000223C0000}"/>
    <cellStyle name="40% - Accent2 54 2" xfId="15393" xr:uid="{00000000-0005-0000-0000-0000233C0000}"/>
    <cellStyle name="40% - Accent2 55" xfId="15394" xr:uid="{00000000-0005-0000-0000-0000243C0000}"/>
    <cellStyle name="40% - Accent2 55 2" xfId="15395" xr:uid="{00000000-0005-0000-0000-0000253C0000}"/>
    <cellStyle name="40% - Accent2 56" xfId="15396" xr:uid="{00000000-0005-0000-0000-0000263C0000}"/>
    <cellStyle name="40% - Accent2 56 2" xfId="15397" xr:uid="{00000000-0005-0000-0000-0000273C0000}"/>
    <cellStyle name="40% - Accent2 57" xfId="15398" xr:uid="{00000000-0005-0000-0000-0000283C0000}"/>
    <cellStyle name="40% - Accent2 57 2" xfId="15399" xr:uid="{00000000-0005-0000-0000-0000293C0000}"/>
    <cellStyle name="40% - Accent2 58" xfId="15400" xr:uid="{00000000-0005-0000-0000-00002A3C0000}"/>
    <cellStyle name="40% - Accent2 58 2" xfId="15401" xr:uid="{00000000-0005-0000-0000-00002B3C0000}"/>
    <cellStyle name="40% - Accent2 59" xfId="15402" xr:uid="{00000000-0005-0000-0000-00002C3C0000}"/>
    <cellStyle name="40% - Accent2 59 2" xfId="15403" xr:uid="{00000000-0005-0000-0000-00002D3C0000}"/>
    <cellStyle name="40% - Accent2 6" xfId="15404" xr:uid="{00000000-0005-0000-0000-00002E3C0000}"/>
    <cellStyle name="40% - Accent2 6 2" xfId="15405" xr:uid="{00000000-0005-0000-0000-00002F3C0000}"/>
    <cellStyle name="40% - Accent2 6 2 2" xfId="15406" xr:uid="{00000000-0005-0000-0000-0000303C0000}"/>
    <cellStyle name="40% - Accent2 6 3" xfId="15407" xr:uid="{00000000-0005-0000-0000-0000313C0000}"/>
    <cellStyle name="40% - Accent2 60" xfId="15408" xr:uid="{00000000-0005-0000-0000-0000323C0000}"/>
    <cellStyle name="40% - Accent2 60 2" xfId="15409" xr:uid="{00000000-0005-0000-0000-0000333C0000}"/>
    <cellStyle name="40% - Accent2 61" xfId="15410" xr:uid="{00000000-0005-0000-0000-0000343C0000}"/>
    <cellStyle name="40% - Accent2 61 2" xfId="15411" xr:uid="{00000000-0005-0000-0000-0000353C0000}"/>
    <cellStyle name="40% - Accent2 62" xfId="15412" xr:uid="{00000000-0005-0000-0000-0000363C0000}"/>
    <cellStyle name="40% - Accent2 62 2" xfId="15413" xr:uid="{00000000-0005-0000-0000-0000373C0000}"/>
    <cellStyle name="40% - Accent2 63" xfId="15414" xr:uid="{00000000-0005-0000-0000-0000383C0000}"/>
    <cellStyle name="40% - Accent2 63 2" xfId="15415" xr:uid="{00000000-0005-0000-0000-0000393C0000}"/>
    <cellStyle name="40% - Accent2 64" xfId="15416" xr:uid="{00000000-0005-0000-0000-00003A3C0000}"/>
    <cellStyle name="40% - Accent2 64 2" xfId="15417" xr:uid="{00000000-0005-0000-0000-00003B3C0000}"/>
    <cellStyle name="40% - Accent2 65" xfId="15418" xr:uid="{00000000-0005-0000-0000-00003C3C0000}"/>
    <cellStyle name="40% - Accent2 65 2" xfId="15419" xr:uid="{00000000-0005-0000-0000-00003D3C0000}"/>
    <cellStyle name="40% - Accent2 66" xfId="15420" xr:uid="{00000000-0005-0000-0000-00003E3C0000}"/>
    <cellStyle name="40% - Accent2 66 2" xfId="15421" xr:uid="{00000000-0005-0000-0000-00003F3C0000}"/>
    <cellStyle name="40% - Accent2 67" xfId="15422" xr:uid="{00000000-0005-0000-0000-0000403C0000}"/>
    <cellStyle name="40% - Accent2 67 2" xfId="15423" xr:uid="{00000000-0005-0000-0000-0000413C0000}"/>
    <cellStyle name="40% - Accent2 68" xfId="15424" xr:uid="{00000000-0005-0000-0000-0000423C0000}"/>
    <cellStyle name="40% - Accent2 68 2" xfId="15425" xr:uid="{00000000-0005-0000-0000-0000433C0000}"/>
    <cellStyle name="40% - Accent2 69" xfId="15426" xr:uid="{00000000-0005-0000-0000-0000443C0000}"/>
    <cellStyle name="40% - Accent2 69 2" xfId="15427" xr:uid="{00000000-0005-0000-0000-0000453C0000}"/>
    <cellStyle name="40% - Accent2 7" xfId="15428" xr:uid="{00000000-0005-0000-0000-0000463C0000}"/>
    <cellStyle name="40% - Accent2 7 2" xfId="15429" xr:uid="{00000000-0005-0000-0000-0000473C0000}"/>
    <cellStyle name="40% - Accent2 7 2 2" xfId="15430" xr:uid="{00000000-0005-0000-0000-0000483C0000}"/>
    <cellStyle name="40% - Accent2 7 3" xfId="15431" xr:uid="{00000000-0005-0000-0000-0000493C0000}"/>
    <cellStyle name="40% - Accent2 70" xfId="15432" xr:uid="{00000000-0005-0000-0000-00004A3C0000}"/>
    <cellStyle name="40% - Accent2 70 2" xfId="15433" xr:uid="{00000000-0005-0000-0000-00004B3C0000}"/>
    <cellStyle name="40% - Accent2 71" xfId="15434" xr:uid="{00000000-0005-0000-0000-00004C3C0000}"/>
    <cellStyle name="40% - Accent2 71 2" xfId="15435" xr:uid="{00000000-0005-0000-0000-00004D3C0000}"/>
    <cellStyle name="40% - Accent2 72" xfId="15436" xr:uid="{00000000-0005-0000-0000-00004E3C0000}"/>
    <cellStyle name="40% - Accent2 72 2" xfId="15437" xr:uid="{00000000-0005-0000-0000-00004F3C0000}"/>
    <cellStyle name="40% - Accent2 73" xfId="15438" xr:uid="{00000000-0005-0000-0000-0000503C0000}"/>
    <cellStyle name="40% - Accent2 73 10" xfId="15439" xr:uid="{00000000-0005-0000-0000-0000513C0000}"/>
    <cellStyle name="40% - Accent2 73 10 2" xfId="15440" xr:uid="{00000000-0005-0000-0000-0000523C0000}"/>
    <cellStyle name="40% - Accent2 73 10 2 2" xfId="15441" xr:uid="{00000000-0005-0000-0000-0000533C0000}"/>
    <cellStyle name="40% - Accent2 73 10 3" xfId="15442" xr:uid="{00000000-0005-0000-0000-0000543C0000}"/>
    <cellStyle name="40% - Accent2 73 11" xfId="15443" xr:uid="{00000000-0005-0000-0000-0000553C0000}"/>
    <cellStyle name="40% - Accent2 73 11 2" xfId="15444" xr:uid="{00000000-0005-0000-0000-0000563C0000}"/>
    <cellStyle name="40% - Accent2 73 11 2 2" xfId="15445" xr:uid="{00000000-0005-0000-0000-0000573C0000}"/>
    <cellStyle name="40% - Accent2 73 11 3" xfId="15446" xr:uid="{00000000-0005-0000-0000-0000583C0000}"/>
    <cellStyle name="40% - Accent2 73 12" xfId="15447" xr:uid="{00000000-0005-0000-0000-0000593C0000}"/>
    <cellStyle name="40% - Accent2 73 12 2" xfId="15448" xr:uid="{00000000-0005-0000-0000-00005A3C0000}"/>
    <cellStyle name="40% - Accent2 73 12 2 2" xfId="15449" xr:uid="{00000000-0005-0000-0000-00005B3C0000}"/>
    <cellStyle name="40% - Accent2 73 12 3" xfId="15450" xr:uid="{00000000-0005-0000-0000-00005C3C0000}"/>
    <cellStyle name="40% - Accent2 73 13" xfId="15451" xr:uid="{00000000-0005-0000-0000-00005D3C0000}"/>
    <cellStyle name="40% - Accent2 73 13 2" xfId="15452" xr:uid="{00000000-0005-0000-0000-00005E3C0000}"/>
    <cellStyle name="40% - Accent2 73 13 2 2" xfId="15453" xr:uid="{00000000-0005-0000-0000-00005F3C0000}"/>
    <cellStyle name="40% - Accent2 73 13 3" xfId="15454" xr:uid="{00000000-0005-0000-0000-0000603C0000}"/>
    <cellStyle name="40% - Accent2 73 14" xfId="15455" xr:uid="{00000000-0005-0000-0000-0000613C0000}"/>
    <cellStyle name="40% - Accent2 73 14 2" xfId="15456" xr:uid="{00000000-0005-0000-0000-0000623C0000}"/>
    <cellStyle name="40% - Accent2 73 14 2 2" xfId="15457" xr:uid="{00000000-0005-0000-0000-0000633C0000}"/>
    <cellStyle name="40% - Accent2 73 14 3" xfId="15458" xr:uid="{00000000-0005-0000-0000-0000643C0000}"/>
    <cellStyle name="40% - Accent2 73 15" xfId="15459" xr:uid="{00000000-0005-0000-0000-0000653C0000}"/>
    <cellStyle name="40% - Accent2 73 15 2" xfId="15460" xr:uid="{00000000-0005-0000-0000-0000663C0000}"/>
    <cellStyle name="40% - Accent2 73 15 2 2" xfId="15461" xr:uid="{00000000-0005-0000-0000-0000673C0000}"/>
    <cellStyle name="40% - Accent2 73 15 3" xfId="15462" xr:uid="{00000000-0005-0000-0000-0000683C0000}"/>
    <cellStyle name="40% - Accent2 73 16" xfId="15463" xr:uid="{00000000-0005-0000-0000-0000693C0000}"/>
    <cellStyle name="40% - Accent2 73 16 2" xfId="15464" xr:uid="{00000000-0005-0000-0000-00006A3C0000}"/>
    <cellStyle name="40% - Accent2 73 16 2 2" xfId="15465" xr:uid="{00000000-0005-0000-0000-00006B3C0000}"/>
    <cellStyle name="40% - Accent2 73 16 3" xfId="15466" xr:uid="{00000000-0005-0000-0000-00006C3C0000}"/>
    <cellStyle name="40% - Accent2 73 17" xfId="15467" xr:uid="{00000000-0005-0000-0000-00006D3C0000}"/>
    <cellStyle name="40% - Accent2 73 17 2" xfId="15468" xr:uid="{00000000-0005-0000-0000-00006E3C0000}"/>
    <cellStyle name="40% - Accent2 73 17 2 2" xfId="15469" xr:uid="{00000000-0005-0000-0000-00006F3C0000}"/>
    <cellStyle name="40% - Accent2 73 17 3" xfId="15470" xr:uid="{00000000-0005-0000-0000-0000703C0000}"/>
    <cellStyle name="40% - Accent2 73 18" xfId="15471" xr:uid="{00000000-0005-0000-0000-0000713C0000}"/>
    <cellStyle name="40% - Accent2 73 18 2" xfId="15472" xr:uid="{00000000-0005-0000-0000-0000723C0000}"/>
    <cellStyle name="40% - Accent2 73 18 2 2" xfId="15473" xr:uid="{00000000-0005-0000-0000-0000733C0000}"/>
    <cellStyle name="40% - Accent2 73 18 3" xfId="15474" xr:uid="{00000000-0005-0000-0000-0000743C0000}"/>
    <cellStyle name="40% - Accent2 73 19" xfId="15475" xr:uid="{00000000-0005-0000-0000-0000753C0000}"/>
    <cellStyle name="40% - Accent2 73 19 2" xfId="15476" xr:uid="{00000000-0005-0000-0000-0000763C0000}"/>
    <cellStyle name="40% - Accent2 73 19 2 2" xfId="15477" xr:uid="{00000000-0005-0000-0000-0000773C0000}"/>
    <cellStyle name="40% - Accent2 73 19 3" xfId="15478" xr:uid="{00000000-0005-0000-0000-0000783C0000}"/>
    <cellStyle name="40% - Accent2 73 2" xfId="15479" xr:uid="{00000000-0005-0000-0000-0000793C0000}"/>
    <cellStyle name="40% - Accent2 73 2 2" xfId="15480" xr:uid="{00000000-0005-0000-0000-00007A3C0000}"/>
    <cellStyle name="40% - Accent2 73 2 2 2" xfId="15481" xr:uid="{00000000-0005-0000-0000-00007B3C0000}"/>
    <cellStyle name="40% - Accent2 73 2 3" xfId="15482" xr:uid="{00000000-0005-0000-0000-00007C3C0000}"/>
    <cellStyle name="40% - Accent2 73 20" xfId="15483" xr:uid="{00000000-0005-0000-0000-00007D3C0000}"/>
    <cellStyle name="40% - Accent2 73 20 2" xfId="15484" xr:uid="{00000000-0005-0000-0000-00007E3C0000}"/>
    <cellStyle name="40% - Accent2 73 20 2 2" xfId="15485" xr:uid="{00000000-0005-0000-0000-00007F3C0000}"/>
    <cellStyle name="40% - Accent2 73 20 3" xfId="15486" xr:uid="{00000000-0005-0000-0000-0000803C0000}"/>
    <cellStyle name="40% - Accent2 73 21" xfId="15487" xr:uid="{00000000-0005-0000-0000-0000813C0000}"/>
    <cellStyle name="40% - Accent2 73 21 2" xfId="15488" xr:uid="{00000000-0005-0000-0000-0000823C0000}"/>
    <cellStyle name="40% - Accent2 73 21 2 2" xfId="15489" xr:uid="{00000000-0005-0000-0000-0000833C0000}"/>
    <cellStyle name="40% - Accent2 73 21 3" xfId="15490" xr:uid="{00000000-0005-0000-0000-0000843C0000}"/>
    <cellStyle name="40% - Accent2 73 22" xfId="15491" xr:uid="{00000000-0005-0000-0000-0000853C0000}"/>
    <cellStyle name="40% - Accent2 73 22 2" xfId="15492" xr:uid="{00000000-0005-0000-0000-0000863C0000}"/>
    <cellStyle name="40% - Accent2 73 22 2 2" xfId="15493" xr:uid="{00000000-0005-0000-0000-0000873C0000}"/>
    <cellStyle name="40% - Accent2 73 22 3" xfId="15494" xr:uid="{00000000-0005-0000-0000-0000883C0000}"/>
    <cellStyle name="40% - Accent2 73 23" xfId="15495" xr:uid="{00000000-0005-0000-0000-0000893C0000}"/>
    <cellStyle name="40% - Accent2 73 23 2" xfId="15496" xr:uid="{00000000-0005-0000-0000-00008A3C0000}"/>
    <cellStyle name="40% - Accent2 73 23 2 2" xfId="15497" xr:uid="{00000000-0005-0000-0000-00008B3C0000}"/>
    <cellStyle name="40% - Accent2 73 23 3" xfId="15498" xr:uid="{00000000-0005-0000-0000-00008C3C0000}"/>
    <cellStyle name="40% - Accent2 73 24" xfId="15499" xr:uid="{00000000-0005-0000-0000-00008D3C0000}"/>
    <cellStyle name="40% - Accent2 73 24 2" xfId="15500" xr:uid="{00000000-0005-0000-0000-00008E3C0000}"/>
    <cellStyle name="40% - Accent2 73 24 2 2" xfId="15501" xr:uid="{00000000-0005-0000-0000-00008F3C0000}"/>
    <cellStyle name="40% - Accent2 73 24 3" xfId="15502" xr:uid="{00000000-0005-0000-0000-0000903C0000}"/>
    <cellStyle name="40% - Accent2 73 25" xfId="15503" xr:uid="{00000000-0005-0000-0000-0000913C0000}"/>
    <cellStyle name="40% - Accent2 73 25 2" xfId="15504" xr:uid="{00000000-0005-0000-0000-0000923C0000}"/>
    <cellStyle name="40% - Accent2 73 25 2 2" xfId="15505" xr:uid="{00000000-0005-0000-0000-0000933C0000}"/>
    <cellStyle name="40% - Accent2 73 25 3" xfId="15506" xr:uid="{00000000-0005-0000-0000-0000943C0000}"/>
    <cellStyle name="40% - Accent2 73 26" xfId="15507" xr:uid="{00000000-0005-0000-0000-0000953C0000}"/>
    <cellStyle name="40% - Accent2 73 26 2" xfId="15508" xr:uid="{00000000-0005-0000-0000-0000963C0000}"/>
    <cellStyle name="40% - Accent2 73 26 2 2" xfId="15509" xr:uid="{00000000-0005-0000-0000-0000973C0000}"/>
    <cellStyle name="40% - Accent2 73 26 3" xfId="15510" xr:uid="{00000000-0005-0000-0000-0000983C0000}"/>
    <cellStyle name="40% - Accent2 73 27" xfId="15511" xr:uid="{00000000-0005-0000-0000-0000993C0000}"/>
    <cellStyle name="40% - Accent2 73 27 2" xfId="15512" xr:uid="{00000000-0005-0000-0000-00009A3C0000}"/>
    <cellStyle name="40% - Accent2 73 27 2 2" xfId="15513" xr:uid="{00000000-0005-0000-0000-00009B3C0000}"/>
    <cellStyle name="40% - Accent2 73 27 3" xfId="15514" xr:uid="{00000000-0005-0000-0000-00009C3C0000}"/>
    <cellStyle name="40% - Accent2 73 28" xfId="15515" xr:uid="{00000000-0005-0000-0000-00009D3C0000}"/>
    <cellStyle name="40% - Accent2 73 28 2" xfId="15516" xr:uid="{00000000-0005-0000-0000-00009E3C0000}"/>
    <cellStyle name="40% - Accent2 73 28 2 2" xfId="15517" xr:uid="{00000000-0005-0000-0000-00009F3C0000}"/>
    <cellStyle name="40% - Accent2 73 28 3" xfId="15518" xr:uid="{00000000-0005-0000-0000-0000A03C0000}"/>
    <cellStyle name="40% - Accent2 73 29" xfId="15519" xr:uid="{00000000-0005-0000-0000-0000A13C0000}"/>
    <cellStyle name="40% - Accent2 73 29 2" xfId="15520" xr:uid="{00000000-0005-0000-0000-0000A23C0000}"/>
    <cellStyle name="40% - Accent2 73 29 2 2" xfId="15521" xr:uid="{00000000-0005-0000-0000-0000A33C0000}"/>
    <cellStyle name="40% - Accent2 73 29 3" xfId="15522" xr:uid="{00000000-0005-0000-0000-0000A43C0000}"/>
    <cellStyle name="40% - Accent2 73 3" xfId="15523" xr:uid="{00000000-0005-0000-0000-0000A53C0000}"/>
    <cellStyle name="40% - Accent2 73 3 2" xfId="15524" xr:uid="{00000000-0005-0000-0000-0000A63C0000}"/>
    <cellStyle name="40% - Accent2 73 3 2 2" xfId="15525" xr:uid="{00000000-0005-0000-0000-0000A73C0000}"/>
    <cellStyle name="40% - Accent2 73 3 3" xfId="15526" xr:uid="{00000000-0005-0000-0000-0000A83C0000}"/>
    <cellStyle name="40% - Accent2 73 30" xfId="15527" xr:uid="{00000000-0005-0000-0000-0000A93C0000}"/>
    <cellStyle name="40% - Accent2 73 30 2" xfId="15528" xr:uid="{00000000-0005-0000-0000-0000AA3C0000}"/>
    <cellStyle name="40% - Accent2 73 30 2 2" xfId="15529" xr:uid="{00000000-0005-0000-0000-0000AB3C0000}"/>
    <cellStyle name="40% - Accent2 73 30 3" xfId="15530" xr:uid="{00000000-0005-0000-0000-0000AC3C0000}"/>
    <cellStyle name="40% - Accent2 73 31" xfId="15531" xr:uid="{00000000-0005-0000-0000-0000AD3C0000}"/>
    <cellStyle name="40% - Accent2 73 31 2" xfId="15532" xr:uid="{00000000-0005-0000-0000-0000AE3C0000}"/>
    <cellStyle name="40% - Accent2 73 31 2 2" xfId="15533" xr:uid="{00000000-0005-0000-0000-0000AF3C0000}"/>
    <cellStyle name="40% - Accent2 73 31 3" xfId="15534" xr:uid="{00000000-0005-0000-0000-0000B03C0000}"/>
    <cellStyle name="40% - Accent2 73 32" xfId="15535" xr:uid="{00000000-0005-0000-0000-0000B13C0000}"/>
    <cellStyle name="40% - Accent2 73 32 2" xfId="15536" xr:uid="{00000000-0005-0000-0000-0000B23C0000}"/>
    <cellStyle name="40% - Accent2 73 32 2 2" xfId="15537" xr:uid="{00000000-0005-0000-0000-0000B33C0000}"/>
    <cellStyle name="40% - Accent2 73 32 3" xfId="15538" xr:uid="{00000000-0005-0000-0000-0000B43C0000}"/>
    <cellStyle name="40% - Accent2 73 33" xfId="15539" xr:uid="{00000000-0005-0000-0000-0000B53C0000}"/>
    <cellStyle name="40% - Accent2 73 33 2" xfId="15540" xr:uid="{00000000-0005-0000-0000-0000B63C0000}"/>
    <cellStyle name="40% - Accent2 73 33 2 2" xfId="15541" xr:uid="{00000000-0005-0000-0000-0000B73C0000}"/>
    <cellStyle name="40% - Accent2 73 33 3" xfId="15542" xr:uid="{00000000-0005-0000-0000-0000B83C0000}"/>
    <cellStyle name="40% - Accent2 73 34" xfId="15543" xr:uid="{00000000-0005-0000-0000-0000B93C0000}"/>
    <cellStyle name="40% - Accent2 73 34 2" xfId="15544" xr:uid="{00000000-0005-0000-0000-0000BA3C0000}"/>
    <cellStyle name="40% - Accent2 73 34 2 2" xfId="15545" xr:uid="{00000000-0005-0000-0000-0000BB3C0000}"/>
    <cellStyle name="40% - Accent2 73 34 3" xfId="15546" xr:uid="{00000000-0005-0000-0000-0000BC3C0000}"/>
    <cellStyle name="40% - Accent2 73 35" xfId="15547" xr:uid="{00000000-0005-0000-0000-0000BD3C0000}"/>
    <cellStyle name="40% - Accent2 73 35 2" xfId="15548" xr:uid="{00000000-0005-0000-0000-0000BE3C0000}"/>
    <cellStyle name="40% - Accent2 73 35 2 2" xfId="15549" xr:uid="{00000000-0005-0000-0000-0000BF3C0000}"/>
    <cellStyle name="40% - Accent2 73 35 3" xfId="15550" xr:uid="{00000000-0005-0000-0000-0000C03C0000}"/>
    <cellStyle name="40% - Accent2 73 36" xfId="15551" xr:uid="{00000000-0005-0000-0000-0000C13C0000}"/>
    <cellStyle name="40% - Accent2 73 36 2" xfId="15552" xr:uid="{00000000-0005-0000-0000-0000C23C0000}"/>
    <cellStyle name="40% - Accent2 73 36 2 2" xfId="15553" xr:uid="{00000000-0005-0000-0000-0000C33C0000}"/>
    <cellStyle name="40% - Accent2 73 36 3" xfId="15554" xr:uid="{00000000-0005-0000-0000-0000C43C0000}"/>
    <cellStyle name="40% - Accent2 73 4" xfId="15555" xr:uid="{00000000-0005-0000-0000-0000C53C0000}"/>
    <cellStyle name="40% - Accent2 73 4 2" xfId="15556" xr:uid="{00000000-0005-0000-0000-0000C63C0000}"/>
    <cellStyle name="40% - Accent2 73 4 2 2" xfId="15557" xr:uid="{00000000-0005-0000-0000-0000C73C0000}"/>
    <cellStyle name="40% - Accent2 73 4 3" xfId="15558" xr:uid="{00000000-0005-0000-0000-0000C83C0000}"/>
    <cellStyle name="40% - Accent2 73 5" xfId="15559" xr:uid="{00000000-0005-0000-0000-0000C93C0000}"/>
    <cellStyle name="40% - Accent2 73 5 2" xfId="15560" xr:uid="{00000000-0005-0000-0000-0000CA3C0000}"/>
    <cellStyle name="40% - Accent2 73 5 2 2" xfId="15561" xr:uid="{00000000-0005-0000-0000-0000CB3C0000}"/>
    <cellStyle name="40% - Accent2 73 5 3" xfId="15562" xr:uid="{00000000-0005-0000-0000-0000CC3C0000}"/>
    <cellStyle name="40% - Accent2 73 6" xfId="15563" xr:uid="{00000000-0005-0000-0000-0000CD3C0000}"/>
    <cellStyle name="40% - Accent2 73 6 2" xfId="15564" xr:uid="{00000000-0005-0000-0000-0000CE3C0000}"/>
    <cellStyle name="40% - Accent2 73 6 2 2" xfId="15565" xr:uid="{00000000-0005-0000-0000-0000CF3C0000}"/>
    <cellStyle name="40% - Accent2 73 6 3" xfId="15566" xr:uid="{00000000-0005-0000-0000-0000D03C0000}"/>
    <cellStyle name="40% - Accent2 73 7" xfId="15567" xr:uid="{00000000-0005-0000-0000-0000D13C0000}"/>
    <cellStyle name="40% - Accent2 73 7 2" xfId="15568" xr:uid="{00000000-0005-0000-0000-0000D23C0000}"/>
    <cellStyle name="40% - Accent2 73 7 2 2" xfId="15569" xr:uid="{00000000-0005-0000-0000-0000D33C0000}"/>
    <cellStyle name="40% - Accent2 73 7 3" xfId="15570" xr:uid="{00000000-0005-0000-0000-0000D43C0000}"/>
    <cellStyle name="40% - Accent2 73 8" xfId="15571" xr:uid="{00000000-0005-0000-0000-0000D53C0000}"/>
    <cellStyle name="40% - Accent2 73 8 2" xfId="15572" xr:uid="{00000000-0005-0000-0000-0000D63C0000}"/>
    <cellStyle name="40% - Accent2 73 8 2 2" xfId="15573" xr:uid="{00000000-0005-0000-0000-0000D73C0000}"/>
    <cellStyle name="40% - Accent2 73 8 3" xfId="15574" xr:uid="{00000000-0005-0000-0000-0000D83C0000}"/>
    <cellStyle name="40% - Accent2 73 9" xfId="15575" xr:uid="{00000000-0005-0000-0000-0000D93C0000}"/>
    <cellStyle name="40% - Accent2 73 9 2" xfId="15576" xr:uid="{00000000-0005-0000-0000-0000DA3C0000}"/>
    <cellStyle name="40% - Accent2 73 9 2 2" xfId="15577" xr:uid="{00000000-0005-0000-0000-0000DB3C0000}"/>
    <cellStyle name="40% - Accent2 73 9 3" xfId="15578" xr:uid="{00000000-0005-0000-0000-0000DC3C0000}"/>
    <cellStyle name="40% - Accent2 74" xfId="15579" xr:uid="{00000000-0005-0000-0000-0000DD3C0000}"/>
    <cellStyle name="40% - Accent2 74 10" xfId="15580" xr:uid="{00000000-0005-0000-0000-0000DE3C0000}"/>
    <cellStyle name="40% - Accent2 74 10 2" xfId="15581" xr:uid="{00000000-0005-0000-0000-0000DF3C0000}"/>
    <cellStyle name="40% - Accent2 74 10 2 2" xfId="15582" xr:uid="{00000000-0005-0000-0000-0000E03C0000}"/>
    <cellStyle name="40% - Accent2 74 10 3" xfId="15583" xr:uid="{00000000-0005-0000-0000-0000E13C0000}"/>
    <cellStyle name="40% - Accent2 74 11" xfId="15584" xr:uid="{00000000-0005-0000-0000-0000E23C0000}"/>
    <cellStyle name="40% - Accent2 74 11 2" xfId="15585" xr:uid="{00000000-0005-0000-0000-0000E33C0000}"/>
    <cellStyle name="40% - Accent2 74 11 2 2" xfId="15586" xr:uid="{00000000-0005-0000-0000-0000E43C0000}"/>
    <cellStyle name="40% - Accent2 74 11 3" xfId="15587" xr:uid="{00000000-0005-0000-0000-0000E53C0000}"/>
    <cellStyle name="40% - Accent2 74 12" xfId="15588" xr:uid="{00000000-0005-0000-0000-0000E63C0000}"/>
    <cellStyle name="40% - Accent2 74 12 2" xfId="15589" xr:uid="{00000000-0005-0000-0000-0000E73C0000}"/>
    <cellStyle name="40% - Accent2 74 12 2 2" xfId="15590" xr:uid="{00000000-0005-0000-0000-0000E83C0000}"/>
    <cellStyle name="40% - Accent2 74 12 3" xfId="15591" xr:uid="{00000000-0005-0000-0000-0000E93C0000}"/>
    <cellStyle name="40% - Accent2 74 13" xfId="15592" xr:uid="{00000000-0005-0000-0000-0000EA3C0000}"/>
    <cellStyle name="40% - Accent2 74 13 2" xfId="15593" xr:uid="{00000000-0005-0000-0000-0000EB3C0000}"/>
    <cellStyle name="40% - Accent2 74 13 2 2" xfId="15594" xr:uid="{00000000-0005-0000-0000-0000EC3C0000}"/>
    <cellStyle name="40% - Accent2 74 13 3" xfId="15595" xr:uid="{00000000-0005-0000-0000-0000ED3C0000}"/>
    <cellStyle name="40% - Accent2 74 14" xfId="15596" xr:uid="{00000000-0005-0000-0000-0000EE3C0000}"/>
    <cellStyle name="40% - Accent2 74 14 2" xfId="15597" xr:uid="{00000000-0005-0000-0000-0000EF3C0000}"/>
    <cellStyle name="40% - Accent2 74 14 2 2" xfId="15598" xr:uid="{00000000-0005-0000-0000-0000F03C0000}"/>
    <cellStyle name="40% - Accent2 74 14 3" xfId="15599" xr:uid="{00000000-0005-0000-0000-0000F13C0000}"/>
    <cellStyle name="40% - Accent2 74 15" xfId="15600" xr:uid="{00000000-0005-0000-0000-0000F23C0000}"/>
    <cellStyle name="40% - Accent2 74 15 2" xfId="15601" xr:uid="{00000000-0005-0000-0000-0000F33C0000}"/>
    <cellStyle name="40% - Accent2 74 15 2 2" xfId="15602" xr:uid="{00000000-0005-0000-0000-0000F43C0000}"/>
    <cellStyle name="40% - Accent2 74 15 3" xfId="15603" xr:uid="{00000000-0005-0000-0000-0000F53C0000}"/>
    <cellStyle name="40% - Accent2 74 16" xfId="15604" xr:uid="{00000000-0005-0000-0000-0000F63C0000}"/>
    <cellStyle name="40% - Accent2 74 16 2" xfId="15605" xr:uid="{00000000-0005-0000-0000-0000F73C0000}"/>
    <cellStyle name="40% - Accent2 74 16 2 2" xfId="15606" xr:uid="{00000000-0005-0000-0000-0000F83C0000}"/>
    <cellStyle name="40% - Accent2 74 16 3" xfId="15607" xr:uid="{00000000-0005-0000-0000-0000F93C0000}"/>
    <cellStyle name="40% - Accent2 74 17" xfId="15608" xr:uid="{00000000-0005-0000-0000-0000FA3C0000}"/>
    <cellStyle name="40% - Accent2 74 17 2" xfId="15609" xr:uid="{00000000-0005-0000-0000-0000FB3C0000}"/>
    <cellStyle name="40% - Accent2 74 17 2 2" xfId="15610" xr:uid="{00000000-0005-0000-0000-0000FC3C0000}"/>
    <cellStyle name="40% - Accent2 74 17 3" xfId="15611" xr:uid="{00000000-0005-0000-0000-0000FD3C0000}"/>
    <cellStyle name="40% - Accent2 74 18" xfId="15612" xr:uid="{00000000-0005-0000-0000-0000FE3C0000}"/>
    <cellStyle name="40% - Accent2 74 18 2" xfId="15613" xr:uid="{00000000-0005-0000-0000-0000FF3C0000}"/>
    <cellStyle name="40% - Accent2 74 18 2 2" xfId="15614" xr:uid="{00000000-0005-0000-0000-0000003D0000}"/>
    <cellStyle name="40% - Accent2 74 18 3" xfId="15615" xr:uid="{00000000-0005-0000-0000-0000013D0000}"/>
    <cellStyle name="40% - Accent2 74 19" xfId="15616" xr:uid="{00000000-0005-0000-0000-0000023D0000}"/>
    <cellStyle name="40% - Accent2 74 19 2" xfId="15617" xr:uid="{00000000-0005-0000-0000-0000033D0000}"/>
    <cellStyle name="40% - Accent2 74 19 2 2" xfId="15618" xr:uid="{00000000-0005-0000-0000-0000043D0000}"/>
    <cellStyle name="40% - Accent2 74 19 3" xfId="15619" xr:uid="{00000000-0005-0000-0000-0000053D0000}"/>
    <cellStyle name="40% - Accent2 74 2" xfId="15620" xr:uid="{00000000-0005-0000-0000-0000063D0000}"/>
    <cellStyle name="40% - Accent2 74 2 2" xfId="15621" xr:uid="{00000000-0005-0000-0000-0000073D0000}"/>
    <cellStyle name="40% - Accent2 74 2 2 2" xfId="15622" xr:uid="{00000000-0005-0000-0000-0000083D0000}"/>
    <cellStyle name="40% - Accent2 74 2 3" xfId="15623" xr:uid="{00000000-0005-0000-0000-0000093D0000}"/>
    <cellStyle name="40% - Accent2 74 20" xfId="15624" xr:uid="{00000000-0005-0000-0000-00000A3D0000}"/>
    <cellStyle name="40% - Accent2 74 20 2" xfId="15625" xr:uid="{00000000-0005-0000-0000-00000B3D0000}"/>
    <cellStyle name="40% - Accent2 74 20 2 2" xfId="15626" xr:uid="{00000000-0005-0000-0000-00000C3D0000}"/>
    <cellStyle name="40% - Accent2 74 20 3" xfId="15627" xr:uid="{00000000-0005-0000-0000-00000D3D0000}"/>
    <cellStyle name="40% - Accent2 74 21" xfId="15628" xr:uid="{00000000-0005-0000-0000-00000E3D0000}"/>
    <cellStyle name="40% - Accent2 74 21 2" xfId="15629" xr:uid="{00000000-0005-0000-0000-00000F3D0000}"/>
    <cellStyle name="40% - Accent2 74 21 2 2" xfId="15630" xr:uid="{00000000-0005-0000-0000-0000103D0000}"/>
    <cellStyle name="40% - Accent2 74 21 3" xfId="15631" xr:uid="{00000000-0005-0000-0000-0000113D0000}"/>
    <cellStyle name="40% - Accent2 74 22" xfId="15632" xr:uid="{00000000-0005-0000-0000-0000123D0000}"/>
    <cellStyle name="40% - Accent2 74 22 2" xfId="15633" xr:uid="{00000000-0005-0000-0000-0000133D0000}"/>
    <cellStyle name="40% - Accent2 74 22 2 2" xfId="15634" xr:uid="{00000000-0005-0000-0000-0000143D0000}"/>
    <cellStyle name="40% - Accent2 74 22 3" xfId="15635" xr:uid="{00000000-0005-0000-0000-0000153D0000}"/>
    <cellStyle name="40% - Accent2 74 23" xfId="15636" xr:uid="{00000000-0005-0000-0000-0000163D0000}"/>
    <cellStyle name="40% - Accent2 74 23 2" xfId="15637" xr:uid="{00000000-0005-0000-0000-0000173D0000}"/>
    <cellStyle name="40% - Accent2 74 23 2 2" xfId="15638" xr:uid="{00000000-0005-0000-0000-0000183D0000}"/>
    <cellStyle name="40% - Accent2 74 23 3" xfId="15639" xr:uid="{00000000-0005-0000-0000-0000193D0000}"/>
    <cellStyle name="40% - Accent2 74 24" xfId="15640" xr:uid="{00000000-0005-0000-0000-00001A3D0000}"/>
    <cellStyle name="40% - Accent2 74 24 2" xfId="15641" xr:uid="{00000000-0005-0000-0000-00001B3D0000}"/>
    <cellStyle name="40% - Accent2 74 24 2 2" xfId="15642" xr:uid="{00000000-0005-0000-0000-00001C3D0000}"/>
    <cellStyle name="40% - Accent2 74 24 3" xfId="15643" xr:uid="{00000000-0005-0000-0000-00001D3D0000}"/>
    <cellStyle name="40% - Accent2 74 25" xfId="15644" xr:uid="{00000000-0005-0000-0000-00001E3D0000}"/>
    <cellStyle name="40% - Accent2 74 25 2" xfId="15645" xr:uid="{00000000-0005-0000-0000-00001F3D0000}"/>
    <cellStyle name="40% - Accent2 74 25 2 2" xfId="15646" xr:uid="{00000000-0005-0000-0000-0000203D0000}"/>
    <cellStyle name="40% - Accent2 74 25 3" xfId="15647" xr:uid="{00000000-0005-0000-0000-0000213D0000}"/>
    <cellStyle name="40% - Accent2 74 26" xfId="15648" xr:uid="{00000000-0005-0000-0000-0000223D0000}"/>
    <cellStyle name="40% - Accent2 74 26 2" xfId="15649" xr:uid="{00000000-0005-0000-0000-0000233D0000}"/>
    <cellStyle name="40% - Accent2 74 26 2 2" xfId="15650" xr:uid="{00000000-0005-0000-0000-0000243D0000}"/>
    <cellStyle name="40% - Accent2 74 26 3" xfId="15651" xr:uid="{00000000-0005-0000-0000-0000253D0000}"/>
    <cellStyle name="40% - Accent2 74 27" xfId="15652" xr:uid="{00000000-0005-0000-0000-0000263D0000}"/>
    <cellStyle name="40% - Accent2 74 27 2" xfId="15653" xr:uid="{00000000-0005-0000-0000-0000273D0000}"/>
    <cellStyle name="40% - Accent2 74 27 2 2" xfId="15654" xr:uid="{00000000-0005-0000-0000-0000283D0000}"/>
    <cellStyle name="40% - Accent2 74 27 3" xfId="15655" xr:uid="{00000000-0005-0000-0000-0000293D0000}"/>
    <cellStyle name="40% - Accent2 74 28" xfId="15656" xr:uid="{00000000-0005-0000-0000-00002A3D0000}"/>
    <cellStyle name="40% - Accent2 74 28 2" xfId="15657" xr:uid="{00000000-0005-0000-0000-00002B3D0000}"/>
    <cellStyle name="40% - Accent2 74 28 2 2" xfId="15658" xr:uid="{00000000-0005-0000-0000-00002C3D0000}"/>
    <cellStyle name="40% - Accent2 74 28 3" xfId="15659" xr:uid="{00000000-0005-0000-0000-00002D3D0000}"/>
    <cellStyle name="40% - Accent2 74 29" xfId="15660" xr:uid="{00000000-0005-0000-0000-00002E3D0000}"/>
    <cellStyle name="40% - Accent2 74 29 2" xfId="15661" xr:uid="{00000000-0005-0000-0000-00002F3D0000}"/>
    <cellStyle name="40% - Accent2 74 29 2 2" xfId="15662" xr:uid="{00000000-0005-0000-0000-0000303D0000}"/>
    <cellStyle name="40% - Accent2 74 29 3" xfId="15663" xr:uid="{00000000-0005-0000-0000-0000313D0000}"/>
    <cellStyle name="40% - Accent2 74 3" xfId="15664" xr:uid="{00000000-0005-0000-0000-0000323D0000}"/>
    <cellStyle name="40% - Accent2 74 3 2" xfId="15665" xr:uid="{00000000-0005-0000-0000-0000333D0000}"/>
    <cellStyle name="40% - Accent2 74 3 2 2" xfId="15666" xr:uid="{00000000-0005-0000-0000-0000343D0000}"/>
    <cellStyle name="40% - Accent2 74 3 3" xfId="15667" xr:uid="{00000000-0005-0000-0000-0000353D0000}"/>
    <cellStyle name="40% - Accent2 74 30" xfId="15668" xr:uid="{00000000-0005-0000-0000-0000363D0000}"/>
    <cellStyle name="40% - Accent2 74 30 2" xfId="15669" xr:uid="{00000000-0005-0000-0000-0000373D0000}"/>
    <cellStyle name="40% - Accent2 74 30 2 2" xfId="15670" xr:uid="{00000000-0005-0000-0000-0000383D0000}"/>
    <cellStyle name="40% - Accent2 74 30 3" xfId="15671" xr:uid="{00000000-0005-0000-0000-0000393D0000}"/>
    <cellStyle name="40% - Accent2 74 31" xfId="15672" xr:uid="{00000000-0005-0000-0000-00003A3D0000}"/>
    <cellStyle name="40% - Accent2 74 31 2" xfId="15673" xr:uid="{00000000-0005-0000-0000-00003B3D0000}"/>
    <cellStyle name="40% - Accent2 74 31 2 2" xfId="15674" xr:uid="{00000000-0005-0000-0000-00003C3D0000}"/>
    <cellStyle name="40% - Accent2 74 31 3" xfId="15675" xr:uid="{00000000-0005-0000-0000-00003D3D0000}"/>
    <cellStyle name="40% - Accent2 74 32" xfId="15676" xr:uid="{00000000-0005-0000-0000-00003E3D0000}"/>
    <cellStyle name="40% - Accent2 74 32 2" xfId="15677" xr:uid="{00000000-0005-0000-0000-00003F3D0000}"/>
    <cellStyle name="40% - Accent2 74 32 2 2" xfId="15678" xr:uid="{00000000-0005-0000-0000-0000403D0000}"/>
    <cellStyle name="40% - Accent2 74 32 3" xfId="15679" xr:uid="{00000000-0005-0000-0000-0000413D0000}"/>
    <cellStyle name="40% - Accent2 74 33" xfId="15680" xr:uid="{00000000-0005-0000-0000-0000423D0000}"/>
    <cellStyle name="40% - Accent2 74 33 2" xfId="15681" xr:uid="{00000000-0005-0000-0000-0000433D0000}"/>
    <cellStyle name="40% - Accent2 74 33 2 2" xfId="15682" xr:uid="{00000000-0005-0000-0000-0000443D0000}"/>
    <cellStyle name="40% - Accent2 74 33 3" xfId="15683" xr:uid="{00000000-0005-0000-0000-0000453D0000}"/>
    <cellStyle name="40% - Accent2 74 34" xfId="15684" xr:uid="{00000000-0005-0000-0000-0000463D0000}"/>
    <cellStyle name="40% - Accent2 74 34 2" xfId="15685" xr:uid="{00000000-0005-0000-0000-0000473D0000}"/>
    <cellStyle name="40% - Accent2 74 34 2 2" xfId="15686" xr:uid="{00000000-0005-0000-0000-0000483D0000}"/>
    <cellStyle name="40% - Accent2 74 34 3" xfId="15687" xr:uid="{00000000-0005-0000-0000-0000493D0000}"/>
    <cellStyle name="40% - Accent2 74 35" xfId="15688" xr:uid="{00000000-0005-0000-0000-00004A3D0000}"/>
    <cellStyle name="40% - Accent2 74 35 2" xfId="15689" xr:uid="{00000000-0005-0000-0000-00004B3D0000}"/>
    <cellStyle name="40% - Accent2 74 35 2 2" xfId="15690" xr:uid="{00000000-0005-0000-0000-00004C3D0000}"/>
    <cellStyle name="40% - Accent2 74 35 3" xfId="15691" xr:uid="{00000000-0005-0000-0000-00004D3D0000}"/>
    <cellStyle name="40% - Accent2 74 36" xfId="15692" xr:uid="{00000000-0005-0000-0000-00004E3D0000}"/>
    <cellStyle name="40% - Accent2 74 36 2" xfId="15693" xr:uid="{00000000-0005-0000-0000-00004F3D0000}"/>
    <cellStyle name="40% - Accent2 74 36 2 2" xfId="15694" xr:uid="{00000000-0005-0000-0000-0000503D0000}"/>
    <cellStyle name="40% - Accent2 74 36 3" xfId="15695" xr:uid="{00000000-0005-0000-0000-0000513D0000}"/>
    <cellStyle name="40% - Accent2 74 4" xfId="15696" xr:uid="{00000000-0005-0000-0000-0000523D0000}"/>
    <cellStyle name="40% - Accent2 74 4 2" xfId="15697" xr:uid="{00000000-0005-0000-0000-0000533D0000}"/>
    <cellStyle name="40% - Accent2 74 4 2 2" xfId="15698" xr:uid="{00000000-0005-0000-0000-0000543D0000}"/>
    <cellStyle name="40% - Accent2 74 4 3" xfId="15699" xr:uid="{00000000-0005-0000-0000-0000553D0000}"/>
    <cellStyle name="40% - Accent2 74 5" xfId="15700" xr:uid="{00000000-0005-0000-0000-0000563D0000}"/>
    <cellStyle name="40% - Accent2 74 5 2" xfId="15701" xr:uid="{00000000-0005-0000-0000-0000573D0000}"/>
    <cellStyle name="40% - Accent2 74 5 2 2" xfId="15702" xr:uid="{00000000-0005-0000-0000-0000583D0000}"/>
    <cellStyle name="40% - Accent2 74 5 3" xfId="15703" xr:uid="{00000000-0005-0000-0000-0000593D0000}"/>
    <cellStyle name="40% - Accent2 74 6" xfId="15704" xr:uid="{00000000-0005-0000-0000-00005A3D0000}"/>
    <cellStyle name="40% - Accent2 74 6 2" xfId="15705" xr:uid="{00000000-0005-0000-0000-00005B3D0000}"/>
    <cellStyle name="40% - Accent2 74 6 2 2" xfId="15706" xr:uid="{00000000-0005-0000-0000-00005C3D0000}"/>
    <cellStyle name="40% - Accent2 74 6 3" xfId="15707" xr:uid="{00000000-0005-0000-0000-00005D3D0000}"/>
    <cellStyle name="40% - Accent2 74 7" xfId="15708" xr:uid="{00000000-0005-0000-0000-00005E3D0000}"/>
    <cellStyle name="40% - Accent2 74 7 2" xfId="15709" xr:uid="{00000000-0005-0000-0000-00005F3D0000}"/>
    <cellStyle name="40% - Accent2 74 7 2 2" xfId="15710" xr:uid="{00000000-0005-0000-0000-0000603D0000}"/>
    <cellStyle name="40% - Accent2 74 7 3" xfId="15711" xr:uid="{00000000-0005-0000-0000-0000613D0000}"/>
    <cellStyle name="40% - Accent2 74 8" xfId="15712" xr:uid="{00000000-0005-0000-0000-0000623D0000}"/>
    <cellStyle name="40% - Accent2 74 8 2" xfId="15713" xr:uid="{00000000-0005-0000-0000-0000633D0000}"/>
    <cellStyle name="40% - Accent2 74 8 2 2" xfId="15714" xr:uid="{00000000-0005-0000-0000-0000643D0000}"/>
    <cellStyle name="40% - Accent2 74 8 3" xfId="15715" xr:uid="{00000000-0005-0000-0000-0000653D0000}"/>
    <cellStyle name="40% - Accent2 74 9" xfId="15716" xr:uid="{00000000-0005-0000-0000-0000663D0000}"/>
    <cellStyle name="40% - Accent2 74 9 2" xfId="15717" xr:uid="{00000000-0005-0000-0000-0000673D0000}"/>
    <cellStyle name="40% - Accent2 74 9 2 2" xfId="15718" xr:uid="{00000000-0005-0000-0000-0000683D0000}"/>
    <cellStyle name="40% - Accent2 74 9 3" xfId="15719" xr:uid="{00000000-0005-0000-0000-0000693D0000}"/>
    <cellStyle name="40% - Accent2 75" xfId="15720" xr:uid="{00000000-0005-0000-0000-00006A3D0000}"/>
    <cellStyle name="40% - Accent2 75 10" xfId="15721" xr:uid="{00000000-0005-0000-0000-00006B3D0000}"/>
    <cellStyle name="40% - Accent2 75 10 2" xfId="15722" xr:uid="{00000000-0005-0000-0000-00006C3D0000}"/>
    <cellStyle name="40% - Accent2 75 10 2 2" xfId="15723" xr:uid="{00000000-0005-0000-0000-00006D3D0000}"/>
    <cellStyle name="40% - Accent2 75 10 3" xfId="15724" xr:uid="{00000000-0005-0000-0000-00006E3D0000}"/>
    <cellStyle name="40% - Accent2 75 11" xfId="15725" xr:uid="{00000000-0005-0000-0000-00006F3D0000}"/>
    <cellStyle name="40% - Accent2 75 11 2" xfId="15726" xr:uid="{00000000-0005-0000-0000-0000703D0000}"/>
    <cellStyle name="40% - Accent2 75 11 2 2" xfId="15727" xr:uid="{00000000-0005-0000-0000-0000713D0000}"/>
    <cellStyle name="40% - Accent2 75 11 3" xfId="15728" xr:uid="{00000000-0005-0000-0000-0000723D0000}"/>
    <cellStyle name="40% - Accent2 75 12" xfId="15729" xr:uid="{00000000-0005-0000-0000-0000733D0000}"/>
    <cellStyle name="40% - Accent2 75 12 2" xfId="15730" xr:uid="{00000000-0005-0000-0000-0000743D0000}"/>
    <cellStyle name="40% - Accent2 75 12 2 2" xfId="15731" xr:uid="{00000000-0005-0000-0000-0000753D0000}"/>
    <cellStyle name="40% - Accent2 75 12 3" xfId="15732" xr:uid="{00000000-0005-0000-0000-0000763D0000}"/>
    <cellStyle name="40% - Accent2 75 13" xfId="15733" xr:uid="{00000000-0005-0000-0000-0000773D0000}"/>
    <cellStyle name="40% - Accent2 75 13 2" xfId="15734" xr:uid="{00000000-0005-0000-0000-0000783D0000}"/>
    <cellStyle name="40% - Accent2 75 13 2 2" xfId="15735" xr:uid="{00000000-0005-0000-0000-0000793D0000}"/>
    <cellStyle name="40% - Accent2 75 13 3" xfId="15736" xr:uid="{00000000-0005-0000-0000-00007A3D0000}"/>
    <cellStyle name="40% - Accent2 75 14" xfId="15737" xr:uid="{00000000-0005-0000-0000-00007B3D0000}"/>
    <cellStyle name="40% - Accent2 75 14 2" xfId="15738" xr:uid="{00000000-0005-0000-0000-00007C3D0000}"/>
    <cellStyle name="40% - Accent2 75 14 2 2" xfId="15739" xr:uid="{00000000-0005-0000-0000-00007D3D0000}"/>
    <cellStyle name="40% - Accent2 75 14 3" xfId="15740" xr:uid="{00000000-0005-0000-0000-00007E3D0000}"/>
    <cellStyle name="40% - Accent2 75 15" xfId="15741" xr:uid="{00000000-0005-0000-0000-00007F3D0000}"/>
    <cellStyle name="40% - Accent2 75 15 2" xfId="15742" xr:uid="{00000000-0005-0000-0000-0000803D0000}"/>
    <cellStyle name="40% - Accent2 75 15 2 2" xfId="15743" xr:uid="{00000000-0005-0000-0000-0000813D0000}"/>
    <cellStyle name="40% - Accent2 75 15 3" xfId="15744" xr:uid="{00000000-0005-0000-0000-0000823D0000}"/>
    <cellStyle name="40% - Accent2 75 16" xfId="15745" xr:uid="{00000000-0005-0000-0000-0000833D0000}"/>
    <cellStyle name="40% - Accent2 75 16 2" xfId="15746" xr:uid="{00000000-0005-0000-0000-0000843D0000}"/>
    <cellStyle name="40% - Accent2 75 16 2 2" xfId="15747" xr:uid="{00000000-0005-0000-0000-0000853D0000}"/>
    <cellStyle name="40% - Accent2 75 16 3" xfId="15748" xr:uid="{00000000-0005-0000-0000-0000863D0000}"/>
    <cellStyle name="40% - Accent2 75 17" xfId="15749" xr:uid="{00000000-0005-0000-0000-0000873D0000}"/>
    <cellStyle name="40% - Accent2 75 17 2" xfId="15750" xr:uid="{00000000-0005-0000-0000-0000883D0000}"/>
    <cellStyle name="40% - Accent2 75 17 2 2" xfId="15751" xr:uid="{00000000-0005-0000-0000-0000893D0000}"/>
    <cellStyle name="40% - Accent2 75 17 3" xfId="15752" xr:uid="{00000000-0005-0000-0000-00008A3D0000}"/>
    <cellStyle name="40% - Accent2 75 18" xfId="15753" xr:uid="{00000000-0005-0000-0000-00008B3D0000}"/>
    <cellStyle name="40% - Accent2 75 18 2" xfId="15754" xr:uid="{00000000-0005-0000-0000-00008C3D0000}"/>
    <cellStyle name="40% - Accent2 75 18 2 2" xfId="15755" xr:uid="{00000000-0005-0000-0000-00008D3D0000}"/>
    <cellStyle name="40% - Accent2 75 18 3" xfId="15756" xr:uid="{00000000-0005-0000-0000-00008E3D0000}"/>
    <cellStyle name="40% - Accent2 75 19" xfId="15757" xr:uid="{00000000-0005-0000-0000-00008F3D0000}"/>
    <cellStyle name="40% - Accent2 75 19 2" xfId="15758" xr:uid="{00000000-0005-0000-0000-0000903D0000}"/>
    <cellStyle name="40% - Accent2 75 19 2 2" xfId="15759" xr:uid="{00000000-0005-0000-0000-0000913D0000}"/>
    <cellStyle name="40% - Accent2 75 19 3" xfId="15760" xr:uid="{00000000-0005-0000-0000-0000923D0000}"/>
    <cellStyle name="40% - Accent2 75 2" xfId="15761" xr:uid="{00000000-0005-0000-0000-0000933D0000}"/>
    <cellStyle name="40% - Accent2 75 2 2" xfId="15762" xr:uid="{00000000-0005-0000-0000-0000943D0000}"/>
    <cellStyle name="40% - Accent2 75 2 2 2" xfId="15763" xr:uid="{00000000-0005-0000-0000-0000953D0000}"/>
    <cellStyle name="40% - Accent2 75 2 3" xfId="15764" xr:uid="{00000000-0005-0000-0000-0000963D0000}"/>
    <cellStyle name="40% - Accent2 75 20" xfId="15765" xr:uid="{00000000-0005-0000-0000-0000973D0000}"/>
    <cellStyle name="40% - Accent2 75 20 2" xfId="15766" xr:uid="{00000000-0005-0000-0000-0000983D0000}"/>
    <cellStyle name="40% - Accent2 75 20 2 2" xfId="15767" xr:uid="{00000000-0005-0000-0000-0000993D0000}"/>
    <cellStyle name="40% - Accent2 75 20 3" xfId="15768" xr:uid="{00000000-0005-0000-0000-00009A3D0000}"/>
    <cellStyle name="40% - Accent2 75 21" xfId="15769" xr:uid="{00000000-0005-0000-0000-00009B3D0000}"/>
    <cellStyle name="40% - Accent2 75 21 2" xfId="15770" xr:uid="{00000000-0005-0000-0000-00009C3D0000}"/>
    <cellStyle name="40% - Accent2 75 21 2 2" xfId="15771" xr:uid="{00000000-0005-0000-0000-00009D3D0000}"/>
    <cellStyle name="40% - Accent2 75 21 3" xfId="15772" xr:uid="{00000000-0005-0000-0000-00009E3D0000}"/>
    <cellStyle name="40% - Accent2 75 22" xfId="15773" xr:uid="{00000000-0005-0000-0000-00009F3D0000}"/>
    <cellStyle name="40% - Accent2 75 22 2" xfId="15774" xr:uid="{00000000-0005-0000-0000-0000A03D0000}"/>
    <cellStyle name="40% - Accent2 75 22 2 2" xfId="15775" xr:uid="{00000000-0005-0000-0000-0000A13D0000}"/>
    <cellStyle name="40% - Accent2 75 22 3" xfId="15776" xr:uid="{00000000-0005-0000-0000-0000A23D0000}"/>
    <cellStyle name="40% - Accent2 75 23" xfId="15777" xr:uid="{00000000-0005-0000-0000-0000A33D0000}"/>
    <cellStyle name="40% - Accent2 75 23 2" xfId="15778" xr:uid="{00000000-0005-0000-0000-0000A43D0000}"/>
    <cellStyle name="40% - Accent2 75 23 2 2" xfId="15779" xr:uid="{00000000-0005-0000-0000-0000A53D0000}"/>
    <cellStyle name="40% - Accent2 75 23 3" xfId="15780" xr:uid="{00000000-0005-0000-0000-0000A63D0000}"/>
    <cellStyle name="40% - Accent2 75 24" xfId="15781" xr:uid="{00000000-0005-0000-0000-0000A73D0000}"/>
    <cellStyle name="40% - Accent2 75 24 2" xfId="15782" xr:uid="{00000000-0005-0000-0000-0000A83D0000}"/>
    <cellStyle name="40% - Accent2 75 24 2 2" xfId="15783" xr:uid="{00000000-0005-0000-0000-0000A93D0000}"/>
    <cellStyle name="40% - Accent2 75 24 3" xfId="15784" xr:uid="{00000000-0005-0000-0000-0000AA3D0000}"/>
    <cellStyle name="40% - Accent2 75 25" xfId="15785" xr:uid="{00000000-0005-0000-0000-0000AB3D0000}"/>
    <cellStyle name="40% - Accent2 75 25 2" xfId="15786" xr:uid="{00000000-0005-0000-0000-0000AC3D0000}"/>
    <cellStyle name="40% - Accent2 75 25 2 2" xfId="15787" xr:uid="{00000000-0005-0000-0000-0000AD3D0000}"/>
    <cellStyle name="40% - Accent2 75 25 3" xfId="15788" xr:uid="{00000000-0005-0000-0000-0000AE3D0000}"/>
    <cellStyle name="40% - Accent2 75 26" xfId="15789" xr:uid="{00000000-0005-0000-0000-0000AF3D0000}"/>
    <cellStyle name="40% - Accent2 75 26 2" xfId="15790" xr:uid="{00000000-0005-0000-0000-0000B03D0000}"/>
    <cellStyle name="40% - Accent2 75 26 2 2" xfId="15791" xr:uid="{00000000-0005-0000-0000-0000B13D0000}"/>
    <cellStyle name="40% - Accent2 75 26 3" xfId="15792" xr:uid="{00000000-0005-0000-0000-0000B23D0000}"/>
    <cellStyle name="40% - Accent2 75 27" xfId="15793" xr:uid="{00000000-0005-0000-0000-0000B33D0000}"/>
    <cellStyle name="40% - Accent2 75 27 2" xfId="15794" xr:uid="{00000000-0005-0000-0000-0000B43D0000}"/>
    <cellStyle name="40% - Accent2 75 27 2 2" xfId="15795" xr:uid="{00000000-0005-0000-0000-0000B53D0000}"/>
    <cellStyle name="40% - Accent2 75 27 3" xfId="15796" xr:uid="{00000000-0005-0000-0000-0000B63D0000}"/>
    <cellStyle name="40% - Accent2 75 28" xfId="15797" xr:uid="{00000000-0005-0000-0000-0000B73D0000}"/>
    <cellStyle name="40% - Accent2 75 28 2" xfId="15798" xr:uid="{00000000-0005-0000-0000-0000B83D0000}"/>
    <cellStyle name="40% - Accent2 75 28 2 2" xfId="15799" xr:uid="{00000000-0005-0000-0000-0000B93D0000}"/>
    <cellStyle name="40% - Accent2 75 28 3" xfId="15800" xr:uid="{00000000-0005-0000-0000-0000BA3D0000}"/>
    <cellStyle name="40% - Accent2 75 29" xfId="15801" xr:uid="{00000000-0005-0000-0000-0000BB3D0000}"/>
    <cellStyle name="40% - Accent2 75 29 2" xfId="15802" xr:uid="{00000000-0005-0000-0000-0000BC3D0000}"/>
    <cellStyle name="40% - Accent2 75 29 2 2" xfId="15803" xr:uid="{00000000-0005-0000-0000-0000BD3D0000}"/>
    <cellStyle name="40% - Accent2 75 29 3" xfId="15804" xr:uid="{00000000-0005-0000-0000-0000BE3D0000}"/>
    <cellStyle name="40% - Accent2 75 3" xfId="15805" xr:uid="{00000000-0005-0000-0000-0000BF3D0000}"/>
    <cellStyle name="40% - Accent2 75 3 2" xfId="15806" xr:uid="{00000000-0005-0000-0000-0000C03D0000}"/>
    <cellStyle name="40% - Accent2 75 3 2 2" xfId="15807" xr:uid="{00000000-0005-0000-0000-0000C13D0000}"/>
    <cellStyle name="40% - Accent2 75 3 3" xfId="15808" xr:uid="{00000000-0005-0000-0000-0000C23D0000}"/>
    <cellStyle name="40% - Accent2 75 30" xfId="15809" xr:uid="{00000000-0005-0000-0000-0000C33D0000}"/>
    <cellStyle name="40% - Accent2 75 30 2" xfId="15810" xr:uid="{00000000-0005-0000-0000-0000C43D0000}"/>
    <cellStyle name="40% - Accent2 75 30 2 2" xfId="15811" xr:uid="{00000000-0005-0000-0000-0000C53D0000}"/>
    <cellStyle name="40% - Accent2 75 30 3" xfId="15812" xr:uid="{00000000-0005-0000-0000-0000C63D0000}"/>
    <cellStyle name="40% - Accent2 75 31" xfId="15813" xr:uid="{00000000-0005-0000-0000-0000C73D0000}"/>
    <cellStyle name="40% - Accent2 75 31 2" xfId="15814" xr:uid="{00000000-0005-0000-0000-0000C83D0000}"/>
    <cellStyle name="40% - Accent2 75 31 2 2" xfId="15815" xr:uid="{00000000-0005-0000-0000-0000C93D0000}"/>
    <cellStyle name="40% - Accent2 75 31 3" xfId="15816" xr:uid="{00000000-0005-0000-0000-0000CA3D0000}"/>
    <cellStyle name="40% - Accent2 75 32" xfId="15817" xr:uid="{00000000-0005-0000-0000-0000CB3D0000}"/>
    <cellStyle name="40% - Accent2 75 32 2" xfId="15818" xr:uid="{00000000-0005-0000-0000-0000CC3D0000}"/>
    <cellStyle name="40% - Accent2 75 32 2 2" xfId="15819" xr:uid="{00000000-0005-0000-0000-0000CD3D0000}"/>
    <cellStyle name="40% - Accent2 75 32 3" xfId="15820" xr:uid="{00000000-0005-0000-0000-0000CE3D0000}"/>
    <cellStyle name="40% - Accent2 75 33" xfId="15821" xr:uid="{00000000-0005-0000-0000-0000CF3D0000}"/>
    <cellStyle name="40% - Accent2 75 33 2" xfId="15822" xr:uid="{00000000-0005-0000-0000-0000D03D0000}"/>
    <cellStyle name="40% - Accent2 75 33 2 2" xfId="15823" xr:uid="{00000000-0005-0000-0000-0000D13D0000}"/>
    <cellStyle name="40% - Accent2 75 33 3" xfId="15824" xr:uid="{00000000-0005-0000-0000-0000D23D0000}"/>
    <cellStyle name="40% - Accent2 75 34" xfId="15825" xr:uid="{00000000-0005-0000-0000-0000D33D0000}"/>
    <cellStyle name="40% - Accent2 75 34 2" xfId="15826" xr:uid="{00000000-0005-0000-0000-0000D43D0000}"/>
    <cellStyle name="40% - Accent2 75 34 2 2" xfId="15827" xr:uid="{00000000-0005-0000-0000-0000D53D0000}"/>
    <cellStyle name="40% - Accent2 75 34 3" xfId="15828" xr:uid="{00000000-0005-0000-0000-0000D63D0000}"/>
    <cellStyle name="40% - Accent2 75 35" xfId="15829" xr:uid="{00000000-0005-0000-0000-0000D73D0000}"/>
    <cellStyle name="40% - Accent2 75 35 2" xfId="15830" xr:uid="{00000000-0005-0000-0000-0000D83D0000}"/>
    <cellStyle name="40% - Accent2 75 35 2 2" xfId="15831" xr:uid="{00000000-0005-0000-0000-0000D93D0000}"/>
    <cellStyle name="40% - Accent2 75 35 3" xfId="15832" xr:uid="{00000000-0005-0000-0000-0000DA3D0000}"/>
    <cellStyle name="40% - Accent2 75 36" xfId="15833" xr:uid="{00000000-0005-0000-0000-0000DB3D0000}"/>
    <cellStyle name="40% - Accent2 75 36 2" xfId="15834" xr:uid="{00000000-0005-0000-0000-0000DC3D0000}"/>
    <cellStyle name="40% - Accent2 75 36 2 2" xfId="15835" xr:uid="{00000000-0005-0000-0000-0000DD3D0000}"/>
    <cellStyle name="40% - Accent2 75 36 3" xfId="15836" xr:uid="{00000000-0005-0000-0000-0000DE3D0000}"/>
    <cellStyle name="40% - Accent2 75 4" xfId="15837" xr:uid="{00000000-0005-0000-0000-0000DF3D0000}"/>
    <cellStyle name="40% - Accent2 75 4 2" xfId="15838" xr:uid="{00000000-0005-0000-0000-0000E03D0000}"/>
    <cellStyle name="40% - Accent2 75 4 2 2" xfId="15839" xr:uid="{00000000-0005-0000-0000-0000E13D0000}"/>
    <cellStyle name="40% - Accent2 75 4 3" xfId="15840" xr:uid="{00000000-0005-0000-0000-0000E23D0000}"/>
    <cellStyle name="40% - Accent2 75 5" xfId="15841" xr:uid="{00000000-0005-0000-0000-0000E33D0000}"/>
    <cellStyle name="40% - Accent2 75 5 2" xfId="15842" xr:uid="{00000000-0005-0000-0000-0000E43D0000}"/>
    <cellStyle name="40% - Accent2 75 5 2 2" xfId="15843" xr:uid="{00000000-0005-0000-0000-0000E53D0000}"/>
    <cellStyle name="40% - Accent2 75 5 3" xfId="15844" xr:uid="{00000000-0005-0000-0000-0000E63D0000}"/>
    <cellStyle name="40% - Accent2 75 6" xfId="15845" xr:uid="{00000000-0005-0000-0000-0000E73D0000}"/>
    <cellStyle name="40% - Accent2 75 6 2" xfId="15846" xr:uid="{00000000-0005-0000-0000-0000E83D0000}"/>
    <cellStyle name="40% - Accent2 75 6 2 2" xfId="15847" xr:uid="{00000000-0005-0000-0000-0000E93D0000}"/>
    <cellStyle name="40% - Accent2 75 6 3" xfId="15848" xr:uid="{00000000-0005-0000-0000-0000EA3D0000}"/>
    <cellStyle name="40% - Accent2 75 7" xfId="15849" xr:uid="{00000000-0005-0000-0000-0000EB3D0000}"/>
    <cellStyle name="40% - Accent2 75 7 2" xfId="15850" xr:uid="{00000000-0005-0000-0000-0000EC3D0000}"/>
    <cellStyle name="40% - Accent2 75 7 2 2" xfId="15851" xr:uid="{00000000-0005-0000-0000-0000ED3D0000}"/>
    <cellStyle name="40% - Accent2 75 7 3" xfId="15852" xr:uid="{00000000-0005-0000-0000-0000EE3D0000}"/>
    <cellStyle name="40% - Accent2 75 8" xfId="15853" xr:uid="{00000000-0005-0000-0000-0000EF3D0000}"/>
    <cellStyle name="40% - Accent2 75 8 2" xfId="15854" xr:uid="{00000000-0005-0000-0000-0000F03D0000}"/>
    <cellStyle name="40% - Accent2 75 8 2 2" xfId="15855" xr:uid="{00000000-0005-0000-0000-0000F13D0000}"/>
    <cellStyle name="40% - Accent2 75 8 3" xfId="15856" xr:uid="{00000000-0005-0000-0000-0000F23D0000}"/>
    <cellStyle name="40% - Accent2 75 9" xfId="15857" xr:uid="{00000000-0005-0000-0000-0000F33D0000}"/>
    <cellStyle name="40% - Accent2 75 9 2" xfId="15858" xr:uid="{00000000-0005-0000-0000-0000F43D0000}"/>
    <cellStyle name="40% - Accent2 75 9 2 2" xfId="15859" xr:uid="{00000000-0005-0000-0000-0000F53D0000}"/>
    <cellStyle name="40% - Accent2 75 9 3" xfId="15860" xr:uid="{00000000-0005-0000-0000-0000F63D0000}"/>
    <cellStyle name="40% - Accent2 76" xfId="15861" xr:uid="{00000000-0005-0000-0000-0000F73D0000}"/>
    <cellStyle name="40% - Accent2 76 10" xfId="15862" xr:uid="{00000000-0005-0000-0000-0000F83D0000}"/>
    <cellStyle name="40% - Accent2 76 10 2" xfId="15863" xr:uid="{00000000-0005-0000-0000-0000F93D0000}"/>
    <cellStyle name="40% - Accent2 76 10 2 2" xfId="15864" xr:uid="{00000000-0005-0000-0000-0000FA3D0000}"/>
    <cellStyle name="40% - Accent2 76 10 3" xfId="15865" xr:uid="{00000000-0005-0000-0000-0000FB3D0000}"/>
    <cellStyle name="40% - Accent2 76 11" xfId="15866" xr:uid="{00000000-0005-0000-0000-0000FC3D0000}"/>
    <cellStyle name="40% - Accent2 76 11 2" xfId="15867" xr:uid="{00000000-0005-0000-0000-0000FD3D0000}"/>
    <cellStyle name="40% - Accent2 76 11 2 2" xfId="15868" xr:uid="{00000000-0005-0000-0000-0000FE3D0000}"/>
    <cellStyle name="40% - Accent2 76 11 3" xfId="15869" xr:uid="{00000000-0005-0000-0000-0000FF3D0000}"/>
    <cellStyle name="40% - Accent2 76 12" xfId="15870" xr:uid="{00000000-0005-0000-0000-0000003E0000}"/>
    <cellStyle name="40% - Accent2 76 12 2" xfId="15871" xr:uid="{00000000-0005-0000-0000-0000013E0000}"/>
    <cellStyle name="40% - Accent2 76 12 2 2" xfId="15872" xr:uid="{00000000-0005-0000-0000-0000023E0000}"/>
    <cellStyle name="40% - Accent2 76 12 3" xfId="15873" xr:uid="{00000000-0005-0000-0000-0000033E0000}"/>
    <cellStyle name="40% - Accent2 76 13" xfId="15874" xr:uid="{00000000-0005-0000-0000-0000043E0000}"/>
    <cellStyle name="40% - Accent2 76 13 2" xfId="15875" xr:uid="{00000000-0005-0000-0000-0000053E0000}"/>
    <cellStyle name="40% - Accent2 76 13 2 2" xfId="15876" xr:uid="{00000000-0005-0000-0000-0000063E0000}"/>
    <cellStyle name="40% - Accent2 76 13 3" xfId="15877" xr:uid="{00000000-0005-0000-0000-0000073E0000}"/>
    <cellStyle name="40% - Accent2 76 14" xfId="15878" xr:uid="{00000000-0005-0000-0000-0000083E0000}"/>
    <cellStyle name="40% - Accent2 76 14 2" xfId="15879" xr:uid="{00000000-0005-0000-0000-0000093E0000}"/>
    <cellStyle name="40% - Accent2 76 14 2 2" xfId="15880" xr:uid="{00000000-0005-0000-0000-00000A3E0000}"/>
    <cellStyle name="40% - Accent2 76 14 3" xfId="15881" xr:uid="{00000000-0005-0000-0000-00000B3E0000}"/>
    <cellStyle name="40% - Accent2 76 15" xfId="15882" xr:uid="{00000000-0005-0000-0000-00000C3E0000}"/>
    <cellStyle name="40% - Accent2 76 15 2" xfId="15883" xr:uid="{00000000-0005-0000-0000-00000D3E0000}"/>
    <cellStyle name="40% - Accent2 76 15 2 2" xfId="15884" xr:uid="{00000000-0005-0000-0000-00000E3E0000}"/>
    <cellStyle name="40% - Accent2 76 15 3" xfId="15885" xr:uid="{00000000-0005-0000-0000-00000F3E0000}"/>
    <cellStyle name="40% - Accent2 76 16" xfId="15886" xr:uid="{00000000-0005-0000-0000-0000103E0000}"/>
    <cellStyle name="40% - Accent2 76 16 2" xfId="15887" xr:uid="{00000000-0005-0000-0000-0000113E0000}"/>
    <cellStyle name="40% - Accent2 76 16 2 2" xfId="15888" xr:uid="{00000000-0005-0000-0000-0000123E0000}"/>
    <cellStyle name="40% - Accent2 76 16 3" xfId="15889" xr:uid="{00000000-0005-0000-0000-0000133E0000}"/>
    <cellStyle name="40% - Accent2 76 17" xfId="15890" xr:uid="{00000000-0005-0000-0000-0000143E0000}"/>
    <cellStyle name="40% - Accent2 76 17 2" xfId="15891" xr:uid="{00000000-0005-0000-0000-0000153E0000}"/>
    <cellStyle name="40% - Accent2 76 17 2 2" xfId="15892" xr:uid="{00000000-0005-0000-0000-0000163E0000}"/>
    <cellStyle name="40% - Accent2 76 17 3" xfId="15893" xr:uid="{00000000-0005-0000-0000-0000173E0000}"/>
    <cellStyle name="40% - Accent2 76 18" xfId="15894" xr:uid="{00000000-0005-0000-0000-0000183E0000}"/>
    <cellStyle name="40% - Accent2 76 18 2" xfId="15895" xr:uid="{00000000-0005-0000-0000-0000193E0000}"/>
    <cellStyle name="40% - Accent2 76 18 2 2" xfId="15896" xr:uid="{00000000-0005-0000-0000-00001A3E0000}"/>
    <cellStyle name="40% - Accent2 76 18 3" xfId="15897" xr:uid="{00000000-0005-0000-0000-00001B3E0000}"/>
    <cellStyle name="40% - Accent2 76 19" xfId="15898" xr:uid="{00000000-0005-0000-0000-00001C3E0000}"/>
    <cellStyle name="40% - Accent2 76 19 2" xfId="15899" xr:uid="{00000000-0005-0000-0000-00001D3E0000}"/>
    <cellStyle name="40% - Accent2 76 19 2 2" xfId="15900" xr:uid="{00000000-0005-0000-0000-00001E3E0000}"/>
    <cellStyle name="40% - Accent2 76 19 3" xfId="15901" xr:uid="{00000000-0005-0000-0000-00001F3E0000}"/>
    <cellStyle name="40% - Accent2 76 2" xfId="15902" xr:uid="{00000000-0005-0000-0000-0000203E0000}"/>
    <cellStyle name="40% - Accent2 76 2 2" xfId="15903" xr:uid="{00000000-0005-0000-0000-0000213E0000}"/>
    <cellStyle name="40% - Accent2 76 2 2 2" xfId="15904" xr:uid="{00000000-0005-0000-0000-0000223E0000}"/>
    <cellStyle name="40% - Accent2 76 2 3" xfId="15905" xr:uid="{00000000-0005-0000-0000-0000233E0000}"/>
    <cellStyle name="40% - Accent2 76 20" xfId="15906" xr:uid="{00000000-0005-0000-0000-0000243E0000}"/>
    <cellStyle name="40% - Accent2 76 20 2" xfId="15907" xr:uid="{00000000-0005-0000-0000-0000253E0000}"/>
    <cellStyle name="40% - Accent2 76 20 2 2" xfId="15908" xr:uid="{00000000-0005-0000-0000-0000263E0000}"/>
    <cellStyle name="40% - Accent2 76 20 3" xfId="15909" xr:uid="{00000000-0005-0000-0000-0000273E0000}"/>
    <cellStyle name="40% - Accent2 76 21" xfId="15910" xr:uid="{00000000-0005-0000-0000-0000283E0000}"/>
    <cellStyle name="40% - Accent2 76 21 2" xfId="15911" xr:uid="{00000000-0005-0000-0000-0000293E0000}"/>
    <cellStyle name="40% - Accent2 76 21 2 2" xfId="15912" xr:uid="{00000000-0005-0000-0000-00002A3E0000}"/>
    <cellStyle name="40% - Accent2 76 21 3" xfId="15913" xr:uid="{00000000-0005-0000-0000-00002B3E0000}"/>
    <cellStyle name="40% - Accent2 76 22" xfId="15914" xr:uid="{00000000-0005-0000-0000-00002C3E0000}"/>
    <cellStyle name="40% - Accent2 76 22 2" xfId="15915" xr:uid="{00000000-0005-0000-0000-00002D3E0000}"/>
    <cellStyle name="40% - Accent2 76 22 2 2" xfId="15916" xr:uid="{00000000-0005-0000-0000-00002E3E0000}"/>
    <cellStyle name="40% - Accent2 76 22 3" xfId="15917" xr:uid="{00000000-0005-0000-0000-00002F3E0000}"/>
    <cellStyle name="40% - Accent2 76 23" xfId="15918" xr:uid="{00000000-0005-0000-0000-0000303E0000}"/>
    <cellStyle name="40% - Accent2 76 23 2" xfId="15919" xr:uid="{00000000-0005-0000-0000-0000313E0000}"/>
    <cellStyle name="40% - Accent2 76 23 2 2" xfId="15920" xr:uid="{00000000-0005-0000-0000-0000323E0000}"/>
    <cellStyle name="40% - Accent2 76 23 3" xfId="15921" xr:uid="{00000000-0005-0000-0000-0000333E0000}"/>
    <cellStyle name="40% - Accent2 76 24" xfId="15922" xr:uid="{00000000-0005-0000-0000-0000343E0000}"/>
    <cellStyle name="40% - Accent2 76 24 2" xfId="15923" xr:uid="{00000000-0005-0000-0000-0000353E0000}"/>
    <cellStyle name="40% - Accent2 76 24 2 2" xfId="15924" xr:uid="{00000000-0005-0000-0000-0000363E0000}"/>
    <cellStyle name="40% - Accent2 76 24 3" xfId="15925" xr:uid="{00000000-0005-0000-0000-0000373E0000}"/>
    <cellStyle name="40% - Accent2 76 25" xfId="15926" xr:uid="{00000000-0005-0000-0000-0000383E0000}"/>
    <cellStyle name="40% - Accent2 76 25 2" xfId="15927" xr:uid="{00000000-0005-0000-0000-0000393E0000}"/>
    <cellStyle name="40% - Accent2 76 25 2 2" xfId="15928" xr:uid="{00000000-0005-0000-0000-00003A3E0000}"/>
    <cellStyle name="40% - Accent2 76 25 3" xfId="15929" xr:uid="{00000000-0005-0000-0000-00003B3E0000}"/>
    <cellStyle name="40% - Accent2 76 26" xfId="15930" xr:uid="{00000000-0005-0000-0000-00003C3E0000}"/>
    <cellStyle name="40% - Accent2 76 26 2" xfId="15931" xr:uid="{00000000-0005-0000-0000-00003D3E0000}"/>
    <cellStyle name="40% - Accent2 76 26 2 2" xfId="15932" xr:uid="{00000000-0005-0000-0000-00003E3E0000}"/>
    <cellStyle name="40% - Accent2 76 26 3" xfId="15933" xr:uid="{00000000-0005-0000-0000-00003F3E0000}"/>
    <cellStyle name="40% - Accent2 76 27" xfId="15934" xr:uid="{00000000-0005-0000-0000-0000403E0000}"/>
    <cellStyle name="40% - Accent2 76 27 2" xfId="15935" xr:uid="{00000000-0005-0000-0000-0000413E0000}"/>
    <cellStyle name="40% - Accent2 76 27 2 2" xfId="15936" xr:uid="{00000000-0005-0000-0000-0000423E0000}"/>
    <cellStyle name="40% - Accent2 76 27 3" xfId="15937" xr:uid="{00000000-0005-0000-0000-0000433E0000}"/>
    <cellStyle name="40% - Accent2 76 28" xfId="15938" xr:uid="{00000000-0005-0000-0000-0000443E0000}"/>
    <cellStyle name="40% - Accent2 76 28 2" xfId="15939" xr:uid="{00000000-0005-0000-0000-0000453E0000}"/>
    <cellStyle name="40% - Accent2 76 28 2 2" xfId="15940" xr:uid="{00000000-0005-0000-0000-0000463E0000}"/>
    <cellStyle name="40% - Accent2 76 28 3" xfId="15941" xr:uid="{00000000-0005-0000-0000-0000473E0000}"/>
    <cellStyle name="40% - Accent2 76 29" xfId="15942" xr:uid="{00000000-0005-0000-0000-0000483E0000}"/>
    <cellStyle name="40% - Accent2 76 29 2" xfId="15943" xr:uid="{00000000-0005-0000-0000-0000493E0000}"/>
    <cellStyle name="40% - Accent2 76 29 2 2" xfId="15944" xr:uid="{00000000-0005-0000-0000-00004A3E0000}"/>
    <cellStyle name="40% - Accent2 76 29 3" xfId="15945" xr:uid="{00000000-0005-0000-0000-00004B3E0000}"/>
    <cellStyle name="40% - Accent2 76 3" xfId="15946" xr:uid="{00000000-0005-0000-0000-00004C3E0000}"/>
    <cellStyle name="40% - Accent2 76 3 2" xfId="15947" xr:uid="{00000000-0005-0000-0000-00004D3E0000}"/>
    <cellStyle name="40% - Accent2 76 3 2 2" xfId="15948" xr:uid="{00000000-0005-0000-0000-00004E3E0000}"/>
    <cellStyle name="40% - Accent2 76 3 3" xfId="15949" xr:uid="{00000000-0005-0000-0000-00004F3E0000}"/>
    <cellStyle name="40% - Accent2 76 30" xfId="15950" xr:uid="{00000000-0005-0000-0000-0000503E0000}"/>
    <cellStyle name="40% - Accent2 76 30 2" xfId="15951" xr:uid="{00000000-0005-0000-0000-0000513E0000}"/>
    <cellStyle name="40% - Accent2 76 30 2 2" xfId="15952" xr:uid="{00000000-0005-0000-0000-0000523E0000}"/>
    <cellStyle name="40% - Accent2 76 30 3" xfId="15953" xr:uid="{00000000-0005-0000-0000-0000533E0000}"/>
    <cellStyle name="40% - Accent2 76 31" xfId="15954" xr:uid="{00000000-0005-0000-0000-0000543E0000}"/>
    <cellStyle name="40% - Accent2 76 31 2" xfId="15955" xr:uid="{00000000-0005-0000-0000-0000553E0000}"/>
    <cellStyle name="40% - Accent2 76 31 2 2" xfId="15956" xr:uid="{00000000-0005-0000-0000-0000563E0000}"/>
    <cellStyle name="40% - Accent2 76 31 3" xfId="15957" xr:uid="{00000000-0005-0000-0000-0000573E0000}"/>
    <cellStyle name="40% - Accent2 76 32" xfId="15958" xr:uid="{00000000-0005-0000-0000-0000583E0000}"/>
    <cellStyle name="40% - Accent2 76 32 2" xfId="15959" xr:uid="{00000000-0005-0000-0000-0000593E0000}"/>
    <cellStyle name="40% - Accent2 76 32 2 2" xfId="15960" xr:uid="{00000000-0005-0000-0000-00005A3E0000}"/>
    <cellStyle name="40% - Accent2 76 32 3" xfId="15961" xr:uid="{00000000-0005-0000-0000-00005B3E0000}"/>
    <cellStyle name="40% - Accent2 76 33" xfId="15962" xr:uid="{00000000-0005-0000-0000-00005C3E0000}"/>
    <cellStyle name="40% - Accent2 76 33 2" xfId="15963" xr:uid="{00000000-0005-0000-0000-00005D3E0000}"/>
    <cellStyle name="40% - Accent2 76 33 2 2" xfId="15964" xr:uid="{00000000-0005-0000-0000-00005E3E0000}"/>
    <cellStyle name="40% - Accent2 76 33 3" xfId="15965" xr:uid="{00000000-0005-0000-0000-00005F3E0000}"/>
    <cellStyle name="40% - Accent2 76 34" xfId="15966" xr:uid="{00000000-0005-0000-0000-0000603E0000}"/>
    <cellStyle name="40% - Accent2 76 34 2" xfId="15967" xr:uid="{00000000-0005-0000-0000-0000613E0000}"/>
    <cellStyle name="40% - Accent2 76 34 2 2" xfId="15968" xr:uid="{00000000-0005-0000-0000-0000623E0000}"/>
    <cellStyle name="40% - Accent2 76 34 3" xfId="15969" xr:uid="{00000000-0005-0000-0000-0000633E0000}"/>
    <cellStyle name="40% - Accent2 76 35" xfId="15970" xr:uid="{00000000-0005-0000-0000-0000643E0000}"/>
    <cellStyle name="40% - Accent2 76 35 2" xfId="15971" xr:uid="{00000000-0005-0000-0000-0000653E0000}"/>
    <cellStyle name="40% - Accent2 76 35 2 2" xfId="15972" xr:uid="{00000000-0005-0000-0000-0000663E0000}"/>
    <cellStyle name="40% - Accent2 76 35 3" xfId="15973" xr:uid="{00000000-0005-0000-0000-0000673E0000}"/>
    <cellStyle name="40% - Accent2 76 36" xfId="15974" xr:uid="{00000000-0005-0000-0000-0000683E0000}"/>
    <cellStyle name="40% - Accent2 76 36 2" xfId="15975" xr:uid="{00000000-0005-0000-0000-0000693E0000}"/>
    <cellStyle name="40% - Accent2 76 36 2 2" xfId="15976" xr:uid="{00000000-0005-0000-0000-00006A3E0000}"/>
    <cellStyle name="40% - Accent2 76 36 3" xfId="15977" xr:uid="{00000000-0005-0000-0000-00006B3E0000}"/>
    <cellStyle name="40% - Accent2 76 4" xfId="15978" xr:uid="{00000000-0005-0000-0000-00006C3E0000}"/>
    <cellStyle name="40% - Accent2 76 4 2" xfId="15979" xr:uid="{00000000-0005-0000-0000-00006D3E0000}"/>
    <cellStyle name="40% - Accent2 76 4 2 2" xfId="15980" xr:uid="{00000000-0005-0000-0000-00006E3E0000}"/>
    <cellStyle name="40% - Accent2 76 4 3" xfId="15981" xr:uid="{00000000-0005-0000-0000-00006F3E0000}"/>
    <cellStyle name="40% - Accent2 76 5" xfId="15982" xr:uid="{00000000-0005-0000-0000-0000703E0000}"/>
    <cellStyle name="40% - Accent2 76 5 2" xfId="15983" xr:uid="{00000000-0005-0000-0000-0000713E0000}"/>
    <cellStyle name="40% - Accent2 76 5 2 2" xfId="15984" xr:uid="{00000000-0005-0000-0000-0000723E0000}"/>
    <cellStyle name="40% - Accent2 76 5 3" xfId="15985" xr:uid="{00000000-0005-0000-0000-0000733E0000}"/>
    <cellStyle name="40% - Accent2 76 6" xfId="15986" xr:uid="{00000000-0005-0000-0000-0000743E0000}"/>
    <cellStyle name="40% - Accent2 76 6 2" xfId="15987" xr:uid="{00000000-0005-0000-0000-0000753E0000}"/>
    <cellStyle name="40% - Accent2 76 6 2 2" xfId="15988" xr:uid="{00000000-0005-0000-0000-0000763E0000}"/>
    <cellStyle name="40% - Accent2 76 6 3" xfId="15989" xr:uid="{00000000-0005-0000-0000-0000773E0000}"/>
    <cellStyle name="40% - Accent2 76 7" xfId="15990" xr:uid="{00000000-0005-0000-0000-0000783E0000}"/>
    <cellStyle name="40% - Accent2 76 7 2" xfId="15991" xr:uid="{00000000-0005-0000-0000-0000793E0000}"/>
    <cellStyle name="40% - Accent2 76 7 2 2" xfId="15992" xr:uid="{00000000-0005-0000-0000-00007A3E0000}"/>
    <cellStyle name="40% - Accent2 76 7 3" xfId="15993" xr:uid="{00000000-0005-0000-0000-00007B3E0000}"/>
    <cellStyle name="40% - Accent2 76 8" xfId="15994" xr:uid="{00000000-0005-0000-0000-00007C3E0000}"/>
    <cellStyle name="40% - Accent2 76 8 2" xfId="15995" xr:uid="{00000000-0005-0000-0000-00007D3E0000}"/>
    <cellStyle name="40% - Accent2 76 8 2 2" xfId="15996" xr:uid="{00000000-0005-0000-0000-00007E3E0000}"/>
    <cellStyle name="40% - Accent2 76 8 3" xfId="15997" xr:uid="{00000000-0005-0000-0000-00007F3E0000}"/>
    <cellStyle name="40% - Accent2 76 9" xfId="15998" xr:uid="{00000000-0005-0000-0000-0000803E0000}"/>
    <cellStyle name="40% - Accent2 76 9 2" xfId="15999" xr:uid="{00000000-0005-0000-0000-0000813E0000}"/>
    <cellStyle name="40% - Accent2 76 9 2 2" xfId="16000" xr:uid="{00000000-0005-0000-0000-0000823E0000}"/>
    <cellStyle name="40% - Accent2 76 9 3" xfId="16001" xr:uid="{00000000-0005-0000-0000-0000833E0000}"/>
    <cellStyle name="40% - Accent2 77" xfId="16002" xr:uid="{00000000-0005-0000-0000-0000843E0000}"/>
    <cellStyle name="40% - Accent2 77 10" xfId="16003" xr:uid="{00000000-0005-0000-0000-0000853E0000}"/>
    <cellStyle name="40% - Accent2 77 10 2" xfId="16004" xr:uid="{00000000-0005-0000-0000-0000863E0000}"/>
    <cellStyle name="40% - Accent2 77 10 2 2" xfId="16005" xr:uid="{00000000-0005-0000-0000-0000873E0000}"/>
    <cellStyle name="40% - Accent2 77 10 3" xfId="16006" xr:uid="{00000000-0005-0000-0000-0000883E0000}"/>
    <cellStyle name="40% - Accent2 77 11" xfId="16007" xr:uid="{00000000-0005-0000-0000-0000893E0000}"/>
    <cellStyle name="40% - Accent2 77 11 2" xfId="16008" xr:uid="{00000000-0005-0000-0000-00008A3E0000}"/>
    <cellStyle name="40% - Accent2 77 11 2 2" xfId="16009" xr:uid="{00000000-0005-0000-0000-00008B3E0000}"/>
    <cellStyle name="40% - Accent2 77 11 3" xfId="16010" xr:uid="{00000000-0005-0000-0000-00008C3E0000}"/>
    <cellStyle name="40% - Accent2 77 12" xfId="16011" xr:uid="{00000000-0005-0000-0000-00008D3E0000}"/>
    <cellStyle name="40% - Accent2 77 12 2" xfId="16012" xr:uid="{00000000-0005-0000-0000-00008E3E0000}"/>
    <cellStyle name="40% - Accent2 77 12 2 2" xfId="16013" xr:uid="{00000000-0005-0000-0000-00008F3E0000}"/>
    <cellStyle name="40% - Accent2 77 12 3" xfId="16014" xr:uid="{00000000-0005-0000-0000-0000903E0000}"/>
    <cellStyle name="40% - Accent2 77 13" xfId="16015" xr:uid="{00000000-0005-0000-0000-0000913E0000}"/>
    <cellStyle name="40% - Accent2 77 13 2" xfId="16016" xr:uid="{00000000-0005-0000-0000-0000923E0000}"/>
    <cellStyle name="40% - Accent2 77 13 2 2" xfId="16017" xr:uid="{00000000-0005-0000-0000-0000933E0000}"/>
    <cellStyle name="40% - Accent2 77 13 3" xfId="16018" xr:uid="{00000000-0005-0000-0000-0000943E0000}"/>
    <cellStyle name="40% - Accent2 77 14" xfId="16019" xr:uid="{00000000-0005-0000-0000-0000953E0000}"/>
    <cellStyle name="40% - Accent2 77 14 2" xfId="16020" xr:uid="{00000000-0005-0000-0000-0000963E0000}"/>
    <cellStyle name="40% - Accent2 77 14 2 2" xfId="16021" xr:uid="{00000000-0005-0000-0000-0000973E0000}"/>
    <cellStyle name="40% - Accent2 77 14 3" xfId="16022" xr:uid="{00000000-0005-0000-0000-0000983E0000}"/>
    <cellStyle name="40% - Accent2 77 15" xfId="16023" xr:uid="{00000000-0005-0000-0000-0000993E0000}"/>
    <cellStyle name="40% - Accent2 77 15 2" xfId="16024" xr:uid="{00000000-0005-0000-0000-00009A3E0000}"/>
    <cellStyle name="40% - Accent2 77 15 2 2" xfId="16025" xr:uid="{00000000-0005-0000-0000-00009B3E0000}"/>
    <cellStyle name="40% - Accent2 77 15 3" xfId="16026" xr:uid="{00000000-0005-0000-0000-00009C3E0000}"/>
    <cellStyle name="40% - Accent2 77 16" xfId="16027" xr:uid="{00000000-0005-0000-0000-00009D3E0000}"/>
    <cellStyle name="40% - Accent2 77 16 2" xfId="16028" xr:uid="{00000000-0005-0000-0000-00009E3E0000}"/>
    <cellStyle name="40% - Accent2 77 16 2 2" xfId="16029" xr:uid="{00000000-0005-0000-0000-00009F3E0000}"/>
    <cellStyle name="40% - Accent2 77 16 3" xfId="16030" xr:uid="{00000000-0005-0000-0000-0000A03E0000}"/>
    <cellStyle name="40% - Accent2 77 17" xfId="16031" xr:uid="{00000000-0005-0000-0000-0000A13E0000}"/>
    <cellStyle name="40% - Accent2 77 17 2" xfId="16032" xr:uid="{00000000-0005-0000-0000-0000A23E0000}"/>
    <cellStyle name="40% - Accent2 77 17 2 2" xfId="16033" xr:uid="{00000000-0005-0000-0000-0000A33E0000}"/>
    <cellStyle name="40% - Accent2 77 17 3" xfId="16034" xr:uid="{00000000-0005-0000-0000-0000A43E0000}"/>
    <cellStyle name="40% - Accent2 77 18" xfId="16035" xr:uid="{00000000-0005-0000-0000-0000A53E0000}"/>
    <cellStyle name="40% - Accent2 77 18 2" xfId="16036" xr:uid="{00000000-0005-0000-0000-0000A63E0000}"/>
    <cellStyle name="40% - Accent2 77 18 2 2" xfId="16037" xr:uid="{00000000-0005-0000-0000-0000A73E0000}"/>
    <cellStyle name="40% - Accent2 77 18 3" xfId="16038" xr:uid="{00000000-0005-0000-0000-0000A83E0000}"/>
    <cellStyle name="40% - Accent2 77 19" xfId="16039" xr:uid="{00000000-0005-0000-0000-0000A93E0000}"/>
    <cellStyle name="40% - Accent2 77 19 2" xfId="16040" xr:uid="{00000000-0005-0000-0000-0000AA3E0000}"/>
    <cellStyle name="40% - Accent2 77 19 2 2" xfId="16041" xr:uid="{00000000-0005-0000-0000-0000AB3E0000}"/>
    <cellStyle name="40% - Accent2 77 19 3" xfId="16042" xr:uid="{00000000-0005-0000-0000-0000AC3E0000}"/>
    <cellStyle name="40% - Accent2 77 2" xfId="16043" xr:uid="{00000000-0005-0000-0000-0000AD3E0000}"/>
    <cellStyle name="40% - Accent2 77 2 2" xfId="16044" xr:uid="{00000000-0005-0000-0000-0000AE3E0000}"/>
    <cellStyle name="40% - Accent2 77 2 2 2" xfId="16045" xr:uid="{00000000-0005-0000-0000-0000AF3E0000}"/>
    <cellStyle name="40% - Accent2 77 2 3" xfId="16046" xr:uid="{00000000-0005-0000-0000-0000B03E0000}"/>
    <cellStyle name="40% - Accent2 77 20" xfId="16047" xr:uid="{00000000-0005-0000-0000-0000B13E0000}"/>
    <cellStyle name="40% - Accent2 77 20 2" xfId="16048" xr:uid="{00000000-0005-0000-0000-0000B23E0000}"/>
    <cellStyle name="40% - Accent2 77 20 2 2" xfId="16049" xr:uid="{00000000-0005-0000-0000-0000B33E0000}"/>
    <cellStyle name="40% - Accent2 77 20 3" xfId="16050" xr:uid="{00000000-0005-0000-0000-0000B43E0000}"/>
    <cellStyle name="40% - Accent2 77 21" xfId="16051" xr:uid="{00000000-0005-0000-0000-0000B53E0000}"/>
    <cellStyle name="40% - Accent2 77 21 2" xfId="16052" xr:uid="{00000000-0005-0000-0000-0000B63E0000}"/>
    <cellStyle name="40% - Accent2 77 21 2 2" xfId="16053" xr:uid="{00000000-0005-0000-0000-0000B73E0000}"/>
    <cellStyle name="40% - Accent2 77 21 3" xfId="16054" xr:uid="{00000000-0005-0000-0000-0000B83E0000}"/>
    <cellStyle name="40% - Accent2 77 22" xfId="16055" xr:uid="{00000000-0005-0000-0000-0000B93E0000}"/>
    <cellStyle name="40% - Accent2 77 22 2" xfId="16056" xr:uid="{00000000-0005-0000-0000-0000BA3E0000}"/>
    <cellStyle name="40% - Accent2 77 22 2 2" xfId="16057" xr:uid="{00000000-0005-0000-0000-0000BB3E0000}"/>
    <cellStyle name="40% - Accent2 77 22 3" xfId="16058" xr:uid="{00000000-0005-0000-0000-0000BC3E0000}"/>
    <cellStyle name="40% - Accent2 77 23" xfId="16059" xr:uid="{00000000-0005-0000-0000-0000BD3E0000}"/>
    <cellStyle name="40% - Accent2 77 23 2" xfId="16060" xr:uid="{00000000-0005-0000-0000-0000BE3E0000}"/>
    <cellStyle name="40% - Accent2 77 23 2 2" xfId="16061" xr:uid="{00000000-0005-0000-0000-0000BF3E0000}"/>
    <cellStyle name="40% - Accent2 77 23 3" xfId="16062" xr:uid="{00000000-0005-0000-0000-0000C03E0000}"/>
    <cellStyle name="40% - Accent2 77 24" xfId="16063" xr:uid="{00000000-0005-0000-0000-0000C13E0000}"/>
    <cellStyle name="40% - Accent2 77 24 2" xfId="16064" xr:uid="{00000000-0005-0000-0000-0000C23E0000}"/>
    <cellStyle name="40% - Accent2 77 24 2 2" xfId="16065" xr:uid="{00000000-0005-0000-0000-0000C33E0000}"/>
    <cellStyle name="40% - Accent2 77 24 3" xfId="16066" xr:uid="{00000000-0005-0000-0000-0000C43E0000}"/>
    <cellStyle name="40% - Accent2 77 25" xfId="16067" xr:uid="{00000000-0005-0000-0000-0000C53E0000}"/>
    <cellStyle name="40% - Accent2 77 25 2" xfId="16068" xr:uid="{00000000-0005-0000-0000-0000C63E0000}"/>
    <cellStyle name="40% - Accent2 77 25 2 2" xfId="16069" xr:uid="{00000000-0005-0000-0000-0000C73E0000}"/>
    <cellStyle name="40% - Accent2 77 25 3" xfId="16070" xr:uid="{00000000-0005-0000-0000-0000C83E0000}"/>
    <cellStyle name="40% - Accent2 77 26" xfId="16071" xr:uid="{00000000-0005-0000-0000-0000C93E0000}"/>
    <cellStyle name="40% - Accent2 77 26 2" xfId="16072" xr:uid="{00000000-0005-0000-0000-0000CA3E0000}"/>
    <cellStyle name="40% - Accent2 77 26 2 2" xfId="16073" xr:uid="{00000000-0005-0000-0000-0000CB3E0000}"/>
    <cellStyle name="40% - Accent2 77 26 3" xfId="16074" xr:uid="{00000000-0005-0000-0000-0000CC3E0000}"/>
    <cellStyle name="40% - Accent2 77 27" xfId="16075" xr:uid="{00000000-0005-0000-0000-0000CD3E0000}"/>
    <cellStyle name="40% - Accent2 77 27 2" xfId="16076" xr:uid="{00000000-0005-0000-0000-0000CE3E0000}"/>
    <cellStyle name="40% - Accent2 77 27 2 2" xfId="16077" xr:uid="{00000000-0005-0000-0000-0000CF3E0000}"/>
    <cellStyle name="40% - Accent2 77 27 3" xfId="16078" xr:uid="{00000000-0005-0000-0000-0000D03E0000}"/>
    <cellStyle name="40% - Accent2 77 28" xfId="16079" xr:uid="{00000000-0005-0000-0000-0000D13E0000}"/>
    <cellStyle name="40% - Accent2 77 28 2" xfId="16080" xr:uid="{00000000-0005-0000-0000-0000D23E0000}"/>
    <cellStyle name="40% - Accent2 77 28 2 2" xfId="16081" xr:uid="{00000000-0005-0000-0000-0000D33E0000}"/>
    <cellStyle name="40% - Accent2 77 28 3" xfId="16082" xr:uid="{00000000-0005-0000-0000-0000D43E0000}"/>
    <cellStyle name="40% - Accent2 77 29" xfId="16083" xr:uid="{00000000-0005-0000-0000-0000D53E0000}"/>
    <cellStyle name="40% - Accent2 77 29 2" xfId="16084" xr:uid="{00000000-0005-0000-0000-0000D63E0000}"/>
    <cellStyle name="40% - Accent2 77 29 2 2" xfId="16085" xr:uid="{00000000-0005-0000-0000-0000D73E0000}"/>
    <cellStyle name="40% - Accent2 77 29 3" xfId="16086" xr:uid="{00000000-0005-0000-0000-0000D83E0000}"/>
    <cellStyle name="40% - Accent2 77 3" xfId="16087" xr:uid="{00000000-0005-0000-0000-0000D93E0000}"/>
    <cellStyle name="40% - Accent2 77 3 2" xfId="16088" xr:uid="{00000000-0005-0000-0000-0000DA3E0000}"/>
    <cellStyle name="40% - Accent2 77 3 2 2" xfId="16089" xr:uid="{00000000-0005-0000-0000-0000DB3E0000}"/>
    <cellStyle name="40% - Accent2 77 3 3" xfId="16090" xr:uid="{00000000-0005-0000-0000-0000DC3E0000}"/>
    <cellStyle name="40% - Accent2 77 30" xfId="16091" xr:uid="{00000000-0005-0000-0000-0000DD3E0000}"/>
    <cellStyle name="40% - Accent2 77 30 2" xfId="16092" xr:uid="{00000000-0005-0000-0000-0000DE3E0000}"/>
    <cellStyle name="40% - Accent2 77 30 2 2" xfId="16093" xr:uid="{00000000-0005-0000-0000-0000DF3E0000}"/>
    <cellStyle name="40% - Accent2 77 30 3" xfId="16094" xr:uid="{00000000-0005-0000-0000-0000E03E0000}"/>
    <cellStyle name="40% - Accent2 77 31" xfId="16095" xr:uid="{00000000-0005-0000-0000-0000E13E0000}"/>
    <cellStyle name="40% - Accent2 77 31 2" xfId="16096" xr:uid="{00000000-0005-0000-0000-0000E23E0000}"/>
    <cellStyle name="40% - Accent2 77 31 2 2" xfId="16097" xr:uid="{00000000-0005-0000-0000-0000E33E0000}"/>
    <cellStyle name="40% - Accent2 77 31 3" xfId="16098" xr:uid="{00000000-0005-0000-0000-0000E43E0000}"/>
    <cellStyle name="40% - Accent2 77 32" xfId="16099" xr:uid="{00000000-0005-0000-0000-0000E53E0000}"/>
    <cellStyle name="40% - Accent2 77 32 2" xfId="16100" xr:uid="{00000000-0005-0000-0000-0000E63E0000}"/>
    <cellStyle name="40% - Accent2 77 32 2 2" xfId="16101" xr:uid="{00000000-0005-0000-0000-0000E73E0000}"/>
    <cellStyle name="40% - Accent2 77 32 3" xfId="16102" xr:uid="{00000000-0005-0000-0000-0000E83E0000}"/>
    <cellStyle name="40% - Accent2 77 33" xfId="16103" xr:uid="{00000000-0005-0000-0000-0000E93E0000}"/>
    <cellStyle name="40% - Accent2 77 33 2" xfId="16104" xr:uid="{00000000-0005-0000-0000-0000EA3E0000}"/>
    <cellStyle name="40% - Accent2 77 33 2 2" xfId="16105" xr:uid="{00000000-0005-0000-0000-0000EB3E0000}"/>
    <cellStyle name="40% - Accent2 77 33 3" xfId="16106" xr:uid="{00000000-0005-0000-0000-0000EC3E0000}"/>
    <cellStyle name="40% - Accent2 77 34" xfId="16107" xr:uid="{00000000-0005-0000-0000-0000ED3E0000}"/>
    <cellStyle name="40% - Accent2 77 34 2" xfId="16108" xr:uid="{00000000-0005-0000-0000-0000EE3E0000}"/>
    <cellStyle name="40% - Accent2 77 34 2 2" xfId="16109" xr:uid="{00000000-0005-0000-0000-0000EF3E0000}"/>
    <cellStyle name="40% - Accent2 77 34 3" xfId="16110" xr:uid="{00000000-0005-0000-0000-0000F03E0000}"/>
    <cellStyle name="40% - Accent2 77 35" xfId="16111" xr:uid="{00000000-0005-0000-0000-0000F13E0000}"/>
    <cellStyle name="40% - Accent2 77 35 2" xfId="16112" xr:uid="{00000000-0005-0000-0000-0000F23E0000}"/>
    <cellStyle name="40% - Accent2 77 35 2 2" xfId="16113" xr:uid="{00000000-0005-0000-0000-0000F33E0000}"/>
    <cellStyle name="40% - Accent2 77 35 3" xfId="16114" xr:uid="{00000000-0005-0000-0000-0000F43E0000}"/>
    <cellStyle name="40% - Accent2 77 36" xfId="16115" xr:uid="{00000000-0005-0000-0000-0000F53E0000}"/>
    <cellStyle name="40% - Accent2 77 36 2" xfId="16116" xr:uid="{00000000-0005-0000-0000-0000F63E0000}"/>
    <cellStyle name="40% - Accent2 77 36 2 2" xfId="16117" xr:uid="{00000000-0005-0000-0000-0000F73E0000}"/>
    <cellStyle name="40% - Accent2 77 36 3" xfId="16118" xr:uid="{00000000-0005-0000-0000-0000F83E0000}"/>
    <cellStyle name="40% - Accent2 77 4" xfId="16119" xr:uid="{00000000-0005-0000-0000-0000F93E0000}"/>
    <cellStyle name="40% - Accent2 77 4 2" xfId="16120" xr:uid="{00000000-0005-0000-0000-0000FA3E0000}"/>
    <cellStyle name="40% - Accent2 77 4 2 2" xfId="16121" xr:uid="{00000000-0005-0000-0000-0000FB3E0000}"/>
    <cellStyle name="40% - Accent2 77 4 3" xfId="16122" xr:uid="{00000000-0005-0000-0000-0000FC3E0000}"/>
    <cellStyle name="40% - Accent2 77 5" xfId="16123" xr:uid="{00000000-0005-0000-0000-0000FD3E0000}"/>
    <cellStyle name="40% - Accent2 77 5 2" xfId="16124" xr:uid="{00000000-0005-0000-0000-0000FE3E0000}"/>
    <cellStyle name="40% - Accent2 77 5 2 2" xfId="16125" xr:uid="{00000000-0005-0000-0000-0000FF3E0000}"/>
    <cellStyle name="40% - Accent2 77 5 3" xfId="16126" xr:uid="{00000000-0005-0000-0000-0000003F0000}"/>
    <cellStyle name="40% - Accent2 77 6" xfId="16127" xr:uid="{00000000-0005-0000-0000-0000013F0000}"/>
    <cellStyle name="40% - Accent2 77 6 2" xfId="16128" xr:uid="{00000000-0005-0000-0000-0000023F0000}"/>
    <cellStyle name="40% - Accent2 77 6 2 2" xfId="16129" xr:uid="{00000000-0005-0000-0000-0000033F0000}"/>
    <cellStyle name="40% - Accent2 77 6 3" xfId="16130" xr:uid="{00000000-0005-0000-0000-0000043F0000}"/>
    <cellStyle name="40% - Accent2 77 7" xfId="16131" xr:uid="{00000000-0005-0000-0000-0000053F0000}"/>
    <cellStyle name="40% - Accent2 77 7 2" xfId="16132" xr:uid="{00000000-0005-0000-0000-0000063F0000}"/>
    <cellStyle name="40% - Accent2 77 7 2 2" xfId="16133" xr:uid="{00000000-0005-0000-0000-0000073F0000}"/>
    <cellStyle name="40% - Accent2 77 7 3" xfId="16134" xr:uid="{00000000-0005-0000-0000-0000083F0000}"/>
    <cellStyle name="40% - Accent2 77 8" xfId="16135" xr:uid="{00000000-0005-0000-0000-0000093F0000}"/>
    <cellStyle name="40% - Accent2 77 8 2" xfId="16136" xr:uid="{00000000-0005-0000-0000-00000A3F0000}"/>
    <cellStyle name="40% - Accent2 77 8 2 2" xfId="16137" xr:uid="{00000000-0005-0000-0000-00000B3F0000}"/>
    <cellStyle name="40% - Accent2 77 8 3" xfId="16138" xr:uid="{00000000-0005-0000-0000-00000C3F0000}"/>
    <cellStyle name="40% - Accent2 77 9" xfId="16139" xr:uid="{00000000-0005-0000-0000-00000D3F0000}"/>
    <cellStyle name="40% - Accent2 77 9 2" xfId="16140" xr:uid="{00000000-0005-0000-0000-00000E3F0000}"/>
    <cellStyle name="40% - Accent2 77 9 2 2" xfId="16141" xr:uid="{00000000-0005-0000-0000-00000F3F0000}"/>
    <cellStyle name="40% - Accent2 77 9 3" xfId="16142" xr:uid="{00000000-0005-0000-0000-0000103F0000}"/>
    <cellStyle name="40% - Accent2 78" xfId="16143" xr:uid="{00000000-0005-0000-0000-0000113F0000}"/>
    <cellStyle name="40% - Accent2 78 2" xfId="16144" xr:uid="{00000000-0005-0000-0000-0000123F0000}"/>
    <cellStyle name="40% - Accent2 79" xfId="16145" xr:uid="{00000000-0005-0000-0000-0000133F0000}"/>
    <cellStyle name="40% - Accent2 79 10" xfId="16146" xr:uid="{00000000-0005-0000-0000-0000143F0000}"/>
    <cellStyle name="40% - Accent2 79 10 2" xfId="16147" xr:uid="{00000000-0005-0000-0000-0000153F0000}"/>
    <cellStyle name="40% - Accent2 79 10 2 2" xfId="16148" xr:uid="{00000000-0005-0000-0000-0000163F0000}"/>
    <cellStyle name="40% - Accent2 79 10 3" xfId="16149" xr:uid="{00000000-0005-0000-0000-0000173F0000}"/>
    <cellStyle name="40% - Accent2 79 11" xfId="16150" xr:uid="{00000000-0005-0000-0000-0000183F0000}"/>
    <cellStyle name="40% - Accent2 79 11 2" xfId="16151" xr:uid="{00000000-0005-0000-0000-0000193F0000}"/>
    <cellStyle name="40% - Accent2 79 11 2 2" xfId="16152" xr:uid="{00000000-0005-0000-0000-00001A3F0000}"/>
    <cellStyle name="40% - Accent2 79 11 3" xfId="16153" xr:uid="{00000000-0005-0000-0000-00001B3F0000}"/>
    <cellStyle name="40% - Accent2 79 12" xfId="16154" xr:uid="{00000000-0005-0000-0000-00001C3F0000}"/>
    <cellStyle name="40% - Accent2 79 12 2" xfId="16155" xr:uid="{00000000-0005-0000-0000-00001D3F0000}"/>
    <cellStyle name="40% - Accent2 79 12 2 2" xfId="16156" xr:uid="{00000000-0005-0000-0000-00001E3F0000}"/>
    <cellStyle name="40% - Accent2 79 12 3" xfId="16157" xr:uid="{00000000-0005-0000-0000-00001F3F0000}"/>
    <cellStyle name="40% - Accent2 79 13" xfId="16158" xr:uid="{00000000-0005-0000-0000-0000203F0000}"/>
    <cellStyle name="40% - Accent2 79 13 2" xfId="16159" xr:uid="{00000000-0005-0000-0000-0000213F0000}"/>
    <cellStyle name="40% - Accent2 79 13 2 2" xfId="16160" xr:uid="{00000000-0005-0000-0000-0000223F0000}"/>
    <cellStyle name="40% - Accent2 79 13 3" xfId="16161" xr:uid="{00000000-0005-0000-0000-0000233F0000}"/>
    <cellStyle name="40% - Accent2 79 14" xfId="16162" xr:uid="{00000000-0005-0000-0000-0000243F0000}"/>
    <cellStyle name="40% - Accent2 79 14 2" xfId="16163" xr:uid="{00000000-0005-0000-0000-0000253F0000}"/>
    <cellStyle name="40% - Accent2 79 14 2 2" xfId="16164" xr:uid="{00000000-0005-0000-0000-0000263F0000}"/>
    <cellStyle name="40% - Accent2 79 14 3" xfId="16165" xr:uid="{00000000-0005-0000-0000-0000273F0000}"/>
    <cellStyle name="40% - Accent2 79 15" xfId="16166" xr:uid="{00000000-0005-0000-0000-0000283F0000}"/>
    <cellStyle name="40% - Accent2 79 15 2" xfId="16167" xr:uid="{00000000-0005-0000-0000-0000293F0000}"/>
    <cellStyle name="40% - Accent2 79 15 2 2" xfId="16168" xr:uid="{00000000-0005-0000-0000-00002A3F0000}"/>
    <cellStyle name="40% - Accent2 79 15 3" xfId="16169" xr:uid="{00000000-0005-0000-0000-00002B3F0000}"/>
    <cellStyle name="40% - Accent2 79 16" xfId="16170" xr:uid="{00000000-0005-0000-0000-00002C3F0000}"/>
    <cellStyle name="40% - Accent2 79 16 2" xfId="16171" xr:uid="{00000000-0005-0000-0000-00002D3F0000}"/>
    <cellStyle name="40% - Accent2 79 16 2 2" xfId="16172" xr:uid="{00000000-0005-0000-0000-00002E3F0000}"/>
    <cellStyle name="40% - Accent2 79 16 3" xfId="16173" xr:uid="{00000000-0005-0000-0000-00002F3F0000}"/>
    <cellStyle name="40% - Accent2 79 17" xfId="16174" xr:uid="{00000000-0005-0000-0000-0000303F0000}"/>
    <cellStyle name="40% - Accent2 79 17 2" xfId="16175" xr:uid="{00000000-0005-0000-0000-0000313F0000}"/>
    <cellStyle name="40% - Accent2 79 17 2 2" xfId="16176" xr:uid="{00000000-0005-0000-0000-0000323F0000}"/>
    <cellStyle name="40% - Accent2 79 17 3" xfId="16177" xr:uid="{00000000-0005-0000-0000-0000333F0000}"/>
    <cellStyle name="40% - Accent2 79 18" xfId="16178" xr:uid="{00000000-0005-0000-0000-0000343F0000}"/>
    <cellStyle name="40% - Accent2 79 18 2" xfId="16179" xr:uid="{00000000-0005-0000-0000-0000353F0000}"/>
    <cellStyle name="40% - Accent2 79 18 2 2" xfId="16180" xr:uid="{00000000-0005-0000-0000-0000363F0000}"/>
    <cellStyle name="40% - Accent2 79 18 3" xfId="16181" xr:uid="{00000000-0005-0000-0000-0000373F0000}"/>
    <cellStyle name="40% - Accent2 79 19" xfId="16182" xr:uid="{00000000-0005-0000-0000-0000383F0000}"/>
    <cellStyle name="40% - Accent2 79 19 2" xfId="16183" xr:uid="{00000000-0005-0000-0000-0000393F0000}"/>
    <cellStyle name="40% - Accent2 79 19 2 2" xfId="16184" xr:uid="{00000000-0005-0000-0000-00003A3F0000}"/>
    <cellStyle name="40% - Accent2 79 19 3" xfId="16185" xr:uid="{00000000-0005-0000-0000-00003B3F0000}"/>
    <cellStyle name="40% - Accent2 79 2" xfId="16186" xr:uid="{00000000-0005-0000-0000-00003C3F0000}"/>
    <cellStyle name="40% - Accent2 79 2 2" xfId="16187" xr:uid="{00000000-0005-0000-0000-00003D3F0000}"/>
    <cellStyle name="40% - Accent2 79 2 2 2" xfId="16188" xr:uid="{00000000-0005-0000-0000-00003E3F0000}"/>
    <cellStyle name="40% - Accent2 79 2 3" xfId="16189" xr:uid="{00000000-0005-0000-0000-00003F3F0000}"/>
    <cellStyle name="40% - Accent2 79 20" xfId="16190" xr:uid="{00000000-0005-0000-0000-0000403F0000}"/>
    <cellStyle name="40% - Accent2 79 20 2" xfId="16191" xr:uid="{00000000-0005-0000-0000-0000413F0000}"/>
    <cellStyle name="40% - Accent2 79 20 2 2" xfId="16192" xr:uid="{00000000-0005-0000-0000-0000423F0000}"/>
    <cellStyle name="40% - Accent2 79 20 3" xfId="16193" xr:uid="{00000000-0005-0000-0000-0000433F0000}"/>
    <cellStyle name="40% - Accent2 79 21" xfId="16194" xr:uid="{00000000-0005-0000-0000-0000443F0000}"/>
    <cellStyle name="40% - Accent2 79 21 2" xfId="16195" xr:uid="{00000000-0005-0000-0000-0000453F0000}"/>
    <cellStyle name="40% - Accent2 79 21 2 2" xfId="16196" xr:uid="{00000000-0005-0000-0000-0000463F0000}"/>
    <cellStyle name="40% - Accent2 79 21 3" xfId="16197" xr:uid="{00000000-0005-0000-0000-0000473F0000}"/>
    <cellStyle name="40% - Accent2 79 22" xfId="16198" xr:uid="{00000000-0005-0000-0000-0000483F0000}"/>
    <cellStyle name="40% - Accent2 79 22 2" xfId="16199" xr:uid="{00000000-0005-0000-0000-0000493F0000}"/>
    <cellStyle name="40% - Accent2 79 22 2 2" xfId="16200" xr:uid="{00000000-0005-0000-0000-00004A3F0000}"/>
    <cellStyle name="40% - Accent2 79 22 3" xfId="16201" xr:uid="{00000000-0005-0000-0000-00004B3F0000}"/>
    <cellStyle name="40% - Accent2 79 23" xfId="16202" xr:uid="{00000000-0005-0000-0000-00004C3F0000}"/>
    <cellStyle name="40% - Accent2 79 23 2" xfId="16203" xr:uid="{00000000-0005-0000-0000-00004D3F0000}"/>
    <cellStyle name="40% - Accent2 79 23 2 2" xfId="16204" xr:uid="{00000000-0005-0000-0000-00004E3F0000}"/>
    <cellStyle name="40% - Accent2 79 23 3" xfId="16205" xr:uid="{00000000-0005-0000-0000-00004F3F0000}"/>
    <cellStyle name="40% - Accent2 79 24" xfId="16206" xr:uid="{00000000-0005-0000-0000-0000503F0000}"/>
    <cellStyle name="40% - Accent2 79 24 2" xfId="16207" xr:uid="{00000000-0005-0000-0000-0000513F0000}"/>
    <cellStyle name="40% - Accent2 79 24 2 2" xfId="16208" xr:uid="{00000000-0005-0000-0000-0000523F0000}"/>
    <cellStyle name="40% - Accent2 79 24 3" xfId="16209" xr:uid="{00000000-0005-0000-0000-0000533F0000}"/>
    <cellStyle name="40% - Accent2 79 25" xfId="16210" xr:uid="{00000000-0005-0000-0000-0000543F0000}"/>
    <cellStyle name="40% - Accent2 79 25 2" xfId="16211" xr:uid="{00000000-0005-0000-0000-0000553F0000}"/>
    <cellStyle name="40% - Accent2 79 25 2 2" xfId="16212" xr:uid="{00000000-0005-0000-0000-0000563F0000}"/>
    <cellStyle name="40% - Accent2 79 25 3" xfId="16213" xr:uid="{00000000-0005-0000-0000-0000573F0000}"/>
    <cellStyle name="40% - Accent2 79 26" xfId="16214" xr:uid="{00000000-0005-0000-0000-0000583F0000}"/>
    <cellStyle name="40% - Accent2 79 26 2" xfId="16215" xr:uid="{00000000-0005-0000-0000-0000593F0000}"/>
    <cellStyle name="40% - Accent2 79 26 2 2" xfId="16216" xr:uid="{00000000-0005-0000-0000-00005A3F0000}"/>
    <cellStyle name="40% - Accent2 79 26 3" xfId="16217" xr:uid="{00000000-0005-0000-0000-00005B3F0000}"/>
    <cellStyle name="40% - Accent2 79 27" xfId="16218" xr:uid="{00000000-0005-0000-0000-00005C3F0000}"/>
    <cellStyle name="40% - Accent2 79 27 2" xfId="16219" xr:uid="{00000000-0005-0000-0000-00005D3F0000}"/>
    <cellStyle name="40% - Accent2 79 27 2 2" xfId="16220" xr:uid="{00000000-0005-0000-0000-00005E3F0000}"/>
    <cellStyle name="40% - Accent2 79 27 3" xfId="16221" xr:uid="{00000000-0005-0000-0000-00005F3F0000}"/>
    <cellStyle name="40% - Accent2 79 28" xfId="16222" xr:uid="{00000000-0005-0000-0000-0000603F0000}"/>
    <cellStyle name="40% - Accent2 79 28 2" xfId="16223" xr:uid="{00000000-0005-0000-0000-0000613F0000}"/>
    <cellStyle name="40% - Accent2 79 28 2 2" xfId="16224" xr:uid="{00000000-0005-0000-0000-0000623F0000}"/>
    <cellStyle name="40% - Accent2 79 28 3" xfId="16225" xr:uid="{00000000-0005-0000-0000-0000633F0000}"/>
    <cellStyle name="40% - Accent2 79 29" xfId="16226" xr:uid="{00000000-0005-0000-0000-0000643F0000}"/>
    <cellStyle name="40% - Accent2 79 29 2" xfId="16227" xr:uid="{00000000-0005-0000-0000-0000653F0000}"/>
    <cellStyle name="40% - Accent2 79 29 2 2" xfId="16228" xr:uid="{00000000-0005-0000-0000-0000663F0000}"/>
    <cellStyle name="40% - Accent2 79 29 3" xfId="16229" xr:uid="{00000000-0005-0000-0000-0000673F0000}"/>
    <cellStyle name="40% - Accent2 79 3" xfId="16230" xr:uid="{00000000-0005-0000-0000-0000683F0000}"/>
    <cellStyle name="40% - Accent2 79 3 2" xfId="16231" xr:uid="{00000000-0005-0000-0000-0000693F0000}"/>
    <cellStyle name="40% - Accent2 79 3 2 2" xfId="16232" xr:uid="{00000000-0005-0000-0000-00006A3F0000}"/>
    <cellStyle name="40% - Accent2 79 3 3" xfId="16233" xr:uid="{00000000-0005-0000-0000-00006B3F0000}"/>
    <cellStyle name="40% - Accent2 79 30" xfId="16234" xr:uid="{00000000-0005-0000-0000-00006C3F0000}"/>
    <cellStyle name="40% - Accent2 79 30 2" xfId="16235" xr:uid="{00000000-0005-0000-0000-00006D3F0000}"/>
    <cellStyle name="40% - Accent2 79 30 2 2" xfId="16236" xr:uid="{00000000-0005-0000-0000-00006E3F0000}"/>
    <cellStyle name="40% - Accent2 79 30 3" xfId="16237" xr:uid="{00000000-0005-0000-0000-00006F3F0000}"/>
    <cellStyle name="40% - Accent2 79 31" xfId="16238" xr:uid="{00000000-0005-0000-0000-0000703F0000}"/>
    <cellStyle name="40% - Accent2 79 31 2" xfId="16239" xr:uid="{00000000-0005-0000-0000-0000713F0000}"/>
    <cellStyle name="40% - Accent2 79 31 2 2" xfId="16240" xr:uid="{00000000-0005-0000-0000-0000723F0000}"/>
    <cellStyle name="40% - Accent2 79 31 3" xfId="16241" xr:uid="{00000000-0005-0000-0000-0000733F0000}"/>
    <cellStyle name="40% - Accent2 79 32" xfId="16242" xr:uid="{00000000-0005-0000-0000-0000743F0000}"/>
    <cellStyle name="40% - Accent2 79 32 2" xfId="16243" xr:uid="{00000000-0005-0000-0000-0000753F0000}"/>
    <cellStyle name="40% - Accent2 79 32 2 2" xfId="16244" xr:uid="{00000000-0005-0000-0000-0000763F0000}"/>
    <cellStyle name="40% - Accent2 79 32 3" xfId="16245" xr:uid="{00000000-0005-0000-0000-0000773F0000}"/>
    <cellStyle name="40% - Accent2 79 33" xfId="16246" xr:uid="{00000000-0005-0000-0000-0000783F0000}"/>
    <cellStyle name="40% - Accent2 79 33 2" xfId="16247" xr:uid="{00000000-0005-0000-0000-0000793F0000}"/>
    <cellStyle name="40% - Accent2 79 33 2 2" xfId="16248" xr:uid="{00000000-0005-0000-0000-00007A3F0000}"/>
    <cellStyle name="40% - Accent2 79 33 3" xfId="16249" xr:uid="{00000000-0005-0000-0000-00007B3F0000}"/>
    <cellStyle name="40% - Accent2 79 34" xfId="16250" xr:uid="{00000000-0005-0000-0000-00007C3F0000}"/>
    <cellStyle name="40% - Accent2 79 34 2" xfId="16251" xr:uid="{00000000-0005-0000-0000-00007D3F0000}"/>
    <cellStyle name="40% - Accent2 79 34 2 2" xfId="16252" xr:uid="{00000000-0005-0000-0000-00007E3F0000}"/>
    <cellStyle name="40% - Accent2 79 34 3" xfId="16253" xr:uid="{00000000-0005-0000-0000-00007F3F0000}"/>
    <cellStyle name="40% - Accent2 79 35" xfId="16254" xr:uid="{00000000-0005-0000-0000-0000803F0000}"/>
    <cellStyle name="40% - Accent2 79 35 2" xfId="16255" xr:uid="{00000000-0005-0000-0000-0000813F0000}"/>
    <cellStyle name="40% - Accent2 79 35 2 2" xfId="16256" xr:uid="{00000000-0005-0000-0000-0000823F0000}"/>
    <cellStyle name="40% - Accent2 79 35 3" xfId="16257" xr:uid="{00000000-0005-0000-0000-0000833F0000}"/>
    <cellStyle name="40% - Accent2 79 36" xfId="16258" xr:uid="{00000000-0005-0000-0000-0000843F0000}"/>
    <cellStyle name="40% - Accent2 79 36 2" xfId="16259" xr:uid="{00000000-0005-0000-0000-0000853F0000}"/>
    <cellStyle name="40% - Accent2 79 36 2 2" xfId="16260" xr:uid="{00000000-0005-0000-0000-0000863F0000}"/>
    <cellStyle name="40% - Accent2 79 36 3" xfId="16261" xr:uid="{00000000-0005-0000-0000-0000873F0000}"/>
    <cellStyle name="40% - Accent2 79 4" xfId="16262" xr:uid="{00000000-0005-0000-0000-0000883F0000}"/>
    <cellStyle name="40% - Accent2 79 4 2" xfId="16263" xr:uid="{00000000-0005-0000-0000-0000893F0000}"/>
    <cellStyle name="40% - Accent2 79 4 2 2" xfId="16264" xr:uid="{00000000-0005-0000-0000-00008A3F0000}"/>
    <cellStyle name="40% - Accent2 79 4 3" xfId="16265" xr:uid="{00000000-0005-0000-0000-00008B3F0000}"/>
    <cellStyle name="40% - Accent2 79 5" xfId="16266" xr:uid="{00000000-0005-0000-0000-00008C3F0000}"/>
    <cellStyle name="40% - Accent2 79 5 2" xfId="16267" xr:uid="{00000000-0005-0000-0000-00008D3F0000}"/>
    <cellStyle name="40% - Accent2 79 5 2 2" xfId="16268" xr:uid="{00000000-0005-0000-0000-00008E3F0000}"/>
    <cellStyle name="40% - Accent2 79 5 3" xfId="16269" xr:uid="{00000000-0005-0000-0000-00008F3F0000}"/>
    <cellStyle name="40% - Accent2 79 6" xfId="16270" xr:uid="{00000000-0005-0000-0000-0000903F0000}"/>
    <cellStyle name="40% - Accent2 79 6 2" xfId="16271" xr:uid="{00000000-0005-0000-0000-0000913F0000}"/>
    <cellStyle name="40% - Accent2 79 6 2 2" xfId="16272" xr:uid="{00000000-0005-0000-0000-0000923F0000}"/>
    <cellStyle name="40% - Accent2 79 6 3" xfId="16273" xr:uid="{00000000-0005-0000-0000-0000933F0000}"/>
    <cellStyle name="40% - Accent2 79 7" xfId="16274" xr:uid="{00000000-0005-0000-0000-0000943F0000}"/>
    <cellStyle name="40% - Accent2 79 7 2" xfId="16275" xr:uid="{00000000-0005-0000-0000-0000953F0000}"/>
    <cellStyle name="40% - Accent2 79 7 2 2" xfId="16276" xr:uid="{00000000-0005-0000-0000-0000963F0000}"/>
    <cellStyle name="40% - Accent2 79 7 3" xfId="16277" xr:uid="{00000000-0005-0000-0000-0000973F0000}"/>
    <cellStyle name="40% - Accent2 79 8" xfId="16278" xr:uid="{00000000-0005-0000-0000-0000983F0000}"/>
    <cellStyle name="40% - Accent2 79 8 2" xfId="16279" xr:uid="{00000000-0005-0000-0000-0000993F0000}"/>
    <cellStyle name="40% - Accent2 79 8 2 2" xfId="16280" xr:uid="{00000000-0005-0000-0000-00009A3F0000}"/>
    <cellStyle name="40% - Accent2 79 8 3" xfId="16281" xr:uid="{00000000-0005-0000-0000-00009B3F0000}"/>
    <cellStyle name="40% - Accent2 79 9" xfId="16282" xr:uid="{00000000-0005-0000-0000-00009C3F0000}"/>
    <cellStyle name="40% - Accent2 79 9 2" xfId="16283" xr:uid="{00000000-0005-0000-0000-00009D3F0000}"/>
    <cellStyle name="40% - Accent2 79 9 2 2" xfId="16284" xr:uid="{00000000-0005-0000-0000-00009E3F0000}"/>
    <cellStyle name="40% - Accent2 79 9 3" xfId="16285" xr:uid="{00000000-0005-0000-0000-00009F3F0000}"/>
    <cellStyle name="40% - Accent2 8" xfId="16286" xr:uid="{00000000-0005-0000-0000-0000A03F0000}"/>
    <cellStyle name="40% - Accent2 8 2" xfId="16287" xr:uid="{00000000-0005-0000-0000-0000A13F0000}"/>
    <cellStyle name="40% - Accent2 8 3" xfId="16288" xr:uid="{00000000-0005-0000-0000-0000A23F0000}"/>
    <cellStyle name="40% - Accent2 80" xfId="16289" xr:uid="{00000000-0005-0000-0000-0000A33F0000}"/>
    <cellStyle name="40% - Accent2 80 2" xfId="16290" xr:uid="{00000000-0005-0000-0000-0000A43F0000}"/>
    <cellStyle name="40% - Accent2 81" xfId="16291" xr:uid="{00000000-0005-0000-0000-0000A53F0000}"/>
    <cellStyle name="40% - Accent2 81 10" xfId="16292" xr:uid="{00000000-0005-0000-0000-0000A63F0000}"/>
    <cellStyle name="40% - Accent2 81 10 2" xfId="16293" xr:uid="{00000000-0005-0000-0000-0000A73F0000}"/>
    <cellStyle name="40% - Accent2 81 10 2 2" xfId="16294" xr:uid="{00000000-0005-0000-0000-0000A83F0000}"/>
    <cellStyle name="40% - Accent2 81 10 3" xfId="16295" xr:uid="{00000000-0005-0000-0000-0000A93F0000}"/>
    <cellStyle name="40% - Accent2 81 11" xfId="16296" xr:uid="{00000000-0005-0000-0000-0000AA3F0000}"/>
    <cellStyle name="40% - Accent2 81 11 2" xfId="16297" xr:uid="{00000000-0005-0000-0000-0000AB3F0000}"/>
    <cellStyle name="40% - Accent2 81 11 2 2" xfId="16298" xr:uid="{00000000-0005-0000-0000-0000AC3F0000}"/>
    <cellStyle name="40% - Accent2 81 11 3" xfId="16299" xr:uid="{00000000-0005-0000-0000-0000AD3F0000}"/>
    <cellStyle name="40% - Accent2 81 12" xfId="16300" xr:uid="{00000000-0005-0000-0000-0000AE3F0000}"/>
    <cellStyle name="40% - Accent2 81 12 2" xfId="16301" xr:uid="{00000000-0005-0000-0000-0000AF3F0000}"/>
    <cellStyle name="40% - Accent2 81 12 2 2" xfId="16302" xr:uid="{00000000-0005-0000-0000-0000B03F0000}"/>
    <cellStyle name="40% - Accent2 81 12 3" xfId="16303" xr:uid="{00000000-0005-0000-0000-0000B13F0000}"/>
    <cellStyle name="40% - Accent2 81 13" xfId="16304" xr:uid="{00000000-0005-0000-0000-0000B23F0000}"/>
    <cellStyle name="40% - Accent2 81 13 2" xfId="16305" xr:uid="{00000000-0005-0000-0000-0000B33F0000}"/>
    <cellStyle name="40% - Accent2 81 13 2 2" xfId="16306" xr:uid="{00000000-0005-0000-0000-0000B43F0000}"/>
    <cellStyle name="40% - Accent2 81 13 3" xfId="16307" xr:uid="{00000000-0005-0000-0000-0000B53F0000}"/>
    <cellStyle name="40% - Accent2 81 14" xfId="16308" xr:uid="{00000000-0005-0000-0000-0000B63F0000}"/>
    <cellStyle name="40% - Accent2 81 14 2" xfId="16309" xr:uid="{00000000-0005-0000-0000-0000B73F0000}"/>
    <cellStyle name="40% - Accent2 81 14 2 2" xfId="16310" xr:uid="{00000000-0005-0000-0000-0000B83F0000}"/>
    <cellStyle name="40% - Accent2 81 14 3" xfId="16311" xr:uid="{00000000-0005-0000-0000-0000B93F0000}"/>
    <cellStyle name="40% - Accent2 81 15" xfId="16312" xr:uid="{00000000-0005-0000-0000-0000BA3F0000}"/>
    <cellStyle name="40% - Accent2 81 15 2" xfId="16313" xr:uid="{00000000-0005-0000-0000-0000BB3F0000}"/>
    <cellStyle name="40% - Accent2 81 15 2 2" xfId="16314" xr:uid="{00000000-0005-0000-0000-0000BC3F0000}"/>
    <cellStyle name="40% - Accent2 81 15 3" xfId="16315" xr:uid="{00000000-0005-0000-0000-0000BD3F0000}"/>
    <cellStyle name="40% - Accent2 81 16" xfId="16316" xr:uid="{00000000-0005-0000-0000-0000BE3F0000}"/>
    <cellStyle name="40% - Accent2 81 16 2" xfId="16317" xr:uid="{00000000-0005-0000-0000-0000BF3F0000}"/>
    <cellStyle name="40% - Accent2 81 16 2 2" xfId="16318" xr:uid="{00000000-0005-0000-0000-0000C03F0000}"/>
    <cellStyle name="40% - Accent2 81 16 3" xfId="16319" xr:uid="{00000000-0005-0000-0000-0000C13F0000}"/>
    <cellStyle name="40% - Accent2 81 17" xfId="16320" xr:uid="{00000000-0005-0000-0000-0000C23F0000}"/>
    <cellStyle name="40% - Accent2 81 17 2" xfId="16321" xr:uid="{00000000-0005-0000-0000-0000C33F0000}"/>
    <cellStyle name="40% - Accent2 81 17 2 2" xfId="16322" xr:uid="{00000000-0005-0000-0000-0000C43F0000}"/>
    <cellStyle name="40% - Accent2 81 17 3" xfId="16323" xr:uid="{00000000-0005-0000-0000-0000C53F0000}"/>
    <cellStyle name="40% - Accent2 81 18" xfId="16324" xr:uid="{00000000-0005-0000-0000-0000C63F0000}"/>
    <cellStyle name="40% - Accent2 81 18 2" xfId="16325" xr:uid="{00000000-0005-0000-0000-0000C73F0000}"/>
    <cellStyle name="40% - Accent2 81 18 2 2" xfId="16326" xr:uid="{00000000-0005-0000-0000-0000C83F0000}"/>
    <cellStyle name="40% - Accent2 81 18 3" xfId="16327" xr:uid="{00000000-0005-0000-0000-0000C93F0000}"/>
    <cellStyle name="40% - Accent2 81 19" xfId="16328" xr:uid="{00000000-0005-0000-0000-0000CA3F0000}"/>
    <cellStyle name="40% - Accent2 81 19 2" xfId="16329" xr:uid="{00000000-0005-0000-0000-0000CB3F0000}"/>
    <cellStyle name="40% - Accent2 81 19 2 2" xfId="16330" xr:uid="{00000000-0005-0000-0000-0000CC3F0000}"/>
    <cellStyle name="40% - Accent2 81 19 3" xfId="16331" xr:uid="{00000000-0005-0000-0000-0000CD3F0000}"/>
    <cellStyle name="40% - Accent2 81 2" xfId="16332" xr:uid="{00000000-0005-0000-0000-0000CE3F0000}"/>
    <cellStyle name="40% - Accent2 81 2 2" xfId="16333" xr:uid="{00000000-0005-0000-0000-0000CF3F0000}"/>
    <cellStyle name="40% - Accent2 81 2 2 2" xfId="16334" xr:uid="{00000000-0005-0000-0000-0000D03F0000}"/>
    <cellStyle name="40% - Accent2 81 2 3" xfId="16335" xr:uid="{00000000-0005-0000-0000-0000D13F0000}"/>
    <cellStyle name="40% - Accent2 81 20" xfId="16336" xr:uid="{00000000-0005-0000-0000-0000D23F0000}"/>
    <cellStyle name="40% - Accent2 81 20 2" xfId="16337" xr:uid="{00000000-0005-0000-0000-0000D33F0000}"/>
    <cellStyle name="40% - Accent2 81 20 2 2" xfId="16338" xr:uid="{00000000-0005-0000-0000-0000D43F0000}"/>
    <cellStyle name="40% - Accent2 81 20 3" xfId="16339" xr:uid="{00000000-0005-0000-0000-0000D53F0000}"/>
    <cellStyle name="40% - Accent2 81 21" xfId="16340" xr:uid="{00000000-0005-0000-0000-0000D63F0000}"/>
    <cellStyle name="40% - Accent2 81 21 2" xfId="16341" xr:uid="{00000000-0005-0000-0000-0000D73F0000}"/>
    <cellStyle name="40% - Accent2 81 21 2 2" xfId="16342" xr:uid="{00000000-0005-0000-0000-0000D83F0000}"/>
    <cellStyle name="40% - Accent2 81 21 3" xfId="16343" xr:uid="{00000000-0005-0000-0000-0000D93F0000}"/>
    <cellStyle name="40% - Accent2 81 22" xfId="16344" xr:uid="{00000000-0005-0000-0000-0000DA3F0000}"/>
    <cellStyle name="40% - Accent2 81 22 2" xfId="16345" xr:uid="{00000000-0005-0000-0000-0000DB3F0000}"/>
    <cellStyle name="40% - Accent2 81 22 2 2" xfId="16346" xr:uid="{00000000-0005-0000-0000-0000DC3F0000}"/>
    <cellStyle name="40% - Accent2 81 22 3" xfId="16347" xr:uid="{00000000-0005-0000-0000-0000DD3F0000}"/>
    <cellStyle name="40% - Accent2 81 23" xfId="16348" xr:uid="{00000000-0005-0000-0000-0000DE3F0000}"/>
    <cellStyle name="40% - Accent2 81 23 2" xfId="16349" xr:uid="{00000000-0005-0000-0000-0000DF3F0000}"/>
    <cellStyle name="40% - Accent2 81 23 2 2" xfId="16350" xr:uid="{00000000-0005-0000-0000-0000E03F0000}"/>
    <cellStyle name="40% - Accent2 81 23 3" xfId="16351" xr:uid="{00000000-0005-0000-0000-0000E13F0000}"/>
    <cellStyle name="40% - Accent2 81 24" xfId="16352" xr:uid="{00000000-0005-0000-0000-0000E23F0000}"/>
    <cellStyle name="40% - Accent2 81 24 2" xfId="16353" xr:uid="{00000000-0005-0000-0000-0000E33F0000}"/>
    <cellStyle name="40% - Accent2 81 24 2 2" xfId="16354" xr:uid="{00000000-0005-0000-0000-0000E43F0000}"/>
    <cellStyle name="40% - Accent2 81 24 3" xfId="16355" xr:uid="{00000000-0005-0000-0000-0000E53F0000}"/>
    <cellStyle name="40% - Accent2 81 25" xfId="16356" xr:uid="{00000000-0005-0000-0000-0000E63F0000}"/>
    <cellStyle name="40% - Accent2 81 25 2" xfId="16357" xr:uid="{00000000-0005-0000-0000-0000E73F0000}"/>
    <cellStyle name="40% - Accent2 81 25 2 2" xfId="16358" xr:uid="{00000000-0005-0000-0000-0000E83F0000}"/>
    <cellStyle name="40% - Accent2 81 25 3" xfId="16359" xr:uid="{00000000-0005-0000-0000-0000E93F0000}"/>
    <cellStyle name="40% - Accent2 81 26" xfId="16360" xr:uid="{00000000-0005-0000-0000-0000EA3F0000}"/>
    <cellStyle name="40% - Accent2 81 26 2" xfId="16361" xr:uid="{00000000-0005-0000-0000-0000EB3F0000}"/>
    <cellStyle name="40% - Accent2 81 26 2 2" xfId="16362" xr:uid="{00000000-0005-0000-0000-0000EC3F0000}"/>
    <cellStyle name="40% - Accent2 81 26 3" xfId="16363" xr:uid="{00000000-0005-0000-0000-0000ED3F0000}"/>
    <cellStyle name="40% - Accent2 81 27" xfId="16364" xr:uid="{00000000-0005-0000-0000-0000EE3F0000}"/>
    <cellStyle name="40% - Accent2 81 27 2" xfId="16365" xr:uid="{00000000-0005-0000-0000-0000EF3F0000}"/>
    <cellStyle name="40% - Accent2 81 27 2 2" xfId="16366" xr:uid="{00000000-0005-0000-0000-0000F03F0000}"/>
    <cellStyle name="40% - Accent2 81 27 3" xfId="16367" xr:uid="{00000000-0005-0000-0000-0000F13F0000}"/>
    <cellStyle name="40% - Accent2 81 28" xfId="16368" xr:uid="{00000000-0005-0000-0000-0000F23F0000}"/>
    <cellStyle name="40% - Accent2 81 28 2" xfId="16369" xr:uid="{00000000-0005-0000-0000-0000F33F0000}"/>
    <cellStyle name="40% - Accent2 81 28 2 2" xfId="16370" xr:uid="{00000000-0005-0000-0000-0000F43F0000}"/>
    <cellStyle name="40% - Accent2 81 28 3" xfId="16371" xr:uid="{00000000-0005-0000-0000-0000F53F0000}"/>
    <cellStyle name="40% - Accent2 81 29" xfId="16372" xr:uid="{00000000-0005-0000-0000-0000F63F0000}"/>
    <cellStyle name="40% - Accent2 81 29 2" xfId="16373" xr:uid="{00000000-0005-0000-0000-0000F73F0000}"/>
    <cellStyle name="40% - Accent2 81 29 2 2" xfId="16374" xr:uid="{00000000-0005-0000-0000-0000F83F0000}"/>
    <cellStyle name="40% - Accent2 81 29 3" xfId="16375" xr:uid="{00000000-0005-0000-0000-0000F93F0000}"/>
    <cellStyle name="40% - Accent2 81 3" xfId="16376" xr:uid="{00000000-0005-0000-0000-0000FA3F0000}"/>
    <cellStyle name="40% - Accent2 81 3 2" xfId="16377" xr:uid="{00000000-0005-0000-0000-0000FB3F0000}"/>
    <cellStyle name="40% - Accent2 81 3 2 2" xfId="16378" xr:uid="{00000000-0005-0000-0000-0000FC3F0000}"/>
    <cellStyle name="40% - Accent2 81 3 3" xfId="16379" xr:uid="{00000000-0005-0000-0000-0000FD3F0000}"/>
    <cellStyle name="40% - Accent2 81 30" xfId="16380" xr:uid="{00000000-0005-0000-0000-0000FE3F0000}"/>
    <cellStyle name="40% - Accent2 81 30 2" xfId="16381" xr:uid="{00000000-0005-0000-0000-0000FF3F0000}"/>
    <cellStyle name="40% - Accent2 81 30 2 2" xfId="16382" xr:uid="{00000000-0005-0000-0000-000000400000}"/>
    <cellStyle name="40% - Accent2 81 30 3" xfId="16383" xr:uid="{00000000-0005-0000-0000-000001400000}"/>
    <cellStyle name="40% - Accent2 81 31" xfId="16384" xr:uid="{00000000-0005-0000-0000-000002400000}"/>
    <cellStyle name="40% - Accent2 81 31 2" xfId="16385" xr:uid="{00000000-0005-0000-0000-000003400000}"/>
    <cellStyle name="40% - Accent2 81 31 2 2" xfId="16386" xr:uid="{00000000-0005-0000-0000-000004400000}"/>
    <cellStyle name="40% - Accent2 81 31 3" xfId="16387" xr:uid="{00000000-0005-0000-0000-000005400000}"/>
    <cellStyle name="40% - Accent2 81 32" xfId="16388" xr:uid="{00000000-0005-0000-0000-000006400000}"/>
    <cellStyle name="40% - Accent2 81 32 2" xfId="16389" xr:uid="{00000000-0005-0000-0000-000007400000}"/>
    <cellStyle name="40% - Accent2 81 32 2 2" xfId="16390" xr:uid="{00000000-0005-0000-0000-000008400000}"/>
    <cellStyle name="40% - Accent2 81 32 3" xfId="16391" xr:uid="{00000000-0005-0000-0000-000009400000}"/>
    <cellStyle name="40% - Accent2 81 33" xfId="16392" xr:uid="{00000000-0005-0000-0000-00000A400000}"/>
    <cellStyle name="40% - Accent2 81 33 2" xfId="16393" xr:uid="{00000000-0005-0000-0000-00000B400000}"/>
    <cellStyle name="40% - Accent2 81 33 2 2" xfId="16394" xr:uid="{00000000-0005-0000-0000-00000C400000}"/>
    <cellStyle name="40% - Accent2 81 33 3" xfId="16395" xr:uid="{00000000-0005-0000-0000-00000D400000}"/>
    <cellStyle name="40% - Accent2 81 34" xfId="16396" xr:uid="{00000000-0005-0000-0000-00000E400000}"/>
    <cellStyle name="40% - Accent2 81 34 2" xfId="16397" xr:uid="{00000000-0005-0000-0000-00000F400000}"/>
    <cellStyle name="40% - Accent2 81 34 2 2" xfId="16398" xr:uid="{00000000-0005-0000-0000-000010400000}"/>
    <cellStyle name="40% - Accent2 81 34 3" xfId="16399" xr:uid="{00000000-0005-0000-0000-000011400000}"/>
    <cellStyle name="40% - Accent2 81 35" xfId="16400" xr:uid="{00000000-0005-0000-0000-000012400000}"/>
    <cellStyle name="40% - Accent2 81 35 2" xfId="16401" xr:uid="{00000000-0005-0000-0000-000013400000}"/>
    <cellStyle name="40% - Accent2 81 35 2 2" xfId="16402" xr:uid="{00000000-0005-0000-0000-000014400000}"/>
    <cellStyle name="40% - Accent2 81 35 3" xfId="16403" xr:uid="{00000000-0005-0000-0000-000015400000}"/>
    <cellStyle name="40% - Accent2 81 36" xfId="16404" xr:uid="{00000000-0005-0000-0000-000016400000}"/>
    <cellStyle name="40% - Accent2 81 36 2" xfId="16405" xr:uid="{00000000-0005-0000-0000-000017400000}"/>
    <cellStyle name="40% - Accent2 81 36 2 2" xfId="16406" xr:uid="{00000000-0005-0000-0000-000018400000}"/>
    <cellStyle name="40% - Accent2 81 36 3" xfId="16407" xr:uid="{00000000-0005-0000-0000-000019400000}"/>
    <cellStyle name="40% - Accent2 81 4" xfId="16408" xr:uid="{00000000-0005-0000-0000-00001A400000}"/>
    <cellStyle name="40% - Accent2 81 4 2" xfId="16409" xr:uid="{00000000-0005-0000-0000-00001B400000}"/>
    <cellStyle name="40% - Accent2 81 4 2 2" xfId="16410" xr:uid="{00000000-0005-0000-0000-00001C400000}"/>
    <cellStyle name="40% - Accent2 81 4 3" xfId="16411" xr:uid="{00000000-0005-0000-0000-00001D400000}"/>
    <cellStyle name="40% - Accent2 81 5" xfId="16412" xr:uid="{00000000-0005-0000-0000-00001E400000}"/>
    <cellStyle name="40% - Accent2 81 5 2" xfId="16413" xr:uid="{00000000-0005-0000-0000-00001F400000}"/>
    <cellStyle name="40% - Accent2 81 5 2 2" xfId="16414" xr:uid="{00000000-0005-0000-0000-000020400000}"/>
    <cellStyle name="40% - Accent2 81 5 3" xfId="16415" xr:uid="{00000000-0005-0000-0000-000021400000}"/>
    <cellStyle name="40% - Accent2 81 6" xfId="16416" xr:uid="{00000000-0005-0000-0000-000022400000}"/>
    <cellStyle name="40% - Accent2 81 6 2" xfId="16417" xr:uid="{00000000-0005-0000-0000-000023400000}"/>
    <cellStyle name="40% - Accent2 81 6 2 2" xfId="16418" xr:uid="{00000000-0005-0000-0000-000024400000}"/>
    <cellStyle name="40% - Accent2 81 6 3" xfId="16419" xr:uid="{00000000-0005-0000-0000-000025400000}"/>
    <cellStyle name="40% - Accent2 81 7" xfId="16420" xr:uid="{00000000-0005-0000-0000-000026400000}"/>
    <cellStyle name="40% - Accent2 81 7 2" xfId="16421" xr:uid="{00000000-0005-0000-0000-000027400000}"/>
    <cellStyle name="40% - Accent2 81 7 2 2" xfId="16422" xr:uid="{00000000-0005-0000-0000-000028400000}"/>
    <cellStyle name="40% - Accent2 81 7 3" xfId="16423" xr:uid="{00000000-0005-0000-0000-000029400000}"/>
    <cellStyle name="40% - Accent2 81 8" xfId="16424" xr:uid="{00000000-0005-0000-0000-00002A400000}"/>
    <cellStyle name="40% - Accent2 81 8 2" xfId="16425" xr:uid="{00000000-0005-0000-0000-00002B400000}"/>
    <cellStyle name="40% - Accent2 81 8 2 2" xfId="16426" xr:uid="{00000000-0005-0000-0000-00002C400000}"/>
    <cellStyle name="40% - Accent2 81 8 3" xfId="16427" xr:uid="{00000000-0005-0000-0000-00002D400000}"/>
    <cellStyle name="40% - Accent2 81 9" xfId="16428" xr:uid="{00000000-0005-0000-0000-00002E400000}"/>
    <cellStyle name="40% - Accent2 81 9 2" xfId="16429" xr:uid="{00000000-0005-0000-0000-00002F400000}"/>
    <cellStyle name="40% - Accent2 81 9 2 2" xfId="16430" xr:uid="{00000000-0005-0000-0000-000030400000}"/>
    <cellStyle name="40% - Accent2 81 9 3" xfId="16431" xr:uid="{00000000-0005-0000-0000-000031400000}"/>
    <cellStyle name="40% - Accent2 82" xfId="16432" xr:uid="{00000000-0005-0000-0000-000032400000}"/>
    <cellStyle name="40% - Accent2 82 2" xfId="16433" xr:uid="{00000000-0005-0000-0000-000033400000}"/>
    <cellStyle name="40% - Accent2 83" xfId="16434" xr:uid="{00000000-0005-0000-0000-000034400000}"/>
    <cellStyle name="40% - Accent2 83 10" xfId="16435" xr:uid="{00000000-0005-0000-0000-000035400000}"/>
    <cellStyle name="40% - Accent2 83 10 2" xfId="16436" xr:uid="{00000000-0005-0000-0000-000036400000}"/>
    <cellStyle name="40% - Accent2 83 10 2 2" xfId="16437" xr:uid="{00000000-0005-0000-0000-000037400000}"/>
    <cellStyle name="40% - Accent2 83 10 3" xfId="16438" xr:uid="{00000000-0005-0000-0000-000038400000}"/>
    <cellStyle name="40% - Accent2 83 11" xfId="16439" xr:uid="{00000000-0005-0000-0000-000039400000}"/>
    <cellStyle name="40% - Accent2 83 11 2" xfId="16440" xr:uid="{00000000-0005-0000-0000-00003A400000}"/>
    <cellStyle name="40% - Accent2 83 11 2 2" xfId="16441" xr:uid="{00000000-0005-0000-0000-00003B400000}"/>
    <cellStyle name="40% - Accent2 83 11 3" xfId="16442" xr:uid="{00000000-0005-0000-0000-00003C400000}"/>
    <cellStyle name="40% - Accent2 83 12" xfId="16443" xr:uid="{00000000-0005-0000-0000-00003D400000}"/>
    <cellStyle name="40% - Accent2 83 12 2" xfId="16444" xr:uid="{00000000-0005-0000-0000-00003E400000}"/>
    <cellStyle name="40% - Accent2 83 12 2 2" xfId="16445" xr:uid="{00000000-0005-0000-0000-00003F400000}"/>
    <cellStyle name="40% - Accent2 83 12 3" xfId="16446" xr:uid="{00000000-0005-0000-0000-000040400000}"/>
    <cellStyle name="40% - Accent2 83 13" xfId="16447" xr:uid="{00000000-0005-0000-0000-000041400000}"/>
    <cellStyle name="40% - Accent2 83 13 2" xfId="16448" xr:uid="{00000000-0005-0000-0000-000042400000}"/>
    <cellStyle name="40% - Accent2 83 13 2 2" xfId="16449" xr:uid="{00000000-0005-0000-0000-000043400000}"/>
    <cellStyle name="40% - Accent2 83 13 3" xfId="16450" xr:uid="{00000000-0005-0000-0000-000044400000}"/>
    <cellStyle name="40% - Accent2 83 14" xfId="16451" xr:uid="{00000000-0005-0000-0000-000045400000}"/>
    <cellStyle name="40% - Accent2 83 14 2" xfId="16452" xr:uid="{00000000-0005-0000-0000-000046400000}"/>
    <cellStyle name="40% - Accent2 83 14 2 2" xfId="16453" xr:uid="{00000000-0005-0000-0000-000047400000}"/>
    <cellStyle name="40% - Accent2 83 14 3" xfId="16454" xr:uid="{00000000-0005-0000-0000-000048400000}"/>
    <cellStyle name="40% - Accent2 83 15" xfId="16455" xr:uid="{00000000-0005-0000-0000-000049400000}"/>
    <cellStyle name="40% - Accent2 83 15 2" xfId="16456" xr:uid="{00000000-0005-0000-0000-00004A400000}"/>
    <cellStyle name="40% - Accent2 83 15 2 2" xfId="16457" xr:uid="{00000000-0005-0000-0000-00004B400000}"/>
    <cellStyle name="40% - Accent2 83 15 3" xfId="16458" xr:uid="{00000000-0005-0000-0000-00004C400000}"/>
    <cellStyle name="40% - Accent2 83 16" xfId="16459" xr:uid="{00000000-0005-0000-0000-00004D400000}"/>
    <cellStyle name="40% - Accent2 83 16 2" xfId="16460" xr:uid="{00000000-0005-0000-0000-00004E400000}"/>
    <cellStyle name="40% - Accent2 83 16 2 2" xfId="16461" xr:uid="{00000000-0005-0000-0000-00004F400000}"/>
    <cellStyle name="40% - Accent2 83 16 3" xfId="16462" xr:uid="{00000000-0005-0000-0000-000050400000}"/>
    <cellStyle name="40% - Accent2 83 17" xfId="16463" xr:uid="{00000000-0005-0000-0000-000051400000}"/>
    <cellStyle name="40% - Accent2 83 17 2" xfId="16464" xr:uid="{00000000-0005-0000-0000-000052400000}"/>
    <cellStyle name="40% - Accent2 83 17 2 2" xfId="16465" xr:uid="{00000000-0005-0000-0000-000053400000}"/>
    <cellStyle name="40% - Accent2 83 17 3" xfId="16466" xr:uid="{00000000-0005-0000-0000-000054400000}"/>
    <cellStyle name="40% - Accent2 83 18" xfId="16467" xr:uid="{00000000-0005-0000-0000-000055400000}"/>
    <cellStyle name="40% - Accent2 83 18 2" xfId="16468" xr:uid="{00000000-0005-0000-0000-000056400000}"/>
    <cellStyle name="40% - Accent2 83 18 2 2" xfId="16469" xr:uid="{00000000-0005-0000-0000-000057400000}"/>
    <cellStyle name="40% - Accent2 83 18 3" xfId="16470" xr:uid="{00000000-0005-0000-0000-000058400000}"/>
    <cellStyle name="40% - Accent2 83 19" xfId="16471" xr:uid="{00000000-0005-0000-0000-000059400000}"/>
    <cellStyle name="40% - Accent2 83 19 2" xfId="16472" xr:uid="{00000000-0005-0000-0000-00005A400000}"/>
    <cellStyle name="40% - Accent2 83 19 2 2" xfId="16473" xr:uid="{00000000-0005-0000-0000-00005B400000}"/>
    <cellStyle name="40% - Accent2 83 19 3" xfId="16474" xr:uid="{00000000-0005-0000-0000-00005C400000}"/>
    <cellStyle name="40% - Accent2 83 2" xfId="16475" xr:uid="{00000000-0005-0000-0000-00005D400000}"/>
    <cellStyle name="40% - Accent2 83 2 2" xfId="16476" xr:uid="{00000000-0005-0000-0000-00005E400000}"/>
    <cellStyle name="40% - Accent2 83 2 2 2" xfId="16477" xr:uid="{00000000-0005-0000-0000-00005F400000}"/>
    <cellStyle name="40% - Accent2 83 2 3" xfId="16478" xr:uid="{00000000-0005-0000-0000-000060400000}"/>
    <cellStyle name="40% - Accent2 83 20" xfId="16479" xr:uid="{00000000-0005-0000-0000-000061400000}"/>
    <cellStyle name="40% - Accent2 83 20 2" xfId="16480" xr:uid="{00000000-0005-0000-0000-000062400000}"/>
    <cellStyle name="40% - Accent2 83 20 2 2" xfId="16481" xr:uid="{00000000-0005-0000-0000-000063400000}"/>
    <cellStyle name="40% - Accent2 83 20 3" xfId="16482" xr:uid="{00000000-0005-0000-0000-000064400000}"/>
    <cellStyle name="40% - Accent2 83 21" xfId="16483" xr:uid="{00000000-0005-0000-0000-000065400000}"/>
    <cellStyle name="40% - Accent2 83 21 2" xfId="16484" xr:uid="{00000000-0005-0000-0000-000066400000}"/>
    <cellStyle name="40% - Accent2 83 21 2 2" xfId="16485" xr:uid="{00000000-0005-0000-0000-000067400000}"/>
    <cellStyle name="40% - Accent2 83 21 3" xfId="16486" xr:uid="{00000000-0005-0000-0000-000068400000}"/>
    <cellStyle name="40% - Accent2 83 22" xfId="16487" xr:uid="{00000000-0005-0000-0000-000069400000}"/>
    <cellStyle name="40% - Accent2 83 22 2" xfId="16488" xr:uid="{00000000-0005-0000-0000-00006A400000}"/>
    <cellStyle name="40% - Accent2 83 22 2 2" xfId="16489" xr:uid="{00000000-0005-0000-0000-00006B400000}"/>
    <cellStyle name="40% - Accent2 83 22 3" xfId="16490" xr:uid="{00000000-0005-0000-0000-00006C400000}"/>
    <cellStyle name="40% - Accent2 83 23" xfId="16491" xr:uid="{00000000-0005-0000-0000-00006D400000}"/>
    <cellStyle name="40% - Accent2 83 23 2" xfId="16492" xr:uid="{00000000-0005-0000-0000-00006E400000}"/>
    <cellStyle name="40% - Accent2 83 23 2 2" xfId="16493" xr:uid="{00000000-0005-0000-0000-00006F400000}"/>
    <cellStyle name="40% - Accent2 83 23 3" xfId="16494" xr:uid="{00000000-0005-0000-0000-000070400000}"/>
    <cellStyle name="40% - Accent2 83 24" xfId="16495" xr:uid="{00000000-0005-0000-0000-000071400000}"/>
    <cellStyle name="40% - Accent2 83 24 2" xfId="16496" xr:uid="{00000000-0005-0000-0000-000072400000}"/>
    <cellStyle name="40% - Accent2 83 24 2 2" xfId="16497" xr:uid="{00000000-0005-0000-0000-000073400000}"/>
    <cellStyle name="40% - Accent2 83 24 3" xfId="16498" xr:uid="{00000000-0005-0000-0000-000074400000}"/>
    <cellStyle name="40% - Accent2 83 25" xfId="16499" xr:uid="{00000000-0005-0000-0000-000075400000}"/>
    <cellStyle name="40% - Accent2 83 25 2" xfId="16500" xr:uid="{00000000-0005-0000-0000-000076400000}"/>
    <cellStyle name="40% - Accent2 83 25 2 2" xfId="16501" xr:uid="{00000000-0005-0000-0000-000077400000}"/>
    <cellStyle name="40% - Accent2 83 25 3" xfId="16502" xr:uid="{00000000-0005-0000-0000-000078400000}"/>
    <cellStyle name="40% - Accent2 83 26" xfId="16503" xr:uid="{00000000-0005-0000-0000-000079400000}"/>
    <cellStyle name="40% - Accent2 83 26 2" xfId="16504" xr:uid="{00000000-0005-0000-0000-00007A400000}"/>
    <cellStyle name="40% - Accent2 83 26 2 2" xfId="16505" xr:uid="{00000000-0005-0000-0000-00007B400000}"/>
    <cellStyle name="40% - Accent2 83 26 3" xfId="16506" xr:uid="{00000000-0005-0000-0000-00007C400000}"/>
    <cellStyle name="40% - Accent2 83 27" xfId="16507" xr:uid="{00000000-0005-0000-0000-00007D400000}"/>
    <cellStyle name="40% - Accent2 83 27 2" xfId="16508" xr:uid="{00000000-0005-0000-0000-00007E400000}"/>
    <cellStyle name="40% - Accent2 83 27 2 2" xfId="16509" xr:uid="{00000000-0005-0000-0000-00007F400000}"/>
    <cellStyle name="40% - Accent2 83 27 3" xfId="16510" xr:uid="{00000000-0005-0000-0000-000080400000}"/>
    <cellStyle name="40% - Accent2 83 28" xfId="16511" xr:uid="{00000000-0005-0000-0000-000081400000}"/>
    <cellStyle name="40% - Accent2 83 28 2" xfId="16512" xr:uid="{00000000-0005-0000-0000-000082400000}"/>
    <cellStyle name="40% - Accent2 83 28 2 2" xfId="16513" xr:uid="{00000000-0005-0000-0000-000083400000}"/>
    <cellStyle name="40% - Accent2 83 28 3" xfId="16514" xr:uid="{00000000-0005-0000-0000-000084400000}"/>
    <cellStyle name="40% - Accent2 83 29" xfId="16515" xr:uid="{00000000-0005-0000-0000-000085400000}"/>
    <cellStyle name="40% - Accent2 83 29 2" xfId="16516" xr:uid="{00000000-0005-0000-0000-000086400000}"/>
    <cellStyle name="40% - Accent2 83 29 2 2" xfId="16517" xr:uid="{00000000-0005-0000-0000-000087400000}"/>
    <cellStyle name="40% - Accent2 83 29 3" xfId="16518" xr:uid="{00000000-0005-0000-0000-000088400000}"/>
    <cellStyle name="40% - Accent2 83 3" xfId="16519" xr:uid="{00000000-0005-0000-0000-000089400000}"/>
    <cellStyle name="40% - Accent2 83 3 2" xfId="16520" xr:uid="{00000000-0005-0000-0000-00008A400000}"/>
    <cellStyle name="40% - Accent2 83 3 2 2" xfId="16521" xr:uid="{00000000-0005-0000-0000-00008B400000}"/>
    <cellStyle name="40% - Accent2 83 3 3" xfId="16522" xr:uid="{00000000-0005-0000-0000-00008C400000}"/>
    <cellStyle name="40% - Accent2 83 30" xfId="16523" xr:uid="{00000000-0005-0000-0000-00008D400000}"/>
    <cellStyle name="40% - Accent2 83 30 2" xfId="16524" xr:uid="{00000000-0005-0000-0000-00008E400000}"/>
    <cellStyle name="40% - Accent2 83 30 2 2" xfId="16525" xr:uid="{00000000-0005-0000-0000-00008F400000}"/>
    <cellStyle name="40% - Accent2 83 30 3" xfId="16526" xr:uid="{00000000-0005-0000-0000-000090400000}"/>
    <cellStyle name="40% - Accent2 83 31" xfId="16527" xr:uid="{00000000-0005-0000-0000-000091400000}"/>
    <cellStyle name="40% - Accent2 83 31 2" xfId="16528" xr:uid="{00000000-0005-0000-0000-000092400000}"/>
    <cellStyle name="40% - Accent2 83 31 2 2" xfId="16529" xr:uid="{00000000-0005-0000-0000-000093400000}"/>
    <cellStyle name="40% - Accent2 83 31 3" xfId="16530" xr:uid="{00000000-0005-0000-0000-000094400000}"/>
    <cellStyle name="40% - Accent2 83 32" xfId="16531" xr:uid="{00000000-0005-0000-0000-000095400000}"/>
    <cellStyle name="40% - Accent2 83 32 2" xfId="16532" xr:uid="{00000000-0005-0000-0000-000096400000}"/>
    <cellStyle name="40% - Accent2 83 32 2 2" xfId="16533" xr:uid="{00000000-0005-0000-0000-000097400000}"/>
    <cellStyle name="40% - Accent2 83 32 3" xfId="16534" xr:uid="{00000000-0005-0000-0000-000098400000}"/>
    <cellStyle name="40% - Accent2 83 33" xfId="16535" xr:uid="{00000000-0005-0000-0000-000099400000}"/>
    <cellStyle name="40% - Accent2 83 33 2" xfId="16536" xr:uid="{00000000-0005-0000-0000-00009A400000}"/>
    <cellStyle name="40% - Accent2 83 33 2 2" xfId="16537" xr:uid="{00000000-0005-0000-0000-00009B400000}"/>
    <cellStyle name="40% - Accent2 83 33 3" xfId="16538" xr:uid="{00000000-0005-0000-0000-00009C400000}"/>
    <cellStyle name="40% - Accent2 83 34" xfId="16539" xr:uid="{00000000-0005-0000-0000-00009D400000}"/>
    <cellStyle name="40% - Accent2 83 34 2" xfId="16540" xr:uid="{00000000-0005-0000-0000-00009E400000}"/>
    <cellStyle name="40% - Accent2 83 34 2 2" xfId="16541" xr:uid="{00000000-0005-0000-0000-00009F400000}"/>
    <cellStyle name="40% - Accent2 83 34 3" xfId="16542" xr:uid="{00000000-0005-0000-0000-0000A0400000}"/>
    <cellStyle name="40% - Accent2 83 35" xfId="16543" xr:uid="{00000000-0005-0000-0000-0000A1400000}"/>
    <cellStyle name="40% - Accent2 83 35 2" xfId="16544" xr:uid="{00000000-0005-0000-0000-0000A2400000}"/>
    <cellStyle name="40% - Accent2 83 35 2 2" xfId="16545" xr:uid="{00000000-0005-0000-0000-0000A3400000}"/>
    <cellStyle name="40% - Accent2 83 35 3" xfId="16546" xr:uid="{00000000-0005-0000-0000-0000A4400000}"/>
    <cellStyle name="40% - Accent2 83 36" xfId="16547" xr:uid="{00000000-0005-0000-0000-0000A5400000}"/>
    <cellStyle name="40% - Accent2 83 36 2" xfId="16548" xr:uid="{00000000-0005-0000-0000-0000A6400000}"/>
    <cellStyle name="40% - Accent2 83 36 2 2" xfId="16549" xr:uid="{00000000-0005-0000-0000-0000A7400000}"/>
    <cellStyle name="40% - Accent2 83 36 3" xfId="16550" xr:uid="{00000000-0005-0000-0000-0000A8400000}"/>
    <cellStyle name="40% - Accent2 83 4" xfId="16551" xr:uid="{00000000-0005-0000-0000-0000A9400000}"/>
    <cellStyle name="40% - Accent2 83 4 2" xfId="16552" xr:uid="{00000000-0005-0000-0000-0000AA400000}"/>
    <cellStyle name="40% - Accent2 83 4 2 2" xfId="16553" xr:uid="{00000000-0005-0000-0000-0000AB400000}"/>
    <cellStyle name="40% - Accent2 83 4 3" xfId="16554" xr:uid="{00000000-0005-0000-0000-0000AC400000}"/>
    <cellStyle name="40% - Accent2 83 5" xfId="16555" xr:uid="{00000000-0005-0000-0000-0000AD400000}"/>
    <cellStyle name="40% - Accent2 83 5 2" xfId="16556" xr:uid="{00000000-0005-0000-0000-0000AE400000}"/>
    <cellStyle name="40% - Accent2 83 5 2 2" xfId="16557" xr:uid="{00000000-0005-0000-0000-0000AF400000}"/>
    <cellStyle name="40% - Accent2 83 5 3" xfId="16558" xr:uid="{00000000-0005-0000-0000-0000B0400000}"/>
    <cellStyle name="40% - Accent2 83 6" xfId="16559" xr:uid="{00000000-0005-0000-0000-0000B1400000}"/>
    <cellStyle name="40% - Accent2 83 6 2" xfId="16560" xr:uid="{00000000-0005-0000-0000-0000B2400000}"/>
    <cellStyle name="40% - Accent2 83 6 2 2" xfId="16561" xr:uid="{00000000-0005-0000-0000-0000B3400000}"/>
    <cellStyle name="40% - Accent2 83 6 3" xfId="16562" xr:uid="{00000000-0005-0000-0000-0000B4400000}"/>
    <cellStyle name="40% - Accent2 83 7" xfId="16563" xr:uid="{00000000-0005-0000-0000-0000B5400000}"/>
    <cellStyle name="40% - Accent2 83 7 2" xfId="16564" xr:uid="{00000000-0005-0000-0000-0000B6400000}"/>
    <cellStyle name="40% - Accent2 83 7 2 2" xfId="16565" xr:uid="{00000000-0005-0000-0000-0000B7400000}"/>
    <cellStyle name="40% - Accent2 83 7 3" xfId="16566" xr:uid="{00000000-0005-0000-0000-0000B8400000}"/>
    <cellStyle name="40% - Accent2 83 8" xfId="16567" xr:uid="{00000000-0005-0000-0000-0000B9400000}"/>
    <cellStyle name="40% - Accent2 83 8 2" xfId="16568" xr:uid="{00000000-0005-0000-0000-0000BA400000}"/>
    <cellStyle name="40% - Accent2 83 8 2 2" xfId="16569" xr:uid="{00000000-0005-0000-0000-0000BB400000}"/>
    <cellStyle name="40% - Accent2 83 8 3" xfId="16570" xr:uid="{00000000-0005-0000-0000-0000BC400000}"/>
    <cellStyle name="40% - Accent2 83 9" xfId="16571" xr:uid="{00000000-0005-0000-0000-0000BD400000}"/>
    <cellStyle name="40% - Accent2 83 9 2" xfId="16572" xr:uid="{00000000-0005-0000-0000-0000BE400000}"/>
    <cellStyle name="40% - Accent2 83 9 2 2" xfId="16573" xr:uid="{00000000-0005-0000-0000-0000BF400000}"/>
    <cellStyle name="40% - Accent2 83 9 3" xfId="16574" xr:uid="{00000000-0005-0000-0000-0000C0400000}"/>
    <cellStyle name="40% - Accent2 84" xfId="16575" xr:uid="{00000000-0005-0000-0000-0000C1400000}"/>
    <cellStyle name="40% - Accent2 84 10" xfId="16576" xr:uid="{00000000-0005-0000-0000-0000C2400000}"/>
    <cellStyle name="40% - Accent2 84 10 2" xfId="16577" xr:uid="{00000000-0005-0000-0000-0000C3400000}"/>
    <cellStyle name="40% - Accent2 84 10 2 2" xfId="16578" xr:uid="{00000000-0005-0000-0000-0000C4400000}"/>
    <cellStyle name="40% - Accent2 84 10 3" xfId="16579" xr:uid="{00000000-0005-0000-0000-0000C5400000}"/>
    <cellStyle name="40% - Accent2 84 11" xfId="16580" xr:uid="{00000000-0005-0000-0000-0000C6400000}"/>
    <cellStyle name="40% - Accent2 84 11 2" xfId="16581" xr:uid="{00000000-0005-0000-0000-0000C7400000}"/>
    <cellStyle name="40% - Accent2 84 11 2 2" xfId="16582" xr:uid="{00000000-0005-0000-0000-0000C8400000}"/>
    <cellStyle name="40% - Accent2 84 11 3" xfId="16583" xr:uid="{00000000-0005-0000-0000-0000C9400000}"/>
    <cellStyle name="40% - Accent2 84 12" xfId="16584" xr:uid="{00000000-0005-0000-0000-0000CA400000}"/>
    <cellStyle name="40% - Accent2 84 12 2" xfId="16585" xr:uid="{00000000-0005-0000-0000-0000CB400000}"/>
    <cellStyle name="40% - Accent2 84 12 2 2" xfId="16586" xr:uid="{00000000-0005-0000-0000-0000CC400000}"/>
    <cellStyle name="40% - Accent2 84 12 3" xfId="16587" xr:uid="{00000000-0005-0000-0000-0000CD400000}"/>
    <cellStyle name="40% - Accent2 84 13" xfId="16588" xr:uid="{00000000-0005-0000-0000-0000CE400000}"/>
    <cellStyle name="40% - Accent2 84 13 2" xfId="16589" xr:uid="{00000000-0005-0000-0000-0000CF400000}"/>
    <cellStyle name="40% - Accent2 84 13 2 2" xfId="16590" xr:uid="{00000000-0005-0000-0000-0000D0400000}"/>
    <cellStyle name="40% - Accent2 84 13 3" xfId="16591" xr:uid="{00000000-0005-0000-0000-0000D1400000}"/>
    <cellStyle name="40% - Accent2 84 14" xfId="16592" xr:uid="{00000000-0005-0000-0000-0000D2400000}"/>
    <cellStyle name="40% - Accent2 84 14 2" xfId="16593" xr:uid="{00000000-0005-0000-0000-0000D3400000}"/>
    <cellStyle name="40% - Accent2 84 14 2 2" xfId="16594" xr:uid="{00000000-0005-0000-0000-0000D4400000}"/>
    <cellStyle name="40% - Accent2 84 14 3" xfId="16595" xr:uid="{00000000-0005-0000-0000-0000D5400000}"/>
    <cellStyle name="40% - Accent2 84 15" xfId="16596" xr:uid="{00000000-0005-0000-0000-0000D6400000}"/>
    <cellStyle name="40% - Accent2 84 15 2" xfId="16597" xr:uid="{00000000-0005-0000-0000-0000D7400000}"/>
    <cellStyle name="40% - Accent2 84 15 2 2" xfId="16598" xr:uid="{00000000-0005-0000-0000-0000D8400000}"/>
    <cellStyle name="40% - Accent2 84 15 3" xfId="16599" xr:uid="{00000000-0005-0000-0000-0000D9400000}"/>
    <cellStyle name="40% - Accent2 84 16" xfId="16600" xr:uid="{00000000-0005-0000-0000-0000DA400000}"/>
    <cellStyle name="40% - Accent2 84 16 2" xfId="16601" xr:uid="{00000000-0005-0000-0000-0000DB400000}"/>
    <cellStyle name="40% - Accent2 84 16 2 2" xfId="16602" xr:uid="{00000000-0005-0000-0000-0000DC400000}"/>
    <cellStyle name="40% - Accent2 84 16 3" xfId="16603" xr:uid="{00000000-0005-0000-0000-0000DD400000}"/>
    <cellStyle name="40% - Accent2 84 17" xfId="16604" xr:uid="{00000000-0005-0000-0000-0000DE400000}"/>
    <cellStyle name="40% - Accent2 84 17 2" xfId="16605" xr:uid="{00000000-0005-0000-0000-0000DF400000}"/>
    <cellStyle name="40% - Accent2 84 17 2 2" xfId="16606" xr:uid="{00000000-0005-0000-0000-0000E0400000}"/>
    <cellStyle name="40% - Accent2 84 17 3" xfId="16607" xr:uid="{00000000-0005-0000-0000-0000E1400000}"/>
    <cellStyle name="40% - Accent2 84 18" xfId="16608" xr:uid="{00000000-0005-0000-0000-0000E2400000}"/>
    <cellStyle name="40% - Accent2 84 18 2" xfId="16609" xr:uid="{00000000-0005-0000-0000-0000E3400000}"/>
    <cellStyle name="40% - Accent2 84 18 2 2" xfId="16610" xr:uid="{00000000-0005-0000-0000-0000E4400000}"/>
    <cellStyle name="40% - Accent2 84 18 3" xfId="16611" xr:uid="{00000000-0005-0000-0000-0000E5400000}"/>
    <cellStyle name="40% - Accent2 84 19" xfId="16612" xr:uid="{00000000-0005-0000-0000-0000E6400000}"/>
    <cellStyle name="40% - Accent2 84 19 2" xfId="16613" xr:uid="{00000000-0005-0000-0000-0000E7400000}"/>
    <cellStyle name="40% - Accent2 84 19 2 2" xfId="16614" xr:uid="{00000000-0005-0000-0000-0000E8400000}"/>
    <cellStyle name="40% - Accent2 84 19 3" xfId="16615" xr:uid="{00000000-0005-0000-0000-0000E9400000}"/>
    <cellStyle name="40% - Accent2 84 2" xfId="16616" xr:uid="{00000000-0005-0000-0000-0000EA400000}"/>
    <cellStyle name="40% - Accent2 84 2 2" xfId="16617" xr:uid="{00000000-0005-0000-0000-0000EB400000}"/>
    <cellStyle name="40% - Accent2 84 2 2 2" xfId="16618" xr:uid="{00000000-0005-0000-0000-0000EC400000}"/>
    <cellStyle name="40% - Accent2 84 2 3" xfId="16619" xr:uid="{00000000-0005-0000-0000-0000ED400000}"/>
    <cellStyle name="40% - Accent2 84 20" xfId="16620" xr:uid="{00000000-0005-0000-0000-0000EE400000}"/>
    <cellStyle name="40% - Accent2 84 20 2" xfId="16621" xr:uid="{00000000-0005-0000-0000-0000EF400000}"/>
    <cellStyle name="40% - Accent2 84 20 2 2" xfId="16622" xr:uid="{00000000-0005-0000-0000-0000F0400000}"/>
    <cellStyle name="40% - Accent2 84 20 3" xfId="16623" xr:uid="{00000000-0005-0000-0000-0000F1400000}"/>
    <cellStyle name="40% - Accent2 84 21" xfId="16624" xr:uid="{00000000-0005-0000-0000-0000F2400000}"/>
    <cellStyle name="40% - Accent2 84 21 2" xfId="16625" xr:uid="{00000000-0005-0000-0000-0000F3400000}"/>
    <cellStyle name="40% - Accent2 84 21 2 2" xfId="16626" xr:uid="{00000000-0005-0000-0000-0000F4400000}"/>
    <cellStyle name="40% - Accent2 84 21 3" xfId="16627" xr:uid="{00000000-0005-0000-0000-0000F5400000}"/>
    <cellStyle name="40% - Accent2 84 22" xfId="16628" xr:uid="{00000000-0005-0000-0000-0000F6400000}"/>
    <cellStyle name="40% - Accent2 84 22 2" xfId="16629" xr:uid="{00000000-0005-0000-0000-0000F7400000}"/>
    <cellStyle name="40% - Accent2 84 22 2 2" xfId="16630" xr:uid="{00000000-0005-0000-0000-0000F8400000}"/>
    <cellStyle name="40% - Accent2 84 22 3" xfId="16631" xr:uid="{00000000-0005-0000-0000-0000F9400000}"/>
    <cellStyle name="40% - Accent2 84 23" xfId="16632" xr:uid="{00000000-0005-0000-0000-0000FA400000}"/>
    <cellStyle name="40% - Accent2 84 23 2" xfId="16633" xr:uid="{00000000-0005-0000-0000-0000FB400000}"/>
    <cellStyle name="40% - Accent2 84 23 2 2" xfId="16634" xr:uid="{00000000-0005-0000-0000-0000FC400000}"/>
    <cellStyle name="40% - Accent2 84 23 3" xfId="16635" xr:uid="{00000000-0005-0000-0000-0000FD400000}"/>
    <cellStyle name="40% - Accent2 84 24" xfId="16636" xr:uid="{00000000-0005-0000-0000-0000FE400000}"/>
    <cellStyle name="40% - Accent2 84 24 2" xfId="16637" xr:uid="{00000000-0005-0000-0000-0000FF400000}"/>
    <cellStyle name="40% - Accent2 84 24 2 2" xfId="16638" xr:uid="{00000000-0005-0000-0000-000000410000}"/>
    <cellStyle name="40% - Accent2 84 24 3" xfId="16639" xr:uid="{00000000-0005-0000-0000-000001410000}"/>
    <cellStyle name="40% - Accent2 84 25" xfId="16640" xr:uid="{00000000-0005-0000-0000-000002410000}"/>
    <cellStyle name="40% - Accent2 84 25 2" xfId="16641" xr:uid="{00000000-0005-0000-0000-000003410000}"/>
    <cellStyle name="40% - Accent2 84 25 2 2" xfId="16642" xr:uid="{00000000-0005-0000-0000-000004410000}"/>
    <cellStyle name="40% - Accent2 84 25 3" xfId="16643" xr:uid="{00000000-0005-0000-0000-000005410000}"/>
    <cellStyle name="40% - Accent2 84 26" xfId="16644" xr:uid="{00000000-0005-0000-0000-000006410000}"/>
    <cellStyle name="40% - Accent2 84 26 2" xfId="16645" xr:uid="{00000000-0005-0000-0000-000007410000}"/>
    <cellStyle name="40% - Accent2 84 26 2 2" xfId="16646" xr:uid="{00000000-0005-0000-0000-000008410000}"/>
    <cellStyle name="40% - Accent2 84 26 3" xfId="16647" xr:uid="{00000000-0005-0000-0000-000009410000}"/>
    <cellStyle name="40% - Accent2 84 27" xfId="16648" xr:uid="{00000000-0005-0000-0000-00000A410000}"/>
    <cellStyle name="40% - Accent2 84 27 2" xfId="16649" xr:uid="{00000000-0005-0000-0000-00000B410000}"/>
    <cellStyle name="40% - Accent2 84 27 2 2" xfId="16650" xr:uid="{00000000-0005-0000-0000-00000C410000}"/>
    <cellStyle name="40% - Accent2 84 27 3" xfId="16651" xr:uid="{00000000-0005-0000-0000-00000D410000}"/>
    <cellStyle name="40% - Accent2 84 28" xfId="16652" xr:uid="{00000000-0005-0000-0000-00000E410000}"/>
    <cellStyle name="40% - Accent2 84 28 2" xfId="16653" xr:uid="{00000000-0005-0000-0000-00000F410000}"/>
    <cellStyle name="40% - Accent2 84 28 2 2" xfId="16654" xr:uid="{00000000-0005-0000-0000-000010410000}"/>
    <cellStyle name="40% - Accent2 84 28 3" xfId="16655" xr:uid="{00000000-0005-0000-0000-000011410000}"/>
    <cellStyle name="40% - Accent2 84 29" xfId="16656" xr:uid="{00000000-0005-0000-0000-000012410000}"/>
    <cellStyle name="40% - Accent2 84 29 2" xfId="16657" xr:uid="{00000000-0005-0000-0000-000013410000}"/>
    <cellStyle name="40% - Accent2 84 29 2 2" xfId="16658" xr:uid="{00000000-0005-0000-0000-000014410000}"/>
    <cellStyle name="40% - Accent2 84 29 3" xfId="16659" xr:uid="{00000000-0005-0000-0000-000015410000}"/>
    <cellStyle name="40% - Accent2 84 3" xfId="16660" xr:uid="{00000000-0005-0000-0000-000016410000}"/>
    <cellStyle name="40% - Accent2 84 3 2" xfId="16661" xr:uid="{00000000-0005-0000-0000-000017410000}"/>
    <cellStyle name="40% - Accent2 84 3 2 2" xfId="16662" xr:uid="{00000000-0005-0000-0000-000018410000}"/>
    <cellStyle name="40% - Accent2 84 3 3" xfId="16663" xr:uid="{00000000-0005-0000-0000-000019410000}"/>
    <cellStyle name="40% - Accent2 84 30" xfId="16664" xr:uid="{00000000-0005-0000-0000-00001A410000}"/>
    <cellStyle name="40% - Accent2 84 30 2" xfId="16665" xr:uid="{00000000-0005-0000-0000-00001B410000}"/>
    <cellStyle name="40% - Accent2 84 30 2 2" xfId="16666" xr:uid="{00000000-0005-0000-0000-00001C410000}"/>
    <cellStyle name="40% - Accent2 84 30 3" xfId="16667" xr:uid="{00000000-0005-0000-0000-00001D410000}"/>
    <cellStyle name="40% - Accent2 84 31" xfId="16668" xr:uid="{00000000-0005-0000-0000-00001E410000}"/>
    <cellStyle name="40% - Accent2 84 31 2" xfId="16669" xr:uid="{00000000-0005-0000-0000-00001F410000}"/>
    <cellStyle name="40% - Accent2 84 31 2 2" xfId="16670" xr:uid="{00000000-0005-0000-0000-000020410000}"/>
    <cellStyle name="40% - Accent2 84 31 3" xfId="16671" xr:uid="{00000000-0005-0000-0000-000021410000}"/>
    <cellStyle name="40% - Accent2 84 32" xfId="16672" xr:uid="{00000000-0005-0000-0000-000022410000}"/>
    <cellStyle name="40% - Accent2 84 32 2" xfId="16673" xr:uid="{00000000-0005-0000-0000-000023410000}"/>
    <cellStyle name="40% - Accent2 84 32 2 2" xfId="16674" xr:uid="{00000000-0005-0000-0000-000024410000}"/>
    <cellStyle name="40% - Accent2 84 32 3" xfId="16675" xr:uid="{00000000-0005-0000-0000-000025410000}"/>
    <cellStyle name="40% - Accent2 84 33" xfId="16676" xr:uid="{00000000-0005-0000-0000-000026410000}"/>
    <cellStyle name="40% - Accent2 84 33 2" xfId="16677" xr:uid="{00000000-0005-0000-0000-000027410000}"/>
    <cellStyle name="40% - Accent2 84 33 2 2" xfId="16678" xr:uid="{00000000-0005-0000-0000-000028410000}"/>
    <cellStyle name="40% - Accent2 84 33 3" xfId="16679" xr:uid="{00000000-0005-0000-0000-000029410000}"/>
    <cellStyle name="40% - Accent2 84 34" xfId="16680" xr:uid="{00000000-0005-0000-0000-00002A410000}"/>
    <cellStyle name="40% - Accent2 84 34 2" xfId="16681" xr:uid="{00000000-0005-0000-0000-00002B410000}"/>
    <cellStyle name="40% - Accent2 84 34 2 2" xfId="16682" xr:uid="{00000000-0005-0000-0000-00002C410000}"/>
    <cellStyle name="40% - Accent2 84 34 3" xfId="16683" xr:uid="{00000000-0005-0000-0000-00002D410000}"/>
    <cellStyle name="40% - Accent2 84 35" xfId="16684" xr:uid="{00000000-0005-0000-0000-00002E410000}"/>
    <cellStyle name="40% - Accent2 84 35 2" xfId="16685" xr:uid="{00000000-0005-0000-0000-00002F410000}"/>
    <cellStyle name="40% - Accent2 84 35 2 2" xfId="16686" xr:uid="{00000000-0005-0000-0000-000030410000}"/>
    <cellStyle name="40% - Accent2 84 35 3" xfId="16687" xr:uid="{00000000-0005-0000-0000-000031410000}"/>
    <cellStyle name="40% - Accent2 84 36" xfId="16688" xr:uid="{00000000-0005-0000-0000-000032410000}"/>
    <cellStyle name="40% - Accent2 84 36 2" xfId="16689" xr:uid="{00000000-0005-0000-0000-000033410000}"/>
    <cellStyle name="40% - Accent2 84 36 2 2" xfId="16690" xr:uid="{00000000-0005-0000-0000-000034410000}"/>
    <cellStyle name="40% - Accent2 84 36 3" xfId="16691" xr:uid="{00000000-0005-0000-0000-000035410000}"/>
    <cellStyle name="40% - Accent2 84 4" xfId="16692" xr:uid="{00000000-0005-0000-0000-000036410000}"/>
    <cellStyle name="40% - Accent2 84 4 2" xfId="16693" xr:uid="{00000000-0005-0000-0000-000037410000}"/>
    <cellStyle name="40% - Accent2 84 4 2 2" xfId="16694" xr:uid="{00000000-0005-0000-0000-000038410000}"/>
    <cellStyle name="40% - Accent2 84 4 3" xfId="16695" xr:uid="{00000000-0005-0000-0000-000039410000}"/>
    <cellStyle name="40% - Accent2 84 5" xfId="16696" xr:uid="{00000000-0005-0000-0000-00003A410000}"/>
    <cellStyle name="40% - Accent2 84 5 2" xfId="16697" xr:uid="{00000000-0005-0000-0000-00003B410000}"/>
    <cellStyle name="40% - Accent2 84 5 2 2" xfId="16698" xr:uid="{00000000-0005-0000-0000-00003C410000}"/>
    <cellStyle name="40% - Accent2 84 5 3" xfId="16699" xr:uid="{00000000-0005-0000-0000-00003D410000}"/>
    <cellStyle name="40% - Accent2 84 6" xfId="16700" xr:uid="{00000000-0005-0000-0000-00003E410000}"/>
    <cellStyle name="40% - Accent2 84 6 2" xfId="16701" xr:uid="{00000000-0005-0000-0000-00003F410000}"/>
    <cellStyle name="40% - Accent2 84 6 2 2" xfId="16702" xr:uid="{00000000-0005-0000-0000-000040410000}"/>
    <cellStyle name="40% - Accent2 84 6 3" xfId="16703" xr:uid="{00000000-0005-0000-0000-000041410000}"/>
    <cellStyle name="40% - Accent2 84 7" xfId="16704" xr:uid="{00000000-0005-0000-0000-000042410000}"/>
    <cellStyle name="40% - Accent2 84 7 2" xfId="16705" xr:uid="{00000000-0005-0000-0000-000043410000}"/>
    <cellStyle name="40% - Accent2 84 7 2 2" xfId="16706" xr:uid="{00000000-0005-0000-0000-000044410000}"/>
    <cellStyle name="40% - Accent2 84 7 3" xfId="16707" xr:uid="{00000000-0005-0000-0000-000045410000}"/>
    <cellStyle name="40% - Accent2 84 8" xfId="16708" xr:uid="{00000000-0005-0000-0000-000046410000}"/>
    <cellStyle name="40% - Accent2 84 8 2" xfId="16709" xr:uid="{00000000-0005-0000-0000-000047410000}"/>
    <cellStyle name="40% - Accent2 84 8 2 2" xfId="16710" xr:uid="{00000000-0005-0000-0000-000048410000}"/>
    <cellStyle name="40% - Accent2 84 8 3" xfId="16711" xr:uid="{00000000-0005-0000-0000-000049410000}"/>
    <cellStyle name="40% - Accent2 84 9" xfId="16712" xr:uid="{00000000-0005-0000-0000-00004A410000}"/>
    <cellStyle name="40% - Accent2 84 9 2" xfId="16713" xr:uid="{00000000-0005-0000-0000-00004B410000}"/>
    <cellStyle name="40% - Accent2 84 9 2 2" xfId="16714" xr:uid="{00000000-0005-0000-0000-00004C410000}"/>
    <cellStyle name="40% - Accent2 84 9 3" xfId="16715" xr:uid="{00000000-0005-0000-0000-00004D410000}"/>
    <cellStyle name="40% - Accent2 85" xfId="16716" xr:uid="{00000000-0005-0000-0000-00004E410000}"/>
    <cellStyle name="40% - Accent2 85 10" xfId="16717" xr:uid="{00000000-0005-0000-0000-00004F410000}"/>
    <cellStyle name="40% - Accent2 85 10 2" xfId="16718" xr:uid="{00000000-0005-0000-0000-000050410000}"/>
    <cellStyle name="40% - Accent2 85 10 2 2" xfId="16719" xr:uid="{00000000-0005-0000-0000-000051410000}"/>
    <cellStyle name="40% - Accent2 85 10 3" xfId="16720" xr:uid="{00000000-0005-0000-0000-000052410000}"/>
    <cellStyle name="40% - Accent2 85 11" xfId="16721" xr:uid="{00000000-0005-0000-0000-000053410000}"/>
    <cellStyle name="40% - Accent2 85 11 2" xfId="16722" xr:uid="{00000000-0005-0000-0000-000054410000}"/>
    <cellStyle name="40% - Accent2 85 11 2 2" xfId="16723" xr:uid="{00000000-0005-0000-0000-000055410000}"/>
    <cellStyle name="40% - Accent2 85 11 3" xfId="16724" xr:uid="{00000000-0005-0000-0000-000056410000}"/>
    <cellStyle name="40% - Accent2 85 12" xfId="16725" xr:uid="{00000000-0005-0000-0000-000057410000}"/>
    <cellStyle name="40% - Accent2 85 12 2" xfId="16726" xr:uid="{00000000-0005-0000-0000-000058410000}"/>
    <cellStyle name="40% - Accent2 85 12 2 2" xfId="16727" xr:uid="{00000000-0005-0000-0000-000059410000}"/>
    <cellStyle name="40% - Accent2 85 12 3" xfId="16728" xr:uid="{00000000-0005-0000-0000-00005A410000}"/>
    <cellStyle name="40% - Accent2 85 13" xfId="16729" xr:uid="{00000000-0005-0000-0000-00005B410000}"/>
    <cellStyle name="40% - Accent2 85 13 2" xfId="16730" xr:uid="{00000000-0005-0000-0000-00005C410000}"/>
    <cellStyle name="40% - Accent2 85 13 2 2" xfId="16731" xr:uid="{00000000-0005-0000-0000-00005D410000}"/>
    <cellStyle name="40% - Accent2 85 13 3" xfId="16732" xr:uid="{00000000-0005-0000-0000-00005E410000}"/>
    <cellStyle name="40% - Accent2 85 14" xfId="16733" xr:uid="{00000000-0005-0000-0000-00005F410000}"/>
    <cellStyle name="40% - Accent2 85 14 2" xfId="16734" xr:uid="{00000000-0005-0000-0000-000060410000}"/>
    <cellStyle name="40% - Accent2 85 14 2 2" xfId="16735" xr:uid="{00000000-0005-0000-0000-000061410000}"/>
    <cellStyle name="40% - Accent2 85 14 3" xfId="16736" xr:uid="{00000000-0005-0000-0000-000062410000}"/>
    <cellStyle name="40% - Accent2 85 15" xfId="16737" xr:uid="{00000000-0005-0000-0000-000063410000}"/>
    <cellStyle name="40% - Accent2 85 15 2" xfId="16738" xr:uid="{00000000-0005-0000-0000-000064410000}"/>
    <cellStyle name="40% - Accent2 85 15 2 2" xfId="16739" xr:uid="{00000000-0005-0000-0000-000065410000}"/>
    <cellStyle name="40% - Accent2 85 15 3" xfId="16740" xr:uid="{00000000-0005-0000-0000-000066410000}"/>
    <cellStyle name="40% - Accent2 85 16" xfId="16741" xr:uid="{00000000-0005-0000-0000-000067410000}"/>
    <cellStyle name="40% - Accent2 85 16 2" xfId="16742" xr:uid="{00000000-0005-0000-0000-000068410000}"/>
    <cellStyle name="40% - Accent2 85 16 2 2" xfId="16743" xr:uid="{00000000-0005-0000-0000-000069410000}"/>
    <cellStyle name="40% - Accent2 85 16 3" xfId="16744" xr:uid="{00000000-0005-0000-0000-00006A410000}"/>
    <cellStyle name="40% - Accent2 85 17" xfId="16745" xr:uid="{00000000-0005-0000-0000-00006B410000}"/>
    <cellStyle name="40% - Accent2 85 17 2" xfId="16746" xr:uid="{00000000-0005-0000-0000-00006C410000}"/>
    <cellStyle name="40% - Accent2 85 17 2 2" xfId="16747" xr:uid="{00000000-0005-0000-0000-00006D410000}"/>
    <cellStyle name="40% - Accent2 85 17 3" xfId="16748" xr:uid="{00000000-0005-0000-0000-00006E410000}"/>
    <cellStyle name="40% - Accent2 85 18" xfId="16749" xr:uid="{00000000-0005-0000-0000-00006F410000}"/>
    <cellStyle name="40% - Accent2 85 18 2" xfId="16750" xr:uid="{00000000-0005-0000-0000-000070410000}"/>
    <cellStyle name="40% - Accent2 85 18 2 2" xfId="16751" xr:uid="{00000000-0005-0000-0000-000071410000}"/>
    <cellStyle name="40% - Accent2 85 18 3" xfId="16752" xr:uid="{00000000-0005-0000-0000-000072410000}"/>
    <cellStyle name="40% - Accent2 85 19" xfId="16753" xr:uid="{00000000-0005-0000-0000-000073410000}"/>
    <cellStyle name="40% - Accent2 85 19 2" xfId="16754" xr:uid="{00000000-0005-0000-0000-000074410000}"/>
    <cellStyle name="40% - Accent2 85 19 2 2" xfId="16755" xr:uid="{00000000-0005-0000-0000-000075410000}"/>
    <cellStyle name="40% - Accent2 85 19 3" xfId="16756" xr:uid="{00000000-0005-0000-0000-000076410000}"/>
    <cellStyle name="40% - Accent2 85 2" xfId="16757" xr:uid="{00000000-0005-0000-0000-000077410000}"/>
    <cellStyle name="40% - Accent2 85 2 2" xfId="16758" xr:uid="{00000000-0005-0000-0000-000078410000}"/>
    <cellStyle name="40% - Accent2 85 2 2 2" xfId="16759" xr:uid="{00000000-0005-0000-0000-000079410000}"/>
    <cellStyle name="40% - Accent2 85 2 3" xfId="16760" xr:uid="{00000000-0005-0000-0000-00007A410000}"/>
    <cellStyle name="40% - Accent2 85 20" xfId="16761" xr:uid="{00000000-0005-0000-0000-00007B410000}"/>
    <cellStyle name="40% - Accent2 85 20 2" xfId="16762" xr:uid="{00000000-0005-0000-0000-00007C410000}"/>
    <cellStyle name="40% - Accent2 85 20 2 2" xfId="16763" xr:uid="{00000000-0005-0000-0000-00007D410000}"/>
    <cellStyle name="40% - Accent2 85 20 3" xfId="16764" xr:uid="{00000000-0005-0000-0000-00007E410000}"/>
    <cellStyle name="40% - Accent2 85 21" xfId="16765" xr:uid="{00000000-0005-0000-0000-00007F410000}"/>
    <cellStyle name="40% - Accent2 85 21 2" xfId="16766" xr:uid="{00000000-0005-0000-0000-000080410000}"/>
    <cellStyle name="40% - Accent2 85 21 2 2" xfId="16767" xr:uid="{00000000-0005-0000-0000-000081410000}"/>
    <cellStyle name="40% - Accent2 85 21 3" xfId="16768" xr:uid="{00000000-0005-0000-0000-000082410000}"/>
    <cellStyle name="40% - Accent2 85 22" xfId="16769" xr:uid="{00000000-0005-0000-0000-000083410000}"/>
    <cellStyle name="40% - Accent2 85 22 2" xfId="16770" xr:uid="{00000000-0005-0000-0000-000084410000}"/>
    <cellStyle name="40% - Accent2 85 22 2 2" xfId="16771" xr:uid="{00000000-0005-0000-0000-000085410000}"/>
    <cellStyle name="40% - Accent2 85 22 3" xfId="16772" xr:uid="{00000000-0005-0000-0000-000086410000}"/>
    <cellStyle name="40% - Accent2 85 23" xfId="16773" xr:uid="{00000000-0005-0000-0000-000087410000}"/>
    <cellStyle name="40% - Accent2 85 23 2" xfId="16774" xr:uid="{00000000-0005-0000-0000-000088410000}"/>
    <cellStyle name="40% - Accent2 85 23 2 2" xfId="16775" xr:uid="{00000000-0005-0000-0000-000089410000}"/>
    <cellStyle name="40% - Accent2 85 23 3" xfId="16776" xr:uid="{00000000-0005-0000-0000-00008A410000}"/>
    <cellStyle name="40% - Accent2 85 24" xfId="16777" xr:uid="{00000000-0005-0000-0000-00008B410000}"/>
    <cellStyle name="40% - Accent2 85 24 2" xfId="16778" xr:uid="{00000000-0005-0000-0000-00008C410000}"/>
    <cellStyle name="40% - Accent2 85 24 2 2" xfId="16779" xr:uid="{00000000-0005-0000-0000-00008D410000}"/>
    <cellStyle name="40% - Accent2 85 24 3" xfId="16780" xr:uid="{00000000-0005-0000-0000-00008E410000}"/>
    <cellStyle name="40% - Accent2 85 25" xfId="16781" xr:uid="{00000000-0005-0000-0000-00008F410000}"/>
    <cellStyle name="40% - Accent2 85 25 2" xfId="16782" xr:uid="{00000000-0005-0000-0000-000090410000}"/>
    <cellStyle name="40% - Accent2 85 25 2 2" xfId="16783" xr:uid="{00000000-0005-0000-0000-000091410000}"/>
    <cellStyle name="40% - Accent2 85 25 3" xfId="16784" xr:uid="{00000000-0005-0000-0000-000092410000}"/>
    <cellStyle name="40% - Accent2 85 26" xfId="16785" xr:uid="{00000000-0005-0000-0000-000093410000}"/>
    <cellStyle name="40% - Accent2 85 26 2" xfId="16786" xr:uid="{00000000-0005-0000-0000-000094410000}"/>
    <cellStyle name="40% - Accent2 85 26 2 2" xfId="16787" xr:uid="{00000000-0005-0000-0000-000095410000}"/>
    <cellStyle name="40% - Accent2 85 26 3" xfId="16788" xr:uid="{00000000-0005-0000-0000-000096410000}"/>
    <cellStyle name="40% - Accent2 85 27" xfId="16789" xr:uid="{00000000-0005-0000-0000-000097410000}"/>
    <cellStyle name="40% - Accent2 85 27 2" xfId="16790" xr:uid="{00000000-0005-0000-0000-000098410000}"/>
    <cellStyle name="40% - Accent2 85 27 2 2" xfId="16791" xr:uid="{00000000-0005-0000-0000-000099410000}"/>
    <cellStyle name="40% - Accent2 85 27 3" xfId="16792" xr:uid="{00000000-0005-0000-0000-00009A410000}"/>
    <cellStyle name="40% - Accent2 85 28" xfId="16793" xr:uid="{00000000-0005-0000-0000-00009B410000}"/>
    <cellStyle name="40% - Accent2 85 28 2" xfId="16794" xr:uid="{00000000-0005-0000-0000-00009C410000}"/>
    <cellStyle name="40% - Accent2 85 28 2 2" xfId="16795" xr:uid="{00000000-0005-0000-0000-00009D410000}"/>
    <cellStyle name="40% - Accent2 85 28 3" xfId="16796" xr:uid="{00000000-0005-0000-0000-00009E410000}"/>
    <cellStyle name="40% - Accent2 85 29" xfId="16797" xr:uid="{00000000-0005-0000-0000-00009F410000}"/>
    <cellStyle name="40% - Accent2 85 29 2" xfId="16798" xr:uid="{00000000-0005-0000-0000-0000A0410000}"/>
    <cellStyle name="40% - Accent2 85 29 2 2" xfId="16799" xr:uid="{00000000-0005-0000-0000-0000A1410000}"/>
    <cellStyle name="40% - Accent2 85 29 3" xfId="16800" xr:uid="{00000000-0005-0000-0000-0000A2410000}"/>
    <cellStyle name="40% - Accent2 85 3" xfId="16801" xr:uid="{00000000-0005-0000-0000-0000A3410000}"/>
    <cellStyle name="40% - Accent2 85 3 2" xfId="16802" xr:uid="{00000000-0005-0000-0000-0000A4410000}"/>
    <cellStyle name="40% - Accent2 85 3 2 2" xfId="16803" xr:uid="{00000000-0005-0000-0000-0000A5410000}"/>
    <cellStyle name="40% - Accent2 85 3 3" xfId="16804" xr:uid="{00000000-0005-0000-0000-0000A6410000}"/>
    <cellStyle name="40% - Accent2 85 30" xfId="16805" xr:uid="{00000000-0005-0000-0000-0000A7410000}"/>
    <cellStyle name="40% - Accent2 85 30 2" xfId="16806" xr:uid="{00000000-0005-0000-0000-0000A8410000}"/>
    <cellStyle name="40% - Accent2 85 30 2 2" xfId="16807" xr:uid="{00000000-0005-0000-0000-0000A9410000}"/>
    <cellStyle name="40% - Accent2 85 30 3" xfId="16808" xr:uid="{00000000-0005-0000-0000-0000AA410000}"/>
    <cellStyle name="40% - Accent2 85 31" xfId="16809" xr:uid="{00000000-0005-0000-0000-0000AB410000}"/>
    <cellStyle name="40% - Accent2 85 31 2" xfId="16810" xr:uid="{00000000-0005-0000-0000-0000AC410000}"/>
    <cellStyle name="40% - Accent2 85 31 2 2" xfId="16811" xr:uid="{00000000-0005-0000-0000-0000AD410000}"/>
    <cellStyle name="40% - Accent2 85 31 3" xfId="16812" xr:uid="{00000000-0005-0000-0000-0000AE410000}"/>
    <cellStyle name="40% - Accent2 85 32" xfId="16813" xr:uid="{00000000-0005-0000-0000-0000AF410000}"/>
    <cellStyle name="40% - Accent2 85 32 2" xfId="16814" xr:uid="{00000000-0005-0000-0000-0000B0410000}"/>
    <cellStyle name="40% - Accent2 85 32 2 2" xfId="16815" xr:uid="{00000000-0005-0000-0000-0000B1410000}"/>
    <cellStyle name="40% - Accent2 85 32 3" xfId="16816" xr:uid="{00000000-0005-0000-0000-0000B2410000}"/>
    <cellStyle name="40% - Accent2 85 33" xfId="16817" xr:uid="{00000000-0005-0000-0000-0000B3410000}"/>
    <cellStyle name="40% - Accent2 85 33 2" xfId="16818" xr:uid="{00000000-0005-0000-0000-0000B4410000}"/>
    <cellStyle name="40% - Accent2 85 33 2 2" xfId="16819" xr:uid="{00000000-0005-0000-0000-0000B5410000}"/>
    <cellStyle name="40% - Accent2 85 33 3" xfId="16820" xr:uid="{00000000-0005-0000-0000-0000B6410000}"/>
    <cellStyle name="40% - Accent2 85 34" xfId="16821" xr:uid="{00000000-0005-0000-0000-0000B7410000}"/>
    <cellStyle name="40% - Accent2 85 34 2" xfId="16822" xr:uid="{00000000-0005-0000-0000-0000B8410000}"/>
    <cellStyle name="40% - Accent2 85 34 2 2" xfId="16823" xr:uid="{00000000-0005-0000-0000-0000B9410000}"/>
    <cellStyle name="40% - Accent2 85 34 3" xfId="16824" xr:uid="{00000000-0005-0000-0000-0000BA410000}"/>
    <cellStyle name="40% - Accent2 85 35" xfId="16825" xr:uid="{00000000-0005-0000-0000-0000BB410000}"/>
    <cellStyle name="40% - Accent2 85 35 2" xfId="16826" xr:uid="{00000000-0005-0000-0000-0000BC410000}"/>
    <cellStyle name="40% - Accent2 85 35 2 2" xfId="16827" xr:uid="{00000000-0005-0000-0000-0000BD410000}"/>
    <cellStyle name="40% - Accent2 85 35 3" xfId="16828" xr:uid="{00000000-0005-0000-0000-0000BE410000}"/>
    <cellStyle name="40% - Accent2 85 36" xfId="16829" xr:uid="{00000000-0005-0000-0000-0000BF410000}"/>
    <cellStyle name="40% - Accent2 85 36 2" xfId="16830" xr:uid="{00000000-0005-0000-0000-0000C0410000}"/>
    <cellStyle name="40% - Accent2 85 36 2 2" xfId="16831" xr:uid="{00000000-0005-0000-0000-0000C1410000}"/>
    <cellStyle name="40% - Accent2 85 36 3" xfId="16832" xr:uid="{00000000-0005-0000-0000-0000C2410000}"/>
    <cellStyle name="40% - Accent2 85 4" xfId="16833" xr:uid="{00000000-0005-0000-0000-0000C3410000}"/>
    <cellStyle name="40% - Accent2 85 4 2" xfId="16834" xr:uid="{00000000-0005-0000-0000-0000C4410000}"/>
    <cellStyle name="40% - Accent2 85 4 2 2" xfId="16835" xr:uid="{00000000-0005-0000-0000-0000C5410000}"/>
    <cellStyle name="40% - Accent2 85 4 3" xfId="16836" xr:uid="{00000000-0005-0000-0000-0000C6410000}"/>
    <cellStyle name="40% - Accent2 85 5" xfId="16837" xr:uid="{00000000-0005-0000-0000-0000C7410000}"/>
    <cellStyle name="40% - Accent2 85 5 2" xfId="16838" xr:uid="{00000000-0005-0000-0000-0000C8410000}"/>
    <cellStyle name="40% - Accent2 85 5 2 2" xfId="16839" xr:uid="{00000000-0005-0000-0000-0000C9410000}"/>
    <cellStyle name="40% - Accent2 85 5 3" xfId="16840" xr:uid="{00000000-0005-0000-0000-0000CA410000}"/>
    <cellStyle name="40% - Accent2 85 6" xfId="16841" xr:uid="{00000000-0005-0000-0000-0000CB410000}"/>
    <cellStyle name="40% - Accent2 85 6 2" xfId="16842" xr:uid="{00000000-0005-0000-0000-0000CC410000}"/>
    <cellStyle name="40% - Accent2 85 6 2 2" xfId="16843" xr:uid="{00000000-0005-0000-0000-0000CD410000}"/>
    <cellStyle name="40% - Accent2 85 6 3" xfId="16844" xr:uid="{00000000-0005-0000-0000-0000CE410000}"/>
    <cellStyle name="40% - Accent2 85 7" xfId="16845" xr:uid="{00000000-0005-0000-0000-0000CF410000}"/>
    <cellStyle name="40% - Accent2 85 7 2" xfId="16846" xr:uid="{00000000-0005-0000-0000-0000D0410000}"/>
    <cellStyle name="40% - Accent2 85 7 2 2" xfId="16847" xr:uid="{00000000-0005-0000-0000-0000D1410000}"/>
    <cellStyle name="40% - Accent2 85 7 3" xfId="16848" xr:uid="{00000000-0005-0000-0000-0000D2410000}"/>
    <cellStyle name="40% - Accent2 85 8" xfId="16849" xr:uid="{00000000-0005-0000-0000-0000D3410000}"/>
    <cellStyle name="40% - Accent2 85 8 2" xfId="16850" xr:uid="{00000000-0005-0000-0000-0000D4410000}"/>
    <cellStyle name="40% - Accent2 85 8 2 2" xfId="16851" xr:uid="{00000000-0005-0000-0000-0000D5410000}"/>
    <cellStyle name="40% - Accent2 85 8 3" xfId="16852" xr:uid="{00000000-0005-0000-0000-0000D6410000}"/>
    <cellStyle name="40% - Accent2 85 9" xfId="16853" xr:uid="{00000000-0005-0000-0000-0000D7410000}"/>
    <cellStyle name="40% - Accent2 85 9 2" xfId="16854" xr:uid="{00000000-0005-0000-0000-0000D8410000}"/>
    <cellStyle name="40% - Accent2 85 9 2 2" xfId="16855" xr:uid="{00000000-0005-0000-0000-0000D9410000}"/>
    <cellStyle name="40% - Accent2 85 9 3" xfId="16856" xr:uid="{00000000-0005-0000-0000-0000DA410000}"/>
    <cellStyle name="40% - Accent2 86" xfId="16857" xr:uid="{00000000-0005-0000-0000-0000DB410000}"/>
    <cellStyle name="40% - Accent2 86 10" xfId="16858" xr:uid="{00000000-0005-0000-0000-0000DC410000}"/>
    <cellStyle name="40% - Accent2 86 10 2" xfId="16859" xr:uid="{00000000-0005-0000-0000-0000DD410000}"/>
    <cellStyle name="40% - Accent2 86 10 2 2" xfId="16860" xr:uid="{00000000-0005-0000-0000-0000DE410000}"/>
    <cellStyle name="40% - Accent2 86 10 3" xfId="16861" xr:uid="{00000000-0005-0000-0000-0000DF410000}"/>
    <cellStyle name="40% - Accent2 86 11" xfId="16862" xr:uid="{00000000-0005-0000-0000-0000E0410000}"/>
    <cellStyle name="40% - Accent2 86 11 2" xfId="16863" xr:uid="{00000000-0005-0000-0000-0000E1410000}"/>
    <cellStyle name="40% - Accent2 86 11 2 2" xfId="16864" xr:uid="{00000000-0005-0000-0000-0000E2410000}"/>
    <cellStyle name="40% - Accent2 86 11 3" xfId="16865" xr:uid="{00000000-0005-0000-0000-0000E3410000}"/>
    <cellStyle name="40% - Accent2 86 12" xfId="16866" xr:uid="{00000000-0005-0000-0000-0000E4410000}"/>
    <cellStyle name="40% - Accent2 86 12 2" xfId="16867" xr:uid="{00000000-0005-0000-0000-0000E5410000}"/>
    <cellStyle name="40% - Accent2 86 12 2 2" xfId="16868" xr:uid="{00000000-0005-0000-0000-0000E6410000}"/>
    <cellStyle name="40% - Accent2 86 12 3" xfId="16869" xr:uid="{00000000-0005-0000-0000-0000E7410000}"/>
    <cellStyle name="40% - Accent2 86 13" xfId="16870" xr:uid="{00000000-0005-0000-0000-0000E8410000}"/>
    <cellStyle name="40% - Accent2 86 13 2" xfId="16871" xr:uid="{00000000-0005-0000-0000-0000E9410000}"/>
    <cellStyle name="40% - Accent2 86 13 2 2" xfId="16872" xr:uid="{00000000-0005-0000-0000-0000EA410000}"/>
    <cellStyle name="40% - Accent2 86 13 3" xfId="16873" xr:uid="{00000000-0005-0000-0000-0000EB410000}"/>
    <cellStyle name="40% - Accent2 86 14" xfId="16874" xr:uid="{00000000-0005-0000-0000-0000EC410000}"/>
    <cellStyle name="40% - Accent2 86 14 2" xfId="16875" xr:uid="{00000000-0005-0000-0000-0000ED410000}"/>
    <cellStyle name="40% - Accent2 86 14 2 2" xfId="16876" xr:uid="{00000000-0005-0000-0000-0000EE410000}"/>
    <cellStyle name="40% - Accent2 86 14 3" xfId="16877" xr:uid="{00000000-0005-0000-0000-0000EF410000}"/>
    <cellStyle name="40% - Accent2 86 15" xfId="16878" xr:uid="{00000000-0005-0000-0000-0000F0410000}"/>
    <cellStyle name="40% - Accent2 86 15 2" xfId="16879" xr:uid="{00000000-0005-0000-0000-0000F1410000}"/>
    <cellStyle name="40% - Accent2 86 15 2 2" xfId="16880" xr:uid="{00000000-0005-0000-0000-0000F2410000}"/>
    <cellStyle name="40% - Accent2 86 15 3" xfId="16881" xr:uid="{00000000-0005-0000-0000-0000F3410000}"/>
    <cellStyle name="40% - Accent2 86 16" xfId="16882" xr:uid="{00000000-0005-0000-0000-0000F4410000}"/>
    <cellStyle name="40% - Accent2 86 16 2" xfId="16883" xr:uid="{00000000-0005-0000-0000-0000F5410000}"/>
    <cellStyle name="40% - Accent2 86 16 2 2" xfId="16884" xr:uid="{00000000-0005-0000-0000-0000F6410000}"/>
    <cellStyle name="40% - Accent2 86 16 3" xfId="16885" xr:uid="{00000000-0005-0000-0000-0000F7410000}"/>
    <cellStyle name="40% - Accent2 86 17" xfId="16886" xr:uid="{00000000-0005-0000-0000-0000F8410000}"/>
    <cellStyle name="40% - Accent2 86 17 2" xfId="16887" xr:uid="{00000000-0005-0000-0000-0000F9410000}"/>
    <cellStyle name="40% - Accent2 86 17 2 2" xfId="16888" xr:uid="{00000000-0005-0000-0000-0000FA410000}"/>
    <cellStyle name="40% - Accent2 86 17 3" xfId="16889" xr:uid="{00000000-0005-0000-0000-0000FB410000}"/>
    <cellStyle name="40% - Accent2 86 18" xfId="16890" xr:uid="{00000000-0005-0000-0000-0000FC410000}"/>
    <cellStyle name="40% - Accent2 86 18 2" xfId="16891" xr:uid="{00000000-0005-0000-0000-0000FD410000}"/>
    <cellStyle name="40% - Accent2 86 18 2 2" xfId="16892" xr:uid="{00000000-0005-0000-0000-0000FE410000}"/>
    <cellStyle name="40% - Accent2 86 18 3" xfId="16893" xr:uid="{00000000-0005-0000-0000-0000FF410000}"/>
    <cellStyle name="40% - Accent2 86 19" xfId="16894" xr:uid="{00000000-0005-0000-0000-000000420000}"/>
    <cellStyle name="40% - Accent2 86 19 2" xfId="16895" xr:uid="{00000000-0005-0000-0000-000001420000}"/>
    <cellStyle name="40% - Accent2 86 19 2 2" xfId="16896" xr:uid="{00000000-0005-0000-0000-000002420000}"/>
    <cellStyle name="40% - Accent2 86 19 3" xfId="16897" xr:uid="{00000000-0005-0000-0000-000003420000}"/>
    <cellStyle name="40% - Accent2 86 2" xfId="16898" xr:uid="{00000000-0005-0000-0000-000004420000}"/>
    <cellStyle name="40% - Accent2 86 2 2" xfId="16899" xr:uid="{00000000-0005-0000-0000-000005420000}"/>
    <cellStyle name="40% - Accent2 86 2 2 2" xfId="16900" xr:uid="{00000000-0005-0000-0000-000006420000}"/>
    <cellStyle name="40% - Accent2 86 2 3" xfId="16901" xr:uid="{00000000-0005-0000-0000-000007420000}"/>
    <cellStyle name="40% - Accent2 86 20" xfId="16902" xr:uid="{00000000-0005-0000-0000-000008420000}"/>
    <cellStyle name="40% - Accent2 86 20 2" xfId="16903" xr:uid="{00000000-0005-0000-0000-000009420000}"/>
    <cellStyle name="40% - Accent2 86 20 2 2" xfId="16904" xr:uid="{00000000-0005-0000-0000-00000A420000}"/>
    <cellStyle name="40% - Accent2 86 20 3" xfId="16905" xr:uid="{00000000-0005-0000-0000-00000B420000}"/>
    <cellStyle name="40% - Accent2 86 21" xfId="16906" xr:uid="{00000000-0005-0000-0000-00000C420000}"/>
    <cellStyle name="40% - Accent2 86 21 2" xfId="16907" xr:uid="{00000000-0005-0000-0000-00000D420000}"/>
    <cellStyle name="40% - Accent2 86 21 2 2" xfId="16908" xr:uid="{00000000-0005-0000-0000-00000E420000}"/>
    <cellStyle name="40% - Accent2 86 21 3" xfId="16909" xr:uid="{00000000-0005-0000-0000-00000F420000}"/>
    <cellStyle name="40% - Accent2 86 22" xfId="16910" xr:uid="{00000000-0005-0000-0000-000010420000}"/>
    <cellStyle name="40% - Accent2 86 22 2" xfId="16911" xr:uid="{00000000-0005-0000-0000-000011420000}"/>
    <cellStyle name="40% - Accent2 86 22 2 2" xfId="16912" xr:uid="{00000000-0005-0000-0000-000012420000}"/>
    <cellStyle name="40% - Accent2 86 22 3" xfId="16913" xr:uid="{00000000-0005-0000-0000-000013420000}"/>
    <cellStyle name="40% - Accent2 86 23" xfId="16914" xr:uid="{00000000-0005-0000-0000-000014420000}"/>
    <cellStyle name="40% - Accent2 86 23 2" xfId="16915" xr:uid="{00000000-0005-0000-0000-000015420000}"/>
    <cellStyle name="40% - Accent2 86 23 2 2" xfId="16916" xr:uid="{00000000-0005-0000-0000-000016420000}"/>
    <cellStyle name="40% - Accent2 86 23 3" xfId="16917" xr:uid="{00000000-0005-0000-0000-000017420000}"/>
    <cellStyle name="40% - Accent2 86 24" xfId="16918" xr:uid="{00000000-0005-0000-0000-000018420000}"/>
    <cellStyle name="40% - Accent2 86 24 2" xfId="16919" xr:uid="{00000000-0005-0000-0000-000019420000}"/>
    <cellStyle name="40% - Accent2 86 24 2 2" xfId="16920" xr:uid="{00000000-0005-0000-0000-00001A420000}"/>
    <cellStyle name="40% - Accent2 86 24 3" xfId="16921" xr:uid="{00000000-0005-0000-0000-00001B420000}"/>
    <cellStyle name="40% - Accent2 86 25" xfId="16922" xr:uid="{00000000-0005-0000-0000-00001C420000}"/>
    <cellStyle name="40% - Accent2 86 25 2" xfId="16923" xr:uid="{00000000-0005-0000-0000-00001D420000}"/>
    <cellStyle name="40% - Accent2 86 25 2 2" xfId="16924" xr:uid="{00000000-0005-0000-0000-00001E420000}"/>
    <cellStyle name="40% - Accent2 86 25 3" xfId="16925" xr:uid="{00000000-0005-0000-0000-00001F420000}"/>
    <cellStyle name="40% - Accent2 86 26" xfId="16926" xr:uid="{00000000-0005-0000-0000-000020420000}"/>
    <cellStyle name="40% - Accent2 86 26 2" xfId="16927" xr:uid="{00000000-0005-0000-0000-000021420000}"/>
    <cellStyle name="40% - Accent2 86 26 2 2" xfId="16928" xr:uid="{00000000-0005-0000-0000-000022420000}"/>
    <cellStyle name="40% - Accent2 86 26 3" xfId="16929" xr:uid="{00000000-0005-0000-0000-000023420000}"/>
    <cellStyle name="40% - Accent2 86 27" xfId="16930" xr:uid="{00000000-0005-0000-0000-000024420000}"/>
    <cellStyle name="40% - Accent2 86 27 2" xfId="16931" xr:uid="{00000000-0005-0000-0000-000025420000}"/>
    <cellStyle name="40% - Accent2 86 27 2 2" xfId="16932" xr:uid="{00000000-0005-0000-0000-000026420000}"/>
    <cellStyle name="40% - Accent2 86 27 3" xfId="16933" xr:uid="{00000000-0005-0000-0000-000027420000}"/>
    <cellStyle name="40% - Accent2 86 28" xfId="16934" xr:uid="{00000000-0005-0000-0000-000028420000}"/>
    <cellStyle name="40% - Accent2 86 28 2" xfId="16935" xr:uid="{00000000-0005-0000-0000-000029420000}"/>
    <cellStyle name="40% - Accent2 86 28 2 2" xfId="16936" xr:uid="{00000000-0005-0000-0000-00002A420000}"/>
    <cellStyle name="40% - Accent2 86 28 3" xfId="16937" xr:uid="{00000000-0005-0000-0000-00002B420000}"/>
    <cellStyle name="40% - Accent2 86 29" xfId="16938" xr:uid="{00000000-0005-0000-0000-00002C420000}"/>
    <cellStyle name="40% - Accent2 86 29 2" xfId="16939" xr:uid="{00000000-0005-0000-0000-00002D420000}"/>
    <cellStyle name="40% - Accent2 86 29 2 2" xfId="16940" xr:uid="{00000000-0005-0000-0000-00002E420000}"/>
    <cellStyle name="40% - Accent2 86 29 3" xfId="16941" xr:uid="{00000000-0005-0000-0000-00002F420000}"/>
    <cellStyle name="40% - Accent2 86 3" xfId="16942" xr:uid="{00000000-0005-0000-0000-000030420000}"/>
    <cellStyle name="40% - Accent2 86 3 2" xfId="16943" xr:uid="{00000000-0005-0000-0000-000031420000}"/>
    <cellStyle name="40% - Accent2 86 3 2 2" xfId="16944" xr:uid="{00000000-0005-0000-0000-000032420000}"/>
    <cellStyle name="40% - Accent2 86 3 3" xfId="16945" xr:uid="{00000000-0005-0000-0000-000033420000}"/>
    <cellStyle name="40% - Accent2 86 30" xfId="16946" xr:uid="{00000000-0005-0000-0000-000034420000}"/>
    <cellStyle name="40% - Accent2 86 30 2" xfId="16947" xr:uid="{00000000-0005-0000-0000-000035420000}"/>
    <cellStyle name="40% - Accent2 86 30 2 2" xfId="16948" xr:uid="{00000000-0005-0000-0000-000036420000}"/>
    <cellStyle name="40% - Accent2 86 30 3" xfId="16949" xr:uid="{00000000-0005-0000-0000-000037420000}"/>
    <cellStyle name="40% - Accent2 86 31" xfId="16950" xr:uid="{00000000-0005-0000-0000-000038420000}"/>
    <cellStyle name="40% - Accent2 86 31 2" xfId="16951" xr:uid="{00000000-0005-0000-0000-000039420000}"/>
    <cellStyle name="40% - Accent2 86 31 2 2" xfId="16952" xr:uid="{00000000-0005-0000-0000-00003A420000}"/>
    <cellStyle name="40% - Accent2 86 31 3" xfId="16953" xr:uid="{00000000-0005-0000-0000-00003B420000}"/>
    <cellStyle name="40% - Accent2 86 32" xfId="16954" xr:uid="{00000000-0005-0000-0000-00003C420000}"/>
    <cellStyle name="40% - Accent2 86 32 2" xfId="16955" xr:uid="{00000000-0005-0000-0000-00003D420000}"/>
    <cellStyle name="40% - Accent2 86 32 2 2" xfId="16956" xr:uid="{00000000-0005-0000-0000-00003E420000}"/>
    <cellStyle name="40% - Accent2 86 32 3" xfId="16957" xr:uid="{00000000-0005-0000-0000-00003F420000}"/>
    <cellStyle name="40% - Accent2 86 33" xfId="16958" xr:uid="{00000000-0005-0000-0000-000040420000}"/>
    <cellStyle name="40% - Accent2 86 33 2" xfId="16959" xr:uid="{00000000-0005-0000-0000-000041420000}"/>
    <cellStyle name="40% - Accent2 86 33 2 2" xfId="16960" xr:uid="{00000000-0005-0000-0000-000042420000}"/>
    <cellStyle name="40% - Accent2 86 33 3" xfId="16961" xr:uid="{00000000-0005-0000-0000-000043420000}"/>
    <cellStyle name="40% - Accent2 86 34" xfId="16962" xr:uid="{00000000-0005-0000-0000-000044420000}"/>
    <cellStyle name="40% - Accent2 86 34 2" xfId="16963" xr:uid="{00000000-0005-0000-0000-000045420000}"/>
    <cellStyle name="40% - Accent2 86 34 2 2" xfId="16964" xr:uid="{00000000-0005-0000-0000-000046420000}"/>
    <cellStyle name="40% - Accent2 86 34 3" xfId="16965" xr:uid="{00000000-0005-0000-0000-000047420000}"/>
    <cellStyle name="40% - Accent2 86 35" xfId="16966" xr:uid="{00000000-0005-0000-0000-000048420000}"/>
    <cellStyle name="40% - Accent2 86 35 2" xfId="16967" xr:uid="{00000000-0005-0000-0000-000049420000}"/>
    <cellStyle name="40% - Accent2 86 35 2 2" xfId="16968" xr:uid="{00000000-0005-0000-0000-00004A420000}"/>
    <cellStyle name="40% - Accent2 86 35 3" xfId="16969" xr:uid="{00000000-0005-0000-0000-00004B420000}"/>
    <cellStyle name="40% - Accent2 86 36" xfId="16970" xr:uid="{00000000-0005-0000-0000-00004C420000}"/>
    <cellStyle name="40% - Accent2 86 36 2" xfId="16971" xr:uid="{00000000-0005-0000-0000-00004D420000}"/>
    <cellStyle name="40% - Accent2 86 36 2 2" xfId="16972" xr:uid="{00000000-0005-0000-0000-00004E420000}"/>
    <cellStyle name="40% - Accent2 86 36 3" xfId="16973" xr:uid="{00000000-0005-0000-0000-00004F420000}"/>
    <cellStyle name="40% - Accent2 86 4" xfId="16974" xr:uid="{00000000-0005-0000-0000-000050420000}"/>
    <cellStyle name="40% - Accent2 86 4 2" xfId="16975" xr:uid="{00000000-0005-0000-0000-000051420000}"/>
    <cellStyle name="40% - Accent2 86 4 2 2" xfId="16976" xr:uid="{00000000-0005-0000-0000-000052420000}"/>
    <cellStyle name="40% - Accent2 86 4 3" xfId="16977" xr:uid="{00000000-0005-0000-0000-000053420000}"/>
    <cellStyle name="40% - Accent2 86 5" xfId="16978" xr:uid="{00000000-0005-0000-0000-000054420000}"/>
    <cellStyle name="40% - Accent2 86 5 2" xfId="16979" xr:uid="{00000000-0005-0000-0000-000055420000}"/>
    <cellStyle name="40% - Accent2 86 5 2 2" xfId="16980" xr:uid="{00000000-0005-0000-0000-000056420000}"/>
    <cellStyle name="40% - Accent2 86 5 3" xfId="16981" xr:uid="{00000000-0005-0000-0000-000057420000}"/>
    <cellStyle name="40% - Accent2 86 6" xfId="16982" xr:uid="{00000000-0005-0000-0000-000058420000}"/>
    <cellStyle name="40% - Accent2 86 6 2" xfId="16983" xr:uid="{00000000-0005-0000-0000-000059420000}"/>
    <cellStyle name="40% - Accent2 86 6 2 2" xfId="16984" xr:uid="{00000000-0005-0000-0000-00005A420000}"/>
    <cellStyle name="40% - Accent2 86 6 3" xfId="16985" xr:uid="{00000000-0005-0000-0000-00005B420000}"/>
    <cellStyle name="40% - Accent2 86 7" xfId="16986" xr:uid="{00000000-0005-0000-0000-00005C420000}"/>
    <cellStyle name="40% - Accent2 86 7 2" xfId="16987" xr:uid="{00000000-0005-0000-0000-00005D420000}"/>
    <cellStyle name="40% - Accent2 86 7 2 2" xfId="16988" xr:uid="{00000000-0005-0000-0000-00005E420000}"/>
    <cellStyle name="40% - Accent2 86 7 3" xfId="16989" xr:uid="{00000000-0005-0000-0000-00005F420000}"/>
    <cellStyle name="40% - Accent2 86 8" xfId="16990" xr:uid="{00000000-0005-0000-0000-000060420000}"/>
    <cellStyle name="40% - Accent2 86 8 2" xfId="16991" xr:uid="{00000000-0005-0000-0000-000061420000}"/>
    <cellStyle name="40% - Accent2 86 8 2 2" xfId="16992" xr:uid="{00000000-0005-0000-0000-000062420000}"/>
    <cellStyle name="40% - Accent2 86 8 3" xfId="16993" xr:uid="{00000000-0005-0000-0000-000063420000}"/>
    <cellStyle name="40% - Accent2 86 9" xfId="16994" xr:uid="{00000000-0005-0000-0000-000064420000}"/>
    <cellStyle name="40% - Accent2 86 9 2" xfId="16995" xr:uid="{00000000-0005-0000-0000-000065420000}"/>
    <cellStyle name="40% - Accent2 86 9 2 2" xfId="16996" xr:uid="{00000000-0005-0000-0000-000066420000}"/>
    <cellStyle name="40% - Accent2 86 9 3" xfId="16997" xr:uid="{00000000-0005-0000-0000-000067420000}"/>
    <cellStyle name="40% - Accent2 87" xfId="16998" xr:uid="{00000000-0005-0000-0000-000068420000}"/>
    <cellStyle name="40% - Accent2 87 10" xfId="16999" xr:uid="{00000000-0005-0000-0000-000069420000}"/>
    <cellStyle name="40% - Accent2 87 10 2" xfId="17000" xr:uid="{00000000-0005-0000-0000-00006A420000}"/>
    <cellStyle name="40% - Accent2 87 10 2 2" xfId="17001" xr:uid="{00000000-0005-0000-0000-00006B420000}"/>
    <cellStyle name="40% - Accent2 87 10 3" xfId="17002" xr:uid="{00000000-0005-0000-0000-00006C420000}"/>
    <cellStyle name="40% - Accent2 87 11" xfId="17003" xr:uid="{00000000-0005-0000-0000-00006D420000}"/>
    <cellStyle name="40% - Accent2 87 11 2" xfId="17004" xr:uid="{00000000-0005-0000-0000-00006E420000}"/>
    <cellStyle name="40% - Accent2 87 11 2 2" xfId="17005" xr:uid="{00000000-0005-0000-0000-00006F420000}"/>
    <cellStyle name="40% - Accent2 87 11 3" xfId="17006" xr:uid="{00000000-0005-0000-0000-000070420000}"/>
    <cellStyle name="40% - Accent2 87 12" xfId="17007" xr:uid="{00000000-0005-0000-0000-000071420000}"/>
    <cellStyle name="40% - Accent2 87 12 2" xfId="17008" xr:uid="{00000000-0005-0000-0000-000072420000}"/>
    <cellStyle name="40% - Accent2 87 12 2 2" xfId="17009" xr:uid="{00000000-0005-0000-0000-000073420000}"/>
    <cellStyle name="40% - Accent2 87 12 3" xfId="17010" xr:uid="{00000000-0005-0000-0000-000074420000}"/>
    <cellStyle name="40% - Accent2 87 13" xfId="17011" xr:uid="{00000000-0005-0000-0000-000075420000}"/>
    <cellStyle name="40% - Accent2 87 13 2" xfId="17012" xr:uid="{00000000-0005-0000-0000-000076420000}"/>
    <cellStyle name="40% - Accent2 87 13 2 2" xfId="17013" xr:uid="{00000000-0005-0000-0000-000077420000}"/>
    <cellStyle name="40% - Accent2 87 13 3" xfId="17014" xr:uid="{00000000-0005-0000-0000-000078420000}"/>
    <cellStyle name="40% - Accent2 87 14" xfId="17015" xr:uid="{00000000-0005-0000-0000-000079420000}"/>
    <cellStyle name="40% - Accent2 87 14 2" xfId="17016" xr:uid="{00000000-0005-0000-0000-00007A420000}"/>
    <cellStyle name="40% - Accent2 87 14 2 2" xfId="17017" xr:uid="{00000000-0005-0000-0000-00007B420000}"/>
    <cellStyle name="40% - Accent2 87 14 3" xfId="17018" xr:uid="{00000000-0005-0000-0000-00007C420000}"/>
    <cellStyle name="40% - Accent2 87 15" xfId="17019" xr:uid="{00000000-0005-0000-0000-00007D420000}"/>
    <cellStyle name="40% - Accent2 87 15 2" xfId="17020" xr:uid="{00000000-0005-0000-0000-00007E420000}"/>
    <cellStyle name="40% - Accent2 87 15 2 2" xfId="17021" xr:uid="{00000000-0005-0000-0000-00007F420000}"/>
    <cellStyle name="40% - Accent2 87 15 3" xfId="17022" xr:uid="{00000000-0005-0000-0000-000080420000}"/>
    <cellStyle name="40% - Accent2 87 16" xfId="17023" xr:uid="{00000000-0005-0000-0000-000081420000}"/>
    <cellStyle name="40% - Accent2 87 16 2" xfId="17024" xr:uid="{00000000-0005-0000-0000-000082420000}"/>
    <cellStyle name="40% - Accent2 87 16 2 2" xfId="17025" xr:uid="{00000000-0005-0000-0000-000083420000}"/>
    <cellStyle name="40% - Accent2 87 16 3" xfId="17026" xr:uid="{00000000-0005-0000-0000-000084420000}"/>
    <cellStyle name="40% - Accent2 87 17" xfId="17027" xr:uid="{00000000-0005-0000-0000-000085420000}"/>
    <cellStyle name="40% - Accent2 87 17 2" xfId="17028" xr:uid="{00000000-0005-0000-0000-000086420000}"/>
    <cellStyle name="40% - Accent2 87 17 2 2" xfId="17029" xr:uid="{00000000-0005-0000-0000-000087420000}"/>
    <cellStyle name="40% - Accent2 87 17 3" xfId="17030" xr:uid="{00000000-0005-0000-0000-000088420000}"/>
    <cellStyle name="40% - Accent2 87 18" xfId="17031" xr:uid="{00000000-0005-0000-0000-000089420000}"/>
    <cellStyle name="40% - Accent2 87 18 2" xfId="17032" xr:uid="{00000000-0005-0000-0000-00008A420000}"/>
    <cellStyle name="40% - Accent2 87 18 2 2" xfId="17033" xr:uid="{00000000-0005-0000-0000-00008B420000}"/>
    <cellStyle name="40% - Accent2 87 18 3" xfId="17034" xr:uid="{00000000-0005-0000-0000-00008C420000}"/>
    <cellStyle name="40% - Accent2 87 19" xfId="17035" xr:uid="{00000000-0005-0000-0000-00008D420000}"/>
    <cellStyle name="40% - Accent2 87 19 2" xfId="17036" xr:uid="{00000000-0005-0000-0000-00008E420000}"/>
    <cellStyle name="40% - Accent2 87 19 2 2" xfId="17037" xr:uid="{00000000-0005-0000-0000-00008F420000}"/>
    <cellStyle name="40% - Accent2 87 19 3" xfId="17038" xr:uid="{00000000-0005-0000-0000-000090420000}"/>
    <cellStyle name="40% - Accent2 87 2" xfId="17039" xr:uid="{00000000-0005-0000-0000-000091420000}"/>
    <cellStyle name="40% - Accent2 87 2 2" xfId="17040" xr:uid="{00000000-0005-0000-0000-000092420000}"/>
    <cellStyle name="40% - Accent2 87 2 2 2" xfId="17041" xr:uid="{00000000-0005-0000-0000-000093420000}"/>
    <cellStyle name="40% - Accent2 87 2 3" xfId="17042" xr:uid="{00000000-0005-0000-0000-000094420000}"/>
    <cellStyle name="40% - Accent2 87 20" xfId="17043" xr:uid="{00000000-0005-0000-0000-000095420000}"/>
    <cellStyle name="40% - Accent2 87 20 2" xfId="17044" xr:uid="{00000000-0005-0000-0000-000096420000}"/>
    <cellStyle name="40% - Accent2 87 20 2 2" xfId="17045" xr:uid="{00000000-0005-0000-0000-000097420000}"/>
    <cellStyle name="40% - Accent2 87 20 3" xfId="17046" xr:uid="{00000000-0005-0000-0000-000098420000}"/>
    <cellStyle name="40% - Accent2 87 21" xfId="17047" xr:uid="{00000000-0005-0000-0000-000099420000}"/>
    <cellStyle name="40% - Accent2 87 21 2" xfId="17048" xr:uid="{00000000-0005-0000-0000-00009A420000}"/>
    <cellStyle name="40% - Accent2 87 21 2 2" xfId="17049" xr:uid="{00000000-0005-0000-0000-00009B420000}"/>
    <cellStyle name="40% - Accent2 87 21 3" xfId="17050" xr:uid="{00000000-0005-0000-0000-00009C420000}"/>
    <cellStyle name="40% - Accent2 87 22" xfId="17051" xr:uid="{00000000-0005-0000-0000-00009D420000}"/>
    <cellStyle name="40% - Accent2 87 22 2" xfId="17052" xr:uid="{00000000-0005-0000-0000-00009E420000}"/>
    <cellStyle name="40% - Accent2 87 22 2 2" xfId="17053" xr:uid="{00000000-0005-0000-0000-00009F420000}"/>
    <cellStyle name="40% - Accent2 87 22 3" xfId="17054" xr:uid="{00000000-0005-0000-0000-0000A0420000}"/>
    <cellStyle name="40% - Accent2 87 23" xfId="17055" xr:uid="{00000000-0005-0000-0000-0000A1420000}"/>
    <cellStyle name="40% - Accent2 87 23 2" xfId="17056" xr:uid="{00000000-0005-0000-0000-0000A2420000}"/>
    <cellStyle name="40% - Accent2 87 23 2 2" xfId="17057" xr:uid="{00000000-0005-0000-0000-0000A3420000}"/>
    <cellStyle name="40% - Accent2 87 23 3" xfId="17058" xr:uid="{00000000-0005-0000-0000-0000A4420000}"/>
    <cellStyle name="40% - Accent2 87 24" xfId="17059" xr:uid="{00000000-0005-0000-0000-0000A5420000}"/>
    <cellStyle name="40% - Accent2 87 24 2" xfId="17060" xr:uid="{00000000-0005-0000-0000-0000A6420000}"/>
    <cellStyle name="40% - Accent2 87 24 2 2" xfId="17061" xr:uid="{00000000-0005-0000-0000-0000A7420000}"/>
    <cellStyle name="40% - Accent2 87 24 3" xfId="17062" xr:uid="{00000000-0005-0000-0000-0000A8420000}"/>
    <cellStyle name="40% - Accent2 87 25" xfId="17063" xr:uid="{00000000-0005-0000-0000-0000A9420000}"/>
    <cellStyle name="40% - Accent2 87 25 2" xfId="17064" xr:uid="{00000000-0005-0000-0000-0000AA420000}"/>
    <cellStyle name="40% - Accent2 87 25 2 2" xfId="17065" xr:uid="{00000000-0005-0000-0000-0000AB420000}"/>
    <cellStyle name="40% - Accent2 87 25 3" xfId="17066" xr:uid="{00000000-0005-0000-0000-0000AC420000}"/>
    <cellStyle name="40% - Accent2 87 26" xfId="17067" xr:uid="{00000000-0005-0000-0000-0000AD420000}"/>
    <cellStyle name="40% - Accent2 87 26 2" xfId="17068" xr:uid="{00000000-0005-0000-0000-0000AE420000}"/>
    <cellStyle name="40% - Accent2 87 26 2 2" xfId="17069" xr:uid="{00000000-0005-0000-0000-0000AF420000}"/>
    <cellStyle name="40% - Accent2 87 26 3" xfId="17070" xr:uid="{00000000-0005-0000-0000-0000B0420000}"/>
    <cellStyle name="40% - Accent2 87 27" xfId="17071" xr:uid="{00000000-0005-0000-0000-0000B1420000}"/>
    <cellStyle name="40% - Accent2 87 27 2" xfId="17072" xr:uid="{00000000-0005-0000-0000-0000B2420000}"/>
    <cellStyle name="40% - Accent2 87 27 2 2" xfId="17073" xr:uid="{00000000-0005-0000-0000-0000B3420000}"/>
    <cellStyle name="40% - Accent2 87 27 3" xfId="17074" xr:uid="{00000000-0005-0000-0000-0000B4420000}"/>
    <cellStyle name="40% - Accent2 87 28" xfId="17075" xr:uid="{00000000-0005-0000-0000-0000B5420000}"/>
    <cellStyle name="40% - Accent2 87 28 2" xfId="17076" xr:uid="{00000000-0005-0000-0000-0000B6420000}"/>
    <cellStyle name="40% - Accent2 87 28 2 2" xfId="17077" xr:uid="{00000000-0005-0000-0000-0000B7420000}"/>
    <cellStyle name="40% - Accent2 87 28 3" xfId="17078" xr:uid="{00000000-0005-0000-0000-0000B8420000}"/>
    <cellStyle name="40% - Accent2 87 29" xfId="17079" xr:uid="{00000000-0005-0000-0000-0000B9420000}"/>
    <cellStyle name="40% - Accent2 87 29 2" xfId="17080" xr:uid="{00000000-0005-0000-0000-0000BA420000}"/>
    <cellStyle name="40% - Accent2 87 29 2 2" xfId="17081" xr:uid="{00000000-0005-0000-0000-0000BB420000}"/>
    <cellStyle name="40% - Accent2 87 29 3" xfId="17082" xr:uid="{00000000-0005-0000-0000-0000BC420000}"/>
    <cellStyle name="40% - Accent2 87 3" xfId="17083" xr:uid="{00000000-0005-0000-0000-0000BD420000}"/>
    <cellStyle name="40% - Accent2 87 3 2" xfId="17084" xr:uid="{00000000-0005-0000-0000-0000BE420000}"/>
    <cellStyle name="40% - Accent2 87 3 2 2" xfId="17085" xr:uid="{00000000-0005-0000-0000-0000BF420000}"/>
    <cellStyle name="40% - Accent2 87 3 3" xfId="17086" xr:uid="{00000000-0005-0000-0000-0000C0420000}"/>
    <cellStyle name="40% - Accent2 87 30" xfId="17087" xr:uid="{00000000-0005-0000-0000-0000C1420000}"/>
    <cellStyle name="40% - Accent2 87 30 2" xfId="17088" xr:uid="{00000000-0005-0000-0000-0000C2420000}"/>
    <cellStyle name="40% - Accent2 87 30 2 2" xfId="17089" xr:uid="{00000000-0005-0000-0000-0000C3420000}"/>
    <cellStyle name="40% - Accent2 87 30 3" xfId="17090" xr:uid="{00000000-0005-0000-0000-0000C4420000}"/>
    <cellStyle name="40% - Accent2 87 31" xfId="17091" xr:uid="{00000000-0005-0000-0000-0000C5420000}"/>
    <cellStyle name="40% - Accent2 87 31 2" xfId="17092" xr:uid="{00000000-0005-0000-0000-0000C6420000}"/>
    <cellStyle name="40% - Accent2 87 31 2 2" xfId="17093" xr:uid="{00000000-0005-0000-0000-0000C7420000}"/>
    <cellStyle name="40% - Accent2 87 31 3" xfId="17094" xr:uid="{00000000-0005-0000-0000-0000C8420000}"/>
    <cellStyle name="40% - Accent2 87 32" xfId="17095" xr:uid="{00000000-0005-0000-0000-0000C9420000}"/>
    <cellStyle name="40% - Accent2 87 32 2" xfId="17096" xr:uid="{00000000-0005-0000-0000-0000CA420000}"/>
    <cellStyle name="40% - Accent2 87 32 2 2" xfId="17097" xr:uid="{00000000-0005-0000-0000-0000CB420000}"/>
    <cellStyle name="40% - Accent2 87 32 3" xfId="17098" xr:uid="{00000000-0005-0000-0000-0000CC420000}"/>
    <cellStyle name="40% - Accent2 87 33" xfId="17099" xr:uid="{00000000-0005-0000-0000-0000CD420000}"/>
    <cellStyle name="40% - Accent2 87 33 2" xfId="17100" xr:uid="{00000000-0005-0000-0000-0000CE420000}"/>
    <cellStyle name="40% - Accent2 87 33 2 2" xfId="17101" xr:uid="{00000000-0005-0000-0000-0000CF420000}"/>
    <cellStyle name="40% - Accent2 87 33 3" xfId="17102" xr:uid="{00000000-0005-0000-0000-0000D0420000}"/>
    <cellStyle name="40% - Accent2 87 34" xfId="17103" xr:uid="{00000000-0005-0000-0000-0000D1420000}"/>
    <cellStyle name="40% - Accent2 87 34 2" xfId="17104" xr:uid="{00000000-0005-0000-0000-0000D2420000}"/>
    <cellStyle name="40% - Accent2 87 34 2 2" xfId="17105" xr:uid="{00000000-0005-0000-0000-0000D3420000}"/>
    <cellStyle name="40% - Accent2 87 34 3" xfId="17106" xr:uid="{00000000-0005-0000-0000-0000D4420000}"/>
    <cellStyle name="40% - Accent2 87 35" xfId="17107" xr:uid="{00000000-0005-0000-0000-0000D5420000}"/>
    <cellStyle name="40% - Accent2 87 35 2" xfId="17108" xr:uid="{00000000-0005-0000-0000-0000D6420000}"/>
    <cellStyle name="40% - Accent2 87 35 2 2" xfId="17109" xr:uid="{00000000-0005-0000-0000-0000D7420000}"/>
    <cellStyle name="40% - Accent2 87 35 3" xfId="17110" xr:uid="{00000000-0005-0000-0000-0000D8420000}"/>
    <cellStyle name="40% - Accent2 87 36" xfId="17111" xr:uid="{00000000-0005-0000-0000-0000D9420000}"/>
    <cellStyle name="40% - Accent2 87 36 2" xfId="17112" xr:uid="{00000000-0005-0000-0000-0000DA420000}"/>
    <cellStyle name="40% - Accent2 87 36 2 2" xfId="17113" xr:uid="{00000000-0005-0000-0000-0000DB420000}"/>
    <cellStyle name="40% - Accent2 87 36 3" xfId="17114" xr:uid="{00000000-0005-0000-0000-0000DC420000}"/>
    <cellStyle name="40% - Accent2 87 4" xfId="17115" xr:uid="{00000000-0005-0000-0000-0000DD420000}"/>
    <cellStyle name="40% - Accent2 87 4 2" xfId="17116" xr:uid="{00000000-0005-0000-0000-0000DE420000}"/>
    <cellStyle name="40% - Accent2 87 4 2 2" xfId="17117" xr:uid="{00000000-0005-0000-0000-0000DF420000}"/>
    <cellStyle name="40% - Accent2 87 4 3" xfId="17118" xr:uid="{00000000-0005-0000-0000-0000E0420000}"/>
    <cellStyle name="40% - Accent2 87 5" xfId="17119" xr:uid="{00000000-0005-0000-0000-0000E1420000}"/>
    <cellStyle name="40% - Accent2 87 5 2" xfId="17120" xr:uid="{00000000-0005-0000-0000-0000E2420000}"/>
    <cellStyle name="40% - Accent2 87 5 2 2" xfId="17121" xr:uid="{00000000-0005-0000-0000-0000E3420000}"/>
    <cellStyle name="40% - Accent2 87 5 3" xfId="17122" xr:uid="{00000000-0005-0000-0000-0000E4420000}"/>
    <cellStyle name="40% - Accent2 87 6" xfId="17123" xr:uid="{00000000-0005-0000-0000-0000E5420000}"/>
    <cellStyle name="40% - Accent2 87 6 2" xfId="17124" xr:uid="{00000000-0005-0000-0000-0000E6420000}"/>
    <cellStyle name="40% - Accent2 87 6 2 2" xfId="17125" xr:uid="{00000000-0005-0000-0000-0000E7420000}"/>
    <cellStyle name="40% - Accent2 87 6 3" xfId="17126" xr:uid="{00000000-0005-0000-0000-0000E8420000}"/>
    <cellStyle name="40% - Accent2 87 7" xfId="17127" xr:uid="{00000000-0005-0000-0000-0000E9420000}"/>
    <cellStyle name="40% - Accent2 87 7 2" xfId="17128" xr:uid="{00000000-0005-0000-0000-0000EA420000}"/>
    <cellStyle name="40% - Accent2 87 7 2 2" xfId="17129" xr:uid="{00000000-0005-0000-0000-0000EB420000}"/>
    <cellStyle name="40% - Accent2 87 7 3" xfId="17130" xr:uid="{00000000-0005-0000-0000-0000EC420000}"/>
    <cellStyle name="40% - Accent2 87 8" xfId="17131" xr:uid="{00000000-0005-0000-0000-0000ED420000}"/>
    <cellStyle name="40% - Accent2 87 8 2" xfId="17132" xr:uid="{00000000-0005-0000-0000-0000EE420000}"/>
    <cellStyle name="40% - Accent2 87 8 2 2" xfId="17133" xr:uid="{00000000-0005-0000-0000-0000EF420000}"/>
    <cellStyle name="40% - Accent2 87 8 3" xfId="17134" xr:uid="{00000000-0005-0000-0000-0000F0420000}"/>
    <cellStyle name="40% - Accent2 87 9" xfId="17135" xr:uid="{00000000-0005-0000-0000-0000F1420000}"/>
    <cellStyle name="40% - Accent2 87 9 2" xfId="17136" xr:uid="{00000000-0005-0000-0000-0000F2420000}"/>
    <cellStyle name="40% - Accent2 87 9 2 2" xfId="17137" xr:uid="{00000000-0005-0000-0000-0000F3420000}"/>
    <cellStyle name="40% - Accent2 87 9 3" xfId="17138" xr:uid="{00000000-0005-0000-0000-0000F4420000}"/>
    <cellStyle name="40% - Accent2 88" xfId="17139" xr:uid="{00000000-0005-0000-0000-0000F5420000}"/>
    <cellStyle name="40% - Accent2 88 10" xfId="17140" xr:uid="{00000000-0005-0000-0000-0000F6420000}"/>
    <cellStyle name="40% - Accent2 88 10 2" xfId="17141" xr:uid="{00000000-0005-0000-0000-0000F7420000}"/>
    <cellStyle name="40% - Accent2 88 10 2 2" xfId="17142" xr:uid="{00000000-0005-0000-0000-0000F8420000}"/>
    <cellStyle name="40% - Accent2 88 10 3" xfId="17143" xr:uid="{00000000-0005-0000-0000-0000F9420000}"/>
    <cellStyle name="40% - Accent2 88 11" xfId="17144" xr:uid="{00000000-0005-0000-0000-0000FA420000}"/>
    <cellStyle name="40% - Accent2 88 11 2" xfId="17145" xr:uid="{00000000-0005-0000-0000-0000FB420000}"/>
    <cellStyle name="40% - Accent2 88 11 2 2" xfId="17146" xr:uid="{00000000-0005-0000-0000-0000FC420000}"/>
    <cellStyle name="40% - Accent2 88 11 3" xfId="17147" xr:uid="{00000000-0005-0000-0000-0000FD420000}"/>
    <cellStyle name="40% - Accent2 88 12" xfId="17148" xr:uid="{00000000-0005-0000-0000-0000FE420000}"/>
    <cellStyle name="40% - Accent2 88 12 2" xfId="17149" xr:uid="{00000000-0005-0000-0000-0000FF420000}"/>
    <cellStyle name="40% - Accent2 88 12 2 2" xfId="17150" xr:uid="{00000000-0005-0000-0000-000000430000}"/>
    <cellStyle name="40% - Accent2 88 12 3" xfId="17151" xr:uid="{00000000-0005-0000-0000-000001430000}"/>
    <cellStyle name="40% - Accent2 88 13" xfId="17152" xr:uid="{00000000-0005-0000-0000-000002430000}"/>
    <cellStyle name="40% - Accent2 88 13 2" xfId="17153" xr:uid="{00000000-0005-0000-0000-000003430000}"/>
    <cellStyle name="40% - Accent2 88 13 2 2" xfId="17154" xr:uid="{00000000-0005-0000-0000-000004430000}"/>
    <cellStyle name="40% - Accent2 88 13 3" xfId="17155" xr:uid="{00000000-0005-0000-0000-000005430000}"/>
    <cellStyle name="40% - Accent2 88 14" xfId="17156" xr:uid="{00000000-0005-0000-0000-000006430000}"/>
    <cellStyle name="40% - Accent2 88 14 2" xfId="17157" xr:uid="{00000000-0005-0000-0000-000007430000}"/>
    <cellStyle name="40% - Accent2 88 14 2 2" xfId="17158" xr:uid="{00000000-0005-0000-0000-000008430000}"/>
    <cellStyle name="40% - Accent2 88 14 3" xfId="17159" xr:uid="{00000000-0005-0000-0000-000009430000}"/>
    <cellStyle name="40% - Accent2 88 15" xfId="17160" xr:uid="{00000000-0005-0000-0000-00000A430000}"/>
    <cellStyle name="40% - Accent2 88 15 2" xfId="17161" xr:uid="{00000000-0005-0000-0000-00000B430000}"/>
    <cellStyle name="40% - Accent2 88 15 2 2" xfId="17162" xr:uid="{00000000-0005-0000-0000-00000C430000}"/>
    <cellStyle name="40% - Accent2 88 15 3" xfId="17163" xr:uid="{00000000-0005-0000-0000-00000D430000}"/>
    <cellStyle name="40% - Accent2 88 16" xfId="17164" xr:uid="{00000000-0005-0000-0000-00000E430000}"/>
    <cellStyle name="40% - Accent2 88 16 2" xfId="17165" xr:uid="{00000000-0005-0000-0000-00000F430000}"/>
    <cellStyle name="40% - Accent2 88 16 2 2" xfId="17166" xr:uid="{00000000-0005-0000-0000-000010430000}"/>
    <cellStyle name="40% - Accent2 88 16 3" xfId="17167" xr:uid="{00000000-0005-0000-0000-000011430000}"/>
    <cellStyle name="40% - Accent2 88 17" xfId="17168" xr:uid="{00000000-0005-0000-0000-000012430000}"/>
    <cellStyle name="40% - Accent2 88 17 2" xfId="17169" xr:uid="{00000000-0005-0000-0000-000013430000}"/>
    <cellStyle name="40% - Accent2 88 17 2 2" xfId="17170" xr:uid="{00000000-0005-0000-0000-000014430000}"/>
    <cellStyle name="40% - Accent2 88 17 3" xfId="17171" xr:uid="{00000000-0005-0000-0000-000015430000}"/>
    <cellStyle name="40% - Accent2 88 18" xfId="17172" xr:uid="{00000000-0005-0000-0000-000016430000}"/>
    <cellStyle name="40% - Accent2 88 18 2" xfId="17173" xr:uid="{00000000-0005-0000-0000-000017430000}"/>
    <cellStyle name="40% - Accent2 88 18 2 2" xfId="17174" xr:uid="{00000000-0005-0000-0000-000018430000}"/>
    <cellStyle name="40% - Accent2 88 18 3" xfId="17175" xr:uid="{00000000-0005-0000-0000-000019430000}"/>
    <cellStyle name="40% - Accent2 88 19" xfId="17176" xr:uid="{00000000-0005-0000-0000-00001A430000}"/>
    <cellStyle name="40% - Accent2 88 19 2" xfId="17177" xr:uid="{00000000-0005-0000-0000-00001B430000}"/>
    <cellStyle name="40% - Accent2 88 19 2 2" xfId="17178" xr:uid="{00000000-0005-0000-0000-00001C430000}"/>
    <cellStyle name="40% - Accent2 88 19 3" xfId="17179" xr:uid="{00000000-0005-0000-0000-00001D430000}"/>
    <cellStyle name="40% - Accent2 88 2" xfId="17180" xr:uid="{00000000-0005-0000-0000-00001E430000}"/>
    <cellStyle name="40% - Accent2 88 2 2" xfId="17181" xr:uid="{00000000-0005-0000-0000-00001F430000}"/>
    <cellStyle name="40% - Accent2 88 2 2 2" xfId="17182" xr:uid="{00000000-0005-0000-0000-000020430000}"/>
    <cellStyle name="40% - Accent2 88 2 3" xfId="17183" xr:uid="{00000000-0005-0000-0000-000021430000}"/>
    <cellStyle name="40% - Accent2 88 20" xfId="17184" xr:uid="{00000000-0005-0000-0000-000022430000}"/>
    <cellStyle name="40% - Accent2 88 20 2" xfId="17185" xr:uid="{00000000-0005-0000-0000-000023430000}"/>
    <cellStyle name="40% - Accent2 88 20 2 2" xfId="17186" xr:uid="{00000000-0005-0000-0000-000024430000}"/>
    <cellStyle name="40% - Accent2 88 20 3" xfId="17187" xr:uid="{00000000-0005-0000-0000-000025430000}"/>
    <cellStyle name="40% - Accent2 88 21" xfId="17188" xr:uid="{00000000-0005-0000-0000-000026430000}"/>
    <cellStyle name="40% - Accent2 88 21 2" xfId="17189" xr:uid="{00000000-0005-0000-0000-000027430000}"/>
    <cellStyle name="40% - Accent2 88 21 2 2" xfId="17190" xr:uid="{00000000-0005-0000-0000-000028430000}"/>
    <cellStyle name="40% - Accent2 88 21 3" xfId="17191" xr:uid="{00000000-0005-0000-0000-000029430000}"/>
    <cellStyle name="40% - Accent2 88 22" xfId="17192" xr:uid="{00000000-0005-0000-0000-00002A430000}"/>
    <cellStyle name="40% - Accent2 88 22 2" xfId="17193" xr:uid="{00000000-0005-0000-0000-00002B430000}"/>
    <cellStyle name="40% - Accent2 88 22 2 2" xfId="17194" xr:uid="{00000000-0005-0000-0000-00002C430000}"/>
    <cellStyle name="40% - Accent2 88 22 3" xfId="17195" xr:uid="{00000000-0005-0000-0000-00002D430000}"/>
    <cellStyle name="40% - Accent2 88 23" xfId="17196" xr:uid="{00000000-0005-0000-0000-00002E430000}"/>
    <cellStyle name="40% - Accent2 88 23 2" xfId="17197" xr:uid="{00000000-0005-0000-0000-00002F430000}"/>
    <cellStyle name="40% - Accent2 88 23 2 2" xfId="17198" xr:uid="{00000000-0005-0000-0000-000030430000}"/>
    <cellStyle name="40% - Accent2 88 23 3" xfId="17199" xr:uid="{00000000-0005-0000-0000-000031430000}"/>
    <cellStyle name="40% - Accent2 88 24" xfId="17200" xr:uid="{00000000-0005-0000-0000-000032430000}"/>
    <cellStyle name="40% - Accent2 88 24 2" xfId="17201" xr:uid="{00000000-0005-0000-0000-000033430000}"/>
    <cellStyle name="40% - Accent2 88 24 2 2" xfId="17202" xr:uid="{00000000-0005-0000-0000-000034430000}"/>
    <cellStyle name="40% - Accent2 88 24 3" xfId="17203" xr:uid="{00000000-0005-0000-0000-000035430000}"/>
    <cellStyle name="40% - Accent2 88 25" xfId="17204" xr:uid="{00000000-0005-0000-0000-000036430000}"/>
    <cellStyle name="40% - Accent2 88 25 2" xfId="17205" xr:uid="{00000000-0005-0000-0000-000037430000}"/>
    <cellStyle name="40% - Accent2 88 25 2 2" xfId="17206" xr:uid="{00000000-0005-0000-0000-000038430000}"/>
    <cellStyle name="40% - Accent2 88 25 3" xfId="17207" xr:uid="{00000000-0005-0000-0000-000039430000}"/>
    <cellStyle name="40% - Accent2 88 26" xfId="17208" xr:uid="{00000000-0005-0000-0000-00003A430000}"/>
    <cellStyle name="40% - Accent2 88 26 2" xfId="17209" xr:uid="{00000000-0005-0000-0000-00003B430000}"/>
    <cellStyle name="40% - Accent2 88 26 2 2" xfId="17210" xr:uid="{00000000-0005-0000-0000-00003C430000}"/>
    <cellStyle name="40% - Accent2 88 26 3" xfId="17211" xr:uid="{00000000-0005-0000-0000-00003D430000}"/>
    <cellStyle name="40% - Accent2 88 27" xfId="17212" xr:uid="{00000000-0005-0000-0000-00003E430000}"/>
    <cellStyle name="40% - Accent2 88 27 2" xfId="17213" xr:uid="{00000000-0005-0000-0000-00003F430000}"/>
    <cellStyle name="40% - Accent2 88 27 2 2" xfId="17214" xr:uid="{00000000-0005-0000-0000-000040430000}"/>
    <cellStyle name="40% - Accent2 88 27 3" xfId="17215" xr:uid="{00000000-0005-0000-0000-000041430000}"/>
    <cellStyle name="40% - Accent2 88 28" xfId="17216" xr:uid="{00000000-0005-0000-0000-000042430000}"/>
    <cellStyle name="40% - Accent2 88 28 2" xfId="17217" xr:uid="{00000000-0005-0000-0000-000043430000}"/>
    <cellStyle name="40% - Accent2 88 28 2 2" xfId="17218" xr:uid="{00000000-0005-0000-0000-000044430000}"/>
    <cellStyle name="40% - Accent2 88 28 3" xfId="17219" xr:uid="{00000000-0005-0000-0000-000045430000}"/>
    <cellStyle name="40% - Accent2 88 29" xfId="17220" xr:uid="{00000000-0005-0000-0000-000046430000}"/>
    <cellStyle name="40% - Accent2 88 29 2" xfId="17221" xr:uid="{00000000-0005-0000-0000-000047430000}"/>
    <cellStyle name="40% - Accent2 88 29 2 2" xfId="17222" xr:uid="{00000000-0005-0000-0000-000048430000}"/>
    <cellStyle name="40% - Accent2 88 29 3" xfId="17223" xr:uid="{00000000-0005-0000-0000-000049430000}"/>
    <cellStyle name="40% - Accent2 88 3" xfId="17224" xr:uid="{00000000-0005-0000-0000-00004A430000}"/>
    <cellStyle name="40% - Accent2 88 3 2" xfId="17225" xr:uid="{00000000-0005-0000-0000-00004B430000}"/>
    <cellStyle name="40% - Accent2 88 3 2 2" xfId="17226" xr:uid="{00000000-0005-0000-0000-00004C430000}"/>
    <cellStyle name="40% - Accent2 88 3 3" xfId="17227" xr:uid="{00000000-0005-0000-0000-00004D430000}"/>
    <cellStyle name="40% - Accent2 88 30" xfId="17228" xr:uid="{00000000-0005-0000-0000-00004E430000}"/>
    <cellStyle name="40% - Accent2 88 30 2" xfId="17229" xr:uid="{00000000-0005-0000-0000-00004F430000}"/>
    <cellStyle name="40% - Accent2 88 30 2 2" xfId="17230" xr:uid="{00000000-0005-0000-0000-000050430000}"/>
    <cellStyle name="40% - Accent2 88 30 3" xfId="17231" xr:uid="{00000000-0005-0000-0000-000051430000}"/>
    <cellStyle name="40% - Accent2 88 31" xfId="17232" xr:uid="{00000000-0005-0000-0000-000052430000}"/>
    <cellStyle name="40% - Accent2 88 31 2" xfId="17233" xr:uid="{00000000-0005-0000-0000-000053430000}"/>
    <cellStyle name="40% - Accent2 88 31 2 2" xfId="17234" xr:uid="{00000000-0005-0000-0000-000054430000}"/>
    <cellStyle name="40% - Accent2 88 31 3" xfId="17235" xr:uid="{00000000-0005-0000-0000-000055430000}"/>
    <cellStyle name="40% - Accent2 88 32" xfId="17236" xr:uid="{00000000-0005-0000-0000-000056430000}"/>
    <cellStyle name="40% - Accent2 88 32 2" xfId="17237" xr:uid="{00000000-0005-0000-0000-000057430000}"/>
    <cellStyle name="40% - Accent2 88 32 2 2" xfId="17238" xr:uid="{00000000-0005-0000-0000-000058430000}"/>
    <cellStyle name="40% - Accent2 88 32 3" xfId="17239" xr:uid="{00000000-0005-0000-0000-000059430000}"/>
    <cellStyle name="40% - Accent2 88 33" xfId="17240" xr:uid="{00000000-0005-0000-0000-00005A430000}"/>
    <cellStyle name="40% - Accent2 88 33 2" xfId="17241" xr:uid="{00000000-0005-0000-0000-00005B430000}"/>
    <cellStyle name="40% - Accent2 88 33 2 2" xfId="17242" xr:uid="{00000000-0005-0000-0000-00005C430000}"/>
    <cellStyle name="40% - Accent2 88 33 3" xfId="17243" xr:uid="{00000000-0005-0000-0000-00005D430000}"/>
    <cellStyle name="40% - Accent2 88 34" xfId="17244" xr:uid="{00000000-0005-0000-0000-00005E430000}"/>
    <cellStyle name="40% - Accent2 88 34 2" xfId="17245" xr:uid="{00000000-0005-0000-0000-00005F430000}"/>
    <cellStyle name="40% - Accent2 88 34 2 2" xfId="17246" xr:uid="{00000000-0005-0000-0000-000060430000}"/>
    <cellStyle name="40% - Accent2 88 34 3" xfId="17247" xr:uid="{00000000-0005-0000-0000-000061430000}"/>
    <cellStyle name="40% - Accent2 88 35" xfId="17248" xr:uid="{00000000-0005-0000-0000-000062430000}"/>
    <cellStyle name="40% - Accent2 88 35 2" xfId="17249" xr:uid="{00000000-0005-0000-0000-000063430000}"/>
    <cellStyle name="40% - Accent2 88 35 2 2" xfId="17250" xr:uid="{00000000-0005-0000-0000-000064430000}"/>
    <cellStyle name="40% - Accent2 88 35 3" xfId="17251" xr:uid="{00000000-0005-0000-0000-000065430000}"/>
    <cellStyle name="40% - Accent2 88 36" xfId="17252" xr:uid="{00000000-0005-0000-0000-000066430000}"/>
    <cellStyle name="40% - Accent2 88 36 2" xfId="17253" xr:uid="{00000000-0005-0000-0000-000067430000}"/>
    <cellStyle name="40% - Accent2 88 36 2 2" xfId="17254" xr:uid="{00000000-0005-0000-0000-000068430000}"/>
    <cellStyle name="40% - Accent2 88 36 3" xfId="17255" xr:uid="{00000000-0005-0000-0000-000069430000}"/>
    <cellStyle name="40% - Accent2 88 37" xfId="17256" xr:uid="{00000000-0005-0000-0000-00006A430000}"/>
    <cellStyle name="40% - Accent2 88 37 2" xfId="17257" xr:uid="{00000000-0005-0000-0000-00006B430000}"/>
    <cellStyle name="40% - Accent2 88 38" xfId="17258" xr:uid="{00000000-0005-0000-0000-00006C430000}"/>
    <cellStyle name="40% - Accent2 88 4" xfId="17259" xr:uid="{00000000-0005-0000-0000-00006D430000}"/>
    <cellStyle name="40% - Accent2 88 4 2" xfId="17260" xr:uid="{00000000-0005-0000-0000-00006E430000}"/>
    <cellStyle name="40% - Accent2 88 4 2 2" xfId="17261" xr:uid="{00000000-0005-0000-0000-00006F430000}"/>
    <cellStyle name="40% - Accent2 88 4 3" xfId="17262" xr:uid="{00000000-0005-0000-0000-000070430000}"/>
    <cellStyle name="40% - Accent2 88 5" xfId="17263" xr:uid="{00000000-0005-0000-0000-000071430000}"/>
    <cellStyle name="40% - Accent2 88 5 2" xfId="17264" xr:uid="{00000000-0005-0000-0000-000072430000}"/>
    <cellStyle name="40% - Accent2 88 5 2 2" xfId="17265" xr:uid="{00000000-0005-0000-0000-000073430000}"/>
    <cellStyle name="40% - Accent2 88 5 3" xfId="17266" xr:uid="{00000000-0005-0000-0000-000074430000}"/>
    <cellStyle name="40% - Accent2 88 6" xfId="17267" xr:uid="{00000000-0005-0000-0000-000075430000}"/>
    <cellStyle name="40% - Accent2 88 6 2" xfId="17268" xr:uid="{00000000-0005-0000-0000-000076430000}"/>
    <cellStyle name="40% - Accent2 88 6 2 2" xfId="17269" xr:uid="{00000000-0005-0000-0000-000077430000}"/>
    <cellStyle name="40% - Accent2 88 6 3" xfId="17270" xr:uid="{00000000-0005-0000-0000-000078430000}"/>
    <cellStyle name="40% - Accent2 88 7" xfId="17271" xr:uid="{00000000-0005-0000-0000-000079430000}"/>
    <cellStyle name="40% - Accent2 88 7 2" xfId="17272" xr:uid="{00000000-0005-0000-0000-00007A430000}"/>
    <cellStyle name="40% - Accent2 88 7 2 2" xfId="17273" xr:uid="{00000000-0005-0000-0000-00007B430000}"/>
    <cellStyle name="40% - Accent2 88 7 3" xfId="17274" xr:uid="{00000000-0005-0000-0000-00007C430000}"/>
    <cellStyle name="40% - Accent2 88 8" xfId="17275" xr:uid="{00000000-0005-0000-0000-00007D430000}"/>
    <cellStyle name="40% - Accent2 88 8 2" xfId="17276" xr:uid="{00000000-0005-0000-0000-00007E430000}"/>
    <cellStyle name="40% - Accent2 88 8 2 2" xfId="17277" xr:uid="{00000000-0005-0000-0000-00007F430000}"/>
    <cellStyle name="40% - Accent2 88 8 3" xfId="17278" xr:uid="{00000000-0005-0000-0000-000080430000}"/>
    <cellStyle name="40% - Accent2 88 9" xfId="17279" xr:uid="{00000000-0005-0000-0000-000081430000}"/>
    <cellStyle name="40% - Accent2 88 9 2" xfId="17280" xr:uid="{00000000-0005-0000-0000-000082430000}"/>
    <cellStyle name="40% - Accent2 88 9 2 2" xfId="17281" xr:uid="{00000000-0005-0000-0000-000083430000}"/>
    <cellStyle name="40% - Accent2 88 9 3" xfId="17282" xr:uid="{00000000-0005-0000-0000-000084430000}"/>
    <cellStyle name="40% - Accent2 89" xfId="17283" xr:uid="{00000000-0005-0000-0000-000085430000}"/>
    <cellStyle name="40% - Accent2 89 2" xfId="17284" xr:uid="{00000000-0005-0000-0000-000086430000}"/>
    <cellStyle name="40% - Accent2 9" xfId="17285" xr:uid="{00000000-0005-0000-0000-000087430000}"/>
    <cellStyle name="40% - Accent2 9 2" xfId="17286" xr:uid="{00000000-0005-0000-0000-000088430000}"/>
    <cellStyle name="40% - Accent2 9 2 2" xfId="17287" xr:uid="{00000000-0005-0000-0000-000089430000}"/>
    <cellStyle name="40% - Accent2 9 3" xfId="17288" xr:uid="{00000000-0005-0000-0000-00008A430000}"/>
    <cellStyle name="40% - Accent2 90" xfId="17289" xr:uid="{00000000-0005-0000-0000-00008B430000}"/>
    <cellStyle name="40% - Accent2 90 2" xfId="17290" xr:uid="{00000000-0005-0000-0000-00008C430000}"/>
    <cellStyle name="40% - Accent2 91" xfId="17291" xr:uid="{00000000-0005-0000-0000-00008D430000}"/>
    <cellStyle name="40% - Accent2 91 2" xfId="17292" xr:uid="{00000000-0005-0000-0000-00008E430000}"/>
    <cellStyle name="40% - Accent2 92" xfId="17293" xr:uid="{00000000-0005-0000-0000-00008F430000}"/>
    <cellStyle name="40% - Accent2 92 2" xfId="17294" xr:uid="{00000000-0005-0000-0000-000090430000}"/>
    <cellStyle name="40% - Accent2 93" xfId="17295" xr:uid="{00000000-0005-0000-0000-000091430000}"/>
    <cellStyle name="40% - Accent2 93 2" xfId="17296" xr:uid="{00000000-0005-0000-0000-000092430000}"/>
    <cellStyle name="40% - Accent2 93 2 2" xfId="17297" xr:uid="{00000000-0005-0000-0000-000093430000}"/>
    <cellStyle name="40% - Accent2 93 2 2 2" xfId="17298" xr:uid="{00000000-0005-0000-0000-000094430000}"/>
    <cellStyle name="40% - Accent2 93 2 3" xfId="17299" xr:uid="{00000000-0005-0000-0000-000095430000}"/>
    <cellStyle name="40% - Accent2 93 3" xfId="17300" xr:uid="{00000000-0005-0000-0000-000096430000}"/>
    <cellStyle name="40% - Accent2 93 3 2" xfId="17301" xr:uid="{00000000-0005-0000-0000-000097430000}"/>
    <cellStyle name="40% - Accent2 93 4" xfId="17302" xr:uid="{00000000-0005-0000-0000-000098430000}"/>
    <cellStyle name="40% - Accent2 94" xfId="17303" xr:uid="{00000000-0005-0000-0000-000099430000}"/>
    <cellStyle name="40% - Accent2 94 2" xfId="17304" xr:uid="{00000000-0005-0000-0000-00009A430000}"/>
    <cellStyle name="40% - Accent2 94 2 2" xfId="17305" xr:uid="{00000000-0005-0000-0000-00009B430000}"/>
    <cellStyle name="40% - Accent2 94 2 2 2" xfId="17306" xr:uid="{00000000-0005-0000-0000-00009C430000}"/>
    <cellStyle name="40% - Accent2 94 2 3" xfId="17307" xr:uid="{00000000-0005-0000-0000-00009D430000}"/>
    <cellStyle name="40% - Accent2 94 3" xfId="17308" xr:uid="{00000000-0005-0000-0000-00009E430000}"/>
    <cellStyle name="40% - Accent2 94 3 2" xfId="17309" xr:uid="{00000000-0005-0000-0000-00009F430000}"/>
    <cellStyle name="40% - Accent2 94 4" xfId="17310" xr:uid="{00000000-0005-0000-0000-0000A0430000}"/>
    <cellStyle name="40% - Accent2 95" xfId="17311" xr:uid="{00000000-0005-0000-0000-0000A1430000}"/>
    <cellStyle name="40% - Accent2 95 2" xfId="17312" xr:uid="{00000000-0005-0000-0000-0000A2430000}"/>
    <cellStyle name="40% - Accent2 95 2 2" xfId="17313" xr:uid="{00000000-0005-0000-0000-0000A3430000}"/>
    <cellStyle name="40% - Accent2 95 3" xfId="17314" xr:uid="{00000000-0005-0000-0000-0000A4430000}"/>
    <cellStyle name="40% - Accent2 96" xfId="17315" xr:uid="{00000000-0005-0000-0000-0000A5430000}"/>
    <cellStyle name="40% - Accent2 96 2" xfId="17316" xr:uid="{00000000-0005-0000-0000-0000A6430000}"/>
    <cellStyle name="40% - Accent2 96 2 2" xfId="17317" xr:uid="{00000000-0005-0000-0000-0000A7430000}"/>
    <cellStyle name="40% - Accent2 96 3" xfId="17318" xr:uid="{00000000-0005-0000-0000-0000A8430000}"/>
    <cellStyle name="40% - Accent2 97" xfId="17319" xr:uid="{00000000-0005-0000-0000-0000A9430000}"/>
    <cellStyle name="40% - Accent2 97 2" xfId="17320" xr:uid="{00000000-0005-0000-0000-0000AA430000}"/>
    <cellStyle name="40% - Accent2 97 2 2" xfId="17321" xr:uid="{00000000-0005-0000-0000-0000AB430000}"/>
    <cellStyle name="40% - Accent2 97 3" xfId="17322" xr:uid="{00000000-0005-0000-0000-0000AC430000}"/>
    <cellStyle name="40% - Accent2 98" xfId="17323" xr:uid="{00000000-0005-0000-0000-0000AD430000}"/>
    <cellStyle name="40% - Accent2 98 2" xfId="17324" xr:uid="{00000000-0005-0000-0000-0000AE430000}"/>
    <cellStyle name="40% - Accent2 98 2 2" xfId="17325" xr:uid="{00000000-0005-0000-0000-0000AF430000}"/>
    <cellStyle name="40% - Accent2 98 3" xfId="17326" xr:uid="{00000000-0005-0000-0000-0000B0430000}"/>
    <cellStyle name="40% - Accent2 99" xfId="17327" xr:uid="{00000000-0005-0000-0000-0000B1430000}"/>
    <cellStyle name="40% - Accent3" xfId="41027" builtinId="39" customBuiltin="1"/>
    <cellStyle name="40% - Accent3 10" xfId="17328" xr:uid="{00000000-0005-0000-0000-0000B3430000}"/>
    <cellStyle name="40% - Accent3 10 2" xfId="17329" xr:uid="{00000000-0005-0000-0000-0000B4430000}"/>
    <cellStyle name="40% - Accent3 10 2 2" xfId="17330" xr:uid="{00000000-0005-0000-0000-0000B5430000}"/>
    <cellStyle name="40% - Accent3 10 3" xfId="17331" xr:uid="{00000000-0005-0000-0000-0000B6430000}"/>
    <cellStyle name="40% - Accent3 100" xfId="17332" xr:uid="{00000000-0005-0000-0000-0000B7430000}"/>
    <cellStyle name="40% - Accent3 100 2" xfId="17333" xr:uid="{00000000-0005-0000-0000-0000B8430000}"/>
    <cellStyle name="40% - Accent3 100 2 2" xfId="17334" xr:uid="{00000000-0005-0000-0000-0000B9430000}"/>
    <cellStyle name="40% - Accent3 100 3" xfId="17335" xr:uid="{00000000-0005-0000-0000-0000BA430000}"/>
    <cellStyle name="40% - Accent3 101" xfId="17336" xr:uid="{00000000-0005-0000-0000-0000BB430000}"/>
    <cellStyle name="40% - Accent3 102" xfId="17337" xr:uid="{00000000-0005-0000-0000-0000BC430000}"/>
    <cellStyle name="40% - Accent3 102 2" xfId="17338" xr:uid="{00000000-0005-0000-0000-0000BD430000}"/>
    <cellStyle name="40% - Accent3 102 2 2" xfId="17339" xr:uid="{00000000-0005-0000-0000-0000BE430000}"/>
    <cellStyle name="40% - Accent3 102 3" xfId="17340" xr:uid="{00000000-0005-0000-0000-0000BF430000}"/>
    <cellStyle name="40% - Accent3 103" xfId="17341" xr:uid="{00000000-0005-0000-0000-0000C0430000}"/>
    <cellStyle name="40% - Accent3 104" xfId="17342" xr:uid="{00000000-0005-0000-0000-0000C1430000}"/>
    <cellStyle name="40% - Accent3 104 2" xfId="17343" xr:uid="{00000000-0005-0000-0000-0000C2430000}"/>
    <cellStyle name="40% - Accent3 104 2 2" xfId="17344" xr:uid="{00000000-0005-0000-0000-0000C3430000}"/>
    <cellStyle name="40% - Accent3 104 3" xfId="17345" xr:uid="{00000000-0005-0000-0000-0000C4430000}"/>
    <cellStyle name="40% - Accent3 105" xfId="17346" xr:uid="{00000000-0005-0000-0000-0000C5430000}"/>
    <cellStyle name="40% - Accent3 105 2" xfId="17347" xr:uid="{00000000-0005-0000-0000-0000C6430000}"/>
    <cellStyle name="40% - Accent3 105 2 2" xfId="17348" xr:uid="{00000000-0005-0000-0000-0000C7430000}"/>
    <cellStyle name="40% - Accent3 105 3" xfId="17349" xr:uid="{00000000-0005-0000-0000-0000C8430000}"/>
    <cellStyle name="40% - Accent3 106" xfId="17350" xr:uid="{00000000-0005-0000-0000-0000C9430000}"/>
    <cellStyle name="40% - Accent3 107" xfId="17351" xr:uid="{00000000-0005-0000-0000-0000CA430000}"/>
    <cellStyle name="40% - Accent3 108" xfId="17352" xr:uid="{00000000-0005-0000-0000-0000CB430000}"/>
    <cellStyle name="40% - Accent3 109" xfId="17353" xr:uid="{00000000-0005-0000-0000-0000CC430000}"/>
    <cellStyle name="40% - Accent3 11" xfId="17354" xr:uid="{00000000-0005-0000-0000-0000CD430000}"/>
    <cellStyle name="40% - Accent3 11 2" xfId="17355" xr:uid="{00000000-0005-0000-0000-0000CE430000}"/>
    <cellStyle name="40% - Accent3 11 2 2" xfId="17356" xr:uid="{00000000-0005-0000-0000-0000CF430000}"/>
    <cellStyle name="40% - Accent3 11 3" xfId="17357" xr:uid="{00000000-0005-0000-0000-0000D0430000}"/>
    <cellStyle name="40% - Accent3 110" xfId="17358" xr:uid="{00000000-0005-0000-0000-0000D1430000}"/>
    <cellStyle name="40% - Accent3 110 2" xfId="17359" xr:uid="{00000000-0005-0000-0000-0000D2430000}"/>
    <cellStyle name="40% - Accent3 110 2 2" xfId="17360" xr:uid="{00000000-0005-0000-0000-0000D3430000}"/>
    <cellStyle name="40% - Accent3 110 3" xfId="17361" xr:uid="{00000000-0005-0000-0000-0000D4430000}"/>
    <cellStyle name="40% - Accent3 111" xfId="17362" xr:uid="{00000000-0005-0000-0000-0000D5430000}"/>
    <cellStyle name="40% - Accent3 111 2" xfId="17363" xr:uid="{00000000-0005-0000-0000-0000D6430000}"/>
    <cellStyle name="40% - Accent3 111 2 2" xfId="17364" xr:uid="{00000000-0005-0000-0000-0000D7430000}"/>
    <cellStyle name="40% - Accent3 111 3" xfId="17365" xr:uid="{00000000-0005-0000-0000-0000D8430000}"/>
    <cellStyle name="40% - Accent3 112" xfId="17366" xr:uid="{00000000-0005-0000-0000-0000D9430000}"/>
    <cellStyle name="40% - Accent3 112 2" xfId="17367" xr:uid="{00000000-0005-0000-0000-0000DA430000}"/>
    <cellStyle name="40% - Accent3 112 2 2" xfId="17368" xr:uid="{00000000-0005-0000-0000-0000DB430000}"/>
    <cellStyle name="40% - Accent3 112 3" xfId="17369" xr:uid="{00000000-0005-0000-0000-0000DC430000}"/>
    <cellStyle name="40% - Accent3 113" xfId="17370" xr:uid="{00000000-0005-0000-0000-0000DD430000}"/>
    <cellStyle name="40% - Accent3 114" xfId="17371" xr:uid="{00000000-0005-0000-0000-0000DE430000}"/>
    <cellStyle name="40% - Accent3 115" xfId="17372" xr:uid="{00000000-0005-0000-0000-0000DF430000}"/>
    <cellStyle name="40% - Accent3 116" xfId="17373" xr:uid="{00000000-0005-0000-0000-0000E0430000}"/>
    <cellStyle name="40% - Accent3 117" xfId="17374" xr:uid="{00000000-0005-0000-0000-0000E1430000}"/>
    <cellStyle name="40% - Accent3 117 2" xfId="17375" xr:uid="{00000000-0005-0000-0000-0000E2430000}"/>
    <cellStyle name="40% - Accent3 117 2 2" xfId="17376" xr:uid="{00000000-0005-0000-0000-0000E3430000}"/>
    <cellStyle name="40% - Accent3 117 3" xfId="17377" xr:uid="{00000000-0005-0000-0000-0000E4430000}"/>
    <cellStyle name="40% - Accent3 118" xfId="17378" xr:uid="{00000000-0005-0000-0000-0000E5430000}"/>
    <cellStyle name="40% - Accent3 118 2" xfId="17379" xr:uid="{00000000-0005-0000-0000-0000E6430000}"/>
    <cellStyle name="40% - Accent3 118 2 2" xfId="17380" xr:uid="{00000000-0005-0000-0000-0000E7430000}"/>
    <cellStyle name="40% - Accent3 118 3" xfId="17381" xr:uid="{00000000-0005-0000-0000-0000E8430000}"/>
    <cellStyle name="40% - Accent3 119" xfId="17382" xr:uid="{00000000-0005-0000-0000-0000E9430000}"/>
    <cellStyle name="40% - Accent3 119 2" xfId="17383" xr:uid="{00000000-0005-0000-0000-0000EA430000}"/>
    <cellStyle name="40% - Accent3 119 2 2" xfId="17384" xr:uid="{00000000-0005-0000-0000-0000EB430000}"/>
    <cellStyle name="40% - Accent3 119 3" xfId="17385" xr:uid="{00000000-0005-0000-0000-0000EC430000}"/>
    <cellStyle name="40% - Accent3 12" xfId="17386" xr:uid="{00000000-0005-0000-0000-0000ED430000}"/>
    <cellStyle name="40% - Accent3 12 2" xfId="17387" xr:uid="{00000000-0005-0000-0000-0000EE430000}"/>
    <cellStyle name="40% - Accent3 12 2 2" xfId="17388" xr:uid="{00000000-0005-0000-0000-0000EF430000}"/>
    <cellStyle name="40% - Accent3 12 3" xfId="17389" xr:uid="{00000000-0005-0000-0000-0000F0430000}"/>
    <cellStyle name="40% - Accent3 120" xfId="17390" xr:uid="{00000000-0005-0000-0000-0000F1430000}"/>
    <cellStyle name="40% - Accent3 120 2" xfId="17391" xr:uid="{00000000-0005-0000-0000-0000F2430000}"/>
    <cellStyle name="40% - Accent3 120 2 2" xfId="17392" xr:uid="{00000000-0005-0000-0000-0000F3430000}"/>
    <cellStyle name="40% - Accent3 120 3" xfId="17393" xr:uid="{00000000-0005-0000-0000-0000F4430000}"/>
    <cellStyle name="40% - Accent3 121" xfId="17394" xr:uid="{00000000-0005-0000-0000-0000F5430000}"/>
    <cellStyle name="40% - Accent3 121 2" xfId="17395" xr:uid="{00000000-0005-0000-0000-0000F6430000}"/>
    <cellStyle name="40% - Accent3 121 2 2" xfId="17396" xr:uid="{00000000-0005-0000-0000-0000F7430000}"/>
    <cellStyle name="40% - Accent3 121 3" xfId="17397" xr:uid="{00000000-0005-0000-0000-0000F8430000}"/>
    <cellStyle name="40% - Accent3 122" xfId="17398" xr:uid="{00000000-0005-0000-0000-0000F9430000}"/>
    <cellStyle name="40% - Accent3 122 2" xfId="17399" xr:uid="{00000000-0005-0000-0000-0000FA430000}"/>
    <cellStyle name="40% - Accent3 122 2 2" xfId="17400" xr:uid="{00000000-0005-0000-0000-0000FB430000}"/>
    <cellStyle name="40% - Accent3 122 3" xfId="17401" xr:uid="{00000000-0005-0000-0000-0000FC430000}"/>
    <cellStyle name="40% - Accent3 123" xfId="17402" xr:uid="{00000000-0005-0000-0000-0000FD430000}"/>
    <cellStyle name="40% - Accent3 123 2" xfId="17403" xr:uid="{00000000-0005-0000-0000-0000FE430000}"/>
    <cellStyle name="40% - Accent3 123 2 2" xfId="17404" xr:uid="{00000000-0005-0000-0000-0000FF430000}"/>
    <cellStyle name="40% - Accent3 123 3" xfId="17405" xr:uid="{00000000-0005-0000-0000-000000440000}"/>
    <cellStyle name="40% - Accent3 124" xfId="17406" xr:uid="{00000000-0005-0000-0000-000001440000}"/>
    <cellStyle name="40% - Accent3 125" xfId="17407" xr:uid="{00000000-0005-0000-0000-000002440000}"/>
    <cellStyle name="40% - Accent3 125 2" xfId="17408" xr:uid="{00000000-0005-0000-0000-000003440000}"/>
    <cellStyle name="40% - Accent3 125 2 2" xfId="17409" xr:uid="{00000000-0005-0000-0000-000004440000}"/>
    <cellStyle name="40% - Accent3 125 3" xfId="17410" xr:uid="{00000000-0005-0000-0000-000005440000}"/>
    <cellStyle name="40% - Accent3 126" xfId="17411" xr:uid="{00000000-0005-0000-0000-000006440000}"/>
    <cellStyle name="40% - Accent3 126 2" xfId="17412" xr:uid="{00000000-0005-0000-0000-000007440000}"/>
    <cellStyle name="40% - Accent3 126 2 2" xfId="17413" xr:uid="{00000000-0005-0000-0000-000008440000}"/>
    <cellStyle name="40% - Accent3 126 3" xfId="17414" xr:uid="{00000000-0005-0000-0000-000009440000}"/>
    <cellStyle name="40% - Accent3 127" xfId="17415" xr:uid="{00000000-0005-0000-0000-00000A440000}"/>
    <cellStyle name="40% - Accent3 127 2" xfId="17416" xr:uid="{00000000-0005-0000-0000-00000B440000}"/>
    <cellStyle name="40% - Accent3 127 2 2" xfId="17417" xr:uid="{00000000-0005-0000-0000-00000C440000}"/>
    <cellStyle name="40% - Accent3 127 3" xfId="17418" xr:uid="{00000000-0005-0000-0000-00000D440000}"/>
    <cellStyle name="40% - Accent3 128" xfId="17419" xr:uid="{00000000-0005-0000-0000-00000E440000}"/>
    <cellStyle name="40% - Accent3 128 2" xfId="17420" xr:uid="{00000000-0005-0000-0000-00000F440000}"/>
    <cellStyle name="40% - Accent3 128 2 2" xfId="17421" xr:uid="{00000000-0005-0000-0000-000010440000}"/>
    <cellStyle name="40% - Accent3 128 3" xfId="17422" xr:uid="{00000000-0005-0000-0000-000011440000}"/>
    <cellStyle name="40% - Accent3 129" xfId="17423" xr:uid="{00000000-0005-0000-0000-000012440000}"/>
    <cellStyle name="40% - Accent3 129 2" xfId="17424" xr:uid="{00000000-0005-0000-0000-000013440000}"/>
    <cellStyle name="40% - Accent3 129 2 2" xfId="17425" xr:uid="{00000000-0005-0000-0000-000014440000}"/>
    <cellStyle name="40% - Accent3 129 3" xfId="17426" xr:uid="{00000000-0005-0000-0000-000015440000}"/>
    <cellStyle name="40% - Accent3 13" xfId="17427" xr:uid="{00000000-0005-0000-0000-000016440000}"/>
    <cellStyle name="40% - Accent3 13 2" xfId="17428" xr:uid="{00000000-0005-0000-0000-000017440000}"/>
    <cellStyle name="40% - Accent3 13 2 2" xfId="17429" xr:uid="{00000000-0005-0000-0000-000018440000}"/>
    <cellStyle name="40% - Accent3 13 3" xfId="17430" xr:uid="{00000000-0005-0000-0000-000019440000}"/>
    <cellStyle name="40% - Accent3 130" xfId="17431" xr:uid="{00000000-0005-0000-0000-00001A440000}"/>
    <cellStyle name="40% - Accent3 130 2" xfId="17432" xr:uid="{00000000-0005-0000-0000-00001B440000}"/>
    <cellStyle name="40% - Accent3 130 2 2" xfId="17433" xr:uid="{00000000-0005-0000-0000-00001C440000}"/>
    <cellStyle name="40% - Accent3 130 3" xfId="17434" xr:uid="{00000000-0005-0000-0000-00001D440000}"/>
    <cellStyle name="40% - Accent3 131" xfId="17435" xr:uid="{00000000-0005-0000-0000-00001E440000}"/>
    <cellStyle name="40% - Accent3 131 2" xfId="17436" xr:uid="{00000000-0005-0000-0000-00001F440000}"/>
    <cellStyle name="40% - Accent3 131 2 2" xfId="17437" xr:uid="{00000000-0005-0000-0000-000020440000}"/>
    <cellStyle name="40% - Accent3 131 3" xfId="17438" xr:uid="{00000000-0005-0000-0000-000021440000}"/>
    <cellStyle name="40% - Accent3 132" xfId="17439" xr:uid="{00000000-0005-0000-0000-000022440000}"/>
    <cellStyle name="40% - Accent3 132 2" xfId="17440" xr:uid="{00000000-0005-0000-0000-000023440000}"/>
    <cellStyle name="40% - Accent3 132 2 2" xfId="17441" xr:uid="{00000000-0005-0000-0000-000024440000}"/>
    <cellStyle name="40% - Accent3 132 3" xfId="17442" xr:uid="{00000000-0005-0000-0000-000025440000}"/>
    <cellStyle name="40% - Accent3 133" xfId="17443" xr:uid="{00000000-0005-0000-0000-000026440000}"/>
    <cellStyle name="40% - Accent3 133 2" xfId="17444" xr:uid="{00000000-0005-0000-0000-000027440000}"/>
    <cellStyle name="40% - Accent3 133 2 2" xfId="17445" xr:uid="{00000000-0005-0000-0000-000028440000}"/>
    <cellStyle name="40% - Accent3 133 3" xfId="17446" xr:uid="{00000000-0005-0000-0000-000029440000}"/>
    <cellStyle name="40% - Accent3 134" xfId="17447" xr:uid="{00000000-0005-0000-0000-00002A440000}"/>
    <cellStyle name="40% - Accent3 134 2" xfId="17448" xr:uid="{00000000-0005-0000-0000-00002B440000}"/>
    <cellStyle name="40% - Accent3 135" xfId="17449" xr:uid="{00000000-0005-0000-0000-00002C440000}"/>
    <cellStyle name="40% - Accent3 135 2" xfId="17450" xr:uid="{00000000-0005-0000-0000-00002D440000}"/>
    <cellStyle name="40% - Accent3 136" xfId="17451" xr:uid="{00000000-0005-0000-0000-00002E440000}"/>
    <cellStyle name="40% - Accent3 136 2" xfId="17452" xr:uid="{00000000-0005-0000-0000-00002F440000}"/>
    <cellStyle name="40% - Accent3 137" xfId="17453" xr:uid="{00000000-0005-0000-0000-000030440000}"/>
    <cellStyle name="40% - Accent3 14" xfId="17454" xr:uid="{00000000-0005-0000-0000-000031440000}"/>
    <cellStyle name="40% - Accent3 14 2" xfId="17455" xr:uid="{00000000-0005-0000-0000-000032440000}"/>
    <cellStyle name="40% - Accent3 14 2 2" xfId="17456" xr:uid="{00000000-0005-0000-0000-000033440000}"/>
    <cellStyle name="40% - Accent3 14 3" xfId="17457" xr:uid="{00000000-0005-0000-0000-000034440000}"/>
    <cellStyle name="40% - Accent3 15" xfId="17458" xr:uid="{00000000-0005-0000-0000-000035440000}"/>
    <cellStyle name="40% - Accent3 15 2" xfId="17459" xr:uid="{00000000-0005-0000-0000-000036440000}"/>
    <cellStyle name="40% - Accent3 15 2 2" xfId="17460" xr:uid="{00000000-0005-0000-0000-000037440000}"/>
    <cellStyle name="40% - Accent3 15 3" xfId="17461" xr:uid="{00000000-0005-0000-0000-000038440000}"/>
    <cellStyle name="40% - Accent3 16" xfId="17462" xr:uid="{00000000-0005-0000-0000-000039440000}"/>
    <cellStyle name="40% - Accent3 16 2" xfId="17463" xr:uid="{00000000-0005-0000-0000-00003A440000}"/>
    <cellStyle name="40% - Accent3 17" xfId="17464" xr:uid="{00000000-0005-0000-0000-00003B440000}"/>
    <cellStyle name="40% - Accent3 17 2" xfId="17465" xr:uid="{00000000-0005-0000-0000-00003C440000}"/>
    <cellStyle name="40% - Accent3 18" xfId="17466" xr:uid="{00000000-0005-0000-0000-00003D440000}"/>
    <cellStyle name="40% - Accent3 18 2" xfId="17467" xr:uid="{00000000-0005-0000-0000-00003E440000}"/>
    <cellStyle name="40% - Accent3 19" xfId="17468" xr:uid="{00000000-0005-0000-0000-00003F440000}"/>
    <cellStyle name="40% - Accent3 19 2" xfId="17469" xr:uid="{00000000-0005-0000-0000-000040440000}"/>
    <cellStyle name="40% - Accent3 2" xfId="17470" xr:uid="{00000000-0005-0000-0000-000041440000}"/>
    <cellStyle name="40% - Accent3 2 2" xfId="17471" xr:uid="{00000000-0005-0000-0000-000042440000}"/>
    <cellStyle name="40% - Accent3 2 2 2" xfId="17472" xr:uid="{00000000-0005-0000-0000-000043440000}"/>
    <cellStyle name="40% - Accent3 2 2 2 2" xfId="17473" xr:uid="{00000000-0005-0000-0000-000044440000}"/>
    <cellStyle name="40% - Accent3 2 2 2 2 2" xfId="17474" xr:uid="{00000000-0005-0000-0000-000045440000}"/>
    <cellStyle name="40% - Accent3 2 3" xfId="17475" xr:uid="{00000000-0005-0000-0000-000046440000}"/>
    <cellStyle name="40% - Accent3 2 4" xfId="17476" xr:uid="{00000000-0005-0000-0000-000047440000}"/>
    <cellStyle name="40% - Accent3 2 5" xfId="41046" xr:uid="{00000000-0005-0000-0000-000008000000}"/>
    <cellStyle name="40% - Accent3 20" xfId="17477" xr:uid="{00000000-0005-0000-0000-000048440000}"/>
    <cellStyle name="40% - Accent3 20 2" xfId="17478" xr:uid="{00000000-0005-0000-0000-000049440000}"/>
    <cellStyle name="40% - Accent3 21" xfId="17479" xr:uid="{00000000-0005-0000-0000-00004A440000}"/>
    <cellStyle name="40% - Accent3 21 2" xfId="17480" xr:uid="{00000000-0005-0000-0000-00004B440000}"/>
    <cellStyle name="40% - Accent3 22" xfId="17481" xr:uid="{00000000-0005-0000-0000-00004C440000}"/>
    <cellStyle name="40% - Accent3 23" xfId="17482" xr:uid="{00000000-0005-0000-0000-00004D440000}"/>
    <cellStyle name="40% - Accent3 24" xfId="17483" xr:uid="{00000000-0005-0000-0000-00004E440000}"/>
    <cellStyle name="40% - Accent3 25" xfId="17484" xr:uid="{00000000-0005-0000-0000-00004F440000}"/>
    <cellStyle name="40% - Accent3 26" xfId="17485" xr:uid="{00000000-0005-0000-0000-000050440000}"/>
    <cellStyle name="40% - Accent3 26 2" xfId="17486" xr:uid="{00000000-0005-0000-0000-000051440000}"/>
    <cellStyle name="40% - Accent3 27" xfId="17487" xr:uid="{00000000-0005-0000-0000-000052440000}"/>
    <cellStyle name="40% - Accent3 27 2" xfId="17488" xr:uid="{00000000-0005-0000-0000-000053440000}"/>
    <cellStyle name="40% - Accent3 28" xfId="17489" xr:uid="{00000000-0005-0000-0000-000054440000}"/>
    <cellStyle name="40% - Accent3 28 2" xfId="17490" xr:uid="{00000000-0005-0000-0000-000055440000}"/>
    <cellStyle name="40% - Accent3 29" xfId="17491" xr:uid="{00000000-0005-0000-0000-000056440000}"/>
    <cellStyle name="40% - Accent3 29 2" xfId="17492" xr:uid="{00000000-0005-0000-0000-000057440000}"/>
    <cellStyle name="40% - Accent3 3" xfId="17493" xr:uid="{00000000-0005-0000-0000-000058440000}"/>
    <cellStyle name="40% - Accent3 3 2" xfId="17494" xr:uid="{00000000-0005-0000-0000-000059440000}"/>
    <cellStyle name="40% - Accent3 3 2 2" xfId="17495" xr:uid="{00000000-0005-0000-0000-00005A440000}"/>
    <cellStyle name="40% - Accent3 3 3" xfId="17496" xr:uid="{00000000-0005-0000-0000-00005B440000}"/>
    <cellStyle name="40% - Accent3 3 4" xfId="17497" xr:uid="{00000000-0005-0000-0000-00005C440000}"/>
    <cellStyle name="40% - Accent3 3 5" xfId="17498" xr:uid="{00000000-0005-0000-0000-00005D440000}"/>
    <cellStyle name="40% - Accent3 3_MAR 2009" xfId="17499" xr:uid="{00000000-0005-0000-0000-00005E440000}"/>
    <cellStyle name="40% - Accent3 30" xfId="17500" xr:uid="{00000000-0005-0000-0000-00005F440000}"/>
    <cellStyle name="40% - Accent3 30 2" xfId="17501" xr:uid="{00000000-0005-0000-0000-000060440000}"/>
    <cellStyle name="40% - Accent3 31" xfId="17502" xr:uid="{00000000-0005-0000-0000-000061440000}"/>
    <cellStyle name="40% - Accent3 31 2" xfId="17503" xr:uid="{00000000-0005-0000-0000-000062440000}"/>
    <cellStyle name="40% - Accent3 32" xfId="17504" xr:uid="{00000000-0005-0000-0000-000063440000}"/>
    <cellStyle name="40% - Accent3 32 2" xfId="17505" xr:uid="{00000000-0005-0000-0000-000064440000}"/>
    <cellStyle name="40% - Accent3 33" xfId="17506" xr:uid="{00000000-0005-0000-0000-000065440000}"/>
    <cellStyle name="40% - Accent3 33 2" xfId="17507" xr:uid="{00000000-0005-0000-0000-000066440000}"/>
    <cellStyle name="40% - Accent3 34" xfId="17508" xr:uid="{00000000-0005-0000-0000-000067440000}"/>
    <cellStyle name="40% - Accent3 34 2" xfId="17509" xr:uid="{00000000-0005-0000-0000-000068440000}"/>
    <cellStyle name="40% - Accent3 35" xfId="17510" xr:uid="{00000000-0005-0000-0000-000069440000}"/>
    <cellStyle name="40% - Accent3 35 2" xfId="17511" xr:uid="{00000000-0005-0000-0000-00006A440000}"/>
    <cellStyle name="40% - Accent3 36" xfId="17512" xr:uid="{00000000-0005-0000-0000-00006B440000}"/>
    <cellStyle name="40% - Accent3 36 2" xfId="17513" xr:uid="{00000000-0005-0000-0000-00006C440000}"/>
    <cellStyle name="40% - Accent3 37" xfId="17514" xr:uid="{00000000-0005-0000-0000-00006D440000}"/>
    <cellStyle name="40% - Accent3 37 2" xfId="17515" xr:uid="{00000000-0005-0000-0000-00006E440000}"/>
    <cellStyle name="40% - Accent3 38" xfId="17516" xr:uid="{00000000-0005-0000-0000-00006F440000}"/>
    <cellStyle name="40% - Accent3 38 2" xfId="17517" xr:uid="{00000000-0005-0000-0000-000070440000}"/>
    <cellStyle name="40% - Accent3 39" xfId="17518" xr:uid="{00000000-0005-0000-0000-000071440000}"/>
    <cellStyle name="40% - Accent3 39 2" xfId="17519" xr:uid="{00000000-0005-0000-0000-000072440000}"/>
    <cellStyle name="40% - Accent3 4" xfId="17520" xr:uid="{00000000-0005-0000-0000-000073440000}"/>
    <cellStyle name="40% - Accent3 4 2" xfId="17521" xr:uid="{00000000-0005-0000-0000-000074440000}"/>
    <cellStyle name="40% - Accent3 4 2 2" xfId="17522" xr:uid="{00000000-0005-0000-0000-000075440000}"/>
    <cellStyle name="40% - Accent3 40" xfId="17523" xr:uid="{00000000-0005-0000-0000-000076440000}"/>
    <cellStyle name="40% - Accent3 40 2" xfId="17524" xr:uid="{00000000-0005-0000-0000-000077440000}"/>
    <cellStyle name="40% - Accent3 41" xfId="17525" xr:uid="{00000000-0005-0000-0000-000078440000}"/>
    <cellStyle name="40% - Accent3 41 2" xfId="17526" xr:uid="{00000000-0005-0000-0000-000079440000}"/>
    <cellStyle name="40% - Accent3 42" xfId="17527" xr:uid="{00000000-0005-0000-0000-00007A440000}"/>
    <cellStyle name="40% - Accent3 42 2" xfId="17528" xr:uid="{00000000-0005-0000-0000-00007B440000}"/>
    <cellStyle name="40% - Accent3 43" xfId="17529" xr:uid="{00000000-0005-0000-0000-00007C440000}"/>
    <cellStyle name="40% - Accent3 43 2" xfId="17530" xr:uid="{00000000-0005-0000-0000-00007D440000}"/>
    <cellStyle name="40% - Accent3 44" xfId="17531" xr:uid="{00000000-0005-0000-0000-00007E440000}"/>
    <cellStyle name="40% - Accent3 44 2" xfId="17532" xr:uid="{00000000-0005-0000-0000-00007F440000}"/>
    <cellStyle name="40% - Accent3 45" xfId="17533" xr:uid="{00000000-0005-0000-0000-000080440000}"/>
    <cellStyle name="40% - Accent3 45 2" xfId="17534" xr:uid="{00000000-0005-0000-0000-000081440000}"/>
    <cellStyle name="40% - Accent3 46" xfId="17535" xr:uid="{00000000-0005-0000-0000-000082440000}"/>
    <cellStyle name="40% - Accent3 46 2" xfId="17536" xr:uid="{00000000-0005-0000-0000-000083440000}"/>
    <cellStyle name="40% - Accent3 47" xfId="17537" xr:uid="{00000000-0005-0000-0000-000084440000}"/>
    <cellStyle name="40% - Accent3 47 2" xfId="17538" xr:uid="{00000000-0005-0000-0000-000085440000}"/>
    <cellStyle name="40% - Accent3 48" xfId="17539" xr:uid="{00000000-0005-0000-0000-000086440000}"/>
    <cellStyle name="40% - Accent3 48 2" xfId="17540" xr:uid="{00000000-0005-0000-0000-000087440000}"/>
    <cellStyle name="40% - Accent3 49" xfId="17541" xr:uid="{00000000-0005-0000-0000-000088440000}"/>
    <cellStyle name="40% - Accent3 49 2" xfId="17542" xr:uid="{00000000-0005-0000-0000-000089440000}"/>
    <cellStyle name="40% - Accent3 5" xfId="17543" xr:uid="{00000000-0005-0000-0000-00008A440000}"/>
    <cellStyle name="40% - Accent3 5 2" xfId="17544" xr:uid="{00000000-0005-0000-0000-00008B440000}"/>
    <cellStyle name="40% - Accent3 5 2 2" xfId="17545" xr:uid="{00000000-0005-0000-0000-00008C440000}"/>
    <cellStyle name="40% - Accent3 50" xfId="17546" xr:uid="{00000000-0005-0000-0000-00008D440000}"/>
    <cellStyle name="40% - Accent3 50 2" xfId="17547" xr:uid="{00000000-0005-0000-0000-00008E440000}"/>
    <cellStyle name="40% - Accent3 51" xfId="17548" xr:uid="{00000000-0005-0000-0000-00008F440000}"/>
    <cellStyle name="40% - Accent3 51 2" xfId="17549" xr:uid="{00000000-0005-0000-0000-000090440000}"/>
    <cellStyle name="40% - Accent3 52" xfId="17550" xr:uid="{00000000-0005-0000-0000-000091440000}"/>
    <cellStyle name="40% - Accent3 52 2" xfId="17551" xr:uid="{00000000-0005-0000-0000-000092440000}"/>
    <cellStyle name="40% - Accent3 53" xfId="17552" xr:uid="{00000000-0005-0000-0000-000093440000}"/>
    <cellStyle name="40% - Accent3 53 2" xfId="17553" xr:uid="{00000000-0005-0000-0000-000094440000}"/>
    <cellStyle name="40% - Accent3 54" xfId="17554" xr:uid="{00000000-0005-0000-0000-000095440000}"/>
    <cellStyle name="40% - Accent3 54 2" xfId="17555" xr:uid="{00000000-0005-0000-0000-000096440000}"/>
    <cellStyle name="40% - Accent3 55" xfId="17556" xr:uid="{00000000-0005-0000-0000-000097440000}"/>
    <cellStyle name="40% - Accent3 55 2" xfId="17557" xr:uid="{00000000-0005-0000-0000-000098440000}"/>
    <cellStyle name="40% - Accent3 56" xfId="17558" xr:uid="{00000000-0005-0000-0000-000099440000}"/>
    <cellStyle name="40% - Accent3 56 2" xfId="17559" xr:uid="{00000000-0005-0000-0000-00009A440000}"/>
    <cellStyle name="40% - Accent3 57" xfId="17560" xr:uid="{00000000-0005-0000-0000-00009B440000}"/>
    <cellStyle name="40% - Accent3 57 2" xfId="17561" xr:uid="{00000000-0005-0000-0000-00009C440000}"/>
    <cellStyle name="40% - Accent3 58" xfId="17562" xr:uid="{00000000-0005-0000-0000-00009D440000}"/>
    <cellStyle name="40% - Accent3 58 2" xfId="17563" xr:uid="{00000000-0005-0000-0000-00009E440000}"/>
    <cellStyle name="40% - Accent3 59" xfId="17564" xr:uid="{00000000-0005-0000-0000-00009F440000}"/>
    <cellStyle name="40% - Accent3 59 2" xfId="17565" xr:uid="{00000000-0005-0000-0000-0000A0440000}"/>
    <cellStyle name="40% - Accent3 6" xfId="17566" xr:uid="{00000000-0005-0000-0000-0000A1440000}"/>
    <cellStyle name="40% - Accent3 6 2" xfId="17567" xr:uid="{00000000-0005-0000-0000-0000A2440000}"/>
    <cellStyle name="40% - Accent3 6 2 2" xfId="17568" xr:uid="{00000000-0005-0000-0000-0000A3440000}"/>
    <cellStyle name="40% - Accent3 6 3" xfId="17569" xr:uid="{00000000-0005-0000-0000-0000A4440000}"/>
    <cellStyle name="40% - Accent3 60" xfId="17570" xr:uid="{00000000-0005-0000-0000-0000A5440000}"/>
    <cellStyle name="40% - Accent3 60 2" xfId="17571" xr:uid="{00000000-0005-0000-0000-0000A6440000}"/>
    <cellStyle name="40% - Accent3 61" xfId="17572" xr:uid="{00000000-0005-0000-0000-0000A7440000}"/>
    <cellStyle name="40% - Accent3 61 2" xfId="17573" xr:uid="{00000000-0005-0000-0000-0000A8440000}"/>
    <cellStyle name="40% - Accent3 62" xfId="17574" xr:uid="{00000000-0005-0000-0000-0000A9440000}"/>
    <cellStyle name="40% - Accent3 62 2" xfId="17575" xr:uid="{00000000-0005-0000-0000-0000AA440000}"/>
    <cellStyle name="40% - Accent3 63" xfId="17576" xr:uid="{00000000-0005-0000-0000-0000AB440000}"/>
    <cellStyle name="40% - Accent3 63 2" xfId="17577" xr:uid="{00000000-0005-0000-0000-0000AC440000}"/>
    <cellStyle name="40% - Accent3 64" xfId="17578" xr:uid="{00000000-0005-0000-0000-0000AD440000}"/>
    <cellStyle name="40% - Accent3 64 2" xfId="17579" xr:uid="{00000000-0005-0000-0000-0000AE440000}"/>
    <cellStyle name="40% - Accent3 65" xfId="17580" xr:uid="{00000000-0005-0000-0000-0000AF440000}"/>
    <cellStyle name="40% - Accent3 65 2" xfId="17581" xr:uid="{00000000-0005-0000-0000-0000B0440000}"/>
    <cellStyle name="40% - Accent3 66" xfId="17582" xr:uid="{00000000-0005-0000-0000-0000B1440000}"/>
    <cellStyle name="40% - Accent3 66 2" xfId="17583" xr:uid="{00000000-0005-0000-0000-0000B2440000}"/>
    <cellStyle name="40% - Accent3 67" xfId="17584" xr:uid="{00000000-0005-0000-0000-0000B3440000}"/>
    <cellStyle name="40% - Accent3 67 2" xfId="17585" xr:uid="{00000000-0005-0000-0000-0000B4440000}"/>
    <cellStyle name="40% - Accent3 68" xfId="17586" xr:uid="{00000000-0005-0000-0000-0000B5440000}"/>
    <cellStyle name="40% - Accent3 68 2" xfId="17587" xr:uid="{00000000-0005-0000-0000-0000B6440000}"/>
    <cellStyle name="40% - Accent3 69" xfId="17588" xr:uid="{00000000-0005-0000-0000-0000B7440000}"/>
    <cellStyle name="40% - Accent3 69 2" xfId="17589" xr:uid="{00000000-0005-0000-0000-0000B8440000}"/>
    <cellStyle name="40% - Accent3 7" xfId="17590" xr:uid="{00000000-0005-0000-0000-0000B9440000}"/>
    <cellStyle name="40% - Accent3 7 2" xfId="17591" xr:uid="{00000000-0005-0000-0000-0000BA440000}"/>
    <cellStyle name="40% - Accent3 7 2 2" xfId="17592" xr:uid="{00000000-0005-0000-0000-0000BB440000}"/>
    <cellStyle name="40% - Accent3 7 3" xfId="17593" xr:uid="{00000000-0005-0000-0000-0000BC440000}"/>
    <cellStyle name="40% - Accent3 70" xfId="17594" xr:uid="{00000000-0005-0000-0000-0000BD440000}"/>
    <cellStyle name="40% - Accent3 70 2" xfId="17595" xr:uid="{00000000-0005-0000-0000-0000BE440000}"/>
    <cellStyle name="40% - Accent3 71" xfId="17596" xr:uid="{00000000-0005-0000-0000-0000BF440000}"/>
    <cellStyle name="40% - Accent3 71 2" xfId="17597" xr:uid="{00000000-0005-0000-0000-0000C0440000}"/>
    <cellStyle name="40% - Accent3 72" xfId="17598" xr:uid="{00000000-0005-0000-0000-0000C1440000}"/>
    <cellStyle name="40% - Accent3 72 2" xfId="17599" xr:uid="{00000000-0005-0000-0000-0000C2440000}"/>
    <cellStyle name="40% - Accent3 73" xfId="17600" xr:uid="{00000000-0005-0000-0000-0000C3440000}"/>
    <cellStyle name="40% - Accent3 73 10" xfId="17601" xr:uid="{00000000-0005-0000-0000-0000C4440000}"/>
    <cellStyle name="40% - Accent3 73 10 2" xfId="17602" xr:uid="{00000000-0005-0000-0000-0000C5440000}"/>
    <cellStyle name="40% - Accent3 73 10 2 2" xfId="17603" xr:uid="{00000000-0005-0000-0000-0000C6440000}"/>
    <cellStyle name="40% - Accent3 73 10 3" xfId="17604" xr:uid="{00000000-0005-0000-0000-0000C7440000}"/>
    <cellStyle name="40% - Accent3 73 11" xfId="17605" xr:uid="{00000000-0005-0000-0000-0000C8440000}"/>
    <cellStyle name="40% - Accent3 73 11 2" xfId="17606" xr:uid="{00000000-0005-0000-0000-0000C9440000}"/>
    <cellStyle name="40% - Accent3 73 11 2 2" xfId="17607" xr:uid="{00000000-0005-0000-0000-0000CA440000}"/>
    <cellStyle name="40% - Accent3 73 11 3" xfId="17608" xr:uid="{00000000-0005-0000-0000-0000CB440000}"/>
    <cellStyle name="40% - Accent3 73 12" xfId="17609" xr:uid="{00000000-0005-0000-0000-0000CC440000}"/>
    <cellStyle name="40% - Accent3 73 12 2" xfId="17610" xr:uid="{00000000-0005-0000-0000-0000CD440000}"/>
    <cellStyle name="40% - Accent3 73 12 2 2" xfId="17611" xr:uid="{00000000-0005-0000-0000-0000CE440000}"/>
    <cellStyle name="40% - Accent3 73 12 3" xfId="17612" xr:uid="{00000000-0005-0000-0000-0000CF440000}"/>
    <cellStyle name="40% - Accent3 73 13" xfId="17613" xr:uid="{00000000-0005-0000-0000-0000D0440000}"/>
    <cellStyle name="40% - Accent3 73 13 2" xfId="17614" xr:uid="{00000000-0005-0000-0000-0000D1440000}"/>
    <cellStyle name="40% - Accent3 73 13 2 2" xfId="17615" xr:uid="{00000000-0005-0000-0000-0000D2440000}"/>
    <cellStyle name="40% - Accent3 73 13 3" xfId="17616" xr:uid="{00000000-0005-0000-0000-0000D3440000}"/>
    <cellStyle name="40% - Accent3 73 14" xfId="17617" xr:uid="{00000000-0005-0000-0000-0000D4440000}"/>
    <cellStyle name="40% - Accent3 73 14 2" xfId="17618" xr:uid="{00000000-0005-0000-0000-0000D5440000}"/>
    <cellStyle name="40% - Accent3 73 14 2 2" xfId="17619" xr:uid="{00000000-0005-0000-0000-0000D6440000}"/>
    <cellStyle name="40% - Accent3 73 14 3" xfId="17620" xr:uid="{00000000-0005-0000-0000-0000D7440000}"/>
    <cellStyle name="40% - Accent3 73 15" xfId="17621" xr:uid="{00000000-0005-0000-0000-0000D8440000}"/>
    <cellStyle name="40% - Accent3 73 15 2" xfId="17622" xr:uid="{00000000-0005-0000-0000-0000D9440000}"/>
    <cellStyle name="40% - Accent3 73 15 2 2" xfId="17623" xr:uid="{00000000-0005-0000-0000-0000DA440000}"/>
    <cellStyle name="40% - Accent3 73 15 3" xfId="17624" xr:uid="{00000000-0005-0000-0000-0000DB440000}"/>
    <cellStyle name="40% - Accent3 73 16" xfId="17625" xr:uid="{00000000-0005-0000-0000-0000DC440000}"/>
    <cellStyle name="40% - Accent3 73 16 2" xfId="17626" xr:uid="{00000000-0005-0000-0000-0000DD440000}"/>
    <cellStyle name="40% - Accent3 73 16 2 2" xfId="17627" xr:uid="{00000000-0005-0000-0000-0000DE440000}"/>
    <cellStyle name="40% - Accent3 73 16 3" xfId="17628" xr:uid="{00000000-0005-0000-0000-0000DF440000}"/>
    <cellStyle name="40% - Accent3 73 17" xfId="17629" xr:uid="{00000000-0005-0000-0000-0000E0440000}"/>
    <cellStyle name="40% - Accent3 73 17 2" xfId="17630" xr:uid="{00000000-0005-0000-0000-0000E1440000}"/>
    <cellStyle name="40% - Accent3 73 17 2 2" xfId="17631" xr:uid="{00000000-0005-0000-0000-0000E2440000}"/>
    <cellStyle name="40% - Accent3 73 17 3" xfId="17632" xr:uid="{00000000-0005-0000-0000-0000E3440000}"/>
    <cellStyle name="40% - Accent3 73 18" xfId="17633" xr:uid="{00000000-0005-0000-0000-0000E4440000}"/>
    <cellStyle name="40% - Accent3 73 18 2" xfId="17634" xr:uid="{00000000-0005-0000-0000-0000E5440000}"/>
    <cellStyle name="40% - Accent3 73 18 2 2" xfId="17635" xr:uid="{00000000-0005-0000-0000-0000E6440000}"/>
    <cellStyle name="40% - Accent3 73 18 3" xfId="17636" xr:uid="{00000000-0005-0000-0000-0000E7440000}"/>
    <cellStyle name="40% - Accent3 73 19" xfId="17637" xr:uid="{00000000-0005-0000-0000-0000E8440000}"/>
    <cellStyle name="40% - Accent3 73 19 2" xfId="17638" xr:uid="{00000000-0005-0000-0000-0000E9440000}"/>
    <cellStyle name="40% - Accent3 73 19 2 2" xfId="17639" xr:uid="{00000000-0005-0000-0000-0000EA440000}"/>
    <cellStyle name="40% - Accent3 73 19 3" xfId="17640" xr:uid="{00000000-0005-0000-0000-0000EB440000}"/>
    <cellStyle name="40% - Accent3 73 2" xfId="17641" xr:uid="{00000000-0005-0000-0000-0000EC440000}"/>
    <cellStyle name="40% - Accent3 73 2 2" xfId="17642" xr:uid="{00000000-0005-0000-0000-0000ED440000}"/>
    <cellStyle name="40% - Accent3 73 2 2 2" xfId="17643" xr:uid="{00000000-0005-0000-0000-0000EE440000}"/>
    <cellStyle name="40% - Accent3 73 2 3" xfId="17644" xr:uid="{00000000-0005-0000-0000-0000EF440000}"/>
    <cellStyle name="40% - Accent3 73 20" xfId="17645" xr:uid="{00000000-0005-0000-0000-0000F0440000}"/>
    <cellStyle name="40% - Accent3 73 20 2" xfId="17646" xr:uid="{00000000-0005-0000-0000-0000F1440000}"/>
    <cellStyle name="40% - Accent3 73 20 2 2" xfId="17647" xr:uid="{00000000-0005-0000-0000-0000F2440000}"/>
    <cellStyle name="40% - Accent3 73 20 3" xfId="17648" xr:uid="{00000000-0005-0000-0000-0000F3440000}"/>
    <cellStyle name="40% - Accent3 73 21" xfId="17649" xr:uid="{00000000-0005-0000-0000-0000F4440000}"/>
    <cellStyle name="40% - Accent3 73 21 2" xfId="17650" xr:uid="{00000000-0005-0000-0000-0000F5440000}"/>
    <cellStyle name="40% - Accent3 73 21 2 2" xfId="17651" xr:uid="{00000000-0005-0000-0000-0000F6440000}"/>
    <cellStyle name="40% - Accent3 73 21 3" xfId="17652" xr:uid="{00000000-0005-0000-0000-0000F7440000}"/>
    <cellStyle name="40% - Accent3 73 22" xfId="17653" xr:uid="{00000000-0005-0000-0000-0000F8440000}"/>
    <cellStyle name="40% - Accent3 73 22 2" xfId="17654" xr:uid="{00000000-0005-0000-0000-0000F9440000}"/>
    <cellStyle name="40% - Accent3 73 22 2 2" xfId="17655" xr:uid="{00000000-0005-0000-0000-0000FA440000}"/>
    <cellStyle name="40% - Accent3 73 22 3" xfId="17656" xr:uid="{00000000-0005-0000-0000-0000FB440000}"/>
    <cellStyle name="40% - Accent3 73 23" xfId="17657" xr:uid="{00000000-0005-0000-0000-0000FC440000}"/>
    <cellStyle name="40% - Accent3 73 23 2" xfId="17658" xr:uid="{00000000-0005-0000-0000-0000FD440000}"/>
    <cellStyle name="40% - Accent3 73 23 2 2" xfId="17659" xr:uid="{00000000-0005-0000-0000-0000FE440000}"/>
    <cellStyle name="40% - Accent3 73 23 3" xfId="17660" xr:uid="{00000000-0005-0000-0000-0000FF440000}"/>
    <cellStyle name="40% - Accent3 73 24" xfId="17661" xr:uid="{00000000-0005-0000-0000-000000450000}"/>
    <cellStyle name="40% - Accent3 73 24 2" xfId="17662" xr:uid="{00000000-0005-0000-0000-000001450000}"/>
    <cellStyle name="40% - Accent3 73 24 2 2" xfId="17663" xr:uid="{00000000-0005-0000-0000-000002450000}"/>
    <cellStyle name="40% - Accent3 73 24 3" xfId="17664" xr:uid="{00000000-0005-0000-0000-000003450000}"/>
    <cellStyle name="40% - Accent3 73 25" xfId="17665" xr:uid="{00000000-0005-0000-0000-000004450000}"/>
    <cellStyle name="40% - Accent3 73 25 2" xfId="17666" xr:uid="{00000000-0005-0000-0000-000005450000}"/>
    <cellStyle name="40% - Accent3 73 25 2 2" xfId="17667" xr:uid="{00000000-0005-0000-0000-000006450000}"/>
    <cellStyle name="40% - Accent3 73 25 3" xfId="17668" xr:uid="{00000000-0005-0000-0000-000007450000}"/>
    <cellStyle name="40% - Accent3 73 26" xfId="17669" xr:uid="{00000000-0005-0000-0000-000008450000}"/>
    <cellStyle name="40% - Accent3 73 26 2" xfId="17670" xr:uid="{00000000-0005-0000-0000-000009450000}"/>
    <cellStyle name="40% - Accent3 73 26 2 2" xfId="17671" xr:uid="{00000000-0005-0000-0000-00000A450000}"/>
    <cellStyle name="40% - Accent3 73 26 3" xfId="17672" xr:uid="{00000000-0005-0000-0000-00000B450000}"/>
    <cellStyle name="40% - Accent3 73 27" xfId="17673" xr:uid="{00000000-0005-0000-0000-00000C450000}"/>
    <cellStyle name="40% - Accent3 73 27 2" xfId="17674" xr:uid="{00000000-0005-0000-0000-00000D450000}"/>
    <cellStyle name="40% - Accent3 73 27 2 2" xfId="17675" xr:uid="{00000000-0005-0000-0000-00000E450000}"/>
    <cellStyle name="40% - Accent3 73 27 3" xfId="17676" xr:uid="{00000000-0005-0000-0000-00000F450000}"/>
    <cellStyle name="40% - Accent3 73 28" xfId="17677" xr:uid="{00000000-0005-0000-0000-000010450000}"/>
    <cellStyle name="40% - Accent3 73 28 2" xfId="17678" xr:uid="{00000000-0005-0000-0000-000011450000}"/>
    <cellStyle name="40% - Accent3 73 28 2 2" xfId="17679" xr:uid="{00000000-0005-0000-0000-000012450000}"/>
    <cellStyle name="40% - Accent3 73 28 3" xfId="17680" xr:uid="{00000000-0005-0000-0000-000013450000}"/>
    <cellStyle name="40% - Accent3 73 29" xfId="17681" xr:uid="{00000000-0005-0000-0000-000014450000}"/>
    <cellStyle name="40% - Accent3 73 29 2" xfId="17682" xr:uid="{00000000-0005-0000-0000-000015450000}"/>
    <cellStyle name="40% - Accent3 73 29 2 2" xfId="17683" xr:uid="{00000000-0005-0000-0000-000016450000}"/>
    <cellStyle name="40% - Accent3 73 29 3" xfId="17684" xr:uid="{00000000-0005-0000-0000-000017450000}"/>
    <cellStyle name="40% - Accent3 73 3" xfId="17685" xr:uid="{00000000-0005-0000-0000-000018450000}"/>
    <cellStyle name="40% - Accent3 73 3 2" xfId="17686" xr:uid="{00000000-0005-0000-0000-000019450000}"/>
    <cellStyle name="40% - Accent3 73 3 2 2" xfId="17687" xr:uid="{00000000-0005-0000-0000-00001A450000}"/>
    <cellStyle name="40% - Accent3 73 3 3" xfId="17688" xr:uid="{00000000-0005-0000-0000-00001B450000}"/>
    <cellStyle name="40% - Accent3 73 30" xfId="17689" xr:uid="{00000000-0005-0000-0000-00001C450000}"/>
    <cellStyle name="40% - Accent3 73 30 2" xfId="17690" xr:uid="{00000000-0005-0000-0000-00001D450000}"/>
    <cellStyle name="40% - Accent3 73 30 2 2" xfId="17691" xr:uid="{00000000-0005-0000-0000-00001E450000}"/>
    <cellStyle name="40% - Accent3 73 30 3" xfId="17692" xr:uid="{00000000-0005-0000-0000-00001F450000}"/>
    <cellStyle name="40% - Accent3 73 31" xfId="17693" xr:uid="{00000000-0005-0000-0000-000020450000}"/>
    <cellStyle name="40% - Accent3 73 31 2" xfId="17694" xr:uid="{00000000-0005-0000-0000-000021450000}"/>
    <cellStyle name="40% - Accent3 73 31 2 2" xfId="17695" xr:uid="{00000000-0005-0000-0000-000022450000}"/>
    <cellStyle name="40% - Accent3 73 31 3" xfId="17696" xr:uid="{00000000-0005-0000-0000-000023450000}"/>
    <cellStyle name="40% - Accent3 73 32" xfId="17697" xr:uid="{00000000-0005-0000-0000-000024450000}"/>
    <cellStyle name="40% - Accent3 73 32 2" xfId="17698" xr:uid="{00000000-0005-0000-0000-000025450000}"/>
    <cellStyle name="40% - Accent3 73 32 2 2" xfId="17699" xr:uid="{00000000-0005-0000-0000-000026450000}"/>
    <cellStyle name="40% - Accent3 73 32 3" xfId="17700" xr:uid="{00000000-0005-0000-0000-000027450000}"/>
    <cellStyle name="40% - Accent3 73 33" xfId="17701" xr:uid="{00000000-0005-0000-0000-000028450000}"/>
    <cellStyle name="40% - Accent3 73 33 2" xfId="17702" xr:uid="{00000000-0005-0000-0000-000029450000}"/>
    <cellStyle name="40% - Accent3 73 33 2 2" xfId="17703" xr:uid="{00000000-0005-0000-0000-00002A450000}"/>
    <cellStyle name="40% - Accent3 73 33 3" xfId="17704" xr:uid="{00000000-0005-0000-0000-00002B450000}"/>
    <cellStyle name="40% - Accent3 73 34" xfId="17705" xr:uid="{00000000-0005-0000-0000-00002C450000}"/>
    <cellStyle name="40% - Accent3 73 34 2" xfId="17706" xr:uid="{00000000-0005-0000-0000-00002D450000}"/>
    <cellStyle name="40% - Accent3 73 34 2 2" xfId="17707" xr:uid="{00000000-0005-0000-0000-00002E450000}"/>
    <cellStyle name="40% - Accent3 73 34 3" xfId="17708" xr:uid="{00000000-0005-0000-0000-00002F450000}"/>
    <cellStyle name="40% - Accent3 73 35" xfId="17709" xr:uid="{00000000-0005-0000-0000-000030450000}"/>
    <cellStyle name="40% - Accent3 73 35 2" xfId="17710" xr:uid="{00000000-0005-0000-0000-000031450000}"/>
    <cellStyle name="40% - Accent3 73 35 2 2" xfId="17711" xr:uid="{00000000-0005-0000-0000-000032450000}"/>
    <cellStyle name="40% - Accent3 73 35 3" xfId="17712" xr:uid="{00000000-0005-0000-0000-000033450000}"/>
    <cellStyle name="40% - Accent3 73 36" xfId="17713" xr:uid="{00000000-0005-0000-0000-000034450000}"/>
    <cellStyle name="40% - Accent3 73 36 2" xfId="17714" xr:uid="{00000000-0005-0000-0000-000035450000}"/>
    <cellStyle name="40% - Accent3 73 36 2 2" xfId="17715" xr:uid="{00000000-0005-0000-0000-000036450000}"/>
    <cellStyle name="40% - Accent3 73 36 3" xfId="17716" xr:uid="{00000000-0005-0000-0000-000037450000}"/>
    <cellStyle name="40% - Accent3 73 4" xfId="17717" xr:uid="{00000000-0005-0000-0000-000038450000}"/>
    <cellStyle name="40% - Accent3 73 4 2" xfId="17718" xr:uid="{00000000-0005-0000-0000-000039450000}"/>
    <cellStyle name="40% - Accent3 73 4 2 2" xfId="17719" xr:uid="{00000000-0005-0000-0000-00003A450000}"/>
    <cellStyle name="40% - Accent3 73 4 3" xfId="17720" xr:uid="{00000000-0005-0000-0000-00003B450000}"/>
    <cellStyle name="40% - Accent3 73 5" xfId="17721" xr:uid="{00000000-0005-0000-0000-00003C450000}"/>
    <cellStyle name="40% - Accent3 73 5 2" xfId="17722" xr:uid="{00000000-0005-0000-0000-00003D450000}"/>
    <cellStyle name="40% - Accent3 73 5 2 2" xfId="17723" xr:uid="{00000000-0005-0000-0000-00003E450000}"/>
    <cellStyle name="40% - Accent3 73 5 3" xfId="17724" xr:uid="{00000000-0005-0000-0000-00003F450000}"/>
    <cellStyle name="40% - Accent3 73 6" xfId="17725" xr:uid="{00000000-0005-0000-0000-000040450000}"/>
    <cellStyle name="40% - Accent3 73 6 2" xfId="17726" xr:uid="{00000000-0005-0000-0000-000041450000}"/>
    <cellStyle name="40% - Accent3 73 6 2 2" xfId="17727" xr:uid="{00000000-0005-0000-0000-000042450000}"/>
    <cellStyle name="40% - Accent3 73 6 3" xfId="17728" xr:uid="{00000000-0005-0000-0000-000043450000}"/>
    <cellStyle name="40% - Accent3 73 7" xfId="17729" xr:uid="{00000000-0005-0000-0000-000044450000}"/>
    <cellStyle name="40% - Accent3 73 7 2" xfId="17730" xr:uid="{00000000-0005-0000-0000-000045450000}"/>
    <cellStyle name="40% - Accent3 73 7 2 2" xfId="17731" xr:uid="{00000000-0005-0000-0000-000046450000}"/>
    <cellStyle name="40% - Accent3 73 7 3" xfId="17732" xr:uid="{00000000-0005-0000-0000-000047450000}"/>
    <cellStyle name="40% - Accent3 73 8" xfId="17733" xr:uid="{00000000-0005-0000-0000-000048450000}"/>
    <cellStyle name="40% - Accent3 73 8 2" xfId="17734" xr:uid="{00000000-0005-0000-0000-000049450000}"/>
    <cellStyle name="40% - Accent3 73 8 2 2" xfId="17735" xr:uid="{00000000-0005-0000-0000-00004A450000}"/>
    <cellStyle name="40% - Accent3 73 8 3" xfId="17736" xr:uid="{00000000-0005-0000-0000-00004B450000}"/>
    <cellStyle name="40% - Accent3 73 9" xfId="17737" xr:uid="{00000000-0005-0000-0000-00004C450000}"/>
    <cellStyle name="40% - Accent3 73 9 2" xfId="17738" xr:uid="{00000000-0005-0000-0000-00004D450000}"/>
    <cellStyle name="40% - Accent3 73 9 2 2" xfId="17739" xr:uid="{00000000-0005-0000-0000-00004E450000}"/>
    <cellStyle name="40% - Accent3 73 9 3" xfId="17740" xr:uid="{00000000-0005-0000-0000-00004F450000}"/>
    <cellStyle name="40% - Accent3 74" xfId="17741" xr:uid="{00000000-0005-0000-0000-000050450000}"/>
    <cellStyle name="40% - Accent3 74 10" xfId="17742" xr:uid="{00000000-0005-0000-0000-000051450000}"/>
    <cellStyle name="40% - Accent3 74 10 2" xfId="17743" xr:uid="{00000000-0005-0000-0000-000052450000}"/>
    <cellStyle name="40% - Accent3 74 10 2 2" xfId="17744" xr:uid="{00000000-0005-0000-0000-000053450000}"/>
    <cellStyle name="40% - Accent3 74 10 3" xfId="17745" xr:uid="{00000000-0005-0000-0000-000054450000}"/>
    <cellStyle name="40% - Accent3 74 11" xfId="17746" xr:uid="{00000000-0005-0000-0000-000055450000}"/>
    <cellStyle name="40% - Accent3 74 11 2" xfId="17747" xr:uid="{00000000-0005-0000-0000-000056450000}"/>
    <cellStyle name="40% - Accent3 74 11 2 2" xfId="17748" xr:uid="{00000000-0005-0000-0000-000057450000}"/>
    <cellStyle name="40% - Accent3 74 11 3" xfId="17749" xr:uid="{00000000-0005-0000-0000-000058450000}"/>
    <cellStyle name="40% - Accent3 74 12" xfId="17750" xr:uid="{00000000-0005-0000-0000-000059450000}"/>
    <cellStyle name="40% - Accent3 74 12 2" xfId="17751" xr:uid="{00000000-0005-0000-0000-00005A450000}"/>
    <cellStyle name="40% - Accent3 74 12 2 2" xfId="17752" xr:uid="{00000000-0005-0000-0000-00005B450000}"/>
    <cellStyle name="40% - Accent3 74 12 3" xfId="17753" xr:uid="{00000000-0005-0000-0000-00005C450000}"/>
    <cellStyle name="40% - Accent3 74 13" xfId="17754" xr:uid="{00000000-0005-0000-0000-00005D450000}"/>
    <cellStyle name="40% - Accent3 74 13 2" xfId="17755" xr:uid="{00000000-0005-0000-0000-00005E450000}"/>
    <cellStyle name="40% - Accent3 74 13 2 2" xfId="17756" xr:uid="{00000000-0005-0000-0000-00005F450000}"/>
    <cellStyle name="40% - Accent3 74 13 3" xfId="17757" xr:uid="{00000000-0005-0000-0000-000060450000}"/>
    <cellStyle name="40% - Accent3 74 14" xfId="17758" xr:uid="{00000000-0005-0000-0000-000061450000}"/>
    <cellStyle name="40% - Accent3 74 14 2" xfId="17759" xr:uid="{00000000-0005-0000-0000-000062450000}"/>
    <cellStyle name="40% - Accent3 74 14 2 2" xfId="17760" xr:uid="{00000000-0005-0000-0000-000063450000}"/>
    <cellStyle name="40% - Accent3 74 14 3" xfId="17761" xr:uid="{00000000-0005-0000-0000-000064450000}"/>
    <cellStyle name="40% - Accent3 74 15" xfId="17762" xr:uid="{00000000-0005-0000-0000-000065450000}"/>
    <cellStyle name="40% - Accent3 74 15 2" xfId="17763" xr:uid="{00000000-0005-0000-0000-000066450000}"/>
    <cellStyle name="40% - Accent3 74 15 2 2" xfId="17764" xr:uid="{00000000-0005-0000-0000-000067450000}"/>
    <cellStyle name="40% - Accent3 74 15 3" xfId="17765" xr:uid="{00000000-0005-0000-0000-000068450000}"/>
    <cellStyle name="40% - Accent3 74 16" xfId="17766" xr:uid="{00000000-0005-0000-0000-000069450000}"/>
    <cellStyle name="40% - Accent3 74 16 2" xfId="17767" xr:uid="{00000000-0005-0000-0000-00006A450000}"/>
    <cellStyle name="40% - Accent3 74 16 2 2" xfId="17768" xr:uid="{00000000-0005-0000-0000-00006B450000}"/>
    <cellStyle name="40% - Accent3 74 16 3" xfId="17769" xr:uid="{00000000-0005-0000-0000-00006C450000}"/>
    <cellStyle name="40% - Accent3 74 17" xfId="17770" xr:uid="{00000000-0005-0000-0000-00006D450000}"/>
    <cellStyle name="40% - Accent3 74 17 2" xfId="17771" xr:uid="{00000000-0005-0000-0000-00006E450000}"/>
    <cellStyle name="40% - Accent3 74 17 2 2" xfId="17772" xr:uid="{00000000-0005-0000-0000-00006F450000}"/>
    <cellStyle name="40% - Accent3 74 17 3" xfId="17773" xr:uid="{00000000-0005-0000-0000-000070450000}"/>
    <cellStyle name="40% - Accent3 74 18" xfId="17774" xr:uid="{00000000-0005-0000-0000-000071450000}"/>
    <cellStyle name="40% - Accent3 74 18 2" xfId="17775" xr:uid="{00000000-0005-0000-0000-000072450000}"/>
    <cellStyle name="40% - Accent3 74 18 2 2" xfId="17776" xr:uid="{00000000-0005-0000-0000-000073450000}"/>
    <cellStyle name="40% - Accent3 74 18 3" xfId="17777" xr:uid="{00000000-0005-0000-0000-000074450000}"/>
    <cellStyle name="40% - Accent3 74 19" xfId="17778" xr:uid="{00000000-0005-0000-0000-000075450000}"/>
    <cellStyle name="40% - Accent3 74 19 2" xfId="17779" xr:uid="{00000000-0005-0000-0000-000076450000}"/>
    <cellStyle name="40% - Accent3 74 19 2 2" xfId="17780" xr:uid="{00000000-0005-0000-0000-000077450000}"/>
    <cellStyle name="40% - Accent3 74 19 3" xfId="17781" xr:uid="{00000000-0005-0000-0000-000078450000}"/>
    <cellStyle name="40% - Accent3 74 2" xfId="17782" xr:uid="{00000000-0005-0000-0000-000079450000}"/>
    <cellStyle name="40% - Accent3 74 2 2" xfId="17783" xr:uid="{00000000-0005-0000-0000-00007A450000}"/>
    <cellStyle name="40% - Accent3 74 2 2 2" xfId="17784" xr:uid="{00000000-0005-0000-0000-00007B450000}"/>
    <cellStyle name="40% - Accent3 74 2 3" xfId="17785" xr:uid="{00000000-0005-0000-0000-00007C450000}"/>
    <cellStyle name="40% - Accent3 74 20" xfId="17786" xr:uid="{00000000-0005-0000-0000-00007D450000}"/>
    <cellStyle name="40% - Accent3 74 20 2" xfId="17787" xr:uid="{00000000-0005-0000-0000-00007E450000}"/>
    <cellStyle name="40% - Accent3 74 20 2 2" xfId="17788" xr:uid="{00000000-0005-0000-0000-00007F450000}"/>
    <cellStyle name="40% - Accent3 74 20 3" xfId="17789" xr:uid="{00000000-0005-0000-0000-000080450000}"/>
    <cellStyle name="40% - Accent3 74 21" xfId="17790" xr:uid="{00000000-0005-0000-0000-000081450000}"/>
    <cellStyle name="40% - Accent3 74 21 2" xfId="17791" xr:uid="{00000000-0005-0000-0000-000082450000}"/>
    <cellStyle name="40% - Accent3 74 21 2 2" xfId="17792" xr:uid="{00000000-0005-0000-0000-000083450000}"/>
    <cellStyle name="40% - Accent3 74 21 3" xfId="17793" xr:uid="{00000000-0005-0000-0000-000084450000}"/>
    <cellStyle name="40% - Accent3 74 22" xfId="17794" xr:uid="{00000000-0005-0000-0000-000085450000}"/>
    <cellStyle name="40% - Accent3 74 22 2" xfId="17795" xr:uid="{00000000-0005-0000-0000-000086450000}"/>
    <cellStyle name="40% - Accent3 74 22 2 2" xfId="17796" xr:uid="{00000000-0005-0000-0000-000087450000}"/>
    <cellStyle name="40% - Accent3 74 22 3" xfId="17797" xr:uid="{00000000-0005-0000-0000-000088450000}"/>
    <cellStyle name="40% - Accent3 74 23" xfId="17798" xr:uid="{00000000-0005-0000-0000-000089450000}"/>
    <cellStyle name="40% - Accent3 74 23 2" xfId="17799" xr:uid="{00000000-0005-0000-0000-00008A450000}"/>
    <cellStyle name="40% - Accent3 74 23 2 2" xfId="17800" xr:uid="{00000000-0005-0000-0000-00008B450000}"/>
    <cellStyle name="40% - Accent3 74 23 3" xfId="17801" xr:uid="{00000000-0005-0000-0000-00008C450000}"/>
    <cellStyle name="40% - Accent3 74 24" xfId="17802" xr:uid="{00000000-0005-0000-0000-00008D450000}"/>
    <cellStyle name="40% - Accent3 74 24 2" xfId="17803" xr:uid="{00000000-0005-0000-0000-00008E450000}"/>
    <cellStyle name="40% - Accent3 74 24 2 2" xfId="17804" xr:uid="{00000000-0005-0000-0000-00008F450000}"/>
    <cellStyle name="40% - Accent3 74 24 3" xfId="17805" xr:uid="{00000000-0005-0000-0000-000090450000}"/>
    <cellStyle name="40% - Accent3 74 25" xfId="17806" xr:uid="{00000000-0005-0000-0000-000091450000}"/>
    <cellStyle name="40% - Accent3 74 25 2" xfId="17807" xr:uid="{00000000-0005-0000-0000-000092450000}"/>
    <cellStyle name="40% - Accent3 74 25 2 2" xfId="17808" xr:uid="{00000000-0005-0000-0000-000093450000}"/>
    <cellStyle name="40% - Accent3 74 25 3" xfId="17809" xr:uid="{00000000-0005-0000-0000-000094450000}"/>
    <cellStyle name="40% - Accent3 74 26" xfId="17810" xr:uid="{00000000-0005-0000-0000-000095450000}"/>
    <cellStyle name="40% - Accent3 74 26 2" xfId="17811" xr:uid="{00000000-0005-0000-0000-000096450000}"/>
    <cellStyle name="40% - Accent3 74 26 2 2" xfId="17812" xr:uid="{00000000-0005-0000-0000-000097450000}"/>
    <cellStyle name="40% - Accent3 74 26 3" xfId="17813" xr:uid="{00000000-0005-0000-0000-000098450000}"/>
    <cellStyle name="40% - Accent3 74 27" xfId="17814" xr:uid="{00000000-0005-0000-0000-000099450000}"/>
    <cellStyle name="40% - Accent3 74 27 2" xfId="17815" xr:uid="{00000000-0005-0000-0000-00009A450000}"/>
    <cellStyle name="40% - Accent3 74 27 2 2" xfId="17816" xr:uid="{00000000-0005-0000-0000-00009B450000}"/>
    <cellStyle name="40% - Accent3 74 27 3" xfId="17817" xr:uid="{00000000-0005-0000-0000-00009C450000}"/>
    <cellStyle name="40% - Accent3 74 28" xfId="17818" xr:uid="{00000000-0005-0000-0000-00009D450000}"/>
    <cellStyle name="40% - Accent3 74 28 2" xfId="17819" xr:uid="{00000000-0005-0000-0000-00009E450000}"/>
    <cellStyle name="40% - Accent3 74 28 2 2" xfId="17820" xr:uid="{00000000-0005-0000-0000-00009F450000}"/>
    <cellStyle name="40% - Accent3 74 28 3" xfId="17821" xr:uid="{00000000-0005-0000-0000-0000A0450000}"/>
    <cellStyle name="40% - Accent3 74 29" xfId="17822" xr:uid="{00000000-0005-0000-0000-0000A1450000}"/>
    <cellStyle name="40% - Accent3 74 29 2" xfId="17823" xr:uid="{00000000-0005-0000-0000-0000A2450000}"/>
    <cellStyle name="40% - Accent3 74 29 2 2" xfId="17824" xr:uid="{00000000-0005-0000-0000-0000A3450000}"/>
    <cellStyle name="40% - Accent3 74 29 3" xfId="17825" xr:uid="{00000000-0005-0000-0000-0000A4450000}"/>
    <cellStyle name="40% - Accent3 74 3" xfId="17826" xr:uid="{00000000-0005-0000-0000-0000A5450000}"/>
    <cellStyle name="40% - Accent3 74 3 2" xfId="17827" xr:uid="{00000000-0005-0000-0000-0000A6450000}"/>
    <cellStyle name="40% - Accent3 74 3 2 2" xfId="17828" xr:uid="{00000000-0005-0000-0000-0000A7450000}"/>
    <cellStyle name="40% - Accent3 74 3 3" xfId="17829" xr:uid="{00000000-0005-0000-0000-0000A8450000}"/>
    <cellStyle name="40% - Accent3 74 30" xfId="17830" xr:uid="{00000000-0005-0000-0000-0000A9450000}"/>
    <cellStyle name="40% - Accent3 74 30 2" xfId="17831" xr:uid="{00000000-0005-0000-0000-0000AA450000}"/>
    <cellStyle name="40% - Accent3 74 30 2 2" xfId="17832" xr:uid="{00000000-0005-0000-0000-0000AB450000}"/>
    <cellStyle name="40% - Accent3 74 30 3" xfId="17833" xr:uid="{00000000-0005-0000-0000-0000AC450000}"/>
    <cellStyle name="40% - Accent3 74 31" xfId="17834" xr:uid="{00000000-0005-0000-0000-0000AD450000}"/>
    <cellStyle name="40% - Accent3 74 31 2" xfId="17835" xr:uid="{00000000-0005-0000-0000-0000AE450000}"/>
    <cellStyle name="40% - Accent3 74 31 2 2" xfId="17836" xr:uid="{00000000-0005-0000-0000-0000AF450000}"/>
    <cellStyle name="40% - Accent3 74 31 3" xfId="17837" xr:uid="{00000000-0005-0000-0000-0000B0450000}"/>
    <cellStyle name="40% - Accent3 74 32" xfId="17838" xr:uid="{00000000-0005-0000-0000-0000B1450000}"/>
    <cellStyle name="40% - Accent3 74 32 2" xfId="17839" xr:uid="{00000000-0005-0000-0000-0000B2450000}"/>
    <cellStyle name="40% - Accent3 74 32 2 2" xfId="17840" xr:uid="{00000000-0005-0000-0000-0000B3450000}"/>
    <cellStyle name="40% - Accent3 74 32 3" xfId="17841" xr:uid="{00000000-0005-0000-0000-0000B4450000}"/>
    <cellStyle name="40% - Accent3 74 33" xfId="17842" xr:uid="{00000000-0005-0000-0000-0000B5450000}"/>
    <cellStyle name="40% - Accent3 74 33 2" xfId="17843" xr:uid="{00000000-0005-0000-0000-0000B6450000}"/>
    <cellStyle name="40% - Accent3 74 33 2 2" xfId="17844" xr:uid="{00000000-0005-0000-0000-0000B7450000}"/>
    <cellStyle name="40% - Accent3 74 33 3" xfId="17845" xr:uid="{00000000-0005-0000-0000-0000B8450000}"/>
    <cellStyle name="40% - Accent3 74 34" xfId="17846" xr:uid="{00000000-0005-0000-0000-0000B9450000}"/>
    <cellStyle name="40% - Accent3 74 34 2" xfId="17847" xr:uid="{00000000-0005-0000-0000-0000BA450000}"/>
    <cellStyle name="40% - Accent3 74 34 2 2" xfId="17848" xr:uid="{00000000-0005-0000-0000-0000BB450000}"/>
    <cellStyle name="40% - Accent3 74 34 3" xfId="17849" xr:uid="{00000000-0005-0000-0000-0000BC450000}"/>
    <cellStyle name="40% - Accent3 74 35" xfId="17850" xr:uid="{00000000-0005-0000-0000-0000BD450000}"/>
    <cellStyle name="40% - Accent3 74 35 2" xfId="17851" xr:uid="{00000000-0005-0000-0000-0000BE450000}"/>
    <cellStyle name="40% - Accent3 74 35 2 2" xfId="17852" xr:uid="{00000000-0005-0000-0000-0000BF450000}"/>
    <cellStyle name="40% - Accent3 74 35 3" xfId="17853" xr:uid="{00000000-0005-0000-0000-0000C0450000}"/>
    <cellStyle name="40% - Accent3 74 36" xfId="17854" xr:uid="{00000000-0005-0000-0000-0000C1450000}"/>
    <cellStyle name="40% - Accent3 74 36 2" xfId="17855" xr:uid="{00000000-0005-0000-0000-0000C2450000}"/>
    <cellStyle name="40% - Accent3 74 36 2 2" xfId="17856" xr:uid="{00000000-0005-0000-0000-0000C3450000}"/>
    <cellStyle name="40% - Accent3 74 36 3" xfId="17857" xr:uid="{00000000-0005-0000-0000-0000C4450000}"/>
    <cellStyle name="40% - Accent3 74 4" xfId="17858" xr:uid="{00000000-0005-0000-0000-0000C5450000}"/>
    <cellStyle name="40% - Accent3 74 4 2" xfId="17859" xr:uid="{00000000-0005-0000-0000-0000C6450000}"/>
    <cellStyle name="40% - Accent3 74 4 2 2" xfId="17860" xr:uid="{00000000-0005-0000-0000-0000C7450000}"/>
    <cellStyle name="40% - Accent3 74 4 3" xfId="17861" xr:uid="{00000000-0005-0000-0000-0000C8450000}"/>
    <cellStyle name="40% - Accent3 74 5" xfId="17862" xr:uid="{00000000-0005-0000-0000-0000C9450000}"/>
    <cellStyle name="40% - Accent3 74 5 2" xfId="17863" xr:uid="{00000000-0005-0000-0000-0000CA450000}"/>
    <cellStyle name="40% - Accent3 74 5 2 2" xfId="17864" xr:uid="{00000000-0005-0000-0000-0000CB450000}"/>
    <cellStyle name="40% - Accent3 74 5 3" xfId="17865" xr:uid="{00000000-0005-0000-0000-0000CC450000}"/>
    <cellStyle name="40% - Accent3 74 6" xfId="17866" xr:uid="{00000000-0005-0000-0000-0000CD450000}"/>
    <cellStyle name="40% - Accent3 74 6 2" xfId="17867" xr:uid="{00000000-0005-0000-0000-0000CE450000}"/>
    <cellStyle name="40% - Accent3 74 6 2 2" xfId="17868" xr:uid="{00000000-0005-0000-0000-0000CF450000}"/>
    <cellStyle name="40% - Accent3 74 6 3" xfId="17869" xr:uid="{00000000-0005-0000-0000-0000D0450000}"/>
    <cellStyle name="40% - Accent3 74 7" xfId="17870" xr:uid="{00000000-0005-0000-0000-0000D1450000}"/>
    <cellStyle name="40% - Accent3 74 7 2" xfId="17871" xr:uid="{00000000-0005-0000-0000-0000D2450000}"/>
    <cellStyle name="40% - Accent3 74 7 2 2" xfId="17872" xr:uid="{00000000-0005-0000-0000-0000D3450000}"/>
    <cellStyle name="40% - Accent3 74 7 3" xfId="17873" xr:uid="{00000000-0005-0000-0000-0000D4450000}"/>
    <cellStyle name="40% - Accent3 74 8" xfId="17874" xr:uid="{00000000-0005-0000-0000-0000D5450000}"/>
    <cellStyle name="40% - Accent3 74 8 2" xfId="17875" xr:uid="{00000000-0005-0000-0000-0000D6450000}"/>
    <cellStyle name="40% - Accent3 74 8 2 2" xfId="17876" xr:uid="{00000000-0005-0000-0000-0000D7450000}"/>
    <cellStyle name="40% - Accent3 74 8 3" xfId="17877" xr:uid="{00000000-0005-0000-0000-0000D8450000}"/>
    <cellStyle name="40% - Accent3 74 9" xfId="17878" xr:uid="{00000000-0005-0000-0000-0000D9450000}"/>
    <cellStyle name="40% - Accent3 74 9 2" xfId="17879" xr:uid="{00000000-0005-0000-0000-0000DA450000}"/>
    <cellStyle name="40% - Accent3 74 9 2 2" xfId="17880" xr:uid="{00000000-0005-0000-0000-0000DB450000}"/>
    <cellStyle name="40% - Accent3 74 9 3" xfId="17881" xr:uid="{00000000-0005-0000-0000-0000DC450000}"/>
    <cellStyle name="40% - Accent3 75" xfId="17882" xr:uid="{00000000-0005-0000-0000-0000DD450000}"/>
    <cellStyle name="40% - Accent3 75 10" xfId="17883" xr:uid="{00000000-0005-0000-0000-0000DE450000}"/>
    <cellStyle name="40% - Accent3 75 10 2" xfId="17884" xr:uid="{00000000-0005-0000-0000-0000DF450000}"/>
    <cellStyle name="40% - Accent3 75 10 2 2" xfId="17885" xr:uid="{00000000-0005-0000-0000-0000E0450000}"/>
    <cellStyle name="40% - Accent3 75 10 3" xfId="17886" xr:uid="{00000000-0005-0000-0000-0000E1450000}"/>
    <cellStyle name="40% - Accent3 75 11" xfId="17887" xr:uid="{00000000-0005-0000-0000-0000E2450000}"/>
    <cellStyle name="40% - Accent3 75 11 2" xfId="17888" xr:uid="{00000000-0005-0000-0000-0000E3450000}"/>
    <cellStyle name="40% - Accent3 75 11 2 2" xfId="17889" xr:uid="{00000000-0005-0000-0000-0000E4450000}"/>
    <cellStyle name="40% - Accent3 75 11 3" xfId="17890" xr:uid="{00000000-0005-0000-0000-0000E5450000}"/>
    <cellStyle name="40% - Accent3 75 12" xfId="17891" xr:uid="{00000000-0005-0000-0000-0000E6450000}"/>
    <cellStyle name="40% - Accent3 75 12 2" xfId="17892" xr:uid="{00000000-0005-0000-0000-0000E7450000}"/>
    <cellStyle name="40% - Accent3 75 12 2 2" xfId="17893" xr:uid="{00000000-0005-0000-0000-0000E8450000}"/>
    <cellStyle name="40% - Accent3 75 12 3" xfId="17894" xr:uid="{00000000-0005-0000-0000-0000E9450000}"/>
    <cellStyle name="40% - Accent3 75 13" xfId="17895" xr:uid="{00000000-0005-0000-0000-0000EA450000}"/>
    <cellStyle name="40% - Accent3 75 13 2" xfId="17896" xr:uid="{00000000-0005-0000-0000-0000EB450000}"/>
    <cellStyle name="40% - Accent3 75 13 2 2" xfId="17897" xr:uid="{00000000-0005-0000-0000-0000EC450000}"/>
    <cellStyle name="40% - Accent3 75 13 3" xfId="17898" xr:uid="{00000000-0005-0000-0000-0000ED450000}"/>
    <cellStyle name="40% - Accent3 75 14" xfId="17899" xr:uid="{00000000-0005-0000-0000-0000EE450000}"/>
    <cellStyle name="40% - Accent3 75 14 2" xfId="17900" xr:uid="{00000000-0005-0000-0000-0000EF450000}"/>
    <cellStyle name="40% - Accent3 75 14 2 2" xfId="17901" xr:uid="{00000000-0005-0000-0000-0000F0450000}"/>
    <cellStyle name="40% - Accent3 75 14 3" xfId="17902" xr:uid="{00000000-0005-0000-0000-0000F1450000}"/>
    <cellStyle name="40% - Accent3 75 15" xfId="17903" xr:uid="{00000000-0005-0000-0000-0000F2450000}"/>
    <cellStyle name="40% - Accent3 75 15 2" xfId="17904" xr:uid="{00000000-0005-0000-0000-0000F3450000}"/>
    <cellStyle name="40% - Accent3 75 15 2 2" xfId="17905" xr:uid="{00000000-0005-0000-0000-0000F4450000}"/>
    <cellStyle name="40% - Accent3 75 15 3" xfId="17906" xr:uid="{00000000-0005-0000-0000-0000F5450000}"/>
    <cellStyle name="40% - Accent3 75 16" xfId="17907" xr:uid="{00000000-0005-0000-0000-0000F6450000}"/>
    <cellStyle name="40% - Accent3 75 16 2" xfId="17908" xr:uid="{00000000-0005-0000-0000-0000F7450000}"/>
    <cellStyle name="40% - Accent3 75 16 2 2" xfId="17909" xr:uid="{00000000-0005-0000-0000-0000F8450000}"/>
    <cellStyle name="40% - Accent3 75 16 3" xfId="17910" xr:uid="{00000000-0005-0000-0000-0000F9450000}"/>
    <cellStyle name="40% - Accent3 75 17" xfId="17911" xr:uid="{00000000-0005-0000-0000-0000FA450000}"/>
    <cellStyle name="40% - Accent3 75 17 2" xfId="17912" xr:uid="{00000000-0005-0000-0000-0000FB450000}"/>
    <cellStyle name="40% - Accent3 75 17 2 2" xfId="17913" xr:uid="{00000000-0005-0000-0000-0000FC450000}"/>
    <cellStyle name="40% - Accent3 75 17 3" xfId="17914" xr:uid="{00000000-0005-0000-0000-0000FD450000}"/>
    <cellStyle name="40% - Accent3 75 18" xfId="17915" xr:uid="{00000000-0005-0000-0000-0000FE450000}"/>
    <cellStyle name="40% - Accent3 75 18 2" xfId="17916" xr:uid="{00000000-0005-0000-0000-0000FF450000}"/>
    <cellStyle name="40% - Accent3 75 18 2 2" xfId="17917" xr:uid="{00000000-0005-0000-0000-000000460000}"/>
    <cellStyle name="40% - Accent3 75 18 3" xfId="17918" xr:uid="{00000000-0005-0000-0000-000001460000}"/>
    <cellStyle name="40% - Accent3 75 19" xfId="17919" xr:uid="{00000000-0005-0000-0000-000002460000}"/>
    <cellStyle name="40% - Accent3 75 19 2" xfId="17920" xr:uid="{00000000-0005-0000-0000-000003460000}"/>
    <cellStyle name="40% - Accent3 75 19 2 2" xfId="17921" xr:uid="{00000000-0005-0000-0000-000004460000}"/>
    <cellStyle name="40% - Accent3 75 19 3" xfId="17922" xr:uid="{00000000-0005-0000-0000-000005460000}"/>
    <cellStyle name="40% - Accent3 75 2" xfId="17923" xr:uid="{00000000-0005-0000-0000-000006460000}"/>
    <cellStyle name="40% - Accent3 75 2 2" xfId="17924" xr:uid="{00000000-0005-0000-0000-000007460000}"/>
    <cellStyle name="40% - Accent3 75 2 2 2" xfId="17925" xr:uid="{00000000-0005-0000-0000-000008460000}"/>
    <cellStyle name="40% - Accent3 75 2 3" xfId="17926" xr:uid="{00000000-0005-0000-0000-000009460000}"/>
    <cellStyle name="40% - Accent3 75 20" xfId="17927" xr:uid="{00000000-0005-0000-0000-00000A460000}"/>
    <cellStyle name="40% - Accent3 75 20 2" xfId="17928" xr:uid="{00000000-0005-0000-0000-00000B460000}"/>
    <cellStyle name="40% - Accent3 75 20 2 2" xfId="17929" xr:uid="{00000000-0005-0000-0000-00000C460000}"/>
    <cellStyle name="40% - Accent3 75 20 3" xfId="17930" xr:uid="{00000000-0005-0000-0000-00000D460000}"/>
    <cellStyle name="40% - Accent3 75 21" xfId="17931" xr:uid="{00000000-0005-0000-0000-00000E460000}"/>
    <cellStyle name="40% - Accent3 75 21 2" xfId="17932" xr:uid="{00000000-0005-0000-0000-00000F460000}"/>
    <cellStyle name="40% - Accent3 75 21 2 2" xfId="17933" xr:uid="{00000000-0005-0000-0000-000010460000}"/>
    <cellStyle name="40% - Accent3 75 21 3" xfId="17934" xr:uid="{00000000-0005-0000-0000-000011460000}"/>
    <cellStyle name="40% - Accent3 75 22" xfId="17935" xr:uid="{00000000-0005-0000-0000-000012460000}"/>
    <cellStyle name="40% - Accent3 75 22 2" xfId="17936" xr:uid="{00000000-0005-0000-0000-000013460000}"/>
    <cellStyle name="40% - Accent3 75 22 2 2" xfId="17937" xr:uid="{00000000-0005-0000-0000-000014460000}"/>
    <cellStyle name="40% - Accent3 75 22 3" xfId="17938" xr:uid="{00000000-0005-0000-0000-000015460000}"/>
    <cellStyle name="40% - Accent3 75 23" xfId="17939" xr:uid="{00000000-0005-0000-0000-000016460000}"/>
    <cellStyle name="40% - Accent3 75 23 2" xfId="17940" xr:uid="{00000000-0005-0000-0000-000017460000}"/>
    <cellStyle name="40% - Accent3 75 23 2 2" xfId="17941" xr:uid="{00000000-0005-0000-0000-000018460000}"/>
    <cellStyle name="40% - Accent3 75 23 3" xfId="17942" xr:uid="{00000000-0005-0000-0000-000019460000}"/>
    <cellStyle name="40% - Accent3 75 24" xfId="17943" xr:uid="{00000000-0005-0000-0000-00001A460000}"/>
    <cellStyle name="40% - Accent3 75 24 2" xfId="17944" xr:uid="{00000000-0005-0000-0000-00001B460000}"/>
    <cellStyle name="40% - Accent3 75 24 2 2" xfId="17945" xr:uid="{00000000-0005-0000-0000-00001C460000}"/>
    <cellStyle name="40% - Accent3 75 24 3" xfId="17946" xr:uid="{00000000-0005-0000-0000-00001D460000}"/>
    <cellStyle name="40% - Accent3 75 25" xfId="17947" xr:uid="{00000000-0005-0000-0000-00001E460000}"/>
    <cellStyle name="40% - Accent3 75 25 2" xfId="17948" xr:uid="{00000000-0005-0000-0000-00001F460000}"/>
    <cellStyle name="40% - Accent3 75 25 2 2" xfId="17949" xr:uid="{00000000-0005-0000-0000-000020460000}"/>
    <cellStyle name="40% - Accent3 75 25 3" xfId="17950" xr:uid="{00000000-0005-0000-0000-000021460000}"/>
    <cellStyle name="40% - Accent3 75 26" xfId="17951" xr:uid="{00000000-0005-0000-0000-000022460000}"/>
    <cellStyle name="40% - Accent3 75 26 2" xfId="17952" xr:uid="{00000000-0005-0000-0000-000023460000}"/>
    <cellStyle name="40% - Accent3 75 26 2 2" xfId="17953" xr:uid="{00000000-0005-0000-0000-000024460000}"/>
    <cellStyle name="40% - Accent3 75 26 3" xfId="17954" xr:uid="{00000000-0005-0000-0000-000025460000}"/>
    <cellStyle name="40% - Accent3 75 27" xfId="17955" xr:uid="{00000000-0005-0000-0000-000026460000}"/>
    <cellStyle name="40% - Accent3 75 27 2" xfId="17956" xr:uid="{00000000-0005-0000-0000-000027460000}"/>
    <cellStyle name="40% - Accent3 75 27 2 2" xfId="17957" xr:uid="{00000000-0005-0000-0000-000028460000}"/>
    <cellStyle name="40% - Accent3 75 27 3" xfId="17958" xr:uid="{00000000-0005-0000-0000-000029460000}"/>
    <cellStyle name="40% - Accent3 75 28" xfId="17959" xr:uid="{00000000-0005-0000-0000-00002A460000}"/>
    <cellStyle name="40% - Accent3 75 28 2" xfId="17960" xr:uid="{00000000-0005-0000-0000-00002B460000}"/>
    <cellStyle name="40% - Accent3 75 28 2 2" xfId="17961" xr:uid="{00000000-0005-0000-0000-00002C460000}"/>
    <cellStyle name="40% - Accent3 75 28 3" xfId="17962" xr:uid="{00000000-0005-0000-0000-00002D460000}"/>
    <cellStyle name="40% - Accent3 75 29" xfId="17963" xr:uid="{00000000-0005-0000-0000-00002E460000}"/>
    <cellStyle name="40% - Accent3 75 29 2" xfId="17964" xr:uid="{00000000-0005-0000-0000-00002F460000}"/>
    <cellStyle name="40% - Accent3 75 29 2 2" xfId="17965" xr:uid="{00000000-0005-0000-0000-000030460000}"/>
    <cellStyle name="40% - Accent3 75 29 3" xfId="17966" xr:uid="{00000000-0005-0000-0000-000031460000}"/>
    <cellStyle name="40% - Accent3 75 3" xfId="17967" xr:uid="{00000000-0005-0000-0000-000032460000}"/>
    <cellStyle name="40% - Accent3 75 3 2" xfId="17968" xr:uid="{00000000-0005-0000-0000-000033460000}"/>
    <cellStyle name="40% - Accent3 75 3 2 2" xfId="17969" xr:uid="{00000000-0005-0000-0000-000034460000}"/>
    <cellStyle name="40% - Accent3 75 3 3" xfId="17970" xr:uid="{00000000-0005-0000-0000-000035460000}"/>
    <cellStyle name="40% - Accent3 75 30" xfId="17971" xr:uid="{00000000-0005-0000-0000-000036460000}"/>
    <cellStyle name="40% - Accent3 75 30 2" xfId="17972" xr:uid="{00000000-0005-0000-0000-000037460000}"/>
    <cellStyle name="40% - Accent3 75 30 2 2" xfId="17973" xr:uid="{00000000-0005-0000-0000-000038460000}"/>
    <cellStyle name="40% - Accent3 75 30 3" xfId="17974" xr:uid="{00000000-0005-0000-0000-000039460000}"/>
    <cellStyle name="40% - Accent3 75 31" xfId="17975" xr:uid="{00000000-0005-0000-0000-00003A460000}"/>
    <cellStyle name="40% - Accent3 75 31 2" xfId="17976" xr:uid="{00000000-0005-0000-0000-00003B460000}"/>
    <cellStyle name="40% - Accent3 75 31 2 2" xfId="17977" xr:uid="{00000000-0005-0000-0000-00003C460000}"/>
    <cellStyle name="40% - Accent3 75 31 3" xfId="17978" xr:uid="{00000000-0005-0000-0000-00003D460000}"/>
    <cellStyle name="40% - Accent3 75 32" xfId="17979" xr:uid="{00000000-0005-0000-0000-00003E460000}"/>
    <cellStyle name="40% - Accent3 75 32 2" xfId="17980" xr:uid="{00000000-0005-0000-0000-00003F460000}"/>
    <cellStyle name="40% - Accent3 75 32 2 2" xfId="17981" xr:uid="{00000000-0005-0000-0000-000040460000}"/>
    <cellStyle name="40% - Accent3 75 32 3" xfId="17982" xr:uid="{00000000-0005-0000-0000-000041460000}"/>
    <cellStyle name="40% - Accent3 75 33" xfId="17983" xr:uid="{00000000-0005-0000-0000-000042460000}"/>
    <cellStyle name="40% - Accent3 75 33 2" xfId="17984" xr:uid="{00000000-0005-0000-0000-000043460000}"/>
    <cellStyle name="40% - Accent3 75 33 2 2" xfId="17985" xr:uid="{00000000-0005-0000-0000-000044460000}"/>
    <cellStyle name="40% - Accent3 75 33 3" xfId="17986" xr:uid="{00000000-0005-0000-0000-000045460000}"/>
    <cellStyle name="40% - Accent3 75 34" xfId="17987" xr:uid="{00000000-0005-0000-0000-000046460000}"/>
    <cellStyle name="40% - Accent3 75 34 2" xfId="17988" xr:uid="{00000000-0005-0000-0000-000047460000}"/>
    <cellStyle name="40% - Accent3 75 34 2 2" xfId="17989" xr:uid="{00000000-0005-0000-0000-000048460000}"/>
    <cellStyle name="40% - Accent3 75 34 3" xfId="17990" xr:uid="{00000000-0005-0000-0000-000049460000}"/>
    <cellStyle name="40% - Accent3 75 35" xfId="17991" xr:uid="{00000000-0005-0000-0000-00004A460000}"/>
    <cellStyle name="40% - Accent3 75 35 2" xfId="17992" xr:uid="{00000000-0005-0000-0000-00004B460000}"/>
    <cellStyle name="40% - Accent3 75 35 2 2" xfId="17993" xr:uid="{00000000-0005-0000-0000-00004C460000}"/>
    <cellStyle name="40% - Accent3 75 35 3" xfId="17994" xr:uid="{00000000-0005-0000-0000-00004D460000}"/>
    <cellStyle name="40% - Accent3 75 36" xfId="17995" xr:uid="{00000000-0005-0000-0000-00004E460000}"/>
    <cellStyle name="40% - Accent3 75 36 2" xfId="17996" xr:uid="{00000000-0005-0000-0000-00004F460000}"/>
    <cellStyle name="40% - Accent3 75 36 2 2" xfId="17997" xr:uid="{00000000-0005-0000-0000-000050460000}"/>
    <cellStyle name="40% - Accent3 75 36 3" xfId="17998" xr:uid="{00000000-0005-0000-0000-000051460000}"/>
    <cellStyle name="40% - Accent3 75 4" xfId="17999" xr:uid="{00000000-0005-0000-0000-000052460000}"/>
    <cellStyle name="40% - Accent3 75 4 2" xfId="18000" xr:uid="{00000000-0005-0000-0000-000053460000}"/>
    <cellStyle name="40% - Accent3 75 4 2 2" xfId="18001" xr:uid="{00000000-0005-0000-0000-000054460000}"/>
    <cellStyle name="40% - Accent3 75 4 3" xfId="18002" xr:uid="{00000000-0005-0000-0000-000055460000}"/>
    <cellStyle name="40% - Accent3 75 5" xfId="18003" xr:uid="{00000000-0005-0000-0000-000056460000}"/>
    <cellStyle name="40% - Accent3 75 5 2" xfId="18004" xr:uid="{00000000-0005-0000-0000-000057460000}"/>
    <cellStyle name="40% - Accent3 75 5 2 2" xfId="18005" xr:uid="{00000000-0005-0000-0000-000058460000}"/>
    <cellStyle name="40% - Accent3 75 5 3" xfId="18006" xr:uid="{00000000-0005-0000-0000-000059460000}"/>
    <cellStyle name="40% - Accent3 75 6" xfId="18007" xr:uid="{00000000-0005-0000-0000-00005A460000}"/>
    <cellStyle name="40% - Accent3 75 6 2" xfId="18008" xr:uid="{00000000-0005-0000-0000-00005B460000}"/>
    <cellStyle name="40% - Accent3 75 6 2 2" xfId="18009" xr:uid="{00000000-0005-0000-0000-00005C460000}"/>
    <cellStyle name="40% - Accent3 75 6 3" xfId="18010" xr:uid="{00000000-0005-0000-0000-00005D460000}"/>
    <cellStyle name="40% - Accent3 75 7" xfId="18011" xr:uid="{00000000-0005-0000-0000-00005E460000}"/>
    <cellStyle name="40% - Accent3 75 7 2" xfId="18012" xr:uid="{00000000-0005-0000-0000-00005F460000}"/>
    <cellStyle name="40% - Accent3 75 7 2 2" xfId="18013" xr:uid="{00000000-0005-0000-0000-000060460000}"/>
    <cellStyle name="40% - Accent3 75 7 3" xfId="18014" xr:uid="{00000000-0005-0000-0000-000061460000}"/>
    <cellStyle name="40% - Accent3 75 8" xfId="18015" xr:uid="{00000000-0005-0000-0000-000062460000}"/>
    <cellStyle name="40% - Accent3 75 8 2" xfId="18016" xr:uid="{00000000-0005-0000-0000-000063460000}"/>
    <cellStyle name="40% - Accent3 75 8 2 2" xfId="18017" xr:uid="{00000000-0005-0000-0000-000064460000}"/>
    <cellStyle name="40% - Accent3 75 8 3" xfId="18018" xr:uid="{00000000-0005-0000-0000-000065460000}"/>
    <cellStyle name="40% - Accent3 75 9" xfId="18019" xr:uid="{00000000-0005-0000-0000-000066460000}"/>
    <cellStyle name="40% - Accent3 75 9 2" xfId="18020" xr:uid="{00000000-0005-0000-0000-000067460000}"/>
    <cellStyle name="40% - Accent3 75 9 2 2" xfId="18021" xr:uid="{00000000-0005-0000-0000-000068460000}"/>
    <cellStyle name="40% - Accent3 75 9 3" xfId="18022" xr:uid="{00000000-0005-0000-0000-000069460000}"/>
    <cellStyle name="40% - Accent3 76" xfId="18023" xr:uid="{00000000-0005-0000-0000-00006A460000}"/>
    <cellStyle name="40% - Accent3 76 10" xfId="18024" xr:uid="{00000000-0005-0000-0000-00006B460000}"/>
    <cellStyle name="40% - Accent3 76 10 2" xfId="18025" xr:uid="{00000000-0005-0000-0000-00006C460000}"/>
    <cellStyle name="40% - Accent3 76 10 2 2" xfId="18026" xr:uid="{00000000-0005-0000-0000-00006D460000}"/>
    <cellStyle name="40% - Accent3 76 10 3" xfId="18027" xr:uid="{00000000-0005-0000-0000-00006E460000}"/>
    <cellStyle name="40% - Accent3 76 11" xfId="18028" xr:uid="{00000000-0005-0000-0000-00006F460000}"/>
    <cellStyle name="40% - Accent3 76 11 2" xfId="18029" xr:uid="{00000000-0005-0000-0000-000070460000}"/>
    <cellStyle name="40% - Accent3 76 11 2 2" xfId="18030" xr:uid="{00000000-0005-0000-0000-000071460000}"/>
    <cellStyle name="40% - Accent3 76 11 3" xfId="18031" xr:uid="{00000000-0005-0000-0000-000072460000}"/>
    <cellStyle name="40% - Accent3 76 12" xfId="18032" xr:uid="{00000000-0005-0000-0000-000073460000}"/>
    <cellStyle name="40% - Accent3 76 12 2" xfId="18033" xr:uid="{00000000-0005-0000-0000-000074460000}"/>
    <cellStyle name="40% - Accent3 76 12 2 2" xfId="18034" xr:uid="{00000000-0005-0000-0000-000075460000}"/>
    <cellStyle name="40% - Accent3 76 12 3" xfId="18035" xr:uid="{00000000-0005-0000-0000-000076460000}"/>
    <cellStyle name="40% - Accent3 76 13" xfId="18036" xr:uid="{00000000-0005-0000-0000-000077460000}"/>
    <cellStyle name="40% - Accent3 76 13 2" xfId="18037" xr:uid="{00000000-0005-0000-0000-000078460000}"/>
    <cellStyle name="40% - Accent3 76 13 2 2" xfId="18038" xr:uid="{00000000-0005-0000-0000-000079460000}"/>
    <cellStyle name="40% - Accent3 76 13 3" xfId="18039" xr:uid="{00000000-0005-0000-0000-00007A460000}"/>
    <cellStyle name="40% - Accent3 76 14" xfId="18040" xr:uid="{00000000-0005-0000-0000-00007B460000}"/>
    <cellStyle name="40% - Accent3 76 14 2" xfId="18041" xr:uid="{00000000-0005-0000-0000-00007C460000}"/>
    <cellStyle name="40% - Accent3 76 14 2 2" xfId="18042" xr:uid="{00000000-0005-0000-0000-00007D460000}"/>
    <cellStyle name="40% - Accent3 76 14 3" xfId="18043" xr:uid="{00000000-0005-0000-0000-00007E460000}"/>
    <cellStyle name="40% - Accent3 76 15" xfId="18044" xr:uid="{00000000-0005-0000-0000-00007F460000}"/>
    <cellStyle name="40% - Accent3 76 15 2" xfId="18045" xr:uid="{00000000-0005-0000-0000-000080460000}"/>
    <cellStyle name="40% - Accent3 76 15 2 2" xfId="18046" xr:uid="{00000000-0005-0000-0000-000081460000}"/>
    <cellStyle name="40% - Accent3 76 15 3" xfId="18047" xr:uid="{00000000-0005-0000-0000-000082460000}"/>
    <cellStyle name="40% - Accent3 76 16" xfId="18048" xr:uid="{00000000-0005-0000-0000-000083460000}"/>
    <cellStyle name="40% - Accent3 76 16 2" xfId="18049" xr:uid="{00000000-0005-0000-0000-000084460000}"/>
    <cellStyle name="40% - Accent3 76 16 2 2" xfId="18050" xr:uid="{00000000-0005-0000-0000-000085460000}"/>
    <cellStyle name="40% - Accent3 76 16 3" xfId="18051" xr:uid="{00000000-0005-0000-0000-000086460000}"/>
    <cellStyle name="40% - Accent3 76 17" xfId="18052" xr:uid="{00000000-0005-0000-0000-000087460000}"/>
    <cellStyle name="40% - Accent3 76 17 2" xfId="18053" xr:uid="{00000000-0005-0000-0000-000088460000}"/>
    <cellStyle name="40% - Accent3 76 17 2 2" xfId="18054" xr:uid="{00000000-0005-0000-0000-000089460000}"/>
    <cellStyle name="40% - Accent3 76 17 3" xfId="18055" xr:uid="{00000000-0005-0000-0000-00008A460000}"/>
    <cellStyle name="40% - Accent3 76 18" xfId="18056" xr:uid="{00000000-0005-0000-0000-00008B460000}"/>
    <cellStyle name="40% - Accent3 76 18 2" xfId="18057" xr:uid="{00000000-0005-0000-0000-00008C460000}"/>
    <cellStyle name="40% - Accent3 76 18 2 2" xfId="18058" xr:uid="{00000000-0005-0000-0000-00008D460000}"/>
    <cellStyle name="40% - Accent3 76 18 3" xfId="18059" xr:uid="{00000000-0005-0000-0000-00008E460000}"/>
    <cellStyle name="40% - Accent3 76 19" xfId="18060" xr:uid="{00000000-0005-0000-0000-00008F460000}"/>
    <cellStyle name="40% - Accent3 76 19 2" xfId="18061" xr:uid="{00000000-0005-0000-0000-000090460000}"/>
    <cellStyle name="40% - Accent3 76 19 2 2" xfId="18062" xr:uid="{00000000-0005-0000-0000-000091460000}"/>
    <cellStyle name="40% - Accent3 76 19 3" xfId="18063" xr:uid="{00000000-0005-0000-0000-000092460000}"/>
    <cellStyle name="40% - Accent3 76 2" xfId="18064" xr:uid="{00000000-0005-0000-0000-000093460000}"/>
    <cellStyle name="40% - Accent3 76 2 2" xfId="18065" xr:uid="{00000000-0005-0000-0000-000094460000}"/>
    <cellStyle name="40% - Accent3 76 2 2 2" xfId="18066" xr:uid="{00000000-0005-0000-0000-000095460000}"/>
    <cellStyle name="40% - Accent3 76 2 3" xfId="18067" xr:uid="{00000000-0005-0000-0000-000096460000}"/>
    <cellStyle name="40% - Accent3 76 20" xfId="18068" xr:uid="{00000000-0005-0000-0000-000097460000}"/>
    <cellStyle name="40% - Accent3 76 20 2" xfId="18069" xr:uid="{00000000-0005-0000-0000-000098460000}"/>
    <cellStyle name="40% - Accent3 76 20 2 2" xfId="18070" xr:uid="{00000000-0005-0000-0000-000099460000}"/>
    <cellStyle name="40% - Accent3 76 20 3" xfId="18071" xr:uid="{00000000-0005-0000-0000-00009A460000}"/>
    <cellStyle name="40% - Accent3 76 21" xfId="18072" xr:uid="{00000000-0005-0000-0000-00009B460000}"/>
    <cellStyle name="40% - Accent3 76 21 2" xfId="18073" xr:uid="{00000000-0005-0000-0000-00009C460000}"/>
    <cellStyle name="40% - Accent3 76 21 2 2" xfId="18074" xr:uid="{00000000-0005-0000-0000-00009D460000}"/>
    <cellStyle name="40% - Accent3 76 21 3" xfId="18075" xr:uid="{00000000-0005-0000-0000-00009E460000}"/>
    <cellStyle name="40% - Accent3 76 22" xfId="18076" xr:uid="{00000000-0005-0000-0000-00009F460000}"/>
    <cellStyle name="40% - Accent3 76 22 2" xfId="18077" xr:uid="{00000000-0005-0000-0000-0000A0460000}"/>
    <cellStyle name="40% - Accent3 76 22 2 2" xfId="18078" xr:uid="{00000000-0005-0000-0000-0000A1460000}"/>
    <cellStyle name="40% - Accent3 76 22 3" xfId="18079" xr:uid="{00000000-0005-0000-0000-0000A2460000}"/>
    <cellStyle name="40% - Accent3 76 23" xfId="18080" xr:uid="{00000000-0005-0000-0000-0000A3460000}"/>
    <cellStyle name="40% - Accent3 76 23 2" xfId="18081" xr:uid="{00000000-0005-0000-0000-0000A4460000}"/>
    <cellStyle name="40% - Accent3 76 23 2 2" xfId="18082" xr:uid="{00000000-0005-0000-0000-0000A5460000}"/>
    <cellStyle name="40% - Accent3 76 23 3" xfId="18083" xr:uid="{00000000-0005-0000-0000-0000A6460000}"/>
    <cellStyle name="40% - Accent3 76 24" xfId="18084" xr:uid="{00000000-0005-0000-0000-0000A7460000}"/>
    <cellStyle name="40% - Accent3 76 24 2" xfId="18085" xr:uid="{00000000-0005-0000-0000-0000A8460000}"/>
    <cellStyle name="40% - Accent3 76 24 2 2" xfId="18086" xr:uid="{00000000-0005-0000-0000-0000A9460000}"/>
    <cellStyle name="40% - Accent3 76 24 3" xfId="18087" xr:uid="{00000000-0005-0000-0000-0000AA460000}"/>
    <cellStyle name="40% - Accent3 76 25" xfId="18088" xr:uid="{00000000-0005-0000-0000-0000AB460000}"/>
    <cellStyle name="40% - Accent3 76 25 2" xfId="18089" xr:uid="{00000000-0005-0000-0000-0000AC460000}"/>
    <cellStyle name="40% - Accent3 76 25 2 2" xfId="18090" xr:uid="{00000000-0005-0000-0000-0000AD460000}"/>
    <cellStyle name="40% - Accent3 76 25 3" xfId="18091" xr:uid="{00000000-0005-0000-0000-0000AE460000}"/>
    <cellStyle name="40% - Accent3 76 26" xfId="18092" xr:uid="{00000000-0005-0000-0000-0000AF460000}"/>
    <cellStyle name="40% - Accent3 76 26 2" xfId="18093" xr:uid="{00000000-0005-0000-0000-0000B0460000}"/>
    <cellStyle name="40% - Accent3 76 26 2 2" xfId="18094" xr:uid="{00000000-0005-0000-0000-0000B1460000}"/>
    <cellStyle name="40% - Accent3 76 26 3" xfId="18095" xr:uid="{00000000-0005-0000-0000-0000B2460000}"/>
    <cellStyle name="40% - Accent3 76 27" xfId="18096" xr:uid="{00000000-0005-0000-0000-0000B3460000}"/>
    <cellStyle name="40% - Accent3 76 27 2" xfId="18097" xr:uid="{00000000-0005-0000-0000-0000B4460000}"/>
    <cellStyle name="40% - Accent3 76 27 2 2" xfId="18098" xr:uid="{00000000-0005-0000-0000-0000B5460000}"/>
    <cellStyle name="40% - Accent3 76 27 3" xfId="18099" xr:uid="{00000000-0005-0000-0000-0000B6460000}"/>
    <cellStyle name="40% - Accent3 76 28" xfId="18100" xr:uid="{00000000-0005-0000-0000-0000B7460000}"/>
    <cellStyle name="40% - Accent3 76 28 2" xfId="18101" xr:uid="{00000000-0005-0000-0000-0000B8460000}"/>
    <cellStyle name="40% - Accent3 76 28 2 2" xfId="18102" xr:uid="{00000000-0005-0000-0000-0000B9460000}"/>
    <cellStyle name="40% - Accent3 76 28 3" xfId="18103" xr:uid="{00000000-0005-0000-0000-0000BA460000}"/>
    <cellStyle name="40% - Accent3 76 29" xfId="18104" xr:uid="{00000000-0005-0000-0000-0000BB460000}"/>
    <cellStyle name="40% - Accent3 76 29 2" xfId="18105" xr:uid="{00000000-0005-0000-0000-0000BC460000}"/>
    <cellStyle name="40% - Accent3 76 29 2 2" xfId="18106" xr:uid="{00000000-0005-0000-0000-0000BD460000}"/>
    <cellStyle name="40% - Accent3 76 29 3" xfId="18107" xr:uid="{00000000-0005-0000-0000-0000BE460000}"/>
    <cellStyle name="40% - Accent3 76 3" xfId="18108" xr:uid="{00000000-0005-0000-0000-0000BF460000}"/>
    <cellStyle name="40% - Accent3 76 3 2" xfId="18109" xr:uid="{00000000-0005-0000-0000-0000C0460000}"/>
    <cellStyle name="40% - Accent3 76 3 2 2" xfId="18110" xr:uid="{00000000-0005-0000-0000-0000C1460000}"/>
    <cellStyle name="40% - Accent3 76 3 3" xfId="18111" xr:uid="{00000000-0005-0000-0000-0000C2460000}"/>
    <cellStyle name="40% - Accent3 76 30" xfId="18112" xr:uid="{00000000-0005-0000-0000-0000C3460000}"/>
    <cellStyle name="40% - Accent3 76 30 2" xfId="18113" xr:uid="{00000000-0005-0000-0000-0000C4460000}"/>
    <cellStyle name="40% - Accent3 76 30 2 2" xfId="18114" xr:uid="{00000000-0005-0000-0000-0000C5460000}"/>
    <cellStyle name="40% - Accent3 76 30 3" xfId="18115" xr:uid="{00000000-0005-0000-0000-0000C6460000}"/>
    <cellStyle name="40% - Accent3 76 31" xfId="18116" xr:uid="{00000000-0005-0000-0000-0000C7460000}"/>
    <cellStyle name="40% - Accent3 76 31 2" xfId="18117" xr:uid="{00000000-0005-0000-0000-0000C8460000}"/>
    <cellStyle name="40% - Accent3 76 31 2 2" xfId="18118" xr:uid="{00000000-0005-0000-0000-0000C9460000}"/>
    <cellStyle name="40% - Accent3 76 31 3" xfId="18119" xr:uid="{00000000-0005-0000-0000-0000CA460000}"/>
    <cellStyle name="40% - Accent3 76 32" xfId="18120" xr:uid="{00000000-0005-0000-0000-0000CB460000}"/>
    <cellStyle name="40% - Accent3 76 32 2" xfId="18121" xr:uid="{00000000-0005-0000-0000-0000CC460000}"/>
    <cellStyle name="40% - Accent3 76 32 2 2" xfId="18122" xr:uid="{00000000-0005-0000-0000-0000CD460000}"/>
    <cellStyle name="40% - Accent3 76 32 3" xfId="18123" xr:uid="{00000000-0005-0000-0000-0000CE460000}"/>
    <cellStyle name="40% - Accent3 76 33" xfId="18124" xr:uid="{00000000-0005-0000-0000-0000CF460000}"/>
    <cellStyle name="40% - Accent3 76 33 2" xfId="18125" xr:uid="{00000000-0005-0000-0000-0000D0460000}"/>
    <cellStyle name="40% - Accent3 76 33 2 2" xfId="18126" xr:uid="{00000000-0005-0000-0000-0000D1460000}"/>
    <cellStyle name="40% - Accent3 76 33 3" xfId="18127" xr:uid="{00000000-0005-0000-0000-0000D2460000}"/>
    <cellStyle name="40% - Accent3 76 34" xfId="18128" xr:uid="{00000000-0005-0000-0000-0000D3460000}"/>
    <cellStyle name="40% - Accent3 76 34 2" xfId="18129" xr:uid="{00000000-0005-0000-0000-0000D4460000}"/>
    <cellStyle name="40% - Accent3 76 34 2 2" xfId="18130" xr:uid="{00000000-0005-0000-0000-0000D5460000}"/>
    <cellStyle name="40% - Accent3 76 34 3" xfId="18131" xr:uid="{00000000-0005-0000-0000-0000D6460000}"/>
    <cellStyle name="40% - Accent3 76 35" xfId="18132" xr:uid="{00000000-0005-0000-0000-0000D7460000}"/>
    <cellStyle name="40% - Accent3 76 35 2" xfId="18133" xr:uid="{00000000-0005-0000-0000-0000D8460000}"/>
    <cellStyle name="40% - Accent3 76 35 2 2" xfId="18134" xr:uid="{00000000-0005-0000-0000-0000D9460000}"/>
    <cellStyle name="40% - Accent3 76 35 3" xfId="18135" xr:uid="{00000000-0005-0000-0000-0000DA460000}"/>
    <cellStyle name="40% - Accent3 76 36" xfId="18136" xr:uid="{00000000-0005-0000-0000-0000DB460000}"/>
    <cellStyle name="40% - Accent3 76 36 2" xfId="18137" xr:uid="{00000000-0005-0000-0000-0000DC460000}"/>
    <cellStyle name="40% - Accent3 76 36 2 2" xfId="18138" xr:uid="{00000000-0005-0000-0000-0000DD460000}"/>
    <cellStyle name="40% - Accent3 76 36 3" xfId="18139" xr:uid="{00000000-0005-0000-0000-0000DE460000}"/>
    <cellStyle name="40% - Accent3 76 4" xfId="18140" xr:uid="{00000000-0005-0000-0000-0000DF460000}"/>
    <cellStyle name="40% - Accent3 76 4 2" xfId="18141" xr:uid="{00000000-0005-0000-0000-0000E0460000}"/>
    <cellStyle name="40% - Accent3 76 4 2 2" xfId="18142" xr:uid="{00000000-0005-0000-0000-0000E1460000}"/>
    <cellStyle name="40% - Accent3 76 4 3" xfId="18143" xr:uid="{00000000-0005-0000-0000-0000E2460000}"/>
    <cellStyle name="40% - Accent3 76 5" xfId="18144" xr:uid="{00000000-0005-0000-0000-0000E3460000}"/>
    <cellStyle name="40% - Accent3 76 5 2" xfId="18145" xr:uid="{00000000-0005-0000-0000-0000E4460000}"/>
    <cellStyle name="40% - Accent3 76 5 2 2" xfId="18146" xr:uid="{00000000-0005-0000-0000-0000E5460000}"/>
    <cellStyle name="40% - Accent3 76 5 3" xfId="18147" xr:uid="{00000000-0005-0000-0000-0000E6460000}"/>
    <cellStyle name="40% - Accent3 76 6" xfId="18148" xr:uid="{00000000-0005-0000-0000-0000E7460000}"/>
    <cellStyle name="40% - Accent3 76 6 2" xfId="18149" xr:uid="{00000000-0005-0000-0000-0000E8460000}"/>
    <cellStyle name="40% - Accent3 76 6 2 2" xfId="18150" xr:uid="{00000000-0005-0000-0000-0000E9460000}"/>
    <cellStyle name="40% - Accent3 76 6 3" xfId="18151" xr:uid="{00000000-0005-0000-0000-0000EA460000}"/>
    <cellStyle name="40% - Accent3 76 7" xfId="18152" xr:uid="{00000000-0005-0000-0000-0000EB460000}"/>
    <cellStyle name="40% - Accent3 76 7 2" xfId="18153" xr:uid="{00000000-0005-0000-0000-0000EC460000}"/>
    <cellStyle name="40% - Accent3 76 7 2 2" xfId="18154" xr:uid="{00000000-0005-0000-0000-0000ED460000}"/>
    <cellStyle name="40% - Accent3 76 7 3" xfId="18155" xr:uid="{00000000-0005-0000-0000-0000EE460000}"/>
    <cellStyle name="40% - Accent3 76 8" xfId="18156" xr:uid="{00000000-0005-0000-0000-0000EF460000}"/>
    <cellStyle name="40% - Accent3 76 8 2" xfId="18157" xr:uid="{00000000-0005-0000-0000-0000F0460000}"/>
    <cellStyle name="40% - Accent3 76 8 2 2" xfId="18158" xr:uid="{00000000-0005-0000-0000-0000F1460000}"/>
    <cellStyle name="40% - Accent3 76 8 3" xfId="18159" xr:uid="{00000000-0005-0000-0000-0000F2460000}"/>
    <cellStyle name="40% - Accent3 76 9" xfId="18160" xr:uid="{00000000-0005-0000-0000-0000F3460000}"/>
    <cellStyle name="40% - Accent3 76 9 2" xfId="18161" xr:uid="{00000000-0005-0000-0000-0000F4460000}"/>
    <cellStyle name="40% - Accent3 76 9 2 2" xfId="18162" xr:uid="{00000000-0005-0000-0000-0000F5460000}"/>
    <cellStyle name="40% - Accent3 76 9 3" xfId="18163" xr:uid="{00000000-0005-0000-0000-0000F6460000}"/>
    <cellStyle name="40% - Accent3 77" xfId="18164" xr:uid="{00000000-0005-0000-0000-0000F7460000}"/>
    <cellStyle name="40% - Accent3 77 10" xfId="18165" xr:uid="{00000000-0005-0000-0000-0000F8460000}"/>
    <cellStyle name="40% - Accent3 77 10 2" xfId="18166" xr:uid="{00000000-0005-0000-0000-0000F9460000}"/>
    <cellStyle name="40% - Accent3 77 10 2 2" xfId="18167" xr:uid="{00000000-0005-0000-0000-0000FA460000}"/>
    <cellStyle name="40% - Accent3 77 10 3" xfId="18168" xr:uid="{00000000-0005-0000-0000-0000FB460000}"/>
    <cellStyle name="40% - Accent3 77 11" xfId="18169" xr:uid="{00000000-0005-0000-0000-0000FC460000}"/>
    <cellStyle name="40% - Accent3 77 11 2" xfId="18170" xr:uid="{00000000-0005-0000-0000-0000FD460000}"/>
    <cellStyle name="40% - Accent3 77 11 2 2" xfId="18171" xr:uid="{00000000-0005-0000-0000-0000FE460000}"/>
    <cellStyle name="40% - Accent3 77 11 3" xfId="18172" xr:uid="{00000000-0005-0000-0000-0000FF460000}"/>
    <cellStyle name="40% - Accent3 77 12" xfId="18173" xr:uid="{00000000-0005-0000-0000-000000470000}"/>
    <cellStyle name="40% - Accent3 77 12 2" xfId="18174" xr:uid="{00000000-0005-0000-0000-000001470000}"/>
    <cellStyle name="40% - Accent3 77 12 2 2" xfId="18175" xr:uid="{00000000-0005-0000-0000-000002470000}"/>
    <cellStyle name="40% - Accent3 77 12 3" xfId="18176" xr:uid="{00000000-0005-0000-0000-000003470000}"/>
    <cellStyle name="40% - Accent3 77 13" xfId="18177" xr:uid="{00000000-0005-0000-0000-000004470000}"/>
    <cellStyle name="40% - Accent3 77 13 2" xfId="18178" xr:uid="{00000000-0005-0000-0000-000005470000}"/>
    <cellStyle name="40% - Accent3 77 13 2 2" xfId="18179" xr:uid="{00000000-0005-0000-0000-000006470000}"/>
    <cellStyle name="40% - Accent3 77 13 3" xfId="18180" xr:uid="{00000000-0005-0000-0000-000007470000}"/>
    <cellStyle name="40% - Accent3 77 14" xfId="18181" xr:uid="{00000000-0005-0000-0000-000008470000}"/>
    <cellStyle name="40% - Accent3 77 14 2" xfId="18182" xr:uid="{00000000-0005-0000-0000-000009470000}"/>
    <cellStyle name="40% - Accent3 77 14 2 2" xfId="18183" xr:uid="{00000000-0005-0000-0000-00000A470000}"/>
    <cellStyle name="40% - Accent3 77 14 3" xfId="18184" xr:uid="{00000000-0005-0000-0000-00000B470000}"/>
    <cellStyle name="40% - Accent3 77 15" xfId="18185" xr:uid="{00000000-0005-0000-0000-00000C470000}"/>
    <cellStyle name="40% - Accent3 77 15 2" xfId="18186" xr:uid="{00000000-0005-0000-0000-00000D470000}"/>
    <cellStyle name="40% - Accent3 77 15 2 2" xfId="18187" xr:uid="{00000000-0005-0000-0000-00000E470000}"/>
    <cellStyle name="40% - Accent3 77 15 3" xfId="18188" xr:uid="{00000000-0005-0000-0000-00000F470000}"/>
    <cellStyle name="40% - Accent3 77 16" xfId="18189" xr:uid="{00000000-0005-0000-0000-000010470000}"/>
    <cellStyle name="40% - Accent3 77 16 2" xfId="18190" xr:uid="{00000000-0005-0000-0000-000011470000}"/>
    <cellStyle name="40% - Accent3 77 16 2 2" xfId="18191" xr:uid="{00000000-0005-0000-0000-000012470000}"/>
    <cellStyle name="40% - Accent3 77 16 3" xfId="18192" xr:uid="{00000000-0005-0000-0000-000013470000}"/>
    <cellStyle name="40% - Accent3 77 17" xfId="18193" xr:uid="{00000000-0005-0000-0000-000014470000}"/>
    <cellStyle name="40% - Accent3 77 17 2" xfId="18194" xr:uid="{00000000-0005-0000-0000-000015470000}"/>
    <cellStyle name="40% - Accent3 77 17 2 2" xfId="18195" xr:uid="{00000000-0005-0000-0000-000016470000}"/>
    <cellStyle name="40% - Accent3 77 17 3" xfId="18196" xr:uid="{00000000-0005-0000-0000-000017470000}"/>
    <cellStyle name="40% - Accent3 77 18" xfId="18197" xr:uid="{00000000-0005-0000-0000-000018470000}"/>
    <cellStyle name="40% - Accent3 77 18 2" xfId="18198" xr:uid="{00000000-0005-0000-0000-000019470000}"/>
    <cellStyle name="40% - Accent3 77 18 2 2" xfId="18199" xr:uid="{00000000-0005-0000-0000-00001A470000}"/>
    <cellStyle name="40% - Accent3 77 18 3" xfId="18200" xr:uid="{00000000-0005-0000-0000-00001B470000}"/>
    <cellStyle name="40% - Accent3 77 19" xfId="18201" xr:uid="{00000000-0005-0000-0000-00001C470000}"/>
    <cellStyle name="40% - Accent3 77 19 2" xfId="18202" xr:uid="{00000000-0005-0000-0000-00001D470000}"/>
    <cellStyle name="40% - Accent3 77 19 2 2" xfId="18203" xr:uid="{00000000-0005-0000-0000-00001E470000}"/>
    <cellStyle name="40% - Accent3 77 19 3" xfId="18204" xr:uid="{00000000-0005-0000-0000-00001F470000}"/>
    <cellStyle name="40% - Accent3 77 2" xfId="18205" xr:uid="{00000000-0005-0000-0000-000020470000}"/>
    <cellStyle name="40% - Accent3 77 2 2" xfId="18206" xr:uid="{00000000-0005-0000-0000-000021470000}"/>
    <cellStyle name="40% - Accent3 77 2 2 2" xfId="18207" xr:uid="{00000000-0005-0000-0000-000022470000}"/>
    <cellStyle name="40% - Accent3 77 2 3" xfId="18208" xr:uid="{00000000-0005-0000-0000-000023470000}"/>
    <cellStyle name="40% - Accent3 77 20" xfId="18209" xr:uid="{00000000-0005-0000-0000-000024470000}"/>
    <cellStyle name="40% - Accent3 77 20 2" xfId="18210" xr:uid="{00000000-0005-0000-0000-000025470000}"/>
    <cellStyle name="40% - Accent3 77 20 2 2" xfId="18211" xr:uid="{00000000-0005-0000-0000-000026470000}"/>
    <cellStyle name="40% - Accent3 77 20 3" xfId="18212" xr:uid="{00000000-0005-0000-0000-000027470000}"/>
    <cellStyle name="40% - Accent3 77 21" xfId="18213" xr:uid="{00000000-0005-0000-0000-000028470000}"/>
    <cellStyle name="40% - Accent3 77 21 2" xfId="18214" xr:uid="{00000000-0005-0000-0000-000029470000}"/>
    <cellStyle name="40% - Accent3 77 21 2 2" xfId="18215" xr:uid="{00000000-0005-0000-0000-00002A470000}"/>
    <cellStyle name="40% - Accent3 77 21 3" xfId="18216" xr:uid="{00000000-0005-0000-0000-00002B470000}"/>
    <cellStyle name="40% - Accent3 77 22" xfId="18217" xr:uid="{00000000-0005-0000-0000-00002C470000}"/>
    <cellStyle name="40% - Accent3 77 22 2" xfId="18218" xr:uid="{00000000-0005-0000-0000-00002D470000}"/>
    <cellStyle name="40% - Accent3 77 22 2 2" xfId="18219" xr:uid="{00000000-0005-0000-0000-00002E470000}"/>
    <cellStyle name="40% - Accent3 77 22 3" xfId="18220" xr:uid="{00000000-0005-0000-0000-00002F470000}"/>
    <cellStyle name="40% - Accent3 77 23" xfId="18221" xr:uid="{00000000-0005-0000-0000-000030470000}"/>
    <cellStyle name="40% - Accent3 77 23 2" xfId="18222" xr:uid="{00000000-0005-0000-0000-000031470000}"/>
    <cellStyle name="40% - Accent3 77 23 2 2" xfId="18223" xr:uid="{00000000-0005-0000-0000-000032470000}"/>
    <cellStyle name="40% - Accent3 77 23 3" xfId="18224" xr:uid="{00000000-0005-0000-0000-000033470000}"/>
    <cellStyle name="40% - Accent3 77 24" xfId="18225" xr:uid="{00000000-0005-0000-0000-000034470000}"/>
    <cellStyle name="40% - Accent3 77 24 2" xfId="18226" xr:uid="{00000000-0005-0000-0000-000035470000}"/>
    <cellStyle name="40% - Accent3 77 24 2 2" xfId="18227" xr:uid="{00000000-0005-0000-0000-000036470000}"/>
    <cellStyle name="40% - Accent3 77 24 3" xfId="18228" xr:uid="{00000000-0005-0000-0000-000037470000}"/>
    <cellStyle name="40% - Accent3 77 25" xfId="18229" xr:uid="{00000000-0005-0000-0000-000038470000}"/>
    <cellStyle name="40% - Accent3 77 25 2" xfId="18230" xr:uid="{00000000-0005-0000-0000-000039470000}"/>
    <cellStyle name="40% - Accent3 77 25 2 2" xfId="18231" xr:uid="{00000000-0005-0000-0000-00003A470000}"/>
    <cellStyle name="40% - Accent3 77 25 3" xfId="18232" xr:uid="{00000000-0005-0000-0000-00003B470000}"/>
    <cellStyle name="40% - Accent3 77 26" xfId="18233" xr:uid="{00000000-0005-0000-0000-00003C470000}"/>
    <cellStyle name="40% - Accent3 77 26 2" xfId="18234" xr:uid="{00000000-0005-0000-0000-00003D470000}"/>
    <cellStyle name="40% - Accent3 77 26 2 2" xfId="18235" xr:uid="{00000000-0005-0000-0000-00003E470000}"/>
    <cellStyle name="40% - Accent3 77 26 3" xfId="18236" xr:uid="{00000000-0005-0000-0000-00003F470000}"/>
    <cellStyle name="40% - Accent3 77 27" xfId="18237" xr:uid="{00000000-0005-0000-0000-000040470000}"/>
    <cellStyle name="40% - Accent3 77 27 2" xfId="18238" xr:uid="{00000000-0005-0000-0000-000041470000}"/>
    <cellStyle name="40% - Accent3 77 27 2 2" xfId="18239" xr:uid="{00000000-0005-0000-0000-000042470000}"/>
    <cellStyle name="40% - Accent3 77 27 3" xfId="18240" xr:uid="{00000000-0005-0000-0000-000043470000}"/>
    <cellStyle name="40% - Accent3 77 28" xfId="18241" xr:uid="{00000000-0005-0000-0000-000044470000}"/>
    <cellStyle name="40% - Accent3 77 28 2" xfId="18242" xr:uid="{00000000-0005-0000-0000-000045470000}"/>
    <cellStyle name="40% - Accent3 77 28 2 2" xfId="18243" xr:uid="{00000000-0005-0000-0000-000046470000}"/>
    <cellStyle name="40% - Accent3 77 28 3" xfId="18244" xr:uid="{00000000-0005-0000-0000-000047470000}"/>
    <cellStyle name="40% - Accent3 77 29" xfId="18245" xr:uid="{00000000-0005-0000-0000-000048470000}"/>
    <cellStyle name="40% - Accent3 77 29 2" xfId="18246" xr:uid="{00000000-0005-0000-0000-000049470000}"/>
    <cellStyle name="40% - Accent3 77 29 2 2" xfId="18247" xr:uid="{00000000-0005-0000-0000-00004A470000}"/>
    <cellStyle name="40% - Accent3 77 29 3" xfId="18248" xr:uid="{00000000-0005-0000-0000-00004B470000}"/>
    <cellStyle name="40% - Accent3 77 3" xfId="18249" xr:uid="{00000000-0005-0000-0000-00004C470000}"/>
    <cellStyle name="40% - Accent3 77 3 2" xfId="18250" xr:uid="{00000000-0005-0000-0000-00004D470000}"/>
    <cellStyle name="40% - Accent3 77 3 2 2" xfId="18251" xr:uid="{00000000-0005-0000-0000-00004E470000}"/>
    <cellStyle name="40% - Accent3 77 3 3" xfId="18252" xr:uid="{00000000-0005-0000-0000-00004F470000}"/>
    <cellStyle name="40% - Accent3 77 30" xfId="18253" xr:uid="{00000000-0005-0000-0000-000050470000}"/>
    <cellStyle name="40% - Accent3 77 30 2" xfId="18254" xr:uid="{00000000-0005-0000-0000-000051470000}"/>
    <cellStyle name="40% - Accent3 77 30 2 2" xfId="18255" xr:uid="{00000000-0005-0000-0000-000052470000}"/>
    <cellStyle name="40% - Accent3 77 30 3" xfId="18256" xr:uid="{00000000-0005-0000-0000-000053470000}"/>
    <cellStyle name="40% - Accent3 77 31" xfId="18257" xr:uid="{00000000-0005-0000-0000-000054470000}"/>
    <cellStyle name="40% - Accent3 77 31 2" xfId="18258" xr:uid="{00000000-0005-0000-0000-000055470000}"/>
    <cellStyle name="40% - Accent3 77 31 2 2" xfId="18259" xr:uid="{00000000-0005-0000-0000-000056470000}"/>
    <cellStyle name="40% - Accent3 77 31 3" xfId="18260" xr:uid="{00000000-0005-0000-0000-000057470000}"/>
    <cellStyle name="40% - Accent3 77 32" xfId="18261" xr:uid="{00000000-0005-0000-0000-000058470000}"/>
    <cellStyle name="40% - Accent3 77 32 2" xfId="18262" xr:uid="{00000000-0005-0000-0000-000059470000}"/>
    <cellStyle name="40% - Accent3 77 32 2 2" xfId="18263" xr:uid="{00000000-0005-0000-0000-00005A470000}"/>
    <cellStyle name="40% - Accent3 77 32 3" xfId="18264" xr:uid="{00000000-0005-0000-0000-00005B470000}"/>
    <cellStyle name="40% - Accent3 77 33" xfId="18265" xr:uid="{00000000-0005-0000-0000-00005C470000}"/>
    <cellStyle name="40% - Accent3 77 33 2" xfId="18266" xr:uid="{00000000-0005-0000-0000-00005D470000}"/>
    <cellStyle name="40% - Accent3 77 33 2 2" xfId="18267" xr:uid="{00000000-0005-0000-0000-00005E470000}"/>
    <cellStyle name="40% - Accent3 77 33 3" xfId="18268" xr:uid="{00000000-0005-0000-0000-00005F470000}"/>
    <cellStyle name="40% - Accent3 77 34" xfId="18269" xr:uid="{00000000-0005-0000-0000-000060470000}"/>
    <cellStyle name="40% - Accent3 77 34 2" xfId="18270" xr:uid="{00000000-0005-0000-0000-000061470000}"/>
    <cellStyle name="40% - Accent3 77 34 2 2" xfId="18271" xr:uid="{00000000-0005-0000-0000-000062470000}"/>
    <cellStyle name="40% - Accent3 77 34 3" xfId="18272" xr:uid="{00000000-0005-0000-0000-000063470000}"/>
    <cellStyle name="40% - Accent3 77 35" xfId="18273" xr:uid="{00000000-0005-0000-0000-000064470000}"/>
    <cellStyle name="40% - Accent3 77 35 2" xfId="18274" xr:uid="{00000000-0005-0000-0000-000065470000}"/>
    <cellStyle name="40% - Accent3 77 35 2 2" xfId="18275" xr:uid="{00000000-0005-0000-0000-000066470000}"/>
    <cellStyle name="40% - Accent3 77 35 3" xfId="18276" xr:uid="{00000000-0005-0000-0000-000067470000}"/>
    <cellStyle name="40% - Accent3 77 36" xfId="18277" xr:uid="{00000000-0005-0000-0000-000068470000}"/>
    <cellStyle name="40% - Accent3 77 36 2" xfId="18278" xr:uid="{00000000-0005-0000-0000-000069470000}"/>
    <cellStyle name="40% - Accent3 77 36 2 2" xfId="18279" xr:uid="{00000000-0005-0000-0000-00006A470000}"/>
    <cellStyle name="40% - Accent3 77 36 3" xfId="18280" xr:uid="{00000000-0005-0000-0000-00006B470000}"/>
    <cellStyle name="40% - Accent3 77 4" xfId="18281" xr:uid="{00000000-0005-0000-0000-00006C470000}"/>
    <cellStyle name="40% - Accent3 77 4 2" xfId="18282" xr:uid="{00000000-0005-0000-0000-00006D470000}"/>
    <cellStyle name="40% - Accent3 77 4 2 2" xfId="18283" xr:uid="{00000000-0005-0000-0000-00006E470000}"/>
    <cellStyle name="40% - Accent3 77 4 3" xfId="18284" xr:uid="{00000000-0005-0000-0000-00006F470000}"/>
    <cellStyle name="40% - Accent3 77 5" xfId="18285" xr:uid="{00000000-0005-0000-0000-000070470000}"/>
    <cellStyle name="40% - Accent3 77 5 2" xfId="18286" xr:uid="{00000000-0005-0000-0000-000071470000}"/>
    <cellStyle name="40% - Accent3 77 5 2 2" xfId="18287" xr:uid="{00000000-0005-0000-0000-000072470000}"/>
    <cellStyle name="40% - Accent3 77 5 3" xfId="18288" xr:uid="{00000000-0005-0000-0000-000073470000}"/>
    <cellStyle name="40% - Accent3 77 6" xfId="18289" xr:uid="{00000000-0005-0000-0000-000074470000}"/>
    <cellStyle name="40% - Accent3 77 6 2" xfId="18290" xr:uid="{00000000-0005-0000-0000-000075470000}"/>
    <cellStyle name="40% - Accent3 77 6 2 2" xfId="18291" xr:uid="{00000000-0005-0000-0000-000076470000}"/>
    <cellStyle name="40% - Accent3 77 6 3" xfId="18292" xr:uid="{00000000-0005-0000-0000-000077470000}"/>
    <cellStyle name="40% - Accent3 77 7" xfId="18293" xr:uid="{00000000-0005-0000-0000-000078470000}"/>
    <cellStyle name="40% - Accent3 77 7 2" xfId="18294" xr:uid="{00000000-0005-0000-0000-000079470000}"/>
    <cellStyle name="40% - Accent3 77 7 2 2" xfId="18295" xr:uid="{00000000-0005-0000-0000-00007A470000}"/>
    <cellStyle name="40% - Accent3 77 7 3" xfId="18296" xr:uid="{00000000-0005-0000-0000-00007B470000}"/>
    <cellStyle name="40% - Accent3 77 8" xfId="18297" xr:uid="{00000000-0005-0000-0000-00007C470000}"/>
    <cellStyle name="40% - Accent3 77 8 2" xfId="18298" xr:uid="{00000000-0005-0000-0000-00007D470000}"/>
    <cellStyle name="40% - Accent3 77 8 2 2" xfId="18299" xr:uid="{00000000-0005-0000-0000-00007E470000}"/>
    <cellStyle name="40% - Accent3 77 8 3" xfId="18300" xr:uid="{00000000-0005-0000-0000-00007F470000}"/>
    <cellStyle name="40% - Accent3 77 9" xfId="18301" xr:uid="{00000000-0005-0000-0000-000080470000}"/>
    <cellStyle name="40% - Accent3 77 9 2" xfId="18302" xr:uid="{00000000-0005-0000-0000-000081470000}"/>
    <cellStyle name="40% - Accent3 77 9 2 2" xfId="18303" xr:uid="{00000000-0005-0000-0000-000082470000}"/>
    <cellStyle name="40% - Accent3 77 9 3" xfId="18304" xr:uid="{00000000-0005-0000-0000-000083470000}"/>
    <cellStyle name="40% - Accent3 78" xfId="18305" xr:uid="{00000000-0005-0000-0000-000084470000}"/>
    <cellStyle name="40% - Accent3 78 2" xfId="18306" xr:uid="{00000000-0005-0000-0000-000085470000}"/>
    <cellStyle name="40% - Accent3 79" xfId="18307" xr:uid="{00000000-0005-0000-0000-000086470000}"/>
    <cellStyle name="40% - Accent3 79 10" xfId="18308" xr:uid="{00000000-0005-0000-0000-000087470000}"/>
    <cellStyle name="40% - Accent3 79 10 2" xfId="18309" xr:uid="{00000000-0005-0000-0000-000088470000}"/>
    <cellStyle name="40% - Accent3 79 10 2 2" xfId="18310" xr:uid="{00000000-0005-0000-0000-000089470000}"/>
    <cellStyle name="40% - Accent3 79 10 3" xfId="18311" xr:uid="{00000000-0005-0000-0000-00008A470000}"/>
    <cellStyle name="40% - Accent3 79 11" xfId="18312" xr:uid="{00000000-0005-0000-0000-00008B470000}"/>
    <cellStyle name="40% - Accent3 79 11 2" xfId="18313" xr:uid="{00000000-0005-0000-0000-00008C470000}"/>
    <cellStyle name="40% - Accent3 79 11 2 2" xfId="18314" xr:uid="{00000000-0005-0000-0000-00008D470000}"/>
    <cellStyle name="40% - Accent3 79 11 3" xfId="18315" xr:uid="{00000000-0005-0000-0000-00008E470000}"/>
    <cellStyle name="40% - Accent3 79 12" xfId="18316" xr:uid="{00000000-0005-0000-0000-00008F470000}"/>
    <cellStyle name="40% - Accent3 79 12 2" xfId="18317" xr:uid="{00000000-0005-0000-0000-000090470000}"/>
    <cellStyle name="40% - Accent3 79 12 2 2" xfId="18318" xr:uid="{00000000-0005-0000-0000-000091470000}"/>
    <cellStyle name="40% - Accent3 79 12 3" xfId="18319" xr:uid="{00000000-0005-0000-0000-000092470000}"/>
    <cellStyle name="40% - Accent3 79 13" xfId="18320" xr:uid="{00000000-0005-0000-0000-000093470000}"/>
    <cellStyle name="40% - Accent3 79 13 2" xfId="18321" xr:uid="{00000000-0005-0000-0000-000094470000}"/>
    <cellStyle name="40% - Accent3 79 13 2 2" xfId="18322" xr:uid="{00000000-0005-0000-0000-000095470000}"/>
    <cellStyle name="40% - Accent3 79 13 3" xfId="18323" xr:uid="{00000000-0005-0000-0000-000096470000}"/>
    <cellStyle name="40% - Accent3 79 14" xfId="18324" xr:uid="{00000000-0005-0000-0000-000097470000}"/>
    <cellStyle name="40% - Accent3 79 14 2" xfId="18325" xr:uid="{00000000-0005-0000-0000-000098470000}"/>
    <cellStyle name="40% - Accent3 79 14 2 2" xfId="18326" xr:uid="{00000000-0005-0000-0000-000099470000}"/>
    <cellStyle name="40% - Accent3 79 14 3" xfId="18327" xr:uid="{00000000-0005-0000-0000-00009A470000}"/>
    <cellStyle name="40% - Accent3 79 15" xfId="18328" xr:uid="{00000000-0005-0000-0000-00009B470000}"/>
    <cellStyle name="40% - Accent3 79 15 2" xfId="18329" xr:uid="{00000000-0005-0000-0000-00009C470000}"/>
    <cellStyle name="40% - Accent3 79 15 2 2" xfId="18330" xr:uid="{00000000-0005-0000-0000-00009D470000}"/>
    <cellStyle name="40% - Accent3 79 15 3" xfId="18331" xr:uid="{00000000-0005-0000-0000-00009E470000}"/>
    <cellStyle name="40% - Accent3 79 16" xfId="18332" xr:uid="{00000000-0005-0000-0000-00009F470000}"/>
    <cellStyle name="40% - Accent3 79 16 2" xfId="18333" xr:uid="{00000000-0005-0000-0000-0000A0470000}"/>
    <cellStyle name="40% - Accent3 79 16 2 2" xfId="18334" xr:uid="{00000000-0005-0000-0000-0000A1470000}"/>
    <cellStyle name="40% - Accent3 79 16 3" xfId="18335" xr:uid="{00000000-0005-0000-0000-0000A2470000}"/>
    <cellStyle name="40% - Accent3 79 17" xfId="18336" xr:uid="{00000000-0005-0000-0000-0000A3470000}"/>
    <cellStyle name="40% - Accent3 79 17 2" xfId="18337" xr:uid="{00000000-0005-0000-0000-0000A4470000}"/>
    <cellStyle name="40% - Accent3 79 17 2 2" xfId="18338" xr:uid="{00000000-0005-0000-0000-0000A5470000}"/>
    <cellStyle name="40% - Accent3 79 17 3" xfId="18339" xr:uid="{00000000-0005-0000-0000-0000A6470000}"/>
    <cellStyle name="40% - Accent3 79 18" xfId="18340" xr:uid="{00000000-0005-0000-0000-0000A7470000}"/>
    <cellStyle name="40% - Accent3 79 18 2" xfId="18341" xr:uid="{00000000-0005-0000-0000-0000A8470000}"/>
    <cellStyle name="40% - Accent3 79 18 2 2" xfId="18342" xr:uid="{00000000-0005-0000-0000-0000A9470000}"/>
    <cellStyle name="40% - Accent3 79 18 3" xfId="18343" xr:uid="{00000000-0005-0000-0000-0000AA470000}"/>
    <cellStyle name="40% - Accent3 79 19" xfId="18344" xr:uid="{00000000-0005-0000-0000-0000AB470000}"/>
    <cellStyle name="40% - Accent3 79 19 2" xfId="18345" xr:uid="{00000000-0005-0000-0000-0000AC470000}"/>
    <cellStyle name="40% - Accent3 79 19 2 2" xfId="18346" xr:uid="{00000000-0005-0000-0000-0000AD470000}"/>
    <cellStyle name="40% - Accent3 79 19 3" xfId="18347" xr:uid="{00000000-0005-0000-0000-0000AE470000}"/>
    <cellStyle name="40% - Accent3 79 2" xfId="18348" xr:uid="{00000000-0005-0000-0000-0000AF470000}"/>
    <cellStyle name="40% - Accent3 79 2 2" xfId="18349" xr:uid="{00000000-0005-0000-0000-0000B0470000}"/>
    <cellStyle name="40% - Accent3 79 2 2 2" xfId="18350" xr:uid="{00000000-0005-0000-0000-0000B1470000}"/>
    <cellStyle name="40% - Accent3 79 2 3" xfId="18351" xr:uid="{00000000-0005-0000-0000-0000B2470000}"/>
    <cellStyle name="40% - Accent3 79 20" xfId="18352" xr:uid="{00000000-0005-0000-0000-0000B3470000}"/>
    <cellStyle name="40% - Accent3 79 20 2" xfId="18353" xr:uid="{00000000-0005-0000-0000-0000B4470000}"/>
    <cellStyle name="40% - Accent3 79 20 2 2" xfId="18354" xr:uid="{00000000-0005-0000-0000-0000B5470000}"/>
    <cellStyle name="40% - Accent3 79 20 3" xfId="18355" xr:uid="{00000000-0005-0000-0000-0000B6470000}"/>
    <cellStyle name="40% - Accent3 79 21" xfId="18356" xr:uid="{00000000-0005-0000-0000-0000B7470000}"/>
    <cellStyle name="40% - Accent3 79 21 2" xfId="18357" xr:uid="{00000000-0005-0000-0000-0000B8470000}"/>
    <cellStyle name="40% - Accent3 79 21 2 2" xfId="18358" xr:uid="{00000000-0005-0000-0000-0000B9470000}"/>
    <cellStyle name="40% - Accent3 79 21 3" xfId="18359" xr:uid="{00000000-0005-0000-0000-0000BA470000}"/>
    <cellStyle name="40% - Accent3 79 22" xfId="18360" xr:uid="{00000000-0005-0000-0000-0000BB470000}"/>
    <cellStyle name="40% - Accent3 79 22 2" xfId="18361" xr:uid="{00000000-0005-0000-0000-0000BC470000}"/>
    <cellStyle name="40% - Accent3 79 22 2 2" xfId="18362" xr:uid="{00000000-0005-0000-0000-0000BD470000}"/>
    <cellStyle name="40% - Accent3 79 22 3" xfId="18363" xr:uid="{00000000-0005-0000-0000-0000BE470000}"/>
    <cellStyle name="40% - Accent3 79 23" xfId="18364" xr:uid="{00000000-0005-0000-0000-0000BF470000}"/>
    <cellStyle name="40% - Accent3 79 23 2" xfId="18365" xr:uid="{00000000-0005-0000-0000-0000C0470000}"/>
    <cellStyle name="40% - Accent3 79 23 2 2" xfId="18366" xr:uid="{00000000-0005-0000-0000-0000C1470000}"/>
    <cellStyle name="40% - Accent3 79 23 3" xfId="18367" xr:uid="{00000000-0005-0000-0000-0000C2470000}"/>
    <cellStyle name="40% - Accent3 79 24" xfId="18368" xr:uid="{00000000-0005-0000-0000-0000C3470000}"/>
    <cellStyle name="40% - Accent3 79 24 2" xfId="18369" xr:uid="{00000000-0005-0000-0000-0000C4470000}"/>
    <cellStyle name="40% - Accent3 79 24 2 2" xfId="18370" xr:uid="{00000000-0005-0000-0000-0000C5470000}"/>
    <cellStyle name="40% - Accent3 79 24 3" xfId="18371" xr:uid="{00000000-0005-0000-0000-0000C6470000}"/>
    <cellStyle name="40% - Accent3 79 25" xfId="18372" xr:uid="{00000000-0005-0000-0000-0000C7470000}"/>
    <cellStyle name="40% - Accent3 79 25 2" xfId="18373" xr:uid="{00000000-0005-0000-0000-0000C8470000}"/>
    <cellStyle name="40% - Accent3 79 25 2 2" xfId="18374" xr:uid="{00000000-0005-0000-0000-0000C9470000}"/>
    <cellStyle name="40% - Accent3 79 25 3" xfId="18375" xr:uid="{00000000-0005-0000-0000-0000CA470000}"/>
    <cellStyle name="40% - Accent3 79 26" xfId="18376" xr:uid="{00000000-0005-0000-0000-0000CB470000}"/>
    <cellStyle name="40% - Accent3 79 26 2" xfId="18377" xr:uid="{00000000-0005-0000-0000-0000CC470000}"/>
    <cellStyle name="40% - Accent3 79 26 2 2" xfId="18378" xr:uid="{00000000-0005-0000-0000-0000CD470000}"/>
    <cellStyle name="40% - Accent3 79 26 3" xfId="18379" xr:uid="{00000000-0005-0000-0000-0000CE470000}"/>
    <cellStyle name="40% - Accent3 79 27" xfId="18380" xr:uid="{00000000-0005-0000-0000-0000CF470000}"/>
    <cellStyle name="40% - Accent3 79 27 2" xfId="18381" xr:uid="{00000000-0005-0000-0000-0000D0470000}"/>
    <cellStyle name="40% - Accent3 79 27 2 2" xfId="18382" xr:uid="{00000000-0005-0000-0000-0000D1470000}"/>
    <cellStyle name="40% - Accent3 79 27 3" xfId="18383" xr:uid="{00000000-0005-0000-0000-0000D2470000}"/>
    <cellStyle name="40% - Accent3 79 28" xfId="18384" xr:uid="{00000000-0005-0000-0000-0000D3470000}"/>
    <cellStyle name="40% - Accent3 79 28 2" xfId="18385" xr:uid="{00000000-0005-0000-0000-0000D4470000}"/>
    <cellStyle name="40% - Accent3 79 28 2 2" xfId="18386" xr:uid="{00000000-0005-0000-0000-0000D5470000}"/>
    <cellStyle name="40% - Accent3 79 28 3" xfId="18387" xr:uid="{00000000-0005-0000-0000-0000D6470000}"/>
    <cellStyle name="40% - Accent3 79 29" xfId="18388" xr:uid="{00000000-0005-0000-0000-0000D7470000}"/>
    <cellStyle name="40% - Accent3 79 29 2" xfId="18389" xr:uid="{00000000-0005-0000-0000-0000D8470000}"/>
    <cellStyle name="40% - Accent3 79 29 2 2" xfId="18390" xr:uid="{00000000-0005-0000-0000-0000D9470000}"/>
    <cellStyle name="40% - Accent3 79 29 3" xfId="18391" xr:uid="{00000000-0005-0000-0000-0000DA470000}"/>
    <cellStyle name="40% - Accent3 79 3" xfId="18392" xr:uid="{00000000-0005-0000-0000-0000DB470000}"/>
    <cellStyle name="40% - Accent3 79 3 2" xfId="18393" xr:uid="{00000000-0005-0000-0000-0000DC470000}"/>
    <cellStyle name="40% - Accent3 79 3 2 2" xfId="18394" xr:uid="{00000000-0005-0000-0000-0000DD470000}"/>
    <cellStyle name="40% - Accent3 79 3 3" xfId="18395" xr:uid="{00000000-0005-0000-0000-0000DE470000}"/>
    <cellStyle name="40% - Accent3 79 30" xfId="18396" xr:uid="{00000000-0005-0000-0000-0000DF470000}"/>
    <cellStyle name="40% - Accent3 79 30 2" xfId="18397" xr:uid="{00000000-0005-0000-0000-0000E0470000}"/>
    <cellStyle name="40% - Accent3 79 30 2 2" xfId="18398" xr:uid="{00000000-0005-0000-0000-0000E1470000}"/>
    <cellStyle name="40% - Accent3 79 30 3" xfId="18399" xr:uid="{00000000-0005-0000-0000-0000E2470000}"/>
    <cellStyle name="40% - Accent3 79 31" xfId="18400" xr:uid="{00000000-0005-0000-0000-0000E3470000}"/>
    <cellStyle name="40% - Accent3 79 31 2" xfId="18401" xr:uid="{00000000-0005-0000-0000-0000E4470000}"/>
    <cellStyle name="40% - Accent3 79 31 2 2" xfId="18402" xr:uid="{00000000-0005-0000-0000-0000E5470000}"/>
    <cellStyle name="40% - Accent3 79 31 3" xfId="18403" xr:uid="{00000000-0005-0000-0000-0000E6470000}"/>
    <cellStyle name="40% - Accent3 79 32" xfId="18404" xr:uid="{00000000-0005-0000-0000-0000E7470000}"/>
    <cellStyle name="40% - Accent3 79 32 2" xfId="18405" xr:uid="{00000000-0005-0000-0000-0000E8470000}"/>
    <cellStyle name="40% - Accent3 79 32 2 2" xfId="18406" xr:uid="{00000000-0005-0000-0000-0000E9470000}"/>
    <cellStyle name="40% - Accent3 79 32 3" xfId="18407" xr:uid="{00000000-0005-0000-0000-0000EA470000}"/>
    <cellStyle name="40% - Accent3 79 33" xfId="18408" xr:uid="{00000000-0005-0000-0000-0000EB470000}"/>
    <cellStyle name="40% - Accent3 79 33 2" xfId="18409" xr:uid="{00000000-0005-0000-0000-0000EC470000}"/>
    <cellStyle name="40% - Accent3 79 33 2 2" xfId="18410" xr:uid="{00000000-0005-0000-0000-0000ED470000}"/>
    <cellStyle name="40% - Accent3 79 33 3" xfId="18411" xr:uid="{00000000-0005-0000-0000-0000EE470000}"/>
    <cellStyle name="40% - Accent3 79 34" xfId="18412" xr:uid="{00000000-0005-0000-0000-0000EF470000}"/>
    <cellStyle name="40% - Accent3 79 34 2" xfId="18413" xr:uid="{00000000-0005-0000-0000-0000F0470000}"/>
    <cellStyle name="40% - Accent3 79 34 2 2" xfId="18414" xr:uid="{00000000-0005-0000-0000-0000F1470000}"/>
    <cellStyle name="40% - Accent3 79 34 3" xfId="18415" xr:uid="{00000000-0005-0000-0000-0000F2470000}"/>
    <cellStyle name="40% - Accent3 79 35" xfId="18416" xr:uid="{00000000-0005-0000-0000-0000F3470000}"/>
    <cellStyle name="40% - Accent3 79 35 2" xfId="18417" xr:uid="{00000000-0005-0000-0000-0000F4470000}"/>
    <cellStyle name="40% - Accent3 79 35 2 2" xfId="18418" xr:uid="{00000000-0005-0000-0000-0000F5470000}"/>
    <cellStyle name="40% - Accent3 79 35 3" xfId="18419" xr:uid="{00000000-0005-0000-0000-0000F6470000}"/>
    <cellStyle name="40% - Accent3 79 36" xfId="18420" xr:uid="{00000000-0005-0000-0000-0000F7470000}"/>
    <cellStyle name="40% - Accent3 79 36 2" xfId="18421" xr:uid="{00000000-0005-0000-0000-0000F8470000}"/>
    <cellStyle name="40% - Accent3 79 36 2 2" xfId="18422" xr:uid="{00000000-0005-0000-0000-0000F9470000}"/>
    <cellStyle name="40% - Accent3 79 36 3" xfId="18423" xr:uid="{00000000-0005-0000-0000-0000FA470000}"/>
    <cellStyle name="40% - Accent3 79 4" xfId="18424" xr:uid="{00000000-0005-0000-0000-0000FB470000}"/>
    <cellStyle name="40% - Accent3 79 4 2" xfId="18425" xr:uid="{00000000-0005-0000-0000-0000FC470000}"/>
    <cellStyle name="40% - Accent3 79 4 2 2" xfId="18426" xr:uid="{00000000-0005-0000-0000-0000FD470000}"/>
    <cellStyle name="40% - Accent3 79 4 3" xfId="18427" xr:uid="{00000000-0005-0000-0000-0000FE470000}"/>
    <cellStyle name="40% - Accent3 79 5" xfId="18428" xr:uid="{00000000-0005-0000-0000-0000FF470000}"/>
    <cellStyle name="40% - Accent3 79 5 2" xfId="18429" xr:uid="{00000000-0005-0000-0000-000000480000}"/>
    <cellStyle name="40% - Accent3 79 5 2 2" xfId="18430" xr:uid="{00000000-0005-0000-0000-000001480000}"/>
    <cellStyle name="40% - Accent3 79 5 3" xfId="18431" xr:uid="{00000000-0005-0000-0000-000002480000}"/>
    <cellStyle name="40% - Accent3 79 6" xfId="18432" xr:uid="{00000000-0005-0000-0000-000003480000}"/>
    <cellStyle name="40% - Accent3 79 6 2" xfId="18433" xr:uid="{00000000-0005-0000-0000-000004480000}"/>
    <cellStyle name="40% - Accent3 79 6 2 2" xfId="18434" xr:uid="{00000000-0005-0000-0000-000005480000}"/>
    <cellStyle name="40% - Accent3 79 6 3" xfId="18435" xr:uid="{00000000-0005-0000-0000-000006480000}"/>
    <cellStyle name="40% - Accent3 79 7" xfId="18436" xr:uid="{00000000-0005-0000-0000-000007480000}"/>
    <cellStyle name="40% - Accent3 79 7 2" xfId="18437" xr:uid="{00000000-0005-0000-0000-000008480000}"/>
    <cellStyle name="40% - Accent3 79 7 2 2" xfId="18438" xr:uid="{00000000-0005-0000-0000-000009480000}"/>
    <cellStyle name="40% - Accent3 79 7 3" xfId="18439" xr:uid="{00000000-0005-0000-0000-00000A480000}"/>
    <cellStyle name="40% - Accent3 79 8" xfId="18440" xr:uid="{00000000-0005-0000-0000-00000B480000}"/>
    <cellStyle name="40% - Accent3 79 8 2" xfId="18441" xr:uid="{00000000-0005-0000-0000-00000C480000}"/>
    <cellStyle name="40% - Accent3 79 8 2 2" xfId="18442" xr:uid="{00000000-0005-0000-0000-00000D480000}"/>
    <cellStyle name="40% - Accent3 79 8 3" xfId="18443" xr:uid="{00000000-0005-0000-0000-00000E480000}"/>
    <cellStyle name="40% - Accent3 79 9" xfId="18444" xr:uid="{00000000-0005-0000-0000-00000F480000}"/>
    <cellStyle name="40% - Accent3 79 9 2" xfId="18445" xr:uid="{00000000-0005-0000-0000-000010480000}"/>
    <cellStyle name="40% - Accent3 79 9 2 2" xfId="18446" xr:uid="{00000000-0005-0000-0000-000011480000}"/>
    <cellStyle name="40% - Accent3 79 9 3" xfId="18447" xr:uid="{00000000-0005-0000-0000-000012480000}"/>
    <cellStyle name="40% - Accent3 8" xfId="18448" xr:uid="{00000000-0005-0000-0000-000013480000}"/>
    <cellStyle name="40% - Accent3 8 2" xfId="18449" xr:uid="{00000000-0005-0000-0000-000014480000}"/>
    <cellStyle name="40% - Accent3 8 3" xfId="18450" xr:uid="{00000000-0005-0000-0000-000015480000}"/>
    <cellStyle name="40% - Accent3 80" xfId="18451" xr:uid="{00000000-0005-0000-0000-000016480000}"/>
    <cellStyle name="40% - Accent3 80 2" xfId="18452" xr:uid="{00000000-0005-0000-0000-000017480000}"/>
    <cellStyle name="40% - Accent3 81" xfId="18453" xr:uid="{00000000-0005-0000-0000-000018480000}"/>
    <cellStyle name="40% - Accent3 81 10" xfId="18454" xr:uid="{00000000-0005-0000-0000-000019480000}"/>
    <cellStyle name="40% - Accent3 81 10 2" xfId="18455" xr:uid="{00000000-0005-0000-0000-00001A480000}"/>
    <cellStyle name="40% - Accent3 81 10 2 2" xfId="18456" xr:uid="{00000000-0005-0000-0000-00001B480000}"/>
    <cellStyle name="40% - Accent3 81 10 3" xfId="18457" xr:uid="{00000000-0005-0000-0000-00001C480000}"/>
    <cellStyle name="40% - Accent3 81 11" xfId="18458" xr:uid="{00000000-0005-0000-0000-00001D480000}"/>
    <cellStyle name="40% - Accent3 81 11 2" xfId="18459" xr:uid="{00000000-0005-0000-0000-00001E480000}"/>
    <cellStyle name="40% - Accent3 81 11 2 2" xfId="18460" xr:uid="{00000000-0005-0000-0000-00001F480000}"/>
    <cellStyle name="40% - Accent3 81 11 3" xfId="18461" xr:uid="{00000000-0005-0000-0000-000020480000}"/>
    <cellStyle name="40% - Accent3 81 12" xfId="18462" xr:uid="{00000000-0005-0000-0000-000021480000}"/>
    <cellStyle name="40% - Accent3 81 12 2" xfId="18463" xr:uid="{00000000-0005-0000-0000-000022480000}"/>
    <cellStyle name="40% - Accent3 81 12 2 2" xfId="18464" xr:uid="{00000000-0005-0000-0000-000023480000}"/>
    <cellStyle name="40% - Accent3 81 12 3" xfId="18465" xr:uid="{00000000-0005-0000-0000-000024480000}"/>
    <cellStyle name="40% - Accent3 81 13" xfId="18466" xr:uid="{00000000-0005-0000-0000-000025480000}"/>
    <cellStyle name="40% - Accent3 81 13 2" xfId="18467" xr:uid="{00000000-0005-0000-0000-000026480000}"/>
    <cellStyle name="40% - Accent3 81 13 2 2" xfId="18468" xr:uid="{00000000-0005-0000-0000-000027480000}"/>
    <cellStyle name="40% - Accent3 81 13 3" xfId="18469" xr:uid="{00000000-0005-0000-0000-000028480000}"/>
    <cellStyle name="40% - Accent3 81 14" xfId="18470" xr:uid="{00000000-0005-0000-0000-000029480000}"/>
    <cellStyle name="40% - Accent3 81 14 2" xfId="18471" xr:uid="{00000000-0005-0000-0000-00002A480000}"/>
    <cellStyle name="40% - Accent3 81 14 2 2" xfId="18472" xr:uid="{00000000-0005-0000-0000-00002B480000}"/>
    <cellStyle name="40% - Accent3 81 14 3" xfId="18473" xr:uid="{00000000-0005-0000-0000-00002C480000}"/>
    <cellStyle name="40% - Accent3 81 15" xfId="18474" xr:uid="{00000000-0005-0000-0000-00002D480000}"/>
    <cellStyle name="40% - Accent3 81 15 2" xfId="18475" xr:uid="{00000000-0005-0000-0000-00002E480000}"/>
    <cellStyle name="40% - Accent3 81 15 2 2" xfId="18476" xr:uid="{00000000-0005-0000-0000-00002F480000}"/>
    <cellStyle name="40% - Accent3 81 15 3" xfId="18477" xr:uid="{00000000-0005-0000-0000-000030480000}"/>
    <cellStyle name="40% - Accent3 81 16" xfId="18478" xr:uid="{00000000-0005-0000-0000-000031480000}"/>
    <cellStyle name="40% - Accent3 81 16 2" xfId="18479" xr:uid="{00000000-0005-0000-0000-000032480000}"/>
    <cellStyle name="40% - Accent3 81 16 2 2" xfId="18480" xr:uid="{00000000-0005-0000-0000-000033480000}"/>
    <cellStyle name="40% - Accent3 81 16 3" xfId="18481" xr:uid="{00000000-0005-0000-0000-000034480000}"/>
    <cellStyle name="40% - Accent3 81 17" xfId="18482" xr:uid="{00000000-0005-0000-0000-000035480000}"/>
    <cellStyle name="40% - Accent3 81 17 2" xfId="18483" xr:uid="{00000000-0005-0000-0000-000036480000}"/>
    <cellStyle name="40% - Accent3 81 17 2 2" xfId="18484" xr:uid="{00000000-0005-0000-0000-000037480000}"/>
    <cellStyle name="40% - Accent3 81 17 3" xfId="18485" xr:uid="{00000000-0005-0000-0000-000038480000}"/>
    <cellStyle name="40% - Accent3 81 18" xfId="18486" xr:uid="{00000000-0005-0000-0000-000039480000}"/>
    <cellStyle name="40% - Accent3 81 18 2" xfId="18487" xr:uid="{00000000-0005-0000-0000-00003A480000}"/>
    <cellStyle name="40% - Accent3 81 18 2 2" xfId="18488" xr:uid="{00000000-0005-0000-0000-00003B480000}"/>
    <cellStyle name="40% - Accent3 81 18 3" xfId="18489" xr:uid="{00000000-0005-0000-0000-00003C480000}"/>
    <cellStyle name="40% - Accent3 81 19" xfId="18490" xr:uid="{00000000-0005-0000-0000-00003D480000}"/>
    <cellStyle name="40% - Accent3 81 19 2" xfId="18491" xr:uid="{00000000-0005-0000-0000-00003E480000}"/>
    <cellStyle name="40% - Accent3 81 19 2 2" xfId="18492" xr:uid="{00000000-0005-0000-0000-00003F480000}"/>
    <cellStyle name="40% - Accent3 81 19 3" xfId="18493" xr:uid="{00000000-0005-0000-0000-000040480000}"/>
    <cellStyle name="40% - Accent3 81 2" xfId="18494" xr:uid="{00000000-0005-0000-0000-000041480000}"/>
    <cellStyle name="40% - Accent3 81 2 2" xfId="18495" xr:uid="{00000000-0005-0000-0000-000042480000}"/>
    <cellStyle name="40% - Accent3 81 2 2 2" xfId="18496" xr:uid="{00000000-0005-0000-0000-000043480000}"/>
    <cellStyle name="40% - Accent3 81 2 3" xfId="18497" xr:uid="{00000000-0005-0000-0000-000044480000}"/>
    <cellStyle name="40% - Accent3 81 20" xfId="18498" xr:uid="{00000000-0005-0000-0000-000045480000}"/>
    <cellStyle name="40% - Accent3 81 20 2" xfId="18499" xr:uid="{00000000-0005-0000-0000-000046480000}"/>
    <cellStyle name="40% - Accent3 81 20 2 2" xfId="18500" xr:uid="{00000000-0005-0000-0000-000047480000}"/>
    <cellStyle name="40% - Accent3 81 20 3" xfId="18501" xr:uid="{00000000-0005-0000-0000-000048480000}"/>
    <cellStyle name="40% - Accent3 81 21" xfId="18502" xr:uid="{00000000-0005-0000-0000-000049480000}"/>
    <cellStyle name="40% - Accent3 81 21 2" xfId="18503" xr:uid="{00000000-0005-0000-0000-00004A480000}"/>
    <cellStyle name="40% - Accent3 81 21 2 2" xfId="18504" xr:uid="{00000000-0005-0000-0000-00004B480000}"/>
    <cellStyle name="40% - Accent3 81 21 3" xfId="18505" xr:uid="{00000000-0005-0000-0000-00004C480000}"/>
    <cellStyle name="40% - Accent3 81 22" xfId="18506" xr:uid="{00000000-0005-0000-0000-00004D480000}"/>
    <cellStyle name="40% - Accent3 81 22 2" xfId="18507" xr:uid="{00000000-0005-0000-0000-00004E480000}"/>
    <cellStyle name="40% - Accent3 81 22 2 2" xfId="18508" xr:uid="{00000000-0005-0000-0000-00004F480000}"/>
    <cellStyle name="40% - Accent3 81 22 3" xfId="18509" xr:uid="{00000000-0005-0000-0000-000050480000}"/>
    <cellStyle name="40% - Accent3 81 23" xfId="18510" xr:uid="{00000000-0005-0000-0000-000051480000}"/>
    <cellStyle name="40% - Accent3 81 23 2" xfId="18511" xr:uid="{00000000-0005-0000-0000-000052480000}"/>
    <cellStyle name="40% - Accent3 81 23 2 2" xfId="18512" xr:uid="{00000000-0005-0000-0000-000053480000}"/>
    <cellStyle name="40% - Accent3 81 23 3" xfId="18513" xr:uid="{00000000-0005-0000-0000-000054480000}"/>
    <cellStyle name="40% - Accent3 81 24" xfId="18514" xr:uid="{00000000-0005-0000-0000-000055480000}"/>
    <cellStyle name="40% - Accent3 81 24 2" xfId="18515" xr:uid="{00000000-0005-0000-0000-000056480000}"/>
    <cellStyle name="40% - Accent3 81 24 2 2" xfId="18516" xr:uid="{00000000-0005-0000-0000-000057480000}"/>
    <cellStyle name="40% - Accent3 81 24 3" xfId="18517" xr:uid="{00000000-0005-0000-0000-000058480000}"/>
    <cellStyle name="40% - Accent3 81 25" xfId="18518" xr:uid="{00000000-0005-0000-0000-000059480000}"/>
    <cellStyle name="40% - Accent3 81 25 2" xfId="18519" xr:uid="{00000000-0005-0000-0000-00005A480000}"/>
    <cellStyle name="40% - Accent3 81 25 2 2" xfId="18520" xr:uid="{00000000-0005-0000-0000-00005B480000}"/>
    <cellStyle name="40% - Accent3 81 25 3" xfId="18521" xr:uid="{00000000-0005-0000-0000-00005C480000}"/>
    <cellStyle name="40% - Accent3 81 26" xfId="18522" xr:uid="{00000000-0005-0000-0000-00005D480000}"/>
    <cellStyle name="40% - Accent3 81 26 2" xfId="18523" xr:uid="{00000000-0005-0000-0000-00005E480000}"/>
    <cellStyle name="40% - Accent3 81 26 2 2" xfId="18524" xr:uid="{00000000-0005-0000-0000-00005F480000}"/>
    <cellStyle name="40% - Accent3 81 26 3" xfId="18525" xr:uid="{00000000-0005-0000-0000-000060480000}"/>
    <cellStyle name="40% - Accent3 81 27" xfId="18526" xr:uid="{00000000-0005-0000-0000-000061480000}"/>
    <cellStyle name="40% - Accent3 81 27 2" xfId="18527" xr:uid="{00000000-0005-0000-0000-000062480000}"/>
    <cellStyle name="40% - Accent3 81 27 2 2" xfId="18528" xr:uid="{00000000-0005-0000-0000-000063480000}"/>
    <cellStyle name="40% - Accent3 81 27 3" xfId="18529" xr:uid="{00000000-0005-0000-0000-000064480000}"/>
    <cellStyle name="40% - Accent3 81 28" xfId="18530" xr:uid="{00000000-0005-0000-0000-000065480000}"/>
    <cellStyle name="40% - Accent3 81 28 2" xfId="18531" xr:uid="{00000000-0005-0000-0000-000066480000}"/>
    <cellStyle name="40% - Accent3 81 28 2 2" xfId="18532" xr:uid="{00000000-0005-0000-0000-000067480000}"/>
    <cellStyle name="40% - Accent3 81 28 3" xfId="18533" xr:uid="{00000000-0005-0000-0000-000068480000}"/>
    <cellStyle name="40% - Accent3 81 29" xfId="18534" xr:uid="{00000000-0005-0000-0000-000069480000}"/>
    <cellStyle name="40% - Accent3 81 29 2" xfId="18535" xr:uid="{00000000-0005-0000-0000-00006A480000}"/>
    <cellStyle name="40% - Accent3 81 29 2 2" xfId="18536" xr:uid="{00000000-0005-0000-0000-00006B480000}"/>
    <cellStyle name="40% - Accent3 81 29 3" xfId="18537" xr:uid="{00000000-0005-0000-0000-00006C480000}"/>
    <cellStyle name="40% - Accent3 81 3" xfId="18538" xr:uid="{00000000-0005-0000-0000-00006D480000}"/>
    <cellStyle name="40% - Accent3 81 3 2" xfId="18539" xr:uid="{00000000-0005-0000-0000-00006E480000}"/>
    <cellStyle name="40% - Accent3 81 3 2 2" xfId="18540" xr:uid="{00000000-0005-0000-0000-00006F480000}"/>
    <cellStyle name="40% - Accent3 81 3 3" xfId="18541" xr:uid="{00000000-0005-0000-0000-000070480000}"/>
    <cellStyle name="40% - Accent3 81 30" xfId="18542" xr:uid="{00000000-0005-0000-0000-000071480000}"/>
    <cellStyle name="40% - Accent3 81 30 2" xfId="18543" xr:uid="{00000000-0005-0000-0000-000072480000}"/>
    <cellStyle name="40% - Accent3 81 30 2 2" xfId="18544" xr:uid="{00000000-0005-0000-0000-000073480000}"/>
    <cellStyle name="40% - Accent3 81 30 3" xfId="18545" xr:uid="{00000000-0005-0000-0000-000074480000}"/>
    <cellStyle name="40% - Accent3 81 31" xfId="18546" xr:uid="{00000000-0005-0000-0000-000075480000}"/>
    <cellStyle name="40% - Accent3 81 31 2" xfId="18547" xr:uid="{00000000-0005-0000-0000-000076480000}"/>
    <cellStyle name="40% - Accent3 81 31 2 2" xfId="18548" xr:uid="{00000000-0005-0000-0000-000077480000}"/>
    <cellStyle name="40% - Accent3 81 31 3" xfId="18549" xr:uid="{00000000-0005-0000-0000-000078480000}"/>
    <cellStyle name="40% - Accent3 81 32" xfId="18550" xr:uid="{00000000-0005-0000-0000-000079480000}"/>
    <cellStyle name="40% - Accent3 81 32 2" xfId="18551" xr:uid="{00000000-0005-0000-0000-00007A480000}"/>
    <cellStyle name="40% - Accent3 81 32 2 2" xfId="18552" xr:uid="{00000000-0005-0000-0000-00007B480000}"/>
    <cellStyle name="40% - Accent3 81 32 3" xfId="18553" xr:uid="{00000000-0005-0000-0000-00007C480000}"/>
    <cellStyle name="40% - Accent3 81 33" xfId="18554" xr:uid="{00000000-0005-0000-0000-00007D480000}"/>
    <cellStyle name="40% - Accent3 81 33 2" xfId="18555" xr:uid="{00000000-0005-0000-0000-00007E480000}"/>
    <cellStyle name="40% - Accent3 81 33 2 2" xfId="18556" xr:uid="{00000000-0005-0000-0000-00007F480000}"/>
    <cellStyle name="40% - Accent3 81 33 3" xfId="18557" xr:uid="{00000000-0005-0000-0000-000080480000}"/>
    <cellStyle name="40% - Accent3 81 34" xfId="18558" xr:uid="{00000000-0005-0000-0000-000081480000}"/>
    <cellStyle name="40% - Accent3 81 34 2" xfId="18559" xr:uid="{00000000-0005-0000-0000-000082480000}"/>
    <cellStyle name="40% - Accent3 81 34 2 2" xfId="18560" xr:uid="{00000000-0005-0000-0000-000083480000}"/>
    <cellStyle name="40% - Accent3 81 34 3" xfId="18561" xr:uid="{00000000-0005-0000-0000-000084480000}"/>
    <cellStyle name="40% - Accent3 81 35" xfId="18562" xr:uid="{00000000-0005-0000-0000-000085480000}"/>
    <cellStyle name="40% - Accent3 81 35 2" xfId="18563" xr:uid="{00000000-0005-0000-0000-000086480000}"/>
    <cellStyle name="40% - Accent3 81 35 2 2" xfId="18564" xr:uid="{00000000-0005-0000-0000-000087480000}"/>
    <cellStyle name="40% - Accent3 81 35 3" xfId="18565" xr:uid="{00000000-0005-0000-0000-000088480000}"/>
    <cellStyle name="40% - Accent3 81 36" xfId="18566" xr:uid="{00000000-0005-0000-0000-000089480000}"/>
    <cellStyle name="40% - Accent3 81 36 2" xfId="18567" xr:uid="{00000000-0005-0000-0000-00008A480000}"/>
    <cellStyle name="40% - Accent3 81 36 2 2" xfId="18568" xr:uid="{00000000-0005-0000-0000-00008B480000}"/>
    <cellStyle name="40% - Accent3 81 36 3" xfId="18569" xr:uid="{00000000-0005-0000-0000-00008C480000}"/>
    <cellStyle name="40% - Accent3 81 4" xfId="18570" xr:uid="{00000000-0005-0000-0000-00008D480000}"/>
    <cellStyle name="40% - Accent3 81 4 2" xfId="18571" xr:uid="{00000000-0005-0000-0000-00008E480000}"/>
    <cellStyle name="40% - Accent3 81 4 2 2" xfId="18572" xr:uid="{00000000-0005-0000-0000-00008F480000}"/>
    <cellStyle name="40% - Accent3 81 4 3" xfId="18573" xr:uid="{00000000-0005-0000-0000-000090480000}"/>
    <cellStyle name="40% - Accent3 81 5" xfId="18574" xr:uid="{00000000-0005-0000-0000-000091480000}"/>
    <cellStyle name="40% - Accent3 81 5 2" xfId="18575" xr:uid="{00000000-0005-0000-0000-000092480000}"/>
    <cellStyle name="40% - Accent3 81 5 2 2" xfId="18576" xr:uid="{00000000-0005-0000-0000-000093480000}"/>
    <cellStyle name="40% - Accent3 81 5 3" xfId="18577" xr:uid="{00000000-0005-0000-0000-000094480000}"/>
    <cellStyle name="40% - Accent3 81 6" xfId="18578" xr:uid="{00000000-0005-0000-0000-000095480000}"/>
    <cellStyle name="40% - Accent3 81 6 2" xfId="18579" xr:uid="{00000000-0005-0000-0000-000096480000}"/>
    <cellStyle name="40% - Accent3 81 6 2 2" xfId="18580" xr:uid="{00000000-0005-0000-0000-000097480000}"/>
    <cellStyle name="40% - Accent3 81 6 3" xfId="18581" xr:uid="{00000000-0005-0000-0000-000098480000}"/>
    <cellStyle name="40% - Accent3 81 7" xfId="18582" xr:uid="{00000000-0005-0000-0000-000099480000}"/>
    <cellStyle name="40% - Accent3 81 7 2" xfId="18583" xr:uid="{00000000-0005-0000-0000-00009A480000}"/>
    <cellStyle name="40% - Accent3 81 7 2 2" xfId="18584" xr:uid="{00000000-0005-0000-0000-00009B480000}"/>
    <cellStyle name="40% - Accent3 81 7 3" xfId="18585" xr:uid="{00000000-0005-0000-0000-00009C480000}"/>
    <cellStyle name="40% - Accent3 81 8" xfId="18586" xr:uid="{00000000-0005-0000-0000-00009D480000}"/>
    <cellStyle name="40% - Accent3 81 8 2" xfId="18587" xr:uid="{00000000-0005-0000-0000-00009E480000}"/>
    <cellStyle name="40% - Accent3 81 8 2 2" xfId="18588" xr:uid="{00000000-0005-0000-0000-00009F480000}"/>
    <cellStyle name="40% - Accent3 81 8 3" xfId="18589" xr:uid="{00000000-0005-0000-0000-0000A0480000}"/>
    <cellStyle name="40% - Accent3 81 9" xfId="18590" xr:uid="{00000000-0005-0000-0000-0000A1480000}"/>
    <cellStyle name="40% - Accent3 81 9 2" xfId="18591" xr:uid="{00000000-0005-0000-0000-0000A2480000}"/>
    <cellStyle name="40% - Accent3 81 9 2 2" xfId="18592" xr:uid="{00000000-0005-0000-0000-0000A3480000}"/>
    <cellStyle name="40% - Accent3 81 9 3" xfId="18593" xr:uid="{00000000-0005-0000-0000-0000A4480000}"/>
    <cellStyle name="40% - Accent3 82" xfId="18594" xr:uid="{00000000-0005-0000-0000-0000A5480000}"/>
    <cellStyle name="40% - Accent3 82 2" xfId="18595" xr:uid="{00000000-0005-0000-0000-0000A6480000}"/>
    <cellStyle name="40% - Accent3 83" xfId="18596" xr:uid="{00000000-0005-0000-0000-0000A7480000}"/>
    <cellStyle name="40% - Accent3 83 10" xfId="18597" xr:uid="{00000000-0005-0000-0000-0000A8480000}"/>
    <cellStyle name="40% - Accent3 83 10 2" xfId="18598" xr:uid="{00000000-0005-0000-0000-0000A9480000}"/>
    <cellStyle name="40% - Accent3 83 10 2 2" xfId="18599" xr:uid="{00000000-0005-0000-0000-0000AA480000}"/>
    <cellStyle name="40% - Accent3 83 10 3" xfId="18600" xr:uid="{00000000-0005-0000-0000-0000AB480000}"/>
    <cellStyle name="40% - Accent3 83 11" xfId="18601" xr:uid="{00000000-0005-0000-0000-0000AC480000}"/>
    <cellStyle name="40% - Accent3 83 11 2" xfId="18602" xr:uid="{00000000-0005-0000-0000-0000AD480000}"/>
    <cellStyle name="40% - Accent3 83 11 2 2" xfId="18603" xr:uid="{00000000-0005-0000-0000-0000AE480000}"/>
    <cellStyle name="40% - Accent3 83 11 3" xfId="18604" xr:uid="{00000000-0005-0000-0000-0000AF480000}"/>
    <cellStyle name="40% - Accent3 83 12" xfId="18605" xr:uid="{00000000-0005-0000-0000-0000B0480000}"/>
    <cellStyle name="40% - Accent3 83 12 2" xfId="18606" xr:uid="{00000000-0005-0000-0000-0000B1480000}"/>
    <cellStyle name="40% - Accent3 83 12 2 2" xfId="18607" xr:uid="{00000000-0005-0000-0000-0000B2480000}"/>
    <cellStyle name="40% - Accent3 83 12 3" xfId="18608" xr:uid="{00000000-0005-0000-0000-0000B3480000}"/>
    <cellStyle name="40% - Accent3 83 13" xfId="18609" xr:uid="{00000000-0005-0000-0000-0000B4480000}"/>
    <cellStyle name="40% - Accent3 83 13 2" xfId="18610" xr:uid="{00000000-0005-0000-0000-0000B5480000}"/>
    <cellStyle name="40% - Accent3 83 13 2 2" xfId="18611" xr:uid="{00000000-0005-0000-0000-0000B6480000}"/>
    <cellStyle name="40% - Accent3 83 13 3" xfId="18612" xr:uid="{00000000-0005-0000-0000-0000B7480000}"/>
    <cellStyle name="40% - Accent3 83 14" xfId="18613" xr:uid="{00000000-0005-0000-0000-0000B8480000}"/>
    <cellStyle name="40% - Accent3 83 14 2" xfId="18614" xr:uid="{00000000-0005-0000-0000-0000B9480000}"/>
    <cellStyle name="40% - Accent3 83 14 2 2" xfId="18615" xr:uid="{00000000-0005-0000-0000-0000BA480000}"/>
    <cellStyle name="40% - Accent3 83 14 3" xfId="18616" xr:uid="{00000000-0005-0000-0000-0000BB480000}"/>
    <cellStyle name="40% - Accent3 83 15" xfId="18617" xr:uid="{00000000-0005-0000-0000-0000BC480000}"/>
    <cellStyle name="40% - Accent3 83 15 2" xfId="18618" xr:uid="{00000000-0005-0000-0000-0000BD480000}"/>
    <cellStyle name="40% - Accent3 83 15 2 2" xfId="18619" xr:uid="{00000000-0005-0000-0000-0000BE480000}"/>
    <cellStyle name="40% - Accent3 83 15 3" xfId="18620" xr:uid="{00000000-0005-0000-0000-0000BF480000}"/>
    <cellStyle name="40% - Accent3 83 16" xfId="18621" xr:uid="{00000000-0005-0000-0000-0000C0480000}"/>
    <cellStyle name="40% - Accent3 83 16 2" xfId="18622" xr:uid="{00000000-0005-0000-0000-0000C1480000}"/>
    <cellStyle name="40% - Accent3 83 16 2 2" xfId="18623" xr:uid="{00000000-0005-0000-0000-0000C2480000}"/>
    <cellStyle name="40% - Accent3 83 16 3" xfId="18624" xr:uid="{00000000-0005-0000-0000-0000C3480000}"/>
    <cellStyle name="40% - Accent3 83 17" xfId="18625" xr:uid="{00000000-0005-0000-0000-0000C4480000}"/>
    <cellStyle name="40% - Accent3 83 17 2" xfId="18626" xr:uid="{00000000-0005-0000-0000-0000C5480000}"/>
    <cellStyle name="40% - Accent3 83 17 2 2" xfId="18627" xr:uid="{00000000-0005-0000-0000-0000C6480000}"/>
    <cellStyle name="40% - Accent3 83 17 3" xfId="18628" xr:uid="{00000000-0005-0000-0000-0000C7480000}"/>
    <cellStyle name="40% - Accent3 83 18" xfId="18629" xr:uid="{00000000-0005-0000-0000-0000C8480000}"/>
    <cellStyle name="40% - Accent3 83 18 2" xfId="18630" xr:uid="{00000000-0005-0000-0000-0000C9480000}"/>
    <cellStyle name="40% - Accent3 83 18 2 2" xfId="18631" xr:uid="{00000000-0005-0000-0000-0000CA480000}"/>
    <cellStyle name="40% - Accent3 83 18 3" xfId="18632" xr:uid="{00000000-0005-0000-0000-0000CB480000}"/>
    <cellStyle name="40% - Accent3 83 19" xfId="18633" xr:uid="{00000000-0005-0000-0000-0000CC480000}"/>
    <cellStyle name="40% - Accent3 83 19 2" xfId="18634" xr:uid="{00000000-0005-0000-0000-0000CD480000}"/>
    <cellStyle name="40% - Accent3 83 19 2 2" xfId="18635" xr:uid="{00000000-0005-0000-0000-0000CE480000}"/>
    <cellStyle name="40% - Accent3 83 19 3" xfId="18636" xr:uid="{00000000-0005-0000-0000-0000CF480000}"/>
    <cellStyle name="40% - Accent3 83 2" xfId="18637" xr:uid="{00000000-0005-0000-0000-0000D0480000}"/>
    <cellStyle name="40% - Accent3 83 2 2" xfId="18638" xr:uid="{00000000-0005-0000-0000-0000D1480000}"/>
    <cellStyle name="40% - Accent3 83 2 2 2" xfId="18639" xr:uid="{00000000-0005-0000-0000-0000D2480000}"/>
    <cellStyle name="40% - Accent3 83 2 3" xfId="18640" xr:uid="{00000000-0005-0000-0000-0000D3480000}"/>
    <cellStyle name="40% - Accent3 83 20" xfId="18641" xr:uid="{00000000-0005-0000-0000-0000D4480000}"/>
    <cellStyle name="40% - Accent3 83 20 2" xfId="18642" xr:uid="{00000000-0005-0000-0000-0000D5480000}"/>
    <cellStyle name="40% - Accent3 83 20 2 2" xfId="18643" xr:uid="{00000000-0005-0000-0000-0000D6480000}"/>
    <cellStyle name="40% - Accent3 83 20 3" xfId="18644" xr:uid="{00000000-0005-0000-0000-0000D7480000}"/>
    <cellStyle name="40% - Accent3 83 21" xfId="18645" xr:uid="{00000000-0005-0000-0000-0000D8480000}"/>
    <cellStyle name="40% - Accent3 83 21 2" xfId="18646" xr:uid="{00000000-0005-0000-0000-0000D9480000}"/>
    <cellStyle name="40% - Accent3 83 21 2 2" xfId="18647" xr:uid="{00000000-0005-0000-0000-0000DA480000}"/>
    <cellStyle name="40% - Accent3 83 21 3" xfId="18648" xr:uid="{00000000-0005-0000-0000-0000DB480000}"/>
    <cellStyle name="40% - Accent3 83 22" xfId="18649" xr:uid="{00000000-0005-0000-0000-0000DC480000}"/>
    <cellStyle name="40% - Accent3 83 22 2" xfId="18650" xr:uid="{00000000-0005-0000-0000-0000DD480000}"/>
    <cellStyle name="40% - Accent3 83 22 2 2" xfId="18651" xr:uid="{00000000-0005-0000-0000-0000DE480000}"/>
    <cellStyle name="40% - Accent3 83 22 3" xfId="18652" xr:uid="{00000000-0005-0000-0000-0000DF480000}"/>
    <cellStyle name="40% - Accent3 83 23" xfId="18653" xr:uid="{00000000-0005-0000-0000-0000E0480000}"/>
    <cellStyle name="40% - Accent3 83 23 2" xfId="18654" xr:uid="{00000000-0005-0000-0000-0000E1480000}"/>
    <cellStyle name="40% - Accent3 83 23 2 2" xfId="18655" xr:uid="{00000000-0005-0000-0000-0000E2480000}"/>
    <cellStyle name="40% - Accent3 83 23 3" xfId="18656" xr:uid="{00000000-0005-0000-0000-0000E3480000}"/>
    <cellStyle name="40% - Accent3 83 24" xfId="18657" xr:uid="{00000000-0005-0000-0000-0000E4480000}"/>
    <cellStyle name="40% - Accent3 83 24 2" xfId="18658" xr:uid="{00000000-0005-0000-0000-0000E5480000}"/>
    <cellStyle name="40% - Accent3 83 24 2 2" xfId="18659" xr:uid="{00000000-0005-0000-0000-0000E6480000}"/>
    <cellStyle name="40% - Accent3 83 24 3" xfId="18660" xr:uid="{00000000-0005-0000-0000-0000E7480000}"/>
    <cellStyle name="40% - Accent3 83 25" xfId="18661" xr:uid="{00000000-0005-0000-0000-0000E8480000}"/>
    <cellStyle name="40% - Accent3 83 25 2" xfId="18662" xr:uid="{00000000-0005-0000-0000-0000E9480000}"/>
    <cellStyle name="40% - Accent3 83 25 2 2" xfId="18663" xr:uid="{00000000-0005-0000-0000-0000EA480000}"/>
    <cellStyle name="40% - Accent3 83 25 3" xfId="18664" xr:uid="{00000000-0005-0000-0000-0000EB480000}"/>
    <cellStyle name="40% - Accent3 83 26" xfId="18665" xr:uid="{00000000-0005-0000-0000-0000EC480000}"/>
    <cellStyle name="40% - Accent3 83 26 2" xfId="18666" xr:uid="{00000000-0005-0000-0000-0000ED480000}"/>
    <cellStyle name="40% - Accent3 83 26 2 2" xfId="18667" xr:uid="{00000000-0005-0000-0000-0000EE480000}"/>
    <cellStyle name="40% - Accent3 83 26 3" xfId="18668" xr:uid="{00000000-0005-0000-0000-0000EF480000}"/>
    <cellStyle name="40% - Accent3 83 27" xfId="18669" xr:uid="{00000000-0005-0000-0000-0000F0480000}"/>
    <cellStyle name="40% - Accent3 83 27 2" xfId="18670" xr:uid="{00000000-0005-0000-0000-0000F1480000}"/>
    <cellStyle name="40% - Accent3 83 27 2 2" xfId="18671" xr:uid="{00000000-0005-0000-0000-0000F2480000}"/>
    <cellStyle name="40% - Accent3 83 27 3" xfId="18672" xr:uid="{00000000-0005-0000-0000-0000F3480000}"/>
    <cellStyle name="40% - Accent3 83 28" xfId="18673" xr:uid="{00000000-0005-0000-0000-0000F4480000}"/>
    <cellStyle name="40% - Accent3 83 28 2" xfId="18674" xr:uid="{00000000-0005-0000-0000-0000F5480000}"/>
    <cellStyle name="40% - Accent3 83 28 2 2" xfId="18675" xr:uid="{00000000-0005-0000-0000-0000F6480000}"/>
    <cellStyle name="40% - Accent3 83 28 3" xfId="18676" xr:uid="{00000000-0005-0000-0000-0000F7480000}"/>
    <cellStyle name="40% - Accent3 83 29" xfId="18677" xr:uid="{00000000-0005-0000-0000-0000F8480000}"/>
    <cellStyle name="40% - Accent3 83 29 2" xfId="18678" xr:uid="{00000000-0005-0000-0000-0000F9480000}"/>
    <cellStyle name="40% - Accent3 83 29 2 2" xfId="18679" xr:uid="{00000000-0005-0000-0000-0000FA480000}"/>
    <cellStyle name="40% - Accent3 83 29 3" xfId="18680" xr:uid="{00000000-0005-0000-0000-0000FB480000}"/>
    <cellStyle name="40% - Accent3 83 3" xfId="18681" xr:uid="{00000000-0005-0000-0000-0000FC480000}"/>
    <cellStyle name="40% - Accent3 83 3 2" xfId="18682" xr:uid="{00000000-0005-0000-0000-0000FD480000}"/>
    <cellStyle name="40% - Accent3 83 3 2 2" xfId="18683" xr:uid="{00000000-0005-0000-0000-0000FE480000}"/>
    <cellStyle name="40% - Accent3 83 3 3" xfId="18684" xr:uid="{00000000-0005-0000-0000-0000FF480000}"/>
    <cellStyle name="40% - Accent3 83 30" xfId="18685" xr:uid="{00000000-0005-0000-0000-000000490000}"/>
    <cellStyle name="40% - Accent3 83 30 2" xfId="18686" xr:uid="{00000000-0005-0000-0000-000001490000}"/>
    <cellStyle name="40% - Accent3 83 30 2 2" xfId="18687" xr:uid="{00000000-0005-0000-0000-000002490000}"/>
    <cellStyle name="40% - Accent3 83 30 3" xfId="18688" xr:uid="{00000000-0005-0000-0000-000003490000}"/>
    <cellStyle name="40% - Accent3 83 31" xfId="18689" xr:uid="{00000000-0005-0000-0000-000004490000}"/>
    <cellStyle name="40% - Accent3 83 31 2" xfId="18690" xr:uid="{00000000-0005-0000-0000-000005490000}"/>
    <cellStyle name="40% - Accent3 83 31 2 2" xfId="18691" xr:uid="{00000000-0005-0000-0000-000006490000}"/>
    <cellStyle name="40% - Accent3 83 31 3" xfId="18692" xr:uid="{00000000-0005-0000-0000-000007490000}"/>
    <cellStyle name="40% - Accent3 83 32" xfId="18693" xr:uid="{00000000-0005-0000-0000-000008490000}"/>
    <cellStyle name="40% - Accent3 83 32 2" xfId="18694" xr:uid="{00000000-0005-0000-0000-000009490000}"/>
    <cellStyle name="40% - Accent3 83 32 2 2" xfId="18695" xr:uid="{00000000-0005-0000-0000-00000A490000}"/>
    <cellStyle name="40% - Accent3 83 32 3" xfId="18696" xr:uid="{00000000-0005-0000-0000-00000B490000}"/>
    <cellStyle name="40% - Accent3 83 33" xfId="18697" xr:uid="{00000000-0005-0000-0000-00000C490000}"/>
    <cellStyle name="40% - Accent3 83 33 2" xfId="18698" xr:uid="{00000000-0005-0000-0000-00000D490000}"/>
    <cellStyle name="40% - Accent3 83 33 2 2" xfId="18699" xr:uid="{00000000-0005-0000-0000-00000E490000}"/>
    <cellStyle name="40% - Accent3 83 33 3" xfId="18700" xr:uid="{00000000-0005-0000-0000-00000F490000}"/>
    <cellStyle name="40% - Accent3 83 34" xfId="18701" xr:uid="{00000000-0005-0000-0000-000010490000}"/>
    <cellStyle name="40% - Accent3 83 34 2" xfId="18702" xr:uid="{00000000-0005-0000-0000-000011490000}"/>
    <cellStyle name="40% - Accent3 83 34 2 2" xfId="18703" xr:uid="{00000000-0005-0000-0000-000012490000}"/>
    <cellStyle name="40% - Accent3 83 34 3" xfId="18704" xr:uid="{00000000-0005-0000-0000-000013490000}"/>
    <cellStyle name="40% - Accent3 83 35" xfId="18705" xr:uid="{00000000-0005-0000-0000-000014490000}"/>
    <cellStyle name="40% - Accent3 83 35 2" xfId="18706" xr:uid="{00000000-0005-0000-0000-000015490000}"/>
    <cellStyle name="40% - Accent3 83 35 2 2" xfId="18707" xr:uid="{00000000-0005-0000-0000-000016490000}"/>
    <cellStyle name="40% - Accent3 83 35 3" xfId="18708" xr:uid="{00000000-0005-0000-0000-000017490000}"/>
    <cellStyle name="40% - Accent3 83 36" xfId="18709" xr:uid="{00000000-0005-0000-0000-000018490000}"/>
    <cellStyle name="40% - Accent3 83 36 2" xfId="18710" xr:uid="{00000000-0005-0000-0000-000019490000}"/>
    <cellStyle name="40% - Accent3 83 36 2 2" xfId="18711" xr:uid="{00000000-0005-0000-0000-00001A490000}"/>
    <cellStyle name="40% - Accent3 83 36 3" xfId="18712" xr:uid="{00000000-0005-0000-0000-00001B490000}"/>
    <cellStyle name="40% - Accent3 83 4" xfId="18713" xr:uid="{00000000-0005-0000-0000-00001C490000}"/>
    <cellStyle name="40% - Accent3 83 4 2" xfId="18714" xr:uid="{00000000-0005-0000-0000-00001D490000}"/>
    <cellStyle name="40% - Accent3 83 4 2 2" xfId="18715" xr:uid="{00000000-0005-0000-0000-00001E490000}"/>
    <cellStyle name="40% - Accent3 83 4 3" xfId="18716" xr:uid="{00000000-0005-0000-0000-00001F490000}"/>
    <cellStyle name="40% - Accent3 83 5" xfId="18717" xr:uid="{00000000-0005-0000-0000-000020490000}"/>
    <cellStyle name="40% - Accent3 83 5 2" xfId="18718" xr:uid="{00000000-0005-0000-0000-000021490000}"/>
    <cellStyle name="40% - Accent3 83 5 2 2" xfId="18719" xr:uid="{00000000-0005-0000-0000-000022490000}"/>
    <cellStyle name="40% - Accent3 83 5 3" xfId="18720" xr:uid="{00000000-0005-0000-0000-000023490000}"/>
    <cellStyle name="40% - Accent3 83 6" xfId="18721" xr:uid="{00000000-0005-0000-0000-000024490000}"/>
    <cellStyle name="40% - Accent3 83 6 2" xfId="18722" xr:uid="{00000000-0005-0000-0000-000025490000}"/>
    <cellStyle name="40% - Accent3 83 6 2 2" xfId="18723" xr:uid="{00000000-0005-0000-0000-000026490000}"/>
    <cellStyle name="40% - Accent3 83 6 3" xfId="18724" xr:uid="{00000000-0005-0000-0000-000027490000}"/>
    <cellStyle name="40% - Accent3 83 7" xfId="18725" xr:uid="{00000000-0005-0000-0000-000028490000}"/>
    <cellStyle name="40% - Accent3 83 7 2" xfId="18726" xr:uid="{00000000-0005-0000-0000-000029490000}"/>
    <cellStyle name="40% - Accent3 83 7 2 2" xfId="18727" xr:uid="{00000000-0005-0000-0000-00002A490000}"/>
    <cellStyle name="40% - Accent3 83 7 3" xfId="18728" xr:uid="{00000000-0005-0000-0000-00002B490000}"/>
    <cellStyle name="40% - Accent3 83 8" xfId="18729" xr:uid="{00000000-0005-0000-0000-00002C490000}"/>
    <cellStyle name="40% - Accent3 83 8 2" xfId="18730" xr:uid="{00000000-0005-0000-0000-00002D490000}"/>
    <cellStyle name="40% - Accent3 83 8 2 2" xfId="18731" xr:uid="{00000000-0005-0000-0000-00002E490000}"/>
    <cellStyle name="40% - Accent3 83 8 3" xfId="18732" xr:uid="{00000000-0005-0000-0000-00002F490000}"/>
    <cellStyle name="40% - Accent3 83 9" xfId="18733" xr:uid="{00000000-0005-0000-0000-000030490000}"/>
    <cellStyle name="40% - Accent3 83 9 2" xfId="18734" xr:uid="{00000000-0005-0000-0000-000031490000}"/>
    <cellStyle name="40% - Accent3 83 9 2 2" xfId="18735" xr:uid="{00000000-0005-0000-0000-000032490000}"/>
    <cellStyle name="40% - Accent3 83 9 3" xfId="18736" xr:uid="{00000000-0005-0000-0000-000033490000}"/>
    <cellStyle name="40% - Accent3 84" xfId="18737" xr:uid="{00000000-0005-0000-0000-000034490000}"/>
    <cellStyle name="40% - Accent3 84 10" xfId="18738" xr:uid="{00000000-0005-0000-0000-000035490000}"/>
    <cellStyle name="40% - Accent3 84 10 2" xfId="18739" xr:uid="{00000000-0005-0000-0000-000036490000}"/>
    <cellStyle name="40% - Accent3 84 10 2 2" xfId="18740" xr:uid="{00000000-0005-0000-0000-000037490000}"/>
    <cellStyle name="40% - Accent3 84 10 3" xfId="18741" xr:uid="{00000000-0005-0000-0000-000038490000}"/>
    <cellStyle name="40% - Accent3 84 11" xfId="18742" xr:uid="{00000000-0005-0000-0000-000039490000}"/>
    <cellStyle name="40% - Accent3 84 11 2" xfId="18743" xr:uid="{00000000-0005-0000-0000-00003A490000}"/>
    <cellStyle name="40% - Accent3 84 11 2 2" xfId="18744" xr:uid="{00000000-0005-0000-0000-00003B490000}"/>
    <cellStyle name="40% - Accent3 84 11 3" xfId="18745" xr:uid="{00000000-0005-0000-0000-00003C490000}"/>
    <cellStyle name="40% - Accent3 84 12" xfId="18746" xr:uid="{00000000-0005-0000-0000-00003D490000}"/>
    <cellStyle name="40% - Accent3 84 12 2" xfId="18747" xr:uid="{00000000-0005-0000-0000-00003E490000}"/>
    <cellStyle name="40% - Accent3 84 12 2 2" xfId="18748" xr:uid="{00000000-0005-0000-0000-00003F490000}"/>
    <cellStyle name="40% - Accent3 84 12 3" xfId="18749" xr:uid="{00000000-0005-0000-0000-000040490000}"/>
    <cellStyle name="40% - Accent3 84 13" xfId="18750" xr:uid="{00000000-0005-0000-0000-000041490000}"/>
    <cellStyle name="40% - Accent3 84 13 2" xfId="18751" xr:uid="{00000000-0005-0000-0000-000042490000}"/>
    <cellStyle name="40% - Accent3 84 13 2 2" xfId="18752" xr:uid="{00000000-0005-0000-0000-000043490000}"/>
    <cellStyle name="40% - Accent3 84 13 3" xfId="18753" xr:uid="{00000000-0005-0000-0000-000044490000}"/>
    <cellStyle name="40% - Accent3 84 14" xfId="18754" xr:uid="{00000000-0005-0000-0000-000045490000}"/>
    <cellStyle name="40% - Accent3 84 14 2" xfId="18755" xr:uid="{00000000-0005-0000-0000-000046490000}"/>
    <cellStyle name="40% - Accent3 84 14 2 2" xfId="18756" xr:uid="{00000000-0005-0000-0000-000047490000}"/>
    <cellStyle name="40% - Accent3 84 14 3" xfId="18757" xr:uid="{00000000-0005-0000-0000-000048490000}"/>
    <cellStyle name="40% - Accent3 84 15" xfId="18758" xr:uid="{00000000-0005-0000-0000-000049490000}"/>
    <cellStyle name="40% - Accent3 84 15 2" xfId="18759" xr:uid="{00000000-0005-0000-0000-00004A490000}"/>
    <cellStyle name="40% - Accent3 84 15 2 2" xfId="18760" xr:uid="{00000000-0005-0000-0000-00004B490000}"/>
    <cellStyle name="40% - Accent3 84 15 3" xfId="18761" xr:uid="{00000000-0005-0000-0000-00004C490000}"/>
    <cellStyle name="40% - Accent3 84 16" xfId="18762" xr:uid="{00000000-0005-0000-0000-00004D490000}"/>
    <cellStyle name="40% - Accent3 84 16 2" xfId="18763" xr:uid="{00000000-0005-0000-0000-00004E490000}"/>
    <cellStyle name="40% - Accent3 84 16 2 2" xfId="18764" xr:uid="{00000000-0005-0000-0000-00004F490000}"/>
    <cellStyle name="40% - Accent3 84 16 3" xfId="18765" xr:uid="{00000000-0005-0000-0000-000050490000}"/>
    <cellStyle name="40% - Accent3 84 17" xfId="18766" xr:uid="{00000000-0005-0000-0000-000051490000}"/>
    <cellStyle name="40% - Accent3 84 17 2" xfId="18767" xr:uid="{00000000-0005-0000-0000-000052490000}"/>
    <cellStyle name="40% - Accent3 84 17 2 2" xfId="18768" xr:uid="{00000000-0005-0000-0000-000053490000}"/>
    <cellStyle name="40% - Accent3 84 17 3" xfId="18769" xr:uid="{00000000-0005-0000-0000-000054490000}"/>
    <cellStyle name="40% - Accent3 84 18" xfId="18770" xr:uid="{00000000-0005-0000-0000-000055490000}"/>
    <cellStyle name="40% - Accent3 84 18 2" xfId="18771" xr:uid="{00000000-0005-0000-0000-000056490000}"/>
    <cellStyle name="40% - Accent3 84 18 2 2" xfId="18772" xr:uid="{00000000-0005-0000-0000-000057490000}"/>
    <cellStyle name="40% - Accent3 84 18 3" xfId="18773" xr:uid="{00000000-0005-0000-0000-000058490000}"/>
    <cellStyle name="40% - Accent3 84 19" xfId="18774" xr:uid="{00000000-0005-0000-0000-000059490000}"/>
    <cellStyle name="40% - Accent3 84 19 2" xfId="18775" xr:uid="{00000000-0005-0000-0000-00005A490000}"/>
    <cellStyle name="40% - Accent3 84 19 2 2" xfId="18776" xr:uid="{00000000-0005-0000-0000-00005B490000}"/>
    <cellStyle name="40% - Accent3 84 19 3" xfId="18777" xr:uid="{00000000-0005-0000-0000-00005C490000}"/>
    <cellStyle name="40% - Accent3 84 2" xfId="18778" xr:uid="{00000000-0005-0000-0000-00005D490000}"/>
    <cellStyle name="40% - Accent3 84 2 2" xfId="18779" xr:uid="{00000000-0005-0000-0000-00005E490000}"/>
    <cellStyle name="40% - Accent3 84 2 2 2" xfId="18780" xr:uid="{00000000-0005-0000-0000-00005F490000}"/>
    <cellStyle name="40% - Accent3 84 2 3" xfId="18781" xr:uid="{00000000-0005-0000-0000-000060490000}"/>
    <cellStyle name="40% - Accent3 84 20" xfId="18782" xr:uid="{00000000-0005-0000-0000-000061490000}"/>
    <cellStyle name="40% - Accent3 84 20 2" xfId="18783" xr:uid="{00000000-0005-0000-0000-000062490000}"/>
    <cellStyle name="40% - Accent3 84 20 2 2" xfId="18784" xr:uid="{00000000-0005-0000-0000-000063490000}"/>
    <cellStyle name="40% - Accent3 84 20 3" xfId="18785" xr:uid="{00000000-0005-0000-0000-000064490000}"/>
    <cellStyle name="40% - Accent3 84 21" xfId="18786" xr:uid="{00000000-0005-0000-0000-000065490000}"/>
    <cellStyle name="40% - Accent3 84 21 2" xfId="18787" xr:uid="{00000000-0005-0000-0000-000066490000}"/>
    <cellStyle name="40% - Accent3 84 21 2 2" xfId="18788" xr:uid="{00000000-0005-0000-0000-000067490000}"/>
    <cellStyle name="40% - Accent3 84 21 3" xfId="18789" xr:uid="{00000000-0005-0000-0000-000068490000}"/>
    <cellStyle name="40% - Accent3 84 22" xfId="18790" xr:uid="{00000000-0005-0000-0000-000069490000}"/>
    <cellStyle name="40% - Accent3 84 22 2" xfId="18791" xr:uid="{00000000-0005-0000-0000-00006A490000}"/>
    <cellStyle name="40% - Accent3 84 22 2 2" xfId="18792" xr:uid="{00000000-0005-0000-0000-00006B490000}"/>
    <cellStyle name="40% - Accent3 84 22 3" xfId="18793" xr:uid="{00000000-0005-0000-0000-00006C490000}"/>
    <cellStyle name="40% - Accent3 84 23" xfId="18794" xr:uid="{00000000-0005-0000-0000-00006D490000}"/>
    <cellStyle name="40% - Accent3 84 23 2" xfId="18795" xr:uid="{00000000-0005-0000-0000-00006E490000}"/>
    <cellStyle name="40% - Accent3 84 23 2 2" xfId="18796" xr:uid="{00000000-0005-0000-0000-00006F490000}"/>
    <cellStyle name="40% - Accent3 84 23 3" xfId="18797" xr:uid="{00000000-0005-0000-0000-000070490000}"/>
    <cellStyle name="40% - Accent3 84 24" xfId="18798" xr:uid="{00000000-0005-0000-0000-000071490000}"/>
    <cellStyle name="40% - Accent3 84 24 2" xfId="18799" xr:uid="{00000000-0005-0000-0000-000072490000}"/>
    <cellStyle name="40% - Accent3 84 24 2 2" xfId="18800" xr:uid="{00000000-0005-0000-0000-000073490000}"/>
    <cellStyle name="40% - Accent3 84 24 3" xfId="18801" xr:uid="{00000000-0005-0000-0000-000074490000}"/>
    <cellStyle name="40% - Accent3 84 25" xfId="18802" xr:uid="{00000000-0005-0000-0000-000075490000}"/>
    <cellStyle name="40% - Accent3 84 25 2" xfId="18803" xr:uid="{00000000-0005-0000-0000-000076490000}"/>
    <cellStyle name="40% - Accent3 84 25 2 2" xfId="18804" xr:uid="{00000000-0005-0000-0000-000077490000}"/>
    <cellStyle name="40% - Accent3 84 25 3" xfId="18805" xr:uid="{00000000-0005-0000-0000-000078490000}"/>
    <cellStyle name="40% - Accent3 84 26" xfId="18806" xr:uid="{00000000-0005-0000-0000-000079490000}"/>
    <cellStyle name="40% - Accent3 84 26 2" xfId="18807" xr:uid="{00000000-0005-0000-0000-00007A490000}"/>
    <cellStyle name="40% - Accent3 84 26 2 2" xfId="18808" xr:uid="{00000000-0005-0000-0000-00007B490000}"/>
    <cellStyle name="40% - Accent3 84 26 3" xfId="18809" xr:uid="{00000000-0005-0000-0000-00007C490000}"/>
    <cellStyle name="40% - Accent3 84 27" xfId="18810" xr:uid="{00000000-0005-0000-0000-00007D490000}"/>
    <cellStyle name="40% - Accent3 84 27 2" xfId="18811" xr:uid="{00000000-0005-0000-0000-00007E490000}"/>
    <cellStyle name="40% - Accent3 84 27 2 2" xfId="18812" xr:uid="{00000000-0005-0000-0000-00007F490000}"/>
    <cellStyle name="40% - Accent3 84 27 3" xfId="18813" xr:uid="{00000000-0005-0000-0000-000080490000}"/>
    <cellStyle name="40% - Accent3 84 28" xfId="18814" xr:uid="{00000000-0005-0000-0000-000081490000}"/>
    <cellStyle name="40% - Accent3 84 28 2" xfId="18815" xr:uid="{00000000-0005-0000-0000-000082490000}"/>
    <cellStyle name="40% - Accent3 84 28 2 2" xfId="18816" xr:uid="{00000000-0005-0000-0000-000083490000}"/>
    <cellStyle name="40% - Accent3 84 28 3" xfId="18817" xr:uid="{00000000-0005-0000-0000-000084490000}"/>
    <cellStyle name="40% - Accent3 84 29" xfId="18818" xr:uid="{00000000-0005-0000-0000-000085490000}"/>
    <cellStyle name="40% - Accent3 84 29 2" xfId="18819" xr:uid="{00000000-0005-0000-0000-000086490000}"/>
    <cellStyle name="40% - Accent3 84 29 2 2" xfId="18820" xr:uid="{00000000-0005-0000-0000-000087490000}"/>
    <cellStyle name="40% - Accent3 84 29 3" xfId="18821" xr:uid="{00000000-0005-0000-0000-000088490000}"/>
    <cellStyle name="40% - Accent3 84 3" xfId="18822" xr:uid="{00000000-0005-0000-0000-000089490000}"/>
    <cellStyle name="40% - Accent3 84 3 2" xfId="18823" xr:uid="{00000000-0005-0000-0000-00008A490000}"/>
    <cellStyle name="40% - Accent3 84 3 2 2" xfId="18824" xr:uid="{00000000-0005-0000-0000-00008B490000}"/>
    <cellStyle name="40% - Accent3 84 3 3" xfId="18825" xr:uid="{00000000-0005-0000-0000-00008C490000}"/>
    <cellStyle name="40% - Accent3 84 30" xfId="18826" xr:uid="{00000000-0005-0000-0000-00008D490000}"/>
    <cellStyle name="40% - Accent3 84 30 2" xfId="18827" xr:uid="{00000000-0005-0000-0000-00008E490000}"/>
    <cellStyle name="40% - Accent3 84 30 2 2" xfId="18828" xr:uid="{00000000-0005-0000-0000-00008F490000}"/>
    <cellStyle name="40% - Accent3 84 30 3" xfId="18829" xr:uid="{00000000-0005-0000-0000-000090490000}"/>
    <cellStyle name="40% - Accent3 84 31" xfId="18830" xr:uid="{00000000-0005-0000-0000-000091490000}"/>
    <cellStyle name="40% - Accent3 84 31 2" xfId="18831" xr:uid="{00000000-0005-0000-0000-000092490000}"/>
    <cellStyle name="40% - Accent3 84 31 2 2" xfId="18832" xr:uid="{00000000-0005-0000-0000-000093490000}"/>
    <cellStyle name="40% - Accent3 84 31 3" xfId="18833" xr:uid="{00000000-0005-0000-0000-000094490000}"/>
    <cellStyle name="40% - Accent3 84 32" xfId="18834" xr:uid="{00000000-0005-0000-0000-000095490000}"/>
    <cellStyle name="40% - Accent3 84 32 2" xfId="18835" xr:uid="{00000000-0005-0000-0000-000096490000}"/>
    <cellStyle name="40% - Accent3 84 32 2 2" xfId="18836" xr:uid="{00000000-0005-0000-0000-000097490000}"/>
    <cellStyle name="40% - Accent3 84 32 3" xfId="18837" xr:uid="{00000000-0005-0000-0000-000098490000}"/>
    <cellStyle name="40% - Accent3 84 33" xfId="18838" xr:uid="{00000000-0005-0000-0000-000099490000}"/>
    <cellStyle name="40% - Accent3 84 33 2" xfId="18839" xr:uid="{00000000-0005-0000-0000-00009A490000}"/>
    <cellStyle name="40% - Accent3 84 33 2 2" xfId="18840" xr:uid="{00000000-0005-0000-0000-00009B490000}"/>
    <cellStyle name="40% - Accent3 84 33 3" xfId="18841" xr:uid="{00000000-0005-0000-0000-00009C490000}"/>
    <cellStyle name="40% - Accent3 84 34" xfId="18842" xr:uid="{00000000-0005-0000-0000-00009D490000}"/>
    <cellStyle name="40% - Accent3 84 34 2" xfId="18843" xr:uid="{00000000-0005-0000-0000-00009E490000}"/>
    <cellStyle name="40% - Accent3 84 34 2 2" xfId="18844" xr:uid="{00000000-0005-0000-0000-00009F490000}"/>
    <cellStyle name="40% - Accent3 84 34 3" xfId="18845" xr:uid="{00000000-0005-0000-0000-0000A0490000}"/>
    <cellStyle name="40% - Accent3 84 35" xfId="18846" xr:uid="{00000000-0005-0000-0000-0000A1490000}"/>
    <cellStyle name="40% - Accent3 84 35 2" xfId="18847" xr:uid="{00000000-0005-0000-0000-0000A2490000}"/>
    <cellStyle name="40% - Accent3 84 35 2 2" xfId="18848" xr:uid="{00000000-0005-0000-0000-0000A3490000}"/>
    <cellStyle name="40% - Accent3 84 35 3" xfId="18849" xr:uid="{00000000-0005-0000-0000-0000A4490000}"/>
    <cellStyle name="40% - Accent3 84 36" xfId="18850" xr:uid="{00000000-0005-0000-0000-0000A5490000}"/>
    <cellStyle name="40% - Accent3 84 36 2" xfId="18851" xr:uid="{00000000-0005-0000-0000-0000A6490000}"/>
    <cellStyle name="40% - Accent3 84 36 2 2" xfId="18852" xr:uid="{00000000-0005-0000-0000-0000A7490000}"/>
    <cellStyle name="40% - Accent3 84 36 3" xfId="18853" xr:uid="{00000000-0005-0000-0000-0000A8490000}"/>
    <cellStyle name="40% - Accent3 84 4" xfId="18854" xr:uid="{00000000-0005-0000-0000-0000A9490000}"/>
    <cellStyle name="40% - Accent3 84 4 2" xfId="18855" xr:uid="{00000000-0005-0000-0000-0000AA490000}"/>
    <cellStyle name="40% - Accent3 84 4 2 2" xfId="18856" xr:uid="{00000000-0005-0000-0000-0000AB490000}"/>
    <cellStyle name="40% - Accent3 84 4 3" xfId="18857" xr:uid="{00000000-0005-0000-0000-0000AC490000}"/>
    <cellStyle name="40% - Accent3 84 5" xfId="18858" xr:uid="{00000000-0005-0000-0000-0000AD490000}"/>
    <cellStyle name="40% - Accent3 84 5 2" xfId="18859" xr:uid="{00000000-0005-0000-0000-0000AE490000}"/>
    <cellStyle name="40% - Accent3 84 5 2 2" xfId="18860" xr:uid="{00000000-0005-0000-0000-0000AF490000}"/>
    <cellStyle name="40% - Accent3 84 5 3" xfId="18861" xr:uid="{00000000-0005-0000-0000-0000B0490000}"/>
    <cellStyle name="40% - Accent3 84 6" xfId="18862" xr:uid="{00000000-0005-0000-0000-0000B1490000}"/>
    <cellStyle name="40% - Accent3 84 6 2" xfId="18863" xr:uid="{00000000-0005-0000-0000-0000B2490000}"/>
    <cellStyle name="40% - Accent3 84 6 2 2" xfId="18864" xr:uid="{00000000-0005-0000-0000-0000B3490000}"/>
    <cellStyle name="40% - Accent3 84 6 3" xfId="18865" xr:uid="{00000000-0005-0000-0000-0000B4490000}"/>
    <cellStyle name="40% - Accent3 84 7" xfId="18866" xr:uid="{00000000-0005-0000-0000-0000B5490000}"/>
    <cellStyle name="40% - Accent3 84 7 2" xfId="18867" xr:uid="{00000000-0005-0000-0000-0000B6490000}"/>
    <cellStyle name="40% - Accent3 84 7 2 2" xfId="18868" xr:uid="{00000000-0005-0000-0000-0000B7490000}"/>
    <cellStyle name="40% - Accent3 84 7 3" xfId="18869" xr:uid="{00000000-0005-0000-0000-0000B8490000}"/>
    <cellStyle name="40% - Accent3 84 8" xfId="18870" xr:uid="{00000000-0005-0000-0000-0000B9490000}"/>
    <cellStyle name="40% - Accent3 84 8 2" xfId="18871" xr:uid="{00000000-0005-0000-0000-0000BA490000}"/>
    <cellStyle name="40% - Accent3 84 8 2 2" xfId="18872" xr:uid="{00000000-0005-0000-0000-0000BB490000}"/>
    <cellStyle name="40% - Accent3 84 8 3" xfId="18873" xr:uid="{00000000-0005-0000-0000-0000BC490000}"/>
    <cellStyle name="40% - Accent3 84 9" xfId="18874" xr:uid="{00000000-0005-0000-0000-0000BD490000}"/>
    <cellStyle name="40% - Accent3 84 9 2" xfId="18875" xr:uid="{00000000-0005-0000-0000-0000BE490000}"/>
    <cellStyle name="40% - Accent3 84 9 2 2" xfId="18876" xr:uid="{00000000-0005-0000-0000-0000BF490000}"/>
    <cellStyle name="40% - Accent3 84 9 3" xfId="18877" xr:uid="{00000000-0005-0000-0000-0000C0490000}"/>
    <cellStyle name="40% - Accent3 85" xfId="18878" xr:uid="{00000000-0005-0000-0000-0000C1490000}"/>
    <cellStyle name="40% - Accent3 85 10" xfId="18879" xr:uid="{00000000-0005-0000-0000-0000C2490000}"/>
    <cellStyle name="40% - Accent3 85 10 2" xfId="18880" xr:uid="{00000000-0005-0000-0000-0000C3490000}"/>
    <cellStyle name="40% - Accent3 85 10 2 2" xfId="18881" xr:uid="{00000000-0005-0000-0000-0000C4490000}"/>
    <cellStyle name="40% - Accent3 85 10 3" xfId="18882" xr:uid="{00000000-0005-0000-0000-0000C5490000}"/>
    <cellStyle name="40% - Accent3 85 11" xfId="18883" xr:uid="{00000000-0005-0000-0000-0000C6490000}"/>
    <cellStyle name="40% - Accent3 85 11 2" xfId="18884" xr:uid="{00000000-0005-0000-0000-0000C7490000}"/>
    <cellStyle name="40% - Accent3 85 11 2 2" xfId="18885" xr:uid="{00000000-0005-0000-0000-0000C8490000}"/>
    <cellStyle name="40% - Accent3 85 11 3" xfId="18886" xr:uid="{00000000-0005-0000-0000-0000C9490000}"/>
    <cellStyle name="40% - Accent3 85 12" xfId="18887" xr:uid="{00000000-0005-0000-0000-0000CA490000}"/>
    <cellStyle name="40% - Accent3 85 12 2" xfId="18888" xr:uid="{00000000-0005-0000-0000-0000CB490000}"/>
    <cellStyle name="40% - Accent3 85 12 2 2" xfId="18889" xr:uid="{00000000-0005-0000-0000-0000CC490000}"/>
    <cellStyle name="40% - Accent3 85 12 3" xfId="18890" xr:uid="{00000000-0005-0000-0000-0000CD490000}"/>
    <cellStyle name="40% - Accent3 85 13" xfId="18891" xr:uid="{00000000-0005-0000-0000-0000CE490000}"/>
    <cellStyle name="40% - Accent3 85 13 2" xfId="18892" xr:uid="{00000000-0005-0000-0000-0000CF490000}"/>
    <cellStyle name="40% - Accent3 85 13 2 2" xfId="18893" xr:uid="{00000000-0005-0000-0000-0000D0490000}"/>
    <cellStyle name="40% - Accent3 85 13 3" xfId="18894" xr:uid="{00000000-0005-0000-0000-0000D1490000}"/>
    <cellStyle name="40% - Accent3 85 14" xfId="18895" xr:uid="{00000000-0005-0000-0000-0000D2490000}"/>
    <cellStyle name="40% - Accent3 85 14 2" xfId="18896" xr:uid="{00000000-0005-0000-0000-0000D3490000}"/>
    <cellStyle name="40% - Accent3 85 14 2 2" xfId="18897" xr:uid="{00000000-0005-0000-0000-0000D4490000}"/>
    <cellStyle name="40% - Accent3 85 14 3" xfId="18898" xr:uid="{00000000-0005-0000-0000-0000D5490000}"/>
    <cellStyle name="40% - Accent3 85 15" xfId="18899" xr:uid="{00000000-0005-0000-0000-0000D6490000}"/>
    <cellStyle name="40% - Accent3 85 15 2" xfId="18900" xr:uid="{00000000-0005-0000-0000-0000D7490000}"/>
    <cellStyle name="40% - Accent3 85 15 2 2" xfId="18901" xr:uid="{00000000-0005-0000-0000-0000D8490000}"/>
    <cellStyle name="40% - Accent3 85 15 3" xfId="18902" xr:uid="{00000000-0005-0000-0000-0000D9490000}"/>
    <cellStyle name="40% - Accent3 85 16" xfId="18903" xr:uid="{00000000-0005-0000-0000-0000DA490000}"/>
    <cellStyle name="40% - Accent3 85 16 2" xfId="18904" xr:uid="{00000000-0005-0000-0000-0000DB490000}"/>
    <cellStyle name="40% - Accent3 85 16 2 2" xfId="18905" xr:uid="{00000000-0005-0000-0000-0000DC490000}"/>
    <cellStyle name="40% - Accent3 85 16 3" xfId="18906" xr:uid="{00000000-0005-0000-0000-0000DD490000}"/>
    <cellStyle name="40% - Accent3 85 17" xfId="18907" xr:uid="{00000000-0005-0000-0000-0000DE490000}"/>
    <cellStyle name="40% - Accent3 85 17 2" xfId="18908" xr:uid="{00000000-0005-0000-0000-0000DF490000}"/>
    <cellStyle name="40% - Accent3 85 17 2 2" xfId="18909" xr:uid="{00000000-0005-0000-0000-0000E0490000}"/>
    <cellStyle name="40% - Accent3 85 17 3" xfId="18910" xr:uid="{00000000-0005-0000-0000-0000E1490000}"/>
    <cellStyle name="40% - Accent3 85 18" xfId="18911" xr:uid="{00000000-0005-0000-0000-0000E2490000}"/>
    <cellStyle name="40% - Accent3 85 18 2" xfId="18912" xr:uid="{00000000-0005-0000-0000-0000E3490000}"/>
    <cellStyle name="40% - Accent3 85 18 2 2" xfId="18913" xr:uid="{00000000-0005-0000-0000-0000E4490000}"/>
    <cellStyle name="40% - Accent3 85 18 3" xfId="18914" xr:uid="{00000000-0005-0000-0000-0000E5490000}"/>
    <cellStyle name="40% - Accent3 85 19" xfId="18915" xr:uid="{00000000-0005-0000-0000-0000E6490000}"/>
    <cellStyle name="40% - Accent3 85 19 2" xfId="18916" xr:uid="{00000000-0005-0000-0000-0000E7490000}"/>
    <cellStyle name="40% - Accent3 85 19 2 2" xfId="18917" xr:uid="{00000000-0005-0000-0000-0000E8490000}"/>
    <cellStyle name="40% - Accent3 85 19 3" xfId="18918" xr:uid="{00000000-0005-0000-0000-0000E9490000}"/>
    <cellStyle name="40% - Accent3 85 2" xfId="18919" xr:uid="{00000000-0005-0000-0000-0000EA490000}"/>
    <cellStyle name="40% - Accent3 85 2 2" xfId="18920" xr:uid="{00000000-0005-0000-0000-0000EB490000}"/>
    <cellStyle name="40% - Accent3 85 2 2 2" xfId="18921" xr:uid="{00000000-0005-0000-0000-0000EC490000}"/>
    <cellStyle name="40% - Accent3 85 2 3" xfId="18922" xr:uid="{00000000-0005-0000-0000-0000ED490000}"/>
    <cellStyle name="40% - Accent3 85 20" xfId="18923" xr:uid="{00000000-0005-0000-0000-0000EE490000}"/>
    <cellStyle name="40% - Accent3 85 20 2" xfId="18924" xr:uid="{00000000-0005-0000-0000-0000EF490000}"/>
    <cellStyle name="40% - Accent3 85 20 2 2" xfId="18925" xr:uid="{00000000-0005-0000-0000-0000F0490000}"/>
    <cellStyle name="40% - Accent3 85 20 3" xfId="18926" xr:uid="{00000000-0005-0000-0000-0000F1490000}"/>
    <cellStyle name="40% - Accent3 85 21" xfId="18927" xr:uid="{00000000-0005-0000-0000-0000F2490000}"/>
    <cellStyle name="40% - Accent3 85 21 2" xfId="18928" xr:uid="{00000000-0005-0000-0000-0000F3490000}"/>
    <cellStyle name="40% - Accent3 85 21 2 2" xfId="18929" xr:uid="{00000000-0005-0000-0000-0000F4490000}"/>
    <cellStyle name="40% - Accent3 85 21 3" xfId="18930" xr:uid="{00000000-0005-0000-0000-0000F5490000}"/>
    <cellStyle name="40% - Accent3 85 22" xfId="18931" xr:uid="{00000000-0005-0000-0000-0000F6490000}"/>
    <cellStyle name="40% - Accent3 85 22 2" xfId="18932" xr:uid="{00000000-0005-0000-0000-0000F7490000}"/>
    <cellStyle name="40% - Accent3 85 22 2 2" xfId="18933" xr:uid="{00000000-0005-0000-0000-0000F8490000}"/>
    <cellStyle name="40% - Accent3 85 22 3" xfId="18934" xr:uid="{00000000-0005-0000-0000-0000F9490000}"/>
    <cellStyle name="40% - Accent3 85 23" xfId="18935" xr:uid="{00000000-0005-0000-0000-0000FA490000}"/>
    <cellStyle name="40% - Accent3 85 23 2" xfId="18936" xr:uid="{00000000-0005-0000-0000-0000FB490000}"/>
    <cellStyle name="40% - Accent3 85 23 2 2" xfId="18937" xr:uid="{00000000-0005-0000-0000-0000FC490000}"/>
    <cellStyle name="40% - Accent3 85 23 3" xfId="18938" xr:uid="{00000000-0005-0000-0000-0000FD490000}"/>
    <cellStyle name="40% - Accent3 85 24" xfId="18939" xr:uid="{00000000-0005-0000-0000-0000FE490000}"/>
    <cellStyle name="40% - Accent3 85 24 2" xfId="18940" xr:uid="{00000000-0005-0000-0000-0000FF490000}"/>
    <cellStyle name="40% - Accent3 85 24 2 2" xfId="18941" xr:uid="{00000000-0005-0000-0000-0000004A0000}"/>
    <cellStyle name="40% - Accent3 85 24 3" xfId="18942" xr:uid="{00000000-0005-0000-0000-0000014A0000}"/>
    <cellStyle name="40% - Accent3 85 25" xfId="18943" xr:uid="{00000000-0005-0000-0000-0000024A0000}"/>
    <cellStyle name="40% - Accent3 85 25 2" xfId="18944" xr:uid="{00000000-0005-0000-0000-0000034A0000}"/>
    <cellStyle name="40% - Accent3 85 25 2 2" xfId="18945" xr:uid="{00000000-0005-0000-0000-0000044A0000}"/>
    <cellStyle name="40% - Accent3 85 25 3" xfId="18946" xr:uid="{00000000-0005-0000-0000-0000054A0000}"/>
    <cellStyle name="40% - Accent3 85 26" xfId="18947" xr:uid="{00000000-0005-0000-0000-0000064A0000}"/>
    <cellStyle name="40% - Accent3 85 26 2" xfId="18948" xr:uid="{00000000-0005-0000-0000-0000074A0000}"/>
    <cellStyle name="40% - Accent3 85 26 2 2" xfId="18949" xr:uid="{00000000-0005-0000-0000-0000084A0000}"/>
    <cellStyle name="40% - Accent3 85 26 3" xfId="18950" xr:uid="{00000000-0005-0000-0000-0000094A0000}"/>
    <cellStyle name="40% - Accent3 85 27" xfId="18951" xr:uid="{00000000-0005-0000-0000-00000A4A0000}"/>
    <cellStyle name="40% - Accent3 85 27 2" xfId="18952" xr:uid="{00000000-0005-0000-0000-00000B4A0000}"/>
    <cellStyle name="40% - Accent3 85 27 2 2" xfId="18953" xr:uid="{00000000-0005-0000-0000-00000C4A0000}"/>
    <cellStyle name="40% - Accent3 85 27 3" xfId="18954" xr:uid="{00000000-0005-0000-0000-00000D4A0000}"/>
    <cellStyle name="40% - Accent3 85 28" xfId="18955" xr:uid="{00000000-0005-0000-0000-00000E4A0000}"/>
    <cellStyle name="40% - Accent3 85 28 2" xfId="18956" xr:uid="{00000000-0005-0000-0000-00000F4A0000}"/>
    <cellStyle name="40% - Accent3 85 28 2 2" xfId="18957" xr:uid="{00000000-0005-0000-0000-0000104A0000}"/>
    <cellStyle name="40% - Accent3 85 28 3" xfId="18958" xr:uid="{00000000-0005-0000-0000-0000114A0000}"/>
    <cellStyle name="40% - Accent3 85 29" xfId="18959" xr:uid="{00000000-0005-0000-0000-0000124A0000}"/>
    <cellStyle name="40% - Accent3 85 29 2" xfId="18960" xr:uid="{00000000-0005-0000-0000-0000134A0000}"/>
    <cellStyle name="40% - Accent3 85 29 2 2" xfId="18961" xr:uid="{00000000-0005-0000-0000-0000144A0000}"/>
    <cellStyle name="40% - Accent3 85 29 3" xfId="18962" xr:uid="{00000000-0005-0000-0000-0000154A0000}"/>
    <cellStyle name="40% - Accent3 85 3" xfId="18963" xr:uid="{00000000-0005-0000-0000-0000164A0000}"/>
    <cellStyle name="40% - Accent3 85 3 2" xfId="18964" xr:uid="{00000000-0005-0000-0000-0000174A0000}"/>
    <cellStyle name="40% - Accent3 85 3 2 2" xfId="18965" xr:uid="{00000000-0005-0000-0000-0000184A0000}"/>
    <cellStyle name="40% - Accent3 85 3 3" xfId="18966" xr:uid="{00000000-0005-0000-0000-0000194A0000}"/>
    <cellStyle name="40% - Accent3 85 30" xfId="18967" xr:uid="{00000000-0005-0000-0000-00001A4A0000}"/>
    <cellStyle name="40% - Accent3 85 30 2" xfId="18968" xr:uid="{00000000-0005-0000-0000-00001B4A0000}"/>
    <cellStyle name="40% - Accent3 85 30 2 2" xfId="18969" xr:uid="{00000000-0005-0000-0000-00001C4A0000}"/>
    <cellStyle name="40% - Accent3 85 30 3" xfId="18970" xr:uid="{00000000-0005-0000-0000-00001D4A0000}"/>
    <cellStyle name="40% - Accent3 85 31" xfId="18971" xr:uid="{00000000-0005-0000-0000-00001E4A0000}"/>
    <cellStyle name="40% - Accent3 85 31 2" xfId="18972" xr:uid="{00000000-0005-0000-0000-00001F4A0000}"/>
    <cellStyle name="40% - Accent3 85 31 2 2" xfId="18973" xr:uid="{00000000-0005-0000-0000-0000204A0000}"/>
    <cellStyle name="40% - Accent3 85 31 3" xfId="18974" xr:uid="{00000000-0005-0000-0000-0000214A0000}"/>
    <cellStyle name="40% - Accent3 85 32" xfId="18975" xr:uid="{00000000-0005-0000-0000-0000224A0000}"/>
    <cellStyle name="40% - Accent3 85 32 2" xfId="18976" xr:uid="{00000000-0005-0000-0000-0000234A0000}"/>
    <cellStyle name="40% - Accent3 85 32 2 2" xfId="18977" xr:uid="{00000000-0005-0000-0000-0000244A0000}"/>
    <cellStyle name="40% - Accent3 85 32 3" xfId="18978" xr:uid="{00000000-0005-0000-0000-0000254A0000}"/>
    <cellStyle name="40% - Accent3 85 33" xfId="18979" xr:uid="{00000000-0005-0000-0000-0000264A0000}"/>
    <cellStyle name="40% - Accent3 85 33 2" xfId="18980" xr:uid="{00000000-0005-0000-0000-0000274A0000}"/>
    <cellStyle name="40% - Accent3 85 33 2 2" xfId="18981" xr:uid="{00000000-0005-0000-0000-0000284A0000}"/>
    <cellStyle name="40% - Accent3 85 33 3" xfId="18982" xr:uid="{00000000-0005-0000-0000-0000294A0000}"/>
    <cellStyle name="40% - Accent3 85 34" xfId="18983" xr:uid="{00000000-0005-0000-0000-00002A4A0000}"/>
    <cellStyle name="40% - Accent3 85 34 2" xfId="18984" xr:uid="{00000000-0005-0000-0000-00002B4A0000}"/>
    <cellStyle name="40% - Accent3 85 34 2 2" xfId="18985" xr:uid="{00000000-0005-0000-0000-00002C4A0000}"/>
    <cellStyle name="40% - Accent3 85 34 3" xfId="18986" xr:uid="{00000000-0005-0000-0000-00002D4A0000}"/>
    <cellStyle name="40% - Accent3 85 35" xfId="18987" xr:uid="{00000000-0005-0000-0000-00002E4A0000}"/>
    <cellStyle name="40% - Accent3 85 35 2" xfId="18988" xr:uid="{00000000-0005-0000-0000-00002F4A0000}"/>
    <cellStyle name="40% - Accent3 85 35 2 2" xfId="18989" xr:uid="{00000000-0005-0000-0000-0000304A0000}"/>
    <cellStyle name="40% - Accent3 85 35 3" xfId="18990" xr:uid="{00000000-0005-0000-0000-0000314A0000}"/>
    <cellStyle name="40% - Accent3 85 36" xfId="18991" xr:uid="{00000000-0005-0000-0000-0000324A0000}"/>
    <cellStyle name="40% - Accent3 85 36 2" xfId="18992" xr:uid="{00000000-0005-0000-0000-0000334A0000}"/>
    <cellStyle name="40% - Accent3 85 36 2 2" xfId="18993" xr:uid="{00000000-0005-0000-0000-0000344A0000}"/>
    <cellStyle name="40% - Accent3 85 36 3" xfId="18994" xr:uid="{00000000-0005-0000-0000-0000354A0000}"/>
    <cellStyle name="40% - Accent3 85 4" xfId="18995" xr:uid="{00000000-0005-0000-0000-0000364A0000}"/>
    <cellStyle name="40% - Accent3 85 4 2" xfId="18996" xr:uid="{00000000-0005-0000-0000-0000374A0000}"/>
    <cellStyle name="40% - Accent3 85 4 2 2" xfId="18997" xr:uid="{00000000-0005-0000-0000-0000384A0000}"/>
    <cellStyle name="40% - Accent3 85 4 3" xfId="18998" xr:uid="{00000000-0005-0000-0000-0000394A0000}"/>
    <cellStyle name="40% - Accent3 85 5" xfId="18999" xr:uid="{00000000-0005-0000-0000-00003A4A0000}"/>
    <cellStyle name="40% - Accent3 85 5 2" xfId="19000" xr:uid="{00000000-0005-0000-0000-00003B4A0000}"/>
    <cellStyle name="40% - Accent3 85 5 2 2" xfId="19001" xr:uid="{00000000-0005-0000-0000-00003C4A0000}"/>
    <cellStyle name="40% - Accent3 85 5 3" xfId="19002" xr:uid="{00000000-0005-0000-0000-00003D4A0000}"/>
    <cellStyle name="40% - Accent3 85 6" xfId="19003" xr:uid="{00000000-0005-0000-0000-00003E4A0000}"/>
    <cellStyle name="40% - Accent3 85 6 2" xfId="19004" xr:uid="{00000000-0005-0000-0000-00003F4A0000}"/>
    <cellStyle name="40% - Accent3 85 6 2 2" xfId="19005" xr:uid="{00000000-0005-0000-0000-0000404A0000}"/>
    <cellStyle name="40% - Accent3 85 6 3" xfId="19006" xr:uid="{00000000-0005-0000-0000-0000414A0000}"/>
    <cellStyle name="40% - Accent3 85 7" xfId="19007" xr:uid="{00000000-0005-0000-0000-0000424A0000}"/>
    <cellStyle name="40% - Accent3 85 7 2" xfId="19008" xr:uid="{00000000-0005-0000-0000-0000434A0000}"/>
    <cellStyle name="40% - Accent3 85 7 2 2" xfId="19009" xr:uid="{00000000-0005-0000-0000-0000444A0000}"/>
    <cellStyle name="40% - Accent3 85 7 3" xfId="19010" xr:uid="{00000000-0005-0000-0000-0000454A0000}"/>
    <cellStyle name="40% - Accent3 85 8" xfId="19011" xr:uid="{00000000-0005-0000-0000-0000464A0000}"/>
    <cellStyle name="40% - Accent3 85 8 2" xfId="19012" xr:uid="{00000000-0005-0000-0000-0000474A0000}"/>
    <cellStyle name="40% - Accent3 85 8 2 2" xfId="19013" xr:uid="{00000000-0005-0000-0000-0000484A0000}"/>
    <cellStyle name="40% - Accent3 85 8 3" xfId="19014" xr:uid="{00000000-0005-0000-0000-0000494A0000}"/>
    <cellStyle name="40% - Accent3 85 9" xfId="19015" xr:uid="{00000000-0005-0000-0000-00004A4A0000}"/>
    <cellStyle name="40% - Accent3 85 9 2" xfId="19016" xr:uid="{00000000-0005-0000-0000-00004B4A0000}"/>
    <cellStyle name="40% - Accent3 85 9 2 2" xfId="19017" xr:uid="{00000000-0005-0000-0000-00004C4A0000}"/>
    <cellStyle name="40% - Accent3 85 9 3" xfId="19018" xr:uid="{00000000-0005-0000-0000-00004D4A0000}"/>
    <cellStyle name="40% - Accent3 86" xfId="19019" xr:uid="{00000000-0005-0000-0000-00004E4A0000}"/>
    <cellStyle name="40% - Accent3 86 10" xfId="19020" xr:uid="{00000000-0005-0000-0000-00004F4A0000}"/>
    <cellStyle name="40% - Accent3 86 10 2" xfId="19021" xr:uid="{00000000-0005-0000-0000-0000504A0000}"/>
    <cellStyle name="40% - Accent3 86 10 2 2" xfId="19022" xr:uid="{00000000-0005-0000-0000-0000514A0000}"/>
    <cellStyle name="40% - Accent3 86 10 3" xfId="19023" xr:uid="{00000000-0005-0000-0000-0000524A0000}"/>
    <cellStyle name="40% - Accent3 86 11" xfId="19024" xr:uid="{00000000-0005-0000-0000-0000534A0000}"/>
    <cellStyle name="40% - Accent3 86 11 2" xfId="19025" xr:uid="{00000000-0005-0000-0000-0000544A0000}"/>
    <cellStyle name="40% - Accent3 86 11 2 2" xfId="19026" xr:uid="{00000000-0005-0000-0000-0000554A0000}"/>
    <cellStyle name="40% - Accent3 86 11 3" xfId="19027" xr:uid="{00000000-0005-0000-0000-0000564A0000}"/>
    <cellStyle name="40% - Accent3 86 12" xfId="19028" xr:uid="{00000000-0005-0000-0000-0000574A0000}"/>
    <cellStyle name="40% - Accent3 86 12 2" xfId="19029" xr:uid="{00000000-0005-0000-0000-0000584A0000}"/>
    <cellStyle name="40% - Accent3 86 12 2 2" xfId="19030" xr:uid="{00000000-0005-0000-0000-0000594A0000}"/>
    <cellStyle name="40% - Accent3 86 12 3" xfId="19031" xr:uid="{00000000-0005-0000-0000-00005A4A0000}"/>
    <cellStyle name="40% - Accent3 86 13" xfId="19032" xr:uid="{00000000-0005-0000-0000-00005B4A0000}"/>
    <cellStyle name="40% - Accent3 86 13 2" xfId="19033" xr:uid="{00000000-0005-0000-0000-00005C4A0000}"/>
    <cellStyle name="40% - Accent3 86 13 2 2" xfId="19034" xr:uid="{00000000-0005-0000-0000-00005D4A0000}"/>
    <cellStyle name="40% - Accent3 86 13 3" xfId="19035" xr:uid="{00000000-0005-0000-0000-00005E4A0000}"/>
    <cellStyle name="40% - Accent3 86 14" xfId="19036" xr:uid="{00000000-0005-0000-0000-00005F4A0000}"/>
    <cellStyle name="40% - Accent3 86 14 2" xfId="19037" xr:uid="{00000000-0005-0000-0000-0000604A0000}"/>
    <cellStyle name="40% - Accent3 86 14 2 2" xfId="19038" xr:uid="{00000000-0005-0000-0000-0000614A0000}"/>
    <cellStyle name="40% - Accent3 86 14 3" xfId="19039" xr:uid="{00000000-0005-0000-0000-0000624A0000}"/>
    <cellStyle name="40% - Accent3 86 15" xfId="19040" xr:uid="{00000000-0005-0000-0000-0000634A0000}"/>
    <cellStyle name="40% - Accent3 86 15 2" xfId="19041" xr:uid="{00000000-0005-0000-0000-0000644A0000}"/>
    <cellStyle name="40% - Accent3 86 15 2 2" xfId="19042" xr:uid="{00000000-0005-0000-0000-0000654A0000}"/>
    <cellStyle name="40% - Accent3 86 15 3" xfId="19043" xr:uid="{00000000-0005-0000-0000-0000664A0000}"/>
    <cellStyle name="40% - Accent3 86 16" xfId="19044" xr:uid="{00000000-0005-0000-0000-0000674A0000}"/>
    <cellStyle name="40% - Accent3 86 16 2" xfId="19045" xr:uid="{00000000-0005-0000-0000-0000684A0000}"/>
    <cellStyle name="40% - Accent3 86 16 2 2" xfId="19046" xr:uid="{00000000-0005-0000-0000-0000694A0000}"/>
    <cellStyle name="40% - Accent3 86 16 3" xfId="19047" xr:uid="{00000000-0005-0000-0000-00006A4A0000}"/>
    <cellStyle name="40% - Accent3 86 17" xfId="19048" xr:uid="{00000000-0005-0000-0000-00006B4A0000}"/>
    <cellStyle name="40% - Accent3 86 17 2" xfId="19049" xr:uid="{00000000-0005-0000-0000-00006C4A0000}"/>
    <cellStyle name="40% - Accent3 86 17 2 2" xfId="19050" xr:uid="{00000000-0005-0000-0000-00006D4A0000}"/>
    <cellStyle name="40% - Accent3 86 17 3" xfId="19051" xr:uid="{00000000-0005-0000-0000-00006E4A0000}"/>
    <cellStyle name="40% - Accent3 86 18" xfId="19052" xr:uid="{00000000-0005-0000-0000-00006F4A0000}"/>
    <cellStyle name="40% - Accent3 86 18 2" xfId="19053" xr:uid="{00000000-0005-0000-0000-0000704A0000}"/>
    <cellStyle name="40% - Accent3 86 18 2 2" xfId="19054" xr:uid="{00000000-0005-0000-0000-0000714A0000}"/>
    <cellStyle name="40% - Accent3 86 18 3" xfId="19055" xr:uid="{00000000-0005-0000-0000-0000724A0000}"/>
    <cellStyle name="40% - Accent3 86 19" xfId="19056" xr:uid="{00000000-0005-0000-0000-0000734A0000}"/>
    <cellStyle name="40% - Accent3 86 19 2" xfId="19057" xr:uid="{00000000-0005-0000-0000-0000744A0000}"/>
    <cellStyle name="40% - Accent3 86 19 2 2" xfId="19058" xr:uid="{00000000-0005-0000-0000-0000754A0000}"/>
    <cellStyle name="40% - Accent3 86 19 3" xfId="19059" xr:uid="{00000000-0005-0000-0000-0000764A0000}"/>
    <cellStyle name="40% - Accent3 86 2" xfId="19060" xr:uid="{00000000-0005-0000-0000-0000774A0000}"/>
    <cellStyle name="40% - Accent3 86 2 2" xfId="19061" xr:uid="{00000000-0005-0000-0000-0000784A0000}"/>
    <cellStyle name="40% - Accent3 86 2 2 2" xfId="19062" xr:uid="{00000000-0005-0000-0000-0000794A0000}"/>
    <cellStyle name="40% - Accent3 86 2 3" xfId="19063" xr:uid="{00000000-0005-0000-0000-00007A4A0000}"/>
    <cellStyle name="40% - Accent3 86 20" xfId="19064" xr:uid="{00000000-0005-0000-0000-00007B4A0000}"/>
    <cellStyle name="40% - Accent3 86 20 2" xfId="19065" xr:uid="{00000000-0005-0000-0000-00007C4A0000}"/>
    <cellStyle name="40% - Accent3 86 20 2 2" xfId="19066" xr:uid="{00000000-0005-0000-0000-00007D4A0000}"/>
    <cellStyle name="40% - Accent3 86 20 3" xfId="19067" xr:uid="{00000000-0005-0000-0000-00007E4A0000}"/>
    <cellStyle name="40% - Accent3 86 21" xfId="19068" xr:uid="{00000000-0005-0000-0000-00007F4A0000}"/>
    <cellStyle name="40% - Accent3 86 21 2" xfId="19069" xr:uid="{00000000-0005-0000-0000-0000804A0000}"/>
    <cellStyle name="40% - Accent3 86 21 2 2" xfId="19070" xr:uid="{00000000-0005-0000-0000-0000814A0000}"/>
    <cellStyle name="40% - Accent3 86 21 3" xfId="19071" xr:uid="{00000000-0005-0000-0000-0000824A0000}"/>
    <cellStyle name="40% - Accent3 86 22" xfId="19072" xr:uid="{00000000-0005-0000-0000-0000834A0000}"/>
    <cellStyle name="40% - Accent3 86 22 2" xfId="19073" xr:uid="{00000000-0005-0000-0000-0000844A0000}"/>
    <cellStyle name="40% - Accent3 86 22 2 2" xfId="19074" xr:uid="{00000000-0005-0000-0000-0000854A0000}"/>
    <cellStyle name="40% - Accent3 86 22 3" xfId="19075" xr:uid="{00000000-0005-0000-0000-0000864A0000}"/>
    <cellStyle name="40% - Accent3 86 23" xfId="19076" xr:uid="{00000000-0005-0000-0000-0000874A0000}"/>
    <cellStyle name="40% - Accent3 86 23 2" xfId="19077" xr:uid="{00000000-0005-0000-0000-0000884A0000}"/>
    <cellStyle name="40% - Accent3 86 23 2 2" xfId="19078" xr:uid="{00000000-0005-0000-0000-0000894A0000}"/>
    <cellStyle name="40% - Accent3 86 23 3" xfId="19079" xr:uid="{00000000-0005-0000-0000-00008A4A0000}"/>
    <cellStyle name="40% - Accent3 86 24" xfId="19080" xr:uid="{00000000-0005-0000-0000-00008B4A0000}"/>
    <cellStyle name="40% - Accent3 86 24 2" xfId="19081" xr:uid="{00000000-0005-0000-0000-00008C4A0000}"/>
    <cellStyle name="40% - Accent3 86 24 2 2" xfId="19082" xr:uid="{00000000-0005-0000-0000-00008D4A0000}"/>
    <cellStyle name="40% - Accent3 86 24 3" xfId="19083" xr:uid="{00000000-0005-0000-0000-00008E4A0000}"/>
    <cellStyle name="40% - Accent3 86 25" xfId="19084" xr:uid="{00000000-0005-0000-0000-00008F4A0000}"/>
    <cellStyle name="40% - Accent3 86 25 2" xfId="19085" xr:uid="{00000000-0005-0000-0000-0000904A0000}"/>
    <cellStyle name="40% - Accent3 86 25 2 2" xfId="19086" xr:uid="{00000000-0005-0000-0000-0000914A0000}"/>
    <cellStyle name="40% - Accent3 86 25 3" xfId="19087" xr:uid="{00000000-0005-0000-0000-0000924A0000}"/>
    <cellStyle name="40% - Accent3 86 26" xfId="19088" xr:uid="{00000000-0005-0000-0000-0000934A0000}"/>
    <cellStyle name="40% - Accent3 86 26 2" xfId="19089" xr:uid="{00000000-0005-0000-0000-0000944A0000}"/>
    <cellStyle name="40% - Accent3 86 26 2 2" xfId="19090" xr:uid="{00000000-0005-0000-0000-0000954A0000}"/>
    <cellStyle name="40% - Accent3 86 26 3" xfId="19091" xr:uid="{00000000-0005-0000-0000-0000964A0000}"/>
    <cellStyle name="40% - Accent3 86 27" xfId="19092" xr:uid="{00000000-0005-0000-0000-0000974A0000}"/>
    <cellStyle name="40% - Accent3 86 27 2" xfId="19093" xr:uid="{00000000-0005-0000-0000-0000984A0000}"/>
    <cellStyle name="40% - Accent3 86 27 2 2" xfId="19094" xr:uid="{00000000-0005-0000-0000-0000994A0000}"/>
    <cellStyle name="40% - Accent3 86 27 3" xfId="19095" xr:uid="{00000000-0005-0000-0000-00009A4A0000}"/>
    <cellStyle name="40% - Accent3 86 28" xfId="19096" xr:uid="{00000000-0005-0000-0000-00009B4A0000}"/>
    <cellStyle name="40% - Accent3 86 28 2" xfId="19097" xr:uid="{00000000-0005-0000-0000-00009C4A0000}"/>
    <cellStyle name="40% - Accent3 86 28 2 2" xfId="19098" xr:uid="{00000000-0005-0000-0000-00009D4A0000}"/>
    <cellStyle name="40% - Accent3 86 28 3" xfId="19099" xr:uid="{00000000-0005-0000-0000-00009E4A0000}"/>
    <cellStyle name="40% - Accent3 86 29" xfId="19100" xr:uid="{00000000-0005-0000-0000-00009F4A0000}"/>
    <cellStyle name="40% - Accent3 86 29 2" xfId="19101" xr:uid="{00000000-0005-0000-0000-0000A04A0000}"/>
    <cellStyle name="40% - Accent3 86 29 2 2" xfId="19102" xr:uid="{00000000-0005-0000-0000-0000A14A0000}"/>
    <cellStyle name="40% - Accent3 86 29 3" xfId="19103" xr:uid="{00000000-0005-0000-0000-0000A24A0000}"/>
    <cellStyle name="40% - Accent3 86 3" xfId="19104" xr:uid="{00000000-0005-0000-0000-0000A34A0000}"/>
    <cellStyle name="40% - Accent3 86 3 2" xfId="19105" xr:uid="{00000000-0005-0000-0000-0000A44A0000}"/>
    <cellStyle name="40% - Accent3 86 3 2 2" xfId="19106" xr:uid="{00000000-0005-0000-0000-0000A54A0000}"/>
    <cellStyle name="40% - Accent3 86 3 3" xfId="19107" xr:uid="{00000000-0005-0000-0000-0000A64A0000}"/>
    <cellStyle name="40% - Accent3 86 30" xfId="19108" xr:uid="{00000000-0005-0000-0000-0000A74A0000}"/>
    <cellStyle name="40% - Accent3 86 30 2" xfId="19109" xr:uid="{00000000-0005-0000-0000-0000A84A0000}"/>
    <cellStyle name="40% - Accent3 86 30 2 2" xfId="19110" xr:uid="{00000000-0005-0000-0000-0000A94A0000}"/>
    <cellStyle name="40% - Accent3 86 30 3" xfId="19111" xr:uid="{00000000-0005-0000-0000-0000AA4A0000}"/>
    <cellStyle name="40% - Accent3 86 31" xfId="19112" xr:uid="{00000000-0005-0000-0000-0000AB4A0000}"/>
    <cellStyle name="40% - Accent3 86 31 2" xfId="19113" xr:uid="{00000000-0005-0000-0000-0000AC4A0000}"/>
    <cellStyle name="40% - Accent3 86 31 2 2" xfId="19114" xr:uid="{00000000-0005-0000-0000-0000AD4A0000}"/>
    <cellStyle name="40% - Accent3 86 31 3" xfId="19115" xr:uid="{00000000-0005-0000-0000-0000AE4A0000}"/>
    <cellStyle name="40% - Accent3 86 32" xfId="19116" xr:uid="{00000000-0005-0000-0000-0000AF4A0000}"/>
    <cellStyle name="40% - Accent3 86 32 2" xfId="19117" xr:uid="{00000000-0005-0000-0000-0000B04A0000}"/>
    <cellStyle name="40% - Accent3 86 32 2 2" xfId="19118" xr:uid="{00000000-0005-0000-0000-0000B14A0000}"/>
    <cellStyle name="40% - Accent3 86 32 3" xfId="19119" xr:uid="{00000000-0005-0000-0000-0000B24A0000}"/>
    <cellStyle name="40% - Accent3 86 33" xfId="19120" xr:uid="{00000000-0005-0000-0000-0000B34A0000}"/>
    <cellStyle name="40% - Accent3 86 33 2" xfId="19121" xr:uid="{00000000-0005-0000-0000-0000B44A0000}"/>
    <cellStyle name="40% - Accent3 86 33 2 2" xfId="19122" xr:uid="{00000000-0005-0000-0000-0000B54A0000}"/>
    <cellStyle name="40% - Accent3 86 33 3" xfId="19123" xr:uid="{00000000-0005-0000-0000-0000B64A0000}"/>
    <cellStyle name="40% - Accent3 86 34" xfId="19124" xr:uid="{00000000-0005-0000-0000-0000B74A0000}"/>
    <cellStyle name="40% - Accent3 86 34 2" xfId="19125" xr:uid="{00000000-0005-0000-0000-0000B84A0000}"/>
    <cellStyle name="40% - Accent3 86 34 2 2" xfId="19126" xr:uid="{00000000-0005-0000-0000-0000B94A0000}"/>
    <cellStyle name="40% - Accent3 86 34 3" xfId="19127" xr:uid="{00000000-0005-0000-0000-0000BA4A0000}"/>
    <cellStyle name="40% - Accent3 86 35" xfId="19128" xr:uid="{00000000-0005-0000-0000-0000BB4A0000}"/>
    <cellStyle name="40% - Accent3 86 35 2" xfId="19129" xr:uid="{00000000-0005-0000-0000-0000BC4A0000}"/>
    <cellStyle name="40% - Accent3 86 35 2 2" xfId="19130" xr:uid="{00000000-0005-0000-0000-0000BD4A0000}"/>
    <cellStyle name="40% - Accent3 86 35 3" xfId="19131" xr:uid="{00000000-0005-0000-0000-0000BE4A0000}"/>
    <cellStyle name="40% - Accent3 86 36" xfId="19132" xr:uid="{00000000-0005-0000-0000-0000BF4A0000}"/>
    <cellStyle name="40% - Accent3 86 36 2" xfId="19133" xr:uid="{00000000-0005-0000-0000-0000C04A0000}"/>
    <cellStyle name="40% - Accent3 86 36 2 2" xfId="19134" xr:uid="{00000000-0005-0000-0000-0000C14A0000}"/>
    <cellStyle name="40% - Accent3 86 36 3" xfId="19135" xr:uid="{00000000-0005-0000-0000-0000C24A0000}"/>
    <cellStyle name="40% - Accent3 86 4" xfId="19136" xr:uid="{00000000-0005-0000-0000-0000C34A0000}"/>
    <cellStyle name="40% - Accent3 86 4 2" xfId="19137" xr:uid="{00000000-0005-0000-0000-0000C44A0000}"/>
    <cellStyle name="40% - Accent3 86 4 2 2" xfId="19138" xr:uid="{00000000-0005-0000-0000-0000C54A0000}"/>
    <cellStyle name="40% - Accent3 86 4 3" xfId="19139" xr:uid="{00000000-0005-0000-0000-0000C64A0000}"/>
    <cellStyle name="40% - Accent3 86 5" xfId="19140" xr:uid="{00000000-0005-0000-0000-0000C74A0000}"/>
    <cellStyle name="40% - Accent3 86 5 2" xfId="19141" xr:uid="{00000000-0005-0000-0000-0000C84A0000}"/>
    <cellStyle name="40% - Accent3 86 5 2 2" xfId="19142" xr:uid="{00000000-0005-0000-0000-0000C94A0000}"/>
    <cellStyle name="40% - Accent3 86 5 3" xfId="19143" xr:uid="{00000000-0005-0000-0000-0000CA4A0000}"/>
    <cellStyle name="40% - Accent3 86 6" xfId="19144" xr:uid="{00000000-0005-0000-0000-0000CB4A0000}"/>
    <cellStyle name="40% - Accent3 86 6 2" xfId="19145" xr:uid="{00000000-0005-0000-0000-0000CC4A0000}"/>
    <cellStyle name="40% - Accent3 86 6 2 2" xfId="19146" xr:uid="{00000000-0005-0000-0000-0000CD4A0000}"/>
    <cellStyle name="40% - Accent3 86 6 3" xfId="19147" xr:uid="{00000000-0005-0000-0000-0000CE4A0000}"/>
    <cellStyle name="40% - Accent3 86 7" xfId="19148" xr:uid="{00000000-0005-0000-0000-0000CF4A0000}"/>
    <cellStyle name="40% - Accent3 86 7 2" xfId="19149" xr:uid="{00000000-0005-0000-0000-0000D04A0000}"/>
    <cellStyle name="40% - Accent3 86 7 2 2" xfId="19150" xr:uid="{00000000-0005-0000-0000-0000D14A0000}"/>
    <cellStyle name="40% - Accent3 86 7 3" xfId="19151" xr:uid="{00000000-0005-0000-0000-0000D24A0000}"/>
    <cellStyle name="40% - Accent3 86 8" xfId="19152" xr:uid="{00000000-0005-0000-0000-0000D34A0000}"/>
    <cellStyle name="40% - Accent3 86 8 2" xfId="19153" xr:uid="{00000000-0005-0000-0000-0000D44A0000}"/>
    <cellStyle name="40% - Accent3 86 8 2 2" xfId="19154" xr:uid="{00000000-0005-0000-0000-0000D54A0000}"/>
    <cellStyle name="40% - Accent3 86 8 3" xfId="19155" xr:uid="{00000000-0005-0000-0000-0000D64A0000}"/>
    <cellStyle name="40% - Accent3 86 9" xfId="19156" xr:uid="{00000000-0005-0000-0000-0000D74A0000}"/>
    <cellStyle name="40% - Accent3 86 9 2" xfId="19157" xr:uid="{00000000-0005-0000-0000-0000D84A0000}"/>
    <cellStyle name="40% - Accent3 86 9 2 2" xfId="19158" xr:uid="{00000000-0005-0000-0000-0000D94A0000}"/>
    <cellStyle name="40% - Accent3 86 9 3" xfId="19159" xr:uid="{00000000-0005-0000-0000-0000DA4A0000}"/>
    <cellStyle name="40% - Accent3 87" xfId="19160" xr:uid="{00000000-0005-0000-0000-0000DB4A0000}"/>
    <cellStyle name="40% - Accent3 87 10" xfId="19161" xr:uid="{00000000-0005-0000-0000-0000DC4A0000}"/>
    <cellStyle name="40% - Accent3 87 10 2" xfId="19162" xr:uid="{00000000-0005-0000-0000-0000DD4A0000}"/>
    <cellStyle name="40% - Accent3 87 10 2 2" xfId="19163" xr:uid="{00000000-0005-0000-0000-0000DE4A0000}"/>
    <cellStyle name="40% - Accent3 87 10 3" xfId="19164" xr:uid="{00000000-0005-0000-0000-0000DF4A0000}"/>
    <cellStyle name="40% - Accent3 87 11" xfId="19165" xr:uid="{00000000-0005-0000-0000-0000E04A0000}"/>
    <cellStyle name="40% - Accent3 87 11 2" xfId="19166" xr:uid="{00000000-0005-0000-0000-0000E14A0000}"/>
    <cellStyle name="40% - Accent3 87 11 2 2" xfId="19167" xr:uid="{00000000-0005-0000-0000-0000E24A0000}"/>
    <cellStyle name="40% - Accent3 87 11 3" xfId="19168" xr:uid="{00000000-0005-0000-0000-0000E34A0000}"/>
    <cellStyle name="40% - Accent3 87 12" xfId="19169" xr:uid="{00000000-0005-0000-0000-0000E44A0000}"/>
    <cellStyle name="40% - Accent3 87 12 2" xfId="19170" xr:uid="{00000000-0005-0000-0000-0000E54A0000}"/>
    <cellStyle name="40% - Accent3 87 12 2 2" xfId="19171" xr:uid="{00000000-0005-0000-0000-0000E64A0000}"/>
    <cellStyle name="40% - Accent3 87 12 3" xfId="19172" xr:uid="{00000000-0005-0000-0000-0000E74A0000}"/>
    <cellStyle name="40% - Accent3 87 13" xfId="19173" xr:uid="{00000000-0005-0000-0000-0000E84A0000}"/>
    <cellStyle name="40% - Accent3 87 13 2" xfId="19174" xr:uid="{00000000-0005-0000-0000-0000E94A0000}"/>
    <cellStyle name="40% - Accent3 87 13 2 2" xfId="19175" xr:uid="{00000000-0005-0000-0000-0000EA4A0000}"/>
    <cellStyle name="40% - Accent3 87 13 3" xfId="19176" xr:uid="{00000000-0005-0000-0000-0000EB4A0000}"/>
    <cellStyle name="40% - Accent3 87 14" xfId="19177" xr:uid="{00000000-0005-0000-0000-0000EC4A0000}"/>
    <cellStyle name="40% - Accent3 87 14 2" xfId="19178" xr:uid="{00000000-0005-0000-0000-0000ED4A0000}"/>
    <cellStyle name="40% - Accent3 87 14 2 2" xfId="19179" xr:uid="{00000000-0005-0000-0000-0000EE4A0000}"/>
    <cellStyle name="40% - Accent3 87 14 3" xfId="19180" xr:uid="{00000000-0005-0000-0000-0000EF4A0000}"/>
    <cellStyle name="40% - Accent3 87 15" xfId="19181" xr:uid="{00000000-0005-0000-0000-0000F04A0000}"/>
    <cellStyle name="40% - Accent3 87 15 2" xfId="19182" xr:uid="{00000000-0005-0000-0000-0000F14A0000}"/>
    <cellStyle name="40% - Accent3 87 15 2 2" xfId="19183" xr:uid="{00000000-0005-0000-0000-0000F24A0000}"/>
    <cellStyle name="40% - Accent3 87 15 3" xfId="19184" xr:uid="{00000000-0005-0000-0000-0000F34A0000}"/>
    <cellStyle name="40% - Accent3 87 16" xfId="19185" xr:uid="{00000000-0005-0000-0000-0000F44A0000}"/>
    <cellStyle name="40% - Accent3 87 16 2" xfId="19186" xr:uid="{00000000-0005-0000-0000-0000F54A0000}"/>
    <cellStyle name="40% - Accent3 87 16 2 2" xfId="19187" xr:uid="{00000000-0005-0000-0000-0000F64A0000}"/>
    <cellStyle name="40% - Accent3 87 16 3" xfId="19188" xr:uid="{00000000-0005-0000-0000-0000F74A0000}"/>
    <cellStyle name="40% - Accent3 87 17" xfId="19189" xr:uid="{00000000-0005-0000-0000-0000F84A0000}"/>
    <cellStyle name="40% - Accent3 87 17 2" xfId="19190" xr:uid="{00000000-0005-0000-0000-0000F94A0000}"/>
    <cellStyle name="40% - Accent3 87 17 2 2" xfId="19191" xr:uid="{00000000-0005-0000-0000-0000FA4A0000}"/>
    <cellStyle name="40% - Accent3 87 17 3" xfId="19192" xr:uid="{00000000-0005-0000-0000-0000FB4A0000}"/>
    <cellStyle name="40% - Accent3 87 18" xfId="19193" xr:uid="{00000000-0005-0000-0000-0000FC4A0000}"/>
    <cellStyle name="40% - Accent3 87 18 2" xfId="19194" xr:uid="{00000000-0005-0000-0000-0000FD4A0000}"/>
    <cellStyle name="40% - Accent3 87 18 2 2" xfId="19195" xr:uid="{00000000-0005-0000-0000-0000FE4A0000}"/>
    <cellStyle name="40% - Accent3 87 18 3" xfId="19196" xr:uid="{00000000-0005-0000-0000-0000FF4A0000}"/>
    <cellStyle name="40% - Accent3 87 19" xfId="19197" xr:uid="{00000000-0005-0000-0000-0000004B0000}"/>
    <cellStyle name="40% - Accent3 87 19 2" xfId="19198" xr:uid="{00000000-0005-0000-0000-0000014B0000}"/>
    <cellStyle name="40% - Accent3 87 19 2 2" xfId="19199" xr:uid="{00000000-0005-0000-0000-0000024B0000}"/>
    <cellStyle name="40% - Accent3 87 19 3" xfId="19200" xr:uid="{00000000-0005-0000-0000-0000034B0000}"/>
    <cellStyle name="40% - Accent3 87 2" xfId="19201" xr:uid="{00000000-0005-0000-0000-0000044B0000}"/>
    <cellStyle name="40% - Accent3 87 2 2" xfId="19202" xr:uid="{00000000-0005-0000-0000-0000054B0000}"/>
    <cellStyle name="40% - Accent3 87 2 2 2" xfId="19203" xr:uid="{00000000-0005-0000-0000-0000064B0000}"/>
    <cellStyle name="40% - Accent3 87 2 3" xfId="19204" xr:uid="{00000000-0005-0000-0000-0000074B0000}"/>
    <cellStyle name="40% - Accent3 87 20" xfId="19205" xr:uid="{00000000-0005-0000-0000-0000084B0000}"/>
    <cellStyle name="40% - Accent3 87 20 2" xfId="19206" xr:uid="{00000000-0005-0000-0000-0000094B0000}"/>
    <cellStyle name="40% - Accent3 87 20 2 2" xfId="19207" xr:uid="{00000000-0005-0000-0000-00000A4B0000}"/>
    <cellStyle name="40% - Accent3 87 20 3" xfId="19208" xr:uid="{00000000-0005-0000-0000-00000B4B0000}"/>
    <cellStyle name="40% - Accent3 87 21" xfId="19209" xr:uid="{00000000-0005-0000-0000-00000C4B0000}"/>
    <cellStyle name="40% - Accent3 87 21 2" xfId="19210" xr:uid="{00000000-0005-0000-0000-00000D4B0000}"/>
    <cellStyle name="40% - Accent3 87 21 2 2" xfId="19211" xr:uid="{00000000-0005-0000-0000-00000E4B0000}"/>
    <cellStyle name="40% - Accent3 87 21 3" xfId="19212" xr:uid="{00000000-0005-0000-0000-00000F4B0000}"/>
    <cellStyle name="40% - Accent3 87 22" xfId="19213" xr:uid="{00000000-0005-0000-0000-0000104B0000}"/>
    <cellStyle name="40% - Accent3 87 22 2" xfId="19214" xr:uid="{00000000-0005-0000-0000-0000114B0000}"/>
    <cellStyle name="40% - Accent3 87 22 2 2" xfId="19215" xr:uid="{00000000-0005-0000-0000-0000124B0000}"/>
    <cellStyle name="40% - Accent3 87 22 3" xfId="19216" xr:uid="{00000000-0005-0000-0000-0000134B0000}"/>
    <cellStyle name="40% - Accent3 87 23" xfId="19217" xr:uid="{00000000-0005-0000-0000-0000144B0000}"/>
    <cellStyle name="40% - Accent3 87 23 2" xfId="19218" xr:uid="{00000000-0005-0000-0000-0000154B0000}"/>
    <cellStyle name="40% - Accent3 87 23 2 2" xfId="19219" xr:uid="{00000000-0005-0000-0000-0000164B0000}"/>
    <cellStyle name="40% - Accent3 87 23 3" xfId="19220" xr:uid="{00000000-0005-0000-0000-0000174B0000}"/>
    <cellStyle name="40% - Accent3 87 24" xfId="19221" xr:uid="{00000000-0005-0000-0000-0000184B0000}"/>
    <cellStyle name="40% - Accent3 87 24 2" xfId="19222" xr:uid="{00000000-0005-0000-0000-0000194B0000}"/>
    <cellStyle name="40% - Accent3 87 24 2 2" xfId="19223" xr:uid="{00000000-0005-0000-0000-00001A4B0000}"/>
    <cellStyle name="40% - Accent3 87 24 3" xfId="19224" xr:uid="{00000000-0005-0000-0000-00001B4B0000}"/>
    <cellStyle name="40% - Accent3 87 25" xfId="19225" xr:uid="{00000000-0005-0000-0000-00001C4B0000}"/>
    <cellStyle name="40% - Accent3 87 25 2" xfId="19226" xr:uid="{00000000-0005-0000-0000-00001D4B0000}"/>
    <cellStyle name="40% - Accent3 87 25 2 2" xfId="19227" xr:uid="{00000000-0005-0000-0000-00001E4B0000}"/>
    <cellStyle name="40% - Accent3 87 25 3" xfId="19228" xr:uid="{00000000-0005-0000-0000-00001F4B0000}"/>
    <cellStyle name="40% - Accent3 87 26" xfId="19229" xr:uid="{00000000-0005-0000-0000-0000204B0000}"/>
    <cellStyle name="40% - Accent3 87 26 2" xfId="19230" xr:uid="{00000000-0005-0000-0000-0000214B0000}"/>
    <cellStyle name="40% - Accent3 87 26 2 2" xfId="19231" xr:uid="{00000000-0005-0000-0000-0000224B0000}"/>
    <cellStyle name="40% - Accent3 87 26 3" xfId="19232" xr:uid="{00000000-0005-0000-0000-0000234B0000}"/>
    <cellStyle name="40% - Accent3 87 27" xfId="19233" xr:uid="{00000000-0005-0000-0000-0000244B0000}"/>
    <cellStyle name="40% - Accent3 87 27 2" xfId="19234" xr:uid="{00000000-0005-0000-0000-0000254B0000}"/>
    <cellStyle name="40% - Accent3 87 27 2 2" xfId="19235" xr:uid="{00000000-0005-0000-0000-0000264B0000}"/>
    <cellStyle name="40% - Accent3 87 27 3" xfId="19236" xr:uid="{00000000-0005-0000-0000-0000274B0000}"/>
    <cellStyle name="40% - Accent3 87 28" xfId="19237" xr:uid="{00000000-0005-0000-0000-0000284B0000}"/>
    <cellStyle name="40% - Accent3 87 28 2" xfId="19238" xr:uid="{00000000-0005-0000-0000-0000294B0000}"/>
    <cellStyle name="40% - Accent3 87 28 2 2" xfId="19239" xr:uid="{00000000-0005-0000-0000-00002A4B0000}"/>
    <cellStyle name="40% - Accent3 87 28 3" xfId="19240" xr:uid="{00000000-0005-0000-0000-00002B4B0000}"/>
    <cellStyle name="40% - Accent3 87 29" xfId="19241" xr:uid="{00000000-0005-0000-0000-00002C4B0000}"/>
    <cellStyle name="40% - Accent3 87 29 2" xfId="19242" xr:uid="{00000000-0005-0000-0000-00002D4B0000}"/>
    <cellStyle name="40% - Accent3 87 29 2 2" xfId="19243" xr:uid="{00000000-0005-0000-0000-00002E4B0000}"/>
    <cellStyle name="40% - Accent3 87 29 3" xfId="19244" xr:uid="{00000000-0005-0000-0000-00002F4B0000}"/>
    <cellStyle name="40% - Accent3 87 3" xfId="19245" xr:uid="{00000000-0005-0000-0000-0000304B0000}"/>
    <cellStyle name="40% - Accent3 87 3 2" xfId="19246" xr:uid="{00000000-0005-0000-0000-0000314B0000}"/>
    <cellStyle name="40% - Accent3 87 3 2 2" xfId="19247" xr:uid="{00000000-0005-0000-0000-0000324B0000}"/>
    <cellStyle name="40% - Accent3 87 3 3" xfId="19248" xr:uid="{00000000-0005-0000-0000-0000334B0000}"/>
    <cellStyle name="40% - Accent3 87 30" xfId="19249" xr:uid="{00000000-0005-0000-0000-0000344B0000}"/>
    <cellStyle name="40% - Accent3 87 30 2" xfId="19250" xr:uid="{00000000-0005-0000-0000-0000354B0000}"/>
    <cellStyle name="40% - Accent3 87 30 2 2" xfId="19251" xr:uid="{00000000-0005-0000-0000-0000364B0000}"/>
    <cellStyle name="40% - Accent3 87 30 3" xfId="19252" xr:uid="{00000000-0005-0000-0000-0000374B0000}"/>
    <cellStyle name="40% - Accent3 87 31" xfId="19253" xr:uid="{00000000-0005-0000-0000-0000384B0000}"/>
    <cellStyle name="40% - Accent3 87 31 2" xfId="19254" xr:uid="{00000000-0005-0000-0000-0000394B0000}"/>
    <cellStyle name="40% - Accent3 87 31 2 2" xfId="19255" xr:uid="{00000000-0005-0000-0000-00003A4B0000}"/>
    <cellStyle name="40% - Accent3 87 31 3" xfId="19256" xr:uid="{00000000-0005-0000-0000-00003B4B0000}"/>
    <cellStyle name="40% - Accent3 87 32" xfId="19257" xr:uid="{00000000-0005-0000-0000-00003C4B0000}"/>
    <cellStyle name="40% - Accent3 87 32 2" xfId="19258" xr:uid="{00000000-0005-0000-0000-00003D4B0000}"/>
    <cellStyle name="40% - Accent3 87 32 2 2" xfId="19259" xr:uid="{00000000-0005-0000-0000-00003E4B0000}"/>
    <cellStyle name="40% - Accent3 87 32 3" xfId="19260" xr:uid="{00000000-0005-0000-0000-00003F4B0000}"/>
    <cellStyle name="40% - Accent3 87 33" xfId="19261" xr:uid="{00000000-0005-0000-0000-0000404B0000}"/>
    <cellStyle name="40% - Accent3 87 33 2" xfId="19262" xr:uid="{00000000-0005-0000-0000-0000414B0000}"/>
    <cellStyle name="40% - Accent3 87 33 2 2" xfId="19263" xr:uid="{00000000-0005-0000-0000-0000424B0000}"/>
    <cellStyle name="40% - Accent3 87 33 3" xfId="19264" xr:uid="{00000000-0005-0000-0000-0000434B0000}"/>
    <cellStyle name="40% - Accent3 87 34" xfId="19265" xr:uid="{00000000-0005-0000-0000-0000444B0000}"/>
    <cellStyle name="40% - Accent3 87 34 2" xfId="19266" xr:uid="{00000000-0005-0000-0000-0000454B0000}"/>
    <cellStyle name="40% - Accent3 87 34 2 2" xfId="19267" xr:uid="{00000000-0005-0000-0000-0000464B0000}"/>
    <cellStyle name="40% - Accent3 87 34 3" xfId="19268" xr:uid="{00000000-0005-0000-0000-0000474B0000}"/>
    <cellStyle name="40% - Accent3 87 35" xfId="19269" xr:uid="{00000000-0005-0000-0000-0000484B0000}"/>
    <cellStyle name="40% - Accent3 87 35 2" xfId="19270" xr:uid="{00000000-0005-0000-0000-0000494B0000}"/>
    <cellStyle name="40% - Accent3 87 35 2 2" xfId="19271" xr:uid="{00000000-0005-0000-0000-00004A4B0000}"/>
    <cellStyle name="40% - Accent3 87 35 3" xfId="19272" xr:uid="{00000000-0005-0000-0000-00004B4B0000}"/>
    <cellStyle name="40% - Accent3 87 36" xfId="19273" xr:uid="{00000000-0005-0000-0000-00004C4B0000}"/>
    <cellStyle name="40% - Accent3 87 36 2" xfId="19274" xr:uid="{00000000-0005-0000-0000-00004D4B0000}"/>
    <cellStyle name="40% - Accent3 87 36 2 2" xfId="19275" xr:uid="{00000000-0005-0000-0000-00004E4B0000}"/>
    <cellStyle name="40% - Accent3 87 36 3" xfId="19276" xr:uid="{00000000-0005-0000-0000-00004F4B0000}"/>
    <cellStyle name="40% - Accent3 87 4" xfId="19277" xr:uid="{00000000-0005-0000-0000-0000504B0000}"/>
    <cellStyle name="40% - Accent3 87 4 2" xfId="19278" xr:uid="{00000000-0005-0000-0000-0000514B0000}"/>
    <cellStyle name="40% - Accent3 87 4 2 2" xfId="19279" xr:uid="{00000000-0005-0000-0000-0000524B0000}"/>
    <cellStyle name="40% - Accent3 87 4 3" xfId="19280" xr:uid="{00000000-0005-0000-0000-0000534B0000}"/>
    <cellStyle name="40% - Accent3 87 5" xfId="19281" xr:uid="{00000000-0005-0000-0000-0000544B0000}"/>
    <cellStyle name="40% - Accent3 87 5 2" xfId="19282" xr:uid="{00000000-0005-0000-0000-0000554B0000}"/>
    <cellStyle name="40% - Accent3 87 5 2 2" xfId="19283" xr:uid="{00000000-0005-0000-0000-0000564B0000}"/>
    <cellStyle name="40% - Accent3 87 5 3" xfId="19284" xr:uid="{00000000-0005-0000-0000-0000574B0000}"/>
    <cellStyle name="40% - Accent3 87 6" xfId="19285" xr:uid="{00000000-0005-0000-0000-0000584B0000}"/>
    <cellStyle name="40% - Accent3 87 6 2" xfId="19286" xr:uid="{00000000-0005-0000-0000-0000594B0000}"/>
    <cellStyle name="40% - Accent3 87 6 2 2" xfId="19287" xr:uid="{00000000-0005-0000-0000-00005A4B0000}"/>
    <cellStyle name="40% - Accent3 87 6 3" xfId="19288" xr:uid="{00000000-0005-0000-0000-00005B4B0000}"/>
    <cellStyle name="40% - Accent3 87 7" xfId="19289" xr:uid="{00000000-0005-0000-0000-00005C4B0000}"/>
    <cellStyle name="40% - Accent3 87 7 2" xfId="19290" xr:uid="{00000000-0005-0000-0000-00005D4B0000}"/>
    <cellStyle name="40% - Accent3 87 7 2 2" xfId="19291" xr:uid="{00000000-0005-0000-0000-00005E4B0000}"/>
    <cellStyle name="40% - Accent3 87 7 3" xfId="19292" xr:uid="{00000000-0005-0000-0000-00005F4B0000}"/>
    <cellStyle name="40% - Accent3 87 8" xfId="19293" xr:uid="{00000000-0005-0000-0000-0000604B0000}"/>
    <cellStyle name="40% - Accent3 87 8 2" xfId="19294" xr:uid="{00000000-0005-0000-0000-0000614B0000}"/>
    <cellStyle name="40% - Accent3 87 8 2 2" xfId="19295" xr:uid="{00000000-0005-0000-0000-0000624B0000}"/>
    <cellStyle name="40% - Accent3 87 8 3" xfId="19296" xr:uid="{00000000-0005-0000-0000-0000634B0000}"/>
    <cellStyle name="40% - Accent3 87 9" xfId="19297" xr:uid="{00000000-0005-0000-0000-0000644B0000}"/>
    <cellStyle name="40% - Accent3 87 9 2" xfId="19298" xr:uid="{00000000-0005-0000-0000-0000654B0000}"/>
    <cellStyle name="40% - Accent3 87 9 2 2" xfId="19299" xr:uid="{00000000-0005-0000-0000-0000664B0000}"/>
    <cellStyle name="40% - Accent3 87 9 3" xfId="19300" xr:uid="{00000000-0005-0000-0000-0000674B0000}"/>
    <cellStyle name="40% - Accent3 88" xfId="19301" xr:uid="{00000000-0005-0000-0000-0000684B0000}"/>
    <cellStyle name="40% - Accent3 88 10" xfId="19302" xr:uid="{00000000-0005-0000-0000-0000694B0000}"/>
    <cellStyle name="40% - Accent3 88 10 2" xfId="19303" xr:uid="{00000000-0005-0000-0000-00006A4B0000}"/>
    <cellStyle name="40% - Accent3 88 10 2 2" xfId="19304" xr:uid="{00000000-0005-0000-0000-00006B4B0000}"/>
    <cellStyle name="40% - Accent3 88 10 3" xfId="19305" xr:uid="{00000000-0005-0000-0000-00006C4B0000}"/>
    <cellStyle name="40% - Accent3 88 11" xfId="19306" xr:uid="{00000000-0005-0000-0000-00006D4B0000}"/>
    <cellStyle name="40% - Accent3 88 11 2" xfId="19307" xr:uid="{00000000-0005-0000-0000-00006E4B0000}"/>
    <cellStyle name="40% - Accent3 88 11 2 2" xfId="19308" xr:uid="{00000000-0005-0000-0000-00006F4B0000}"/>
    <cellStyle name="40% - Accent3 88 11 3" xfId="19309" xr:uid="{00000000-0005-0000-0000-0000704B0000}"/>
    <cellStyle name="40% - Accent3 88 12" xfId="19310" xr:uid="{00000000-0005-0000-0000-0000714B0000}"/>
    <cellStyle name="40% - Accent3 88 12 2" xfId="19311" xr:uid="{00000000-0005-0000-0000-0000724B0000}"/>
    <cellStyle name="40% - Accent3 88 12 2 2" xfId="19312" xr:uid="{00000000-0005-0000-0000-0000734B0000}"/>
    <cellStyle name="40% - Accent3 88 12 3" xfId="19313" xr:uid="{00000000-0005-0000-0000-0000744B0000}"/>
    <cellStyle name="40% - Accent3 88 13" xfId="19314" xr:uid="{00000000-0005-0000-0000-0000754B0000}"/>
    <cellStyle name="40% - Accent3 88 13 2" xfId="19315" xr:uid="{00000000-0005-0000-0000-0000764B0000}"/>
    <cellStyle name="40% - Accent3 88 13 2 2" xfId="19316" xr:uid="{00000000-0005-0000-0000-0000774B0000}"/>
    <cellStyle name="40% - Accent3 88 13 3" xfId="19317" xr:uid="{00000000-0005-0000-0000-0000784B0000}"/>
    <cellStyle name="40% - Accent3 88 14" xfId="19318" xr:uid="{00000000-0005-0000-0000-0000794B0000}"/>
    <cellStyle name="40% - Accent3 88 14 2" xfId="19319" xr:uid="{00000000-0005-0000-0000-00007A4B0000}"/>
    <cellStyle name="40% - Accent3 88 14 2 2" xfId="19320" xr:uid="{00000000-0005-0000-0000-00007B4B0000}"/>
    <cellStyle name="40% - Accent3 88 14 3" xfId="19321" xr:uid="{00000000-0005-0000-0000-00007C4B0000}"/>
    <cellStyle name="40% - Accent3 88 15" xfId="19322" xr:uid="{00000000-0005-0000-0000-00007D4B0000}"/>
    <cellStyle name="40% - Accent3 88 15 2" xfId="19323" xr:uid="{00000000-0005-0000-0000-00007E4B0000}"/>
    <cellStyle name="40% - Accent3 88 15 2 2" xfId="19324" xr:uid="{00000000-0005-0000-0000-00007F4B0000}"/>
    <cellStyle name="40% - Accent3 88 15 3" xfId="19325" xr:uid="{00000000-0005-0000-0000-0000804B0000}"/>
    <cellStyle name="40% - Accent3 88 16" xfId="19326" xr:uid="{00000000-0005-0000-0000-0000814B0000}"/>
    <cellStyle name="40% - Accent3 88 16 2" xfId="19327" xr:uid="{00000000-0005-0000-0000-0000824B0000}"/>
    <cellStyle name="40% - Accent3 88 16 2 2" xfId="19328" xr:uid="{00000000-0005-0000-0000-0000834B0000}"/>
    <cellStyle name="40% - Accent3 88 16 3" xfId="19329" xr:uid="{00000000-0005-0000-0000-0000844B0000}"/>
    <cellStyle name="40% - Accent3 88 17" xfId="19330" xr:uid="{00000000-0005-0000-0000-0000854B0000}"/>
    <cellStyle name="40% - Accent3 88 17 2" xfId="19331" xr:uid="{00000000-0005-0000-0000-0000864B0000}"/>
    <cellStyle name="40% - Accent3 88 17 2 2" xfId="19332" xr:uid="{00000000-0005-0000-0000-0000874B0000}"/>
    <cellStyle name="40% - Accent3 88 17 3" xfId="19333" xr:uid="{00000000-0005-0000-0000-0000884B0000}"/>
    <cellStyle name="40% - Accent3 88 18" xfId="19334" xr:uid="{00000000-0005-0000-0000-0000894B0000}"/>
    <cellStyle name="40% - Accent3 88 18 2" xfId="19335" xr:uid="{00000000-0005-0000-0000-00008A4B0000}"/>
    <cellStyle name="40% - Accent3 88 18 2 2" xfId="19336" xr:uid="{00000000-0005-0000-0000-00008B4B0000}"/>
    <cellStyle name="40% - Accent3 88 18 3" xfId="19337" xr:uid="{00000000-0005-0000-0000-00008C4B0000}"/>
    <cellStyle name="40% - Accent3 88 19" xfId="19338" xr:uid="{00000000-0005-0000-0000-00008D4B0000}"/>
    <cellStyle name="40% - Accent3 88 19 2" xfId="19339" xr:uid="{00000000-0005-0000-0000-00008E4B0000}"/>
    <cellStyle name="40% - Accent3 88 19 2 2" xfId="19340" xr:uid="{00000000-0005-0000-0000-00008F4B0000}"/>
    <cellStyle name="40% - Accent3 88 19 3" xfId="19341" xr:uid="{00000000-0005-0000-0000-0000904B0000}"/>
    <cellStyle name="40% - Accent3 88 2" xfId="19342" xr:uid="{00000000-0005-0000-0000-0000914B0000}"/>
    <cellStyle name="40% - Accent3 88 2 2" xfId="19343" xr:uid="{00000000-0005-0000-0000-0000924B0000}"/>
    <cellStyle name="40% - Accent3 88 2 2 2" xfId="19344" xr:uid="{00000000-0005-0000-0000-0000934B0000}"/>
    <cellStyle name="40% - Accent3 88 2 3" xfId="19345" xr:uid="{00000000-0005-0000-0000-0000944B0000}"/>
    <cellStyle name="40% - Accent3 88 20" xfId="19346" xr:uid="{00000000-0005-0000-0000-0000954B0000}"/>
    <cellStyle name="40% - Accent3 88 20 2" xfId="19347" xr:uid="{00000000-0005-0000-0000-0000964B0000}"/>
    <cellStyle name="40% - Accent3 88 20 2 2" xfId="19348" xr:uid="{00000000-0005-0000-0000-0000974B0000}"/>
    <cellStyle name="40% - Accent3 88 20 3" xfId="19349" xr:uid="{00000000-0005-0000-0000-0000984B0000}"/>
    <cellStyle name="40% - Accent3 88 21" xfId="19350" xr:uid="{00000000-0005-0000-0000-0000994B0000}"/>
    <cellStyle name="40% - Accent3 88 21 2" xfId="19351" xr:uid="{00000000-0005-0000-0000-00009A4B0000}"/>
    <cellStyle name="40% - Accent3 88 21 2 2" xfId="19352" xr:uid="{00000000-0005-0000-0000-00009B4B0000}"/>
    <cellStyle name="40% - Accent3 88 21 3" xfId="19353" xr:uid="{00000000-0005-0000-0000-00009C4B0000}"/>
    <cellStyle name="40% - Accent3 88 22" xfId="19354" xr:uid="{00000000-0005-0000-0000-00009D4B0000}"/>
    <cellStyle name="40% - Accent3 88 22 2" xfId="19355" xr:uid="{00000000-0005-0000-0000-00009E4B0000}"/>
    <cellStyle name="40% - Accent3 88 22 2 2" xfId="19356" xr:uid="{00000000-0005-0000-0000-00009F4B0000}"/>
    <cellStyle name="40% - Accent3 88 22 3" xfId="19357" xr:uid="{00000000-0005-0000-0000-0000A04B0000}"/>
    <cellStyle name="40% - Accent3 88 23" xfId="19358" xr:uid="{00000000-0005-0000-0000-0000A14B0000}"/>
    <cellStyle name="40% - Accent3 88 23 2" xfId="19359" xr:uid="{00000000-0005-0000-0000-0000A24B0000}"/>
    <cellStyle name="40% - Accent3 88 23 2 2" xfId="19360" xr:uid="{00000000-0005-0000-0000-0000A34B0000}"/>
    <cellStyle name="40% - Accent3 88 23 3" xfId="19361" xr:uid="{00000000-0005-0000-0000-0000A44B0000}"/>
    <cellStyle name="40% - Accent3 88 24" xfId="19362" xr:uid="{00000000-0005-0000-0000-0000A54B0000}"/>
    <cellStyle name="40% - Accent3 88 24 2" xfId="19363" xr:uid="{00000000-0005-0000-0000-0000A64B0000}"/>
    <cellStyle name="40% - Accent3 88 24 2 2" xfId="19364" xr:uid="{00000000-0005-0000-0000-0000A74B0000}"/>
    <cellStyle name="40% - Accent3 88 24 3" xfId="19365" xr:uid="{00000000-0005-0000-0000-0000A84B0000}"/>
    <cellStyle name="40% - Accent3 88 25" xfId="19366" xr:uid="{00000000-0005-0000-0000-0000A94B0000}"/>
    <cellStyle name="40% - Accent3 88 25 2" xfId="19367" xr:uid="{00000000-0005-0000-0000-0000AA4B0000}"/>
    <cellStyle name="40% - Accent3 88 25 2 2" xfId="19368" xr:uid="{00000000-0005-0000-0000-0000AB4B0000}"/>
    <cellStyle name="40% - Accent3 88 25 3" xfId="19369" xr:uid="{00000000-0005-0000-0000-0000AC4B0000}"/>
    <cellStyle name="40% - Accent3 88 26" xfId="19370" xr:uid="{00000000-0005-0000-0000-0000AD4B0000}"/>
    <cellStyle name="40% - Accent3 88 26 2" xfId="19371" xr:uid="{00000000-0005-0000-0000-0000AE4B0000}"/>
    <cellStyle name="40% - Accent3 88 26 2 2" xfId="19372" xr:uid="{00000000-0005-0000-0000-0000AF4B0000}"/>
    <cellStyle name="40% - Accent3 88 26 3" xfId="19373" xr:uid="{00000000-0005-0000-0000-0000B04B0000}"/>
    <cellStyle name="40% - Accent3 88 27" xfId="19374" xr:uid="{00000000-0005-0000-0000-0000B14B0000}"/>
    <cellStyle name="40% - Accent3 88 27 2" xfId="19375" xr:uid="{00000000-0005-0000-0000-0000B24B0000}"/>
    <cellStyle name="40% - Accent3 88 27 2 2" xfId="19376" xr:uid="{00000000-0005-0000-0000-0000B34B0000}"/>
    <cellStyle name="40% - Accent3 88 27 3" xfId="19377" xr:uid="{00000000-0005-0000-0000-0000B44B0000}"/>
    <cellStyle name="40% - Accent3 88 28" xfId="19378" xr:uid="{00000000-0005-0000-0000-0000B54B0000}"/>
    <cellStyle name="40% - Accent3 88 28 2" xfId="19379" xr:uid="{00000000-0005-0000-0000-0000B64B0000}"/>
    <cellStyle name="40% - Accent3 88 28 2 2" xfId="19380" xr:uid="{00000000-0005-0000-0000-0000B74B0000}"/>
    <cellStyle name="40% - Accent3 88 28 3" xfId="19381" xr:uid="{00000000-0005-0000-0000-0000B84B0000}"/>
    <cellStyle name="40% - Accent3 88 29" xfId="19382" xr:uid="{00000000-0005-0000-0000-0000B94B0000}"/>
    <cellStyle name="40% - Accent3 88 29 2" xfId="19383" xr:uid="{00000000-0005-0000-0000-0000BA4B0000}"/>
    <cellStyle name="40% - Accent3 88 29 2 2" xfId="19384" xr:uid="{00000000-0005-0000-0000-0000BB4B0000}"/>
    <cellStyle name="40% - Accent3 88 29 3" xfId="19385" xr:uid="{00000000-0005-0000-0000-0000BC4B0000}"/>
    <cellStyle name="40% - Accent3 88 3" xfId="19386" xr:uid="{00000000-0005-0000-0000-0000BD4B0000}"/>
    <cellStyle name="40% - Accent3 88 3 2" xfId="19387" xr:uid="{00000000-0005-0000-0000-0000BE4B0000}"/>
    <cellStyle name="40% - Accent3 88 3 2 2" xfId="19388" xr:uid="{00000000-0005-0000-0000-0000BF4B0000}"/>
    <cellStyle name="40% - Accent3 88 3 3" xfId="19389" xr:uid="{00000000-0005-0000-0000-0000C04B0000}"/>
    <cellStyle name="40% - Accent3 88 30" xfId="19390" xr:uid="{00000000-0005-0000-0000-0000C14B0000}"/>
    <cellStyle name="40% - Accent3 88 30 2" xfId="19391" xr:uid="{00000000-0005-0000-0000-0000C24B0000}"/>
    <cellStyle name="40% - Accent3 88 30 2 2" xfId="19392" xr:uid="{00000000-0005-0000-0000-0000C34B0000}"/>
    <cellStyle name="40% - Accent3 88 30 3" xfId="19393" xr:uid="{00000000-0005-0000-0000-0000C44B0000}"/>
    <cellStyle name="40% - Accent3 88 31" xfId="19394" xr:uid="{00000000-0005-0000-0000-0000C54B0000}"/>
    <cellStyle name="40% - Accent3 88 31 2" xfId="19395" xr:uid="{00000000-0005-0000-0000-0000C64B0000}"/>
    <cellStyle name="40% - Accent3 88 31 2 2" xfId="19396" xr:uid="{00000000-0005-0000-0000-0000C74B0000}"/>
    <cellStyle name="40% - Accent3 88 31 3" xfId="19397" xr:uid="{00000000-0005-0000-0000-0000C84B0000}"/>
    <cellStyle name="40% - Accent3 88 32" xfId="19398" xr:uid="{00000000-0005-0000-0000-0000C94B0000}"/>
    <cellStyle name="40% - Accent3 88 32 2" xfId="19399" xr:uid="{00000000-0005-0000-0000-0000CA4B0000}"/>
    <cellStyle name="40% - Accent3 88 32 2 2" xfId="19400" xr:uid="{00000000-0005-0000-0000-0000CB4B0000}"/>
    <cellStyle name="40% - Accent3 88 32 3" xfId="19401" xr:uid="{00000000-0005-0000-0000-0000CC4B0000}"/>
    <cellStyle name="40% - Accent3 88 33" xfId="19402" xr:uid="{00000000-0005-0000-0000-0000CD4B0000}"/>
    <cellStyle name="40% - Accent3 88 33 2" xfId="19403" xr:uid="{00000000-0005-0000-0000-0000CE4B0000}"/>
    <cellStyle name="40% - Accent3 88 33 2 2" xfId="19404" xr:uid="{00000000-0005-0000-0000-0000CF4B0000}"/>
    <cellStyle name="40% - Accent3 88 33 3" xfId="19405" xr:uid="{00000000-0005-0000-0000-0000D04B0000}"/>
    <cellStyle name="40% - Accent3 88 34" xfId="19406" xr:uid="{00000000-0005-0000-0000-0000D14B0000}"/>
    <cellStyle name="40% - Accent3 88 34 2" xfId="19407" xr:uid="{00000000-0005-0000-0000-0000D24B0000}"/>
    <cellStyle name="40% - Accent3 88 34 2 2" xfId="19408" xr:uid="{00000000-0005-0000-0000-0000D34B0000}"/>
    <cellStyle name="40% - Accent3 88 34 3" xfId="19409" xr:uid="{00000000-0005-0000-0000-0000D44B0000}"/>
    <cellStyle name="40% - Accent3 88 35" xfId="19410" xr:uid="{00000000-0005-0000-0000-0000D54B0000}"/>
    <cellStyle name="40% - Accent3 88 35 2" xfId="19411" xr:uid="{00000000-0005-0000-0000-0000D64B0000}"/>
    <cellStyle name="40% - Accent3 88 35 2 2" xfId="19412" xr:uid="{00000000-0005-0000-0000-0000D74B0000}"/>
    <cellStyle name="40% - Accent3 88 35 3" xfId="19413" xr:uid="{00000000-0005-0000-0000-0000D84B0000}"/>
    <cellStyle name="40% - Accent3 88 36" xfId="19414" xr:uid="{00000000-0005-0000-0000-0000D94B0000}"/>
    <cellStyle name="40% - Accent3 88 36 2" xfId="19415" xr:uid="{00000000-0005-0000-0000-0000DA4B0000}"/>
    <cellStyle name="40% - Accent3 88 36 2 2" xfId="19416" xr:uid="{00000000-0005-0000-0000-0000DB4B0000}"/>
    <cellStyle name="40% - Accent3 88 36 3" xfId="19417" xr:uid="{00000000-0005-0000-0000-0000DC4B0000}"/>
    <cellStyle name="40% - Accent3 88 37" xfId="19418" xr:uid="{00000000-0005-0000-0000-0000DD4B0000}"/>
    <cellStyle name="40% - Accent3 88 37 2" xfId="19419" xr:uid="{00000000-0005-0000-0000-0000DE4B0000}"/>
    <cellStyle name="40% - Accent3 88 38" xfId="19420" xr:uid="{00000000-0005-0000-0000-0000DF4B0000}"/>
    <cellStyle name="40% - Accent3 88 4" xfId="19421" xr:uid="{00000000-0005-0000-0000-0000E04B0000}"/>
    <cellStyle name="40% - Accent3 88 4 2" xfId="19422" xr:uid="{00000000-0005-0000-0000-0000E14B0000}"/>
    <cellStyle name="40% - Accent3 88 4 2 2" xfId="19423" xr:uid="{00000000-0005-0000-0000-0000E24B0000}"/>
    <cellStyle name="40% - Accent3 88 4 3" xfId="19424" xr:uid="{00000000-0005-0000-0000-0000E34B0000}"/>
    <cellStyle name="40% - Accent3 88 5" xfId="19425" xr:uid="{00000000-0005-0000-0000-0000E44B0000}"/>
    <cellStyle name="40% - Accent3 88 5 2" xfId="19426" xr:uid="{00000000-0005-0000-0000-0000E54B0000}"/>
    <cellStyle name="40% - Accent3 88 5 2 2" xfId="19427" xr:uid="{00000000-0005-0000-0000-0000E64B0000}"/>
    <cellStyle name="40% - Accent3 88 5 3" xfId="19428" xr:uid="{00000000-0005-0000-0000-0000E74B0000}"/>
    <cellStyle name="40% - Accent3 88 6" xfId="19429" xr:uid="{00000000-0005-0000-0000-0000E84B0000}"/>
    <cellStyle name="40% - Accent3 88 6 2" xfId="19430" xr:uid="{00000000-0005-0000-0000-0000E94B0000}"/>
    <cellStyle name="40% - Accent3 88 6 2 2" xfId="19431" xr:uid="{00000000-0005-0000-0000-0000EA4B0000}"/>
    <cellStyle name="40% - Accent3 88 6 3" xfId="19432" xr:uid="{00000000-0005-0000-0000-0000EB4B0000}"/>
    <cellStyle name="40% - Accent3 88 7" xfId="19433" xr:uid="{00000000-0005-0000-0000-0000EC4B0000}"/>
    <cellStyle name="40% - Accent3 88 7 2" xfId="19434" xr:uid="{00000000-0005-0000-0000-0000ED4B0000}"/>
    <cellStyle name="40% - Accent3 88 7 2 2" xfId="19435" xr:uid="{00000000-0005-0000-0000-0000EE4B0000}"/>
    <cellStyle name="40% - Accent3 88 7 3" xfId="19436" xr:uid="{00000000-0005-0000-0000-0000EF4B0000}"/>
    <cellStyle name="40% - Accent3 88 8" xfId="19437" xr:uid="{00000000-0005-0000-0000-0000F04B0000}"/>
    <cellStyle name="40% - Accent3 88 8 2" xfId="19438" xr:uid="{00000000-0005-0000-0000-0000F14B0000}"/>
    <cellStyle name="40% - Accent3 88 8 2 2" xfId="19439" xr:uid="{00000000-0005-0000-0000-0000F24B0000}"/>
    <cellStyle name="40% - Accent3 88 8 3" xfId="19440" xr:uid="{00000000-0005-0000-0000-0000F34B0000}"/>
    <cellStyle name="40% - Accent3 88 9" xfId="19441" xr:uid="{00000000-0005-0000-0000-0000F44B0000}"/>
    <cellStyle name="40% - Accent3 88 9 2" xfId="19442" xr:uid="{00000000-0005-0000-0000-0000F54B0000}"/>
    <cellStyle name="40% - Accent3 88 9 2 2" xfId="19443" xr:uid="{00000000-0005-0000-0000-0000F64B0000}"/>
    <cellStyle name="40% - Accent3 88 9 3" xfId="19444" xr:uid="{00000000-0005-0000-0000-0000F74B0000}"/>
    <cellStyle name="40% - Accent3 89" xfId="19445" xr:uid="{00000000-0005-0000-0000-0000F84B0000}"/>
    <cellStyle name="40% - Accent3 89 2" xfId="19446" xr:uid="{00000000-0005-0000-0000-0000F94B0000}"/>
    <cellStyle name="40% - Accent3 9" xfId="19447" xr:uid="{00000000-0005-0000-0000-0000FA4B0000}"/>
    <cellStyle name="40% - Accent3 9 2" xfId="19448" xr:uid="{00000000-0005-0000-0000-0000FB4B0000}"/>
    <cellStyle name="40% - Accent3 9 2 2" xfId="19449" xr:uid="{00000000-0005-0000-0000-0000FC4B0000}"/>
    <cellStyle name="40% - Accent3 9 3" xfId="19450" xr:uid="{00000000-0005-0000-0000-0000FD4B0000}"/>
    <cellStyle name="40% - Accent3 90" xfId="19451" xr:uid="{00000000-0005-0000-0000-0000FE4B0000}"/>
    <cellStyle name="40% - Accent3 90 2" xfId="19452" xr:uid="{00000000-0005-0000-0000-0000FF4B0000}"/>
    <cellStyle name="40% - Accent3 91" xfId="19453" xr:uid="{00000000-0005-0000-0000-0000004C0000}"/>
    <cellStyle name="40% - Accent3 91 2" xfId="19454" xr:uid="{00000000-0005-0000-0000-0000014C0000}"/>
    <cellStyle name="40% - Accent3 92" xfId="19455" xr:uid="{00000000-0005-0000-0000-0000024C0000}"/>
    <cellStyle name="40% - Accent3 92 2" xfId="19456" xr:uid="{00000000-0005-0000-0000-0000034C0000}"/>
    <cellStyle name="40% - Accent3 93" xfId="19457" xr:uid="{00000000-0005-0000-0000-0000044C0000}"/>
    <cellStyle name="40% - Accent3 93 2" xfId="19458" xr:uid="{00000000-0005-0000-0000-0000054C0000}"/>
    <cellStyle name="40% - Accent3 93 2 2" xfId="19459" xr:uid="{00000000-0005-0000-0000-0000064C0000}"/>
    <cellStyle name="40% - Accent3 93 2 2 2" xfId="19460" xr:uid="{00000000-0005-0000-0000-0000074C0000}"/>
    <cellStyle name="40% - Accent3 93 2 3" xfId="19461" xr:uid="{00000000-0005-0000-0000-0000084C0000}"/>
    <cellStyle name="40% - Accent3 93 3" xfId="19462" xr:uid="{00000000-0005-0000-0000-0000094C0000}"/>
    <cellStyle name="40% - Accent3 93 3 2" xfId="19463" xr:uid="{00000000-0005-0000-0000-00000A4C0000}"/>
    <cellStyle name="40% - Accent3 93 4" xfId="19464" xr:uid="{00000000-0005-0000-0000-00000B4C0000}"/>
    <cellStyle name="40% - Accent3 94" xfId="19465" xr:uid="{00000000-0005-0000-0000-00000C4C0000}"/>
    <cellStyle name="40% - Accent3 94 2" xfId="19466" xr:uid="{00000000-0005-0000-0000-00000D4C0000}"/>
    <cellStyle name="40% - Accent3 94 2 2" xfId="19467" xr:uid="{00000000-0005-0000-0000-00000E4C0000}"/>
    <cellStyle name="40% - Accent3 94 2 2 2" xfId="19468" xr:uid="{00000000-0005-0000-0000-00000F4C0000}"/>
    <cellStyle name="40% - Accent3 94 2 3" xfId="19469" xr:uid="{00000000-0005-0000-0000-0000104C0000}"/>
    <cellStyle name="40% - Accent3 94 3" xfId="19470" xr:uid="{00000000-0005-0000-0000-0000114C0000}"/>
    <cellStyle name="40% - Accent3 94 3 2" xfId="19471" xr:uid="{00000000-0005-0000-0000-0000124C0000}"/>
    <cellStyle name="40% - Accent3 94 4" xfId="19472" xr:uid="{00000000-0005-0000-0000-0000134C0000}"/>
    <cellStyle name="40% - Accent3 95" xfId="19473" xr:uid="{00000000-0005-0000-0000-0000144C0000}"/>
    <cellStyle name="40% - Accent3 95 2" xfId="19474" xr:uid="{00000000-0005-0000-0000-0000154C0000}"/>
    <cellStyle name="40% - Accent3 95 2 2" xfId="19475" xr:uid="{00000000-0005-0000-0000-0000164C0000}"/>
    <cellStyle name="40% - Accent3 95 3" xfId="19476" xr:uid="{00000000-0005-0000-0000-0000174C0000}"/>
    <cellStyle name="40% - Accent3 96" xfId="19477" xr:uid="{00000000-0005-0000-0000-0000184C0000}"/>
    <cellStyle name="40% - Accent3 96 2" xfId="19478" xr:uid="{00000000-0005-0000-0000-0000194C0000}"/>
    <cellStyle name="40% - Accent3 96 2 2" xfId="19479" xr:uid="{00000000-0005-0000-0000-00001A4C0000}"/>
    <cellStyle name="40% - Accent3 96 3" xfId="19480" xr:uid="{00000000-0005-0000-0000-00001B4C0000}"/>
    <cellStyle name="40% - Accent3 97" xfId="19481" xr:uid="{00000000-0005-0000-0000-00001C4C0000}"/>
    <cellStyle name="40% - Accent3 97 2" xfId="19482" xr:uid="{00000000-0005-0000-0000-00001D4C0000}"/>
    <cellStyle name="40% - Accent3 97 2 2" xfId="19483" xr:uid="{00000000-0005-0000-0000-00001E4C0000}"/>
    <cellStyle name="40% - Accent3 97 3" xfId="19484" xr:uid="{00000000-0005-0000-0000-00001F4C0000}"/>
    <cellStyle name="40% - Accent3 98" xfId="19485" xr:uid="{00000000-0005-0000-0000-0000204C0000}"/>
    <cellStyle name="40% - Accent3 98 2" xfId="19486" xr:uid="{00000000-0005-0000-0000-0000214C0000}"/>
    <cellStyle name="40% - Accent3 98 2 2" xfId="19487" xr:uid="{00000000-0005-0000-0000-0000224C0000}"/>
    <cellStyle name="40% - Accent3 98 3" xfId="19488" xr:uid="{00000000-0005-0000-0000-0000234C0000}"/>
    <cellStyle name="40% - Accent3 99" xfId="19489" xr:uid="{00000000-0005-0000-0000-0000244C0000}"/>
    <cellStyle name="40% - Accent4" xfId="41030" builtinId="43" customBuiltin="1"/>
    <cellStyle name="40% - Accent4 10" xfId="19490" xr:uid="{00000000-0005-0000-0000-0000264C0000}"/>
    <cellStyle name="40% - Accent4 10 2" xfId="19491" xr:uid="{00000000-0005-0000-0000-0000274C0000}"/>
    <cellStyle name="40% - Accent4 10 2 2" xfId="19492" xr:uid="{00000000-0005-0000-0000-0000284C0000}"/>
    <cellStyle name="40% - Accent4 10 3" xfId="19493" xr:uid="{00000000-0005-0000-0000-0000294C0000}"/>
    <cellStyle name="40% - Accent4 100" xfId="19494" xr:uid="{00000000-0005-0000-0000-00002A4C0000}"/>
    <cellStyle name="40% - Accent4 100 2" xfId="19495" xr:uid="{00000000-0005-0000-0000-00002B4C0000}"/>
    <cellStyle name="40% - Accent4 100 2 2" xfId="19496" xr:uid="{00000000-0005-0000-0000-00002C4C0000}"/>
    <cellStyle name="40% - Accent4 100 3" xfId="19497" xr:uid="{00000000-0005-0000-0000-00002D4C0000}"/>
    <cellStyle name="40% - Accent4 101" xfId="19498" xr:uid="{00000000-0005-0000-0000-00002E4C0000}"/>
    <cellStyle name="40% - Accent4 102" xfId="19499" xr:uid="{00000000-0005-0000-0000-00002F4C0000}"/>
    <cellStyle name="40% - Accent4 102 2" xfId="19500" xr:uid="{00000000-0005-0000-0000-0000304C0000}"/>
    <cellStyle name="40% - Accent4 102 2 2" xfId="19501" xr:uid="{00000000-0005-0000-0000-0000314C0000}"/>
    <cellStyle name="40% - Accent4 102 3" xfId="19502" xr:uid="{00000000-0005-0000-0000-0000324C0000}"/>
    <cellStyle name="40% - Accent4 103" xfId="19503" xr:uid="{00000000-0005-0000-0000-0000334C0000}"/>
    <cellStyle name="40% - Accent4 104" xfId="19504" xr:uid="{00000000-0005-0000-0000-0000344C0000}"/>
    <cellStyle name="40% - Accent4 104 2" xfId="19505" xr:uid="{00000000-0005-0000-0000-0000354C0000}"/>
    <cellStyle name="40% - Accent4 104 2 2" xfId="19506" xr:uid="{00000000-0005-0000-0000-0000364C0000}"/>
    <cellStyle name="40% - Accent4 104 3" xfId="19507" xr:uid="{00000000-0005-0000-0000-0000374C0000}"/>
    <cellStyle name="40% - Accent4 105" xfId="19508" xr:uid="{00000000-0005-0000-0000-0000384C0000}"/>
    <cellStyle name="40% - Accent4 105 2" xfId="19509" xr:uid="{00000000-0005-0000-0000-0000394C0000}"/>
    <cellStyle name="40% - Accent4 105 2 2" xfId="19510" xr:uid="{00000000-0005-0000-0000-00003A4C0000}"/>
    <cellStyle name="40% - Accent4 105 3" xfId="19511" xr:uid="{00000000-0005-0000-0000-00003B4C0000}"/>
    <cellStyle name="40% - Accent4 106" xfId="19512" xr:uid="{00000000-0005-0000-0000-00003C4C0000}"/>
    <cellStyle name="40% - Accent4 107" xfId="19513" xr:uid="{00000000-0005-0000-0000-00003D4C0000}"/>
    <cellStyle name="40% - Accent4 108" xfId="19514" xr:uid="{00000000-0005-0000-0000-00003E4C0000}"/>
    <cellStyle name="40% - Accent4 109" xfId="19515" xr:uid="{00000000-0005-0000-0000-00003F4C0000}"/>
    <cellStyle name="40% - Accent4 11" xfId="19516" xr:uid="{00000000-0005-0000-0000-0000404C0000}"/>
    <cellStyle name="40% - Accent4 11 2" xfId="19517" xr:uid="{00000000-0005-0000-0000-0000414C0000}"/>
    <cellStyle name="40% - Accent4 11 2 2" xfId="19518" xr:uid="{00000000-0005-0000-0000-0000424C0000}"/>
    <cellStyle name="40% - Accent4 11 3" xfId="19519" xr:uid="{00000000-0005-0000-0000-0000434C0000}"/>
    <cellStyle name="40% - Accent4 110" xfId="19520" xr:uid="{00000000-0005-0000-0000-0000444C0000}"/>
    <cellStyle name="40% - Accent4 110 2" xfId="19521" xr:uid="{00000000-0005-0000-0000-0000454C0000}"/>
    <cellStyle name="40% - Accent4 110 2 2" xfId="19522" xr:uid="{00000000-0005-0000-0000-0000464C0000}"/>
    <cellStyle name="40% - Accent4 110 3" xfId="19523" xr:uid="{00000000-0005-0000-0000-0000474C0000}"/>
    <cellStyle name="40% - Accent4 111" xfId="19524" xr:uid="{00000000-0005-0000-0000-0000484C0000}"/>
    <cellStyle name="40% - Accent4 111 2" xfId="19525" xr:uid="{00000000-0005-0000-0000-0000494C0000}"/>
    <cellStyle name="40% - Accent4 111 2 2" xfId="19526" xr:uid="{00000000-0005-0000-0000-00004A4C0000}"/>
    <cellStyle name="40% - Accent4 111 3" xfId="19527" xr:uid="{00000000-0005-0000-0000-00004B4C0000}"/>
    <cellStyle name="40% - Accent4 112" xfId="19528" xr:uid="{00000000-0005-0000-0000-00004C4C0000}"/>
    <cellStyle name="40% - Accent4 112 2" xfId="19529" xr:uid="{00000000-0005-0000-0000-00004D4C0000}"/>
    <cellStyle name="40% - Accent4 112 2 2" xfId="19530" xr:uid="{00000000-0005-0000-0000-00004E4C0000}"/>
    <cellStyle name="40% - Accent4 112 3" xfId="19531" xr:uid="{00000000-0005-0000-0000-00004F4C0000}"/>
    <cellStyle name="40% - Accent4 113" xfId="19532" xr:uid="{00000000-0005-0000-0000-0000504C0000}"/>
    <cellStyle name="40% - Accent4 114" xfId="19533" xr:uid="{00000000-0005-0000-0000-0000514C0000}"/>
    <cellStyle name="40% - Accent4 115" xfId="19534" xr:uid="{00000000-0005-0000-0000-0000524C0000}"/>
    <cellStyle name="40% - Accent4 116" xfId="19535" xr:uid="{00000000-0005-0000-0000-0000534C0000}"/>
    <cellStyle name="40% - Accent4 117" xfId="19536" xr:uid="{00000000-0005-0000-0000-0000544C0000}"/>
    <cellStyle name="40% - Accent4 117 2" xfId="19537" xr:uid="{00000000-0005-0000-0000-0000554C0000}"/>
    <cellStyle name="40% - Accent4 117 2 2" xfId="19538" xr:uid="{00000000-0005-0000-0000-0000564C0000}"/>
    <cellStyle name="40% - Accent4 117 3" xfId="19539" xr:uid="{00000000-0005-0000-0000-0000574C0000}"/>
    <cellStyle name="40% - Accent4 118" xfId="19540" xr:uid="{00000000-0005-0000-0000-0000584C0000}"/>
    <cellStyle name="40% - Accent4 118 2" xfId="19541" xr:uid="{00000000-0005-0000-0000-0000594C0000}"/>
    <cellStyle name="40% - Accent4 118 2 2" xfId="19542" xr:uid="{00000000-0005-0000-0000-00005A4C0000}"/>
    <cellStyle name="40% - Accent4 118 3" xfId="19543" xr:uid="{00000000-0005-0000-0000-00005B4C0000}"/>
    <cellStyle name="40% - Accent4 119" xfId="19544" xr:uid="{00000000-0005-0000-0000-00005C4C0000}"/>
    <cellStyle name="40% - Accent4 119 2" xfId="19545" xr:uid="{00000000-0005-0000-0000-00005D4C0000}"/>
    <cellStyle name="40% - Accent4 119 2 2" xfId="19546" xr:uid="{00000000-0005-0000-0000-00005E4C0000}"/>
    <cellStyle name="40% - Accent4 119 3" xfId="19547" xr:uid="{00000000-0005-0000-0000-00005F4C0000}"/>
    <cellStyle name="40% - Accent4 12" xfId="19548" xr:uid="{00000000-0005-0000-0000-0000604C0000}"/>
    <cellStyle name="40% - Accent4 12 2" xfId="19549" xr:uid="{00000000-0005-0000-0000-0000614C0000}"/>
    <cellStyle name="40% - Accent4 12 2 2" xfId="19550" xr:uid="{00000000-0005-0000-0000-0000624C0000}"/>
    <cellStyle name="40% - Accent4 12 3" xfId="19551" xr:uid="{00000000-0005-0000-0000-0000634C0000}"/>
    <cellStyle name="40% - Accent4 120" xfId="19552" xr:uid="{00000000-0005-0000-0000-0000644C0000}"/>
    <cellStyle name="40% - Accent4 120 2" xfId="19553" xr:uid="{00000000-0005-0000-0000-0000654C0000}"/>
    <cellStyle name="40% - Accent4 120 2 2" xfId="19554" xr:uid="{00000000-0005-0000-0000-0000664C0000}"/>
    <cellStyle name="40% - Accent4 120 3" xfId="19555" xr:uid="{00000000-0005-0000-0000-0000674C0000}"/>
    <cellStyle name="40% - Accent4 121" xfId="19556" xr:uid="{00000000-0005-0000-0000-0000684C0000}"/>
    <cellStyle name="40% - Accent4 121 2" xfId="19557" xr:uid="{00000000-0005-0000-0000-0000694C0000}"/>
    <cellStyle name="40% - Accent4 121 2 2" xfId="19558" xr:uid="{00000000-0005-0000-0000-00006A4C0000}"/>
    <cellStyle name="40% - Accent4 121 3" xfId="19559" xr:uid="{00000000-0005-0000-0000-00006B4C0000}"/>
    <cellStyle name="40% - Accent4 122" xfId="19560" xr:uid="{00000000-0005-0000-0000-00006C4C0000}"/>
    <cellStyle name="40% - Accent4 122 2" xfId="19561" xr:uid="{00000000-0005-0000-0000-00006D4C0000}"/>
    <cellStyle name="40% - Accent4 122 2 2" xfId="19562" xr:uid="{00000000-0005-0000-0000-00006E4C0000}"/>
    <cellStyle name="40% - Accent4 122 3" xfId="19563" xr:uid="{00000000-0005-0000-0000-00006F4C0000}"/>
    <cellStyle name="40% - Accent4 123" xfId="19564" xr:uid="{00000000-0005-0000-0000-0000704C0000}"/>
    <cellStyle name="40% - Accent4 123 2" xfId="19565" xr:uid="{00000000-0005-0000-0000-0000714C0000}"/>
    <cellStyle name="40% - Accent4 123 2 2" xfId="19566" xr:uid="{00000000-0005-0000-0000-0000724C0000}"/>
    <cellStyle name="40% - Accent4 123 3" xfId="19567" xr:uid="{00000000-0005-0000-0000-0000734C0000}"/>
    <cellStyle name="40% - Accent4 124" xfId="19568" xr:uid="{00000000-0005-0000-0000-0000744C0000}"/>
    <cellStyle name="40% - Accent4 125" xfId="19569" xr:uid="{00000000-0005-0000-0000-0000754C0000}"/>
    <cellStyle name="40% - Accent4 125 2" xfId="19570" xr:uid="{00000000-0005-0000-0000-0000764C0000}"/>
    <cellStyle name="40% - Accent4 125 2 2" xfId="19571" xr:uid="{00000000-0005-0000-0000-0000774C0000}"/>
    <cellStyle name="40% - Accent4 125 3" xfId="19572" xr:uid="{00000000-0005-0000-0000-0000784C0000}"/>
    <cellStyle name="40% - Accent4 126" xfId="19573" xr:uid="{00000000-0005-0000-0000-0000794C0000}"/>
    <cellStyle name="40% - Accent4 126 2" xfId="19574" xr:uid="{00000000-0005-0000-0000-00007A4C0000}"/>
    <cellStyle name="40% - Accent4 126 2 2" xfId="19575" xr:uid="{00000000-0005-0000-0000-00007B4C0000}"/>
    <cellStyle name="40% - Accent4 126 3" xfId="19576" xr:uid="{00000000-0005-0000-0000-00007C4C0000}"/>
    <cellStyle name="40% - Accent4 127" xfId="19577" xr:uid="{00000000-0005-0000-0000-00007D4C0000}"/>
    <cellStyle name="40% - Accent4 127 2" xfId="19578" xr:uid="{00000000-0005-0000-0000-00007E4C0000}"/>
    <cellStyle name="40% - Accent4 127 2 2" xfId="19579" xr:uid="{00000000-0005-0000-0000-00007F4C0000}"/>
    <cellStyle name="40% - Accent4 127 3" xfId="19580" xr:uid="{00000000-0005-0000-0000-0000804C0000}"/>
    <cellStyle name="40% - Accent4 128" xfId="19581" xr:uid="{00000000-0005-0000-0000-0000814C0000}"/>
    <cellStyle name="40% - Accent4 128 2" xfId="19582" xr:uid="{00000000-0005-0000-0000-0000824C0000}"/>
    <cellStyle name="40% - Accent4 128 2 2" xfId="19583" xr:uid="{00000000-0005-0000-0000-0000834C0000}"/>
    <cellStyle name="40% - Accent4 128 3" xfId="19584" xr:uid="{00000000-0005-0000-0000-0000844C0000}"/>
    <cellStyle name="40% - Accent4 129" xfId="19585" xr:uid="{00000000-0005-0000-0000-0000854C0000}"/>
    <cellStyle name="40% - Accent4 129 2" xfId="19586" xr:uid="{00000000-0005-0000-0000-0000864C0000}"/>
    <cellStyle name="40% - Accent4 129 2 2" xfId="19587" xr:uid="{00000000-0005-0000-0000-0000874C0000}"/>
    <cellStyle name="40% - Accent4 129 3" xfId="19588" xr:uid="{00000000-0005-0000-0000-0000884C0000}"/>
    <cellStyle name="40% - Accent4 13" xfId="19589" xr:uid="{00000000-0005-0000-0000-0000894C0000}"/>
    <cellStyle name="40% - Accent4 13 2" xfId="19590" xr:uid="{00000000-0005-0000-0000-00008A4C0000}"/>
    <cellStyle name="40% - Accent4 13 2 2" xfId="19591" xr:uid="{00000000-0005-0000-0000-00008B4C0000}"/>
    <cellStyle name="40% - Accent4 13 3" xfId="19592" xr:uid="{00000000-0005-0000-0000-00008C4C0000}"/>
    <cellStyle name="40% - Accent4 130" xfId="19593" xr:uid="{00000000-0005-0000-0000-00008D4C0000}"/>
    <cellStyle name="40% - Accent4 130 2" xfId="19594" xr:uid="{00000000-0005-0000-0000-00008E4C0000}"/>
    <cellStyle name="40% - Accent4 130 2 2" xfId="19595" xr:uid="{00000000-0005-0000-0000-00008F4C0000}"/>
    <cellStyle name="40% - Accent4 130 3" xfId="19596" xr:uid="{00000000-0005-0000-0000-0000904C0000}"/>
    <cellStyle name="40% - Accent4 131" xfId="19597" xr:uid="{00000000-0005-0000-0000-0000914C0000}"/>
    <cellStyle name="40% - Accent4 131 2" xfId="19598" xr:uid="{00000000-0005-0000-0000-0000924C0000}"/>
    <cellStyle name="40% - Accent4 131 2 2" xfId="19599" xr:uid="{00000000-0005-0000-0000-0000934C0000}"/>
    <cellStyle name="40% - Accent4 131 3" xfId="19600" xr:uid="{00000000-0005-0000-0000-0000944C0000}"/>
    <cellStyle name="40% - Accent4 132" xfId="19601" xr:uid="{00000000-0005-0000-0000-0000954C0000}"/>
    <cellStyle name="40% - Accent4 132 2" xfId="19602" xr:uid="{00000000-0005-0000-0000-0000964C0000}"/>
    <cellStyle name="40% - Accent4 132 2 2" xfId="19603" xr:uid="{00000000-0005-0000-0000-0000974C0000}"/>
    <cellStyle name="40% - Accent4 132 3" xfId="19604" xr:uid="{00000000-0005-0000-0000-0000984C0000}"/>
    <cellStyle name="40% - Accent4 133" xfId="19605" xr:uid="{00000000-0005-0000-0000-0000994C0000}"/>
    <cellStyle name="40% - Accent4 133 2" xfId="19606" xr:uid="{00000000-0005-0000-0000-00009A4C0000}"/>
    <cellStyle name="40% - Accent4 133 2 2" xfId="19607" xr:uid="{00000000-0005-0000-0000-00009B4C0000}"/>
    <cellStyle name="40% - Accent4 133 3" xfId="19608" xr:uid="{00000000-0005-0000-0000-00009C4C0000}"/>
    <cellStyle name="40% - Accent4 134" xfId="19609" xr:uid="{00000000-0005-0000-0000-00009D4C0000}"/>
    <cellStyle name="40% - Accent4 134 2" xfId="19610" xr:uid="{00000000-0005-0000-0000-00009E4C0000}"/>
    <cellStyle name="40% - Accent4 135" xfId="19611" xr:uid="{00000000-0005-0000-0000-00009F4C0000}"/>
    <cellStyle name="40% - Accent4 135 2" xfId="19612" xr:uid="{00000000-0005-0000-0000-0000A04C0000}"/>
    <cellStyle name="40% - Accent4 136" xfId="19613" xr:uid="{00000000-0005-0000-0000-0000A14C0000}"/>
    <cellStyle name="40% - Accent4 136 2" xfId="19614" xr:uid="{00000000-0005-0000-0000-0000A24C0000}"/>
    <cellStyle name="40% - Accent4 137" xfId="19615" xr:uid="{00000000-0005-0000-0000-0000A34C0000}"/>
    <cellStyle name="40% - Accent4 14" xfId="19616" xr:uid="{00000000-0005-0000-0000-0000A44C0000}"/>
    <cellStyle name="40% - Accent4 14 2" xfId="19617" xr:uid="{00000000-0005-0000-0000-0000A54C0000}"/>
    <cellStyle name="40% - Accent4 14 2 2" xfId="19618" xr:uid="{00000000-0005-0000-0000-0000A64C0000}"/>
    <cellStyle name="40% - Accent4 14 3" xfId="19619" xr:uid="{00000000-0005-0000-0000-0000A74C0000}"/>
    <cellStyle name="40% - Accent4 15" xfId="19620" xr:uid="{00000000-0005-0000-0000-0000A84C0000}"/>
    <cellStyle name="40% - Accent4 15 2" xfId="19621" xr:uid="{00000000-0005-0000-0000-0000A94C0000}"/>
    <cellStyle name="40% - Accent4 15 2 2" xfId="19622" xr:uid="{00000000-0005-0000-0000-0000AA4C0000}"/>
    <cellStyle name="40% - Accent4 15 3" xfId="19623" xr:uid="{00000000-0005-0000-0000-0000AB4C0000}"/>
    <cellStyle name="40% - Accent4 16" xfId="19624" xr:uid="{00000000-0005-0000-0000-0000AC4C0000}"/>
    <cellStyle name="40% - Accent4 16 2" xfId="19625" xr:uid="{00000000-0005-0000-0000-0000AD4C0000}"/>
    <cellStyle name="40% - Accent4 17" xfId="19626" xr:uid="{00000000-0005-0000-0000-0000AE4C0000}"/>
    <cellStyle name="40% - Accent4 17 2" xfId="19627" xr:uid="{00000000-0005-0000-0000-0000AF4C0000}"/>
    <cellStyle name="40% - Accent4 18" xfId="19628" xr:uid="{00000000-0005-0000-0000-0000B04C0000}"/>
    <cellStyle name="40% - Accent4 18 2" xfId="19629" xr:uid="{00000000-0005-0000-0000-0000B14C0000}"/>
    <cellStyle name="40% - Accent4 19" xfId="19630" xr:uid="{00000000-0005-0000-0000-0000B24C0000}"/>
    <cellStyle name="40% - Accent4 19 2" xfId="19631" xr:uid="{00000000-0005-0000-0000-0000B34C0000}"/>
    <cellStyle name="40% - Accent4 2" xfId="19632" xr:uid="{00000000-0005-0000-0000-0000B44C0000}"/>
    <cellStyle name="40% - Accent4 2 2" xfId="19633" xr:uid="{00000000-0005-0000-0000-0000B54C0000}"/>
    <cellStyle name="40% - Accent4 2 2 2" xfId="19634" xr:uid="{00000000-0005-0000-0000-0000B64C0000}"/>
    <cellStyle name="40% - Accent4 2 2 2 2" xfId="19635" xr:uid="{00000000-0005-0000-0000-0000B74C0000}"/>
    <cellStyle name="40% - Accent4 2 2 2 2 2" xfId="19636" xr:uid="{00000000-0005-0000-0000-0000B84C0000}"/>
    <cellStyle name="40% - Accent4 2 3" xfId="19637" xr:uid="{00000000-0005-0000-0000-0000B94C0000}"/>
    <cellStyle name="40% - Accent4 2 4" xfId="19638" xr:uid="{00000000-0005-0000-0000-0000BA4C0000}"/>
    <cellStyle name="40% - Accent4 2 5" xfId="41047" xr:uid="{00000000-0005-0000-0000-000009000000}"/>
    <cellStyle name="40% - Accent4 20" xfId="19639" xr:uid="{00000000-0005-0000-0000-0000BB4C0000}"/>
    <cellStyle name="40% - Accent4 20 2" xfId="19640" xr:uid="{00000000-0005-0000-0000-0000BC4C0000}"/>
    <cellStyle name="40% - Accent4 21" xfId="19641" xr:uid="{00000000-0005-0000-0000-0000BD4C0000}"/>
    <cellStyle name="40% - Accent4 21 2" xfId="19642" xr:uid="{00000000-0005-0000-0000-0000BE4C0000}"/>
    <cellStyle name="40% - Accent4 22" xfId="19643" xr:uid="{00000000-0005-0000-0000-0000BF4C0000}"/>
    <cellStyle name="40% - Accent4 22 2" xfId="19644" xr:uid="{00000000-0005-0000-0000-0000C04C0000}"/>
    <cellStyle name="40% - Accent4 23" xfId="19645" xr:uid="{00000000-0005-0000-0000-0000C14C0000}"/>
    <cellStyle name="40% - Accent4 23 2" xfId="19646" xr:uid="{00000000-0005-0000-0000-0000C24C0000}"/>
    <cellStyle name="40% - Accent4 24" xfId="19647" xr:uid="{00000000-0005-0000-0000-0000C34C0000}"/>
    <cellStyle name="40% - Accent4 24 2" xfId="19648" xr:uid="{00000000-0005-0000-0000-0000C44C0000}"/>
    <cellStyle name="40% - Accent4 25" xfId="19649" xr:uid="{00000000-0005-0000-0000-0000C54C0000}"/>
    <cellStyle name="40% - Accent4 25 2" xfId="19650" xr:uid="{00000000-0005-0000-0000-0000C64C0000}"/>
    <cellStyle name="40% - Accent4 26" xfId="19651" xr:uid="{00000000-0005-0000-0000-0000C74C0000}"/>
    <cellStyle name="40% - Accent4 26 2" xfId="19652" xr:uid="{00000000-0005-0000-0000-0000C84C0000}"/>
    <cellStyle name="40% - Accent4 27" xfId="19653" xr:uid="{00000000-0005-0000-0000-0000C94C0000}"/>
    <cellStyle name="40% - Accent4 27 2" xfId="19654" xr:uid="{00000000-0005-0000-0000-0000CA4C0000}"/>
    <cellStyle name="40% - Accent4 28" xfId="19655" xr:uid="{00000000-0005-0000-0000-0000CB4C0000}"/>
    <cellStyle name="40% - Accent4 28 2" xfId="19656" xr:uid="{00000000-0005-0000-0000-0000CC4C0000}"/>
    <cellStyle name="40% - Accent4 29" xfId="19657" xr:uid="{00000000-0005-0000-0000-0000CD4C0000}"/>
    <cellStyle name="40% - Accent4 29 2" xfId="19658" xr:uid="{00000000-0005-0000-0000-0000CE4C0000}"/>
    <cellStyle name="40% - Accent4 3" xfId="19659" xr:uid="{00000000-0005-0000-0000-0000CF4C0000}"/>
    <cellStyle name="40% - Accent4 3 2" xfId="19660" xr:uid="{00000000-0005-0000-0000-0000D04C0000}"/>
    <cellStyle name="40% - Accent4 3 2 2" xfId="19661" xr:uid="{00000000-0005-0000-0000-0000D14C0000}"/>
    <cellStyle name="40% - Accent4 3 3" xfId="19662" xr:uid="{00000000-0005-0000-0000-0000D24C0000}"/>
    <cellStyle name="40% - Accent4 3 4" xfId="19663" xr:uid="{00000000-0005-0000-0000-0000D34C0000}"/>
    <cellStyle name="40% - Accent4 3 5" xfId="19664" xr:uid="{00000000-0005-0000-0000-0000D44C0000}"/>
    <cellStyle name="40% - Accent4 3_MAR 2009" xfId="19665" xr:uid="{00000000-0005-0000-0000-0000D54C0000}"/>
    <cellStyle name="40% - Accent4 30" xfId="19666" xr:uid="{00000000-0005-0000-0000-0000D64C0000}"/>
    <cellStyle name="40% - Accent4 30 2" xfId="19667" xr:uid="{00000000-0005-0000-0000-0000D74C0000}"/>
    <cellStyle name="40% - Accent4 31" xfId="19668" xr:uid="{00000000-0005-0000-0000-0000D84C0000}"/>
    <cellStyle name="40% - Accent4 31 2" xfId="19669" xr:uid="{00000000-0005-0000-0000-0000D94C0000}"/>
    <cellStyle name="40% - Accent4 32" xfId="19670" xr:uid="{00000000-0005-0000-0000-0000DA4C0000}"/>
    <cellStyle name="40% - Accent4 32 2" xfId="19671" xr:uid="{00000000-0005-0000-0000-0000DB4C0000}"/>
    <cellStyle name="40% - Accent4 33" xfId="19672" xr:uid="{00000000-0005-0000-0000-0000DC4C0000}"/>
    <cellStyle name="40% - Accent4 33 2" xfId="19673" xr:uid="{00000000-0005-0000-0000-0000DD4C0000}"/>
    <cellStyle name="40% - Accent4 34" xfId="19674" xr:uid="{00000000-0005-0000-0000-0000DE4C0000}"/>
    <cellStyle name="40% - Accent4 34 2" xfId="19675" xr:uid="{00000000-0005-0000-0000-0000DF4C0000}"/>
    <cellStyle name="40% - Accent4 35" xfId="19676" xr:uid="{00000000-0005-0000-0000-0000E04C0000}"/>
    <cellStyle name="40% - Accent4 35 2" xfId="19677" xr:uid="{00000000-0005-0000-0000-0000E14C0000}"/>
    <cellStyle name="40% - Accent4 36" xfId="19678" xr:uid="{00000000-0005-0000-0000-0000E24C0000}"/>
    <cellStyle name="40% - Accent4 36 2" xfId="19679" xr:uid="{00000000-0005-0000-0000-0000E34C0000}"/>
    <cellStyle name="40% - Accent4 37" xfId="19680" xr:uid="{00000000-0005-0000-0000-0000E44C0000}"/>
    <cellStyle name="40% - Accent4 37 2" xfId="19681" xr:uid="{00000000-0005-0000-0000-0000E54C0000}"/>
    <cellStyle name="40% - Accent4 38" xfId="19682" xr:uid="{00000000-0005-0000-0000-0000E64C0000}"/>
    <cellStyle name="40% - Accent4 38 2" xfId="19683" xr:uid="{00000000-0005-0000-0000-0000E74C0000}"/>
    <cellStyle name="40% - Accent4 39" xfId="19684" xr:uid="{00000000-0005-0000-0000-0000E84C0000}"/>
    <cellStyle name="40% - Accent4 39 2" xfId="19685" xr:uid="{00000000-0005-0000-0000-0000E94C0000}"/>
    <cellStyle name="40% - Accent4 4" xfId="19686" xr:uid="{00000000-0005-0000-0000-0000EA4C0000}"/>
    <cellStyle name="40% - Accent4 4 2" xfId="19687" xr:uid="{00000000-0005-0000-0000-0000EB4C0000}"/>
    <cellStyle name="40% - Accent4 4 2 2" xfId="19688" xr:uid="{00000000-0005-0000-0000-0000EC4C0000}"/>
    <cellStyle name="40% - Accent4 4 3" xfId="19689" xr:uid="{00000000-0005-0000-0000-0000ED4C0000}"/>
    <cellStyle name="40% - Accent4 40" xfId="19690" xr:uid="{00000000-0005-0000-0000-0000EE4C0000}"/>
    <cellStyle name="40% - Accent4 40 2" xfId="19691" xr:uid="{00000000-0005-0000-0000-0000EF4C0000}"/>
    <cellStyle name="40% - Accent4 41" xfId="19692" xr:uid="{00000000-0005-0000-0000-0000F04C0000}"/>
    <cellStyle name="40% - Accent4 41 2" xfId="19693" xr:uid="{00000000-0005-0000-0000-0000F14C0000}"/>
    <cellStyle name="40% - Accent4 42" xfId="19694" xr:uid="{00000000-0005-0000-0000-0000F24C0000}"/>
    <cellStyle name="40% - Accent4 42 2" xfId="19695" xr:uid="{00000000-0005-0000-0000-0000F34C0000}"/>
    <cellStyle name="40% - Accent4 43" xfId="19696" xr:uid="{00000000-0005-0000-0000-0000F44C0000}"/>
    <cellStyle name="40% - Accent4 43 2" xfId="19697" xr:uid="{00000000-0005-0000-0000-0000F54C0000}"/>
    <cellStyle name="40% - Accent4 44" xfId="19698" xr:uid="{00000000-0005-0000-0000-0000F64C0000}"/>
    <cellStyle name="40% - Accent4 44 2" xfId="19699" xr:uid="{00000000-0005-0000-0000-0000F74C0000}"/>
    <cellStyle name="40% - Accent4 45" xfId="19700" xr:uid="{00000000-0005-0000-0000-0000F84C0000}"/>
    <cellStyle name="40% - Accent4 45 2" xfId="19701" xr:uid="{00000000-0005-0000-0000-0000F94C0000}"/>
    <cellStyle name="40% - Accent4 46" xfId="19702" xr:uid="{00000000-0005-0000-0000-0000FA4C0000}"/>
    <cellStyle name="40% - Accent4 46 2" xfId="19703" xr:uid="{00000000-0005-0000-0000-0000FB4C0000}"/>
    <cellStyle name="40% - Accent4 47" xfId="19704" xr:uid="{00000000-0005-0000-0000-0000FC4C0000}"/>
    <cellStyle name="40% - Accent4 47 2" xfId="19705" xr:uid="{00000000-0005-0000-0000-0000FD4C0000}"/>
    <cellStyle name="40% - Accent4 48" xfId="19706" xr:uid="{00000000-0005-0000-0000-0000FE4C0000}"/>
    <cellStyle name="40% - Accent4 48 2" xfId="19707" xr:uid="{00000000-0005-0000-0000-0000FF4C0000}"/>
    <cellStyle name="40% - Accent4 49" xfId="19708" xr:uid="{00000000-0005-0000-0000-0000004D0000}"/>
    <cellStyle name="40% - Accent4 49 2" xfId="19709" xr:uid="{00000000-0005-0000-0000-0000014D0000}"/>
    <cellStyle name="40% - Accent4 5" xfId="19710" xr:uid="{00000000-0005-0000-0000-0000024D0000}"/>
    <cellStyle name="40% - Accent4 5 2" xfId="19711" xr:uid="{00000000-0005-0000-0000-0000034D0000}"/>
    <cellStyle name="40% - Accent4 5 2 2" xfId="19712" xr:uid="{00000000-0005-0000-0000-0000044D0000}"/>
    <cellStyle name="40% - Accent4 5 3" xfId="19713" xr:uid="{00000000-0005-0000-0000-0000054D0000}"/>
    <cellStyle name="40% - Accent4 50" xfId="19714" xr:uid="{00000000-0005-0000-0000-0000064D0000}"/>
    <cellStyle name="40% - Accent4 50 2" xfId="19715" xr:uid="{00000000-0005-0000-0000-0000074D0000}"/>
    <cellStyle name="40% - Accent4 51" xfId="19716" xr:uid="{00000000-0005-0000-0000-0000084D0000}"/>
    <cellStyle name="40% - Accent4 51 2" xfId="19717" xr:uid="{00000000-0005-0000-0000-0000094D0000}"/>
    <cellStyle name="40% - Accent4 52" xfId="19718" xr:uid="{00000000-0005-0000-0000-00000A4D0000}"/>
    <cellStyle name="40% - Accent4 52 2" xfId="19719" xr:uid="{00000000-0005-0000-0000-00000B4D0000}"/>
    <cellStyle name="40% - Accent4 53" xfId="19720" xr:uid="{00000000-0005-0000-0000-00000C4D0000}"/>
    <cellStyle name="40% - Accent4 53 2" xfId="19721" xr:uid="{00000000-0005-0000-0000-00000D4D0000}"/>
    <cellStyle name="40% - Accent4 54" xfId="19722" xr:uid="{00000000-0005-0000-0000-00000E4D0000}"/>
    <cellStyle name="40% - Accent4 54 2" xfId="19723" xr:uid="{00000000-0005-0000-0000-00000F4D0000}"/>
    <cellStyle name="40% - Accent4 55" xfId="19724" xr:uid="{00000000-0005-0000-0000-0000104D0000}"/>
    <cellStyle name="40% - Accent4 55 2" xfId="19725" xr:uid="{00000000-0005-0000-0000-0000114D0000}"/>
    <cellStyle name="40% - Accent4 56" xfId="19726" xr:uid="{00000000-0005-0000-0000-0000124D0000}"/>
    <cellStyle name="40% - Accent4 56 2" xfId="19727" xr:uid="{00000000-0005-0000-0000-0000134D0000}"/>
    <cellStyle name="40% - Accent4 57" xfId="19728" xr:uid="{00000000-0005-0000-0000-0000144D0000}"/>
    <cellStyle name="40% - Accent4 57 2" xfId="19729" xr:uid="{00000000-0005-0000-0000-0000154D0000}"/>
    <cellStyle name="40% - Accent4 58" xfId="19730" xr:uid="{00000000-0005-0000-0000-0000164D0000}"/>
    <cellStyle name="40% - Accent4 58 2" xfId="19731" xr:uid="{00000000-0005-0000-0000-0000174D0000}"/>
    <cellStyle name="40% - Accent4 59" xfId="19732" xr:uid="{00000000-0005-0000-0000-0000184D0000}"/>
    <cellStyle name="40% - Accent4 59 2" xfId="19733" xr:uid="{00000000-0005-0000-0000-0000194D0000}"/>
    <cellStyle name="40% - Accent4 6" xfId="19734" xr:uid="{00000000-0005-0000-0000-00001A4D0000}"/>
    <cellStyle name="40% - Accent4 6 2" xfId="19735" xr:uid="{00000000-0005-0000-0000-00001B4D0000}"/>
    <cellStyle name="40% - Accent4 6 2 2" xfId="19736" xr:uid="{00000000-0005-0000-0000-00001C4D0000}"/>
    <cellStyle name="40% - Accent4 6 3" xfId="19737" xr:uid="{00000000-0005-0000-0000-00001D4D0000}"/>
    <cellStyle name="40% - Accent4 60" xfId="19738" xr:uid="{00000000-0005-0000-0000-00001E4D0000}"/>
    <cellStyle name="40% - Accent4 60 2" xfId="19739" xr:uid="{00000000-0005-0000-0000-00001F4D0000}"/>
    <cellStyle name="40% - Accent4 61" xfId="19740" xr:uid="{00000000-0005-0000-0000-0000204D0000}"/>
    <cellStyle name="40% - Accent4 61 2" xfId="19741" xr:uid="{00000000-0005-0000-0000-0000214D0000}"/>
    <cellStyle name="40% - Accent4 62" xfId="19742" xr:uid="{00000000-0005-0000-0000-0000224D0000}"/>
    <cellStyle name="40% - Accent4 62 2" xfId="19743" xr:uid="{00000000-0005-0000-0000-0000234D0000}"/>
    <cellStyle name="40% - Accent4 63" xfId="19744" xr:uid="{00000000-0005-0000-0000-0000244D0000}"/>
    <cellStyle name="40% - Accent4 63 2" xfId="19745" xr:uid="{00000000-0005-0000-0000-0000254D0000}"/>
    <cellStyle name="40% - Accent4 64" xfId="19746" xr:uid="{00000000-0005-0000-0000-0000264D0000}"/>
    <cellStyle name="40% - Accent4 64 2" xfId="19747" xr:uid="{00000000-0005-0000-0000-0000274D0000}"/>
    <cellStyle name="40% - Accent4 65" xfId="19748" xr:uid="{00000000-0005-0000-0000-0000284D0000}"/>
    <cellStyle name="40% - Accent4 65 2" xfId="19749" xr:uid="{00000000-0005-0000-0000-0000294D0000}"/>
    <cellStyle name="40% - Accent4 66" xfId="19750" xr:uid="{00000000-0005-0000-0000-00002A4D0000}"/>
    <cellStyle name="40% - Accent4 66 2" xfId="19751" xr:uid="{00000000-0005-0000-0000-00002B4D0000}"/>
    <cellStyle name="40% - Accent4 67" xfId="19752" xr:uid="{00000000-0005-0000-0000-00002C4D0000}"/>
    <cellStyle name="40% - Accent4 67 2" xfId="19753" xr:uid="{00000000-0005-0000-0000-00002D4D0000}"/>
    <cellStyle name="40% - Accent4 68" xfId="19754" xr:uid="{00000000-0005-0000-0000-00002E4D0000}"/>
    <cellStyle name="40% - Accent4 68 2" xfId="19755" xr:uid="{00000000-0005-0000-0000-00002F4D0000}"/>
    <cellStyle name="40% - Accent4 69" xfId="19756" xr:uid="{00000000-0005-0000-0000-0000304D0000}"/>
    <cellStyle name="40% - Accent4 69 2" xfId="19757" xr:uid="{00000000-0005-0000-0000-0000314D0000}"/>
    <cellStyle name="40% - Accent4 7" xfId="19758" xr:uid="{00000000-0005-0000-0000-0000324D0000}"/>
    <cellStyle name="40% - Accent4 7 2" xfId="19759" xr:uid="{00000000-0005-0000-0000-0000334D0000}"/>
    <cellStyle name="40% - Accent4 7 2 2" xfId="19760" xr:uid="{00000000-0005-0000-0000-0000344D0000}"/>
    <cellStyle name="40% - Accent4 7 3" xfId="19761" xr:uid="{00000000-0005-0000-0000-0000354D0000}"/>
    <cellStyle name="40% - Accent4 7 4" xfId="19762" xr:uid="{00000000-0005-0000-0000-0000364D0000}"/>
    <cellStyle name="40% - Accent4 70" xfId="19763" xr:uid="{00000000-0005-0000-0000-0000374D0000}"/>
    <cellStyle name="40% - Accent4 70 2" xfId="19764" xr:uid="{00000000-0005-0000-0000-0000384D0000}"/>
    <cellStyle name="40% - Accent4 71" xfId="19765" xr:uid="{00000000-0005-0000-0000-0000394D0000}"/>
    <cellStyle name="40% - Accent4 71 2" xfId="19766" xr:uid="{00000000-0005-0000-0000-00003A4D0000}"/>
    <cellStyle name="40% - Accent4 72" xfId="19767" xr:uid="{00000000-0005-0000-0000-00003B4D0000}"/>
    <cellStyle name="40% - Accent4 72 2" xfId="19768" xr:uid="{00000000-0005-0000-0000-00003C4D0000}"/>
    <cellStyle name="40% - Accent4 73" xfId="19769" xr:uid="{00000000-0005-0000-0000-00003D4D0000}"/>
    <cellStyle name="40% - Accent4 73 10" xfId="19770" xr:uid="{00000000-0005-0000-0000-00003E4D0000}"/>
    <cellStyle name="40% - Accent4 73 10 2" xfId="19771" xr:uid="{00000000-0005-0000-0000-00003F4D0000}"/>
    <cellStyle name="40% - Accent4 73 10 2 2" xfId="19772" xr:uid="{00000000-0005-0000-0000-0000404D0000}"/>
    <cellStyle name="40% - Accent4 73 10 3" xfId="19773" xr:uid="{00000000-0005-0000-0000-0000414D0000}"/>
    <cellStyle name="40% - Accent4 73 11" xfId="19774" xr:uid="{00000000-0005-0000-0000-0000424D0000}"/>
    <cellStyle name="40% - Accent4 73 11 2" xfId="19775" xr:uid="{00000000-0005-0000-0000-0000434D0000}"/>
    <cellStyle name="40% - Accent4 73 11 2 2" xfId="19776" xr:uid="{00000000-0005-0000-0000-0000444D0000}"/>
    <cellStyle name="40% - Accent4 73 11 3" xfId="19777" xr:uid="{00000000-0005-0000-0000-0000454D0000}"/>
    <cellStyle name="40% - Accent4 73 12" xfId="19778" xr:uid="{00000000-0005-0000-0000-0000464D0000}"/>
    <cellStyle name="40% - Accent4 73 12 2" xfId="19779" xr:uid="{00000000-0005-0000-0000-0000474D0000}"/>
    <cellStyle name="40% - Accent4 73 12 2 2" xfId="19780" xr:uid="{00000000-0005-0000-0000-0000484D0000}"/>
    <cellStyle name="40% - Accent4 73 12 3" xfId="19781" xr:uid="{00000000-0005-0000-0000-0000494D0000}"/>
    <cellStyle name="40% - Accent4 73 13" xfId="19782" xr:uid="{00000000-0005-0000-0000-00004A4D0000}"/>
    <cellStyle name="40% - Accent4 73 13 2" xfId="19783" xr:uid="{00000000-0005-0000-0000-00004B4D0000}"/>
    <cellStyle name="40% - Accent4 73 13 2 2" xfId="19784" xr:uid="{00000000-0005-0000-0000-00004C4D0000}"/>
    <cellStyle name="40% - Accent4 73 13 3" xfId="19785" xr:uid="{00000000-0005-0000-0000-00004D4D0000}"/>
    <cellStyle name="40% - Accent4 73 14" xfId="19786" xr:uid="{00000000-0005-0000-0000-00004E4D0000}"/>
    <cellStyle name="40% - Accent4 73 14 2" xfId="19787" xr:uid="{00000000-0005-0000-0000-00004F4D0000}"/>
    <cellStyle name="40% - Accent4 73 14 2 2" xfId="19788" xr:uid="{00000000-0005-0000-0000-0000504D0000}"/>
    <cellStyle name="40% - Accent4 73 14 3" xfId="19789" xr:uid="{00000000-0005-0000-0000-0000514D0000}"/>
    <cellStyle name="40% - Accent4 73 15" xfId="19790" xr:uid="{00000000-0005-0000-0000-0000524D0000}"/>
    <cellStyle name="40% - Accent4 73 15 2" xfId="19791" xr:uid="{00000000-0005-0000-0000-0000534D0000}"/>
    <cellStyle name="40% - Accent4 73 15 2 2" xfId="19792" xr:uid="{00000000-0005-0000-0000-0000544D0000}"/>
    <cellStyle name="40% - Accent4 73 15 3" xfId="19793" xr:uid="{00000000-0005-0000-0000-0000554D0000}"/>
    <cellStyle name="40% - Accent4 73 16" xfId="19794" xr:uid="{00000000-0005-0000-0000-0000564D0000}"/>
    <cellStyle name="40% - Accent4 73 16 2" xfId="19795" xr:uid="{00000000-0005-0000-0000-0000574D0000}"/>
    <cellStyle name="40% - Accent4 73 16 2 2" xfId="19796" xr:uid="{00000000-0005-0000-0000-0000584D0000}"/>
    <cellStyle name="40% - Accent4 73 16 3" xfId="19797" xr:uid="{00000000-0005-0000-0000-0000594D0000}"/>
    <cellStyle name="40% - Accent4 73 17" xfId="19798" xr:uid="{00000000-0005-0000-0000-00005A4D0000}"/>
    <cellStyle name="40% - Accent4 73 17 2" xfId="19799" xr:uid="{00000000-0005-0000-0000-00005B4D0000}"/>
    <cellStyle name="40% - Accent4 73 17 2 2" xfId="19800" xr:uid="{00000000-0005-0000-0000-00005C4D0000}"/>
    <cellStyle name="40% - Accent4 73 17 3" xfId="19801" xr:uid="{00000000-0005-0000-0000-00005D4D0000}"/>
    <cellStyle name="40% - Accent4 73 18" xfId="19802" xr:uid="{00000000-0005-0000-0000-00005E4D0000}"/>
    <cellStyle name="40% - Accent4 73 18 2" xfId="19803" xr:uid="{00000000-0005-0000-0000-00005F4D0000}"/>
    <cellStyle name="40% - Accent4 73 18 2 2" xfId="19804" xr:uid="{00000000-0005-0000-0000-0000604D0000}"/>
    <cellStyle name="40% - Accent4 73 18 3" xfId="19805" xr:uid="{00000000-0005-0000-0000-0000614D0000}"/>
    <cellStyle name="40% - Accent4 73 19" xfId="19806" xr:uid="{00000000-0005-0000-0000-0000624D0000}"/>
    <cellStyle name="40% - Accent4 73 19 2" xfId="19807" xr:uid="{00000000-0005-0000-0000-0000634D0000}"/>
    <cellStyle name="40% - Accent4 73 19 2 2" xfId="19808" xr:uid="{00000000-0005-0000-0000-0000644D0000}"/>
    <cellStyle name="40% - Accent4 73 19 3" xfId="19809" xr:uid="{00000000-0005-0000-0000-0000654D0000}"/>
    <cellStyle name="40% - Accent4 73 2" xfId="19810" xr:uid="{00000000-0005-0000-0000-0000664D0000}"/>
    <cellStyle name="40% - Accent4 73 2 2" xfId="19811" xr:uid="{00000000-0005-0000-0000-0000674D0000}"/>
    <cellStyle name="40% - Accent4 73 2 2 2" xfId="19812" xr:uid="{00000000-0005-0000-0000-0000684D0000}"/>
    <cellStyle name="40% - Accent4 73 2 3" xfId="19813" xr:uid="{00000000-0005-0000-0000-0000694D0000}"/>
    <cellStyle name="40% - Accent4 73 20" xfId="19814" xr:uid="{00000000-0005-0000-0000-00006A4D0000}"/>
    <cellStyle name="40% - Accent4 73 20 2" xfId="19815" xr:uid="{00000000-0005-0000-0000-00006B4D0000}"/>
    <cellStyle name="40% - Accent4 73 20 2 2" xfId="19816" xr:uid="{00000000-0005-0000-0000-00006C4D0000}"/>
    <cellStyle name="40% - Accent4 73 20 3" xfId="19817" xr:uid="{00000000-0005-0000-0000-00006D4D0000}"/>
    <cellStyle name="40% - Accent4 73 21" xfId="19818" xr:uid="{00000000-0005-0000-0000-00006E4D0000}"/>
    <cellStyle name="40% - Accent4 73 21 2" xfId="19819" xr:uid="{00000000-0005-0000-0000-00006F4D0000}"/>
    <cellStyle name="40% - Accent4 73 21 2 2" xfId="19820" xr:uid="{00000000-0005-0000-0000-0000704D0000}"/>
    <cellStyle name="40% - Accent4 73 21 3" xfId="19821" xr:uid="{00000000-0005-0000-0000-0000714D0000}"/>
    <cellStyle name="40% - Accent4 73 22" xfId="19822" xr:uid="{00000000-0005-0000-0000-0000724D0000}"/>
    <cellStyle name="40% - Accent4 73 22 2" xfId="19823" xr:uid="{00000000-0005-0000-0000-0000734D0000}"/>
    <cellStyle name="40% - Accent4 73 22 2 2" xfId="19824" xr:uid="{00000000-0005-0000-0000-0000744D0000}"/>
    <cellStyle name="40% - Accent4 73 22 3" xfId="19825" xr:uid="{00000000-0005-0000-0000-0000754D0000}"/>
    <cellStyle name="40% - Accent4 73 23" xfId="19826" xr:uid="{00000000-0005-0000-0000-0000764D0000}"/>
    <cellStyle name="40% - Accent4 73 23 2" xfId="19827" xr:uid="{00000000-0005-0000-0000-0000774D0000}"/>
    <cellStyle name="40% - Accent4 73 23 2 2" xfId="19828" xr:uid="{00000000-0005-0000-0000-0000784D0000}"/>
    <cellStyle name="40% - Accent4 73 23 3" xfId="19829" xr:uid="{00000000-0005-0000-0000-0000794D0000}"/>
    <cellStyle name="40% - Accent4 73 24" xfId="19830" xr:uid="{00000000-0005-0000-0000-00007A4D0000}"/>
    <cellStyle name="40% - Accent4 73 24 2" xfId="19831" xr:uid="{00000000-0005-0000-0000-00007B4D0000}"/>
    <cellStyle name="40% - Accent4 73 24 2 2" xfId="19832" xr:uid="{00000000-0005-0000-0000-00007C4D0000}"/>
    <cellStyle name="40% - Accent4 73 24 3" xfId="19833" xr:uid="{00000000-0005-0000-0000-00007D4D0000}"/>
    <cellStyle name="40% - Accent4 73 25" xfId="19834" xr:uid="{00000000-0005-0000-0000-00007E4D0000}"/>
    <cellStyle name="40% - Accent4 73 25 2" xfId="19835" xr:uid="{00000000-0005-0000-0000-00007F4D0000}"/>
    <cellStyle name="40% - Accent4 73 25 2 2" xfId="19836" xr:uid="{00000000-0005-0000-0000-0000804D0000}"/>
    <cellStyle name="40% - Accent4 73 25 3" xfId="19837" xr:uid="{00000000-0005-0000-0000-0000814D0000}"/>
    <cellStyle name="40% - Accent4 73 26" xfId="19838" xr:uid="{00000000-0005-0000-0000-0000824D0000}"/>
    <cellStyle name="40% - Accent4 73 26 2" xfId="19839" xr:uid="{00000000-0005-0000-0000-0000834D0000}"/>
    <cellStyle name="40% - Accent4 73 26 2 2" xfId="19840" xr:uid="{00000000-0005-0000-0000-0000844D0000}"/>
    <cellStyle name="40% - Accent4 73 26 3" xfId="19841" xr:uid="{00000000-0005-0000-0000-0000854D0000}"/>
    <cellStyle name="40% - Accent4 73 27" xfId="19842" xr:uid="{00000000-0005-0000-0000-0000864D0000}"/>
    <cellStyle name="40% - Accent4 73 27 2" xfId="19843" xr:uid="{00000000-0005-0000-0000-0000874D0000}"/>
    <cellStyle name="40% - Accent4 73 27 2 2" xfId="19844" xr:uid="{00000000-0005-0000-0000-0000884D0000}"/>
    <cellStyle name="40% - Accent4 73 27 3" xfId="19845" xr:uid="{00000000-0005-0000-0000-0000894D0000}"/>
    <cellStyle name="40% - Accent4 73 28" xfId="19846" xr:uid="{00000000-0005-0000-0000-00008A4D0000}"/>
    <cellStyle name="40% - Accent4 73 28 2" xfId="19847" xr:uid="{00000000-0005-0000-0000-00008B4D0000}"/>
    <cellStyle name="40% - Accent4 73 28 2 2" xfId="19848" xr:uid="{00000000-0005-0000-0000-00008C4D0000}"/>
    <cellStyle name="40% - Accent4 73 28 3" xfId="19849" xr:uid="{00000000-0005-0000-0000-00008D4D0000}"/>
    <cellStyle name="40% - Accent4 73 29" xfId="19850" xr:uid="{00000000-0005-0000-0000-00008E4D0000}"/>
    <cellStyle name="40% - Accent4 73 29 2" xfId="19851" xr:uid="{00000000-0005-0000-0000-00008F4D0000}"/>
    <cellStyle name="40% - Accent4 73 29 2 2" xfId="19852" xr:uid="{00000000-0005-0000-0000-0000904D0000}"/>
    <cellStyle name="40% - Accent4 73 29 3" xfId="19853" xr:uid="{00000000-0005-0000-0000-0000914D0000}"/>
    <cellStyle name="40% - Accent4 73 3" xfId="19854" xr:uid="{00000000-0005-0000-0000-0000924D0000}"/>
    <cellStyle name="40% - Accent4 73 3 2" xfId="19855" xr:uid="{00000000-0005-0000-0000-0000934D0000}"/>
    <cellStyle name="40% - Accent4 73 3 2 2" xfId="19856" xr:uid="{00000000-0005-0000-0000-0000944D0000}"/>
    <cellStyle name="40% - Accent4 73 3 3" xfId="19857" xr:uid="{00000000-0005-0000-0000-0000954D0000}"/>
    <cellStyle name="40% - Accent4 73 30" xfId="19858" xr:uid="{00000000-0005-0000-0000-0000964D0000}"/>
    <cellStyle name="40% - Accent4 73 30 2" xfId="19859" xr:uid="{00000000-0005-0000-0000-0000974D0000}"/>
    <cellStyle name="40% - Accent4 73 30 2 2" xfId="19860" xr:uid="{00000000-0005-0000-0000-0000984D0000}"/>
    <cellStyle name="40% - Accent4 73 30 3" xfId="19861" xr:uid="{00000000-0005-0000-0000-0000994D0000}"/>
    <cellStyle name="40% - Accent4 73 31" xfId="19862" xr:uid="{00000000-0005-0000-0000-00009A4D0000}"/>
    <cellStyle name="40% - Accent4 73 31 2" xfId="19863" xr:uid="{00000000-0005-0000-0000-00009B4D0000}"/>
    <cellStyle name="40% - Accent4 73 31 2 2" xfId="19864" xr:uid="{00000000-0005-0000-0000-00009C4D0000}"/>
    <cellStyle name="40% - Accent4 73 31 3" xfId="19865" xr:uid="{00000000-0005-0000-0000-00009D4D0000}"/>
    <cellStyle name="40% - Accent4 73 32" xfId="19866" xr:uid="{00000000-0005-0000-0000-00009E4D0000}"/>
    <cellStyle name="40% - Accent4 73 32 2" xfId="19867" xr:uid="{00000000-0005-0000-0000-00009F4D0000}"/>
    <cellStyle name="40% - Accent4 73 32 2 2" xfId="19868" xr:uid="{00000000-0005-0000-0000-0000A04D0000}"/>
    <cellStyle name="40% - Accent4 73 32 3" xfId="19869" xr:uid="{00000000-0005-0000-0000-0000A14D0000}"/>
    <cellStyle name="40% - Accent4 73 33" xfId="19870" xr:uid="{00000000-0005-0000-0000-0000A24D0000}"/>
    <cellStyle name="40% - Accent4 73 33 2" xfId="19871" xr:uid="{00000000-0005-0000-0000-0000A34D0000}"/>
    <cellStyle name="40% - Accent4 73 33 2 2" xfId="19872" xr:uid="{00000000-0005-0000-0000-0000A44D0000}"/>
    <cellStyle name="40% - Accent4 73 33 3" xfId="19873" xr:uid="{00000000-0005-0000-0000-0000A54D0000}"/>
    <cellStyle name="40% - Accent4 73 34" xfId="19874" xr:uid="{00000000-0005-0000-0000-0000A64D0000}"/>
    <cellStyle name="40% - Accent4 73 34 2" xfId="19875" xr:uid="{00000000-0005-0000-0000-0000A74D0000}"/>
    <cellStyle name="40% - Accent4 73 34 2 2" xfId="19876" xr:uid="{00000000-0005-0000-0000-0000A84D0000}"/>
    <cellStyle name="40% - Accent4 73 34 3" xfId="19877" xr:uid="{00000000-0005-0000-0000-0000A94D0000}"/>
    <cellStyle name="40% - Accent4 73 35" xfId="19878" xr:uid="{00000000-0005-0000-0000-0000AA4D0000}"/>
    <cellStyle name="40% - Accent4 73 35 2" xfId="19879" xr:uid="{00000000-0005-0000-0000-0000AB4D0000}"/>
    <cellStyle name="40% - Accent4 73 35 2 2" xfId="19880" xr:uid="{00000000-0005-0000-0000-0000AC4D0000}"/>
    <cellStyle name="40% - Accent4 73 35 3" xfId="19881" xr:uid="{00000000-0005-0000-0000-0000AD4D0000}"/>
    <cellStyle name="40% - Accent4 73 36" xfId="19882" xr:uid="{00000000-0005-0000-0000-0000AE4D0000}"/>
    <cellStyle name="40% - Accent4 73 36 2" xfId="19883" xr:uid="{00000000-0005-0000-0000-0000AF4D0000}"/>
    <cellStyle name="40% - Accent4 73 36 2 2" xfId="19884" xr:uid="{00000000-0005-0000-0000-0000B04D0000}"/>
    <cellStyle name="40% - Accent4 73 36 3" xfId="19885" xr:uid="{00000000-0005-0000-0000-0000B14D0000}"/>
    <cellStyle name="40% - Accent4 73 4" xfId="19886" xr:uid="{00000000-0005-0000-0000-0000B24D0000}"/>
    <cellStyle name="40% - Accent4 73 4 2" xfId="19887" xr:uid="{00000000-0005-0000-0000-0000B34D0000}"/>
    <cellStyle name="40% - Accent4 73 4 2 2" xfId="19888" xr:uid="{00000000-0005-0000-0000-0000B44D0000}"/>
    <cellStyle name="40% - Accent4 73 4 3" xfId="19889" xr:uid="{00000000-0005-0000-0000-0000B54D0000}"/>
    <cellStyle name="40% - Accent4 73 5" xfId="19890" xr:uid="{00000000-0005-0000-0000-0000B64D0000}"/>
    <cellStyle name="40% - Accent4 73 5 2" xfId="19891" xr:uid="{00000000-0005-0000-0000-0000B74D0000}"/>
    <cellStyle name="40% - Accent4 73 5 2 2" xfId="19892" xr:uid="{00000000-0005-0000-0000-0000B84D0000}"/>
    <cellStyle name="40% - Accent4 73 5 3" xfId="19893" xr:uid="{00000000-0005-0000-0000-0000B94D0000}"/>
    <cellStyle name="40% - Accent4 73 6" xfId="19894" xr:uid="{00000000-0005-0000-0000-0000BA4D0000}"/>
    <cellStyle name="40% - Accent4 73 6 2" xfId="19895" xr:uid="{00000000-0005-0000-0000-0000BB4D0000}"/>
    <cellStyle name="40% - Accent4 73 6 2 2" xfId="19896" xr:uid="{00000000-0005-0000-0000-0000BC4D0000}"/>
    <cellStyle name="40% - Accent4 73 6 3" xfId="19897" xr:uid="{00000000-0005-0000-0000-0000BD4D0000}"/>
    <cellStyle name="40% - Accent4 73 7" xfId="19898" xr:uid="{00000000-0005-0000-0000-0000BE4D0000}"/>
    <cellStyle name="40% - Accent4 73 7 2" xfId="19899" xr:uid="{00000000-0005-0000-0000-0000BF4D0000}"/>
    <cellStyle name="40% - Accent4 73 7 2 2" xfId="19900" xr:uid="{00000000-0005-0000-0000-0000C04D0000}"/>
    <cellStyle name="40% - Accent4 73 7 3" xfId="19901" xr:uid="{00000000-0005-0000-0000-0000C14D0000}"/>
    <cellStyle name="40% - Accent4 73 8" xfId="19902" xr:uid="{00000000-0005-0000-0000-0000C24D0000}"/>
    <cellStyle name="40% - Accent4 73 8 2" xfId="19903" xr:uid="{00000000-0005-0000-0000-0000C34D0000}"/>
    <cellStyle name="40% - Accent4 73 8 2 2" xfId="19904" xr:uid="{00000000-0005-0000-0000-0000C44D0000}"/>
    <cellStyle name="40% - Accent4 73 8 3" xfId="19905" xr:uid="{00000000-0005-0000-0000-0000C54D0000}"/>
    <cellStyle name="40% - Accent4 73 9" xfId="19906" xr:uid="{00000000-0005-0000-0000-0000C64D0000}"/>
    <cellStyle name="40% - Accent4 73 9 2" xfId="19907" xr:uid="{00000000-0005-0000-0000-0000C74D0000}"/>
    <cellStyle name="40% - Accent4 73 9 2 2" xfId="19908" xr:uid="{00000000-0005-0000-0000-0000C84D0000}"/>
    <cellStyle name="40% - Accent4 73 9 3" xfId="19909" xr:uid="{00000000-0005-0000-0000-0000C94D0000}"/>
    <cellStyle name="40% - Accent4 74" xfId="19910" xr:uid="{00000000-0005-0000-0000-0000CA4D0000}"/>
    <cellStyle name="40% - Accent4 74 10" xfId="19911" xr:uid="{00000000-0005-0000-0000-0000CB4D0000}"/>
    <cellStyle name="40% - Accent4 74 10 2" xfId="19912" xr:uid="{00000000-0005-0000-0000-0000CC4D0000}"/>
    <cellStyle name="40% - Accent4 74 10 2 2" xfId="19913" xr:uid="{00000000-0005-0000-0000-0000CD4D0000}"/>
    <cellStyle name="40% - Accent4 74 10 3" xfId="19914" xr:uid="{00000000-0005-0000-0000-0000CE4D0000}"/>
    <cellStyle name="40% - Accent4 74 11" xfId="19915" xr:uid="{00000000-0005-0000-0000-0000CF4D0000}"/>
    <cellStyle name="40% - Accent4 74 11 2" xfId="19916" xr:uid="{00000000-0005-0000-0000-0000D04D0000}"/>
    <cellStyle name="40% - Accent4 74 11 2 2" xfId="19917" xr:uid="{00000000-0005-0000-0000-0000D14D0000}"/>
    <cellStyle name="40% - Accent4 74 11 3" xfId="19918" xr:uid="{00000000-0005-0000-0000-0000D24D0000}"/>
    <cellStyle name="40% - Accent4 74 12" xfId="19919" xr:uid="{00000000-0005-0000-0000-0000D34D0000}"/>
    <cellStyle name="40% - Accent4 74 12 2" xfId="19920" xr:uid="{00000000-0005-0000-0000-0000D44D0000}"/>
    <cellStyle name="40% - Accent4 74 12 2 2" xfId="19921" xr:uid="{00000000-0005-0000-0000-0000D54D0000}"/>
    <cellStyle name="40% - Accent4 74 12 3" xfId="19922" xr:uid="{00000000-0005-0000-0000-0000D64D0000}"/>
    <cellStyle name="40% - Accent4 74 13" xfId="19923" xr:uid="{00000000-0005-0000-0000-0000D74D0000}"/>
    <cellStyle name="40% - Accent4 74 13 2" xfId="19924" xr:uid="{00000000-0005-0000-0000-0000D84D0000}"/>
    <cellStyle name="40% - Accent4 74 13 2 2" xfId="19925" xr:uid="{00000000-0005-0000-0000-0000D94D0000}"/>
    <cellStyle name="40% - Accent4 74 13 3" xfId="19926" xr:uid="{00000000-0005-0000-0000-0000DA4D0000}"/>
    <cellStyle name="40% - Accent4 74 14" xfId="19927" xr:uid="{00000000-0005-0000-0000-0000DB4D0000}"/>
    <cellStyle name="40% - Accent4 74 14 2" xfId="19928" xr:uid="{00000000-0005-0000-0000-0000DC4D0000}"/>
    <cellStyle name="40% - Accent4 74 14 2 2" xfId="19929" xr:uid="{00000000-0005-0000-0000-0000DD4D0000}"/>
    <cellStyle name="40% - Accent4 74 14 3" xfId="19930" xr:uid="{00000000-0005-0000-0000-0000DE4D0000}"/>
    <cellStyle name="40% - Accent4 74 15" xfId="19931" xr:uid="{00000000-0005-0000-0000-0000DF4D0000}"/>
    <cellStyle name="40% - Accent4 74 15 2" xfId="19932" xr:uid="{00000000-0005-0000-0000-0000E04D0000}"/>
    <cellStyle name="40% - Accent4 74 15 2 2" xfId="19933" xr:uid="{00000000-0005-0000-0000-0000E14D0000}"/>
    <cellStyle name="40% - Accent4 74 15 3" xfId="19934" xr:uid="{00000000-0005-0000-0000-0000E24D0000}"/>
    <cellStyle name="40% - Accent4 74 16" xfId="19935" xr:uid="{00000000-0005-0000-0000-0000E34D0000}"/>
    <cellStyle name="40% - Accent4 74 16 2" xfId="19936" xr:uid="{00000000-0005-0000-0000-0000E44D0000}"/>
    <cellStyle name="40% - Accent4 74 16 2 2" xfId="19937" xr:uid="{00000000-0005-0000-0000-0000E54D0000}"/>
    <cellStyle name="40% - Accent4 74 16 3" xfId="19938" xr:uid="{00000000-0005-0000-0000-0000E64D0000}"/>
    <cellStyle name="40% - Accent4 74 17" xfId="19939" xr:uid="{00000000-0005-0000-0000-0000E74D0000}"/>
    <cellStyle name="40% - Accent4 74 17 2" xfId="19940" xr:uid="{00000000-0005-0000-0000-0000E84D0000}"/>
    <cellStyle name="40% - Accent4 74 17 2 2" xfId="19941" xr:uid="{00000000-0005-0000-0000-0000E94D0000}"/>
    <cellStyle name="40% - Accent4 74 17 3" xfId="19942" xr:uid="{00000000-0005-0000-0000-0000EA4D0000}"/>
    <cellStyle name="40% - Accent4 74 18" xfId="19943" xr:uid="{00000000-0005-0000-0000-0000EB4D0000}"/>
    <cellStyle name="40% - Accent4 74 18 2" xfId="19944" xr:uid="{00000000-0005-0000-0000-0000EC4D0000}"/>
    <cellStyle name="40% - Accent4 74 18 2 2" xfId="19945" xr:uid="{00000000-0005-0000-0000-0000ED4D0000}"/>
    <cellStyle name="40% - Accent4 74 18 3" xfId="19946" xr:uid="{00000000-0005-0000-0000-0000EE4D0000}"/>
    <cellStyle name="40% - Accent4 74 19" xfId="19947" xr:uid="{00000000-0005-0000-0000-0000EF4D0000}"/>
    <cellStyle name="40% - Accent4 74 19 2" xfId="19948" xr:uid="{00000000-0005-0000-0000-0000F04D0000}"/>
    <cellStyle name="40% - Accent4 74 19 2 2" xfId="19949" xr:uid="{00000000-0005-0000-0000-0000F14D0000}"/>
    <cellStyle name="40% - Accent4 74 19 3" xfId="19950" xr:uid="{00000000-0005-0000-0000-0000F24D0000}"/>
    <cellStyle name="40% - Accent4 74 2" xfId="19951" xr:uid="{00000000-0005-0000-0000-0000F34D0000}"/>
    <cellStyle name="40% - Accent4 74 2 2" xfId="19952" xr:uid="{00000000-0005-0000-0000-0000F44D0000}"/>
    <cellStyle name="40% - Accent4 74 2 2 2" xfId="19953" xr:uid="{00000000-0005-0000-0000-0000F54D0000}"/>
    <cellStyle name="40% - Accent4 74 2 3" xfId="19954" xr:uid="{00000000-0005-0000-0000-0000F64D0000}"/>
    <cellStyle name="40% - Accent4 74 20" xfId="19955" xr:uid="{00000000-0005-0000-0000-0000F74D0000}"/>
    <cellStyle name="40% - Accent4 74 20 2" xfId="19956" xr:uid="{00000000-0005-0000-0000-0000F84D0000}"/>
    <cellStyle name="40% - Accent4 74 20 2 2" xfId="19957" xr:uid="{00000000-0005-0000-0000-0000F94D0000}"/>
    <cellStyle name="40% - Accent4 74 20 3" xfId="19958" xr:uid="{00000000-0005-0000-0000-0000FA4D0000}"/>
    <cellStyle name="40% - Accent4 74 21" xfId="19959" xr:uid="{00000000-0005-0000-0000-0000FB4D0000}"/>
    <cellStyle name="40% - Accent4 74 21 2" xfId="19960" xr:uid="{00000000-0005-0000-0000-0000FC4D0000}"/>
    <cellStyle name="40% - Accent4 74 21 2 2" xfId="19961" xr:uid="{00000000-0005-0000-0000-0000FD4D0000}"/>
    <cellStyle name="40% - Accent4 74 21 3" xfId="19962" xr:uid="{00000000-0005-0000-0000-0000FE4D0000}"/>
    <cellStyle name="40% - Accent4 74 22" xfId="19963" xr:uid="{00000000-0005-0000-0000-0000FF4D0000}"/>
    <cellStyle name="40% - Accent4 74 22 2" xfId="19964" xr:uid="{00000000-0005-0000-0000-0000004E0000}"/>
    <cellStyle name="40% - Accent4 74 22 2 2" xfId="19965" xr:uid="{00000000-0005-0000-0000-0000014E0000}"/>
    <cellStyle name="40% - Accent4 74 22 3" xfId="19966" xr:uid="{00000000-0005-0000-0000-0000024E0000}"/>
    <cellStyle name="40% - Accent4 74 23" xfId="19967" xr:uid="{00000000-0005-0000-0000-0000034E0000}"/>
    <cellStyle name="40% - Accent4 74 23 2" xfId="19968" xr:uid="{00000000-0005-0000-0000-0000044E0000}"/>
    <cellStyle name="40% - Accent4 74 23 2 2" xfId="19969" xr:uid="{00000000-0005-0000-0000-0000054E0000}"/>
    <cellStyle name="40% - Accent4 74 23 3" xfId="19970" xr:uid="{00000000-0005-0000-0000-0000064E0000}"/>
    <cellStyle name="40% - Accent4 74 24" xfId="19971" xr:uid="{00000000-0005-0000-0000-0000074E0000}"/>
    <cellStyle name="40% - Accent4 74 24 2" xfId="19972" xr:uid="{00000000-0005-0000-0000-0000084E0000}"/>
    <cellStyle name="40% - Accent4 74 24 2 2" xfId="19973" xr:uid="{00000000-0005-0000-0000-0000094E0000}"/>
    <cellStyle name="40% - Accent4 74 24 3" xfId="19974" xr:uid="{00000000-0005-0000-0000-00000A4E0000}"/>
    <cellStyle name="40% - Accent4 74 25" xfId="19975" xr:uid="{00000000-0005-0000-0000-00000B4E0000}"/>
    <cellStyle name="40% - Accent4 74 25 2" xfId="19976" xr:uid="{00000000-0005-0000-0000-00000C4E0000}"/>
    <cellStyle name="40% - Accent4 74 25 2 2" xfId="19977" xr:uid="{00000000-0005-0000-0000-00000D4E0000}"/>
    <cellStyle name="40% - Accent4 74 25 3" xfId="19978" xr:uid="{00000000-0005-0000-0000-00000E4E0000}"/>
    <cellStyle name="40% - Accent4 74 26" xfId="19979" xr:uid="{00000000-0005-0000-0000-00000F4E0000}"/>
    <cellStyle name="40% - Accent4 74 26 2" xfId="19980" xr:uid="{00000000-0005-0000-0000-0000104E0000}"/>
    <cellStyle name="40% - Accent4 74 26 2 2" xfId="19981" xr:uid="{00000000-0005-0000-0000-0000114E0000}"/>
    <cellStyle name="40% - Accent4 74 26 3" xfId="19982" xr:uid="{00000000-0005-0000-0000-0000124E0000}"/>
    <cellStyle name="40% - Accent4 74 27" xfId="19983" xr:uid="{00000000-0005-0000-0000-0000134E0000}"/>
    <cellStyle name="40% - Accent4 74 27 2" xfId="19984" xr:uid="{00000000-0005-0000-0000-0000144E0000}"/>
    <cellStyle name="40% - Accent4 74 27 2 2" xfId="19985" xr:uid="{00000000-0005-0000-0000-0000154E0000}"/>
    <cellStyle name="40% - Accent4 74 27 3" xfId="19986" xr:uid="{00000000-0005-0000-0000-0000164E0000}"/>
    <cellStyle name="40% - Accent4 74 28" xfId="19987" xr:uid="{00000000-0005-0000-0000-0000174E0000}"/>
    <cellStyle name="40% - Accent4 74 28 2" xfId="19988" xr:uid="{00000000-0005-0000-0000-0000184E0000}"/>
    <cellStyle name="40% - Accent4 74 28 2 2" xfId="19989" xr:uid="{00000000-0005-0000-0000-0000194E0000}"/>
    <cellStyle name="40% - Accent4 74 28 3" xfId="19990" xr:uid="{00000000-0005-0000-0000-00001A4E0000}"/>
    <cellStyle name="40% - Accent4 74 29" xfId="19991" xr:uid="{00000000-0005-0000-0000-00001B4E0000}"/>
    <cellStyle name="40% - Accent4 74 29 2" xfId="19992" xr:uid="{00000000-0005-0000-0000-00001C4E0000}"/>
    <cellStyle name="40% - Accent4 74 29 2 2" xfId="19993" xr:uid="{00000000-0005-0000-0000-00001D4E0000}"/>
    <cellStyle name="40% - Accent4 74 29 3" xfId="19994" xr:uid="{00000000-0005-0000-0000-00001E4E0000}"/>
    <cellStyle name="40% - Accent4 74 3" xfId="19995" xr:uid="{00000000-0005-0000-0000-00001F4E0000}"/>
    <cellStyle name="40% - Accent4 74 3 2" xfId="19996" xr:uid="{00000000-0005-0000-0000-0000204E0000}"/>
    <cellStyle name="40% - Accent4 74 3 2 2" xfId="19997" xr:uid="{00000000-0005-0000-0000-0000214E0000}"/>
    <cellStyle name="40% - Accent4 74 3 3" xfId="19998" xr:uid="{00000000-0005-0000-0000-0000224E0000}"/>
    <cellStyle name="40% - Accent4 74 30" xfId="19999" xr:uid="{00000000-0005-0000-0000-0000234E0000}"/>
    <cellStyle name="40% - Accent4 74 30 2" xfId="20000" xr:uid="{00000000-0005-0000-0000-0000244E0000}"/>
    <cellStyle name="40% - Accent4 74 30 2 2" xfId="20001" xr:uid="{00000000-0005-0000-0000-0000254E0000}"/>
    <cellStyle name="40% - Accent4 74 30 3" xfId="20002" xr:uid="{00000000-0005-0000-0000-0000264E0000}"/>
    <cellStyle name="40% - Accent4 74 31" xfId="20003" xr:uid="{00000000-0005-0000-0000-0000274E0000}"/>
    <cellStyle name="40% - Accent4 74 31 2" xfId="20004" xr:uid="{00000000-0005-0000-0000-0000284E0000}"/>
    <cellStyle name="40% - Accent4 74 31 2 2" xfId="20005" xr:uid="{00000000-0005-0000-0000-0000294E0000}"/>
    <cellStyle name="40% - Accent4 74 31 3" xfId="20006" xr:uid="{00000000-0005-0000-0000-00002A4E0000}"/>
    <cellStyle name="40% - Accent4 74 32" xfId="20007" xr:uid="{00000000-0005-0000-0000-00002B4E0000}"/>
    <cellStyle name="40% - Accent4 74 32 2" xfId="20008" xr:uid="{00000000-0005-0000-0000-00002C4E0000}"/>
    <cellStyle name="40% - Accent4 74 32 2 2" xfId="20009" xr:uid="{00000000-0005-0000-0000-00002D4E0000}"/>
    <cellStyle name="40% - Accent4 74 32 3" xfId="20010" xr:uid="{00000000-0005-0000-0000-00002E4E0000}"/>
    <cellStyle name="40% - Accent4 74 33" xfId="20011" xr:uid="{00000000-0005-0000-0000-00002F4E0000}"/>
    <cellStyle name="40% - Accent4 74 33 2" xfId="20012" xr:uid="{00000000-0005-0000-0000-0000304E0000}"/>
    <cellStyle name="40% - Accent4 74 33 2 2" xfId="20013" xr:uid="{00000000-0005-0000-0000-0000314E0000}"/>
    <cellStyle name="40% - Accent4 74 33 3" xfId="20014" xr:uid="{00000000-0005-0000-0000-0000324E0000}"/>
    <cellStyle name="40% - Accent4 74 34" xfId="20015" xr:uid="{00000000-0005-0000-0000-0000334E0000}"/>
    <cellStyle name="40% - Accent4 74 34 2" xfId="20016" xr:uid="{00000000-0005-0000-0000-0000344E0000}"/>
    <cellStyle name="40% - Accent4 74 34 2 2" xfId="20017" xr:uid="{00000000-0005-0000-0000-0000354E0000}"/>
    <cellStyle name="40% - Accent4 74 34 3" xfId="20018" xr:uid="{00000000-0005-0000-0000-0000364E0000}"/>
    <cellStyle name="40% - Accent4 74 35" xfId="20019" xr:uid="{00000000-0005-0000-0000-0000374E0000}"/>
    <cellStyle name="40% - Accent4 74 35 2" xfId="20020" xr:uid="{00000000-0005-0000-0000-0000384E0000}"/>
    <cellStyle name="40% - Accent4 74 35 2 2" xfId="20021" xr:uid="{00000000-0005-0000-0000-0000394E0000}"/>
    <cellStyle name="40% - Accent4 74 35 3" xfId="20022" xr:uid="{00000000-0005-0000-0000-00003A4E0000}"/>
    <cellStyle name="40% - Accent4 74 36" xfId="20023" xr:uid="{00000000-0005-0000-0000-00003B4E0000}"/>
    <cellStyle name="40% - Accent4 74 36 2" xfId="20024" xr:uid="{00000000-0005-0000-0000-00003C4E0000}"/>
    <cellStyle name="40% - Accent4 74 36 2 2" xfId="20025" xr:uid="{00000000-0005-0000-0000-00003D4E0000}"/>
    <cellStyle name="40% - Accent4 74 36 3" xfId="20026" xr:uid="{00000000-0005-0000-0000-00003E4E0000}"/>
    <cellStyle name="40% - Accent4 74 4" xfId="20027" xr:uid="{00000000-0005-0000-0000-00003F4E0000}"/>
    <cellStyle name="40% - Accent4 74 4 2" xfId="20028" xr:uid="{00000000-0005-0000-0000-0000404E0000}"/>
    <cellStyle name="40% - Accent4 74 4 2 2" xfId="20029" xr:uid="{00000000-0005-0000-0000-0000414E0000}"/>
    <cellStyle name="40% - Accent4 74 4 3" xfId="20030" xr:uid="{00000000-0005-0000-0000-0000424E0000}"/>
    <cellStyle name="40% - Accent4 74 5" xfId="20031" xr:uid="{00000000-0005-0000-0000-0000434E0000}"/>
    <cellStyle name="40% - Accent4 74 5 2" xfId="20032" xr:uid="{00000000-0005-0000-0000-0000444E0000}"/>
    <cellStyle name="40% - Accent4 74 5 2 2" xfId="20033" xr:uid="{00000000-0005-0000-0000-0000454E0000}"/>
    <cellStyle name="40% - Accent4 74 5 3" xfId="20034" xr:uid="{00000000-0005-0000-0000-0000464E0000}"/>
    <cellStyle name="40% - Accent4 74 6" xfId="20035" xr:uid="{00000000-0005-0000-0000-0000474E0000}"/>
    <cellStyle name="40% - Accent4 74 6 2" xfId="20036" xr:uid="{00000000-0005-0000-0000-0000484E0000}"/>
    <cellStyle name="40% - Accent4 74 6 2 2" xfId="20037" xr:uid="{00000000-0005-0000-0000-0000494E0000}"/>
    <cellStyle name="40% - Accent4 74 6 3" xfId="20038" xr:uid="{00000000-0005-0000-0000-00004A4E0000}"/>
    <cellStyle name="40% - Accent4 74 7" xfId="20039" xr:uid="{00000000-0005-0000-0000-00004B4E0000}"/>
    <cellStyle name="40% - Accent4 74 7 2" xfId="20040" xr:uid="{00000000-0005-0000-0000-00004C4E0000}"/>
    <cellStyle name="40% - Accent4 74 7 2 2" xfId="20041" xr:uid="{00000000-0005-0000-0000-00004D4E0000}"/>
    <cellStyle name="40% - Accent4 74 7 3" xfId="20042" xr:uid="{00000000-0005-0000-0000-00004E4E0000}"/>
    <cellStyle name="40% - Accent4 74 8" xfId="20043" xr:uid="{00000000-0005-0000-0000-00004F4E0000}"/>
    <cellStyle name="40% - Accent4 74 8 2" xfId="20044" xr:uid="{00000000-0005-0000-0000-0000504E0000}"/>
    <cellStyle name="40% - Accent4 74 8 2 2" xfId="20045" xr:uid="{00000000-0005-0000-0000-0000514E0000}"/>
    <cellStyle name="40% - Accent4 74 8 3" xfId="20046" xr:uid="{00000000-0005-0000-0000-0000524E0000}"/>
    <cellStyle name="40% - Accent4 74 9" xfId="20047" xr:uid="{00000000-0005-0000-0000-0000534E0000}"/>
    <cellStyle name="40% - Accent4 74 9 2" xfId="20048" xr:uid="{00000000-0005-0000-0000-0000544E0000}"/>
    <cellStyle name="40% - Accent4 74 9 2 2" xfId="20049" xr:uid="{00000000-0005-0000-0000-0000554E0000}"/>
    <cellStyle name="40% - Accent4 74 9 3" xfId="20050" xr:uid="{00000000-0005-0000-0000-0000564E0000}"/>
    <cellStyle name="40% - Accent4 75" xfId="20051" xr:uid="{00000000-0005-0000-0000-0000574E0000}"/>
    <cellStyle name="40% - Accent4 75 10" xfId="20052" xr:uid="{00000000-0005-0000-0000-0000584E0000}"/>
    <cellStyle name="40% - Accent4 75 10 2" xfId="20053" xr:uid="{00000000-0005-0000-0000-0000594E0000}"/>
    <cellStyle name="40% - Accent4 75 10 2 2" xfId="20054" xr:uid="{00000000-0005-0000-0000-00005A4E0000}"/>
    <cellStyle name="40% - Accent4 75 10 3" xfId="20055" xr:uid="{00000000-0005-0000-0000-00005B4E0000}"/>
    <cellStyle name="40% - Accent4 75 11" xfId="20056" xr:uid="{00000000-0005-0000-0000-00005C4E0000}"/>
    <cellStyle name="40% - Accent4 75 11 2" xfId="20057" xr:uid="{00000000-0005-0000-0000-00005D4E0000}"/>
    <cellStyle name="40% - Accent4 75 11 2 2" xfId="20058" xr:uid="{00000000-0005-0000-0000-00005E4E0000}"/>
    <cellStyle name="40% - Accent4 75 11 3" xfId="20059" xr:uid="{00000000-0005-0000-0000-00005F4E0000}"/>
    <cellStyle name="40% - Accent4 75 12" xfId="20060" xr:uid="{00000000-0005-0000-0000-0000604E0000}"/>
    <cellStyle name="40% - Accent4 75 12 2" xfId="20061" xr:uid="{00000000-0005-0000-0000-0000614E0000}"/>
    <cellStyle name="40% - Accent4 75 12 2 2" xfId="20062" xr:uid="{00000000-0005-0000-0000-0000624E0000}"/>
    <cellStyle name="40% - Accent4 75 12 3" xfId="20063" xr:uid="{00000000-0005-0000-0000-0000634E0000}"/>
    <cellStyle name="40% - Accent4 75 13" xfId="20064" xr:uid="{00000000-0005-0000-0000-0000644E0000}"/>
    <cellStyle name="40% - Accent4 75 13 2" xfId="20065" xr:uid="{00000000-0005-0000-0000-0000654E0000}"/>
    <cellStyle name="40% - Accent4 75 13 2 2" xfId="20066" xr:uid="{00000000-0005-0000-0000-0000664E0000}"/>
    <cellStyle name="40% - Accent4 75 13 3" xfId="20067" xr:uid="{00000000-0005-0000-0000-0000674E0000}"/>
    <cellStyle name="40% - Accent4 75 14" xfId="20068" xr:uid="{00000000-0005-0000-0000-0000684E0000}"/>
    <cellStyle name="40% - Accent4 75 14 2" xfId="20069" xr:uid="{00000000-0005-0000-0000-0000694E0000}"/>
    <cellStyle name="40% - Accent4 75 14 2 2" xfId="20070" xr:uid="{00000000-0005-0000-0000-00006A4E0000}"/>
    <cellStyle name="40% - Accent4 75 14 3" xfId="20071" xr:uid="{00000000-0005-0000-0000-00006B4E0000}"/>
    <cellStyle name="40% - Accent4 75 15" xfId="20072" xr:uid="{00000000-0005-0000-0000-00006C4E0000}"/>
    <cellStyle name="40% - Accent4 75 15 2" xfId="20073" xr:uid="{00000000-0005-0000-0000-00006D4E0000}"/>
    <cellStyle name="40% - Accent4 75 15 2 2" xfId="20074" xr:uid="{00000000-0005-0000-0000-00006E4E0000}"/>
    <cellStyle name="40% - Accent4 75 15 3" xfId="20075" xr:uid="{00000000-0005-0000-0000-00006F4E0000}"/>
    <cellStyle name="40% - Accent4 75 16" xfId="20076" xr:uid="{00000000-0005-0000-0000-0000704E0000}"/>
    <cellStyle name="40% - Accent4 75 16 2" xfId="20077" xr:uid="{00000000-0005-0000-0000-0000714E0000}"/>
    <cellStyle name="40% - Accent4 75 16 2 2" xfId="20078" xr:uid="{00000000-0005-0000-0000-0000724E0000}"/>
    <cellStyle name="40% - Accent4 75 16 3" xfId="20079" xr:uid="{00000000-0005-0000-0000-0000734E0000}"/>
    <cellStyle name="40% - Accent4 75 17" xfId="20080" xr:uid="{00000000-0005-0000-0000-0000744E0000}"/>
    <cellStyle name="40% - Accent4 75 17 2" xfId="20081" xr:uid="{00000000-0005-0000-0000-0000754E0000}"/>
    <cellStyle name="40% - Accent4 75 17 2 2" xfId="20082" xr:uid="{00000000-0005-0000-0000-0000764E0000}"/>
    <cellStyle name="40% - Accent4 75 17 3" xfId="20083" xr:uid="{00000000-0005-0000-0000-0000774E0000}"/>
    <cellStyle name="40% - Accent4 75 18" xfId="20084" xr:uid="{00000000-0005-0000-0000-0000784E0000}"/>
    <cellStyle name="40% - Accent4 75 18 2" xfId="20085" xr:uid="{00000000-0005-0000-0000-0000794E0000}"/>
    <cellStyle name="40% - Accent4 75 18 2 2" xfId="20086" xr:uid="{00000000-0005-0000-0000-00007A4E0000}"/>
    <cellStyle name="40% - Accent4 75 18 3" xfId="20087" xr:uid="{00000000-0005-0000-0000-00007B4E0000}"/>
    <cellStyle name="40% - Accent4 75 19" xfId="20088" xr:uid="{00000000-0005-0000-0000-00007C4E0000}"/>
    <cellStyle name="40% - Accent4 75 19 2" xfId="20089" xr:uid="{00000000-0005-0000-0000-00007D4E0000}"/>
    <cellStyle name="40% - Accent4 75 19 2 2" xfId="20090" xr:uid="{00000000-0005-0000-0000-00007E4E0000}"/>
    <cellStyle name="40% - Accent4 75 19 3" xfId="20091" xr:uid="{00000000-0005-0000-0000-00007F4E0000}"/>
    <cellStyle name="40% - Accent4 75 2" xfId="20092" xr:uid="{00000000-0005-0000-0000-0000804E0000}"/>
    <cellStyle name="40% - Accent4 75 2 2" xfId="20093" xr:uid="{00000000-0005-0000-0000-0000814E0000}"/>
    <cellStyle name="40% - Accent4 75 2 2 2" xfId="20094" xr:uid="{00000000-0005-0000-0000-0000824E0000}"/>
    <cellStyle name="40% - Accent4 75 2 3" xfId="20095" xr:uid="{00000000-0005-0000-0000-0000834E0000}"/>
    <cellStyle name="40% - Accent4 75 20" xfId="20096" xr:uid="{00000000-0005-0000-0000-0000844E0000}"/>
    <cellStyle name="40% - Accent4 75 20 2" xfId="20097" xr:uid="{00000000-0005-0000-0000-0000854E0000}"/>
    <cellStyle name="40% - Accent4 75 20 2 2" xfId="20098" xr:uid="{00000000-0005-0000-0000-0000864E0000}"/>
    <cellStyle name="40% - Accent4 75 20 3" xfId="20099" xr:uid="{00000000-0005-0000-0000-0000874E0000}"/>
    <cellStyle name="40% - Accent4 75 21" xfId="20100" xr:uid="{00000000-0005-0000-0000-0000884E0000}"/>
    <cellStyle name="40% - Accent4 75 21 2" xfId="20101" xr:uid="{00000000-0005-0000-0000-0000894E0000}"/>
    <cellStyle name="40% - Accent4 75 21 2 2" xfId="20102" xr:uid="{00000000-0005-0000-0000-00008A4E0000}"/>
    <cellStyle name="40% - Accent4 75 21 3" xfId="20103" xr:uid="{00000000-0005-0000-0000-00008B4E0000}"/>
    <cellStyle name="40% - Accent4 75 22" xfId="20104" xr:uid="{00000000-0005-0000-0000-00008C4E0000}"/>
    <cellStyle name="40% - Accent4 75 22 2" xfId="20105" xr:uid="{00000000-0005-0000-0000-00008D4E0000}"/>
    <cellStyle name="40% - Accent4 75 22 2 2" xfId="20106" xr:uid="{00000000-0005-0000-0000-00008E4E0000}"/>
    <cellStyle name="40% - Accent4 75 22 3" xfId="20107" xr:uid="{00000000-0005-0000-0000-00008F4E0000}"/>
    <cellStyle name="40% - Accent4 75 23" xfId="20108" xr:uid="{00000000-0005-0000-0000-0000904E0000}"/>
    <cellStyle name="40% - Accent4 75 23 2" xfId="20109" xr:uid="{00000000-0005-0000-0000-0000914E0000}"/>
    <cellStyle name="40% - Accent4 75 23 2 2" xfId="20110" xr:uid="{00000000-0005-0000-0000-0000924E0000}"/>
    <cellStyle name="40% - Accent4 75 23 3" xfId="20111" xr:uid="{00000000-0005-0000-0000-0000934E0000}"/>
    <cellStyle name="40% - Accent4 75 24" xfId="20112" xr:uid="{00000000-0005-0000-0000-0000944E0000}"/>
    <cellStyle name="40% - Accent4 75 24 2" xfId="20113" xr:uid="{00000000-0005-0000-0000-0000954E0000}"/>
    <cellStyle name="40% - Accent4 75 24 2 2" xfId="20114" xr:uid="{00000000-0005-0000-0000-0000964E0000}"/>
    <cellStyle name="40% - Accent4 75 24 3" xfId="20115" xr:uid="{00000000-0005-0000-0000-0000974E0000}"/>
    <cellStyle name="40% - Accent4 75 25" xfId="20116" xr:uid="{00000000-0005-0000-0000-0000984E0000}"/>
    <cellStyle name="40% - Accent4 75 25 2" xfId="20117" xr:uid="{00000000-0005-0000-0000-0000994E0000}"/>
    <cellStyle name="40% - Accent4 75 25 2 2" xfId="20118" xr:uid="{00000000-0005-0000-0000-00009A4E0000}"/>
    <cellStyle name="40% - Accent4 75 25 3" xfId="20119" xr:uid="{00000000-0005-0000-0000-00009B4E0000}"/>
    <cellStyle name="40% - Accent4 75 26" xfId="20120" xr:uid="{00000000-0005-0000-0000-00009C4E0000}"/>
    <cellStyle name="40% - Accent4 75 26 2" xfId="20121" xr:uid="{00000000-0005-0000-0000-00009D4E0000}"/>
    <cellStyle name="40% - Accent4 75 26 2 2" xfId="20122" xr:uid="{00000000-0005-0000-0000-00009E4E0000}"/>
    <cellStyle name="40% - Accent4 75 26 3" xfId="20123" xr:uid="{00000000-0005-0000-0000-00009F4E0000}"/>
    <cellStyle name="40% - Accent4 75 27" xfId="20124" xr:uid="{00000000-0005-0000-0000-0000A04E0000}"/>
    <cellStyle name="40% - Accent4 75 27 2" xfId="20125" xr:uid="{00000000-0005-0000-0000-0000A14E0000}"/>
    <cellStyle name="40% - Accent4 75 27 2 2" xfId="20126" xr:uid="{00000000-0005-0000-0000-0000A24E0000}"/>
    <cellStyle name="40% - Accent4 75 27 3" xfId="20127" xr:uid="{00000000-0005-0000-0000-0000A34E0000}"/>
    <cellStyle name="40% - Accent4 75 28" xfId="20128" xr:uid="{00000000-0005-0000-0000-0000A44E0000}"/>
    <cellStyle name="40% - Accent4 75 28 2" xfId="20129" xr:uid="{00000000-0005-0000-0000-0000A54E0000}"/>
    <cellStyle name="40% - Accent4 75 28 2 2" xfId="20130" xr:uid="{00000000-0005-0000-0000-0000A64E0000}"/>
    <cellStyle name="40% - Accent4 75 28 3" xfId="20131" xr:uid="{00000000-0005-0000-0000-0000A74E0000}"/>
    <cellStyle name="40% - Accent4 75 29" xfId="20132" xr:uid="{00000000-0005-0000-0000-0000A84E0000}"/>
    <cellStyle name="40% - Accent4 75 29 2" xfId="20133" xr:uid="{00000000-0005-0000-0000-0000A94E0000}"/>
    <cellStyle name="40% - Accent4 75 29 2 2" xfId="20134" xr:uid="{00000000-0005-0000-0000-0000AA4E0000}"/>
    <cellStyle name="40% - Accent4 75 29 3" xfId="20135" xr:uid="{00000000-0005-0000-0000-0000AB4E0000}"/>
    <cellStyle name="40% - Accent4 75 3" xfId="20136" xr:uid="{00000000-0005-0000-0000-0000AC4E0000}"/>
    <cellStyle name="40% - Accent4 75 3 2" xfId="20137" xr:uid="{00000000-0005-0000-0000-0000AD4E0000}"/>
    <cellStyle name="40% - Accent4 75 3 2 2" xfId="20138" xr:uid="{00000000-0005-0000-0000-0000AE4E0000}"/>
    <cellStyle name="40% - Accent4 75 3 3" xfId="20139" xr:uid="{00000000-0005-0000-0000-0000AF4E0000}"/>
    <cellStyle name="40% - Accent4 75 30" xfId="20140" xr:uid="{00000000-0005-0000-0000-0000B04E0000}"/>
    <cellStyle name="40% - Accent4 75 30 2" xfId="20141" xr:uid="{00000000-0005-0000-0000-0000B14E0000}"/>
    <cellStyle name="40% - Accent4 75 30 2 2" xfId="20142" xr:uid="{00000000-0005-0000-0000-0000B24E0000}"/>
    <cellStyle name="40% - Accent4 75 30 3" xfId="20143" xr:uid="{00000000-0005-0000-0000-0000B34E0000}"/>
    <cellStyle name="40% - Accent4 75 31" xfId="20144" xr:uid="{00000000-0005-0000-0000-0000B44E0000}"/>
    <cellStyle name="40% - Accent4 75 31 2" xfId="20145" xr:uid="{00000000-0005-0000-0000-0000B54E0000}"/>
    <cellStyle name="40% - Accent4 75 31 2 2" xfId="20146" xr:uid="{00000000-0005-0000-0000-0000B64E0000}"/>
    <cellStyle name="40% - Accent4 75 31 3" xfId="20147" xr:uid="{00000000-0005-0000-0000-0000B74E0000}"/>
    <cellStyle name="40% - Accent4 75 32" xfId="20148" xr:uid="{00000000-0005-0000-0000-0000B84E0000}"/>
    <cellStyle name="40% - Accent4 75 32 2" xfId="20149" xr:uid="{00000000-0005-0000-0000-0000B94E0000}"/>
    <cellStyle name="40% - Accent4 75 32 2 2" xfId="20150" xr:uid="{00000000-0005-0000-0000-0000BA4E0000}"/>
    <cellStyle name="40% - Accent4 75 32 3" xfId="20151" xr:uid="{00000000-0005-0000-0000-0000BB4E0000}"/>
    <cellStyle name="40% - Accent4 75 33" xfId="20152" xr:uid="{00000000-0005-0000-0000-0000BC4E0000}"/>
    <cellStyle name="40% - Accent4 75 33 2" xfId="20153" xr:uid="{00000000-0005-0000-0000-0000BD4E0000}"/>
    <cellStyle name="40% - Accent4 75 33 2 2" xfId="20154" xr:uid="{00000000-0005-0000-0000-0000BE4E0000}"/>
    <cellStyle name="40% - Accent4 75 33 3" xfId="20155" xr:uid="{00000000-0005-0000-0000-0000BF4E0000}"/>
    <cellStyle name="40% - Accent4 75 34" xfId="20156" xr:uid="{00000000-0005-0000-0000-0000C04E0000}"/>
    <cellStyle name="40% - Accent4 75 34 2" xfId="20157" xr:uid="{00000000-0005-0000-0000-0000C14E0000}"/>
    <cellStyle name="40% - Accent4 75 34 2 2" xfId="20158" xr:uid="{00000000-0005-0000-0000-0000C24E0000}"/>
    <cellStyle name="40% - Accent4 75 34 3" xfId="20159" xr:uid="{00000000-0005-0000-0000-0000C34E0000}"/>
    <cellStyle name="40% - Accent4 75 35" xfId="20160" xr:uid="{00000000-0005-0000-0000-0000C44E0000}"/>
    <cellStyle name="40% - Accent4 75 35 2" xfId="20161" xr:uid="{00000000-0005-0000-0000-0000C54E0000}"/>
    <cellStyle name="40% - Accent4 75 35 2 2" xfId="20162" xr:uid="{00000000-0005-0000-0000-0000C64E0000}"/>
    <cellStyle name="40% - Accent4 75 35 3" xfId="20163" xr:uid="{00000000-0005-0000-0000-0000C74E0000}"/>
    <cellStyle name="40% - Accent4 75 36" xfId="20164" xr:uid="{00000000-0005-0000-0000-0000C84E0000}"/>
    <cellStyle name="40% - Accent4 75 36 2" xfId="20165" xr:uid="{00000000-0005-0000-0000-0000C94E0000}"/>
    <cellStyle name="40% - Accent4 75 36 2 2" xfId="20166" xr:uid="{00000000-0005-0000-0000-0000CA4E0000}"/>
    <cellStyle name="40% - Accent4 75 36 3" xfId="20167" xr:uid="{00000000-0005-0000-0000-0000CB4E0000}"/>
    <cellStyle name="40% - Accent4 75 4" xfId="20168" xr:uid="{00000000-0005-0000-0000-0000CC4E0000}"/>
    <cellStyle name="40% - Accent4 75 4 2" xfId="20169" xr:uid="{00000000-0005-0000-0000-0000CD4E0000}"/>
    <cellStyle name="40% - Accent4 75 4 2 2" xfId="20170" xr:uid="{00000000-0005-0000-0000-0000CE4E0000}"/>
    <cellStyle name="40% - Accent4 75 4 3" xfId="20171" xr:uid="{00000000-0005-0000-0000-0000CF4E0000}"/>
    <cellStyle name="40% - Accent4 75 5" xfId="20172" xr:uid="{00000000-0005-0000-0000-0000D04E0000}"/>
    <cellStyle name="40% - Accent4 75 5 2" xfId="20173" xr:uid="{00000000-0005-0000-0000-0000D14E0000}"/>
    <cellStyle name="40% - Accent4 75 5 2 2" xfId="20174" xr:uid="{00000000-0005-0000-0000-0000D24E0000}"/>
    <cellStyle name="40% - Accent4 75 5 3" xfId="20175" xr:uid="{00000000-0005-0000-0000-0000D34E0000}"/>
    <cellStyle name="40% - Accent4 75 6" xfId="20176" xr:uid="{00000000-0005-0000-0000-0000D44E0000}"/>
    <cellStyle name="40% - Accent4 75 6 2" xfId="20177" xr:uid="{00000000-0005-0000-0000-0000D54E0000}"/>
    <cellStyle name="40% - Accent4 75 6 2 2" xfId="20178" xr:uid="{00000000-0005-0000-0000-0000D64E0000}"/>
    <cellStyle name="40% - Accent4 75 6 3" xfId="20179" xr:uid="{00000000-0005-0000-0000-0000D74E0000}"/>
    <cellStyle name="40% - Accent4 75 7" xfId="20180" xr:uid="{00000000-0005-0000-0000-0000D84E0000}"/>
    <cellStyle name="40% - Accent4 75 7 2" xfId="20181" xr:uid="{00000000-0005-0000-0000-0000D94E0000}"/>
    <cellStyle name="40% - Accent4 75 7 2 2" xfId="20182" xr:uid="{00000000-0005-0000-0000-0000DA4E0000}"/>
    <cellStyle name="40% - Accent4 75 7 3" xfId="20183" xr:uid="{00000000-0005-0000-0000-0000DB4E0000}"/>
    <cellStyle name="40% - Accent4 75 8" xfId="20184" xr:uid="{00000000-0005-0000-0000-0000DC4E0000}"/>
    <cellStyle name="40% - Accent4 75 8 2" xfId="20185" xr:uid="{00000000-0005-0000-0000-0000DD4E0000}"/>
    <cellStyle name="40% - Accent4 75 8 2 2" xfId="20186" xr:uid="{00000000-0005-0000-0000-0000DE4E0000}"/>
    <cellStyle name="40% - Accent4 75 8 3" xfId="20187" xr:uid="{00000000-0005-0000-0000-0000DF4E0000}"/>
    <cellStyle name="40% - Accent4 75 9" xfId="20188" xr:uid="{00000000-0005-0000-0000-0000E04E0000}"/>
    <cellStyle name="40% - Accent4 75 9 2" xfId="20189" xr:uid="{00000000-0005-0000-0000-0000E14E0000}"/>
    <cellStyle name="40% - Accent4 75 9 2 2" xfId="20190" xr:uid="{00000000-0005-0000-0000-0000E24E0000}"/>
    <cellStyle name="40% - Accent4 75 9 3" xfId="20191" xr:uid="{00000000-0005-0000-0000-0000E34E0000}"/>
    <cellStyle name="40% - Accent4 76" xfId="20192" xr:uid="{00000000-0005-0000-0000-0000E44E0000}"/>
    <cellStyle name="40% - Accent4 76 10" xfId="20193" xr:uid="{00000000-0005-0000-0000-0000E54E0000}"/>
    <cellStyle name="40% - Accent4 76 10 2" xfId="20194" xr:uid="{00000000-0005-0000-0000-0000E64E0000}"/>
    <cellStyle name="40% - Accent4 76 10 2 2" xfId="20195" xr:uid="{00000000-0005-0000-0000-0000E74E0000}"/>
    <cellStyle name="40% - Accent4 76 10 3" xfId="20196" xr:uid="{00000000-0005-0000-0000-0000E84E0000}"/>
    <cellStyle name="40% - Accent4 76 11" xfId="20197" xr:uid="{00000000-0005-0000-0000-0000E94E0000}"/>
    <cellStyle name="40% - Accent4 76 11 2" xfId="20198" xr:uid="{00000000-0005-0000-0000-0000EA4E0000}"/>
    <cellStyle name="40% - Accent4 76 11 2 2" xfId="20199" xr:uid="{00000000-0005-0000-0000-0000EB4E0000}"/>
    <cellStyle name="40% - Accent4 76 11 3" xfId="20200" xr:uid="{00000000-0005-0000-0000-0000EC4E0000}"/>
    <cellStyle name="40% - Accent4 76 12" xfId="20201" xr:uid="{00000000-0005-0000-0000-0000ED4E0000}"/>
    <cellStyle name="40% - Accent4 76 12 2" xfId="20202" xr:uid="{00000000-0005-0000-0000-0000EE4E0000}"/>
    <cellStyle name="40% - Accent4 76 12 2 2" xfId="20203" xr:uid="{00000000-0005-0000-0000-0000EF4E0000}"/>
    <cellStyle name="40% - Accent4 76 12 3" xfId="20204" xr:uid="{00000000-0005-0000-0000-0000F04E0000}"/>
    <cellStyle name="40% - Accent4 76 13" xfId="20205" xr:uid="{00000000-0005-0000-0000-0000F14E0000}"/>
    <cellStyle name="40% - Accent4 76 13 2" xfId="20206" xr:uid="{00000000-0005-0000-0000-0000F24E0000}"/>
    <cellStyle name="40% - Accent4 76 13 2 2" xfId="20207" xr:uid="{00000000-0005-0000-0000-0000F34E0000}"/>
    <cellStyle name="40% - Accent4 76 13 3" xfId="20208" xr:uid="{00000000-0005-0000-0000-0000F44E0000}"/>
    <cellStyle name="40% - Accent4 76 14" xfId="20209" xr:uid="{00000000-0005-0000-0000-0000F54E0000}"/>
    <cellStyle name="40% - Accent4 76 14 2" xfId="20210" xr:uid="{00000000-0005-0000-0000-0000F64E0000}"/>
    <cellStyle name="40% - Accent4 76 14 2 2" xfId="20211" xr:uid="{00000000-0005-0000-0000-0000F74E0000}"/>
    <cellStyle name="40% - Accent4 76 14 3" xfId="20212" xr:uid="{00000000-0005-0000-0000-0000F84E0000}"/>
    <cellStyle name="40% - Accent4 76 15" xfId="20213" xr:uid="{00000000-0005-0000-0000-0000F94E0000}"/>
    <cellStyle name="40% - Accent4 76 15 2" xfId="20214" xr:uid="{00000000-0005-0000-0000-0000FA4E0000}"/>
    <cellStyle name="40% - Accent4 76 15 2 2" xfId="20215" xr:uid="{00000000-0005-0000-0000-0000FB4E0000}"/>
    <cellStyle name="40% - Accent4 76 15 3" xfId="20216" xr:uid="{00000000-0005-0000-0000-0000FC4E0000}"/>
    <cellStyle name="40% - Accent4 76 16" xfId="20217" xr:uid="{00000000-0005-0000-0000-0000FD4E0000}"/>
    <cellStyle name="40% - Accent4 76 16 2" xfId="20218" xr:uid="{00000000-0005-0000-0000-0000FE4E0000}"/>
    <cellStyle name="40% - Accent4 76 16 2 2" xfId="20219" xr:uid="{00000000-0005-0000-0000-0000FF4E0000}"/>
    <cellStyle name="40% - Accent4 76 16 3" xfId="20220" xr:uid="{00000000-0005-0000-0000-0000004F0000}"/>
    <cellStyle name="40% - Accent4 76 17" xfId="20221" xr:uid="{00000000-0005-0000-0000-0000014F0000}"/>
    <cellStyle name="40% - Accent4 76 17 2" xfId="20222" xr:uid="{00000000-0005-0000-0000-0000024F0000}"/>
    <cellStyle name="40% - Accent4 76 17 2 2" xfId="20223" xr:uid="{00000000-0005-0000-0000-0000034F0000}"/>
    <cellStyle name="40% - Accent4 76 17 3" xfId="20224" xr:uid="{00000000-0005-0000-0000-0000044F0000}"/>
    <cellStyle name="40% - Accent4 76 18" xfId="20225" xr:uid="{00000000-0005-0000-0000-0000054F0000}"/>
    <cellStyle name="40% - Accent4 76 18 2" xfId="20226" xr:uid="{00000000-0005-0000-0000-0000064F0000}"/>
    <cellStyle name="40% - Accent4 76 18 2 2" xfId="20227" xr:uid="{00000000-0005-0000-0000-0000074F0000}"/>
    <cellStyle name="40% - Accent4 76 18 3" xfId="20228" xr:uid="{00000000-0005-0000-0000-0000084F0000}"/>
    <cellStyle name="40% - Accent4 76 19" xfId="20229" xr:uid="{00000000-0005-0000-0000-0000094F0000}"/>
    <cellStyle name="40% - Accent4 76 19 2" xfId="20230" xr:uid="{00000000-0005-0000-0000-00000A4F0000}"/>
    <cellStyle name="40% - Accent4 76 19 2 2" xfId="20231" xr:uid="{00000000-0005-0000-0000-00000B4F0000}"/>
    <cellStyle name="40% - Accent4 76 19 3" xfId="20232" xr:uid="{00000000-0005-0000-0000-00000C4F0000}"/>
    <cellStyle name="40% - Accent4 76 2" xfId="20233" xr:uid="{00000000-0005-0000-0000-00000D4F0000}"/>
    <cellStyle name="40% - Accent4 76 2 2" xfId="20234" xr:uid="{00000000-0005-0000-0000-00000E4F0000}"/>
    <cellStyle name="40% - Accent4 76 2 2 2" xfId="20235" xr:uid="{00000000-0005-0000-0000-00000F4F0000}"/>
    <cellStyle name="40% - Accent4 76 2 3" xfId="20236" xr:uid="{00000000-0005-0000-0000-0000104F0000}"/>
    <cellStyle name="40% - Accent4 76 20" xfId="20237" xr:uid="{00000000-0005-0000-0000-0000114F0000}"/>
    <cellStyle name="40% - Accent4 76 20 2" xfId="20238" xr:uid="{00000000-0005-0000-0000-0000124F0000}"/>
    <cellStyle name="40% - Accent4 76 20 2 2" xfId="20239" xr:uid="{00000000-0005-0000-0000-0000134F0000}"/>
    <cellStyle name="40% - Accent4 76 20 3" xfId="20240" xr:uid="{00000000-0005-0000-0000-0000144F0000}"/>
    <cellStyle name="40% - Accent4 76 21" xfId="20241" xr:uid="{00000000-0005-0000-0000-0000154F0000}"/>
    <cellStyle name="40% - Accent4 76 21 2" xfId="20242" xr:uid="{00000000-0005-0000-0000-0000164F0000}"/>
    <cellStyle name="40% - Accent4 76 21 2 2" xfId="20243" xr:uid="{00000000-0005-0000-0000-0000174F0000}"/>
    <cellStyle name="40% - Accent4 76 21 3" xfId="20244" xr:uid="{00000000-0005-0000-0000-0000184F0000}"/>
    <cellStyle name="40% - Accent4 76 22" xfId="20245" xr:uid="{00000000-0005-0000-0000-0000194F0000}"/>
    <cellStyle name="40% - Accent4 76 22 2" xfId="20246" xr:uid="{00000000-0005-0000-0000-00001A4F0000}"/>
    <cellStyle name="40% - Accent4 76 22 2 2" xfId="20247" xr:uid="{00000000-0005-0000-0000-00001B4F0000}"/>
    <cellStyle name="40% - Accent4 76 22 3" xfId="20248" xr:uid="{00000000-0005-0000-0000-00001C4F0000}"/>
    <cellStyle name="40% - Accent4 76 23" xfId="20249" xr:uid="{00000000-0005-0000-0000-00001D4F0000}"/>
    <cellStyle name="40% - Accent4 76 23 2" xfId="20250" xr:uid="{00000000-0005-0000-0000-00001E4F0000}"/>
    <cellStyle name="40% - Accent4 76 23 2 2" xfId="20251" xr:uid="{00000000-0005-0000-0000-00001F4F0000}"/>
    <cellStyle name="40% - Accent4 76 23 3" xfId="20252" xr:uid="{00000000-0005-0000-0000-0000204F0000}"/>
    <cellStyle name="40% - Accent4 76 24" xfId="20253" xr:uid="{00000000-0005-0000-0000-0000214F0000}"/>
    <cellStyle name="40% - Accent4 76 24 2" xfId="20254" xr:uid="{00000000-0005-0000-0000-0000224F0000}"/>
    <cellStyle name="40% - Accent4 76 24 2 2" xfId="20255" xr:uid="{00000000-0005-0000-0000-0000234F0000}"/>
    <cellStyle name="40% - Accent4 76 24 3" xfId="20256" xr:uid="{00000000-0005-0000-0000-0000244F0000}"/>
    <cellStyle name="40% - Accent4 76 25" xfId="20257" xr:uid="{00000000-0005-0000-0000-0000254F0000}"/>
    <cellStyle name="40% - Accent4 76 25 2" xfId="20258" xr:uid="{00000000-0005-0000-0000-0000264F0000}"/>
    <cellStyle name="40% - Accent4 76 25 2 2" xfId="20259" xr:uid="{00000000-0005-0000-0000-0000274F0000}"/>
    <cellStyle name="40% - Accent4 76 25 3" xfId="20260" xr:uid="{00000000-0005-0000-0000-0000284F0000}"/>
    <cellStyle name="40% - Accent4 76 26" xfId="20261" xr:uid="{00000000-0005-0000-0000-0000294F0000}"/>
    <cellStyle name="40% - Accent4 76 26 2" xfId="20262" xr:uid="{00000000-0005-0000-0000-00002A4F0000}"/>
    <cellStyle name="40% - Accent4 76 26 2 2" xfId="20263" xr:uid="{00000000-0005-0000-0000-00002B4F0000}"/>
    <cellStyle name="40% - Accent4 76 26 3" xfId="20264" xr:uid="{00000000-0005-0000-0000-00002C4F0000}"/>
    <cellStyle name="40% - Accent4 76 27" xfId="20265" xr:uid="{00000000-0005-0000-0000-00002D4F0000}"/>
    <cellStyle name="40% - Accent4 76 27 2" xfId="20266" xr:uid="{00000000-0005-0000-0000-00002E4F0000}"/>
    <cellStyle name="40% - Accent4 76 27 2 2" xfId="20267" xr:uid="{00000000-0005-0000-0000-00002F4F0000}"/>
    <cellStyle name="40% - Accent4 76 27 3" xfId="20268" xr:uid="{00000000-0005-0000-0000-0000304F0000}"/>
    <cellStyle name="40% - Accent4 76 28" xfId="20269" xr:uid="{00000000-0005-0000-0000-0000314F0000}"/>
    <cellStyle name="40% - Accent4 76 28 2" xfId="20270" xr:uid="{00000000-0005-0000-0000-0000324F0000}"/>
    <cellStyle name="40% - Accent4 76 28 2 2" xfId="20271" xr:uid="{00000000-0005-0000-0000-0000334F0000}"/>
    <cellStyle name="40% - Accent4 76 28 3" xfId="20272" xr:uid="{00000000-0005-0000-0000-0000344F0000}"/>
    <cellStyle name="40% - Accent4 76 29" xfId="20273" xr:uid="{00000000-0005-0000-0000-0000354F0000}"/>
    <cellStyle name="40% - Accent4 76 29 2" xfId="20274" xr:uid="{00000000-0005-0000-0000-0000364F0000}"/>
    <cellStyle name="40% - Accent4 76 29 2 2" xfId="20275" xr:uid="{00000000-0005-0000-0000-0000374F0000}"/>
    <cellStyle name="40% - Accent4 76 29 3" xfId="20276" xr:uid="{00000000-0005-0000-0000-0000384F0000}"/>
    <cellStyle name="40% - Accent4 76 3" xfId="20277" xr:uid="{00000000-0005-0000-0000-0000394F0000}"/>
    <cellStyle name="40% - Accent4 76 3 2" xfId="20278" xr:uid="{00000000-0005-0000-0000-00003A4F0000}"/>
    <cellStyle name="40% - Accent4 76 3 2 2" xfId="20279" xr:uid="{00000000-0005-0000-0000-00003B4F0000}"/>
    <cellStyle name="40% - Accent4 76 3 3" xfId="20280" xr:uid="{00000000-0005-0000-0000-00003C4F0000}"/>
    <cellStyle name="40% - Accent4 76 30" xfId="20281" xr:uid="{00000000-0005-0000-0000-00003D4F0000}"/>
    <cellStyle name="40% - Accent4 76 30 2" xfId="20282" xr:uid="{00000000-0005-0000-0000-00003E4F0000}"/>
    <cellStyle name="40% - Accent4 76 30 2 2" xfId="20283" xr:uid="{00000000-0005-0000-0000-00003F4F0000}"/>
    <cellStyle name="40% - Accent4 76 30 3" xfId="20284" xr:uid="{00000000-0005-0000-0000-0000404F0000}"/>
    <cellStyle name="40% - Accent4 76 31" xfId="20285" xr:uid="{00000000-0005-0000-0000-0000414F0000}"/>
    <cellStyle name="40% - Accent4 76 31 2" xfId="20286" xr:uid="{00000000-0005-0000-0000-0000424F0000}"/>
    <cellStyle name="40% - Accent4 76 31 2 2" xfId="20287" xr:uid="{00000000-0005-0000-0000-0000434F0000}"/>
    <cellStyle name="40% - Accent4 76 31 3" xfId="20288" xr:uid="{00000000-0005-0000-0000-0000444F0000}"/>
    <cellStyle name="40% - Accent4 76 32" xfId="20289" xr:uid="{00000000-0005-0000-0000-0000454F0000}"/>
    <cellStyle name="40% - Accent4 76 32 2" xfId="20290" xr:uid="{00000000-0005-0000-0000-0000464F0000}"/>
    <cellStyle name="40% - Accent4 76 32 2 2" xfId="20291" xr:uid="{00000000-0005-0000-0000-0000474F0000}"/>
    <cellStyle name="40% - Accent4 76 32 3" xfId="20292" xr:uid="{00000000-0005-0000-0000-0000484F0000}"/>
    <cellStyle name="40% - Accent4 76 33" xfId="20293" xr:uid="{00000000-0005-0000-0000-0000494F0000}"/>
    <cellStyle name="40% - Accent4 76 33 2" xfId="20294" xr:uid="{00000000-0005-0000-0000-00004A4F0000}"/>
    <cellStyle name="40% - Accent4 76 33 2 2" xfId="20295" xr:uid="{00000000-0005-0000-0000-00004B4F0000}"/>
    <cellStyle name="40% - Accent4 76 33 3" xfId="20296" xr:uid="{00000000-0005-0000-0000-00004C4F0000}"/>
    <cellStyle name="40% - Accent4 76 34" xfId="20297" xr:uid="{00000000-0005-0000-0000-00004D4F0000}"/>
    <cellStyle name="40% - Accent4 76 34 2" xfId="20298" xr:uid="{00000000-0005-0000-0000-00004E4F0000}"/>
    <cellStyle name="40% - Accent4 76 34 2 2" xfId="20299" xr:uid="{00000000-0005-0000-0000-00004F4F0000}"/>
    <cellStyle name="40% - Accent4 76 34 3" xfId="20300" xr:uid="{00000000-0005-0000-0000-0000504F0000}"/>
    <cellStyle name="40% - Accent4 76 35" xfId="20301" xr:uid="{00000000-0005-0000-0000-0000514F0000}"/>
    <cellStyle name="40% - Accent4 76 35 2" xfId="20302" xr:uid="{00000000-0005-0000-0000-0000524F0000}"/>
    <cellStyle name="40% - Accent4 76 35 2 2" xfId="20303" xr:uid="{00000000-0005-0000-0000-0000534F0000}"/>
    <cellStyle name="40% - Accent4 76 35 3" xfId="20304" xr:uid="{00000000-0005-0000-0000-0000544F0000}"/>
    <cellStyle name="40% - Accent4 76 36" xfId="20305" xr:uid="{00000000-0005-0000-0000-0000554F0000}"/>
    <cellStyle name="40% - Accent4 76 36 2" xfId="20306" xr:uid="{00000000-0005-0000-0000-0000564F0000}"/>
    <cellStyle name="40% - Accent4 76 36 2 2" xfId="20307" xr:uid="{00000000-0005-0000-0000-0000574F0000}"/>
    <cellStyle name="40% - Accent4 76 36 3" xfId="20308" xr:uid="{00000000-0005-0000-0000-0000584F0000}"/>
    <cellStyle name="40% - Accent4 76 4" xfId="20309" xr:uid="{00000000-0005-0000-0000-0000594F0000}"/>
    <cellStyle name="40% - Accent4 76 4 2" xfId="20310" xr:uid="{00000000-0005-0000-0000-00005A4F0000}"/>
    <cellStyle name="40% - Accent4 76 4 2 2" xfId="20311" xr:uid="{00000000-0005-0000-0000-00005B4F0000}"/>
    <cellStyle name="40% - Accent4 76 4 3" xfId="20312" xr:uid="{00000000-0005-0000-0000-00005C4F0000}"/>
    <cellStyle name="40% - Accent4 76 5" xfId="20313" xr:uid="{00000000-0005-0000-0000-00005D4F0000}"/>
    <cellStyle name="40% - Accent4 76 5 2" xfId="20314" xr:uid="{00000000-0005-0000-0000-00005E4F0000}"/>
    <cellStyle name="40% - Accent4 76 5 2 2" xfId="20315" xr:uid="{00000000-0005-0000-0000-00005F4F0000}"/>
    <cellStyle name="40% - Accent4 76 5 3" xfId="20316" xr:uid="{00000000-0005-0000-0000-0000604F0000}"/>
    <cellStyle name="40% - Accent4 76 6" xfId="20317" xr:uid="{00000000-0005-0000-0000-0000614F0000}"/>
    <cellStyle name="40% - Accent4 76 6 2" xfId="20318" xr:uid="{00000000-0005-0000-0000-0000624F0000}"/>
    <cellStyle name="40% - Accent4 76 6 2 2" xfId="20319" xr:uid="{00000000-0005-0000-0000-0000634F0000}"/>
    <cellStyle name="40% - Accent4 76 6 3" xfId="20320" xr:uid="{00000000-0005-0000-0000-0000644F0000}"/>
    <cellStyle name="40% - Accent4 76 7" xfId="20321" xr:uid="{00000000-0005-0000-0000-0000654F0000}"/>
    <cellStyle name="40% - Accent4 76 7 2" xfId="20322" xr:uid="{00000000-0005-0000-0000-0000664F0000}"/>
    <cellStyle name="40% - Accent4 76 7 2 2" xfId="20323" xr:uid="{00000000-0005-0000-0000-0000674F0000}"/>
    <cellStyle name="40% - Accent4 76 7 3" xfId="20324" xr:uid="{00000000-0005-0000-0000-0000684F0000}"/>
    <cellStyle name="40% - Accent4 76 8" xfId="20325" xr:uid="{00000000-0005-0000-0000-0000694F0000}"/>
    <cellStyle name="40% - Accent4 76 8 2" xfId="20326" xr:uid="{00000000-0005-0000-0000-00006A4F0000}"/>
    <cellStyle name="40% - Accent4 76 8 2 2" xfId="20327" xr:uid="{00000000-0005-0000-0000-00006B4F0000}"/>
    <cellStyle name="40% - Accent4 76 8 3" xfId="20328" xr:uid="{00000000-0005-0000-0000-00006C4F0000}"/>
    <cellStyle name="40% - Accent4 76 9" xfId="20329" xr:uid="{00000000-0005-0000-0000-00006D4F0000}"/>
    <cellStyle name="40% - Accent4 76 9 2" xfId="20330" xr:uid="{00000000-0005-0000-0000-00006E4F0000}"/>
    <cellStyle name="40% - Accent4 76 9 2 2" xfId="20331" xr:uid="{00000000-0005-0000-0000-00006F4F0000}"/>
    <cellStyle name="40% - Accent4 76 9 3" xfId="20332" xr:uid="{00000000-0005-0000-0000-0000704F0000}"/>
    <cellStyle name="40% - Accent4 77" xfId="20333" xr:uid="{00000000-0005-0000-0000-0000714F0000}"/>
    <cellStyle name="40% - Accent4 77 10" xfId="20334" xr:uid="{00000000-0005-0000-0000-0000724F0000}"/>
    <cellStyle name="40% - Accent4 77 10 2" xfId="20335" xr:uid="{00000000-0005-0000-0000-0000734F0000}"/>
    <cellStyle name="40% - Accent4 77 10 2 2" xfId="20336" xr:uid="{00000000-0005-0000-0000-0000744F0000}"/>
    <cellStyle name="40% - Accent4 77 10 3" xfId="20337" xr:uid="{00000000-0005-0000-0000-0000754F0000}"/>
    <cellStyle name="40% - Accent4 77 11" xfId="20338" xr:uid="{00000000-0005-0000-0000-0000764F0000}"/>
    <cellStyle name="40% - Accent4 77 11 2" xfId="20339" xr:uid="{00000000-0005-0000-0000-0000774F0000}"/>
    <cellStyle name="40% - Accent4 77 11 2 2" xfId="20340" xr:uid="{00000000-0005-0000-0000-0000784F0000}"/>
    <cellStyle name="40% - Accent4 77 11 3" xfId="20341" xr:uid="{00000000-0005-0000-0000-0000794F0000}"/>
    <cellStyle name="40% - Accent4 77 12" xfId="20342" xr:uid="{00000000-0005-0000-0000-00007A4F0000}"/>
    <cellStyle name="40% - Accent4 77 12 2" xfId="20343" xr:uid="{00000000-0005-0000-0000-00007B4F0000}"/>
    <cellStyle name="40% - Accent4 77 12 2 2" xfId="20344" xr:uid="{00000000-0005-0000-0000-00007C4F0000}"/>
    <cellStyle name="40% - Accent4 77 12 3" xfId="20345" xr:uid="{00000000-0005-0000-0000-00007D4F0000}"/>
    <cellStyle name="40% - Accent4 77 13" xfId="20346" xr:uid="{00000000-0005-0000-0000-00007E4F0000}"/>
    <cellStyle name="40% - Accent4 77 13 2" xfId="20347" xr:uid="{00000000-0005-0000-0000-00007F4F0000}"/>
    <cellStyle name="40% - Accent4 77 13 2 2" xfId="20348" xr:uid="{00000000-0005-0000-0000-0000804F0000}"/>
    <cellStyle name="40% - Accent4 77 13 3" xfId="20349" xr:uid="{00000000-0005-0000-0000-0000814F0000}"/>
    <cellStyle name="40% - Accent4 77 14" xfId="20350" xr:uid="{00000000-0005-0000-0000-0000824F0000}"/>
    <cellStyle name="40% - Accent4 77 14 2" xfId="20351" xr:uid="{00000000-0005-0000-0000-0000834F0000}"/>
    <cellStyle name="40% - Accent4 77 14 2 2" xfId="20352" xr:uid="{00000000-0005-0000-0000-0000844F0000}"/>
    <cellStyle name="40% - Accent4 77 14 3" xfId="20353" xr:uid="{00000000-0005-0000-0000-0000854F0000}"/>
    <cellStyle name="40% - Accent4 77 15" xfId="20354" xr:uid="{00000000-0005-0000-0000-0000864F0000}"/>
    <cellStyle name="40% - Accent4 77 15 2" xfId="20355" xr:uid="{00000000-0005-0000-0000-0000874F0000}"/>
    <cellStyle name="40% - Accent4 77 15 2 2" xfId="20356" xr:uid="{00000000-0005-0000-0000-0000884F0000}"/>
    <cellStyle name="40% - Accent4 77 15 3" xfId="20357" xr:uid="{00000000-0005-0000-0000-0000894F0000}"/>
    <cellStyle name="40% - Accent4 77 16" xfId="20358" xr:uid="{00000000-0005-0000-0000-00008A4F0000}"/>
    <cellStyle name="40% - Accent4 77 16 2" xfId="20359" xr:uid="{00000000-0005-0000-0000-00008B4F0000}"/>
    <cellStyle name="40% - Accent4 77 16 2 2" xfId="20360" xr:uid="{00000000-0005-0000-0000-00008C4F0000}"/>
    <cellStyle name="40% - Accent4 77 16 3" xfId="20361" xr:uid="{00000000-0005-0000-0000-00008D4F0000}"/>
    <cellStyle name="40% - Accent4 77 17" xfId="20362" xr:uid="{00000000-0005-0000-0000-00008E4F0000}"/>
    <cellStyle name="40% - Accent4 77 17 2" xfId="20363" xr:uid="{00000000-0005-0000-0000-00008F4F0000}"/>
    <cellStyle name="40% - Accent4 77 17 2 2" xfId="20364" xr:uid="{00000000-0005-0000-0000-0000904F0000}"/>
    <cellStyle name="40% - Accent4 77 17 3" xfId="20365" xr:uid="{00000000-0005-0000-0000-0000914F0000}"/>
    <cellStyle name="40% - Accent4 77 18" xfId="20366" xr:uid="{00000000-0005-0000-0000-0000924F0000}"/>
    <cellStyle name="40% - Accent4 77 18 2" xfId="20367" xr:uid="{00000000-0005-0000-0000-0000934F0000}"/>
    <cellStyle name="40% - Accent4 77 18 2 2" xfId="20368" xr:uid="{00000000-0005-0000-0000-0000944F0000}"/>
    <cellStyle name="40% - Accent4 77 18 3" xfId="20369" xr:uid="{00000000-0005-0000-0000-0000954F0000}"/>
    <cellStyle name="40% - Accent4 77 19" xfId="20370" xr:uid="{00000000-0005-0000-0000-0000964F0000}"/>
    <cellStyle name="40% - Accent4 77 19 2" xfId="20371" xr:uid="{00000000-0005-0000-0000-0000974F0000}"/>
    <cellStyle name="40% - Accent4 77 19 2 2" xfId="20372" xr:uid="{00000000-0005-0000-0000-0000984F0000}"/>
    <cellStyle name="40% - Accent4 77 19 3" xfId="20373" xr:uid="{00000000-0005-0000-0000-0000994F0000}"/>
    <cellStyle name="40% - Accent4 77 2" xfId="20374" xr:uid="{00000000-0005-0000-0000-00009A4F0000}"/>
    <cellStyle name="40% - Accent4 77 2 2" xfId="20375" xr:uid="{00000000-0005-0000-0000-00009B4F0000}"/>
    <cellStyle name="40% - Accent4 77 2 2 2" xfId="20376" xr:uid="{00000000-0005-0000-0000-00009C4F0000}"/>
    <cellStyle name="40% - Accent4 77 2 3" xfId="20377" xr:uid="{00000000-0005-0000-0000-00009D4F0000}"/>
    <cellStyle name="40% - Accent4 77 20" xfId="20378" xr:uid="{00000000-0005-0000-0000-00009E4F0000}"/>
    <cellStyle name="40% - Accent4 77 20 2" xfId="20379" xr:uid="{00000000-0005-0000-0000-00009F4F0000}"/>
    <cellStyle name="40% - Accent4 77 20 2 2" xfId="20380" xr:uid="{00000000-0005-0000-0000-0000A04F0000}"/>
    <cellStyle name="40% - Accent4 77 20 3" xfId="20381" xr:uid="{00000000-0005-0000-0000-0000A14F0000}"/>
    <cellStyle name="40% - Accent4 77 21" xfId="20382" xr:uid="{00000000-0005-0000-0000-0000A24F0000}"/>
    <cellStyle name="40% - Accent4 77 21 2" xfId="20383" xr:uid="{00000000-0005-0000-0000-0000A34F0000}"/>
    <cellStyle name="40% - Accent4 77 21 2 2" xfId="20384" xr:uid="{00000000-0005-0000-0000-0000A44F0000}"/>
    <cellStyle name="40% - Accent4 77 21 3" xfId="20385" xr:uid="{00000000-0005-0000-0000-0000A54F0000}"/>
    <cellStyle name="40% - Accent4 77 22" xfId="20386" xr:uid="{00000000-0005-0000-0000-0000A64F0000}"/>
    <cellStyle name="40% - Accent4 77 22 2" xfId="20387" xr:uid="{00000000-0005-0000-0000-0000A74F0000}"/>
    <cellStyle name="40% - Accent4 77 22 2 2" xfId="20388" xr:uid="{00000000-0005-0000-0000-0000A84F0000}"/>
    <cellStyle name="40% - Accent4 77 22 3" xfId="20389" xr:uid="{00000000-0005-0000-0000-0000A94F0000}"/>
    <cellStyle name="40% - Accent4 77 23" xfId="20390" xr:uid="{00000000-0005-0000-0000-0000AA4F0000}"/>
    <cellStyle name="40% - Accent4 77 23 2" xfId="20391" xr:uid="{00000000-0005-0000-0000-0000AB4F0000}"/>
    <cellStyle name="40% - Accent4 77 23 2 2" xfId="20392" xr:uid="{00000000-0005-0000-0000-0000AC4F0000}"/>
    <cellStyle name="40% - Accent4 77 23 3" xfId="20393" xr:uid="{00000000-0005-0000-0000-0000AD4F0000}"/>
    <cellStyle name="40% - Accent4 77 24" xfId="20394" xr:uid="{00000000-0005-0000-0000-0000AE4F0000}"/>
    <cellStyle name="40% - Accent4 77 24 2" xfId="20395" xr:uid="{00000000-0005-0000-0000-0000AF4F0000}"/>
    <cellStyle name="40% - Accent4 77 24 2 2" xfId="20396" xr:uid="{00000000-0005-0000-0000-0000B04F0000}"/>
    <cellStyle name="40% - Accent4 77 24 3" xfId="20397" xr:uid="{00000000-0005-0000-0000-0000B14F0000}"/>
    <cellStyle name="40% - Accent4 77 25" xfId="20398" xr:uid="{00000000-0005-0000-0000-0000B24F0000}"/>
    <cellStyle name="40% - Accent4 77 25 2" xfId="20399" xr:uid="{00000000-0005-0000-0000-0000B34F0000}"/>
    <cellStyle name="40% - Accent4 77 25 2 2" xfId="20400" xr:uid="{00000000-0005-0000-0000-0000B44F0000}"/>
    <cellStyle name="40% - Accent4 77 25 3" xfId="20401" xr:uid="{00000000-0005-0000-0000-0000B54F0000}"/>
    <cellStyle name="40% - Accent4 77 26" xfId="20402" xr:uid="{00000000-0005-0000-0000-0000B64F0000}"/>
    <cellStyle name="40% - Accent4 77 26 2" xfId="20403" xr:uid="{00000000-0005-0000-0000-0000B74F0000}"/>
    <cellStyle name="40% - Accent4 77 26 2 2" xfId="20404" xr:uid="{00000000-0005-0000-0000-0000B84F0000}"/>
    <cellStyle name="40% - Accent4 77 26 3" xfId="20405" xr:uid="{00000000-0005-0000-0000-0000B94F0000}"/>
    <cellStyle name="40% - Accent4 77 27" xfId="20406" xr:uid="{00000000-0005-0000-0000-0000BA4F0000}"/>
    <cellStyle name="40% - Accent4 77 27 2" xfId="20407" xr:uid="{00000000-0005-0000-0000-0000BB4F0000}"/>
    <cellStyle name="40% - Accent4 77 27 2 2" xfId="20408" xr:uid="{00000000-0005-0000-0000-0000BC4F0000}"/>
    <cellStyle name="40% - Accent4 77 27 3" xfId="20409" xr:uid="{00000000-0005-0000-0000-0000BD4F0000}"/>
    <cellStyle name="40% - Accent4 77 28" xfId="20410" xr:uid="{00000000-0005-0000-0000-0000BE4F0000}"/>
    <cellStyle name="40% - Accent4 77 28 2" xfId="20411" xr:uid="{00000000-0005-0000-0000-0000BF4F0000}"/>
    <cellStyle name="40% - Accent4 77 28 2 2" xfId="20412" xr:uid="{00000000-0005-0000-0000-0000C04F0000}"/>
    <cellStyle name="40% - Accent4 77 28 3" xfId="20413" xr:uid="{00000000-0005-0000-0000-0000C14F0000}"/>
    <cellStyle name="40% - Accent4 77 29" xfId="20414" xr:uid="{00000000-0005-0000-0000-0000C24F0000}"/>
    <cellStyle name="40% - Accent4 77 29 2" xfId="20415" xr:uid="{00000000-0005-0000-0000-0000C34F0000}"/>
    <cellStyle name="40% - Accent4 77 29 2 2" xfId="20416" xr:uid="{00000000-0005-0000-0000-0000C44F0000}"/>
    <cellStyle name="40% - Accent4 77 29 3" xfId="20417" xr:uid="{00000000-0005-0000-0000-0000C54F0000}"/>
    <cellStyle name="40% - Accent4 77 3" xfId="20418" xr:uid="{00000000-0005-0000-0000-0000C64F0000}"/>
    <cellStyle name="40% - Accent4 77 3 2" xfId="20419" xr:uid="{00000000-0005-0000-0000-0000C74F0000}"/>
    <cellStyle name="40% - Accent4 77 3 2 2" xfId="20420" xr:uid="{00000000-0005-0000-0000-0000C84F0000}"/>
    <cellStyle name="40% - Accent4 77 3 3" xfId="20421" xr:uid="{00000000-0005-0000-0000-0000C94F0000}"/>
    <cellStyle name="40% - Accent4 77 30" xfId="20422" xr:uid="{00000000-0005-0000-0000-0000CA4F0000}"/>
    <cellStyle name="40% - Accent4 77 30 2" xfId="20423" xr:uid="{00000000-0005-0000-0000-0000CB4F0000}"/>
    <cellStyle name="40% - Accent4 77 30 2 2" xfId="20424" xr:uid="{00000000-0005-0000-0000-0000CC4F0000}"/>
    <cellStyle name="40% - Accent4 77 30 3" xfId="20425" xr:uid="{00000000-0005-0000-0000-0000CD4F0000}"/>
    <cellStyle name="40% - Accent4 77 31" xfId="20426" xr:uid="{00000000-0005-0000-0000-0000CE4F0000}"/>
    <cellStyle name="40% - Accent4 77 31 2" xfId="20427" xr:uid="{00000000-0005-0000-0000-0000CF4F0000}"/>
    <cellStyle name="40% - Accent4 77 31 2 2" xfId="20428" xr:uid="{00000000-0005-0000-0000-0000D04F0000}"/>
    <cellStyle name="40% - Accent4 77 31 3" xfId="20429" xr:uid="{00000000-0005-0000-0000-0000D14F0000}"/>
    <cellStyle name="40% - Accent4 77 32" xfId="20430" xr:uid="{00000000-0005-0000-0000-0000D24F0000}"/>
    <cellStyle name="40% - Accent4 77 32 2" xfId="20431" xr:uid="{00000000-0005-0000-0000-0000D34F0000}"/>
    <cellStyle name="40% - Accent4 77 32 2 2" xfId="20432" xr:uid="{00000000-0005-0000-0000-0000D44F0000}"/>
    <cellStyle name="40% - Accent4 77 32 3" xfId="20433" xr:uid="{00000000-0005-0000-0000-0000D54F0000}"/>
    <cellStyle name="40% - Accent4 77 33" xfId="20434" xr:uid="{00000000-0005-0000-0000-0000D64F0000}"/>
    <cellStyle name="40% - Accent4 77 33 2" xfId="20435" xr:uid="{00000000-0005-0000-0000-0000D74F0000}"/>
    <cellStyle name="40% - Accent4 77 33 2 2" xfId="20436" xr:uid="{00000000-0005-0000-0000-0000D84F0000}"/>
    <cellStyle name="40% - Accent4 77 33 3" xfId="20437" xr:uid="{00000000-0005-0000-0000-0000D94F0000}"/>
    <cellStyle name="40% - Accent4 77 34" xfId="20438" xr:uid="{00000000-0005-0000-0000-0000DA4F0000}"/>
    <cellStyle name="40% - Accent4 77 34 2" xfId="20439" xr:uid="{00000000-0005-0000-0000-0000DB4F0000}"/>
    <cellStyle name="40% - Accent4 77 34 2 2" xfId="20440" xr:uid="{00000000-0005-0000-0000-0000DC4F0000}"/>
    <cellStyle name="40% - Accent4 77 34 3" xfId="20441" xr:uid="{00000000-0005-0000-0000-0000DD4F0000}"/>
    <cellStyle name="40% - Accent4 77 35" xfId="20442" xr:uid="{00000000-0005-0000-0000-0000DE4F0000}"/>
    <cellStyle name="40% - Accent4 77 35 2" xfId="20443" xr:uid="{00000000-0005-0000-0000-0000DF4F0000}"/>
    <cellStyle name="40% - Accent4 77 35 2 2" xfId="20444" xr:uid="{00000000-0005-0000-0000-0000E04F0000}"/>
    <cellStyle name="40% - Accent4 77 35 3" xfId="20445" xr:uid="{00000000-0005-0000-0000-0000E14F0000}"/>
    <cellStyle name="40% - Accent4 77 36" xfId="20446" xr:uid="{00000000-0005-0000-0000-0000E24F0000}"/>
    <cellStyle name="40% - Accent4 77 36 2" xfId="20447" xr:uid="{00000000-0005-0000-0000-0000E34F0000}"/>
    <cellStyle name="40% - Accent4 77 36 2 2" xfId="20448" xr:uid="{00000000-0005-0000-0000-0000E44F0000}"/>
    <cellStyle name="40% - Accent4 77 36 3" xfId="20449" xr:uid="{00000000-0005-0000-0000-0000E54F0000}"/>
    <cellStyle name="40% - Accent4 77 4" xfId="20450" xr:uid="{00000000-0005-0000-0000-0000E64F0000}"/>
    <cellStyle name="40% - Accent4 77 4 2" xfId="20451" xr:uid="{00000000-0005-0000-0000-0000E74F0000}"/>
    <cellStyle name="40% - Accent4 77 4 2 2" xfId="20452" xr:uid="{00000000-0005-0000-0000-0000E84F0000}"/>
    <cellStyle name="40% - Accent4 77 4 3" xfId="20453" xr:uid="{00000000-0005-0000-0000-0000E94F0000}"/>
    <cellStyle name="40% - Accent4 77 5" xfId="20454" xr:uid="{00000000-0005-0000-0000-0000EA4F0000}"/>
    <cellStyle name="40% - Accent4 77 5 2" xfId="20455" xr:uid="{00000000-0005-0000-0000-0000EB4F0000}"/>
    <cellStyle name="40% - Accent4 77 5 2 2" xfId="20456" xr:uid="{00000000-0005-0000-0000-0000EC4F0000}"/>
    <cellStyle name="40% - Accent4 77 5 3" xfId="20457" xr:uid="{00000000-0005-0000-0000-0000ED4F0000}"/>
    <cellStyle name="40% - Accent4 77 6" xfId="20458" xr:uid="{00000000-0005-0000-0000-0000EE4F0000}"/>
    <cellStyle name="40% - Accent4 77 6 2" xfId="20459" xr:uid="{00000000-0005-0000-0000-0000EF4F0000}"/>
    <cellStyle name="40% - Accent4 77 6 2 2" xfId="20460" xr:uid="{00000000-0005-0000-0000-0000F04F0000}"/>
    <cellStyle name="40% - Accent4 77 6 3" xfId="20461" xr:uid="{00000000-0005-0000-0000-0000F14F0000}"/>
    <cellStyle name="40% - Accent4 77 7" xfId="20462" xr:uid="{00000000-0005-0000-0000-0000F24F0000}"/>
    <cellStyle name="40% - Accent4 77 7 2" xfId="20463" xr:uid="{00000000-0005-0000-0000-0000F34F0000}"/>
    <cellStyle name="40% - Accent4 77 7 2 2" xfId="20464" xr:uid="{00000000-0005-0000-0000-0000F44F0000}"/>
    <cellStyle name="40% - Accent4 77 7 3" xfId="20465" xr:uid="{00000000-0005-0000-0000-0000F54F0000}"/>
    <cellStyle name="40% - Accent4 77 8" xfId="20466" xr:uid="{00000000-0005-0000-0000-0000F64F0000}"/>
    <cellStyle name="40% - Accent4 77 8 2" xfId="20467" xr:uid="{00000000-0005-0000-0000-0000F74F0000}"/>
    <cellStyle name="40% - Accent4 77 8 2 2" xfId="20468" xr:uid="{00000000-0005-0000-0000-0000F84F0000}"/>
    <cellStyle name="40% - Accent4 77 8 3" xfId="20469" xr:uid="{00000000-0005-0000-0000-0000F94F0000}"/>
    <cellStyle name="40% - Accent4 77 9" xfId="20470" xr:uid="{00000000-0005-0000-0000-0000FA4F0000}"/>
    <cellStyle name="40% - Accent4 77 9 2" xfId="20471" xr:uid="{00000000-0005-0000-0000-0000FB4F0000}"/>
    <cellStyle name="40% - Accent4 77 9 2 2" xfId="20472" xr:uid="{00000000-0005-0000-0000-0000FC4F0000}"/>
    <cellStyle name="40% - Accent4 77 9 3" xfId="20473" xr:uid="{00000000-0005-0000-0000-0000FD4F0000}"/>
    <cellStyle name="40% - Accent4 78" xfId="20474" xr:uid="{00000000-0005-0000-0000-0000FE4F0000}"/>
    <cellStyle name="40% - Accent4 78 2" xfId="20475" xr:uid="{00000000-0005-0000-0000-0000FF4F0000}"/>
    <cellStyle name="40% - Accent4 79" xfId="20476" xr:uid="{00000000-0005-0000-0000-000000500000}"/>
    <cellStyle name="40% - Accent4 79 10" xfId="20477" xr:uid="{00000000-0005-0000-0000-000001500000}"/>
    <cellStyle name="40% - Accent4 79 10 2" xfId="20478" xr:uid="{00000000-0005-0000-0000-000002500000}"/>
    <cellStyle name="40% - Accent4 79 10 2 2" xfId="20479" xr:uid="{00000000-0005-0000-0000-000003500000}"/>
    <cellStyle name="40% - Accent4 79 10 3" xfId="20480" xr:uid="{00000000-0005-0000-0000-000004500000}"/>
    <cellStyle name="40% - Accent4 79 11" xfId="20481" xr:uid="{00000000-0005-0000-0000-000005500000}"/>
    <cellStyle name="40% - Accent4 79 11 2" xfId="20482" xr:uid="{00000000-0005-0000-0000-000006500000}"/>
    <cellStyle name="40% - Accent4 79 11 2 2" xfId="20483" xr:uid="{00000000-0005-0000-0000-000007500000}"/>
    <cellStyle name="40% - Accent4 79 11 3" xfId="20484" xr:uid="{00000000-0005-0000-0000-000008500000}"/>
    <cellStyle name="40% - Accent4 79 12" xfId="20485" xr:uid="{00000000-0005-0000-0000-000009500000}"/>
    <cellStyle name="40% - Accent4 79 12 2" xfId="20486" xr:uid="{00000000-0005-0000-0000-00000A500000}"/>
    <cellStyle name="40% - Accent4 79 12 2 2" xfId="20487" xr:uid="{00000000-0005-0000-0000-00000B500000}"/>
    <cellStyle name="40% - Accent4 79 12 3" xfId="20488" xr:uid="{00000000-0005-0000-0000-00000C500000}"/>
    <cellStyle name="40% - Accent4 79 13" xfId="20489" xr:uid="{00000000-0005-0000-0000-00000D500000}"/>
    <cellStyle name="40% - Accent4 79 13 2" xfId="20490" xr:uid="{00000000-0005-0000-0000-00000E500000}"/>
    <cellStyle name="40% - Accent4 79 13 2 2" xfId="20491" xr:uid="{00000000-0005-0000-0000-00000F500000}"/>
    <cellStyle name="40% - Accent4 79 13 3" xfId="20492" xr:uid="{00000000-0005-0000-0000-000010500000}"/>
    <cellStyle name="40% - Accent4 79 14" xfId="20493" xr:uid="{00000000-0005-0000-0000-000011500000}"/>
    <cellStyle name="40% - Accent4 79 14 2" xfId="20494" xr:uid="{00000000-0005-0000-0000-000012500000}"/>
    <cellStyle name="40% - Accent4 79 14 2 2" xfId="20495" xr:uid="{00000000-0005-0000-0000-000013500000}"/>
    <cellStyle name="40% - Accent4 79 14 3" xfId="20496" xr:uid="{00000000-0005-0000-0000-000014500000}"/>
    <cellStyle name="40% - Accent4 79 15" xfId="20497" xr:uid="{00000000-0005-0000-0000-000015500000}"/>
    <cellStyle name="40% - Accent4 79 15 2" xfId="20498" xr:uid="{00000000-0005-0000-0000-000016500000}"/>
    <cellStyle name="40% - Accent4 79 15 2 2" xfId="20499" xr:uid="{00000000-0005-0000-0000-000017500000}"/>
    <cellStyle name="40% - Accent4 79 15 3" xfId="20500" xr:uid="{00000000-0005-0000-0000-000018500000}"/>
    <cellStyle name="40% - Accent4 79 16" xfId="20501" xr:uid="{00000000-0005-0000-0000-000019500000}"/>
    <cellStyle name="40% - Accent4 79 16 2" xfId="20502" xr:uid="{00000000-0005-0000-0000-00001A500000}"/>
    <cellStyle name="40% - Accent4 79 16 2 2" xfId="20503" xr:uid="{00000000-0005-0000-0000-00001B500000}"/>
    <cellStyle name="40% - Accent4 79 16 3" xfId="20504" xr:uid="{00000000-0005-0000-0000-00001C500000}"/>
    <cellStyle name="40% - Accent4 79 17" xfId="20505" xr:uid="{00000000-0005-0000-0000-00001D500000}"/>
    <cellStyle name="40% - Accent4 79 17 2" xfId="20506" xr:uid="{00000000-0005-0000-0000-00001E500000}"/>
    <cellStyle name="40% - Accent4 79 17 2 2" xfId="20507" xr:uid="{00000000-0005-0000-0000-00001F500000}"/>
    <cellStyle name="40% - Accent4 79 17 3" xfId="20508" xr:uid="{00000000-0005-0000-0000-000020500000}"/>
    <cellStyle name="40% - Accent4 79 18" xfId="20509" xr:uid="{00000000-0005-0000-0000-000021500000}"/>
    <cellStyle name="40% - Accent4 79 18 2" xfId="20510" xr:uid="{00000000-0005-0000-0000-000022500000}"/>
    <cellStyle name="40% - Accent4 79 18 2 2" xfId="20511" xr:uid="{00000000-0005-0000-0000-000023500000}"/>
    <cellStyle name="40% - Accent4 79 18 3" xfId="20512" xr:uid="{00000000-0005-0000-0000-000024500000}"/>
    <cellStyle name="40% - Accent4 79 19" xfId="20513" xr:uid="{00000000-0005-0000-0000-000025500000}"/>
    <cellStyle name="40% - Accent4 79 19 2" xfId="20514" xr:uid="{00000000-0005-0000-0000-000026500000}"/>
    <cellStyle name="40% - Accent4 79 19 2 2" xfId="20515" xr:uid="{00000000-0005-0000-0000-000027500000}"/>
    <cellStyle name="40% - Accent4 79 19 3" xfId="20516" xr:uid="{00000000-0005-0000-0000-000028500000}"/>
    <cellStyle name="40% - Accent4 79 2" xfId="20517" xr:uid="{00000000-0005-0000-0000-000029500000}"/>
    <cellStyle name="40% - Accent4 79 2 2" xfId="20518" xr:uid="{00000000-0005-0000-0000-00002A500000}"/>
    <cellStyle name="40% - Accent4 79 2 2 2" xfId="20519" xr:uid="{00000000-0005-0000-0000-00002B500000}"/>
    <cellStyle name="40% - Accent4 79 2 3" xfId="20520" xr:uid="{00000000-0005-0000-0000-00002C500000}"/>
    <cellStyle name="40% - Accent4 79 20" xfId="20521" xr:uid="{00000000-0005-0000-0000-00002D500000}"/>
    <cellStyle name="40% - Accent4 79 20 2" xfId="20522" xr:uid="{00000000-0005-0000-0000-00002E500000}"/>
    <cellStyle name="40% - Accent4 79 20 2 2" xfId="20523" xr:uid="{00000000-0005-0000-0000-00002F500000}"/>
    <cellStyle name="40% - Accent4 79 20 3" xfId="20524" xr:uid="{00000000-0005-0000-0000-000030500000}"/>
    <cellStyle name="40% - Accent4 79 21" xfId="20525" xr:uid="{00000000-0005-0000-0000-000031500000}"/>
    <cellStyle name="40% - Accent4 79 21 2" xfId="20526" xr:uid="{00000000-0005-0000-0000-000032500000}"/>
    <cellStyle name="40% - Accent4 79 21 2 2" xfId="20527" xr:uid="{00000000-0005-0000-0000-000033500000}"/>
    <cellStyle name="40% - Accent4 79 21 3" xfId="20528" xr:uid="{00000000-0005-0000-0000-000034500000}"/>
    <cellStyle name="40% - Accent4 79 22" xfId="20529" xr:uid="{00000000-0005-0000-0000-000035500000}"/>
    <cellStyle name="40% - Accent4 79 22 2" xfId="20530" xr:uid="{00000000-0005-0000-0000-000036500000}"/>
    <cellStyle name="40% - Accent4 79 22 2 2" xfId="20531" xr:uid="{00000000-0005-0000-0000-000037500000}"/>
    <cellStyle name="40% - Accent4 79 22 3" xfId="20532" xr:uid="{00000000-0005-0000-0000-000038500000}"/>
    <cellStyle name="40% - Accent4 79 23" xfId="20533" xr:uid="{00000000-0005-0000-0000-000039500000}"/>
    <cellStyle name="40% - Accent4 79 23 2" xfId="20534" xr:uid="{00000000-0005-0000-0000-00003A500000}"/>
    <cellStyle name="40% - Accent4 79 23 2 2" xfId="20535" xr:uid="{00000000-0005-0000-0000-00003B500000}"/>
    <cellStyle name="40% - Accent4 79 23 3" xfId="20536" xr:uid="{00000000-0005-0000-0000-00003C500000}"/>
    <cellStyle name="40% - Accent4 79 24" xfId="20537" xr:uid="{00000000-0005-0000-0000-00003D500000}"/>
    <cellStyle name="40% - Accent4 79 24 2" xfId="20538" xr:uid="{00000000-0005-0000-0000-00003E500000}"/>
    <cellStyle name="40% - Accent4 79 24 2 2" xfId="20539" xr:uid="{00000000-0005-0000-0000-00003F500000}"/>
    <cellStyle name="40% - Accent4 79 24 3" xfId="20540" xr:uid="{00000000-0005-0000-0000-000040500000}"/>
    <cellStyle name="40% - Accent4 79 25" xfId="20541" xr:uid="{00000000-0005-0000-0000-000041500000}"/>
    <cellStyle name="40% - Accent4 79 25 2" xfId="20542" xr:uid="{00000000-0005-0000-0000-000042500000}"/>
    <cellStyle name="40% - Accent4 79 25 2 2" xfId="20543" xr:uid="{00000000-0005-0000-0000-000043500000}"/>
    <cellStyle name="40% - Accent4 79 25 3" xfId="20544" xr:uid="{00000000-0005-0000-0000-000044500000}"/>
    <cellStyle name="40% - Accent4 79 26" xfId="20545" xr:uid="{00000000-0005-0000-0000-000045500000}"/>
    <cellStyle name="40% - Accent4 79 26 2" xfId="20546" xr:uid="{00000000-0005-0000-0000-000046500000}"/>
    <cellStyle name="40% - Accent4 79 26 2 2" xfId="20547" xr:uid="{00000000-0005-0000-0000-000047500000}"/>
    <cellStyle name="40% - Accent4 79 26 3" xfId="20548" xr:uid="{00000000-0005-0000-0000-000048500000}"/>
    <cellStyle name="40% - Accent4 79 27" xfId="20549" xr:uid="{00000000-0005-0000-0000-000049500000}"/>
    <cellStyle name="40% - Accent4 79 27 2" xfId="20550" xr:uid="{00000000-0005-0000-0000-00004A500000}"/>
    <cellStyle name="40% - Accent4 79 27 2 2" xfId="20551" xr:uid="{00000000-0005-0000-0000-00004B500000}"/>
    <cellStyle name="40% - Accent4 79 27 3" xfId="20552" xr:uid="{00000000-0005-0000-0000-00004C500000}"/>
    <cellStyle name="40% - Accent4 79 28" xfId="20553" xr:uid="{00000000-0005-0000-0000-00004D500000}"/>
    <cellStyle name="40% - Accent4 79 28 2" xfId="20554" xr:uid="{00000000-0005-0000-0000-00004E500000}"/>
    <cellStyle name="40% - Accent4 79 28 2 2" xfId="20555" xr:uid="{00000000-0005-0000-0000-00004F500000}"/>
    <cellStyle name="40% - Accent4 79 28 3" xfId="20556" xr:uid="{00000000-0005-0000-0000-000050500000}"/>
    <cellStyle name="40% - Accent4 79 29" xfId="20557" xr:uid="{00000000-0005-0000-0000-000051500000}"/>
    <cellStyle name="40% - Accent4 79 29 2" xfId="20558" xr:uid="{00000000-0005-0000-0000-000052500000}"/>
    <cellStyle name="40% - Accent4 79 29 2 2" xfId="20559" xr:uid="{00000000-0005-0000-0000-000053500000}"/>
    <cellStyle name="40% - Accent4 79 29 3" xfId="20560" xr:uid="{00000000-0005-0000-0000-000054500000}"/>
    <cellStyle name="40% - Accent4 79 3" xfId="20561" xr:uid="{00000000-0005-0000-0000-000055500000}"/>
    <cellStyle name="40% - Accent4 79 3 2" xfId="20562" xr:uid="{00000000-0005-0000-0000-000056500000}"/>
    <cellStyle name="40% - Accent4 79 3 2 2" xfId="20563" xr:uid="{00000000-0005-0000-0000-000057500000}"/>
    <cellStyle name="40% - Accent4 79 3 3" xfId="20564" xr:uid="{00000000-0005-0000-0000-000058500000}"/>
    <cellStyle name="40% - Accent4 79 30" xfId="20565" xr:uid="{00000000-0005-0000-0000-000059500000}"/>
    <cellStyle name="40% - Accent4 79 30 2" xfId="20566" xr:uid="{00000000-0005-0000-0000-00005A500000}"/>
    <cellStyle name="40% - Accent4 79 30 2 2" xfId="20567" xr:uid="{00000000-0005-0000-0000-00005B500000}"/>
    <cellStyle name="40% - Accent4 79 30 3" xfId="20568" xr:uid="{00000000-0005-0000-0000-00005C500000}"/>
    <cellStyle name="40% - Accent4 79 31" xfId="20569" xr:uid="{00000000-0005-0000-0000-00005D500000}"/>
    <cellStyle name="40% - Accent4 79 31 2" xfId="20570" xr:uid="{00000000-0005-0000-0000-00005E500000}"/>
    <cellStyle name="40% - Accent4 79 31 2 2" xfId="20571" xr:uid="{00000000-0005-0000-0000-00005F500000}"/>
    <cellStyle name="40% - Accent4 79 31 3" xfId="20572" xr:uid="{00000000-0005-0000-0000-000060500000}"/>
    <cellStyle name="40% - Accent4 79 32" xfId="20573" xr:uid="{00000000-0005-0000-0000-000061500000}"/>
    <cellStyle name="40% - Accent4 79 32 2" xfId="20574" xr:uid="{00000000-0005-0000-0000-000062500000}"/>
    <cellStyle name="40% - Accent4 79 32 2 2" xfId="20575" xr:uid="{00000000-0005-0000-0000-000063500000}"/>
    <cellStyle name="40% - Accent4 79 32 3" xfId="20576" xr:uid="{00000000-0005-0000-0000-000064500000}"/>
    <cellStyle name="40% - Accent4 79 33" xfId="20577" xr:uid="{00000000-0005-0000-0000-000065500000}"/>
    <cellStyle name="40% - Accent4 79 33 2" xfId="20578" xr:uid="{00000000-0005-0000-0000-000066500000}"/>
    <cellStyle name="40% - Accent4 79 33 2 2" xfId="20579" xr:uid="{00000000-0005-0000-0000-000067500000}"/>
    <cellStyle name="40% - Accent4 79 33 3" xfId="20580" xr:uid="{00000000-0005-0000-0000-000068500000}"/>
    <cellStyle name="40% - Accent4 79 34" xfId="20581" xr:uid="{00000000-0005-0000-0000-000069500000}"/>
    <cellStyle name="40% - Accent4 79 34 2" xfId="20582" xr:uid="{00000000-0005-0000-0000-00006A500000}"/>
    <cellStyle name="40% - Accent4 79 34 2 2" xfId="20583" xr:uid="{00000000-0005-0000-0000-00006B500000}"/>
    <cellStyle name="40% - Accent4 79 34 3" xfId="20584" xr:uid="{00000000-0005-0000-0000-00006C500000}"/>
    <cellStyle name="40% - Accent4 79 35" xfId="20585" xr:uid="{00000000-0005-0000-0000-00006D500000}"/>
    <cellStyle name="40% - Accent4 79 35 2" xfId="20586" xr:uid="{00000000-0005-0000-0000-00006E500000}"/>
    <cellStyle name="40% - Accent4 79 35 2 2" xfId="20587" xr:uid="{00000000-0005-0000-0000-00006F500000}"/>
    <cellStyle name="40% - Accent4 79 35 3" xfId="20588" xr:uid="{00000000-0005-0000-0000-000070500000}"/>
    <cellStyle name="40% - Accent4 79 36" xfId="20589" xr:uid="{00000000-0005-0000-0000-000071500000}"/>
    <cellStyle name="40% - Accent4 79 36 2" xfId="20590" xr:uid="{00000000-0005-0000-0000-000072500000}"/>
    <cellStyle name="40% - Accent4 79 36 2 2" xfId="20591" xr:uid="{00000000-0005-0000-0000-000073500000}"/>
    <cellStyle name="40% - Accent4 79 36 3" xfId="20592" xr:uid="{00000000-0005-0000-0000-000074500000}"/>
    <cellStyle name="40% - Accent4 79 4" xfId="20593" xr:uid="{00000000-0005-0000-0000-000075500000}"/>
    <cellStyle name="40% - Accent4 79 4 2" xfId="20594" xr:uid="{00000000-0005-0000-0000-000076500000}"/>
    <cellStyle name="40% - Accent4 79 4 2 2" xfId="20595" xr:uid="{00000000-0005-0000-0000-000077500000}"/>
    <cellStyle name="40% - Accent4 79 4 3" xfId="20596" xr:uid="{00000000-0005-0000-0000-000078500000}"/>
    <cellStyle name="40% - Accent4 79 5" xfId="20597" xr:uid="{00000000-0005-0000-0000-000079500000}"/>
    <cellStyle name="40% - Accent4 79 5 2" xfId="20598" xr:uid="{00000000-0005-0000-0000-00007A500000}"/>
    <cellStyle name="40% - Accent4 79 5 2 2" xfId="20599" xr:uid="{00000000-0005-0000-0000-00007B500000}"/>
    <cellStyle name="40% - Accent4 79 5 3" xfId="20600" xr:uid="{00000000-0005-0000-0000-00007C500000}"/>
    <cellStyle name="40% - Accent4 79 6" xfId="20601" xr:uid="{00000000-0005-0000-0000-00007D500000}"/>
    <cellStyle name="40% - Accent4 79 6 2" xfId="20602" xr:uid="{00000000-0005-0000-0000-00007E500000}"/>
    <cellStyle name="40% - Accent4 79 6 2 2" xfId="20603" xr:uid="{00000000-0005-0000-0000-00007F500000}"/>
    <cellStyle name="40% - Accent4 79 6 3" xfId="20604" xr:uid="{00000000-0005-0000-0000-000080500000}"/>
    <cellStyle name="40% - Accent4 79 7" xfId="20605" xr:uid="{00000000-0005-0000-0000-000081500000}"/>
    <cellStyle name="40% - Accent4 79 7 2" xfId="20606" xr:uid="{00000000-0005-0000-0000-000082500000}"/>
    <cellStyle name="40% - Accent4 79 7 2 2" xfId="20607" xr:uid="{00000000-0005-0000-0000-000083500000}"/>
    <cellStyle name="40% - Accent4 79 7 3" xfId="20608" xr:uid="{00000000-0005-0000-0000-000084500000}"/>
    <cellStyle name="40% - Accent4 79 8" xfId="20609" xr:uid="{00000000-0005-0000-0000-000085500000}"/>
    <cellStyle name="40% - Accent4 79 8 2" xfId="20610" xr:uid="{00000000-0005-0000-0000-000086500000}"/>
    <cellStyle name="40% - Accent4 79 8 2 2" xfId="20611" xr:uid="{00000000-0005-0000-0000-000087500000}"/>
    <cellStyle name="40% - Accent4 79 8 3" xfId="20612" xr:uid="{00000000-0005-0000-0000-000088500000}"/>
    <cellStyle name="40% - Accent4 79 9" xfId="20613" xr:uid="{00000000-0005-0000-0000-000089500000}"/>
    <cellStyle name="40% - Accent4 79 9 2" xfId="20614" xr:uid="{00000000-0005-0000-0000-00008A500000}"/>
    <cellStyle name="40% - Accent4 79 9 2 2" xfId="20615" xr:uid="{00000000-0005-0000-0000-00008B500000}"/>
    <cellStyle name="40% - Accent4 79 9 3" xfId="20616" xr:uid="{00000000-0005-0000-0000-00008C500000}"/>
    <cellStyle name="40% - Accent4 8" xfId="20617" xr:uid="{00000000-0005-0000-0000-00008D500000}"/>
    <cellStyle name="40% - Accent4 8 2" xfId="20618" xr:uid="{00000000-0005-0000-0000-00008E500000}"/>
    <cellStyle name="40% - Accent4 8 2 2" xfId="20619" xr:uid="{00000000-0005-0000-0000-00008F500000}"/>
    <cellStyle name="40% - Accent4 8 3" xfId="20620" xr:uid="{00000000-0005-0000-0000-000090500000}"/>
    <cellStyle name="40% - Accent4 8 4" xfId="20621" xr:uid="{00000000-0005-0000-0000-000091500000}"/>
    <cellStyle name="40% - Accent4 80" xfId="20622" xr:uid="{00000000-0005-0000-0000-000092500000}"/>
    <cellStyle name="40% - Accent4 80 2" xfId="20623" xr:uid="{00000000-0005-0000-0000-000093500000}"/>
    <cellStyle name="40% - Accent4 81" xfId="20624" xr:uid="{00000000-0005-0000-0000-000094500000}"/>
    <cellStyle name="40% - Accent4 81 10" xfId="20625" xr:uid="{00000000-0005-0000-0000-000095500000}"/>
    <cellStyle name="40% - Accent4 81 10 2" xfId="20626" xr:uid="{00000000-0005-0000-0000-000096500000}"/>
    <cellStyle name="40% - Accent4 81 10 2 2" xfId="20627" xr:uid="{00000000-0005-0000-0000-000097500000}"/>
    <cellStyle name="40% - Accent4 81 10 3" xfId="20628" xr:uid="{00000000-0005-0000-0000-000098500000}"/>
    <cellStyle name="40% - Accent4 81 11" xfId="20629" xr:uid="{00000000-0005-0000-0000-000099500000}"/>
    <cellStyle name="40% - Accent4 81 11 2" xfId="20630" xr:uid="{00000000-0005-0000-0000-00009A500000}"/>
    <cellStyle name="40% - Accent4 81 11 2 2" xfId="20631" xr:uid="{00000000-0005-0000-0000-00009B500000}"/>
    <cellStyle name="40% - Accent4 81 11 3" xfId="20632" xr:uid="{00000000-0005-0000-0000-00009C500000}"/>
    <cellStyle name="40% - Accent4 81 12" xfId="20633" xr:uid="{00000000-0005-0000-0000-00009D500000}"/>
    <cellStyle name="40% - Accent4 81 12 2" xfId="20634" xr:uid="{00000000-0005-0000-0000-00009E500000}"/>
    <cellStyle name="40% - Accent4 81 12 2 2" xfId="20635" xr:uid="{00000000-0005-0000-0000-00009F500000}"/>
    <cellStyle name="40% - Accent4 81 12 3" xfId="20636" xr:uid="{00000000-0005-0000-0000-0000A0500000}"/>
    <cellStyle name="40% - Accent4 81 13" xfId="20637" xr:uid="{00000000-0005-0000-0000-0000A1500000}"/>
    <cellStyle name="40% - Accent4 81 13 2" xfId="20638" xr:uid="{00000000-0005-0000-0000-0000A2500000}"/>
    <cellStyle name="40% - Accent4 81 13 2 2" xfId="20639" xr:uid="{00000000-0005-0000-0000-0000A3500000}"/>
    <cellStyle name="40% - Accent4 81 13 3" xfId="20640" xr:uid="{00000000-0005-0000-0000-0000A4500000}"/>
    <cellStyle name="40% - Accent4 81 14" xfId="20641" xr:uid="{00000000-0005-0000-0000-0000A5500000}"/>
    <cellStyle name="40% - Accent4 81 14 2" xfId="20642" xr:uid="{00000000-0005-0000-0000-0000A6500000}"/>
    <cellStyle name="40% - Accent4 81 14 2 2" xfId="20643" xr:uid="{00000000-0005-0000-0000-0000A7500000}"/>
    <cellStyle name="40% - Accent4 81 14 3" xfId="20644" xr:uid="{00000000-0005-0000-0000-0000A8500000}"/>
    <cellStyle name="40% - Accent4 81 15" xfId="20645" xr:uid="{00000000-0005-0000-0000-0000A9500000}"/>
    <cellStyle name="40% - Accent4 81 15 2" xfId="20646" xr:uid="{00000000-0005-0000-0000-0000AA500000}"/>
    <cellStyle name="40% - Accent4 81 15 2 2" xfId="20647" xr:uid="{00000000-0005-0000-0000-0000AB500000}"/>
    <cellStyle name="40% - Accent4 81 15 3" xfId="20648" xr:uid="{00000000-0005-0000-0000-0000AC500000}"/>
    <cellStyle name="40% - Accent4 81 16" xfId="20649" xr:uid="{00000000-0005-0000-0000-0000AD500000}"/>
    <cellStyle name="40% - Accent4 81 16 2" xfId="20650" xr:uid="{00000000-0005-0000-0000-0000AE500000}"/>
    <cellStyle name="40% - Accent4 81 16 2 2" xfId="20651" xr:uid="{00000000-0005-0000-0000-0000AF500000}"/>
    <cellStyle name="40% - Accent4 81 16 3" xfId="20652" xr:uid="{00000000-0005-0000-0000-0000B0500000}"/>
    <cellStyle name="40% - Accent4 81 17" xfId="20653" xr:uid="{00000000-0005-0000-0000-0000B1500000}"/>
    <cellStyle name="40% - Accent4 81 17 2" xfId="20654" xr:uid="{00000000-0005-0000-0000-0000B2500000}"/>
    <cellStyle name="40% - Accent4 81 17 2 2" xfId="20655" xr:uid="{00000000-0005-0000-0000-0000B3500000}"/>
    <cellStyle name="40% - Accent4 81 17 3" xfId="20656" xr:uid="{00000000-0005-0000-0000-0000B4500000}"/>
    <cellStyle name="40% - Accent4 81 18" xfId="20657" xr:uid="{00000000-0005-0000-0000-0000B5500000}"/>
    <cellStyle name="40% - Accent4 81 18 2" xfId="20658" xr:uid="{00000000-0005-0000-0000-0000B6500000}"/>
    <cellStyle name="40% - Accent4 81 18 2 2" xfId="20659" xr:uid="{00000000-0005-0000-0000-0000B7500000}"/>
    <cellStyle name="40% - Accent4 81 18 3" xfId="20660" xr:uid="{00000000-0005-0000-0000-0000B8500000}"/>
    <cellStyle name="40% - Accent4 81 19" xfId="20661" xr:uid="{00000000-0005-0000-0000-0000B9500000}"/>
    <cellStyle name="40% - Accent4 81 19 2" xfId="20662" xr:uid="{00000000-0005-0000-0000-0000BA500000}"/>
    <cellStyle name="40% - Accent4 81 19 2 2" xfId="20663" xr:uid="{00000000-0005-0000-0000-0000BB500000}"/>
    <cellStyle name="40% - Accent4 81 19 3" xfId="20664" xr:uid="{00000000-0005-0000-0000-0000BC500000}"/>
    <cellStyle name="40% - Accent4 81 2" xfId="20665" xr:uid="{00000000-0005-0000-0000-0000BD500000}"/>
    <cellStyle name="40% - Accent4 81 2 2" xfId="20666" xr:uid="{00000000-0005-0000-0000-0000BE500000}"/>
    <cellStyle name="40% - Accent4 81 2 2 2" xfId="20667" xr:uid="{00000000-0005-0000-0000-0000BF500000}"/>
    <cellStyle name="40% - Accent4 81 2 3" xfId="20668" xr:uid="{00000000-0005-0000-0000-0000C0500000}"/>
    <cellStyle name="40% - Accent4 81 20" xfId="20669" xr:uid="{00000000-0005-0000-0000-0000C1500000}"/>
    <cellStyle name="40% - Accent4 81 20 2" xfId="20670" xr:uid="{00000000-0005-0000-0000-0000C2500000}"/>
    <cellStyle name="40% - Accent4 81 20 2 2" xfId="20671" xr:uid="{00000000-0005-0000-0000-0000C3500000}"/>
    <cellStyle name="40% - Accent4 81 20 3" xfId="20672" xr:uid="{00000000-0005-0000-0000-0000C4500000}"/>
    <cellStyle name="40% - Accent4 81 21" xfId="20673" xr:uid="{00000000-0005-0000-0000-0000C5500000}"/>
    <cellStyle name="40% - Accent4 81 21 2" xfId="20674" xr:uid="{00000000-0005-0000-0000-0000C6500000}"/>
    <cellStyle name="40% - Accent4 81 21 2 2" xfId="20675" xr:uid="{00000000-0005-0000-0000-0000C7500000}"/>
    <cellStyle name="40% - Accent4 81 21 3" xfId="20676" xr:uid="{00000000-0005-0000-0000-0000C8500000}"/>
    <cellStyle name="40% - Accent4 81 22" xfId="20677" xr:uid="{00000000-0005-0000-0000-0000C9500000}"/>
    <cellStyle name="40% - Accent4 81 22 2" xfId="20678" xr:uid="{00000000-0005-0000-0000-0000CA500000}"/>
    <cellStyle name="40% - Accent4 81 22 2 2" xfId="20679" xr:uid="{00000000-0005-0000-0000-0000CB500000}"/>
    <cellStyle name="40% - Accent4 81 22 3" xfId="20680" xr:uid="{00000000-0005-0000-0000-0000CC500000}"/>
    <cellStyle name="40% - Accent4 81 23" xfId="20681" xr:uid="{00000000-0005-0000-0000-0000CD500000}"/>
    <cellStyle name="40% - Accent4 81 23 2" xfId="20682" xr:uid="{00000000-0005-0000-0000-0000CE500000}"/>
    <cellStyle name="40% - Accent4 81 23 2 2" xfId="20683" xr:uid="{00000000-0005-0000-0000-0000CF500000}"/>
    <cellStyle name="40% - Accent4 81 23 3" xfId="20684" xr:uid="{00000000-0005-0000-0000-0000D0500000}"/>
    <cellStyle name="40% - Accent4 81 24" xfId="20685" xr:uid="{00000000-0005-0000-0000-0000D1500000}"/>
    <cellStyle name="40% - Accent4 81 24 2" xfId="20686" xr:uid="{00000000-0005-0000-0000-0000D2500000}"/>
    <cellStyle name="40% - Accent4 81 24 2 2" xfId="20687" xr:uid="{00000000-0005-0000-0000-0000D3500000}"/>
    <cellStyle name="40% - Accent4 81 24 3" xfId="20688" xr:uid="{00000000-0005-0000-0000-0000D4500000}"/>
    <cellStyle name="40% - Accent4 81 25" xfId="20689" xr:uid="{00000000-0005-0000-0000-0000D5500000}"/>
    <cellStyle name="40% - Accent4 81 25 2" xfId="20690" xr:uid="{00000000-0005-0000-0000-0000D6500000}"/>
    <cellStyle name="40% - Accent4 81 25 2 2" xfId="20691" xr:uid="{00000000-0005-0000-0000-0000D7500000}"/>
    <cellStyle name="40% - Accent4 81 25 3" xfId="20692" xr:uid="{00000000-0005-0000-0000-0000D8500000}"/>
    <cellStyle name="40% - Accent4 81 26" xfId="20693" xr:uid="{00000000-0005-0000-0000-0000D9500000}"/>
    <cellStyle name="40% - Accent4 81 26 2" xfId="20694" xr:uid="{00000000-0005-0000-0000-0000DA500000}"/>
    <cellStyle name="40% - Accent4 81 26 2 2" xfId="20695" xr:uid="{00000000-0005-0000-0000-0000DB500000}"/>
    <cellStyle name="40% - Accent4 81 26 3" xfId="20696" xr:uid="{00000000-0005-0000-0000-0000DC500000}"/>
    <cellStyle name="40% - Accent4 81 27" xfId="20697" xr:uid="{00000000-0005-0000-0000-0000DD500000}"/>
    <cellStyle name="40% - Accent4 81 27 2" xfId="20698" xr:uid="{00000000-0005-0000-0000-0000DE500000}"/>
    <cellStyle name="40% - Accent4 81 27 2 2" xfId="20699" xr:uid="{00000000-0005-0000-0000-0000DF500000}"/>
    <cellStyle name="40% - Accent4 81 27 3" xfId="20700" xr:uid="{00000000-0005-0000-0000-0000E0500000}"/>
    <cellStyle name="40% - Accent4 81 28" xfId="20701" xr:uid="{00000000-0005-0000-0000-0000E1500000}"/>
    <cellStyle name="40% - Accent4 81 28 2" xfId="20702" xr:uid="{00000000-0005-0000-0000-0000E2500000}"/>
    <cellStyle name="40% - Accent4 81 28 2 2" xfId="20703" xr:uid="{00000000-0005-0000-0000-0000E3500000}"/>
    <cellStyle name="40% - Accent4 81 28 3" xfId="20704" xr:uid="{00000000-0005-0000-0000-0000E4500000}"/>
    <cellStyle name="40% - Accent4 81 29" xfId="20705" xr:uid="{00000000-0005-0000-0000-0000E5500000}"/>
    <cellStyle name="40% - Accent4 81 29 2" xfId="20706" xr:uid="{00000000-0005-0000-0000-0000E6500000}"/>
    <cellStyle name="40% - Accent4 81 29 2 2" xfId="20707" xr:uid="{00000000-0005-0000-0000-0000E7500000}"/>
    <cellStyle name="40% - Accent4 81 29 3" xfId="20708" xr:uid="{00000000-0005-0000-0000-0000E8500000}"/>
    <cellStyle name="40% - Accent4 81 3" xfId="20709" xr:uid="{00000000-0005-0000-0000-0000E9500000}"/>
    <cellStyle name="40% - Accent4 81 3 2" xfId="20710" xr:uid="{00000000-0005-0000-0000-0000EA500000}"/>
    <cellStyle name="40% - Accent4 81 3 2 2" xfId="20711" xr:uid="{00000000-0005-0000-0000-0000EB500000}"/>
    <cellStyle name="40% - Accent4 81 3 3" xfId="20712" xr:uid="{00000000-0005-0000-0000-0000EC500000}"/>
    <cellStyle name="40% - Accent4 81 30" xfId="20713" xr:uid="{00000000-0005-0000-0000-0000ED500000}"/>
    <cellStyle name="40% - Accent4 81 30 2" xfId="20714" xr:uid="{00000000-0005-0000-0000-0000EE500000}"/>
    <cellStyle name="40% - Accent4 81 30 2 2" xfId="20715" xr:uid="{00000000-0005-0000-0000-0000EF500000}"/>
    <cellStyle name="40% - Accent4 81 30 3" xfId="20716" xr:uid="{00000000-0005-0000-0000-0000F0500000}"/>
    <cellStyle name="40% - Accent4 81 31" xfId="20717" xr:uid="{00000000-0005-0000-0000-0000F1500000}"/>
    <cellStyle name="40% - Accent4 81 31 2" xfId="20718" xr:uid="{00000000-0005-0000-0000-0000F2500000}"/>
    <cellStyle name="40% - Accent4 81 31 2 2" xfId="20719" xr:uid="{00000000-0005-0000-0000-0000F3500000}"/>
    <cellStyle name="40% - Accent4 81 31 3" xfId="20720" xr:uid="{00000000-0005-0000-0000-0000F4500000}"/>
    <cellStyle name="40% - Accent4 81 32" xfId="20721" xr:uid="{00000000-0005-0000-0000-0000F5500000}"/>
    <cellStyle name="40% - Accent4 81 32 2" xfId="20722" xr:uid="{00000000-0005-0000-0000-0000F6500000}"/>
    <cellStyle name="40% - Accent4 81 32 2 2" xfId="20723" xr:uid="{00000000-0005-0000-0000-0000F7500000}"/>
    <cellStyle name="40% - Accent4 81 32 3" xfId="20724" xr:uid="{00000000-0005-0000-0000-0000F8500000}"/>
    <cellStyle name="40% - Accent4 81 33" xfId="20725" xr:uid="{00000000-0005-0000-0000-0000F9500000}"/>
    <cellStyle name="40% - Accent4 81 33 2" xfId="20726" xr:uid="{00000000-0005-0000-0000-0000FA500000}"/>
    <cellStyle name="40% - Accent4 81 33 2 2" xfId="20727" xr:uid="{00000000-0005-0000-0000-0000FB500000}"/>
    <cellStyle name="40% - Accent4 81 33 3" xfId="20728" xr:uid="{00000000-0005-0000-0000-0000FC500000}"/>
    <cellStyle name="40% - Accent4 81 34" xfId="20729" xr:uid="{00000000-0005-0000-0000-0000FD500000}"/>
    <cellStyle name="40% - Accent4 81 34 2" xfId="20730" xr:uid="{00000000-0005-0000-0000-0000FE500000}"/>
    <cellStyle name="40% - Accent4 81 34 2 2" xfId="20731" xr:uid="{00000000-0005-0000-0000-0000FF500000}"/>
    <cellStyle name="40% - Accent4 81 34 3" xfId="20732" xr:uid="{00000000-0005-0000-0000-000000510000}"/>
    <cellStyle name="40% - Accent4 81 35" xfId="20733" xr:uid="{00000000-0005-0000-0000-000001510000}"/>
    <cellStyle name="40% - Accent4 81 35 2" xfId="20734" xr:uid="{00000000-0005-0000-0000-000002510000}"/>
    <cellStyle name="40% - Accent4 81 35 2 2" xfId="20735" xr:uid="{00000000-0005-0000-0000-000003510000}"/>
    <cellStyle name="40% - Accent4 81 35 3" xfId="20736" xr:uid="{00000000-0005-0000-0000-000004510000}"/>
    <cellStyle name="40% - Accent4 81 36" xfId="20737" xr:uid="{00000000-0005-0000-0000-000005510000}"/>
    <cellStyle name="40% - Accent4 81 36 2" xfId="20738" xr:uid="{00000000-0005-0000-0000-000006510000}"/>
    <cellStyle name="40% - Accent4 81 36 2 2" xfId="20739" xr:uid="{00000000-0005-0000-0000-000007510000}"/>
    <cellStyle name="40% - Accent4 81 36 3" xfId="20740" xr:uid="{00000000-0005-0000-0000-000008510000}"/>
    <cellStyle name="40% - Accent4 81 4" xfId="20741" xr:uid="{00000000-0005-0000-0000-000009510000}"/>
    <cellStyle name="40% - Accent4 81 4 2" xfId="20742" xr:uid="{00000000-0005-0000-0000-00000A510000}"/>
    <cellStyle name="40% - Accent4 81 4 2 2" xfId="20743" xr:uid="{00000000-0005-0000-0000-00000B510000}"/>
    <cellStyle name="40% - Accent4 81 4 3" xfId="20744" xr:uid="{00000000-0005-0000-0000-00000C510000}"/>
    <cellStyle name="40% - Accent4 81 5" xfId="20745" xr:uid="{00000000-0005-0000-0000-00000D510000}"/>
    <cellStyle name="40% - Accent4 81 5 2" xfId="20746" xr:uid="{00000000-0005-0000-0000-00000E510000}"/>
    <cellStyle name="40% - Accent4 81 5 2 2" xfId="20747" xr:uid="{00000000-0005-0000-0000-00000F510000}"/>
    <cellStyle name="40% - Accent4 81 5 3" xfId="20748" xr:uid="{00000000-0005-0000-0000-000010510000}"/>
    <cellStyle name="40% - Accent4 81 6" xfId="20749" xr:uid="{00000000-0005-0000-0000-000011510000}"/>
    <cellStyle name="40% - Accent4 81 6 2" xfId="20750" xr:uid="{00000000-0005-0000-0000-000012510000}"/>
    <cellStyle name="40% - Accent4 81 6 2 2" xfId="20751" xr:uid="{00000000-0005-0000-0000-000013510000}"/>
    <cellStyle name="40% - Accent4 81 6 3" xfId="20752" xr:uid="{00000000-0005-0000-0000-000014510000}"/>
    <cellStyle name="40% - Accent4 81 7" xfId="20753" xr:uid="{00000000-0005-0000-0000-000015510000}"/>
    <cellStyle name="40% - Accent4 81 7 2" xfId="20754" xr:uid="{00000000-0005-0000-0000-000016510000}"/>
    <cellStyle name="40% - Accent4 81 7 2 2" xfId="20755" xr:uid="{00000000-0005-0000-0000-000017510000}"/>
    <cellStyle name="40% - Accent4 81 7 3" xfId="20756" xr:uid="{00000000-0005-0000-0000-000018510000}"/>
    <cellStyle name="40% - Accent4 81 8" xfId="20757" xr:uid="{00000000-0005-0000-0000-000019510000}"/>
    <cellStyle name="40% - Accent4 81 8 2" xfId="20758" xr:uid="{00000000-0005-0000-0000-00001A510000}"/>
    <cellStyle name="40% - Accent4 81 8 2 2" xfId="20759" xr:uid="{00000000-0005-0000-0000-00001B510000}"/>
    <cellStyle name="40% - Accent4 81 8 3" xfId="20760" xr:uid="{00000000-0005-0000-0000-00001C510000}"/>
    <cellStyle name="40% - Accent4 81 9" xfId="20761" xr:uid="{00000000-0005-0000-0000-00001D510000}"/>
    <cellStyle name="40% - Accent4 81 9 2" xfId="20762" xr:uid="{00000000-0005-0000-0000-00001E510000}"/>
    <cellStyle name="40% - Accent4 81 9 2 2" xfId="20763" xr:uid="{00000000-0005-0000-0000-00001F510000}"/>
    <cellStyle name="40% - Accent4 81 9 3" xfId="20764" xr:uid="{00000000-0005-0000-0000-000020510000}"/>
    <cellStyle name="40% - Accent4 82" xfId="20765" xr:uid="{00000000-0005-0000-0000-000021510000}"/>
    <cellStyle name="40% - Accent4 82 2" xfId="20766" xr:uid="{00000000-0005-0000-0000-000022510000}"/>
    <cellStyle name="40% - Accent4 83" xfId="20767" xr:uid="{00000000-0005-0000-0000-000023510000}"/>
    <cellStyle name="40% - Accent4 83 10" xfId="20768" xr:uid="{00000000-0005-0000-0000-000024510000}"/>
    <cellStyle name="40% - Accent4 83 10 2" xfId="20769" xr:uid="{00000000-0005-0000-0000-000025510000}"/>
    <cellStyle name="40% - Accent4 83 10 2 2" xfId="20770" xr:uid="{00000000-0005-0000-0000-000026510000}"/>
    <cellStyle name="40% - Accent4 83 10 3" xfId="20771" xr:uid="{00000000-0005-0000-0000-000027510000}"/>
    <cellStyle name="40% - Accent4 83 11" xfId="20772" xr:uid="{00000000-0005-0000-0000-000028510000}"/>
    <cellStyle name="40% - Accent4 83 11 2" xfId="20773" xr:uid="{00000000-0005-0000-0000-000029510000}"/>
    <cellStyle name="40% - Accent4 83 11 2 2" xfId="20774" xr:uid="{00000000-0005-0000-0000-00002A510000}"/>
    <cellStyle name="40% - Accent4 83 11 3" xfId="20775" xr:uid="{00000000-0005-0000-0000-00002B510000}"/>
    <cellStyle name="40% - Accent4 83 12" xfId="20776" xr:uid="{00000000-0005-0000-0000-00002C510000}"/>
    <cellStyle name="40% - Accent4 83 12 2" xfId="20777" xr:uid="{00000000-0005-0000-0000-00002D510000}"/>
    <cellStyle name="40% - Accent4 83 12 2 2" xfId="20778" xr:uid="{00000000-0005-0000-0000-00002E510000}"/>
    <cellStyle name="40% - Accent4 83 12 3" xfId="20779" xr:uid="{00000000-0005-0000-0000-00002F510000}"/>
    <cellStyle name="40% - Accent4 83 13" xfId="20780" xr:uid="{00000000-0005-0000-0000-000030510000}"/>
    <cellStyle name="40% - Accent4 83 13 2" xfId="20781" xr:uid="{00000000-0005-0000-0000-000031510000}"/>
    <cellStyle name="40% - Accent4 83 13 2 2" xfId="20782" xr:uid="{00000000-0005-0000-0000-000032510000}"/>
    <cellStyle name="40% - Accent4 83 13 3" xfId="20783" xr:uid="{00000000-0005-0000-0000-000033510000}"/>
    <cellStyle name="40% - Accent4 83 14" xfId="20784" xr:uid="{00000000-0005-0000-0000-000034510000}"/>
    <cellStyle name="40% - Accent4 83 14 2" xfId="20785" xr:uid="{00000000-0005-0000-0000-000035510000}"/>
    <cellStyle name="40% - Accent4 83 14 2 2" xfId="20786" xr:uid="{00000000-0005-0000-0000-000036510000}"/>
    <cellStyle name="40% - Accent4 83 14 3" xfId="20787" xr:uid="{00000000-0005-0000-0000-000037510000}"/>
    <cellStyle name="40% - Accent4 83 15" xfId="20788" xr:uid="{00000000-0005-0000-0000-000038510000}"/>
    <cellStyle name="40% - Accent4 83 15 2" xfId="20789" xr:uid="{00000000-0005-0000-0000-000039510000}"/>
    <cellStyle name="40% - Accent4 83 15 2 2" xfId="20790" xr:uid="{00000000-0005-0000-0000-00003A510000}"/>
    <cellStyle name="40% - Accent4 83 15 3" xfId="20791" xr:uid="{00000000-0005-0000-0000-00003B510000}"/>
    <cellStyle name="40% - Accent4 83 16" xfId="20792" xr:uid="{00000000-0005-0000-0000-00003C510000}"/>
    <cellStyle name="40% - Accent4 83 16 2" xfId="20793" xr:uid="{00000000-0005-0000-0000-00003D510000}"/>
    <cellStyle name="40% - Accent4 83 16 2 2" xfId="20794" xr:uid="{00000000-0005-0000-0000-00003E510000}"/>
    <cellStyle name="40% - Accent4 83 16 3" xfId="20795" xr:uid="{00000000-0005-0000-0000-00003F510000}"/>
    <cellStyle name="40% - Accent4 83 17" xfId="20796" xr:uid="{00000000-0005-0000-0000-000040510000}"/>
    <cellStyle name="40% - Accent4 83 17 2" xfId="20797" xr:uid="{00000000-0005-0000-0000-000041510000}"/>
    <cellStyle name="40% - Accent4 83 17 2 2" xfId="20798" xr:uid="{00000000-0005-0000-0000-000042510000}"/>
    <cellStyle name="40% - Accent4 83 17 3" xfId="20799" xr:uid="{00000000-0005-0000-0000-000043510000}"/>
    <cellStyle name="40% - Accent4 83 18" xfId="20800" xr:uid="{00000000-0005-0000-0000-000044510000}"/>
    <cellStyle name="40% - Accent4 83 18 2" xfId="20801" xr:uid="{00000000-0005-0000-0000-000045510000}"/>
    <cellStyle name="40% - Accent4 83 18 2 2" xfId="20802" xr:uid="{00000000-0005-0000-0000-000046510000}"/>
    <cellStyle name="40% - Accent4 83 18 3" xfId="20803" xr:uid="{00000000-0005-0000-0000-000047510000}"/>
    <cellStyle name="40% - Accent4 83 19" xfId="20804" xr:uid="{00000000-0005-0000-0000-000048510000}"/>
    <cellStyle name="40% - Accent4 83 19 2" xfId="20805" xr:uid="{00000000-0005-0000-0000-000049510000}"/>
    <cellStyle name="40% - Accent4 83 19 2 2" xfId="20806" xr:uid="{00000000-0005-0000-0000-00004A510000}"/>
    <cellStyle name="40% - Accent4 83 19 3" xfId="20807" xr:uid="{00000000-0005-0000-0000-00004B510000}"/>
    <cellStyle name="40% - Accent4 83 2" xfId="20808" xr:uid="{00000000-0005-0000-0000-00004C510000}"/>
    <cellStyle name="40% - Accent4 83 2 2" xfId="20809" xr:uid="{00000000-0005-0000-0000-00004D510000}"/>
    <cellStyle name="40% - Accent4 83 2 2 2" xfId="20810" xr:uid="{00000000-0005-0000-0000-00004E510000}"/>
    <cellStyle name="40% - Accent4 83 2 3" xfId="20811" xr:uid="{00000000-0005-0000-0000-00004F510000}"/>
    <cellStyle name="40% - Accent4 83 20" xfId="20812" xr:uid="{00000000-0005-0000-0000-000050510000}"/>
    <cellStyle name="40% - Accent4 83 20 2" xfId="20813" xr:uid="{00000000-0005-0000-0000-000051510000}"/>
    <cellStyle name="40% - Accent4 83 20 2 2" xfId="20814" xr:uid="{00000000-0005-0000-0000-000052510000}"/>
    <cellStyle name="40% - Accent4 83 20 3" xfId="20815" xr:uid="{00000000-0005-0000-0000-000053510000}"/>
    <cellStyle name="40% - Accent4 83 21" xfId="20816" xr:uid="{00000000-0005-0000-0000-000054510000}"/>
    <cellStyle name="40% - Accent4 83 21 2" xfId="20817" xr:uid="{00000000-0005-0000-0000-000055510000}"/>
    <cellStyle name="40% - Accent4 83 21 2 2" xfId="20818" xr:uid="{00000000-0005-0000-0000-000056510000}"/>
    <cellStyle name="40% - Accent4 83 21 3" xfId="20819" xr:uid="{00000000-0005-0000-0000-000057510000}"/>
    <cellStyle name="40% - Accent4 83 22" xfId="20820" xr:uid="{00000000-0005-0000-0000-000058510000}"/>
    <cellStyle name="40% - Accent4 83 22 2" xfId="20821" xr:uid="{00000000-0005-0000-0000-000059510000}"/>
    <cellStyle name="40% - Accent4 83 22 2 2" xfId="20822" xr:uid="{00000000-0005-0000-0000-00005A510000}"/>
    <cellStyle name="40% - Accent4 83 22 3" xfId="20823" xr:uid="{00000000-0005-0000-0000-00005B510000}"/>
    <cellStyle name="40% - Accent4 83 23" xfId="20824" xr:uid="{00000000-0005-0000-0000-00005C510000}"/>
    <cellStyle name="40% - Accent4 83 23 2" xfId="20825" xr:uid="{00000000-0005-0000-0000-00005D510000}"/>
    <cellStyle name="40% - Accent4 83 23 2 2" xfId="20826" xr:uid="{00000000-0005-0000-0000-00005E510000}"/>
    <cellStyle name="40% - Accent4 83 23 3" xfId="20827" xr:uid="{00000000-0005-0000-0000-00005F510000}"/>
    <cellStyle name="40% - Accent4 83 24" xfId="20828" xr:uid="{00000000-0005-0000-0000-000060510000}"/>
    <cellStyle name="40% - Accent4 83 24 2" xfId="20829" xr:uid="{00000000-0005-0000-0000-000061510000}"/>
    <cellStyle name="40% - Accent4 83 24 2 2" xfId="20830" xr:uid="{00000000-0005-0000-0000-000062510000}"/>
    <cellStyle name="40% - Accent4 83 24 3" xfId="20831" xr:uid="{00000000-0005-0000-0000-000063510000}"/>
    <cellStyle name="40% - Accent4 83 25" xfId="20832" xr:uid="{00000000-0005-0000-0000-000064510000}"/>
    <cellStyle name="40% - Accent4 83 25 2" xfId="20833" xr:uid="{00000000-0005-0000-0000-000065510000}"/>
    <cellStyle name="40% - Accent4 83 25 2 2" xfId="20834" xr:uid="{00000000-0005-0000-0000-000066510000}"/>
    <cellStyle name="40% - Accent4 83 25 3" xfId="20835" xr:uid="{00000000-0005-0000-0000-000067510000}"/>
    <cellStyle name="40% - Accent4 83 26" xfId="20836" xr:uid="{00000000-0005-0000-0000-000068510000}"/>
    <cellStyle name="40% - Accent4 83 26 2" xfId="20837" xr:uid="{00000000-0005-0000-0000-000069510000}"/>
    <cellStyle name="40% - Accent4 83 26 2 2" xfId="20838" xr:uid="{00000000-0005-0000-0000-00006A510000}"/>
    <cellStyle name="40% - Accent4 83 26 3" xfId="20839" xr:uid="{00000000-0005-0000-0000-00006B510000}"/>
    <cellStyle name="40% - Accent4 83 27" xfId="20840" xr:uid="{00000000-0005-0000-0000-00006C510000}"/>
    <cellStyle name="40% - Accent4 83 27 2" xfId="20841" xr:uid="{00000000-0005-0000-0000-00006D510000}"/>
    <cellStyle name="40% - Accent4 83 27 2 2" xfId="20842" xr:uid="{00000000-0005-0000-0000-00006E510000}"/>
    <cellStyle name="40% - Accent4 83 27 3" xfId="20843" xr:uid="{00000000-0005-0000-0000-00006F510000}"/>
    <cellStyle name="40% - Accent4 83 28" xfId="20844" xr:uid="{00000000-0005-0000-0000-000070510000}"/>
    <cellStyle name="40% - Accent4 83 28 2" xfId="20845" xr:uid="{00000000-0005-0000-0000-000071510000}"/>
    <cellStyle name="40% - Accent4 83 28 2 2" xfId="20846" xr:uid="{00000000-0005-0000-0000-000072510000}"/>
    <cellStyle name="40% - Accent4 83 28 3" xfId="20847" xr:uid="{00000000-0005-0000-0000-000073510000}"/>
    <cellStyle name="40% - Accent4 83 29" xfId="20848" xr:uid="{00000000-0005-0000-0000-000074510000}"/>
    <cellStyle name="40% - Accent4 83 29 2" xfId="20849" xr:uid="{00000000-0005-0000-0000-000075510000}"/>
    <cellStyle name="40% - Accent4 83 29 2 2" xfId="20850" xr:uid="{00000000-0005-0000-0000-000076510000}"/>
    <cellStyle name="40% - Accent4 83 29 3" xfId="20851" xr:uid="{00000000-0005-0000-0000-000077510000}"/>
    <cellStyle name="40% - Accent4 83 3" xfId="20852" xr:uid="{00000000-0005-0000-0000-000078510000}"/>
    <cellStyle name="40% - Accent4 83 3 2" xfId="20853" xr:uid="{00000000-0005-0000-0000-000079510000}"/>
    <cellStyle name="40% - Accent4 83 3 2 2" xfId="20854" xr:uid="{00000000-0005-0000-0000-00007A510000}"/>
    <cellStyle name="40% - Accent4 83 3 3" xfId="20855" xr:uid="{00000000-0005-0000-0000-00007B510000}"/>
    <cellStyle name="40% - Accent4 83 30" xfId="20856" xr:uid="{00000000-0005-0000-0000-00007C510000}"/>
    <cellStyle name="40% - Accent4 83 30 2" xfId="20857" xr:uid="{00000000-0005-0000-0000-00007D510000}"/>
    <cellStyle name="40% - Accent4 83 30 2 2" xfId="20858" xr:uid="{00000000-0005-0000-0000-00007E510000}"/>
    <cellStyle name="40% - Accent4 83 30 3" xfId="20859" xr:uid="{00000000-0005-0000-0000-00007F510000}"/>
    <cellStyle name="40% - Accent4 83 31" xfId="20860" xr:uid="{00000000-0005-0000-0000-000080510000}"/>
    <cellStyle name="40% - Accent4 83 31 2" xfId="20861" xr:uid="{00000000-0005-0000-0000-000081510000}"/>
    <cellStyle name="40% - Accent4 83 31 2 2" xfId="20862" xr:uid="{00000000-0005-0000-0000-000082510000}"/>
    <cellStyle name="40% - Accent4 83 31 3" xfId="20863" xr:uid="{00000000-0005-0000-0000-000083510000}"/>
    <cellStyle name="40% - Accent4 83 32" xfId="20864" xr:uid="{00000000-0005-0000-0000-000084510000}"/>
    <cellStyle name="40% - Accent4 83 32 2" xfId="20865" xr:uid="{00000000-0005-0000-0000-000085510000}"/>
    <cellStyle name="40% - Accent4 83 32 2 2" xfId="20866" xr:uid="{00000000-0005-0000-0000-000086510000}"/>
    <cellStyle name="40% - Accent4 83 32 3" xfId="20867" xr:uid="{00000000-0005-0000-0000-000087510000}"/>
    <cellStyle name="40% - Accent4 83 33" xfId="20868" xr:uid="{00000000-0005-0000-0000-000088510000}"/>
    <cellStyle name="40% - Accent4 83 33 2" xfId="20869" xr:uid="{00000000-0005-0000-0000-000089510000}"/>
    <cellStyle name="40% - Accent4 83 33 2 2" xfId="20870" xr:uid="{00000000-0005-0000-0000-00008A510000}"/>
    <cellStyle name="40% - Accent4 83 33 3" xfId="20871" xr:uid="{00000000-0005-0000-0000-00008B510000}"/>
    <cellStyle name="40% - Accent4 83 34" xfId="20872" xr:uid="{00000000-0005-0000-0000-00008C510000}"/>
    <cellStyle name="40% - Accent4 83 34 2" xfId="20873" xr:uid="{00000000-0005-0000-0000-00008D510000}"/>
    <cellStyle name="40% - Accent4 83 34 2 2" xfId="20874" xr:uid="{00000000-0005-0000-0000-00008E510000}"/>
    <cellStyle name="40% - Accent4 83 34 3" xfId="20875" xr:uid="{00000000-0005-0000-0000-00008F510000}"/>
    <cellStyle name="40% - Accent4 83 35" xfId="20876" xr:uid="{00000000-0005-0000-0000-000090510000}"/>
    <cellStyle name="40% - Accent4 83 35 2" xfId="20877" xr:uid="{00000000-0005-0000-0000-000091510000}"/>
    <cellStyle name="40% - Accent4 83 35 2 2" xfId="20878" xr:uid="{00000000-0005-0000-0000-000092510000}"/>
    <cellStyle name="40% - Accent4 83 35 3" xfId="20879" xr:uid="{00000000-0005-0000-0000-000093510000}"/>
    <cellStyle name="40% - Accent4 83 36" xfId="20880" xr:uid="{00000000-0005-0000-0000-000094510000}"/>
    <cellStyle name="40% - Accent4 83 36 2" xfId="20881" xr:uid="{00000000-0005-0000-0000-000095510000}"/>
    <cellStyle name="40% - Accent4 83 36 2 2" xfId="20882" xr:uid="{00000000-0005-0000-0000-000096510000}"/>
    <cellStyle name="40% - Accent4 83 36 3" xfId="20883" xr:uid="{00000000-0005-0000-0000-000097510000}"/>
    <cellStyle name="40% - Accent4 83 4" xfId="20884" xr:uid="{00000000-0005-0000-0000-000098510000}"/>
    <cellStyle name="40% - Accent4 83 4 2" xfId="20885" xr:uid="{00000000-0005-0000-0000-000099510000}"/>
    <cellStyle name="40% - Accent4 83 4 2 2" xfId="20886" xr:uid="{00000000-0005-0000-0000-00009A510000}"/>
    <cellStyle name="40% - Accent4 83 4 3" xfId="20887" xr:uid="{00000000-0005-0000-0000-00009B510000}"/>
    <cellStyle name="40% - Accent4 83 5" xfId="20888" xr:uid="{00000000-0005-0000-0000-00009C510000}"/>
    <cellStyle name="40% - Accent4 83 5 2" xfId="20889" xr:uid="{00000000-0005-0000-0000-00009D510000}"/>
    <cellStyle name="40% - Accent4 83 5 2 2" xfId="20890" xr:uid="{00000000-0005-0000-0000-00009E510000}"/>
    <cellStyle name="40% - Accent4 83 5 3" xfId="20891" xr:uid="{00000000-0005-0000-0000-00009F510000}"/>
    <cellStyle name="40% - Accent4 83 6" xfId="20892" xr:uid="{00000000-0005-0000-0000-0000A0510000}"/>
    <cellStyle name="40% - Accent4 83 6 2" xfId="20893" xr:uid="{00000000-0005-0000-0000-0000A1510000}"/>
    <cellStyle name="40% - Accent4 83 6 2 2" xfId="20894" xr:uid="{00000000-0005-0000-0000-0000A2510000}"/>
    <cellStyle name="40% - Accent4 83 6 3" xfId="20895" xr:uid="{00000000-0005-0000-0000-0000A3510000}"/>
    <cellStyle name="40% - Accent4 83 7" xfId="20896" xr:uid="{00000000-0005-0000-0000-0000A4510000}"/>
    <cellStyle name="40% - Accent4 83 7 2" xfId="20897" xr:uid="{00000000-0005-0000-0000-0000A5510000}"/>
    <cellStyle name="40% - Accent4 83 7 2 2" xfId="20898" xr:uid="{00000000-0005-0000-0000-0000A6510000}"/>
    <cellStyle name="40% - Accent4 83 7 3" xfId="20899" xr:uid="{00000000-0005-0000-0000-0000A7510000}"/>
    <cellStyle name="40% - Accent4 83 8" xfId="20900" xr:uid="{00000000-0005-0000-0000-0000A8510000}"/>
    <cellStyle name="40% - Accent4 83 8 2" xfId="20901" xr:uid="{00000000-0005-0000-0000-0000A9510000}"/>
    <cellStyle name="40% - Accent4 83 8 2 2" xfId="20902" xr:uid="{00000000-0005-0000-0000-0000AA510000}"/>
    <cellStyle name="40% - Accent4 83 8 3" xfId="20903" xr:uid="{00000000-0005-0000-0000-0000AB510000}"/>
    <cellStyle name="40% - Accent4 83 9" xfId="20904" xr:uid="{00000000-0005-0000-0000-0000AC510000}"/>
    <cellStyle name="40% - Accent4 83 9 2" xfId="20905" xr:uid="{00000000-0005-0000-0000-0000AD510000}"/>
    <cellStyle name="40% - Accent4 83 9 2 2" xfId="20906" xr:uid="{00000000-0005-0000-0000-0000AE510000}"/>
    <cellStyle name="40% - Accent4 83 9 3" xfId="20907" xr:uid="{00000000-0005-0000-0000-0000AF510000}"/>
    <cellStyle name="40% - Accent4 84" xfId="20908" xr:uid="{00000000-0005-0000-0000-0000B0510000}"/>
    <cellStyle name="40% - Accent4 84 10" xfId="20909" xr:uid="{00000000-0005-0000-0000-0000B1510000}"/>
    <cellStyle name="40% - Accent4 84 10 2" xfId="20910" xr:uid="{00000000-0005-0000-0000-0000B2510000}"/>
    <cellStyle name="40% - Accent4 84 10 2 2" xfId="20911" xr:uid="{00000000-0005-0000-0000-0000B3510000}"/>
    <cellStyle name="40% - Accent4 84 10 3" xfId="20912" xr:uid="{00000000-0005-0000-0000-0000B4510000}"/>
    <cellStyle name="40% - Accent4 84 11" xfId="20913" xr:uid="{00000000-0005-0000-0000-0000B5510000}"/>
    <cellStyle name="40% - Accent4 84 11 2" xfId="20914" xr:uid="{00000000-0005-0000-0000-0000B6510000}"/>
    <cellStyle name="40% - Accent4 84 11 2 2" xfId="20915" xr:uid="{00000000-0005-0000-0000-0000B7510000}"/>
    <cellStyle name="40% - Accent4 84 11 3" xfId="20916" xr:uid="{00000000-0005-0000-0000-0000B8510000}"/>
    <cellStyle name="40% - Accent4 84 12" xfId="20917" xr:uid="{00000000-0005-0000-0000-0000B9510000}"/>
    <cellStyle name="40% - Accent4 84 12 2" xfId="20918" xr:uid="{00000000-0005-0000-0000-0000BA510000}"/>
    <cellStyle name="40% - Accent4 84 12 2 2" xfId="20919" xr:uid="{00000000-0005-0000-0000-0000BB510000}"/>
    <cellStyle name="40% - Accent4 84 12 3" xfId="20920" xr:uid="{00000000-0005-0000-0000-0000BC510000}"/>
    <cellStyle name="40% - Accent4 84 13" xfId="20921" xr:uid="{00000000-0005-0000-0000-0000BD510000}"/>
    <cellStyle name="40% - Accent4 84 13 2" xfId="20922" xr:uid="{00000000-0005-0000-0000-0000BE510000}"/>
    <cellStyle name="40% - Accent4 84 13 2 2" xfId="20923" xr:uid="{00000000-0005-0000-0000-0000BF510000}"/>
    <cellStyle name="40% - Accent4 84 13 3" xfId="20924" xr:uid="{00000000-0005-0000-0000-0000C0510000}"/>
    <cellStyle name="40% - Accent4 84 14" xfId="20925" xr:uid="{00000000-0005-0000-0000-0000C1510000}"/>
    <cellStyle name="40% - Accent4 84 14 2" xfId="20926" xr:uid="{00000000-0005-0000-0000-0000C2510000}"/>
    <cellStyle name="40% - Accent4 84 14 2 2" xfId="20927" xr:uid="{00000000-0005-0000-0000-0000C3510000}"/>
    <cellStyle name="40% - Accent4 84 14 3" xfId="20928" xr:uid="{00000000-0005-0000-0000-0000C4510000}"/>
    <cellStyle name="40% - Accent4 84 15" xfId="20929" xr:uid="{00000000-0005-0000-0000-0000C5510000}"/>
    <cellStyle name="40% - Accent4 84 15 2" xfId="20930" xr:uid="{00000000-0005-0000-0000-0000C6510000}"/>
    <cellStyle name="40% - Accent4 84 15 2 2" xfId="20931" xr:uid="{00000000-0005-0000-0000-0000C7510000}"/>
    <cellStyle name="40% - Accent4 84 15 3" xfId="20932" xr:uid="{00000000-0005-0000-0000-0000C8510000}"/>
    <cellStyle name="40% - Accent4 84 16" xfId="20933" xr:uid="{00000000-0005-0000-0000-0000C9510000}"/>
    <cellStyle name="40% - Accent4 84 16 2" xfId="20934" xr:uid="{00000000-0005-0000-0000-0000CA510000}"/>
    <cellStyle name="40% - Accent4 84 16 2 2" xfId="20935" xr:uid="{00000000-0005-0000-0000-0000CB510000}"/>
    <cellStyle name="40% - Accent4 84 16 3" xfId="20936" xr:uid="{00000000-0005-0000-0000-0000CC510000}"/>
    <cellStyle name="40% - Accent4 84 17" xfId="20937" xr:uid="{00000000-0005-0000-0000-0000CD510000}"/>
    <cellStyle name="40% - Accent4 84 17 2" xfId="20938" xr:uid="{00000000-0005-0000-0000-0000CE510000}"/>
    <cellStyle name="40% - Accent4 84 17 2 2" xfId="20939" xr:uid="{00000000-0005-0000-0000-0000CF510000}"/>
    <cellStyle name="40% - Accent4 84 17 3" xfId="20940" xr:uid="{00000000-0005-0000-0000-0000D0510000}"/>
    <cellStyle name="40% - Accent4 84 18" xfId="20941" xr:uid="{00000000-0005-0000-0000-0000D1510000}"/>
    <cellStyle name="40% - Accent4 84 18 2" xfId="20942" xr:uid="{00000000-0005-0000-0000-0000D2510000}"/>
    <cellStyle name="40% - Accent4 84 18 2 2" xfId="20943" xr:uid="{00000000-0005-0000-0000-0000D3510000}"/>
    <cellStyle name="40% - Accent4 84 18 3" xfId="20944" xr:uid="{00000000-0005-0000-0000-0000D4510000}"/>
    <cellStyle name="40% - Accent4 84 19" xfId="20945" xr:uid="{00000000-0005-0000-0000-0000D5510000}"/>
    <cellStyle name="40% - Accent4 84 19 2" xfId="20946" xr:uid="{00000000-0005-0000-0000-0000D6510000}"/>
    <cellStyle name="40% - Accent4 84 19 2 2" xfId="20947" xr:uid="{00000000-0005-0000-0000-0000D7510000}"/>
    <cellStyle name="40% - Accent4 84 19 3" xfId="20948" xr:uid="{00000000-0005-0000-0000-0000D8510000}"/>
    <cellStyle name="40% - Accent4 84 2" xfId="20949" xr:uid="{00000000-0005-0000-0000-0000D9510000}"/>
    <cellStyle name="40% - Accent4 84 2 2" xfId="20950" xr:uid="{00000000-0005-0000-0000-0000DA510000}"/>
    <cellStyle name="40% - Accent4 84 2 2 2" xfId="20951" xr:uid="{00000000-0005-0000-0000-0000DB510000}"/>
    <cellStyle name="40% - Accent4 84 2 3" xfId="20952" xr:uid="{00000000-0005-0000-0000-0000DC510000}"/>
    <cellStyle name="40% - Accent4 84 20" xfId="20953" xr:uid="{00000000-0005-0000-0000-0000DD510000}"/>
    <cellStyle name="40% - Accent4 84 20 2" xfId="20954" xr:uid="{00000000-0005-0000-0000-0000DE510000}"/>
    <cellStyle name="40% - Accent4 84 20 2 2" xfId="20955" xr:uid="{00000000-0005-0000-0000-0000DF510000}"/>
    <cellStyle name="40% - Accent4 84 20 3" xfId="20956" xr:uid="{00000000-0005-0000-0000-0000E0510000}"/>
    <cellStyle name="40% - Accent4 84 21" xfId="20957" xr:uid="{00000000-0005-0000-0000-0000E1510000}"/>
    <cellStyle name="40% - Accent4 84 21 2" xfId="20958" xr:uid="{00000000-0005-0000-0000-0000E2510000}"/>
    <cellStyle name="40% - Accent4 84 21 2 2" xfId="20959" xr:uid="{00000000-0005-0000-0000-0000E3510000}"/>
    <cellStyle name="40% - Accent4 84 21 3" xfId="20960" xr:uid="{00000000-0005-0000-0000-0000E4510000}"/>
    <cellStyle name="40% - Accent4 84 22" xfId="20961" xr:uid="{00000000-0005-0000-0000-0000E5510000}"/>
    <cellStyle name="40% - Accent4 84 22 2" xfId="20962" xr:uid="{00000000-0005-0000-0000-0000E6510000}"/>
    <cellStyle name="40% - Accent4 84 22 2 2" xfId="20963" xr:uid="{00000000-0005-0000-0000-0000E7510000}"/>
    <cellStyle name="40% - Accent4 84 22 3" xfId="20964" xr:uid="{00000000-0005-0000-0000-0000E8510000}"/>
    <cellStyle name="40% - Accent4 84 23" xfId="20965" xr:uid="{00000000-0005-0000-0000-0000E9510000}"/>
    <cellStyle name="40% - Accent4 84 23 2" xfId="20966" xr:uid="{00000000-0005-0000-0000-0000EA510000}"/>
    <cellStyle name="40% - Accent4 84 23 2 2" xfId="20967" xr:uid="{00000000-0005-0000-0000-0000EB510000}"/>
    <cellStyle name="40% - Accent4 84 23 3" xfId="20968" xr:uid="{00000000-0005-0000-0000-0000EC510000}"/>
    <cellStyle name="40% - Accent4 84 24" xfId="20969" xr:uid="{00000000-0005-0000-0000-0000ED510000}"/>
    <cellStyle name="40% - Accent4 84 24 2" xfId="20970" xr:uid="{00000000-0005-0000-0000-0000EE510000}"/>
    <cellStyle name="40% - Accent4 84 24 2 2" xfId="20971" xr:uid="{00000000-0005-0000-0000-0000EF510000}"/>
    <cellStyle name="40% - Accent4 84 24 3" xfId="20972" xr:uid="{00000000-0005-0000-0000-0000F0510000}"/>
    <cellStyle name="40% - Accent4 84 25" xfId="20973" xr:uid="{00000000-0005-0000-0000-0000F1510000}"/>
    <cellStyle name="40% - Accent4 84 25 2" xfId="20974" xr:uid="{00000000-0005-0000-0000-0000F2510000}"/>
    <cellStyle name="40% - Accent4 84 25 2 2" xfId="20975" xr:uid="{00000000-0005-0000-0000-0000F3510000}"/>
    <cellStyle name="40% - Accent4 84 25 3" xfId="20976" xr:uid="{00000000-0005-0000-0000-0000F4510000}"/>
    <cellStyle name="40% - Accent4 84 26" xfId="20977" xr:uid="{00000000-0005-0000-0000-0000F5510000}"/>
    <cellStyle name="40% - Accent4 84 26 2" xfId="20978" xr:uid="{00000000-0005-0000-0000-0000F6510000}"/>
    <cellStyle name="40% - Accent4 84 26 2 2" xfId="20979" xr:uid="{00000000-0005-0000-0000-0000F7510000}"/>
    <cellStyle name="40% - Accent4 84 26 3" xfId="20980" xr:uid="{00000000-0005-0000-0000-0000F8510000}"/>
    <cellStyle name="40% - Accent4 84 27" xfId="20981" xr:uid="{00000000-0005-0000-0000-0000F9510000}"/>
    <cellStyle name="40% - Accent4 84 27 2" xfId="20982" xr:uid="{00000000-0005-0000-0000-0000FA510000}"/>
    <cellStyle name="40% - Accent4 84 27 2 2" xfId="20983" xr:uid="{00000000-0005-0000-0000-0000FB510000}"/>
    <cellStyle name="40% - Accent4 84 27 3" xfId="20984" xr:uid="{00000000-0005-0000-0000-0000FC510000}"/>
    <cellStyle name="40% - Accent4 84 28" xfId="20985" xr:uid="{00000000-0005-0000-0000-0000FD510000}"/>
    <cellStyle name="40% - Accent4 84 28 2" xfId="20986" xr:uid="{00000000-0005-0000-0000-0000FE510000}"/>
    <cellStyle name="40% - Accent4 84 28 2 2" xfId="20987" xr:uid="{00000000-0005-0000-0000-0000FF510000}"/>
    <cellStyle name="40% - Accent4 84 28 3" xfId="20988" xr:uid="{00000000-0005-0000-0000-000000520000}"/>
    <cellStyle name="40% - Accent4 84 29" xfId="20989" xr:uid="{00000000-0005-0000-0000-000001520000}"/>
    <cellStyle name="40% - Accent4 84 29 2" xfId="20990" xr:uid="{00000000-0005-0000-0000-000002520000}"/>
    <cellStyle name="40% - Accent4 84 29 2 2" xfId="20991" xr:uid="{00000000-0005-0000-0000-000003520000}"/>
    <cellStyle name="40% - Accent4 84 29 3" xfId="20992" xr:uid="{00000000-0005-0000-0000-000004520000}"/>
    <cellStyle name="40% - Accent4 84 3" xfId="20993" xr:uid="{00000000-0005-0000-0000-000005520000}"/>
    <cellStyle name="40% - Accent4 84 3 2" xfId="20994" xr:uid="{00000000-0005-0000-0000-000006520000}"/>
    <cellStyle name="40% - Accent4 84 3 2 2" xfId="20995" xr:uid="{00000000-0005-0000-0000-000007520000}"/>
    <cellStyle name="40% - Accent4 84 3 3" xfId="20996" xr:uid="{00000000-0005-0000-0000-000008520000}"/>
    <cellStyle name="40% - Accent4 84 30" xfId="20997" xr:uid="{00000000-0005-0000-0000-000009520000}"/>
    <cellStyle name="40% - Accent4 84 30 2" xfId="20998" xr:uid="{00000000-0005-0000-0000-00000A520000}"/>
    <cellStyle name="40% - Accent4 84 30 2 2" xfId="20999" xr:uid="{00000000-0005-0000-0000-00000B520000}"/>
    <cellStyle name="40% - Accent4 84 30 3" xfId="21000" xr:uid="{00000000-0005-0000-0000-00000C520000}"/>
    <cellStyle name="40% - Accent4 84 31" xfId="21001" xr:uid="{00000000-0005-0000-0000-00000D520000}"/>
    <cellStyle name="40% - Accent4 84 31 2" xfId="21002" xr:uid="{00000000-0005-0000-0000-00000E520000}"/>
    <cellStyle name="40% - Accent4 84 31 2 2" xfId="21003" xr:uid="{00000000-0005-0000-0000-00000F520000}"/>
    <cellStyle name="40% - Accent4 84 31 3" xfId="21004" xr:uid="{00000000-0005-0000-0000-000010520000}"/>
    <cellStyle name="40% - Accent4 84 32" xfId="21005" xr:uid="{00000000-0005-0000-0000-000011520000}"/>
    <cellStyle name="40% - Accent4 84 32 2" xfId="21006" xr:uid="{00000000-0005-0000-0000-000012520000}"/>
    <cellStyle name="40% - Accent4 84 32 2 2" xfId="21007" xr:uid="{00000000-0005-0000-0000-000013520000}"/>
    <cellStyle name="40% - Accent4 84 32 3" xfId="21008" xr:uid="{00000000-0005-0000-0000-000014520000}"/>
    <cellStyle name="40% - Accent4 84 33" xfId="21009" xr:uid="{00000000-0005-0000-0000-000015520000}"/>
    <cellStyle name="40% - Accent4 84 33 2" xfId="21010" xr:uid="{00000000-0005-0000-0000-000016520000}"/>
    <cellStyle name="40% - Accent4 84 33 2 2" xfId="21011" xr:uid="{00000000-0005-0000-0000-000017520000}"/>
    <cellStyle name="40% - Accent4 84 33 3" xfId="21012" xr:uid="{00000000-0005-0000-0000-000018520000}"/>
    <cellStyle name="40% - Accent4 84 34" xfId="21013" xr:uid="{00000000-0005-0000-0000-000019520000}"/>
    <cellStyle name="40% - Accent4 84 34 2" xfId="21014" xr:uid="{00000000-0005-0000-0000-00001A520000}"/>
    <cellStyle name="40% - Accent4 84 34 2 2" xfId="21015" xr:uid="{00000000-0005-0000-0000-00001B520000}"/>
    <cellStyle name="40% - Accent4 84 34 3" xfId="21016" xr:uid="{00000000-0005-0000-0000-00001C520000}"/>
    <cellStyle name="40% - Accent4 84 35" xfId="21017" xr:uid="{00000000-0005-0000-0000-00001D520000}"/>
    <cellStyle name="40% - Accent4 84 35 2" xfId="21018" xr:uid="{00000000-0005-0000-0000-00001E520000}"/>
    <cellStyle name="40% - Accent4 84 35 2 2" xfId="21019" xr:uid="{00000000-0005-0000-0000-00001F520000}"/>
    <cellStyle name="40% - Accent4 84 35 3" xfId="21020" xr:uid="{00000000-0005-0000-0000-000020520000}"/>
    <cellStyle name="40% - Accent4 84 36" xfId="21021" xr:uid="{00000000-0005-0000-0000-000021520000}"/>
    <cellStyle name="40% - Accent4 84 36 2" xfId="21022" xr:uid="{00000000-0005-0000-0000-000022520000}"/>
    <cellStyle name="40% - Accent4 84 36 2 2" xfId="21023" xr:uid="{00000000-0005-0000-0000-000023520000}"/>
    <cellStyle name="40% - Accent4 84 36 3" xfId="21024" xr:uid="{00000000-0005-0000-0000-000024520000}"/>
    <cellStyle name="40% - Accent4 84 4" xfId="21025" xr:uid="{00000000-0005-0000-0000-000025520000}"/>
    <cellStyle name="40% - Accent4 84 4 2" xfId="21026" xr:uid="{00000000-0005-0000-0000-000026520000}"/>
    <cellStyle name="40% - Accent4 84 4 2 2" xfId="21027" xr:uid="{00000000-0005-0000-0000-000027520000}"/>
    <cellStyle name="40% - Accent4 84 4 3" xfId="21028" xr:uid="{00000000-0005-0000-0000-000028520000}"/>
    <cellStyle name="40% - Accent4 84 5" xfId="21029" xr:uid="{00000000-0005-0000-0000-000029520000}"/>
    <cellStyle name="40% - Accent4 84 5 2" xfId="21030" xr:uid="{00000000-0005-0000-0000-00002A520000}"/>
    <cellStyle name="40% - Accent4 84 5 2 2" xfId="21031" xr:uid="{00000000-0005-0000-0000-00002B520000}"/>
    <cellStyle name="40% - Accent4 84 5 3" xfId="21032" xr:uid="{00000000-0005-0000-0000-00002C520000}"/>
    <cellStyle name="40% - Accent4 84 6" xfId="21033" xr:uid="{00000000-0005-0000-0000-00002D520000}"/>
    <cellStyle name="40% - Accent4 84 6 2" xfId="21034" xr:uid="{00000000-0005-0000-0000-00002E520000}"/>
    <cellStyle name="40% - Accent4 84 6 2 2" xfId="21035" xr:uid="{00000000-0005-0000-0000-00002F520000}"/>
    <cellStyle name="40% - Accent4 84 6 3" xfId="21036" xr:uid="{00000000-0005-0000-0000-000030520000}"/>
    <cellStyle name="40% - Accent4 84 7" xfId="21037" xr:uid="{00000000-0005-0000-0000-000031520000}"/>
    <cellStyle name="40% - Accent4 84 7 2" xfId="21038" xr:uid="{00000000-0005-0000-0000-000032520000}"/>
    <cellStyle name="40% - Accent4 84 7 2 2" xfId="21039" xr:uid="{00000000-0005-0000-0000-000033520000}"/>
    <cellStyle name="40% - Accent4 84 7 3" xfId="21040" xr:uid="{00000000-0005-0000-0000-000034520000}"/>
    <cellStyle name="40% - Accent4 84 8" xfId="21041" xr:uid="{00000000-0005-0000-0000-000035520000}"/>
    <cellStyle name="40% - Accent4 84 8 2" xfId="21042" xr:uid="{00000000-0005-0000-0000-000036520000}"/>
    <cellStyle name="40% - Accent4 84 8 2 2" xfId="21043" xr:uid="{00000000-0005-0000-0000-000037520000}"/>
    <cellStyle name="40% - Accent4 84 8 3" xfId="21044" xr:uid="{00000000-0005-0000-0000-000038520000}"/>
    <cellStyle name="40% - Accent4 84 9" xfId="21045" xr:uid="{00000000-0005-0000-0000-000039520000}"/>
    <cellStyle name="40% - Accent4 84 9 2" xfId="21046" xr:uid="{00000000-0005-0000-0000-00003A520000}"/>
    <cellStyle name="40% - Accent4 84 9 2 2" xfId="21047" xr:uid="{00000000-0005-0000-0000-00003B520000}"/>
    <cellStyle name="40% - Accent4 84 9 3" xfId="21048" xr:uid="{00000000-0005-0000-0000-00003C520000}"/>
    <cellStyle name="40% - Accent4 85" xfId="21049" xr:uid="{00000000-0005-0000-0000-00003D520000}"/>
    <cellStyle name="40% - Accent4 85 10" xfId="21050" xr:uid="{00000000-0005-0000-0000-00003E520000}"/>
    <cellStyle name="40% - Accent4 85 10 2" xfId="21051" xr:uid="{00000000-0005-0000-0000-00003F520000}"/>
    <cellStyle name="40% - Accent4 85 10 2 2" xfId="21052" xr:uid="{00000000-0005-0000-0000-000040520000}"/>
    <cellStyle name="40% - Accent4 85 10 3" xfId="21053" xr:uid="{00000000-0005-0000-0000-000041520000}"/>
    <cellStyle name="40% - Accent4 85 11" xfId="21054" xr:uid="{00000000-0005-0000-0000-000042520000}"/>
    <cellStyle name="40% - Accent4 85 11 2" xfId="21055" xr:uid="{00000000-0005-0000-0000-000043520000}"/>
    <cellStyle name="40% - Accent4 85 11 2 2" xfId="21056" xr:uid="{00000000-0005-0000-0000-000044520000}"/>
    <cellStyle name="40% - Accent4 85 11 3" xfId="21057" xr:uid="{00000000-0005-0000-0000-000045520000}"/>
    <cellStyle name="40% - Accent4 85 12" xfId="21058" xr:uid="{00000000-0005-0000-0000-000046520000}"/>
    <cellStyle name="40% - Accent4 85 12 2" xfId="21059" xr:uid="{00000000-0005-0000-0000-000047520000}"/>
    <cellStyle name="40% - Accent4 85 12 2 2" xfId="21060" xr:uid="{00000000-0005-0000-0000-000048520000}"/>
    <cellStyle name="40% - Accent4 85 12 3" xfId="21061" xr:uid="{00000000-0005-0000-0000-000049520000}"/>
    <cellStyle name="40% - Accent4 85 13" xfId="21062" xr:uid="{00000000-0005-0000-0000-00004A520000}"/>
    <cellStyle name="40% - Accent4 85 13 2" xfId="21063" xr:uid="{00000000-0005-0000-0000-00004B520000}"/>
    <cellStyle name="40% - Accent4 85 13 2 2" xfId="21064" xr:uid="{00000000-0005-0000-0000-00004C520000}"/>
    <cellStyle name="40% - Accent4 85 13 3" xfId="21065" xr:uid="{00000000-0005-0000-0000-00004D520000}"/>
    <cellStyle name="40% - Accent4 85 14" xfId="21066" xr:uid="{00000000-0005-0000-0000-00004E520000}"/>
    <cellStyle name="40% - Accent4 85 14 2" xfId="21067" xr:uid="{00000000-0005-0000-0000-00004F520000}"/>
    <cellStyle name="40% - Accent4 85 14 2 2" xfId="21068" xr:uid="{00000000-0005-0000-0000-000050520000}"/>
    <cellStyle name="40% - Accent4 85 14 3" xfId="21069" xr:uid="{00000000-0005-0000-0000-000051520000}"/>
    <cellStyle name="40% - Accent4 85 15" xfId="21070" xr:uid="{00000000-0005-0000-0000-000052520000}"/>
    <cellStyle name="40% - Accent4 85 15 2" xfId="21071" xr:uid="{00000000-0005-0000-0000-000053520000}"/>
    <cellStyle name="40% - Accent4 85 15 2 2" xfId="21072" xr:uid="{00000000-0005-0000-0000-000054520000}"/>
    <cellStyle name="40% - Accent4 85 15 3" xfId="21073" xr:uid="{00000000-0005-0000-0000-000055520000}"/>
    <cellStyle name="40% - Accent4 85 16" xfId="21074" xr:uid="{00000000-0005-0000-0000-000056520000}"/>
    <cellStyle name="40% - Accent4 85 16 2" xfId="21075" xr:uid="{00000000-0005-0000-0000-000057520000}"/>
    <cellStyle name="40% - Accent4 85 16 2 2" xfId="21076" xr:uid="{00000000-0005-0000-0000-000058520000}"/>
    <cellStyle name="40% - Accent4 85 16 3" xfId="21077" xr:uid="{00000000-0005-0000-0000-000059520000}"/>
    <cellStyle name="40% - Accent4 85 17" xfId="21078" xr:uid="{00000000-0005-0000-0000-00005A520000}"/>
    <cellStyle name="40% - Accent4 85 17 2" xfId="21079" xr:uid="{00000000-0005-0000-0000-00005B520000}"/>
    <cellStyle name="40% - Accent4 85 17 2 2" xfId="21080" xr:uid="{00000000-0005-0000-0000-00005C520000}"/>
    <cellStyle name="40% - Accent4 85 17 3" xfId="21081" xr:uid="{00000000-0005-0000-0000-00005D520000}"/>
    <cellStyle name="40% - Accent4 85 18" xfId="21082" xr:uid="{00000000-0005-0000-0000-00005E520000}"/>
    <cellStyle name="40% - Accent4 85 18 2" xfId="21083" xr:uid="{00000000-0005-0000-0000-00005F520000}"/>
    <cellStyle name="40% - Accent4 85 18 2 2" xfId="21084" xr:uid="{00000000-0005-0000-0000-000060520000}"/>
    <cellStyle name="40% - Accent4 85 18 3" xfId="21085" xr:uid="{00000000-0005-0000-0000-000061520000}"/>
    <cellStyle name="40% - Accent4 85 19" xfId="21086" xr:uid="{00000000-0005-0000-0000-000062520000}"/>
    <cellStyle name="40% - Accent4 85 19 2" xfId="21087" xr:uid="{00000000-0005-0000-0000-000063520000}"/>
    <cellStyle name="40% - Accent4 85 19 2 2" xfId="21088" xr:uid="{00000000-0005-0000-0000-000064520000}"/>
    <cellStyle name="40% - Accent4 85 19 3" xfId="21089" xr:uid="{00000000-0005-0000-0000-000065520000}"/>
    <cellStyle name="40% - Accent4 85 2" xfId="21090" xr:uid="{00000000-0005-0000-0000-000066520000}"/>
    <cellStyle name="40% - Accent4 85 2 2" xfId="21091" xr:uid="{00000000-0005-0000-0000-000067520000}"/>
    <cellStyle name="40% - Accent4 85 2 2 2" xfId="21092" xr:uid="{00000000-0005-0000-0000-000068520000}"/>
    <cellStyle name="40% - Accent4 85 2 3" xfId="21093" xr:uid="{00000000-0005-0000-0000-000069520000}"/>
    <cellStyle name="40% - Accent4 85 20" xfId="21094" xr:uid="{00000000-0005-0000-0000-00006A520000}"/>
    <cellStyle name="40% - Accent4 85 20 2" xfId="21095" xr:uid="{00000000-0005-0000-0000-00006B520000}"/>
    <cellStyle name="40% - Accent4 85 20 2 2" xfId="21096" xr:uid="{00000000-0005-0000-0000-00006C520000}"/>
    <cellStyle name="40% - Accent4 85 20 3" xfId="21097" xr:uid="{00000000-0005-0000-0000-00006D520000}"/>
    <cellStyle name="40% - Accent4 85 21" xfId="21098" xr:uid="{00000000-0005-0000-0000-00006E520000}"/>
    <cellStyle name="40% - Accent4 85 21 2" xfId="21099" xr:uid="{00000000-0005-0000-0000-00006F520000}"/>
    <cellStyle name="40% - Accent4 85 21 2 2" xfId="21100" xr:uid="{00000000-0005-0000-0000-000070520000}"/>
    <cellStyle name="40% - Accent4 85 21 3" xfId="21101" xr:uid="{00000000-0005-0000-0000-000071520000}"/>
    <cellStyle name="40% - Accent4 85 22" xfId="21102" xr:uid="{00000000-0005-0000-0000-000072520000}"/>
    <cellStyle name="40% - Accent4 85 22 2" xfId="21103" xr:uid="{00000000-0005-0000-0000-000073520000}"/>
    <cellStyle name="40% - Accent4 85 22 2 2" xfId="21104" xr:uid="{00000000-0005-0000-0000-000074520000}"/>
    <cellStyle name="40% - Accent4 85 22 3" xfId="21105" xr:uid="{00000000-0005-0000-0000-000075520000}"/>
    <cellStyle name="40% - Accent4 85 23" xfId="21106" xr:uid="{00000000-0005-0000-0000-000076520000}"/>
    <cellStyle name="40% - Accent4 85 23 2" xfId="21107" xr:uid="{00000000-0005-0000-0000-000077520000}"/>
    <cellStyle name="40% - Accent4 85 23 2 2" xfId="21108" xr:uid="{00000000-0005-0000-0000-000078520000}"/>
    <cellStyle name="40% - Accent4 85 23 3" xfId="21109" xr:uid="{00000000-0005-0000-0000-000079520000}"/>
    <cellStyle name="40% - Accent4 85 24" xfId="21110" xr:uid="{00000000-0005-0000-0000-00007A520000}"/>
    <cellStyle name="40% - Accent4 85 24 2" xfId="21111" xr:uid="{00000000-0005-0000-0000-00007B520000}"/>
    <cellStyle name="40% - Accent4 85 24 2 2" xfId="21112" xr:uid="{00000000-0005-0000-0000-00007C520000}"/>
    <cellStyle name="40% - Accent4 85 24 3" xfId="21113" xr:uid="{00000000-0005-0000-0000-00007D520000}"/>
    <cellStyle name="40% - Accent4 85 25" xfId="21114" xr:uid="{00000000-0005-0000-0000-00007E520000}"/>
    <cellStyle name="40% - Accent4 85 25 2" xfId="21115" xr:uid="{00000000-0005-0000-0000-00007F520000}"/>
    <cellStyle name="40% - Accent4 85 25 2 2" xfId="21116" xr:uid="{00000000-0005-0000-0000-000080520000}"/>
    <cellStyle name="40% - Accent4 85 25 3" xfId="21117" xr:uid="{00000000-0005-0000-0000-000081520000}"/>
    <cellStyle name="40% - Accent4 85 26" xfId="21118" xr:uid="{00000000-0005-0000-0000-000082520000}"/>
    <cellStyle name="40% - Accent4 85 26 2" xfId="21119" xr:uid="{00000000-0005-0000-0000-000083520000}"/>
    <cellStyle name="40% - Accent4 85 26 2 2" xfId="21120" xr:uid="{00000000-0005-0000-0000-000084520000}"/>
    <cellStyle name="40% - Accent4 85 26 3" xfId="21121" xr:uid="{00000000-0005-0000-0000-000085520000}"/>
    <cellStyle name="40% - Accent4 85 27" xfId="21122" xr:uid="{00000000-0005-0000-0000-000086520000}"/>
    <cellStyle name="40% - Accent4 85 27 2" xfId="21123" xr:uid="{00000000-0005-0000-0000-000087520000}"/>
    <cellStyle name="40% - Accent4 85 27 2 2" xfId="21124" xr:uid="{00000000-0005-0000-0000-000088520000}"/>
    <cellStyle name="40% - Accent4 85 27 3" xfId="21125" xr:uid="{00000000-0005-0000-0000-000089520000}"/>
    <cellStyle name="40% - Accent4 85 28" xfId="21126" xr:uid="{00000000-0005-0000-0000-00008A520000}"/>
    <cellStyle name="40% - Accent4 85 28 2" xfId="21127" xr:uid="{00000000-0005-0000-0000-00008B520000}"/>
    <cellStyle name="40% - Accent4 85 28 2 2" xfId="21128" xr:uid="{00000000-0005-0000-0000-00008C520000}"/>
    <cellStyle name="40% - Accent4 85 28 3" xfId="21129" xr:uid="{00000000-0005-0000-0000-00008D520000}"/>
    <cellStyle name="40% - Accent4 85 29" xfId="21130" xr:uid="{00000000-0005-0000-0000-00008E520000}"/>
    <cellStyle name="40% - Accent4 85 29 2" xfId="21131" xr:uid="{00000000-0005-0000-0000-00008F520000}"/>
    <cellStyle name="40% - Accent4 85 29 2 2" xfId="21132" xr:uid="{00000000-0005-0000-0000-000090520000}"/>
    <cellStyle name="40% - Accent4 85 29 3" xfId="21133" xr:uid="{00000000-0005-0000-0000-000091520000}"/>
    <cellStyle name="40% - Accent4 85 3" xfId="21134" xr:uid="{00000000-0005-0000-0000-000092520000}"/>
    <cellStyle name="40% - Accent4 85 3 2" xfId="21135" xr:uid="{00000000-0005-0000-0000-000093520000}"/>
    <cellStyle name="40% - Accent4 85 3 2 2" xfId="21136" xr:uid="{00000000-0005-0000-0000-000094520000}"/>
    <cellStyle name="40% - Accent4 85 3 3" xfId="21137" xr:uid="{00000000-0005-0000-0000-000095520000}"/>
    <cellStyle name="40% - Accent4 85 30" xfId="21138" xr:uid="{00000000-0005-0000-0000-000096520000}"/>
    <cellStyle name="40% - Accent4 85 30 2" xfId="21139" xr:uid="{00000000-0005-0000-0000-000097520000}"/>
    <cellStyle name="40% - Accent4 85 30 2 2" xfId="21140" xr:uid="{00000000-0005-0000-0000-000098520000}"/>
    <cellStyle name="40% - Accent4 85 30 3" xfId="21141" xr:uid="{00000000-0005-0000-0000-000099520000}"/>
    <cellStyle name="40% - Accent4 85 31" xfId="21142" xr:uid="{00000000-0005-0000-0000-00009A520000}"/>
    <cellStyle name="40% - Accent4 85 31 2" xfId="21143" xr:uid="{00000000-0005-0000-0000-00009B520000}"/>
    <cellStyle name="40% - Accent4 85 31 2 2" xfId="21144" xr:uid="{00000000-0005-0000-0000-00009C520000}"/>
    <cellStyle name="40% - Accent4 85 31 3" xfId="21145" xr:uid="{00000000-0005-0000-0000-00009D520000}"/>
    <cellStyle name="40% - Accent4 85 32" xfId="21146" xr:uid="{00000000-0005-0000-0000-00009E520000}"/>
    <cellStyle name="40% - Accent4 85 32 2" xfId="21147" xr:uid="{00000000-0005-0000-0000-00009F520000}"/>
    <cellStyle name="40% - Accent4 85 32 2 2" xfId="21148" xr:uid="{00000000-0005-0000-0000-0000A0520000}"/>
    <cellStyle name="40% - Accent4 85 32 3" xfId="21149" xr:uid="{00000000-0005-0000-0000-0000A1520000}"/>
    <cellStyle name="40% - Accent4 85 33" xfId="21150" xr:uid="{00000000-0005-0000-0000-0000A2520000}"/>
    <cellStyle name="40% - Accent4 85 33 2" xfId="21151" xr:uid="{00000000-0005-0000-0000-0000A3520000}"/>
    <cellStyle name="40% - Accent4 85 33 2 2" xfId="21152" xr:uid="{00000000-0005-0000-0000-0000A4520000}"/>
    <cellStyle name="40% - Accent4 85 33 3" xfId="21153" xr:uid="{00000000-0005-0000-0000-0000A5520000}"/>
    <cellStyle name="40% - Accent4 85 34" xfId="21154" xr:uid="{00000000-0005-0000-0000-0000A6520000}"/>
    <cellStyle name="40% - Accent4 85 34 2" xfId="21155" xr:uid="{00000000-0005-0000-0000-0000A7520000}"/>
    <cellStyle name="40% - Accent4 85 34 2 2" xfId="21156" xr:uid="{00000000-0005-0000-0000-0000A8520000}"/>
    <cellStyle name="40% - Accent4 85 34 3" xfId="21157" xr:uid="{00000000-0005-0000-0000-0000A9520000}"/>
    <cellStyle name="40% - Accent4 85 35" xfId="21158" xr:uid="{00000000-0005-0000-0000-0000AA520000}"/>
    <cellStyle name="40% - Accent4 85 35 2" xfId="21159" xr:uid="{00000000-0005-0000-0000-0000AB520000}"/>
    <cellStyle name="40% - Accent4 85 35 2 2" xfId="21160" xr:uid="{00000000-0005-0000-0000-0000AC520000}"/>
    <cellStyle name="40% - Accent4 85 35 3" xfId="21161" xr:uid="{00000000-0005-0000-0000-0000AD520000}"/>
    <cellStyle name="40% - Accent4 85 36" xfId="21162" xr:uid="{00000000-0005-0000-0000-0000AE520000}"/>
    <cellStyle name="40% - Accent4 85 36 2" xfId="21163" xr:uid="{00000000-0005-0000-0000-0000AF520000}"/>
    <cellStyle name="40% - Accent4 85 36 2 2" xfId="21164" xr:uid="{00000000-0005-0000-0000-0000B0520000}"/>
    <cellStyle name="40% - Accent4 85 36 3" xfId="21165" xr:uid="{00000000-0005-0000-0000-0000B1520000}"/>
    <cellStyle name="40% - Accent4 85 4" xfId="21166" xr:uid="{00000000-0005-0000-0000-0000B2520000}"/>
    <cellStyle name="40% - Accent4 85 4 2" xfId="21167" xr:uid="{00000000-0005-0000-0000-0000B3520000}"/>
    <cellStyle name="40% - Accent4 85 4 2 2" xfId="21168" xr:uid="{00000000-0005-0000-0000-0000B4520000}"/>
    <cellStyle name="40% - Accent4 85 4 3" xfId="21169" xr:uid="{00000000-0005-0000-0000-0000B5520000}"/>
    <cellStyle name="40% - Accent4 85 5" xfId="21170" xr:uid="{00000000-0005-0000-0000-0000B6520000}"/>
    <cellStyle name="40% - Accent4 85 5 2" xfId="21171" xr:uid="{00000000-0005-0000-0000-0000B7520000}"/>
    <cellStyle name="40% - Accent4 85 5 2 2" xfId="21172" xr:uid="{00000000-0005-0000-0000-0000B8520000}"/>
    <cellStyle name="40% - Accent4 85 5 3" xfId="21173" xr:uid="{00000000-0005-0000-0000-0000B9520000}"/>
    <cellStyle name="40% - Accent4 85 6" xfId="21174" xr:uid="{00000000-0005-0000-0000-0000BA520000}"/>
    <cellStyle name="40% - Accent4 85 6 2" xfId="21175" xr:uid="{00000000-0005-0000-0000-0000BB520000}"/>
    <cellStyle name="40% - Accent4 85 6 2 2" xfId="21176" xr:uid="{00000000-0005-0000-0000-0000BC520000}"/>
    <cellStyle name="40% - Accent4 85 6 3" xfId="21177" xr:uid="{00000000-0005-0000-0000-0000BD520000}"/>
    <cellStyle name="40% - Accent4 85 7" xfId="21178" xr:uid="{00000000-0005-0000-0000-0000BE520000}"/>
    <cellStyle name="40% - Accent4 85 7 2" xfId="21179" xr:uid="{00000000-0005-0000-0000-0000BF520000}"/>
    <cellStyle name="40% - Accent4 85 7 2 2" xfId="21180" xr:uid="{00000000-0005-0000-0000-0000C0520000}"/>
    <cellStyle name="40% - Accent4 85 7 3" xfId="21181" xr:uid="{00000000-0005-0000-0000-0000C1520000}"/>
    <cellStyle name="40% - Accent4 85 8" xfId="21182" xr:uid="{00000000-0005-0000-0000-0000C2520000}"/>
    <cellStyle name="40% - Accent4 85 8 2" xfId="21183" xr:uid="{00000000-0005-0000-0000-0000C3520000}"/>
    <cellStyle name="40% - Accent4 85 8 2 2" xfId="21184" xr:uid="{00000000-0005-0000-0000-0000C4520000}"/>
    <cellStyle name="40% - Accent4 85 8 3" xfId="21185" xr:uid="{00000000-0005-0000-0000-0000C5520000}"/>
    <cellStyle name="40% - Accent4 85 9" xfId="21186" xr:uid="{00000000-0005-0000-0000-0000C6520000}"/>
    <cellStyle name="40% - Accent4 85 9 2" xfId="21187" xr:uid="{00000000-0005-0000-0000-0000C7520000}"/>
    <cellStyle name="40% - Accent4 85 9 2 2" xfId="21188" xr:uid="{00000000-0005-0000-0000-0000C8520000}"/>
    <cellStyle name="40% - Accent4 85 9 3" xfId="21189" xr:uid="{00000000-0005-0000-0000-0000C9520000}"/>
    <cellStyle name="40% - Accent4 86" xfId="21190" xr:uid="{00000000-0005-0000-0000-0000CA520000}"/>
    <cellStyle name="40% - Accent4 86 10" xfId="21191" xr:uid="{00000000-0005-0000-0000-0000CB520000}"/>
    <cellStyle name="40% - Accent4 86 10 2" xfId="21192" xr:uid="{00000000-0005-0000-0000-0000CC520000}"/>
    <cellStyle name="40% - Accent4 86 10 2 2" xfId="21193" xr:uid="{00000000-0005-0000-0000-0000CD520000}"/>
    <cellStyle name="40% - Accent4 86 10 3" xfId="21194" xr:uid="{00000000-0005-0000-0000-0000CE520000}"/>
    <cellStyle name="40% - Accent4 86 11" xfId="21195" xr:uid="{00000000-0005-0000-0000-0000CF520000}"/>
    <cellStyle name="40% - Accent4 86 11 2" xfId="21196" xr:uid="{00000000-0005-0000-0000-0000D0520000}"/>
    <cellStyle name="40% - Accent4 86 11 2 2" xfId="21197" xr:uid="{00000000-0005-0000-0000-0000D1520000}"/>
    <cellStyle name="40% - Accent4 86 11 3" xfId="21198" xr:uid="{00000000-0005-0000-0000-0000D2520000}"/>
    <cellStyle name="40% - Accent4 86 12" xfId="21199" xr:uid="{00000000-0005-0000-0000-0000D3520000}"/>
    <cellStyle name="40% - Accent4 86 12 2" xfId="21200" xr:uid="{00000000-0005-0000-0000-0000D4520000}"/>
    <cellStyle name="40% - Accent4 86 12 2 2" xfId="21201" xr:uid="{00000000-0005-0000-0000-0000D5520000}"/>
    <cellStyle name="40% - Accent4 86 12 3" xfId="21202" xr:uid="{00000000-0005-0000-0000-0000D6520000}"/>
    <cellStyle name="40% - Accent4 86 13" xfId="21203" xr:uid="{00000000-0005-0000-0000-0000D7520000}"/>
    <cellStyle name="40% - Accent4 86 13 2" xfId="21204" xr:uid="{00000000-0005-0000-0000-0000D8520000}"/>
    <cellStyle name="40% - Accent4 86 13 2 2" xfId="21205" xr:uid="{00000000-0005-0000-0000-0000D9520000}"/>
    <cellStyle name="40% - Accent4 86 13 3" xfId="21206" xr:uid="{00000000-0005-0000-0000-0000DA520000}"/>
    <cellStyle name="40% - Accent4 86 14" xfId="21207" xr:uid="{00000000-0005-0000-0000-0000DB520000}"/>
    <cellStyle name="40% - Accent4 86 14 2" xfId="21208" xr:uid="{00000000-0005-0000-0000-0000DC520000}"/>
    <cellStyle name="40% - Accent4 86 14 2 2" xfId="21209" xr:uid="{00000000-0005-0000-0000-0000DD520000}"/>
    <cellStyle name="40% - Accent4 86 14 3" xfId="21210" xr:uid="{00000000-0005-0000-0000-0000DE520000}"/>
    <cellStyle name="40% - Accent4 86 15" xfId="21211" xr:uid="{00000000-0005-0000-0000-0000DF520000}"/>
    <cellStyle name="40% - Accent4 86 15 2" xfId="21212" xr:uid="{00000000-0005-0000-0000-0000E0520000}"/>
    <cellStyle name="40% - Accent4 86 15 2 2" xfId="21213" xr:uid="{00000000-0005-0000-0000-0000E1520000}"/>
    <cellStyle name="40% - Accent4 86 15 3" xfId="21214" xr:uid="{00000000-0005-0000-0000-0000E2520000}"/>
    <cellStyle name="40% - Accent4 86 16" xfId="21215" xr:uid="{00000000-0005-0000-0000-0000E3520000}"/>
    <cellStyle name="40% - Accent4 86 16 2" xfId="21216" xr:uid="{00000000-0005-0000-0000-0000E4520000}"/>
    <cellStyle name="40% - Accent4 86 16 2 2" xfId="21217" xr:uid="{00000000-0005-0000-0000-0000E5520000}"/>
    <cellStyle name="40% - Accent4 86 16 3" xfId="21218" xr:uid="{00000000-0005-0000-0000-0000E6520000}"/>
    <cellStyle name="40% - Accent4 86 17" xfId="21219" xr:uid="{00000000-0005-0000-0000-0000E7520000}"/>
    <cellStyle name="40% - Accent4 86 17 2" xfId="21220" xr:uid="{00000000-0005-0000-0000-0000E8520000}"/>
    <cellStyle name="40% - Accent4 86 17 2 2" xfId="21221" xr:uid="{00000000-0005-0000-0000-0000E9520000}"/>
    <cellStyle name="40% - Accent4 86 17 3" xfId="21222" xr:uid="{00000000-0005-0000-0000-0000EA520000}"/>
    <cellStyle name="40% - Accent4 86 18" xfId="21223" xr:uid="{00000000-0005-0000-0000-0000EB520000}"/>
    <cellStyle name="40% - Accent4 86 18 2" xfId="21224" xr:uid="{00000000-0005-0000-0000-0000EC520000}"/>
    <cellStyle name="40% - Accent4 86 18 2 2" xfId="21225" xr:uid="{00000000-0005-0000-0000-0000ED520000}"/>
    <cellStyle name="40% - Accent4 86 18 3" xfId="21226" xr:uid="{00000000-0005-0000-0000-0000EE520000}"/>
    <cellStyle name="40% - Accent4 86 19" xfId="21227" xr:uid="{00000000-0005-0000-0000-0000EF520000}"/>
    <cellStyle name="40% - Accent4 86 19 2" xfId="21228" xr:uid="{00000000-0005-0000-0000-0000F0520000}"/>
    <cellStyle name="40% - Accent4 86 19 2 2" xfId="21229" xr:uid="{00000000-0005-0000-0000-0000F1520000}"/>
    <cellStyle name="40% - Accent4 86 19 3" xfId="21230" xr:uid="{00000000-0005-0000-0000-0000F2520000}"/>
    <cellStyle name="40% - Accent4 86 2" xfId="21231" xr:uid="{00000000-0005-0000-0000-0000F3520000}"/>
    <cellStyle name="40% - Accent4 86 2 2" xfId="21232" xr:uid="{00000000-0005-0000-0000-0000F4520000}"/>
    <cellStyle name="40% - Accent4 86 2 2 2" xfId="21233" xr:uid="{00000000-0005-0000-0000-0000F5520000}"/>
    <cellStyle name="40% - Accent4 86 2 3" xfId="21234" xr:uid="{00000000-0005-0000-0000-0000F6520000}"/>
    <cellStyle name="40% - Accent4 86 20" xfId="21235" xr:uid="{00000000-0005-0000-0000-0000F7520000}"/>
    <cellStyle name="40% - Accent4 86 20 2" xfId="21236" xr:uid="{00000000-0005-0000-0000-0000F8520000}"/>
    <cellStyle name="40% - Accent4 86 20 2 2" xfId="21237" xr:uid="{00000000-0005-0000-0000-0000F9520000}"/>
    <cellStyle name="40% - Accent4 86 20 3" xfId="21238" xr:uid="{00000000-0005-0000-0000-0000FA520000}"/>
    <cellStyle name="40% - Accent4 86 21" xfId="21239" xr:uid="{00000000-0005-0000-0000-0000FB520000}"/>
    <cellStyle name="40% - Accent4 86 21 2" xfId="21240" xr:uid="{00000000-0005-0000-0000-0000FC520000}"/>
    <cellStyle name="40% - Accent4 86 21 2 2" xfId="21241" xr:uid="{00000000-0005-0000-0000-0000FD520000}"/>
    <cellStyle name="40% - Accent4 86 21 3" xfId="21242" xr:uid="{00000000-0005-0000-0000-0000FE520000}"/>
    <cellStyle name="40% - Accent4 86 22" xfId="21243" xr:uid="{00000000-0005-0000-0000-0000FF520000}"/>
    <cellStyle name="40% - Accent4 86 22 2" xfId="21244" xr:uid="{00000000-0005-0000-0000-000000530000}"/>
    <cellStyle name="40% - Accent4 86 22 2 2" xfId="21245" xr:uid="{00000000-0005-0000-0000-000001530000}"/>
    <cellStyle name="40% - Accent4 86 22 3" xfId="21246" xr:uid="{00000000-0005-0000-0000-000002530000}"/>
    <cellStyle name="40% - Accent4 86 23" xfId="21247" xr:uid="{00000000-0005-0000-0000-000003530000}"/>
    <cellStyle name="40% - Accent4 86 23 2" xfId="21248" xr:uid="{00000000-0005-0000-0000-000004530000}"/>
    <cellStyle name="40% - Accent4 86 23 2 2" xfId="21249" xr:uid="{00000000-0005-0000-0000-000005530000}"/>
    <cellStyle name="40% - Accent4 86 23 3" xfId="21250" xr:uid="{00000000-0005-0000-0000-000006530000}"/>
    <cellStyle name="40% - Accent4 86 24" xfId="21251" xr:uid="{00000000-0005-0000-0000-000007530000}"/>
    <cellStyle name="40% - Accent4 86 24 2" xfId="21252" xr:uid="{00000000-0005-0000-0000-000008530000}"/>
    <cellStyle name="40% - Accent4 86 24 2 2" xfId="21253" xr:uid="{00000000-0005-0000-0000-000009530000}"/>
    <cellStyle name="40% - Accent4 86 24 3" xfId="21254" xr:uid="{00000000-0005-0000-0000-00000A530000}"/>
    <cellStyle name="40% - Accent4 86 25" xfId="21255" xr:uid="{00000000-0005-0000-0000-00000B530000}"/>
    <cellStyle name="40% - Accent4 86 25 2" xfId="21256" xr:uid="{00000000-0005-0000-0000-00000C530000}"/>
    <cellStyle name="40% - Accent4 86 25 2 2" xfId="21257" xr:uid="{00000000-0005-0000-0000-00000D530000}"/>
    <cellStyle name="40% - Accent4 86 25 3" xfId="21258" xr:uid="{00000000-0005-0000-0000-00000E530000}"/>
    <cellStyle name="40% - Accent4 86 26" xfId="21259" xr:uid="{00000000-0005-0000-0000-00000F530000}"/>
    <cellStyle name="40% - Accent4 86 26 2" xfId="21260" xr:uid="{00000000-0005-0000-0000-000010530000}"/>
    <cellStyle name="40% - Accent4 86 26 2 2" xfId="21261" xr:uid="{00000000-0005-0000-0000-000011530000}"/>
    <cellStyle name="40% - Accent4 86 26 3" xfId="21262" xr:uid="{00000000-0005-0000-0000-000012530000}"/>
    <cellStyle name="40% - Accent4 86 27" xfId="21263" xr:uid="{00000000-0005-0000-0000-000013530000}"/>
    <cellStyle name="40% - Accent4 86 27 2" xfId="21264" xr:uid="{00000000-0005-0000-0000-000014530000}"/>
    <cellStyle name="40% - Accent4 86 27 2 2" xfId="21265" xr:uid="{00000000-0005-0000-0000-000015530000}"/>
    <cellStyle name="40% - Accent4 86 27 3" xfId="21266" xr:uid="{00000000-0005-0000-0000-000016530000}"/>
    <cellStyle name="40% - Accent4 86 28" xfId="21267" xr:uid="{00000000-0005-0000-0000-000017530000}"/>
    <cellStyle name="40% - Accent4 86 28 2" xfId="21268" xr:uid="{00000000-0005-0000-0000-000018530000}"/>
    <cellStyle name="40% - Accent4 86 28 2 2" xfId="21269" xr:uid="{00000000-0005-0000-0000-000019530000}"/>
    <cellStyle name="40% - Accent4 86 28 3" xfId="21270" xr:uid="{00000000-0005-0000-0000-00001A530000}"/>
    <cellStyle name="40% - Accent4 86 29" xfId="21271" xr:uid="{00000000-0005-0000-0000-00001B530000}"/>
    <cellStyle name="40% - Accent4 86 29 2" xfId="21272" xr:uid="{00000000-0005-0000-0000-00001C530000}"/>
    <cellStyle name="40% - Accent4 86 29 2 2" xfId="21273" xr:uid="{00000000-0005-0000-0000-00001D530000}"/>
    <cellStyle name="40% - Accent4 86 29 3" xfId="21274" xr:uid="{00000000-0005-0000-0000-00001E530000}"/>
    <cellStyle name="40% - Accent4 86 3" xfId="21275" xr:uid="{00000000-0005-0000-0000-00001F530000}"/>
    <cellStyle name="40% - Accent4 86 3 2" xfId="21276" xr:uid="{00000000-0005-0000-0000-000020530000}"/>
    <cellStyle name="40% - Accent4 86 3 2 2" xfId="21277" xr:uid="{00000000-0005-0000-0000-000021530000}"/>
    <cellStyle name="40% - Accent4 86 3 3" xfId="21278" xr:uid="{00000000-0005-0000-0000-000022530000}"/>
    <cellStyle name="40% - Accent4 86 30" xfId="21279" xr:uid="{00000000-0005-0000-0000-000023530000}"/>
    <cellStyle name="40% - Accent4 86 30 2" xfId="21280" xr:uid="{00000000-0005-0000-0000-000024530000}"/>
    <cellStyle name="40% - Accent4 86 30 2 2" xfId="21281" xr:uid="{00000000-0005-0000-0000-000025530000}"/>
    <cellStyle name="40% - Accent4 86 30 3" xfId="21282" xr:uid="{00000000-0005-0000-0000-000026530000}"/>
    <cellStyle name="40% - Accent4 86 31" xfId="21283" xr:uid="{00000000-0005-0000-0000-000027530000}"/>
    <cellStyle name="40% - Accent4 86 31 2" xfId="21284" xr:uid="{00000000-0005-0000-0000-000028530000}"/>
    <cellStyle name="40% - Accent4 86 31 2 2" xfId="21285" xr:uid="{00000000-0005-0000-0000-000029530000}"/>
    <cellStyle name="40% - Accent4 86 31 3" xfId="21286" xr:uid="{00000000-0005-0000-0000-00002A530000}"/>
    <cellStyle name="40% - Accent4 86 32" xfId="21287" xr:uid="{00000000-0005-0000-0000-00002B530000}"/>
    <cellStyle name="40% - Accent4 86 32 2" xfId="21288" xr:uid="{00000000-0005-0000-0000-00002C530000}"/>
    <cellStyle name="40% - Accent4 86 32 2 2" xfId="21289" xr:uid="{00000000-0005-0000-0000-00002D530000}"/>
    <cellStyle name="40% - Accent4 86 32 3" xfId="21290" xr:uid="{00000000-0005-0000-0000-00002E530000}"/>
    <cellStyle name="40% - Accent4 86 33" xfId="21291" xr:uid="{00000000-0005-0000-0000-00002F530000}"/>
    <cellStyle name="40% - Accent4 86 33 2" xfId="21292" xr:uid="{00000000-0005-0000-0000-000030530000}"/>
    <cellStyle name="40% - Accent4 86 33 2 2" xfId="21293" xr:uid="{00000000-0005-0000-0000-000031530000}"/>
    <cellStyle name="40% - Accent4 86 33 3" xfId="21294" xr:uid="{00000000-0005-0000-0000-000032530000}"/>
    <cellStyle name="40% - Accent4 86 34" xfId="21295" xr:uid="{00000000-0005-0000-0000-000033530000}"/>
    <cellStyle name="40% - Accent4 86 34 2" xfId="21296" xr:uid="{00000000-0005-0000-0000-000034530000}"/>
    <cellStyle name="40% - Accent4 86 34 2 2" xfId="21297" xr:uid="{00000000-0005-0000-0000-000035530000}"/>
    <cellStyle name="40% - Accent4 86 34 3" xfId="21298" xr:uid="{00000000-0005-0000-0000-000036530000}"/>
    <cellStyle name="40% - Accent4 86 35" xfId="21299" xr:uid="{00000000-0005-0000-0000-000037530000}"/>
    <cellStyle name="40% - Accent4 86 35 2" xfId="21300" xr:uid="{00000000-0005-0000-0000-000038530000}"/>
    <cellStyle name="40% - Accent4 86 35 2 2" xfId="21301" xr:uid="{00000000-0005-0000-0000-000039530000}"/>
    <cellStyle name="40% - Accent4 86 35 3" xfId="21302" xr:uid="{00000000-0005-0000-0000-00003A530000}"/>
    <cellStyle name="40% - Accent4 86 36" xfId="21303" xr:uid="{00000000-0005-0000-0000-00003B530000}"/>
    <cellStyle name="40% - Accent4 86 36 2" xfId="21304" xr:uid="{00000000-0005-0000-0000-00003C530000}"/>
    <cellStyle name="40% - Accent4 86 36 2 2" xfId="21305" xr:uid="{00000000-0005-0000-0000-00003D530000}"/>
    <cellStyle name="40% - Accent4 86 36 3" xfId="21306" xr:uid="{00000000-0005-0000-0000-00003E530000}"/>
    <cellStyle name="40% - Accent4 86 4" xfId="21307" xr:uid="{00000000-0005-0000-0000-00003F530000}"/>
    <cellStyle name="40% - Accent4 86 4 2" xfId="21308" xr:uid="{00000000-0005-0000-0000-000040530000}"/>
    <cellStyle name="40% - Accent4 86 4 2 2" xfId="21309" xr:uid="{00000000-0005-0000-0000-000041530000}"/>
    <cellStyle name="40% - Accent4 86 4 3" xfId="21310" xr:uid="{00000000-0005-0000-0000-000042530000}"/>
    <cellStyle name="40% - Accent4 86 5" xfId="21311" xr:uid="{00000000-0005-0000-0000-000043530000}"/>
    <cellStyle name="40% - Accent4 86 5 2" xfId="21312" xr:uid="{00000000-0005-0000-0000-000044530000}"/>
    <cellStyle name="40% - Accent4 86 5 2 2" xfId="21313" xr:uid="{00000000-0005-0000-0000-000045530000}"/>
    <cellStyle name="40% - Accent4 86 5 3" xfId="21314" xr:uid="{00000000-0005-0000-0000-000046530000}"/>
    <cellStyle name="40% - Accent4 86 6" xfId="21315" xr:uid="{00000000-0005-0000-0000-000047530000}"/>
    <cellStyle name="40% - Accent4 86 6 2" xfId="21316" xr:uid="{00000000-0005-0000-0000-000048530000}"/>
    <cellStyle name="40% - Accent4 86 6 2 2" xfId="21317" xr:uid="{00000000-0005-0000-0000-000049530000}"/>
    <cellStyle name="40% - Accent4 86 6 3" xfId="21318" xr:uid="{00000000-0005-0000-0000-00004A530000}"/>
    <cellStyle name="40% - Accent4 86 7" xfId="21319" xr:uid="{00000000-0005-0000-0000-00004B530000}"/>
    <cellStyle name="40% - Accent4 86 7 2" xfId="21320" xr:uid="{00000000-0005-0000-0000-00004C530000}"/>
    <cellStyle name="40% - Accent4 86 7 2 2" xfId="21321" xr:uid="{00000000-0005-0000-0000-00004D530000}"/>
    <cellStyle name="40% - Accent4 86 7 3" xfId="21322" xr:uid="{00000000-0005-0000-0000-00004E530000}"/>
    <cellStyle name="40% - Accent4 86 8" xfId="21323" xr:uid="{00000000-0005-0000-0000-00004F530000}"/>
    <cellStyle name="40% - Accent4 86 8 2" xfId="21324" xr:uid="{00000000-0005-0000-0000-000050530000}"/>
    <cellStyle name="40% - Accent4 86 8 2 2" xfId="21325" xr:uid="{00000000-0005-0000-0000-000051530000}"/>
    <cellStyle name="40% - Accent4 86 8 3" xfId="21326" xr:uid="{00000000-0005-0000-0000-000052530000}"/>
    <cellStyle name="40% - Accent4 86 9" xfId="21327" xr:uid="{00000000-0005-0000-0000-000053530000}"/>
    <cellStyle name="40% - Accent4 86 9 2" xfId="21328" xr:uid="{00000000-0005-0000-0000-000054530000}"/>
    <cellStyle name="40% - Accent4 86 9 2 2" xfId="21329" xr:uid="{00000000-0005-0000-0000-000055530000}"/>
    <cellStyle name="40% - Accent4 86 9 3" xfId="21330" xr:uid="{00000000-0005-0000-0000-000056530000}"/>
    <cellStyle name="40% - Accent4 87" xfId="21331" xr:uid="{00000000-0005-0000-0000-000057530000}"/>
    <cellStyle name="40% - Accent4 87 10" xfId="21332" xr:uid="{00000000-0005-0000-0000-000058530000}"/>
    <cellStyle name="40% - Accent4 87 10 2" xfId="21333" xr:uid="{00000000-0005-0000-0000-000059530000}"/>
    <cellStyle name="40% - Accent4 87 10 2 2" xfId="21334" xr:uid="{00000000-0005-0000-0000-00005A530000}"/>
    <cellStyle name="40% - Accent4 87 10 3" xfId="21335" xr:uid="{00000000-0005-0000-0000-00005B530000}"/>
    <cellStyle name="40% - Accent4 87 11" xfId="21336" xr:uid="{00000000-0005-0000-0000-00005C530000}"/>
    <cellStyle name="40% - Accent4 87 11 2" xfId="21337" xr:uid="{00000000-0005-0000-0000-00005D530000}"/>
    <cellStyle name="40% - Accent4 87 11 2 2" xfId="21338" xr:uid="{00000000-0005-0000-0000-00005E530000}"/>
    <cellStyle name="40% - Accent4 87 11 3" xfId="21339" xr:uid="{00000000-0005-0000-0000-00005F530000}"/>
    <cellStyle name="40% - Accent4 87 12" xfId="21340" xr:uid="{00000000-0005-0000-0000-000060530000}"/>
    <cellStyle name="40% - Accent4 87 12 2" xfId="21341" xr:uid="{00000000-0005-0000-0000-000061530000}"/>
    <cellStyle name="40% - Accent4 87 12 2 2" xfId="21342" xr:uid="{00000000-0005-0000-0000-000062530000}"/>
    <cellStyle name="40% - Accent4 87 12 3" xfId="21343" xr:uid="{00000000-0005-0000-0000-000063530000}"/>
    <cellStyle name="40% - Accent4 87 13" xfId="21344" xr:uid="{00000000-0005-0000-0000-000064530000}"/>
    <cellStyle name="40% - Accent4 87 13 2" xfId="21345" xr:uid="{00000000-0005-0000-0000-000065530000}"/>
    <cellStyle name="40% - Accent4 87 13 2 2" xfId="21346" xr:uid="{00000000-0005-0000-0000-000066530000}"/>
    <cellStyle name="40% - Accent4 87 13 3" xfId="21347" xr:uid="{00000000-0005-0000-0000-000067530000}"/>
    <cellStyle name="40% - Accent4 87 14" xfId="21348" xr:uid="{00000000-0005-0000-0000-000068530000}"/>
    <cellStyle name="40% - Accent4 87 14 2" xfId="21349" xr:uid="{00000000-0005-0000-0000-000069530000}"/>
    <cellStyle name="40% - Accent4 87 14 2 2" xfId="21350" xr:uid="{00000000-0005-0000-0000-00006A530000}"/>
    <cellStyle name="40% - Accent4 87 14 3" xfId="21351" xr:uid="{00000000-0005-0000-0000-00006B530000}"/>
    <cellStyle name="40% - Accent4 87 15" xfId="21352" xr:uid="{00000000-0005-0000-0000-00006C530000}"/>
    <cellStyle name="40% - Accent4 87 15 2" xfId="21353" xr:uid="{00000000-0005-0000-0000-00006D530000}"/>
    <cellStyle name="40% - Accent4 87 15 2 2" xfId="21354" xr:uid="{00000000-0005-0000-0000-00006E530000}"/>
    <cellStyle name="40% - Accent4 87 15 3" xfId="21355" xr:uid="{00000000-0005-0000-0000-00006F530000}"/>
    <cellStyle name="40% - Accent4 87 16" xfId="21356" xr:uid="{00000000-0005-0000-0000-000070530000}"/>
    <cellStyle name="40% - Accent4 87 16 2" xfId="21357" xr:uid="{00000000-0005-0000-0000-000071530000}"/>
    <cellStyle name="40% - Accent4 87 16 2 2" xfId="21358" xr:uid="{00000000-0005-0000-0000-000072530000}"/>
    <cellStyle name="40% - Accent4 87 16 3" xfId="21359" xr:uid="{00000000-0005-0000-0000-000073530000}"/>
    <cellStyle name="40% - Accent4 87 17" xfId="21360" xr:uid="{00000000-0005-0000-0000-000074530000}"/>
    <cellStyle name="40% - Accent4 87 17 2" xfId="21361" xr:uid="{00000000-0005-0000-0000-000075530000}"/>
    <cellStyle name="40% - Accent4 87 17 2 2" xfId="21362" xr:uid="{00000000-0005-0000-0000-000076530000}"/>
    <cellStyle name="40% - Accent4 87 17 3" xfId="21363" xr:uid="{00000000-0005-0000-0000-000077530000}"/>
    <cellStyle name="40% - Accent4 87 18" xfId="21364" xr:uid="{00000000-0005-0000-0000-000078530000}"/>
    <cellStyle name="40% - Accent4 87 18 2" xfId="21365" xr:uid="{00000000-0005-0000-0000-000079530000}"/>
    <cellStyle name="40% - Accent4 87 18 2 2" xfId="21366" xr:uid="{00000000-0005-0000-0000-00007A530000}"/>
    <cellStyle name="40% - Accent4 87 18 3" xfId="21367" xr:uid="{00000000-0005-0000-0000-00007B530000}"/>
    <cellStyle name="40% - Accent4 87 19" xfId="21368" xr:uid="{00000000-0005-0000-0000-00007C530000}"/>
    <cellStyle name="40% - Accent4 87 19 2" xfId="21369" xr:uid="{00000000-0005-0000-0000-00007D530000}"/>
    <cellStyle name="40% - Accent4 87 19 2 2" xfId="21370" xr:uid="{00000000-0005-0000-0000-00007E530000}"/>
    <cellStyle name="40% - Accent4 87 19 3" xfId="21371" xr:uid="{00000000-0005-0000-0000-00007F530000}"/>
    <cellStyle name="40% - Accent4 87 2" xfId="21372" xr:uid="{00000000-0005-0000-0000-000080530000}"/>
    <cellStyle name="40% - Accent4 87 2 2" xfId="21373" xr:uid="{00000000-0005-0000-0000-000081530000}"/>
    <cellStyle name="40% - Accent4 87 2 2 2" xfId="21374" xr:uid="{00000000-0005-0000-0000-000082530000}"/>
    <cellStyle name="40% - Accent4 87 2 3" xfId="21375" xr:uid="{00000000-0005-0000-0000-000083530000}"/>
    <cellStyle name="40% - Accent4 87 20" xfId="21376" xr:uid="{00000000-0005-0000-0000-000084530000}"/>
    <cellStyle name="40% - Accent4 87 20 2" xfId="21377" xr:uid="{00000000-0005-0000-0000-000085530000}"/>
    <cellStyle name="40% - Accent4 87 20 2 2" xfId="21378" xr:uid="{00000000-0005-0000-0000-000086530000}"/>
    <cellStyle name="40% - Accent4 87 20 3" xfId="21379" xr:uid="{00000000-0005-0000-0000-000087530000}"/>
    <cellStyle name="40% - Accent4 87 21" xfId="21380" xr:uid="{00000000-0005-0000-0000-000088530000}"/>
    <cellStyle name="40% - Accent4 87 21 2" xfId="21381" xr:uid="{00000000-0005-0000-0000-000089530000}"/>
    <cellStyle name="40% - Accent4 87 21 2 2" xfId="21382" xr:uid="{00000000-0005-0000-0000-00008A530000}"/>
    <cellStyle name="40% - Accent4 87 21 3" xfId="21383" xr:uid="{00000000-0005-0000-0000-00008B530000}"/>
    <cellStyle name="40% - Accent4 87 22" xfId="21384" xr:uid="{00000000-0005-0000-0000-00008C530000}"/>
    <cellStyle name="40% - Accent4 87 22 2" xfId="21385" xr:uid="{00000000-0005-0000-0000-00008D530000}"/>
    <cellStyle name="40% - Accent4 87 22 2 2" xfId="21386" xr:uid="{00000000-0005-0000-0000-00008E530000}"/>
    <cellStyle name="40% - Accent4 87 22 3" xfId="21387" xr:uid="{00000000-0005-0000-0000-00008F530000}"/>
    <cellStyle name="40% - Accent4 87 23" xfId="21388" xr:uid="{00000000-0005-0000-0000-000090530000}"/>
    <cellStyle name="40% - Accent4 87 23 2" xfId="21389" xr:uid="{00000000-0005-0000-0000-000091530000}"/>
    <cellStyle name="40% - Accent4 87 23 2 2" xfId="21390" xr:uid="{00000000-0005-0000-0000-000092530000}"/>
    <cellStyle name="40% - Accent4 87 23 3" xfId="21391" xr:uid="{00000000-0005-0000-0000-000093530000}"/>
    <cellStyle name="40% - Accent4 87 24" xfId="21392" xr:uid="{00000000-0005-0000-0000-000094530000}"/>
    <cellStyle name="40% - Accent4 87 24 2" xfId="21393" xr:uid="{00000000-0005-0000-0000-000095530000}"/>
    <cellStyle name="40% - Accent4 87 24 2 2" xfId="21394" xr:uid="{00000000-0005-0000-0000-000096530000}"/>
    <cellStyle name="40% - Accent4 87 24 3" xfId="21395" xr:uid="{00000000-0005-0000-0000-000097530000}"/>
    <cellStyle name="40% - Accent4 87 25" xfId="21396" xr:uid="{00000000-0005-0000-0000-000098530000}"/>
    <cellStyle name="40% - Accent4 87 25 2" xfId="21397" xr:uid="{00000000-0005-0000-0000-000099530000}"/>
    <cellStyle name="40% - Accent4 87 25 2 2" xfId="21398" xr:uid="{00000000-0005-0000-0000-00009A530000}"/>
    <cellStyle name="40% - Accent4 87 25 3" xfId="21399" xr:uid="{00000000-0005-0000-0000-00009B530000}"/>
    <cellStyle name="40% - Accent4 87 26" xfId="21400" xr:uid="{00000000-0005-0000-0000-00009C530000}"/>
    <cellStyle name="40% - Accent4 87 26 2" xfId="21401" xr:uid="{00000000-0005-0000-0000-00009D530000}"/>
    <cellStyle name="40% - Accent4 87 26 2 2" xfId="21402" xr:uid="{00000000-0005-0000-0000-00009E530000}"/>
    <cellStyle name="40% - Accent4 87 26 3" xfId="21403" xr:uid="{00000000-0005-0000-0000-00009F530000}"/>
    <cellStyle name="40% - Accent4 87 27" xfId="21404" xr:uid="{00000000-0005-0000-0000-0000A0530000}"/>
    <cellStyle name="40% - Accent4 87 27 2" xfId="21405" xr:uid="{00000000-0005-0000-0000-0000A1530000}"/>
    <cellStyle name="40% - Accent4 87 27 2 2" xfId="21406" xr:uid="{00000000-0005-0000-0000-0000A2530000}"/>
    <cellStyle name="40% - Accent4 87 27 3" xfId="21407" xr:uid="{00000000-0005-0000-0000-0000A3530000}"/>
    <cellStyle name="40% - Accent4 87 28" xfId="21408" xr:uid="{00000000-0005-0000-0000-0000A4530000}"/>
    <cellStyle name="40% - Accent4 87 28 2" xfId="21409" xr:uid="{00000000-0005-0000-0000-0000A5530000}"/>
    <cellStyle name="40% - Accent4 87 28 2 2" xfId="21410" xr:uid="{00000000-0005-0000-0000-0000A6530000}"/>
    <cellStyle name="40% - Accent4 87 28 3" xfId="21411" xr:uid="{00000000-0005-0000-0000-0000A7530000}"/>
    <cellStyle name="40% - Accent4 87 29" xfId="21412" xr:uid="{00000000-0005-0000-0000-0000A8530000}"/>
    <cellStyle name="40% - Accent4 87 29 2" xfId="21413" xr:uid="{00000000-0005-0000-0000-0000A9530000}"/>
    <cellStyle name="40% - Accent4 87 29 2 2" xfId="21414" xr:uid="{00000000-0005-0000-0000-0000AA530000}"/>
    <cellStyle name="40% - Accent4 87 29 3" xfId="21415" xr:uid="{00000000-0005-0000-0000-0000AB530000}"/>
    <cellStyle name="40% - Accent4 87 3" xfId="21416" xr:uid="{00000000-0005-0000-0000-0000AC530000}"/>
    <cellStyle name="40% - Accent4 87 3 2" xfId="21417" xr:uid="{00000000-0005-0000-0000-0000AD530000}"/>
    <cellStyle name="40% - Accent4 87 3 2 2" xfId="21418" xr:uid="{00000000-0005-0000-0000-0000AE530000}"/>
    <cellStyle name="40% - Accent4 87 3 3" xfId="21419" xr:uid="{00000000-0005-0000-0000-0000AF530000}"/>
    <cellStyle name="40% - Accent4 87 30" xfId="21420" xr:uid="{00000000-0005-0000-0000-0000B0530000}"/>
    <cellStyle name="40% - Accent4 87 30 2" xfId="21421" xr:uid="{00000000-0005-0000-0000-0000B1530000}"/>
    <cellStyle name="40% - Accent4 87 30 2 2" xfId="21422" xr:uid="{00000000-0005-0000-0000-0000B2530000}"/>
    <cellStyle name="40% - Accent4 87 30 3" xfId="21423" xr:uid="{00000000-0005-0000-0000-0000B3530000}"/>
    <cellStyle name="40% - Accent4 87 31" xfId="21424" xr:uid="{00000000-0005-0000-0000-0000B4530000}"/>
    <cellStyle name="40% - Accent4 87 31 2" xfId="21425" xr:uid="{00000000-0005-0000-0000-0000B5530000}"/>
    <cellStyle name="40% - Accent4 87 31 2 2" xfId="21426" xr:uid="{00000000-0005-0000-0000-0000B6530000}"/>
    <cellStyle name="40% - Accent4 87 31 3" xfId="21427" xr:uid="{00000000-0005-0000-0000-0000B7530000}"/>
    <cellStyle name="40% - Accent4 87 32" xfId="21428" xr:uid="{00000000-0005-0000-0000-0000B8530000}"/>
    <cellStyle name="40% - Accent4 87 32 2" xfId="21429" xr:uid="{00000000-0005-0000-0000-0000B9530000}"/>
    <cellStyle name="40% - Accent4 87 32 2 2" xfId="21430" xr:uid="{00000000-0005-0000-0000-0000BA530000}"/>
    <cellStyle name="40% - Accent4 87 32 3" xfId="21431" xr:uid="{00000000-0005-0000-0000-0000BB530000}"/>
    <cellStyle name="40% - Accent4 87 33" xfId="21432" xr:uid="{00000000-0005-0000-0000-0000BC530000}"/>
    <cellStyle name="40% - Accent4 87 33 2" xfId="21433" xr:uid="{00000000-0005-0000-0000-0000BD530000}"/>
    <cellStyle name="40% - Accent4 87 33 2 2" xfId="21434" xr:uid="{00000000-0005-0000-0000-0000BE530000}"/>
    <cellStyle name="40% - Accent4 87 33 3" xfId="21435" xr:uid="{00000000-0005-0000-0000-0000BF530000}"/>
    <cellStyle name="40% - Accent4 87 34" xfId="21436" xr:uid="{00000000-0005-0000-0000-0000C0530000}"/>
    <cellStyle name="40% - Accent4 87 34 2" xfId="21437" xr:uid="{00000000-0005-0000-0000-0000C1530000}"/>
    <cellStyle name="40% - Accent4 87 34 2 2" xfId="21438" xr:uid="{00000000-0005-0000-0000-0000C2530000}"/>
    <cellStyle name="40% - Accent4 87 34 3" xfId="21439" xr:uid="{00000000-0005-0000-0000-0000C3530000}"/>
    <cellStyle name="40% - Accent4 87 35" xfId="21440" xr:uid="{00000000-0005-0000-0000-0000C4530000}"/>
    <cellStyle name="40% - Accent4 87 35 2" xfId="21441" xr:uid="{00000000-0005-0000-0000-0000C5530000}"/>
    <cellStyle name="40% - Accent4 87 35 2 2" xfId="21442" xr:uid="{00000000-0005-0000-0000-0000C6530000}"/>
    <cellStyle name="40% - Accent4 87 35 3" xfId="21443" xr:uid="{00000000-0005-0000-0000-0000C7530000}"/>
    <cellStyle name="40% - Accent4 87 36" xfId="21444" xr:uid="{00000000-0005-0000-0000-0000C8530000}"/>
    <cellStyle name="40% - Accent4 87 36 2" xfId="21445" xr:uid="{00000000-0005-0000-0000-0000C9530000}"/>
    <cellStyle name="40% - Accent4 87 36 2 2" xfId="21446" xr:uid="{00000000-0005-0000-0000-0000CA530000}"/>
    <cellStyle name="40% - Accent4 87 36 3" xfId="21447" xr:uid="{00000000-0005-0000-0000-0000CB530000}"/>
    <cellStyle name="40% - Accent4 87 4" xfId="21448" xr:uid="{00000000-0005-0000-0000-0000CC530000}"/>
    <cellStyle name="40% - Accent4 87 4 2" xfId="21449" xr:uid="{00000000-0005-0000-0000-0000CD530000}"/>
    <cellStyle name="40% - Accent4 87 4 2 2" xfId="21450" xr:uid="{00000000-0005-0000-0000-0000CE530000}"/>
    <cellStyle name="40% - Accent4 87 4 3" xfId="21451" xr:uid="{00000000-0005-0000-0000-0000CF530000}"/>
    <cellStyle name="40% - Accent4 87 5" xfId="21452" xr:uid="{00000000-0005-0000-0000-0000D0530000}"/>
    <cellStyle name="40% - Accent4 87 5 2" xfId="21453" xr:uid="{00000000-0005-0000-0000-0000D1530000}"/>
    <cellStyle name="40% - Accent4 87 5 2 2" xfId="21454" xr:uid="{00000000-0005-0000-0000-0000D2530000}"/>
    <cellStyle name="40% - Accent4 87 5 3" xfId="21455" xr:uid="{00000000-0005-0000-0000-0000D3530000}"/>
    <cellStyle name="40% - Accent4 87 6" xfId="21456" xr:uid="{00000000-0005-0000-0000-0000D4530000}"/>
    <cellStyle name="40% - Accent4 87 6 2" xfId="21457" xr:uid="{00000000-0005-0000-0000-0000D5530000}"/>
    <cellStyle name="40% - Accent4 87 6 2 2" xfId="21458" xr:uid="{00000000-0005-0000-0000-0000D6530000}"/>
    <cellStyle name="40% - Accent4 87 6 3" xfId="21459" xr:uid="{00000000-0005-0000-0000-0000D7530000}"/>
    <cellStyle name="40% - Accent4 87 7" xfId="21460" xr:uid="{00000000-0005-0000-0000-0000D8530000}"/>
    <cellStyle name="40% - Accent4 87 7 2" xfId="21461" xr:uid="{00000000-0005-0000-0000-0000D9530000}"/>
    <cellStyle name="40% - Accent4 87 7 2 2" xfId="21462" xr:uid="{00000000-0005-0000-0000-0000DA530000}"/>
    <cellStyle name="40% - Accent4 87 7 3" xfId="21463" xr:uid="{00000000-0005-0000-0000-0000DB530000}"/>
    <cellStyle name="40% - Accent4 87 8" xfId="21464" xr:uid="{00000000-0005-0000-0000-0000DC530000}"/>
    <cellStyle name="40% - Accent4 87 8 2" xfId="21465" xr:uid="{00000000-0005-0000-0000-0000DD530000}"/>
    <cellStyle name="40% - Accent4 87 8 2 2" xfId="21466" xr:uid="{00000000-0005-0000-0000-0000DE530000}"/>
    <cellStyle name="40% - Accent4 87 8 3" xfId="21467" xr:uid="{00000000-0005-0000-0000-0000DF530000}"/>
    <cellStyle name="40% - Accent4 87 9" xfId="21468" xr:uid="{00000000-0005-0000-0000-0000E0530000}"/>
    <cellStyle name="40% - Accent4 87 9 2" xfId="21469" xr:uid="{00000000-0005-0000-0000-0000E1530000}"/>
    <cellStyle name="40% - Accent4 87 9 2 2" xfId="21470" xr:uid="{00000000-0005-0000-0000-0000E2530000}"/>
    <cellStyle name="40% - Accent4 87 9 3" xfId="21471" xr:uid="{00000000-0005-0000-0000-0000E3530000}"/>
    <cellStyle name="40% - Accent4 88" xfId="21472" xr:uid="{00000000-0005-0000-0000-0000E4530000}"/>
    <cellStyle name="40% - Accent4 88 10" xfId="21473" xr:uid="{00000000-0005-0000-0000-0000E5530000}"/>
    <cellStyle name="40% - Accent4 88 10 2" xfId="21474" xr:uid="{00000000-0005-0000-0000-0000E6530000}"/>
    <cellStyle name="40% - Accent4 88 10 2 2" xfId="21475" xr:uid="{00000000-0005-0000-0000-0000E7530000}"/>
    <cellStyle name="40% - Accent4 88 10 3" xfId="21476" xr:uid="{00000000-0005-0000-0000-0000E8530000}"/>
    <cellStyle name="40% - Accent4 88 11" xfId="21477" xr:uid="{00000000-0005-0000-0000-0000E9530000}"/>
    <cellStyle name="40% - Accent4 88 11 2" xfId="21478" xr:uid="{00000000-0005-0000-0000-0000EA530000}"/>
    <cellStyle name="40% - Accent4 88 11 2 2" xfId="21479" xr:uid="{00000000-0005-0000-0000-0000EB530000}"/>
    <cellStyle name="40% - Accent4 88 11 3" xfId="21480" xr:uid="{00000000-0005-0000-0000-0000EC530000}"/>
    <cellStyle name="40% - Accent4 88 12" xfId="21481" xr:uid="{00000000-0005-0000-0000-0000ED530000}"/>
    <cellStyle name="40% - Accent4 88 12 2" xfId="21482" xr:uid="{00000000-0005-0000-0000-0000EE530000}"/>
    <cellStyle name="40% - Accent4 88 12 2 2" xfId="21483" xr:uid="{00000000-0005-0000-0000-0000EF530000}"/>
    <cellStyle name="40% - Accent4 88 12 3" xfId="21484" xr:uid="{00000000-0005-0000-0000-0000F0530000}"/>
    <cellStyle name="40% - Accent4 88 13" xfId="21485" xr:uid="{00000000-0005-0000-0000-0000F1530000}"/>
    <cellStyle name="40% - Accent4 88 13 2" xfId="21486" xr:uid="{00000000-0005-0000-0000-0000F2530000}"/>
    <cellStyle name="40% - Accent4 88 13 2 2" xfId="21487" xr:uid="{00000000-0005-0000-0000-0000F3530000}"/>
    <cellStyle name="40% - Accent4 88 13 3" xfId="21488" xr:uid="{00000000-0005-0000-0000-0000F4530000}"/>
    <cellStyle name="40% - Accent4 88 14" xfId="21489" xr:uid="{00000000-0005-0000-0000-0000F5530000}"/>
    <cellStyle name="40% - Accent4 88 14 2" xfId="21490" xr:uid="{00000000-0005-0000-0000-0000F6530000}"/>
    <cellStyle name="40% - Accent4 88 14 2 2" xfId="21491" xr:uid="{00000000-0005-0000-0000-0000F7530000}"/>
    <cellStyle name="40% - Accent4 88 14 3" xfId="21492" xr:uid="{00000000-0005-0000-0000-0000F8530000}"/>
    <cellStyle name="40% - Accent4 88 15" xfId="21493" xr:uid="{00000000-0005-0000-0000-0000F9530000}"/>
    <cellStyle name="40% - Accent4 88 15 2" xfId="21494" xr:uid="{00000000-0005-0000-0000-0000FA530000}"/>
    <cellStyle name="40% - Accent4 88 15 2 2" xfId="21495" xr:uid="{00000000-0005-0000-0000-0000FB530000}"/>
    <cellStyle name="40% - Accent4 88 15 3" xfId="21496" xr:uid="{00000000-0005-0000-0000-0000FC530000}"/>
    <cellStyle name="40% - Accent4 88 16" xfId="21497" xr:uid="{00000000-0005-0000-0000-0000FD530000}"/>
    <cellStyle name="40% - Accent4 88 16 2" xfId="21498" xr:uid="{00000000-0005-0000-0000-0000FE530000}"/>
    <cellStyle name="40% - Accent4 88 16 2 2" xfId="21499" xr:uid="{00000000-0005-0000-0000-0000FF530000}"/>
    <cellStyle name="40% - Accent4 88 16 3" xfId="21500" xr:uid="{00000000-0005-0000-0000-000000540000}"/>
    <cellStyle name="40% - Accent4 88 17" xfId="21501" xr:uid="{00000000-0005-0000-0000-000001540000}"/>
    <cellStyle name="40% - Accent4 88 17 2" xfId="21502" xr:uid="{00000000-0005-0000-0000-000002540000}"/>
    <cellStyle name="40% - Accent4 88 17 2 2" xfId="21503" xr:uid="{00000000-0005-0000-0000-000003540000}"/>
    <cellStyle name="40% - Accent4 88 17 3" xfId="21504" xr:uid="{00000000-0005-0000-0000-000004540000}"/>
    <cellStyle name="40% - Accent4 88 18" xfId="21505" xr:uid="{00000000-0005-0000-0000-000005540000}"/>
    <cellStyle name="40% - Accent4 88 18 2" xfId="21506" xr:uid="{00000000-0005-0000-0000-000006540000}"/>
    <cellStyle name="40% - Accent4 88 18 2 2" xfId="21507" xr:uid="{00000000-0005-0000-0000-000007540000}"/>
    <cellStyle name="40% - Accent4 88 18 3" xfId="21508" xr:uid="{00000000-0005-0000-0000-000008540000}"/>
    <cellStyle name="40% - Accent4 88 19" xfId="21509" xr:uid="{00000000-0005-0000-0000-000009540000}"/>
    <cellStyle name="40% - Accent4 88 19 2" xfId="21510" xr:uid="{00000000-0005-0000-0000-00000A540000}"/>
    <cellStyle name="40% - Accent4 88 19 2 2" xfId="21511" xr:uid="{00000000-0005-0000-0000-00000B540000}"/>
    <cellStyle name="40% - Accent4 88 19 3" xfId="21512" xr:uid="{00000000-0005-0000-0000-00000C540000}"/>
    <cellStyle name="40% - Accent4 88 2" xfId="21513" xr:uid="{00000000-0005-0000-0000-00000D540000}"/>
    <cellStyle name="40% - Accent4 88 2 2" xfId="21514" xr:uid="{00000000-0005-0000-0000-00000E540000}"/>
    <cellStyle name="40% - Accent4 88 2 2 2" xfId="21515" xr:uid="{00000000-0005-0000-0000-00000F540000}"/>
    <cellStyle name="40% - Accent4 88 2 3" xfId="21516" xr:uid="{00000000-0005-0000-0000-000010540000}"/>
    <cellStyle name="40% - Accent4 88 20" xfId="21517" xr:uid="{00000000-0005-0000-0000-000011540000}"/>
    <cellStyle name="40% - Accent4 88 20 2" xfId="21518" xr:uid="{00000000-0005-0000-0000-000012540000}"/>
    <cellStyle name="40% - Accent4 88 20 2 2" xfId="21519" xr:uid="{00000000-0005-0000-0000-000013540000}"/>
    <cellStyle name="40% - Accent4 88 20 3" xfId="21520" xr:uid="{00000000-0005-0000-0000-000014540000}"/>
    <cellStyle name="40% - Accent4 88 21" xfId="21521" xr:uid="{00000000-0005-0000-0000-000015540000}"/>
    <cellStyle name="40% - Accent4 88 21 2" xfId="21522" xr:uid="{00000000-0005-0000-0000-000016540000}"/>
    <cellStyle name="40% - Accent4 88 21 2 2" xfId="21523" xr:uid="{00000000-0005-0000-0000-000017540000}"/>
    <cellStyle name="40% - Accent4 88 21 3" xfId="21524" xr:uid="{00000000-0005-0000-0000-000018540000}"/>
    <cellStyle name="40% - Accent4 88 22" xfId="21525" xr:uid="{00000000-0005-0000-0000-000019540000}"/>
    <cellStyle name="40% - Accent4 88 22 2" xfId="21526" xr:uid="{00000000-0005-0000-0000-00001A540000}"/>
    <cellStyle name="40% - Accent4 88 22 2 2" xfId="21527" xr:uid="{00000000-0005-0000-0000-00001B540000}"/>
    <cellStyle name="40% - Accent4 88 22 3" xfId="21528" xr:uid="{00000000-0005-0000-0000-00001C540000}"/>
    <cellStyle name="40% - Accent4 88 23" xfId="21529" xr:uid="{00000000-0005-0000-0000-00001D540000}"/>
    <cellStyle name="40% - Accent4 88 23 2" xfId="21530" xr:uid="{00000000-0005-0000-0000-00001E540000}"/>
    <cellStyle name="40% - Accent4 88 23 2 2" xfId="21531" xr:uid="{00000000-0005-0000-0000-00001F540000}"/>
    <cellStyle name="40% - Accent4 88 23 3" xfId="21532" xr:uid="{00000000-0005-0000-0000-000020540000}"/>
    <cellStyle name="40% - Accent4 88 24" xfId="21533" xr:uid="{00000000-0005-0000-0000-000021540000}"/>
    <cellStyle name="40% - Accent4 88 24 2" xfId="21534" xr:uid="{00000000-0005-0000-0000-000022540000}"/>
    <cellStyle name="40% - Accent4 88 24 2 2" xfId="21535" xr:uid="{00000000-0005-0000-0000-000023540000}"/>
    <cellStyle name="40% - Accent4 88 24 3" xfId="21536" xr:uid="{00000000-0005-0000-0000-000024540000}"/>
    <cellStyle name="40% - Accent4 88 25" xfId="21537" xr:uid="{00000000-0005-0000-0000-000025540000}"/>
    <cellStyle name="40% - Accent4 88 25 2" xfId="21538" xr:uid="{00000000-0005-0000-0000-000026540000}"/>
    <cellStyle name="40% - Accent4 88 25 2 2" xfId="21539" xr:uid="{00000000-0005-0000-0000-000027540000}"/>
    <cellStyle name="40% - Accent4 88 25 3" xfId="21540" xr:uid="{00000000-0005-0000-0000-000028540000}"/>
    <cellStyle name="40% - Accent4 88 26" xfId="21541" xr:uid="{00000000-0005-0000-0000-000029540000}"/>
    <cellStyle name="40% - Accent4 88 26 2" xfId="21542" xr:uid="{00000000-0005-0000-0000-00002A540000}"/>
    <cellStyle name="40% - Accent4 88 26 2 2" xfId="21543" xr:uid="{00000000-0005-0000-0000-00002B540000}"/>
    <cellStyle name="40% - Accent4 88 26 3" xfId="21544" xr:uid="{00000000-0005-0000-0000-00002C540000}"/>
    <cellStyle name="40% - Accent4 88 27" xfId="21545" xr:uid="{00000000-0005-0000-0000-00002D540000}"/>
    <cellStyle name="40% - Accent4 88 27 2" xfId="21546" xr:uid="{00000000-0005-0000-0000-00002E540000}"/>
    <cellStyle name="40% - Accent4 88 27 2 2" xfId="21547" xr:uid="{00000000-0005-0000-0000-00002F540000}"/>
    <cellStyle name="40% - Accent4 88 27 3" xfId="21548" xr:uid="{00000000-0005-0000-0000-000030540000}"/>
    <cellStyle name="40% - Accent4 88 28" xfId="21549" xr:uid="{00000000-0005-0000-0000-000031540000}"/>
    <cellStyle name="40% - Accent4 88 28 2" xfId="21550" xr:uid="{00000000-0005-0000-0000-000032540000}"/>
    <cellStyle name="40% - Accent4 88 28 2 2" xfId="21551" xr:uid="{00000000-0005-0000-0000-000033540000}"/>
    <cellStyle name="40% - Accent4 88 28 3" xfId="21552" xr:uid="{00000000-0005-0000-0000-000034540000}"/>
    <cellStyle name="40% - Accent4 88 29" xfId="21553" xr:uid="{00000000-0005-0000-0000-000035540000}"/>
    <cellStyle name="40% - Accent4 88 29 2" xfId="21554" xr:uid="{00000000-0005-0000-0000-000036540000}"/>
    <cellStyle name="40% - Accent4 88 29 2 2" xfId="21555" xr:uid="{00000000-0005-0000-0000-000037540000}"/>
    <cellStyle name="40% - Accent4 88 29 3" xfId="21556" xr:uid="{00000000-0005-0000-0000-000038540000}"/>
    <cellStyle name="40% - Accent4 88 3" xfId="21557" xr:uid="{00000000-0005-0000-0000-000039540000}"/>
    <cellStyle name="40% - Accent4 88 3 2" xfId="21558" xr:uid="{00000000-0005-0000-0000-00003A540000}"/>
    <cellStyle name="40% - Accent4 88 3 2 2" xfId="21559" xr:uid="{00000000-0005-0000-0000-00003B540000}"/>
    <cellStyle name="40% - Accent4 88 3 3" xfId="21560" xr:uid="{00000000-0005-0000-0000-00003C540000}"/>
    <cellStyle name="40% - Accent4 88 30" xfId="21561" xr:uid="{00000000-0005-0000-0000-00003D540000}"/>
    <cellStyle name="40% - Accent4 88 30 2" xfId="21562" xr:uid="{00000000-0005-0000-0000-00003E540000}"/>
    <cellStyle name="40% - Accent4 88 30 2 2" xfId="21563" xr:uid="{00000000-0005-0000-0000-00003F540000}"/>
    <cellStyle name="40% - Accent4 88 30 3" xfId="21564" xr:uid="{00000000-0005-0000-0000-000040540000}"/>
    <cellStyle name="40% - Accent4 88 31" xfId="21565" xr:uid="{00000000-0005-0000-0000-000041540000}"/>
    <cellStyle name="40% - Accent4 88 31 2" xfId="21566" xr:uid="{00000000-0005-0000-0000-000042540000}"/>
    <cellStyle name="40% - Accent4 88 31 2 2" xfId="21567" xr:uid="{00000000-0005-0000-0000-000043540000}"/>
    <cellStyle name="40% - Accent4 88 31 3" xfId="21568" xr:uid="{00000000-0005-0000-0000-000044540000}"/>
    <cellStyle name="40% - Accent4 88 32" xfId="21569" xr:uid="{00000000-0005-0000-0000-000045540000}"/>
    <cellStyle name="40% - Accent4 88 32 2" xfId="21570" xr:uid="{00000000-0005-0000-0000-000046540000}"/>
    <cellStyle name="40% - Accent4 88 32 2 2" xfId="21571" xr:uid="{00000000-0005-0000-0000-000047540000}"/>
    <cellStyle name="40% - Accent4 88 32 3" xfId="21572" xr:uid="{00000000-0005-0000-0000-000048540000}"/>
    <cellStyle name="40% - Accent4 88 33" xfId="21573" xr:uid="{00000000-0005-0000-0000-000049540000}"/>
    <cellStyle name="40% - Accent4 88 33 2" xfId="21574" xr:uid="{00000000-0005-0000-0000-00004A540000}"/>
    <cellStyle name="40% - Accent4 88 33 2 2" xfId="21575" xr:uid="{00000000-0005-0000-0000-00004B540000}"/>
    <cellStyle name="40% - Accent4 88 33 3" xfId="21576" xr:uid="{00000000-0005-0000-0000-00004C540000}"/>
    <cellStyle name="40% - Accent4 88 34" xfId="21577" xr:uid="{00000000-0005-0000-0000-00004D540000}"/>
    <cellStyle name="40% - Accent4 88 34 2" xfId="21578" xr:uid="{00000000-0005-0000-0000-00004E540000}"/>
    <cellStyle name="40% - Accent4 88 34 2 2" xfId="21579" xr:uid="{00000000-0005-0000-0000-00004F540000}"/>
    <cellStyle name="40% - Accent4 88 34 3" xfId="21580" xr:uid="{00000000-0005-0000-0000-000050540000}"/>
    <cellStyle name="40% - Accent4 88 35" xfId="21581" xr:uid="{00000000-0005-0000-0000-000051540000}"/>
    <cellStyle name="40% - Accent4 88 35 2" xfId="21582" xr:uid="{00000000-0005-0000-0000-000052540000}"/>
    <cellStyle name="40% - Accent4 88 35 2 2" xfId="21583" xr:uid="{00000000-0005-0000-0000-000053540000}"/>
    <cellStyle name="40% - Accent4 88 35 3" xfId="21584" xr:uid="{00000000-0005-0000-0000-000054540000}"/>
    <cellStyle name="40% - Accent4 88 36" xfId="21585" xr:uid="{00000000-0005-0000-0000-000055540000}"/>
    <cellStyle name="40% - Accent4 88 36 2" xfId="21586" xr:uid="{00000000-0005-0000-0000-000056540000}"/>
    <cellStyle name="40% - Accent4 88 36 2 2" xfId="21587" xr:uid="{00000000-0005-0000-0000-000057540000}"/>
    <cellStyle name="40% - Accent4 88 36 3" xfId="21588" xr:uid="{00000000-0005-0000-0000-000058540000}"/>
    <cellStyle name="40% - Accent4 88 37" xfId="21589" xr:uid="{00000000-0005-0000-0000-000059540000}"/>
    <cellStyle name="40% - Accent4 88 37 2" xfId="21590" xr:uid="{00000000-0005-0000-0000-00005A540000}"/>
    <cellStyle name="40% - Accent4 88 38" xfId="21591" xr:uid="{00000000-0005-0000-0000-00005B540000}"/>
    <cellStyle name="40% - Accent4 88 4" xfId="21592" xr:uid="{00000000-0005-0000-0000-00005C540000}"/>
    <cellStyle name="40% - Accent4 88 4 2" xfId="21593" xr:uid="{00000000-0005-0000-0000-00005D540000}"/>
    <cellStyle name="40% - Accent4 88 4 2 2" xfId="21594" xr:uid="{00000000-0005-0000-0000-00005E540000}"/>
    <cellStyle name="40% - Accent4 88 4 3" xfId="21595" xr:uid="{00000000-0005-0000-0000-00005F540000}"/>
    <cellStyle name="40% - Accent4 88 5" xfId="21596" xr:uid="{00000000-0005-0000-0000-000060540000}"/>
    <cellStyle name="40% - Accent4 88 5 2" xfId="21597" xr:uid="{00000000-0005-0000-0000-000061540000}"/>
    <cellStyle name="40% - Accent4 88 5 2 2" xfId="21598" xr:uid="{00000000-0005-0000-0000-000062540000}"/>
    <cellStyle name="40% - Accent4 88 5 3" xfId="21599" xr:uid="{00000000-0005-0000-0000-000063540000}"/>
    <cellStyle name="40% - Accent4 88 6" xfId="21600" xr:uid="{00000000-0005-0000-0000-000064540000}"/>
    <cellStyle name="40% - Accent4 88 6 2" xfId="21601" xr:uid="{00000000-0005-0000-0000-000065540000}"/>
    <cellStyle name="40% - Accent4 88 6 2 2" xfId="21602" xr:uid="{00000000-0005-0000-0000-000066540000}"/>
    <cellStyle name="40% - Accent4 88 6 3" xfId="21603" xr:uid="{00000000-0005-0000-0000-000067540000}"/>
    <cellStyle name="40% - Accent4 88 7" xfId="21604" xr:uid="{00000000-0005-0000-0000-000068540000}"/>
    <cellStyle name="40% - Accent4 88 7 2" xfId="21605" xr:uid="{00000000-0005-0000-0000-000069540000}"/>
    <cellStyle name="40% - Accent4 88 7 2 2" xfId="21606" xr:uid="{00000000-0005-0000-0000-00006A540000}"/>
    <cellStyle name="40% - Accent4 88 7 3" xfId="21607" xr:uid="{00000000-0005-0000-0000-00006B540000}"/>
    <cellStyle name="40% - Accent4 88 8" xfId="21608" xr:uid="{00000000-0005-0000-0000-00006C540000}"/>
    <cellStyle name="40% - Accent4 88 8 2" xfId="21609" xr:uid="{00000000-0005-0000-0000-00006D540000}"/>
    <cellStyle name="40% - Accent4 88 8 2 2" xfId="21610" xr:uid="{00000000-0005-0000-0000-00006E540000}"/>
    <cellStyle name="40% - Accent4 88 8 3" xfId="21611" xr:uid="{00000000-0005-0000-0000-00006F540000}"/>
    <cellStyle name="40% - Accent4 88 9" xfId="21612" xr:uid="{00000000-0005-0000-0000-000070540000}"/>
    <cellStyle name="40% - Accent4 88 9 2" xfId="21613" xr:uid="{00000000-0005-0000-0000-000071540000}"/>
    <cellStyle name="40% - Accent4 88 9 2 2" xfId="21614" xr:uid="{00000000-0005-0000-0000-000072540000}"/>
    <cellStyle name="40% - Accent4 88 9 3" xfId="21615" xr:uid="{00000000-0005-0000-0000-000073540000}"/>
    <cellStyle name="40% - Accent4 89" xfId="21616" xr:uid="{00000000-0005-0000-0000-000074540000}"/>
    <cellStyle name="40% - Accent4 89 2" xfId="21617" xr:uid="{00000000-0005-0000-0000-000075540000}"/>
    <cellStyle name="40% - Accent4 9" xfId="21618" xr:uid="{00000000-0005-0000-0000-000076540000}"/>
    <cellStyle name="40% - Accent4 9 2" xfId="21619" xr:uid="{00000000-0005-0000-0000-000077540000}"/>
    <cellStyle name="40% - Accent4 9 2 2" xfId="21620" xr:uid="{00000000-0005-0000-0000-000078540000}"/>
    <cellStyle name="40% - Accent4 9 3" xfId="21621" xr:uid="{00000000-0005-0000-0000-000079540000}"/>
    <cellStyle name="40% - Accent4 9 4" xfId="21622" xr:uid="{00000000-0005-0000-0000-00007A540000}"/>
    <cellStyle name="40% - Accent4 90" xfId="21623" xr:uid="{00000000-0005-0000-0000-00007B540000}"/>
    <cellStyle name="40% - Accent4 90 2" xfId="21624" xr:uid="{00000000-0005-0000-0000-00007C540000}"/>
    <cellStyle name="40% - Accent4 91" xfId="21625" xr:uid="{00000000-0005-0000-0000-00007D540000}"/>
    <cellStyle name="40% - Accent4 91 2" xfId="21626" xr:uid="{00000000-0005-0000-0000-00007E540000}"/>
    <cellStyle name="40% - Accent4 92" xfId="21627" xr:uid="{00000000-0005-0000-0000-00007F540000}"/>
    <cellStyle name="40% - Accent4 92 2" xfId="21628" xr:uid="{00000000-0005-0000-0000-000080540000}"/>
    <cellStyle name="40% - Accent4 93" xfId="21629" xr:uid="{00000000-0005-0000-0000-000081540000}"/>
    <cellStyle name="40% - Accent4 93 2" xfId="21630" xr:uid="{00000000-0005-0000-0000-000082540000}"/>
    <cellStyle name="40% - Accent4 93 2 2" xfId="21631" xr:uid="{00000000-0005-0000-0000-000083540000}"/>
    <cellStyle name="40% - Accent4 93 2 2 2" xfId="21632" xr:uid="{00000000-0005-0000-0000-000084540000}"/>
    <cellStyle name="40% - Accent4 93 2 3" xfId="21633" xr:uid="{00000000-0005-0000-0000-000085540000}"/>
    <cellStyle name="40% - Accent4 93 3" xfId="21634" xr:uid="{00000000-0005-0000-0000-000086540000}"/>
    <cellStyle name="40% - Accent4 93 3 2" xfId="21635" xr:uid="{00000000-0005-0000-0000-000087540000}"/>
    <cellStyle name="40% - Accent4 93 4" xfId="21636" xr:uid="{00000000-0005-0000-0000-000088540000}"/>
    <cellStyle name="40% - Accent4 94" xfId="21637" xr:uid="{00000000-0005-0000-0000-000089540000}"/>
    <cellStyle name="40% - Accent4 94 2" xfId="21638" xr:uid="{00000000-0005-0000-0000-00008A540000}"/>
    <cellStyle name="40% - Accent4 94 2 2" xfId="21639" xr:uid="{00000000-0005-0000-0000-00008B540000}"/>
    <cellStyle name="40% - Accent4 94 2 2 2" xfId="21640" xr:uid="{00000000-0005-0000-0000-00008C540000}"/>
    <cellStyle name="40% - Accent4 94 2 3" xfId="21641" xr:uid="{00000000-0005-0000-0000-00008D540000}"/>
    <cellStyle name="40% - Accent4 94 3" xfId="21642" xr:uid="{00000000-0005-0000-0000-00008E540000}"/>
    <cellStyle name="40% - Accent4 94 3 2" xfId="21643" xr:uid="{00000000-0005-0000-0000-00008F540000}"/>
    <cellStyle name="40% - Accent4 94 4" xfId="21644" xr:uid="{00000000-0005-0000-0000-000090540000}"/>
    <cellStyle name="40% - Accent4 95" xfId="21645" xr:uid="{00000000-0005-0000-0000-000091540000}"/>
    <cellStyle name="40% - Accent4 95 2" xfId="21646" xr:uid="{00000000-0005-0000-0000-000092540000}"/>
    <cellStyle name="40% - Accent4 95 2 2" xfId="21647" xr:uid="{00000000-0005-0000-0000-000093540000}"/>
    <cellStyle name="40% - Accent4 95 3" xfId="21648" xr:uid="{00000000-0005-0000-0000-000094540000}"/>
    <cellStyle name="40% - Accent4 96" xfId="21649" xr:uid="{00000000-0005-0000-0000-000095540000}"/>
    <cellStyle name="40% - Accent4 96 2" xfId="21650" xr:uid="{00000000-0005-0000-0000-000096540000}"/>
    <cellStyle name="40% - Accent4 96 2 2" xfId="21651" xr:uid="{00000000-0005-0000-0000-000097540000}"/>
    <cellStyle name="40% - Accent4 96 3" xfId="21652" xr:uid="{00000000-0005-0000-0000-000098540000}"/>
    <cellStyle name="40% - Accent4 97" xfId="21653" xr:uid="{00000000-0005-0000-0000-000099540000}"/>
    <cellStyle name="40% - Accent4 97 2" xfId="21654" xr:uid="{00000000-0005-0000-0000-00009A540000}"/>
    <cellStyle name="40% - Accent4 97 2 2" xfId="21655" xr:uid="{00000000-0005-0000-0000-00009B540000}"/>
    <cellStyle name="40% - Accent4 97 3" xfId="21656" xr:uid="{00000000-0005-0000-0000-00009C540000}"/>
    <cellStyle name="40% - Accent4 98" xfId="21657" xr:uid="{00000000-0005-0000-0000-00009D540000}"/>
    <cellStyle name="40% - Accent4 98 2" xfId="21658" xr:uid="{00000000-0005-0000-0000-00009E540000}"/>
    <cellStyle name="40% - Accent4 98 2 2" xfId="21659" xr:uid="{00000000-0005-0000-0000-00009F540000}"/>
    <cellStyle name="40% - Accent4 98 3" xfId="21660" xr:uid="{00000000-0005-0000-0000-0000A0540000}"/>
    <cellStyle name="40% - Accent4 99" xfId="21661" xr:uid="{00000000-0005-0000-0000-0000A1540000}"/>
    <cellStyle name="40% - Accent5" xfId="41033" builtinId="47" customBuiltin="1"/>
    <cellStyle name="40% - Accent5 10" xfId="21662" xr:uid="{00000000-0005-0000-0000-0000A3540000}"/>
    <cellStyle name="40% - Accent5 10 2" xfId="21663" xr:uid="{00000000-0005-0000-0000-0000A4540000}"/>
    <cellStyle name="40% - Accent5 10 2 2" xfId="21664" xr:uid="{00000000-0005-0000-0000-0000A5540000}"/>
    <cellStyle name="40% - Accent5 10 3" xfId="21665" xr:uid="{00000000-0005-0000-0000-0000A6540000}"/>
    <cellStyle name="40% - Accent5 100" xfId="21666" xr:uid="{00000000-0005-0000-0000-0000A7540000}"/>
    <cellStyle name="40% - Accent5 100 2" xfId="21667" xr:uid="{00000000-0005-0000-0000-0000A8540000}"/>
    <cellStyle name="40% - Accent5 100 2 2" xfId="21668" xr:uid="{00000000-0005-0000-0000-0000A9540000}"/>
    <cellStyle name="40% - Accent5 100 3" xfId="21669" xr:uid="{00000000-0005-0000-0000-0000AA540000}"/>
    <cellStyle name="40% - Accent5 101" xfId="21670" xr:uid="{00000000-0005-0000-0000-0000AB540000}"/>
    <cellStyle name="40% - Accent5 102" xfId="21671" xr:uid="{00000000-0005-0000-0000-0000AC540000}"/>
    <cellStyle name="40% - Accent5 102 2" xfId="21672" xr:uid="{00000000-0005-0000-0000-0000AD540000}"/>
    <cellStyle name="40% - Accent5 102 2 2" xfId="21673" xr:uid="{00000000-0005-0000-0000-0000AE540000}"/>
    <cellStyle name="40% - Accent5 102 3" xfId="21674" xr:uid="{00000000-0005-0000-0000-0000AF540000}"/>
    <cellStyle name="40% - Accent5 103" xfId="21675" xr:uid="{00000000-0005-0000-0000-0000B0540000}"/>
    <cellStyle name="40% - Accent5 104" xfId="21676" xr:uid="{00000000-0005-0000-0000-0000B1540000}"/>
    <cellStyle name="40% - Accent5 104 2" xfId="21677" xr:uid="{00000000-0005-0000-0000-0000B2540000}"/>
    <cellStyle name="40% - Accent5 104 2 2" xfId="21678" xr:uid="{00000000-0005-0000-0000-0000B3540000}"/>
    <cellStyle name="40% - Accent5 104 3" xfId="21679" xr:uid="{00000000-0005-0000-0000-0000B4540000}"/>
    <cellStyle name="40% - Accent5 105" xfId="21680" xr:uid="{00000000-0005-0000-0000-0000B5540000}"/>
    <cellStyle name="40% - Accent5 105 2" xfId="21681" xr:uid="{00000000-0005-0000-0000-0000B6540000}"/>
    <cellStyle name="40% - Accent5 105 2 2" xfId="21682" xr:uid="{00000000-0005-0000-0000-0000B7540000}"/>
    <cellStyle name="40% - Accent5 105 3" xfId="21683" xr:uid="{00000000-0005-0000-0000-0000B8540000}"/>
    <cellStyle name="40% - Accent5 106" xfId="21684" xr:uid="{00000000-0005-0000-0000-0000B9540000}"/>
    <cellStyle name="40% - Accent5 107" xfId="21685" xr:uid="{00000000-0005-0000-0000-0000BA540000}"/>
    <cellStyle name="40% - Accent5 108" xfId="21686" xr:uid="{00000000-0005-0000-0000-0000BB540000}"/>
    <cellStyle name="40% - Accent5 109" xfId="21687" xr:uid="{00000000-0005-0000-0000-0000BC540000}"/>
    <cellStyle name="40% - Accent5 11" xfId="21688" xr:uid="{00000000-0005-0000-0000-0000BD540000}"/>
    <cellStyle name="40% - Accent5 11 2" xfId="21689" xr:uid="{00000000-0005-0000-0000-0000BE540000}"/>
    <cellStyle name="40% - Accent5 11 2 2" xfId="21690" xr:uid="{00000000-0005-0000-0000-0000BF540000}"/>
    <cellStyle name="40% - Accent5 11 3" xfId="21691" xr:uid="{00000000-0005-0000-0000-0000C0540000}"/>
    <cellStyle name="40% - Accent5 110" xfId="21692" xr:uid="{00000000-0005-0000-0000-0000C1540000}"/>
    <cellStyle name="40% - Accent5 110 2" xfId="21693" xr:uid="{00000000-0005-0000-0000-0000C2540000}"/>
    <cellStyle name="40% - Accent5 110 2 2" xfId="21694" xr:uid="{00000000-0005-0000-0000-0000C3540000}"/>
    <cellStyle name="40% - Accent5 110 3" xfId="21695" xr:uid="{00000000-0005-0000-0000-0000C4540000}"/>
    <cellStyle name="40% - Accent5 111" xfId="21696" xr:uid="{00000000-0005-0000-0000-0000C5540000}"/>
    <cellStyle name="40% - Accent5 111 2" xfId="21697" xr:uid="{00000000-0005-0000-0000-0000C6540000}"/>
    <cellStyle name="40% - Accent5 111 2 2" xfId="21698" xr:uid="{00000000-0005-0000-0000-0000C7540000}"/>
    <cellStyle name="40% - Accent5 111 3" xfId="21699" xr:uid="{00000000-0005-0000-0000-0000C8540000}"/>
    <cellStyle name="40% - Accent5 112" xfId="21700" xr:uid="{00000000-0005-0000-0000-0000C9540000}"/>
    <cellStyle name="40% - Accent5 112 2" xfId="21701" xr:uid="{00000000-0005-0000-0000-0000CA540000}"/>
    <cellStyle name="40% - Accent5 112 2 2" xfId="21702" xr:uid="{00000000-0005-0000-0000-0000CB540000}"/>
    <cellStyle name="40% - Accent5 112 3" xfId="21703" xr:uid="{00000000-0005-0000-0000-0000CC540000}"/>
    <cellStyle name="40% - Accent5 113" xfId="21704" xr:uid="{00000000-0005-0000-0000-0000CD540000}"/>
    <cellStyle name="40% - Accent5 114" xfId="21705" xr:uid="{00000000-0005-0000-0000-0000CE540000}"/>
    <cellStyle name="40% - Accent5 115" xfId="21706" xr:uid="{00000000-0005-0000-0000-0000CF540000}"/>
    <cellStyle name="40% - Accent5 116" xfId="21707" xr:uid="{00000000-0005-0000-0000-0000D0540000}"/>
    <cellStyle name="40% - Accent5 117" xfId="21708" xr:uid="{00000000-0005-0000-0000-0000D1540000}"/>
    <cellStyle name="40% - Accent5 117 2" xfId="21709" xr:uid="{00000000-0005-0000-0000-0000D2540000}"/>
    <cellStyle name="40% - Accent5 117 2 2" xfId="21710" xr:uid="{00000000-0005-0000-0000-0000D3540000}"/>
    <cellStyle name="40% - Accent5 117 3" xfId="21711" xr:uid="{00000000-0005-0000-0000-0000D4540000}"/>
    <cellStyle name="40% - Accent5 118" xfId="21712" xr:uid="{00000000-0005-0000-0000-0000D5540000}"/>
    <cellStyle name="40% - Accent5 118 2" xfId="21713" xr:uid="{00000000-0005-0000-0000-0000D6540000}"/>
    <cellStyle name="40% - Accent5 118 2 2" xfId="21714" xr:uid="{00000000-0005-0000-0000-0000D7540000}"/>
    <cellStyle name="40% - Accent5 118 3" xfId="21715" xr:uid="{00000000-0005-0000-0000-0000D8540000}"/>
    <cellStyle name="40% - Accent5 119" xfId="21716" xr:uid="{00000000-0005-0000-0000-0000D9540000}"/>
    <cellStyle name="40% - Accent5 119 2" xfId="21717" xr:uid="{00000000-0005-0000-0000-0000DA540000}"/>
    <cellStyle name="40% - Accent5 119 2 2" xfId="21718" xr:uid="{00000000-0005-0000-0000-0000DB540000}"/>
    <cellStyle name="40% - Accent5 119 3" xfId="21719" xr:uid="{00000000-0005-0000-0000-0000DC540000}"/>
    <cellStyle name="40% - Accent5 12" xfId="21720" xr:uid="{00000000-0005-0000-0000-0000DD540000}"/>
    <cellStyle name="40% - Accent5 12 2" xfId="21721" xr:uid="{00000000-0005-0000-0000-0000DE540000}"/>
    <cellStyle name="40% - Accent5 12 2 2" xfId="21722" xr:uid="{00000000-0005-0000-0000-0000DF540000}"/>
    <cellStyle name="40% - Accent5 12 3" xfId="21723" xr:uid="{00000000-0005-0000-0000-0000E0540000}"/>
    <cellStyle name="40% - Accent5 120" xfId="21724" xr:uid="{00000000-0005-0000-0000-0000E1540000}"/>
    <cellStyle name="40% - Accent5 120 2" xfId="21725" xr:uid="{00000000-0005-0000-0000-0000E2540000}"/>
    <cellStyle name="40% - Accent5 120 2 2" xfId="21726" xr:uid="{00000000-0005-0000-0000-0000E3540000}"/>
    <cellStyle name="40% - Accent5 120 3" xfId="21727" xr:uid="{00000000-0005-0000-0000-0000E4540000}"/>
    <cellStyle name="40% - Accent5 121" xfId="21728" xr:uid="{00000000-0005-0000-0000-0000E5540000}"/>
    <cellStyle name="40% - Accent5 121 2" xfId="21729" xr:uid="{00000000-0005-0000-0000-0000E6540000}"/>
    <cellStyle name="40% - Accent5 121 2 2" xfId="21730" xr:uid="{00000000-0005-0000-0000-0000E7540000}"/>
    <cellStyle name="40% - Accent5 121 3" xfId="21731" xr:uid="{00000000-0005-0000-0000-0000E8540000}"/>
    <cellStyle name="40% - Accent5 122" xfId="21732" xr:uid="{00000000-0005-0000-0000-0000E9540000}"/>
    <cellStyle name="40% - Accent5 122 2" xfId="21733" xr:uid="{00000000-0005-0000-0000-0000EA540000}"/>
    <cellStyle name="40% - Accent5 122 2 2" xfId="21734" xr:uid="{00000000-0005-0000-0000-0000EB540000}"/>
    <cellStyle name="40% - Accent5 122 3" xfId="21735" xr:uid="{00000000-0005-0000-0000-0000EC540000}"/>
    <cellStyle name="40% - Accent5 123" xfId="21736" xr:uid="{00000000-0005-0000-0000-0000ED540000}"/>
    <cellStyle name="40% - Accent5 123 2" xfId="21737" xr:uid="{00000000-0005-0000-0000-0000EE540000}"/>
    <cellStyle name="40% - Accent5 123 2 2" xfId="21738" xr:uid="{00000000-0005-0000-0000-0000EF540000}"/>
    <cellStyle name="40% - Accent5 123 3" xfId="21739" xr:uid="{00000000-0005-0000-0000-0000F0540000}"/>
    <cellStyle name="40% - Accent5 124" xfId="21740" xr:uid="{00000000-0005-0000-0000-0000F1540000}"/>
    <cellStyle name="40% - Accent5 125" xfId="21741" xr:uid="{00000000-0005-0000-0000-0000F2540000}"/>
    <cellStyle name="40% - Accent5 125 2" xfId="21742" xr:uid="{00000000-0005-0000-0000-0000F3540000}"/>
    <cellStyle name="40% - Accent5 125 2 2" xfId="21743" xr:uid="{00000000-0005-0000-0000-0000F4540000}"/>
    <cellStyle name="40% - Accent5 125 3" xfId="21744" xr:uid="{00000000-0005-0000-0000-0000F5540000}"/>
    <cellStyle name="40% - Accent5 126" xfId="21745" xr:uid="{00000000-0005-0000-0000-0000F6540000}"/>
    <cellStyle name="40% - Accent5 126 2" xfId="21746" xr:uid="{00000000-0005-0000-0000-0000F7540000}"/>
    <cellStyle name="40% - Accent5 126 2 2" xfId="21747" xr:uid="{00000000-0005-0000-0000-0000F8540000}"/>
    <cellStyle name="40% - Accent5 126 3" xfId="21748" xr:uid="{00000000-0005-0000-0000-0000F9540000}"/>
    <cellStyle name="40% - Accent5 127" xfId="21749" xr:uid="{00000000-0005-0000-0000-0000FA540000}"/>
    <cellStyle name="40% - Accent5 127 2" xfId="21750" xr:uid="{00000000-0005-0000-0000-0000FB540000}"/>
    <cellStyle name="40% - Accent5 127 2 2" xfId="21751" xr:uid="{00000000-0005-0000-0000-0000FC540000}"/>
    <cellStyle name="40% - Accent5 127 3" xfId="21752" xr:uid="{00000000-0005-0000-0000-0000FD540000}"/>
    <cellStyle name="40% - Accent5 128" xfId="21753" xr:uid="{00000000-0005-0000-0000-0000FE540000}"/>
    <cellStyle name="40% - Accent5 128 2" xfId="21754" xr:uid="{00000000-0005-0000-0000-0000FF540000}"/>
    <cellStyle name="40% - Accent5 128 2 2" xfId="21755" xr:uid="{00000000-0005-0000-0000-000000550000}"/>
    <cellStyle name="40% - Accent5 128 3" xfId="21756" xr:uid="{00000000-0005-0000-0000-000001550000}"/>
    <cellStyle name="40% - Accent5 129" xfId="21757" xr:uid="{00000000-0005-0000-0000-000002550000}"/>
    <cellStyle name="40% - Accent5 129 2" xfId="21758" xr:uid="{00000000-0005-0000-0000-000003550000}"/>
    <cellStyle name="40% - Accent5 129 2 2" xfId="21759" xr:uid="{00000000-0005-0000-0000-000004550000}"/>
    <cellStyle name="40% - Accent5 129 3" xfId="21760" xr:uid="{00000000-0005-0000-0000-000005550000}"/>
    <cellStyle name="40% - Accent5 13" xfId="21761" xr:uid="{00000000-0005-0000-0000-000006550000}"/>
    <cellStyle name="40% - Accent5 13 2" xfId="21762" xr:uid="{00000000-0005-0000-0000-000007550000}"/>
    <cellStyle name="40% - Accent5 13 2 2" xfId="21763" xr:uid="{00000000-0005-0000-0000-000008550000}"/>
    <cellStyle name="40% - Accent5 13 3" xfId="21764" xr:uid="{00000000-0005-0000-0000-000009550000}"/>
    <cellStyle name="40% - Accent5 130" xfId="21765" xr:uid="{00000000-0005-0000-0000-00000A550000}"/>
    <cellStyle name="40% - Accent5 130 2" xfId="21766" xr:uid="{00000000-0005-0000-0000-00000B550000}"/>
    <cellStyle name="40% - Accent5 130 2 2" xfId="21767" xr:uid="{00000000-0005-0000-0000-00000C550000}"/>
    <cellStyle name="40% - Accent5 130 3" xfId="21768" xr:uid="{00000000-0005-0000-0000-00000D550000}"/>
    <cellStyle name="40% - Accent5 131" xfId="21769" xr:uid="{00000000-0005-0000-0000-00000E550000}"/>
    <cellStyle name="40% - Accent5 131 2" xfId="21770" xr:uid="{00000000-0005-0000-0000-00000F550000}"/>
    <cellStyle name="40% - Accent5 131 2 2" xfId="21771" xr:uid="{00000000-0005-0000-0000-000010550000}"/>
    <cellStyle name="40% - Accent5 131 3" xfId="21772" xr:uid="{00000000-0005-0000-0000-000011550000}"/>
    <cellStyle name="40% - Accent5 132" xfId="21773" xr:uid="{00000000-0005-0000-0000-000012550000}"/>
    <cellStyle name="40% - Accent5 132 2" xfId="21774" xr:uid="{00000000-0005-0000-0000-000013550000}"/>
    <cellStyle name="40% - Accent5 132 2 2" xfId="21775" xr:uid="{00000000-0005-0000-0000-000014550000}"/>
    <cellStyle name="40% - Accent5 132 3" xfId="21776" xr:uid="{00000000-0005-0000-0000-000015550000}"/>
    <cellStyle name="40% - Accent5 133" xfId="21777" xr:uid="{00000000-0005-0000-0000-000016550000}"/>
    <cellStyle name="40% - Accent5 133 2" xfId="21778" xr:uid="{00000000-0005-0000-0000-000017550000}"/>
    <cellStyle name="40% - Accent5 133 2 2" xfId="21779" xr:uid="{00000000-0005-0000-0000-000018550000}"/>
    <cellStyle name="40% - Accent5 133 3" xfId="21780" xr:uid="{00000000-0005-0000-0000-000019550000}"/>
    <cellStyle name="40% - Accent5 134" xfId="21781" xr:uid="{00000000-0005-0000-0000-00001A550000}"/>
    <cellStyle name="40% - Accent5 134 2" xfId="21782" xr:uid="{00000000-0005-0000-0000-00001B550000}"/>
    <cellStyle name="40% - Accent5 135" xfId="21783" xr:uid="{00000000-0005-0000-0000-00001C550000}"/>
    <cellStyle name="40% - Accent5 135 2" xfId="21784" xr:uid="{00000000-0005-0000-0000-00001D550000}"/>
    <cellStyle name="40% - Accent5 136" xfId="21785" xr:uid="{00000000-0005-0000-0000-00001E550000}"/>
    <cellStyle name="40% - Accent5 136 2" xfId="21786" xr:uid="{00000000-0005-0000-0000-00001F550000}"/>
    <cellStyle name="40% - Accent5 137" xfId="21787" xr:uid="{00000000-0005-0000-0000-000020550000}"/>
    <cellStyle name="40% - Accent5 14" xfId="21788" xr:uid="{00000000-0005-0000-0000-000021550000}"/>
    <cellStyle name="40% - Accent5 14 2" xfId="21789" xr:uid="{00000000-0005-0000-0000-000022550000}"/>
    <cellStyle name="40% - Accent5 14 2 2" xfId="21790" xr:uid="{00000000-0005-0000-0000-000023550000}"/>
    <cellStyle name="40% - Accent5 14 3" xfId="21791" xr:uid="{00000000-0005-0000-0000-000024550000}"/>
    <cellStyle name="40% - Accent5 15" xfId="21792" xr:uid="{00000000-0005-0000-0000-000025550000}"/>
    <cellStyle name="40% - Accent5 15 2" xfId="21793" xr:uid="{00000000-0005-0000-0000-000026550000}"/>
    <cellStyle name="40% - Accent5 15 2 2" xfId="21794" xr:uid="{00000000-0005-0000-0000-000027550000}"/>
    <cellStyle name="40% - Accent5 15 3" xfId="21795" xr:uid="{00000000-0005-0000-0000-000028550000}"/>
    <cellStyle name="40% - Accent5 16" xfId="21796" xr:uid="{00000000-0005-0000-0000-000029550000}"/>
    <cellStyle name="40% - Accent5 16 2" xfId="21797" xr:uid="{00000000-0005-0000-0000-00002A550000}"/>
    <cellStyle name="40% - Accent5 17" xfId="21798" xr:uid="{00000000-0005-0000-0000-00002B550000}"/>
    <cellStyle name="40% - Accent5 17 2" xfId="21799" xr:uid="{00000000-0005-0000-0000-00002C550000}"/>
    <cellStyle name="40% - Accent5 18" xfId="21800" xr:uid="{00000000-0005-0000-0000-00002D550000}"/>
    <cellStyle name="40% - Accent5 18 2" xfId="21801" xr:uid="{00000000-0005-0000-0000-00002E550000}"/>
    <cellStyle name="40% - Accent5 19" xfId="21802" xr:uid="{00000000-0005-0000-0000-00002F550000}"/>
    <cellStyle name="40% - Accent5 19 2" xfId="21803" xr:uid="{00000000-0005-0000-0000-000030550000}"/>
    <cellStyle name="40% - Accent5 2" xfId="21804" xr:uid="{00000000-0005-0000-0000-000031550000}"/>
    <cellStyle name="40% - Accent5 2 2" xfId="21805" xr:uid="{00000000-0005-0000-0000-000032550000}"/>
    <cellStyle name="40% - Accent5 2 2 2" xfId="21806" xr:uid="{00000000-0005-0000-0000-000033550000}"/>
    <cellStyle name="40% - Accent5 2 2 2 2" xfId="21807" xr:uid="{00000000-0005-0000-0000-000034550000}"/>
    <cellStyle name="40% - Accent5 2 2 2 2 2" xfId="21808" xr:uid="{00000000-0005-0000-0000-000035550000}"/>
    <cellStyle name="40% - Accent5 2 3" xfId="21809" xr:uid="{00000000-0005-0000-0000-000036550000}"/>
    <cellStyle name="40% - Accent5 2 4" xfId="21810" xr:uid="{00000000-0005-0000-0000-000037550000}"/>
    <cellStyle name="40% - Accent5 2 5" xfId="41048" xr:uid="{00000000-0005-0000-0000-00000A000000}"/>
    <cellStyle name="40% - Accent5 20" xfId="21811" xr:uid="{00000000-0005-0000-0000-000038550000}"/>
    <cellStyle name="40% - Accent5 20 2" xfId="21812" xr:uid="{00000000-0005-0000-0000-000039550000}"/>
    <cellStyle name="40% - Accent5 21" xfId="21813" xr:uid="{00000000-0005-0000-0000-00003A550000}"/>
    <cellStyle name="40% - Accent5 21 2" xfId="21814" xr:uid="{00000000-0005-0000-0000-00003B550000}"/>
    <cellStyle name="40% - Accent5 22" xfId="21815" xr:uid="{00000000-0005-0000-0000-00003C550000}"/>
    <cellStyle name="40% - Accent5 22 2" xfId="21816" xr:uid="{00000000-0005-0000-0000-00003D550000}"/>
    <cellStyle name="40% - Accent5 23" xfId="21817" xr:uid="{00000000-0005-0000-0000-00003E550000}"/>
    <cellStyle name="40% - Accent5 23 2" xfId="21818" xr:uid="{00000000-0005-0000-0000-00003F550000}"/>
    <cellStyle name="40% - Accent5 24" xfId="21819" xr:uid="{00000000-0005-0000-0000-000040550000}"/>
    <cellStyle name="40% - Accent5 24 2" xfId="21820" xr:uid="{00000000-0005-0000-0000-000041550000}"/>
    <cellStyle name="40% - Accent5 25" xfId="21821" xr:uid="{00000000-0005-0000-0000-000042550000}"/>
    <cellStyle name="40% - Accent5 25 2" xfId="21822" xr:uid="{00000000-0005-0000-0000-000043550000}"/>
    <cellStyle name="40% - Accent5 26" xfId="21823" xr:uid="{00000000-0005-0000-0000-000044550000}"/>
    <cellStyle name="40% - Accent5 26 2" xfId="21824" xr:uid="{00000000-0005-0000-0000-000045550000}"/>
    <cellStyle name="40% - Accent5 27" xfId="21825" xr:uid="{00000000-0005-0000-0000-000046550000}"/>
    <cellStyle name="40% - Accent5 27 2" xfId="21826" xr:uid="{00000000-0005-0000-0000-000047550000}"/>
    <cellStyle name="40% - Accent5 28" xfId="21827" xr:uid="{00000000-0005-0000-0000-000048550000}"/>
    <cellStyle name="40% - Accent5 28 2" xfId="21828" xr:uid="{00000000-0005-0000-0000-000049550000}"/>
    <cellStyle name="40% - Accent5 29" xfId="21829" xr:uid="{00000000-0005-0000-0000-00004A550000}"/>
    <cellStyle name="40% - Accent5 29 2" xfId="21830" xr:uid="{00000000-0005-0000-0000-00004B550000}"/>
    <cellStyle name="40% - Accent5 3" xfId="21831" xr:uid="{00000000-0005-0000-0000-00004C550000}"/>
    <cellStyle name="40% - Accent5 3 2" xfId="21832" xr:uid="{00000000-0005-0000-0000-00004D550000}"/>
    <cellStyle name="40% - Accent5 3 2 2" xfId="21833" xr:uid="{00000000-0005-0000-0000-00004E550000}"/>
    <cellStyle name="40% - Accent5 3 3" xfId="21834" xr:uid="{00000000-0005-0000-0000-00004F550000}"/>
    <cellStyle name="40% - Accent5 3 4" xfId="21835" xr:uid="{00000000-0005-0000-0000-000050550000}"/>
    <cellStyle name="40% - Accent5 3 5" xfId="21836" xr:uid="{00000000-0005-0000-0000-000051550000}"/>
    <cellStyle name="40% - Accent5 3_MAR 2009" xfId="21837" xr:uid="{00000000-0005-0000-0000-000052550000}"/>
    <cellStyle name="40% - Accent5 30" xfId="21838" xr:uid="{00000000-0005-0000-0000-000053550000}"/>
    <cellStyle name="40% - Accent5 30 2" xfId="21839" xr:uid="{00000000-0005-0000-0000-000054550000}"/>
    <cellStyle name="40% - Accent5 31" xfId="21840" xr:uid="{00000000-0005-0000-0000-000055550000}"/>
    <cellStyle name="40% - Accent5 31 2" xfId="21841" xr:uid="{00000000-0005-0000-0000-000056550000}"/>
    <cellStyle name="40% - Accent5 32" xfId="21842" xr:uid="{00000000-0005-0000-0000-000057550000}"/>
    <cellStyle name="40% - Accent5 32 2" xfId="21843" xr:uid="{00000000-0005-0000-0000-000058550000}"/>
    <cellStyle name="40% - Accent5 33" xfId="21844" xr:uid="{00000000-0005-0000-0000-000059550000}"/>
    <cellStyle name="40% - Accent5 33 2" xfId="21845" xr:uid="{00000000-0005-0000-0000-00005A550000}"/>
    <cellStyle name="40% - Accent5 34" xfId="21846" xr:uid="{00000000-0005-0000-0000-00005B550000}"/>
    <cellStyle name="40% - Accent5 34 2" xfId="21847" xr:uid="{00000000-0005-0000-0000-00005C550000}"/>
    <cellStyle name="40% - Accent5 35" xfId="21848" xr:uid="{00000000-0005-0000-0000-00005D550000}"/>
    <cellStyle name="40% - Accent5 35 2" xfId="21849" xr:uid="{00000000-0005-0000-0000-00005E550000}"/>
    <cellStyle name="40% - Accent5 36" xfId="21850" xr:uid="{00000000-0005-0000-0000-00005F550000}"/>
    <cellStyle name="40% - Accent5 36 2" xfId="21851" xr:uid="{00000000-0005-0000-0000-000060550000}"/>
    <cellStyle name="40% - Accent5 37" xfId="21852" xr:uid="{00000000-0005-0000-0000-000061550000}"/>
    <cellStyle name="40% - Accent5 37 2" xfId="21853" xr:uid="{00000000-0005-0000-0000-000062550000}"/>
    <cellStyle name="40% - Accent5 38" xfId="21854" xr:uid="{00000000-0005-0000-0000-000063550000}"/>
    <cellStyle name="40% - Accent5 38 2" xfId="21855" xr:uid="{00000000-0005-0000-0000-000064550000}"/>
    <cellStyle name="40% - Accent5 39" xfId="21856" xr:uid="{00000000-0005-0000-0000-000065550000}"/>
    <cellStyle name="40% - Accent5 39 2" xfId="21857" xr:uid="{00000000-0005-0000-0000-000066550000}"/>
    <cellStyle name="40% - Accent5 4" xfId="21858" xr:uid="{00000000-0005-0000-0000-000067550000}"/>
    <cellStyle name="40% - Accent5 4 2" xfId="21859" xr:uid="{00000000-0005-0000-0000-000068550000}"/>
    <cellStyle name="40% - Accent5 4 2 2" xfId="21860" xr:uid="{00000000-0005-0000-0000-000069550000}"/>
    <cellStyle name="40% - Accent5 4 3" xfId="21861" xr:uid="{00000000-0005-0000-0000-00006A550000}"/>
    <cellStyle name="40% - Accent5 40" xfId="21862" xr:uid="{00000000-0005-0000-0000-00006B550000}"/>
    <cellStyle name="40% - Accent5 40 2" xfId="21863" xr:uid="{00000000-0005-0000-0000-00006C550000}"/>
    <cellStyle name="40% - Accent5 41" xfId="21864" xr:uid="{00000000-0005-0000-0000-00006D550000}"/>
    <cellStyle name="40% - Accent5 41 2" xfId="21865" xr:uid="{00000000-0005-0000-0000-00006E550000}"/>
    <cellStyle name="40% - Accent5 42" xfId="21866" xr:uid="{00000000-0005-0000-0000-00006F550000}"/>
    <cellStyle name="40% - Accent5 42 2" xfId="21867" xr:uid="{00000000-0005-0000-0000-000070550000}"/>
    <cellStyle name="40% - Accent5 43" xfId="21868" xr:uid="{00000000-0005-0000-0000-000071550000}"/>
    <cellStyle name="40% - Accent5 43 2" xfId="21869" xr:uid="{00000000-0005-0000-0000-000072550000}"/>
    <cellStyle name="40% - Accent5 44" xfId="21870" xr:uid="{00000000-0005-0000-0000-000073550000}"/>
    <cellStyle name="40% - Accent5 44 2" xfId="21871" xr:uid="{00000000-0005-0000-0000-000074550000}"/>
    <cellStyle name="40% - Accent5 45" xfId="21872" xr:uid="{00000000-0005-0000-0000-000075550000}"/>
    <cellStyle name="40% - Accent5 45 2" xfId="21873" xr:uid="{00000000-0005-0000-0000-000076550000}"/>
    <cellStyle name="40% - Accent5 46" xfId="21874" xr:uid="{00000000-0005-0000-0000-000077550000}"/>
    <cellStyle name="40% - Accent5 46 2" xfId="21875" xr:uid="{00000000-0005-0000-0000-000078550000}"/>
    <cellStyle name="40% - Accent5 47" xfId="21876" xr:uid="{00000000-0005-0000-0000-000079550000}"/>
    <cellStyle name="40% - Accent5 47 2" xfId="21877" xr:uid="{00000000-0005-0000-0000-00007A550000}"/>
    <cellStyle name="40% - Accent5 48" xfId="21878" xr:uid="{00000000-0005-0000-0000-00007B550000}"/>
    <cellStyle name="40% - Accent5 48 2" xfId="21879" xr:uid="{00000000-0005-0000-0000-00007C550000}"/>
    <cellStyle name="40% - Accent5 49" xfId="21880" xr:uid="{00000000-0005-0000-0000-00007D550000}"/>
    <cellStyle name="40% - Accent5 49 2" xfId="21881" xr:uid="{00000000-0005-0000-0000-00007E550000}"/>
    <cellStyle name="40% - Accent5 5" xfId="21882" xr:uid="{00000000-0005-0000-0000-00007F550000}"/>
    <cellStyle name="40% - Accent5 5 2" xfId="21883" xr:uid="{00000000-0005-0000-0000-000080550000}"/>
    <cellStyle name="40% - Accent5 5 2 2" xfId="21884" xr:uid="{00000000-0005-0000-0000-000081550000}"/>
    <cellStyle name="40% - Accent5 5 3" xfId="21885" xr:uid="{00000000-0005-0000-0000-000082550000}"/>
    <cellStyle name="40% - Accent5 50" xfId="21886" xr:uid="{00000000-0005-0000-0000-000083550000}"/>
    <cellStyle name="40% - Accent5 50 2" xfId="21887" xr:uid="{00000000-0005-0000-0000-000084550000}"/>
    <cellStyle name="40% - Accent5 51" xfId="21888" xr:uid="{00000000-0005-0000-0000-000085550000}"/>
    <cellStyle name="40% - Accent5 51 2" xfId="21889" xr:uid="{00000000-0005-0000-0000-000086550000}"/>
    <cellStyle name="40% - Accent5 52" xfId="21890" xr:uid="{00000000-0005-0000-0000-000087550000}"/>
    <cellStyle name="40% - Accent5 52 2" xfId="21891" xr:uid="{00000000-0005-0000-0000-000088550000}"/>
    <cellStyle name="40% - Accent5 53" xfId="21892" xr:uid="{00000000-0005-0000-0000-000089550000}"/>
    <cellStyle name="40% - Accent5 53 2" xfId="21893" xr:uid="{00000000-0005-0000-0000-00008A550000}"/>
    <cellStyle name="40% - Accent5 54" xfId="21894" xr:uid="{00000000-0005-0000-0000-00008B550000}"/>
    <cellStyle name="40% - Accent5 54 2" xfId="21895" xr:uid="{00000000-0005-0000-0000-00008C550000}"/>
    <cellStyle name="40% - Accent5 55" xfId="21896" xr:uid="{00000000-0005-0000-0000-00008D550000}"/>
    <cellStyle name="40% - Accent5 55 2" xfId="21897" xr:uid="{00000000-0005-0000-0000-00008E550000}"/>
    <cellStyle name="40% - Accent5 56" xfId="21898" xr:uid="{00000000-0005-0000-0000-00008F550000}"/>
    <cellStyle name="40% - Accent5 56 2" xfId="21899" xr:uid="{00000000-0005-0000-0000-000090550000}"/>
    <cellStyle name="40% - Accent5 57" xfId="21900" xr:uid="{00000000-0005-0000-0000-000091550000}"/>
    <cellStyle name="40% - Accent5 57 2" xfId="21901" xr:uid="{00000000-0005-0000-0000-000092550000}"/>
    <cellStyle name="40% - Accent5 58" xfId="21902" xr:uid="{00000000-0005-0000-0000-000093550000}"/>
    <cellStyle name="40% - Accent5 58 2" xfId="21903" xr:uid="{00000000-0005-0000-0000-000094550000}"/>
    <cellStyle name="40% - Accent5 59" xfId="21904" xr:uid="{00000000-0005-0000-0000-000095550000}"/>
    <cellStyle name="40% - Accent5 59 2" xfId="21905" xr:uid="{00000000-0005-0000-0000-000096550000}"/>
    <cellStyle name="40% - Accent5 6" xfId="21906" xr:uid="{00000000-0005-0000-0000-000097550000}"/>
    <cellStyle name="40% - Accent5 6 2" xfId="21907" xr:uid="{00000000-0005-0000-0000-000098550000}"/>
    <cellStyle name="40% - Accent5 6 2 2" xfId="21908" xr:uid="{00000000-0005-0000-0000-000099550000}"/>
    <cellStyle name="40% - Accent5 6 3" xfId="21909" xr:uid="{00000000-0005-0000-0000-00009A550000}"/>
    <cellStyle name="40% - Accent5 60" xfId="21910" xr:uid="{00000000-0005-0000-0000-00009B550000}"/>
    <cellStyle name="40% - Accent5 60 2" xfId="21911" xr:uid="{00000000-0005-0000-0000-00009C550000}"/>
    <cellStyle name="40% - Accent5 61" xfId="21912" xr:uid="{00000000-0005-0000-0000-00009D550000}"/>
    <cellStyle name="40% - Accent5 61 2" xfId="21913" xr:uid="{00000000-0005-0000-0000-00009E550000}"/>
    <cellStyle name="40% - Accent5 62" xfId="21914" xr:uid="{00000000-0005-0000-0000-00009F550000}"/>
    <cellStyle name="40% - Accent5 62 2" xfId="21915" xr:uid="{00000000-0005-0000-0000-0000A0550000}"/>
    <cellStyle name="40% - Accent5 63" xfId="21916" xr:uid="{00000000-0005-0000-0000-0000A1550000}"/>
    <cellStyle name="40% - Accent5 63 2" xfId="21917" xr:uid="{00000000-0005-0000-0000-0000A2550000}"/>
    <cellStyle name="40% - Accent5 64" xfId="21918" xr:uid="{00000000-0005-0000-0000-0000A3550000}"/>
    <cellStyle name="40% - Accent5 64 2" xfId="21919" xr:uid="{00000000-0005-0000-0000-0000A4550000}"/>
    <cellStyle name="40% - Accent5 65" xfId="21920" xr:uid="{00000000-0005-0000-0000-0000A5550000}"/>
    <cellStyle name="40% - Accent5 65 2" xfId="21921" xr:uid="{00000000-0005-0000-0000-0000A6550000}"/>
    <cellStyle name="40% - Accent5 66" xfId="21922" xr:uid="{00000000-0005-0000-0000-0000A7550000}"/>
    <cellStyle name="40% - Accent5 66 2" xfId="21923" xr:uid="{00000000-0005-0000-0000-0000A8550000}"/>
    <cellStyle name="40% - Accent5 67" xfId="21924" xr:uid="{00000000-0005-0000-0000-0000A9550000}"/>
    <cellStyle name="40% - Accent5 67 2" xfId="21925" xr:uid="{00000000-0005-0000-0000-0000AA550000}"/>
    <cellStyle name="40% - Accent5 68" xfId="21926" xr:uid="{00000000-0005-0000-0000-0000AB550000}"/>
    <cellStyle name="40% - Accent5 68 2" xfId="21927" xr:uid="{00000000-0005-0000-0000-0000AC550000}"/>
    <cellStyle name="40% - Accent5 69" xfId="21928" xr:uid="{00000000-0005-0000-0000-0000AD550000}"/>
    <cellStyle name="40% - Accent5 69 2" xfId="21929" xr:uid="{00000000-0005-0000-0000-0000AE550000}"/>
    <cellStyle name="40% - Accent5 7" xfId="21930" xr:uid="{00000000-0005-0000-0000-0000AF550000}"/>
    <cellStyle name="40% - Accent5 7 2" xfId="21931" xr:uid="{00000000-0005-0000-0000-0000B0550000}"/>
    <cellStyle name="40% - Accent5 7 2 2" xfId="21932" xr:uid="{00000000-0005-0000-0000-0000B1550000}"/>
    <cellStyle name="40% - Accent5 7 3" xfId="21933" xr:uid="{00000000-0005-0000-0000-0000B2550000}"/>
    <cellStyle name="40% - Accent5 7 4" xfId="21934" xr:uid="{00000000-0005-0000-0000-0000B3550000}"/>
    <cellStyle name="40% - Accent5 70" xfId="21935" xr:uid="{00000000-0005-0000-0000-0000B4550000}"/>
    <cellStyle name="40% - Accent5 70 2" xfId="21936" xr:uid="{00000000-0005-0000-0000-0000B5550000}"/>
    <cellStyle name="40% - Accent5 71" xfId="21937" xr:uid="{00000000-0005-0000-0000-0000B6550000}"/>
    <cellStyle name="40% - Accent5 71 2" xfId="21938" xr:uid="{00000000-0005-0000-0000-0000B7550000}"/>
    <cellStyle name="40% - Accent5 72" xfId="21939" xr:uid="{00000000-0005-0000-0000-0000B8550000}"/>
    <cellStyle name="40% - Accent5 72 2" xfId="21940" xr:uid="{00000000-0005-0000-0000-0000B9550000}"/>
    <cellStyle name="40% - Accent5 73" xfId="21941" xr:uid="{00000000-0005-0000-0000-0000BA550000}"/>
    <cellStyle name="40% - Accent5 73 10" xfId="21942" xr:uid="{00000000-0005-0000-0000-0000BB550000}"/>
    <cellStyle name="40% - Accent5 73 10 2" xfId="21943" xr:uid="{00000000-0005-0000-0000-0000BC550000}"/>
    <cellStyle name="40% - Accent5 73 10 2 2" xfId="21944" xr:uid="{00000000-0005-0000-0000-0000BD550000}"/>
    <cellStyle name="40% - Accent5 73 10 3" xfId="21945" xr:uid="{00000000-0005-0000-0000-0000BE550000}"/>
    <cellStyle name="40% - Accent5 73 11" xfId="21946" xr:uid="{00000000-0005-0000-0000-0000BF550000}"/>
    <cellStyle name="40% - Accent5 73 11 2" xfId="21947" xr:uid="{00000000-0005-0000-0000-0000C0550000}"/>
    <cellStyle name="40% - Accent5 73 11 2 2" xfId="21948" xr:uid="{00000000-0005-0000-0000-0000C1550000}"/>
    <cellStyle name="40% - Accent5 73 11 3" xfId="21949" xr:uid="{00000000-0005-0000-0000-0000C2550000}"/>
    <cellStyle name="40% - Accent5 73 12" xfId="21950" xr:uid="{00000000-0005-0000-0000-0000C3550000}"/>
    <cellStyle name="40% - Accent5 73 12 2" xfId="21951" xr:uid="{00000000-0005-0000-0000-0000C4550000}"/>
    <cellStyle name="40% - Accent5 73 12 2 2" xfId="21952" xr:uid="{00000000-0005-0000-0000-0000C5550000}"/>
    <cellStyle name="40% - Accent5 73 12 3" xfId="21953" xr:uid="{00000000-0005-0000-0000-0000C6550000}"/>
    <cellStyle name="40% - Accent5 73 13" xfId="21954" xr:uid="{00000000-0005-0000-0000-0000C7550000}"/>
    <cellStyle name="40% - Accent5 73 13 2" xfId="21955" xr:uid="{00000000-0005-0000-0000-0000C8550000}"/>
    <cellStyle name="40% - Accent5 73 13 2 2" xfId="21956" xr:uid="{00000000-0005-0000-0000-0000C9550000}"/>
    <cellStyle name="40% - Accent5 73 13 3" xfId="21957" xr:uid="{00000000-0005-0000-0000-0000CA550000}"/>
    <cellStyle name="40% - Accent5 73 14" xfId="21958" xr:uid="{00000000-0005-0000-0000-0000CB550000}"/>
    <cellStyle name="40% - Accent5 73 14 2" xfId="21959" xr:uid="{00000000-0005-0000-0000-0000CC550000}"/>
    <cellStyle name="40% - Accent5 73 14 2 2" xfId="21960" xr:uid="{00000000-0005-0000-0000-0000CD550000}"/>
    <cellStyle name="40% - Accent5 73 14 3" xfId="21961" xr:uid="{00000000-0005-0000-0000-0000CE550000}"/>
    <cellStyle name="40% - Accent5 73 15" xfId="21962" xr:uid="{00000000-0005-0000-0000-0000CF550000}"/>
    <cellStyle name="40% - Accent5 73 15 2" xfId="21963" xr:uid="{00000000-0005-0000-0000-0000D0550000}"/>
    <cellStyle name="40% - Accent5 73 15 2 2" xfId="21964" xr:uid="{00000000-0005-0000-0000-0000D1550000}"/>
    <cellStyle name="40% - Accent5 73 15 3" xfId="21965" xr:uid="{00000000-0005-0000-0000-0000D2550000}"/>
    <cellStyle name="40% - Accent5 73 16" xfId="21966" xr:uid="{00000000-0005-0000-0000-0000D3550000}"/>
    <cellStyle name="40% - Accent5 73 16 2" xfId="21967" xr:uid="{00000000-0005-0000-0000-0000D4550000}"/>
    <cellStyle name="40% - Accent5 73 16 2 2" xfId="21968" xr:uid="{00000000-0005-0000-0000-0000D5550000}"/>
    <cellStyle name="40% - Accent5 73 16 3" xfId="21969" xr:uid="{00000000-0005-0000-0000-0000D6550000}"/>
    <cellStyle name="40% - Accent5 73 17" xfId="21970" xr:uid="{00000000-0005-0000-0000-0000D7550000}"/>
    <cellStyle name="40% - Accent5 73 17 2" xfId="21971" xr:uid="{00000000-0005-0000-0000-0000D8550000}"/>
    <cellStyle name="40% - Accent5 73 17 2 2" xfId="21972" xr:uid="{00000000-0005-0000-0000-0000D9550000}"/>
    <cellStyle name="40% - Accent5 73 17 3" xfId="21973" xr:uid="{00000000-0005-0000-0000-0000DA550000}"/>
    <cellStyle name="40% - Accent5 73 18" xfId="21974" xr:uid="{00000000-0005-0000-0000-0000DB550000}"/>
    <cellStyle name="40% - Accent5 73 18 2" xfId="21975" xr:uid="{00000000-0005-0000-0000-0000DC550000}"/>
    <cellStyle name="40% - Accent5 73 18 2 2" xfId="21976" xr:uid="{00000000-0005-0000-0000-0000DD550000}"/>
    <cellStyle name="40% - Accent5 73 18 3" xfId="21977" xr:uid="{00000000-0005-0000-0000-0000DE550000}"/>
    <cellStyle name="40% - Accent5 73 19" xfId="21978" xr:uid="{00000000-0005-0000-0000-0000DF550000}"/>
    <cellStyle name="40% - Accent5 73 19 2" xfId="21979" xr:uid="{00000000-0005-0000-0000-0000E0550000}"/>
    <cellStyle name="40% - Accent5 73 19 2 2" xfId="21980" xr:uid="{00000000-0005-0000-0000-0000E1550000}"/>
    <cellStyle name="40% - Accent5 73 19 3" xfId="21981" xr:uid="{00000000-0005-0000-0000-0000E2550000}"/>
    <cellStyle name="40% - Accent5 73 2" xfId="21982" xr:uid="{00000000-0005-0000-0000-0000E3550000}"/>
    <cellStyle name="40% - Accent5 73 2 2" xfId="21983" xr:uid="{00000000-0005-0000-0000-0000E4550000}"/>
    <cellStyle name="40% - Accent5 73 2 2 2" xfId="21984" xr:uid="{00000000-0005-0000-0000-0000E5550000}"/>
    <cellStyle name="40% - Accent5 73 2 3" xfId="21985" xr:uid="{00000000-0005-0000-0000-0000E6550000}"/>
    <cellStyle name="40% - Accent5 73 20" xfId="21986" xr:uid="{00000000-0005-0000-0000-0000E7550000}"/>
    <cellStyle name="40% - Accent5 73 20 2" xfId="21987" xr:uid="{00000000-0005-0000-0000-0000E8550000}"/>
    <cellStyle name="40% - Accent5 73 20 2 2" xfId="21988" xr:uid="{00000000-0005-0000-0000-0000E9550000}"/>
    <cellStyle name="40% - Accent5 73 20 3" xfId="21989" xr:uid="{00000000-0005-0000-0000-0000EA550000}"/>
    <cellStyle name="40% - Accent5 73 21" xfId="21990" xr:uid="{00000000-0005-0000-0000-0000EB550000}"/>
    <cellStyle name="40% - Accent5 73 21 2" xfId="21991" xr:uid="{00000000-0005-0000-0000-0000EC550000}"/>
    <cellStyle name="40% - Accent5 73 21 2 2" xfId="21992" xr:uid="{00000000-0005-0000-0000-0000ED550000}"/>
    <cellStyle name="40% - Accent5 73 21 3" xfId="21993" xr:uid="{00000000-0005-0000-0000-0000EE550000}"/>
    <cellStyle name="40% - Accent5 73 22" xfId="21994" xr:uid="{00000000-0005-0000-0000-0000EF550000}"/>
    <cellStyle name="40% - Accent5 73 22 2" xfId="21995" xr:uid="{00000000-0005-0000-0000-0000F0550000}"/>
    <cellStyle name="40% - Accent5 73 22 2 2" xfId="21996" xr:uid="{00000000-0005-0000-0000-0000F1550000}"/>
    <cellStyle name="40% - Accent5 73 22 3" xfId="21997" xr:uid="{00000000-0005-0000-0000-0000F2550000}"/>
    <cellStyle name="40% - Accent5 73 23" xfId="21998" xr:uid="{00000000-0005-0000-0000-0000F3550000}"/>
    <cellStyle name="40% - Accent5 73 23 2" xfId="21999" xr:uid="{00000000-0005-0000-0000-0000F4550000}"/>
    <cellStyle name="40% - Accent5 73 23 2 2" xfId="22000" xr:uid="{00000000-0005-0000-0000-0000F5550000}"/>
    <cellStyle name="40% - Accent5 73 23 3" xfId="22001" xr:uid="{00000000-0005-0000-0000-0000F6550000}"/>
    <cellStyle name="40% - Accent5 73 24" xfId="22002" xr:uid="{00000000-0005-0000-0000-0000F7550000}"/>
    <cellStyle name="40% - Accent5 73 24 2" xfId="22003" xr:uid="{00000000-0005-0000-0000-0000F8550000}"/>
    <cellStyle name="40% - Accent5 73 24 2 2" xfId="22004" xr:uid="{00000000-0005-0000-0000-0000F9550000}"/>
    <cellStyle name="40% - Accent5 73 24 3" xfId="22005" xr:uid="{00000000-0005-0000-0000-0000FA550000}"/>
    <cellStyle name="40% - Accent5 73 25" xfId="22006" xr:uid="{00000000-0005-0000-0000-0000FB550000}"/>
    <cellStyle name="40% - Accent5 73 25 2" xfId="22007" xr:uid="{00000000-0005-0000-0000-0000FC550000}"/>
    <cellStyle name="40% - Accent5 73 25 2 2" xfId="22008" xr:uid="{00000000-0005-0000-0000-0000FD550000}"/>
    <cellStyle name="40% - Accent5 73 25 3" xfId="22009" xr:uid="{00000000-0005-0000-0000-0000FE550000}"/>
    <cellStyle name="40% - Accent5 73 26" xfId="22010" xr:uid="{00000000-0005-0000-0000-0000FF550000}"/>
    <cellStyle name="40% - Accent5 73 26 2" xfId="22011" xr:uid="{00000000-0005-0000-0000-000000560000}"/>
    <cellStyle name="40% - Accent5 73 26 2 2" xfId="22012" xr:uid="{00000000-0005-0000-0000-000001560000}"/>
    <cellStyle name="40% - Accent5 73 26 3" xfId="22013" xr:uid="{00000000-0005-0000-0000-000002560000}"/>
    <cellStyle name="40% - Accent5 73 27" xfId="22014" xr:uid="{00000000-0005-0000-0000-000003560000}"/>
    <cellStyle name="40% - Accent5 73 27 2" xfId="22015" xr:uid="{00000000-0005-0000-0000-000004560000}"/>
    <cellStyle name="40% - Accent5 73 27 2 2" xfId="22016" xr:uid="{00000000-0005-0000-0000-000005560000}"/>
    <cellStyle name="40% - Accent5 73 27 3" xfId="22017" xr:uid="{00000000-0005-0000-0000-000006560000}"/>
    <cellStyle name="40% - Accent5 73 28" xfId="22018" xr:uid="{00000000-0005-0000-0000-000007560000}"/>
    <cellStyle name="40% - Accent5 73 28 2" xfId="22019" xr:uid="{00000000-0005-0000-0000-000008560000}"/>
    <cellStyle name="40% - Accent5 73 28 2 2" xfId="22020" xr:uid="{00000000-0005-0000-0000-000009560000}"/>
    <cellStyle name="40% - Accent5 73 28 3" xfId="22021" xr:uid="{00000000-0005-0000-0000-00000A560000}"/>
    <cellStyle name="40% - Accent5 73 29" xfId="22022" xr:uid="{00000000-0005-0000-0000-00000B560000}"/>
    <cellStyle name="40% - Accent5 73 29 2" xfId="22023" xr:uid="{00000000-0005-0000-0000-00000C560000}"/>
    <cellStyle name="40% - Accent5 73 29 2 2" xfId="22024" xr:uid="{00000000-0005-0000-0000-00000D560000}"/>
    <cellStyle name="40% - Accent5 73 29 3" xfId="22025" xr:uid="{00000000-0005-0000-0000-00000E560000}"/>
    <cellStyle name="40% - Accent5 73 3" xfId="22026" xr:uid="{00000000-0005-0000-0000-00000F560000}"/>
    <cellStyle name="40% - Accent5 73 3 2" xfId="22027" xr:uid="{00000000-0005-0000-0000-000010560000}"/>
    <cellStyle name="40% - Accent5 73 3 2 2" xfId="22028" xr:uid="{00000000-0005-0000-0000-000011560000}"/>
    <cellStyle name="40% - Accent5 73 3 3" xfId="22029" xr:uid="{00000000-0005-0000-0000-000012560000}"/>
    <cellStyle name="40% - Accent5 73 30" xfId="22030" xr:uid="{00000000-0005-0000-0000-000013560000}"/>
    <cellStyle name="40% - Accent5 73 30 2" xfId="22031" xr:uid="{00000000-0005-0000-0000-000014560000}"/>
    <cellStyle name="40% - Accent5 73 30 2 2" xfId="22032" xr:uid="{00000000-0005-0000-0000-000015560000}"/>
    <cellStyle name="40% - Accent5 73 30 3" xfId="22033" xr:uid="{00000000-0005-0000-0000-000016560000}"/>
    <cellStyle name="40% - Accent5 73 31" xfId="22034" xr:uid="{00000000-0005-0000-0000-000017560000}"/>
    <cellStyle name="40% - Accent5 73 31 2" xfId="22035" xr:uid="{00000000-0005-0000-0000-000018560000}"/>
    <cellStyle name="40% - Accent5 73 31 2 2" xfId="22036" xr:uid="{00000000-0005-0000-0000-000019560000}"/>
    <cellStyle name="40% - Accent5 73 31 3" xfId="22037" xr:uid="{00000000-0005-0000-0000-00001A560000}"/>
    <cellStyle name="40% - Accent5 73 32" xfId="22038" xr:uid="{00000000-0005-0000-0000-00001B560000}"/>
    <cellStyle name="40% - Accent5 73 32 2" xfId="22039" xr:uid="{00000000-0005-0000-0000-00001C560000}"/>
    <cellStyle name="40% - Accent5 73 32 2 2" xfId="22040" xr:uid="{00000000-0005-0000-0000-00001D560000}"/>
    <cellStyle name="40% - Accent5 73 32 3" xfId="22041" xr:uid="{00000000-0005-0000-0000-00001E560000}"/>
    <cellStyle name="40% - Accent5 73 33" xfId="22042" xr:uid="{00000000-0005-0000-0000-00001F560000}"/>
    <cellStyle name="40% - Accent5 73 33 2" xfId="22043" xr:uid="{00000000-0005-0000-0000-000020560000}"/>
    <cellStyle name="40% - Accent5 73 33 2 2" xfId="22044" xr:uid="{00000000-0005-0000-0000-000021560000}"/>
    <cellStyle name="40% - Accent5 73 33 3" xfId="22045" xr:uid="{00000000-0005-0000-0000-000022560000}"/>
    <cellStyle name="40% - Accent5 73 34" xfId="22046" xr:uid="{00000000-0005-0000-0000-000023560000}"/>
    <cellStyle name="40% - Accent5 73 34 2" xfId="22047" xr:uid="{00000000-0005-0000-0000-000024560000}"/>
    <cellStyle name="40% - Accent5 73 34 2 2" xfId="22048" xr:uid="{00000000-0005-0000-0000-000025560000}"/>
    <cellStyle name="40% - Accent5 73 34 3" xfId="22049" xr:uid="{00000000-0005-0000-0000-000026560000}"/>
    <cellStyle name="40% - Accent5 73 35" xfId="22050" xr:uid="{00000000-0005-0000-0000-000027560000}"/>
    <cellStyle name="40% - Accent5 73 35 2" xfId="22051" xr:uid="{00000000-0005-0000-0000-000028560000}"/>
    <cellStyle name="40% - Accent5 73 35 2 2" xfId="22052" xr:uid="{00000000-0005-0000-0000-000029560000}"/>
    <cellStyle name="40% - Accent5 73 35 3" xfId="22053" xr:uid="{00000000-0005-0000-0000-00002A560000}"/>
    <cellStyle name="40% - Accent5 73 36" xfId="22054" xr:uid="{00000000-0005-0000-0000-00002B560000}"/>
    <cellStyle name="40% - Accent5 73 36 2" xfId="22055" xr:uid="{00000000-0005-0000-0000-00002C560000}"/>
    <cellStyle name="40% - Accent5 73 36 2 2" xfId="22056" xr:uid="{00000000-0005-0000-0000-00002D560000}"/>
    <cellStyle name="40% - Accent5 73 36 3" xfId="22057" xr:uid="{00000000-0005-0000-0000-00002E560000}"/>
    <cellStyle name="40% - Accent5 73 4" xfId="22058" xr:uid="{00000000-0005-0000-0000-00002F560000}"/>
    <cellStyle name="40% - Accent5 73 4 2" xfId="22059" xr:uid="{00000000-0005-0000-0000-000030560000}"/>
    <cellStyle name="40% - Accent5 73 4 2 2" xfId="22060" xr:uid="{00000000-0005-0000-0000-000031560000}"/>
    <cellStyle name="40% - Accent5 73 4 3" xfId="22061" xr:uid="{00000000-0005-0000-0000-000032560000}"/>
    <cellStyle name="40% - Accent5 73 5" xfId="22062" xr:uid="{00000000-0005-0000-0000-000033560000}"/>
    <cellStyle name="40% - Accent5 73 5 2" xfId="22063" xr:uid="{00000000-0005-0000-0000-000034560000}"/>
    <cellStyle name="40% - Accent5 73 5 2 2" xfId="22064" xr:uid="{00000000-0005-0000-0000-000035560000}"/>
    <cellStyle name="40% - Accent5 73 5 3" xfId="22065" xr:uid="{00000000-0005-0000-0000-000036560000}"/>
    <cellStyle name="40% - Accent5 73 6" xfId="22066" xr:uid="{00000000-0005-0000-0000-000037560000}"/>
    <cellStyle name="40% - Accent5 73 6 2" xfId="22067" xr:uid="{00000000-0005-0000-0000-000038560000}"/>
    <cellStyle name="40% - Accent5 73 6 2 2" xfId="22068" xr:uid="{00000000-0005-0000-0000-000039560000}"/>
    <cellStyle name="40% - Accent5 73 6 3" xfId="22069" xr:uid="{00000000-0005-0000-0000-00003A560000}"/>
    <cellStyle name="40% - Accent5 73 7" xfId="22070" xr:uid="{00000000-0005-0000-0000-00003B560000}"/>
    <cellStyle name="40% - Accent5 73 7 2" xfId="22071" xr:uid="{00000000-0005-0000-0000-00003C560000}"/>
    <cellStyle name="40% - Accent5 73 7 2 2" xfId="22072" xr:uid="{00000000-0005-0000-0000-00003D560000}"/>
    <cellStyle name="40% - Accent5 73 7 3" xfId="22073" xr:uid="{00000000-0005-0000-0000-00003E560000}"/>
    <cellStyle name="40% - Accent5 73 8" xfId="22074" xr:uid="{00000000-0005-0000-0000-00003F560000}"/>
    <cellStyle name="40% - Accent5 73 8 2" xfId="22075" xr:uid="{00000000-0005-0000-0000-000040560000}"/>
    <cellStyle name="40% - Accent5 73 8 2 2" xfId="22076" xr:uid="{00000000-0005-0000-0000-000041560000}"/>
    <cellStyle name="40% - Accent5 73 8 3" xfId="22077" xr:uid="{00000000-0005-0000-0000-000042560000}"/>
    <cellStyle name="40% - Accent5 73 9" xfId="22078" xr:uid="{00000000-0005-0000-0000-000043560000}"/>
    <cellStyle name="40% - Accent5 73 9 2" xfId="22079" xr:uid="{00000000-0005-0000-0000-000044560000}"/>
    <cellStyle name="40% - Accent5 73 9 2 2" xfId="22080" xr:uid="{00000000-0005-0000-0000-000045560000}"/>
    <cellStyle name="40% - Accent5 73 9 3" xfId="22081" xr:uid="{00000000-0005-0000-0000-000046560000}"/>
    <cellStyle name="40% - Accent5 74" xfId="22082" xr:uid="{00000000-0005-0000-0000-000047560000}"/>
    <cellStyle name="40% - Accent5 74 10" xfId="22083" xr:uid="{00000000-0005-0000-0000-000048560000}"/>
    <cellStyle name="40% - Accent5 74 10 2" xfId="22084" xr:uid="{00000000-0005-0000-0000-000049560000}"/>
    <cellStyle name="40% - Accent5 74 10 2 2" xfId="22085" xr:uid="{00000000-0005-0000-0000-00004A560000}"/>
    <cellStyle name="40% - Accent5 74 10 3" xfId="22086" xr:uid="{00000000-0005-0000-0000-00004B560000}"/>
    <cellStyle name="40% - Accent5 74 11" xfId="22087" xr:uid="{00000000-0005-0000-0000-00004C560000}"/>
    <cellStyle name="40% - Accent5 74 11 2" xfId="22088" xr:uid="{00000000-0005-0000-0000-00004D560000}"/>
    <cellStyle name="40% - Accent5 74 11 2 2" xfId="22089" xr:uid="{00000000-0005-0000-0000-00004E560000}"/>
    <cellStyle name="40% - Accent5 74 11 3" xfId="22090" xr:uid="{00000000-0005-0000-0000-00004F560000}"/>
    <cellStyle name="40% - Accent5 74 12" xfId="22091" xr:uid="{00000000-0005-0000-0000-000050560000}"/>
    <cellStyle name="40% - Accent5 74 12 2" xfId="22092" xr:uid="{00000000-0005-0000-0000-000051560000}"/>
    <cellStyle name="40% - Accent5 74 12 2 2" xfId="22093" xr:uid="{00000000-0005-0000-0000-000052560000}"/>
    <cellStyle name="40% - Accent5 74 12 3" xfId="22094" xr:uid="{00000000-0005-0000-0000-000053560000}"/>
    <cellStyle name="40% - Accent5 74 13" xfId="22095" xr:uid="{00000000-0005-0000-0000-000054560000}"/>
    <cellStyle name="40% - Accent5 74 13 2" xfId="22096" xr:uid="{00000000-0005-0000-0000-000055560000}"/>
    <cellStyle name="40% - Accent5 74 13 2 2" xfId="22097" xr:uid="{00000000-0005-0000-0000-000056560000}"/>
    <cellStyle name="40% - Accent5 74 13 3" xfId="22098" xr:uid="{00000000-0005-0000-0000-000057560000}"/>
    <cellStyle name="40% - Accent5 74 14" xfId="22099" xr:uid="{00000000-0005-0000-0000-000058560000}"/>
    <cellStyle name="40% - Accent5 74 14 2" xfId="22100" xr:uid="{00000000-0005-0000-0000-000059560000}"/>
    <cellStyle name="40% - Accent5 74 14 2 2" xfId="22101" xr:uid="{00000000-0005-0000-0000-00005A560000}"/>
    <cellStyle name="40% - Accent5 74 14 3" xfId="22102" xr:uid="{00000000-0005-0000-0000-00005B560000}"/>
    <cellStyle name="40% - Accent5 74 15" xfId="22103" xr:uid="{00000000-0005-0000-0000-00005C560000}"/>
    <cellStyle name="40% - Accent5 74 15 2" xfId="22104" xr:uid="{00000000-0005-0000-0000-00005D560000}"/>
    <cellStyle name="40% - Accent5 74 15 2 2" xfId="22105" xr:uid="{00000000-0005-0000-0000-00005E560000}"/>
    <cellStyle name="40% - Accent5 74 15 3" xfId="22106" xr:uid="{00000000-0005-0000-0000-00005F560000}"/>
    <cellStyle name="40% - Accent5 74 16" xfId="22107" xr:uid="{00000000-0005-0000-0000-000060560000}"/>
    <cellStyle name="40% - Accent5 74 16 2" xfId="22108" xr:uid="{00000000-0005-0000-0000-000061560000}"/>
    <cellStyle name="40% - Accent5 74 16 2 2" xfId="22109" xr:uid="{00000000-0005-0000-0000-000062560000}"/>
    <cellStyle name="40% - Accent5 74 16 3" xfId="22110" xr:uid="{00000000-0005-0000-0000-000063560000}"/>
    <cellStyle name="40% - Accent5 74 17" xfId="22111" xr:uid="{00000000-0005-0000-0000-000064560000}"/>
    <cellStyle name="40% - Accent5 74 17 2" xfId="22112" xr:uid="{00000000-0005-0000-0000-000065560000}"/>
    <cellStyle name="40% - Accent5 74 17 2 2" xfId="22113" xr:uid="{00000000-0005-0000-0000-000066560000}"/>
    <cellStyle name="40% - Accent5 74 17 3" xfId="22114" xr:uid="{00000000-0005-0000-0000-000067560000}"/>
    <cellStyle name="40% - Accent5 74 18" xfId="22115" xr:uid="{00000000-0005-0000-0000-000068560000}"/>
    <cellStyle name="40% - Accent5 74 18 2" xfId="22116" xr:uid="{00000000-0005-0000-0000-000069560000}"/>
    <cellStyle name="40% - Accent5 74 18 2 2" xfId="22117" xr:uid="{00000000-0005-0000-0000-00006A560000}"/>
    <cellStyle name="40% - Accent5 74 18 3" xfId="22118" xr:uid="{00000000-0005-0000-0000-00006B560000}"/>
    <cellStyle name="40% - Accent5 74 19" xfId="22119" xr:uid="{00000000-0005-0000-0000-00006C560000}"/>
    <cellStyle name="40% - Accent5 74 19 2" xfId="22120" xr:uid="{00000000-0005-0000-0000-00006D560000}"/>
    <cellStyle name="40% - Accent5 74 19 2 2" xfId="22121" xr:uid="{00000000-0005-0000-0000-00006E560000}"/>
    <cellStyle name="40% - Accent5 74 19 3" xfId="22122" xr:uid="{00000000-0005-0000-0000-00006F560000}"/>
    <cellStyle name="40% - Accent5 74 2" xfId="22123" xr:uid="{00000000-0005-0000-0000-000070560000}"/>
    <cellStyle name="40% - Accent5 74 2 2" xfId="22124" xr:uid="{00000000-0005-0000-0000-000071560000}"/>
    <cellStyle name="40% - Accent5 74 2 2 2" xfId="22125" xr:uid="{00000000-0005-0000-0000-000072560000}"/>
    <cellStyle name="40% - Accent5 74 2 3" xfId="22126" xr:uid="{00000000-0005-0000-0000-000073560000}"/>
    <cellStyle name="40% - Accent5 74 20" xfId="22127" xr:uid="{00000000-0005-0000-0000-000074560000}"/>
    <cellStyle name="40% - Accent5 74 20 2" xfId="22128" xr:uid="{00000000-0005-0000-0000-000075560000}"/>
    <cellStyle name="40% - Accent5 74 20 2 2" xfId="22129" xr:uid="{00000000-0005-0000-0000-000076560000}"/>
    <cellStyle name="40% - Accent5 74 20 3" xfId="22130" xr:uid="{00000000-0005-0000-0000-000077560000}"/>
    <cellStyle name="40% - Accent5 74 21" xfId="22131" xr:uid="{00000000-0005-0000-0000-000078560000}"/>
    <cellStyle name="40% - Accent5 74 21 2" xfId="22132" xr:uid="{00000000-0005-0000-0000-000079560000}"/>
    <cellStyle name="40% - Accent5 74 21 2 2" xfId="22133" xr:uid="{00000000-0005-0000-0000-00007A560000}"/>
    <cellStyle name="40% - Accent5 74 21 3" xfId="22134" xr:uid="{00000000-0005-0000-0000-00007B560000}"/>
    <cellStyle name="40% - Accent5 74 22" xfId="22135" xr:uid="{00000000-0005-0000-0000-00007C560000}"/>
    <cellStyle name="40% - Accent5 74 22 2" xfId="22136" xr:uid="{00000000-0005-0000-0000-00007D560000}"/>
    <cellStyle name="40% - Accent5 74 22 2 2" xfId="22137" xr:uid="{00000000-0005-0000-0000-00007E560000}"/>
    <cellStyle name="40% - Accent5 74 22 3" xfId="22138" xr:uid="{00000000-0005-0000-0000-00007F560000}"/>
    <cellStyle name="40% - Accent5 74 23" xfId="22139" xr:uid="{00000000-0005-0000-0000-000080560000}"/>
    <cellStyle name="40% - Accent5 74 23 2" xfId="22140" xr:uid="{00000000-0005-0000-0000-000081560000}"/>
    <cellStyle name="40% - Accent5 74 23 2 2" xfId="22141" xr:uid="{00000000-0005-0000-0000-000082560000}"/>
    <cellStyle name="40% - Accent5 74 23 3" xfId="22142" xr:uid="{00000000-0005-0000-0000-000083560000}"/>
    <cellStyle name="40% - Accent5 74 24" xfId="22143" xr:uid="{00000000-0005-0000-0000-000084560000}"/>
    <cellStyle name="40% - Accent5 74 24 2" xfId="22144" xr:uid="{00000000-0005-0000-0000-000085560000}"/>
    <cellStyle name="40% - Accent5 74 24 2 2" xfId="22145" xr:uid="{00000000-0005-0000-0000-000086560000}"/>
    <cellStyle name="40% - Accent5 74 24 3" xfId="22146" xr:uid="{00000000-0005-0000-0000-000087560000}"/>
    <cellStyle name="40% - Accent5 74 25" xfId="22147" xr:uid="{00000000-0005-0000-0000-000088560000}"/>
    <cellStyle name="40% - Accent5 74 25 2" xfId="22148" xr:uid="{00000000-0005-0000-0000-000089560000}"/>
    <cellStyle name="40% - Accent5 74 25 2 2" xfId="22149" xr:uid="{00000000-0005-0000-0000-00008A560000}"/>
    <cellStyle name="40% - Accent5 74 25 3" xfId="22150" xr:uid="{00000000-0005-0000-0000-00008B560000}"/>
    <cellStyle name="40% - Accent5 74 26" xfId="22151" xr:uid="{00000000-0005-0000-0000-00008C560000}"/>
    <cellStyle name="40% - Accent5 74 26 2" xfId="22152" xr:uid="{00000000-0005-0000-0000-00008D560000}"/>
    <cellStyle name="40% - Accent5 74 26 2 2" xfId="22153" xr:uid="{00000000-0005-0000-0000-00008E560000}"/>
    <cellStyle name="40% - Accent5 74 26 3" xfId="22154" xr:uid="{00000000-0005-0000-0000-00008F560000}"/>
    <cellStyle name="40% - Accent5 74 27" xfId="22155" xr:uid="{00000000-0005-0000-0000-000090560000}"/>
    <cellStyle name="40% - Accent5 74 27 2" xfId="22156" xr:uid="{00000000-0005-0000-0000-000091560000}"/>
    <cellStyle name="40% - Accent5 74 27 2 2" xfId="22157" xr:uid="{00000000-0005-0000-0000-000092560000}"/>
    <cellStyle name="40% - Accent5 74 27 3" xfId="22158" xr:uid="{00000000-0005-0000-0000-000093560000}"/>
    <cellStyle name="40% - Accent5 74 28" xfId="22159" xr:uid="{00000000-0005-0000-0000-000094560000}"/>
    <cellStyle name="40% - Accent5 74 28 2" xfId="22160" xr:uid="{00000000-0005-0000-0000-000095560000}"/>
    <cellStyle name="40% - Accent5 74 28 2 2" xfId="22161" xr:uid="{00000000-0005-0000-0000-000096560000}"/>
    <cellStyle name="40% - Accent5 74 28 3" xfId="22162" xr:uid="{00000000-0005-0000-0000-000097560000}"/>
    <cellStyle name="40% - Accent5 74 29" xfId="22163" xr:uid="{00000000-0005-0000-0000-000098560000}"/>
    <cellStyle name="40% - Accent5 74 29 2" xfId="22164" xr:uid="{00000000-0005-0000-0000-000099560000}"/>
    <cellStyle name="40% - Accent5 74 29 2 2" xfId="22165" xr:uid="{00000000-0005-0000-0000-00009A560000}"/>
    <cellStyle name="40% - Accent5 74 29 3" xfId="22166" xr:uid="{00000000-0005-0000-0000-00009B560000}"/>
    <cellStyle name="40% - Accent5 74 3" xfId="22167" xr:uid="{00000000-0005-0000-0000-00009C560000}"/>
    <cellStyle name="40% - Accent5 74 3 2" xfId="22168" xr:uid="{00000000-0005-0000-0000-00009D560000}"/>
    <cellStyle name="40% - Accent5 74 3 2 2" xfId="22169" xr:uid="{00000000-0005-0000-0000-00009E560000}"/>
    <cellStyle name="40% - Accent5 74 3 3" xfId="22170" xr:uid="{00000000-0005-0000-0000-00009F560000}"/>
    <cellStyle name="40% - Accent5 74 30" xfId="22171" xr:uid="{00000000-0005-0000-0000-0000A0560000}"/>
    <cellStyle name="40% - Accent5 74 30 2" xfId="22172" xr:uid="{00000000-0005-0000-0000-0000A1560000}"/>
    <cellStyle name="40% - Accent5 74 30 2 2" xfId="22173" xr:uid="{00000000-0005-0000-0000-0000A2560000}"/>
    <cellStyle name="40% - Accent5 74 30 3" xfId="22174" xr:uid="{00000000-0005-0000-0000-0000A3560000}"/>
    <cellStyle name="40% - Accent5 74 31" xfId="22175" xr:uid="{00000000-0005-0000-0000-0000A4560000}"/>
    <cellStyle name="40% - Accent5 74 31 2" xfId="22176" xr:uid="{00000000-0005-0000-0000-0000A5560000}"/>
    <cellStyle name="40% - Accent5 74 31 2 2" xfId="22177" xr:uid="{00000000-0005-0000-0000-0000A6560000}"/>
    <cellStyle name="40% - Accent5 74 31 3" xfId="22178" xr:uid="{00000000-0005-0000-0000-0000A7560000}"/>
    <cellStyle name="40% - Accent5 74 32" xfId="22179" xr:uid="{00000000-0005-0000-0000-0000A8560000}"/>
    <cellStyle name="40% - Accent5 74 32 2" xfId="22180" xr:uid="{00000000-0005-0000-0000-0000A9560000}"/>
    <cellStyle name="40% - Accent5 74 32 2 2" xfId="22181" xr:uid="{00000000-0005-0000-0000-0000AA560000}"/>
    <cellStyle name="40% - Accent5 74 32 3" xfId="22182" xr:uid="{00000000-0005-0000-0000-0000AB560000}"/>
    <cellStyle name="40% - Accent5 74 33" xfId="22183" xr:uid="{00000000-0005-0000-0000-0000AC560000}"/>
    <cellStyle name="40% - Accent5 74 33 2" xfId="22184" xr:uid="{00000000-0005-0000-0000-0000AD560000}"/>
    <cellStyle name="40% - Accent5 74 33 2 2" xfId="22185" xr:uid="{00000000-0005-0000-0000-0000AE560000}"/>
    <cellStyle name="40% - Accent5 74 33 3" xfId="22186" xr:uid="{00000000-0005-0000-0000-0000AF560000}"/>
    <cellStyle name="40% - Accent5 74 34" xfId="22187" xr:uid="{00000000-0005-0000-0000-0000B0560000}"/>
    <cellStyle name="40% - Accent5 74 34 2" xfId="22188" xr:uid="{00000000-0005-0000-0000-0000B1560000}"/>
    <cellStyle name="40% - Accent5 74 34 2 2" xfId="22189" xr:uid="{00000000-0005-0000-0000-0000B2560000}"/>
    <cellStyle name="40% - Accent5 74 34 3" xfId="22190" xr:uid="{00000000-0005-0000-0000-0000B3560000}"/>
    <cellStyle name="40% - Accent5 74 35" xfId="22191" xr:uid="{00000000-0005-0000-0000-0000B4560000}"/>
    <cellStyle name="40% - Accent5 74 35 2" xfId="22192" xr:uid="{00000000-0005-0000-0000-0000B5560000}"/>
    <cellStyle name="40% - Accent5 74 35 2 2" xfId="22193" xr:uid="{00000000-0005-0000-0000-0000B6560000}"/>
    <cellStyle name="40% - Accent5 74 35 3" xfId="22194" xr:uid="{00000000-0005-0000-0000-0000B7560000}"/>
    <cellStyle name="40% - Accent5 74 36" xfId="22195" xr:uid="{00000000-0005-0000-0000-0000B8560000}"/>
    <cellStyle name="40% - Accent5 74 36 2" xfId="22196" xr:uid="{00000000-0005-0000-0000-0000B9560000}"/>
    <cellStyle name="40% - Accent5 74 36 2 2" xfId="22197" xr:uid="{00000000-0005-0000-0000-0000BA560000}"/>
    <cellStyle name="40% - Accent5 74 36 3" xfId="22198" xr:uid="{00000000-0005-0000-0000-0000BB560000}"/>
    <cellStyle name="40% - Accent5 74 4" xfId="22199" xr:uid="{00000000-0005-0000-0000-0000BC560000}"/>
    <cellStyle name="40% - Accent5 74 4 2" xfId="22200" xr:uid="{00000000-0005-0000-0000-0000BD560000}"/>
    <cellStyle name="40% - Accent5 74 4 2 2" xfId="22201" xr:uid="{00000000-0005-0000-0000-0000BE560000}"/>
    <cellStyle name="40% - Accent5 74 4 3" xfId="22202" xr:uid="{00000000-0005-0000-0000-0000BF560000}"/>
    <cellStyle name="40% - Accent5 74 5" xfId="22203" xr:uid="{00000000-0005-0000-0000-0000C0560000}"/>
    <cellStyle name="40% - Accent5 74 5 2" xfId="22204" xr:uid="{00000000-0005-0000-0000-0000C1560000}"/>
    <cellStyle name="40% - Accent5 74 5 2 2" xfId="22205" xr:uid="{00000000-0005-0000-0000-0000C2560000}"/>
    <cellStyle name="40% - Accent5 74 5 3" xfId="22206" xr:uid="{00000000-0005-0000-0000-0000C3560000}"/>
    <cellStyle name="40% - Accent5 74 6" xfId="22207" xr:uid="{00000000-0005-0000-0000-0000C4560000}"/>
    <cellStyle name="40% - Accent5 74 6 2" xfId="22208" xr:uid="{00000000-0005-0000-0000-0000C5560000}"/>
    <cellStyle name="40% - Accent5 74 6 2 2" xfId="22209" xr:uid="{00000000-0005-0000-0000-0000C6560000}"/>
    <cellStyle name="40% - Accent5 74 6 3" xfId="22210" xr:uid="{00000000-0005-0000-0000-0000C7560000}"/>
    <cellStyle name="40% - Accent5 74 7" xfId="22211" xr:uid="{00000000-0005-0000-0000-0000C8560000}"/>
    <cellStyle name="40% - Accent5 74 7 2" xfId="22212" xr:uid="{00000000-0005-0000-0000-0000C9560000}"/>
    <cellStyle name="40% - Accent5 74 7 2 2" xfId="22213" xr:uid="{00000000-0005-0000-0000-0000CA560000}"/>
    <cellStyle name="40% - Accent5 74 7 3" xfId="22214" xr:uid="{00000000-0005-0000-0000-0000CB560000}"/>
    <cellStyle name="40% - Accent5 74 8" xfId="22215" xr:uid="{00000000-0005-0000-0000-0000CC560000}"/>
    <cellStyle name="40% - Accent5 74 8 2" xfId="22216" xr:uid="{00000000-0005-0000-0000-0000CD560000}"/>
    <cellStyle name="40% - Accent5 74 8 2 2" xfId="22217" xr:uid="{00000000-0005-0000-0000-0000CE560000}"/>
    <cellStyle name="40% - Accent5 74 8 3" xfId="22218" xr:uid="{00000000-0005-0000-0000-0000CF560000}"/>
    <cellStyle name="40% - Accent5 74 9" xfId="22219" xr:uid="{00000000-0005-0000-0000-0000D0560000}"/>
    <cellStyle name="40% - Accent5 74 9 2" xfId="22220" xr:uid="{00000000-0005-0000-0000-0000D1560000}"/>
    <cellStyle name="40% - Accent5 74 9 2 2" xfId="22221" xr:uid="{00000000-0005-0000-0000-0000D2560000}"/>
    <cellStyle name="40% - Accent5 74 9 3" xfId="22222" xr:uid="{00000000-0005-0000-0000-0000D3560000}"/>
    <cellStyle name="40% - Accent5 75" xfId="22223" xr:uid="{00000000-0005-0000-0000-0000D4560000}"/>
    <cellStyle name="40% - Accent5 75 10" xfId="22224" xr:uid="{00000000-0005-0000-0000-0000D5560000}"/>
    <cellStyle name="40% - Accent5 75 10 2" xfId="22225" xr:uid="{00000000-0005-0000-0000-0000D6560000}"/>
    <cellStyle name="40% - Accent5 75 10 2 2" xfId="22226" xr:uid="{00000000-0005-0000-0000-0000D7560000}"/>
    <cellStyle name="40% - Accent5 75 10 3" xfId="22227" xr:uid="{00000000-0005-0000-0000-0000D8560000}"/>
    <cellStyle name="40% - Accent5 75 11" xfId="22228" xr:uid="{00000000-0005-0000-0000-0000D9560000}"/>
    <cellStyle name="40% - Accent5 75 11 2" xfId="22229" xr:uid="{00000000-0005-0000-0000-0000DA560000}"/>
    <cellStyle name="40% - Accent5 75 11 2 2" xfId="22230" xr:uid="{00000000-0005-0000-0000-0000DB560000}"/>
    <cellStyle name="40% - Accent5 75 11 3" xfId="22231" xr:uid="{00000000-0005-0000-0000-0000DC560000}"/>
    <cellStyle name="40% - Accent5 75 12" xfId="22232" xr:uid="{00000000-0005-0000-0000-0000DD560000}"/>
    <cellStyle name="40% - Accent5 75 12 2" xfId="22233" xr:uid="{00000000-0005-0000-0000-0000DE560000}"/>
    <cellStyle name="40% - Accent5 75 12 2 2" xfId="22234" xr:uid="{00000000-0005-0000-0000-0000DF560000}"/>
    <cellStyle name="40% - Accent5 75 12 3" xfId="22235" xr:uid="{00000000-0005-0000-0000-0000E0560000}"/>
    <cellStyle name="40% - Accent5 75 13" xfId="22236" xr:uid="{00000000-0005-0000-0000-0000E1560000}"/>
    <cellStyle name="40% - Accent5 75 13 2" xfId="22237" xr:uid="{00000000-0005-0000-0000-0000E2560000}"/>
    <cellStyle name="40% - Accent5 75 13 2 2" xfId="22238" xr:uid="{00000000-0005-0000-0000-0000E3560000}"/>
    <cellStyle name="40% - Accent5 75 13 3" xfId="22239" xr:uid="{00000000-0005-0000-0000-0000E4560000}"/>
    <cellStyle name="40% - Accent5 75 14" xfId="22240" xr:uid="{00000000-0005-0000-0000-0000E5560000}"/>
    <cellStyle name="40% - Accent5 75 14 2" xfId="22241" xr:uid="{00000000-0005-0000-0000-0000E6560000}"/>
    <cellStyle name="40% - Accent5 75 14 2 2" xfId="22242" xr:uid="{00000000-0005-0000-0000-0000E7560000}"/>
    <cellStyle name="40% - Accent5 75 14 3" xfId="22243" xr:uid="{00000000-0005-0000-0000-0000E8560000}"/>
    <cellStyle name="40% - Accent5 75 15" xfId="22244" xr:uid="{00000000-0005-0000-0000-0000E9560000}"/>
    <cellStyle name="40% - Accent5 75 15 2" xfId="22245" xr:uid="{00000000-0005-0000-0000-0000EA560000}"/>
    <cellStyle name="40% - Accent5 75 15 2 2" xfId="22246" xr:uid="{00000000-0005-0000-0000-0000EB560000}"/>
    <cellStyle name="40% - Accent5 75 15 3" xfId="22247" xr:uid="{00000000-0005-0000-0000-0000EC560000}"/>
    <cellStyle name="40% - Accent5 75 16" xfId="22248" xr:uid="{00000000-0005-0000-0000-0000ED560000}"/>
    <cellStyle name="40% - Accent5 75 16 2" xfId="22249" xr:uid="{00000000-0005-0000-0000-0000EE560000}"/>
    <cellStyle name="40% - Accent5 75 16 2 2" xfId="22250" xr:uid="{00000000-0005-0000-0000-0000EF560000}"/>
    <cellStyle name="40% - Accent5 75 16 3" xfId="22251" xr:uid="{00000000-0005-0000-0000-0000F0560000}"/>
    <cellStyle name="40% - Accent5 75 17" xfId="22252" xr:uid="{00000000-0005-0000-0000-0000F1560000}"/>
    <cellStyle name="40% - Accent5 75 17 2" xfId="22253" xr:uid="{00000000-0005-0000-0000-0000F2560000}"/>
    <cellStyle name="40% - Accent5 75 17 2 2" xfId="22254" xr:uid="{00000000-0005-0000-0000-0000F3560000}"/>
    <cellStyle name="40% - Accent5 75 17 3" xfId="22255" xr:uid="{00000000-0005-0000-0000-0000F4560000}"/>
    <cellStyle name="40% - Accent5 75 18" xfId="22256" xr:uid="{00000000-0005-0000-0000-0000F5560000}"/>
    <cellStyle name="40% - Accent5 75 18 2" xfId="22257" xr:uid="{00000000-0005-0000-0000-0000F6560000}"/>
    <cellStyle name="40% - Accent5 75 18 2 2" xfId="22258" xr:uid="{00000000-0005-0000-0000-0000F7560000}"/>
    <cellStyle name="40% - Accent5 75 18 3" xfId="22259" xr:uid="{00000000-0005-0000-0000-0000F8560000}"/>
    <cellStyle name="40% - Accent5 75 19" xfId="22260" xr:uid="{00000000-0005-0000-0000-0000F9560000}"/>
    <cellStyle name="40% - Accent5 75 19 2" xfId="22261" xr:uid="{00000000-0005-0000-0000-0000FA560000}"/>
    <cellStyle name="40% - Accent5 75 19 2 2" xfId="22262" xr:uid="{00000000-0005-0000-0000-0000FB560000}"/>
    <cellStyle name="40% - Accent5 75 19 3" xfId="22263" xr:uid="{00000000-0005-0000-0000-0000FC560000}"/>
    <cellStyle name="40% - Accent5 75 2" xfId="22264" xr:uid="{00000000-0005-0000-0000-0000FD560000}"/>
    <cellStyle name="40% - Accent5 75 2 2" xfId="22265" xr:uid="{00000000-0005-0000-0000-0000FE560000}"/>
    <cellStyle name="40% - Accent5 75 2 2 2" xfId="22266" xr:uid="{00000000-0005-0000-0000-0000FF560000}"/>
    <cellStyle name="40% - Accent5 75 2 3" xfId="22267" xr:uid="{00000000-0005-0000-0000-000000570000}"/>
    <cellStyle name="40% - Accent5 75 20" xfId="22268" xr:uid="{00000000-0005-0000-0000-000001570000}"/>
    <cellStyle name="40% - Accent5 75 20 2" xfId="22269" xr:uid="{00000000-0005-0000-0000-000002570000}"/>
    <cellStyle name="40% - Accent5 75 20 2 2" xfId="22270" xr:uid="{00000000-0005-0000-0000-000003570000}"/>
    <cellStyle name="40% - Accent5 75 20 3" xfId="22271" xr:uid="{00000000-0005-0000-0000-000004570000}"/>
    <cellStyle name="40% - Accent5 75 21" xfId="22272" xr:uid="{00000000-0005-0000-0000-000005570000}"/>
    <cellStyle name="40% - Accent5 75 21 2" xfId="22273" xr:uid="{00000000-0005-0000-0000-000006570000}"/>
    <cellStyle name="40% - Accent5 75 21 2 2" xfId="22274" xr:uid="{00000000-0005-0000-0000-000007570000}"/>
    <cellStyle name="40% - Accent5 75 21 3" xfId="22275" xr:uid="{00000000-0005-0000-0000-000008570000}"/>
    <cellStyle name="40% - Accent5 75 22" xfId="22276" xr:uid="{00000000-0005-0000-0000-000009570000}"/>
    <cellStyle name="40% - Accent5 75 22 2" xfId="22277" xr:uid="{00000000-0005-0000-0000-00000A570000}"/>
    <cellStyle name="40% - Accent5 75 22 2 2" xfId="22278" xr:uid="{00000000-0005-0000-0000-00000B570000}"/>
    <cellStyle name="40% - Accent5 75 22 3" xfId="22279" xr:uid="{00000000-0005-0000-0000-00000C570000}"/>
    <cellStyle name="40% - Accent5 75 23" xfId="22280" xr:uid="{00000000-0005-0000-0000-00000D570000}"/>
    <cellStyle name="40% - Accent5 75 23 2" xfId="22281" xr:uid="{00000000-0005-0000-0000-00000E570000}"/>
    <cellStyle name="40% - Accent5 75 23 2 2" xfId="22282" xr:uid="{00000000-0005-0000-0000-00000F570000}"/>
    <cellStyle name="40% - Accent5 75 23 3" xfId="22283" xr:uid="{00000000-0005-0000-0000-000010570000}"/>
    <cellStyle name="40% - Accent5 75 24" xfId="22284" xr:uid="{00000000-0005-0000-0000-000011570000}"/>
    <cellStyle name="40% - Accent5 75 24 2" xfId="22285" xr:uid="{00000000-0005-0000-0000-000012570000}"/>
    <cellStyle name="40% - Accent5 75 24 2 2" xfId="22286" xr:uid="{00000000-0005-0000-0000-000013570000}"/>
    <cellStyle name="40% - Accent5 75 24 3" xfId="22287" xr:uid="{00000000-0005-0000-0000-000014570000}"/>
    <cellStyle name="40% - Accent5 75 25" xfId="22288" xr:uid="{00000000-0005-0000-0000-000015570000}"/>
    <cellStyle name="40% - Accent5 75 25 2" xfId="22289" xr:uid="{00000000-0005-0000-0000-000016570000}"/>
    <cellStyle name="40% - Accent5 75 25 2 2" xfId="22290" xr:uid="{00000000-0005-0000-0000-000017570000}"/>
    <cellStyle name="40% - Accent5 75 25 3" xfId="22291" xr:uid="{00000000-0005-0000-0000-000018570000}"/>
    <cellStyle name="40% - Accent5 75 26" xfId="22292" xr:uid="{00000000-0005-0000-0000-000019570000}"/>
    <cellStyle name="40% - Accent5 75 26 2" xfId="22293" xr:uid="{00000000-0005-0000-0000-00001A570000}"/>
    <cellStyle name="40% - Accent5 75 26 2 2" xfId="22294" xr:uid="{00000000-0005-0000-0000-00001B570000}"/>
    <cellStyle name="40% - Accent5 75 26 3" xfId="22295" xr:uid="{00000000-0005-0000-0000-00001C570000}"/>
    <cellStyle name="40% - Accent5 75 27" xfId="22296" xr:uid="{00000000-0005-0000-0000-00001D570000}"/>
    <cellStyle name="40% - Accent5 75 27 2" xfId="22297" xr:uid="{00000000-0005-0000-0000-00001E570000}"/>
    <cellStyle name="40% - Accent5 75 27 2 2" xfId="22298" xr:uid="{00000000-0005-0000-0000-00001F570000}"/>
    <cellStyle name="40% - Accent5 75 27 3" xfId="22299" xr:uid="{00000000-0005-0000-0000-000020570000}"/>
    <cellStyle name="40% - Accent5 75 28" xfId="22300" xr:uid="{00000000-0005-0000-0000-000021570000}"/>
    <cellStyle name="40% - Accent5 75 28 2" xfId="22301" xr:uid="{00000000-0005-0000-0000-000022570000}"/>
    <cellStyle name="40% - Accent5 75 28 2 2" xfId="22302" xr:uid="{00000000-0005-0000-0000-000023570000}"/>
    <cellStyle name="40% - Accent5 75 28 3" xfId="22303" xr:uid="{00000000-0005-0000-0000-000024570000}"/>
    <cellStyle name="40% - Accent5 75 29" xfId="22304" xr:uid="{00000000-0005-0000-0000-000025570000}"/>
    <cellStyle name="40% - Accent5 75 29 2" xfId="22305" xr:uid="{00000000-0005-0000-0000-000026570000}"/>
    <cellStyle name="40% - Accent5 75 29 2 2" xfId="22306" xr:uid="{00000000-0005-0000-0000-000027570000}"/>
    <cellStyle name="40% - Accent5 75 29 3" xfId="22307" xr:uid="{00000000-0005-0000-0000-000028570000}"/>
    <cellStyle name="40% - Accent5 75 3" xfId="22308" xr:uid="{00000000-0005-0000-0000-000029570000}"/>
    <cellStyle name="40% - Accent5 75 3 2" xfId="22309" xr:uid="{00000000-0005-0000-0000-00002A570000}"/>
    <cellStyle name="40% - Accent5 75 3 2 2" xfId="22310" xr:uid="{00000000-0005-0000-0000-00002B570000}"/>
    <cellStyle name="40% - Accent5 75 3 3" xfId="22311" xr:uid="{00000000-0005-0000-0000-00002C570000}"/>
    <cellStyle name="40% - Accent5 75 30" xfId="22312" xr:uid="{00000000-0005-0000-0000-00002D570000}"/>
    <cellStyle name="40% - Accent5 75 30 2" xfId="22313" xr:uid="{00000000-0005-0000-0000-00002E570000}"/>
    <cellStyle name="40% - Accent5 75 30 2 2" xfId="22314" xr:uid="{00000000-0005-0000-0000-00002F570000}"/>
    <cellStyle name="40% - Accent5 75 30 3" xfId="22315" xr:uid="{00000000-0005-0000-0000-000030570000}"/>
    <cellStyle name="40% - Accent5 75 31" xfId="22316" xr:uid="{00000000-0005-0000-0000-000031570000}"/>
    <cellStyle name="40% - Accent5 75 31 2" xfId="22317" xr:uid="{00000000-0005-0000-0000-000032570000}"/>
    <cellStyle name="40% - Accent5 75 31 2 2" xfId="22318" xr:uid="{00000000-0005-0000-0000-000033570000}"/>
    <cellStyle name="40% - Accent5 75 31 3" xfId="22319" xr:uid="{00000000-0005-0000-0000-000034570000}"/>
    <cellStyle name="40% - Accent5 75 32" xfId="22320" xr:uid="{00000000-0005-0000-0000-000035570000}"/>
    <cellStyle name="40% - Accent5 75 32 2" xfId="22321" xr:uid="{00000000-0005-0000-0000-000036570000}"/>
    <cellStyle name="40% - Accent5 75 32 2 2" xfId="22322" xr:uid="{00000000-0005-0000-0000-000037570000}"/>
    <cellStyle name="40% - Accent5 75 32 3" xfId="22323" xr:uid="{00000000-0005-0000-0000-000038570000}"/>
    <cellStyle name="40% - Accent5 75 33" xfId="22324" xr:uid="{00000000-0005-0000-0000-000039570000}"/>
    <cellStyle name="40% - Accent5 75 33 2" xfId="22325" xr:uid="{00000000-0005-0000-0000-00003A570000}"/>
    <cellStyle name="40% - Accent5 75 33 2 2" xfId="22326" xr:uid="{00000000-0005-0000-0000-00003B570000}"/>
    <cellStyle name="40% - Accent5 75 33 3" xfId="22327" xr:uid="{00000000-0005-0000-0000-00003C570000}"/>
    <cellStyle name="40% - Accent5 75 34" xfId="22328" xr:uid="{00000000-0005-0000-0000-00003D570000}"/>
    <cellStyle name="40% - Accent5 75 34 2" xfId="22329" xr:uid="{00000000-0005-0000-0000-00003E570000}"/>
    <cellStyle name="40% - Accent5 75 34 2 2" xfId="22330" xr:uid="{00000000-0005-0000-0000-00003F570000}"/>
    <cellStyle name="40% - Accent5 75 34 3" xfId="22331" xr:uid="{00000000-0005-0000-0000-000040570000}"/>
    <cellStyle name="40% - Accent5 75 35" xfId="22332" xr:uid="{00000000-0005-0000-0000-000041570000}"/>
    <cellStyle name="40% - Accent5 75 35 2" xfId="22333" xr:uid="{00000000-0005-0000-0000-000042570000}"/>
    <cellStyle name="40% - Accent5 75 35 2 2" xfId="22334" xr:uid="{00000000-0005-0000-0000-000043570000}"/>
    <cellStyle name="40% - Accent5 75 35 3" xfId="22335" xr:uid="{00000000-0005-0000-0000-000044570000}"/>
    <cellStyle name="40% - Accent5 75 36" xfId="22336" xr:uid="{00000000-0005-0000-0000-000045570000}"/>
    <cellStyle name="40% - Accent5 75 36 2" xfId="22337" xr:uid="{00000000-0005-0000-0000-000046570000}"/>
    <cellStyle name="40% - Accent5 75 36 2 2" xfId="22338" xr:uid="{00000000-0005-0000-0000-000047570000}"/>
    <cellStyle name="40% - Accent5 75 36 3" xfId="22339" xr:uid="{00000000-0005-0000-0000-000048570000}"/>
    <cellStyle name="40% - Accent5 75 4" xfId="22340" xr:uid="{00000000-0005-0000-0000-000049570000}"/>
    <cellStyle name="40% - Accent5 75 4 2" xfId="22341" xr:uid="{00000000-0005-0000-0000-00004A570000}"/>
    <cellStyle name="40% - Accent5 75 4 2 2" xfId="22342" xr:uid="{00000000-0005-0000-0000-00004B570000}"/>
    <cellStyle name="40% - Accent5 75 4 3" xfId="22343" xr:uid="{00000000-0005-0000-0000-00004C570000}"/>
    <cellStyle name="40% - Accent5 75 5" xfId="22344" xr:uid="{00000000-0005-0000-0000-00004D570000}"/>
    <cellStyle name="40% - Accent5 75 5 2" xfId="22345" xr:uid="{00000000-0005-0000-0000-00004E570000}"/>
    <cellStyle name="40% - Accent5 75 5 2 2" xfId="22346" xr:uid="{00000000-0005-0000-0000-00004F570000}"/>
    <cellStyle name="40% - Accent5 75 5 3" xfId="22347" xr:uid="{00000000-0005-0000-0000-000050570000}"/>
    <cellStyle name="40% - Accent5 75 6" xfId="22348" xr:uid="{00000000-0005-0000-0000-000051570000}"/>
    <cellStyle name="40% - Accent5 75 6 2" xfId="22349" xr:uid="{00000000-0005-0000-0000-000052570000}"/>
    <cellStyle name="40% - Accent5 75 6 2 2" xfId="22350" xr:uid="{00000000-0005-0000-0000-000053570000}"/>
    <cellStyle name="40% - Accent5 75 6 3" xfId="22351" xr:uid="{00000000-0005-0000-0000-000054570000}"/>
    <cellStyle name="40% - Accent5 75 7" xfId="22352" xr:uid="{00000000-0005-0000-0000-000055570000}"/>
    <cellStyle name="40% - Accent5 75 7 2" xfId="22353" xr:uid="{00000000-0005-0000-0000-000056570000}"/>
    <cellStyle name="40% - Accent5 75 7 2 2" xfId="22354" xr:uid="{00000000-0005-0000-0000-000057570000}"/>
    <cellStyle name="40% - Accent5 75 7 3" xfId="22355" xr:uid="{00000000-0005-0000-0000-000058570000}"/>
    <cellStyle name="40% - Accent5 75 8" xfId="22356" xr:uid="{00000000-0005-0000-0000-000059570000}"/>
    <cellStyle name="40% - Accent5 75 8 2" xfId="22357" xr:uid="{00000000-0005-0000-0000-00005A570000}"/>
    <cellStyle name="40% - Accent5 75 8 2 2" xfId="22358" xr:uid="{00000000-0005-0000-0000-00005B570000}"/>
    <cellStyle name="40% - Accent5 75 8 3" xfId="22359" xr:uid="{00000000-0005-0000-0000-00005C570000}"/>
    <cellStyle name="40% - Accent5 75 9" xfId="22360" xr:uid="{00000000-0005-0000-0000-00005D570000}"/>
    <cellStyle name="40% - Accent5 75 9 2" xfId="22361" xr:uid="{00000000-0005-0000-0000-00005E570000}"/>
    <cellStyle name="40% - Accent5 75 9 2 2" xfId="22362" xr:uid="{00000000-0005-0000-0000-00005F570000}"/>
    <cellStyle name="40% - Accent5 75 9 3" xfId="22363" xr:uid="{00000000-0005-0000-0000-000060570000}"/>
    <cellStyle name="40% - Accent5 76" xfId="22364" xr:uid="{00000000-0005-0000-0000-000061570000}"/>
    <cellStyle name="40% - Accent5 76 10" xfId="22365" xr:uid="{00000000-0005-0000-0000-000062570000}"/>
    <cellStyle name="40% - Accent5 76 10 2" xfId="22366" xr:uid="{00000000-0005-0000-0000-000063570000}"/>
    <cellStyle name="40% - Accent5 76 10 2 2" xfId="22367" xr:uid="{00000000-0005-0000-0000-000064570000}"/>
    <cellStyle name="40% - Accent5 76 10 3" xfId="22368" xr:uid="{00000000-0005-0000-0000-000065570000}"/>
    <cellStyle name="40% - Accent5 76 11" xfId="22369" xr:uid="{00000000-0005-0000-0000-000066570000}"/>
    <cellStyle name="40% - Accent5 76 11 2" xfId="22370" xr:uid="{00000000-0005-0000-0000-000067570000}"/>
    <cellStyle name="40% - Accent5 76 11 2 2" xfId="22371" xr:uid="{00000000-0005-0000-0000-000068570000}"/>
    <cellStyle name="40% - Accent5 76 11 3" xfId="22372" xr:uid="{00000000-0005-0000-0000-000069570000}"/>
    <cellStyle name="40% - Accent5 76 12" xfId="22373" xr:uid="{00000000-0005-0000-0000-00006A570000}"/>
    <cellStyle name="40% - Accent5 76 12 2" xfId="22374" xr:uid="{00000000-0005-0000-0000-00006B570000}"/>
    <cellStyle name="40% - Accent5 76 12 2 2" xfId="22375" xr:uid="{00000000-0005-0000-0000-00006C570000}"/>
    <cellStyle name="40% - Accent5 76 12 3" xfId="22376" xr:uid="{00000000-0005-0000-0000-00006D570000}"/>
    <cellStyle name="40% - Accent5 76 13" xfId="22377" xr:uid="{00000000-0005-0000-0000-00006E570000}"/>
    <cellStyle name="40% - Accent5 76 13 2" xfId="22378" xr:uid="{00000000-0005-0000-0000-00006F570000}"/>
    <cellStyle name="40% - Accent5 76 13 2 2" xfId="22379" xr:uid="{00000000-0005-0000-0000-000070570000}"/>
    <cellStyle name="40% - Accent5 76 13 3" xfId="22380" xr:uid="{00000000-0005-0000-0000-000071570000}"/>
    <cellStyle name="40% - Accent5 76 14" xfId="22381" xr:uid="{00000000-0005-0000-0000-000072570000}"/>
    <cellStyle name="40% - Accent5 76 14 2" xfId="22382" xr:uid="{00000000-0005-0000-0000-000073570000}"/>
    <cellStyle name="40% - Accent5 76 14 2 2" xfId="22383" xr:uid="{00000000-0005-0000-0000-000074570000}"/>
    <cellStyle name="40% - Accent5 76 14 3" xfId="22384" xr:uid="{00000000-0005-0000-0000-000075570000}"/>
    <cellStyle name="40% - Accent5 76 15" xfId="22385" xr:uid="{00000000-0005-0000-0000-000076570000}"/>
    <cellStyle name="40% - Accent5 76 15 2" xfId="22386" xr:uid="{00000000-0005-0000-0000-000077570000}"/>
    <cellStyle name="40% - Accent5 76 15 2 2" xfId="22387" xr:uid="{00000000-0005-0000-0000-000078570000}"/>
    <cellStyle name="40% - Accent5 76 15 3" xfId="22388" xr:uid="{00000000-0005-0000-0000-000079570000}"/>
    <cellStyle name="40% - Accent5 76 16" xfId="22389" xr:uid="{00000000-0005-0000-0000-00007A570000}"/>
    <cellStyle name="40% - Accent5 76 16 2" xfId="22390" xr:uid="{00000000-0005-0000-0000-00007B570000}"/>
    <cellStyle name="40% - Accent5 76 16 2 2" xfId="22391" xr:uid="{00000000-0005-0000-0000-00007C570000}"/>
    <cellStyle name="40% - Accent5 76 16 3" xfId="22392" xr:uid="{00000000-0005-0000-0000-00007D570000}"/>
    <cellStyle name="40% - Accent5 76 17" xfId="22393" xr:uid="{00000000-0005-0000-0000-00007E570000}"/>
    <cellStyle name="40% - Accent5 76 17 2" xfId="22394" xr:uid="{00000000-0005-0000-0000-00007F570000}"/>
    <cellStyle name="40% - Accent5 76 17 2 2" xfId="22395" xr:uid="{00000000-0005-0000-0000-000080570000}"/>
    <cellStyle name="40% - Accent5 76 17 3" xfId="22396" xr:uid="{00000000-0005-0000-0000-000081570000}"/>
    <cellStyle name="40% - Accent5 76 18" xfId="22397" xr:uid="{00000000-0005-0000-0000-000082570000}"/>
    <cellStyle name="40% - Accent5 76 18 2" xfId="22398" xr:uid="{00000000-0005-0000-0000-000083570000}"/>
    <cellStyle name="40% - Accent5 76 18 2 2" xfId="22399" xr:uid="{00000000-0005-0000-0000-000084570000}"/>
    <cellStyle name="40% - Accent5 76 18 3" xfId="22400" xr:uid="{00000000-0005-0000-0000-000085570000}"/>
    <cellStyle name="40% - Accent5 76 19" xfId="22401" xr:uid="{00000000-0005-0000-0000-000086570000}"/>
    <cellStyle name="40% - Accent5 76 19 2" xfId="22402" xr:uid="{00000000-0005-0000-0000-000087570000}"/>
    <cellStyle name="40% - Accent5 76 19 2 2" xfId="22403" xr:uid="{00000000-0005-0000-0000-000088570000}"/>
    <cellStyle name="40% - Accent5 76 19 3" xfId="22404" xr:uid="{00000000-0005-0000-0000-000089570000}"/>
    <cellStyle name="40% - Accent5 76 2" xfId="22405" xr:uid="{00000000-0005-0000-0000-00008A570000}"/>
    <cellStyle name="40% - Accent5 76 2 2" xfId="22406" xr:uid="{00000000-0005-0000-0000-00008B570000}"/>
    <cellStyle name="40% - Accent5 76 2 2 2" xfId="22407" xr:uid="{00000000-0005-0000-0000-00008C570000}"/>
    <cellStyle name="40% - Accent5 76 2 3" xfId="22408" xr:uid="{00000000-0005-0000-0000-00008D570000}"/>
    <cellStyle name="40% - Accent5 76 20" xfId="22409" xr:uid="{00000000-0005-0000-0000-00008E570000}"/>
    <cellStyle name="40% - Accent5 76 20 2" xfId="22410" xr:uid="{00000000-0005-0000-0000-00008F570000}"/>
    <cellStyle name="40% - Accent5 76 20 2 2" xfId="22411" xr:uid="{00000000-0005-0000-0000-000090570000}"/>
    <cellStyle name="40% - Accent5 76 20 3" xfId="22412" xr:uid="{00000000-0005-0000-0000-000091570000}"/>
    <cellStyle name="40% - Accent5 76 21" xfId="22413" xr:uid="{00000000-0005-0000-0000-000092570000}"/>
    <cellStyle name="40% - Accent5 76 21 2" xfId="22414" xr:uid="{00000000-0005-0000-0000-000093570000}"/>
    <cellStyle name="40% - Accent5 76 21 2 2" xfId="22415" xr:uid="{00000000-0005-0000-0000-000094570000}"/>
    <cellStyle name="40% - Accent5 76 21 3" xfId="22416" xr:uid="{00000000-0005-0000-0000-000095570000}"/>
    <cellStyle name="40% - Accent5 76 22" xfId="22417" xr:uid="{00000000-0005-0000-0000-000096570000}"/>
    <cellStyle name="40% - Accent5 76 22 2" xfId="22418" xr:uid="{00000000-0005-0000-0000-000097570000}"/>
    <cellStyle name="40% - Accent5 76 22 2 2" xfId="22419" xr:uid="{00000000-0005-0000-0000-000098570000}"/>
    <cellStyle name="40% - Accent5 76 22 3" xfId="22420" xr:uid="{00000000-0005-0000-0000-000099570000}"/>
    <cellStyle name="40% - Accent5 76 23" xfId="22421" xr:uid="{00000000-0005-0000-0000-00009A570000}"/>
    <cellStyle name="40% - Accent5 76 23 2" xfId="22422" xr:uid="{00000000-0005-0000-0000-00009B570000}"/>
    <cellStyle name="40% - Accent5 76 23 2 2" xfId="22423" xr:uid="{00000000-0005-0000-0000-00009C570000}"/>
    <cellStyle name="40% - Accent5 76 23 3" xfId="22424" xr:uid="{00000000-0005-0000-0000-00009D570000}"/>
    <cellStyle name="40% - Accent5 76 24" xfId="22425" xr:uid="{00000000-0005-0000-0000-00009E570000}"/>
    <cellStyle name="40% - Accent5 76 24 2" xfId="22426" xr:uid="{00000000-0005-0000-0000-00009F570000}"/>
    <cellStyle name="40% - Accent5 76 24 2 2" xfId="22427" xr:uid="{00000000-0005-0000-0000-0000A0570000}"/>
    <cellStyle name="40% - Accent5 76 24 3" xfId="22428" xr:uid="{00000000-0005-0000-0000-0000A1570000}"/>
    <cellStyle name="40% - Accent5 76 25" xfId="22429" xr:uid="{00000000-0005-0000-0000-0000A2570000}"/>
    <cellStyle name="40% - Accent5 76 25 2" xfId="22430" xr:uid="{00000000-0005-0000-0000-0000A3570000}"/>
    <cellStyle name="40% - Accent5 76 25 2 2" xfId="22431" xr:uid="{00000000-0005-0000-0000-0000A4570000}"/>
    <cellStyle name="40% - Accent5 76 25 3" xfId="22432" xr:uid="{00000000-0005-0000-0000-0000A5570000}"/>
    <cellStyle name="40% - Accent5 76 26" xfId="22433" xr:uid="{00000000-0005-0000-0000-0000A6570000}"/>
    <cellStyle name="40% - Accent5 76 26 2" xfId="22434" xr:uid="{00000000-0005-0000-0000-0000A7570000}"/>
    <cellStyle name="40% - Accent5 76 26 2 2" xfId="22435" xr:uid="{00000000-0005-0000-0000-0000A8570000}"/>
    <cellStyle name="40% - Accent5 76 26 3" xfId="22436" xr:uid="{00000000-0005-0000-0000-0000A9570000}"/>
    <cellStyle name="40% - Accent5 76 27" xfId="22437" xr:uid="{00000000-0005-0000-0000-0000AA570000}"/>
    <cellStyle name="40% - Accent5 76 27 2" xfId="22438" xr:uid="{00000000-0005-0000-0000-0000AB570000}"/>
    <cellStyle name="40% - Accent5 76 27 2 2" xfId="22439" xr:uid="{00000000-0005-0000-0000-0000AC570000}"/>
    <cellStyle name="40% - Accent5 76 27 3" xfId="22440" xr:uid="{00000000-0005-0000-0000-0000AD570000}"/>
    <cellStyle name="40% - Accent5 76 28" xfId="22441" xr:uid="{00000000-0005-0000-0000-0000AE570000}"/>
    <cellStyle name="40% - Accent5 76 28 2" xfId="22442" xr:uid="{00000000-0005-0000-0000-0000AF570000}"/>
    <cellStyle name="40% - Accent5 76 28 2 2" xfId="22443" xr:uid="{00000000-0005-0000-0000-0000B0570000}"/>
    <cellStyle name="40% - Accent5 76 28 3" xfId="22444" xr:uid="{00000000-0005-0000-0000-0000B1570000}"/>
    <cellStyle name="40% - Accent5 76 29" xfId="22445" xr:uid="{00000000-0005-0000-0000-0000B2570000}"/>
    <cellStyle name="40% - Accent5 76 29 2" xfId="22446" xr:uid="{00000000-0005-0000-0000-0000B3570000}"/>
    <cellStyle name="40% - Accent5 76 29 2 2" xfId="22447" xr:uid="{00000000-0005-0000-0000-0000B4570000}"/>
    <cellStyle name="40% - Accent5 76 29 3" xfId="22448" xr:uid="{00000000-0005-0000-0000-0000B5570000}"/>
    <cellStyle name="40% - Accent5 76 3" xfId="22449" xr:uid="{00000000-0005-0000-0000-0000B6570000}"/>
    <cellStyle name="40% - Accent5 76 3 2" xfId="22450" xr:uid="{00000000-0005-0000-0000-0000B7570000}"/>
    <cellStyle name="40% - Accent5 76 3 2 2" xfId="22451" xr:uid="{00000000-0005-0000-0000-0000B8570000}"/>
    <cellStyle name="40% - Accent5 76 3 3" xfId="22452" xr:uid="{00000000-0005-0000-0000-0000B9570000}"/>
    <cellStyle name="40% - Accent5 76 30" xfId="22453" xr:uid="{00000000-0005-0000-0000-0000BA570000}"/>
    <cellStyle name="40% - Accent5 76 30 2" xfId="22454" xr:uid="{00000000-0005-0000-0000-0000BB570000}"/>
    <cellStyle name="40% - Accent5 76 30 2 2" xfId="22455" xr:uid="{00000000-0005-0000-0000-0000BC570000}"/>
    <cellStyle name="40% - Accent5 76 30 3" xfId="22456" xr:uid="{00000000-0005-0000-0000-0000BD570000}"/>
    <cellStyle name="40% - Accent5 76 31" xfId="22457" xr:uid="{00000000-0005-0000-0000-0000BE570000}"/>
    <cellStyle name="40% - Accent5 76 31 2" xfId="22458" xr:uid="{00000000-0005-0000-0000-0000BF570000}"/>
    <cellStyle name="40% - Accent5 76 31 2 2" xfId="22459" xr:uid="{00000000-0005-0000-0000-0000C0570000}"/>
    <cellStyle name="40% - Accent5 76 31 3" xfId="22460" xr:uid="{00000000-0005-0000-0000-0000C1570000}"/>
    <cellStyle name="40% - Accent5 76 32" xfId="22461" xr:uid="{00000000-0005-0000-0000-0000C2570000}"/>
    <cellStyle name="40% - Accent5 76 32 2" xfId="22462" xr:uid="{00000000-0005-0000-0000-0000C3570000}"/>
    <cellStyle name="40% - Accent5 76 32 2 2" xfId="22463" xr:uid="{00000000-0005-0000-0000-0000C4570000}"/>
    <cellStyle name="40% - Accent5 76 32 3" xfId="22464" xr:uid="{00000000-0005-0000-0000-0000C5570000}"/>
    <cellStyle name="40% - Accent5 76 33" xfId="22465" xr:uid="{00000000-0005-0000-0000-0000C6570000}"/>
    <cellStyle name="40% - Accent5 76 33 2" xfId="22466" xr:uid="{00000000-0005-0000-0000-0000C7570000}"/>
    <cellStyle name="40% - Accent5 76 33 2 2" xfId="22467" xr:uid="{00000000-0005-0000-0000-0000C8570000}"/>
    <cellStyle name="40% - Accent5 76 33 3" xfId="22468" xr:uid="{00000000-0005-0000-0000-0000C9570000}"/>
    <cellStyle name="40% - Accent5 76 34" xfId="22469" xr:uid="{00000000-0005-0000-0000-0000CA570000}"/>
    <cellStyle name="40% - Accent5 76 34 2" xfId="22470" xr:uid="{00000000-0005-0000-0000-0000CB570000}"/>
    <cellStyle name="40% - Accent5 76 34 2 2" xfId="22471" xr:uid="{00000000-0005-0000-0000-0000CC570000}"/>
    <cellStyle name="40% - Accent5 76 34 3" xfId="22472" xr:uid="{00000000-0005-0000-0000-0000CD570000}"/>
    <cellStyle name="40% - Accent5 76 35" xfId="22473" xr:uid="{00000000-0005-0000-0000-0000CE570000}"/>
    <cellStyle name="40% - Accent5 76 35 2" xfId="22474" xr:uid="{00000000-0005-0000-0000-0000CF570000}"/>
    <cellStyle name="40% - Accent5 76 35 2 2" xfId="22475" xr:uid="{00000000-0005-0000-0000-0000D0570000}"/>
    <cellStyle name="40% - Accent5 76 35 3" xfId="22476" xr:uid="{00000000-0005-0000-0000-0000D1570000}"/>
    <cellStyle name="40% - Accent5 76 36" xfId="22477" xr:uid="{00000000-0005-0000-0000-0000D2570000}"/>
    <cellStyle name="40% - Accent5 76 36 2" xfId="22478" xr:uid="{00000000-0005-0000-0000-0000D3570000}"/>
    <cellStyle name="40% - Accent5 76 36 2 2" xfId="22479" xr:uid="{00000000-0005-0000-0000-0000D4570000}"/>
    <cellStyle name="40% - Accent5 76 36 3" xfId="22480" xr:uid="{00000000-0005-0000-0000-0000D5570000}"/>
    <cellStyle name="40% - Accent5 76 4" xfId="22481" xr:uid="{00000000-0005-0000-0000-0000D6570000}"/>
    <cellStyle name="40% - Accent5 76 4 2" xfId="22482" xr:uid="{00000000-0005-0000-0000-0000D7570000}"/>
    <cellStyle name="40% - Accent5 76 4 2 2" xfId="22483" xr:uid="{00000000-0005-0000-0000-0000D8570000}"/>
    <cellStyle name="40% - Accent5 76 4 3" xfId="22484" xr:uid="{00000000-0005-0000-0000-0000D9570000}"/>
    <cellStyle name="40% - Accent5 76 5" xfId="22485" xr:uid="{00000000-0005-0000-0000-0000DA570000}"/>
    <cellStyle name="40% - Accent5 76 5 2" xfId="22486" xr:uid="{00000000-0005-0000-0000-0000DB570000}"/>
    <cellStyle name="40% - Accent5 76 5 2 2" xfId="22487" xr:uid="{00000000-0005-0000-0000-0000DC570000}"/>
    <cellStyle name="40% - Accent5 76 5 3" xfId="22488" xr:uid="{00000000-0005-0000-0000-0000DD570000}"/>
    <cellStyle name="40% - Accent5 76 6" xfId="22489" xr:uid="{00000000-0005-0000-0000-0000DE570000}"/>
    <cellStyle name="40% - Accent5 76 6 2" xfId="22490" xr:uid="{00000000-0005-0000-0000-0000DF570000}"/>
    <cellStyle name="40% - Accent5 76 6 2 2" xfId="22491" xr:uid="{00000000-0005-0000-0000-0000E0570000}"/>
    <cellStyle name="40% - Accent5 76 6 3" xfId="22492" xr:uid="{00000000-0005-0000-0000-0000E1570000}"/>
    <cellStyle name="40% - Accent5 76 7" xfId="22493" xr:uid="{00000000-0005-0000-0000-0000E2570000}"/>
    <cellStyle name="40% - Accent5 76 7 2" xfId="22494" xr:uid="{00000000-0005-0000-0000-0000E3570000}"/>
    <cellStyle name="40% - Accent5 76 7 2 2" xfId="22495" xr:uid="{00000000-0005-0000-0000-0000E4570000}"/>
    <cellStyle name="40% - Accent5 76 7 3" xfId="22496" xr:uid="{00000000-0005-0000-0000-0000E5570000}"/>
    <cellStyle name="40% - Accent5 76 8" xfId="22497" xr:uid="{00000000-0005-0000-0000-0000E6570000}"/>
    <cellStyle name="40% - Accent5 76 8 2" xfId="22498" xr:uid="{00000000-0005-0000-0000-0000E7570000}"/>
    <cellStyle name="40% - Accent5 76 8 2 2" xfId="22499" xr:uid="{00000000-0005-0000-0000-0000E8570000}"/>
    <cellStyle name="40% - Accent5 76 8 3" xfId="22500" xr:uid="{00000000-0005-0000-0000-0000E9570000}"/>
    <cellStyle name="40% - Accent5 76 9" xfId="22501" xr:uid="{00000000-0005-0000-0000-0000EA570000}"/>
    <cellStyle name="40% - Accent5 76 9 2" xfId="22502" xr:uid="{00000000-0005-0000-0000-0000EB570000}"/>
    <cellStyle name="40% - Accent5 76 9 2 2" xfId="22503" xr:uid="{00000000-0005-0000-0000-0000EC570000}"/>
    <cellStyle name="40% - Accent5 76 9 3" xfId="22504" xr:uid="{00000000-0005-0000-0000-0000ED570000}"/>
    <cellStyle name="40% - Accent5 77" xfId="22505" xr:uid="{00000000-0005-0000-0000-0000EE570000}"/>
    <cellStyle name="40% - Accent5 77 10" xfId="22506" xr:uid="{00000000-0005-0000-0000-0000EF570000}"/>
    <cellStyle name="40% - Accent5 77 10 2" xfId="22507" xr:uid="{00000000-0005-0000-0000-0000F0570000}"/>
    <cellStyle name="40% - Accent5 77 10 2 2" xfId="22508" xr:uid="{00000000-0005-0000-0000-0000F1570000}"/>
    <cellStyle name="40% - Accent5 77 10 3" xfId="22509" xr:uid="{00000000-0005-0000-0000-0000F2570000}"/>
    <cellStyle name="40% - Accent5 77 11" xfId="22510" xr:uid="{00000000-0005-0000-0000-0000F3570000}"/>
    <cellStyle name="40% - Accent5 77 11 2" xfId="22511" xr:uid="{00000000-0005-0000-0000-0000F4570000}"/>
    <cellStyle name="40% - Accent5 77 11 2 2" xfId="22512" xr:uid="{00000000-0005-0000-0000-0000F5570000}"/>
    <cellStyle name="40% - Accent5 77 11 3" xfId="22513" xr:uid="{00000000-0005-0000-0000-0000F6570000}"/>
    <cellStyle name="40% - Accent5 77 12" xfId="22514" xr:uid="{00000000-0005-0000-0000-0000F7570000}"/>
    <cellStyle name="40% - Accent5 77 12 2" xfId="22515" xr:uid="{00000000-0005-0000-0000-0000F8570000}"/>
    <cellStyle name="40% - Accent5 77 12 2 2" xfId="22516" xr:uid="{00000000-0005-0000-0000-0000F9570000}"/>
    <cellStyle name="40% - Accent5 77 12 3" xfId="22517" xr:uid="{00000000-0005-0000-0000-0000FA570000}"/>
    <cellStyle name="40% - Accent5 77 13" xfId="22518" xr:uid="{00000000-0005-0000-0000-0000FB570000}"/>
    <cellStyle name="40% - Accent5 77 13 2" xfId="22519" xr:uid="{00000000-0005-0000-0000-0000FC570000}"/>
    <cellStyle name="40% - Accent5 77 13 2 2" xfId="22520" xr:uid="{00000000-0005-0000-0000-0000FD570000}"/>
    <cellStyle name="40% - Accent5 77 13 3" xfId="22521" xr:uid="{00000000-0005-0000-0000-0000FE570000}"/>
    <cellStyle name="40% - Accent5 77 14" xfId="22522" xr:uid="{00000000-0005-0000-0000-0000FF570000}"/>
    <cellStyle name="40% - Accent5 77 14 2" xfId="22523" xr:uid="{00000000-0005-0000-0000-000000580000}"/>
    <cellStyle name="40% - Accent5 77 14 2 2" xfId="22524" xr:uid="{00000000-0005-0000-0000-000001580000}"/>
    <cellStyle name="40% - Accent5 77 14 3" xfId="22525" xr:uid="{00000000-0005-0000-0000-000002580000}"/>
    <cellStyle name="40% - Accent5 77 15" xfId="22526" xr:uid="{00000000-0005-0000-0000-000003580000}"/>
    <cellStyle name="40% - Accent5 77 15 2" xfId="22527" xr:uid="{00000000-0005-0000-0000-000004580000}"/>
    <cellStyle name="40% - Accent5 77 15 2 2" xfId="22528" xr:uid="{00000000-0005-0000-0000-000005580000}"/>
    <cellStyle name="40% - Accent5 77 15 3" xfId="22529" xr:uid="{00000000-0005-0000-0000-000006580000}"/>
    <cellStyle name="40% - Accent5 77 16" xfId="22530" xr:uid="{00000000-0005-0000-0000-000007580000}"/>
    <cellStyle name="40% - Accent5 77 16 2" xfId="22531" xr:uid="{00000000-0005-0000-0000-000008580000}"/>
    <cellStyle name="40% - Accent5 77 16 2 2" xfId="22532" xr:uid="{00000000-0005-0000-0000-000009580000}"/>
    <cellStyle name="40% - Accent5 77 16 3" xfId="22533" xr:uid="{00000000-0005-0000-0000-00000A580000}"/>
    <cellStyle name="40% - Accent5 77 17" xfId="22534" xr:uid="{00000000-0005-0000-0000-00000B580000}"/>
    <cellStyle name="40% - Accent5 77 17 2" xfId="22535" xr:uid="{00000000-0005-0000-0000-00000C580000}"/>
    <cellStyle name="40% - Accent5 77 17 2 2" xfId="22536" xr:uid="{00000000-0005-0000-0000-00000D580000}"/>
    <cellStyle name="40% - Accent5 77 17 3" xfId="22537" xr:uid="{00000000-0005-0000-0000-00000E580000}"/>
    <cellStyle name="40% - Accent5 77 18" xfId="22538" xr:uid="{00000000-0005-0000-0000-00000F580000}"/>
    <cellStyle name="40% - Accent5 77 18 2" xfId="22539" xr:uid="{00000000-0005-0000-0000-000010580000}"/>
    <cellStyle name="40% - Accent5 77 18 2 2" xfId="22540" xr:uid="{00000000-0005-0000-0000-000011580000}"/>
    <cellStyle name="40% - Accent5 77 18 3" xfId="22541" xr:uid="{00000000-0005-0000-0000-000012580000}"/>
    <cellStyle name="40% - Accent5 77 19" xfId="22542" xr:uid="{00000000-0005-0000-0000-000013580000}"/>
    <cellStyle name="40% - Accent5 77 19 2" xfId="22543" xr:uid="{00000000-0005-0000-0000-000014580000}"/>
    <cellStyle name="40% - Accent5 77 19 2 2" xfId="22544" xr:uid="{00000000-0005-0000-0000-000015580000}"/>
    <cellStyle name="40% - Accent5 77 19 3" xfId="22545" xr:uid="{00000000-0005-0000-0000-000016580000}"/>
    <cellStyle name="40% - Accent5 77 2" xfId="22546" xr:uid="{00000000-0005-0000-0000-000017580000}"/>
    <cellStyle name="40% - Accent5 77 2 2" xfId="22547" xr:uid="{00000000-0005-0000-0000-000018580000}"/>
    <cellStyle name="40% - Accent5 77 2 2 2" xfId="22548" xr:uid="{00000000-0005-0000-0000-000019580000}"/>
    <cellStyle name="40% - Accent5 77 2 3" xfId="22549" xr:uid="{00000000-0005-0000-0000-00001A580000}"/>
    <cellStyle name="40% - Accent5 77 20" xfId="22550" xr:uid="{00000000-0005-0000-0000-00001B580000}"/>
    <cellStyle name="40% - Accent5 77 20 2" xfId="22551" xr:uid="{00000000-0005-0000-0000-00001C580000}"/>
    <cellStyle name="40% - Accent5 77 20 2 2" xfId="22552" xr:uid="{00000000-0005-0000-0000-00001D580000}"/>
    <cellStyle name="40% - Accent5 77 20 3" xfId="22553" xr:uid="{00000000-0005-0000-0000-00001E580000}"/>
    <cellStyle name="40% - Accent5 77 21" xfId="22554" xr:uid="{00000000-0005-0000-0000-00001F580000}"/>
    <cellStyle name="40% - Accent5 77 21 2" xfId="22555" xr:uid="{00000000-0005-0000-0000-000020580000}"/>
    <cellStyle name="40% - Accent5 77 21 2 2" xfId="22556" xr:uid="{00000000-0005-0000-0000-000021580000}"/>
    <cellStyle name="40% - Accent5 77 21 3" xfId="22557" xr:uid="{00000000-0005-0000-0000-000022580000}"/>
    <cellStyle name="40% - Accent5 77 22" xfId="22558" xr:uid="{00000000-0005-0000-0000-000023580000}"/>
    <cellStyle name="40% - Accent5 77 22 2" xfId="22559" xr:uid="{00000000-0005-0000-0000-000024580000}"/>
    <cellStyle name="40% - Accent5 77 22 2 2" xfId="22560" xr:uid="{00000000-0005-0000-0000-000025580000}"/>
    <cellStyle name="40% - Accent5 77 22 3" xfId="22561" xr:uid="{00000000-0005-0000-0000-000026580000}"/>
    <cellStyle name="40% - Accent5 77 23" xfId="22562" xr:uid="{00000000-0005-0000-0000-000027580000}"/>
    <cellStyle name="40% - Accent5 77 23 2" xfId="22563" xr:uid="{00000000-0005-0000-0000-000028580000}"/>
    <cellStyle name="40% - Accent5 77 23 2 2" xfId="22564" xr:uid="{00000000-0005-0000-0000-000029580000}"/>
    <cellStyle name="40% - Accent5 77 23 3" xfId="22565" xr:uid="{00000000-0005-0000-0000-00002A580000}"/>
    <cellStyle name="40% - Accent5 77 24" xfId="22566" xr:uid="{00000000-0005-0000-0000-00002B580000}"/>
    <cellStyle name="40% - Accent5 77 24 2" xfId="22567" xr:uid="{00000000-0005-0000-0000-00002C580000}"/>
    <cellStyle name="40% - Accent5 77 24 2 2" xfId="22568" xr:uid="{00000000-0005-0000-0000-00002D580000}"/>
    <cellStyle name="40% - Accent5 77 24 3" xfId="22569" xr:uid="{00000000-0005-0000-0000-00002E580000}"/>
    <cellStyle name="40% - Accent5 77 25" xfId="22570" xr:uid="{00000000-0005-0000-0000-00002F580000}"/>
    <cellStyle name="40% - Accent5 77 25 2" xfId="22571" xr:uid="{00000000-0005-0000-0000-000030580000}"/>
    <cellStyle name="40% - Accent5 77 25 2 2" xfId="22572" xr:uid="{00000000-0005-0000-0000-000031580000}"/>
    <cellStyle name="40% - Accent5 77 25 3" xfId="22573" xr:uid="{00000000-0005-0000-0000-000032580000}"/>
    <cellStyle name="40% - Accent5 77 26" xfId="22574" xr:uid="{00000000-0005-0000-0000-000033580000}"/>
    <cellStyle name="40% - Accent5 77 26 2" xfId="22575" xr:uid="{00000000-0005-0000-0000-000034580000}"/>
    <cellStyle name="40% - Accent5 77 26 2 2" xfId="22576" xr:uid="{00000000-0005-0000-0000-000035580000}"/>
    <cellStyle name="40% - Accent5 77 26 3" xfId="22577" xr:uid="{00000000-0005-0000-0000-000036580000}"/>
    <cellStyle name="40% - Accent5 77 27" xfId="22578" xr:uid="{00000000-0005-0000-0000-000037580000}"/>
    <cellStyle name="40% - Accent5 77 27 2" xfId="22579" xr:uid="{00000000-0005-0000-0000-000038580000}"/>
    <cellStyle name="40% - Accent5 77 27 2 2" xfId="22580" xr:uid="{00000000-0005-0000-0000-000039580000}"/>
    <cellStyle name="40% - Accent5 77 27 3" xfId="22581" xr:uid="{00000000-0005-0000-0000-00003A580000}"/>
    <cellStyle name="40% - Accent5 77 28" xfId="22582" xr:uid="{00000000-0005-0000-0000-00003B580000}"/>
    <cellStyle name="40% - Accent5 77 28 2" xfId="22583" xr:uid="{00000000-0005-0000-0000-00003C580000}"/>
    <cellStyle name="40% - Accent5 77 28 2 2" xfId="22584" xr:uid="{00000000-0005-0000-0000-00003D580000}"/>
    <cellStyle name="40% - Accent5 77 28 3" xfId="22585" xr:uid="{00000000-0005-0000-0000-00003E580000}"/>
    <cellStyle name="40% - Accent5 77 29" xfId="22586" xr:uid="{00000000-0005-0000-0000-00003F580000}"/>
    <cellStyle name="40% - Accent5 77 29 2" xfId="22587" xr:uid="{00000000-0005-0000-0000-000040580000}"/>
    <cellStyle name="40% - Accent5 77 29 2 2" xfId="22588" xr:uid="{00000000-0005-0000-0000-000041580000}"/>
    <cellStyle name="40% - Accent5 77 29 3" xfId="22589" xr:uid="{00000000-0005-0000-0000-000042580000}"/>
    <cellStyle name="40% - Accent5 77 3" xfId="22590" xr:uid="{00000000-0005-0000-0000-000043580000}"/>
    <cellStyle name="40% - Accent5 77 3 2" xfId="22591" xr:uid="{00000000-0005-0000-0000-000044580000}"/>
    <cellStyle name="40% - Accent5 77 3 2 2" xfId="22592" xr:uid="{00000000-0005-0000-0000-000045580000}"/>
    <cellStyle name="40% - Accent5 77 3 3" xfId="22593" xr:uid="{00000000-0005-0000-0000-000046580000}"/>
    <cellStyle name="40% - Accent5 77 30" xfId="22594" xr:uid="{00000000-0005-0000-0000-000047580000}"/>
    <cellStyle name="40% - Accent5 77 30 2" xfId="22595" xr:uid="{00000000-0005-0000-0000-000048580000}"/>
    <cellStyle name="40% - Accent5 77 30 2 2" xfId="22596" xr:uid="{00000000-0005-0000-0000-000049580000}"/>
    <cellStyle name="40% - Accent5 77 30 3" xfId="22597" xr:uid="{00000000-0005-0000-0000-00004A580000}"/>
    <cellStyle name="40% - Accent5 77 31" xfId="22598" xr:uid="{00000000-0005-0000-0000-00004B580000}"/>
    <cellStyle name="40% - Accent5 77 31 2" xfId="22599" xr:uid="{00000000-0005-0000-0000-00004C580000}"/>
    <cellStyle name="40% - Accent5 77 31 2 2" xfId="22600" xr:uid="{00000000-0005-0000-0000-00004D580000}"/>
    <cellStyle name="40% - Accent5 77 31 3" xfId="22601" xr:uid="{00000000-0005-0000-0000-00004E580000}"/>
    <cellStyle name="40% - Accent5 77 32" xfId="22602" xr:uid="{00000000-0005-0000-0000-00004F580000}"/>
    <cellStyle name="40% - Accent5 77 32 2" xfId="22603" xr:uid="{00000000-0005-0000-0000-000050580000}"/>
    <cellStyle name="40% - Accent5 77 32 2 2" xfId="22604" xr:uid="{00000000-0005-0000-0000-000051580000}"/>
    <cellStyle name="40% - Accent5 77 32 3" xfId="22605" xr:uid="{00000000-0005-0000-0000-000052580000}"/>
    <cellStyle name="40% - Accent5 77 33" xfId="22606" xr:uid="{00000000-0005-0000-0000-000053580000}"/>
    <cellStyle name="40% - Accent5 77 33 2" xfId="22607" xr:uid="{00000000-0005-0000-0000-000054580000}"/>
    <cellStyle name="40% - Accent5 77 33 2 2" xfId="22608" xr:uid="{00000000-0005-0000-0000-000055580000}"/>
    <cellStyle name="40% - Accent5 77 33 3" xfId="22609" xr:uid="{00000000-0005-0000-0000-000056580000}"/>
    <cellStyle name="40% - Accent5 77 34" xfId="22610" xr:uid="{00000000-0005-0000-0000-000057580000}"/>
    <cellStyle name="40% - Accent5 77 34 2" xfId="22611" xr:uid="{00000000-0005-0000-0000-000058580000}"/>
    <cellStyle name="40% - Accent5 77 34 2 2" xfId="22612" xr:uid="{00000000-0005-0000-0000-000059580000}"/>
    <cellStyle name="40% - Accent5 77 34 3" xfId="22613" xr:uid="{00000000-0005-0000-0000-00005A580000}"/>
    <cellStyle name="40% - Accent5 77 35" xfId="22614" xr:uid="{00000000-0005-0000-0000-00005B580000}"/>
    <cellStyle name="40% - Accent5 77 35 2" xfId="22615" xr:uid="{00000000-0005-0000-0000-00005C580000}"/>
    <cellStyle name="40% - Accent5 77 35 2 2" xfId="22616" xr:uid="{00000000-0005-0000-0000-00005D580000}"/>
    <cellStyle name="40% - Accent5 77 35 3" xfId="22617" xr:uid="{00000000-0005-0000-0000-00005E580000}"/>
    <cellStyle name="40% - Accent5 77 36" xfId="22618" xr:uid="{00000000-0005-0000-0000-00005F580000}"/>
    <cellStyle name="40% - Accent5 77 36 2" xfId="22619" xr:uid="{00000000-0005-0000-0000-000060580000}"/>
    <cellStyle name="40% - Accent5 77 36 2 2" xfId="22620" xr:uid="{00000000-0005-0000-0000-000061580000}"/>
    <cellStyle name="40% - Accent5 77 36 3" xfId="22621" xr:uid="{00000000-0005-0000-0000-000062580000}"/>
    <cellStyle name="40% - Accent5 77 4" xfId="22622" xr:uid="{00000000-0005-0000-0000-000063580000}"/>
    <cellStyle name="40% - Accent5 77 4 2" xfId="22623" xr:uid="{00000000-0005-0000-0000-000064580000}"/>
    <cellStyle name="40% - Accent5 77 4 2 2" xfId="22624" xr:uid="{00000000-0005-0000-0000-000065580000}"/>
    <cellStyle name="40% - Accent5 77 4 3" xfId="22625" xr:uid="{00000000-0005-0000-0000-000066580000}"/>
    <cellStyle name="40% - Accent5 77 5" xfId="22626" xr:uid="{00000000-0005-0000-0000-000067580000}"/>
    <cellStyle name="40% - Accent5 77 5 2" xfId="22627" xr:uid="{00000000-0005-0000-0000-000068580000}"/>
    <cellStyle name="40% - Accent5 77 5 2 2" xfId="22628" xr:uid="{00000000-0005-0000-0000-000069580000}"/>
    <cellStyle name="40% - Accent5 77 5 3" xfId="22629" xr:uid="{00000000-0005-0000-0000-00006A580000}"/>
    <cellStyle name="40% - Accent5 77 6" xfId="22630" xr:uid="{00000000-0005-0000-0000-00006B580000}"/>
    <cellStyle name="40% - Accent5 77 6 2" xfId="22631" xr:uid="{00000000-0005-0000-0000-00006C580000}"/>
    <cellStyle name="40% - Accent5 77 6 2 2" xfId="22632" xr:uid="{00000000-0005-0000-0000-00006D580000}"/>
    <cellStyle name="40% - Accent5 77 6 3" xfId="22633" xr:uid="{00000000-0005-0000-0000-00006E580000}"/>
    <cellStyle name="40% - Accent5 77 7" xfId="22634" xr:uid="{00000000-0005-0000-0000-00006F580000}"/>
    <cellStyle name="40% - Accent5 77 7 2" xfId="22635" xr:uid="{00000000-0005-0000-0000-000070580000}"/>
    <cellStyle name="40% - Accent5 77 7 2 2" xfId="22636" xr:uid="{00000000-0005-0000-0000-000071580000}"/>
    <cellStyle name="40% - Accent5 77 7 3" xfId="22637" xr:uid="{00000000-0005-0000-0000-000072580000}"/>
    <cellStyle name="40% - Accent5 77 8" xfId="22638" xr:uid="{00000000-0005-0000-0000-000073580000}"/>
    <cellStyle name="40% - Accent5 77 8 2" xfId="22639" xr:uid="{00000000-0005-0000-0000-000074580000}"/>
    <cellStyle name="40% - Accent5 77 8 2 2" xfId="22640" xr:uid="{00000000-0005-0000-0000-000075580000}"/>
    <cellStyle name="40% - Accent5 77 8 3" xfId="22641" xr:uid="{00000000-0005-0000-0000-000076580000}"/>
    <cellStyle name="40% - Accent5 77 9" xfId="22642" xr:uid="{00000000-0005-0000-0000-000077580000}"/>
    <cellStyle name="40% - Accent5 77 9 2" xfId="22643" xr:uid="{00000000-0005-0000-0000-000078580000}"/>
    <cellStyle name="40% - Accent5 77 9 2 2" xfId="22644" xr:uid="{00000000-0005-0000-0000-000079580000}"/>
    <cellStyle name="40% - Accent5 77 9 3" xfId="22645" xr:uid="{00000000-0005-0000-0000-00007A580000}"/>
    <cellStyle name="40% - Accent5 78" xfId="22646" xr:uid="{00000000-0005-0000-0000-00007B580000}"/>
    <cellStyle name="40% - Accent5 78 2" xfId="22647" xr:uid="{00000000-0005-0000-0000-00007C580000}"/>
    <cellStyle name="40% - Accent5 79" xfId="22648" xr:uid="{00000000-0005-0000-0000-00007D580000}"/>
    <cellStyle name="40% - Accent5 79 10" xfId="22649" xr:uid="{00000000-0005-0000-0000-00007E580000}"/>
    <cellStyle name="40% - Accent5 79 10 2" xfId="22650" xr:uid="{00000000-0005-0000-0000-00007F580000}"/>
    <cellStyle name="40% - Accent5 79 10 2 2" xfId="22651" xr:uid="{00000000-0005-0000-0000-000080580000}"/>
    <cellStyle name="40% - Accent5 79 10 3" xfId="22652" xr:uid="{00000000-0005-0000-0000-000081580000}"/>
    <cellStyle name="40% - Accent5 79 11" xfId="22653" xr:uid="{00000000-0005-0000-0000-000082580000}"/>
    <cellStyle name="40% - Accent5 79 11 2" xfId="22654" xr:uid="{00000000-0005-0000-0000-000083580000}"/>
    <cellStyle name="40% - Accent5 79 11 2 2" xfId="22655" xr:uid="{00000000-0005-0000-0000-000084580000}"/>
    <cellStyle name="40% - Accent5 79 11 3" xfId="22656" xr:uid="{00000000-0005-0000-0000-000085580000}"/>
    <cellStyle name="40% - Accent5 79 12" xfId="22657" xr:uid="{00000000-0005-0000-0000-000086580000}"/>
    <cellStyle name="40% - Accent5 79 12 2" xfId="22658" xr:uid="{00000000-0005-0000-0000-000087580000}"/>
    <cellStyle name="40% - Accent5 79 12 2 2" xfId="22659" xr:uid="{00000000-0005-0000-0000-000088580000}"/>
    <cellStyle name="40% - Accent5 79 12 3" xfId="22660" xr:uid="{00000000-0005-0000-0000-000089580000}"/>
    <cellStyle name="40% - Accent5 79 13" xfId="22661" xr:uid="{00000000-0005-0000-0000-00008A580000}"/>
    <cellStyle name="40% - Accent5 79 13 2" xfId="22662" xr:uid="{00000000-0005-0000-0000-00008B580000}"/>
    <cellStyle name="40% - Accent5 79 13 2 2" xfId="22663" xr:uid="{00000000-0005-0000-0000-00008C580000}"/>
    <cellStyle name="40% - Accent5 79 13 3" xfId="22664" xr:uid="{00000000-0005-0000-0000-00008D580000}"/>
    <cellStyle name="40% - Accent5 79 14" xfId="22665" xr:uid="{00000000-0005-0000-0000-00008E580000}"/>
    <cellStyle name="40% - Accent5 79 14 2" xfId="22666" xr:uid="{00000000-0005-0000-0000-00008F580000}"/>
    <cellStyle name="40% - Accent5 79 14 2 2" xfId="22667" xr:uid="{00000000-0005-0000-0000-000090580000}"/>
    <cellStyle name="40% - Accent5 79 14 3" xfId="22668" xr:uid="{00000000-0005-0000-0000-000091580000}"/>
    <cellStyle name="40% - Accent5 79 15" xfId="22669" xr:uid="{00000000-0005-0000-0000-000092580000}"/>
    <cellStyle name="40% - Accent5 79 15 2" xfId="22670" xr:uid="{00000000-0005-0000-0000-000093580000}"/>
    <cellStyle name="40% - Accent5 79 15 2 2" xfId="22671" xr:uid="{00000000-0005-0000-0000-000094580000}"/>
    <cellStyle name="40% - Accent5 79 15 3" xfId="22672" xr:uid="{00000000-0005-0000-0000-000095580000}"/>
    <cellStyle name="40% - Accent5 79 16" xfId="22673" xr:uid="{00000000-0005-0000-0000-000096580000}"/>
    <cellStyle name="40% - Accent5 79 16 2" xfId="22674" xr:uid="{00000000-0005-0000-0000-000097580000}"/>
    <cellStyle name="40% - Accent5 79 16 2 2" xfId="22675" xr:uid="{00000000-0005-0000-0000-000098580000}"/>
    <cellStyle name="40% - Accent5 79 16 3" xfId="22676" xr:uid="{00000000-0005-0000-0000-000099580000}"/>
    <cellStyle name="40% - Accent5 79 17" xfId="22677" xr:uid="{00000000-0005-0000-0000-00009A580000}"/>
    <cellStyle name="40% - Accent5 79 17 2" xfId="22678" xr:uid="{00000000-0005-0000-0000-00009B580000}"/>
    <cellStyle name="40% - Accent5 79 17 2 2" xfId="22679" xr:uid="{00000000-0005-0000-0000-00009C580000}"/>
    <cellStyle name="40% - Accent5 79 17 3" xfId="22680" xr:uid="{00000000-0005-0000-0000-00009D580000}"/>
    <cellStyle name="40% - Accent5 79 18" xfId="22681" xr:uid="{00000000-0005-0000-0000-00009E580000}"/>
    <cellStyle name="40% - Accent5 79 18 2" xfId="22682" xr:uid="{00000000-0005-0000-0000-00009F580000}"/>
    <cellStyle name="40% - Accent5 79 18 2 2" xfId="22683" xr:uid="{00000000-0005-0000-0000-0000A0580000}"/>
    <cellStyle name="40% - Accent5 79 18 3" xfId="22684" xr:uid="{00000000-0005-0000-0000-0000A1580000}"/>
    <cellStyle name="40% - Accent5 79 19" xfId="22685" xr:uid="{00000000-0005-0000-0000-0000A2580000}"/>
    <cellStyle name="40% - Accent5 79 19 2" xfId="22686" xr:uid="{00000000-0005-0000-0000-0000A3580000}"/>
    <cellStyle name="40% - Accent5 79 19 2 2" xfId="22687" xr:uid="{00000000-0005-0000-0000-0000A4580000}"/>
    <cellStyle name="40% - Accent5 79 19 3" xfId="22688" xr:uid="{00000000-0005-0000-0000-0000A5580000}"/>
    <cellStyle name="40% - Accent5 79 2" xfId="22689" xr:uid="{00000000-0005-0000-0000-0000A6580000}"/>
    <cellStyle name="40% - Accent5 79 2 2" xfId="22690" xr:uid="{00000000-0005-0000-0000-0000A7580000}"/>
    <cellStyle name="40% - Accent5 79 2 2 2" xfId="22691" xr:uid="{00000000-0005-0000-0000-0000A8580000}"/>
    <cellStyle name="40% - Accent5 79 2 3" xfId="22692" xr:uid="{00000000-0005-0000-0000-0000A9580000}"/>
    <cellStyle name="40% - Accent5 79 20" xfId="22693" xr:uid="{00000000-0005-0000-0000-0000AA580000}"/>
    <cellStyle name="40% - Accent5 79 20 2" xfId="22694" xr:uid="{00000000-0005-0000-0000-0000AB580000}"/>
    <cellStyle name="40% - Accent5 79 20 2 2" xfId="22695" xr:uid="{00000000-0005-0000-0000-0000AC580000}"/>
    <cellStyle name="40% - Accent5 79 20 3" xfId="22696" xr:uid="{00000000-0005-0000-0000-0000AD580000}"/>
    <cellStyle name="40% - Accent5 79 21" xfId="22697" xr:uid="{00000000-0005-0000-0000-0000AE580000}"/>
    <cellStyle name="40% - Accent5 79 21 2" xfId="22698" xr:uid="{00000000-0005-0000-0000-0000AF580000}"/>
    <cellStyle name="40% - Accent5 79 21 2 2" xfId="22699" xr:uid="{00000000-0005-0000-0000-0000B0580000}"/>
    <cellStyle name="40% - Accent5 79 21 3" xfId="22700" xr:uid="{00000000-0005-0000-0000-0000B1580000}"/>
    <cellStyle name="40% - Accent5 79 22" xfId="22701" xr:uid="{00000000-0005-0000-0000-0000B2580000}"/>
    <cellStyle name="40% - Accent5 79 22 2" xfId="22702" xr:uid="{00000000-0005-0000-0000-0000B3580000}"/>
    <cellStyle name="40% - Accent5 79 22 2 2" xfId="22703" xr:uid="{00000000-0005-0000-0000-0000B4580000}"/>
    <cellStyle name="40% - Accent5 79 22 3" xfId="22704" xr:uid="{00000000-0005-0000-0000-0000B5580000}"/>
    <cellStyle name="40% - Accent5 79 23" xfId="22705" xr:uid="{00000000-0005-0000-0000-0000B6580000}"/>
    <cellStyle name="40% - Accent5 79 23 2" xfId="22706" xr:uid="{00000000-0005-0000-0000-0000B7580000}"/>
    <cellStyle name="40% - Accent5 79 23 2 2" xfId="22707" xr:uid="{00000000-0005-0000-0000-0000B8580000}"/>
    <cellStyle name="40% - Accent5 79 23 3" xfId="22708" xr:uid="{00000000-0005-0000-0000-0000B9580000}"/>
    <cellStyle name="40% - Accent5 79 24" xfId="22709" xr:uid="{00000000-0005-0000-0000-0000BA580000}"/>
    <cellStyle name="40% - Accent5 79 24 2" xfId="22710" xr:uid="{00000000-0005-0000-0000-0000BB580000}"/>
    <cellStyle name="40% - Accent5 79 24 2 2" xfId="22711" xr:uid="{00000000-0005-0000-0000-0000BC580000}"/>
    <cellStyle name="40% - Accent5 79 24 3" xfId="22712" xr:uid="{00000000-0005-0000-0000-0000BD580000}"/>
    <cellStyle name="40% - Accent5 79 25" xfId="22713" xr:uid="{00000000-0005-0000-0000-0000BE580000}"/>
    <cellStyle name="40% - Accent5 79 25 2" xfId="22714" xr:uid="{00000000-0005-0000-0000-0000BF580000}"/>
    <cellStyle name="40% - Accent5 79 25 2 2" xfId="22715" xr:uid="{00000000-0005-0000-0000-0000C0580000}"/>
    <cellStyle name="40% - Accent5 79 25 3" xfId="22716" xr:uid="{00000000-0005-0000-0000-0000C1580000}"/>
    <cellStyle name="40% - Accent5 79 26" xfId="22717" xr:uid="{00000000-0005-0000-0000-0000C2580000}"/>
    <cellStyle name="40% - Accent5 79 26 2" xfId="22718" xr:uid="{00000000-0005-0000-0000-0000C3580000}"/>
    <cellStyle name="40% - Accent5 79 26 2 2" xfId="22719" xr:uid="{00000000-0005-0000-0000-0000C4580000}"/>
    <cellStyle name="40% - Accent5 79 26 3" xfId="22720" xr:uid="{00000000-0005-0000-0000-0000C5580000}"/>
    <cellStyle name="40% - Accent5 79 27" xfId="22721" xr:uid="{00000000-0005-0000-0000-0000C6580000}"/>
    <cellStyle name="40% - Accent5 79 27 2" xfId="22722" xr:uid="{00000000-0005-0000-0000-0000C7580000}"/>
    <cellStyle name="40% - Accent5 79 27 2 2" xfId="22723" xr:uid="{00000000-0005-0000-0000-0000C8580000}"/>
    <cellStyle name="40% - Accent5 79 27 3" xfId="22724" xr:uid="{00000000-0005-0000-0000-0000C9580000}"/>
    <cellStyle name="40% - Accent5 79 28" xfId="22725" xr:uid="{00000000-0005-0000-0000-0000CA580000}"/>
    <cellStyle name="40% - Accent5 79 28 2" xfId="22726" xr:uid="{00000000-0005-0000-0000-0000CB580000}"/>
    <cellStyle name="40% - Accent5 79 28 2 2" xfId="22727" xr:uid="{00000000-0005-0000-0000-0000CC580000}"/>
    <cellStyle name="40% - Accent5 79 28 3" xfId="22728" xr:uid="{00000000-0005-0000-0000-0000CD580000}"/>
    <cellStyle name="40% - Accent5 79 29" xfId="22729" xr:uid="{00000000-0005-0000-0000-0000CE580000}"/>
    <cellStyle name="40% - Accent5 79 29 2" xfId="22730" xr:uid="{00000000-0005-0000-0000-0000CF580000}"/>
    <cellStyle name="40% - Accent5 79 29 2 2" xfId="22731" xr:uid="{00000000-0005-0000-0000-0000D0580000}"/>
    <cellStyle name="40% - Accent5 79 29 3" xfId="22732" xr:uid="{00000000-0005-0000-0000-0000D1580000}"/>
    <cellStyle name="40% - Accent5 79 3" xfId="22733" xr:uid="{00000000-0005-0000-0000-0000D2580000}"/>
    <cellStyle name="40% - Accent5 79 3 2" xfId="22734" xr:uid="{00000000-0005-0000-0000-0000D3580000}"/>
    <cellStyle name="40% - Accent5 79 3 2 2" xfId="22735" xr:uid="{00000000-0005-0000-0000-0000D4580000}"/>
    <cellStyle name="40% - Accent5 79 3 3" xfId="22736" xr:uid="{00000000-0005-0000-0000-0000D5580000}"/>
    <cellStyle name="40% - Accent5 79 30" xfId="22737" xr:uid="{00000000-0005-0000-0000-0000D6580000}"/>
    <cellStyle name="40% - Accent5 79 30 2" xfId="22738" xr:uid="{00000000-0005-0000-0000-0000D7580000}"/>
    <cellStyle name="40% - Accent5 79 30 2 2" xfId="22739" xr:uid="{00000000-0005-0000-0000-0000D8580000}"/>
    <cellStyle name="40% - Accent5 79 30 3" xfId="22740" xr:uid="{00000000-0005-0000-0000-0000D9580000}"/>
    <cellStyle name="40% - Accent5 79 31" xfId="22741" xr:uid="{00000000-0005-0000-0000-0000DA580000}"/>
    <cellStyle name="40% - Accent5 79 31 2" xfId="22742" xr:uid="{00000000-0005-0000-0000-0000DB580000}"/>
    <cellStyle name="40% - Accent5 79 31 2 2" xfId="22743" xr:uid="{00000000-0005-0000-0000-0000DC580000}"/>
    <cellStyle name="40% - Accent5 79 31 3" xfId="22744" xr:uid="{00000000-0005-0000-0000-0000DD580000}"/>
    <cellStyle name="40% - Accent5 79 32" xfId="22745" xr:uid="{00000000-0005-0000-0000-0000DE580000}"/>
    <cellStyle name="40% - Accent5 79 32 2" xfId="22746" xr:uid="{00000000-0005-0000-0000-0000DF580000}"/>
    <cellStyle name="40% - Accent5 79 32 2 2" xfId="22747" xr:uid="{00000000-0005-0000-0000-0000E0580000}"/>
    <cellStyle name="40% - Accent5 79 32 3" xfId="22748" xr:uid="{00000000-0005-0000-0000-0000E1580000}"/>
    <cellStyle name="40% - Accent5 79 33" xfId="22749" xr:uid="{00000000-0005-0000-0000-0000E2580000}"/>
    <cellStyle name="40% - Accent5 79 33 2" xfId="22750" xr:uid="{00000000-0005-0000-0000-0000E3580000}"/>
    <cellStyle name="40% - Accent5 79 33 2 2" xfId="22751" xr:uid="{00000000-0005-0000-0000-0000E4580000}"/>
    <cellStyle name="40% - Accent5 79 33 3" xfId="22752" xr:uid="{00000000-0005-0000-0000-0000E5580000}"/>
    <cellStyle name="40% - Accent5 79 34" xfId="22753" xr:uid="{00000000-0005-0000-0000-0000E6580000}"/>
    <cellStyle name="40% - Accent5 79 34 2" xfId="22754" xr:uid="{00000000-0005-0000-0000-0000E7580000}"/>
    <cellStyle name="40% - Accent5 79 34 2 2" xfId="22755" xr:uid="{00000000-0005-0000-0000-0000E8580000}"/>
    <cellStyle name="40% - Accent5 79 34 3" xfId="22756" xr:uid="{00000000-0005-0000-0000-0000E9580000}"/>
    <cellStyle name="40% - Accent5 79 35" xfId="22757" xr:uid="{00000000-0005-0000-0000-0000EA580000}"/>
    <cellStyle name="40% - Accent5 79 35 2" xfId="22758" xr:uid="{00000000-0005-0000-0000-0000EB580000}"/>
    <cellStyle name="40% - Accent5 79 35 2 2" xfId="22759" xr:uid="{00000000-0005-0000-0000-0000EC580000}"/>
    <cellStyle name="40% - Accent5 79 35 3" xfId="22760" xr:uid="{00000000-0005-0000-0000-0000ED580000}"/>
    <cellStyle name="40% - Accent5 79 36" xfId="22761" xr:uid="{00000000-0005-0000-0000-0000EE580000}"/>
    <cellStyle name="40% - Accent5 79 36 2" xfId="22762" xr:uid="{00000000-0005-0000-0000-0000EF580000}"/>
    <cellStyle name="40% - Accent5 79 36 2 2" xfId="22763" xr:uid="{00000000-0005-0000-0000-0000F0580000}"/>
    <cellStyle name="40% - Accent5 79 36 3" xfId="22764" xr:uid="{00000000-0005-0000-0000-0000F1580000}"/>
    <cellStyle name="40% - Accent5 79 4" xfId="22765" xr:uid="{00000000-0005-0000-0000-0000F2580000}"/>
    <cellStyle name="40% - Accent5 79 4 2" xfId="22766" xr:uid="{00000000-0005-0000-0000-0000F3580000}"/>
    <cellStyle name="40% - Accent5 79 4 2 2" xfId="22767" xr:uid="{00000000-0005-0000-0000-0000F4580000}"/>
    <cellStyle name="40% - Accent5 79 4 3" xfId="22768" xr:uid="{00000000-0005-0000-0000-0000F5580000}"/>
    <cellStyle name="40% - Accent5 79 5" xfId="22769" xr:uid="{00000000-0005-0000-0000-0000F6580000}"/>
    <cellStyle name="40% - Accent5 79 5 2" xfId="22770" xr:uid="{00000000-0005-0000-0000-0000F7580000}"/>
    <cellStyle name="40% - Accent5 79 5 2 2" xfId="22771" xr:uid="{00000000-0005-0000-0000-0000F8580000}"/>
    <cellStyle name="40% - Accent5 79 5 3" xfId="22772" xr:uid="{00000000-0005-0000-0000-0000F9580000}"/>
    <cellStyle name="40% - Accent5 79 6" xfId="22773" xr:uid="{00000000-0005-0000-0000-0000FA580000}"/>
    <cellStyle name="40% - Accent5 79 6 2" xfId="22774" xr:uid="{00000000-0005-0000-0000-0000FB580000}"/>
    <cellStyle name="40% - Accent5 79 6 2 2" xfId="22775" xr:uid="{00000000-0005-0000-0000-0000FC580000}"/>
    <cellStyle name="40% - Accent5 79 6 3" xfId="22776" xr:uid="{00000000-0005-0000-0000-0000FD580000}"/>
    <cellStyle name="40% - Accent5 79 7" xfId="22777" xr:uid="{00000000-0005-0000-0000-0000FE580000}"/>
    <cellStyle name="40% - Accent5 79 7 2" xfId="22778" xr:uid="{00000000-0005-0000-0000-0000FF580000}"/>
    <cellStyle name="40% - Accent5 79 7 2 2" xfId="22779" xr:uid="{00000000-0005-0000-0000-000000590000}"/>
    <cellStyle name="40% - Accent5 79 7 3" xfId="22780" xr:uid="{00000000-0005-0000-0000-000001590000}"/>
    <cellStyle name="40% - Accent5 79 8" xfId="22781" xr:uid="{00000000-0005-0000-0000-000002590000}"/>
    <cellStyle name="40% - Accent5 79 8 2" xfId="22782" xr:uid="{00000000-0005-0000-0000-000003590000}"/>
    <cellStyle name="40% - Accent5 79 8 2 2" xfId="22783" xr:uid="{00000000-0005-0000-0000-000004590000}"/>
    <cellStyle name="40% - Accent5 79 8 3" xfId="22784" xr:uid="{00000000-0005-0000-0000-000005590000}"/>
    <cellStyle name="40% - Accent5 79 9" xfId="22785" xr:uid="{00000000-0005-0000-0000-000006590000}"/>
    <cellStyle name="40% - Accent5 79 9 2" xfId="22786" xr:uid="{00000000-0005-0000-0000-000007590000}"/>
    <cellStyle name="40% - Accent5 79 9 2 2" xfId="22787" xr:uid="{00000000-0005-0000-0000-000008590000}"/>
    <cellStyle name="40% - Accent5 79 9 3" xfId="22788" xr:uid="{00000000-0005-0000-0000-000009590000}"/>
    <cellStyle name="40% - Accent5 8" xfId="22789" xr:uid="{00000000-0005-0000-0000-00000A590000}"/>
    <cellStyle name="40% - Accent5 8 2" xfId="22790" xr:uid="{00000000-0005-0000-0000-00000B590000}"/>
    <cellStyle name="40% - Accent5 8 2 2" xfId="22791" xr:uid="{00000000-0005-0000-0000-00000C590000}"/>
    <cellStyle name="40% - Accent5 8 3" xfId="22792" xr:uid="{00000000-0005-0000-0000-00000D590000}"/>
    <cellStyle name="40% - Accent5 8 4" xfId="22793" xr:uid="{00000000-0005-0000-0000-00000E590000}"/>
    <cellStyle name="40% - Accent5 80" xfId="22794" xr:uid="{00000000-0005-0000-0000-00000F590000}"/>
    <cellStyle name="40% - Accent5 80 2" xfId="22795" xr:uid="{00000000-0005-0000-0000-000010590000}"/>
    <cellStyle name="40% - Accent5 81" xfId="22796" xr:uid="{00000000-0005-0000-0000-000011590000}"/>
    <cellStyle name="40% - Accent5 81 10" xfId="22797" xr:uid="{00000000-0005-0000-0000-000012590000}"/>
    <cellStyle name="40% - Accent5 81 10 2" xfId="22798" xr:uid="{00000000-0005-0000-0000-000013590000}"/>
    <cellStyle name="40% - Accent5 81 10 2 2" xfId="22799" xr:uid="{00000000-0005-0000-0000-000014590000}"/>
    <cellStyle name="40% - Accent5 81 10 3" xfId="22800" xr:uid="{00000000-0005-0000-0000-000015590000}"/>
    <cellStyle name="40% - Accent5 81 11" xfId="22801" xr:uid="{00000000-0005-0000-0000-000016590000}"/>
    <cellStyle name="40% - Accent5 81 11 2" xfId="22802" xr:uid="{00000000-0005-0000-0000-000017590000}"/>
    <cellStyle name="40% - Accent5 81 11 2 2" xfId="22803" xr:uid="{00000000-0005-0000-0000-000018590000}"/>
    <cellStyle name="40% - Accent5 81 11 3" xfId="22804" xr:uid="{00000000-0005-0000-0000-000019590000}"/>
    <cellStyle name="40% - Accent5 81 12" xfId="22805" xr:uid="{00000000-0005-0000-0000-00001A590000}"/>
    <cellStyle name="40% - Accent5 81 12 2" xfId="22806" xr:uid="{00000000-0005-0000-0000-00001B590000}"/>
    <cellStyle name="40% - Accent5 81 12 2 2" xfId="22807" xr:uid="{00000000-0005-0000-0000-00001C590000}"/>
    <cellStyle name="40% - Accent5 81 12 3" xfId="22808" xr:uid="{00000000-0005-0000-0000-00001D590000}"/>
    <cellStyle name="40% - Accent5 81 13" xfId="22809" xr:uid="{00000000-0005-0000-0000-00001E590000}"/>
    <cellStyle name="40% - Accent5 81 13 2" xfId="22810" xr:uid="{00000000-0005-0000-0000-00001F590000}"/>
    <cellStyle name="40% - Accent5 81 13 2 2" xfId="22811" xr:uid="{00000000-0005-0000-0000-000020590000}"/>
    <cellStyle name="40% - Accent5 81 13 3" xfId="22812" xr:uid="{00000000-0005-0000-0000-000021590000}"/>
    <cellStyle name="40% - Accent5 81 14" xfId="22813" xr:uid="{00000000-0005-0000-0000-000022590000}"/>
    <cellStyle name="40% - Accent5 81 14 2" xfId="22814" xr:uid="{00000000-0005-0000-0000-000023590000}"/>
    <cellStyle name="40% - Accent5 81 14 2 2" xfId="22815" xr:uid="{00000000-0005-0000-0000-000024590000}"/>
    <cellStyle name="40% - Accent5 81 14 3" xfId="22816" xr:uid="{00000000-0005-0000-0000-000025590000}"/>
    <cellStyle name="40% - Accent5 81 15" xfId="22817" xr:uid="{00000000-0005-0000-0000-000026590000}"/>
    <cellStyle name="40% - Accent5 81 15 2" xfId="22818" xr:uid="{00000000-0005-0000-0000-000027590000}"/>
    <cellStyle name="40% - Accent5 81 15 2 2" xfId="22819" xr:uid="{00000000-0005-0000-0000-000028590000}"/>
    <cellStyle name="40% - Accent5 81 15 3" xfId="22820" xr:uid="{00000000-0005-0000-0000-000029590000}"/>
    <cellStyle name="40% - Accent5 81 16" xfId="22821" xr:uid="{00000000-0005-0000-0000-00002A590000}"/>
    <cellStyle name="40% - Accent5 81 16 2" xfId="22822" xr:uid="{00000000-0005-0000-0000-00002B590000}"/>
    <cellStyle name="40% - Accent5 81 16 2 2" xfId="22823" xr:uid="{00000000-0005-0000-0000-00002C590000}"/>
    <cellStyle name="40% - Accent5 81 16 3" xfId="22824" xr:uid="{00000000-0005-0000-0000-00002D590000}"/>
    <cellStyle name="40% - Accent5 81 17" xfId="22825" xr:uid="{00000000-0005-0000-0000-00002E590000}"/>
    <cellStyle name="40% - Accent5 81 17 2" xfId="22826" xr:uid="{00000000-0005-0000-0000-00002F590000}"/>
    <cellStyle name="40% - Accent5 81 17 2 2" xfId="22827" xr:uid="{00000000-0005-0000-0000-000030590000}"/>
    <cellStyle name="40% - Accent5 81 17 3" xfId="22828" xr:uid="{00000000-0005-0000-0000-000031590000}"/>
    <cellStyle name="40% - Accent5 81 18" xfId="22829" xr:uid="{00000000-0005-0000-0000-000032590000}"/>
    <cellStyle name="40% - Accent5 81 18 2" xfId="22830" xr:uid="{00000000-0005-0000-0000-000033590000}"/>
    <cellStyle name="40% - Accent5 81 18 2 2" xfId="22831" xr:uid="{00000000-0005-0000-0000-000034590000}"/>
    <cellStyle name="40% - Accent5 81 18 3" xfId="22832" xr:uid="{00000000-0005-0000-0000-000035590000}"/>
    <cellStyle name="40% - Accent5 81 19" xfId="22833" xr:uid="{00000000-0005-0000-0000-000036590000}"/>
    <cellStyle name="40% - Accent5 81 19 2" xfId="22834" xr:uid="{00000000-0005-0000-0000-000037590000}"/>
    <cellStyle name="40% - Accent5 81 19 2 2" xfId="22835" xr:uid="{00000000-0005-0000-0000-000038590000}"/>
    <cellStyle name="40% - Accent5 81 19 3" xfId="22836" xr:uid="{00000000-0005-0000-0000-000039590000}"/>
    <cellStyle name="40% - Accent5 81 2" xfId="22837" xr:uid="{00000000-0005-0000-0000-00003A590000}"/>
    <cellStyle name="40% - Accent5 81 2 2" xfId="22838" xr:uid="{00000000-0005-0000-0000-00003B590000}"/>
    <cellStyle name="40% - Accent5 81 2 2 2" xfId="22839" xr:uid="{00000000-0005-0000-0000-00003C590000}"/>
    <cellStyle name="40% - Accent5 81 2 3" xfId="22840" xr:uid="{00000000-0005-0000-0000-00003D590000}"/>
    <cellStyle name="40% - Accent5 81 20" xfId="22841" xr:uid="{00000000-0005-0000-0000-00003E590000}"/>
    <cellStyle name="40% - Accent5 81 20 2" xfId="22842" xr:uid="{00000000-0005-0000-0000-00003F590000}"/>
    <cellStyle name="40% - Accent5 81 20 2 2" xfId="22843" xr:uid="{00000000-0005-0000-0000-000040590000}"/>
    <cellStyle name="40% - Accent5 81 20 3" xfId="22844" xr:uid="{00000000-0005-0000-0000-000041590000}"/>
    <cellStyle name="40% - Accent5 81 21" xfId="22845" xr:uid="{00000000-0005-0000-0000-000042590000}"/>
    <cellStyle name="40% - Accent5 81 21 2" xfId="22846" xr:uid="{00000000-0005-0000-0000-000043590000}"/>
    <cellStyle name="40% - Accent5 81 21 2 2" xfId="22847" xr:uid="{00000000-0005-0000-0000-000044590000}"/>
    <cellStyle name="40% - Accent5 81 21 3" xfId="22848" xr:uid="{00000000-0005-0000-0000-000045590000}"/>
    <cellStyle name="40% - Accent5 81 22" xfId="22849" xr:uid="{00000000-0005-0000-0000-000046590000}"/>
    <cellStyle name="40% - Accent5 81 22 2" xfId="22850" xr:uid="{00000000-0005-0000-0000-000047590000}"/>
    <cellStyle name="40% - Accent5 81 22 2 2" xfId="22851" xr:uid="{00000000-0005-0000-0000-000048590000}"/>
    <cellStyle name="40% - Accent5 81 22 3" xfId="22852" xr:uid="{00000000-0005-0000-0000-000049590000}"/>
    <cellStyle name="40% - Accent5 81 23" xfId="22853" xr:uid="{00000000-0005-0000-0000-00004A590000}"/>
    <cellStyle name="40% - Accent5 81 23 2" xfId="22854" xr:uid="{00000000-0005-0000-0000-00004B590000}"/>
    <cellStyle name="40% - Accent5 81 23 2 2" xfId="22855" xr:uid="{00000000-0005-0000-0000-00004C590000}"/>
    <cellStyle name="40% - Accent5 81 23 3" xfId="22856" xr:uid="{00000000-0005-0000-0000-00004D590000}"/>
    <cellStyle name="40% - Accent5 81 24" xfId="22857" xr:uid="{00000000-0005-0000-0000-00004E590000}"/>
    <cellStyle name="40% - Accent5 81 24 2" xfId="22858" xr:uid="{00000000-0005-0000-0000-00004F590000}"/>
    <cellStyle name="40% - Accent5 81 24 2 2" xfId="22859" xr:uid="{00000000-0005-0000-0000-000050590000}"/>
    <cellStyle name="40% - Accent5 81 24 3" xfId="22860" xr:uid="{00000000-0005-0000-0000-000051590000}"/>
    <cellStyle name="40% - Accent5 81 25" xfId="22861" xr:uid="{00000000-0005-0000-0000-000052590000}"/>
    <cellStyle name="40% - Accent5 81 25 2" xfId="22862" xr:uid="{00000000-0005-0000-0000-000053590000}"/>
    <cellStyle name="40% - Accent5 81 25 2 2" xfId="22863" xr:uid="{00000000-0005-0000-0000-000054590000}"/>
    <cellStyle name="40% - Accent5 81 25 3" xfId="22864" xr:uid="{00000000-0005-0000-0000-000055590000}"/>
    <cellStyle name="40% - Accent5 81 26" xfId="22865" xr:uid="{00000000-0005-0000-0000-000056590000}"/>
    <cellStyle name="40% - Accent5 81 26 2" xfId="22866" xr:uid="{00000000-0005-0000-0000-000057590000}"/>
    <cellStyle name="40% - Accent5 81 26 2 2" xfId="22867" xr:uid="{00000000-0005-0000-0000-000058590000}"/>
    <cellStyle name="40% - Accent5 81 26 3" xfId="22868" xr:uid="{00000000-0005-0000-0000-000059590000}"/>
    <cellStyle name="40% - Accent5 81 27" xfId="22869" xr:uid="{00000000-0005-0000-0000-00005A590000}"/>
    <cellStyle name="40% - Accent5 81 27 2" xfId="22870" xr:uid="{00000000-0005-0000-0000-00005B590000}"/>
    <cellStyle name="40% - Accent5 81 27 2 2" xfId="22871" xr:uid="{00000000-0005-0000-0000-00005C590000}"/>
    <cellStyle name="40% - Accent5 81 27 3" xfId="22872" xr:uid="{00000000-0005-0000-0000-00005D590000}"/>
    <cellStyle name="40% - Accent5 81 28" xfId="22873" xr:uid="{00000000-0005-0000-0000-00005E590000}"/>
    <cellStyle name="40% - Accent5 81 28 2" xfId="22874" xr:uid="{00000000-0005-0000-0000-00005F590000}"/>
    <cellStyle name="40% - Accent5 81 28 2 2" xfId="22875" xr:uid="{00000000-0005-0000-0000-000060590000}"/>
    <cellStyle name="40% - Accent5 81 28 3" xfId="22876" xr:uid="{00000000-0005-0000-0000-000061590000}"/>
    <cellStyle name="40% - Accent5 81 29" xfId="22877" xr:uid="{00000000-0005-0000-0000-000062590000}"/>
    <cellStyle name="40% - Accent5 81 29 2" xfId="22878" xr:uid="{00000000-0005-0000-0000-000063590000}"/>
    <cellStyle name="40% - Accent5 81 29 2 2" xfId="22879" xr:uid="{00000000-0005-0000-0000-000064590000}"/>
    <cellStyle name="40% - Accent5 81 29 3" xfId="22880" xr:uid="{00000000-0005-0000-0000-000065590000}"/>
    <cellStyle name="40% - Accent5 81 3" xfId="22881" xr:uid="{00000000-0005-0000-0000-000066590000}"/>
    <cellStyle name="40% - Accent5 81 3 2" xfId="22882" xr:uid="{00000000-0005-0000-0000-000067590000}"/>
    <cellStyle name="40% - Accent5 81 3 2 2" xfId="22883" xr:uid="{00000000-0005-0000-0000-000068590000}"/>
    <cellStyle name="40% - Accent5 81 3 3" xfId="22884" xr:uid="{00000000-0005-0000-0000-000069590000}"/>
    <cellStyle name="40% - Accent5 81 30" xfId="22885" xr:uid="{00000000-0005-0000-0000-00006A590000}"/>
    <cellStyle name="40% - Accent5 81 30 2" xfId="22886" xr:uid="{00000000-0005-0000-0000-00006B590000}"/>
    <cellStyle name="40% - Accent5 81 30 2 2" xfId="22887" xr:uid="{00000000-0005-0000-0000-00006C590000}"/>
    <cellStyle name="40% - Accent5 81 30 3" xfId="22888" xr:uid="{00000000-0005-0000-0000-00006D590000}"/>
    <cellStyle name="40% - Accent5 81 31" xfId="22889" xr:uid="{00000000-0005-0000-0000-00006E590000}"/>
    <cellStyle name="40% - Accent5 81 31 2" xfId="22890" xr:uid="{00000000-0005-0000-0000-00006F590000}"/>
    <cellStyle name="40% - Accent5 81 31 2 2" xfId="22891" xr:uid="{00000000-0005-0000-0000-000070590000}"/>
    <cellStyle name="40% - Accent5 81 31 3" xfId="22892" xr:uid="{00000000-0005-0000-0000-000071590000}"/>
    <cellStyle name="40% - Accent5 81 32" xfId="22893" xr:uid="{00000000-0005-0000-0000-000072590000}"/>
    <cellStyle name="40% - Accent5 81 32 2" xfId="22894" xr:uid="{00000000-0005-0000-0000-000073590000}"/>
    <cellStyle name="40% - Accent5 81 32 2 2" xfId="22895" xr:uid="{00000000-0005-0000-0000-000074590000}"/>
    <cellStyle name="40% - Accent5 81 32 3" xfId="22896" xr:uid="{00000000-0005-0000-0000-000075590000}"/>
    <cellStyle name="40% - Accent5 81 33" xfId="22897" xr:uid="{00000000-0005-0000-0000-000076590000}"/>
    <cellStyle name="40% - Accent5 81 33 2" xfId="22898" xr:uid="{00000000-0005-0000-0000-000077590000}"/>
    <cellStyle name="40% - Accent5 81 33 2 2" xfId="22899" xr:uid="{00000000-0005-0000-0000-000078590000}"/>
    <cellStyle name="40% - Accent5 81 33 3" xfId="22900" xr:uid="{00000000-0005-0000-0000-000079590000}"/>
    <cellStyle name="40% - Accent5 81 34" xfId="22901" xr:uid="{00000000-0005-0000-0000-00007A590000}"/>
    <cellStyle name="40% - Accent5 81 34 2" xfId="22902" xr:uid="{00000000-0005-0000-0000-00007B590000}"/>
    <cellStyle name="40% - Accent5 81 34 2 2" xfId="22903" xr:uid="{00000000-0005-0000-0000-00007C590000}"/>
    <cellStyle name="40% - Accent5 81 34 3" xfId="22904" xr:uid="{00000000-0005-0000-0000-00007D590000}"/>
    <cellStyle name="40% - Accent5 81 35" xfId="22905" xr:uid="{00000000-0005-0000-0000-00007E590000}"/>
    <cellStyle name="40% - Accent5 81 35 2" xfId="22906" xr:uid="{00000000-0005-0000-0000-00007F590000}"/>
    <cellStyle name="40% - Accent5 81 35 2 2" xfId="22907" xr:uid="{00000000-0005-0000-0000-000080590000}"/>
    <cellStyle name="40% - Accent5 81 35 3" xfId="22908" xr:uid="{00000000-0005-0000-0000-000081590000}"/>
    <cellStyle name="40% - Accent5 81 36" xfId="22909" xr:uid="{00000000-0005-0000-0000-000082590000}"/>
    <cellStyle name="40% - Accent5 81 36 2" xfId="22910" xr:uid="{00000000-0005-0000-0000-000083590000}"/>
    <cellStyle name="40% - Accent5 81 36 2 2" xfId="22911" xr:uid="{00000000-0005-0000-0000-000084590000}"/>
    <cellStyle name="40% - Accent5 81 36 3" xfId="22912" xr:uid="{00000000-0005-0000-0000-000085590000}"/>
    <cellStyle name="40% - Accent5 81 4" xfId="22913" xr:uid="{00000000-0005-0000-0000-000086590000}"/>
    <cellStyle name="40% - Accent5 81 4 2" xfId="22914" xr:uid="{00000000-0005-0000-0000-000087590000}"/>
    <cellStyle name="40% - Accent5 81 4 2 2" xfId="22915" xr:uid="{00000000-0005-0000-0000-000088590000}"/>
    <cellStyle name="40% - Accent5 81 4 3" xfId="22916" xr:uid="{00000000-0005-0000-0000-000089590000}"/>
    <cellStyle name="40% - Accent5 81 5" xfId="22917" xr:uid="{00000000-0005-0000-0000-00008A590000}"/>
    <cellStyle name="40% - Accent5 81 5 2" xfId="22918" xr:uid="{00000000-0005-0000-0000-00008B590000}"/>
    <cellStyle name="40% - Accent5 81 5 2 2" xfId="22919" xr:uid="{00000000-0005-0000-0000-00008C590000}"/>
    <cellStyle name="40% - Accent5 81 5 3" xfId="22920" xr:uid="{00000000-0005-0000-0000-00008D590000}"/>
    <cellStyle name="40% - Accent5 81 6" xfId="22921" xr:uid="{00000000-0005-0000-0000-00008E590000}"/>
    <cellStyle name="40% - Accent5 81 6 2" xfId="22922" xr:uid="{00000000-0005-0000-0000-00008F590000}"/>
    <cellStyle name="40% - Accent5 81 6 2 2" xfId="22923" xr:uid="{00000000-0005-0000-0000-000090590000}"/>
    <cellStyle name="40% - Accent5 81 6 3" xfId="22924" xr:uid="{00000000-0005-0000-0000-000091590000}"/>
    <cellStyle name="40% - Accent5 81 7" xfId="22925" xr:uid="{00000000-0005-0000-0000-000092590000}"/>
    <cellStyle name="40% - Accent5 81 7 2" xfId="22926" xr:uid="{00000000-0005-0000-0000-000093590000}"/>
    <cellStyle name="40% - Accent5 81 7 2 2" xfId="22927" xr:uid="{00000000-0005-0000-0000-000094590000}"/>
    <cellStyle name="40% - Accent5 81 7 3" xfId="22928" xr:uid="{00000000-0005-0000-0000-000095590000}"/>
    <cellStyle name="40% - Accent5 81 8" xfId="22929" xr:uid="{00000000-0005-0000-0000-000096590000}"/>
    <cellStyle name="40% - Accent5 81 8 2" xfId="22930" xr:uid="{00000000-0005-0000-0000-000097590000}"/>
    <cellStyle name="40% - Accent5 81 8 2 2" xfId="22931" xr:uid="{00000000-0005-0000-0000-000098590000}"/>
    <cellStyle name="40% - Accent5 81 8 3" xfId="22932" xr:uid="{00000000-0005-0000-0000-000099590000}"/>
    <cellStyle name="40% - Accent5 81 9" xfId="22933" xr:uid="{00000000-0005-0000-0000-00009A590000}"/>
    <cellStyle name="40% - Accent5 81 9 2" xfId="22934" xr:uid="{00000000-0005-0000-0000-00009B590000}"/>
    <cellStyle name="40% - Accent5 81 9 2 2" xfId="22935" xr:uid="{00000000-0005-0000-0000-00009C590000}"/>
    <cellStyle name="40% - Accent5 81 9 3" xfId="22936" xr:uid="{00000000-0005-0000-0000-00009D590000}"/>
    <cellStyle name="40% - Accent5 82" xfId="22937" xr:uid="{00000000-0005-0000-0000-00009E590000}"/>
    <cellStyle name="40% - Accent5 82 2" xfId="22938" xr:uid="{00000000-0005-0000-0000-00009F590000}"/>
    <cellStyle name="40% - Accent5 83" xfId="22939" xr:uid="{00000000-0005-0000-0000-0000A0590000}"/>
    <cellStyle name="40% - Accent5 83 10" xfId="22940" xr:uid="{00000000-0005-0000-0000-0000A1590000}"/>
    <cellStyle name="40% - Accent5 83 10 2" xfId="22941" xr:uid="{00000000-0005-0000-0000-0000A2590000}"/>
    <cellStyle name="40% - Accent5 83 10 2 2" xfId="22942" xr:uid="{00000000-0005-0000-0000-0000A3590000}"/>
    <cellStyle name="40% - Accent5 83 10 3" xfId="22943" xr:uid="{00000000-0005-0000-0000-0000A4590000}"/>
    <cellStyle name="40% - Accent5 83 11" xfId="22944" xr:uid="{00000000-0005-0000-0000-0000A5590000}"/>
    <cellStyle name="40% - Accent5 83 11 2" xfId="22945" xr:uid="{00000000-0005-0000-0000-0000A6590000}"/>
    <cellStyle name="40% - Accent5 83 11 2 2" xfId="22946" xr:uid="{00000000-0005-0000-0000-0000A7590000}"/>
    <cellStyle name="40% - Accent5 83 11 3" xfId="22947" xr:uid="{00000000-0005-0000-0000-0000A8590000}"/>
    <cellStyle name="40% - Accent5 83 12" xfId="22948" xr:uid="{00000000-0005-0000-0000-0000A9590000}"/>
    <cellStyle name="40% - Accent5 83 12 2" xfId="22949" xr:uid="{00000000-0005-0000-0000-0000AA590000}"/>
    <cellStyle name="40% - Accent5 83 12 2 2" xfId="22950" xr:uid="{00000000-0005-0000-0000-0000AB590000}"/>
    <cellStyle name="40% - Accent5 83 12 3" xfId="22951" xr:uid="{00000000-0005-0000-0000-0000AC590000}"/>
    <cellStyle name="40% - Accent5 83 13" xfId="22952" xr:uid="{00000000-0005-0000-0000-0000AD590000}"/>
    <cellStyle name="40% - Accent5 83 13 2" xfId="22953" xr:uid="{00000000-0005-0000-0000-0000AE590000}"/>
    <cellStyle name="40% - Accent5 83 13 2 2" xfId="22954" xr:uid="{00000000-0005-0000-0000-0000AF590000}"/>
    <cellStyle name="40% - Accent5 83 13 3" xfId="22955" xr:uid="{00000000-0005-0000-0000-0000B0590000}"/>
    <cellStyle name="40% - Accent5 83 14" xfId="22956" xr:uid="{00000000-0005-0000-0000-0000B1590000}"/>
    <cellStyle name="40% - Accent5 83 14 2" xfId="22957" xr:uid="{00000000-0005-0000-0000-0000B2590000}"/>
    <cellStyle name="40% - Accent5 83 14 2 2" xfId="22958" xr:uid="{00000000-0005-0000-0000-0000B3590000}"/>
    <cellStyle name="40% - Accent5 83 14 3" xfId="22959" xr:uid="{00000000-0005-0000-0000-0000B4590000}"/>
    <cellStyle name="40% - Accent5 83 15" xfId="22960" xr:uid="{00000000-0005-0000-0000-0000B5590000}"/>
    <cellStyle name="40% - Accent5 83 15 2" xfId="22961" xr:uid="{00000000-0005-0000-0000-0000B6590000}"/>
    <cellStyle name="40% - Accent5 83 15 2 2" xfId="22962" xr:uid="{00000000-0005-0000-0000-0000B7590000}"/>
    <cellStyle name="40% - Accent5 83 15 3" xfId="22963" xr:uid="{00000000-0005-0000-0000-0000B8590000}"/>
    <cellStyle name="40% - Accent5 83 16" xfId="22964" xr:uid="{00000000-0005-0000-0000-0000B9590000}"/>
    <cellStyle name="40% - Accent5 83 16 2" xfId="22965" xr:uid="{00000000-0005-0000-0000-0000BA590000}"/>
    <cellStyle name="40% - Accent5 83 16 2 2" xfId="22966" xr:uid="{00000000-0005-0000-0000-0000BB590000}"/>
    <cellStyle name="40% - Accent5 83 16 3" xfId="22967" xr:uid="{00000000-0005-0000-0000-0000BC590000}"/>
    <cellStyle name="40% - Accent5 83 17" xfId="22968" xr:uid="{00000000-0005-0000-0000-0000BD590000}"/>
    <cellStyle name="40% - Accent5 83 17 2" xfId="22969" xr:uid="{00000000-0005-0000-0000-0000BE590000}"/>
    <cellStyle name="40% - Accent5 83 17 2 2" xfId="22970" xr:uid="{00000000-0005-0000-0000-0000BF590000}"/>
    <cellStyle name="40% - Accent5 83 17 3" xfId="22971" xr:uid="{00000000-0005-0000-0000-0000C0590000}"/>
    <cellStyle name="40% - Accent5 83 18" xfId="22972" xr:uid="{00000000-0005-0000-0000-0000C1590000}"/>
    <cellStyle name="40% - Accent5 83 18 2" xfId="22973" xr:uid="{00000000-0005-0000-0000-0000C2590000}"/>
    <cellStyle name="40% - Accent5 83 18 2 2" xfId="22974" xr:uid="{00000000-0005-0000-0000-0000C3590000}"/>
    <cellStyle name="40% - Accent5 83 18 3" xfId="22975" xr:uid="{00000000-0005-0000-0000-0000C4590000}"/>
    <cellStyle name="40% - Accent5 83 19" xfId="22976" xr:uid="{00000000-0005-0000-0000-0000C5590000}"/>
    <cellStyle name="40% - Accent5 83 19 2" xfId="22977" xr:uid="{00000000-0005-0000-0000-0000C6590000}"/>
    <cellStyle name="40% - Accent5 83 19 2 2" xfId="22978" xr:uid="{00000000-0005-0000-0000-0000C7590000}"/>
    <cellStyle name="40% - Accent5 83 19 3" xfId="22979" xr:uid="{00000000-0005-0000-0000-0000C8590000}"/>
    <cellStyle name="40% - Accent5 83 2" xfId="22980" xr:uid="{00000000-0005-0000-0000-0000C9590000}"/>
    <cellStyle name="40% - Accent5 83 2 2" xfId="22981" xr:uid="{00000000-0005-0000-0000-0000CA590000}"/>
    <cellStyle name="40% - Accent5 83 2 2 2" xfId="22982" xr:uid="{00000000-0005-0000-0000-0000CB590000}"/>
    <cellStyle name="40% - Accent5 83 2 3" xfId="22983" xr:uid="{00000000-0005-0000-0000-0000CC590000}"/>
    <cellStyle name="40% - Accent5 83 20" xfId="22984" xr:uid="{00000000-0005-0000-0000-0000CD590000}"/>
    <cellStyle name="40% - Accent5 83 20 2" xfId="22985" xr:uid="{00000000-0005-0000-0000-0000CE590000}"/>
    <cellStyle name="40% - Accent5 83 20 2 2" xfId="22986" xr:uid="{00000000-0005-0000-0000-0000CF590000}"/>
    <cellStyle name="40% - Accent5 83 20 3" xfId="22987" xr:uid="{00000000-0005-0000-0000-0000D0590000}"/>
    <cellStyle name="40% - Accent5 83 21" xfId="22988" xr:uid="{00000000-0005-0000-0000-0000D1590000}"/>
    <cellStyle name="40% - Accent5 83 21 2" xfId="22989" xr:uid="{00000000-0005-0000-0000-0000D2590000}"/>
    <cellStyle name="40% - Accent5 83 21 2 2" xfId="22990" xr:uid="{00000000-0005-0000-0000-0000D3590000}"/>
    <cellStyle name="40% - Accent5 83 21 3" xfId="22991" xr:uid="{00000000-0005-0000-0000-0000D4590000}"/>
    <cellStyle name="40% - Accent5 83 22" xfId="22992" xr:uid="{00000000-0005-0000-0000-0000D5590000}"/>
    <cellStyle name="40% - Accent5 83 22 2" xfId="22993" xr:uid="{00000000-0005-0000-0000-0000D6590000}"/>
    <cellStyle name="40% - Accent5 83 22 2 2" xfId="22994" xr:uid="{00000000-0005-0000-0000-0000D7590000}"/>
    <cellStyle name="40% - Accent5 83 22 3" xfId="22995" xr:uid="{00000000-0005-0000-0000-0000D8590000}"/>
    <cellStyle name="40% - Accent5 83 23" xfId="22996" xr:uid="{00000000-0005-0000-0000-0000D9590000}"/>
    <cellStyle name="40% - Accent5 83 23 2" xfId="22997" xr:uid="{00000000-0005-0000-0000-0000DA590000}"/>
    <cellStyle name="40% - Accent5 83 23 2 2" xfId="22998" xr:uid="{00000000-0005-0000-0000-0000DB590000}"/>
    <cellStyle name="40% - Accent5 83 23 3" xfId="22999" xr:uid="{00000000-0005-0000-0000-0000DC590000}"/>
    <cellStyle name="40% - Accent5 83 24" xfId="23000" xr:uid="{00000000-0005-0000-0000-0000DD590000}"/>
    <cellStyle name="40% - Accent5 83 24 2" xfId="23001" xr:uid="{00000000-0005-0000-0000-0000DE590000}"/>
    <cellStyle name="40% - Accent5 83 24 2 2" xfId="23002" xr:uid="{00000000-0005-0000-0000-0000DF590000}"/>
    <cellStyle name="40% - Accent5 83 24 3" xfId="23003" xr:uid="{00000000-0005-0000-0000-0000E0590000}"/>
    <cellStyle name="40% - Accent5 83 25" xfId="23004" xr:uid="{00000000-0005-0000-0000-0000E1590000}"/>
    <cellStyle name="40% - Accent5 83 25 2" xfId="23005" xr:uid="{00000000-0005-0000-0000-0000E2590000}"/>
    <cellStyle name="40% - Accent5 83 25 2 2" xfId="23006" xr:uid="{00000000-0005-0000-0000-0000E3590000}"/>
    <cellStyle name="40% - Accent5 83 25 3" xfId="23007" xr:uid="{00000000-0005-0000-0000-0000E4590000}"/>
    <cellStyle name="40% - Accent5 83 26" xfId="23008" xr:uid="{00000000-0005-0000-0000-0000E5590000}"/>
    <cellStyle name="40% - Accent5 83 26 2" xfId="23009" xr:uid="{00000000-0005-0000-0000-0000E6590000}"/>
    <cellStyle name="40% - Accent5 83 26 2 2" xfId="23010" xr:uid="{00000000-0005-0000-0000-0000E7590000}"/>
    <cellStyle name="40% - Accent5 83 26 3" xfId="23011" xr:uid="{00000000-0005-0000-0000-0000E8590000}"/>
    <cellStyle name="40% - Accent5 83 27" xfId="23012" xr:uid="{00000000-0005-0000-0000-0000E9590000}"/>
    <cellStyle name="40% - Accent5 83 27 2" xfId="23013" xr:uid="{00000000-0005-0000-0000-0000EA590000}"/>
    <cellStyle name="40% - Accent5 83 27 2 2" xfId="23014" xr:uid="{00000000-0005-0000-0000-0000EB590000}"/>
    <cellStyle name="40% - Accent5 83 27 3" xfId="23015" xr:uid="{00000000-0005-0000-0000-0000EC590000}"/>
    <cellStyle name="40% - Accent5 83 28" xfId="23016" xr:uid="{00000000-0005-0000-0000-0000ED590000}"/>
    <cellStyle name="40% - Accent5 83 28 2" xfId="23017" xr:uid="{00000000-0005-0000-0000-0000EE590000}"/>
    <cellStyle name="40% - Accent5 83 28 2 2" xfId="23018" xr:uid="{00000000-0005-0000-0000-0000EF590000}"/>
    <cellStyle name="40% - Accent5 83 28 3" xfId="23019" xr:uid="{00000000-0005-0000-0000-0000F0590000}"/>
    <cellStyle name="40% - Accent5 83 29" xfId="23020" xr:uid="{00000000-0005-0000-0000-0000F1590000}"/>
    <cellStyle name="40% - Accent5 83 29 2" xfId="23021" xr:uid="{00000000-0005-0000-0000-0000F2590000}"/>
    <cellStyle name="40% - Accent5 83 29 2 2" xfId="23022" xr:uid="{00000000-0005-0000-0000-0000F3590000}"/>
    <cellStyle name="40% - Accent5 83 29 3" xfId="23023" xr:uid="{00000000-0005-0000-0000-0000F4590000}"/>
    <cellStyle name="40% - Accent5 83 3" xfId="23024" xr:uid="{00000000-0005-0000-0000-0000F5590000}"/>
    <cellStyle name="40% - Accent5 83 3 2" xfId="23025" xr:uid="{00000000-0005-0000-0000-0000F6590000}"/>
    <cellStyle name="40% - Accent5 83 3 2 2" xfId="23026" xr:uid="{00000000-0005-0000-0000-0000F7590000}"/>
    <cellStyle name="40% - Accent5 83 3 3" xfId="23027" xr:uid="{00000000-0005-0000-0000-0000F8590000}"/>
    <cellStyle name="40% - Accent5 83 30" xfId="23028" xr:uid="{00000000-0005-0000-0000-0000F9590000}"/>
    <cellStyle name="40% - Accent5 83 30 2" xfId="23029" xr:uid="{00000000-0005-0000-0000-0000FA590000}"/>
    <cellStyle name="40% - Accent5 83 30 2 2" xfId="23030" xr:uid="{00000000-0005-0000-0000-0000FB590000}"/>
    <cellStyle name="40% - Accent5 83 30 3" xfId="23031" xr:uid="{00000000-0005-0000-0000-0000FC590000}"/>
    <cellStyle name="40% - Accent5 83 31" xfId="23032" xr:uid="{00000000-0005-0000-0000-0000FD590000}"/>
    <cellStyle name="40% - Accent5 83 31 2" xfId="23033" xr:uid="{00000000-0005-0000-0000-0000FE590000}"/>
    <cellStyle name="40% - Accent5 83 31 2 2" xfId="23034" xr:uid="{00000000-0005-0000-0000-0000FF590000}"/>
    <cellStyle name="40% - Accent5 83 31 3" xfId="23035" xr:uid="{00000000-0005-0000-0000-0000005A0000}"/>
    <cellStyle name="40% - Accent5 83 32" xfId="23036" xr:uid="{00000000-0005-0000-0000-0000015A0000}"/>
    <cellStyle name="40% - Accent5 83 32 2" xfId="23037" xr:uid="{00000000-0005-0000-0000-0000025A0000}"/>
    <cellStyle name="40% - Accent5 83 32 2 2" xfId="23038" xr:uid="{00000000-0005-0000-0000-0000035A0000}"/>
    <cellStyle name="40% - Accent5 83 32 3" xfId="23039" xr:uid="{00000000-0005-0000-0000-0000045A0000}"/>
    <cellStyle name="40% - Accent5 83 33" xfId="23040" xr:uid="{00000000-0005-0000-0000-0000055A0000}"/>
    <cellStyle name="40% - Accent5 83 33 2" xfId="23041" xr:uid="{00000000-0005-0000-0000-0000065A0000}"/>
    <cellStyle name="40% - Accent5 83 33 2 2" xfId="23042" xr:uid="{00000000-0005-0000-0000-0000075A0000}"/>
    <cellStyle name="40% - Accent5 83 33 3" xfId="23043" xr:uid="{00000000-0005-0000-0000-0000085A0000}"/>
    <cellStyle name="40% - Accent5 83 34" xfId="23044" xr:uid="{00000000-0005-0000-0000-0000095A0000}"/>
    <cellStyle name="40% - Accent5 83 34 2" xfId="23045" xr:uid="{00000000-0005-0000-0000-00000A5A0000}"/>
    <cellStyle name="40% - Accent5 83 34 2 2" xfId="23046" xr:uid="{00000000-0005-0000-0000-00000B5A0000}"/>
    <cellStyle name="40% - Accent5 83 34 3" xfId="23047" xr:uid="{00000000-0005-0000-0000-00000C5A0000}"/>
    <cellStyle name="40% - Accent5 83 35" xfId="23048" xr:uid="{00000000-0005-0000-0000-00000D5A0000}"/>
    <cellStyle name="40% - Accent5 83 35 2" xfId="23049" xr:uid="{00000000-0005-0000-0000-00000E5A0000}"/>
    <cellStyle name="40% - Accent5 83 35 2 2" xfId="23050" xr:uid="{00000000-0005-0000-0000-00000F5A0000}"/>
    <cellStyle name="40% - Accent5 83 35 3" xfId="23051" xr:uid="{00000000-0005-0000-0000-0000105A0000}"/>
    <cellStyle name="40% - Accent5 83 36" xfId="23052" xr:uid="{00000000-0005-0000-0000-0000115A0000}"/>
    <cellStyle name="40% - Accent5 83 36 2" xfId="23053" xr:uid="{00000000-0005-0000-0000-0000125A0000}"/>
    <cellStyle name="40% - Accent5 83 36 2 2" xfId="23054" xr:uid="{00000000-0005-0000-0000-0000135A0000}"/>
    <cellStyle name="40% - Accent5 83 36 3" xfId="23055" xr:uid="{00000000-0005-0000-0000-0000145A0000}"/>
    <cellStyle name="40% - Accent5 83 4" xfId="23056" xr:uid="{00000000-0005-0000-0000-0000155A0000}"/>
    <cellStyle name="40% - Accent5 83 4 2" xfId="23057" xr:uid="{00000000-0005-0000-0000-0000165A0000}"/>
    <cellStyle name="40% - Accent5 83 4 2 2" xfId="23058" xr:uid="{00000000-0005-0000-0000-0000175A0000}"/>
    <cellStyle name="40% - Accent5 83 4 3" xfId="23059" xr:uid="{00000000-0005-0000-0000-0000185A0000}"/>
    <cellStyle name="40% - Accent5 83 5" xfId="23060" xr:uid="{00000000-0005-0000-0000-0000195A0000}"/>
    <cellStyle name="40% - Accent5 83 5 2" xfId="23061" xr:uid="{00000000-0005-0000-0000-00001A5A0000}"/>
    <cellStyle name="40% - Accent5 83 5 2 2" xfId="23062" xr:uid="{00000000-0005-0000-0000-00001B5A0000}"/>
    <cellStyle name="40% - Accent5 83 5 3" xfId="23063" xr:uid="{00000000-0005-0000-0000-00001C5A0000}"/>
    <cellStyle name="40% - Accent5 83 6" xfId="23064" xr:uid="{00000000-0005-0000-0000-00001D5A0000}"/>
    <cellStyle name="40% - Accent5 83 6 2" xfId="23065" xr:uid="{00000000-0005-0000-0000-00001E5A0000}"/>
    <cellStyle name="40% - Accent5 83 6 2 2" xfId="23066" xr:uid="{00000000-0005-0000-0000-00001F5A0000}"/>
    <cellStyle name="40% - Accent5 83 6 3" xfId="23067" xr:uid="{00000000-0005-0000-0000-0000205A0000}"/>
    <cellStyle name="40% - Accent5 83 7" xfId="23068" xr:uid="{00000000-0005-0000-0000-0000215A0000}"/>
    <cellStyle name="40% - Accent5 83 7 2" xfId="23069" xr:uid="{00000000-0005-0000-0000-0000225A0000}"/>
    <cellStyle name="40% - Accent5 83 7 2 2" xfId="23070" xr:uid="{00000000-0005-0000-0000-0000235A0000}"/>
    <cellStyle name="40% - Accent5 83 7 3" xfId="23071" xr:uid="{00000000-0005-0000-0000-0000245A0000}"/>
    <cellStyle name="40% - Accent5 83 8" xfId="23072" xr:uid="{00000000-0005-0000-0000-0000255A0000}"/>
    <cellStyle name="40% - Accent5 83 8 2" xfId="23073" xr:uid="{00000000-0005-0000-0000-0000265A0000}"/>
    <cellStyle name="40% - Accent5 83 8 2 2" xfId="23074" xr:uid="{00000000-0005-0000-0000-0000275A0000}"/>
    <cellStyle name="40% - Accent5 83 8 3" xfId="23075" xr:uid="{00000000-0005-0000-0000-0000285A0000}"/>
    <cellStyle name="40% - Accent5 83 9" xfId="23076" xr:uid="{00000000-0005-0000-0000-0000295A0000}"/>
    <cellStyle name="40% - Accent5 83 9 2" xfId="23077" xr:uid="{00000000-0005-0000-0000-00002A5A0000}"/>
    <cellStyle name="40% - Accent5 83 9 2 2" xfId="23078" xr:uid="{00000000-0005-0000-0000-00002B5A0000}"/>
    <cellStyle name="40% - Accent5 83 9 3" xfId="23079" xr:uid="{00000000-0005-0000-0000-00002C5A0000}"/>
    <cellStyle name="40% - Accent5 84" xfId="23080" xr:uid="{00000000-0005-0000-0000-00002D5A0000}"/>
    <cellStyle name="40% - Accent5 84 10" xfId="23081" xr:uid="{00000000-0005-0000-0000-00002E5A0000}"/>
    <cellStyle name="40% - Accent5 84 10 2" xfId="23082" xr:uid="{00000000-0005-0000-0000-00002F5A0000}"/>
    <cellStyle name="40% - Accent5 84 10 2 2" xfId="23083" xr:uid="{00000000-0005-0000-0000-0000305A0000}"/>
    <cellStyle name="40% - Accent5 84 10 3" xfId="23084" xr:uid="{00000000-0005-0000-0000-0000315A0000}"/>
    <cellStyle name="40% - Accent5 84 11" xfId="23085" xr:uid="{00000000-0005-0000-0000-0000325A0000}"/>
    <cellStyle name="40% - Accent5 84 11 2" xfId="23086" xr:uid="{00000000-0005-0000-0000-0000335A0000}"/>
    <cellStyle name="40% - Accent5 84 11 2 2" xfId="23087" xr:uid="{00000000-0005-0000-0000-0000345A0000}"/>
    <cellStyle name="40% - Accent5 84 11 3" xfId="23088" xr:uid="{00000000-0005-0000-0000-0000355A0000}"/>
    <cellStyle name="40% - Accent5 84 12" xfId="23089" xr:uid="{00000000-0005-0000-0000-0000365A0000}"/>
    <cellStyle name="40% - Accent5 84 12 2" xfId="23090" xr:uid="{00000000-0005-0000-0000-0000375A0000}"/>
    <cellStyle name="40% - Accent5 84 12 2 2" xfId="23091" xr:uid="{00000000-0005-0000-0000-0000385A0000}"/>
    <cellStyle name="40% - Accent5 84 12 3" xfId="23092" xr:uid="{00000000-0005-0000-0000-0000395A0000}"/>
    <cellStyle name="40% - Accent5 84 13" xfId="23093" xr:uid="{00000000-0005-0000-0000-00003A5A0000}"/>
    <cellStyle name="40% - Accent5 84 13 2" xfId="23094" xr:uid="{00000000-0005-0000-0000-00003B5A0000}"/>
    <cellStyle name="40% - Accent5 84 13 2 2" xfId="23095" xr:uid="{00000000-0005-0000-0000-00003C5A0000}"/>
    <cellStyle name="40% - Accent5 84 13 3" xfId="23096" xr:uid="{00000000-0005-0000-0000-00003D5A0000}"/>
    <cellStyle name="40% - Accent5 84 14" xfId="23097" xr:uid="{00000000-0005-0000-0000-00003E5A0000}"/>
    <cellStyle name="40% - Accent5 84 14 2" xfId="23098" xr:uid="{00000000-0005-0000-0000-00003F5A0000}"/>
    <cellStyle name="40% - Accent5 84 14 2 2" xfId="23099" xr:uid="{00000000-0005-0000-0000-0000405A0000}"/>
    <cellStyle name="40% - Accent5 84 14 3" xfId="23100" xr:uid="{00000000-0005-0000-0000-0000415A0000}"/>
    <cellStyle name="40% - Accent5 84 15" xfId="23101" xr:uid="{00000000-0005-0000-0000-0000425A0000}"/>
    <cellStyle name="40% - Accent5 84 15 2" xfId="23102" xr:uid="{00000000-0005-0000-0000-0000435A0000}"/>
    <cellStyle name="40% - Accent5 84 15 2 2" xfId="23103" xr:uid="{00000000-0005-0000-0000-0000445A0000}"/>
    <cellStyle name="40% - Accent5 84 15 3" xfId="23104" xr:uid="{00000000-0005-0000-0000-0000455A0000}"/>
    <cellStyle name="40% - Accent5 84 16" xfId="23105" xr:uid="{00000000-0005-0000-0000-0000465A0000}"/>
    <cellStyle name="40% - Accent5 84 16 2" xfId="23106" xr:uid="{00000000-0005-0000-0000-0000475A0000}"/>
    <cellStyle name="40% - Accent5 84 16 2 2" xfId="23107" xr:uid="{00000000-0005-0000-0000-0000485A0000}"/>
    <cellStyle name="40% - Accent5 84 16 3" xfId="23108" xr:uid="{00000000-0005-0000-0000-0000495A0000}"/>
    <cellStyle name="40% - Accent5 84 17" xfId="23109" xr:uid="{00000000-0005-0000-0000-00004A5A0000}"/>
    <cellStyle name="40% - Accent5 84 17 2" xfId="23110" xr:uid="{00000000-0005-0000-0000-00004B5A0000}"/>
    <cellStyle name="40% - Accent5 84 17 2 2" xfId="23111" xr:uid="{00000000-0005-0000-0000-00004C5A0000}"/>
    <cellStyle name="40% - Accent5 84 17 3" xfId="23112" xr:uid="{00000000-0005-0000-0000-00004D5A0000}"/>
    <cellStyle name="40% - Accent5 84 18" xfId="23113" xr:uid="{00000000-0005-0000-0000-00004E5A0000}"/>
    <cellStyle name="40% - Accent5 84 18 2" xfId="23114" xr:uid="{00000000-0005-0000-0000-00004F5A0000}"/>
    <cellStyle name="40% - Accent5 84 18 2 2" xfId="23115" xr:uid="{00000000-0005-0000-0000-0000505A0000}"/>
    <cellStyle name="40% - Accent5 84 18 3" xfId="23116" xr:uid="{00000000-0005-0000-0000-0000515A0000}"/>
    <cellStyle name="40% - Accent5 84 19" xfId="23117" xr:uid="{00000000-0005-0000-0000-0000525A0000}"/>
    <cellStyle name="40% - Accent5 84 19 2" xfId="23118" xr:uid="{00000000-0005-0000-0000-0000535A0000}"/>
    <cellStyle name="40% - Accent5 84 19 2 2" xfId="23119" xr:uid="{00000000-0005-0000-0000-0000545A0000}"/>
    <cellStyle name="40% - Accent5 84 19 3" xfId="23120" xr:uid="{00000000-0005-0000-0000-0000555A0000}"/>
    <cellStyle name="40% - Accent5 84 2" xfId="23121" xr:uid="{00000000-0005-0000-0000-0000565A0000}"/>
    <cellStyle name="40% - Accent5 84 2 2" xfId="23122" xr:uid="{00000000-0005-0000-0000-0000575A0000}"/>
    <cellStyle name="40% - Accent5 84 2 2 2" xfId="23123" xr:uid="{00000000-0005-0000-0000-0000585A0000}"/>
    <cellStyle name="40% - Accent5 84 2 3" xfId="23124" xr:uid="{00000000-0005-0000-0000-0000595A0000}"/>
    <cellStyle name="40% - Accent5 84 20" xfId="23125" xr:uid="{00000000-0005-0000-0000-00005A5A0000}"/>
    <cellStyle name="40% - Accent5 84 20 2" xfId="23126" xr:uid="{00000000-0005-0000-0000-00005B5A0000}"/>
    <cellStyle name="40% - Accent5 84 20 2 2" xfId="23127" xr:uid="{00000000-0005-0000-0000-00005C5A0000}"/>
    <cellStyle name="40% - Accent5 84 20 3" xfId="23128" xr:uid="{00000000-0005-0000-0000-00005D5A0000}"/>
    <cellStyle name="40% - Accent5 84 21" xfId="23129" xr:uid="{00000000-0005-0000-0000-00005E5A0000}"/>
    <cellStyle name="40% - Accent5 84 21 2" xfId="23130" xr:uid="{00000000-0005-0000-0000-00005F5A0000}"/>
    <cellStyle name="40% - Accent5 84 21 2 2" xfId="23131" xr:uid="{00000000-0005-0000-0000-0000605A0000}"/>
    <cellStyle name="40% - Accent5 84 21 3" xfId="23132" xr:uid="{00000000-0005-0000-0000-0000615A0000}"/>
    <cellStyle name="40% - Accent5 84 22" xfId="23133" xr:uid="{00000000-0005-0000-0000-0000625A0000}"/>
    <cellStyle name="40% - Accent5 84 22 2" xfId="23134" xr:uid="{00000000-0005-0000-0000-0000635A0000}"/>
    <cellStyle name="40% - Accent5 84 22 2 2" xfId="23135" xr:uid="{00000000-0005-0000-0000-0000645A0000}"/>
    <cellStyle name="40% - Accent5 84 22 3" xfId="23136" xr:uid="{00000000-0005-0000-0000-0000655A0000}"/>
    <cellStyle name="40% - Accent5 84 23" xfId="23137" xr:uid="{00000000-0005-0000-0000-0000665A0000}"/>
    <cellStyle name="40% - Accent5 84 23 2" xfId="23138" xr:uid="{00000000-0005-0000-0000-0000675A0000}"/>
    <cellStyle name="40% - Accent5 84 23 2 2" xfId="23139" xr:uid="{00000000-0005-0000-0000-0000685A0000}"/>
    <cellStyle name="40% - Accent5 84 23 3" xfId="23140" xr:uid="{00000000-0005-0000-0000-0000695A0000}"/>
    <cellStyle name="40% - Accent5 84 24" xfId="23141" xr:uid="{00000000-0005-0000-0000-00006A5A0000}"/>
    <cellStyle name="40% - Accent5 84 24 2" xfId="23142" xr:uid="{00000000-0005-0000-0000-00006B5A0000}"/>
    <cellStyle name="40% - Accent5 84 24 2 2" xfId="23143" xr:uid="{00000000-0005-0000-0000-00006C5A0000}"/>
    <cellStyle name="40% - Accent5 84 24 3" xfId="23144" xr:uid="{00000000-0005-0000-0000-00006D5A0000}"/>
    <cellStyle name="40% - Accent5 84 25" xfId="23145" xr:uid="{00000000-0005-0000-0000-00006E5A0000}"/>
    <cellStyle name="40% - Accent5 84 25 2" xfId="23146" xr:uid="{00000000-0005-0000-0000-00006F5A0000}"/>
    <cellStyle name="40% - Accent5 84 25 2 2" xfId="23147" xr:uid="{00000000-0005-0000-0000-0000705A0000}"/>
    <cellStyle name="40% - Accent5 84 25 3" xfId="23148" xr:uid="{00000000-0005-0000-0000-0000715A0000}"/>
    <cellStyle name="40% - Accent5 84 26" xfId="23149" xr:uid="{00000000-0005-0000-0000-0000725A0000}"/>
    <cellStyle name="40% - Accent5 84 26 2" xfId="23150" xr:uid="{00000000-0005-0000-0000-0000735A0000}"/>
    <cellStyle name="40% - Accent5 84 26 2 2" xfId="23151" xr:uid="{00000000-0005-0000-0000-0000745A0000}"/>
    <cellStyle name="40% - Accent5 84 26 3" xfId="23152" xr:uid="{00000000-0005-0000-0000-0000755A0000}"/>
    <cellStyle name="40% - Accent5 84 27" xfId="23153" xr:uid="{00000000-0005-0000-0000-0000765A0000}"/>
    <cellStyle name="40% - Accent5 84 27 2" xfId="23154" xr:uid="{00000000-0005-0000-0000-0000775A0000}"/>
    <cellStyle name="40% - Accent5 84 27 2 2" xfId="23155" xr:uid="{00000000-0005-0000-0000-0000785A0000}"/>
    <cellStyle name="40% - Accent5 84 27 3" xfId="23156" xr:uid="{00000000-0005-0000-0000-0000795A0000}"/>
    <cellStyle name="40% - Accent5 84 28" xfId="23157" xr:uid="{00000000-0005-0000-0000-00007A5A0000}"/>
    <cellStyle name="40% - Accent5 84 28 2" xfId="23158" xr:uid="{00000000-0005-0000-0000-00007B5A0000}"/>
    <cellStyle name="40% - Accent5 84 28 2 2" xfId="23159" xr:uid="{00000000-0005-0000-0000-00007C5A0000}"/>
    <cellStyle name="40% - Accent5 84 28 3" xfId="23160" xr:uid="{00000000-0005-0000-0000-00007D5A0000}"/>
    <cellStyle name="40% - Accent5 84 29" xfId="23161" xr:uid="{00000000-0005-0000-0000-00007E5A0000}"/>
    <cellStyle name="40% - Accent5 84 29 2" xfId="23162" xr:uid="{00000000-0005-0000-0000-00007F5A0000}"/>
    <cellStyle name="40% - Accent5 84 29 2 2" xfId="23163" xr:uid="{00000000-0005-0000-0000-0000805A0000}"/>
    <cellStyle name="40% - Accent5 84 29 3" xfId="23164" xr:uid="{00000000-0005-0000-0000-0000815A0000}"/>
    <cellStyle name="40% - Accent5 84 3" xfId="23165" xr:uid="{00000000-0005-0000-0000-0000825A0000}"/>
    <cellStyle name="40% - Accent5 84 3 2" xfId="23166" xr:uid="{00000000-0005-0000-0000-0000835A0000}"/>
    <cellStyle name="40% - Accent5 84 3 2 2" xfId="23167" xr:uid="{00000000-0005-0000-0000-0000845A0000}"/>
    <cellStyle name="40% - Accent5 84 3 3" xfId="23168" xr:uid="{00000000-0005-0000-0000-0000855A0000}"/>
    <cellStyle name="40% - Accent5 84 30" xfId="23169" xr:uid="{00000000-0005-0000-0000-0000865A0000}"/>
    <cellStyle name="40% - Accent5 84 30 2" xfId="23170" xr:uid="{00000000-0005-0000-0000-0000875A0000}"/>
    <cellStyle name="40% - Accent5 84 30 2 2" xfId="23171" xr:uid="{00000000-0005-0000-0000-0000885A0000}"/>
    <cellStyle name="40% - Accent5 84 30 3" xfId="23172" xr:uid="{00000000-0005-0000-0000-0000895A0000}"/>
    <cellStyle name="40% - Accent5 84 31" xfId="23173" xr:uid="{00000000-0005-0000-0000-00008A5A0000}"/>
    <cellStyle name="40% - Accent5 84 31 2" xfId="23174" xr:uid="{00000000-0005-0000-0000-00008B5A0000}"/>
    <cellStyle name="40% - Accent5 84 31 2 2" xfId="23175" xr:uid="{00000000-0005-0000-0000-00008C5A0000}"/>
    <cellStyle name="40% - Accent5 84 31 3" xfId="23176" xr:uid="{00000000-0005-0000-0000-00008D5A0000}"/>
    <cellStyle name="40% - Accent5 84 32" xfId="23177" xr:uid="{00000000-0005-0000-0000-00008E5A0000}"/>
    <cellStyle name="40% - Accent5 84 32 2" xfId="23178" xr:uid="{00000000-0005-0000-0000-00008F5A0000}"/>
    <cellStyle name="40% - Accent5 84 32 2 2" xfId="23179" xr:uid="{00000000-0005-0000-0000-0000905A0000}"/>
    <cellStyle name="40% - Accent5 84 32 3" xfId="23180" xr:uid="{00000000-0005-0000-0000-0000915A0000}"/>
    <cellStyle name="40% - Accent5 84 33" xfId="23181" xr:uid="{00000000-0005-0000-0000-0000925A0000}"/>
    <cellStyle name="40% - Accent5 84 33 2" xfId="23182" xr:uid="{00000000-0005-0000-0000-0000935A0000}"/>
    <cellStyle name="40% - Accent5 84 33 2 2" xfId="23183" xr:uid="{00000000-0005-0000-0000-0000945A0000}"/>
    <cellStyle name="40% - Accent5 84 33 3" xfId="23184" xr:uid="{00000000-0005-0000-0000-0000955A0000}"/>
    <cellStyle name="40% - Accent5 84 34" xfId="23185" xr:uid="{00000000-0005-0000-0000-0000965A0000}"/>
    <cellStyle name="40% - Accent5 84 34 2" xfId="23186" xr:uid="{00000000-0005-0000-0000-0000975A0000}"/>
    <cellStyle name="40% - Accent5 84 34 2 2" xfId="23187" xr:uid="{00000000-0005-0000-0000-0000985A0000}"/>
    <cellStyle name="40% - Accent5 84 34 3" xfId="23188" xr:uid="{00000000-0005-0000-0000-0000995A0000}"/>
    <cellStyle name="40% - Accent5 84 35" xfId="23189" xr:uid="{00000000-0005-0000-0000-00009A5A0000}"/>
    <cellStyle name="40% - Accent5 84 35 2" xfId="23190" xr:uid="{00000000-0005-0000-0000-00009B5A0000}"/>
    <cellStyle name="40% - Accent5 84 35 2 2" xfId="23191" xr:uid="{00000000-0005-0000-0000-00009C5A0000}"/>
    <cellStyle name="40% - Accent5 84 35 3" xfId="23192" xr:uid="{00000000-0005-0000-0000-00009D5A0000}"/>
    <cellStyle name="40% - Accent5 84 36" xfId="23193" xr:uid="{00000000-0005-0000-0000-00009E5A0000}"/>
    <cellStyle name="40% - Accent5 84 36 2" xfId="23194" xr:uid="{00000000-0005-0000-0000-00009F5A0000}"/>
    <cellStyle name="40% - Accent5 84 36 2 2" xfId="23195" xr:uid="{00000000-0005-0000-0000-0000A05A0000}"/>
    <cellStyle name="40% - Accent5 84 36 3" xfId="23196" xr:uid="{00000000-0005-0000-0000-0000A15A0000}"/>
    <cellStyle name="40% - Accent5 84 4" xfId="23197" xr:uid="{00000000-0005-0000-0000-0000A25A0000}"/>
    <cellStyle name="40% - Accent5 84 4 2" xfId="23198" xr:uid="{00000000-0005-0000-0000-0000A35A0000}"/>
    <cellStyle name="40% - Accent5 84 4 2 2" xfId="23199" xr:uid="{00000000-0005-0000-0000-0000A45A0000}"/>
    <cellStyle name="40% - Accent5 84 4 3" xfId="23200" xr:uid="{00000000-0005-0000-0000-0000A55A0000}"/>
    <cellStyle name="40% - Accent5 84 5" xfId="23201" xr:uid="{00000000-0005-0000-0000-0000A65A0000}"/>
    <cellStyle name="40% - Accent5 84 5 2" xfId="23202" xr:uid="{00000000-0005-0000-0000-0000A75A0000}"/>
    <cellStyle name="40% - Accent5 84 5 2 2" xfId="23203" xr:uid="{00000000-0005-0000-0000-0000A85A0000}"/>
    <cellStyle name="40% - Accent5 84 5 3" xfId="23204" xr:uid="{00000000-0005-0000-0000-0000A95A0000}"/>
    <cellStyle name="40% - Accent5 84 6" xfId="23205" xr:uid="{00000000-0005-0000-0000-0000AA5A0000}"/>
    <cellStyle name="40% - Accent5 84 6 2" xfId="23206" xr:uid="{00000000-0005-0000-0000-0000AB5A0000}"/>
    <cellStyle name="40% - Accent5 84 6 2 2" xfId="23207" xr:uid="{00000000-0005-0000-0000-0000AC5A0000}"/>
    <cellStyle name="40% - Accent5 84 6 3" xfId="23208" xr:uid="{00000000-0005-0000-0000-0000AD5A0000}"/>
    <cellStyle name="40% - Accent5 84 7" xfId="23209" xr:uid="{00000000-0005-0000-0000-0000AE5A0000}"/>
    <cellStyle name="40% - Accent5 84 7 2" xfId="23210" xr:uid="{00000000-0005-0000-0000-0000AF5A0000}"/>
    <cellStyle name="40% - Accent5 84 7 2 2" xfId="23211" xr:uid="{00000000-0005-0000-0000-0000B05A0000}"/>
    <cellStyle name="40% - Accent5 84 7 3" xfId="23212" xr:uid="{00000000-0005-0000-0000-0000B15A0000}"/>
    <cellStyle name="40% - Accent5 84 8" xfId="23213" xr:uid="{00000000-0005-0000-0000-0000B25A0000}"/>
    <cellStyle name="40% - Accent5 84 8 2" xfId="23214" xr:uid="{00000000-0005-0000-0000-0000B35A0000}"/>
    <cellStyle name="40% - Accent5 84 8 2 2" xfId="23215" xr:uid="{00000000-0005-0000-0000-0000B45A0000}"/>
    <cellStyle name="40% - Accent5 84 8 3" xfId="23216" xr:uid="{00000000-0005-0000-0000-0000B55A0000}"/>
    <cellStyle name="40% - Accent5 84 9" xfId="23217" xr:uid="{00000000-0005-0000-0000-0000B65A0000}"/>
    <cellStyle name="40% - Accent5 84 9 2" xfId="23218" xr:uid="{00000000-0005-0000-0000-0000B75A0000}"/>
    <cellStyle name="40% - Accent5 84 9 2 2" xfId="23219" xr:uid="{00000000-0005-0000-0000-0000B85A0000}"/>
    <cellStyle name="40% - Accent5 84 9 3" xfId="23220" xr:uid="{00000000-0005-0000-0000-0000B95A0000}"/>
    <cellStyle name="40% - Accent5 85" xfId="23221" xr:uid="{00000000-0005-0000-0000-0000BA5A0000}"/>
    <cellStyle name="40% - Accent5 85 10" xfId="23222" xr:uid="{00000000-0005-0000-0000-0000BB5A0000}"/>
    <cellStyle name="40% - Accent5 85 10 2" xfId="23223" xr:uid="{00000000-0005-0000-0000-0000BC5A0000}"/>
    <cellStyle name="40% - Accent5 85 10 2 2" xfId="23224" xr:uid="{00000000-0005-0000-0000-0000BD5A0000}"/>
    <cellStyle name="40% - Accent5 85 10 3" xfId="23225" xr:uid="{00000000-0005-0000-0000-0000BE5A0000}"/>
    <cellStyle name="40% - Accent5 85 11" xfId="23226" xr:uid="{00000000-0005-0000-0000-0000BF5A0000}"/>
    <cellStyle name="40% - Accent5 85 11 2" xfId="23227" xr:uid="{00000000-0005-0000-0000-0000C05A0000}"/>
    <cellStyle name="40% - Accent5 85 11 2 2" xfId="23228" xr:uid="{00000000-0005-0000-0000-0000C15A0000}"/>
    <cellStyle name="40% - Accent5 85 11 3" xfId="23229" xr:uid="{00000000-0005-0000-0000-0000C25A0000}"/>
    <cellStyle name="40% - Accent5 85 12" xfId="23230" xr:uid="{00000000-0005-0000-0000-0000C35A0000}"/>
    <cellStyle name="40% - Accent5 85 12 2" xfId="23231" xr:uid="{00000000-0005-0000-0000-0000C45A0000}"/>
    <cellStyle name="40% - Accent5 85 12 2 2" xfId="23232" xr:uid="{00000000-0005-0000-0000-0000C55A0000}"/>
    <cellStyle name="40% - Accent5 85 12 3" xfId="23233" xr:uid="{00000000-0005-0000-0000-0000C65A0000}"/>
    <cellStyle name="40% - Accent5 85 13" xfId="23234" xr:uid="{00000000-0005-0000-0000-0000C75A0000}"/>
    <cellStyle name="40% - Accent5 85 13 2" xfId="23235" xr:uid="{00000000-0005-0000-0000-0000C85A0000}"/>
    <cellStyle name="40% - Accent5 85 13 2 2" xfId="23236" xr:uid="{00000000-0005-0000-0000-0000C95A0000}"/>
    <cellStyle name="40% - Accent5 85 13 3" xfId="23237" xr:uid="{00000000-0005-0000-0000-0000CA5A0000}"/>
    <cellStyle name="40% - Accent5 85 14" xfId="23238" xr:uid="{00000000-0005-0000-0000-0000CB5A0000}"/>
    <cellStyle name="40% - Accent5 85 14 2" xfId="23239" xr:uid="{00000000-0005-0000-0000-0000CC5A0000}"/>
    <cellStyle name="40% - Accent5 85 14 2 2" xfId="23240" xr:uid="{00000000-0005-0000-0000-0000CD5A0000}"/>
    <cellStyle name="40% - Accent5 85 14 3" xfId="23241" xr:uid="{00000000-0005-0000-0000-0000CE5A0000}"/>
    <cellStyle name="40% - Accent5 85 15" xfId="23242" xr:uid="{00000000-0005-0000-0000-0000CF5A0000}"/>
    <cellStyle name="40% - Accent5 85 15 2" xfId="23243" xr:uid="{00000000-0005-0000-0000-0000D05A0000}"/>
    <cellStyle name="40% - Accent5 85 15 2 2" xfId="23244" xr:uid="{00000000-0005-0000-0000-0000D15A0000}"/>
    <cellStyle name="40% - Accent5 85 15 3" xfId="23245" xr:uid="{00000000-0005-0000-0000-0000D25A0000}"/>
    <cellStyle name="40% - Accent5 85 16" xfId="23246" xr:uid="{00000000-0005-0000-0000-0000D35A0000}"/>
    <cellStyle name="40% - Accent5 85 16 2" xfId="23247" xr:uid="{00000000-0005-0000-0000-0000D45A0000}"/>
    <cellStyle name="40% - Accent5 85 16 2 2" xfId="23248" xr:uid="{00000000-0005-0000-0000-0000D55A0000}"/>
    <cellStyle name="40% - Accent5 85 16 3" xfId="23249" xr:uid="{00000000-0005-0000-0000-0000D65A0000}"/>
    <cellStyle name="40% - Accent5 85 17" xfId="23250" xr:uid="{00000000-0005-0000-0000-0000D75A0000}"/>
    <cellStyle name="40% - Accent5 85 17 2" xfId="23251" xr:uid="{00000000-0005-0000-0000-0000D85A0000}"/>
    <cellStyle name="40% - Accent5 85 17 2 2" xfId="23252" xr:uid="{00000000-0005-0000-0000-0000D95A0000}"/>
    <cellStyle name="40% - Accent5 85 17 3" xfId="23253" xr:uid="{00000000-0005-0000-0000-0000DA5A0000}"/>
    <cellStyle name="40% - Accent5 85 18" xfId="23254" xr:uid="{00000000-0005-0000-0000-0000DB5A0000}"/>
    <cellStyle name="40% - Accent5 85 18 2" xfId="23255" xr:uid="{00000000-0005-0000-0000-0000DC5A0000}"/>
    <cellStyle name="40% - Accent5 85 18 2 2" xfId="23256" xr:uid="{00000000-0005-0000-0000-0000DD5A0000}"/>
    <cellStyle name="40% - Accent5 85 18 3" xfId="23257" xr:uid="{00000000-0005-0000-0000-0000DE5A0000}"/>
    <cellStyle name="40% - Accent5 85 19" xfId="23258" xr:uid="{00000000-0005-0000-0000-0000DF5A0000}"/>
    <cellStyle name="40% - Accent5 85 19 2" xfId="23259" xr:uid="{00000000-0005-0000-0000-0000E05A0000}"/>
    <cellStyle name="40% - Accent5 85 19 2 2" xfId="23260" xr:uid="{00000000-0005-0000-0000-0000E15A0000}"/>
    <cellStyle name="40% - Accent5 85 19 3" xfId="23261" xr:uid="{00000000-0005-0000-0000-0000E25A0000}"/>
    <cellStyle name="40% - Accent5 85 2" xfId="23262" xr:uid="{00000000-0005-0000-0000-0000E35A0000}"/>
    <cellStyle name="40% - Accent5 85 2 2" xfId="23263" xr:uid="{00000000-0005-0000-0000-0000E45A0000}"/>
    <cellStyle name="40% - Accent5 85 2 2 2" xfId="23264" xr:uid="{00000000-0005-0000-0000-0000E55A0000}"/>
    <cellStyle name="40% - Accent5 85 2 3" xfId="23265" xr:uid="{00000000-0005-0000-0000-0000E65A0000}"/>
    <cellStyle name="40% - Accent5 85 20" xfId="23266" xr:uid="{00000000-0005-0000-0000-0000E75A0000}"/>
    <cellStyle name="40% - Accent5 85 20 2" xfId="23267" xr:uid="{00000000-0005-0000-0000-0000E85A0000}"/>
    <cellStyle name="40% - Accent5 85 20 2 2" xfId="23268" xr:uid="{00000000-0005-0000-0000-0000E95A0000}"/>
    <cellStyle name="40% - Accent5 85 20 3" xfId="23269" xr:uid="{00000000-0005-0000-0000-0000EA5A0000}"/>
    <cellStyle name="40% - Accent5 85 21" xfId="23270" xr:uid="{00000000-0005-0000-0000-0000EB5A0000}"/>
    <cellStyle name="40% - Accent5 85 21 2" xfId="23271" xr:uid="{00000000-0005-0000-0000-0000EC5A0000}"/>
    <cellStyle name="40% - Accent5 85 21 2 2" xfId="23272" xr:uid="{00000000-0005-0000-0000-0000ED5A0000}"/>
    <cellStyle name="40% - Accent5 85 21 3" xfId="23273" xr:uid="{00000000-0005-0000-0000-0000EE5A0000}"/>
    <cellStyle name="40% - Accent5 85 22" xfId="23274" xr:uid="{00000000-0005-0000-0000-0000EF5A0000}"/>
    <cellStyle name="40% - Accent5 85 22 2" xfId="23275" xr:uid="{00000000-0005-0000-0000-0000F05A0000}"/>
    <cellStyle name="40% - Accent5 85 22 2 2" xfId="23276" xr:uid="{00000000-0005-0000-0000-0000F15A0000}"/>
    <cellStyle name="40% - Accent5 85 22 3" xfId="23277" xr:uid="{00000000-0005-0000-0000-0000F25A0000}"/>
    <cellStyle name="40% - Accent5 85 23" xfId="23278" xr:uid="{00000000-0005-0000-0000-0000F35A0000}"/>
    <cellStyle name="40% - Accent5 85 23 2" xfId="23279" xr:uid="{00000000-0005-0000-0000-0000F45A0000}"/>
    <cellStyle name="40% - Accent5 85 23 2 2" xfId="23280" xr:uid="{00000000-0005-0000-0000-0000F55A0000}"/>
    <cellStyle name="40% - Accent5 85 23 3" xfId="23281" xr:uid="{00000000-0005-0000-0000-0000F65A0000}"/>
    <cellStyle name="40% - Accent5 85 24" xfId="23282" xr:uid="{00000000-0005-0000-0000-0000F75A0000}"/>
    <cellStyle name="40% - Accent5 85 24 2" xfId="23283" xr:uid="{00000000-0005-0000-0000-0000F85A0000}"/>
    <cellStyle name="40% - Accent5 85 24 2 2" xfId="23284" xr:uid="{00000000-0005-0000-0000-0000F95A0000}"/>
    <cellStyle name="40% - Accent5 85 24 3" xfId="23285" xr:uid="{00000000-0005-0000-0000-0000FA5A0000}"/>
    <cellStyle name="40% - Accent5 85 25" xfId="23286" xr:uid="{00000000-0005-0000-0000-0000FB5A0000}"/>
    <cellStyle name="40% - Accent5 85 25 2" xfId="23287" xr:uid="{00000000-0005-0000-0000-0000FC5A0000}"/>
    <cellStyle name="40% - Accent5 85 25 2 2" xfId="23288" xr:uid="{00000000-0005-0000-0000-0000FD5A0000}"/>
    <cellStyle name="40% - Accent5 85 25 3" xfId="23289" xr:uid="{00000000-0005-0000-0000-0000FE5A0000}"/>
    <cellStyle name="40% - Accent5 85 26" xfId="23290" xr:uid="{00000000-0005-0000-0000-0000FF5A0000}"/>
    <cellStyle name="40% - Accent5 85 26 2" xfId="23291" xr:uid="{00000000-0005-0000-0000-0000005B0000}"/>
    <cellStyle name="40% - Accent5 85 26 2 2" xfId="23292" xr:uid="{00000000-0005-0000-0000-0000015B0000}"/>
    <cellStyle name="40% - Accent5 85 26 3" xfId="23293" xr:uid="{00000000-0005-0000-0000-0000025B0000}"/>
    <cellStyle name="40% - Accent5 85 27" xfId="23294" xr:uid="{00000000-0005-0000-0000-0000035B0000}"/>
    <cellStyle name="40% - Accent5 85 27 2" xfId="23295" xr:uid="{00000000-0005-0000-0000-0000045B0000}"/>
    <cellStyle name="40% - Accent5 85 27 2 2" xfId="23296" xr:uid="{00000000-0005-0000-0000-0000055B0000}"/>
    <cellStyle name="40% - Accent5 85 27 3" xfId="23297" xr:uid="{00000000-0005-0000-0000-0000065B0000}"/>
    <cellStyle name="40% - Accent5 85 28" xfId="23298" xr:uid="{00000000-0005-0000-0000-0000075B0000}"/>
    <cellStyle name="40% - Accent5 85 28 2" xfId="23299" xr:uid="{00000000-0005-0000-0000-0000085B0000}"/>
    <cellStyle name="40% - Accent5 85 28 2 2" xfId="23300" xr:uid="{00000000-0005-0000-0000-0000095B0000}"/>
    <cellStyle name="40% - Accent5 85 28 3" xfId="23301" xr:uid="{00000000-0005-0000-0000-00000A5B0000}"/>
    <cellStyle name="40% - Accent5 85 29" xfId="23302" xr:uid="{00000000-0005-0000-0000-00000B5B0000}"/>
    <cellStyle name="40% - Accent5 85 29 2" xfId="23303" xr:uid="{00000000-0005-0000-0000-00000C5B0000}"/>
    <cellStyle name="40% - Accent5 85 29 2 2" xfId="23304" xr:uid="{00000000-0005-0000-0000-00000D5B0000}"/>
    <cellStyle name="40% - Accent5 85 29 3" xfId="23305" xr:uid="{00000000-0005-0000-0000-00000E5B0000}"/>
    <cellStyle name="40% - Accent5 85 3" xfId="23306" xr:uid="{00000000-0005-0000-0000-00000F5B0000}"/>
    <cellStyle name="40% - Accent5 85 3 2" xfId="23307" xr:uid="{00000000-0005-0000-0000-0000105B0000}"/>
    <cellStyle name="40% - Accent5 85 3 2 2" xfId="23308" xr:uid="{00000000-0005-0000-0000-0000115B0000}"/>
    <cellStyle name="40% - Accent5 85 3 3" xfId="23309" xr:uid="{00000000-0005-0000-0000-0000125B0000}"/>
    <cellStyle name="40% - Accent5 85 30" xfId="23310" xr:uid="{00000000-0005-0000-0000-0000135B0000}"/>
    <cellStyle name="40% - Accent5 85 30 2" xfId="23311" xr:uid="{00000000-0005-0000-0000-0000145B0000}"/>
    <cellStyle name="40% - Accent5 85 30 2 2" xfId="23312" xr:uid="{00000000-0005-0000-0000-0000155B0000}"/>
    <cellStyle name="40% - Accent5 85 30 3" xfId="23313" xr:uid="{00000000-0005-0000-0000-0000165B0000}"/>
    <cellStyle name="40% - Accent5 85 31" xfId="23314" xr:uid="{00000000-0005-0000-0000-0000175B0000}"/>
    <cellStyle name="40% - Accent5 85 31 2" xfId="23315" xr:uid="{00000000-0005-0000-0000-0000185B0000}"/>
    <cellStyle name="40% - Accent5 85 31 2 2" xfId="23316" xr:uid="{00000000-0005-0000-0000-0000195B0000}"/>
    <cellStyle name="40% - Accent5 85 31 3" xfId="23317" xr:uid="{00000000-0005-0000-0000-00001A5B0000}"/>
    <cellStyle name="40% - Accent5 85 32" xfId="23318" xr:uid="{00000000-0005-0000-0000-00001B5B0000}"/>
    <cellStyle name="40% - Accent5 85 32 2" xfId="23319" xr:uid="{00000000-0005-0000-0000-00001C5B0000}"/>
    <cellStyle name="40% - Accent5 85 32 2 2" xfId="23320" xr:uid="{00000000-0005-0000-0000-00001D5B0000}"/>
    <cellStyle name="40% - Accent5 85 32 3" xfId="23321" xr:uid="{00000000-0005-0000-0000-00001E5B0000}"/>
    <cellStyle name="40% - Accent5 85 33" xfId="23322" xr:uid="{00000000-0005-0000-0000-00001F5B0000}"/>
    <cellStyle name="40% - Accent5 85 33 2" xfId="23323" xr:uid="{00000000-0005-0000-0000-0000205B0000}"/>
    <cellStyle name="40% - Accent5 85 33 2 2" xfId="23324" xr:uid="{00000000-0005-0000-0000-0000215B0000}"/>
    <cellStyle name="40% - Accent5 85 33 3" xfId="23325" xr:uid="{00000000-0005-0000-0000-0000225B0000}"/>
    <cellStyle name="40% - Accent5 85 34" xfId="23326" xr:uid="{00000000-0005-0000-0000-0000235B0000}"/>
    <cellStyle name="40% - Accent5 85 34 2" xfId="23327" xr:uid="{00000000-0005-0000-0000-0000245B0000}"/>
    <cellStyle name="40% - Accent5 85 34 2 2" xfId="23328" xr:uid="{00000000-0005-0000-0000-0000255B0000}"/>
    <cellStyle name="40% - Accent5 85 34 3" xfId="23329" xr:uid="{00000000-0005-0000-0000-0000265B0000}"/>
    <cellStyle name="40% - Accent5 85 35" xfId="23330" xr:uid="{00000000-0005-0000-0000-0000275B0000}"/>
    <cellStyle name="40% - Accent5 85 35 2" xfId="23331" xr:uid="{00000000-0005-0000-0000-0000285B0000}"/>
    <cellStyle name="40% - Accent5 85 35 2 2" xfId="23332" xr:uid="{00000000-0005-0000-0000-0000295B0000}"/>
    <cellStyle name="40% - Accent5 85 35 3" xfId="23333" xr:uid="{00000000-0005-0000-0000-00002A5B0000}"/>
    <cellStyle name="40% - Accent5 85 36" xfId="23334" xr:uid="{00000000-0005-0000-0000-00002B5B0000}"/>
    <cellStyle name="40% - Accent5 85 36 2" xfId="23335" xr:uid="{00000000-0005-0000-0000-00002C5B0000}"/>
    <cellStyle name="40% - Accent5 85 36 2 2" xfId="23336" xr:uid="{00000000-0005-0000-0000-00002D5B0000}"/>
    <cellStyle name="40% - Accent5 85 36 3" xfId="23337" xr:uid="{00000000-0005-0000-0000-00002E5B0000}"/>
    <cellStyle name="40% - Accent5 85 4" xfId="23338" xr:uid="{00000000-0005-0000-0000-00002F5B0000}"/>
    <cellStyle name="40% - Accent5 85 4 2" xfId="23339" xr:uid="{00000000-0005-0000-0000-0000305B0000}"/>
    <cellStyle name="40% - Accent5 85 4 2 2" xfId="23340" xr:uid="{00000000-0005-0000-0000-0000315B0000}"/>
    <cellStyle name="40% - Accent5 85 4 3" xfId="23341" xr:uid="{00000000-0005-0000-0000-0000325B0000}"/>
    <cellStyle name="40% - Accent5 85 5" xfId="23342" xr:uid="{00000000-0005-0000-0000-0000335B0000}"/>
    <cellStyle name="40% - Accent5 85 5 2" xfId="23343" xr:uid="{00000000-0005-0000-0000-0000345B0000}"/>
    <cellStyle name="40% - Accent5 85 5 2 2" xfId="23344" xr:uid="{00000000-0005-0000-0000-0000355B0000}"/>
    <cellStyle name="40% - Accent5 85 5 3" xfId="23345" xr:uid="{00000000-0005-0000-0000-0000365B0000}"/>
    <cellStyle name="40% - Accent5 85 6" xfId="23346" xr:uid="{00000000-0005-0000-0000-0000375B0000}"/>
    <cellStyle name="40% - Accent5 85 6 2" xfId="23347" xr:uid="{00000000-0005-0000-0000-0000385B0000}"/>
    <cellStyle name="40% - Accent5 85 6 2 2" xfId="23348" xr:uid="{00000000-0005-0000-0000-0000395B0000}"/>
    <cellStyle name="40% - Accent5 85 6 3" xfId="23349" xr:uid="{00000000-0005-0000-0000-00003A5B0000}"/>
    <cellStyle name="40% - Accent5 85 7" xfId="23350" xr:uid="{00000000-0005-0000-0000-00003B5B0000}"/>
    <cellStyle name="40% - Accent5 85 7 2" xfId="23351" xr:uid="{00000000-0005-0000-0000-00003C5B0000}"/>
    <cellStyle name="40% - Accent5 85 7 2 2" xfId="23352" xr:uid="{00000000-0005-0000-0000-00003D5B0000}"/>
    <cellStyle name="40% - Accent5 85 7 3" xfId="23353" xr:uid="{00000000-0005-0000-0000-00003E5B0000}"/>
    <cellStyle name="40% - Accent5 85 8" xfId="23354" xr:uid="{00000000-0005-0000-0000-00003F5B0000}"/>
    <cellStyle name="40% - Accent5 85 8 2" xfId="23355" xr:uid="{00000000-0005-0000-0000-0000405B0000}"/>
    <cellStyle name="40% - Accent5 85 8 2 2" xfId="23356" xr:uid="{00000000-0005-0000-0000-0000415B0000}"/>
    <cellStyle name="40% - Accent5 85 8 3" xfId="23357" xr:uid="{00000000-0005-0000-0000-0000425B0000}"/>
    <cellStyle name="40% - Accent5 85 9" xfId="23358" xr:uid="{00000000-0005-0000-0000-0000435B0000}"/>
    <cellStyle name="40% - Accent5 85 9 2" xfId="23359" xr:uid="{00000000-0005-0000-0000-0000445B0000}"/>
    <cellStyle name="40% - Accent5 85 9 2 2" xfId="23360" xr:uid="{00000000-0005-0000-0000-0000455B0000}"/>
    <cellStyle name="40% - Accent5 85 9 3" xfId="23361" xr:uid="{00000000-0005-0000-0000-0000465B0000}"/>
    <cellStyle name="40% - Accent5 86" xfId="23362" xr:uid="{00000000-0005-0000-0000-0000475B0000}"/>
    <cellStyle name="40% - Accent5 86 10" xfId="23363" xr:uid="{00000000-0005-0000-0000-0000485B0000}"/>
    <cellStyle name="40% - Accent5 86 10 2" xfId="23364" xr:uid="{00000000-0005-0000-0000-0000495B0000}"/>
    <cellStyle name="40% - Accent5 86 10 2 2" xfId="23365" xr:uid="{00000000-0005-0000-0000-00004A5B0000}"/>
    <cellStyle name="40% - Accent5 86 10 3" xfId="23366" xr:uid="{00000000-0005-0000-0000-00004B5B0000}"/>
    <cellStyle name="40% - Accent5 86 11" xfId="23367" xr:uid="{00000000-0005-0000-0000-00004C5B0000}"/>
    <cellStyle name="40% - Accent5 86 11 2" xfId="23368" xr:uid="{00000000-0005-0000-0000-00004D5B0000}"/>
    <cellStyle name="40% - Accent5 86 11 2 2" xfId="23369" xr:uid="{00000000-0005-0000-0000-00004E5B0000}"/>
    <cellStyle name="40% - Accent5 86 11 3" xfId="23370" xr:uid="{00000000-0005-0000-0000-00004F5B0000}"/>
    <cellStyle name="40% - Accent5 86 12" xfId="23371" xr:uid="{00000000-0005-0000-0000-0000505B0000}"/>
    <cellStyle name="40% - Accent5 86 12 2" xfId="23372" xr:uid="{00000000-0005-0000-0000-0000515B0000}"/>
    <cellStyle name="40% - Accent5 86 12 2 2" xfId="23373" xr:uid="{00000000-0005-0000-0000-0000525B0000}"/>
    <cellStyle name="40% - Accent5 86 12 3" xfId="23374" xr:uid="{00000000-0005-0000-0000-0000535B0000}"/>
    <cellStyle name="40% - Accent5 86 13" xfId="23375" xr:uid="{00000000-0005-0000-0000-0000545B0000}"/>
    <cellStyle name="40% - Accent5 86 13 2" xfId="23376" xr:uid="{00000000-0005-0000-0000-0000555B0000}"/>
    <cellStyle name="40% - Accent5 86 13 2 2" xfId="23377" xr:uid="{00000000-0005-0000-0000-0000565B0000}"/>
    <cellStyle name="40% - Accent5 86 13 3" xfId="23378" xr:uid="{00000000-0005-0000-0000-0000575B0000}"/>
    <cellStyle name="40% - Accent5 86 14" xfId="23379" xr:uid="{00000000-0005-0000-0000-0000585B0000}"/>
    <cellStyle name="40% - Accent5 86 14 2" xfId="23380" xr:uid="{00000000-0005-0000-0000-0000595B0000}"/>
    <cellStyle name="40% - Accent5 86 14 2 2" xfId="23381" xr:uid="{00000000-0005-0000-0000-00005A5B0000}"/>
    <cellStyle name="40% - Accent5 86 14 3" xfId="23382" xr:uid="{00000000-0005-0000-0000-00005B5B0000}"/>
    <cellStyle name="40% - Accent5 86 15" xfId="23383" xr:uid="{00000000-0005-0000-0000-00005C5B0000}"/>
    <cellStyle name="40% - Accent5 86 15 2" xfId="23384" xr:uid="{00000000-0005-0000-0000-00005D5B0000}"/>
    <cellStyle name="40% - Accent5 86 15 2 2" xfId="23385" xr:uid="{00000000-0005-0000-0000-00005E5B0000}"/>
    <cellStyle name="40% - Accent5 86 15 3" xfId="23386" xr:uid="{00000000-0005-0000-0000-00005F5B0000}"/>
    <cellStyle name="40% - Accent5 86 16" xfId="23387" xr:uid="{00000000-0005-0000-0000-0000605B0000}"/>
    <cellStyle name="40% - Accent5 86 16 2" xfId="23388" xr:uid="{00000000-0005-0000-0000-0000615B0000}"/>
    <cellStyle name="40% - Accent5 86 16 2 2" xfId="23389" xr:uid="{00000000-0005-0000-0000-0000625B0000}"/>
    <cellStyle name="40% - Accent5 86 16 3" xfId="23390" xr:uid="{00000000-0005-0000-0000-0000635B0000}"/>
    <cellStyle name="40% - Accent5 86 17" xfId="23391" xr:uid="{00000000-0005-0000-0000-0000645B0000}"/>
    <cellStyle name="40% - Accent5 86 17 2" xfId="23392" xr:uid="{00000000-0005-0000-0000-0000655B0000}"/>
    <cellStyle name="40% - Accent5 86 17 2 2" xfId="23393" xr:uid="{00000000-0005-0000-0000-0000665B0000}"/>
    <cellStyle name="40% - Accent5 86 17 3" xfId="23394" xr:uid="{00000000-0005-0000-0000-0000675B0000}"/>
    <cellStyle name="40% - Accent5 86 18" xfId="23395" xr:uid="{00000000-0005-0000-0000-0000685B0000}"/>
    <cellStyle name="40% - Accent5 86 18 2" xfId="23396" xr:uid="{00000000-0005-0000-0000-0000695B0000}"/>
    <cellStyle name="40% - Accent5 86 18 2 2" xfId="23397" xr:uid="{00000000-0005-0000-0000-00006A5B0000}"/>
    <cellStyle name="40% - Accent5 86 18 3" xfId="23398" xr:uid="{00000000-0005-0000-0000-00006B5B0000}"/>
    <cellStyle name="40% - Accent5 86 19" xfId="23399" xr:uid="{00000000-0005-0000-0000-00006C5B0000}"/>
    <cellStyle name="40% - Accent5 86 19 2" xfId="23400" xr:uid="{00000000-0005-0000-0000-00006D5B0000}"/>
    <cellStyle name="40% - Accent5 86 19 2 2" xfId="23401" xr:uid="{00000000-0005-0000-0000-00006E5B0000}"/>
    <cellStyle name="40% - Accent5 86 19 3" xfId="23402" xr:uid="{00000000-0005-0000-0000-00006F5B0000}"/>
    <cellStyle name="40% - Accent5 86 2" xfId="23403" xr:uid="{00000000-0005-0000-0000-0000705B0000}"/>
    <cellStyle name="40% - Accent5 86 2 2" xfId="23404" xr:uid="{00000000-0005-0000-0000-0000715B0000}"/>
    <cellStyle name="40% - Accent5 86 2 2 2" xfId="23405" xr:uid="{00000000-0005-0000-0000-0000725B0000}"/>
    <cellStyle name="40% - Accent5 86 2 3" xfId="23406" xr:uid="{00000000-0005-0000-0000-0000735B0000}"/>
    <cellStyle name="40% - Accent5 86 20" xfId="23407" xr:uid="{00000000-0005-0000-0000-0000745B0000}"/>
    <cellStyle name="40% - Accent5 86 20 2" xfId="23408" xr:uid="{00000000-0005-0000-0000-0000755B0000}"/>
    <cellStyle name="40% - Accent5 86 20 2 2" xfId="23409" xr:uid="{00000000-0005-0000-0000-0000765B0000}"/>
    <cellStyle name="40% - Accent5 86 20 3" xfId="23410" xr:uid="{00000000-0005-0000-0000-0000775B0000}"/>
    <cellStyle name="40% - Accent5 86 21" xfId="23411" xr:uid="{00000000-0005-0000-0000-0000785B0000}"/>
    <cellStyle name="40% - Accent5 86 21 2" xfId="23412" xr:uid="{00000000-0005-0000-0000-0000795B0000}"/>
    <cellStyle name="40% - Accent5 86 21 2 2" xfId="23413" xr:uid="{00000000-0005-0000-0000-00007A5B0000}"/>
    <cellStyle name="40% - Accent5 86 21 3" xfId="23414" xr:uid="{00000000-0005-0000-0000-00007B5B0000}"/>
    <cellStyle name="40% - Accent5 86 22" xfId="23415" xr:uid="{00000000-0005-0000-0000-00007C5B0000}"/>
    <cellStyle name="40% - Accent5 86 22 2" xfId="23416" xr:uid="{00000000-0005-0000-0000-00007D5B0000}"/>
    <cellStyle name="40% - Accent5 86 22 2 2" xfId="23417" xr:uid="{00000000-0005-0000-0000-00007E5B0000}"/>
    <cellStyle name="40% - Accent5 86 22 3" xfId="23418" xr:uid="{00000000-0005-0000-0000-00007F5B0000}"/>
    <cellStyle name="40% - Accent5 86 23" xfId="23419" xr:uid="{00000000-0005-0000-0000-0000805B0000}"/>
    <cellStyle name="40% - Accent5 86 23 2" xfId="23420" xr:uid="{00000000-0005-0000-0000-0000815B0000}"/>
    <cellStyle name="40% - Accent5 86 23 2 2" xfId="23421" xr:uid="{00000000-0005-0000-0000-0000825B0000}"/>
    <cellStyle name="40% - Accent5 86 23 3" xfId="23422" xr:uid="{00000000-0005-0000-0000-0000835B0000}"/>
    <cellStyle name="40% - Accent5 86 24" xfId="23423" xr:uid="{00000000-0005-0000-0000-0000845B0000}"/>
    <cellStyle name="40% - Accent5 86 24 2" xfId="23424" xr:uid="{00000000-0005-0000-0000-0000855B0000}"/>
    <cellStyle name="40% - Accent5 86 24 2 2" xfId="23425" xr:uid="{00000000-0005-0000-0000-0000865B0000}"/>
    <cellStyle name="40% - Accent5 86 24 3" xfId="23426" xr:uid="{00000000-0005-0000-0000-0000875B0000}"/>
    <cellStyle name="40% - Accent5 86 25" xfId="23427" xr:uid="{00000000-0005-0000-0000-0000885B0000}"/>
    <cellStyle name="40% - Accent5 86 25 2" xfId="23428" xr:uid="{00000000-0005-0000-0000-0000895B0000}"/>
    <cellStyle name="40% - Accent5 86 25 2 2" xfId="23429" xr:uid="{00000000-0005-0000-0000-00008A5B0000}"/>
    <cellStyle name="40% - Accent5 86 25 3" xfId="23430" xr:uid="{00000000-0005-0000-0000-00008B5B0000}"/>
    <cellStyle name="40% - Accent5 86 26" xfId="23431" xr:uid="{00000000-0005-0000-0000-00008C5B0000}"/>
    <cellStyle name="40% - Accent5 86 26 2" xfId="23432" xr:uid="{00000000-0005-0000-0000-00008D5B0000}"/>
    <cellStyle name="40% - Accent5 86 26 2 2" xfId="23433" xr:uid="{00000000-0005-0000-0000-00008E5B0000}"/>
    <cellStyle name="40% - Accent5 86 26 3" xfId="23434" xr:uid="{00000000-0005-0000-0000-00008F5B0000}"/>
    <cellStyle name="40% - Accent5 86 27" xfId="23435" xr:uid="{00000000-0005-0000-0000-0000905B0000}"/>
    <cellStyle name="40% - Accent5 86 27 2" xfId="23436" xr:uid="{00000000-0005-0000-0000-0000915B0000}"/>
    <cellStyle name="40% - Accent5 86 27 2 2" xfId="23437" xr:uid="{00000000-0005-0000-0000-0000925B0000}"/>
    <cellStyle name="40% - Accent5 86 27 3" xfId="23438" xr:uid="{00000000-0005-0000-0000-0000935B0000}"/>
    <cellStyle name="40% - Accent5 86 28" xfId="23439" xr:uid="{00000000-0005-0000-0000-0000945B0000}"/>
    <cellStyle name="40% - Accent5 86 28 2" xfId="23440" xr:uid="{00000000-0005-0000-0000-0000955B0000}"/>
    <cellStyle name="40% - Accent5 86 28 2 2" xfId="23441" xr:uid="{00000000-0005-0000-0000-0000965B0000}"/>
    <cellStyle name="40% - Accent5 86 28 3" xfId="23442" xr:uid="{00000000-0005-0000-0000-0000975B0000}"/>
    <cellStyle name="40% - Accent5 86 29" xfId="23443" xr:uid="{00000000-0005-0000-0000-0000985B0000}"/>
    <cellStyle name="40% - Accent5 86 29 2" xfId="23444" xr:uid="{00000000-0005-0000-0000-0000995B0000}"/>
    <cellStyle name="40% - Accent5 86 29 2 2" xfId="23445" xr:uid="{00000000-0005-0000-0000-00009A5B0000}"/>
    <cellStyle name="40% - Accent5 86 29 3" xfId="23446" xr:uid="{00000000-0005-0000-0000-00009B5B0000}"/>
    <cellStyle name="40% - Accent5 86 3" xfId="23447" xr:uid="{00000000-0005-0000-0000-00009C5B0000}"/>
    <cellStyle name="40% - Accent5 86 3 2" xfId="23448" xr:uid="{00000000-0005-0000-0000-00009D5B0000}"/>
    <cellStyle name="40% - Accent5 86 3 2 2" xfId="23449" xr:uid="{00000000-0005-0000-0000-00009E5B0000}"/>
    <cellStyle name="40% - Accent5 86 3 3" xfId="23450" xr:uid="{00000000-0005-0000-0000-00009F5B0000}"/>
    <cellStyle name="40% - Accent5 86 30" xfId="23451" xr:uid="{00000000-0005-0000-0000-0000A05B0000}"/>
    <cellStyle name="40% - Accent5 86 30 2" xfId="23452" xr:uid="{00000000-0005-0000-0000-0000A15B0000}"/>
    <cellStyle name="40% - Accent5 86 30 2 2" xfId="23453" xr:uid="{00000000-0005-0000-0000-0000A25B0000}"/>
    <cellStyle name="40% - Accent5 86 30 3" xfId="23454" xr:uid="{00000000-0005-0000-0000-0000A35B0000}"/>
    <cellStyle name="40% - Accent5 86 31" xfId="23455" xr:uid="{00000000-0005-0000-0000-0000A45B0000}"/>
    <cellStyle name="40% - Accent5 86 31 2" xfId="23456" xr:uid="{00000000-0005-0000-0000-0000A55B0000}"/>
    <cellStyle name="40% - Accent5 86 31 2 2" xfId="23457" xr:uid="{00000000-0005-0000-0000-0000A65B0000}"/>
    <cellStyle name="40% - Accent5 86 31 3" xfId="23458" xr:uid="{00000000-0005-0000-0000-0000A75B0000}"/>
    <cellStyle name="40% - Accent5 86 32" xfId="23459" xr:uid="{00000000-0005-0000-0000-0000A85B0000}"/>
    <cellStyle name="40% - Accent5 86 32 2" xfId="23460" xr:uid="{00000000-0005-0000-0000-0000A95B0000}"/>
    <cellStyle name="40% - Accent5 86 32 2 2" xfId="23461" xr:uid="{00000000-0005-0000-0000-0000AA5B0000}"/>
    <cellStyle name="40% - Accent5 86 32 3" xfId="23462" xr:uid="{00000000-0005-0000-0000-0000AB5B0000}"/>
    <cellStyle name="40% - Accent5 86 33" xfId="23463" xr:uid="{00000000-0005-0000-0000-0000AC5B0000}"/>
    <cellStyle name="40% - Accent5 86 33 2" xfId="23464" xr:uid="{00000000-0005-0000-0000-0000AD5B0000}"/>
    <cellStyle name="40% - Accent5 86 33 2 2" xfId="23465" xr:uid="{00000000-0005-0000-0000-0000AE5B0000}"/>
    <cellStyle name="40% - Accent5 86 33 3" xfId="23466" xr:uid="{00000000-0005-0000-0000-0000AF5B0000}"/>
    <cellStyle name="40% - Accent5 86 34" xfId="23467" xr:uid="{00000000-0005-0000-0000-0000B05B0000}"/>
    <cellStyle name="40% - Accent5 86 34 2" xfId="23468" xr:uid="{00000000-0005-0000-0000-0000B15B0000}"/>
    <cellStyle name="40% - Accent5 86 34 2 2" xfId="23469" xr:uid="{00000000-0005-0000-0000-0000B25B0000}"/>
    <cellStyle name="40% - Accent5 86 34 3" xfId="23470" xr:uid="{00000000-0005-0000-0000-0000B35B0000}"/>
    <cellStyle name="40% - Accent5 86 35" xfId="23471" xr:uid="{00000000-0005-0000-0000-0000B45B0000}"/>
    <cellStyle name="40% - Accent5 86 35 2" xfId="23472" xr:uid="{00000000-0005-0000-0000-0000B55B0000}"/>
    <cellStyle name="40% - Accent5 86 35 2 2" xfId="23473" xr:uid="{00000000-0005-0000-0000-0000B65B0000}"/>
    <cellStyle name="40% - Accent5 86 35 3" xfId="23474" xr:uid="{00000000-0005-0000-0000-0000B75B0000}"/>
    <cellStyle name="40% - Accent5 86 36" xfId="23475" xr:uid="{00000000-0005-0000-0000-0000B85B0000}"/>
    <cellStyle name="40% - Accent5 86 36 2" xfId="23476" xr:uid="{00000000-0005-0000-0000-0000B95B0000}"/>
    <cellStyle name="40% - Accent5 86 36 2 2" xfId="23477" xr:uid="{00000000-0005-0000-0000-0000BA5B0000}"/>
    <cellStyle name="40% - Accent5 86 36 3" xfId="23478" xr:uid="{00000000-0005-0000-0000-0000BB5B0000}"/>
    <cellStyle name="40% - Accent5 86 4" xfId="23479" xr:uid="{00000000-0005-0000-0000-0000BC5B0000}"/>
    <cellStyle name="40% - Accent5 86 4 2" xfId="23480" xr:uid="{00000000-0005-0000-0000-0000BD5B0000}"/>
    <cellStyle name="40% - Accent5 86 4 2 2" xfId="23481" xr:uid="{00000000-0005-0000-0000-0000BE5B0000}"/>
    <cellStyle name="40% - Accent5 86 4 3" xfId="23482" xr:uid="{00000000-0005-0000-0000-0000BF5B0000}"/>
    <cellStyle name="40% - Accent5 86 5" xfId="23483" xr:uid="{00000000-0005-0000-0000-0000C05B0000}"/>
    <cellStyle name="40% - Accent5 86 5 2" xfId="23484" xr:uid="{00000000-0005-0000-0000-0000C15B0000}"/>
    <cellStyle name="40% - Accent5 86 5 2 2" xfId="23485" xr:uid="{00000000-0005-0000-0000-0000C25B0000}"/>
    <cellStyle name="40% - Accent5 86 5 3" xfId="23486" xr:uid="{00000000-0005-0000-0000-0000C35B0000}"/>
    <cellStyle name="40% - Accent5 86 6" xfId="23487" xr:uid="{00000000-0005-0000-0000-0000C45B0000}"/>
    <cellStyle name="40% - Accent5 86 6 2" xfId="23488" xr:uid="{00000000-0005-0000-0000-0000C55B0000}"/>
    <cellStyle name="40% - Accent5 86 6 2 2" xfId="23489" xr:uid="{00000000-0005-0000-0000-0000C65B0000}"/>
    <cellStyle name="40% - Accent5 86 6 3" xfId="23490" xr:uid="{00000000-0005-0000-0000-0000C75B0000}"/>
    <cellStyle name="40% - Accent5 86 7" xfId="23491" xr:uid="{00000000-0005-0000-0000-0000C85B0000}"/>
    <cellStyle name="40% - Accent5 86 7 2" xfId="23492" xr:uid="{00000000-0005-0000-0000-0000C95B0000}"/>
    <cellStyle name="40% - Accent5 86 7 2 2" xfId="23493" xr:uid="{00000000-0005-0000-0000-0000CA5B0000}"/>
    <cellStyle name="40% - Accent5 86 7 3" xfId="23494" xr:uid="{00000000-0005-0000-0000-0000CB5B0000}"/>
    <cellStyle name="40% - Accent5 86 8" xfId="23495" xr:uid="{00000000-0005-0000-0000-0000CC5B0000}"/>
    <cellStyle name="40% - Accent5 86 8 2" xfId="23496" xr:uid="{00000000-0005-0000-0000-0000CD5B0000}"/>
    <cellStyle name="40% - Accent5 86 8 2 2" xfId="23497" xr:uid="{00000000-0005-0000-0000-0000CE5B0000}"/>
    <cellStyle name="40% - Accent5 86 8 3" xfId="23498" xr:uid="{00000000-0005-0000-0000-0000CF5B0000}"/>
    <cellStyle name="40% - Accent5 86 9" xfId="23499" xr:uid="{00000000-0005-0000-0000-0000D05B0000}"/>
    <cellStyle name="40% - Accent5 86 9 2" xfId="23500" xr:uid="{00000000-0005-0000-0000-0000D15B0000}"/>
    <cellStyle name="40% - Accent5 86 9 2 2" xfId="23501" xr:uid="{00000000-0005-0000-0000-0000D25B0000}"/>
    <cellStyle name="40% - Accent5 86 9 3" xfId="23502" xr:uid="{00000000-0005-0000-0000-0000D35B0000}"/>
    <cellStyle name="40% - Accent5 87" xfId="23503" xr:uid="{00000000-0005-0000-0000-0000D45B0000}"/>
    <cellStyle name="40% - Accent5 87 10" xfId="23504" xr:uid="{00000000-0005-0000-0000-0000D55B0000}"/>
    <cellStyle name="40% - Accent5 87 10 2" xfId="23505" xr:uid="{00000000-0005-0000-0000-0000D65B0000}"/>
    <cellStyle name="40% - Accent5 87 10 2 2" xfId="23506" xr:uid="{00000000-0005-0000-0000-0000D75B0000}"/>
    <cellStyle name="40% - Accent5 87 10 3" xfId="23507" xr:uid="{00000000-0005-0000-0000-0000D85B0000}"/>
    <cellStyle name="40% - Accent5 87 11" xfId="23508" xr:uid="{00000000-0005-0000-0000-0000D95B0000}"/>
    <cellStyle name="40% - Accent5 87 11 2" xfId="23509" xr:uid="{00000000-0005-0000-0000-0000DA5B0000}"/>
    <cellStyle name="40% - Accent5 87 11 2 2" xfId="23510" xr:uid="{00000000-0005-0000-0000-0000DB5B0000}"/>
    <cellStyle name="40% - Accent5 87 11 3" xfId="23511" xr:uid="{00000000-0005-0000-0000-0000DC5B0000}"/>
    <cellStyle name="40% - Accent5 87 12" xfId="23512" xr:uid="{00000000-0005-0000-0000-0000DD5B0000}"/>
    <cellStyle name="40% - Accent5 87 12 2" xfId="23513" xr:uid="{00000000-0005-0000-0000-0000DE5B0000}"/>
    <cellStyle name="40% - Accent5 87 12 2 2" xfId="23514" xr:uid="{00000000-0005-0000-0000-0000DF5B0000}"/>
    <cellStyle name="40% - Accent5 87 12 3" xfId="23515" xr:uid="{00000000-0005-0000-0000-0000E05B0000}"/>
    <cellStyle name="40% - Accent5 87 13" xfId="23516" xr:uid="{00000000-0005-0000-0000-0000E15B0000}"/>
    <cellStyle name="40% - Accent5 87 13 2" xfId="23517" xr:uid="{00000000-0005-0000-0000-0000E25B0000}"/>
    <cellStyle name="40% - Accent5 87 13 2 2" xfId="23518" xr:uid="{00000000-0005-0000-0000-0000E35B0000}"/>
    <cellStyle name="40% - Accent5 87 13 3" xfId="23519" xr:uid="{00000000-0005-0000-0000-0000E45B0000}"/>
    <cellStyle name="40% - Accent5 87 14" xfId="23520" xr:uid="{00000000-0005-0000-0000-0000E55B0000}"/>
    <cellStyle name="40% - Accent5 87 14 2" xfId="23521" xr:uid="{00000000-0005-0000-0000-0000E65B0000}"/>
    <cellStyle name="40% - Accent5 87 14 2 2" xfId="23522" xr:uid="{00000000-0005-0000-0000-0000E75B0000}"/>
    <cellStyle name="40% - Accent5 87 14 3" xfId="23523" xr:uid="{00000000-0005-0000-0000-0000E85B0000}"/>
    <cellStyle name="40% - Accent5 87 15" xfId="23524" xr:uid="{00000000-0005-0000-0000-0000E95B0000}"/>
    <cellStyle name="40% - Accent5 87 15 2" xfId="23525" xr:uid="{00000000-0005-0000-0000-0000EA5B0000}"/>
    <cellStyle name="40% - Accent5 87 15 2 2" xfId="23526" xr:uid="{00000000-0005-0000-0000-0000EB5B0000}"/>
    <cellStyle name="40% - Accent5 87 15 3" xfId="23527" xr:uid="{00000000-0005-0000-0000-0000EC5B0000}"/>
    <cellStyle name="40% - Accent5 87 16" xfId="23528" xr:uid="{00000000-0005-0000-0000-0000ED5B0000}"/>
    <cellStyle name="40% - Accent5 87 16 2" xfId="23529" xr:uid="{00000000-0005-0000-0000-0000EE5B0000}"/>
    <cellStyle name="40% - Accent5 87 16 2 2" xfId="23530" xr:uid="{00000000-0005-0000-0000-0000EF5B0000}"/>
    <cellStyle name="40% - Accent5 87 16 3" xfId="23531" xr:uid="{00000000-0005-0000-0000-0000F05B0000}"/>
    <cellStyle name="40% - Accent5 87 17" xfId="23532" xr:uid="{00000000-0005-0000-0000-0000F15B0000}"/>
    <cellStyle name="40% - Accent5 87 17 2" xfId="23533" xr:uid="{00000000-0005-0000-0000-0000F25B0000}"/>
    <cellStyle name="40% - Accent5 87 17 2 2" xfId="23534" xr:uid="{00000000-0005-0000-0000-0000F35B0000}"/>
    <cellStyle name="40% - Accent5 87 17 3" xfId="23535" xr:uid="{00000000-0005-0000-0000-0000F45B0000}"/>
    <cellStyle name="40% - Accent5 87 18" xfId="23536" xr:uid="{00000000-0005-0000-0000-0000F55B0000}"/>
    <cellStyle name="40% - Accent5 87 18 2" xfId="23537" xr:uid="{00000000-0005-0000-0000-0000F65B0000}"/>
    <cellStyle name="40% - Accent5 87 18 2 2" xfId="23538" xr:uid="{00000000-0005-0000-0000-0000F75B0000}"/>
    <cellStyle name="40% - Accent5 87 18 3" xfId="23539" xr:uid="{00000000-0005-0000-0000-0000F85B0000}"/>
    <cellStyle name="40% - Accent5 87 19" xfId="23540" xr:uid="{00000000-0005-0000-0000-0000F95B0000}"/>
    <cellStyle name="40% - Accent5 87 19 2" xfId="23541" xr:uid="{00000000-0005-0000-0000-0000FA5B0000}"/>
    <cellStyle name="40% - Accent5 87 19 2 2" xfId="23542" xr:uid="{00000000-0005-0000-0000-0000FB5B0000}"/>
    <cellStyle name="40% - Accent5 87 19 3" xfId="23543" xr:uid="{00000000-0005-0000-0000-0000FC5B0000}"/>
    <cellStyle name="40% - Accent5 87 2" xfId="23544" xr:uid="{00000000-0005-0000-0000-0000FD5B0000}"/>
    <cellStyle name="40% - Accent5 87 2 2" xfId="23545" xr:uid="{00000000-0005-0000-0000-0000FE5B0000}"/>
    <cellStyle name="40% - Accent5 87 2 2 2" xfId="23546" xr:uid="{00000000-0005-0000-0000-0000FF5B0000}"/>
    <cellStyle name="40% - Accent5 87 2 3" xfId="23547" xr:uid="{00000000-0005-0000-0000-0000005C0000}"/>
    <cellStyle name="40% - Accent5 87 20" xfId="23548" xr:uid="{00000000-0005-0000-0000-0000015C0000}"/>
    <cellStyle name="40% - Accent5 87 20 2" xfId="23549" xr:uid="{00000000-0005-0000-0000-0000025C0000}"/>
    <cellStyle name="40% - Accent5 87 20 2 2" xfId="23550" xr:uid="{00000000-0005-0000-0000-0000035C0000}"/>
    <cellStyle name="40% - Accent5 87 20 3" xfId="23551" xr:uid="{00000000-0005-0000-0000-0000045C0000}"/>
    <cellStyle name="40% - Accent5 87 21" xfId="23552" xr:uid="{00000000-0005-0000-0000-0000055C0000}"/>
    <cellStyle name="40% - Accent5 87 21 2" xfId="23553" xr:uid="{00000000-0005-0000-0000-0000065C0000}"/>
    <cellStyle name="40% - Accent5 87 21 2 2" xfId="23554" xr:uid="{00000000-0005-0000-0000-0000075C0000}"/>
    <cellStyle name="40% - Accent5 87 21 3" xfId="23555" xr:uid="{00000000-0005-0000-0000-0000085C0000}"/>
    <cellStyle name="40% - Accent5 87 22" xfId="23556" xr:uid="{00000000-0005-0000-0000-0000095C0000}"/>
    <cellStyle name="40% - Accent5 87 22 2" xfId="23557" xr:uid="{00000000-0005-0000-0000-00000A5C0000}"/>
    <cellStyle name="40% - Accent5 87 22 2 2" xfId="23558" xr:uid="{00000000-0005-0000-0000-00000B5C0000}"/>
    <cellStyle name="40% - Accent5 87 22 3" xfId="23559" xr:uid="{00000000-0005-0000-0000-00000C5C0000}"/>
    <cellStyle name="40% - Accent5 87 23" xfId="23560" xr:uid="{00000000-0005-0000-0000-00000D5C0000}"/>
    <cellStyle name="40% - Accent5 87 23 2" xfId="23561" xr:uid="{00000000-0005-0000-0000-00000E5C0000}"/>
    <cellStyle name="40% - Accent5 87 23 2 2" xfId="23562" xr:uid="{00000000-0005-0000-0000-00000F5C0000}"/>
    <cellStyle name="40% - Accent5 87 23 3" xfId="23563" xr:uid="{00000000-0005-0000-0000-0000105C0000}"/>
    <cellStyle name="40% - Accent5 87 24" xfId="23564" xr:uid="{00000000-0005-0000-0000-0000115C0000}"/>
    <cellStyle name="40% - Accent5 87 24 2" xfId="23565" xr:uid="{00000000-0005-0000-0000-0000125C0000}"/>
    <cellStyle name="40% - Accent5 87 24 2 2" xfId="23566" xr:uid="{00000000-0005-0000-0000-0000135C0000}"/>
    <cellStyle name="40% - Accent5 87 24 3" xfId="23567" xr:uid="{00000000-0005-0000-0000-0000145C0000}"/>
    <cellStyle name="40% - Accent5 87 25" xfId="23568" xr:uid="{00000000-0005-0000-0000-0000155C0000}"/>
    <cellStyle name="40% - Accent5 87 25 2" xfId="23569" xr:uid="{00000000-0005-0000-0000-0000165C0000}"/>
    <cellStyle name="40% - Accent5 87 25 2 2" xfId="23570" xr:uid="{00000000-0005-0000-0000-0000175C0000}"/>
    <cellStyle name="40% - Accent5 87 25 3" xfId="23571" xr:uid="{00000000-0005-0000-0000-0000185C0000}"/>
    <cellStyle name="40% - Accent5 87 26" xfId="23572" xr:uid="{00000000-0005-0000-0000-0000195C0000}"/>
    <cellStyle name="40% - Accent5 87 26 2" xfId="23573" xr:uid="{00000000-0005-0000-0000-00001A5C0000}"/>
    <cellStyle name="40% - Accent5 87 26 2 2" xfId="23574" xr:uid="{00000000-0005-0000-0000-00001B5C0000}"/>
    <cellStyle name="40% - Accent5 87 26 3" xfId="23575" xr:uid="{00000000-0005-0000-0000-00001C5C0000}"/>
    <cellStyle name="40% - Accent5 87 27" xfId="23576" xr:uid="{00000000-0005-0000-0000-00001D5C0000}"/>
    <cellStyle name="40% - Accent5 87 27 2" xfId="23577" xr:uid="{00000000-0005-0000-0000-00001E5C0000}"/>
    <cellStyle name="40% - Accent5 87 27 2 2" xfId="23578" xr:uid="{00000000-0005-0000-0000-00001F5C0000}"/>
    <cellStyle name="40% - Accent5 87 27 3" xfId="23579" xr:uid="{00000000-0005-0000-0000-0000205C0000}"/>
    <cellStyle name="40% - Accent5 87 28" xfId="23580" xr:uid="{00000000-0005-0000-0000-0000215C0000}"/>
    <cellStyle name="40% - Accent5 87 28 2" xfId="23581" xr:uid="{00000000-0005-0000-0000-0000225C0000}"/>
    <cellStyle name="40% - Accent5 87 28 2 2" xfId="23582" xr:uid="{00000000-0005-0000-0000-0000235C0000}"/>
    <cellStyle name="40% - Accent5 87 28 3" xfId="23583" xr:uid="{00000000-0005-0000-0000-0000245C0000}"/>
    <cellStyle name="40% - Accent5 87 29" xfId="23584" xr:uid="{00000000-0005-0000-0000-0000255C0000}"/>
    <cellStyle name="40% - Accent5 87 29 2" xfId="23585" xr:uid="{00000000-0005-0000-0000-0000265C0000}"/>
    <cellStyle name="40% - Accent5 87 29 2 2" xfId="23586" xr:uid="{00000000-0005-0000-0000-0000275C0000}"/>
    <cellStyle name="40% - Accent5 87 29 3" xfId="23587" xr:uid="{00000000-0005-0000-0000-0000285C0000}"/>
    <cellStyle name="40% - Accent5 87 3" xfId="23588" xr:uid="{00000000-0005-0000-0000-0000295C0000}"/>
    <cellStyle name="40% - Accent5 87 3 2" xfId="23589" xr:uid="{00000000-0005-0000-0000-00002A5C0000}"/>
    <cellStyle name="40% - Accent5 87 3 2 2" xfId="23590" xr:uid="{00000000-0005-0000-0000-00002B5C0000}"/>
    <cellStyle name="40% - Accent5 87 3 3" xfId="23591" xr:uid="{00000000-0005-0000-0000-00002C5C0000}"/>
    <cellStyle name="40% - Accent5 87 30" xfId="23592" xr:uid="{00000000-0005-0000-0000-00002D5C0000}"/>
    <cellStyle name="40% - Accent5 87 30 2" xfId="23593" xr:uid="{00000000-0005-0000-0000-00002E5C0000}"/>
    <cellStyle name="40% - Accent5 87 30 2 2" xfId="23594" xr:uid="{00000000-0005-0000-0000-00002F5C0000}"/>
    <cellStyle name="40% - Accent5 87 30 3" xfId="23595" xr:uid="{00000000-0005-0000-0000-0000305C0000}"/>
    <cellStyle name="40% - Accent5 87 31" xfId="23596" xr:uid="{00000000-0005-0000-0000-0000315C0000}"/>
    <cellStyle name="40% - Accent5 87 31 2" xfId="23597" xr:uid="{00000000-0005-0000-0000-0000325C0000}"/>
    <cellStyle name="40% - Accent5 87 31 2 2" xfId="23598" xr:uid="{00000000-0005-0000-0000-0000335C0000}"/>
    <cellStyle name="40% - Accent5 87 31 3" xfId="23599" xr:uid="{00000000-0005-0000-0000-0000345C0000}"/>
    <cellStyle name="40% - Accent5 87 32" xfId="23600" xr:uid="{00000000-0005-0000-0000-0000355C0000}"/>
    <cellStyle name="40% - Accent5 87 32 2" xfId="23601" xr:uid="{00000000-0005-0000-0000-0000365C0000}"/>
    <cellStyle name="40% - Accent5 87 32 2 2" xfId="23602" xr:uid="{00000000-0005-0000-0000-0000375C0000}"/>
    <cellStyle name="40% - Accent5 87 32 3" xfId="23603" xr:uid="{00000000-0005-0000-0000-0000385C0000}"/>
    <cellStyle name="40% - Accent5 87 33" xfId="23604" xr:uid="{00000000-0005-0000-0000-0000395C0000}"/>
    <cellStyle name="40% - Accent5 87 33 2" xfId="23605" xr:uid="{00000000-0005-0000-0000-00003A5C0000}"/>
    <cellStyle name="40% - Accent5 87 33 2 2" xfId="23606" xr:uid="{00000000-0005-0000-0000-00003B5C0000}"/>
    <cellStyle name="40% - Accent5 87 33 3" xfId="23607" xr:uid="{00000000-0005-0000-0000-00003C5C0000}"/>
    <cellStyle name="40% - Accent5 87 34" xfId="23608" xr:uid="{00000000-0005-0000-0000-00003D5C0000}"/>
    <cellStyle name="40% - Accent5 87 34 2" xfId="23609" xr:uid="{00000000-0005-0000-0000-00003E5C0000}"/>
    <cellStyle name="40% - Accent5 87 34 2 2" xfId="23610" xr:uid="{00000000-0005-0000-0000-00003F5C0000}"/>
    <cellStyle name="40% - Accent5 87 34 3" xfId="23611" xr:uid="{00000000-0005-0000-0000-0000405C0000}"/>
    <cellStyle name="40% - Accent5 87 35" xfId="23612" xr:uid="{00000000-0005-0000-0000-0000415C0000}"/>
    <cellStyle name="40% - Accent5 87 35 2" xfId="23613" xr:uid="{00000000-0005-0000-0000-0000425C0000}"/>
    <cellStyle name="40% - Accent5 87 35 2 2" xfId="23614" xr:uid="{00000000-0005-0000-0000-0000435C0000}"/>
    <cellStyle name="40% - Accent5 87 35 3" xfId="23615" xr:uid="{00000000-0005-0000-0000-0000445C0000}"/>
    <cellStyle name="40% - Accent5 87 36" xfId="23616" xr:uid="{00000000-0005-0000-0000-0000455C0000}"/>
    <cellStyle name="40% - Accent5 87 36 2" xfId="23617" xr:uid="{00000000-0005-0000-0000-0000465C0000}"/>
    <cellStyle name="40% - Accent5 87 36 2 2" xfId="23618" xr:uid="{00000000-0005-0000-0000-0000475C0000}"/>
    <cellStyle name="40% - Accent5 87 36 3" xfId="23619" xr:uid="{00000000-0005-0000-0000-0000485C0000}"/>
    <cellStyle name="40% - Accent5 87 4" xfId="23620" xr:uid="{00000000-0005-0000-0000-0000495C0000}"/>
    <cellStyle name="40% - Accent5 87 4 2" xfId="23621" xr:uid="{00000000-0005-0000-0000-00004A5C0000}"/>
    <cellStyle name="40% - Accent5 87 4 2 2" xfId="23622" xr:uid="{00000000-0005-0000-0000-00004B5C0000}"/>
    <cellStyle name="40% - Accent5 87 4 3" xfId="23623" xr:uid="{00000000-0005-0000-0000-00004C5C0000}"/>
    <cellStyle name="40% - Accent5 87 5" xfId="23624" xr:uid="{00000000-0005-0000-0000-00004D5C0000}"/>
    <cellStyle name="40% - Accent5 87 5 2" xfId="23625" xr:uid="{00000000-0005-0000-0000-00004E5C0000}"/>
    <cellStyle name="40% - Accent5 87 5 2 2" xfId="23626" xr:uid="{00000000-0005-0000-0000-00004F5C0000}"/>
    <cellStyle name="40% - Accent5 87 5 3" xfId="23627" xr:uid="{00000000-0005-0000-0000-0000505C0000}"/>
    <cellStyle name="40% - Accent5 87 6" xfId="23628" xr:uid="{00000000-0005-0000-0000-0000515C0000}"/>
    <cellStyle name="40% - Accent5 87 6 2" xfId="23629" xr:uid="{00000000-0005-0000-0000-0000525C0000}"/>
    <cellStyle name="40% - Accent5 87 6 2 2" xfId="23630" xr:uid="{00000000-0005-0000-0000-0000535C0000}"/>
    <cellStyle name="40% - Accent5 87 6 3" xfId="23631" xr:uid="{00000000-0005-0000-0000-0000545C0000}"/>
    <cellStyle name="40% - Accent5 87 7" xfId="23632" xr:uid="{00000000-0005-0000-0000-0000555C0000}"/>
    <cellStyle name="40% - Accent5 87 7 2" xfId="23633" xr:uid="{00000000-0005-0000-0000-0000565C0000}"/>
    <cellStyle name="40% - Accent5 87 7 2 2" xfId="23634" xr:uid="{00000000-0005-0000-0000-0000575C0000}"/>
    <cellStyle name="40% - Accent5 87 7 3" xfId="23635" xr:uid="{00000000-0005-0000-0000-0000585C0000}"/>
    <cellStyle name="40% - Accent5 87 8" xfId="23636" xr:uid="{00000000-0005-0000-0000-0000595C0000}"/>
    <cellStyle name="40% - Accent5 87 8 2" xfId="23637" xr:uid="{00000000-0005-0000-0000-00005A5C0000}"/>
    <cellStyle name="40% - Accent5 87 8 2 2" xfId="23638" xr:uid="{00000000-0005-0000-0000-00005B5C0000}"/>
    <cellStyle name="40% - Accent5 87 8 3" xfId="23639" xr:uid="{00000000-0005-0000-0000-00005C5C0000}"/>
    <cellStyle name="40% - Accent5 87 9" xfId="23640" xr:uid="{00000000-0005-0000-0000-00005D5C0000}"/>
    <cellStyle name="40% - Accent5 87 9 2" xfId="23641" xr:uid="{00000000-0005-0000-0000-00005E5C0000}"/>
    <cellStyle name="40% - Accent5 87 9 2 2" xfId="23642" xr:uid="{00000000-0005-0000-0000-00005F5C0000}"/>
    <cellStyle name="40% - Accent5 87 9 3" xfId="23643" xr:uid="{00000000-0005-0000-0000-0000605C0000}"/>
    <cellStyle name="40% - Accent5 88" xfId="23644" xr:uid="{00000000-0005-0000-0000-0000615C0000}"/>
    <cellStyle name="40% - Accent5 88 10" xfId="23645" xr:uid="{00000000-0005-0000-0000-0000625C0000}"/>
    <cellStyle name="40% - Accent5 88 10 2" xfId="23646" xr:uid="{00000000-0005-0000-0000-0000635C0000}"/>
    <cellStyle name="40% - Accent5 88 10 2 2" xfId="23647" xr:uid="{00000000-0005-0000-0000-0000645C0000}"/>
    <cellStyle name="40% - Accent5 88 10 3" xfId="23648" xr:uid="{00000000-0005-0000-0000-0000655C0000}"/>
    <cellStyle name="40% - Accent5 88 11" xfId="23649" xr:uid="{00000000-0005-0000-0000-0000665C0000}"/>
    <cellStyle name="40% - Accent5 88 11 2" xfId="23650" xr:uid="{00000000-0005-0000-0000-0000675C0000}"/>
    <cellStyle name="40% - Accent5 88 11 2 2" xfId="23651" xr:uid="{00000000-0005-0000-0000-0000685C0000}"/>
    <cellStyle name="40% - Accent5 88 11 3" xfId="23652" xr:uid="{00000000-0005-0000-0000-0000695C0000}"/>
    <cellStyle name="40% - Accent5 88 12" xfId="23653" xr:uid="{00000000-0005-0000-0000-00006A5C0000}"/>
    <cellStyle name="40% - Accent5 88 12 2" xfId="23654" xr:uid="{00000000-0005-0000-0000-00006B5C0000}"/>
    <cellStyle name="40% - Accent5 88 12 2 2" xfId="23655" xr:uid="{00000000-0005-0000-0000-00006C5C0000}"/>
    <cellStyle name="40% - Accent5 88 12 3" xfId="23656" xr:uid="{00000000-0005-0000-0000-00006D5C0000}"/>
    <cellStyle name="40% - Accent5 88 13" xfId="23657" xr:uid="{00000000-0005-0000-0000-00006E5C0000}"/>
    <cellStyle name="40% - Accent5 88 13 2" xfId="23658" xr:uid="{00000000-0005-0000-0000-00006F5C0000}"/>
    <cellStyle name="40% - Accent5 88 13 2 2" xfId="23659" xr:uid="{00000000-0005-0000-0000-0000705C0000}"/>
    <cellStyle name="40% - Accent5 88 13 3" xfId="23660" xr:uid="{00000000-0005-0000-0000-0000715C0000}"/>
    <cellStyle name="40% - Accent5 88 14" xfId="23661" xr:uid="{00000000-0005-0000-0000-0000725C0000}"/>
    <cellStyle name="40% - Accent5 88 14 2" xfId="23662" xr:uid="{00000000-0005-0000-0000-0000735C0000}"/>
    <cellStyle name="40% - Accent5 88 14 2 2" xfId="23663" xr:uid="{00000000-0005-0000-0000-0000745C0000}"/>
    <cellStyle name="40% - Accent5 88 14 3" xfId="23664" xr:uid="{00000000-0005-0000-0000-0000755C0000}"/>
    <cellStyle name="40% - Accent5 88 15" xfId="23665" xr:uid="{00000000-0005-0000-0000-0000765C0000}"/>
    <cellStyle name="40% - Accent5 88 15 2" xfId="23666" xr:uid="{00000000-0005-0000-0000-0000775C0000}"/>
    <cellStyle name="40% - Accent5 88 15 2 2" xfId="23667" xr:uid="{00000000-0005-0000-0000-0000785C0000}"/>
    <cellStyle name="40% - Accent5 88 15 3" xfId="23668" xr:uid="{00000000-0005-0000-0000-0000795C0000}"/>
    <cellStyle name="40% - Accent5 88 16" xfId="23669" xr:uid="{00000000-0005-0000-0000-00007A5C0000}"/>
    <cellStyle name="40% - Accent5 88 16 2" xfId="23670" xr:uid="{00000000-0005-0000-0000-00007B5C0000}"/>
    <cellStyle name="40% - Accent5 88 16 2 2" xfId="23671" xr:uid="{00000000-0005-0000-0000-00007C5C0000}"/>
    <cellStyle name="40% - Accent5 88 16 3" xfId="23672" xr:uid="{00000000-0005-0000-0000-00007D5C0000}"/>
    <cellStyle name="40% - Accent5 88 17" xfId="23673" xr:uid="{00000000-0005-0000-0000-00007E5C0000}"/>
    <cellStyle name="40% - Accent5 88 17 2" xfId="23674" xr:uid="{00000000-0005-0000-0000-00007F5C0000}"/>
    <cellStyle name="40% - Accent5 88 17 2 2" xfId="23675" xr:uid="{00000000-0005-0000-0000-0000805C0000}"/>
    <cellStyle name="40% - Accent5 88 17 3" xfId="23676" xr:uid="{00000000-0005-0000-0000-0000815C0000}"/>
    <cellStyle name="40% - Accent5 88 18" xfId="23677" xr:uid="{00000000-0005-0000-0000-0000825C0000}"/>
    <cellStyle name="40% - Accent5 88 18 2" xfId="23678" xr:uid="{00000000-0005-0000-0000-0000835C0000}"/>
    <cellStyle name="40% - Accent5 88 18 2 2" xfId="23679" xr:uid="{00000000-0005-0000-0000-0000845C0000}"/>
    <cellStyle name="40% - Accent5 88 18 3" xfId="23680" xr:uid="{00000000-0005-0000-0000-0000855C0000}"/>
    <cellStyle name="40% - Accent5 88 19" xfId="23681" xr:uid="{00000000-0005-0000-0000-0000865C0000}"/>
    <cellStyle name="40% - Accent5 88 19 2" xfId="23682" xr:uid="{00000000-0005-0000-0000-0000875C0000}"/>
    <cellStyle name="40% - Accent5 88 19 2 2" xfId="23683" xr:uid="{00000000-0005-0000-0000-0000885C0000}"/>
    <cellStyle name="40% - Accent5 88 19 3" xfId="23684" xr:uid="{00000000-0005-0000-0000-0000895C0000}"/>
    <cellStyle name="40% - Accent5 88 2" xfId="23685" xr:uid="{00000000-0005-0000-0000-00008A5C0000}"/>
    <cellStyle name="40% - Accent5 88 2 2" xfId="23686" xr:uid="{00000000-0005-0000-0000-00008B5C0000}"/>
    <cellStyle name="40% - Accent5 88 2 2 2" xfId="23687" xr:uid="{00000000-0005-0000-0000-00008C5C0000}"/>
    <cellStyle name="40% - Accent5 88 2 3" xfId="23688" xr:uid="{00000000-0005-0000-0000-00008D5C0000}"/>
    <cellStyle name="40% - Accent5 88 20" xfId="23689" xr:uid="{00000000-0005-0000-0000-00008E5C0000}"/>
    <cellStyle name="40% - Accent5 88 20 2" xfId="23690" xr:uid="{00000000-0005-0000-0000-00008F5C0000}"/>
    <cellStyle name="40% - Accent5 88 20 2 2" xfId="23691" xr:uid="{00000000-0005-0000-0000-0000905C0000}"/>
    <cellStyle name="40% - Accent5 88 20 3" xfId="23692" xr:uid="{00000000-0005-0000-0000-0000915C0000}"/>
    <cellStyle name="40% - Accent5 88 21" xfId="23693" xr:uid="{00000000-0005-0000-0000-0000925C0000}"/>
    <cellStyle name="40% - Accent5 88 21 2" xfId="23694" xr:uid="{00000000-0005-0000-0000-0000935C0000}"/>
    <cellStyle name="40% - Accent5 88 21 2 2" xfId="23695" xr:uid="{00000000-0005-0000-0000-0000945C0000}"/>
    <cellStyle name="40% - Accent5 88 21 3" xfId="23696" xr:uid="{00000000-0005-0000-0000-0000955C0000}"/>
    <cellStyle name="40% - Accent5 88 22" xfId="23697" xr:uid="{00000000-0005-0000-0000-0000965C0000}"/>
    <cellStyle name="40% - Accent5 88 22 2" xfId="23698" xr:uid="{00000000-0005-0000-0000-0000975C0000}"/>
    <cellStyle name="40% - Accent5 88 22 2 2" xfId="23699" xr:uid="{00000000-0005-0000-0000-0000985C0000}"/>
    <cellStyle name="40% - Accent5 88 22 3" xfId="23700" xr:uid="{00000000-0005-0000-0000-0000995C0000}"/>
    <cellStyle name="40% - Accent5 88 23" xfId="23701" xr:uid="{00000000-0005-0000-0000-00009A5C0000}"/>
    <cellStyle name="40% - Accent5 88 23 2" xfId="23702" xr:uid="{00000000-0005-0000-0000-00009B5C0000}"/>
    <cellStyle name="40% - Accent5 88 23 2 2" xfId="23703" xr:uid="{00000000-0005-0000-0000-00009C5C0000}"/>
    <cellStyle name="40% - Accent5 88 23 3" xfId="23704" xr:uid="{00000000-0005-0000-0000-00009D5C0000}"/>
    <cellStyle name="40% - Accent5 88 24" xfId="23705" xr:uid="{00000000-0005-0000-0000-00009E5C0000}"/>
    <cellStyle name="40% - Accent5 88 24 2" xfId="23706" xr:uid="{00000000-0005-0000-0000-00009F5C0000}"/>
    <cellStyle name="40% - Accent5 88 24 2 2" xfId="23707" xr:uid="{00000000-0005-0000-0000-0000A05C0000}"/>
    <cellStyle name="40% - Accent5 88 24 3" xfId="23708" xr:uid="{00000000-0005-0000-0000-0000A15C0000}"/>
    <cellStyle name="40% - Accent5 88 25" xfId="23709" xr:uid="{00000000-0005-0000-0000-0000A25C0000}"/>
    <cellStyle name="40% - Accent5 88 25 2" xfId="23710" xr:uid="{00000000-0005-0000-0000-0000A35C0000}"/>
    <cellStyle name="40% - Accent5 88 25 2 2" xfId="23711" xr:uid="{00000000-0005-0000-0000-0000A45C0000}"/>
    <cellStyle name="40% - Accent5 88 25 3" xfId="23712" xr:uid="{00000000-0005-0000-0000-0000A55C0000}"/>
    <cellStyle name="40% - Accent5 88 26" xfId="23713" xr:uid="{00000000-0005-0000-0000-0000A65C0000}"/>
    <cellStyle name="40% - Accent5 88 26 2" xfId="23714" xr:uid="{00000000-0005-0000-0000-0000A75C0000}"/>
    <cellStyle name="40% - Accent5 88 26 2 2" xfId="23715" xr:uid="{00000000-0005-0000-0000-0000A85C0000}"/>
    <cellStyle name="40% - Accent5 88 26 3" xfId="23716" xr:uid="{00000000-0005-0000-0000-0000A95C0000}"/>
    <cellStyle name="40% - Accent5 88 27" xfId="23717" xr:uid="{00000000-0005-0000-0000-0000AA5C0000}"/>
    <cellStyle name="40% - Accent5 88 27 2" xfId="23718" xr:uid="{00000000-0005-0000-0000-0000AB5C0000}"/>
    <cellStyle name="40% - Accent5 88 27 2 2" xfId="23719" xr:uid="{00000000-0005-0000-0000-0000AC5C0000}"/>
    <cellStyle name="40% - Accent5 88 27 3" xfId="23720" xr:uid="{00000000-0005-0000-0000-0000AD5C0000}"/>
    <cellStyle name="40% - Accent5 88 28" xfId="23721" xr:uid="{00000000-0005-0000-0000-0000AE5C0000}"/>
    <cellStyle name="40% - Accent5 88 28 2" xfId="23722" xr:uid="{00000000-0005-0000-0000-0000AF5C0000}"/>
    <cellStyle name="40% - Accent5 88 28 2 2" xfId="23723" xr:uid="{00000000-0005-0000-0000-0000B05C0000}"/>
    <cellStyle name="40% - Accent5 88 28 3" xfId="23724" xr:uid="{00000000-0005-0000-0000-0000B15C0000}"/>
    <cellStyle name="40% - Accent5 88 29" xfId="23725" xr:uid="{00000000-0005-0000-0000-0000B25C0000}"/>
    <cellStyle name="40% - Accent5 88 29 2" xfId="23726" xr:uid="{00000000-0005-0000-0000-0000B35C0000}"/>
    <cellStyle name="40% - Accent5 88 29 2 2" xfId="23727" xr:uid="{00000000-0005-0000-0000-0000B45C0000}"/>
    <cellStyle name="40% - Accent5 88 29 3" xfId="23728" xr:uid="{00000000-0005-0000-0000-0000B55C0000}"/>
    <cellStyle name="40% - Accent5 88 3" xfId="23729" xr:uid="{00000000-0005-0000-0000-0000B65C0000}"/>
    <cellStyle name="40% - Accent5 88 3 2" xfId="23730" xr:uid="{00000000-0005-0000-0000-0000B75C0000}"/>
    <cellStyle name="40% - Accent5 88 3 2 2" xfId="23731" xr:uid="{00000000-0005-0000-0000-0000B85C0000}"/>
    <cellStyle name="40% - Accent5 88 3 3" xfId="23732" xr:uid="{00000000-0005-0000-0000-0000B95C0000}"/>
    <cellStyle name="40% - Accent5 88 30" xfId="23733" xr:uid="{00000000-0005-0000-0000-0000BA5C0000}"/>
    <cellStyle name="40% - Accent5 88 30 2" xfId="23734" xr:uid="{00000000-0005-0000-0000-0000BB5C0000}"/>
    <cellStyle name="40% - Accent5 88 30 2 2" xfId="23735" xr:uid="{00000000-0005-0000-0000-0000BC5C0000}"/>
    <cellStyle name="40% - Accent5 88 30 3" xfId="23736" xr:uid="{00000000-0005-0000-0000-0000BD5C0000}"/>
    <cellStyle name="40% - Accent5 88 31" xfId="23737" xr:uid="{00000000-0005-0000-0000-0000BE5C0000}"/>
    <cellStyle name="40% - Accent5 88 31 2" xfId="23738" xr:uid="{00000000-0005-0000-0000-0000BF5C0000}"/>
    <cellStyle name="40% - Accent5 88 31 2 2" xfId="23739" xr:uid="{00000000-0005-0000-0000-0000C05C0000}"/>
    <cellStyle name="40% - Accent5 88 31 3" xfId="23740" xr:uid="{00000000-0005-0000-0000-0000C15C0000}"/>
    <cellStyle name="40% - Accent5 88 32" xfId="23741" xr:uid="{00000000-0005-0000-0000-0000C25C0000}"/>
    <cellStyle name="40% - Accent5 88 32 2" xfId="23742" xr:uid="{00000000-0005-0000-0000-0000C35C0000}"/>
    <cellStyle name="40% - Accent5 88 32 2 2" xfId="23743" xr:uid="{00000000-0005-0000-0000-0000C45C0000}"/>
    <cellStyle name="40% - Accent5 88 32 3" xfId="23744" xr:uid="{00000000-0005-0000-0000-0000C55C0000}"/>
    <cellStyle name="40% - Accent5 88 33" xfId="23745" xr:uid="{00000000-0005-0000-0000-0000C65C0000}"/>
    <cellStyle name="40% - Accent5 88 33 2" xfId="23746" xr:uid="{00000000-0005-0000-0000-0000C75C0000}"/>
    <cellStyle name="40% - Accent5 88 33 2 2" xfId="23747" xr:uid="{00000000-0005-0000-0000-0000C85C0000}"/>
    <cellStyle name="40% - Accent5 88 33 3" xfId="23748" xr:uid="{00000000-0005-0000-0000-0000C95C0000}"/>
    <cellStyle name="40% - Accent5 88 34" xfId="23749" xr:uid="{00000000-0005-0000-0000-0000CA5C0000}"/>
    <cellStyle name="40% - Accent5 88 34 2" xfId="23750" xr:uid="{00000000-0005-0000-0000-0000CB5C0000}"/>
    <cellStyle name="40% - Accent5 88 34 2 2" xfId="23751" xr:uid="{00000000-0005-0000-0000-0000CC5C0000}"/>
    <cellStyle name="40% - Accent5 88 34 3" xfId="23752" xr:uid="{00000000-0005-0000-0000-0000CD5C0000}"/>
    <cellStyle name="40% - Accent5 88 35" xfId="23753" xr:uid="{00000000-0005-0000-0000-0000CE5C0000}"/>
    <cellStyle name="40% - Accent5 88 35 2" xfId="23754" xr:uid="{00000000-0005-0000-0000-0000CF5C0000}"/>
    <cellStyle name="40% - Accent5 88 35 2 2" xfId="23755" xr:uid="{00000000-0005-0000-0000-0000D05C0000}"/>
    <cellStyle name="40% - Accent5 88 35 3" xfId="23756" xr:uid="{00000000-0005-0000-0000-0000D15C0000}"/>
    <cellStyle name="40% - Accent5 88 36" xfId="23757" xr:uid="{00000000-0005-0000-0000-0000D25C0000}"/>
    <cellStyle name="40% - Accent5 88 36 2" xfId="23758" xr:uid="{00000000-0005-0000-0000-0000D35C0000}"/>
    <cellStyle name="40% - Accent5 88 36 2 2" xfId="23759" xr:uid="{00000000-0005-0000-0000-0000D45C0000}"/>
    <cellStyle name="40% - Accent5 88 36 3" xfId="23760" xr:uid="{00000000-0005-0000-0000-0000D55C0000}"/>
    <cellStyle name="40% - Accent5 88 37" xfId="23761" xr:uid="{00000000-0005-0000-0000-0000D65C0000}"/>
    <cellStyle name="40% - Accent5 88 37 2" xfId="23762" xr:uid="{00000000-0005-0000-0000-0000D75C0000}"/>
    <cellStyle name="40% - Accent5 88 38" xfId="23763" xr:uid="{00000000-0005-0000-0000-0000D85C0000}"/>
    <cellStyle name="40% - Accent5 88 4" xfId="23764" xr:uid="{00000000-0005-0000-0000-0000D95C0000}"/>
    <cellStyle name="40% - Accent5 88 4 2" xfId="23765" xr:uid="{00000000-0005-0000-0000-0000DA5C0000}"/>
    <cellStyle name="40% - Accent5 88 4 2 2" xfId="23766" xr:uid="{00000000-0005-0000-0000-0000DB5C0000}"/>
    <cellStyle name="40% - Accent5 88 4 3" xfId="23767" xr:uid="{00000000-0005-0000-0000-0000DC5C0000}"/>
    <cellStyle name="40% - Accent5 88 5" xfId="23768" xr:uid="{00000000-0005-0000-0000-0000DD5C0000}"/>
    <cellStyle name="40% - Accent5 88 5 2" xfId="23769" xr:uid="{00000000-0005-0000-0000-0000DE5C0000}"/>
    <cellStyle name="40% - Accent5 88 5 2 2" xfId="23770" xr:uid="{00000000-0005-0000-0000-0000DF5C0000}"/>
    <cellStyle name="40% - Accent5 88 5 3" xfId="23771" xr:uid="{00000000-0005-0000-0000-0000E05C0000}"/>
    <cellStyle name="40% - Accent5 88 6" xfId="23772" xr:uid="{00000000-0005-0000-0000-0000E15C0000}"/>
    <cellStyle name="40% - Accent5 88 6 2" xfId="23773" xr:uid="{00000000-0005-0000-0000-0000E25C0000}"/>
    <cellStyle name="40% - Accent5 88 6 2 2" xfId="23774" xr:uid="{00000000-0005-0000-0000-0000E35C0000}"/>
    <cellStyle name="40% - Accent5 88 6 3" xfId="23775" xr:uid="{00000000-0005-0000-0000-0000E45C0000}"/>
    <cellStyle name="40% - Accent5 88 7" xfId="23776" xr:uid="{00000000-0005-0000-0000-0000E55C0000}"/>
    <cellStyle name="40% - Accent5 88 7 2" xfId="23777" xr:uid="{00000000-0005-0000-0000-0000E65C0000}"/>
    <cellStyle name="40% - Accent5 88 7 2 2" xfId="23778" xr:uid="{00000000-0005-0000-0000-0000E75C0000}"/>
    <cellStyle name="40% - Accent5 88 7 3" xfId="23779" xr:uid="{00000000-0005-0000-0000-0000E85C0000}"/>
    <cellStyle name="40% - Accent5 88 8" xfId="23780" xr:uid="{00000000-0005-0000-0000-0000E95C0000}"/>
    <cellStyle name="40% - Accent5 88 8 2" xfId="23781" xr:uid="{00000000-0005-0000-0000-0000EA5C0000}"/>
    <cellStyle name="40% - Accent5 88 8 2 2" xfId="23782" xr:uid="{00000000-0005-0000-0000-0000EB5C0000}"/>
    <cellStyle name="40% - Accent5 88 8 3" xfId="23783" xr:uid="{00000000-0005-0000-0000-0000EC5C0000}"/>
    <cellStyle name="40% - Accent5 88 9" xfId="23784" xr:uid="{00000000-0005-0000-0000-0000ED5C0000}"/>
    <cellStyle name="40% - Accent5 88 9 2" xfId="23785" xr:uid="{00000000-0005-0000-0000-0000EE5C0000}"/>
    <cellStyle name="40% - Accent5 88 9 2 2" xfId="23786" xr:uid="{00000000-0005-0000-0000-0000EF5C0000}"/>
    <cellStyle name="40% - Accent5 88 9 3" xfId="23787" xr:uid="{00000000-0005-0000-0000-0000F05C0000}"/>
    <cellStyle name="40% - Accent5 89" xfId="23788" xr:uid="{00000000-0005-0000-0000-0000F15C0000}"/>
    <cellStyle name="40% - Accent5 89 2" xfId="23789" xr:uid="{00000000-0005-0000-0000-0000F25C0000}"/>
    <cellStyle name="40% - Accent5 9" xfId="23790" xr:uid="{00000000-0005-0000-0000-0000F35C0000}"/>
    <cellStyle name="40% - Accent5 9 2" xfId="23791" xr:uid="{00000000-0005-0000-0000-0000F45C0000}"/>
    <cellStyle name="40% - Accent5 9 2 2" xfId="23792" xr:uid="{00000000-0005-0000-0000-0000F55C0000}"/>
    <cellStyle name="40% - Accent5 9 3" xfId="23793" xr:uid="{00000000-0005-0000-0000-0000F65C0000}"/>
    <cellStyle name="40% - Accent5 9 4" xfId="23794" xr:uid="{00000000-0005-0000-0000-0000F75C0000}"/>
    <cellStyle name="40% - Accent5 90" xfId="23795" xr:uid="{00000000-0005-0000-0000-0000F85C0000}"/>
    <cellStyle name="40% - Accent5 90 2" xfId="23796" xr:uid="{00000000-0005-0000-0000-0000F95C0000}"/>
    <cellStyle name="40% - Accent5 91" xfId="23797" xr:uid="{00000000-0005-0000-0000-0000FA5C0000}"/>
    <cellStyle name="40% - Accent5 91 2" xfId="23798" xr:uid="{00000000-0005-0000-0000-0000FB5C0000}"/>
    <cellStyle name="40% - Accent5 92" xfId="23799" xr:uid="{00000000-0005-0000-0000-0000FC5C0000}"/>
    <cellStyle name="40% - Accent5 92 2" xfId="23800" xr:uid="{00000000-0005-0000-0000-0000FD5C0000}"/>
    <cellStyle name="40% - Accent5 93" xfId="23801" xr:uid="{00000000-0005-0000-0000-0000FE5C0000}"/>
    <cellStyle name="40% - Accent5 93 2" xfId="23802" xr:uid="{00000000-0005-0000-0000-0000FF5C0000}"/>
    <cellStyle name="40% - Accent5 93 2 2" xfId="23803" xr:uid="{00000000-0005-0000-0000-0000005D0000}"/>
    <cellStyle name="40% - Accent5 93 2 2 2" xfId="23804" xr:uid="{00000000-0005-0000-0000-0000015D0000}"/>
    <cellStyle name="40% - Accent5 93 2 3" xfId="23805" xr:uid="{00000000-0005-0000-0000-0000025D0000}"/>
    <cellStyle name="40% - Accent5 93 3" xfId="23806" xr:uid="{00000000-0005-0000-0000-0000035D0000}"/>
    <cellStyle name="40% - Accent5 93 3 2" xfId="23807" xr:uid="{00000000-0005-0000-0000-0000045D0000}"/>
    <cellStyle name="40% - Accent5 93 4" xfId="23808" xr:uid="{00000000-0005-0000-0000-0000055D0000}"/>
    <cellStyle name="40% - Accent5 94" xfId="23809" xr:uid="{00000000-0005-0000-0000-0000065D0000}"/>
    <cellStyle name="40% - Accent5 94 2" xfId="23810" xr:uid="{00000000-0005-0000-0000-0000075D0000}"/>
    <cellStyle name="40% - Accent5 94 2 2" xfId="23811" xr:uid="{00000000-0005-0000-0000-0000085D0000}"/>
    <cellStyle name="40% - Accent5 94 2 2 2" xfId="23812" xr:uid="{00000000-0005-0000-0000-0000095D0000}"/>
    <cellStyle name="40% - Accent5 94 2 3" xfId="23813" xr:uid="{00000000-0005-0000-0000-00000A5D0000}"/>
    <cellStyle name="40% - Accent5 94 3" xfId="23814" xr:uid="{00000000-0005-0000-0000-00000B5D0000}"/>
    <cellStyle name="40% - Accent5 94 3 2" xfId="23815" xr:uid="{00000000-0005-0000-0000-00000C5D0000}"/>
    <cellStyle name="40% - Accent5 94 4" xfId="23816" xr:uid="{00000000-0005-0000-0000-00000D5D0000}"/>
    <cellStyle name="40% - Accent5 95" xfId="23817" xr:uid="{00000000-0005-0000-0000-00000E5D0000}"/>
    <cellStyle name="40% - Accent5 95 2" xfId="23818" xr:uid="{00000000-0005-0000-0000-00000F5D0000}"/>
    <cellStyle name="40% - Accent5 95 2 2" xfId="23819" xr:uid="{00000000-0005-0000-0000-0000105D0000}"/>
    <cellStyle name="40% - Accent5 95 3" xfId="23820" xr:uid="{00000000-0005-0000-0000-0000115D0000}"/>
    <cellStyle name="40% - Accent5 96" xfId="23821" xr:uid="{00000000-0005-0000-0000-0000125D0000}"/>
    <cellStyle name="40% - Accent5 96 2" xfId="23822" xr:uid="{00000000-0005-0000-0000-0000135D0000}"/>
    <cellStyle name="40% - Accent5 96 2 2" xfId="23823" xr:uid="{00000000-0005-0000-0000-0000145D0000}"/>
    <cellStyle name="40% - Accent5 96 3" xfId="23824" xr:uid="{00000000-0005-0000-0000-0000155D0000}"/>
    <cellStyle name="40% - Accent5 97" xfId="23825" xr:uid="{00000000-0005-0000-0000-0000165D0000}"/>
    <cellStyle name="40% - Accent5 97 2" xfId="23826" xr:uid="{00000000-0005-0000-0000-0000175D0000}"/>
    <cellStyle name="40% - Accent5 97 2 2" xfId="23827" xr:uid="{00000000-0005-0000-0000-0000185D0000}"/>
    <cellStyle name="40% - Accent5 97 3" xfId="23828" xr:uid="{00000000-0005-0000-0000-0000195D0000}"/>
    <cellStyle name="40% - Accent5 98" xfId="23829" xr:uid="{00000000-0005-0000-0000-00001A5D0000}"/>
    <cellStyle name="40% - Accent5 98 2" xfId="23830" xr:uid="{00000000-0005-0000-0000-00001B5D0000}"/>
    <cellStyle name="40% - Accent5 98 2 2" xfId="23831" xr:uid="{00000000-0005-0000-0000-00001C5D0000}"/>
    <cellStyle name="40% - Accent5 98 3" xfId="23832" xr:uid="{00000000-0005-0000-0000-00001D5D0000}"/>
    <cellStyle name="40% - Accent5 99" xfId="23833" xr:uid="{00000000-0005-0000-0000-00001E5D0000}"/>
    <cellStyle name="40% - Accent6" xfId="41036" builtinId="51" customBuiltin="1"/>
    <cellStyle name="40% - Accent6 10" xfId="23834" xr:uid="{00000000-0005-0000-0000-0000205D0000}"/>
    <cellStyle name="40% - Accent6 10 2" xfId="23835" xr:uid="{00000000-0005-0000-0000-0000215D0000}"/>
    <cellStyle name="40% - Accent6 10 2 2" xfId="23836" xr:uid="{00000000-0005-0000-0000-0000225D0000}"/>
    <cellStyle name="40% - Accent6 10 3" xfId="23837" xr:uid="{00000000-0005-0000-0000-0000235D0000}"/>
    <cellStyle name="40% - Accent6 100" xfId="23838" xr:uid="{00000000-0005-0000-0000-0000245D0000}"/>
    <cellStyle name="40% - Accent6 100 2" xfId="23839" xr:uid="{00000000-0005-0000-0000-0000255D0000}"/>
    <cellStyle name="40% - Accent6 100 2 2" xfId="23840" xr:uid="{00000000-0005-0000-0000-0000265D0000}"/>
    <cellStyle name="40% - Accent6 100 3" xfId="23841" xr:uid="{00000000-0005-0000-0000-0000275D0000}"/>
    <cellStyle name="40% - Accent6 101" xfId="23842" xr:uid="{00000000-0005-0000-0000-0000285D0000}"/>
    <cellStyle name="40% - Accent6 102" xfId="23843" xr:uid="{00000000-0005-0000-0000-0000295D0000}"/>
    <cellStyle name="40% - Accent6 102 2" xfId="23844" xr:uid="{00000000-0005-0000-0000-00002A5D0000}"/>
    <cellStyle name="40% - Accent6 102 2 2" xfId="23845" xr:uid="{00000000-0005-0000-0000-00002B5D0000}"/>
    <cellStyle name="40% - Accent6 102 3" xfId="23846" xr:uid="{00000000-0005-0000-0000-00002C5D0000}"/>
    <cellStyle name="40% - Accent6 103" xfId="23847" xr:uid="{00000000-0005-0000-0000-00002D5D0000}"/>
    <cellStyle name="40% - Accent6 104" xfId="23848" xr:uid="{00000000-0005-0000-0000-00002E5D0000}"/>
    <cellStyle name="40% - Accent6 104 2" xfId="23849" xr:uid="{00000000-0005-0000-0000-00002F5D0000}"/>
    <cellStyle name="40% - Accent6 104 2 2" xfId="23850" xr:uid="{00000000-0005-0000-0000-0000305D0000}"/>
    <cellStyle name="40% - Accent6 104 3" xfId="23851" xr:uid="{00000000-0005-0000-0000-0000315D0000}"/>
    <cellStyle name="40% - Accent6 105" xfId="23852" xr:uid="{00000000-0005-0000-0000-0000325D0000}"/>
    <cellStyle name="40% - Accent6 105 2" xfId="23853" xr:uid="{00000000-0005-0000-0000-0000335D0000}"/>
    <cellStyle name="40% - Accent6 105 2 2" xfId="23854" xr:uid="{00000000-0005-0000-0000-0000345D0000}"/>
    <cellStyle name="40% - Accent6 105 3" xfId="23855" xr:uid="{00000000-0005-0000-0000-0000355D0000}"/>
    <cellStyle name="40% - Accent6 106" xfId="23856" xr:uid="{00000000-0005-0000-0000-0000365D0000}"/>
    <cellStyle name="40% - Accent6 107" xfId="23857" xr:uid="{00000000-0005-0000-0000-0000375D0000}"/>
    <cellStyle name="40% - Accent6 108" xfId="23858" xr:uid="{00000000-0005-0000-0000-0000385D0000}"/>
    <cellStyle name="40% - Accent6 109" xfId="23859" xr:uid="{00000000-0005-0000-0000-0000395D0000}"/>
    <cellStyle name="40% - Accent6 11" xfId="23860" xr:uid="{00000000-0005-0000-0000-00003A5D0000}"/>
    <cellStyle name="40% - Accent6 11 2" xfId="23861" xr:uid="{00000000-0005-0000-0000-00003B5D0000}"/>
    <cellStyle name="40% - Accent6 11 2 2" xfId="23862" xr:uid="{00000000-0005-0000-0000-00003C5D0000}"/>
    <cellStyle name="40% - Accent6 11 3" xfId="23863" xr:uid="{00000000-0005-0000-0000-00003D5D0000}"/>
    <cellStyle name="40% - Accent6 110" xfId="23864" xr:uid="{00000000-0005-0000-0000-00003E5D0000}"/>
    <cellStyle name="40% - Accent6 110 2" xfId="23865" xr:uid="{00000000-0005-0000-0000-00003F5D0000}"/>
    <cellStyle name="40% - Accent6 110 2 2" xfId="23866" xr:uid="{00000000-0005-0000-0000-0000405D0000}"/>
    <cellStyle name="40% - Accent6 110 3" xfId="23867" xr:uid="{00000000-0005-0000-0000-0000415D0000}"/>
    <cellStyle name="40% - Accent6 111" xfId="23868" xr:uid="{00000000-0005-0000-0000-0000425D0000}"/>
    <cellStyle name="40% - Accent6 111 2" xfId="23869" xr:uid="{00000000-0005-0000-0000-0000435D0000}"/>
    <cellStyle name="40% - Accent6 111 2 2" xfId="23870" xr:uid="{00000000-0005-0000-0000-0000445D0000}"/>
    <cellStyle name="40% - Accent6 111 3" xfId="23871" xr:uid="{00000000-0005-0000-0000-0000455D0000}"/>
    <cellStyle name="40% - Accent6 112" xfId="23872" xr:uid="{00000000-0005-0000-0000-0000465D0000}"/>
    <cellStyle name="40% - Accent6 112 2" xfId="23873" xr:uid="{00000000-0005-0000-0000-0000475D0000}"/>
    <cellStyle name="40% - Accent6 112 2 2" xfId="23874" xr:uid="{00000000-0005-0000-0000-0000485D0000}"/>
    <cellStyle name="40% - Accent6 112 3" xfId="23875" xr:uid="{00000000-0005-0000-0000-0000495D0000}"/>
    <cellStyle name="40% - Accent6 113" xfId="23876" xr:uid="{00000000-0005-0000-0000-00004A5D0000}"/>
    <cellStyle name="40% - Accent6 114" xfId="23877" xr:uid="{00000000-0005-0000-0000-00004B5D0000}"/>
    <cellStyle name="40% - Accent6 115" xfId="23878" xr:uid="{00000000-0005-0000-0000-00004C5D0000}"/>
    <cellStyle name="40% - Accent6 116" xfId="23879" xr:uid="{00000000-0005-0000-0000-00004D5D0000}"/>
    <cellStyle name="40% - Accent6 117" xfId="23880" xr:uid="{00000000-0005-0000-0000-00004E5D0000}"/>
    <cellStyle name="40% - Accent6 117 2" xfId="23881" xr:uid="{00000000-0005-0000-0000-00004F5D0000}"/>
    <cellStyle name="40% - Accent6 117 2 2" xfId="23882" xr:uid="{00000000-0005-0000-0000-0000505D0000}"/>
    <cellStyle name="40% - Accent6 117 3" xfId="23883" xr:uid="{00000000-0005-0000-0000-0000515D0000}"/>
    <cellStyle name="40% - Accent6 118" xfId="23884" xr:uid="{00000000-0005-0000-0000-0000525D0000}"/>
    <cellStyle name="40% - Accent6 118 2" xfId="23885" xr:uid="{00000000-0005-0000-0000-0000535D0000}"/>
    <cellStyle name="40% - Accent6 118 2 2" xfId="23886" xr:uid="{00000000-0005-0000-0000-0000545D0000}"/>
    <cellStyle name="40% - Accent6 118 3" xfId="23887" xr:uid="{00000000-0005-0000-0000-0000555D0000}"/>
    <cellStyle name="40% - Accent6 119" xfId="23888" xr:uid="{00000000-0005-0000-0000-0000565D0000}"/>
    <cellStyle name="40% - Accent6 119 2" xfId="23889" xr:uid="{00000000-0005-0000-0000-0000575D0000}"/>
    <cellStyle name="40% - Accent6 119 2 2" xfId="23890" xr:uid="{00000000-0005-0000-0000-0000585D0000}"/>
    <cellStyle name="40% - Accent6 119 3" xfId="23891" xr:uid="{00000000-0005-0000-0000-0000595D0000}"/>
    <cellStyle name="40% - Accent6 12" xfId="23892" xr:uid="{00000000-0005-0000-0000-00005A5D0000}"/>
    <cellStyle name="40% - Accent6 12 2" xfId="23893" xr:uid="{00000000-0005-0000-0000-00005B5D0000}"/>
    <cellStyle name="40% - Accent6 12 2 2" xfId="23894" xr:uid="{00000000-0005-0000-0000-00005C5D0000}"/>
    <cellStyle name="40% - Accent6 12 3" xfId="23895" xr:uid="{00000000-0005-0000-0000-00005D5D0000}"/>
    <cellStyle name="40% - Accent6 120" xfId="23896" xr:uid="{00000000-0005-0000-0000-00005E5D0000}"/>
    <cellStyle name="40% - Accent6 120 2" xfId="23897" xr:uid="{00000000-0005-0000-0000-00005F5D0000}"/>
    <cellStyle name="40% - Accent6 120 2 2" xfId="23898" xr:uid="{00000000-0005-0000-0000-0000605D0000}"/>
    <cellStyle name="40% - Accent6 120 3" xfId="23899" xr:uid="{00000000-0005-0000-0000-0000615D0000}"/>
    <cellStyle name="40% - Accent6 121" xfId="23900" xr:uid="{00000000-0005-0000-0000-0000625D0000}"/>
    <cellStyle name="40% - Accent6 121 2" xfId="23901" xr:uid="{00000000-0005-0000-0000-0000635D0000}"/>
    <cellStyle name="40% - Accent6 121 2 2" xfId="23902" xr:uid="{00000000-0005-0000-0000-0000645D0000}"/>
    <cellStyle name="40% - Accent6 121 3" xfId="23903" xr:uid="{00000000-0005-0000-0000-0000655D0000}"/>
    <cellStyle name="40% - Accent6 122" xfId="23904" xr:uid="{00000000-0005-0000-0000-0000665D0000}"/>
    <cellStyle name="40% - Accent6 122 2" xfId="23905" xr:uid="{00000000-0005-0000-0000-0000675D0000}"/>
    <cellStyle name="40% - Accent6 122 2 2" xfId="23906" xr:uid="{00000000-0005-0000-0000-0000685D0000}"/>
    <cellStyle name="40% - Accent6 122 3" xfId="23907" xr:uid="{00000000-0005-0000-0000-0000695D0000}"/>
    <cellStyle name="40% - Accent6 123" xfId="23908" xr:uid="{00000000-0005-0000-0000-00006A5D0000}"/>
    <cellStyle name="40% - Accent6 123 2" xfId="23909" xr:uid="{00000000-0005-0000-0000-00006B5D0000}"/>
    <cellStyle name="40% - Accent6 123 2 2" xfId="23910" xr:uid="{00000000-0005-0000-0000-00006C5D0000}"/>
    <cellStyle name="40% - Accent6 123 3" xfId="23911" xr:uid="{00000000-0005-0000-0000-00006D5D0000}"/>
    <cellStyle name="40% - Accent6 124" xfId="23912" xr:uid="{00000000-0005-0000-0000-00006E5D0000}"/>
    <cellStyle name="40% - Accent6 125" xfId="23913" xr:uid="{00000000-0005-0000-0000-00006F5D0000}"/>
    <cellStyle name="40% - Accent6 125 2" xfId="23914" xr:uid="{00000000-0005-0000-0000-0000705D0000}"/>
    <cellStyle name="40% - Accent6 125 2 2" xfId="23915" xr:uid="{00000000-0005-0000-0000-0000715D0000}"/>
    <cellStyle name="40% - Accent6 125 3" xfId="23916" xr:uid="{00000000-0005-0000-0000-0000725D0000}"/>
    <cellStyle name="40% - Accent6 126" xfId="23917" xr:uid="{00000000-0005-0000-0000-0000735D0000}"/>
    <cellStyle name="40% - Accent6 126 2" xfId="23918" xr:uid="{00000000-0005-0000-0000-0000745D0000}"/>
    <cellStyle name="40% - Accent6 126 2 2" xfId="23919" xr:uid="{00000000-0005-0000-0000-0000755D0000}"/>
    <cellStyle name="40% - Accent6 126 3" xfId="23920" xr:uid="{00000000-0005-0000-0000-0000765D0000}"/>
    <cellStyle name="40% - Accent6 127" xfId="23921" xr:uid="{00000000-0005-0000-0000-0000775D0000}"/>
    <cellStyle name="40% - Accent6 127 2" xfId="23922" xr:uid="{00000000-0005-0000-0000-0000785D0000}"/>
    <cellStyle name="40% - Accent6 127 2 2" xfId="23923" xr:uid="{00000000-0005-0000-0000-0000795D0000}"/>
    <cellStyle name="40% - Accent6 127 3" xfId="23924" xr:uid="{00000000-0005-0000-0000-00007A5D0000}"/>
    <cellStyle name="40% - Accent6 128" xfId="23925" xr:uid="{00000000-0005-0000-0000-00007B5D0000}"/>
    <cellStyle name="40% - Accent6 128 2" xfId="23926" xr:uid="{00000000-0005-0000-0000-00007C5D0000}"/>
    <cellStyle name="40% - Accent6 128 2 2" xfId="23927" xr:uid="{00000000-0005-0000-0000-00007D5D0000}"/>
    <cellStyle name="40% - Accent6 128 3" xfId="23928" xr:uid="{00000000-0005-0000-0000-00007E5D0000}"/>
    <cellStyle name="40% - Accent6 129" xfId="23929" xr:uid="{00000000-0005-0000-0000-00007F5D0000}"/>
    <cellStyle name="40% - Accent6 129 2" xfId="23930" xr:uid="{00000000-0005-0000-0000-0000805D0000}"/>
    <cellStyle name="40% - Accent6 129 2 2" xfId="23931" xr:uid="{00000000-0005-0000-0000-0000815D0000}"/>
    <cellStyle name="40% - Accent6 129 3" xfId="23932" xr:uid="{00000000-0005-0000-0000-0000825D0000}"/>
    <cellStyle name="40% - Accent6 13" xfId="23933" xr:uid="{00000000-0005-0000-0000-0000835D0000}"/>
    <cellStyle name="40% - Accent6 13 2" xfId="23934" xr:uid="{00000000-0005-0000-0000-0000845D0000}"/>
    <cellStyle name="40% - Accent6 13 2 2" xfId="23935" xr:uid="{00000000-0005-0000-0000-0000855D0000}"/>
    <cellStyle name="40% - Accent6 13 3" xfId="23936" xr:uid="{00000000-0005-0000-0000-0000865D0000}"/>
    <cellStyle name="40% - Accent6 130" xfId="23937" xr:uid="{00000000-0005-0000-0000-0000875D0000}"/>
    <cellStyle name="40% - Accent6 130 2" xfId="23938" xr:uid="{00000000-0005-0000-0000-0000885D0000}"/>
    <cellStyle name="40% - Accent6 130 2 2" xfId="23939" xr:uid="{00000000-0005-0000-0000-0000895D0000}"/>
    <cellStyle name="40% - Accent6 130 3" xfId="23940" xr:uid="{00000000-0005-0000-0000-00008A5D0000}"/>
    <cellStyle name="40% - Accent6 131" xfId="23941" xr:uid="{00000000-0005-0000-0000-00008B5D0000}"/>
    <cellStyle name="40% - Accent6 131 2" xfId="23942" xr:uid="{00000000-0005-0000-0000-00008C5D0000}"/>
    <cellStyle name="40% - Accent6 131 2 2" xfId="23943" xr:uid="{00000000-0005-0000-0000-00008D5D0000}"/>
    <cellStyle name="40% - Accent6 131 3" xfId="23944" xr:uid="{00000000-0005-0000-0000-00008E5D0000}"/>
    <cellStyle name="40% - Accent6 132" xfId="23945" xr:uid="{00000000-0005-0000-0000-00008F5D0000}"/>
    <cellStyle name="40% - Accent6 132 2" xfId="23946" xr:uid="{00000000-0005-0000-0000-0000905D0000}"/>
    <cellStyle name="40% - Accent6 132 2 2" xfId="23947" xr:uid="{00000000-0005-0000-0000-0000915D0000}"/>
    <cellStyle name="40% - Accent6 132 3" xfId="23948" xr:uid="{00000000-0005-0000-0000-0000925D0000}"/>
    <cellStyle name="40% - Accent6 133" xfId="23949" xr:uid="{00000000-0005-0000-0000-0000935D0000}"/>
    <cellStyle name="40% - Accent6 133 2" xfId="23950" xr:uid="{00000000-0005-0000-0000-0000945D0000}"/>
    <cellStyle name="40% - Accent6 133 2 2" xfId="23951" xr:uid="{00000000-0005-0000-0000-0000955D0000}"/>
    <cellStyle name="40% - Accent6 133 3" xfId="23952" xr:uid="{00000000-0005-0000-0000-0000965D0000}"/>
    <cellStyle name="40% - Accent6 134" xfId="23953" xr:uid="{00000000-0005-0000-0000-0000975D0000}"/>
    <cellStyle name="40% - Accent6 134 2" xfId="23954" xr:uid="{00000000-0005-0000-0000-0000985D0000}"/>
    <cellStyle name="40% - Accent6 135" xfId="23955" xr:uid="{00000000-0005-0000-0000-0000995D0000}"/>
    <cellStyle name="40% - Accent6 135 2" xfId="23956" xr:uid="{00000000-0005-0000-0000-00009A5D0000}"/>
    <cellStyle name="40% - Accent6 136" xfId="23957" xr:uid="{00000000-0005-0000-0000-00009B5D0000}"/>
    <cellStyle name="40% - Accent6 136 2" xfId="23958" xr:uid="{00000000-0005-0000-0000-00009C5D0000}"/>
    <cellStyle name="40% - Accent6 137" xfId="23959" xr:uid="{00000000-0005-0000-0000-00009D5D0000}"/>
    <cellStyle name="40% - Accent6 14" xfId="23960" xr:uid="{00000000-0005-0000-0000-00009E5D0000}"/>
    <cellStyle name="40% - Accent6 14 2" xfId="23961" xr:uid="{00000000-0005-0000-0000-00009F5D0000}"/>
    <cellStyle name="40% - Accent6 14 2 2" xfId="23962" xr:uid="{00000000-0005-0000-0000-0000A05D0000}"/>
    <cellStyle name="40% - Accent6 14 3" xfId="23963" xr:uid="{00000000-0005-0000-0000-0000A15D0000}"/>
    <cellStyle name="40% - Accent6 15" xfId="23964" xr:uid="{00000000-0005-0000-0000-0000A25D0000}"/>
    <cellStyle name="40% - Accent6 15 2" xfId="23965" xr:uid="{00000000-0005-0000-0000-0000A35D0000}"/>
    <cellStyle name="40% - Accent6 15 2 2" xfId="23966" xr:uid="{00000000-0005-0000-0000-0000A45D0000}"/>
    <cellStyle name="40% - Accent6 15 3" xfId="23967" xr:uid="{00000000-0005-0000-0000-0000A55D0000}"/>
    <cellStyle name="40% - Accent6 16" xfId="23968" xr:uid="{00000000-0005-0000-0000-0000A65D0000}"/>
    <cellStyle name="40% - Accent6 16 2" xfId="23969" xr:uid="{00000000-0005-0000-0000-0000A75D0000}"/>
    <cellStyle name="40% - Accent6 17" xfId="23970" xr:uid="{00000000-0005-0000-0000-0000A85D0000}"/>
    <cellStyle name="40% - Accent6 17 2" xfId="23971" xr:uid="{00000000-0005-0000-0000-0000A95D0000}"/>
    <cellStyle name="40% - Accent6 18" xfId="23972" xr:uid="{00000000-0005-0000-0000-0000AA5D0000}"/>
    <cellStyle name="40% - Accent6 18 2" xfId="23973" xr:uid="{00000000-0005-0000-0000-0000AB5D0000}"/>
    <cellStyle name="40% - Accent6 19" xfId="23974" xr:uid="{00000000-0005-0000-0000-0000AC5D0000}"/>
    <cellStyle name="40% - Accent6 19 2" xfId="23975" xr:uid="{00000000-0005-0000-0000-0000AD5D0000}"/>
    <cellStyle name="40% - Accent6 2" xfId="23976" xr:uid="{00000000-0005-0000-0000-0000AE5D0000}"/>
    <cellStyle name="40% - Accent6 2 2" xfId="23977" xr:uid="{00000000-0005-0000-0000-0000AF5D0000}"/>
    <cellStyle name="40% - Accent6 2 2 2" xfId="23978" xr:uid="{00000000-0005-0000-0000-0000B05D0000}"/>
    <cellStyle name="40% - Accent6 2 2 2 2" xfId="23979" xr:uid="{00000000-0005-0000-0000-0000B15D0000}"/>
    <cellStyle name="40% - Accent6 2 2 2 2 2" xfId="23980" xr:uid="{00000000-0005-0000-0000-0000B25D0000}"/>
    <cellStyle name="40% - Accent6 2 3" xfId="23981" xr:uid="{00000000-0005-0000-0000-0000B35D0000}"/>
    <cellStyle name="40% - Accent6 2 4" xfId="23982" xr:uid="{00000000-0005-0000-0000-0000B45D0000}"/>
    <cellStyle name="40% - Accent6 2 5" xfId="41049" xr:uid="{00000000-0005-0000-0000-00000B000000}"/>
    <cellStyle name="40% - Accent6 20" xfId="23983" xr:uid="{00000000-0005-0000-0000-0000B55D0000}"/>
    <cellStyle name="40% - Accent6 20 2" xfId="23984" xr:uid="{00000000-0005-0000-0000-0000B65D0000}"/>
    <cellStyle name="40% - Accent6 21" xfId="23985" xr:uid="{00000000-0005-0000-0000-0000B75D0000}"/>
    <cellStyle name="40% - Accent6 21 2" xfId="23986" xr:uid="{00000000-0005-0000-0000-0000B85D0000}"/>
    <cellStyle name="40% - Accent6 22" xfId="23987" xr:uid="{00000000-0005-0000-0000-0000B95D0000}"/>
    <cellStyle name="40% - Accent6 22 2" xfId="23988" xr:uid="{00000000-0005-0000-0000-0000BA5D0000}"/>
    <cellStyle name="40% - Accent6 23" xfId="23989" xr:uid="{00000000-0005-0000-0000-0000BB5D0000}"/>
    <cellStyle name="40% - Accent6 23 2" xfId="23990" xr:uid="{00000000-0005-0000-0000-0000BC5D0000}"/>
    <cellStyle name="40% - Accent6 24" xfId="23991" xr:uid="{00000000-0005-0000-0000-0000BD5D0000}"/>
    <cellStyle name="40% - Accent6 24 2" xfId="23992" xr:uid="{00000000-0005-0000-0000-0000BE5D0000}"/>
    <cellStyle name="40% - Accent6 25" xfId="23993" xr:uid="{00000000-0005-0000-0000-0000BF5D0000}"/>
    <cellStyle name="40% - Accent6 25 2" xfId="23994" xr:uid="{00000000-0005-0000-0000-0000C05D0000}"/>
    <cellStyle name="40% - Accent6 26" xfId="23995" xr:uid="{00000000-0005-0000-0000-0000C15D0000}"/>
    <cellStyle name="40% - Accent6 26 2" xfId="23996" xr:uid="{00000000-0005-0000-0000-0000C25D0000}"/>
    <cellStyle name="40% - Accent6 27" xfId="23997" xr:uid="{00000000-0005-0000-0000-0000C35D0000}"/>
    <cellStyle name="40% - Accent6 27 2" xfId="23998" xr:uid="{00000000-0005-0000-0000-0000C45D0000}"/>
    <cellStyle name="40% - Accent6 28" xfId="23999" xr:uid="{00000000-0005-0000-0000-0000C55D0000}"/>
    <cellStyle name="40% - Accent6 28 2" xfId="24000" xr:uid="{00000000-0005-0000-0000-0000C65D0000}"/>
    <cellStyle name="40% - Accent6 29" xfId="24001" xr:uid="{00000000-0005-0000-0000-0000C75D0000}"/>
    <cellStyle name="40% - Accent6 29 2" xfId="24002" xr:uid="{00000000-0005-0000-0000-0000C85D0000}"/>
    <cellStyle name="40% - Accent6 3" xfId="24003" xr:uid="{00000000-0005-0000-0000-0000C95D0000}"/>
    <cellStyle name="40% - Accent6 3 2" xfId="24004" xr:uid="{00000000-0005-0000-0000-0000CA5D0000}"/>
    <cellStyle name="40% - Accent6 3 2 2" xfId="24005" xr:uid="{00000000-0005-0000-0000-0000CB5D0000}"/>
    <cellStyle name="40% - Accent6 3 3" xfId="24006" xr:uid="{00000000-0005-0000-0000-0000CC5D0000}"/>
    <cellStyle name="40% - Accent6 3 4" xfId="24007" xr:uid="{00000000-0005-0000-0000-0000CD5D0000}"/>
    <cellStyle name="40% - Accent6 3 5" xfId="24008" xr:uid="{00000000-0005-0000-0000-0000CE5D0000}"/>
    <cellStyle name="40% - Accent6 3_MAR 2009" xfId="24009" xr:uid="{00000000-0005-0000-0000-0000CF5D0000}"/>
    <cellStyle name="40% - Accent6 30" xfId="24010" xr:uid="{00000000-0005-0000-0000-0000D05D0000}"/>
    <cellStyle name="40% - Accent6 30 2" xfId="24011" xr:uid="{00000000-0005-0000-0000-0000D15D0000}"/>
    <cellStyle name="40% - Accent6 31" xfId="24012" xr:uid="{00000000-0005-0000-0000-0000D25D0000}"/>
    <cellStyle name="40% - Accent6 31 2" xfId="24013" xr:uid="{00000000-0005-0000-0000-0000D35D0000}"/>
    <cellStyle name="40% - Accent6 32" xfId="24014" xr:uid="{00000000-0005-0000-0000-0000D45D0000}"/>
    <cellStyle name="40% - Accent6 32 2" xfId="24015" xr:uid="{00000000-0005-0000-0000-0000D55D0000}"/>
    <cellStyle name="40% - Accent6 33" xfId="24016" xr:uid="{00000000-0005-0000-0000-0000D65D0000}"/>
    <cellStyle name="40% - Accent6 33 2" xfId="24017" xr:uid="{00000000-0005-0000-0000-0000D75D0000}"/>
    <cellStyle name="40% - Accent6 34" xfId="24018" xr:uid="{00000000-0005-0000-0000-0000D85D0000}"/>
    <cellStyle name="40% - Accent6 34 2" xfId="24019" xr:uid="{00000000-0005-0000-0000-0000D95D0000}"/>
    <cellStyle name="40% - Accent6 35" xfId="24020" xr:uid="{00000000-0005-0000-0000-0000DA5D0000}"/>
    <cellStyle name="40% - Accent6 35 2" xfId="24021" xr:uid="{00000000-0005-0000-0000-0000DB5D0000}"/>
    <cellStyle name="40% - Accent6 36" xfId="24022" xr:uid="{00000000-0005-0000-0000-0000DC5D0000}"/>
    <cellStyle name="40% - Accent6 36 2" xfId="24023" xr:uid="{00000000-0005-0000-0000-0000DD5D0000}"/>
    <cellStyle name="40% - Accent6 37" xfId="24024" xr:uid="{00000000-0005-0000-0000-0000DE5D0000}"/>
    <cellStyle name="40% - Accent6 37 2" xfId="24025" xr:uid="{00000000-0005-0000-0000-0000DF5D0000}"/>
    <cellStyle name="40% - Accent6 38" xfId="24026" xr:uid="{00000000-0005-0000-0000-0000E05D0000}"/>
    <cellStyle name="40% - Accent6 38 2" xfId="24027" xr:uid="{00000000-0005-0000-0000-0000E15D0000}"/>
    <cellStyle name="40% - Accent6 39" xfId="24028" xr:uid="{00000000-0005-0000-0000-0000E25D0000}"/>
    <cellStyle name="40% - Accent6 39 2" xfId="24029" xr:uid="{00000000-0005-0000-0000-0000E35D0000}"/>
    <cellStyle name="40% - Accent6 4" xfId="24030" xr:uid="{00000000-0005-0000-0000-0000E45D0000}"/>
    <cellStyle name="40% - Accent6 4 2" xfId="24031" xr:uid="{00000000-0005-0000-0000-0000E55D0000}"/>
    <cellStyle name="40% - Accent6 4 2 2" xfId="24032" xr:uid="{00000000-0005-0000-0000-0000E65D0000}"/>
    <cellStyle name="40% - Accent6 4 3" xfId="24033" xr:uid="{00000000-0005-0000-0000-0000E75D0000}"/>
    <cellStyle name="40% - Accent6 40" xfId="24034" xr:uid="{00000000-0005-0000-0000-0000E85D0000}"/>
    <cellStyle name="40% - Accent6 40 2" xfId="24035" xr:uid="{00000000-0005-0000-0000-0000E95D0000}"/>
    <cellStyle name="40% - Accent6 41" xfId="24036" xr:uid="{00000000-0005-0000-0000-0000EA5D0000}"/>
    <cellStyle name="40% - Accent6 41 2" xfId="24037" xr:uid="{00000000-0005-0000-0000-0000EB5D0000}"/>
    <cellStyle name="40% - Accent6 42" xfId="24038" xr:uid="{00000000-0005-0000-0000-0000EC5D0000}"/>
    <cellStyle name="40% - Accent6 42 2" xfId="24039" xr:uid="{00000000-0005-0000-0000-0000ED5D0000}"/>
    <cellStyle name="40% - Accent6 43" xfId="24040" xr:uid="{00000000-0005-0000-0000-0000EE5D0000}"/>
    <cellStyle name="40% - Accent6 43 2" xfId="24041" xr:uid="{00000000-0005-0000-0000-0000EF5D0000}"/>
    <cellStyle name="40% - Accent6 44" xfId="24042" xr:uid="{00000000-0005-0000-0000-0000F05D0000}"/>
    <cellStyle name="40% - Accent6 44 2" xfId="24043" xr:uid="{00000000-0005-0000-0000-0000F15D0000}"/>
    <cellStyle name="40% - Accent6 45" xfId="24044" xr:uid="{00000000-0005-0000-0000-0000F25D0000}"/>
    <cellStyle name="40% - Accent6 45 2" xfId="24045" xr:uid="{00000000-0005-0000-0000-0000F35D0000}"/>
    <cellStyle name="40% - Accent6 46" xfId="24046" xr:uid="{00000000-0005-0000-0000-0000F45D0000}"/>
    <cellStyle name="40% - Accent6 46 2" xfId="24047" xr:uid="{00000000-0005-0000-0000-0000F55D0000}"/>
    <cellStyle name="40% - Accent6 47" xfId="24048" xr:uid="{00000000-0005-0000-0000-0000F65D0000}"/>
    <cellStyle name="40% - Accent6 47 2" xfId="24049" xr:uid="{00000000-0005-0000-0000-0000F75D0000}"/>
    <cellStyle name="40% - Accent6 48" xfId="24050" xr:uid="{00000000-0005-0000-0000-0000F85D0000}"/>
    <cellStyle name="40% - Accent6 48 2" xfId="24051" xr:uid="{00000000-0005-0000-0000-0000F95D0000}"/>
    <cellStyle name="40% - Accent6 49" xfId="24052" xr:uid="{00000000-0005-0000-0000-0000FA5D0000}"/>
    <cellStyle name="40% - Accent6 49 2" xfId="24053" xr:uid="{00000000-0005-0000-0000-0000FB5D0000}"/>
    <cellStyle name="40% - Accent6 5" xfId="24054" xr:uid="{00000000-0005-0000-0000-0000FC5D0000}"/>
    <cellStyle name="40% - Accent6 5 2" xfId="24055" xr:uid="{00000000-0005-0000-0000-0000FD5D0000}"/>
    <cellStyle name="40% - Accent6 5 2 2" xfId="24056" xr:uid="{00000000-0005-0000-0000-0000FE5D0000}"/>
    <cellStyle name="40% - Accent6 5 3" xfId="24057" xr:uid="{00000000-0005-0000-0000-0000FF5D0000}"/>
    <cellStyle name="40% - Accent6 50" xfId="24058" xr:uid="{00000000-0005-0000-0000-0000005E0000}"/>
    <cellStyle name="40% - Accent6 50 2" xfId="24059" xr:uid="{00000000-0005-0000-0000-0000015E0000}"/>
    <cellStyle name="40% - Accent6 51" xfId="24060" xr:uid="{00000000-0005-0000-0000-0000025E0000}"/>
    <cellStyle name="40% - Accent6 51 2" xfId="24061" xr:uid="{00000000-0005-0000-0000-0000035E0000}"/>
    <cellStyle name="40% - Accent6 52" xfId="24062" xr:uid="{00000000-0005-0000-0000-0000045E0000}"/>
    <cellStyle name="40% - Accent6 52 2" xfId="24063" xr:uid="{00000000-0005-0000-0000-0000055E0000}"/>
    <cellStyle name="40% - Accent6 53" xfId="24064" xr:uid="{00000000-0005-0000-0000-0000065E0000}"/>
    <cellStyle name="40% - Accent6 53 2" xfId="24065" xr:uid="{00000000-0005-0000-0000-0000075E0000}"/>
    <cellStyle name="40% - Accent6 54" xfId="24066" xr:uid="{00000000-0005-0000-0000-0000085E0000}"/>
    <cellStyle name="40% - Accent6 54 2" xfId="24067" xr:uid="{00000000-0005-0000-0000-0000095E0000}"/>
    <cellStyle name="40% - Accent6 55" xfId="24068" xr:uid="{00000000-0005-0000-0000-00000A5E0000}"/>
    <cellStyle name="40% - Accent6 55 2" xfId="24069" xr:uid="{00000000-0005-0000-0000-00000B5E0000}"/>
    <cellStyle name="40% - Accent6 56" xfId="24070" xr:uid="{00000000-0005-0000-0000-00000C5E0000}"/>
    <cellStyle name="40% - Accent6 56 2" xfId="24071" xr:uid="{00000000-0005-0000-0000-00000D5E0000}"/>
    <cellStyle name="40% - Accent6 57" xfId="24072" xr:uid="{00000000-0005-0000-0000-00000E5E0000}"/>
    <cellStyle name="40% - Accent6 57 2" xfId="24073" xr:uid="{00000000-0005-0000-0000-00000F5E0000}"/>
    <cellStyle name="40% - Accent6 58" xfId="24074" xr:uid="{00000000-0005-0000-0000-0000105E0000}"/>
    <cellStyle name="40% - Accent6 58 2" xfId="24075" xr:uid="{00000000-0005-0000-0000-0000115E0000}"/>
    <cellStyle name="40% - Accent6 59" xfId="24076" xr:uid="{00000000-0005-0000-0000-0000125E0000}"/>
    <cellStyle name="40% - Accent6 59 2" xfId="24077" xr:uid="{00000000-0005-0000-0000-0000135E0000}"/>
    <cellStyle name="40% - Accent6 6" xfId="24078" xr:uid="{00000000-0005-0000-0000-0000145E0000}"/>
    <cellStyle name="40% - Accent6 6 2" xfId="24079" xr:uid="{00000000-0005-0000-0000-0000155E0000}"/>
    <cellStyle name="40% - Accent6 6 2 2" xfId="24080" xr:uid="{00000000-0005-0000-0000-0000165E0000}"/>
    <cellStyle name="40% - Accent6 6 3" xfId="24081" xr:uid="{00000000-0005-0000-0000-0000175E0000}"/>
    <cellStyle name="40% - Accent6 60" xfId="24082" xr:uid="{00000000-0005-0000-0000-0000185E0000}"/>
    <cellStyle name="40% - Accent6 60 2" xfId="24083" xr:uid="{00000000-0005-0000-0000-0000195E0000}"/>
    <cellStyle name="40% - Accent6 61" xfId="24084" xr:uid="{00000000-0005-0000-0000-00001A5E0000}"/>
    <cellStyle name="40% - Accent6 61 2" xfId="24085" xr:uid="{00000000-0005-0000-0000-00001B5E0000}"/>
    <cellStyle name="40% - Accent6 62" xfId="24086" xr:uid="{00000000-0005-0000-0000-00001C5E0000}"/>
    <cellStyle name="40% - Accent6 62 2" xfId="24087" xr:uid="{00000000-0005-0000-0000-00001D5E0000}"/>
    <cellStyle name="40% - Accent6 63" xfId="24088" xr:uid="{00000000-0005-0000-0000-00001E5E0000}"/>
    <cellStyle name="40% - Accent6 63 2" xfId="24089" xr:uid="{00000000-0005-0000-0000-00001F5E0000}"/>
    <cellStyle name="40% - Accent6 64" xfId="24090" xr:uid="{00000000-0005-0000-0000-0000205E0000}"/>
    <cellStyle name="40% - Accent6 64 2" xfId="24091" xr:uid="{00000000-0005-0000-0000-0000215E0000}"/>
    <cellStyle name="40% - Accent6 65" xfId="24092" xr:uid="{00000000-0005-0000-0000-0000225E0000}"/>
    <cellStyle name="40% - Accent6 65 2" xfId="24093" xr:uid="{00000000-0005-0000-0000-0000235E0000}"/>
    <cellStyle name="40% - Accent6 66" xfId="24094" xr:uid="{00000000-0005-0000-0000-0000245E0000}"/>
    <cellStyle name="40% - Accent6 66 2" xfId="24095" xr:uid="{00000000-0005-0000-0000-0000255E0000}"/>
    <cellStyle name="40% - Accent6 67" xfId="24096" xr:uid="{00000000-0005-0000-0000-0000265E0000}"/>
    <cellStyle name="40% - Accent6 67 2" xfId="24097" xr:uid="{00000000-0005-0000-0000-0000275E0000}"/>
    <cellStyle name="40% - Accent6 68" xfId="24098" xr:uid="{00000000-0005-0000-0000-0000285E0000}"/>
    <cellStyle name="40% - Accent6 68 2" xfId="24099" xr:uid="{00000000-0005-0000-0000-0000295E0000}"/>
    <cellStyle name="40% - Accent6 69" xfId="24100" xr:uid="{00000000-0005-0000-0000-00002A5E0000}"/>
    <cellStyle name="40% - Accent6 69 2" xfId="24101" xr:uid="{00000000-0005-0000-0000-00002B5E0000}"/>
    <cellStyle name="40% - Accent6 7" xfId="24102" xr:uid="{00000000-0005-0000-0000-00002C5E0000}"/>
    <cellStyle name="40% - Accent6 7 2" xfId="24103" xr:uid="{00000000-0005-0000-0000-00002D5E0000}"/>
    <cellStyle name="40% - Accent6 7 2 2" xfId="24104" xr:uid="{00000000-0005-0000-0000-00002E5E0000}"/>
    <cellStyle name="40% - Accent6 7 3" xfId="24105" xr:uid="{00000000-0005-0000-0000-00002F5E0000}"/>
    <cellStyle name="40% - Accent6 7 4" xfId="24106" xr:uid="{00000000-0005-0000-0000-0000305E0000}"/>
    <cellStyle name="40% - Accent6 70" xfId="24107" xr:uid="{00000000-0005-0000-0000-0000315E0000}"/>
    <cellStyle name="40% - Accent6 70 2" xfId="24108" xr:uid="{00000000-0005-0000-0000-0000325E0000}"/>
    <cellStyle name="40% - Accent6 71" xfId="24109" xr:uid="{00000000-0005-0000-0000-0000335E0000}"/>
    <cellStyle name="40% - Accent6 71 2" xfId="24110" xr:uid="{00000000-0005-0000-0000-0000345E0000}"/>
    <cellStyle name="40% - Accent6 72" xfId="24111" xr:uid="{00000000-0005-0000-0000-0000355E0000}"/>
    <cellStyle name="40% - Accent6 72 2" xfId="24112" xr:uid="{00000000-0005-0000-0000-0000365E0000}"/>
    <cellStyle name="40% - Accent6 73" xfId="24113" xr:uid="{00000000-0005-0000-0000-0000375E0000}"/>
    <cellStyle name="40% - Accent6 73 10" xfId="24114" xr:uid="{00000000-0005-0000-0000-0000385E0000}"/>
    <cellStyle name="40% - Accent6 73 10 2" xfId="24115" xr:uid="{00000000-0005-0000-0000-0000395E0000}"/>
    <cellStyle name="40% - Accent6 73 10 2 2" xfId="24116" xr:uid="{00000000-0005-0000-0000-00003A5E0000}"/>
    <cellStyle name="40% - Accent6 73 10 3" xfId="24117" xr:uid="{00000000-0005-0000-0000-00003B5E0000}"/>
    <cellStyle name="40% - Accent6 73 11" xfId="24118" xr:uid="{00000000-0005-0000-0000-00003C5E0000}"/>
    <cellStyle name="40% - Accent6 73 11 2" xfId="24119" xr:uid="{00000000-0005-0000-0000-00003D5E0000}"/>
    <cellStyle name="40% - Accent6 73 11 2 2" xfId="24120" xr:uid="{00000000-0005-0000-0000-00003E5E0000}"/>
    <cellStyle name="40% - Accent6 73 11 3" xfId="24121" xr:uid="{00000000-0005-0000-0000-00003F5E0000}"/>
    <cellStyle name="40% - Accent6 73 12" xfId="24122" xr:uid="{00000000-0005-0000-0000-0000405E0000}"/>
    <cellStyle name="40% - Accent6 73 12 2" xfId="24123" xr:uid="{00000000-0005-0000-0000-0000415E0000}"/>
    <cellStyle name="40% - Accent6 73 12 2 2" xfId="24124" xr:uid="{00000000-0005-0000-0000-0000425E0000}"/>
    <cellStyle name="40% - Accent6 73 12 3" xfId="24125" xr:uid="{00000000-0005-0000-0000-0000435E0000}"/>
    <cellStyle name="40% - Accent6 73 13" xfId="24126" xr:uid="{00000000-0005-0000-0000-0000445E0000}"/>
    <cellStyle name="40% - Accent6 73 13 2" xfId="24127" xr:uid="{00000000-0005-0000-0000-0000455E0000}"/>
    <cellStyle name="40% - Accent6 73 13 2 2" xfId="24128" xr:uid="{00000000-0005-0000-0000-0000465E0000}"/>
    <cellStyle name="40% - Accent6 73 13 3" xfId="24129" xr:uid="{00000000-0005-0000-0000-0000475E0000}"/>
    <cellStyle name="40% - Accent6 73 14" xfId="24130" xr:uid="{00000000-0005-0000-0000-0000485E0000}"/>
    <cellStyle name="40% - Accent6 73 14 2" xfId="24131" xr:uid="{00000000-0005-0000-0000-0000495E0000}"/>
    <cellStyle name="40% - Accent6 73 14 2 2" xfId="24132" xr:uid="{00000000-0005-0000-0000-00004A5E0000}"/>
    <cellStyle name="40% - Accent6 73 14 3" xfId="24133" xr:uid="{00000000-0005-0000-0000-00004B5E0000}"/>
    <cellStyle name="40% - Accent6 73 15" xfId="24134" xr:uid="{00000000-0005-0000-0000-00004C5E0000}"/>
    <cellStyle name="40% - Accent6 73 15 2" xfId="24135" xr:uid="{00000000-0005-0000-0000-00004D5E0000}"/>
    <cellStyle name="40% - Accent6 73 15 2 2" xfId="24136" xr:uid="{00000000-0005-0000-0000-00004E5E0000}"/>
    <cellStyle name="40% - Accent6 73 15 3" xfId="24137" xr:uid="{00000000-0005-0000-0000-00004F5E0000}"/>
    <cellStyle name="40% - Accent6 73 16" xfId="24138" xr:uid="{00000000-0005-0000-0000-0000505E0000}"/>
    <cellStyle name="40% - Accent6 73 16 2" xfId="24139" xr:uid="{00000000-0005-0000-0000-0000515E0000}"/>
    <cellStyle name="40% - Accent6 73 16 2 2" xfId="24140" xr:uid="{00000000-0005-0000-0000-0000525E0000}"/>
    <cellStyle name="40% - Accent6 73 16 3" xfId="24141" xr:uid="{00000000-0005-0000-0000-0000535E0000}"/>
    <cellStyle name="40% - Accent6 73 17" xfId="24142" xr:uid="{00000000-0005-0000-0000-0000545E0000}"/>
    <cellStyle name="40% - Accent6 73 17 2" xfId="24143" xr:uid="{00000000-0005-0000-0000-0000555E0000}"/>
    <cellStyle name="40% - Accent6 73 17 2 2" xfId="24144" xr:uid="{00000000-0005-0000-0000-0000565E0000}"/>
    <cellStyle name="40% - Accent6 73 17 3" xfId="24145" xr:uid="{00000000-0005-0000-0000-0000575E0000}"/>
    <cellStyle name="40% - Accent6 73 18" xfId="24146" xr:uid="{00000000-0005-0000-0000-0000585E0000}"/>
    <cellStyle name="40% - Accent6 73 18 2" xfId="24147" xr:uid="{00000000-0005-0000-0000-0000595E0000}"/>
    <cellStyle name="40% - Accent6 73 18 2 2" xfId="24148" xr:uid="{00000000-0005-0000-0000-00005A5E0000}"/>
    <cellStyle name="40% - Accent6 73 18 3" xfId="24149" xr:uid="{00000000-0005-0000-0000-00005B5E0000}"/>
    <cellStyle name="40% - Accent6 73 19" xfId="24150" xr:uid="{00000000-0005-0000-0000-00005C5E0000}"/>
    <cellStyle name="40% - Accent6 73 19 2" xfId="24151" xr:uid="{00000000-0005-0000-0000-00005D5E0000}"/>
    <cellStyle name="40% - Accent6 73 19 2 2" xfId="24152" xr:uid="{00000000-0005-0000-0000-00005E5E0000}"/>
    <cellStyle name="40% - Accent6 73 19 3" xfId="24153" xr:uid="{00000000-0005-0000-0000-00005F5E0000}"/>
    <cellStyle name="40% - Accent6 73 2" xfId="24154" xr:uid="{00000000-0005-0000-0000-0000605E0000}"/>
    <cellStyle name="40% - Accent6 73 2 2" xfId="24155" xr:uid="{00000000-0005-0000-0000-0000615E0000}"/>
    <cellStyle name="40% - Accent6 73 2 2 2" xfId="24156" xr:uid="{00000000-0005-0000-0000-0000625E0000}"/>
    <cellStyle name="40% - Accent6 73 2 3" xfId="24157" xr:uid="{00000000-0005-0000-0000-0000635E0000}"/>
    <cellStyle name="40% - Accent6 73 20" xfId="24158" xr:uid="{00000000-0005-0000-0000-0000645E0000}"/>
    <cellStyle name="40% - Accent6 73 20 2" xfId="24159" xr:uid="{00000000-0005-0000-0000-0000655E0000}"/>
    <cellStyle name="40% - Accent6 73 20 2 2" xfId="24160" xr:uid="{00000000-0005-0000-0000-0000665E0000}"/>
    <cellStyle name="40% - Accent6 73 20 3" xfId="24161" xr:uid="{00000000-0005-0000-0000-0000675E0000}"/>
    <cellStyle name="40% - Accent6 73 21" xfId="24162" xr:uid="{00000000-0005-0000-0000-0000685E0000}"/>
    <cellStyle name="40% - Accent6 73 21 2" xfId="24163" xr:uid="{00000000-0005-0000-0000-0000695E0000}"/>
    <cellStyle name="40% - Accent6 73 21 2 2" xfId="24164" xr:uid="{00000000-0005-0000-0000-00006A5E0000}"/>
    <cellStyle name="40% - Accent6 73 21 3" xfId="24165" xr:uid="{00000000-0005-0000-0000-00006B5E0000}"/>
    <cellStyle name="40% - Accent6 73 22" xfId="24166" xr:uid="{00000000-0005-0000-0000-00006C5E0000}"/>
    <cellStyle name="40% - Accent6 73 22 2" xfId="24167" xr:uid="{00000000-0005-0000-0000-00006D5E0000}"/>
    <cellStyle name="40% - Accent6 73 22 2 2" xfId="24168" xr:uid="{00000000-0005-0000-0000-00006E5E0000}"/>
    <cellStyle name="40% - Accent6 73 22 3" xfId="24169" xr:uid="{00000000-0005-0000-0000-00006F5E0000}"/>
    <cellStyle name="40% - Accent6 73 23" xfId="24170" xr:uid="{00000000-0005-0000-0000-0000705E0000}"/>
    <cellStyle name="40% - Accent6 73 23 2" xfId="24171" xr:uid="{00000000-0005-0000-0000-0000715E0000}"/>
    <cellStyle name="40% - Accent6 73 23 2 2" xfId="24172" xr:uid="{00000000-0005-0000-0000-0000725E0000}"/>
    <cellStyle name="40% - Accent6 73 23 3" xfId="24173" xr:uid="{00000000-0005-0000-0000-0000735E0000}"/>
    <cellStyle name="40% - Accent6 73 24" xfId="24174" xr:uid="{00000000-0005-0000-0000-0000745E0000}"/>
    <cellStyle name="40% - Accent6 73 24 2" xfId="24175" xr:uid="{00000000-0005-0000-0000-0000755E0000}"/>
    <cellStyle name="40% - Accent6 73 24 2 2" xfId="24176" xr:uid="{00000000-0005-0000-0000-0000765E0000}"/>
    <cellStyle name="40% - Accent6 73 24 3" xfId="24177" xr:uid="{00000000-0005-0000-0000-0000775E0000}"/>
    <cellStyle name="40% - Accent6 73 25" xfId="24178" xr:uid="{00000000-0005-0000-0000-0000785E0000}"/>
    <cellStyle name="40% - Accent6 73 25 2" xfId="24179" xr:uid="{00000000-0005-0000-0000-0000795E0000}"/>
    <cellStyle name="40% - Accent6 73 25 2 2" xfId="24180" xr:uid="{00000000-0005-0000-0000-00007A5E0000}"/>
    <cellStyle name="40% - Accent6 73 25 3" xfId="24181" xr:uid="{00000000-0005-0000-0000-00007B5E0000}"/>
    <cellStyle name="40% - Accent6 73 26" xfId="24182" xr:uid="{00000000-0005-0000-0000-00007C5E0000}"/>
    <cellStyle name="40% - Accent6 73 26 2" xfId="24183" xr:uid="{00000000-0005-0000-0000-00007D5E0000}"/>
    <cellStyle name="40% - Accent6 73 26 2 2" xfId="24184" xr:uid="{00000000-0005-0000-0000-00007E5E0000}"/>
    <cellStyle name="40% - Accent6 73 26 3" xfId="24185" xr:uid="{00000000-0005-0000-0000-00007F5E0000}"/>
    <cellStyle name="40% - Accent6 73 27" xfId="24186" xr:uid="{00000000-0005-0000-0000-0000805E0000}"/>
    <cellStyle name="40% - Accent6 73 27 2" xfId="24187" xr:uid="{00000000-0005-0000-0000-0000815E0000}"/>
    <cellStyle name="40% - Accent6 73 27 2 2" xfId="24188" xr:uid="{00000000-0005-0000-0000-0000825E0000}"/>
    <cellStyle name="40% - Accent6 73 27 3" xfId="24189" xr:uid="{00000000-0005-0000-0000-0000835E0000}"/>
    <cellStyle name="40% - Accent6 73 28" xfId="24190" xr:uid="{00000000-0005-0000-0000-0000845E0000}"/>
    <cellStyle name="40% - Accent6 73 28 2" xfId="24191" xr:uid="{00000000-0005-0000-0000-0000855E0000}"/>
    <cellStyle name="40% - Accent6 73 28 2 2" xfId="24192" xr:uid="{00000000-0005-0000-0000-0000865E0000}"/>
    <cellStyle name="40% - Accent6 73 28 3" xfId="24193" xr:uid="{00000000-0005-0000-0000-0000875E0000}"/>
    <cellStyle name="40% - Accent6 73 29" xfId="24194" xr:uid="{00000000-0005-0000-0000-0000885E0000}"/>
    <cellStyle name="40% - Accent6 73 29 2" xfId="24195" xr:uid="{00000000-0005-0000-0000-0000895E0000}"/>
    <cellStyle name="40% - Accent6 73 29 2 2" xfId="24196" xr:uid="{00000000-0005-0000-0000-00008A5E0000}"/>
    <cellStyle name="40% - Accent6 73 29 3" xfId="24197" xr:uid="{00000000-0005-0000-0000-00008B5E0000}"/>
    <cellStyle name="40% - Accent6 73 3" xfId="24198" xr:uid="{00000000-0005-0000-0000-00008C5E0000}"/>
    <cellStyle name="40% - Accent6 73 3 2" xfId="24199" xr:uid="{00000000-0005-0000-0000-00008D5E0000}"/>
    <cellStyle name="40% - Accent6 73 3 2 2" xfId="24200" xr:uid="{00000000-0005-0000-0000-00008E5E0000}"/>
    <cellStyle name="40% - Accent6 73 3 3" xfId="24201" xr:uid="{00000000-0005-0000-0000-00008F5E0000}"/>
    <cellStyle name="40% - Accent6 73 30" xfId="24202" xr:uid="{00000000-0005-0000-0000-0000905E0000}"/>
    <cellStyle name="40% - Accent6 73 30 2" xfId="24203" xr:uid="{00000000-0005-0000-0000-0000915E0000}"/>
    <cellStyle name="40% - Accent6 73 30 2 2" xfId="24204" xr:uid="{00000000-0005-0000-0000-0000925E0000}"/>
    <cellStyle name="40% - Accent6 73 30 3" xfId="24205" xr:uid="{00000000-0005-0000-0000-0000935E0000}"/>
    <cellStyle name="40% - Accent6 73 31" xfId="24206" xr:uid="{00000000-0005-0000-0000-0000945E0000}"/>
    <cellStyle name="40% - Accent6 73 31 2" xfId="24207" xr:uid="{00000000-0005-0000-0000-0000955E0000}"/>
    <cellStyle name="40% - Accent6 73 31 2 2" xfId="24208" xr:uid="{00000000-0005-0000-0000-0000965E0000}"/>
    <cellStyle name="40% - Accent6 73 31 3" xfId="24209" xr:uid="{00000000-0005-0000-0000-0000975E0000}"/>
    <cellStyle name="40% - Accent6 73 32" xfId="24210" xr:uid="{00000000-0005-0000-0000-0000985E0000}"/>
    <cellStyle name="40% - Accent6 73 32 2" xfId="24211" xr:uid="{00000000-0005-0000-0000-0000995E0000}"/>
    <cellStyle name="40% - Accent6 73 32 2 2" xfId="24212" xr:uid="{00000000-0005-0000-0000-00009A5E0000}"/>
    <cellStyle name="40% - Accent6 73 32 3" xfId="24213" xr:uid="{00000000-0005-0000-0000-00009B5E0000}"/>
    <cellStyle name="40% - Accent6 73 33" xfId="24214" xr:uid="{00000000-0005-0000-0000-00009C5E0000}"/>
    <cellStyle name="40% - Accent6 73 33 2" xfId="24215" xr:uid="{00000000-0005-0000-0000-00009D5E0000}"/>
    <cellStyle name="40% - Accent6 73 33 2 2" xfId="24216" xr:uid="{00000000-0005-0000-0000-00009E5E0000}"/>
    <cellStyle name="40% - Accent6 73 33 3" xfId="24217" xr:uid="{00000000-0005-0000-0000-00009F5E0000}"/>
    <cellStyle name="40% - Accent6 73 34" xfId="24218" xr:uid="{00000000-0005-0000-0000-0000A05E0000}"/>
    <cellStyle name="40% - Accent6 73 34 2" xfId="24219" xr:uid="{00000000-0005-0000-0000-0000A15E0000}"/>
    <cellStyle name="40% - Accent6 73 34 2 2" xfId="24220" xr:uid="{00000000-0005-0000-0000-0000A25E0000}"/>
    <cellStyle name="40% - Accent6 73 34 3" xfId="24221" xr:uid="{00000000-0005-0000-0000-0000A35E0000}"/>
    <cellStyle name="40% - Accent6 73 35" xfId="24222" xr:uid="{00000000-0005-0000-0000-0000A45E0000}"/>
    <cellStyle name="40% - Accent6 73 35 2" xfId="24223" xr:uid="{00000000-0005-0000-0000-0000A55E0000}"/>
    <cellStyle name="40% - Accent6 73 35 2 2" xfId="24224" xr:uid="{00000000-0005-0000-0000-0000A65E0000}"/>
    <cellStyle name="40% - Accent6 73 35 3" xfId="24225" xr:uid="{00000000-0005-0000-0000-0000A75E0000}"/>
    <cellStyle name="40% - Accent6 73 36" xfId="24226" xr:uid="{00000000-0005-0000-0000-0000A85E0000}"/>
    <cellStyle name="40% - Accent6 73 36 2" xfId="24227" xr:uid="{00000000-0005-0000-0000-0000A95E0000}"/>
    <cellStyle name="40% - Accent6 73 36 2 2" xfId="24228" xr:uid="{00000000-0005-0000-0000-0000AA5E0000}"/>
    <cellStyle name="40% - Accent6 73 36 3" xfId="24229" xr:uid="{00000000-0005-0000-0000-0000AB5E0000}"/>
    <cellStyle name="40% - Accent6 73 4" xfId="24230" xr:uid="{00000000-0005-0000-0000-0000AC5E0000}"/>
    <cellStyle name="40% - Accent6 73 4 2" xfId="24231" xr:uid="{00000000-0005-0000-0000-0000AD5E0000}"/>
    <cellStyle name="40% - Accent6 73 4 2 2" xfId="24232" xr:uid="{00000000-0005-0000-0000-0000AE5E0000}"/>
    <cellStyle name="40% - Accent6 73 4 3" xfId="24233" xr:uid="{00000000-0005-0000-0000-0000AF5E0000}"/>
    <cellStyle name="40% - Accent6 73 5" xfId="24234" xr:uid="{00000000-0005-0000-0000-0000B05E0000}"/>
    <cellStyle name="40% - Accent6 73 5 2" xfId="24235" xr:uid="{00000000-0005-0000-0000-0000B15E0000}"/>
    <cellStyle name="40% - Accent6 73 5 2 2" xfId="24236" xr:uid="{00000000-0005-0000-0000-0000B25E0000}"/>
    <cellStyle name="40% - Accent6 73 5 3" xfId="24237" xr:uid="{00000000-0005-0000-0000-0000B35E0000}"/>
    <cellStyle name="40% - Accent6 73 6" xfId="24238" xr:uid="{00000000-0005-0000-0000-0000B45E0000}"/>
    <cellStyle name="40% - Accent6 73 6 2" xfId="24239" xr:uid="{00000000-0005-0000-0000-0000B55E0000}"/>
    <cellStyle name="40% - Accent6 73 6 2 2" xfId="24240" xr:uid="{00000000-0005-0000-0000-0000B65E0000}"/>
    <cellStyle name="40% - Accent6 73 6 3" xfId="24241" xr:uid="{00000000-0005-0000-0000-0000B75E0000}"/>
    <cellStyle name="40% - Accent6 73 7" xfId="24242" xr:uid="{00000000-0005-0000-0000-0000B85E0000}"/>
    <cellStyle name="40% - Accent6 73 7 2" xfId="24243" xr:uid="{00000000-0005-0000-0000-0000B95E0000}"/>
    <cellStyle name="40% - Accent6 73 7 2 2" xfId="24244" xr:uid="{00000000-0005-0000-0000-0000BA5E0000}"/>
    <cellStyle name="40% - Accent6 73 7 3" xfId="24245" xr:uid="{00000000-0005-0000-0000-0000BB5E0000}"/>
    <cellStyle name="40% - Accent6 73 8" xfId="24246" xr:uid="{00000000-0005-0000-0000-0000BC5E0000}"/>
    <cellStyle name="40% - Accent6 73 8 2" xfId="24247" xr:uid="{00000000-0005-0000-0000-0000BD5E0000}"/>
    <cellStyle name="40% - Accent6 73 8 2 2" xfId="24248" xr:uid="{00000000-0005-0000-0000-0000BE5E0000}"/>
    <cellStyle name="40% - Accent6 73 8 3" xfId="24249" xr:uid="{00000000-0005-0000-0000-0000BF5E0000}"/>
    <cellStyle name="40% - Accent6 73 9" xfId="24250" xr:uid="{00000000-0005-0000-0000-0000C05E0000}"/>
    <cellStyle name="40% - Accent6 73 9 2" xfId="24251" xr:uid="{00000000-0005-0000-0000-0000C15E0000}"/>
    <cellStyle name="40% - Accent6 73 9 2 2" xfId="24252" xr:uid="{00000000-0005-0000-0000-0000C25E0000}"/>
    <cellStyle name="40% - Accent6 73 9 3" xfId="24253" xr:uid="{00000000-0005-0000-0000-0000C35E0000}"/>
    <cellStyle name="40% - Accent6 74" xfId="24254" xr:uid="{00000000-0005-0000-0000-0000C45E0000}"/>
    <cellStyle name="40% - Accent6 74 10" xfId="24255" xr:uid="{00000000-0005-0000-0000-0000C55E0000}"/>
    <cellStyle name="40% - Accent6 74 10 2" xfId="24256" xr:uid="{00000000-0005-0000-0000-0000C65E0000}"/>
    <cellStyle name="40% - Accent6 74 10 2 2" xfId="24257" xr:uid="{00000000-0005-0000-0000-0000C75E0000}"/>
    <cellStyle name="40% - Accent6 74 10 3" xfId="24258" xr:uid="{00000000-0005-0000-0000-0000C85E0000}"/>
    <cellStyle name="40% - Accent6 74 11" xfId="24259" xr:uid="{00000000-0005-0000-0000-0000C95E0000}"/>
    <cellStyle name="40% - Accent6 74 11 2" xfId="24260" xr:uid="{00000000-0005-0000-0000-0000CA5E0000}"/>
    <cellStyle name="40% - Accent6 74 11 2 2" xfId="24261" xr:uid="{00000000-0005-0000-0000-0000CB5E0000}"/>
    <cellStyle name="40% - Accent6 74 11 3" xfId="24262" xr:uid="{00000000-0005-0000-0000-0000CC5E0000}"/>
    <cellStyle name="40% - Accent6 74 12" xfId="24263" xr:uid="{00000000-0005-0000-0000-0000CD5E0000}"/>
    <cellStyle name="40% - Accent6 74 12 2" xfId="24264" xr:uid="{00000000-0005-0000-0000-0000CE5E0000}"/>
    <cellStyle name="40% - Accent6 74 12 2 2" xfId="24265" xr:uid="{00000000-0005-0000-0000-0000CF5E0000}"/>
    <cellStyle name="40% - Accent6 74 12 3" xfId="24266" xr:uid="{00000000-0005-0000-0000-0000D05E0000}"/>
    <cellStyle name="40% - Accent6 74 13" xfId="24267" xr:uid="{00000000-0005-0000-0000-0000D15E0000}"/>
    <cellStyle name="40% - Accent6 74 13 2" xfId="24268" xr:uid="{00000000-0005-0000-0000-0000D25E0000}"/>
    <cellStyle name="40% - Accent6 74 13 2 2" xfId="24269" xr:uid="{00000000-0005-0000-0000-0000D35E0000}"/>
    <cellStyle name="40% - Accent6 74 13 3" xfId="24270" xr:uid="{00000000-0005-0000-0000-0000D45E0000}"/>
    <cellStyle name="40% - Accent6 74 14" xfId="24271" xr:uid="{00000000-0005-0000-0000-0000D55E0000}"/>
    <cellStyle name="40% - Accent6 74 14 2" xfId="24272" xr:uid="{00000000-0005-0000-0000-0000D65E0000}"/>
    <cellStyle name="40% - Accent6 74 14 2 2" xfId="24273" xr:uid="{00000000-0005-0000-0000-0000D75E0000}"/>
    <cellStyle name="40% - Accent6 74 14 3" xfId="24274" xr:uid="{00000000-0005-0000-0000-0000D85E0000}"/>
    <cellStyle name="40% - Accent6 74 15" xfId="24275" xr:uid="{00000000-0005-0000-0000-0000D95E0000}"/>
    <cellStyle name="40% - Accent6 74 15 2" xfId="24276" xr:uid="{00000000-0005-0000-0000-0000DA5E0000}"/>
    <cellStyle name="40% - Accent6 74 15 2 2" xfId="24277" xr:uid="{00000000-0005-0000-0000-0000DB5E0000}"/>
    <cellStyle name="40% - Accent6 74 15 3" xfId="24278" xr:uid="{00000000-0005-0000-0000-0000DC5E0000}"/>
    <cellStyle name="40% - Accent6 74 16" xfId="24279" xr:uid="{00000000-0005-0000-0000-0000DD5E0000}"/>
    <cellStyle name="40% - Accent6 74 16 2" xfId="24280" xr:uid="{00000000-0005-0000-0000-0000DE5E0000}"/>
    <cellStyle name="40% - Accent6 74 16 2 2" xfId="24281" xr:uid="{00000000-0005-0000-0000-0000DF5E0000}"/>
    <cellStyle name="40% - Accent6 74 16 3" xfId="24282" xr:uid="{00000000-0005-0000-0000-0000E05E0000}"/>
    <cellStyle name="40% - Accent6 74 17" xfId="24283" xr:uid="{00000000-0005-0000-0000-0000E15E0000}"/>
    <cellStyle name="40% - Accent6 74 17 2" xfId="24284" xr:uid="{00000000-0005-0000-0000-0000E25E0000}"/>
    <cellStyle name="40% - Accent6 74 17 2 2" xfId="24285" xr:uid="{00000000-0005-0000-0000-0000E35E0000}"/>
    <cellStyle name="40% - Accent6 74 17 3" xfId="24286" xr:uid="{00000000-0005-0000-0000-0000E45E0000}"/>
    <cellStyle name="40% - Accent6 74 18" xfId="24287" xr:uid="{00000000-0005-0000-0000-0000E55E0000}"/>
    <cellStyle name="40% - Accent6 74 18 2" xfId="24288" xr:uid="{00000000-0005-0000-0000-0000E65E0000}"/>
    <cellStyle name="40% - Accent6 74 18 2 2" xfId="24289" xr:uid="{00000000-0005-0000-0000-0000E75E0000}"/>
    <cellStyle name="40% - Accent6 74 18 3" xfId="24290" xr:uid="{00000000-0005-0000-0000-0000E85E0000}"/>
    <cellStyle name="40% - Accent6 74 19" xfId="24291" xr:uid="{00000000-0005-0000-0000-0000E95E0000}"/>
    <cellStyle name="40% - Accent6 74 19 2" xfId="24292" xr:uid="{00000000-0005-0000-0000-0000EA5E0000}"/>
    <cellStyle name="40% - Accent6 74 19 2 2" xfId="24293" xr:uid="{00000000-0005-0000-0000-0000EB5E0000}"/>
    <cellStyle name="40% - Accent6 74 19 3" xfId="24294" xr:uid="{00000000-0005-0000-0000-0000EC5E0000}"/>
    <cellStyle name="40% - Accent6 74 2" xfId="24295" xr:uid="{00000000-0005-0000-0000-0000ED5E0000}"/>
    <cellStyle name="40% - Accent6 74 2 2" xfId="24296" xr:uid="{00000000-0005-0000-0000-0000EE5E0000}"/>
    <cellStyle name="40% - Accent6 74 2 2 2" xfId="24297" xr:uid="{00000000-0005-0000-0000-0000EF5E0000}"/>
    <cellStyle name="40% - Accent6 74 2 3" xfId="24298" xr:uid="{00000000-0005-0000-0000-0000F05E0000}"/>
    <cellStyle name="40% - Accent6 74 20" xfId="24299" xr:uid="{00000000-0005-0000-0000-0000F15E0000}"/>
    <cellStyle name="40% - Accent6 74 20 2" xfId="24300" xr:uid="{00000000-0005-0000-0000-0000F25E0000}"/>
    <cellStyle name="40% - Accent6 74 20 2 2" xfId="24301" xr:uid="{00000000-0005-0000-0000-0000F35E0000}"/>
    <cellStyle name="40% - Accent6 74 20 3" xfId="24302" xr:uid="{00000000-0005-0000-0000-0000F45E0000}"/>
    <cellStyle name="40% - Accent6 74 21" xfId="24303" xr:uid="{00000000-0005-0000-0000-0000F55E0000}"/>
    <cellStyle name="40% - Accent6 74 21 2" xfId="24304" xr:uid="{00000000-0005-0000-0000-0000F65E0000}"/>
    <cellStyle name="40% - Accent6 74 21 2 2" xfId="24305" xr:uid="{00000000-0005-0000-0000-0000F75E0000}"/>
    <cellStyle name="40% - Accent6 74 21 3" xfId="24306" xr:uid="{00000000-0005-0000-0000-0000F85E0000}"/>
    <cellStyle name="40% - Accent6 74 22" xfId="24307" xr:uid="{00000000-0005-0000-0000-0000F95E0000}"/>
    <cellStyle name="40% - Accent6 74 22 2" xfId="24308" xr:uid="{00000000-0005-0000-0000-0000FA5E0000}"/>
    <cellStyle name="40% - Accent6 74 22 2 2" xfId="24309" xr:uid="{00000000-0005-0000-0000-0000FB5E0000}"/>
    <cellStyle name="40% - Accent6 74 22 3" xfId="24310" xr:uid="{00000000-0005-0000-0000-0000FC5E0000}"/>
    <cellStyle name="40% - Accent6 74 23" xfId="24311" xr:uid="{00000000-0005-0000-0000-0000FD5E0000}"/>
    <cellStyle name="40% - Accent6 74 23 2" xfId="24312" xr:uid="{00000000-0005-0000-0000-0000FE5E0000}"/>
    <cellStyle name="40% - Accent6 74 23 2 2" xfId="24313" xr:uid="{00000000-0005-0000-0000-0000FF5E0000}"/>
    <cellStyle name="40% - Accent6 74 23 3" xfId="24314" xr:uid="{00000000-0005-0000-0000-0000005F0000}"/>
    <cellStyle name="40% - Accent6 74 24" xfId="24315" xr:uid="{00000000-0005-0000-0000-0000015F0000}"/>
    <cellStyle name="40% - Accent6 74 24 2" xfId="24316" xr:uid="{00000000-0005-0000-0000-0000025F0000}"/>
    <cellStyle name="40% - Accent6 74 24 2 2" xfId="24317" xr:uid="{00000000-0005-0000-0000-0000035F0000}"/>
    <cellStyle name="40% - Accent6 74 24 3" xfId="24318" xr:uid="{00000000-0005-0000-0000-0000045F0000}"/>
    <cellStyle name="40% - Accent6 74 25" xfId="24319" xr:uid="{00000000-0005-0000-0000-0000055F0000}"/>
    <cellStyle name="40% - Accent6 74 25 2" xfId="24320" xr:uid="{00000000-0005-0000-0000-0000065F0000}"/>
    <cellStyle name="40% - Accent6 74 25 2 2" xfId="24321" xr:uid="{00000000-0005-0000-0000-0000075F0000}"/>
    <cellStyle name="40% - Accent6 74 25 3" xfId="24322" xr:uid="{00000000-0005-0000-0000-0000085F0000}"/>
    <cellStyle name="40% - Accent6 74 26" xfId="24323" xr:uid="{00000000-0005-0000-0000-0000095F0000}"/>
    <cellStyle name="40% - Accent6 74 26 2" xfId="24324" xr:uid="{00000000-0005-0000-0000-00000A5F0000}"/>
    <cellStyle name="40% - Accent6 74 26 2 2" xfId="24325" xr:uid="{00000000-0005-0000-0000-00000B5F0000}"/>
    <cellStyle name="40% - Accent6 74 26 3" xfId="24326" xr:uid="{00000000-0005-0000-0000-00000C5F0000}"/>
    <cellStyle name="40% - Accent6 74 27" xfId="24327" xr:uid="{00000000-0005-0000-0000-00000D5F0000}"/>
    <cellStyle name="40% - Accent6 74 27 2" xfId="24328" xr:uid="{00000000-0005-0000-0000-00000E5F0000}"/>
    <cellStyle name="40% - Accent6 74 27 2 2" xfId="24329" xr:uid="{00000000-0005-0000-0000-00000F5F0000}"/>
    <cellStyle name="40% - Accent6 74 27 3" xfId="24330" xr:uid="{00000000-0005-0000-0000-0000105F0000}"/>
    <cellStyle name="40% - Accent6 74 28" xfId="24331" xr:uid="{00000000-0005-0000-0000-0000115F0000}"/>
    <cellStyle name="40% - Accent6 74 28 2" xfId="24332" xr:uid="{00000000-0005-0000-0000-0000125F0000}"/>
    <cellStyle name="40% - Accent6 74 28 2 2" xfId="24333" xr:uid="{00000000-0005-0000-0000-0000135F0000}"/>
    <cellStyle name="40% - Accent6 74 28 3" xfId="24334" xr:uid="{00000000-0005-0000-0000-0000145F0000}"/>
    <cellStyle name="40% - Accent6 74 29" xfId="24335" xr:uid="{00000000-0005-0000-0000-0000155F0000}"/>
    <cellStyle name="40% - Accent6 74 29 2" xfId="24336" xr:uid="{00000000-0005-0000-0000-0000165F0000}"/>
    <cellStyle name="40% - Accent6 74 29 2 2" xfId="24337" xr:uid="{00000000-0005-0000-0000-0000175F0000}"/>
    <cellStyle name="40% - Accent6 74 29 3" xfId="24338" xr:uid="{00000000-0005-0000-0000-0000185F0000}"/>
    <cellStyle name="40% - Accent6 74 3" xfId="24339" xr:uid="{00000000-0005-0000-0000-0000195F0000}"/>
    <cellStyle name="40% - Accent6 74 3 2" xfId="24340" xr:uid="{00000000-0005-0000-0000-00001A5F0000}"/>
    <cellStyle name="40% - Accent6 74 3 2 2" xfId="24341" xr:uid="{00000000-0005-0000-0000-00001B5F0000}"/>
    <cellStyle name="40% - Accent6 74 3 3" xfId="24342" xr:uid="{00000000-0005-0000-0000-00001C5F0000}"/>
    <cellStyle name="40% - Accent6 74 30" xfId="24343" xr:uid="{00000000-0005-0000-0000-00001D5F0000}"/>
    <cellStyle name="40% - Accent6 74 30 2" xfId="24344" xr:uid="{00000000-0005-0000-0000-00001E5F0000}"/>
    <cellStyle name="40% - Accent6 74 30 2 2" xfId="24345" xr:uid="{00000000-0005-0000-0000-00001F5F0000}"/>
    <cellStyle name="40% - Accent6 74 30 3" xfId="24346" xr:uid="{00000000-0005-0000-0000-0000205F0000}"/>
    <cellStyle name="40% - Accent6 74 31" xfId="24347" xr:uid="{00000000-0005-0000-0000-0000215F0000}"/>
    <cellStyle name="40% - Accent6 74 31 2" xfId="24348" xr:uid="{00000000-0005-0000-0000-0000225F0000}"/>
    <cellStyle name="40% - Accent6 74 31 2 2" xfId="24349" xr:uid="{00000000-0005-0000-0000-0000235F0000}"/>
    <cellStyle name="40% - Accent6 74 31 3" xfId="24350" xr:uid="{00000000-0005-0000-0000-0000245F0000}"/>
    <cellStyle name="40% - Accent6 74 32" xfId="24351" xr:uid="{00000000-0005-0000-0000-0000255F0000}"/>
    <cellStyle name="40% - Accent6 74 32 2" xfId="24352" xr:uid="{00000000-0005-0000-0000-0000265F0000}"/>
    <cellStyle name="40% - Accent6 74 32 2 2" xfId="24353" xr:uid="{00000000-0005-0000-0000-0000275F0000}"/>
    <cellStyle name="40% - Accent6 74 32 3" xfId="24354" xr:uid="{00000000-0005-0000-0000-0000285F0000}"/>
    <cellStyle name="40% - Accent6 74 33" xfId="24355" xr:uid="{00000000-0005-0000-0000-0000295F0000}"/>
    <cellStyle name="40% - Accent6 74 33 2" xfId="24356" xr:uid="{00000000-0005-0000-0000-00002A5F0000}"/>
    <cellStyle name="40% - Accent6 74 33 2 2" xfId="24357" xr:uid="{00000000-0005-0000-0000-00002B5F0000}"/>
    <cellStyle name="40% - Accent6 74 33 3" xfId="24358" xr:uid="{00000000-0005-0000-0000-00002C5F0000}"/>
    <cellStyle name="40% - Accent6 74 34" xfId="24359" xr:uid="{00000000-0005-0000-0000-00002D5F0000}"/>
    <cellStyle name="40% - Accent6 74 34 2" xfId="24360" xr:uid="{00000000-0005-0000-0000-00002E5F0000}"/>
    <cellStyle name="40% - Accent6 74 34 2 2" xfId="24361" xr:uid="{00000000-0005-0000-0000-00002F5F0000}"/>
    <cellStyle name="40% - Accent6 74 34 3" xfId="24362" xr:uid="{00000000-0005-0000-0000-0000305F0000}"/>
    <cellStyle name="40% - Accent6 74 35" xfId="24363" xr:uid="{00000000-0005-0000-0000-0000315F0000}"/>
    <cellStyle name="40% - Accent6 74 35 2" xfId="24364" xr:uid="{00000000-0005-0000-0000-0000325F0000}"/>
    <cellStyle name="40% - Accent6 74 35 2 2" xfId="24365" xr:uid="{00000000-0005-0000-0000-0000335F0000}"/>
    <cellStyle name="40% - Accent6 74 35 3" xfId="24366" xr:uid="{00000000-0005-0000-0000-0000345F0000}"/>
    <cellStyle name="40% - Accent6 74 36" xfId="24367" xr:uid="{00000000-0005-0000-0000-0000355F0000}"/>
    <cellStyle name="40% - Accent6 74 36 2" xfId="24368" xr:uid="{00000000-0005-0000-0000-0000365F0000}"/>
    <cellStyle name="40% - Accent6 74 36 2 2" xfId="24369" xr:uid="{00000000-0005-0000-0000-0000375F0000}"/>
    <cellStyle name="40% - Accent6 74 36 3" xfId="24370" xr:uid="{00000000-0005-0000-0000-0000385F0000}"/>
    <cellStyle name="40% - Accent6 74 4" xfId="24371" xr:uid="{00000000-0005-0000-0000-0000395F0000}"/>
    <cellStyle name="40% - Accent6 74 4 2" xfId="24372" xr:uid="{00000000-0005-0000-0000-00003A5F0000}"/>
    <cellStyle name="40% - Accent6 74 4 2 2" xfId="24373" xr:uid="{00000000-0005-0000-0000-00003B5F0000}"/>
    <cellStyle name="40% - Accent6 74 4 3" xfId="24374" xr:uid="{00000000-0005-0000-0000-00003C5F0000}"/>
    <cellStyle name="40% - Accent6 74 5" xfId="24375" xr:uid="{00000000-0005-0000-0000-00003D5F0000}"/>
    <cellStyle name="40% - Accent6 74 5 2" xfId="24376" xr:uid="{00000000-0005-0000-0000-00003E5F0000}"/>
    <cellStyle name="40% - Accent6 74 5 2 2" xfId="24377" xr:uid="{00000000-0005-0000-0000-00003F5F0000}"/>
    <cellStyle name="40% - Accent6 74 5 3" xfId="24378" xr:uid="{00000000-0005-0000-0000-0000405F0000}"/>
    <cellStyle name="40% - Accent6 74 6" xfId="24379" xr:uid="{00000000-0005-0000-0000-0000415F0000}"/>
    <cellStyle name="40% - Accent6 74 6 2" xfId="24380" xr:uid="{00000000-0005-0000-0000-0000425F0000}"/>
    <cellStyle name="40% - Accent6 74 6 2 2" xfId="24381" xr:uid="{00000000-0005-0000-0000-0000435F0000}"/>
    <cellStyle name="40% - Accent6 74 6 3" xfId="24382" xr:uid="{00000000-0005-0000-0000-0000445F0000}"/>
    <cellStyle name="40% - Accent6 74 7" xfId="24383" xr:uid="{00000000-0005-0000-0000-0000455F0000}"/>
    <cellStyle name="40% - Accent6 74 7 2" xfId="24384" xr:uid="{00000000-0005-0000-0000-0000465F0000}"/>
    <cellStyle name="40% - Accent6 74 7 2 2" xfId="24385" xr:uid="{00000000-0005-0000-0000-0000475F0000}"/>
    <cellStyle name="40% - Accent6 74 7 3" xfId="24386" xr:uid="{00000000-0005-0000-0000-0000485F0000}"/>
    <cellStyle name="40% - Accent6 74 8" xfId="24387" xr:uid="{00000000-0005-0000-0000-0000495F0000}"/>
    <cellStyle name="40% - Accent6 74 8 2" xfId="24388" xr:uid="{00000000-0005-0000-0000-00004A5F0000}"/>
    <cellStyle name="40% - Accent6 74 8 2 2" xfId="24389" xr:uid="{00000000-0005-0000-0000-00004B5F0000}"/>
    <cellStyle name="40% - Accent6 74 8 3" xfId="24390" xr:uid="{00000000-0005-0000-0000-00004C5F0000}"/>
    <cellStyle name="40% - Accent6 74 9" xfId="24391" xr:uid="{00000000-0005-0000-0000-00004D5F0000}"/>
    <cellStyle name="40% - Accent6 74 9 2" xfId="24392" xr:uid="{00000000-0005-0000-0000-00004E5F0000}"/>
    <cellStyle name="40% - Accent6 74 9 2 2" xfId="24393" xr:uid="{00000000-0005-0000-0000-00004F5F0000}"/>
    <cellStyle name="40% - Accent6 74 9 3" xfId="24394" xr:uid="{00000000-0005-0000-0000-0000505F0000}"/>
    <cellStyle name="40% - Accent6 75" xfId="24395" xr:uid="{00000000-0005-0000-0000-0000515F0000}"/>
    <cellStyle name="40% - Accent6 75 10" xfId="24396" xr:uid="{00000000-0005-0000-0000-0000525F0000}"/>
    <cellStyle name="40% - Accent6 75 10 2" xfId="24397" xr:uid="{00000000-0005-0000-0000-0000535F0000}"/>
    <cellStyle name="40% - Accent6 75 10 2 2" xfId="24398" xr:uid="{00000000-0005-0000-0000-0000545F0000}"/>
    <cellStyle name="40% - Accent6 75 10 3" xfId="24399" xr:uid="{00000000-0005-0000-0000-0000555F0000}"/>
    <cellStyle name="40% - Accent6 75 11" xfId="24400" xr:uid="{00000000-0005-0000-0000-0000565F0000}"/>
    <cellStyle name="40% - Accent6 75 11 2" xfId="24401" xr:uid="{00000000-0005-0000-0000-0000575F0000}"/>
    <cellStyle name="40% - Accent6 75 11 2 2" xfId="24402" xr:uid="{00000000-0005-0000-0000-0000585F0000}"/>
    <cellStyle name="40% - Accent6 75 11 3" xfId="24403" xr:uid="{00000000-0005-0000-0000-0000595F0000}"/>
    <cellStyle name="40% - Accent6 75 12" xfId="24404" xr:uid="{00000000-0005-0000-0000-00005A5F0000}"/>
    <cellStyle name="40% - Accent6 75 12 2" xfId="24405" xr:uid="{00000000-0005-0000-0000-00005B5F0000}"/>
    <cellStyle name="40% - Accent6 75 12 2 2" xfId="24406" xr:uid="{00000000-0005-0000-0000-00005C5F0000}"/>
    <cellStyle name="40% - Accent6 75 12 3" xfId="24407" xr:uid="{00000000-0005-0000-0000-00005D5F0000}"/>
    <cellStyle name="40% - Accent6 75 13" xfId="24408" xr:uid="{00000000-0005-0000-0000-00005E5F0000}"/>
    <cellStyle name="40% - Accent6 75 13 2" xfId="24409" xr:uid="{00000000-0005-0000-0000-00005F5F0000}"/>
    <cellStyle name="40% - Accent6 75 13 2 2" xfId="24410" xr:uid="{00000000-0005-0000-0000-0000605F0000}"/>
    <cellStyle name="40% - Accent6 75 13 3" xfId="24411" xr:uid="{00000000-0005-0000-0000-0000615F0000}"/>
    <cellStyle name="40% - Accent6 75 14" xfId="24412" xr:uid="{00000000-0005-0000-0000-0000625F0000}"/>
    <cellStyle name="40% - Accent6 75 14 2" xfId="24413" xr:uid="{00000000-0005-0000-0000-0000635F0000}"/>
    <cellStyle name="40% - Accent6 75 14 2 2" xfId="24414" xr:uid="{00000000-0005-0000-0000-0000645F0000}"/>
    <cellStyle name="40% - Accent6 75 14 3" xfId="24415" xr:uid="{00000000-0005-0000-0000-0000655F0000}"/>
    <cellStyle name="40% - Accent6 75 15" xfId="24416" xr:uid="{00000000-0005-0000-0000-0000665F0000}"/>
    <cellStyle name="40% - Accent6 75 15 2" xfId="24417" xr:uid="{00000000-0005-0000-0000-0000675F0000}"/>
    <cellStyle name="40% - Accent6 75 15 2 2" xfId="24418" xr:uid="{00000000-0005-0000-0000-0000685F0000}"/>
    <cellStyle name="40% - Accent6 75 15 3" xfId="24419" xr:uid="{00000000-0005-0000-0000-0000695F0000}"/>
    <cellStyle name="40% - Accent6 75 16" xfId="24420" xr:uid="{00000000-0005-0000-0000-00006A5F0000}"/>
    <cellStyle name="40% - Accent6 75 16 2" xfId="24421" xr:uid="{00000000-0005-0000-0000-00006B5F0000}"/>
    <cellStyle name="40% - Accent6 75 16 2 2" xfId="24422" xr:uid="{00000000-0005-0000-0000-00006C5F0000}"/>
    <cellStyle name="40% - Accent6 75 16 3" xfId="24423" xr:uid="{00000000-0005-0000-0000-00006D5F0000}"/>
    <cellStyle name="40% - Accent6 75 17" xfId="24424" xr:uid="{00000000-0005-0000-0000-00006E5F0000}"/>
    <cellStyle name="40% - Accent6 75 17 2" xfId="24425" xr:uid="{00000000-0005-0000-0000-00006F5F0000}"/>
    <cellStyle name="40% - Accent6 75 17 2 2" xfId="24426" xr:uid="{00000000-0005-0000-0000-0000705F0000}"/>
    <cellStyle name="40% - Accent6 75 17 3" xfId="24427" xr:uid="{00000000-0005-0000-0000-0000715F0000}"/>
    <cellStyle name="40% - Accent6 75 18" xfId="24428" xr:uid="{00000000-0005-0000-0000-0000725F0000}"/>
    <cellStyle name="40% - Accent6 75 18 2" xfId="24429" xr:uid="{00000000-0005-0000-0000-0000735F0000}"/>
    <cellStyle name="40% - Accent6 75 18 2 2" xfId="24430" xr:uid="{00000000-0005-0000-0000-0000745F0000}"/>
    <cellStyle name="40% - Accent6 75 18 3" xfId="24431" xr:uid="{00000000-0005-0000-0000-0000755F0000}"/>
    <cellStyle name="40% - Accent6 75 19" xfId="24432" xr:uid="{00000000-0005-0000-0000-0000765F0000}"/>
    <cellStyle name="40% - Accent6 75 19 2" xfId="24433" xr:uid="{00000000-0005-0000-0000-0000775F0000}"/>
    <cellStyle name="40% - Accent6 75 19 2 2" xfId="24434" xr:uid="{00000000-0005-0000-0000-0000785F0000}"/>
    <cellStyle name="40% - Accent6 75 19 3" xfId="24435" xr:uid="{00000000-0005-0000-0000-0000795F0000}"/>
    <cellStyle name="40% - Accent6 75 2" xfId="24436" xr:uid="{00000000-0005-0000-0000-00007A5F0000}"/>
    <cellStyle name="40% - Accent6 75 2 2" xfId="24437" xr:uid="{00000000-0005-0000-0000-00007B5F0000}"/>
    <cellStyle name="40% - Accent6 75 2 2 2" xfId="24438" xr:uid="{00000000-0005-0000-0000-00007C5F0000}"/>
    <cellStyle name="40% - Accent6 75 2 3" xfId="24439" xr:uid="{00000000-0005-0000-0000-00007D5F0000}"/>
    <cellStyle name="40% - Accent6 75 20" xfId="24440" xr:uid="{00000000-0005-0000-0000-00007E5F0000}"/>
    <cellStyle name="40% - Accent6 75 20 2" xfId="24441" xr:uid="{00000000-0005-0000-0000-00007F5F0000}"/>
    <cellStyle name="40% - Accent6 75 20 2 2" xfId="24442" xr:uid="{00000000-0005-0000-0000-0000805F0000}"/>
    <cellStyle name="40% - Accent6 75 20 3" xfId="24443" xr:uid="{00000000-0005-0000-0000-0000815F0000}"/>
    <cellStyle name="40% - Accent6 75 21" xfId="24444" xr:uid="{00000000-0005-0000-0000-0000825F0000}"/>
    <cellStyle name="40% - Accent6 75 21 2" xfId="24445" xr:uid="{00000000-0005-0000-0000-0000835F0000}"/>
    <cellStyle name="40% - Accent6 75 21 2 2" xfId="24446" xr:uid="{00000000-0005-0000-0000-0000845F0000}"/>
    <cellStyle name="40% - Accent6 75 21 3" xfId="24447" xr:uid="{00000000-0005-0000-0000-0000855F0000}"/>
    <cellStyle name="40% - Accent6 75 22" xfId="24448" xr:uid="{00000000-0005-0000-0000-0000865F0000}"/>
    <cellStyle name="40% - Accent6 75 22 2" xfId="24449" xr:uid="{00000000-0005-0000-0000-0000875F0000}"/>
    <cellStyle name="40% - Accent6 75 22 2 2" xfId="24450" xr:uid="{00000000-0005-0000-0000-0000885F0000}"/>
    <cellStyle name="40% - Accent6 75 22 3" xfId="24451" xr:uid="{00000000-0005-0000-0000-0000895F0000}"/>
    <cellStyle name="40% - Accent6 75 23" xfId="24452" xr:uid="{00000000-0005-0000-0000-00008A5F0000}"/>
    <cellStyle name="40% - Accent6 75 23 2" xfId="24453" xr:uid="{00000000-0005-0000-0000-00008B5F0000}"/>
    <cellStyle name="40% - Accent6 75 23 2 2" xfId="24454" xr:uid="{00000000-0005-0000-0000-00008C5F0000}"/>
    <cellStyle name="40% - Accent6 75 23 3" xfId="24455" xr:uid="{00000000-0005-0000-0000-00008D5F0000}"/>
    <cellStyle name="40% - Accent6 75 24" xfId="24456" xr:uid="{00000000-0005-0000-0000-00008E5F0000}"/>
    <cellStyle name="40% - Accent6 75 24 2" xfId="24457" xr:uid="{00000000-0005-0000-0000-00008F5F0000}"/>
    <cellStyle name="40% - Accent6 75 24 2 2" xfId="24458" xr:uid="{00000000-0005-0000-0000-0000905F0000}"/>
    <cellStyle name="40% - Accent6 75 24 3" xfId="24459" xr:uid="{00000000-0005-0000-0000-0000915F0000}"/>
    <cellStyle name="40% - Accent6 75 25" xfId="24460" xr:uid="{00000000-0005-0000-0000-0000925F0000}"/>
    <cellStyle name="40% - Accent6 75 25 2" xfId="24461" xr:uid="{00000000-0005-0000-0000-0000935F0000}"/>
    <cellStyle name="40% - Accent6 75 25 2 2" xfId="24462" xr:uid="{00000000-0005-0000-0000-0000945F0000}"/>
    <cellStyle name="40% - Accent6 75 25 3" xfId="24463" xr:uid="{00000000-0005-0000-0000-0000955F0000}"/>
    <cellStyle name="40% - Accent6 75 26" xfId="24464" xr:uid="{00000000-0005-0000-0000-0000965F0000}"/>
    <cellStyle name="40% - Accent6 75 26 2" xfId="24465" xr:uid="{00000000-0005-0000-0000-0000975F0000}"/>
    <cellStyle name="40% - Accent6 75 26 2 2" xfId="24466" xr:uid="{00000000-0005-0000-0000-0000985F0000}"/>
    <cellStyle name="40% - Accent6 75 26 3" xfId="24467" xr:uid="{00000000-0005-0000-0000-0000995F0000}"/>
    <cellStyle name="40% - Accent6 75 27" xfId="24468" xr:uid="{00000000-0005-0000-0000-00009A5F0000}"/>
    <cellStyle name="40% - Accent6 75 27 2" xfId="24469" xr:uid="{00000000-0005-0000-0000-00009B5F0000}"/>
    <cellStyle name="40% - Accent6 75 27 2 2" xfId="24470" xr:uid="{00000000-0005-0000-0000-00009C5F0000}"/>
    <cellStyle name="40% - Accent6 75 27 3" xfId="24471" xr:uid="{00000000-0005-0000-0000-00009D5F0000}"/>
    <cellStyle name="40% - Accent6 75 28" xfId="24472" xr:uid="{00000000-0005-0000-0000-00009E5F0000}"/>
    <cellStyle name="40% - Accent6 75 28 2" xfId="24473" xr:uid="{00000000-0005-0000-0000-00009F5F0000}"/>
    <cellStyle name="40% - Accent6 75 28 2 2" xfId="24474" xr:uid="{00000000-0005-0000-0000-0000A05F0000}"/>
    <cellStyle name="40% - Accent6 75 28 3" xfId="24475" xr:uid="{00000000-0005-0000-0000-0000A15F0000}"/>
    <cellStyle name="40% - Accent6 75 29" xfId="24476" xr:uid="{00000000-0005-0000-0000-0000A25F0000}"/>
    <cellStyle name="40% - Accent6 75 29 2" xfId="24477" xr:uid="{00000000-0005-0000-0000-0000A35F0000}"/>
    <cellStyle name="40% - Accent6 75 29 2 2" xfId="24478" xr:uid="{00000000-0005-0000-0000-0000A45F0000}"/>
    <cellStyle name="40% - Accent6 75 29 3" xfId="24479" xr:uid="{00000000-0005-0000-0000-0000A55F0000}"/>
    <cellStyle name="40% - Accent6 75 3" xfId="24480" xr:uid="{00000000-0005-0000-0000-0000A65F0000}"/>
    <cellStyle name="40% - Accent6 75 3 2" xfId="24481" xr:uid="{00000000-0005-0000-0000-0000A75F0000}"/>
    <cellStyle name="40% - Accent6 75 3 2 2" xfId="24482" xr:uid="{00000000-0005-0000-0000-0000A85F0000}"/>
    <cellStyle name="40% - Accent6 75 3 3" xfId="24483" xr:uid="{00000000-0005-0000-0000-0000A95F0000}"/>
    <cellStyle name="40% - Accent6 75 30" xfId="24484" xr:uid="{00000000-0005-0000-0000-0000AA5F0000}"/>
    <cellStyle name="40% - Accent6 75 30 2" xfId="24485" xr:uid="{00000000-0005-0000-0000-0000AB5F0000}"/>
    <cellStyle name="40% - Accent6 75 30 2 2" xfId="24486" xr:uid="{00000000-0005-0000-0000-0000AC5F0000}"/>
    <cellStyle name="40% - Accent6 75 30 3" xfId="24487" xr:uid="{00000000-0005-0000-0000-0000AD5F0000}"/>
    <cellStyle name="40% - Accent6 75 31" xfId="24488" xr:uid="{00000000-0005-0000-0000-0000AE5F0000}"/>
    <cellStyle name="40% - Accent6 75 31 2" xfId="24489" xr:uid="{00000000-0005-0000-0000-0000AF5F0000}"/>
    <cellStyle name="40% - Accent6 75 31 2 2" xfId="24490" xr:uid="{00000000-0005-0000-0000-0000B05F0000}"/>
    <cellStyle name="40% - Accent6 75 31 3" xfId="24491" xr:uid="{00000000-0005-0000-0000-0000B15F0000}"/>
    <cellStyle name="40% - Accent6 75 32" xfId="24492" xr:uid="{00000000-0005-0000-0000-0000B25F0000}"/>
    <cellStyle name="40% - Accent6 75 32 2" xfId="24493" xr:uid="{00000000-0005-0000-0000-0000B35F0000}"/>
    <cellStyle name="40% - Accent6 75 32 2 2" xfId="24494" xr:uid="{00000000-0005-0000-0000-0000B45F0000}"/>
    <cellStyle name="40% - Accent6 75 32 3" xfId="24495" xr:uid="{00000000-0005-0000-0000-0000B55F0000}"/>
    <cellStyle name="40% - Accent6 75 33" xfId="24496" xr:uid="{00000000-0005-0000-0000-0000B65F0000}"/>
    <cellStyle name="40% - Accent6 75 33 2" xfId="24497" xr:uid="{00000000-0005-0000-0000-0000B75F0000}"/>
    <cellStyle name="40% - Accent6 75 33 2 2" xfId="24498" xr:uid="{00000000-0005-0000-0000-0000B85F0000}"/>
    <cellStyle name="40% - Accent6 75 33 3" xfId="24499" xr:uid="{00000000-0005-0000-0000-0000B95F0000}"/>
    <cellStyle name="40% - Accent6 75 34" xfId="24500" xr:uid="{00000000-0005-0000-0000-0000BA5F0000}"/>
    <cellStyle name="40% - Accent6 75 34 2" xfId="24501" xr:uid="{00000000-0005-0000-0000-0000BB5F0000}"/>
    <cellStyle name="40% - Accent6 75 34 2 2" xfId="24502" xr:uid="{00000000-0005-0000-0000-0000BC5F0000}"/>
    <cellStyle name="40% - Accent6 75 34 3" xfId="24503" xr:uid="{00000000-0005-0000-0000-0000BD5F0000}"/>
    <cellStyle name="40% - Accent6 75 35" xfId="24504" xr:uid="{00000000-0005-0000-0000-0000BE5F0000}"/>
    <cellStyle name="40% - Accent6 75 35 2" xfId="24505" xr:uid="{00000000-0005-0000-0000-0000BF5F0000}"/>
    <cellStyle name="40% - Accent6 75 35 2 2" xfId="24506" xr:uid="{00000000-0005-0000-0000-0000C05F0000}"/>
    <cellStyle name="40% - Accent6 75 35 3" xfId="24507" xr:uid="{00000000-0005-0000-0000-0000C15F0000}"/>
    <cellStyle name="40% - Accent6 75 36" xfId="24508" xr:uid="{00000000-0005-0000-0000-0000C25F0000}"/>
    <cellStyle name="40% - Accent6 75 36 2" xfId="24509" xr:uid="{00000000-0005-0000-0000-0000C35F0000}"/>
    <cellStyle name="40% - Accent6 75 36 2 2" xfId="24510" xr:uid="{00000000-0005-0000-0000-0000C45F0000}"/>
    <cellStyle name="40% - Accent6 75 36 3" xfId="24511" xr:uid="{00000000-0005-0000-0000-0000C55F0000}"/>
    <cellStyle name="40% - Accent6 75 4" xfId="24512" xr:uid="{00000000-0005-0000-0000-0000C65F0000}"/>
    <cellStyle name="40% - Accent6 75 4 2" xfId="24513" xr:uid="{00000000-0005-0000-0000-0000C75F0000}"/>
    <cellStyle name="40% - Accent6 75 4 2 2" xfId="24514" xr:uid="{00000000-0005-0000-0000-0000C85F0000}"/>
    <cellStyle name="40% - Accent6 75 4 3" xfId="24515" xr:uid="{00000000-0005-0000-0000-0000C95F0000}"/>
    <cellStyle name="40% - Accent6 75 5" xfId="24516" xr:uid="{00000000-0005-0000-0000-0000CA5F0000}"/>
    <cellStyle name="40% - Accent6 75 5 2" xfId="24517" xr:uid="{00000000-0005-0000-0000-0000CB5F0000}"/>
    <cellStyle name="40% - Accent6 75 5 2 2" xfId="24518" xr:uid="{00000000-0005-0000-0000-0000CC5F0000}"/>
    <cellStyle name="40% - Accent6 75 5 3" xfId="24519" xr:uid="{00000000-0005-0000-0000-0000CD5F0000}"/>
    <cellStyle name="40% - Accent6 75 6" xfId="24520" xr:uid="{00000000-0005-0000-0000-0000CE5F0000}"/>
    <cellStyle name="40% - Accent6 75 6 2" xfId="24521" xr:uid="{00000000-0005-0000-0000-0000CF5F0000}"/>
    <cellStyle name="40% - Accent6 75 6 2 2" xfId="24522" xr:uid="{00000000-0005-0000-0000-0000D05F0000}"/>
    <cellStyle name="40% - Accent6 75 6 3" xfId="24523" xr:uid="{00000000-0005-0000-0000-0000D15F0000}"/>
    <cellStyle name="40% - Accent6 75 7" xfId="24524" xr:uid="{00000000-0005-0000-0000-0000D25F0000}"/>
    <cellStyle name="40% - Accent6 75 7 2" xfId="24525" xr:uid="{00000000-0005-0000-0000-0000D35F0000}"/>
    <cellStyle name="40% - Accent6 75 7 2 2" xfId="24526" xr:uid="{00000000-0005-0000-0000-0000D45F0000}"/>
    <cellStyle name="40% - Accent6 75 7 3" xfId="24527" xr:uid="{00000000-0005-0000-0000-0000D55F0000}"/>
    <cellStyle name="40% - Accent6 75 8" xfId="24528" xr:uid="{00000000-0005-0000-0000-0000D65F0000}"/>
    <cellStyle name="40% - Accent6 75 8 2" xfId="24529" xr:uid="{00000000-0005-0000-0000-0000D75F0000}"/>
    <cellStyle name="40% - Accent6 75 8 2 2" xfId="24530" xr:uid="{00000000-0005-0000-0000-0000D85F0000}"/>
    <cellStyle name="40% - Accent6 75 8 3" xfId="24531" xr:uid="{00000000-0005-0000-0000-0000D95F0000}"/>
    <cellStyle name="40% - Accent6 75 9" xfId="24532" xr:uid="{00000000-0005-0000-0000-0000DA5F0000}"/>
    <cellStyle name="40% - Accent6 75 9 2" xfId="24533" xr:uid="{00000000-0005-0000-0000-0000DB5F0000}"/>
    <cellStyle name="40% - Accent6 75 9 2 2" xfId="24534" xr:uid="{00000000-0005-0000-0000-0000DC5F0000}"/>
    <cellStyle name="40% - Accent6 75 9 3" xfId="24535" xr:uid="{00000000-0005-0000-0000-0000DD5F0000}"/>
    <cellStyle name="40% - Accent6 76" xfId="24536" xr:uid="{00000000-0005-0000-0000-0000DE5F0000}"/>
    <cellStyle name="40% - Accent6 76 10" xfId="24537" xr:uid="{00000000-0005-0000-0000-0000DF5F0000}"/>
    <cellStyle name="40% - Accent6 76 10 2" xfId="24538" xr:uid="{00000000-0005-0000-0000-0000E05F0000}"/>
    <cellStyle name="40% - Accent6 76 10 2 2" xfId="24539" xr:uid="{00000000-0005-0000-0000-0000E15F0000}"/>
    <cellStyle name="40% - Accent6 76 10 3" xfId="24540" xr:uid="{00000000-0005-0000-0000-0000E25F0000}"/>
    <cellStyle name="40% - Accent6 76 11" xfId="24541" xr:uid="{00000000-0005-0000-0000-0000E35F0000}"/>
    <cellStyle name="40% - Accent6 76 11 2" xfId="24542" xr:uid="{00000000-0005-0000-0000-0000E45F0000}"/>
    <cellStyle name="40% - Accent6 76 11 2 2" xfId="24543" xr:uid="{00000000-0005-0000-0000-0000E55F0000}"/>
    <cellStyle name="40% - Accent6 76 11 3" xfId="24544" xr:uid="{00000000-0005-0000-0000-0000E65F0000}"/>
    <cellStyle name="40% - Accent6 76 12" xfId="24545" xr:uid="{00000000-0005-0000-0000-0000E75F0000}"/>
    <cellStyle name="40% - Accent6 76 12 2" xfId="24546" xr:uid="{00000000-0005-0000-0000-0000E85F0000}"/>
    <cellStyle name="40% - Accent6 76 12 2 2" xfId="24547" xr:uid="{00000000-0005-0000-0000-0000E95F0000}"/>
    <cellStyle name="40% - Accent6 76 12 3" xfId="24548" xr:uid="{00000000-0005-0000-0000-0000EA5F0000}"/>
    <cellStyle name="40% - Accent6 76 13" xfId="24549" xr:uid="{00000000-0005-0000-0000-0000EB5F0000}"/>
    <cellStyle name="40% - Accent6 76 13 2" xfId="24550" xr:uid="{00000000-0005-0000-0000-0000EC5F0000}"/>
    <cellStyle name="40% - Accent6 76 13 2 2" xfId="24551" xr:uid="{00000000-0005-0000-0000-0000ED5F0000}"/>
    <cellStyle name="40% - Accent6 76 13 3" xfId="24552" xr:uid="{00000000-0005-0000-0000-0000EE5F0000}"/>
    <cellStyle name="40% - Accent6 76 14" xfId="24553" xr:uid="{00000000-0005-0000-0000-0000EF5F0000}"/>
    <cellStyle name="40% - Accent6 76 14 2" xfId="24554" xr:uid="{00000000-0005-0000-0000-0000F05F0000}"/>
    <cellStyle name="40% - Accent6 76 14 2 2" xfId="24555" xr:uid="{00000000-0005-0000-0000-0000F15F0000}"/>
    <cellStyle name="40% - Accent6 76 14 3" xfId="24556" xr:uid="{00000000-0005-0000-0000-0000F25F0000}"/>
    <cellStyle name="40% - Accent6 76 15" xfId="24557" xr:uid="{00000000-0005-0000-0000-0000F35F0000}"/>
    <cellStyle name="40% - Accent6 76 15 2" xfId="24558" xr:uid="{00000000-0005-0000-0000-0000F45F0000}"/>
    <cellStyle name="40% - Accent6 76 15 2 2" xfId="24559" xr:uid="{00000000-0005-0000-0000-0000F55F0000}"/>
    <cellStyle name="40% - Accent6 76 15 3" xfId="24560" xr:uid="{00000000-0005-0000-0000-0000F65F0000}"/>
    <cellStyle name="40% - Accent6 76 16" xfId="24561" xr:uid="{00000000-0005-0000-0000-0000F75F0000}"/>
    <cellStyle name="40% - Accent6 76 16 2" xfId="24562" xr:uid="{00000000-0005-0000-0000-0000F85F0000}"/>
    <cellStyle name="40% - Accent6 76 16 2 2" xfId="24563" xr:uid="{00000000-0005-0000-0000-0000F95F0000}"/>
    <cellStyle name="40% - Accent6 76 16 3" xfId="24564" xr:uid="{00000000-0005-0000-0000-0000FA5F0000}"/>
    <cellStyle name="40% - Accent6 76 17" xfId="24565" xr:uid="{00000000-0005-0000-0000-0000FB5F0000}"/>
    <cellStyle name="40% - Accent6 76 17 2" xfId="24566" xr:uid="{00000000-0005-0000-0000-0000FC5F0000}"/>
    <cellStyle name="40% - Accent6 76 17 2 2" xfId="24567" xr:uid="{00000000-0005-0000-0000-0000FD5F0000}"/>
    <cellStyle name="40% - Accent6 76 17 3" xfId="24568" xr:uid="{00000000-0005-0000-0000-0000FE5F0000}"/>
    <cellStyle name="40% - Accent6 76 18" xfId="24569" xr:uid="{00000000-0005-0000-0000-0000FF5F0000}"/>
    <cellStyle name="40% - Accent6 76 18 2" xfId="24570" xr:uid="{00000000-0005-0000-0000-000000600000}"/>
    <cellStyle name="40% - Accent6 76 18 2 2" xfId="24571" xr:uid="{00000000-0005-0000-0000-000001600000}"/>
    <cellStyle name="40% - Accent6 76 18 3" xfId="24572" xr:uid="{00000000-0005-0000-0000-000002600000}"/>
    <cellStyle name="40% - Accent6 76 19" xfId="24573" xr:uid="{00000000-0005-0000-0000-000003600000}"/>
    <cellStyle name="40% - Accent6 76 19 2" xfId="24574" xr:uid="{00000000-0005-0000-0000-000004600000}"/>
    <cellStyle name="40% - Accent6 76 19 2 2" xfId="24575" xr:uid="{00000000-0005-0000-0000-000005600000}"/>
    <cellStyle name="40% - Accent6 76 19 3" xfId="24576" xr:uid="{00000000-0005-0000-0000-000006600000}"/>
    <cellStyle name="40% - Accent6 76 2" xfId="24577" xr:uid="{00000000-0005-0000-0000-000007600000}"/>
    <cellStyle name="40% - Accent6 76 2 2" xfId="24578" xr:uid="{00000000-0005-0000-0000-000008600000}"/>
    <cellStyle name="40% - Accent6 76 2 2 2" xfId="24579" xr:uid="{00000000-0005-0000-0000-000009600000}"/>
    <cellStyle name="40% - Accent6 76 2 3" xfId="24580" xr:uid="{00000000-0005-0000-0000-00000A600000}"/>
    <cellStyle name="40% - Accent6 76 20" xfId="24581" xr:uid="{00000000-0005-0000-0000-00000B600000}"/>
    <cellStyle name="40% - Accent6 76 20 2" xfId="24582" xr:uid="{00000000-0005-0000-0000-00000C600000}"/>
    <cellStyle name="40% - Accent6 76 20 2 2" xfId="24583" xr:uid="{00000000-0005-0000-0000-00000D600000}"/>
    <cellStyle name="40% - Accent6 76 20 3" xfId="24584" xr:uid="{00000000-0005-0000-0000-00000E600000}"/>
    <cellStyle name="40% - Accent6 76 21" xfId="24585" xr:uid="{00000000-0005-0000-0000-00000F600000}"/>
    <cellStyle name="40% - Accent6 76 21 2" xfId="24586" xr:uid="{00000000-0005-0000-0000-000010600000}"/>
    <cellStyle name="40% - Accent6 76 21 2 2" xfId="24587" xr:uid="{00000000-0005-0000-0000-000011600000}"/>
    <cellStyle name="40% - Accent6 76 21 3" xfId="24588" xr:uid="{00000000-0005-0000-0000-000012600000}"/>
    <cellStyle name="40% - Accent6 76 22" xfId="24589" xr:uid="{00000000-0005-0000-0000-000013600000}"/>
    <cellStyle name="40% - Accent6 76 22 2" xfId="24590" xr:uid="{00000000-0005-0000-0000-000014600000}"/>
    <cellStyle name="40% - Accent6 76 22 2 2" xfId="24591" xr:uid="{00000000-0005-0000-0000-000015600000}"/>
    <cellStyle name="40% - Accent6 76 22 3" xfId="24592" xr:uid="{00000000-0005-0000-0000-000016600000}"/>
    <cellStyle name="40% - Accent6 76 23" xfId="24593" xr:uid="{00000000-0005-0000-0000-000017600000}"/>
    <cellStyle name="40% - Accent6 76 23 2" xfId="24594" xr:uid="{00000000-0005-0000-0000-000018600000}"/>
    <cellStyle name="40% - Accent6 76 23 2 2" xfId="24595" xr:uid="{00000000-0005-0000-0000-000019600000}"/>
    <cellStyle name="40% - Accent6 76 23 3" xfId="24596" xr:uid="{00000000-0005-0000-0000-00001A600000}"/>
    <cellStyle name="40% - Accent6 76 24" xfId="24597" xr:uid="{00000000-0005-0000-0000-00001B600000}"/>
    <cellStyle name="40% - Accent6 76 24 2" xfId="24598" xr:uid="{00000000-0005-0000-0000-00001C600000}"/>
    <cellStyle name="40% - Accent6 76 24 2 2" xfId="24599" xr:uid="{00000000-0005-0000-0000-00001D600000}"/>
    <cellStyle name="40% - Accent6 76 24 3" xfId="24600" xr:uid="{00000000-0005-0000-0000-00001E600000}"/>
    <cellStyle name="40% - Accent6 76 25" xfId="24601" xr:uid="{00000000-0005-0000-0000-00001F600000}"/>
    <cellStyle name="40% - Accent6 76 25 2" xfId="24602" xr:uid="{00000000-0005-0000-0000-000020600000}"/>
    <cellStyle name="40% - Accent6 76 25 2 2" xfId="24603" xr:uid="{00000000-0005-0000-0000-000021600000}"/>
    <cellStyle name="40% - Accent6 76 25 3" xfId="24604" xr:uid="{00000000-0005-0000-0000-000022600000}"/>
    <cellStyle name="40% - Accent6 76 26" xfId="24605" xr:uid="{00000000-0005-0000-0000-000023600000}"/>
    <cellStyle name="40% - Accent6 76 26 2" xfId="24606" xr:uid="{00000000-0005-0000-0000-000024600000}"/>
    <cellStyle name="40% - Accent6 76 26 2 2" xfId="24607" xr:uid="{00000000-0005-0000-0000-000025600000}"/>
    <cellStyle name="40% - Accent6 76 26 3" xfId="24608" xr:uid="{00000000-0005-0000-0000-000026600000}"/>
    <cellStyle name="40% - Accent6 76 27" xfId="24609" xr:uid="{00000000-0005-0000-0000-000027600000}"/>
    <cellStyle name="40% - Accent6 76 27 2" xfId="24610" xr:uid="{00000000-0005-0000-0000-000028600000}"/>
    <cellStyle name="40% - Accent6 76 27 2 2" xfId="24611" xr:uid="{00000000-0005-0000-0000-000029600000}"/>
    <cellStyle name="40% - Accent6 76 27 3" xfId="24612" xr:uid="{00000000-0005-0000-0000-00002A600000}"/>
    <cellStyle name="40% - Accent6 76 28" xfId="24613" xr:uid="{00000000-0005-0000-0000-00002B600000}"/>
    <cellStyle name="40% - Accent6 76 28 2" xfId="24614" xr:uid="{00000000-0005-0000-0000-00002C600000}"/>
    <cellStyle name="40% - Accent6 76 28 2 2" xfId="24615" xr:uid="{00000000-0005-0000-0000-00002D600000}"/>
    <cellStyle name="40% - Accent6 76 28 3" xfId="24616" xr:uid="{00000000-0005-0000-0000-00002E600000}"/>
    <cellStyle name="40% - Accent6 76 29" xfId="24617" xr:uid="{00000000-0005-0000-0000-00002F600000}"/>
    <cellStyle name="40% - Accent6 76 29 2" xfId="24618" xr:uid="{00000000-0005-0000-0000-000030600000}"/>
    <cellStyle name="40% - Accent6 76 29 2 2" xfId="24619" xr:uid="{00000000-0005-0000-0000-000031600000}"/>
    <cellStyle name="40% - Accent6 76 29 3" xfId="24620" xr:uid="{00000000-0005-0000-0000-000032600000}"/>
    <cellStyle name="40% - Accent6 76 3" xfId="24621" xr:uid="{00000000-0005-0000-0000-000033600000}"/>
    <cellStyle name="40% - Accent6 76 3 2" xfId="24622" xr:uid="{00000000-0005-0000-0000-000034600000}"/>
    <cellStyle name="40% - Accent6 76 3 2 2" xfId="24623" xr:uid="{00000000-0005-0000-0000-000035600000}"/>
    <cellStyle name="40% - Accent6 76 3 3" xfId="24624" xr:uid="{00000000-0005-0000-0000-000036600000}"/>
    <cellStyle name="40% - Accent6 76 30" xfId="24625" xr:uid="{00000000-0005-0000-0000-000037600000}"/>
    <cellStyle name="40% - Accent6 76 30 2" xfId="24626" xr:uid="{00000000-0005-0000-0000-000038600000}"/>
    <cellStyle name="40% - Accent6 76 30 2 2" xfId="24627" xr:uid="{00000000-0005-0000-0000-000039600000}"/>
    <cellStyle name="40% - Accent6 76 30 3" xfId="24628" xr:uid="{00000000-0005-0000-0000-00003A600000}"/>
    <cellStyle name="40% - Accent6 76 31" xfId="24629" xr:uid="{00000000-0005-0000-0000-00003B600000}"/>
    <cellStyle name="40% - Accent6 76 31 2" xfId="24630" xr:uid="{00000000-0005-0000-0000-00003C600000}"/>
    <cellStyle name="40% - Accent6 76 31 2 2" xfId="24631" xr:uid="{00000000-0005-0000-0000-00003D600000}"/>
    <cellStyle name="40% - Accent6 76 31 3" xfId="24632" xr:uid="{00000000-0005-0000-0000-00003E600000}"/>
    <cellStyle name="40% - Accent6 76 32" xfId="24633" xr:uid="{00000000-0005-0000-0000-00003F600000}"/>
    <cellStyle name="40% - Accent6 76 32 2" xfId="24634" xr:uid="{00000000-0005-0000-0000-000040600000}"/>
    <cellStyle name="40% - Accent6 76 32 2 2" xfId="24635" xr:uid="{00000000-0005-0000-0000-000041600000}"/>
    <cellStyle name="40% - Accent6 76 32 3" xfId="24636" xr:uid="{00000000-0005-0000-0000-000042600000}"/>
    <cellStyle name="40% - Accent6 76 33" xfId="24637" xr:uid="{00000000-0005-0000-0000-000043600000}"/>
    <cellStyle name="40% - Accent6 76 33 2" xfId="24638" xr:uid="{00000000-0005-0000-0000-000044600000}"/>
    <cellStyle name="40% - Accent6 76 33 2 2" xfId="24639" xr:uid="{00000000-0005-0000-0000-000045600000}"/>
    <cellStyle name="40% - Accent6 76 33 3" xfId="24640" xr:uid="{00000000-0005-0000-0000-000046600000}"/>
    <cellStyle name="40% - Accent6 76 34" xfId="24641" xr:uid="{00000000-0005-0000-0000-000047600000}"/>
    <cellStyle name="40% - Accent6 76 34 2" xfId="24642" xr:uid="{00000000-0005-0000-0000-000048600000}"/>
    <cellStyle name="40% - Accent6 76 34 2 2" xfId="24643" xr:uid="{00000000-0005-0000-0000-000049600000}"/>
    <cellStyle name="40% - Accent6 76 34 3" xfId="24644" xr:uid="{00000000-0005-0000-0000-00004A600000}"/>
    <cellStyle name="40% - Accent6 76 35" xfId="24645" xr:uid="{00000000-0005-0000-0000-00004B600000}"/>
    <cellStyle name="40% - Accent6 76 35 2" xfId="24646" xr:uid="{00000000-0005-0000-0000-00004C600000}"/>
    <cellStyle name="40% - Accent6 76 35 2 2" xfId="24647" xr:uid="{00000000-0005-0000-0000-00004D600000}"/>
    <cellStyle name="40% - Accent6 76 35 3" xfId="24648" xr:uid="{00000000-0005-0000-0000-00004E600000}"/>
    <cellStyle name="40% - Accent6 76 36" xfId="24649" xr:uid="{00000000-0005-0000-0000-00004F600000}"/>
    <cellStyle name="40% - Accent6 76 36 2" xfId="24650" xr:uid="{00000000-0005-0000-0000-000050600000}"/>
    <cellStyle name="40% - Accent6 76 36 2 2" xfId="24651" xr:uid="{00000000-0005-0000-0000-000051600000}"/>
    <cellStyle name="40% - Accent6 76 36 3" xfId="24652" xr:uid="{00000000-0005-0000-0000-000052600000}"/>
    <cellStyle name="40% - Accent6 76 4" xfId="24653" xr:uid="{00000000-0005-0000-0000-000053600000}"/>
    <cellStyle name="40% - Accent6 76 4 2" xfId="24654" xr:uid="{00000000-0005-0000-0000-000054600000}"/>
    <cellStyle name="40% - Accent6 76 4 2 2" xfId="24655" xr:uid="{00000000-0005-0000-0000-000055600000}"/>
    <cellStyle name="40% - Accent6 76 4 3" xfId="24656" xr:uid="{00000000-0005-0000-0000-000056600000}"/>
    <cellStyle name="40% - Accent6 76 5" xfId="24657" xr:uid="{00000000-0005-0000-0000-000057600000}"/>
    <cellStyle name="40% - Accent6 76 5 2" xfId="24658" xr:uid="{00000000-0005-0000-0000-000058600000}"/>
    <cellStyle name="40% - Accent6 76 5 2 2" xfId="24659" xr:uid="{00000000-0005-0000-0000-000059600000}"/>
    <cellStyle name="40% - Accent6 76 5 3" xfId="24660" xr:uid="{00000000-0005-0000-0000-00005A600000}"/>
    <cellStyle name="40% - Accent6 76 6" xfId="24661" xr:uid="{00000000-0005-0000-0000-00005B600000}"/>
    <cellStyle name="40% - Accent6 76 6 2" xfId="24662" xr:uid="{00000000-0005-0000-0000-00005C600000}"/>
    <cellStyle name="40% - Accent6 76 6 2 2" xfId="24663" xr:uid="{00000000-0005-0000-0000-00005D600000}"/>
    <cellStyle name="40% - Accent6 76 6 3" xfId="24664" xr:uid="{00000000-0005-0000-0000-00005E600000}"/>
    <cellStyle name="40% - Accent6 76 7" xfId="24665" xr:uid="{00000000-0005-0000-0000-00005F600000}"/>
    <cellStyle name="40% - Accent6 76 7 2" xfId="24666" xr:uid="{00000000-0005-0000-0000-000060600000}"/>
    <cellStyle name="40% - Accent6 76 7 2 2" xfId="24667" xr:uid="{00000000-0005-0000-0000-000061600000}"/>
    <cellStyle name="40% - Accent6 76 7 3" xfId="24668" xr:uid="{00000000-0005-0000-0000-000062600000}"/>
    <cellStyle name="40% - Accent6 76 8" xfId="24669" xr:uid="{00000000-0005-0000-0000-000063600000}"/>
    <cellStyle name="40% - Accent6 76 8 2" xfId="24670" xr:uid="{00000000-0005-0000-0000-000064600000}"/>
    <cellStyle name="40% - Accent6 76 8 2 2" xfId="24671" xr:uid="{00000000-0005-0000-0000-000065600000}"/>
    <cellStyle name="40% - Accent6 76 8 3" xfId="24672" xr:uid="{00000000-0005-0000-0000-000066600000}"/>
    <cellStyle name="40% - Accent6 76 9" xfId="24673" xr:uid="{00000000-0005-0000-0000-000067600000}"/>
    <cellStyle name="40% - Accent6 76 9 2" xfId="24674" xr:uid="{00000000-0005-0000-0000-000068600000}"/>
    <cellStyle name="40% - Accent6 76 9 2 2" xfId="24675" xr:uid="{00000000-0005-0000-0000-000069600000}"/>
    <cellStyle name="40% - Accent6 76 9 3" xfId="24676" xr:uid="{00000000-0005-0000-0000-00006A600000}"/>
    <cellStyle name="40% - Accent6 77" xfId="24677" xr:uid="{00000000-0005-0000-0000-00006B600000}"/>
    <cellStyle name="40% - Accent6 77 10" xfId="24678" xr:uid="{00000000-0005-0000-0000-00006C600000}"/>
    <cellStyle name="40% - Accent6 77 10 2" xfId="24679" xr:uid="{00000000-0005-0000-0000-00006D600000}"/>
    <cellStyle name="40% - Accent6 77 10 2 2" xfId="24680" xr:uid="{00000000-0005-0000-0000-00006E600000}"/>
    <cellStyle name="40% - Accent6 77 10 3" xfId="24681" xr:uid="{00000000-0005-0000-0000-00006F600000}"/>
    <cellStyle name="40% - Accent6 77 11" xfId="24682" xr:uid="{00000000-0005-0000-0000-000070600000}"/>
    <cellStyle name="40% - Accent6 77 11 2" xfId="24683" xr:uid="{00000000-0005-0000-0000-000071600000}"/>
    <cellStyle name="40% - Accent6 77 11 2 2" xfId="24684" xr:uid="{00000000-0005-0000-0000-000072600000}"/>
    <cellStyle name="40% - Accent6 77 11 3" xfId="24685" xr:uid="{00000000-0005-0000-0000-000073600000}"/>
    <cellStyle name="40% - Accent6 77 12" xfId="24686" xr:uid="{00000000-0005-0000-0000-000074600000}"/>
    <cellStyle name="40% - Accent6 77 12 2" xfId="24687" xr:uid="{00000000-0005-0000-0000-000075600000}"/>
    <cellStyle name="40% - Accent6 77 12 2 2" xfId="24688" xr:uid="{00000000-0005-0000-0000-000076600000}"/>
    <cellStyle name="40% - Accent6 77 12 3" xfId="24689" xr:uid="{00000000-0005-0000-0000-000077600000}"/>
    <cellStyle name="40% - Accent6 77 13" xfId="24690" xr:uid="{00000000-0005-0000-0000-000078600000}"/>
    <cellStyle name="40% - Accent6 77 13 2" xfId="24691" xr:uid="{00000000-0005-0000-0000-000079600000}"/>
    <cellStyle name="40% - Accent6 77 13 2 2" xfId="24692" xr:uid="{00000000-0005-0000-0000-00007A600000}"/>
    <cellStyle name="40% - Accent6 77 13 3" xfId="24693" xr:uid="{00000000-0005-0000-0000-00007B600000}"/>
    <cellStyle name="40% - Accent6 77 14" xfId="24694" xr:uid="{00000000-0005-0000-0000-00007C600000}"/>
    <cellStyle name="40% - Accent6 77 14 2" xfId="24695" xr:uid="{00000000-0005-0000-0000-00007D600000}"/>
    <cellStyle name="40% - Accent6 77 14 2 2" xfId="24696" xr:uid="{00000000-0005-0000-0000-00007E600000}"/>
    <cellStyle name="40% - Accent6 77 14 3" xfId="24697" xr:uid="{00000000-0005-0000-0000-00007F600000}"/>
    <cellStyle name="40% - Accent6 77 15" xfId="24698" xr:uid="{00000000-0005-0000-0000-000080600000}"/>
    <cellStyle name="40% - Accent6 77 15 2" xfId="24699" xr:uid="{00000000-0005-0000-0000-000081600000}"/>
    <cellStyle name="40% - Accent6 77 15 2 2" xfId="24700" xr:uid="{00000000-0005-0000-0000-000082600000}"/>
    <cellStyle name="40% - Accent6 77 15 3" xfId="24701" xr:uid="{00000000-0005-0000-0000-000083600000}"/>
    <cellStyle name="40% - Accent6 77 16" xfId="24702" xr:uid="{00000000-0005-0000-0000-000084600000}"/>
    <cellStyle name="40% - Accent6 77 16 2" xfId="24703" xr:uid="{00000000-0005-0000-0000-000085600000}"/>
    <cellStyle name="40% - Accent6 77 16 2 2" xfId="24704" xr:uid="{00000000-0005-0000-0000-000086600000}"/>
    <cellStyle name="40% - Accent6 77 16 3" xfId="24705" xr:uid="{00000000-0005-0000-0000-000087600000}"/>
    <cellStyle name="40% - Accent6 77 17" xfId="24706" xr:uid="{00000000-0005-0000-0000-000088600000}"/>
    <cellStyle name="40% - Accent6 77 17 2" xfId="24707" xr:uid="{00000000-0005-0000-0000-000089600000}"/>
    <cellStyle name="40% - Accent6 77 17 2 2" xfId="24708" xr:uid="{00000000-0005-0000-0000-00008A600000}"/>
    <cellStyle name="40% - Accent6 77 17 3" xfId="24709" xr:uid="{00000000-0005-0000-0000-00008B600000}"/>
    <cellStyle name="40% - Accent6 77 18" xfId="24710" xr:uid="{00000000-0005-0000-0000-00008C600000}"/>
    <cellStyle name="40% - Accent6 77 18 2" xfId="24711" xr:uid="{00000000-0005-0000-0000-00008D600000}"/>
    <cellStyle name="40% - Accent6 77 18 2 2" xfId="24712" xr:uid="{00000000-0005-0000-0000-00008E600000}"/>
    <cellStyle name="40% - Accent6 77 18 3" xfId="24713" xr:uid="{00000000-0005-0000-0000-00008F600000}"/>
    <cellStyle name="40% - Accent6 77 19" xfId="24714" xr:uid="{00000000-0005-0000-0000-000090600000}"/>
    <cellStyle name="40% - Accent6 77 19 2" xfId="24715" xr:uid="{00000000-0005-0000-0000-000091600000}"/>
    <cellStyle name="40% - Accent6 77 19 2 2" xfId="24716" xr:uid="{00000000-0005-0000-0000-000092600000}"/>
    <cellStyle name="40% - Accent6 77 19 3" xfId="24717" xr:uid="{00000000-0005-0000-0000-000093600000}"/>
    <cellStyle name="40% - Accent6 77 2" xfId="24718" xr:uid="{00000000-0005-0000-0000-000094600000}"/>
    <cellStyle name="40% - Accent6 77 2 2" xfId="24719" xr:uid="{00000000-0005-0000-0000-000095600000}"/>
    <cellStyle name="40% - Accent6 77 2 2 2" xfId="24720" xr:uid="{00000000-0005-0000-0000-000096600000}"/>
    <cellStyle name="40% - Accent6 77 2 3" xfId="24721" xr:uid="{00000000-0005-0000-0000-000097600000}"/>
    <cellStyle name="40% - Accent6 77 20" xfId="24722" xr:uid="{00000000-0005-0000-0000-000098600000}"/>
    <cellStyle name="40% - Accent6 77 20 2" xfId="24723" xr:uid="{00000000-0005-0000-0000-000099600000}"/>
    <cellStyle name="40% - Accent6 77 20 2 2" xfId="24724" xr:uid="{00000000-0005-0000-0000-00009A600000}"/>
    <cellStyle name="40% - Accent6 77 20 3" xfId="24725" xr:uid="{00000000-0005-0000-0000-00009B600000}"/>
    <cellStyle name="40% - Accent6 77 21" xfId="24726" xr:uid="{00000000-0005-0000-0000-00009C600000}"/>
    <cellStyle name="40% - Accent6 77 21 2" xfId="24727" xr:uid="{00000000-0005-0000-0000-00009D600000}"/>
    <cellStyle name="40% - Accent6 77 21 2 2" xfId="24728" xr:uid="{00000000-0005-0000-0000-00009E600000}"/>
    <cellStyle name="40% - Accent6 77 21 3" xfId="24729" xr:uid="{00000000-0005-0000-0000-00009F600000}"/>
    <cellStyle name="40% - Accent6 77 22" xfId="24730" xr:uid="{00000000-0005-0000-0000-0000A0600000}"/>
    <cellStyle name="40% - Accent6 77 22 2" xfId="24731" xr:uid="{00000000-0005-0000-0000-0000A1600000}"/>
    <cellStyle name="40% - Accent6 77 22 2 2" xfId="24732" xr:uid="{00000000-0005-0000-0000-0000A2600000}"/>
    <cellStyle name="40% - Accent6 77 22 3" xfId="24733" xr:uid="{00000000-0005-0000-0000-0000A3600000}"/>
    <cellStyle name="40% - Accent6 77 23" xfId="24734" xr:uid="{00000000-0005-0000-0000-0000A4600000}"/>
    <cellStyle name="40% - Accent6 77 23 2" xfId="24735" xr:uid="{00000000-0005-0000-0000-0000A5600000}"/>
    <cellStyle name="40% - Accent6 77 23 2 2" xfId="24736" xr:uid="{00000000-0005-0000-0000-0000A6600000}"/>
    <cellStyle name="40% - Accent6 77 23 3" xfId="24737" xr:uid="{00000000-0005-0000-0000-0000A7600000}"/>
    <cellStyle name="40% - Accent6 77 24" xfId="24738" xr:uid="{00000000-0005-0000-0000-0000A8600000}"/>
    <cellStyle name="40% - Accent6 77 24 2" xfId="24739" xr:uid="{00000000-0005-0000-0000-0000A9600000}"/>
    <cellStyle name="40% - Accent6 77 24 2 2" xfId="24740" xr:uid="{00000000-0005-0000-0000-0000AA600000}"/>
    <cellStyle name="40% - Accent6 77 24 3" xfId="24741" xr:uid="{00000000-0005-0000-0000-0000AB600000}"/>
    <cellStyle name="40% - Accent6 77 25" xfId="24742" xr:uid="{00000000-0005-0000-0000-0000AC600000}"/>
    <cellStyle name="40% - Accent6 77 25 2" xfId="24743" xr:uid="{00000000-0005-0000-0000-0000AD600000}"/>
    <cellStyle name="40% - Accent6 77 25 2 2" xfId="24744" xr:uid="{00000000-0005-0000-0000-0000AE600000}"/>
    <cellStyle name="40% - Accent6 77 25 3" xfId="24745" xr:uid="{00000000-0005-0000-0000-0000AF600000}"/>
    <cellStyle name="40% - Accent6 77 26" xfId="24746" xr:uid="{00000000-0005-0000-0000-0000B0600000}"/>
    <cellStyle name="40% - Accent6 77 26 2" xfId="24747" xr:uid="{00000000-0005-0000-0000-0000B1600000}"/>
    <cellStyle name="40% - Accent6 77 26 2 2" xfId="24748" xr:uid="{00000000-0005-0000-0000-0000B2600000}"/>
    <cellStyle name="40% - Accent6 77 26 3" xfId="24749" xr:uid="{00000000-0005-0000-0000-0000B3600000}"/>
    <cellStyle name="40% - Accent6 77 27" xfId="24750" xr:uid="{00000000-0005-0000-0000-0000B4600000}"/>
    <cellStyle name="40% - Accent6 77 27 2" xfId="24751" xr:uid="{00000000-0005-0000-0000-0000B5600000}"/>
    <cellStyle name="40% - Accent6 77 27 2 2" xfId="24752" xr:uid="{00000000-0005-0000-0000-0000B6600000}"/>
    <cellStyle name="40% - Accent6 77 27 3" xfId="24753" xr:uid="{00000000-0005-0000-0000-0000B7600000}"/>
    <cellStyle name="40% - Accent6 77 28" xfId="24754" xr:uid="{00000000-0005-0000-0000-0000B8600000}"/>
    <cellStyle name="40% - Accent6 77 28 2" xfId="24755" xr:uid="{00000000-0005-0000-0000-0000B9600000}"/>
    <cellStyle name="40% - Accent6 77 28 2 2" xfId="24756" xr:uid="{00000000-0005-0000-0000-0000BA600000}"/>
    <cellStyle name="40% - Accent6 77 28 3" xfId="24757" xr:uid="{00000000-0005-0000-0000-0000BB600000}"/>
    <cellStyle name="40% - Accent6 77 29" xfId="24758" xr:uid="{00000000-0005-0000-0000-0000BC600000}"/>
    <cellStyle name="40% - Accent6 77 29 2" xfId="24759" xr:uid="{00000000-0005-0000-0000-0000BD600000}"/>
    <cellStyle name="40% - Accent6 77 29 2 2" xfId="24760" xr:uid="{00000000-0005-0000-0000-0000BE600000}"/>
    <cellStyle name="40% - Accent6 77 29 3" xfId="24761" xr:uid="{00000000-0005-0000-0000-0000BF600000}"/>
    <cellStyle name="40% - Accent6 77 3" xfId="24762" xr:uid="{00000000-0005-0000-0000-0000C0600000}"/>
    <cellStyle name="40% - Accent6 77 3 2" xfId="24763" xr:uid="{00000000-0005-0000-0000-0000C1600000}"/>
    <cellStyle name="40% - Accent6 77 3 2 2" xfId="24764" xr:uid="{00000000-0005-0000-0000-0000C2600000}"/>
    <cellStyle name="40% - Accent6 77 3 3" xfId="24765" xr:uid="{00000000-0005-0000-0000-0000C3600000}"/>
    <cellStyle name="40% - Accent6 77 30" xfId="24766" xr:uid="{00000000-0005-0000-0000-0000C4600000}"/>
    <cellStyle name="40% - Accent6 77 30 2" xfId="24767" xr:uid="{00000000-0005-0000-0000-0000C5600000}"/>
    <cellStyle name="40% - Accent6 77 30 2 2" xfId="24768" xr:uid="{00000000-0005-0000-0000-0000C6600000}"/>
    <cellStyle name="40% - Accent6 77 30 3" xfId="24769" xr:uid="{00000000-0005-0000-0000-0000C7600000}"/>
    <cellStyle name="40% - Accent6 77 31" xfId="24770" xr:uid="{00000000-0005-0000-0000-0000C8600000}"/>
    <cellStyle name="40% - Accent6 77 31 2" xfId="24771" xr:uid="{00000000-0005-0000-0000-0000C9600000}"/>
    <cellStyle name="40% - Accent6 77 31 2 2" xfId="24772" xr:uid="{00000000-0005-0000-0000-0000CA600000}"/>
    <cellStyle name="40% - Accent6 77 31 3" xfId="24773" xr:uid="{00000000-0005-0000-0000-0000CB600000}"/>
    <cellStyle name="40% - Accent6 77 32" xfId="24774" xr:uid="{00000000-0005-0000-0000-0000CC600000}"/>
    <cellStyle name="40% - Accent6 77 32 2" xfId="24775" xr:uid="{00000000-0005-0000-0000-0000CD600000}"/>
    <cellStyle name="40% - Accent6 77 32 2 2" xfId="24776" xr:uid="{00000000-0005-0000-0000-0000CE600000}"/>
    <cellStyle name="40% - Accent6 77 32 3" xfId="24777" xr:uid="{00000000-0005-0000-0000-0000CF600000}"/>
    <cellStyle name="40% - Accent6 77 33" xfId="24778" xr:uid="{00000000-0005-0000-0000-0000D0600000}"/>
    <cellStyle name="40% - Accent6 77 33 2" xfId="24779" xr:uid="{00000000-0005-0000-0000-0000D1600000}"/>
    <cellStyle name="40% - Accent6 77 33 2 2" xfId="24780" xr:uid="{00000000-0005-0000-0000-0000D2600000}"/>
    <cellStyle name="40% - Accent6 77 33 3" xfId="24781" xr:uid="{00000000-0005-0000-0000-0000D3600000}"/>
    <cellStyle name="40% - Accent6 77 34" xfId="24782" xr:uid="{00000000-0005-0000-0000-0000D4600000}"/>
    <cellStyle name="40% - Accent6 77 34 2" xfId="24783" xr:uid="{00000000-0005-0000-0000-0000D5600000}"/>
    <cellStyle name="40% - Accent6 77 34 2 2" xfId="24784" xr:uid="{00000000-0005-0000-0000-0000D6600000}"/>
    <cellStyle name="40% - Accent6 77 34 3" xfId="24785" xr:uid="{00000000-0005-0000-0000-0000D7600000}"/>
    <cellStyle name="40% - Accent6 77 35" xfId="24786" xr:uid="{00000000-0005-0000-0000-0000D8600000}"/>
    <cellStyle name="40% - Accent6 77 35 2" xfId="24787" xr:uid="{00000000-0005-0000-0000-0000D9600000}"/>
    <cellStyle name="40% - Accent6 77 35 2 2" xfId="24788" xr:uid="{00000000-0005-0000-0000-0000DA600000}"/>
    <cellStyle name="40% - Accent6 77 35 3" xfId="24789" xr:uid="{00000000-0005-0000-0000-0000DB600000}"/>
    <cellStyle name="40% - Accent6 77 36" xfId="24790" xr:uid="{00000000-0005-0000-0000-0000DC600000}"/>
    <cellStyle name="40% - Accent6 77 36 2" xfId="24791" xr:uid="{00000000-0005-0000-0000-0000DD600000}"/>
    <cellStyle name="40% - Accent6 77 36 2 2" xfId="24792" xr:uid="{00000000-0005-0000-0000-0000DE600000}"/>
    <cellStyle name="40% - Accent6 77 36 3" xfId="24793" xr:uid="{00000000-0005-0000-0000-0000DF600000}"/>
    <cellStyle name="40% - Accent6 77 4" xfId="24794" xr:uid="{00000000-0005-0000-0000-0000E0600000}"/>
    <cellStyle name="40% - Accent6 77 4 2" xfId="24795" xr:uid="{00000000-0005-0000-0000-0000E1600000}"/>
    <cellStyle name="40% - Accent6 77 4 2 2" xfId="24796" xr:uid="{00000000-0005-0000-0000-0000E2600000}"/>
    <cellStyle name="40% - Accent6 77 4 3" xfId="24797" xr:uid="{00000000-0005-0000-0000-0000E3600000}"/>
    <cellStyle name="40% - Accent6 77 5" xfId="24798" xr:uid="{00000000-0005-0000-0000-0000E4600000}"/>
    <cellStyle name="40% - Accent6 77 5 2" xfId="24799" xr:uid="{00000000-0005-0000-0000-0000E5600000}"/>
    <cellStyle name="40% - Accent6 77 5 2 2" xfId="24800" xr:uid="{00000000-0005-0000-0000-0000E6600000}"/>
    <cellStyle name="40% - Accent6 77 5 3" xfId="24801" xr:uid="{00000000-0005-0000-0000-0000E7600000}"/>
    <cellStyle name="40% - Accent6 77 6" xfId="24802" xr:uid="{00000000-0005-0000-0000-0000E8600000}"/>
    <cellStyle name="40% - Accent6 77 6 2" xfId="24803" xr:uid="{00000000-0005-0000-0000-0000E9600000}"/>
    <cellStyle name="40% - Accent6 77 6 2 2" xfId="24804" xr:uid="{00000000-0005-0000-0000-0000EA600000}"/>
    <cellStyle name="40% - Accent6 77 6 3" xfId="24805" xr:uid="{00000000-0005-0000-0000-0000EB600000}"/>
    <cellStyle name="40% - Accent6 77 7" xfId="24806" xr:uid="{00000000-0005-0000-0000-0000EC600000}"/>
    <cellStyle name="40% - Accent6 77 7 2" xfId="24807" xr:uid="{00000000-0005-0000-0000-0000ED600000}"/>
    <cellStyle name="40% - Accent6 77 7 2 2" xfId="24808" xr:uid="{00000000-0005-0000-0000-0000EE600000}"/>
    <cellStyle name="40% - Accent6 77 7 3" xfId="24809" xr:uid="{00000000-0005-0000-0000-0000EF600000}"/>
    <cellStyle name="40% - Accent6 77 8" xfId="24810" xr:uid="{00000000-0005-0000-0000-0000F0600000}"/>
    <cellStyle name="40% - Accent6 77 8 2" xfId="24811" xr:uid="{00000000-0005-0000-0000-0000F1600000}"/>
    <cellStyle name="40% - Accent6 77 8 2 2" xfId="24812" xr:uid="{00000000-0005-0000-0000-0000F2600000}"/>
    <cellStyle name="40% - Accent6 77 8 3" xfId="24813" xr:uid="{00000000-0005-0000-0000-0000F3600000}"/>
    <cellStyle name="40% - Accent6 77 9" xfId="24814" xr:uid="{00000000-0005-0000-0000-0000F4600000}"/>
    <cellStyle name="40% - Accent6 77 9 2" xfId="24815" xr:uid="{00000000-0005-0000-0000-0000F5600000}"/>
    <cellStyle name="40% - Accent6 77 9 2 2" xfId="24816" xr:uid="{00000000-0005-0000-0000-0000F6600000}"/>
    <cellStyle name="40% - Accent6 77 9 3" xfId="24817" xr:uid="{00000000-0005-0000-0000-0000F7600000}"/>
    <cellStyle name="40% - Accent6 78" xfId="24818" xr:uid="{00000000-0005-0000-0000-0000F8600000}"/>
    <cellStyle name="40% - Accent6 78 2" xfId="24819" xr:uid="{00000000-0005-0000-0000-0000F9600000}"/>
    <cellStyle name="40% - Accent6 79" xfId="24820" xr:uid="{00000000-0005-0000-0000-0000FA600000}"/>
    <cellStyle name="40% - Accent6 79 10" xfId="24821" xr:uid="{00000000-0005-0000-0000-0000FB600000}"/>
    <cellStyle name="40% - Accent6 79 10 2" xfId="24822" xr:uid="{00000000-0005-0000-0000-0000FC600000}"/>
    <cellStyle name="40% - Accent6 79 10 2 2" xfId="24823" xr:uid="{00000000-0005-0000-0000-0000FD600000}"/>
    <cellStyle name="40% - Accent6 79 10 3" xfId="24824" xr:uid="{00000000-0005-0000-0000-0000FE600000}"/>
    <cellStyle name="40% - Accent6 79 11" xfId="24825" xr:uid="{00000000-0005-0000-0000-0000FF600000}"/>
    <cellStyle name="40% - Accent6 79 11 2" xfId="24826" xr:uid="{00000000-0005-0000-0000-000000610000}"/>
    <cellStyle name="40% - Accent6 79 11 2 2" xfId="24827" xr:uid="{00000000-0005-0000-0000-000001610000}"/>
    <cellStyle name="40% - Accent6 79 11 3" xfId="24828" xr:uid="{00000000-0005-0000-0000-000002610000}"/>
    <cellStyle name="40% - Accent6 79 12" xfId="24829" xr:uid="{00000000-0005-0000-0000-000003610000}"/>
    <cellStyle name="40% - Accent6 79 12 2" xfId="24830" xr:uid="{00000000-0005-0000-0000-000004610000}"/>
    <cellStyle name="40% - Accent6 79 12 2 2" xfId="24831" xr:uid="{00000000-0005-0000-0000-000005610000}"/>
    <cellStyle name="40% - Accent6 79 12 3" xfId="24832" xr:uid="{00000000-0005-0000-0000-000006610000}"/>
    <cellStyle name="40% - Accent6 79 13" xfId="24833" xr:uid="{00000000-0005-0000-0000-000007610000}"/>
    <cellStyle name="40% - Accent6 79 13 2" xfId="24834" xr:uid="{00000000-0005-0000-0000-000008610000}"/>
    <cellStyle name="40% - Accent6 79 13 2 2" xfId="24835" xr:uid="{00000000-0005-0000-0000-000009610000}"/>
    <cellStyle name="40% - Accent6 79 13 3" xfId="24836" xr:uid="{00000000-0005-0000-0000-00000A610000}"/>
    <cellStyle name="40% - Accent6 79 14" xfId="24837" xr:uid="{00000000-0005-0000-0000-00000B610000}"/>
    <cellStyle name="40% - Accent6 79 14 2" xfId="24838" xr:uid="{00000000-0005-0000-0000-00000C610000}"/>
    <cellStyle name="40% - Accent6 79 14 2 2" xfId="24839" xr:uid="{00000000-0005-0000-0000-00000D610000}"/>
    <cellStyle name="40% - Accent6 79 14 3" xfId="24840" xr:uid="{00000000-0005-0000-0000-00000E610000}"/>
    <cellStyle name="40% - Accent6 79 15" xfId="24841" xr:uid="{00000000-0005-0000-0000-00000F610000}"/>
    <cellStyle name="40% - Accent6 79 15 2" xfId="24842" xr:uid="{00000000-0005-0000-0000-000010610000}"/>
    <cellStyle name="40% - Accent6 79 15 2 2" xfId="24843" xr:uid="{00000000-0005-0000-0000-000011610000}"/>
    <cellStyle name="40% - Accent6 79 15 3" xfId="24844" xr:uid="{00000000-0005-0000-0000-000012610000}"/>
    <cellStyle name="40% - Accent6 79 16" xfId="24845" xr:uid="{00000000-0005-0000-0000-000013610000}"/>
    <cellStyle name="40% - Accent6 79 16 2" xfId="24846" xr:uid="{00000000-0005-0000-0000-000014610000}"/>
    <cellStyle name="40% - Accent6 79 16 2 2" xfId="24847" xr:uid="{00000000-0005-0000-0000-000015610000}"/>
    <cellStyle name="40% - Accent6 79 16 3" xfId="24848" xr:uid="{00000000-0005-0000-0000-000016610000}"/>
    <cellStyle name="40% - Accent6 79 17" xfId="24849" xr:uid="{00000000-0005-0000-0000-000017610000}"/>
    <cellStyle name="40% - Accent6 79 17 2" xfId="24850" xr:uid="{00000000-0005-0000-0000-000018610000}"/>
    <cellStyle name="40% - Accent6 79 17 2 2" xfId="24851" xr:uid="{00000000-0005-0000-0000-000019610000}"/>
    <cellStyle name="40% - Accent6 79 17 3" xfId="24852" xr:uid="{00000000-0005-0000-0000-00001A610000}"/>
    <cellStyle name="40% - Accent6 79 18" xfId="24853" xr:uid="{00000000-0005-0000-0000-00001B610000}"/>
    <cellStyle name="40% - Accent6 79 18 2" xfId="24854" xr:uid="{00000000-0005-0000-0000-00001C610000}"/>
    <cellStyle name="40% - Accent6 79 18 2 2" xfId="24855" xr:uid="{00000000-0005-0000-0000-00001D610000}"/>
    <cellStyle name="40% - Accent6 79 18 3" xfId="24856" xr:uid="{00000000-0005-0000-0000-00001E610000}"/>
    <cellStyle name="40% - Accent6 79 19" xfId="24857" xr:uid="{00000000-0005-0000-0000-00001F610000}"/>
    <cellStyle name="40% - Accent6 79 19 2" xfId="24858" xr:uid="{00000000-0005-0000-0000-000020610000}"/>
    <cellStyle name="40% - Accent6 79 19 2 2" xfId="24859" xr:uid="{00000000-0005-0000-0000-000021610000}"/>
    <cellStyle name="40% - Accent6 79 19 3" xfId="24860" xr:uid="{00000000-0005-0000-0000-000022610000}"/>
    <cellStyle name="40% - Accent6 79 2" xfId="24861" xr:uid="{00000000-0005-0000-0000-000023610000}"/>
    <cellStyle name="40% - Accent6 79 2 2" xfId="24862" xr:uid="{00000000-0005-0000-0000-000024610000}"/>
    <cellStyle name="40% - Accent6 79 2 2 2" xfId="24863" xr:uid="{00000000-0005-0000-0000-000025610000}"/>
    <cellStyle name="40% - Accent6 79 2 3" xfId="24864" xr:uid="{00000000-0005-0000-0000-000026610000}"/>
    <cellStyle name="40% - Accent6 79 20" xfId="24865" xr:uid="{00000000-0005-0000-0000-000027610000}"/>
    <cellStyle name="40% - Accent6 79 20 2" xfId="24866" xr:uid="{00000000-0005-0000-0000-000028610000}"/>
    <cellStyle name="40% - Accent6 79 20 2 2" xfId="24867" xr:uid="{00000000-0005-0000-0000-000029610000}"/>
    <cellStyle name="40% - Accent6 79 20 3" xfId="24868" xr:uid="{00000000-0005-0000-0000-00002A610000}"/>
    <cellStyle name="40% - Accent6 79 21" xfId="24869" xr:uid="{00000000-0005-0000-0000-00002B610000}"/>
    <cellStyle name="40% - Accent6 79 21 2" xfId="24870" xr:uid="{00000000-0005-0000-0000-00002C610000}"/>
    <cellStyle name="40% - Accent6 79 21 2 2" xfId="24871" xr:uid="{00000000-0005-0000-0000-00002D610000}"/>
    <cellStyle name="40% - Accent6 79 21 3" xfId="24872" xr:uid="{00000000-0005-0000-0000-00002E610000}"/>
    <cellStyle name="40% - Accent6 79 22" xfId="24873" xr:uid="{00000000-0005-0000-0000-00002F610000}"/>
    <cellStyle name="40% - Accent6 79 22 2" xfId="24874" xr:uid="{00000000-0005-0000-0000-000030610000}"/>
    <cellStyle name="40% - Accent6 79 22 2 2" xfId="24875" xr:uid="{00000000-0005-0000-0000-000031610000}"/>
    <cellStyle name="40% - Accent6 79 22 3" xfId="24876" xr:uid="{00000000-0005-0000-0000-000032610000}"/>
    <cellStyle name="40% - Accent6 79 23" xfId="24877" xr:uid="{00000000-0005-0000-0000-000033610000}"/>
    <cellStyle name="40% - Accent6 79 23 2" xfId="24878" xr:uid="{00000000-0005-0000-0000-000034610000}"/>
    <cellStyle name="40% - Accent6 79 23 2 2" xfId="24879" xr:uid="{00000000-0005-0000-0000-000035610000}"/>
    <cellStyle name="40% - Accent6 79 23 3" xfId="24880" xr:uid="{00000000-0005-0000-0000-000036610000}"/>
    <cellStyle name="40% - Accent6 79 24" xfId="24881" xr:uid="{00000000-0005-0000-0000-000037610000}"/>
    <cellStyle name="40% - Accent6 79 24 2" xfId="24882" xr:uid="{00000000-0005-0000-0000-000038610000}"/>
    <cellStyle name="40% - Accent6 79 24 2 2" xfId="24883" xr:uid="{00000000-0005-0000-0000-000039610000}"/>
    <cellStyle name="40% - Accent6 79 24 3" xfId="24884" xr:uid="{00000000-0005-0000-0000-00003A610000}"/>
    <cellStyle name="40% - Accent6 79 25" xfId="24885" xr:uid="{00000000-0005-0000-0000-00003B610000}"/>
    <cellStyle name="40% - Accent6 79 25 2" xfId="24886" xr:uid="{00000000-0005-0000-0000-00003C610000}"/>
    <cellStyle name="40% - Accent6 79 25 2 2" xfId="24887" xr:uid="{00000000-0005-0000-0000-00003D610000}"/>
    <cellStyle name="40% - Accent6 79 25 3" xfId="24888" xr:uid="{00000000-0005-0000-0000-00003E610000}"/>
    <cellStyle name="40% - Accent6 79 26" xfId="24889" xr:uid="{00000000-0005-0000-0000-00003F610000}"/>
    <cellStyle name="40% - Accent6 79 26 2" xfId="24890" xr:uid="{00000000-0005-0000-0000-000040610000}"/>
    <cellStyle name="40% - Accent6 79 26 2 2" xfId="24891" xr:uid="{00000000-0005-0000-0000-000041610000}"/>
    <cellStyle name="40% - Accent6 79 26 3" xfId="24892" xr:uid="{00000000-0005-0000-0000-000042610000}"/>
    <cellStyle name="40% - Accent6 79 27" xfId="24893" xr:uid="{00000000-0005-0000-0000-000043610000}"/>
    <cellStyle name="40% - Accent6 79 27 2" xfId="24894" xr:uid="{00000000-0005-0000-0000-000044610000}"/>
    <cellStyle name="40% - Accent6 79 27 2 2" xfId="24895" xr:uid="{00000000-0005-0000-0000-000045610000}"/>
    <cellStyle name="40% - Accent6 79 27 3" xfId="24896" xr:uid="{00000000-0005-0000-0000-000046610000}"/>
    <cellStyle name="40% - Accent6 79 28" xfId="24897" xr:uid="{00000000-0005-0000-0000-000047610000}"/>
    <cellStyle name="40% - Accent6 79 28 2" xfId="24898" xr:uid="{00000000-0005-0000-0000-000048610000}"/>
    <cellStyle name="40% - Accent6 79 28 2 2" xfId="24899" xr:uid="{00000000-0005-0000-0000-000049610000}"/>
    <cellStyle name="40% - Accent6 79 28 3" xfId="24900" xr:uid="{00000000-0005-0000-0000-00004A610000}"/>
    <cellStyle name="40% - Accent6 79 29" xfId="24901" xr:uid="{00000000-0005-0000-0000-00004B610000}"/>
    <cellStyle name="40% - Accent6 79 29 2" xfId="24902" xr:uid="{00000000-0005-0000-0000-00004C610000}"/>
    <cellStyle name="40% - Accent6 79 29 2 2" xfId="24903" xr:uid="{00000000-0005-0000-0000-00004D610000}"/>
    <cellStyle name="40% - Accent6 79 29 3" xfId="24904" xr:uid="{00000000-0005-0000-0000-00004E610000}"/>
    <cellStyle name="40% - Accent6 79 3" xfId="24905" xr:uid="{00000000-0005-0000-0000-00004F610000}"/>
    <cellStyle name="40% - Accent6 79 3 2" xfId="24906" xr:uid="{00000000-0005-0000-0000-000050610000}"/>
    <cellStyle name="40% - Accent6 79 3 2 2" xfId="24907" xr:uid="{00000000-0005-0000-0000-000051610000}"/>
    <cellStyle name="40% - Accent6 79 3 3" xfId="24908" xr:uid="{00000000-0005-0000-0000-000052610000}"/>
    <cellStyle name="40% - Accent6 79 30" xfId="24909" xr:uid="{00000000-0005-0000-0000-000053610000}"/>
    <cellStyle name="40% - Accent6 79 30 2" xfId="24910" xr:uid="{00000000-0005-0000-0000-000054610000}"/>
    <cellStyle name="40% - Accent6 79 30 2 2" xfId="24911" xr:uid="{00000000-0005-0000-0000-000055610000}"/>
    <cellStyle name="40% - Accent6 79 30 3" xfId="24912" xr:uid="{00000000-0005-0000-0000-000056610000}"/>
    <cellStyle name="40% - Accent6 79 31" xfId="24913" xr:uid="{00000000-0005-0000-0000-000057610000}"/>
    <cellStyle name="40% - Accent6 79 31 2" xfId="24914" xr:uid="{00000000-0005-0000-0000-000058610000}"/>
    <cellStyle name="40% - Accent6 79 31 2 2" xfId="24915" xr:uid="{00000000-0005-0000-0000-000059610000}"/>
    <cellStyle name="40% - Accent6 79 31 3" xfId="24916" xr:uid="{00000000-0005-0000-0000-00005A610000}"/>
    <cellStyle name="40% - Accent6 79 32" xfId="24917" xr:uid="{00000000-0005-0000-0000-00005B610000}"/>
    <cellStyle name="40% - Accent6 79 32 2" xfId="24918" xr:uid="{00000000-0005-0000-0000-00005C610000}"/>
    <cellStyle name="40% - Accent6 79 32 2 2" xfId="24919" xr:uid="{00000000-0005-0000-0000-00005D610000}"/>
    <cellStyle name="40% - Accent6 79 32 3" xfId="24920" xr:uid="{00000000-0005-0000-0000-00005E610000}"/>
    <cellStyle name="40% - Accent6 79 33" xfId="24921" xr:uid="{00000000-0005-0000-0000-00005F610000}"/>
    <cellStyle name="40% - Accent6 79 33 2" xfId="24922" xr:uid="{00000000-0005-0000-0000-000060610000}"/>
    <cellStyle name="40% - Accent6 79 33 2 2" xfId="24923" xr:uid="{00000000-0005-0000-0000-000061610000}"/>
    <cellStyle name="40% - Accent6 79 33 3" xfId="24924" xr:uid="{00000000-0005-0000-0000-000062610000}"/>
    <cellStyle name="40% - Accent6 79 34" xfId="24925" xr:uid="{00000000-0005-0000-0000-000063610000}"/>
    <cellStyle name="40% - Accent6 79 34 2" xfId="24926" xr:uid="{00000000-0005-0000-0000-000064610000}"/>
    <cellStyle name="40% - Accent6 79 34 2 2" xfId="24927" xr:uid="{00000000-0005-0000-0000-000065610000}"/>
    <cellStyle name="40% - Accent6 79 34 3" xfId="24928" xr:uid="{00000000-0005-0000-0000-000066610000}"/>
    <cellStyle name="40% - Accent6 79 35" xfId="24929" xr:uid="{00000000-0005-0000-0000-000067610000}"/>
    <cellStyle name="40% - Accent6 79 35 2" xfId="24930" xr:uid="{00000000-0005-0000-0000-000068610000}"/>
    <cellStyle name="40% - Accent6 79 35 2 2" xfId="24931" xr:uid="{00000000-0005-0000-0000-000069610000}"/>
    <cellStyle name="40% - Accent6 79 35 3" xfId="24932" xr:uid="{00000000-0005-0000-0000-00006A610000}"/>
    <cellStyle name="40% - Accent6 79 36" xfId="24933" xr:uid="{00000000-0005-0000-0000-00006B610000}"/>
    <cellStyle name="40% - Accent6 79 36 2" xfId="24934" xr:uid="{00000000-0005-0000-0000-00006C610000}"/>
    <cellStyle name="40% - Accent6 79 36 2 2" xfId="24935" xr:uid="{00000000-0005-0000-0000-00006D610000}"/>
    <cellStyle name="40% - Accent6 79 36 3" xfId="24936" xr:uid="{00000000-0005-0000-0000-00006E610000}"/>
    <cellStyle name="40% - Accent6 79 4" xfId="24937" xr:uid="{00000000-0005-0000-0000-00006F610000}"/>
    <cellStyle name="40% - Accent6 79 4 2" xfId="24938" xr:uid="{00000000-0005-0000-0000-000070610000}"/>
    <cellStyle name="40% - Accent6 79 4 2 2" xfId="24939" xr:uid="{00000000-0005-0000-0000-000071610000}"/>
    <cellStyle name="40% - Accent6 79 4 3" xfId="24940" xr:uid="{00000000-0005-0000-0000-000072610000}"/>
    <cellStyle name="40% - Accent6 79 5" xfId="24941" xr:uid="{00000000-0005-0000-0000-000073610000}"/>
    <cellStyle name="40% - Accent6 79 5 2" xfId="24942" xr:uid="{00000000-0005-0000-0000-000074610000}"/>
    <cellStyle name="40% - Accent6 79 5 2 2" xfId="24943" xr:uid="{00000000-0005-0000-0000-000075610000}"/>
    <cellStyle name="40% - Accent6 79 5 3" xfId="24944" xr:uid="{00000000-0005-0000-0000-000076610000}"/>
    <cellStyle name="40% - Accent6 79 6" xfId="24945" xr:uid="{00000000-0005-0000-0000-000077610000}"/>
    <cellStyle name="40% - Accent6 79 6 2" xfId="24946" xr:uid="{00000000-0005-0000-0000-000078610000}"/>
    <cellStyle name="40% - Accent6 79 6 2 2" xfId="24947" xr:uid="{00000000-0005-0000-0000-000079610000}"/>
    <cellStyle name="40% - Accent6 79 6 3" xfId="24948" xr:uid="{00000000-0005-0000-0000-00007A610000}"/>
    <cellStyle name="40% - Accent6 79 7" xfId="24949" xr:uid="{00000000-0005-0000-0000-00007B610000}"/>
    <cellStyle name="40% - Accent6 79 7 2" xfId="24950" xr:uid="{00000000-0005-0000-0000-00007C610000}"/>
    <cellStyle name="40% - Accent6 79 7 2 2" xfId="24951" xr:uid="{00000000-0005-0000-0000-00007D610000}"/>
    <cellStyle name="40% - Accent6 79 7 3" xfId="24952" xr:uid="{00000000-0005-0000-0000-00007E610000}"/>
    <cellStyle name="40% - Accent6 79 8" xfId="24953" xr:uid="{00000000-0005-0000-0000-00007F610000}"/>
    <cellStyle name="40% - Accent6 79 8 2" xfId="24954" xr:uid="{00000000-0005-0000-0000-000080610000}"/>
    <cellStyle name="40% - Accent6 79 8 2 2" xfId="24955" xr:uid="{00000000-0005-0000-0000-000081610000}"/>
    <cellStyle name="40% - Accent6 79 8 3" xfId="24956" xr:uid="{00000000-0005-0000-0000-000082610000}"/>
    <cellStyle name="40% - Accent6 79 9" xfId="24957" xr:uid="{00000000-0005-0000-0000-000083610000}"/>
    <cellStyle name="40% - Accent6 79 9 2" xfId="24958" xr:uid="{00000000-0005-0000-0000-000084610000}"/>
    <cellStyle name="40% - Accent6 79 9 2 2" xfId="24959" xr:uid="{00000000-0005-0000-0000-000085610000}"/>
    <cellStyle name="40% - Accent6 79 9 3" xfId="24960" xr:uid="{00000000-0005-0000-0000-000086610000}"/>
    <cellStyle name="40% - Accent6 8" xfId="24961" xr:uid="{00000000-0005-0000-0000-000087610000}"/>
    <cellStyle name="40% - Accent6 8 2" xfId="24962" xr:uid="{00000000-0005-0000-0000-000088610000}"/>
    <cellStyle name="40% - Accent6 8 2 2" xfId="24963" xr:uid="{00000000-0005-0000-0000-000089610000}"/>
    <cellStyle name="40% - Accent6 8 3" xfId="24964" xr:uid="{00000000-0005-0000-0000-00008A610000}"/>
    <cellStyle name="40% - Accent6 8 4" xfId="24965" xr:uid="{00000000-0005-0000-0000-00008B610000}"/>
    <cellStyle name="40% - Accent6 80" xfId="24966" xr:uid="{00000000-0005-0000-0000-00008C610000}"/>
    <cellStyle name="40% - Accent6 80 2" xfId="24967" xr:uid="{00000000-0005-0000-0000-00008D610000}"/>
    <cellStyle name="40% - Accent6 81" xfId="24968" xr:uid="{00000000-0005-0000-0000-00008E610000}"/>
    <cellStyle name="40% - Accent6 81 10" xfId="24969" xr:uid="{00000000-0005-0000-0000-00008F610000}"/>
    <cellStyle name="40% - Accent6 81 10 2" xfId="24970" xr:uid="{00000000-0005-0000-0000-000090610000}"/>
    <cellStyle name="40% - Accent6 81 10 2 2" xfId="24971" xr:uid="{00000000-0005-0000-0000-000091610000}"/>
    <cellStyle name="40% - Accent6 81 10 3" xfId="24972" xr:uid="{00000000-0005-0000-0000-000092610000}"/>
    <cellStyle name="40% - Accent6 81 11" xfId="24973" xr:uid="{00000000-0005-0000-0000-000093610000}"/>
    <cellStyle name="40% - Accent6 81 11 2" xfId="24974" xr:uid="{00000000-0005-0000-0000-000094610000}"/>
    <cellStyle name="40% - Accent6 81 11 2 2" xfId="24975" xr:uid="{00000000-0005-0000-0000-000095610000}"/>
    <cellStyle name="40% - Accent6 81 11 3" xfId="24976" xr:uid="{00000000-0005-0000-0000-000096610000}"/>
    <cellStyle name="40% - Accent6 81 12" xfId="24977" xr:uid="{00000000-0005-0000-0000-000097610000}"/>
    <cellStyle name="40% - Accent6 81 12 2" xfId="24978" xr:uid="{00000000-0005-0000-0000-000098610000}"/>
    <cellStyle name="40% - Accent6 81 12 2 2" xfId="24979" xr:uid="{00000000-0005-0000-0000-000099610000}"/>
    <cellStyle name="40% - Accent6 81 12 3" xfId="24980" xr:uid="{00000000-0005-0000-0000-00009A610000}"/>
    <cellStyle name="40% - Accent6 81 13" xfId="24981" xr:uid="{00000000-0005-0000-0000-00009B610000}"/>
    <cellStyle name="40% - Accent6 81 13 2" xfId="24982" xr:uid="{00000000-0005-0000-0000-00009C610000}"/>
    <cellStyle name="40% - Accent6 81 13 2 2" xfId="24983" xr:uid="{00000000-0005-0000-0000-00009D610000}"/>
    <cellStyle name="40% - Accent6 81 13 3" xfId="24984" xr:uid="{00000000-0005-0000-0000-00009E610000}"/>
    <cellStyle name="40% - Accent6 81 14" xfId="24985" xr:uid="{00000000-0005-0000-0000-00009F610000}"/>
    <cellStyle name="40% - Accent6 81 14 2" xfId="24986" xr:uid="{00000000-0005-0000-0000-0000A0610000}"/>
    <cellStyle name="40% - Accent6 81 14 2 2" xfId="24987" xr:uid="{00000000-0005-0000-0000-0000A1610000}"/>
    <cellStyle name="40% - Accent6 81 14 3" xfId="24988" xr:uid="{00000000-0005-0000-0000-0000A2610000}"/>
    <cellStyle name="40% - Accent6 81 15" xfId="24989" xr:uid="{00000000-0005-0000-0000-0000A3610000}"/>
    <cellStyle name="40% - Accent6 81 15 2" xfId="24990" xr:uid="{00000000-0005-0000-0000-0000A4610000}"/>
    <cellStyle name="40% - Accent6 81 15 2 2" xfId="24991" xr:uid="{00000000-0005-0000-0000-0000A5610000}"/>
    <cellStyle name="40% - Accent6 81 15 3" xfId="24992" xr:uid="{00000000-0005-0000-0000-0000A6610000}"/>
    <cellStyle name="40% - Accent6 81 16" xfId="24993" xr:uid="{00000000-0005-0000-0000-0000A7610000}"/>
    <cellStyle name="40% - Accent6 81 16 2" xfId="24994" xr:uid="{00000000-0005-0000-0000-0000A8610000}"/>
    <cellStyle name="40% - Accent6 81 16 2 2" xfId="24995" xr:uid="{00000000-0005-0000-0000-0000A9610000}"/>
    <cellStyle name="40% - Accent6 81 16 3" xfId="24996" xr:uid="{00000000-0005-0000-0000-0000AA610000}"/>
    <cellStyle name="40% - Accent6 81 17" xfId="24997" xr:uid="{00000000-0005-0000-0000-0000AB610000}"/>
    <cellStyle name="40% - Accent6 81 17 2" xfId="24998" xr:uid="{00000000-0005-0000-0000-0000AC610000}"/>
    <cellStyle name="40% - Accent6 81 17 2 2" xfId="24999" xr:uid="{00000000-0005-0000-0000-0000AD610000}"/>
    <cellStyle name="40% - Accent6 81 17 3" xfId="25000" xr:uid="{00000000-0005-0000-0000-0000AE610000}"/>
    <cellStyle name="40% - Accent6 81 18" xfId="25001" xr:uid="{00000000-0005-0000-0000-0000AF610000}"/>
    <cellStyle name="40% - Accent6 81 18 2" xfId="25002" xr:uid="{00000000-0005-0000-0000-0000B0610000}"/>
    <cellStyle name="40% - Accent6 81 18 2 2" xfId="25003" xr:uid="{00000000-0005-0000-0000-0000B1610000}"/>
    <cellStyle name="40% - Accent6 81 18 3" xfId="25004" xr:uid="{00000000-0005-0000-0000-0000B2610000}"/>
    <cellStyle name="40% - Accent6 81 19" xfId="25005" xr:uid="{00000000-0005-0000-0000-0000B3610000}"/>
    <cellStyle name="40% - Accent6 81 19 2" xfId="25006" xr:uid="{00000000-0005-0000-0000-0000B4610000}"/>
    <cellStyle name="40% - Accent6 81 19 2 2" xfId="25007" xr:uid="{00000000-0005-0000-0000-0000B5610000}"/>
    <cellStyle name="40% - Accent6 81 19 3" xfId="25008" xr:uid="{00000000-0005-0000-0000-0000B6610000}"/>
    <cellStyle name="40% - Accent6 81 2" xfId="25009" xr:uid="{00000000-0005-0000-0000-0000B7610000}"/>
    <cellStyle name="40% - Accent6 81 2 2" xfId="25010" xr:uid="{00000000-0005-0000-0000-0000B8610000}"/>
    <cellStyle name="40% - Accent6 81 2 2 2" xfId="25011" xr:uid="{00000000-0005-0000-0000-0000B9610000}"/>
    <cellStyle name="40% - Accent6 81 2 3" xfId="25012" xr:uid="{00000000-0005-0000-0000-0000BA610000}"/>
    <cellStyle name="40% - Accent6 81 20" xfId="25013" xr:uid="{00000000-0005-0000-0000-0000BB610000}"/>
    <cellStyle name="40% - Accent6 81 20 2" xfId="25014" xr:uid="{00000000-0005-0000-0000-0000BC610000}"/>
    <cellStyle name="40% - Accent6 81 20 2 2" xfId="25015" xr:uid="{00000000-0005-0000-0000-0000BD610000}"/>
    <cellStyle name="40% - Accent6 81 20 3" xfId="25016" xr:uid="{00000000-0005-0000-0000-0000BE610000}"/>
    <cellStyle name="40% - Accent6 81 21" xfId="25017" xr:uid="{00000000-0005-0000-0000-0000BF610000}"/>
    <cellStyle name="40% - Accent6 81 21 2" xfId="25018" xr:uid="{00000000-0005-0000-0000-0000C0610000}"/>
    <cellStyle name="40% - Accent6 81 21 2 2" xfId="25019" xr:uid="{00000000-0005-0000-0000-0000C1610000}"/>
    <cellStyle name="40% - Accent6 81 21 3" xfId="25020" xr:uid="{00000000-0005-0000-0000-0000C2610000}"/>
    <cellStyle name="40% - Accent6 81 22" xfId="25021" xr:uid="{00000000-0005-0000-0000-0000C3610000}"/>
    <cellStyle name="40% - Accent6 81 22 2" xfId="25022" xr:uid="{00000000-0005-0000-0000-0000C4610000}"/>
    <cellStyle name="40% - Accent6 81 22 2 2" xfId="25023" xr:uid="{00000000-0005-0000-0000-0000C5610000}"/>
    <cellStyle name="40% - Accent6 81 22 3" xfId="25024" xr:uid="{00000000-0005-0000-0000-0000C6610000}"/>
    <cellStyle name="40% - Accent6 81 23" xfId="25025" xr:uid="{00000000-0005-0000-0000-0000C7610000}"/>
    <cellStyle name="40% - Accent6 81 23 2" xfId="25026" xr:uid="{00000000-0005-0000-0000-0000C8610000}"/>
    <cellStyle name="40% - Accent6 81 23 2 2" xfId="25027" xr:uid="{00000000-0005-0000-0000-0000C9610000}"/>
    <cellStyle name="40% - Accent6 81 23 3" xfId="25028" xr:uid="{00000000-0005-0000-0000-0000CA610000}"/>
    <cellStyle name="40% - Accent6 81 24" xfId="25029" xr:uid="{00000000-0005-0000-0000-0000CB610000}"/>
    <cellStyle name="40% - Accent6 81 24 2" xfId="25030" xr:uid="{00000000-0005-0000-0000-0000CC610000}"/>
    <cellStyle name="40% - Accent6 81 24 2 2" xfId="25031" xr:uid="{00000000-0005-0000-0000-0000CD610000}"/>
    <cellStyle name="40% - Accent6 81 24 3" xfId="25032" xr:uid="{00000000-0005-0000-0000-0000CE610000}"/>
    <cellStyle name="40% - Accent6 81 25" xfId="25033" xr:uid="{00000000-0005-0000-0000-0000CF610000}"/>
    <cellStyle name="40% - Accent6 81 25 2" xfId="25034" xr:uid="{00000000-0005-0000-0000-0000D0610000}"/>
    <cellStyle name="40% - Accent6 81 25 2 2" xfId="25035" xr:uid="{00000000-0005-0000-0000-0000D1610000}"/>
    <cellStyle name="40% - Accent6 81 25 3" xfId="25036" xr:uid="{00000000-0005-0000-0000-0000D2610000}"/>
    <cellStyle name="40% - Accent6 81 26" xfId="25037" xr:uid="{00000000-0005-0000-0000-0000D3610000}"/>
    <cellStyle name="40% - Accent6 81 26 2" xfId="25038" xr:uid="{00000000-0005-0000-0000-0000D4610000}"/>
    <cellStyle name="40% - Accent6 81 26 2 2" xfId="25039" xr:uid="{00000000-0005-0000-0000-0000D5610000}"/>
    <cellStyle name="40% - Accent6 81 26 3" xfId="25040" xr:uid="{00000000-0005-0000-0000-0000D6610000}"/>
    <cellStyle name="40% - Accent6 81 27" xfId="25041" xr:uid="{00000000-0005-0000-0000-0000D7610000}"/>
    <cellStyle name="40% - Accent6 81 27 2" xfId="25042" xr:uid="{00000000-0005-0000-0000-0000D8610000}"/>
    <cellStyle name="40% - Accent6 81 27 2 2" xfId="25043" xr:uid="{00000000-0005-0000-0000-0000D9610000}"/>
    <cellStyle name="40% - Accent6 81 27 3" xfId="25044" xr:uid="{00000000-0005-0000-0000-0000DA610000}"/>
    <cellStyle name="40% - Accent6 81 28" xfId="25045" xr:uid="{00000000-0005-0000-0000-0000DB610000}"/>
    <cellStyle name="40% - Accent6 81 28 2" xfId="25046" xr:uid="{00000000-0005-0000-0000-0000DC610000}"/>
    <cellStyle name="40% - Accent6 81 28 2 2" xfId="25047" xr:uid="{00000000-0005-0000-0000-0000DD610000}"/>
    <cellStyle name="40% - Accent6 81 28 3" xfId="25048" xr:uid="{00000000-0005-0000-0000-0000DE610000}"/>
    <cellStyle name="40% - Accent6 81 29" xfId="25049" xr:uid="{00000000-0005-0000-0000-0000DF610000}"/>
    <cellStyle name="40% - Accent6 81 29 2" xfId="25050" xr:uid="{00000000-0005-0000-0000-0000E0610000}"/>
    <cellStyle name="40% - Accent6 81 29 2 2" xfId="25051" xr:uid="{00000000-0005-0000-0000-0000E1610000}"/>
    <cellStyle name="40% - Accent6 81 29 3" xfId="25052" xr:uid="{00000000-0005-0000-0000-0000E2610000}"/>
    <cellStyle name="40% - Accent6 81 3" xfId="25053" xr:uid="{00000000-0005-0000-0000-0000E3610000}"/>
    <cellStyle name="40% - Accent6 81 3 2" xfId="25054" xr:uid="{00000000-0005-0000-0000-0000E4610000}"/>
    <cellStyle name="40% - Accent6 81 3 2 2" xfId="25055" xr:uid="{00000000-0005-0000-0000-0000E5610000}"/>
    <cellStyle name="40% - Accent6 81 3 3" xfId="25056" xr:uid="{00000000-0005-0000-0000-0000E6610000}"/>
    <cellStyle name="40% - Accent6 81 30" xfId="25057" xr:uid="{00000000-0005-0000-0000-0000E7610000}"/>
    <cellStyle name="40% - Accent6 81 30 2" xfId="25058" xr:uid="{00000000-0005-0000-0000-0000E8610000}"/>
    <cellStyle name="40% - Accent6 81 30 2 2" xfId="25059" xr:uid="{00000000-0005-0000-0000-0000E9610000}"/>
    <cellStyle name="40% - Accent6 81 30 3" xfId="25060" xr:uid="{00000000-0005-0000-0000-0000EA610000}"/>
    <cellStyle name="40% - Accent6 81 31" xfId="25061" xr:uid="{00000000-0005-0000-0000-0000EB610000}"/>
    <cellStyle name="40% - Accent6 81 31 2" xfId="25062" xr:uid="{00000000-0005-0000-0000-0000EC610000}"/>
    <cellStyle name="40% - Accent6 81 31 2 2" xfId="25063" xr:uid="{00000000-0005-0000-0000-0000ED610000}"/>
    <cellStyle name="40% - Accent6 81 31 3" xfId="25064" xr:uid="{00000000-0005-0000-0000-0000EE610000}"/>
    <cellStyle name="40% - Accent6 81 32" xfId="25065" xr:uid="{00000000-0005-0000-0000-0000EF610000}"/>
    <cellStyle name="40% - Accent6 81 32 2" xfId="25066" xr:uid="{00000000-0005-0000-0000-0000F0610000}"/>
    <cellStyle name="40% - Accent6 81 32 2 2" xfId="25067" xr:uid="{00000000-0005-0000-0000-0000F1610000}"/>
    <cellStyle name="40% - Accent6 81 32 3" xfId="25068" xr:uid="{00000000-0005-0000-0000-0000F2610000}"/>
    <cellStyle name="40% - Accent6 81 33" xfId="25069" xr:uid="{00000000-0005-0000-0000-0000F3610000}"/>
    <cellStyle name="40% - Accent6 81 33 2" xfId="25070" xr:uid="{00000000-0005-0000-0000-0000F4610000}"/>
    <cellStyle name="40% - Accent6 81 33 2 2" xfId="25071" xr:uid="{00000000-0005-0000-0000-0000F5610000}"/>
    <cellStyle name="40% - Accent6 81 33 3" xfId="25072" xr:uid="{00000000-0005-0000-0000-0000F6610000}"/>
    <cellStyle name="40% - Accent6 81 34" xfId="25073" xr:uid="{00000000-0005-0000-0000-0000F7610000}"/>
    <cellStyle name="40% - Accent6 81 34 2" xfId="25074" xr:uid="{00000000-0005-0000-0000-0000F8610000}"/>
    <cellStyle name="40% - Accent6 81 34 2 2" xfId="25075" xr:uid="{00000000-0005-0000-0000-0000F9610000}"/>
    <cellStyle name="40% - Accent6 81 34 3" xfId="25076" xr:uid="{00000000-0005-0000-0000-0000FA610000}"/>
    <cellStyle name="40% - Accent6 81 35" xfId="25077" xr:uid="{00000000-0005-0000-0000-0000FB610000}"/>
    <cellStyle name="40% - Accent6 81 35 2" xfId="25078" xr:uid="{00000000-0005-0000-0000-0000FC610000}"/>
    <cellStyle name="40% - Accent6 81 35 2 2" xfId="25079" xr:uid="{00000000-0005-0000-0000-0000FD610000}"/>
    <cellStyle name="40% - Accent6 81 35 3" xfId="25080" xr:uid="{00000000-0005-0000-0000-0000FE610000}"/>
    <cellStyle name="40% - Accent6 81 36" xfId="25081" xr:uid="{00000000-0005-0000-0000-0000FF610000}"/>
    <cellStyle name="40% - Accent6 81 36 2" xfId="25082" xr:uid="{00000000-0005-0000-0000-000000620000}"/>
    <cellStyle name="40% - Accent6 81 36 2 2" xfId="25083" xr:uid="{00000000-0005-0000-0000-000001620000}"/>
    <cellStyle name="40% - Accent6 81 36 3" xfId="25084" xr:uid="{00000000-0005-0000-0000-000002620000}"/>
    <cellStyle name="40% - Accent6 81 4" xfId="25085" xr:uid="{00000000-0005-0000-0000-000003620000}"/>
    <cellStyle name="40% - Accent6 81 4 2" xfId="25086" xr:uid="{00000000-0005-0000-0000-000004620000}"/>
    <cellStyle name="40% - Accent6 81 4 2 2" xfId="25087" xr:uid="{00000000-0005-0000-0000-000005620000}"/>
    <cellStyle name="40% - Accent6 81 4 3" xfId="25088" xr:uid="{00000000-0005-0000-0000-000006620000}"/>
    <cellStyle name="40% - Accent6 81 5" xfId="25089" xr:uid="{00000000-0005-0000-0000-000007620000}"/>
    <cellStyle name="40% - Accent6 81 5 2" xfId="25090" xr:uid="{00000000-0005-0000-0000-000008620000}"/>
    <cellStyle name="40% - Accent6 81 5 2 2" xfId="25091" xr:uid="{00000000-0005-0000-0000-000009620000}"/>
    <cellStyle name="40% - Accent6 81 5 3" xfId="25092" xr:uid="{00000000-0005-0000-0000-00000A620000}"/>
    <cellStyle name="40% - Accent6 81 6" xfId="25093" xr:uid="{00000000-0005-0000-0000-00000B620000}"/>
    <cellStyle name="40% - Accent6 81 6 2" xfId="25094" xr:uid="{00000000-0005-0000-0000-00000C620000}"/>
    <cellStyle name="40% - Accent6 81 6 2 2" xfId="25095" xr:uid="{00000000-0005-0000-0000-00000D620000}"/>
    <cellStyle name="40% - Accent6 81 6 3" xfId="25096" xr:uid="{00000000-0005-0000-0000-00000E620000}"/>
    <cellStyle name="40% - Accent6 81 7" xfId="25097" xr:uid="{00000000-0005-0000-0000-00000F620000}"/>
    <cellStyle name="40% - Accent6 81 7 2" xfId="25098" xr:uid="{00000000-0005-0000-0000-000010620000}"/>
    <cellStyle name="40% - Accent6 81 7 2 2" xfId="25099" xr:uid="{00000000-0005-0000-0000-000011620000}"/>
    <cellStyle name="40% - Accent6 81 7 3" xfId="25100" xr:uid="{00000000-0005-0000-0000-000012620000}"/>
    <cellStyle name="40% - Accent6 81 8" xfId="25101" xr:uid="{00000000-0005-0000-0000-000013620000}"/>
    <cellStyle name="40% - Accent6 81 8 2" xfId="25102" xr:uid="{00000000-0005-0000-0000-000014620000}"/>
    <cellStyle name="40% - Accent6 81 8 2 2" xfId="25103" xr:uid="{00000000-0005-0000-0000-000015620000}"/>
    <cellStyle name="40% - Accent6 81 8 3" xfId="25104" xr:uid="{00000000-0005-0000-0000-000016620000}"/>
    <cellStyle name="40% - Accent6 81 9" xfId="25105" xr:uid="{00000000-0005-0000-0000-000017620000}"/>
    <cellStyle name="40% - Accent6 81 9 2" xfId="25106" xr:uid="{00000000-0005-0000-0000-000018620000}"/>
    <cellStyle name="40% - Accent6 81 9 2 2" xfId="25107" xr:uid="{00000000-0005-0000-0000-000019620000}"/>
    <cellStyle name="40% - Accent6 81 9 3" xfId="25108" xr:uid="{00000000-0005-0000-0000-00001A620000}"/>
    <cellStyle name="40% - Accent6 82" xfId="25109" xr:uid="{00000000-0005-0000-0000-00001B620000}"/>
    <cellStyle name="40% - Accent6 82 2" xfId="25110" xr:uid="{00000000-0005-0000-0000-00001C620000}"/>
    <cellStyle name="40% - Accent6 83" xfId="25111" xr:uid="{00000000-0005-0000-0000-00001D620000}"/>
    <cellStyle name="40% - Accent6 83 10" xfId="25112" xr:uid="{00000000-0005-0000-0000-00001E620000}"/>
    <cellStyle name="40% - Accent6 83 10 2" xfId="25113" xr:uid="{00000000-0005-0000-0000-00001F620000}"/>
    <cellStyle name="40% - Accent6 83 10 2 2" xfId="25114" xr:uid="{00000000-0005-0000-0000-000020620000}"/>
    <cellStyle name="40% - Accent6 83 10 3" xfId="25115" xr:uid="{00000000-0005-0000-0000-000021620000}"/>
    <cellStyle name="40% - Accent6 83 11" xfId="25116" xr:uid="{00000000-0005-0000-0000-000022620000}"/>
    <cellStyle name="40% - Accent6 83 11 2" xfId="25117" xr:uid="{00000000-0005-0000-0000-000023620000}"/>
    <cellStyle name="40% - Accent6 83 11 2 2" xfId="25118" xr:uid="{00000000-0005-0000-0000-000024620000}"/>
    <cellStyle name="40% - Accent6 83 11 3" xfId="25119" xr:uid="{00000000-0005-0000-0000-000025620000}"/>
    <cellStyle name="40% - Accent6 83 12" xfId="25120" xr:uid="{00000000-0005-0000-0000-000026620000}"/>
    <cellStyle name="40% - Accent6 83 12 2" xfId="25121" xr:uid="{00000000-0005-0000-0000-000027620000}"/>
    <cellStyle name="40% - Accent6 83 12 2 2" xfId="25122" xr:uid="{00000000-0005-0000-0000-000028620000}"/>
    <cellStyle name="40% - Accent6 83 12 3" xfId="25123" xr:uid="{00000000-0005-0000-0000-000029620000}"/>
    <cellStyle name="40% - Accent6 83 13" xfId="25124" xr:uid="{00000000-0005-0000-0000-00002A620000}"/>
    <cellStyle name="40% - Accent6 83 13 2" xfId="25125" xr:uid="{00000000-0005-0000-0000-00002B620000}"/>
    <cellStyle name="40% - Accent6 83 13 2 2" xfId="25126" xr:uid="{00000000-0005-0000-0000-00002C620000}"/>
    <cellStyle name="40% - Accent6 83 13 3" xfId="25127" xr:uid="{00000000-0005-0000-0000-00002D620000}"/>
    <cellStyle name="40% - Accent6 83 14" xfId="25128" xr:uid="{00000000-0005-0000-0000-00002E620000}"/>
    <cellStyle name="40% - Accent6 83 14 2" xfId="25129" xr:uid="{00000000-0005-0000-0000-00002F620000}"/>
    <cellStyle name="40% - Accent6 83 14 2 2" xfId="25130" xr:uid="{00000000-0005-0000-0000-000030620000}"/>
    <cellStyle name="40% - Accent6 83 14 3" xfId="25131" xr:uid="{00000000-0005-0000-0000-000031620000}"/>
    <cellStyle name="40% - Accent6 83 15" xfId="25132" xr:uid="{00000000-0005-0000-0000-000032620000}"/>
    <cellStyle name="40% - Accent6 83 15 2" xfId="25133" xr:uid="{00000000-0005-0000-0000-000033620000}"/>
    <cellStyle name="40% - Accent6 83 15 2 2" xfId="25134" xr:uid="{00000000-0005-0000-0000-000034620000}"/>
    <cellStyle name="40% - Accent6 83 15 3" xfId="25135" xr:uid="{00000000-0005-0000-0000-000035620000}"/>
    <cellStyle name="40% - Accent6 83 16" xfId="25136" xr:uid="{00000000-0005-0000-0000-000036620000}"/>
    <cellStyle name="40% - Accent6 83 16 2" xfId="25137" xr:uid="{00000000-0005-0000-0000-000037620000}"/>
    <cellStyle name="40% - Accent6 83 16 2 2" xfId="25138" xr:uid="{00000000-0005-0000-0000-000038620000}"/>
    <cellStyle name="40% - Accent6 83 16 3" xfId="25139" xr:uid="{00000000-0005-0000-0000-000039620000}"/>
    <cellStyle name="40% - Accent6 83 17" xfId="25140" xr:uid="{00000000-0005-0000-0000-00003A620000}"/>
    <cellStyle name="40% - Accent6 83 17 2" xfId="25141" xr:uid="{00000000-0005-0000-0000-00003B620000}"/>
    <cellStyle name="40% - Accent6 83 17 2 2" xfId="25142" xr:uid="{00000000-0005-0000-0000-00003C620000}"/>
    <cellStyle name="40% - Accent6 83 17 3" xfId="25143" xr:uid="{00000000-0005-0000-0000-00003D620000}"/>
    <cellStyle name="40% - Accent6 83 18" xfId="25144" xr:uid="{00000000-0005-0000-0000-00003E620000}"/>
    <cellStyle name="40% - Accent6 83 18 2" xfId="25145" xr:uid="{00000000-0005-0000-0000-00003F620000}"/>
    <cellStyle name="40% - Accent6 83 18 2 2" xfId="25146" xr:uid="{00000000-0005-0000-0000-000040620000}"/>
    <cellStyle name="40% - Accent6 83 18 3" xfId="25147" xr:uid="{00000000-0005-0000-0000-000041620000}"/>
    <cellStyle name="40% - Accent6 83 19" xfId="25148" xr:uid="{00000000-0005-0000-0000-000042620000}"/>
    <cellStyle name="40% - Accent6 83 19 2" xfId="25149" xr:uid="{00000000-0005-0000-0000-000043620000}"/>
    <cellStyle name="40% - Accent6 83 19 2 2" xfId="25150" xr:uid="{00000000-0005-0000-0000-000044620000}"/>
    <cellStyle name="40% - Accent6 83 19 3" xfId="25151" xr:uid="{00000000-0005-0000-0000-000045620000}"/>
    <cellStyle name="40% - Accent6 83 2" xfId="25152" xr:uid="{00000000-0005-0000-0000-000046620000}"/>
    <cellStyle name="40% - Accent6 83 2 2" xfId="25153" xr:uid="{00000000-0005-0000-0000-000047620000}"/>
    <cellStyle name="40% - Accent6 83 2 2 2" xfId="25154" xr:uid="{00000000-0005-0000-0000-000048620000}"/>
    <cellStyle name="40% - Accent6 83 2 3" xfId="25155" xr:uid="{00000000-0005-0000-0000-000049620000}"/>
    <cellStyle name="40% - Accent6 83 20" xfId="25156" xr:uid="{00000000-0005-0000-0000-00004A620000}"/>
    <cellStyle name="40% - Accent6 83 20 2" xfId="25157" xr:uid="{00000000-0005-0000-0000-00004B620000}"/>
    <cellStyle name="40% - Accent6 83 20 2 2" xfId="25158" xr:uid="{00000000-0005-0000-0000-00004C620000}"/>
    <cellStyle name="40% - Accent6 83 20 3" xfId="25159" xr:uid="{00000000-0005-0000-0000-00004D620000}"/>
    <cellStyle name="40% - Accent6 83 21" xfId="25160" xr:uid="{00000000-0005-0000-0000-00004E620000}"/>
    <cellStyle name="40% - Accent6 83 21 2" xfId="25161" xr:uid="{00000000-0005-0000-0000-00004F620000}"/>
    <cellStyle name="40% - Accent6 83 21 2 2" xfId="25162" xr:uid="{00000000-0005-0000-0000-000050620000}"/>
    <cellStyle name="40% - Accent6 83 21 3" xfId="25163" xr:uid="{00000000-0005-0000-0000-000051620000}"/>
    <cellStyle name="40% - Accent6 83 22" xfId="25164" xr:uid="{00000000-0005-0000-0000-000052620000}"/>
    <cellStyle name="40% - Accent6 83 22 2" xfId="25165" xr:uid="{00000000-0005-0000-0000-000053620000}"/>
    <cellStyle name="40% - Accent6 83 22 2 2" xfId="25166" xr:uid="{00000000-0005-0000-0000-000054620000}"/>
    <cellStyle name="40% - Accent6 83 22 3" xfId="25167" xr:uid="{00000000-0005-0000-0000-000055620000}"/>
    <cellStyle name="40% - Accent6 83 23" xfId="25168" xr:uid="{00000000-0005-0000-0000-000056620000}"/>
    <cellStyle name="40% - Accent6 83 23 2" xfId="25169" xr:uid="{00000000-0005-0000-0000-000057620000}"/>
    <cellStyle name="40% - Accent6 83 23 2 2" xfId="25170" xr:uid="{00000000-0005-0000-0000-000058620000}"/>
    <cellStyle name="40% - Accent6 83 23 3" xfId="25171" xr:uid="{00000000-0005-0000-0000-000059620000}"/>
    <cellStyle name="40% - Accent6 83 24" xfId="25172" xr:uid="{00000000-0005-0000-0000-00005A620000}"/>
    <cellStyle name="40% - Accent6 83 24 2" xfId="25173" xr:uid="{00000000-0005-0000-0000-00005B620000}"/>
    <cellStyle name="40% - Accent6 83 24 2 2" xfId="25174" xr:uid="{00000000-0005-0000-0000-00005C620000}"/>
    <cellStyle name="40% - Accent6 83 24 3" xfId="25175" xr:uid="{00000000-0005-0000-0000-00005D620000}"/>
    <cellStyle name="40% - Accent6 83 25" xfId="25176" xr:uid="{00000000-0005-0000-0000-00005E620000}"/>
    <cellStyle name="40% - Accent6 83 25 2" xfId="25177" xr:uid="{00000000-0005-0000-0000-00005F620000}"/>
    <cellStyle name="40% - Accent6 83 25 2 2" xfId="25178" xr:uid="{00000000-0005-0000-0000-000060620000}"/>
    <cellStyle name="40% - Accent6 83 25 3" xfId="25179" xr:uid="{00000000-0005-0000-0000-000061620000}"/>
    <cellStyle name="40% - Accent6 83 26" xfId="25180" xr:uid="{00000000-0005-0000-0000-000062620000}"/>
    <cellStyle name="40% - Accent6 83 26 2" xfId="25181" xr:uid="{00000000-0005-0000-0000-000063620000}"/>
    <cellStyle name="40% - Accent6 83 26 2 2" xfId="25182" xr:uid="{00000000-0005-0000-0000-000064620000}"/>
    <cellStyle name="40% - Accent6 83 26 3" xfId="25183" xr:uid="{00000000-0005-0000-0000-000065620000}"/>
    <cellStyle name="40% - Accent6 83 27" xfId="25184" xr:uid="{00000000-0005-0000-0000-000066620000}"/>
    <cellStyle name="40% - Accent6 83 27 2" xfId="25185" xr:uid="{00000000-0005-0000-0000-000067620000}"/>
    <cellStyle name="40% - Accent6 83 27 2 2" xfId="25186" xr:uid="{00000000-0005-0000-0000-000068620000}"/>
    <cellStyle name="40% - Accent6 83 27 3" xfId="25187" xr:uid="{00000000-0005-0000-0000-000069620000}"/>
    <cellStyle name="40% - Accent6 83 28" xfId="25188" xr:uid="{00000000-0005-0000-0000-00006A620000}"/>
    <cellStyle name="40% - Accent6 83 28 2" xfId="25189" xr:uid="{00000000-0005-0000-0000-00006B620000}"/>
    <cellStyle name="40% - Accent6 83 28 2 2" xfId="25190" xr:uid="{00000000-0005-0000-0000-00006C620000}"/>
    <cellStyle name="40% - Accent6 83 28 3" xfId="25191" xr:uid="{00000000-0005-0000-0000-00006D620000}"/>
    <cellStyle name="40% - Accent6 83 29" xfId="25192" xr:uid="{00000000-0005-0000-0000-00006E620000}"/>
    <cellStyle name="40% - Accent6 83 29 2" xfId="25193" xr:uid="{00000000-0005-0000-0000-00006F620000}"/>
    <cellStyle name="40% - Accent6 83 29 2 2" xfId="25194" xr:uid="{00000000-0005-0000-0000-000070620000}"/>
    <cellStyle name="40% - Accent6 83 29 3" xfId="25195" xr:uid="{00000000-0005-0000-0000-000071620000}"/>
    <cellStyle name="40% - Accent6 83 3" xfId="25196" xr:uid="{00000000-0005-0000-0000-000072620000}"/>
    <cellStyle name="40% - Accent6 83 3 2" xfId="25197" xr:uid="{00000000-0005-0000-0000-000073620000}"/>
    <cellStyle name="40% - Accent6 83 3 2 2" xfId="25198" xr:uid="{00000000-0005-0000-0000-000074620000}"/>
    <cellStyle name="40% - Accent6 83 3 3" xfId="25199" xr:uid="{00000000-0005-0000-0000-000075620000}"/>
    <cellStyle name="40% - Accent6 83 30" xfId="25200" xr:uid="{00000000-0005-0000-0000-000076620000}"/>
    <cellStyle name="40% - Accent6 83 30 2" xfId="25201" xr:uid="{00000000-0005-0000-0000-000077620000}"/>
    <cellStyle name="40% - Accent6 83 30 2 2" xfId="25202" xr:uid="{00000000-0005-0000-0000-000078620000}"/>
    <cellStyle name="40% - Accent6 83 30 3" xfId="25203" xr:uid="{00000000-0005-0000-0000-000079620000}"/>
    <cellStyle name="40% - Accent6 83 31" xfId="25204" xr:uid="{00000000-0005-0000-0000-00007A620000}"/>
    <cellStyle name="40% - Accent6 83 31 2" xfId="25205" xr:uid="{00000000-0005-0000-0000-00007B620000}"/>
    <cellStyle name="40% - Accent6 83 31 2 2" xfId="25206" xr:uid="{00000000-0005-0000-0000-00007C620000}"/>
    <cellStyle name="40% - Accent6 83 31 3" xfId="25207" xr:uid="{00000000-0005-0000-0000-00007D620000}"/>
    <cellStyle name="40% - Accent6 83 32" xfId="25208" xr:uid="{00000000-0005-0000-0000-00007E620000}"/>
    <cellStyle name="40% - Accent6 83 32 2" xfId="25209" xr:uid="{00000000-0005-0000-0000-00007F620000}"/>
    <cellStyle name="40% - Accent6 83 32 2 2" xfId="25210" xr:uid="{00000000-0005-0000-0000-000080620000}"/>
    <cellStyle name="40% - Accent6 83 32 3" xfId="25211" xr:uid="{00000000-0005-0000-0000-000081620000}"/>
    <cellStyle name="40% - Accent6 83 33" xfId="25212" xr:uid="{00000000-0005-0000-0000-000082620000}"/>
    <cellStyle name="40% - Accent6 83 33 2" xfId="25213" xr:uid="{00000000-0005-0000-0000-000083620000}"/>
    <cellStyle name="40% - Accent6 83 33 2 2" xfId="25214" xr:uid="{00000000-0005-0000-0000-000084620000}"/>
    <cellStyle name="40% - Accent6 83 33 3" xfId="25215" xr:uid="{00000000-0005-0000-0000-000085620000}"/>
    <cellStyle name="40% - Accent6 83 34" xfId="25216" xr:uid="{00000000-0005-0000-0000-000086620000}"/>
    <cellStyle name="40% - Accent6 83 34 2" xfId="25217" xr:uid="{00000000-0005-0000-0000-000087620000}"/>
    <cellStyle name="40% - Accent6 83 34 2 2" xfId="25218" xr:uid="{00000000-0005-0000-0000-000088620000}"/>
    <cellStyle name="40% - Accent6 83 34 3" xfId="25219" xr:uid="{00000000-0005-0000-0000-000089620000}"/>
    <cellStyle name="40% - Accent6 83 35" xfId="25220" xr:uid="{00000000-0005-0000-0000-00008A620000}"/>
    <cellStyle name="40% - Accent6 83 35 2" xfId="25221" xr:uid="{00000000-0005-0000-0000-00008B620000}"/>
    <cellStyle name="40% - Accent6 83 35 2 2" xfId="25222" xr:uid="{00000000-0005-0000-0000-00008C620000}"/>
    <cellStyle name="40% - Accent6 83 35 3" xfId="25223" xr:uid="{00000000-0005-0000-0000-00008D620000}"/>
    <cellStyle name="40% - Accent6 83 36" xfId="25224" xr:uid="{00000000-0005-0000-0000-00008E620000}"/>
    <cellStyle name="40% - Accent6 83 36 2" xfId="25225" xr:uid="{00000000-0005-0000-0000-00008F620000}"/>
    <cellStyle name="40% - Accent6 83 36 2 2" xfId="25226" xr:uid="{00000000-0005-0000-0000-000090620000}"/>
    <cellStyle name="40% - Accent6 83 36 3" xfId="25227" xr:uid="{00000000-0005-0000-0000-000091620000}"/>
    <cellStyle name="40% - Accent6 83 4" xfId="25228" xr:uid="{00000000-0005-0000-0000-000092620000}"/>
    <cellStyle name="40% - Accent6 83 4 2" xfId="25229" xr:uid="{00000000-0005-0000-0000-000093620000}"/>
    <cellStyle name="40% - Accent6 83 4 2 2" xfId="25230" xr:uid="{00000000-0005-0000-0000-000094620000}"/>
    <cellStyle name="40% - Accent6 83 4 3" xfId="25231" xr:uid="{00000000-0005-0000-0000-000095620000}"/>
    <cellStyle name="40% - Accent6 83 5" xfId="25232" xr:uid="{00000000-0005-0000-0000-000096620000}"/>
    <cellStyle name="40% - Accent6 83 5 2" xfId="25233" xr:uid="{00000000-0005-0000-0000-000097620000}"/>
    <cellStyle name="40% - Accent6 83 5 2 2" xfId="25234" xr:uid="{00000000-0005-0000-0000-000098620000}"/>
    <cellStyle name="40% - Accent6 83 5 3" xfId="25235" xr:uid="{00000000-0005-0000-0000-000099620000}"/>
    <cellStyle name="40% - Accent6 83 6" xfId="25236" xr:uid="{00000000-0005-0000-0000-00009A620000}"/>
    <cellStyle name="40% - Accent6 83 6 2" xfId="25237" xr:uid="{00000000-0005-0000-0000-00009B620000}"/>
    <cellStyle name="40% - Accent6 83 6 2 2" xfId="25238" xr:uid="{00000000-0005-0000-0000-00009C620000}"/>
    <cellStyle name="40% - Accent6 83 6 3" xfId="25239" xr:uid="{00000000-0005-0000-0000-00009D620000}"/>
    <cellStyle name="40% - Accent6 83 7" xfId="25240" xr:uid="{00000000-0005-0000-0000-00009E620000}"/>
    <cellStyle name="40% - Accent6 83 7 2" xfId="25241" xr:uid="{00000000-0005-0000-0000-00009F620000}"/>
    <cellStyle name="40% - Accent6 83 7 2 2" xfId="25242" xr:uid="{00000000-0005-0000-0000-0000A0620000}"/>
    <cellStyle name="40% - Accent6 83 7 3" xfId="25243" xr:uid="{00000000-0005-0000-0000-0000A1620000}"/>
    <cellStyle name="40% - Accent6 83 8" xfId="25244" xr:uid="{00000000-0005-0000-0000-0000A2620000}"/>
    <cellStyle name="40% - Accent6 83 8 2" xfId="25245" xr:uid="{00000000-0005-0000-0000-0000A3620000}"/>
    <cellStyle name="40% - Accent6 83 8 2 2" xfId="25246" xr:uid="{00000000-0005-0000-0000-0000A4620000}"/>
    <cellStyle name="40% - Accent6 83 8 3" xfId="25247" xr:uid="{00000000-0005-0000-0000-0000A5620000}"/>
    <cellStyle name="40% - Accent6 83 9" xfId="25248" xr:uid="{00000000-0005-0000-0000-0000A6620000}"/>
    <cellStyle name="40% - Accent6 83 9 2" xfId="25249" xr:uid="{00000000-0005-0000-0000-0000A7620000}"/>
    <cellStyle name="40% - Accent6 83 9 2 2" xfId="25250" xr:uid="{00000000-0005-0000-0000-0000A8620000}"/>
    <cellStyle name="40% - Accent6 83 9 3" xfId="25251" xr:uid="{00000000-0005-0000-0000-0000A9620000}"/>
    <cellStyle name="40% - Accent6 84" xfId="25252" xr:uid="{00000000-0005-0000-0000-0000AA620000}"/>
    <cellStyle name="40% - Accent6 84 10" xfId="25253" xr:uid="{00000000-0005-0000-0000-0000AB620000}"/>
    <cellStyle name="40% - Accent6 84 10 2" xfId="25254" xr:uid="{00000000-0005-0000-0000-0000AC620000}"/>
    <cellStyle name="40% - Accent6 84 10 2 2" xfId="25255" xr:uid="{00000000-0005-0000-0000-0000AD620000}"/>
    <cellStyle name="40% - Accent6 84 10 3" xfId="25256" xr:uid="{00000000-0005-0000-0000-0000AE620000}"/>
    <cellStyle name="40% - Accent6 84 11" xfId="25257" xr:uid="{00000000-0005-0000-0000-0000AF620000}"/>
    <cellStyle name="40% - Accent6 84 11 2" xfId="25258" xr:uid="{00000000-0005-0000-0000-0000B0620000}"/>
    <cellStyle name="40% - Accent6 84 11 2 2" xfId="25259" xr:uid="{00000000-0005-0000-0000-0000B1620000}"/>
    <cellStyle name="40% - Accent6 84 11 3" xfId="25260" xr:uid="{00000000-0005-0000-0000-0000B2620000}"/>
    <cellStyle name="40% - Accent6 84 12" xfId="25261" xr:uid="{00000000-0005-0000-0000-0000B3620000}"/>
    <cellStyle name="40% - Accent6 84 12 2" xfId="25262" xr:uid="{00000000-0005-0000-0000-0000B4620000}"/>
    <cellStyle name="40% - Accent6 84 12 2 2" xfId="25263" xr:uid="{00000000-0005-0000-0000-0000B5620000}"/>
    <cellStyle name="40% - Accent6 84 12 3" xfId="25264" xr:uid="{00000000-0005-0000-0000-0000B6620000}"/>
    <cellStyle name="40% - Accent6 84 13" xfId="25265" xr:uid="{00000000-0005-0000-0000-0000B7620000}"/>
    <cellStyle name="40% - Accent6 84 13 2" xfId="25266" xr:uid="{00000000-0005-0000-0000-0000B8620000}"/>
    <cellStyle name="40% - Accent6 84 13 2 2" xfId="25267" xr:uid="{00000000-0005-0000-0000-0000B9620000}"/>
    <cellStyle name="40% - Accent6 84 13 3" xfId="25268" xr:uid="{00000000-0005-0000-0000-0000BA620000}"/>
    <cellStyle name="40% - Accent6 84 14" xfId="25269" xr:uid="{00000000-0005-0000-0000-0000BB620000}"/>
    <cellStyle name="40% - Accent6 84 14 2" xfId="25270" xr:uid="{00000000-0005-0000-0000-0000BC620000}"/>
    <cellStyle name="40% - Accent6 84 14 2 2" xfId="25271" xr:uid="{00000000-0005-0000-0000-0000BD620000}"/>
    <cellStyle name="40% - Accent6 84 14 3" xfId="25272" xr:uid="{00000000-0005-0000-0000-0000BE620000}"/>
    <cellStyle name="40% - Accent6 84 15" xfId="25273" xr:uid="{00000000-0005-0000-0000-0000BF620000}"/>
    <cellStyle name="40% - Accent6 84 15 2" xfId="25274" xr:uid="{00000000-0005-0000-0000-0000C0620000}"/>
    <cellStyle name="40% - Accent6 84 15 2 2" xfId="25275" xr:uid="{00000000-0005-0000-0000-0000C1620000}"/>
    <cellStyle name="40% - Accent6 84 15 3" xfId="25276" xr:uid="{00000000-0005-0000-0000-0000C2620000}"/>
    <cellStyle name="40% - Accent6 84 16" xfId="25277" xr:uid="{00000000-0005-0000-0000-0000C3620000}"/>
    <cellStyle name="40% - Accent6 84 16 2" xfId="25278" xr:uid="{00000000-0005-0000-0000-0000C4620000}"/>
    <cellStyle name="40% - Accent6 84 16 2 2" xfId="25279" xr:uid="{00000000-0005-0000-0000-0000C5620000}"/>
    <cellStyle name="40% - Accent6 84 16 3" xfId="25280" xr:uid="{00000000-0005-0000-0000-0000C6620000}"/>
    <cellStyle name="40% - Accent6 84 17" xfId="25281" xr:uid="{00000000-0005-0000-0000-0000C7620000}"/>
    <cellStyle name="40% - Accent6 84 17 2" xfId="25282" xr:uid="{00000000-0005-0000-0000-0000C8620000}"/>
    <cellStyle name="40% - Accent6 84 17 2 2" xfId="25283" xr:uid="{00000000-0005-0000-0000-0000C9620000}"/>
    <cellStyle name="40% - Accent6 84 17 3" xfId="25284" xr:uid="{00000000-0005-0000-0000-0000CA620000}"/>
    <cellStyle name="40% - Accent6 84 18" xfId="25285" xr:uid="{00000000-0005-0000-0000-0000CB620000}"/>
    <cellStyle name="40% - Accent6 84 18 2" xfId="25286" xr:uid="{00000000-0005-0000-0000-0000CC620000}"/>
    <cellStyle name="40% - Accent6 84 18 2 2" xfId="25287" xr:uid="{00000000-0005-0000-0000-0000CD620000}"/>
    <cellStyle name="40% - Accent6 84 18 3" xfId="25288" xr:uid="{00000000-0005-0000-0000-0000CE620000}"/>
    <cellStyle name="40% - Accent6 84 19" xfId="25289" xr:uid="{00000000-0005-0000-0000-0000CF620000}"/>
    <cellStyle name="40% - Accent6 84 19 2" xfId="25290" xr:uid="{00000000-0005-0000-0000-0000D0620000}"/>
    <cellStyle name="40% - Accent6 84 19 2 2" xfId="25291" xr:uid="{00000000-0005-0000-0000-0000D1620000}"/>
    <cellStyle name="40% - Accent6 84 19 3" xfId="25292" xr:uid="{00000000-0005-0000-0000-0000D2620000}"/>
    <cellStyle name="40% - Accent6 84 2" xfId="25293" xr:uid="{00000000-0005-0000-0000-0000D3620000}"/>
    <cellStyle name="40% - Accent6 84 2 2" xfId="25294" xr:uid="{00000000-0005-0000-0000-0000D4620000}"/>
    <cellStyle name="40% - Accent6 84 2 2 2" xfId="25295" xr:uid="{00000000-0005-0000-0000-0000D5620000}"/>
    <cellStyle name="40% - Accent6 84 2 3" xfId="25296" xr:uid="{00000000-0005-0000-0000-0000D6620000}"/>
    <cellStyle name="40% - Accent6 84 20" xfId="25297" xr:uid="{00000000-0005-0000-0000-0000D7620000}"/>
    <cellStyle name="40% - Accent6 84 20 2" xfId="25298" xr:uid="{00000000-0005-0000-0000-0000D8620000}"/>
    <cellStyle name="40% - Accent6 84 20 2 2" xfId="25299" xr:uid="{00000000-0005-0000-0000-0000D9620000}"/>
    <cellStyle name="40% - Accent6 84 20 3" xfId="25300" xr:uid="{00000000-0005-0000-0000-0000DA620000}"/>
    <cellStyle name="40% - Accent6 84 21" xfId="25301" xr:uid="{00000000-0005-0000-0000-0000DB620000}"/>
    <cellStyle name="40% - Accent6 84 21 2" xfId="25302" xr:uid="{00000000-0005-0000-0000-0000DC620000}"/>
    <cellStyle name="40% - Accent6 84 21 2 2" xfId="25303" xr:uid="{00000000-0005-0000-0000-0000DD620000}"/>
    <cellStyle name="40% - Accent6 84 21 3" xfId="25304" xr:uid="{00000000-0005-0000-0000-0000DE620000}"/>
    <cellStyle name="40% - Accent6 84 22" xfId="25305" xr:uid="{00000000-0005-0000-0000-0000DF620000}"/>
    <cellStyle name="40% - Accent6 84 22 2" xfId="25306" xr:uid="{00000000-0005-0000-0000-0000E0620000}"/>
    <cellStyle name="40% - Accent6 84 22 2 2" xfId="25307" xr:uid="{00000000-0005-0000-0000-0000E1620000}"/>
    <cellStyle name="40% - Accent6 84 22 3" xfId="25308" xr:uid="{00000000-0005-0000-0000-0000E2620000}"/>
    <cellStyle name="40% - Accent6 84 23" xfId="25309" xr:uid="{00000000-0005-0000-0000-0000E3620000}"/>
    <cellStyle name="40% - Accent6 84 23 2" xfId="25310" xr:uid="{00000000-0005-0000-0000-0000E4620000}"/>
    <cellStyle name="40% - Accent6 84 23 2 2" xfId="25311" xr:uid="{00000000-0005-0000-0000-0000E5620000}"/>
    <cellStyle name="40% - Accent6 84 23 3" xfId="25312" xr:uid="{00000000-0005-0000-0000-0000E6620000}"/>
    <cellStyle name="40% - Accent6 84 24" xfId="25313" xr:uid="{00000000-0005-0000-0000-0000E7620000}"/>
    <cellStyle name="40% - Accent6 84 24 2" xfId="25314" xr:uid="{00000000-0005-0000-0000-0000E8620000}"/>
    <cellStyle name="40% - Accent6 84 24 2 2" xfId="25315" xr:uid="{00000000-0005-0000-0000-0000E9620000}"/>
    <cellStyle name="40% - Accent6 84 24 3" xfId="25316" xr:uid="{00000000-0005-0000-0000-0000EA620000}"/>
    <cellStyle name="40% - Accent6 84 25" xfId="25317" xr:uid="{00000000-0005-0000-0000-0000EB620000}"/>
    <cellStyle name="40% - Accent6 84 25 2" xfId="25318" xr:uid="{00000000-0005-0000-0000-0000EC620000}"/>
    <cellStyle name="40% - Accent6 84 25 2 2" xfId="25319" xr:uid="{00000000-0005-0000-0000-0000ED620000}"/>
    <cellStyle name="40% - Accent6 84 25 3" xfId="25320" xr:uid="{00000000-0005-0000-0000-0000EE620000}"/>
    <cellStyle name="40% - Accent6 84 26" xfId="25321" xr:uid="{00000000-0005-0000-0000-0000EF620000}"/>
    <cellStyle name="40% - Accent6 84 26 2" xfId="25322" xr:uid="{00000000-0005-0000-0000-0000F0620000}"/>
    <cellStyle name="40% - Accent6 84 26 2 2" xfId="25323" xr:uid="{00000000-0005-0000-0000-0000F1620000}"/>
    <cellStyle name="40% - Accent6 84 26 3" xfId="25324" xr:uid="{00000000-0005-0000-0000-0000F2620000}"/>
    <cellStyle name="40% - Accent6 84 27" xfId="25325" xr:uid="{00000000-0005-0000-0000-0000F3620000}"/>
    <cellStyle name="40% - Accent6 84 27 2" xfId="25326" xr:uid="{00000000-0005-0000-0000-0000F4620000}"/>
    <cellStyle name="40% - Accent6 84 27 2 2" xfId="25327" xr:uid="{00000000-0005-0000-0000-0000F5620000}"/>
    <cellStyle name="40% - Accent6 84 27 3" xfId="25328" xr:uid="{00000000-0005-0000-0000-0000F6620000}"/>
    <cellStyle name="40% - Accent6 84 28" xfId="25329" xr:uid="{00000000-0005-0000-0000-0000F7620000}"/>
    <cellStyle name="40% - Accent6 84 28 2" xfId="25330" xr:uid="{00000000-0005-0000-0000-0000F8620000}"/>
    <cellStyle name="40% - Accent6 84 28 2 2" xfId="25331" xr:uid="{00000000-0005-0000-0000-0000F9620000}"/>
    <cellStyle name="40% - Accent6 84 28 3" xfId="25332" xr:uid="{00000000-0005-0000-0000-0000FA620000}"/>
    <cellStyle name="40% - Accent6 84 29" xfId="25333" xr:uid="{00000000-0005-0000-0000-0000FB620000}"/>
    <cellStyle name="40% - Accent6 84 29 2" xfId="25334" xr:uid="{00000000-0005-0000-0000-0000FC620000}"/>
    <cellStyle name="40% - Accent6 84 29 2 2" xfId="25335" xr:uid="{00000000-0005-0000-0000-0000FD620000}"/>
    <cellStyle name="40% - Accent6 84 29 3" xfId="25336" xr:uid="{00000000-0005-0000-0000-0000FE620000}"/>
    <cellStyle name="40% - Accent6 84 3" xfId="25337" xr:uid="{00000000-0005-0000-0000-0000FF620000}"/>
    <cellStyle name="40% - Accent6 84 3 2" xfId="25338" xr:uid="{00000000-0005-0000-0000-000000630000}"/>
    <cellStyle name="40% - Accent6 84 3 2 2" xfId="25339" xr:uid="{00000000-0005-0000-0000-000001630000}"/>
    <cellStyle name="40% - Accent6 84 3 3" xfId="25340" xr:uid="{00000000-0005-0000-0000-000002630000}"/>
    <cellStyle name="40% - Accent6 84 30" xfId="25341" xr:uid="{00000000-0005-0000-0000-000003630000}"/>
    <cellStyle name="40% - Accent6 84 30 2" xfId="25342" xr:uid="{00000000-0005-0000-0000-000004630000}"/>
    <cellStyle name="40% - Accent6 84 30 2 2" xfId="25343" xr:uid="{00000000-0005-0000-0000-000005630000}"/>
    <cellStyle name="40% - Accent6 84 30 3" xfId="25344" xr:uid="{00000000-0005-0000-0000-000006630000}"/>
    <cellStyle name="40% - Accent6 84 31" xfId="25345" xr:uid="{00000000-0005-0000-0000-000007630000}"/>
    <cellStyle name="40% - Accent6 84 31 2" xfId="25346" xr:uid="{00000000-0005-0000-0000-000008630000}"/>
    <cellStyle name="40% - Accent6 84 31 2 2" xfId="25347" xr:uid="{00000000-0005-0000-0000-000009630000}"/>
    <cellStyle name="40% - Accent6 84 31 3" xfId="25348" xr:uid="{00000000-0005-0000-0000-00000A630000}"/>
    <cellStyle name="40% - Accent6 84 32" xfId="25349" xr:uid="{00000000-0005-0000-0000-00000B630000}"/>
    <cellStyle name="40% - Accent6 84 32 2" xfId="25350" xr:uid="{00000000-0005-0000-0000-00000C630000}"/>
    <cellStyle name="40% - Accent6 84 32 2 2" xfId="25351" xr:uid="{00000000-0005-0000-0000-00000D630000}"/>
    <cellStyle name="40% - Accent6 84 32 3" xfId="25352" xr:uid="{00000000-0005-0000-0000-00000E630000}"/>
    <cellStyle name="40% - Accent6 84 33" xfId="25353" xr:uid="{00000000-0005-0000-0000-00000F630000}"/>
    <cellStyle name="40% - Accent6 84 33 2" xfId="25354" xr:uid="{00000000-0005-0000-0000-000010630000}"/>
    <cellStyle name="40% - Accent6 84 33 2 2" xfId="25355" xr:uid="{00000000-0005-0000-0000-000011630000}"/>
    <cellStyle name="40% - Accent6 84 33 3" xfId="25356" xr:uid="{00000000-0005-0000-0000-000012630000}"/>
    <cellStyle name="40% - Accent6 84 34" xfId="25357" xr:uid="{00000000-0005-0000-0000-000013630000}"/>
    <cellStyle name="40% - Accent6 84 34 2" xfId="25358" xr:uid="{00000000-0005-0000-0000-000014630000}"/>
    <cellStyle name="40% - Accent6 84 34 2 2" xfId="25359" xr:uid="{00000000-0005-0000-0000-000015630000}"/>
    <cellStyle name="40% - Accent6 84 34 3" xfId="25360" xr:uid="{00000000-0005-0000-0000-000016630000}"/>
    <cellStyle name="40% - Accent6 84 35" xfId="25361" xr:uid="{00000000-0005-0000-0000-000017630000}"/>
    <cellStyle name="40% - Accent6 84 35 2" xfId="25362" xr:uid="{00000000-0005-0000-0000-000018630000}"/>
    <cellStyle name="40% - Accent6 84 35 2 2" xfId="25363" xr:uid="{00000000-0005-0000-0000-000019630000}"/>
    <cellStyle name="40% - Accent6 84 35 3" xfId="25364" xr:uid="{00000000-0005-0000-0000-00001A630000}"/>
    <cellStyle name="40% - Accent6 84 36" xfId="25365" xr:uid="{00000000-0005-0000-0000-00001B630000}"/>
    <cellStyle name="40% - Accent6 84 36 2" xfId="25366" xr:uid="{00000000-0005-0000-0000-00001C630000}"/>
    <cellStyle name="40% - Accent6 84 36 2 2" xfId="25367" xr:uid="{00000000-0005-0000-0000-00001D630000}"/>
    <cellStyle name="40% - Accent6 84 36 3" xfId="25368" xr:uid="{00000000-0005-0000-0000-00001E630000}"/>
    <cellStyle name="40% - Accent6 84 4" xfId="25369" xr:uid="{00000000-0005-0000-0000-00001F630000}"/>
    <cellStyle name="40% - Accent6 84 4 2" xfId="25370" xr:uid="{00000000-0005-0000-0000-000020630000}"/>
    <cellStyle name="40% - Accent6 84 4 2 2" xfId="25371" xr:uid="{00000000-0005-0000-0000-000021630000}"/>
    <cellStyle name="40% - Accent6 84 4 3" xfId="25372" xr:uid="{00000000-0005-0000-0000-000022630000}"/>
    <cellStyle name="40% - Accent6 84 5" xfId="25373" xr:uid="{00000000-0005-0000-0000-000023630000}"/>
    <cellStyle name="40% - Accent6 84 5 2" xfId="25374" xr:uid="{00000000-0005-0000-0000-000024630000}"/>
    <cellStyle name="40% - Accent6 84 5 2 2" xfId="25375" xr:uid="{00000000-0005-0000-0000-000025630000}"/>
    <cellStyle name="40% - Accent6 84 5 3" xfId="25376" xr:uid="{00000000-0005-0000-0000-000026630000}"/>
    <cellStyle name="40% - Accent6 84 6" xfId="25377" xr:uid="{00000000-0005-0000-0000-000027630000}"/>
    <cellStyle name="40% - Accent6 84 6 2" xfId="25378" xr:uid="{00000000-0005-0000-0000-000028630000}"/>
    <cellStyle name="40% - Accent6 84 6 2 2" xfId="25379" xr:uid="{00000000-0005-0000-0000-000029630000}"/>
    <cellStyle name="40% - Accent6 84 6 3" xfId="25380" xr:uid="{00000000-0005-0000-0000-00002A630000}"/>
    <cellStyle name="40% - Accent6 84 7" xfId="25381" xr:uid="{00000000-0005-0000-0000-00002B630000}"/>
    <cellStyle name="40% - Accent6 84 7 2" xfId="25382" xr:uid="{00000000-0005-0000-0000-00002C630000}"/>
    <cellStyle name="40% - Accent6 84 7 2 2" xfId="25383" xr:uid="{00000000-0005-0000-0000-00002D630000}"/>
    <cellStyle name="40% - Accent6 84 7 3" xfId="25384" xr:uid="{00000000-0005-0000-0000-00002E630000}"/>
    <cellStyle name="40% - Accent6 84 8" xfId="25385" xr:uid="{00000000-0005-0000-0000-00002F630000}"/>
    <cellStyle name="40% - Accent6 84 8 2" xfId="25386" xr:uid="{00000000-0005-0000-0000-000030630000}"/>
    <cellStyle name="40% - Accent6 84 8 2 2" xfId="25387" xr:uid="{00000000-0005-0000-0000-000031630000}"/>
    <cellStyle name="40% - Accent6 84 8 3" xfId="25388" xr:uid="{00000000-0005-0000-0000-000032630000}"/>
    <cellStyle name="40% - Accent6 84 9" xfId="25389" xr:uid="{00000000-0005-0000-0000-000033630000}"/>
    <cellStyle name="40% - Accent6 84 9 2" xfId="25390" xr:uid="{00000000-0005-0000-0000-000034630000}"/>
    <cellStyle name="40% - Accent6 84 9 2 2" xfId="25391" xr:uid="{00000000-0005-0000-0000-000035630000}"/>
    <cellStyle name="40% - Accent6 84 9 3" xfId="25392" xr:uid="{00000000-0005-0000-0000-000036630000}"/>
    <cellStyle name="40% - Accent6 85" xfId="25393" xr:uid="{00000000-0005-0000-0000-000037630000}"/>
    <cellStyle name="40% - Accent6 85 10" xfId="25394" xr:uid="{00000000-0005-0000-0000-000038630000}"/>
    <cellStyle name="40% - Accent6 85 10 2" xfId="25395" xr:uid="{00000000-0005-0000-0000-000039630000}"/>
    <cellStyle name="40% - Accent6 85 10 2 2" xfId="25396" xr:uid="{00000000-0005-0000-0000-00003A630000}"/>
    <cellStyle name="40% - Accent6 85 10 3" xfId="25397" xr:uid="{00000000-0005-0000-0000-00003B630000}"/>
    <cellStyle name="40% - Accent6 85 11" xfId="25398" xr:uid="{00000000-0005-0000-0000-00003C630000}"/>
    <cellStyle name="40% - Accent6 85 11 2" xfId="25399" xr:uid="{00000000-0005-0000-0000-00003D630000}"/>
    <cellStyle name="40% - Accent6 85 11 2 2" xfId="25400" xr:uid="{00000000-0005-0000-0000-00003E630000}"/>
    <cellStyle name="40% - Accent6 85 11 3" xfId="25401" xr:uid="{00000000-0005-0000-0000-00003F630000}"/>
    <cellStyle name="40% - Accent6 85 12" xfId="25402" xr:uid="{00000000-0005-0000-0000-000040630000}"/>
    <cellStyle name="40% - Accent6 85 12 2" xfId="25403" xr:uid="{00000000-0005-0000-0000-000041630000}"/>
    <cellStyle name="40% - Accent6 85 12 2 2" xfId="25404" xr:uid="{00000000-0005-0000-0000-000042630000}"/>
    <cellStyle name="40% - Accent6 85 12 3" xfId="25405" xr:uid="{00000000-0005-0000-0000-000043630000}"/>
    <cellStyle name="40% - Accent6 85 13" xfId="25406" xr:uid="{00000000-0005-0000-0000-000044630000}"/>
    <cellStyle name="40% - Accent6 85 13 2" xfId="25407" xr:uid="{00000000-0005-0000-0000-000045630000}"/>
    <cellStyle name="40% - Accent6 85 13 2 2" xfId="25408" xr:uid="{00000000-0005-0000-0000-000046630000}"/>
    <cellStyle name="40% - Accent6 85 13 3" xfId="25409" xr:uid="{00000000-0005-0000-0000-000047630000}"/>
    <cellStyle name="40% - Accent6 85 14" xfId="25410" xr:uid="{00000000-0005-0000-0000-000048630000}"/>
    <cellStyle name="40% - Accent6 85 14 2" xfId="25411" xr:uid="{00000000-0005-0000-0000-000049630000}"/>
    <cellStyle name="40% - Accent6 85 14 2 2" xfId="25412" xr:uid="{00000000-0005-0000-0000-00004A630000}"/>
    <cellStyle name="40% - Accent6 85 14 3" xfId="25413" xr:uid="{00000000-0005-0000-0000-00004B630000}"/>
    <cellStyle name="40% - Accent6 85 15" xfId="25414" xr:uid="{00000000-0005-0000-0000-00004C630000}"/>
    <cellStyle name="40% - Accent6 85 15 2" xfId="25415" xr:uid="{00000000-0005-0000-0000-00004D630000}"/>
    <cellStyle name="40% - Accent6 85 15 2 2" xfId="25416" xr:uid="{00000000-0005-0000-0000-00004E630000}"/>
    <cellStyle name="40% - Accent6 85 15 3" xfId="25417" xr:uid="{00000000-0005-0000-0000-00004F630000}"/>
    <cellStyle name="40% - Accent6 85 16" xfId="25418" xr:uid="{00000000-0005-0000-0000-000050630000}"/>
    <cellStyle name="40% - Accent6 85 16 2" xfId="25419" xr:uid="{00000000-0005-0000-0000-000051630000}"/>
    <cellStyle name="40% - Accent6 85 16 2 2" xfId="25420" xr:uid="{00000000-0005-0000-0000-000052630000}"/>
    <cellStyle name="40% - Accent6 85 16 3" xfId="25421" xr:uid="{00000000-0005-0000-0000-000053630000}"/>
    <cellStyle name="40% - Accent6 85 17" xfId="25422" xr:uid="{00000000-0005-0000-0000-000054630000}"/>
    <cellStyle name="40% - Accent6 85 17 2" xfId="25423" xr:uid="{00000000-0005-0000-0000-000055630000}"/>
    <cellStyle name="40% - Accent6 85 17 2 2" xfId="25424" xr:uid="{00000000-0005-0000-0000-000056630000}"/>
    <cellStyle name="40% - Accent6 85 17 3" xfId="25425" xr:uid="{00000000-0005-0000-0000-000057630000}"/>
    <cellStyle name="40% - Accent6 85 18" xfId="25426" xr:uid="{00000000-0005-0000-0000-000058630000}"/>
    <cellStyle name="40% - Accent6 85 18 2" xfId="25427" xr:uid="{00000000-0005-0000-0000-000059630000}"/>
    <cellStyle name="40% - Accent6 85 18 2 2" xfId="25428" xr:uid="{00000000-0005-0000-0000-00005A630000}"/>
    <cellStyle name="40% - Accent6 85 18 3" xfId="25429" xr:uid="{00000000-0005-0000-0000-00005B630000}"/>
    <cellStyle name="40% - Accent6 85 19" xfId="25430" xr:uid="{00000000-0005-0000-0000-00005C630000}"/>
    <cellStyle name="40% - Accent6 85 19 2" xfId="25431" xr:uid="{00000000-0005-0000-0000-00005D630000}"/>
    <cellStyle name="40% - Accent6 85 19 2 2" xfId="25432" xr:uid="{00000000-0005-0000-0000-00005E630000}"/>
    <cellStyle name="40% - Accent6 85 19 3" xfId="25433" xr:uid="{00000000-0005-0000-0000-00005F630000}"/>
    <cellStyle name="40% - Accent6 85 2" xfId="25434" xr:uid="{00000000-0005-0000-0000-000060630000}"/>
    <cellStyle name="40% - Accent6 85 2 2" xfId="25435" xr:uid="{00000000-0005-0000-0000-000061630000}"/>
    <cellStyle name="40% - Accent6 85 2 2 2" xfId="25436" xr:uid="{00000000-0005-0000-0000-000062630000}"/>
    <cellStyle name="40% - Accent6 85 2 3" xfId="25437" xr:uid="{00000000-0005-0000-0000-000063630000}"/>
    <cellStyle name="40% - Accent6 85 20" xfId="25438" xr:uid="{00000000-0005-0000-0000-000064630000}"/>
    <cellStyle name="40% - Accent6 85 20 2" xfId="25439" xr:uid="{00000000-0005-0000-0000-000065630000}"/>
    <cellStyle name="40% - Accent6 85 20 2 2" xfId="25440" xr:uid="{00000000-0005-0000-0000-000066630000}"/>
    <cellStyle name="40% - Accent6 85 20 3" xfId="25441" xr:uid="{00000000-0005-0000-0000-000067630000}"/>
    <cellStyle name="40% - Accent6 85 21" xfId="25442" xr:uid="{00000000-0005-0000-0000-000068630000}"/>
    <cellStyle name="40% - Accent6 85 21 2" xfId="25443" xr:uid="{00000000-0005-0000-0000-000069630000}"/>
    <cellStyle name="40% - Accent6 85 21 2 2" xfId="25444" xr:uid="{00000000-0005-0000-0000-00006A630000}"/>
    <cellStyle name="40% - Accent6 85 21 3" xfId="25445" xr:uid="{00000000-0005-0000-0000-00006B630000}"/>
    <cellStyle name="40% - Accent6 85 22" xfId="25446" xr:uid="{00000000-0005-0000-0000-00006C630000}"/>
    <cellStyle name="40% - Accent6 85 22 2" xfId="25447" xr:uid="{00000000-0005-0000-0000-00006D630000}"/>
    <cellStyle name="40% - Accent6 85 22 2 2" xfId="25448" xr:uid="{00000000-0005-0000-0000-00006E630000}"/>
    <cellStyle name="40% - Accent6 85 22 3" xfId="25449" xr:uid="{00000000-0005-0000-0000-00006F630000}"/>
    <cellStyle name="40% - Accent6 85 23" xfId="25450" xr:uid="{00000000-0005-0000-0000-000070630000}"/>
    <cellStyle name="40% - Accent6 85 23 2" xfId="25451" xr:uid="{00000000-0005-0000-0000-000071630000}"/>
    <cellStyle name="40% - Accent6 85 23 2 2" xfId="25452" xr:uid="{00000000-0005-0000-0000-000072630000}"/>
    <cellStyle name="40% - Accent6 85 23 3" xfId="25453" xr:uid="{00000000-0005-0000-0000-000073630000}"/>
    <cellStyle name="40% - Accent6 85 24" xfId="25454" xr:uid="{00000000-0005-0000-0000-000074630000}"/>
    <cellStyle name="40% - Accent6 85 24 2" xfId="25455" xr:uid="{00000000-0005-0000-0000-000075630000}"/>
    <cellStyle name="40% - Accent6 85 24 2 2" xfId="25456" xr:uid="{00000000-0005-0000-0000-000076630000}"/>
    <cellStyle name="40% - Accent6 85 24 3" xfId="25457" xr:uid="{00000000-0005-0000-0000-000077630000}"/>
    <cellStyle name="40% - Accent6 85 25" xfId="25458" xr:uid="{00000000-0005-0000-0000-000078630000}"/>
    <cellStyle name="40% - Accent6 85 25 2" xfId="25459" xr:uid="{00000000-0005-0000-0000-000079630000}"/>
    <cellStyle name="40% - Accent6 85 25 2 2" xfId="25460" xr:uid="{00000000-0005-0000-0000-00007A630000}"/>
    <cellStyle name="40% - Accent6 85 25 3" xfId="25461" xr:uid="{00000000-0005-0000-0000-00007B630000}"/>
    <cellStyle name="40% - Accent6 85 26" xfId="25462" xr:uid="{00000000-0005-0000-0000-00007C630000}"/>
    <cellStyle name="40% - Accent6 85 26 2" xfId="25463" xr:uid="{00000000-0005-0000-0000-00007D630000}"/>
    <cellStyle name="40% - Accent6 85 26 2 2" xfId="25464" xr:uid="{00000000-0005-0000-0000-00007E630000}"/>
    <cellStyle name="40% - Accent6 85 26 3" xfId="25465" xr:uid="{00000000-0005-0000-0000-00007F630000}"/>
    <cellStyle name="40% - Accent6 85 27" xfId="25466" xr:uid="{00000000-0005-0000-0000-000080630000}"/>
    <cellStyle name="40% - Accent6 85 27 2" xfId="25467" xr:uid="{00000000-0005-0000-0000-000081630000}"/>
    <cellStyle name="40% - Accent6 85 27 2 2" xfId="25468" xr:uid="{00000000-0005-0000-0000-000082630000}"/>
    <cellStyle name="40% - Accent6 85 27 3" xfId="25469" xr:uid="{00000000-0005-0000-0000-000083630000}"/>
    <cellStyle name="40% - Accent6 85 28" xfId="25470" xr:uid="{00000000-0005-0000-0000-000084630000}"/>
    <cellStyle name="40% - Accent6 85 28 2" xfId="25471" xr:uid="{00000000-0005-0000-0000-000085630000}"/>
    <cellStyle name="40% - Accent6 85 28 2 2" xfId="25472" xr:uid="{00000000-0005-0000-0000-000086630000}"/>
    <cellStyle name="40% - Accent6 85 28 3" xfId="25473" xr:uid="{00000000-0005-0000-0000-000087630000}"/>
    <cellStyle name="40% - Accent6 85 29" xfId="25474" xr:uid="{00000000-0005-0000-0000-000088630000}"/>
    <cellStyle name="40% - Accent6 85 29 2" xfId="25475" xr:uid="{00000000-0005-0000-0000-000089630000}"/>
    <cellStyle name="40% - Accent6 85 29 2 2" xfId="25476" xr:uid="{00000000-0005-0000-0000-00008A630000}"/>
    <cellStyle name="40% - Accent6 85 29 3" xfId="25477" xr:uid="{00000000-0005-0000-0000-00008B630000}"/>
    <cellStyle name="40% - Accent6 85 3" xfId="25478" xr:uid="{00000000-0005-0000-0000-00008C630000}"/>
    <cellStyle name="40% - Accent6 85 3 2" xfId="25479" xr:uid="{00000000-0005-0000-0000-00008D630000}"/>
    <cellStyle name="40% - Accent6 85 3 2 2" xfId="25480" xr:uid="{00000000-0005-0000-0000-00008E630000}"/>
    <cellStyle name="40% - Accent6 85 3 3" xfId="25481" xr:uid="{00000000-0005-0000-0000-00008F630000}"/>
    <cellStyle name="40% - Accent6 85 30" xfId="25482" xr:uid="{00000000-0005-0000-0000-000090630000}"/>
    <cellStyle name="40% - Accent6 85 30 2" xfId="25483" xr:uid="{00000000-0005-0000-0000-000091630000}"/>
    <cellStyle name="40% - Accent6 85 30 2 2" xfId="25484" xr:uid="{00000000-0005-0000-0000-000092630000}"/>
    <cellStyle name="40% - Accent6 85 30 3" xfId="25485" xr:uid="{00000000-0005-0000-0000-000093630000}"/>
    <cellStyle name="40% - Accent6 85 31" xfId="25486" xr:uid="{00000000-0005-0000-0000-000094630000}"/>
    <cellStyle name="40% - Accent6 85 31 2" xfId="25487" xr:uid="{00000000-0005-0000-0000-000095630000}"/>
    <cellStyle name="40% - Accent6 85 31 2 2" xfId="25488" xr:uid="{00000000-0005-0000-0000-000096630000}"/>
    <cellStyle name="40% - Accent6 85 31 3" xfId="25489" xr:uid="{00000000-0005-0000-0000-000097630000}"/>
    <cellStyle name="40% - Accent6 85 32" xfId="25490" xr:uid="{00000000-0005-0000-0000-000098630000}"/>
    <cellStyle name="40% - Accent6 85 32 2" xfId="25491" xr:uid="{00000000-0005-0000-0000-000099630000}"/>
    <cellStyle name="40% - Accent6 85 32 2 2" xfId="25492" xr:uid="{00000000-0005-0000-0000-00009A630000}"/>
    <cellStyle name="40% - Accent6 85 32 3" xfId="25493" xr:uid="{00000000-0005-0000-0000-00009B630000}"/>
    <cellStyle name="40% - Accent6 85 33" xfId="25494" xr:uid="{00000000-0005-0000-0000-00009C630000}"/>
    <cellStyle name="40% - Accent6 85 33 2" xfId="25495" xr:uid="{00000000-0005-0000-0000-00009D630000}"/>
    <cellStyle name="40% - Accent6 85 33 2 2" xfId="25496" xr:uid="{00000000-0005-0000-0000-00009E630000}"/>
    <cellStyle name="40% - Accent6 85 33 3" xfId="25497" xr:uid="{00000000-0005-0000-0000-00009F630000}"/>
    <cellStyle name="40% - Accent6 85 34" xfId="25498" xr:uid="{00000000-0005-0000-0000-0000A0630000}"/>
    <cellStyle name="40% - Accent6 85 34 2" xfId="25499" xr:uid="{00000000-0005-0000-0000-0000A1630000}"/>
    <cellStyle name="40% - Accent6 85 34 2 2" xfId="25500" xr:uid="{00000000-0005-0000-0000-0000A2630000}"/>
    <cellStyle name="40% - Accent6 85 34 3" xfId="25501" xr:uid="{00000000-0005-0000-0000-0000A3630000}"/>
    <cellStyle name="40% - Accent6 85 35" xfId="25502" xr:uid="{00000000-0005-0000-0000-0000A4630000}"/>
    <cellStyle name="40% - Accent6 85 35 2" xfId="25503" xr:uid="{00000000-0005-0000-0000-0000A5630000}"/>
    <cellStyle name="40% - Accent6 85 35 2 2" xfId="25504" xr:uid="{00000000-0005-0000-0000-0000A6630000}"/>
    <cellStyle name="40% - Accent6 85 35 3" xfId="25505" xr:uid="{00000000-0005-0000-0000-0000A7630000}"/>
    <cellStyle name="40% - Accent6 85 36" xfId="25506" xr:uid="{00000000-0005-0000-0000-0000A8630000}"/>
    <cellStyle name="40% - Accent6 85 36 2" xfId="25507" xr:uid="{00000000-0005-0000-0000-0000A9630000}"/>
    <cellStyle name="40% - Accent6 85 36 2 2" xfId="25508" xr:uid="{00000000-0005-0000-0000-0000AA630000}"/>
    <cellStyle name="40% - Accent6 85 36 3" xfId="25509" xr:uid="{00000000-0005-0000-0000-0000AB630000}"/>
    <cellStyle name="40% - Accent6 85 4" xfId="25510" xr:uid="{00000000-0005-0000-0000-0000AC630000}"/>
    <cellStyle name="40% - Accent6 85 4 2" xfId="25511" xr:uid="{00000000-0005-0000-0000-0000AD630000}"/>
    <cellStyle name="40% - Accent6 85 4 2 2" xfId="25512" xr:uid="{00000000-0005-0000-0000-0000AE630000}"/>
    <cellStyle name="40% - Accent6 85 4 3" xfId="25513" xr:uid="{00000000-0005-0000-0000-0000AF630000}"/>
    <cellStyle name="40% - Accent6 85 5" xfId="25514" xr:uid="{00000000-0005-0000-0000-0000B0630000}"/>
    <cellStyle name="40% - Accent6 85 5 2" xfId="25515" xr:uid="{00000000-0005-0000-0000-0000B1630000}"/>
    <cellStyle name="40% - Accent6 85 5 2 2" xfId="25516" xr:uid="{00000000-0005-0000-0000-0000B2630000}"/>
    <cellStyle name="40% - Accent6 85 5 3" xfId="25517" xr:uid="{00000000-0005-0000-0000-0000B3630000}"/>
    <cellStyle name="40% - Accent6 85 6" xfId="25518" xr:uid="{00000000-0005-0000-0000-0000B4630000}"/>
    <cellStyle name="40% - Accent6 85 6 2" xfId="25519" xr:uid="{00000000-0005-0000-0000-0000B5630000}"/>
    <cellStyle name="40% - Accent6 85 6 2 2" xfId="25520" xr:uid="{00000000-0005-0000-0000-0000B6630000}"/>
    <cellStyle name="40% - Accent6 85 6 3" xfId="25521" xr:uid="{00000000-0005-0000-0000-0000B7630000}"/>
    <cellStyle name="40% - Accent6 85 7" xfId="25522" xr:uid="{00000000-0005-0000-0000-0000B8630000}"/>
    <cellStyle name="40% - Accent6 85 7 2" xfId="25523" xr:uid="{00000000-0005-0000-0000-0000B9630000}"/>
    <cellStyle name="40% - Accent6 85 7 2 2" xfId="25524" xr:uid="{00000000-0005-0000-0000-0000BA630000}"/>
    <cellStyle name="40% - Accent6 85 7 3" xfId="25525" xr:uid="{00000000-0005-0000-0000-0000BB630000}"/>
    <cellStyle name="40% - Accent6 85 8" xfId="25526" xr:uid="{00000000-0005-0000-0000-0000BC630000}"/>
    <cellStyle name="40% - Accent6 85 8 2" xfId="25527" xr:uid="{00000000-0005-0000-0000-0000BD630000}"/>
    <cellStyle name="40% - Accent6 85 8 2 2" xfId="25528" xr:uid="{00000000-0005-0000-0000-0000BE630000}"/>
    <cellStyle name="40% - Accent6 85 8 3" xfId="25529" xr:uid="{00000000-0005-0000-0000-0000BF630000}"/>
    <cellStyle name="40% - Accent6 85 9" xfId="25530" xr:uid="{00000000-0005-0000-0000-0000C0630000}"/>
    <cellStyle name="40% - Accent6 85 9 2" xfId="25531" xr:uid="{00000000-0005-0000-0000-0000C1630000}"/>
    <cellStyle name="40% - Accent6 85 9 2 2" xfId="25532" xr:uid="{00000000-0005-0000-0000-0000C2630000}"/>
    <cellStyle name="40% - Accent6 85 9 3" xfId="25533" xr:uid="{00000000-0005-0000-0000-0000C3630000}"/>
    <cellStyle name="40% - Accent6 86" xfId="25534" xr:uid="{00000000-0005-0000-0000-0000C4630000}"/>
    <cellStyle name="40% - Accent6 86 10" xfId="25535" xr:uid="{00000000-0005-0000-0000-0000C5630000}"/>
    <cellStyle name="40% - Accent6 86 10 2" xfId="25536" xr:uid="{00000000-0005-0000-0000-0000C6630000}"/>
    <cellStyle name="40% - Accent6 86 10 2 2" xfId="25537" xr:uid="{00000000-0005-0000-0000-0000C7630000}"/>
    <cellStyle name="40% - Accent6 86 10 3" xfId="25538" xr:uid="{00000000-0005-0000-0000-0000C8630000}"/>
    <cellStyle name="40% - Accent6 86 11" xfId="25539" xr:uid="{00000000-0005-0000-0000-0000C9630000}"/>
    <cellStyle name="40% - Accent6 86 11 2" xfId="25540" xr:uid="{00000000-0005-0000-0000-0000CA630000}"/>
    <cellStyle name="40% - Accent6 86 11 2 2" xfId="25541" xr:uid="{00000000-0005-0000-0000-0000CB630000}"/>
    <cellStyle name="40% - Accent6 86 11 3" xfId="25542" xr:uid="{00000000-0005-0000-0000-0000CC630000}"/>
    <cellStyle name="40% - Accent6 86 12" xfId="25543" xr:uid="{00000000-0005-0000-0000-0000CD630000}"/>
    <cellStyle name="40% - Accent6 86 12 2" xfId="25544" xr:uid="{00000000-0005-0000-0000-0000CE630000}"/>
    <cellStyle name="40% - Accent6 86 12 2 2" xfId="25545" xr:uid="{00000000-0005-0000-0000-0000CF630000}"/>
    <cellStyle name="40% - Accent6 86 12 3" xfId="25546" xr:uid="{00000000-0005-0000-0000-0000D0630000}"/>
    <cellStyle name="40% - Accent6 86 13" xfId="25547" xr:uid="{00000000-0005-0000-0000-0000D1630000}"/>
    <cellStyle name="40% - Accent6 86 13 2" xfId="25548" xr:uid="{00000000-0005-0000-0000-0000D2630000}"/>
    <cellStyle name="40% - Accent6 86 13 2 2" xfId="25549" xr:uid="{00000000-0005-0000-0000-0000D3630000}"/>
    <cellStyle name="40% - Accent6 86 13 3" xfId="25550" xr:uid="{00000000-0005-0000-0000-0000D4630000}"/>
    <cellStyle name="40% - Accent6 86 14" xfId="25551" xr:uid="{00000000-0005-0000-0000-0000D5630000}"/>
    <cellStyle name="40% - Accent6 86 14 2" xfId="25552" xr:uid="{00000000-0005-0000-0000-0000D6630000}"/>
    <cellStyle name="40% - Accent6 86 14 2 2" xfId="25553" xr:uid="{00000000-0005-0000-0000-0000D7630000}"/>
    <cellStyle name="40% - Accent6 86 14 3" xfId="25554" xr:uid="{00000000-0005-0000-0000-0000D8630000}"/>
    <cellStyle name="40% - Accent6 86 15" xfId="25555" xr:uid="{00000000-0005-0000-0000-0000D9630000}"/>
    <cellStyle name="40% - Accent6 86 15 2" xfId="25556" xr:uid="{00000000-0005-0000-0000-0000DA630000}"/>
    <cellStyle name="40% - Accent6 86 15 2 2" xfId="25557" xr:uid="{00000000-0005-0000-0000-0000DB630000}"/>
    <cellStyle name="40% - Accent6 86 15 3" xfId="25558" xr:uid="{00000000-0005-0000-0000-0000DC630000}"/>
    <cellStyle name="40% - Accent6 86 16" xfId="25559" xr:uid="{00000000-0005-0000-0000-0000DD630000}"/>
    <cellStyle name="40% - Accent6 86 16 2" xfId="25560" xr:uid="{00000000-0005-0000-0000-0000DE630000}"/>
    <cellStyle name="40% - Accent6 86 16 2 2" xfId="25561" xr:uid="{00000000-0005-0000-0000-0000DF630000}"/>
    <cellStyle name="40% - Accent6 86 16 3" xfId="25562" xr:uid="{00000000-0005-0000-0000-0000E0630000}"/>
    <cellStyle name="40% - Accent6 86 17" xfId="25563" xr:uid="{00000000-0005-0000-0000-0000E1630000}"/>
    <cellStyle name="40% - Accent6 86 17 2" xfId="25564" xr:uid="{00000000-0005-0000-0000-0000E2630000}"/>
    <cellStyle name="40% - Accent6 86 17 2 2" xfId="25565" xr:uid="{00000000-0005-0000-0000-0000E3630000}"/>
    <cellStyle name="40% - Accent6 86 17 3" xfId="25566" xr:uid="{00000000-0005-0000-0000-0000E4630000}"/>
    <cellStyle name="40% - Accent6 86 18" xfId="25567" xr:uid="{00000000-0005-0000-0000-0000E5630000}"/>
    <cellStyle name="40% - Accent6 86 18 2" xfId="25568" xr:uid="{00000000-0005-0000-0000-0000E6630000}"/>
    <cellStyle name="40% - Accent6 86 18 2 2" xfId="25569" xr:uid="{00000000-0005-0000-0000-0000E7630000}"/>
    <cellStyle name="40% - Accent6 86 18 3" xfId="25570" xr:uid="{00000000-0005-0000-0000-0000E8630000}"/>
    <cellStyle name="40% - Accent6 86 19" xfId="25571" xr:uid="{00000000-0005-0000-0000-0000E9630000}"/>
    <cellStyle name="40% - Accent6 86 19 2" xfId="25572" xr:uid="{00000000-0005-0000-0000-0000EA630000}"/>
    <cellStyle name="40% - Accent6 86 19 2 2" xfId="25573" xr:uid="{00000000-0005-0000-0000-0000EB630000}"/>
    <cellStyle name="40% - Accent6 86 19 3" xfId="25574" xr:uid="{00000000-0005-0000-0000-0000EC630000}"/>
    <cellStyle name="40% - Accent6 86 2" xfId="25575" xr:uid="{00000000-0005-0000-0000-0000ED630000}"/>
    <cellStyle name="40% - Accent6 86 2 2" xfId="25576" xr:uid="{00000000-0005-0000-0000-0000EE630000}"/>
    <cellStyle name="40% - Accent6 86 2 2 2" xfId="25577" xr:uid="{00000000-0005-0000-0000-0000EF630000}"/>
    <cellStyle name="40% - Accent6 86 2 3" xfId="25578" xr:uid="{00000000-0005-0000-0000-0000F0630000}"/>
    <cellStyle name="40% - Accent6 86 20" xfId="25579" xr:uid="{00000000-0005-0000-0000-0000F1630000}"/>
    <cellStyle name="40% - Accent6 86 20 2" xfId="25580" xr:uid="{00000000-0005-0000-0000-0000F2630000}"/>
    <cellStyle name="40% - Accent6 86 20 2 2" xfId="25581" xr:uid="{00000000-0005-0000-0000-0000F3630000}"/>
    <cellStyle name="40% - Accent6 86 20 3" xfId="25582" xr:uid="{00000000-0005-0000-0000-0000F4630000}"/>
    <cellStyle name="40% - Accent6 86 21" xfId="25583" xr:uid="{00000000-0005-0000-0000-0000F5630000}"/>
    <cellStyle name="40% - Accent6 86 21 2" xfId="25584" xr:uid="{00000000-0005-0000-0000-0000F6630000}"/>
    <cellStyle name="40% - Accent6 86 21 2 2" xfId="25585" xr:uid="{00000000-0005-0000-0000-0000F7630000}"/>
    <cellStyle name="40% - Accent6 86 21 3" xfId="25586" xr:uid="{00000000-0005-0000-0000-0000F8630000}"/>
    <cellStyle name="40% - Accent6 86 22" xfId="25587" xr:uid="{00000000-0005-0000-0000-0000F9630000}"/>
    <cellStyle name="40% - Accent6 86 22 2" xfId="25588" xr:uid="{00000000-0005-0000-0000-0000FA630000}"/>
    <cellStyle name="40% - Accent6 86 22 2 2" xfId="25589" xr:uid="{00000000-0005-0000-0000-0000FB630000}"/>
    <cellStyle name="40% - Accent6 86 22 3" xfId="25590" xr:uid="{00000000-0005-0000-0000-0000FC630000}"/>
    <cellStyle name="40% - Accent6 86 23" xfId="25591" xr:uid="{00000000-0005-0000-0000-0000FD630000}"/>
    <cellStyle name="40% - Accent6 86 23 2" xfId="25592" xr:uid="{00000000-0005-0000-0000-0000FE630000}"/>
    <cellStyle name="40% - Accent6 86 23 2 2" xfId="25593" xr:uid="{00000000-0005-0000-0000-0000FF630000}"/>
    <cellStyle name="40% - Accent6 86 23 3" xfId="25594" xr:uid="{00000000-0005-0000-0000-000000640000}"/>
    <cellStyle name="40% - Accent6 86 24" xfId="25595" xr:uid="{00000000-0005-0000-0000-000001640000}"/>
    <cellStyle name="40% - Accent6 86 24 2" xfId="25596" xr:uid="{00000000-0005-0000-0000-000002640000}"/>
    <cellStyle name="40% - Accent6 86 24 2 2" xfId="25597" xr:uid="{00000000-0005-0000-0000-000003640000}"/>
    <cellStyle name="40% - Accent6 86 24 3" xfId="25598" xr:uid="{00000000-0005-0000-0000-000004640000}"/>
    <cellStyle name="40% - Accent6 86 25" xfId="25599" xr:uid="{00000000-0005-0000-0000-000005640000}"/>
    <cellStyle name="40% - Accent6 86 25 2" xfId="25600" xr:uid="{00000000-0005-0000-0000-000006640000}"/>
    <cellStyle name="40% - Accent6 86 25 2 2" xfId="25601" xr:uid="{00000000-0005-0000-0000-000007640000}"/>
    <cellStyle name="40% - Accent6 86 25 3" xfId="25602" xr:uid="{00000000-0005-0000-0000-000008640000}"/>
    <cellStyle name="40% - Accent6 86 26" xfId="25603" xr:uid="{00000000-0005-0000-0000-000009640000}"/>
    <cellStyle name="40% - Accent6 86 26 2" xfId="25604" xr:uid="{00000000-0005-0000-0000-00000A640000}"/>
    <cellStyle name="40% - Accent6 86 26 2 2" xfId="25605" xr:uid="{00000000-0005-0000-0000-00000B640000}"/>
    <cellStyle name="40% - Accent6 86 26 3" xfId="25606" xr:uid="{00000000-0005-0000-0000-00000C640000}"/>
    <cellStyle name="40% - Accent6 86 27" xfId="25607" xr:uid="{00000000-0005-0000-0000-00000D640000}"/>
    <cellStyle name="40% - Accent6 86 27 2" xfId="25608" xr:uid="{00000000-0005-0000-0000-00000E640000}"/>
    <cellStyle name="40% - Accent6 86 27 2 2" xfId="25609" xr:uid="{00000000-0005-0000-0000-00000F640000}"/>
    <cellStyle name="40% - Accent6 86 27 3" xfId="25610" xr:uid="{00000000-0005-0000-0000-000010640000}"/>
    <cellStyle name="40% - Accent6 86 28" xfId="25611" xr:uid="{00000000-0005-0000-0000-000011640000}"/>
    <cellStyle name="40% - Accent6 86 28 2" xfId="25612" xr:uid="{00000000-0005-0000-0000-000012640000}"/>
    <cellStyle name="40% - Accent6 86 28 2 2" xfId="25613" xr:uid="{00000000-0005-0000-0000-000013640000}"/>
    <cellStyle name="40% - Accent6 86 28 3" xfId="25614" xr:uid="{00000000-0005-0000-0000-000014640000}"/>
    <cellStyle name="40% - Accent6 86 29" xfId="25615" xr:uid="{00000000-0005-0000-0000-000015640000}"/>
    <cellStyle name="40% - Accent6 86 29 2" xfId="25616" xr:uid="{00000000-0005-0000-0000-000016640000}"/>
    <cellStyle name="40% - Accent6 86 29 2 2" xfId="25617" xr:uid="{00000000-0005-0000-0000-000017640000}"/>
    <cellStyle name="40% - Accent6 86 29 3" xfId="25618" xr:uid="{00000000-0005-0000-0000-000018640000}"/>
    <cellStyle name="40% - Accent6 86 3" xfId="25619" xr:uid="{00000000-0005-0000-0000-000019640000}"/>
    <cellStyle name="40% - Accent6 86 3 2" xfId="25620" xr:uid="{00000000-0005-0000-0000-00001A640000}"/>
    <cellStyle name="40% - Accent6 86 3 2 2" xfId="25621" xr:uid="{00000000-0005-0000-0000-00001B640000}"/>
    <cellStyle name="40% - Accent6 86 3 3" xfId="25622" xr:uid="{00000000-0005-0000-0000-00001C640000}"/>
    <cellStyle name="40% - Accent6 86 30" xfId="25623" xr:uid="{00000000-0005-0000-0000-00001D640000}"/>
    <cellStyle name="40% - Accent6 86 30 2" xfId="25624" xr:uid="{00000000-0005-0000-0000-00001E640000}"/>
    <cellStyle name="40% - Accent6 86 30 2 2" xfId="25625" xr:uid="{00000000-0005-0000-0000-00001F640000}"/>
    <cellStyle name="40% - Accent6 86 30 3" xfId="25626" xr:uid="{00000000-0005-0000-0000-000020640000}"/>
    <cellStyle name="40% - Accent6 86 31" xfId="25627" xr:uid="{00000000-0005-0000-0000-000021640000}"/>
    <cellStyle name="40% - Accent6 86 31 2" xfId="25628" xr:uid="{00000000-0005-0000-0000-000022640000}"/>
    <cellStyle name="40% - Accent6 86 31 2 2" xfId="25629" xr:uid="{00000000-0005-0000-0000-000023640000}"/>
    <cellStyle name="40% - Accent6 86 31 3" xfId="25630" xr:uid="{00000000-0005-0000-0000-000024640000}"/>
    <cellStyle name="40% - Accent6 86 32" xfId="25631" xr:uid="{00000000-0005-0000-0000-000025640000}"/>
    <cellStyle name="40% - Accent6 86 32 2" xfId="25632" xr:uid="{00000000-0005-0000-0000-000026640000}"/>
    <cellStyle name="40% - Accent6 86 32 2 2" xfId="25633" xr:uid="{00000000-0005-0000-0000-000027640000}"/>
    <cellStyle name="40% - Accent6 86 32 3" xfId="25634" xr:uid="{00000000-0005-0000-0000-000028640000}"/>
    <cellStyle name="40% - Accent6 86 33" xfId="25635" xr:uid="{00000000-0005-0000-0000-000029640000}"/>
    <cellStyle name="40% - Accent6 86 33 2" xfId="25636" xr:uid="{00000000-0005-0000-0000-00002A640000}"/>
    <cellStyle name="40% - Accent6 86 33 2 2" xfId="25637" xr:uid="{00000000-0005-0000-0000-00002B640000}"/>
    <cellStyle name="40% - Accent6 86 33 3" xfId="25638" xr:uid="{00000000-0005-0000-0000-00002C640000}"/>
    <cellStyle name="40% - Accent6 86 34" xfId="25639" xr:uid="{00000000-0005-0000-0000-00002D640000}"/>
    <cellStyle name="40% - Accent6 86 34 2" xfId="25640" xr:uid="{00000000-0005-0000-0000-00002E640000}"/>
    <cellStyle name="40% - Accent6 86 34 2 2" xfId="25641" xr:uid="{00000000-0005-0000-0000-00002F640000}"/>
    <cellStyle name="40% - Accent6 86 34 3" xfId="25642" xr:uid="{00000000-0005-0000-0000-000030640000}"/>
    <cellStyle name="40% - Accent6 86 35" xfId="25643" xr:uid="{00000000-0005-0000-0000-000031640000}"/>
    <cellStyle name="40% - Accent6 86 35 2" xfId="25644" xr:uid="{00000000-0005-0000-0000-000032640000}"/>
    <cellStyle name="40% - Accent6 86 35 2 2" xfId="25645" xr:uid="{00000000-0005-0000-0000-000033640000}"/>
    <cellStyle name="40% - Accent6 86 35 3" xfId="25646" xr:uid="{00000000-0005-0000-0000-000034640000}"/>
    <cellStyle name="40% - Accent6 86 36" xfId="25647" xr:uid="{00000000-0005-0000-0000-000035640000}"/>
    <cellStyle name="40% - Accent6 86 36 2" xfId="25648" xr:uid="{00000000-0005-0000-0000-000036640000}"/>
    <cellStyle name="40% - Accent6 86 36 2 2" xfId="25649" xr:uid="{00000000-0005-0000-0000-000037640000}"/>
    <cellStyle name="40% - Accent6 86 36 3" xfId="25650" xr:uid="{00000000-0005-0000-0000-000038640000}"/>
    <cellStyle name="40% - Accent6 86 4" xfId="25651" xr:uid="{00000000-0005-0000-0000-000039640000}"/>
    <cellStyle name="40% - Accent6 86 4 2" xfId="25652" xr:uid="{00000000-0005-0000-0000-00003A640000}"/>
    <cellStyle name="40% - Accent6 86 4 2 2" xfId="25653" xr:uid="{00000000-0005-0000-0000-00003B640000}"/>
    <cellStyle name="40% - Accent6 86 4 3" xfId="25654" xr:uid="{00000000-0005-0000-0000-00003C640000}"/>
    <cellStyle name="40% - Accent6 86 5" xfId="25655" xr:uid="{00000000-0005-0000-0000-00003D640000}"/>
    <cellStyle name="40% - Accent6 86 5 2" xfId="25656" xr:uid="{00000000-0005-0000-0000-00003E640000}"/>
    <cellStyle name="40% - Accent6 86 5 2 2" xfId="25657" xr:uid="{00000000-0005-0000-0000-00003F640000}"/>
    <cellStyle name="40% - Accent6 86 5 3" xfId="25658" xr:uid="{00000000-0005-0000-0000-000040640000}"/>
    <cellStyle name="40% - Accent6 86 6" xfId="25659" xr:uid="{00000000-0005-0000-0000-000041640000}"/>
    <cellStyle name="40% - Accent6 86 6 2" xfId="25660" xr:uid="{00000000-0005-0000-0000-000042640000}"/>
    <cellStyle name="40% - Accent6 86 6 2 2" xfId="25661" xr:uid="{00000000-0005-0000-0000-000043640000}"/>
    <cellStyle name="40% - Accent6 86 6 3" xfId="25662" xr:uid="{00000000-0005-0000-0000-000044640000}"/>
    <cellStyle name="40% - Accent6 86 7" xfId="25663" xr:uid="{00000000-0005-0000-0000-000045640000}"/>
    <cellStyle name="40% - Accent6 86 7 2" xfId="25664" xr:uid="{00000000-0005-0000-0000-000046640000}"/>
    <cellStyle name="40% - Accent6 86 7 2 2" xfId="25665" xr:uid="{00000000-0005-0000-0000-000047640000}"/>
    <cellStyle name="40% - Accent6 86 7 3" xfId="25666" xr:uid="{00000000-0005-0000-0000-000048640000}"/>
    <cellStyle name="40% - Accent6 86 8" xfId="25667" xr:uid="{00000000-0005-0000-0000-000049640000}"/>
    <cellStyle name="40% - Accent6 86 8 2" xfId="25668" xr:uid="{00000000-0005-0000-0000-00004A640000}"/>
    <cellStyle name="40% - Accent6 86 8 2 2" xfId="25669" xr:uid="{00000000-0005-0000-0000-00004B640000}"/>
    <cellStyle name="40% - Accent6 86 8 3" xfId="25670" xr:uid="{00000000-0005-0000-0000-00004C640000}"/>
    <cellStyle name="40% - Accent6 86 9" xfId="25671" xr:uid="{00000000-0005-0000-0000-00004D640000}"/>
    <cellStyle name="40% - Accent6 86 9 2" xfId="25672" xr:uid="{00000000-0005-0000-0000-00004E640000}"/>
    <cellStyle name="40% - Accent6 86 9 2 2" xfId="25673" xr:uid="{00000000-0005-0000-0000-00004F640000}"/>
    <cellStyle name="40% - Accent6 86 9 3" xfId="25674" xr:uid="{00000000-0005-0000-0000-000050640000}"/>
    <cellStyle name="40% - Accent6 87" xfId="25675" xr:uid="{00000000-0005-0000-0000-000051640000}"/>
    <cellStyle name="40% - Accent6 87 10" xfId="25676" xr:uid="{00000000-0005-0000-0000-000052640000}"/>
    <cellStyle name="40% - Accent6 87 10 2" xfId="25677" xr:uid="{00000000-0005-0000-0000-000053640000}"/>
    <cellStyle name="40% - Accent6 87 10 2 2" xfId="25678" xr:uid="{00000000-0005-0000-0000-000054640000}"/>
    <cellStyle name="40% - Accent6 87 10 3" xfId="25679" xr:uid="{00000000-0005-0000-0000-000055640000}"/>
    <cellStyle name="40% - Accent6 87 11" xfId="25680" xr:uid="{00000000-0005-0000-0000-000056640000}"/>
    <cellStyle name="40% - Accent6 87 11 2" xfId="25681" xr:uid="{00000000-0005-0000-0000-000057640000}"/>
    <cellStyle name="40% - Accent6 87 11 2 2" xfId="25682" xr:uid="{00000000-0005-0000-0000-000058640000}"/>
    <cellStyle name="40% - Accent6 87 11 3" xfId="25683" xr:uid="{00000000-0005-0000-0000-000059640000}"/>
    <cellStyle name="40% - Accent6 87 12" xfId="25684" xr:uid="{00000000-0005-0000-0000-00005A640000}"/>
    <cellStyle name="40% - Accent6 87 12 2" xfId="25685" xr:uid="{00000000-0005-0000-0000-00005B640000}"/>
    <cellStyle name="40% - Accent6 87 12 2 2" xfId="25686" xr:uid="{00000000-0005-0000-0000-00005C640000}"/>
    <cellStyle name="40% - Accent6 87 12 3" xfId="25687" xr:uid="{00000000-0005-0000-0000-00005D640000}"/>
    <cellStyle name="40% - Accent6 87 13" xfId="25688" xr:uid="{00000000-0005-0000-0000-00005E640000}"/>
    <cellStyle name="40% - Accent6 87 13 2" xfId="25689" xr:uid="{00000000-0005-0000-0000-00005F640000}"/>
    <cellStyle name="40% - Accent6 87 13 2 2" xfId="25690" xr:uid="{00000000-0005-0000-0000-000060640000}"/>
    <cellStyle name="40% - Accent6 87 13 3" xfId="25691" xr:uid="{00000000-0005-0000-0000-000061640000}"/>
    <cellStyle name="40% - Accent6 87 14" xfId="25692" xr:uid="{00000000-0005-0000-0000-000062640000}"/>
    <cellStyle name="40% - Accent6 87 14 2" xfId="25693" xr:uid="{00000000-0005-0000-0000-000063640000}"/>
    <cellStyle name="40% - Accent6 87 14 2 2" xfId="25694" xr:uid="{00000000-0005-0000-0000-000064640000}"/>
    <cellStyle name="40% - Accent6 87 14 3" xfId="25695" xr:uid="{00000000-0005-0000-0000-000065640000}"/>
    <cellStyle name="40% - Accent6 87 15" xfId="25696" xr:uid="{00000000-0005-0000-0000-000066640000}"/>
    <cellStyle name="40% - Accent6 87 15 2" xfId="25697" xr:uid="{00000000-0005-0000-0000-000067640000}"/>
    <cellStyle name="40% - Accent6 87 15 2 2" xfId="25698" xr:uid="{00000000-0005-0000-0000-000068640000}"/>
    <cellStyle name="40% - Accent6 87 15 3" xfId="25699" xr:uid="{00000000-0005-0000-0000-000069640000}"/>
    <cellStyle name="40% - Accent6 87 16" xfId="25700" xr:uid="{00000000-0005-0000-0000-00006A640000}"/>
    <cellStyle name="40% - Accent6 87 16 2" xfId="25701" xr:uid="{00000000-0005-0000-0000-00006B640000}"/>
    <cellStyle name="40% - Accent6 87 16 2 2" xfId="25702" xr:uid="{00000000-0005-0000-0000-00006C640000}"/>
    <cellStyle name="40% - Accent6 87 16 3" xfId="25703" xr:uid="{00000000-0005-0000-0000-00006D640000}"/>
    <cellStyle name="40% - Accent6 87 17" xfId="25704" xr:uid="{00000000-0005-0000-0000-00006E640000}"/>
    <cellStyle name="40% - Accent6 87 17 2" xfId="25705" xr:uid="{00000000-0005-0000-0000-00006F640000}"/>
    <cellStyle name="40% - Accent6 87 17 2 2" xfId="25706" xr:uid="{00000000-0005-0000-0000-000070640000}"/>
    <cellStyle name="40% - Accent6 87 17 3" xfId="25707" xr:uid="{00000000-0005-0000-0000-000071640000}"/>
    <cellStyle name="40% - Accent6 87 18" xfId="25708" xr:uid="{00000000-0005-0000-0000-000072640000}"/>
    <cellStyle name="40% - Accent6 87 18 2" xfId="25709" xr:uid="{00000000-0005-0000-0000-000073640000}"/>
    <cellStyle name="40% - Accent6 87 18 2 2" xfId="25710" xr:uid="{00000000-0005-0000-0000-000074640000}"/>
    <cellStyle name="40% - Accent6 87 18 3" xfId="25711" xr:uid="{00000000-0005-0000-0000-000075640000}"/>
    <cellStyle name="40% - Accent6 87 19" xfId="25712" xr:uid="{00000000-0005-0000-0000-000076640000}"/>
    <cellStyle name="40% - Accent6 87 19 2" xfId="25713" xr:uid="{00000000-0005-0000-0000-000077640000}"/>
    <cellStyle name="40% - Accent6 87 19 2 2" xfId="25714" xr:uid="{00000000-0005-0000-0000-000078640000}"/>
    <cellStyle name="40% - Accent6 87 19 3" xfId="25715" xr:uid="{00000000-0005-0000-0000-000079640000}"/>
    <cellStyle name="40% - Accent6 87 2" xfId="25716" xr:uid="{00000000-0005-0000-0000-00007A640000}"/>
    <cellStyle name="40% - Accent6 87 2 2" xfId="25717" xr:uid="{00000000-0005-0000-0000-00007B640000}"/>
    <cellStyle name="40% - Accent6 87 2 2 2" xfId="25718" xr:uid="{00000000-0005-0000-0000-00007C640000}"/>
    <cellStyle name="40% - Accent6 87 2 3" xfId="25719" xr:uid="{00000000-0005-0000-0000-00007D640000}"/>
    <cellStyle name="40% - Accent6 87 20" xfId="25720" xr:uid="{00000000-0005-0000-0000-00007E640000}"/>
    <cellStyle name="40% - Accent6 87 20 2" xfId="25721" xr:uid="{00000000-0005-0000-0000-00007F640000}"/>
    <cellStyle name="40% - Accent6 87 20 2 2" xfId="25722" xr:uid="{00000000-0005-0000-0000-000080640000}"/>
    <cellStyle name="40% - Accent6 87 20 3" xfId="25723" xr:uid="{00000000-0005-0000-0000-000081640000}"/>
    <cellStyle name="40% - Accent6 87 21" xfId="25724" xr:uid="{00000000-0005-0000-0000-000082640000}"/>
    <cellStyle name="40% - Accent6 87 21 2" xfId="25725" xr:uid="{00000000-0005-0000-0000-000083640000}"/>
    <cellStyle name="40% - Accent6 87 21 2 2" xfId="25726" xr:uid="{00000000-0005-0000-0000-000084640000}"/>
    <cellStyle name="40% - Accent6 87 21 3" xfId="25727" xr:uid="{00000000-0005-0000-0000-000085640000}"/>
    <cellStyle name="40% - Accent6 87 22" xfId="25728" xr:uid="{00000000-0005-0000-0000-000086640000}"/>
    <cellStyle name="40% - Accent6 87 22 2" xfId="25729" xr:uid="{00000000-0005-0000-0000-000087640000}"/>
    <cellStyle name="40% - Accent6 87 22 2 2" xfId="25730" xr:uid="{00000000-0005-0000-0000-000088640000}"/>
    <cellStyle name="40% - Accent6 87 22 3" xfId="25731" xr:uid="{00000000-0005-0000-0000-000089640000}"/>
    <cellStyle name="40% - Accent6 87 23" xfId="25732" xr:uid="{00000000-0005-0000-0000-00008A640000}"/>
    <cellStyle name="40% - Accent6 87 23 2" xfId="25733" xr:uid="{00000000-0005-0000-0000-00008B640000}"/>
    <cellStyle name="40% - Accent6 87 23 2 2" xfId="25734" xr:uid="{00000000-0005-0000-0000-00008C640000}"/>
    <cellStyle name="40% - Accent6 87 23 3" xfId="25735" xr:uid="{00000000-0005-0000-0000-00008D640000}"/>
    <cellStyle name="40% - Accent6 87 24" xfId="25736" xr:uid="{00000000-0005-0000-0000-00008E640000}"/>
    <cellStyle name="40% - Accent6 87 24 2" xfId="25737" xr:uid="{00000000-0005-0000-0000-00008F640000}"/>
    <cellStyle name="40% - Accent6 87 24 2 2" xfId="25738" xr:uid="{00000000-0005-0000-0000-000090640000}"/>
    <cellStyle name="40% - Accent6 87 24 3" xfId="25739" xr:uid="{00000000-0005-0000-0000-000091640000}"/>
    <cellStyle name="40% - Accent6 87 25" xfId="25740" xr:uid="{00000000-0005-0000-0000-000092640000}"/>
    <cellStyle name="40% - Accent6 87 25 2" xfId="25741" xr:uid="{00000000-0005-0000-0000-000093640000}"/>
    <cellStyle name="40% - Accent6 87 25 2 2" xfId="25742" xr:uid="{00000000-0005-0000-0000-000094640000}"/>
    <cellStyle name="40% - Accent6 87 25 3" xfId="25743" xr:uid="{00000000-0005-0000-0000-000095640000}"/>
    <cellStyle name="40% - Accent6 87 26" xfId="25744" xr:uid="{00000000-0005-0000-0000-000096640000}"/>
    <cellStyle name="40% - Accent6 87 26 2" xfId="25745" xr:uid="{00000000-0005-0000-0000-000097640000}"/>
    <cellStyle name="40% - Accent6 87 26 2 2" xfId="25746" xr:uid="{00000000-0005-0000-0000-000098640000}"/>
    <cellStyle name="40% - Accent6 87 26 3" xfId="25747" xr:uid="{00000000-0005-0000-0000-000099640000}"/>
    <cellStyle name="40% - Accent6 87 27" xfId="25748" xr:uid="{00000000-0005-0000-0000-00009A640000}"/>
    <cellStyle name="40% - Accent6 87 27 2" xfId="25749" xr:uid="{00000000-0005-0000-0000-00009B640000}"/>
    <cellStyle name="40% - Accent6 87 27 2 2" xfId="25750" xr:uid="{00000000-0005-0000-0000-00009C640000}"/>
    <cellStyle name="40% - Accent6 87 27 3" xfId="25751" xr:uid="{00000000-0005-0000-0000-00009D640000}"/>
    <cellStyle name="40% - Accent6 87 28" xfId="25752" xr:uid="{00000000-0005-0000-0000-00009E640000}"/>
    <cellStyle name="40% - Accent6 87 28 2" xfId="25753" xr:uid="{00000000-0005-0000-0000-00009F640000}"/>
    <cellStyle name="40% - Accent6 87 28 2 2" xfId="25754" xr:uid="{00000000-0005-0000-0000-0000A0640000}"/>
    <cellStyle name="40% - Accent6 87 28 3" xfId="25755" xr:uid="{00000000-0005-0000-0000-0000A1640000}"/>
    <cellStyle name="40% - Accent6 87 29" xfId="25756" xr:uid="{00000000-0005-0000-0000-0000A2640000}"/>
    <cellStyle name="40% - Accent6 87 29 2" xfId="25757" xr:uid="{00000000-0005-0000-0000-0000A3640000}"/>
    <cellStyle name="40% - Accent6 87 29 2 2" xfId="25758" xr:uid="{00000000-0005-0000-0000-0000A4640000}"/>
    <cellStyle name="40% - Accent6 87 29 3" xfId="25759" xr:uid="{00000000-0005-0000-0000-0000A5640000}"/>
    <cellStyle name="40% - Accent6 87 3" xfId="25760" xr:uid="{00000000-0005-0000-0000-0000A6640000}"/>
    <cellStyle name="40% - Accent6 87 3 2" xfId="25761" xr:uid="{00000000-0005-0000-0000-0000A7640000}"/>
    <cellStyle name="40% - Accent6 87 3 2 2" xfId="25762" xr:uid="{00000000-0005-0000-0000-0000A8640000}"/>
    <cellStyle name="40% - Accent6 87 3 3" xfId="25763" xr:uid="{00000000-0005-0000-0000-0000A9640000}"/>
    <cellStyle name="40% - Accent6 87 30" xfId="25764" xr:uid="{00000000-0005-0000-0000-0000AA640000}"/>
    <cellStyle name="40% - Accent6 87 30 2" xfId="25765" xr:uid="{00000000-0005-0000-0000-0000AB640000}"/>
    <cellStyle name="40% - Accent6 87 30 2 2" xfId="25766" xr:uid="{00000000-0005-0000-0000-0000AC640000}"/>
    <cellStyle name="40% - Accent6 87 30 3" xfId="25767" xr:uid="{00000000-0005-0000-0000-0000AD640000}"/>
    <cellStyle name="40% - Accent6 87 31" xfId="25768" xr:uid="{00000000-0005-0000-0000-0000AE640000}"/>
    <cellStyle name="40% - Accent6 87 31 2" xfId="25769" xr:uid="{00000000-0005-0000-0000-0000AF640000}"/>
    <cellStyle name="40% - Accent6 87 31 2 2" xfId="25770" xr:uid="{00000000-0005-0000-0000-0000B0640000}"/>
    <cellStyle name="40% - Accent6 87 31 3" xfId="25771" xr:uid="{00000000-0005-0000-0000-0000B1640000}"/>
    <cellStyle name="40% - Accent6 87 32" xfId="25772" xr:uid="{00000000-0005-0000-0000-0000B2640000}"/>
    <cellStyle name="40% - Accent6 87 32 2" xfId="25773" xr:uid="{00000000-0005-0000-0000-0000B3640000}"/>
    <cellStyle name="40% - Accent6 87 32 2 2" xfId="25774" xr:uid="{00000000-0005-0000-0000-0000B4640000}"/>
    <cellStyle name="40% - Accent6 87 32 3" xfId="25775" xr:uid="{00000000-0005-0000-0000-0000B5640000}"/>
    <cellStyle name="40% - Accent6 87 33" xfId="25776" xr:uid="{00000000-0005-0000-0000-0000B6640000}"/>
    <cellStyle name="40% - Accent6 87 33 2" xfId="25777" xr:uid="{00000000-0005-0000-0000-0000B7640000}"/>
    <cellStyle name="40% - Accent6 87 33 2 2" xfId="25778" xr:uid="{00000000-0005-0000-0000-0000B8640000}"/>
    <cellStyle name="40% - Accent6 87 33 3" xfId="25779" xr:uid="{00000000-0005-0000-0000-0000B9640000}"/>
    <cellStyle name="40% - Accent6 87 34" xfId="25780" xr:uid="{00000000-0005-0000-0000-0000BA640000}"/>
    <cellStyle name="40% - Accent6 87 34 2" xfId="25781" xr:uid="{00000000-0005-0000-0000-0000BB640000}"/>
    <cellStyle name="40% - Accent6 87 34 2 2" xfId="25782" xr:uid="{00000000-0005-0000-0000-0000BC640000}"/>
    <cellStyle name="40% - Accent6 87 34 3" xfId="25783" xr:uid="{00000000-0005-0000-0000-0000BD640000}"/>
    <cellStyle name="40% - Accent6 87 35" xfId="25784" xr:uid="{00000000-0005-0000-0000-0000BE640000}"/>
    <cellStyle name="40% - Accent6 87 35 2" xfId="25785" xr:uid="{00000000-0005-0000-0000-0000BF640000}"/>
    <cellStyle name="40% - Accent6 87 35 2 2" xfId="25786" xr:uid="{00000000-0005-0000-0000-0000C0640000}"/>
    <cellStyle name="40% - Accent6 87 35 3" xfId="25787" xr:uid="{00000000-0005-0000-0000-0000C1640000}"/>
    <cellStyle name="40% - Accent6 87 36" xfId="25788" xr:uid="{00000000-0005-0000-0000-0000C2640000}"/>
    <cellStyle name="40% - Accent6 87 36 2" xfId="25789" xr:uid="{00000000-0005-0000-0000-0000C3640000}"/>
    <cellStyle name="40% - Accent6 87 36 2 2" xfId="25790" xr:uid="{00000000-0005-0000-0000-0000C4640000}"/>
    <cellStyle name="40% - Accent6 87 36 3" xfId="25791" xr:uid="{00000000-0005-0000-0000-0000C5640000}"/>
    <cellStyle name="40% - Accent6 87 4" xfId="25792" xr:uid="{00000000-0005-0000-0000-0000C6640000}"/>
    <cellStyle name="40% - Accent6 87 4 2" xfId="25793" xr:uid="{00000000-0005-0000-0000-0000C7640000}"/>
    <cellStyle name="40% - Accent6 87 4 2 2" xfId="25794" xr:uid="{00000000-0005-0000-0000-0000C8640000}"/>
    <cellStyle name="40% - Accent6 87 4 3" xfId="25795" xr:uid="{00000000-0005-0000-0000-0000C9640000}"/>
    <cellStyle name="40% - Accent6 87 5" xfId="25796" xr:uid="{00000000-0005-0000-0000-0000CA640000}"/>
    <cellStyle name="40% - Accent6 87 5 2" xfId="25797" xr:uid="{00000000-0005-0000-0000-0000CB640000}"/>
    <cellStyle name="40% - Accent6 87 5 2 2" xfId="25798" xr:uid="{00000000-0005-0000-0000-0000CC640000}"/>
    <cellStyle name="40% - Accent6 87 5 3" xfId="25799" xr:uid="{00000000-0005-0000-0000-0000CD640000}"/>
    <cellStyle name="40% - Accent6 87 6" xfId="25800" xr:uid="{00000000-0005-0000-0000-0000CE640000}"/>
    <cellStyle name="40% - Accent6 87 6 2" xfId="25801" xr:uid="{00000000-0005-0000-0000-0000CF640000}"/>
    <cellStyle name="40% - Accent6 87 6 2 2" xfId="25802" xr:uid="{00000000-0005-0000-0000-0000D0640000}"/>
    <cellStyle name="40% - Accent6 87 6 3" xfId="25803" xr:uid="{00000000-0005-0000-0000-0000D1640000}"/>
    <cellStyle name="40% - Accent6 87 7" xfId="25804" xr:uid="{00000000-0005-0000-0000-0000D2640000}"/>
    <cellStyle name="40% - Accent6 87 7 2" xfId="25805" xr:uid="{00000000-0005-0000-0000-0000D3640000}"/>
    <cellStyle name="40% - Accent6 87 7 2 2" xfId="25806" xr:uid="{00000000-0005-0000-0000-0000D4640000}"/>
    <cellStyle name="40% - Accent6 87 7 3" xfId="25807" xr:uid="{00000000-0005-0000-0000-0000D5640000}"/>
    <cellStyle name="40% - Accent6 87 8" xfId="25808" xr:uid="{00000000-0005-0000-0000-0000D6640000}"/>
    <cellStyle name="40% - Accent6 87 8 2" xfId="25809" xr:uid="{00000000-0005-0000-0000-0000D7640000}"/>
    <cellStyle name="40% - Accent6 87 8 2 2" xfId="25810" xr:uid="{00000000-0005-0000-0000-0000D8640000}"/>
    <cellStyle name="40% - Accent6 87 8 3" xfId="25811" xr:uid="{00000000-0005-0000-0000-0000D9640000}"/>
    <cellStyle name="40% - Accent6 87 9" xfId="25812" xr:uid="{00000000-0005-0000-0000-0000DA640000}"/>
    <cellStyle name="40% - Accent6 87 9 2" xfId="25813" xr:uid="{00000000-0005-0000-0000-0000DB640000}"/>
    <cellStyle name="40% - Accent6 87 9 2 2" xfId="25814" xr:uid="{00000000-0005-0000-0000-0000DC640000}"/>
    <cellStyle name="40% - Accent6 87 9 3" xfId="25815" xr:uid="{00000000-0005-0000-0000-0000DD640000}"/>
    <cellStyle name="40% - Accent6 88" xfId="25816" xr:uid="{00000000-0005-0000-0000-0000DE640000}"/>
    <cellStyle name="40% - Accent6 88 10" xfId="25817" xr:uid="{00000000-0005-0000-0000-0000DF640000}"/>
    <cellStyle name="40% - Accent6 88 10 2" xfId="25818" xr:uid="{00000000-0005-0000-0000-0000E0640000}"/>
    <cellStyle name="40% - Accent6 88 10 2 2" xfId="25819" xr:uid="{00000000-0005-0000-0000-0000E1640000}"/>
    <cellStyle name="40% - Accent6 88 10 3" xfId="25820" xr:uid="{00000000-0005-0000-0000-0000E2640000}"/>
    <cellStyle name="40% - Accent6 88 11" xfId="25821" xr:uid="{00000000-0005-0000-0000-0000E3640000}"/>
    <cellStyle name="40% - Accent6 88 11 2" xfId="25822" xr:uid="{00000000-0005-0000-0000-0000E4640000}"/>
    <cellStyle name="40% - Accent6 88 11 2 2" xfId="25823" xr:uid="{00000000-0005-0000-0000-0000E5640000}"/>
    <cellStyle name="40% - Accent6 88 11 3" xfId="25824" xr:uid="{00000000-0005-0000-0000-0000E6640000}"/>
    <cellStyle name="40% - Accent6 88 12" xfId="25825" xr:uid="{00000000-0005-0000-0000-0000E7640000}"/>
    <cellStyle name="40% - Accent6 88 12 2" xfId="25826" xr:uid="{00000000-0005-0000-0000-0000E8640000}"/>
    <cellStyle name="40% - Accent6 88 12 2 2" xfId="25827" xr:uid="{00000000-0005-0000-0000-0000E9640000}"/>
    <cellStyle name="40% - Accent6 88 12 3" xfId="25828" xr:uid="{00000000-0005-0000-0000-0000EA640000}"/>
    <cellStyle name="40% - Accent6 88 13" xfId="25829" xr:uid="{00000000-0005-0000-0000-0000EB640000}"/>
    <cellStyle name="40% - Accent6 88 13 2" xfId="25830" xr:uid="{00000000-0005-0000-0000-0000EC640000}"/>
    <cellStyle name="40% - Accent6 88 13 2 2" xfId="25831" xr:uid="{00000000-0005-0000-0000-0000ED640000}"/>
    <cellStyle name="40% - Accent6 88 13 3" xfId="25832" xr:uid="{00000000-0005-0000-0000-0000EE640000}"/>
    <cellStyle name="40% - Accent6 88 14" xfId="25833" xr:uid="{00000000-0005-0000-0000-0000EF640000}"/>
    <cellStyle name="40% - Accent6 88 14 2" xfId="25834" xr:uid="{00000000-0005-0000-0000-0000F0640000}"/>
    <cellStyle name="40% - Accent6 88 14 2 2" xfId="25835" xr:uid="{00000000-0005-0000-0000-0000F1640000}"/>
    <cellStyle name="40% - Accent6 88 14 3" xfId="25836" xr:uid="{00000000-0005-0000-0000-0000F2640000}"/>
    <cellStyle name="40% - Accent6 88 15" xfId="25837" xr:uid="{00000000-0005-0000-0000-0000F3640000}"/>
    <cellStyle name="40% - Accent6 88 15 2" xfId="25838" xr:uid="{00000000-0005-0000-0000-0000F4640000}"/>
    <cellStyle name="40% - Accent6 88 15 2 2" xfId="25839" xr:uid="{00000000-0005-0000-0000-0000F5640000}"/>
    <cellStyle name="40% - Accent6 88 15 3" xfId="25840" xr:uid="{00000000-0005-0000-0000-0000F6640000}"/>
    <cellStyle name="40% - Accent6 88 16" xfId="25841" xr:uid="{00000000-0005-0000-0000-0000F7640000}"/>
    <cellStyle name="40% - Accent6 88 16 2" xfId="25842" xr:uid="{00000000-0005-0000-0000-0000F8640000}"/>
    <cellStyle name="40% - Accent6 88 16 2 2" xfId="25843" xr:uid="{00000000-0005-0000-0000-0000F9640000}"/>
    <cellStyle name="40% - Accent6 88 16 3" xfId="25844" xr:uid="{00000000-0005-0000-0000-0000FA640000}"/>
    <cellStyle name="40% - Accent6 88 17" xfId="25845" xr:uid="{00000000-0005-0000-0000-0000FB640000}"/>
    <cellStyle name="40% - Accent6 88 17 2" xfId="25846" xr:uid="{00000000-0005-0000-0000-0000FC640000}"/>
    <cellStyle name="40% - Accent6 88 17 2 2" xfId="25847" xr:uid="{00000000-0005-0000-0000-0000FD640000}"/>
    <cellStyle name="40% - Accent6 88 17 3" xfId="25848" xr:uid="{00000000-0005-0000-0000-0000FE640000}"/>
    <cellStyle name="40% - Accent6 88 18" xfId="25849" xr:uid="{00000000-0005-0000-0000-0000FF640000}"/>
    <cellStyle name="40% - Accent6 88 18 2" xfId="25850" xr:uid="{00000000-0005-0000-0000-000000650000}"/>
    <cellStyle name="40% - Accent6 88 18 2 2" xfId="25851" xr:uid="{00000000-0005-0000-0000-000001650000}"/>
    <cellStyle name="40% - Accent6 88 18 3" xfId="25852" xr:uid="{00000000-0005-0000-0000-000002650000}"/>
    <cellStyle name="40% - Accent6 88 19" xfId="25853" xr:uid="{00000000-0005-0000-0000-000003650000}"/>
    <cellStyle name="40% - Accent6 88 19 2" xfId="25854" xr:uid="{00000000-0005-0000-0000-000004650000}"/>
    <cellStyle name="40% - Accent6 88 19 2 2" xfId="25855" xr:uid="{00000000-0005-0000-0000-000005650000}"/>
    <cellStyle name="40% - Accent6 88 19 3" xfId="25856" xr:uid="{00000000-0005-0000-0000-000006650000}"/>
    <cellStyle name="40% - Accent6 88 2" xfId="25857" xr:uid="{00000000-0005-0000-0000-000007650000}"/>
    <cellStyle name="40% - Accent6 88 2 2" xfId="25858" xr:uid="{00000000-0005-0000-0000-000008650000}"/>
    <cellStyle name="40% - Accent6 88 2 2 2" xfId="25859" xr:uid="{00000000-0005-0000-0000-000009650000}"/>
    <cellStyle name="40% - Accent6 88 2 3" xfId="25860" xr:uid="{00000000-0005-0000-0000-00000A650000}"/>
    <cellStyle name="40% - Accent6 88 20" xfId="25861" xr:uid="{00000000-0005-0000-0000-00000B650000}"/>
    <cellStyle name="40% - Accent6 88 20 2" xfId="25862" xr:uid="{00000000-0005-0000-0000-00000C650000}"/>
    <cellStyle name="40% - Accent6 88 20 2 2" xfId="25863" xr:uid="{00000000-0005-0000-0000-00000D650000}"/>
    <cellStyle name="40% - Accent6 88 20 3" xfId="25864" xr:uid="{00000000-0005-0000-0000-00000E650000}"/>
    <cellStyle name="40% - Accent6 88 21" xfId="25865" xr:uid="{00000000-0005-0000-0000-00000F650000}"/>
    <cellStyle name="40% - Accent6 88 21 2" xfId="25866" xr:uid="{00000000-0005-0000-0000-000010650000}"/>
    <cellStyle name="40% - Accent6 88 21 2 2" xfId="25867" xr:uid="{00000000-0005-0000-0000-000011650000}"/>
    <cellStyle name="40% - Accent6 88 21 3" xfId="25868" xr:uid="{00000000-0005-0000-0000-000012650000}"/>
    <cellStyle name="40% - Accent6 88 22" xfId="25869" xr:uid="{00000000-0005-0000-0000-000013650000}"/>
    <cellStyle name="40% - Accent6 88 22 2" xfId="25870" xr:uid="{00000000-0005-0000-0000-000014650000}"/>
    <cellStyle name="40% - Accent6 88 22 2 2" xfId="25871" xr:uid="{00000000-0005-0000-0000-000015650000}"/>
    <cellStyle name="40% - Accent6 88 22 3" xfId="25872" xr:uid="{00000000-0005-0000-0000-000016650000}"/>
    <cellStyle name="40% - Accent6 88 23" xfId="25873" xr:uid="{00000000-0005-0000-0000-000017650000}"/>
    <cellStyle name="40% - Accent6 88 23 2" xfId="25874" xr:uid="{00000000-0005-0000-0000-000018650000}"/>
    <cellStyle name="40% - Accent6 88 23 2 2" xfId="25875" xr:uid="{00000000-0005-0000-0000-000019650000}"/>
    <cellStyle name="40% - Accent6 88 23 3" xfId="25876" xr:uid="{00000000-0005-0000-0000-00001A650000}"/>
    <cellStyle name="40% - Accent6 88 24" xfId="25877" xr:uid="{00000000-0005-0000-0000-00001B650000}"/>
    <cellStyle name="40% - Accent6 88 24 2" xfId="25878" xr:uid="{00000000-0005-0000-0000-00001C650000}"/>
    <cellStyle name="40% - Accent6 88 24 2 2" xfId="25879" xr:uid="{00000000-0005-0000-0000-00001D650000}"/>
    <cellStyle name="40% - Accent6 88 24 3" xfId="25880" xr:uid="{00000000-0005-0000-0000-00001E650000}"/>
    <cellStyle name="40% - Accent6 88 25" xfId="25881" xr:uid="{00000000-0005-0000-0000-00001F650000}"/>
    <cellStyle name="40% - Accent6 88 25 2" xfId="25882" xr:uid="{00000000-0005-0000-0000-000020650000}"/>
    <cellStyle name="40% - Accent6 88 25 2 2" xfId="25883" xr:uid="{00000000-0005-0000-0000-000021650000}"/>
    <cellStyle name="40% - Accent6 88 25 3" xfId="25884" xr:uid="{00000000-0005-0000-0000-000022650000}"/>
    <cellStyle name="40% - Accent6 88 26" xfId="25885" xr:uid="{00000000-0005-0000-0000-000023650000}"/>
    <cellStyle name="40% - Accent6 88 26 2" xfId="25886" xr:uid="{00000000-0005-0000-0000-000024650000}"/>
    <cellStyle name="40% - Accent6 88 26 2 2" xfId="25887" xr:uid="{00000000-0005-0000-0000-000025650000}"/>
    <cellStyle name="40% - Accent6 88 26 3" xfId="25888" xr:uid="{00000000-0005-0000-0000-000026650000}"/>
    <cellStyle name="40% - Accent6 88 27" xfId="25889" xr:uid="{00000000-0005-0000-0000-000027650000}"/>
    <cellStyle name="40% - Accent6 88 27 2" xfId="25890" xr:uid="{00000000-0005-0000-0000-000028650000}"/>
    <cellStyle name="40% - Accent6 88 27 2 2" xfId="25891" xr:uid="{00000000-0005-0000-0000-000029650000}"/>
    <cellStyle name="40% - Accent6 88 27 3" xfId="25892" xr:uid="{00000000-0005-0000-0000-00002A650000}"/>
    <cellStyle name="40% - Accent6 88 28" xfId="25893" xr:uid="{00000000-0005-0000-0000-00002B650000}"/>
    <cellStyle name="40% - Accent6 88 28 2" xfId="25894" xr:uid="{00000000-0005-0000-0000-00002C650000}"/>
    <cellStyle name="40% - Accent6 88 28 2 2" xfId="25895" xr:uid="{00000000-0005-0000-0000-00002D650000}"/>
    <cellStyle name="40% - Accent6 88 28 3" xfId="25896" xr:uid="{00000000-0005-0000-0000-00002E650000}"/>
    <cellStyle name="40% - Accent6 88 29" xfId="25897" xr:uid="{00000000-0005-0000-0000-00002F650000}"/>
    <cellStyle name="40% - Accent6 88 29 2" xfId="25898" xr:uid="{00000000-0005-0000-0000-000030650000}"/>
    <cellStyle name="40% - Accent6 88 29 2 2" xfId="25899" xr:uid="{00000000-0005-0000-0000-000031650000}"/>
    <cellStyle name="40% - Accent6 88 29 3" xfId="25900" xr:uid="{00000000-0005-0000-0000-000032650000}"/>
    <cellStyle name="40% - Accent6 88 3" xfId="25901" xr:uid="{00000000-0005-0000-0000-000033650000}"/>
    <cellStyle name="40% - Accent6 88 3 2" xfId="25902" xr:uid="{00000000-0005-0000-0000-000034650000}"/>
    <cellStyle name="40% - Accent6 88 3 2 2" xfId="25903" xr:uid="{00000000-0005-0000-0000-000035650000}"/>
    <cellStyle name="40% - Accent6 88 3 3" xfId="25904" xr:uid="{00000000-0005-0000-0000-000036650000}"/>
    <cellStyle name="40% - Accent6 88 30" xfId="25905" xr:uid="{00000000-0005-0000-0000-000037650000}"/>
    <cellStyle name="40% - Accent6 88 30 2" xfId="25906" xr:uid="{00000000-0005-0000-0000-000038650000}"/>
    <cellStyle name="40% - Accent6 88 30 2 2" xfId="25907" xr:uid="{00000000-0005-0000-0000-000039650000}"/>
    <cellStyle name="40% - Accent6 88 30 3" xfId="25908" xr:uid="{00000000-0005-0000-0000-00003A650000}"/>
    <cellStyle name="40% - Accent6 88 31" xfId="25909" xr:uid="{00000000-0005-0000-0000-00003B650000}"/>
    <cellStyle name="40% - Accent6 88 31 2" xfId="25910" xr:uid="{00000000-0005-0000-0000-00003C650000}"/>
    <cellStyle name="40% - Accent6 88 31 2 2" xfId="25911" xr:uid="{00000000-0005-0000-0000-00003D650000}"/>
    <cellStyle name="40% - Accent6 88 31 3" xfId="25912" xr:uid="{00000000-0005-0000-0000-00003E650000}"/>
    <cellStyle name="40% - Accent6 88 32" xfId="25913" xr:uid="{00000000-0005-0000-0000-00003F650000}"/>
    <cellStyle name="40% - Accent6 88 32 2" xfId="25914" xr:uid="{00000000-0005-0000-0000-000040650000}"/>
    <cellStyle name="40% - Accent6 88 32 2 2" xfId="25915" xr:uid="{00000000-0005-0000-0000-000041650000}"/>
    <cellStyle name="40% - Accent6 88 32 3" xfId="25916" xr:uid="{00000000-0005-0000-0000-000042650000}"/>
    <cellStyle name="40% - Accent6 88 33" xfId="25917" xr:uid="{00000000-0005-0000-0000-000043650000}"/>
    <cellStyle name="40% - Accent6 88 33 2" xfId="25918" xr:uid="{00000000-0005-0000-0000-000044650000}"/>
    <cellStyle name="40% - Accent6 88 33 2 2" xfId="25919" xr:uid="{00000000-0005-0000-0000-000045650000}"/>
    <cellStyle name="40% - Accent6 88 33 3" xfId="25920" xr:uid="{00000000-0005-0000-0000-000046650000}"/>
    <cellStyle name="40% - Accent6 88 34" xfId="25921" xr:uid="{00000000-0005-0000-0000-000047650000}"/>
    <cellStyle name="40% - Accent6 88 34 2" xfId="25922" xr:uid="{00000000-0005-0000-0000-000048650000}"/>
    <cellStyle name="40% - Accent6 88 34 2 2" xfId="25923" xr:uid="{00000000-0005-0000-0000-000049650000}"/>
    <cellStyle name="40% - Accent6 88 34 3" xfId="25924" xr:uid="{00000000-0005-0000-0000-00004A650000}"/>
    <cellStyle name="40% - Accent6 88 35" xfId="25925" xr:uid="{00000000-0005-0000-0000-00004B650000}"/>
    <cellStyle name="40% - Accent6 88 35 2" xfId="25926" xr:uid="{00000000-0005-0000-0000-00004C650000}"/>
    <cellStyle name="40% - Accent6 88 35 2 2" xfId="25927" xr:uid="{00000000-0005-0000-0000-00004D650000}"/>
    <cellStyle name="40% - Accent6 88 35 3" xfId="25928" xr:uid="{00000000-0005-0000-0000-00004E650000}"/>
    <cellStyle name="40% - Accent6 88 36" xfId="25929" xr:uid="{00000000-0005-0000-0000-00004F650000}"/>
    <cellStyle name="40% - Accent6 88 36 2" xfId="25930" xr:uid="{00000000-0005-0000-0000-000050650000}"/>
    <cellStyle name="40% - Accent6 88 36 2 2" xfId="25931" xr:uid="{00000000-0005-0000-0000-000051650000}"/>
    <cellStyle name="40% - Accent6 88 36 3" xfId="25932" xr:uid="{00000000-0005-0000-0000-000052650000}"/>
    <cellStyle name="40% - Accent6 88 37" xfId="25933" xr:uid="{00000000-0005-0000-0000-000053650000}"/>
    <cellStyle name="40% - Accent6 88 37 2" xfId="25934" xr:uid="{00000000-0005-0000-0000-000054650000}"/>
    <cellStyle name="40% - Accent6 88 38" xfId="25935" xr:uid="{00000000-0005-0000-0000-000055650000}"/>
    <cellStyle name="40% - Accent6 88 4" xfId="25936" xr:uid="{00000000-0005-0000-0000-000056650000}"/>
    <cellStyle name="40% - Accent6 88 4 2" xfId="25937" xr:uid="{00000000-0005-0000-0000-000057650000}"/>
    <cellStyle name="40% - Accent6 88 4 2 2" xfId="25938" xr:uid="{00000000-0005-0000-0000-000058650000}"/>
    <cellStyle name="40% - Accent6 88 4 3" xfId="25939" xr:uid="{00000000-0005-0000-0000-000059650000}"/>
    <cellStyle name="40% - Accent6 88 5" xfId="25940" xr:uid="{00000000-0005-0000-0000-00005A650000}"/>
    <cellStyle name="40% - Accent6 88 5 2" xfId="25941" xr:uid="{00000000-0005-0000-0000-00005B650000}"/>
    <cellStyle name="40% - Accent6 88 5 2 2" xfId="25942" xr:uid="{00000000-0005-0000-0000-00005C650000}"/>
    <cellStyle name="40% - Accent6 88 5 3" xfId="25943" xr:uid="{00000000-0005-0000-0000-00005D650000}"/>
    <cellStyle name="40% - Accent6 88 6" xfId="25944" xr:uid="{00000000-0005-0000-0000-00005E650000}"/>
    <cellStyle name="40% - Accent6 88 6 2" xfId="25945" xr:uid="{00000000-0005-0000-0000-00005F650000}"/>
    <cellStyle name="40% - Accent6 88 6 2 2" xfId="25946" xr:uid="{00000000-0005-0000-0000-000060650000}"/>
    <cellStyle name="40% - Accent6 88 6 3" xfId="25947" xr:uid="{00000000-0005-0000-0000-000061650000}"/>
    <cellStyle name="40% - Accent6 88 7" xfId="25948" xr:uid="{00000000-0005-0000-0000-000062650000}"/>
    <cellStyle name="40% - Accent6 88 7 2" xfId="25949" xr:uid="{00000000-0005-0000-0000-000063650000}"/>
    <cellStyle name="40% - Accent6 88 7 2 2" xfId="25950" xr:uid="{00000000-0005-0000-0000-000064650000}"/>
    <cellStyle name="40% - Accent6 88 7 3" xfId="25951" xr:uid="{00000000-0005-0000-0000-000065650000}"/>
    <cellStyle name="40% - Accent6 88 8" xfId="25952" xr:uid="{00000000-0005-0000-0000-000066650000}"/>
    <cellStyle name="40% - Accent6 88 8 2" xfId="25953" xr:uid="{00000000-0005-0000-0000-000067650000}"/>
    <cellStyle name="40% - Accent6 88 8 2 2" xfId="25954" xr:uid="{00000000-0005-0000-0000-000068650000}"/>
    <cellStyle name="40% - Accent6 88 8 3" xfId="25955" xr:uid="{00000000-0005-0000-0000-000069650000}"/>
    <cellStyle name="40% - Accent6 88 9" xfId="25956" xr:uid="{00000000-0005-0000-0000-00006A650000}"/>
    <cellStyle name="40% - Accent6 88 9 2" xfId="25957" xr:uid="{00000000-0005-0000-0000-00006B650000}"/>
    <cellStyle name="40% - Accent6 88 9 2 2" xfId="25958" xr:uid="{00000000-0005-0000-0000-00006C650000}"/>
    <cellStyle name="40% - Accent6 88 9 3" xfId="25959" xr:uid="{00000000-0005-0000-0000-00006D650000}"/>
    <cellStyle name="40% - Accent6 89" xfId="25960" xr:uid="{00000000-0005-0000-0000-00006E650000}"/>
    <cellStyle name="40% - Accent6 89 2" xfId="25961" xr:uid="{00000000-0005-0000-0000-00006F650000}"/>
    <cellStyle name="40% - Accent6 9" xfId="25962" xr:uid="{00000000-0005-0000-0000-000070650000}"/>
    <cellStyle name="40% - Accent6 9 2" xfId="25963" xr:uid="{00000000-0005-0000-0000-000071650000}"/>
    <cellStyle name="40% - Accent6 9 2 2" xfId="25964" xr:uid="{00000000-0005-0000-0000-000072650000}"/>
    <cellStyle name="40% - Accent6 9 3" xfId="25965" xr:uid="{00000000-0005-0000-0000-000073650000}"/>
    <cellStyle name="40% - Accent6 9 4" xfId="25966" xr:uid="{00000000-0005-0000-0000-000074650000}"/>
    <cellStyle name="40% - Accent6 90" xfId="25967" xr:uid="{00000000-0005-0000-0000-000075650000}"/>
    <cellStyle name="40% - Accent6 90 2" xfId="25968" xr:uid="{00000000-0005-0000-0000-000076650000}"/>
    <cellStyle name="40% - Accent6 91" xfId="25969" xr:uid="{00000000-0005-0000-0000-000077650000}"/>
    <cellStyle name="40% - Accent6 91 2" xfId="25970" xr:uid="{00000000-0005-0000-0000-000078650000}"/>
    <cellStyle name="40% - Accent6 92" xfId="25971" xr:uid="{00000000-0005-0000-0000-000079650000}"/>
    <cellStyle name="40% - Accent6 92 2" xfId="25972" xr:uid="{00000000-0005-0000-0000-00007A650000}"/>
    <cellStyle name="40% - Accent6 93" xfId="25973" xr:uid="{00000000-0005-0000-0000-00007B650000}"/>
    <cellStyle name="40% - Accent6 93 2" xfId="25974" xr:uid="{00000000-0005-0000-0000-00007C650000}"/>
    <cellStyle name="40% - Accent6 93 2 2" xfId="25975" xr:uid="{00000000-0005-0000-0000-00007D650000}"/>
    <cellStyle name="40% - Accent6 93 2 2 2" xfId="25976" xr:uid="{00000000-0005-0000-0000-00007E650000}"/>
    <cellStyle name="40% - Accent6 93 2 3" xfId="25977" xr:uid="{00000000-0005-0000-0000-00007F650000}"/>
    <cellStyle name="40% - Accent6 93 3" xfId="25978" xr:uid="{00000000-0005-0000-0000-000080650000}"/>
    <cellStyle name="40% - Accent6 93 3 2" xfId="25979" xr:uid="{00000000-0005-0000-0000-000081650000}"/>
    <cellStyle name="40% - Accent6 93 4" xfId="25980" xr:uid="{00000000-0005-0000-0000-000082650000}"/>
    <cellStyle name="40% - Accent6 94" xfId="25981" xr:uid="{00000000-0005-0000-0000-000083650000}"/>
    <cellStyle name="40% - Accent6 94 2" xfId="25982" xr:uid="{00000000-0005-0000-0000-000084650000}"/>
    <cellStyle name="40% - Accent6 94 2 2" xfId="25983" xr:uid="{00000000-0005-0000-0000-000085650000}"/>
    <cellStyle name="40% - Accent6 94 2 2 2" xfId="25984" xr:uid="{00000000-0005-0000-0000-000086650000}"/>
    <cellStyle name="40% - Accent6 94 2 3" xfId="25985" xr:uid="{00000000-0005-0000-0000-000087650000}"/>
    <cellStyle name="40% - Accent6 94 3" xfId="25986" xr:uid="{00000000-0005-0000-0000-000088650000}"/>
    <cellStyle name="40% - Accent6 94 3 2" xfId="25987" xr:uid="{00000000-0005-0000-0000-000089650000}"/>
    <cellStyle name="40% - Accent6 94 4" xfId="25988" xr:uid="{00000000-0005-0000-0000-00008A650000}"/>
    <cellStyle name="40% - Accent6 95" xfId="25989" xr:uid="{00000000-0005-0000-0000-00008B650000}"/>
    <cellStyle name="40% - Accent6 95 2" xfId="25990" xr:uid="{00000000-0005-0000-0000-00008C650000}"/>
    <cellStyle name="40% - Accent6 95 2 2" xfId="25991" xr:uid="{00000000-0005-0000-0000-00008D650000}"/>
    <cellStyle name="40% - Accent6 95 3" xfId="25992" xr:uid="{00000000-0005-0000-0000-00008E650000}"/>
    <cellStyle name="40% - Accent6 96" xfId="25993" xr:uid="{00000000-0005-0000-0000-00008F650000}"/>
    <cellStyle name="40% - Accent6 96 2" xfId="25994" xr:uid="{00000000-0005-0000-0000-000090650000}"/>
    <cellStyle name="40% - Accent6 96 2 2" xfId="25995" xr:uid="{00000000-0005-0000-0000-000091650000}"/>
    <cellStyle name="40% - Accent6 96 3" xfId="25996" xr:uid="{00000000-0005-0000-0000-000092650000}"/>
    <cellStyle name="40% - Accent6 97" xfId="25997" xr:uid="{00000000-0005-0000-0000-000093650000}"/>
    <cellStyle name="40% - Accent6 97 2" xfId="25998" xr:uid="{00000000-0005-0000-0000-000094650000}"/>
    <cellStyle name="40% - Accent6 97 2 2" xfId="25999" xr:uid="{00000000-0005-0000-0000-000095650000}"/>
    <cellStyle name="40% - Accent6 97 3" xfId="26000" xr:uid="{00000000-0005-0000-0000-000096650000}"/>
    <cellStyle name="40% - Accent6 98" xfId="26001" xr:uid="{00000000-0005-0000-0000-000097650000}"/>
    <cellStyle name="40% - Accent6 98 2" xfId="26002" xr:uid="{00000000-0005-0000-0000-000098650000}"/>
    <cellStyle name="40% - Accent6 98 2 2" xfId="26003" xr:uid="{00000000-0005-0000-0000-000099650000}"/>
    <cellStyle name="40% - Accent6 98 3" xfId="26004" xr:uid="{00000000-0005-0000-0000-00009A650000}"/>
    <cellStyle name="40% - Accent6 99" xfId="26005" xr:uid="{00000000-0005-0000-0000-00009B650000}"/>
    <cellStyle name="60% - Accent1 10" xfId="26006" xr:uid="{00000000-0005-0000-0000-00009C650000}"/>
    <cellStyle name="60% - Accent1 10 2" xfId="26007" xr:uid="{00000000-0005-0000-0000-00009D650000}"/>
    <cellStyle name="60% - Accent1 100" xfId="26008" xr:uid="{00000000-0005-0000-0000-00009E650000}"/>
    <cellStyle name="60% - Accent1 101" xfId="26009" xr:uid="{00000000-0005-0000-0000-00009F650000}"/>
    <cellStyle name="60% - Accent1 102" xfId="26010" xr:uid="{00000000-0005-0000-0000-0000A0650000}"/>
    <cellStyle name="60% - Accent1 103" xfId="26011" xr:uid="{00000000-0005-0000-0000-0000A1650000}"/>
    <cellStyle name="60% - Accent1 104" xfId="26012" xr:uid="{00000000-0005-0000-0000-0000A2650000}"/>
    <cellStyle name="60% - Accent1 105" xfId="26013" xr:uid="{00000000-0005-0000-0000-0000A3650000}"/>
    <cellStyle name="60% - Accent1 106" xfId="26014" xr:uid="{00000000-0005-0000-0000-0000A4650000}"/>
    <cellStyle name="60% - Accent1 107" xfId="26015" xr:uid="{00000000-0005-0000-0000-0000A5650000}"/>
    <cellStyle name="60% - Accent1 108" xfId="26016" xr:uid="{00000000-0005-0000-0000-0000A6650000}"/>
    <cellStyle name="60% - Accent1 109" xfId="26017" xr:uid="{00000000-0005-0000-0000-0000A7650000}"/>
    <cellStyle name="60% - Accent1 11" xfId="26018" xr:uid="{00000000-0005-0000-0000-0000A8650000}"/>
    <cellStyle name="60% - Accent1 11 2" xfId="26019" xr:uid="{00000000-0005-0000-0000-0000A9650000}"/>
    <cellStyle name="60% - Accent1 110" xfId="26020" xr:uid="{00000000-0005-0000-0000-0000AA650000}"/>
    <cellStyle name="60% - Accent1 111" xfId="26021" xr:uid="{00000000-0005-0000-0000-0000AB650000}"/>
    <cellStyle name="60% - Accent1 112" xfId="26022" xr:uid="{00000000-0005-0000-0000-0000AC650000}"/>
    <cellStyle name="60% - Accent1 113" xfId="26023" xr:uid="{00000000-0005-0000-0000-0000AD650000}"/>
    <cellStyle name="60% - Accent1 114" xfId="26024" xr:uid="{00000000-0005-0000-0000-0000AE650000}"/>
    <cellStyle name="60% - Accent1 115" xfId="26025" xr:uid="{00000000-0005-0000-0000-0000AF650000}"/>
    <cellStyle name="60% - Accent1 116" xfId="26026" xr:uid="{00000000-0005-0000-0000-0000B0650000}"/>
    <cellStyle name="60% - Accent1 117" xfId="26027" xr:uid="{00000000-0005-0000-0000-0000B1650000}"/>
    <cellStyle name="60% - Accent1 118" xfId="26028" xr:uid="{00000000-0005-0000-0000-0000B2650000}"/>
    <cellStyle name="60% - Accent1 119" xfId="26029" xr:uid="{00000000-0005-0000-0000-0000B3650000}"/>
    <cellStyle name="60% - Accent1 12" xfId="26030" xr:uid="{00000000-0005-0000-0000-0000B4650000}"/>
    <cellStyle name="60% - Accent1 12 2" xfId="26031" xr:uid="{00000000-0005-0000-0000-0000B5650000}"/>
    <cellStyle name="60% - Accent1 120" xfId="26032" xr:uid="{00000000-0005-0000-0000-0000B6650000}"/>
    <cellStyle name="60% - Accent1 121" xfId="26033" xr:uid="{00000000-0005-0000-0000-0000B7650000}"/>
    <cellStyle name="60% - Accent1 122" xfId="26034" xr:uid="{00000000-0005-0000-0000-0000B8650000}"/>
    <cellStyle name="60% - Accent1 123" xfId="26035" xr:uid="{00000000-0005-0000-0000-0000B9650000}"/>
    <cellStyle name="60% - Accent1 124" xfId="26036" xr:uid="{00000000-0005-0000-0000-0000BA650000}"/>
    <cellStyle name="60% - Accent1 125" xfId="26037" xr:uid="{00000000-0005-0000-0000-0000BB650000}"/>
    <cellStyle name="60% - Accent1 126" xfId="26038" xr:uid="{00000000-0005-0000-0000-0000BC650000}"/>
    <cellStyle name="60% - Accent1 127" xfId="26039" xr:uid="{00000000-0005-0000-0000-0000BD650000}"/>
    <cellStyle name="60% - Accent1 128" xfId="26040" xr:uid="{00000000-0005-0000-0000-0000BE650000}"/>
    <cellStyle name="60% - Accent1 129" xfId="26041" xr:uid="{00000000-0005-0000-0000-0000BF650000}"/>
    <cellStyle name="60% - Accent1 13" xfId="26042" xr:uid="{00000000-0005-0000-0000-0000C0650000}"/>
    <cellStyle name="60% - Accent1 13 2" xfId="26043" xr:uid="{00000000-0005-0000-0000-0000C1650000}"/>
    <cellStyle name="60% - Accent1 130" xfId="26044" xr:uid="{00000000-0005-0000-0000-0000C2650000}"/>
    <cellStyle name="60% - Accent1 131" xfId="26045" xr:uid="{00000000-0005-0000-0000-0000C3650000}"/>
    <cellStyle name="60% - Accent1 132" xfId="26046" xr:uid="{00000000-0005-0000-0000-0000C4650000}"/>
    <cellStyle name="60% - Accent1 133" xfId="26047" xr:uid="{00000000-0005-0000-0000-0000C5650000}"/>
    <cellStyle name="60% - Accent1 14" xfId="26048" xr:uid="{00000000-0005-0000-0000-0000C6650000}"/>
    <cellStyle name="60% - Accent1 14 2" xfId="26049" xr:uid="{00000000-0005-0000-0000-0000C7650000}"/>
    <cellStyle name="60% - Accent1 15" xfId="26050" xr:uid="{00000000-0005-0000-0000-0000C8650000}"/>
    <cellStyle name="60% - Accent1 15 2" xfId="26051" xr:uid="{00000000-0005-0000-0000-0000C9650000}"/>
    <cellStyle name="60% - Accent1 16" xfId="26052" xr:uid="{00000000-0005-0000-0000-0000CA650000}"/>
    <cellStyle name="60% - Accent1 16 2" xfId="26053" xr:uid="{00000000-0005-0000-0000-0000CB650000}"/>
    <cellStyle name="60% - Accent1 17" xfId="26054" xr:uid="{00000000-0005-0000-0000-0000CC650000}"/>
    <cellStyle name="60% - Accent1 17 2" xfId="26055" xr:uid="{00000000-0005-0000-0000-0000CD650000}"/>
    <cellStyle name="60% - Accent1 18" xfId="26056" xr:uid="{00000000-0005-0000-0000-0000CE650000}"/>
    <cellStyle name="60% - Accent1 18 2" xfId="26057" xr:uid="{00000000-0005-0000-0000-0000CF650000}"/>
    <cellStyle name="60% - Accent1 19" xfId="26058" xr:uid="{00000000-0005-0000-0000-0000D0650000}"/>
    <cellStyle name="60% - Accent1 19 2" xfId="26059" xr:uid="{00000000-0005-0000-0000-0000D1650000}"/>
    <cellStyle name="60% - Accent1 2" xfId="26060" xr:uid="{00000000-0005-0000-0000-0000D2650000}"/>
    <cellStyle name="60% - Accent1 2 2" xfId="26061" xr:uid="{00000000-0005-0000-0000-0000D3650000}"/>
    <cellStyle name="60% - Accent1 2 2 2" xfId="26062" xr:uid="{00000000-0005-0000-0000-0000D4650000}"/>
    <cellStyle name="60% - Accent1 2 2 2 2" xfId="26063" xr:uid="{00000000-0005-0000-0000-0000D5650000}"/>
    <cellStyle name="60% - Accent1 2 2 2 2 2" xfId="26064" xr:uid="{00000000-0005-0000-0000-0000D6650000}"/>
    <cellStyle name="60% - Accent1 2 3" xfId="26065" xr:uid="{00000000-0005-0000-0000-0000D7650000}"/>
    <cellStyle name="60% - Accent1 2 4" xfId="26066" xr:uid="{00000000-0005-0000-0000-0000D8650000}"/>
    <cellStyle name="60% - Accent1 2 5" xfId="41050" xr:uid="{00000000-0005-0000-0000-00000C000000}"/>
    <cellStyle name="60% - Accent1 20" xfId="26067" xr:uid="{00000000-0005-0000-0000-0000D9650000}"/>
    <cellStyle name="60% - Accent1 20 2" xfId="26068" xr:uid="{00000000-0005-0000-0000-0000DA650000}"/>
    <cellStyle name="60% - Accent1 21" xfId="26069" xr:uid="{00000000-0005-0000-0000-0000DB650000}"/>
    <cellStyle name="60% - Accent1 21 2" xfId="26070" xr:uid="{00000000-0005-0000-0000-0000DC650000}"/>
    <cellStyle name="60% - Accent1 22" xfId="26071" xr:uid="{00000000-0005-0000-0000-0000DD650000}"/>
    <cellStyle name="60% - Accent1 22 2" xfId="26072" xr:uid="{00000000-0005-0000-0000-0000DE650000}"/>
    <cellStyle name="60% - Accent1 23" xfId="26073" xr:uid="{00000000-0005-0000-0000-0000DF650000}"/>
    <cellStyle name="60% - Accent1 23 2" xfId="26074" xr:uid="{00000000-0005-0000-0000-0000E0650000}"/>
    <cellStyle name="60% - Accent1 24" xfId="26075" xr:uid="{00000000-0005-0000-0000-0000E1650000}"/>
    <cellStyle name="60% - Accent1 24 2" xfId="26076" xr:uid="{00000000-0005-0000-0000-0000E2650000}"/>
    <cellStyle name="60% - Accent1 25" xfId="26077" xr:uid="{00000000-0005-0000-0000-0000E3650000}"/>
    <cellStyle name="60% - Accent1 25 2" xfId="26078" xr:uid="{00000000-0005-0000-0000-0000E4650000}"/>
    <cellStyle name="60% - Accent1 26" xfId="26079" xr:uid="{00000000-0005-0000-0000-0000E5650000}"/>
    <cellStyle name="60% - Accent1 26 2" xfId="26080" xr:uid="{00000000-0005-0000-0000-0000E6650000}"/>
    <cellStyle name="60% - Accent1 27" xfId="26081" xr:uid="{00000000-0005-0000-0000-0000E7650000}"/>
    <cellStyle name="60% - Accent1 27 2" xfId="26082" xr:uid="{00000000-0005-0000-0000-0000E8650000}"/>
    <cellStyle name="60% - Accent1 28" xfId="26083" xr:uid="{00000000-0005-0000-0000-0000E9650000}"/>
    <cellStyle name="60% - Accent1 28 2" xfId="26084" xr:uid="{00000000-0005-0000-0000-0000EA650000}"/>
    <cellStyle name="60% - Accent1 29" xfId="26085" xr:uid="{00000000-0005-0000-0000-0000EB650000}"/>
    <cellStyle name="60% - Accent1 29 2" xfId="26086" xr:uid="{00000000-0005-0000-0000-0000EC650000}"/>
    <cellStyle name="60% - Accent1 3" xfId="26087" xr:uid="{00000000-0005-0000-0000-0000ED650000}"/>
    <cellStyle name="60% - Accent1 3 2" xfId="26088" xr:uid="{00000000-0005-0000-0000-0000EE650000}"/>
    <cellStyle name="60% - Accent1 3 2 2" xfId="26089" xr:uid="{00000000-0005-0000-0000-0000EF650000}"/>
    <cellStyle name="60% - Accent1 3 3" xfId="26090" xr:uid="{00000000-0005-0000-0000-0000F0650000}"/>
    <cellStyle name="60% - Accent1 3 4" xfId="26091" xr:uid="{00000000-0005-0000-0000-0000F1650000}"/>
    <cellStyle name="60% - Accent1 3_MAR 2009" xfId="26092" xr:uid="{00000000-0005-0000-0000-0000F2650000}"/>
    <cellStyle name="60% - Accent1 30" xfId="26093" xr:uid="{00000000-0005-0000-0000-0000F3650000}"/>
    <cellStyle name="60% - Accent1 30 2" xfId="26094" xr:uid="{00000000-0005-0000-0000-0000F4650000}"/>
    <cellStyle name="60% - Accent1 31" xfId="26095" xr:uid="{00000000-0005-0000-0000-0000F5650000}"/>
    <cellStyle name="60% - Accent1 31 2" xfId="26096" xr:uid="{00000000-0005-0000-0000-0000F6650000}"/>
    <cellStyle name="60% - Accent1 32" xfId="26097" xr:uid="{00000000-0005-0000-0000-0000F7650000}"/>
    <cellStyle name="60% - Accent1 32 2" xfId="26098" xr:uid="{00000000-0005-0000-0000-0000F8650000}"/>
    <cellStyle name="60% - Accent1 33" xfId="26099" xr:uid="{00000000-0005-0000-0000-0000F9650000}"/>
    <cellStyle name="60% - Accent1 33 2" xfId="26100" xr:uid="{00000000-0005-0000-0000-0000FA650000}"/>
    <cellStyle name="60% - Accent1 34" xfId="26101" xr:uid="{00000000-0005-0000-0000-0000FB650000}"/>
    <cellStyle name="60% - Accent1 34 2" xfId="26102" xr:uid="{00000000-0005-0000-0000-0000FC650000}"/>
    <cellStyle name="60% - Accent1 35" xfId="26103" xr:uid="{00000000-0005-0000-0000-0000FD650000}"/>
    <cellStyle name="60% - Accent1 35 2" xfId="26104" xr:uid="{00000000-0005-0000-0000-0000FE650000}"/>
    <cellStyle name="60% - Accent1 36" xfId="26105" xr:uid="{00000000-0005-0000-0000-0000FF650000}"/>
    <cellStyle name="60% - Accent1 36 2" xfId="26106" xr:uid="{00000000-0005-0000-0000-000000660000}"/>
    <cellStyle name="60% - Accent1 37" xfId="26107" xr:uid="{00000000-0005-0000-0000-000001660000}"/>
    <cellStyle name="60% - Accent1 37 2" xfId="26108" xr:uid="{00000000-0005-0000-0000-000002660000}"/>
    <cellStyle name="60% - Accent1 38" xfId="26109" xr:uid="{00000000-0005-0000-0000-000003660000}"/>
    <cellStyle name="60% - Accent1 38 2" xfId="26110" xr:uid="{00000000-0005-0000-0000-000004660000}"/>
    <cellStyle name="60% - Accent1 39" xfId="26111" xr:uid="{00000000-0005-0000-0000-000005660000}"/>
    <cellStyle name="60% - Accent1 39 2" xfId="26112" xr:uid="{00000000-0005-0000-0000-000006660000}"/>
    <cellStyle name="60% - Accent1 4" xfId="26113" xr:uid="{00000000-0005-0000-0000-000007660000}"/>
    <cellStyle name="60% - Accent1 4 2" xfId="26114" xr:uid="{00000000-0005-0000-0000-000008660000}"/>
    <cellStyle name="60% - Accent1 4 2 2" xfId="26115" xr:uid="{00000000-0005-0000-0000-000009660000}"/>
    <cellStyle name="60% - Accent1 4 3" xfId="26116" xr:uid="{00000000-0005-0000-0000-00000A660000}"/>
    <cellStyle name="60% - Accent1 40" xfId="26117" xr:uid="{00000000-0005-0000-0000-00000B660000}"/>
    <cellStyle name="60% - Accent1 40 2" xfId="26118" xr:uid="{00000000-0005-0000-0000-00000C660000}"/>
    <cellStyle name="60% - Accent1 41" xfId="26119" xr:uid="{00000000-0005-0000-0000-00000D660000}"/>
    <cellStyle name="60% - Accent1 41 2" xfId="26120" xr:uid="{00000000-0005-0000-0000-00000E660000}"/>
    <cellStyle name="60% - Accent1 42" xfId="26121" xr:uid="{00000000-0005-0000-0000-00000F660000}"/>
    <cellStyle name="60% - Accent1 42 2" xfId="26122" xr:uid="{00000000-0005-0000-0000-000010660000}"/>
    <cellStyle name="60% - Accent1 43" xfId="26123" xr:uid="{00000000-0005-0000-0000-000011660000}"/>
    <cellStyle name="60% - Accent1 43 2" xfId="26124" xr:uid="{00000000-0005-0000-0000-000012660000}"/>
    <cellStyle name="60% - Accent1 44" xfId="26125" xr:uid="{00000000-0005-0000-0000-000013660000}"/>
    <cellStyle name="60% - Accent1 44 2" xfId="26126" xr:uid="{00000000-0005-0000-0000-000014660000}"/>
    <cellStyle name="60% - Accent1 45" xfId="26127" xr:uid="{00000000-0005-0000-0000-000015660000}"/>
    <cellStyle name="60% - Accent1 45 2" xfId="26128" xr:uid="{00000000-0005-0000-0000-000016660000}"/>
    <cellStyle name="60% - Accent1 46" xfId="26129" xr:uid="{00000000-0005-0000-0000-000017660000}"/>
    <cellStyle name="60% - Accent1 46 2" xfId="26130" xr:uid="{00000000-0005-0000-0000-000018660000}"/>
    <cellStyle name="60% - Accent1 47" xfId="26131" xr:uid="{00000000-0005-0000-0000-000019660000}"/>
    <cellStyle name="60% - Accent1 47 2" xfId="26132" xr:uid="{00000000-0005-0000-0000-00001A660000}"/>
    <cellStyle name="60% - Accent1 48" xfId="26133" xr:uid="{00000000-0005-0000-0000-00001B660000}"/>
    <cellStyle name="60% - Accent1 48 2" xfId="26134" xr:uid="{00000000-0005-0000-0000-00001C660000}"/>
    <cellStyle name="60% - Accent1 49" xfId="26135" xr:uid="{00000000-0005-0000-0000-00001D660000}"/>
    <cellStyle name="60% - Accent1 49 2" xfId="26136" xr:uid="{00000000-0005-0000-0000-00001E660000}"/>
    <cellStyle name="60% - Accent1 5" xfId="26137" xr:uid="{00000000-0005-0000-0000-00001F660000}"/>
    <cellStyle name="60% - Accent1 5 2" xfId="26138" xr:uid="{00000000-0005-0000-0000-000020660000}"/>
    <cellStyle name="60% - Accent1 5 2 2" xfId="26139" xr:uid="{00000000-0005-0000-0000-000021660000}"/>
    <cellStyle name="60% - Accent1 5 3" xfId="26140" xr:uid="{00000000-0005-0000-0000-000022660000}"/>
    <cellStyle name="60% - Accent1 50" xfId="26141" xr:uid="{00000000-0005-0000-0000-000023660000}"/>
    <cellStyle name="60% - Accent1 50 2" xfId="26142" xr:uid="{00000000-0005-0000-0000-000024660000}"/>
    <cellStyle name="60% - Accent1 51" xfId="26143" xr:uid="{00000000-0005-0000-0000-000025660000}"/>
    <cellStyle name="60% - Accent1 51 2" xfId="26144" xr:uid="{00000000-0005-0000-0000-000026660000}"/>
    <cellStyle name="60% - Accent1 52" xfId="26145" xr:uid="{00000000-0005-0000-0000-000027660000}"/>
    <cellStyle name="60% - Accent1 52 2" xfId="26146" xr:uid="{00000000-0005-0000-0000-000028660000}"/>
    <cellStyle name="60% - Accent1 53" xfId="26147" xr:uid="{00000000-0005-0000-0000-000029660000}"/>
    <cellStyle name="60% - Accent1 53 2" xfId="26148" xr:uid="{00000000-0005-0000-0000-00002A660000}"/>
    <cellStyle name="60% - Accent1 54" xfId="26149" xr:uid="{00000000-0005-0000-0000-00002B660000}"/>
    <cellStyle name="60% - Accent1 54 2" xfId="26150" xr:uid="{00000000-0005-0000-0000-00002C660000}"/>
    <cellStyle name="60% - Accent1 55" xfId="26151" xr:uid="{00000000-0005-0000-0000-00002D660000}"/>
    <cellStyle name="60% - Accent1 55 2" xfId="26152" xr:uid="{00000000-0005-0000-0000-00002E660000}"/>
    <cellStyle name="60% - Accent1 56" xfId="26153" xr:uid="{00000000-0005-0000-0000-00002F660000}"/>
    <cellStyle name="60% - Accent1 56 2" xfId="26154" xr:uid="{00000000-0005-0000-0000-000030660000}"/>
    <cellStyle name="60% - Accent1 57" xfId="26155" xr:uid="{00000000-0005-0000-0000-000031660000}"/>
    <cellStyle name="60% - Accent1 57 2" xfId="26156" xr:uid="{00000000-0005-0000-0000-000032660000}"/>
    <cellStyle name="60% - Accent1 58" xfId="26157" xr:uid="{00000000-0005-0000-0000-000033660000}"/>
    <cellStyle name="60% - Accent1 58 2" xfId="26158" xr:uid="{00000000-0005-0000-0000-000034660000}"/>
    <cellStyle name="60% - Accent1 59" xfId="26159" xr:uid="{00000000-0005-0000-0000-000035660000}"/>
    <cellStyle name="60% - Accent1 6" xfId="26160" xr:uid="{00000000-0005-0000-0000-000036660000}"/>
    <cellStyle name="60% - Accent1 6 2" xfId="26161" xr:uid="{00000000-0005-0000-0000-000037660000}"/>
    <cellStyle name="60% - Accent1 6 3" xfId="26162" xr:uid="{00000000-0005-0000-0000-000038660000}"/>
    <cellStyle name="60% - Accent1 60" xfId="26163" xr:uid="{00000000-0005-0000-0000-000039660000}"/>
    <cellStyle name="60% - Accent1 61" xfId="26164" xr:uid="{00000000-0005-0000-0000-00003A660000}"/>
    <cellStyle name="60% - Accent1 62" xfId="26165" xr:uid="{00000000-0005-0000-0000-00003B660000}"/>
    <cellStyle name="60% - Accent1 63" xfId="26166" xr:uid="{00000000-0005-0000-0000-00003C660000}"/>
    <cellStyle name="60% - Accent1 63 2" xfId="26167" xr:uid="{00000000-0005-0000-0000-00003D660000}"/>
    <cellStyle name="60% - Accent1 64" xfId="26168" xr:uid="{00000000-0005-0000-0000-00003E660000}"/>
    <cellStyle name="60% - Accent1 64 2" xfId="26169" xr:uid="{00000000-0005-0000-0000-00003F660000}"/>
    <cellStyle name="60% - Accent1 65" xfId="26170" xr:uid="{00000000-0005-0000-0000-000040660000}"/>
    <cellStyle name="60% - Accent1 65 2" xfId="26171" xr:uid="{00000000-0005-0000-0000-000041660000}"/>
    <cellStyle name="60% - Accent1 66" xfId="26172" xr:uid="{00000000-0005-0000-0000-000042660000}"/>
    <cellStyle name="60% - Accent1 66 2" xfId="26173" xr:uid="{00000000-0005-0000-0000-000043660000}"/>
    <cellStyle name="60% - Accent1 67" xfId="26174" xr:uid="{00000000-0005-0000-0000-000044660000}"/>
    <cellStyle name="60% - Accent1 67 2" xfId="26175" xr:uid="{00000000-0005-0000-0000-000045660000}"/>
    <cellStyle name="60% - Accent1 68" xfId="26176" xr:uid="{00000000-0005-0000-0000-000046660000}"/>
    <cellStyle name="60% - Accent1 68 2" xfId="26177" xr:uid="{00000000-0005-0000-0000-000047660000}"/>
    <cellStyle name="60% - Accent1 69" xfId="26178" xr:uid="{00000000-0005-0000-0000-000048660000}"/>
    <cellStyle name="60% - Accent1 69 2" xfId="26179" xr:uid="{00000000-0005-0000-0000-000049660000}"/>
    <cellStyle name="60% - Accent1 7" xfId="26180" xr:uid="{00000000-0005-0000-0000-00004A660000}"/>
    <cellStyle name="60% - Accent1 7 2" xfId="26181" xr:uid="{00000000-0005-0000-0000-00004B660000}"/>
    <cellStyle name="60% - Accent1 70" xfId="26182" xr:uid="{00000000-0005-0000-0000-00004C660000}"/>
    <cellStyle name="60% - Accent1 70 2" xfId="26183" xr:uid="{00000000-0005-0000-0000-00004D660000}"/>
    <cellStyle name="60% - Accent1 71" xfId="26184" xr:uid="{00000000-0005-0000-0000-00004E660000}"/>
    <cellStyle name="60% - Accent1 71 2" xfId="26185" xr:uid="{00000000-0005-0000-0000-00004F660000}"/>
    <cellStyle name="60% - Accent1 72" xfId="26186" xr:uid="{00000000-0005-0000-0000-000050660000}"/>
    <cellStyle name="60% - Accent1 72 2" xfId="26187" xr:uid="{00000000-0005-0000-0000-000051660000}"/>
    <cellStyle name="60% - Accent1 73" xfId="26188" xr:uid="{00000000-0005-0000-0000-000052660000}"/>
    <cellStyle name="60% - Accent1 73 2" xfId="26189" xr:uid="{00000000-0005-0000-0000-000053660000}"/>
    <cellStyle name="60% - Accent1 74" xfId="26190" xr:uid="{00000000-0005-0000-0000-000054660000}"/>
    <cellStyle name="60% - Accent1 74 2" xfId="26191" xr:uid="{00000000-0005-0000-0000-000055660000}"/>
    <cellStyle name="60% - Accent1 75" xfId="26192" xr:uid="{00000000-0005-0000-0000-000056660000}"/>
    <cellStyle name="60% - Accent1 75 2" xfId="26193" xr:uid="{00000000-0005-0000-0000-000057660000}"/>
    <cellStyle name="60% - Accent1 76" xfId="26194" xr:uid="{00000000-0005-0000-0000-000058660000}"/>
    <cellStyle name="60% - Accent1 76 2" xfId="26195" xr:uid="{00000000-0005-0000-0000-000059660000}"/>
    <cellStyle name="60% - Accent1 77" xfId="26196" xr:uid="{00000000-0005-0000-0000-00005A660000}"/>
    <cellStyle name="60% - Accent1 77 2" xfId="26197" xr:uid="{00000000-0005-0000-0000-00005B660000}"/>
    <cellStyle name="60% - Accent1 78" xfId="26198" xr:uid="{00000000-0005-0000-0000-00005C660000}"/>
    <cellStyle name="60% - Accent1 78 2" xfId="26199" xr:uid="{00000000-0005-0000-0000-00005D660000}"/>
    <cellStyle name="60% - Accent1 79" xfId="26200" xr:uid="{00000000-0005-0000-0000-00005E660000}"/>
    <cellStyle name="60% - Accent1 79 2" xfId="26201" xr:uid="{00000000-0005-0000-0000-00005F660000}"/>
    <cellStyle name="60% - Accent1 8" xfId="26202" xr:uid="{00000000-0005-0000-0000-000060660000}"/>
    <cellStyle name="60% - Accent1 8 2" xfId="26203" xr:uid="{00000000-0005-0000-0000-000061660000}"/>
    <cellStyle name="60% - Accent1 80" xfId="26204" xr:uid="{00000000-0005-0000-0000-000062660000}"/>
    <cellStyle name="60% - Accent1 80 2" xfId="26205" xr:uid="{00000000-0005-0000-0000-000063660000}"/>
    <cellStyle name="60% - Accent1 81" xfId="26206" xr:uid="{00000000-0005-0000-0000-000064660000}"/>
    <cellStyle name="60% - Accent1 81 2" xfId="26207" xr:uid="{00000000-0005-0000-0000-000065660000}"/>
    <cellStyle name="60% - Accent1 82" xfId="26208" xr:uid="{00000000-0005-0000-0000-000066660000}"/>
    <cellStyle name="60% - Accent1 82 2" xfId="26209" xr:uid="{00000000-0005-0000-0000-000067660000}"/>
    <cellStyle name="60% - Accent1 83" xfId="26210" xr:uid="{00000000-0005-0000-0000-000068660000}"/>
    <cellStyle name="60% - Accent1 83 2" xfId="26211" xr:uid="{00000000-0005-0000-0000-000069660000}"/>
    <cellStyle name="60% - Accent1 84" xfId="26212" xr:uid="{00000000-0005-0000-0000-00006A660000}"/>
    <cellStyle name="60% - Accent1 84 2" xfId="26213" xr:uid="{00000000-0005-0000-0000-00006B660000}"/>
    <cellStyle name="60% - Accent1 85" xfId="26214" xr:uid="{00000000-0005-0000-0000-00006C660000}"/>
    <cellStyle name="60% - Accent1 85 2" xfId="26215" xr:uid="{00000000-0005-0000-0000-00006D660000}"/>
    <cellStyle name="60% - Accent1 86" xfId="26216" xr:uid="{00000000-0005-0000-0000-00006E660000}"/>
    <cellStyle name="60% - Accent1 86 2" xfId="26217" xr:uid="{00000000-0005-0000-0000-00006F660000}"/>
    <cellStyle name="60% - Accent1 87" xfId="26218" xr:uid="{00000000-0005-0000-0000-000070660000}"/>
    <cellStyle name="60% - Accent1 87 2" xfId="26219" xr:uid="{00000000-0005-0000-0000-000071660000}"/>
    <cellStyle name="60% - Accent1 88" xfId="26220" xr:uid="{00000000-0005-0000-0000-000072660000}"/>
    <cellStyle name="60% - Accent1 89" xfId="26221" xr:uid="{00000000-0005-0000-0000-000073660000}"/>
    <cellStyle name="60% - Accent1 89 2" xfId="26222" xr:uid="{00000000-0005-0000-0000-000074660000}"/>
    <cellStyle name="60% - Accent1 9" xfId="26223" xr:uid="{00000000-0005-0000-0000-000075660000}"/>
    <cellStyle name="60% - Accent1 9 2" xfId="26224" xr:uid="{00000000-0005-0000-0000-000076660000}"/>
    <cellStyle name="60% - Accent1 90" xfId="26225" xr:uid="{00000000-0005-0000-0000-000077660000}"/>
    <cellStyle name="60% - Accent1 90 2" xfId="26226" xr:uid="{00000000-0005-0000-0000-000078660000}"/>
    <cellStyle name="60% - Accent1 91" xfId="26227" xr:uid="{00000000-0005-0000-0000-000079660000}"/>
    <cellStyle name="60% - Accent1 91 2" xfId="26228" xr:uid="{00000000-0005-0000-0000-00007A660000}"/>
    <cellStyle name="60% - Accent1 92" xfId="26229" xr:uid="{00000000-0005-0000-0000-00007B660000}"/>
    <cellStyle name="60% - Accent1 92 2" xfId="26230" xr:uid="{00000000-0005-0000-0000-00007C660000}"/>
    <cellStyle name="60% - Accent1 93" xfId="26231" xr:uid="{00000000-0005-0000-0000-00007D660000}"/>
    <cellStyle name="60% - Accent1 93 2" xfId="26232" xr:uid="{00000000-0005-0000-0000-00007E660000}"/>
    <cellStyle name="60% - Accent1 94" xfId="26233" xr:uid="{00000000-0005-0000-0000-00007F660000}"/>
    <cellStyle name="60% - Accent1 94 2" xfId="26234" xr:uid="{00000000-0005-0000-0000-000080660000}"/>
    <cellStyle name="60% - Accent1 95" xfId="26235" xr:uid="{00000000-0005-0000-0000-000081660000}"/>
    <cellStyle name="60% - Accent1 96" xfId="26236" xr:uid="{00000000-0005-0000-0000-000082660000}"/>
    <cellStyle name="60% - Accent1 97" xfId="26237" xr:uid="{00000000-0005-0000-0000-000083660000}"/>
    <cellStyle name="60% - Accent1 98" xfId="26238" xr:uid="{00000000-0005-0000-0000-000084660000}"/>
    <cellStyle name="60% - Accent1 99" xfId="26239" xr:uid="{00000000-0005-0000-0000-000085660000}"/>
    <cellStyle name="60% - Accent2 10" xfId="26240" xr:uid="{00000000-0005-0000-0000-000086660000}"/>
    <cellStyle name="60% - Accent2 10 2" xfId="26241" xr:uid="{00000000-0005-0000-0000-000087660000}"/>
    <cellStyle name="60% - Accent2 100" xfId="26242" xr:uid="{00000000-0005-0000-0000-000088660000}"/>
    <cellStyle name="60% - Accent2 101" xfId="26243" xr:uid="{00000000-0005-0000-0000-000089660000}"/>
    <cellStyle name="60% - Accent2 102" xfId="26244" xr:uid="{00000000-0005-0000-0000-00008A660000}"/>
    <cellStyle name="60% - Accent2 103" xfId="26245" xr:uid="{00000000-0005-0000-0000-00008B660000}"/>
    <cellStyle name="60% - Accent2 104" xfId="26246" xr:uid="{00000000-0005-0000-0000-00008C660000}"/>
    <cellStyle name="60% - Accent2 105" xfId="26247" xr:uid="{00000000-0005-0000-0000-00008D660000}"/>
    <cellStyle name="60% - Accent2 106" xfId="26248" xr:uid="{00000000-0005-0000-0000-00008E660000}"/>
    <cellStyle name="60% - Accent2 107" xfId="26249" xr:uid="{00000000-0005-0000-0000-00008F660000}"/>
    <cellStyle name="60% - Accent2 108" xfId="26250" xr:uid="{00000000-0005-0000-0000-000090660000}"/>
    <cellStyle name="60% - Accent2 109" xfId="26251" xr:uid="{00000000-0005-0000-0000-000091660000}"/>
    <cellStyle name="60% - Accent2 11" xfId="26252" xr:uid="{00000000-0005-0000-0000-000092660000}"/>
    <cellStyle name="60% - Accent2 11 2" xfId="26253" xr:uid="{00000000-0005-0000-0000-000093660000}"/>
    <cellStyle name="60% - Accent2 110" xfId="26254" xr:uid="{00000000-0005-0000-0000-000094660000}"/>
    <cellStyle name="60% - Accent2 111" xfId="26255" xr:uid="{00000000-0005-0000-0000-000095660000}"/>
    <cellStyle name="60% - Accent2 112" xfId="26256" xr:uid="{00000000-0005-0000-0000-000096660000}"/>
    <cellStyle name="60% - Accent2 113" xfId="26257" xr:uid="{00000000-0005-0000-0000-000097660000}"/>
    <cellStyle name="60% - Accent2 114" xfId="26258" xr:uid="{00000000-0005-0000-0000-000098660000}"/>
    <cellStyle name="60% - Accent2 115" xfId="26259" xr:uid="{00000000-0005-0000-0000-000099660000}"/>
    <cellStyle name="60% - Accent2 116" xfId="26260" xr:uid="{00000000-0005-0000-0000-00009A660000}"/>
    <cellStyle name="60% - Accent2 117" xfId="26261" xr:uid="{00000000-0005-0000-0000-00009B660000}"/>
    <cellStyle name="60% - Accent2 118" xfId="26262" xr:uid="{00000000-0005-0000-0000-00009C660000}"/>
    <cellStyle name="60% - Accent2 119" xfId="26263" xr:uid="{00000000-0005-0000-0000-00009D660000}"/>
    <cellStyle name="60% - Accent2 12" xfId="26264" xr:uid="{00000000-0005-0000-0000-00009E660000}"/>
    <cellStyle name="60% - Accent2 12 2" xfId="26265" xr:uid="{00000000-0005-0000-0000-00009F660000}"/>
    <cellStyle name="60% - Accent2 120" xfId="26266" xr:uid="{00000000-0005-0000-0000-0000A0660000}"/>
    <cellStyle name="60% - Accent2 121" xfId="26267" xr:uid="{00000000-0005-0000-0000-0000A1660000}"/>
    <cellStyle name="60% - Accent2 122" xfId="26268" xr:uid="{00000000-0005-0000-0000-0000A2660000}"/>
    <cellStyle name="60% - Accent2 123" xfId="26269" xr:uid="{00000000-0005-0000-0000-0000A3660000}"/>
    <cellStyle name="60% - Accent2 124" xfId="26270" xr:uid="{00000000-0005-0000-0000-0000A4660000}"/>
    <cellStyle name="60% - Accent2 125" xfId="26271" xr:uid="{00000000-0005-0000-0000-0000A5660000}"/>
    <cellStyle name="60% - Accent2 126" xfId="26272" xr:uid="{00000000-0005-0000-0000-0000A6660000}"/>
    <cellStyle name="60% - Accent2 127" xfId="26273" xr:uid="{00000000-0005-0000-0000-0000A7660000}"/>
    <cellStyle name="60% - Accent2 128" xfId="26274" xr:uid="{00000000-0005-0000-0000-0000A8660000}"/>
    <cellStyle name="60% - Accent2 129" xfId="26275" xr:uid="{00000000-0005-0000-0000-0000A9660000}"/>
    <cellStyle name="60% - Accent2 13" xfId="26276" xr:uid="{00000000-0005-0000-0000-0000AA660000}"/>
    <cellStyle name="60% - Accent2 13 2" xfId="26277" xr:uid="{00000000-0005-0000-0000-0000AB660000}"/>
    <cellStyle name="60% - Accent2 130" xfId="26278" xr:uid="{00000000-0005-0000-0000-0000AC660000}"/>
    <cellStyle name="60% - Accent2 131" xfId="26279" xr:uid="{00000000-0005-0000-0000-0000AD660000}"/>
    <cellStyle name="60% - Accent2 132" xfId="26280" xr:uid="{00000000-0005-0000-0000-0000AE660000}"/>
    <cellStyle name="60% - Accent2 133" xfId="26281" xr:uid="{00000000-0005-0000-0000-0000AF660000}"/>
    <cellStyle name="60% - Accent2 14" xfId="26282" xr:uid="{00000000-0005-0000-0000-0000B0660000}"/>
    <cellStyle name="60% - Accent2 14 2" xfId="26283" xr:uid="{00000000-0005-0000-0000-0000B1660000}"/>
    <cellStyle name="60% - Accent2 15" xfId="26284" xr:uid="{00000000-0005-0000-0000-0000B2660000}"/>
    <cellStyle name="60% - Accent2 15 2" xfId="26285" xr:uid="{00000000-0005-0000-0000-0000B3660000}"/>
    <cellStyle name="60% - Accent2 16" xfId="26286" xr:uid="{00000000-0005-0000-0000-0000B4660000}"/>
    <cellStyle name="60% - Accent2 16 2" xfId="26287" xr:uid="{00000000-0005-0000-0000-0000B5660000}"/>
    <cellStyle name="60% - Accent2 17" xfId="26288" xr:uid="{00000000-0005-0000-0000-0000B6660000}"/>
    <cellStyle name="60% - Accent2 17 2" xfId="26289" xr:uid="{00000000-0005-0000-0000-0000B7660000}"/>
    <cellStyle name="60% - Accent2 18" xfId="26290" xr:uid="{00000000-0005-0000-0000-0000B8660000}"/>
    <cellStyle name="60% - Accent2 18 2" xfId="26291" xr:uid="{00000000-0005-0000-0000-0000B9660000}"/>
    <cellStyle name="60% - Accent2 19" xfId="26292" xr:uid="{00000000-0005-0000-0000-0000BA660000}"/>
    <cellStyle name="60% - Accent2 19 2" xfId="26293" xr:uid="{00000000-0005-0000-0000-0000BB660000}"/>
    <cellStyle name="60% - Accent2 2" xfId="26294" xr:uid="{00000000-0005-0000-0000-0000BC660000}"/>
    <cellStyle name="60% - Accent2 2 2" xfId="26295" xr:uid="{00000000-0005-0000-0000-0000BD660000}"/>
    <cellStyle name="60% - Accent2 2 2 2" xfId="26296" xr:uid="{00000000-0005-0000-0000-0000BE660000}"/>
    <cellStyle name="60% - Accent2 2 2 2 2" xfId="26297" xr:uid="{00000000-0005-0000-0000-0000BF660000}"/>
    <cellStyle name="60% - Accent2 2 2 2 2 2" xfId="26298" xr:uid="{00000000-0005-0000-0000-0000C0660000}"/>
    <cellStyle name="60% - Accent2 2 3" xfId="26299" xr:uid="{00000000-0005-0000-0000-0000C1660000}"/>
    <cellStyle name="60% - Accent2 2 4" xfId="26300" xr:uid="{00000000-0005-0000-0000-0000C2660000}"/>
    <cellStyle name="60% - Accent2 2 5" xfId="41051" xr:uid="{00000000-0005-0000-0000-00000D000000}"/>
    <cellStyle name="60% - Accent2 20" xfId="26301" xr:uid="{00000000-0005-0000-0000-0000C3660000}"/>
    <cellStyle name="60% - Accent2 20 2" xfId="26302" xr:uid="{00000000-0005-0000-0000-0000C4660000}"/>
    <cellStyle name="60% - Accent2 21" xfId="26303" xr:uid="{00000000-0005-0000-0000-0000C5660000}"/>
    <cellStyle name="60% - Accent2 21 2" xfId="26304" xr:uid="{00000000-0005-0000-0000-0000C6660000}"/>
    <cellStyle name="60% - Accent2 22" xfId="26305" xr:uid="{00000000-0005-0000-0000-0000C7660000}"/>
    <cellStyle name="60% - Accent2 22 2" xfId="26306" xr:uid="{00000000-0005-0000-0000-0000C8660000}"/>
    <cellStyle name="60% - Accent2 23" xfId="26307" xr:uid="{00000000-0005-0000-0000-0000C9660000}"/>
    <cellStyle name="60% - Accent2 23 2" xfId="26308" xr:uid="{00000000-0005-0000-0000-0000CA660000}"/>
    <cellStyle name="60% - Accent2 24" xfId="26309" xr:uid="{00000000-0005-0000-0000-0000CB660000}"/>
    <cellStyle name="60% - Accent2 24 2" xfId="26310" xr:uid="{00000000-0005-0000-0000-0000CC660000}"/>
    <cellStyle name="60% - Accent2 25" xfId="26311" xr:uid="{00000000-0005-0000-0000-0000CD660000}"/>
    <cellStyle name="60% - Accent2 25 2" xfId="26312" xr:uid="{00000000-0005-0000-0000-0000CE660000}"/>
    <cellStyle name="60% - Accent2 26" xfId="26313" xr:uid="{00000000-0005-0000-0000-0000CF660000}"/>
    <cellStyle name="60% - Accent2 26 2" xfId="26314" xr:uid="{00000000-0005-0000-0000-0000D0660000}"/>
    <cellStyle name="60% - Accent2 27" xfId="26315" xr:uid="{00000000-0005-0000-0000-0000D1660000}"/>
    <cellStyle name="60% - Accent2 27 2" xfId="26316" xr:uid="{00000000-0005-0000-0000-0000D2660000}"/>
    <cellStyle name="60% - Accent2 28" xfId="26317" xr:uid="{00000000-0005-0000-0000-0000D3660000}"/>
    <cellStyle name="60% - Accent2 28 2" xfId="26318" xr:uid="{00000000-0005-0000-0000-0000D4660000}"/>
    <cellStyle name="60% - Accent2 29" xfId="26319" xr:uid="{00000000-0005-0000-0000-0000D5660000}"/>
    <cellStyle name="60% - Accent2 29 2" xfId="26320" xr:uid="{00000000-0005-0000-0000-0000D6660000}"/>
    <cellStyle name="60% - Accent2 3" xfId="26321" xr:uid="{00000000-0005-0000-0000-0000D7660000}"/>
    <cellStyle name="60% - Accent2 3 2" xfId="26322" xr:uid="{00000000-0005-0000-0000-0000D8660000}"/>
    <cellStyle name="60% - Accent2 3 2 2" xfId="26323" xr:uid="{00000000-0005-0000-0000-0000D9660000}"/>
    <cellStyle name="60% - Accent2 3 3" xfId="26324" xr:uid="{00000000-0005-0000-0000-0000DA660000}"/>
    <cellStyle name="60% - Accent2 3 4" xfId="26325" xr:uid="{00000000-0005-0000-0000-0000DB660000}"/>
    <cellStyle name="60% - Accent2 3_MAR 2009" xfId="26326" xr:uid="{00000000-0005-0000-0000-0000DC660000}"/>
    <cellStyle name="60% - Accent2 30" xfId="26327" xr:uid="{00000000-0005-0000-0000-0000DD660000}"/>
    <cellStyle name="60% - Accent2 30 2" xfId="26328" xr:uid="{00000000-0005-0000-0000-0000DE660000}"/>
    <cellStyle name="60% - Accent2 31" xfId="26329" xr:uid="{00000000-0005-0000-0000-0000DF660000}"/>
    <cellStyle name="60% - Accent2 31 2" xfId="26330" xr:uid="{00000000-0005-0000-0000-0000E0660000}"/>
    <cellStyle name="60% - Accent2 32" xfId="26331" xr:uid="{00000000-0005-0000-0000-0000E1660000}"/>
    <cellStyle name="60% - Accent2 32 2" xfId="26332" xr:uid="{00000000-0005-0000-0000-0000E2660000}"/>
    <cellStyle name="60% - Accent2 33" xfId="26333" xr:uid="{00000000-0005-0000-0000-0000E3660000}"/>
    <cellStyle name="60% - Accent2 33 2" xfId="26334" xr:uid="{00000000-0005-0000-0000-0000E4660000}"/>
    <cellStyle name="60% - Accent2 34" xfId="26335" xr:uid="{00000000-0005-0000-0000-0000E5660000}"/>
    <cellStyle name="60% - Accent2 34 2" xfId="26336" xr:uid="{00000000-0005-0000-0000-0000E6660000}"/>
    <cellStyle name="60% - Accent2 35" xfId="26337" xr:uid="{00000000-0005-0000-0000-0000E7660000}"/>
    <cellStyle name="60% - Accent2 35 2" xfId="26338" xr:uid="{00000000-0005-0000-0000-0000E8660000}"/>
    <cellStyle name="60% - Accent2 36" xfId="26339" xr:uid="{00000000-0005-0000-0000-0000E9660000}"/>
    <cellStyle name="60% - Accent2 36 2" xfId="26340" xr:uid="{00000000-0005-0000-0000-0000EA660000}"/>
    <cellStyle name="60% - Accent2 37" xfId="26341" xr:uid="{00000000-0005-0000-0000-0000EB660000}"/>
    <cellStyle name="60% - Accent2 37 2" xfId="26342" xr:uid="{00000000-0005-0000-0000-0000EC660000}"/>
    <cellStyle name="60% - Accent2 38" xfId="26343" xr:uid="{00000000-0005-0000-0000-0000ED660000}"/>
    <cellStyle name="60% - Accent2 38 2" xfId="26344" xr:uid="{00000000-0005-0000-0000-0000EE660000}"/>
    <cellStyle name="60% - Accent2 39" xfId="26345" xr:uid="{00000000-0005-0000-0000-0000EF660000}"/>
    <cellStyle name="60% - Accent2 39 2" xfId="26346" xr:uid="{00000000-0005-0000-0000-0000F0660000}"/>
    <cellStyle name="60% - Accent2 4" xfId="26347" xr:uid="{00000000-0005-0000-0000-0000F1660000}"/>
    <cellStyle name="60% - Accent2 4 2" xfId="26348" xr:uid="{00000000-0005-0000-0000-0000F2660000}"/>
    <cellStyle name="60% - Accent2 4 2 2" xfId="26349" xr:uid="{00000000-0005-0000-0000-0000F3660000}"/>
    <cellStyle name="60% - Accent2 4 3" xfId="26350" xr:uid="{00000000-0005-0000-0000-0000F4660000}"/>
    <cellStyle name="60% - Accent2 40" xfId="26351" xr:uid="{00000000-0005-0000-0000-0000F5660000}"/>
    <cellStyle name="60% - Accent2 40 2" xfId="26352" xr:uid="{00000000-0005-0000-0000-0000F6660000}"/>
    <cellStyle name="60% - Accent2 41" xfId="26353" xr:uid="{00000000-0005-0000-0000-0000F7660000}"/>
    <cellStyle name="60% - Accent2 41 2" xfId="26354" xr:uid="{00000000-0005-0000-0000-0000F8660000}"/>
    <cellStyle name="60% - Accent2 42" xfId="26355" xr:uid="{00000000-0005-0000-0000-0000F9660000}"/>
    <cellStyle name="60% - Accent2 42 2" xfId="26356" xr:uid="{00000000-0005-0000-0000-0000FA660000}"/>
    <cellStyle name="60% - Accent2 43" xfId="26357" xr:uid="{00000000-0005-0000-0000-0000FB660000}"/>
    <cellStyle name="60% - Accent2 43 2" xfId="26358" xr:uid="{00000000-0005-0000-0000-0000FC660000}"/>
    <cellStyle name="60% - Accent2 44" xfId="26359" xr:uid="{00000000-0005-0000-0000-0000FD660000}"/>
    <cellStyle name="60% - Accent2 44 2" xfId="26360" xr:uid="{00000000-0005-0000-0000-0000FE660000}"/>
    <cellStyle name="60% - Accent2 45" xfId="26361" xr:uid="{00000000-0005-0000-0000-0000FF660000}"/>
    <cellStyle name="60% - Accent2 45 2" xfId="26362" xr:uid="{00000000-0005-0000-0000-000000670000}"/>
    <cellStyle name="60% - Accent2 46" xfId="26363" xr:uid="{00000000-0005-0000-0000-000001670000}"/>
    <cellStyle name="60% - Accent2 46 2" xfId="26364" xr:uid="{00000000-0005-0000-0000-000002670000}"/>
    <cellStyle name="60% - Accent2 47" xfId="26365" xr:uid="{00000000-0005-0000-0000-000003670000}"/>
    <cellStyle name="60% - Accent2 47 2" xfId="26366" xr:uid="{00000000-0005-0000-0000-000004670000}"/>
    <cellStyle name="60% - Accent2 48" xfId="26367" xr:uid="{00000000-0005-0000-0000-000005670000}"/>
    <cellStyle name="60% - Accent2 48 2" xfId="26368" xr:uid="{00000000-0005-0000-0000-000006670000}"/>
    <cellStyle name="60% - Accent2 49" xfId="26369" xr:uid="{00000000-0005-0000-0000-000007670000}"/>
    <cellStyle name="60% - Accent2 49 2" xfId="26370" xr:uid="{00000000-0005-0000-0000-000008670000}"/>
    <cellStyle name="60% - Accent2 5" xfId="26371" xr:uid="{00000000-0005-0000-0000-000009670000}"/>
    <cellStyle name="60% - Accent2 5 2" xfId="26372" xr:uid="{00000000-0005-0000-0000-00000A670000}"/>
    <cellStyle name="60% - Accent2 5 2 2" xfId="26373" xr:uid="{00000000-0005-0000-0000-00000B670000}"/>
    <cellStyle name="60% - Accent2 5 3" xfId="26374" xr:uid="{00000000-0005-0000-0000-00000C670000}"/>
    <cellStyle name="60% - Accent2 50" xfId="26375" xr:uid="{00000000-0005-0000-0000-00000D670000}"/>
    <cellStyle name="60% - Accent2 50 2" xfId="26376" xr:uid="{00000000-0005-0000-0000-00000E670000}"/>
    <cellStyle name="60% - Accent2 51" xfId="26377" xr:uid="{00000000-0005-0000-0000-00000F670000}"/>
    <cellStyle name="60% - Accent2 51 2" xfId="26378" xr:uid="{00000000-0005-0000-0000-000010670000}"/>
    <cellStyle name="60% - Accent2 52" xfId="26379" xr:uid="{00000000-0005-0000-0000-000011670000}"/>
    <cellStyle name="60% - Accent2 52 2" xfId="26380" xr:uid="{00000000-0005-0000-0000-000012670000}"/>
    <cellStyle name="60% - Accent2 53" xfId="26381" xr:uid="{00000000-0005-0000-0000-000013670000}"/>
    <cellStyle name="60% - Accent2 53 2" xfId="26382" xr:uid="{00000000-0005-0000-0000-000014670000}"/>
    <cellStyle name="60% - Accent2 54" xfId="26383" xr:uid="{00000000-0005-0000-0000-000015670000}"/>
    <cellStyle name="60% - Accent2 54 2" xfId="26384" xr:uid="{00000000-0005-0000-0000-000016670000}"/>
    <cellStyle name="60% - Accent2 55" xfId="26385" xr:uid="{00000000-0005-0000-0000-000017670000}"/>
    <cellStyle name="60% - Accent2 55 2" xfId="26386" xr:uid="{00000000-0005-0000-0000-000018670000}"/>
    <cellStyle name="60% - Accent2 56" xfId="26387" xr:uid="{00000000-0005-0000-0000-000019670000}"/>
    <cellStyle name="60% - Accent2 56 2" xfId="26388" xr:uid="{00000000-0005-0000-0000-00001A670000}"/>
    <cellStyle name="60% - Accent2 57" xfId="26389" xr:uid="{00000000-0005-0000-0000-00001B670000}"/>
    <cellStyle name="60% - Accent2 57 2" xfId="26390" xr:uid="{00000000-0005-0000-0000-00001C670000}"/>
    <cellStyle name="60% - Accent2 58" xfId="26391" xr:uid="{00000000-0005-0000-0000-00001D670000}"/>
    <cellStyle name="60% - Accent2 58 2" xfId="26392" xr:uid="{00000000-0005-0000-0000-00001E670000}"/>
    <cellStyle name="60% - Accent2 59" xfId="26393" xr:uid="{00000000-0005-0000-0000-00001F670000}"/>
    <cellStyle name="60% - Accent2 6" xfId="26394" xr:uid="{00000000-0005-0000-0000-000020670000}"/>
    <cellStyle name="60% - Accent2 6 2" xfId="26395" xr:uid="{00000000-0005-0000-0000-000021670000}"/>
    <cellStyle name="60% - Accent2 6 3" xfId="26396" xr:uid="{00000000-0005-0000-0000-000022670000}"/>
    <cellStyle name="60% - Accent2 60" xfId="26397" xr:uid="{00000000-0005-0000-0000-000023670000}"/>
    <cellStyle name="60% - Accent2 61" xfId="26398" xr:uid="{00000000-0005-0000-0000-000024670000}"/>
    <cellStyle name="60% - Accent2 62" xfId="26399" xr:uid="{00000000-0005-0000-0000-000025670000}"/>
    <cellStyle name="60% - Accent2 63" xfId="26400" xr:uid="{00000000-0005-0000-0000-000026670000}"/>
    <cellStyle name="60% - Accent2 63 2" xfId="26401" xr:uid="{00000000-0005-0000-0000-000027670000}"/>
    <cellStyle name="60% - Accent2 64" xfId="26402" xr:uid="{00000000-0005-0000-0000-000028670000}"/>
    <cellStyle name="60% - Accent2 64 2" xfId="26403" xr:uid="{00000000-0005-0000-0000-000029670000}"/>
    <cellStyle name="60% - Accent2 65" xfId="26404" xr:uid="{00000000-0005-0000-0000-00002A670000}"/>
    <cellStyle name="60% - Accent2 65 2" xfId="26405" xr:uid="{00000000-0005-0000-0000-00002B670000}"/>
    <cellStyle name="60% - Accent2 66" xfId="26406" xr:uid="{00000000-0005-0000-0000-00002C670000}"/>
    <cellStyle name="60% - Accent2 66 2" xfId="26407" xr:uid="{00000000-0005-0000-0000-00002D670000}"/>
    <cellStyle name="60% - Accent2 67" xfId="26408" xr:uid="{00000000-0005-0000-0000-00002E670000}"/>
    <cellStyle name="60% - Accent2 67 2" xfId="26409" xr:uid="{00000000-0005-0000-0000-00002F670000}"/>
    <cellStyle name="60% - Accent2 68" xfId="26410" xr:uid="{00000000-0005-0000-0000-000030670000}"/>
    <cellStyle name="60% - Accent2 68 2" xfId="26411" xr:uid="{00000000-0005-0000-0000-000031670000}"/>
    <cellStyle name="60% - Accent2 69" xfId="26412" xr:uid="{00000000-0005-0000-0000-000032670000}"/>
    <cellStyle name="60% - Accent2 69 2" xfId="26413" xr:uid="{00000000-0005-0000-0000-000033670000}"/>
    <cellStyle name="60% - Accent2 7" xfId="26414" xr:uid="{00000000-0005-0000-0000-000034670000}"/>
    <cellStyle name="60% - Accent2 7 2" xfId="26415" xr:uid="{00000000-0005-0000-0000-000035670000}"/>
    <cellStyle name="60% - Accent2 70" xfId="26416" xr:uid="{00000000-0005-0000-0000-000036670000}"/>
    <cellStyle name="60% - Accent2 70 2" xfId="26417" xr:uid="{00000000-0005-0000-0000-000037670000}"/>
    <cellStyle name="60% - Accent2 71" xfId="26418" xr:uid="{00000000-0005-0000-0000-000038670000}"/>
    <cellStyle name="60% - Accent2 71 2" xfId="26419" xr:uid="{00000000-0005-0000-0000-000039670000}"/>
    <cellStyle name="60% - Accent2 72" xfId="26420" xr:uid="{00000000-0005-0000-0000-00003A670000}"/>
    <cellStyle name="60% - Accent2 72 2" xfId="26421" xr:uid="{00000000-0005-0000-0000-00003B670000}"/>
    <cellStyle name="60% - Accent2 73" xfId="26422" xr:uid="{00000000-0005-0000-0000-00003C670000}"/>
    <cellStyle name="60% - Accent2 73 2" xfId="26423" xr:uid="{00000000-0005-0000-0000-00003D670000}"/>
    <cellStyle name="60% - Accent2 74" xfId="26424" xr:uid="{00000000-0005-0000-0000-00003E670000}"/>
    <cellStyle name="60% - Accent2 74 2" xfId="26425" xr:uid="{00000000-0005-0000-0000-00003F670000}"/>
    <cellStyle name="60% - Accent2 75" xfId="26426" xr:uid="{00000000-0005-0000-0000-000040670000}"/>
    <cellStyle name="60% - Accent2 75 2" xfId="26427" xr:uid="{00000000-0005-0000-0000-000041670000}"/>
    <cellStyle name="60% - Accent2 76" xfId="26428" xr:uid="{00000000-0005-0000-0000-000042670000}"/>
    <cellStyle name="60% - Accent2 76 2" xfId="26429" xr:uid="{00000000-0005-0000-0000-000043670000}"/>
    <cellStyle name="60% - Accent2 77" xfId="26430" xr:uid="{00000000-0005-0000-0000-000044670000}"/>
    <cellStyle name="60% - Accent2 77 2" xfId="26431" xr:uid="{00000000-0005-0000-0000-000045670000}"/>
    <cellStyle name="60% - Accent2 78" xfId="26432" xr:uid="{00000000-0005-0000-0000-000046670000}"/>
    <cellStyle name="60% - Accent2 78 2" xfId="26433" xr:uid="{00000000-0005-0000-0000-000047670000}"/>
    <cellStyle name="60% - Accent2 79" xfId="26434" xr:uid="{00000000-0005-0000-0000-000048670000}"/>
    <cellStyle name="60% - Accent2 79 2" xfId="26435" xr:uid="{00000000-0005-0000-0000-000049670000}"/>
    <cellStyle name="60% - Accent2 8" xfId="26436" xr:uid="{00000000-0005-0000-0000-00004A670000}"/>
    <cellStyle name="60% - Accent2 8 2" xfId="26437" xr:uid="{00000000-0005-0000-0000-00004B670000}"/>
    <cellStyle name="60% - Accent2 80" xfId="26438" xr:uid="{00000000-0005-0000-0000-00004C670000}"/>
    <cellStyle name="60% - Accent2 80 2" xfId="26439" xr:uid="{00000000-0005-0000-0000-00004D670000}"/>
    <cellStyle name="60% - Accent2 81" xfId="26440" xr:uid="{00000000-0005-0000-0000-00004E670000}"/>
    <cellStyle name="60% - Accent2 81 2" xfId="26441" xr:uid="{00000000-0005-0000-0000-00004F670000}"/>
    <cellStyle name="60% - Accent2 82" xfId="26442" xr:uid="{00000000-0005-0000-0000-000050670000}"/>
    <cellStyle name="60% - Accent2 82 2" xfId="26443" xr:uid="{00000000-0005-0000-0000-000051670000}"/>
    <cellStyle name="60% - Accent2 83" xfId="26444" xr:uid="{00000000-0005-0000-0000-000052670000}"/>
    <cellStyle name="60% - Accent2 83 2" xfId="26445" xr:uid="{00000000-0005-0000-0000-000053670000}"/>
    <cellStyle name="60% - Accent2 84" xfId="26446" xr:uid="{00000000-0005-0000-0000-000054670000}"/>
    <cellStyle name="60% - Accent2 84 2" xfId="26447" xr:uid="{00000000-0005-0000-0000-000055670000}"/>
    <cellStyle name="60% - Accent2 85" xfId="26448" xr:uid="{00000000-0005-0000-0000-000056670000}"/>
    <cellStyle name="60% - Accent2 85 2" xfId="26449" xr:uid="{00000000-0005-0000-0000-000057670000}"/>
    <cellStyle name="60% - Accent2 86" xfId="26450" xr:uid="{00000000-0005-0000-0000-000058670000}"/>
    <cellStyle name="60% - Accent2 86 2" xfId="26451" xr:uid="{00000000-0005-0000-0000-000059670000}"/>
    <cellStyle name="60% - Accent2 87" xfId="26452" xr:uid="{00000000-0005-0000-0000-00005A670000}"/>
    <cellStyle name="60% - Accent2 87 2" xfId="26453" xr:uid="{00000000-0005-0000-0000-00005B670000}"/>
    <cellStyle name="60% - Accent2 88" xfId="26454" xr:uid="{00000000-0005-0000-0000-00005C670000}"/>
    <cellStyle name="60% - Accent2 89" xfId="26455" xr:uid="{00000000-0005-0000-0000-00005D670000}"/>
    <cellStyle name="60% - Accent2 89 2" xfId="26456" xr:uid="{00000000-0005-0000-0000-00005E670000}"/>
    <cellStyle name="60% - Accent2 9" xfId="26457" xr:uid="{00000000-0005-0000-0000-00005F670000}"/>
    <cellStyle name="60% - Accent2 9 2" xfId="26458" xr:uid="{00000000-0005-0000-0000-000060670000}"/>
    <cellStyle name="60% - Accent2 90" xfId="26459" xr:uid="{00000000-0005-0000-0000-000061670000}"/>
    <cellStyle name="60% - Accent2 90 2" xfId="26460" xr:uid="{00000000-0005-0000-0000-000062670000}"/>
    <cellStyle name="60% - Accent2 91" xfId="26461" xr:uid="{00000000-0005-0000-0000-000063670000}"/>
    <cellStyle name="60% - Accent2 91 2" xfId="26462" xr:uid="{00000000-0005-0000-0000-000064670000}"/>
    <cellStyle name="60% - Accent2 92" xfId="26463" xr:uid="{00000000-0005-0000-0000-000065670000}"/>
    <cellStyle name="60% - Accent2 92 2" xfId="26464" xr:uid="{00000000-0005-0000-0000-000066670000}"/>
    <cellStyle name="60% - Accent2 93" xfId="26465" xr:uid="{00000000-0005-0000-0000-000067670000}"/>
    <cellStyle name="60% - Accent2 93 2" xfId="26466" xr:uid="{00000000-0005-0000-0000-000068670000}"/>
    <cellStyle name="60% - Accent2 94" xfId="26467" xr:uid="{00000000-0005-0000-0000-000069670000}"/>
    <cellStyle name="60% - Accent2 94 2" xfId="26468" xr:uid="{00000000-0005-0000-0000-00006A670000}"/>
    <cellStyle name="60% - Accent2 95" xfId="26469" xr:uid="{00000000-0005-0000-0000-00006B670000}"/>
    <cellStyle name="60% - Accent2 96" xfId="26470" xr:uid="{00000000-0005-0000-0000-00006C670000}"/>
    <cellStyle name="60% - Accent2 97" xfId="26471" xr:uid="{00000000-0005-0000-0000-00006D670000}"/>
    <cellStyle name="60% - Accent2 98" xfId="26472" xr:uid="{00000000-0005-0000-0000-00006E670000}"/>
    <cellStyle name="60% - Accent2 99" xfId="26473" xr:uid="{00000000-0005-0000-0000-00006F670000}"/>
    <cellStyle name="60% - Accent3 10" xfId="26474" xr:uid="{00000000-0005-0000-0000-000070670000}"/>
    <cellStyle name="60% - Accent3 10 2" xfId="26475" xr:uid="{00000000-0005-0000-0000-000071670000}"/>
    <cellStyle name="60% - Accent3 100" xfId="26476" xr:uid="{00000000-0005-0000-0000-000072670000}"/>
    <cellStyle name="60% - Accent3 101" xfId="26477" xr:uid="{00000000-0005-0000-0000-000073670000}"/>
    <cellStyle name="60% - Accent3 102" xfId="26478" xr:uid="{00000000-0005-0000-0000-000074670000}"/>
    <cellStyle name="60% - Accent3 103" xfId="26479" xr:uid="{00000000-0005-0000-0000-000075670000}"/>
    <cellStyle name="60% - Accent3 104" xfId="26480" xr:uid="{00000000-0005-0000-0000-000076670000}"/>
    <cellStyle name="60% - Accent3 105" xfId="26481" xr:uid="{00000000-0005-0000-0000-000077670000}"/>
    <cellStyle name="60% - Accent3 106" xfId="26482" xr:uid="{00000000-0005-0000-0000-000078670000}"/>
    <cellStyle name="60% - Accent3 107" xfId="26483" xr:uid="{00000000-0005-0000-0000-000079670000}"/>
    <cellStyle name="60% - Accent3 108" xfId="26484" xr:uid="{00000000-0005-0000-0000-00007A670000}"/>
    <cellStyle name="60% - Accent3 109" xfId="26485" xr:uid="{00000000-0005-0000-0000-00007B670000}"/>
    <cellStyle name="60% - Accent3 11" xfId="26486" xr:uid="{00000000-0005-0000-0000-00007C670000}"/>
    <cellStyle name="60% - Accent3 11 2" xfId="26487" xr:uid="{00000000-0005-0000-0000-00007D670000}"/>
    <cellStyle name="60% - Accent3 110" xfId="26488" xr:uid="{00000000-0005-0000-0000-00007E670000}"/>
    <cellStyle name="60% - Accent3 111" xfId="26489" xr:uid="{00000000-0005-0000-0000-00007F670000}"/>
    <cellStyle name="60% - Accent3 112" xfId="26490" xr:uid="{00000000-0005-0000-0000-000080670000}"/>
    <cellStyle name="60% - Accent3 113" xfId="26491" xr:uid="{00000000-0005-0000-0000-000081670000}"/>
    <cellStyle name="60% - Accent3 114" xfId="26492" xr:uid="{00000000-0005-0000-0000-000082670000}"/>
    <cellStyle name="60% - Accent3 115" xfId="26493" xr:uid="{00000000-0005-0000-0000-000083670000}"/>
    <cellStyle name="60% - Accent3 116" xfId="26494" xr:uid="{00000000-0005-0000-0000-000084670000}"/>
    <cellStyle name="60% - Accent3 117" xfId="26495" xr:uid="{00000000-0005-0000-0000-000085670000}"/>
    <cellStyle name="60% - Accent3 118" xfId="26496" xr:uid="{00000000-0005-0000-0000-000086670000}"/>
    <cellStyle name="60% - Accent3 119" xfId="26497" xr:uid="{00000000-0005-0000-0000-000087670000}"/>
    <cellStyle name="60% - Accent3 12" xfId="26498" xr:uid="{00000000-0005-0000-0000-000088670000}"/>
    <cellStyle name="60% - Accent3 12 2" xfId="26499" xr:uid="{00000000-0005-0000-0000-000089670000}"/>
    <cellStyle name="60% - Accent3 120" xfId="26500" xr:uid="{00000000-0005-0000-0000-00008A670000}"/>
    <cellStyle name="60% - Accent3 121" xfId="26501" xr:uid="{00000000-0005-0000-0000-00008B670000}"/>
    <cellStyle name="60% - Accent3 122" xfId="26502" xr:uid="{00000000-0005-0000-0000-00008C670000}"/>
    <cellStyle name="60% - Accent3 123" xfId="26503" xr:uid="{00000000-0005-0000-0000-00008D670000}"/>
    <cellStyle name="60% - Accent3 124" xfId="26504" xr:uid="{00000000-0005-0000-0000-00008E670000}"/>
    <cellStyle name="60% - Accent3 125" xfId="26505" xr:uid="{00000000-0005-0000-0000-00008F670000}"/>
    <cellStyle name="60% - Accent3 126" xfId="26506" xr:uid="{00000000-0005-0000-0000-000090670000}"/>
    <cellStyle name="60% - Accent3 127" xfId="26507" xr:uid="{00000000-0005-0000-0000-000091670000}"/>
    <cellStyle name="60% - Accent3 128" xfId="26508" xr:uid="{00000000-0005-0000-0000-000092670000}"/>
    <cellStyle name="60% - Accent3 129" xfId="26509" xr:uid="{00000000-0005-0000-0000-000093670000}"/>
    <cellStyle name="60% - Accent3 13" xfId="26510" xr:uid="{00000000-0005-0000-0000-000094670000}"/>
    <cellStyle name="60% - Accent3 13 2" xfId="26511" xr:uid="{00000000-0005-0000-0000-000095670000}"/>
    <cellStyle name="60% - Accent3 130" xfId="26512" xr:uid="{00000000-0005-0000-0000-000096670000}"/>
    <cellStyle name="60% - Accent3 131" xfId="26513" xr:uid="{00000000-0005-0000-0000-000097670000}"/>
    <cellStyle name="60% - Accent3 132" xfId="26514" xr:uid="{00000000-0005-0000-0000-000098670000}"/>
    <cellStyle name="60% - Accent3 133" xfId="26515" xr:uid="{00000000-0005-0000-0000-000099670000}"/>
    <cellStyle name="60% - Accent3 14" xfId="26516" xr:uid="{00000000-0005-0000-0000-00009A670000}"/>
    <cellStyle name="60% - Accent3 14 2" xfId="26517" xr:uid="{00000000-0005-0000-0000-00009B670000}"/>
    <cellStyle name="60% - Accent3 15" xfId="26518" xr:uid="{00000000-0005-0000-0000-00009C670000}"/>
    <cellStyle name="60% - Accent3 15 2" xfId="26519" xr:uid="{00000000-0005-0000-0000-00009D670000}"/>
    <cellStyle name="60% - Accent3 16" xfId="26520" xr:uid="{00000000-0005-0000-0000-00009E670000}"/>
    <cellStyle name="60% - Accent3 16 2" xfId="26521" xr:uid="{00000000-0005-0000-0000-00009F670000}"/>
    <cellStyle name="60% - Accent3 17" xfId="26522" xr:uid="{00000000-0005-0000-0000-0000A0670000}"/>
    <cellStyle name="60% - Accent3 17 2" xfId="26523" xr:uid="{00000000-0005-0000-0000-0000A1670000}"/>
    <cellStyle name="60% - Accent3 18" xfId="26524" xr:uid="{00000000-0005-0000-0000-0000A2670000}"/>
    <cellStyle name="60% - Accent3 18 2" xfId="26525" xr:uid="{00000000-0005-0000-0000-0000A3670000}"/>
    <cellStyle name="60% - Accent3 19" xfId="26526" xr:uid="{00000000-0005-0000-0000-0000A4670000}"/>
    <cellStyle name="60% - Accent3 19 2" xfId="26527" xr:uid="{00000000-0005-0000-0000-0000A5670000}"/>
    <cellStyle name="60% - Accent3 2" xfId="26528" xr:uid="{00000000-0005-0000-0000-0000A6670000}"/>
    <cellStyle name="60% - Accent3 2 2" xfId="26529" xr:uid="{00000000-0005-0000-0000-0000A7670000}"/>
    <cellStyle name="60% - Accent3 2 2 2" xfId="26530" xr:uid="{00000000-0005-0000-0000-0000A8670000}"/>
    <cellStyle name="60% - Accent3 2 2 2 2" xfId="26531" xr:uid="{00000000-0005-0000-0000-0000A9670000}"/>
    <cellStyle name="60% - Accent3 2 2 2 2 2" xfId="26532" xr:uid="{00000000-0005-0000-0000-0000AA670000}"/>
    <cellStyle name="60% - Accent3 2 3" xfId="26533" xr:uid="{00000000-0005-0000-0000-0000AB670000}"/>
    <cellStyle name="60% - Accent3 2 4" xfId="26534" xr:uid="{00000000-0005-0000-0000-0000AC670000}"/>
    <cellStyle name="60% - Accent3 2 5" xfId="41052" xr:uid="{00000000-0005-0000-0000-00000E000000}"/>
    <cellStyle name="60% - Accent3 20" xfId="26535" xr:uid="{00000000-0005-0000-0000-0000AD670000}"/>
    <cellStyle name="60% - Accent3 20 2" xfId="26536" xr:uid="{00000000-0005-0000-0000-0000AE670000}"/>
    <cellStyle name="60% - Accent3 21" xfId="26537" xr:uid="{00000000-0005-0000-0000-0000AF670000}"/>
    <cellStyle name="60% - Accent3 21 2" xfId="26538" xr:uid="{00000000-0005-0000-0000-0000B0670000}"/>
    <cellStyle name="60% - Accent3 22" xfId="26539" xr:uid="{00000000-0005-0000-0000-0000B1670000}"/>
    <cellStyle name="60% - Accent3 22 2" xfId="26540" xr:uid="{00000000-0005-0000-0000-0000B2670000}"/>
    <cellStyle name="60% - Accent3 23" xfId="26541" xr:uid="{00000000-0005-0000-0000-0000B3670000}"/>
    <cellStyle name="60% - Accent3 23 2" xfId="26542" xr:uid="{00000000-0005-0000-0000-0000B4670000}"/>
    <cellStyle name="60% - Accent3 24" xfId="26543" xr:uid="{00000000-0005-0000-0000-0000B5670000}"/>
    <cellStyle name="60% - Accent3 24 2" xfId="26544" xr:uid="{00000000-0005-0000-0000-0000B6670000}"/>
    <cellStyle name="60% - Accent3 25" xfId="26545" xr:uid="{00000000-0005-0000-0000-0000B7670000}"/>
    <cellStyle name="60% - Accent3 25 2" xfId="26546" xr:uid="{00000000-0005-0000-0000-0000B8670000}"/>
    <cellStyle name="60% - Accent3 26" xfId="26547" xr:uid="{00000000-0005-0000-0000-0000B9670000}"/>
    <cellStyle name="60% - Accent3 26 2" xfId="26548" xr:uid="{00000000-0005-0000-0000-0000BA670000}"/>
    <cellStyle name="60% - Accent3 27" xfId="26549" xr:uid="{00000000-0005-0000-0000-0000BB670000}"/>
    <cellStyle name="60% - Accent3 27 2" xfId="26550" xr:uid="{00000000-0005-0000-0000-0000BC670000}"/>
    <cellStyle name="60% - Accent3 28" xfId="26551" xr:uid="{00000000-0005-0000-0000-0000BD670000}"/>
    <cellStyle name="60% - Accent3 28 2" xfId="26552" xr:uid="{00000000-0005-0000-0000-0000BE670000}"/>
    <cellStyle name="60% - Accent3 29" xfId="26553" xr:uid="{00000000-0005-0000-0000-0000BF670000}"/>
    <cellStyle name="60% - Accent3 29 2" xfId="26554" xr:uid="{00000000-0005-0000-0000-0000C0670000}"/>
    <cellStyle name="60% - Accent3 3" xfId="26555" xr:uid="{00000000-0005-0000-0000-0000C1670000}"/>
    <cellStyle name="60% - Accent3 3 2" xfId="26556" xr:uid="{00000000-0005-0000-0000-0000C2670000}"/>
    <cellStyle name="60% - Accent3 3 2 2" xfId="26557" xr:uid="{00000000-0005-0000-0000-0000C3670000}"/>
    <cellStyle name="60% - Accent3 3 3" xfId="26558" xr:uid="{00000000-0005-0000-0000-0000C4670000}"/>
    <cellStyle name="60% - Accent3 3 4" xfId="26559" xr:uid="{00000000-0005-0000-0000-0000C5670000}"/>
    <cellStyle name="60% - Accent3 3_MAR 2009" xfId="26560" xr:uid="{00000000-0005-0000-0000-0000C6670000}"/>
    <cellStyle name="60% - Accent3 30" xfId="26561" xr:uid="{00000000-0005-0000-0000-0000C7670000}"/>
    <cellStyle name="60% - Accent3 30 2" xfId="26562" xr:uid="{00000000-0005-0000-0000-0000C8670000}"/>
    <cellStyle name="60% - Accent3 31" xfId="26563" xr:uid="{00000000-0005-0000-0000-0000C9670000}"/>
    <cellStyle name="60% - Accent3 31 2" xfId="26564" xr:uid="{00000000-0005-0000-0000-0000CA670000}"/>
    <cellStyle name="60% - Accent3 32" xfId="26565" xr:uid="{00000000-0005-0000-0000-0000CB670000}"/>
    <cellStyle name="60% - Accent3 32 2" xfId="26566" xr:uid="{00000000-0005-0000-0000-0000CC670000}"/>
    <cellStyle name="60% - Accent3 33" xfId="26567" xr:uid="{00000000-0005-0000-0000-0000CD670000}"/>
    <cellStyle name="60% - Accent3 33 2" xfId="26568" xr:uid="{00000000-0005-0000-0000-0000CE670000}"/>
    <cellStyle name="60% - Accent3 34" xfId="26569" xr:uid="{00000000-0005-0000-0000-0000CF670000}"/>
    <cellStyle name="60% - Accent3 34 2" xfId="26570" xr:uid="{00000000-0005-0000-0000-0000D0670000}"/>
    <cellStyle name="60% - Accent3 35" xfId="26571" xr:uid="{00000000-0005-0000-0000-0000D1670000}"/>
    <cellStyle name="60% - Accent3 35 2" xfId="26572" xr:uid="{00000000-0005-0000-0000-0000D2670000}"/>
    <cellStyle name="60% - Accent3 36" xfId="26573" xr:uid="{00000000-0005-0000-0000-0000D3670000}"/>
    <cellStyle name="60% - Accent3 36 2" xfId="26574" xr:uid="{00000000-0005-0000-0000-0000D4670000}"/>
    <cellStyle name="60% - Accent3 37" xfId="26575" xr:uid="{00000000-0005-0000-0000-0000D5670000}"/>
    <cellStyle name="60% - Accent3 37 2" xfId="26576" xr:uid="{00000000-0005-0000-0000-0000D6670000}"/>
    <cellStyle name="60% - Accent3 38" xfId="26577" xr:uid="{00000000-0005-0000-0000-0000D7670000}"/>
    <cellStyle name="60% - Accent3 38 2" xfId="26578" xr:uid="{00000000-0005-0000-0000-0000D8670000}"/>
    <cellStyle name="60% - Accent3 39" xfId="26579" xr:uid="{00000000-0005-0000-0000-0000D9670000}"/>
    <cellStyle name="60% - Accent3 39 2" xfId="26580" xr:uid="{00000000-0005-0000-0000-0000DA670000}"/>
    <cellStyle name="60% - Accent3 4" xfId="26581" xr:uid="{00000000-0005-0000-0000-0000DB670000}"/>
    <cellStyle name="60% - Accent3 4 2" xfId="26582" xr:uid="{00000000-0005-0000-0000-0000DC670000}"/>
    <cellStyle name="60% - Accent3 4 2 2" xfId="26583" xr:uid="{00000000-0005-0000-0000-0000DD670000}"/>
    <cellStyle name="60% - Accent3 4 3" xfId="26584" xr:uid="{00000000-0005-0000-0000-0000DE670000}"/>
    <cellStyle name="60% - Accent3 40" xfId="26585" xr:uid="{00000000-0005-0000-0000-0000DF670000}"/>
    <cellStyle name="60% - Accent3 40 2" xfId="26586" xr:uid="{00000000-0005-0000-0000-0000E0670000}"/>
    <cellStyle name="60% - Accent3 41" xfId="26587" xr:uid="{00000000-0005-0000-0000-0000E1670000}"/>
    <cellStyle name="60% - Accent3 41 2" xfId="26588" xr:uid="{00000000-0005-0000-0000-0000E2670000}"/>
    <cellStyle name="60% - Accent3 42" xfId="26589" xr:uid="{00000000-0005-0000-0000-0000E3670000}"/>
    <cellStyle name="60% - Accent3 42 2" xfId="26590" xr:uid="{00000000-0005-0000-0000-0000E4670000}"/>
    <cellStyle name="60% - Accent3 43" xfId="26591" xr:uid="{00000000-0005-0000-0000-0000E5670000}"/>
    <cellStyle name="60% - Accent3 43 2" xfId="26592" xr:uid="{00000000-0005-0000-0000-0000E6670000}"/>
    <cellStyle name="60% - Accent3 44" xfId="26593" xr:uid="{00000000-0005-0000-0000-0000E7670000}"/>
    <cellStyle name="60% - Accent3 44 2" xfId="26594" xr:uid="{00000000-0005-0000-0000-0000E8670000}"/>
    <cellStyle name="60% - Accent3 45" xfId="26595" xr:uid="{00000000-0005-0000-0000-0000E9670000}"/>
    <cellStyle name="60% - Accent3 45 2" xfId="26596" xr:uid="{00000000-0005-0000-0000-0000EA670000}"/>
    <cellStyle name="60% - Accent3 46" xfId="26597" xr:uid="{00000000-0005-0000-0000-0000EB670000}"/>
    <cellStyle name="60% - Accent3 46 2" xfId="26598" xr:uid="{00000000-0005-0000-0000-0000EC670000}"/>
    <cellStyle name="60% - Accent3 47" xfId="26599" xr:uid="{00000000-0005-0000-0000-0000ED670000}"/>
    <cellStyle name="60% - Accent3 47 2" xfId="26600" xr:uid="{00000000-0005-0000-0000-0000EE670000}"/>
    <cellStyle name="60% - Accent3 48" xfId="26601" xr:uid="{00000000-0005-0000-0000-0000EF670000}"/>
    <cellStyle name="60% - Accent3 48 2" xfId="26602" xr:uid="{00000000-0005-0000-0000-0000F0670000}"/>
    <cellStyle name="60% - Accent3 49" xfId="26603" xr:uid="{00000000-0005-0000-0000-0000F1670000}"/>
    <cellStyle name="60% - Accent3 49 2" xfId="26604" xr:uid="{00000000-0005-0000-0000-0000F2670000}"/>
    <cellStyle name="60% - Accent3 5" xfId="26605" xr:uid="{00000000-0005-0000-0000-0000F3670000}"/>
    <cellStyle name="60% - Accent3 5 2" xfId="26606" xr:uid="{00000000-0005-0000-0000-0000F4670000}"/>
    <cellStyle name="60% - Accent3 5 2 2" xfId="26607" xr:uid="{00000000-0005-0000-0000-0000F5670000}"/>
    <cellStyle name="60% - Accent3 5 3" xfId="26608" xr:uid="{00000000-0005-0000-0000-0000F6670000}"/>
    <cellStyle name="60% - Accent3 50" xfId="26609" xr:uid="{00000000-0005-0000-0000-0000F7670000}"/>
    <cellStyle name="60% - Accent3 50 2" xfId="26610" xr:uid="{00000000-0005-0000-0000-0000F8670000}"/>
    <cellStyle name="60% - Accent3 51" xfId="26611" xr:uid="{00000000-0005-0000-0000-0000F9670000}"/>
    <cellStyle name="60% - Accent3 51 2" xfId="26612" xr:uid="{00000000-0005-0000-0000-0000FA670000}"/>
    <cellStyle name="60% - Accent3 52" xfId="26613" xr:uid="{00000000-0005-0000-0000-0000FB670000}"/>
    <cellStyle name="60% - Accent3 52 2" xfId="26614" xr:uid="{00000000-0005-0000-0000-0000FC670000}"/>
    <cellStyle name="60% - Accent3 53" xfId="26615" xr:uid="{00000000-0005-0000-0000-0000FD670000}"/>
    <cellStyle name="60% - Accent3 53 2" xfId="26616" xr:uid="{00000000-0005-0000-0000-0000FE670000}"/>
    <cellStyle name="60% - Accent3 54" xfId="26617" xr:uid="{00000000-0005-0000-0000-0000FF670000}"/>
    <cellStyle name="60% - Accent3 54 2" xfId="26618" xr:uid="{00000000-0005-0000-0000-000000680000}"/>
    <cellStyle name="60% - Accent3 55" xfId="26619" xr:uid="{00000000-0005-0000-0000-000001680000}"/>
    <cellStyle name="60% - Accent3 55 2" xfId="26620" xr:uid="{00000000-0005-0000-0000-000002680000}"/>
    <cellStyle name="60% - Accent3 56" xfId="26621" xr:uid="{00000000-0005-0000-0000-000003680000}"/>
    <cellStyle name="60% - Accent3 56 2" xfId="26622" xr:uid="{00000000-0005-0000-0000-000004680000}"/>
    <cellStyle name="60% - Accent3 57" xfId="26623" xr:uid="{00000000-0005-0000-0000-000005680000}"/>
    <cellStyle name="60% - Accent3 57 2" xfId="26624" xr:uid="{00000000-0005-0000-0000-000006680000}"/>
    <cellStyle name="60% - Accent3 58" xfId="26625" xr:uid="{00000000-0005-0000-0000-000007680000}"/>
    <cellStyle name="60% - Accent3 58 2" xfId="26626" xr:uid="{00000000-0005-0000-0000-000008680000}"/>
    <cellStyle name="60% - Accent3 59" xfId="26627" xr:uid="{00000000-0005-0000-0000-000009680000}"/>
    <cellStyle name="60% - Accent3 6" xfId="26628" xr:uid="{00000000-0005-0000-0000-00000A680000}"/>
    <cellStyle name="60% - Accent3 6 2" xfId="26629" xr:uid="{00000000-0005-0000-0000-00000B680000}"/>
    <cellStyle name="60% - Accent3 6 3" xfId="26630" xr:uid="{00000000-0005-0000-0000-00000C680000}"/>
    <cellStyle name="60% - Accent3 60" xfId="26631" xr:uid="{00000000-0005-0000-0000-00000D680000}"/>
    <cellStyle name="60% - Accent3 61" xfId="26632" xr:uid="{00000000-0005-0000-0000-00000E680000}"/>
    <cellStyle name="60% - Accent3 62" xfId="26633" xr:uid="{00000000-0005-0000-0000-00000F680000}"/>
    <cellStyle name="60% - Accent3 63" xfId="26634" xr:uid="{00000000-0005-0000-0000-000010680000}"/>
    <cellStyle name="60% - Accent3 63 2" xfId="26635" xr:uid="{00000000-0005-0000-0000-000011680000}"/>
    <cellStyle name="60% - Accent3 64" xfId="26636" xr:uid="{00000000-0005-0000-0000-000012680000}"/>
    <cellStyle name="60% - Accent3 64 2" xfId="26637" xr:uid="{00000000-0005-0000-0000-000013680000}"/>
    <cellStyle name="60% - Accent3 65" xfId="26638" xr:uid="{00000000-0005-0000-0000-000014680000}"/>
    <cellStyle name="60% - Accent3 65 2" xfId="26639" xr:uid="{00000000-0005-0000-0000-000015680000}"/>
    <cellStyle name="60% - Accent3 66" xfId="26640" xr:uid="{00000000-0005-0000-0000-000016680000}"/>
    <cellStyle name="60% - Accent3 66 2" xfId="26641" xr:uid="{00000000-0005-0000-0000-000017680000}"/>
    <cellStyle name="60% - Accent3 67" xfId="26642" xr:uid="{00000000-0005-0000-0000-000018680000}"/>
    <cellStyle name="60% - Accent3 67 2" xfId="26643" xr:uid="{00000000-0005-0000-0000-000019680000}"/>
    <cellStyle name="60% - Accent3 68" xfId="26644" xr:uid="{00000000-0005-0000-0000-00001A680000}"/>
    <cellStyle name="60% - Accent3 68 2" xfId="26645" xr:uid="{00000000-0005-0000-0000-00001B680000}"/>
    <cellStyle name="60% - Accent3 69" xfId="26646" xr:uid="{00000000-0005-0000-0000-00001C680000}"/>
    <cellStyle name="60% - Accent3 69 2" xfId="26647" xr:uid="{00000000-0005-0000-0000-00001D680000}"/>
    <cellStyle name="60% - Accent3 7" xfId="26648" xr:uid="{00000000-0005-0000-0000-00001E680000}"/>
    <cellStyle name="60% - Accent3 7 2" xfId="26649" xr:uid="{00000000-0005-0000-0000-00001F680000}"/>
    <cellStyle name="60% - Accent3 70" xfId="26650" xr:uid="{00000000-0005-0000-0000-000020680000}"/>
    <cellStyle name="60% - Accent3 70 2" xfId="26651" xr:uid="{00000000-0005-0000-0000-000021680000}"/>
    <cellStyle name="60% - Accent3 71" xfId="26652" xr:uid="{00000000-0005-0000-0000-000022680000}"/>
    <cellStyle name="60% - Accent3 71 2" xfId="26653" xr:uid="{00000000-0005-0000-0000-000023680000}"/>
    <cellStyle name="60% - Accent3 72" xfId="26654" xr:uid="{00000000-0005-0000-0000-000024680000}"/>
    <cellStyle name="60% - Accent3 72 2" xfId="26655" xr:uid="{00000000-0005-0000-0000-000025680000}"/>
    <cellStyle name="60% - Accent3 73" xfId="26656" xr:uid="{00000000-0005-0000-0000-000026680000}"/>
    <cellStyle name="60% - Accent3 73 2" xfId="26657" xr:uid="{00000000-0005-0000-0000-000027680000}"/>
    <cellStyle name="60% - Accent3 74" xfId="26658" xr:uid="{00000000-0005-0000-0000-000028680000}"/>
    <cellStyle name="60% - Accent3 74 2" xfId="26659" xr:uid="{00000000-0005-0000-0000-000029680000}"/>
    <cellStyle name="60% - Accent3 75" xfId="26660" xr:uid="{00000000-0005-0000-0000-00002A680000}"/>
    <cellStyle name="60% - Accent3 75 2" xfId="26661" xr:uid="{00000000-0005-0000-0000-00002B680000}"/>
    <cellStyle name="60% - Accent3 76" xfId="26662" xr:uid="{00000000-0005-0000-0000-00002C680000}"/>
    <cellStyle name="60% - Accent3 76 2" xfId="26663" xr:uid="{00000000-0005-0000-0000-00002D680000}"/>
    <cellStyle name="60% - Accent3 77" xfId="26664" xr:uid="{00000000-0005-0000-0000-00002E680000}"/>
    <cellStyle name="60% - Accent3 77 2" xfId="26665" xr:uid="{00000000-0005-0000-0000-00002F680000}"/>
    <cellStyle name="60% - Accent3 78" xfId="26666" xr:uid="{00000000-0005-0000-0000-000030680000}"/>
    <cellStyle name="60% - Accent3 78 2" xfId="26667" xr:uid="{00000000-0005-0000-0000-000031680000}"/>
    <cellStyle name="60% - Accent3 79" xfId="26668" xr:uid="{00000000-0005-0000-0000-000032680000}"/>
    <cellStyle name="60% - Accent3 79 2" xfId="26669" xr:uid="{00000000-0005-0000-0000-000033680000}"/>
    <cellStyle name="60% - Accent3 8" xfId="26670" xr:uid="{00000000-0005-0000-0000-000034680000}"/>
    <cellStyle name="60% - Accent3 8 2" xfId="26671" xr:uid="{00000000-0005-0000-0000-000035680000}"/>
    <cellStyle name="60% - Accent3 80" xfId="26672" xr:uid="{00000000-0005-0000-0000-000036680000}"/>
    <cellStyle name="60% - Accent3 80 2" xfId="26673" xr:uid="{00000000-0005-0000-0000-000037680000}"/>
    <cellStyle name="60% - Accent3 81" xfId="26674" xr:uid="{00000000-0005-0000-0000-000038680000}"/>
    <cellStyle name="60% - Accent3 81 2" xfId="26675" xr:uid="{00000000-0005-0000-0000-000039680000}"/>
    <cellStyle name="60% - Accent3 82" xfId="26676" xr:uid="{00000000-0005-0000-0000-00003A680000}"/>
    <cellStyle name="60% - Accent3 82 2" xfId="26677" xr:uid="{00000000-0005-0000-0000-00003B680000}"/>
    <cellStyle name="60% - Accent3 83" xfId="26678" xr:uid="{00000000-0005-0000-0000-00003C680000}"/>
    <cellStyle name="60% - Accent3 83 2" xfId="26679" xr:uid="{00000000-0005-0000-0000-00003D680000}"/>
    <cellStyle name="60% - Accent3 84" xfId="26680" xr:uid="{00000000-0005-0000-0000-00003E680000}"/>
    <cellStyle name="60% - Accent3 84 2" xfId="26681" xr:uid="{00000000-0005-0000-0000-00003F680000}"/>
    <cellStyle name="60% - Accent3 85" xfId="26682" xr:uid="{00000000-0005-0000-0000-000040680000}"/>
    <cellStyle name="60% - Accent3 85 2" xfId="26683" xr:uid="{00000000-0005-0000-0000-000041680000}"/>
    <cellStyle name="60% - Accent3 86" xfId="26684" xr:uid="{00000000-0005-0000-0000-000042680000}"/>
    <cellStyle name="60% - Accent3 86 2" xfId="26685" xr:uid="{00000000-0005-0000-0000-000043680000}"/>
    <cellStyle name="60% - Accent3 87" xfId="26686" xr:uid="{00000000-0005-0000-0000-000044680000}"/>
    <cellStyle name="60% - Accent3 87 2" xfId="26687" xr:uid="{00000000-0005-0000-0000-000045680000}"/>
    <cellStyle name="60% - Accent3 88" xfId="26688" xr:uid="{00000000-0005-0000-0000-000046680000}"/>
    <cellStyle name="60% - Accent3 89" xfId="26689" xr:uid="{00000000-0005-0000-0000-000047680000}"/>
    <cellStyle name="60% - Accent3 89 2" xfId="26690" xr:uid="{00000000-0005-0000-0000-000048680000}"/>
    <cellStyle name="60% - Accent3 9" xfId="26691" xr:uid="{00000000-0005-0000-0000-000049680000}"/>
    <cellStyle name="60% - Accent3 9 2" xfId="26692" xr:uid="{00000000-0005-0000-0000-00004A680000}"/>
    <cellStyle name="60% - Accent3 90" xfId="26693" xr:uid="{00000000-0005-0000-0000-00004B680000}"/>
    <cellStyle name="60% - Accent3 90 2" xfId="26694" xr:uid="{00000000-0005-0000-0000-00004C680000}"/>
    <cellStyle name="60% - Accent3 91" xfId="26695" xr:uid="{00000000-0005-0000-0000-00004D680000}"/>
    <cellStyle name="60% - Accent3 91 2" xfId="26696" xr:uid="{00000000-0005-0000-0000-00004E680000}"/>
    <cellStyle name="60% - Accent3 92" xfId="26697" xr:uid="{00000000-0005-0000-0000-00004F680000}"/>
    <cellStyle name="60% - Accent3 92 2" xfId="26698" xr:uid="{00000000-0005-0000-0000-000050680000}"/>
    <cellStyle name="60% - Accent3 93" xfId="26699" xr:uid="{00000000-0005-0000-0000-000051680000}"/>
    <cellStyle name="60% - Accent3 93 2" xfId="26700" xr:uid="{00000000-0005-0000-0000-000052680000}"/>
    <cellStyle name="60% - Accent3 94" xfId="26701" xr:uid="{00000000-0005-0000-0000-000053680000}"/>
    <cellStyle name="60% - Accent3 94 2" xfId="26702" xr:uid="{00000000-0005-0000-0000-000054680000}"/>
    <cellStyle name="60% - Accent3 95" xfId="26703" xr:uid="{00000000-0005-0000-0000-000055680000}"/>
    <cellStyle name="60% - Accent3 96" xfId="26704" xr:uid="{00000000-0005-0000-0000-000056680000}"/>
    <cellStyle name="60% - Accent3 97" xfId="26705" xr:uid="{00000000-0005-0000-0000-000057680000}"/>
    <cellStyle name="60% - Accent3 98" xfId="26706" xr:uid="{00000000-0005-0000-0000-000058680000}"/>
    <cellStyle name="60% - Accent3 99" xfId="26707" xr:uid="{00000000-0005-0000-0000-000059680000}"/>
    <cellStyle name="60% - Accent4 10" xfId="26708" xr:uid="{00000000-0005-0000-0000-00005A680000}"/>
    <cellStyle name="60% - Accent4 10 2" xfId="26709" xr:uid="{00000000-0005-0000-0000-00005B680000}"/>
    <cellStyle name="60% - Accent4 100" xfId="26710" xr:uid="{00000000-0005-0000-0000-00005C680000}"/>
    <cellStyle name="60% - Accent4 101" xfId="26711" xr:uid="{00000000-0005-0000-0000-00005D680000}"/>
    <cellStyle name="60% - Accent4 102" xfId="26712" xr:uid="{00000000-0005-0000-0000-00005E680000}"/>
    <cellStyle name="60% - Accent4 103" xfId="26713" xr:uid="{00000000-0005-0000-0000-00005F680000}"/>
    <cellStyle name="60% - Accent4 104" xfId="26714" xr:uid="{00000000-0005-0000-0000-000060680000}"/>
    <cellStyle name="60% - Accent4 105" xfId="26715" xr:uid="{00000000-0005-0000-0000-000061680000}"/>
    <cellStyle name="60% - Accent4 106" xfId="26716" xr:uid="{00000000-0005-0000-0000-000062680000}"/>
    <cellStyle name="60% - Accent4 107" xfId="26717" xr:uid="{00000000-0005-0000-0000-000063680000}"/>
    <cellStyle name="60% - Accent4 108" xfId="26718" xr:uid="{00000000-0005-0000-0000-000064680000}"/>
    <cellStyle name="60% - Accent4 109" xfId="26719" xr:uid="{00000000-0005-0000-0000-000065680000}"/>
    <cellStyle name="60% - Accent4 11" xfId="26720" xr:uid="{00000000-0005-0000-0000-000066680000}"/>
    <cellStyle name="60% - Accent4 11 2" xfId="26721" xr:uid="{00000000-0005-0000-0000-000067680000}"/>
    <cellStyle name="60% - Accent4 110" xfId="26722" xr:uid="{00000000-0005-0000-0000-000068680000}"/>
    <cellStyle name="60% - Accent4 111" xfId="26723" xr:uid="{00000000-0005-0000-0000-000069680000}"/>
    <cellStyle name="60% - Accent4 112" xfId="26724" xr:uid="{00000000-0005-0000-0000-00006A680000}"/>
    <cellStyle name="60% - Accent4 113" xfId="26725" xr:uid="{00000000-0005-0000-0000-00006B680000}"/>
    <cellStyle name="60% - Accent4 114" xfId="26726" xr:uid="{00000000-0005-0000-0000-00006C680000}"/>
    <cellStyle name="60% - Accent4 115" xfId="26727" xr:uid="{00000000-0005-0000-0000-00006D680000}"/>
    <cellStyle name="60% - Accent4 116" xfId="26728" xr:uid="{00000000-0005-0000-0000-00006E680000}"/>
    <cellStyle name="60% - Accent4 117" xfId="26729" xr:uid="{00000000-0005-0000-0000-00006F680000}"/>
    <cellStyle name="60% - Accent4 118" xfId="26730" xr:uid="{00000000-0005-0000-0000-000070680000}"/>
    <cellStyle name="60% - Accent4 119" xfId="26731" xr:uid="{00000000-0005-0000-0000-000071680000}"/>
    <cellStyle name="60% - Accent4 12" xfId="26732" xr:uid="{00000000-0005-0000-0000-000072680000}"/>
    <cellStyle name="60% - Accent4 12 2" xfId="26733" xr:uid="{00000000-0005-0000-0000-000073680000}"/>
    <cellStyle name="60% - Accent4 120" xfId="26734" xr:uid="{00000000-0005-0000-0000-000074680000}"/>
    <cellStyle name="60% - Accent4 121" xfId="26735" xr:uid="{00000000-0005-0000-0000-000075680000}"/>
    <cellStyle name="60% - Accent4 122" xfId="26736" xr:uid="{00000000-0005-0000-0000-000076680000}"/>
    <cellStyle name="60% - Accent4 123" xfId="26737" xr:uid="{00000000-0005-0000-0000-000077680000}"/>
    <cellStyle name="60% - Accent4 124" xfId="26738" xr:uid="{00000000-0005-0000-0000-000078680000}"/>
    <cellStyle name="60% - Accent4 125" xfId="26739" xr:uid="{00000000-0005-0000-0000-000079680000}"/>
    <cellStyle name="60% - Accent4 126" xfId="26740" xr:uid="{00000000-0005-0000-0000-00007A680000}"/>
    <cellStyle name="60% - Accent4 127" xfId="26741" xr:uid="{00000000-0005-0000-0000-00007B680000}"/>
    <cellStyle name="60% - Accent4 128" xfId="26742" xr:uid="{00000000-0005-0000-0000-00007C680000}"/>
    <cellStyle name="60% - Accent4 129" xfId="26743" xr:uid="{00000000-0005-0000-0000-00007D680000}"/>
    <cellStyle name="60% - Accent4 13" xfId="26744" xr:uid="{00000000-0005-0000-0000-00007E680000}"/>
    <cellStyle name="60% - Accent4 13 2" xfId="26745" xr:uid="{00000000-0005-0000-0000-00007F680000}"/>
    <cellStyle name="60% - Accent4 130" xfId="26746" xr:uid="{00000000-0005-0000-0000-000080680000}"/>
    <cellStyle name="60% - Accent4 131" xfId="26747" xr:uid="{00000000-0005-0000-0000-000081680000}"/>
    <cellStyle name="60% - Accent4 132" xfId="26748" xr:uid="{00000000-0005-0000-0000-000082680000}"/>
    <cellStyle name="60% - Accent4 133" xfId="26749" xr:uid="{00000000-0005-0000-0000-000083680000}"/>
    <cellStyle name="60% - Accent4 14" xfId="26750" xr:uid="{00000000-0005-0000-0000-000084680000}"/>
    <cellStyle name="60% - Accent4 14 2" xfId="26751" xr:uid="{00000000-0005-0000-0000-000085680000}"/>
    <cellStyle name="60% - Accent4 15" xfId="26752" xr:uid="{00000000-0005-0000-0000-000086680000}"/>
    <cellStyle name="60% - Accent4 15 2" xfId="26753" xr:uid="{00000000-0005-0000-0000-000087680000}"/>
    <cellStyle name="60% - Accent4 16" xfId="26754" xr:uid="{00000000-0005-0000-0000-000088680000}"/>
    <cellStyle name="60% - Accent4 16 2" xfId="26755" xr:uid="{00000000-0005-0000-0000-000089680000}"/>
    <cellStyle name="60% - Accent4 17" xfId="26756" xr:uid="{00000000-0005-0000-0000-00008A680000}"/>
    <cellStyle name="60% - Accent4 17 2" xfId="26757" xr:uid="{00000000-0005-0000-0000-00008B680000}"/>
    <cellStyle name="60% - Accent4 18" xfId="26758" xr:uid="{00000000-0005-0000-0000-00008C680000}"/>
    <cellStyle name="60% - Accent4 18 2" xfId="26759" xr:uid="{00000000-0005-0000-0000-00008D680000}"/>
    <cellStyle name="60% - Accent4 19" xfId="26760" xr:uid="{00000000-0005-0000-0000-00008E680000}"/>
    <cellStyle name="60% - Accent4 19 2" xfId="26761" xr:uid="{00000000-0005-0000-0000-00008F680000}"/>
    <cellStyle name="60% - Accent4 2" xfId="26762" xr:uid="{00000000-0005-0000-0000-000090680000}"/>
    <cellStyle name="60% - Accent4 2 2" xfId="26763" xr:uid="{00000000-0005-0000-0000-000091680000}"/>
    <cellStyle name="60% - Accent4 2 2 2" xfId="26764" xr:uid="{00000000-0005-0000-0000-000092680000}"/>
    <cellStyle name="60% - Accent4 2 2 2 2" xfId="26765" xr:uid="{00000000-0005-0000-0000-000093680000}"/>
    <cellStyle name="60% - Accent4 2 2 2 2 2" xfId="26766" xr:uid="{00000000-0005-0000-0000-000094680000}"/>
    <cellStyle name="60% - Accent4 2 3" xfId="26767" xr:uid="{00000000-0005-0000-0000-000095680000}"/>
    <cellStyle name="60% - Accent4 2 4" xfId="26768" xr:uid="{00000000-0005-0000-0000-000096680000}"/>
    <cellStyle name="60% - Accent4 2 5" xfId="41053" xr:uid="{00000000-0005-0000-0000-00000F000000}"/>
    <cellStyle name="60% - Accent4 20" xfId="26769" xr:uid="{00000000-0005-0000-0000-000097680000}"/>
    <cellStyle name="60% - Accent4 20 2" xfId="26770" xr:uid="{00000000-0005-0000-0000-000098680000}"/>
    <cellStyle name="60% - Accent4 21" xfId="26771" xr:uid="{00000000-0005-0000-0000-000099680000}"/>
    <cellStyle name="60% - Accent4 21 2" xfId="26772" xr:uid="{00000000-0005-0000-0000-00009A680000}"/>
    <cellStyle name="60% - Accent4 22" xfId="26773" xr:uid="{00000000-0005-0000-0000-00009B680000}"/>
    <cellStyle name="60% - Accent4 22 2" xfId="26774" xr:uid="{00000000-0005-0000-0000-00009C680000}"/>
    <cellStyle name="60% - Accent4 23" xfId="26775" xr:uid="{00000000-0005-0000-0000-00009D680000}"/>
    <cellStyle name="60% - Accent4 23 2" xfId="26776" xr:uid="{00000000-0005-0000-0000-00009E680000}"/>
    <cellStyle name="60% - Accent4 24" xfId="26777" xr:uid="{00000000-0005-0000-0000-00009F680000}"/>
    <cellStyle name="60% - Accent4 24 2" xfId="26778" xr:uid="{00000000-0005-0000-0000-0000A0680000}"/>
    <cellStyle name="60% - Accent4 25" xfId="26779" xr:uid="{00000000-0005-0000-0000-0000A1680000}"/>
    <cellStyle name="60% - Accent4 25 2" xfId="26780" xr:uid="{00000000-0005-0000-0000-0000A2680000}"/>
    <cellStyle name="60% - Accent4 26" xfId="26781" xr:uid="{00000000-0005-0000-0000-0000A3680000}"/>
    <cellStyle name="60% - Accent4 26 2" xfId="26782" xr:uid="{00000000-0005-0000-0000-0000A4680000}"/>
    <cellStyle name="60% - Accent4 27" xfId="26783" xr:uid="{00000000-0005-0000-0000-0000A5680000}"/>
    <cellStyle name="60% - Accent4 27 2" xfId="26784" xr:uid="{00000000-0005-0000-0000-0000A6680000}"/>
    <cellStyle name="60% - Accent4 28" xfId="26785" xr:uid="{00000000-0005-0000-0000-0000A7680000}"/>
    <cellStyle name="60% - Accent4 28 2" xfId="26786" xr:uid="{00000000-0005-0000-0000-0000A8680000}"/>
    <cellStyle name="60% - Accent4 29" xfId="26787" xr:uid="{00000000-0005-0000-0000-0000A9680000}"/>
    <cellStyle name="60% - Accent4 29 2" xfId="26788" xr:uid="{00000000-0005-0000-0000-0000AA680000}"/>
    <cellStyle name="60% - Accent4 3" xfId="26789" xr:uid="{00000000-0005-0000-0000-0000AB680000}"/>
    <cellStyle name="60% - Accent4 3 2" xfId="26790" xr:uid="{00000000-0005-0000-0000-0000AC680000}"/>
    <cellStyle name="60% - Accent4 3 2 2" xfId="26791" xr:uid="{00000000-0005-0000-0000-0000AD680000}"/>
    <cellStyle name="60% - Accent4 3 3" xfId="26792" xr:uid="{00000000-0005-0000-0000-0000AE680000}"/>
    <cellStyle name="60% - Accent4 3 4" xfId="26793" xr:uid="{00000000-0005-0000-0000-0000AF680000}"/>
    <cellStyle name="60% - Accent4 3_MAR 2009" xfId="26794" xr:uid="{00000000-0005-0000-0000-0000B0680000}"/>
    <cellStyle name="60% - Accent4 30" xfId="26795" xr:uid="{00000000-0005-0000-0000-0000B1680000}"/>
    <cellStyle name="60% - Accent4 30 2" xfId="26796" xr:uid="{00000000-0005-0000-0000-0000B2680000}"/>
    <cellStyle name="60% - Accent4 31" xfId="26797" xr:uid="{00000000-0005-0000-0000-0000B3680000}"/>
    <cellStyle name="60% - Accent4 31 2" xfId="26798" xr:uid="{00000000-0005-0000-0000-0000B4680000}"/>
    <cellStyle name="60% - Accent4 32" xfId="26799" xr:uid="{00000000-0005-0000-0000-0000B5680000}"/>
    <cellStyle name="60% - Accent4 32 2" xfId="26800" xr:uid="{00000000-0005-0000-0000-0000B6680000}"/>
    <cellStyle name="60% - Accent4 33" xfId="26801" xr:uid="{00000000-0005-0000-0000-0000B7680000}"/>
    <cellStyle name="60% - Accent4 33 2" xfId="26802" xr:uid="{00000000-0005-0000-0000-0000B8680000}"/>
    <cellStyle name="60% - Accent4 34" xfId="26803" xr:uid="{00000000-0005-0000-0000-0000B9680000}"/>
    <cellStyle name="60% - Accent4 34 2" xfId="26804" xr:uid="{00000000-0005-0000-0000-0000BA680000}"/>
    <cellStyle name="60% - Accent4 35" xfId="26805" xr:uid="{00000000-0005-0000-0000-0000BB680000}"/>
    <cellStyle name="60% - Accent4 35 2" xfId="26806" xr:uid="{00000000-0005-0000-0000-0000BC680000}"/>
    <cellStyle name="60% - Accent4 36" xfId="26807" xr:uid="{00000000-0005-0000-0000-0000BD680000}"/>
    <cellStyle name="60% - Accent4 36 2" xfId="26808" xr:uid="{00000000-0005-0000-0000-0000BE680000}"/>
    <cellStyle name="60% - Accent4 37" xfId="26809" xr:uid="{00000000-0005-0000-0000-0000BF680000}"/>
    <cellStyle name="60% - Accent4 37 2" xfId="26810" xr:uid="{00000000-0005-0000-0000-0000C0680000}"/>
    <cellStyle name="60% - Accent4 38" xfId="26811" xr:uid="{00000000-0005-0000-0000-0000C1680000}"/>
    <cellStyle name="60% - Accent4 38 2" xfId="26812" xr:uid="{00000000-0005-0000-0000-0000C2680000}"/>
    <cellStyle name="60% - Accent4 39" xfId="26813" xr:uid="{00000000-0005-0000-0000-0000C3680000}"/>
    <cellStyle name="60% - Accent4 39 2" xfId="26814" xr:uid="{00000000-0005-0000-0000-0000C4680000}"/>
    <cellStyle name="60% - Accent4 4" xfId="26815" xr:uid="{00000000-0005-0000-0000-0000C5680000}"/>
    <cellStyle name="60% - Accent4 4 2" xfId="26816" xr:uid="{00000000-0005-0000-0000-0000C6680000}"/>
    <cellStyle name="60% - Accent4 4 2 2" xfId="26817" xr:uid="{00000000-0005-0000-0000-0000C7680000}"/>
    <cellStyle name="60% - Accent4 4 3" xfId="26818" xr:uid="{00000000-0005-0000-0000-0000C8680000}"/>
    <cellStyle name="60% - Accent4 40" xfId="26819" xr:uid="{00000000-0005-0000-0000-0000C9680000}"/>
    <cellStyle name="60% - Accent4 40 2" xfId="26820" xr:uid="{00000000-0005-0000-0000-0000CA680000}"/>
    <cellStyle name="60% - Accent4 41" xfId="26821" xr:uid="{00000000-0005-0000-0000-0000CB680000}"/>
    <cellStyle name="60% - Accent4 41 2" xfId="26822" xr:uid="{00000000-0005-0000-0000-0000CC680000}"/>
    <cellStyle name="60% - Accent4 42" xfId="26823" xr:uid="{00000000-0005-0000-0000-0000CD680000}"/>
    <cellStyle name="60% - Accent4 42 2" xfId="26824" xr:uid="{00000000-0005-0000-0000-0000CE680000}"/>
    <cellStyle name="60% - Accent4 43" xfId="26825" xr:uid="{00000000-0005-0000-0000-0000CF680000}"/>
    <cellStyle name="60% - Accent4 43 2" xfId="26826" xr:uid="{00000000-0005-0000-0000-0000D0680000}"/>
    <cellStyle name="60% - Accent4 44" xfId="26827" xr:uid="{00000000-0005-0000-0000-0000D1680000}"/>
    <cellStyle name="60% - Accent4 44 2" xfId="26828" xr:uid="{00000000-0005-0000-0000-0000D2680000}"/>
    <cellStyle name="60% - Accent4 45" xfId="26829" xr:uid="{00000000-0005-0000-0000-0000D3680000}"/>
    <cellStyle name="60% - Accent4 45 2" xfId="26830" xr:uid="{00000000-0005-0000-0000-0000D4680000}"/>
    <cellStyle name="60% - Accent4 46" xfId="26831" xr:uid="{00000000-0005-0000-0000-0000D5680000}"/>
    <cellStyle name="60% - Accent4 46 2" xfId="26832" xr:uid="{00000000-0005-0000-0000-0000D6680000}"/>
    <cellStyle name="60% - Accent4 47" xfId="26833" xr:uid="{00000000-0005-0000-0000-0000D7680000}"/>
    <cellStyle name="60% - Accent4 47 2" xfId="26834" xr:uid="{00000000-0005-0000-0000-0000D8680000}"/>
    <cellStyle name="60% - Accent4 48" xfId="26835" xr:uid="{00000000-0005-0000-0000-0000D9680000}"/>
    <cellStyle name="60% - Accent4 48 2" xfId="26836" xr:uid="{00000000-0005-0000-0000-0000DA680000}"/>
    <cellStyle name="60% - Accent4 49" xfId="26837" xr:uid="{00000000-0005-0000-0000-0000DB680000}"/>
    <cellStyle name="60% - Accent4 49 2" xfId="26838" xr:uid="{00000000-0005-0000-0000-0000DC680000}"/>
    <cellStyle name="60% - Accent4 5" xfId="26839" xr:uid="{00000000-0005-0000-0000-0000DD680000}"/>
    <cellStyle name="60% - Accent4 5 2" xfId="26840" xr:uid="{00000000-0005-0000-0000-0000DE680000}"/>
    <cellStyle name="60% - Accent4 5 2 2" xfId="26841" xr:uid="{00000000-0005-0000-0000-0000DF680000}"/>
    <cellStyle name="60% - Accent4 5 3" xfId="26842" xr:uid="{00000000-0005-0000-0000-0000E0680000}"/>
    <cellStyle name="60% - Accent4 50" xfId="26843" xr:uid="{00000000-0005-0000-0000-0000E1680000}"/>
    <cellStyle name="60% - Accent4 50 2" xfId="26844" xr:uid="{00000000-0005-0000-0000-0000E2680000}"/>
    <cellStyle name="60% - Accent4 51" xfId="26845" xr:uid="{00000000-0005-0000-0000-0000E3680000}"/>
    <cellStyle name="60% - Accent4 51 2" xfId="26846" xr:uid="{00000000-0005-0000-0000-0000E4680000}"/>
    <cellStyle name="60% - Accent4 52" xfId="26847" xr:uid="{00000000-0005-0000-0000-0000E5680000}"/>
    <cellStyle name="60% - Accent4 52 2" xfId="26848" xr:uid="{00000000-0005-0000-0000-0000E6680000}"/>
    <cellStyle name="60% - Accent4 53" xfId="26849" xr:uid="{00000000-0005-0000-0000-0000E7680000}"/>
    <cellStyle name="60% - Accent4 53 2" xfId="26850" xr:uid="{00000000-0005-0000-0000-0000E8680000}"/>
    <cellStyle name="60% - Accent4 54" xfId="26851" xr:uid="{00000000-0005-0000-0000-0000E9680000}"/>
    <cellStyle name="60% - Accent4 54 2" xfId="26852" xr:uid="{00000000-0005-0000-0000-0000EA680000}"/>
    <cellStyle name="60% - Accent4 55" xfId="26853" xr:uid="{00000000-0005-0000-0000-0000EB680000}"/>
    <cellStyle name="60% - Accent4 55 2" xfId="26854" xr:uid="{00000000-0005-0000-0000-0000EC680000}"/>
    <cellStyle name="60% - Accent4 56" xfId="26855" xr:uid="{00000000-0005-0000-0000-0000ED680000}"/>
    <cellStyle name="60% - Accent4 56 2" xfId="26856" xr:uid="{00000000-0005-0000-0000-0000EE680000}"/>
    <cellStyle name="60% - Accent4 57" xfId="26857" xr:uid="{00000000-0005-0000-0000-0000EF680000}"/>
    <cellStyle name="60% - Accent4 57 2" xfId="26858" xr:uid="{00000000-0005-0000-0000-0000F0680000}"/>
    <cellStyle name="60% - Accent4 58" xfId="26859" xr:uid="{00000000-0005-0000-0000-0000F1680000}"/>
    <cellStyle name="60% - Accent4 58 2" xfId="26860" xr:uid="{00000000-0005-0000-0000-0000F2680000}"/>
    <cellStyle name="60% - Accent4 59" xfId="26861" xr:uid="{00000000-0005-0000-0000-0000F3680000}"/>
    <cellStyle name="60% - Accent4 6" xfId="26862" xr:uid="{00000000-0005-0000-0000-0000F4680000}"/>
    <cellStyle name="60% - Accent4 6 2" xfId="26863" xr:uid="{00000000-0005-0000-0000-0000F5680000}"/>
    <cellStyle name="60% - Accent4 6 3" xfId="26864" xr:uid="{00000000-0005-0000-0000-0000F6680000}"/>
    <cellStyle name="60% - Accent4 60" xfId="26865" xr:uid="{00000000-0005-0000-0000-0000F7680000}"/>
    <cellStyle name="60% - Accent4 61" xfId="26866" xr:uid="{00000000-0005-0000-0000-0000F8680000}"/>
    <cellStyle name="60% - Accent4 62" xfId="26867" xr:uid="{00000000-0005-0000-0000-0000F9680000}"/>
    <cellStyle name="60% - Accent4 63" xfId="26868" xr:uid="{00000000-0005-0000-0000-0000FA680000}"/>
    <cellStyle name="60% - Accent4 63 2" xfId="26869" xr:uid="{00000000-0005-0000-0000-0000FB680000}"/>
    <cellStyle name="60% - Accent4 64" xfId="26870" xr:uid="{00000000-0005-0000-0000-0000FC680000}"/>
    <cellStyle name="60% - Accent4 64 2" xfId="26871" xr:uid="{00000000-0005-0000-0000-0000FD680000}"/>
    <cellStyle name="60% - Accent4 65" xfId="26872" xr:uid="{00000000-0005-0000-0000-0000FE680000}"/>
    <cellStyle name="60% - Accent4 65 2" xfId="26873" xr:uid="{00000000-0005-0000-0000-0000FF680000}"/>
    <cellStyle name="60% - Accent4 66" xfId="26874" xr:uid="{00000000-0005-0000-0000-000000690000}"/>
    <cellStyle name="60% - Accent4 66 2" xfId="26875" xr:uid="{00000000-0005-0000-0000-000001690000}"/>
    <cellStyle name="60% - Accent4 67" xfId="26876" xr:uid="{00000000-0005-0000-0000-000002690000}"/>
    <cellStyle name="60% - Accent4 67 2" xfId="26877" xr:uid="{00000000-0005-0000-0000-000003690000}"/>
    <cellStyle name="60% - Accent4 68" xfId="26878" xr:uid="{00000000-0005-0000-0000-000004690000}"/>
    <cellStyle name="60% - Accent4 68 2" xfId="26879" xr:uid="{00000000-0005-0000-0000-000005690000}"/>
    <cellStyle name="60% - Accent4 69" xfId="26880" xr:uid="{00000000-0005-0000-0000-000006690000}"/>
    <cellStyle name="60% - Accent4 69 2" xfId="26881" xr:uid="{00000000-0005-0000-0000-000007690000}"/>
    <cellStyle name="60% - Accent4 7" xfId="26882" xr:uid="{00000000-0005-0000-0000-000008690000}"/>
    <cellStyle name="60% - Accent4 7 2" xfId="26883" xr:uid="{00000000-0005-0000-0000-000009690000}"/>
    <cellStyle name="60% - Accent4 70" xfId="26884" xr:uid="{00000000-0005-0000-0000-00000A690000}"/>
    <cellStyle name="60% - Accent4 70 2" xfId="26885" xr:uid="{00000000-0005-0000-0000-00000B690000}"/>
    <cellStyle name="60% - Accent4 71" xfId="26886" xr:uid="{00000000-0005-0000-0000-00000C690000}"/>
    <cellStyle name="60% - Accent4 71 2" xfId="26887" xr:uid="{00000000-0005-0000-0000-00000D690000}"/>
    <cellStyle name="60% - Accent4 72" xfId="26888" xr:uid="{00000000-0005-0000-0000-00000E690000}"/>
    <cellStyle name="60% - Accent4 72 2" xfId="26889" xr:uid="{00000000-0005-0000-0000-00000F690000}"/>
    <cellStyle name="60% - Accent4 73" xfId="26890" xr:uid="{00000000-0005-0000-0000-000010690000}"/>
    <cellStyle name="60% - Accent4 73 2" xfId="26891" xr:uid="{00000000-0005-0000-0000-000011690000}"/>
    <cellStyle name="60% - Accent4 74" xfId="26892" xr:uid="{00000000-0005-0000-0000-000012690000}"/>
    <cellStyle name="60% - Accent4 74 2" xfId="26893" xr:uid="{00000000-0005-0000-0000-000013690000}"/>
    <cellStyle name="60% - Accent4 75" xfId="26894" xr:uid="{00000000-0005-0000-0000-000014690000}"/>
    <cellStyle name="60% - Accent4 75 2" xfId="26895" xr:uid="{00000000-0005-0000-0000-000015690000}"/>
    <cellStyle name="60% - Accent4 76" xfId="26896" xr:uid="{00000000-0005-0000-0000-000016690000}"/>
    <cellStyle name="60% - Accent4 76 2" xfId="26897" xr:uid="{00000000-0005-0000-0000-000017690000}"/>
    <cellStyle name="60% - Accent4 77" xfId="26898" xr:uid="{00000000-0005-0000-0000-000018690000}"/>
    <cellStyle name="60% - Accent4 77 2" xfId="26899" xr:uid="{00000000-0005-0000-0000-000019690000}"/>
    <cellStyle name="60% - Accent4 78" xfId="26900" xr:uid="{00000000-0005-0000-0000-00001A690000}"/>
    <cellStyle name="60% - Accent4 78 2" xfId="26901" xr:uid="{00000000-0005-0000-0000-00001B690000}"/>
    <cellStyle name="60% - Accent4 79" xfId="26902" xr:uid="{00000000-0005-0000-0000-00001C690000}"/>
    <cellStyle name="60% - Accent4 79 2" xfId="26903" xr:uid="{00000000-0005-0000-0000-00001D690000}"/>
    <cellStyle name="60% - Accent4 8" xfId="26904" xr:uid="{00000000-0005-0000-0000-00001E690000}"/>
    <cellStyle name="60% - Accent4 8 2" xfId="26905" xr:uid="{00000000-0005-0000-0000-00001F690000}"/>
    <cellStyle name="60% - Accent4 80" xfId="26906" xr:uid="{00000000-0005-0000-0000-000020690000}"/>
    <cellStyle name="60% - Accent4 80 2" xfId="26907" xr:uid="{00000000-0005-0000-0000-000021690000}"/>
    <cellStyle name="60% - Accent4 81" xfId="26908" xr:uid="{00000000-0005-0000-0000-000022690000}"/>
    <cellStyle name="60% - Accent4 81 2" xfId="26909" xr:uid="{00000000-0005-0000-0000-000023690000}"/>
    <cellStyle name="60% - Accent4 82" xfId="26910" xr:uid="{00000000-0005-0000-0000-000024690000}"/>
    <cellStyle name="60% - Accent4 82 2" xfId="26911" xr:uid="{00000000-0005-0000-0000-000025690000}"/>
    <cellStyle name="60% - Accent4 83" xfId="26912" xr:uid="{00000000-0005-0000-0000-000026690000}"/>
    <cellStyle name="60% - Accent4 83 2" xfId="26913" xr:uid="{00000000-0005-0000-0000-000027690000}"/>
    <cellStyle name="60% - Accent4 84" xfId="26914" xr:uid="{00000000-0005-0000-0000-000028690000}"/>
    <cellStyle name="60% - Accent4 84 2" xfId="26915" xr:uid="{00000000-0005-0000-0000-000029690000}"/>
    <cellStyle name="60% - Accent4 85" xfId="26916" xr:uid="{00000000-0005-0000-0000-00002A690000}"/>
    <cellStyle name="60% - Accent4 85 2" xfId="26917" xr:uid="{00000000-0005-0000-0000-00002B690000}"/>
    <cellStyle name="60% - Accent4 86" xfId="26918" xr:uid="{00000000-0005-0000-0000-00002C690000}"/>
    <cellStyle name="60% - Accent4 86 2" xfId="26919" xr:uid="{00000000-0005-0000-0000-00002D690000}"/>
    <cellStyle name="60% - Accent4 87" xfId="26920" xr:uid="{00000000-0005-0000-0000-00002E690000}"/>
    <cellStyle name="60% - Accent4 87 2" xfId="26921" xr:uid="{00000000-0005-0000-0000-00002F690000}"/>
    <cellStyle name="60% - Accent4 88" xfId="26922" xr:uid="{00000000-0005-0000-0000-000030690000}"/>
    <cellStyle name="60% - Accent4 89" xfId="26923" xr:uid="{00000000-0005-0000-0000-000031690000}"/>
    <cellStyle name="60% - Accent4 89 2" xfId="26924" xr:uid="{00000000-0005-0000-0000-000032690000}"/>
    <cellStyle name="60% - Accent4 9" xfId="26925" xr:uid="{00000000-0005-0000-0000-000033690000}"/>
    <cellStyle name="60% - Accent4 9 2" xfId="26926" xr:uid="{00000000-0005-0000-0000-000034690000}"/>
    <cellStyle name="60% - Accent4 90" xfId="26927" xr:uid="{00000000-0005-0000-0000-000035690000}"/>
    <cellStyle name="60% - Accent4 90 2" xfId="26928" xr:uid="{00000000-0005-0000-0000-000036690000}"/>
    <cellStyle name="60% - Accent4 91" xfId="26929" xr:uid="{00000000-0005-0000-0000-000037690000}"/>
    <cellStyle name="60% - Accent4 91 2" xfId="26930" xr:uid="{00000000-0005-0000-0000-000038690000}"/>
    <cellStyle name="60% - Accent4 92" xfId="26931" xr:uid="{00000000-0005-0000-0000-000039690000}"/>
    <cellStyle name="60% - Accent4 92 2" xfId="26932" xr:uid="{00000000-0005-0000-0000-00003A690000}"/>
    <cellStyle name="60% - Accent4 93" xfId="26933" xr:uid="{00000000-0005-0000-0000-00003B690000}"/>
    <cellStyle name="60% - Accent4 93 2" xfId="26934" xr:uid="{00000000-0005-0000-0000-00003C690000}"/>
    <cellStyle name="60% - Accent4 94" xfId="26935" xr:uid="{00000000-0005-0000-0000-00003D690000}"/>
    <cellStyle name="60% - Accent4 94 2" xfId="26936" xr:uid="{00000000-0005-0000-0000-00003E690000}"/>
    <cellStyle name="60% - Accent4 95" xfId="26937" xr:uid="{00000000-0005-0000-0000-00003F690000}"/>
    <cellStyle name="60% - Accent4 96" xfId="26938" xr:uid="{00000000-0005-0000-0000-000040690000}"/>
    <cellStyle name="60% - Accent4 97" xfId="26939" xr:uid="{00000000-0005-0000-0000-000041690000}"/>
    <cellStyle name="60% - Accent4 98" xfId="26940" xr:uid="{00000000-0005-0000-0000-000042690000}"/>
    <cellStyle name="60% - Accent4 99" xfId="26941" xr:uid="{00000000-0005-0000-0000-000043690000}"/>
    <cellStyle name="60% - Accent5 10" xfId="26942" xr:uid="{00000000-0005-0000-0000-000044690000}"/>
    <cellStyle name="60% - Accent5 10 2" xfId="26943" xr:uid="{00000000-0005-0000-0000-000045690000}"/>
    <cellStyle name="60% - Accent5 100" xfId="26944" xr:uid="{00000000-0005-0000-0000-000046690000}"/>
    <cellStyle name="60% - Accent5 101" xfId="26945" xr:uid="{00000000-0005-0000-0000-000047690000}"/>
    <cellStyle name="60% - Accent5 102" xfId="26946" xr:uid="{00000000-0005-0000-0000-000048690000}"/>
    <cellStyle name="60% - Accent5 103" xfId="26947" xr:uid="{00000000-0005-0000-0000-000049690000}"/>
    <cellStyle name="60% - Accent5 104" xfId="26948" xr:uid="{00000000-0005-0000-0000-00004A690000}"/>
    <cellStyle name="60% - Accent5 105" xfId="26949" xr:uid="{00000000-0005-0000-0000-00004B690000}"/>
    <cellStyle name="60% - Accent5 106" xfId="26950" xr:uid="{00000000-0005-0000-0000-00004C690000}"/>
    <cellStyle name="60% - Accent5 107" xfId="26951" xr:uid="{00000000-0005-0000-0000-00004D690000}"/>
    <cellStyle name="60% - Accent5 108" xfId="26952" xr:uid="{00000000-0005-0000-0000-00004E690000}"/>
    <cellStyle name="60% - Accent5 109" xfId="26953" xr:uid="{00000000-0005-0000-0000-00004F690000}"/>
    <cellStyle name="60% - Accent5 11" xfId="26954" xr:uid="{00000000-0005-0000-0000-000050690000}"/>
    <cellStyle name="60% - Accent5 11 2" xfId="26955" xr:uid="{00000000-0005-0000-0000-000051690000}"/>
    <cellStyle name="60% - Accent5 110" xfId="26956" xr:uid="{00000000-0005-0000-0000-000052690000}"/>
    <cellStyle name="60% - Accent5 111" xfId="26957" xr:uid="{00000000-0005-0000-0000-000053690000}"/>
    <cellStyle name="60% - Accent5 112" xfId="26958" xr:uid="{00000000-0005-0000-0000-000054690000}"/>
    <cellStyle name="60% - Accent5 113" xfId="26959" xr:uid="{00000000-0005-0000-0000-000055690000}"/>
    <cellStyle name="60% - Accent5 114" xfId="26960" xr:uid="{00000000-0005-0000-0000-000056690000}"/>
    <cellStyle name="60% - Accent5 115" xfId="26961" xr:uid="{00000000-0005-0000-0000-000057690000}"/>
    <cellStyle name="60% - Accent5 116" xfId="26962" xr:uid="{00000000-0005-0000-0000-000058690000}"/>
    <cellStyle name="60% - Accent5 117" xfId="26963" xr:uid="{00000000-0005-0000-0000-000059690000}"/>
    <cellStyle name="60% - Accent5 118" xfId="26964" xr:uid="{00000000-0005-0000-0000-00005A690000}"/>
    <cellStyle name="60% - Accent5 119" xfId="26965" xr:uid="{00000000-0005-0000-0000-00005B690000}"/>
    <cellStyle name="60% - Accent5 12" xfId="26966" xr:uid="{00000000-0005-0000-0000-00005C690000}"/>
    <cellStyle name="60% - Accent5 12 2" xfId="26967" xr:uid="{00000000-0005-0000-0000-00005D690000}"/>
    <cellStyle name="60% - Accent5 120" xfId="26968" xr:uid="{00000000-0005-0000-0000-00005E690000}"/>
    <cellStyle name="60% - Accent5 121" xfId="26969" xr:uid="{00000000-0005-0000-0000-00005F690000}"/>
    <cellStyle name="60% - Accent5 122" xfId="26970" xr:uid="{00000000-0005-0000-0000-000060690000}"/>
    <cellStyle name="60% - Accent5 123" xfId="26971" xr:uid="{00000000-0005-0000-0000-000061690000}"/>
    <cellStyle name="60% - Accent5 124" xfId="26972" xr:uid="{00000000-0005-0000-0000-000062690000}"/>
    <cellStyle name="60% - Accent5 125" xfId="26973" xr:uid="{00000000-0005-0000-0000-000063690000}"/>
    <cellStyle name="60% - Accent5 126" xfId="26974" xr:uid="{00000000-0005-0000-0000-000064690000}"/>
    <cellStyle name="60% - Accent5 127" xfId="26975" xr:uid="{00000000-0005-0000-0000-000065690000}"/>
    <cellStyle name="60% - Accent5 128" xfId="26976" xr:uid="{00000000-0005-0000-0000-000066690000}"/>
    <cellStyle name="60% - Accent5 129" xfId="26977" xr:uid="{00000000-0005-0000-0000-000067690000}"/>
    <cellStyle name="60% - Accent5 13" xfId="26978" xr:uid="{00000000-0005-0000-0000-000068690000}"/>
    <cellStyle name="60% - Accent5 13 2" xfId="26979" xr:uid="{00000000-0005-0000-0000-000069690000}"/>
    <cellStyle name="60% - Accent5 130" xfId="26980" xr:uid="{00000000-0005-0000-0000-00006A690000}"/>
    <cellStyle name="60% - Accent5 131" xfId="26981" xr:uid="{00000000-0005-0000-0000-00006B690000}"/>
    <cellStyle name="60% - Accent5 132" xfId="26982" xr:uid="{00000000-0005-0000-0000-00006C690000}"/>
    <cellStyle name="60% - Accent5 133" xfId="26983" xr:uid="{00000000-0005-0000-0000-00006D690000}"/>
    <cellStyle name="60% - Accent5 14" xfId="26984" xr:uid="{00000000-0005-0000-0000-00006E690000}"/>
    <cellStyle name="60% - Accent5 14 2" xfId="26985" xr:uid="{00000000-0005-0000-0000-00006F690000}"/>
    <cellStyle name="60% - Accent5 15" xfId="26986" xr:uid="{00000000-0005-0000-0000-000070690000}"/>
    <cellStyle name="60% - Accent5 15 2" xfId="26987" xr:uid="{00000000-0005-0000-0000-000071690000}"/>
    <cellStyle name="60% - Accent5 16" xfId="26988" xr:uid="{00000000-0005-0000-0000-000072690000}"/>
    <cellStyle name="60% - Accent5 16 2" xfId="26989" xr:uid="{00000000-0005-0000-0000-000073690000}"/>
    <cellStyle name="60% - Accent5 17" xfId="26990" xr:uid="{00000000-0005-0000-0000-000074690000}"/>
    <cellStyle name="60% - Accent5 17 2" xfId="26991" xr:uid="{00000000-0005-0000-0000-000075690000}"/>
    <cellStyle name="60% - Accent5 18" xfId="26992" xr:uid="{00000000-0005-0000-0000-000076690000}"/>
    <cellStyle name="60% - Accent5 18 2" xfId="26993" xr:uid="{00000000-0005-0000-0000-000077690000}"/>
    <cellStyle name="60% - Accent5 19" xfId="26994" xr:uid="{00000000-0005-0000-0000-000078690000}"/>
    <cellStyle name="60% - Accent5 19 2" xfId="26995" xr:uid="{00000000-0005-0000-0000-000079690000}"/>
    <cellStyle name="60% - Accent5 2" xfId="26996" xr:uid="{00000000-0005-0000-0000-00007A690000}"/>
    <cellStyle name="60% - Accent5 2 2" xfId="26997" xr:uid="{00000000-0005-0000-0000-00007B690000}"/>
    <cellStyle name="60% - Accent5 2 2 2" xfId="26998" xr:uid="{00000000-0005-0000-0000-00007C690000}"/>
    <cellStyle name="60% - Accent5 2 2 2 2" xfId="26999" xr:uid="{00000000-0005-0000-0000-00007D690000}"/>
    <cellStyle name="60% - Accent5 2 2 2 2 2" xfId="27000" xr:uid="{00000000-0005-0000-0000-00007E690000}"/>
    <cellStyle name="60% - Accent5 2 3" xfId="27001" xr:uid="{00000000-0005-0000-0000-00007F690000}"/>
    <cellStyle name="60% - Accent5 2 4" xfId="27002" xr:uid="{00000000-0005-0000-0000-000080690000}"/>
    <cellStyle name="60% - Accent5 2 5" xfId="41054" xr:uid="{00000000-0005-0000-0000-000010000000}"/>
    <cellStyle name="60% - Accent5 20" xfId="27003" xr:uid="{00000000-0005-0000-0000-000081690000}"/>
    <cellStyle name="60% - Accent5 20 2" xfId="27004" xr:uid="{00000000-0005-0000-0000-000082690000}"/>
    <cellStyle name="60% - Accent5 21" xfId="27005" xr:uid="{00000000-0005-0000-0000-000083690000}"/>
    <cellStyle name="60% - Accent5 21 2" xfId="27006" xr:uid="{00000000-0005-0000-0000-000084690000}"/>
    <cellStyle name="60% - Accent5 22" xfId="27007" xr:uid="{00000000-0005-0000-0000-000085690000}"/>
    <cellStyle name="60% - Accent5 22 2" xfId="27008" xr:uid="{00000000-0005-0000-0000-000086690000}"/>
    <cellStyle name="60% - Accent5 23" xfId="27009" xr:uid="{00000000-0005-0000-0000-000087690000}"/>
    <cellStyle name="60% - Accent5 23 2" xfId="27010" xr:uid="{00000000-0005-0000-0000-000088690000}"/>
    <cellStyle name="60% - Accent5 24" xfId="27011" xr:uid="{00000000-0005-0000-0000-000089690000}"/>
    <cellStyle name="60% - Accent5 24 2" xfId="27012" xr:uid="{00000000-0005-0000-0000-00008A690000}"/>
    <cellStyle name="60% - Accent5 25" xfId="27013" xr:uid="{00000000-0005-0000-0000-00008B690000}"/>
    <cellStyle name="60% - Accent5 25 2" xfId="27014" xr:uid="{00000000-0005-0000-0000-00008C690000}"/>
    <cellStyle name="60% - Accent5 26" xfId="27015" xr:uid="{00000000-0005-0000-0000-00008D690000}"/>
    <cellStyle name="60% - Accent5 26 2" xfId="27016" xr:uid="{00000000-0005-0000-0000-00008E690000}"/>
    <cellStyle name="60% - Accent5 27" xfId="27017" xr:uid="{00000000-0005-0000-0000-00008F690000}"/>
    <cellStyle name="60% - Accent5 27 2" xfId="27018" xr:uid="{00000000-0005-0000-0000-000090690000}"/>
    <cellStyle name="60% - Accent5 28" xfId="27019" xr:uid="{00000000-0005-0000-0000-000091690000}"/>
    <cellStyle name="60% - Accent5 28 2" xfId="27020" xr:uid="{00000000-0005-0000-0000-000092690000}"/>
    <cellStyle name="60% - Accent5 29" xfId="27021" xr:uid="{00000000-0005-0000-0000-000093690000}"/>
    <cellStyle name="60% - Accent5 29 2" xfId="27022" xr:uid="{00000000-0005-0000-0000-000094690000}"/>
    <cellStyle name="60% - Accent5 3" xfId="27023" xr:uid="{00000000-0005-0000-0000-000095690000}"/>
    <cellStyle name="60% - Accent5 3 2" xfId="27024" xr:uid="{00000000-0005-0000-0000-000096690000}"/>
    <cellStyle name="60% - Accent5 3 2 2" xfId="27025" xr:uid="{00000000-0005-0000-0000-000097690000}"/>
    <cellStyle name="60% - Accent5 3 3" xfId="27026" xr:uid="{00000000-0005-0000-0000-000098690000}"/>
    <cellStyle name="60% - Accent5 3 4" xfId="27027" xr:uid="{00000000-0005-0000-0000-000099690000}"/>
    <cellStyle name="60% - Accent5 3_MAR 2009" xfId="27028" xr:uid="{00000000-0005-0000-0000-00009A690000}"/>
    <cellStyle name="60% - Accent5 30" xfId="27029" xr:uid="{00000000-0005-0000-0000-00009B690000}"/>
    <cellStyle name="60% - Accent5 30 2" xfId="27030" xr:uid="{00000000-0005-0000-0000-00009C690000}"/>
    <cellStyle name="60% - Accent5 31" xfId="27031" xr:uid="{00000000-0005-0000-0000-00009D690000}"/>
    <cellStyle name="60% - Accent5 31 2" xfId="27032" xr:uid="{00000000-0005-0000-0000-00009E690000}"/>
    <cellStyle name="60% - Accent5 32" xfId="27033" xr:uid="{00000000-0005-0000-0000-00009F690000}"/>
    <cellStyle name="60% - Accent5 32 2" xfId="27034" xr:uid="{00000000-0005-0000-0000-0000A0690000}"/>
    <cellStyle name="60% - Accent5 33" xfId="27035" xr:uid="{00000000-0005-0000-0000-0000A1690000}"/>
    <cellStyle name="60% - Accent5 33 2" xfId="27036" xr:uid="{00000000-0005-0000-0000-0000A2690000}"/>
    <cellStyle name="60% - Accent5 34" xfId="27037" xr:uid="{00000000-0005-0000-0000-0000A3690000}"/>
    <cellStyle name="60% - Accent5 34 2" xfId="27038" xr:uid="{00000000-0005-0000-0000-0000A4690000}"/>
    <cellStyle name="60% - Accent5 35" xfId="27039" xr:uid="{00000000-0005-0000-0000-0000A5690000}"/>
    <cellStyle name="60% - Accent5 35 2" xfId="27040" xr:uid="{00000000-0005-0000-0000-0000A6690000}"/>
    <cellStyle name="60% - Accent5 36" xfId="27041" xr:uid="{00000000-0005-0000-0000-0000A7690000}"/>
    <cellStyle name="60% - Accent5 36 2" xfId="27042" xr:uid="{00000000-0005-0000-0000-0000A8690000}"/>
    <cellStyle name="60% - Accent5 37" xfId="27043" xr:uid="{00000000-0005-0000-0000-0000A9690000}"/>
    <cellStyle name="60% - Accent5 37 2" xfId="27044" xr:uid="{00000000-0005-0000-0000-0000AA690000}"/>
    <cellStyle name="60% - Accent5 38" xfId="27045" xr:uid="{00000000-0005-0000-0000-0000AB690000}"/>
    <cellStyle name="60% - Accent5 38 2" xfId="27046" xr:uid="{00000000-0005-0000-0000-0000AC690000}"/>
    <cellStyle name="60% - Accent5 39" xfId="27047" xr:uid="{00000000-0005-0000-0000-0000AD690000}"/>
    <cellStyle name="60% - Accent5 39 2" xfId="27048" xr:uid="{00000000-0005-0000-0000-0000AE690000}"/>
    <cellStyle name="60% - Accent5 4" xfId="27049" xr:uid="{00000000-0005-0000-0000-0000AF690000}"/>
    <cellStyle name="60% - Accent5 4 2" xfId="27050" xr:uid="{00000000-0005-0000-0000-0000B0690000}"/>
    <cellStyle name="60% - Accent5 4 2 2" xfId="27051" xr:uid="{00000000-0005-0000-0000-0000B1690000}"/>
    <cellStyle name="60% - Accent5 4 3" xfId="27052" xr:uid="{00000000-0005-0000-0000-0000B2690000}"/>
    <cellStyle name="60% - Accent5 40" xfId="27053" xr:uid="{00000000-0005-0000-0000-0000B3690000}"/>
    <cellStyle name="60% - Accent5 40 2" xfId="27054" xr:uid="{00000000-0005-0000-0000-0000B4690000}"/>
    <cellStyle name="60% - Accent5 41" xfId="27055" xr:uid="{00000000-0005-0000-0000-0000B5690000}"/>
    <cellStyle name="60% - Accent5 41 2" xfId="27056" xr:uid="{00000000-0005-0000-0000-0000B6690000}"/>
    <cellStyle name="60% - Accent5 42" xfId="27057" xr:uid="{00000000-0005-0000-0000-0000B7690000}"/>
    <cellStyle name="60% - Accent5 42 2" xfId="27058" xr:uid="{00000000-0005-0000-0000-0000B8690000}"/>
    <cellStyle name="60% - Accent5 43" xfId="27059" xr:uid="{00000000-0005-0000-0000-0000B9690000}"/>
    <cellStyle name="60% - Accent5 43 2" xfId="27060" xr:uid="{00000000-0005-0000-0000-0000BA690000}"/>
    <cellStyle name="60% - Accent5 44" xfId="27061" xr:uid="{00000000-0005-0000-0000-0000BB690000}"/>
    <cellStyle name="60% - Accent5 44 2" xfId="27062" xr:uid="{00000000-0005-0000-0000-0000BC690000}"/>
    <cellStyle name="60% - Accent5 45" xfId="27063" xr:uid="{00000000-0005-0000-0000-0000BD690000}"/>
    <cellStyle name="60% - Accent5 45 2" xfId="27064" xr:uid="{00000000-0005-0000-0000-0000BE690000}"/>
    <cellStyle name="60% - Accent5 46" xfId="27065" xr:uid="{00000000-0005-0000-0000-0000BF690000}"/>
    <cellStyle name="60% - Accent5 46 2" xfId="27066" xr:uid="{00000000-0005-0000-0000-0000C0690000}"/>
    <cellStyle name="60% - Accent5 47" xfId="27067" xr:uid="{00000000-0005-0000-0000-0000C1690000}"/>
    <cellStyle name="60% - Accent5 47 2" xfId="27068" xr:uid="{00000000-0005-0000-0000-0000C2690000}"/>
    <cellStyle name="60% - Accent5 48" xfId="27069" xr:uid="{00000000-0005-0000-0000-0000C3690000}"/>
    <cellStyle name="60% - Accent5 48 2" xfId="27070" xr:uid="{00000000-0005-0000-0000-0000C4690000}"/>
    <cellStyle name="60% - Accent5 49" xfId="27071" xr:uid="{00000000-0005-0000-0000-0000C5690000}"/>
    <cellStyle name="60% - Accent5 49 2" xfId="27072" xr:uid="{00000000-0005-0000-0000-0000C6690000}"/>
    <cellStyle name="60% - Accent5 5" xfId="27073" xr:uid="{00000000-0005-0000-0000-0000C7690000}"/>
    <cellStyle name="60% - Accent5 5 2" xfId="27074" xr:uid="{00000000-0005-0000-0000-0000C8690000}"/>
    <cellStyle name="60% - Accent5 5 2 2" xfId="27075" xr:uid="{00000000-0005-0000-0000-0000C9690000}"/>
    <cellStyle name="60% - Accent5 5 3" xfId="27076" xr:uid="{00000000-0005-0000-0000-0000CA690000}"/>
    <cellStyle name="60% - Accent5 50" xfId="27077" xr:uid="{00000000-0005-0000-0000-0000CB690000}"/>
    <cellStyle name="60% - Accent5 50 2" xfId="27078" xr:uid="{00000000-0005-0000-0000-0000CC690000}"/>
    <cellStyle name="60% - Accent5 51" xfId="27079" xr:uid="{00000000-0005-0000-0000-0000CD690000}"/>
    <cellStyle name="60% - Accent5 51 2" xfId="27080" xr:uid="{00000000-0005-0000-0000-0000CE690000}"/>
    <cellStyle name="60% - Accent5 52" xfId="27081" xr:uid="{00000000-0005-0000-0000-0000CF690000}"/>
    <cellStyle name="60% - Accent5 52 2" xfId="27082" xr:uid="{00000000-0005-0000-0000-0000D0690000}"/>
    <cellStyle name="60% - Accent5 53" xfId="27083" xr:uid="{00000000-0005-0000-0000-0000D1690000}"/>
    <cellStyle name="60% - Accent5 53 2" xfId="27084" xr:uid="{00000000-0005-0000-0000-0000D2690000}"/>
    <cellStyle name="60% - Accent5 54" xfId="27085" xr:uid="{00000000-0005-0000-0000-0000D3690000}"/>
    <cellStyle name="60% - Accent5 54 2" xfId="27086" xr:uid="{00000000-0005-0000-0000-0000D4690000}"/>
    <cellStyle name="60% - Accent5 55" xfId="27087" xr:uid="{00000000-0005-0000-0000-0000D5690000}"/>
    <cellStyle name="60% - Accent5 55 2" xfId="27088" xr:uid="{00000000-0005-0000-0000-0000D6690000}"/>
    <cellStyle name="60% - Accent5 56" xfId="27089" xr:uid="{00000000-0005-0000-0000-0000D7690000}"/>
    <cellStyle name="60% - Accent5 56 2" xfId="27090" xr:uid="{00000000-0005-0000-0000-0000D8690000}"/>
    <cellStyle name="60% - Accent5 57" xfId="27091" xr:uid="{00000000-0005-0000-0000-0000D9690000}"/>
    <cellStyle name="60% - Accent5 57 2" xfId="27092" xr:uid="{00000000-0005-0000-0000-0000DA690000}"/>
    <cellStyle name="60% - Accent5 58" xfId="27093" xr:uid="{00000000-0005-0000-0000-0000DB690000}"/>
    <cellStyle name="60% - Accent5 58 2" xfId="27094" xr:uid="{00000000-0005-0000-0000-0000DC690000}"/>
    <cellStyle name="60% - Accent5 59" xfId="27095" xr:uid="{00000000-0005-0000-0000-0000DD690000}"/>
    <cellStyle name="60% - Accent5 6" xfId="27096" xr:uid="{00000000-0005-0000-0000-0000DE690000}"/>
    <cellStyle name="60% - Accent5 6 2" xfId="27097" xr:uid="{00000000-0005-0000-0000-0000DF690000}"/>
    <cellStyle name="60% - Accent5 6 3" xfId="27098" xr:uid="{00000000-0005-0000-0000-0000E0690000}"/>
    <cellStyle name="60% - Accent5 60" xfId="27099" xr:uid="{00000000-0005-0000-0000-0000E1690000}"/>
    <cellStyle name="60% - Accent5 61" xfId="27100" xr:uid="{00000000-0005-0000-0000-0000E2690000}"/>
    <cellStyle name="60% - Accent5 62" xfId="27101" xr:uid="{00000000-0005-0000-0000-0000E3690000}"/>
    <cellStyle name="60% - Accent5 63" xfId="27102" xr:uid="{00000000-0005-0000-0000-0000E4690000}"/>
    <cellStyle name="60% - Accent5 63 2" xfId="27103" xr:uid="{00000000-0005-0000-0000-0000E5690000}"/>
    <cellStyle name="60% - Accent5 64" xfId="27104" xr:uid="{00000000-0005-0000-0000-0000E6690000}"/>
    <cellStyle name="60% - Accent5 64 2" xfId="27105" xr:uid="{00000000-0005-0000-0000-0000E7690000}"/>
    <cellStyle name="60% - Accent5 65" xfId="27106" xr:uid="{00000000-0005-0000-0000-0000E8690000}"/>
    <cellStyle name="60% - Accent5 65 2" xfId="27107" xr:uid="{00000000-0005-0000-0000-0000E9690000}"/>
    <cellStyle name="60% - Accent5 66" xfId="27108" xr:uid="{00000000-0005-0000-0000-0000EA690000}"/>
    <cellStyle name="60% - Accent5 66 2" xfId="27109" xr:uid="{00000000-0005-0000-0000-0000EB690000}"/>
    <cellStyle name="60% - Accent5 67" xfId="27110" xr:uid="{00000000-0005-0000-0000-0000EC690000}"/>
    <cellStyle name="60% - Accent5 67 2" xfId="27111" xr:uid="{00000000-0005-0000-0000-0000ED690000}"/>
    <cellStyle name="60% - Accent5 68" xfId="27112" xr:uid="{00000000-0005-0000-0000-0000EE690000}"/>
    <cellStyle name="60% - Accent5 68 2" xfId="27113" xr:uid="{00000000-0005-0000-0000-0000EF690000}"/>
    <cellStyle name="60% - Accent5 69" xfId="27114" xr:uid="{00000000-0005-0000-0000-0000F0690000}"/>
    <cellStyle name="60% - Accent5 69 2" xfId="27115" xr:uid="{00000000-0005-0000-0000-0000F1690000}"/>
    <cellStyle name="60% - Accent5 7" xfId="27116" xr:uid="{00000000-0005-0000-0000-0000F2690000}"/>
    <cellStyle name="60% - Accent5 7 2" xfId="27117" xr:uid="{00000000-0005-0000-0000-0000F3690000}"/>
    <cellStyle name="60% - Accent5 70" xfId="27118" xr:uid="{00000000-0005-0000-0000-0000F4690000}"/>
    <cellStyle name="60% - Accent5 70 2" xfId="27119" xr:uid="{00000000-0005-0000-0000-0000F5690000}"/>
    <cellStyle name="60% - Accent5 71" xfId="27120" xr:uid="{00000000-0005-0000-0000-0000F6690000}"/>
    <cellStyle name="60% - Accent5 71 2" xfId="27121" xr:uid="{00000000-0005-0000-0000-0000F7690000}"/>
    <cellStyle name="60% - Accent5 72" xfId="27122" xr:uid="{00000000-0005-0000-0000-0000F8690000}"/>
    <cellStyle name="60% - Accent5 72 2" xfId="27123" xr:uid="{00000000-0005-0000-0000-0000F9690000}"/>
    <cellStyle name="60% - Accent5 73" xfId="27124" xr:uid="{00000000-0005-0000-0000-0000FA690000}"/>
    <cellStyle name="60% - Accent5 73 2" xfId="27125" xr:uid="{00000000-0005-0000-0000-0000FB690000}"/>
    <cellStyle name="60% - Accent5 74" xfId="27126" xr:uid="{00000000-0005-0000-0000-0000FC690000}"/>
    <cellStyle name="60% - Accent5 74 2" xfId="27127" xr:uid="{00000000-0005-0000-0000-0000FD690000}"/>
    <cellStyle name="60% - Accent5 75" xfId="27128" xr:uid="{00000000-0005-0000-0000-0000FE690000}"/>
    <cellStyle name="60% - Accent5 75 2" xfId="27129" xr:uid="{00000000-0005-0000-0000-0000FF690000}"/>
    <cellStyle name="60% - Accent5 76" xfId="27130" xr:uid="{00000000-0005-0000-0000-0000006A0000}"/>
    <cellStyle name="60% - Accent5 76 2" xfId="27131" xr:uid="{00000000-0005-0000-0000-0000016A0000}"/>
    <cellStyle name="60% - Accent5 77" xfId="27132" xr:uid="{00000000-0005-0000-0000-0000026A0000}"/>
    <cellStyle name="60% - Accent5 77 2" xfId="27133" xr:uid="{00000000-0005-0000-0000-0000036A0000}"/>
    <cellStyle name="60% - Accent5 78" xfId="27134" xr:uid="{00000000-0005-0000-0000-0000046A0000}"/>
    <cellStyle name="60% - Accent5 78 2" xfId="27135" xr:uid="{00000000-0005-0000-0000-0000056A0000}"/>
    <cellStyle name="60% - Accent5 79" xfId="27136" xr:uid="{00000000-0005-0000-0000-0000066A0000}"/>
    <cellStyle name="60% - Accent5 79 2" xfId="27137" xr:uid="{00000000-0005-0000-0000-0000076A0000}"/>
    <cellStyle name="60% - Accent5 8" xfId="27138" xr:uid="{00000000-0005-0000-0000-0000086A0000}"/>
    <cellStyle name="60% - Accent5 8 2" xfId="27139" xr:uid="{00000000-0005-0000-0000-0000096A0000}"/>
    <cellStyle name="60% - Accent5 80" xfId="27140" xr:uid="{00000000-0005-0000-0000-00000A6A0000}"/>
    <cellStyle name="60% - Accent5 80 2" xfId="27141" xr:uid="{00000000-0005-0000-0000-00000B6A0000}"/>
    <cellStyle name="60% - Accent5 81" xfId="27142" xr:uid="{00000000-0005-0000-0000-00000C6A0000}"/>
    <cellStyle name="60% - Accent5 81 2" xfId="27143" xr:uid="{00000000-0005-0000-0000-00000D6A0000}"/>
    <cellStyle name="60% - Accent5 82" xfId="27144" xr:uid="{00000000-0005-0000-0000-00000E6A0000}"/>
    <cellStyle name="60% - Accent5 82 2" xfId="27145" xr:uid="{00000000-0005-0000-0000-00000F6A0000}"/>
    <cellStyle name="60% - Accent5 83" xfId="27146" xr:uid="{00000000-0005-0000-0000-0000106A0000}"/>
    <cellStyle name="60% - Accent5 83 2" xfId="27147" xr:uid="{00000000-0005-0000-0000-0000116A0000}"/>
    <cellStyle name="60% - Accent5 84" xfId="27148" xr:uid="{00000000-0005-0000-0000-0000126A0000}"/>
    <cellStyle name="60% - Accent5 84 2" xfId="27149" xr:uid="{00000000-0005-0000-0000-0000136A0000}"/>
    <cellStyle name="60% - Accent5 85" xfId="27150" xr:uid="{00000000-0005-0000-0000-0000146A0000}"/>
    <cellStyle name="60% - Accent5 85 2" xfId="27151" xr:uid="{00000000-0005-0000-0000-0000156A0000}"/>
    <cellStyle name="60% - Accent5 86" xfId="27152" xr:uid="{00000000-0005-0000-0000-0000166A0000}"/>
    <cellStyle name="60% - Accent5 86 2" xfId="27153" xr:uid="{00000000-0005-0000-0000-0000176A0000}"/>
    <cellStyle name="60% - Accent5 87" xfId="27154" xr:uid="{00000000-0005-0000-0000-0000186A0000}"/>
    <cellStyle name="60% - Accent5 87 2" xfId="27155" xr:uid="{00000000-0005-0000-0000-0000196A0000}"/>
    <cellStyle name="60% - Accent5 88" xfId="27156" xr:uid="{00000000-0005-0000-0000-00001A6A0000}"/>
    <cellStyle name="60% - Accent5 89" xfId="27157" xr:uid="{00000000-0005-0000-0000-00001B6A0000}"/>
    <cellStyle name="60% - Accent5 89 2" xfId="27158" xr:uid="{00000000-0005-0000-0000-00001C6A0000}"/>
    <cellStyle name="60% - Accent5 9" xfId="27159" xr:uid="{00000000-0005-0000-0000-00001D6A0000}"/>
    <cellStyle name="60% - Accent5 9 2" xfId="27160" xr:uid="{00000000-0005-0000-0000-00001E6A0000}"/>
    <cellStyle name="60% - Accent5 90" xfId="27161" xr:uid="{00000000-0005-0000-0000-00001F6A0000}"/>
    <cellStyle name="60% - Accent5 90 2" xfId="27162" xr:uid="{00000000-0005-0000-0000-0000206A0000}"/>
    <cellStyle name="60% - Accent5 91" xfId="27163" xr:uid="{00000000-0005-0000-0000-0000216A0000}"/>
    <cellStyle name="60% - Accent5 91 2" xfId="27164" xr:uid="{00000000-0005-0000-0000-0000226A0000}"/>
    <cellStyle name="60% - Accent5 92" xfId="27165" xr:uid="{00000000-0005-0000-0000-0000236A0000}"/>
    <cellStyle name="60% - Accent5 92 2" xfId="27166" xr:uid="{00000000-0005-0000-0000-0000246A0000}"/>
    <cellStyle name="60% - Accent5 93" xfId="27167" xr:uid="{00000000-0005-0000-0000-0000256A0000}"/>
    <cellStyle name="60% - Accent5 93 2" xfId="27168" xr:uid="{00000000-0005-0000-0000-0000266A0000}"/>
    <cellStyle name="60% - Accent5 94" xfId="27169" xr:uid="{00000000-0005-0000-0000-0000276A0000}"/>
    <cellStyle name="60% - Accent5 94 2" xfId="27170" xr:uid="{00000000-0005-0000-0000-0000286A0000}"/>
    <cellStyle name="60% - Accent5 95" xfId="27171" xr:uid="{00000000-0005-0000-0000-0000296A0000}"/>
    <cellStyle name="60% - Accent5 96" xfId="27172" xr:uid="{00000000-0005-0000-0000-00002A6A0000}"/>
    <cellStyle name="60% - Accent5 97" xfId="27173" xr:uid="{00000000-0005-0000-0000-00002B6A0000}"/>
    <cellStyle name="60% - Accent5 98" xfId="27174" xr:uid="{00000000-0005-0000-0000-00002C6A0000}"/>
    <cellStyle name="60% - Accent5 99" xfId="27175" xr:uid="{00000000-0005-0000-0000-00002D6A0000}"/>
    <cellStyle name="60% - Accent6 10" xfId="27176" xr:uid="{00000000-0005-0000-0000-00002E6A0000}"/>
    <cellStyle name="60% - Accent6 10 2" xfId="27177" xr:uid="{00000000-0005-0000-0000-00002F6A0000}"/>
    <cellStyle name="60% - Accent6 100" xfId="27178" xr:uid="{00000000-0005-0000-0000-0000306A0000}"/>
    <cellStyle name="60% - Accent6 101" xfId="27179" xr:uid="{00000000-0005-0000-0000-0000316A0000}"/>
    <cellStyle name="60% - Accent6 102" xfId="27180" xr:uid="{00000000-0005-0000-0000-0000326A0000}"/>
    <cellStyle name="60% - Accent6 103" xfId="27181" xr:uid="{00000000-0005-0000-0000-0000336A0000}"/>
    <cellStyle name="60% - Accent6 104" xfId="27182" xr:uid="{00000000-0005-0000-0000-0000346A0000}"/>
    <cellStyle name="60% - Accent6 105" xfId="27183" xr:uid="{00000000-0005-0000-0000-0000356A0000}"/>
    <cellStyle name="60% - Accent6 106" xfId="27184" xr:uid="{00000000-0005-0000-0000-0000366A0000}"/>
    <cellStyle name="60% - Accent6 107" xfId="27185" xr:uid="{00000000-0005-0000-0000-0000376A0000}"/>
    <cellStyle name="60% - Accent6 108" xfId="27186" xr:uid="{00000000-0005-0000-0000-0000386A0000}"/>
    <cellStyle name="60% - Accent6 109" xfId="27187" xr:uid="{00000000-0005-0000-0000-0000396A0000}"/>
    <cellStyle name="60% - Accent6 11" xfId="27188" xr:uid="{00000000-0005-0000-0000-00003A6A0000}"/>
    <cellStyle name="60% - Accent6 11 2" xfId="27189" xr:uid="{00000000-0005-0000-0000-00003B6A0000}"/>
    <cellStyle name="60% - Accent6 110" xfId="27190" xr:uid="{00000000-0005-0000-0000-00003C6A0000}"/>
    <cellStyle name="60% - Accent6 111" xfId="27191" xr:uid="{00000000-0005-0000-0000-00003D6A0000}"/>
    <cellStyle name="60% - Accent6 112" xfId="27192" xr:uid="{00000000-0005-0000-0000-00003E6A0000}"/>
    <cellStyle name="60% - Accent6 113" xfId="27193" xr:uid="{00000000-0005-0000-0000-00003F6A0000}"/>
    <cellStyle name="60% - Accent6 114" xfId="27194" xr:uid="{00000000-0005-0000-0000-0000406A0000}"/>
    <cellStyle name="60% - Accent6 115" xfId="27195" xr:uid="{00000000-0005-0000-0000-0000416A0000}"/>
    <cellStyle name="60% - Accent6 116" xfId="27196" xr:uid="{00000000-0005-0000-0000-0000426A0000}"/>
    <cellStyle name="60% - Accent6 117" xfId="27197" xr:uid="{00000000-0005-0000-0000-0000436A0000}"/>
    <cellStyle name="60% - Accent6 118" xfId="27198" xr:uid="{00000000-0005-0000-0000-0000446A0000}"/>
    <cellStyle name="60% - Accent6 119" xfId="27199" xr:uid="{00000000-0005-0000-0000-0000456A0000}"/>
    <cellStyle name="60% - Accent6 12" xfId="27200" xr:uid="{00000000-0005-0000-0000-0000466A0000}"/>
    <cellStyle name="60% - Accent6 12 2" xfId="27201" xr:uid="{00000000-0005-0000-0000-0000476A0000}"/>
    <cellStyle name="60% - Accent6 120" xfId="27202" xr:uid="{00000000-0005-0000-0000-0000486A0000}"/>
    <cellStyle name="60% - Accent6 121" xfId="27203" xr:uid="{00000000-0005-0000-0000-0000496A0000}"/>
    <cellStyle name="60% - Accent6 122" xfId="27204" xr:uid="{00000000-0005-0000-0000-00004A6A0000}"/>
    <cellStyle name="60% - Accent6 123" xfId="27205" xr:uid="{00000000-0005-0000-0000-00004B6A0000}"/>
    <cellStyle name="60% - Accent6 124" xfId="27206" xr:uid="{00000000-0005-0000-0000-00004C6A0000}"/>
    <cellStyle name="60% - Accent6 125" xfId="27207" xr:uid="{00000000-0005-0000-0000-00004D6A0000}"/>
    <cellStyle name="60% - Accent6 126" xfId="27208" xr:uid="{00000000-0005-0000-0000-00004E6A0000}"/>
    <cellStyle name="60% - Accent6 127" xfId="27209" xr:uid="{00000000-0005-0000-0000-00004F6A0000}"/>
    <cellStyle name="60% - Accent6 128" xfId="27210" xr:uid="{00000000-0005-0000-0000-0000506A0000}"/>
    <cellStyle name="60% - Accent6 129" xfId="27211" xr:uid="{00000000-0005-0000-0000-0000516A0000}"/>
    <cellStyle name="60% - Accent6 13" xfId="27212" xr:uid="{00000000-0005-0000-0000-0000526A0000}"/>
    <cellStyle name="60% - Accent6 13 2" xfId="27213" xr:uid="{00000000-0005-0000-0000-0000536A0000}"/>
    <cellStyle name="60% - Accent6 130" xfId="27214" xr:uid="{00000000-0005-0000-0000-0000546A0000}"/>
    <cellStyle name="60% - Accent6 131" xfId="27215" xr:uid="{00000000-0005-0000-0000-0000556A0000}"/>
    <cellStyle name="60% - Accent6 132" xfId="27216" xr:uid="{00000000-0005-0000-0000-0000566A0000}"/>
    <cellStyle name="60% - Accent6 133" xfId="27217" xr:uid="{00000000-0005-0000-0000-0000576A0000}"/>
    <cellStyle name="60% - Accent6 14" xfId="27218" xr:uid="{00000000-0005-0000-0000-0000586A0000}"/>
    <cellStyle name="60% - Accent6 14 2" xfId="27219" xr:uid="{00000000-0005-0000-0000-0000596A0000}"/>
    <cellStyle name="60% - Accent6 15" xfId="27220" xr:uid="{00000000-0005-0000-0000-00005A6A0000}"/>
    <cellStyle name="60% - Accent6 15 2" xfId="27221" xr:uid="{00000000-0005-0000-0000-00005B6A0000}"/>
    <cellStyle name="60% - Accent6 16" xfId="27222" xr:uid="{00000000-0005-0000-0000-00005C6A0000}"/>
    <cellStyle name="60% - Accent6 16 2" xfId="27223" xr:uid="{00000000-0005-0000-0000-00005D6A0000}"/>
    <cellStyle name="60% - Accent6 17" xfId="27224" xr:uid="{00000000-0005-0000-0000-00005E6A0000}"/>
    <cellStyle name="60% - Accent6 17 2" xfId="27225" xr:uid="{00000000-0005-0000-0000-00005F6A0000}"/>
    <cellStyle name="60% - Accent6 18" xfId="27226" xr:uid="{00000000-0005-0000-0000-0000606A0000}"/>
    <cellStyle name="60% - Accent6 18 2" xfId="27227" xr:uid="{00000000-0005-0000-0000-0000616A0000}"/>
    <cellStyle name="60% - Accent6 19" xfId="27228" xr:uid="{00000000-0005-0000-0000-0000626A0000}"/>
    <cellStyle name="60% - Accent6 19 2" xfId="27229" xr:uid="{00000000-0005-0000-0000-0000636A0000}"/>
    <cellStyle name="60% - Accent6 2" xfId="27230" xr:uid="{00000000-0005-0000-0000-0000646A0000}"/>
    <cellStyle name="60% - Accent6 2 2" xfId="27231" xr:uid="{00000000-0005-0000-0000-0000656A0000}"/>
    <cellStyle name="60% - Accent6 2 2 2" xfId="27232" xr:uid="{00000000-0005-0000-0000-0000666A0000}"/>
    <cellStyle name="60% - Accent6 2 2 2 2" xfId="27233" xr:uid="{00000000-0005-0000-0000-0000676A0000}"/>
    <cellStyle name="60% - Accent6 2 2 2 2 2" xfId="27234" xr:uid="{00000000-0005-0000-0000-0000686A0000}"/>
    <cellStyle name="60% - Accent6 2 3" xfId="27235" xr:uid="{00000000-0005-0000-0000-0000696A0000}"/>
    <cellStyle name="60% - Accent6 2 4" xfId="27236" xr:uid="{00000000-0005-0000-0000-00006A6A0000}"/>
    <cellStyle name="60% - Accent6 2 5" xfId="41055" xr:uid="{00000000-0005-0000-0000-000011000000}"/>
    <cellStyle name="60% - Accent6 20" xfId="27237" xr:uid="{00000000-0005-0000-0000-00006B6A0000}"/>
    <cellStyle name="60% - Accent6 20 2" xfId="27238" xr:uid="{00000000-0005-0000-0000-00006C6A0000}"/>
    <cellStyle name="60% - Accent6 21" xfId="27239" xr:uid="{00000000-0005-0000-0000-00006D6A0000}"/>
    <cellStyle name="60% - Accent6 21 2" xfId="27240" xr:uid="{00000000-0005-0000-0000-00006E6A0000}"/>
    <cellStyle name="60% - Accent6 22" xfId="27241" xr:uid="{00000000-0005-0000-0000-00006F6A0000}"/>
    <cellStyle name="60% - Accent6 22 2" xfId="27242" xr:uid="{00000000-0005-0000-0000-0000706A0000}"/>
    <cellStyle name="60% - Accent6 23" xfId="27243" xr:uid="{00000000-0005-0000-0000-0000716A0000}"/>
    <cellStyle name="60% - Accent6 23 2" xfId="27244" xr:uid="{00000000-0005-0000-0000-0000726A0000}"/>
    <cellStyle name="60% - Accent6 24" xfId="27245" xr:uid="{00000000-0005-0000-0000-0000736A0000}"/>
    <cellStyle name="60% - Accent6 24 2" xfId="27246" xr:uid="{00000000-0005-0000-0000-0000746A0000}"/>
    <cellStyle name="60% - Accent6 25" xfId="27247" xr:uid="{00000000-0005-0000-0000-0000756A0000}"/>
    <cellStyle name="60% - Accent6 25 2" xfId="27248" xr:uid="{00000000-0005-0000-0000-0000766A0000}"/>
    <cellStyle name="60% - Accent6 26" xfId="27249" xr:uid="{00000000-0005-0000-0000-0000776A0000}"/>
    <cellStyle name="60% - Accent6 26 2" xfId="27250" xr:uid="{00000000-0005-0000-0000-0000786A0000}"/>
    <cellStyle name="60% - Accent6 27" xfId="27251" xr:uid="{00000000-0005-0000-0000-0000796A0000}"/>
    <cellStyle name="60% - Accent6 27 2" xfId="27252" xr:uid="{00000000-0005-0000-0000-00007A6A0000}"/>
    <cellStyle name="60% - Accent6 28" xfId="27253" xr:uid="{00000000-0005-0000-0000-00007B6A0000}"/>
    <cellStyle name="60% - Accent6 28 2" xfId="27254" xr:uid="{00000000-0005-0000-0000-00007C6A0000}"/>
    <cellStyle name="60% - Accent6 29" xfId="27255" xr:uid="{00000000-0005-0000-0000-00007D6A0000}"/>
    <cellStyle name="60% - Accent6 29 2" xfId="27256" xr:uid="{00000000-0005-0000-0000-00007E6A0000}"/>
    <cellStyle name="60% - Accent6 3" xfId="27257" xr:uid="{00000000-0005-0000-0000-00007F6A0000}"/>
    <cellStyle name="60% - Accent6 3 2" xfId="27258" xr:uid="{00000000-0005-0000-0000-0000806A0000}"/>
    <cellStyle name="60% - Accent6 3 2 2" xfId="27259" xr:uid="{00000000-0005-0000-0000-0000816A0000}"/>
    <cellStyle name="60% - Accent6 3 3" xfId="27260" xr:uid="{00000000-0005-0000-0000-0000826A0000}"/>
    <cellStyle name="60% - Accent6 3 4" xfId="27261" xr:uid="{00000000-0005-0000-0000-0000836A0000}"/>
    <cellStyle name="60% - Accent6 3_MAR 2009" xfId="27262" xr:uid="{00000000-0005-0000-0000-0000846A0000}"/>
    <cellStyle name="60% - Accent6 30" xfId="27263" xr:uid="{00000000-0005-0000-0000-0000856A0000}"/>
    <cellStyle name="60% - Accent6 30 2" xfId="27264" xr:uid="{00000000-0005-0000-0000-0000866A0000}"/>
    <cellStyle name="60% - Accent6 31" xfId="27265" xr:uid="{00000000-0005-0000-0000-0000876A0000}"/>
    <cellStyle name="60% - Accent6 31 2" xfId="27266" xr:uid="{00000000-0005-0000-0000-0000886A0000}"/>
    <cellStyle name="60% - Accent6 32" xfId="27267" xr:uid="{00000000-0005-0000-0000-0000896A0000}"/>
    <cellStyle name="60% - Accent6 32 2" xfId="27268" xr:uid="{00000000-0005-0000-0000-00008A6A0000}"/>
    <cellStyle name="60% - Accent6 33" xfId="27269" xr:uid="{00000000-0005-0000-0000-00008B6A0000}"/>
    <cellStyle name="60% - Accent6 33 2" xfId="27270" xr:uid="{00000000-0005-0000-0000-00008C6A0000}"/>
    <cellStyle name="60% - Accent6 34" xfId="27271" xr:uid="{00000000-0005-0000-0000-00008D6A0000}"/>
    <cellStyle name="60% - Accent6 35" xfId="27272" xr:uid="{00000000-0005-0000-0000-00008E6A0000}"/>
    <cellStyle name="60% - Accent6 35 2" xfId="27273" xr:uid="{00000000-0005-0000-0000-00008F6A0000}"/>
    <cellStyle name="60% - Accent6 36" xfId="27274" xr:uid="{00000000-0005-0000-0000-0000906A0000}"/>
    <cellStyle name="60% - Accent6 36 2" xfId="27275" xr:uid="{00000000-0005-0000-0000-0000916A0000}"/>
    <cellStyle name="60% - Accent6 37" xfId="27276" xr:uid="{00000000-0005-0000-0000-0000926A0000}"/>
    <cellStyle name="60% - Accent6 37 2" xfId="27277" xr:uid="{00000000-0005-0000-0000-0000936A0000}"/>
    <cellStyle name="60% - Accent6 38" xfId="27278" xr:uid="{00000000-0005-0000-0000-0000946A0000}"/>
    <cellStyle name="60% - Accent6 38 2" xfId="27279" xr:uid="{00000000-0005-0000-0000-0000956A0000}"/>
    <cellStyle name="60% - Accent6 39" xfId="27280" xr:uid="{00000000-0005-0000-0000-0000966A0000}"/>
    <cellStyle name="60% - Accent6 39 2" xfId="27281" xr:uid="{00000000-0005-0000-0000-0000976A0000}"/>
    <cellStyle name="60% - Accent6 4" xfId="27282" xr:uid="{00000000-0005-0000-0000-0000986A0000}"/>
    <cellStyle name="60% - Accent6 4 2" xfId="27283" xr:uid="{00000000-0005-0000-0000-0000996A0000}"/>
    <cellStyle name="60% - Accent6 4 2 2" xfId="27284" xr:uid="{00000000-0005-0000-0000-00009A6A0000}"/>
    <cellStyle name="60% - Accent6 4 3" xfId="27285" xr:uid="{00000000-0005-0000-0000-00009B6A0000}"/>
    <cellStyle name="60% - Accent6 40" xfId="27286" xr:uid="{00000000-0005-0000-0000-00009C6A0000}"/>
    <cellStyle name="60% - Accent6 40 2" xfId="27287" xr:uid="{00000000-0005-0000-0000-00009D6A0000}"/>
    <cellStyle name="60% - Accent6 41" xfId="27288" xr:uid="{00000000-0005-0000-0000-00009E6A0000}"/>
    <cellStyle name="60% - Accent6 41 2" xfId="27289" xr:uid="{00000000-0005-0000-0000-00009F6A0000}"/>
    <cellStyle name="60% - Accent6 42" xfId="27290" xr:uid="{00000000-0005-0000-0000-0000A06A0000}"/>
    <cellStyle name="60% - Accent6 42 2" xfId="27291" xr:uid="{00000000-0005-0000-0000-0000A16A0000}"/>
    <cellStyle name="60% - Accent6 43" xfId="27292" xr:uid="{00000000-0005-0000-0000-0000A26A0000}"/>
    <cellStyle name="60% - Accent6 43 2" xfId="27293" xr:uid="{00000000-0005-0000-0000-0000A36A0000}"/>
    <cellStyle name="60% - Accent6 44" xfId="27294" xr:uid="{00000000-0005-0000-0000-0000A46A0000}"/>
    <cellStyle name="60% - Accent6 44 2" xfId="27295" xr:uid="{00000000-0005-0000-0000-0000A56A0000}"/>
    <cellStyle name="60% - Accent6 45" xfId="27296" xr:uid="{00000000-0005-0000-0000-0000A66A0000}"/>
    <cellStyle name="60% - Accent6 45 2" xfId="27297" xr:uid="{00000000-0005-0000-0000-0000A76A0000}"/>
    <cellStyle name="60% - Accent6 46" xfId="27298" xr:uid="{00000000-0005-0000-0000-0000A86A0000}"/>
    <cellStyle name="60% - Accent6 46 2" xfId="27299" xr:uid="{00000000-0005-0000-0000-0000A96A0000}"/>
    <cellStyle name="60% - Accent6 47" xfId="27300" xr:uid="{00000000-0005-0000-0000-0000AA6A0000}"/>
    <cellStyle name="60% - Accent6 47 2" xfId="27301" xr:uid="{00000000-0005-0000-0000-0000AB6A0000}"/>
    <cellStyle name="60% - Accent6 48" xfId="27302" xr:uid="{00000000-0005-0000-0000-0000AC6A0000}"/>
    <cellStyle name="60% - Accent6 48 2" xfId="27303" xr:uid="{00000000-0005-0000-0000-0000AD6A0000}"/>
    <cellStyle name="60% - Accent6 49" xfId="27304" xr:uid="{00000000-0005-0000-0000-0000AE6A0000}"/>
    <cellStyle name="60% - Accent6 49 2" xfId="27305" xr:uid="{00000000-0005-0000-0000-0000AF6A0000}"/>
    <cellStyle name="60% - Accent6 5" xfId="27306" xr:uid="{00000000-0005-0000-0000-0000B06A0000}"/>
    <cellStyle name="60% - Accent6 5 2" xfId="27307" xr:uid="{00000000-0005-0000-0000-0000B16A0000}"/>
    <cellStyle name="60% - Accent6 5 2 2" xfId="27308" xr:uid="{00000000-0005-0000-0000-0000B26A0000}"/>
    <cellStyle name="60% - Accent6 5 3" xfId="27309" xr:uid="{00000000-0005-0000-0000-0000B36A0000}"/>
    <cellStyle name="60% - Accent6 50" xfId="27310" xr:uid="{00000000-0005-0000-0000-0000B46A0000}"/>
    <cellStyle name="60% - Accent6 50 2" xfId="27311" xr:uid="{00000000-0005-0000-0000-0000B56A0000}"/>
    <cellStyle name="60% - Accent6 51" xfId="27312" xr:uid="{00000000-0005-0000-0000-0000B66A0000}"/>
    <cellStyle name="60% - Accent6 51 2" xfId="27313" xr:uid="{00000000-0005-0000-0000-0000B76A0000}"/>
    <cellStyle name="60% - Accent6 52" xfId="27314" xr:uid="{00000000-0005-0000-0000-0000B86A0000}"/>
    <cellStyle name="60% - Accent6 53" xfId="27315" xr:uid="{00000000-0005-0000-0000-0000B96A0000}"/>
    <cellStyle name="60% - Accent6 54" xfId="27316" xr:uid="{00000000-0005-0000-0000-0000BA6A0000}"/>
    <cellStyle name="60% - Accent6 55" xfId="27317" xr:uid="{00000000-0005-0000-0000-0000BB6A0000}"/>
    <cellStyle name="60% - Accent6 56" xfId="27318" xr:uid="{00000000-0005-0000-0000-0000BC6A0000}"/>
    <cellStyle name="60% - Accent6 57" xfId="27319" xr:uid="{00000000-0005-0000-0000-0000BD6A0000}"/>
    <cellStyle name="60% - Accent6 58" xfId="27320" xr:uid="{00000000-0005-0000-0000-0000BE6A0000}"/>
    <cellStyle name="60% - Accent6 59" xfId="27321" xr:uid="{00000000-0005-0000-0000-0000BF6A0000}"/>
    <cellStyle name="60% - Accent6 6" xfId="27322" xr:uid="{00000000-0005-0000-0000-0000C06A0000}"/>
    <cellStyle name="60% - Accent6 6 2" xfId="27323" xr:uid="{00000000-0005-0000-0000-0000C16A0000}"/>
    <cellStyle name="60% - Accent6 6 3" xfId="27324" xr:uid="{00000000-0005-0000-0000-0000C26A0000}"/>
    <cellStyle name="60% - Accent6 60" xfId="27325" xr:uid="{00000000-0005-0000-0000-0000C36A0000}"/>
    <cellStyle name="60% - Accent6 61" xfId="27326" xr:uid="{00000000-0005-0000-0000-0000C46A0000}"/>
    <cellStyle name="60% - Accent6 62" xfId="27327" xr:uid="{00000000-0005-0000-0000-0000C56A0000}"/>
    <cellStyle name="60% - Accent6 63" xfId="27328" xr:uid="{00000000-0005-0000-0000-0000C66A0000}"/>
    <cellStyle name="60% - Accent6 63 2" xfId="27329" xr:uid="{00000000-0005-0000-0000-0000C76A0000}"/>
    <cellStyle name="60% - Accent6 64" xfId="27330" xr:uid="{00000000-0005-0000-0000-0000C86A0000}"/>
    <cellStyle name="60% - Accent6 64 2" xfId="27331" xr:uid="{00000000-0005-0000-0000-0000C96A0000}"/>
    <cellStyle name="60% - Accent6 65" xfId="27332" xr:uid="{00000000-0005-0000-0000-0000CA6A0000}"/>
    <cellStyle name="60% - Accent6 65 2" xfId="27333" xr:uid="{00000000-0005-0000-0000-0000CB6A0000}"/>
    <cellStyle name="60% - Accent6 66" xfId="27334" xr:uid="{00000000-0005-0000-0000-0000CC6A0000}"/>
    <cellStyle name="60% - Accent6 66 2" xfId="27335" xr:uid="{00000000-0005-0000-0000-0000CD6A0000}"/>
    <cellStyle name="60% - Accent6 67" xfId="27336" xr:uid="{00000000-0005-0000-0000-0000CE6A0000}"/>
    <cellStyle name="60% - Accent6 67 2" xfId="27337" xr:uid="{00000000-0005-0000-0000-0000CF6A0000}"/>
    <cellStyle name="60% - Accent6 68" xfId="27338" xr:uid="{00000000-0005-0000-0000-0000D06A0000}"/>
    <cellStyle name="60% - Accent6 68 2" xfId="27339" xr:uid="{00000000-0005-0000-0000-0000D16A0000}"/>
    <cellStyle name="60% - Accent6 69" xfId="27340" xr:uid="{00000000-0005-0000-0000-0000D26A0000}"/>
    <cellStyle name="60% - Accent6 69 2" xfId="27341" xr:uid="{00000000-0005-0000-0000-0000D36A0000}"/>
    <cellStyle name="60% - Accent6 7" xfId="27342" xr:uid="{00000000-0005-0000-0000-0000D46A0000}"/>
    <cellStyle name="60% - Accent6 7 2" xfId="27343" xr:uid="{00000000-0005-0000-0000-0000D56A0000}"/>
    <cellStyle name="60% - Accent6 70" xfId="27344" xr:uid="{00000000-0005-0000-0000-0000D66A0000}"/>
    <cellStyle name="60% - Accent6 70 2" xfId="27345" xr:uid="{00000000-0005-0000-0000-0000D76A0000}"/>
    <cellStyle name="60% - Accent6 71" xfId="27346" xr:uid="{00000000-0005-0000-0000-0000D86A0000}"/>
    <cellStyle name="60% - Accent6 71 2" xfId="27347" xr:uid="{00000000-0005-0000-0000-0000D96A0000}"/>
    <cellStyle name="60% - Accent6 72" xfId="27348" xr:uid="{00000000-0005-0000-0000-0000DA6A0000}"/>
    <cellStyle name="60% - Accent6 72 2" xfId="27349" xr:uid="{00000000-0005-0000-0000-0000DB6A0000}"/>
    <cellStyle name="60% - Accent6 73" xfId="27350" xr:uid="{00000000-0005-0000-0000-0000DC6A0000}"/>
    <cellStyle name="60% - Accent6 73 2" xfId="27351" xr:uid="{00000000-0005-0000-0000-0000DD6A0000}"/>
    <cellStyle name="60% - Accent6 74" xfId="27352" xr:uid="{00000000-0005-0000-0000-0000DE6A0000}"/>
    <cellStyle name="60% - Accent6 74 2" xfId="27353" xr:uid="{00000000-0005-0000-0000-0000DF6A0000}"/>
    <cellStyle name="60% - Accent6 75" xfId="27354" xr:uid="{00000000-0005-0000-0000-0000E06A0000}"/>
    <cellStyle name="60% - Accent6 75 2" xfId="27355" xr:uid="{00000000-0005-0000-0000-0000E16A0000}"/>
    <cellStyle name="60% - Accent6 76" xfId="27356" xr:uid="{00000000-0005-0000-0000-0000E26A0000}"/>
    <cellStyle name="60% - Accent6 76 2" xfId="27357" xr:uid="{00000000-0005-0000-0000-0000E36A0000}"/>
    <cellStyle name="60% - Accent6 77" xfId="27358" xr:uid="{00000000-0005-0000-0000-0000E46A0000}"/>
    <cellStyle name="60% - Accent6 77 2" xfId="27359" xr:uid="{00000000-0005-0000-0000-0000E56A0000}"/>
    <cellStyle name="60% - Accent6 78" xfId="27360" xr:uid="{00000000-0005-0000-0000-0000E66A0000}"/>
    <cellStyle name="60% - Accent6 78 2" xfId="27361" xr:uid="{00000000-0005-0000-0000-0000E76A0000}"/>
    <cellStyle name="60% - Accent6 79" xfId="27362" xr:uid="{00000000-0005-0000-0000-0000E86A0000}"/>
    <cellStyle name="60% - Accent6 79 2" xfId="27363" xr:uid="{00000000-0005-0000-0000-0000E96A0000}"/>
    <cellStyle name="60% - Accent6 8" xfId="27364" xr:uid="{00000000-0005-0000-0000-0000EA6A0000}"/>
    <cellStyle name="60% - Accent6 8 2" xfId="27365" xr:uid="{00000000-0005-0000-0000-0000EB6A0000}"/>
    <cellStyle name="60% - Accent6 80" xfId="27366" xr:uid="{00000000-0005-0000-0000-0000EC6A0000}"/>
    <cellStyle name="60% - Accent6 80 2" xfId="27367" xr:uid="{00000000-0005-0000-0000-0000ED6A0000}"/>
    <cellStyle name="60% - Accent6 81" xfId="27368" xr:uid="{00000000-0005-0000-0000-0000EE6A0000}"/>
    <cellStyle name="60% - Accent6 81 2" xfId="27369" xr:uid="{00000000-0005-0000-0000-0000EF6A0000}"/>
    <cellStyle name="60% - Accent6 82" xfId="27370" xr:uid="{00000000-0005-0000-0000-0000F06A0000}"/>
    <cellStyle name="60% - Accent6 82 2" xfId="27371" xr:uid="{00000000-0005-0000-0000-0000F16A0000}"/>
    <cellStyle name="60% - Accent6 83" xfId="27372" xr:uid="{00000000-0005-0000-0000-0000F26A0000}"/>
    <cellStyle name="60% - Accent6 83 2" xfId="27373" xr:uid="{00000000-0005-0000-0000-0000F36A0000}"/>
    <cellStyle name="60% - Accent6 84" xfId="27374" xr:uid="{00000000-0005-0000-0000-0000F46A0000}"/>
    <cellStyle name="60% - Accent6 84 2" xfId="27375" xr:uid="{00000000-0005-0000-0000-0000F56A0000}"/>
    <cellStyle name="60% - Accent6 85" xfId="27376" xr:uid="{00000000-0005-0000-0000-0000F66A0000}"/>
    <cellStyle name="60% - Accent6 85 2" xfId="27377" xr:uid="{00000000-0005-0000-0000-0000F76A0000}"/>
    <cellStyle name="60% - Accent6 86" xfId="27378" xr:uid="{00000000-0005-0000-0000-0000F86A0000}"/>
    <cellStyle name="60% - Accent6 86 2" xfId="27379" xr:uid="{00000000-0005-0000-0000-0000F96A0000}"/>
    <cellStyle name="60% - Accent6 87" xfId="27380" xr:uid="{00000000-0005-0000-0000-0000FA6A0000}"/>
    <cellStyle name="60% - Accent6 87 2" xfId="27381" xr:uid="{00000000-0005-0000-0000-0000FB6A0000}"/>
    <cellStyle name="60% - Accent6 88" xfId="27382" xr:uid="{00000000-0005-0000-0000-0000FC6A0000}"/>
    <cellStyle name="60% - Accent6 89" xfId="27383" xr:uid="{00000000-0005-0000-0000-0000FD6A0000}"/>
    <cellStyle name="60% - Accent6 89 2" xfId="27384" xr:uid="{00000000-0005-0000-0000-0000FE6A0000}"/>
    <cellStyle name="60% - Accent6 9" xfId="27385" xr:uid="{00000000-0005-0000-0000-0000FF6A0000}"/>
    <cellStyle name="60% - Accent6 9 2" xfId="27386" xr:uid="{00000000-0005-0000-0000-0000006B0000}"/>
    <cellStyle name="60% - Accent6 90" xfId="27387" xr:uid="{00000000-0005-0000-0000-0000016B0000}"/>
    <cellStyle name="60% - Accent6 90 2" xfId="27388" xr:uid="{00000000-0005-0000-0000-0000026B0000}"/>
    <cellStyle name="60% - Accent6 91" xfId="27389" xr:uid="{00000000-0005-0000-0000-0000036B0000}"/>
    <cellStyle name="60% - Accent6 91 2" xfId="27390" xr:uid="{00000000-0005-0000-0000-0000046B0000}"/>
    <cellStyle name="60% - Accent6 92" xfId="27391" xr:uid="{00000000-0005-0000-0000-0000056B0000}"/>
    <cellStyle name="60% - Accent6 92 2" xfId="27392" xr:uid="{00000000-0005-0000-0000-0000066B0000}"/>
    <cellStyle name="60% - Accent6 93" xfId="27393" xr:uid="{00000000-0005-0000-0000-0000076B0000}"/>
    <cellStyle name="60% - Accent6 93 2" xfId="27394" xr:uid="{00000000-0005-0000-0000-0000086B0000}"/>
    <cellStyle name="60% - Accent6 94" xfId="27395" xr:uid="{00000000-0005-0000-0000-0000096B0000}"/>
    <cellStyle name="60% - Accent6 94 2" xfId="27396" xr:uid="{00000000-0005-0000-0000-00000A6B0000}"/>
    <cellStyle name="60% - Accent6 95" xfId="27397" xr:uid="{00000000-0005-0000-0000-00000B6B0000}"/>
    <cellStyle name="60% - Accent6 96" xfId="27398" xr:uid="{00000000-0005-0000-0000-00000C6B0000}"/>
    <cellStyle name="60% - Accent6 97" xfId="27399" xr:uid="{00000000-0005-0000-0000-00000D6B0000}"/>
    <cellStyle name="60% - Accent6 98" xfId="27400" xr:uid="{00000000-0005-0000-0000-00000E6B0000}"/>
    <cellStyle name="60% - Accent6 99" xfId="27401" xr:uid="{00000000-0005-0000-0000-00000F6B0000}"/>
    <cellStyle name="Accent1" xfId="41019" builtinId="29" customBuiltin="1"/>
    <cellStyle name="Accent1 10" xfId="27402" xr:uid="{00000000-0005-0000-0000-0000116B0000}"/>
    <cellStyle name="Accent1 10 2" xfId="27403" xr:uid="{00000000-0005-0000-0000-0000126B0000}"/>
    <cellStyle name="Accent1 100" xfId="27404" xr:uid="{00000000-0005-0000-0000-0000136B0000}"/>
    <cellStyle name="Accent1 101" xfId="27405" xr:uid="{00000000-0005-0000-0000-0000146B0000}"/>
    <cellStyle name="Accent1 102" xfId="27406" xr:uid="{00000000-0005-0000-0000-0000156B0000}"/>
    <cellStyle name="Accent1 103" xfId="27407" xr:uid="{00000000-0005-0000-0000-0000166B0000}"/>
    <cellStyle name="Accent1 104" xfId="27408" xr:uid="{00000000-0005-0000-0000-0000176B0000}"/>
    <cellStyle name="Accent1 105" xfId="27409" xr:uid="{00000000-0005-0000-0000-0000186B0000}"/>
    <cellStyle name="Accent1 106" xfId="27410" xr:uid="{00000000-0005-0000-0000-0000196B0000}"/>
    <cellStyle name="Accent1 107" xfId="27411" xr:uid="{00000000-0005-0000-0000-00001A6B0000}"/>
    <cellStyle name="Accent1 108" xfId="27412" xr:uid="{00000000-0005-0000-0000-00001B6B0000}"/>
    <cellStyle name="Accent1 109" xfId="27413" xr:uid="{00000000-0005-0000-0000-00001C6B0000}"/>
    <cellStyle name="Accent1 11" xfId="27414" xr:uid="{00000000-0005-0000-0000-00001D6B0000}"/>
    <cellStyle name="Accent1 11 2" xfId="27415" xr:uid="{00000000-0005-0000-0000-00001E6B0000}"/>
    <cellStyle name="Accent1 110" xfId="27416" xr:uid="{00000000-0005-0000-0000-00001F6B0000}"/>
    <cellStyle name="Accent1 111" xfId="27417" xr:uid="{00000000-0005-0000-0000-0000206B0000}"/>
    <cellStyle name="Accent1 112" xfId="27418" xr:uid="{00000000-0005-0000-0000-0000216B0000}"/>
    <cellStyle name="Accent1 113" xfId="27419" xr:uid="{00000000-0005-0000-0000-0000226B0000}"/>
    <cellStyle name="Accent1 114" xfId="27420" xr:uid="{00000000-0005-0000-0000-0000236B0000}"/>
    <cellStyle name="Accent1 115" xfId="27421" xr:uid="{00000000-0005-0000-0000-0000246B0000}"/>
    <cellStyle name="Accent1 116" xfId="27422" xr:uid="{00000000-0005-0000-0000-0000256B0000}"/>
    <cellStyle name="Accent1 117" xfId="27423" xr:uid="{00000000-0005-0000-0000-0000266B0000}"/>
    <cellStyle name="Accent1 118" xfId="27424" xr:uid="{00000000-0005-0000-0000-0000276B0000}"/>
    <cellStyle name="Accent1 119" xfId="27425" xr:uid="{00000000-0005-0000-0000-0000286B0000}"/>
    <cellStyle name="Accent1 12" xfId="27426" xr:uid="{00000000-0005-0000-0000-0000296B0000}"/>
    <cellStyle name="Accent1 12 2" xfId="27427" xr:uid="{00000000-0005-0000-0000-00002A6B0000}"/>
    <cellStyle name="Accent1 120" xfId="27428" xr:uid="{00000000-0005-0000-0000-00002B6B0000}"/>
    <cellStyle name="Accent1 121" xfId="27429" xr:uid="{00000000-0005-0000-0000-00002C6B0000}"/>
    <cellStyle name="Accent1 122" xfId="27430" xr:uid="{00000000-0005-0000-0000-00002D6B0000}"/>
    <cellStyle name="Accent1 123" xfId="27431" xr:uid="{00000000-0005-0000-0000-00002E6B0000}"/>
    <cellStyle name="Accent1 124" xfId="27432" xr:uid="{00000000-0005-0000-0000-00002F6B0000}"/>
    <cellStyle name="Accent1 125" xfId="27433" xr:uid="{00000000-0005-0000-0000-0000306B0000}"/>
    <cellStyle name="Accent1 126" xfId="27434" xr:uid="{00000000-0005-0000-0000-0000316B0000}"/>
    <cellStyle name="Accent1 127" xfId="27435" xr:uid="{00000000-0005-0000-0000-0000326B0000}"/>
    <cellStyle name="Accent1 128" xfId="27436" xr:uid="{00000000-0005-0000-0000-0000336B0000}"/>
    <cellStyle name="Accent1 129" xfId="27437" xr:uid="{00000000-0005-0000-0000-0000346B0000}"/>
    <cellStyle name="Accent1 13" xfId="27438" xr:uid="{00000000-0005-0000-0000-0000356B0000}"/>
    <cellStyle name="Accent1 13 2" xfId="27439" xr:uid="{00000000-0005-0000-0000-0000366B0000}"/>
    <cellStyle name="Accent1 130" xfId="27440" xr:uid="{00000000-0005-0000-0000-0000376B0000}"/>
    <cellStyle name="Accent1 131" xfId="27441" xr:uid="{00000000-0005-0000-0000-0000386B0000}"/>
    <cellStyle name="Accent1 132" xfId="27442" xr:uid="{00000000-0005-0000-0000-0000396B0000}"/>
    <cellStyle name="Accent1 133" xfId="27443" xr:uid="{00000000-0005-0000-0000-00003A6B0000}"/>
    <cellStyle name="Accent1 14" xfId="27444" xr:uid="{00000000-0005-0000-0000-00003B6B0000}"/>
    <cellStyle name="Accent1 14 2" xfId="27445" xr:uid="{00000000-0005-0000-0000-00003C6B0000}"/>
    <cellStyle name="Accent1 15" xfId="27446" xr:uid="{00000000-0005-0000-0000-00003D6B0000}"/>
    <cellStyle name="Accent1 15 2" xfId="27447" xr:uid="{00000000-0005-0000-0000-00003E6B0000}"/>
    <cellStyle name="Accent1 16" xfId="27448" xr:uid="{00000000-0005-0000-0000-00003F6B0000}"/>
    <cellStyle name="Accent1 16 2" xfId="27449" xr:uid="{00000000-0005-0000-0000-0000406B0000}"/>
    <cellStyle name="Accent1 17" xfId="27450" xr:uid="{00000000-0005-0000-0000-0000416B0000}"/>
    <cellStyle name="Accent1 17 2" xfId="27451" xr:uid="{00000000-0005-0000-0000-0000426B0000}"/>
    <cellStyle name="Accent1 18" xfId="27452" xr:uid="{00000000-0005-0000-0000-0000436B0000}"/>
    <cellStyle name="Accent1 18 2" xfId="27453" xr:uid="{00000000-0005-0000-0000-0000446B0000}"/>
    <cellStyle name="Accent1 19" xfId="27454" xr:uid="{00000000-0005-0000-0000-0000456B0000}"/>
    <cellStyle name="Accent1 19 2" xfId="27455" xr:uid="{00000000-0005-0000-0000-0000466B0000}"/>
    <cellStyle name="Accent1 2" xfId="27456" xr:uid="{00000000-0005-0000-0000-0000476B0000}"/>
    <cellStyle name="Accent1 2 2" xfId="27457" xr:uid="{00000000-0005-0000-0000-0000486B0000}"/>
    <cellStyle name="Accent1 2 2 2" xfId="27458" xr:uid="{00000000-0005-0000-0000-0000496B0000}"/>
    <cellStyle name="Accent1 2 2 2 2" xfId="27459" xr:uid="{00000000-0005-0000-0000-00004A6B0000}"/>
    <cellStyle name="Accent1 2 2 2 2 2" xfId="27460" xr:uid="{00000000-0005-0000-0000-00004B6B0000}"/>
    <cellStyle name="Accent1 2 3" xfId="27461" xr:uid="{00000000-0005-0000-0000-00004C6B0000}"/>
    <cellStyle name="Accent1 2 4" xfId="27462" xr:uid="{00000000-0005-0000-0000-00004D6B0000}"/>
    <cellStyle name="Accent1 2 5" xfId="41056" xr:uid="{00000000-0005-0000-0000-000012000000}"/>
    <cellStyle name="Accent1 20" xfId="27463" xr:uid="{00000000-0005-0000-0000-00004E6B0000}"/>
    <cellStyle name="Accent1 20 2" xfId="27464" xr:uid="{00000000-0005-0000-0000-00004F6B0000}"/>
    <cellStyle name="Accent1 21" xfId="27465" xr:uid="{00000000-0005-0000-0000-0000506B0000}"/>
    <cellStyle name="Accent1 21 2" xfId="27466" xr:uid="{00000000-0005-0000-0000-0000516B0000}"/>
    <cellStyle name="Accent1 22" xfId="27467" xr:uid="{00000000-0005-0000-0000-0000526B0000}"/>
    <cellStyle name="Accent1 22 2" xfId="27468" xr:uid="{00000000-0005-0000-0000-0000536B0000}"/>
    <cellStyle name="Accent1 23" xfId="27469" xr:uid="{00000000-0005-0000-0000-0000546B0000}"/>
    <cellStyle name="Accent1 23 2" xfId="27470" xr:uid="{00000000-0005-0000-0000-0000556B0000}"/>
    <cellStyle name="Accent1 24" xfId="27471" xr:uid="{00000000-0005-0000-0000-0000566B0000}"/>
    <cellStyle name="Accent1 24 2" xfId="27472" xr:uid="{00000000-0005-0000-0000-0000576B0000}"/>
    <cellStyle name="Accent1 25" xfId="27473" xr:uid="{00000000-0005-0000-0000-0000586B0000}"/>
    <cellStyle name="Accent1 25 2" xfId="27474" xr:uid="{00000000-0005-0000-0000-0000596B0000}"/>
    <cellStyle name="Accent1 26" xfId="27475" xr:uid="{00000000-0005-0000-0000-00005A6B0000}"/>
    <cellStyle name="Accent1 26 2" xfId="27476" xr:uid="{00000000-0005-0000-0000-00005B6B0000}"/>
    <cellStyle name="Accent1 27" xfId="27477" xr:uid="{00000000-0005-0000-0000-00005C6B0000}"/>
    <cellStyle name="Accent1 27 2" xfId="27478" xr:uid="{00000000-0005-0000-0000-00005D6B0000}"/>
    <cellStyle name="Accent1 28" xfId="27479" xr:uid="{00000000-0005-0000-0000-00005E6B0000}"/>
    <cellStyle name="Accent1 28 2" xfId="27480" xr:uid="{00000000-0005-0000-0000-00005F6B0000}"/>
    <cellStyle name="Accent1 29" xfId="27481" xr:uid="{00000000-0005-0000-0000-0000606B0000}"/>
    <cellStyle name="Accent1 29 2" xfId="27482" xr:uid="{00000000-0005-0000-0000-0000616B0000}"/>
    <cellStyle name="Accent1 3" xfId="27483" xr:uid="{00000000-0005-0000-0000-0000626B0000}"/>
    <cellStyle name="Accent1 3 2" xfId="27484" xr:uid="{00000000-0005-0000-0000-0000636B0000}"/>
    <cellStyle name="Accent1 3 2 2" xfId="27485" xr:uid="{00000000-0005-0000-0000-0000646B0000}"/>
    <cellStyle name="Accent1 3 3" xfId="27486" xr:uid="{00000000-0005-0000-0000-0000656B0000}"/>
    <cellStyle name="Accent1 3 4" xfId="27487" xr:uid="{00000000-0005-0000-0000-0000666B0000}"/>
    <cellStyle name="Accent1 3_MAR 2009" xfId="27488" xr:uid="{00000000-0005-0000-0000-0000676B0000}"/>
    <cellStyle name="Accent1 30" xfId="27489" xr:uid="{00000000-0005-0000-0000-0000686B0000}"/>
    <cellStyle name="Accent1 30 2" xfId="27490" xr:uid="{00000000-0005-0000-0000-0000696B0000}"/>
    <cellStyle name="Accent1 31" xfId="27491" xr:uid="{00000000-0005-0000-0000-00006A6B0000}"/>
    <cellStyle name="Accent1 31 2" xfId="27492" xr:uid="{00000000-0005-0000-0000-00006B6B0000}"/>
    <cellStyle name="Accent1 32" xfId="27493" xr:uid="{00000000-0005-0000-0000-00006C6B0000}"/>
    <cellStyle name="Accent1 32 2" xfId="27494" xr:uid="{00000000-0005-0000-0000-00006D6B0000}"/>
    <cellStyle name="Accent1 33" xfId="27495" xr:uid="{00000000-0005-0000-0000-00006E6B0000}"/>
    <cellStyle name="Accent1 33 2" xfId="27496" xr:uid="{00000000-0005-0000-0000-00006F6B0000}"/>
    <cellStyle name="Accent1 34" xfId="27497" xr:uid="{00000000-0005-0000-0000-0000706B0000}"/>
    <cellStyle name="Accent1 34 2" xfId="27498" xr:uid="{00000000-0005-0000-0000-0000716B0000}"/>
    <cellStyle name="Accent1 35" xfId="27499" xr:uid="{00000000-0005-0000-0000-0000726B0000}"/>
    <cellStyle name="Accent1 35 2" xfId="27500" xr:uid="{00000000-0005-0000-0000-0000736B0000}"/>
    <cellStyle name="Accent1 36" xfId="27501" xr:uid="{00000000-0005-0000-0000-0000746B0000}"/>
    <cellStyle name="Accent1 36 2" xfId="27502" xr:uid="{00000000-0005-0000-0000-0000756B0000}"/>
    <cellStyle name="Accent1 37" xfId="27503" xr:uid="{00000000-0005-0000-0000-0000766B0000}"/>
    <cellStyle name="Accent1 37 2" xfId="27504" xr:uid="{00000000-0005-0000-0000-0000776B0000}"/>
    <cellStyle name="Accent1 38" xfId="27505" xr:uid="{00000000-0005-0000-0000-0000786B0000}"/>
    <cellStyle name="Accent1 38 2" xfId="27506" xr:uid="{00000000-0005-0000-0000-0000796B0000}"/>
    <cellStyle name="Accent1 39" xfId="27507" xr:uid="{00000000-0005-0000-0000-00007A6B0000}"/>
    <cellStyle name="Accent1 39 2" xfId="27508" xr:uid="{00000000-0005-0000-0000-00007B6B0000}"/>
    <cellStyle name="Accent1 4" xfId="27509" xr:uid="{00000000-0005-0000-0000-00007C6B0000}"/>
    <cellStyle name="Accent1 4 2" xfId="27510" xr:uid="{00000000-0005-0000-0000-00007D6B0000}"/>
    <cellStyle name="Accent1 4 2 2" xfId="27511" xr:uid="{00000000-0005-0000-0000-00007E6B0000}"/>
    <cellStyle name="Accent1 4 3" xfId="27512" xr:uid="{00000000-0005-0000-0000-00007F6B0000}"/>
    <cellStyle name="Accent1 40" xfId="27513" xr:uid="{00000000-0005-0000-0000-0000806B0000}"/>
    <cellStyle name="Accent1 40 2" xfId="27514" xr:uid="{00000000-0005-0000-0000-0000816B0000}"/>
    <cellStyle name="Accent1 41" xfId="27515" xr:uid="{00000000-0005-0000-0000-0000826B0000}"/>
    <cellStyle name="Accent1 41 2" xfId="27516" xr:uid="{00000000-0005-0000-0000-0000836B0000}"/>
    <cellStyle name="Accent1 42" xfId="27517" xr:uid="{00000000-0005-0000-0000-0000846B0000}"/>
    <cellStyle name="Accent1 42 2" xfId="27518" xr:uid="{00000000-0005-0000-0000-0000856B0000}"/>
    <cellStyle name="Accent1 43" xfId="27519" xr:uid="{00000000-0005-0000-0000-0000866B0000}"/>
    <cellStyle name="Accent1 43 2" xfId="27520" xr:uid="{00000000-0005-0000-0000-0000876B0000}"/>
    <cellStyle name="Accent1 44" xfId="27521" xr:uid="{00000000-0005-0000-0000-0000886B0000}"/>
    <cellStyle name="Accent1 44 2" xfId="27522" xr:uid="{00000000-0005-0000-0000-0000896B0000}"/>
    <cellStyle name="Accent1 45" xfId="27523" xr:uid="{00000000-0005-0000-0000-00008A6B0000}"/>
    <cellStyle name="Accent1 45 2" xfId="27524" xr:uid="{00000000-0005-0000-0000-00008B6B0000}"/>
    <cellStyle name="Accent1 46" xfId="27525" xr:uid="{00000000-0005-0000-0000-00008C6B0000}"/>
    <cellStyle name="Accent1 46 2" xfId="27526" xr:uid="{00000000-0005-0000-0000-00008D6B0000}"/>
    <cellStyle name="Accent1 47" xfId="27527" xr:uid="{00000000-0005-0000-0000-00008E6B0000}"/>
    <cellStyle name="Accent1 47 2" xfId="27528" xr:uid="{00000000-0005-0000-0000-00008F6B0000}"/>
    <cellStyle name="Accent1 48" xfId="27529" xr:uid="{00000000-0005-0000-0000-0000906B0000}"/>
    <cellStyle name="Accent1 48 2" xfId="27530" xr:uid="{00000000-0005-0000-0000-0000916B0000}"/>
    <cellStyle name="Accent1 49" xfId="27531" xr:uid="{00000000-0005-0000-0000-0000926B0000}"/>
    <cellStyle name="Accent1 49 2" xfId="27532" xr:uid="{00000000-0005-0000-0000-0000936B0000}"/>
    <cellStyle name="Accent1 5" xfId="27533" xr:uid="{00000000-0005-0000-0000-0000946B0000}"/>
    <cellStyle name="Accent1 5 2" xfId="27534" xr:uid="{00000000-0005-0000-0000-0000956B0000}"/>
    <cellStyle name="Accent1 5 2 2" xfId="27535" xr:uid="{00000000-0005-0000-0000-0000966B0000}"/>
    <cellStyle name="Accent1 5 3" xfId="27536" xr:uid="{00000000-0005-0000-0000-0000976B0000}"/>
    <cellStyle name="Accent1 50" xfId="27537" xr:uid="{00000000-0005-0000-0000-0000986B0000}"/>
    <cellStyle name="Accent1 50 2" xfId="27538" xr:uid="{00000000-0005-0000-0000-0000996B0000}"/>
    <cellStyle name="Accent1 51" xfId="27539" xr:uid="{00000000-0005-0000-0000-00009A6B0000}"/>
    <cellStyle name="Accent1 51 2" xfId="27540" xr:uid="{00000000-0005-0000-0000-00009B6B0000}"/>
    <cellStyle name="Accent1 52" xfId="27541" xr:uid="{00000000-0005-0000-0000-00009C6B0000}"/>
    <cellStyle name="Accent1 52 2" xfId="27542" xr:uid="{00000000-0005-0000-0000-00009D6B0000}"/>
    <cellStyle name="Accent1 53" xfId="27543" xr:uid="{00000000-0005-0000-0000-00009E6B0000}"/>
    <cellStyle name="Accent1 53 2" xfId="27544" xr:uid="{00000000-0005-0000-0000-00009F6B0000}"/>
    <cellStyle name="Accent1 54" xfId="27545" xr:uid="{00000000-0005-0000-0000-0000A06B0000}"/>
    <cellStyle name="Accent1 54 2" xfId="27546" xr:uid="{00000000-0005-0000-0000-0000A16B0000}"/>
    <cellStyle name="Accent1 55" xfId="27547" xr:uid="{00000000-0005-0000-0000-0000A26B0000}"/>
    <cellStyle name="Accent1 55 2" xfId="27548" xr:uid="{00000000-0005-0000-0000-0000A36B0000}"/>
    <cellStyle name="Accent1 56" xfId="27549" xr:uid="{00000000-0005-0000-0000-0000A46B0000}"/>
    <cellStyle name="Accent1 56 2" xfId="27550" xr:uid="{00000000-0005-0000-0000-0000A56B0000}"/>
    <cellStyle name="Accent1 57" xfId="27551" xr:uid="{00000000-0005-0000-0000-0000A66B0000}"/>
    <cellStyle name="Accent1 57 2" xfId="27552" xr:uid="{00000000-0005-0000-0000-0000A76B0000}"/>
    <cellStyle name="Accent1 58" xfId="27553" xr:uid="{00000000-0005-0000-0000-0000A86B0000}"/>
    <cellStyle name="Accent1 58 2" xfId="27554" xr:uid="{00000000-0005-0000-0000-0000A96B0000}"/>
    <cellStyle name="Accent1 59" xfId="27555" xr:uid="{00000000-0005-0000-0000-0000AA6B0000}"/>
    <cellStyle name="Accent1 6" xfId="27556" xr:uid="{00000000-0005-0000-0000-0000AB6B0000}"/>
    <cellStyle name="Accent1 6 2" xfId="27557" xr:uid="{00000000-0005-0000-0000-0000AC6B0000}"/>
    <cellStyle name="Accent1 6 3" xfId="27558" xr:uid="{00000000-0005-0000-0000-0000AD6B0000}"/>
    <cellStyle name="Accent1 60" xfId="27559" xr:uid="{00000000-0005-0000-0000-0000AE6B0000}"/>
    <cellStyle name="Accent1 61" xfId="27560" xr:uid="{00000000-0005-0000-0000-0000AF6B0000}"/>
    <cellStyle name="Accent1 62" xfId="27561" xr:uid="{00000000-0005-0000-0000-0000B06B0000}"/>
    <cellStyle name="Accent1 63" xfId="27562" xr:uid="{00000000-0005-0000-0000-0000B16B0000}"/>
    <cellStyle name="Accent1 63 2" xfId="27563" xr:uid="{00000000-0005-0000-0000-0000B26B0000}"/>
    <cellStyle name="Accent1 64" xfId="27564" xr:uid="{00000000-0005-0000-0000-0000B36B0000}"/>
    <cellStyle name="Accent1 64 2" xfId="27565" xr:uid="{00000000-0005-0000-0000-0000B46B0000}"/>
    <cellStyle name="Accent1 65" xfId="27566" xr:uid="{00000000-0005-0000-0000-0000B56B0000}"/>
    <cellStyle name="Accent1 65 2" xfId="27567" xr:uid="{00000000-0005-0000-0000-0000B66B0000}"/>
    <cellStyle name="Accent1 66" xfId="27568" xr:uid="{00000000-0005-0000-0000-0000B76B0000}"/>
    <cellStyle name="Accent1 66 2" xfId="27569" xr:uid="{00000000-0005-0000-0000-0000B86B0000}"/>
    <cellStyle name="Accent1 67" xfId="27570" xr:uid="{00000000-0005-0000-0000-0000B96B0000}"/>
    <cellStyle name="Accent1 67 2" xfId="27571" xr:uid="{00000000-0005-0000-0000-0000BA6B0000}"/>
    <cellStyle name="Accent1 68" xfId="27572" xr:uid="{00000000-0005-0000-0000-0000BB6B0000}"/>
    <cellStyle name="Accent1 68 2" xfId="27573" xr:uid="{00000000-0005-0000-0000-0000BC6B0000}"/>
    <cellStyle name="Accent1 69" xfId="27574" xr:uid="{00000000-0005-0000-0000-0000BD6B0000}"/>
    <cellStyle name="Accent1 69 2" xfId="27575" xr:uid="{00000000-0005-0000-0000-0000BE6B0000}"/>
    <cellStyle name="Accent1 7" xfId="27576" xr:uid="{00000000-0005-0000-0000-0000BF6B0000}"/>
    <cellStyle name="Accent1 7 2" xfId="27577" xr:uid="{00000000-0005-0000-0000-0000C06B0000}"/>
    <cellStyle name="Accent1 70" xfId="27578" xr:uid="{00000000-0005-0000-0000-0000C16B0000}"/>
    <cellStyle name="Accent1 70 2" xfId="27579" xr:uid="{00000000-0005-0000-0000-0000C26B0000}"/>
    <cellStyle name="Accent1 71" xfId="27580" xr:uid="{00000000-0005-0000-0000-0000C36B0000}"/>
    <cellStyle name="Accent1 71 2" xfId="27581" xr:uid="{00000000-0005-0000-0000-0000C46B0000}"/>
    <cellStyle name="Accent1 72" xfId="27582" xr:uid="{00000000-0005-0000-0000-0000C56B0000}"/>
    <cellStyle name="Accent1 72 2" xfId="27583" xr:uid="{00000000-0005-0000-0000-0000C66B0000}"/>
    <cellStyle name="Accent1 73" xfId="27584" xr:uid="{00000000-0005-0000-0000-0000C76B0000}"/>
    <cellStyle name="Accent1 73 2" xfId="27585" xr:uid="{00000000-0005-0000-0000-0000C86B0000}"/>
    <cellStyle name="Accent1 74" xfId="27586" xr:uid="{00000000-0005-0000-0000-0000C96B0000}"/>
    <cellStyle name="Accent1 74 2" xfId="27587" xr:uid="{00000000-0005-0000-0000-0000CA6B0000}"/>
    <cellStyle name="Accent1 75" xfId="27588" xr:uid="{00000000-0005-0000-0000-0000CB6B0000}"/>
    <cellStyle name="Accent1 75 2" xfId="27589" xr:uid="{00000000-0005-0000-0000-0000CC6B0000}"/>
    <cellStyle name="Accent1 76" xfId="27590" xr:uid="{00000000-0005-0000-0000-0000CD6B0000}"/>
    <cellStyle name="Accent1 76 2" xfId="27591" xr:uid="{00000000-0005-0000-0000-0000CE6B0000}"/>
    <cellStyle name="Accent1 77" xfId="27592" xr:uid="{00000000-0005-0000-0000-0000CF6B0000}"/>
    <cellStyle name="Accent1 77 2" xfId="27593" xr:uid="{00000000-0005-0000-0000-0000D06B0000}"/>
    <cellStyle name="Accent1 78" xfId="27594" xr:uid="{00000000-0005-0000-0000-0000D16B0000}"/>
    <cellStyle name="Accent1 78 2" xfId="27595" xr:uid="{00000000-0005-0000-0000-0000D26B0000}"/>
    <cellStyle name="Accent1 79" xfId="27596" xr:uid="{00000000-0005-0000-0000-0000D36B0000}"/>
    <cellStyle name="Accent1 79 2" xfId="27597" xr:uid="{00000000-0005-0000-0000-0000D46B0000}"/>
    <cellStyle name="Accent1 8" xfId="27598" xr:uid="{00000000-0005-0000-0000-0000D56B0000}"/>
    <cellStyle name="Accent1 8 2" xfId="27599" xr:uid="{00000000-0005-0000-0000-0000D66B0000}"/>
    <cellStyle name="Accent1 80" xfId="27600" xr:uid="{00000000-0005-0000-0000-0000D76B0000}"/>
    <cellStyle name="Accent1 80 2" xfId="27601" xr:uid="{00000000-0005-0000-0000-0000D86B0000}"/>
    <cellStyle name="Accent1 81" xfId="27602" xr:uid="{00000000-0005-0000-0000-0000D96B0000}"/>
    <cellStyle name="Accent1 81 2" xfId="27603" xr:uid="{00000000-0005-0000-0000-0000DA6B0000}"/>
    <cellStyle name="Accent1 82" xfId="27604" xr:uid="{00000000-0005-0000-0000-0000DB6B0000}"/>
    <cellStyle name="Accent1 82 2" xfId="27605" xr:uid="{00000000-0005-0000-0000-0000DC6B0000}"/>
    <cellStyle name="Accent1 83" xfId="27606" xr:uid="{00000000-0005-0000-0000-0000DD6B0000}"/>
    <cellStyle name="Accent1 83 2" xfId="27607" xr:uid="{00000000-0005-0000-0000-0000DE6B0000}"/>
    <cellStyle name="Accent1 84" xfId="27608" xr:uid="{00000000-0005-0000-0000-0000DF6B0000}"/>
    <cellStyle name="Accent1 84 2" xfId="27609" xr:uid="{00000000-0005-0000-0000-0000E06B0000}"/>
    <cellStyle name="Accent1 85" xfId="27610" xr:uid="{00000000-0005-0000-0000-0000E16B0000}"/>
    <cellStyle name="Accent1 85 2" xfId="27611" xr:uid="{00000000-0005-0000-0000-0000E26B0000}"/>
    <cellStyle name="Accent1 86" xfId="27612" xr:uid="{00000000-0005-0000-0000-0000E36B0000}"/>
    <cellStyle name="Accent1 86 2" xfId="27613" xr:uid="{00000000-0005-0000-0000-0000E46B0000}"/>
    <cellStyle name="Accent1 87" xfId="27614" xr:uid="{00000000-0005-0000-0000-0000E56B0000}"/>
    <cellStyle name="Accent1 87 2" xfId="27615" xr:uid="{00000000-0005-0000-0000-0000E66B0000}"/>
    <cellStyle name="Accent1 88" xfId="27616" xr:uid="{00000000-0005-0000-0000-0000E76B0000}"/>
    <cellStyle name="Accent1 89" xfId="27617" xr:uid="{00000000-0005-0000-0000-0000E86B0000}"/>
    <cellStyle name="Accent1 89 2" xfId="27618" xr:uid="{00000000-0005-0000-0000-0000E96B0000}"/>
    <cellStyle name="Accent1 9" xfId="27619" xr:uid="{00000000-0005-0000-0000-0000EA6B0000}"/>
    <cellStyle name="Accent1 9 2" xfId="27620" xr:uid="{00000000-0005-0000-0000-0000EB6B0000}"/>
    <cellStyle name="Accent1 90" xfId="27621" xr:uid="{00000000-0005-0000-0000-0000EC6B0000}"/>
    <cellStyle name="Accent1 90 2" xfId="27622" xr:uid="{00000000-0005-0000-0000-0000ED6B0000}"/>
    <cellStyle name="Accent1 91" xfId="27623" xr:uid="{00000000-0005-0000-0000-0000EE6B0000}"/>
    <cellStyle name="Accent1 91 2" xfId="27624" xr:uid="{00000000-0005-0000-0000-0000EF6B0000}"/>
    <cellStyle name="Accent1 92" xfId="27625" xr:uid="{00000000-0005-0000-0000-0000F06B0000}"/>
    <cellStyle name="Accent1 92 2" xfId="27626" xr:uid="{00000000-0005-0000-0000-0000F16B0000}"/>
    <cellStyle name="Accent1 93" xfId="27627" xr:uid="{00000000-0005-0000-0000-0000F26B0000}"/>
    <cellStyle name="Accent1 93 2" xfId="27628" xr:uid="{00000000-0005-0000-0000-0000F36B0000}"/>
    <cellStyle name="Accent1 94" xfId="27629" xr:uid="{00000000-0005-0000-0000-0000F46B0000}"/>
    <cellStyle name="Accent1 94 2" xfId="27630" xr:uid="{00000000-0005-0000-0000-0000F56B0000}"/>
    <cellStyle name="Accent1 95" xfId="27631" xr:uid="{00000000-0005-0000-0000-0000F66B0000}"/>
    <cellStyle name="Accent1 96" xfId="27632" xr:uid="{00000000-0005-0000-0000-0000F76B0000}"/>
    <cellStyle name="Accent1 97" xfId="27633" xr:uid="{00000000-0005-0000-0000-0000F86B0000}"/>
    <cellStyle name="Accent1 98" xfId="27634" xr:uid="{00000000-0005-0000-0000-0000F96B0000}"/>
    <cellStyle name="Accent1 99" xfId="27635" xr:uid="{00000000-0005-0000-0000-0000FA6B0000}"/>
    <cellStyle name="Accent2" xfId="41022" builtinId="33" customBuiltin="1"/>
    <cellStyle name="Accent2 10" xfId="27636" xr:uid="{00000000-0005-0000-0000-0000FC6B0000}"/>
    <cellStyle name="Accent2 10 2" xfId="27637" xr:uid="{00000000-0005-0000-0000-0000FD6B0000}"/>
    <cellStyle name="Accent2 100" xfId="27638" xr:uid="{00000000-0005-0000-0000-0000FE6B0000}"/>
    <cellStyle name="Accent2 101" xfId="27639" xr:uid="{00000000-0005-0000-0000-0000FF6B0000}"/>
    <cellStyle name="Accent2 102" xfId="27640" xr:uid="{00000000-0005-0000-0000-0000006C0000}"/>
    <cellStyle name="Accent2 103" xfId="27641" xr:uid="{00000000-0005-0000-0000-0000016C0000}"/>
    <cellStyle name="Accent2 104" xfId="27642" xr:uid="{00000000-0005-0000-0000-0000026C0000}"/>
    <cellStyle name="Accent2 105" xfId="27643" xr:uid="{00000000-0005-0000-0000-0000036C0000}"/>
    <cellStyle name="Accent2 106" xfId="27644" xr:uid="{00000000-0005-0000-0000-0000046C0000}"/>
    <cellStyle name="Accent2 107" xfId="27645" xr:uid="{00000000-0005-0000-0000-0000056C0000}"/>
    <cellStyle name="Accent2 108" xfId="27646" xr:uid="{00000000-0005-0000-0000-0000066C0000}"/>
    <cellStyle name="Accent2 109" xfId="27647" xr:uid="{00000000-0005-0000-0000-0000076C0000}"/>
    <cellStyle name="Accent2 11" xfId="27648" xr:uid="{00000000-0005-0000-0000-0000086C0000}"/>
    <cellStyle name="Accent2 11 2" xfId="27649" xr:uid="{00000000-0005-0000-0000-0000096C0000}"/>
    <cellStyle name="Accent2 110" xfId="27650" xr:uid="{00000000-0005-0000-0000-00000A6C0000}"/>
    <cellStyle name="Accent2 111" xfId="27651" xr:uid="{00000000-0005-0000-0000-00000B6C0000}"/>
    <cellStyle name="Accent2 112" xfId="27652" xr:uid="{00000000-0005-0000-0000-00000C6C0000}"/>
    <cellStyle name="Accent2 113" xfId="27653" xr:uid="{00000000-0005-0000-0000-00000D6C0000}"/>
    <cellStyle name="Accent2 114" xfId="27654" xr:uid="{00000000-0005-0000-0000-00000E6C0000}"/>
    <cellStyle name="Accent2 115" xfId="27655" xr:uid="{00000000-0005-0000-0000-00000F6C0000}"/>
    <cellStyle name="Accent2 116" xfId="27656" xr:uid="{00000000-0005-0000-0000-0000106C0000}"/>
    <cellStyle name="Accent2 117" xfId="27657" xr:uid="{00000000-0005-0000-0000-0000116C0000}"/>
    <cellStyle name="Accent2 118" xfId="27658" xr:uid="{00000000-0005-0000-0000-0000126C0000}"/>
    <cellStyle name="Accent2 119" xfId="27659" xr:uid="{00000000-0005-0000-0000-0000136C0000}"/>
    <cellStyle name="Accent2 12" xfId="27660" xr:uid="{00000000-0005-0000-0000-0000146C0000}"/>
    <cellStyle name="Accent2 12 2" xfId="27661" xr:uid="{00000000-0005-0000-0000-0000156C0000}"/>
    <cellStyle name="Accent2 120" xfId="27662" xr:uid="{00000000-0005-0000-0000-0000166C0000}"/>
    <cellStyle name="Accent2 121" xfId="27663" xr:uid="{00000000-0005-0000-0000-0000176C0000}"/>
    <cellStyle name="Accent2 122" xfId="27664" xr:uid="{00000000-0005-0000-0000-0000186C0000}"/>
    <cellStyle name="Accent2 123" xfId="27665" xr:uid="{00000000-0005-0000-0000-0000196C0000}"/>
    <cellStyle name="Accent2 124" xfId="27666" xr:uid="{00000000-0005-0000-0000-00001A6C0000}"/>
    <cellStyle name="Accent2 125" xfId="27667" xr:uid="{00000000-0005-0000-0000-00001B6C0000}"/>
    <cellStyle name="Accent2 126" xfId="27668" xr:uid="{00000000-0005-0000-0000-00001C6C0000}"/>
    <cellStyle name="Accent2 127" xfId="27669" xr:uid="{00000000-0005-0000-0000-00001D6C0000}"/>
    <cellStyle name="Accent2 128" xfId="27670" xr:uid="{00000000-0005-0000-0000-00001E6C0000}"/>
    <cellStyle name="Accent2 129" xfId="27671" xr:uid="{00000000-0005-0000-0000-00001F6C0000}"/>
    <cellStyle name="Accent2 13" xfId="27672" xr:uid="{00000000-0005-0000-0000-0000206C0000}"/>
    <cellStyle name="Accent2 13 2" xfId="27673" xr:uid="{00000000-0005-0000-0000-0000216C0000}"/>
    <cellStyle name="Accent2 130" xfId="27674" xr:uid="{00000000-0005-0000-0000-0000226C0000}"/>
    <cellStyle name="Accent2 131" xfId="27675" xr:uid="{00000000-0005-0000-0000-0000236C0000}"/>
    <cellStyle name="Accent2 132" xfId="27676" xr:uid="{00000000-0005-0000-0000-0000246C0000}"/>
    <cellStyle name="Accent2 133" xfId="27677" xr:uid="{00000000-0005-0000-0000-0000256C0000}"/>
    <cellStyle name="Accent2 14" xfId="27678" xr:uid="{00000000-0005-0000-0000-0000266C0000}"/>
    <cellStyle name="Accent2 14 2" xfId="27679" xr:uid="{00000000-0005-0000-0000-0000276C0000}"/>
    <cellStyle name="Accent2 15" xfId="27680" xr:uid="{00000000-0005-0000-0000-0000286C0000}"/>
    <cellStyle name="Accent2 15 2" xfId="27681" xr:uid="{00000000-0005-0000-0000-0000296C0000}"/>
    <cellStyle name="Accent2 16" xfId="27682" xr:uid="{00000000-0005-0000-0000-00002A6C0000}"/>
    <cellStyle name="Accent2 16 2" xfId="27683" xr:uid="{00000000-0005-0000-0000-00002B6C0000}"/>
    <cellStyle name="Accent2 17" xfId="27684" xr:uid="{00000000-0005-0000-0000-00002C6C0000}"/>
    <cellStyle name="Accent2 17 2" xfId="27685" xr:uid="{00000000-0005-0000-0000-00002D6C0000}"/>
    <cellStyle name="Accent2 18" xfId="27686" xr:uid="{00000000-0005-0000-0000-00002E6C0000}"/>
    <cellStyle name="Accent2 18 2" xfId="27687" xr:uid="{00000000-0005-0000-0000-00002F6C0000}"/>
    <cellStyle name="Accent2 19" xfId="27688" xr:uid="{00000000-0005-0000-0000-0000306C0000}"/>
    <cellStyle name="Accent2 19 2" xfId="27689" xr:uid="{00000000-0005-0000-0000-0000316C0000}"/>
    <cellStyle name="Accent2 2" xfId="27690" xr:uid="{00000000-0005-0000-0000-0000326C0000}"/>
    <cellStyle name="Accent2 2 2" xfId="27691" xr:uid="{00000000-0005-0000-0000-0000336C0000}"/>
    <cellStyle name="Accent2 2 2 2" xfId="27692" xr:uid="{00000000-0005-0000-0000-0000346C0000}"/>
    <cellStyle name="Accent2 2 2 2 2" xfId="27693" xr:uid="{00000000-0005-0000-0000-0000356C0000}"/>
    <cellStyle name="Accent2 2 2 2 2 2" xfId="27694" xr:uid="{00000000-0005-0000-0000-0000366C0000}"/>
    <cellStyle name="Accent2 2 3" xfId="27695" xr:uid="{00000000-0005-0000-0000-0000376C0000}"/>
    <cellStyle name="Accent2 2 4" xfId="27696" xr:uid="{00000000-0005-0000-0000-0000386C0000}"/>
    <cellStyle name="Accent2 2 5" xfId="41057" xr:uid="{00000000-0005-0000-0000-000013000000}"/>
    <cellStyle name="Accent2 20" xfId="27697" xr:uid="{00000000-0005-0000-0000-0000396C0000}"/>
    <cellStyle name="Accent2 20 2" xfId="27698" xr:uid="{00000000-0005-0000-0000-00003A6C0000}"/>
    <cellStyle name="Accent2 21" xfId="27699" xr:uid="{00000000-0005-0000-0000-00003B6C0000}"/>
    <cellStyle name="Accent2 21 2" xfId="27700" xr:uid="{00000000-0005-0000-0000-00003C6C0000}"/>
    <cellStyle name="Accent2 22" xfId="27701" xr:uid="{00000000-0005-0000-0000-00003D6C0000}"/>
    <cellStyle name="Accent2 22 2" xfId="27702" xr:uid="{00000000-0005-0000-0000-00003E6C0000}"/>
    <cellStyle name="Accent2 23" xfId="27703" xr:uid="{00000000-0005-0000-0000-00003F6C0000}"/>
    <cellStyle name="Accent2 23 2" xfId="27704" xr:uid="{00000000-0005-0000-0000-0000406C0000}"/>
    <cellStyle name="Accent2 24" xfId="27705" xr:uid="{00000000-0005-0000-0000-0000416C0000}"/>
    <cellStyle name="Accent2 24 2" xfId="27706" xr:uid="{00000000-0005-0000-0000-0000426C0000}"/>
    <cellStyle name="Accent2 25" xfId="27707" xr:uid="{00000000-0005-0000-0000-0000436C0000}"/>
    <cellStyle name="Accent2 25 2" xfId="27708" xr:uid="{00000000-0005-0000-0000-0000446C0000}"/>
    <cellStyle name="Accent2 26" xfId="27709" xr:uid="{00000000-0005-0000-0000-0000456C0000}"/>
    <cellStyle name="Accent2 26 2" xfId="27710" xr:uid="{00000000-0005-0000-0000-0000466C0000}"/>
    <cellStyle name="Accent2 27" xfId="27711" xr:uid="{00000000-0005-0000-0000-0000476C0000}"/>
    <cellStyle name="Accent2 27 2" xfId="27712" xr:uid="{00000000-0005-0000-0000-0000486C0000}"/>
    <cellStyle name="Accent2 28" xfId="27713" xr:uid="{00000000-0005-0000-0000-0000496C0000}"/>
    <cellStyle name="Accent2 28 2" xfId="27714" xr:uid="{00000000-0005-0000-0000-00004A6C0000}"/>
    <cellStyle name="Accent2 29" xfId="27715" xr:uid="{00000000-0005-0000-0000-00004B6C0000}"/>
    <cellStyle name="Accent2 29 2" xfId="27716" xr:uid="{00000000-0005-0000-0000-00004C6C0000}"/>
    <cellStyle name="Accent2 3" xfId="27717" xr:uid="{00000000-0005-0000-0000-00004D6C0000}"/>
    <cellStyle name="Accent2 3 2" xfId="27718" xr:uid="{00000000-0005-0000-0000-00004E6C0000}"/>
    <cellStyle name="Accent2 3 2 2" xfId="27719" xr:uid="{00000000-0005-0000-0000-00004F6C0000}"/>
    <cellStyle name="Accent2 3 3" xfId="27720" xr:uid="{00000000-0005-0000-0000-0000506C0000}"/>
    <cellStyle name="Accent2 3 4" xfId="27721" xr:uid="{00000000-0005-0000-0000-0000516C0000}"/>
    <cellStyle name="Accent2 3_MAR 2009" xfId="27722" xr:uid="{00000000-0005-0000-0000-0000526C0000}"/>
    <cellStyle name="Accent2 30" xfId="27723" xr:uid="{00000000-0005-0000-0000-0000536C0000}"/>
    <cellStyle name="Accent2 30 2" xfId="27724" xr:uid="{00000000-0005-0000-0000-0000546C0000}"/>
    <cellStyle name="Accent2 31" xfId="27725" xr:uid="{00000000-0005-0000-0000-0000556C0000}"/>
    <cellStyle name="Accent2 31 2" xfId="27726" xr:uid="{00000000-0005-0000-0000-0000566C0000}"/>
    <cellStyle name="Accent2 32" xfId="27727" xr:uid="{00000000-0005-0000-0000-0000576C0000}"/>
    <cellStyle name="Accent2 32 2" xfId="27728" xr:uid="{00000000-0005-0000-0000-0000586C0000}"/>
    <cellStyle name="Accent2 33" xfId="27729" xr:uid="{00000000-0005-0000-0000-0000596C0000}"/>
    <cellStyle name="Accent2 33 2" xfId="27730" xr:uid="{00000000-0005-0000-0000-00005A6C0000}"/>
    <cellStyle name="Accent2 34" xfId="27731" xr:uid="{00000000-0005-0000-0000-00005B6C0000}"/>
    <cellStyle name="Accent2 34 2" xfId="27732" xr:uid="{00000000-0005-0000-0000-00005C6C0000}"/>
    <cellStyle name="Accent2 35" xfId="27733" xr:uid="{00000000-0005-0000-0000-00005D6C0000}"/>
    <cellStyle name="Accent2 35 2" xfId="27734" xr:uid="{00000000-0005-0000-0000-00005E6C0000}"/>
    <cellStyle name="Accent2 36" xfId="27735" xr:uid="{00000000-0005-0000-0000-00005F6C0000}"/>
    <cellStyle name="Accent2 36 2" xfId="27736" xr:uid="{00000000-0005-0000-0000-0000606C0000}"/>
    <cellStyle name="Accent2 37" xfId="27737" xr:uid="{00000000-0005-0000-0000-0000616C0000}"/>
    <cellStyle name="Accent2 37 2" xfId="27738" xr:uid="{00000000-0005-0000-0000-0000626C0000}"/>
    <cellStyle name="Accent2 38" xfId="27739" xr:uid="{00000000-0005-0000-0000-0000636C0000}"/>
    <cellStyle name="Accent2 38 2" xfId="27740" xr:uid="{00000000-0005-0000-0000-0000646C0000}"/>
    <cellStyle name="Accent2 39" xfId="27741" xr:uid="{00000000-0005-0000-0000-0000656C0000}"/>
    <cellStyle name="Accent2 39 2" xfId="27742" xr:uid="{00000000-0005-0000-0000-0000666C0000}"/>
    <cellStyle name="Accent2 4" xfId="27743" xr:uid="{00000000-0005-0000-0000-0000676C0000}"/>
    <cellStyle name="Accent2 4 2" xfId="27744" xr:uid="{00000000-0005-0000-0000-0000686C0000}"/>
    <cellStyle name="Accent2 4 2 2" xfId="27745" xr:uid="{00000000-0005-0000-0000-0000696C0000}"/>
    <cellStyle name="Accent2 4 3" xfId="27746" xr:uid="{00000000-0005-0000-0000-00006A6C0000}"/>
    <cellStyle name="Accent2 40" xfId="27747" xr:uid="{00000000-0005-0000-0000-00006B6C0000}"/>
    <cellStyle name="Accent2 40 2" xfId="27748" xr:uid="{00000000-0005-0000-0000-00006C6C0000}"/>
    <cellStyle name="Accent2 41" xfId="27749" xr:uid="{00000000-0005-0000-0000-00006D6C0000}"/>
    <cellStyle name="Accent2 41 2" xfId="27750" xr:uid="{00000000-0005-0000-0000-00006E6C0000}"/>
    <cellStyle name="Accent2 42" xfId="27751" xr:uid="{00000000-0005-0000-0000-00006F6C0000}"/>
    <cellStyle name="Accent2 42 2" xfId="27752" xr:uid="{00000000-0005-0000-0000-0000706C0000}"/>
    <cellStyle name="Accent2 43" xfId="27753" xr:uid="{00000000-0005-0000-0000-0000716C0000}"/>
    <cellStyle name="Accent2 43 2" xfId="27754" xr:uid="{00000000-0005-0000-0000-0000726C0000}"/>
    <cellStyle name="Accent2 44" xfId="27755" xr:uid="{00000000-0005-0000-0000-0000736C0000}"/>
    <cellStyle name="Accent2 44 2" xfId="27756" xr:uid="{00000000-0005-0000-0000-0000746C0000}"/>
    <cellStyle name="Accent2 45" xfId="27757" xr:uid="{00000000-0005-0000-0000-0000756C0000}"/>
    <cellStyle name="Accent2 45 2" xfId="27758" xr:uid="{00000000-0005-0000-0000-0000766C0000}"/>
    <cellStyle name="Accent2 46" xfId="27759" xr:uid="{00000000-0005-0000-0000-0000776C0000}"/>
    <cellStyle name="Accent2 46 2" xfId="27760" xr:uid="{00000000-0005-0000-0000-0000786C0000}"/>
    <cellStyle name="Accent2 47" xfId="27761" xr:uid="{00000000-0005-0000-0000-0000796C0000}"/>
    <cellStyle name="Accent2 47 2" xfId="27762" xr:uid="{00000000-0005-0000-0000-00007A6C0000}"/>
    <cellStyle name="Accent2 48" xfId="27763" xr:uid="{00000000-0005-0000-0000-00007B6C0000}"/>
    <cellStyle name="Accent2 48 2" xfId="27764" xr:uid="{00000000-0005-0000-0000-00007C6C0000}"/>
    <cellStyle name="Accent2 49" xfId="27765" xr:uid="{00000000-0005-0000-0000-00007D6C0000}"/>
    <cellStyle name="Accent2 49 2" xfId="27766" xr:uid="{00000000-0005-0000-0000-00007E6C0000}"/>
    <cellStyle name="Accent2 5" xfId="27767" xr:uid="{00000000-0005-0000-0000-00007F6C0000}"/>
    <cellStyle name="Accent2 5 2" xfId="27768" xr:uid="{00000000-0005-0000-0000-0000806C0000}"/>
    <cellStyle name="Accent2 5 2 2" xfId="27769" xr:uid="{00000000-0005-0000-0000-0000816C0000}"/>
    <cellStyle name="Accent2 5 3" xfId="27770" xr:uid="{00000000-0005-0000-0000-0000826C0000}"/>
    <cellStyle name="Accent2 50" xfId="27771" xr:uid="{00000000-0005-0000-0000-0000836C0000}"/>
    <cellStyle name="Accent2 50 2" xfId="27772" xr:uid="{00000000-0005-0000-0000-0000846C0000}"/>
    <cellStyle name="Accent2 51" xfId="27773" xr:uid="{00000000-0005-0000-0000-0000856C0000}"/>
    <cellStyle name="Accent2 51 2" xfId="27774" xr:uid="{00000000-0005-0000-0000-0000866C0000}"/>
    <cellStyle name="Accent2 52" xfId="27775" xr:uid="{00000000-0005-0000-0000-0000876C0000}"/>
    <cellStyle name="Accent2 52 2" xfId="27776" xr:uid="{00000000-0005-0000-0000-0000886C0000}"/>
    <cellStyle name="Accent2 53" xfId="27777" xr:uid="{00000000-0005-0000-0000-0000896C0000}"/>
    <cellStyle name="Accent2 53 2" xfId="27778" xr:uid="{00000000-0005-0000-0000-00008A6C0000}"/>
    <cellStyle name="Accent2 54" xfId="27779" xr:uid="{00000000-0005-0000-0000-00008B6C0000}"/>
    <cellStyle name="Accent2 54 2" xfId="27780" xr:uid="{00000000-0005-0000-0000-00008C6C0000}"/>
    <cellStyle name="Accent2 55" xfId="27781" xr:uid="{00000000-0005-0000-0000-00008D6C0000}"/>
    <cellStyle name="Accent2 55 2" xfId="27782" xr:uid="{00000000-0005-0000-0000-00008E6C0000}"/>
    <cellStyle name="Accent2 56" xfId="27783" xr:uid="{00000000-0005-0000-0000-00008F6C0000}"/>
    <cellStyle name="Accent2 56 2" xfId="27784" xr:uid="{00000000-0005-0000-0000-0000906C0000}"/>
    <cellStyle name="Accent2 57" xfId="27785" xr:uid="{00000000-0005-0000-0000-0000916C0000}"/>
    <cellStyle name="Accent2 57 2" xfId="27786" xr:uid="{00000000-0005-0000-0000-0000926C0000}"/>
    <cellStyle name="Accent2 58" xfId="27787" xr:uid="{00000000-0005-0000-0000-0000936C0000}"/>
    <cellStyle name="Accent2 58 2" xfId="27788" xr:uid="{00000000-0005-0000-0000-0000946C0000}"/>
    <cellStyle name="Accent2 59" xfId="27789" xr:uid="{00000000-0005-0000-0000-0000956C0000}"/>
    <cellStyle name="Accent2 6" xfId="27790" xr:uid="{00000000-0005-0000-0000-0000966C0000}"/>
    <cellStyle name="Accent2 6 2" xfId="27791" xr:uid="{00000000-0005-0000-0000-0000976C0000}"/>
    <cellStyle name="Accent2 6 3" xfId="27792" xr:uid="{00000000-0005-0000-0000-0000986C0000}"/>
    <cellStyle name="Accent2 60" xfId="27793" xr:uid="{00000000-0005-0000-0000-0000996C0000}"/>
    <cellStyle name="Accent2 61" xfId="27794" xr:uid="{00000000-0005-0000-0000-00009A6C0000}"/>
    <cellStyle name="Accent2 62" xfId="27795" xr:uid="{00000000-0005-0000-0000-00009B6C0000}"/>
    <cellStyle name="Accent2 63" xfId="27796" xr:uid="{00000000-0005-0000-0000-00009C6C0000}"/>
    <cellStyle name="Accent2 63 2" xfId="27797" xr:uid="{00000000-0005-0000-0000-00009D6C0000}"/>
    <cellStyle name="Accent2 64" xfId="27798" xr:uid="{00000000-0005-0000-0000-00009E6C0000}"/>
    <cellStyle name="Accent2 64 2" xfId="27799" xr:uid="{00000000-0005-0000-0000-00009F6C0000}"/>
    <cellStyle name="Accent2 65" xfId="27800" xr:uid="{00000000-0005-0000-0000-0000A06C0000}"/>
    <cellStyle name="Accent2 65 2" xfId="27801" xr:uid="{00000000-0005-0000-0000-0000A16C0000}"/>
    <cellStyle name="Accent2 66" xfId="27802" xr:uid="{00000000-0005-0000-0000-0000A26C0000}"/>
    <cellStyle name="Accent2 66 2" xfId="27803" xr:uid="{00000000-0005-0000-0000-0000A36C0000}"/>
    <cellStyle name="Accent2 67" xfId="27804" xr:uid="{00000000-0005-0000-0000-0000A46C0000}"/>
    <cellStyle name="Accent2 67 2" xfId="27805" xr:uid="{00000000-0005-0000-0000-0000A56C0000}"/>
    <cellStyle name="Accent2 68" xfId="27806" xr:uid="{00000000-0005-0000-0000-0000A66C0000}"/>
    <cellStyle name="Accent2 68 2" xfId="27807" xr:uid="{00000000-0005-0000-0000-0000A76C0000}"/>
    <cellStyle name="Accent2 69" xfId="27808" xr:uid="{00000000-0005-0000-0000-0000A86C0000}"/>
    <cellStyle name="Accent2 69 2" xfId="27809" xr:uid="{00000000-0005-0000-0000-0000A96C0000}"/>
    <cellStyle name="Accent2 7" xfId="27810" xr:uid="{00000000-0005-0000-0000-0000AA6C0000}"/>
    <cellStyle name="Accent2 7 2" xfId="27811" xr:uid="{00000000-0005-0000-0000-0000AB6C0000}"/>
    <cellStyle name="Accent2 70" xfId="27812" xr:uid="{00000000-0005-0000-0000-0000AC6C0000}"/>
    <cellStyle name="Accent2 70 2" xfId="27813" xr:uid="{00000000-0005-0000-0000-0000AD6C0000}"/>
    <cellStyle name="Accent2 71" xfId="27814" xr:uid="{00000000-0005-0000-0000-0000AE6C0000}"/>
    <cellStyle name="Accent2 71 2" xfId="27815" xr:uid="{00000000-0005-0000-0000-0000AF6C0000}"/>
    <cellStyle name="Accent2 72" xfId="27816" xr:uid="{00000000-0005-0000-0000-0000B06C0000}"/>
    <cellStyle name="Accent2 72 2" xfId="27817" xr:uid="{00000000-0005-0000-0000-0000B16C0000}"/>
    <cellStyle name="Accent2 73" xfId="27818" xr:uid="{00000000-0005-0000-0000-0000B26C0000}"/>
    <cellStyle name="Accent2 73 2" xfId="27819" xr:uid="{00000000-0005-0000-0000-0000B36C0000}"/>
    <cellStyle name="Accent2 74" xfId="27820" xr:uid="{00000000-0005-0000-0000-0000B46C0000}"/>
    <cellStyle name="Accent2 74 2" xfId="27821" xr:uid="{00000000-0005-0000-0000-0000B56C0000}"/>
    <cellStyle name="Accent2 75" xfId="27822" xr:uid="{00000000-0005-0000-0000-0000B66C0000}"/>
    <cellStyle name="Accent2 75 2" xfId="27823" xr:uid="{00000000-0005-0000-0000-0000B76C0000}"/>
    <cellStyle name="Accent2 76" xfId="27824" xr:uid="{00000000-0005-0000-0000-0000B86C0000}"/>
    <cellStyle name="Accent2 76 2" xfId="27825" xr:uid="{00000000-0005-0000-0000-0000B96C0000}"/>
    <cellStyle name="Accent2 77" xfId="27826" xr:uid="{00000000-0005-0000-0000-0000BA6C0000}"/>
    <cellStyle name="Accent2 77 2" xfId="27827" xr:uid="{00000000-0005-0000-0000-0000BB6C0000}"/>
    <cellStyle name="Accent2 78" xfId="27828" xr:uid="{00000000-0005-0000-0000-0000BC6C0000}"/>
    <cellStyle name="Accent2 78 2" xfId="27829" xr:uid="{00000000-0005-0000-0000-0000BD6C0000}"/>
    <cellStyle name="Accent2 79" xfId="27830" xr:uid="{00000000-0005-0000-0000-0000BE6C0000}"/>
    <cellStyle name="Accent2 79 2" xfId="27831" xr:uid="{00000000-0005-0000-0000-0000BF6C0000}"/>
    <cellStyle name="Accent2 8" xfId="27832" xr:uid="{00000000-0005-0000-0000-0000C06C0000}"/>
    <cellStyle name="Accent2 8 2" xfId="27833" xr:uid="{00000000-0005-0000-0000-0000C16C0000}"/>
    <cellStyle name="Accent2 80" xfId="27834" xr:uid="{00000000-0005-0000-0000-0000C26C0000}"/>
    <cellStyle name="Accent2 80 2" xfId="27835" xr:uid="{00000000-0005-0000-0000-0000C36C0000}"/>
    <cellStyle name="Accent2 81" xfId="27836" xr:uid="{00000000-0005-0000-0000-0000C46C0000}"/>
    <cellStyle name="Accent2 81 2" xfId="27837" xr:uid="{00000000-0005-0000-0000-0000C56C0000}"/>
    <cellStyle name="Accent2 82" xfId="27838" xr:uid="{00000000-0005-0000-0000-0000C66C0000}"/>
    <cellStyle name="Accent2 82 2" xfId="27839" xr:uid="{00000000-0005-0000-0000-0000C76C0000}"/>
    <cellStyle name="Accent2 83" xfId="27840" xr:uid="{00000000-0005-0000-0000-0000C86C0000}"/>
    <cellStyle name="Accent2 83 2" xfId="27841" xr:uid="{00000000-0005-0000-0000-0000C96C0000}"/>
    <cellStyle name="Accent2 84" xfId="27842" xr:uid="{00000000-0005-0000-0000-0000CA6C0000}"/>
    <cellStyle name="Accent2 84 2" xfId="27843" xr:uid="{00000000-0005-0000-0000-0000CB6C0000}"/>
    <cellStyle name="Accent2 85" xfId="27844" xr:uid="{00000000-0005-0000-0000-0000CC6C0000}"/>
    <cellStyle name="Accent2 85 2" xfId="27845" xr:uid="{00000000-0005-0000-0000-0000CD6C0000}"/>
    <cellStyle name="Accent2 86" xfId="27846" xr:uid="{00000000-0005-0000-0000-0000CE6C0000}"/>
    <cellStyle name="Accent2 86 2" xfId="27847" xr:uid="{00000000-0005-0000-0000-0000CF6C0000}"/>
    <cellStyle name="Accent2 87" xfId="27848" xr:uid="{00000000-0005-0000-0000-0000D06C0000}"/>
    <cellStyle name="Accent2 87 2" xfId="27849" xr:uid="{00000000-0005-0000-0000-0000D16C0000}"/>
    <cellStyle name="Accent2 88" xfId="27850" xr:uid="{00000000-0005-0000-0000-0000D26C0000}"/>
    <cellStyle name="Accent2 89" xfId="27851" xr:uid="{00000000-0005-0000-0000-0000D36C0000}"/>
    <cellStyle name="Accent2 89 2" xfId="27852" xr:uid="{00000000-0005-0000-0000-0000D46C0000}"/>
    <cellStyle name="Accent2 9" xfId="27853" xr:uid="{00000000-0005-0000-0000-0000D56C0000}"/>
    <cellStyle name="Accent2 9 2" xfId="27854" xr:uid="{00000000-0005-0000-0000-0000D66C0000}"/>
    <cellStyle name="Accent2 90" xfId="27855" xr:uid="{00000000-0005-0000-0000-0000D76C0000}"/>
    <cellStyle name="Accent2 90 2" xfId="27856" xr:uid="{00000000-0005-0000-0000-0000D86C0000}"/>
    <cellStyle name="Accent2 91" xfId="27857" xr:uid="{00000000-0005-0000-0000-0000D96C0000}"/>
    <cellStyle name="Accent2 91 2" xfId="27858" xr:uid="{00000000-0005-0000-0000-0000DA6C0000}"/>
    <cellStyle name="Accent2 92" xfId="27859" xr:uid="{00000000-0005-0000-0000-0000DB6C0000}"/>
    <cellStyle name="Accent2 92 2" xfId="27860" xr:uid="{00000000-0005-0000-0000-0000DC6C0000}"/>
    <cellStyle name="Accent2 93" xfId="27861" xr:uid="{00000000-0005-0000-0000-0000DD6C0000}"/>
    <cellStyle name="Accent2 93 2" xfId="27862" xr:uid="{00000000-0005-0000-0000-0000DE6C0000}"/>
    <cellStyle name="Accent2 94" xfId="27863" xr:uid="{00000000-0005-0000-0000-0000DF6C0000}"/>
    <cellStyle name="Accent2 94 2" xfId="27864" xr:uid="{00000000-0005-0000-0000-0000E06C0000}"/>
    <cellStyle name="Accent2 95" xfId="27865" xr:uid="{00000000-0005-0000-0000-0000E16C0000}"/>
    <cellStyle name="Accent2 96" xfId="27866" xr:uid="{00000000-0005-0000-0000-0000E26C0000}"/>
    <cellStyle name="Accent2 97" xfId="27867" xr:uid="{00000000-0005-0000-0000-0000E36C0000}"/>
    <cellStyle name="Accent2 98" xfId="27868" xr:uid="{00000000-0005-0000-0000-0000E46C0000}"/>
    <cellStyle name="Accent2 99" xfId="27869" xr:uid="{00000000-0005-0000-0000-0000E56C0000}"/>
    <cellStyle name="Accent3" xfId="41025" builtinId="37" customBuiltin="1"/>
    <cellStyle name="Accent3 10" xfId="27870" xr:uid="{00000000-0005-0000-0000-0000E76C0000}"/>
    <cellStyle name="Accent3 10 2" xfId="27871" xr:uid="{00000000-0005-0000-0000-0000E86C0000}"/>
    <cellStyle name="Accent3 100" xfId="27872" xr:uid="{00000000-0005-0000-0000-0000E96C0000}"/>
    <cellStyle name="Accent3 101" xfId="27873" xr:uid="{00000000-0005-0000-0000-0000EA6C0000}"/>
    <cellStyle name="Accent3 102" xfId="27874" xr:uid="{00000000-0005-0000-0000-0000EB6C0000}"/>
    <cellStyle name="Accent3 103" xfId="27875" xr:uid="{00000000-0005-0000-0000-0000EC6C0000}"/>
    <cellStyle name="Accent3 104" xfId="27876" xr:uid="{00000000-0005-0000-0000-0000ED6C0000}"/>
    <cellStyle name="Accent3 105" xfId="27877" xr:uid="{00000000-0005-0000-0000-0000EE6C0000}"/>
    <cellStyle name="Accent3 106" xfId="27878" xr:uid="{00000000-0005-0000-0000-0000EF6C0000}"/>
    <cellStyle name="Accent3 107" xfId="27879" xr:uid="{00000000-0005-0000-0000-0000F06C0000}"/>
    <cellStyle name="Accent3 108" xfId="27880" xr:uid="{00000000-0005-0000-0000-0000F16C0000}"/>
    <cellStyle name="Accent3 109" xfId="27881" xr:uid="{00000000-0005-0000-0000-0000F26C0000}"/>
    <cellStyle name="Accent3 11" xfId="27882" xr:uid="{00000000-0005-0000-0000-0000F36C0000}"/>
    <cellStyle name="Accent3 11 2" xfId="27883" xr:uid="{00000000-0005-0000-0000-0000F46C0000}"/>
    <cellStyle name="Accent3 110" xfId="27884" xr:uid="{00000000-0005-0000-0000-0000F56C0000}"/>
    <cellStyle name="Accent3 111" xfId="27885" xr:uid="{00000000-0005-0000-0000-0000F66C0000}"/>
    <cellStyle name="Accent3 112" xfId="27886" xr:uid="{00000000-0005-0000-0000-0000F76C0000}"/>
    <cellStyle name="Accent3 113" xfId="27887" xr:uid="{00000000-0005-0000-0000-0000F86C0000}"/>
    <cellStyle name="Accent3 114" xfId="27888" xr:uid="{00000000-0005-0000-0000-0000F96C0000}"/>
    <cellStyle name="Accent3 115" xfId="27889" xr:uid="{00000000-0005-0000-0000-0000FA6C0000}"/>
    <cellStyle name="Accent3 116" xfId="27890" xr:uid="{00000000-0005-0000-0000-0000FB6C0000}"/>
    <cellStyle name="Accent3 117" xfId="27891" xr:uid="{00000000-0005-0000-0000-0000FC6C0000}"/>
    <cellStyle name="Accent3 118" xfId="27892" xr:uid="{00000000-0005-0000-0000-0000FD6C0000}"/>
    <cellStyle name="Accent3 119" xfId="27893" xr:uid="{00000000-0005-0000-0000-0000FE6C0000}"/>
    <cellStyle name="Accent3 12" xfId="27894" xr:uid="{00000000-0005-0000-0000-0000FF6C0000}"/>
    <cellStyle name="Accent3 12 2" xfId="27895" xr:uid="{00000000-0005-0000-0000-0000006D0000}"/>
    <cellStyle name="Accent3 120" xfId="27896" xr:uid="{00000000-0005-0000-0000-0000016D0000}"/>
    <cellStyle name="Accent3 121" xfId="27897" xr:uid="{00000000-0005-0000-0000-0000026D0000}"/>
    <cellStyle name="Accent3 122" xfId="27898" xr:uid="{00000000-0005-0000-0000-0000036D0000}"/>
    <cellStyle name="Accent3 123" xfId="27899" xr:uid="{00000000-0005-0000-0000-0000046D0000}"/>
    <cellStyle name="Accent3 124" xfId="27900" xr:uid="{00000000-0005-0000-0000-0000056D0000}"/>
    <cellStyle name="Accent3 125" xfId="27901" xr:uid="{00000000-0005-0000-0000-0000066D0000}"/>
    <cellStyle name="Accent3 126" xfId="27902" xr:uid="{00000000-0005-0000-0000-0000076D0000}"/>
    <cellStyle name="Accent3 127" xfId="27903" xr:uid="{00000000-0005-0000-0000-0000086D0000}"/>
    <cellStyle name="Accent3 128" xfId="27904" xr:uid="{00000000-0005-0000-0000-0000096D0000}"/>
    <cellStyle name="Accent3 129" xfId="27905" xr:uid="{00000000-0005-0000-0000-00000A6D0000}"/>
    <cellStyle name="Accent3 13" xfId="27906" xr:uid="{00000000-0005-0000-0000-00000B6D0000}"/>
    <cellStyle name="Accent3 13 2" xfId="27907" xr:uid="{00000000-0005-0000-0000-00000C6D0000}"/>
    <cellStyle name="Accent3 130" xfId="27908" xr:uid="{00000000-0005-0000-0000-00000D6D0000}"/>
    <cellStyle name="Accent3 131" xfId="27909" xr:uid="{00000000-0005-0000-0000-00000E6D0000}"/>
    <cellStyle name="Accent3 132" xfId="27910" xr:uid="{00000000-0005-0000-0000-00000F6D0000}"/>
    <cellStyle name="Accent3 133" xfId="27911" xr:uid="{00000000-0005-0000-0000-0000106D0000}"/>
    <cellStyle name="Accent3 14" xfId="27912" xr:uid="{00000000-0005-0000-0000-0000116D0000}"/>
    <cellStyle name="Accent3 14 2" xfId="27913" xr:uid="{00000000-0005-0000-0000-0000126D0000}"/>
    <cellStyle name="Accent3 15" xfId="27914" xr:uid="{00000000-0005-0000-0000-0000136D0000}"/>
    <cellStyle name="Accent3 15 2" xfId="27915" xr:uid="{00000000-0005-0000-0000-0000146D0000}"/>
    <cellStyle name="Accent3 16" xfId="27916" xr:uid="{00000000-0005-0000-0000-0000156D0000}"/>
    <cellStyle name="Accent3 16 2" xfId="27917" xr:uid="{00000000-0005-0000-0000-0000166D0000}"/>
    <cellStyle name="Accent3 17" xfId="27918" xr:uid="{00000000-0005-0000-0000-0000176D0000}"/>
    <cellStyle name="Accent3 17 2" xfId="27919" xr:uid="{00000000-0005-0000-0000-0000186D0000}"/>
    <cellStyle name="Accent3 18" xfId="27920" xr:uid="{00000000-0005-0000-0000-0000196D0000}"/>
    <cellStyle name="Accent3 18 2" xfId="27921" xr:uid="{00000000-0005-0000-0000-00001A6D0000}"/>
    <cellStyle name="Accent3 19" xfId="27922" xr:uid="{00000000-0005-0000-0000-00001B6D0000}"/>
    <cellStyle name="Accent3 19 2" xfId="27923" xr:uid="{00000000-0005-0000-0000-00001C6D0000}"/>
    <cellStyle name="Accent3 2" xfId="27924" xr:uid="{00000000-0005-0000-0000-00001D6D0000}"/>
    <cellStyle name="Accent3 2 2" xfId="27925" xr:uid="{00000000-0005-0000-0000-00001E6D0000}"/>
    <cellStyle name="Accent3 2 2 2" xfId="27926" xr:uid="{00000000-0005-0000-0000-00001F6D0000}"/>
    <cellStyle name="Accent3 2 2 2 2" xfId="27927" xr:uid="{00000000-0005-0000-0000-0000206D0000}"/>
    <cellStyle name="Accent3 2 2 2 2 2" xfId="27928" xr:uid="{00000000-0005-0000-0000-0000216D0000}"/>
    <cellStyle name="Accent3 2 3" xfId="27929" xr:uid="{00000000-0005-0000-0000-0000226D0000}"/>
    <cellStyle name="Accent3 2 4" xfId="27930" xr:uid="{00000000-0005-0000-0000-0000236D0000}"/>
    <cellStyle name="Accent3 2 5" xfId="41058" xr:uid="{00000000-0005-0000-0000-000014000000}"/>
    <cellStyle name="Accent3 20" xfId="27931" xr:uid="{00000000-0005-0000-0000-0000246D0000}"/>
    <cellStyle name="Accent3 20 2" xfId="27932" xr:uid="{00000000-0005-0000-0000-0000256D0000}"/>
    <cellStyle name="Accent3 21" xfId="27933" xr:uid="{00000000-0005-0000-0000-0000266D0000}"/>
    <cellStyle name="Accent3 21 2" xfId="27934" xr:uid="{00000000-0005-0000-0000-0000276D0000}"/>
    <cellStyle name="Accent3 22" xfId="27935" xr:uid="{00000000-0005-0000-0000-0000286D0000}"/>
    <cellStyle name="Accent3 22 2" xfId="27936" xr:uid="{00000000-0005-0000-0000-0000296D0000}"/>
    <cellStyle name="Accent3 23" xfId="27937" xr:uid="{00000000-0005-0000-0000-00002A6D0000}"/>
    <cellStyle name="Accent3 23 2" xfId="27938" xr:uid="{00000000-0005-0000-0000-00002B6D0000}"/>
    <cellStyle name="Accent3 24" xfId="27939" xr:uid="{00000000-0005-0000-0000-00002C6D0000}"/>
    <cellStyle name="Accent3 24 2" xfId="27940" xr:uid="{00000000-0005-0000-0000-00002D6D0000}"/>
    <cellStyle name="Accent3 25" xfId="27941" xr:uid="{00000000-0005-0000-0000-00002E6D0000}"/>
    <cellStyle name="Accent3 25 2" xfId="27942" xr:uid="{00000000-0005-0000-0000-00002F6D0000}"/>
    <cellStyle name="Accent3 26" xfId="27943" xr:uid="{00000000-0005-0000-0000-0000306D0000}"/>
    <cellStyle name="Accent3 26 2" xfId="27944" xr:uid="{00000000-0005-0000-0000-0000316D0000}"/>
    <cellStyle name="Accent3 27" xfId="27945" xr:uid="{00000000-0005-0000-0000-0000326D0000}"/>
    <cellStyle name="Accent3 27 2" xfId="27946" xr:uid="{00000000-0005-0000-0000-0000336D0000}"/>
    <cellStyle name="Accent3 28" xfId="27947" xr:uid="{00000000-0005-0000-0000-0000346D0000}"/>
    <cellStyle name="Accent3 28 2" xfId="27948" xr:uid="{00000000-0005-0000-0000-0000356D0000}"/>
    <cellStyle name="Accent3 29" xfId="27949" xr:uid="{00000000-0005-0000-0000-0000366D0000}"/>
    <cellStyle name="Accent3 29 2" xfId="27950" xr:uid="{00000000-0005-0000-0000-0000376D0000}"/>
    <cellStyle name="Accent3 3" xfId="27951" xr:uid="{00000000-0005-0000-0000-0000386D0000}"/>
    <cellStyle name="Accent3 3 2" xfId="27952" xr:uid="{00000000-0005-0000-0000-0000396D0000}"/>
    <cellStyle name="Accent3 3 2 2" xfId="27953" xr:uid="{00000000-0005-0000-0000-00003A6D0000}"/>
    <cellStyle name="Accent3 3 3" xfId="27954" xr:uid="{00000000-0005-0000-0000-00003B6D0000}"/>
    <cellStyle name="Accent3 3 4" xfId="27955" xr:uid="{00000000-0005-0000-0000-00003C6D0000}"/>
    <cellStyle name="Accent3 3_MAR 2009" xfId="27956" xr:uid="{00000000-0005-0000-0000-00003D6D0000}"/>
    <cellStyle name="Accent3 30" xfId="27957" xr:uid="{00000000-0005-0000-0000-00003E6D0000}"/>
    <cellStyle name="Accent3 30 2" xfId="27958" xr:uid="{00000000-0005-0000-0000-00003F6D0000}"/>
    <cellStyle name="Accent3 31" xfId="27959" xr:uid="{00000000-0005-0000-0000-0000406D0000}"/>
    <cellStyle name="Accent3 31 2" xfId="27960" xr:uid="{00000000-0005-0000-0000-0000416D0000}"/>
    <cellStyle name="Accent3 32" xfId="27961" xr:uid="{00000000-0005-0000-0000-0000426D0000}"/>
    <cellStyle name="Accent3 32 2" xfId="27962" xr:uid="{00000000-0005-0000-0000-0000436D0000}"/>
    <cellStyle name="Accent3 33" xfId="27963" xr:uid="{00000000-0005-0000-0000-0000446D0000}"/>
    <cellStyle name="Accent3 33 2" xfId="27964" xr:uid="{00000000-0005-0000-0000-0000456D0000}"/>
    <cellStyle name="Accent3 34" xfId="27965" xr:uid="{00000000-0005-0000-0000-0000466D0000}"/>
    <cellStyle name="Accent3 34 2" xfId="27966" xr:uid="{00000000-0005-0000-0000-0000476D0000}"/>
    <cellStyle name="Accent3 35" xfId="27967" xr:uid="{00000000-0005-0000-0000-0000486D0000}"/>
    <cellStyle name="Accent3 35 2" xfId="27968" xr:uid="{00000000-0005-0000-0000-0000496D0000}"/>
    <cellStyle name="Accent3 36" xfId="27969" xr:uid="{00000000-0005-0000-0000-00004A6D0000}"/>
    <cellStyle name="Accent3 36 2" xfId="27970" xr:uid="{00000000-0005-0000-0000-00004B6D0000}"/>
    <cellStyle name="Accent3 37" xfId="27971" xr:uid="{00000000-0005-0000-0000-00004C6D0000}"/>
    <cellStyle name="Accent3 37 2" xfId="27972" xr:uid="{00000000-0005-0000-0000-00004D6D0000}"/>
    <cellStyle name="Accent3 38" xfId="27973" xr:uid="{00000000-0005-0000-0000-00004E6D0000}"/>
    <cellStyle name="Accent3 38 2" xfId="27974" xr:uid="{00000000-0005-0000-0000-00004F6D0000}"/>
    <cellStyle name="Accent3 39" xfId="27975" xr:uid="{00000000-0005-0000-0000-0000506D0000}"/>
    <cellStyle name="Accent3 39 2" xfId="27976" xr:uid="{00000000-0005-0000-0000-0000516D0000}"/>
    <cellStyle name="Accent3 4" xfId="27977" xr:uid="{00000000-0005-0000-0000-0000526D0000}"/>
    <cellStyle name="Accent3 4 2" xfId="27978" xr:uid="{00000000-0005-0000-0000-0000536D0000}"/>
    <cellStyle name="Accent3 4 2 2" xfId="27979" xr:uid="{00000000-0005-0000-0000-0000546D0000}"/>
    <cellStyle name="Accent3 4 3" xfId="27980" xr:uid="{00000000-0005-0000-0000-0000556D0000}"/>
    <cellStyle name="Accent3 40" xfId="27981" xr:uid="{00000000-0005-0000-0000-0000566D0000}"/>
    <cellStyle name="Accent3 40 2" xfId="27982" xr:uid="{00000000-0005-0000-0000-0000576D0000}"/>
    <cellStyle name="Accent3 41" xfId="27983" xr:uid="{00000000-0005-0000-0000-0000586D0000}"/>
    <cellStyle name="Accent3 41 2" xfId="27984" xr:uid="{00000000-0005-0000-0000-0000596D0000}"/>
    <cellStyle name="Accent3 42" xfId="27985" xr:uid="{00000000-0005-0000-0000-00005A6D0000}"/>
    <cellStyle name="Accent3 42 2" xfId="27986" xr:uid="{00000000-0005-0000-0000-00005B6D0000}"/>
    <cellStyle name="Accent3 43" xfId="27987" xr:uid="{00000000-0005-0000-0000-00005C6D0000}"/>
    <cellStyle name="Accent3 43 2" xfId="27988" xr:uid="{00000000-0005-0000-0000-00005D6D0000}"/>
    <cellStyle name="Accent3 44" xfId="27989" xr:uid="{00000000-0005-0000-0000-00005E6D0000}"/>
    <cellStyle name="Accent3 44 2" xfId="27990" xr:uid="{00000000-0005-0000-0000-00005F6D0000}"/>
    <cellStyle name="Accent3 45" xfId="27991" xr:uid="{00000000-0005-0000-0000-0000606D0000}"/>
    <cellStyle name="Accent3 45 2" xfId="27992" xr:uid="{00000000-0005-0000-0000-0000616D0000}"/>
    <cellStyle name="Accent3 46" xfId="27993" xr:uid="{00000000-0005-0000-0000-0000626D0000}"/>
    <cellStyle name="Accent3 46 2" xfId="27994" xr:uid="{00000000-0005-0000-0000-0000636D0000}"/>
    <cellStyle name="Accent3 47" xfId="27995" xr:uid="{00000000-0005-0000-0000-0000646D0000}"/>
    <cellStyle name="Accent3 47 2" xfId="27996" xr:uid="{00000000-0005-0000-0000-0000656D0000}"/>
    <cellStyle name="Accent3 48" xfId="27997" xr:uid="{00000000-0005-0000-0000-0000666D0000}"/>
    <cellStyle name="Accent3 48 2" xfId="27998" xr:uid="{00000000-0005-0000-0000-0000676D0000}"/>
    <cellStyle name="Accent3 49" xfId="27999" xr:uid="{00000000-0005-0000-0000-0000686D0000}"/>
    <cellStyle name="Accent3 49 2" xfId="28000" xr:uid="{00000000-0005-0000-0000-0000696D0000}"/>
    <cellStyle name="Accent3 5" xfId="28001" xr:uid="{00000000-0005-0000-0000-00006A6D0000}"/>
    <cellStyle name="Accent3 5 2" xfId="28002" xr:uid="{00000000-0005-0000-0000-00006B6D0000}"/>
    <cellStyle name="Accent3 5 2 2" xfId="28003" xr:uid="{00000000-0005-0000-0000-00006C6D0000}"/>
    <cellStyle name="Accent3 5 3" xfId="28004" xr:uid="{00000000-0005-0000-0000-00006D6D0000}"/>
    <cellStyle name="Accent3 50" xfId="28005" xr:uid="{00000000-0005-0000-0000-00006E6D0000}"/>
    <cellStyle name="Accent3 50 2" xfId="28006" xr:uid="{00000000-0005-0000-0000-00006F6D0000}"/>
    <cellStyle name="Accent3 51" xfId="28007" xr:uid="{00000000-0005-0000-0000-0000706D0000}"/>
    <cellStyle name="Accent3 51 2" xfId="28008" xr:uid="{00000000-0005-0000-0000-0000716D0000}"/>
    <cellStyle name="Accent3 52" xfId="28009" xr:uid="{00000000-0005-0000-0000-0000726D0000}"/>
    <cellStyle name="Accent3 52 2" xfId="28010" xr:uid="{00000000-0005-0000-0000-0000736D0000}"/>
    <cellStyle name="Accent3 53" xfId="28011" xr:uid="{00000000-0005-0000-0000-0000746D0000}"/>
    <cellStyle name="Accent3 53 2" xfId="28012" xr:uid="{00000000-0005-0000-0000-0000756D0000}"/>
    <cellStyle name="Accent3 54" xfId="28013" xr:uid="{00000000-0005-0000-0000-0000766D0000}"/>
    <cellStyle name="Accent3 54 2" xfId="28014" xr:uid="{00000000-0005-0000-0000-0000776D0000}"/>
    <cellStyle name="Accent3 55" xfId="28015" xr:uid="{00000000-0005-0000-0000-0000786D0000}"/>
    <cellStyle name="Accent3 55 2" xfId="28016" xr:uid="{00000000-0005-0000-0000-0000796D0000}"/>
    <cellStyle name="Accent3 56" xfId="28017" xr:uid="{00000000-0005-0000-0000-00007A6D0000}"/>
    <cellStyle name="Accent3 56 2" xfId="28018" xr:uid="{00000000-0005-0000-0000-00007B6D0000}"/>
    <cellStyle name="Accent3 57" xfId="28019" xr:uid="{00000000-0005-0000-0000-00007C6D0000}"/>
    <cellStyle name="Accent3 57 2" xfId="28020" xr:uid="{00000000-0005-0000-0000-00007D6D0000}"/>
    <cellStyle name="Accent3 58" xfId="28021" xr:uid="{00000000-0005-0000-0000-00007E6D0000}"/>
    <cellStyle name="Accent3 58 2" xfId="28022" xr:uid="{00000000-0005-0000-0000-00007F6D0000}"/>
    <cellStyle name="Accent3 59" xfId="28023" xr:uid="{00000000-0005-0000-0000-0000806D0000}"/>
    <cellStyle name="Accent3 6" xfId="28024" xr:uid="{00000000-0005-0000-0000-0000816D0000}"/>
    <cellStyle name="Accent3 6 2" xfId="28025" xr:uid="{00000000-0005-0000-0000-0000826D0000}"/>
    <cellStyle name="Accent3 6 3" xfId="28026" xr:uid="{00000000-0005-0000-0000-0000836D0000}"/>
    <cellStyle name="Accent3 60" xfId="28027" xr:uid="{00000000-0005-0000-0000-0000846D0000}"/>
    <cellStyle name="Accent3 61" xfId="28028" xr:uid="{00000000-0005-0000-0000-0000856D0000}"/>
    <cellStyle name="Accent3 62" xfId="28029" xr:uid="{00000000-0005-0000-0000-0000866D0000}"/>
    <cellStyle name="Accent3 63" xfId="28030" xr:uid="{00000000-0005-0000-0000-0000876D0000}"/>
    <cellStyle name="Accent3 63 2" xfId="28031" xr:uid="{00000000-0005-0000-0000-0000886D0000}"/>
    <cellStyle name="Accent3 64" xfId="28032" xr:uid="{00000000-0005-0000-0000-0000896D0000}"/>
    <cellStyle name="Accent3 64 2" xfId="28033" xr:uid="{00000000-0005-0000-0000-00008A6D0000}"/>
    <cellStyle name="Accent3 65" xfId="28034" xr:uid="{00000000-0005-0000-0000-00008B6D0000}"/>
    <cellStyle name="Accent3 65 2" xfId="28035" xr:uid="{00000000-0005-0000-0000-00008C6D0000}"/>
    <cellStyle name="Accent3 66" xfId="28036" xr:uid="{00000000-0005-0000-0000-00008D6D0000}"/>
    <cellStyle name="Accent3 66 2" xfId="28037" xr:uid="{00000000-0005-0000-0000-00008E6D0000}"/>
    <cellStyle name="Accent3 67" xfId="28038" xr:uid="{00000000-0005-0000-0000-00008F6D0000}"/>
    <cellStyle name="Accent3 67 2" xfId="28039" xr:uid="{00000000-0005-0000-0000-0000906D0000}"/>
    <cellStyle name="Accent3 68" xfId="28040" xr:uid="{00000000-0005-0000-0000-0000916D0000}"/>
    <cellStyle name="Accent3 68 2" xfId="28041" xr:uid="{00000000-0005-0000-0000-0000926D0000}"/>
    <cellStyle name="Accent3 69" xfId="28042" xr:uid="{00000000-0005-0000-0000-0000936D0000}"/>
    <cellStyle name="Accent3 69 2" xfId="28043" xr:uid="{00000000-0005-0000-0000-0000946D0000}"/>
    <cellStyle name="Accent3 7" xfId="28044" xr:uid="{00000000-0005-0000-0000-0000956D0000}"/>
    <cellStyle name="Accent3 7 2" xfId="28045" xr:uid="{00000000-0005-0000-0000-0000966D0000}"/>
    <cellStyle name="Accent3 70" xfId="28046" xr:uid="{00000000-0005-0000-0000-0000976D0000}"/>
    <cellStyle name="Accent3 70 2" xfId="28047" xr:uid="{00000000-0005-0000-0000-0000986D0000}"/>
    <cellStyle name="Accent3 71" xfId="28048" xr:uid="{00000000-0005-0000-0000-0000996D0000}"/>
    <cellStyle name="Accent3 71 2" xfId="28049" xr:uid="{00000000-0005-0000-0000-00009A6D0000}"/>
    <cellStyle name="Accent3 72" xfId="28050" xr:uid="{00000000-0005-0000-0000-00009B6D0000}"/>
    <cellStyle name="Accent3 72 2" xfId="28051" xr:uid="{00000000-0005-0000-0000-00009C6D0000}"/>
    <cellStyle name="Accent3 73" xfId="28052" xr:uid="{00000000-0005-0000-0000-00009D6D0000}"/>
    <cellStyle name="Accent3 73 2" xfId="28053" xr:uid="{00000000-0005-0000-0000-00009E6D0000}"/>
    <cellStyle name="Accent3 74" xfId="28054" xr:uid="{00000000-0005-0000-0000-00009F6D0000}"/>
    <cellStyle name="Accent3 74 2" xfId="28055" xr:uid="{00000000-0005-0000-0000-0000A06D0000}"/>
    <cellStyle name="Accent3 75" xfId="28056" xr:uid="{00000000-0005-0000-0000-0000A16D0000}"/>
    <cellStyle name="Accent3 75 2" xfId="28057" xr:uid="{00000000-0005-0000-0000-0000A26D0000}"/>
    <cellStyle name="Accent3 76" xfId="28058" xr:uid="{00000000-0005-0000-0000-0000A36D0000}"/>
    <cellStyle name="Accent3 76 2" xfId="28059" xr:uid="{00000000-0005-0000-0000-0000A46D0000}"/>
    <cellStyle name="Accent3 77" xfId="28060" xr:uid="{00000000-0005-0000-0000-0000A56D0000}"/>
    <cellStyle name="Accent3 77 2" xfId="28061" xr:uid="{00000000-0005-0000-0000-0000A66D0000}"/>
    <cellStyle name="Accent3 78" xfId="28062" xr:uid="{00000000-0005-0000-0000-0000A76D0000}"/>
    <cellStyle name="Accent3 78 2" xfId="28063" xr:uid="{00000000-0005-0000-0000-0000A86D0000}"/>
    <cellStyle name="Accent3 79" xfId="28064" xr:uid="{00000000-0005-0000-0000-0000A96D0000}"/>
    <cellStyle name="Accent3 79 2" xfId="28065" xr:uid="{00000000-0005-0000-0000-0000AA6D0000}"/>
    <cellStyle name="Accent3 8" xfId="28066" xr:uid="{00000000-0005-0000-0000-0000AB6D0000}"/>
    <cellStyle name="Accent3 8 2" xfId="28067" xr:uid="{00000000-0005-0000-0000-0000AC6D0000}"/>
    <cellStyle name="Accent3 80" xfId="28068" xr:uid="{00000000-0005-0000-0000-0000AD6D0000}"/>
    <cellStyle name="Accent3 80 2" xfId="28069" xr:uid="{00000000-0005-0000-0000-0000AE6D0000}"/>
    <cellStyle name="Accent3 81" xfId="28070" xr:uid="{00000000-0005-0000-0000-0000AF6D0000}"/>
    <cellStyle name="Accent3 81 2" xfId="28071" xr:uid="{00000000-0005-0000-0000-0000B06D0000}"/>
    <cellStyle name="Accent3 82" xfId="28072" xr:uid="{00000000-0005-0000-0000-0000B16D0000}"/>
    <cellStyle name="Accent3 82 2" xfId="28073" xr:uid="{00000000-0005-0000-0000-0000B26D0000}"/>
    <cellStyle name="Accent3 83" xfId="28074" xr:uid="{00000000-0005-0000-0000-0000B36D0000}"/>
    <cellStyle name="Accent3 83 2" xfId="28075" xr:uid="{00000000-0005-0000-0000-0000B46D0000}"/>
    <cellStyle name="Accent3 84" xfId="28076" xr:uid="{00000000-0005-0000-0000-0000B56D0000}"/>
    <cellStyle name="Accent3 84 2" xfId="28077" xr:uid="{00000000-0005-0000-0000-0000B66D0000}"/>
    <cellStyle name="Accent3 85" xfId="28078" xr:uid="{00000000-0005-0000-0000-0000B76D0000}"/>
    <cellStyle name="Accent3 85 2" xfId="28079" xr:uid="{00000000-0005-0000-0000-0000B86D0000}"/>
    <cellStyle name="Accent3 86" xfId="28080" xr:uid="{00000000-0005-0000-0000-0000B96D0000}"/>
    <cellStyle name="Accent3 86 2" xfId="28081" xr:uid="{00000000-0005-0000-0000-0000BA6D0000}"/>
    <cellStyle name="Accent3 87" xfId="28082" xr:uid="{00000000-0005-0000-0000-0000BB6D0000}"/>
    <cellStyle name="Accent3 87 2" xfId="28083" xr:uid="{00000000-0005-0000-0000-0000BC6D0000}"/>
    <cellStyle name="Accent3 88" xfId="28084" xr:uid="{00000000-0005-0000-0000-0000BD6D0000}"/>
    <cellStyle name="Accent3 89" xfId="28085" xr:uid="{00000000-0005-0000-0000-0000BE6D0000}"/>
    <cellStyle name="Accent3 89 2" xfId="28086" xr:uid="{00000000-0005-0000-0000-0000BF6D0000}"/>
    <cellStyle name="Accent3 9" xfId="28087" xr:uid="{00000000-0005-0000-0000-0000C06D0000}"/>
    <cellStyle name="Accent3 9 2" xfId="28088" xr:uid="{00000000-0005-0000-0000-0000C16D0000}"/>
    <cellStyle name="Accent3 90" xfId="28089" xr:uid="{00000000-0005-0000-0000-0000C26D0000}"/>
    <cellStyle name="Accent3 90 2" xfId="28090" xr:uid="{00000000-0005-0000-0000-0000C36D0000}"/>
    <cellStyle name="Accent3 91" xfId="28091" xr:uid="{00000000-0005-0000-0000-0000C46D0000}"/>
    <cellStyle name="Accent3 91 2" xfId="28092" xr:uid="{00000000-0005-0000-0000-0000C56D0000}"/>
    <cellStyle name="Accent3 92" xfId="28093" xr:uid="{00000000-0005-0000-0000-0000C66D0000}"/>
    <cellStyle name="Accent3 92 2" xfId="28094" xr:uid="{00000000-0005-0000-0000-0000C76D0000}"/>
    <cellStyle name="Accent3 93" xfId="28095" xr:uid="{00000000-0005-0000-0000-0000C86D0000}"/>
    <cellStyle name="Accent3 93 2" xfId="28096" xr:uid="{00000000-0005-0000-0000-0000C96D0000}"/>
    <cellStyle name="Accent3 94" xfId="28097" xr:uid="{00000000-0005-0000-0000-0000CA6D0000}"/>
    <cellStyle name="Accent3 94 2" xfId="28098" xr:uid="{00000000-0005-0000-0000-0000CB6D0000}"/>
    <cellStyle name="Accent3 95" xfId="28099" xr:uid="{00000000-0005-0000-0000-0000CC6D0000}"/>
    <cellStyle name="Accent3 96" xfId="28100" xr:uid="{00000000-0005-0000-0000-0000CD6D0000}"/>
    <cellStyle name="Accent3 97" xfId="28101" xr:uid="{00000000-0005-0000-0000-0000CE6D0000}"/>
    <cellStyle name="Accent3 98" xfId="28102" xr:uid="{00000000-0005-0000-0000-0000CF6D0000}"/>
    <cellStyle name="Accent3 99" xfId="28103" xr:uid="{00000000-0005-0000-0000-0000D06D0000}"/>
    <cellStyle name="Accent4" xfId="41028" builtinId="41" customBuiltin="1"/>
    <cellStyle name="Accent4 10" xfId="28104" xr:uid="{00000000-0005-0000-0000-0000D26D0000}"/>
    <cellStyle name="Accent4 10 2" xfId="28105" xr:uid="{00000000-0005-0000-0000-0000D36D0000}"/>
    <cellStyle name="Accent4 100" xfId="28106" xr:uid="{00000000-0005-0000-0000-0000D46D0000}"/>
    <cellStyle name="Accent4 101" xfId="28107" xr:uid="{00000000-0005-0000-0000-0000D56D0000}"/>
    <cellStyle name="Accent4 102" xfId="28108" xr:uid="{00000000-0005-0000-0000-0000D66D0000}"/>
    <cellStyle name="Accent4 103" xfId="28109" xr:uid="{00000000-0005-0000-0000-0000D76D0000}"/>
    <cellStyle name="Accent4 104" xfId="28110" xr:uid="{00000000-0005-0000-0000-0000D86D0000}"/>
    <cellStyle name="Accent4 105" xfId="28111" xr:uid="{00000000-0005-0000-0000-0000D96D0000}"/>
    <cellStyle name="Accent4 106" xfId="28112" xr:uid="{00000000-0005-0000-0000-0000DA6D0000}"/>
    <cellStyle name="Accent4 107" xfId="28113" xr:uid="{00000000-0005-0000-0000-0000DB6D0000}"/>
    <cellStyle name="Accent4 108" xfId="28114" xr:uid="{00000000-0005-0000-0000-0000DC6D0000}"/>
    <cellStyle name="Accent4 109" xfId="28115" xr:uid="{00000000-0005-0000-0000-0000DD6D0000}"/>
    <cellStyle name="Accent4 11" xfId="28116" xr:uid="{00000000-0005-0000-0000-0000DE6D0000}"/>
    <cellStyle name="Accent4 11 2" xfId="28117" xr:uid="{00000000-0005-0000-0000-0000DF6D0000}"/>
    <cellStyle name="Accent4 110" xfId="28118" xr:uid="{00000000-0005-0000-0000-0000E06D0000}"/>
    <cellStyle name="Accent4 111" xfId="28119" xr:uid="{00000000-0005-0000-0000-0000E16D0000}"/>
    <cellStyle name="Accent4 112" xfId="28120" xr:uid="{00000000-0005-0000-0000-0000E26D0000}"/>
    <cellStyle name="Accent4 113" xfId="28121" xr:uid="{00000000-0005-0000-0000-0000E36D0000}"/>
    <cellStyle name="Accent4 114" xfId="28122" xr:uid="{00000000-0005-0000-0000-0000E46D0000}"/>
    <cellStyle name="Accent4 115" xfId="28123" xr:uid="{00000000-0005-0000-0000-0000E56D0000}"/>
    <cellStyle name="Accent4 116" xfId="28124" xr:uid="{00000000-0005-0000-0000-0000E66D0000}"/>
    <cellStyle name="Accent4 117" xfId="28125" xr:uid="{00000000-0005-0000-0000-0000E76D0000}"/>
    <cellStyle name="Accent4 118" xfId="28126" xr:uid="{00000000-0005-0000-0000-0000E86D0000}"/>
    <cellStyle name="Accent4 119" xfId="28127" xr:uid="{00000000-0005-0000-0000-0000E96D0000}"/>
    <cellStyle name="Accent4 12" xfId="28128" xr:uid="{00000000-0005-0000-0000-0000EA6D0000}"/>
    <cellStyle name="Accent4 12 2" xfId="28129" xr:uid="{00000000-0005-0000-0000-0000EB6D0000}"/>
    <cellStyle name="Accent4 120" xfId="28130" xr:uid="{00000000-0005-0000-0000-0000EC6D0000}"/>
    <cellStyle name="Accent4 121" xfId="28131" xr:uid="{00000000-0005-0000-0000-0000ED6D0000}"/>
    <cellStyle name="Accent4 122" xfId="28132" xr:uid="{00000000-0005-0000-0000-0000EE6D0000}"/>
    <cellStyle name="Accent4 123" xfId="28133" xr:uid="{00000000-0005-0000-0000-0000EF6D0000}"/>
    <cellStyle name="Accent4 124" xfId="28134" xr:uid="{00000000-0005-0000-0000-0000F06D0000}"/>
    <cellStyle name="Accent4 125" xfId="28135" xr:uid="{00000000-0005-0000-0000-0000F16D0000}"/>
    <cellStyle name="Accent4 126" xfId="28136" xr:uid="{00000000-0005-0000-0000-0000F26D0000}"/>
    <cellStyle name="Accent4 127" xfId="28137" xr:uid="{00000000-0005-0000-0000-0000F36D0000}"/>
    <cellStyle name="Accent4 128" xfId="28138" xr:uid="{00000000-0005-0000-0000-0000F46D0000}"/>
    <cellStyle name="Accent4 129" xfId="28139" xr:uid="{00000000-0005-0000-0000-0000F56D0000}"/>
    <cellStyle name="Accent4 13" xfId="28140" xr:uid="{00000000-0005-0000-0000-0000F66D0000}"/>
    <cellStyle name="Accent4 13 2" xfId="28141" xr:uid="{00000000-0005-0000-0000-0000F76D0000}"/>
    <cellStyle name="Accent4 130" xfId="28142" xr:uid="{00000000-0005-0000-0000-0000F86D0000}"/>
    <cellStyle name="Accent4 131" xfId="28143" xr:uid="{00000000-0005-0000-0000-0000F96D0000}"/>
    <cellStyle name="Accent4 132" xfId="28144" xr:uid="{00000000-0005-0000-0000-0000FA6D0000}"/>
    <cellStyle name="Accent4 133" xfId="28145" xr:uid="{00000000-0005-0000-0000-0000FB6D0000}"/>
    <cellStyle name="Accent4 14" xfId="28146" xr:uid="{00000000-0005-0000-0000-0000FC6D0000}"/>
    <cellStyle name="Accent4 14 2" xfId="28147" xr:uid="{00000000-0005-0000-0000-0000FD6D0000}"/>
    <cellStyle name="Accent4 15" xfId="28148" xr:uid="{00000000-0005-0000-0000-0000FE6D0000}"/>
    <cellStyle name="Accent4 15 2" xfId="28149" xr:uid="{00000000-0005-0000-0000-0000FF6D0000}"/>
    <cellStyle name="Accent4 16" xfId="28150" xr:uid="{00000000-0005-0000-0000-0000006E0000}"/>
    <cellStyle name="Accent4 16 2" xfId="28151" xr:uid="{00000000-0005-0000-0000-0000016E0000}"/>
    <cellStyle name="Accent4 17" xfId="28152" xr:uid="{00000000-0005-0000-0000-0000026E0000}"/>
    <cellStyle name="Accent4 17 2" xfId="28153" xr:uid="{00000000-0005-0000-0000-0000036E0000}"/>
    <cellStyle name="Accent4 18" xfId="28154" xr:uid="{00000000-0005-0000-0000-0000046E0000}"/>
    <cellStyle name="Accent4 18 2" xfId="28155" xr:uid="{00000000-0005-0000-0000-0000056E0000}"/>
    <cellStyle name="Accent4 19" xfId="28156" xr:uid="{00000000-0005-0000-0000-0000066E0000}"/>
    <cellStyle name="Accent4 19 2" xfId="28157" xr:uid="{00000000-0005-0000-0000-0000076E0000}"/>
    <cellStyle name="Accent4 2" xfId="28158" xr:uid="{00000000-0005-0000-0000-0000086E0000}"/>
    <cellStyle name="Accent4 2 2" xfId="28159" xr:uid="{00000000-0005-0000-0000-0000096E0000}"/>
    <cellStyle name="Accent4 2 2 2" xfId="28160" xr:uid="{00000000-0005-0000-0000-00000A6E0000}"/>
    <cellStyle name="Accent4 2 2 2 2" xfId="28161" xr:uid="{00000000-0005-0000-0000-00000B6E0000}"/>
    <cellStyle name="Accent4 2 2 2 2 2" xfId="28162" xr:uid="{00000000-0005-0000-0000-00000C6E0000}"/>
    <cellStyle name="Accent4 2 3" xfId="28163" xr:uid="{00000000-0005-0000-0000-00000D6E0000}"/>
    <cellStyle name="Accent4 2 4" xfId="28164" xr:uid="{00000000-0005-0000-0000-00000E6E0000}"/>
    <cellStyle name="Accent4 20" xfId="28165" xr:uid="{00000000-0005-0000-0000-00000F6E0000}"/>
    <cellStyle name="Accent4 20 2" xfId="28166" xr:uid="{00000000-0005-0000-0000-0000106E0000}"/>
    <cellStyle name="Accent4 21" xfId="28167" xr:uid="{00000000-0005-0000-0000-0000116E0000}"/>
    <cellStyle name="Accent4 21 2" xfId="28168" xr:uid="{00000000-0005-0000-0000-0000126E0000}"/>
    <cellStyle name="Accent4 22" xfId="28169" xr:uid="{00000000-0005-0000-0000-0000136E0000}"/>
    <cellStyle name="Accent4 22 2" xfId="28170" xr:uid="{00000000-0005-0000-0000-0000146E0000}"/>
    <cellStyle name="Accent4 23" xfId="28171" xr:uid="{00000000-0005-0000-0000-0000156E0000}"/>
    <cellStyle name="Accent4 23 2" xfId="28172" xr:uid="{00000000-0005-0000-0000-0000166E0000}"/>
    <cellStyle name="Accent4 24" xfId="28173" xr:uid="{00000000-0005-0000-0000-0000176E0000}"/>
    <cellStyle name="Accent4 24 2" xfId="28174" xr:uid="{00000000-0005-0000-0000-0000186E0000}"/>
    <cellStyle name="Accent4 25" xfId="28175" xr:uid="{00000000-0005-0000-0000-0000196E0000}"/>
    <cellStyle name="Accent4 25 2" xfId="28176" xr:uid="{00000000-0005-0000-0000-00001A6E0000}"/>
    <cellStyle name="Accent4 26" xfId="28177" xr:uid="{00000000-0005-0000-0000-00001B6E0000}"/>
    <cellStyle name="Accent4 26 2" xfId="28178" xr:uid="{00000000-0005-0000-0000-00001C6E0000}"/>
    <cellStyle name="Accent4 27" xfId="28179" xr:uid="{00000000-0005-0000-0000-00001D6E0000}"/>
    <cellStyle name="Accent4 27 2" xfId="28180" xr:uid="{00000000-0005-0000-0000-00001E6E0000}"/>
    <cellStyle name="Accent4 28" xfId="28181" xr:uid="{00000000-0005-0000-0000-00001F6E0000}"/>
    <cellStyle name="Accent4 28 2" xfId="28182" xr:uid="{00000000-0005-0000-0000-0000206E0000}"/>
    <cellStyle name="Accent4 29" xfId="28183" xr:uid="{00000000-0005-0000-0000-0000216E0000}"/>
    <cellStyle name="Accent4 29 2" xfId="28184" xr:uid="{00000000-0005-0000-0000-0000226E0000}"/>
    <cellStyle name="Accent4 3" xfId="28185" xr:uid="{00000000-0005-0000-0000-0000236E0000}"/>
    <cellStyle name="Accent4 3 2" xfId="28186" xr:uid="{00000000-0005-0000-0000-0000246E0000}"/>
    <cellStyle name="Accent4 3 2 2" xfId="28187" xr:uid="{00000000-0005-0000-0000-0000256E0000}"/>
    <cellStyle name="Accent4 3 3" xfId="28188" xr:uid="{00000000-0005-0000-0000-0000266E0000}"/>
    <cellStyle name="Accent4 3_MAR 2009" xfId="28189" xr:uid="{00000000-0005-0000-0000-0000276E0000}"/>
    <cellStyle name="Accent4 30" xfId="28190" xr:uid="{00000000-0005-0000-0000-0000286E0000}"/>
    <cellStyle name="Accent4 30 2" xfId="28191" xr:uid="{00000000-0005-0000-0000-0000296E0000}"/>
    <cellStyle name="Accent4 31" xfId="28192" xr:uid="{00000000-0005-0000-0000-00002A6E0000}"/>
    <cellStyle name="Accent4 31 2" xfId="28193" xr:uid="{00000000-0005-0000-0000-00002B6E0000}"/>
    <cellStyle name="Accent4 32" xfId="28194" xr:uid="{00000000-0005-0000-0000-00002C6E0000}"/>
    <cellStyle name="Accent4 32 2" xfId="28195" xr:uid="{00000000-0005-0000-0000-00002D6E0000}"/>
    <cellStyle name="Accent4 33" xfId="28196" xr:uid="{00000000-0005-0000-0000-00002E6E0000}"/>
    <cellStyle name="Accent4 33 2" xfId="28197" xr:uid="{00000000-0005-0000-0000-00002F6E0000}"/>
    <cellStyle name="Accent4 34" xfId="28198" xr:uid="{00000000-0005-0000-0000-0000306E0000}"/>
    <cellStyle name="Accent4 35" xfId="28199" xr:uid="{00000000-0005-0000-0000-0000316E0000}"/>
    <cellStyle name="Accent4 35 2" xfId="28200" xr:uid="{00000000-0005-0000-0000-0000326E0000}"/>
    <cellStyle name="Accent4 36" xfId="28201" xr:uid="{00000000-0005-0000-0000-0000336E0000}"/>
    <cellStyle name="Accent4 36 2" xfId="28202" xr:uid="{00000000-0005-0000-0000-0000346E0000}"/>
    <cellStyle name="Accent4 37" xfId="28203" xr:uid="{00000000-0005-0000-0000-0000356E0000}"/>
    <cellStyle name="Accent4 37 2" xfId="28204" xr:uid="{00000000-0005-0000-0000-0000366E0000}"/>
    <cellStyle name="Accent4 38" xfId="28205" xr:uid="{00000000-0005-0000-0000-0000376E0000}"/>
    <cellStyle name="Accent4 38 2" xfId="28206" xr:uid="{00000000-0005-0000-0000-0000386E0000}"/>
    <cellStyle name="Accent4 39" xfId="28207" xr:uid="{00000000-0005-0000-0000-0000396E0000}"/>
    <cellStyle name="Accent4 39 2" xfId="28208" xr:uid="{00000000-0005-0000-0000-00003A6E0000}"/>
    <cellStyle name="Accent4 4" xfId="28209" xr:uid="{00000000-0005-0000-0000-00003B6E0000}"/>
    <cellStyle name="Accent4 4 2" xfId="28210" xr:uid="{00000000-0005-0000-0000-00003C6E0000}"/>
    <cellStyle name="Accent4 4 2 2" xfId="28211" xr:uid="{00000000-0005-0000-0000-00003D6E0000}"/>
    <cellStyle name="Accent4 40" xfId="28212" xr:uid="{00000000-0005-0000-0000-00003E6E0000}"/>
    <cellStyle name="Accent4 40 2" xfId="28213" xr:uid="{00000000-0005-0000-0000-00003F6E0000}"/>
    <cellStyle name="Accent4 41" xfId="28214" xr:uid="{00000000-0005-0000-0000-0000406E0000}"/>
    <cellStyle name="Accent4 41 2" xfId="28215" xr:uid="{00000000-0005-0000-0000-0000416E0000}"/>
    <cellStyle name="Accent4 42" xfId="28216" xr:uid="{00000000-0005-0000-0000-0000426E0000}"/>
    <cellStyle name="Accent4 42 2" xfId="28217" xr:uid="{00000000-0005-0000-0000-0000436E0000}"/>
    <cellStyle name="Accent4 43" xfId="28218" xr:uid="{00000000-0005-0000-0000-0000446E0000}"/>
    <cellStyle name="Accent4 43 2" xfId="28219" xr:uid="{00000000-0005-0000-0000-0000456E0000}"/>
    <cellStyle name="Accent4 44" xfId="28220" xr:uid="{00000000-0005-0000-0000-0000466E0000}"/>
    <cellStyle name="Accent4 44 2" xfId="28221" xr:uid="{00000000-0005-0000-0000-0000476E0000}"/>
    <cellStyle name="Accent4 45" xfId="28222" xr:uid="{00000000-0005-0000-0000-0000486E0000}"/>
    <cellStyle name="Accent4 45 2" xfId="28223" xr:uid="{00000000-0005-0000-0000-0000496E0000}"/>
    <cellStyle name="Accent4 46" xfId="28224" xr:uid="{00000000-0005-0000-0000-00004A6E0000}"/>
    <cellStyle name="Accent4 46 2" xfId="28225" xr:uid="{00000000-0005-0000-0000-00004B6E0000}"/>
    <cellStyle name="Accent4 47" xfId="28226" xr:uid="{00000000-0005-0000-0000-00004C6E0000}"/>
    <cellStyle name="Accent4 47 2" xfId="28227" xr:uid="{00000000-0005-0000-0000-00004D6E0000}"/>
    <cellStyle name="Accent4 48" xfId="28228" xr:uid="{00000000-0005-0000-0000-00004E6E0000}"/>
    <cellStyle name="Accent4 48 2" xfId="28229" xr:uid="{00000000-0005-0000-0000-00004F6E0000}"/>
    <cellStyle name="Accent4 49" xfId="28230" xr:uid="{00000000-0005-0000-0000-0000506E0000}"/>
    <cellStyle name="Accent4 49 2" xfId="28231" xr:uid="{00000000-0005-0000-0000-0000516E0000}"/>
    <cellStyle name="Accent4 5" xfId="28232" xr:uid="{00000000-0005-0000-0000-0000526E0000}"/>
    <cellStyle name="Accent4 5 2" xfId="28233" xr:uid="{00000000-0005-0000-0000-0000536E0000}"/>
    <cellStyle name="Accent4 5 2 2" xfId="28234" xr:uid="{00000000-0005-0000-0000-0000546E0000}"/>
    <cellStyle name="Accent4 50" xfId="28235" xr:uid="{00000000-0005-0000-0000-0000556E0000}"/>
    <cellStyle name="Accent4 50 2" xfId="28236" xr:uid="{00000000-0005-0000-0000-0000566E0000}"/>
    <cellStyle name="Accent4 51" xfId="28237" xr:uid="{00000000-0005-0000-0000-0000576E0000}"/>
    <cellStyle name="Accent4 51 2" xfId="28238" xr:uid="{00000000-0005-0000-0000-0000586E0000}"/>
    <cellStyle name="Accent4 52" xfId="28239" xr:uid="{00000000-0005-0000-0000-0000596E0000}"/>
    <cellStyle name="Accent4 53" xfId="28240" xr:uid="{00000000-0005-0000-0000-00005A6E0000}"/>
    <cellStyle name="Accent4 54" xfId="28241" xr:uid="{00000000-0005-0000-0000-00005B6E0000}"/>
    <cellStyle name="Accent4 55" xfId="28242" xr:uid="{00000000-0005-0000-0000-00005C6E0000}"/>
    <cellStyle name="Accent4 56" xfId="28243" xr:uid="{00000000-0005-0000-0000-00005D6E0000}"/>
    <cellStyle name="Accent4 57" xfId="28244" xr:uid="{00000000-0005-0000-0000-00005E6E0000}"/>
    <cellStyle name="Accent4 58" xfId="28245" xr:uid="{00000000-0005-0000-0000-00005F6E0000}"/>
    <cellStyle name="Accent4 59" xfId="28246" xr:uid="{00000000-0005-0000-0000-0000606E0000}"/>
    <cellStyle name="Accent4 6" xfId="28247" xr:uid="{00000000-0005-0000-0000-0000616E0000}"/>
    <cellStyle name="Accent4 6 2" xfId="28248" xr:uid="{00000000-0005-0000-0000-0000626E0000}"/>
    <cellStyle name="Accent4 60" xfId="28249" xr:uid="{00000000-0005-0000-0000-0000636E0000}"/>
    <cellStyle name="Accent4 61" xfId="28250" xr:uid="{00000000-0005-0000-0000-0000646E0000}"/>
    <cellStyle name="Accent4 62" xfId="28251" xr:uid="{00000000-0005-0000-0000-0000656E0000}"/>
    <cellStyle name="Accent4 63" xfId="28252" xr:uid="{00000000-0005-0000-0000-0000666E0000}"/>
    <cellStyle name="Accent4 63 2" xfId="28253" xr:uid="{00000000-0005-0000-0000-0000676E0000}"/>
    <cellStyle name="Accent4 64" xfId="28254" xr:uid="{00000000-0005-0000-0000-0000686E0000}"/>
    <cellStyle name="Accent4 64 2" xfId="28255" xr:uid="{00000000-0005-0000-0000-0000696E0000}"/>
    <cellStyle name="Accent4 65" xfId="28256" xr:uid="{00000000-0005-0000-0000-00006A6E0000}"/>
    <cellStyle name="Accent4 65 2" xfId="28257" xr:uid="{00000000-0005-0000-0000-00006B6E0000}"/>
    <cellStyle name="Accent4 66" xfId="28258" xr:uid="{00000000-0005-0000-0000-00006C6E0000}"/>
    <cellStyle name="Accent4 66 2" xfId="28259" xr:uid="{00000000-0005-0000-0000-00006D6E0000}"/>
    <cellStyle name="Accent4 67" xfId="28260" xr:uid="{00000000-0005-0000-0000-00006E6E0000}"/>
    <cellStyle name="Accent4 67 2" xfId="28261" xr:uid="{00000000-0005-0000-0000-00006F6E0000}"/>
    <cellStyle name="Accent4 68" xfId="28262" xr:uid="{00000000-0005-0000-0000-0000706E0000}"/>
    <cellStyle name="Accent4 68 2" xfId="28263" xr:uid="{00000000-0005-0000-0000-0000716E0000}"/>
    <cellStyle name="Accent4 69" xfId="28264" xr:uid="{00000000-0005-0000-0000-0000726E0000}"/>
    <cellStyle name="Accent4 69 2" xfId="28265" xr:uid="{00000000-0005-0000-0000-0000736E0000}"/>
    <cellStyle name="Accent4 7" xfId="28266" xr:uid="{00000000-0005-0000-0000-0000746E0000}"/>
    <cellStyle name="Accent4 7 2" xfId="28267" xr:uid="{00000000-0005-0000-0000-0000756E0000}"/>
    <cellStyle name="Accent4 70" xfId="28268" xr:uid="{00000000-0005-0000-0000-0000766E0000}"/>
    <cellStyle name="Accent4 70 2" xfId="28269" xr:uid="{00000000-0005-0000-0000-0000776E0000}"/>
    <cellStyle name="Accent4 71" xfId="28270" xr:uid="{00000000-0005-0000-0000-0000786E0000}"/>
    <cellStyle name="Accent4 71 2" xfId="28271" xr:uid="{00000000-0005-0000-0000-0000796E0000}"/>
    <cellStyle name="Accent4 72" xfId="28272" xr:uid="{00000000-0005-0000-0000-00007A6E0000}"/>
    <cellStyle name="Accent4 72 2" xfId="28273" xr:uid="{00000000-0005-0000-0000-00007B6E0000}"/>
    <cellStyle name="Accent4 73" xfId="28274" xr:uid="{00000000-0005-0000-0000-00007C6E0000}"/>
    <cellStyle name="Accent4 73 2" xfId="28275" xr:uid="{00000000-0005-0000-0000-00007D6E0000}"/>
    <cellStyle name="Accent4 74" xfId="28276" xr:uid="{00000000-0005-0000-0000-00007E6E0000}"/>
    <cellStyle name="Accent4 74 2" xfId="28277" xr:uid="{00000000-0005-0000-0000-00007F6E0000}"/>
    <cellStyle name="Accent4 75" xfId="28278" xr:uid="{00000000-0005-0000-0000-0000806E0000}"/>
    <cellStyle name="Accent4 75 2" xfId="28279" xr:uid="{00000000-0005-0000-0000-0000816E0000}"/>
    <cellStyle name="Accent4 76" xfId="28280" xr:uid="{00000000-0005-0000-0000-0000826E0000}"/>
    <cellStyle name="Accent4 76 2" xfId="28281" xr:uid="{00000000-0005-0000-0000-0000836E0000}"/>
    <cellStyle name="Accent4 77" xfId="28282" xr:uid="{00000000-0005-0000-0000-0000846E0000}"/>
    <cellStyle name="Accent4 77 2" xfId="28283" xr:uid="{00000000-0005-0000-0000-0000856E0000}"/>
    <cellStyle name="Accent4 78" xfId="28284" xr:uid="{00000000-0005-0000-0000-0000866E0000}"/>
    <cellStyle name="Accent4 78 2" xfId="28285" xr:uid="{00000000-0005-0000-0000-0000876E0000}"/>
    <cellStyle name="Accent4 79" xfId="28286" xr:uid="{00000000-0005-0000-0000-0000886E0000}"/>
    <cellStyle name="Accent4 79 2" xfId="28287" xr:uid="{00000000-0005-0000-0000-0000896E0000}"/>
    <cellStyle name="Accent4 8" xfId="28288" xr:uid="{00000000-0005-0000-0000-00008A6E0000}"/>
    <cellStyle name="Accent4 80" xfId="28289" xr:uid="{00000000-0005-0000-0000-00008B6E0000}"/>
    <cellStyle name="Accent4 80 2" xfId="28290" xr:uid="{00000000-0005-0000-0000-00008C6E0000}"/>
    <cellStyle name="Accent4 81" xfId="28291" xr:uid="{00000000-0005-0000-0000-00008D6E0000}"/>
    <cellStyle name="Accent4 81 2" xfId="28292" xr:uid="{00000000-0005-0000-0000-00008E6E0000}"/>
    <cellStyle name="Accent4 82" xfId="28293" xr:uid="{00000000-0005-0000-0000-00008F6E0000}"/>
    <cellStyle name="Accent4 82 2" xfId="28294" xr:uid="{00000000-0005-0000-0000-0000906E0000}"/>
    <cellStyle name="Accent4 83" xfId="28295" xr:uid="{00000000-0005-0000-0000-0000916E0000}"/>
    <cellStyle name="Accent4 83 2" xfId="28296" xr:uid="{00000000-0005-0000-0000-0000926E0000}"/>
    <cellStyle name="Accent4 84" xfId="28297" xr:uid="{00000000-0005-0000-0000-0000936E0000}"/>
    <cellStyle name="Accent4 84 2" xfId="28298" xr:uid="{00000000-0005-0000-0000-0000946E0000}"/>
    <cellStyle name="Accent4 85" xfId="28299" xr:uid="{00000000-0005-0000-0000-0000956E0000}"/>
    <cellStyle name="Accent4 85 2" xfId="28300" xr:uid="{00000000-0005-0000-0000-0000966E0000}"/>
    <cellStyle name="Accent4 86" xfId="28301" xr:uid="{00000000-0005-0000-0000-0000976E0000}"/>
    <cellStyle name="Accent4 86 2" xfId="28302" xr:uid="{00000000-0005-0000-0000-0000986E0000}"/>
    <cellStyle name="Accent4 87" xfId="28303" xr:uid="{00000000-0005-0000-0000-0000996E0000}"/>
    <cellStyle name="Accent4 87 2" xfId="28304" xr:uid="{00000000-0005-0000-0000-00009A6E0000}"/>
    <cellStyle name="Accent4 88" xfId="28305" xr:uid="{00000000-0005-0000-0000-00009B6E0000}"/>
    <cellStyle name="Accent4 89" xfId="28306" xr:uid="{00000000-0005-0000-0000-00009C6E0000}"/>
    <cellStyle name="Accent4 89 2" xfId="28307" xr:uid="{00000000-0005-0000-0000-00009D6E0000}"/>
    <cellStyle name="Accent4 9" xfId="28308" xr:uid="{00000000-0005-0000-0000-00009E6E0000}"/>
    <cellStyle name="Accent4 9 2" xfId="28309" xr:uid="{00000000-0005-0000-0000-00009F6E0000}"/>
    <cellStyle name="Accent4 90" xfId="28310" xr:uid="{00000000-0005-0000-0000-0000A06E0000}"/>
    <cellStyle name="Accent4 90 2" xfId="28311" xr:uid="{00000000-0005-0000-0000-0000A16E0000}"/>
    <cellStyle name="Accent4 91" xfId="28312" xr:uid="{00000000-0005-0000-0000-0000A26E0000}"/>
    <cellStyle name="Accent4 91 2" xfId="28313" xr:uid="{00000000-0005-0000-0000-0000A36E0000}"/>
    <cellStyle name="Accent4 92" xfId="28314" xr:uid="{00000000-0005-0000-0000-0000A46E0000}"/>
    <cellStyle name="Accent4 92 2" xfId="28315" xr:uid="{00000000-0005-0000-0000-0000A56E0000}"/>
    <cellStyle name="Accent4 93" xfId="28316" xr:uid="{00000000-0005-0000-0000-0000A66E0000}"/>
    <cellStyle name="Accent4 93 2" xfId="28317" xr:uid="{00000000-0005-0000-0000-0000A76E0000}"/>
    <cellStyle name="Accent4 94" xfId="28318" xr:uid="{00000000-0005-0000-0000-0000A86E0000}"/>
    <cellStyle name="Accent4 94 2" xfId="28319" xr:uid="{00000000-0005-0000-0000-0000A96E0000}"/>
    <cellStyle name="Accent4 95" xfId="28320" xr:uid="{00000000-0005-0000-0000-0000AA6E0000}"/>
    <cellStyle name="Accent4 96" xfId="28321" xr:uid="{00000000-0005-0000-0000-0000AB6E0000}"/>
    <cellStyle name="Accent4 97" xfId="28322" xr:uid="{00000000-0005-0000-0000-0000AC6E0000}"/>
    <cellStyle name="Accent4 98" xfId="28323" xr:uid="{00000000-0005-0000-0000-0000AD6E0000}"/>
    <cellStyle name="Accent4 99" xfId="28324" xr:uid="{00000000-0005-0000-0000-0000AE6E0000}"/>
    <cellStyle name="Accent5" xfId="41031" builtinId="45" customBuiltin="1"/>
    <cellStyle name="Accent5 10" xfId="28325" xr:uid="{00000000-0005-0000-0000-0000B06E0000}"/>
    <cellStyle name="Accent5 10 2" xfId="28326" xr:uid="{00000000-0005-0000-0000-0000B16E0000}"/>
    <cellStyle name="Accent5 100" xfId="28327" xr:uid="{00000000-0005-0000-0000-0000B26E0000}"/>
    <cellStyle name="Accent5 101" xfId="28328" xr:uid="{00000000-0005-0000-0000-0000B36E0000}"/>
    <cellStyle name="Accent5 102" xfId="28329" xr:uid="{00000000-0005-0000-0000-0000B46E0000}"/>
    <cellStyle name="Accent5 103" xfId="28330" xr:uid="{00000000-0005-0000-0000-0000B56E0000}"/>
    <cellStyle name="Accent5 104" xfId="28331" xr:uid="{00000000-0005-0000-0000-0000B66E0000}"/>
    <cellStyle name="Accent5 105" xfId="28332" xr:uid="{00000000-0005-0000-0000-0000B76E0000}"/>
    <cellStyle name="Accent5 106" xfId="28333" xr:uid="{00000000-0005-0000-0000-0000B86E0000}"/>
    <cellStyle name="Accent5 107" xfId="28334" xr:uid="{00000000-0005-0000-0000-0000B96E0000}"/>
    <cellStyle name="Accent5 108" xfId="28335" xr:uid="{00000000-0005-0000-0000-0000BA6E0000}"/>
    <cellStyle name="Accent5 109" xfId="28336" xr:uid="{00000000-0005-0000-0000-0000BB6E0000}"/>
    <cellStyle name="Accent5 11" xfId="28337" xr:uid="{00000000-0005-0000-0000-0000BC6E0000}"/>
    <cellStyle name="Accent5 11 2" xfId="28338" xr:uid="{00000000-0005-0000-0000-0000BD6E0000}"/>
    <cellStyle name="Accent5 110" xfId="28339" xr:uid="{00000000-0005-0000-0000-0000BE6E0000}"/>
    <cellStyle name="Accent5 111" xfId="28340" xr:uid="{00000000-0005-0000-0000-0000BF6E0000}"/>
    <cellStyle name="Accent5 112" xfId="28341" xr:uid="{00000000-0005-0000-0000-0000C06E0000}"/>
    <cellStyle name="Accent5 113" xfId="28342" xr:uid="{00000000-0005-0000-0000-0000C16E0000}"/>
    <cellStyle name="Accent5 114" xfId="28343" xr:uid="{00000000-0005-0000-0000-0000C26E0000}"/>
    <cellStyle name="Accent5 115" xfId="28344" xr:uid="{00000000-0005-0000-0000-0000C36E0000}"/>
    <cellStyle name="Accent5 116" xfId="28345" xr:uid="{00000000-0005-0000-0000-0000C46E0000}"/>
    <cellStyle name="Accent5 117" xfId="28346" xr:uid="{00000000-0005-0000-0000-0000C56E0000}"/>
    <cellStyle name="Accent5 118" xfId="28347" xr:uid="{00000000-0005-0000-0000-0000C66E0000}"/>
    <cellStyle name="Accent5 119" xfId="28348" xr:uid="{00000000-0005-0000-0000-0000C76E0000}"/>
    <cellStyle name="Accent5 12" xfId="28349" xr:uid="{00000000-0005-0000-0000-0000C86E0000}"/>
    <cellStyle name="Accent5 12 2" xfId="28350" xr:uid="{00000000-0005-0000-0000-0000C96E0000}"/>
    <cellStyle name="Accent5 120" xfId="28351" xr:uid="{00000000-0005-0000-0000-0000CA6E0000}"/>
    <cellStyle name="Accent5 121" xfId="28352" xr:uid="{00000000-0005-0000-0000-0000CB6E0000}"/>
    <cellStyle name="Accent5 122" xfId="28353" xr:uid="{00000000-0005-0000-0000-0000CC6E0000}"/>
    <cellStyle name="Accent5 123" xfId="28354" xr:uid="{00000000-0005-0000-0000-0000CD6E0000}"/>
    <cellStyle name="Accent5 124" xfId="28355" xr:uid="{00000000-0005-0000-0000-0000CE6E0000}"/>
    <cellStyle name="Accent5 125" xfId="28356" xr:uid="{00000000-0005-0000-0000-0000CF6E0000}"/>
    <cellStyle name="Accent5 126" xfId="28357" xr:uid="{00000000-0005-0000-0000-0000D06E0000}"/>
    <cellStyle name="Accent5 127" xfId="28358" xr:uid="{00000000-0005-0000-0000-0000D16E0000}"/>
    <cellStyle name="Accent5 128" xfId="28359" xr:uid="{00000000-0005-0000-0000-0000D26E0000}"/>
    <cellStyle name="Accent5 129" xfId="28360" xr:uid="{00000000-0005-0000-0000-0000D36E0000}"/>
    <cellStyle name="Accent5 13" xfId="28361" xr:uid="{00000000-0005-0000-0000-0000D46E0000}"/>
    <cellStyle name="Accent5 13 2" xfId="28362" xr:uid="{00000000-0005-0000-0000-0000D56E0000}"/>
    <cellStyle name="Accent5 130" xfId="28363" xr:uid="{00000000-0005-0000-0000-0000D66E0000}"/>
    <cellStyle name="Accent5 131" xfId="28364" xr:uid="{00000000-0005-0000-0000-0000D76E0000}"/>
    <cellStyle name="Accent5 132" xfId="28365" xr:uid="{00000000-0005-0000-0000-0000D86E0000}"/>
    <cellStyle name="Accent5 133" xfId="28366" xr:uid="{00000000-0005-0000-0000-0000D96E0000}"/>
    <cellStyle name="Accent5 14" xfId="28367" xr:uid="{00000000-0005-0000-0000-0000DA6E0000}"/>
    <cellStyle name="Accent5 14 2" xfId="28368" xr:uid="{00000000-0005-0000-0000-0000DB6E0000}"/>
    <cellStyle name="Accent5 15" xfId="28369" xr:uid="{00000000-0005-0000-0000-0000DC6E0000}"/>
    <cellStyle name="Accent5 15 2" xfId="28370" xr:uid="{00000000-0005-0000-0000-0000DD6E0000}"/>
    <cellStyle name="Accent5 16" xfId="28371" xr:uid="{00000000-0005-0000-0000-0000DE6E0000}"/>
    <cellStyle name="Accent5 16 2" xfId="28372" xr:uid="{00000000-0005-0000-0000-0000DF6E0000}"/>
    <cellStyle name="Accent5 17" xfId="28373" xr:uid="{00000000-0005-0000-0000-0000E06E0000}"/>
    <cellStyle name="Accent5 17 2" xfId="28374" xr:uid="{00000000-0005-0000-0000-0000E16E0000}"/>
    <cellStyle name="Accent5 18" xfId="28375" xr:uid="{00000000-0005-0000-0000-0000E26E0000}"/>
    <cellStyle name="Accent5 18 2" xfId="28376" xr:uid="{00000000-0005-0000-0000-0000E36E0000}"/>
    <cellStyle name="Accent5 19" xfId="28377" xr:uid="{00000000-0005-0000-0000-0000E46E0000}"/>
    <cellStyle name="Accent5 19 2" xfId="28378" xr:uid="{00000000-0005-0000-0000-0000E56E0000}"/>
    <cellStyle name="Accent5 2" xfId="28379" xr:uid="{00000000-0005-0000-0000-0000E66E0000}"/>
    <cellStyle name="Accent5 2 2" xfId="28380" xr:uid="{00000000-0005-0000-0000-0000E76E0000}"/>
    <cellStyle name="Accent5 2 2 2" xfId="28381" xr:uid="{00000000-0005-0000-0000-0000E86E0000}"/>
    <cellStyle name="Accent5 2 2 2 2" xfId="28382" xr:uid="{00000000-0005-0000-0000-0000E96E0000}"/>
    <cellStyle name="Accent5 2 3" xfId="28383" xr:uid="{00000000-0005-0000-0000-0000EA6E0000}"/>
    <cellStyle name="Accent5 2 4" xfId="28384" xr:uid="{00000000-0005-0000-0000-0000EB6E0000}"/>
    <cellStyle name="Accent5 20" xfId="28385" xr:uid="{00000000-0005-0000-0000-0000EC6E0000}"/>
    <cellStyle name="Accent5 20 2" xfId="28386" xr:uid="{00000000-0005-0000-0000-0000ED6E0000}"/>
    <cellStyle name="Accent5 21" xfId="28387" xr:uid="{00000000-0005-0000-0000-0000EE6E0000}"/>
    <cellStyle name="Accent5 21 2" xfId="28388" xr:uid="{00000000-0005-0000-0000-0000EF6E0000}"/>
    <cellStyle name="Accent5 22" xfId="28389" xr:uid="{00000000-0005-0000-0000-0000F06E0000}"/>
    <cellStyle name="Accent5 22 2" xfId="28390" xr:uid="{00000000-0005-0000-0000-0000F16E0000}"/>
    <cellStyle name="Accent5 23" xfId="28391" xr:uid="{00000000-0005-0000-0000-0000F26E0000}"/>
    <cellStyle name="Accent5 23 2" xfId="28392" xr:uid="{00000000-0005-0000-0000-0000F36E0000}"/>
    <cellStyle name="Accent5 24" xfId="28393" xr:uid="{00000000-0005-0000-0000-0000F46E0000}"/>
    <cellStyle name="Accent5 24 2" xfId="28394" xr:uid="{00000000-0005-0000-0000-0000F56E0000}"/>
    <cellStyle name="Accent5 25" xfId="28395" xr:uid="{00000000-0005-0000-0000-0000F66E0000}"/>
    <cellStyle name="Accent5 25 2" xfId="28396" xr:uid="{00000000-0005-0000-0000-0000F76E0000}"/>
    <cellStyle name="Accent5 26" xfId="28397" xr:uid="{00000000-0005-0000-0000-0000F86E0000}"/>
    <cellStyle name="Accent5 26 2" xfId="28398" xr:uid="{00000000-0005-0000-0000-0000F96E0000}"/>
    <cellStyle name="Accent5 27" xfId="28399" xr:uid="{00000000-0005-0000-0000-0000FA6E0000}"/>
    <cellStyle name="Accent5 27 2" xfId="28400" xr:uid="{00000000-0005-0000-0000-0000FB6E0000}"/>
    <cellStyle name="Accent5 28" xfId="28401" xr:uid="{00000000-0005-0000-0000-0000FC6E0000}"/>
    <cellStyle name="Accent5 28 2" xfId="28402" xr:uid="{00000000-0005-0000-0000-0000FD6E0000}"/>
    <cellStyle name="Accent5 29" xfId="28403" xr:uid="{00000000-0005-0000-0000-0000FE6E0000}"/>
    <cellStyle name="Accent5 29 2" xfId="28404" xr:uid="{00000000-0005-0000-0000-0000FF6E0000}"/>
    <cellStyle name="Accent5 3" xfId="28405" xr:uid="{00000000-0005-0000-0000-0000006F0000}"/>
    <cellStyle name="Accent5 3 2" xfId="28406" xr:uid="{00000000-0005-0000-0000-0000016F0000}"/>
    <cellStyle name="Accent5 3 2 2" xfId="28407" xr:uid="{00000000-0005-0000-0000-0000026F0000}"/>
    <cellStyle name="Accent5 3 3" xfId="28408" xr:uid="{00000000-0005-0000-0000-0000036F0000}"/>
    <cellStyle name="Accent5 3_MAR 2009" xfId="28409" xr:uid="{00000000-0005-0000-0000-0000046F0000}"/>
    <cellStyle name="Accent5 30" xfId="28410" xr:uid="{00000000-0005-0000-0000-0000056F0000}"/>
    <cellStyle name="Accent5 30 2" xfId="28411" xr:uid="{00000000-0005-0000-0000-0000066F0000}"/>
    <cellStyle name="Accent5 31" xfId="28412" xr:uid="{00000000-0005-0000-0000-0000076F0000}"/>
    <cellStyle name="Accent5 31 2" xfId="28413" xr:uid="{00000000-0005-0000-0000-0000086F0000}"/>
    <cellStyle name="Accent5 32" xfId="28414" xr:uid="{00000000-0005-0000-0000-0000096F0000}"/>
    <cellStyle name="Accent5 32 2" xfId="28415" xr:uid="{00000000-0005-0000-0000-00000A6F0000}"/>
    <cellStyle name="Accent5 33" xfId="28416" xr:uid="{00000000-0005-0000-0000-00000B6F0000}"/>
    <cellStyle name="Accent5 33 2" xfId="28417" xr:uid="{00000000-0005-0000-0000-00000C6F0000}"/>
    <cellStyle name="Accent5 34" xfId="28418" xr:uid="{00000000-0005-0000-0000-00000D6F0000}"/>
    <cellStyle name="Accent5 35" xfId="28419" xr:uid="{00000000-0005-0000-0000-00000E6F0000}"/>
    <cellStyle name="Accent5 35 2" xfId="28420" xr:uid="{00000000-0005-0000-0000-00000F6F0000}"/>
    <cellStyle name="Accent5 36" xfId="28421" xr:uid="{00000000-0005-0000-0000-0000106F0000}"/>
    <cellStyle name="Accent5 36 2" xfId="28422" xr:uid="{00000000-0005-0000-0000-0000116F0000}"/>
    <cellStyle name="Accent5 37" xfId="28423" xr:uid="{00000000-0005-0000-0000-0000126F0000}"/>
    <cellStyle name="Accent5 37 2" xfId="28424" xr:uid="{00000000-0005-0000-0000-0000136F0000}"/>
    <cellStyle name="Accent5 38" xfId="28425" xr:uid="{00000000-0005-0000-0000-0000146F0000}"/>
    <cellStyle name="Accent5 38 2" xfId="28426" xr:uid="{00000000-0005-0000-0000-0000156F0000}"/>
    <cellStyle name="Accent5 39" xfId="28427" xr:uid="{00000000-0005-0000-0000-0000166F0000}"/>
    <cellStyle name="Accent5 39 2" xfId="28428" xr:uid="{00000000-0005-0000-0000-0000176F0000}"/>
    <cellStyle name="Accent5 4" xfId="28429" xr:uid="{00000000-0005-0000-0000-0000186F0000}"/>
    <cellStyle name="Accent5 4 2" xfId="28430" xr:uid="{00000000-0005-0000-0000-0000196F0000}"/>
    <cellStyle name="Accent5 4 2 2" xfId="28431" xr:uid="{00000000-0005-0000-0000-00001A6F0000}"/>
    <cellStyle name="Accent5 40" xfId="28432" xr:uid="{00000000-0005-0000-0000-00001B6F0000}"/>
    <cellStyle name="Accent5 40 2" xfId="28433" xr:uid="{00000000-0005-0000-0000-00001C6F0000}"/>
    <cellStyle name="Accent5 41" xfId="28434" xr:uid="{00000000-0005-0000-0000-00001D6F0000}"/>
    <cellStyle name="Accent5 41 2" xfId="28435" xr:uid="{00000000-0005-0000-0000-00001E6F0000}"/>
    <cellStyle name="Accent5 42" xfId="28436" xr:uid="{00000000-0005-0000-0000-00001F6F0000}"/>
    <cellStyle name="Accent5 42 2" xfId="28437" xr:uid="{00000000-0005-0000-0000-0000206F0000}"/>
    <cellStyle name="Accent5 43" xfId="28438" xr:uid="{00000000-0005-0000-0000-0000216F0000}"/>
    <cellStyle name="Accent5 43 2" xfId="28439" xr:uid="{00000000-0005-0000-0000-0000226F0000}"/>
    <cellStyle name="Accent5 44" xfId="28440" xr:uid="{00000000-0005-0000-0000-0000236F0000}"/>
    <cellStyle name="Accent5 44 2" xfId="28441" xr:uid="{00000000-0005-0000-0000-0000246F0000}"/>
    <cellStyle name="Accent5 45" xfId="28442" xr:uid="{00000000-0005-0000-0000-0000256F0000}"/>
    <cellStyle name="Accent5 45 2" xfId="28443" xr:uid="{00000000-0005-0000-0000-0000266F0000}"/>
    <cellStyle name="Accent5 46" xfId="28444" xr:uid="{00000000-0005-0000-0000-0000276F0000}"/>
    <cellStyle name="Accent5 46 2" xfId="28445" xr:uid="{00000000-0005-0000-0000-0000286F0000}"/>
    <cellStyle name="Accent5 47" xfId="28446" xr:uid="{00000000-0005-0000-0000-0000296F0000}"/>
    <cellStyle name="Accent5 47 2" xfId="28447" xr:uid="{00000000-0005-0000-0000-00002A6F0000}"/>
    <cellStyle name="Accent5 48" xfId="28448" xr:uid="{00000000-0005-0000-0000-00002B6F0000}"/>
    <cellStyle name="Accent5 48 2" xfId="28449" xr:uid="{00000000-0005-0000-0000-00002C6F0000}"/>
    <cellStyle name="Accent5 49" xfId="28450" xr:uid="{00000000-0005-0000-0000-00002D6F0000}"/>
    <cellStyle name="Accent5 49 2" xfId="28451" xr:uid="{00000000-0005-0000-0000-00002E6F0000}"/>
    <cellStyle name="Accent5 5" xfId="28452" xr:uid="{00000000-0005-0000-0000-00002F6F0000}"/>
    <cellStyle name="Accent5 5 2" xfId="28453" xr:uid="{00000000-0005-0000-0000-0000306F0000}"/>
    <cellStyle name="Accent5 5 2 2" xfId="28454" xr:uid="{00000000-0005-0000-0000-0000316F0000}"/>
    <cellStyle name="Accent5 50" xfId="28455" xr:uid="{00000000-0005-0000-0000-0000326F0000}"/>
    <cellStyle name="Accent5 50 2" xfId="28456" xr:uid="{00000000-0005-0000-0000-0000336F0000}"/>
    <cellStyle name="Accent5 51" xfId="28457" xr:uid="{00000000-0005-0000-0000-0000346F0000}"/>
    <cellStyle name="Accent5 51 2" xfId="28458" xr:uid="{00000000-0005-0000-0000-0000356F0000}"/>
    <cellStyle name="Accent5 52" xfId="28459" xr:uid="{00000000-0005-0000-0000-0000366F0000}"/>
    <cellStyle name="Accent5 53" xfId="28460" xr:uid="{00000000-0005-0000-0000-0000376F0000}"/>
    <cellStyle name="Accent5 54" xfId="28461" xr:uid="{00000000-0005-0000-0000-0000386F0000}"/>
    <cellStyle name="Accent5 55" xfId="28462" xr:uid="{00000000-0005-0000-0000-0000396F0000}"/>
    <cellStyle name="Accent5 56" xfId="28463" xr:uid="{00000000-0005-0000-0000-00003A6F0000}"/>
    <cellStyle name="Accent5 57" xfId="28464" xr:uid="{00000000-0005-0000-0000-00003B6F0000}"/>
    <cellStyle name="Accent5 58" xfId="28465" xr:uid="{00000000-0005-0000-0000-00003C6F0000}"/>
    <cellStyle name="Accent5 59" xfId="28466" xr:uid="{00000000-0005-0000-0000-00003D6F0000}"/>
    <cellStyle name="Accent5 6" xfId="28467" xr:uid="{00000000-0005-0000-0000-00003E6F0000}"/>
    <cellStyle name="Accent5 6 2" xfId="28468" xr:uid="{00000000-0005-0000-0000-00003F6F0000}"/>
    <cellStyle name="Accent5 60" xfId="28469" xr:uid="{00000000-0005-0000-0000-0000406F0000}"/>
    <cellStyle name="Accent5 61" xfId="28470" xr:uid="{00000000-0005-0000-0000-0000416F0000}"/>
    <cellStyle name="Accent5 62" xfId="28471" xr:uid="{00000000-0005-0000-0000-0000426F0000}"/>
    <cellStyle name="Accent5 63" xfId="28472" xr:uid="{00000000-0005-0000-0000-0000436F0000}"/>
    <cellStyle name="Accent5 63 2" xfId="28473" xr:uid="{00000000-0005-0000-0000-0000446F0000}"/>
    <cellStyle name="Accent5 64" xfId="28474" xr:uid="{00000000-0005-0000-0000-0000456F0000}"/>
    <cellStyle name="Accent5 64 2" xfId="28475" xr:uid="{00000000-0005-0000-0000-0000466F0000}"/>
    <cellStyle name="Accent5 65" xfId="28476" xr:uid="{00000000-0005-0000-0000-0000476F0000}"/>
    <cellStyle name="Accent5 65 2" xfId="28477" xr:uid="{00000000-0005-0000-0000-0000486F0000}"/>
    <cellStyle name="Accent5 66" xfId="28478" xr:uid="{00000000-0005-0000-0000-0000496F0000}"/>
    <cellStyle name="Accent5 66 2" xfId="28479" xr:uid="{00000000-0005-0000-0000-00004A6F0000}"/>
    <cellStyle name="Accent5 67" xfId="28480" xr:uid="{00000000-0005-0000-0000-00004B6F0000}"/>
    <cellStyle name="Accent5 67 2" xfId="28481" xr:uid="{00000000-0005-0000-0000-00004C6F0000}"/>
    <cellStyle name="Accent5 68" xfId="28482" xr:uid="{00000000-0005-0000-0000-00004D6F0000}"/>
    <cellStyle name="Accent5 68 2" xfId="28483" xr:uid="{00000000-0005-0000-0000-00004E6F0000}"/>
    <cellStyle name="Accent5 69" xfId="28484" xr:uid="{00000000-0005-0000-0000-00004F6F0000}"/>
    <cellStyle name="Accent5 69 2" xfId="28485" xr:uid="{00000000-0005-0000-0000-0000506F0000}"/>
    <cellStyle name="Accent5 7" xfId="28486" xr:uid="{00000000-0005-0000-0000-0000516F0000}"/>
    <cellStyle name="Accent5 7 2" xfId="28487" xr:uid="{00000000-0005-0000-0000-0000526F0000}"/>
    <cellStyle name="Accent5 70" xfId="28488" xr:uid="{00000000-0005-0000-0000-0000536F0000}"/>
    <cellStyle name="Accent5 70 2" xfId="28489" xr:uid="{00000000-0005-0000-0000-0000546F0000}"/>
    <cellStyle name="Accent5 71" xfId="28490" xr:uid="{00000000-0005-0000-0000-0000556F0000}"/>
    <cellStyle name="Accent5 71 2" xfId="28491" xr:uid="{00000000-0005-0000-0000-0000566F0000}"/>
    <cellStyle name="Accent5 72" xfId="28492" xr:uid="{00000000-0005-0000-0000-0000576F0000}"/>
    <cellStyle name="Accent5 72 2" xfId="28493" xr:uid="{00000000-0005-0000-0000-0000586F0000}"/>
    <cellStyle name="Accent5 73" xfId="28494" xr:uid="{00000000-0005-0000-0000-0000596F0000}"/>
    <cellStyle name="Accent5 73 2" xfId="28495" xr:uid="{00000000-0005-0000-0000-00005A6F0000}"/>
    <cellStyle name="Accent5 74" xfId="28496" xr:uid="{00000000-0005-0000-0000-00005B6F0000}"/>
    <cellStyle name="Accent5 74 2" xfId="28497" xr:uid="{00000000-0005-0000-0000-00005C6F0000}"/>
    <cellStyle name="Accent5 75" xfId="28498" xr:uid="{00000000-0005-0000-0000-00005D6F0000}"/>
    <cellStyle name="Accent5 75 2" xfId="28499" xr:uid="{00000000-0005-0000-0000-00005E6F0000}"/>
    <cellStyle name="Accent5 76" xfId="28500" xr:uid="{00000000-0005-0000-0000-00005F6F0000}"/>
    <cellStyle name="Accent5 76 2" xfId="28501" xr:uid="{00000000-0005-0000-0000-0000606F0000}"/>
    <cellStyle name="Accent5 77" xfId="28502" xr:uid="{00000000-0005-0000-0000-0000616F0000}"/>
    <cellStyle name="Accent5 77 2" xfId="28503" xr:uid="{00000000-0005-0000-0000-0000626F0000}"/>
    <cellStyle name="Accent5 78" xfId="28504" xr:uid="{00000000-0005-0000-0000-0000636F0000}"/>
    <cellStyle name="Accent5 78 2" xfId="28505" xr:uid="{00000000-0005-0000-0000-0000646F0000}"/>
    <cellStyle name="Accent5 79" xfId="28506" xr:uid="{00000000-0005-0000-0000-0000656F0000}"/>
    <cellStyle name="Accent5 79 2" xfId="28507" xr:uid="{00000000-0005-0000-0000-0000666F0000}"/>
    <cellStyle name="Accent5 8" xfId="28508" xr:uid="{00000000-0005-0000-0000-0000676F0000}"/>
    <cellStyle name="Accent5 80" xfId="28509" xr:uid="{00000000-0005-0000-0000-0000686F0000}"/>
    <cellStyle name="Accent5 80 2" xfId="28510" xr:uid="{00000000-0005-0000-0000-0000696F0000}"/>
    <cellStyle name="Accent5 81" xfId="28511" xr:uid="{00000000-0005-0000-0000-00006A6F0000}"/>
    <cellStyle name="Accent5 81 2" xfId="28512" xr:uid="{00000000-0005-0000-0000-00006B6F0000}"/>
    <cellStyle name="Accent5 82" xfId="28513" xr:uid="{00000000-0005-0000-0000-00006C6F0000}"/>
    <cellStyle name="Accent5 82 2" xfId="28514" xr:uid="{00000000-0005-0000-0000-00006D6F0000}"/>
    <cellStyle name="Accent5 83" xfId="28515" xr:uid="{00000000-0005-0000-0000-00006E6F0000}"/>
    <cellStyle name="Accent5 83 2" xfId="28516" xr:uid="{00000000-0005-0000-0000-00006F6F0000}"/>
    <cellStyle name="Accent5 84" xfId="28517" xr:uid="{00000000-0005-0000-0000-0000706F0000}"/>
    <cellStyle name="Accent5 84 2" xfId="28518" xr:uid="{00000000-0005-0000-0000-0000716F0000}"/>
    <cellStyle name="Accent5 85" xfId="28519" xr:uid="{00000000-0005-0000-0000-0000726F0000}"/>
    <cellStyle name="Accent5 85 2" xfId="28520" xr:uid="{00000000-0005-0000-0000-0000736F0000}"/>
    <cellStyle name="Accent5 86" xfId="28521" xr:uid="{00000000-0005-0000-0000-0000746F0000}"/>
    <cellStyle name="Accent5 86 2" xfId="28522" xr:uid="{00000000-0005-0000-0000-0000756F0000}"/>
    <cellStyle name="Accent5 87" xfId="28523" xr:uid="{00000000-0005-0000-0000-0000766F0000}"/>
    <cellStyle name="Accent5 87 2" xfId="28524" xr:uid="{00000000-0005-0000-0000-0000776F0000}"/>
    <cellStyle name="Accent5 88" xfId="28525" xr:uid="{00000000-0005-0000-0000-0000786F0000}"/>
    <cellStyle name="Accent5 89" xfId="28526" xr:uid="{00000000-0005-0000-0000-0000796F0000}"/>
    <cellStyle name="Accent5 89 2" xfId="28527" xr:uid="{00000000-0005-0000-0000-00007A6F0000}"/>
    <cellStyle name="Accent5 9" xfId="28528" xr:uid="{00000000-0005-0000-0000-00007B6F0000}"/>
    <cellStyle name="Accent5 9 2" xfId="28529" xr:uid="{00000000-0005-0000-0000-00007C6F0000}"/>
    <cellStyle name="Accent5 90" xfId="28530" xr:uid="{00000000-0005-0000-0000-00007D6F0000}"/>
    <cellStyle name="Accent5 90 2" xfId="28531" xr:uid="{00000000-0005-0000-0000-00007E6F0000}"/>
    <cellStyle name="Accent5 91" xfId="28532" xr:uid="{00000000-0005-0000-0000-00007F6F0000}"/>
    <cellStyle name="Accent5 91 2" xfId="28533" xr:uid="{00000000-0005-0000-0000-0000806F0000}"/>
    <cellStyle name="Accent5 92" xfId="28534" xr:uid="{00000000-0005-0000-0000-0000816F0000}"/>
    <cellStyle name="Accent5 92 2" xfId="28535" xr:uid="{00000000-0005-0000-0000-0000826F0000}"/>
    <cellStyle name="Accent5 93" xfId="28536" xr:uid="{00000000-0005-0000-0000-0000836F0000}"/>
    <cellStyle name="Accent5 93 2" xfId="28537" xr:uid="{00000000-0005-0000-0000-0000846F0000}"/>
    <cellStyle name="Accent5 94" xfId="28538" xr:uid="{00000000-0005-0000-0000-0000856F0000}"/>
    <cellStyle name="Accent5 94 2" xfId="28539" xr:uid="{00000000-0005-0000-0000-0000866F0000}"/>
    <cellStyle name="Accent5 95" xfId="28540" xr:uid="{00000000-0005-0000-0000-0000876F0000}"/>
    <cellStyle name="Accent5 96" xfId="28541" xr:uid="{00000000-0005-0000-0000-0000886F0000}"/>
    <cellStyle name="Accent5 97" xfId="28542" xr:uid="{00000000-0005-0000-0000-0000896F0000}"/>
    <cellStyle name="Accent5 98" xfId="28543" xr:uid="{00000000-0005-0000-0000-00008A6F0000}"/>
    <cellStyle name="Accent5 99" xfId="28544" xr:uid="{00000000-0005-0000-0000-00008B6F0000}"/>
    <cellStyle name="Accent6" xfId="41034" builtinId="49" customBuiltin="1"/>
    <cellStyle name="Accent6 10" xfId="28545" xr:uid="{00000000-0005-0000-0000-00008D6F0000}"/>
    <cellStyle name="Accent6 10 2" xfId="28546" xr:uid="{00000000-0005-0000-0000-00008E6F0000}"/>
    <cellStyle name="Accent6 100" xfId="28547" xr:uid="{00000000-0005-0000-0000-00008F6F0000}"/>
    <cellStyle name="Accent6 101" xfId="28548" xr:uid="{00000000-0005-0000-0000-0000906F0000}"/>
    <cellStyle name="Accent6 102" xfId="28549" xr:uid="{00000000-0005-0000-0000-0000916F0000}"/>
    <cellStyle name="Accent6 103" xfId="28550" xr:uid="{00000000-0005-0000-0000-0000926F0000}"/>
    <cellStyle name="Accent6 104" xfId="28551" xr:uid="{00000000-0005-0000-0000-0000936F0000}"/>
    <cellStyle name="Accent6 105" xfId="28552" xr:uid="{00000000-0005-0000-0000-0000946F0000}"/>
    <cellStyle name="Accent6 106" xfId="28553" xr:uid="{00000000-0005-0000-0000-0000956F0000}"/>
    <cellStyle name="Accent6 107" xfId="28554" xr:uid="{00000000-0005-0000-0000-0000966F0000}"/>
    <cellStyle name="Accent6 108" xfId="28555" xr:uid="{00000000-0005-0000-0000-0000976F0000}"/>
    <cellStyle name="Accent6 109" xfId="28556" xr:uid="{00000000-0005-0000-0000-0000986F0000}"/>
    <cellStyle name="Accent6 11" xfId="28557" xr:uid="{00000000-0005-0000-0000-0000996F0000}"/>
    <cellStyle name="Accent6 11 2" xfId="28558" xr:uid="{00000000-0005-0000-0000-00009A6F0000}"/>
    <cellStyle name="Accent6 110" xfId="28559" xr:uid="{00000000-0005-0000-0000-00009B6F0000}"/>
    <cellStyle name="Accent6 111" xfId="28560" xr:uid="{00000000-0005-0000-0000-00009C6F0000}"/>
    <cellStyle name="Accent6 112" xfId="28561" xr:uid="{00000000-0005-0000-0000-00009D6F0000}"/>
    <cellStyle name="Accent6 113" xfId="28562" xr:uid="{00000000-0005-0000-0000-00009E6F0000}"/>
    <cellStyle name="Accent6 114" xfId="28563" xr:uid="{00000000-0005-0000-0000-00009F6F0000}"/>
    <cellStyle name="Accent6 115" xfId="28564" xr:uid="{00000000-0005-0000-0000-0000A06F0000}"/>
    <cellStyle name="Accent6 116" xfId="28565" xr:uid="{00000000-0005-0000-0000-0000A16F0000}"/>
    <cellStyle name="Accent6 117" xfId="28566" xr:uid="{00000000-0005-0000-0000-0000A26F0000}"/>
    <cellStyle name="Accent6 118" xfId="28567" xr:uid="{00000000-0005-0000-0000-0000A36F0000}"/>
    <cellStyle name="Accent6 119" xfId="28568" xr:uid="{00000000-0005-0000-0000-0000A46F0000}"/>
    <cellStyle name="Accent6 12" xfId="28569" xr:uid="{00000000-0005-0000-0000-0000A56F0000}"/>
    <cellStyle name="Accent6 12 2" xfId="28570" xr:uid="{00000000-0005-0000-0000-0000A66F0000}"/>
    <cellStyle name="Accent6 120" xfId="28571" xr:uid="{00000000-0005-0000-0000-0000A76F0000}"/>
    <cellStyle name="Accent6 121" xfId="28572" xr:uid="{00000000-0005-0000-0000-0000A86F0000}"/>
    <cellStyle name="Accent6 122" xfId="28573" xr:uid="{00000000-0005-0000-0000-0000A96F0000}"/>
    <cellStyle name="Accent6 123" xfId="28574" xr:uid="{00000000-0005-0000-0000-0000AA6F0000}"/>
    <cellStyle name="Accent6 124" xfId="28575" xr:uid="{00000000-0005-0000-0000-0000AB6F0000}"/>
    <cellStyle name="Accent6 125" xfId="28576" xr:uid="{00000000-0005-0000-0000-0000AC6F0000}"/>
    <cellStyle name="Accent6 126" xfId="28577" xr:uid="{00000000-0005-0000-0000-0000AD6F0000}"/>
    <cellStyle name="Accent6 127" xfId="28578" xr:uid="{00000000-0005-0000-0000-0000AE6F0000}"/>
    <cellStyle name="Accent6 128" xfId="28579" xr:uid="{00000000-0005-0000-0000-0000AF6F0000}"/>
    <cellStyle name="Accent6 129" xfId="28580" xr:uid="{00000000-0005-0000-0000-0000B06F0000}"/>
    <cellStyle name="Accent6 13" xfId="28581" xr:uid="{00000000-0005-0000-0000-0000B16F0000}"/>
    <cellStyle name="Accent6 13 2" xfId="28582" xr:uid="{00000000-0005-0000-0000-0000B26F0000}"/>
    <cellStyle name="Accent6 130" xfId="28583" xr:uid="{00000000-0005-0000-0000-0000B36F0000}"/>
    <cellStyle name="Accent6 131" xfId="28584" xr:uid="{00000000-0005-0000-0000-0000B46F0000}"/>
    <cellStyle name="Accent6 132" xfId="28585" xr:uid="{00000000-0005-0000-0000-0000B56F0000}"/>
    <cellStyle name="Accent6 133" xfId="28586" xr:uid="{00000000-0005-0000-0000-0000B66F0000}"/>
    <cellStyle name="Accent6 14" xfId="28587" xr:uid="{00000000-0005-0000-0000-0000B76F0000}"/>
    <cellStyle name="Accent6 14 2" xfId="28588" xr:uid="{00000000-0005-0000-0000-0000B86F0000}"/>
    <cellStyle name="Accent6 15" xfId="28589" xr:uid="{00000000-0005-0000-0000-0000B96F0000}"/>
    <cellStyle name="Accent6 15 2" xfId="28590" xr:uid="{00000000-0005-0000-0000-0000BA6F0000}"/>
    <cellStyle name="Accent6 16" xfId="28591" xr:uid="{00000000-0005-0000-0000-0000BB6F0000}"/>
    <cellStyle name="Accent6 16 2" xfId="28592" xr:uid="{00000000-0005-0000-0000-0000BC6F0000}"/>
    <cellStyle name="Accent6 17" xfId="28593" xr:uid="{00000000-0005-0000-0000-0000BD6F0000}"/>
    <cellStyle name="Accent6 17 2" xfId="28594" xr:uid="{00000000-0005-0000-0000-0000BE6F0000}"/>
    <cellStyle name="Accent6 18" xfId="28595" xr:uid="{00000000-0005-0000-0000-0000BF6F0000}"/>
    <cellStyle name="Accent6 18 2" xfId="28596" xr:uid="{00000000-0005-0000-0000-0000C06F0000}"/>
    <cellStyle name="Accent6 19" xfId="28597" xr:uid="{00000000-0005-0000-0000-0000C16F0000}"/>
    <cellStyle name="Accent6 19 2" xfId="28598" xr:uid="{00000000-0005-0000-0000-0000C26F0000}"/>
    <cellStyle name="Accent6 2" xfId="28599" xr:uid="{00000000-0005-0000-0000-0000C36F0000}"/>
    <cellStyle name="Accent6 2 2" xfId="28600" xr:uid="{00000000-0005-0000-0000-0000C46F0000}"/>
    <cellStyle name="Accent6 2 2 2" xfId="28601" xr:uid="{00000000-0005-0000-0000-0000C56F0000}"/>
    <cellStyle name="Accent6 2 2 2 2" xfId="28602" xr:uid="{00000000-0005-0000-0000-0000C66F0000}"/>
    <cellStyle name="Accent6 2 2 2 2 2" xfId="28603" xr:uid="{00000000-0005-0000-0000-0000C76F0000}"/>
    <cellStyle name="Accent6 2 3" xfId="28604" xr:uid="{00000000-0005-0000-0000-0000C86F0000}"/>
    <cellStyle name="Accent6 2 4" xfId="28605" xr:uid="{00000000-0005-0000-0000-0000C96F0000}"/>
    <cellStyle name="Accent6 2 5" xfId="41059" xr:uid="{00000000-0005-0000-0000-000017000000}"/>
    <cellStyle name="Accent6 20" xfId="28606" xr:uid="{00000000-0005-0000-0000-0000CA6F0000}"/>
    <cellStyle name="Accent6 20 2" xfId="28607" xr:uid="{00000000-0005-0000-0000-0000CB6F0000}"/>
    <cellStyle name="Accent6 21" xfId="28608" xr:uid="{00000000-0005-0000-0000-0000CC6F0000}"/>
    <cellStyle name="Accent6 21 2" xfId="28609" xr:uid="{00000000-0005-0000-0000-0000CD6F0000}"/>
    <cellStyle name="Accent6 22" xfId="28610" xr:uid="{00000000-0005-0000-0000-0000CE6F0000}"/>
    <cellStyle name="Accent6 22 2" xfId="28611" xr:uid="{00000000-0005-0000-0000-0000CF6F0000}"/>
    <cellStyle name="Accent6 23" xfId="28612" xr:uid="{00000000-0005-0000-0000-0000D06F0000}"/>
    <cellStyle name="Accent6 23 2" xfId="28613" xr:uid="{00000000-0005-0000-0000-0000D16F0000}"/>
    <cellStyle name="Accent6 24" xfId="28614" xr:uid="{00000000-0005-0000-0000-0000D26F0000}"/>
    <cellStyle name="Accent6 24 2" xfId="28615" xr:uid="{00000000-0005-0000-0000-0000D36F0000}"/>
    <cellStyle name="Accent6 25" xfId="28616" xr:uid="{00000000-0005-0000-0000-0000D46F0000}"/>
    <cellStyle name="Accent6 25 2" xfId="28617" xr:uid="{00000000-0005-0000-0000-0000D56F0000}"/>
    <cellStyle name="Accent6 26" xfId="28618" xr:uid="{00000000-0005-0000-0000-0000D66F0000}"/>
    <cellStyle name="Accent6 26 2" xfId="28619" xr:uid="{00000000-0005-0000-0000-0000D76F0000}"/>
    <cellStyle name="Accent6 27" xfId="28620" xr:uid="{00000000-0005-0000-0000-0000D86F0000}"/>
    <cellStyle name="Accent6 27 2" xfId="28621" xr:uid="{00000000-0005-0000-0000-0000D96F0000}"/>
    <cellStyle name="Accent6 28" xfId="28622" xr:uid="{00000000-0005-0000-0000-0000DA6F0000}"/>
    <cellStyle name="Accent6 28 2" xfId="28623" xr:uid="{00000000-0005-0000-0000-0000DB6F0000}"/>
    <cellStyle name="Accent6 29" xfId="28624" xr:uid="{00000000-0005-0000-0000-0000DC6F0000}"/>
    <cellStyle name="Accent6 29 2" xfId="28625" xr:uid="{00000000-0005-0000-0000-0000DD6F0000}"/>
    <cellStyle name="Accent6 3" xfId="28626" xr:uid="{00000000-0005-0000-0000-0000DE6F0000}"/>
    <cellStyle name="Accent6 3 2" xfId="28627" xr:uid="{00000000-0005-0000-0000-0000DF6F0000}"/>
    <cellStyle name="Accent6 3 2 2" xfId="28628" xr:uid="{00000000-0005-0000-0000-0000E06F0000}"/>
    <cellStyle name="Accent6 3 3" xfId="28629" xr:uid="{00000000-0005-0000-0000-0000E16F0000}"/>
    <cellStyle name="Accent6 3 4" xfId="28630" xr:uid="{00000000-0005-0000-0000-0000E26F0000}"/>
    <cellStyle name="Accent6 3_MAR 2009" xfId="28631" xr:uid="{00000000-0005-0000-0000-0000E36F0000}"/>
    <cellStyle name="Accent6 30" xfId="28632" xr:uid="{00000000-0005-0000-0000-0000E46F0000}"/>
    <cellStyle name="Accent6 30 2" xfId="28633" xr:uid="{00000000-0005-0000-0000-0000E56F0000}"/>
    <cellStyle name="Accent6 31" xfId="28634" xr:uid="{00000000-0005-0000-0000-0000E66F0000}"/>
    <cellStyle name="Accent6 31 2" xfId="28635" xr:uid="{00000000-0005-0000-0000-0000E76F0000}"/>
    <cellStyle name="Accent6 32" xfId="28636" xr:uid="{00000000-0005-0000-0000-0000E86F0000}"/>
    <cellStyle name="Accent6 32 2" xfId="28637" xr:uid="{00000000-0005-0000-0000-0000E96F0000}"/>
    <cellStyle name="Accent6 33" xfId="28638" xr:uid="{00000000-0005-0000-0000-0000EA6F0000}"/>
    <cellStyle name="Accent6 33 2" xfId="28639" xr:uid="{00000000-0005-0000-0000-0000EB6F0000}"/>
    <cellStyle name="Accent6 34" xfId="28640" xr:uid="{00000000-0005-0000-0000-0000EC6F0000}"/>
    <cellStyle name="Accent6 34 2" xfId="28641" xr:uid="{00000000-0005-0000-0000-0000ED6F0000}"/>
    <cellStyle name="Accent6 35" xfId="28642" xr:uid="{00000000-0005-0000-0000-0000EE6F0000}"/>
    <cellStyle name="Accent6 35 2" xfId="28643" xr:uid="{00000000-0005-0000-0000-0000EF6F0000}"/>
    <cellStyle name="Accent6 36" xfId="28644" xr:uid="{00000000-0005-0000-0000-0000F06F0000}"/>
    <cellStyle name="Accent6 36 2" xfId="28645" xr:uid="{00000000-0005-0000-0000-0000F16F0000}"/>
    <cellStyle name="Accent6 37" xfId="28646" xr:uid="{00000000-0005-0000-0000-0000F26F0000}"/>
    <cellStyle name="Accent6 37 2" xfId="28647" xr:uid="{00000000-0005-0000-0000-0000F36F0000}"/>
    <cellStyle name="Accent6 38" xfId="28648" xr:uid="{00000000-0005-0000-0000-0000F46F0000}"/>
    <cellStyle name="Accent6 38 2" xfId="28649" xr:uid="{00000000-0005-0000-0000-0000F56F0000}"/>
    <cellStyle name="Accent6 39" xfId="28650" xr:uid="{00000000-0005-0000-0000-0000F66F0000}"/>
    <cellStyle name="Accent6 39 2" xfId="28651" xr:uid="{00000000-0005-0000-0000-0000F76F0000}"/>
    <cellStyle name="Accent6 4" xfId="28652" xr:uid="{00000000-0005-0000-0000-0000F86F0000}"/>
    <cellStyle name="Accent6 4 2" xfId="28653" xr:uid="{00000000-0005-0000-0000-0000F96F0000}"/>
    <cellStyle name="Accent6 4 2 2" xfId="28654" xr:uid="{00000000-0005-0000-0000-0000FA6F0000}"/>
    <cellStyle name="Accent6 4 3" xfId="28655" xr:uid="{00000000-0005-0000-0000-0000FB6F0000}"/>
    <cellStyle name="Accent6 40" xfId="28656" xr:uid="{00000000-0005-0000-0000-0000FC6F0000}"/>
    <cellStyle name="Accent6 40 2" xfId="28657" xr:uid="{00000000-0005-0000-0000-0000FD6F0000}"/>
    <cellStyle name="Accent6 41" xfId="28658" xr:uid="{00000000-0005-0000-0000-0000FE6F0000}"/>
    <cellStyle name="Accent6 41 2" xfId="28659" xr:uid="{00000000-0005-0000-0000-0000FF6F0000}"/>
    <cellStyle name="Accent6 42" xfId="28660" xr:uid="{00000000-0005-0000-0000-000000700000}"/>
    <cellStyle name="Accent6 42 2" xfId="28661" xr:uid="{00000000-0005-0000-0000-000001700000}"/>
    <cellStyle name="Accent6 43" xfId="28662" xr:uid="{00000000-0005-0000-0000-000002700000}"/>
    <cellStyle name="Accent6 43 2" xfId="28663" xr:uid="{00000000-0005-0000-0000-000003700000}"/>
    <cellStyle name="Accent6 44" xfId="28664" xr:uid="{00000000-0005-0000-0000-000004700000}"/>
    <cellStyle name="Accent6 44 2" xfId="28665" xr:uid="{00000000-0005-0000-0000-000005700000}"/>
    <cellStyle name="Accent6 45" xfId="28666" xr:uid="{00000000-0005-0000-0000-000006700000}"/>
    <cellStyle name="Accent6 45 2" xfId="28667" xr:uid="{00000000-0005-0000-0000-000007700000}"/>
    <cellStyle name="Accent6 46" xfId="28668" xr:uid="{00000000-0005-0000-0000-000008700000}"/>
    <cellStyle name="Accent6 46 2" xfId="28669" xr:uid="{00000000-0005-0000-0000-000009700000}"/>
    <cellStyle name="Accent6 47" xfId="28670" xr:uid="{00000000-0005-0000-0000-00000A700000}"/>
    <cellStyle name="Accent6 47 2" xfId="28671" xr:uid="{00000000-0005-0000-0000-00000B700000}"/>
    <cellStyle name="Accent6 48" xfId="28672" xr:uid="{00000000-0005-0000-0000-00000C700000}"/>
    <cellStyle name="Accent6 48 2" xfId="28673" xr:uid="{00000000-0005-0000-0000-00000D700000}"/>
    <cellStyle name="Accent6 49" xfId="28674" xr:uid="{00000000-0005-0000-0000-00000E700000}"/>
    <cellStyle name="Accent6 49 2" xfId="28675" xr:uid="{00000000-0005-0000-0000-00000F700000}"/>
    <cellStyle name="Accent6 5" xfId="28676" xr:uid="{00000000-0005-0000-0000-000010700000}"/>
    <cellStyle name="Accent6 5 2" xfId="28677" xr:uid="{00000000-0005-0000-0000-000011700000}"/>
    <cellStyle name="Accent6 5 2 2" xfId="28678" xr:uid="{00000000-0005-0000-0000-000012700000}"/>
    <cellStyle name="Accent6 5 3" xfId="28679" xr:uid="{00000000-0005-0000-0000-000013700000}"/>
    <cellStyle name="Accent6 50" xfId="28680" xr:uid="{00000000-0005-0000-0000-000014700000}"/>
    <cellStyle name="Accent6 50 2" xfId="28681" xr:uid="{00000000-0005-0000-0000-000015700000}"/>
    <cellStyle name="Accent6 51" xfId="28682" xr:uid="{00000000-0005-0000-0000-000016700000}"/>
    <cellStyle name="Accent6 51 2" xfId="28683" xr:uid="{00000000-0005-0000-0000-000017700000}"/>
    <cellStyle name="Accent6 52" xfId="28684" xr:uid="{00000000-0005-0000-0000-000018700000}"/>
    <cellStyle name="Accent6 52 2" xfId="28685" xr:uid="{00000000-0005-0000-0000-000019700000}"/>
    <cellStyle name="Accent6 53" xfId="28686" xr:uid="{00000000-0005-0000-0000-00001A700000}"/>
    <cellStyle name="Accent6 53 2" xfId="28687" xr:uid="{00000000-0005-0000-0000-00001B700000}"/>
    <cellStyle name="Accent6 54" xfId="28688" xr:uid="{00000000-0005-0000-0000-00001C700000}"/>
    <cellStyle name="Accent6 54 2" xfId="28689" xr:uid="{00000000-0005-0000-0000-00001D700000}"/>
    <cellStyle name="Accent6 55" xfId="28690" xr:uid="{00000000-0005-0000-0000-00001E700000}"/>
    <cellStyle name="Accent6 55 2" xfId="28691" xr:uid="{00000000-0005-0000-0000-00001F700000}"/>
    <cellStyle name="Accent6 56" xfId="28692" xr:uid="{00000000-0005-0000-0000-000020700000}"/>
    <cellStyle name="Accent6 56 2" xfId="28693" xr:uid="{00000000-0005-0000-0000-000021700000}"/>
    <cellStyle name="Accent6 57" xfId="28694" xr:uid="{00000000-0005-0000-0000-000022700000}"/>
    <cellStyle name="Accent6 57 2" xfId="28695" xr:uid="{00000000-0005-0000-0000-000023700000}"/>
    <cellStyle name="Accent6 58" xfId="28696" xr:uid="{00000000-0005-0000-0000-000024700000}"/>
    <cellStyle name="Accent6 58 2" xfId="28697" xr:uid="{00000000-0005-0000-0000-000025700000}"/>
    <cellStyle name="Accent6 59" xfId="28698" xr:uid="{00000000-0005-0000-0000-000026700000}"/>
    <cellStyle name="Accent6 6" xfId="28699" xr:uid="{00000000-0005-0000-0000-000027700000}"/>
    <cellStyle name="Accent6 6 2" xfId="28700" xr:uid="{00000000-0005-0000-0000-000028700000}"/>
    <cellStyle name="Accent6 6 3" xfId="28701" xr:uid="{00000000-0005-0000-0000-000029700000}"/>
    <cellStyle name="Accent6 60" xfId="28702" xr:uid="{00000000-0005-0000-0000-00002A700000}"/>
    <cellStyle name="Accent6 61" xfId="28703" xr:uid="{00000000-0005-0000-0000-00002B700000}"/>
    <cellStyle name="Accent6 62" xfId="28704" xr:uid="{00000000-0005-0000-0000-00002C700000}"/>
    <cellStyle name="Accent6 63" xfId="28705" xr:uid="{00000000-0005-0000-0000-00002D700000}"/>
    <cellStyle name="Accent6 63 2" xfId="28706" xr:uid="{00000000-0005-0000-0000-00002E700000}"/>
    <cellStyle name="Accent6 64" xfId="28707" xr:uid="{00000000-0005-0000-0000-00002F700000}"/>
    <cellStyle name="Accent6 64 2" xfId="28708" xr:uid="{00000000-0005-0000-0000-000030700000}"/>
    <cellStyle name="Accent6 65" xfId="28709" xr:uid="{00000000-0005-0000-0000-000031700000}"/>
    <cellStyle name="Accent6 65 2" xfId="28710" xr:uid="{00000000-0005-0000-0000-000032700000}"/>
    <cellStyle name="Accent6 66" xfId="28711" xr:uid="{00000000-0005-0000-0000-000033700000}"/>
    <cellStyle name="Accent6 66 2" xfId="28712" xr:uid="{00000000-0005-0000-0000-000034700000}"/>
    <cellStyle name="Accent6 67" xfId="28713" xr:uid="{00000000-0005-0000-0000-000035700000}"/>
    <cellStyle name="Accent6 67 2" xfId="28714" xr:uid="{00000000-0005-0000-0000-000036700000}"/>
    <cellStyle name="Accent6 68" xfId="28715" xr:uid="{00000000-0005-0000-0000-000037700000}"/>
    <cellStyle name="Accent6 68 2" xfId="28716" xr:uid="{00000000-0005-0000-0000-000038700000}"/>
    <cellStyle name="Accent6 69" xfId="28717" xr:uid="{00000000-0005-0000-0000-000039700000}"/>
    <cellStyle name="Accent6 69 2" xfId="28718" xr:uid="{00000000-0005-0000-0000-00003A700000}"/>
    <cellStyle name="Accent6 7" xfId="28719" xr:uid="{00000000-0005-0000-0000-00003B700000}"/>
    <cellStyle name="Accent6 7 2" xfId="28720" xr:uid="{00000000-0005-0000-0000-00003C700000}"/>
    <cellStyle name="Accent6 70" xfId="28721" xr:uid="{00000000-0005-0000-0000-00003D700000}"/>
    <cellStyle name="Accent6 70 2" xfId="28722" xr:uid="{00000000-0005-0000-0000-00003E700000}"/>
    <cellStyle name="Accent6 71" xfId="28723" xr:uid="{00000000-0005-0000-0000-00003F700000}"/>
    <cellStyle name="Accent6 71 2" xfId="28724" xr:uid="{00000000-0005-0000-0000-000040700000}"/>
    <cellStyle name="Accent6 72" xfId="28725" xr:uid="{00000000-0005-0000-0000-000041700000}"/>
    <cellStyle name="Accent6 72 2" xfId="28726" xr:uid="{00000000-0005-0000-0000-000042700000}"/>
    <cellStyle name="Accent6 73" xfId="28727" xr:uid="{00000000-0005-0000-0000-000043700000}"/>
    <cellStyle name="Accent6 73 2" xfId="28728" xr:uid="{00000000-0005-0000-0000-000044700000}"/>
    <cellStyle name="Accent6 74" xfId="28729" xr:uid="{00000000-0005-0000-0000-000045700000}"/>
    <cellStyle name="Accent6 74 2" xfId="28730" xr:uid="{00000000-0005-0000-0000-000046700000}"/>
    <cellStyle name="Accent6 75" xfId="28731" xr:uid="{00000000-0005-0000-0000-000047700000}"/>
    <cellStyle name="Accent6 75 2" xfId="28732" xr:uid="{00000000-0005-0000-0000-000048700000}"/>
    <cellStyle name="Accent6 76" xfId="28733" xr:uid="{00000000-0005-0000-0000-000049700000}"/>
    <cellStyle name="Accent6 76 2" xfId="28734" xr:uid="{00000000-0005-0000-0000-00004A700000}"/>
    <cellStyle name="Accent6 77" xfId="28735" xr:uid="{00000000-0005-0000-0000-00004B700000}"/>
    <cellStyle name="Accent6 77 2" xfId="28736" xr:uid="{00000000-0005-0000-0000-00004C700000}"/>
    <cellStyle name="Accent6 78" xfId="28737" xr:uid="{00000000-0005-0000-0000-00004D700000}"/>
    <cellStyle name="Accent6 78 2" xfId="28738" xr:uid="{00000000-0005-0000-0000-00004E700000}"/>
    <cellStyle name="Accent6 79" xfId="28739" xr:uid="{00000000-0005-0000-0000-00004F700000}"/>
    <cellStyle name="Accent6 79 2" xfId="28740" xr:uid="{00000000-0005-0000-0000-000050700000}"/>
    <cellStyle name="Accent6 8" xfId="28741" xr:uid="{00000000-0005-0000-0000-000051700000}"/>
    <cellStyle name="Accent6 8 2" xfId="28742" xr:uid="{00000000-0005-0000-0000-000052700000}"/>
    <cellStyle name="Accent6 80" xfId="28743" xr:uid="{00000000-0005-0000-0000-000053700000}"/>
    <cellStyle name="Accent6 80 2" xfId="28744" xr:uid="{00000000-0005-0000-0000-000054700000}"/>
    <cellStyle name="Accent6 81" xfId="28745" xr:uid="{00000000-0005-0000-0000-000055700000}"/>
    <cellStyle name="Accent6 81 2" xfId="28746" xr:uid="{00000000-0005-0000-0000-000056700000}"/>
    <cellStyle name="Accent6 82" xfId="28747" xr:uid="{00000000-0005-0000-0000-000057700000}"/>
    <cellStyle name="Accent6 82 2" xfId="28748" xr:uid="{00000000-0005-0000-0000-000058700000}"/>
    <cellStyle name="Accent6 83" xfId="28749" xr:uid="{00000000-0005-0000-0000-000059700000}"/>
    <cellStyle name="Accent6 83 2" xfId="28750" xr:uid="{00000000-0005-0000-0000-00005A700000}"/>
    <cellStyle name="Accent6 84" xfId="28751" xr:uid="{00000000-0005-0000-0000-00005B700000}"/>
    <cellStyle name="Accent6 84 2" xfId="28752" xr:uid="{00000000-0005-0000-0000-00005C700000}"/>
    <cellStyle name="Accent6 85" xfId="28753" xr:uid="{00000000-0005-0000-0000-00005D700000}"/>
    <cellStyle name="Accent6 85 2" xfId="28754" xr:uid="{00000000-0005-0000-0000-00005E700000}"/>
    <cellStyle name="Accent6 86" xfId="28755" xr:uid="{00000000-0005-0000-0000-00005F700000}"/>
    <cellStyle name="Accent6 86 2" xfId="28756" xr:uid="{00000000-0005-0000-0000-000060700000}"/>
    <cellStyle name="Accent6 87" xfId="28757" xr:uid="{00000000-0005-0000-0000-000061700000}"/>
    <cellStyle name="Accent6 87 2" xfId="28758" xr:uid="{00000000-0005-0000-0000-000062700000}"/>
    <cellStyle name="Accent6 88" xfId="28759" xr:uid="{00000000-0005-0000-0000-000063700000}"/>
    <cellStyle name="Accent6 89" xfId="28760" xr:uid="{00000000-0005-0000-0000-000064700000}"/>
    <cellStyle name="Accent6 89 2" xfId="28761" xr:uid="{00000000-0005-0000-0000-000065700000}"/>
    <cellStyle name="Accent6 9" xfId="28762" xr:uid="{00000000-0005-0000-0000-000066700000}"/>
    <cellStyle name="Accent6 9 2" xfId="28763" xr:uid="{00000000-0005-0000-0000-000067700000}"/>
    <cellStyle name="Accent6 90" xfId="28764" xr:uid="{00000000-0005-0000-0000-000068700000}"/>
    <cellStyle name="Accent6 90 2" xfId="28765" xr:uid="{00000000-0005-0000-0000-000069700000}"/>
    <cellStyle name="Accent6 91" xfId="28766" xr:uid="{00000000-0005-0000-0000-00006A700000}"/>
    <cellStyle name="Accent6 91 2" xfId="28767" xr:uid="{00000000-0005-0000-0000-00006B700000}"/>
    <cellStyle name="Accent6 92" xfId="28768" xr:uid="{00000000-0005-0000-0000-00006C700000}"/>
    <cellStyle name="Accent6 92 2" xfId="28769" xr:uid="{00000000-0005-0000-0000-00006D700000}"/>
    <cellStyle name="Accent6 93" xfId="28770" xr:uid="{00000000-0005-0000-0000-00006E700000}"/>
    <cellStyle name="Accent6 93 2" xfId="28771" xr:uid="{00000000-0005-0000-0000-00006F700000}"/>
    <cellStyle name="Accent6 94" xfId="28772" xr:uid="{00000000-0005-0000-0000-000070700000}"/>
    <cellStyle name="Accent6 94 2" xfId="28773" xr:uid="{00000000-0005-0000-0000-000071700000}"/>
    <cellStyle name="Accent6 95" xfId="28774" xr:uid="{00000000-0005-0000-0000-000072700000}"/>
    <cellStyle name="Accent6 96" xfId="28775" xr:uid="{00000000-0005-0000-0000-000073700000}"/>
    <cellStyle name="Accent6 97" xfId="28776" xr:uid="{00000000-0005-0000-0000-000074700000}"/>
    <cellStyle name="Accent6 98" xfId="28777" xr:uid="{00000000-0005-0000-0000-000075700000}"/>
    <cellStyle name="Accent6 99" xfId="28778" xr:uid="{00000000-0005-0000-0000-000076700000}"/>
    <cellStyle name="Bad" xfId="41009" builtinId="27" customBuiltin="1"/>
    <cellStyle name="Bad 10" xfId="28779" xr:uid="{00000000-0005-0000-0000-000078700000}"/>
    <cellStyle name="Bad 10 2" xfId="28780" xr:uid="{00000000-0005-0000-0000-000079700000}"/>
    <cellStyle name="Bad 100" xfId="28781" xr:uid="{00000000-0005-0000-0000-00007A700000}"/>
    <cellStyle name="Bad 101" xfId="28782" xr:uid="{00000000-0005-0000-0000-00007B700000}"/>
    <cellStyle name="Bad 102" xfId="28783" xr:uid="{00000000-0005-0000-0000-00007C700000}"/>
    <cellStyle name="Bad 103" xfId="28784" xr:uid="{00000000-0005-0000-0000-00007D700000}"/>
    <cellStyle name="Bad 104" xfId="28785" xr:uid="{00000000-0005-0000-0000-00007E700000}"/>
    <cellStyle name="Bad 105" xfId="28786" xr:uid="{00000000-0005-0000-0000-00007F700000}"/>
    <cellStyle name="Bad 106" xfId="28787" xr:uid="{00000000-0005-0000-0000-000080700000}"/>
    <cellStyle name="Bad 107" xfId="28788" xr:uid="{00000000-0005-0000-0000-000081700000}"/>
    <cellStyle name="Bad 108" xfId="28789" xr:uid="{00000000-0005-0000-0000-000082700000}"/>
    <cellStyle name="Bad 109" xfId="28790" xr:uid="{00000000-0005-0000-0000-000083700000}"/>
    <cellStyle name="Bad 11" xfId="28791" xr:uid="{00000000-0005-0000-0000-000084700000}"/>
    <cellStyle name="Bad 11 2" xfId="28792" xr:uid="{00000000-0005-0000-0000-000085700000}"/>
    <cellStyle name="Bad 110" xfId="28793" xr:uid="{00000000-0005-0000-0000-000086700000}"/>
    <cellStyle name="Bad 111" xfId="28794" xr:uid="{00000000-0005-0000-0000-000087700000}"/>
    <cellStyle name="Bad 112" xfId="28795" xr:uid="{00000000-0005-0000-0000-000088700000}"/>
    <cellStyle name="Bad 113" xfId="28796" xr:uid="{00000000-0005-0000-0000-000089700000}"/>
    <cellStyle name="Bad 114" xfId="28797" xr:uid="{00000000-0005-0000-0000-00008A700000}"/>
    <cellStyle name="Bad 115" xfId="28798" xr:uid="{00000000-0005-0000-0000-00008B700000}"/>
    <cellStyle name="Bad 116" xfId="28799" xr:uid="{00000000-0005-0000-0000-00008C700000}"/>
    <cellStyle name="Bad 117" xfId="28800" xr:uid="{00000000-0005-0000-0000-00008D700000}"/>
    <cellStyle name="Bad 118" xfId="28801" xr:uid="{00000000-0005-0000-0000-00008E700000}"/>
    <cellStyle name="Bad 119" xfId="28802" xr:uid="{00000000-0005-0000-0000-00008F700000}"/>
    <cellStyle name="Bad 12" xfId="28803" xr:uid="{00000000-0005-0000-0000-000090700000}"/>
    <cellStyle name="Bad 12 2" xfId="28804" xr:uid="{00000000-0005-0000-0000-000091700000}"/>
    <cellStyle name="Bad 120" xfId="28805" xr:uid="{00000000-0005-0000-0000-000092700000}"/>
    <cellStyle name="Bad 121" xfId="28806" xr:uid="{00000000-0005-0000-0000-000093700000}"/>
    <cellStyle name="Bad 122" xfId="28807" xr:uid="{00000000-0005-0000-0000-000094700000}"/>
    <cellStyle name="Bad 123" xfId="28808" xr:uid="{00000000-0005-0000-0000-000095700000}"/>
    <cellStyle name="Bad 124" xfId="28809" xr:uid="{00000000-0005-0000-0000-000096700000}"/>
    <cellStyle name="Bad 125" xfId="28810" xr:uid="{00000000-0005-0000-0000-000097700000}"/>
    <cellStyle name="Bad 126" xfId="28811" xr:uid="{00000000-0005-0000-0000-000098700000}"/>
    <cellStyle name="Bad 127" xfId="28812" xr:uid="{00000000-0005-0000-0000-000099700000}"/>
    <cellStyle name="Bad 128" xfId="28813" xr:uid="{00000000-0005-0000-0000-00009A700000}"/>
    <cellStyle name="Bad 129" xfId="28814" xr:uid="{00000000-0005-0000-0000-00009B700000}"/>
    <cellStyle name="Bad 13" xfId="28815" xr:uid="{00000000-0005-0000-0000-00009C700000}"/>
    <cellStyle name="Bad 13 2" xfId="28816" xr:uid="{00000000-0005-0000-0000-00009D700000}"/>
    <cellStyle name="Bad 130" xfId="28817" xr:uid="{00000000-0005-0000-0000-00009E700000}"/>
    <cellStyle name="Bad 131" xfId="28818" xr:uid="{00000000-0005-0000-0000-00009F700000}"/>
    <cellStyle name="Bad 132" xfId="28819" xr:uid="{00000000-0005-0000-0000-0000A0700000}"/>
    <cellStyle name="Bad 133" xfId="28820" xr:uid="{00000000-0005-0000-0000-0000A1700000}"/>
    <cellStyle name="Bad 14" xfId="28821" xr:uid="{00000000-0005-0000-0000-0000A2700000}"/>
    <cellStyle name="Bad 14 2" xfId="28822" xr:uid="{00000000-0005-0000-0000-0000A3700000}"/>
    <cellStyle name="Bad 15" xfId="28823" xr:uid="{00000000-0005-0000-0000-0000A4700000}"/>
    <cellStyle name="Bad 15 2" xfId="28824" xr:uid="{00000000-0005-0000-0000-0000A5700000}"/>
    <cellStyle name="Bad 16" xfId="28825" xr:uid="{00000000-0005-0000-0000-0000A6700000}"/>
    <cellStyle name="Bad 16 2" xfId="28826" xr:uid="{00000000-0005-0000-0000-0000A7700000}"/>
    <cellStyle name="Bad 17" xfId="28827" xr:uid="{00000000-0005-0000-0000-0000A8700000}"/>
    <cellStyle name="Bad 17 2" xfId="28828" xr:uid="{00000000-0005-0000-0000-0000A9700000}"/>
    <cellStyle name="Bad 18" xfId="28829" xr:uid="{00000000-0005-0000-0000-0000AA700000}"/>
    <cellStyle name="Bad 18 2" xfId="28830" xr:uid="{00000000-0005-0000-0000-0000AB700000}"/>
    <cellStyle name="Bad 19" xfId="28831" xr:uid="{00000000-0005-0000-0000-0000AC700000}"/>
    <cellStyle name="Bad 19 2" xfId="28832" xr:uid="{00000000-0005-0000-0000-0000AD700000}"/>
    <cellStyle name="Bad 2" xfId="28833" xr:uid="{00000000-0005-0000-0000-0000AE700000}"/>
    <cellStyle name="Bad 2 2" xfId="28834" xr:uid="{00000000-0005-0000-0000-0000AF700000}"/>
    <cellStyle name="Bad 2 2 2" xfId="28835" xr:uid="{00000000-0005-0000-0000-0000B0700000}"/>
    <cellStyle name="Bad 2 2 2 2" xfId="28836" xr:uid="{00000000-0005-0000-0000-0000B1700000}"/>
    <cellStyle name="Bad 2 2 2 2 2" xfId="28837" xr:uid="{00000000-0005-0000-0000-0000B2700000}"/>
    <cellStyle name="Bad 2 3" xfId="28838" xr:uid="{00000000-0005-0000-0000-0000B3700000}"/>
    <cellStyle name="Bad 2 4" xfId="28839" xr:uid="{00000000-0005-0000-0000-0000B4700000}"/>
    <cellStyle name="Bad 2 5" xfId="41060" xr:uid="{00000000-0005-0000-0000-000018000000}"/>
    <cellStyle name="Bad 20" xfId="28840" xr:uid="{00000000-0005-0000-0000-0000B5700000}"/>
    <cellStyle name="Bad 20 2" xfId="28841" xr:uid="{00000000-0005-0000-0000-0000B6700000}"/>
    <cellStyle name="Bad 21" xfId="28842" xr:uid="{00000000-0005-0000-0000-0000B7700000}"/>
    <cellStyle name="Bad 21 2" xfId="28843" xr:uid="{00000000-0005-0000-0000-0000B8700000}"/>
    <cellStyle name="Bad 22" xfId="28844" xr:uid="{00000000-0005-0000-0000-0000B9700000}"/>
    <cellStyle name="Bad 22 2" xfId="28845" xr:uid="{00000000-0005-0000-0000-0000BA700000}"/>
    <cellStyle name="Bad 23" xfId="28846" xr:uid="{00000000-0005-0000-0000-0000BB700000}"/>
    <cellStyle name="Bad 23 2" xfId="28847" xr:uid="{00000000-0005-0000-0000-0000BC700000}"/>
    <cellStyle name="Bad 24" xfId="28848" xr:uid="{00000000-0005-0000-0000-0000BD700000}"/>
    <cellStyle name="Bad 24 2" xfId="28849" xr:uid="{00000000-0005-0000-0000-0000BE700000}"/>
    <cellStyle name="Bad 25" xfId="28850" xr:uid="{00000000-0005-0000-0000-0000BF700000}"/>
    <cellStyle name="Bad 25 2" xfId="28851" xr:uid="{00000000-0005-0000-0000-0000C0700000}"/>
    <cellStyle name="Bad 26" xfId="28852" xr:uid="{00000000-0005-0000-0000-0000C1700000}"/>
    <cellStyle name="Bad 26 2" xfId="28853" xr:uid="{00000000-0005-0000-0000-0000C2700000}"/>
    <cellStyle name="Bad 27" xfId="28854" xr:uid="{00000000-0005-0000-0000-0000C3700000}"/>
    <cellStyle name="Bad 27 2" xfId="28855" xr:uid="{00000000-0005-0000-0000-0000C4700000}"/>
    <cellStyle name="Bad 28" xfId="28856" xr:uid="{00000000-0005-0000-0000-0000C5700000}"/>
    <cellStyle name="Bad 28 2" xfId="28857" xr:uid="{00000000-0005-0000-0000-0000C6700000}"/>
    <cellStyle name="Bad 29" xfId="28858" xr:uid="{00000000-0005-0000-0000-0000C7700000}"/>
    <cellStyle name="Bad 29 2" xfId="28859" xr:uid="{00000000-0005-0000-0000-0000C8700000}"/>
    <cellStyle name="Bad 3" xfId="28860" xr:uid="{00000000-0005-0000-0000-0000C9700000}"/>
    <cellStyle name="Bad 3 2" xfId="28861" xr:uid="{00000000-0005-0000-0000-0000CA700000}"/>
    <cellStyle name="Bad 3 2 2" xfId="28862" xr:uid="{00000000-0005-0000-0000-0000CB700000}"/>
    <cellStyle name="Bad 3 3" xfId="28863" xr:uid="{00000000-0005-0000-0000-0000CC700000}"/>
    <cellStyle name="Bad 3 4" xfId="28864" xr:uid="{00000000-0005-0000-0000-0000CD700000}"/>
    <cellStyle name="Bad 3_MAR 2009" xfId="28865" xr:uid="{00000000-0005-0000-0000-0000CE700000}"/>
    <cellStyle name="Bad 30" xfId="28866" xr:uid="{00000000-0005-0000-0000-0000CF700000}"/>
    <cellStyle name="Bad 30 2" xfId="28867" xr:uid="{00000000-0005-0000-0000-0000D0700000}"/>
    <cellStyle name="Bad 31" xfId="28868" xr:uid="{00000000-0005-0000-0000-0000D1700000}"/>
    <cellStyle name="Bad 31 2" xfId="28869" xr:uid="{00000000-0005-0000-0000-0000D2700000}"/>
    <cellStyle name="Bad 32" xfId="28870" xr:uid="{00000000-0005-0000-0000-0000D3700000}"/>
    <cellStyle name="Bad 32 2" xfId="28871" xr:uid="{00000000-0005-0000-0000-0000D4700000}"/>
    <cellStyle name="Bad 33" xfId="28872" xr:uid="{00000000-0005-0000-0000-0000D5700000}"/>
    <cellStyle name="Bad 33 2" xfId="28873" xr:uid="{00000000-0005-0000-0000-0000D6700000}"/>
    <cellStyle name="Bad 34" xfId="28874" xr:uid="{00000000-0005-0000-0000-0000D7700000}"/>
    <cellStyle name="Bad 34 2" xfId="28875" xr:uid="{00000000-0005-0000-0000-0000D8700000}"/>
    <cellStyle name="Bad 35" xfId="28876" xr:uid="{00000000-0005-0000-0000-0000D9700000}"/>
    <cellStyle name="Bad 35 2" xfId="28877" xr:uid="{00000000-0005-0000-0000-0000DA700000}"/>
    <cellStyle name="Bad 36" xfId="28878" xr:uid="{00000000-0005-0000-0000-0000DB700000}"/>
    <cellStyle name="Bad 36 2" xfId="28879" xr:uid="{00000000-0005-0000-0000-0000DC700000}"/>
    <cellStyle name="Bad 37" xfId="28880" xr:uid="{00000000-0005-0000-0000-0000DD700000}"/>
    <cellStyle name="Bad 37 2" xfId="28881" xr:uid="{00000000-0005-0000-0000-0000DE700000}"/>
    <cellStyle name="Bad 38" xfId="28882" xr:uid="{00000000-0005-0000-0000-0000DF700000}"/>
    <cellStyle name="Bad 38 2" xfId="28883" xr:uid="{00000000-0005-0000-0000-0000E0700000}"/>
    <cellStyle name="Bad 39" xfId="28884" xr:uid="{00000000-0005-0000-0000-0000E1700000}"/>
    <cellStyle name="Bad 39 2" xfId="28885" xr:uid="{00000000-0005-0000-0000-0000E2700000}"/>
    <cellStyle name="Bad 4" xfId="28886" xr:uid="{00000000-0005-0000-0000-0000E3700000}"/>
    <cellStyle name="Bad 4 2" xfId="28887" xr:uid="{00000000-0005-0000-0000-0000E4700000}"/>
    <cellStyle name="Bad 4 2 2" xfId="28888" xr:uid="{00000000-0005-0000-0000-0000E5700000}"/>
    <cellStyle name="Bad 4 3" xfId="28889" xr:uid="{00000000-0005-0000-0000-0000E6700000}"/>
    <cellStyle name="Bad 40" xfId="28890" xr:uid="{00000000-0005-0000-0000-0000E7700000}"/>
    <cellStyle name="Bad 40 2" xfId="28891" xr:uid="{00000000-0005-0000-0000-0000E8700000}"/>
    <cellStyle name="Bad 41" xfId="28892" xr:uid="{00000000-0005-0000-0000-0000E9700000}"/>
    <cellStyle name="Bad 41 2" xfId="28893" xr:uid="{00000000-0005-0000-0000-0000EA700000}"/>
    <cellStyle name="Bad 42" xfId="28894" xr:uid="{00000000-0005-0000-0000-0000EB700000}"/>
    <cellStyle name="Bad 42 2" xfId="28895" xr:uid="{00000000-0005-0000-0000-0000EC700000}"/>
    <cellStyle name="Bad 43" xfId="28896" xr:uid="{00000000-0005-0000-0000-0000ED700000}"/>
    <cellStyle name="Bad 43 2" xfId="28897" xr:uid="{00000000-0005-0000-0000-0000EE700000}"/>
    <cellStyle name="Bad 44" xfId="28898" xr:uid="{00000000-0005-0000-0000-0000EF700000}"/>
    <cellStyle name="Bad 44 2" xfId="28899" xr:uid="{00000000-0005-0000-0000-0000F0700000}"/>
    <cellStyle name="Bad 45" xfId="28900" xr:uid="{00000000-0005-0000-0000-0000F1700000}"/>
    <cellStyle name="Bad 45 2" xfId="28901" xr:uid="{00000000-0005-0000-0000-0000F2700000}"/>
    <cellStyle name="Bad 46" xfId="28902" xr:uid="{00000000-0005-0000-0000-0000F3700000}"/>
    <cellStyle name="Bad 46 2" xfId="28903" xr:uid="{00000000-0005-0000-0000-0000F4700000}"/>
    <cellStyle name="Bad 47" xfId="28904" xr:uid="{00000000-0005-0000-0000-0000F5700000}"/>
    <cellStyle name="Bad 47 2" xfId="28905" xr:uid="{00000000-0005-0000-0000-0000F6700000}"/>
    <cellStyle name="Bad 48" xfId="28906" xr:uid="{00000000-0005-0000-0000-0000F7700000}"/>
    <cellStyle name="Bad 48 2" xfId="28907" xr:uid="{00000000-0005-0000-0000-0000F8700000}"/>
    <cellStyle name="Bad 49" xfId="28908" xr:uid="{00000000-0005-0000-0000-0000F9700000}"/>
    <cellStyle name="Bad 49 2" xfId="28909" xr:uid="{00000000-0005-0000-0000-0000FA700000}"/>
    <cellStyle name="Bad 5" xfId="28910" xr:uid="{00000000-0005-0000-0000-0000FB700000}"/>
    <cellStyle name="Bad 5 2" xfId="28911" xr:uid="{00000000-0005-0000-0000-0000FC700000}"/>
    <cellStyle name="Bad 5 2 2" xfId="28912" xr:uid="{00000000-0005-0000-0000-0000FD700000}"/>
    <cellStyle name="Bad 5 3" xfId="28913" xr:uid="{00000000-0005-0000-0000-0000FE700000}"/>
    <cellStyle name="Bad 50" xfId="28914" xr:uid="{00000000-0005-0000-0000-0000FF700000}"/>
    <cellStyle name="Bad 50 2" xfId="28915" xr:uid="{00000000-0005-0000-0000-000000710000}"/>
    <cellStyle name="Bad 51" xfId="28916" xr:uid="{00000000-0005-0000-0000-000001710000}"/>
    <cellStyle name="Bad 51 2" xfId="28917" xr:uid="{00000000-0005-0000-0000-000002710000}"/>
    <cellStyle name="Bad 52" xfId="28918" xr:uid="{00000000-0005-0000-0000-000003710000}"/>
    <cellStyle name="Bad 52 2" xfId="28919" xr:uid="{00000000-0005-0000-0000-000004710000}"/>
    <cellStyle name="Bad 53" xfId="28920" xr:uid="{00000000-0005-0000-0000-000005710000}"/>
    <cellStyle name="Bad 53 2" xfId="28921" xr:uid="{00000000-0005-0000-0000-000006710000}"/>
    <cellStyle name="Bad 54" xfId="28922" xr:uid="{00000000-0005-0000-0000-000007710000}"/>
    <cellStyle name="Bad 54 2" xfId="28923" xr:uid="{00000000-0005-0000-0000-000008710000}"/>
    <cellStyle name="Bad 55" xfId="28924" xr:uid="{00000000-0005-0000-0000-000009710000}"/>
    <cellStyle name="Bad 55 2" xfId="28925" xr:uid="{00000000-0005-0000-0000-00000A710000}"/>
    <cellStyle name="Bad 56" xfId="28926" xr:uid="{00000000-0005-0000-0000-00000B710000}"/>
    <cellStyle name="Bad 56 2" xfId="28927" xr:uid="{00000000-0005-0000-0000-00000C710000}"/>
    <cellStyle name="Bad 57" xfId="28928" xr:uid="{00000000-0005-0000-0000-00000D710000}"/>
    <cellStyle name="Bad 57 2" xfId="28929" xr:uid="{00000000-0005-0000-0000-00000E710000}"/>
    <cellStyle name="Bad 58" xfId="28930" xr:uid="{00000000-0005-0000-0000-00000F710000}"/>
    <cellStyle name="Bad 58 2" xfId="28931" xr:uid="{00000000-0005-0000-0000-000010710000}"/>
    <cellStyle name="Bad 59" xfId="28932" xr:uid="{00000000-0005-0000-0000-000011710000}"/>
    <cellStyle name="Bad 6" xfId="28933" xr:uid="{00000000-0005-0000-0000-000012710000}"/>
    <cellStyle name="Bad 6 2" xfId="28934" xr:uid="{00000000-0005-0000-0000-000013710000}"/>
    <cellStyle name="Bad 6 3" xfId="28935" xr:uid="{00000000-0005-0000-0000-000014710000}"/>
    <cellStyle name="Bad 60" xfId="28936" xr:uid="{00000000-0005-0000-0000-000015710000}"/>
    <cellStyle name="Bad 61" xfId="28937" xr:uid="{00000000-0005-0000-0000-000016710000}"/>
    <cellStyle name="Bad 62" xfId="28938" xr:uid="{00000000-0005-0000-0000-000017710000}"/>
    <cellStyle name="Bad 63" xfId="28939" xr:uid="{00000000-0005-0000-0000-000018710000}"/>
    <cellStyle name="Bad 63 2" xfId="28940" xr:uid="{00000000-0005-0000-0000-000019710000}"/>
    <cellStyle name="Bad 64" xfId="28941" xr:uid="{00000000-0005-0000-0000-00001A710000}"/>
    <cellStyle name="Bad 64 2" xfId="28942" xr:uid="{00000000-0005-0000-0000-00001B710000}"/>
    <cellStyle name="Bad 65" xfId="28943" xr:uid="{00000000-0005-0000-0000-00001C710000}"/>
    <cellStyle name="Bad 65 2" xfId="28944" xr:uid="{00000000-0005-0000-0000-00001D710000}"/>
    <cellStyle name="Bad 66" xfId="28945" xr:uid="{00000000-0005-0000-0000-00001E710000}"/>
    <cellStyle name="Bad 66 2" xfId="28946" xr:uid="{00000000-0005-0000-0000-00001F710000}"/>
    <cellStyle name="Bad 67" xfId="28947" xr:uid="{00000000-0005-0000-0000-000020710000}"/>
    <cellStyle name="Bad 67 2" xfId="28948" xr:uid="{00000000-0005-0000-0000-000021710000}"/>
    <cellStyle name="Bad 68" xfId="28949" xr:uid="{00000000-0005-0000-0000-000022710000}"/>
    <cellStyle name="Bad 68 2" xfId="28950" xr:uid="{00000000-0005-0000-0000-000023710000}"/>
    <cellStyle name="Bad 69" xfId="28951" xr:uid="{00000000-0005-0000-0000-000024710000}"/>
    <cellStyle name="Bad 69 2" xfId="28952" xr:uid="{00000000-0005-0000-0000-000025710000}"/>
    <cellStyle name="Bad 7" xfId="28953" xr:uid="{00000000-0005-0000-0000-000026710000}"/>
    <cellStyle name="Bad 7 2" xfId="28954" xr:uid="{00000000-0005-0000-0000-000027710000}"/>
    <cellStyle name="Bad 70" xfId="28955" xr:uid="{00000000-0005-0000-0000-000028710000}"/>
    <cellStyle name="Bad 70 2" xfId="28956" xr:uid="{00000000-0005-0000-0000-000029710000}"/>
    <cellStyle name="Bad 71" xfId="28957" xr:uid="{00000000-0005-0000-0000-00002A710000}"/>
    <cellStyle name="Bad 71 2" xfId="28958" xr:uid="{00000000-0005-0000-0000-00002B710000}"/>
    <cellStyle name="Bad 72" xfId="28959" xr:uid="{00000000-0005-0000-0000-00002C710000}"/>
    <cellStyle name="Bad 72 2" xfId="28960" xr:uid="{00000000-0005-0000-0000-00002D710000}"/>
    <cellStyle name="Bad 73" xfId="28961" xr:uid="{00000000-0005-0000-0000-00002E710000}"/>
    <cellStyle name="Bad 73 2" xfId="28962" xr:uid="{00000000-0005-0000-0000-00002F710000}"/>
    <cellStyle name="Bad 74" xfId="28963" xr:uid="{00000000-0005-0000-0000-000030710000}"/>
    <cellStyle name="Bad 74 2" xfId="28964" xr:uid="{00000000-0005-0000-0000-000031710000}"/>
    <cellStyle name="Bad 75" xfId="28965" xr:uid="{00000000-0005-0000-0000-000032710000}"/>
    <cellStyle name="Bad 75 2" xfId="28966" xr:uid="{00000000-0005-0000-0000-000033710000}"/>
    <cellStyle name="Bad 76" xfId="28967" xr:uid="{00000000-0005-0000-0000-000034710000}"/>
    <cellStyle name="Bad 76 2" xfId="28968" xr:uid="{00000000-0005-0000-0000-000035710000}"/>
    <cellStyle name="Bad 77" xfId="28969" xr:uid="{00000000-0005-0000-0000-000036710000}"/>
    <cellStyle name="Bad 77 2" xfId="28970" xr:uid="{00000000-0005-0000-0000-000037710000}"/>
    <cellStyle name="Bad 78" xfId="28971" xr:uid="{00000000-0005-0000-0000-000038710000}"/>
    <cellStyle name="Bad 78 2" xfId="28972" xr:uid="{00000000-0005-0000-0000-000039710000}"/>
    <cellStyle name="Bad 79" xfId="28973" xr:uid="{00000000-0005-0000-0000-00003A710000}"/>
    <cellStyle name="Bad 79 2" xfId="28974" xr:uid="{00000000-0005-0000-0000-00003B710000}"/>
    <cellStyle name="Bad 8" xfId="28975" xr:uid="{00000000-0005-0000-0000-00003C710000}"/>
    <cellStyle name="Bad 8 2" xfId="28976" xr:uid="{00000000-0005-0000-0000-00003D710000}"/>
    <cellStyle name="Bad 80" xfId="28977" xr:uid="{00000000-0005-0000-0000-00003E710000}"/>
    <cellStyle name="Bad 80 2" xfId="28978" xr:uid="{00000000-0005-0000-0000-00003F710000}"/>
    <cellStyle name="Bad 81" xfId="28979" xr:uid="{00000000-0005-0000-0000-000040710000}"/>
    <cellStyle name="Bad 81 2" xfId="28980" xr:uid="{00000000-0005-0000-0000-000041710000}"/>
    <cellStyle name="Bad 82" xfId="28981" xr:uid="{00000000-0005-0000-0000-000042710000}"/>
    <cellStyle name="Bad 82 2" xfId="28982" xr:uid="{00000000-0005-0000-0000-000043710000}"/>
    <cellStyle name="Bad 83" xfId="28983" xr:uid="{00000000-0005-0000-0000-000044710000}"/>
    <cellStyle name="Bad 83 2" xfId="28984" xr:uid="{00000000-0005-0000-0000-000045710000}"/>
    <cellStyle name="Bad 84" xfId="28985" xr:uid="{00000000-0005-0000-0000-000046710000}"/>
    <cellStyle name="Bad 84 2" xfId="28986" xr:uid="{00000000-0005-0000-0000-000047710000}"/>
    <cellStyle name="Bad 85" xfId="28987" xr:uid="{00000000-0005-0000-0000-000048710000}"/>
    <cellStyle name="Bad 85 2" xfId="28988" xr:uid="{00000000-0005-0000-0000-000049710000}"/>
    <cellStyle name="Bad 86" xfId="28989" xr:uid="{00000000-0005-0000-0000-00004A710000}"/>
    <cellStyle name="Bad 86 2" xfId="28990" xr:uid="{00000000-0005-0000-0000-00004B710000}"/>
    <cellStyle name="Bad 87" xfId="28991" xr:uid="{00000000-0005-0000-0000-00004C710000}"/>
    <cellStyle name="Bad 87 2" xfId="28992" xr:uid="{00000000-0005-0000-0000-00004D710000}"/>
    <cellStyle name="Bad 88" xfId="28993" xr:uid="{00000000-0005-0000-0000-00004E710000}"/>
    <cellStyle name="Bad 89" xfId="28994" xr:uid="{00000000-0005-0000-0000-00004F710000}"/>
    <cellStyle name="Bad 89 2" xfId="28995" xr:uid="{00000000-0005-0000-0000-000050710000}"/>
    <cellStyle name="Bad 9" xfId="28996" xr:uid="{00000000-0005-0000-0000-000051710000}"/>
    <cellStyle name="Bad 9 2" xfId="28997" xr:uid="{00000000-0005-0000-0000-000052710000}"/>
    <cellStyle name="Bad 90" xfId="28998" xr:uid="{00000000-0005-0000-0000-000053710000}"/>
    <cellStyle name="Bad 90 2" xfId="28999" xr:uid="{00000000-0005-0000-0000-000054710000}"/>
    <cellStyle name="Bad 91" xfId="29000" xr:uid="{00000000-0005-0000-0000-000055710000}"/>
    <cellStyle name="Bad 91 2" xfId="29001" xr:uid="{00000000-0005-0000-0000-000056710000}"/>
    <cellStyle name="Bad 92" xfId="29002" xr:uid="{00000000-0005-0000-0000-000057710000}"/>
    <cellStyle name="Bad 92 2" xfId="29003" xr:uid="{00000000-0005-0000-0000-000058710000}"/>
    <cellStyle name="Bad 93" xfId="29004" xr:uid="{00000000-0005-0000-0000-000059710000}"/>
    <cellStyle name="Bad 93 2" xfId="29005" xr:uid="{00000000-0005-0000-0000-00005A710000}"/>
    <cellStyle name="Bad 94" xfId="29006" xr:uid="{00000000-0005-0000-0000-00005B710000}"/>
    <cellStyle name="Bad 94 2" xfId="29007" xr:uid="{00000000-0005-0000-0000-00005C710000}"/>
    <cellStyle name="Bad 95" xfId="29008" xr:uid="{00000000-0005-0000-0000-00005D710000}"/>
    <cellStyle name="Bad 96" xfId="29009" xr:uid="{00000000-0005-0000-0000-00005E710000}"/>
    <cellStyle name="Bad 97" xfId="29010" xr:uid="{00000000-0005-0000-0000-00005F710000}"/>
    <cellStyle name="Bad 98" xfId="29011" xr:uid="{00000000-0005-0000-0000-000060710000}"/>
    <cellStyle name="Bad 99" xfId="29012" xr:uid="{00000000-0005-0000-0000-000061710000}"/>
    <cellStyle name="blp_column_header" xfId="40999" xr:uid="{00000000-0005-0000-0000-000062710000}"/>
    <cellStyle name="Calculation" xfId="41012" builtinId="22" customBuiltin="1"/>
    <cellStyle name="Calculation 10" xfId="29013" xr:uid="{00000000-0005-0000-0000-000064710000}"/>
    <cellStyle name="Calculation 10 2" xfId="29014" xr:uid="{00000000-0005-0000-0000-000065710000}"/>
    <cellStyle name="Calculation 100" xfId="29015" xr:uid="{00000000-0005-0000-0000-000066710000}"/>
    <cellStyle name="Calculation 101" xfId="29016" xr:uid="{00000000-0005-0000-0000-000067710000}"/>
    <cellStyle name="Calculation 102" xfId="29017" xr:uid="{00000000-0005-0000-0000-000068710000}"/>
    <cellStyle name="Calculation 103" xfId="29018" xr:uid="{00000000-0005-0000-0000-000069710000}"/>
    <cellStyle name="Calculation 104" xfId="29019" xr:uid="{00000000-0005-0000-0000-00006A710000}"/>
    <cellStyle name="Calculation 105" xfId="29020" xr:uid="{00000000-0005-0000-0000-00006B710000}"/>
    <cellStyle name="Calculation 106" xfId="29021" xr:uid="{00000000-0005-0000-0000-00006C710000}"/>
    <cellStyle name="Calculation 107" xfId="29022" xr:uid="{00000000-0005-0000-0000-00006D710000}"/>
    <cellStyle name="Calculation 108" xfId="29023" xr:uid="{00000000-0005-0000-0000-00006E710000}"/>
    <cellStyle name="Calculation 109" xfId="29024" xr:uid="{00000000-0005-0000-0000-00006F710000}"/>
    <cellStyle name="Calculation 11" xfId="29025" xr:uid="{00000000-0005-0000-0000-000070710000}"/>
    <cellStyle name="Calculation 11 2" xfId="29026" xr:uid="{00000000-0005-0000-0000-000071710000}"/>
    <cellStyle name="Calculation 110" xfId="29027" xr:uid="{00000000-0005-0000-0000-000072710000}"/>
    <cellStyle name="Calculation 111" xfId="29028" xr:uid="{00000000-0005-0000-0000-000073710000}"/>
    <cellStyle name="Calculation 112" xfId="29029" xr:uid="{00000000-0005-0000-0000-000074710000}"/>
    <cellStyle name="Calculation 113" xfId="29030" xr:uid="{00000000-0005-0000-0000-000075710000}"/>
    <cellStyle name="Calculation 114" xfId="29031" xr:uid="{00000000-0005-0000-0000-000076710000}"/>
    <cellStyle name="Calculation 115" xfId="29032" xr:uid="{00000000-0005-0000-0000-000077710000}"/>
    <cellStyle name="Calculation 116" xfId="29033" xr:uid="{00000000-0005-0000-0000-000078710000}"/>
    <cellStyle name="Calculation 117" xfId="29034" xr:uid="{00000000-0005-0000-0000-000079710000}"/>
    <cellStyle name="Calculation 118" xfId="29035" xr:uid="{00000000-0005-0000-0000-00007A710000}"/>
    <cellStyle name="Calculation 119" xfId="29036" xr:uid="{00000000-0005-0000-0000-00007B710000}"/>
    <cellStyle name="Calculation 12" xfId="29037" xr:uid="{00000000-0005-0000-0000-00007C710000}"/>
    <cellStyle name="Calculation 12 2" xfId="29038" xr:uid="{00000000-0005-0000-0000-00007D710000}"/>
    <cellStyle name="Calculation 120" xfId="29039" xr:uid="{00000000-0005-0000-0000-00007E710000}"/>
    <cellStyle name="Calculation 121" xfId="29040" xr:uid="{00000000-0005-0000-0000-00007F710000}"/>
    <cellStyle name="Calculation 122" xfId="29041" xr:uid="{00000000-0005-0000-0000-000080710000}"/>
    <cellStyle name="Calculation 123" xfId="29042" xr:uid="{00000000-0005-0000-0000-000081710000}"/>
    <cellStyle name="Calculation 124" xfId="29043" xr:uid="{00000000-0005-0000-0000-000082710000}"/>
    <cellStyle name="Calculation 125" xfId="29044" xr:uid="{00000000-0005-0000-0000-000083710000}"/>
    <cellStyle name="Calculation 126" xfId="29045" xr:uid="{00000000-0005-0000-0000-000084710000}"/>
    <cellStyle name="Calculation 127" xfId="29046" xr:uid="{00000000-0005-0000-0000-000085710000}"/>
    <cellStyle name="Calculation 128" xfId="29047" xr:uid="{00000000-0005-0000-0000-000086710000}"/>
    <cellStyle name="Calculation 129" xfId="29048" xr:uid="{00000000-0005-0000-0000-000087710000}"/>
    <cellStyle name="Calculation 13" xfId="29049" xr:uid="{00000000-0005-0000-0000-000088710000}"/>
    <cellStyle name="Calculation 13 2" xfId="29050" xr:uid="{00000000-0005-0000-0000-000089710000}"/>
    <cellStyle name="Calculation 130" xfId="29051" xr:uid="{00000000-0005-0000-0000-00008A710000}"/>
    <cellStyle name="Calculation 131" xfId="29052" xr:uid="{00000000-0005-0000-0000-00008B710000}"/>
    <cellStyle name="Calculation 132" xfId="29053" xr:uid="{00000000-0005-0000-0000-00008C710000}"/>
    <cellStyle name="Calculation 133" xfId="29054" xr:uid="{00000000-0005-0000-0000-00008D710000}"/>
    <cellStyle name="Calculation 14" xfId="29055" xr:uid="{00000000-0005-0000-0000-00008E710000}"/>
    <cellStyle name="Calculation 14 2" xfId="29056" xr:uid="{00000000-0005-0000-0000-00008F710000}"/>
    <cellStyle name="Calculation 15" xfId="29057" xr:uid="{00000000-0005-0000-0000-000090710000}"/>
    <cellStyle name="Calculation 15 2" xfId="29058" xr:uid="{00000000-0005-0000-0000-000091710000}"/>
    <cellStyle name="Calculation 16" xfId="29059" xr:uid="{00000000-0005-0000-0000-000092710000}"/>
    <cellStyle name="Calculation 16 2" xfId="29060" xr:uid="{00000000-0005-0000-0000-000093710000}"/>
    <cellStyle name="Calculation 17" xfId="29061" xr:uid="{00000000-0005-0000-0000-000094710000}"/>
    <cellStyle name="Calculation 17 2" xfId="29062" xr:uid="{00000000-0005-0000-0000-000095710000}"/>
    <cellStyle name="Calculation 18" xfId="29063" xr:uid="{00000000-0005-0000-0000-000096710000}"/>
    <cellStyle name="Calculation 18 2" xfId="29064" xr:uid="{00000000-0005-0000-0000-000097710000}"/>
    <cellStyle name="Calculation 19" xfId="29065" xr:uid="{00000000-0005-0000-0000-000098710000}"/>
    <cellStyle name="Calculation 19 2" xfId="29066" xr:uid="{00000000-0005-0000-0000-000099710000}"/>
    <cellStyle name="Calculation 2" xfId="29067" xr:uid="{00000000-0005-0000-0000-00009A710000}"/>
    <cellStyle name="Calculation 2 2" xfId="29068" xr:uid="{00000000-0005-0000-0000-00009B710000}"/>
    <cellStyle name="Calculation 2 2 2" xfId="29069" xr:uid="{00000000-0005-0000-0000-00009C710000}"/>
    <cellStyle name="Calculation 2 2 2 2" xfId="29070" xr:uid="{00000000-0005-0000-0000-00009D710000}"/>
    <cellStyle name="Calculation 2 2 2 2 2" xfId="29071" xr:uid="{00000000-0005-0000-0000-00009E710000}"/>
    <cellStyle name="Calculation 2 3" xfId="29072" xr:uid="{00000000-0005-0000-0000-00009F710000}"/>
    <cellStyle name="Calculation 2 4" xfId="29073" xr:uid="{00000000-0005-0000-0000-0000A0710000}"/>
    <cellStyle name="Calculation 2 5" xfId="41061" xr:uid="{00000000-0005-0000-0000-000019000000}"/>
    <cellStyle name="Calculation 20" xfId="29074" xr:uid="{00000000-0005-0000-0000-0000A1710000}"/>
    <cellStyle name="Calculation 20 2" xfId="29075" xr:uid="{00000000-0005-0000-0000-0000A2710000}"/>
    <cellStyle name="Calculation 21" xfId="29076" xr:uid="{00000000-0005-0000-0000-0000A3710000}"/>
    <cellStyle name="Calculation 21 2" xfId="29077" xr:uid="{00000000-0005-0000-0000-0000A4710000}"/>
    <cellStyle name="Calculation 22" xfId="29078" xr:uid="{00000000-0005-0000-0000-0000A5710000}"/>
    <cellStyle name="Calculation 22 2" xfId="29079" xr:uid="{00000000-0005-0000-0000-0000A6710000}"/>
    <cellStyle name="Calculation 23" xfId="29080" xr:uid="{00000000-0005-0000-0000-0000A7710000}"/>
    <cellStyle name="Calculation 23 2" xfId="29081" xr:uid="{00000000-0005-0000-0000-0000A8710000}"/>
    <cellStyle name="Calculation 24" xfId="29082" xr:uid="{00000000-0005-0000-0000-0000A9710000}"/>
    <cellStyle name="Calculation 24 2" xfId="29083" xr:uid="{00000000-0005-0000-0000-0000AA710000}"/>
    <cellStyle name="Calculation 25" xfId="29084" xr:uid="{00000000-0005-0000-0000-0000AB710000}"/>
    <cellStyle name="Calculation 25 2" xfId="29085" xr:uid="{00000000-0005-0000-0000-0000AC710000}"/>
    <cellStyle name="Calculation 26" xfId="29086" xr:uid="{00000000-0005-0000-0000-0000AD710000}"/>
    <cellStyle name="Calculation 26 2" xfId="29087" xr:uid="{00000000-0005-0000-0000-0000AE710000}"/>
    <cellStyle name="Calculation 27" xfId="29088" xr:uid="{00000000-0005-0000-0000-0000AF710000}"/>
    <cellStyle name="Calculation 27 2" xfId="29089" xr:uid="{00000000-0005-0000-0000-0000B0710000}"/>
    <cellStyle name="Calculation 28" xfId="29090" xr:uid="{00000000-0005-0000-0000-0000B1710000}"/>
    <cellStyle name="Calculation 28 2" xfId="29091" xr:uid="{00000000-0005-0000-0000-0000B2710000}"/>
    <cellStyle name="Calculation 29" xfId="29092" xr:uid="{00000000-0005-0000-0000-0000B3710000}"/>
    <cellStyle name="Calculation 29 2" xfId="29093" xr:uid="{00000000-0005-0000-0000-0000B4710000}"/>
    <cellStyle name="Calculation 3" xfId="29094" xr:uid="{00000000-0005-0000-0000-0000B5710000}"/>
    <cellStyle name="Calculation 3 2" xfId="29095" xr:uid="{00000000-0005-0000-0000-0000B6710000}"/>
    <cellStyle name="Calculation 3 2 2" xfId="29096" xr:uid="{00000000-0005-0000-0000-0000B7710000}"/>
    <cellStyle name="Calculation 3 3" xfId="29097" xr:uid="{00000000-0005-0000-0000-0000B8710000}"/>
    <cellStyle name="Calculation 3 4" xfId="29098" xr:uid="{00000000-0005-0000-0000-0000B9710000}"/>
    <cellStyle name="Calculation 3_MAR 2009" xfId="29099" xr:uid="{00000000-0005-0000-0000-0000BA710000}"/>
    <cellStyle name="Calculation 30" xfId="29100" xr:uid="{00000000-0005-0000-0000-0000BB710000}"/>
    <cellStyle name="Calculation 30 2" xfId="29101" xr:uid="{00000000-0005-0000-0000-0000BC710000}"/>
    <cellStyle name="Calculation 31" xfId="29102" xr:uid="{00000000-0005-0000-0000-0000BD710000}"/>
    <cellStyle name="Calculation 31 2" xfId="29103" xr:uid="{00000000-0005-0000-0000-0000BE710000}"/>
    <cellStyle name="Calculation 32" xfId="29104" xr:uid="{00000000-0005-0000-0000-0000BF710000}"/>
    <cellStyle name="Calculation 32 2" xfId="29105" xr:uid="{00000000-0005-0000-0000-0000C0710000}"/>
    <cellStyle name="Calculation 33" xfId="29106" xr:uid="{00000000-0005-0000-0000-0000C1710000}"/>
    <cellStyle name="Calculation 33 2" xfId="29107" xr:uid="{00000000-0005-0000-0000-0000C2710000}"/>
    <cellStyle name="Calculation 34" xfId="29108" xr:uid="{00000000-0005-0000-0000-0000C3710000}"/>
    <cellStyle name="Calculation 34 2" xfId="29109" xr:uid="{00000000-0005-0000-0000-0000C4710000}"/>
    <cellStyle name="Calculation 35" xfId="29110" xr:uid="{00000000-0005-0000-0000-0000C5710000}"/>
    <cellStyle name="Calculation 35 2" xfId="29111" xr:uid="{00000000-0005-0000-0000-0000C6710000}"/>
    <cellStyle name="Calculation 36" xfId="29112" xr:uid="{00000000-0005-0000-0000-0000C7710000}"/>
    <cellStyle name="Calculation 36 2" xfId="29113" xr:uid="{00000000-0005-0000-0000-0000C8710000}"/>
    <cellStyle name="Calculation 37" xfId="29114" xr:uid="{00000000-0005-0000-0000-0000C9710000}"/>
    <cellStyle name="Calculation 37 2" xfId="29115" xr:uid="{00000000-0005-0000-0000-0000CA710000}"/>
    <cellStyle name="Calculation 38" xfId="29116" xr:uid="{00000000-0005-0000-0000-0000CB710000}"/>
    <cellStyle name="Calculation 38 2" xfId="29117" xr:uid="{00000000-0005-0000-0000-0000CC710000}"/>
    <cellStyle name="Calculation 39" xfId="29118" xr:uid="{00000000-0005-0000-0000-0000CD710000}"/>
    <cellStyle name="Calculation 39 2" xfId="29119" xr:uid="{00000000-0005-0000-0000-0000CE710000}"/>
    <cellStyle name="Calculation 4" xfId="29120" xr:uid="{00000000-0005-0000-0000-0000CF710000}"/>
    <cellStyle name="Calculation 4 2" xfId="29121" xr:uid="{00000000-0005-0000-0000-0000D0710000}"/>
    <cellStyle name="Calculation 4 2 2" xfId="29122" xr:uid="{00000000-0005-0000-0000-0000D1710000}"/>
    <cellStyle name="Calculation 4 3" xfId="29123" xr:uid="{00000000-0005-0000-0000-0000D2710000}"/>
    <cellStyle name="Calculation 40" xfId="29124" xr:uid="{00000000-0005-0000-0000-0000D3710000}"/>
    <cellStyle name="Calculation 40 2" xfId="29125" xr:uid="{00000000-0005-0000-0000-0000D4710000}"/>
    <cellStyle name="Calculation 41" xfId="29126" xr:uid="{00000000-0005-0000-0000-0000D5710000}"/>
    <cellStyle name="Calculation 41 2" xfId="29127" xr:uid="{00000000-0005-0000-0000-0000D6710000}"/>
    <cellStyle name="Calculation 42" xfId="29128" xr:uid="{00000000-0005-0000-0000-0000D7710000}"/>
    <cellStyle name="Calculation 42 2" xfId="29129" xr:uid="{00000000-0005-0000-0000-0000D8710000}"/>
    <cellStyle name="Calculation 43" xfId="29130" xr:uid="{00000000-0005-0000-0000-0000D9710000}"/>
    <cellStyle name="Calculation 43 2" xfId="29131" xr:uid="{00000000-0005-0000-0000-0000DA710000}"/>
    <cellStyle name="Calculation 44" xfId="29132" xr:uid="{00000000-0005-0000-0000-0000DB710000}"/>
    <cellStyle name="Calculation 44 2" xfId="29133" xr:uid="{00000000-0005-0000-0000-0000DC710000}"/>
    <cellStyle name="Calculation 45" xfId="29134" xr:uid="{00000000-0005-0000-0000-0000DD710000}"/>
    <cellStyle name="Calculation 45 2" xfId="29135" xr:uid="{00000000-0005-0000-0000-0000DE710000}"/>
    <cellStyle name="Calculation 46" xfId="29136" xr:uid="{00000000-0005-0000-0000-0000DF710000}"/>
    <cellStyle name="Calculation 46 2" xfId="29137" xr:uid="{00000000-0005-0000-0000-0000E0710000}"/>
    <cellStyle name="Calculation 47" xfId="29138" xr:uid="{00000000-0005-0000-0000-0000E1710000}"/>
    <cellStyle name="Calculation 47 2" xfId="29139" xr:uid="{00000000-0005-0000-0000-0000E2710000}"/>
    <cellStyle name="Calculation 48" xfId="29140" xr:uid="{00000000-0005-0000-0000-0000E3710000}"/>
    <cellStyle name="Calculation 48 2" xfId="29141" xr:uid="{00000000-0005-0000-0000-0000E4710000}"/>
    <cellStyle name="Calculation 49" xfId="29142" xr:uid="{00000000-0005-0000-0000-0000E5710000}"/>
    <cellStyle name="Calculation 49 2" xfId="29143" xr:uid="{00000000-0005-0000-0000-0000E6710000}"/>
    <cellStyle name="Calculation 5" xfId="29144" xr:uid="{00000000-0005-0000-0000-0000E7710000}"/>
    <cellStyle name="Calculation 5 2" xfId="29145" xr:uid="{00000000-0005-0000-0000-0000E8710000}"/>
    <cellStyle name="Calculation 5 2 2" xfId="29146" xr:uid="{00000000-0005-0000-0000-0000E9710000}"/>
    <cellStyle name="Calculation 5 3" xfId="29147" xr:uid="{00000000-0005-0000-0000-0000EA710000}"/>
    <cellStyle name="Calculation 50" xfId="29148" xr:uid="{00000000-0005-0000-0000-0000EB710000}"/>
    <cellStyle name="Calculation 50 2" xfId="29149" xr:uid="{00000000-0005-0000-0000-0000EC710000}"/>
    <cellStyle name="Calculation 51" xfId="29150" xr:uid="{00000000-0005-0000-0000-0000ED710000}"/>
    <cellStyle name="Calculation 51 2" xfId="29151" xr:uid="{00000000-0005-0000-0000-0000EE710000}"/>
    <cellStyle name="Calculation 52" xfId="29152" xr:uid="{00000000-0005-0000-0000-0000EF710000}"/>
    <cellStyle name="Calculation 52 2" xfId="29153" xr:uid="{00000000-0005-0000-0000-0000F0710000}"/>
    <cellStyle name="Calculation 53" xfId="29154" xr:uid="{00000000-0005-0000-0000-0000F1710000}"/>
    <cellStyle name="Calculation 53 2" xfId="29155" xr:uid="{00000000-0005-0000-0000-0000F2710000}"/>
    <cellStyle name="Calculation 54" xfId="29156" xr:uid="{00000000-0005-0000-0000-0000F3710000}"/>
    <cellStyle name="Calculation 54 2" xfId="29157" xr:uid="{00000000-0005-0000-0000-0000F4710000}"/>
    <cellStyle name="Calculation 55" xfId="29158" xr:uid="{00000000-0005-0000-0000-0000F5710000}"/>
    <cellStyle name="Calculation 55 2" xfId="29159" xr:uid="{00000000-0005-0000-0000-0000F6710000}"/>
    <cellStyle name="Calculation 56" xfId="29160" xr:uid="{00000000-0005-0000-0000-0000F7710000}"/>
    <cellStyle name="Calculation 56 2" xfId="29161" xr:uid="{00000000-0005-0000-0000-0000F8710000}"/>
    <cellStyle name="Calculation 57" xfId="29162" xr:uid="{00000000-0005-0000-0000-0000F9710000}"/>
    <cellStyle name="Calculation 57 2" xfId="29163" xr:uid="{00000000-0005-0000-0000-0000FA710000}"/>
    <cellStyle name="Calculation 58" xfId="29164" xr:uid="{00000000-0005-0000-0000-0000FB710000}"/>
    <cellStyle name="Calculation 58 2" xfId="29165" xr:uid="{00000000-0005-0000-0000-0000FC710000}"/>
    <cellStyle name="Calculation 59" xfId="29166" xr:uid="{00000000-0005-0000-0000-0000FD710000}"/>
    <cellStyle name="Calculation 6" xfId="29167" xr:uid="{00000000-0005-0000-0000-0000FE710000}"/>
    <cellStyle name="Calculation 6 2" xfId="29168" xr:uid="{00000000-0005-0000-0000-0000FF710000}"/>
    <cellStyle name="Calculation 6 3" xfId="29169" xr:uid="{00000000-0005-0000-0000-000000720000}"/>
    <cellStyle name="Calculation 60" xfId="29170" xr:uid="{00000000-0005-0000-0000-000001720000}"/>
    <cellStyle name="Calculation 61" xfId="29171" xr:uid="{00000000-0005-0000-0000-000002720000}"/>
    <cellStyle name="Calculation 62" xfId="29172" xr:uid="{00000000-0005-0000-0000-000003720000}"/>
    <cellStyle name="Calculation 63" xfId="29173" xr:uid="{00000000-0005-0000-0000-000004720000}"/>
    <cellStyle name="Calculation 63 2" xfId="29174" xr:uid="{00000000-0005-0000-0000-000005720000}"/>
    <cellStyle name="Calculation 64" xfId="29175" xr:uid="{00000000-0005-0000-0000-000006720000}"/>
    <cellStyle name="Calculation 64 2" xfId="29176" xr:uid="{00000000-0005-0000-0000-000007720000}"/>
    <cellStyle name="Calculation 65" xfId="29177" xr:uid="{00000000-0005-0000-0000-000008720000}"/>
    <cellStyle name="Calculation 65 2" xfId="29178" xr:uid="{00000000-0005-0000-0000-000009720000}"/>
    <cellStyle name="Calculation 66" xfId="29179" xr:uid="{00000000-0005-0000-0000-00000A720000}"/>
    <cellStyle name="Calculation 66 2" xfId="29180" xr:uid="{00000000-0005-0000-0000-00000B720000}"/>
    <cellStyle name="Calculation 67" xfId="29181" xr:uid="{00000000-0005-0000-0000-00000C720000}"/>
    <cellStyle name="Calculation 67 2" xfId="29182" xr:uid="{00000000-0005-0000-0000-00000D720000}"/>
    <cellStyle name="Calculation 68" xfId="29183" xr:uid="{00000000-0005-0000-0000-00000E720000}"/>
    <cellStyle name="Calculation 68 2" xfId="29184" xr:uid="{00000000-0005-0000-0000-00000F720000}"/>
    <cellStyle name="Calculation 69" xfId="29185" xr:uid="{00000000-0005-0000-0000-000010720000}"/>
    <cellStyle name="Calculation 69 2" xfId="29186" xr:uid="{00000000-0005-0000-0000-000011720000}"/>
    <cellStyle name="Calculation 7" xfId="29187" xr:uid="{00000000-0005-0000-0000-000012720000}"/>
    <cellStyle name="Calculation 7 2" xfId="29188" xr:uid="{00000000-0005-0000-0000-000013720000}"/>
    <cellStyle name="Calculation 70" xfId="29189" xr:uid="{00000000-0005-0000-0000-000014720000}"/>
    <cellStyle name="Calculation 70 2" xfId="29190" xr:uid="{00000000-0005-0000-0000-000015720000}"/>
    <cellStyle name="Calculation 71" xfId="29191" xr:uid="{00000000-0005-0000-0000-000016720000}"/>
    <cellStyle name="Calculation 71 2" xfId="29192" xr:uid="{00000000-0005-0000-0000-000017720000}"/>
    <cellStyle name="Calculation 72" xfId="29193" xr:uid="{00000000-0005-0000-0000-000018720000}"/>
    <cellStyle name="Calculation 72 2" xfId="29194" xr:uid="{00000000-0005-0000-0000-000019720000}"/>
    <cellStyle name="Calculation 73" xfId="29195" xr:uid="{00000000-0005-0000-0000-00001A720000}"/>
    <cellStyle name="Calculation 73 2" xfId="29196" xr:uid="{00000000-0005-0000-0000-00001B720000}"/>
    <cellStyle name="Calculation 74" xfId="29197" xr:uid="{00000000-0005-0000-0000-00001C720000}"/>
    <cellStyle name="Calculation 74 2" xfId="29198" xr:uid="{00000000-0005-0000-0000-00001D720000}"/>
    <cellStyle name="Calculation 75" xfId="29199" xr:uid="{00000000-0005-0000-0000-00001E720000}"/>
    <cellStyle name="Calculation 75 2" xfId="29200" xr:uid="{00000000-0005-0000-0000-00001F720000}"/>
    <cellStyle name="Calculation 76" xfId="29201" xr:uid="{00000000-0005-0000-0000-000020720000}"/>
    <cellStyle name="Calculation 76 2" xfId="29202" xr:uid="{00000000-0005-0000-0000-000021720000}"/>
    <cellStyle name="Calculation 77" xfId="29203" xr:uid="{00000000-0005-0000-0000-000022720000}"/>
    <cellStyle name="Calculation 77 2" xfId="29204" xr:uid="{00000000-0005-0000-0000-000023720000}"/>
    <cellStyle name="Calculation 78" xfId="29205" xr:uid="{00000000-0005-0000-0000-000024720000}"/>
    <cellStyle name="Calculation 78 2" xfId="29206" xr:uid="{00000000-0005-0000-0000-000025720000}"/>
    <cellStyle name="Calculation 79" xfId="29207" xr:uid="{00000000-0005-0000-0000-000026720000}"/>
    <cellStyle name="Calculation 79 2" xfId="29208" xr:uid="{00000000-0005-0000-0000-000027720000}"/>
    <cellStyle name="Calculation 8" xfId="29209" xr:uid="{00000000-0005-0000-0000-000028720000}"/>
    <cellStyle name="Calculation 8 2" xfId="29210" xr:uid="{00000000-0005-0000-0000-000029720000}"/>
    <cellStyle name="Calculation 80" xfId="29211" xr:uid="{00000000-0005-0000-0000-00002A720000}"/>
    <cellStyle name="Calculation 80 2" xfId="29212" xr:uid="{00000000-0005-0000-0000-00002B720000}"/>
    <cellStyle name="Calculation 81" xfId="29213" xr:uid="{00000000-0005-0000-0000-00002C720000}"/>
    <cellStyle name="Calculation 81 2" xfId="29214" xr:uid="{00000000-0005-0000-0000-00002D720000}"/>
    <cellStyle name="Calculation 82" xfId="29215" xr:uid="{00000000-0005-0000-0000-00002E720000}"/>
    <cellStyle name="Calculation 82 2" xfId="29216" xr:uid="{00000000-0005-0000-0000-00002F720000}"/>
    <cellStyle name="Calculation 83" xfId="29217" xr:uid="{00000000-0005-0000-0000-000030720000}"/>
    <cellStyle name="Calculation 83 2" xfId="29218" xr:uid="{00000000-0005-0000-0000-000031720000}"/>
    <cellStyle name="Calculation 84" xfId="29219" xr:uid="{00000000-0005-0000-0000-000032720000}"/>
    <cellStyle name="Calculation 84 2" xfId="29220" xr:uid="{00000000-0005-0000-0000-000033720000}"/>
    <cellStyle name="Calculation 85" xfId="29221" xr:uid="{00000000-0005-0000-0000-000034720000}"/>
    <cellStyle name="Calculation 85 2" xfId="29222" xr:uid="{00000000-0005-0000-0000-000035720000}"/>
    <cellStyle name="Calculation 86" xfId="29223" xr:uid="{00000000-0005-0000-0000-000036720000}"/>
    <cellStyle name="Calculation 86 2" xfId="29224" xr:uid="{00000000-0005-0000-0000-000037720000}"/>
    <cellStyle name="Calculation 87" xfId="29225" xr:uid="{00000000-0005-0000-0000-000038720000}"/>
    <cellStyle name="Calculation 87 2" xfId="29226" xr:uid="{00000000-0005-0000-0000-000039720000}"/>
    <cellStyle name="Calculation 88" xfId="29227" xr:uid="{00000000-0005-0000-0000-00003A720000}"/>
    <cellStyle name="Calculation 89" xfId="29228" xr:uid="{00000000-0005-0000-0000-00003B720000}"/>
    <cellStyle name="Calculation 89 2" xfId="29229" xr:uid="{00000000-0005-0000-0000-00003C720000}"/>
    <cellStyle name="Calculation 9" xfId="29230" xr:uid="{00000000-0005-0000-0000-00003D720000}"/>
    <cellStyle name="Calculation 9 2" xfId="29231" xr:uid="{00000000-0005-0000-0000-00003E720000}"/>
    <cellStyle name="Calculation 90" xfId="29232" xr:uid="{00000000-0005-0000-0000-00003F720000}"/>
    <cellStyle name="Calculation 90 2" xfId="29233" xr:uid="{00000000-0005-0000-0000-000040720000}"/>
    <cellStyle name="Calculation 91" xfId="29234" xr:uid="{00000000-0005-0000-0000-000041720000}"/>
    <cellStyle name="Calculation 91 2" xfId="29235" xr:uid="{00000000-0005-0000-0000-000042720000}"/>
    <cellStyle name="Calculation 92" xfId="29236" xr:uid="{00000000-0005-0000-0000-000043720000}"/>
    <cellStyle name="Calculation 92 2" xfId="29237" xr:uid="{00000000-0005-0000-0000-000044720000}"/>
    <cellStyle name="Calculation 93" xfId="29238" xr:uid="{00000000-0005-0000-0000-000045720000}"/>
    <cellStyle name="Calculation 93 2" xfId="29239" xr:uid="{00000000-0005-0000-0000-000046720000}"/>
    <cellStyle name="Calculation 94" xfId="29240" xr:uid="{00000000-0005-0000-0000-000047720000}"/>
    <cellStyle name="Calculation 94 2" xfId="29241" xr:uid="{00000000-0005-0000-0000-000048720000}"/>
    <cellStyle name="Calculation 95" xfId="29242" xr:uid="{00000000-0005-0000-0000-000049720000}"/>
    <cellStyle name="Calculation 96" xfId="29243" xr:uid="{00000000-0005-0000-0000-00004A720000}"/>
    <cellStyle name="Calculation 97" xfId="29244" xr:uid="{00000000-0005-0000-0000-00004B720000}"/>
    <cellStyle name="Calculation 98" xfId="29245" xr:uid="{00000000-0005-0000-0000-00004C720000}"/>
    <cellStyle name="Calculation 99" xfId="29246" xr:uid="{00000000-0005-0000-0000-00004D720000}"/>
    <cellStyle name="Check Cell" xfId="41014" builtinId="23" customBuiltin="1"/>
    <cellStyle name="Check Cell 10" xfId="29247" xr:uid="{00000000-0005-0000-0000-00004F720000}"/>
    <cellStyle name="Check Cell 10 2" xfId="29248" xr:uid="{00000000-0005-0000-0000-000050720000}"/>
    <cellStyle name="Check Cell 100" xfId="29249" xr:uid="{00000000-0005-0000-0000-000051720000}"/>
    <cellStyle name="Check Cell 101" xfId="29250" xr:uid="{00000000-0005-0000-0000-000052720000}"/>
    <cellStyle name="Check Cell 102" xfId="29251" xr:uid="{00000000-0005-0000-0000-000053720000}"/>
    <cellStyle name="Check Cell 103" xfId="29252" xr:uid="{00000000-0005-0000-0000-000054720000}"/>
    <cellStyle name="Check Cell 104" xfId="29253" xr:uid="{00000000-0005-0000-0000-000055720000}"/>
    <cellStyle name="Check Cell 105" xfId="29254" xr:uid="{00000000-0005-0000-0000-000056720000}"/>
    <cellStyle name="Check Cell 106" xfId="29255" xr:uid="{00000000-0005-0000-0000-000057720000}"/>
    <cellStyle name="Check Cell 107" xfId="29256" xr:uid="{00000000-0005-0000-0000-000058720000}"/>
    <cellStyle name="Check Cell 108" xfId="29257" xr:uid="{00000000-0005-0000-0000-000059720000}"/>
    <cellStyle name="Check Cell 109" xfId="29258" xr:uid="{00000000-0005-0000-0000-00005A720000}"/>
    <cellStyle name="Check Cell 11" xfId="29259" xr:uid="{00000000-0005-0000-0000-00005B720000}"/>
    <cellStyle name="Check Cell 11 2" xfId="29260" xr:uid="{00000000-0005-0000-0000-00005C720000}"/>
    <cellStyle name="Check Cell 110" xfId="29261" xr:uid="{00000000-0005-0000-0000-00005D720000}"/>
    <cellStyle name="Check Cell 111" xfId="29262" xr:uid="{00000000-0005-0000-0000-00005E720000}"/>
    <cellStyle name="Check Cell 112" xfId="29263" xr:uid="{00000000-0005-0000-0000-00005F720000}"/>
    <cellStyle name="Check Cell 113" xfId="29264" xr:uid="{00000000-0005-0000-0000-000060720000}"/>
    <cellStyle name="Check Cell 114" xfId="29265" xr:uid="{00000000-0005-0000-0000-000061720000}"/>
    <cellStyle name="Check Cell 115" xfId="29266" xr:uid="{00000000-0005-0000-0000-000062720000}"/>
    <cellStyle name="Check Cell 116" xfId="29267" xr:uid="{00000000-0005-0000-0000-000063720000}"/>
    <cellStyle name="Check Cell 117" xfId="29268" xr:uid="{00000000-0005-0000-0000-000064720000}"/>
    <cellStyle name="Check Cell 118" xfId="29269" xr:uid="{00000000-0005-0000-0000-000065720000}"/>
    <cellStyle name="Check Cell 119" xfId="29270" xr:uid="{00000000-0005-0000-0000-000066720000}"/>
    <cellStyle name="Check Cell 12" xfId="29271" xr:uid="{00000000-0005-0000-0000-000067720000}"/>
    <cellStyle name="Check Cell 12 2" xfId="29272" xr:uid="{00000000-0005-0000-0000-000068720000}"/>
    <cellStyle name="Check Cell 120" xfId="29273" xr:uid="{00000000-0005-0000-0000-000069720000}"/>
    <cellStyle name="Check Cell 121" xfId="29274" xr:uid="{00000000-0005-0000-0000-00006A720000}"/>
    <cellStyle name="Check Cell 122" xfId="29275" xr:uid="{00000000-0005-0000-0000-00006B720000}"/>
    <cellStyle name="Check Cell 123" xfId="29276" xr:uid="{00000000-0005-0000-0000-00006C720000}"/>
    <cellStyle name="Check Cell 124" xfId="29277" xr:uid="{00000000-0005-0000-0000-00006D720000}"/>
    <cellStyle name="Check Cell 125" xfId="29278" xr:uid="{00000000-0005-0000-0000-00006E720000}"/>
    <cellStyle name="Check Cell 126" xfId="29279" xr:uid="{00000000-0005-0000-0000-00006F720000}"/>
    <cellStyle name="Check Cell 127" xfId="29280" xr:uid="{00000000-0005-0000-0000-000070720000}"/>
    <cellStyle name="Check Cell 128" xfId="29281" xr:uid="{00000000-0005-0000-0000-000071720000}"/>
    <cellStyle name="Check Cell 129" xfId="29282" xr:uid="{00000000-0005-0000-0000-000072720000}"/>
    <cellStyle name="Check Cell 13" xfId="29283" xr:uid="{00000000-0005-0000-0000-000073720000}"/>
    <cellStyle name="Check Cell 13 2" xfId="29284" xr:uid="{00000000-0005-0000-0000-000074720000}"/>
    <cellStyle name="Check Cell 130" xfId="29285" xr:uid="{00000000-0005-0000-0000-000075720000}"/>
    <cellStyle name="Check Cell 131" xfId="29286" xr:uid="{00000000-0005-0000-0000-000076720000}"/>
    <cellStyle name="Check Cell 132" xfId="29287" xr:uid="{00000000-0005-0000-0000-000077720000}"/>
    <cellStyle name="Check Cell 133" xfId="29288" xr:uid="{00000000-0005-0000-0000-000078720000}"/>
    <cellStyle name="Check Cell 14" xfId="29289" xr:uid="{00000000-0005-0000-0000-000079720000}"/>
    <cellStyle name="Check Cell 14 2" xfId="29290" xr:uid="{00000000-0005-0000-0000-00007A720000}"/>
    <cellStyle name="Check Cell 15" xfId="29291" xr:uid="{00000000-0005-0000-0000-00007B720000}"/>
    <cellStyle name="Check Cell 15 2" xfId="29292" xr:uid="{00000000-0005-0000-0000-00007C720000}"/>
    <cellStyle name="Check Cell 16" xfId="29293" xr:uid="{00000000-0005-0000-0000-00007D720000}"/>
    <cellStyle name="Check Cell 16 2" xfId="29294" xr:uid="{00000000-0005-0000-0000-00007E720000}"/>
    <cellStyle name="Check Cell 17" xfId="29295" xr:uid="{00000000-0005-0000-0000-00007F720000}"/>
    <cellStyle name="Check Cell 17 2" xfId="29296" xr:uid="{00000000-0005-0000-0000-000080720000}"/>
    <cellStyle name="Check Cell 18" xfId="29297" xr:uid="{00000000-0005-0000-0000-000081720000}"/>
    <cellStyle name="Check Cell 18 2" xfId="29298" xr:uid="{00000000-0005-0000-0000-000082720000}"/>
    <cellStyle name="Check Cell 19" xfId="29299" xr:uid="{00000000-0005-0000-0000-000083720000}"/>
    <cellStyle name="Check Cell 19 2" xfId="29300" xr:uid="{00000000-0005-0000-0000-000084720000}"/>
    <cellStyle name="Check Cell 2" xfId="29301" xr:uid="{00000000-0005-0000-0000-000085720000}"/>
    <cellStyle name="Check Cell 2 2" xfId="29302" xr:uid="{00000000-0005-0000-0000-000086720000}"/>
    <cellStyle name="Check Cell 2 2 2" xfId="29303" xr:uid="{00000000-0005-0000-0000-000087720000}"/>
    <cellStyle name="Check Cell 2 2 2 2" xfId="29304" xr:uid="{00000000-0005-0000-0000-000088720000}"/>
    <cellStyle name="Check Cell 2 3" xfId="29305" xr:uid="{00000000-0005-0000-0000-000089720000}"/>
    <cellStyle name="Check Cell 2 4" xfId="29306" xr:uid="{00000000-0005-0000-0000-00008A720000}"/>
    <cellStyle name="Check Cell 20" xfId="29307" xr:uid="{00000000-0005-0000-0000-00008B720000}"/>
    <cellStyle name="Check Cell 20 2" xfId="29308" xr:uid="{00000000-0005-0000-0000-00008C720000}"/>
    <cellStyle name="Check Cell 21" xfId="29309" xr:uid="{00000000-0005-0000-0000-00008D720000}"/>
    <cellStyle name="Check Cell 21 2" xfId="29310" xr:uid="{00000000-0005-0000-0000-00008E720000}"/>
    <cellStyle name="Check Cell 22" xfId="29311" xr:uid="{00000000-0005-0000-0000-00008F720000}"/>
    <cellStyle name="Check Cell 22 2" xfId="29312" xr:uid="{00000000-0005-0000-0000-000090720000}"/>
    <cellStyle name="Check Cell 23" xfId="29313" xr:uid="{00000000-0005-0000-0000-000091720000}"/>
    <cellStyle name="Check Cell 23 2" xfId="29314" xr:uid="{00000000-0005-0000-0000-000092720000}"/>
    <cellStyle name="Check Cell 24" xfId="29315" xr:uid="{00000000-0005-0000-0000-000093720000}"/>
    <cellStyle name="Check Cell 24 2" xfId="29316" xr:uid="{00000000-0005-0000-0000-000094720000}"/>
    <cellStyle name="Check Cell 25" xfId="29317" xr:uid="{00000000-0005-0000-0000-000095720000}"/>
    <cellStyle name="Check Cell 25 2" xfId="29318" xr:uid="{00000000-0005-0000-0000-000096720000}"/>
    <cellStyle name="Check Cell 26" xfId="29319" xr:uid="{00000000-0005-0000-0000-000097720000}"/>
    <cellStyle name="Check Cell 26 2" xfId="29320" xr:uid="{00000000-0005-0000-0000-000098720000}"/>
    <cellStyle name="Check Cell 27" xfId="29321" xr:uid="{00000000-0005-0000-0000-000099720000}"/>
    <cellStyle name="Check Cell 27 2" xfId="29322" xr:uid="{00000000-0005-0000-0000-00009A720000}"/>
    <cellStyle name="Check Cell 28" xfId="29323" xr:uid="{00000000-0005-0000-0000-00009B720000}"/>
    <cellStyle name="Check Cell 28 2" xfId="29324" xr:uid="{00000000-0005-0000-0000-00009C720000}"/>
    <cellStyle name="Check Cell 29" xfId="29325" xr:uid="{00000000-0005-0000-0000-00009D720000}"/>
    <cellStyle name="Check Cell 29 2" xfId="29326" xr:uid="{00000000-0005-0000-0000-00009E720000}"/>
    <cellStyle name="Check Cell 3" xfId="29327" xr:uid="{00000000-0005-0000-0000-00009F720000}"/>
    <cellStyle name="Check Cell 3 2" xfId="29328" xr:uid="{00000000-0005-0000-0000-0000A0720000}"/>
    <cellStyle name="Check Cell 3 2 2" xfId="29329" xr:uid="{00000000-0005-0000-0000-0000A1720000}"/>
    <cellStyle name="Check Cell 3 3" xfId="29330" xr:uid="{00000000-0005-0000-0000-0000A2720000}"/>
    <cellStyle name="Check Cell 3_MAR 2009" xfId="29331" xr:uid="{00000000-0005-0000-0000-0000A3720000}"/>
    <cellStyle name="Check Cell 30" xfId="29332" xr:uid="{00000000-0005-0000-0000-0000A4720000}"/>
    <cellStyle name="Check Cell 30 2" xfId="29333" xr:uid="{00000000-0005-0000-0000-0000A5720000}"/>
    <cellStyle name="Check Cell 31" xfId="29334" xr:uid="{00000000-0005-0000-0000-0000A6720000}"/>
    <cellStyle name="Check Cell 31 2" xfId="29335" xr:uid="{00000000-0005-0000-0000-0000A7720000}"/>
    <cellStyle name="Check Cell 32" xfId="29336" xr:uid="{00000000-0005-0000-0000-0000A8720000}"/>
    <cellStyle name="Check Cell 32 2" xfId="29337" xr:uid="{00000000-0005-0000-0000-0000A9720000}"/>
    <cellStyle name="Check Cell 33" xfId="29338" xr:uid="{00000000-0005-0000-0000-0000AA720000}"/>
    <cellStyle name="Check Cell 33 2" xfId="29339" xr:uid="{00000000-0005-0000-0000-0000AB720000}"/>
    <cellStyle name="Check Cell 34" xfId="29340" xr:uid="{00000000-0005-0000-0000-0000AC720000}"/>
    <cellStyle name="Check Cell 35" xfId="29341" xr:uid="{00000000-0005-0000-0000-0000AD720000}"/>
    <cellStyle name="Check Cell 35 2" xfId="29342" xr:uid="{00000000-0005-0000-0000-0000AE720000}"/>
    <cellStyle name="Check Cell 36" xfId="29343" xr:uid="{00000000-0005-0000-0000-0000AF720000}"/>
    <cellStyle name="Check Cell 36 2" xfId="29344" xr:uid="{00000000-0005-0000-0000-0000B0720000}"/>
    <cellStyle name="Check Cell 37" xfId="29345" xr:uid="{00000000-0005-0000-0000-0000B1720000}"/>
    <cellStyle name="Check Cell 37 2" xfId="29346" xr:uid="{00000000-0005-0000-0000-0000B2720000}"/>
    <cellStyle name="Check Cell 38" xfId="29347" xr:uid="{00000000-0005-0000-0000-0000B3720000}"/>
    <cellStyle name="Check Cell 38 2" xfId="29348" xr:uid="{00000000-0005-0000-0000-0000B4720000}"/>
    <cellStyle name="Check Cell 39" xfId="29349" xr:uid="{00000000-0005-0000-0000-0000B5720000}"/>
    <cellStyle name="Check Cell 39 2" xfId="29350" xr:uid="{00000000-0005-0000-0000-0000B6720000}"/>
    <cellStyle name="Check Cell 4" xfId="29351" xr:uid="{00000000-0005-0000-0000-0000B7720000}"/>
    <cellStyle name="Check Cell 4 2" xfId="29352" xr:uid="{00000000-0005-0000-0000-0000B8720000}"/>
    <cellStyle name="Check Cell 4 2 2" xfId="29353" xr:uid="{00000000-0005-0000-0000-0000B9720000}"/>
    <cellStyle name="Check Cell 40" xfId="29354" xr:uid="{00000000-0005-0000-0000-0000BA720000}"/>
    <cellStyle name="Check Cell 40 2" xfId="29355" xr:uid="{00000000-0005-0000-0000-0000BB720000}"/>
    <cellStyle name="Check Cell 41" xfId="29356" xr:uid="{00000000-0005-0000-0000-0000BC720000}"/>
    <cellStyle name="Check Cell 41 2" xfId="29357" xr:uid="{00000000-0005-0000-0000-0000BD720000}"/>
    <cellStyle name="Check Cell 42" xfId="29358" xr:uid="{00000000-0005-0000-0000-0000BE720000}"/>
    <cellStyle name="Check Cell 42 2" xfId="29359" xr:uid="{00000000-0005-0000-0000-0000BF720000}"/>
    <cellStyle name="Check Cell 43" xfId="29360" xr:uid="{00000000-0005-0000-0000-0000C0720000}"/>
    <cellStyle name="Check Cell 43 2" xfId="29361" xr:uid="{00000000-0005-0000-0000-0000C1720000}"/>
    <cellStyle name="Check Cell 44" xfId="29362" xr:uid="{00000000-0005-0000-0000-0000C2720000}"/>
    <cellStyle name="Check Cell 44 2" xfId="29363" xr:uid="{00000000-0005-0000-0000-0000C3720000}"/>
    <cellStyle name="Check Cell 45" xfId="29364" xr:uid="{00000000-0005-0000-0000-0000C4720000}"/>
    <cellStyle name="Check Cell 45 2" xfId="29365" xr:uid="{00000000-0005-0000-0000-0000C5720000}"/>
    <cellStyle name="Check Cell 46" xfId="29366" xr:uid="{00000000-0005-0000-0000-0000C6720000}"/>
    <cellStyle name="Check Cell 46 2" xfId="29367" xr:uid="{00000000-0005-0000-0000-0000C7720000}"/>
    <cellStyle name="Check Cell 47" xfId="29368" xr:uid="{00000000-0005-0000-0000-0000C8720000}"/>
    <cellStyle name="Check Cell 47 2" xfId="29369" xr:uid="{00000000-0005-0000-0000-0000C9720000}"/>
    <cellStyle name="Check Cell 48" xfId="29370" xr:uid="{00000000-0005-0000-0000-0000CA720000}"/>
    <cellStyle name="Check Cell 48 2" xfId="29371" xr:uid="{00000000-0005-0000-0000-0000CB720000}"/>
    <cellStyle name="Check Cell 49" xfId="29372" xr:uid="{00000000-0005-0000-0000-0000CC720000}"/>
    <cellStyle name="Check Cell 49 2" xfId="29373" xr:uid="{00000000-0005-0000-0000-0000CD720000}"/>
    <cellStyle name="Check Cell 5" xfId="29374" xr:uid="{00000000-0005-0000-0000-0000CE720000}"/>
    <cellStyle name="Check Cell 5 2" xfId="29375" xr:uid="{00000000-0005-0000-0000-0000CF720000}"/>
    <cellStyle name="Check Cell 5 2 2" xfId="29376" xr:uid="{00000000-0005-0000-0000-0000D0720000}"/>
    <cellStyle name="Check Cell 50" xfId="29377" xr:uid="{00000000-0005-0000-0000-0000D1720000}"/>
    <cellStyle name="Check Cell 50 2" xfId="29378" xr:uid="{00000000-0005-0000-0000-0000D2720000}"/>
    <cellStyle name="Check Cell 51" xfId="29379" xr:uid="{00000000-0005-0000-0000-0000D3720000}"/>
    <cellStyle name="Check Cell 51 2" xfId="29380" xr:uid="{00000000-0005-0000-0000-0000D4720000}"/>
    <cellStyle name="Check Cell 52" xfId="29381" xr:uid="{00000000-0005-0000-0000-0000D5720000}"/>
    <cellStyle name="Check Cell 53" xfId="29382" xr:uid="{00000000-0005-0000-0000-0000D6720000}"/>
    <cellStyle name="Check Cell 54" xfId="29383" xr:uid="{00000000-0005-0000-0000-0000D7720000}"/>
    <cellStyle name="Check Cell 55" xfId="29384" xr:uid="{00000000-0005-0000-0000-0000D8720000}"/>
    <cellStyle name="Check Cell 56" xfId="29385" xr:uid="{00000000-0005-0000-0000-0000D9720000}"/>
    <cellStyle name="Check Cell 57" xfId="29386" xr:uid="{00000000-0005-0000-0000-0000DA720000}"/>
    <cellStyle name="Check Cell 58" xfId="29387" xr:uid="{00000000-0005-0000-0000-0000DB720000}"/>
    <cellStyle name="Check Cell 59" xfId="29388" xr:uid="{00000000-0005-0000-0000-0000DC720000}"/>
    <cellStyle name="Check Cell 6" xfId="29389" xr:uid="{00000000-0005-0000-0000-0000DD720000}"/>
    <cellStyle name="Check Cell 6 2" xfId="29390" xr:uid="{00000000-0005-0000-0000-0000DE720000}"/>
    <cellStyle name="Check Cell 60" xfId="29391" xr:uid="{00000000-0005-0000-0000-0000DF720000}"/>
    <cellStyle name="Check Cell 61" xfId="29392" xr:uid="{00000000-0005-0000-0000-0000E0720000}"/>
    <cellStyle name="Check Cell 62" xfId="29393" xr:uid="{00000000-0005-0000-0000-0000E1720000}"/>
    <cellStyle name="Check Cell 63" xfId="29394" xr:uid="{00000000-0005-0000-0000-0000E2720000}"/>
    <cellStyle name="Check Cell 63 2" xfId="29395" xr:uid="{00000000-0005-0000-0000-0000E3720000}"/>
    <cellStyle name="Check Cell 64" xfId="29396" xr:uid="{00000000-0005-0000-0000-0000E4720000}"/>
    <cellStyle name="Check Cell 64 2" xfId="29397" xr:uid="{00000000-0005-0000-0000-0000E5720000}"/>
    <cellStyle name="Check Cell 65" xfId="29398" xr:uid="{00000000-0005-0000-0000-0000E6720000}"/>
    <cellStyle name="Check Cell 65 2" xfId="29399" xr:uid="{00000000-0005-0000-0000-0000E7720000}"/>
    <cellStyle name="Check Cell 66" xfId="29400" xr:uid="{00000000-0005-0000-0000-0000E8720000}"/>
    <cellStyle name="Check Cell 66 2" xfId="29401" xr:uid="{00000000-0005-0000-0000-0000E9720000}"/>
    <cellStyle name="Check Cell 67" xfId="29402" xr:uid="{00000000-0005-0000-0000-0000EA720000}"/>
    <cellStyle name="Check Cell 67 2" xfId="29403" xr:uid="{00000000-0005-0000-0000-0000EB720000}"/>
    <cellStyle name="Check Cell 68" xfId="29404" xr:uid="{00000000-0005-0000-0000-0000EC720000}"/>
    <cellStyle name="Check Cell 68 2" xfId="29405" xr:uid="{00000000-0005-0000-0000-0000ED720000}"/>
    <cellStyle name="Check Cell 69" xfId="29406" xr:uid="{00000000-0005-0000-0000-0000EE720000}"/>
    <cellStyle name="Check Cell 69 2" xfId="29407" xr:uid="{00000000-0005-0000-0000-0000EF720000}"/>
    <cellStyle name="Check Cell 7" xfId="29408" xr:uid="{00000000-0005-0000-0000-0000F0720000}"/>
    <cellStyle name="Check Cell 7 2" xfId="29409" xr:uid="{00000000-0005-0000-0000-0000F1720000}"/>
    <cellStyle name="Check Cell 70" xfId="29410" xr:uid="{00000000-0005-0000-0000-0000F2720000}"/>
    <cellStyle name="Check Cell 70 2" xfId="29411" xr:uid="{00000000-0005-0000-0000-0000F3720000}"/>
    <cellStyle name="Check Cell 71" xfId="29412" xr:uid="{00000000-0005-0000-0000-0000F4720000}"/>
    <cellStyle name="Check Cell 71 2" xfId="29413" xr:uid="{00000000-0005-0000-0000-0000F5720000}"/>
    <cellStyle name="Check Cell 72" xfId="29414" xr:uid="{00000000-0005-0000-0000-0000F6720000}"/>
    <cellStyle name="Check Cell 72 2" xfId="29415" xr:uid="{00000000-0005-0000-0000-0000F7720000}"/>
    <cellStyle name="Check Cell 73" xfId="29416" xr:uid="{00000000-0005-0000-0000-0000F8720000}"/>
    <cellStyle name="Check Cell 73 2" xfId="29417" xr:uid="{00000000-0005-0000-0000-0000F9720000}"/>
    <cellStyle name="Check Cell 74" xfId="29418" xr:uid="{00000000-0005-0000-0000-0000FA720000}"/>
    <cellStyle name="Check Cell 74 2" xfId="29419" xr:uid="{00000000-0005-0000-0000-0000FB720000}"/>
    <cellStyle name="Check Cell 75" xfId="29420" xr:uid="{00000000-0005-0000-0000-0000FC720000}"/>
    <cellStyle name="Check Cell 75 2" xfId="29421" xr:uid="{00000000-0005-0000-0000-0000FD720000}"/>
    <cellStyle name="Check Cell 76" xfId="29422" xr:uid="{00000000-0005-0000-0000-0000FE720000}"/>
    <cellStyle name="Check Cell 76 2" xfId="29423" xr:uid="{00000000-0005-0000-0000-0000FF720000}"/>
    <cellStyle name="Check Cell 77" xfId="29424" xr:uid="{00000000-0005-0000-0000-000000730000}"/>
    <cellStyle name="Check Cell 77 2" xfId="29425" xr:uid="{00000000-0005-0000-0000-000001730000}"/>
    <cellStyle name="Check Cell 78" xfId="29426" xr:uid="{00000000-0005-0000-0000-000002730000}"/>
    <cellStyle name="Check Cell 78 2" xfId="29427" xr:uid="{00000000-0005-0000-0000-000003730000}"/>
    <cellStyle name="Check Cell 79" xfId="29428" xr:uid="{00000000-0005-0000-0000-000004730000}"/>
    <cellStyle name="Check Cell 79 2" xfId="29429" xr:uid="{00000000-0005-0000-0000-000005730000}"/>
    <cellStyle name="Check Cell 8" xfId="29430" xr:uid="{00000000-0005-0000-0000-000006730000}"/>
    <cellStyle name="Check Cell 80" xfId="29431" xr:uid="{00000000-0005-0000-0000-000007730000}"/>
    <cellStyle name="Check Cell 80 2" xfId="29432" xr:uid="{00000000-0005-0000-0000-000008730000}"/>
    <cellStyle name="Check Cell 81" xfId="29433" xr:uid="{00000000-0005-0000-0000-000009730000}"/>
    <cellStyle name="Check Cell 81 2" xfId="29434" xr:uid="{00000000-0005-0000-0000-00000A730000}"/>
    <cellStyle name="Check Cell 82" xfId="29435" xr:uid="{00000000-0005-0000-0000-00000B730000}"/>
    <cellStyle name="Check Cell 82 2" xfId="29436" xr:uid="{00000000-0005-0000-0000-00000C730000}"/>
    <cellStyle name="Check Cell 83" xfId="29437" xr:uid="{00000000-0005-0000-0000-00000D730000}"/>
    <cellStyle name="Check Cell 83 2" xfId="29438" xr:uid="{00000000-0005-0000-0000-00000E730000}"/>
    <cellStyle name="Check Cell 84" xfId="29439" xr:uid="{00000000-0005-0000-0000-00000F730000}"/>
    <cellStyle name="Check Cell 84 2" xfId="29440" xr:uid="{00000000-0005-0000-0000-000010730000}"/>
    <cellStyle name="Check Cell 85" xfId="29441" xr:uid="{00000000-0005-0000-0000-000011730000}"/>
    <cellStyle name="Check Cell 85 2" xfId="29442" xr:uid="{00000000-0005-0000-0000-000012730000}"/>
    <cellStyle name="Check Cell 86" xfId="29443" xr:uid="{00000000-0005-0000-0000-000013730000}"/>
    <cellStyle name="Check Cell 86 2" xfId="29444" xr:uid="{00000000-0005-0000-0000-000014730000}"/>
    <cellStyle name="Check Cell 87" xfId="29445" xr:uid="{00000000-0005-0000-0000-000015730000}"/>
    <cellStyle name="Check Cell 87 2" xfId="29446" xr:uid="{00000000-0005-0000-0000-000016730000}"/>
    <cellStyle name="Check Cell 88" xfId="29447" xr:uid="{00000000-0005-0000-0000-000017730000}"/>
    <cellStyle name="Check Cell 89" xfId="29448" xr:uid="{00000000-0005-0000-0000-000018730000}"/>
    <cellStyle name="Check Cell 89 2" xfId="29449" xr:uid="{00000000-0005-0000-0000-000019730000}"/>
    <cellStyle name="Check Cell 9" xfId="29450" xr:uid="{00000000-0005-0000-0000-00001A730000}"/>
    <cellStyle name="Check Cell 9 2" xfId="29451" xr:uid="{00000000-0005-0000-0000-00001B730000}"/>
    <cellStyle name="Check Cell 90" xfId="29452" xr:uid="{00000000-0005-0000-0000-00001C730000}"/>
    <cellStyle name="Check Cell 90 2" xfId="29453" xr:uid="{00000000-0005-0000-0000-00001D730000}"/>
    <cellStyle name="Check Cell 91" xfId="29454" xr:uid="{00000000-0005-0000-0000-00001E730000}"/>
    <cellStyle name="Check Cell 91 2" xfId="29455" xr:uid="{00000000-0005-0000-0000-00001F730000}"/>
    <cellStyle name="Check Cell 92" xfId="29456" xr:uid="{00000000-0005-0000-0000-000020730000}"/>
    <cellStyle name="Check Cell 92 2" xfId="29457" xr:uid="{00000000-0005-0000-0000-000021730000}"/>
    <cellStyle name="Check Cell 93" xfId="29458" xr:uid="{00000000-0005-0000-0000-000022730000}"/>
    <cellStyle name="Check Cell 93 2" xfId="29459" xr:uid="{00000000-0005-0000-0000-000023730000}"/>
    <cellStyle name="Check Cell 94" xfId="29460" xr:uid="{00000000-0005-0000-0000-000024730000}"/>
    <cellStyle name="Check Cell 94 2" xfId="29461" xr:uid="{00000000-0005-0000-0000-000025730000}"/>
    <cellStyle name="Check Cell 95" xfId="29462" xr:uid="{00000000-0005-0000-0000-000026730000}"/>
    <cellStyle name="Check Cell 96" xfId="29463" xr:uid="{00000000-0005-0000-0000-000027730000}"/>
    <cellStyle name="Check Cell 97" xfId="29464" xr:uid="{00000000-0005-0000-0000-000028730000}"/>
    <cellStyle name="Check Cell 98" xfId="29465" xr:uid="{00000000-0005-0000-0000-000029730000}"/>
    <cellStyle name="Check Cell 99" xfId="29466" xr:uid="{00000000-0005-0000-0000-00002A730000}"/>
    <cellStyle name="Comma" xfId="1" builtinId="3"/>
    <cellStyle name="Comma 15" xfId="29467" xr:uid="{00000000-0005-0000-0000-00002C730000}"/>
    <cellStyle name="Comma 15 10" xfId="29468" xr:uid="{00000000-0005-0000-0000-00002D730000}"/>
    <cellStyle name="Comma 15 11" xfId="29469" xr:uid="{00000000-0005-0000-0000-00002E730000}"/>
    <cellStyle name="Comma 15 12" xfId="29470" xr:uid="{00000000-0005-0000-0000-00002F730000}"/>
    <cellStyle name="Comma 15 13" xfId="29471" xr:uid="{00000000-0005-0000-0000-000030730000}"/>
    <cellStyle name="Comma 15 14" xfId="29472" xr:uid="{00000000-0005-0000-0000-000031730000}"/>
    <cellStyle name="Comma 15 15" xfId="29473" xr:uid="{00000000-0005-0000-0000-000032730000}"/>
    <cellStyle name="Comma 15 16" xfId="29474" xr:uid="{00000000-0005-0000-0000-000033730000}"/>
    <cellStyle name="Comma 15 17" xfId="29475" xr:uid="{00000000-0005-0000-0000-000034730000}"/>
    <cellStyle name="Comma 15 18" xfId="29476" xr:uid="{00000000-0005-0000-0000-000035730000}"/>
    <cellStyle name="Comma 15 19" xfId="29477" xr:uid="{00000000-0005-0000-0000-000036730000}"/>
    <cellStyle name="Comma 15 2" xfId="29478" xr:uid="{00000000-0005-0000-0000-000037730000}"/>
    <cellStyle name="Comma 15 20" xfId="29479" xr:uid="{00000000-0005-0000-0000-000038730000}"/>
    <cellStyle name="Comma 15 21" xfId="29480" xr:uid="{00000000-0005-0000-0000-000039730000}"/>
    <cellStyle name="Comma 15 22" xfId="29481" xr:uid="{00000000-0005-0000-0000-00003A730000}"/>
    <cellStyle name="Comma 15 23" xfId="29482" xr:uid="{00000000-0005-0000-0000-00003B730000}"/>
    <cellStyle name="Comma 15 24" xfId="29483" xr:uid="{00000000-0005-0000-0000-00003C730000}"/>
    <cellStyle name="Comma 15 25" xfId="29484" xr:uid="{00000000-0005-0000-0000-00003D730000}"/>
    <cellStyle name="Comma 15 26" xfId="29485" xr:uid="{00000000-0005-0000-0000-00003E730000}"/>
    <cellStyle name="Comma 15 27" xfId="29486" xr:uid="{00000000-0005-0000-0000-00003F730000}"/>
    <cellStyle name="Comma 15 28" xfId="29487" xr:uid="{00000000-0005-0000-0000-000040730000}"/>
    <cellStyle name="Comma 15 29" xfId="29488" xr:uid="{00000000-0005-0000-0000-000041730000}"/>
    <cellStyle name="Comma 15 3" xfId="29489" xr:uid="{00000000-0005-0000-0000-000042730000}"/>
    <cellStyle name="Comma 15 30" xfId="29490" xr:uid="{00000000-0005-0000-0000-000043730000}"/>
    <cellStyle name="Comma 15 31" xfId="29491" xr:uid="{00000000-0005-0000-0000-000044730000}"/>
    <cellStyle name="Comma 15 32" xfId="29492" xr:uid="{00000000-0005-0000-0000-000045730000}"/>
    <cellStyle name="Comma 15 33" xfId="29493" xr:uid="{00000000-0005-0000-0000-000046730000}"/>
    <cellStyle name="Comma 15 34" xfId="29494" xr:uid="{00000000-0005-0000-0000-000047730000}"/>
    <cellStyle name="Comma 15 35" xfId="29495" xr:uid="{00000000-0005-0000-0000-000048730000}"/>
    <cellStyle name="Comma 15 36" xfId="29496" xr:uid="{00000000-0005-0000-0000-000049730000}"/>
    <cellStyle name="Comma 15 4" xfId="29497" xr:uid="{00000000-0005-0000-0000-00004A730000}"/>
    <cellStyle name="Comma 15 5" xfId="29498" xr:uid="{00000000-0005-0000-0000-00004B730000}"/>
    <cellStyle name="Comma 15 6" xfId="29499" xr:uid="{00000000-0005-0000-0000-00004C730000}"/>
    <cellStyle name="Comma 15 7" xfId="29500" xr:uid="{00000000-0005-0000-0000-00004D730000}"/>
    <cellStyle name="Comma 15 8" xfId="29501" xr:uid="{00000000-0005-0000-0000-00004E730000}"/>
    <cellStyle name="Comma 15 9" xfId="29502" xr:uid="{00000000-0005-0000-0000-00004F730000}"/>
    <cellStyle name="Comma 2" xfId="5" xr:uid="{00000000-0005-0000-0000-000050730000}"/>
    <cellStyle name="Comma 2 2" xfId="41063" xr:uid="{00000000-0005-0000-0000-00001C000000}"/>
    <cellStyle name="Comma 2 3" xfId="41062" xr:uid="{00000000-0005-0000-0000-00001B000000}"/>
    <cellStyle name="Comma 20" xfId="29503" xr:uid="{00000000-0005-0000-0000-000051730000}"/>
    <cellStyle name="Comma 20 10" xfId="29504" xr:uid="{00000000-0005-0000-0000-000052730000}"/>
    <cellStyle name="Comma 20 11" xfId="29505" xr:uid="{00000000-0005-0000-0000-000053730000}"/>
    <cellStyle name="Comma 20 12" xfId="29506" xr:uid="{00000000-0005-0000-0000-000054730000}"/>
    <cellStyle name="Comma 20 13" xfId="29507" xr:uid="{00000000-0005-0000-0000-000055730000}"/>
    <cellStyle name="Comma 20 14" xfId="29508" xr:uid="{00000000-0005-0000-0000-000056730000}"/>
    <cellStyle name="Comma 20 15" xfId="29509" xr:uid="{00000000-0005-0000-0000-000057730000}"/>
    <cellStyle name="Comma 20 16" xfId="29510" xr:uid="{00000000-0005-0000-0000-000058730000}"/>
    <cellStyle name="Comma 20 17" xfId="29511" xr:uid="{00000000-0005-0000-0000-000059730000}"/>
    <cellStyle name="Comma 20 18" xfId="29512" xr:uid="{00000000-0005-0000-0000-00005A730000}"/>
    <cellStyle name="Comma 20 19" xfId="29513" xr:uid="{00000000-0005-0000-0000-00005B730000}"/>
    <cellStyle name="Comma 20 2" xfId="29514" xr:uid="{00000000-0005-0000-0000-00005C730000}"/>
    <cellStyle name="Comma 20 20" xfId="29515" xr:uid="{00000000-0005-0000-0000-00005D730000}"/>
    <cellStyle name="Comma 20 21" xfId="29516" xr:uid="{00000000-0005-0000-0000-00005E730000}"/>
    <cellStyle name="Comma 20 22" xfId="29517" xr:uid="{00000000-0005-0000-0000-00005F730000}"/>
    <cellStyle name="Comma 20 23" xfId="29518" xr:uid="{00000000-0005-0000-0000-000060730000}"/>
    <cellStyle name="Comma 20 24" xfId="29519" xr:uid="{00000000-0005-0000-0000-000061730000}"/>
    <cellStyle name="Comma 20 25" xfId="29520" xr:uid="{00000000-0005-0000-0000-000062730000}"/>
    <cellStyle name="Comma 20 26" xfId="29521" xr:uid="{00000000-0005-0000-0000-000063730000}"/>
    <cellStyle name="Comma 20 27" xfId="29522" xr:uid="{00000000-0005-0000-0000-000064730000}"/>
    <cellStyle name="Comma 20 28" xfId="29523" xr:uid="{00000000-0005-0000-0000-000065730000}"/>
    <cellStyle name="Comma 20 29" xfId="29524" xr:uid="{00000000-0005-0000-0000-000066730000}"/>
    <cellStyle name="Comma 20 3" xfId="29525" xr:uid="{00000000-0005-0000-0000-000067730000}"/>
    <cellStyle name="Comma 20 30" xfId="29526" xr:uid="{00000000-0005-0000-0000-000068730000}"/>
    <cellStyle name="Comma 20 31" xfId="29527" xr:uid="{00000000-0005-0000-0000-000069730000}"/>
    <cellStyle name="Comma 20 32" xfId="29528" xr:uid="{00000000-0005-0000-0000-00006A730000}"/>
    <cellStyle name="Comma 20 33" xfId="29529" xr:uid="{00000000-0005-0000-0000-00006B730000}"/>
    <cellStyle name="Comma 20 34" xfId="29530" xr:uid="{00000000-0005-0000-0000-00006C730000}"/>
    <cellStyle name="Comma 20 35" xfId="29531" xr:uid="{00000000-0005-0000-0000-00006D730000}"/>
    <cellStyle name="Comma 20 36" xfId="29532" xr:uid="{00000000-0005-0000-0000-00006E730000}"/>
    <cellStyle name="Comma 20 4" xfId="29533" xr:uid="{00000000-0005-0000-0000-00006F730000}"/>
    <cellStyle name="Comma 20 5" xfId="29534" xr:uid="{00000000-0005-0000-0000-000070730000}"/>
    <cellStyle name="Comma 20 6" xfId="29535" xr:uid="{00000000-0005-0000-0000-000071730000}"/>
    <cellStyle name="Comma 20 7" xfId="29536" xr:uid="{00000000-0005-0000-0000-000072730000}"/>
    <cellStyle name="Comma 20 8" xfId="29537" xr:uid="{00000000-0005-0000-0000-000073730000}"/>
    <cellStyle name="Comma 20 9" xfId="29538" xr:uid="{00000000-0005-0000-0000-000074730000}"/>
    <cellStyle name="Comma 3" xfId="29539" xr:uid="{00000000-0005-0000-0000-000075730000}"/>
    <cellStyle name="CSU" xfId="29540" xr:uid="{00000000-0005-0000-0000-000076730000}"/>
    <cellStyle name="CSUClear" xfId="29541" xr:uid="{00000000-0005-0000-0000-000077730000}"/>
    <cellStyle name="CSUOffOnPeak" xfId="29542" xr:uid="{00000000-0005-0000-0000-000078730000}"/>
    <cellStyle name="Currency" xfId="2" builtinId="4"/>
    <cellStyle name="Currency 2" xfId="29543" xr:uid="{00000000-0005-0000-0000-00007A730000}"/>
    <cellStyle name="Explanatory Text" xfId="41017" builtinId="53" customBuiltin="1"/>
    <cellStyle name="Explanatory Text 10" xfId="29544" xr:uid="{00000000-0005-0000-0000-00007C730000}"/>
    <cellStyle name="Explanatory Text 10 2" xfId="29545" xr:uid="{00000000-0005-0000-0000-00007D730000}"/>
    <cellStyle name="Explanatory Text 100" xfId="29546" xr:uid="{00000000-0005-0000-0000-00007E730000}"/>
    <cellStyle name="Explanatory Text 101" xfId="29547" xr:uid="{00000000-0005-0000-0000-00007F730000}"/>
    <cellStyle name="Explanatory Text 102" xfId="29548" xr:uid="{00000000-0005-0000-0000-000080730000}"/>
    <cellStyle name="Explanatory Text 103" xfId="29549" xr:uid="{00000000-0005-0000-0000-000081730000}"/>
    <cellStyle name="Explanatory Text 104" xfId="29550" xr:uid="{00000000-0005-0000-0000-000082730000}"/>
    <cellStyle name="Explanatory Text 105" xfId="29551" xr:uid="{00000000-0005-0000-0000-000083730000}"/>
    <cellStyle name="Explanatory Text 106" xfId="29552" xr:uid="{00000000-0005-0000-0000-000084730000}"/>
    <cellStyle name="Explanatory Text 107" xfId="29553" xr:uid="{00000000-0005-0000-0000-000085730000}"/>
    <cellStyle name="Explanatory Text 108" xfId="29554" xr:uid="{00000000-0005-0000-0000-000086730000}"/>
    <cellStyle name="Explanatory Text 109" xfId="29555" xr:uid="{00000000-0005-0000-0000-000087730000}"/>
    <cellStyle name="Explanatory Text 11" xfId="29556" xr:uid="{00000000-0005-0000-0000-000088730000}"/>
    <cellStyle name="Explanatory Text 11 2" xfId="29557" xr:uid="{00000000-0005-0000-0000-000089730000}"/>
    <cellStyle name="Explanatory Text 110" xfId="29558" xr:uid="{00000000-0005-0000-0000-00008A730000}"/>
    <cellStyle name="Explanatory Text 111" xfId="29559" xr:uid="{00000000-0005-0000-0000-00008B730000}"/>
    <cellStyle name="Explanatory Text 112" xfId="29560" xr:uid="{00000000-0005-0000-0000-00008C730000}"/>
    <cellStyle name="Explanatory Text 113" xfId="29561" xr:uid="{00000000-0005-0000-0000-00008D730000}"/>
    <cellStyle name="Explanatory Text 114" xfId="29562" xr:uid="{00000000-0005-0000-0000-00008E730000}"/>
    <cellStyle name="Explanatory Text 115" xfId="29563" xr:uid="{00000000-0005-0000-0000-00008F730000}"/>
    <cellStyle name="Explanatory Text 116" xfId="29564" xr:uid="{00000000-0005-0000-0000-000090730000}"/>
    <cellStyle name="Explanatory Text 117" xfId="29565" xr:uid="{00000000-0005-0000-0000-000091730000}"/>
    <cellStyle name="Explanatory Text 118" xfId="29566" xr:uid="{00000000-0005-0000-0000-000092730000}"/>
    <cellStyle name="Explanatory Text 119" xfId="29567" xr:uid="{00000000-0005-0000-0000-000093730000}"/>
    <cellStyle name="Explanatory Text 12" xfId="29568" xr:uid="{00000000-0005-0000-0000-000094730000}"/>
    <cellStyle name="Explanatory Text 12 2" xfId="29569" xr:uid="{00000000-0005-0000-0000-000095730000}"/>
    <cellStyle name="Explanatory Text 120" xfId="29570" xr:uid="{00000000-0005-0000-0000-000096730000}"/>
    <cellStyle name="Explanatory Text 121" xfId="29571" xr:uid="{00000000-0005-0000-0000-000097730000}"/>
    <cellStyle name="Explanatory Text 122" xfId="29572" xr:uid="{00000000-0005-0000-0000-000098730000}"/>
    <cellStyle name="Explanatory Text 123" xfId="29573" xr:uid="{00000000-0005-0000-0000-000099730000}"/>
    <cellStyle name="Explanatory Text 124" xfId="29574" xr:uid="{00000000-0005-0000-0000-00009A730000}"/>
    <cellStyle name="Explanatory Text 125" xfId="29575" xr:uid="{00000000-0005-0000-0000-00009B730000}"/>
    <cellStyle name="Explanatory Text 126" xfId="29576" xr:uid="{00000000-0005-0000-0000-00009C730000}"/>
    <cellStyle name="Explanatory Text 127" xfId="29577" xr:uid="{00000000-0005-0000-0000-00009D730000}"/>
    <cellStyle name="Explanatory Text 128" xfId="29578" xr:uid="{00000000-0005-0000-0000-00009E730000}"/>
    <cellStyle name="Explanatory Text 129" xfId="29579" xr:uid="{00000000-0005-0000-0000-00009F730000}"/>
    <cellStyle name="Explanatory Text 13" xfId="29580" xr:uid="{00000000-0005-0000-0000-0000A0730000}"/>
    <cellStyle name="Explanatory Text 13 2" xfId="29581" xr:uid="{00000000-0005-0000-0000-0000A1730000}"/>
    <cellStyle name="Explanatory Text 130" xfId="29582" xr:uid="{00000000-0005-0000-0000-0000A2730000}"/>
    <cellStyle name="Explanatory Text 131" xfId="29583" xr:uid="{00000000-0005-0000-0000-0000A3730000}"/>
    <cellStyle name="Explanatory Text 132" xfId="29584" xr:uid="{00000000-0005-0000-0000-0000A4730000}"/>
    <cellStyle name="Explanatory Text 133" xfId="29585" xr:uid="{00000000-0005-0000-0000-0000A5730000}"/>
    <cellStyle name="Explanatory Text 14" xfId="29586" xr:uid="{00000000-0005-0000-0000-0000A6730000}"/>
    <cellStyle name="Explanatory Text 14 2" xfId="29587" xr:uid="{00000000-0005-0000-0000-0000A7730000}"/>
    <cellStyle name="Explanatory Text 15" xfId="29588" xr:uid="{00000000-0005-0000-0000-0000A8730000}"/>
    <cellStyle name="Explanatory Text 15 2" xfId="29589" xr:uid="{00000000-0005-0000-0000-0000A9730000}"/>
    <cellStyle name="Explanatory Text 16" xfId="29590" xr:uid="{00000000-0005-0000-0000-0000AA730000}"/>
    <cellStyle name="Explanatory Text 16 2" xfId="29591" xr:uid="{00000000-0005-0000-0000-0000AB730000}"/>
    <cellStyle name="Explanatory Text 17" xfId="29592" xr:uid="{00000000-0005-0000-0000-0000AC730000}"/>
    <cellStyle name="Explanatory Text 17 2" xfId="29593" xr:uid="{00000000-0005-0000-0000-0000AD730000}"/>
    <cellStyle name="Explanatory Text 18" xfId="29594" xr:uid="{00000000-0005-0000-0000-0000AE730000}"/>
    <cellStyle name="Explanatory Text 18 2" xfId="29595" xr:uid="{00000000-0005-0000-0000-0000AF730000}"/>
    <cellStyle name="Explanatory Text 19" xfId="29596" xr:uid="{00000000-0005-0000-0000-0000B0730000}"/>
    <cellStyle name="Explanatory Text 19 2" xfId="29597" xr:uid="{00000000-0005-0000-0000-0000B1730000}"/>
    <cellStyle name="Explanatory Text 2" xfId="29598" xr:uid="{00000000-0005-0000-0000-0000B2730000}"/>
    <cellStyle name="Explanatory Text 2 2" xfId="29599" xr:uid="{00000000-0005-0000-0000-0000B3730000}"/>
    <cellStyle name="Explanatory Text 2 2 2" xfId="29600" xr:uid="{00000000-0005-0000-0000-0000B4730000}"/>
    <cellStyle name="Explanatory Text 2 2 2 2" xfId="29601" xr:uid="{00000000-0005-0000-0000-0000B5730000}"/>
    <cellStyle name="Explanatory Text 2 3" xfId="29602" xr:uid="{00000000-0005-0000-0000-0000B6730000}"/>
    <cellStyle name="Explanatory Text 2 4" xfId="29603" xr:uid="{00000000-0005-0000-0000-0000B7730000}"/>
    <cellStyle name="Explanatory Text 20" xfId="29604" xr:uid="{00000000-0005-0000-0000-0000B8730000}"/>
    <cellStyle name="Explanatory Text 20 2" xfId="29605" xr:uid="{00000000-0005-0000-0000-0000B9730000}"/>
    <cellStyle name="Explanatory Text 21" xfId="29606" xr:uid="{00000000-0005-0000-0000-0000BA730000}"/>
    <cellStyle name="Explanatory Text 21 2" xfId="29607" xr:uid="{00000000-0005-0000-0000-0000BB730000}"/>
    <cellStyle name="Explanatory Text 22" xfId="29608" xr:uid="{00000000-0005-0000-0000-0000BC730000}"/>
    <cellStyle name="Explanatory Text 22 2" xfId="29609" xr:uid="{00000000-0005-0000-0000-0000BD730000}"/>
    <cellStyle name="Explanatory Text 23" xfId="29610" xr:uid="{00000000-0005-0000-0000-0000BE730000}"/>
    <cellStyle name="Explanatory Text 23 2" xfId="29611" xr:uid="{00000000-0005-0000-0000-0000BF730000}"/>
    <cellStyle name="Explanatory Text 24" xfId="29612" xr:uid="{00000000-0005-0000-0000-0000C0730000}"/>
    <cellStyle name="Explanatory Text 24 2" xfId="29613" xr:uid="{00000000-0005-0000-0000-0000C1730000}"/>
    <cellStyle name="Explanatory Text 25" xfId="29614" xr:uid="{00000000-0005-0000-0000-0000C2730000}"/>
    <cellStyle name="Explanatory Text 25 2" xfId="29615" xr:uid="{00000000-0005-0000-0000-0000C3730000}"/>
    <cellStyle name="Explanatory Text 26" xfId="29616" xr:uid="{00000000-0005-0000-0000-0000C4730000}"/>
    <cellStyle name="Explanatory Text 26 2" xfId="29617" xr:uid="{00000000-0005-0000-0000-0000C5730000}"/>
    <cellStyle name="Explanatory Text 27" xfId="29618" xr:uid="{00000000-0005-0000-0000-0000C6730000}"/>
    <cellStyle name="Explanatory Text 27 2" xfId="29619" xr:uid="{00000000-0005-0000-0000-0000C7730000}"/>
    <cellStyle name="Explanatory Text 28" xfId="29620" xr:uid="{00000000-0005-0000-0000-0000C8730000}"/>
    <cellStyle name="Explanatory Text 28 2" xfId="29621" xr:uid="{00000000-0005-0000-0000-0000C9730000}"/>
    <cellStyle name="Explanatory Text 29" xfId="29622" xr:uid="{00000000-0005-0000-0000-0000CA730000}"/>
    <cellStyle name="Explanatory Text 29 2" xfId="29623" xr:uid="{00000000-0005-0000-0000-0000CB730000}"/>
    <cellStyle name="Explanatory Text 3" xfId="29624" xr:uid="{00000000-0005-0000-0000-0000CC730000}"/>
    <cellStyle name="Explanatory Text 3 2" xfId="29625" xr:uid="{00000000-0005-0000-0000-0000CD730000}"/>
    <cellStyle name="Explanatory Text 3 2 2" xfId="29626" xr:uid="{00000000-0005-0000-0000-0000CE730000}"/>
    <cellStyle name="Explanatory Text 3 3" xfId="29627" xr:uid="{00000000-0005-0000-0000-0000CF730000}"/>
    <cellStyle name="Explanatory Text 3_MAR 2009" xfId="29628" xr:uid="{00000000-0005-0000-0000-0000D0730000}"/>
    <cellStyle name="Explanatory Text 30" xfId="29629" xr:uid="{00000000-0005-0000-0000-0000D1730000}"/>
    <cellStyle name="Explanatory Text 30 2" xfId="29630" xr:uid="{00000000-0005-0000-0000-0000D2730000}"/>
    <cellStyle name="Explanatory Text 31" xfId="29631" xr:uid="{00000000-0005-0000-0000-0000D3730000}"/>
    <cellStyle name="Explanatory Text 31 2" xfId="29632" xr:uid="{00000000-0005-0000-0000-0000D4730000}"/>
    <cellStyle name="Explanatory Text 32" xfId="29633" xr:uid="{00000000-0005-0000-0000-0000D5730000}"/>
    <cellStyle name="Explanatory Text 32 2" xfId="29634" xr:uid="{00000000-0005-0000-0000-0000D6730000}"/>
    <cellStyle name="Explanatory Text 33" xfId="29635" xr:uid="{00000000-0005-0000-0000-0000D7730000}"/>
    <cellStyle name="Explanatory Text 33 2" xfId="29636" xr:uid="{00000000-0005-0000-0000-0000D8730000}"/>
    <cellStyle name="Explanatory Text 34" xfId="29637" xr:uid="{00000000-0005-0000-0000-0000D9730000}"/>
    <cellStyle name="Explanatory Text 35" xfId="29638" xr:uid="{00000000-0005-0000-0000-0000DA730000}"/>
    <cellStyle name="Explanatory Text 35 2" xfId="29639" xr:uid="{00000000-0005-0000-0000-0000DB730000}"/>
    <cellStyle name="Explanatory Text 36" xfId="29640" xr:uid="{00000000-0005-0000-0000-0000DC730000}"/>
    <cellStyle name="Explanatory Text 36 2" xfId="29641" xr:uid="{00000000-0005-0000-0000-0000DD730000}"/>
    <cellStyle name="Explanatory Text 37" xfId="29642" xr:uid="{00000000-0005-0000-0000-0000DE730000}"/>
    <cellStyle name="Explanatory Text 37 2" xfId="29643" xr:uid="{00000000-0005-0000-0000-0000DF730000}"/>
    <cellStyle name="Explanatory Text 38" xfId="29644" xr:uid="{00000000-0005-0000-0000-0000E0730000}"/>
    <cellStyle name="Explanatory Text 38 2" xfId="29645" xr:uid="{00000000-0005-0000-0000-0000E1730000}"/>
    <cellStyle name="Explanatory Text 39" xfId="29646" xr:uid="{00000000-0005-0000-0000-0000E2730000}"/>
    <cellStyle name="Explanatory Text 39 2" xfId="29647" xr:uid="{00000000-0005-0000-0000-0000E3730000}"/>
    <cellStyle name="Explanatory Text 4" xfId="29648" xr:uid="{00000000-0005-0000-0000-0000E4730000}"/>
    <cellStyle name="Explanatory Text 4 2" xfId="29649" xr:uid="{00000000-0005-0000-0000-0000E5730000}"/>
    <cellStyle name="Explanatory Text 4 2 2" xfId="29650" xr:uid="{00000000-0005-0000-0000-0000E6730000}"/>
    <cellStyle name="Explanatory Text 40" xfId="29651" xr:uid="{00000000-0005-0000-0000-0000E7730000}"/>
    <cellStyle name="Explanatory Text 40 2" xfId="29652" xr:uid="{00000000-0005-0000-0000-0000E8730000}"/>
    <cellStyle name="Explanatory Text 41" xfId="29653" xr:uid="{00000000-0005-0000-0000-0000E9730000}"/>
    <cellStyle name="Explanatory Text 41 2" xfId="29654" xr:uid="{00000000-0005-0000-0000-0000EA730000}"/>
    <cellStyle name="Explanatory Text 42" xfId="29655" xr:uid="{00000000-0005-0000-0000-0000EB730000}"/>
    <cellStyle name="Explanatory Text 42 2" xfId="29656" xr:uid="{00000000-0005-0000-0000-0000EC730000}"/>
    <cellStyle name="Explanatory Text 43" xfId="29657" xr:uid="{00000000-0005-0000-0000-0000ED730000}"/>
    <cellStyle name="Explanatory Text 43 2" xfId="29658" xr:uid="{00000000-0005-0000-0000-0000EE730000}"/>
    <cellStyle name="Explanatory Text 44" xfId="29659" xr:uid="{00000000-0005-0000-0000-0000EF730000}"/>
    <cellStyle name="Explanatory Text 44 2" xfId="29660" xr:uid="{00000000-0005-0000-0000-0000F0730000}"/>
    <cellStyle name="Explanatory Text 45" xfId="29661" xr:uid="{00000000-0005-0000-0000-0000F1730000}"/>
    <cellStyle name="Explanatory Text 45 2" xfId="29662" xr:uid="{00000000-0005-0000-0000-0000F2730000}"/>
    <cellStyle name="Explanatory Text 46" xfId="29663" xr:uid="{00000000-0005-0000-0000-0000F3730000}"/>
    <cellStyle name="Explanatory Text 46 2" xfId="29664" xr:uid="{00000000-0005-0000-0000-0000F4730000}"/>
    <cellStyle name="Explanatory Text 47" xfId="29665" xr:uid="{00000000-0005-0000-0000-0000F5730000}"/>
    <cellStyle name="Explanatory Text 47 2" xfId="29666" xr:uid="{00000000-0005-0000-0000-0000F6730000}"/>
    <cellStyle name="Explanatory Text 48" xfId="29667" xr:uid="{00000000-0005-0000-0000-0000F7730000}"/>
    <cellStyle name="Explanatory Text 48 2" xfId="29668" xr:uid="{00000000-0005-0000-0000-0000F8730000}"/>
    <cellStyle name="Explanatory Text 49" xfId="29669" xr:uid="{00000000-0005-0000-0000-0000F9730000}"/>
    <cellStyle name="Explanatory Text 49 2" xfId="29670" xr:uid="{00000000-0005-0000-0000-0000FA730000}"/>
    <cellStyle name="Explanatory Text 5" xfId="29671" xr:uid="{00000000-0005-0000-0000-0000FB730000}"/>
    <cellStyle name="Explanatory Text 5 2" xfId="29672" xr:uid="{00000000-0005-0000-0000-0000FC730000}"/>
    <cellStyle name="Explanatory Text 5 2 2" xfId="29673" xr:uid="{00000000-0005-0000-0000-0000FD730000}"/>
    <cellStyle name="Explanatory Text 50" xfId="29674" xr:uid="{00000000-0005-0000-0000-0000FE730000}"/>
    <cellStyle name="Explanatory Text 50 2" xfId="29675" xr:uid="{00000000-0005-0000-0000-0000FF730000}"/>
    <cellStyle name="Explanatory Text 51" xfId="29676" xr:uid="{00000000-0005-0000-0000-000000740000}"/>
    <cellStyle name="Explanatory Text 51 2" xfId="29677" xr:uid="{00000000-0005-0000-0000-000001740000}"/>
    <cellStyle name="Explanatory Text 52" xfId="29678" xr:uid="{00000000-0005-0000-0000-000002740000}"/>
    <cellStyle name="Explanatory Text 53" xfId="29679" xr:uid="{00000000-0005-0000-0000-000003740000}"/>
    <cellStyle name="Explanatory Text 54" xfId="29680" xr:uid="{00000000-0005-0000-0000-000004740000}"/>
    <cellStyle name="Explanatory Text 55" xfId="29681" xr:uid="{00000000-0005-0000-0000-000005740000}"/>
    <cellStyle name="Explanatory Text 56" xfId="29682" xr:uid="{00000000-0005-0000-0000-000006740000}"/>
    <cellStyle name="Explanatory Text 57" xfId="29683" xr:uid="{00000000-0005-0000-0000-000007740000}"/>
    <cellStyle name="Explanatory Text 58" xfId="29684" xr:uid="{00000000-0005-0000-0000-000008740000}"/>
    <cellStyle name="Explanatory Text 59" xfId="29685" xr:uid="{00000000-0005-0000-0000-000009740000}"/>
    <cellStyle name="Explanatory Text 6" xfId="29686" xr:uid="{00000000-0005-0000-0000-00000A740000}"/>
    <cellStyle name="Explanatory Text 6 2" xfId="29687" xr:uid="{00000000-0005-0000-0000-00000B740000}"/>
    <cellStyle name="Explanatory Text 60" xfId="29688" xr:uid="{00000000-0005-0000-0000-00000C740000}"/>
    <cellStyle name="Explanatory Text 61" xfId="29689" xr:uid="{00000000-0005-0000-0000-00000D740000}"/>
    <cellStyle name="Explanatory Text 62" xfId="29690" xr:uid="{00000000-0005-0000-0000-00000E740000}"/>
    <cellStyle name="Explanatory Text 63" xfId="29691" xr:uid="{00000000-0005-0000-0000-00000F740000}"/>
    <cellStyle name="Explanatory Text 63 2" xfId="29692" xr:uid="{00000000-0005-0000-0000-000010740000}"/>
    <cellStyle name="Explanatory Text 64" xfId="29693" xr:uid="{00000000-0005-0000-0000-000011740000}"/>
    <cellStyle name="Explanatory Text 64 2" xfId="29694" xr:uid="{00000000-0005-0000-0000-000012740000}"/>
    <cellStyle name="Explanatory Text 65" xfId="29695" xr:uid="{00000000-0005-0000-0000-000013740000}"/>
    <cellStyle name="Explanatory Text 65 2" xfId="29696" xr:uid="{00000000-0005-0000-0000-000014740000}"/>
    <cellStyle name="Explanatory Text 66" xfId="29697" xr:uid="{00000000-0005-0000-0000-000015740000}"/>
    <cellStyle name="Explanatory Text 66 2" xfId="29698" xr:uid="{00000000-0005-0000-0000-000016740000}"/>
    <cellStyle name="Explanatory Text 67" xfId="29699" xr:uid="{00000000-0005-0000-0000-000017740000}"/>
    <cellStyle name="Explanatory Text 67 2" xfId="29700" xr:uid="{00000000-0005-0000-0000-000018740000}"/>
    <cellStyle name="Explanatory Text 68" xfId="29701" xr:uid="{00000000-0005-0000-0000-000019740000}"/>
    <cellStyle name="Explanatory Text 68 2" xfId="29702" xr:uid="{00000000-0005-0000-0000-00001A740000}"/>
    <cellStyle name="Explanatory Text 69" xfId="29703" xr:uid="{00000000-0005-0000-0000-00001B740000}"/>
    <cellStyle name="Explanatory Text 69 2" xfId="29704" xr:uid="{00000000-0005-0000-0000-00001C740000}"/>
    <cellStyle name="Explanatory Text 7" xfId="29705" xr:uid="{00000000-0005-0000-0000-00001D740000}"/>
    <cellStyle name="Explanatory Text 7 2" xfId="29706" xr:uid="{00000000-0005-0000-0000-00001E740000}"/>
    <cellStyle name="Explanatory Text 70" xfId="29707" xr:uid="{00000000-0005-0000-0000-00001F740000}"/>
    <cellStyle name="Explanatory Text 70 2" xfId="29708" xr:uid="{00000000-0005-0000-0000-000020740000}"/>
    <cellStyle name="Explanatory Text 71" xfId="29709" xr:uid="{00000000-0005-0000-0000-000021740000}"/>
    <cellStyle name="Explanatory Text 71 2" xfId="29710" xr:uid="{00000000-0005-0000-0000-000022740000}"/>
    <cellStyle name="Explanatory Text 72" xfId="29711" xr:uid="{00000000-0005-0000-0000-000023740000}"/>
    <cellStyle name="Explanatory Text 72 2" xfId="29712" xr:uid="{00000000-0005-0000-0000-000024740000}"/>
    <cellStyle name="Explanatory Text 73" xfId="29713" xr:uid="{00000000-0005-0000-0000-000025740000}"/>
    <cellStyle name="Explanatory Text 73 2" xfId="29714" xr:uid="{00000000-0005-0000-0000-000026740000}"/>
    <cellStyle name="Explanatory Text 74" xfId="29715" xr:uid="{00000000-0005-0000-0000-000027740000}"/>
    <cellStyle name="Explanatory Text 74 2" xfId="29716" xr:uid="{00000000-0005-0000-0000-000028740000}"/>
    <cellStyle name="Explanatory Text 75" xfId="29717" xr:uid="{00000000-0005-0000-0000-000029740000}"/>
    <cellStyle name="Explanatory Text 75 2" xfId="29718" xr:uid="{00000000-0005-0000-0000-00002A740000}"/>
    <cellStyle name="Explanatory Text 76" xfId="29719" xr:uid="{00000000-0005-0000-0000-00002B740000}"/>
    <cellStyle name="Explanatory Text 76 2" xfId="29720" xr:uid="{00000000-0005-0000-0000-00002C740000}"/>
    <cellStyle name="Explanatory Text 77" xfId="29721" xr:uid="{00000000-0005-0000-0000-00002D740000}"/>
    <cellStyle name="Explanatory Text 77 2" xfId="29722" xr:uid="{00000000-0005-0000-0000-00002E740000}"/>
    <cellStyle name="Explanatory Text 78" xfId="29723" xr:uid="{00000000-0005-0000-0000-00002F740000}"/>
    <cellStyle name="Explanatory Text 78 2" xfId="29724" xr:uid="{00000000-0005-0000-0000-000030740000}"/>
    <cellStyle name="Explanatory Text 79" xfId="29725" xr:uid="{00000000-0005-0000-0000-000031740000}"/>
    <cellStyle name="Explanatory Text 79 2" xfId="29726" xr:uid="{00000000-0005-0000-0000-000032740000}"/>
    <cellStyle name="Explanatory Text 8" xfId="29727" xr:uid="{00000000-0005-0000-0000-000033740000}"/>
    <cellStyle name="Explanatory Text 80" xfId="29728" xr:uid="{00000000-0005-0000-0000-000034740000}"/>
    <cellStyle name="Explanatory Text 80 2" xfId="29729" xr:uid="{00000000-0005-0000-0000-000035740000}"/>
    <cellStyle name="Explanatory Text 81" xfId="29730" xr:uid="{00000000-0005-0000-0000-000036740000}"/>
    <cellStyle name="Explanatory Text 81 2" xfId="29731" xr:uid="{00000000-0005-0000-0000-000037740000}"/>
    <cellStyle name="Explanatory Text 82" xfId="29732" xr:uid="{00000000-0005-0000-0000-000038740000}"/>
    <cellStyle name="Explanatory Text 82 2" xfId="29733" xr:uid="{00000000-0005-0000-0000-000039740000}"/>
    <cellStyle name="Explanatory Text 83" xfId="29734" xr:uid="{00000000-0005-0000-0000-00003A740000}"/>
    <cellStyle name="Explanatory Text 83 2" xfId="29735" xr:uid="{00000000-0005-0000-0000-00003B740000}"/>
    <cellStyle name="Explanatory Text 84" xfId="29736" xr:uid="{00000000-0005-0000-0000-00003C740000}"/>
    <cellStyle name="Explanatory Text 84 2" xfId="29737" xr:uid="{00000000-0005-0000-0000-00003D740000}"/>
    <cellStyle name="Explanatory Text 85" xfId="29738" xr:uid="{00000000-0005-0000-0000-00003E740000}"/>
    <cellStyle name="Explanatory Text 85 2" xfId="29739" xr:uid="{00000000-0005-0000-0000-00003F740000}"/>
    <cellStyle name="Explanatory Text 86" xfId="29740" xr:uid="{00000000-0005-0000-0000-000040740000}"/>
    <cellStyle name="Explanatory Text 86 2" xfId="29741" xr:uid="{00000000-0005-0000-0000-000041740000}"/>
    <cellStyle name="Explanatory Text 87" xfId="29742" xr:uid="{00000000-0005-0000-0000-000042740000}"/>
    <cellStyle name="Explanatory Text 87 2" xfId="29743" xr:uid="{00000000-0005-0000-0000-000043740000}"/>
    <cellStyle name="Explanatory Text 88" xfId="29744" xr:uid="{00000000-0005-0000-0000-000044740000}"/>
    <cellStyle name="Explanatory Text 89" xfId="29745" xr:uid="{00000000-0005-0000-0000-000045740000}"/>
    <cellStyle name="Explanatory Text 89 2" xfId="29746" xr:uid="{00000000-0005-0000-0000-000046740000}"/>
    <cellStyle name="Explanatory Text 9" xfId="29747" xr:uid="{00000000-0005-0000-0000-000047740000}"/>
    <cellStyle name="Explanatory Text 9 2" xfId="29748" xr:uid="{00000000-0005-0000-0000-000048740000}"/>
    <cellStyle name="Explanatory Text 90" xfId="29749" xr:uid="{00000000-0005-0000-0000-000049740000}"/>
    <cellStyle name="Explanatory Text 90 2" xfId="29750" xr:uid="{00000000-0005-0000-0000-00004A740000}"/>
    <cellStyle name="Explanatory Text 91" xfId="29751" xr:uid="{00000000-0005-0000-0000-00004B740000}"/>
    <cellStyle name="Explanatory Text 91 2" xfId="29752" xr:uid="{00000000-0005-0000-0000-00004C740000}"/>
    <cellStyle name="Explanatory Text 92" xfId="29753" xr:uid="{00000000-0005-0000-0000-00004D740000}"/>
    <cellStyle name="Explanatory Text 92 2" xfId="29754" xr:uid="{00000000-0005-0000-0000-00004E740000}"/>
    <cellStyle name="Explanatory Text 93" xfId="29755" xr:uid="{00000000-0005-0000-0000-00004F740000}"/>
    <cellStyle name="Explanatory Text 93 2" xfId="29756" xr:uid="{00000000-0005-0000-0000-000050740000}"/>
    <cellStyle name="Explanatory Text 94" xfId="29757" xr:uid="{00000000-0005-0000-0000-000051740000}"/>
    <cellStyle name="Explanatory Text 94 2" xfId="29758" xr:uid="{00000000-0005-0000-0000-000052740000}"/>
    <cellStyle name="Explanatory Text 95" xfId="29759" xr:uid="{00000000-0005-0000-0000-000053740000}"/>
    <cellStyle name="Explanatory Text 96" xfId="29760" xr:uid="{00000000-0005-0000-0000-000054740000}"/>
    <cellStyle name="Explanatory Text 97" xfId="29761" xr:uid="{00000000-0005-0000-0000-000055740000}"/>
    <cellStyle name="Explanatory Text 98" xfId="29762" xr:uid="{00000000-0005-0000-0000-000056740000}"/>
    <cellStyle name="Explanatory Text 99" xfId="29763" xr:uid="{00000000-0005-0000-0000-000057740000}"/>
    <cellStyle name="Good" xfId="41008" builtinId="26" customBuiltin="1"/>
    <cellStyle name="Good 10" xfId="29764" xr:uid="{00000000-0005-0000-0000-000059740000}"/>
    <cellStyle name="Good 10 2" xfId="29765" xr:uid="{00000000-0005-0000-0000-00005A740000}"/>
    <cellStyle name="Good 100" xfId="29766" xr:uid="{00000000-0005-0000-0000-00005B740000}"/>
    <cellStyle name="Good 101" xfId="29767" xr:uid="{00000000-0005-0000-0000-00005C740000}"/>
    <cellStyle name="Good 102" xfId="29768" xr:uid="{00000000-0005-0000-0000-00005D740000}"/>
    <cellStyle name="Good 103" xfId="29769" xr:uid="{00000000-0005-0000-0000-00005E740000}"/>
    <cellStyle name="Good 104" xfId="29770" xr:uid="{00000000-0005-0000-0000-00005F740000}"/>
    <cellStyle name="Good 105" xfId="29771" xr:uid="{00000000-0005-0000-0000-000060740000}"/>
    <cellStyle name="Good 106" xfId="29772" xr:uid="{00000000-0005-0000-0000-000061740000}"/>
    <cellStyle name="Good 107" xfId="29773" xr:uid="{00000000-0005-0000-0000-000062740000}"/>
    <cellStyle name="Good 108" xfId="29774" xr:uid="{00000000-0005-0000-0000-000063740000}"/>
    <cellStyle name="Good 109" xfId="29775" xr:uid="{00000000-0005-0000-0000-000064740000}"/>
    <cellStyle name="Good 11" xfId="29776" xr:uid="{00000000-0005-0000-0000-000065740000}"/>
    <cellStyle name="Good 11 2" xfId="29777" xr:uid="{00000000-0005-0000-0000-000066740000}"/>
    <cellStyle name="Good 110" xfId="29778" xr:uid="{00000000-0005-0000-0000-000067740000}"/>
    <cellStyle name="Good 111" xfId="29779" xr:uid="{00000000-0005-0000-0000-000068740000}"/>
    <cellStyle name="Good 112" xfId="29780" xr:uid="{00000000-0005-0000-0000-000069740000}"/>
    <cellStyle name="Good 113" xfId="29781" xr:uid="{00000000-0005-0000-0000-00006A740000}"/>
    <cellStyle name="Good 114" xfId="29782" xr:uid="{00000000-0005-0000-0000-00006B740000}"/>
    <cellStyle name="Good 115" xfId="29783" xr:uid="{00000000-0005-0000-0000-00006C740000}"/>
    <cellStyle name="Good 116" xfId="29784" xr:uid="{00000000-0005-0000-0000-00006D740000}"/>
    <cellStyle name="Good 117" xfId="29785" xr:uid="{00000000-0005-0000-0000-00006E740000}"/>
    <cellStyle name="Good 118" xfId="29786" xr:uid="{00000000-0005-0000-0000-00006F740000}"/>
    <cellStyle name="Good 119" xfId="29787" xr:uid="{00000000-0005-0000-0000-000070740000}"/>
    <cellStyle name="Good 12" xfId="29788" xr:uid="{00000000-0005-0000-0000-000071740000}"/>
    <cellStyle name="Good 12 2" xfId="29789" xr:uid="{00000000-0005-0000-0000-000072740000}"/>
    <cellStyle name="Good 120" xfId="29790" xr:uid="{00000000-0005-0000-0000-000073740000}"/>
    <cellStyle name="Good 121" xfId="29791" xr:uid="{00000000-0005-0000-0000-000074740000}"/>
    <cellStyle name="Good 122" xfId="29792" xr:uid="{00000000-0005-0000-0000-000075740000}"/>
    <cellStyle name="Good 123" xfId="29793" xr:uid="{00000000-0005-0000-0000-000076740000}"/>
    <cellStyle name="Good 124" xfId="29794" xr:uid="{00000000-0005-0000-0000-000077740000}"/>
    <cellStyle name="Good 125" xfId="29795" xr:uid="{00000000-0005-0000-0000-000078740000}"/>
    <cellStyle name="Good 126" xfId="29796" xr:uid="{00000000-0005-0000-0000-000079740000}"/>
    <cellStyle name="Good 127" xfId="29797" xr:uid="{00000000-0005-0000-0000-00007A740000}"/>
    <cellStyle name="Good 128" xfId="29798" xr:uid="{00000000-0005-0000-0000-00007B740000}"/>
    <cellStyle name="Good 129" xfId="29799" xr:uid="{00000000-0005-0000-0000-00007C740000}"/>
    <cellStyle name="Good 13" xfId="29800" xr:uid="{00000000-0005-0000-0000-00007D740000}"/>
    <cellStyle name="Good 13 2" xfId="29801" xr:uid="{00000000-0005-0000-0000-00007E740000}"/>
    <cellStyle name="Good 130" xfId="29802" xr:uid="{00000000-0005-0000-0000-00007F740000}"/>
    <cellStyle name="Good 131" xfId="29803" xr:uid="{00000000-0005-0000-0000-000080740000}"/>
    <cellStyle name="Good 132" xfId="29804" xr:uid="{00000000-0005-0000-0000-000081740000}"/>
    <cellStyle name="Good 133" xfId="29805" xr:uid="{00000000-0005-0000-0000-000082740000}"/>
    <cellStyle name="Good 14" xfId="29806" xr:uid="{00000000-0005-0000-0000-000083740000}"/>
    <cellStyle name="Good 14 2" xfId="29807" xr:uid="{00000000-0005-0000-0000-000084740000}"/>
    <cellStyle name="Good 15" xfId="29808" xr:uid="{00000000-0005-0000-0000-000085740000}"/>
    <cellStyle name="Good 15 2" xfId="29809" xr:uid="{00000000-0005-0000-0000-000086740000}"/>
    <cellStyle name="Good 16" xfId="29810" xr:uid="{00000000-0005-0000-0000-000087740000}"/>
    <cellStyle name="Good 16 2" xfId="29811" xr:uid="{00000000-0005-0000-0000-000088740000}"/>
    <cellStyle name="Good 17" xfId="29812" xr:uid="{00000000-0005-0000-0000-000089740000}"/>
    <cellStyle name="Good 17 2" xfId="29813" xr:uid="{00000000-0005-0000-0000-00008A740000}"/>
    <cellStyle name="Good 18" xfId="29814" xr:uid="{00000000-0005-0000-0000-00008B740000}"/>
    <cellStyle name="Good 18 2" xfId="29815" xr:uid="{00000000-0005-0000-0000-00008C740000}"/>
    <cellStyle name="Good 19" xfId="29816" xr:uid="{00000000-0005-0000-0000-00008D740000}"/>
    <cellStyle name="Good 19 2" xfId="29817" xr:uid="{00000000-0005-0000-0000-00008E740000}"/>
    <cellStyle name="Good 2" xfId="29818" xr:uid="{00000000-0005-0000-0000-00008F740000}"/>
    <cellStyle name="Good 2 2" xfId="29819" xr:uid="{00000000-0005-0000-0000-000090740000}"/>
    <cellStyle name="Good 2 2 2" xfId="29820" xr:uid="{00000000-0005-0000-0000-000091740000}"/>
    <cellStyle name="Good 2 2 2 2" xfId="29821" xr:uid="{00000000-0005-0000-0000-000092740000}"/>
    <cellStyle name="Good 2 2 2 2 2" xfId="29822" xr:uid="{00000000-0005-0000-0000-000093740000}"/>
    <cellStyle name="Good 2 3" xfId="29823" xr:uid="{00000000-0005-0000-0000-000094740000}"/>
    <cellStyle name="Good 2 4" xfId="29824" xr:uid="{00000000-0005-0000-0000-000095740000}"/>
    <cellStyle name="Good 2 5" xfId="41064" xr:uid="{00000000-0005-0000-0000-00001F000000}"/>
    <cellStyle name="Good 20" xfId="29825" xr:uid="{00000000-0005-0000-0000-000096740000}"/>
    <cellStyle name="Good 20 2" xfId="29826" xr:uid="{00000000-0005-0000-0000-000097740000}"/>
    <cellStyle name="Good 21" xfId="29827" xr:uid="{00000000-0005-0000-0000-000098740000}"/>
    <cellStyle name="Good 21 2" xfId="29828" xr:uid="{00000000-0005-0000-0000-000099740000}"/>
    <cellStyle name="Good 22" xfId="29829" xr:uid="{00000000-0005-0000-0000-00009A740000}"/>
    <cellStyle name="Good 22 2" xfId="29830" xr:uid="{00000000-0005-0000-0000-00009B740000}"/>
    <cellStyle name="Good 23" xfId="29831" xr:uid="{00000000-0005-0000-0000-00009C740000}"/>
    <cellStyle name="Good 23 2" xfId="29832" xr:uid="{00000000-0005-0000-0000-00009D740000}"/>
    <cellStyle name="Good 24" xfId="29833" xr:uid="{00000000-0005-0000-0000-00009E740000}"/>
    <cellStyle name="Good 24 2" xfId="29834" xr:uid="{00000000-0005-0000-0000-00009F740000}"/>
    <cellStyle name="Good 25" xfId="29835" xr:uid="{00000000-0005-0000-0000-0000A0740000}"/>
    <cellStyle name="Good 25 2" xfId="29836" xr:uid="{00000000-0005-0000-0000-0000A1740000}"/>
    <cellStyle name="Good 26" xfId="29837" xr:uid="{00000000-0005-0000-0000-0000A2740000}"/>
    <cellStyle name="Good 26 2" xfId="29838" xr:uid="{00000000-0005-0000-0000-0000A3740000}"/>
    <cellStyle name="Good 27" xfId="29839" xr:uid="{00000000-0005-0000-0000-0000A4740000}"/>
    <cellStyle name="Good 27 2" xfId="29840" xr:uid="{00000000-0005-0000-0000-0000A5740000}"/>
    <cellStyle name="Good 28" xfId="29841" xr:uid="{00000000-0005-0000-0000-0000A6740000}"/>
    <cellStyle name="Good 28 2" xfId="29842" xr:uid="{00000000-0005-0000-0000-0000A7740000}"/>
    <cellStyle name="Good 29" xfId="29843" xr:uid="{00000000-0005-0000-0000-0000A8740000}"/>
    <cellStyle name="Good 29 2" xfId="29844" xr:uid="{00000000-0005-0000-0000-0000A9740000}"/>
    <cellStyle name="Good 3" xfId="29845" xr:uid="{00000000-0005-0000-0000-0000AA740000}"/>
    <cellStyle name="Good 3 2" xfId="29846" xr:uid="{00000000-0005-0000-0000-0000AB740000}"/>
    <cellStyle name="Good 3 2 2" xfId="29847" xr:uid="{00000000-0005-0000-0000-0000AC740000}"/>
    <cellStyle name="Good 3 3" xfId="29848" xr:uid="{00000000-0005-0000-0000-0000AD740000}"/>
    <cellStyle name="Good 3 4" xfId="29849" xr:uid="{00000000-0005-0000-0000-0000AE740000}"/>
    <cellStyle name="Good 3_MAR 2009" xfId="29850" xr:uid="{00000000-0005-0000-0000-0000AF740000}"/>
    <cellStyle name="Good 30" xfId="29851" xr:uid="{00000000-0005-0000-0000-0000B0740000}"/>
    <cellStyle name="Good 30 2" xfId="29852" xr:uid="{00000000-0005-0000-0000-0000B1740000}"/>
    <cellStyle name="Good 31" xfId="29853" xr:uid="{00000000-0005-0000-0000-0000B2740000}"/>
    <cellStyle name="Good 31 2" xfId="29854" xr:uid="{00000000-0005-0000-0000-0000B3740000}"/>
    <cellStyle name="Good 32" xfId="29855" xr:uid="{00000000-0005-0000-0000-0000B4740000}"/>
    <cellStyle name="Good 32 2" xfId="29856" xr:uid="{00000000-0005-0000-0000-0000B5740000}"/>
    <cellStyle name="Good 33" xfId="29857" xr:uid="{00000000-0005-0000-0000-0000B6740000}"/>
    <cellStyle name="Good 33 2" xfId="29858" xr:uid="{00000000-0005-0000-0000-0000B7740000}"/>
    <cellStyle name="Good 34" xfId="29859" xr:uid="{00000000-0005-0000-0000-0000B8740000}"/>
    <cellStyle name="Good 34 2" xfId="29860" xr:uid="{00000000-0005-0000-0000-0000B9740000}"/>
    <cellStyle name="Good 35" xfId="29861" xr:uid="{00000000-0005-0000-0000-0000BA740000}"/>
    <cellStyle name="Good 35 2" xfId="29862" xr:uid="{00000000-0005-0000-0000-0000BB740000}"/>
    <cellStyle name="Good 36" xfId="29863" xr:uid="{00000000-0005-0000-0000-0000BC740000}"/>
    <cellStyle name="Good 36 2" xfId="29864" xr:uid="{00000000-0005-0000-0000-0000BD740000}"/>
    <cellStyle name="Good 37" xfId="29865" xr:uid="{00000000-0005-0000-0000-0000BE740000}"/>
    <cellStyle name="Good 37 2" xfId="29866" xr:uid="{00000000-0005-0000-0000-0000BF740000}"/>
    <cellStyle name="Good 38" xfId="29867" xr:uid="{00000000-0005-0000-0000-0000C0740000}"/>
    <cellStyle name="Good 38 2" xfId="29868" xr:uid="{00000000-0005-0000-0000-0000C1740000}"/>
    <cellStyle name="Good 39" xfId="29869" xr:uid="{00000000-0005-0000-0000-0000C2740000}"/>
    <cellStyle name="Good 39 2" xfId="29870" xr:uid="{00000000-0005-0000-0000-0000C3740000}"/>
    <cellStyle name="Good 4" xfId="29871" xr:uid="{00000000-0005-0000-0000-0000C4740000}"/>
    <cellStyle name="Good 4 2" xfId="29872" xr:uid="{00000000-0005-0000-0000-0000C5740000}"/>
    <cellStyle name="Good 4 2 2" xfId="29873" xr:uid="{00000000-0005-0000-0000-0000C6740000}"/>
    <cellStyle name="Good 4 3" xfId="29874" xr:uid="{00000000-0005-0000-0000-0000C7740000}"/>
    <cellStyle name="Good 40" xfId="29875" xr:uid="{00000000-0005-0000-0000-0000C8740000}"/>
    <cellStyle name="Good 40 2" xfId="29876" xr:uid="{00000000-0005-0000-0000-0000C9740000}"/>
    <cellStyle name="Good 41" xfId="29877" xr:uid="{00000000-0005-0000-0000-0000CA740000}"/>
    <cellStyle name="Good 41 2" xfId="29878" xr:uid="{00000000-0005-0000-0000-0000CB740000}"/>
    <cellStyle name="Good 42" xfId="29879" xr:uid="{00000000-0005-0000-0000-0000CC740000}"/>
    <cellStyle name="Good 42 2" xfId="29880" xr:uid="{00000000-0005-0000-0000-0000CD740000}"/>
    <cellStyle name="Good 43" xfId="29881" xr:uid="{00000000-0005-0000-0000-0000CE740000}"/>
    <cellStyle name="Good 43 2" xfId="29882" xr:uid="{00000000-0005-0000-0000-0000CF740000}"/>
    <cellStyle name="Good 44" xfId="29883" xr:uid="{00000000-0005-0000-0000-0000D0740000}"/>
    <cellStyle name="Good 44 2" xfId="29884" xr:uid="{00000000-0005-0000-0000-0000D1740000}"/>
    <cellStyle name="Good 45" xfId="29885" xr:uid="{00000000-0005-0000-0000-0000D2740000}"/>
    <cellStyle name="Good 45 2" xfId="29886" xr:uid="{00000000-0005-0000-0000-0000D3740000}"/>
    <cellStyle name="Good 46" xfId="29887" xr:uid="{00000000-0005-0000-0000-0000D4740000}"/>
    <cellStyle name="Good 46 2" xfId="29888" xr:uid="{00000000-0005-0000-0000-0000D5740000}"/>
    <cellStyle name="Good 47" xfId="29889" xr:uid="{00000000-0005-0000-0000-0000D6740000}"/>
    <cellStyle name="Good 47 2" xfId="29890" xr:uid="{00000000-0005-0000-0000-0000D7740000}"/>
    <cellStyle name="Good 48" xfId="29891" xr:uid="{00000000-0005-0000-0000-0000D8740000}"/>
    <cellStyle name="Good 48 2" xfId="29892" xr:uid="{00000000-0005-0000-0000-0000D9740000}"/>
    <cellStyle name="Good 49" xfId="29893" xr:uid="{00000000-0005-0000-0000-0000DA740000}"/>
    <cellStyle name="Good 49 2" xfId="29894" xr:uid="{00000000-0005-0000-0000-0000DB740000}"/>
    <cellStyle name="Good 5" xfId="29895" xr:uid="{00000000-0005-0000-0000-0000DC740000}"/>
    <cellStyle name="Good 5 2" xfId="29896" xr:uid="{00000000-0005-0000-0000-0000DD740000}"/>
    <cellStyle name="Good 5 2 2" xfId="29897" xr:uid="{00000000-0005-0000-0000-0000DE740000}"/>
    <cellStyle name="Good 5 3" xfId="29898" xr:uid="{00000000-0005-0000-0000-0000DF740000}"/>
    <cellStyle name="Good 50" xfId="29899" xr:uid="{00000000-0005-0000-0000-0000E0740000}"/>
    <cellStyle name="Good 50 2" xfId="29900" xr:uid="{00000000-0005-0000-0000-0000E1740000}"/>
    <cellStyle name="Good 51" xfId="29901" xr:uid="{00000000-0005-0000-0000-0000E2740000}"/>
    <cellStyle name="Good 51 2" xfId="29902" xr:uid="{00000000-0005-0000-0000-0000E3740000}"/>
    <cellStyle name="Good 52" xfId="29903" xr:uid="{00000000-0005-0000-0000-0000E4740000}"/>
    <cellStyle name="Good 52 2" xfId="29904" xr:uid="{00000000-0005-0000-0000-0000E5740000}"/>
    <cellStyle name="Good 53" xfId="29905" xr:uid="{00000000-0005-0000-0000-0000E6740000}"/>
    <cellStyle name="Good 53 2" xfId="29906" xr:uid="{00000000-0005-0000-0000-0000E7740000}"/>
    <cellStyle name="Good 54" xfId="29907" xr:uid="{00000000-0005-0000-0000-0000E8740000}"/>
    <cellStyle name="Good 54 2" xfId="29908" xr:uid="{00000000-0005-0000-0000-0000E9740000}"/>
    <cellStyle name="Good 55" xfId="29909" xr:uid="{00000000-0005-0000-0000-0000EA740000}"/>
    <cellStyle name="Good 55 2" xfId="29910" xr:uid="{00000000-0005-0000-0000-0000EB740000}"/>
    <cellStyle name="Good 56" xfId="29911" xr:uid="{00000000-0005-0000-0000-0000EC740000}"/>
    <cellStyle name="Good 56 2" xfId="29912" xr:uid="{00000000-0005-0000-0000-0000ED740000}"/>
    <cellStyle name="Good 57" xfId="29913" xr:uid="{00000000-0005-0000-0000-0000EE740000}"/>
    <cellStyle name="Good 57 2" xfId="29914" xr:uid="{00000000-0005-0000-0000-0000EF740000}"/>
    <cellStyle name="Good 58" xfId="29915" xr:uid="{00000000-0005-0000-0000-0000F0740000}"/>
    <cellStyle name="Good 58 2" xfId="29916" xr:uid="{00000000-0005-0000-0000-0000F1740000}"/>
    <cellStyle name="Good 59" xfId="29917" xr:uid="{00000000-0005-0000-0000-0000F2740000}"/>
    <cellStyle name="Good 6" xfId="29918" xr:uid="{00000000-0005-0000-0000-0000F3740000}"/>
    <cellStyle name="Good 6 2" xfId="29919" xr:uid="{00000000-0005-0000-0000-0000F4740000}"/>
    <cellStyle name="Good 6 3" xfId="29920" xr:uid="{00000000-0005-0000-0000-0000F5740000}"/>
    <cellStyle name="Good 60" xfId="29921" xr:uid="{00000000-0005-0000-0000-0000F6740000}"/>
    <cellStyle name="Good 61" xfId="29922" xr:uid="{00000000-0005-0000-0000-0000F7740000}"/>
    <cellStyle name="Good 62" xfId="29923" xr:uid="{00000000-0005-0000-0000-0000F8740000}"/>
    <cellStyle name="Good 63" xfId="29924" xr:uid="{00000000-0005-0000-0000-0000F9740000}"/>
    <cellStyle name="Good 63 2" xfId="29925" xr:uid="{00000000-0005-0000-0000-0000FA740000}"/>
    <cellStyle name="Good 64" xfId="29926" xr:uid="{00000000-0005-0000-0000-0000FB740000}"/>
    <cellStyle name="Good 64 2" xfId="29927" xr:uid="{00000000-0005-0000-0000-0000FC740000}"/>
    <cellStyle name="Good 65" xfId="29928" xr:uid="{00000000-0005-0000-0000-0000FD740000}"/>
    <cellStyle name="Good 65 2" xfId="29929" xr:uid="{00000000-0005-0000-0000-0000FE740000}"/>
    <cellStyle name="Good 66" xfId="29930" xr:uid="{00000000-0005-0000-0000-0000FF740000}"/>
    <cellStyle name="Good 66 2" xfId="29931" xr:uid="{00000000-0005-0000-0000-000000750000}"/>
    <cellStyle name="Good 67" xfId="29932" xr:uid="{00000000-0005-0000-0000-000001750000}"/>
    <cellStyle name="Good 67 2" xfId="29933" xr:uid="{00000000-0005-0000-0000-000002750000}"/>
    <cellStyle name="Good 68" xfId="29934" xr:uid="{00000000-0005-0000-0000-000003750000}"/>
    <cellStyle name="Good 68 2" xfId="29935" xr:uid="{00000000-0005-0000-0000-000004750000}"/>
    <cellStyle name="Good 69" xfId="29936" xr:uid="{00000000-0005-0000-0000-000005750000}"/>
    <cellStyle name="Good 69 2" xfId="29937" xr:uid="{00000000-0005-0000-0000-000006750000}"/>
    <cellStyle name="Good 7" xfId="29938" xr:uid="{00000000-0005-0000-0000-000007750000}"/>
    <cellStyle name="Good 7 2" xfId="29939" xr:uid="{00000000-0005-0000-0000-000008750000}"/>
    <cellStyle name="Good 70" xfId="29940" xr:uid="{00000000-0005-0000-0000-000009750000}"/>
    <cellStyle name="Good 70 2" xfId="29941" xr:uid="{00000000-0005-0000-0000-00000A750000}"/>
    <cellStyle name="Good 71" xfId="29942" xr:uid="{00000000-0005-0000-0000-00000B750000}"/>
    <cellStyle name="Good 71 2" xfId="29943" xr:uid="{00000000-0005-0000-0000-00000C750000}"/>
    <cellStyle name="Good 72" xfId="29944" xr:uid="{00000000-0005-0000-0000-00000D750000}"/>
    <cellStyle name="Good 72 2" xfId="29945" xr:uid="{00000000-0005-0000-0000-00000E750000}"/>
    <cellStyle name="Good 73" xfId="29946" xr:uid="{00000000-0005-0000-0000-00000F750000}"/>
    <cellStyle name="Good 73 2" xfId="29947" xr:uid="{00000000-0005-0000-0000-000010750000}"/>
    <cellStyle name="Good 74" xfId="29948" xr:uid="{00000000-0005-0000-0000-000011750000}"/>
    <cellStyle name="Good 74 2" xfId="29949" xr:uid="{00000000-0005-0000-0000-000012750000}"/>
    <cellStyle name="Good 75" xfId="29950" xr:uid="{00000000-0005-0000-0000-000013750000}"/>
    <cellStyle name="Good 75 2" xfId="29951" xr:uid="{00000000-0005-0000-0000-000014750000}"/>
    <cellStyle name="Good 76" xfId="29952" xr:uid="{00000000-0005-0000-0000-000015750000}"/>
    <cellStyle name="Good 76 2" xfId="29953" xr:uid="{00000000-0005-0000-0000-000016750000}"/>
    <cellStyle name="Good 77" xfId="29954" xr:uid="{00000000-0005-0000-0000-000017750000}"/>
    <cellStyle name="Good 77 2" xfId="29955" xr:uid="{00000000-0005-0000-0000-000018750000}"/>
    <cellStyle name="Good 78" xfId="29956" xr:uid="{00000000-0005-0000-0000-000019750000}"/>
    <cellStyle name="Good 78 2" xfId="29957" xr:uid="{00000000-0005-0000-0000-00001A750000}"/>
    <cellStyle name="Good 79" xfId="29958" xr:uid="{00000000-0005-0000-0000-00001B750000}"/>
    <cellStyle name="Good 79 2" xfId="29959" xr:uid="{00000000-0005-0000-0000-00001C750000}"/>
    <cellStyle name="Good 8" xfId="29960" xr:uid="{00000000-0005-0000-0000-00001D750000}"/>
    <cellStyle name="Good 8 2" xfId="29961" xr:uid="{00000000-0005-0000-0000-00001E750000}"/>
    <cellStyle name="Good 80" xfId="29962" xr:uid="{00000000-0005-0000-0000-00001F750000}"/>
    <cellStyle name="Good 80 2" xfId="29963" xr:uid="{00000000-0005-0000-0000-000020750000}"/>
    <cellStyle name="Good 81" xfId="29964" xr:uid="{00000000-0005-0000-0000-000021750000}"/>
    <cellStyle name="Good 81 2" xfId="29965" xr:uid="{00000000-0005-0000-0000-000022750000}"/>
    <cellStyle name="Good 82" xfId="29966" xr:uid="{00000000-0005-0000-0000-000023750000}"/>
    <cellStyle name="Good 82 2" xfId="29967" xr:uid="{00000000-0005-0000-0000-000024750000}"/>
    <cellStyle name="Good 83" xfId="29968" xr:uid="{00000000-0005-0000-0000-000025750000}"/>
    <cellStyle name="Good 83 2" xfId="29969" xr:uid="{00000000-0005-0000-0000-000026750000}"/>
    <cellStyle name="Good 84" xfId="29970" xr:uid="{00000000-0005-0000-0000-000027750000}"/>
    <cellStyle name="Good 84 2" xfId="29971" xr:uid="{00000000-0005-0000-0000-000028750000}"/>
    <cellStyle name="Good 85" xfId="29972" xr:uid="{00000000-0005-0000-0000-000029750000}"/>
    <cellStyle name="Good 85 2" xfId="29973" xr:uid="{00000000-0005-0000-0000-00002A750000}"/>
    <cellStyle name="Good 86" xfId="29974" xr:uid="{00000000-0005-0000-0000-00002B750000}"/>
    <cellStyle name="Good 86 2" xfId="29975" xr:uid="{00000000-0005-0000-0000-00002C750000}"/>
    <cellStyle name="Good 87" xfId="29976" xr:uid="{00000000-0005-0000-0000-00002D750000}"/>
    <cellStyle name="Good 87 2" xfId="29977" xr:uid="{00000000-0005-0000-0000-00002E750000}"/>
    <cellStyle name="Good 88" xfId="29978" xr:uid="{00000000-0005-0000-0000-00002F750000}"/>
    <cellStyle name="Good 89" xfId="29979" xr:uid="{00000000-0005-0000-0000-000030750000}"/>
    <cellStyle name="Good 89 2" xfId="29980" xr:uid="{00000000-0005-0000-0000-000031750000}"/>
    <cellStyle name="Good 9" xfId="29981" xr:uid="{00000000-0005-0000-0000-000032750000}"/>
    <cellStyle name="Good 9 2" xfId="29982" xr:uid="{00000000-0005-0000-0000-000033750000}"/>
    <cellStyle name="Good 90" xfId="29983" xr:uid="{00000000-0005-0000-0000-000034750000}"/>
    <cellStyle name="Good 90 2" xfId="29984" xr:uid="{00000000-0005-0000-0000-000035750000}"/>
    <cellStyle name="Good 91" xfId="29985" xr:uid="{00000000-0005-0000-0000-000036750000}"/>
    <cellStyle name="Good 91 2" xfId="29986" xr:uid="{00000000-0005-0000-0000-000037750000}"/>
    <cellStyle name="Good 92" xfId="29987" xr:uid="{00000000-0005-0000-0000-000038750000}"/>
    <cellStyle name="Good 92 2" xfId="29988" xr:uid="{00000000-0005-0000-0000-000039750000}"/>
    <cellStyle name="Good 93" xfId="29989" xr:uid="{00000000-0005-0000-0000-00003A750000}"/>
    <cellStyle name="Good 93 2" xfId="29990" xr:uid="{00000000-0005-0000-0000-00003B750000}"/>
    <cellStyle name="Good 94" xfId="29991" xr:uid="{00000000-0005-0000-0000-00003C750000}"/>
    <cellStyle name="Good 94 2" xfId="29992" xr:uid="{00000000-0005-0000-0000-00003D750000}"/>
    <cellStyle name="Good 95" xfId="29993" xr:uid="{00000000-0005-0000-0000-00003E750000}"/>
    <cellStyle name="Good 96" xfId="29994" xr:uid="{00000000-0005-0000-0000-00003F750000}"/>
    <cellStyle name="Good 97" xfId="29995" xr:uid="{00000000-0005-0000-0000-000040750000}"/>
    <cellStyle name="Good 98" xfId="29996" xr:uid="{00000000-0005-0000-0000-000041750000}"/>
    <cellStyle name="Good 99" xfId="29997" xr:uid="{00000000-0005-0000-0000-000042750000}"/>
    <cellStyle name="Heading 1" xfId="41004" builtinId="16" customBuiltin="1"/>
    <cellStyle name="Heading 1 10" xfId="29998" xr:uid="{00000000-0005-0000-0000-000044750000}"/>
    <cellStyle name="Heading 1 10 2" xfId="29999" xr:uid="{00000000-0005-0000-0000-000045750000}"/>
    <cellStyle name="Heading 1 100" xfId="30000" xr:uid="{00000000-0005-0000-0000-000046750000}"/>
    <cellStyle name="Heading 1 101" xfId="30001" xr:uid="{00000000-0005-0000-0000-000047750000}"/>
    <cellStyle name="Heading 1 102" xfId="30002" xr:uid="{00000000-0005-0000-0000-000048750000}"/>
    <cellStyle name="Heading 1 103" xfId="30003" xr:uid="{00000000-0005-0000-0000-000049750000}"/>
    <cellStyle name="Heading 1 104" xfId="30004" xr:uid="{00000000-0005-0000-0000-00004A750000}"/>
    <cellStyle name="Heading 1 105" xfId="30005" xr:uid="{00000000-0005-0000-0000-00004B750000}"/>
    <cellStyle name="Heading 1 106" xfId="30006" xr:uid="{00000000-0005-0000-0000-00004C750000}"/>
    <cellStyle name="Heading 1 107" xfId="30007" xr:uid="{00000000-0005-0000-0000-00004D750000}"/>
    <cellStyle name="Heading 1 108" xfId="30008" xr:uid="{00000000-0005-0000-0000-00004E750000}"/>
    <cellStyle name="Heading 1 109" xfId="30009" xr:uid="{00000000-0005-0000-0000-00004F750000}"/>
    <cellStyle name="Heading 1 11" xfId="30010" xr:uid="{00000000-0005-0000-0000-000050750000}"/>
    <cellStyle name="Heading 1 11 2" xfId="30011" xr:uid="{00000000-0005-0000-0000-000051750000}"/>
    <cellStyle name="Heading 1 110" xfId="30012" xr:uid="{00000000-0005-0000-0000-000052750000}"/>
    <cellStyle name="Heading 1 111" xfId="30013" xr:uid="{00000000-0005-0000-0000-000053750000}"/>
    <cellStyle name="Heading 1 112" xfId="30014" xr:uid="{00000000-0005-0000-0000-000054750000}"/>
    <cellStyle name="Heading 1 113" xfId="30015" xr:uid="{00000000-0005-0000-0000-000055750000}"/>
    <cellStyle name="Heading 1 114" xfId="30016" xr:uid="{00000000-0005-0000-0000-000056750000}"/>
    <cellStyle name="Heading 1 115" xfId="30017" xr:uid="{00000000-0005-0000-0000-000057750000}"/>
    <cellStyle name="Heading 1 116" xfId="30018" xr:uid="{00000000-0005-0000-0000-000058750000}"/>
    <cellStyle name="Heading 1 117" xfId="30019" xr:uid="{00000000-0005-0000-0000-000059750000}"/>
    <cellStyle name="Heading 1 118" xfId="30020" xr:uid="{00000000-0005-0000-0000-00005A750000}"/>
    <cellStyle name="Heading 1 119" xfId="30021" xr:uid="{00000000-0005-0000-0000-00005B750000}"/>
    <cellStyle name="Heading 1 12" xfId="30022" xr:uid="{00000000-0005-0000-0000-00005C750000}"/>
    <cellStyle name="Heading 1 12 2" xfId="30023" xr:uid="{00000000-0005-0000-0000-00005D750000}"/>
    <cellStyle name="Heading 1 120" xfId="30024" xr:uid="{00000000-0005-0000-0000-00005E750000}"/>
    <cellStyle name="Heading 1 121" xfId="30025" xr:uid="{00000000-0005-0000-0000-00005F750000}"/>
    <cellStyle name="Heading 1 122" xfId="30026" xr:uid="{00000000-0005-0000-0000-000060750000}"/>
    <cellStyle name="Heading 1 123" xfId="30027" xr:uid="{00000000-0005-0000-0000-000061750000}"/>
    <cellStyle name="Heading 1 124" xfId="30028" xr:uid="{00000000-0005-0000-0000-000062750000}"/>
    <cellStyle name="Heading 1 125" xfId="30029" xr:uid="{00000000-0005-0000-0000-000063750000}"/>
    <cellStyle name="Heading 1 126" xfId="30030" xr:uid="{00000000-0005-0000-0000-000064750000}"/>
    <cellStyle name="Heading 1 127" xfId="30031" xr:uid="{00000000-0005-0000-0000-000065750000}"/>
    <cellStyle name="Heading 1 128" xfId="30032" xr:uid="{00000000-0005-0000-0000-000066750000}"/>
    <cellStyle name="Heading 1 129" xfId="30033" xr:uid="{00000000-0005-0000-0000-000067750000}"/>
    <cellStyle name="Heading 1 13" xfId="30034" xr:uid="{00000000-0005-0000-0000-000068750000}"/>
    <cellStyle name="Heading 1 13 2" xfId="30035" xr:uid="{00000000-0005-0000-0000-000069750000}"/>
    <cellStyle name="Heading 1 130" xfId="30036" xr:uid="{00000000-0005-0000-0000-00006A750000}"/>
    <cellStyle name="Heading 1 131" xfId="30037" xr:uid="{00000000-0005-0000-0000-00006B750000}"/>
    <cellStyle name="Heading 1 132" xfId="30038" xr:uid="{00000000-0005-0000-0000-00006C750000}"/>
    <cellStyle name="Heading 1 133" xfId="30039" xr:uid="{00000000-0005-0000-0000-00006D750000}"/>
    <cellStyle name="Heading 1 14" xfId="30040" xr:uid="{00000000-0005-0000-0000-00006E750000}"/>
    <cellStyle name="Heading 1 14 2" xfId="30041" xr:uid="{00000000-0005-0000-0000-00006F750000}"/>
    <cellStyle name="Heading 1 15" xfId="30042" xr:uid="{00000000-0005-0000-0000-000070750000}"/>
    <cellStyle name="Heading 1 15 2" xfId="30043" xr:uid="{00000000-0005-0000-0000-000071750000}"/>
    <cellStyle name="Heading 1 16" xfId="30044" xr:uid="{00000000-0005-0000-0000-000072750000}"/>
    <cellStyle name="Heading 1 16 2" xfId="30045" xr:uid="{00000000-0005-0000-0000-000073750000}"/>
    <cellStyle name="Heading 1 17" xfId="30046" xr:uid="{00000000-0005-0000-0000-000074750000}"/>
    <cellStyle name="Heading 1 17 2" xfId="30047" xr:uid="{00000000-0005-0000-0000-000075750000}"/>
    <cellStyle name="Heading 1 18" xfId="30048" xr:uid="{00000000-0005-0000-0000-000076750000}"/>
    <cellStyle name="Heading 1 18 2" xfId="30049" xr:uid="{00000000-0005-0000-0000-000077750000}"/>
    <cellStyle name="Heading 1 19" xfId="30050" xr:uid="{00000000-0005-0000-0000-000078750000}"/>
    <cellStyle name="Heading 1 19 2" xfId="30051" xr:uid="{00000000-0005-0000-0000-000079750000}"/>
    <cellStyle name="Heading 1 2" xfId="30052" xr:uid="{00000000-0005-0000-0000-00007A750000}"/>
    <cellStyle name="Heading 1 2 2" xfId="30053" xr:uid="{00000000-0005-0000-0000-00007B750000}"/>
    <cellStyle name="Heading 1 2 2 2" xfId="30054" xr:uid="{00000000-0005-0000-0000-00007C750000}"/>
    <cellStyle name="Heading 1 2 2 2 2" xfId="30055" xr:uid="{00000000-0005-0000-0000-00007D750000}"/>
    <cellStyle name="Heading 1 2 2 2 2 2" xfId="30056" xr:uid="{00000000-0005-0000-0000-00007E750000}"/>
    <cellStyle name="Heading 1 2 3" xfId="30057" xr:uid="{00000000-0005-0000-0000-00007F750000}"/>
    <cellStyle name="Heading 1 2 4" xfId="30058" xr:uid="{00000000-0005-0000-0000-000080750000}"/>
    <cellStyle name="Heading 1 2 5" xfId="41065" xr:uid="{00000000-0005-0000-0000-000020000000}"/>
    <cellStyle name="Heading 1 20" xfId="30059" xr:uid="{00000000-0005-0000-0000-000081750000}"/>
    <cellStyle name="Heading 1 20 2" xfId="30060" xr:uid="{00000000-0005-0000-0000-000082750000}"/>
    <cellStyle name="Heading 1 21" xfId="30061" xr:uid="{00000000-0005-0000-0000-000083750000}"/>
    <cellStyle name="Heading 1 21 2" xfId="30062" xr:uid="{00000000-0005-0000-0000-000084750000}"/>
    <cellStyle name="Heading 1 22" xfId="30063" xr:uid="{00000000-0005-0000-0000-000085750000}"/>
    <cellStyle name="Heading 1 22 2" xfId="30064" xr:uid="{00000000-0005-0000-0000-000086750000}"/>
    <cellStyle name="Heading 1 23" xfId="30065" xr:uid="{00000000-0005-0000-0000-000087750000}"/>
    <cellStyle name="Heading 1 23 2" xfId="30066" xr:uid="{00000000-0005-0000-0000-000088750000}"/>
    <cellStyle name="Heading 1 24" xfId="30067" xr:uid="{00000000-0005-0000-0000-000089750000}"/>
    <cellStyle name="Heading 1 24 2" xfId="30068" xr:uid="{00000000-0005-0000-0000-00008A750000}"/>
    <cellStyle name="Heading 1 25" xfId="30069" xr:uid="{00000000-0005-0000-0000-00008B750000}"/>
    <cellStyle name="Heading 1 25 2" xfId="30070" xr:uid="{00000000-0005-0000-0000-00008C750000}"/>
    <cellStyle name="Heading 1 26" xfId="30071" xr:uid="{00000000-0005-0000-0000-00008D750000}"/>
    <cellStyle name="Heading 1 26 2" xfId="30072" xr:uid="{00000000-0005-0000-0000-00008E750000}"/>
    <cellStyle name="Heading 1 27" xfId="30073" xr:uid="{00000000-0005-0000-0000-00008F750000}"/>
    <cellStyle name="Heading 1 27 2" xfId="30074" xr:uid="{00000000-0005-0000-0000-000090750000}"/>
    <cellStyle name="Heading 1 28" xfId="30075" xr:uid="{00000000-0005-0000-0000-000091750000}"/>
    <cellStyle name="Heading 1 28 2" xfId="30076" xr:uid="{00000000-0005-0000-0000-000092750000}"/>
    <cellStyle name="Heading 1 29" xfId="30077" xr:uid="{00000000-0005-0000-0000-000093750000}"/>
    <cellStyle name="Heading 1 29 2" xfId="30078" xr:uid="{00000000-0005-0000-0000-000094750000}"/>
    <cellStyle name="Heading 1 3" xfId="30079" xr:uid="{00000000-0005-0000-0000-000095750000}"/>
    <cellStyle name="Heading 1 3 2" xfId="30080" xr:uid="{00000000-0005-0000-0000-000096750000}"/>
    <cellStyle name="Heading 1 3 2 2" xfId="30081" xr:uid="{00000000-0005-0000-0000-000097750000}"/>
    <cellStyle name="Heading 1 3 3" xfId="30082" xr:uid="{00000000-0005-0000-0000-000098750000}"/>
    <cellStyle name="Heading 1 3 4" xfId="30083" xr:uid="{00000000-0005-0000-0000-000099750000}"/>
    <cellStyle name="Heading 1 3_MAR 2009" xfId="30084" xr:uid="{00000000-0005-0000-0000-00009A750000}"/>
    <cellStyle name="Heading 1 30" xfId="30085" xr:uid="{00000000-0005-0000-0000-00009B750000}"/>
    <cellStyle name="Heading 1 30 2" xfId="30086" xr:uid="{00000000-0005-0000-0000-00009C750000}"/>
    <cellStyle name="Heading 1 31" xfId="30087" xr:uid="{00000000-0005-0000-0000-00009D750000}"/>
    <cellStyle name="Heading 1 31 2" xfId="30088" xr:uid="{00000000-0005-0000-0000-00009E750000}"/>
    <cellStyle name="Heading 1 32" xfId="30089" xr:uid="{00000000-0005-0000-0000-00009F750000}"/>
    <cellStyle name="Heading 1 32 2" xfId="30090" xr:uid="{00000000-0005-0000-0000-0000A0750000}"/>
    <cellStyle name="Heading 1 33" xfId="30091" xr:uid="{00000000-0005-0000-0000-0000A1750000}"/>
    <cellStyle name="Heading 1 33 2" xfId="30092" xr:uid="{00000000-0005-0000-0000-0000A2750000}"/>
    <cellStyle name="Heading 1 34" xfId="30093" xr:uid="{00000000-0005-0000-0000-0000A3750000}"/>
    <cellStyle name="Heading 1 34 2" xfId="30094" xr:uid="{00000000-0005-0000-0000-0000A4750000}"/>
    <cellStyle name="Heading 1 35" xfId="30095" xr:uid="{00000000-0005-0000-0000-0000A5750000}"/>
    <cellStyle name="Heading 1 35 2" xfId="30096" xr:uid="{00000000-0005-0000-0000-0000A6750000}"/>
    <cellStyle name="Heading 1 36" xfId="30097" xr:uid="{00000000-0005-0000-0000-0000A7750000}"/>
    <cellStyle name="Heading 1 36 2" xfId="30098" xr:uid="{00000000-0005-0000-0000-0000A8750000}"/>
    <cellStyle name="Heading 1 37" xfId="30099" xr:uid="{00000000-0005-0000-0000-0000A9750000}"/>
    <cellStyle name="Heading 1 37 2" xfId="30100" xr:uid="{00000000-0005-0000-0000-0000AA750000}"/>
    <cellStyle name="Heading 1 38" xfId="30101" xr:uid="{00000000-0005-0000-0000-0000AB750000}"/>
    <cellStyle name="Heading 1 38 2" xfId="30102" xr:uid="{00000000-0005-0000-0000-0000AC750000}"/>
    <cellStyle name="Heading 1 39" xfId="30103" xr:uid="{00000000-0005-0000-0000-0000AD750000}"/>
    <cellStyle name="Heading 1 39 2" xfId="30104" xr:uid="{00000000-0005-0000-0000-0000AE750000}"/>
    <cellStyle name="Heading 1 4" xfId="30105" xr:uid="{00000000-0005-0000-0000-0000AF750000}"/>
    <cellStyle name="Heading 1 4 2" xfId="30106" xr:uid="{00000000-0005-0000-0000-0000B0750000}"/>
    <cellStyle name="Heading 1 4 2 2" xfId="30107" xr:uid="{00000000-0005-0000-0000-0000B1750000}"/>
    <cellStyle name="Heading 1 4 3" xfId="30108" xr:uid="{00000000-0005-0000-0000-0000B2750000}"/>
    <cellStyle name="Heading 1 40" xfId="30109" xr:uid="{00000000-0005-0000-0000-0000B3750000}"/>
    <cellStyle name="Heading 1 40 2" xfId="30110" xr:uid="{00000000-0005-0000-0000-0000B4750000}"/>
    <cellStyle name="Heading 1 41" xfId="30111" xr:uid="{00000000-0005-0000-0000-0000B5750000}"/>
    <cellStyle name="Heading 1 41 2" xfId="30112" xr:uid="{00000000-0005-0000-0000-0000B6750000}"/>
    <cellStyle name="Heading 1 42" xfId="30113" xr:uid="{00000000-0005-0000-0000-0000B7750000}"/>
    <cellStyle name="Heading 1 42 2" xfId="30114" xr:uid="{00000000-0005-0000-0000-0000B8750000}"/>
    <cellStyle name="Heading 1 43" xfId="30115" xr:uid="{00000000-0005-0000-0000-0000B9750000}"/>
    <cellStyle name="Heading 1 43 2" xfId="30116" xr:uid="{00000000-0005-0000-0000-0000BA750000}"/>
    <cellStyle name="Heading 1 44" xfId="30117" xr:uid="{00000000-0005-0000-0000-0000BB750000}"/>
    <cellStyle name="Heading 1 44 2" xfId="30118" xr:uid="{00000000-0005-0000-0000-0000BC750000}"/>
    <cellStyle name="Heading 1 45" xfId="30119" xr:uid="{00000000-0005-0000-0000-0000BD750000}"/>
    <cellStyle name="Heading 1 45 2" xfId="30120" xr:uid="{00000000-0005-0000-0000-0000BE750000}"/>
    <cellStyle name="Heading 1 46" xfId="30121" xr:uid="{00000000-0005-0000-0000-0000BF750000}"/>
    <cellStyle name="Heading 1 46 2" xfId="30122" xr:uid="{00000000-0005-0000-0000-0000C0750000}"/>
    <cellStyle name="Heading 1 47" xfId="30123" xr:uid="{00000000-0005-0000-0000-0000C1750000}"/>
    <cellStyle name="Heading 1 47 2" xfId="30124" xr:uid="{00000000-0005-0000-0000-0000C2750000}"/>
    <cellStyle name="Heading 1 48" xfId="30125" xr:uid="{00000000-0005-0000-0000-0000C3750000}"/>
    <cellStyle name="Heading 1 48 2" xfId="30126" xr:uid="{00000000-0005-0000-0000-0000C4750000}"/>
    <cellStyle name="Heading 1 49" xfId="30127" xr:uid="{00000000-0005-0000-0000-0000C5750000}"/>
    <cellStyle name="Heading 1 49 2" xfId="30128" xr:uid="{00000000-0005-0000-0000-0000C6750000}"/>
    <cellStyle name="Heading 1 5" xfId="30129" xr:uid="{00000000-0005-0000-0000-0000C7750000}"/>
    <cellStyle name="Heading 1 5 2" xfId="30130" xr:uid="{00000000-0005-0000-0000-0000C8750000}"/>
    <cellStyle name="Heading 1 5 2 2" xfId="30131" xr:uid="{00000000-0005-0000-0000-0000C9750000}"/>
    <cellStyle name="Heading 1 5 3" xfId="30132" xr:uid="{00000000-0005-0000-0000-0000CA750000}"/>
    <cellStyle name="Heading 1 50" xfId="30133" xr:uid="{00000000-0005-0000-0000-0000CB750000}"/>
    <cellStyle name="Heading 1 50 2" xfId="30134" xr:uid="{00000000-0005-0000-0000-0000CC750000}"/>
    <cellStyle name="Heading 1 51" xfId="30135" xr:uid="{00000000-0005-0000-0000-0000CD750000}"/>
    <cellStyle name="Heading 1 51 2" xfId="30136" xr:uid="{00000000-0005-0000-0000-0000CE750000}"/>
    <cellStyle name="Heading 1 52" xfId="30137" xr:uid="{00000000-0005-0000-0000-0000CF750000}"/>
    <cellStyle name="Heading 1 52 2" xfId="30138" xr:uid="{00000000-0005-0000-0000-0000D0750000}"/>
    <cellStyle name="Heading 1 53" xfId="30139" xr:uid="{00000000-0005-0000-0000-0000D1750000}"/>
    <cellStyle name="Heading 1 53 2" xfId="30140" xr:uid="{00000000-0005-0000-0000-0000D2750000}"/>
    <cellStyle name="Heading 1 54" xfId="30141" xr:uid="{00000000-0005-0000-0000-0000D3750000}"/>
    <cellStyle name="Heading 1 54 2" xfId="30142" xr:uid="{00000000-0005-0000-0000-0000D4750000}"/>
    <cellStyle name="Heading 1 55" xfId="30143" xr:uid="{00000000-0005-0000-0000-0000D5750000}"/>
    <cellStyle name="Heading 1 55 2" xfId="30144" xr:uid="{00000000-0005-0000-0000-0000D6750000}"/>
    <cellStyle name="Heading 1 56" xfId="30145" xr:uid="{00000000-0005-0000-0000-0000D7750000}"/>
    <cellStyle name="Heading 1 56 2" xfId="30146" xr:uid="{00000000-0005-0000-0000-0000D8750000}"/>
    <cellStyle name="Heading 1 57" xfId="30147" xr:uid="{00000000-0005-0000-0000-0000D9750000}"/>
    <cellStyle name="Heading 1 57 2" xfId="30148" xr:uid="{00000000-0005-0000-0000-0000DA750000}"/>
    <cellStyle name="Heading 1 58" xfId="30149" xr:uid="{00000000-0005-0000-0000-0000DB750000}"/>
    <cellStyle name="Heading 1 58 2" xfId="30150" xr:uid="{00000000-0005-0000-0000-0000DC750000}"/>
    <cellStyle name="Heading 1 59" xfId="30151" xr:uid="{00000000-0005-0000-0000-0000DD750000}"/>
    <cellStyle name="Heading 1 6" xfId="30152" xr:uid="{00000000-0005-0000-0000-0000DE750000}"/>
    <cellStyle name="Heading 1 6 2" xfId="30153" xr:uid="{00000000-0005-0000-0000-0000DF750000}"/>
    <cellStyle name="Heading 1 6 3" xfId="30154" xr:uid="{00000000-0005-0000-0000-0000E0750000}"/>
    <cellStyle name="Heading 1 60" xfId="30155" xr:uid="{00000000-0005-0000-0000-0000E1750000}"/>
    <cellStyle name="Heading 1 61" xfId="30156" xr:uid="{00000000-0005-0000-0000-0000E2750000}"/>
    <cellStyle name="Heading 1 62" xfId="30157" xr:uid="{00000000-0005-0000-0000-0000E3750000}"/>
    <cellStyle name="Heading 1 63" xfId="30158" xr:uid="{00000000-0005-0000-0000-0000E4750000}"/>
    <cellStyle name="Heading 1 63 10" xfId="30159" xr:uid="{00000000-0005-0000-0000-0000E5750000}"/>
    <cellStyle name="Heading 1 63 11" xfId="30160" xr:uid="{00000000-0005-0000-0000-0000E6750000}"/>
    <cellStyle name="Heading 1 63 12" xfId="30161" xr:uid="{00000000-0005-0000-0000-0000E7750000}"/>
    <cellStyle name="Heading 1 63 13" xfId="30162" xr:uid="{00000000-0005-0000-0000-0000E8750000}"/>
    <cellStyle name="Heading 1 63 14" xfId="30163" xr:uid="{00000000-0005-0000-0000-0000E9750000}"/>
    <cellStyle name="Heading 1 63 15" xfId="30164" xr:uid="{00000000-0005-0000-0000-0000EA750000}"/>
    <cellStyle name="Heading 1 63 16" xfId="30165" xr:uid="{00000000-0005-0000-0000-0000EB750000}"/>
    <cellStyle name="Heading 1 63 17" xfId="30166" xr:uid="{00000000-0005-0000-0000-0000EC750000}"/>
    <cellStyle name="Heading 1 63 18" xfId="30167" xr:uid="{00000000-0005-0000-0000-0000ED750000}"/>
    <cellStyle name="Heading 1 63 19" xfId="30168" xr:uid="{00000000-0005-0000-0000-0000EE750000}"/>
    <cellStyle name="Heading 1 63 2" xfId="30169" xr:uid="{00000000-0005-0000-0000-0000EF750000}"/>
    <cellStyle name="Heading 1 63 20" xfId="30170" xr:uid="{00000000-0005-0000-0000-0000F0750000}"/>
    <cellStyle name="Heading 1 63 21" xfId="30171" xr:uid="{00000000-0005-0000-0000-0000F1750000}"/>
    <cellStyle name="Heading 1 63 22" xfId="30172" xr:uid="{00000000-0005-0000-0000-0000F2750000}"/>
    <cellStyle name="Heading 1 63 23" xfId="30173" xr:uid="{00000000-0005-0000-0000-0000F3750000}"/>
    <cellStyle name="Heading 1 63 24" xfId="30174" xr:uid="{00000000-0005-0000-0000-0000F4750000}"/>
    <cellStyle name="Heading 1 63 25" xfId="30175" xr:uid="{00000000-0005-0000-0000-0000F5750000}"/>
    <cellStyle name="Heading 1 63 26" xfId="30176" xr:uid="{00000000-0005-0000-0000-0000F6750000}"/>
    <cellStyle name="Heading 1 63 27" xfId="30177" xr:uid="{00000000-0005-0000-0000-0000F7750000}"/>
    <cellStyle name="Heading 1 63 28" xfId="30178" xr:uid="{00000000-0005-0000-0000-0000F8750000}"/>
    <cellStyle name="Heading 1 63 29" xfId="30179" xr:uid="{00000000-0005-0000-0000-0000F9750000}"/>
    <cellStyle name="Heading 1 63 3" xfId="30180" xr:uid="{00000000-0005-0000-0000-0000FA750000}"/>
    <cellStyle name="Heading 1 63 30" xfId="30181" xr:uid="{00000000-0005-0000-0000-0000FB750000}"/>
    <cellStyle name="Heading 1 63 31" xfId="30182" xr:uid="{00000000-0005-0000-0000-0000FC750000}"/>
    <cellStyle name="Heading 1 63 32" xfId="30183" xr:uid="{00000000-0005-0000-0000-0000FD750000}"/>
    <cellStyle name="Heading 1 63 33" xfId="30184" xr:uid="{00000000-0005-0000-0000-0000FE750000}"/>
    <cellStyle name="Heading 1 63 34" xfId="30185" xr:uid="{00000000-0005-0000-0000-0000FF750000}"/>
    <cellStyle name="Heading 1 63 35" xfId="30186" xr:uid="{00000000-0005-0000-0000-000000760000}"/>
    <cellStyle name="Heading 1 63 36" xfId="30187" xr:uid="{00000000-0005-0000-0000-000001760000}"/>
    <cellStyle name="Heading 1 63 4" xfId="30188" xr:uid="{00000000-0005-0000-0000-000002760000}"/>
    <cellStyle name="Heading 1 63 5" xfId="30189" xr:uid="{00000000-0005-0000-0000-000003760000}"/>
    <cellStyle name="Heading 1 63 6" xfId="30190" xr:uid="{00000000-0005-0000-0000-000004760000}"/>
    <cellStyle name="Heading 1 63 7" xfId="30191" xr:uid="{00000000-0005-0000-0000-000005760000}"/>
    <cellStyle name="Heading 1 63 8" xfId="30192" xr:uid="{00000000-0005-0000-0000-000006760000}"/>
    <cellStyle name="Heading 1 63 9" xfId="30193" xr:uid="{00000000-0005-0000-0000-000007760000}"/>
    <cellStyle name="Heading 1 64" xfId="30194" xr:uid="{00000000-0005-0000-0000-000008760000}"/>
    <cellStyle name="Heading 1 64 10" xfId="30195" xr:uid="{00000000-0005-0000-0000-000009760000}"/>
    <cellStyle name="Heading 1 64 11" xfId="30196" xr:uid="{00000000-0005-0000-0000-00000A760000}"/>
    <cellStyle name="Heading 1 64 12" xfId="30197" xr:uid="{00000000-0005-0000-0000-00000B760000}"/>
    <cellStyle name="Heading 1 64 13" xfId="30198" xr:uid="{00000000-0005-0000-0000-00000C760000}"/>
    <cellStyle name="Heading 1 64 14" xfId="30199" xr:uid="{00000000-0005-0000-0000-00000D760000}"/>
    <cellStyle name="Heading 1 64 15" xfId="30200" xr:uid="{00000000-0005-0000-0000-00000E760000}"/>
    <cellStyle name="Heading 1 64 16" xfId="30201" xr:uid="{00000000-0005-0000-0000-00000F760000}"/>
    <cellStyle name="Heading 1 64 17" xfId="30202" xr:uid="{00000000-0005-0000-0000-000010760000}"/>
    <cellStyle name="Heading 1 64 18" xfId="30203" xr:uid="{00000000-0005-0000-0000-000011760000}"/>
    <cellStyle name="Heading 1 64 19" xfId="30204" xr:uid="{00000000-0005-0000-0000-000012760000}"/>
    <cellStyle name="Heading 1 64 2" xfId="30205" xr:uid="{00000000-0005-0000-0000-000013760000}"/>
    <cellStyle name="Heading 1 64 20" xfId="30206" xr:uid="{00000000-0005-0000-0000-000014760000}"/>
    <cellStyle name="Heading 1 64 21" xfId="30207" xr:uid="{00000000-0005-0000-0000-000015760000}"/>
    <cellStyle name="Heading 1 64 22" xfId="30208" xr:uid="{00000000-0005-0000-0000-000016760000}"/>
    <cellStyle name="Heading 1 64 23" xfId="30209" xr:uid="{00000000-0005-0000-0000-000017760000}"/>
    <cellStyle name="Heading 1 64 24" xfId="30210" xr:uid="{00000000-0005-0000-0000-000018760000}"/>
    <cellStyle name="Heading 1 64 25" xfId="30211" xr:uid="{00000000-0005-0000-0000-000019760000}"/>
    <cellStyle name="Heading 1 64 26" xfId="30212" xr:uid="{00000000-0005-0000-0000-00001A760000}"/>
    <cellStyle name="Heading 1 64 27" xfId="30213" xr:uid="{00000000-0005-0000-0000-00001B760000}"/>
    <cellStyle name="Heading 1 64 28" xfId="30214" xr:uid="{00000000-0005-0000-0000-00001C760000}"/>
    <cellStyle name="Heading 1 64 29" xfId="30215" xr:uid="{00000000-0005-0000-0000-00001D760000}"/>
    <cellStyle name="Heading 1 64 3" xfId="30216" xr:uid="{00000000-0005-0000-0000-00001E760000}"/>
    <cellStyle name="Heading 1 64 30" xfId="30217" xr:uid="{00000000-0005-0000-0000-00001F760000}"/>
    <cellStyle name="Heading 1 64 31" xfId="30218" xr:uid="{00000000-0005-0000-0000-000020760000}"/>
    <cellStyle name="Heading 1 64 32" xfId="30219" xr:uid="{00000000-0005-0000-0000-000021760000}"/>
    <cellStyle name="Heading 1 64 33" xfId="30220" xr:uid="{00000000-0005-0000-0000-000022760000}"/>
    <cellStyle name="Heading 1 64 34" xfId="30221" xr:uid="{00000000-0005-0000-0000-000023760000}"/>
    <cellStyle name="Heading 1 64 35" xfId="30222" xr:uid="{00000000-0005-0000-0000-000024760000}"/>
    <cellStyle name="Heading 1 64 36" xfId="30223" xr:uid="{00000000-0005-0000-0000-000025760000}"/>
    <cellStyle name="Heading 1 64 4" xfId="30224" xr:uid="{00000000-0005-0000-0000-000026760000}"/>
    <cellStyle name="Heading 1 64 5" xfId="30225" xr:uid="{00000000-0005-0000-0000-000027760000}"/>
    <cellStyle name="Heading 1 64 6" xfId="30226" xr:uid="{00000000-0005-0000-0000-000028760000}"/>
    <cellStyle name="Heading 1 64 7" xfId="30227" xr:uid="{00000000-0005-0000-0000-000029760000}"/>
    <cellStyle name="Heading 1 64 8" xfId="30228" xr:uid="{00000000-0005-0000-0000-00002A760000}"/>
    <cellStyle name="Heading 1 64 9" xfId="30229" xr:uid="{00000000-0005-0000-0000-00002B760000}"/>
    <cellStyle name="Heading 1 65" xfId="30230" xr:uid="{00000000-0005-0000-0000-00002C760000}"/>
    <cellStyle name="Heading 1 65 10" xfId="30231" xr:uid="{00000000-0005-0000-0000-00002D760000}"/>
    <cellStyle name="Heading 1 65 11" xfId="30232" xr:uid="{00000000-0005-0000-0000-00002E760000}"/>
    <cellStyle name="Heading 1 65 12" xfId="30233" xr:uid="{00000000-0005-0000-0000-00002F760000}"/>
    <cellStyle name="Heading 1 65 13" xfId="30234" xr:uid="{00000000-0005-0000-0000-000030760000}"/>
    <cellStyle name="Heading 1 65 14" xfId="30235" xr:uid="{00000000-0005-0000-0000-000031760000}"/>
    <cellStyle name="Heading 1 65 15" xfId="30236" xr:uid="{00000000-0005-0000-0000-000032760000}"/>
    <cellStyle name="Heading 1 65 16" xfId="30237" xr:uid="{00000000-0005-0000-0000-000033760000}"/>
    <cellStyle name="Heading 1 65 17" xfId="30238" xr:uid="{00000000-0005-0000-0000-000034760000}"/>
    <cellStyle name="Heading 1 65 18" xfId="30239" xr:uid="{00000000-0005-0000-0000-000035760000}"/>
    <cellStyle name="Heading 1 65 19" xfId="30240" xr:uid="{00000000-0005-0000-0000-000036760000}"/>
    <cellStyle name="Heading 1 65 2" xfId="30241" xr:uid="{00000000-0005-0000-0000-000037760000}"/>
    <cellStyle name="Heading 1 65 20" xfId="30242" xr:uid="{00000000-0005-0000-0000-000038760000}"/>
    <cellStyle name="Heading 1 65 21" xfId="30243" xr:uid="{00000000-0005-0000-0000-000039760000}"/>
    <cellStyle name="Heading 1 65 22" xfId="30244" xr:uid="{00000000-0005-0000-0000-00003A760000}"/>
    <cellStyle name="Heading 1 65 23" xfId="30245" xr:uid="{00000000-0005-0000-0000-00003B760000}"/>
    <cellStyle name="Heading 1 65 24" xfId="30246" xr:uid="{00000000-0005-0000-0000-00003C760000}"/>
    <cellStyle name="Heading 1 65 25" xfId="30247" xr:uid="{00000000-0005-0000-0000-00003D760000}"/>
    <cellStyle name="Heading 1 65 26" xfId="30248" xr:uid="{00000000-0005-0000-0000-00003E760000}"/>
    <cellStyle name="Heading 1 65 27" xfId="30249" xr:uid="{00000000-0005-0000-0000-00003F760000}"/>
    <cellStyle name="Heading 1 65 28" xfId="30250" xr:uid="{00000000-0005-0000-0000-000040760000}"/>
    <cellStyle name="Heading 1 65 29" xfId="30251" xr:uid="{00000000-0005-0000-0000-000041760000}"/>
    <cellStyle name="Heading 1 65 3" xfId="30252" xr:uid="{00000000-0005-0000-0000-000042760000}"/>
    <cellStyle name="Heading 1 65 30" xfId="30253" xr:uid="{00000000-0005-0000-0000-000043760000}"/>
    <cellStyle name="Heading 1 65 31" xfId="30254" xr:uid="{00000000-0005-0000-0000-000044760000}"/>
    <cellStyle name="Heading 1 65 32" xfId="30255" xr:uid="{00000000-0005-0000-0000-000045760000}"/>
    <cellStyle name="Heading 1 65 33" xfId="30256" xr:uid="{00000000-0005-0000-0000-000046760000}"/>
    <cellStyle name="Heading 1 65 34" xfId="30257" xr:uid="{00000000-0005-0000-0000-000047760000}"/>
    <cellStyle name="Heading 1 65 35" xfId="30258" xr:uid="{00000000-0005-0000-0000-000048760000}"/>
    <cellStyle name="Heading 1 65 36" xfId="30259" xr:uid="{00000000-0005-0000-0000-000049760000}"/>
    <cellStyle name="Heading 1 65 4" xfId="30260" xr:uid="{00000000-0005-0000-0000-00004A760000}"/>
    <cellStyle name="Heading 1 65 5" xfId="30261" xr:uid="{00000000-0005-0000-0000-00004B760000}"/>
    <cellStyle name="Heading 1 65 6" xfId="30262" xr:uid="{00000000-0005-0000-0000-00004C760000}"/>
    <cellStyle name="Heading 1 65 7" xfId="30263" xr:uid="{00000000-0005-0000-0000-00004D760000}"/>
    <cellStyle name="Heading 1 65 8" xfId="30264" xr:uid="{00000000-0005-0000-0000-00004E760000}"/>
    <cellStyle name="Heading 1 65 9" xfId="30265" xr:uid="{00000000-0005-0000-0000-00004F760000}"/>
    <cellStyle name="Heading 1 66" xfId="30266" xr:uid="{00000000-0005-0000-0000-000050760000}"/>
    <cellStyle name="Heading 1 66 10" xfId="30267" xr:uid="{00000000-0005-0000-0000-000051760000}"/>
    <cellStyle name="Heading 1 66 11" xfId="30268" xr:uid="{00000000-0005-0000-0000-000052760000}"/>
    <cellStyle name="Heading 1 66 12" xfId="30269" xr:uid="{00000000-0005-0000-0000-000053760000}"/>
    <cellStyle name="Heading 1 66 13" xfId="30270" xr:uid="{00000000-0005-0000-0000-000054760000}"/>
    <cellStyle name="Heading 1 66 14" xfId="30271" xr:uid="{00000000-0005-0000-0000-000055760000}"/>
    <cellStyle name="Heading 1 66 15" xfId="30272" xr:uid="{00000000-0005-0000-0000-000056760000}"/>
    <cellStyle name="Heading 1 66 16" xfId="30273" xr:uid="{00000000-0005-0000-0000-000057760000}"/>
    <cellStyle name="Heading 1 66 17" xfId="30274" xr:uid="{00000000-0005-0000-0000-000058760000}"/>
    <cellStyle name="Heading 1 66 18" xfId="30275" xr:uid="{00000000-0005-0000-0000-000059760000}"/>
    <cellStyle name="Heading 1 66 19" xfId="30276" xr:uid="{00000000-0005-0000-0000-00005A760000}"/>
    <cellStyle name="Heading 1 66 2" xfId="30277" xr:uid="{00000000-0005-0000-0000-00005B760000}"/>
    <cellStyle name="Heading 1 66 20" xfId="30278" xr:uid="{00000000-0005-0000-0000-00005C760000}"/>
    <cellStyle name="Heading 1 66 21" xfId="30279" xr:uid="{00000000-0005-0000-0000-00005D760000}"/>
    <cellStyle name="Heading 1 66 22" xfId="30280" xr:uid="{00000000-0005-0000-0000-00005E760000}"/>
    <cellStyle name="Heading 1 66 23" xfId="30281" xr:uid="{00000000-0005-0000-0000-00005F760000}"/>
    <cellStyle name="Heading 1 66 24" xfId="30282" xr:uid="{00000000-0005-0000-0000-000060760000}"/>
    <cellStyle name="Heading 1 66 25" xfId="30283" xr:uid="{00000000-0005-0000-0000-000061760000}"/>
    <cellStyle name="Heading 1 66 26" xfId="30284" xr:uid="{00000000-0005-0000-0000-000062760000}"/>
    <cellStyle name="Heading 1 66 27" xfId="30285" xr:uid="{00000000-0005-0000-0000-000063760000}"/>
    <cellStyle name="Heading 1 66 28" xfId="30286" xr:uid="{00000000-0005-0000-0000-000064760000}"/>
    <cellStyle name="Heading 1 66 29" xfId="30287" xr:uid="{00000000-0005-0000-0000-000065760000}"/>
    <cellStyle name="Heading 1 66 3" xfId="30288" xr:uid="{00000000-0005-0000-0000-000066760000}"/>
    <cellStyle name="Heading 1 66 30" xfId="30289" xr:uid="{00000000-0005-0000-0000-000067760000}"/>
    <cellStyle name="Heading 1 66 31" xfId="30290" xr:uid="{00000000-0005-0000-0000-000068760000}"/>
    <cellStyle name="Heading 1 66 32" xfId="30291" xr:uid="{00000000-0005-0000-0000-000069760000}"/>
    <cellStyle name="Heading 1 66 33" xfId="30292" xr:uid="{00000000-0005-0000-0000-00006A760000}"/>
    <cellStyle name="Heading 1 66 34" xfId="30293" xr:uid="{00000000-0005-0000-0000-00006B760000}"/>
    <cellStyle name="Heading 1 66 35" xfId="30294" xr:uid="{00000000-0005-0000-0000-00006C760000}"/>
    <cellStyle name="Heading 1 66 36" xfId="30295" xr:uid="{00000000-0005-0000-0000-00006D760000}"/>
    <cellStyle name="Heading 1 66 4" xfId="30296" xr:uid="{00000000-0005-0000-0000-00006E760000}"/>
    <cellStyle name="Heading 1 66 5" xfId="30297" xr:uid="{00000000-0005-0000-0000-00006F760000}"/>
    <cellStyle name="Heading 1 66 6" xfId="30298" xr:uid="{00000000-0005-0000-0000-000070760000}"/>
    <cellStyle name="Heading 1 66 7" xfId="30299" xr:uid="{00000000-0005-0000-0000-000071760000}"/>
    <cellStyle name="Heading 1 66 8" xfId="30300" xr:uid="{00000000-0005-0000-0000-000072760000}"/>
    <cellStyle name="Heading 1 66 9" xfId="30301" xr:uid="{00000000-0005-0000-0000-000073760000}"/>
    <cellStyle name="Heading 1 67" xfId="30302" xr:uid="{00000000-0005-0000-0000-000074760000}"/>
    <cellStyle name="Heading 1 67 10" xfId="30303" xr:uid="{00000000-0005-0000-0000-000075760000}"/>
    <cellStyle name="Heading 1 67 11" xfId="30304" xr:uid="{00000000-0005-0000-0000-000076760000}"/>
    <cellStyle name="Heading 1 67 12" xfId="30305" xr:uid="{00000000-0005-0000-0000-000077760000}"/>
    <cellStyle name="Heading 1 67 13" xfId="30306" xr:uid="{00000000-0005-0000-0000-000078760000}"/>
    <cellStyle name="Heading 1 67 14" xfId="30307" xr:uid="{00000000-0005-0000-0000-000079760000}"/>
    <cellStyle name="Heading 1 67 15" xfId="30308" xr:uid="{00000000-0005-0000-0000-00007A760000}"/>
    <cellStyle name="Heading 1 67 16" xfId="30309" xr:uid="{00000000-0005-0000-0000-00007B760000}"/>
    <cellStyle name="Heading 1 67 17" xfId="30310" xr:uid="{00000000-0005-0000-0000-00007C760000}"/>
    <cellStyle name="Heading 1 67 18" xfId="30311" xr:uid="{00000000-0005-0000-0000-00007D760000}"/>
    <cellStyle name="Heading 1 67 19" xfId="30312" xr:uid="{00000000-0005-0000-0000-00007E760000}"/>
    <cellStyle name="Heading 1 67 2" xfId="30313" xr:uid="{00000000-0005-0000-0000-00007F760000}"/>
    <cellStyle name="Heading 1 67 20" xfId="30314" xr:uid="{00000000-0005-0000-0000-000080760000}"/>
    <cellStyle name="Heading 1 67 21" xfId="30315" xr:uid="{00000000-0005-0000-0000-000081760000}"/>
    <cellStyle name="Heading 1 67 22" xfId="30316" xr:uid="{00000000-0005-0000-0000-000082760000}"/>
    <cellStyle name="Heading 1 67 23" xfId="30317" xr:uid="{00000000-0005-0000-0000-000083760000}"/>
    <cellStyle name="Heading 1 67 24" xfId="30318" xr:uid="{00000000-0005-0000-0000-000084760000}"/>
    <cellStyle name="Heading 1 67 25" xfId="30319" xr:uid="{00000000-0005-0000-0000-000085760000}"/>
    <cellStyle name="Heading 1 67 26" xfId="30320" xr:uid="{00000000-0005-0000-0000-000086760000}"/>
    <cellStyle name="Heading 1 67 27" xfId="30321" xr:uid="{00000000-0005-0000-0000-000087760000}"/>
    <cellStyle name="Heading 1 67 28" xfId="30322" xr:uid="{00000000-0005-0000-0000-000088760000}"/>
    <cellStyle name="Heading 1 67 29" xfId="30323" xr:uid="{00000000-0005-0000-0000-000089760000}"/>
    <cellStyle name="Heading 1 67 3" xfId="30324" xr:uid="{00000000-0005-0000-0000-00008A760000}"/>
    <cellStyle name="Heading 1 67 30" xfId="30325" xr:uid="{00000000-0005-0000-0000-00008B760000}"/>
    <cellStyle name="Heading 1 67 31" xfId="30326" xr:uid="{00000000-0005-0000-0000-00008C760000}"/>
    <cellStyle name="Heading 1 67 32" xfId="30327" xr:uid="{00000000-0005-0000-0000-00008D760000}"/>
    <cellStyle name="Heading 1 67 33" xfId="30328" xr:uid="{00000000-0005-0000-0000-00008E760000}"/>
    <cellStyle name="Heading 1 67 34" xfId="30329" xr:uid="{00000000-0005-0000-0000-00008F760000}"/>
    <cellStyle name="Heading 1 67 35" xfId="30330" xr:uid="{00000000-0005-0000-0000-000090760000}"/>
    <cellStyle name="Heading 1 67 36" xfId="30331" xr:uid="{00000000-0005-0000-0000-000091760000}"/>
    <cellStyle name="Heading 1 67 4" xfId="30332" xr:uid="{00000000-0005-0000-0000-000092760000}"/>
    <cellStyle name="Heading 1 67 5" xfId="30333" xr:uid="{00000000-0005-0000-0000-000093760000}"/>
    <cellStyle name="Heading 1 67 6" xfId="30334" xr:uid="{00000000-0005-0000-0000-000094760000}"/>
    <cellStyle name="Heading 1 67 7" xfId="30335" xr:uid="{00000000-0005-0000-0000-000095760000}"/>
    <cellStyle name="Heading 1 67 8" xfId="30336" xr:uid="{00000000-0005-0000-0000-000096760000}"/>
    <cellStyle name="Heading 1 67 9" xfId="30337" xr:uid="{00000000-0005-0000-0000-000097760000}"/>
    <cellStyle name="Heading 1 68" xfId="30338" xr:uid="{00000000-0005-0000-0000-000098760000}"/>
    <cellStyle name="Heading 1 68 10" xfId="30339" xr:uid="{00000000-0005-0000-0000-000099760000}"/>
    <cellStyle name="Heading 1 68 11" xfId="30340" xr:uid="{00000000-0005-0000-0000-00009A760000}"/>
    <cellStyle name="Heading 1 68 12" xfId="30341" xr:uid="{00000000-0005-0000-0000-00009B760000}"/>
    <cellStyle name="Heading 1 68 13" xfId="30342" xr:uid="{00000000-0005-0000-0000-00009C760000}"/>
    <cellStyle name="Heading 1 68 14" xfId="30343" xr:uid="{00000000-0005-0000-0000-00009D760000}"/>
    <cellStyle name="Heading 1 68 15" xfId="30344" xr:uid="{00000000-0005-0000-0000-00009E760000}"/>
    <cellStyle name="Heading 1 68 16" xfId="30345" xr:uid="{00000000-0005-0000-0000-00009F760000}"/>
    <cellStyle name="Heading 1 68 17" xfId="30346" xr:uid="{00000000-0005-0000-0000-0000A0760000}"/>
    <cellStyle name="Heading 1 68 18" xfId="30347" xr:uid="{00000000-0005-0000-0000-0000A1760000}"/>
    <cellStyle name="Heading 1 68 19" xfId="30348" xr:uid="{00000000-0005-0000-0000-0000A2760000}"/>
    <cellStyle name="Heading 1 68 2" xfId="30349" xr:uid="{00000000-0005-0000-0000-0000A3760000}"/>
    <cellStyle name="Heading 1 68 20" xfId="30350" xr:uid="{00000000-0005-0000-0000-0000A4760000}"/>
    <cellStyle name="Heading 1 68 21" xfId="30351" xr:uid="{00000000-0005-0000-0000-0000A5760000}"/>
    <cellStyle name="Heading 1 68 22" xfId="30352" xr:uid="{00000000-0005-0000-0000-0000A6760000}"/>
    <cellStyle name="Heading 1 68 23" xfId="30353" xr:uid="{00000000-0005-0000-0000-0000A7760000}"/>
    <cellStyle name="Heading 1 68 24" xfId="30354" xr:uid="{00000000-0005-0000-0000-0000A8760000}"/>
    <cellStyle name="Heading 1 68 25" xfId="30355" xr:uid="{00000000-0005-0000-0000-0000A9760000}"/>
    <cellStyle name="Heading 1 68 26" xfId="30356" xr:uid="{00000000-0005-0000-0000-0000AA760000}"/>
    <cellStyle name="Heading 1 68 27" xfId="30357" xr:uid="{00000000-0005-0000-0000-0000AB760000}"/>
    <cellStyle name="Heading 1 68 28" xfId="30358" xr:uid="{00000000-0005-0000-0000-0000AC760000}"/>
    <cellStyle name="Heading 1 68 29" xfId="30359" xr:uid="{00000000-0005-0000-0000-0000AD760000}"/>
    <cellStyle name="Heading 1 68 3" xfId="30360" xr:uid="{00000000-0005-0000-0000-0000AE760000}"/>
    <cellStyle name="Heading 1 68 30" xfId="30361" xr:uid="{00000000-0005-0000-0000-0000AF760000}"/>
    <cellStyle name="Heading 1 68 31" xfId="30362" xr:uid="{00000000-0005-0000-0000-0000B0760000}"/>
    <cellStyle name="Heading 1 68 32" xfId="30363" xr:uid="{00000000-0005-0000-0000-0000B1760000}"/>
    <cellStyle name="Heading 1 68 33" xfId="30364" xr:uid="{00000000-0005-0000-0000-0000B2760000}"/>
    <cellStyle name="Heading 1 68 34" xfId="30365" xr:uid="{00000000-0005-0000-0000-0000B3760000}"/>
    <cellStyle name="Heading 1 68 35" xfId="30366" xr:uid="{00000000-0005-0000-0000-0000B4760000}"/>
    <cellStyle name="Heading 1 68 36" xfId="30367" xr:uid="{00000000-0005-0000-0000-0000B5760000}"/>
    <cellStyle name="Heading 1 68 4" xfId="30368" xr:uid="{00000000-0005-0000-0000-0000B6760000}"/>
    <cellStyle name="Heading 1 68 5" xfId="30369" xr:uid="{00000000-0005-0000-0000-0000B7760000}"/>
    <cellStyle name="Heading 1 68 6" xfId="30370" xr:uid="{00000000-0005-0000-0000-0000B8760000}"/>
    <cellStyle name="Heading 1 68 7" xfId="30371" xr:uid="{00000000-0005-0000-0000-0000B9760000}"/>
    <cellStyle name="Heading 1 68 8" xfId="30372" xr:uid="{00000000-0005-0000-0000-0000BA760000}"/>
    <cellStyle name="Heading 1 68 9" xfId="30373" xr:uid="{00000000-0005-0000-0000-0000BB760000}"/>
    <cellStyle name="Heading 1 69" xfId="30374" xr:uid="{00000000-0005-0000-0000-0000BC760000}"/>
    <cellStyle name="Heading 1 69 2" xfId="30375" xr:uid="{00000000-0005-0000-0000-0000BD760000}"/>
    <cellStyle name="Heading 1 7" xfId="30376" xr:uid="{00000000-0005-0000-0000-0000BE760000}"/>
    <cellStyle name="Heading 1 7 2" xfId="30377" xr:uid="{00000000-0005-0000-0000-0000BF760000}"/>
    <cellStyle name="Heading 1 70" xfId="30378" xr:uid="{00000000-0005-0000-0000-0000C0760000}"/>
    <cellStyle name="Heading 1 70 2" xfId="30379" xr:uid="{00000000-0005-0000-0000-0000C1760000}"/>
    <cellStyle name="Heading 1 71" xfId="30380" xr:uid="{00000000-0005-0000-0000-0000C2760000}"/>
    <cellStyle name="Heading 1 71 2" xfId="30381" xr:uid="{00000000-0005-0000-0000-0000C3760000}"/>
    <cellStyle name="Heading 1 72" xfId="30382" xr:uid="{00000000-0005-0000-0000-0000C4760000}"/>
    <cellStyle name="Heading 1 72 2" xfId="30383" xr:uid="{00000000-0005-0000-0000-0000C5760000}"/>
    <cellStyle name="Heading 1 73" xfId="30384" xr:uid="{00000000-0005-0000-0000-0000C6760000}"/>
    <cellStyle name="Heading 1 73 2" xfId="30385" xr:uid="{00000000-0005-0000-0000-0000C7760000}"/>
    <cellStyle name="Heading 1 74" xfId="30386" xr:uid="{00000000-0005-0000-0000-0000C8760000}"/>
    <cellStyle name="Heading 1 74 2" xfId="30387" xr:uid="{00000000-0005-0000-0000-0000C9760000}"/>
    <cellStyle name="Heading 1 75" xfId="30388" xr:uid="{00000000-0005-0000-0000-0000CA760000}"/>
    <cellStyle name="Heading 1 75 2" xfId="30389" xr:uid="{00000000-0005-0000-0000-0000CB760000}"/>
    <cellStyle name="Heading 1 76" xfId="30390" xr:uid="{00000000-0005-0000-0000-0000CC760000}"/>
    <cellStyle name="Heading 1 76 2" xfId="30391" xr:uid="{00000000-0005-0000-0000-0000CD760000}"/>
    <cellStyle name="Heading 1 77" xfId="30392" xr:uid="{00000000-0005-0000-0000-0000CE760000}"/>
    <cellStyle name="Heading 1 77 2" xfId="30393" xr:uid="{00000000-0005-0000-0000-0000CF760000}"/>
    <cellStyle name="Heading 1 78" xfId="30394" xr:uid="{00000000-0005-0000-0000-0000D0760000}"/>
    <cellStyle name="Heading 1 78 2" xfId="30395" xr:uid="{00000000-0005-0000-0000-0000D1760000}"/>
    <cellStyle name="Heading 1 79" xfId="30396" xr:uid="{00000000-0005-0000-0000-0000D2760000}"/>
    <cellStyle name="Heading 1 79 2" xfId="30397" xr:uid="{00000000-0005-0000-0000-0000D3760000}"/>
    <cellStyle name="Heading 1 8" xfId="30398" xr:uid="{00000000-0005-0000-0000-0000D4760000}"/>
    <cellStyle name="Heading 1 8 2" xfId="30399" xr:uid="{00000000-0005-0000-0000-0000D5760000}"/>
    <cellStyle name="Heading 1 80" xfId="30400" xr:uid="{00000000-0005-0000-0000-0000D6760000}"/>
    <cellStyle name="Heading 1 80 2" xfId="30401" xr:uid="{00000000-0005-0000-0000-0000D7760000}"/>
    <cellStyle name="Heading 1 81" xfId="30402" xr:uid="{00000000-0005-0000-0000-0000D8760000}"/>
    <cellStyle name="Heading 1 81 2" xfId="30403" xr:uid="{00000000-0005-0000-0000-0000D9760000}"/>
    <cellStyle name="Heading 1 82" xfId="30404" xr:uid="{00000000-0005-0000-0000-0000DA760000}"/>
    <cellStyle name="Heading 1 82 2" xfId="30405" xr:uid="{00000000-0005-0000-0000-0000DB760000}"/>
    <cellStyle name="Heading 1 83" xfId="30406" xr:uid="{00000000-0005-0000-0000-0000DC760000}"/>
    <cellStyle name="Heading 1 83 2" xfId="30407" xr:uid="{00000000-0005-0000-0000-0000DD760000}"/>
    <cellStyle name="Heading 1 84" xfId="30408" xr:uid="{00000000-0005-0000-0000-0000DE760000}"/>
    <cellStyle name="Heading 1 84 2" xfId="30409" xr:uid="{00000000-0005-0000-0000-0000DF760000}"/>
    <cellStyle name="Heading 1 85" xfId="30410" xr:uid="{00000000-0005-0000-0000-0000E0760000}"/>
    <cellStyle name="Heading 1 85 2" xfId="30411" xr:uid="{00000000-0005-0000-0000-0000E1760000}"/>
    <cellStyle name="Heading 1 86" xfId="30412" xr:uid="{00000000-0005-0000-0000-0000E2760000}"/>
    <cellStyle name="Heading 1 86 2" xfId="30413" xr:uid="{00000000-0005-0000-0000-0000E3760000}"/>
    <cellStyle name="Heading 1 87" xfId="30414" xr:uid="{00000000-0005-0000-0000-0000E4760000}"/>
    <cellStyle name="Heading 1 87 2" xfId="30415" xr:uid="{00000000-0005-0000-0000-0000E5760000}"/>
    <cellStyle name="Heading 1 88" xfId="30416" xr:uid="{00000000-0005-0000-0000-0000E6760000}"/>
    <cellStyle name="Heading 1 89" xfId="30417" xr:uid="{00000000-0005-0000-0000-0000E7760000}"/>
    <cellStyle name="Heading 1 89 2" xfId="30418" xr:uid="{00000000-0005-0000-0000-0000E8760000}"/>
    <cellStyle name="Heading 1 9" xfId="30419" xr:uid="{00000000-0005-0000-0000-0000E9760000}"/>
    <cellStyle name="Heading 1 9 2" xfId="30420" xr:uid="{00000000-0005-0000-0000-0000EA760000}"/>
    <cellStyle name="Heading 1 90" xfId="30421" xr:uid="{00000000-0005-0000-0000-0000EB760000}"/>
    <cellStyle name="Heading 1 90 2" xfId="30422" xr:uid="{00000000-0005-0000-0000-0000EC760000}"/>
    <cellStyle name="Heading 1 91" xfId="30423" xr:uid="{00000000-0005-0000-0000-0000ED760000}"/>
    <cellStyle name="Heading 1 91 2" xfId="30424" xr:uid="{00000000-0005-0000-0000-0000EE760000}"/>
    <cellStyle name="Heading 1 92" xfId="30425" xr:uid="{00000000-0005-0000-0000-0000EF760000}"/>
    <cellStyle name="Heading 1 92 2" xfId="30426" xr:uid="{00000000-0005-0000-0000-0000F0760000}"/>
    <cellStyle name="Heading 1 93" xfId="30427" xr:uid="{00000000-0005-0000-0000-0000F1760000}"/>
    <cellStyle name="Heading 1 93 2" xfId="30428" xr:uid="{00000000-0005-0000-0000-0000F2760000}"/>
    <cellStyle name="Heading 1 94" xfId="30429" xr:uid="{00000000-0005-0000-0000-0000F3760000}"/>
    <cellStyle name="Heading 1 94 2" xfId="30430" xr:uid="{00000000-0005-0000-0000-0000F4760000}"/>
    <cellStyle name="Heading 1 95" xfId="30431" xr:uid="{00000000-0005-0000-0000-0000F5760000}"/>
    <cellStyle name="Heading 1 96" xfId="30432" xr:uid="{00000000-0005-0000-0000-0000F6760000}"/>
    <cellStyle name="Heading 1 97" xfId="30433" xr:uid="{00000000-0005-0000-0000-0000F7760000}"/>
    <cellStyle name="Heading 1 98" xfId="30434" xr:uid="{00000000-0005-0000-0000-0000F8760000}"/>
    <cellStyle name="Heading 1 99" xfId="30435" xr:uid="{00000000-0005-0000-0000-0000F9760000}"/>
    <cellStyle name="Heading 2" xfId="41005" builtinId="17" customBuiltin="1"/>
    <cellStyle name="Heading 2 10" xfId="30436" xr:uid="{00000000-0005-0000-0000-0000FB760000}"/>
    <cellStyle name="Heading 2 10 2" xfId="30437" xr:uid="{00000000-0005-0000-0000-0000FC760000}"/>
    <cellStyle name="Heading 2 100" xfId="30438" xr:uid="{00000000-0005-0000-0000-0000FD760000}"/>
    <cellStyle name="Heading 2 101" xfId="30439" xr:uid="{00000000-0005-0000-0000-0000FE760000}"/>
    <cellStyle name="Heading 2 102" xfId="30440" xr:uid="{00000000-0005-0000-0000-0000FF760000}"/>
    <cellStyle name="Heading 2 103" xfId="30441" xr:uid="{00000000-0005-0000-0000-000000770000}"/>
    <cellStyle name="Heading 2 104" xfId="30442" xr:uid="{00000000-0005-0000-0000-000001770000}"/>
    <cellStyle name="Heading 2 105" xfId="30443" xr:uid="{00000000-0005-0000-0000-000002770000}"/>
    <cellStyle name="Heading 2 106" xfId="30444" xr:uid="{00000000-0005-0000-0000-000003770000}"/>
    <cellStyle name="Heading 2 107" xfId="30445" xr:uid="{00000000-0005-0000-0000-000004770000}"/>
    <cellStyle name="Heading 2 108" xfId="30446" xr:uid="{00000000-0005-0000-0000-000005770000}"/>
    <cellStyle name="Heading 2 109" xfId="30447" xr:uid="{00000000-0005-0000-0000-000006770000}"/>
    <cellStyle name="Heading 2 11" xfId="30448" xr:uid="{00000000-0005-0000-0000-000007770000}"/>
    <cellStyle name="Heading 2 11 2" xfId="30449" xr:uid="{00000000-0005-0000-0000-000008770000}"/>
    <cellStyle name="Heading 2 110" xfId="30450" xr:uid="{00000000-0005-0000-0000-000009770000}"/>
    <cellStyle name="Heading 2 111" xfId="30451" xr:uid="{00000000-0005-0000-0000-00000A770000}"/>
    <cellStyle name="Heading 2 112" xfId="30452" xr:uid="{00000000-0005-0000-0000-00000B770000}"/>
    <cellStyle name="Heading 2 113" xfId="30453" xr:uid="{00000000-0005-0000-0000-00000C770000}"/>
    <cellStyle name="Heading 2 114" xfId="30454" xr:uid="{00000000-0005-0000-0000-00000D770000}"/>
    <cellStyle name="Heading 2 115" xfId="30455" xr:uid="{00000000-0005-0000-0000-00000E770000}"/>
    <cellStyle name="Heading 2 116" xfId="30456" xr:uid="{00000000-0005-0000-0000-00000F770000}"/>
    <cellStyle name="Heading 2 117" xfId="30457" xr:uid="{00000000-0005-0000-0000-000010770000}"/>
    <cellStyle name="Heading 2 118" xfId="30458" xr:uid="{00000000-0005-0000-0000-000011770000}"/>
    <cellStyle name="Heading 2 119" xfId="30459" xr:uid="{00000000-0005-0000-0000-000012770000}"/>
    <cellStyle name="Heading 2 12" xfId="30460" xr:uid="{00000000-0005-0000-0000-000013770000}"/>
    <cellStyle name="Heading 2 12 2" xfId="30461" xr:uid="{00000000-0005-0000-0000-000014770000}"/>
    <cellStyle name="Heading 2 120" xfId="30462" xr:uid="{00000000-0005-0000-0000-000015770000}"/>
    <cellStyle name="Heading 2 121" xfId="30463" xr:uid="{00000000-0005-0000-0000-000016770000}"/>
    <cellStyle name="Heading 2 122" xfId="30464" xr:uid="{00000000-0005-0000-0000-000017770000}"/>
    <cellStyle name="Heading 2 123" xfId="30465" xr:uid="{00000000-0005-0000-0000-000018770000}"/>
    <cellStyle name="Heading 2 124" xfId="30466" xr:uid="{00000000-0005-0000-0000-000019770000}"/>
    <cellStyle name="Heading 2 125" xfId="30467" xr:uid="{00000000-0005-0000-0000-00001A770000}"/>
    <cellStyle name="Heading 2 126" xfId="30468" xr:uid="{00000000-0005-0000-0000-00001B770000}"/>
    <cellStyle name="Heading 2 127" xfId="30469" xr:uid="{00000000-0005-0000-0000-00001C770000}"/>
    <cellStyle name="Heading 2 128" xfId="30470" xr:uid="{00000000-0005-0000-0000-00001D770000}"/>
    <cellStyle name="Heading 2 129" xfId="30471" xr:uid="{00000000-0005-0000-0000-00001E770000}"/>
    <cellStyle name="Heading 2 13" xfId="30472" xr:uid="{00000000-0005-0000-0000-00001F770000}"/>
    <cellStyle name="Heading 2 13 2" xfId="30473" xr:uid="{00000000-0005-0000-0000-000020770000}"/>
    <cellStyle name="Heading 2 130" xfId="30474" xr:uid="{00000000-0005-0000-0000-000021770000}"/>
    <cellStyle name="Heading 2 131" xfId="30475" xr:uid="{00000000-0005-0000-0000-000022770000}"/>
    <cellStyle name="Heading 2 132" xfId="30476" xr:uid="{00000000-0005-0000-0000-000023770000}"/>
    <cellStyle name="Heading 2 133" xfId="30477" xr:uid="{00000000-0005-0000-0000-000024770000}"/>
    <cellStyle name="Heading 2 14" xfId="30478" xr:uid="{00000000-0005-0000-0000-000025770000}"/>
    <cellStyle name="Heading 2 14 2" xfId="30479" xr:uid="{00000000-0005-0000-0000-000026770000}"/>
    <cellStyle name="Heading 2 15" xfId="30480" xr:uid="{00000000-0005-0000-0000-000027770000}"/>
    <cellStyle name="Heading 2 15 2" xfId="30481" xr:uid="{00000000-0005-0000-0000-000028770000}"/>
    <cellStyle name="Heading 2 16" xfId="30482" xr:uid="{00000000-0005-0000-0000-000029770000}"/>
    <cellStyle name="Heading 2 16 2" xfId="30483" xr:uid="{00000000-0005-0000-0000-00002A770000}"/>
    <cellStyle name="Heading 2 17" xfId="30484" xr:uid="{00000000-0005-0000-0000-00002B770000}"/>
    <cellStyle name="Heading 2 17 2" xfId="30485" xr:uid="{00000000-0005-0000-0000-00002C770000}"/>
    <cellStyle name="Heading 2 18" xfId="30486" xr:uid="{00000000-0005-0000-0000-00002D770000}"/>
    <cellStyle name="Heading 2 18 2" xfId="30487" xr:uid="{00000000-0005-0000-0000-00002E770000}"/>
    <cellStyle name="Heading 2 19" xfId="30488" xr:uid="{00000000-0005-0000-0000-00002F770000}"/>
    <cellStyle name="Heading 2 19 2" xfId="30489" xr:uid="{00000000-0005-0000-0000-000030770000}"/>
    <cellStyle name="Heading 2 2" xfId="30490" xr:uid="{00000000-0005-0000-0000-000031770000}"/>
    <cellStyle name="Heading 2 2 2" xfId="30491" xr:uid="{00000000-0005-0000-0000-000032770000}"/>
    <cellStyle name="Heading 2 2 2 2" xfId="30492" xr:uid="{00000000-0005-0000-0000-000033770000}"/>
    <cellStyle name="Heading 2 2 2 2 2" xfId="30493" xr:uid="{00000000-0005-0000-0000-000034770000}"/>
    <cellStyle name="Heading 2 2 2 2 2 2" xfId="30494" xr:uid="{00000000-0005-0000-0000-000035770000}"/>
    <cellStyle name="Heading 2 2 3" xfId="30495" xr:uid="{00000000-0005-0000-0000-000036770000}"/>
    <cellStyle name="Heading 2 2 4" xfId="30496" xr:uid="{00000000-0005-0000-0000-000037770000}"/>
    <cellStyle name="Heading 2 2 5" xfId="41066" xr:uid="{00000000-0005-0000-0000-000021000000}"/>
    <cellStyle name="Heading 2 20" xfId="30497" xr:uid="{00000000-0005-0000-0000-000038770000}"/>
    <cellStyle name="Heading 2 20 2" xfId="30498" xr:uid="{00000000-0005-0000-0000-000039770000}"/>
    <cellStyle name="Heading 2 21" xfId="30499" xr:uid="{00000000-0005-0000-0000-00003A770000}"/>
    <cellStyle name="Heading 2 21 2" xfId="30500" xr:uid="{00000000-0005-0000-0000-00003B770000}"/>
    <cellStyle name="Heading 2 22" xfId="30501" xr:uid="{00000000-0005-0000-0000-00003C770000}"/>
    <cellStyle name="Heading 2 22 2" xfId="30502" xr:uid="{00000000-0005-0000-0000-00003D770000}"/>
    <cellStyle name="Heading 2 23" xfId="30503" xr:uid="{00000000-0005-0000-0000-00003E770000}"/>
    <cellStyle name="Heading 2 23 2" xfId="30504" xr:uid="{00000000-0005-0000-0000-00003F770000}"/>
    <cellStyle name="Heading 2 24" xfId="30505" xr:uid="{00000000-0005-0000-0000-000040770000}"/>
    <cellStyle name="Heading 2 24 2" xfId="30506" xr:uid="{00000000-0005-0000-0000-000041770000}"/>
    <cellStyle name="Heading 2 25" xfId="30507" xr:uid="{00000000-0005-0000-0000-000042770000}"/>
    <cellStyle name="Heading 2 25 2" xfId="30508" xr:uid="{00000000-0005-0000-0000-000043770000}"/>
    <cellStyle name="Heading 2 26" xfId="30509" xr:uid="{00000000-0005-0000-0000-000044770000}"/>
    <cellStyle name="Heading 2 26 2" xfId="30510" xr:uid="{00000000-0005-0000-0000-000045770000}"/>
    <cellStyle name="Heading 2 27" xfId="30511" xr:uid="{00000000-0005-0000-0000-000046770000}"/>
    <cellStyle name="Heading 2 27 2" xfId="30512" xr:uid="{00000000-0005-0000-0000-000047770000}"/>
    <cellStyle name="Heading 2 28" xfId="30513" xr:uid="{00000000-0005-0000-0000-000048770000}"/>
    <cellStyle name="Heading 2 28 2" xfId="30514" xr:uid="{00000000-0005-0000-0000-000049770000}"/>
    <cellStyle name="Heading 2 29" xfId="30515" xr:uid="{00000000-0005-0000-0000-00004A770000}"/>
    <cellStyle name="Heading 2 29 2" xfId="30516" xr:uid="{00000000-0005-0000-0000-00004B770000}"/>
    <cellStyle name="Heading 2 3" xfId="30517" xr:uid="{00000000-0005-0000-0000-00004C770000}"/>
    <cellStyle name="Heading 2 3 2" xfId="30518" xr:uid="{00000000-0005-0000-0000-00004D770000}"/>
    <cellStyle name="Heading 2 3 2 2" xfId="30519" xr:uid="{00000000-0005-0000-0000-00004E770000}"/>
    <cellStyle name="Heading 2 3 3" xfId="30520" xr:uid="{00000000-0005-0000-0000-00004F770000}"/>
    <cellStyle name="Heading 2 3 4" xfId="30521" xr:uid="{00000000-0005-0000-0000-000050770000}"/>
    <cellStyle name="Heading 2 3_MAR 2009" xfId="30522" xr:uid="{00000000-0005-0000-0000-000051770000}"/>
    <cellStyle name="Heading 2 30" xfId="30523" xr:uid="{00000000-0005-0000-0000-000052770000}"/>
    <cellStyle name="Heading 2 30 2" xfId="30524" xr:uid="{00000000-0005-0000-0000-000053770000}"/>
    <cellStyle name="Heading 2 31" xfId="30525" xr:uid="{00000000-0005-0000-0000-000054770000}"/>
    <cellStyle name="Heading 2 31 2" xfId="30526" xr:uid="{00000000-0005-0000-0000-000055770000}"/>
    <cellStyle name="Heading 2 32" xfId="30527" xr:uid="{00000000-0005-0000-0000-000056770000}"/>
    <cellStyle name="Heading 2 32 2" xfId="30528" xr:uid="{00000000-0005-0000-0000-000057770000}"/>
    <cellStyle name="Heading 2 33" xfId="30529" xr:uid="{00000000-0005-0000-0000-000058770000}"/>
    <cellStyle name="Heading 2 33 2" xfId="30530" xr:uid="{00000000-0005-0000-0000-000059770000}"/>
    <cellStyle name="Heading 2 34" xfId="30531" xr:uid="{00000000-0005-0000-0000-00005A770000}"/>
    <cellStyle name="Heading 2 34 2" xfId="30532" xr:uid="{00000000-0005-0000-0000-00005B770000}"/>
    <cellStyle name="Heading 2 35" xfId="30533" xr:uid="{00000000-0005-0000-0000-00005C770000}"/>
    <cellStyle name="Heading 2 35 2" xfId="30534" xr:uid="{00000000-0005-0000-0000-00005D770000}"/>
    <cellStyle name="Heading 2 36" xfId="30535" xr:uid="{00000000-0005-0000-0000-00005E770000}"/>
    <cellStyle name="Heading 2 36 2" xfId="30536" xr:uid="{00000000-0005-0000-0000-00005F770000}"/>
    <cellStyle name="Heading 2 37" xfId="30537" xr:uid="{00000000-0005-0000-0000-000060770000}"/>
    <cellStyle name="Heading 2 37 2" xfId="30538" xr:uid="{00000000-0005-0000-0000-000061770000}"/>
    <cellStyle name="Heading 2 38" xfId="30539" xr:uid="{00000000-0005-0000-0000-000062770000}"/>
    <cellStyle name="Heading 2 38 2" xfId="30540" xr:uid="{00000000-0005-0000-0000-000063770000}"/>
    <cellStyle name="Heading 2 39" xfId="30541" xr:uid="{00000000-0005-0000-0000-000064770000}"/>
    <cellStyle name="Heading 2 39 2" xfId="30542" xr:uid="{00000000-0005-0000-0000-000065770000}"/>
    <cellStyle name="Heading 2 4" xfId="30543" xr:uid="{00000000-0005-0000-0000-000066770000}"/>
    <cellStyle name="Heading 2 4 2" xfId="30544" xr:uid="{00000000-0005-0000-0000-000067770000}"/>
    <cellStyle name="Heading 2 4 2 2" xfId="30545" xr:uid="{00000000-0005-0000-0000-000068770000}"/>
    <cellStyle name="Heading 2 4 3" xfId="30546" xr:uid="{00000000-0005-0000-0000-000069770000}"/>
    <cellStyle name="Heading 2 40" xfId="30547" xr:uid="{00000000-0005-0000-0000-00006A770000}"/>
    <cellStyle name="Heading 2 40 2" xfId="30548" xr:uid="{00000000-0005-0000-0000-00006B770000}"/>
    <cellStyle name="Heading 2 41" xfId="30549" xr:uid="{00000000-0005-0000-0000-00006C770000}"/>
    <cellStyle name="Heading 2 41 2" xfId="30550" xr:uid="{00000000-0005-0000-0000-00006D770000}"/>
    <cellStyle name="Heading 2 42" xfId="30551" xr:uid="{00000000-0005-0000-0000-00006E770000}"/>
    <cellStyle name="Heading 2 42 2" xfId="30552" xr:uid="{00000000-0005-0000-0000-00006F770000}"/>
    <cellStyle name="Heading 2 43" xfId="30553" xr:uid="{00000000-0005-0000-0000-000070770000}"/>
    <cellStyle name="Heading 2 43 2" xfId="30554" xr:uid="{00000000-0005-0000-0000-000071770000}"/>
    <cellStyle name="Heading 2 44" xfId="30555" xr:uid="{00000000-0005-0000-0000-000072770000}"/>
    <cellStyle name="Heading 2 44 2" xfId="30556" xr:uid="{00000000-0005-0000-0000-000073770000}"/>
    <cellStyle name="Heading 2 45" xfId="30557" xr:uid="{00000000-0005-0000-0000-000074770000}"/>
    <cellStyle name="Heading 2 45 2" xfId="30558" xr:uid="{00000000-0005-0000-0000-000075770000}"/>
    <cellStyle name="Heading 2 46" xfId="30559" xr:uid="{00000000-0005-0000-0000-000076770000}"/>
    <cellStyle name="Heading 2 46 2" xfId="30560" xr:uid="{00000000-0005-0000-0000-000077770000}"/>
    <cellStyle name="Heading 2 47" xfId="30561" xr:uid="{00000000-0005-0000-0000-000078770000}"/>
    <cellStyle name="Heading 2 47 2" xfId="30562" xr:uid="{00000000-0005-0000-0000-000079770000}"/>
    <cellStyle name="Heading 2 48" xfId="30563" xr:uid="{00000000-0005-0000-0000-00007A770000}"/>
    <cellStyle name="Heading 2 48 2" xfId="30564" xr:uid="{00000000-0005-0000-0000-00007B770000}"/>
    <cellStyle name="Heading 2 49" xfId="30565" xr:uid="{00000000-0005-0000-0000-00007C770000}"/>
    <cellStyle name="Heading 2 49 2" xfId="30566" xr:uid="{00000000-0005-0000-0000-00007D770000}"/>
    <cellStyle name="Heading 2 5" xfId="30567" xr:uid="{00000000-0005-0000-0000-00007E770000}"/>
    <cellStyle name="Heading 2 5 2" xfId="30568" xr:uid="{00000000-0005-0000-0000-00007F770000}"/>
    <cellStyle name="Heading 2 5 2 2" xfId="30569" xr:uid="{00000000-0005-0000-0000-000080770000}"/>
    <cellStyle name="Heading 2 5 3" xfId="30570" xr:uid="{00000000-0005-0000-0000-000081770000}"/>
    <cellStyle name="Heading 2 50" xfId="30571" xr:uid="{00000000-0005-0000-0000-000082770000}"/>
    <cellStyle name="Heading 2 50 2" xfId="30572" xr:uid="{00000000-0005-0000-0000-000083770000}"/>
    <cellStyle name="Heading 2 51" xfId="30573" xr:uid="{00000000-0005-0000-0000-000084770000}"/>
    <cellStyle name="Heading 2 51 2" xfId="30574" xr:uid="{00000000-0005-0000-0000-000085770000}"/>
    <cellStyle name="Heading 2 52" xfId="30575" xr:uid="{00000000-0005-0000-0000-000086770000}"/>
    <cellStyle name="Heading 2 52 2" xfId="30576" xr:uid="{00000000-0005-0000-0000-000087770000}"/>
    <cellStyle name="Heading 2 53" xfId="30577" xr:uid="{00000000-0005-0000-0000-000088770000}"/>
    <cellStyle name="Heading 2 53 2" xfId="30578" xr:uid="{00000000-0005-0000-0000-000089770000}"/>
    <cellStyle name="Heading 2 54" xfId="30579" xr:uid="{00000000-0005-0000-0000-00008A770000}"/>
    <cellStyle name="Heading 2 54 2" xfId="30580" xr:uid="{00000000-0005-0000-0000-00008B770000}"/>
    <cellStyle name="Heading 2 55" xfId="30581" xr:uid="{00000000-0005-0000-0000-00008C770000}"/>
    <cellStyle name="Heading 2 55 2" xfId="30582" xr:uid="{00000000-0005-0000-0000-00008D770000}"/>
    <cellStyle name="Heading 2 56" xfId="30583" xr:uid="{00000000-0005-0000-0000-00008E770000}"/>
    <cellStyle name="Heading 2 56 2" xfId="30584" xr:uid="{00000000-0005-0000-0000-00008F770000}"/>
    <cellStyle name="Heading 2 57" xfId="30585" xr:uid="{00000000-0005-0000-0000-000090770000}"/>
    <cellStyle name="Heading 2 57 2" xfId="30586" xr:uid="{00000000-0005-0000-0000-000091770000}"/>
    <cellStyle name="Heading 2 58" xfId="30587" xr:uid="{00000000-0005-0000-0000-000092770000}"/>
    <cellStyle name="Heading 2 58 2" xfId="30588" xr:uid="{00000000-0005-0000-0000-000093770000}"/>
    <cellStyle name="Heading 2 59" xfId="30589" xr:uid="{00000000-0005-0000-0000-000094770000}"/>
    <cellStyle name="Heading 2 6" xfId="30590" xr:uid="{00000000-0005-0000-0000-000095770000}"/>
    <cellStyle name="Heading 2 6 2" xfId="30591" xr:uid="{00000000-0005-0000-0000-000096770000}"/>
    <cellStyle name="Heading 2 6 3" xfId="30592" xr:uid="{00000000-0005-0000-0000-000097770000}"/>
    <cellStyle name="Heading 2 60" xfId="30593" xr:uid="{00000000-0005-0000-0000-000098770000}"/>
    <cellStyle name="Heading 2 61" xfId="30594" xr:uid="{00000000-0005-0000-0000-000099770000}"/>
    <cellStyle name="Heading 2 62" xfId="30595" xr:uid="{00000000-0005-0000-0000-00009A770000}"/>
    <cellStyle name="Heading 2 63" xfId="30596" xr:uid="{00000000-0005-0000-0000-00009B770000}"/>
    <cellStyle name="Heading 2 63 2" xfId="30597" xr:uid="{00000000-0005-0000-0000-00009C770000}"/>
    <cellStyle name="Heading 2 64" xfId="30598" xr:uid="{00000000-0005-0000-0000-00009D770000}"/>
    <cellStyle name="Heading 2 64 2" xfId="30599" xr:uid="{00000000-0005-0000-0000-00009E770000}"/>
    <cellStyle name="Heading 2 65" xfId="30600" xr:uid="{00000000-0005-0000-0000-00009F770000}"/>
    <cellStyle name="Heading 2 65 2" xfId="30601" xr:uid="{00000000-0005-0000-0000-0000A0770000}"/>
    <cellStyle name="Heading 2 66" xfId="30602" xr:uid="{00000000-0005-0000-0000-0000A1770000}"/>
    <cellStyle name="Heading 2 66 2" xfId="30603" xr:uid="{00000000-0005-0000-0000-0000A2770000}"/>
    <cellStyle name="Heading 2 67" xfId="30604" xr:uid="{00000000-0005-0000-0000-0000A3770000}"/>
    <cellStyle name="Heading 2 67 2" xfId="30605" xr:uid="{00000000-0005-0000-0000-0000A4770000}"/>
    <cellStyle name="Heading 2 68" xfId="30606" xr:uid="{00000000-0005-0000-0000-0000A5770000}"/>
    <cellStyle name="Heading 2 68 2" xfId="30607" xr:uid="{00000000-0005-0000-0000-0000A6770000}"/>
    <cellStyle name="Heading 2 69" xfId="30608" xr:uid="{00000000-0005-0000-0000-0000A7770000}"/>
    <cellStyle name="Heading 2 69 2" xfId="30609" xr:uid="{00000000-0005-0000-0000-0000A8770000}"/>
    <cellStyle name="Heading 2 7" xfId="30610" xr:uid="{00000000-0005-0000-0000-0000A9770000}"/>
    <cellStyle name="Heading 2 7 2" xfId="30611" xr:uid="{00000000-0005-0000-0000-0000AA770000}"/>
    <cellStyle name="Heading 2 70" xfId="30612" xr:uid="{00000000-0005-0000-0000-0000AB770000}"/>
    <cellStyle name="Heading 2 70 2" xfId="30613" xr:uid="{00000000-0005-0000-0000-0000AC770000}"/>
    <cellStyle name="Heading 2 71" xfId="30614" xr:uid="{00000000-0005-0000-0000-0000AD770000}"/>
    <cellStyle name="Heading 2 71 2" xfId="30615" xr:uid="{00000000-0005-0000-0000-0000AE770000}"/>
    <cellStyle name="Heading 2 72" xfId="30616" xr:uid="{00000000-0005-0000-0000-0000AF770000}"/>
    <cellStyle name="Heading 2 72 2" xfId="30617" xr:uid="{00000000-0005-0000-0000-0000B0770000}"/>
    <cellStyle name="Heading 2 73" xfId="30618" xr:uid="{00000000-0005-0000-0000-0000B1770000}"/>
    <cellStyle name="Heading 2 73 2" xfId="30619" xr:uid="{00000000-0005-0000-0000-0000B2770000}"/>
    <cellStyle name="Heading 2 74" xfId="30620" xr:uid="{00000000-0005-0000-0000-0000B3770000}"/>
    <cellStyle name="Heading 2 74 2" xfId="30621" xr:uid="{00000000-0005-0000-0000-0000B4770000}"/>
    <cellStyle name="Heading 2 75" xfId="30622" xr:uid="{00000000-0005-0000-0000-0000B5770000}"/>
    <cellStyle name="Heading 2 75 2" xfId="30623" xr:uid="{00000000-0005-0000-0000-0000B6770000}"/>
    <cellStyle name="Heading 2 76" xfId="30624" xr:uid="{00000000-0005-0000-0000-0000B7770000}"/>
    <cellStyle name="Heading 2 76 2" xfId="30625" xr:uid="{00000000-0005-0000-0000-0000B8770000}"/>
    <cellStyle name="Heading 2 77" xfId="30626" xr:uid="{00000000-0005-0000-0000-0000B9770000}"/>
    <cellStyle name="Heading 2 77 2" xfId="30627" xr:uid="{00000000-0005-0000-0000-0000BA770000}"/>
    <cellStyle name="Heading 2 78" xfId="30628" xr:uid="{00000000-0005-0000-0000-0000BB770000}"/>
    <cellStyle name="Heading 2 78 2" xfId="30629" xr:uid="{00000000-0005-0000-0000-0000BC770000}"/>
    <cellStyle name="Heading 2 79" xfId="30630" xr:uid="{00000000-0005-0000-0000-0000BD770000}"/>
    <cellStyle name="Heading 2 79 2" xfId="30631" xr:uid="{00000000-0005-0000-0000-0000BE770000}"/>
    <cellStyle name="Heading 2 8" xfId="30632" xr:uid="{00000000-0005-0000-0000-0000BF770000}"/>
    <cellStyle name="Heading 2 8 2" xfId="30633" xr:uid="{00000000-0005-0000-0000-0000C0770000}"/>
    <cellStyle name="Heading 2 80" xfId="30634" xr:uid="{00000000-0005-0000-0000-0000C1770000}"/>
    <cellStyle name="Heading 2 80 2" xfId="30635" xr:uid="{00000000-0005-0000-0000-0000C2770000}"/>
    <cellStyle name="Heading 2 81" xfId="30636" xr:uid="{00000000-0005-0000-0000-0000C3770000}"/>
    <cellStyle name="Heading 2 81 2" xfId="30637" xr:uid="{00000000-0005-0000-0000-0000C4770000}"/>
    <cellStyle name="Heading 2 82" xfId="30638" xr:uid="{00000000-0005-0000-0000-0000C5770000}"/>
    <cellStyle name="Heading 2 82 2" xfId="30639" xr:uid="{00000000-0005-0000-0000-0000C6770000}"/>
    <cellStyle name="Heading 2 83" xfId="30640" xr:uid="{00000000-0005-0000-0000-0000C7770000}"/>
    <cellStyle name="Heading 2 83 2" xfId="30641" xr:uid="{00000000-0005-0000-0000-0000C8770000}"/>
    <cellStyle name="Heading 2 84" xfId="30642" xr:uid="{00000000-0005-0000-0000-0000C9770000}"/>
    <cellStyle name="Heading 2 84 2" xfId="30643" xr:uid="{00000000-0005-0000-0000-0000CA770000}"/>
    <cellStyle name="Heading 2 85" xfId="30644" xr:uid="{00000000-0005-0000-0000-0000CB770000}"/>
    <cellStyle name="Heading 2 85 2" xfId="30645" xr:uid="{00000000-0005-0000-0000-0000CC770000}"/>
    <cellStyle name="Heading 2 86" xfId="30646" xr:uid="{00000000-0005-0000-0000-0000CD770000}"/>
    <cellStyle name="Heading 2 86 2" xfId="30647" xr:uid="{00000000-0005-0000-0000-0000CE770000}"/>
    <cellStyle name="Heading 2 87" xfId="30648" xr:uid="{00000000-0005-0000-0000-0000CF770000}"/>
    <cellStyle name="Heading 2 87 2" xfId="30649" xr:uid="{00000000-0005-0000-0000-0000D0770000}"/>
    <cellStyle name="Heading 2 88" xfId="30650" xr:uid="{00000000-0005-0000-0000-0000D1770000}"/>
    <cellStyle name="Heading 2 89" xfId="30651" xr:uid="{00000000-0005-0000-0000-0000D2770000}"/>
    <cellStyle name="Heading 2 89 2" xfId="30652" xr:uid="{00000000-0005-0000-0000-0000D3770000}"/>
    <cellStyle name="Heading 2 9" xfId="30653" xr:uid="{00000000-0005-0000-0000-0000D4770000}"/>
    <cellStyle name="Heading 2 9 2" xfId="30654" xr:uid="{00000000-0005-0000-0000-0000D5770000}"/>
    <cellStyle name="Heading 2 90" xfId="30655" xr:uid="{00000000-0005-0000-0000-0000D6770000}"/>
    <cellStyle name="Heading 2 90 2" xfId="30656" xr:uid="{00000000-0005-0000-0000-0000D7770000}"/>
    <cellStyle name="Heading 2 91" xfId="30657" xr:uid="{00000000-0005-0000-0000-0000D8770000}"/>
    <cellStyle name="Heading 2 91 2" xfId="30658" xr:uid="{00000000-0005-0000-0000-0000D9770000}"/>
    <cellStyle name="Heading 2 92" xfId="30659" xr:uid="{00000000-0005-0000-0000-0000DA770000}"/>
    <cellStyle name="Heading 2 92 2" xfId="30660" xr:uid="{00000000-0005-0000-0000-0000DB770000}"/>
    <cellStyle name="Heading 2 93" xfId="30661" xr:uid="{00000000-0005-0000-0000-0000DC770000}"/>
    <cellStyle name="Heading 2 93 2" xfId="30662" xr:uid="{00000000-0005-0000-0000-0000DD770000}"/>
    <cellStyle name="Heading 2 94" xfId="30663" xr:uid="{00000000-0005-0000-0000-0000DE770000}"/>
    <cellStyle name="Heading 2 94 2" xfId="30664" xr:uid="{00000000-0005-0000-0000-0000DF770000}"/>
    <cellStyle name="Heading 2 95" xfId="30665" xr:uid="{00000000-0005-0000-0000-0000E0770000}"/>
    <cellStyle name="Heading 2 96" xfId="30666" xr:uid="{00000000-0005-0000-0000-0000E1770000}"/>
    <cellStyle name="Heading 2 97" xfId="30667" xr:uid="{00000000-0005-0000-0000-0000E2770000}"/>
    <cellStyle name="Heading 2 98" xfId="30668" xr:uid="{00000000-0005-0000-0000-0000E3770000}"/>
    <cellStyle name="Heading 2 99" xfId="30669" xr:uid="{00000000-0005-0000-0000-0000E4770000}"/>
    <cellStyle name="Heading 3" xfId="41006" builtinId="18" customBuiltin="1"/>
    <cellStyle name="Heading 3 10" xfId="30670" xr:uid="{00000000-0005-0000-0000-0000E6770000}"/>
    <cellStyle name="Heading 3 10 2" xfId="30671" xr:uid="{00000000-0005-0000-0000-0000E7770000}"/>
    <cellStyle name="Heading 3 100" xfId="30672" xr:uid="{00000000-0005-0000-0000-0000E8770000}"/>
    <cellStyle name="Heading 3 101" xfId="30673" xr:uid="{00000000-0005-0000-0000-0000E9770000}"/>
    <cellStyle name="Heading 3 102" xfId="30674" xr:uid="{00000000-0005-0000-0000-0000EA770000}"/>
    <cellStyle name="Heading 3 103" xfId="30675" xr:uid="{00000000-0005-0000-0000-0000EB770000}"/>
    <cellStyle name="Heading 3 104" xfId="30676" xr:uid="{00000000-0005-0000-0000-0000EC770000}"/>
    <cellStyle name="Heading 3 105" xfId="30677" xr:uid="{00000000-0005-0000-0000-0000ED770000}"/>
    <cellStyle name="Heading 3 106" xfId="30678" xr:uid="{00000000-0005-0000-0000-0000EE770000}"/>
    <cellStyle name="Heading 3 107" xfId="30679" xr:uid="{00000000-0005-0000-0000-0000EF770000}"/>
    <cellStyle name="Heading 3 108" xfId="30680" xr:uid="{00000000-0005-0000-0000-0000F0770000}"/>
    <cellStyle name="Heading 3 109" xfId="30681" xr:uid="{00000000-0005-0000-0000-0000F1770000}"/>
    <cellStyle name="Heading 3 11" xfId="30682" xr:uid="{00000000-0005-0000-0000-0000F2770000}"/>
    <cellStyle name="Heading 3 11 2" xfId="30683" xr:uid="{00000000-0005-0000-0000-0000F3770000}"/>
    <cellStyle name="Heading 3 110" xfId="30684" xr:uid="{00000000-0005-0000-0000-0000F4770000}"/>
    <cellStyle name="Heading 3 111" xfId="30685" xr:uid="{00000000-0005-0000-0000-0000F5770000}"/>
    <cellStyle name="Heading 3 112" xfId="30686" xr:uid="{00000000-0005-0000-0000-0000F6770000}"/>
    <cellStyle name="Heading 3 113" xfId="30687" xr:uid="{00000000-0005-0000-0000-0000F7770000}"/>
    <cellStyle name="Heading 3 114" xfId="30688" xr:uid="{00000000-0005-0000-0000-0000F8770000}"/>
    <cellStyle name="Heading 3 115" xfId="30689" xr:uid="{00000000-0005-0000-0000-0000F9770000}"/>
    <cellStyle name="Heading 3 116" xfId="30690" xr:uid="{00000000-0005-0000-0000-0000FA770000}"/>
    <cellStyle name="Heading 3 117" xfId="30691" xr:uid="{00000000-0005-0000-0000-0000FB770000}"/>
    <cellStyle name="Heading 3 118" xfId="30692" xr:uid="{00000000-0005-0000-0000-0000FC770000}"/>
    <cellStyle name="Heading 3 119" xfId="30693" xr:uid="{00000000-0005-0000-0000-0000FD770000}"/>
    <cellStyle name="Heading 3 12" xfId="30694" xr:uid="{00000000-0005-0000-0000-0000FE770000}"/>
    <cellStyle name="Heading 3 12 2" xfId="30695" xr:uid="{00000000-0005-0000-0000-0000FF770000}"/>
    <cellStyle name="Heading 3 120" xfId="30696" xr:uid="{00000000-0005-0000-0000-000000780000}"/>
    <cellStyle name="Heading 3 121" xfId="30697" xr:uid="{00000000-0005-0000-0000-000001780000}"/>
    <cellStyle name="Heading 3 122" xfId="30698" xr:uid="{00000000-0005-0000-0000-000002780000}"/>
    <cellStyle name="Heading 3 123" xfId="30699" xr:uid="{00000000-0005-0000-0000-000003780000}"/>
    <cellStyle name="Heading 3 124" xfId="30700" xr:uid="{00000000-0005-0000-0000-000004780000}"/>
    <cellStyle name="Heading 3 125" xfId="30701" xr:uid="{00000000-0005-0000-0000-000005780000}"/>
    <cellStyle name="Heading 3 126" xfId="30702" xr:uid="{00000000-0005-0000-0000-000006780000}"/>
    <cellStyle name="Heading 3 127" xfId="30703" xr:uid="{00000000-0005-0000-0000-000007780000}"/>
    <cellStyle name="Heading 3 128" xfId="30704" xr:uid="{00000000-0005-0000-0000-000008780000}"/>
    <cellStyle name="Heading 3 129" xfId="30705" xr:uid="{00000000-0005-0000-0000-000009780000}"/>
    <cellStyle name="Heading 3 13" xfId="30706" xr:uid="{00000000-0005-0000-0000-00000A780000}"/>
    <cellStyle name="Heading 3 13 2" xfId="30707" xr:uid="{00000000-0005-0000-0000-00000B780000}"/>
    <cellStyle name="Heading 3 130" xfId="30708" xr:uid="{00000000-0005-0000-0000-00000C780000}"/>
    <cellStyle name="Heading 3 131" xfId="30709" xr:uid="{00000000-0005-0000-0000-00000D780000}"/>
    <cellStyle name="Heading 3 132" xfId="30710" xr:uid="{00000000-0005-0000-0000-00000E780000}"/>
    <cellStyle name="Heading 3 133" xfId="30711" xr:uid="{00000000-0005-0000-0000-00000F780000}"/>
    <cellStyle name="Heading 3 14" xfId="30712" xr:uid="{00000000-0005-0000-0000-000010780000}"/>
    <cellStyle name="Heading 3 14 2" xfId="30713" xr:uid="{00000000-0005-0000-0000-000011780000}"/>
    <cellStyle name="Heading 3 15" xfId="30714" xr:uid="{00000000-0005-0000-0000-000012780000}"/>
    <cellStyle name="Heading 3 15 2" xfId="30715" xr:uid="{00000000-0005-0000-0000-000013780000}"/>
    <cellStyle name="Heading 3 16" xfId="30716" xr:uid="{00000000-0005-0000-0000-000014780000}"/>
    <cellStyle name="Heading 3 16 2" xfId="30717" xr:uid="{00000000-0005-0000-0000-000015780000}"/>
    <cellStyle name="Heading 3 17" xfId="30718" xr:uid="{00000000-0005-0000-0000-000016780000}"/>
    <cellStyle name="Heading 3 17 2" xfId="30719" xr:uid="{00000000-0005-0000-0000-000017780000}"/>
    <cellStyle name="Heading 3 18" xfId="30720" xr:uid="{00000000-0005-0000-0000-000018780000}"/>
    <cellStyle name="Heading 3 18 2" xfId="30721" xr:uid="{00000000-0005-0000-0000-000019780000}"/>
    <cellStyle name="Heading 3 19" xfId="30722" xr:uid="{00000000-0005-0000-0000-00001A780000}"/>
    <cellStyle name="Heading 3 19 2" xfId="30723" xr:uid="{00000000-0005-0000-0000-00001B780000}"/>
    <cellStyle name="Heading 3 2" xfId="30724" xr:uid="{00000000-0005-0000-0000-00001C780000}"/>
    <cellStyle name="Heading 3 2 2" xfId="30725" xr:uid="{00000000-0005-0000-0000-00001D780000}"/>
    <cellStyle name="Heading 3 2 2 2" xfId="30726" xr:uid="{00000000-0005-0000-0000-00001E780000}"/>
    <cellStyle name="Heading 3 2 2 2 2" xfId="30727" xr:uid="{00000000-0005-0000-0000-00001F780000}"/>
    <cellStyle name="Heading 3 2 2 2 2 2" xfId="30728" xr:uid="{00000000-0005-0000-0000-000020780000}"/>
    <cellStyle name="Heading 3 2 3" xfId="30729" xr:uid="{00000000-0005-0000-0000-000021780000}"/>
    <cellStyle name="Heading 3 2 4" xfId="30730" xr:uid="{00000000-0005-0000-0000-000022780000}"/>
    <cellStyle name="Heading 3 2 5" xfId="41067" xr:uid="{00000000-0005-0000-0000-000022000000}"/>
    <cellStyle name="Heading 3 20" xfId="30731" xr:uid="{00000000-0005-0000-0000-000023780000}"/>
    <cellStyle name="Heading 3 20 2" xfId="30732" xr:uid="{00000000-0005-0000-0000-000024780000}"/>
    <cellStyle name="Heading 3 21" xfId="30733" xr:uid="{00000000-0005-0000-0000-000025780000}"/>
    <cellStyle name="Heading 3 21 2" xfId="30734" xr:uid="{00000000-0005-0000-0000-000026780000}"/>
    <cellStyle name="Heading 3 22" xfId="30735" xr:uid="{00000000-0005-0000-0000-000027780000}"/>
    <cellStyle name="Heading 3 22 2" xfId="30736" xr:uid="{00000000-0005-0000-0000-000028780000}"/>
    <cellStyle name="Heading 3 23" xfId="30737" xr:uid="{00000000-0005-0000-0000-000029780000}"/>
    <cellStyle name="Heading 3 23 2" xfId="30738" xr:uid="{00000000-0005-0000-0000-00002A780000}"/>
    <cellStyle name="Heading 3 24" xfId="30739" xr:uid="{00000000-0005-0000-0000-00002B780000}"/>
    <cellStyle name="Heading 3 24 2" xfId="30740" xr:uid="{00000000-0005-0000-0000-00002C780000}"/>
    <cellStyle name="Heading 3 25" xfId="30741" xr:uid="{00000000-0005-0000-0000-00002D780000}"/>
    <cellStyle name="Heading 3 25 2" xfId="30742" xr:uid="{00000000-0005-0000-0000-00002E780000}"/>
    <cellStyle name="Heading 3 26" xfId="30743" xr:uid="{00000000-0005-0000-0000-00002F780000}"/>
    <cellStyle name="Heading 3 26 2" xfId="30744" xr:uid="{00000000-0005-0000-0000-000030780000}"/>
    <cellStyle name="Heading 3 27" xfId="30745" xr:uid="{00000000-0005-0000-0000-000031780000}"/>
    <cellStyle name="Heading 3 27 2" xfId="30746" xr:uid="{00000000-0005-0000-0000-000032780000}"/>
    <cellStyle name="Heading 3 28" xfId="30747" xr:uid="{00000000-0005-0000-0000-000033780000}"/>
    <cellStyle name="Heading 3 28 2" xfId="30748" xr:uid="{00000000-0005-0000-0000-000034780000}"/>
    <cellStyle name="Heading 3 29" xfId="30749" xr:uid="{00000000-0005-0000-0000-000035780000}"/>
    <cellStyle name="Heading 3 29 2" xfId="30750" xr:uid="{00000000-0005-0000-0000-000036780000}"/>
    <cellStyle name="Heading 3 3" xfId="30751" xr:uid="{00000000-0005-0000-0000-000037780000}"/>
    <cellStyle name="Heading 3 3 2" xfId="30752" xr:uid="{00000000-0005-0000-0000-000038780000}"/>
    <cellStyle name="Heading 3 3 2 2" xfId="30753" xr:uid="{00000000-0005-0000-0000-000039780000}"/>
    <cellStyle name="Heading 3 3 3" xfId="30754" xr:uid="{00000000-0005-0000-0000-00003A780000}"/>
    <cellStyle name="Heading 3 3 4" xfId="30755" xr:uid="{00000000-0005-0000-0000-00003B780000}"/>
    <cellStyle name="Heading 3 3_MAR 2009" xfId="30756" xr:uid="{00000000-0005-0000-0000-00003C780000}"/>
    <cellStyle name="Heading 3 30" xfId="30757" xr:uid="{00000000-0005-0000-0000-00003D780000}"/>
    <cellStyle name="Heading 3 30 2" xfId="30758" xr:uid="{00000000-0005-0000-0000-00003E780000}"/>
    <cellStyle name="Heading 3 31" xfId="30759" xr:uid="{00000000-0005-0000-0000-00003F780000}"/>
    <cellStyle name="Heading 3 31 2" xfId="30760" xr:uid="{00000000-0005-0000-0000-000040780000}"/>
    <cellStyle name="Heading 3 32" xfId="30761" xr:uid="{00000000-0005-0000-0000-000041780000}"/>
    <cellStyle name="Heading 3 32 2" xfId="30762" xr:uid="{00000000-0005-0000-0000-000042780000}"/>
    <cellStyle name="Heading 3 33" xfId="30763" xr:uid="{00000000-0005-0000-0000-000043780000}"/>
    <cellStyle name="Heading 3 33 2" xfId="30764" xr:uid="{00000000-0005-0000-0000-000044780000}"/>
    <cellStyle name="Heading 3 34" xfId="30765" xr:uid="{00000000-0005-0000-0000-000045780000}"/>
    <cellStyle name="Heading 3 34 2" xfId="30766" xr:uid="{00000000-0005-0000-0000-000046780000}"/>
    <cellStyle name="Heading 3 35" xfId="30767" xr:uid="{00000000-0005-0000-0000-000047780000}"/>
    <cellStyle name="Heading 3 35 2" xfId="30768" xr:uid="{00000000-0005-0000-0000-000048780000}"/>
    <cellStyle name="Heading 3 36" xfId="30769" xr:uid="{00000000-0005-0000-0000-000049780000}"/>
    <cellStyle name="Heading 3 36 2" xfId="30770" xr:uid="{00000000-0005-0000-0000-00004A780000}"/>
    <cellStyle name="Heading 3 37" xfId="30771" xr:uid="{00000000-0005-0000-0000-00004B780000}"/>
    <cellStyle name="Heading 3 37 2" xfId="30772" xr:uid="{00000000-0005-0000-0000-00004C780000}"/>
    <cellStyle name="Heading 3 38" xfId="30773" xr:uid="{00000000-0005-0000-0000-00004D780000}"/>
    <cellStyle name="Heading 3 38 2" xfId="30774" xr:uid="{00000000-0005-0000-0000-00004E780000}"/>
    <cellStyle name="Heading 3 39" xfId="30775" xr:uid="{00000000-0005-0000-0000-00004F780000}"/>
    <cellStyle name="Heading 3 39 2" xfId="30776" xr:uid="{00000000-0005-0000-0000-000050780000}"/>
    <cellStyle name="Heading 3 4" xfId="30777" xr:uid="{00000000-0005-0000-0000-000051780000}"/>
    <cellStyle name="Heading 3 4 2" xfId="30778" xr:uid="{00000000-0005-0000-0000-000052780000}"/>
    <cellStyle name="Heading 3 4 2 2" xfId="30779" xr:uid="{00000000-0005-0000-0000-000053780000}"/>
    <cellStyle name="Heading 3 4 3" xfId="30780" xr:uid="{00000000-0005-0000-0000-000054780000}"/>
    <cellStyle name="Heading 3 40" xfId="30781" xr:uid="{00000000-0005-0000-0000-000055780000}"/>
    <cellStyle name="Heading 3 40 2" xfId="30782" xr:uid="{00000000-0005-0000-0000-000056780000}"/>
    <cellStyle name="Heading 3 41" xfId="30783" xr:uid="{00000000-0005-0000-0000-000057780000}"/>
    <cellStyle name="Heading 3 41 2" xfId="30784" xr:uid="{00000000-0005-0000-0000-000058780000}"/>
    <cellStyle name="Heading 3 42" xfId="30785" xr:uid="{00000000-0005-0000-0000-000059780000}"/>
    <cellStyle name="Heading 3 42 2" xfId="30786" xr:uid="{00000000-0005-0000-0000-00005A780000}"/>
    <cellStyle name="Heading 3 43" xfId="30787" xr:uid="{00000000-0005-0000-0000-00005B780000}"/>
    <cellStyle name="Heading 3 43 2" xfId="30788" xr:uid="{00000000-0005-0000-0000-00005C780000}"/>
    <cellStyle name="Heading 3 44" xfId="30789" xr:uid="{00000000-0005-0000-0000-00005D780000}"/>
    <cellStyle name="Heading 3 44 2" xfId="30790" xr:uid="{00000000-0005-0000-0000-00005E780000}"/>
    <cellStyle name="Heading 3 45" xfId="30791" xr:uid="{00000000-0005-0000-0000-00005F780000}"/>
    <cellStyle name="Heading 3 45 2" xfId="30792" xr:uid="{00000000-0005-0000-0000-000060780000}"/>
    <cellStyle name="Heading 3 46" xfId="30793" xr:uid="{00000000-0005-0000-0000-000061780000}"/>
    <cellStyle name="Heading 3 46 2" xfId="30794" xr:uid="{00000000-0005-0000-0000-000062780000}"/>
    <cellStyle name="Heading 3 47" xfId="30795" xr:uid="{00000000-0005-0000-0000-000063780000}"/>
    <cellStyle name="Heading 3 47 2" xfId="30796" xr:uid="{00000000-0005-0000-0000-000064780000}"/>
    <cellStyle name="Heading 3 48" xfId="30797" xr:uid="{00000000-0005-0000-0000-000065780000}"/>
    <cellStyle name="Heading 3 48 2" xfId="30798" xr:uid="{00000000-0005-0000-0000-000066780000}"/>
    <cellStyle name="Heading 3 49" xfId="30799" xr:uid="{00000000-0005-0000-0000-000067780000}"/>
    <cellStyle name="Heading 3 49 2" xfId="30800" xr:uid="{00000000-0005-0000-0000-000068780000}"/>
    <cellStyle name="Heading 3 5" xfId="30801" xr:uid="{00000000-0005-0000-0000-000069780000}"/>
    <cellStyle name="Heading 3 5 2" xfId="30802" xr:uid="{00000000-0005-0000-0000-00006A780000}"/>
    <cellStyle name="Heading 3 5 2 2" xfId="30803" xr:uid="{00000000-0005-0000-0000-00006B780000}"/>
    <cellStyle name="Heading 3 5 3" xfId="30804" xr:uid="{00000000-0005-0000-0000-00006C780000}"/>
    <cellStyle name="Heading 3 50" xfId="30805" xr:uid="{00000000-0005-0000-0000-00006D780000}"/>
    <cellStyle name="Heading 3 50 2" xfId="30806" xr:uid="{00000000-0005-0000-0000-00006E780000}"/>
    <cellStyle name="Heading 3 51" xfId="30807" xr:uid="{00000000-0005-0000-0000-00006F780000}"/>
    <cellStyle name="Heading 3 51 2" xfId="30808" xr:uid="{00000000-0005-0000-0000-000070780000}"/>
    <cellStyle name="Heading 3 52" xfId="30809" xr:uid="{00000000-0005-0000-0000-000071780000}"/>
    <cellStyle name="Heading 3 52 2" xfId="30810" xr:uid="{00000000-0005-0000-0000-000072780000}"/>
    <cellStyle name="Heading 3 53" xfId="30811" xr:uid="{00000000-0005-0000-0000-000073780000}"/>
    <cellStyle name="Heading 3 53 2" xfId="30812" xr:uid="{00000000-0005-0000-0000-000074780000}"/>
    <cellStyle name="Heading 3 54" xfId="30813" xr:uid="{00000000-0005-0000-0000-000075780000}"/>
    <cellStyle name="Heading 3 54 2" xfId="30814" xr:uid="{00000000-0005-0000-0000-000076780000}"/>
    <cellStyle name="Heading 3 55" xfId="30815" xr:uid="{00000000-0005-0000-0000-000077780000}"/>
    <cellStyle name="Heading 3 55 2" xfId="30816" xr:uid="{00000000-0005-0000-0000-000078780000}"/>
    <cellStyle name="Heading 3 56" xfId="30817" xr:uid="{00000000-0005-0000-0000-000079780000}"/>
    <cellStyle name="Heading 3 56 2" xfId="30818" xr:uid="{00000000-0005-0000-0000-00007A780000}"/>
    <cellStyle name="Heading 3 57" xfId="30819" xr:uid="{00000000-0005-0000-0000-00007B780000}"/>
    <cellStyle name="Heading 3 57 2" xfId="30820" xr:uid="{00000000-0005-0000-0000-00007C780000}"/>
    <cellStyle name="Heading 3 58" xfId="30821" xr:uid="{00000000-0005-0000-0000-00007D780000}"/>
    <cellStyle name="Heading 3 58 2" xfId="30822" xr:uid="{00000000-0005-0000-0000-00007E780000}"/>
    <cellStyle name="Heading 3 59" xfId="30823" xr:uid="{00000000-0005-0000-0000-00007F780000}"/>
    <cellStyle name="Heading 3 6" xfId="30824" xr:uid="{00000000-0005-0000-0000-000080780000}"/>
    <cellStyle name="Heading 3 6 2" xfId="30825" xr:uid="{00000000-0005-0000-0000-000081780000}"/>
    <cellStyle name="Heading 3 6 3" xfId="30826" xr:uid="{00000000-0005-0000-0000-000082780000}"/>
    <cellStyle name="Heading 3 60" xfId="30827" xr:uid="{00000000-0005-0000-0000-000083780000}"/>
    <cellStyle name="Heading 3 61" xfId="30828" xr:uid="{00000000-0005-0000-0000-000084780000}"/>
    <cellStyle name="Heading 3 62" xfId="30829" xr:uid="{00000000-0005-0000-0000-000085780000}"/>
    <cellStyle name="Heading 3 63" xfId="30830" xr:uid="{00000000-0005-0000-0000-000086780000}"/>
    <cellStyle name="Heading 3 63 10" xfId="30831" xr:uid="{00000000-0005-0000-0000-000087780000}"/>
    <cellStyle name="Heading 3 63 11" xfId="30832" xr:uid="{00000000-0005-0000-0000-000088780000}"/>
    <cellStyle name="Heading 3 63 12" xfId="30833" xr:uid="{00000000-0005-0000-0000-000089780000}"/>
    <cellStyle name="Heading 3 63 13" xfId="30834" xr:uid="{00000000-0005-0000-0000-00008A780000}"/>
    <cellStyle name="Heading 3 63 14" xfId="30835" xr:uid="{00000000-0005-0000-0000-00008B780000}"/>
    <cellStyle name="Heading 3 63 15" xfId="30836" xr:uid="{00000000-0005-0000-0000-00008C780000}"/>
    <cellStyle name="Heading 3 63 16" xfId="30837" xr:uid="{00000000-0005-0000-0000-00008D780000}"/>
    <cellStyle name="Heading 3 63 17" xfId="30838" xr:uid="{00000000-0005-0000-0000-00008E780000}"/>
    <cellStyle name="Heading 3 63 18" xfId="30839" xr:uid="{00000000-0005-0000-0000-00008F780000}"/>
    <cellStyle name="Heading 3 63 19" xfId="30840" xr:uid="{00000000-0005-0000-0000-000090780000}"/>
    <cellStyle name="Heading 3 63 2" xfId="30841" xr:uid="{00000000-0005-0000-0000-000091780000}"/>
    <cellStyle name="Heading 3 63 20" xfId="30842" xr:uid="{00000000-0005-0000-0000-000092780000}"/>
    <cellStyle name="Heading 3 63 21" xfId="30843" xr:uid="{00000000-0005-0000-0000-000093780000}"/>
    <cellStyle name="Heading 3 63 22" xfId="30844" xr:uid="{00000000-0005-0000-0000-000094780000}"/>
    <cellStyle name="Heading 3 63 23" xfId="30845" xr:uid="{00000000-0005-0000-0000-000095780000}"/>
    <cellStyle name="Heading 3 63 24" xfId="30846" xr:uid="{00000000-0005-0000-0000-000096780000}"/>
    <cellStyle name="Heading 3 63 25" xfId="30847" xr:uid="{00000000-0005-0000-0000-000097780000}"/>
    <cellStyle name="Heading 3 63 26" xfId="30848" xr:uid="{00000000-0005-0000-0000-000098780000}"/>
    <cellStyle name="Heading 3 63 27" xfId="30849" xr:uid="{00000000-0005-0000-0000-000099780000}"/>
    <cellStyle name="Heading 3 63 28" xfId="30850" xr:uid="{00000000-0005-0000-0000-00009A780000}"/>
    <cellStyle name="Heading 3 63 29" xfId="30851" xr:uid="{00000000-0005-0000-0000-00009B780000}"/>
    <cellStyle name="Heading 3 63 3" xfId="30852" xr:uid="{00000000-0005-0000-0000-00009C780000}"/>
    <cellStyle name="Heading 3 63 30" xfId="30853" xr:uid="{00000000-0005-0000-0000-00009D780000}"/>
    <cellStyle name="Heading 3 63 31" xfId="30854" xr:uid="{00000000-0005-0000-0000-00009E780000}"/>
    <cellStyle name="Heading 3 63 32" xfId="30855" xr:uid="{00000000-0005-0000-0000-00009F780000}"/>
    <cellStyle name="Heading 3 63 33" xfId="30856" xr:uid="{00000000-0005-0000-0000-0000A0780000}"/>
    <cellStyle name="Heading 3 63 34" xfId="30857" xr:uid="{00000000-0005-0000-0000-0000A1780000}"/>
    <cellStyle name="Heading 3 63 35" xfId="30858" xr:uid="{00000000-0005-0000-0000-0000A2780000}"/>
    <cellStyle name="Heading 3 63 36" xfId="30859" xr:uid="{00000000-0005-0000-0000-0000A3780000}"/>
    <cellStyle name="Heading 3 63 4" xfId="30860" xr:uid="{00000000-0005-0000-0000-0000A4780000}"/>
    <cellStyle name="Heading 3 63 5" xfId="30861" xr:uid="{00000000-0005-0000-0000-0000A5780000}"/>
    <cellStyle name="Heading 3 63 6" xfId="30862" xr:uid="{00000000-0005-0000-0000-0000A6780000}"/>
    <cellStyle name="Heading 3 63 7" xfId="30863" xr:uid="{00000000-0005-0000-0000-0000A7780000}"/>
    <cellStyle name="Heading 3 63 8" xfId="30864" xr:uid="{00000000-0005-0000-0000-0000A8780000}"/>
    <cellStyle name="Heading 3 63 9" xfId="30865" xr:uid="{00000000-0005-0000-0000-0000A9780000}"/>
    <cellStyle name="Heading 3 64" xfId="30866" xr:uid="{00000000-0005-0000-0000-0000AA780000}"/>
    <cellStyle name="Heading 3 64 10" xfId="30867" xr:uid="{00000000-0005-0000-0000-0000AB780000}"/>
    <cellStyle name="Heading 3 64 11" xfId="30868" xr:uid="{00000000-0005-0000-0000-0000AC780000}"/>
    <cellStyle name="Heading 3 64 12" xfId="30869" xr:uid="{00000000-0005-0000-0000-0000AD780000}"/>
    <cellStyle name="Heading 3 64 13" xfId="30870" xr:uid="{00000000-0005-0000-0000-0000AE780000}"/>
    <cellStyle name="Heading 3 64 14" xfId="30871" xr:uid="{00000000-0005-0000-0000-0000AF780000}"/>
    <cellStyle name="Heading 3 64 15" xfId="30872" xr:uid="{00000000-0005-0000-0000-0000B0780000}"/>
    <cellStyle name="Heading 3 64 16" xfId="30873" xr:uid="{00000000-0005-0000-0000-0000B1780000}"/>
    <cellStyle name="Heading 3 64 17" xfId="30874" xr:uid="{00000000-0005-0000-0000-0000B2780000}"/>
    <cellStyle name="Heading 3 64 18" xfId="30875" xr:uid="{00000000-0005-0000-0000-0000B3780000}"/>
    <cellStyle name="Heading 3 64 19" xfId="30876" xr:uid="{00000000-0005-0000-0000-0000B4780000}"/>
    <cellStyle name="Heading 3 64 2" xfId="30877" xr:uid="{00000000-0005-0000-0000-0000B5780000}"/>
    <cellStyle name="Heading 3 64 20" xfId="30878" xr:uid="{00000000-0005-0000-0000-0000B6780000}"/>
    <cellStyle name="Heading 3 64 21" xfId="30879" xr:uid="{00000000-0005-0000-0000-0000B7780000}"/>
    <cellStyle name="Heading 3 64 22" xfId="30880" xr:uid="{00000000-0005-0000-0000-0000B8780000}"/>
    <cellStyle name="Heading 3 64 23" xfId="30881" xr:uid="{00000000-0005-0000-0000-0000B9780000}"/>
    <cellStyle name="Heading 3 64 24" xfId="30882" xr:uid="{00000000-0005-0000-0000-0000BA780000}"/>
    <cellStyle name="Heading 3 64 25" xfId="30883" xr:uid="{00000000-0005-0000-0000-0000BB780000}"/>
    <cellStyle name="Heading 3 64 26" xfId="30884" xr:uid="{00000000-0005-0000-0000-0000BC780000}"/>
    <cellStyle name="Heading 3 64 27" xfId="30885" xr:uid="{00000000-0005-0000-0000-0000BD780000}"/>
    <cellStyle name="Heading 3 64 28" xfId="30886" xr:uid="{00000000-0005-0000-0000-0000BE780000}"/>
    <cellStyle name="Heading 3 64 29" xfId="30887" xr:uid="{00000000-0005-0000-0000-0000BF780000}"/>
    <cellStyle name="Heading 3 64 3" xfId="30888" xr:uid="{00000000-0005-0000-0000-0000C0780000}"/>
    <cellStyle name="Heading 3 64 30" xfId="30889" xr:uid="{00000000-0005-0000-0000-0000C1780000}"/>
    <cellStyle name="Heading 3 64 31" xfId="30890" xr:uid="{00000000-0005-0000-0000-0000C2780000}"/>
    <cellStyle name="Heading 3 64 32" xfId="30891" xr:uid="{00000000-0005-0000-0000-0000C3780000}"/>
    <cellStyle name="Heading 3 64 33" xfId="30892" xr:uid="{00000000-0005-0000-0000-0000C4780000}"/>
    <cellStyle name="Heading 3 64 34" xfId="30893" xr:uid="{00000000-0005-0000-0000-0000C5780000}"/>
    <cellStyle name="Heading 3 64 35" xfId="30894" xr:uid="{00000000-0005-0000-0000-0000C6780000}"/>
    <cellStyle name="Heading 3 64 36" xfId="30895" xr:uid="{00000000-0005-0000-0000-0000C7780000}"/>
    <cellStyle name="Heading 3 64 4" xfId="30896" xr:uid="{00000000-0005-0000-0000-0000C8780000}"/>
    <cellStyle name="Heading 3 64 5" xfId="30897" xr:uid="{00000000-0005-0000-0000-0000C9780000}"/>
    <cellStyle name="Heading 3 64 6" xfId="30898" xr:uid="{00000000-0005-0000-0000-0000CA780000}"/>
    <cellStyle name="Heading 3 64 7" xfId="30899" xr:uid="{00000000-0005-0000-0000-0000CB780000}"/>
    <cellStyle name="Heading 3 64 8" xfId="30900" xr:uid="{00000000-0005-0000-0000-0000CC780000}"/>
    <cellStyle name="Heading 3 64 9" xfId="30901" xr:uid="{00000000-0005-0000-0000-0000CD780000}"/>
    <cellStyle name="Heading 3 65" xfId="30902" xr:uid="{00000000-0005-0000-0000-0000CE780000}"/>
    <cellStyle name="Heading 3 65 10" xfId="30903" xr:uid="{00000000-0005-0000-0000-0000CF780000}"/>
    <cellStyle name="Heading 3 65 11" xfId="30904" xr:uid="{00000000-0005-0000-0000-0000D0780000}"/>
    <cellStyle name="Heading 3 65 12" xfId="30905" xr:uid="{00000000-0005-0000-0000-0000D1780000}"/>
    <cellStyle name="Heading 3 65 13" xfId="30906" xr:uid="{00000000-0005-0000-0000-0000D2780000}"/>
    <cellStyle name="Heading 3 65 14" xfId="30907" xr:uid="{00000000-0005-0000-0000-0000D3780000}"/>
    <cellStyle name="Heading 3 65 15" xfId="30908" xr:uid="{00000000-0005-0000-0000-0000D4780000}"/>
    <cellStyle name="Heading 3 65 16" xfId="30909" xr:uid="{00000000-0005-0000-0000-0000D5780000}"/>
    <cellStyle name="Heading 3 65 17" xfId="30910" xr:uid="{00000000-0005-0000-0000-0000D6780000}"/>
    <cellStyle name="Heading 3 65 18" xfId="30911" xr:uid="{00000000-0005-0000-0000-0000D7780000}"/>
    <cellStyle name="Heading 3 65 19" xfId="30912" xr:uid="{00000000-0005-0000-0000-0000D8780000}"/>
    <cellStyle name="Heading 3 65 2" xfId="30913" xr:uid="{00000000-0005-0000-0000-0000D9780000}"/>
    <cellStyle name="Heading 3 65 20" xfId="30914" xr:uid="{00000000-0005-0000-0000-0000DA780000}"/>
    <cellStyle name="Heading 3 65 21" xfId="30915" xr:uid="{00000000-0005-0000-0000-0000DB780000}"/>
    <cellStyle name="Heading 3 65 22" xfId="30916" xr:uid="{00000000-0005-0000-0000-0000DC780000}"/>
    <cellStyle name="Heading 3 65 23" xfId="30917" xr:uid="{00000000-0005-0000-0000-0000DD780000}"/>
    <cellStyle name="Heading 3 65 24" xfId="30918" xr:uid="{00000000-0005-0000-0000-0000DE780000}"/>
    <cellStyle name="Heading 3 65 25" xfId="30919" xr:uid="{00000000-0005-0000-0000-0000DF780000}"/>
    <cellStyle name="Heading 3 65 26" xfId="30920" xr:uid="{00000000-0005-0000-0000-0000E0780000}"/>
    <cellStyle name="Heading 3 65 27" xfId="30921" xr:uid="{00000000-0005-0000-0000-0000E1780000}"/>
    <cellStyle name="Heading 3 65 28" xfId="30922" xr:uid="{00000000-0005-0000-0000-0000E2780000}"/>
    <cellStyle name="Heading 3 65 29" xfId="30923" xr:uid="{00000000-0005-0000-0000-0000E3780000}"/>
    <cellStyle name="Heading 3 65 3" xfId="30924" xr:uid="{00000000-0005-0000-0000-0000E4780000}"/>
    <cellStyle name="Heading 3 65 30" xfId="30925" xr:uid="{00000000-0005-0000-0000-0000E5780000}"/>
    <cellStyle name="Heading 3 65 31" xfId="30926" xr:uid="{00000000-0005-0000-0000-0000E6780000}"/>
    <cellStyle name="Heading 3 65 32" xfId="30927" xr:uid="{00000000-0005-0000-0000-0000E7780000}"/>
    <cellStyle name="Heading 3 65 33" xfId="30928" xr:uid="{00000000-0005-0000-0000-0000E8780000}"/>
    <cellStyle name="Heading 3 65 34" xfId="30929" xr:uid="{00000000-0005-0000-0000-0000E9780000}"/>
    <cellStyle name="Heading 3 65 35" xfId="30930" xr:uid="{00000000-0005-0000-0000-0000EA780000}"/>
    <cellStyle name="Heading 3 65 36" xfId="30931" xr:uid="{00000000-0005-0000-0000-0000EB780000}"/>
    <cellStyle name="Heading 3 65 4" xfId="30932" xr:uid="{00000000-0005-0000-0000-0000EC780000}"/>
    <cellStyle name="Heading 3 65 5" xfId="30933" xr:uid="{00000000-0005-0000-0000-0000ED780000}"/>
    <cellStyle name="Heading 3 65 6" xfId="30934" xr:uid="{00000000-0005-0000-0000-0000EE780000}"/>
    <cellStyle name="Heading 3 65 7" xfId="30935" xr:uid="{00000000-0005-0000-0000-0000EF780000}"/>
    <cellStyle name="Heading 3 65 8" xfId="30936" xr:uid="{00000000-0005-0000-0000-0000F0780000}"/>
    <cellStyle name="Heading 3 65 9" xfId="30937" xr:uid="{00000000-0005-0000-0000-0000F1780000}"/>
    <cellStyle name="Heading 3 66" xfId="30938" xr:uid="{00000000-0005-0000-0000-0000F2780000}"/>
    <cellStyle name="Heading 3 66 10" xfId="30939" xr:uid="{00000000-0005-0000-0000-0000F3780000}"/>
    <cellStyle name="Heading 3 66 11" xfId="30940" xr:uid="{00000000-0005-0000-0000-0000F4780000}"/>
    <cellStyle name="Heading 3 66 12" xfId="30941" xr:uid="{00000000-0005-0000-0000-0000F5780000}"/>
    <cellStyle name="Heading 3 66 13" xfId="30942" xr:uid="{00000000-0005-0000-0000-0000F6780000}"/>
    <cellStyle name="Heading 3 66 14" xfId="30943" xr:uid="{00000000-0005-0000-0000-0000F7780000}"/>
    <cellStyle name="Heading 3 66 15" xfId="30944" xr:uid="{00000000-0005-0000-0000-0000F8780000}"/>
    <cellStyle name="Heading 3 66 16" xfId="30945" xr:uid="{00000000-0005-0000-0000-0000F9780000}"/>
    <cellStyle name="Heading 3 66 17" xfId="30946" xr:uid="{00000000-0005-0000-0000-0000FA780000}"/>
    <cellStyle name="Heading 3 66 18" xfId="30947" xr:uid="{00000000-0005-0000-0000-0000FB780000}"/>
    <cellStyle name="Heading 3 66 19" xfId="30948" xr:uid="{00000000-0005-0000-0000-0000FC780000}"/>
    <cellStyle name="Heading 3 66 2" xfId="30949" xr:uid="{00000000-0005-0000-0000-0000FD780000}"/>
    <cellStyle name="Heading 3 66 20" xfId="30950" xr:uid="{00000000-0005-0000-0000-0000FE780000}"/>
    <cellStyle name="Heading 3 66 21" xfId="30951" xr:uid="{00000000-0005-0000-0000-0000FF780000}"/>
    <cellStyle name="Heading 3 66 22" xfId="30952" xr:uid="{00000000-0005-0000-0000-000000790000}"/>
    <cellStyle name="Heading 3 66 23" xfId="30953" xr:uid="{00000000-0005-0000-0000-000001790000}"/>
    <cellStyle name="Heading 3 66 24" xfId="30954" xr:uid="{00000000-0005-0000-0000-000002790000}"/>
    <cellStyle name="Heading 3 66 25" xfId="30955" xr:uid="{00000000-0005-0000-0000-000003790000}"/>
    <cellStyle name="Heading 3 66 26" xfId="30956" xr:uid="{00000000-0005-0000-0000-000004790000}"/>
    <cellStyle name="Heading 3 66 27" xfId="30957" xr:uid="{00000000-0005-0000-0000-000005790000}"/>
    <cellStyle name="Heading 3 66 28" xfId="30958" xr:uid="{00000000-0005-0000-0000-000006790000}"/>
    <cellStyle name="Heading 3 66 29" xfId="30959" xr:uid="{00000000-0005-0000-0000-000007790000}"/>
    <cellStyle name="Heading 3 66 3" xfId="30960" xr:uid="{00000000-0005-0000-0000-000008790000}"/>
    <cellStyle name="Heading 3 66 30" xfId="30961" xr:uid="{00000000-0005-0000-0000-000009790000}"/>
    <cellStyle name="Heading 3 66 31" xfId="30962" xr:uid="{00000000-0005-0000-0000-00000A790000}"/>
    <cellStyle name="Heading 3 66 32" xfId="30963" xr:uid="{00000000-0005-0000-0000-00000B790000}"/>
    <cellStyle name="Heading 3 66 33" xfId="30964" xr:uid="{00000000-0005-0000-0000-00000C790000}"/>
    <cellStyle name="Heading 3 66 34" xfId="30965" xr:uid="{00000000-0005-0000-0000-00000D790000}"/>
    <cellStyle name="Heading 3 66 35" xfId="30966" xr:uid="{00000000-0005-0000-0000-00000E790000}"/>
    <cellStyle name="Heading 3 66 36" xfId="30967" xr:uid="{00000000-0005-0000-0000-00000F790000}"/>
    <cellStyle name="Heading 3 66 4" xfId="30968" xr:uid="{00000000-0005-0000-0000-000010790000}"/>
    <cellStyle name="Heading 3 66 5" xfId="30969" xr:uid="{00000000-0005-0000-0000-000011790000}"/>
    <cellStyle name="Heading 3 66 6" xfId="30970" xr:uid="{00000000-0005-0000-0000-000012790000}"/>
    <cellStyle name="Heading 3 66 7" xfId="30971" xr:uid="{00000000-0005-0000-0000-000013790000}"/>
    <cellStyle name="Heading 3 66 8" xfId="30972" xr:uid="{00000000-0005-0000-0000-000014790000}"/>
    <cellStyle name="Heading 3 66 9" xfId="30973" xr:uid="{00000000-0005-0000-0000-000015790000}"/>
    <cellStyle name="Heading 3 67" xfId="30974" xr:uid="{00000000-0005-0000-0000-000016790000}"/>
    <cellStyle name="Heading 3 67 10" xfId="30975" xr:uid="{00000000-0005-0000-0000-000017790000}"/>
    <cellStyle name="Heading 3 67 11" xfId="30976" xr:uid="{00000000-0005-0000-0000-000018790000}"/>
    <cellStyle name="Heading 3 67 12" xfId="30977" xr:uid="{00000000-0005-0000-0000-000019790000}"/>
    <cellStyle name="Heading 3 67 13" xfId="30978" xr:uid="{00000000-0005-0000-0000-00001A790000}"/>
    <cellStyle name="Heading 3 67 14" xfId="30979" xr:uid="{00000000-0005-0000-0000-00001B790000}"/>
    <cellStyle name="Heading 3 67 15" xfId="30980" xr:uid="{00000000-0005-0000-0000-00001C790000}"/>
    <cellStyle name="Heading 3 67 16" xfId="30981" xr:uid="{00000000-0005-0000-0000-00001D790000}"/>
    <cellStyle name="Heading 3 67 17" xfId="30982" xr:uid="{00000000-0005-0000-0000-00001E790000}"/>
    <cellStyle name="Heading 3 67 18" xfId="30983" xr:uid="{00000000-0005-0000-0000-00001F790000}"/>
    <cellStyle name="Heading 3 67 19" xfId="30984" xr:uid="{00000000-0005-0000-0000-000020790000}"/>
    <cellStyle name="Heading 3 67 2" xfId="30985" xr:uid="{00000000-0005-0000-0000-000021790000}"/>
    <cellStyle name="Heading 3 67 20" xfId="30986" xr:uid="{00000000-0005-0000-0000-000022790000}"/>
    <cellStyle name="Heading 3 67 21" xfId="30987" xr:uid="{00000000-0005-0000-0000-000023790000}"/>
    <cellStyle name="Heading 3 67 22" xfId="30988" xr:uid="{00000000-0005-0000-0000-000024790000}"/>
    <cellStyle name="Heading 3 67 23" xfId="30989" xr:uid="{00000000-0005-0000-0000-000025790000}"/>
    <cellStyle name="Heading 3 67 24" xfId="30990" xr:uid="{00000000-0005-0000-0000-000026790000}"/>
    <cellStyle name="Heading 3 67 25" xfId="30991" xr:uid="{00000000-0005-0000-0000-000027790000}"/>
    <cellStyle name="Heading 3 67 26" xfId="30992" xr:uid="{00000000-0005-0000-0000-000028790000}"/>
    <cellStyle name="Heading 3 67 27" xfId="30993" xr:uid="{00000000-0005-0000-0000-000029790000}"/>
    <cellStyle name="Heading 3 67 28" xfId="30994" xr:uid="{00000000-0005-0000-0000-00002A790000}"/>
    <cellStyle name="Heading 3 67 29" xfId="30995" xr:uid="{00000000-0005-0000-0000-00002B790000}"/>
    <cellStyle name="Heading 3 67 3" xfId="30996" xr:uid="{00000000-0005-0000-0000-00002C790000}"/>
    <cellStyle name="Heading 3 67 30" xfId="30997" xr:uid="{00000000-0005-0000-0000-00002D790000}"/>
    <cellStyle name="Heading 3 67 31" xfId="30998" xr:uid="{00000000-0005-0000-0000-00002E790000}"/>
    <cellStyle name="Heading 3 67 32" xfId="30999" xr:uid="{00000000-0005-0000-0000-00002F790000}"/>
    <cellStyle name="Heading 3 67 33" xfId="31000" xr:uid="{00000000-0005-0000-0000-000030790000}"/>
    <cellStyle name="Heading 3 67 34" xfId="31001" xr:uid="{00000000-0005-0000-0000-000031790000}"/>
    <cellStyle name="Heading 3 67 35" xfId="31002" xr:uid="{00000000-0005-0000-0000-000032790000}"/>
    <cellStyle name="Heading 3 67 36" xfId="31003" xr:uid="{00000000-0005-0000-0000-000033790000}"/>
    <cellStyle name="Heading 3 67 4" xfId="31004" xr:uid="{00000000-0005-0000-0000-000034790000}"/>
    <cellStyle name="Heading 3 67 5" xfId="31005" xr:uid="{00000000-0005-0000-0000-000035790000}"/>
    <cellStyle name="Heading 3 67 6" xfId="31006" xr:uid="{00000000-0005-0000-0000-000036790000}"/>
    <cellStyle name="Heading 3 67 7" xfId="31007" xr:uid="{00000000-0005-0000-0000-000037790000}"/>
    <cellStyle name="Heading 3 67 8" xfId="31008" xr:uid="{00000000-0005-0000-0000-000038790000}"/>
    <cellStyle name="Heading 3 67 9" xfId="31009" xr:uid="{00000000-0005-0000-0000-000039790000}"/>
    <cellStyle name="Heading 3 68" xfId="31010" xr:uid="{00000000-0005-0000-0000-00003A790000}"/>
    <cellStyle name="Heading 3 68 10" xfId="31011" xr:uid="{00000000-0005-0000-0000-00003B790000}"/>
    <cellStyle name="Heading 3 68 11" xfId="31012" xr:uid="{00000000-0005-0000-0000-00003C790000}"/>
    <cellStyle name="Heading 3 68 12" xfId="31013" xr:uid="{00000000-0005-0000-0000-00003D790000}"/>
    <cellStyle name="Heading 3 68 13" xfId="31014" xr:uid="{00000000-0005-0000-0000-00003E790000}"/>
    <cellStyle name="Heading 3 68 14" xfId="31015" xr:uid="{00000000-0005-0000-0000-00003F790000}"/>
    <cellStyle name="Heading 3 68 15" xfId="31016" xr:uid="{00000000-0005-0000-0000-000040790000}"/>
    <cellStyle name="Heading 3 68 16" xfId="31017" xr:uid="{00000000-0005-0000-0000-000041790000}"/>
    <cellStyle name="Heading 3 68 17" xfId="31018" xr:uid="{00000000-0005-0000-0000-000042790000}"/>
    <cellStyle name="Heading 3 68 18" xfId="31019" xr:uid="{00000000-0005-0000-0000-000043790000}"/>
    <cellStyle name="Heading 3 68 19" xfId="31020" xr:uid="{00000000-0005-0000-0000-000044790000}"/>
    <cellStyle name="Heading 3 68 2" xfId="31021" xr:uid="{00000000-0005-0000-0000-000045790000}"/>
    <cellStyle name="Heading 3 68 20" xfId="31022" xr:uid="{00000000-0005-0000-0000-000046790000}"/>
    <cellStyle name="Heading 3 68 21" xfId="31023" xr:uid="{00000000-0005-0000-0000-000047790000}"/>
    <cellStyle name="Heading 3 68 22" xfId="31024" xr:uid="{00000000-0005-0000-0000-000048790000}"/>
    <cellStyle name="Heading 3 68 23" xfId="31025" xr:uid="{00000000-0005-0000-0000-000049790000}"/>
    <cellStyle name="Heading 3 68 24" xfId="31026" xr:uid="{00000000-0005-0000-0000-00004A790000}"/>
    <cellStyle name="Heading 3 68 25" xfId="31027" xr:uid="{00000000-0005-0000-0000-00004B790000}"/>
    <cellStyle name="Heading 3 68 26" xfId="31028" xr:uid="{00000000-0005-0000-0000-00004C790000}"/>
    <cellStyle name="Heading 3 68 27" xfId="31029" xr:uid="{00000000-0005-0000-0000-00004D790000}"/>
    <cellStyle name="Heading 3 68 28" xfId="31030" xr:uid="{00000000-0005-0000-0000-00004E790000}"/>
    <cellStyle name="Heading 3 68 29" xfId="31031" xr:uid="{00000000-0005-0000-0000-00004F790000}"/>
    <cellStyle name="Heading 3 68 3" xfId="31032" xr:uid="{00000000-0005-0000-0000-000050790000}"/>
    <cellStyle name="Heading 3 68 30" xfId="31033" xr:uid="{00000000-0005-0000-0000-000051790000}"/>
    <cellStyle name="Heading 3 68 31" xfId="31034" xr:uid="{00000000-0005-0000-0000-000052790000}"/>
    <cellStyle name="Heading 3 68 32" xfId="31035" xr:uid="{00000000-0005-0000-0000-000053790000}"/>
    <cellStyle name="Heading 3 68 33" xfId="31036" xr:uid="{00000000-0005-0000-0000-000054790000}"/>
    <cellStyle name="Heading 3 68 34" xfId="31037" xr:uid="{00000000-0005-0000-0000-000055790000}"/>
    <cellStyle name="Heading 3 68 35" xfId="31038" xr:uid="{00000000-0005-0000-0000-000056790000}"/>
    <cellStyle name="Heading 3 68 36" xfId="31039" xr:uid="{00000000-0005-0000-0000-000057790000}"/>
    <cellStyle name="Heading 3 68 4" xfId="31040" xr:uid="{00000000-0005-0000-0000-000058790000}"/>
    <cellStyle name="Heading 3 68 5" xfId="31041" xr:uid="{00000000-0005-0000-0000-000059790000}"/>
    <cellStyle name="Heading 3 68 6" xfId="31042" xr:uid="{00000000-0005-0000-0000-00005A790000}"/>
    <cellStyle name="Heading 3 68 7" xfId="31043" xr:uid="{00000000-0005-0000-0000-00005B790000}"/>
    <cellStyle name="Heading 3 68 8" xfId="31044" xr:uid="{00000000-0005-0000-0000-00005C790000}"/>
    <cellStyle name="Heading 3 68 9" xfId="31045" xr:uid="{00000000-0005-0000-0000-00005D790000}"/>
    <cellStyle name="Heading 3 69" xfId="31046" xr:uid="{00000000-0005-0000-0000-00005E790000}"/>
    <cellStyle name="Heading 3 69 2" xfId="31047" xr:uid="{00000000-0005-0000-0000-00005F790000}"/>
    <cellStyle name="Heading 3 7" xfId="31048" xr:uid="{00000000-0005-0000-0000-000060790000}"/>
    <cellStyle name="Heading 3 7 2" xfId="31049" xr:uid="{00000000-0005-0000-0000-000061790000}"/>
    <cellStyle name="Heading 3 70" xfId="31050" xr:uid="{00000000-0005-0000-0000-000062790000}"/>
    <cellStyle name="Heading 3 70 2" xfId="31051" xr:uid="{00000000-0005-0000-0000-000063790000}"/>
    <cellStyle name="Heading 3 71" xfId="31052" xr:uid="{00000000-0005-0000-0000-000064790000}"/>
    <cellStyle name="Heading 3 71 2" xfId="31053" xr:uid="{00000000-0005-0000-0000-000065790000}"/>
    <cellStyle name="Heading 3 72" xfId="31054" xr:uid="{00000000-0005-0000-0000-000066790000}"/>
    <cellStyle name="Heading 3 72 2" xfId="31055" xr:uid="{00000000-0005-0000-0000-000067790000}"/>
    <cellStyle name="Heading 3 73" xfId="31056" xr:uid="{00000000-0005-0000-0000-000068790000}"/>
    <cellStyle name="Heading 3 73 2" xfId="31057" xr:uid="{00000000-0005-0000-0000-000069790000}"/>
    <cellStyle name="Heading 3 74" xfId="31058" xr:uid="{00000000-0005-0000-0000-00006A790000}"/>
    <cellStyle name="Heading 3 74 2" xfId="31059" xr:uid="{00000000-0005-0000-0000-00006B790000}"/>
    <cellStyle name="Heading 3 75" xfId="31060" xr:uid="{00000000-0005-0000-0000-00006C790000}"/>
    <cellStyle name="Heading 3 75 2" xfId="31061" xr:uid="{00000000-0005-0000-0000-00006D790000}"/>
    <cellStyle name="Heading 3 76" xfId="31062" xr:uid="{00000000-0005-0000-0000-00006E790000}"/>
    <cellStyle name="Heading 3 76 2" xfId="31063" xr:uid="{00000000-0005-0000-0000-00006F790000}"/>
    <cellStyle name="Heading 3 77" xfId="31064" xr:uid="{00000000-0005-0000-0000-000070790000}"/>
    <cellStyle name="Heading 3 77 2" xfId="31065" xr:uid="{00000000-0005-0000-0000-000071790000}"/>
    <cellStyle name="Heading 3 78" xfId="31066" xr:uid="{00000000-0005-0000-0000-000072790000}"/>
    <cellStyle name="Heading 3 78 2" xfId="31067" xr:uid="{00000000-0005-0000-0000-000073790000}"/>
    <cellStyle name="Heading 3 79" xfId="31068" xr:uid="{00000000-0005-0000-0000-000074790000}"/>
    <cellStyle name="Heading 3 79 2" xfId="31069" xr:uid="{00000000-0005-0000-0000-000075790000}"/>
    <cellStyle name="Heading 3 8" xfId="31070" xr:uid="{00000000-0005-0000-0000-000076790000}"/>
    <cellStyle name="Heading 3 8 2" xfId="31071" xr:uid="{00000000-0005-0000-0000-000077790000}"/>
    <cellStyle name="Heading 3 80" xfId="31072" xr:uid="{00000000-0005-0000-0000-000078790000}"/>
    <cellStyle name="Heading 3 80 2" xfId="31073" xr:uid="{00000000-0005-0000-0000-000079790000}"/>
    <cellStyle name="Heading 3 81" xfId="31074" xr:uid="{00000000-0005-0000-0000-00007A790000}"/>
    <cellStyle name="Heading 3 81 2" xfId="31075" xr:uid="{00000000-0005-0000-0000-00007B790000}"/>
    <cellStyle name="Heading 3 82" xfId="31076" xr:uid="{00000000-0005-0000-0000-00007C790000}"/>
    <cellStyle name="Heading 3 82 2" xfId="31077" xr:uid="{00000000-0005-0000-0000-00007D790000}"/>
    <cellStyle name="Heading 3 83" xfId="31078" xr:uid="{00000000-0005-0000-0000-00007E790000}"/>
    <cellStyle name="Heading 3 83 2" xfId="31079" xr:uid="{00000000-0005-0000-0000-00007F790000}"/>
    <cellStyle name="Heading 3 84" xfId="31080" xr:uid="{00000000-0005-0000-0000-000080790000}"/>
    <cellStyle name="Heading 3 84 2" xfId="31081" xr:uid="{00000000-0005-0000-0000-000081790000}"/>
    <cellStyle name="Heading 3 85" xfId="31082" xr:uid="{00000000-0005-0000-0000-000082790000}"/>
    <cellStyle name="Heading 3 85 2" xfId="31083" xr:uid="{00000000-0005-0000-0000-000083790000}"/>
    <cellStyle name="Heading 3 86" xfId="31084" xr:uid="{00000000-0005-0000-0000-000084790000}"/>
    <cellStyle name="Heading 3 86 2" xfId="31085" xr:uid="{00000000-0005-0000-0000-000085790000}"/>
    <cellStyle name="Heading 3 87" xfId="31086" xr:uid="{00000000-0005-0000-0000-000086790000}"/>
    <cellStyle name="Heading 3 87 2" xfId="31087" xr:uid="{00000000-0005-0000-0000-000087790000}"/>
    <cellStyle name="Heading 3 88" xfId="31088" xr:uid="{00000000-0005-0000-0000-000088790000}"/>
    <cellStyle name="Heading 3 89" xfId="31089" xr:uid="{00000000-0005-0000-0000-000089790000}"/>
    <cellStyle name="Heading 3 89 2" xfId="31090" xr:uid="{00000000-0005-0000-0000-00008A790000}"/>
    <cellStyle name="Heading 3 9" xfId="31091" xr:uid="{00000000-0005-0000-0000-00008B790000}"/>
    <cellStyle name="Heading 3 9 2" xfId="31092" xr:uid="{00000000-0005-0000-0000-00008C790000}"/>
    <cellStyle name="Heading 3 90" xfId="31093" xr:uid="{00000000-0005-0000-0000-00008D790000}"/>
    <cellStyle name="Heading 3 90 2" xfId="31094" xr:uid="{00000000-0005-0000-0000-00008E790000}"/>
    <cellStyle name="Heading 3 91" xfId="31095" xr:uid="{00000000-0005-0000-0000-00008F790000}"/>
    <cellStyle name="Heading 3 91 2" xfId="31096" xr:uid="{00000000-0005-0000-0000-000090790000}"/>
    <cellStyle name="Heading 3 92" xfId="31097" xr:uid="{00000000-0005-0000-0000-000091790000}"/>
    <cellStyle name="Heading 3 92 2" xfId="31098" xr:uid="{00000000-0005-0000-0000-000092790000}"/>
    <cellStyle name="Heading 3 93" xfId="31099" xr:uid="{00000000-0005-0000-0000-000093790000}"/>
    <cellStyle name="Heading 3 93 2" xfId="31100" xr:uid="{00000000-0005-0000-0000-000094790000}"/>
    <cellStyle name="Heading 3 94" xfId="31101" xr:uid="{00000000-0005-0000-0000-000095790000}"/>
    <cellStyle name="Heading 3 94 2" xfId="31102" xr:uid="{00000000-0005-0000-0000-000096790000}"/>
    <cellStyle name="Heading 3 95" xfId="31103" xr:uid="{00000000-0005-0000-0000-000097790000}"/>
    <cellStyle name="Heading 3 96" xfId="31104" xr:uid="{00000000-0005-0000-0000-000098790000}"/>
    <cellStyle name="Heading 3 97" xfId="31105" xr:uid="{00000000-0005-0000-0000-000099790000}"/>
    <cellStyle name="Heading 3 98" xfId="31106" xr:uid="{00000000-0005-0000-0000-00009A790000}"/>
    <cellStyle name="Heading 3 99" xfId="31107" xr:uid="{00000000-0005-0000-0000-00009B790000}"/>
    <cellStyle name="Heading 4" xfId="41007" builtinId="19" customBuiltin="1"/>
    <cellStyle name="Heading 4 10" xfId="31108" xr:uid="{00000000-0005-0000-0000-00009D790000}"/>
    <cellStyle name="Heading 4 10 2" xfId="31109" xr:uid="{00000000-0005-0000-0000-00009E790000}"/>
    <cellStyle name="Heading 4 100" xfId="31110" xr:uid="{00000000-0005-0000-0000-00009F790000}"/>
    <cellStyle name="Heading 4 101" xfId="31111" xr:uid="{00000000-0005-0000-0000-0000A0790000}"/>
    <cellStyle name="Heading 4 102" xfId="31112" xr:uid="{00000000-0005-0000-0000-0000A1790000}"/>
    <cellStyle name="Heading 4 103" xfId="31113" xr:uid="{00000000-0005-0000-0000-0000A2790000}"/>
    <cellStyle name="Heading 4 104" xfId="31114" xr:uid="{00000000-0005-0000-0000-0000A3790000}"/>
    <cellStyle name="Heading 4 105" xfId="31115" xr:uid="{00000000-0005-0000-0000-0000A4790000}"/>
    <cellStyle name="Heading 4 106" xfId="31116" xr:uid="{00000000-0005-0000-0000-0000A5790000}"/>
    <cellStyle name="Heading 4 107" xfId="31117" xr:uid="{00000000-0005-0000-0000-0000A6790000}"/>
    <cellStyle name="Heading 4 108" xfId="31118" xr:uid="{00000000-0005-0000-0000-0000A7790000}"/>
    <cellStyle name="Heading 4 109" xfId="31119" xr:uid="{00000000-0005-0000-0000-0000A8790000}"/>
    <cellStyle name="Heading 4 11" xfId="31120" xr:uid="{00000000-0005-0000-0000-0000A9790000}"/>
    <cellStyle name="Heading 4 11 2" xfId="31121" xr:uid="{00000000-0005-0000-0000-0000AA790000}"/>
    <cellStyle name="Heading 4 110" xfId="31122" xr:uid="{00000000-0005-0000-0000-0000AB790000}"/>
    <cellStyle name="Heading 4 111" xfId="31123" xr:uid="{00000000-0005-0000-0000-0000AC790000}"/>
    <cellStyle name="Heading 4 112" xfId="31124" xr:uid="{00000000-0005-0000-0000-0000AD790000}"/>
    <cellStyle name="Heading 4 113" xfId="31125" xr:uid="{00000000-0005-0000-0000-0000AE790000}"/>
    <cellStyle name="Heading 4 114" xfId="31126" xr:uid="{00000000-0005-0000-0000-0000AF790000}"/>
    <cellStyle name="Heading 4 115" xfId="31127" xr:uid="{00000000-0005-0000-0000-0000B0790000}"/>
    <cellStyle name="Heading 4 116" xfId="31128" xr:uid="{00000000-0005-0000-0000-0000B1790000}"/>
    <cellStyle name="Heading 4 117" xfId="31129" xr:uid="{00000000-0005-0000-0000-0000B2790000}"/>
    <cellStyle name="Heading 4 118" xfId="31130" xr:uid="{00000000-0005-0000-0000-0000B3790000}"/>
    <cellStyle name="Heading 4 119" xfId="31131" xr:uid="{00000000-0005-0000-0000-0000B4790000}"/>
    <cellStyle name="Heading 4 12" xfId="31132" xr:uid="{00000000-0005-0000-0000-0000B5790000}"/>
    <cellStyle name="Heading 4 12 2" xfId="31133" xr:uid="{00000000-0005-0000-0000-0000B6790000}"/>
    <cellStyle name="Heading 4 120" xfId="31134" xr:uid="{00000000-0005-0000-0000-0000B7790000}"/>
    <cellStyle name="Heading 4 121" xfId="31135" xr:uid="{00000000-0005-0000-0000-0000B8790000}"/>
    <cellStyle name="Heading 4 122" xfId="31136" xr:uid="{00000000-0005-0000-0000-0000B9790000}"/>
    <cellStyle name="Heading 4 123" xfId="31137" xr:uid="{00000000-0005-0000-0000-0000BA790000}"/>
    <cellStyle name="Heading 4 124" xfId="31138" xr:uid="{00000000-0005-0000-0000-0000BB790000}"/>
    <cellStyle name="Heading 4 125" xfId="31139" xr:uid="{00000000-0005-0000-0000-0000BC790000}"/>
    <cellStyle name="Heading 4 126" xfId="31140" xr:uid="{00000000-0005-0000-0000-0000BD790000}"/>
    <cellStyle name="Heading 4 127" xfId="31141" xr:uid="{00000000-0005-0000-0000-0000BE790000}"/>
    <cellStyle name="Heading 4 128" xfId="31142" xr:uid="{00000000-0005-0000-0000-0000BF790000}"/>
    <cellStyle name="Heading 4 129" xfId="31143" xr:uid="{00000000-0005-0000-0000-0000C0790000}"/>
    <cellStyle name="Heading 4 13" xfId="31144" xr:uid="{00000000-0005-0000-0000-0000C1790000}"/>
    <cellStyle name="Heading 4 13 2" xfId="31145" xr:uid="{00000000-0005-0000-0000-0000C2790000}"/>
    <cellStyle name="Heading 4 130" xfId="31146" xr:uid="{00000000-0005-0000-0000-0000C3790000}"/>
    <cellStyle name="Heading 4 131" xfId="31147" xr:uid="{00000000-0005-0000-0000-0000C4790000}"/>
    <cellStyle name="Heading 4 132" xfId="31148" xr:uid="{00000000-0005-0000-0000-0000C5790000}"/>
    <cellStyle name="Heading 4 133" xfId="31149" xr:uid="{00000000-0005-0000-0000-0000C6790000}"/>
    <cellStyle name="Heading 4 14" xfId="31150" xr:uid="{00000000-0005-0000-0000-0000C7790000}"/>
    <cellStyle name="Heading 4 14 2" xfId="31151" xr:uid="{00000000-0005-0000-0000-0000C8790000}"/>
    <cellStyle name="Heading 4 15" xfId="31152" xr:uid="{00000000-0005-0000-0000-0000C9790000}"/>
    <cellStyle name="Heading 4 15 2" xfId="31153" xr:uid="{00000000-0005-0000-0000-0000CA790000}"/>
    <cellStyle name="Heading 4 16" xfId="31154" xr:uid="{00000000-0005-0000-0000-0000CB790000}"/>
    <cellStyle name="Heading 4 16 2" xfId="31155" xr:uid="{00000000-0005-0000-0000-0000CC790000}"/>
    <cellStyle name="Heading 4 17" xfId="31156" xr:uid="{00000000-0005-0000-0000-0000CD790000}"/>
    <cellStyle name="Heading 4 17 2" xfId="31157" xr:uid="{00000000-0005-0000-0000-0000CE790000}"/>
    <cellStyle name="Heading 4 18" xfId="31158" xr:uid="{00000000-0005-0000-0000-0000CF790000}"/>
    <cellStyle name="Heading 4 18 2" xfId="31159" xr:uid="{00000000-0005-0000-0000-0000D0790000}"/>
    <cellStyle name="Heading 4 19" xfId="31160" xr:uid="{00000000-0005-0000-0000-0000D1790000}"/>
    <cellStyle name="Heading 4 19 2" xfId="31161" xr:uid="{00000000-0005-0000-0000-0000D2790000}"/>
    <cellStyle name="Heading 4 2" xfId="31162" xr:uid="{00000000-0005-0000-0000-0000D3790000}"/>
    <cellStyle name="Heading 4 2 2" xfId="31163" xr:uid="{00000000-0005-0000-0000-0000D4790000}"/>
    <cellStyle name="Heading 4 2 2 2" xfId="31164" xr:uid="{00000000-0005-0000-0000-0000D5790000}"/>
    <cellStyle name="Heading 4 2 2 2 2" xfId="31165" xr:uid="{00000000-0005-0000-0000-0000D6790000}"/>
    <cellStyle name="Heading 4 2 2 2 2 2" xfId="31166" xr:uid="{00000000-0005-0000-0000-0000D7790000}"/>
    <cellStyle name="Heading 4 2 3" xfId="31167" xr:uid="{00000000-0005-0000-0000-0000D8790000}"/>
    <cellStyle name="Heading 4 2 4" xfId="31168" xr:uid="{00000000-0005-0000-0000-0000D9790000}"/>
    <cellStyle name="Heading 4 20" xfId="31169" xr:uid="{00000000-0005-0000-0000-0000DA790000}"/>
    <cellStyle name="Heading 4 20 2" xfId="31170" xr:uid="{00000000-0005-0000-0000-0000DB790000}"/>
    <cellStyle name="Heading 4 21" xfId="31171" xr:uid="{00000000-0005-0000-0000-0000DC790000}"/>
    <cellStyle name="Heading 4 21 2" xfId="31172" xr:uid="{00000000-0005-0000-0000-0000DD790000}"/>
    <cellStyle name="Heading 4 22" xfId="31173" xr:uid="{00000000-0005-0000-0000-0000DE790000}"/>
    <cellStyle name="Heading 4 22 2" xfId="31174" xr:uid="{00000000-0005-0000-0000-0000DF790000}"/>
    <cellStyle name="Heading 4 23" xfId="31175" xr:uid="{00000000-0005-0000-0000-0000E0790000}"/>
    <cellStyle name="Heading 4 23 2" xfId="31176" xr:uid="{00000000-0005-0000-0000-0000E1790000}"/>
    <cellStyle name="Heading 4 24" xfId="31177" xr:uid="{00000000-0005-0000-0000-0000E2790000}"/>
    <cellStyle name="Heading 4 24 2" xfId="31178" xr:uid="{00000000-0005-0000-0000-0000E3790000}"/>
    <cellStyle name="Heading 4 25" xfId="31179" xr:uid="{00000000-0005-0000-0000-0000E4790000}"/>
    <cellStyle name="Heading 4 25 2" xfId="31180" xr:uid="{00000000-0005-0000-0000-0000E5790000}"/>
    <cellStyle name="Heading 4 26" xfId="31181" xr:uid="{00000000-0005-0000-0000-0000E6790000}"/>
    <cellStyle name="Heading 4 26 2" xfId="31182" xr:uid="{00000000-0005-0000-0000-0000E7790000}"/>
    <cellStyle name="Heading 4 27" xfId="31183" xr:uid="{00000000-0005-0000-0000-0000E8790000}"/>
    <cellStyle name="Heading 4 27 2" xfId="31184" xr:uid="{00000000-0005-0000-0000-0000E9790000}"/>
    <cellStyle name="Heading 4 28" xfId="31185" xr:uid="{00000000-0005-0000-0000-0000EA790000}"/>
    <cellStyle name="Heading 4 28 2" xfId="31186" xr:uid="{00000000-0005-0000-0000-0000EB790000}"/>
    <cellStyle name="Heading 4 29" xfId="31187" xr:uid="{00000000-0005-0000-0000-0000EC790000}"/>
    <cellStyle name="Heading 4 29 2" xfId="31188" xr:uid="{00000000-0005-0000-0000-0000ED790000}"/>
    <cellStyle name="Heading 4 3" xfId="31189" xr:uid="{00000000-0005-0000-0000-0000EE790000}"/>
    <cellStyle name="Heading 4 3 2" xfId="31190" xr:uid="{00000000-0005-0000-0000-0000EF790000}"/>
    <cellStyle name="Heading 4 3 2 2" xfId="31191" xr:uid="{00000000-0005-0000-0000-0000F0790000}"/>
    <cellStyle name="Heading 4 3 3" xfId="31192" xr:uid="{00000000-0005-0000-0000-0000F1790000}"/>
    <cellStyle name="Heading 4 3_MAR 2009" xfId="31193" xr:uid="{00000000-0005-0000-0000-0000F2790000}"/>
    <cellStyle name="Heading 4 30" xfId="31194" xr:uid="{00000000-0005-0000-0000-0000F3790000}"/>
    <cellStyle name="Heading 4 30 2" xfId="31195" xr:uid="{00000000-0005-0000-0000-0000F4790000}"/>
    <cellStyle name="Heading 4 31" xfId="31196" xr:uid="{00000000-0005-0000-0000-0000F5790000}"/>
    <cellStyle name="Heading 4 31 2" xfId="31197" xr:uid="{00000000-0005-0000-0000-0000F6790000}"/>
    <cellStyle name="Heading 4 32" xfId="31198" xr:uid="{00000000-0005-0000-0000-0000F7790000}"/>
    <cellStyle name="Heading 4 32 2" xfId="31199" xr:uid="{00000000-0005-0000-0000-0000F8790000}"/>
    <cellStyle name="Heading 4 33" xfId="31200" xr:uid="{00000000-0005-0000-0000-0000F9790000}"/>
    <cellStyle name="Heading 4 33 2" xfId="31201" xr:uid="{00000000-0005-0000-0000-0000FA790000}"/>
    <cellStyle name="Heading 4 34" xfId="31202" xr:uid="{00000000-0005-0000-0000-0000FB790000}"/>
    <cellStyle name="Heading 4 35" xfId="31203" xr:uid="{00000000-0005-0000-0000-0000FC790000}"/>
    <cellStyle name="Heading 4 35 2" xfId="31204" xr:uid="{00000000-0005-0000-0000-0000FD790000}"/>
    <cellStyle name="Heading 4 36" xfId="31205" xr:uid="{00000000-0005-0000-0000-0000FE790000}"/>
    <cellStyle name="Heading 4 36 2" xfId="31206" xr:uid="{00000000-0005-0000-0000-0000FF790000}"/>
    <cellStyle name="Heading 4 37" xfId="31207" xr:uid="{00000000-0005-0000-0000-0000007A0000}"/>
    <cellStyle name="Heading 4 37 2" xfId="31208" xr:uid="{00000000-0005-0000-0000-0000017A0000}"/>
    <cellStyle name="Heading 4 38" xfId="31209" xr:uid="{00000000-0005-0000-0000-0000027A0000}"/>
    <cellStyle name="Heading 4 38 2" xfId="31210" xr:uid="{00000000-0005-0000-0000-0000037A0000}"/>
    <cellStyle name="Heading 4 39" xfId="31211" xr:uid="{00000000-0005-0000-0000-0000047A0000}"/>
    <cellStyle name="Heading 4 39 2" xfId="31212" xr:uid="{00000000-0005-0000-0000-0000057A0000}"/>
    <cellStyle name="Heading 4 4" xfId="31213" xr:uid="{00000000-0005-0000-0000-0000067A0000}"/>
    <cellStyle name="Heading 4 4 2" xfId="31214" xr:uid="{00000000-0005-0000-0000-0000077A0000}"/>
    <cellStyle name="Heading 4 4 2 2" xfId="31215" xr:uid="{00000000-0005-0000-0000-0000087A0000}"/>
    <cellStyle name="Heading 4 40" xfId="31216" xr:uid="{00000000-0005-0000-0000-0000097A0000}"/>
    <cellStyle name="Heading 4 40 2" xfId="31217" xr:uid="{00000000-0005-0000-0000-00000A7A0000}"/>
    <cellStyle name="Heading 4 41" xfId="31218" xr:uid="{00000000-0005-0000-0000-00000B7A0000}"/>
    <cellStyle name="Heading 4 41 2" xfId="31219" xr:uid="{00000000-0005-0000-0000-00000C7A0000}"/>
    <cellStyle name="Heading 4 42" xfId="31220" xr:uid="{00000000-0005-0000-0000-00000D7A0000}"/>
    <cellStyle name="Heading 4 42 2" xfId="31221" xr:uid="{00000000-0005-0000-0000-00000E7A0000}"/>
    <cellStyle name="Heading 4 43" xfId="31222" xr:uid="{00000000-0005-0000-0000-00000F7A0000}"/>
    <cellStyle name="Heading 4 43 2" xfId="31223" xr:uid="{00000000-0005-0000-0000-0000107A0000}"/>
    <cellStyle name="Heading 4 44" xfId="31224" xr:uid="{00000000-0005-0000-0000-0000117A0000}"/>
    <cellStyle name="Heading 4 44 2" xfId="31225" xr:uid="{00000000-0005-0000-0000-0000127A0000}"/>
    <cellStyle name="Heading 4 45" xfId="31226" xr:uid="{00000000-0005-0000-0000-0000137A0000}"/>
    <cellStyle name="Heading 4 45 2" xfId="31227" xr:uid="{00000000-0005-0000-0000-0000147A0000}"/>
    <cellStyle name="Heading 4 46" xfId="31228" xr:uid="{00000000-0005-0000-0000-0000157A0000}"/>
    <cellStyle name="Heading 4 46 2" xfId="31229" xr:uid="{00000000-0005-0000-0000-0000167A0000}"/>
    <cellStyle name="Heading 4 47" xfId="31230" xr:uid="{00000000-0005-0000-0000-0000177A0000}"/>
    <cellStyle name="Heading 4 47 2" xfId="31231" xr:uid="{00000000-0005-0000-0000-0000187A0000}"/>
    <cellStyle name="Heading 4 48" xfId="31232" xr:uid="{00000000-0005-0000-0000-0000197A0000}"/>
    <cellStyle name="Heading 4 48 2" xfId="31233" xr:uid="{00000000-0005-0000-0000-00001A7A0000}"/>
    <cellStyle name="Heading 4 49" xfId="31234" xr:uid="{00000000-0005-0000-0000-00001B7A0000}"/>
    <cellStyle name="Heading 4 49 2" xfId="31235" xr:uid="{00000000-0005-0000-0000-00001C7A0000}"/>
    <cellStyle name="Heading 4 5" xfId="31236" xr:uid="{00000000-0005-0000-0000-00001D7A0000}"/>
    <cellStyle name="Heading 4 5 2" xfId="31237" xr:uid="{00000000-0005-0000-0000-00001E7A0000}"/>
    <cellStyle name="Heading 4 5 2 2" xfId="31238" xr:uid="{00000000-0005-0000-0000-00001F7A0000}"/>
    <cellStyle name="Heading 4 50" xfId="31239" xr:uid="{00000000-0005-0000-0000-0000207A0000}"/>
    <cellStyle name="Heading 4 50 2" xfId="31240" xr:uid="{00000000-0005-0000-0000-0000217A0000}"/>
    <cellStyle name="Heading 4 51" xfId="31241" xr:uid="{00000000-0005-0000-0000-0000227A0000}"/>
    <cellStyle name="Heading 4 51 2" xfId="31242" xr:uid="{00000000-0005-0000-0000-0000237A0000}"/>
    <cellStyle name="Heading 4 52" xfId="31243" xr:uid="{00000000-0005-0000-0000-0000247A0000}"/>
    <cellStyle name="Heading 4 53" xfId="31244" xr:uid="{00000000-0005-0000-0000-0000257A0000}"/>
    <cellStyle name="Heading 4 54" xfId="31245" xr:uid="{00000000-0005-0000-0000-0000267A0000}"/>
    <cellStyle name="Heading 4 55" xfId="31246" xr:uid="{00000000-0005-0000-0000-0000277A0000}"/>
    <cellStyle name="Heading 4 56" xfId="31247" xr:uid="{00000000-0005-0000-0000-0000287A0000}"/>
    <cellStyle name="Heading 4 57" xfId="31248" xr:uid="{00000000-0005-0000-0000-0000297A0000}"/>
    <cellStyle name="Heading 4 58" xfId="31249" xr:uid="{00000000-0005-0000-0000-00002A7A0000}"/>
    <cellStyle name="Heading 4 59" xfId="31250" xr:uid="{00000000-0005-0000-0000-00002B7A0000}"/>
    <cellStyle name="Heading 4 6" xfId="31251" xr:uid="{00000000-0005-0000-0000-00002C7A0000}"/>
    <cellStyle name="Heading 4 6 2" xfId="31252" xr:uid="{00000000-0005-0000-0000-00002D7A0000}"/>
    <cellStyle name="Heading 4 60" xfId="31253" xr:uid="{00000000-0005-0000-0000-00002E7A0000}"/>
    <cellStyle name="Heading 4 61" xfId="31254" xr:uid="{00000000-0005-0000-0000-00002F7A0000}"/>
    <cellStyle name="Heading 4 62" xfId="31255" xr:uid="{00000000-0005-0000-0000-0000307A0000}"/>
    <cellStyle name="Heading 4 63" xfId="31256" xr:uid="{00000000-0005-0000-0000-0000317A0000}"/>
    <cellStyle name="Heading 4 63 10" xfId="31257" xr:uid="{00000000-0005-0000-0000-0000327A0000}"/>
    <cellStyle name="Heading 4 63 11" xfId="31258" xr:uid="{00000000-0005-0000-0000-0000337A0000}"/>
    <cellStyle name="Heading 4 63 12" xfId="31259" xr:uid="{00000000-0005-0000-0000-0000347A0000}"/>
    <cellStyle name="Heading 4 63 13" xfId="31260" xr:uid="{00000000-0005-0000-0000-0000357A0000}"/>
    <cellStyle name="Heading 4 63 14" xfId="31261" xr:uid="{00000000-0005-0000-0000-0000367A0000}"/>
    <cellStyle name="Heading 4 63 15" xfId="31262" xr:uid="{00000000-0005-0000-0000-0000377A0000}"/>
    <cellStyle name="Heading 4 63 16" xfId="31263" xr:uid="{00000000-0005-0000-0000-0000387A0000}"/>
    <cellStyle name="Heading 4 63 17" xfId="31264" xr:uid="{00000000-0005-0000-0000-0000397A0000}"/>
    <cellStyle name="Heading 4 63 18" xfId="31265" xr:uid="{00000000-0005-0000-0000-00003A7A0000}"/>
    <cellStyle name="Heading 4 63 19" xfId="31266" xr:uid="{00000000-0005-0000-0000-00003B7A0000}"/>
    <cellStyle name="Heading 4 63 2" xfId="31267" xr:uid="{00000000-0005-0000-0000-00003C7A0000}"/>
    <cellStyle name="Heading 4 63 20" xfId="31268" xr:uid="{00000000-0005-0000-0000-00003D7A0000}"/>
    <cellStyle name="Heading 4 63 21" xfId="31269" xr:uid="{00000000-0005-0000-0000-00003E7A0000}"/>
    <cellStyle name="Heading 4 63 22" xfId="31270" xr:uid="{00000000-0005-0000-0000-00003F7A0000}"/>
    <cellStyle name="Heading 4 63 23" xfId="31271" xr:uid="{00000000-0005-0000-0000-0000407A0000}"/>
    <cellStyle name="Heading 4 63 24" xfId="31272" xr:uid="{00000000-0005-0000-0000-0000417A0000}"/>
    <cellStyle name="Heading 4 63 25" xfId="31273" xr:uid="{00000000-0005-0000-0000-0000427A0000}"/>
    <cellStyle name="Heading 4 63 26" xfId="31274" xr:uid="{00000000-0005-0000-0000-0000437A0000}"/>
    <cellStyle name="Heading 4 63 27" xfId="31275" xr:uid="{00000000-0005-0000-0000-0000447A0000}"/>
    <cellStyle name="Heading 4 63 28" xfId="31276" xr:uid="{00000000-0005-0000-0000-0000457A0000}"/>
    <cellStyle name="Heading 4 63 29" xfId="31277" xr:uid="{00000000-0005-0000-0000-0000467A0000}"/>
    <cellStyle name="Heading 4 63 3" xfId="31278" xr:uid="{00000000-0005-0000-0000-0000477A0000}"/>
    <cellStyle name="Heading 4 63 30" xfId="31279" xr:uid="{00000000-0005-0000-0000-0000487A0000}"/>
    <cellStyle name="Heading 4 63 31" xfId="31280" xr:uid="{00000000-0005-0000-0000-0000497A0000}"/>
    <cellStyle name="Heading 4 63 32" xfId="31281" xr:uid="{00000000-0005-0000-0000-00004A7A0000}"/>
    <cellStyle name="Heading 4 63 33" xfId="31282" xr:uid="{00000000-0005-0000-0000-00004B7A0000}"/>
    <cellStyle name="Heading 4 63 34" xfId="31283" xr:uid="{00000000-0005-0000-0000-00004C7A0000}"/>
    <cellStyle name="Heading 4 63 35" xfId="31284" xr:uid="{00000000-0005-0000-0000-00004D7A0000}"/>
    <cellStyle name="Heading 4 63 36" xfId="31285" xr:uid="{00000000-0005-0000-0000-00004E7A0000}"/>
    <cellStyle name="Heading 4 63 4" xfId="31286" xr:uid="{00000000-0005-0000-0000-00004F7A0000}"/>
    <cellStyle name="Heading 4 63 5" xfId="31287" xr:uid="{00000000-0005-0000-0000-0000507A0000}"/>
    <cellStyle name="Heading 4 63 6" xfId="31288" xr:uid="{00000000-0005-0000-0000-0000517A0000}"/>
    <cellStyle name="Heading 4 63 7" xfId="31289" xr:uid="{00000000-0005-0000-0000-0000527A0000}"/>
    <cellStyle name="Heading 4 63 8" xfId="31290" xr:uid="{00000000-0005-0000-0000-0000537A0000}"/>
    <cellStyle name="Heading 4 63 9" xfId="31291" xr:uid="{00000000-0005-0000-0000-0000547A0000}"/>
    <cellStyle name="Heading 4 64" xfId="31292" xr:uid="{00000000-0005-0000-0000-0000557A0000}"/>
    <cellStyle name="Heading 4 64 10" xfId="31293" xr:uid="{00000000-0005-0000-0000-0000567A0000}"/>
    <cellStyle name="Heading 4 64 11" xfId="31294" xr:uid="{00000000-0005-0000-0000-0000577A0000}"/>
    <cellStyle name="Heading 4 64 12" xfId="31295" xr:uid="{00000000-0005-0000-0000-0000587A0000}"/>
    <cellStyle name="Heading 4 64 13" xfId="31296" xr:uid="{00000000-0005-0000-0000-0000597A0000}"/>
    <cellStyle name="Heading 4 64 14" xfId="31297" xr:uid="{00000000-0005-0000-0000-00005A7A0000}"/>
    <cellStyle name="Heading 4 64 15" xfId="31298" xr:uid="{00000000-0005-0000-0000-00005B7A0000}"/>
    <cellStyle name="Heading 4 64 16" xfId="31299" xr:uid="{00000000-0005-0000-0000-00005C7A0000}"/>
    <cellStyle name="Heading 4 64 17" xfId="31300" xr:uid="{00000000-0005-0000-0000-00005D7A0000}"/>
    <cellStyle name="Heading 4 64 18" xfId="31301" xr:uid="{00000000-0005-0000-0000-00005E7A0000}"/>
    <cellStyle name="Heading 4 64 19" xfId="31302" xr:uid="{00000000-0005-0000-0000-00005F7A0000}"/>
    <cellStyle name="Heading 4 64 2" xfId="31303" xr:uid="{00000000-0005-0000-0000-0000607A0000}"/>
    <cellStyle name="Heading 4 64 20" xfId="31304" xr:uid="{00000000-0005-0000-0000-0000617A0000}"/>
    <cellStyle name="Heading 4 64 21" xfId="31305" xr:uid="{00000000-0005-0000-0000-0000627A0000}"/>
    <cellStyle name="Heading 4 64 22" xfId="31306" xr:uid="{00000000-0005-0000-0000-0000637A0000}"/>
    <cellStyle name="Heading 4 64 23" xfId="31307" xr:uid="{00000000-0005-0000-0000-0000647A0000}"/>
    <cellStyle name="Heading 4 64 24" xfId="31308" xr:uid="{00000000-0005-0000-0000-0000657A0000}"/>
    <cellStyle name="Heading 4 64 25" xfId="31309" xr:uid="{00000000-0005-0000-0000-0000667A0000}"/>
    <cellStyle name="Heading 4 64 26" xfId="31310" xr:uid="{00000000-0005-0000-0000-0000677A0000}"/>
    <cellStyle name="Heading 4 64 27" xfId="31311" xr:uid="{00000000-0005-0000-0000-0000687A0000}"/>
    <cellStyle name="Heading 4 64 28" xfId="31312" xr:uid="{00000000-0005-0000-0000-0000697A0000}"/>
    <cellStyle name="Heading 4 64 29" xfId="31313" xr:uid="{00000000-0005-0000-0000-00006A7A0000}"/>
    <cellStyle name="Heading 4 64 3" xfId="31314" xr:uid="{00000000-0005-0000-0000-00006B7A0000}"/>
    <cellStyle name="Heading 4 64 30" xfId="31315" xr:uid="{00000000-0005-0000-0000-00006C7A0000}"/>
    <cellStyle name="Heading 4 64 31" xfId="31316" xr:uid="{00000000-0005-0000-0000-00006D7A0000}"/>
    <cellStyle name="Heading 4 64 32" xfId="31317" xr:uid="{00000000-0005-0000-0000-00006E7A0000}"/>
    <cellStyle name="Heading 4 64 33" xfId="31318" xr:uid="{00000000-0005-0000-0000-00006F7A0000}"/>
    <cellStyle name="Heading 4 64 34" xfId="31319" xr:uid="{00000000-0005-0000-0000-0000707A0000}"/>
    <cellStyle name="Heading 4 64 35" xfId="31320" xr:uid="{00000000-0005-0000-0000-0000717A0000}"/>
    <cellStyle name="Heading 4 64 36" xfId="31321" xr:uid="{00000000-0005-0000-0000-0000727A0000}"/>
    <cellStyle name="Heading 4 64 4" xfId="31322" xr:uid="{00000000-0005-0000-0000-0000737A0000}"/>
    <cellStyle name="Heading 4 64 5" xfId="31323" xr:uid="{00000000-0005-0000-0000-0000747A0000}"/>
    <cellStyle name="Heading 4 64 6" xfId="31324" xr:uid="{00000000-0005-0000-0000-0000757A0000}"/>
    <cellStyle name="Heading 4 64 7" xfId="31325" xr:uid="{00000000-0005-0000-0000-0000767A0000}"/>
    <cellStyle name="Heading 4 64 8" xfId="31326" xr:uid="{00000000-0005-0000-0000-0000777A0000}"/>
    <cellStyle name="Heading 4 64 9" xfId="31327" xr:uid="{00000000-0005-0000-0000-0000787A0000}"/>
    <cellStyle name="Heading 4 65" xfId="31328" xr:uid="{00000000-0005-0000-0000-0000797A0000}"/>
    <cellStyle name="Heading 4 65 10" xfId="31329" xr:uid="{00000000-0005-0000-0000-00007A7A0000}"/>
    <cellStyle name="Heading 4 65 11" xfId="31330" xr:uid="{00000000-0005-0000-0000-00007B7A0000}"/>
    <cellStyle name="Heading 4 65 12" xfId="31331" xr:uid="{00000000-0005-0000-0000-00007C7A0000}"/>
    <cellStyle name="Heading 4 65 13" xfId="31332" xr:uid="{00000000-0005-0000-0000-00007D7A0000}"/>
    <cellStyle name="Heading 4 65 14" xfId="31333" xr:uid="{00000000-0005-0000-0000-00007E7A0000}"/>
    <cellStyle name="Heading 4 65 15" xfId="31334" xr:uid="{00000000-0005-0000-0000-00007F7A0000}"/>
    <cellStyle name="Heading 4 65 16" xfId="31335" xr:uid="{00000000-0005-0000-0000-0000807A0000}"/>
    <cellStyle name="Heading 4 65 17" xfId="31336" xr:uid="{00000000-0005-0000-0000-0000817A0000}"/>
    <cellStyle name="Heading 4 65 18" xfId="31337" xr:uid="{00000000-0005-0000-0000-0000827A0000}"/>
    <cellStyle name="Heading 4 65 19" xfId="31338" xr:uid="{00000000-0005-0000-0000-0000837A0000}"/>
    <cellStyle name="Heading 4 65 2" xfId="31339" xr:uid="{00000000-0005-0000-0000-0000847A0000}"/>
    <cellStyle name="Heading 4 65 20" xfId="31340" xr:uid="{00000000-0005-0000-0000-0000857A0000}"/>
    <cellStyle name="Heading 4 65 21" xfId="31341" xr:uid="{00000000-0005-0000-0000-0000867A0000}"/>
    <cellStyle name="Heading 4 65 22" xfId="31342" xr:uid="{00000000-0005-0000-0000-0000877A0000}"/>
    <cellStyle name="Heading 4 65 23" xfId="31343" xr:uid="{00000000-0005-0000-0000-0000887A0000}"/>
    <cellStyle name="Heading 4 65 24" xfId="31344" xr:uid="{00000000-0005-0000-0000-0000897A0000}"/>
    <cellStyle name="Heading 4 65 25" xfId="31345" xr:uid="{00000000-0005-0000-0000-00008A7A0000}"/>
    <cellStyle name="Heading 4 65 26" xfId="31346" xr:uid="{00000000-0005-0000-0000-00008B7A0000}"/>
    <cellStyle name="Heading 4 65 27" xfId="31347" xr:uid="{00000000-0005-0000-0000-00008C7A0000}"/>
    <cellStyle name="Heading 4 65 28" xfId="31348" xr:uid="{00000000-0005-0000-0000-00008D7A0000}"/>
    <cellStyle name="Heading 4 65 29" xfId="31349" xr:uid="{00000000-0005-0000-0000-00008E7A0000}"/>
    <cellStyle name="Heading 4 65 3" xfId="31350" xr:uid="{00000000-0005-0000-0000-00008F7A0000}"/>
    <cellStyle name="Heading 4 65 30" xfId="31351" xr:uid="{00000000-0005-0000-0000-0000907A0000}"/>
    <cellStyle name="Heading 4 65 31" xfId="31352" xr:uid="{00000000-0005-0000-0000-0000917A0000}"/>
    <cellStyle name="Heading 4 65 32" xfId="31353" xr:uid="{00000000-0005-0000-0000-0000927A0000}"/>
    <cellStyle name="Heading 4 65 33" xfId="31354" xr:uid="{00000000-0005-0000-0000-0000937A0000}"/>
    <cellStyle name="Heading 4 65 34" xfId="31355" xr:uid="{00000000-0005-0000-0000-0000947A0000}"/>
    <cellStyle name="Heading 4 65 35" xfId="31356" xr:uid="{00000000-0005-0000-0000-0000957A0000}"/>
    <cellStyle name="Heading 4 65 36" xfId="31357" xr:uid="{00000000-0005-0000-0000-0000967A0000}"/>
    <cellStyle name="Heading 4 65 4" xfId="31358" xr:uid="{00000000-0005-0000-0000-0000977A0000}"/>
    <cellStyle name="Heading 4 65 5" xfId="31359" xr:uid="{00000000-0005-0000-0000-0000987A0000}"/>
    <cellStyle name="Heading 4 65 6" xfId="31360" xr:uid="{00000000-0005-0000-0000-0000997A0000}"/>
    <cellStyle name="Heading 4 65 7" xfId="31361" xr:uid="{00000000-0005-0000-0000-00009A7A0000}"/>
    <cellStyle name="Heading 4 65 8" xfId="31362" xr:uid="{00000000-0005-0000-0000-00009B7A0000}"/>
    <cellStyle name="Heading 4 65 9" xfId="31363" xr:uid="{00000000-0005-0000-0000-00009C7A0000}"/>
    <cellStyle name="Heading 4 66" xfId="31364" xr:uid="{00000000-0005-0000-0000-00009D7A0000}"/>
    <cellStyle name="Heading 4 66 10" xfId="31365" xr:uid="{00000000-0005-0000-0000-00009E7A0000}"/>
    <cellStyle name="Heading 4 66 11" xfId="31366" xr:uid="{00000000-0005-0000-0000-00009F7A0000}"/>
    <cellStyle name="Heading 4 66 12" xfId="31367" xr:uid="{00000000-0005-0000-0000-0000A07A0000}"/>
    <cellStyle name="Heading 4 66 13" xfId="31368" xr:uid="{00000000-0005-0000-0000-0000A17A0000}"/>
    <cellStyle name="Heading 4 66 14" xfId="31369" xr:uid="{00000000-0005-0000-0000-0000A27A0000}"/>
    <cellStyle name="Heading 4 66 15" xfId="31370" xr:uid="{00000000-0005-0000-0000-0000A37A0000}"/>
    <cellStyle name="Heading 4 66 16" xfId="31371" xr:uid="{00000000-0005-0000-0000-0000A47A0000}"/>
    <cellStyle name="Heading 4 66 17" xfId="31372" xr:uid="{00000000-0005-0000-0000-0000A57A0000}"/>
    <cellStyle name="Heading 4 66 18" xfId="31373" xr:uid="{00000000-0005-0000-0000-0000A67A0000}"/>
    <cellStyle name="Heading 4 66 19" xfId="31374" xr:uid="{00000000-0005-0000-0000-0000A77A0000}"/>
    <cellStyle name="Heading 4 66 2" xfId="31375" xr:uid="{00000000-0005-0000-0000-0000A87A0000}"/>
    <cellStyle name="Heading 4 66 20" xfId="31376" xr:uid="{00000000-0005-0000-0000-0000A97A0000}"/>
    <cellStyle name="Heading 4 66 21" xfId="31377" xr:uid="{00000000-0005-0000-0000-0000AA7A0000}"/>
    <cellStyle name="Heading 4 66 22" xfId="31378" xr:uid="{00000000-0005-0000-0000-0000AB7A0000}"/>
    <cellStyle name="Heading 4 66 23" xfId="31379" xr:uid="{00000000-0005-0000-0000-0000AC7A0000}"/>
    <cellStyle name="Heading 4 66 24" xfId="31380" xr:uid="{00000000-0005-0000-0000-0000AD7A0000}"/>
    <cellStyle name="Heading 4 66 25" xfId="31381" xr:uid="{00000000-0005-0000-0000-0000AE7A0000}"/>
    <cellStyle name="Heading 4 66 26" xfId="31382" xr:uid="{00000000-0005-0000-0000-0000AF7A0000}"/>
    <cellStyle name="Heading 4 66 27" xfId="31383" xr:uid="{00000000-0005-0000-0000-0000B07A0000}"/>
    <cellStyle name="Heading 4 66 28" xfId="31384" xr:uid="{00000000-0005-0000-0000-0000B17A0000}"/>
    <cellStyle name="Heading 4 66 29" xfId="31385" xr:uid="{00000000-0005-0000-0000-0000B27A0000}"/>
    <cellStyle name="Heading 4 66 3" xfId="31386" xr:uid="{00000000-0005-0000-0000-0000B37A0000}"/>
    <cellStyle name="Heading 4 66 30" xfId="31387" xr:uid="{00000000-0005-0000-0000-0000B47A0000}"/>
    <cellStyle name="Heading 4 66 31" xfId="31388" xr:uid="{00000000-0005-0000-0000-0000B57A0000}"/>
    <cellStyle name="Heading 4 66 32" xfId="31389" xr:uid="{00000000-0005-0000-0000-0000B67A0000}"/>
    <cellStyle name="Heading 4 66 33" xfId="31390" xr:uid="{00000000-0005-0000-0000-0000B77A0000}"/>
    <cellStyle name="Heading 4 66 34" xfId="31391" xr:uid="{00000000-0005-0000-0000-0000B87A0000}"/>
    <cellStyle name="Heading 4 66 35" xfId="31392" xr:uid="{00000000-0005-0000-0000-0000B97A0000}"/>
    <cellStyle name="Heading 4 66 36" xfId="31393" xr:uid="{00000000-0005-0000-0000-0000BA7A0000}"/>
    <cellStyle name="Heading 4 66 4" xfId="31394" xr:uid="{00000000-0005-0000-0000-0000BB7A0000}"/>
    <cellStyle name="Heading 4 66 5" xfId="31395" xr:uid="{00000000-0005-0000-0000-0000BC7A0000}"/>
    <cellStyle name="Heading 4 66 6" xfId="31396" xr:uid="{00000000-0005-0000-0000-0000BD7A0000}"/>
    <cellStyle name="Heading 4 66 7" xfId="31397" xr:uid="{00000000-0005-0000-0000-0000BE7A0000}"/>
    <cellStyle name="Heading 4 66 8" xfId="31398" xr:uid="{00000000-0005-0000-0000-0000BF7A0000}"/>
    <cellStyle name="Heading 4 66 9" xfId="31399" xr:uid="{00000000-0005-0000-0000-0000C07A0000}"/>
    <cellStyle name="Heading 4 67" xfId="31400" xr:uid="{00000000-0005-0000-0000-0000C17A0000}"/>
    <cellStyle name="Heading 4 67 10" xfId="31401" xr:uid="{00000000-0005-0000-0000-0000C27A0000}"/>
    <cellStyle name="Heading 4 67 11" xfId="31402" xr:uid="{00000000-0005-0000-0000-0000C37A0000}"/>
    <cellStyle name="Heading 4 67 12" xfId="31403" xr:uid="{00000000-0005-0000-0000-0000C47A0000}"/>
    <cellStyle name="Heading 4 67 13" xfId="31404" xr:uid="{00000000-0005-0000-0000-0000C57A0000}"/>
    <cellStyle name="Heading 4 67 14" xfId="31405" xr:uid="{00000000-0005-0000-0000-0000C67A0000}"/>
    <cellStyle name="Heading 4 67 15" xfId="31406" xr:uid="{00000000-0005-0000-0000-0000C77A0000}"/>
    <cellStyle name="Heading 4 67 16" xfId="31407" xr:uid="{00000000-0005-0000-0000-0000C87A0000}"/>
    <cellStyle name="Heading 4 67 17" xfId="31408" xr:uid="{00000000-0005-0000-0000-0000C97A0000}"/>
    <cellStyle name="Heading 4 67 18" xfId="31409" xr:uid="{00000000-0005-0000-0000-0000CA7A0000}"/>
    <cellStyle name="Heading 4 67 19" xfId="31410" xr:uid="{00000000-0005-0000-0000-0000CB7A0000}"/>
    <cellStyle name="Heading 4 67 2" xfId="31411" xr:uid="{00000000-0005-0000-0000-0000CC7A0000}"/>
    <cellStyle name="Heading 4 67 20" xfId="31412" xr:uid="{00000000-0005-0000-0000-0000CD7A0000}"/>
    <cellStyle name="Heading 4 67 21" xfId="31413" xr:uid="{00000000-0005-0000-0000-0000CE7A0000}"/>
    <cellStyle name="Heading 4 67 22" xfId="31414" xr:uid="{00000000-0005-0000-0000-0000CF7A0000}"/>
    <cellStyle name="Heading 4 67 23" xfId="31415" xr:uid="{00000000-0005-0000-0000-0000D07A0000}"/>
    <cellStyle name="Heading 4 67 24" xfId="31416" xr:uid="{00000000-0005-0000-0000-0000D17A0000}"/>
    <cellStyle name="Heading 4 67 25" xfId="31417" xr:uid="{00000000-0005-0000-0000-0000D27A0000}"/>
    <cellStyle name="Heading 4 67 26" xfId="31418" xr:uid="{00000000-0005-0000-0000-0000D37A0000}"/>
    <cellStyle name="Heading 4 67 27" xfId="31419" xr:uid="{00000000-0005-0000-0000-0000D47A0000}"/>
    <cellStyle name="Heading 4 67 28" xfId="31420" xr:uid="{00000000-0005-0000-0000-0000D57A0000}"/>
    <cellStyle name="Heading 4 67 29" xfId="31421" xr:uid="{00000000-0005-0000-0000-0000D67A0000}"/>
    <cellStyle name="Heading 4 67 3" xfId="31422" xr:uid="{00000000-0005-0000-0000-0000D77A0000}"/>
    <cellStyle name="Heading 4 67 30" xfId="31423" xr:uid="{00000000-0005-0000-0000-0000D87A0000}"/>
    <cellStyle name="Heading 4 67 31" xfId="31424" xr:uid="{00000000-0005-0000-0000-0000D97A0000}"/>
    <cellStyle name="Heading 4 67 32" xfId="31425" xr:uid="{00000000-0005-0000-0000-0000DA7A0000}"/>
    <cellStyle name="Heading 4 67 33" xfId="31426" xr:uid="{00000000-0005-0000-0000-0000DB7A0000}"/>
    <cellStyle name="Heading 4 67 34" xfId="31427" xr:uid="{00000000-0005-0000-0000-0000DC7A0000}"/>
    <cellStyle name="Heading 4 67 35" xfId="31428" xr:uid="{00000000-0005-0000-0000-0000DD7A0000}"/>
    <cellStyle name="Heading 4 67 36" xfId="31429" xr:uid="{00000000-0005-0000-0000-0000DE7A0000}"/>
    <cellStyle name="Heading 4 67 4" xfId="31430" xr:uid="{00000000-0005-0000-0000-0000DF7A0000}"/>
    <cellStyle name="Heading 4 67 5" xfId="31431" xr:uid="{00000000-0005-0000-0000-0000E07A0000}"/>
    <cellStyle name="Heading 4 67 6" xfId="31432" xr:uid="{00000000-0005-0000-0000-0000E17A0000}"/>
    <cellStyle name="Heading 4 67 7" xfId="31433" xr:uid="{00000000-0005-0000-0000-0000E27A0000}"/>
    <cellStyle name="Heading 4 67 8" xfId="31434" xr:uid="{00000000-0005-0000-0000-0000E37A0000}"/>
    <cellStyle name="Heading 4 67 9" xfId="31435" xr:uid="{00000000-0005-0000-0000-0000E47A0000}"/>
    <cellStyle name="Heading 4 68" xfId="31436" xr:uid="{00000000-0005-0000-0000-0000E57A0000}"/>
    <cellStyle name="Heading 4 68 10" xfId="31437" xr:uid="{00000000-0005-0000-0000-0000E67A0000}"/>
    <cellStyle name="Heading 4 68 11" xfId="31438" xr:uid="{00000000-0005-0000-0000-0000E77A0000}"/>
    <cellStyle name="Heading 4 68 12" xfId="31439" xr:uid="{00000000-0005-0000-0000-0000E87A0000}"/>
    <cellStyle name="Heading 4 68 13" xfId="31440" xr:uid="{00000000-0005-0000-0000-0000E97A0000}"/>
    <cellStyle name="Heading 4 68 14" xfId="31441" xr:uid="{00000000-0005-0000-0000-0000EA7A0000}"/>
    <cellStyle name="Heading 4 68 15" xfId="31442" xr:uid="{00000000-0005-0000-0000-0000EB7A0000}"/>
    <cellStyle name="Heading 4 68 16" xfId="31443" xr:uid="{00000000-0005-0000-0000-0000EC7A0000}"/>
    <cellStyle name="Heading 4 68 17" xfId="31444" xr:uid="{00000000-0005-0000-0000-0000ED7A0000}"/>
    <cellStyle name="Heading 4 68 18" xfId="31445" xr:uid="{00000000-0005-0000-0000-0000EE7A0000}"/>
    <cellStyle name="Heading 4 68 19" xfId="31446" xr:uid="{00000000-0005-0000-0000-0000EF7A0000}"/>
    <cellStyle name="Heading 4 68 2" xfId="31447" xr:uid="{00000000-0005-0000-0000-0000F07A0000}"/>
    <cellStyle name="Heading 4 68 20" xfId="31448" xr:uid="{00000000-0005-0000-0000-0000F17A0000}"/>
    <cellStyle name="Heading 4 68 21" xfId="31449" xr:uid="{00000000-0005-0000-0000-0000F27A0000}"/>
    <cellStyle name="Heading 4 68 22" xfId="31450" xr:uid="{00000000-0005-0000-0000-0000F37A0000}"/>
    <cellStyle name="Heading 4 68 23" xfId="31451" xr:uid="{00000000-0005-0000-0000-0000F47A0000}"/>
    <cellStyle name="Heading 4 68 24" xfId="31452" xr:uid="{00000000-0005-0000-0000-0000F57A0000}"/>
    <cellStyle name="Heading 4 68 25" xfId="31453" xr:uid="{00000000-0005-0000-0000-0000F67A0000}"/>
    <cellStyle name="Heading 4 68 26" xfId="31454" xr:uid="{00000000-0005-0000-0000-0000F77A0000}"/>
    <cellStyle name="Heading 4 68 27" xfId="31455" xr:uid="{00000000-0005-0000-0000-0000F87A0000}"/>
    <cellStyle name="Heading 4 68 28" xfId="31456" xr:uid="{00000000-0005-0000-0000-0000F97A0000}"/>
    <cellStyle name="Heading 4 68 29" xfId="31457" xr:uid="{00000000-0005-0000-0000-0000FA7A0000}"/>
    <cellStyle name="Heading 4 68 3" xfId="31458" xr:uid="{00000000-0005-0000-0000-0000FB7A0000}"/>
    <cellStyle name="Heading 4 68 30" xfId="31459" xr:uid="{00000000-0005-0000-0000-0000FC7A0000}"/>
    <cellStyle name="Heading 4 68 31" xfId="31460" xr:uid="{00000000-0005-0000-0000-0000FD7A0000}"/>
    <cellStyle name="Heading 4 68 32" xfId="31461" xr:uid="{00000000-0005-0000-0000-0000FE7A0000}"/>
    <cellStyle name="Heading 4 68 33" xfId="31462" xr:uid="{00000000-0005-0000-0000-0000FF7A0000}"/>
    <cellStyle name="Heading 4 68 34" xfId="31463" xr:uid="{00000000-0005-0000-0000-0000007B0000}"/>
    <cellStyle name="Heading 4 68 35" xfId="31464" xr:uid="{00000000-0005-0000-0000-0000017B0000}"/>
    <cellStyle name="Heading 4 68 36" xfId="31465" xr:uid="{00000000-0005-0000-0000-0000027B0000}"/>
    <cellStyle name="Heading 4 68 4" xfId="31466" xr:uid="{00000000-0005-0000-0000-0000037B0000}"/>
    <cellStyle name="Heading 4 68 5" xfId="31467" xr:uid="{00000000-0005-0000-0000-0000047B0000}"/>
    <cellStyle name="Heading 4 68 6" xfId="31468" xr:uid="{00000000-0005-0000-0000-0000057B0000}"/>
    <cellStyle name="Heading 4 68 7" xfId="31469" xr:uid="{00000000-0005-0000-0000-0000067B0000}"/>
    <cellStyle name="Heading 4 68 8" xfId="31470" xr:uid="{00000000-0005-0000-0000-0000077B0000}"/>
    <cellStyle name="Heading 4 68 9" xfId="31471" xr:uid="{00000000-0005-0000-0000-0000087B0000}"/>
    <cellStyle name="Heading 4 69" xfId="31472" xr:uid="{00000000-0005-0000-0000-0000097B0000}"/>
    <cellStyle name="Heading 4 69 2" xfId="31473" xr:uid="{00000000-0005-0000-0000-00000A7B0000}"/>
    <cellStyle name="Heading 4 7" xfId="31474" xr:uid="{00000000-0005-0000-0000-00000B7B0000}"/>
    <cellStyle name="Heading 4 7 2" xfId="31475" xr:uid="{00000000-0005-0000-0000-00000C7B0000}"/>
    <cellStyle name="Heading 4 70" xfId="31476" xr:uid="{00000000-0005-0000-0000-00000D7B0000}"/>
    <cellStyle name="Heading 4 70 2" xfId="31477" xr:uid="{00000000-0005-0000-0000-00000E7B0000}"/>
    <cellStyle name="Heading 4 71" xfId="31478" xr:uid="{00000000-0005-0000-0000-00000F7B0000}"/>
    <cellStyle name="Heading 4 71 2" xfId="31479" xr:uid="{00000000-0005-0000-0000-0000107B0000}"/>
    <cellStyle name="Heading 4 72" xfId="31480" xr:uid="{00000000-0005-0000-0000-0000117B0000}"/>
    <cellStyle name="Heading 4 72 2" xfId="31481" xr:uid="{00000000-0005-0000-0000-0000127B0000}"/>
    <cellStyle name="Heading 4 73" xfId="31482" xr:uid="{00000000-0005-0000-0000-0000137B0000}"/>
    <cellStyle name="Heading 4 73 2" xfId="31483" xr:uid="{00000000-0005-0000-0000-0000147B0000}"/>
    <cellStyle name="Heading 4 74" xfId="31484" xr:uid="{00000000-0005-0000-0000-0000157B0000}"/>
    <cellStyle name="Heading 4 74 2" xfId="31485" xr:uid="{00000000-0005-0000-0000-0000167B0000}"/>
    <cellStyle name="Heading 4 75" xfId="31486" xr:uid="{00000000-0005-0000-0000-0000177B0000}"/>
    <cellStyle name="Heading 4 75 2" xfId="31487" xr:uid="{00000000-0005-0000-0000-0000187B0000}"/>
    <cellStyle name="Heading 4 76" xfId="31488" xr:uid="{00000000-0005-0000-0000-0000197B0000}"/>
    <cellStyle name="Heading 4 76 2" xfId="31489" xr:uid="{00000000-0005-0000-0000-00001A7B0000}"/>
    <cellStyle name="Heading 4 77" xfId="31490" xr:uid="{00000000-0005-0000-0000-00001B7B0000}"/>
    <cellStyle name="Heading 4 77 2" xfId="31491" xr:uid="{00000000-0005-0000-0000-00001C7B0000}"/>
    <cellStyle name="Heading 4 78" xfId="31492" xr:uid="{00000000-0005-0000-0000-00001D7B0000}"/>
    <cellStyle name="Heading 4 78 2" xfId="31493" xr:uid="{00000000-0005-0000-0000-00001E7B0000}"/>
    <cellStyle name="Heading 4 79" xfId="31494" xr:uid="{00000000-0005-0000-0000-00001F7B0000}"/>
    <cellStyle name="Heading 4 79 2" xfId="31495" xr:uid="{00000000-0005-0000-0000-0000207B0000}"/>
    <cellStyle name="Heading 4 8" xfId="31496" xr:uid="{00000000-0005-0000-0000-0000217B0000}"/>
    <cellStyle name="Heading 4 80" xfId="31497" xr:uid="{00000000-0005-0000-0000-0000227B0000}"/>
    <cellStyle name="Heading 4 80 2" xfId="31498" xr:uid="{00000000-0005-0000-0000-0000237B0000}"/>
    <cellStyle name="Heading 4 81" xfId="31499" xr:uid="{00000000-0005-0000-0000-0000247B0000}"/>
    <cellStyle name="Heading 4 81 2" xfId="31500" xr:uid="{00000000-0005-0000-0000-0000257B0000}"/>
    <cellStyle name="Heading 4 82" xfId="31501" xr:uid="{00000000-0005-0000-0000-0000267B0000}"/>
    <cellStyle name="Heading 4 82 2" xfId="31502" xr:uid="{00000000-0005-0000-0000-0000277B0000}"/>
    <cellStyle name="Heading 4 83" xfId="31503" xr:uid="{00000000-0005-0000-0000-0000287B0000}"/>
    <cellStyle name="Heading 4 83 2" xfId="31504" xr:uid="{00000000-0005-0000-0000-0000297B0000}"/>
    <cellStyle name="Heading 4 84" xfId="31505" xr:uid="{00000000-0005-0000-0000-00002A7B0000}"/>
    <cellStyle name="Heading 4 84 2" xfId="31506" xr:uid="{00000000-0005-0000-0000-00002B7B0000}"/>
    <cellStyle name="Heading 4 85" xfId="31507" xr:uid="{00000000-0005-0000-0000-00002C7B0000}"/>
    <cellStyle name="Heading 4 85 2" xfId="31508" xr:uid="{00000000-0005-0000-0000-00002D7B0000}"/>
    <cellStyle name="Heading 4 86" xfId="31509" xr:uid="{00000000-0005-0000-0000-00002E7B0000}"/>
    <cellStyle name="Heading 4 86 2" xfId="31510" xr:uid="{00000000-0005-0000-0000-00002F7B0000}"/>
    <cellStyle name="Heading 4 87" xfId="31511" xr:uid="{00000000-0005-0000-0000-0000307B0000}"/>
    <cellStyle name="Heading 4 87 2" xfId="31512" xr:uid="{00000000-0005-0000-0000-0000317B0000}"/>
    <cellStyle name="Heading 4 88" xfId="31513" xr:uid="{00000000-0005-0000-0000-0000327B0000}"/>
    <cellStyle name="Heading 4 89" xfId="31514" xr:uid="{00000000-0005-0000-0000-0000337B0000}"/>
    <cellStyle name="Heading 4 89 2" xfId="31515" xr:uid="{00000000-0005-0000-0000-0000347B0000}"/>
    <cellStyle name="Heading 4 9" xfId="31516" xr:uid="{00000000-0005-0000-0000-0000357B0000}"/>
    <cellStyle name="Heading 4 9 2" xfId="31517" xr:uid="{00000000-0005-0000-0000-0000367B0000}"/>
    <cellStyle name="Heading 4 90" xfId="31518" xr:uid="{00000000-0005-0000-0000-0000377B0000}"/>
    <cellStyle name="Heading 4 90 2" xfId="31519" xr:uid="{00000000-0005-0000-0000-0000387B0000}"/>
    <cellStyle name="Heading 4 91" xfId="31520" xr:uid="{00000000-0005-0000-0000-0000397B0000}"/>
    <cellStyle name="Heading 4 91 2" xfId="31521" xr:uid="{00000000-0005-0000-0000-00003A7B0000}"/>
    <cellStyle name="Heading 4 92" xfId="31522" xr:uid="{00000000-0005-0000-0000-00003B7B0000}"/>
    <cellStyle name="Heading 4 92 2" xfId="31523" xr:uid="{00000000-0005-0000-0000-00003C7B0000}"/>
    <cellStyle name="Heading 4 93" xfId="31524" xr:uid="{00000000-0005-0000-0000-00003D7B0000}"/>
    <cellStyle name="Heading 4 93 2" xfId="31525" xr:uid="{00000000-0005-0000-0000-00003E7B0000}"/>
    <cellStyle name="Heading 4 94" xfId="31526" xr:uid="{00000000-0005-0000-0000-00003F7B0000}"/>
    <cellStyle name="Heading 4 94 2" xfId="31527" xr:uid="{00000000-0005-0000-0000-0000407B0000}"/>
    <cellStyle name="Heading 4 95" xfId="31528" xr:uid="{00000000-0005-0000-0000-0000417B0000}"/>
    <cellStyle name="Heading 4 96" xfId="31529" xr:uid="{00000000-0005-0000-0000-0000427B0000}"/>
    <cellStyle name="Heading 4 97" xfId="31530" xr:uid="{00000000-0005-0000-0000-0000437B0000}"/>
    <cellStyle name="Heading 4 98" xfId="31531" xr:uid="{00000000-0005-0000-0000-0000447B0000}"/>
    <cellStyle name="Heading 4 99" xfId="31532" xr:uid="{00000000-0005-0000-0000-0000457B0000}"/>
    <cellStyle name="Hyperlink 2" xfId="41003" xr:uid="{00000000-0005-0000-0000-0000467B0000}"/>
    <cellStyle name="Input" xfId="41010" builtinId="20" customBuiltin="1"/>
    <cellStyle name="Input 10" xfId="31533" xr:uid="{00000000-0005-0000-0000-0000487B0000}"/>
    <cellStyle name="Input 10 2" xfId="31534" xr:uid="{00000000-0005-0000-0000-0000497B0000}"/>
    <cellStyle name="Input 100" xfId="31535" xr:uid="{00000000-0005-0000-0000-00004A7B0000}"/>
    <cellStyle name="Input 101" xfId="31536" xr:uid="{00000000-0005-0000-0000-00004B7B0000}"/>
    <cellStyle name="Input 102" xfId="31537" xr:uid="{00000000-0005-0000-0000-00004C7B0000}"/>
    <cellStyle name="Input 103" xfId="31538" xr:uid="{00000000-0005-0000-0000-00004D7B0000}"/>
    <cellStyle name="Input 104" xfId="31539" xr:uid="{00000000-0005-0000-0000-00004E7B0000}"/>
    <cellStyle name="Input 105" xfId="31540" xr:uid="{00000000-0005-0000-0000-00004F7B0000}"/>
    <cellStyle name="Input 106" xfId="31541" xr:uid="{00000000-0005-0000-0000-0000507B0000}"/>
    <cellStyle name="Input 107" xfId="31542" xr:uid="{00000000-0005-0000-0000-0000517B0000}"/>
    <cellStyle name="Input 108" xfId="31543" xr:uid="{00000000-0005-0000-0000-0000527B0000}"/>
    <cellStyle name="Input 109" xfId="31544" xr:uid="{00000000-0005-0000-0000-0000537B0000}"/>
    <cellStyle name="Input 11" xfId="31545" xr:uid="{00000000-0005-0000-0000-0000547B0000}"/>
    <cellStyle name="Input 11 2" xfId="31546" xr:uid="{00000000-0005-0000-0000-0000557B0000}"/>
    <cellStyle name="Input 110" xfId="31547" xr:uid="{00000000-0005-0000-0000-0000567B0000}"/>
    <cellStyle name="Input 111" xfId="31548" xr:uid="{00000000-0005-0000-0000-0000577B0000}"/>
    <cellStyle name="Input 112" xfId="31549" xr:uid="{00000000-0005-0000-0000-0000587B0000}"/>
    <cellStyle name="Input 113" xfId="31550" xr:uid="{00000000-0005-0000-0000-0000597B0000}"/>
    <cellStyle name="Input 114" xfId="31551" xr:uid="{00000000-0005-0000-0000-00005A7B0000}"/>
    <cellStyle name="Input 115" xfId="31552" xr:uid="{00000000-0005-0000-0000-00005B7B0000}"/>
    <cellStyle name="Input 116" xfId="31553" xr:uid="{00000000-0005-0000-0000-00005C7B0000}"/>
    <cellStyle name="Input 117" xfId="31554" xr:uid="{00000000-0005-0000-0000-00005D7B0000}"/>
    <cellStyle name="Input 118" xfId="31555" xr:uid="{00000000-0005-0000-0000-00005E7B0000}"/>
    <cellStyle name="Input 119" xfId="31556" xr:uid="{00000000-0005-0000-0000-00005F7B0000}"/>
    <cellStyle name="Input 12" xfId="31557" xr:uid="{00000000-0005-0000-0000-0000607B0000}"/>
    <cellStyle name="Input 12 2" xfId="31558" xr:uid="{00000000-0005-0000-0000-0000617B0000}"/>
    <cellStyle name="Input 120" xfId="31559" xr:uid="{00000000-0005-0000-0000-0000627B0000}"/>
    <cellStyle name="Input 121" xfId="31560" xr:uid="{00000000-0005-0000-0000-0000637B0000}"/>
    <cellStyle name="Input 122" xfId="31561" xr:uid="{00000000-0005-0000-0000-0000647B0000}"/>
    <cellStyle name="Input 123" xfId="31562" xr:uid="{00000000-0005-0000-0000-0000657B0000}"/>
    <cellStyle name="Input 124" xfId="31563" xr:uid="{00000000-0005-0000-0000-0000667B0000}"/>
    <cellStyle name="Input 125" xfId="31564" xr:uid="{00000000-0005-0000-0000-0000677B0000}"/>
    <cellStyle name="Input 126" xfId="31565" xr:uid="{00000000-0005-0000-0000-0000687B0000}"/>
    <cellStyle name="Input 127" xfId="31566" xr:uid="{00000000-0005-0000-0000-0000697B0000}"/>
    <cellStyle name="Input 128" xfId="31567" xr:uid="{00000000-0005-0000-0000-00006A7B0000}"/>
    <cellStyle name="Input 129" xfId="31568" xr:uid="{00000000-0005-0000-0000-00006B7B0000}"/>
    <cellStyle name="Input 13" xfId="31569" xr:uid="{00000000-0005-0000-0000-00006C7B0000}"/>
    <cellStyle name="Input 13 2" xfId="31570" xr:uid="{00000000-0005-0000-0000-00006D7B0000}"/>
    <cellStyle name="Input 130" xfId="31571" xr:uid="{00000000-0005-0000-0000-00006E7B0000}"/>
    <cellStyle name="Input 131" xfId="31572" xr:uid="{00000000-0005-0000-0000-00006F7B0000}"/>
    <cellStyle name="Input 132" xfId="31573" xr:uid="{00000000-0005-0000-0000-0000707B0000}"/>
    <cellStyle name="Input 133" xfId="31574" xr:uid="{00000000-0005-0000-0000-0000717B0000}"/>
    <cellStyle name="Input 14" xfId="31575" xr:uid="{00000000-0005-0000-0000-0000727B0000}"/>
    <cellStyle name="Input 14 2" xfId="31576" xr:uid="{00000000-0005-0000-0000-0000737B0000}"/>
    <cellStyle name="Input 15" xfId="31577" xr:uid="{00000000-0005-0000-0000-0000747B0000}"/>
    <cellStyle name="Input 15 2" xfId="31578" xr:uid="{00000000-0005-0000-0000-0000757B0000}"/>
    <cellStyle name="Input 16" xfId="31579" xr:uid="{00000000-0005-0000-0000-0000767B0000}"/>
    <cellStyle name="Input 16 2" xfId="31580" xr:uid="{00000000-0005-0000-0000-0000777B0000}"/>
    <cellStyle name="Input 17" xfId="31581" xr:uid="{00000000-0005-0000-0000-0000787B0000}"/>
    <cellStyle name="Input 17 2" xfId="31582" xr:uid="{00000000-0005-0000-0000-0000797B0000}"/>
    <cellStyle name="Input 18" xfId="31583" xr:uid="{00000000-0005-0000-0000-00007A7B0000}"/>
    <cellStyle name="Input 18 2" xfId="31584" xr:uid="{00000000-0005-0000-0000-00007B7B0000}"/>
    <cellStyle name="Input 19" xfId="31585" xr:uid="{00000000-0005-0000-0000-00007C7B0000}"/>
    <cellStyle name="Input 19 2" xfId="31586" xr:uid="{00000000-0005-0000-0000-00007D7B0000}"/>
    <cellStyle name="Input 2" xfId="31587" xr:uid="{00000000-0005-0000-0000-00007E7B0000}"/>
    <cellStyle name="Input 2 2" xfId="31588" xr:uid="{00000000-0005-0000-0000-00007F7B0000}"/>
    <cellStyle name="Input 2 2 2" xfId="31589" xr:uid="{00000000-0005-0000-0000-0000807B0000}"/>
    <cellStyle name="Input 2 2 2 2" xfId="31590" xr:uid="{00000000-0005-0000-0000-0000817B0000}"/>
    <cellStyle name="Input 2 2 2 2 2" xfId="31591" xr:uid="{00000000-0005-0000-0000-0000827B0000}"/>
    <cellStyle name="Input 2 3" xfId="31592" xr:uid="{00000000-0005-0000-0000-0000837B0000}"/>
    <cellStyle name="Input 2 4" xfId="31593" xr:uid="{00000000-0005-0000-0000-0000847B0000}"/>
    <cellStyle name="Input 2 5" xfId="41068" xr:uid="{00000000-0005-0000-0000-000024000000}"/>
    <cellStyle name="Input 20" xfId="31594" xr:uid="{00000000-0005-0000-0000-0000857B0000}"/>
    <cellStyle name="Input 20 2" xfId="31595" xr:uid="{00000000-0005-0000-0000-0000867B0000}"/>
    <cellStyle name="Input 21" xfId="31596" xr:uid="{00000000-0005-0000-0000-0000877B0000}"/>
    <cellStyle name="Input 21 2" xfId="31597" xr:uid="{00000000-0005-0000-0000-0000887B0000}"/>
    <cellStyle name="Input 22" xfId="31598" xr:uid="{00000000-0005-0000-0000-0000897B0000}"/>
    <cellStyle name="Input 22 2" xfId="31599" xr:uid="{00000000-0005-0000-0000-00008A7B0000}"/>
    <cellStyle name="Input 23" xfId="31600" xr:uid="{00000000-0005-0000-0000-00008B7B0000}"/>
    <cellStyle name="Input 23 2" xfId="31601" xr:uid="{00000000-0005-0000-0000-00008C7B0000}"/>
    <cellStyle name="Input 24" xfId="31602" xr:uid="{00000000-0005-0000-0000-00008D7B0000}"/>
    <cellStyle name="Input 24 2" xfId="31603" xr:uid="{00000000-0005-0000-0000-00008E7B0000}"/>
    <cellStyle name="Input 25" xfId="31604" xr:uid="{00000000-0005-0000-0000-00008F7B0000}"/>
    <cellStyle name="Input 25 2" xfId="31605" xr:uid="{00000000-0005-0000-0000-0000907B0000}"/>
    <cellStyle name="Input 26" xfId="31606" xr:uid="{00000000-0005-0000-0000-0000917B0000}"/>
    <cellStyle name="Input 26 2" xfId="31607" xr:uid="{00000000-0005-0000-0000-0000927B0000}"/>
    <cellStyle name="Input 27" xfId="31608" xr:uid="{00000000-0005-0000-0000-0000937B0000}"/>
    <cellStyle name="Input 27 2" xfId="31609" xr:uid="{00000000-0005-0000-0000-0000947B0000}"/>
    <cellStyle name="Input 28" xfId="31610" xr:uid="{00000000-0005-0000-0000-0000957B0000}"/>
    <cellStyle name="Input 28 2" xfId="31611" xr:uid="{00000000-0005-0000-0000-0000967B0000}"/>
    <cellStyle name="Input 29" xfId="31612" xr:uid="{00000000-0005-0000-0000-0000977B0000}"/>
    <cellStyle name="Input 29 2" xfId="31613" xr:uid="{00000000-0005-0000-0000-0000987B0000}"/>
    <cellStyle name="Input 3" xfId="31614" xr:uid="{00000000-0005-0000-0000-0000997B0000}"/>
    <cellStyle name="Input 3 2" xfId="31615" xr:uid="{00000000-0005-0000-0000-00009A7B0000}"/>
    <cellStyle name="Input 3 2 2" xfId="31616" xr:uid="{00000000-0005-0000-0000-00009B7B0000}"/>
    <cellStyle name="Input 3 3" xfId="31617" xr:uid="{00000000-0005-0000-0000-00009C7B0000}"/>
    <cellStyle name="Input 3 4" xfId="31618" xr:uid="{00000000-0005-0000-0000-00009D7B0000}"/>
    <cellStyle name="Input 3_MAR 2009" xfId="31619" xr:uid="{00000000-0005-0000-0000-00009E7B0000}"/>
    <cellStyle name="Input 30" xfId="31620" xr:uid="{00000000-0005-0000-0000-00009F7B0000}"/>
    <cellStyle name="Input 30 2" xfId="31621" xr:uid="{00000000-0005-0000-0000-0000A07B0000}"/>
    <cellStyle name="Input 31" xfId="31622" xr:uid="{00000000-0005-0000-0000-0000A17B0000}"/>
    <cellStyle name="Input 31 2" xfId="31623" xr:uid="{00000000-0005-0000-0000-0000A27B0000}"/>
    <cellStyle name="Input 32" xfId="31624" xr:uid="{00000000-0005-0000-0000-0000A37B0000}"/>
    <cellStyle name="Input 32 2" xfId="31625" xr:uid="{00000000-0005-0000-0000-0000A47B0000}"/>
    <cellStyle name="Input 33" xfId="31626" xr:uid="{00000000-0005-0000-0000-0000A57B0000}"/>
    <cellStyle name="Input 33 2" xfId="31627" xr:uid="{00000000-0005-0000-0000-0000A67B0000}"/>
    <cellStyle name="Input 34" xfId="31628" xr:uid="{00000000-0005-0000-0000-0000A77B0000}"/>
    <cellStyle name="Input 34 2" xfId="31629" xr:uid="{00000000-0005-0000-0000-0000A87B0000}"/>
    <cellStyle name="Input 35" xfId="31630" xr:uid="{00000000-0005-0000-0000-0000A97B0000}"/>
    <cellStyle name="Input 35 2" xfId="31631" xr:uid="{00000000-0005-0000-0000-0000AA7B0000}"/>
    <cellStyle name="Input 36" xfId="31632" xr:uid="{00000000-0005-0000-0000-0000AB7B0000}"/>
    <cellStyle name="Input 36 2" xfId="31633" xr:uid="{00000000-0005-0000-0000-0000AC7B0000}"/>
    <cellStyle name="Input 37" xfId="31634" xr:uid="{00000000-0005-0000-0000-0000AD7B0000}"/>
    <cellStyle name="Input 37 2" xfId="31635" xr:uid="{00000000-0005-0000-0000-0000AE7B0000}"/>
    <cellStyle name="Input 38" xfId="31636" xr:uid="{00000000-0005-0000-0000-0000AF7B0000}"/>
    <cellStyle name="Input 38 2" xfId="31637" xr:uid="{00000000-0005-0000-0000-0000B07B0000}"/>
    <cellStyle name="Input 39" xfId="31638" xr:uid="{00000000-0005-0000-0000-0000B17B0000}"/>
    <cellStyle name="Input 39 2" xfId="31639" xr:uid="{00000000-0005-0000-0000-0000B27B0000}"/>
    <cellStyle name="Input 4" xfId="31640" xr:uid="{00000000-0005-0000-0000-0000B37B0000}"/>
    <cellStyle name="Input 4 2" xfId="31641" xr:uid="{00000000-0005-0000-0000-0000B47B0000}"/>
    <cellStyle name="Input 4 2 2" xfId="31642" xr:uid="{00000000-0005-0000-0000-0000B57B0000}"/>
    <cellStyle name="Input 4 3" xfId="31643" xr:uid="{00000000-0005-0000-0000-0000B67B0000}"/>
    <cellStyle name="Input 40" xfId="31644" xr:uid="{00000000-0005-0000-0000-0000B77B0000}"/>
    <cellStyle name="Input 40 2" xfId="31645" xr:uid="{00000000-0005-0000-0000-0000B87B0000}"/>
    <cellStyle name="Input 41" xfId="31646" xr:uid="{00000000-0005-0000-0000-0000B97B0000}"/>
    <cellStyle name="Input 41 2" xfId="31647" xr:uid="{00000000-0005-0000-0000-0000BA7B0000}"/>
    <cellStyle name="Input 42" xfId="31648" xr:uid="{00000000-0005-0000-0000-0000BB7B0000}"/>
    <cellStyle name="Input 42 2" xfId="31649" xr:uid="{00000000-0005-0000-0000-0000BC7B0000}"/>
    <cellStyle name="Input 43" xfId="31650" xr:uid="{00000000-0005-0000-0000-0000BD7B0000}"/>
    <cellStyle name="Input 43 2" xfId="31651" xr:uid="{00000000-0005-0000-0000-0000BE7B0000}"/>
    <cellStyle name="Input 44" xfId="31652" xr:uid="{00000000-0005-0000-0000-0000BF7B0000}"/>
    <cellStyle name="Input 44 2" xfId="31653" xr:uid="{00000000-0005-0000-0000-0000C07B0000}"/>
    <cellStyle name="Input 45" xfId="31654" xr:uid="{00000000-0005-0000-0000-0000C17B0000}"/>
    <cellStyle name="Input 45 2" xfId="31655" xr:uid="{00000000-0005-0000-0000-0000C27B0000}"/>
    <cellStyle name="Input 46" xfId="31656" xr:uid="{00000000-0005-0000-0000-0000C37B0000}"/>
    <cellStyle name="Input 46 2" xfId="31657" xr:uid="{00000000-0005-0000-0000-0000C47B0000}"/>
    <cellStyle name="Input 47" xfId="31658" xr:uid="{00000000-0005-0000-0000-0000C57B0000}"/>
    <cellStyle name="Input 47 2" xfId="31659" xr:uid="{00000000-0005-0000-0000-0000C67B0000}"/>
    <cellStyle name="Input 48" xfId="31660" xr:uid="{00000000-0005-0000-0000-0000C77B0000}"/>
    <cellStyle name="Input 48 2" xfId="31661" xr:uid="{00000000-0005-0000-0000-0000C87B0000}"/>
    <cellStyle name="Input 49" xfId="31662" xr:uid="{00000000-0005-0000-0000-0000C97B0000}"/>
    <cellStyle name="Input 49 2" xfId="31663" xr:uid="{00000000-0005-0000-0000-0000CA7B0000}"/>
    <cellStyle name="Input 5" xfId="31664" xr:uid="{00000000-0005-0000-0000-0000CB7B0000}"/>
    <cellStyle name="Input 5 2" xfId="31665" xr:uid="{00000000-0005-0000-0000-0000CC7B0000}"/>
    <cellStyle name="Input 5 2 2" xfId="31666" xr:uid="{00000000-0005-0000-0000-0000CD7B0000}"/>
    <cellStyle name="Input 5 3" xfId="31667" xr:uid="{00000000-0005-0000-0000-0000CE7B0000}"/>
    <cellStyle name="Input 50" xfId="31668" xr:uid="{00000000-0005-0000-0000-0000CF7B0000}"/>
    <cellStyle name="Input 50 2" xfId="31669" xr:uid="{00000000-0005-0000-0000-0000D07B0000}"/>
    <cellStyle name="Input 51" xfId="31670" xr:uid="{00000000-0005-0000-0000-0000D17B0000}"/>
    <cellStyle name="Input 51 2" xfId="31671" xr:uid="{00000000-0005-0000-0000-0000D27B0000}"/>
    <cellStyle name="Input 52" xfId="31672" xr:uid="{00000000-0005-0000-0000-0000D37B0000}"/>
    <cellStyle name="Input 52 2" xfId="31673" xr:uid="{00000000-0005-0000-0000-0000D47B0000}"/>
    <cellStyle name="Input 53" xfId="31674" xr:uid="{00000000-0005-0000-0000-0000D57B0000}"/>
    <cellStyle name="Input 53 2" xfId="31675" xr:uid="{00000000-0005-0000-0000-0000D67B0000}"/>
    <cellStyle name="Input 54" xfId="31676" xr:uid="{00000000-0005-0000-0000-0000D77B0000}"/>
    <cellStyle name="Input 54 2" xfId="31677" xr:uid="{00000000-0005-0000-0000-0000D87B0000}"/>
    <cellStyle name="Input 55" xfId="31678" xr:uid="{00000000-0005-0000-0000-0000D97B0000}"/>
    <cellStyle name="Input 55 2" xfId="31679" xr:uid="{00000000-0005-0000-0000-0000DA7B0000}"/>
    <cellStyle name="Input 56" xfId="31680" xr:uid="{00000000-0005-0000-0000-0000DB7B0000}"/>
    <cellStyle name="Input 56 2" xfId="31681" xr:uid="{00000000-0005-0000-0000-0000DC7B0000}"/>
    <cellStyle name="Input 57" xfId="31682" xr:uid="{00000000-0005-0000-0000-0000DD7B0000}"/>
    <cellStyle name="Input 57 2" xfId="31683" xr:uid="{00000000-0005-0000-0000-0000DE7B0000}"/>
    <cellStyle name="Input 58" xfId="31684" xr:uid="{00000000-0005-0000-0000-0000DF7B0000}"/>
    <cellStyle name="Input 58 2" xfId="31685" xr:uid="{00000000-0005-0000-0000-0000E07B0000}"/>
    <cellStyle name="Input 59" xfId="31686" xr:uid="{00000000-0005-0000-0000-0000E17B0000}"/>
    <cellStyle name="Input 6" xfId="31687" xr:uid="{00000000-0005-0000-0000-0000E27B0000}"/>
    <cellStyle name="Input 6 2" xfId="31688" xr:uid="{00000000-0005-0000-0000-0000E37B0000}"/>
    <cellStyle name="Input 6 3" xfId="31689" xr:uid="{00000000-0005-0000-0000-0000E47B0000}"/>
    <cellStyle name="Input 60" xfId="31690" xr:uid="{00000000-0005-0000-0000-0000E57B0000}"/>
    <cellStyle name="Input 61" xfId="31691" xr:uid="{00000000-0005-0000-0000-0000E67B0000}"/>
    <cellStyle name="Input 62" xfId="31692" xr:uid="{00000000-0005-0000-0000-0000E77B0000}"/>
    <cellStyle name="Input 63" xfId="31693" xr:uid="{00000000-0005-0000-0000-0000E87B0000}"/>
    <cellStyle name="Input 63 2" xfId="31694" xr:uid="{00000000-0005-0000-0000-0000E97B0000}"/>
    <cellStyle name="Input 64" xfId="31695" xr:uid="{00000000-0005-0000-0000-0000EA7B0000}"/>
    <cellStyle name="Input 64 2" xfId="31696" xr:uid="{00000000-0005-0000-0000-0000EB7B0000}"/>
    <cellStyle name="Input 65" xfId="31697" xr:uid="{00000000-0005-0000-0000-0000EC7B0000}"/>
    <cellStyle name="Input 65 2" xfId="31698" xr:uid="{00000000-0005-0000-0000-0000ED7B0000}"/>
    <cellStyle name="Input 66" xfId="31699" xr:uid="{00000000-0005-0000-0000-0000EE7B0000}"/>
    <cellStyle name="Input 66 2" xfId="31700" xr:uid="{00000000-0005-0000-0000-0000EF7B0000}"/>
    <cellStyle name="Input 67" xfId="31701" xr:uid="{00000000-0005-0000-0000-0000F07B0000}"/>
    <cellStyle name="Input 67 2" xfId="31702" xr:uid="{00000000-0005-0000-0000-0000F17B0000}"/>
    <cellStyle name="Input 68" xfId="31703" xr:uid="{00000000-0005-0000-0000-0000F27B0000}"/>
    <cellStyle name="Input 68 2" xfId="31704" xr:uid="{00000000-0005-0000-0000-0000F37B0000}"/>
    <cellStyle name="Input 69" xfId="31705" xr:uid="{00000000-0005-0000-0000-0000F47B0000}"/>
    <cellStyle name="Input 69 2" xfId="31706" xr:uid="{00000000-0005-0000-0000-0000F57B0000}"/>
    <cellStyle name="Input 7" xfId="31707" xr:uid="{00000000-0005-0000-0000-0000F67B0000}"/>
    <cellStyle name="Input 7 2" xfId="31708" xr:uid="{00000000-0005-0000-0000-0000F77B0000}"/>
    <cellStyle name="Input 70" xfId="31709" xr:uid="{00000000-0005-0000-0000-0000F87B0000}"/>
    <cellStyle name="Input 70 2" xfId="31710" xr:uid="{00000000-0005-0000-0000-0000F97B0000}"/>
    <cellStyle name="Input 71" xfId="31711" xr:uid="{00000000-0005-0000-0000-0000FA7B0000}"/>
    <cellStyle name="Input 71 2" xfId="31712" xr:uid="{00000000-0005-0000-0000-0000FB7B0000}"/>
    <cellStyle name="Input 72" xfId="31713" xr:uid="{00000000-0005-0000-0000-0000FC7B0000}"/>
    <cellStyle name="Input 72 2" xfId="31714" xr:uid="{00000000-0005-0000-0000-0000FD7B0000}"/>
    <cellStyle name="Input 73" xfId="31715" xr:uid="{00000000-0005-0000-0000-0000FE7B0000}"/>
    <cellStyle name="Input 73 2" xfId="31716" xr:uid="{00000000-0005-0000-0000-0000FF7B0000}"/>
    <cellStyle name="Input 74" xfId="31717" xr:uid="{00000000-0005-0000-0000-0000007C0000}"/>
    <cellStyle name="Input 74 2" xfId="31718" xr:uid="{00000000-0005-0000-0000-0000017C0000}"/>
    <cellStyle name="Input 75" xfId="31719" xr:uid="{00000000-0005-0000-0000-0000027C0000}"/>
    <cellStyle name="Input 75 2" xfId="31720" xr:uid="{00000000-0005-0000-0000-0000037C0000}"/>
    <cellStyle name="Input 76" xfId="31721" xr:uid="{00000000-0005-0000-0000-0000047C0000}"/>
    <cellStyle name="Input 76 2" xfId="31722" xr:uid="{00000000-0005-0000-0000-0000057C0000}"/>
    <cellStyle name="Input 77" xfId="31723" xr:uid="{00000000-0005-0000-0000-0000067C0000}"/>
    <cellStyle name="Input 77 2" xfId="31724" xr:uid="{00000000-0005-0000-0000-0000077C0000}"/>
    <cellStyle name="Input 78" xfId="31725" xr:uid="{00000000-0005-0000-0000-0000087C0000}"/>
    <cellStyle name="Input 78 2" xfId="31726" xr:uid="{00000000-0005-0000-0000-0000097C0000}"/>
    <cellStyle name="Input 79" xfId="31727" xr:uid="{00000000-0005-0000-0000-00000A7C0000}"/>
    <cellStyle name="Input 79 2" xfId="31728" xr:uid="{00000000-0005-0000-0000-00000B7C0000}"/>
    <cellStyle name="Input 8" xfId="31729" xr:uid="{00000000-0005-0000-0000-00000C7C0000}"/>
    <cellStyle name="Input 8 2" xfId="31730" xr:uid="{00000000-0005-0000-0000-00000D7C0000}"/>
    <cellStyle name="Input 80" xfId="31731" xr:uid="{00000000-0005-0000-0000-00000E7C0000}"/>
    <cellStyle name="Input 80 2" xfId="31732" xr:uid="{00000000-0005-0000-0000-00000F7C0000}"/>
    <cellStyle name="Input 81" xfId="31733" xr:uid="{00000000-0005-0000-0000-0000107C0000}"/>
    <cellStyle name="Input 81 2" xfId="31734" xr:uid="{00000000-0005-0000-0000-0000117C0000}"/>
    <cellStyle name="Input 82" xfId="31735" xr:uid="{00000000-0005-0000-0000-0000127C0000}"/>
    <cellStyle name="Input 82 2" xfId="31736" xr:uid="{00000000-0005-0000-0000-0000137C0000}"/>
    <cellStyle name="Input 83" xfId="31737" xr:uid="{00000000-0005-0000-0000-0000147C0000}"/>
    <cellStyle name="Input 83 2" xfId="31738" xr:uid="{00000000-0005-0000-0000-0000157C0000}"/>
    <cellStyle name="Input 84" xfId="31739" xr:uid="{00000000-0005-0000-0000-0000167C0000}"/>
    <cellStyle name="Input 84 2" xfId="31740" xr:uid="{00000000-0005-0000-0000-0000177C0000}"/>
    <cellStyle name="Input 85" xfId="31741" xr:uid="{00000000-0005-0000-0000-0000187C0000}"/>
    <cellStyle name="Input 85 2" xfId="31742" xr:uid="{00000000-0005-0000-0000-0000197C0000}"/>
    <cellStyle name="Input 86" xfId="31743" xr:uid="{00000000-0005-0000-0000-00001A7C0000}"/>
    <cellStyle name="Input 86 2" xfId="31744" xr:uid="{00000000-0005-0000-0000-00001B7C0000}"/>
    <cellStyle name="Input 87" xfId="31745" xr:uid="{00000000-0005-0000-0000-00001C7C0000}"/>
    <cellStyle name="Input 87 2" xfId="31746" xr:uid="{00000000-0005-0000-0000-00001D7C0000}"/>
    <cellStyle name="Input 88" xfId="31747" xr:uid="{00000000-0005-0000-0000-00001E7C0000}"/>
    <cellStyle name="Input 89" xfId="31748" xr:uid="{00000000-0005-0000-0000-00001F7C0000}"/>
    <cellStyle name="Input 89 2" xfId="31749" xr:uid="{00000000-0005-0000-0000-0000207C0000}"/>
    <cellStyle name="Input 9" xfId="31750" xr:uid="{00000000-0005-0000-0000-0000217C0000}"/>
    <cellStyle name="Input 9 2" xfId="31751" xr:uid="{00000000-0005-0000-0000-0000227C0000}"/>
    <cellStyle name="Input 90" xfId="31752" xr:uid="{00000000-0005-0000-0000-0000237C0000}"/>
    <cellStyle name="Input 90 2" xfId="31753" xr:uid="{00000000-0005-0000-0000-0000247C0000}"/>
    <cellStyle name="Input 91" xfId="31754" xr:uid="{00000000-0005-0000-0000-0000257C0000}"/>
    <cellStyle name="Input 91 2" xfId="31755" xr:uid="{00000000-0005-0000-0000-0000267C0000}"/>
    <cellStyle name="Input 92" xfId="31756" xr:uid="{00000000-0005-0000-0000-0000277C0000}"/>
    <cellStyle name="Input 92 2" xfId="31757" xr:uid="{00000000-0005-0000-0000-0000287C0000}"/>
    <cellStyle name="Input 93" xfId="31758" xr:uid="{00000000-0005-0000-0000-0000297C0000}"/>
    <cellStyle name="Input 93 2" xfId="31759" xr:uid="{00000000-0005-0000-0000-00002A7C0000}"/>
    <cellStyle name="Input 94" xfId="31760" xr:uid="{00000000-0005-0000-0000-00002B7C0000}"/>
    <cellStyle name="Input 94 2" xfId="31761" xr:uid="{00000000-0005-0000-0000-00002C7C0000}"/>
    <cellStyle name="Input 95" xfId="31762" xr:uid="{00000000-0005-0000-0000-00002D7C0000}"/>
    <cellStyle name="Input 96" xfId="31763" xr:uid="{00000000-0005-0000-0000-00002E7C0000}"/>
    <cellStyle name="Input 97" xfId="31764" xr:uid="{00000000-0005-0000-0000-00002F7C0000}"/>
    <cellStyle name="Input 98" xfId="31765" xr:uid="{00000000-0005-0000-0000-0000307C0000}"/>
    <cellStyle name="Input 99" xfId="31766" xr:uid="{00000000-0005-0000-0000-0000317C0000}"/>
    <cellStyle name="Linked Cell" xfId="41013" builtinId="24" customBuiltin="1"/>
    <cellStyle name="Linked Cell 10" xfId="31767" xr:uid="{00000000-0005-0000-0000-0000337C0000}"/>
    <cellStyle name="Linked Cell 10 2" xfId="31768" xr:uid="{00000000-0005-0000-0000-0000347C0000}"/>
    <cellStyle name="Linked Cell 100" xfId="31769" xr:uid="{00000000-0005-0000-0000-0000357C0000}"/>
    <cellStyle name="Linked Cell 101" xfId="31770" xr:uid="{00000000-0005-0000-0000-0000367C0000}"/>
    <cellStyle name="Linked Cell 102" xfId="31771" xr:uid="{00000000-0005-0000-0000-0000377C0000}"/>
    <cellStyle name="Linked Cell 103" xfId="31772" xr:uid="{00000000-0005-0000-0000-0000387C0000}"/>
    <cellStyle name="Linked Cell 104" xfId="31773" xr:uid="{00000000-0005-0000-0000-0000397C0000}"/>
    <cellStyle name="Linked Cell 105" xfId="31774" xr:uid="{00000000-0005-0000-0000-00003A7C0000}"/>
    <cellStyle name="Linked Cell 106" xfId="31775" xr:uid="{00000000-0005-0000-0000-00003B7C0000}"/>
    <cellStyle name="Linked Cell 107" xfId="31776" xr:uid="{00000000-0005-0000-0000-00003C7C0000}"/>
    <cellStyle name="Linked Cell 108" xfId="31777" xr:uid="{00000000-0005-0000-0000-00003D7C0000}"/>
    <cellStyle name="Linked Cell 109" xfId="31778" xr:uid="{00000000-0005-0000-0000-00003E7C0000}"/>
    <cellStyle name="Linked Cell 11" xfId="31779" xr:uid="{00000000-0005-0000-0000-00003F7C0000}"/>
    <cellStyle name="Linked Cell 11 2" xfId="31780" xr:uid="{00000000-0005-0000-0000-0000407C0000}"/>
    <cellStyle name="Linked Cell 110" xfId="31781" xr:uid="{00000000-0005-0000-0000-0000417C0000}"/>
    <cellStyle name="Linked Cell 111" xfId="31782" xr:uid="{00000000-0005-0000-0000-0000427C0000}"/>
    <cellStyle name="Linked Cell 112" xfId="31783" xr:uid="{00000000-0005-0000-0000-0000437C0000}"/>
    <cellStyle name="Linked Cell 113" xfId="31784" xr:uid="{00000000-0005-0000-0000-0000447C0000}"/>
    <cellStyle name="Linked Cell 114" xfId="31785" xr:uid="{00000000-0005-0000-0000-0000457C0000}"/>
    <cellStyle name="Linked Cell 115" xfId="31786" xr:uid="{00000000-0005-0000-0000-0000467C0000}"/>
    <cellStyle name="Linked Cell 116" xfId="31787" xr:uid="{00000000-0005-0000-0000-0000477C0000}"/>
    <cellStyle name="Linked Cell 117" xfId="31788" xr:uid="{00000000-0005-0000-0000-0000487C0000}"/>
    <cellStyle name="Linked Cell 118" xfId="31789" xr:uid="{00000000-0005-0000-0000-0000497C0000}"/>
    <cellStyle name="Linked Cell 119" xfId="31790" xr:uid="{00000000-0005-0000-0000-00004A7C0000}"/>
    <cellStyle name="Linked Cell 12" xfId="31791" xr:uid="{00000000-0005-0000-0000-00004B7C0000}"/>
    <cellStyle name="Linked Cell 12 2" xfId="31792" xr:uid="{00000000-0005-0000-0000-00004C7C0000}"/>
    <cellStyle name="Linked Cell 120" xfId="31793" xr:uid="{00000000-0005-0000-0000-00004D7C0000}"/>
    <cellStyle name="Linked Cell 121" xfId="31794" xr:uid="{00000000-0005-0000-0000-00004E7C0000}"/>
    <cellStyle name="Linked Cell 122" xfId="31795" xr:uid="{00000000-0005-0000-0000-00004F7C0000}"/>
    <cellStyle name="Linked Cell 123" xfId="31796" xr:uid="{00000000-0005-0000-0000-0000507C0000}"/>
    <cellStyle name="Linked Cell 124" xfId="31797" xr:uid="{00000000-0005-0000-0000-0000517C0000}"/>
    <cellStyle name="Linked Cell 125" xfId="31798" xr:uid="{00000000-0005-0000-0000-0000527C0000}"/>
    <cellStyle name="Linked Cell 126" xfId="31799" xr:uid="{00000000-0005-0000-0000-0000537C0000}"/>
    <cellStyle name="Linked Cell 127" xfId="31800" xr:uid="{00000000-0005-0000-0000-0000547C0000}"/>
    <cellStyle name="Linked Cell 128" xfId="31801" xr:uid="{00000000-0005-0000-0000-0000557C0000}"/>
    <cellStyle name="Linked Cell 129" xfId="31802" xr:uid="{00000000-0005-0000-0000-0000567C0000}"/>
    <cellStyle name="Linked Cell 13" xfId="31803" xr:uid="{00000000-0005-0000-0000-0000577C0000}"/>
    <cellStyle name="Linked Cell 13 2" xfId="31804" xr:uid="{00000000-0005-0000-0000-0000587C0000}"/>
    <cellStyle name="Linked Cell 130" xfId="31805" xr:uid="{00000000-0005-0000-0000-0000597C0000}"/>
    <cellStyle name="Linked Cell 131" xfId="31806" xr:uid="{00000000-0005-0000-0000-00005A7C0000}"/>
    <cellStyle name="Linked Cell 132" xfId="31807" xr:uid="{00000000-0005-0000-0000-00005B7C0000}"/>
    <cellStyle name="Linked Cell 133" xfId="31808" xr:uid="{00000000-0005-0000-0000-00005C7C0000}"/>
    <cellStyle name="Linked Cell 14" xfId="31809" xr:uid="{00000000-0005-0000-0000-00005D7C0000}"/>
    <cellStyle name="Linked Cell 14 2" xfId="31810" xr:uid="{00000000-0005-0000-0000-00005E7C0000}"/>
    <cellStyle name="Linked Cell 15" xfId="31811" xr:uid="{00000000-0005-0000-0000-00005F7C0000}"/>
    <cellStyle name="Linked Cell 15 2" xfId="31812" xr:uid="{00000000-0005-0000-0000-0000607C0000}"/>
    <cellStyle name="Linked Cell 16" xfId="31813" xr:uid="{00000000-0005-0000-0000-0000617C0000}"/>
    <cellStyle name="Linked Cell 16 2" xfId="31814" xr:uid="{00000000-0005-0000-0000-0000627C0000}"/>
    <cellStyle name="Linked Cell 17" xfId="31815" xr:uid="{00000000-0005-0000-0000-0000637C0000}"/>
    <cellStyle name="Linked Cell 17 2" xfId="31816" xr:uid="{00000000-0005-0000-0000-0000647C0000}"/>
    <cellStyle name="Linked Cell 18" xfId="31817" xr:uid="{00000000-0005-0000-0000-0000657C0000}"/>
    <cellStyle name="Linked Cell 18 2" xfId="31818" xr:uid="{00000000-0005-0000-0000-0000667C0000}"/>
    <cellStyle name="Linked Cell 19" xfId="31819" xr:uid="{00000000-0005-0000-0000-0000677C0000}"/>
    <cellStyle name="Linked Cell 19 2" xfId="31820" xr:uid="{00000000-0005-0000-0000-0000687C0000}"/>
    <cellStyle name="Linked Cell 2" xfId="31821" xr:uid="{00000000-0005-0000-0000-0000697C0000}"/>
    <cellStyle name="Linked Cell 2 2" xfId="31822" xr:uid="{00000000-0005-0000-0000-00006A7C0000}"/>
    <cellStyle name="Linked Cell 2 2 2" xfId="31823" xr:uid="{00000000-0005-0000-0000-00006B7C0000}"/>
    <cellStyle name="Linked Cell 2 2 2 2" xfId="31824" xr:uid="{00000000-0005-0000-0000-00006C7C0000}"/>
    <cellStyle name="Linked Cell 2 2 2 2 2" xfId="31825" xr:uid="{00000000-0005-0000-0000-00006D7C0000}"/>
    <cellStyle name="Linked Cell 2 3" xfId="31826" xr:uid="{00000000-0005-0000-0000-00006E7C0000}"/>
    <cellStyle name="Linked Cell 2 4" xfId="41069" xr:uid="{00000000-0005-0000-0000-000025000000}"/>
    <cellStyle name="Linked Cell 20" xfId="31827" xr:uid="{00000000-0005-0000-0000-00006F7C0000}"/>
    <cellStyle name="Linked Cell 20 2" xfId="31828" xr:uid="{00000000-0005-0000-0000-0000707C0000}"/>
    <cellStyle name="Linked Cell 21" xfId="31829" xr:uid="{00000000-0005-0000-0000-0000717C0000}"/>
    <cellStyle name="Linked Cell 21 2" xfId="31830" xr:uid="{00000000-0005-0000-0000-0000727C0000}"/>
    <cellStyle name="Linked Cell 22" xfId="31831" xr:uid="{00000000-0005-0000-0000-0000737C0000}"/>
    <cellStyle name="Linked Cell 22 2" xfId="31832" xr:uid="{00000000-0005-0000-0000-0000747C0000}"/>
    <cellStyle name="Linked Cell 23" xfId="31833" xr:uid="{00000000-0005-0000-0000-0000757C0000}"/>
    <cellStyle name="Linked Cell 23 2" xfId="31834" xr:uid="{00000000-0005-0000-0000-0000767C0000}"/>
    <cellStyle name="Linked Cell 24" xfId="31835" xr:uid="{00000000-0005-0000-0000-0000777C0000}"/>
    <cellStyle name="Linked Cell 24 2" xfId="31836" xr:uid="{00000000-0005-0000-0000-0000787C0000}"/>
    <cellStyle name="Linked Cell 25" xfId="31837" xr:uid="{00000000-0005-0000-0000-0000797C0000}"/>
    <cellStyle name="Linked Cell 25 2" xfId="31838" xr:uid="{00000000-0005-0000-0000-00007A7C0000}"/>
    <cellStyle name="Linked Cell 26" xfId="31839" xr:uid="{00000000-0005-0000-0000-00007B7C0000}"/>
    <cellStyle name="Linked Cell 26 2" xfId="31840" xr:uid="{00000000-0005-0000-0000-00007C7C0000}"/>
    <cellStyle name="Linked Cell 27" xfId="31841" xr:uid="{00000000-0005-0000-0000-00007D7C0000}"/>
    <cellStyle name="Linked Cell 27 2" xfId="31842" xr:uid="{00000000-0005-0000-0000-00007E7C0000}"/>
    <cellStyle name="Linked Cell 28" xfId="31843" xr:uid="{00000000-0005-0000-0000-00007F7C0000}"/>
    <cellStyle name="Linked Cell 28 2" xfId="31844" xr:uid="{00000000-0005-0000-0000-0000807C0000}"/>
    <cellStyle name="Linked Cell 29" xfId="31845" xr:uid="{00000000-0005-0000-0000-0000817C0000}"/>
    <cellStyle name="Linked Cell 29 2" xfId="31846" xr:uid="{00000000-0005-0000-0000-0000827C0000}"/>
    <cellStyle name="Linked Cell 3" xfId="31847" xr:uid="{00000000-0005-0000-0000-0000837C0000}"/>
    <cellStyle name="Linked Cell 3 2" xfId="31848" xr:uid="{00000000-0005-0000-0000-0000847C0000}"/>
    <cellStyle name="Linked Cell 3 2 2" xfId="31849" xr:uid="{00000000-0005-0000-0000-0000857C0000}"/>
    <cellStyle name="Linked Cell 3 3" xfId="31850" xr:uid="{00000000-0005-0000-0000-0000867C0000}"/>
    <cellStyle name="Linked Cell 3 4" xfId="31851" xr:uid="{00000000-0005-0000-0000-0000877C0000}"/>
    <cellStyle name="Linked Cell 3_MAR 2009" xfId="31852" xr:uid="{00000000-0005-0000-0000-0000887C0000}"/>
    <cellStyle name="Linked Cell 30" xfId="31853" xr:uid="{00000000-0005-0000-0000-0000897C0000}"/>
    <cellStyle name="Linked Cell 30 2" xfId="31854" xr:uid="{00000000-0005-0000-0000-00008A7C0000}"/>
    <cellStyle name="Linked Cell 31" xfId="31855" xr:uid="{00000000-0005-0000-0000-00008B7C0000}"/>
    <cellStyle name="Linked Cell 31 2" xfId="31856" xr:uid="{00000000-0005-0000-0000-00008C7C0000}"/>
    <cellStyle name="Linked Cell 32" xfId="31857" xr:uid="{00000000-0005-0000-0000-00008D7C0000}"/>
    <cellStyle name="Linked Cell 32 2" xfId="31858" xr:uid="{00000000-0005-0000-0000-00008E7C0000}"/>
    <cellStyle name="Linked Cell 33" xfId="31859" xr:uid="{00000000-0005-0000-0000-00008F7C0000}"/>
    <cellStyle name="Linked Cell 33 2" xfId="31860" xr:uid="{00000000-0005-0000-0000-0000907C0000}"/>
    <cellStyle name="Linked Cell 34" xfId="31861" xr:uid="{00000000-0005-0000-0000-0000917C0000}"/>
    <cellStyle name="Linked Cell 34 2" xfId="31862" xr:uid="{00000000-0005-0000-0000-0000927C0000}"/>
    <cellStyle name="Linked Cell 35" xfId="31863" xr:uid="{00000000-0005-0000-0000-0000937C0000}"/>
    <cellStyle name="Linked Cell 35 2" xfId="31864" xr:uid="{00000000-0005-0000-0000-0000947C0000}"/>
    <cellStyle name="Linked Cell 36" xfId="31865" xr:uid="{00000000-0005-0000-0000-0000957C0000}"/>
    <cellStyle name="Linked Cell 36 2" xfId="31866" xr:uid="{00000000-0005-0000-0000-0000967C0000}"/>
    <cellStyle name="Linked Cell 37" xfId="31867" xr:uid="{00000000-0005-0000-0000-0000977C0000}"/>
    <cellStyle name="Linked Cell 37 2" xfId="31868" xr:uid="{00000000-0005-0000-0000-0000987C0000}"/>
    <cellStyle name="Linked Cell 38" xfId="31869" xr:uid="{00000000-0005-0000-0000-0000997C0000}"/>
    <cellStyle name="Linked Cell 38 2" xfId="31870" xr:uid="{00000000-0005-0000-0000-00009A7C0000}"/>
    <cellStyle name="Linked Cell 39" xfId="31871" xr:uid="{00000000-0005-0000-0000-00009B7C0000}"/>
    <cellStyle name="Linked Cell 39 2" xfId="31872" xr:uid="{00000000-0005-0000-0000-00009C7C0000}"/>
    <cellStyle name="Linked Cell 4" xfId="31873" xr:uid="{00000000-0005-0000-0000-00009D7C0000}"/>
    <cellStyle name="Linked Cell 4 2" xfId="31874" xr:uid="{00000000-0005-0000-0000-00009E7C0000}"/>
    <cellStyle name="Linked Cell 4 2 2" xfId="31875" xr:uid="{00000000-0005-0000-0000-00009F7C0000}"/>
    <cellStyle name="Linked Cell 4 3" xfId="31876" xr:uid="{00000000-0005-0000-0000-0000A07C0000}"/>
    <cellStyle name="Linked Cell 40" xfId="31877" xr:uid="{00000000-0005-0000-0000-0000A17C0000}"/>
    <cellStyle name="Linked Cell 40 2" xfId="31878" xr:uid="{00000000-0005-0000-0000-0000A27C0000}"/>
    <cellStyle name="Linked Cell 41" xfId="31879" xr:uid="{00000000-0005-0000-0000-0000A37C0000}"/>
    <cellStyle name="Linked Cell 41 2" xfId="31880" xr:uid="{00000000-0005-0000-0000-0000A47C0000}"/>
    <cellStyle name="Linked Cell 42" xfId="31881" xr:uid="{00000000-0005-0000-0000-0000A57C0000}"/>
    <cellStyle name="Linked Cell 42 2" xfId="31882" xr:uid="{00000000-0005-0000-0000-0000A67C0000}"/>
    <cellStyle name="Linked Cell 43" xfId="31883" xr:uid="{00000000-0005-0000-0000-0000A77C0000}"/>
    <cellStyle name="Linked Cell 43 2" xfId="31884" xr:uid="{00000000-0005-0000-0000-0000A87C0000}"/>
    <cellStyle name="Linked Cell 44" xfId="31885" xr:uid="{00000000-0005-0000-0000-0000A97C0000}"/>
    <cellStyle name="Linked Cell 44 2" xfId="31886" xr:uid="{00000000-0005-0000-0000-0000AA7C0000}"/>
    <cellStyle name="Linked Cell 45" xfId="31887" xr:uid="{00000000-0005-0000-0000-0000AB7C0000}"/>
    <cellStyle name="Linked Cell 45 2" xfId="31888" xr:uid="{00000000-0005-0000-0000-0000AC7C0000}"/>
    <cellStyle name="Linked Cell 46" xfId="31889" xr:uid="{00000000-0005-0000-0000-0000AD7C0000}"/>
    <cellStyle name="Linked Cell 46 2" xfId="31890" xr:uid="{00000000-0005-0000-0000-0000AE7C0000}"/>
    <cellStyle name="Linked Cell 47" xfId="31891" xr:uid="{00000000-0005-0000-0000-0000AF7C0000}"/>
    <cellStyle name="Linked Cell 47 2" xfId="31892" xr:uid="{00000000-0005-0000-0000-0000B07C0000}"/>
    <cellStyle name="Linked Cell 48" xfId="31893" xr:uid="{00000000-0005-0000-0000-0000B17C0000}"/>
    <cellStyle name="Linked Cell 48 2" xfId="31894" xr:uid="{00000000-0005-0000-0000-0000B27C0000}"/>
    <cellStyle name="Linked Cell 49" xfId="31895" xr:uid="{00000000-0005-0000-0000-0000B37C0000}"/>
    <cellStyle name="Linked Cell 49 2" xfId="31896" xr:uid="{00000000-0005-0000-0000-0000B47C0000}"/>
    <cellStyle name="Linked Cell 5" xfId="31897" xr:uid="{00000000-0005-0000-0000-0000B57C0000}"/>
    <cellStyle name="Linked Cell 5 2" xfId="31898" xr:uid="{00000000-0005-0000-0000-0000B67C0000}"/>
    <cellStyle name="Linked Cell 5 2 2" xfId="31899" xr:uid="{00000000-0005-0000-0000-0000B77C0000}"/>
    <cellStyle name="Linked Cell 5 3" xfId="31900" xr:uid="{00000000-0005-0000-0000-0000B87C0000}"/>
    <cellStyle name="Linked Cell 50" xfId="31901" xr:uid="{00000000-0005-0000-0000-0000B97C0000}"/>
    <cellStyle name="Linked Cell 50 2" xfId="31902" xr:uid="{00000000-0005-0000-0000-0000BA7C0000}"/>
    <cellStyle name="Linked Cell 51" xfId="31903" xr:uid="{00000000-0005-0000-0000-0000BB7C0000}"/>
    <cellStyle name="Linked Cell 51 2" xfId="31904" xr:uid="{00000000-0005-0000-0000-0000BC7C0000}"/>
    <cellStyle name="Linked Cell 52" xfId="31905" xr:uid="{00000000-0005-0000-0000-0000BD7C0000}"/>
    <cellStyle name="Linked Cell 52 2" xfId="31906" xr:uid="{00000000-0005-0000-0000-0000BE7C0000}"/>
    <cellStyle name="Linked Cell 53" xfId="31907" xr:uid="{00000000-0005-0000-0000-0000BF7C0000}"/>
    <cellStyle name="Linked Cell 53 2" xfId="31908" xr:uid="{00000000-0005-0000-0000-0000C07C0000}"/>
    <cellStyle name="Linked Cell 54" xfId="31909" xr:uid="{00000000-0005-0000-0000-0000C17C0000}"/>
    <cellStyle name="Linked Cell 54 2" xfId="31910" xr:uid="{00000000-0005-0000-0000-0000C27C0000}"/>
    <cellStyle name="Linked Cell 55" xfId="31911" xr:uid="{00000000-0005-0000-0000-0000C37C0000}"/>
    <cellStyle name="Linked Cell 55 2" xfId="31912" xr:uid="{00000000-0005-0000-0000-0000C47C0000}"/>
    <cellStyle name="Linked Cell 56" xfId="31913" xr:uid="{00000000-0005-0000-0000-0000C57C0000}"/>
    <cellStyle name="Linked Cell 56 2" xfId="31914" xr:uid="{00000000-0005-0000-0000-0000C67C0000}"/>
    <cellStyle name="Linked Cell 57" xfId="31915" xr:uid="{00000000-0005-0000-0000-0000C77C0000}"/>
    <cellStyle name="Linked Cell 57 2" xfId="31916" xr:uid="{00000000-0005-0000-0000-0000C87C0000}"/>
    <cellStyle name="Linked Cell 58" xfId="31917" xr:uid="{00000000-0005-0000-0000-0000C97C0000}"/>
    <cellStyle name="Linked Cell 58 2" xfId="31918" xr:uid="{00000000-0005-0000-0000-0000CA7C0000}"/>
    <cellStyle name="Linked Cell 59" xfId="31919" xr:uid="{00000000-0005-0000-0000-0000CB7C0000}"/>
    <cellStyle name="Linked Cell 6" xfId="31920" xr:uid="{00000000-0005-0000-0000-0000CC7C0000}"/>
    <cellStyle name="Linked Cell 6 2" xfId="31921" xr:uid="{00000000-0005-0000-0000-0000CD7C0000}"/>
    <cellStyle name="Linked Cell 6 3" xfId="31922" xr:uid="{00000000-0005-0000-0000-0000CE7C0000}"/>
    <cellStyle name="Linked Cell 60" xfId="31923" xr:uid="{00000000-0005-0000-0000-0000CF7C0000}"/>
    <cellStyle name="Linked Cell 61" xfId="31924" xr:uid="{00000000-0005-0000-0000-0000D07C0000}"/>
    <cellStyle name="Linked Cell 62" xfId="31925" xr:uid="{00000000-0005-0000-0000-0000D17C0000}"/>
    <cellStyle name="Linked Cell 63" xfId="31926" xr:uid="{00000000-0005-0000-0000-0000D27C0000}"/>
    <cellStyle name="Linked Cell 63 2" xfId="31927" xr:uid="{00000000-0005-0000-0000-0000D37C0000}"/>
    <cellStyle name="Linked Cell 64" xfId="31928" xr:uid="{00000000-0005-0000-0000-0000D47C0000}"/>
    <cellStyle name="Linked Cell 64 2" xfId="31929" xr:uid="{00000000-0005-0000-0000-0000D57C0000}"/>
    <cellStyle name="Linked Cell 65" xfId="31930" xr:uid="{00000000-0005-0000-0000-0000D67C0000}"/>
    <cellStyle name="Linked Cell 65 2" xfId="31931" xr:uid="{00000000-0005-0000-0000-0000D77C0000}"/>
    <cellStyle name="Linked Cell 66" xfId="31932" xr:uid="{00000000-0005-0000-0000-0000D87C0000}"/>
    <cellStyle name="Linked Cell 66 2" xfId="31933" xr:uid="{00000000-0005-0000-0000-0000D97C0000}"/>
    <cellStyle name="Linked Cell 67" xfId="31934" xr:uid="{00000000-0005-0000-0000-0000DA7C0000}"/>
    <cellStyle name="Linked Cell 67 2" xfId="31935" xr:uid="{00000000-0005-0000-0000-0000DB7C0000}"/>
    <cellStyle name="Linked Cell 68" xfId="31936" xr:uid="{00000000-0005-0000-0000-0000DC7C0000}"/>
    <cellStyle name="Linked Cell 68 2" xfId="31937" xr:uid="{00000000-0005-0000-0000-0000DD7C0000}"/>
    <cellStyle name="Linked Cell 69" xfId="31938" xr:uid="{00000000-0005-0000-0000-0000DE7C0000}"/>
    <cellStyle name="Linked Cell 69 2" xfId="31939" xr:uid="{00000000-0005-0000-0000-0000DF7C0000}"/>
    <cellStyle name="Linked Cell 7" xfId="31940" xr:uid="{00000000-0005-0000-0000-0000E07C0000}"/>
    <cellStyle name="Linked Cell 7 2" xfId="31941" xr:uid="{00000000-0005-0000-0000-0000E17C0000}"/>
    <cellStyle name="Linked Cell 70" xfId="31942" xr:uid="{00000000-0005-0000-0000-0000E27C0000}"/>
    <cellStyle name="Linked Cell 70 2" xfId="31943" xr:uid="{00000000-0005-0000-0000-0000E37C0000}"/>
    <cellStyle name="Linked Cell 71" xfId="31944" xr:uid="{00000000-0005-0000-0000-0000E47C0000}"/>
    <cellStyle name="Linked Cell 71 2" xfId="31945" xr:uid="{00000000-0005-0000-0000-0000E57C0000}"/>
    <cellStyle name="Linked Cell 72" xfId="31946" xr:uid="{00000000-0005-0000-0000-0000E67C0000}"/>
    <cellStyle name="Linked Cell 72 2" xfId="31947" xr:uid="{00000000-0005-0000-0000-0000E77C0000}"/>
    <cellStyle name="Linked Cell 73" xfId="31948" xr:uid="{00000000-0005-0000-0000-0000E87C0000}"/>
    <cellStyle name="Linked Cell 73 2" xfId="31949" xr:uid="{00000000-0005-0000-0000-0000E97C0000}"/>
    <cellStyle name="Linked Cell 74" xfId="31950" xr:uid="{00000000-0005-0000-0000-0000EA7C0000}"/>
    <cellStyle name="Linked Cell 74 2" xfId="31951" xr:uid="{00000000-0005-0000-0000-0000EB7C0000}"/>
    <cellStyle name="Linked Cell 75" xfId="31952" xr:uid="{00000000-0005-0000-0000-0000EC7C0000}"/>
    <cellStyle name="Linked Cell 75 2" xfId="31953" xr:uid="{00000000-0005-0000-0000-0000ED7C0000}"/>
    <cellStyle name="Linked Cell 76" xfId="31954" xr:uid="{00000000-0005-0000-0000-0000EE7C0000}"/>
    <cellStyle name="Linked Cell 76 2" xfId="31955" xr:uid="{00000000-0005-0000-0000-0000EF7C0000}"/>
    <cellStyle name="Linked Cell 77" xfId="31956" xr:uid="{00000000-0005-0000-0000-0000F07C0000}"/>
    <cellStyle name="Linked Cell 77 2" xfId="31957" xr:uid="{00000000-0005-0000-0000-0000F17C0000}"/>
    <cellStyle name="Linked Cell 78" xfId="31958" xr:uid="{00000000-0005-0000-0000-0000F27C0000}"/>
    <cellStyle name="Linked Cell 78 2" xfId="31959" xr:uid="{00000000-0005-0000-0000-0000F37C0000}"/>
    <cellStyle name="Linked Cell 79" xfId="31960" xr:uid="{00000000-0005-0000-0000-0000F47C0000}"/>
    <cellStyle name="Linked Cell 79 2" xfId="31961" xr:uid="{00000000-0005-0000-0000-0000F57C0000}"/>
    <cellStyle name="Linked Cell 8" xfId="31962" xr:uid="{00000000-0005-0000-0000-0000F67C0000}"/>
    <cellStyle name="Linked Cell 8 2" xfId="31963" xr:uid="{00000000-0005-0000-0000-0000F77C0000}"/>
    <cellStyle name="Linked Cell 80" xfId="31964" xr:uid="{00000000-0005-0000-0000-0000F87C0000}"/>
    <cellStyle name="Linked Cell 80 2" xfId="31965" xr:uid="{00000000-0005-0000-0000-0000F97C0000}"/>
    <cellStyle name="Linked Cell 81" xfId="31966" xr:uid="{00000000-0005-0000-0000-0000FA7C0000}"/>
    <cellStyle name="Linked Cell 81 2" xfId="31967" xr:uid="{00000000-0005-0000-0000-0000FB7C0000}"/>
    <cellStyle name="Linked Cell 82" xfId="31968" xr:uid="{00000000-0005-0000-0000-0000FC7C0000}"/>
    <cellStyle name="Linked Cell 82 2" xfId="31969" xr:uid="{00000000-0005-0000-0000-0000FD7C0000}"/>
    <cellStyle name="Linked Cell 83" xfId="31970" xr:uid="{00000000-0005-0000-0000-0000FE7C0000}"/>
    <cellStyle name="Linked Cell 83 2" xfId="31971" xr:uid="{00000000-0005-0000-0000-0000FF7C0000}"/>
    <cellStyle name="Linked Cell 84" xfId="31972" xr:uid="{00000000-0005-0000-0000-0000007D0000}"/>
    <cellStyle name="Linked Cell 84 2" xfId="31973" xr:uid="{00000000-0005-0000-0000-0000017D0000}"/>
    <cellStyle name="Linked Cell 85" xfId="31974" xr:uid="{00000000-0005-0000-0000-0000027D0000}"/>
    <cellStyle name="Linked Cell 85 2" xfId="31975" xr:uid="{00000000-0005-0000-0000-0000037D0000}"/>
    <cellStyle name="Linked Cell 86" xfId="31976" xr:uid="{00000000-0005-0000-0000-0000047D0000}"/>
    <cellStyle name="Linked Cell 86 2" xfId="31977" xr:uid="{00000000-0005-0000-0000-0000057D0000}"/>
    <cellStyle name="Linked Cell 87" xfId="31978" xr:uid="{00000000-0005-0000-0000-0000067D0000}"/>
    <cellStyle name="Linked Cell 87 2" xfId="31979" xr:uid="{00000000-0005-0000-0000-0000077D0000}"/>
    <cellStyle name="Linked Cell 88" xfId="31980" xr:uid="{00000000-0005-0000-0000-0000087D0000}"/>
    <cellStyle name="Linked Cell 89" xfId="31981" xr:uid="{00000000-0005-0000-0000-0000097D0000}"/>
    <cellStyle name="Linked Cell 89 2" xfId="31982" xr:uid="{00000000-0005-0000-0000-00000A7D0000}"/>
    <cellStyle name="Linked Cell 9" xfId="31983" xr:uid="{00000000-0005-0000-0000-00000B7D0000}"/>
    <cellStyle name="Linked Cell 9 2" xfId="31984" xr:uid="{00000000-0005-0000-0000-00000C7D0000}"/>
    <cellStyle name="Linked Cell 90" xfId="31985" xr:uid="{00000000-0005-0000-0000-00000D7D0000}"/>
    <cellStyle name="Linked Cell 90 2" xfId="31986" xr:uid="{00000000-0005-0000-0000-00000E7D0000}"/>
    <cellStyle name="Linked Cell 91" xfId="31987" xr:uid="{00000000-0005-0000-0000-00000F7D0000}"/>
    <cellStyle name="Linked Cell 91 2" xfId="31988" xr:uid="{00000000-0005-0000-0000-0000107D0000}"/>
    <cellStyle name="Linked Cell 92" xfId="31989" xr:uid="{00000000-0005-0000-0000-0000117D0000}"/>
    <cellStyle name="Linked Cell 92 2" xfId="31990" xr:uid="{00000000-0005-0000-0000-0000127D0000}"/>
    <cellStyle name="Linked Cell 93" xfId="31991" xr:uid="{00000000-0005-0000-0000-0000137D0000}"/>
    <cellStyle name="Linked Cell 93 2" xfId="31992" xr:uid="{00000000-0005-0000-0000-0000147D0000}"/>
    <cellStyle name="Linked Cell 94" xfId="31993" xr:uid="{00000000-0005-0000-0000-0000157D0000}"/>
    <cellStyle name="Linked Cell 94 2" xfId="31994" xr:uid="{00000000-0005-0000-0000-0000167D0000}"/>
    <cellStyle name="Linked Cell 95" xfId="31995" xr:uid="{00000000-0005-0000-0000-0000177D0000}"/>
    <cellStyle name="Linked Cell 96" xfId="31996" xr:uid="{00000000-0005-0000-0000-0000187D0000}"/>
    <cellStyle name="Linked Cell 97" xfId="31997" xr:uid="{00000000-0005-0000-0000-0000197D0000}"/>
    <cellStyle name="Linked Cell 98" xfId="31998" xr:uid="{00000000-0005-0000-0000-00001A7D0000}"/>
    <cellStyle name="Linked Cell 99" xfId="31999" xr:uid="{00000000-0005-0000-0000-00001B7D0000}"/>
    <cellStyle name="Neutral 10" xfId="32000" xr:uid="{00000000-0005-0000-0000-00001C7D0000}"/>
    <cellStyle name="Neutral 10 2" xfId="32001" xr:uid="{00000000-0005-0000-0000-00001D7D0000}"/>
    <cellStyle name="Neutral 100" xfId="32002" xr:uid="{00000000-0005-0000-0000-00001E7D0000}"/>
    <cellStyle name="Neutral 101" xfId="32003" xr:uid="{00000000-0005-0000-0000-00001F7D0000}"/>
    <cellStyle name="Neutral 102" xfId="32004" xr:uid="{00000000-0005-0000-0000-0000207D0000}"/>
    <cellStyle name="Neutral 103" xfId="32005" xr:uid="{00000000-0005-0000-0000-0000217D0000}"/>
    <cellStyle name="Neutral 104" xfId="32006" xr:uid="{00000000-0005-0000-0000-0000227D0000}"/>
    <cellStyle name="Neutral 105" xfId="32007" xr:uid="{00000000-0005-0000-0000-0000237D0000}"/>
    <cellStyle name="Neutral 106" xfId="32008" xr:uid="{00000000-0005-0000-0000-0000247D0000}"/>
    <cellStyle name="Neutral 107" xfId="32009" xr:uid="{00000000-0005-0000-0000-0000257D0000}"/>
    <cellStyle name="Neutral 108" xfId="32010" xr:uid="{00000000-0005-0000-0000-0000267D0000}"/>
    <cellStyle name="Neutral 109" xfId="32011" xr:uid="{00000000-0005-0000-0000-0000277D0000}"/>
    <cellStyle name="Neutral 11" xfId="32012" xr:uid="{00000000-0005-0000-0000-0000287D0000}"/>
    <cellStyle name="Neutral 11 2" xfId="32013" xr:uid="{00000000-0005-0000-0000-0000297D0000}"/>
    <cellStyle name="Neutral 110" xfId="32014" xr:uid="{00000000-0005-0000-0000-00002A7D0000}"/>
    <cellStyle name="Neutral 111" xfId="32015" xr:uid="{00000000-0005-0000-0000-00002B7D0000}"/>
    <cellStyle name="Neutral 112" xfId="32016" xr:uid="{00000000-0005-0000-0000-00002C7D0000}"/>
    <cellStyle name="Neutral 113" xfId="32017" xr:uid="{00000000-0005-0000-0000-00002D7D0000}"/>
    <cellStyle name="Neutral 114" xfId="32018" xr:uid="{00000000-0005-0000-0000-00002E7D0000}"/>
    <cellStyle name="Neutral 115" xfId="32019" xr:uid="{00000000-0005-0000-0000-00002F7D0000}"/>
    <cellStyle name="Neutral 116" xfId="32020" xr:uid="{00000000-0005-0000-0000-0000307D0000}"/>
    <cellStyle name="Neutral 117" xfId="32021" xr:uid="{00000000-0005-0000-0000-0000317D0000}"/>
    <cellStyle name="Neutral 118" xfId="32022" xr:uid="{00000000-0005-0000-0000-0000327D0000}"/>
    <cellStyle name="Neutral 119" xfId="32023" xr:uid="{00000000-0005-0000-0000-0000337D0000}"/>
    <cellStyle name="Neutral 12" xfId="32024" xr:uid="{00000000-0005-0000-0000-0000347D0000}"/>
    <cellStyle name="Neutral 12 2" xfId="32025" xr:uid="{00000000-0005-0000-0000-0000357D0000}"/>
    <cellStyle name="Neutral 120" xfId="32026" xr:uid="{00000000-0005-0000-0000-0000367D0000}"/>
    <cellStyle name="Neutral 121" xfId="32027" xr:uid="{00000000-0005-0000-0000-0000377D0000}"/>
    <cellStyle name="Neutral 122" xfId="32028" xr:uid="{00000000-0005-0000-0000-0000387D0000}"/>
    <cellStyle name="Neutral 123" xfId="32029" xr:uid="{00000000-0005-0000-0000-0000397D0000}"/>
    <cellStyle name="Neutral 124" xfId="32030" xr:uid="{00000000-0005-0000-0000-00003A7D0000}"/>
    <cellStyle name="Neutral 125" xfId="32031" xr:uid="{00000000-0005-0000-0000-00003B7D0000}"/>
    <cellStyle name="Neutral 126" xfId="32032" xr:uid="{00000000-0005-0000-0000-00003C7D0000}"/>
    <cellStyle name="Neutral 127" xfId="32033" xr:uid="{00000000-0005-0000-0000-00003D7D0000}"/>
    <cellStyle name="Neutral 128" xfId="32034" xr:uid="{00000000-0005-0000-0000-00003E7D0000}"/>
    <cellStyle name="Neutral 129" xfId="32035" xr:uid="{00000000-0005-0000-0000-00003F7D0000}"/>
    <cellStyle name="Neutral 13" xfId="32036" xr:uid="{00000000-0005-0000-0000-0000407D0000}"/>
    <cellStyle name="Neutral 13 2" xfId="32037" xr:uid="{00000000-0005-0000-0000-0000417D0000}"/>
    <cellStyle name="Neutral 130" xfId="32038" xr:uid="{00000000-0005-0000-0000-0000427D0000}"/>
    <cellStyle name="Neutral 131" xfId="32039" xr:uid="{00000000-0005-0000-0000-0000437D0000}"/>
    <cellStyle name="Neutral 132" xfId="32040" xr:uid="{00000000-0005-0000-0000-0000447D0000}"/>
    <cellStyle name="Neutral 133" xfId="32041" xr:uid="{00000000-0005-0000-0000-0000457D0000}"/>
    <cellStyle name="Neutral 14" xfId="32042" xr:uid="{00000000-0005-0000-0000-0000467D0000}"/>
    <cellStyle name="Neutral 14 2" xfId="32043" xr:uid="{00000000-0005-0000-0000-0000477D0000}"/>
    <cellStyle name="Neutral 15" xfId="32044" xr:uid="{00000000-0005-0000-0000-0000487D0000}"/>
    <cellStyle name="Neutral 15 2" xfId="32045" xr:uid="{00000000-0005-0000-0000-0000497D0000}"/>
    <cellStyle name="Neutral 16" xfId="32046" xr:uid="{00000000-0005-0000-0000-00004A7D0000}"/>
    <cellStyle name="Neutral 16 2" xfId="32047" xr:uid="{00000000-0005-0000-0000-00004B7D0000}"/>
    <cellStyle name="Neutral 17" xfId="32048" xr:uid="{00000000-0005-0000-0000-00004C7D0000}"/>
    <cellStyle name="Neutral 17 2" xfId="32049" xr:uid="{00000000-0005-0000-0000-00004D7D0000}"/>
    <cellStyle name="Neutral 18" xfId="32050" xr:uid="{00000000-0005-0000-0000-00004E7D0000}"/>
    <cellStyle name="Neutral 18 2" xfId="32051" xr:uid="{00000000-0005-0000-0000-00004F7D0000}"/>
    <cellStyle name="Neutral 19" xfId="32052" xr:uid="{00000000-0005-0000-0000-0000507D0000}"/>
    <cellStyle name="Neutral 19 2" xfId="32053" xr:uid="{00000000-0005-0000-0000-0000517D0000}"/>
    <cellStyle name="Neutral 2" xfId="32054" xr:uid="{00000000-0005-0000-0000-0000527D0000}"/>
    <cellStyle name="Neutral 2 2" xfId="32055" xr:uid="{00000000-0005-0000-0000-0000537D0000}"/>
    <cellStyle name="Neutral 2 2 2" xfId="32056" xr:uid="{00000000-0005-0000-0000-0000547D0000}"/>
    <cellStyle name="Neutral 2 2 2 2" xfId="32057" xr:uid="{00000000-0005-0000-0000-0000557D0000}"/>
    <cellStyle name="Neutral 2 2 2 2 2" xfId="32058" xr:uid="{00000000-0005-0000-0000-0000567D0000}"/>
    <cellStyle name="Neutral 2 3" xfId="32059" xr:uid="{00000000-0005-0000-0000-0000577D0000}"/>
    <cellStyle name="Neutral 2 4" xfId="32060" xr:uid="{00000000-0005-0000-0000-0000587D0000}"/>
    <cellStyle name="Neutral 2 5" xfId="41070" xr:uid="{00000000-0005-0000-0000-000026000000}"/>
    <cellStyle name="Neutral 20" xfId="32061" xr:uid="{00000000-0005-0000-0000-0000597D0000}"/>
    <cellStyle name="Neutral 20 2" xfId="32062" xr:uid="{00000000-0005-0000-0000-00005A7D0000}"/>
    <cellStyle name="Neutral 21" xfId="32063" xr:uid="{00000000-0005-0000-0000-00005B7D0000}"/>
    <cellStyle name="Neutral 21 2" xfId="32064" xr:uid="{00000000-0005-0000-0000-00005C7D0000}"/>
    <cellStyle name="Neutral 22" xfId="32065" xr:uid="{00000000-0005-0000-0000-00005D7D0000}"/>
    <cellStyle name="Neutral 22 2" xfId="32066" xr:uid="{00000000-0005-0000-0000-00005E7D0000}"/>
    <cellStyle name="Neutral 23" xfId="32067" xr:uid="{00000000-0005-0000-0000-00005F7D0000}"/>
    <cellStyle name="Neutral 23 2" xfId="32068" xr:uid="{00000000-0005-0000-0000-0000607D0000}"/>
    <cellStyle name="Neutral 24" xfId="32069" xr:uid="{00000000-0005-0000-0000-0000617D0000}"/>
    <cellStyle name="Neutral 24 2" xfId="32070" xr:uid="{00000000-0005-0000-0000-0000627D0000}"/>
    <cellStyle name="Neutral 25" xfId="32071" xr:uid="{00000000-0005-0000-0000-0000637D0000}"/>
    <cellStyle name="Neutral 25 2" xfId="32072" xr:uid="{00000000-0005-0000-0000-0000647D0000}"/>
    <cellStyle name="Neutral 26" xfId="32073" xr:uid="{00000000-0005-0000-0000-0000657D0000}"/>
    <cellStyle name="Neutral 26 2" xfId="32074" xr:uid="{00000000-0005-0000-0000-0000667D0000}"/>
    <cellStyle name="Neutral 27" xfId="32075" xr:uid="{00000000-0005-0000-0000-0000677D0000}"/>
    <cellStyle name="Neutral 27 2" xfId="32076" xr:uid="{00000000-0005-0000-0000-0000687D0000}"/>
    <cellStyle name="Neutral 28" xfId="32077" xr:uid="{00000000-0005-0000-0000-0000697D0000}"/>
    <cellStyle name="Neutral 28 2" xfId="32078" xr:uid="{00000000-0005-0000-0000-00006A7D0000}"/>
    <cellStyle name="Neutral 29" xfId="32079" xr:uid="{00000000-0005-0000-0000-00006B7D0000}"/>
    <cellStyle name="Neutral 29 2" xfId="32080" xr:uid="{00000000-0005-0000-0000-00006C7D0000}"/>
    <cellStyle name="Neutral 3" xfId="32081" xr:uid="{00000000-0005-0000-0000-00006D7D0000}"/>
    <cellStyle name="Neutral 3 2" xfId="32082" xr:uid="{00000000-0005-0000-0000-00006E7D0000}"/>
    <cellStyle name="Neutral 3 2 2" xfId="32083" xr:uid="{00000000-0005-0000-0000-00006F7D0000}"/>
    <cellStyle name="Neutral 3 3" xfId="32084" xr:uid="{00000000-0005-0000-0000-0000707D0000}"/>
    <cellStyle name="Neutral 3 4" xfId="32085" xr:uid="{00000000-0005-0000-0000-0000717D0000}"/>
    <cellStyle name="Neutral 3_MAR 2009" xfId="32086" xr:uid="{00000000-0005-0000-0000-0000727D0000}"/>
    <cellStyle name="Neutral 30" xfId="32087" xr:uid="{00000000-0005-0000-0000-0000737D0000}"/>
    <cellStyle name="Neutral 30 2" xfId="32088" xr:uid="{00000000-0005-0000-0000-0000747D0000}"/>
    <cellStyle name="Neutral 31" xfId="32089" xr:uid="{00000000-0005-0000-0000-0000757D0000}"/>
    <cellStyle name="Neutral 31 2" xfId="32090" xr:uid="{00000000-0005-0000-0000-0000767D0000}"/>
    <cellStyle name="Neutral 32" xfId="32091" xr:uid="{00000000-0005-0000-0000-0000777D0000}"/>
    <cellStyle name="Neutral 32 2" xfId="32092" xr:uid="{00000000-0005-0000-0000-0000787D0000}"/>
    <cellStyle name="Neutral 33" xfId="32093" xr:uid="{00000000-0005-0000-0000-0000797D0000}"/>
    <cellStyle name="Neutral 33 2" xfId="32094" xr:uid="{00000000-0005-0000-0000-00007A7D0000}"/>
    <cellStyle name="Neutral 34" xfId="32095" xr:uid="{00000000-0005-0000-0000-00007B7D0000}"/>
    <cellStyle name="Neutral 34 2" xfId="32096" xr:uid="{00000000-0005-0000-0000-00007C7D0000}"/>
    <cellStyle name="Neutral 35" xfId="32097" xr:uid="{00000000-0005-0000-0000-00007D7D0000}"/>
    <cellStyle name="Neutral 35 2" xfId="32098" xr:uid="{00000000-0005-0000-0000-00007E7D0000}"/>
    <cellStyle name="Neutral 36" xfId="32099" xr:uid="{00000000-0005-0000-0000-00007F7D0000}"/>
    <cellStyle name="Neutral 36 2" xfId="32100" xr:uid="{00000000-0005-0000-0000-0000807D0000}"/>
    <cellStyle name="Neutral 37" xfId="32101" xr:uid="{00000000-0005-0000-0000-0000817D0000}"/>
    <cellStyle name="Neutral 37 2" xfId="32102" xr:uid="{00000000-0005-0000-0000-0000827D0000}"/>
    <cellStyle name="Neutral 38" xfId="32103" xr:uid="{00000000-0005-0000-0000-0000837D0000}"/>
    <cellStyle name="Neutral 38 2" xfId="32104" xr:uid="{00000000-0005-0000-0000-0000847D0000}"/>
    <cellStyle name="Neutral 39" xfId="32105" xr:uid="{00000000-0005-0000-0000-0000857D0000}"/>
    <cellStyle name="Neutral 39 2" xfId="32106" xr:uid="{00000000-0005-0000-0000-0000867D0000}"/>
    <cellStyle name="Neutral 4" xfId="32107" xr:uid="{00000000-0005-0000-0000-0000877D0000}"/>
    <cellStyle name="Neutral 4 2" xfId="32108" xr:uid="{00000000-0005-0000-0000-0000887D0000}"/>
    <cellStyle name="Neutral 4 2 2" xfId="32109" xr:uid="{00000000-0005-0000-0000-0000897D0000}"/>
    <cellStyle name="Neutral 4 3" xfId="32110" xr:uid="{00000000-0005-0000-0000-00008A7D0000}"/>
    <cellStyle name="Neutral 40" xfId="32111" xr:uid="{00000000-0005-0000-0000-00008B7D0000}"/>
    <cellStyle name="Neutral 40 2" xfId="32112" xr:uid="{00000000-0005-0000-0000-00008C7D0000}"/>
    <cellStyle name="Neutral 41" xfId="32113" xr:uid="{00000000-0005-0000-0000-00008D7D0000}"/>
    <cellStyle name="Neutral 41 2" xfId="32114" xr:uid="{00000000-0005-0000-0000-00008E7D0000}"/>
    <cellStyle name="Neutral 42" xfId="32115" xr:uid="{00000000-0005-0000-0000-00008F7D0000}"/>
    <cellStyle name="Neutral 42 2" xfId="32116" xr:uid="{00000000-0005-0000-0000-0000907D0000}"/>
    <cellStyle name="Neutral 43" xfId="32117" xr:uid="{00000000-0005-0000-0000-0000917D0000}"/>
    <cellStyle name="Neutral 43 2" xfId="32118" xr:uid="{00000000-0005-0000-0000-0000927D0000}"/>
    <cellStyle name="Neutral 44" xfId="32119" xr:uid="{00000000-0005-0000-0000-0000937D0000}"/>
    <cellStyle name="Neutral 44 2" xfId="32120" xr:uid="{00000000-0005-0000-0000-0000947D0000}"/>
    <cellStyle name="Neutral 45" xfId="32121" xr:uid="{00000000-0005-0000-0000-0000957D0000}"/>
    <cellStyle name="Neutral 45 2" xfId="32122" xr:uid="{00000000-0005-0000-0000-0000967D0000}"/>
    <cellStyle name="Neutral 46" xfId="32123" xr:uid="{00000000-0005-0000-0000-0000977D0000}"/>
    <cellStyle name="Neutral 46 2" xfId="32124" xr:uid="{00000000-0005-0000-0000-0000987D0000}"/>
    <cellStyle name="Neutral 47" xfId="32125" xr:uid="{00000000-0005-0000-0000-0000997D0000}"/>
    <cellStyle name="Neutral 47 2" xfId="32126" xr:uid="{00000000-0005-0000-0000-00009A7D0000}"/>
    <cellStyle name="Neutral 48" xfId="32127" xr:uid="{00000000-0005-0000-0000-00009B7D0000}"/>
    <cellStyle name="Neutral 48 2" xfId="32128" xr:uid="{00000000-0005-0000-0000-00009C7D0000}"/>
    <cellStyle name="Neutral 49" xfId="32129" xr:uid="{00000000-0005-0000-0000-00009D7D0000}"/>
    <cellStyle name="Neutral 49 2" xfId="32130" xr:uid="{00000000-0005-0000-0000-00009E7D0000}"/>
    <cellStyle name="Neutral 5" xfId="32131" xr:uid="{00000000-0005-0000-0000-00009F7D0000}"/>
    <cellStyle name="Neutral 5 2" xfId="32132" xr:uid="{00000000-0005-0000-0000-0000A07D0000}"/>
    <cellStyle name="Neutral 5 2 2" xfId="32133" xr:uid="{00000000-0005-0000-0000-0000A17D0000}"/>
    <cellStyle name="Neutral 5 3" xfId="32134" xr:uid="{00000000-0005-0000-0000-0000A27D0000}"/>
    <cellStyle name="Neutral 50" xfId="32135" xr:uid="{00000000-0005-0000-0000-0000A37D0000}"/>
    <cellStyle name="Neutral 50 2" xfId="32136" xr:uid="{00000000-0005-0000-0000-0000A47D0000}"/>
    <cellStyle name="Neutral 51" xfId="32137" xr:uid="{00000000-0005-0000-0000-0000A57D0000}"/>
    <cellStyle name="Neutral 51 2" xfId="32138" xr:uid="{00000000-0005-0000-0000-0000A67D0000}"/>
    <cellStyle name="Neutral 52" xfId="32139" xr:uid="{00000000-0005-0000-0000-0000A77D0000}"/>
    <cellStyle name="Neutral 52 2" xfId="32140" xr:uid="{00000000-0005-0000-0000-0000A87D0000}"/>
    <cellStyle name="Neutral 53" xfId="32141" xr:uid="{00000000-0005-0000-0000-0000A97D0000}"/>
    <cellStyle name="Neutral 53 2" xfId="32142" xr:uid="{00000000-0005-0000-0000-0000AA7D0000}"/>
    <cellStyle name="Neutral 54" xfId="32143" xr:uid="{00000000-0005-0000-0000-0000AB7D0000}"/>
    <cellStyle name="Neutral 54 2" xfId="32144" xr:uid="{00000000-0005-0000-0000-0000AC7D0000}"/>
    <cellStyle name="Neutral 55" xfId="32145" xr:uid="{00000000-0005-0000-0000-0000AD7D0000}"/>
    <cellStyle name="Neutral 55 2" xfId="32146" xr:uid="{00000000-0005-0000-0000-0000AE7D0000}"/>
    <cellStyle name="Neutral 56" xfId="32147" xr:uid="{00000000-0005-0000-0000-0000AF7D0000}"/>
    <cellStyle name="Neutral 56 2" xfId="32148" xr:uid="{00000000-0005-0000-0000-0000B07D0000}"/>
    <cellStyle name="Neutral 57" xfId="32149" xr:uid="{00000000-0005-0000-0000-0000B17D0000}"/>
    <cellStyle name="Neutral 57 2" xfId="32150" xr:uid="{00000000-0005-0000-0000-0000B27D0000}"/>
    <cellStyle name="Neutral 58" xfId="32151" xr:uid="{00000000-0005-0000-0000-0000B37D0000}"/>
    <cellStyle name="Neutral 58 2" xfId="32152" xr:uid="{00000000-0005-0000-0000-0000B47D0000}"/>
    <cellStyle name="Neutral 59" xfId="32153" xr:uid="{00000000-0005-0000-0000-0000B57D0000}"/>
    <cellStyle name="Neutral 6" xfId="32154" xr:uid="{00000000-0005-0000-0000-0000B67D0000}"/>
    <cellStyle name="Neutral 6 2" xfId="32155" xr:uid="{00000000-0005-0000-0000-0000B77D0000}"/>
    <cellStyle name="Neutral 6 3" xfId="32156" xr:uid="{00000000-0005-0000-0000-0000B87D0000}"/>
    <cellStyle name="Neutral 60" xfId="32157" xr:uid="{00000000-0005-0000-0000-0000B97D0000}"/>
    <cellStyle name="Neutral 61" xfId="32158" xr:uid="{00000000-0005-0000-0000-0000BA7D0000}"/>
    <cellStyle name="Neutral 62" xfId="32159" xr:uid="{00000000-0005-0000-0000-0000BB7D0000}"/>
    <cellStyle name="Neutral 63" xfId="32160" xr:uid="{00000000-0005-0000-0000-0000BC7D0000}"/>
    <cellStyle name="Neutral 63 2" xfId="32161" xr:uid="{00000000-0005-0000-0000-0000BD7D0000}"/>
    <cellStyle name="Neutral 64" xfId="32162" xr:uid="{00000000-0005-0000-0000-0000BE7D0000}"/>
    <cellStyle name="Neutral 64 2" xfId="32163" xr:uid="{00000000-0005-0000-0000-0000BF7D0000}"/>
    <cellStyle name="Neutral 65" xfId="32164" xr:uid="{00000000-0005-0000-0000-0000C07D0000}"/>
    <cellStyle name="Neutral 65 2" xfId="32165" xr:uid="{00000000-0005-0000-0000-0000C17D0000}"/>
    <cellStyle name="Neutral 66" xfId="32166" xr:uid="{00000000-0005-0000-0000-0000C27D0000}"/>
    <cellStyle name="Neutral 66 2" xfId="32167" xr:uid="{00000000-0005-0000-0000-0000C37D0000}"/>
    <cellStyle name="Neutral 67" xfId="32168" xr:uid="{00000000-0005-0000-0000-0000C47D0000}"/>
    <cellStyle name="Neutral 67 2" xfId="32169" xr:uid="{00000000-0005-0000-0000-0000C57D0000}"/>
    <cellStyle name="Neutral 68" xfId="32170" xr:uid="{00000000-0005-0000-0000-0000C67D0000}"/>
    <cellStyle name="Neutral 68 2" xfId="32171" xr:uid="{00000000-0005-0000-0000-0000C77D0000}"/>
    <cellStyle name="Neutral 69" xfId="32172" xr:uid="{00000000-0005-0000-0000-0000C87D0000}"/>
    <cellStyle name="Neutral 69 2" xfId="32173" xr:uid="{00000000-0005-0000-0000-0000C97D0000}"/>
    <cellStyle name="Neutral 7" xfId="32174" xr:uid="{00000000-0005-0000-0000-0000CA7D0000}"/>
    <cellStyle name="Neutral 7 2" xfId="32175" xr:uid="{00000000-0005-0000-0000-0000CB7D0000}"/>
    <cellStyle name="Neutral 70" xfId="32176" xr:uid="{00000000-0005-0000-0000-0000CC7D0000}"/>
    <cellStyle name="Neutral 70 2" xfId="32177" xr:uid="{00000000-0005-0000-0000-0000CD7D0000}"/>
    <cellStyle name="Neutral 71" xfId="32178" xr:uid="{00000000-0005-0000-0000-0000CE7D0000}"/>
    <cellStyle name="Neutral 71 2" xfId="32179" xr:uid="{00000000-0005-0000-0000-0000CF7D0000}"/>
    <cellStyle name="Neutral 72" xfId="32180" xr:uid="{00000000-0005-0000-0000-0000D07D0000}"/>
    <cellStyle name="Neutral 72 2" xfId="32181" xr:uid="{00000000-0005-0000-0000-0000D17D0000}"/>
    <cellStyle name="Neutral 73" xfId="32182" xr:uid="{00000000-0005-0000-0000-0000D27D0000}"/>
    <cellStyle name="Neutral 73 2" xfId="32183" xr:uid="{00000000-0005-0000-0000-0000D37D0000}"/>
    <cellStyle name="Neutral 74" xfId="32184" xr:uid="{00000000-0005-0000-0000-0000D47D0000}"/>
    <cellStyle name="Neutral 74 2" xfId="32185" xr:uid="{00000000-0005-0000-0000-0000D57D0000}"/>
    <cellStyle name="Neutral 75" xfId="32186" xr:uid="{00000000-0005-0000-0000-0000D67D0000}"/>
    <cellStyle name="Neutral 75 2" xfId="32187" xr:uid="{00000000-0005-0000-0000-0000D77D0000}"/>
    <cellStyle name="Neutral 76" xfId="32188" xr:uid="{00000000-0005-0000-0000-0000D87D0000}"/>
    <cellStyle name="Neutral 76 2" xfId="32189" xr:uid="{00000000-0005-0000-0000-0000D97D0000}"/>
    <cellStyle name="Neutral 77" xfId="32190" xr:uid="{00000000-0005-0000-0000-0000DA7D0000}"/>
    <cellStyle name="Neutral 77 2" xfId="32191" xr:uid="{00000000-0005-0000-0000-0000DB7D0000}"/>
    <cellStyle name="Neutral 78" xfId="32192" xr:uid="{00000000-0005-0000-0000-0000DC7D0000}"/>
    <cellStyle name="Neutral 78 2" xfId="32193" xr:uid="{00000000-0005-0000-0000-0000DD7D0000}"/>
    <cellStyle name="Neutral 79" xfId="32194" xr:uid="{00000000-0005-0000-0000-0000DE7D0000}"/>
    <cellStyle name="Neutral 79 2" xfId="32195" xr:uid="{00000000-0005-0000-0000-0000DF7D0000}"/>
    <cellStyle name="Neutral 8" xfId="32196" xr:uid="{00000000-0005-0000-0000-0000E07D0000}"/>
    <cellStyle name="Neutral 8 2" xfId="32197" xr:uid="{00000000-0005-0000-0000-0000E17D0000}"/>
    <cellStyle name="Neutral 80" xfId="32198" xr:uid="{00000000-0005-0000-0000-0000E27D0000}"/>
    <cellStyle name="Neutral 80 2" xfId="32199" xr:uid="{00000000-0005-0000-0000-0000E37D0000}"/>
    <cellStyle name="Neutral 81" xfId="32200" xr:uid="{00000000-0005-0000-0000-0000E47D0000}"/>
    <cellStyle name="Neutral 81 2" xfId="32201" xr:uid="{00000000-0005-0000-0000-0000E57D0000}"/>
    <cellStyle name="Neutral 82" xfId="32202" xr:uid="{00000000-0005-0000-0000-0000E67D0000}"/>
    <cellStyle name="Neutral 82 2" xfId="32203" xr:uid="{00000000-0005-0000-0000-0000E77D0000}"/>
    <cellStyle name="Neutral 83" xfId="32204" xr:uid="{00000000-0005-0000-0000-0000E87D0000}"/>
    <cellStyle name="Neutral 83 2" xfId="32205" xr:uid="{00000000-0005-0000-0000-0000E97D0000}"/>
    <cellStyle name="Neutral 84" xfId="32206" xr:uid="{00000000-0005-0000-0000-0000EA7D0000}"/>
    <cellStyle name="Neutral 84 2" xfId="32207" xr:uid="{00000000-0005-0000-0000-0000EB7D0000}"/>
    <cellStyle name="Neutral 85" xfId="32208" xr:uid="{00000000-0005-0000-0000-0000EC7D0000}"/>
    <cellStyle name="Neutral 85 2" xfId="32209" xr:uid="{00000000-0005-0000-0000-0000ED7D0000}"/>
    <cellStyle name="Neutral 86" xfId="32210" xr:uid="{00000000-0005-0000-0000-0000EE7D0000}"/>
    <cellStyle name="Neutral 86 2" xfId="32211" xr:uid="{00000000-0005-0000-0000-0000EF7D0000}"/>
    <cellStyle name="Neutral 87" xfId="32212" xr:uid="{00000000-0005-0000-0000-0000F07D0000}"/>
    <cellStyle name="Neutral 87 2" xfId="32213" xr:uid="{00000000-0005-0000-0000-0000F17D0000}"/>
    <cellStyle name="Neutral 88" xfId="32214" xr:uid="{00000000-0005-0000-0000-0000F27D0000}"/>
    <cellStyle name="Neutral 89" xfId="32215" xr:uid="{00000000-0005-0000-0000-0000F37D0000}"/>
    <cellStyle name="Neutral 89 2" xfId="32216" xr:uid="{00000000-0005-0000-0000-0000F47D0000}"/>
    <cellStyle name="Neutral 9" xfId="32217" xr:uid="{00000000-0005-0000-0000-0000F57D0000}"/>
    <cellStyle name="Neutral 9 2" xfId="32218" xr:uid="{00000000-0005-0000-0000-0000F67D0000}"/>
    <cellStyle name="Neutral 90" xfId="32219" xr:uid="{00000000-0005-0000-0000-0000F77D0000}"/>
    <cellStyle name="Neutral 90 2" xfId="32220" xr:uid="{00000000-0005-0000-0000-0000F87D0000}"/>
    <cellStyle name="Neutral 91" xfId="32221" xr:uid="{00000000-0005-0000-0000-0000F97D0000}"/>
    <cellStyle name="Neutral 91 2" xfId="32222" xr:uid="{00000000-0005-0000-0000-0000FA7D0000}"/>
    <cellStyle name="Neutral 92" xfId="32223" xr:uid="{00000000-0005-0000-0000-0000FB7D0000}"/>
    <cellStyle name="Neutral 92 2" xfId="32224" xr:uid="{00000000-0005-0000-0000-0000FC7D0000}"/>
    <cellStyle name="Neutral 93" xfId="32225" xr:uid="{00000000-0005-0000-0000-0000FD7D0000}"/>
    <cellStyle name="Neutral 93 2" xfId="32226" xr:uid="{00000000-0005-0000-0000-0000FE7D0000}"/>
    <cellStyle name="Neutral 94" xfId="32227" xr:uid="{00000000-0005-0000-0000-0000FF7D0000}"/>
    <cellStyle name="Neutral 94 2" xfId="32228" xr:uid="{00000000-0005-0000-0000-0000007E0000}"/>
    <cellStyle name="Neutral 95" xfId="32229" xr:uid="{00000000-0005-0000-0000-0000017E0000}"/>
    <cellStyle name="Neutral 96" xfId="32230" xr:uid="{00000000-0005-0000-0000-0000027E0000}"/>
    <cellStyle name="Neutral 97" xfId="32231" xr:uid="{00000000-0005-0000-0000-0000037E0000}"/>
    <cellStyle name="Neutral 98" xfId="32232" xr:uid="{00000000-0005-0000-0000-0000047E0000}"/>
    <cellStyle name="Neutral 99" xfId="32233" xr:uid="{00000000-0005-0000-0000-0000057E0000}"/>
    <cellStyle name="Normal" xfId="0" builtinId="0"/>
    <cellStyle name="Normal 10" xfId="32234" xr:uid="{00000000-0005-0000-0000-0000077E0000}"/>
    <cellStyle name="Normal 10 2" xfId="32235" xr:uid="{00000000-0005-0000-0000-0000087E0000}"/>
    <cellStyle name="Normal 10 3" xfId="32236" xr:uid="{00000000-0005-0000-0000-0000097E0000}"/>
    <cellStyle name="Normal 10 4" xfId="41002" xr:uid="{00000000-0005-0000-0000-00000A7E0000}"/>
    <cellStyle name="Normal 100" xfId="32237" xr:uid="{00000000-0005-0000-0000-00000B7E0000}"/>
    <cellStyle name="Normal 100 2" xfId="32238" xr:uid="{00000000-0005-0000-0000-00000C7E0000}"/>
    <cellStyle name="Normal 101" xfId="32239" xr:uid="{00000000-0005-0000-0000-00000D7E0000}"/>
    <cellStyle name="Normal 101 10" xfId="32240" xr:uid="{00000000-0005-0000-0000-00000E7E0000}"/>
    <cellStyle name="Normal 101 10 2" xfId="32241" xr:uid="{00000000-0005-0000-0000-00000F7E0000}"/>
    <cellStyle name="Normal 101 10 2 2" xfId="32242" xr:uid="{00000000-0005-0000-0000-0000107E0000}"/>
    <cellStyle name="Normal 101 10 3" xfId="32243" xr:uid="{00000000-0005-0000-0000-0000117E0000}"/>
    <cellStyle name="Normal 101 11" xfId="32244" xr:uid="{00000000-0005-0000-0000-0000127E0000}"/>
    <cellStyle name="Normal 101 11 2" xfId="32245" xr:uid="{00000000-0005-0000-0000-0000137E0000}"/>
    <cellStyle name="Normal 101 11 2 2" xfId="32246" xr:uid="{00000000-0005-0000-0000-0000147E0000}"/>
    <cellStyle name="Normal 101 11 3" xfId="32247" xr:uid="{00000000-0005-0000-0000-0000157E0000}"/>
    <cellStyle name="Normal 101 12" xfId="32248" xr:uid="{00000000-0005-0000-0000-0000167E0000}"/>
    <cellStyle name="Normal 101 12 2" xfId="32249" xr:uid="{00000000-0005-0000-0000-0000177E0000}"/>
    <cellStyle name="Normal 101 12 2 2" xfId="32250" xr:uid="{00000000-0005-0000-0000-0000187E0000}"/>
    <cellStyle name="Normal 101 12 3" xfId="32251" xr:uid="{00000000-0005-0000-0000-0000197E0000}"/>
    <cellStyle name="Normal 101 13" xfId="32252" xr:uid="{00000000-0005-0000-0000-00001A7E0000}"/>
    <cellStyle name="Normal 101 13 2" xfId="32253" xr:uid="{00000000-0005-0000-0000-00001B7E0000}"/>
    <cellStyle name="Normal 101 13 2 2" xfId="32254" xr:uid="{00000000-0005-0000-0000-00001C7E0000}"/>
    <cellStyle name="Normal 101 13 3" xfId="32255" xr:uid="{00000000-0005-0000-0000-00001D7E0000}"/>
    <cellStyle name="Normal 101 14" xfId="32256" xr:uid="{00000000-0005-0000-0000-00001E7E0000}"/>
    <cellStyle name="Normal 101 14 2" xfId="32257" xr:uid="{00000000-0005-0000-0000-00001F7E0000}"/>
    <cellStyle name="Normal 101 14 2 2" xfId="32258" xr:uid="{00000000-0005-0000-0000-0000207E0000}"/>
    <cellStyle name="Normal 101 14 3" xfId="32259" xr:uid="{00000000-0005-0000-0000-0000217E0000}"/>
    <cellStyle name="Normal 101 15" xfId="32260" xr:uid="{00000000-0005-0000-0000-0000227E0000}"/>
    <cellStyle name="Normal 101 15 2" xfId="32261" xr:uid="{00000000-0005-0000-0000-0000237E0000}"/>
    <cellStyle name="Normal 101 15 2 2" xfId="32262" xr:uid="{00000000-0005-0000-0000-0000247E0000}"/>
    <cellStyle name="Normal 101 15 3" xfId="32263" xr:uid="{00000000-0005-0000-0000-0000257E0000}"/>
    <cellStyle name="Normal 101 16" xfId="32264" xr:uid="{00000000-0005-0000-0000-0000267E0000}"/>
    <cellStyle name="Normal 101 16 2" xfId="32265" xr:uid="{00000000-0005-0000-0000-0000277E0000}"/>
    <cellStyle name="Normal 101 16 2 2" xfId="32266" xr:uid="{00000000-0005-0000-0000-0000287E0000}"/>
    <cellStyle name="Normal 101 16 3" xfId="32267" xr:uid="{00000000-0005-0000-0000-0000297E0000}"/>
    <cellStyle name="Normal 101 17" xfId="32268" xr:uid="{00000000-0005-0000-0000-00002A7E0000}"/>
    <cellStyle name="Normal 101 17 2" xfId="32269" xr:uid="{00000000-0005-0000-0000-00002B7E0000}"/>
    <cellStyle name="Normal 101 17 2 2" xfId="32270" xr:uid="{00000000-0005-0000-0000-00002C7E0000}"/>
    <cellStyle name="Normal 101 17 3" xfId="32271" xr:uid="{00000000-0005-0000-0000-00002D7E0000}"/>
    <cellStyle name="Normal 101 18" xfId="32272" xr:uid="{00000000-0005-0000-0000-00002E7E0000}"/>
    <cellStyle name="Normal 101 18 2" xfId="32273" xr:uid="{00000000-0005-0000-0000-00002F7E0000}"/>
    <cellStyle name="Normal 101 18 2 2" xfId="32274" xr:uid="{00000000-0005-0000-0000-0000307E0000}"/>
    <cellStyle name="Normal 101 18 3" xfId="32275" xr:uid="{00000000-0005-0000-0000-0000317E0000}"/>
    <cellStyle name="Normal 101 19" xfId="32276" xr:uid="{00000000-0005-0000-0000-0000327E0000}"/>
    <cellStyle name="Normal 101 19 2" xfId="32277" xr:uid="{00000000-0005-0000-0000-0000337E0000}"/>
    <cellStyle name="Normal 101 19 2 2" xfId="32278" xr:uid="{00000000-0005-0000-0000-0000347E0000}"/>
    <cellStyle name="Normal 101 19 3" xfId="32279" xr:uid="{00000000-0005-0000-0000-0000357E0000}"/>
    <cellStyle name="Normal 101 2" xfId="32280" xr:uid="{00000000-0005-0000-0000-0000367E0000}"/>
    <cellStyle name="Normal 101 2 2" xfId="32281" xr:uid="{00000000-0005-0000-0000-0000377E0000}"/>
    <cellStyle name="Normal 101 2 2 2" xfId="32282" xr:uid="{00000000-0005-0000-0000-0000387E0000}"/>
    <cellStyle name="Normal 101 2 3" xfId="32283" xr:uid="{00000000-0005-0000-0000-0000397E0000}"/>
    <cellStyle name="Normal 101 20" xfId="32284" xr:uid="{00000000-0005-0000-0000-00003A7E0000}"/>
    <cellStyle name="Normal 101 20 2" xfId="32285" xr:uid="{00000000-0005-0000-0000-00003B7E0000}"/>
    <cellStyle name="Normal 101 20 2 2" xfId="32286" xr:uid="{00000000-0005-0000-0000-00003C7E0000}"/>
    <cellStyle name="Normal 101 20 3" xfId="32287" xr:uid="{00000000-0005-0000-0000-00003D7E0000}"/>
    <cellStyle name="Normal 101 21" xfId="32288" xr:uid="{00000000-0005-0000-0000-00003E7E0000}"/>
    <cellStyle name="Normal 101 21 2" xfId="32289" xr:uid="{00000000-0005-0000-0000-00003F7E0000}"/>
    <cellStyle name="Normal 101 21 2 2" xfId="32290" xr:uid="{00000000-0005-0000-0000-0000407E0000}"/>
    <cellStyle name="Normal 101 21 3" xfId="32291" xr:uid="{00000000-0005-0000-0000-0000417E0000}"/>
    <cellStyle name="Normal 101 22" xfId="32292" xr:uid="{00000000-0005-0000-0000-0000427E0000}"/>
    <cellStyle name="Normal 101 22 2" xfId="32293" xr:uid="{00000000-0005-0000-0000-0000437E0000}"/>
    <cellStyle name="Normal 101 22 2 2" xfId="32294" xr:uid="{00000000-0005-0000-0000-0000447E0000}"/>
    <cellStyle name="Normal 101 22 3" xfId="32295" xr:uid="{00000000-0005-0000-0000-0000457E0000}"/>
    <cellStyle name="Normal 101 23" xfId="32296" xr:uid="{00000000-0005-0000-0000-0000467E0000}"/>
    <cellStyle name="Normal 101 23 2" xfId="32297" xr:uid="{00000000-0005-0000-0000-0000477E0000}"/>
    <cellStyle name="Normal 101 23 2 2" xfId="32298" xr:uid="{00000000-0005-0000-0000-0000487E0000}"/>
    <cellStyle name="Normal 101 23 3" xfId="32299" xr:uid="{00000000-0005-0000-0000-0000497E0000}"/>
    <cellStyle name="Normal 101 24" xfId="32300" xr:uid="{00000000-0005-0000-0000-00004A7E0000}"/>
    <cellStyle name="Normal 101 24 2" xfId="32301" xr:uid="{00000000-0005-0000-0000-00004B7E0000}"/>
    <cellStyle name="Normal 101 24 2 2" xfId="32302" xr:uid="{00000000-0005-0000-0000-00004C7E0000}"/>
    <cellStyle name="Normal 101 24 3" xfId="32303" xr:uid="{00000000-0005-0000-0000-00004D7E0000}"/>
    <cellStyle name="Normal 101 25" xfId="32304" xr:uid="{00000000-0005-0000-0000-00004E7E0000}"/>
    <cellStyle name="Normal 101 25 2" xfId="32305" xr:uid="{00000000-0005-0000-0000-00004F7E0000}"/>
    <cellStyle name="Normal 101 25 2 2" xfId="32306" xr:uid="{00000000-0005-0000-0000-0000507E0000}"/>
    <cellStyle name="Normal 101 25 3" xfId="32307" xr:uid="{00000000-0005-0000-0000-0000517E0000}"/>
    <cellStyle name="Normal 101 26" xfId="32308" xr:uid="{00000000-0005-0000-0000-0000527E0000}"/>
    <cellStyle name="Normal 101 26 2" xfId="32309" xr:uid="{00000000-0005-0000-0000-0000537E0000}"/>
    <cellStyle name="Normal 101 26 2 2" xfId="32310" xr:uid="{00000000-0005-0000-0000-0000547E0000}"/>
    <cellStyle name="Normal 101 26 3" xfId="32311" xr:uid="{00000000-0005-0000-0000-0000557E0000}"/>
    <cellStyle name="Normal 101 27" xfId="32312" xr:uid="{00000000-0005-0000-0000-0000567E0000}"/>
    <cellStyle name="Normal 101 27 2" xfId="32313" xr:uid="{00000000-0005-0000-0000-0000577E0000}"/>
    <cellStyle name="Normal 101 27 2 2" xfId="32314" xr:uid="{00000000-0005-0000-0000-0000587E0000}"/>
    <cellStyle name="Normal 101 27 3" xfId="32315" xr:uid="{00000000-0005-0000-0000-0000597E0000}"/>
    <cellStyle name="Normal 101 28" xfId="32316" xr:uid="{00000000-0005-0000-0000-00005A7E0000}"/>
    <cellStyle name="Normal 101 28 2" xfId="32317" xr:uid="{00000000-0005-0000-0000-00005B7E0000}"/>
    <cellStyle name="Normal 101 28 2 2" xfId="32318" xr:uid="{00000000-0005-0000-0000-00005C7E0000}"/>
    <cellStyle name="Normal 101 28 3" xfId="32319" xr:uid="{00000000-0005-0000-0000-00005D7E0000}"/>
    <cellStyle name="Normal 101 29" xfId="32320" xr:uid="{00000000-0005-0000-0000-00005E7E0000}"/>
    <cellStyle name="Normal 101 29 2" xfId="32321" xr:uid="{00000000-0005-0000-0000-00005F7E0000}"/>
    <cellStyle name="Normal 101 29 2 2" xfId="32322" xr:uid="{00000000-0005-0000-0000-0000607E0000}"/>
    <cellStyle name="Normal 101 29 3" xfId="32323" xr:uid="{00000000-0005-0000-0000-0000617E0000}"/>
    <cellStyle name="Normal 101 3" xfId="32324" xr:uid="{00000000-0005-0000-0000-0000627E0000}"/>
    <cellStyle name="Normal 101 3 2" xfId="32325" xr:uid="{00000000-0005-0000-0000-0000637E0000}"/>
    <cellStyle name="Normal 101 3 2 2" xfId="32326" xr:uid="{00000000-0005-0000-0000-0000647E0000}"/>
    <cellStyle name="Normal 101 3 3" xfId="32327" xr:uid="{00000000-0005-0000-0000-0000657E0000}"/>
    <cellStyle name="Normal 101 30" xfId="32328" xr:uid="{00000000-0005-0000-0000-0000667E0000}"/>
    <cellStyle name="Normal 101 30 2" xfId="32329" xr:uid="{00000000-0005-0000-0000-0000677E0000}"/>
    <cellStyle name="Normal 101 30 2 2" xfId="32330" xr:uid="{00000000-0005-0000-0000-0000687E0000}"/>
    <cellStyle name="Normal 101 30 3" xfId="32331" xr:uid="{00000000-0005-0000-0000-0000697E0000}"/>
    <cellStyle name="Normal 101 31" xfId="32332" xr:uid="{00000000-0005-0000-0000-00006A7E0000}"/>
    <cellStyle name="Normal 101 31 2" xfId="32333" xr:uid="{00000000-0005-0000-0000-00006B7E0000}"/>
    <cellStyle name="Normal 101 31 2 2" xfId="32334" xr:uid="{00000000-0005-0000-0000-00006C7E0000}"/>
    <cellStyle name="Normal 101 31 3" xfId="32335" xr:uid="{00000000-0005-0000-0000-00006D7E0000}"/>
    <cellStyle name="Normal 101 32" xfId="32336" xr:uid="{00000000-0005-0000-0000-00006E7E0000}"/>
    <cellStyle name="Normal 101 32 2" xfId="32337" xr:uid="{00000000-0005-0000-0000-00006F7E0000}"/>
    <cellStyle name="Normal 101 32 2 2" xfId="32338" xr:uid="{00000000-0005-0000-0000-0000707E0000}"/>
    <cellStyle name="Normal 101 32 3" xfId="32339" xr:uid="{00000000-0005-0000-0000-0000717E0000}"/>
    <cellStyle name="Normal 101 33" xfId="32340" xr:uid="{00000000-0005-0000-0000-0000727E0000}"/>
    <cellStyle name="Normal 101 33 2" xfId="32341" xr:uid="{00000000-0005-0000-0000-0000737E0000}"/>
    <cellStyle name="Normal 101 33 2 2" xfId="32342" xr:uid="{00000000-0005-0000-0000-0000747E0000}"/>
    <cellStyle name="Normal 101 33 3" xfId="32343" xr:uid="{00000000-0005-0000-0000-0000757E0000}"/>
    <cellStyle name="Normal 101 34" xfId="32344" xr:uid="{00000000-0005-0000-0000-0000767E0000}"/>
    <cellStyle name="Normal 101 34 2" xfId="32345" xr:uid="{00000000-0005-0000-0000-0000777E0000}"/>
    <cellStyle name="Normal 101 34 2 2" xfId="32346" xr:uid="{00000000-0005-0000-0000-0000787E0000}"/>
    <cellStyle name="Normal 101 34 3" xfId="32347" xr:uid="{00000000-0005-0000-0000-0000797E0000}"/>
    <cellStyle name="Normal 101 35" xfId="32348" xr:uid="{00000000-0005-0000-0000-00007A7E0000}"/>
    <cellStyle name="Normal 101 35 2" xfId="32349" xr:uid="{00000000-0005-0000-0000-00007B7E0000}"/>
    <cellStyle name="Normal 101 35 2 2" xfId="32350" xr:uid="{00000000-0005-0000-0000-00007C7E0000}"/>
    <cellStyle name="Normal 101 35 3" xfId="32351" xr:uid="{00000000-0005-0000-0000-00007D7E0000}"/>
    <cellStyle name="Normal 101 36" xfId="32352" xr:uid="{00000000-0005-0000-0000-00007E7E0000}"/>
    <cellStyle name="Normal 101 36 2" xfId="32353" xr:uid="{00000000-0005-0000-0000-00007F7E0000}"/>
    <cellStyle name="Normal 101 36 2 2" xfId="32354" xr:uid="{00000000-0005-0000-0000-0000807E0000}"/>
    <cellStyle name="Normal 101 36 3" xfId="32355" xr:uid="{00000000-0005-0000-0000-0000817E0000}"/>
    <cellStyle name="Normal 101 4" xfId="32356" xr:uid="{00000000-0005-0000-0000-0000827E0000}"/>
    <cellStyle name="Normal 101 4 2" xfId="32357" xr:uid="{00000000-0005-0000-0000-0000837E0000}"/>
    <cellStyle name="Normal 101 4 2 2" xfId="32358" xr:uid="{00000000-0005-0000-0000-0000847E0000}"/>
    <cellStyle name="Normal 101 4 3" xfId="32359" xr:uid="{00000000-0005-0000-0000-0000857E0000}"/>
    <cellStyle name="Normal 101 5" xfId="32360" xr:uid="{00000000-0005-0000-0000-0000867E0000}"/>
    <cellStyle name="Normal 101 5 2" xfId="32361" xr:uid="{00000000-0005-0000-0000-0000877E0000}"/>
    <cellStyle name="Normal 101 5 2 2" xfId="32362" xr:uid="{00000000-0005-0000-0000-0000887E0000}"/>
    <cellStyle name="Normal 101 5 3" xfId="32363" xr:uid="{00000000-0005-0000-0000-0000897E0000}"/>
    <cellStyle name="Normal 101 6" xfId="32364" xr:uid="{00000000-0005-0000-0000-00008A7E0000}"/>
    <cellStyle name="Normal 101 6 2" xfId="32365" xr:uid="{00000000-0005-0000-0000-00008B7E0000}"/>
    <cellStyle name="Normal 101 6 2 2" xfId="32366" xr:uid="{00000000-0005-0000-0000-00008C7E0000}"/>
    <cellStyle name="Normal 101 6 3" xfId="32367" xr:uid="{00000000-0005-0000-0000-00008D7E0000}"/>
    <cellStyle name="Normal 101 7" xfId="32368" xr:uid="{00000000-0005-0000-0000-00008E7E0000}"/>
    <cellStyle name="Normal 101 7 2" xfId="32369" xr:uid="{00000000-0005-0000-0000-00008F7E0000}"/>
    <cellStyle name="Normal 101 7 2 2" xfId="32370" xr:uid="{00000000-0005-0000-0000-0000907E0000}"/>
    <cellStyle name="Normal 101 7 3" xfId="32371" xr:uid="{00000000-0005-0000-0000-0000917E0000}"/>
    <cellStyle name="Normal 101 8" xfId="32372" xr:uid="{00000000-0005-0000-0000-0000927E0000}"/>
    <cellStyle name="Normal 101 8 2" xfId="32373" xr:uid="{00000000-0005-0000-0000-0000937E0000}"/>
    <cellStyle name="Normal 101 8 2 2" xfId="32374" xr:uid="{00000000-0005-0000-0000-0000947E0000}"/>
    <cellStyle name="Normal 101 8 3" xfId="32375" xr:uid="{00000000-0005-0000-0000-0000957E0000}"/>
    <cellStyle name="Normal 101 9" xfId="32376" xr:uid="{00000000-0005-0000-0000-0000967E0000}"/>
    <cellStyle name="Normal 101 9 2" xfId="32377" xr:uid="{00000000-0005-0000-0000-0000977E0000}"/>
    <cellStyle name="Normal 101 9 2 2" xfId="32378" xr:uid="{00000000-0005-0000-0000-0000987E0000}"/>
    <cellStyle name="Normal 101 9 3" xfId="32379" xr:uid="{00000000-0005-0000-0000-0000997E0000}"/>
    <cellStyle name="Normal 102" xfId="32380" xr:uid="{00000000-0005-0000-0000-00009A7E0000}"/>
    <cellStyle name="Normal 102 10" xfId="4" xr:uid="{00000000-0005-0000-0000-00009B7E0000}"/>
    <cellStyle name="Normal 102 11" xfId="32381" xr:uid="{00000000-0005-0000-0000-00009C7E0000}"/>
    <cellStyle name="Normal 102 12" xfId="32382" xr:uid="{00000000-0005-0000-0000-00009D7E0000}"/>
    <cellStyle name="Normal 102 13" xfId="32383" xr:uid="{00000000-0005-0000-0000-00009E7E0000}"/>
    <cellStyle name="Normal 102 14" xfId="32384" xr:uid="{00000000-0005-0000-0000-00009F7E0000}"/>
    <cellStyle name="Normal 102 15" xfId="32385" xr:uid="{00000000-0005-0000-0000-0000A07E0000}"/>
    <cellStyle name="Normal 102 16" xfId="32386" xr:uid="{00000000-0005-0000-0000-0000A17E0000}"/>
    <cellStyle name="Normal 102 17" xfId="32387" xr:uid="{00000000-0005-0000-0000-0000A27E0000}"/>
    <cellStyle name="Normal 102 18" xfId="32388" xr:uid="{00000000-0005-0000-0000-0000A37E0000}"/>
    <cellStyle name="Normal 102 19" xfId="32389" xr:uid="{00000000-0005-0000-0000-0000A47E0000}"/>
    <cellStyle name="Normal 102 2" xfId="32390" xr:uid="{00000000-0005-0000-0000-0000A57E0000}"/>
    <cellStyle name="Normal 102 20" xfId="32391" xr:uid="{00000000-0005-0000-0000-0000A67E0000}"/>
    <cellStyle name="Normal 102 21" xfId="32392" xr:uid="{00000000-0005-0000-0000-0000A77E0000}"/>
    <cellStyle name="Normal 102 22" xfId="32393" xr:uid="{00000000-0005-0000-0000-0000A87E0000}"/>
    <cellStyle name="Normal 102 23" xfId="32394" xr:uid="{00000000-0005-0000-0000-0000A97E0000}"/>
    <cellStyle name="Normal 102 24" xfId="32395" xr:uid="{00000000-0005-0000-0000-0000AA7E0000}"/>
    <cellStyle name="Normal 102 25" xfId="32396" xr:uid="{00000000-0005-0000-0000-0000AB7E0000}"/>
    <cellStyle name="Normal 102 26" xfId="32397" xr:uid="{00000000-0005-0000-0000-0000AC7E0000}"/>
    <cellStyle name="Normal 102 27" xfId="32398" xr:uid="{00000000-0005-0000-0000-0000AD7E0000}"/>
    <cellStyle name="Normal 102 28" xfId="32399" xr:uid="{00000000-0005-0000-0000-0000AE7E0000}"/>
    <cellStyle name="Normal 102 29" xfId="32400" xr:uid="{00000000-0005-0000-0000-0000AF7E0000}"/>
    <cellStyle name="Normal 102 3" xfId="32401" xr:uid="{00000000-0005-0000-0000-0000B07E0000}"/>
    <cellStyle name="Normal 102 30" xfId="32402" xr:uid="{00000000-0005-0000-0000-0000B17E0000}"/>
    <cellStyle name="Normal 102 31" xfId="32403" xr:uid="{00000000-0005-0000-0000-0000B27E0000}"/>
    <cellStyle name="Normal 102 32" xfId="32404" xr:uid="{00000000-0005-0000-0000-0000B37E0000}"/>
    <cellStyle name="Normal 102 33" xfId="32405" xr:uid="{00000000-0005-0000-0000-0000B47E0000}"/>
    <cellStyle name="Normal 102 34" xfId="32406" xr:uid="{00000000-0005-0000-0000-0000B57E0000}"/>
    <cellStyle name="Normal 102 35" xfId="32407" xr:uid="{00000000-0005-0000-0000-0000B67E0000}"/>
    <cellStyle name="Normal 102 36" xfId="32408" xr:uid="{00000000-0005-0000-0000-0000B77E0000}"/>
    <cellStyle name="Normal 102 4" xfId="32409" xr:uid="{00000000-0005-0000-0000-0000B87E0000}"/>
    <cellStyle name="Normal 102 5" xfId="32410" xr:uid="{00000000-0005-0000-0000-0000B97E0000}"/>
    <cellStyle name="Normal 102 6" xfId="32411" xr:uid="{00000000-0005-0000-0000-0000BA7E0000}"/>
    <cellStyle name="Normal 102 7" xfId="32412" xr:uid="{00000000-0005-0000-0000-0000BB7E0000}"/>
    <cellStyle name="Normal 102 8" xfId="32413" xr:uid="{00000000-0005-0000-0000-0000BC7E0000}"/>
    <cellStyle name="Normal 102 9" xfId="32414" xr:uid="{00000000-0005-0000-0000-0000BD7E0000}"/>
    <cellStyle name="Normal 103" xfId="32415" xr:uid="{00000000-0005-0000-0000-0000BE7E0000}"/>
    <cellStyle name="Normal 103 10" xfId="32416" xr:uid="{00000000-0005-0000-0000-0000BF7E0000}"/>
    <cellStyle name="Normal 103 10 2" xfId="32417" xr:uid="{00000000-0005-0000-0000-0000C07E0000}"/>
    <cellStyle name="Normal 103 10 2 2" xfId="32418" xr:uid="{00000000-0005-0000-0000-0000C17E0000}"/>
    <cellStyle name="Normal 103 10 3" xfId="32419" xr:uid="{00000000-0005-0000-0000-0000C27E0000}"/>
    <cellStyle name="Normal 103 11" xfId="32420" xr:uid="{00000000-0005-0000-0000-0000C37E0000}"/>
    <cellStyle name="Normal 103 11 2" xfId="32421" xr:uid="{00000000-0005-0000-0000-0000C47E0000}"/>
    <cellStyle name="Normal 103 11 2 2" xfId="32422" xr:uid="{00000000-0005-0000-0000-0000C57E0000}"/>
    <cellStyle name="Normal 103 11 3" xfId="32423" xr:uid="{00000000-0005-0000-0000-0000C67E0000}"/>
    <cellStyle name="Normal 103 12" xfId="32424" xr:uid="{00000000-0005-0000-0000-0000C77E0000}"/>
    <cellStyle name="Normal 103 12 2" xfId="32425" xr:uid="{00000000-0005-0000-0000-0000C87E0000}"/>
    <cellStyle name="Normal 103 12 2 2" xfId="32426" xr:uid="{00000000-0005-0000-0000-0000C97E0000}"/>
    <cellStyle name="Normal 103 12 3" xfId="32427" xr:uid="{00000000-0005-0000-0000-0000CA7E0000}"/>
    <cellStyle name="Normal 103 13" xfId="32428" xr:uid="{00000000-0005-0000-0000-0000CB7E0000}"/>
    <cellStyle name="Normal 103 13 2" xfId="32429" xr:uid="{00000000-0005-0000-0000-0000CC7E0000}"/>
    <cellStyle name="Normal 103 13 2 2" xfId="32430" xr:uid="{00000000-0005-0000-0000-0000CD7E0000}"/>
    <cellStyle name="Normal 103 13 3" xfId="32431" xr:uid="{00000000-0005-0000-0000-0000CE7E0000}"/>
    <cellStyle name="Normal 103 14" xfId="32432" xr:uid="{00000000-0005-0000-0000-0000CF7E0000}"/>
    <cellStyle name="Normal 103 14 2" xfId="32433" xr:uid="{00000000-0005-0000-0000-0000D07E0000}"/>
    <cellStyle name="Normal 103 14 2 2" xfId="32434" xr:uid="{00000000-0005-0000-0000-0000D17E0000}"/>
    <cellStyle name="Normal 103 14 3" xfId="32435" xr:uid="{00000000-0005-0000-0000-0000D27E0000}"/>
    <cellStyle name="Normal 103 15" xfId="32436" xr:uid="{00000000-0005-0000-0000-0000D37E0000}"/>
    <cellStyle name="Normal 103 15 2" xfId="32437" xr:uid="{00000000-0005-0000-0000-0000D47E0000}"/>
    <cellStyle name="Normal 103 15 2 2" xfId="32438" xr:uid="{00000000-0005-0000-0000-0000D57E0000}"/>
    <cellStyle name="Normal 103 15 3" xfId="32439" xr:uid="{00000000-0005-0000-0000-0000D67E0000}"/>
    <cellStyle name="Normal 103 16" xfId="32440" xr:uid="{00000000-0005-0000-0000-0000D77E0000}"/>
    <cellStyle name="Normal 103 16 2" xfId="32441" xr:uid="{00000000-0005-0000-0000-0000D87E0000}"/>
    <cellStyle name="Normal 103 16 2 2" xfId="32442" xr:uid="{00000000-0005-0000-0000-0000D97E0000}"/>
    <cellStyle name="Normal 103 16 3" xfId="32443" xr:uid="{00000000-0005-0000-0000-0000DA7E0000}"/>
    <cellStyle name="Normal 103 17" xfId="32444" xr:uid="{00000000-0005-0000-0000-0000DB7E0000}"/>
    <cellStyle name="Normal 103 17 2" xfId="32445" xr:uid="{00000000-0005-0000-0000-0000DC7E0000}"/>
    <cellStyle name="Normal 103 17 2 2" xfId="32446" xr:uid="{00000000-0005-0000-0000-0000DD7E0000}"/>
    <cellStyle name="Normal 103 17 3" xfId="32447" xr:uid="{00000000-0005-0000-0000-0000DE7E0000}"/>
    <cellStyle name="Normal 103 18" xfId="32448" xr:uid="{00000000-0005-0000-0000-0000DF7E0000}"/>
    <cellStyle name="Normal 103 18 2" xfId="32449" xr:uid="{00000000-0005-0000-0000-0000E07E0000}"/>
    <cellStyle name="Normal 103 18 2 2" xfId="32450" xr:uid="{00000000-0005-0000-0000-0000E17E0000}"/>
    <cellStyle name="Normal 103 18 3" xfId="32451" xr:uid="{00000000-0005-0000-0000-0000E27E0000}"/>
    <cellStyle name="Normal 103 19" xfId="32452" xr:uid="{00000000-0005-0000-0000-0000E37E0000}"/>
    <cellStyle name="Normal 103 19 2" xfId="32453" xr:uid="{00000000-0005-0000-0000-0000E47E0000}"/>
    <cellStyle name="Normal 103 19 2 2" xfId="32454" xr:uid="{00000000-0005-0000-0000-0000E57E0000}"/>
    <cellStyle name="Normal 103 19 3" xfId="32455" xr:uid="{00000000-0005-0000-0000-0000E67E0000}"/>
    <cellStyle name="Normal 103 2" xfId="32456" xr:uid="{00000000-0005-0000-0000-0000E77E0000}"/>
    <cellStyle name="Normal 103 2 2" xfId="32457" xr:uid="{00000000-0005-0000-0000-0000E87E0000}"/>
    <cellStyle name="Normal 103 2 2 2" xfId="32458" xr:uid="{00000000-0005-0000-0000-0000E97E0000}"/>
    <cellStyle name="Normal 103 2 3" xfId="32459" xr:uid="{00000000-0005-0000-0000-0000EA7E0000}"/>
    <cellStyle name="Normal 103 20" xfId="32460" xr:uid="{00000000-0005-0000-0000-0000EB7E0000}"/>
    <cellStyle name="Normal 103 20 2" xfId="32461" xr:uid="{00000000-0005-0000-0000-0000EC7E0000}"/>
    <cellStyle name="Normal 103 20 2 2" xfId="32462" xr:uid="{00000000-0005-0000-0000-0000ED7E0000}"/>
    <cellStyle name="Normal 103 20 3" xfId="32463" xr:uid="{00000000-0005-0000-0000-0000EE7E0000}"/>
    <cellStyle name="Normal 103 21" xfId="32464" xr:uid="{00000000-0005-0000-0000-0000EF7E0000}"/>
    <cellStyle name="Normal 103 21 2" xfId="32465" xr:uid="{00000000-0005-0000-0000-0000F07E0000}"/>
    <cellStyle name="Normal 103 21 2 2" xfId="32466" xr:uid="{00000000-0005-0000-0000-0000F17E0000}"/>
    <cellStyle name="Normal 103 21 3" xfId="32467" xr:uid="{00000000-0005-0000-0000-0000F27E0000}"/>
    <cellStyle name="Normal 103 22" xfId="32468" xr:uid="{00000000-0005-0000-0000-0000F37E0000}"/>
    <cellStyle name="Normal 103 22 2" xfId="32469" xr:uid="{00000000-0005-0000-0000-0000F47E0000}"/>
    <cellStyle name="Normal 103 22 2 2" xfId="32470" xr:uid="{00000000-0005-0000-0000-0000F57E0000}"/>
    <cellStyle name="Normal 103 22 3" xfId="32471" xr:uid="{00000000-0005-0000-0000-0000F67E0000}"/>
    <cellStyle name="Normal 103 23" xfId="32472" xr:uid="{00000000-0005-0000-0000-0000F77E0000}"/>
    <cellStyle name="Normal 103 23 2" xfId="32473" xr:uid="{00000000-0005-0000-0000-0000F87E0000}"/>
    <cellStyle name="Normal 103 23 2 2" xfId="32474" xr:uid="{00000000-0005-0000-0000-0000F97E0000}"/>
    <cellStyle name="Normal 103 23 3" xfId="32475" xr:uid="{00000000-0005-0000-0000-0000FA7E0000}"/>
    <cellStyle name="Normal 103 24" xfId="32476" xr:uid="{00000000-0005-0000-0000-0000FB7E0000}"/>
    <cellStyle name="Normal 103 24 2" xfId="32477" xr:uid="{00000000-0005-0000-0000-0000FC7E0000}"/>
    <cellStyle name="Normal 103 24 2 2" xfId="32478" xr:uid="{00000000-0005-0000-0000-0000FD7E0000}"/>
    <cellStyle name="Normal 103 24 3" xfId="32479" xr:uid="{00000000-0005-0000-0000-0000FE7E0000}"/>
    <cellStyle name="Normal 103 25" xfId="32480" xr:uid="{00000000-0005-0000-0000-0000FF7E0000}"/>
    <cellStyle name="Normal 103 25 2" xfId="32481" xr:uid="{00000000-0005-0000-0000-0000007F0000}"/>
    <cellStyle name="Normal 103 25 2 2" xfId="32482" xr:uid="{00000000-0005-0000-0000-0000017F0000}"/>
    <cellStyle name="Normal 103 25 3" xfId="32483" xr:uid="{00000000-0005-0000-0000-0000027F0000}"/>
    <cellStyle name="Normal 103 26" xfId="32484" xr:uid="{00000000-0005-0000-0000-0000037F0000}"/>
    <cellStyle name="Normal 103 26 2" xfId="32485" xr:uid="{00000000-0005-0000-0000-0000047F0000}"/>
    <cellStyle name="Normal 103 26 2 2" xfId="32486" xr:uid="{00000000-0005-0000-0000-0000057F0000}"/>
    <cellStyle name="Normal 103 26 3" xfId="32487" xr:uid="{00000000-0005-0000-0000-0000067F0000}"/>
    <cellStyle name="Normal 103 27" xfId="32488" xr:uid="{00000000-0005-0000-0000-0000077F0000}"/>
    <cellStyle name="Normal 103 27 2" xfId="32489" xr:uid="{00000000-0005-0000-0000-0000087F0000}"/>
    <cellStyle name="Normal 103 27 2 2" xfId="32490" xr:uid="{00000000-0005-0000-0000-0000097F0000}"/>
    <cellStyle name="Normal 103 27 3" xfId="32491" xr:uid="{00000000-0005-0000-0000-00000A7F0000}"/>
    <cellStyle name="Normal 103 28" xfId="32492" xr:uid="{00000000-0005-0000-0000-00000B7F0000}"/>
    <cellStyle name="Normal 103 28 2" xfId="32493" xr:uid="{00000000-0005-0000-0000-00000C7F0000}"/>
    <cellStyle name="Normal 103 28 2 2" xfId="32494" xr:uid="{00000000-0005-0000-0000-00000D7F0000}"/>
    <cellStyle name="Normal 103 28 3" xfId="32495" xr:uid="{00000000-0005-0000-0000-00000E7F0000}"/>
    <cellStyle name="Normal 103 29" xfId="32496" xr:uid="{00000000-0005-0000-0000-00000F7F0000}"/>
    <cellStyle name="Normal 103 29 2" xfId="32497" xr:uid="{00000000-0005-0000-0000-0000107F0000}"/>
    <cellStyle name="Normal 103 29 2 2" xfId="32498" xr:uid="{00000000-0005-0000-0000-0000117F0000}"/>
    <cellStyle name="Normal 103 29 3" xfId="32499" xr:uid="{00000000-0005-0000-0000-0000127F0000}"/>
    <cellStyle name="Normal 103 3" xfId="32500" xr:uid="{00000000-0005-0000-0000-0000137F0000}"/>
    <cellStyle name="Normal 103 3 2" xfId="32501" xr:uid="{00000000-0005-0000-0000-0000147F0000}"/>
    <cellStyle name="Normal 103 3 2 2" xfId="32502" xr:uid="{00000000-0005-0000-0000-0000157F0000}"/>
    <cellStyle name="Normal 103 3 3" xfId="32503" xr:uid="{00000000-0005-0000-0000-0000167F0000}"/>
    <cellStyle name="Normal 103 30" xfId="32504" xr:uid="{00000000-0005-0000-0000-0000177F0000}"/>
    <cellStyle name="Normal 103 30 2" xfId="32505" xr:uid="{00000000-0005-0000-0000-0000187F0000}"/>
    <cellStyle name="Normal 103 30 2 2" xfId="32506" xr:uid="{00000000-0005-0000-0000-0000197F0000}"/>
    <cellStyle name="Normal 103 30 3" xfId="32507" xr:uid="{00000000-0005-0000-0000-00001A7F0000}"/>
    <cellStyle name="Normal 103 31" xfId="32508" xr:uid="{00000000-0005-0000-0000-00001B7F0000}"/>
    <cellStyle name="Normal 103 31 2" xfId="32509" xr:uid="{00000000-0005-0000-0000-00001C7F0000}"/>
    <cellStyle name="Normal 103 31 2 2" xfId="32510" xr:uid="{00000000-0005-0000-0000-00001D7F0000}"/>
    <cellStyle name="Normal 103 31 3" xfId="32511" xr:uid="{00000000-0005-0000-0000-00001E7F0000}"/>
    <cellStyle name="Normal 103 32" xfId="32512" xr:uid="{00000000-0005-0000-0000-00001F7F0000}"/>
    <cellStyle name="Normal 103 32 2" xfId="32513" xr:uid="{00000000-0005-0000-0000-0000207F0000}"/>
    <cellStyle name="Normal 103 32 2 2" xfId="32514" xr:uid="{00000000-0005-0000-0000-0000217F0000}"/>
    <cellStyle name="Normal 103 32 3" xfId="32515" xr:uid="{00000000-0005-0000-0000-0000227F0000}"/>
    <cellStyle name="Normal 103 33" xfId="32516" xr:uid="{00000000-0005-0000-0000-0000237F0000}"/>
    <cellStyle name="Normal 103 33 2" xfId="32517" xr:uid="{00000000-0005-0000-0000-0000247F0000}"/>
    <cellStyle name="Normal 103 33 2 2" xfId="32518" xr:uid="{00000000-0005-0000-0000-0000257F0000}"/>
    <cellStyle name="Normal 103 33 3" xfId="32519" xr:uid="{00000000-0005-0000-0000-0000267F0000}"/>
    <cellStyle name="Normal 103 34" xfId="32520" xr:uid="{00000000-0005-0000-0000-0000277F0000}"/>
    <cellStyle name="Normal 103 34 2" xfId="32521" xr:uid="{00000000-0005-0000-0000-0000287F0000}"/>
    <cellStyle name="Normal 103 34 2 2" xfId="32522" xr:uid="{00000000-0005-0000-0000-0000297F0000}"/>
    <cellStyle name="Normal 103 34 3" xfId="32523" xr:uid="{00000000-0005-0000-0000-00002A7F0000}"/>
    <cellStyle name="Normal 103 35" xfId="32524" xr:uid="{00000000-0005-0000-0000-00002B7F0000}"/>
    <cellStyle name="Normal 103 35 2" xfId="32525" xr:uid="{00000000-0005-0000-0000-00002C7F0000}"/>
    <cellStyle name="Normal 103 35 2 2" xfId="32526" xr:uid="{00000000-0005-0000-0000-00002D7F0000}"/>
    <cellStyle name="Normal 103 35 3" xfId="32527" xr:uid="{00000000-0005-0000-0000-00002E7F0000}"/>
    <cellStyle name="Normal 103 36" xfId="32528" xr:uid="{00000000-0005-0000-0000-00002F7F0000}"/>
    <cellStyle name="Normal 103 36 2" xfId="32529" xr:uid="{00000000-0005-0000-0000-0000307F0000}"/>
    <cellStyle name="Normal 103 36 2 2" xfId="32530" xr:uid="{00000000-0005-0000-0000-0000317F0000}"/>
    <cellStyle name="Normal 103 36 3" xfId="32531" xr:uid="{00000000-0005-0000-0000-0000327F0000}"/>
    <cellStyle name="Normal 103 4" xfId="32532" xr:uid="{00000000-0005-0000-0000-0000337F0000}"/>
    <cellStyle name="Normal 103 4 2" xfId="32533" xr:uid="{00000000-0005-0000-0000-0000347F0000}"/>
    <cellStyle name="Normal 103 4 2 2" xfId="32534" xr:uid="{00000000-0005-0000-0000-0000357F0000}"/>
    <cellStyle name="Normal 103 4 3" xfId="32535" xr:uid="{00000000-0005-0000-0000-0000367F0000}"/>
    <cellStyle name="Normal 103 5" xfId="32536" xr:uid="{00000000-0005-0000-0000-0000377F0000}"/>
    <cellStyle name="Normal 103 5 2" xfId="32537" xr:uid="{00000000-0005-0000-0000-0000387F0000}"/>
    <cellStyle name="Normal 103 5 2 2" xfId="32538" xr:uid="{00000000-0005-0000-0000-0000397F0000}"/>
    <cellStyle name="Normal 103 5 3" xfId="32539" xr:uid="{00000000-0005-0000-0000-00003A7F0000}"/>
    <cellStyle name="Normal 103 6" xfId="32540" xr:uid="{00000000-0005-0000-0000-00003B7F0000}"/>
    <cellStyle name="Normal 103 6 2" xfId="32541" xr:uid="{00000000-0005-0000-0000-00003C7F0000}"/>
    <cellStyle name="Normal 103 6 2 2" xfId="32542" xr:uid="{00000000-0005-0000-0000-00003D7F0000}"/>
    <cellStyle name="Normal 103 6 3" xfId="32543" xr:uid="{00000000-0005-0000-0000-00003E7F0000}"/>
    <cellStyle name="Normal 103 7" xfId="32544" xr:uid="{00000000-0005-0000-0000-00003F7F0000}"/>
    <cellStyle name="Normal 103 7 2" xfId="32545" xr:uid="{00000000-0005-0000-0000-0000407F0000}"/>
    <cellStyle name="Normal 103 7 2 2" xfId="32546" xr:uid="{00000000-0005-0000-0000-0000417F0000}"/>
    <cellStyle name="Normal 103 7 3" xfId="32547" xr:uid="{00000000-0005-0000-0000-0000427F0000}"/>
    <cellStyle name="Normal 103 8" xfId="32548" xr:uid="{00000000-0005-0000-0000-0000437F0000}"/>
    <cellStyle name="Normal 103 8 2" xfId="32549" xr:uid="{00000000-0005-0000-0000-0000447F0000}"/>
    <cellStyle name="Normal 103 8 2 2" xfId="32550" xr:uid="{00000000-0005-0000-0000-0000457F0000}"/>
    <cellStyle name="Normal 103 8 3" xfId="32551" xr:uid="{00000000-0005-0000-0000-0000467F0000}"/>
    <cellStyle name="Normal 103 9" xfId="32552" xr:uid="{00000000-0005-0000-0000-0000477F0000}"/>
    <cellStyle name="Normal 103 9 2" xfId="32553" xr:uid="{00000000-0005-0000-0000-0000487F0000}"/>
    <cellStyle name="Normal 103 9 2 2" xfId="32554" xr:uid="{00000000-0005-0000-0000-0000497F0000}"/>
    <cellStyle name="Normal 103 9 3" xfId="32555" xr:uid="{00000000-0005-0000-0000-00004A7F0000}"/>
    <cellStyle name="Normal 104" xfId="32556" xr:uid="{00000000-0005-0000-0000-00004B7F0000}"/>
    <cellStyle name="Normal 104 10" xfId="32557" xr:uid="{00000000-0005-0000-0000-00004C7F0000}"/>
    <cellStyle name="Normal 104 10 2" xfId="32558" xr:uid="{00000000-0005-0000-0000-00004D7F0000}"/>
    <cellStyle name="Normal 104 10 2 2" xfId="32559" xr:uid="{00000000-0005-0000-0000-00004E7F0000}"/>
    <cellStyle name="Normal 104 10 3" xfId="32560" xr:uid="{00000000-0005-0000-0000-00004F7F0000}"/>
    <cellStyle name="Normal 104 11" xfId="32561" xr:uid="{00000000-0005-0000-0000-0000507F0000}"/>
    <cellStyle name="Normal 104 11 2" xfId="32562" xr:uid="{00000000-0005-0000-0000-0000517F0000}"/>
    <cellStyle name="Normal 104 11 2 2" xfId="32563" xr:uid="{00000000-0005-0000-0000-0000527F0000}"/>
    <cellStyle name="Normal 104 11 3" xfId="32564" xr:uid="{00000000-0005-0000-0000-0000537F0000}"/>
    <cellStyle name="Normal 104 12" xfId="32565" xr:uid="{00000000-0005-0000-0000-0000547F0000}"/>
    <cellStyle name="Normal 104 12 2" xfId="32566" xr:uid="{00000000-0005-0000-0000-0000557F0000}"/>
    <cellStyle name="Normal 104 12 2 2" xfId="32567" xr:uid="{00000000-0005-0000-0000-0000567F0000}"/>
    <cellStyle name="Normal 104 12 3" xfId="32568" xr:uid="{00000000-0005-0000-0000-0000577F0000}"/>
    <cellStyle name="Normal 104 13" xfId="32569" xr:uid="{00000000-0005-0000-0000-0000587F0000}"/>
    <cellStyle name="Normal 104 13 2" xfId="32570" xr:uid="{00000000-0005-0000-0000-0000597F0000}"/>
    <cellStyle name="Normal 104 13 2 2" xfId="32571" xr:uid="{00000000-0005-0000-0000-00005A7F0000}"/>
    <cellStyle name="Normal 104 13 3" xfId="32572" xr:uid="{00000000-0005-0000-0000-00005B7F0000}"/>
    <cellStyle name="Normal 104 14" xfId="32573" xr:uid="{00000000-0005-0000-0000-00005C7F0000}"/>
    <cellStyle name="Normal 104 14 2" xfId="32574" xr:uid="{00000000-0005-0000-0000-00005D7F0000}"/>
    <cellStyle name="Normal 104 14 2 2" xfId="32575" xr:uid="{00000000-0005-0000-0000-00005E7F0000}"/>
    <cellStyle name="Normal 104 14 3" xfId="32576" xr:uid="{00000000-0005-0000-0000-00005F7F0000}"/>
    <cellStyle name="Normal 104 15" xfId="32577" xr:uid="{00000000-0005-0000-0000-0000607F0000}"/>
    <cellStyle name="Normal 104 15 2" xfId="32578" xr:uid="{00000000-0005-0000-0000-0000617F0000}"/>
    <cellStyle name="Normal 104 15 2 2" xfId="32579" xr:uid="{00000000-0005-0000-0000-0000627F0000}"/>
    <cellStyle name="Normal 104 15 3" xfId="32580" xr:uid="{00000000-0005-0000-0000-0000637F0000}"/>
    <cellStyle name="Normal 104 16" xfId="32581" xr:uid="{00000000-0005-0000-0000-0000647F0000}"/>
    <cellStyle name="Normal 104 16 2" xfId="32582" xr:uid="{00000000-0005-0000-0000-0000657F0000}"/>
    <cellStyle name="Normal 104 16 2 2" xfId="32583" xr:uid="{00000000-0005-0000-0000-0000667F0000}"/>
    <cellStyle name="Normal 104 16 3" xfId="32584" xr:uid="{00000000-0005-0000-0000-0000677F0000}"/>
    <cellStyle name="Normal 104 17" xfId="32585" xr:uid="{00000000-0005-0000-0000-0000687F0000}"/>
    <cellStyle name="Normal 104 17 2" xfId="32586" xr:uid="{00000000-0005-0000-0000-0000697F0000}"/>
    <cellStyle name="Normal 104 17 2 2" xfId="32587" xr:uid="{00000000-0005-0000-0000-00006A7F0000}"/>
    <cellStyle name="Normal 104 17 3" xfId="32588" xr:uid="{00000000-0005-0000-0000-00006B7F0000}"/>
    <cellStyle name="Normal 104 18" xfId="32589" xr:uid="{00000000-0005-0000-0000-00006C7F0000}"/>
    <cellStyle name="Normal 104 18 2" xfId="32590" xr:uid="{00000000-0005-0000-0000-00006D7F0000}"/>
    <cellStyle name="Normal 104 18 2 2" xfId="32591" xr:uid="{00000000-0005-0000-0000-00006E7F0000}"/>
    <cellStyle name="Normal 104 18 3" xfId="32592" xr:uid="{00000000-0005-0000-0000-00006F7F0000}"/>
    <cellStyle name="Normal 104 19" xfId="32593" xr:uid="{00000000-0005-0000-0000-0000707F0000}"/>
    <cellStyle name="Normal 104 19 2" xfId="32594" xr:uid="{00000000-0005-0000-0000-0000717F0000}"/>
    <cellStyle name="Normal 104 19 2 2" xfId="32595" xr:uid="{00000000-0005-0000-0000-0000727F0000}"/>
    <cellStyle name="Normal 104 19 3" xfId="32596" xr:uid="{00000000-0005-0000-0000-0000737F0000}"/>
    <cellStyle name="Normal 104 2" xfId="32597" xr:uid="{00000000-0005-0000-0000-0000747F0000}"/>
    <cellStyle name="Normal 104 2 2" xfId="32598" xr:uid="{00000000-0005-0000-0000-0000757F0000}"/>
    <cellStyle name="Normal 104 2 2 2" xfId="32599" xr:uid="{00000000-0005-0000-0000-0000767F0000}"/>
    <cellStyle name="Normal 104 2 3" xfId="32600" xr:uid="{00000000-0005-0000-0000-0000777F0000}"/>
    <cellStyle name="Normal 104 20" xfId="32601" xr:uid="{00000000-0005-0000-0000-0000787F0000}"/>
    <cellStyle name="Normal 104 20 2" xfId="32602" xr:uid="{00000000-0005-0000-0000-0000797F0000}"/>
    <cellStyle name="Normal 104 20 2 2" xfId="32603" xr:uid="{00000000-0005-0000-0000-00007A7F0000}"/>
    <cellStyle name="Normal 104 20 3" xfId="32604" xr:uid="{00000000-0005-0000-0000-00007B7F0000}"/>
    <cellStyle name="Normal 104 21" xfId="32605" xr:uid="{00000000-0005-0000-0000-00007C7F0000}"/>
    <cellStyle name="Normal 104 21 2" xfId="32606" xr:uid="{00000000-0005-0000-0000-00007D7F0000}"/>
    <cellStyle name="Normal 104 21 2 2" xfId="32607" xr:uid="{00000000-0005-0000-0000-00007E7F0000}"/>
    <cellStyle name="Normal 104 21 3" xfId="32608" xr:uid="{00000000-0005-0000-0000-00007F7F0000}"/>
    <cellStyle name="Normal 104 22" xfId="32609" xr:uid="{00000000-0005-0000-0000-0000807F0000}"/>
    <cellStyle name="Normal 104 22 2" xfId="32610" xr:uid="{00000000-0005-0000-0000-0000817F0000}"/>
    <cellStyle name="Normal 104 22 2 2" xfId="32611" xr:uid="{00000000-0005-0000-0000-0000827F0000}"/>
    <cellStyle name="Normal 104 22 3" xfId="32612" xr:uid="{00000000-0005-0000-0000-0000837F0000}"/>
    <cellStyle name="Normal 104 23" xfId="32613" xr:uid="{00000000-0005-0000-0000-0000847F0000}"/>
    <cellStyle name="Normal 104 23 2" xfId="32614" xr:uid="{00000000-0005-0000-0000-0000857F0000}"/>
    <cellStyle name="Normal 104 23 2 2" xfId="32615" xr:uid="{00000000-0005-0000-0000-0000867F0000}"/>
    <cellStyle name="Normal 104 23 3" xfId="32616" xr:uid="{00000000-0005-0000-0000-0000877F0000}"/>
    <cellStyle name="Normal 104 24" xfId="32617" xr:uid="{00000000-0005-0000-0000-0000887F0000}"/>
    <cellStyle name="Normal 104 24 2" xfId="32618" xr:uid="{00000000-0005-0000-0000-0000897F0000}"/>
    <cellStyle name="Normal 104 24 2 2" xfId="32619" xr:uid="{00000000-0005-0000-0000-00008A7F0000}"/>
    <cellStyle name="Normal 104 24 3" xfId="32620" xr:uid="{00000000-0005-0000-0000-00008B7F0000}"/>
    <cellStyle name="Normal 104 25" xfId="32621" xr:uid="{00000000-0005-0000-0000-00008C7F0000}"/>
    <cellStyle name="Normal 104 25 2" xfId="32622" xr:uid="{00000000-0005-0000-0000-00008D7F0000}"/>
    <cellStyle name="Normal 104 25 2 2" xfId="32623" xr:uid="{00000000-0005-0000-0000-00008E7F0000}"/>
    <cellStyle name="Normal 104 25 3" xfId="32624" xr:uid="{00000000-0005-0000-0000-00008F7F0000}"/>
    <cellStyle name="Normal 104 26" xfId="32625" xr:uid="{00000000-0005-0000-0000-0000907F0000}"/>
    <cellStyle name="Normal 104 26 2" xfId="32626" xr:uid="{00000000-0005-0000-0000-0000917F0000}"/>
    <cellStyle name="Normal 104 26 2 2" xfId="32627" xr:uid="{00000000-0005-0000-0000-0000927F0000}"/>
    <cellStyle name="Normal 104 26 3" xfId="32628" xr:uid="{00000000-0005-0000-0000-0000937F0000}"/>
    <cellStyle name="Normal 104 27" xfId="32629" xr:uid="{00000000-0005-0000-0000-0000947F0000}"/>
    <cellStyle name="Normal 104 27 2" xfId="32630" xr:uid="{00000000-0005-0000-0000-0000957F0000}"/>
    <cellStyle name="Normal 104 27 2 2" xfId="32631" xr:uid="{00000000-0005-0000-0000-0000967F0000}"/>
    <cellStyle name="Normal 104 27 3" xfId="32632" xr:uid="{00000000-0005-0000-0000-0000977F0000}"/>
    <cellStyle name="Normal 104 28" xfId="32633" xr:uid="{00000000-0005-0000-0000-0000987F0000}"/>
    <cellStyle name="Normal 104 28 2" xfId="32634" xr:uid="{00000000-0005-0000-0000-0000997F0000}"/>
    <cellStyle name="Normal 104 28 2 2" xfId="32635" xr:uid="{00000000-0005-0000-0000-00009A7F0000}"/>
    <cellStyle name="Normal 104 28 3" xfId="32636" xr:uid="{00000000-0005-0000-0000-00009B7F0000}"/>
    <cellStyle name="Normal 104 29" xfId="32637" xr:uid="{00000000-0005-0000-0000-00009C7F0000}"/>
    <cellStyle name="Normal 104 29 2" xfId="32638" xr:uid="{00000000-0005-0000-0000-00009D7F0000}"/>
    <cellStyle name="Normal 104 29 2 2" xfId="32639" xr:uid="{00000000-0005-0000-0000-00009E7F0000}"/>
    <cellStyle name="Normal 104 29 3" xfId="32640" xr:uid="{00000000-0005-0000-0000-00009F7F0000}"/>
    <cellStyle name="Normal 104 3" xfId="32641" xr:uid="{00000000-0005-0000-0000-0000A07F0000}"/>
    <cellStyle name="Normal 104 3 2" xfId="32642" xr:uid="{00000000-0005-0000-0000-0000A17F0000}"/>
    <cellStyle name="Normal 104 3 2 2" xfId="32643" xr:uid="{00000000-0005-0000-0000-0000A27F0000}"/>
    <cellStyle name="Normal 104 3 3" xfId="32644" xr:uid="{00000000-0005-0000-0000-0000A37F0000}"/>
    <cellStyle name="Normal 104 30" xfId="32645" xr:uid="{00000000-0005-0000-0000-0000A47F0000}"/>
    <cellStyle name="Normal 104 30 2" xfId="32646" xr:uid="{00000000-0005-0000-0000-0000A57F0000}"/>
    <cellStyle name="Normal 104 30 2 2" xfId="32647" xr:uid="{00000000-0005-0000-0000-0000A67F0000}"/>
    <cellStyle name="Normal 104 30 3" xfId="32648" xr:uid="{00000000-0005-0000-0000-0000A77F0000}"/>
    <cellStyle name="Normal 104 31" xfId="32649" xr:uid="{00000000-0005-0000-0000-0000A87F0000}"/>
    <cellStyle name="Normal 104 31 2" xfId="32650" xr:uid="{00000000-0005-0000-0000-0000A97F0000}"/>
    <cellStyle name="Normal 104 31 2 2" xfId="32651" xr:uid="{00000000-0005-0000-0000-0000AA7F0000}"/>
    <cellStyle name="Normal 104 31 3" xfId="32652" xr:uid="{00000000-0005-0000-0000-0000AB7F0000}"/>
    <cellStyle name="Normal 104 32" xfId="32653" xr:uid="{00000000-0005-0000-0000-0000AC7F0000}"/>
    <cellStyle name="Normal 104 32 2" xfId="32654" xr:uid="{00000000-0005-0000-0000-0000AD7F0000}"/>
    <cellStyle name="Normal 104 32 2 2" xfId="32655" xr:uid="{00000000-0005-0000-0000-0000AE7F0000}"/>
    <cellStyle name="Normal 104 32 3" xfId="32656" xr:uid="{00000000-0005-0000-0000-0000AF7F0000}"/>
    <cellStyle name="Normal 104 33" xfId="32657" xr:uid="{00000000-0005-0000-0000-0000B07F0000}"/>
    <cellStyle name="Normal 104 33 2" xfId="32658" xr:uid="{00000000-0005-0000-0000-0000B17F0000}"/>
    <cellStyle name="Normal 104 33 2 2" xfId="32659" xr:uid="{00000000-0005-0000-0000-0000B27F0000}"/>
    <cellStyle name="Normal 104 33 3" xfId="32660" xr:uid="{00000000-0005-0000-0000-0000B37F0000}"/>
    <cellStyle name="Normal 104 34" xfId="32661" xr:uid="{00000000-0005-0000-0000-0000B47F0000}"/>
    <cellStyle name="Normal 104 34 2" xfId="32662" xr:uid="{00000000-0005-0000-0000-0000B57F0000}"/>
    <cellStyle name="Normal 104 34 2 2" xfId="32663" xr:uid="{00000000-0005-0000-0000-0000B67F0000}"/>
    <cellStyle name="Normal 104 34 3" xfId="32664" xr:uid="{00000000-0005-0000-0000-0000B77F0000}"/>
    <cellStyle name="Normal 104 35" xfId="32665" xr:uid="{00000000-0005-0000-0000-0000B87F0000}"/>
    <cellStyle name="Normal 104 35 2" xfId="32666" xr:uid="{00000000-0005-0000-0000-0000B97F0000}"/>
    <cellStyle name="Normal 104 35 2 2" xfId="32667" xr:uid="{00000000-0005-0000-0000-0000BA7F0000}"/>
    <cellStyle name="Normal 104 35 3" xfId="32668" xr:uid="{00000000-0005-0000-0000-0000BB7F0000}"/>
    <cellStyle name="Normal 104 36" xfId="32669" xr:uid="{00000000-0005-0000-0000-0000BC7F0000}"/>
    <cellStyle name="Normal 104 36 2" xfId="32670" xr:uid="{00000000-0005-0000-0000-0000BD7F0000}"/>
    <cellStyle name="Normal 104 36 2 2" xfId="32671" xr:uid="{00000000-0005-0000-0000-0000BE7F0000}"/>
    <cellStyle name="Normal 104 36 3" xfId="32672" xr:uid="{00000000-0005-0000-0000-0000BF7F0000}"/>
    <cellStyle name="Normal 104 4" xfId="32673" xr:uid="{00000000-0005-0000-0000-0000C07F0000}"/>
    <cellStyle name="Normal 104 4 2" xfId="32674" xr:uid="{00000000-0005-0000-0000-0000C17F0000}"/>
    <cellStyle name="Normal 104 4 2 2" xfId="32675" xr:uid="{00000000-0005-0000-0000-0000C27F0000}"/>
    <cellStyle name="Normal 104 4 3" xfId="32676" xr:uid="{00000000-0005-0000-0000-0000C37F0000}"/>
    <cellStyle name="Normal 104 5" xfId="32677" xr:uid="{00000000-0005-0000-0000-0000C47F0000}"/>
    <cellStyle name="Normal 104 5 2" xfId="32678" xr:uid="{00000000-0005-0000-0000-0000C57F0000}"/>
    <cellStyle name="Normal 104 5 2 2" xfId="32679" xr:uid="{00000000-0005-0000-0000-0000C67F0000}"/>
    <cellStyle name="Normal 104 5 3" xfId="32680" xr:uid="{00000000-0005-0000-0000-0000C77F0000}"/>
    <cellStyle name="Normal 104 6" xfId="32681" xr:uid="{00000000-0005-0000-0000-0000C87F0000}"/>
    <cellStyle name="Normal 104 6 2" xfId="32682" xr:uid="{00000000-0005-0000-0000-0000C97F0000}"/>
    <cellStyle name="Normal 104 6 2 2" xfId="32683" xr:uid="{00000000-0005-0000-0000-0000CA7F0000}"/>
    <cellStyle name="Normal 104 6 3" xfId="32684" xr:uid="{00000000-0005-0000-0000-0000CB7F0000}"/>
    <cellStyle name="Normal 104 7" xfId="32685" xr:uid="{00000000-0005-0000-0000-0000CC7F0000}"/>
    <cellStyle name="Normal 104 7 2" xfId="32686" xr:uid="{00000000-0005-0000-0000-0000CD7F0000}"/>
    <cellStyle name="Normal 104 7 2 2" xfId="32687" xr:uid="{00000000-0005-0000-0000-0000CE7F0000}"/>
    <cellStyle name="Normal 104 7 3" xfId="32688" xr:uid="{00000000-0005-0000-0000-0000CF7F0000}"/>
    <cellStyle name="Normal 104 8" xfId="32689" xr:uid="{00000000-0005-0000-0000-0000D07F0000}"/>
    <cellStyle name="Normal 104 8 2" xfId="32690" xr:uid="{00000000-0005-0000-0000-0000D17F0000}"/>
    <cellStyle name="Normal 104 8 2 2" xfId="32691" xr:uid="{00000000-0005-0000-0000-0000D27F0000}"/>
    <cellStyle name="Normal 104 8 3" xfId="32692" xr:uid="{00000000-0005-0000-0000-0000D37F0000}"/>
    <cellStyle name="Normal 104 9" xfId="32693" xr:uid="{00000000-0005-0000-0000-0000D47F0000}"/>
    <cellStyle name="Normal 104 9 2" xfId="32694" xr:uid="{00000000-0005-0000-0000-0000D57F0000}"/>
    <cellStyle name="Normal 104 9 2 2" xfId="32695" xr:uid="{00000000-0005-0000-0000-0000D67F0000}"/>
    <cellStyle name="Normal 104 9 3" xfId="32696" xr:uid="{00000000-0005-0000-0000-0000D77F0000}"/>
    <cellStyle name="Normal 105" xfId="32697" xr:uid="{00000000-0005-0000-0000-0000D87F0000}"/>
    <cellStyle name="Normal 105 10" xfId="32698" xr:uid="{00000000-0005-0000-0000-0000D97F0000}"/>
    <cellStyle name="Normal 105 10 2" xfId="32699" xr:uid="{00000000-0005-0000-0000-0000DA7F0000}"/>
    <cellStyle name="Normal 105 10 2 2" xfId="32700" xr:uid="{00000000-0005-0000-0000-0000DB7F0000}"/>
    <cellStyle name="Normal 105 10 3" xfId="32701" xr:uid="{00000000-0005-0000-0000-0000DC7F0000}"/>
    <cellStyle name="Normal 105 11" xfId="32702" xr:uid="{00000000-0005-0000-0000-0000DD7F0000}"/>
    <cellStyle name="Normal 105 11 2" xfId="32703" xr:uid="{00000000-0005-0000-0000-0000DE7F0000}"/>
    <cellStyle name="Normal 105 11 2 2" xfId="32704" xr:uid="{00000000-0005-0000-0000-0000DF7F0000}"/>
    <cellStyle name="Normal 105 11 3" xfId="32705" xr:uid="{00000000-0005-0000-0000-0000E07F0000}"/>
    <cellStyle name="Normal 105 12" xfId="32706" xr:uid="{00000000-0005-0000-0000-0000E17F0000}"/>
    <cellStyle name="Normal 105 12 2" xfId="32707" xr:uid="{00000000-0005-0000-0000-0000E27F0000}"/>
    <cellStyle name="Normal 105 12 2 2" xfId="32708" xr:uid="{00000000-0005-0000-0000-0000E37F0000}"/>
    <cellStyle name="Normal 105 12 3" xfId="32709" xr:uid="{00000000-0005-0000-0000-0000E47F0000}"/>
    <cellStyle name="Normal 105 13" xfId="32710" xr:uid="{00000000-0005-0000-0000-0000E57F0000}"/>
    <cellStyle name="Normal 105 13 2" xfId="32711" xr:uid="{00000000-0005-0000-0000-0000E67F0000}"/>
    <cellStyle name="Normal 105 13 2 2" xfId="32712" xr:uid="{00000000-0005-0000-0000-0000E77F0000}"/>
    <cellStyle name="Normal 105 13 3" xfId="32713" xr:uid="{00000000-0005-0000-0000-0000E87F0000}"/>
    <cellStyle name="Normal 105 14" xfId="32714" xr:uid="{00000000-0005-0000-0000-0000E97F0000}"/>
    <cellStyle name="Normal 105 14 2" xfId="32715" xr:uid="{00000000-0005-0000-0000-0000EA7F0000}"/>
    <cellStyle name="Normal 105 14 2 2" xfId="32716" xr:uid="{00000000-0005-0000-0000-0000EB7F0000}"/>
    <cellStyle name="Normal 105 14 3" xfId="32717" xr:uid="{00000000-0005-0000-0000-0000EC7F0000}"/>
    <cellStyle name="Normal 105 15" xfId="32718" xr:uid="{00000000-0005-0000-0000-0000ED7F0000}"/>
    <cellStyle name="Normal 105 15 2" xfId="32719" xr:uid="{00000000-0005-0000-0000-0000EE7F0000}"/>
    <cellStyle name="Normal 105 15 2 2" xfId="32720" xr:uid="{00000000-0005-0000-0000-0000EF7F0000}"/>
    <cellStyle name="Normal 105 15 3" xfId="32721" xr:uid="{00000000-0005-0000-0000-0000F07F0000}"/>
    <cellStyle name="Normal 105 16" xfId="32722" xr:uid="{00000000-0005-0000-0000-0000F17F0000}"/>
    <cellStyle name="Normal 105 16 2" xfId="32723" xr:uid="{00000000-0005-0000-0000-0000F27F0000}"/>
    <cellStyle name="Normal 105 16 2 2" xfId="32724" xr:uid="{00000000-0005-0000-0000-0000F37F0000}"/>
    <cellStyle name="Normal 105 16 3" xfId="32725" xr:uid="{00000000-0005-0000-0000-0000F47F0000}"/>
    <cellStyle name="Normal 105 17" xfId="32726" xr:uid="{00000000-0005-0000-0000-0000F57F0000}"/>
    <cellStyle name="Normal 105 17 2" xfId="32727" xr:uid="{00000000-0005-0000-0000-0000F67F0000}"/>
    <cellStyle name="Normal 105 17 2 2" xfId="32728" xr:uid="{00000000-0005-0000-0000-0000F77F0000}"/>
    <cellStyle name="Normal 105 17 3" xfId="32729" xr:uid="{00000000-0005-0000-0000-0000F87F0000}"/>
    <cellStyle name="Normal 105 18" xfId="32730" xr:uid="{00000000-0005-0000-0000-0000F97F0000}"/>
    <cellStyle name="Normal 105 18 2" xfId="32731" xr:uid="{00000000-0005-0000-0000-0000FA7F0000}"/>
    <cellStyle name="Normal 105 18 2 2" xfId="32732" xr:uid="{00000000-0005-0000-0000-0000FB7F0000}"/>
    <cellStyle name="Normal 105 18 3" xfId="32733" xr:uid="{00000000-0005-0000-0000-0000FC7F0000}"/>
    <cellStyle name="Normal 105 19" xfId="32734" xr:uid="{00000000-0005-0000-0000-0000FD7F0000}"/>
    <cellStyle name="Normal 105 19 2" xfId="32735" xr:uid="{00000000-0005-0000-0000-0000FE7F0000}"/>
    <cellStyle name="Normal 105 19 2 2" xfId="32736" xr:uid="{00000000-0005-0000-0000-0000FF7F0000}"/>
    <cellStyle name="Normal 105 19 3" xfId="32737" xr:uid="{00000000-0005-0000-0000-000000800000}"/>
    <cellStyle name="Normal 105 2" xfId="32738" xr:uid="{00000000-0005-0000-0000-000001800000}"/>
    <cellStyle name="Normal 105 2 2" xfId="32739" xr:uid="{00000000-0005-0000-0000-000002800000}"/>
    <cellStyle name="Normal 105 2 2 2" xfId="32740" xr:uid="{00000000-0005-0000-0000-000003800000}"/>
    <cellStyle name="Normal 105 2 3" xfId="32741" xr:uid="{00000000-0005-0000-0000-000004800000}"/>
    <cellStyle name="Normal 105 20" xfId="32742" xr:uid="{00000000-0005-0000-0000-000005800000}"/>
    <cellStyle name="Normal 105 20 2" xfId="32743" xr:uid="{00000000-0005-0000-0000-000006800000}"/>
    <cellStyle name="Normal 105 20 2 2" xfId="32744" xr:uid="{00000000-0005-0000-0000-000007800000}"/>
    <cellStyle name="Normal 105 20 3" xfId="32745" xr:uid="{00000000-0005-0000-0000-000008800000}"/>
    <cellStyle name="Normal 105 21" xfId="32746" xr:uid="{00000000-0005-0000-0000-000009800000}"/>
    <cellStyle name="Normal 105 21 2" xfId="32747" xr:uid="{00000000-0005-0000-0000-00000A800000}"/>
    <cellStyle name="Normal 105 21 2 2" xfId="32748" xr:uid="{00000000-0005-0000-0000-00000B800000}"/>
    <cellStyle name="Normal 105 21 3" xfId="32749" xr:uid="{00000000-0005-0000-0000-00000C800000}"/>
    <cellStyle name="Normal 105 22" xfId="32750" xr:uid="{00000000-0005-0000-0000-00000D800000}"/>
    <cellStyle name="Normal 105 22 2" xfId="32751" xr:uid="{00000000-0005-0000-0000-00000E800000}"/>
    <cellStyle name="Normal 105 22 2 2" xfId="32752" xr:uid="{00000000-0005-0000-0000-00000F800000}"/>
    <cellStyle name="Normal 105 22 3" xfId="32753" xr:uid="{00000000-0005-0000-0000-000010800000}"/>
    <cellStyle name="Normal 105 23" xfId="32754" xr:uid="{00000000-0005-0000-0000-000011800000}"/>
    <cellStyle name="Normal 105 23 2" xfId="32755" xr:uid="{00000000-0005-0000-0000-000012800000}"/>
    <cellStyle name="Normal 105 23 2 2" xfId="32756" xr:uid="{00000000-0005-0000-0000-000013800000}"/>
    <cellStyle name="Normal 105 23 3" xfId="32757" xr:uid="{00000000-0005-0000-0000-000014800000}"/>
    <cellStyle name="Normal 105 24" xfId="32758" xr:uid="{00000000-0005-0000-0000-000015800000}"/>
    <cellStyle name="Normal 105 24 2" xfId="32759" xr:uid="{00000000-0005-0000-0000-000016800000}"/>
    <cellStyle name="Normal 105 24 2 2" xfId="32760" xr:uid="{00000000-0005-0000-0000-000017800000}"/>
    <cellStyle name="Normal 105 24 3" xfId="32761" xr:uid="{00000000-0005-0000-0000-000018800000}"/>
    <cellStyle name="Normal 105 25" xfId="32762" xr:uid="{00000000-0005-0000-0000-000019800000}"/>
    <cellStyle name="Normal 105 25 2" xfId="32763" xr:uid="{00000000-0005-0000-0000-00001A800000}"/>
    <cellStyle name="Normal 105 25 2 2" xfId="32764" xr:uid="{00000000-0005-0000-0000-00001B800000}"/>
    <cellStyle name="Normal 105 25 3" xfId="32765" xr:uid="{00000000-0005-0000-0000-00001C800000}"/>
    <cellStyle name="Normal 105 26" xfId="32766" xr:uid="{00000000-0005-0000-0000-00001D800000}"/>
    <cellStyle name="Normal 105 26 2" xfId="32767" xr:uid="{00000000-0005-0000-0000-00001E800000}"/>
    <cellStyle name="Normal 105 26 2 2" xfId="32768" xr:uid="{00000000-0005-0000-0000-00001F800000}"/>
    <cellStyle name="Normal 105 26 3" xfId="32769" xr:uid="{00000000-0005-0000-0000-000020800000}"/>
    <cellStyle name="Normal 105 27" xfId="32770" xr:uid="{00000000-0005-0000-0000-000021800000}"/>
    <cellStyle name="Normal 105 27 2" xfId="32771" xr:uid="{00000000-0005-0000-0000-000022800000}"/>
    <cellStyle name="Normal 105 27 2 2" xfId="32772" xr:uid="{00000000-0005-0000-0000-000023800000}"/>
    <cellStyle name="Normal 105 27 3" xfId="32773" xr:uid="{00000000-0005-0000-0000-000024800000}"/>
    <cellStyle name="Normal 105 28" xfId="32774" xr:uid="{00000000-0005-0000-0000-000025800000}"/>
    <cellStyle name="Normal 105 28 2" xfId="32775" xr:uid="{00000000-0005-0000-0000-000026800000}"/>
    <cellStyle name="Normal 105 28 2 2" xfId="32776" xr:uid="{00000000-0005-0000-0000-000027800000}"/>
    <cellStyle name="Normal 105 28 3" xfId="32777" xr:uid="{00000000-0005-0000-0000-000028800000}"/>
    <cellStyle name="Normal 105 29" xfId="32778" xr:uid="{00000000-0005-0000-0000-000029800000}"/>
    <cellStyle name="Normal 105 29 2" xfId="32779" xr:uid="{00000000-0005-0000-0000-00002A800000}"/>
    <cellStyle name="Normal 105 29 2 2" xfId="32780" xr:uid="{00000000-0005-0000-0000-00002B800000}"/>
    <cellStyle name="Normal 105 29 3" xfId="32781" xr:uid="{00000000-0005-0000-0000-00002C800000}"/>
    <cellStyle name="Normal 105 3" xfId="32782" xr:uid="{00000000-0005-0000-0000-00002D800000}"/>
    <cellStyle name="Normal 105 3 2" xfId="32783" xr:uid="{00000000-0005-0000-0000-00002E800000}"/>
    <cellStyle name="Normal 105 3 2 2" xfId="32784" xr:uid="{00000000-0005-0000-0000-00002F800000}"/>
    <cellStyle name="Normal 105 3 3" xfId="32785" xr:uid="{00000000-0005-0000-0000-000030800000}"/>
    <cellStyle name="Normal 105 30" xfId="32786" xr:uid="{00000000-0005-0000-0000-000031800000}"/>
    <cellStyle name="Normal 105 30 2" xfId="32787" xr:uid="{00000000-0005-0000-0000-000032800000}"/>
    <cellStyle name="Normal 105 30 2 2" xfId="32788" xr:uid="{00000000-0005-0000-0000-000033800000}"/>
    <cellStyle name="Normal 105 30 3" xfId="32789" xr:uid="{00000000-0005-0000-0000-000034800000}"/>
    <cellStyle name="Normal 105 31" xfId="32790" xr:uid="{00000000-0005-0000-0000-000035800000}"/>
    <cellStyle name="Normal 105 31 2" xfId="32791" xr:uid="{00000000-0005-0000-0000-000036800000}"/>
    <cellStyle name="Normal 105 31 2 2" xfId="32792" xr:uid="{00000000-0005-0000-0000-000037800000}"/>
    <cellStyle name="Normal 105 31 3" xfId="32793" xr:uid="{00000000-0005-0000-0000-000038800000}"/>
    <cellStyle name="Normal 105 32" xfId="32794" xr:uid="{00000000-0005-0000-0000-000039800000}"/>
    <cellStyle name="Normal 105 32 2" xfId="32795" xr:uid="{00000000-0005-0000-0000-00003A800000}"/>
    <cellStyle name="Normal 105 32 2 2" xfId="32796" xr:uid="{00000000-0005-0000-0000-00003B800000}"/>
    <cellStyle name="Normal 105 32 3" xfId="32797" xr:uid="{00000000-0005-0000-0000-00003C800000}"/>
    <cellStyle name="Normal 105 33" xfId="32798" xr:uid="{00000000-0005-0000-0000-00003D800000}"/>
    <cellStyle name="Normal 105 33 2" xfId="32799" xr:uid="{00000000-0005-0000-0000-00003E800000}"/>
    <cellStyle name="Normal 105 33 2 2" xfId="32800" xr:uid="{00000000-0005-0000-0000-00003F800000}"/>
    <cellStyle name="Normal 105 33 3" xfId="32801" xr:uid="{00000000-0005-0000-0000-000040800000}"/>
    <cellStyle name="Normal 105 34" xfId="32802" xr:uid="{00000000-0005-0000-0000-000041800000}"/>
    <cellStyle name="Normal 105 34 2" xfId="32803" xr:uid="{00000000-0005-0000-0000-000042800000}"/>
    <cellStyle name="Normal 105 34 2 2" xfId="32804" xr:uid="{00000000-0005-0000-0000-000043800000}"/>
    <cellStyle name="Normal 105 34 3" xfId="32805" xr:uid="{00000000-0005-0000-0000-000044800000}"/>
    <cellStyle name="Normal 105 35" xfId="32806" xr:uid="{00000000-0005-0000-0000-000045800000}"/>
    <cellStyle name="Normal 105 35 2" xfId="32807" xr:uid="{00000000-0005-0000-0000-000046800000}"/>
    <cellStyle name="Normal 105 35 2 2" xfId="32808" xr:uid="{00000000-0005-0000-0000-000047800000}"/>
    <cellStyle name="Normal 105 35 3" xfId="32809" xr:uid="{00000000-0005-0000-0000-000048800000}"/>
    <cellStyle name="Normal 105 36" xfId="32810" xr:uid="{00000000-0005-0000-0000-000049800000}"/>
    <cellStyle name="Normal 105 36 2" xfId="32811" xr:uid="{00000000-0005-0000-0000-00004A800000}"/>
    <cellStyle name="Normal 105 36 2 2" xfId="32812" xr:uid="{00000000-0005-0000-0000-00004B800000}"/>
    <cellStyle name="Normal 105 36 3" xfId="32813" xr:uid="{00000000-0005-0000-0000-00004C800000}"/>
    <cellStyle name="Normal 105 4" xfId="32814" xr:uid="{00000000-0005-0000-0000-00004D800000}"/>
    <cellStyle name="Normal 105 4 2" xfId="32815" xr:uid="{00000000-0005-0000-0000-00004E800000}"/>
    <cellStyle name="Normal 105 4 2 2" xfId="32816" xr:uid="{00000000-0005-0000-0000-00004F800000}"/>
    <cellStyle name="Normal 105 4 3" xfId="32817" xr:uid="{00000000-0005-0000-0000-000050800000}"/>
    <cellStyle name="Normal 105 5" xfId="32818" xr:uid="{00000000-0005-0000-0000-000051800000}"/>
    <cellStyle name="Normal 105 5 2" xfId="32819" xr:uid="{00000000-0005-0000-0000-000052800000}"/>
    <cellStyle name="Normal 105 5 2 2" xfId="32820" xr:uid="{00000000-0005-0000-0000-000053800000}"/>
    <cellStyle name="Normal 105 5 3" xfId="32821" xr:uid="{00000000-0005-0000-0000-000054800000}"/>
    <cellStyle name="Normal 105 6" xfId="32822" xr:uid="{00000000-0005-0000-0000-000055800000}"/>
    <cellStyle name="Normal 105 6 2" xfId="32823" xr:uid="{00000000-0005-0000-0000-000056800000}"/>
    <cellStyle name="Normal 105 6 2 2" xfId="32824" xr:uid="{00000000-0005-0000-0000-000057800000}"/>
    <cellStyle name="Normal 105 6 3" xfId="32825" xr:uid="{00000000-0005-0000-0000-000058800000}"/>
    <cellStyle name="Normal 105 7" xfId="32826" xr:uid="{00000000-0005-0000-0000-000059800000}"/>
    <cellStyle name="Normal 105 7 2" xfId="32827" xr:uid="{00000000-0005-0000-0000-00005A800000}"/>
    <cellStyle name="Normal 105 7 2 2" xfId="32828" xr:uid="{00000000-0005-0000-0000-00005B800000}"/>
    <cellStyle name="Normal 105 7 3" xfId="32829" xr:uid="{00000000-0005-0000-0000-00005C800000}"/>
    <cellStyle name="Normal 105 8" xfId="32830" xr:uid="{00000000-0005-0000-0000-00005D800000}"/>
    <cellStyle name="Normal 105 8 2" xfId="32831" xr:uid="{00000000-0005-0000-0000-00005E800000}"/>
    <cellStyle name="Normal 105 8 2 2" xfId="32832" xr:uid="{00000000-0005-0000-0000-00005F800000}"/>
    <cellStyle name="Normal 105 8 3" xfId="32833" xr:uid="{00000000-0005-0000-0000-000060800000}"/>
    <cellStyle name="Normal 105 9" xfId="32834" xr:uid="{00000000-0005-0000-0000-000061800000}"/>
    <cellStyle name="Normal 105 9 2" xfId="32835" xr:uid="{00000000-0005-0000-0000-000062800000}"/>
    <cellStyle name="Normal 105 9 2 2" xfId="32836" xr:uid="{00000000-0005-0000-0000-000063800000}"/>
    <cellStyle name="Normal 105 9 3" xfId="32837" xr:uid="{00000000-0005-0000-0000-000064800000}"/>
    <cellStyle name="Normal 106" xfId="32838" xr:uid="{00000000-0005-0000-0000-000065800000}"/>
    <cellStyle name="Normal 106 10" xfId="32839" xr:uid="{00000000-0005-0000-0000-000066800000}"/>
    <cellStyle name="Normal 106 10 2" xfId="32840" xr:uid="{00000000-0005-0000-0000-000067800000}"/>
    <cellStyle name="Normal 106 10 2 2" xfId="32841" xr:uid="{00000000-0005-0000-0000-000068800000}"/>
    <cellStyle name="Normal 106 10 3" xfId="32842" xr:uid="{00000000-0005-0000-0000-000069800000}"/>
    <cellStyle name="Normal 106 11" xfId="32843" xr:uid="{00000000-0005-0000-0000-00006A800000}"/>
    <cellStyle name="Normal 106 11 2" xfId="32844" xr:uid="{00000000-0005-0000-0000-00006B800000}"/>
    <cellStyle name="Normal 106 11 2 2" xfId="32845" xr:uid="{00000000-0005-0000-0000-00006C800000}"/>
    <cellStyle name="Normal 106 11 3" xfId="32846" xr:uid="{00000000-0005-0000-0000-00006D800000}"/>
    <cellStyle name="Normal 106 12" xfId="32847" xr:uid="{00000000-0005-0000-0000-00006E800000}"/>
    <cellStyle name="Normal 106 12 2" xfId="32848" xr:uid="{00000000-0005-0000-0000-00006F800000}"/>
    <cellStyle name="Normal 106 12 2 2" xfId="32849" xr:uid="{00000000-0005-0000-0000-000070800000}"/>
    <cellStyle name="Normal 106 12 3" xfId="32850" xr:uid="{00000000-0005-0000-0000-000071800000}"/>
    <cellStyle name="Normal 106 13" xfId="32851" xr:uid="{00000000-0005-0000-0000-000072800000}"/>
    <cellStyle name="Normal 106 13 2" xfId="32852" xr:uid="{00000000-0005-0000-0000-000073800000}"/>
    <cellStyle name="Normal 106 13 2 2" xfId="32853" xr:uid="{00000000-0005-0000-0000-000074800000}"/>
    <cellStyle name="Normal 106 13 3" xfId="32854" xr:uid="{00000000-0005-0000-0000-000075800000}"/>
    <cellStyle name="Normal 106 14" xfId="32855" xr:uid="{00000000-0005-0000-0000-000076800000}"/>
    <cellStyle name="Normal 106 14 2" xfId="32856" xr:uid="{00000000-0005-0000-0000-000077800000}"/>
    <cellStyle name="Normal 106 14 2 2" xfId="32857" xr:uid="{00000000-0005-0000-0000-000078800000}"/>
    <cellStyle name="Normal 106 14 3" xfId="32858" xr:uid="{00000000-0005-0000-0000-000079800000}"/>
    <cellStyle name="Normal 106 15" xfId="32859" xr:uid="{00000000-0005-0000-0000-00007A800000}"/>
    <cellStyle name="Normal 106 15 2" xfId="32860" xr:uid="{00000000-0005-0000-0000-00007B800000}"/>
    <cellStyle name="Normal 106 15 2 2" xfId="32861" xr:uid="{00000000-0005-0000-0000-00007C800000}"/>
    <cellStyle name="Normal 106 15 3" xfId="32862" xr:uid="{00000000-0005-0000-0000-00007D800000}"/>
    <cellStyle name="Normal 106 16" xfId="32863" xr:uid="{00000000-0005-0000-0000-00007E800000}"/>
    <cellStyle name="Normal 106 16 2" xfId="32864" xr:uid="{00000000-0005-0000-0000-00007F800000}"/>
    <cellStyle name="Normal 106 16 2 2" xfId="32865" xr:uid="{00000000-0005-0000-0000-000080800000}"/>
    <cellStyle name="Normal 106 16 3" xfId="32866" xr:uid="{00000000-0005-0000-0000-000081800000}"/>
    <cellStyle name="Normal 106 17" xfId="32867" xr:uid="{00000000-0005-0000-0000-000082800000}"/>
    <cellStyle name="Normal 106 17 2" xfId="32868" xr:uid="{00000000-0005-0000-0000-000083800000}"/>
    <cellStyle name="Normal 106 17 2 2" xfId="32869" xr:uid="{00000000-0005-0000-0000-000084800000}"/>
    <cellStyle name="Normal 106 17 3" xfId="32870" xr:uid="{00000000-0005-0000-0000-000085800000}"/>
    <cellStyle name="Normal 106 18" xfId="32871" xr:uid="{00000000-0005-0000-0000-000086800000}"/>
    <cellStyle name="Normal 106 18 2" xfId="32872" xr:uid="{00000000-0005-0000-0000-000087800000}"/>
    <cellStyle name="Normal 106 18 2 2" xfId="32873" xr:uid="{00000000-0005-0000-0000-000088800000}"/>
    <cellStyle name="Normal 106 18 3" xfId="32874" xr:uid="{00000000-0005-0000-0000-000089800000}"/>
    <cellStyle name="Normal 106 19" xfId="32875" xr:uid="{00000000-0005-0000-0000-00008A800000}"/>
    <cellStyle name="Normal 106 19 2" xfId="32876" xr:uid="{00000000-0005-0000-0000-00008B800000}"/>
    <cellStyle name="Normal 106 19 2 2" xfId="32877" xr:uid="{00000000-0005-0000-0000-00008C800000}"/>
    <cellStyle name="Normal 106 19 3" xfId="32878" xr:uid="{00000000-0005-0000-0000-00008D800000}"/>
    <cellStyle name="Normal 106 2" xfId="32879" xr:uid="{00000000-0005-0000-0000-00008E800000}"/>
    <cellStyle name="Normal 106 2 2" xfId="32880" xr:uid="{00000000-0005-0000-0000-00008F800000}"/>
    <cellStyle name="Normal 106 2 2 2" xfId="32881" xr:uid="{00000000-0005-0000-0000-000090800000}"/>
    <cellStyle name="Normal 106 2 3" xfId="32882" xr:uid="{00000000-0005-0000-0000-000091800000}"/>
    <cellStyle name="Normal 106 20" xfId="32883" xr:uid="{00000000-0005-0000-0000-000092800000}"/>
    <cellStyle name="Normal 106 20 2" xfId="32884" xr:uid="{00000000-0005-0000-0000-000093800000}"/>
    <cellStyle name="Normal 106 20 2 2" xfId="32885" xr:uid="{00000000-0005-0000-0000-000094800000}"/>
    <cellStyle name="Normal 106 20 3" xfId="32886" xr:uid="{00000000-0005-0000-0000-000095800000}"/>
    <cellStyle name="Normal 106 21" xfId="32887" xr:uid="{00000000-0005-0000-0000-000096800000}"/>
    <cellStyle name="Normal 106 21 2" xfId="32888" xr:uid="{00000000-0005-0000-0000-000097800000}"/>
    <cellStyle name="Normal 106 21 2 2" xfId="32889" xr:uid="{00000000-0005-0000-0000-000098800000}"/>
    <cellStyle name="Normal 106 21 3" xfId="32890" xr:uid="{00000000-0005-0000-0000-000099800000}"/>
    <cellStyle name="Normal 106 22" xfId="32891" xr:uid="{00000000-0005-0000-0000-00009A800000}"/>
    <cellStyle name="Normal 106 22 2" xfId="32892" xr:uid="{00000000-0005-0000-0000-00009B800000}"/>
    <cellStyle name="Normal 106 22 2 2" xfId="32893" xr:uid="{00000000-0005-0000-0000-00009C800000}"/>
    <cellStyle name="Normal 106 22 3" xfId="32894" xr:uid="{00000000-0005-0000-0000-00009D800000}"/>
    <cellStyle name="Normal 106 23" xfId="32895" xr:uid="{00000000-0005-0000-0000-00009E800000}"/>
    <cellStyle name="Normal 106 23 2" xfId="32896" xr:uid="{00000000-0005-0000-0000-00009F800000}"/>
    <cellStyle name="Normal 106 23 2 2" xfId="32897" xr:uid="{00000000-0005-0000-0000-0000A0800000}"/>
    <cellStyle name="Normal 106 23 3" xfId="32898" xr:uid="{00000000-0005-0000-0000-0000A1800000}"/>
    <cellStyle name="Normal 106 24" xfId="32899" xr:uid="{00000000-0005-0000-0000-0000A2800000}"/>
    <cellStyle name="Normal 106 24 2" xfId="32900" xr:uid="{00000000-0005-0000-0000-0000A3800000}"/>
    <cellStyle name="Normal 106 24 2 2" xfId="32901" xr:uid="{00000000-0005-0000-0000-0000A4800000}"/>
    <cellStyle name="Normal 106 24 3" xfId="32902" xr:uid="{00000000-0005-0000-0000-0000A5800000}"/>
    <cellStyle name="Normal 106 25" xfId="32903" xr:uid="{00000000-0005-0000-0000-0000A6800000}"/>
    <cellStyle name="Normal 106 25 2" xfId="32904" xr:uid="{00000000-0005-0000-0000-0000A7800000}"/>
    <cellStyle name="Normal 106 25 2 2" xfId="32905" xr:uid="{00000000-0005-0000-0000-0000A8800000}"/>
    <cellStyle name="Normal 106 25 3" xfId="32906" xr:uid="{00000000-0005-0000-0000-0000A9800000}"/>
    <cellStyle name="Normal 106 26" xfId="32907" xr:uid="{00000000-0005-0000-0000-0000AA800000}"/>
    <cellStyle name="Normal 106 26 2" xfId="32908" xr:uid="{00000000-0005-0000-0000-0000AB800000}"/>
    <cellStyle name="Normal 106 26 2 2" xfId="32909" xr:uid="{00000000-0005-0000-0000-0000AC800000}"/>
    <cellStyle name="Normal 106 26 3" xfId="32910" xr:uid="{00000000-0005-0000-0000-0000AD800000}"/>
    <cellStyle name="Normal 106 27" xfId="32911" xr:uid="{00000000-0005-0000-0000-0000AE800000}"/>
    <cellStyle name="Normal 106 27 2" xfId="32912" xr:uid="{00000000-0005-0000-0000-0000AF800000}"/>
    <cellStyle name="Normal 106 27 2 2" xfId="32913" xr:uid="{00000000-0005-0000-0000-0000B0800000}"/>
    <cellStyle name="Normal 106 27 3" xfId="32914" xr:uid="{00000000-0005-0000-0000-0000B1800000}"/>
    <cellStyle name="Normal 106 28" xfId="32915" xr:uid="{00000000-0005-0000-0000-0000B2800000}"/>
    <cellStyle name="Normal 106 28 2" xfId="32916" xr:uid="{00000000-0005-0000-0000-0000B3800000}"/>
    <cellStyle name="Normal 106 28 2 2" xfId="32917" xr:uid="{00000000-0005-0000-0000-0000B4800000}"/>
    <cellStyle name="Normal 106 28 3" xfId="32918" xr:uid="{00000000-0005-0000-0000-0000B5800000}"/>
    <cellStyle name="Normal 106 29" xfId="32919" xr:uid="{00000000-0005-0000-0000-0000B6800000}"/>
    <cellStyle name="Normal 106 29 2" xfId="32920" xr:uid="{00000000-0005-0000-0000-0000B7800000}"/>
    <cellStyle name="Normal 106 29 2 2" xfId="32921" xr:uid="{00000000-0005-0000-0000-0000B8800000}"/>
    <cellStyle name="Normal 106 29 3" xfId="32922" xr:uid="{00000000-0005-0000-0000-0000B9800000}"/>
    <cellStyle name="Normal 106 3" xfId="32923" xr:uid="{00000000-0005-0000-0000-0000BA800000}"/>
    <cellStyle name="Normal 106 3 2" xfId="32924" xr:uid="{00000000-0005-0000-0000-0000BB800000}"/>
    <cellStyle name="Normal 106 3 2 2" xfId="32925" xr:uid="{00000000-0005-0000-0000-0000BC800000}"/>
    <cellStyle name="Normal 106 3 3" xfId="32926" xr:uid="{00000000-0005-0000-0000-0000BD800000}"/>
    <cellStyle name="Normal 106 30" xfId="32927" xr:uid="{00000000-0005-0000-0000-0000BE800000}"/>
    <cellStyle name="Normal 106 30 2" xfId="32928" xr:uid="{00000000-0005-0000-0000-0000BF800000}"/>
    <cellStyle name="Normal 106 30 2 2" xfId="32929" xr:uid="{00000000-0005-0000-0000-0000C0800000}"/>
    <cellStyle name="Normal 106 30 3" xfId="32930" xr:uid="{00000000-0005-0000-0000-0000C1800000}"/>
    <cellStyle name="Normal 106 31" xfId="32931" xr:uid="{00000000-0005-0000-0000-0000C2800000}"/>
    <cellStyle name="Normal 106 31 2" xfId="32932" xr:uid="{00000000-0005-0000-0000-0000C3800000}"/>
    <cellStyle name="Normal 106 31 2 2" xfId="32933" xr:uid="{00000000-0005-0000-0000-0000C4800000}"/>
    <cellStyle name="Normal 106 31 3" xfId="32934" xr:uid="{00000000-0005-0000-0000-0000C5800000}"/>
    <cellStyle name="Normal 106 32" xfId="32935" xr:uid="{00000000-0005-0000-0000-0000C6800000}"/>
    <cellStyle name="Normal 106 32 2" xfId="32936" xr:uid="{00000000-0005-0000-0000-0000C7800000}"/>
    <cellStyle name="Normal 106 32 2 2" xfId="32937" xr:uid="{00000000-0005-0000-0000-0000C8800000}"/>
    <cellStyle name="Normal 106 32 3" xfId="32938" xr:uid="{00000000-0005-0000-0000-0000C9800000}"/>
    <cellStyle name="Normal 106 33" xfId="32939" xr:uid="{00000000-0005-0000-0000-0000CA800000}"/>
    <cellStyle name="Normal 106 33 2" xfId="32940" xr:uid="{00000000-0005-0000-0000-0000CB800000}"/>
    <cellStyle name="Normal 106 33 2 2" xfId="32941" xr:uid="{00000000-0005-0000-0000-0000CC800000}"/>
    <cellStyle name="Normal 106 33 3" xfId="32942" xr:uid="{00000000-0005-0000-0000-0000CD800000}"/>
    <cellStyle name="Normal 106 34" xfId="32943" xr:uid="{00000000-0005-0000-0000-0000CE800000}"/>
    <cellStyle name="Normal 106 34 2" xfId="32944" xr:uid="{00000000-0005-0000-0000-0000CF800000}"/>
    <cellStyle name="Normal 106 34 2 2" xfId="32945" xr:uid="{00000000-0005-0000-0000-0000D0800000}"/>
    <cellStyle name="Normal 106 34 3" xfId="32946" xr:uid="{00000000-0005-0000-0000-0000D1800000}"/>
    <cellStyle name="Normal 106 35" xfId="32947" xr:uid="{00000000-0005-0000-0000-0000D2800000}"/>
    <cellStyle name="Normal 106 35 2" xfId="32948" xr:uid="{00000000-0005-0000-0000-0000D3800000}"/>
    <cellStyle name="Normal 106 35 2 2" xfId="32949" xr:uid="{00000000-0005-0000-0000-0000D4800000}"/>
    <cellStyle name="Normal 106 35 3" xfId="32950" xr:uid="{00000000-0005-0000-0000-0000D5800000}"/>
    <cellStyle name="Normal 106 36" xfId="32951" xr:uid="{00000000-0005-0000-0000-0000D6800000}"/>
    <cellStyle name="Normal 106 36 2" xfId="32952" xr:uid="{00000000-0005-0000-0000-0000D7800000}"/>
    <cellStyle name="Normal 106 36 2 2" xfId="32953" xr:uid="{00000000-0005-0000-0000-0000D8800000}"/>
    <cellStyle name="Normal 106 36 3" xfId="32954" xr:uid="{00000000-0005-0000-0000-0000D9800000}"/>
    <cellStyle name="Normal 106 4" xfId="32955" xr:uid="{00000000-0005-0000-0000-0000DA800000}"/>
    <cellStyle name="Normal 106 4 2" xfId="32956" xr:uid="{00000000-0005-0000-0000-0000DB800000}"/>
    <cellStyle name="Normal 106 4 2 2" xfId="32957" xr:uid="{00000000-0005-0000-0000-0000DC800000}"/>
    <cellStyle name="Normal 106 4 3" xfId="32958" xr:uid="{00000000-0005-0000-0000-0000DD800000}"/>
    <cellStyle name="Normal 106 5" xfId="32959" xr:uid="{00000000-0005-0000-0000-0000DE800000}"/>
    <cellStyle name="Normal 106 5 2" xfId="32960" xr:uid="{00000000-0005-0000-0000-0000DF800000}"/>
    <cellStyle name="Normal 106 5 2 2" xfId="32961" xr:uid="{00000000-0005-0000-0000-0000E0800000}"/>
    <cellStyle name="Normal 106 5 3" xfId="32962" xr:uid="{00000000-0005-0000-0000-0000E1800000}"/>
    <cellStyle name="Normal 106 6" xfId="32963" xr:uid="{00000000-0005-0000-0000-0000E2800000}"/>
    <cellStyle name="Normal 106 6 2" xfId="32964" xr:uid="{00000000-0005-0000-0000-0000E3800000}"/>
    <cellStyle name="Normal 106 6 2 2" xfId="32965" xr:uid="{00000000-0005-0000-0000-0000E4800000}"/>
    <cellStyle name="Normal 106 6 3" xfId="32966" xr:uid="{00000000-0005-0000-0000-0000E5800000}"/>
    <cellStyle name="Normal 106 7" xfId="32967" xr:uid="{00000000-0005-0000-0000-0000E6800000}"/>
    <cellStyle name="Normal 106 7 2" xfId="32968" xr:uid="{00000000-0005-0000-0000-0000E7800000}"/>
    <cellStyle name="Normal 106 7 2 2" xfId="32969" xr:uid="{00000000-0005-0000-0000-0000E8800000}"/>
    <cellStyle name="Normal 106 7 3" xfId="32970" xr:uid="{00000000-0005-0000-0000-0000E9800000}"/>
    <cellStyle name="Normal 106 8" xfId="32971" xr:uid="{00000000-0005-0000-0000-0000EA800000}"/>
    <cellStyle name="Normal 106 8 2" xfId="32972" xr:uid="{00000000-0005-0000-0000-0000EB800000}"/>
    <cellStyle name="Normal 106 8 2 2" xfId="32973" xr:uid="{00000000-0005-0000-0000-0000EC800000}"/>
    <cellStyle name="Normal 106 8 3" xfId="32974" xr:uid="{00000000-0005-0000-0000-0000ED800000}"/>
    <cellStyle name="Normal 106 9" xfId="32975" xr:uid="{00000000-0005-0000-0000-0000EE800000}"/>
    <cellStyle name="Normal 106 9 2" xfId="32976" xr:uid="{00000000-0005-0000-0000-0000EF800000}"/>
    <cellStyle name="Normal 106 9 2 2" xfId="32977" xr:uid="{00000000-0005-0000-0000-0000F0800000}"/>
    <cellStyle name="Normal 106 9 3" xfId="32978" xr:uid="{00000000-0005-0000-0000-0000F1800000}"/>
    <cellStyle name="Normal 107" xfId="32979" xr:uid="{00000000-0005-0000-0000-0000F2800000}"/>
    <cellStyle name="Normal 107 2" xfId="32980" xr:uid="{00000000-0005-0000-0000-0000F3800000}"/>
    <cellStyle name="Normal 108" xfId="32981" xr:uid="{00000000-0005-0000-0000-0000F4800000}"/>
    <cellStyle name="Normal 108 2" xfId="32982" xr:uid="{00000000-0005-0000-0000-0000F5800000}"/>
    <cellStyle name="Normal 109" xfId="32983" xr:uid="{00000000-0005-0000-0000-0000F6800000}"/>
    <cellStyle name="Normal 109 2" xfId="32984" xr:uid="{00000000-0005-0000-0000-0000F7800000}"/>
    <cellStyle name="Normal 11" xfId="32985" xr:uid="{00000000-0005-0000-0000-0000F8800000}"/>
    <cellStyle name="Normal 11 2" xfId="32986" xr:uid="{00000000-0005-0000-0000-0000F9800000}"/>
    <cellStyle name="Normal 110" xfId="32987" xr:uid="{00000000-0005-0000-0000-0000FA800000}"/>
    <cellStyle name="Normal 110 10" xfId="32988" xr:uid="{00000000-0005-0000-0000-0000FB800000}"/>
    <cellStyle name="Normal 110 10 2" xfId="32989" xr:uid="{00000000-0005-0000-0000-0000FC800000}"/>
    <cellStyle name="Normal 110 10 2 2" xfId="32990" xr:uid="{00000000-0005-0000-0000-0000FD800000}"/>
    <cellStyle name="Normal 110 10 3" xfId="32991" xr:uid="{00000000-0005-0000-0000-0000FE800000}"/>
    <cellStyle name="Normal 110 11" xfId="32992" xr:uid="{00000000-0005-0000-0000-0000FF800000}"/>
    <cellStyle name="Normal 110 11 2" xfId="32993" xr:uid="{00000000-0005-0000-0000-000000810000}"/>
    <cellStyle name="Normal 110 11 2 2" xfId="32994" xr:uid="{00000000-0005-0000-0000-000001810000}"/>
    <cellStyle name="Normal 110 11 3" xfId="32995" xr:uid="{00000000-0005-0000-0000-000002810000}"/>
    <cellStyle name="Normal 110 12" xfId="32996" xr:uid="{00000000-0005-0000-0000-000003810000}"/>
    <cellStyle name="Normal 110 12 2" xfId="32997" xr:uid="{00000000-0005-0000-0000-000004810000}"/>
    <cellStyle name="Normal 110 12 2 2" xfId="32998" xr:uid="{00000000-0005-0000-0000-000005810000}"/>
    <cellStyle name="Normal 110 12 3" xfId="32999" xr:uid="{00000000-0005-0000-0000-000006810000}"/>
    <cellStyle name="Normal 110 13" xfId="33000" xr:uid="{00000000-0005-0000-0000-000007810000}"/>
    <cellStyle name="Normal 110 13 2" xfId="33001" xr:uid="{00000000-0005-0000-0000-000008810000}"/>
    <cellStyle name="Normal 110 13 2 2" xfId="33002" xr:uid="{00000000-0005-0000-0000-000009810000}"/>
    <cellStyle name="Normal 110 13 3" xfId="33003" xr:uid="{00000000-0005-0000-0000-00000A810000}"/>
    <cellStyle name="Normal 110 14" xfId="33004" xr:uid="{00000000-0005-0000-0000-00000B810000}"/>
    <cellStyle name="Normal 110 14 2" xfId="33005" xr:uid="{00000000-0005-0000-0000-00000C810000}"/>
    <cellStyle name="Normal 110 14 2 2" xfId="33006" xr:uid="{00000000-0005-0000-0000-00000D810000}"/>
    <cellStyle name="Normal 110 14 3" xfId="33007" xr:uid="{00000000-0005-0000-0000-00000E810000}"/>
    <cellStyle name="Normal 110 15" xfId="33008" xr:uid="{00000000-0005-0000-0000-00000F810000}"/>
    <cellStyle name="Normal 110 15 2" xfId="33009" xr:uid="{00000000-0005-0000-0000-000010810000}"/>
    <cellStyle name="Normal 110 15 2 2" xfId="33010" xr:uid="{00000000-0005-0000-0000-000011810000}"/>
    <cellStyle name="Normal 110 15 3" xfId="33011" xr:uid="{00000000-0005-0000-0000-000012810000}"/>
    <cellStyle name="Normal 110 16" xfId="33012" xr:uid="{00000000-0005-0000-0000-000013810000}"/>
    <cellStyle name="Normal 110 16 2" xfId="33013" xr:uid="{00000000-0005-0000-0000-000014810000}"/>
    <cellStyle name="Normal 110 16 2 2" xfId="33014" xr:uid="{00000000-0005-0000-0000-000015810000}"/>
    <cellStyle name="Normal 110 16 3" xfId="33015" xr:uid="{00000000-0005-0000-0000-000016810000}"/>
    <cellStyle name="Normal 110 17" xfId="33016" xr:uid="{00000000-0005-0000-0000-000017810000}"/>
    <cellStyle name="Normal 110 17 2" xfId="33017" xr:uid="{00000000-0005-0000-0000-000018810000}"/>
    <cellStyle name="Normal 110 17 2 2" xfId="33018" xr:uid="{00000000-0005-0000-0000-000019810000}"/>
    <cellStyle name="Normal 110 17 3" xfId="33019" xr:uid="{00000000-0005-0000-0000-00001A810000}"/>
    <cellStyle name="Normal 110 18" xfId="33020" xr:uid="{00000000-0005-0000-0000-00001B810000}"/>
    <cellStyle name="Normal 110 18 2" xfId="33021" xr:uid="{00000000-0005-0000-0000-00001C810000}"/>
    <cellStyle name="Normal 110 18 2 2" xfId="33022" xr:uid="{00000000-0005-0000-0000-00001D810000}"/>
    <cellStyle name="Normal 110 18 3" xfId="33023" xr:uid="{00000000-0005-0000-0000-00001E810000}"/>
    <cellStyle name="Normal 110 19" xfId="33024" xr:uid="{00000000-0005-0000-0000-00001F810000}"/>
    <cellStyle name="Normal 110 19 2" xfId="33025" xr:uid="{00000000-0005-0000-0000-000020810000}"/>
    <cellStyle name="Normal 110 19 2 2" xfId="33026" xr:uid="{00000000-0005-0000-0000-000021810000}"/>
    <cellStyle name="Normal 110 19 3" xfId="33027" xr:uid="{00000000-0005-0000-0000-000022810000}"/>
    <cellStyle name="Normal 110 2" xfId="33028" xr:uid="{00000000-0005-0000-0000-000023810000}"/>
    <cellStyle name="Normal 110 2 2" xfId="33029" xr:uid="{00000000-0005-0000-0000-000024810000}"/>
    <cellStyle name="Normal 110 2 2 2" xfId="33030" xr:uid="{00000000-0005-0000-0000-000025810000}"/>
    <cellStyle name="Normal 110 2 3" xfId="33031" xr:uid="{00000000-0005-0000-0000-000026810000}"/>
    <cellStyle name="Normal 110 20" xfId="33032" xr:uid="{00000000-0005-0000-0000-000027810000}"/>
    <cellStyle name="Normal 110 20 2" xfId="33033" xr:uid="{00000000-0005-0000-0000-000028810000}"/>
    <cellStyle name="Normal 110 20 2 2" xfId="33034" xr:uid="{00000000-0005-0000-0000-000029810000}"/>
    <cellStyle name="Normal 110 20 3" xfId="33035" xr:uid="{00000000-0005-0000-0000-00002A810000}"/>
    <cellStyle name="Normal 110 21" xfId="33036" xr:uid="{00000000-0005-0000-0000-00002B810000}"/>
    <cellStyle name="Normal 110 21 2" xfId="33037" xr:uid="{00000000-0005-0000-0000-00002C810000}"/>
    <cellStyle name="Normal 110 21 2 2" xfId="33038" xr:uid="{00000000-0005-0000-0000-00002D810000}"/>
    <cellStyle name="Normal 110 21 3" xfId="33039" xr:uid="{00000000-0005-0000-0000-00002E810000}"/>
    <cellStyle name="Normal 110 22" xfId="33040" xr:uid="{00000000-0005-0000-0000-00002F810000}"/>
    <cellStyle name="Normal 110 22 2" xfId="33041" xr:uid="{00000000-0005-0000-0000-000030810000}"/>
    <cellStyle name="Normal 110 22 2 2" xfId="33042" xr:uid="{00000000-0005-0000-0000-000031810000}"/>
    <cellStyle name="Normal 110 22 3" xfId="33043" xr:uid="{00000000-0005-0000-0000-000032810000}"/>
    <cellStyle name="Normal 110 23" xfId="33044" xr:uid="{00000000-0005-0000-0000-000033810000}"/>
    <cellStyle name="Normal 110 23 2" xfId="33045" xr:uid="{00000000-0005-0000-0000-000034810000}"/>
    <cellStyle name="Normal 110 23 2 2" xfId="33046" xr:uid="{00000000-0005-0000-0000-000035810000}"/>
    <cellStyle name="Normal 110 23 3" xfId="33047" xr:uid="{00000000-0005-0000-0000-000036810000}"/>
    <cellStyle name="Normal 110 24" xfId="33048" xr:uid="{00000000-0005-0000-0000-000037810000}"/>
    <cellStyle name="Normal 110 24 2" xfId="33049" xr:uid="{00000000-0005-0000-0000-000038810000}"/>
    <cellStyle name="Normal 110 24 2 2" xfId="33050" xr:uid="{00000000-0005-0000-0000-000039810000}"/>
    <cellStyle name="Normal 110 24 3" xfId="33051" xr:uid="{00000000-0005-0000-0000-00003A810000}"/>
    <cellStyle name="Normal 110 25" xfId="33052" xr:uid="{00000000-0005-0000-0000-00003B810000}"/>
    <cellStyle name="Normal 110 25 2" xfId="33053" xr:uid="{00000000-0005-0000-0000-00003C810000}"/>
    <cellStyle name="Normal 110 25 2 2" xfId="33054" xr:uid="{00000000-0005-0000-0000-00003D810000}"/>
    <cellStyle name="Normal 110 25 3" xfId="33055" xr:uid="{00000000-0005-0000-0000-00003E810000}"/>
    <cellStyle name="Normal 110 26" xfId="33056" xr:uid="{00000000-0005-0000-0000-00003F810000}"/>
    <cellStyle name="Normal 110 26 2" xfId="33057" xr:uid="{00000000-0005-0000-0000-000040810000}"/>
    <cellStyle name="Normal 110 26 2 2" xfId="33058" xr:uid="{00000000-0005-0000-0000-000041810000}"/>
    <cellStyle name="Normal 110 26 3" xfId="33059" xr:uid="{00000000-0005-0000-0000-000042810000}"/>
    <cellStyle name="Normal 110 27" xfId="33060" xr:uid="{00000000-0005-0000-0000-000043810000}"/>
    <cellStyle name="Normal 110 27 2" xfId="33061" xr:uid="{00000000-0005-0000-0000-000044810000}"/>
    <cellStyle name="Normal 110 27 2 2" xfId="33062" xr:uid="{00000000-0005-0000-0000-000045810000}"/>
    <cellStyle name="Normal 110 27 3" xfId="33063" xr:uid="{00000000-0005-0000-0000-000046810000}"/>
    <cellStyle name="Normal 110 28" xfId="33064" xr:uid="{00000000-0005-0000-0000-000047810000}"/>
    <cellStyle name="Normal 110 28 2" xfId="33065" xr:uid="{00000000-0005-0000-0000-000048810000}"/>
    <cellStyle name="Normal 110 28 2 2" xfId="33066" xr:uid="{00000000-0005-0000-0000-000049810000}"/>
    <cellStyle name="Normal 110 28 3" xfId="33067" xr:uid="{00000000-0005-0000-0000-00004A810000}"/>
    <cellStyle name="Normal 110 29" xfId="33068" xr:uid="{00000000-0005-0000-0000-00004B810000}"/>
    <cellStyle name="Normal 110 29 2" xfId="33069" xr:uid="{00000000-0005-0000-0000-00004C810000}"/>
    <cellStyle name="Normal 110 29 2 2" xfId="33070" xr:uid="{00000000-0005-0000-0000-00004D810000}"/>
    <cellStyle name="Normal 110 29 3" xfId="33071" xr:uid="{00000000-0005-0000-0000-00004E810000}"/>
    <cellStyle name="Normal 110 3" xfId="33072" xr:uid="{00000000-0005-0000-0000-00004F810000}"/>
    <cellStyle name="Normal 110 3 2" xfId="33073" xr:uid="{00000000-0005-0000-0000-000050810000}"/>
    <cellStyle name="Normal 110 3 2 2" xfId="33074" xr:uid="{00000000-0005-0000-0000-000051810000}"/>
    <cellStyle name="Normal 110 3 3" xfId="33075" xr:uid="{00000000-0005-0000-0000-000052810000}"/>
    <cellStyle name="Normal 110 30" xfId="33076" xr:uid="{00000000-0005-0000-0000-000053810000}"/>
    <cellStyle name="Normal 110 30 2" xfId="33077" xr:uid="{00000000-0005-0000-0000-000054810000}"/>
    <cellStyle name="Normal 110 30 2 2" xfId="33078" xr:uid="{00000000-0005-0000-0000-000055810000}"/>
    <cellStyle name="Normal 110 30 3" xfId="33079" xr:uid="{00000000-0005-0000-0000-000056810000}"/>
    <cellStyle name="Normal 110 31" xfId="33080" xr:uid="{00000000-0005-0000-0000-000057810000}"/>
    <cellStyle name="Normal 110 31 2" xfId="33081" xr:uid="{00000000-0005-0000-0000-000058810000}"/>
    <cellStyle name="Normal 110 31 2 2" xfId="33082" xr:uid="{00000000-0005-0000-0000-000059810000}"/>
    <cellStyle name="Normal 110 31 3" xfId="33083" xr:uid="{00000000-0005-0000-0000-00005A810000}"/>
    <cellStyle name="Normal 110 32" xfId="33084" xr:uid="{00000000-0005-0000-0000-00005B810000}"/>
    <cellStyle name="Normal 110 32 2" xfId="33085" xr:uid="{00000000-0005-0000-0000-00005C810000}"/>
    <cellStyle name="Normal 110 32 2 2" xfId="33086" xr:uid="{00000000-0005-0000-0000-00005D810000}"/>
    <cellStyle name="Normal 110 32 3" xfId="33087" xr:uid="{00000000-0005-0000-0000-00005E810000}"/>
    <cellStyle name="Normal 110 33" xfId="33088" xr:uid="{00000000-0005-0000-0000-00005F810000}"/>
    <cellStyle name="Normal 110 33 2" xfId="33089" xr:uid="{00000000-0005-0000-0000-000060810000}"/>
    <cellStyle name="Normal 110 33 2 2" xfId="33090" xr:uid="{00000000-0005-0000-0000-000061810000}"/>
    <cellStyle name="Normal 110 33 3" xfId="33091" xr:uid="{00000000-0005-0000-0000-000062810000}"/>
    <cellStyle name="Normal 110 34" xfId="33092" xr:uid="{00000000-0005-0000-0000-000063810000}"/>
    <cellStyle name="Normal 110 34 2" xfId="33093" xr:uid="{00000000-0005-0000-0000-000064810000}"/>
    <cellStyle name="Normal 110 34 2 2" xfId="33094" xr:uid="{00000000-0005-0000-0000-000065810000}"/>
    <cellStyle name="Normal 110 34 3" xfId="33095" xr:uid="{00000000-0005-0000-0000-000066810000}"/>
    <cellStyle name="Normal 110 35" xfId="33096" xr:uid="{00000000-0005-0000-0000-000067810000}"/>
    <cellStyle name="Normal 110 35 2" xfId="33097" xr:uid="{00000000-0005-0000-0000-000068810000}"/>
    <cellStyle name="Normal 110 35 2 2" xfId="33098" xr:uid="{00000000-0005-0000-0000-000069810000}"/>
    <cellStyle name="Normal 110 35 3" xfId="33099" xr:uid="{00000000-0005-0000-0000-00006A810000}"/>
    <cellStyle name="Normal 110 36" xfId="33100" xr:uid="{00000000-0005-0000-0000-00006B810000}"/>
    <cellStyle name="Normal 110 36 2" xfId="33101" xr:uid="{00000000-0005-0000-0000-00006C810000}"/>
    <cellStyle name="Normal 110 36 2 2" xfId="33102" xr:uid="{00000000-0005-0000-0000-00006D810000}"/>
    <cellStyle name="Normal 110 36 3" xfId="33103" xr:uid="{00000000-0005-0000-0000-00006E810000}"/>
    <cellStyle name="Normal 110 4" xfId="33104" xr:uid="{00000000-0005-0000-0000-00006F810000}"/>
    <cellStyle name="Normal 110 4 2" xfId="33105" xr:uid="{00000000-0005-0000-0000-000070810000}"/>
    <cellStyle name="Normal 110 4 2 2" xfId="33106" xr:uid="{00000000-0005-0000-0000-000071810000}"/>
    <cellStyle name="Normal 110 4 3" xfId="33107" xr:uid="{00000000-0005-0000-0000-000072810000}"/>
    <cellStyle name="Normal 110 5" xfId="33108" xr:uid="{00000000-0005-0000-0000-000073810000}"/>
    <cellStyle name="Normal 110 5 2" xfId="33109" xr:uid="{00000000-0005-0000-0000-000074810000}"/>
    <cellStyle name="Normal 110 5 2 2" xfId="33110" xr:uid="{00000000-0005-0000-0000-000075810000}"/>
    <cellStyle name="Normal 110 5 3" xfId="33111" xr:uid="{00000000-0005-0000-0000-000076810000}"/>
    <cellStyle name="Normal 110 6" xfId="33112" xr:uid="{00000000-0005-0000-0000-000077810000}"/>
    <cellStyle name="Normal 110 6 2" xfId="33113" xr:uid="{00000000-0005-0000-0000-000078810000}"/>
    <cellStyle name="Normal 110 6 2 2" xfId="33114" xr:uid="{00000000-0005-0000-0000-000079810000}"/>
    <cellStyle name="Normal 110 6 3" xfId="33115" xr:uid="{00000000-0005-0000-0000-00007A810000}"/>
    <cellStyle name="Normal 110 7" xfId="33116" xr:uid="{00000000-0005-0000-0000-00007B810000}"/>
    <cellStyle name="Normal 110 7 2" xfId="33117" xr:uid="{00000000-0005-0000-0000-00007C810000}"/>
    <cellStyle name="Normal 110 7 2 2" xfId="33118" xr:uid="{00000000-0005-0000-0000-00007D810000}"/>
    <cellStyle name="Normal 110 7 3" xfId="33119" xr:uid="{00000000-0005-0000-0000-00007E810000}"/>
    <cellStyle name="Normal 110 8" xfId="33120" xr:uid="{00000000-0005-0000-0000-00007F810000}"/>
    <cellStyle name="Normal 110 8 2" xfId="33121" xr:uid="{00000000-0005-0000-0000-000080810000}"/>
    <cellStyle name="Normal 110 8 2 2" xfId="33122" xr:uid="{00000000-0005-0000-0000-000081810000}"/>
    <cellStyle name="Normal 110 8 3" xfId="33123" xr:uid="{00000000-0005-0000-0000-000082810000}"/>
    <cellStyle name="Normal 110 9" xfId="33124" xr:uid="{00000000-0005-0000-0000-000083810000}"/>
    <cellStyle name="Normal 110 9 2" xfId="33125" xr:uid="{00000000-0005-0000-0000-000084810000}"/>
    <cellStyle name="Normal 110 9 2 2" xfId="33126" xr:uid="{00000000-0005-0000-0000-000085810000}"/>
    <cellStyle name="Normal 110 9 3" xfId="33127" xr:uid="{00000000-0005-0000-0000-000086810000}"/>
    <cellStyle name="Normal 111" xfId="33128" xr:uid="{00000000-0005-0000-0000-000087810000}"/>
    <cellStyle name="Normal 111 2" xfId="33129" xr:uid="{00000000-0005-0000-0000-000088810000}"/>
    <cellStyle name="Normal 112" xfId="33130" xr:uid="{00000000-0005-0000-0000-000089810000}"/>
    <cellStyle name="Normal 112 10" xfId="33131" xr:uid="{00000000-0005-0000-0000-00008A810000}"/>
    <cellStyle name="Normal 112 10 2" xfId="33132" xr:uid="{00000000-0005-0000-0000-00008B810000}"/>
    <cellStyle name="Normal 112 10 2 2" xfId="33133" xr:uid="{00000000-0005-0000-0000-00008C810000}"/>
    <cellStyle name="Normal 112 10 3" xfId="33134" xr:uid="{00000000-0005-0000-0000-00008D810000}"/>
    <cellStyle name="Normal 112 11" xfId="33135" xr:uid="{00000000-0005-0000-0000-00008E810000}"/>
    <cellStyle name="Normal 112 11 2" xfId="33136" xr:uid="{00000000-0005-0000-0000-00008F810000}"/>
    <cellStyle name="Normal 112 11 2 2" xfId="33137" xr:uid="{00000000-0005-0000-0000-000090810000}"/>
    <cellStyle name="Normal 112 11 3" xfId="33138" xr:uid="{00000000-0005-0000-0000-000091810000}"/>
    <cellStyle name="Normal 112 12" xfId="33139" xr:uid="{00000000-0005-0000-0000-000092810000}"/>
    <cellStyle name="Normal 112 12 2" xfId="33140" xr:uid="{00000000-0005-0000-0000-000093810000}"/>
    <cellStyle name="Normal 112 12 2 2" xfId="33141" xr:uid="{00000000-0005-0000-0000-000094810000}"/>
    <cellStyle name="Normal 112 12 3" xfId="33142" xr:uid="{00000000-0005-0000-0000-000095810000}"/>
    <cellStyle name="Normal 112 13" xfId="33143" xr:uid="{00000000-0005-0000-0000-000096810000}"/>
    <cellStyle name="Normal 112 13 2" xfId="33144" xr:uid="{00000000-0005-0000-0000-000097810000}"/>
    <cellStyle name="Normal 112 13 2 2" xfId="33145" xr:uid="{00000000-0005-0000-0000-000098810000}"/>
    <cellStyle name="Normal 112 13 3" xfId="33146" xr:uid="{00000000-0005-0000-0000-000099810000}"/>
    <cellStyle name="Normal 112 14" xfId="33147" xr:uid="{00000000-0005-0000-0000-00009A810000}"/>
    <cellStyle name="Normal 112 14 2" xfId="33148" xr:uid="{00000000-0005-0000-0000-00009B810000}"/>
    <cellStyle name="Normal 112 14 2 2" xfId="33149" xr:uid="{00000000-0005-0000-0000-00009C810000}"/>
    <cellStyle name="Normal 112 14 3" xfId="33150" xr:uid="{00000000-0005-0000-0000-00009D810000}"/>
    <cellStyle name="Normal 112 15" xfId="33151" xr:uid="{00000000-0005-0000-0000-00009E810000}"/>
    <cellStyle name="Normal 112 15 2" xfId="33152" xr:uid="{00000000-0005-0000-0000-00009F810000}"/>
    <cellStyle name="Normal 112 15 2 2" xfId="33153" xr:uid="{00000000-0005-0000-0000-0000A0810000}"/>
    <cellStyle name="Normal 112 15 3" xfId="33154" xr:uid="{00000000-0005-0000-0000-0000A1810000}"/>
    <cellStyle name="Normal 112 16" xfId="33155" xr:uid="{00000000-0005-0000-0000-0000A2810000}"/>
    <cellStyle name="Normal 112 16 2" xfId="33156" xr:uid="{00000000-0005-0000-0000-0000A3810000}"/>
    <cellStyle name="Normal 112 16 2 2" xfId="33157" xr:uid="{00000000-0005-0000-0000-0000A4810000}"/>
    <cellStyle name="Normal 112 16 3" xfId="33158" xr:uid="{00000000-0005-0000-0000-0000A5810000}"/>
    <cellStyle name="Normal 112 17" xfId="33159" xr:uid="{00000000-0005-0000-0000-0000A6810000}"/>
    <cellStyle name="Normal 112 17 2" xfId="33160" xr:uid="{00000000-0005-0000-0000-0000A7810000}"/>
    <cellStyle name="Normal 112 17 2 2" xfId="33161" xr:uid="{00000000-0005-0000-0000-0000A8810000}"/>
    <cellStyle name="Normal 112 17 3" xfId="33162" xr:uid="{00000000-0005-0000-0000-0000A9810000}"/>
    <cellStyle name="Normal 112 18" xfId="33163" xr:uid="{00000000-0005-0000-0000-0000AA810000}"/>
    <cellStyle name="Normal 112 18 2" xfId="33164" xr:uid="{00000000-0005-0000-0000-0000AB810000}"/>
    <cellStyle name="Normal 112 18 2 2" xfId="33165" xr:uid="{00000000-0005-0000-0000-0000AC810000}"/>
    <cellStyle name="Normal 112 18 3" xfId="33166" xr:uid="{00000000-0005-0000-0000-0000AD810000}"/>
    <cellStyle name="Normal 112 19" xfId="33167" xr:uid="{00000000-0005-0000-0000-0000AE810000}"/>
    <cellStyle name="Normal 112 19 2" xfId="33168" xr:uid="{00000000-0005-0000-0000-0000AF810000}"/>
    <cellStyle name="Normal 112 19 2 2" xfId="33169" xr:uid="{00000000-0005-0000-0000-0000B0810000}"/>
    <cellStyle name="Normal 112 19 3" xfId="33170" xr:uid="{00000000-0005-0000-0000-0000B1810000}"/>
    <cellStyle name="Normal 112 2" xfId="33171" xr:uid="{00000000-0005-0000-0000-0000B2810000}"/>
    <cellStyle name="Normal 112 2 2" xfId="33172" xr:uid="{00000000-0005-0000-0000-0000B3810000}"/>
    <cellStyle name="Normal 112 2 2 2" xfId="33173" xr:uid="{00000000-0005-0000-0000-0000B4810000}"/>
    <cellStyle name="Normal 112 2 3" xfId="33174" xr:uid="{00000000-0005-0000-0000-0000B5810000}"/>
    <cellStyle name="Normal 112 20" xfId="33175" xr:uid="{00000000-0005-0000-0000-0000B6810000}"/>
    <cellStyle name="Normal 112 20 2" xfId="33176" xr:uid="{00000000-0005-0000-0000-0000B7810000}"/>
    <cellStyle name="Normal 112 20 2 2" xfId="33177" xr:uid="{00000000-0005-0000-0000-0000B8810000}"/>
    <cellStyle name="Normal 112 20 3" xfId="33178" xr:uid="{00000000-0005-0000-0000-0000B9810000}"/>
    <cellStyle name="Normal 112 21" xfId="33179" xr:uid="{00000000-0005-0000-0000-0000BA810000}"/>
    <cellStyle name="Normal 112 21 2" xfId="33180" xr:uid="{00000000-0005-0000-0000-0000BB810000}"/>
    <cellStyle name="Normal 112 21 2 2" xfId="33181" xr:uid="{00000000-0005-0000-0000-0000BC810000}"/>
    <cellStyle name="Normal 112 21 3" xfId="33182" xr:uid="{00000000-0005-0000-0000-0000BD810000}"/>
    <cellStyle name="Normal 112 22" xfId="33183" xr:uid="{00000000-0005-0000-0000-0000BE810000}"/>
    <cellStyle name="Normal 112 22 2" xfId="33184" xr:uid="{00000000-0005-0000-0000-0000BF810000}"/>
    <cellStyle name="Normal 112 22 2 2" xfId="33185" xr:uid="{00000000-0005-0000-0000-0000C0810000}"/>
    <cellStyle name="Normal 112 22 3" xfId="33186" xr:uid="{00000000-0005-0000-0000-0000C1810000}"/>
    <cellStyle name="Normal 112 23" xfId="33187" xr:uid="{00000000-0005-0000-0000-0000C2810000}"/>
    <cellStyle name="Normal 112 23 2" xfId="33188" xr:uid="{00000000-0005-0000-0000-0000C3810000}"/>
    <cellStyle name="Normal 112 23 2 2" xfId="33189" xr:uid="{00000000-0005-0000-0000-0000C4810000}"/>
    <cellStyle name="Normal 112 23 3" xfId="33190" xr:uid="{00000000-0005-0000-0000-0000C5810000}"/>
    <cellStyle name="Normal 112 24" xfId="33191" xr:uid="{00000000-0005-0000-0000-0000C6810000}"/>
    <cellStyle name="Normal 112 24 2" xfId="33192" xr:uid="{00000000-0005-0000-0000-0000C7810000}"/>
    <cellStyle name="Normal 112 24 2 2" xfId="33193" xr:uid="{00000000-0005-0000-0000-0000C8810000}"/>
    <cellStyle name="Normal 112 24 3" xfId="33194" xr:uid="{00000000-0005-0000-0000-0000C9810000}"/>
    <cellStyle name="Normal 112 25" xfId="33195" xr:uid="{00000000-0005-0000-0000-0000CA810000}"/>
    <cellStyle name="Normal 112 25 2" xfId="33196" xr:uid="{00000000-0005-0000-0000-0000CB810000}"/>
    <cellStyle name="Normal 112 25 2 2" xfId="33197" xr:uid="{00000000-0005-0000-0000-0000CC810000}"/>
    <cellStyle name="Normal 112 25 3" xfId="33198" xr:uid="{00000000-0005-0000-0000-0000CD810000}"/>
    <cellStyle name="Normal 112 26" xfId="33199" xr:uid="{00000000-0005-0000-0000-0000CE810000}"/>
    <cellStyle name="Normal 112 26 2" xfId="33200" xr:uid="{00000000-0005-0000-0000-0000CF810000}"/>
    <cellStyle name="Normal 112 26 2 2" xfId="33201" xr:uid="{00000000-0005-0000-0000-0000D0810000}"/>
    <cellStyle name="Normal 112 26 3" xfId="33202" xr:uid="{00000000-0005-0000-0000-0000D1810000}"/>
    <cellStyle name="Normal 112 27" xfId="33203" xr:uid="{00000000-0005-0000-0000-0000D2810000}"/>
    <cellStyle name="Normal 112 27 2" xfId="33204" xr:uid="{00000000-0005-0000-0000-0000D3810000}"/>
    <cellStyle name="Normal 112 27 2 2" xfId="33205" xr:uid="{00000000-0005-0000-0000-0000D4810000}"/>
    <cellStyle name="Normal 112 27 3" xfId="33206" xr:uid="{00000000-0005-0000-0000-0000D5810000}"/>
    <cellStyle name="Normal 112 28" xfId="33207" xr:uid="{00000000-0005-0000-0000-0000D6810000}"/>
    <cellStyle name="Normal 112 28 2" xfId="33208" xr:uid="{00000000-0005-0000-0000-0000D7810000}"/>
    <cellStyle name="Normal 112 28 2 2" xfId="33209" xr:uid="{00000000-0005-0000-0000-0000D8810000}"/>
    <cellStyle name="Normal 112 28 3" xfId="33210" xr:uid="{00000000-0005-0000-0000-0000D9810000}"/>
    <cellStyle name="Normal 112 29" xfId="33211" xr:uid="{00000000-0005-0000-0000-0000DA810000}"/>
    <cellStyle name="Normal 112 29 2" xfId="33212" xr:uid="{00000000-0005-0000-0000-0000DB810000}"/>
    <cellStyle name="Normal 112 29 2 2" xfId="33213" xr:uid="{00000000-0005-0000-0000-0000DC810000}"/>
    <cellStyle name="Normal 112 29 3" xfId="33214" xr:uid="{00000000-0005-0000-0000-0000DD810000}"/>
    <cellStyle name="Normal 112 3" xfId="33215" xr:uid="{00000000-0005-0000-0000-0000DE810000}"/>
    <cellStyle name="Normal 112 3 2" xfId="33216" xr:uid="{00000000-0005-0000-0000-0000DF810000}"/>
    <cellStyle name="Normal 112 3 2 2" xfId="33217" xr:uid="{00000000-0005-0000-0000-0000E0810000}"/>
    <cellStyle name="Normal 112 3 3" xfId="33218" xr:uid="{00000000-0005-0000-0000-0000E1810000}"/>
    <cellStyle name="Normal 112 30" xfId="33219" xr:uid="{00000000-0005-0000-0000-0000E2810000}"/>
    <cellStyle name="Normal 112 30 2" xfId="33220" xr:uid="{00000000-0005-0000-0000-0000E3810000}"/>
    <cellStyle name="Normal 112 30 2 2" xfId="33221" xr:uid="{00000000-0005-0000-0000-0000E4810000}"/>
    <cellStyle name="Normal 112 30 3" xfId="33222" xr:uid="{00000000-0005-0000-0000-0000E5810000}"/>
    <cellStyle name="Normal 112 31" xfId="33223" xr:uid="{00000000-0005-0000-0000-0000E6810000}"/>
    <cellStyle name="Normal 112 31 2" xfId="33224" xr:uid="{00000000-0005-0000-0000-0000E7810000}"/>
    <cellStyle name="Normal 112 31 2 2" xfId="33225" xr:uid="{00000000-0005-0000-0000-0000E8810000}"/>
    <cellStyle name="Normal 112 31 3" xfId="33226" xr:uid="{00000000-0005-0000-0000-0000E9810000}"/>
    <cellStyle name="Normal 112 32" xfId="33227" xr:uid="{00000000-0005-0000-0000-0000EA810000}"/>
    <cellStyle name="Normal 112 32 2" xfId="33228" xr:uid="{00000000-0005-0000-0000-0000EB810000}"/>
    <cellStyle name="Normal 112 32 2 2" xfId="33229" xr:uid="{00000000-0005-0000-0000-0000EC810000}"/>
    <cellStyle name="Normal 112 32 3" xfId="33230" xr:uid="{00000000-0005-0000-0000-0000ED810000}"/>
    <cellStyle name="Normal 112 33" xfId="33231" xr:uid="{00000000-0005-0000-0000-0000EE810000}"/>
    <cellStyle name="Normal 112 33 2" xfId="33232" xr:uid="{00000000-0005-0000-0000-0000EF810000}"/>
    <cellStyle name="Normal 112 33 2 2" xfId="33233" xr:uid="{00000000-0005-0000-0000-0000F0810000}"/>
    <cellStyle name="Normal 112 33 3" xfId="33234" xr:uid="{00000000-0005-0000-0000-0000F1810000}"/>
    <cellStyle name="Normal 112 34" xfId="33235" xr:uid="{00000000-0005-0000-0000-0000F2810000}"/>
    <cellStyle name="Normal 112 34 2" xfId="33236" xr:uid="{00000000-0005-0000-0000-0000F3810000}"/>
    <cellStyle name="Normal 112 34 2 2" xfId="33237" xr:uid="{00000000-0005-0000-0000-0000F4810000}"/>
    <cellStyle name="Normal 112 34 3" xfId="33238" xr:uid="{00000000-0005-0000-0000-0000F5810000}"/>
    <cellStyle name="Normal 112 35" xfId="33239" xr:uid="{00000000-0005-0000-0000-0000F6810000}"/>
    <cellStyle name="Normal 112 35 2" xfId="33240" xr:uid="{00000000-0005-0000-0000-0000F7810000}"/>
    <cellStyle name="Normal 112 35 2 2" xfId="33241" xr:uid="{00000000-0005-0000-0000-0000F8810000}"/>
    <cellStyle name="Normal 112 35 3" xfId="33242" xr:uid="{00000000-0005-0000-0000-0000F9810000}"/>
    <cellStyle name="Normal 112 36" xfId="33243" xr:uid="{00000000-0005-0000-0000-0000FA810000}"/>
    <cellStyle name="Normal 112 36 2" xfId="33244" xr:uid="{00000000-0005-0000-0000-0000FB810000}"/>
    <cellStyle name="Normal 112 36 2 2" xfId="33245" xr:uid="{00000000-0005-0000-0000-0000FC810000}"/>
    <cellStyle name="Normal 112 36 3" xfId="33246" xr:uid="{00000000-0005-0000-0000-0000FD810000}"/>
    <cellStyle name="Normal 112 4" xfId="33247" xr:uid="{00000000-0005-0000-0000-0000FE810000}"/>
    <cellStyle name="Normal 112 4 2" xfId="33248" xr:uid="{00000000-0005-0000-0000-0000FF810000}"/>
    <cellStyle name="Normal 112 4 2 2" xfId="33249" xr:uid="{00000000-0005-0000-0000-000000820000}"/>
    <cellStyle name="Normal 112 4 3" xfId="33250" xr:uid="{00000000-0005-0000-0000-000001820000}"/>
    <cellStyle name="Normal 112 5" xfId="33251" xr:uid="{00000000-0005-0000-0000-000002820000}"/>
    <cellStyle name="Normal 112 5 2" xfId="33252" xr:uid="{00000000-0005-0000-0000-000003820000}"/>
    <cellStyle name="Normal 112 5 2 2" xfId="33253" xr:uid="{00000000-0005-0000-0000-000004820000}"/>
    <cellStyle name="Normal 112 5 3" xfId="33254" xr:uid="{00000000-0005-0000-0000-000005820000}"/>
    <cellStyle name="Normal 112 6" xfId="33255" xr:uid="{00000000-0005-0000-0000-000006820000}"/>
    <cellStyle name="Normal 112 6 2" xfId="33256" xr:uid="{00000000-0005-0000-0000-000007820000}"/>
    <cellStyle name="Normal 112 6 2 2" xfId="33257" xr:uid="{00000000-0005-0000-0000-000008820000}"/>
    <cellStyle name="Normal 112 6 3" xfId="33258" xr:uid="{00000000-0005-0000-0000-000009820000}"/>
    <cellStyle name="Normal 112 7" xfId="33259" xr:uid="{00000000-0005-0000-0000-00000A820000}"/>
    <cellStyle name="Normal 112 7 2" xfId="33260" xr:uid="{00000000-0005-0000-0000-00000B820000}"/>
    <cellStyle name="Normal 112 7 2 2" xfId="33261" xr:uid="{00000000-0005-0000-0000-00000C820000}"/>
    <cellStyle name="Normal 112 7 3" xfId="33262" xr:uid="{00000000-0005-0000-0000-00000D820000}"/>
    <cellStyle name="Normal 112 8" xfId="33263" xr:uid="{00000000-0005-0000-0000-00000E820000}"/>
    <cellStyle name="Normal 112 8 2" xfId="33264" xr:uid="{00000000-0005-0000-0000-00000F820000}"/>
    <cellStyle name="Normal 112 8 2 2" xfId="33265" xr:uid="{00000000-0005-0000-0000-000010820000}"/>
    <cellStyle name="Normal 112 8 3" xfId="33266" xr:uid="{00000000-0005-0000-0000-000011820000}"/>
    <cellStyle name="Normal 112 9" xfId="33267" xr:uid="{00000000-0005-0000-0000-000012820000}"/>
    <cellStyle name="Normal 112 9 2" xfId="33268" xr:uid="{00000000-0005-0000-0000-000013820000}"/>
    <cellStyle name="Normal 112 9 2 2" xfId="33269" xr:uid="{00000000-0005-0000-0000-000014820000}"/>
    <cellStyle name="Normal 112 9 3" xfId="33270" xr:uid="{00000000-0005-0000-0000-000015820000}"/>
    <cellStyle name="Normal 113" xfId="33271" xr:uid="{00000000-0005-0000-0000-000016820000}"/>
    <cellStyle name="Normal 113 2" xfId="33272" xr:uid="{00000000-0005-0000-0000-000017820000}"/>
    <cellStyle name="Normal 114" xfId="33273" xr:uid="{00000000-0005-0000-0000-000018820000}"/>
    <cellStyle name="Normal 114 2" xfId="33274" xr:uid="{00000000-0005-0000-0000-000019820000}"/>
    <cellStyle name="Normal 115" xfId="33275" xr:uid="{00000000-0005-0000-0000-00001A820000}"/>
    <cellStyle name="Normal 115 2" xfId="33276" xr:uid="{00000000-0005-0000-0000-00001B820000}"/>
    <cellStyle name="Normal 116" xfId="33277" xr:uid="{00000000-0005-0000-0000-00001C820000}"/>
    <cellStyle name="Normal 116 2" xfId="33278" xr:uid="{00000000-0005-0000-0000-00001D820000}"/>
    <cellStyle name="Normal 117" xfId="33279" xr:uid="{00000000-0005-0000-0000-00001E820000}"/>
    <cellStyle name="Normal 117 10" xfId="33280" xr:uid="{00000000-0005-0000-0000-00001F820000}"/>
    <cellStyle name="Normal 117 10 2" xfId="33281" xr:uid="{00000000-0005-0000-0000-000020820000}"/>
    <cellStyle name="Normal 117 10 2 2" xfId="33282" xr:uid="{00000000-0005-0000-0000-000021820000}"/>
    <cellStyle name="Normal 117 10 3" xfId="33283" xr:uid="{00000000-0005-0000-0000-000022820000}"/>
    <cellStyle name="Normal 117 11" xfId="33284" xr:uid="{00000000-0005-0000-0000-000023820000}"/>
    <cellStyle name="Normal 117 11 2" xfId="33285" xr:uid="{00000000-0005-0000-0000-000024820000}"/>
    <cellStyle name="Normal 117 11 2 2" xfId="33286" xr:uid="{00000000-0005-0000-0000-000025820000}"/>
    <cellStyle name="Normal 117 11 3" xfId="33287" xr:uid="{00000000-0005-0000-0000-000026820000}"/>
    <cellStyle name="Normal 117 12" xfId="33288" xr:uid="{00000000-0005-0000-0000-000027820000}"/>
    <cellStyle name="Normal 117 12 2" xfId="33289" xr:uid="{00000000-0005-0000-0000-000028820000}"/>
    <cellStyle name="Normal 117 12 2 2" xfId="33290" xr:uid="{00000000-0005-0000-0000-000029820000}"/>
    <cellStyle name="Normal 117 12 3" xfId="33291" xr:uid="{00000000-0005-0000-0000-00002A820000}"/>
    <cellStyle name="Normal 117 13" xfId="33292" xr:uid="{00000000-0005-0000-0000-00002B820000}"/>
    <cellStyle name="Normal 117 13 2" xfId="33293" xr:uid="{00000000-0005-0000-0000-00002C820000}"/>
    <cellStyle name="Normal 117 13 2 2" xfId="33294" xr:uid="{00000000-0005-0000-0000-00002D820000}"/>
    <cellStyle name="Normal 117 13 3" xfId="33295" xr:uid="{00000000-0005-0000-0000-00002E820000}"/>
    <cellStyle name="Normal 117 14" xfId="33296" xr:uid="{00000000-0005-0000-0000-00002F820000}"/>
    <cellStyle name="Normal 117 14 2" xfId="33297" xr:uid="{00000000-0005-0000-0000-000030820000}"/>
    <cellStyle name="Normal 117 14 2 2" xfId="33298" xr:uid="{00000000-0005-0000-0000-000031820000}"/>
    <cellStyle name="Normal 117 14 3" xfId="33299" xr:uid="{00000000-0005-0000-0000-000032820000}"/>
    <cellStyle name="Normal 117 15" xfId="33300" xr:uid="{00000000-0005-0000-0000-000033820000}"/>
    <cellStyle name="Normal 117 15 2" xfId="33301" xr:uid="{00000000-0005-0000-0000-000034820000}"/>
    <cellStyle name="Normal 117 15 2 2" xfId="33302" xr:uid="{00000000-0005-0000-0000-000035820000}"/>
    <cellStyle name="Normal 117 15 3" xfId="33303" xr:uid="{00000000-0005-0000-0000-000036820000}"/>
    <cellStyle name="Normal 117 16" xfId="33304" xr:uid="{00000000-0005-0000-0000-000037820000}"/>
    <cellStyle name="Normal 117 16 2" xfId="33305" xr:uid="{00000000-0005-0000-0000-000038820000}"/>
    <cellStyle name="Normal 117 16 2 2" xfId="33306" xr:uid="{00000000-0005-0000-0000-000039820000}"/>
    <cellStyle name="Normal 117 16 3" xfId="33307" xr:uid="{00000000-0005-0000-0000-00003A820000}"/>
    <cellStyle name="Normal 117 17" xfId="33308" xr:uid="{00000000-0005-0000-0000-00003B820000}"/>
    <cellStyle name="Normal 117 17 2" xfId="33309" xr:uid="{00000000-0005-0000-0000-00003C820000}"/>
    <cellStyle name="Normal 117 17 2 2" xfId="33310" xr:uid="{00000000-0005-0000-0000-00003D820000}"/>
    <cellStyle name="Normal 117 17 3" xfId="33311" xr:uid="{00000000-0005-0000-0000-00003E820000}"/>
    <cellStyle name="Normal 117 18" xfId="33312" xr:uid="{00000000-0005-0000-0000-00003F820000}"/>
    <cellStyle name="Normal 117 18 2" xfId="33313" xr:uid="{00000000-0005-0000-0000-000040820000}"/>
    <cellStyle name="Normal 117 18 2 2" xfId="33314" xr:uid="{00000000-0005-0000-0000-000041820000}"/>
    <cellStyle name="Normal 117 18 3" xfId="33315" xr:uid="{00000000-0005-0000-0000-000042820000}"/>
    <cellStyle name="Normal 117 19" xfId="33316" xr:uid="{00000000-0005-0000-0000-000043820000}"/>
    <cellStyle name="Normal 117 19 2" xfId="33317" xr:uid="{00000000-0005-0000-0000-000044820000}"/>
    <cellStyle name="Normal 117 19 2 2" xfId="33318" xr:uid="{00000000-0005-0000-0000-000045820000}"/>
    <cellStyle name="Normal 117 19 3" xfId="33319" xr:uid="{00000000-0005-0000-0000-000046820000}"/>
    <cellStyle name="Normal 117 2" xfId="33320" xr:uid="{00000000-0005-0000-0000-000047820000}"/>
    <cellStyle name="Normal 117 2 2" xfId="33321" xr:uid="{00000000-0005-0000-0000-000048820000}"/>
    <cellStyle name="Normal 117 2 2 2" xfId="33322" xr:uid="{00000000-0005-0000-0000-000049820000}"/>
    <cellStyle name="Normal 117 2 3" xfId="33323" xr:uid="{00000000-0005-0000-0000-00004A820000}"/>
    <cellStyle name="Normal 117 20" xfId="33324" xr:uid="{00000000-0005-0000-0000-00004B820000}"/>
    <cellStyle name="Normal 117 20 2" xfId="33325" xr:uid="{00000000-0005-0000-0000-00004C820000}"/>
    <cellStyle name="Normal 117 20 2 2" xfId="33326" xr:uid="{00000000-0005-0000-0000-00004D820000}"/>
    <cellStyle name="Normal 117 20 3" xfId="33327" xr:uid="{00000000-0005-0000-0000-00004E820000}"/>
    <cellStyle name="Normal 117 21" xfId="33328" xr:uid="{00000000-0005-0000-0000-00004F820000}"/>
    <cellStyle name="Normal 117 21 2" xfId="33329" xr:uid="{00000000-0005-0000-0000-000050820000}"/>
    <cellStyle name="Normal 117 21 2 2" xfId="33330" xr:uid="{00000000-0005-0000-0000-000051820000}"/>
    <cellStyle name="Normal 117 21 3" xfId="33331" xr:uid="{00000000-0005-0000-0000-000052820000}"/>
    <cellStyle name="Normal 117 22" xfId="33332" xr:uid="{00000000-0005-0000-0000-000053820000}"/>
    <cellStyle name="Normal 117 22 2" xfId="33333" xr:uid="{00000000-0005-0000-0000-000054820000}"/>
    <cellStyle name="Normal 117 22 2 2" xfId="33334" xr:uid="{00000000-0005-0000-0000-000055820000}"/>
    <cellStyle name="Normal 117 22 3" xfId="33335" xr:uid="{00000000-0005-0000-0000-000056820000}"/>
    <cellStyle name="Normal 117 23" xfId="33336" xr:uid="{00000000-0005-0000-0000-000057820000}"/>
    <cellStyle name="Normal 117 23 2" xfId="33337" xr:uid="{00000000-0005-0000-0000-000058820000}"/>
    <cellStyle name="Normal 117 23 2 2" xfId="33338" xr:uid="{00000000-0005-0000-0000-000059820000}"/>
    <cellStyle name="Normal 117 23 3" xfId="33339" xr:uid="{00000000-0005-0000-0000-00005A820000}"/>
    <cellStyle name="Normal 117 24" xfId="33340" xr:uid="{00000000-0005-0000-0000-00005B820000}"/>
    <cellStyle name="Normal 117 24 2" xfId="33341" xr:uid="{00000000-0005-0000-0000-00005C820000}"/>
    <cellStyle name="Normal 117 24 2 2" xfId="33342" xr:uid="{00000000-0005-0000-0000-00005D820000}"/>
    <cellStyle name="Normal 117 24 3" xfId="33343" xr:uid="{00000000-0005-0000-0000-00005E820000}"/>
    <cellStyle name="Normal 117 25" xfId="33344" xr:uid="{00000000-0005-0000-0000-00005F820000}"/>
    <cellStyle name="Normal 117 25 2" xfId="33345" xr:uid="{00000000-0005-0000-0000-000060820000}"/>
    <cellStyle name="Normal 117 25 2 2" xfId="33346" xr:uid="{00000000-0005-0000-0000-000061820000}"/>
    <cellStyle name="Normal 117 25 3" xfId="33347" xr:uid="{00000000-0005-0000-0000-000062820000}"/>
    <cellStyle name="Normal 117 26" xfId="33348" xr:uid="{00000000-0005-0000-0000-000063820000}"/>
    <cellStyle name="Normal 117 26 2" xfId="33349" xr:uid="{00000000-0005-0000-0000-000064820000}"/>
    <cellStyle name="Normal 117 26 2 2" xfId="33350" xr:uid="{00000000-0005-0000-0000-000065820000}"/>
    <cellStyle name="Normal 117 26 3" xfId="33351" xr:uid="{00000000-0005-0000-0000-000066820000}"/>
    <cellStyle name="Normal 117 27" xfId="33352" xr:uid="{00000000-0005-0000-0000-000067820000}"/>
    <cellStyle name="Normal 117 27 2" xfId="33353" xr:uid="{00000000-0005-0000-0000-000068820000}"/>
    <cellStyle name="Normal 117 27 2 2" xfId="33354" xr:uid="{00000000-0005-0000-0000-000069820000}"/>
    <cellStyle name="Normal 117 27 3" xfId="33355" xr:uid="{00000000-0005-0000-0000-00006A820000}"/>
    <cellStyle name="Normal 117 28" xfId="33356" xr:uid="{00000000-0005-0000-0000-00006B820000}"/>
    <cellStyle name="Normal 117 28 2" xfId="33357" xr:uid="{00000000-0005-0000-0000-00006C820000}"/>
    <cellStyle name="Normal 117 28 2 2" xfId="33358" xr:uid="{00000000-0005-0000-0000-00006D820000}"/>
    <cellStyle name="Normal 117 28 3" xfId="33359" xr:uid="{00000000-0005-0000-0000-00006E820000}"/>
    <cellStyle name="Normal 117 29" xfId="33360" xr:uid="{00000000-0005-0000-0000-00006F820000}"/>
    <cellStyle name="Normal 117 29 2" xfId="33361" xr:uid="{00000000-0005-0000-0000-000070820000}"/>
    <cellStyle name="Normal 117 29 2 2" xfId="33362" xr:uid="{00000000-0005-0000-0000-000071820000}"/>
    <cellStyle name="Normal 117 29 3" xfId="33363" xr:uid="{00000000-0005-0000-0000-000072820000}"/>
    <cellStyle name="Normal 117 3" xfId="33364" xr:uid="{00000000-0005-0000-0000-000073820000}"/>
    <cellStyle name="Normal 117 3 2" xfId="33365" xr:uid="{00000000-0005-0000-0000-000074820000}"/>
    <cellStyle name="Normal 117 3 2 2" xfId="33366" xr:uid="{00000000-0005-0000-0000-000075820000}"/>
    <cellStyle name="Normal 117 3 3" xfId="33367" xr:uid="{00000000-0005-0000-0000-000076820000}"/>
    <cellStyle name="Normal 117 30" xfId="33368" xr:uid="{00000000-0005-0000-0000-000077820000}"/>
    <cellStyle name="Normal 117 30 2" xfId="33369" xr:uid="{00000000-0005-0000-0000-000078820000}"/>
    <cellStyle name="Normal 117 30 2 2" xfId="33370" xr:uid="{00000000-0005-0000-0000-000079820000}"/>
    <cellStyle name="Normal 117 30 3" xfId="33371" xr:uid="{00000000-0005-0000-0000-00007A820000}"/>
    <cellStyle name="Normal 117 31" xfId="33372" xr:uid="{00000000-0005-0000-0000-00007B820000}"/>
    <cellStyle name="Normal 117 31 2" xfId="33373" xr:uid="{00000000-0005-0000-0000-00007C820000}"/>
    <cellStyle name="Normal 117 31 2 2" xfId="33374" xr:uid="{00000000-0005-0000-0000-00007D820000}"/>
    <cellStyle name="Normal 117 31 3" xfId="33375" xr:uid="{00000000-0005-0000-0000-00007E820000}"/>
    <cellStyle name="Normal 117 32" xfId="33376" xr:uid="{00000000-0005-0000-0000-00007F820000}"/>
    <cellStyle name="Normal 117 32 2" xfId="33377" xr:uid="{00000000-0005-0000-0000-000080820000}"/>
    <cellStyle name="Normal 117 32 2 2" xfId="33378" xr:uid="{00000000-0005-0000-0000-000081820000}"/>
    <cellStyle name="Normal 117 32 3" xfId="33379" xr:uid="{00000000-0005-0000-0000-000082820000}"/>
    <cellStyle name="Normal 117 33" xfId="33380" xr:uid="{00000000-0005-0000-0000-000083820000}"/>
    <cellStyle name="Normal 117 33 2" xfId="33381" xr:uid="{00000000-0005-0000-0000-000084820000}"/>
    <cellStyle name="Normal 117 33 2 2" xfId="33382" xr:uid="{00000000-0005-0000-0000-000085820000}"/>
    <cellStyle name="Normal 117 33 3" xfId="33383" xr:uid="{00000000-0005-0000-0000-000086820000}"/>
    <cellStyle name="Normal 117 34" xfId="33384" xr:uid="{00000000-0005-0000-0000-000087820000}"/>
    <cellStyle name="Normal 117 34 2" xfId="33385" xr:uid="{00000000-0005-0000-0000-000088820000}"/>
    <cellStyle name="Normal 117 34 2 2" xfId="33386" xr:uid="{00000000-0005-0000-0000-000089820000}"/>
    <cellStyle name="Normal 117 34 3" xfId="33387" xr:uid="{00000000-0005-0000-0000-00008A820000}"/>
    <cellStyle name="Normal 117 35" xfId="33388" xr:uid="{00000000-0005-0000-0000-00008B820000}"/>
    <cellStyle name="Normal 117 35 2" xfId="33389" xr:uid="{00000000-0005-0000-0000-00008C820000}"/>
    <cellStyle name="Normal 117 35 2 2" xfId="33390" xr:uid="{00000000-0005-0000-0000-00008D820000}"/>
    <cellStyle name="Normal 117 35 3" xfId="33391" xr:uid="{00000000-0005-0000-0000-00008E820000}"/>
    <cellStyle name="Normal 117 36" xfId="33392" xr:uid="{00000000-0005-0000-0000-00008F820000}"/>
    <cellStyle name="Normal 117 36 2" xfId="33393" xr:uid="{00000000-0005-0000-0000-000090820000}"/>
    <cellStyle name="Normal 117 36 2 2" xfId="33394" xr:uid="{00000000-0005-0000-0000-000091820000}"/>
    <cellStyle name="Normal 117 36 3" xfId="33395" xr:uid="{00000000-0005-0000-0000-000092820000}"/>
    <cellStyle name="Normal 117 4" xfId="33396" xr:uid="{00000000-0005-0000-0000-000093820000}"/>
    <cellStyle name="Normal 117 4 2" xfId="33397" xr:uid="{00000000-0005-0000-0000-000094820000}"/>
    <cellStyle name="Normal 117 4 2 2" xfId="33398" xr:uid="{00000000-0005-0000-0000-000095820000}"/>
    <cellStyle name="Normal 117 4 3" xfId="33399" xr:uid="{00000000-0005-0000-0000-000096820000}"/>
    <cellStyle name="Normal 117 5" xfId="33400" xr:uid="{00000000-0005-0000-0000-000097820000}"/>
    <cellStyle name="Normal 117 5 2" xfId="33401" xr:uid="{00000000-0005-0000-0000-000098820000}"/>
    <cellStyle name="Normal 117 5 2 2" xfId="33402" xr:uid="{00000000-0005-0000-0000-000099820000}"/>
    <cellStyle name="Normal 117 5 3" xfId="33403" xr:uid="{00000000-0005-0000-0000-00009A820000}"/>
    <cellStyle name="Normal 117 6" xfId="33404" xr:uid="{00000000-0005-0000-0000-00009B820000}"/>
    <cellStyle name="Normal 117 6 2" xfId="33405" xr:uid="{00000000-0005-0000-0000-00009C820000}"/>
    <cellStyle name="Normal 117 6 2 2" xfId="33406" xr:uid="{00000000-0005-0000-0000-00009D820000}"/>
    <cellStyle name="Normal 117 6 3" xfId="33407" xr:uid="{00000000-0005-0000-0000-00009E820000}"/>
    <cellStyle name="Normal 117 7" xfId="33408" xr:uid="{00000000-0005-0000-0000-00009F820000}"/>
    <cellStyle name="Normal 117 7 2" xfId="33409" xr:uid="{00000000-0005-0000-0000-0000A0820000}"/>
    <cellStyle name="Normal 117 7 2 2" xfId="33410" xr:uid="{00000000-0005-0000-0000-0000A1820000}"/>
    <cellStyle name="Normal 117 7 3" xfId="33411" xr:uid="{00000000-0005-0000-0000-0000A2820000}"/>
    <cellStyle name="Normal 117 8" xfId="33412" xr:uid="{00000000-0005-0000-0000-0000A3820000}"/>
    <cellStyle name="Normal 117 8 2" xfId="33413" xr:uid="{00000000-0005-0000-0000-0000A4820000}"/>
    <cellStyle name="Normal 117 8 2 2" xfId="33414" xr:uid="{00000000-0005-0000-0000-0000A5820000}"/>
    <cellStyle name="Normal 117 8 3" xfId="33415" xr:uid="{00000000-0005-0000-0000-0000A6820000}"/>
    <cellStyle name="Normal 117 9" xfId="33416" xr:uid="{00000000-0005-0000-0000-0000A7820000}"/>
    <cellStyle name="Normal 117 9 2" xfId="33417" xr:uid="{00000000-0005-0000-0000-0000A8820000}"/>
    <cellStyle name="Normal 117 9 2 2" xfId="33418" xr:uid="{00000000-0005-0000-0000-0000A9820000}"/>
    <cellStyle name="Normal 117 9 3" xfId="33419" xr:uid="{00000000-0005-0000-0000-0000AA820000}"/>
    <cellStyle name="Normal 118" xfId="33420" xr:uid="{00000000-0005-0000-0000-0000AB820000}"/>
    <cellStyle name="Normal 118 10" xfId="33421" xr:uid="{00000000-0005-0000-0000-0000AC820000}"/>
    <cellStyle name="Normal 118 10 2" xfId="33422" xr:uid="{00000000-0005-0000-0000-0000AD820000}"/>
    <cellStyle name="Normal 118 10 2 2" xfId="33423" xr:uid="{00000000-0005-0000-0000-0000AE820000}"/>
    <cellStyle name="Normal 118 10 3" xfId="33424" xr:uid="{00000000-0005-0000-0000-0000AF820000}"/>
    <cellStyle name="Normal 118 11" xfId="33425" xr:uid="{00000000-0005-0000-0000-0000B0820000}"/>
    <cellStyle name="Normal 118 11 2" xfId="33426" xr:uid="{00000000-0005-0000-0000-0000B1820000}"/>
    <cellStyle name="Normal 118 11 2 2" xfId="33427" xr:uid="{00000000-0005-0000-0000-0000B2820000}"/>
    <cellStyle name="Normal 118 11 3" xfId="33428" xr:uid="{00000000-0005-0000-0000-0000B3820000}"/>
    <cellStyle name="Normal 118 12" xfId="33429" xr:uid="{00000000-0005-0000-0000-0000B4820000}"/>
    <cellStyle name="Normal 118 12 2" xfId="33430" xr:uid="{00000000-0005-0000-0000-0000B5820000}"/>
    <cellStyle name="Normal 118 12 2 2" xfId="33431" xr:uid="{00000000-0005-0000-0000-0000B6820000}"/>
    <cellStyle name="Normal 118 12 3" xfId="33432" xr:uid="{00000000-0005-0000-0000-0000B7820000}"/>
    <cellStyle name="Normal 118 13" xfId="33433" xr:uid="{00000000-0005-0000-0000-0000B8820000}"/>
    <cellStyle name="Normal 118 13 2" xfId="33434" xr:uid="{00000000-0005-0000-0000-0000B9820000}"/>
    <cellStyle name="Normal 118 13 2 2" xfId="33435" xr:uid="{00000000-0005-0000-0000-0000BA820000}"/>
    <cellStyle name="Normal 118 13 3" xfId="33436" xr:uid="{00000000-0005-0000-0000-0000BB820000}"/>
    <cellStyle name="Normal 118 14" xfId="33437" xr:uid="{00000000-0005-0000-0000-0000BC820000}"/>
    <cellStyle name="Normal 118 14 2" xfId="33438" xr:uid="{00000000-0005-0000-0000-0000BD820000}"/>
    <cellStyle name="Normal 118 14 2 2" xfId="33439" xr:uid="{00000000-0005-0000-0000-0000BE820000}"/>
    <cellStyle name="Normal 118 14 3" xfId="33440" xr:uid="{00000000-0005-0000-0000-0000BF820000}"/>
    <cellStyle name="Normal 118 15" xfId="33441" xr:uid="{00000000-0005-0000-0000-0000C0820000}"/>
    <cellStyle name="Normal 118 15 2" xfId="33442" xr:uid="{00000000-0005-0000-0000-0000C1820000}"/>
    <cellStyle name="Normal 118 15 2 2" xfId="33443" xr:uid="{00000000-0005-0000-0000-0000C2820000}"/>
    <cellStyle name="Normal 118 15 3" xfId="33444" xr:uid="{00000000-0005-0000-0000-0000C3820000}"/>
    <cellStyle name="Normal 118 16" xfId="33445" xr:uid="{00000000-0005-0000-0000-0000C4820000}"/>
    <cellStyle name="Normal 118 16 2" xfId="33446" xr:uid="{00000000-0005-0000-0000-0000C5820000}"/>
    <cellStyle name="Normal 118 16 2 2" xfId="33447" xr:uid="{00000000-0005-0000-0000-0000C6820000}"/>
    <cellStyle name="Normal 118 16 3" xfId="33448" xr:uid="{00000000-0005-0000-0000-0000C7820000}"/>
    <cellStyle name="Normal 118 17" xfId="33449" xr:uid="{00000000-0005-0000-0000-0000C8820000}"/>
    <cellStyle name="Normal 118 17 2" xfId="33450" xr:uid="{00000000-0005-0000-0000-0000C9820000}"/>
    <cellStyle name="Normal 118 17 2 2" xfId="33451" xr:uid="{00000000-0005-0000-0000-0000CA820000}"/>
    <cellStyle name="Normal 118 17 3" xfId="33452" xr:uid="{00000000-0005-0000-0000-0000CB820000}"/>
    <cellStyle name="Normal 118 18" xfId="33453" xr:uid="{00000000-0005-0000-0000-0000CC820000}"/>
    <cellStyle name="Normal 118 18 2" xfId="33454" xr:uid="{00000000-0005-0000-0000-0000CD820000}"/>
    <cellStyle name="Normal 118 18 2 2" xfId="33455" xr:uid="{00000000-0005-0000-0000-0000CE820000}"/>
    <cellStyle name="Normal 118 18 3" xfId="33456" xr:uid="{00000000-0005-0000-0000-0000CF820000}"/>
    <cellStyle name="Normal 118 19" xfId="33457" xr:uid="{00000000-0005-0000-0000-0000D0820000}"/>
    <cellStyle name="Normal 118 19 2" xfId="33458" xr:uid="{00000000-0005-0000-0000-0000D1820000}"/>
    <cellStyle name="Normal 118 19 2 2" xfId="33459" xr:uid="{00000000-0005-0000-0000-0000D2820000}"/>
    <cellStyle name="Normal 118 19 3" xfId="33460" xr:uid="{00000000-0005-0000-0000-0000D3820000}"/>
    <cellStyle name="Normal 118 2" xfId="33461" xr:uid="{00000000-0005-0000-0000-0000D4820000}"/>
    <cellStyle name="Normal 118 2 2" xfId="33462" xr:uid="{00000000-0005-0000-0000-0000D5820000}"/>
    <cellStyle name="Normal 118 2 2 2" xfId="33463" xr:uid="{00000000-0005-0000-0000-0000D6820000}"/>
    <cellStyle name="Normal 118 2 3" xfId="33464" xr:uid="{00000000-0005-0000-0000-0000D7820000}"/>
    <cellStyle name="Normal 118 20" xfId="33465" xr:uid="{00000000-0005-0000-0000-0000D8820000}"/>
    <cellStyle name="Normal 118 20 2" xfId="33466" xr:uid="{00000000-0005-0000-0000-0000D9820000}"/>
    <cellStyle name="Normal 118 20 2 2" xfId="33467" xr:uid="{00000000-0005-0000-0000-0000DA820000}"/>
    <cellStyle name="Normal 118 20 3" xfId="33468" xr:uid="{00000000-0005-0000-0000-0000DB820000}"/>
    <cellStyle name="Normal 118 21" xfId="33469" xr:uid="{00000000-0005-0000-0000-0000DC820000}"/>
    <cellStyle name="Normal 118 21 2" xfId="33470" xr:uid="{00000000-0005-0000-0000-0000DD820000}"/>
    <cellStyle name="Normal 118 21 2 2" xfId="33471" xr:uid="{00000000-0005-0000-0000-0000DE820000}"/>
    <cellStyle name="Normal 118 21 3" xfId="33472" xr:uid="{00000000-0005-0000-0000-0000DF820000}"/>
    <cellStyle name="Normal 118 22" xfId="33473" xr:uid="{00000000-0005-0000-0000-0000E0820000}"/>
    <cellStyle name="Normal 118 22 2" xfId="33474" xr:uid="{00000000-0005-0000-0000-0000E1820000}"/>
    <cellStyle name="Normal 118 22 2 2" xfId="33475" xr:uid="{00000000-0005-0000-0000-0000E2820000}"/>
    <cellStyle name="Normal 118 22 3" xfId="33476" xr:uid="{00000000-0005-0000-0000-0000E3820000}"/>
    <cellStyle name="Normal 118 23" xfId="33477" xr:uid="{00000000-0005-0000-0000-0000E4820000}"/>
    <cellStyle name="Normal 118 23 2" xfId="33478" xr:uid="{00000000-0005-0000-0000-0000E5820000}"/>
    <cellStyle name="Normal 118 23 2 2" xfId="33479" xr:uid="{00000000-0005-0000-0000-0000E6820000}"/>
    <cellStyle name="Normal 118 23 3" xfId="33480" xr:uid="{00000000-0005-0000-0000-0000E7820000}"/>
    <cellStyle name="Normal 118 24" xfId="33481" xr:uid="{00000000-0005-0000-0000-0000E8820000}"/>
    <cellStyle name="Normal 118 24 2" xfId="33482" xr:uid="{00000000-0005-0000-0000-0000E9820000}"/>
    <cellStyle name="Normal 118 24 2 2" xfId="33483" xr:uid="{00000000-0005-0000-0000-0000EA820000}"/>
    <cellStyle name="Normal 118 24 3" xfId="33484" xr:uid="{00000000-0005-0000-0000-0000EB820000}"/>
    <cellStyle name="Normal 118 25" xfId="33485" xr:uid="{00000000-0005-0000-0000-0000EC820000}"/>
    <cellStyle name="Normal 118 25 2" xfId="33486" xr:uid="{00000000-0005-0000-0000-0000ED820000}"/>
    <cellStyle name="Normal 118 25 2 2" xfId="33487" xr:uid="{00000000-0005-0000-0000-0000EE820000}"/>
    <cellStyle name="Normal 118 25 3" xfId="33488" xr:uid="{00000000-0005-0000-0000-0000EF820000}"/>
    <cellStyle name="Normal 118 26" xfId="33489" xr:uid="{00000000-0005-0000-0000-0000F0820000}"/>
    <cellStyle name="Normal 118 26 2" xfId="33490" xr:uid="{00000000-0005-0000-0000-0000F1820000}"/>
    <cellStyle name="Normal 118 26 2 2" xfId="33491" xr:uid="{00000000-0005-0000-0000-0000F2820000}"/>
    <cellStyle name="Normal 118 26 3" xfId="33492" xr:uid="{00000000-0005-0000-0000-0000F3820000}"/>
    <cellStyle name="Normal 118 27" xfId="33493" xr:uid="{00000000-0005-0000-0000-0000F4820000}"/>
    <cellStyle name="Normal 118 27 2" xfId="33494" xr:uid="{00000000-0005-0000-0000-0000F5820000}"/>
    <cellStyle name="Normal 118 27 2 2" xfId="33495" xr:uid="{00000000-0005-0000-0000-0000F6820000}"/>
    <cellStyle name="Normal 118 27 3" xfId="33496" xr:uid="{00000000-0005-0000-0000-0000F7820000}"/>
    <cellStyle name="Normal 118 28" xfId="33497" xr:uid="{00000000-0005-0000-0000-0000F8820000}"/>
    <cellStyle name="Normal 118 28 2" xfId="33498" xr:uid="{00000000-0005-0000-0000-0000F9820000}"/>
    <cellStyle name="Normal 118 28 2 2" xfId="33499" xr:uid="{00000000-0005-0000-0000-0000FA820000}"/>
    <cellStyle name="Normal 118 28 3" xfId="33500" xr:uid="{00000000-0005-0000-0000-0000FB820000}"/>
    <cellStyle name="Normal 118 29" xfId="33501" xr:uid="{00000000-0005-0000-0000-0000FC820000}"/>
    <cellStyle name="Normal 118 29 2" xfId="33502" xr:uid="{00000000-0005-0000-0000-0000FD820000}"/>
    <cellStyle name="Normal 118 29 2 2" xfId="33503" xr:uid="{00000000-0005-0000-0000-0000FE820000}"/>
    <cellStyle name="Normal 118 29 3" xfId="33504" xr:uid="{00000000-0005-0000-0000-0000FF820000}"/>
    <cellStyle name="Normal 118 3" xfId="33505" xr:uid="{00000000-0005-0000-0000-000000830000}"/>
    <cellStyle name="Normal 118 3 2" xfId="33506" xr:uid="{00000000-0005-0000-0000-000001830000}"/>
    <cellStyle name="Normal 118 3 2 2" xfId="33507" xr:uid="{00000000-0005-0000-0000-000002830000}"/>
    <cellStyle name="Normal 118 3 3" xfId="33508" xr:uid="{00000000-0005-0000-0000-000003830000}"/>
    <cellStyle name="Normal 118 30" xfId="33509" xr:uid="{00000000-0005-0000-0000-000004830000}"/>
    <cellStyle name="Normal 118 30 2" xfId="33510" xr:uid="{00000000-0005-0000-0000-000005830000}"/>
    <cellStyle name="Normal 118 30 2 2" xfId="33511" xr:uid="{00000000-0005-0000-0000-000006830000}"/>
    <cellStyle name="Normal 118 30 3" xfId="33512" xr:uid="{00000000-0005-0000-0000-000007830000}"/>
    <cellStyle name="Normal 118 31" xfId="33513" xr:uid="{00000000-0005-0000-0000-000008830000}"/>
    <cellStyle name="Normal 118 31 2" xfId="33514" xr:uid="{00000000-0005-0000-0000-000009830000}"/>
    <cellStyle name="Normal 118 31 2 2" xfId="33515" xr:uid="{00000000-0005-0000-0000-00000A830000}"/>
    <cellStyle name="Normal 118 31 3" xfId="33516" xr:uid="{00000000-0005-0000-0000-00000B830000}"/>
    <cellStyle name="Normal 118 32" xfId="33517" xr:uid="{00000000-0005-0000-0000-00000C830000}"/>
    <cellStyle name="Normal 118 32 2" xfId="33518" xr:uid="{00000000-0005-0000-0000-00000D830000}"/>
    <cellStyle name="Normal 118 32 2 2" xfId="33519" xr:uid="{00000000-0005-0000-0000-00000E830000}"/>
    <cellStyle name="Normal 118 32 3" xfId="33520" xr:uid="{00000000-0005-0000-0000-00000F830000}"/>
    <cellStyle name="Normal 118 33" xfId="33521" xr:uid="{00000000-0005-0000-0000-000010830000}"/>
    <cellStyle name="Normal 118 33 2" xfId="33522" xr:uid="{00000000-0005-0000-0000-000011830000}"/>
    <cellStyle name="Normal 118 33 2 2" xfId="33523" xr:uid="{00000000-0005-0000-0000-000012830000}"/>
    <cellStyle name="Normal 118 33 3" xfId="33524" xr:uid="{00000000-0005-0000-0000-000013830000}"/>
    <cellStyle name="Normal 118 34" xfId="33525" xr:uid="{00000000-0005-0000-0000-000014830000}"/>
    <cellStyle name="Normal 118 34 2" xfId="33526" xr:uid="{00000000-0005-0000-0000-000015830000}"/>
    <cellStyle name="Normal 118 34 2 2" xfId="33527" xr:uid="{00000000-0005-0000-0000-000016830000}"/>
    <cellStyle name="Normal 118 34 3" xfId="33528" xr:uid="{00000000-0005-0000-0000-000017830000}"/>
    <cellStyle name="Normal 118 35" xfId="33529" xr:uid="{00000000-0005-0000-0000-000018830000}"/>
    <cellStyle name="Normal 118 35 2" xfId="33530" xr:uid="{00000000-0005-0000-0000-000019830000}"/>
    <cellStyle name="Normal 118 35 2 2" xfId="33531" xr:uid="{00000000-0005-0000-0000-00001A830000}"/>
    <cellStyle name="Normal 118 35 3" xfId="33532" xr:uid="{00000000-0005-0000-0000-00001B830000}"/>
    <cellStyle name="Normal 118 36" xfId="33533" xr:uid="{00000000-0005-0000-0000-00001C830000}"/>
    <cellStyle name="Normal 118 36 2" xfId="33534" xr:uid="{00000000-0005-0000-0000-00001D830000}"/>
    <cellStyle name="Normal 118 36 2 2" xfId="33535" xr:uid="{00000000-0005-0000-0000-00001E830000}"/>
    <cellStyle name="Normal 118 36 3" xfId="33536" xr:uid="{00000000-0005-0000-0000-00001F830000}"/>
    <cellStyle name="Normal 118 4" xfId="33537" xr:uid="{00000000-0005-0000-0000-000020830000}"/>
    <cellStyle name="Normal 118 4 2" xfId="33538" xr:uid="{00000000-0005-0000-0000-000021830000}"/>
    <cellStyle name="Normal 118 4 2 2" xfId="33539" xr:uid="{00000000-0005-0000-0000-000022830000}"/>
    <cellStyle name="Normal 118 4 3" xfId="33540" xr:uid="{00000000-0005-0000-0000-000023830000}"/>
    <cellStyle name="Normal 118 5" xfId="33541" xr:uid="{00000000-0005-0000-0000-000024830000}"/>
    <cellStyle name="Normal 118 5 2" xfId="33542" xr:uid="{00000000-0005-0000-0000-000025830000}"/>
    <cellStyle name="Normal 118 5 2 2" xfId="33543" xr:uid="{00000000-0005-0000-0000-000026830000}"/>
    <cellStyle name="Normal 118 5 3" xfId="33544" xr:uid="{00000000-0005-0000-0000-000027830000}"/>
    <cellStyle name="Normal 118 6" xfId="33545" xr:uid="{00000000-0005-0000-0000-000028830000}"/>
    <cellStyle name="Normal 118 6 2" xfId="33546" xr:uid="{00000000-0005-0000-0000-000029830000}"/>
    <cellStyle name="Normal 118 6 2 2" xfId="33547" xr:uid="{00000000-0005-0000-0000-00002A830000}"/>
    <cellStyle name="Normal 118 6 3" xfId="33548" xr:uid="{00000000-0005-0000-0000-00002B830000}"/>
    <cellStyle name="Normal 118 7" xfId="33549" xr:uid="{00000000-0005-0000-0000-00002C830000}"/>
    <cellStyle name="Normal 118 7 2" xfId="33550" xr:uid="{00000000-0005-0000-0000-00002D830000}"/>
    <cellStyle name="Normal 118 7 2 2" xfId="33551" xr:uid="{00000000-0005-0000-0000-00002E830000}"/>
    <cellStyle name="Normal 118 7 3" xfId="33552" xr:uid="{00000000-0005-0000-0000-00002F830000}"/>
    <cellStyle name="Normal 118 8" xfId="33553" xr:uid="{00000000-0005-0000-0000-000030830000}"/>
    <cellStyle name="Normal 118 8 2" xfId="33554" xr:uid="{00000000-0005-0000-0000-000031830000}"/>
    <cellStyle name="Normal 118 8 2 2" xfId="33555" xr:uid="{00000000-0005-0000-0000-000032830000}"/>
    <cellStyle name="Normal 118 8 3" xfId="33556" xr:uid="{00000000-0005-0000-0000-000033830000}"/>
    <cellStyle name="Normal 118 9" xfId="33557" xr:uid="{00000000-0005-0000-0000-000034830000}"/>
    <cellStyle name="Normal 118 9 2" xfId="33558" xr:uid="{00000000-0005-0000-0000-000035830000}"/>
    <cellStyle name="Normal 118 9 2 2" xfId="33559" xr:uid="{00000000-0005-0000-0000-000036830000}"/>
    <cellStyle name="Normal 118 9 3" xfId="33560" xr:uid="{00000000-0005-0000-0000-000037830000}"/>
    <cellStyle name="Normal 119" xfId="33561" xr:uid="{00000000-0005-0000-0000-000038830000}"/>
    <cellStyle name="Normal 119 2" xfId="33562" xr:uid="{00000000-0005-0000-0000-000039830000}"/>
    <cellStyle name="Normal 12" xfId="33563" xr:uid="{00000000-0005-0000-0000-00003A830000}"/>
    <cellStyle name="Normal 12 2" xfId="33564" xr:uid="{00000000-0005-0000-0000-00003B830000}"/>
    <cellStyle name="Normal 12 2 2" xfId="33565" xr:uid="{00000000-0005-0000-0000-00003C830000}"/>
    <cellStyle name="Normal 12 3" xfId="33566" xr:uid="{00000000-0005-0000-0000-00003D830000}"/>
    <cellStyle name="Normal 120" xfId="33567" xr:uid="{00000000-0005-0000-0000-00003E830000}"/>
    <cellStyle name="Normal 120 2" xfId="33568" xr:uid="{00000000-0005-0000-0000-00003F830000}"/>
    <cellStyle name="Normal 121" xfId="33569" xr:uid="{00000000-0005-0000-0000-000040830000}"/>
    <cellStyle name="Normal 121 2" xfId="33570" xr:uid="{00000000-0005-0000-0000-000041830000}"/>
    <cellStyle name="Normal 122" xfId="33571" xr:uid="{00000000-0005-0000-0000-000042830000}"/>
    <cellStyle name="Normal 122 2" xfId="33572" xr:uid="{00000000-0005-0000-0000-000043830000}"/>
    <cellStyle name="Normal 123" xfId="33573" xr:uid="{00000000-0005-0000-0000-000044830000}"/>
    <cellStyle name="Normal 123 2" xfId="33574" xr:uid="{00000000-0005-0000-0000-000045830000}"/>
    <cellStyle name="Normal 124" xfId="33575" xr:uid="{00000000-0005-0000-0000-000046830000}"/>
    <cellStyle name="Normal 124 2" xfId="33576" xr:uid="{00000000-0005-0000-0000-000047830000}"/>
    <cellStyle name="Normal 125" xfId="33577" xr:uid="{00000000-0005-0000-0000-000048830000}"/>
    <cellStyle name="Normal 125 2" xfId="33578" xr:uid="{00000000-0005-0000-0000-000049830000}"/>
    <cellStyle name="Normal 126" xfId="33579" xr:uid="{00000000-0005-0000-0000-00004A830000}"/>
    <cellStyle name="Normal 126 2" xfId="33580" xr:uid="{00000000-0005-0000-0000-00004B830000}"/>
    <cellStyle name="Normal 127" xfId="33581" xr:uid="{00000000-0005-0000-0000-00004C830000}"/>
    <cellStyle name="Normal 127 2" xfId="33582" xr:uid="{00000000-0005-0000-0000-00004D830000}"/>
    <cellStyle name="Normal 128" xfId="33583" xr:uid="{00000000-0005-0000-0000-00004E830000}"/>
    <cellStyle name="Normal 128 2" xfId="33584" xr:uid="{00000000-0005-0000-0000-00004F830000}"/>
    <cellStyle name="Normal 129" xfId="33585" xr:uid="{00000000-0005-0000-0000-000050830000}"/>
    <cellStyle name="Normal 129 2" xfId="33586" xr:uid="{00000000-0005-0000-0000-000051830000}"/>
    <cellStyle name="Normal 13" xfId="33587" xr:uid="{00000000-0005-0000-0000-000052830000}"/>
    <cellStyle name="Normal 13 2" xfId="33588" xr:uid="{00000000-0005-0000-0000-000053830000}"/>
    <cellStyle name="Normal 13 2 2" xfId="33589" xr:uid="{00000000-0005-0000-0000-000054830000}"/>
    <cellStyle name="Normal 13 3" xfId="33590" xr:uid="{00000000-0005-0000-0000-000055830000}"/>
    <cellStyle name="Normal 130" xfId="33591" xr:uid="{00000000-0005-0000-0000-000056830000}"/>
    <cellStyle name="Normal 130 2" xfId="33592" xr:uid="{00000000-0005-0000-0000-000057830000}"/>
    <cellStyle name="Normal 131" xfId="33593" xr:uid="{00000000-0005-0000-0000-000058830000}"/>
    <cellStyle name="Normal 131 2" xfId="33594" xr:uid="{00000000-0005-0000-0000-000059830000}"/>
    <cellStyle name="Normal 132" xfId="33595" xr:uid="{00000000-0005-0000-0000-00005A830000}"/>
    <cellStyle name="Normal 132 2" xfId="33596" xr:uid="{00000000-0005-0000-0000-00005B830000}"/>
    <cellStyle name="Normal 133" xfId="33597" xr:uid="{00000000-0005-0000-0000-00005C830000}"/>
    <cellStyle name="Normal 133 2" xfId="33598" xr:uid="{00000000-0005-0000-0000-00005D830000}"/>
    <cellStyle name="Normal 134" xfId="33599" xr:uid="{00000000-0005-0000-0000-00005E830000}"/>
    <cellStyle name="Normal 134 2" xfId="33600" xr:uid="{00000000-0005-0000-0000-00005F830000}"/>
    <cellStyle name="Normal 135" xfId="33601" xr:uid="{00000000-0005-0000-0000-000060830000}"/>
    <cellStyle name="Normal 135 2" xfId="33602" xr:uid="{00000000-0005-0000-0000-000061830000}"/>
    <cellStyle name="Normal 136" xfId="33603" xr:uid="{00000000-0005-0000-0000-000062830000}"/>
    <cellStyle name="Normal 136 2" xfId="33604" xr:uid="{00000000-0005-0000-0000-000063830000}"/>
    <cellStyle name="Normal 137" xfId="33605" xr:uid="{00000000-0005-0000-0000-000064830000}"/>
    <cellStyle name="Normal 137 2" xfId="33606" xr:uid="{00000000-0005-0000-0000-000065830000}"/>
    <cellStyle name="Normal 138" xfId="33607" xr:uid="{00000000-0005-0000-0000-000066830000}"/>
    <cellStyle name="Normal 138 2" xfId="33608" xr:uid="{00000000-0005-0000-0000-000067830000}"/>
    <cellStyle name="Normal 139" xfId="33609" xr:uid="{00000000-0005-0000-0000-000068830000}"/>
    <cellStyle name="Normal 139 10" xfId="33610" xr:uid="{00000000-0005-0000-0000-000069830000}"/>
    <cellStyle name="Normal 139 10 2" xfId="33611" xr:uid="{00000000-0005-0000-0000-00006A830000}"/>
    <cellStyle name="Normal 139 10 2 2" xfId="33612" xr:uid="{00000000-0005-0000-0000-00006B830000}"/>
    <cellStyle name="Normal 139 10 3" xfId="33613" xr:uid="{00000000-0005-0000-0000-00006C830000}"/>
    <cellStyle name="Normal 139 11" xfId="33614" xr:uid="{00000000-0005-0000-0000-00006D830000}"/>
    <cellStyle name="Normal 139 11 2" xfId="33615" xr:uid="{00000000-0005-0000-0000-00006E830000}"/>
    <cellStyle name="Normal 139 11 2 2" xfId="33616" xr:uid="{00000000-0005-0000-0000-00006F830000}"/>
    <cellStyle name="Normal 139 11 3" xfId="33617" xr:uid="{00000000-0005-0000-0000-000070830000}"/>
    <cellStyle name="Normal 139 12" xfId="33618" xr:uid="{00000000-0005-0000-0000-000071830000}"/>
    <cellStyle name="Normal 139 12 2" xfId="33619" xr:uid="{00000000-0005-0000-0000-000072830000}"/>
    <cellStyle name="Normal 139 12 2 2" xfId="33620" xr:uid="{00000000-0005-0000-0000-000073830000}"/>
    <cellStyle name="Normal 139 12 3" xfId="33621" xr:uid="{00000000-0005-0000-0000-000074830000}"/>
    <cellStyle name="Normal 139 13" xfId="33622" xr:uid="{00000000-0005-0000-0000-000075830000}"/>
    <cellStyle name="Normal 139 13 2" xfId="33623" xr:uid="{00000000-0005-0000-0000-000076830000}"/>
    <cellStyle name="Normal 139 13 2 2" xfId="33624" xr:uid="{00000000-0005-0000-0000-000077830000}"/>
    <cellStyle name="Normal 139 13 3" xfId="33625" xr:uid="{00000000-0005-0000-0000-000078830000}"/>
    <cellStyle name="Normal 139 14" xfId="33626" xr:uid="{00000000-0005-0000-0000-000079830000}"/>
    <cellStyle name="Normal 139 14 2" xfId="33627" xr:uid="{00000000-0005-0000-0000-00007A830000}"/>
    <cellStyle name="Normal 139 14 2 2" xfId="33628" xr:uid="{00000000-0005-0000-0000-00007B830000}"/>
    <cellStyle name="Normal 139 14 3" xfId="33629" xr:uid="{00000000-0005-0000-0000-00007C830000}"/>
    <cellStyle name="Normal 139 15" xfId="33630" xr:uid="{00000000-0005-0000-0000-00007D830000}"/>
    <cellStyle name="Normal 139 15 2" xfId="33631" xr:uid="{00000000-0005-0000-0000-00007E830000}"/>
    <cellStyle name="Normal 139 15 2 2" xfId="33632" xr:uid="{00000000-0005-0000-0000-00007F830000}"/>
    <cellStyle name="Normal 139 15 3" xfId="33633" xr:uid="{00000000-0005-0000-0000-000080830000}"/>
    <cellStyle name="Normal 139 16" xfId="33634" xr:uid="{00000000-0005-0000-0000-000081830000}"/>
    <cellStyle name="Normal 139 16 2" xfId="33635" xr:uid="{00000000-0005-0000-0000-000082830000}"/>
    <cellStyle name="Normal 139 16 2 2" xfId="33636" xr:uid="{00000000-0005-0000-0000-000083830000}"/>
    <cellStyle name="Normal 139 16 3" xfId="33637" xr:uid="{00000000-0005-0000-0000-000084830000}"/>
    <cellStyle name="Normal 139 17" xfId="33638" xr:uid="{00000000-0005-0000-0000-000085830000}"/>
    <cellStyle name="Normal 139 17 2" xfId="33639" xr:uid="{00000000-0005-0000-0000-000086830000}"/>
    <cellStyle name="Normal 139 17 2 2" xfId="33640" xr:uid="{00000000-0005-0000-0000-000087830000}"/>
    <cellStyle name="Normal 139 17 3" xfId="33641" xr:uid="{00000000-0005-0000-0000-000088830000}"/>
    <cellStyle name="Normal 139 18" xfId="33642" xr:uid="{00000000-0005-0000-0000-000089830000}"/>
    <cellStyle name="Normal 139 18 2" xfId="33643" xr:uid="{00000000-0005-0000-0000-00008A830000}"/>
    <cellStyle name="Normal 139 18 2 2" xfId="33644" xr:uid="{00000000-0005-0000-0000-00008B830000}"/>
    <cellStyle name="Normal 139 18 3" xfId="33645" xr:uid="{00000000-0005-0000-0000-00008C830000}"/>
    <cellStyle name="Normal 139 19" xfId="33646" xr:uid="{00000000-0005-0000-0000-00008D830000}"/>
    <cellStyle name="Normal 139 19 2" xfId="33647" xr:uid="{00000000-0005-0000-0000-00008E830000}"/>
    <cellStyle name="Normal 139 19 2 2" xfId="33648" xr:uid="{00000000-0005-0000-0000-00008F830000}"/>
    <cellStyle name="Normal 139 19 3" xfId="33649" xr:uid="{00000000-0005-0000-0000-000090830000}"/>
    <cellStyle name="Normal 139 2" xfId="33650" xr:uid="{00000000-0005-0000-0000-000091830000}"/>
    <cellStyle name="Normal 139 2 2" xfId="33651" xr:uid="{00000000-0005-0000-0000-000092830000}"/>
    <cellStyle name="Normal 139 2 2 2" xfId="33652" xr:uid="{00000000-0005-0000-0000-000093830000}"/>
    <cellStyle name="Normal 139 2 3" xfId="33653" xr:uid="{00000000-0005-0000-0000-000094830000}"/>
    <cellStyle name="Normal 139 20" xfId="33654" xr:uid="{00000000-0005-0000-0000-000095830000}"/>
    <cellStyle name="Normal 139 20 2" xfId="33655" xr:uid="{00000000-0005-0000-0000-000096830000}"/>
    <cellStyle name="Normal 139 20 2 2" xfId="33656" xr:uid="{00000000-0005-0000-0000-000097830000}"/>
    <cellStyle name="Normal 139 20 3" xfId="33657" xr:uid="{00000000-0005-0000-0000-000098830000}"/>
    <cellStyle name="Normal 139 21" xfId="33658" xr:uid="{00000000-0005-0000-0000-000099830000}"/>
    <cellStyle name="Normal 139 21 2" xfId="33659" xr:uid="{00000000-0005-0000-0000-00009A830000}"/>
    <cellStyle name="Normal 139 21 2 2" xfId="33660" xr:uid="{00000000-0005-0000-0000-00009B830000}"/>
    <cellStyle name="Normal 139 21 3" xfId="33661" xr:uid="{00000000-0005-0000-0000-00009C830000}"/>
    <cellStyle name="Normal 139 22" xfId="33662" xr:uid="{00000000-0005-0000-0000-00009D830000}"/>
    <cellStyle name="Normal 139 22 2" xfId="33663" xr:uid="{00000000-0005-0000-0000-00009E830000}"/>
    <cellStyle name="Normal 139 22 2 2" xfId="33664" xr:uid="{00000000-0005-0000-0000-00009F830000}"/>
    <cellStyle name="Normal 139 22 3" xfId="33665" xr:uid="{00000000-0005-0000-0000-0000A0830000}"/>
    <cellStyle name="Normal 139 23" xfId="33666" xr:uid="{00000000-0005-0000-0000-0000A1830000}"/>
    <cellStyle name="Normal 139 23 2" xfId="33667" xr:uid="{00000000-0005-0000-0000-0000A2830000}"/>
    <cellStyle name="Normal 139 23 2 2" xfId="33668" xr:uid="{00000000-0005-0000-0000-0000A3830000}"/>
    <cellStyle name="Normal 139 23 3" xfId="33669" xr:uid="{00000000-0005-0000-0000-0000A4830000}"/>
    <cellStyle name="Normal 139 24" xfId="33670" xr:uid="{00000000-0005-0000-0000-0000A5830000}"/>
    <cellStyle name="Normal 139 24 2" xfId="33671" xr:uid="{00000000-0005-0000-0000-0000A6830000}"/>
    <cellStyle name="Normal 139 24 2 2" xfId="33672" xr:uid="{00000000-0005-0000-0000-0000A7830000}"/>
    <cellStyle name="Normal 139 24 3" xfId="33673" xr:uid="{00000000-0005-0000-0000-0000A8830000}"/>
    <cellStyle name="Normal 139 25" xfId="33674" xr:uid="{00000000-0005-0000-0000-0000A9830000}"/>
    <cellStyle name="Normal 139 25 2" xfId="33675" xr:uid="{00000000-0005-0000-0000-0000AA830000}"/>
    <cellStyle name="Normal 139 25 2 2" xfId="33676" xr:uid="{00000000-0005-0000-0000-0000AB830000}"/>
    <cellStyle name="Normal 139 25 3" xfId="33677" xr:uid="{00000000-0005-0000-0000-0000AC830000}"/>
    <cellStyle name="Normal 139 26" xfId="33678" xr:uid="{00000000-0005-0000-0000-0000AD830000}"/>
    <cellStyle name="Normal 139 26 2" xfId="33679" xr:uid="{00000000-0005-0000-0000-0000AE830000}"/>
    <cellStyle name="Normal 139 26 2 2" xfId="33680" xr:uid="{00000000-0005-0000-0000-0000AF830000}"/>
    <cellStyle name="Normal 139 26 3" xfId="33681" xr:uid="{00000000-0005-0000-0000-0000B0830000}"/>
    <cellStyle name="Normal 139 27" xfId="33682" xr:uid="{00000000-0005-0000-0000-0000B1830000}"/>
    <cellStyle name="Normal 139 27 2" xfId="33683" xr:uid="{00000000-0005-0000-0000-0000B2830000}"/>
    <cellStyle name="Normal 139 27 2 2" xfId="33684" xr:uid="{00000000-0005-0000-0000-0000B3830000}"/>
    <cellStyle name="Normal 139 27 3" xfId="33685" xr:uid="{00000000-0005-0000-0000-0000B4830000}"/>
    <cellStyle name="Normal 139 28" xfId="33686" xr:uid="{00000000-0005-0000-0000-0000B5830000}"/>
    <cellStyle name="Normal 139 28 2" xfId="33687" xr:uid="{00000000-0005-0000-0000-0000B6830000}"/>
    <cellStyle name="Normal 139 28 2 2" xfId="33688" xr:uid="{00000000-0005-0000-0000-0000B7830000}"/>
    <cellStyle name="Normal 139 28 3" xfId="33689" xr:uid="{00000000-0005-0000-0000-0000B8830000}"/>
    <cellStyle name="Normal 139 29" xfId="33690" xr:uid="{00000000-0005-0000-0000-0000B9830000}"/>
    <cellStyle name="Normal 139 29 2" xfId="33691" xr:uid="{00000000-0005-0000-0000-0000BA830000}"/>
    <cellStyle name="Normal 139 29 2 2" xfId="33692" xr:uid="{00000000-0005-0000-0000-0000BB830000}"/>
    <cellStyle name="Normal 139 29 3" xfId="33693" xr:uid="{00000000-0005-0000-0000-0000BC830000}"/>
    <cellStyle name="Normal 139 3" xfId="33694" xr:uid="{00000000-0005-0000-0000-0000BD830000}"/>
    <cellStyle name="Normal 139 3 2" xfId="33695" xr:uid="{00000000-0005-0000-0000-0000BE830000}"/>
    <cellStyle name="Normal 139 3 2 2" xfId="33696" xr:uid="{00000000-0005-0000-0000-0000BF830000}"/>
    <cellStyle name="Normal 139 3 3" xfId="33697" xr:uid="{00000000-0005-0000-0000-0000C0830000}"/>
    <cellStyle name="Normal 139 30" xfId="33698" xr:uid="{00000000-0005-0000-0000-0000C1830000}"/>
    <cellStyle name="Normal 139 30 2" xfId="33699" xr:uid="{00000000-0005-0000-0000-0000C2830000}"/>
    <cellStyle name="Normal 139 30 2 2" xfId="33700" xr:uid="{00000000-0005-0000-0000-0000C3830000}"/>
    <cellStyle name="Normal 139 30 3" xfId="33701" xr:uid="{00000000-0005-0000-0000-0000C4830000}"/>
    <cellStyle name="Normal 139 31" xfId="33702" xr:uid="{00000000-0005-0000-0000-0000C5830000}"/>
    <cellStyle name="Normal 139 31 2" xfId="33703" xr:uid="{00000000-0005-0000-0000-0000C6830000}"/>
    <cellStyle name="Normal 139 31 2 2" xfId="33704" xr:uid="{00000000-0005-0000-0000-0000C7830000}"/>
    <cellStyle name="Normal 139 31 3" xfId="33705" xr:uid="{00000000-0005-0000-0000-0000C8830000}"/>
    <cellStyle name="Normal 139 32" xfId="33706" xr:uid="{00000000-0005-0000-0000-0000C9830000}"/>
    <cellStyle name="Normal 139 32 2" xfId="33707" xr:uid="{00000000-0005-0000-0000-0000CA830000}"/>
    <cellStyle name="Normal 139 32 2 2" xfId="33708" xr:uid="{00000000-0005-0000-0000-0000CB830000}"/>
    <cellStyle name="Normal 139 32 3" xfId="33709" xr:uid="{00000000-0005-0000-0000-0000CC830000}"/>
    <cellStyle name="Normal 139 33" xfId="33710" xr:uid="{00000000-0005-0000-0000-0000CD830000}"/>
    <cellStyle name="Normal 139 33 2" xfId="33711" xr:uid="{00000000-0005-0000-0000-0000CE830000}"/>
    <cellStyle name="Normal 139 33 2 2" xfId="33712" xr:uid="{00000000-0005-0000-0000-0000CF830000}"/>
    <cellStyle name="Normal 139 33 3" xfId="33713" xr:uid="{00000000-0005-0000-0000-0000D0830000}"/>
    <cellStyle name="Normal 139 34" xfId="33714" xr:uid="{00000000-0005-0000-0000-0000D1830000}"/>
    <cellStyle name="Normal 139 34 2" xfId="33715" xr:uid="{00000000-0005-0000-0000-0000D2830000}"/>
    <cellStyle name="Normal 139 34 2 2" xfId="33716" xr:uid="{00000000-0005-0000-0000-0000D3830000}"/>
    <cellStyle name="Normal 139 34 3" xfId="33717" xr:uid="{00000000-0005-0000-0000-0000D4830000}"/>
    <cellStyle name="Normal 139 35" xfId="33718" xr:uid="{00000000-0005-0000-0000-0000D5830000}"/>
    <cellStyle name="Normal 139 35 2" xfId="33719" xr:uid="{00000000-0005-0000-0000-0000D6830000}"/>
    <cellStyle name="Normal 139 35 2 2" xfId="33720" xr:uid="{00000000-0005-0000-0000-0000D7830000}"/>
    <cellStyle name="Normal 139 35 3" xfId="33721" xr:uid="{00000000-0005-0000-0000-0000D8830000}"/>
    <cellStyle name="Normal 139 36" xfId="33722" xr:uid="{00000000-0005-0000-0000-0000D9830000}"/>
    <cellStyle name="Normal 139 36 2" xfId="33723" xr:uid="{00000000-0005-0000-0000-0000DA830000}"/>
    <cellStyle name="Normal 139 36 2 2" xfId="33724" xr:uid="{00000000-0005-0000-0000-0000DB830000}"/>
    <cellStyle name="Normal 139 36 3" xfId="33725" xr:uid="{00000000-0005-0000-0000-0000DC830000}"/>
    <cellStyle name="Normal 139 4" xfId="33726" xr:uid="{00000000-0005-0000-0000-0000DD830000}"/>
    <cellStyle name="Normal 139 4 2" xfId="33727" xr:uid="{00000000-0005-0000-0000-0000DE830000}"/>
    <cellStyle name="Normal 139 4 2 2" xfId="33728" xr:uid="{00000000-0005-0000-0000-0000DF830000}"/>
    <cellStyle name="Normal 139 4 3" xfId="33729" xr:uid="{00000000-0005-0000-0000-0000E0830000}"/>
    <cellStyle name="Normal 139 5" xfId="33730" xr:uid="{00000000-0005-0000-0000-0000E1830000}"/>
    <cellStyle name="Normal 139 5 2" xfId="33731" xr:uid="{00000000-0005-0000-0000-0000E2830000}"/>
    <cellStyle name="Normal 139 5 2 2" xfId="33732" xr:uid="{00000000-0005-0000-0000-0000E3830000}"/>
    <cellStyle name="Normal 139 5 3" xfId="33733" xr:uid="{00000000-0005-0000-0000-0000E4830000}"/>
    <cellStyle name="Normal 139 6" xfId="33734" xr:uid="{00000000-0005-0000-0000-0000E5830000}"/>
    <cellStyle name="Normal 139 6 2" xfId="33735" xr:uid="{00000000-0005-0000-0000-0000E6830000}"/>
    <cellStyle name="Normal 139 6 2 2" xfId="33736" xr:uid="{00000000-0005-0000-0000-0000E7830000}"/>
    <cellStyle name="Normal 139 6 3" xfId="33737" xr:uid="{00000000-0005-0000-0000-0000E8830000}"/>
    <cellStyle name="Normal 139 7" xfId="33738" xr:uid="{00000000-0005-0000-0000-0000E9830000}"/>
    <cellStyle name="Normal 139 7 2" xfId="33739" xr:uid="{00000000-0005-0000-0000-0000EA830000}"/>
    <cellStyle name="Normal 139 7 2 2" xfId="33740" xr:uid="{00000000-0005-0000-0000-0000EB830000}"/>
    <cellStyle name="Normal 139 7 3" xfId="33741" xr:uid="{00000000-0005-0000-0000-0000EC830000}"/>
    <cellStyle name="Normal 139 8" xfId="33742" xr:uid="{00000000-0005-0000-0000-0000ED830000}"/>
    <cellStyle name="Normal 139 8 2" xfId="33743" xr:uid="{00000000-0005-0000-0000-0000EE830000}"/>
    <cellStyle name="Normal 139 8 2 2" xfId="33744" xr:uid="{00000000-0005-0000-0000-0000EF830000}"/>
    <cellStyle name="Normal 139 8 3" xfId="33745" xr:uid="{00000000-0005-0000-0000-0000F0830000}"/>
    <cellStyle name="Normal 139 9" xfId="33746" xr:uid="{00000000-0005-0000-0000-0000F1830000}"/>
    <cellStyle name="Normal 139 9 2" xfId="33747" xr:uid="{00000000-0005-0000-0000-0000F2830000}"/>
    <cellStyle name="Normal 139 9 2 2" xfId="33748" xr:uid="{00000000-0005-0000-0000-0000F3830000}"/>
    <cellStyle name="Normal 139 9 3" xfId="33749" xr:uid="{00000000-0005-0000-0000-0000F4830000}"/>
    <cellStyle name="Normal 14" xfId="33750" xr:uid="{00000000-0005-0000-0000-0000F5830000}"/>
    <cellStyle name="Normal 14 2" xfId="33751" xr:uid="{00000000-0005-0000-0000-0000F6830000}"/>
    <cellStyle name="Normal 14 2 2" xfId="33752" xr:uid="{00000000-0005-0000-0000-0000F7830000}"/>
    <cellStyle name="Normal 14 3" xfId="33753" xr:uid="{00000000-0005-0000-0000-0000F8830000}"/>
    <cellStyle name="Normal 140" xfId="33754" xr:uid="{00000000-0005-0000-0000-0000F9830000}"/>
    <cellStyle name="Normal 140 2" xfId="33755" xr:uid="{00000000-0005-0000-0000-0000FA830000}"/>
    <cellStyle name="Normal 141" xfId="33756" xr:uid="{00000000-0005-0000-0000-0000FB830000}"/>
    <cellStyle name="Normal 141 2" xfId="33757" xr:uid="{00000000-0005-0000-0000-0000FC830000}"/>
    <cellStyle name="Normal 142" xfId="33758" xr:uid="{00000000-0005-0000-0000-0000FD830000}"/>
    <cellStyle name="Normal 142 2" xfId="33759" xr:uid="{00000000-0005-0000-0000-0000FE830000}"/>
    <cellStyle name="Normal 143" xfId="33760" xr:uid="{00000000-0005-0000-0000-0000FF830000}"/>
    <cellStyle name="Normal 143 2" xfId="33761" xr:uid="{00000000-0005-0000-0000-000000840000}"/>
    <cellStyle name="Normal 144" xfId="33762" xr:uid="{00000000-0005-0000-0000-000001840000}"/>
    <cellStyle name="Normal 144 2" xfId="33763" xr:uid="{00000000-0005-0000-0000-000002840000}"/>
    <cellStyle name="Normal 145" xfId="33764" xr:uid="{00000000-0005-0000-0000-000003840000}"/>
    <cellStyle name="Normal 146" xfId="33765" xr:uid="{00000000-0005-0000-0000-000004840000}"/>
    <cellStyle name="Normal 147" xfId="33766" xr:uid="{00000000-0005-0000-0000-000005840000}"/>
    <cellStyle name="Normal 148" xfId="33767" xr:uid="{00000000-0005-0000-0000-000006840000}"/>
    <cellStyle name="Normal 148 10" xfId="33768" xr:uid="{00000000-0005-0000-0000-000007840000}"/>
    <cellStyle name="Normal 148 10 2" xfId="33769" xr:uid="{00000000-0005-0000-0000-000008840000}"/>
    <cellStyle name="Normal 148 10 2 2" xfId="33770" xr:uid="{00000000-0005-0000-0000-000009840000}"/>
    <cellStyle name="Normal 148 10 3" xfId="33771" xr:uid="{00000000-0005-0000-0000-00000A840000}"/>
    <cellStyle name="Normal 148 11" xfId="33772" xr:uid="{00000000-0005-0000-0000-00000B840000}"/>
    <cellStyle name="Normal 148 11 2" xfId="33773" xr:uid="{00000000-0005-0000-0000-00000C840000}"/>
    <cellStyle name="Normal 148 11 2 2" xfId="33774" xr:uid="{00000000-0005-0000-0000-00000D840000}"/>
    <cellStyle name="Normal 148 11 3" xfId="33775" xr:uid="{00000000-0005-0000-0000-00000E840000}"/>
    <cellStyle name="Normal 148 12" xfId="33776" xr:uid="{00000000-0005-0000-0000-00000F840000}"/>
    <cellStyle name="Normal 148 12 2" xfId="33777" xr:uid="{00000000-0005-0000-0000-000010840000}"/>
    <cellStyle name="Normal 148 12 2 2" xfId="33778" xr:uid="{00000000-0005-0000-0000-000011840000}"/>
    <cellStyle name="Normal 148 12 3" xfId="33779" xr:uid="{00000000-0005-0000-0000-000012840000}"/>
    <cellStyle name="Normal 148 13" xfId="33780" xr:uid="{00000000-0005-0000-0000-000013840000}"/>
    <cellStyle name="Normal 148 13 2" xfId="33781" xr:uid="{00000000-0005-0000-0000-000014840000}"/>
    <cellStyle name="Normal 148 13 2 2" xfId="33782" xr:uid="{00000000-0005-0000-0000-000015840000}"/>
    <cellStyle name="Normal 148 13 3" xfId="33783" xr:uid="{00000000-0005-0000-0000-000016840000}"/>
    <cellStyle name="Normal 148 14" xfId="33784" xr:uid="{00000000-0005-0000-0000-000017840000}"/>
    <cellStyle name="Normal 148 14 2" xfId="33785" xr:uid="{00000000-0005-0000-0000-000018840000}"/>
    <cellStyle name="Normal 148 14 2 2" xfId="33786" xr:uid="{00000000-0005-0000-0000-000019840000}"/>
    <cellStyle name="Normal 148 14 3" xfId="33787" xr:uid="{00000000-0005-0000-0000-00001A840000}"/>
    <cellStyle name="Normal 148 15" xfId="33788" xr:uid="{00000000-0005-0000-0000-00001B840000}"/>
    <cellStyle name="Normal 148 15 2" xfId="33789" xr:uid="{00000000-0005-0000-0000-00001C840000}"/>
    <cellStyle name="Normal 148 15 2 2" xfId="33790" xr:uid="{00000000-0005-0000-0000-00001D840000}"/>
    <cellStyle name="Normal 148 15 3" xfId="33791" xr:uid="{00000000-0005-0000-0000-00001E840000}"/>
    <cellStyle name="Normal 148 16" xfId="33792" xr:uid="{00000000-0005-0000-0000-00001F840000}"/>
    <cellStyle name="Normal 148 16 2" xfId="33793" xr:uid="{00000000-0005-0000-0000-000020840000}"/>
    <cellStyle name="Normal 148 16 2 2" xfId="33794" xr:uid="{00000000-0005-0000-0000-000021840000}"/>
    <cellStyle name="Normal 148 16 3" xfId="33795" xr:uid="{00000000-0005-0000-0000-000022840000}"/>
    <cellStyle name="Normal 148 17" xfId="33796" xr:uid="{00000000-0005-0000-0000-000023840000}"/>
    <cellStyle name="Normal 148 17 2" xfId="33797" xr:uid="{00000000-0005-0000-0000-000024840000}"/>
    <cellStyle name="Normal 148 17 2 2" xfId="33798" xr:uid="{00000000-0005-0000-0000-000025840000}"/>
    <cellStyle name="Normal 148 17 3" xfId="33799" xr:uid="{00000000-0005-0000-0000-000026840000}"/>
    <cellStyle name="Normal 148 18" xfId="33800" xr:uid="{00000000-0005-0000-0000-000027840000}"/>
    <cellStyle name="Normal 148 18 2" xfId="33801" xr:uid="{00000000-0005-0000-0000-000028840000}"/>
    <cellStyle name="Normal 148 18 2 2" xfId="33802" xr:uid="{00000000-0005-0000-0000-000029840000}"/>
    <cellStyle name="Normal 148 18 3" xfId="33803" xr:uid="{00000000-0005-0000-0000-00002A840000}"/>
    <cellStyle name="Normal 148 19" xfId="33804" xr:uid="{00000000-0005-0000-0000-00002B840000}"/>
    <cellStyle name="Normal 148 19 2" xfId="33805" xr:uid="{00000000-0005-0000-0000-00002C840000}"/>
    <cellStyle name="Normal 148 19 2 2" xfId="33806" xr:uid="{00000000-0005-0000-0000-00002D840000}"/>
    <cellStyle name="Normal 148 19 3" xfId="33807" xr:uid="{00000000-0005-0000-0000-00002E840000}"/>
    <cellStyle name="Normal 148 2" xfId="33808" xr:uid="{00000000-0005-0000-0000-00002F840000}"/>
    <cellStyle name="Normal 148 2 2" xfId="33809" xr:uid="{00000000-0005-0000-0000-000030840000}"/>
    <cellStyle name="Normal 148 2 2 2" xfId="33810" xr:uid="{00000000-0005-0000-0000-000031840000}"/>
    <cellStyle name="Normal 148 2 3" xfId="33811" xr:uid="{00000000-0005-0000-0000-000032840000}"/>
    <cellStyle name="Normal 148 20" xfId="33812" xr:uid="{00000000-0005-0000-0000-000033840000}"/>
    <cellStyle name="Normal 148 20 2" xfId="33813" xr:uid="{00000000-0005-0000-0000-000034840000}"/>
    <cellStyle name="Normal 148 20 2 2" xfId="33814" xr:uid="{00000000-0005-0000-0000-000035840000}"/>
    <cellStyle name="Normal 148 20 3" xfId="33815" xr:uid="{00000000-0005-0000-0000-000036840000}"/>
    <cellStyle name="Normal 148 21" xfId="33816" xr:uid="{00000000-0005-0000-0000-000037840000}"/>
    <cellStyle name="Normal 148 21 2" xfId="33817" xr:uid="{00000000-0005-0000-0000-000038840000}"/>
    <cellStyle name="Normal 148 21 2 2" xfId="33818" xr:uid="{00000000-0005-0000-0000-000039840000}"/>
    <cellStyle name="Normal 148 21 3" xfId="33819" xr:uid="{00000000-0005-0000-0000-00003A840000}"/>
    <cellStyle name="Normal 148 22" xfId="33820" xr:uid="{00000000-0005-0000-0000-00003B840000}"/>
    <cellStyle name="Normal 148 22 2" xfId="33821" xr:uid="{00000000-0005-0000-0000-00003C840000}"/>
    <cellStyle name="Normal 148 22 2 2" xfId="33822" xr:uid="{00000000-0005-0000-0000-00003D840000}"/>
    <cellStyle name="Normal 148 22 3" xfId="33823" xr:uid="{00000000-0005-0000-0000-00003E840000}"/>
    <cellStyle name="Normal 148 23" xfId="33824" xr:uid="{00000000-0005-0000-0000-00003F840000}"/>
    <cellStyle name="Normal 148 23 2" xfId="33825" xr:uid="{00000000-0005-0000-0000-000040840000}"/>
    <cellStyle name="Normal 148 23 2 2" xfId="33826" xr:uid="{00000000-0005-0000-0000-000041840000}"/>
    <cellStyle name="Normal 148 23 3" xfId="33827" xr:uid="{00000000-0005-0000-0000-000042840000}"/>
    <cellStyle name="Normal 148 24" xfId="33828" xr:uid="{00000000-0005-0000-0000-000043840000}"/>
    <cellStyle name="Normal 148 24 2" xfId="33829" xr:uid="{00000000-0005-0000-0000-000044840000}"/>
    <cellStyle name="Normal 148 24 2 2" xfId="33830" xr:uid="{00000000-0005-0000-0000-000045840000}"/>
    <cellStyle name="Normal 148 24 3" xfId="33831" xr:uid="{00000000-0005-0000-0000-000046840000}"/>
    <cellStyle name="Normal 148 25" xfId="33832" xr:uid="{00000000-0005-0000-0000-000047840000}"/>
    <cellStyle name="Normal 148 25 2" xfId="33833" xr:uid="{00000000-0005-0000-0000-000048840000}"/>
    <cellStyle name="Normal 148 25 2 2" xfId="33834" xr:uid="{00000000-0005-0000-0000-000049840000}"/>
    <cellStyle name="Normal 148 25 3" xfId="33835" xr:uid="{00000000-0005-0000-0000-00004A840000}"/>
    <cellStyle name="Normal 148 26" xfId="33836" xr:uid="{00000000-0005-0000-0000-00004B840000}"/>
    <cellStyle name="Normal 148 26 2" xfId="33837" xr:uid="{00000000-0005-0000-0000-00004C840000}"/>
    <cellStyle name="Normal 148 26 2 2" xfId="33838" xr:uid="{00000000-0005-0000-0000-00004D840000}"/>
    <cellStyle name="Normal 148 26 3" xfId="33839" xr:uid="{00000000-0005-0000-0000-00004E840000}"/>
    <cellStyle name="Normal 148 27" xfId="33840" xr:uid="{00000000-0005-0000-0000-00004F840000}"/>
    <cellStyle name="Normal 148 27 2" xfId="33841" xr:uid="{00000000-0005-0000-0000-000050840000}"/>
    <cellStyle name="Normal 148 27 2 2" xfId="33842" xr:uid="{00000000-0005-0000-0000-000051840000}"/>
    <cellStyle name="Normal 148 27 3" xfId="33843" xr:uid="{00000000-0005-0000-0000-000052840000}"/>
    <cellStyle name="Normal 148 28" xfId="33844" xr:uid="{00000000-0005-0000-0000-000053840000}"/>
    <cellStyle name="Normal 148 28 2" xfId="33845" xr:uid="{00000000-0005-0000-0000-000054840000}"/>
    <cellStyle name="Normal 148 28 2 2" xfId="33846" xr:uid="{00000000-0005-0000-0000-000055840000}"/>
    <cellStyle name="Normal 148 28 3" xfId="33847" xr:uid="{00000000-0005-0000-0000-000056840000}"/>
    <cellStyle name="Normal 148 29" xfId="33848" xr:uid="{00000000-0005-0000-0000-000057840000}"/>
    <cellStyle name="Normal 148 29 2" xfId="33849" xr:uid="{00000000-0005-0000-0000-000058840000}"/>
    <cellStyle name="Normal 148 29 2 2" xfId="33850" xr:uid="{00000000-0005-0000-0000-000059840000}"/>
    <cellStyle name="Normal 148 29 3" xfId="33851" xr:uid="{00000000-0005-0000-0000-00005A840000}"/>
    <cellStyle name="Normal 148 3" xfId="33852" xr:uid="{00000000-0005-0000-0000-00005B840000}"/>
    <cellStyle name="Normal 148 3 2" xfId="33853" xr:uid="{00000000-0005-0000-0000-00005C840000}"/>
    <cellStyle name="Normal 148 3 2 2" xfId="33854" xr:uid="{00000000-0005-0000-0000-00005D840000}"/>
    <cellStyle name="Normal 148 3 3" xfId="33855" xr:uid="{00000000-0005-0000-0000-00005E840000}"/>
    <cellStyle name="Normal 148 30" xfId="33856" xr:uid="{00000000-0005-0000-0000-00005F840000}"/>
    <cellStyle name="Normal 148 30 2" xfId="33857" xr:uid="{00000000-0005-0000-0000-000060840000}"/>
    <cellStyle name="Normal 148 30 2 2" xfId="33858" xr:uid="{00000000-0005-0000-0000-000061840000}"/>
    <cellStyle name="Normal 148 30 3" xfId="33859" xr:uid="{00000000-0005-0000-0000-000062840000}"/>
    <cellStyle name="Normal 148 31" xfId="33860" xr:uid="{00000000-0005-0000-0000-000063840000}"/>
    <cellStyle name="Normal 148 31 2" xfId="33861" xr:uid="{00000000-0005-0000-0000-000064840000}"/>
    <cellStyle name="Normal 148 31 2 2" xfId="33862" xr:uid="{00000000-0005-0000-0000-000065840000}"/>
    <cellStyle name="Normal 148 31 3" xfId="33863" xr:uid="{00000000-0005-0000-0000-000066840000}"/>
    <cellStyle name="Normal 148 32" xfId="33864" xr:uid="{00000000-0005-0000-0000-000067840000}"/>
    <cellStyle name="Normal 148 32 2" xfId="33865" xr:uid="{00000000-0005-0000-0000-000068840000}"/>
    <cellStyle name="Normal 148 32 2 2" xfId="33866" xr:uid="{00000000-0005-0000-0000-000069840000}"/>
    <cellStyle name="Normal 148 32 3" xfId="33867" xr:uid="{00000000-0005-0000-0000-00006A840000}"/>
    <cellStyle name="Normal 148 33" xfId="33868" xr:uid="{00000000-0005-0000-0000-00006B840000}"/>
    <cellStyle name="Normal 148 33 2" xfId="33869" xr:uid="{00000000-0005-0000-0000-00006C840000}"/>
    <cellStyle name="Normal 148 33 2 2" xfId="33870" xr:uid="{00000000-0005-0000-0000-00006D840000}"/>
    <cellStyle name="Normal 148 33 3" xfId="33871" xr:uid="{00000000-0005-0000-0000-00006E840000}"/>
    <cellStyle name="Normal 148 34" xfId="33872" xr:uid="{00000000-0005-0000-0000-00006F840000}"/>
    <cellStyle name="Normal 148 34 2" xfId="33873" xr:uid="{00000000-0005-0000-0000-000070840000}"/>
    <cellStyle name="Normal 148 34 2 2" xfId="33874" xr:uid="{00000000-0005-0000-0000-000071840000}"/>
    <cellStyle name="Normal 148 34 3" xfId="33875" xr:uid="{00000000-0005-0000-0000-000072840000}"/>
    <cellStyle name="Normal 148 35" xfId="33876" xr:uid="{00000000-0005-0000-0000-000073840000}"/>
    <cellStyle name="Normal 148 35 2" xfId="33877" xr:uid="{00000000-0005-0000-0000-000074840000}"/>
    <cellStyle name="Normal 148 35 2 2" xfId="33878" xr:uid="{00000000-0005-0000-0000-000075840000}"/>
    <cellStyle name="Normal 148 35 3" xfId="33879" xr:uid="{00000000-0005-0000-0000-000076840000}"/>
    <cellStyle name="Normal 148 36" xfId="33880" xr:uid="{00000000-0005-0000-0000-000077840000}"/>
    <cellStyle name="Normal 148 36 2" xfId="33881" xr:uid="{00000000-0005-0000-0000-000078840000}"/>
    <cellStyle name="Normal 148 36 2 2" xfId="33882" xr:uid="{00000000-0005-0000-0000-000079840000}"/>
    <cellStyle name="Normal 148 36 3" xfId="33883" xr:uid="{00000000-0005-0000-0000-00007A840000}"/>
    <cellStyle name="Normal 148 37" xfId="33884" xr:uid="{00000000-0005-0000-0000-00007B840000}"/>
    <cellStyle name="Normal 148 37 2" xfId="33885" xr:uid="{00000000-0005-0000-0000-00007C840000}"/>
    <cellStyle name="Normal 148 38" xfId="33886" xr:uid="{00000000-0005-0000-0000-00007D840000}"/>
    <cellStyle name="Normal 148 4" xfId="33887" xr:uid="{00000000-0005-0000-0000-00007E840000}"/>
    <cellStyle name="Normal 148 4 2" xfId="33888" xr:uid="{00000000-0005-0000-0000-00007F840000}"/>
    <cellStyle name="Normal 148 4 2 2" xfId="33889" xr:uid="{00000000-0005-0000-0000-000080840000}"/>
    <cellStyle name="Normal 148 4 3" xfId="33890" xr:uid="{00000000-0005-0000-0000-000081840000}"/>
    <cellStyle name="Normal 148 5" xfId="33891" xr:uid="{00000000-0005-0000-0000-000082840000}"/>
    <cellStyle name="Normal 148 5 2" xfId="33892" xr:uid="{00000000-0005-0000-0000-000083840000}"/>
    <cellStyle name="Normal 148 5 2 2" xfId="33893" xr:uid="{00000000-0005-0000-0000-000084840000}"/>
    <cellStyle name="Normal 148 5 3" xfId="33894" xr:uid="{00000000-0005-0000-0000-000085840000}"/>
    <cellStyle name="Normal 148 6" xfId="33895" xr:uid="{00000000-0005-0000-0000-000086840000}"/>
    <cellStyle name="Normal 148 6 2" xfId="33896" xr:uid="{00000000-0005-0000-0000-000087840000}"/>
    <cellStyle name="Normal 148 6 2 2" xfId="33897" xr:uid="{00000000-0005-0000-0000-000088840000}"/>
    <cellStyle name="Normal 148 6 3" xfId="33898" xr:uid="{00000000-0005-0000-0000-000089840000}"/>
    <cellStyle name="Normal 148 7" xfId="33899" xr:uid="{00000000-0005-0000-0000-00008A840000}"/>
    <cellStyle name="Normal 148 7 2" xfId="33900" xr:uid="{00000000-0005-0000-0000-00008B840000}"/>
    <cellStyle name="Normal 148 7 2 2" xfId="33901" xr:uid="{00000000-0005-0000-0000-00008C840000}"/>
    <cellStyle name="Normal 148 7 3" xfId="33902" xr:uid="{00000000-0005-0000-0000-00008D840000}"/>
    <cellStyle name="Normal 148 8" xfId="33903" xr:uid="{00000000-0005-0000-0000-00008E840000}"/>
    <cellStyle name="Normal 148 8 2" xfId="33904" xr:uid="{00000000-0005-0000-0000-00008F840000}"/>
    <cellStyle name="Normal 148 8 2 2" xfId="33905" xr:uid="{00000000-0005-0000-0000-000090840000}"/>
    <cellStyle name="Normal 148 8 3" xfId="33906" xr:uid="{00000000-0005-0000-0000-000091840000}"/>
    <cellStyle name="Normal 148 9" xfId="33907" xr:uid="{00000000-0005-0000-0000-000092840000}"/>
    <cellStyle name="Normal 148 9 2" xfId="33908" xr:uid="{00000000-0005-0000-0000-000093840000}"/>
    <cellStyle name="Normal 148 9 2 2" xfId="33909" xr:uid="{00000000-0005-0000-0000-000094840000}"/>
    <cellStyle name="Normal 148 9 3" xfId="33910" xr:uid="{00000000-0005-0000-0000-000095840000}"/>
    <cellStyle name="Normal 149" xfId="33911" xr:uid="{00000000-0005-0000-0000-000096840000}"/>
    <cellStyle name="Normal 149 10" xfId="33912" xr:uid="{00000000-0005-0000-0000-000097840000}"/>
    <cellStyle name="Normal 149 10 2" xfId="33913" xr:uid="{00000000-0005-0000-0000-000098840000}"/>
    <cellStyle name="Normal 149 10 2 2" xfId="33914" xr:uid="{00000000-0005-0000-0000-000099840000}"/>
    <cellStyle name="Normal 149 10 3" xfId="33915" xr:uid="{00000000-0005-0000-0000-00009A840000}"/>
    <cellStyle name="Normal 149 11" xfId="33916" xr:uid="{00000000-0005-0000-0000-00009B840000}"/>
    <cellStyle name="Normal 149 11 2" xfId="33917" xr:uid="{00000000-0005-0000-0000-00009C840000}"/>
    <cellStyle name="Normal 149 11 2 2" xfId="33918" xr:uid="{00000000-0005-0000-0000-00009D840000}"/>
    <cellStyle name="Normal 149 11 3" xfId="33919" xr:uid="{00000000-0005-0000-0000-00009E840000}"/>
    <cellStyle name="Normal 149 12" xfId="33920" xr:uid="{00000000-0005-0000-0000-00009F840000}"/>
    <cellStyle name="Normal 149 12 2" xfId="33921" xr:uid="{00000000-0005-0000-0000-0000A0840000}"/>
    <cellStyle name="Normal 149 12 2 2" xfId="33922" xr:uid="{00000000-0005-0000-0000-0000A1840000}"/>
    <cellStyle name="Normal 149 12 3" xfId="33923" xr:uid="{00000000-0005-0000-0000-0000A2840000}"/>
    <cellStyle name="Normal 149 13" xfId="33924" xr:uid="{00000000-0005-0000-0000-0000A3840000}"/>
    <cellStyle name="Normal 149 13 2" xfId="33925" xr:uid="{00000000-0005-0000-0000-0000A4840000}"/>
    <cellStyle name="Normal 149 13 2 2" xfId="33926" xr:uid="{00000000-0005-0000-0000-0000A5840000}"/>
    <cellStyle name="Normal 149 13 3" xfId="33927" xr:uid="{00000000-0005-0000-0000-0000A6840000}"/>
    <cellStyle name="Normal 149 14" xfId="33928" xr:uid="{00000000-0005-0000-0000-0000A7840000}"/>
    <cellStyle name="Normal 149 14 2" xfId="33929" xr:uid="{00000000-0005-0000-0000-0000A8840000}"/>
    <cellStyle name="Normal 149 14 2 2" xfId="33930" xr:uid="{00000000-0005-0000-0000-0000A9840000}"/>
    <cellStyle name="Normal 149 14 3" xfId="33931" xr:uid="{00000000-0005-0000-0000-0000AA840000}"/>
    <cellStyle name="Normal 149 15" xfId="33932" xr:uid="{00000000-0005-0000-0000-0000AB840000}"/>
    <cellStyle name="Normal 149 15 2" xfId="33933" xr:uid="{00000000-0005-0000-0000-0000AC840000}"/>
    <cellStyle name="Normal 149 15 2 2" xfId="33934" xr:uid="{00000000-0005-0000-0000-0000AD840000}"/>
    <cellStyle name="Normal 149 15 3" xfId="33935" xr:uid="{00000000-0005-0000-0000-0000AE840000}"/>
    <cellStyle name="Normal 149 16" xfId="33936" xr:uid="{00000000-0005-0000-0000-0000AF840000}"/>
    <cellStyle name="Normal 149 16 2" xfId="33937" xr:uid="{00000000-0005-0000-0000-0000B0840000}"/>
    <cellStyle name="Normal 149 16 2 2" xfId="33938" xr:uid="{00000000-0005-0000-0000-0000B1840000}"/>
    <cellStyle name="Normal 149 16 3" xfId="33939" xr:uid="{00000000-0005-0000-0000-0000B2840000}"/>
    <cellStyle name="Normal 149 17" xfId="33940" xr:uid="{00000000-0005-0000-0000-0000B3840000}"/>
    <cellStyle name="Normal 149 17 2" xfId="33941" xr:uid="{00000000-0005-0000-0000-0000B4840000}"/>
    <cellStyle name="Normal 149 17 2 2" xfId="33942" xr:uid="{00000000-0005-0000-0000-0000B5840000}"/>
    <cellStyle name="Normal 149 17 3" xfId="33943" xr:uid="{00000000-0005-0000-0000-0000B6840000}"/>
    <cellStyle name="Normal 149 18" xfId="33944" xr:uid="{00000000-0005-0000-0000-0000B7840000}"/>
    <cellStyle name="Normal 149 18 2" xfId="33945" xr:uid="{00000000-0005-0000-0000-0000B8840000}"/>
    <cellStyle name="Normal 149 18 2 2" xfId="33946" xr:uid="{00000000-0005-0000-0000-0000B9840000}"/>
    <cellStyle name="Normal 149 18 3" xfId="33947" xr:uid="{00000000-0005-0000-0000-0000BA840000}"/>
    <cellStyle name="Normal 149 19" xfId="33948" xr:uid="{00000000-0005-0000-0000-0000BB840000}"/>
    <cellStyle name="Normal 149 19 2" xfId="33949" xr:uid="{00000000-0005-0000-0000-0000BC840000}"/>
    <cellStyle name="Normal 149 19 2 2" xfId="33950" xr:uid="{00000000-0005-0000-0000-0000BD840000}"/>
    <cellStyle name="Normal 149 19 3" xfId="33951" xr:uid="{00000000-0005-0000-0000-0000BE840000}"/>
    <cellStyle name="Normal 149 2" xfId="33952" xr:uid="{00000000-0005-0000-0000-0000BF840000}"/>
    <cellStyle name="Normal 149 2 2" xfId="33953" xr:uid="{00000000-0005-0000-0000-0000C0840000}"/>
    <cellStyle name="Normal 149 2 2 2" xfId="33954" xr:uid="{00000000-0005-0000-0000-0000C1840000}"/>
    <cellStyle name="Normal 149 2 3" xfId="33955" xr:uid="{00000000-0005-0000-0000-0000C2840000}"/>
    <cellStyle name="Normal 149 20" xfId="33956" xr:uid="{00000000-0005-0000-0000-0000C3840000}"/>
    <cellStyle name="Normal 149 20 2" xfId="33957" xr:uid="{00000000-0005-0000-0000-0000C4840000}"/>
    <cellStyle name="Normal 149 20 2 2" xfId="33958" xr:uid="{00000000-0005-0000-0000-0000C5840000}"/>
    <cellStyle name="Normal 149 20 3" xfId="33959" xr:uid="{00000000-0005-0000-0000-0000C6840000}"/>
    <cellStyle name="Normal 149 21" xfId="33960" xr:uid="{00000000-0005-0000-0000-0000C7840000}"/>
    <cellStyle name="Normal 149 21 2" xfId="33961" xr:uid="{00000000-0005-0000-0000-0000C8840000}"/>
    <cellStyle name="Normal 149 21 2 2" xfId="33962" xr:uid="{00000000-0005-0000-0000-0000C9840000}"/>
    <cellStyle name="Normal 149 21 3" xfId="33963" xr:uid="{00000000-0005-0000-0000-0000CA840000}"/>
    <cellStyle name="Normal 149 22" xfId="33964" xr:uid="{00000000-0005-0000-0000-0000CB840000}"/>
    <cellStyle name="Normal 149 22 2" xfId="33965" xr:uid="{00000000-0005-0000-0000-0000CC840000}"/>
    <cellStyle name="Normal 149 22 2 2" xfId="33966" xr:uid="{00000000-0005-0000-0000-0000CD840000}"/>
    <cellStyle name="Normal 149 22 3" xfId="33967" xr:uid="{00000000-0005-0000-0000-0000CE840000}"/>
    <cellStyle name="Normal 149 23" xfId="33968" xr:uid="{00000000-0005-0000-0000-0000CF840000}"/>
    <cellStyle name="Normal 149 23 2" xfId="33969" xr:uid="{00000000-0005-0000-0000-0000D0840000}"/>
    <cellStyle name="Normal 149 23 2 2" xfId="33970" xr:uid="{00000000-0005-0000-0000-0000D1840000}"/>
    <cellStyle name="Normal 149 23 3" xfId="33971" xr:uid="{00000000-0005-0000-0000-0000D2840000}"/>
    <cellStyle name="Normal 149 24" xfId="33972" xr:uid="{00000000-0005-0000-0000-0000D3840000}"/>
    <cellStyle name="Normal 149 24 2" xfId="33973" xr:uid="{00000000-0005-0000-0000-0000D4840000}"/>
    <cellStyle name="Normal 149 24 2 2" xfId="33974" xr:uid="{00000000-0005-0000-0000-0000D5840000}"/>
    <cellStyle name="Normal 149 24 3" xfId="33975" xr:uid="{00000000-0005-0000-0000-0000D6840000}"/>
    <cellStyle name="Normal 149 25" xfId="33976" xr:uid="{00000000-0005-0000-0000-0000D7840000}"/>
    <cellStyle name="Normal 149 25 2" xfId="33977" xr:uid="{00000000-0005-0000-0000-0000D8840000}"/>
    <cellStyle name="Normal 149 25 2 2" xfId="33978" xr:uid="{00000000-0005-0000-0000-0000D9840000}"/>
    <cellStyle name="Normal 149 25 3" xfId="33979" xr:uid="{00000000-0005-0000-0000-0000DA840000}"/>
    <cellStyle name="Normal 149 26" xfId="33980" xr:uid="{00000000-0005-0000-0000-0000DB840000}"/>
    <cellStyle name="Normal 149 26 2" xfId="33981" xr:uid="{00000000-0005-0000-0000-0000DC840000}"/>
    <cellStyle name="Normal 149 26 2 2" xfId="33982" xr:uid="{00000000-0005-0000-0000-0000DD840000}"/>
    <cellStyle name="Normal 149 26 3" xfId="33983" xr:uid="{00000000-0005-0000-0000-0000DE840000}"/>
    <cellStyle name="Normal 149 27" xfId="33984" xr:uid="{00000000-0005-0000-0000-0000DF840000}"/>
    <cellStyle name="Normal 149 27 2" xfId="33985" xr:uid="{00000000-0005-0000-0000-0000E0840000}"/>
    <cellStyle name="Normal 149 27 2 2" xfId="33986" xr:uid="{00000000-0005-0000-0000-0000E1840000}"/>
    <cellStyle name="Normal 149 27 3" xfId="33987" xr:uid="{00000000-0005-0000-0000-0000E2840000}"/>
    <cellStyle name="Normal 149 28" xfId="33988" xr:uid="{00000000-0005-0000-0000-0000E3840000}"/>
    <cellStyle name="Normal 149 28 2" xfId="33989" xr:uid="{00000000-0005-0000-0000-0000E4840000}"/>
    <cellStyle name="Normal 149 28 2 2" xfId="33990" xr:uid="{00000000-0005-0000-0000-0000E5840000}"/>
    <cellStyle name="Normal 149 28 3" xfId="33991" xr:uid="{00000000-0005-0000-0000-0000E6840000}"/>
    <cellStyle name="Normal 149 29" xfId="33992" xr:uid="{00000000-0005-0000-0000-0000E7840000}"/>
    <cellStyle name="Normal 149 29 2" xfId="33993" xr:uid="{00000000-0005-0000-0000-0000E8840000}"/>
    <cellStyle name="Normal 149 29 2 2" xfId="33994" xr:uid="{00000000-0005-0000-0000-0000E9840000}"/>
    <cellStyle name="Normal 149 29 3" xfId="33995" xr:uid="{00000000-0005-0000-0000-0000EA840000}"/>
    <cellStyle name="Normal 149 3" xfId="33996" xr:uid="{00000000-0005-0000-0000-0000EB840000}"/>
    <cellStyle name="Normal 149 3 2" xfId="33997" xr:uid="{00000000-0005-0000-0000-0000EC840000}"/>
    <cellStyle name="Normal 149 3 2 2" xfId="33998" xr:uid="{00000000-0005-0000-0000-0000ED840000}"/>
    <cellStyle name="Normal 149 3 3" xfId="33999" xr:uid="{00000000-0005-0000-0000-0000EE840000}"/>
    <cellStyle name="Normal 149 30" xfId="34000" xr:uid="{00000000-0005-0000-0000-0000EF840000}"/>
    <cellStyle name="Normal 149 30 2" xfId="34001" xr:uid="{00000000-0005-0000-0000-0000F0840000}"/>
    <cellStyle name="Normal 149 30 2 2" xfId="34002" xr:uid="{00000000-0005-0000-0000-0000F1840000}"/>
    <cellStyle name="Normal 149 30 3" xfId="34003" xr:uid="{00000000-0005-0000-0000-0000F2840000}"/>
    <cellStyle name="Normal 149 31" xfId="34004" xr:uid="{00000000-0005-0000-0000-0000F3840000}"/>
    <cellStyle name="Normal 149 31 2" xfId="34005" xr:uid="{00000000-0005-0000-0000-0000F4840000}"/>
    <cellStyle name="Normal 149 31 2 2" xfId="34006" xr:uid="{00000000-0005-0000-0000-0000F5840000}"/>
    <cellStyle name="Normal 149 31 3" xfId="34007" xr:uid="{00000000-0005-0000-0000-0000F6840000}"/>
    <cellStyle name="Normal 149 32" xfId="34008" xr:uid="{00000000-0005-0000-0000-0000F7840000}"/>
    <cellStyle name="Normal 149 32 2" xfId="34009" xr:uid="{00000000-0005-0000-0000-0000F8840000}"/>
    <cellStyle name="Normal 149 32 2 2" xfId="34010" xr:uid="{00000000-0005-0000-0000-0000F9840000}"/>
    <cellStyle name="Normal 149 32 3" xfId="34011" xr:uid="{00000000-0005-0000-0000-0000FA840000}"/>
    <cellStyle name="Normal 149 33" xfId="34012" xr:uid="{00000000-0005-0000-0000-0000FB840000}"/>
    <cellStyle name="Normal 149 33 2" xfId="34013" xr:uid="{00000000-0005-0000-0000-0000FC840000}"/>
    <cellStyle name="Normal 149 33 2 2" xfId="34014" xr:uid="{00000000-0005-0000-0000-0000FD840000}"/>
    <cellStyle name="Normal 149 33 3" xfId="34015" xr:uid="{00000000-0005-0000-0000-0000FE840000}"/>
    <cellStyle name="Normal 149 34" xfId="34016" xr:uid="{00000000-0005-0000-0000-0000FF840000}"/>
    <cellStyle name="Normal 149 34 2" xfId="34017" xr:uid="{00000000-0005-0000-0000-000000850000}"/>
    <cellStyle name="Normal 149 34 2 2" xfId="34018" xr:uid="{00000000-0005-0000-0000-000001850000}"/>
    <cellStyle name="Normal 149 34 3" xfId="34019" xr:uid="{00000000-0005-0000-0000-000002850000}"/>
    <cellStyle name="Normal 149 35" xfId="34020" xr:uid="{00000000-0005-0000-0000-000003850000}"/>
    <cellStyle name="Normal 149 35 2" xfId="34021" xr:uid="{00000000-0005-0000-0000-000004850000}"/>
    <cellStyle name="Normal 149 35 2 2" xfId="34022" xr:uid="{00000000-0005-0000-0000-000005850000}"/>
    <cellStyle name="Normal 149 35 3" xfId="34023" xr:uid="{00000000-0005-0000-0000-000006850000}"/>
    <cellStyle name="Normal 149 36" xfId="34024" xr:uid="{00000000-0005-0000-0000-000007850000}"/>
    <cellStyle name="Normal 149 36 2" xfId="34025" xr:uid="{00000000-0005-0000-0000-000008850000}"/>
    <cellStyle name="Normal 149 36 2 2" xfId="34026" xr:uid="{00000000-0005-0000-0000-000009850000}"/>
    <cellStyle name="Normal 149 36 3" xfId="34027" xr:uid="{00000000-0005-0000-0000-00000A850000}"/>
    <cellStyle name="Normal 149 37" xfId="34028" xr:uid="{00000000-0005-0000-0000-00000B850000}"/>
    <cellStyle name="Normal 149 37 2" xfId="34029" xr:uid="{00000000-0005-0000-0000-00000C850000}"/>
    <cellStyle name="Normal 149 38" xfId="34030" xr:uid="{00000000-0005-0000-0000-00000D850000}"/>
    <cellStyle name="Normal 149 4" xfId="34031" xr:uid="{00000000-0005-0000-0000-00000E850000}"/>
    <cellStyle name="Normal 149 4 2" xfId="34032" xr:uid="{00000000-0005-0000-0000-00000F850000}"/>
    <cellStyle name="Normal 149 4 2 2" xfId="34033" xr:uid="{00000000-0005-0000-0000-000010850000}"/>
    <cellStyle name="Normal 149 4 3" xfId="34034" xr:uid="{00000000-0005-0000-0000-000011850000}"/>
    <cellStyle name="Normal 149 5" xfId="34035" xr:uid="{00000000-0005-0000-0000-000012850000}"/>
    <cellStyle name="Normal 149 5 2" xfId="34036" xr:uid="{00000000-0005-0000-0000-000013850000}"/>
    <cellStyle name="Normal 149 5 2 2" xfId="34037" xr:uid="{00000000-0005-0000-0000-000014850000}"/>
    <cellStyle name="Normal 149 5 3" xfId="34038" xr:uid="{00000000-0005-0000-0000-000015850000}"/>
    <cellStyle name="Normal 149 6" xfId="34039" xr:uid="{00000000-0005-0000-0000-000016850000}"/>
    <cellStyle name="Normal 149 6 2" xfId="34040" xr:uid="{00000000-0005-0000-0000-000017850000}"/>
    <cellStyle name="Normal 149 6 2 2" xfId="34041" xr:uid="{00000000-0005-0000-0000-000018850000}"/>
    <cellStyle name="Normal 149 6 3" xfId="34042" xr:uid="{00000000-0005-0000-0000-000019850000}"/>
    <cellStyle name="Normal 149 7" xfId="34043" xr:uid="{00000000-0005-0000-0000-00001A850000}"/>
    <cellStyle name="Normal 149 7 2" xfId="34044" xr:uid="{00000000-0005-0000-0000-00001B850000}"/>
    <cellStyle name="Normal 149 7 2 2" xfId="34045" xr:uid="{00000000-0005-0000-0000-00001C850000}"/>
    <cellStyle name="Normal 149 7 3" xfId="34046" xr:uid="{00000000-0005-0000-0000-00001D850000}"/>
    <cellStyle name="Normal 149 8" xfId="34047" xr:uid="{00000000-0005-0000-0000-00001E850000}"/>
    <cellStyle name="Normal 149 8 2" xfId="34048" xr:uid="{00000000-0005-0000-0000-00001F850000}"/>
    <cellStyle name="Normal 149 8 2 2" xfId="34049" xr:uid="{00000000-0005-0000-0000-000020850000}"/>
    <cellStyle name="Normal 149 8 3" xfId="34050" xr:uid="{00000000-0005-0000-0000-000021850000}"/>
    <cellStyle name="Normal 149 9" xfId="34051" xr:uid="{00000000-0005-0000-0000-000022850000}"/>
    <cellStyle name="Normal 149 9 2" xfId="34052" xr:uid="{00000000-0005-0000-0000-000023850000}"/>
    <cellStyle name="Normal 149 9 2 2" xfId="34053" xr:uid="{00000000-0005-0000-0000-000024850000}"/>
    <cellStyle name="Normal 149 9 3" xfId="34054" xr:uid="{00000000-0005-0000-0000-000025850000}"/>
    <cellStyle name="Normal 15" xfId="34055" xr:uid="{00000000-0005-0000-0000-000026850000}"/>
    <cellStyle name="Normal 15 2" xfId="34056" xr:uid="{00000000-0005-0000-0000-000027850000}"/>
    <cellStyle name="Normal 15 3" xfId="34057" xr:uid="{00000000-0005-0000-0000-000028850000}"/>
    <cellStyle name="Normal 150" xfId="34058" xr:uid="{00000000-0005-0000-0000-000029850000}"/>
    <cellStyle name="Normal 150 10" xfId="34059" xr:uid="{00000000-0005-0000-0000-00002A850000}"/>
    <cellStyle name="Normal 150 10 2" xfId="34060" xr:uid="{00000000-0005-0000-0000-00002B850000}"/>
    <cellStyle name="Normal 150 10 2 2" xfId="34061" xr:uid="{00000000-0005-0000-0000-00002C850000}"/>
    <cellStyle name="Normal 150 10 3" xfId="34062" xr:uid="{00000000-0005-0000-0000-00002D850000}"/>
    <cellStyle name="Normal 150 11" xfId="34063" xr:uid="{00000000-0005-0000-0000-00002E850000}"/>
    <cellStyle name="Normal 150 11 2" xfId="34064" xr:uid="{00000000-0005-0000-0000-00002F850000}"/>
    <cellStyle name="Normal 150 11 2 2" xfId="34065" xr:uid="{00000000-0005-0000-0000-000030850000}"/>
    <cellStyle name="Normal 150 11 3" xfId="34066" xr:uid="{00000000-0005-0000-0000-000031850000}"/>
    <cellStyle name="Normal 150 12" xfId="34067" xr:uid="{00000000-0005-0000-0000-000032850000}"/>
    <cellStyle name="Normal 150 12 2" xfId="34068" xr:uid="{00000000-0005-0000-0000-000033850000}"/>
    <cellStyle name="Normal 150 12 2 2" xfId="34069" xr:uid="{00000000-0005-0000-0000-000034850000}"/>
    <cellStyle name="Normal 150 12 3" xfId="34070" xr:uid="{00000000-0005-0000-0000-000035850000}"/>
    <cellStyle name="Normal 150 13" xfId="34071" xr:uid="{00000000-0005-0000-0000-000036850000}"/>
    <cellStyle name="Normal 150 13 2" xfId="34072" xr:uid="{00000000-0005-0000-0000-000037850000}"/>
    <cellStyle name="Normal 150 13 2 2" xfId="34073" xr:uid="{00000000-0005-0000-0000-000038850000}"/>
    <cellStyle name="Normal 150 13 3" xfId="34074" xr:uid="{00000000-0005-0000-0000-000039850000}"/>
    <cellStyle name="Normal 150 14" xfId="34075" xr:uid="{00000000-0005-0000-0000-00003A850000}"/>
    <cellStyle name="Normal 150 14 2" xfId="34076" xr:uid="{00000000-0005-0000-0000-00003B850000}"/>
    <cellStyle name="Normal 150 14 2 2" xfId="34077" xr:uid="{00000000-0005-0000-0000-00003C850000}"/>
    <cellStyle name="Normal 150 14 3" xfId="34078" xr:uid="{00000000-0005-0000-0000-00003D850000}"/>
    <cellStyle name="Normal 150 15" xfId="34079" xr:uid="{00000000-0005-0000-0000-00003E850000}"/>
    <cellStyle name="Normal 150 15 2" xfId="34080" xr:uid="{00000000-0005-0000-0000-00003F850000}"/>
    <cellStyle name="Normal 150 15 2 2" xfId="34081" xr:uid="{00000000-0005-0000-0000-000040850000}"/>
    <cellStyle name="Normal 150 15 3" xfId="34082" xr:uid="{00000000-0005-0000-0000-000041850000}"/>
    <cellStyle name="Normal 150 16" xfId="34083" xr:uid="{00000000-0005-0000-0000-000042850000}"/>
    <cellStyle name="Normal 150 16 2" xfId="34084" xr:uid="{00000000-0005-0000-0000-000043850000}"/>
    <cellStyle name="Normal 150 16 2 2" xfId="34085" xr:uid="{00000000-0005-0000-0000-000044850000}"/>
    <cellStyle name="Normal 150 16 3" xfId="34086" xr:uid="{00000000-0005-0000-0000-000045850000}"/>
    <cellStyle name="Normal 150 17" xfId="34087" xr:uid="{00000000-0005-0000-0000-000046850000}"/>
    <cellStyle name="Normal 150 17 2" xfId="34088" xr:uid="{00000000-0005-0000-0000-000047850000}"/>
    <cellStyle name="Normal 150 17 2 2" xfId="34089" xr:uid="{00000000-0005-0000-0000-000048850000}"/>
    <cellStyle name="Normal 150 17 3" xfId="34090" xr:uid="{00000000-0005-0000-0000-000049850000}"/>
    <cellStyle name="Normal 150 18" xfId="34091" xr:uid="{00000000-0005-0000-0000-00004A850000}"/>
    <cellStyle name="Normal 150 18 2" xfId="34092" xr:uid="{00000000-0005-0000-0000-00004B850000}"/>
    <cellStyle name="Normal 150 18 2 2" xfId="34093" xr:uid="{00000000-0005-0000-0000-00004C850000}"/>
    <cellStyle name="Normal 150 18 3" xfId="34094" xr:uid="{00000000-0005-0000-0000-00004D850000}"/>
    <cellStyle name="Normal 150 19" xfId="34095" xr:uid="{00000000-0005-0000-0000-00004E850000}"/>
    <cellStyle name="Normal 150 19 2" xfId="34096" xr:uid="{00000000-0005-0000-0000-00004F850000}"/>
    <cellStyle name="Normal 150 19 2 2" xfId="34097" xr:uid="{00000000-0005-0000-0000-000050850000}"/>
    <cellStyle name="Normal 150 19 3" xfId="34098" xr:uid="{00000000-0005-0000-0000-000051850000}"/>
    <cellStyle name="Normal 150 2" xfId="34099" xr:uid="{00000000-0005-0000-0000-000052850000}"/>
    <cellStyle name="Normal 150 2 2" xfId="34100" xr:uid="{00000000-0005-0000-0000-000053850000}"/>
    <cellStyle name="Normal 150 2 2 2" xfId="34101" xr:uid="{00000000-0005-0000-0000-000054850000}"/>
    <cellStyle name="Normal 150 2 3" xfId="34102" xr:uid="{00000000-0005-0000-0000-000055850000}"/>
    <cellStyle name="Normal 150 20" xfId="34103" xr:uid="{00000000-0005-0000-0000-000056850000}"/>
    <cellStyle name="Normal 150 20 2" xfId="34104" xr:uid="{00000000-0005-0000-0000-000057850000}"/>
    <cellStyle name="Normal 150 20 2 2" xfId="34105" xr:uid="{00000000-0005-0000-0000-000058850000}"/>
    <cellStyle name="Normal 150 20 3" xfId="34106" xr:uid="{00000000-0005-0000-0000-000059850000}"/>
    <cellStyle name="Normal 150 21" xfId="34107" xr:uid="{00000000-0005-0000-0000-00005A850000}"/>
    <cellStyle name="Normal 150 21 2" xfId="34108" xr:uid="{00000000-0005-0000-0000-00005B850000}"/>
    <cellStyle name="Normal 150 21 2 2" xfId="34109" xr:uid="{00000000-0005-0000-0000-00005C850000}"/>
    <cellStyle name="Normal 150 21 3" xfId="34110" xr:uid="{00000000-0005-0000-0000-00005D850000}"/>
    <cellStyle name="Normal 150 22" xfId="34111" xr:uid="{00000000-0005-0000-0000-00005E850000}"/>
    <cellStyle name="Normal 150 22 2" xfId="34112" xr:uid="{00000000-0005-0000-0000-00005F850000}"/>
    <cellStyle name="Normal 150 22 2 2" xfId="34113" xr:uid="{00000000-0005-0000-0000-000060850000}"/>
    <cellStyle name="Normal 150 22 3" xfId="34114" xr:uid="{00000000-0005-0000-0000-000061850000}"/>
    <cellStyle name="Normal 150 23" xfId="34115" xr:uid="{00000000-0005-0000-0000-000062850000}"/>
    <cellStyle name="Normal 150 23 2" xfId="34116" xr:uid="{00000000-0005-0000-0000-000063850000}"/>
    <cellStyle name="Normal 150 23 2 2" xfId="34117" xr:uid="{00000000-0005-0000-0000-000064850000}"/>
    <cellStyle name="Normal 150 23 3" xfId="34118" xr:uid="{00000000-0005-0000-0000-000065850000}"/>
    <cellStyle name="Normal 150 24" xfId="34119" xr:uid="{00000000-0005-0000-0000-000066850000}"/>
    <cellStyle name="Normal 150 24 2" xfId="34120" xr:uid="{00000000-0005-0000-0000-000067850000}"/>
    <cellStyle name="Normal 150 24 2 2" xfId="34121" xr:uid="{00000000-0005-0000-0000-000068850000}"/>
    <cellStyle name="Normal 150 24 3" xfId="34122" xr:uid="{00000000-0005-0000-0000-000069850000}"/>
    <cellStyle name="Normal 150 25" xfId="34123" xr:uid="{00000000-0005-0000-0000-00006A850000}"/>
    <cellStyle name="Normal 150 25 2" xfId="34124" xr:uid="{00000000-0005-0000-0000-00006B850000}"/>
    <cellStyle name="Normal 150 25 2 2" xfId="34125" xr:uid="{00000000-0005-0000-0000-00006C850000}"/>
    <cellStyle name="Normal 150 25 3" xfId="34126" xr:uid="{00000000-0005-0000-0000-00006D850000}"/>
    <cellStyle name="Normal 150 26" xfId="34127" xr:uid="{00000000-0005-0000-0000-00006E850000}"/>
    <cellStyle name="Normal 150 26 2" xfId="34128" xr:uid="{00000000-0005-0000-0000-00006F850000}"/>
    <cellStyle name="Normal 150 26 2 2" xfId="34129" xr:uid="{00000000-0005-0000-0000-000070850000}"/>
    <cellStyle name="Normal 150 26 3" xfId="34130" xr:uid="{00000000-0005-0000-0000-000071850000}"/>
    <cellStyle name="Normal 150 27" xfId="34131" xr:uid="{00000000-0005-0000-0000-000072850000}"/>
    <cellStyle name="Normal 150 27 2" xfId="34132" xr:uid="{00000000-0005-0000-0000-000073850000}"/>
    <cellStyle name="Normal 150 27 2 2" xfId="34133" xr:uid="{00000000-0005-0000-0000-000074850000}"/>
    <cellStyle name="Normal 150 27 3" xfId="34134" xr:uid="{00000000-0005-0000-0000-000075850000}"/>
    <cellStyle name="Normal 150 28" xfId="34135" xr:uid="{00000000-0005-0000-0000-000076850000}"/>
    <cellStyle name="Normal 150 28 2" xfId="34136" xr:uid="{00000000-0005-0000-0000-000077850000}"/>
    <cellStyle name="Normal 150 28 2 2" xfId="34137" xr:uid="{00000000-0005-0000-0000-000078850000}"/>
    <cellStyle name="Normal 150 28 3" xfId="34138" xr:uid="{00000000-0005-0000-0000-000079850000}"/>
    <cellStyle name="Normal 150 29" xfId="34139" xr:uid="{00000000-0005-0000-0000-00007A850000}"/>
    <cellStyle name="Normal 150 29 2" xfId="34140" xr:uid="{00000000-0005-0000-0000-00007B850000}"/>
    <cellStyle name="Normal 150 29 2 2" xfId="34141" xr:uid="{00000000-0005-0000-0000-00007C850000}"/>
    <cellStyle name="Normal 150 29 3" xfId="34142" xr:uid="{00000000-0005-0000-0000-00007D850000}"/>
    <cellStyle name="Normal 150 3" xfId="34143" xr:uid="{00000000-0005-0000-0000-00007E850000}"/>
    <cellStyle name="Normal 150 3 2" xfId="34144" xr:uid="{00000000-0005-0000-0000-00007F850000}"/>
    <cellStyle name="Normal 150 3 2 2" xfId="34145" xr:uid="{00000000-0005-0000-0000-000080850000}"/>
    <cellStyle name="Normal 150 3 3" xfId="34146" xr:uid="{00000000-0005-0000-0000-000081850000}"/>
    <cellStyle name="Normal 150 30" xfId="34147" xr:uid="{00000000-0005-0000-0000-000082850000}"/>
    <cellStyle name="Normal 150 30 2" xfId="34148" xr:uid="{00000000-0005-0000-0000-000083850000}"/>
    <cellStyle name="Normal 150 30 2 2" xfId="34149" xr:uid="{00000000-0005-0000-0000-000084850000}"/>
    <cellStyle name="Normal 150 30 3" xfId="34150" xr:uid="{00000000-0005-0000-0000-000085850000}"/>
    <cellStyle name="Normal 150 31" xfId="34151" xr:uid="{00000000-0005-0000-0000-000086850000}"/>
    <cellStyle name="Normal 150 31 2" xfId="34152" xr:uid="{00000000-0005-0000-0000-000087850000}"/>
    <cellStyle name="Normal 150 31 2 2" xfId="34153" xr:uid="{00000000-0005-0000-0000-000088850000}"/>
    <cellStyle name="Normal 150 31 3" xfId="34154" xr:uid="{00000000-0005-0000-0000-000089850000}"/>
    <cellStyle name="Normal 150 32" xfId="34155" xr:uid="{00000000-0005-0000-0000-00008A850000}"/>
    <cellStyle name="Normal 150 32 2" xfId="34156" xr:uid="{00000000-0005-0000-0000-00008B850000}"/>
    <cellStyle name="Normal 150 32 2 2" xfId="34157" xr:uid="{00000000-0005-0000-0000-00008C850000}"/>
    <cellStyle name="Normal 150 32 3" xfId="34158" xr:uid="{00000000-0005-0000-0000-00008D850000}"/>
    <cellStyle name="Normal 150 33" xfId="34159" xr:uid="{00000000-0005-0000-0000-00008E850000}"/>
    <cellStyle name="Normal 150 33 2" xfId="34160" xr:uid="{00000000-0005-0000-0000-00008F850000}"/>
    <cellStyle name="Normal 150 33 2 2" xfId="34161" xr:uid="{00000000-0005-0000-0000-000090850000}"/>
    <cellStyle name="Normal 150 33 3" xfId="34162" xr:uid="{00000000-0005-0000-0000-000091850000}"/>
    <cellStyle name="Normal 150 34" xfId="34163" xr:uid="{00000000-0005-0000-0000-000092850000}"/>
    <cellStyle name="Normal 150 34 2" xfId="34164" xr:uid="{00000000-0005-0000-0000-000093850000}"/>
    <cellStyle name="Normal 150 34 2 2" xfId="34165" xr:uid="{00000000-0005-0000-0000-000094850000}"/>
    <cellStyle name="Normal 150 34 3" xfId="34166" xr:uid="{00000000-0005-0000-0000-000095850000}"/>
    <cellStyle name="Normal 150 35" xfId="34167" xr:uid="{00000000-0005-0000-0000-000096850000}"/>
    <cellStyle name="Normal 150 35 2" xfId="34168" xr:uid="{00000000-0005-0000-0000-000097850000}"/>
    <cellStyle name="Normal 150 35 2 2" xfId="34169" xr:uid="{00000000-0005-0000-0000-000098850000}"/>
    <cellStyle name="Normal 150 35 3" xfId="34170" xr:uid="{00000000-0005-0000-0000-000099850000}"/>
    <cellStyle name="Normal 150 36" xfId="34171" xr:uid="{00000000-0005-0000-0000-00009A850000}"/>
    <cellStyle name="Normal 150 36 2" xfId="34172" xr:uid="{00000000-0005-0000-0000-00009B850000}"/>
    <cellStyle name="Normal 150 36 2 2" xfId="34173" xr:uid="{00000000-0005-0000-0000-00009C850000}"/>
    <cellStyle name="Normal 150 36 3" xfId="34174" xr:uid="{00000000-0005-0000-0000-00009D850000}"/>
    <cellStyle name="Normal 150 37" xfId="34175" xr:uid="{00000000-0005-0000-0000-00009E850000}"/>
    <cellStyle name="Normal 150 37 2" xfId="34176" xr:uid="{00000000-0005-0000-0000-00009F850000}"/>
    <cellStyle name="Normal 150 38" xfId="34177" xr:uid="{00000000-0005-0000-0000-0000A0850000}"/>
    <cellStyle name="Normal 150 4" xfId="34178" xr:uid="{00000000-0005-0000-0000-0000A1850000}"/>
    <cellStyle name="Normal 150 4 2" xfId="34179" xr:uid="{00000000-0005-0000-0000-0000A2850000}"/>
    <cellStyle name="Normal 150 4 2 2" xfId="34180" xr:uid="{00000000-0005-0000-0000-0000A3850000}"/>
    <cellStyle name="Normal 150 4 3" xfId="34181" xr:uid="{00000000-0005-0000-0000-0000A4850000}"/>
    <cellStyle name="Normal 150 5" xfId="34182" xr:uid="{00000000-0005-0000-0000-0000A5850000}"/>
    <cellStyle name="Normal 150 5 2" xfId="34183" xr:uid="{00000000-0005-0000-0000-0000A6850000}"/>
    <cellStyle name="Normal 150 5 2 2" xfId="34184" xr:uid="{00000000-0005-0000-0000-0000A7850000}"/>
    <cellStyle name="Normal 150 5 3" xfId="34185" xr:uid="{00000000-0005-0000-0000-0000A8850000}"/>
    <cellStyle name="Normal 150 6" xfId="34186" xr:uid="{00000000-0005-0000-0000-0000A9850000}"/>
    <cellStyle name="Normal 150 6 2" xfId="34187" xr:uid="{00000000-0005-0000-0000-0000AA850000}"/>
    <cellStyle name="Normal 150 6 2 2" xfId="34188" xr:uid="{00000000-0005-0000-0000-0000AB850000}"/>
    <cellStyle name="Normal 150 6 3" xfId="34189" xr:uid="{00000000-0005-0000-0000-0000AC850000}"/>
    <cellStyle name="Normal 150 7" xfId="34190" xr:uid="{00000000-0005-0000-0000-0000AD850000}"/>
    <cellStyle name="Normal 150 7 2" xfId="34191" xr:uid="{00000000-0005-0000-0000-0000AE850000}"/>
    <cellStyle name="Normal 150 7 2 2" xfId="34192" xr:uid="{00000000-0005-0000-0000-0000AF850000}"/>
    <cellStyle name="Normal 150 7 3" xfId="34193" xr:uid="{00000000-0005-0000-0000-0000B0850000}"/>
    <cellStyle name="Normal 150 8" xfId="34194" xr:uid="{00000000-0005-0000-0000-0000B1850000}"/>
    <cellStyle name="Normal 150 8 2" xfId="34195" xr:uid="{00000000-0005-0000-0000-0000B2850000}"/>
    <cellStyle name="Normal 150 8 2 2" xfId="34196" xr:uid="{00000000-0005-0000-0000-0000B3850000}"/>
    <cellStyle name="Normal 150 8 3" xfId="34197" xr:uid="{00000000-0005-0000-0000-0000B4850000}"/>
    <cellStyle name="Normal 150 9" xfId="34198" xr:uid="{00000000-0005-0000-0000-0000B5850000}"/>
    <cellStyle name="Normal 150 9 2" xfId="34199" xr:uid="{00000000-0005-0000-0000-0000B6850000}"/>
    <cellStyle name="Normal 150 9 2 2" xfId="34200" xr:uid="{00000000-0005-0000-0000-0000B7850000}"/>
    <cellStyle name="Normal 150 9 3" xfId="34201" xr:uid="{00000000-0005-0000-0000-0000B8850000}"/>
    <cellStyle name="Normal 151" xfId="34202" xr:uid="{00000000-0005-0000-0000-0000B9850000}"/>
    <cellStyle name="Normal 152" xfId="34203" xr:uid="{00000000-0005-0000-0000-0000BA850000}"/>
    <cellStyle name="Normal 152 10" xfId="34204" xr:uid="{00000000-0005-0000-0000-0000BB850000}"/>
    <cellStyle name="Normal 152 11" xfId="34205" xr:uid="{00000000-0005-0000-0000-0000BC850000}"/>
    <cellStyle name="Normal 152 12" xfId="34206" xr:uid="{00000000-0005-0000-0000-0000BD850000}"/>
    <cellStyle name="Normal 152 13" xfId="34207" xr:uid="{00000000-0005-0000-0000-0000BE850000}"/>
    <cellStyle name="Normal 152 14" xfId="34208" xr:uid="{00000000-0005-0000-0000-0000BF850000}"/>
    <cellStyle name="Normal 152 15" xfId="34209" xr:uid="{00000000-0005-0000-0000-0000C0850000}"/>
    <cellStyle name="Normal 152 16" xfId="34210" xr:uid="{00000000-0005-0000-0000-0000C1850000}"/>
    <cellStyle name="Normal 152 17" xfId="34211" xr:uid="{00000000-0005-0000-0000-0000C2850000}"/>
    <cellStyle name="Normal 152 18" xfId="34212" xr:uid="{00000000-0005-0000-0000-0000C3850000}"/>
    <cellStyle name="Normal 152 19" xfId="34213" xr:uid="{00000000-0005-0000-0000-0000C4850000}"/>
    <cellStyle name="Normal 152 2" xfId="34214" xr:uid="{00000000-0005-0000-0000-0000C5850000}"/>
    <cellStyle name="Normal 152 20" xfId="34215" xr:uid="{00000000-0005-0000-0000-0000C6850000}"/>
    <cellStyle name="Normal 152 21" xfId="34216" xr:uid="{00000000-0005-0000-0000-0000C7850000}"/>
    <cellStyle name="Normal 152 22" xfId="34217" xr:uid="{00000000-0005-0000-0000-0000C8850000}"/>
    <cellStyle name="Normal 152 23" xfId="34218" xr:uid="{00000000-0005-0000-0000-0000C9850000}"/>
    <cellStyle name="Normal 152 24" xfId="34219" xr:uid="{00000000-0005-0000-0000-0000CA850000}"/>
    <cellStyle name="Normal 152 25" xfId="34220" xr:uid="{00000000-0005-0000-0000-0000CB850000}"/>
    <cellStyle name="Normal 152 26" xfId="34221" xr:uid="{00000000-0005-0000-0000-0000CC850000}"/>
    <cellStyle name="Normal 152 27" xfId="34222" xr:uid="{00000000-0005-0000-0000-0000CD850000}"/>
    <cellStyle name="Normal 152 28" xfId="34223" xr:uid="{00000000-0005-0000-0000-0000CE850000}"/>
    <cellStyle name="Normal 152 29" xfId="34224" xr:uid="{00000000-0005-0000-0000-0000CF850000}"/>
    <cellStyle name="Normal 152 3" xfId="34225" xr:uid="{00000000-0005-0000-0000-0000D0850000}"/>
    <cellStyle name="Normal 152 30" xfId="34226" xr:uid="{00000000-0005-0000-0000-0000D1850000}"/>
    <cellStyle name="Normal 152 31" xfId="34227" xr:uid="{00000000-0005-0000-0000-0000D2850000}"/>
    <cellStyle name="Normal 152 32" xfId="34228" xr:uid="{00000000-0005-0000-0000-0000D3850000}"/>
    <cellStyle name="Normal 152 4" xfId="34229" xr:uid="{00000000-0005-0000-0000-0000D4850000}"/>
    <cellStyle name="Normal 152 5" xfId="34230" xr:uid="{00000000-0005-0000-0000-0000D5850000}"/>
    <cellStyle name="Normal 152 6" xfId="34231" xr:uid="{00000000-0005-0000-0000-0000D6850000}"/>
    <cellStyle name="Normal 152 7" xfId="34232" xr:uid="{00000000-0005-0000-0000-0000D7850000}"/>
    <cellStyle name="Normal 152 8" xfId="34233" xr:uid="{00000000-0005-0000-0000-0000D8850000}"/>
    <cellStyle name="Normal 152 9" xfId="34234" xr:uid="{00000000-0005-0000-0000-0000D9850000}"/>
    <cellStyle name="Normal 153" xfId="34235" xr:uid="{00000000-0005-0000-0000-0000DA850000}"/>
    <cellStyle name="Normal 153 2" xfId="34236" xr:uid="{00000000-0005-0000-0000-0000DB850000}"/>
    <cellStyle name="Normal 154" xfId="34237" xr:uid="{00000000-0005-0000-0000-0000DC850000}"/>
    <cellStyle name="Normal 154 2" xfId="34238" xr:uid="{00000000-0005-0000-0000-0000DD850000}"/>
    <cellStyle name="Normal 155" xfId="34239" xr:uid="{00000000-0005-0000-0000-0000DE850000}"/>
    <cellStyle name="Normal 155 2" xfId="34240" xr:uid="{00000000-0005-0000-0000-0000DF850000}"/>
    <cellStyle name="Normal 156" xfId="34241" xr:uid="{00000000-0005-0000-0000-0000E0850000}"/>
    <cellStyle name="Normal 156 2" xfId="34242" xr:uid="{00000000-0005-0000-0000-0000E1850000}"/>
    <cellStyle name="Normal 157" xfId="34243" xr:uid="{00000000-0005-0000-0000-0000E2850000}"/>
    <cellStyle name="Normal 157 2" xfId="34244" xr:uid="{00000000-0005-0000-0000-0000E3850000}"/>
    <cellStyle name="Normal 157 2 2" xfId="34245" xr:uid="{00000000-0005-0000-0000-0000E4850000}"/>
    <cellStyle name="Normal 157 2 2 2" xfId="34246" xr:uid="{00000000-0005-0000-0000-0000E5850000}"/>
    <cellStyle name="Normal 157 2 3" xfId="34247" xr:uid="{00000000-0005-0000-0000-0000E6850000}"/>
    <cellStyle name="Normal 157 3" xfId="34248" xr:uid="{00000000-0005-0000-0000-0000E7850000}"/>
    <cellStyle name="Normal 157 3 2" xfId="34249" xr:uid="{00000000-0005-0000-0000-0000E8850000}"/>
    <cellStyle name="Normal 157 4" xfId="34250" xr:uid="{00000000-0005-0000-0000-0000E9850000}"/>
    <cellStyle name="Normal 158" xfId="34251" xr:uid="{00000000-0005-0000-0000-0000EA850000}"/>
    <cellStyle name="Normal 158 2" xfId="34252" xr:uid="{00000000-0005-0000-0000-0000EB850000}"/>
    <cellStyle name="Normal 158 2 2" xfId="34253" xr:uid="{00000000-0005-0000-0000-0000EC850000}"/>
    <cellStyle name="Normal 158 2 2 2" xfId="34254" xr:uid="{00000000-0005-0000-0000-0000ED850000}"/>
    <cellStyle name="Normal 158 2 3" xfId="34255" xr:uid="{00000000-0005-0000-0000-0000EE850000}"/>
    <cellStyle name="Normal 158 3" xfId="34256" xr:uid="{00000000-0005-0000-0000-0000EF850000}"/>
    <cellStyle name="Normal 158 3 2" xfId="34257" xr:uid="{00000000-0005-0000-0000-0000F0850000}"/>
    <cellStyle name="Normal 158 4" xfId="34258" xr:uid="{00000000-0005-0000-0000-0000F1850000}"/>
    <cellStyle name="Normal 159" xfId="34259" xr:uid="{00000000-0005-0000-0000-0000F2850000}"/>
    <cellStyle name="Normal 16" xfId="34260" xr:uid="{00000000-0005-0000-0000-0000F3850000}"/>
    <cellStyle name="Normal 16 2" xfId="34261" xr:uid="{00000000-0005-0000-0000-0000F4850000}"/>
    <cellStyle name="Normal 16 2 2" xfId="34262" xr:uid="{00000000-0005-0000-0000-0000F5850000}"/>
    <cellStyle name="Normal 16 3" xfId="34263" xr:uid="{00000000-0005-0000-0000-0000F6850000}"/>
    <cellStyle name="Normal 160" xfId="34264" xr:uid="{00000000-0005-0000-0000-0000F7850000}"/>
    <cellStyle name="Normal 160 2" xfId="34265" xr:uid="{00000000-0005-0000-0000-0000F8850000}"/>
    <cellStyle name="Normal 160 2 2" xfId="34266" xr:uid="{00000000-0005-0000-0000-0000F9850000}"/>
    <cellStyle name="Normal 160 3" xfId="34267" xr:uid="{00000000-0005-0000-0000-0000FA850000}"/>
    <cellStyle name="Normal 161" xfId="34268" xr:uid="{00000000-0005-0000-0000-0000FB850000}"/>
    <cellStyle name="Normal 161 2" xfId="34269" xr:uid="{00000000-0005-0000-0000-0000FC850000}"/>
    <cellStyle name="Normal 161 2 2" xfId="34270" xr:uid="{00000000-0005-0000-0000-0000FD850000}"/>
    <cellStyle name="Normal 161 3" xfId="34271" xr:uid="{00000000-0005-0000-0000-0000FE850000}"/>
    <cellStyle name="Normal 162" xfId="34272" xr:uid="{00000000-0005-0000-0000-0000FF850000}"/>
    <cellStyle name="Normal 162 2" xfId="34273" xr:uid="{00000000-0005-0000-0000-000000860000}"/>
    <cellStyle name="Normal 162 2 2" xfId="34274" xr:uid="{00000000-0005-0000-0000-000001860000}"/>
    <cellStyle name="Normal 162 3" xfId="34275" xr:uid="{00000000-0005-0000-0000-000002860000}"/>
    <cellStyle name="Normal 163" xfId="34276" xr:uid="{00000000-0005-0000-0000-000003860000}"/>
    <cellStyle name="Normal 164" xfId="34277" xr:uid="{00000000-0005-0000-0000-000004860000}"/>
    <cellStyle name="Normal 165" xfId="34278" xr:uid="{00000000-0005-0000-0000-000005860000}"/>
    <cellStyle name="Normal 166" xfId="34279" xr:uid="{00000000-0005-0000-0000-000006860000}"/>
    <cellStyle name="Normal 166 2" xfId="34280" xr:uid="{00000000-0005-0000-0000-000007860000}"/>
    <cellStyle name="Normal 166 2 2" xfId="34281" xr:uid="{00000000-0005-0000-0000-000008860000}"/>
    <cellStyle name="Normal 166 3" xfId="34282" xr:uid="{00000000-0005-0000-0000-000009860000}"/>
    <cellStyle name="Normal 167" xfId="34283" xr:uid="{00000000-0005-0000-0000-00000A860000}"/>
    <cellStyle name="Normal 168" xfId="34284" xr:uid="{00000000-0005-0000-0000-00000B860000}"/>
    <cellStyle name="Normal 168 2" xfId="34285" xr:uid="{00000000-0005-0000-0000-00000C860000}"/>
    <cellStyle name="Normal 168 2 2" xfId="34286" xr:uid="{00000000-0005-0000-0000-00000D860000}"/>
    <cellStyle name="Normal 168 3" xfId="34287" xr:uid="{00000000-0005-0000-0000-00000E860000}"/>
    <cellStyle name="Normal 169" xfId="34288" xr:uid="{00000000-0005-0000-0000-00000F860000}"/>
    <cellStyle name="Normal 17" xfId="34289" xr:uid="{00000000-0005-0000-0000-000010860000}"/>
    <cellStyle name="Normal 17 2" xfId="34290" xr:uid="{00000000-0005-0000-0000-000011860000}"/>
    <cellStyle name="Normal 17 2 2" xfId="34291" xr:uid="{00000000-0005-0000-0000-000012860000}"/>
    <cellStyle name="Normal 17 2 3" xfId="41038" xr:uid="{00000000-0005-0000-0000-000013860000}"/>
    <cellStyle name="Normal 17 3" xfId="34292" xr:uid="{00000000-0005-0000-0000-000014860000}"/>
    <cellStyle name="Normal 170" xfId="34293" xr:uid="{00000000-0005-0000-0000-000015860000}"/>
    <cellStyle name="Normal 171" xfId="34294" xr:uid="{00000000-0005-0000-0000-000016860000}"/>
    <cellStyle name="Normal 172" xfId="34295" xr:uid="{00000000-0005-0000-0000-000017860000}"/>
    <cellStyle name="Normal 173" xfId="34296" xr:uid="{00000000-0005-0000-0000-000018860000}"/>
    <cellStyle name="Normal 173 2" xfId="34297" xr:uid="{00000000-0005-0000-0000-000019860000}"/>
    <cellStyle name="Normal 173 2 2" xfId="34298" xr:uid="{00000000-0005-0000-0000-00001A860000}"/>
    <cellStyle name="Normal 173 3" xfId="34299" xr:uid="{00000000-0005-0000-0000-00001B860000}"/>
    <cellStyle name="Normal 174" xfId="34300" xr:uid="{00000000-0005-0000-0000-00001C860000}"/>
    <cellStyle name="Normal 174 2" xfId="34301" xr:uid="{00000000-0005-0000-0000-00001D860000}"/>
    <cellStyle name="Normal 174 2 2" xfId="34302" xr:uid="{00000000-0005-0000-0000-00001E860000}"/>
    <cellStyle name="Normal 174 3" xfId="34303" xr:uid="{00000000-0005-0000-0000-00001F860000}"/>
    <cellStyle name="Normal 175" xfId="34304" xr:uid="{00000000-0005-0000-0000-000020860000}"/>
    <cellStyle name="Normal 176" xfId="34305" xr:uid="{00000000-0005-0000-0000-000021860000}"/>
    <cellStyle name="Normal 177" xfId="34306" xr:uid="{00000000-0005-0000-0000-000022860000}"/>
    <cellStyle name="Normal 178" xfId="34307" xr:uid="{00000000-0005-0000-0000-000023860000}"/>
    <cellStyle name="Normal 179" xfId="34308" xr:uid="{00000000-0005-0000-0000-000024860000}"/>
    <cellStyle name="Normal 18" xfId="34309" xr:uid="{00000000-0005-0000-0000-000025860000}"/>
    <cellStyle name="Normal 18 2" xfId="34310" xr:uid="{00000000-0005-0000-0000-000026860000}"/>
    <cellStyle name="Normal 18 2 2" xfId="34311" xr:uid="{00000000-0005-0000-0000-000027860000}"/>
    <cellStyle name="Normal 18 3" xfId="34312" xr:uid="{00000000-0005-0000-0000-000028860000}"/>
    <cellStyle name="Normal 180" xfId="34313" xr:uid="{00000000-0005-0000-0000-000029860000}"/>
    <cellStyle name="Normal 181" xfId="34314" xr:uid="{00000000-0005-0000-0000-00002A860000}"/>
    <cellStyle name="Normal 182" xfId="34315" xr:uid="{00000000-0005-0000-0000-00002B860000}"/>
    <cellStyle name="Normal 183" xfId="34316" xr:uid="{00000000-0005-0000-0000-00002C860000}"/>
    <cellStyle name="Normal 184" xfId="34317" xr:uid="{00000000-0005-0000-0000-00002D860000}"/>
    <cellStyle name="Normal 185" xfId="34318" xr:uid="{00000000-0005-0000-0000-00002E860000}"/>
    <cellStyle name="Normal 186" xfId="34319" xr:uid="{00000000-0005-0000-0000-00002F860000}"/>
    <cellStyle name="Normal 187" xfId="34320" xr:uid="{00000000-0005-0000-0000-000030860000}"/>
    <cellStyle name="Normal 188" xfId="34321" xr:uid="{00000000-0005-0000-0000-000031860000}"/>
    <cellStyle name="Normal 189" xfId="34322" xr:uid="{00000000-0005-0000-0000-000032860000}"/>
    <cellStyle name="Normal 19" xfId="34323" xr:uid="{00000000-0005-0000-0000-000033860000}"/>
    <cellStyle name="Normal 19 2" xfId="34324" xr:uid="{00000000-0005-0000-0000-000034860000}"/>
    <cellStyle name="Normal 19 3" xfId="34325" xr:uid="{00000000-0005-0000-0000-000035860000}"/>
    <cellStyle name="Normal 190" xfId="34326" xr:uid="{00000000-0005-0000-0000-000036860000}"/>
    <cellStyle name="Normal 191" xfId="34327" xr:uid="{00000000-0005-0000-0000-000037860000}"/>
    <cellStyle name="Normal 192" xfId="34328" xr:uid="{00000000-0005-0000-0000-000038860000}"/>
    <cellStyle name="Normal 193" xfId="34329" xr:uid="{00000000-0005-0000-0000-000039860000}"/>
    <cellStyle name="Normal 194" xfId="34330" xr:uid="{00000000-0005-0000-0000-00003A860000}"/>
    <cellStyle name="Normal 195" xfId="34331" xr:uid="{00000000-0005-0000-0000-00003B860000}"/>
    <cellStyle name="Normal 196" xfId="34332" xr:uid="{00000000-0005-0000-0000-00003C860000}"/>
    <cellStyle name="Normal 197" xfId="34333" xr:uid="{00000000-0005-0000-0000-00003D860000}"/>
    <cellStyle name="Normal 198" xfId="34334" xr:uid="{00000000-0005-0000-0000-00003E860000}"/>
    <cellStyle name="Normal 199" xfId="34335" xr:uid="{00000000-0005-0000-0000-00003F860000}"/>
    <cellStyle name="Normal 2" xfId="3" xr:uid="{00000000-0005-0000-0000-000040860000}"/>
    <cellStyle name="Normal 2 10" xfId="34336" xr:uid="{00000000-0005-0000-0000-000041860000}"/>
    <cellStyle name="Normal 2 10 2" xfId="34337" xr:uid="{00000000-0005-0000-0000-000042860000}"/>
    <cellStyle name="Normal 2 11" xfId="34338" xr:uid="{00000000-0005-0000-0000-000043860000}"/>
    <cellStyle name="Normal 2 11 2" xfId="34339" xr:uid="{00000000-0005-0000-0000-000044860000}"/>
    <cellStyle name="Normal 2 12" xfId="34340" xr:uid="{00000000-0005-0000-0000-000045860000}"/>
    <cellStyle name="Normal 2 13" xfId="34341" xr:uid="{00000000-0005-0000-0000-000046860000}"/>
    <cellStyle name="Normal 2 14" xfId="34342" xr:uid="{00000000-0005-0000-0000-000047860000}"/>
    <cellStyle name="Normal 2 15" xfId="34343" xr:uid="{00000000-0005-0000-0000-000048860000}"/>
    <cellStyle name="Normal 2 16" xfId="34344" xr:uid="{00000000-0005-0000-0000-000049860000}"/>
    <cellStyle name="Normal 2 17" xfId="34345" xr:uid="{00000000-0005-0000-0000-00004A860000}"/>
    <cellStyle name="Normal 2 18" xfId="34346" xr:uid="{00000000-0005-0000-0000-00004B860000}"/>
    <cellStyle name="Normal 2 19" xfId="41071" xr:uid="{00000000-0005-0000-0000-000029000000}"/>
    <cellStyle name="Normal 2 2" xfId="34347" xr:uid="{00000000-0005-0000-0000-00004C860000}"/>
    <cellStyle name="Normal 2 2 2" xfId="34348" xr:uid="{00000000-0005-0000-0000-00004D860000}"/>
    <cellStyle name="Normal 2 2 2 2" xfId="34349" xr:uid="{00000000-0005-0000-0000-00004E860000}"/>
    <cellStyle name="Normal 2 2 3" xfId="34350" xr:uid="{00000000-0005-0000-0000-00004F860000}"/>
    <cellStyle name="Normal 2 2 4" xfId="34351" xr:uid="{00000000-0005-0000-0000-000050860000}"/>
    <cellStyle name="Normal 2 2 5" xfId="41072" xr:uid="{00000000-0005-0000-0000-00002A000000}"/>
    <cellStyle name="Normal 2 3" xfId="34352" xr:uid="{00000000-0005-0000-0000-000051860000}"/>
    <cellStyle name="Normal 2 3 2" xfId="34353" xr:uid="{00000000-0005-0000-0000-000052860000}"/>
    <cellStyle name="Normal 2 3 2 2" xfId="34354" xr:uid="{00000000-0005-0000-0000-000053860000}"/>
    <cellStyle name="Normal 2 3 3" xfId="34355" xr:uid="{00000000-0005-0000-0000-000054860000}"/>
    <cellStyle name="Normal 2 3 4" xfId="41073" xr:uid="{00000000-0005-0000-0000-00002B000000}"/>
    <cellStyle name="Normal 2 4" xfId="34356" xr:uid="{00000000-0005-0000-0000-000055860000}"/>
    <cellStyle name="Normal 2 4 2" xfId="34357" xr:uid="{00000000-0005-0000-0000-000056860000}"/>
    <cellStyle name="Normal 2 5" xfId="34358" xr:uid="{00000000-0005-0000-0000-000057860000}"/>
    <cellStyle name="Normal 2 5 2" xfId="34359" xr:uid="{00000000-0005-0000-0000-000058860000}"/>
    <cellStyle name="Normal 2 6" xfId="34360" xr:uid="{00000000-0005-0000-0000-000059860000}"/>
    <cellStyle name="Normal 2 6 2" xfId="34361" xr:uid="{00000000-0005-0000-0000-00005A860000}"/>
    <cellStyle name="Normal 2 7" xfId="34362" xr:uid="{00000000-0005-0000-0000-00005B860000}"/>
    <cellStyle name="Normal 2 7 2" xfId="34363" xr:uid="{00000000-0005-0000-0000-00005C860000}"/>
    <cellStyle name="Normal 2 8" xfId="34364" xr:uid="{00000000-0005-0000-0000-00005D860000}"/>
    <cellStyle name="Normal 2 8 2" xfId="34365" xr:uid="{00000000-0005-0000-0000-00005E860000}"/>
    <cellStyle name="Normal 2 9" xfId="34366" xr:uid="{00000000-0005-0000-0000-00005F860000}"/>
    <cellStyle name="Normal 2 9 2" xfId="34367" xr:uid="{00000000-0005-0000-0000-000060860000}"/>
    <cellStyle name="Normal 20" xfId="34368" xr:uid="{00000000-0005-0000-0000-000061860000}"/>
    <cellStyle name="Normal 20 2" xfId="34369" xr:uid="{00000000-0005-0000-0000-000062860000}"/>
    <cellStyle name="Normal 20 3" xfId="34370" xr:uid="{00000000-0005-0000-0000-000063860000}"/>
    <cellStyle name="Normal 200" xfId="34371" xr:uid="{00000000-0005-0000-0000-000064860000}"/>
    <cellStyle name="Normal 200 2" xfId="34372" xr:uid="{00000000-0005-0000-0000-000065860000}"/>
    <cellStyle name="Normal 200 2 2" xfId="34373" xr:uid="{00000000-0005-0000-0000-000066860000}"/>
    <cellStyle name="Normal 200 3" xfId="34374" xr:uid="{00000000-0005-0000-0000-000067860000}"/>
    <cellStyle name="Normal 201" xfId="34375" xr:uid="{00000000-0005-0000-0000-000068860000}"/>
    <cellStyle name="Normal 201 2" xfId="34376" xr:uid="{00000000-0005-0000-0000-000069860000}"/>
    <cellStyle name="Normal 201 2 2" xfId="34377" xr:uid="{00000000-0005-0000-0000-00006A860000}"/>
    <cellStyle name="Normal 201 3" xfId="34378" xr:uid="{00000000-0005-0000-0000-00006B860000}"/>
    <cellStyle name="Normal 202" xfId="34379" xr:uid="{00000000-0005-0000-0000-00006C860000}"/>
    <cellStyle name="Normal 202 2" xfId="34380" xr:uid="{00000000-0005-0000-0000-00006D860000}"/>
    <cellStyle name="Normal 202 2 2" xfId="34381" xr:uid="{00000000-0005-0000-0000-00006E860000}"/>
    <cellStyle name="Normal 202 3" xfId="34382" xr:uid="{00000000-0005-0000-0000-00006F860000}"/>
    <cellStyle name="Normal 203" xfId="34383" xr:uid="{00000000-0005-0000-0000-000070860000}"/>
    <cellStyle name="Normal 204" xfId="34384" xr:uid="{00000000-0005-0000-0000-000071860000}"/>
    <cellStyle name="Normal 205" xfId="34385" xr:uid="{00000000-0005-0000-0000-000072860000}"/>
    <cellStyle name="Normal 206" xfId="34386" xr:uid="{00000000-0005-0000-0000-000073860000}"/>
    <cellStyle name="Normal 207" xfId="34387" xr:uid="{00000000-0005-0000-0000-000074860000}"/>
    <cellStyle name="Normal 208" xfId="34388" xr:uid="{00000000-0005-0000-0000-000075860000}"/>
    <cellStyle name="Normal 209" xfId="34389" xr:uid="{00000000-0005-0000-0000-000076860000}"/>
    <cellStyle name="Normal 21" xfId="34390" xr:uid="{00000000-0005-0000-0000-000077860000}"/>
    <cellStyle name="Normal 21 2" xfId="34391" xr:uid="{00000000-0005-0000-0000-000078860000}"/>
    <cellStyle name="Normal 21 3" xfId="34392" xr:uid="{00000000-0005-0000-0000-000079860000}"/>
    <cellStyle name="Normal 210" xfId="34393" xr:uid="{00000000-0005-0000-0000-00007A860000}"/>
    <cellStyle name="Normal 211" xfId="34394" xr:uid="{00000000-0005-0000-0000-00007B860000}"/>
    <cellStyle name="Normal 212" xfId="34395" xr:uid="{00000000-0005-0000-0000-00007C860000}"/>
    <cellStyle name="Normal 212 2" xfId="34396" xr:uid="{00000000-0005-0000-0000-00007D860000}"/>
    <cellStyle name="Normal 212 2 2" xfId="34397" xr:uid="{00000000-0005-0000-0000-00007E860000}"/>
    <cellStyle name="Normal 212 3" xfId="34398" xr:uid="{00000000-0005-0000-0000-00007F860000}"/>
    <cellStyle name="Normal 213" xfId="34399" xr:uid="{00000000-0005-0000-0000-000080860000}"/>
    <cellStyle name="Normal 214" xfId="34400" xr:uid="{00000000-0005-0000-0000-000081860000}"/>
    <cellStyle name="Normal 214 2" xfId="34401" xr:uid="{00000000-0005-0000-0000-000082860000}"/>
    <cellStyle name="Normal 214 2 2" xfId="34402" xr:uid="{00000000-0005-0000-0000-000083860000}"/>
    <cellStyle name="Normal 214 3" xfId="34403" xr:uid="{00000000-0005-0000-0000-000084860000}"/>
    <cellStyle name="Normal 215" xfId="34404" xr:uid="{00000000-0005-0000-0000-000085860000}"/>
    <cellStyle name="Normal 216" xfId="34405" xr:uid="{00000000-0005-0000-0000-000086860000}"/>
    <cellStyle name="Normal 216 2" xfId="34406" xr:uid="{00000000-0005-0000-0000-000087860000}"/>
    <cellStyle name="Normal 216 2 2" xfId="34407" xr:uid="{00000000-0005-0000-0000-000088860000}"/>
    <cellStyle name="Normal 216 3" xfId="34408" xr:uid="{00000000-0005-0000-0000-000089860000}"/>
    <cellStyle name="Normal 217" xfId="34409" xr:uid="{00000000-0005-0000-0000-00008A860000}"/>
    <cellStyle name="Normal 218" xfId="34410" xr:uid="{00000000-0005-0000-0000-00008B860000}"/>
    <cellStyle name="Normal 218 2" xfId="34411" xr:uid="{00000000-0005-0000-0000-00008C860000}"/>
    <cellStyle name="Normal 218 2 2" xfId="34412" xr:uid="{00000000-0005-0000-0000-00008D860000}"/>
    <cellStyle name="Normal 218 3" xfId="34413" xr:uid="{00000000-0005-0000-0000-00008E860000}"/>
    <cellStyle name="Normal 219" xfId="34414" xr:uid="{00000000-0005-0000-0000-00008F860000}"/>
    <cellStyle name="Normal 219 2" xfId="34415" xr:uid="{00000000-0005-0000-0000-000090860000}"/>
    <cellStyle name="Normal 219 2 2" xfId="34416" xr:uid="{00000000-0005-0000-0000-000091860000}"/>
    <cellStyle name="Normal 219 3" xfId="34417" xr:uid="{00000000-0005-0000-0000-000092860000}"/>
    <cellStyle name="Normal 22" xfId="34418" xr:uid="{00000000-0005-0000-0000-000093860000}"/>
    <cellStyle name="Normal 22 2" xfId="34419" xr:uid="{00000000-0005-0000-0000-000094860000}"/>
    <cellStyle name="Normal 22 3" xfId="34420" xr:uid="{00000000-0005-0000-0000-000095860000}"/>
    <cellStyle name="Normal 220" xfId="34421" xr:uid="{00000000-0005-0000-0000-000096860000}"/>
    <cellStyle name="Normal 220 2" xfId="34422" xr:uid="{00000000-0005-0000-0000-000097860000}"/>
    <cellStyle name="Normal 220 2 2" xfId="34423" xr:uid="{00000000-0005-0000-0000-000098860000}"/>
    <cellStyle name="Normal 220 3" xfId="34424" xr:uid="{00000000-0005-0000-0000-000099860000}"/>
    <cellStyle name="Normal 221" xfId="34425" xr:uid="{00000000-0005-0000-0000-00009A860000}"/>
    <cellStyle name="Normal 221 2" xfId="34426" xr:uid="{00000000-0005-0000-0000-00009B860000}"/>
    <cellStyle name="Normal 221 2 2" xfId="34427" xr:uid="{00000000-0005-0000-0000-00009C860000}"/>
    <cellStyle name="Normal 221 3" xfId="34428" xr:uid="{00000000-0005-0000-0000-00009D860000}"/>
    <cellStyle name="Normal 222" xfId="34429" xr:uid="{00000000-0005-0000-0000-00009E860000}"/>
    <cellStyle name="Normal 223" xfId="34430" xr:uid="{00000000-0005-0000-0000-00009F860000}"/>
    <cellStyle name="Normal 224" xfId="34431" xr:uid="{00000000-0005-0000-0000-0000A0860000}"/>
    <cellStyle name="Normal 225" xfId="34432" xr:uid="{00000000-0005-0000-0000-0000A1860000}"/>
    <cellStyle name="Normal 226" xfId="34433" xr:uid="{00000000-0005-0000-0000-0000A2860000}"/>
    <cellStyle name="Normal 227" xfId="34434" xr:uid="{00000000-0005-0000-0000-0000A3860000}"/>
    <cellStyle name="Normal 228" xfId="34435" xr:uid="{00000000-0005-0000-0000-0000A4860000}"/>
    <cellStyle name="Normal 229" xfId="34436" xr:uid="{00000000-0005-0000-0000-0000A5860000}"/>
    <cellStyle name="Normal 23" xfId="34437" xr:uid="{00000000-0005-0000-0000-0000A6860000}"/>
    <cellStyle name="Normal 23 2" xfId="34438" xr:uid="{00000000-0005-0000-0000-0000A7860000}"/>
    <cellStyle name="Normal 230" xfId="34439" xr:uid="{00000000-0005-0000-0000-0000A8860000}"/>
    <cellStyle name="Normal 231" xfId="34440" xr:uid="{00000000-0005-0000-0000-0000A9860000}"/>
    <cellStyle name="Normal 231 2" xfId="34441" xr:uid="{00000000-0005-0000-0000-0000AA860000}"/>
    <cellStyle name="Normal 231 2 2" xfId="34442" xr:uid="{00000000-0005-0000-0000-0000AB860000}"/>
    <cellStyle name="Normal 231 3" xfId="34443" xr:uid="{00000000-0005-0000-0000-0000AC860000}"/>
    <cellStyle name="Normal 232" xfId="34444" xr:uid="{00000000-0005-0000-0000-0000AD860000}"/>
    <cellStyle name="Normal 232 2" xfId="34445" xr:uid="{00000000-0005-0000-0000-0000AE860000}"/>
    <cellStyle name="Normal 232 2 2" xfId="34446" xr:uid="{00000000-0005-0000-0000-0000AF860000}"/>
    <cellStyle name="Normal 232 3" xfId="34447" xr:uid="{00000000-0005-0000-0000-0000B0860000}"/>
    <cellStyle name="Normal 233" xfId="34448" xr:uid="{00000000-0005-0000-0000-0000B1860000}"/>
    <cellStyle name="Normal 233 2" xfId="34449" xr:uid="{00000000-0005-0000-0000-0000B2860000}"/>
    <cellStyle name="Normal 233 2 2" xfId="34450" xr:uid="{00000000-0005-0000-0000-0000B3860000}"/>
    <cellStyle name="Normal 233 3" xfId="34451" xr:uid="{00000000-0005-0000-0000-0000B4860000}"/>
    <cellStyle name="Normal 234" xfId="34452" xr:uid="{00000000-0005-0000-0000-0000B5860000}"/>
    <cellStyle name="Normal 234 2" xfId="34453" xr:uid="{00000000-0005-0000-0000-0000B6860000}"/>
    <cellStyle name="Normal 234 2 2" xfId="34454" xr:uid="{00000000-0005-0000-0000-0000B7860000}"/>
    <cellStyle name="Normal 234 3" xfId="34455" xr:uid="{00000000-0005-0000-0000-0000B8860000}"/>
    <cellStyle name="Normal 235" xfId="34456" xr:uid="{00000000-0005-0000-0000-0000B9860000}"/>
    <cellStyle name="Normal 235 2" xfId="34457" xr:uid="{00000000-0005-0000-0000-0000BA860000}"/>
    <cellStyle name="Normal 235 2 2" xfId="34458" xr:uid="{00000000-0005-0000-0000-0000BB860000}"/>
    <cellStyle name="Normal 235 3" xfId="34459" xr:uid="{00000000-0005-0000-0000-0000BC860000}"/>
    <cellStyle name="Normal 236" xfId="34460" xr:uid="{00000000-0005-0000-0000-0000BD860000}"/>
    <cellStyle name="Normal 237" xfId="34461" xr:uid="{00000000-0005-0000-0000-0000BE860000}"/>
    <cellStyle name="Normal 238" xfId="34462" xr:uid="{00000000-0005-0000-0000-0000BF860000}"/>
    <cellStyle name="Normal 239" xfId="34463" xr:uid="{00000000-0005-0000-0000-0000C0860000}"/>
    <cellStyle name="Normal 239 2" xfId="34464" xr:uid="{00000000-0005-0000-0000-0000C1860000}"/>
    <cellStyle name="Normal 239 2 2" xfId="34465" xr:uid="{00000000-0005-0000-0000-0000C2860000}"/>
    <cellStyle name="Normal 239 3" xfId="34466" xr:uid="{00000000-0005-0000-0000-0000C3860000}"/>
    <cellStyle name="Normal 24" xfId="34467" xr:uid="{00000000-0005-0000-0000-0000C4860000}"/>
    <cellStyle name="Normal 24 10" xfId="34468" xr:uid="{00000000-0005-0000-0000-0000C5860000}"/>
    <cellStyle name="Normal 24 11" xfId="34469" xr:uid="{00000000-0005-0000-0000-0000C6860000}"/>
    <cellStyle name="Normal 24 12" xfId="34470" xr:uid="{00000000-0005-0000-0000-0000C7860000}"/>
    <cellStyle name="Normal 24 13" xfId="34471" xr:uid="{00000000-0005-0000-0000-0000C8860000}"/>
    <cellStyle name="Normal 24 14" xfId="34472" xr:uid="{00000000-0005-0000-0000-0000C9860000}"/>
    <cellStyle name="Normal 24 15" xfId="34473" xr:uid="{00000000-0005-0000-0000-0000CA860000}"/>
    <cellStyle name="Normal 24 16" xfId="34474" xr:uid="{00000000-0005-0000-0000-0000CB860000}"/>
    <cellStyle name="Normal 24 17" xfId="34475" xr:uid="{00000000-0005-0000-0000-0000CC860000}"/>
    <cellStyle name="Normal 24 18" xfId="34476" xr:uid="{00000000-0005-0000-0000-0000CD860000}"/>
    <cellStyle name="Normal 24 19" xfId="34477" xr:uid="{00000000-0005-0000-0000-0000CE860000}"/>
    <cellStyle name="Normal 24 2" xfId="34478" xr:uid="{00000000-0005-0000-0000-0000CF860000}"/>
    <cellStyle name="Normal 24 2 2" xfId="34479" xr:uid="{00000000-0005-0000-0000-0000D0860000}"/>
    <cellStyle name="Normal 24 20" xfId="34480" xr:uid="{00000000-0005-0000-0000-0000D1860000}"/>
    <cellStyle name="Normal 24 21" xfId="34481" xr:uid="{00000000-0005-0000-0000-0000D2860000}"/>
    <cellStyle name="Normal 24 22" xfId="34482" xr:uid="{00000000-0005-0000-0000-0000D3860000}"/>
    <cellStyle name="Normal 24 23" xfId="34483" xr:uid="{00000000-0005-0000-0000-0000D4860000}"/>
    <cellStyle name="Normal 24 24" xfId="34484" xr:uid="{00000000-0005-0000-0000-0000D5860000}"/>
    <cellStyle name="Normal 24 25" xfId="34485" xr:uid="{00000000-0005-0000-0000-0000D6860000}"/>
    <cellStyle name="Normal 24 26" xfId="34486" xr:uid="{00000000-0005-0000-0000-0000D7860000}"/>
    <cellStyle name="Normal 24 27" xfId="34487" xr:uid="{00000000-0005-0000-0000-0000D8860000}"/>
    <cellStyle name="Normal 24 28" xfId="34488" xr:uid="{00000000-0005-0000-0000-0000D9860000}"/>
    <cellStyle name="Normal 24 29" xfId="34489" xr:uid="{00000000-0005-0000-0000-0000DA860000}"/>
    <cellStyle name="Normal 24 3" xfId="34490" xr:uid="{00000000-0005-0000-0000-0000DB860000}"/>
    <cellStyle name="Normal 24 30" xfId="34491" xr:uid="{00000000-0005-0000-0000-0000DC860000}"/>
    <cellStyle name="Normal 24 31" xfId="34492" xr:uid="{00000000-0005-0000-0000-0000DD860000}"/>
    <cellStyle name="Normal 24 32" xfId="34493" xr:uid="{00000000-0005-0000-0000-0000DE860000}"/>
    <cellStyle name="Normal 24 33" xfId="34494" xr:uid="{00000000-0005-0000-0000-0000DF860000}"/>
    <cellStyle name="Normal 24 34" xfId="34495" xr:uid="{00000000-0005-0000-0000-0000E0860000}"/>
    <cellStyle name="Normal 24 35" xfId="34496" xr:uid="{00000000-0005-0000-0000-0000E1860000}"/>
    <cellStyle name="Normal 24 36" xfId="34497" xr:uid="{00000000-0005-0000-0000-0000E2860000}"/>
    <cellStyle name="Normal 24 4" xfId="34498" xr:uid="{00000000-0005-0000-0000-0000E3860000}"/>
    <cellStyle name="Normal 24 5" xfId="34499" xr:uid="{00000000-0005-0000-0000-0000E4860000}"/>
    <cellStyle name="Normal 24 6" xfId="34500" xr:uid="{00000000-0005-0000-0000-0000E5860000}"/>
    <cellStyle name="Normal 24 7" xfId="34501" xr:uid="{00000000-0005-0000-0000-0000E6860000}"/>
    <cellStyle name="Normal 24 8" xfId="34502" xr:uid="{00000000-0005-0000-0000-0000E7860000}"/>
    <cellStyle name="Normal 24 9" xfId="34503" xr:uid="{00000000-0005-0000-0000-0000E8860000}"/>
    <cellStyle name="Normal 240" xfId="34504" xr:uid="{00000000-0005-0000-0000-0000E9860000}"/>
    <cellStyle name="Normal 240 2" xfId="34505" xr:uid="{00000000-0005-0000-0000-0000EA860000}"/>
    <cellStyle name="Normal 240 2 2" xfId="34506" xr:uid="{00000000-0005-0000-0000-0000EB860000}"/>
    <cellStyle name="Normal 240 3" xfId="34507" xr:uid="{00000000-0005-0000-0000-0000EC860000}"/>
    <cellStyle name="Normal 241" xfId="34508" xr:uid="{00000000-0005-0000-0000-0000ED860000}"/>
    <cellStyle name="Normal 241 2" xfId="34509" xr:uid="{00000000-0005-0000-0000-0000EE860000}"/>
    <cellStyle name="Normal 241 2 2" xfId="34510" xr:uid="{00000000-0005-0000-0000-0000EF860000}"/>
    <cellStyle name="Normal 241 3" xfId="34511" xr:uid="{00000000-0005-0000-0000-0000F0860000}"/>
    <cellStyle name="Normal 242" xfId="34512" xr:uid="{00000000-0005-0000-0000-0000F1860000}"/>
    <cellStyle name="Normal 242 2" xfId="34513" xr:uid="{00000000-0005-0000-0000-0000F2860000}"/>
    <cellStyle name="Normal 242 2 2" xfId="34514" xr:uid="{00000000-0005-0000-0000-0000F3860000}"/>
    <cellStyle name="Normal 242 3" xfId="34515" xr:uid="{00000000-0005-0000-0000-0000F4860000}"/>
    <cellStyle name="Normal 243" xfId="34516" xr:uid="{00000000-0005-0000-0000-0000F5860000}"/>
    <cellStyle name="Normal 243 2" xfId="34517" xr:uid="{00000000-0005-0000-0000-0000F6860000}"/>
    <cellStyle name="Normal 244" xfId="34518" xr:uid="{00000000-0005-0000-0000-0000F7860000}"/>
    <cellStyle name="Normal 244 2" xfId="34519" xr:uid="{00000000-0005-0000-0000-0000F8860000}"/>
    <cellStyle name="Normal 245" xfId="34520" xr:uid="{00000000-0005-0000-0000-0000F9860000}"/>
    <cellStyle name="Normal 245 2" xfId="34521" xr:uid="{00000000-0005-0000-0000-0000FA860000}"/>
    <cellStyle name="Normal 246" xfId="40997" xr:uid="{00000000-0005-0000-0000-0000FB860000}"/>
    <cellStyle name="Normal 247" xfId="40996" xr:uid="{00000000-0005-0000-0000-0000FC860000}"/>
    <cellStyle name="Normal 248" xfId="41039" xr:uid="{00000000-0005-0000-0000-0000FD860000}"/>
    <cellStyle name="Normal 249" xfId="41082" xr:uid="{00000000-0005-0000-0000-000085A00000}"/>
    <cellStyle name="Normal 25" xfId="34522" xr:uid="{00000000-0005-0000-0000-0000FE860000}"/>
    <cellStyle name="Normal 25 10" xfId="34523" xr:uid="{00000000-0005-0000-0000-0000FF860000}"/>
    <cellStyle name="Normal 25 11" xfId="34524" xr:uid="{00000000-0005-0000-0000-000000870000}"/>
    <cellStyle name="Normal 25 12" xfId="34525" xr:uid="{00000000-0005-0000-0000-000001870000}"/>
    <cellStyle name="Normal 25 13" xfId="34526" xr:uid="{00000000-0005-0000-0000-000002870000}"/>
    <cellStyle name="Normal 25 14" xfId="34527" xr:uid="{00000000-0005-0000-0000-000003870000}"/>
    <cellStyle name="Normal 25 15" xfId="34528" xr:uid="{00000000-0005-0000-0000-000004870000}"/>
    <cellStyle name="Normal 25 16" xfId="34529" xr:uid="{00000000-0005-0000-0000-000005870000}"/>
    <cellStyle name="Normal 25 17" xfId="34530" xr:uid="{00000000-0005-0000-0000-000006870000}"/>
    <cellStyle name="Normal 25 18" xfId="34531" xr:uid="{00000000-0005-0000-0000-000007870000}"/>
    <cellStyle name="Normal 25 19" xfId="34532" xr:uid="{00000000-0005-0000-0000-000008870000}"/>
    <cellStyle name="Normal 25 2" xfId="34533" xr:uid="{00000000-0005-0000-0000-000009870000}"/>
    <cellStyle name="Normal 25 2 2" xfId="34534" xr:uid="{00000000-0005-0000-0000-00000A870000}"/>
    <cellStyle name="Normal 25 20" xfId="34535" xr:uid="{00000000-0005-0000-0000-00000B870000}"/>
    <cellStyle name="Normal 25 21" xfId="34536" xr:uid="{00000000-0005-0000-0000-00000C870000}"/>
    <cellStyle name="Normal 25 22" xfId="34537" xr:uid="{00000000-0005-0000-0000-00000D870000}"/>
    <cellStyle name="Normal 25 23" xfId="34538" xr:uid="{00000000-0005-0000-0000-00000E870000}"/>
    <cellStyle name="Normal 25 24" xfId="34539" xr:uid="{00000000-0005-0000-0000-00000F870000}"/>
    <cellStyle name="Normal 25 25" xfId="34540" xr:uid="{00000000-0005-0000-0000-000010870000}"/>
    <cellStyle name="Normal 25 26" xfId="34541" xr:uid="{00000000-0005-0000-0000-000011870000}"/>
    <cellStyle name="Normal 25 27" xfId="34542" xr:uid="{00000000-0005-0000-0000-000012870000}"/>
    <cellStyle name="Normal 25 28" xfId="34543" xr:uid="{00000000-0005-0000-0000-000013870000}"/>
    <cellStyle name="Normal 25 29" xfId="34544" xr:uid="{00000000-0005-0000-0000-000014870000}"/>
    <cellStyle name="Normal 25 3" xfId="34545" xr:uid="{00000000-0005-0000-0000-000015870000}"/>
    <cellStyle name="Normal 25 30" xfId="34546" xr:uid="{00000000-0005-0000-0000-000016870000}"/>
    <cellStyle name="Normal 25 31" xfId="34547" xr:uid="{00000000-0005-0000-0000-000017870000}"/>
    <cellStyle name="Normal 25 32" xfId="34548" xr:uid="{00000000-0005-0000-0000-000018870000}"/>
    <cellStyle name="Normal 25 33" xfId="34549" xr:uid="{00000000-0005-0000-0000-000019870000}"/>
    <cellStyle name="Normal 25 34" xfId="34550" xr:uid="{00000000-0005-0000-0000-00001A870000}"/>
    <cellStyle name="Normal 25 35" xfId="34551" xr:uid="{00000000-0005-0000-0000-00001B870000}"/>
    <cellStyle name="Normal 25 36" xfId="34552" xr:uid="{00000000-0005-0000-0000-00001C870000}"/>
    <cellStyle name="Normal 25 37" xfId="34553" xr:uid="{00000000-0005-0000-0000-00001D870000}"/>
    <cellStyle name="Normal 25 4" xfId="34554" xr:uid="{00000000-0005-0000-0000-00001E870000}"/>
    <cellStyle name="Normal 25 5" xfId="34555" xr:uid="{00000000-0005-0000-0000-00001F870000}"/>
    <cellStyle name="Normal 25 6" xfId="34556" xr:uid="{00000000-0005-0000-0000-000020870000}"/>
    <cellStyle name="Normal 25 7" xfId="34557" xr:uid="{00000000-0005-0000-0000-000021870000}"/>
    <cellStyle name="Normal 25 8" xfId="34558" xr:uid="{00000000-0005-0000-0000-000022870000}"/>
    <cellStyle name="Normal 25 9" xfId="34559" xr:uid="{00000000-0005-0000-0000-000023870000}"/>
    <cellStyle name="Normal 250" xfId="41083" xr:uid="{00000000-0005-0000-0000-000087A00000}"/>
    <cellStyle name="Normal 26" xfId="34560" xr:uid="{00000000-0005-0000-0000-000024870000}"/>
    <cellStyle name="Normal 26 10" xfId="34561" xr:uid="{00000000-0005-0000-0000-000025870000}"/>
    <cellStyle name="Normal 26 11" xfId="34562" xr:uid="{00000000-0005-0000-0000-000026870000}"/>
    <cellStyle name="Normal 26 12" xfId="34563" xr:uid="{00000000-0005-0000-0000-000027870000}"/>
    <cellStyle name="Normal 26 13" xfId="34564" xr:uid="{00000000-0005-0000-0000-000028870000}"/>
    <cellStyle name="Normal 26 14" xfId="34565" xr:uid="{00000000-0005-0000-0000-000029870000}"/>
    <cellStyle name="Normal 26 15" xfId="34566" xr:uid="{00000000-0005-0000-0000-00002A870000}"/>
    <cellStyle name="Normal 26 16" xfId="34567" xr:uid="{00000000-0005-0000-0000-00002B870000}"/>
    <cellStyle name="Normal 26 17" xfId="34568" xr:uid="{00000000-0005-0000-0000-00002C870000}"/>
    <cellStyle name="Normal 26 18" xfId="34569" xr:uid="{00000000-0005-0000-0000-00002D870000}"/>
    <cellStyle name="Normal 26 19" xfId="34570" xr:uid="{00000000-0005-0000-0000-00002E870000}"/>
    <cellStyle name="Normal 26 2" xfId="34571" xr:uid="{00000000-0005-0000-0000-00002F870000}"/>
    <cellStyle name="Normal 26 2 2" xfId="34572" xr:uid="{00000000-0005-0000-0000-000030870000}"/>
    <cellStyle name="Normal 26 20" xfId="34573" xr:uid="{00000000-0005-0000-0000-000031870000}"/>
    <cellStyle name="Normal 26 21" xfId="34574" xr:uid="{00000000-0005-0000-0000-000032870000}"/>
    <cellStyle name="Normal 26 22" xfId="34575" xr:uid="{00000000-0005-0000-0000-000033870000}"/>
    <cellStyle name="Normal 26 23" xfId="34576" xr:uid="{00000000-0005-0000-0000-000034870000}"/>
    <cellStyle name="Normal 26 24" xfId="34577" xr:uid="{00000000-0005-0000-0000-000035870000}"/>
    <cellStyle name="Normal 26 25" xfId="34578" xr:uid="{00000000-0005-0000-0000-000036870000}"/>
    <cellStyle name="Normal 26 26" xfId="34579" xr:uid="{00000000-0005-0000-0000-000037870000}"/>
    <cellStyle name="Normal 26 27" xfId="34580" xr:uid="{00000000-0005-0000-0000-000038870000}"/>
    <cellStyle name="Normal 26 28" xfId="34581" xr:uid="{00000000-0005-0000-0000-000039870000}"/>
    <cellStyle name="Normal 26 29" xfId="34582" xr:uid="{00000000-0005-0000-0000-00003A870000}"/>
    <cellStyle name="Normal 26 3" xfId="34583" xr:uid="{00000000-0005-0000-0000-00003B870000}"/>
    <cellStyle name="Normal 26 30" xfId="34584" xr:uid="{00000000-0005-0000-0000-00003C870000}"/>
    <cellStyle name="Normal 26 31" xfId="34585" xr:uid="{00000000-0005-0000-0000-00003D870000}"/>
    <cellStyle name="Normal 26 32" xfId="34586" xr:uid="{00000000-0005-0000-0000-00003E870000}"/>
    <cellStyle name="Normal 26 33" xfId="34587" xr:uid="{00000000-0005-0000-0000-00003F870000}"/>
    <cellStyle name="Normal 26 34" xfId="34588" xr:uid="{00000000-0005-0000-0000-000040870000}"/>
    <cellStyle name="Normal 26 35" xfId="34589" xr:uid="{00000000-0005-0000-0000-000041870000}"/>
    <cellStyle name="Normal 26 36" xfId="34590" xr:uid="{00000000-0005-0000-0000-000042870000}"/>
    <cellStyle name="Normal 26 37" xfId="34591" xr:uid="{00000000-0005-0000-0000-000043870000}"/>
    <cellStyle name="Normal 26 4" xfId="34592" xr:uid="{00000000-0005-0000-0000-000044870000}"/>
    <cellStyle name="Normal 26 5" xfId="34593" xr:uid="{00000000-0005-0000-0000-000045870000}"/>
    <cellStyle name="Normal 26 6" xfId="34594" xr:uid="{00000000-0005-0000-0000-000046870000}"/>
    <cellStyle name="Normal 26 7" xfId="34595" xr:uid="{00000000-0005-0000-0000-000047870000}"/>
    <cellStyle name="Normal 26 8" xfId="34596" xr:uid="{00000000-0005-0000-0000-000048870000}"/>
    <cellStyle name="Normal 26 9" xfId="34597" xr:uid="{00000000-0005-0000-0000-000049870000}"/>
    <cellStyle name="Normal 27" xfId="34598" xr:uid="{00000000-0005-0000-0000-00004A870000}"/>
    <cellStyle name="Normal 27 10" xfId="34599" xr:uid="{00000000-0005-0000-0000-00004B870000}"/>
    <cellStyle name="Normal 27 11" xfId="34600" xr:uid="{00000000-0005-0000-0000-00004C870000}"/>
    <cellStyle name="Normal 27 12" xfId="34601" xr:uid="{00000000-0005-0000-0000-00004D870000}"/>
    <cellStyle name="Normal 27 13" xfId="34602" xr:uid="{00000000-0005-0000-0000-00004E870000}"/>
    <cellStyle name="Normal 27 14" xfId="34603" xr:uid="{00000000-0005-0000-0000-00004F870000}"/>
    <cellStyle name="Normal 27 15" xfId="34604" xr:uid="{00000000-0005-0000-0000-000050870000}"/>
    <cellStyle name="Normal 27 16" xfId="34605" xr:uid="{00000000-0005-0000-0000-000051870000}"/>
    <cellStyle name="Normal 27 17" xfId="34606" xr:uid="{00000000-0005-0000-0000-000052870000}"/>
    <cellStyle name="Normal 27 18" xfId="34607" xr:uid="{00000000-0005-0000-0000-000053870000}"/>
    <cellStyle name="Normal 27 19" xfId="34608" xr:uid="{00000000-0005-0000-0000-000054870000}"/>
    <cellStyle name="Normal 27 2" xfId="34609" xr:uid="{00000000-0005-0000-0000-000055870000}"/>
    <cellStyle name="Normal 27 2 2" xfId="34610" xr:uid="{00000000-0005-0000-0000-000056870000}"/>
    <cellStyle name="Normal 27 20" xfId="34611" xr:uid="{00000000-0005-0000-0000-000057870000}"/>
    <cellStyle name="Normal 27 21" xfId="34612" xr:uid="{00000000-0005-0000-0000-000058870000}"/>
    <cellStyle name="Normal 27 22" xfId="34613" xr:uid="{00000000-0005-0000-0000-000059870000}"/>
    <cellStyle name="Normal 27 23" xfId="34614" xr:uid="{00000000-0005-0000-0000-00005A870000}"/>
    <cellStyle name="Normal 27 24" xfId="34615" xr:uid="{00000000-0005-0000-0000-00005B870000}"/>
    <cellStyle name="Normal 27 25" xfId="34616" xr:uid="{00000000-0005-0000-0000-00005C870000}"/>
    <cellStyle name="Normal 27 26" xfId="34617" xr:uid="{00000000-0005-0000-0000-00005D870000}"/>
    <cellStyle name="Normal 27 27" xfId="34618" xr:uid="{00000000-0005-0000-0000-00005E870000}"/>
    <cellStyle name="Normal 27 28" xfId="34619" xr:uid="{00000000-0005-0000-0000-00005F870000}"/>
    <cellStyle name="Normal 27 29" xfId="34620" xr:uid="{00000000-0005-0000-0000-000060870000}"/>
    <cellStyle name="Normal 27 3" xfId="34621" xr:uid="{00000000-0005-0000-0000-000061870000}"/>
    <cellStyle name="Normal 27 30" xfId="34622" xr:uid="{00000000-0005-0000-0000-000062870000}"/>
    <cellStyle name="Normal 27 31" xfId="34623" xr:uid="{00000000-0005-0000-0000-000063870000}"/>
    <cellStyle name="Normal 27 32" xfId="34624" xr:uid="{00000000-0005-0000-0000-000064870000}"/>
    <cellStyle name="Normal 27 33" xfId="34625" xr:uid="{00000000-0005-0000-0000-000065870000}"/>
    <cellStyle name="Normal 27 34" xfId="34626" xr:uid="{00000000-0005-0000-0000-000066870000}"/>
    <cellStyle name="Normal 27 35" xfId="34627" xr:uid="{00000000-0005-0000-0000-000067870000}"/>
    <cellStyle name="Normal 27 36" xfId="34628" xr:uid="{00000000-0005-0000-0000-000068870000}"/>
    <cellStyle name="Normal 27 37" xfId="40995" xr:uid="{00000000-0005-0000-0000-000069870000}"/>
    <cellStyle name="Normal 27 4" xfId="34629" xr:uid="{00000000-0005-0000-0000-00006A870000}"/>
    <cellStyle name="Normal 27 5" xfId="34630" xr:uid="{00000000-0005-0000-0000-00006B870000}"/>
    <cellStyle name="Normal 27 6" xfId="34631" xr:uid="{00000000-0005-0000-0000-00006C870000}"/>
    <cellStyle name="Normal 27 7" xfId="34632" xr:uid="{00000000-0005-0000-0000-00006D870000}"/>
    <cellStyle name="Normal 27 8" xfId="34633" xr:uid="{00000000-0005-0000-0000-00006E870000}"/>
    <cellStyle name="Normal 27 9" xfId="34634" xr:uid="{00000000-0005-0000-0000-00006F870000}"/>
    <cellStyle name="Normal 28" xfId="34635" xr:uid="{00000000-0005-0000-0000-000070870000}"/>
    <cellStyle name="Normal 28 10" xfId="34636" xr:uid="{00000000-0005-0000-0000-000071870000}"/>
    <cellStyle name="Normal 28 11" xfId="34637" xr:uid="{00000000-0005-0000-0000-000072870000}"/>
    <cellStyle name="Normal 28 12" xfId="34638" xr:uid="{00000000-0005-0000-0000-000073870000}"/>
    <cellStyle name="Normal 28 13" xfId="34639" xr:uid="{00000000-0005-0000-0000-000074870000}"/>
    <cellStyle name="Normal 28 14" xfId="34640" xr:uid="{00000000-0005-0000-0000-000075870000}"/>
    <cellStyle name="Normal 28 15" xfId="34641" xr:uid="{00000000-0005-0000-0000-000076870000}"/>
    <cellStyle name="Normal 28 16" xfId="34642" xr:uid="{00000000-0005-0000-0000-000077870000}"/>
    <cellStyle name="Normal 28 17" xfId="34643" xr:uid="{00000000-0005-0000-0000-000078870000}"/>
    <cellStyle name="Normal 28 18" xfId="34644" xr:uid="{00000000-0005-0000-0000-000079870000}"/>
    <cellStyle name="Normal 28 19" xfId="34645" xr:uid="{00000000-0005-0000-0000-00007A870000}"/>
    <cellStyle name="Normal 28 2" xfId="34646" xr:uid="{00000000-0005-0000-0000-00007B870000}"/>
    <cellStyle name="Normal 28 20" xfId="34647" xr:uid="{00000000-0005-0000-0000-00007C870000}"/>
    <cellStyle name="Normal 28 21" xfId="34648" xr:uid="{00000000-0005-0000-0000-00007D870000}"/>
    <cellStyle name="Normal 28 22" xfId="34649" xr:uid="{00000000-0005-0000-0000-00007E870000}"/>
    <cellStyle name="Normal 28 23" xfId="34650" xr:uid="{00000000-0005-0000-0000-00007F870000}"/>
    <cellStyle name="Normal 28 24" xfId="34651" xr:uid="{00000000-0005-0000-0000-000080870000}"/>
    <cellStyle name="Normal 28 25" xfId="34652" xr:uid="{00000000-0005-0000-0000-000081870000}"/>
    <cellStyle name="Normal 28 26" xfId="34653" xr:uid="{00000000-0005-0000-0000-000082870000}"/>
    <cellStyle name="Normal 28 27" xfId="34654" xr:uid="{00000000-0005-0000-0000-000083870000}"/>
    <cellStyle name="Normal 28 28" xfId="34655" xr:uid="{00000000-0005-0000-0000-000084870000}"/>
    <cellStyle name="Normal 28 29" xfId="34656" xr:uid="{00000000-0005-0000-0000-000085870000}"/>
    <cellStyle name="Normal 28 3" xfId="34657" xr:uid="{00000000-0005-0000-0000-000086870000}"/>
    <cellStyle name="Normal 28 30" xfId="34658" xr:uid="{00000000-0005-0000-0000-000087870000}"/>
    <cellStyle name="Normal 28 31" xfId="34659" xr:uid="{00000000-0005-0000-0000-000088870000}"/>
    <cellStyle name="Normal 28 32" xfId="34660" xr:uid="{00000000-0005-0000-0000-000089870000}"/>
    <cellStyle name="Normal 28 33" xfId="34661" xr:uid="{00000000-0005-0000-0000-00008A870000}"/>
    <cellStyle name="Normal 28 34" xfId="34662" xr:uid="{00000000-0005-0000-0000-00008B870000}"/>
    <cellStyle name="Normal 28 35" xfId="34663" xr:uid="{00000000-0005-0000-0000-00008C870000}"/>
    <cellStyle name="Normal 28 36" xfId="34664" xr:uid="{00000000-0005-0000-0000-00008D870000}"/>
    <cellStyle name="Normal 28 4" xfId="34665" xr:uid="{00000000-0005-0000-0000-00008E870000}"/>
    <cellStyle name="Normal 28 5" xfId="34666" xr:uid="{00000000-0005-0000-0000-00008F870000}"/>
    <cellStyle name="Normal 28 6" xfId="34667" xr:uid="{00000000-0005-0000-0000-000090870000}"/>
    <cellStyle name="Normal 28 7" xfId="34668" xr:uid="{00000000-0005-0000-0000-000091870000}"/>
    <cellStyle name="Normal 28 8" xfId="34669" xr:uid="{00000000-0005-0000-0000-000092870000}"/>
    <cellStyle name="Normal 28 9" xfId="34670" xr:uid="{00000000-0005-0000-0000-000093870000}"/>
    <cellStyle name="Normal 29" xfId="34671" xr:uid="{00000000-0005-0000-0000-000094870000}"/>
    <cellStyle name="Normal 29 10" xfId="34672" xr:uid="{00000000-0005-0000-0000-000095870000}"/>
    <cellStyle name="Normal 29 11" xfId="34673" xr:uid="{00000000-0005-0000-0000-000096870000}"/>
    <cellStyle name="Normal 29 12" xfId="34674" xr:uid="{00000000-0005-0000-0000-000097870000}"/>
    <cellStyle name="Normal 29 13" xfId="34675" xr:uid="{00000000-0005-0000-0000-000098870000}"/>
    <cellStyle name="Normal 29 14" xfId="34676" xr:uid="{00000000-0005-0000-0000-000099870000}"/>
    <cellStyle name="Normal 29 15" xfId="34677" xr:uid="{00000000-0005-0000-0000-00009A870000}"/>
    <cellStyle name="Normal 29 16" xfId="34678" xr:uid="{00000000-0005-0000-0000-00009B870000}"/>
    <cellStyle name="Normal 29 17" xfId="34679" xr:uid="{00000000-0005-0000-0000-00009C870000}"/>
    <cellStyle name="Normal 29 18" xfId="34680" xr:uid="{00000000-0005-0000-0000-00009D870000}"/>
    <cellStyle name="Normal 29 19" xfId="34681" xr:uid="{00000000-0005-0000-0000-00009E870000}"/>
    <cellStyle name="Normal 29 2" xfId="34682" xr:uid="{00000000-0005-0000-0000-00009F870000}"/>
    <cellStyle name="Normal 29 20" xfId="34683" xr:uid="{00000000-0005-0000-0000-0000A0870000}"/>
    <cellStyle name="Normal 29 21" xfId="34684" xr:uid="{00000000-0005-0000-0000-0000A1870000}"/>
    <cellStyle name="Normal 29 22" xfId="34685" xr:uid="{00000000-0005-0000-0000-0000A2870000}"/>
    <cellStyle name="Normal 29 23" xfId="34686" xr:uid="{00000000-0005-0000-0000-0000A3870000}"/>
    <cellStyle name="Normal 29 24" xfId="34687" xr:uid="{00000000-0005-0000-0000-0000A4870000}"/>
    <cellStyle name="Normal 29 25" xfId="34688" xr:uid="{00000000-0005-0000-0000-0000A5870000}"/>
    <cellStyle name="Normal 29 26" xfId="34689" xr:uid="{00000000-0005-0000-0000-0000A6870000}"/>
    <cellStyle name="Normal 29 27" xfId="34690" xr:uid="{00000000-0005-0000-0000-0000A7870000}"/>
    <cellStyle name="Normal 29 28" xfId="34691" xr:uid="{00000000-0005-0000-0000-0000A8870000}"/>
    <cellStyle name="Normal 29 29" xfId="34692" xr:uid="{00000000-0005-0000-0000-0000A9870000}"/>
    <cellStyle name="Normal 29 3" xfId="34693" xr:uid="{00000000-0005-0000-0000-0000AA870000}"/>
    <cellStyle name="Normal 29 30" xfId="34694" xr:uid="{00000000-0005-0000-0000-0000AB870000}"/>
    <cellStyle name="Normal 29 31" xfId="34695" xr:uid="{00000000-0005-0000-0000-0000AC870000}"/>
    <cellStyle name="Normal 29 32" xfId="34696" xr:uid="{00000000-0005-0000-0000-0000AD870000}"/>
    <cellStyle name="Normal 29 33" xfId="34697" xr:uid="{00000000-0005-0000-0000-0000AE870000}"/>
    <cellStyle name="Normal 29 34" xfId="34698" xr:uid="{00000000-0005-0000-0000-0000AF870000}"/>
    <cellStyle name="Normal 29 35" xfId="34699" xr:uid="{00000000-0005-0000-0000-0000B0870000}"/>
    <cellStyle name="Normal 29 36" xfId="34700" xr:uid="{00000000-0005-0000-0000-0000B1870000}"/>
    <cellStyle name="Normal 29 4" xfId="34701" xr:uid="{00000000-0005-0000-0000-0000B2870000}"/>
    <cellStyle name="Normal 29 5" xfId="34702" xr:uid="{00000000-0005-0000-0000-0000B3870000}"/>
    <cellStyle name="Normal 29 6" xfId="34703" xr:uid="{00000000-0005-0000-0000-0000B4870000}"/>
    <cellStyle name="Normal 29 7" xfId="34704" xr:uid="{00000000-0005-0000-0000-0000B5870000}"/>
    <cellStyle name="Normal 29 8" xfId="34705" xr:uid="{00000000-0005-0000-0000-0000B6870000}"/>
    <cellStyle name="Normal 29 9" xfId="34706" xr:uid="{00000000-0005-0000-0000-0000B7870000}"/>
    <cellStyle name="Normal 3" xfId="34707" xr:uid="{00000000-0005-0000-0000-0000B8870000}"/>
    <cellStyle name="Normal 3 2" xfId="34708" xr:uid="{00000000-0005-0000-0000-0000B9870000}"/>
    <cellStyle name="Normal 3 2 2" xfId="34709" xr:uid="{00000000-0005-0000-0000-0000BA870000}"/>
    <cellStyle name="Normal 3 2 2 2" xfId="34710" xr:uid="{00000000-0005-0000-0000-0000BB870000}"/>
    <cellStyle name="Normal 3 2 3" xfId="41074" xr:uid="{00000000-0005-0000-0000-00002D000000}"/>
    <cellStyle name="Normal 3 3" xfId="34711" xr:uid="{00000000-0005-0000-0000-0000BC870000}"/>
    <cellStyle name="Normal 3 3 2" xfId="41075" xr:uid="{00000000-0005-0000-0000-00002E000000}"/>
    <cellStyle name="Normal 3 4" xfId="41000" xr:uid="{00000000-0005-0000-0000-0000BD870000}"/>
    <cellStyle name="Normal 3 4 2" xfId="41076" xr:uid="{00000000-0005-0000-0000-00002F000000}"/>
    <cellStyle name="Normal 3_MAR 2009" xfId="34712" xr:uid="{00000000-0005-0000-0000-0000BE870000}"/>
    <cellStyle name="Normal 30" xfId="34713" xr:uid="{00000000-0005-0000-0000-0000BF870000}"/>
    <cellStyle name="Normal 30 10" xfId="34714" xr:uid="{00000000-0005-0000-0000-0000C0870000}"/>
    <cellStyle name="Normal 30 11" xfId="34715" xr:uid="{00000000-0005-0000-0000-0000C1870000}"/>
    <cellStyle name="Normal 30 12" xfId="34716" xr:uid="{00000000-0005-0000-0000-0000C2870000}"/>
    <cellStyle name="Normal 30 13" xfId="34717" xr:uid="{00000000-0005-0000-0000-0000C3870000}"/>
    <cellStyle name="Normal 30 14" xfId="34718" xr:uid="{00000000-0005-0000-0000-0000C4870000}"/>
    <cellStyle name="Normal 30 15" xfId="34719" xr:uid="{00000000-0005-0000-0000-0000C5870000}"/>
    <cellStyle name="Normal 30 16" xfId="34720" xr:uid="{00000000-0005-0000-0000-0000C6870000}"/>
    <cellStyle name="Normal 30 17" xfId="34721" xr:uid="{00000000-0005-0000-0000-0000C7870000}"/>
    <cellStyle name="Normal 30 18" xfId="34722" xr:uid="{00000000-0005-0000-0000-0000C8870000}"/>
    <cellStyle name="Normal 30 19" xfId="34723" xr:uid="{00000000-0005-0000-0000-0000C9870000}"/>
    <cellStyle name="Normal 30 2" xfId="34724" xr:uid="{00000000-0005-0000-0000-0000CA870000}"/>
    <cellStyle name="Normal 30 20" xfId="34725" xr:uid="{00000000-0005-0000-0000-0000CB870000}"/>
    <cellStyle name="Normal 30 21" xfId="34726" xr:uid="{00000000-0005-0000-0000-0000CC870000}"/>
    <cellStyle name="Normal 30 22" xfId="34727" xr:uid="{00000000-0005-0000-0000-0000CD870000}"/>
    <cellStyle name="Normal 30 23" xfId="34728" xr:uid="{00000000-0005-0000-0000-0000CE870000}"/>
    <cellStyle name="Normal 30 24" xfId="34729" xr:uid="{00000000-0005-0000-0000-0000CF870000}"/>
    <cellStyle name="Normal 30 25" xfId="34730" xr:uid="{00000000-0005-0000-0000-0000D0870000}"/>
    <cellStyle name="Normal 30 26" xfId="34731" xr:uid="{00000000-0005-0000-0000-0000D1870000}"/>
    <cellStyle name="Normal 30 27" xfId="34732" xr:uid="{00000000-0005-0000-0000-0000D2870000}"/>
    <cellStyle name="Normal 30 28" xfId="34733" xr:uid="{00000000-0005-0000-0000-0000D3870000}"/>
    <cellStyle name="Normal 30 29" xfId="34734" xr:uid="{00000000-0005-0000-0000-0000D4870000}"/>
    <cellStyle name="Normal 30 3" xfId="34735" xr:uid="{00000000-0005-0000-0000-0000D5870000}"/>
    <cellStyle name="Normal 30 30" xfId="34736" xr:uid="{00000000-0005-0000-0000-0000D6870000}"/>
    <cellStyle name="Normal 30 31" xfId="34737" xr:uid="{00000000-0005-0000-0000-0000D7870000}"/>
    <cellStyle name="Normal 30 32" xfId="34738" xr:uid="{00000000-0005-0000-0000-0000D8870000}"/>
    <cellStyle name="Normal 30 33" xfId="34739" xr:uid="{00000000-0005-0000-0000-0000D9870000}"/>
    <cellStyle name="Normal 30 34" xfId="34740" xr:uid="{00000000-0005-0000-0000-0000DA870000}"/>
    <cellStyle name="Normal 30 35" xfId="34741" xr:uid="{00000000-0005-0000-0000-0000DB870000}"/>
    <cellStyle name="Normal 30 36" xfId="34742" xr:uid="{00000000-0005-0000-0000-0000DC870000}"/>
    <cellStyle name="Normal 30 4" xfId="34743" xr:uid="{00000000-0005-0000-0000-0000DD870000}"/>
    <cellStyle name="Normal 30 5" xfId="34744" xr:uid="{00000000-0005-0000-0000-0000DE870000}"/>
    <cellStyle name="Normal 30 6" xfId="34745" xr:uid="{00000000-0005-0000-0000-0000DF870000}"/>
    <cellStyle name="Normal 30 7" xfId="34746" xr:uid="{00000000-0005-0000-0000-0000E0870000}"/>
    <cellStyle name="Normal 30 8" xfId="34747" xr:uid="{00000000-0005-0000-0000-0000E1870000}"/>
    <cellStyle name="Normal 30 9" xfId="34748" xr:uid="{00000000-0005-0000-0000-0000E2870000}"/>
    <cellStyle name="Normal 31" xfId="34749" xr:uid="{00000000-0005-0000-0000-0000E3870000}"/>
    <cellStyle name="Normal 31 10" xfId="34750" xr:uid="{00000000-0005-0000-0000-0000E4870000}"/>
    <cellStyle name="Normal 31 11" xfId="34751" xr:uid="{00000000-0005-0000-0000-0000E5870000}"/>
    <cellStyle name="Normal 31 12" xfId="34752" xr:uid="{00000000-0005-0000-0000-0000E6870000}"/>
    <cellStyle name="Normal 31 13" xfId="34753" xr:uid="{00000000-0005-0000-0000-0000E7870000}"/>
    <cellStyle name="Normal 31 14" xfId="34754" xr:uid="{00000000-0005-0000-0000-0000E8870000}"/>
    <cellStyle name="Normal 31 15" xfId="34755" xr:uid="{00000000-0005-0000-0000-0000E9870000}"/>
    <cellStyle name="Normal 31 16" xfId="34756" xr:uid="{00000000-0005-0000-0000-0000EA870000}"/>
    <cellStyle name="Normal 31 17" xfId="34757" xr:uid="{00000000-0005-0000-0000-0000EB870000}"/>
    <cellStyle name="Normal 31 18" xfId="34758" xr:uid="{00000000-0005-0000-0000-0000EC870000}"/>
    <cellStyle name="Normal 31 19" xfId="34759" xr:uid="{00000000-0005-0000-0000-0000ED870000}"/>
    <cellStyle name="Normal 31 2" xfId="34760" xr:uid="{00000000-0005-0000-0000-0000EE870000}"/>
    <cellStyle name="Normal 31 20" xfId="34761" xr:uid="{00000000-0005-0000-0000-0000EF870000}"/>
    <cellStyle name="Normal 31 21" xfId="34762" xr:uid="{00000000-0005-0000-0000-0000F0870000}"/>
    <cellStyle name="Normal 31 22" xfId="34763" xr:uid="{00000000-0005-0000-0000-0000F1870000}"/>
    <cellStyle name="Normal 31 23" xfId="34764" xr:uid="{00000000-0005-0000-0000-0000F2870000}"/>
    <cellStyle name="Normal 31 24" xfId="34765" xr:uid="{00000000-0005-0000-0000-0000F3870000}"/>
    <cellStyle name="Normal 31 25" xfId="34766" xr:uid="{00000000-0005-0000-0000-0000F4870000}"/>
    <cellStyle name="Normal 31 26" xfId="34767" xr:uid="{00000000-0005-0000-0000-0000F5870000}"/>
    <cellStyle name="Normal 31 27" xfId="34768" xr:uid="{00000000-0005-0000-0000-0000F6870000}"/>
    <cellStyle name="Normal 31 28" xfId="34769" xr:uid="{00000000-0005-0000-0000-0000F7870000}"/>
    <cellStyle name="Normal 31 29" xfId="34770" xr:uid="{00000000-0005-0000-0000-0000F8870000}"/>
    <cellStyle name="Normal 31 3" xfId="34771" xr:uid="{00000000-0005-0000-0000-0000F9870000}"/>
    <cellStyle name="Normal 31 30" xfId="34772" xr:uid="{00000000-0005-0000-0000-0000FA870000}"/>
    <cellStyle name="Normal 31 31" xfId="34773" xr:uid="{00000000-0005-0000-0000-0000FB870000}"/>
    <cellStyle name="Normal 31 32" xfId="34774" xr:uid="{00000000-0005-0000-0000-0000FC870000}"/>
    <cellStyle name="Normal 31 33" xfId="34775" xr:uid="{00000000-0005-0000-0000-0000FD870000}"/>
    <cellStyle name="Normal 31 34" xfId="34776" xr:uid="{00000000-0005-0000-0000-0000FE870000}"/>
    <cellStyle name="Normal 31 35" xfId="34777" xr:uid="{00000000-0005-0000-0000-0000FF870000}"/>
    <cellStyle name="Normal 31 36" xfId="34778" xr:uid="{00000000-0005-0000-0000-000000880000}"/>
    <cellStyle name="Normal 31 4" xfId="34779" xr:uid="{00000000-0005-0000-0000-000001880000}"/>
    <cellStyle name="Normal 31 5" xfId="34780" xr:uid="{00000000-0005-0000-0000-000002880000}"/>
    <cellStyle name="Normal 31 6" xfId="34781" xr:uid="{00000000-0005-0000-0000-000003880000}"/>
    <cellStyle name="Normal 31 7" xfId="34782" xr:uid="{00000000-0005-0000-0000-000004880000}"/>
    <cellStyle name="Normal 31 8" xfId="34783" xr:uid="{00000000-0005-0000-0000-000005880000}"/>
    <cellStyle name="Normal 31 9" xfId="34784" xr:uid="{00000000-0005-0000-0000-000006880000}"/>
    <cellStyle name="Normal 32" xfId="34785" xr:uid="{00000000-0005-0000-0000-000007880000}"/>
    <cellStyle name="Normal 32 10" xfId="34786" xr:uid="{00000000-0005-0000-0000-000008880000}"/>
    <cellStyle name="Normal 32 11" xfId="34787" xr:uid="{00000000-0005-0000-0000-000009880000}"/>
    <cellStyle name="Normal 32 12" xfId="34788" xr:uid="{00000000-0005-0000-0000-00000A880000}"/>
    <cellStyle name="Normal 32 13" xfId="34789" xr:uid="{00000000-0005-0000-0000-00000B880000}"/>
    <cellStyle name="Normal 32 14" xfId="34790" xr:uid="{00000000-0005-0000-0000-00000C880000}"/>
    <cellStyle name="Normal 32 15" xfId="34791" xr:uid="{00000000-0005-0000-0000-00000D880000}"/>
    <cellStyle name="Normal 32 16" xfId="34792" xr:uid="{00000000-0005-0000-0000-00000E880000}"/>
    <cellStyle name="Normal 32 17" xfId="34793" xr:uid="{00000000-0005-0000-0000-00000F880000}"/>
    <cellStyle name="Normal 32 18" xfId="34794" xr:uid="{00000000-0005-0000-0000-000010880000}"/>
    <cellStyle name="Normal 32 19" xfId="34795" xr:uid="{00000000-0005-0000-0000-000011880000}"/>
    <cellStyle name="Normal 32 2" xfId="34796" xr:uid="{00000000-0005-0000-0000-000012880000}"/>
    <cellStyle name="Normal 32 20" xfId="34797" xr:uid="{00000000-0005-0000-0000-000013880000}"/>
    <cellStyle name="Normal 32 21" xfId="34798" xr:uid="{00000000-0005-0000-0000-000014880000}"/>
    <cellStyle name="Normal 32 22" xfId="34799" xr:uid="{00000000-0005-0000-0000-000015880000}"/>
    <cellStyle name="Normal 32 23" xfId="34800" xr:uid="{00000000-0005-0000-0000-000016880000}"/>
    <cellStyle name="Normal 32 24" xfId="34801" xr:uid="{00000000-0005-0000-0000-000017880000}"/>
    <cellStyle name="Normal 32 25" xfId="34802" xr:uid="{00000000-0005-0000-0000-000018880000}"/>
    <cellStyle name="Normal 32 26" xfId="34803" xr:uid="{00000000-0005-0000-0000-000019880000}"/>
    <cellStyle name="Normal 32 27" xfId="34804" xr:uid="{00000000-0005-0000-0000-00001A880000}"/>
    <cellStyle name="Normal 32 28" xfId="34805" xr:uid="{00000000-0005-0000-0000-00001B880000}"/>
    <cellStyle name="Normal 32 29" xfId="34806" xr:uid="{00000000-0005-0000-0000-00001C880000}"/>
    <cellStyle name="Normal 32 3" xfId="34807" xr:uid="{00000000-0005-0000-0000-00001D880000}"/>
    <cellStyle name="Normal 32 30" xfId="34808" xr:uid="{00000000-0005-0000-0000-00001E880000}"/>
    <cellStyle name="Normal 32 31" xfId="34809" xr:uid="{00000000-0005-0000-0000-00001F880000}"/>
    <cellStyle name="Normal 32 32" xfId="34810" xr:uid="{00000000-0005-0000-0000-000020880000}"/>
    <cellStyle name="Normal 32 33" xfId="34811" xr:uid="{00000000-0005-0000-0000-000021880000}"/>
    <cellStyle name="Normal 32 34" xfId="34812" xr:uid="{00000000-0005-0000-0000-000022880000}"/>
    <cellStyle name="Normal 32 35" xfId="34813" xr:uid="{00000000-0005-0000-0000-000023880000}"/>
    <cellStyle name="Normal 32 36" xfId="34814" xr:uid="{00000000-0005-0000-0000-000024880000}"/>
    <cellStyle name="Normal 32 4" xfId="34815" xr:uid="{00000000-0005-0000-0000-000025880000}"/>
    <cellStyle name="Normal 32 5" xfId="34816" xr:uid="{00000000-0005-0000-0000-000026880000}"/>
    <cellStyle name="Normal 32 6" xfId="34817" xr:uid="{00000000-0005-0000-0000-000027880000}"/>
    <cellStyle name="Normal 32 7" xfId="34818" xr:uid="{00000000-0005-0000-0000-000028880000}"/>
    <cellStyle name="Normal 32 8" xfId="34819" xr:uid="{00000000-0005-0000-0000-000029880000}"/>
    <cellStyle name="Normal 32 9" xfId="34820" xr:uid="{00000000-0005-0000-0000-00002A880000}"/>
    <cellStyle name="Normal 33" xfId="34821" xr:uid="{00000000-0005-0000-0000-00002B880000}"/>
    <cellStyle name="Normal 33 10" xfId="34822" xr:uid="{00000000-0005-0000-0000-00002C880000}"/>
    <cellStyle name="Normal 33 11" xfId="34823" xr:uid="{00000000-0005-0000-0000-00002D880000}"/>
    <cellStyle name="Normal 33 12" xfId="34824" xr:uid="{00000000-0005-0000-0000-00002E880000}"/>
    <cellStyle name="Normal 33 13" xfId="34825" xr:uid="{00000000-0005-0000-0000-00002F880000}"/>
    <cellStyle name="Normal 33 14" xfId="34826" xr:uid="{00000000-0005-0000-0000-000030880000}"/>
    <cellStyle name="Normal 33 15" xfId="34827" xr:uid="{00000000-0005-0000-0000-000031880000}"/>
    <cellStyle name="Normal 33 16" xfId="34828" xr:uid="{00000000-0005-0000-0000-000032880000}"/>
    <cellStyle name="Normal 33 17" xfId="34829" xr:uid="{00000000-0005-0000-0000-000033880000}"/>
    <cellStyle name="Normal 33 18" xfId="34830" xr:uid="{00000000-0005-0000-0000-000034880000}"/>
    <cellStyle name="Normal 33 19" xfId="34831" xr:uid="{00000000-0005-0000-0000-000035880000}"/>
    <cellStyle name="Normal 33 2" xfId="34832" xr:uid="{00000000-0005-0000-0000-000036880000}"/>
    <cellStyle name="Normal 33 20" xfId="34833" xr:uid="{00000000-0005-0000-0000-000037880000}"/>
    <cellStyle name="Normal 33 21" xfId="34834" xr:uid="{00000000-0005-0000-0000-000038880000}"/>
    <cellStyle name="Normal 33 22" xfId="34835" xr:uid="{00000000-0005-0000-0000-000039880000}"/>
    <cellStyle name="Normal 33 23" xfId="34836" xr:uid="{00000000-0005-0000-0000-00003A880000}"/>
    <cellStyle name="Normal 33 24" xfId="34837" xr:uid="{00000000-0005-0000-0000-00003B880000}"/>
    <cellStyle name="Normal 33 25" xfId="34838" xr:uid="{00000000-0005-0000-0000-00003C880000}"/>
    <cellStyle name="Normal 33 26" xfId="34839" xr:uid="{00000000-0005-0000-0000-00003D880000}"/>
    <cellStyle name="Normal 33 27" xfId="34840" xr:uid="{00000000-0005-0000-0000-00003E880000}"/>
    <cellStyle name="Normal 33 28" xfId="34841" xr:uid="{00000000-0005-0000-0000-00003F880000}"/>
    <cellStyle name="Normal 33 29" xfId="34842" xr:uid="{00000000-0005-0000-0000-000040880000}"/>
    <cellStyle name="Normal 33 3" xfId="34843" xr:uid="{00000000-0005-0000-0000-000041880000}"/>
    <cellStyle name="Normal 33 30" xfId="34844" xr:uid="{00000000-0005-0000-0000-000042880000}"/>
    <cellStyle name="Normal 33 31" xfId="34845" xr:uid="{00000000-0005-0000-0000-000043880000}"/>
    <cellStyle name="Normal 33 32" xfId="34846" xr:uid="{00000000-0005-0000-0000-000044880000}"/>
    <cellStyle name="Normal 33 33" xfId="34847" xr:uid="{00000000-0005-0000-0000-000045880000}"/>
    <cellStyle name="Normal 33 34" xfId="34848" xr:uid="{00000000-0005-0000-0000-000046880000}"/>
    <cellStyle name="Normal 33 35" xfId="34849" xr:uid="{00000000-0005-0000-0000-000047880000}"/>
    <cellStyle name="Normal 33 36" xfId="34850" xr:uid="{00000000-0005-0000-0000-000048880000}"/>
    <cellStyle name="Normal 33 4" xfId="34851" xr:uid="{00000000-0005-0000-0000-000049880000}"/>
    <cellStyle name="Normal 33 5" xfId="34852" xr:uid="{00000000-0005-0000-0000-00004A880000}"/>
    <cellStyle name="Normal 33 6" xfId="34853" xr:uid="{00000000-0005-0000-0000-00004B880000}"/>
    <cellStyle name="Normal 33 7" xfId="34854" xr:uid="{00000000-0005-0000-0000-00004C880000}"/>
    <cellStyle name="Normal 33 8" xfId="34855" xr:uid="{00000000-0005-0000-0000-00004D880000}"/>
    <cellStyle name="Normal 33 9" xfId="34856" xr:uid="{00000000-0005-0000-0000-00004E880000}"/>
    <cellStyle name="Normal 34" xfId="34857" xr:uid="{00000000-0005-0000-0000-00004F880000}"/>
    <cellStyle name="Normal 34 10" xfId="34858" xr:uid="{00000000-0005-0000-0000-000050880000}"/>
    <cellStyle name="Normal 34 11" xfId="34859" xr:uid="{00000000-0005-0000-0000-000051880000}"/>
    <cellStyle name="Normal 34 12" xfId="34860" xr:uid="{00000000-0005-0000-0000-000052880000}"/>
    <cellStyle name="Normal 34 13" xfId="34861" xr:uid="{00000000-0005-0000-0000-000053880000}"/>
    <cellStyle name="Normal 34 14" xfId="34862" xr:uid="{00000000-0005-0000-0000-000054880000}"/>
    <cellStyle name="Normal 34 15" xfId="34863" xr:uid="{00000000-0005-0000-0000-000055880000}"/>
    <cellStyle name="Normal 34 16" xfId="34864" xr:uid="{00000000-0005-0000-0000-000056880000}"/>
    <cellStyle name="Normal 34 17" xfId="34865" xr:uid="{00000000-0005-0000-0000-000057880000}"/>
    <cellStyle name="Normal 34 18" xfId="34866" xr:uid="{00000000-0005-0000-0000-000058880000}"/>
    <cellStyle name="Normal 34 19" xfId="34867" xr:uid="{00000000-0005-0000-0000-000059880000}"/>
    <cellStyle name="Normal 34 2" xfId="34868" xr:uid="{00000000-0005-0000-0000-00005A880000}"/>
    <cellStyle name="Normal 34 20" xfId="34869" xr:uid="{00000000-0005-0000-0000-00005B880000}"/>
    <cellStyle name="Normal 34 21" xfId="34870" xr:uid="{00000000-0005-0000-0000-00005C880000}"/>
    <cellStyle name="Normal 34 22" xfId="34871" xr:uid="{00000000-0005-0000-0000-00005D880000}"/>
    <cellStyle name="Normal 34 23" xfId="34872" xr:uid="{00000000-0005-0000-0000-00005E880000}"/>
    <cellStyle name="Normal 34 24" xfId="34873" xr:uid="{00000000-0005-0000-0000-00005F880000}"/>
    <cellStyle name="Normal 34 25" xfId="34874" xr:uid="{00000000-0005-0000-0000-000060880000}"/>
    <cellStyle name="Normal 34 26" xfId="34875" xr:uid="{00000000-0005-0000-0000-000061880000}"/>
    <cellStyle name="Normal 34 27" xfId="34876" xr:uid="{00000000-0005-0000-0000-000062880000}"/>
    <cellStyle name="Normal 34 28" xfId="34877" xr:uid="{00000000-0005-0000-0000-000063880000}"/>
    <cellStyle name="Normal 34 29" xfId="34878" xr:uid="{00000000-0005-0000-0000-000064880000}"/>
    <cellStyle name="Normal 34 3" xfId="34879" xr:uid="{00000000-0005-0000-0000-000065880000}"/>
    <cellStyle name="Normal 34 30" xfId="34880" xr:uid="{00000000-0005-0000-0000-000066880000}"/>
    <cellStyle name="Normal 34 31" xfId="34881" xr:uid="{00000000-0005-0000-0000-000067880000}"/>
    <cellStyle name="Normal 34 32" xfId="34882" xr:uid="{00000000-0005-0000-0000-000068880000}"/>
    <cellStyle name="Normal 34 33" xfId="34883" xr:uid="{00000000-0005-0000-0000-000069880000}"/>
    <cellStyle name="Normal 34 34" xfId="34884" xr:uid="{00000000-0005-0000-0000-00006A880000}"/>
    <cellStyle name="Normal 34 35" xfId="34885" xr:uid="{00000000-0005-0000-0000-00006B880000}"/>
    <cellStyle name="Normal 34 36" xfId="34886" xr:uid="{00000000-0005-0000-0000-00006C880000}"/>
    <cellStyle name="Normal 34 4" xfId="34887" xr:uid="{00000000-0005-0000-0000-00006D880000}"/>
    <cellStyle name="Normal 34 5" xfId="34888" xr:uid="{00000000-0005-0000-0000-00006E880000}"/>
    <cellStyle name="Normal 34 6" xfId="34889" xr:uid="{00000000-0005-0000-0000-00006F880000}"/>
    <cellStyle name="Normal 34 7" xfId="34890" xr:uid="{00000000-0005-0000-0000-000070880000}"/>
    <cellStyle name="Normal 34 8" xfId="34891" xr:uid="{00000000-0005-0000-0000-000071880000}"/>
    <cellStyle name="Normal 34 9" xfId="34892" xr:uid="{00000000-0005-0000-0000-000072880000}"/>
    <cellStyle name="Normal 35" xfId="34893" xr:uid="{00000000-0005-0000-0000-000073880000}"/>
    <cellStyle name="Normal 35 10" xfId="34894" xr:uid="{00000000-0005-0000-0000-000074880000}"/>
    <cellStyle name="Normal 35 11" xfId="34895" xr:uid="{00000000-0005-0000-0000-000075880000}"/>
    <cellStyle name="Normal 35 12" xfId="34896" xr:uid="{00000000-0005-0000-0000-000076880000}"/>
    <cellStyle name="Normal 35 13" xfId="34897" xr:uid="{00000000-0005-0000-0000-000077880000}"/>
    <cellStyle name="Normal 35 14" xfId="34898" xr:uid="{00000000-0005-0000-0000-000078880000}"/>
    <cellStyle name="Normal 35 15" xfId="34899" xr:uid="{00000000-0005-0000-0000-000079880000}"/>
    <cellStyle name="Normal 35 16" xfId="34900" xr:uid="{00000000-0005-0000-0000-00007A880000}"/>
    <cellStyle name="Normal 35 17" xfId="34901" xr:uid="{00000000-0005-0000-0000-00007B880000}"/>
    <cellStyle name="Normal 35 18" xfId="34902" xr:uid="{00000000-0005-0000-0000-00007C880000}"/>
    <cellStyle name="Normal 35 19" xfId="34903" xr:uid="{00000000-0005-0000-0000-00007D880000}"/>
    <cellStyle name="Normal 35 2" xfId="34904" xr:uid="{00000000-0005-0000-0000-00007E880000}"/>
    <cellStyle name="Normal 35 20" xfId="34905" xr:uid="{00000000-0005-0000-0000-00007F880000}"/>
    <cellStyle name="Normal 35 21" xfId="34906" xr:uid="{00000000-0005-0000-0000-000080880000}"/>
    <cellStyle name="Normal 35 22" xfId="34907" xr:uid="{00000000-0005-0000-0000-000081880000}"/>
    <cellStyle name="Normal 35 23" xfId="34908" xr:uid="{00000000-0005-0000-0000-000082880000}"/>
    <cellStyle name="Normal 35 24" xfId="34909" xr:uid="{00000000-0005-0000-0000-000083880000}"/>
    <cellStyle name="Normal 35 25" xfId="34910" xr:uid="{00000000-0005-0000-0000-000084880000}"/>
    <cellStyle name="Normal 35 26" xfId="34911" xr:uid="{00000000-0005-0000-0000-000085880000}"/>
    <cellStyle name="Normal 35 27" xfId="34912" xr:uid="{00000000-0005-0000-0000-000086880000}"/>
    <cellStyle name="Normal 35 28" xfId="34913" xr:uid="{00000000-0005-0000-0000-000087880000}"/>
    <cellStyle name="Normal 35 29" xfId="34914" xr:uid="{00000000-0005-0000-0000-000088880000}"/>
    <cellStyle name="Normal 35 3" xfId="34915" xr:uid="{00000000-0005-0000-0000-000089880000}"/>
    <cellStyle name="Normal 35 30" xfId="34916" xr:uid="{00000000-0005-0000-0000-00008A880000}"/>
    <cellStyle name="Normal 35 31" xfId="34917" xr:uid="{00000000-0005-0000-0000-00008B880000}"/>
    <cellStyle name="Normal 35 32" xfId="34918" xr:uid="{00000000-0005-0000-0000-00008C880000}"/>
    <cellStyle name="Normal 35 33" xfId="34919" xr:uid="{00000000-0005-0000-0000-00008D880000}"/>
    <cellStyle name="Normal 35 34" xfId="34920" xr:uid="{00000000-0005-0000-0000-00008E880000}"/>
    <cellStyle name="Normal 35 35" xfId="34921" xr:uid="{00000000-0005-0000-0000-00008F880000}"/>
    <cellStyle name="Normal 35 36" xfId="34922" xr:uid="{00000000-0005-0000-0000-000090880000}"/>
    <cellStyle name="Normal 35 4" xfId="34923" xr:uid="{00000000-0005-0000-0000-000091880000}"/>
    <cellStyle name="Normal 35 5" xfId="34924" xr:uid="{00000000-0005-0000-0000-000092880000}"/>
    <cellStyle name="Normal 35 6" xfId="34925" xr:uid="{00000000-0005-0000-0000-000093880000}"/>
    <cellStyle name="Normal 35 7" xfId="34926" xr:uid="{00000000-0005-0000-0000-000094880000}"/>
    <cellStyle name="Normal 35 8" xfId="34927" xr:uid="{00000000-0005-0000-0000-000095880000}"/>
    <cellStyle name="Normal 35 9" xfId="34928" xr:uid="{00000000-0005-0000-0000-000096880000}"/>
    <cellStyle name="Normal 36" xfId="34929" xr:uid="{00000000-0005-0000-0000-000097880000}"/>
    <cellStyle name="Normal 36 10" xfId="34930" xr:uid="{00000000-0005-0000-0000-000098880000}"/>
    <cellStyle name="Normal 36 11" xfId="34931" xr:uid="{00000000-0005-0000-0000-000099880000}"/>
    <cellStyle name="Normal 36 12" xfId="34932" xr:uid="{00000000-0005-0000-0000-00009A880000}"/>
    <cellStyle name="Normal 36 13" xfId="34933" xr:uid="{00000000-0005-0000-0000-00009B880000}"/>
    <cellStyle name="Normal 36 14" xfId="34934" xr:uid="{00000000-0005-0000-0000-00009C880000}"/>
    <cellStyle name="Normal 36 15" xfId="34935" xr:uid="{00000000-0005-0000-0000-00009D880000}"/>
    <cellStyle name="Normal 36 16" xfId="34936" xr:uid="{00000000-0005-0000-0000-00009E880000}"/>
    <cellStyle name="Normal 36 17" xfId="34937" xr:uid="{00000000-0005-0000-0000-00009F880000}"/>
    <cellStyle name="Normal 36 18" xfId="34938" xr:uid="{00000000-0005-0000-0000-0000A0880000}"/>
    <cellStyle name="Normal 36 19" xfId="34939" xr:uid="{00000000-0005-0000-0000-0000A1880000}"/>
    <cellStyle name="Normal 36 2" xfId="34940" xr:uid="{00000000-0005-0000-0000-0000A2880000}"/>
    <cellStyle name="Normal 36 20" xfId="34941" xr:uid="{00000000-0005-0000-0000-0000A3880000}"/>
    <cellStyle name="Normal 36 21" xfId="34942" xr:uid="{00000000-0005-0000-0000-0000A4880000}"/>
    <cellStyle name="Normal 36 22" xfId="34943" xr:uid="{00000000-0005-0000-0000-0000A5880000}"/>
    <cellStyle name="Normal 36 23" xfId="34944" xr:uid="{00000000-0005-0000-0000-0000A6880000}"/>
    <cellStyle name="Normal 36 24" xfId="34945" xr:uid="{00000000-0005-0000-0000-0000A7880000}"/>
    <cellStyle name="Normal 36 25" xfId="34946" xr:uid="{00000000-0005-0000-0000-0000A8880000}"/>
    <cellStyle name="Normal 36 26" xfId="34947" xr:uid="{00000000-0005-0000-0000-0000A9880000}"/>
    <cellStyle name="Normal 36 27" xfId="34948" xr:uid="{00000000-0005-0000-0000-0000AA880000}"/>
    <cellStyle name="Normal 36 28" xfId="34949" xr:uid="{00000000-0005-0000-0000-0000AB880000}"/>
    <cellStyle name="Normal 36 29" xfId="34950" xr:uid="{00000000-0005-0000-0000-0000AC880000}"/>
    <cellStyle name="Normal 36 3" xfId="34951" xr:uid="{00000000-0005-0000-0000-0000AD880000}"/>
    <cellStyle name="Normal 36 30" xfId="34952" xr:uid="{00000000-0005-0000-0000-0000AE880000}"/>
    <cellStyle name="Normal 36 31" xfId="34953" xr:uid="{00000000-0005-0000-0000-0000AF880000}"/>
    <cellStyle name="Normal 36 32" xfId="34954" xr:uid="{00000000-0005-0000-0000-0000B0880000}"/>
    <cellStyle name="Normal 36 33" xfId="34955" xr:uid="{00000000-0005-0000-0000-0000B1880000}"/>
    <cellStyle name="Normal 36 34" xfId="34956" xr:uid="{00000000-0005-0000-0000-0000B2880000}"/>
    <cellStyle name="Normal 36 35" xfId="34957" xr:uid="{00000000-0005-0000-0000-0000B3880000}"/>
    <cellStyle name="Normal 36 36" xfId="34958" xr:uid="{00000000-0005-0000-0000-0000B4880000}"/>
    <cellStyle name="Normal 36 4" xfId="34959" xr:uid="{00000000-0005-0000-0000-0000B5880000}"/>
    <cellStyle name="Normal 36 5" xfId="34960" xr:uid="{00000000-0005-0000-0000-0000B6880000}"/>
    <cellStyle name="Normal 36 6" xfId="34961" xr:uid="{00000000-0005-0000-0000-0000B7880000}"/>
    <cellStyle name="Normal 36 7" xfId="34962" xr:uid="{00000000-0005-0000-0000-0000B8880000}"/>
    <cellStyle name="Normal 36 8" xfId="34963" xr:uid="{00000000-0005-0000-0000-0000B9880000}"/>
    <cellStyle name="Normal 36 9" xfId="34964" xr:uid="{00000000-0005-0000-0000-0000BA880000}"/>
    <cellStyle name="Normal 37" xfId="34965" xr:uid="{00000000-0005-0000-0000-0000BB880000}"/>
    <cellStyle name="Normal 37 10" xfId="34966" xr:uid="{00000000-0005-0000-0000-0000BC880000}"/>
    <cellStyle name="Normal 37 11" xfId="34967" xr:uid="{00000000-0005-0000-0000-0000BD880000}"/>
    <cellStyle name="Normal 37 12" xfId="34968" xr:uid="{00000000-0005-0000-0000-0000BE880000}"/>
    <cellStyle name="Normal 37 13" xfId="34969" xr:uid="{00000000-0005-0000-0000-0000BF880000}"/>
    <cellStyle name="Normal 37 14" xfId="34970" xr:uid="{00000000-0005-0000-0000-0000C0880000}"/>
    <cellStyle name="Normal 37 15" xfId="34971" xr:uid="{00000000-0005-0000-0000-0000C1880000}"/>
    <cellStyle name="Normal 37 16" xfId="34972" xr:uid="{00000000-0005-0000-0000-0000C2880000}"/>
    <cellStyle name="Normal 37 17" xfId="34973" xr:uid="{00000000-0005-0000-0000-0000C3880000}"/>
    <cellStyle name="Normal 37 18" xfId="34974" xr:uid="{00000000-0005-0000-0000-0000C4880000}"/>
    <cellStyle name="Normal 37 19" xfId="34975" xr:uid="{00000000-0005-0000-0000-0000C5880000}"/>
    <cellStyle name="Normal 37 2" xfId="34976" xr:uid="{00000000-0005-0000-0000-0000C6880000}"/>
    <cellStyle name="Normal 37 20" xfId="34977" xr:uid="{00000000-0005-0000-0000-0000C7880000}"/>
    <cellStyle name="Normal 37 21" xfId="34978" xr:uid="{00000000-0005-0000-0000-0000C8880000}"/>
    <cellStyle name="Normal 37 22" xfId="34979" xr:uid="{00000000-0005-0000-0000-0000C9880000}"/>
    <cellStyle name="Normal 37 23" xfId="34980" xr:uid="{00000000-0005-0000-0000-0000CA880000}"/>
    <cellStyle name="Normal 37 24" xfId="34981" xr:uid="{00000000-0005-0000-0000-0000CB880000}"/>
    <cellStyle name="Normal 37 25" xfId="34982" xr:uid="{00000000-0005-0000-0000-0000CC880000}"/>
    <cellStyle name="Normal 37 26" xfId="34983" xr:uid="{00000000-0005-0000-0000-0000CD880000}"/>
    <cellStyle name="Normal 37 27" xfId="34984" xr:uid="{00000000-0005-0000-0000-0000CE880000}"/>
    <cellStyle name="Normal 37 28" xfId="34985" xr:uid="{00000000-0005-0000-0000-0000CF880000}"/>
    <cellStyle name="Normal 37 29" xfId="34986" xr:uid="{00000000-0005-0000-0000-0000D0880000}"/>
    <cellStyle name="Normal 37 3" xfId="34987" xr:uid="{00000000-0005-0000-0000-0000D1880000}"/>
    <cellStyle name="Normal 37 30" xfId="34988" xr:uid="{00000000-0005-0000-0000-0000D2880000}"/>
    <cellStyle name="Normal 37 31" xfId="34989" xr:uid="{00000000-0005-0000-0000-0000D3880000}"/>
    <cellStyle name="Normal 37 32" xfId="34990" xr:uid="{00000000-0005-0000-0000-0000D4880000}"/>
    <cellStyle name="Normal 37 33" xfId="34991" xr:uid="{00000000-0005-0000-0000-0000D5880000}"/>
    <cellStyle name="Normal 37 34" xfId="34992" xr:uid="{00000000-0005-0000-0000-0000D6880000}"/>
    <cellStyle name="Normal 37 35" xfId="34993" xr:uid="{00000000-0005-0000-0000-0000D7880000}"/>
    <cellStyle name="Normal 37 36" xfId="34994" xr:uid="{00000000-0005-0000-0000-0000D8880000}"/>
    <cellStyle name="Normal 37 4" xfId="34995" xr:uid="{00000000-0005-0000-0000-0000D9880000}"/>
    <cellStyle name="Normal 37 5" xfId="34996" xr:uid="{00000000-0005-0000-0000-0000DA880000}"/>
    <cellStyle name="Normal 37 6" xfId="34997" xr:uid="{00000000-0005-0000-0000-0000DB880000}"/>
    <cellStyle name="Normal 37 7" xfId="34998" xr:uid="{00000000-0005-0000-0000-0000DC880000}"/>
    <cellStyle name="Normal 37 8" xfId="34999" xr:uid="{00000000-0005-0000-0000-0000DD880000}"/>
    <cellStyle name="Normal 37 9" xfId="35000" xr:uid="{00000000-0005-0000-0000-0000DE880000}"/>
    <cellStyle name="Normal 38" xfId="35001" xr:uid="{00000000-0005-0000-0000-0000DF880000}"/>
    <cellStyle name="Normal 38 10" xfId="35002" xr:uid="{00000000-0005-0000-0000-0000E0880000}"/>
    <cellStyle name="Normal 38 11" xfId="35003" xr:uid="{00000000-0005-0000-0000-0000E1880000}"/>
    <cellStyle name="Normal 38 12" xfId="35004" xr:uid="{00000000-0005-0000-0000-0000E2880000}"/>
    <cellStyle name="Normal 38 13" xfId="35005" xr:uid="{00000000-0005-0000-0000-0000E3880000}"/>
    <cellStyle name="Normal 38 14" xfId="35006" xr:uid="{00000000-0005-0000-0000-0000E4880000}"/>
    <cellStyle name="Normal 38 15" xfId="35007" xr:uid="{00000000-0005-0000-0000-0000E5880000}"/>
    <cellStyle name="Normal 38 16" xfId="35008" xr:uid="{00000000-0005-0000-0000-0000E6880000}"/>
    <cellStyle name="Normal 38 17" xfId="35009" xr:uid="{00000000-0005-0000-0000-0000E7880000}"/>
    <cellStyle name="Normal 38 18" xfId="35010" xr:uid="{00000000-0005-0000-0000-0000E8880000}"/>
    <cellStyle name="Normal 38 19" xfId="35011" xr:uid="{00000000-0005-0000-0000-0000E9880000}"/>
    <cellStyle name="Normal 38 2" xfId="35012" xr:uid="{00000000-0005-0000-0000-0000EA880000}"/>
    <cellStyle name="Normal 38 20" xfId="35013" xr:uid="{00000000-0005-0000-0000-0000EB880000}"/>
    <cellStyle name="Normal 38 21" xfId="35014" xr:uid="{00000000-0005-0000-0000-0000EC880000}"/>
    <cellStyle name="Normal 38 22" xfId="35015" xr:uid="{00000000-0005-0000-0000-0000ED880000}"/>
    <cellStyle name="Normal 38 23" xfId="35016" xr:uid="{00000000-0005-0000-0000-0000EE880000}"/>
    <cellStyle name="Normal 38 24" xfId="35017" xr:uid="{00000000-0005-0000-0000-0000EF880000}"/>
    <cellStyle name="Normal 38 25" xfId="35018" xr:uid="{00000000-0005-0000-0000-0000F0880000}"/>
    <cellStyle name="Normal 38 26" xfId="35019" xr:uid="{00000000-0005-0000-0000-0000F1880000}"/>
    <cellStyle name="Normal 38 27" xfId="35020" xr:uid="{00000000-0005-0000-0000-0000F2880000}"/>
    <cellStyle name="Normal 38 28" xfId="35021" xr:uid="{00000000-0005-0000-0000-0000F3880000}"/>
    <cellStyle name="Normal 38 29" xfId="35022" xr:uid="{00000000-0005-0000-0000-0000F4880000}"/>
    <cellStyle name="Normal 38 3" xfId="35023" xr:uid="{00000000-0005-0000-0000-0000F5880000}"/>
    <cellStyle name="Normal 38 30" xfId="35024" xr:uid="{00000000-0005-0000-0000-0000F6880000}"/>
    <cellStyle name="Normal 38 31" xfId="35025" xr:uid="{00000000-0005-0000-0000-0000F7880000}"/>
    <cellStyle name="Normal 38 32" xfId="35026" xr:uid="{00000000-0005-0000-0000-0000F8880000}"/>
    <cellStyle name="Normal 38 33" xfId="35027" xr:uid="{00000000-0005-0000-0000-0000F9880000}"/>
    <cellStyle name="Normal 38 34" xfId="35028" xr:uid="{00000000-0005-0000-0000-0000FA880000}"/>
    <cellStyle name="Normal 38 35" xfId="35029" xr:uid="{00000000-0005-0000-0000-0000FB880000}"/>
    <cellStyle name="Normal 38 36" xfId="35030" xr:uid="{00000000-0005-0000-0000-0000FC880000}"/>
    <cellStyle name="Normal 38 4" xfId="35031" xr:uid="{00000000-0005-0000-0000-0000FD880000}"/>
    <cellStyle name="Normal 38 5" xfId="35032" xr:uid="{00000000-0005-0000-0000-0000FE880000}"/>
    <cellStyle name="Normal 38 6" xfId="35033" xr:uid="{00000000-0005-0000-0000-0000FF880000}"/>
    <cellStyle name="Normal 38 7" xfId="35034" xr:uid="{00000000-0005-0000-0000-000000890000}"/>
    <cellStyle name="Normal 38 8" xfId="35035" xr:uid="{00000000-0005-0000-0000-000001890000}"/>
    <cellStyle name="Normal 38 9" xfId="35036" xr:uid="{00000000-0005-0000-0000-000002890000}"/>
    <cellStyle name="Normal 39" xfId="35037" xr:uid="{00000000-0005-0000-0000-000003890000}"/>
    <cellStyle name="Normal 39 10" xfId="35038" xr:uid="{00000000-0005-0000-0000-000004890000}"/>
    <cellStyle name="Normal 39 11" xfId="35039" xr:uid="{00000000-0005-0000-0000-000005890000}"/>
    <cellStyle name="Normal 39 12" xfId="35040" xr:uid="{00000000-0005-0000-0000-000006890000}"/>
    <cellStyle name="Normal 39 13" xfId="35041" xr:uid="{00000000-0005-0000-0000-000007890000}"/>
    <cellStyle name="Normal 39 14" xfId="35042" xr:uid="{00000000-0005-0000-0000-000008890000}"/>
    <cellStyle name="Normal 39 15" xfId="35043" xr:uid="{00000000-0005-0000-0000-000009890000}"/>
    <cellStyle name="Normal 39 16" xfId="35044" xr:uid="{00000000-0005-0000-0000-00000A890000}"/>
    <cellStyle name="Normal 39 17" xfId="35045" xr:uid="{00000000-0005-0000-0000-00000B890000}"/>
    <cellStyle name="Normal 39 18" xfId="35046" xr:uid="{00000000-0005-0000-0000-00000C890000}"/>
    <cellStyle name="Normal 39 19" xfId="35047" xr:uid="{00000000-0005-0000-0000-00000D890000}"/>
    <cellStyle name="Normal 39 2" xfId="35048" xr:uid="{00000000-0005-0000-0000-00000E890000}"/>
    <cellStyle name="Normal 39 20" xfId="35049" xr:uid="{00000000-0005-0000-0000-00000F890000}"/>
    <cellStyle name="Normal 39 21" xfId="35050" xr:uid="{00000000-0005-0000-0000-000010890000}"/>
    <cellStyle name="Normal 39 22" xfId="35051" xr:uid="{00000000-0005-0000-0000-000011890000}"/>
    <cellStyle name="Normal 39 23" xfId="35052" xr:uid="{00000000-0005-0000-0000-000012890000}"/>
    <cellStyle name="Normal 39 24" xfId="35053" xr:uid="{00000000-0005-0000-0000-000013890000}"/>
    <cellStyle name="Normal 39 25" xfId="35054" xr:uid="{00000000-0005-0000-0000-000014890000}"/>
    <cellStyle name="Normal 39 26" xfId="35055" xr:uid="{00000000-0005-0000-0000-000015890000}"/>
    <cellStyle name="Normal 39 27" xfId="35056" xr:uid="{00000000-0005-0000-0000-000016890000}"/>
    <cellStyle name="Normal 39 28" xfId="35057" xr:uid="{00000000-0005-0000-0000-000017890000}"/>
    <cellStyle name="Normal 39 29" xfId="35058" xr:uid="{00000000-0005-0000-0000-000018890000}"/>
    <cellStyle name="Normal 39 3" xfId="35059" xr:uid="{00000000-0005-0000-0000-000019890000}"/>
    <cellStyle name="Normal 39 30" xfId="35060" xr:uid="{00000000-0005-0000-0000-00001A890000}"/>
    <cellStyle name="Normal 39 31" xfId="35061" xr:uid="{00000000-0005-0000-0000-00001B890000}"/>
    <cellStyle name="Normal 39 32" xfId="35062" xr:uid="{00000000-0005-0000-0000-00001C890000}"/>
    <cellStyle name="Normal 39 33" xfId="35063" xr:uid="{00000000-0005-0000-0000-00001D890000}"/>
    <cellStyle name="Normal 39 34" xfId="35064" xr:uid="{00000000-0005-0000-0000-00001E890000}"/>
    <cellStyle name="Normal 39 35" xfId="35065" xr:uid="{00000000-0005-0000-0000-00001F890000}"/>
    <cellStyle name="Normal 39 36" xfId="35066" xr:uid="{00000000-0005-0000-0000-000020890000}"/>
    <cellStyle name="Normal 39 4" xfId="35067" xr:uid="{00000000-0005-0000-0000-000021890000}"/>
    <cellStyle name="Normal 39 5" xfId="35068" xr:uid="{00000000-0005-0000-0000-000022890000}"/>
    <cellStyle name="Normal 39 6" xfId="35069" xr:uid="{00000000-0005-0000-0000-000023890000}"/>
    <cellStyle name="Normal 39 7" xfId="35070" xr:uid="{00000000-0005-0000-0000-000024890000}"/>
    <cellStyle name="Normal 39 8" xfId="35071" xr:uid="{00000000-0005-0000-0000-000025890000}"/>
    <cellStyle name="Normal 39 9" xfId="35072" xr:uid="{00000000-0005-0000-0000-000026890000}"/>
    <cellStyle name="Normal 4" xfId="35073" xr:uid="{00000000-0005-0000-0000-000027890000}"/>
    <cellStyle name="Normal 4 2" xfId="35074" xr:uid="{00000000-0005-0000-0000-000028890000}"/>
    <cellStyle name="Normal 4 2 2" xfId="35075" xr:uid="{00000000-0005-0000-0000-000029890000}"/>
    <cellStyle name="Normal 4 2 2 2" xfId="35076" xr:uid="{00000000-0005-0000-0000-00002A890000}"/>
    <cellStyle name="Normal 4 3" xfId="35077" xr:uid="{00000000-0005-0000-0000-00002B890000}"/>
    <cellStyle name="Normal 4 4" xfId="41077" xr:uid="{00000000-0005-0000-0000-000030000000}"/>
    <cellStyle name="Normal 40" xfId="35078" xr:uid="{00000000-0005-0000-0000-00002C890000}"/>
    <cellStyle name="Normal 40 10" xfId="35079" xr:uid="{00000000-0005-0000-0000-00002D890000}"/>
    <cellStyle name="Normal 40 11" xfId="35080" xr:uid="{00000000-0005-0000-0000-00002E890000}"/>
    <cellStyle name="Normal 40 12" xfId="35081" xr:uid="{00000000-0005-0000-0000-00002F890000}"/>
    <cellStyle name="Normal 40 13" xfId="35082" xr:uid="{00000000-0005-0000-0000-000030890000}"/>
    <cellStyle name="Normal 40 14" xfId="35083" xr:uid="{00000000-0005-0000-0000-000031890000}"/>
    <cellStyle name="Normal 40 15" xfId="35084" xr:uid="{00000000-0005-0000-0000-000032890000}"/>
    <cellStyle name="Normal 40 16" xfId="35085" xr:uid="{00000000-0005-0000-0000-000033890000}"/>
    <cellStyle name="Normal 40 17" xfId="35086" xr:uid="{00000000-0005-0000-0000-000034890000}"/>
    <cellStyle name="Normal 40 18" xfId="35087" xr:uid="{00000000-0005-0000-0000-000035890000}"/>
    <cellStyle name="Normal 40 19" xfId="35088" xr:uid="{00000000-0005-0000-0000-000036890000}"/>
    <cellStyle name="Normal 40 2" xfId="35089" xr:uid="{00000000-0005-0000-0000-000037890000}"/>
    <cellStyle name="Normal 40 20" xfId="35090" xr:uid="{00000000-0005-0000-0000-000038890000}"/>
    <cellStyle name="Normal 40 21" xfId="35091" xr:uid="{00000000-0005-0000-0000-000039890000}"/>
    <cellStyle name="Normal 40 22" xfId="35092" xr:uid="{00000000-0005-0000-0000-00003A890000}"/>
    <cellStyle name="Normal 40 23" xfId="35093" xr:uid="{00000000-0005-0000-0000-00003B890000}"/>
    <cellStyle name="Normal 40 24" xfId="35094" xr:uid="{00000000-0005-0000-0000-00003C890000}"/>
    <cellStyle name="Normal 40 25" xfId="35095" xr:uid="{00000000-0005-0000-0000-00003D890000}"/>
    <cellStyle name="Normal 40 26" xfId="35096" xr:uid="{00000000-0005-0000-0000-00003E890000}"/>
    <cellStyle name="Normal 40 27" xfId="35097" xr:uid="{00000000-0005-0000-0000-00003F890000}"/>
    <cellStyle name="Normal 40 28" xfId="35098" xr:uid="{00000000-0005-0000-0000-000040890000}"/>
    <cellStyle name="Normal 40 29" xfId="35099" xr:uid="{00000000-0005-0000-0000-000041890000}"/>
    <cellStyle name="Normal 40 3" xfId="35100" xr:uid="{00000000-0005-0000-0000-000042890000}"/>
    <cellStyle name="Normal 40 30" xfId="35101" xr:uid="{00000000-0005-0000-0000-000043890000}"/>
    <cellStyle name="Normal 40 31" xfId="35102" xr:uid="{00000000-0005-0000-0000-000044890000}"/>
    <cellStyle name="Normal 40 32" xfId="35103" xr:uid="{00000000-0005-0000-0000-000045890000}"/>
    <cellStyle name="Normal 40 33" xfId="35104" xr:uid="{00000000-0005-0000-0000-000046890000}"/>
    <cellStyle name="Normal 40 34" xfId="35105" xr:uid="{00000000-0005-0000-0000-000047890000}"/>
    <cellStyle name="Normal 40 35" xfId="35106" xr:uid="{00000000-0005-0000-0000-000048890000}"/>
    <cellStyle name="Normal 40 36" xfId="35107" xr:uid="{00000000-0005-0000-0000-000049890000}"/>
    <cellStyle name="Normal 40 4" xfId="35108" xr:uid="{00000000-0005-0000-0000-00004A890000}"/>
    <cellStyle name="Normal 40 5" xfId="35109" xr:uid="{00000000-0005-0000-0000-00004B890000}"/>
    <cellStyle name="Normal 40 6" xfId="35110" xr:uid="{00000000-0005-0000-0000-00004C890000}"/>
    <cellStyle name="Normal 40 7" xfId="35111" xr:uid="{00000000-0005-0000-0000-00004D890000}"/>
    <cellStyle name="Normal 40 8" xfId="35112" xr:uid="{00000000-0005-0000-0000-00004E890000}"/>
    <cellStyle name="Normal 40 9" xfId="35113" xr:uid="{00000000-0005-0000-0000-00004F890000}"/>
    <cellStyle name="Normal 41" xfId="35114" xr:uid="{00000000-0005-0000-0000-000050890000}"/>
    <cellStyle name="Normal 41 10" xfId="35115" xr:uid="{00000000-0005-0000-0000-000051890000}"/>
    <cellStyle name="Normal 41 11" xfId="35116" xr:uid="{00000000-0005-0000-0000-000052890000}"/>
    <cellStyle name="Normal 41 12" xfId="35117" xr:uid="{00000000-0005-0000-0000-000053890000}"/>
    <cellStyle name="Normal 41 13" xfId="35118" xr:uid="{00000000-0005-0000-0000-000054890000}"/>
    <cellStyle name="Normal 41 14" xfId="35119" xr:uid="{00000000-0005-0000-0000-000055890000}"/>
    <cellStyle name="Normal 41 15" xfId="35120" xr:uid="{00000000-0005-0000-0000-000056890000}"/>
    <cellStyle name="Normal 41 16" xfId="35121" xr:uid="{00000000-0005-0000-0000-000057890000}"/>
    <cellStyle name="Normal 41 17" xfId="35122" xr:uid="{00000000-0005-0000-0000-000058890000}"/>
    <cellStyle name="Normal 41 18" xfId="35123" xr:uid="{00000000-0005-0000-0000-000059890000}"/>
    <cellStyle name="Normal 41 19" xfId="35124" xr:uid="{00000000-0005-0000-0000-00005A890000}"/>
    <cellStyle name="Normal 41 2" xfId="35125" xr:uid="{00000000-0005-0000-0000-00005B890000}"/>
    <cellStyle name="Normal 41 20" xfId="35126" xr:uid="{00000000-0005-0000-0000-00005C890000}"/>
    <cellStyle name="Normal 41 21" xfId="35127" xr:uid="{00000000-0005-0000-0000-00005D890000}"/>
    <cellStyle name="Normal 41 22" xfId="35128" xr:uid="{00000000-0005-0000-0000-00005E890000}"/>
    <cellStyle name="Normal 41 23" xfId="35129" xr:uid="{00000000-0005-0000-0000-00005F890000}"/>
    <cellStyle name="Normal 41 24" xfId="35130" xr:uid="{00000000-0005-0000-0000-000060890000}"/>
    <cellStyle name="Normal 41 25" xfId="35131" xr:uid="{00000000-0005-0000-0000-000061890000}"/>
    <cellStyle name="Normal 41 26" xfId="35132" xr:uid="{00000000-0005-0000-0000-000062890000}"/>
    <cellStyle name="Normal 41 27" xfId="35133" xr:uid="{00000000-0005-0000-0000-000063890000}"/>
    <cellStyle name="Normal 41 28" xfId="35134" xr:uid="{00000000-0005-0000-0000-000064890000}"/>
    <cellStyle name="Normal 41 29" xfId="35135" xr:uid="{00000000-0005-0000-0000-000065890000}"/>
    <cellStyle name="Normal 41 3" xfId="35136" xr:uid="{00000000-0005-0000-0000-000066890000}"/>
    <cellStyle name="Normal 41 30" xfId="35137" xr:uid="{00000000-0005-0000-0000-000067890000}"/>
    <cellStyle name="Normal 41 31" xfId="35138" xr:uid="{00000000-0005-0000-0000-000068890000}"/>
    <cellStyle name="Normal 41 32" xfId="35139" xr:uid="{00000000-0005-0000-0000-000069890000}"/>
    <cellStyle name="Normal 41 33" xfId="35140" xr:uid="{00000000-0005-0000-0000-00006A890000}"/>
    <cellStyle name="Normal 41 34" xfId="35141" xr:uid="{00000000-0005-0000-0000-00006B890000}"/>
    <cellStyle name="Normal 41 35" xfId="35142" xr:uid="{00000000-0005-0000-0000-00006C890000}"/>
    <cellStyle name="Normal 41 36" xfId="35143" xr:uid="{00000000-0005-0000-0000-00006D890000}"/>
    <cellStyle name="Normal 41 4" xfId="35144" xr:uid="{00000000-0005-0000-0000-00006E890000}"/>
    <cellStyle name="Normal 41 5" xfId="35145" xr:uid="{00000000-0005-0000-0000-00006F890000}"/>
    <cellStyle name="Normal 41 6" xfId="35146" xr:uid="{00000000-0005-0000-0000-000070890000}"/>
    <cellStyle name="Normal 41 7" xfId="35147" xr:uid="{00000000-0005-0000-0000-000071890000}"/>
    <cellStyle name="Normal 41 8" xfId="35148" xr:uid="{00000000-0005-0000-0000-000072890000}"/>
    <cellStyle name="Normal 41 9" xfId="35149" xr:uid="{00000000-0005-0000-0000-000073890000}"/>
    <cellStyle name="Normal 42" xfId="35150" xr:uid="{00000000-0005-0000-0000-000074890000}"/>
    <cellStyle name="Normal 42 10" xfId="35151" xr:uid="{00000000-0005-0000-0000-000075890000}"/>
    <cellStyle name="Normal 42 11" xfId="35152" xr:uid="{00000000-0005-0000-0000-000076890000}"/>
    <cellStyle name="Normal 42 12" xfId="35153" xr:uid="{00000000-0005-0000-0000-000077890000}"/>
    <cellStyle name="Normal 42 13" xfId="35154" xr:uid="{00000000-0005-0000-0000-000078890000}"/>
    <cellStyle name="Normal 42 14" xfId="35155" xr:uid="{00000000-0005-0000-0000-000079890000}"/>
    <cellStyle name="Normal 42 15" xfId="35156" xr:uid="{00000000-0005-0000-0000-00007A890000}"/>
    <cellStyle name="Normal 42 16" xfId="35157" xr:uid="{00000000-0005-0000-0000-00007B890000}"/>
    <cellStyle name="Normal 42 17" xfId="35158" xr:uid="{00000000-0005-0000-0000-00007C890000}"/>
    <cellStyle name="Normal 42 18" xfId="35159" xr:uid="{00000000-0005-0000-0000-00007D890000}"/>
    <cellStyle name="Normal 42 19" xfId="35160" xr:uid="{00000000-0005-0000-0000-00007E890000}"/>
    <cellStyle name="Normal 42 2" xfId="35161" xr:uid="{00000000-0005-0000-0000-00007F890000}"/>
    <cellStyle name="Normal 42 20" xfId="35162" xr:uid="{00000000-0005-0000-0000-000080890000}"/>
    <cellStyle name="Normal 42 21" xfId="35163" xr:uid="{00000000-0005-0000-0000-000081890000}"/>
    <cellStyle name="Normal 42 22" xfId="35164" xr:uid="{00000000-0005-0000-0000-000082890000}"/>
    <cellStyle name="Normal 42 23" xfId="35165" xr:uid="{00000000-0005-0000-0000-000083890000}"/>
    <cellStyle name="Normal 42 24" xfId="35166" xr:uid="{00000000-0005-0000-0000-000084890000}"/>
    <cellStyle name="Normal 42 25" xfId="35167" xr:uid="{00000000-0005-0000-0000-000085890000}"/>
    <cellStyle name="Normal 42 26" xfId="35168" xr:uid="{00000000-0005-0000-0000-000086890000}"/>
    <cellStyle name="Normal 42 27" xfId="35169" xr:uid="{00000000-0005-0000-0000-000087890000}"/>
    <cellStyle name="Normal 42 28" xfId="35170" xr:uid="{00000000-0005-0000-0000-000088890000}"/>
    <cellStyle name="Normal 42 29" xfId="35171" xr:uid="{00000000-0005-0000-0000-000089890000}"/>
    <cellStyle name="Normal 42 3" xfId="35172" xr:uid="{00000000-0005-0000-0000-00008A890000}"/>
    <cellStyle name="Normal 42 30" xfId="35173" xr:uid="{00000000-0005-0000-0000-00008B890000}"/>
    <cellStyle name="Normal 42 31" xfId="35174" xr:uid="{00000000-0005-0000-0000-00008C890000}"/>
    <cellStyle name="Normal 42 32" xfId="35175" xr:uid="{00000000-0005-0000-0000-00008D890000}"/>
    <cellStyle name="Normal 42 33" xfId="35176" xr:uid="{00000000-0005-0000-0000-00008E890000}"/>
    <cellStyle name="Normal 42 34" xfId="35177" xr:uid="{00000000-0005-0000-0000-00008F890000}"/>
    <cellStyle name="Normal 42 35" xfId="35178" xr:uid="{00000000-0005-0000-0000-000090890000}"/>
    <cellStyle name="Normal 42 36" xfId="35179" xr:uid="{00000000-0005-0000-0000-000091890000}"/>
    <cellStyle name="Normal 42 4" xfId="35180" xr:uid="{00000000-0005-0000-0000-000092890000}"/>
    <cellStyle name="Normal 42 5" xfId="35181" xr:uid="{00000000-0005-0000-0000-000093890000}"/>
    <cellStyle name="Normal 42 6" xfId="35182" xr:uid="{00000000-0005-0000-0000-000094890000}"/>
    <cellStyle name="Normal 42 7" xfId="35183" xr:uid="{00000000-0005-0000-0000-000095890000}"/>
    <cellStyle name="Normal 42 8" xfId="35184" xr:uid="{00000000-0005-0000-0000-000096890000}"/>
    <cellStyle name="Normal 42 9" xfId="35185" xr:uid="{00000000-0005-0000-0000-000097890000}"/>
    <cellStyle name="Normal 43" xfId="35186" xr:uid="{00000000-0005-0000-0000-000098890000}"/>
    <cellStyle name="Normal 43 10" xfId="35187" xr:uid="{00000000-0005-0000-0000-000099890000}"/>
    <cellStyle name="Normal 43 11" xfId="35188" xr:uid="{00000000-0005-0000-0000-00009A890000}"/>
    <cellStyle name="Normal 43 12" xfId="35189" xr:uid="{00000000-0005-0000-0000-00009B890000}"/>
    <cellStyle name="Normal 43 13" xfId="35190" xr:uid="{00000000-0005-0000-0000-00009C890000}"/>
    <cellStyle name="Normal 43 14" xfId="35191" xr:uid="{00000000-0005-0000-0000-00009D890000}"/>
    <cellStyle name="Normal 43 15" xfId="35192" xr:uid="{00000000-0005-0000-0000-00009E890000}"/>
    <cellStyle name="Normal 43 16" xfId="35193" xr:uid="{00000000-0005-0000-0000-00009F890000}"/>
    <cellStyle name="Normal 43 17" xfId="35194" xr:uid="{00000000-0005-0000-0000-0000A0890000}"/>
    <cellStyle name="Normal 43 18" xfId="35195" xr:uid="{00000000-0005-0000-0000-0000A1890000}"/>
    <cellStyle name="Normal 43 19" xfId="35196" xr:uid="{00000000-0005-0000-0000-0000A2890000}"/>
    <cellStyle name="Normal 43 2" xfId="35197" xr:uid="{00000000-0005-0000-0000-0000A3890000}"/>
    <cellStyle name="Normal 43 20" xfId="35198" xr:uid="{00000000-0005-0000-0000-0000A4890000}"/>
    <cellStyle name="Normal 43 21" xfId="35199" xr:uid="{00000000-0005-0000-0000-0000A5890000}"/>
    <cellStyle name="Normal 43 22" xfId="35200" xr:uid="{00000000-0005-0000-0000-0000A6890000}"/>
    <cellStyle name="Normal 43 23" xfId="35201" xr:uid="{00000000-0005-0000-0000-0000A7890000}"/>
    <cellStyle name="Normal 43 24" xfId="35202" xr:uid="{00000000-0005-0000-0000-0000A8890000}"/>
    <cellStyle name="Normal 43 25" xfId="35203" xr:uid="{00000000-0005-0000-0000-0000A9890000}"/>
    <cellStyle name="Normal 43 26" xfId="35204" xr:uid="{00000000-0005-0000-0000-0000AA890000}"/>
    <cellStyle name="Normal 43 27" xfId="35205" xr:uid="{00000000-0005-0000-0000-0000AB890000}"/>
    <cellStyle name="Normal 43 28" xfId="35206" xr:uid="{00000000-0005-0000-0000-0000AC890000}"/>
    <cellStyle name="Normal 43 29" xfId="35207" xr:uid="{00000000-0005-0000-0000-0000AD890000}"/>
    <cellStyle name="Normal 43 3" xfId="35208" xr:uid="{00000000-0005-0000-0000-0000AE890000}"/>
    <cellStyle name="Normal 43 30" xfId="35209" xr:uid="{00000000-0005-0000-0000-0000AF890000}"/>
    <cellStyle name="Normal 43 31" xfId="35210" xr:uid="{00000000-0005-0000-0000-0000B0890000}"/>
    <cellStyle name="Normal 43 32" xfId="35211" xr:uid="{00000000-0005-0000-0000-0000B1890000}"/>
    <cellStyle name="Normal 43 33" xfId="35212" xr:uid="{00000000-0005-0000-0000-0000B2890000}"/>
    <cellStyle name="Normal 43 34" xfId="35213" xr:uid="{00000000-0005-0000-0000-0000B3890000}"/>
    <cellStyle name="Normal 43 35" xfId="35214" xr:uid="{00000000-0005-0000-0000-0000B4890000}"/>
    <cellStyle name="Normal 43 36" xfId="35215" xr:uid="{00000000-0005-0000-0000-0000B5890000}"/>
    <cellStyle name="Normal 43 4" xfId="35216" xr:uid="{00000000-0005-0000-0000-0000B6890000}"/>
    <cellStyle name="Normal 43 5" xfId="35217" xr:uid="{00000000-0005-0000-0000-0000B7890000}"/>
    <cellStyle name="Normal 43 6" xfId="35218" xr:uid="{00000000-0005-0000-0000-0000B8890000}"/>
    <cellStyle name="Normal 43 7" xfId="35219" xr:uid="{00000000-0005-0000-0000-0000B9890000}"/>
    <cellStyle name="Normal 43 8" xfId="35220" xr:uid="{00000000-0005-0000-0000-0000BA890000}"/>
    <cellStyle name="Normal 43 9" xfId="35221" xr:uid="{00000000-0005-0000-0000-0000BB890000}"/>
    <cellStyle name="Normal 44" xfId="35222" xr:uid="{00000000-0005-0000-0000-0000BC890000}"/>
    <cellStyle name="Normal 44 10" xfId="35223" xr:uid="{00000000-0005-0000-0000-0000BD890000}"/>
    <cellStyle name="Normal 44 11" xfId="35224" xr:uid="{00000000-0005-0000-0000-0000BE890000}"/>
    <cellStyle name="Normal 44 12" xfId="35225" xr:uid="{00000000-0005-0000-0000-0000BF890000}"/>
    <cellStyle name="Normal 44 13" xfId="35226" xr:uid="{00000000-0005-0000-0000-0000C0890000}"/>
    <cellStyle name="Normal 44 14" xfId="35227" xr:uid="{00000000-0005-0000-0000-0000C1890000}"/>
    <cellStyle name="Normal 44 15" xfId="35228" xr:uid="{00000000-0005-0000-0000-0000C2890000}"/>
    <cellStyle name="Normal 44 16" xfId="35229" xr:uid="{00000000-0005-0000-0000-0000C3890000}"/>
    <cellStyle name="Normal 44 17" xfId="35230" xr:uid="{00000000-0005-0000-0000-0000C4890000}"/>
    <cellStyle name="Normal 44 18" xfId="35231" xr:uid="{00000000-0005-0000-0000-0000C5890000}"/>
    <cellStyle name="Normal 44 19" xfId="35232" xr:uid="{00000000-0005-0000-0000-0000C6890000}"/>
    <cellStyle name="Normal 44 2" xfId="35233" xr:uid="{00000000-0005-0000-0000-0000C7890000}"/>
    <cellStyle name="Normal 44 20" xfId="35234" xr:uid="{00000000-0005-0000-0000-0000C8890000}"/>
    <cellStyle name="Normal 44 21" xfId="35235" xr:uid="{00000000-0005-0000-0000-0000C9890000}"/>
    <cellStyle name="Normal 44 22" xfId="35236" xr:uid="{00000000-0005-0000-0000-0000CA890000}"/>
    <cellStyle name="Normal 44 23" xfId="35237" xr:uid="{00000000-0005-0000-0000-0000CB890000}"/>
    <cellStyle name="Normal 44 24" xfId="35238" xr:uid="{00000000-0005-0000-0000-0000CC890000}"/>
    <cellStyle name="Normal 44 25" xfId="35239" xr:uid="{00000000-0005-0000-0000-0000CD890000}"/>
    <cellStyle name="Normal 44 26" xfId="35240" xr:uid="{00000000-0005-0000-0000-0000CE890000}"/>
    <cellStyle name="Normal 44 27" xfId="35241" xr:uid="{00000000-0005-0000-0000-0000CF890000}"/>
    <cellStyle name="Normal 44 28" xfId="35242" xr:uid="{00000000-0005-0000-0000-0000D0890000}"/>
    <cellStyle name="Normal 44 29" xfId="35243" xr:uid="{00000000-0005-0000-0000-0000D1890000}"/>
    <cellStyle name="Normal 44 3" xfId="35244" xr:uid="{00000000-0005-0000-0000-0000D2890000}"/>
    <cellStyle name="Normal 44 30" xfId="35245" xr:uid="{00000000-0005-0000-0000-0000D3890000}"/>
    <cellStyle name="Normal 44 31" xfId="35246" xr:uid="{00000000-0005-0000-0000-0000D4890000}"/>
    <cellStyle name="Normal 44 32" xfId="35247" xr:uid="{00000000-0005-0000-0000-0000D5890000}"/>
    <cellStyle name="Normal 44 33" xfId="35248" xr:uid="{00000000-0005-0000-0000-0000D6890000}"/>
    <cellStyle name="Normal 44 34" xfId="35249" xr:uid="{00000000-0005-0000-0000-0000D7890000}"/>
    <cellStyle name="Normal 44 35" xfId="35250" xr:uid="{00000000-0005-0000-0000-0000D8890000}"/>
    <cellStyle name="Normal 44 36" xfId="35251" xr:uid="{00000000-0005-0000-0000-0000D9890000}"/>
    <cellStyle name="Normal 44 4" xfId="35252" xr:uid="{00000000-0005-0000-0000-0000DA890000}"/>
    <cellStyle name="Normal 44 5" xfId="35253" xr:uid="{00000000-0005-0000-0000-0000DB890000}"/>
    <cellStyle name="Normal 44 6" xfId="35254" xr:uid="{00000000-0005-0000-0000-0000DC890000}"/>
    <cellStyle name="Normal 44 7" xfId="35255" xr:uid="{00000000-0005-0000-0000-0000DD890000}"/>
    <cellStyle name="Normal 44 8" xfId="35256" xr:uid="{00000000-0005-0000-0000-0000DE890000}"/>
    <cellStyle name="Normal 44 9" xfId="35257" xr:uid="{00000000-0005-0000-0000-0000DF890000}"/>
    <cellStyle name="Normal 45" xfId="35258" xr:uid="{00000000-0005-0000-0000-0000E0890000}"/>
    <cellStyle name="Normal 45 10" xfId="35259" xr:uid="{00000000-0005-0000-0000-0000E1890000}"/>
    <cellStyle name="Normal 45 11" xfId="35260" xr:uid="{00000000-0005-0000-0000-0000E2890000}"/>
    <cellStyle name="Normal 45 12" xfId="35261" xr:uid="{00000000-0005-0000-0000-0000E3890000}"/>
    <cellStyle name="Normal 45 13" xfId="35262" xr:uid="{00000000-0005-0000-0000-0000E4890000}"/>
    <cellStyle name="Normal 45 14" xfId="35263" xr:uid="{00000000-0005-0000-0000-0000E5890000}"/>
    <cellStyle name="Normal 45 15" xfId="35264" xr:uid="{00000000-0005-0000-0000-0000E6890000}"/>
    <cellStyle name="Normal 45 16" xfId="35265" xr:uid="{00000000-0005-0000-0000-0000E7890000}"/>
    <cellStyle name="Normal 45 17" xfId="35266" xr:uid="{00000000-0005-0000-0000-0000E8890000}"/>
    <cellStyle name="Normal 45 18" xfId="35267" xr:uid="{00000000-0005-0000-0000-0000E9890000}"/>
    <cellStyle name="Normal 45 19" xfId="35268" xr:uid="{00000000-0005-0000-0000-0000EA890000}"/>
    <cellStyle name="Normal 45 2" xfId="35269" xr:uid="{00000000-0005-0000-0000-0000EB890000}"/>
    <cellStyle name="Normal 45 20" xfId="35270" xr:uid="{00000000-0005-0000-0000-0000EC890000}"/>
    <cellStyle name="Normal 45 21" xfId="35271" xr:uid="{00000000-0005-0000-0000-0000ED890000}"/>
    <cellStyle name="Normal 45 22" xfId="35272" xr:uid="{00000000-0005-0000-0000-0000EE890000}"/>
    <cellStyle name="Normal 45 23" xfId="35273" xr:uid="{00000000-0005-0000-0000-0000EF890000}"/>
    <cellStyle name="Normal 45 24" xfId="35274" xr:uid="{00000000-0005-0000-0000-0000F0890000}"/>
    <cellStyle name="Normal 45 25" xfId="35275" xr:uid="{00000000-0005-0000-0000-0000F1890000}"/>
    <cellStyle name="Normal 45 26" xfId="35276" xr:uid="{00000000-0005-0000-0000-0000F2890000}"/>
    <cellStyle name="Normal 45 27" xfId="35277" xr:uid="{00000000-0005-0000-0000-0000F3890000}"/>
    <cellStyle name="Normal 45 28" xfId="35278" xr:uid="{00000000-0005-0000-0000-0000F4890000}"/>
    <cellStyle name="Normal 45 29" xfId="35279" xr:uid="{00000000-0005-0000-0000-0000F5890000}"/>
    <cellStyle name="Normal 45 3" xfId="35280" xr:uid="{00000000-0005-0000-0000-0000F6890000}"/>
    <cellStyle name="Normal 45 30" xfId="35281" xr:uid="{00000000-0005-0000-0000-0000F7890000}"/>
    <cellStyle name="Normal 45 31" xfId="35282" xr:uid="{00000000-0005-0000-0000-0000F8890000}"/>
    <cellStyle name="Normal 45 32" xfId="35283" xr:uid="{00000000-0005-0000-0000-0000F9890000}"/>
    <cellStyle name="Normal 45 33" xfId="35284" xr:uid="{00000000-0005-0000-0000-0000FA890000}"/>
    <cellStyle name="Normal 45 34" xfId="35285" xr:uid="{00000000-0005-0000-0000-0000FB890000}"/>
    <cellStyle name="Normal 45 35" xfId="35286" xr:uid="{00000000-0005-0000-0000-0000FC890000}"/>
    <cellStyle name="Normal 45 36" xfId="35287" xr:uid="{00000000-0005-0000-0000-0000FD890000}"/>
    <cellStyle name="Normal 45 4" xfId="35288" xr:uid="{00000000-0005-0000-0000-0000FE890000}"/>
    <cellStyle name="Normal 45 5" xfId="35289" xr:uid="{00000000-0005-0000-0000-0000FF890000}"/>
    <cellStyle name="Normal 45 6" xfId="35290" xr:uid="{00000000-0005-0000-0000-0000008A0000}"/>
    <cellStyle name="Normal 45 7" xfId="35291" xr:uid="{00000000-0005-0000-0000-0000018A0000}"/>
    <cellStyle name="Normal 45 8" xfId="35292" xr:uid="{00000000-0005-0000-0000-0000028A0000}"/>
    <cellStyle name="Normal 45 9" xfId="35293" xr:uid="{00000000-0005-0000-0000-0000038A0000}"/>
    <cellStyle name="Normal 46" xfId="35294" xr:uid="{00000000-0005-0000-0000-0000048A0000}"/>
    <cellStyle name="Normal 46 10" xfId="35295" xr:uid="{00000000-0005-0000-0000-0000058A0000}"/>
    <cellStyle name="Normal 46 11" xfId="35296" xr:uid="{00000000-0005-0000-0000-0000068A0000}"/>
    <cellStyle name="Normal 46 12" xfId="35297" xr:uid="{00000000-0005-0000-0000-0000078A0000}"/>
    <cellStyle name="Normal 46 13" xfId="35298" xr:uid="{00000000-0005-0000-0000-0000088A0000}"/>
    <cellStyle name="Normal 46 14" xfId="35299" xr:uid="{00000000-0005-0000-0000-0000098A0000}"/>
    <cellStyle name="Normal 46 15" xfId="35300" xr:uid="{00000000-0005-0000-0000-00000A8A0000}"/>
    <cellStyle name="Normal 46 16" xfId="35301" xr:uid="{00000000-0005-0000-0000-00000B8A0000}"/>
    <cellStyle name="Normal 46 17" xfId="35302" xr:uid="{00000000-0005-0000-0000-00000C8A0000}"/>
    <cellStyle name="Normal 46 18" xfId="35303" xr:uid="{00000000-0005-0000-0000-00000D8A0000}"/>
    <cellStyle name="Normal 46 19" xfId="35304" xr:uid="{00000000-0005-0000-0000-00000E8A0000}"/>
    <cellStyle name="Normal 46 2" xfId="35305" xr:uid="{00000000-0005-0000-0000-00000F8A0000}"/>
    <cellStyle name="Normal 46 20" xfId="35306" xr:uid="{00000000-0005-0000-0000-0000108A0000}"/>
    <cellStyle name="Normal 46 21" xfId="35307" xr:uid="{00000000-0005-0000-0000-0000118A0000}"/>
    <cellStyle name="Normal 46 22" xfId="35308" xr:uid="{00000000-0005-0000-0000-0000128A0000}"/>
    <cellStyle name="Normal 46 23" xfId="35309" xr:uid="{00000000-0005-0000-0000-0000138A0000}"/>
    <cellStyle name="Normal 46 24" xfId="35310" xr:uid="{00000000-0005-0000-0000-0000148A0000}"/>
    <cellStyle name="Normal 46 25" xfId="35311" xr:uid="{00000000-0005-0000-0000-0000158A0000}"/>
    <cellStyle name="Normal 46 26" xfId="35312" xr:uid="{00000000-0005-0000-0000-0000168A0000}"/>
    <cellStyle name="Normal 46 27" xfId="35313" xr:uid="{00000000-0005-0000-0000-0000178A0000}"/>
    <cellStyle name="Normal 46 28" xfId="35314" xr:uid="{00000000-0005-0000-0000-0000188A0000}"/>
    <cellStyle name="Normal 46 29" xfId="35315" xr:uid="{00000000-0005-0000-0000-0000198A0000}"/>
    <cellStyle name="Normal 46 3" xfId="35316" xr:uid="{00000000-0005-0000-0000-00001A8A0000}"/>
    <cellStyle name="Normal 46 30" xfId="35317" xr:uid="{00000000-0005-0000-0000-00001B8A0000}"/>
    <cellStyle name="Normal 46 31" xfId="35318" xr:uid="{00000000-0005-0000-0000-00001C8A0000}"/>
    <cellStyle name="Normal 46 32" xfId="35319" xr:uid="{00000000-0005-0000-0000-00001D8A0000}"/>
    <cellStyle name="Normal 46 33" xfId="35320" xr:uid="{00000000-0005-0000-0000-00001E8A0000}"/>
    <cellStyle name="Normal 46 34" xfId="35321" xr:uid="{00000000-0005-0000-0000-00001F8A0000}"/>
    <cellStyle name="Normal 46 35" xfId="35322" xr:uid="{00000000-0005-0000-0000-0000208A0000}"/>
    <cellStyle name="Normal 46 36" xfId="35323" xr:uid="{00000000-0005-0000-0000-0000218A0000}"/>
    <cellStyle name="Normal 46 4" xfId="35324" xr:uid="{00000000-0005-0000-0000-0000228A0000}"/>
    <cellStyle name="Normal 46 5" xfId="35325" xr:uid="{00000000-0005-0000-0000-0000238A0000}"/>
    <cellStyle name="Normal 46 6" xfId="35326" xr:uid="{00000000-0005-0000-0000-0000248A0000}"/>
    <cellStyle name="Normal 46 7" xfId="35327" xr:uid="{00000000-0005-0000-0000-0000258A0000}"/>
    <cellStyle name="Normal 46 8" xfId="35328" xr:uid="{00000000-0005-0000-0000-0000268A0000}"/>
    <cellStyle name="Normal 46 9" xfId="35329" xr:uid="{00000000-0005-0000-0000-0000278A0000}"/>
    <cellStyle name="Normal 47" xfId="35330" xr:uid="{00000000-0005-0000-0000-0000288A0000}"/>
    <cellStyle name="Normal 47 10" xfId="35331" xr:uid="{00000000-0005-0000-0000-0000298A0000}"/>
    <cellStyle name="Normal 47 11" xfId="35332" xr:uid="{00000000-0005-0000-0000-00002A8A0000}"/>
    <cellStyle name="Normal 47 12" xfId="35333" xr:uid="{00000000-0005-0000-0000-00002B8A0000}"/>
    <cellStyle name="Normal 47 13" xfId="35334" xr:uid="{00000000-0005-0000-0000-00002C8A0000}"/>
    <cellStyle name="Normal 47 14" xfId="35335" xr:uid="{00000000-0005-0000-0000-00002D8A0000}"/>
    <cellStyle name="Normal 47 15" xfId="35336" xr:uid="{00000000-0005-0000-0000-00002E8A0000}"/>
    <cellStyle name="Normal 47 16" xfId="35337" xr:uid="{00000000-0005-0000-0000-00002F8A0000}"/>
    <cellStyle name="Normal 47 17" xfId="35338" xr:uid="{00000000-0005-0000-0000-0000308A0000}"/>
    <cellStyle name="Normal 47 18" xfId="35339" xr:uid="{00000000-0005-0000-0000-0000318A0000}"/>
    <cellStyle name="Normal 47 19" xfId="35340" xr:uid="{00000000-0005-0000-0000-0000328A0000}"/>
    <cellStyle name="Normal 47 2" xfId="35341" xr:uid="{00000000-0005-0000-0000-0000338A0000}"/>
    <cellStyle name="Normal 47 20" xfId="35342" xr:uid="{00000000-0005-0000-0000-0000348A0000}"/>
    <cellStyle name="Normal 47 21" xfId="35343" xr:uid="{00000000-0005-0000-0000-0000358A0000}"/>
    <cellStyle name="Normal 47 22" xfId="35344" xr:uid="{00000000-0005-0000-0000-0000368A0000}"/>
    <cellStyle name="Normal 47 23" xfId="35345" xr:uid="{00000000-0005-0000-0000-0000378A0000}"/>
    <cellStyle name="Normal 47 24" xfId="35346" xr:uid="{00000000-0005-0000-0000-0000388A0000}"/>
    <cellStyle name="Normal 47 25" xfId="35347" xr:uid="{00000000-0005-0000-0000-0000398A0000}"/>
    <cellStyle name="Normal 47 26" xfId="35348" xr:uid="{00000000-0005-0000-0000-00003A8A0000}"/>
    <cellStyle name="Normal 47 27" xfId="35349" xr:uid="{00000000-0005-0000-0000-00003B8A0000}"/>
    <cellStyle name="Normal 47 28" xfId="35350" xr:uid="{00000000-0005-0000-0000-00003C8A0000}"/>
    <cellStyle name="Normal 47 29" xfId="35351" xr:uid="{00000000-0005-0000-0000-00003D8A0000}"/>
    <cellStyle name="Normal 47 3" xfId="35352" xr:uid="{00000000-0005-0000-0000-00003E8A0000}"/>
    <cellStyle name="Normal 47 30" xfId="35353" xr:uid="{00000000-0005-0000-0000-00003F8A0000}"/>
    <cellStyle name="Normal 47 31" xfId="35354" xr:uid="{00000000-0005-0000-0000-0000408A0000}"/>
    <cellStyle name="Normal 47 32" xfId="35355" xr:uid="{00000000-0005-0000-0000-0000418A0000}"/>
    <cellStyle name="Normal 47 33" xfId="35356" xr:uid="{00000000-0005-0000-0000-0000428A0000}"/>
    <cellStyle name="Normal 47 34" xfId="35357" xr:uid="{00000000-0005-0000-0000-0000438A0000}"/>
    <cellStyle name="Normal 47 35" xfId="35358" xr:uid="{00000000-0005-0000-0000-0000448A0000}"/>
    <cellStyle name="Normal 47 36" xfId="35359" xr:uid="{00000000-0005-0000-0000-0000458A0000}"/>
    <cellStyle name="Normal 47 4" xfId="35360" xr:uid="{00000000-0005-0000-0000-0000468A0000}"/>
    <cellStyle name="Normal 47 5" xfId="35361" xr:uid="{00000000-0005-0000-0000-0000478A0000}"/>
    <cellStyle name="Normal 47 6" xfId="35362" xr:uid="{00000000-0005-0000-0000-0000488A0000}"/>
    <cellStyle name="Normal 47 7" xfId="35363" xr:uid="{00000000-0005-0000-0000-0000498A0000}"/>
    <cellStyle name="Normal 47 8" xfId="35364" xr:uid="{00000000-0005-0000-0000-00004A8A0000}"/>
    <cellStyle name="Normal 47 9" xfId="35365" xr:uid="{00000000-0005-0000-0000-00004B8A0000}"/>
    <cellStyle name="Normal 48" xfId="35366" xr:uid="{00000000-0005-0000-0000-00004C8A0000}"/>
    <cellStyle name="Normal 48 10" xfId="35367" xr:uid="{00000000-0005-0000-0000-00004D8A0000}"/>
    <cellStyle name="Normal 48 11" xfId="35368" xr:uid="{00000000-0005-0000-0000-00004E8A0000}"/>
    <cellStyle name="Normal 48 12" xfId="35369" xr:uid="{00000000-0005-0000-0000-00004F8A0000}"/>
    <cellStyle name="Normal 48 13" xfId="35370" xr:uid="{00000000-0005-0000-0000-0000508A0000}"/>
    <cellStyle name="Normal 48 14" xfId="35371" xr:uid="{00000000-0005-0000-0000-0000518A0000}"/>
    <cellStyle name="Normal 48 15" xfId="35372" xr:uid="{00000000-0005-0000-0000-0000528A0000}"/>
    <cellStyle name="Normal 48 16" xfId="35373" xr:uid="{00000000-0005-0000-0000-0000538A0000}"/>
    <cellStyle name="Normal 48 17" xfId="35374" xr:uid="{00000000-0005-0000-0000-0000548A0000}"/>
    <cellStyle name="Normal 48 18" xfId="35375" xr:uid="{00000000-0005-0000-0000-0000558A0000}"/>
    <cellStyle name="Normal 48 19" xfId="35376" xr:uid="{00000000-0005-0000-0000-0000568A0000}"/>
    <cellStyle name="Normal 48 2" xfId="35377" xr:uid="{00000000-0005-0000-0000-0000578A0000}"/>
    <cellStyle name="Normal 48 20" xfId="35378" xr:uid="{00000000-0005-0000-0000-0000588A0000}"/>
    <cellStyle name="Normal 48 21" xfId="35379" xr:uid="{00000000-0005-0000-0000-0000598A0000}"/>
    <cellStyle name="Normal 48 22" xfId="35380" xr:uid="{00000000-0005-0000-0000-00005A8A0000}"/>
    <cellStyle name="Normal 48 23" xfId="35381" xr:uid="{00000000-0005-0000-0000-00005B8A0000}"/>
    <cellStyle name="Normal 48 24" xfId="35382" xr:uid="{00000000-0005-0000-0000-00005C8A0000}"/>
    <cellStyle name="Normal 48 25" xfId="35383" xr:uid="{00000000-0005-0000-0000-00005D8A0000}"/>
    <cellStyle name="Normal 48 26" xfId="35384" xr:uid="{00000000-0005-0000-0000-00005E8A0000}"/>
    <cellStyle name="Normal 48 27" xfId="35385" xr:uid="{00000000-0005-0000-0000-00005F8A0000}"/>
    <cellStyle name="Normal 48 28" xfId="35386" xr:uid="{00000000-0005-0000-0000-0000608A0000}"/>
    <cellStyle name="Normal 48 29" xfId="35387" xr:uid="{00000000-0005-0000-0000-0000618A0000}"/>
    <cellStyle name="Normal 48 3" xfId="35388" xr:uid="{00000000-0005-0000-0000-0000628A0000}"/>
    <cellStyle name="Normal 48 30" xfId="35389" xr:uid="{00000000-0005-0000-0000-0000638A0000}"/>
    <cellStyle name="Normal 48 31" xfId="35390" xr:uid="{00000000-0005-0000-0000-0000648A0000}"/>
    <cellStyle name="Normal 48 32" xfId="35391" xr:uid="{00000000-0005-0000-0000-0000658A0000}"/>
    <cellStyle name="Normal 48 33" xfId="35392" xr:uid="{00000000-0005-0000-0000-0000668A0000}"/>
    <cellStyle name="Normal 48 34" xfId="35393" xr:uid="{00000000-0005-0000-0000-0000678A0000}"/>
    <cellStyle name="Normal 48 35" xfId="35394" xr:uid="{00000000-0005-0000-0000-0000688A0000}"/>
    <cellStyle name="Normal 48 36" xfId="35395" xr:uid="{00000000-0005-0000-0000-0000698A0000}"/>
    <cellStyle name="Normal 48 4" xfId="35396" xr:uid="{00000000-0005-0000-0000-00006A8A0000}"/>
    <cellStyle name="Normal 48 5" xfId="35397" xr:uid="{00000000-0005-0000-0000-00006B8A0000}"/>
    <cellStyle name="Normal 48 6" xfId="35398" xr:uid="{00000000-0005-0000-0000-00006C8A0000}"/>
    <cellStyle name="Normal 48 7" xfId="35399" xr:uid="{00000000-0005-0000-0000-00006D8A0000}"/>
    <cellStyle name="Normal 48 8" xfId="35400" xr:uid="{00000000-0005-0000-0000-00006E8A0000}"/>
    <cellStyle name="Normal 48 9" xfId="35401" xr:uid="{00000000-0005-0000-0000-00006F8A0000}"/>
    <cellStyle name="Normal 49" xfId="35402" xr:uid="{00000000-0005-0000-0000-0000708A0000}"/>
    <cellStyle name="Normal 49 2" xfId="35403" xr:uid="{00000000-0005-0000-0000-0000718A0000}"/>
    <cellStyle name="Normal 5" xfId="35404" xr:uid="{00000000-0005-0000-0000-0000728A0000}"/>
    <cellStyle name="Normal 5 2" xfId="35405" xr:uid="{00000000-0005-0000-0000-0000738A0000}"/>
    <cellStyle name="Normal 5 3" xfId="35406" xr:uid="{00000000-0005-0000-0000-0000748A0000}"/>
    <cellStyle name="Normal 5 4" xfId="41078" xr:uid="{00000000-0005-0000-0000-000032000000}"/>
    <cellStyle name="Normal 50" xfId="35407" xr:uid="{00000000-0005-0000-0000-0000758A0000}"/>
    <cellStyle name="Normal 50 2" xfId="35408" xr:uid="{00000000-0005-0000-0000-0000768A0000}"/>
    <cellStyle name="Normal 51" xfId="35409" xr:uid="{00000000-0005-0000-0000-0000778A0000}"/>
    <cellStyle name="Normal 51 2" xfId="35410" xr:uid="{00000000-0005-0000-0000-0000788A0000}"/>
    <cellStyle name="Normal 52" xfId="35411" xr:uid="{00000000-0005-0000-0000-0000798A0000}"/>
    <cellStyle name="Normal 52 2" xfId="35412" xr:uid="{00000000-0005-0000-0000-00007A8A0000}"/>
    <cellStyle name="Normal 53" xfId="35413" xr:uid="{00000000-0005-0000-0000-00007B8A0000}"/>
    <cellStyle name="Normal 53 2" xfId="35414" xr:uid="{00000000-0005-0000-0000-00007C8A0000}"/>
    <cellStyle name="Normal 54" xfId="35415" xr:uid="{00000000-0005-0000-0000-00007D8A0000}"/>
    <cellStyle name="Normal 54 2" xfId="35416" xr:uid="{00000000-0005-0000-0000-00007E8A0000}"/>
    <cellStyle name="Normal 55" xfId="35417" xr:uid="{00000000-0005-0000-0000-00007F8A0000}"/>
    <cellStyle name="Normal 55 2" xfId="35418" xr:uid="{00000000-0005-0000-0000-0000808A0000}"/>
    <cellStyle name="Normal 56" xfId="35419" xr:uid="{00000000-0005-0000-0000-0000818A0000}"/>
    <cellStyle name="Normal 56 2" xfId="35420" xr:uid="{00000000-0005-0000-0000-0000828A0000}"/>
    <cellStyle name="Normal 57" xfId="35421" xr:uid="{00000000-0005-0000-0000-0000838A0000}"/>
    <cellStyle name="Normal 57 2" xfId="35422" xr:uid="{00000000-0005-0000-0000-0000848A0000}"/>
    <cellStyle name="Normal 58" xfId="35423" xr:uid="{00000000-0005-0000-0000-0000858A0000}"/>
    <cellStyle name="Normal 58 2" xfId="35424" xr:uid="{00000000-0005-0000-0000-0000868A0000}"/>
    <cellStyle name="Normal 59" xfId="35425" xr:uid="{00000000-0005-0000-0000-0000878A0000}"/>
    <cellStyle name="Normal 59 2" xfId="35426" xr:uid="{00000000-0005-0000-0000-0000888A0000}"/>
    <cellStyle name="Normal 6" xfId="35427" xr:uid="{00000000-0005-0000-0000-0000898A0000}"/>
    <cellStyle name="Normal 6 2" xfId="35428" xr:uid="{00000000-0005-0000-0000-00008A8A0000}"/>
    <cellStyle name="Normal 6 3" xfId="35429" xr:uid="{00000000-0005-0000-0000-00008B8A0000}"/>
    <cellStyle name="Normal 60" xfId="35430" xr:uid="{00000000-0005-0000-0000-00008C8A0000}"/>
    <cellStyle name="Normal 60 2" xfId="35431" xr:uid="{00000000-0005-0000-0000-00008D8A0000}"/>
    <cellStyle name="Normal 61" xfId="35432" xr:uid="{00000000-0005-0000-0000-00008E8A0000}"/>
    <cellStyle name="Normal 61 2" xfId="35433" xr:uid="{00000000-0005-0000-0000-00008F8A0000}"/>
    <cellStyle name="Normal 62" xfId="35434" xr:uid="{00000000-0005-0000-0000-0000908A0000}"/>
    <cellStyle name="Normal 62 2" xfId="35435" xr:uid="{00000000-0005-0000-0000-0000918A0000}"/>
    <cellStyle name="Normal 63" xfId="35436" xr:uid="{00000000-0005-0000-0000-0000928A0000}"/>
    <cellStyle name="Normal 64" xfId="35437" xr:uid="{00000000-0005-0000-0000-0000938A0000}"/>
    <cellStyle name="Normal 65" xfId="35438" xr:uid="{00000000-0005-0000-0000-0000948A0000}"/>
    <cellStyle name="Normal 66" xfId="35439" xr:uid="{00000000-0005-0000-0000-0000958A0000}"/>
    <cellStyle name="Normal 66 2" xfId="35440" xr:uid="{00000000-0005-0000-0000-0000968A0000}"/>
    <cellStyle name="Normal 67" xfId="35441" xr:uid="{00000000-0005-0000-0000-0000978A0000}"/>
    <cellStyle name="Normal 67 2" xfId="35442" xr:uid="{00000000-0005-0000-0000-0000988A0000}"/>
    <cellStyle name="Normal 68" xfId="35443" xr:uid="{00000000-0005-0000-0000-0000998A0000}"/>
    <cellStyle name="Normal 68 2" xfId="35444" xr:uid="{00000000-0005-0000-0000-00009A8A0000}"/>
    <cellStyle name="Normal 69" xfId="35445" xr:uid="{00000000-0005-0000-0000-00009B8A0000}"/>
    <cellStyle name="Normal 69 2" xfId="35446" xr:uid="{00000000-0005-0000-0000-00009C8A0000}"/>
    <cellStyle name="Normal 7" xfId="35447" xr:uid="{00000000-0005-0000-0000-00009D8A0000}"/>
    <cellStyle name="Normal 7 2" xfId="35448" xr:uid="{00000000-0005-0000-0000-00009E8A0000}"/>
    <cellStyle name="Normal 7 2 2" xfId="35449" xr:uid="{00000000-0005-0000-0000-00009F8A0000}"/>
    <cellStyle name="Normal 70" xfId="35450" xr:uid="{00000000-0005-0000-0000-0000A08A0000}"/>
    <cellStyle name="Normal 70 2" xfId="35451" xr:uid="{00000000-0005-0000-0000-0000A18A0000}"/>
    <cellStyle name="Normal 71" xfId="35452" xr:uid="{00000000-0005-0000-0000-0000A28A0000}"/>
    <cellStyle name="Normal 71 2" xfId="35453" xr:uid="{00000000-0005-0000-0000-0000A38A0000}"/>
    <cellStyle name="Normal 72" xfId="35454" xr:uid="{00000000-0005-0000-0000-0000A48A0000}"/>
    <cellStyle name="Normal 72 10" xfId="35455" xr:uid="{00000000-0005-0000-0000-0000A58A0000}"/>
    <cellStyle name="Normal 72 11" xfId="35456" xr:uid="{00000000-0005-0000-0000-0000A68A0000}"/>
    <cellStyle name="Normal 72 12" xfId="35457" xr:uid="{00000000-0005-0000-0000-0000A78A0000}"/>
    <cellStyle name="Normal 72 13" xfId="35458" xr:uid="{00000000-0005-0000-0000-0000A88A0000}"/>
    <cellStyle name="Normal 72 14" xfId="35459" xr:uid="{00000000-0005-0000-0000-0000A98A0000}"/>
    <cellStyle name="Normal 72 15" xfId="35460" xr:uid="{00000000-0005-0000-0000-0000AA8A0000}"/>
    <cellStyle name="Normal 72 16" xfId="35461" xr:uid="{00000000-0005-0000-0000-0000AB8A0000}"/>
    <cellStyle name="Normal 72 17" xfId="35462" xr:uid="{00000000-0005-0000-0000-0000AC8A0000}"/>
    <cellStyle name="Normal 72 18" xfId="35463" xr:uid="{00000000-0005-0000-0000-0000AD8A0000}"/>
    <cellStyle name="Normal 72 19" xfId="35464" xr:uid="{00000000-0005-0000-0000-0000AE8A0000}"/>
    <cellStyle name="Normal 72 2" xfId="35465" xr:uid="{00000000-0005-0000-0000-0000AF8A0000}"/>
    <cellStyle name="Normal 72 20" xfId="35466" xr:uid="{00000000-0005-0000-0000-0000B08A0000}"/>
    <cellStyle name="Normal 72 21" xfId="35467" xr:uid="{00000000-0005-0000-0000-0000B18A0000}"/>
    <cellStyle name="Normal 72 22" xfId="35468" xr:uid="{00000000-0005-0000-0000-0000B28A0000}"/>
    <cellStyle name="Normal 72 23" xfId="35469" xr:uid="{00000000-0005-0000-0000-0000B38A0000}"/>
    <cellStyle name="Normal 72 24" xfId="35470" xr:uid="{00000000-0005-0000-0000-0000B48A0000}"/>
    <cellStyle name="Normal 72 25" xfId="35471" xr:uid="{00000000-0005-0000-0000-0000B58A0000}"/>
    <cellStyle name="Normal 72 26" xfId="35472" xr:uid="{00000000-0005-0000-0000-0000B68A0000}"/>
    <cellStyle name="Normal 72 27" xfId="35473" xr:uid="{00000000-0005-0000-0000-0000B78A0000}"/>
    <cellStyle name="Normal 72 28" xfId="35474" xr:uid="{00000000-0005-0000-0000-0000B88A0000}"/>
    <cellStyle name="Normal 72 29" xfId="35475" xr:uid="{00000000-0005-0000-0000-0000B98A0000}"/>
    <cellStyle name="Normal 72 3" xfId="35476" xr:uid="{00000000-0005-0000-0000-0000BA8A0000}"/>
    <cellStyle name="Normal 72 30" xfId="35477" xr:uid="{00000000-0005-0000-0000-0000BB8A0000}"/>
    <cellStyle name="Normal 72 31" xfId="35478" xr:uid="{00000000-0005-0000-0000-0000BC8A0000}"/>
    <cellStyle name="Normal 72 32" xfId="35479" xr:uid="{00000000-0005-0000-0000-0000BD8A0000}"/>
    <cellStyle name="Normal 72 33" xfId="35480" xr:uid="{00000000-0005-0000-0000-0000BE8A0000}"/>
    <cellStyle name="Normal 72 34" xfId="35481" xr:uid="{00000000-0005-0000-0000-0000BF8A0000}"/>
    <cellStyle name="Normal 72 35" xfId="35482" xr:uid="{00000000-0005-0000-0000-0000C08A0000}"/>
    <cellStyle name="Normal 72 36" xfId="35483" xr:uid="{00000000-0005-0000-0000-0000C18A0000}"/>
    <cellStyle name="Normal 72 4" xfId="35484" xr:uid="{00000000-0005-0000-0000-0000C28A0000}"/>
    <cellStyle name="Normal 72 5" xfId="35485" xr:uid="{00000000-0005-0000-0000-0000C38A0000}"/>
    <cellStyle name="Normal 72 6" xfId="35486" xr:uid="{00000000-0005-0000-0000-0000C48A0000}"/>
    <cellStyle name="Normal 72 7" xfId="35487" xr:uid="{00000000-0005-0000-0000-0000C58A0000}"/>
    <cellStyle name="Normal 72 8" xfId="35488" xr:uid="{00000000-0005-0000-0000-0000C68A0000}"/>
    <cellStyle name="Normal 72 9" xfId="35489" xr:uid="{00000000-0005-0000-0000-0000C78A0000}"/>
    <cellStyle name="Normal 73" xfId="35490" xr:uid="{00000000-0005-0000-0000-0000C88A0000}"/>
    <cellStyle name="Normal 73 10" xfId="35491" xr:uid="{00000000-0005-0000-0000-0000C98A0000}"/>
    <cellStyle name="Normal 73 11" xfId="35492" xr:uid="{00000000-0005-0000-0000-0000CA8A0000}"/>
    <cellStyle name="Normal 73 12" xfId="35493" xr:uid="{00000000-0005-0000-0000-0000CB8A0000}"/>
    <cellStyle name="Normal 73 13" xfId="35494" xr:uid="{00000000-0005-0000-0000-0000CC8A0000}"/>
    <cellStyle name="Normal 73 14" xfId="35495" xr:uid="{00000000-0005-0000-0000-0000CD8A0000}"/>
    <cellStyle name="Normal 73 15" xfId="35496" xr:uid="{00000000-0005-0000-0000-0000CE8A0000}"/>
    <cellStyle name="Normal 73 16" xfId="35497" xr:uid="{00000000-0005-0000-0000-0000CF8A0000}"/>
    <cellStyle name="Normal 73 17" xfId="35498" xr:uid="{00000000-0005-0000-0000-0000D08A0000}"/>
    <cellStyle name="Normal 73 18" xfId="35499" xr:uid="{00000000-0005-0000-0000-0000D18A0000}"/>
    <cellStyle name="Normal 73 19" xfId="35500" xr:uid="{00000000-0005-0000-0000-0000D28A0000}"/>
    <cellStyle name="Normal 73 2" xfId="35501" xr:uid="{00000000-0005-0000-0000-0000D38A0000}"/>
    <cellStyle name="Normal 73 20" xfId="35502" xr:uid="{00000000-0005-0000-0000-0000D48A0000}"/>
    <cellStyle name="Normal 73 21" xfId="35503" xr:uid="{00000000-0005-0000-0000-0000D58A0000}"/>
    <cellStyle name="Normal 73 22" xfId="35504" xr:uid="{00000000-0005-0000-0000-0000D68A0000}"/>
    <cellStyle name="Normal 73 23" xfId="35505" xr:uid="{00000000-0005-0000-0000-0000D78A0000}"/>
    <cellStyle name="Normal 73 24" xfId="35506" xr:uid="{00000000-0005-0000-0000-0000D88A0000}"/>
    <cellStyle name="Normal 73 25" xfId="35507" xr:uid="{00000000-0005-0000-0000-0000D98A0000}"/>
    <cellStyle name="Normal 73 26" xfId="35508" xr:uid="{00000000-0005-0000-0000-0000DA8A0000}"/>
    <cellStyle name="Normal 73 27" xfId="35509" xr:uid="{00000000-0005-0000-0000-0000DB8A0000}"/>
    <cellStyle name="Normal 73 28" xfId="35510" xr:uid="{00000000-0005-0000-0000-0000DC8A0000}"/>
    <cellStyle name="Normal 73 29" xfId="35511" xr:uid="{00000000-0005-0000-0000-0000DD8A0000}"/>
    <cellStyle name="Normal 73 3" xfId="35512" xr:uid="{00000000-0005-0000-0000-0000DE8A0000}"/>
    <cellStyle name="Normal 73 30" xfId="35513" xr:uid="{00000000-0005-0000-0000-0000DF8A0000}"/>
    <cellStyle name="Normal 73 31" xfId="35514" xr:uid="{00000000-0005-0000-0000-0000E08A0000}"/>
    <cellStyle name="Normal 73 32" xfId="35515" xr:uid="{00000000-0005-0000-0000-0000E18A0000}"/>
    <cellStyle name="Normal 73 33" xfId="35516" xr:uid="{00000000-0005-0000-0000-0000E28A0000}"/>
    <cellStyle name="Normal 73 34" xfId="35517" xr:uid="{00000000-0005-0000-0000-0000E38A0000}"/>
    <cellStyle name="Normal 73 35" xfId="35518" xr:uid="{00000000-0005-0000-0000-0000E48A0000}"/>
    <cellStyle name="Normal 73 36" xfId="35519" xr:uid="{00000000-0005-0000-0000-0000E58A0000}"/>
    <cellStyle name="Normal 73 4" xfId="35520" xr:uid="{00000000-0005-0000-0000-0000E68A0000}"/>
    <cellStyle name="Normal 73 5" xfId="35521" xr:uid="{00000000-0005-0000-0000-0000E78A0000}"/>
    <cellStyle name="Normal 73 6" xfId="35522" xr:uid="{00000000-0005-0000-0000-0000E88A0000}"/>
    <cellStyle name="Normal 73 7" xfId="35523" xr:uid="{00000000-0005-0000-0000-0000E98A0000}"/>
    <cellStyle name="Normal 73 8" xfId="35524" xr:uid="{00000000-0005-0000-0000-0000EA8A0000}"/>
    <cellStyle name="Normal 73 9" xfId="35525" xr:uid="{00000000-0005-0000-0000-0000EB8A0000}"/>
    <cellStyle name="Normal 74" xfId="35526" xr:uid="{00000000-0005-0000-0000-0000EC8A0000}"/>
    <cellStyle name="Normal 74 10" xfId="35527" xr:uid="{00000000-0005-0000-0000-0000ED8A0000}"/>
    <cellStyle name="Normal 74 11" xfId="35528" xr:uid="{00000000-0005-0000-0000-0000EE8A0000}"/>
    <cellStyle name="Normal 74 12" xfId="35529" xr:uid="{00000000-0005-0000-0000-0000EF8A0000}"/>
    <cellStyle name="Normal 74 13" xfId="35530" xr:uid="{00000000-0005-0000-0000-0000F08A0000}"/>
    <cellStyle name="Normal 74 14" xfId="35531" xr:uid="{00000000-0005-0000-0000-0000F18A0000}"/>
    <cellStyle name="Normal 74 15" xfId="35532" xr:uid="{00000000-0005-0000-0000-0000F28A0000}"/>
    <cellStyle name="Normal 74 16" xfId="35533" xr:uid="{00000000-0005-0000-0000-0000F38A0000}"/>
    <cellStyle name="Normal 74 17" xfId="35534" xr:uid="{00000000-0005-0000-0000-0000F48A0000}"/>
    <cellStyle name="Normal 74 18" xfId="35535" xr:uid="{00000000-0005-0000-0000-0000F58A0000}"/>
    <cellStyle name="Normal 74 19" xfId="35536" xr:uid="{00000000-0005-0000-0000-0000F68A0000}"/>
    <cellStyle name="Normal 74 2" xfId="35537" xr:uid="{00000000-0005-0000-0000-0000F78A0000}"/>
    <cellStyle name="Normal 74 20" xfId="35538" xr:uid="{00000000-0005-0000-0000-0000F88A0000}"/>
    <cellStyle name="Normal 74 21" xfId="35539" xr:uid="{00000000-0005-0000-0000-0000F98A0000}"/>
    <cellStyle name="Normal 74 22" xfId="35540" xr:uid="{00000000-0005-0000-0000-0000FA8A0000}"/>
    <cellStyle name="Normal 74 23" xfId="35541" xr:uid="{00000000-0005-0000-0000-0000FB8A0000}"/>
    <cellStyle name="Normal 74 24" xfId="35542" xr:uid="{00000000-0005-0000-0000-0000FC8A0000}"/>
    <cellStyle name="Normal 74 25" xfId="35543" xr:uid="{00000000-0005-0000-0000-0000FD8A0000}"/>
    <cellStyle name="Normal 74 26" xfId="35544" xr:uid="{00000000-0005-0000-0000-0000FE8A0000}"/>
    <cellStyle name="Normal 74 27" xfId="35545" xr:uid="{00000000-0005-0000-0000-0000FF8A0000}"/>
    <cellStyle name="Normal 74 28" xfId="35546" xr:uid="{00000000-0005-0000-0000-0000008B0000}"/>
    <cellStyle name="Normal 74 29" xfId="35547" xr:uid="{00000000-0005-0000-0000-0000018B0000}"/>
    <cellStyle name="Normal 74 3" xfId="35548" xr:uid="{00000000-0005-0000-0000-0000028B0000}"/>
    <cellStyle name="Normal 74 30" xfId="35549" xr:uid="{00000000-0005-0000-0000-0000038B0000}"/>
    <cellStyle name="Normal 74 31" xfId="35550" xr:uid="{00000000-0005-0000-0000-0000048B0000}"/>
    <cellStyle name="Normal 74 32" xfId="35551" xr:uid="{00000000-0005-0000-0000-0000058B0000}"/>
    <cellStyle name="Normal 74 33" xfId="35552" xr:uid="{00000000-0005-0000-0000-0000068B0000}"/>
    <cellStyle name="Normal 74 34" xfId="35553" xr:uid="{00000000-0005-0000-0000-0000078B0000}"/>
    <cellStyle name="Normal 74 35" xfId="35554" xr:uid="{00000000-0005-0000-0000-0000088B0000}"/>
    <cellStyle name="Normal 74 36" xfId="35555" xr:uid="{00000000-0005-0000-0000-0000098B0000}"/>
    <cellStyle name="Normal 74 4" xfId="35556" xr:uid="{00000000-0005-0000-0000-00000A8B0000}"/>
    <cellStyle name="Normal 74 5" xfId="35557" xr:uid="{00000000-0005-0000-0000-00000B8B0000}"/>
    <cellStyle name="Normal 74 6" xfId="35558" xr:uid="{00000000-0005-0000-0000-00000C8B0000}"/>
    <cellStyle name="Normal 74 7" xfId="35559" xr:uid="{00000000-0005-0000-0000-00000D8B0000}"/>
    <cellStyle name="Normal 74 8" xfId="35560" xr:uid="{00000000-0005-0000-0000-00000E8B0000}"/>
    <cellStyle name="Normal 74 9" xfId="35561" xr:uid="{00000000-0005-0000-0000-00000F8B0000}"/>
    <cellStyle name="Normal 75" xfId="35562" xr:uid="{00000000-0005-0000-0000-0000108B0000}"/>
    <cellStyle name="Normal 75 10" xfId="35563" xr:uid="{00000000-0005-0000-0000-0000118B0000}"/>
    <cellStyle name="Normal 75 11" xfId="35564" xr:uid="{00000000-0005-0000-0000-0000128B0000}"/>
    <cellStyle name="Normal 75 12" xfId="35565" xr:uid="{00000000-0005-0000-0000-0000138B0000}"/>
    <cellStyle name="Normal 75 13" xfId="35566" xr:uid="{00000000-0005-0000-0000-0000148B0000}"/>
    <cellStyle name="Normal 75 14" xfId="35567" xr:uid="{00000000-0005-0000-0000-0000158B0000}"/>
    <cellStyle name="Normal 75 15" xfId="35568" xr:uid="{00000000-0005-0000-0000-0000168B0000}"/>
    <cellStyle name="Normal 75 16" xfId="35569" xr:uid="{00000000-0005-0000-0000-0000178B0000}"/>
    <cellStyle name="Normal 75 17" xfId="35570" xr:uid="{00000000-0005-0000-0000-0000188B0000}"/>
    <cellStyle name="Normal 75 18" xfId="35571" xr:uid="{00000000-0005-0000-0000-0000198B0000}"/>
    <cellStyle name="Normal 75 19" xfId="35572" xr:uid="{00000000-0005-0000-0000-00001A8B0000}"/>
    <cellStyle name="Normal 75 2" xfId="35573" xr:uid="{00000000-0005-0000-0000-00001B8B0000}"/>
    <cellStyle name="Normal 75 20" xfId="35574" xr:uid="{00000000-0005-0000-0000-00001C8B0000}"/>
    <cellStyle name="Normal 75 21" xfId="35575" xr:uid="{00000000-0005-0000-0000-00001D8B0000}"/>
    <cellStyle name="Normal 75 22" xfId="35576" xr:uid="{00000000-0005-0000-0000-00001E8B0000}"/>
    <cellStyle name="Normal 75 23" xfId="35577" xr:uid="{00000000-0005-0000-0000-00001F8B0000}"/>
    <cellStyle name="Normal 75 24" xfId="35578" xr:uid="{00000000-0005-0000-0000-0000208B0000}"/>
    <cellStyle name="Normal 75 25" xfId="35579" xr:uid="{00000000-0005-0000-0000-0000218B0000}"/>
    <cellStyle name="Normal 75 26" xfId="35580" xr:uid="{00000000-0005-0000-0000-0000228B0000}"/>
    <cellStyle name="Normal 75 27" xfId="35581" xr:uid="{00000000-0005-0000-0000-0000238B0000}"/>
    <cellStyle name="Normal 75 28" xfId="35582" xr:uid="{00000000-0005-0000-0000-0000248B0000}"/>
    <cellStyle name="Normal 75 29" xfId="35583" xr:uid="{00000000-0005-0000-0000-0000258B0000}"/>
    <cellStyle name="Normal 75 3" xfId="35584" xr:uid="{00000000-0005-0000-0000-0000268B0000}"/>
    <cellStyle name="Normal 75 30" xfId="35585" xr:uid="{00000000-0005-0000-0000-0000278B0000}"/>
    <cellStyle name="Normal 75 31" xfId="35586" xr:uid="{00000000-0005-0000-0000-0000288B0000}"/>
    <cellStyle name="Normal 75 32" xfId="35587" xr:uid="{00000000-0005-0000-0000-0000298B0000}"/>
    <cellStyle name="Normal 75 33" xfId="35588" xr:uid="{00000000-0005-0000-0000-00002A8B0000}"/>
    <cellStyle name="Normal 75 34" xfId="35589" xr:uid="{00000000-0005-0000-0000-00002B8B0000}"/>
    <cellStyle name="Normal 75 35" xfId="35590" xr:uid="{00000000-0005-0000-0000-00002C8B0000}"/>
    <cellStyle name="Normal 75 36" xfId="35591" xr:uid="{00000000-0005-0000-0000-00002D8B0000}"/>
    <cellStyle name="Normal 75 4" xfId="35592" xr:uid="{00000000-0005-0000-0000-00002E8B0000}"/>
    <cellStyle name="Normal 75 5" xfId="35593" xr:uid="{00000000-0005-0000-0000-00002F8B0000}"/>
    <cellStyle name="Normal 75 6" xfId="35594" xr:uid="{00000000-0005-0000-0000-0000308B0000}"/>
    <cellStyle name="Normal 75 7" xfId="35595" xr:uid="{00000000-0005-0000-0000-0000318B0000}"/>
    <cellStyle name="Normal 75 8" xfId="35596" xr:uid="{00000000-0005-0000-0000-0000328B0000}"/>
    <cellStyle name="Normal 75 9" xfId="35597" xr:uid="{00000000-0005-0000-0000-0000338B0000}"/>
    <cellStyle name="Normal 76" xfId="35598" xr:uid="{00000000-0005-0000-0000-0000348B0000}"/>
    <cellStyle name="Normal 76 10" xfId="35599" xr:uid="{00000000-0005-0000-0000-0000358B0000}"/>
    <cellStyle name="Normal 76 11" xfId="35600" xr:uid="{00000000-0005-0000-0000-0000368B0000}"/>
    <cellStyle name="Normal 76 12" xfId="35601" xr:uid="{00000000-0005-0000-0000-0000378B0000}"/>
    <cellStyle name="Normal 76 13" xfId="35602" xr:uid="{00000000-0005-0000-0000-0000388B0000}"/>
    <cellStyle name="Normal 76 14" xfId="35603" xr:uid="{00000000-0005-0000-0000-0000398B0000}"/>
    <cellStyle name="Normal 76 15" xfId="35604" xr:uid="{00000000-0005-0000-0000-00003A8B0000}"/>
    <cellStyle name="Normal 76 16" xfId="35605" xr:uid="{00000000-0005-0000-0000-00003B8B0000}"/>
    <cellStyle name="Normal 76 17" xfId="35606" xr:uid="{00000000-0005-0000-0000-00003C8B0000}"/>
    <cellStyle name="Normal 76 18" xfId="35607" xr:uid="{00000000-0005-0000-0000-00003D8B0000}"/>
    <cellStyle name="Normal 76 19" xfId="35608" xr:uid="{00000000-0005-0000-0000-00003E8B0000}"/>
    <cellStyle name="Normal 76 2" xfId="35609" xr:uid="{00000000-0005-0000-0000-00003F8B0000}"/>
    <cellStyle name="Normal 76 20" xfId="35610" xr:uid="{00000000-0005-0000-0000-0000408B0000}"/>
    <cellStyle name="Normal 76 21" xfId="35611" xr:uid="{00000000-0005-0000-0000-0000418B0000}"/>
    <cellStyle name="Normal 76 22" xfId="35612" xr:uid="{00000000-0005-0000-0000-0000428B0000}"/>
    <cellStyle name="Normal 76 23" xfId="35613" xr:uid="{00000000-0005-0000-0000-0000438B0000}"/>
    <cellStyle name="Normal 76 24" xfId="35614" xr:uid="{00000000-0005-0000-0000-0000448B0000}"/>
    <cellStyle name="Normal 76 25" xfId="35615" xr:uid="{00000000-0005-0000-0000-0000458B0000}"/>
    <cellStyle name="Normal 76 26" xfId="35616" xr:uid="{00000000-0005-0000-0000-0000468B0000}"/>
    <cellStyle name="Normal 76 27" xfId="35617" xr:uid="{00000000-0005-0000-0000-0000478B0000}"/>
    <cellStyle name="Normal 76 28" xfId="35618" xr:uid="{00000000-0005-0000-0000-0000488B0000}"/>
    <cellStyle name="Normal 76 29" xfId="35619" xr:uid="{00000000-0005-0000-0000-0000498B0000}"/>
    <cellStyle name="Normal 76 3" xfId="35620" xr:uid="{00000000-0005-0000-0000-00004A8B0000}"/>
    <cellStyle name="Normal 76 30" xfId="35621" xr:uid="{00000000-0005-0000-0000-00004B8B0000}"/>
    <cellStyle name="Normal 76 31" xfId="35622" xr:uid="{00000000-0005-0000-0000-00004C8B0000}"/>
    <cellStyle name="Normal 76 32" xfId="35623" xr:uid="{00000000-0005-0000-0000-00004D8B0000}"/>
    <cellStyle name="Normal 76 33" xfId="35624" xr:uid="{00000000-0005-0000-0000-00004E8B0000}"/>
    <cellStyle name="Normal 76 34" xfId="35625" xr:uid="{00000000-0005-0000-0000-00004F8B0000}"/>
    <cellStyle name="Normal 76 35" xfId="35626" xr:uid="{00000000-0005-0000-0000-0000508B0000}"/>
    <cellStyle name="Normal 76 36" xfId="35627" xr:uid="{00000000-0005-0000-0000-0000518B0000}"/>
    <cellStyle name="Normal 76 4" xfId="35628" xr:uid="{00000000-0005-0000-0000-0000528B0000}"/>
    <cellStyle name="Normal 76 5" xfId="35629" xr:uid="{00000000-0005-0000-0000-0000538B0000}"/>
    <cellStyle name="Normal 76 6" xfId="35630" xr:uid="{00000000-0005-0000-0000-0000548B0000}"/>
    <cellStyle name="Normal 76 7" xfId="35631" xr:uid="{00000000-0005-0000-0000-0000558B0000}"/>
    <cellStyle name="Normal 76 8" xfId="35632" xr:uid="{00000000-0005-0000-0000-0000568B0000}"/>
    <cellStyle name="Normal 76 9" xfId="35633" xr:uid="{00000000-0005-0000-0000-0000578B0000}"/>
    <cellStyle name="Normal 77" xfId="35634" xr:uid="{00000000-0005-0000-0000-0000588B0000}"/>
    <cellStyle name="Normal 77 10" xfId="35635" xr:uid="{00000000-0005-0000-0000-0000598B0000}"/>
    <cellStyle name="Normal 77 11" xfId="35636" xr:uid="{00000000-0005-0000-0000-00005A8B0000}"/>
    <cellStyle name="Normal 77 12" xfId="35637" xr:uid="{00000000-0005-0000-0000-00005B8B0000}"/>
    <cellStyle name="Normal 77 13" xfId="35638" xr:uid="{00000000-0005-0000-0000-00005C8B0000}"/>
    <cellStyle name="Normal 77 14" xfId="35639" xr:uid="{00000000-0005-0000-0000-00005D8B0000}"/>
    <cellStyle name="Normal 77 15" xfId="35640" xr:uid="{00000000-0005-0000-0000-00005E8B0000}"/>
    <cellStyle name="Normal 77 16" xfId="35641" xr:uid="{00000000-0005-0000-0000-00005F8B0000}"/>
    <cellStyle name="Normal 77 17" xfId="35642" xr:uid="{00000000-0005-0000-0000-0000608B0000}"/>
    <cellStyle name="Normal 77 18" xfId="35643" xr:uid="{00000000-0005-0000-0000-0000618B0000}"/>
    <cellStyle name="Normal 77 19" xfId="35644" xr:uid="{00000000-0005-0000-0000-0000628B0000}"/>
    <cellStyle name="Normal 77 2" xfId="35645" xr:uid="{00000000-0005-0000-0000-0000638B0000}"/>
    <cellStyle name="Normal 77 20" xfId="35646" xr:uid="{00000000-0005-0000-0000-0000648B0000}"/>
    <cellStyle name="Normal 77 21" xfId="35647" xr:uid="{00000000-0005-0000-0000-0000658B0000}"/>
    <cellStyle name="Normal 77 22" xfId="35648" xr:uid="{00000000-0005-0000-0000-0000668B0000}"/>
    <cellStyle name="Normal 77 23" xfId="35649" xr:uid="{00000000-0005-0000-0000-0000678B0000}"/>
    <cellStyle name="Normal 77 24" xfId="35650" xr:uid="{00000000-0005-0000-0000-0000688B0000}"/>
    <cellStyle name="Normal 77 25" xfId="35651" xr:uid="{00000000-0005-0000-0000-0000698B0000}"/>
    <cellStyle name="Normal 77 26" xfId="35652" xr:uid="{00000000-0005-0000-0000-00006A8B0000}"/>
    <cellStyle name="Normal 77 27" xfId="35653" xr:uid="{00000000-0005-0000-0000-00006B8B0000}"/>
    <cellStyle name="Normal 77 28" xfId="35654" xr:uid="{00000000-0005-0000-0000-00006C8B0000}"/>
    <cellStyle name="Normal 77 29" xfId="35655" xr:uid="{00000000-0005-0000-0000-00006D8B0000}"/>
    <cellStyle name="Normal 77 3" xfId="35656" xr:uid="{00000000-0005-0000-0000-00006E8B0000}"/>
    <cellStyle name="Normal 77 30" xfId="35657" xr:uid="{00000000-0005-0000-0000-00006F8B0000}"/>
    <cellStyle name="Normal 77 31" xfId="35658" xr:uid="{00000000-0005-0000-0000-0000708B0000}"/>
    <cellStyle name="Normal 77 32" xfId="35659" xr:uid="{00000000-0005-0000-0000-0000718B0000}"/>
    <cellStyle name="Normal 77 33" xfId="35660" xr:uid="{00000000-0005-0000-0000-0000728B0000}"/>
    <cellStyle name="Normal 77 34" xfId="35661" xr:uid="{00000000-0005-0000-0000-0000738B0000}"/>
    <cellStyle name="Normal 77 35" xfId="35662" xr:uid="{00000000-0005-0000-0000-0000748B0000}"/>
    <cellStyle name="Normal 77 36" xfId="35663" xr:uid="{00000000-0005-0000-0000-0000758B0000}"/>
    <cellStyle name="Normal 77 4" xfId="35664" xr:uid="{00000000-0005-0000-0000-0000768B0000}"/>
    <cellStyle name="Normal 77 5" xfId="35665" xr:uid="{00000000-0005-0000-0000-0000778B0000}"/>
    <cellStyle name="Normal 77 6" xfId="35666" xr:uid="{00000000-0005-0000-0000-0000788B0000}"/>
    <cellStyle name="Normal 77 7" xfId="35667" xr:uid="{00000000-0005-0000-0000-0000798B0000}"/>
    <cellStyle name="Normal 77 8" xfId="35668" xr:uid="{00000000-0005-0000-0000-00007A8B0000}"/>
    <cellStyle name="Normal 77 9" xfId="35669" xr:uid="{00000000-0005-0000-0000-00007B8B0000}"/>
    <cellStyle name="Normal 78" xfId="35670" xr:uid="{00000000-0005-0000-0000-00007C8B0000}"/>
    <cellStyle name="Normal 78 10" xfId="35671" xr:uid="{00000000-0005-0000-0000-00007D8B0000}"/>
    <cellStyle name="Normal 78 11" xfId="35672" xr:uid="{00000000-0005-0000-0000-00007E8B0000}"/>
    <cellStyle name="Normal 78 12" xfId="35673" xr:uid="{00000000-0005-0000-0000-00007F8B0000}"/>
    <cellStyle name="Normal 78 13" xfId="35674" xr:uid="{00000000-0005-0000-0000-0000808B0000}"/>
    <cellStyle name="Normal 78 14" xfId="35675" xr:uid="{00000000-0005-0000-0000-0000818B0000}"/>
    <cellStyle name="Normal 78 15" xfId="35676" xr:uid="{00000000-0005-0000-0000-0000828B0000}"/>
    <cellStyle name="Normal 78 16" xfId="35677" xr:uid="{00000000-0005-0000-0000-0000838B0000}"/>
    <cellStyle name="Normal 78 17" xfId="35678" xr:uid="{00000000-0005-0000-0000-0000848B0000}"/>
    <cellStyle name="Normal 78 18" xfId="35679" xr:uid="{00000000-0005-0000-0000-0000858B0000}"/>
    <cellStyle name="Normal 78 19" xfId="35680" xr:uid="{00000000-0005-0000-0000-0000868B0000}"/>
    <cellStyle name="Normal 78 2" xfId="35681" xr:uid="{00000000-0005-0000-0000-0000878B0000}"/>
    <cellStyle name="Normal 78 20" xfId="35682" xr:uid="{00000000-0005-0000-0000-0000888B0000}"/>
    <cellStyle name="Normal 78 21" xfId="35683" xr:uid="{00000000-0005-0000-0000-0000898B0000}"/>
    <cellStyle name="Normal 78 22" xfId="35684" xr:uid="{00000000-0005-0000-0000-00008A8B0000}"/>
    <cellStyle name="Normal 78 23" xfId="35685" xr:uid="{00000000-0005-0000-0000-00008B8B0000}"/>
    <cellStyle name="Normal 78 24" xfId="35686" xr:uid="{00000000-0005-0000-0000-00008C8B0000}"/>
    <cellStyle name="Normal 78 25" xfId="35687" xr:uid="{00000000-0005-0000-0000-00008D8B0000}"/>
    <cellStyle name="Normal 78 26" xfId="35688" xr:uid="{00000000-0005-0000-0000-00008E8B0000}"/>
    <cellStyle name="Normal 78 27" xfId="35689" xr:uid="{00000000-0005-0000-0000-00008F8B0000}"/>
    <cellStyle name="Normal 78 28" xfId="35690" xr:uid="{00000000-0005-0000-0000-0000908B0000}"/>
    <cellStyle name="Normal 78 29" xfId="35691" xr:uid="{00000000-0005-0000-0000-0000918B0000}"/>
    <cellStyle name="Normal 78 3" xfId="35692" xr:uid="{00000000-0005-0000-0000-0000928B0000}"/>
    <cellStyle name="Normal 78 30" xfId="35693" xr:uid="{00000000-0005-0000-0000-0000938B0000}"/>
    <cellStyle name="Normal 78 31" xfId="35694" xr:uid="{00000000-0005-0000-0000-0000948B0000}"/>
    <cellStyle name="Normal 78 32" xfId="35695" xr:uid="{00000000-0005-0000-0000-0000958B0000}"/>
    <cellStyle name="Normal 78 33" xfId="35696" xr:uid="{00000000-0005-0000-0000-0000968B0000}"/>
    <cellStyle name="Normal 78 34" xfId="35697" xr:uid="{00000000-0005-0000-0000-0000978B0000}"/>
    <cellStyle name="Normal 78 35" xfId="35698" xr:uid="{00000000-0005-0000-0000-0000988B0000}"/>
    <cellStyle name="Normal 78 36" xfId="35699" xr:uid="{00000000-0005-0000-0000-0000998B0000}"/>
    <cellStyle name="Normal 78 4" xfId="35700" xr:uid="{00000000-0005-0000-0000-00009A8B0000}"/>
    <cellStyle name="Normal 78 5" xfId="35701" xr:uid="{00000000-0005-0000-0000-00009B8B0000}"/>
    <cellStyle name="Normal 78 6" xfId="35702" xr:uid="{00000000-0005-0000-0000-00009C8B0000}"/>
    <cellStyle name="Normal 78 7" xfId="35703" xr:uid="{00000000-0005-0000-0000-00009D8B0000}"/>
    <cellStyle name="Normal 78 8" xfId="35704" xr:uid="{00000000-0005-0000-0000-00009E8B0000}"/>
    <cellStyle name="Normal 78 9" xfId="35705" xr:uid="{00000000-0005-0000-0000-00009F8B0000}"/>
    <cellStyle name="Normal 79" xfId="35706" xr:uid="{00000000-0005-0000-0000-0000A08B0000}"/>
    <cellStyle name="Normal 79 10" xfId="35707" xr:uid="{00000000-0005-0000-0000-0000A18B0000}"/>
    <cellStyle name="Normal 79 11" xfId="35708" xr:uid="{00000000-0005-0000-0000-0000A28B0000}"/>
    <cellStyle name="Normal 79 12" xfId="35709" xr:uid="{00000000-0005-0000-0000-0000A38B0000}"/>
    <cellStyle name="Normal 79 13" xfId="35710" xr:uid="{00000000-0005-0000-0000-0000A48B0000}"/>
    <cellStyle name="Normal 79 14" xfId="35711" xr:uid="{00000000-0005-0000-0000-0000A58B0000}"/>
    <cellStyle name="Normal 79 15" xfId="35712" xr:uid="{00000000-0005-0000-0000-0000A68B0000}"/>
    <cellStyle name="Normal 79 16" xfId="35713" xr:uid="{00000000-0005-0000-0000-0000A78B0000}"/>
    <cellStyle name="Normal 79 17" xfId="35714" xr:uid="{00000000-0005-0000-0000-0000A88B0000}"/>
    <cellStyle name="Normal 79 18" xfId="35715" xr:uid="{00000000-0005-0000-0000-0000A98B0000}"/>
    <cellStyle name="Normal 79 19" xfId="35716" xr:uid="{00000000-0005-0000-0000-0000AA8B0000}"/>
    <cellStyle name="Normal 79 2" xfId="35717" xr:uid="{00000000-0005-0000-0000-0000AB8B0000}"/>
    <cellStyle name="Normal 79 20" xfId="35718" xr:uid="{00000000-0005-0000-0000-0000AC8B0000}"/>
    <cellStyle name="Normal 79 21" xfId="35719" xr:uid="{00000000-0005-0000-0000-0000AD8B0000}"/>
    <cellStyle name="Normal 79 22" xfId="35720" xr:uid="{00000000-0005-0000-0000-0000AE8B0000}"/>
    <cellStyle name="Normal 79 23" xfId="35721" xr:uid="{00000000-0005-0000-0000-0000AF8B0000}"/>
    <cellStyle name="Normal 79 24" xfId="35722" xr:uid="{00000000-0005-0000-0000-0000B08B0000}"/>
    <cellStyle name="Normal 79 25" xfId="35723" xr:uid="{00000000-0005-0000-0000-0000B18B0000}"/>
    <cellStyle name="Normal 79 26" xfId="35724" xr:uid="{00000000-0005-0000-0000-0000B28B0000}"/>
    <cellStyle name="Normal 79 27" xfId="35725" xr:uid="{00000000-0005-0000-0000-0000B38B0000}"/>
    <cellStyle name="Normal 79 28" xfId="35726" xr:uid="{00000000-0005-0000-0000-0000B48B0000}"/>
    <cellStyle name="Normal 79 29" xfId="35727" xr:uid="{00000000-0005-0000-0000-0000B58B0000}"/>
    <cellStyle name="Normal 79 3" xfId="35728" xr:uid="{00000000-0005-0000-0000-0000B68B0000}"/>
    <cellStyle name="Normal 79 30" xfId="35729" xr:uid="{00000000-0005-0000-0000-0000B78B0000}"/>
    <cellStyle name="Normal 79 31" xfId="35730" xr:uid="{00000000-0005-0000-0000-0000B88B0000}"/>
    <cellStyle name="Normal 79 32" xfId="35731" xr:uid="{00000000-0005-0000-0000-0000B98B0000}"/>
    <cellStyle name="Normal 79 33" xfId="35732" xr:uid="{00000000-0005-0000-0000-0000BA8B0000}"/>
    <cellStyle name="Normal 79 34" xfId="35733" xr:uid="{00000000-0005-0000-0000-0000BB8B0000}"/>
    <cellStyle name="Normal 79 35" xfId="35734" xr:uid="{00000000-0005-0000-0000-0000BC8B0000}"/>
    <cellStyle name="Normal 79 36" xfId="35735" xr:uid="{00000000-0005-0000-0000-0000BD8B0000}"/>
    <cellStyle name="Normal 79 4" xfId="35736" xr:uid="{00000000-0005-0000-0000-0000BE8B0000}"/>
    <cellStyle name="Normal 79 5" xfId="35737" xr:uid="{00000000-0005-0000-0000-0000BF8B0000}"/>
    <cellStyle name="Normal 79 6" xfId="35738" xr:uid="{00000000-0005-0000-0000-0000C08B0000}"/>
    <cellStyle name="Normal 79 7" xfId="35739" xr:uid="{00000000-0005-0000-0000-0000C18B0000}"/>
    <cellStyle name="Normal 79 8" xfId="35740" xr:uid="{00000000-0005-0000-0000-0000C28B0000}"/>
    <cellStyle name="Normal 79 9" xfId="35741" xr:uid="{00000000-0005-0000-0000-0000C38B0000}"/>
    <cellStyle name="Normal 8" xfId="35742" xr:uid="{00000000-0005-0000-0000-0000C48B0000}"/>
    <cellStyle name="Normal 8 2" xfId="35743" xr:uid="{00000000-0005-0000-0000-0000C58B0000}"/>
    <cellStyle name="Normal 8 2 2" xfId="35744" xr:uid="{00000000-0005-0000-0000-0000C68B0000}"/>
    <cellStyle name="Normal 8 3" xfId="35745" xr:uid="{00000000-0005-0000-0000-0000C78B0000}"/>
    <cellStyle name="Normal 80" xfId="35746" xr:uid="{00000000-0005-0000-0000-0000C88B0000}"/>
    <cellStyle name="Normal 80 10" xfId="35747" xr:uid="{00000000-0005-0000-0000-0000C98B0000}"/>
    <cellStyle name="Normal 80 11" xfId="35748" xr:uid="{00000000-0005-0000-0000-0000CA8B0000}"/>
    <cellStyle name="Normal 80 12" xfId="35749" xr:uid="{00000000-0005-0000-0000-0000CB8B0000}"/>
    <cellStyle name="Normal 80 13" xfId="35750" xr:uid="{00000000-0005-0000-0000-0000CC8B0000}"/>
    <cellStyle name="Normal 80 14" xfId="35751" xr:uid="{00000000-0005-0000-0000-0000CD8B0000}"/>
    <cellStyle name="Normal 80 15" xfId="35752" xr:uid="{00000000-0005-0000-0000-0000CE8B0000}"/>
    <cellStyle name="Normal 80 16" xfId="35753" xr:uid="{00000000-0005-0000-0000-0000CF8B0000}"/>
    <cellStyle name="Normal 80 17" xfId="35754" xr:uid="{00000000-0005-0000-0000-0000D08B0000}"/>
    <cellStyle name="Normal 80 18" xfId="35755" xr:uid="{00000000-0005-0000-0000-0000D18B0000}"/>
    <cellStyle name="Normal 80 19" xfId="35756" xr:uid="{00000000-0005-0000-0000-0000D28B0000}"/>
    <cellStyle name="Normal 80 2" xfId="35757" xr:uid="{00000000-0005-0000-0000-0000D38B0000}"/>
    <cellStyle name="Normal 80 20" xfId="35758" xr:uid="{00000000-0005-0000-0000-0000D48B0000}"/>
    <cellStyle name="Normal 80 21" xfId="35759" xr:uid="{00000000-0005-0000-0000-0000D58B0000}"/>
    <cellStyle name="Normal 80 22" xfId="35760" xr:uid="{00000000-0005-0000-0000-0000D68B0000}"/>
    <cellStyle name="Normal 80 23" xfId="35761" xr:uid="{00000000-0005-0000-0000-0000D78B0000}"/>
    <cellStyle name="Normal 80 24" xfId="35762" xr:uid="{00000000-0005-0000-0000-0000D88B0000}"/>
    <cellStyle name="Normal 80 25" xfId="35763" xr:uid="{00000000-0005-0000-0000-0000D98B0000}"/>
    <cellStyle name="Normal 80 26" xfId="35764" xr:uid="{00000000-0005-0000-0000-0000DA8B0000}"/>
    <cellStyle name="Normal 80 27" xfId="35765" xr:uid="{00000000-0005-0000-0000-0000DB8B0000}"/>
    <cellStyle name="Normal 80 28" xfId="35766" xr:uid="{00000000-0005-0000-0000-0000DC8B0000}"/>
    <cellStyle name="Normal 80 29" xfId="35767" xr:uid="{00000000-0005-0000-0000-0000DD8B0000}"/>
    <cellStyle name="Normal 80 3" xfId="35768" xr:uid="{00000000-0005-0000-0000-0000DE8B0000}"/>
    <cellStyle name="Normal 80 30" xfId="35769" xr:uid="{00000000-0005-0000-0000-0000DF8B0000}"/>
    <cellStyle name="Normal 80 31" xfId="35770" xr:uid="{00000000-0005-0000-0000-0000E08B0000}"/>
    <cellStyle name="Normal 80 32" xfId="35771" xr:uid="{00000000-0005-0000-0000-0000E18B0000}"/>
    <cellStyle name="Normal 80 33" xfId="35772" xr:uid="{00000000-0005-0000-0000-0000E28B0000}"/>
    <cellStyle name="Normal 80 34" xfId="35773" xr:uid="{00000000-0005-0000-0000-0000E38B0000}"/>
    <cellStyle name="Normal 80 35" xfId="35774" xr:uid="{00000000-0005-0000-0000-0000E48B0000}"/>
    <cellStyle name="Normal 80 36" xfId="35775" xr:uid="{00000000-0005-0000-0000-0000E58B0000}"/>
    <cellStyle name="Normal 80 4" xfId="35776" xr:uid="{00000000-0005-0000-0000-0000E68B0000}"/>
    <cellStyle name="Normal 80 5" xfId="35777" xr:uid="{00000000-0005-0000-0000-0000E78B0000}"/>
    <cellStyle name="Normal 80 6" xfId="35778" xr:uid="{00000000-0005-0000-0000-0000E88B0000}"/>
    <cellStyle name="Normal 80 7" xfId="35779" xr:uid="{00000000-0005-0000-0000-0000E98B0000}"/>
    <cellStyle name="Normal 80 8" xfId="35780" xr:uid="{00000000-0005-0000-0000-0000EA8B0000}"/>
    <cellStyle name="Normal 80 9" xfId="35781" xr:uid="{00000000-0005-0000-0000-0000EB8B0000}"/>
    <cellStyle name="Normal 81" xfId="35782" xr:uid="{00000000-0005-0000-0000-0000EC8B0000}"/>
    <cellStyle name="Normal 81 2" xfId="35783" xr:uid="{00000000-0005-0000-0000-0000ED8B0000}"/>
    <cellStyle name="Normal 82" xfId="35784" xr:uid="{00000000-0005-0000-0000-0000EE8B0000}"/>
    <cellStyle name="Normal 82 2" xfId="35785" xr:uid="{00000000-0005-0000-0000-0000EF8B0000}"/>
    <cellStyle name="Normal 83" xfId="35786" xr:uid="{00000000-0005-0000-0000-0000F08B0000}"/>
    <cellStyle name="Normal 83 2" xfId="35787" xr:uid="{00000000-0005-0000-0000-0000F18B0000}"/>
    <cellStyle name="Normal 84" xfId="35788" xr:uid="{00000000-0005-0000-0000-0000F28B0000}"/>
    <cellStyle name="Normal 84 2" xfId="35789" xr:uid="{00000000-0005-0000-0000-0000F38B0000}"/>
    <cellStyle name="Normal 85" xfId="35790" xr:uid="{00000000-0005-0000-0000-0000F48B0000}"/>
    <cellStyle name="Normal 85 2" xfId="35791" xr:uid="{00000000-0005-0000-0000-0000F58B0000}"/>
    <cellStyle name="Normal 86" xfId="35792" xr:uid="{00000000-0005-0000-0000-0000F68B0000}"/>
    <cellStyle name="Normal 86 2" xfId="35793" xr:uid="{00000000-0005-0000-0000-0000F78B0000}"/>
    <cellStyle name="Normal 87" xfId="35794" xr:uid="{00000000-0005-0000-0000-0000F88B0000}"/>
    <cellStyle name="Normal 87 2" xfId="35795" xr:uid="{00000000-0005-0000-0000-0000F98B0000}"/>
    <cellStyle name="Normal 88" xfId="35796" xr:uid="{00000000-0005-0000-0000-0000FA8B0000}"/>
    <cellStyle name="Normal 88 2" xfId="35797" xr:uid="{00000000-0005-0000-0000-0000FB8B0000}"/>
    <cellStyle name="Normal 89" xfId="35798" xr:uid="{00000000-0005-0000-0000-0000FC8B0000}"/>
    <cellStyle name="Normal 89 2" xfId="35799" xr:uid="{00000000-0005-0000-0000-0000FD8B0000}"/>
    <cellStyle name="Normal 9" xfId="35800" xr:uid="{00000000-0005-0000-0000-0000FE8B0000}"/>
    <cellStyle name="Normal 9 10" xfId="35801" xr:uid="{00000000-0005-0000-0000-0000FF8B0000}"/>
    <cellStyle name="Normal 9 11" xfId="35802" xr:uid="{00000000-0005-0000-0000-0000008C0000}"/>
    <cellStyle name="Normal 9 12" xfId="35803" xr:uid="{00000000-0005-0000-0000-0000018C0000}"/>
    <cellStyle name="Normal 9 13" xfId="35804" xr:uid="{00000000-0005-0000-0000-0000028C0000}"/>
    <cellStyle name="Normal 9 14" xfId="35805" xr:uid="{00000000-0005-0000-0000-0000038C0000}"/>
    <cellStyle name="Normal 9 15" xfId="35806" xr:uid="{00000000-0005-0000-0000-0000048C0000}"/>
    <cellStyle name="Normal 9 16" xfId="35807" xr:uid="{00000000-0005-0000-0000-0000058C0000}"/>
    <cellStyle name="Normal 9 17" xfId="35808" xr:uid="{00000000-0005-0000-0000-0000068C0000}"/>
    <cellStyle name="Normal 9 18" xfId="35809" xr:uid="{00000000-0005-0000-0000-0000078C0000}"/>
    <cellStyle name="Normal 9 19" xfId="35810" xr:uid="{00000000-0005-0000-0000-0000088C0000}"/>
    <cellStyle name="Normal 9 2" xfId="35811" xr:uid="{00000000-0005-0000-0000-0000098C0000}"/>
    <cellStyle name="Normal 9 2 2" xfId="35812" xr:uid="{00000000-0005-0000-0000-00000A8C0000}"/>
    <cellStyle name="Normal 9 20" xfId="35813" xr:uid="{00000000-0005-0000-0000-00000B8C0000}"/>
    <cellStyle name="Normal 9 21" xfId="35814" xr:uid="{00000000-0005-0000-0000-00000C8C0000}"/>
    <cellStyle name="Normal 9 22" xfId="35815" xr:uid="{00000000-0005-0000-0000-00000D8C0000}"/>
    <cellStyle name="Normal 9 23" xfId="35816" xr:uid="{00000000-0005-0000-0000-00000E8C0000}"/>
    <cellStyle name="Normal 9 24" xfId="35817" xr:uid="{00000000-0005-0000-0000-00000F8C0000}"/>
    <cellStyle name="Normal 9 25" xfId="35818" xr:uid="{00000000-0005-0000-0000-0000108C0000}"/>
    <cellStyle name="Normal 9 26" xfId="35819" xr:uid="{00000000-0005-0000-0000-0000118C0000}"/>
    <cellStyle name="Normal 9 27" xfId="35820" xr:uid="{00000000-0005-0000-0000-0000128C0000}"/>
    <cellStyle name="Normal 9 28" xfId="35821" xr:uid="{00000000-0005-0000-0000-0000138C0000}"/>
    <cellStyle name="Normal 9 29" xfId="35822" xr:uid="{00000000-0005-0000-0000-0000148C0000}"/>
    <cellStyle name="Normal 9 3" xfId="35823" xr:uid="{00000000-0005-0000-0000-0000158C0000}"/>
    <cellStyle name="Normal 9 30" xfId="35824" xr:uid="{00000000-0005-0000-0000-0000168C0000}"/>
    <cellStyle name="Normal 9 31" xfId="35825" xr:uid="{00000000-0005-0000-0000-0000178C0000}"/>
    <cellStyle name="Normal 9 32" xfId="35826" xr:uid="{00000000-0005-0000-0000-0000188C0000}"/>
    <cellStyle name="Normal 9 33" xfId="35827" xr:uid="{00000000-0005-0000-0000-0000198C0000}"/>
    <cellStyle name="Normal 9 34" xfId="35828" xr:uid="{00000000-0005-0000-0000-00001A8C0000}"/>
    <cellStyle name="Normal 9 35" xfId="35829" xr:uid="{00000000-0005-0000-0000-00001B8C0000}"/>
    <cellStyle name="Normal 9 36" xfId="35830" xr:uid="{00000000-0005-0000-0000-00001C8C0000}"/>
    <cellStyle name="Normal 9 37" xfId="35831" xr:uid="{00000000-0005-0000-0000-00001D8C0000}"/>
    <cellStyle name="Normal 9 4" xfId="35832" xr:uid="{00000000-0005-0000-0000-00001E8C0000}"/>
    <cellStyle name="Normal 9 5" xfId="35833" xr:uid="{00000000-0005-0000-0000-00001F8C0000}"/>
    <cellStyle name="Normal 9 6" xfId="35834" xr:uid="{00000000-0005-0000-0000-0000208C0000}"/>
    <cellStyle name="Normal 9 7" xfId="35835" xr:uid="{00000000-0005-0000-0000-0000218C0000}"/>
    <cellStyle name="Normal 9 8" xfId="35836" xr:uid="{00000000-0005-0000-0000-0000228C0000}"/>
    <cellStyle name="Normal 9 9" xfId="35837" xr:uid="{00000000-0005-0000-0000-0000238C0000}"/>
    <cellStyle name="Normal 90" xfId="35838" xr:uid="{00000000-0005-0000-0000-0000248C0000}"/>
    <cellStyle name="Normal 90 2" xfId="35839" xr:uid="{00000000-0005-0000-0000-0000258C0000}"/>
    <cellStyle name="Normal 91" xfId="35840" xr:uid="{00000000-0005-0000-0000-0000268C0000}"/>
    <cellStyle name="Normal 91 2" xfId="35841" xr:uid="{00000000-0005-0000-0000-0000278C0000}"/>
    <cellStyle name="Normal 92" xfId="35842" xr:uid="{00000000-0005-0000-0000-0000288C0000}"/>
    <cellStyle name="Normal 92 2" xfId="35843" xr:uid="{00000000-0005-0000-0000-0000298C0000}"/>
    <cellStyle name="Normal 93" xfId="35844" xr:uid="{00000000-0005-0000-0000-00002A8C0000}"/>
    <cellStyle name="Normal 93 2" xfId="35845" xr:uid="{00000000-0005-0000-0000-00002B8C0000}"/>
    <cellStyle name="Normal 94" xfId="35846" xr:uid="{00000000-0005-0000-0000-00002C8C0000}"/>
    <cellStyle name="Normal 94 2" xfId="35847" xr:uid="{00000000-0005-0000-0000-00002D8C0000}"/>
    <cellStyle name="Normal 95" xfId="35848" xr:uid="{00000000-0005-0000-0000-00002E8C0000}"/>
    <cellStyle name="Normal 95 2" xfId="35849" xr:uid="{00000000-0005-0000-0000-00002F8C0000}"/>
    <cellStyle name="Normal 96" xfId="35850" xr:uid="{00000000-0005-0000-0000-0000308C0000}"/>
    <cellStyle name="Normal 96 2" xfId="35851" xr:uid="{00000000-0005-0000-0000-0000318C0000}"/>
    <cellStyle name="Normal 97" xfId="35852" xr:uid="{00000000-0005-0000-0000-0000328C0000}"/>
    <cellStyle name="Normal 97 2" xfId="35853" xr:uid="{00000000-0005-0000-0000-0000338C0000}"/>
    <cellStyle name="Normal 98" xfId="35854" xr:uid="{00000000-0005-0000-0000-0000348C0000}"/>
    <cellStyle name="Normal 98 2" xfId="35855" xr:uid="{00000000-0005-0000-0000-0000358C0000}"/>
    <cellStyle name="Normal 99" xfId="35856" xr:uid="{00000000-0005-0000-0000-0000368C0000}"/>
    <cellStyle name="Normal 99 2" xfId="35857" xr:uid="{00000000-0005-0000-0000-0000378C0000}"/>
    <cellStyle name="Normal_TOOLYX-X" xfId="40994" xr:uid="{00000000-0005-0000-0000-0000388C0000}"/>
    <cellStyle name="Note" xfId="41016" builtinId="10" customBuiltin="1"/>
    <cellStyle name="Note 10" xfId="35858" xr:uid="{00000000-0005-0000-0000-00003A8C0000}"/>
    <cellStyle name="Note 10 2" xfId="35859" xr:uid="{00000000-0005-0000-0000-00003B8C0000}"/>
    <cellStyle name="Note 10 2 2" xfId="35860" xr:uid="{00000000-0005-0000-0000-00003C8C0000}"/>
    <cellStyle name="Note 10 3" xfId="35861" xr:uid="{00000000-0005-0000-0000-00003D8C0000}"/>
    <cellStyle name="Note 100" xfId="35862" xr:uid="{00000000-0005-0000-0000-00003E8C0000}"/>
    <cellStyle name="Note 100 2" xfId="35863" xr:uid="{00000000-0005-0000-0000-00003F8C0000}"/>
    <cellStyle name="Note 101" xfId="35864" xr:uid="{00000000-0005-0000-0000-0000408C0000}"/>
    <cellStyle name="Note 101 2" xfId="35865" xr:uid="{00000000-0005-0000-0000-0000418C0000}"/>
    <cellStyle name="Note 101 2 2" xfId="35866" xr:uid="{00000000-0005-0000-0000-0000428C0000}"/>
    <cellStyle name="Note 101 2 2 2" xfId="35867" xr:uid="{00000000-0005-0000-0000-0000438C0000}"/>
    <cellStyle name="Note 101 2 3" xfId="35868" xr:uid="{00000000-0005-0000-0000-0000448C0000}"/>
    <cellStyle name="Note 102" xfId="35869" xr:uid="{00000000-0005-0000-0000-0000458C0000}"/>
    <cellStyle name="Note 102 2" xfId="35870" xr:uid="{00000000-0005-0000-0000-0000468C0000}"/>
    <cellStyle name="Note 103" xfId="35871" xr:uid="{00000000-0005-0000-0000-0000478C0000}"/>
    <cellStyle name="Note 103 2" xfId="35872" xr:uid="{00000000-0005-0000-0000-0000488C0000}"/>
    <cellStyle name="Note 103 2 2" xfId="35873" xr:uid="{00000000-0005-0000-0000-0000498C0000}"/>
    <cellStyle name="Note 103 2 2 2" xfId="35874" xr:uid="{00000000-0005-0000-0000-00004A8C0000}"/>
    <cellStyle name="Note 103 2 3" xfId="35875" xr:uid="{00000000-0005-0000-0000-00004B8C0000}"/>
    <cellStyle name="Note 104" xfId="35876" xr:uid="{00000000-0005-0000-0000-00004C8C0000}"/>
    <cellStyle name="Note 104 2" xfId="35877" xr:uid="{00000000-0005-0000-0000-00004D8C0000}"/>
    <cellStyle name="Note 104 2 2" xfId="35878" xr:uid="{00000000-0005-0000-0000-00004E8C0000}"/>
    <cellStyle name="Note 104 2 2 2" xfId="35879" xr:uid="{00000000-0005-0000-0000-00004F8C0000}"/>
    <cellStyle name="Note 104 2 3" xfId="35880" xr:uid="{00000000-0005-0000-0000-0000508C0000}"/>
    <cellStyle name="Note 105" xfId="35881" xr:uid="{00000000-0005-0000-0000-0000518C0000}"/>
    <cellStyle name="Note 105 2" xfId="35882" xr:uid="{00000000-0005-0000-0000-0000528C0000}"/>
    <cellStyle name="Note 106" xfId="35883" xr:uid="{00000000-0005-0000-0000-0000538C0000}"/>
    <cellStyle name="Note 106 2" xfId="35884" xr:uid="{00000000-0005-0000-0000-0000548C0000}"/>
    <cellStyle name="Note 107" xfId="35885" xr:uid="{00000000-0005-0000-0000-0000558C0000}"/>
    <cellStyle name="Note 107 2" xfId="35886" xr:uid="{00000000-0005-0000-0000-0000568C0000}"/>
    <cellStyle name="Note 108" xfId="35887" xr:uid="{00000000-0005-0000-0000-0000578C0000}"/>
    <cellStyle name="Note 108 2" xfId="35888" xr:uid="{00000000-0005-0000-0000-0000588C0000}"/>
    <cellStyle name="Note 109" xfId="35889" xr:uid="{00000000-0005-0000-0000-0000598C0000}"/>
    <cellStyle name="Note 109 2" xfId="35890" xr:uid="{00000000-0005-0000-0000-00005A8C0000}"/>
    <cellStyle name="Note 109 2 2" xfId="35891" xr:uid="{00000000-0005-0000-0000-00005B8C0000}"/>
    <cellStyle name="Note 109 2 2 2" xfId="35892" xr:uid="{00000000-0005-0000-0000-00005C8C0000}"/>
    <cellStyle name="Note 109 2 3" xfId="35893" xr:uid="{00000000-0005-0000-0000-00005D8C0000}"/>
    <cellStyle name="Note 11" xfId="35894" xr:uid="{00000000-0005-0000-0000-00005E8C0000}"/>
    <cellStyle name="Note 11 2" xfId="35895" xr:uid="{00000000-0005-0000-0000-00005F8C0000}"/>
    <cellStyle name="Note 11 2 2" xfId="35896" xr:uid="{00000000-0005-0000-0000-0000608C0000}"/>
    <cellStyle name="Note 11 3" xfId="35897" xr:uid="{00000000-0005-0000-0000-0000618C0000}"/>
    <cellStyle name="Note 11 4" xfId="35898" xr:uid="{00000000-0005-0000-0000-0000628C0000}"/>
    <cellStyle name="Note 110" xfId="35899" xr:uid="{00000000-0005-0000-0000-0000638C0000}"/>
    <cellStyle name="Note 110 2" xfId="35900" xr:uid="{00000000-0005-0000-0000-0000648C0000}"/>
    <cellStyle name="Note 110 2 2" xfId="35901" xr:uid="{00000000-0005-0000-0000-0000658C0000}"/>
    <cellStyle name="Note 110 2 2 2" xfId="35902" xr:uid="{00000000-0005-0000-0000-0000668C0000}"/>
    <cellStyle name="Note 110 2 3" xfId="35903" xr:uid="{00000000-0005-0000-0000-0000678C0000}"/>
    <cellStyle name="Note 111" xfId="35904" xr:uid="{00000000-0005-0000-0000-0000688C0000}"/>
    <cellStyle name="Note 111 2" xfId="35905" xr:uid="{00000000-0005-0000-0000-0000698C0000}"/>
    <cellStyle name="Note 111 2 2" xfId="35906" xr:uid="{00000000-0005-0000-0000-00006A8C0000}"/>
    <cellStyle name="Note 111 2 2 2" xfId="35907" xr:uid="{00000000-0005-0000-0000-00006B8C0000}"/>
    <cellStyle name="Note 111 2 3" xfId="35908" xr:uid="{00000000-0005-0000-0000-00006C8C0000}"/>
    <cellStyle name="Note 112" xfId="35909" xr:uid="{00000000-0005-0000-0000-00006D8C0000}"/>
    <cellStyle name="Note 112 2" xfId="35910" xr:uid="{00000000-0005-0000-0000-00006E8C0000}"/>
    <cellStyle name="Note 113" xfId="35911" xr:uid="{00000000-0005-0000-0000-00006F8C0000}"/>
    <cellStyle name="Note 113 2" xfId="35912" xr:uid="{00000000-0005-0000-0000-0000708C0000}"/>
    <cellStyle name="Note 114" xfId="35913" xr:uid="{00000000-0005-0000-0000-0000718C0000}"/>
    <cellStyle name="Note 114 2" xfId="35914" xr:uid="{00000000-0005-0000-0000-0000728C0000}"/>
    <cellStyle name="Note 115" xfId="35915" xr:uid="{00000000-0005-0000-0000-0000738C0000}"/>
    <cellStyle name="Note 115 2" xfId="35916" xr:uid="{00000000-0005-0000-0000-0000748C0000}"/>
    <cellStyle name="Note 116" xfId="35917" xr:uid="{00000000-0005-0000-0000-0000758C0000}"/>
    <cellStyle name="Note 116 2" xfId="35918" xr:uid="{00000000-0005-0000-0000-0000768C0000}"/>
    <cellStyle name="Note 116 2 2" xfId="35919" xr:uid="{00000000-0005-0000-0000-0000778C0000}"/>
    <cellStyle name="Note 116 3" xfId="35920" xr:uid="{00000000-0005-0000-0000-0000788C0000}"/>
    <cellStyle name="Note 117" xfId="35921" xr:uid="{00000000-0005-0000-0000-0000798C0000}"/>
    <cellStyle name="Note 117 2" xfId="35922" xr:uid="{00000000-0005-0000-0000-00007A8C0000}"/>
    <cellStyle name="Note 117 2 2" xfId="35923" xr:uid="{00000000-0005-0000-0000-00007B8C0000}"/>
    <cellStyle name="Note 117 3" xfId="35924" xr:uid="{00000000-0005-0000-0000-00007C8C0000}"/>
    <cellStyle name="Note 118" xfId="35925" xr:uid="{00000000-0005-0000-0000-00007D8C0000}"/>
    <cellStyle name="Note 118 2" xfId="35926" xr:uid="{00000000-0005-0000-0000-00007E8C0000}"/>
    <cellStyle name="Note 118 2 2" xfId="35927" xr:uid="{00000000-0005-0000-0000-00007F8C0000}"/>
    <cellStyle name="Note 118 3" xfId="35928" xr:uid="{00000000-0005-0000-0000-0000808C0000}"/>
    <cellStyle name="Note 119" xfId="35929" xr:uid="{00000000-0005-0000-0000-0000818C0000}"/>
    <cellStyle name="Note 119 2" xfId="35930" xr:uid="{00000000-0005-0000-0000-0000828C0000}"/>
    <cellStyle name="Note 119 2 2" xfId="35931" xr:uid="{00000000-0005-0000-0000-0000838C0000}"/>
    <cellStyle name="Note 119 3" xfId="35932" xr:uid="{00000000-0005-0000-0000-0000848C0000}"/>
    <cellStyle name="Note 12" xfId="35933" xr:uid="{00000000-0005-0000-0000-0000858C0000}"/>
    <cellStyle name="Note 12 2" xfId="35934" xr:uid="{00000000-0005-0000-0000-0000868C0000}"/>
    <cellStyle name="Note 12 2 2" xfId="35935" xr:uid="{00000000-0005-0000-0000-0000878C0000}"/>
    <cellStyle name="Note 12 3" xfId="35936" xr:uid="{00000000-0005-0000-0000-0000888C0000}"/>
    <cellStyle name="Note 12 4" xfId="35937" xr:uid="{00000000-0005-0000-0000-0000898C0000}"/>
    <cellStyle name="Note 120" xfId="35938" xr:uid="{00000000-0005-0000-0000-00008A8C0000}"/>
    <cellStyle name="Note 120 2" xfId="35939" xr:uid="{00000000-0005-0000-0000-00008B8C0000}"/>
    <cellStyle name="Note 120 2 2" xfId="35940" xr:uid="{00000000-0005-0000-0000-00008C8C0000}"/>
    <cellStyle name="Note 120 3" xfId="35941" xr:uid="{00000000-0005-0000-0000-00008D8C0000}"/>
    <cellStyle name="Note 121" xfId="35942" xr:uid="{00000000-0005-0000-0000-00008E8C0000}"/>
    <cellStyle name="Note 121 2" xfId="35943" xr:uid="{00000000-0005-0000-0000-00008F8C0000}"/>
    <cellStyle name="Note 121 2 2" xfId="35944" xr:uid="{00000000-0005-0000-0000-0000908C0000}"/>
    <cellStyle name="Note 121 3" xfId="35945" xr:uid="{00000000-0005-0000-0000-0000918C0000}"/>
    <cellStyle name="Note 122" xfId="35946" xr:uid="{00000000-0005-0000-0000-0000928C0000}"/>
    <cellStyle name="Note 122 2" xfId="35947" xr:uid="{00000000-0005-0000-0000-0000938C0000}"/>
    <cellStyle name="Note 122 2 2" xfId="35948" xr:uid="{00000000-0005-0000-0000-0000948C0000}"/>
    <cellStyle name="Note 122 3" xfId="35949" xr:uid="{00000000-0005-0000-0000-0000958C0000}"/>
    <cellStyle name="Note 123" xfId="35950" xr:uid="{00000000-0005-0000-0000-0000968C0000}"/>
    <cellStyle name="Note 124" xfId="35951" xr:uid="{00000000-0005-0000-0000-0000978C0000}"/>
    <cellStyle name="Note 124 2" xfId="35952" xr:uid="{00000000-0005-0000-0000-0000988C0000}"/>
    <cellStyle name="Note 124 2 2" xfId="35953" xr:uid="{00000000-0005-0000-0000-0000998C0000}"/>
    <cellStyle name="Note 124 3" xfId="35954" xr:uid="{00000000-0005-0000-0000-00009A8C0000}"/>
    <cellStyle name="Note 125" xfId="35955" xr:uid="{00000000-0005-0000-0000-00009B8C0000}"/>
    <cellStyle name="Note 125 2" xfId="35956" xr:uid="{00000000-0005-0000-0000-00009C8C0000}"/>
    <cellStyle name="Note 125 2 2" xfId="35957" xr:uid="{00000000-0005-0000-0000-00009D8C0000}"/>
    <cellStyle name="Note 125 3" xfId="35958" xr:uid="{00000000-0005-0000-0000-00009E8C0000}"/>
    <cellStyle name="Note 126" xfId="35959" xr:uid="{00000000-0005-0000-0000-00009F8C0000}"/>
    <cellStyle name="Note 126 2" xfId="35960" xr:uid="{00000000-0005-0000-0000-0000A08C0000}"/>
    <cellStyle name="Note 126 2 2" xfId="35961" xr:uid="{00000000-0005-0000-0000-0000A18C0000}"/>
    <cellStyle name="Note 126 3" xfId="35962" xr:uid="{00000000-0005-0000-0000-0000A28C0000}"/>
    <cellStyle name="Note 127" xfId="35963" xr:uid="{00000000-0005-0000-0000-0000A38C0000}"/>
    <cellStyle name="Note 127 2" xfId="35964" xr:uid="{00000000-0005-0000-0000-0000A48C0000}"/>
    <cellStyle name="Note 127 2 2" xfId="35965" xr:uid="{00000000-0005-0000-0000-0000A58C0000}"/>
    <cellStyle name="Note 127 3" xfId="35966" xr:uid="{00000000-0005-0000-0000-0000A68C0000}"/>
    <cellStyle name="Note 128" xfId="35967" xr:uid="{00000000-0005-0000-0000-0000A78C0000}"/>
    <cellStyle name="Note 128 2" xfId="35968" xr:uid="{00000000-0005-0000-0000-0000A88C0000}"/>
    <cellStyle name="Note 128 2 2" xfId="35969" xr:uid="{00000000-0005-0000-0000-0000A98C0000}"/>
    <cellStyle name="Note 128 3" xfId="35970" xr:uid="{00000000-0005-0000-0000-0000AA8C0000}"/>
    <cellStyle name="Note 129" xfId="35971" xr:uid="{00000000-0005-0000-0000-0000AB8C0000}"/>
    <cellStyle name="Note 129 2" xfId="35972" xr:uid="{00000000-0005-0000-0000-0000AC8C0000}"/>
    <cellStyle name="Note 129 2 2" xfId="35973" xr:uid="{00000000-0005-0000-0000-0000AD8C0000}"/>
    <cellStyle name="Note 129 3" xfId="35974" xr:uid="{00000000-0005-0000-0000-0000AE8C0000}"/>
    <cellStyle name="Note 13" xfId="35975" xr:uid="{00000000-0005-0000-0000-0000AF8C0000}"/>
    <cellStyle name="Note 13 2" xfId="35976" xr:uid="{00000000-0005-0000-0000-0000B08C0000}"/>
    <cellStyle name="Note 13 2 2" xfId="35977" xr:uid="{00000000-0005-0000-0000-0000B18C0000}"/>
    <cellStyle name="Note 13 3" xfId="35978" xr:uid="{00000000-0005-0000-0000-0000B28C0000}"/>
    <cellStyle name="Note 13 4" xfId="35979" xr:uid="{00000000-0005-0000-0000-0000B38C0000}"/>
    <cellStyle name="Note 130" xfId="35980" xr:uid="{00000000-0005-0000-0000-0000B48C0000}"/>
    <cellStyle name="Note 130 2" xfId="35981" xr:uid="{00000000-0005-0000-0000-0000B58C0000}"/>
    <cellStyle name="Note 130 2 2" xfId="35982" xr:uid="{00000000-0005-0000-0000-0000B68C0000}"/>
    <cellStyle name="Note 130 3" xfId="35983" xr:uid="{00000000-0005-0000-0000-0000B78C0000}"/>
    <cellStyle name="Note 131" xfId="35984" xr:uid="{00000000-0005-0000-0000-0000B88C0000}"/>
    <cellStyle name="Note 131 2" xfId="35985" xr:uid="{00000000-0005-0000-0000-0000B98C0000}"/>
    <cellStyle name="Note 131 2 2" xfId="35986" xr:uid="{00000000-0005-0000-0000-0000BA8C0000}"/>
    <cellStyle name="Note 131 3" xfId="35987" xr:uid="{00000000-0005-0000-0000-0000BB8C0000}"/>
    <cellStyle name="Note 132" xfId="35988" xr:uid="{00000000-0005-0000-0000-0000BC8C0000}"/>
    <cellStyle name="Note 132 2" xfId="35989" xr:uid="{00000000-0005-0000-0000-0000BD8C0000}"/>
    <cellStyle name="Note 132 2 2" xfId="35990" xr:uid="{00000000-0005-0000-0000-0000BE8C0000}"/>
    <cellStyle name="Note 132 3" xfId="35991" xr:uid="{00000000-0005-0000-0000-0000BF8C0000}"/>
    <cellStyle name="Note 133" xfId="35992" xr:uid="{00000000-0005-0000-0000-0000C08C0000}"/>
    <cellStyle name="Note 133 2" xfId="35993" xr:uid="{00000000-0005-0000-0000-0000C18C0000}"/>
    <cellStyle name="Note 134" xfId="35994" xr:uid="{00000000-0005-0000-0000-0000C28C0000}"/>
    <cellStyle name="Note 134 2" xfId="35995" xr:uid="{00000000-0005-0000-0000-0000C38C0000}"/>
    <cellStyle name="Note 135" xfId="35996" xr:uid="{00000000-0005-0000-0000-0000C48C0000}"/>
    <cellStyle name="Note 135 2" xfId="35997" xr:uid="{00000000-0005-0000-0000-0000C58C0000}"/>
    <cellStyle name="Note 14" xfId="35998" xr:uid="{00000000-0005-0000-0000-0000C68C0000}"/>
    <cellStyle name="Note 14 2" xfId="35999" xr:uid="{00000000-0005-0000-0000-0000C78C0000}"/>
    <cellStyle name="Note 14 2 2" xfId="36000" xr:uid="{00000000-0005-0000-0000-0000C88C0000}"/>
    <cellStyle name="Note 14 3" xfId="36001" xr:uid="{00000000-0005-0000-0000-0000C98C0000}"/>
    <cellStyle name="Note 14 4" xfId="36002" xr:uid="{00000000-0005-0000-0000-0000CA8C0000}"/>
    <cellStyle name="Note 15" xfId="36003" xr:uid="{00000000-0005-0000-0000-0000CB8C0000}"/>
    <cellStyle name="Note 15 2" xfId="36004" xr:uid="{00000000-0005-0000-0000-0000CC8C0000}"/>
    <cellStyle name="Note 15 2 2" xfId="36005" xr:uid="{00000000-0005-0000-0000-0000CD8C0000}"/>
    <cellStyle name="Note 15 3" xfId="36006" xr:uid="{00000000-0005-0000-0000-0000CE8C0000}"/>
    <cellStyle name="Note 15 4" xfId="36007" xr:uid="{00000000-0005-0000-0000-0000CF8C0000}"/>
    <cellStyle name="Note 16" xfId="36008" xr:uid="{00000000-0005-0000-0000-0000D08C0000}"/>
    <cellStyle name="Note 16 2" xfId="36009" xr:uid="{00000000-0005-0000-0000-0000D18C0000}"/>
    <cellStyle name="Note 16 2 2" xfId="36010" xr:uid="{00000000-0005-0000-0000-0000D28C0000}"/>
    <cellStyle name="Note 16 3" xfId="36011" xr:uid="{00000000-0005-0000-0000-0000D38C0000}"/>
    <cellStyle name="Note 17" xfId="36012" xr:uid="{00000000-0005-0000-0000-0000D48C0000}"/>
    <cellStyle name="Note 17 2" xfId="36013" xr:uid="{00000000-0005-0000-0000-0000D58C0000}"/>
    <cellStyle name="Note 17 2 2" xfId="36014" xr:uid="{00000000-0005-0000-0000-0000D68C0000}"/>
    <cellStyle name="Note 17 3" xfId="36015" xr:uid="{00000000-0005-0000-0000-0000D78C0000}"/>
    <cellStyle name="Note 18" xfId="36016" xr:uid="{00000000-0005-0000-0000-0000D88C0000}"/>
    <cellStyle name="Note 18 2" xfId="36017" xr:uid="{00000000-0005-0000-0000-0000D98C0000}"/>
    <cellStyle name="Note 18 2 2" xfId="36018" xr:uid="{00000000-0005-0000-0000-0000DA8C0000}"/>
    <cellStyle name="Note 18 3" xfId="36019" xr:uid="{00000000-0005-0000-0000-0000DB8C0000}"/>
    <cellStyle name="Note 19" xfId="36020" xr:uid="{00000000-0005-0000-0000-0000DC8C0000}"/>
    <cellStyle name="Note 19 2" xfId="36021" xr:uid="{00000000-0005-0000-0000-0000DD8C0000}"/>
    <cellStyle name="Note 19 2 2" xfId="36022" xr:uid="{00000000-0005-0000-0000-0000DE8C0000}"/>
    <cellStyle name="Note 19 3" xfId="36023" xr:uid="{00000000-0005-0000-0000-0000DF8C0000}"/>
    <cellStyle name="Note 2" xfId="36024" xr:uid="{00000000-0005-0000-0000-0000E08C0000}"/>
    <cellStyle name="Note 2 2" xfId="36025" xr:uid="{00000000-0005-0000-0000-0000E18C0000}"/>
    <cellStyle name="Note 2 2 2" xfId="36026" xr:uid="{00000000-0005-0000-0000-0000E28C0000}"/>
    <cellStyle name="Note 2 2 3" xfId="36027" xr:uid="{00000000-0005-0000-0000-0000E38C0000}"/>
    <cellStyle name="Note 2 3" xfId="36028" xr:uid="{00000000-0005-0000-0000-0000E48C0000}"/>
    <cellStyle name="Note 2 4" xfId="36029" xr:uid="{00000000-0005-0000-0000-0000E58C0000}"/>
    <cellStyle name="Note 2 5" xfId="36030" xr:uid="{00000000-0005-0000-0000-0000E68C0000}"/>
    <cellStyle name="Note 2 6" xfId="36031" xr:uid="{00000000-0005-0000-0000-0000E78C0000}"/>
    <cellStyle name="Note 2 7" xfId="41079" xr:uid="{00000000-0005-0000-0000-000035000000}"/>
    <cellStyle name="Note 20" xfId="36032" xr:uid="{00000000-0005-0000-0000-0000E88C0000}"/>
    <cellStyle name="Note 20 2" xfId="36033" xr:uid="{00000000-0005-0000-0000-0000E98C0000}"/>
    <cellStyle name="Note 20 2 2" xfId="36034" xr:uid="{00000000-0005-0000-0000-0000EA8C0000}"/>
    <cellStyle name="Note 20 3" xfId="36035" xr:uid="{00000000-0005-0000-0000-0000EB8C0000}"/>
    <cellStyle name="Note 21" xfId="36036" xr:uid="{00000000-0005-0000-0000-0000EC8C0000}"/>
    <cellStyle name="Note 21 2" xfId="36037" xr:uid="{00000000-0005-0000-0000-0000ED8C0000}"/>
    <cellStyle name="Note 21 2 2" xfId="36038" xr:uid="{00000000-0005-0000-0000-0000EE8C0000}"/>
    <cellStyle name="Note 21 3" xfId="36039" xr:uid="{00000000-0005-0000-0000-0000EF8C0000}"/>
    <cellStyle name="Note 22" xfId="36040" xr:uid="{00000000-0005-0000-0000-0000F08C0000}"/>
    <cellStyle name="Note 22 2" xfId="36041" xr:uid="{00000000-0005-0000-0000-0000F18C0000}"/>
    <cellStyle name="Note 23" xfId="36042" xr:uid="{00000000-0005-0000-0000-0000F28C0000}"/>
    <cellStyle name="Note 23 2" xfId="36043" xr:uid="{00000000-0005-0000-0000-0000F38C0000}"/>
    <cellStyle name="Note 24" xfId="36044" xr:uid="{00000000-0005-0000-0000-0000F48C0000}"/>
    <cellStyle name="Note 24 2" xfId="36045" xr:uid="{00000000-0005-0000-0000-0000F58C0000}"/>
    <cellStyle name="Note 25" xfId="36046" xr:uid="{00000000-0005-0000-0000-0000F68C0000}"/>
    <cellStyle name="Note 25 2" xfId="36047" xr:uid="{00000000-0005-0000-0000-0000F78C0000}"/>
    <cellStyle name="Note 26" xfId="36048" xr:uid="{00000000-0005-0000-0000-0000F88C0000}"/>
    <cellStyle name="Note 26 2" xfId="36049" xr:uid="{00000000-0005-0000-0000-0000F98C0000}"/>
    <cellStyle name="Note 27" xfId="36050" xr:uid="{00000000-0005-0000-0000-0000FA8C0000}"/>
    <cellStyle name="Note 27 2" xfId="36051" xr:uid="{00000000-0005-0000-0000-0000FB8C0000}"/>
    <cellStyle name="Note 28" xfId="36052" xr:uid="{00000000-0005-0000-0000-0000FC8C0000}"/>
    <cellStyle name="Note 28 2" xfId="36053" xr:uid="{00000000-0005-0000-0000-0000FD8C0000}"/>
    <cellStyle name="Note 29" xfId="36054" xr:uid="{00000000-0005-0000-0000-0000FE8C0000}"/>
    <cellStyle name="Note 29 2" xfId="36055" xr:uid="{00000000-0005-0000-0000-0000FF8C0000}"/>
    <cellStyle name="Note 3" xfId="36056" xr:uid="{00000000-0005-0000-0000-0000008D0000}"/>
    <cellStyle name="Note 3 2" xfId="36057" xr:uid="{00000000-0005-0000-0000-0000018D0000}"/>
    <cellStyle name="Note 3 2 2" xfId="36058" xr:uid="{00000000-0005-0000-0000-0000028D0000}"/>
    <cellStyle name="Note 3 2 2 2" xfId="36059" xr:uid="{00000000-0005-0000-0000-0000038D0000}"/>
    <cellStyle name="Note 3 2 2 2 2" xfId="36060" xr:uid="{00000000-0005-0000-0000-0000048D0000}"/>
    <cellStyle name="Note 3 3" xfId="36061" xr:uid="{00000000-0005-0000-0000-0000058D0000}"/>
    <cellStyle name="Note 30" xfId="36062" xr:uid="{00000000-0005-0000-0000-0000068D0000}"/>
    <cellStyle name="Note 30 2" xfId="36063" xr:uid="{00000000-0005-0000-0000-0000078D0000}"/>
    <cellStyle name="Note 31" xfId="36064" xr:uid="{00000000-0005-0000-0000-0000088D0000}"/>
    <cellStyle name="Note 31 2" xfId="36065" xr:uid="{00000000-0005-0000-0000-0000098D0000}"/>
    <cellStyle name="Note 32" xfId="36066" xr:uid="{00000000-0005-0000-0000-00000A8D0000}"/>
    <cellStyle name="Note 32 2" xfId="36067" xr:uid="{00000000-0005-0000-0000-00000B8D0000}"/>
    <cellStyle name="Note 33" xfId="36068" xr:uid="{00000000-0005-0000-0000-00000C8D0000}"/>
    <cellStyle name="Note 33 2" xfId="36069" xr:uid="{00000000-0005-0000-0000-00000D8D0000}"/>
    <cellStyle name="Note 34" xfId="36070" xr:uid="{00000000-0005-0000-0000-00000E8D0000}"/>
    <cellStyle name="Note 34 2" xfId="36071" xr:uid="{00000000-0005-0000-0000-00000F8D0000}"/>
    <cellStyle name="Note 35" xfId="36072" xr:uid="{00000000-0005-0000-0000-0000108D0000}"/>
    <cellStyle name="Note 35 2" xfId="36073" xr:uid="{00000000-0005-0000-0000-0000118D0000}"/>
    <cellStyle name="Note 36" xfId="36074" xr:uid="{00000000-0005-0000-0000-0000128D0000}"/>
    <cellStyle name="Note 36 2" xfId="36075" xr:uid="{00000000-0005-0000-0000-0000138D0000}"/>
    <cellStyle name="Note 37" xfId="36076" xr:uid="{00000000-0005-0000-0000-0000148D0000}"/>
    <cellStyle name="Note 37 2" xfId="36077" xr:uid="{00000000-0005-0000-0000-0000158D0000}"/>
    <cellStyle name="Note 38" xfId="36078" xr:uid="{00000000-0005-0000-0000-0000168D0000}"/>
    <cellStyle name="Note 38 2" xfId="36079" xr:uid="{00000000-0005-0000-0000-0000178D0000}"/>
    <cellStyle name="Note 39" xfId="36080" xr:uid="{00000000-0005-0000-0000-0000188D0000}"/>
    <cellStyle name="Note 39 2" xfId="36081" xr:uid="{00000000-0005-0000-0000-0000198D0000}"/>
    <cellStyle name="Note 4" xfId="36082" xr:uid="{00000000-0005-0000-0000-00001A8D0000}"/>
    <cellStyle name="Note 4 2" xfId="36083" xr:uid="{00000000-0005-0000-0000-00001B8D0000}"/>
    <cellStyle name="Note 4 2 2" xfId="36084" xr:uid="{00000000-0005-0000-0000-00001C8D0000}"/>
    <cellStyle name="Note 4 2 2 2" xfId="36085" xr:uid="{00000000-0005-0000-0000-00001D8D0000}"/>
    <cellStyle name="Note 4 2 2 2 2" xfId="36086" xr:uid="{00000000-0005-0000-0000-00001E8D0000}"/>
    <cellStyle name="Note 4 3" xfId="36087" xr:uid="{00000000-0005-0000-0000-00001F8D0000}"/>
    <cellStyle name="Note 4 4" xfId="36088" xr:uid="{00000000-0005-0000-0000-0000208D0000}"/>
    <cellStyle name="Note 40" xfId="36089" xr:uid="{00000000-0005-0000-0000-0000218D0000}"/>
    <cellStyle name="Note 40 2" xfId="36090" xr:uid="{00000000-0005-0000-0000-0000228D0000}"/>
    <cellStyle name="Note 41" xfId="36091" xr:uid="{00000000-0005-0000-0000-0000238D0000}"/>
    <cellStyle name="Note 41 2" xfId="36092" xr:uid="{00000000-0005-0000-0000-0000248D0000}"/>
    <cellStyle name="Note 42" xfId="36093" xr:uid="{00000000-0005-0000-0000-0000258D0000}"/>
    <cellStyle name="Note 42 2" xfId="36094" xr:uid="{00000000-0005-0000-0000-0000268D0000}"/>
    <cellStyle name="Note 43" xfId="36095" xr:uid="{00000000-0005-0000-0000-0000278D0000}"/>
    <cellStyle name="Note 43 2" xfId="36096" xr:uid="{00000000-0005-0000-0000-0000288D0000}"/>
    <cellStyle name="Note 44" xfId="36097" xr:uid="{00000000-0005-0000-0000-0000298D0000}"/>
    <cellStyle name="Note 44 2" xfId="36098" xr:uid="{00000000-0005-0000-0000-00002A8D0000}"/>
    <cellStyle name="Note 45" xfId="36099" xr:uid="{00000000-0005-0000-0000-00002B8D0000}"/>
    <cellStyle name="Note 45 2" xfId="36100" xr:uid="{00000000-0005-0000-0000-00002C8D0000}"/>
    <cellStyle name="Note 46" xfId="36101" xr:uid="{00000000-0005-0000-0000-00002D8D0000}"/>
    <cellStyle name="Note 46 2" xfId="36102" xr:uid="{00000000-0005-0000-0000-00002E8D0000}"/>
    <cellStyle name="Note 47" xfId="36103" xr:uid="{00000000-0005-0000-0000-00002F8D0000}"/>
    <cellStyle name="Note 47 2" xfId="36104" xr:uid="{00000000-0005-0000-0000-0000308D0000}"/>
    <cellStyle name="Note 48" xfId="36105" xr:uid="{00000000-0005-0000-0000-0000318D0000}"/>
    <cellStyle name="Note 48 2" xfId="36106" xr:uid="{00000000-0005-0000-0000-0000328D0000}"/>
    <cellStyle name="Note 49" xfId="36107" xr:uid="{00000000-0005-0000-0000-0000338D0000}"/>
    <cellStyle name="Note 49 2" xfId="36108" xr:uid="{00000000-0005-0000-0000-0000348D0000}"/>
    <cellStyle name="Note 5" xfId="36109" xr:uid="{00000000-0005-0000-0000-0000358D0000}"/>
    <cellStyle name="Note 5 2" xfId="36110" xr:uid="{00000000-0005-0000-0000-0000368D0000}"/>
    <cellStyle name="Note 5 2 2" xfId="36111" xr:uid="{00000000-0005-0000-0000-0000378D0000}"/>
    <cellStyle name="Note 5 3" xfId="36112" xr:uid="{00000000-0005-0000-0000-0000388D0000}"/>
    <cellStyle name="Note 5 4" xfId="36113" xr:uid="{00000000-0005-0000-0000-0000398D0000}"/>
    <cellStyle name="Note 50" xfId="36114" xr:uid="{00000000-0005-0000-0000-00003A8D0000}"/>
    <cellStyle name="Note 50 2" xfId="36115" xr:uid="{00000000-0005-0000-0000-00003B8D0000}"/>
    <cellStyle name="Note 51" xfId="36116" xr:uid="{00000000-0005-0000-0000-00003C8D0000}"/>
    <cellStyle name="Note 51 2" xfId="36117" xr:uid="{00000000-0005-0000-0000-00003D8D0000}"/>
    <cellStyle name="Note 52" xfId="36118" xr:uid="{00000000-0005-0000-0000-00003E8D0000}"/>
    <cellStyle name="Note 52 2" xfId="36119" xr:uid="{00000000-0005-0000-0000-00003F8D0000}"/>
    <cellStyle name="Note 53" xfId="36120" xr:uid="{00000000-0005-0000-0000-0000408D0000}"/>
    <cellStyle name="Note 53 2" xfId="36121" xr:uid="{00000000-0005-0000-0000-0000418D0000}"/>
    <cellStyle name="Note 54" xfId="36122" xr:uid="{00000000-0005-0000-0000-0000428D0000}"/>
    <cellStyle name="Note 54 2" xfId="36123" xr:uid="{00000000-0005-0000-0000-0000438D0000}"/>
    <cellStyle name="Note 55" xfId="36124" xr:uid="{00000000-0005-0000-0000-0000448D0000}"/>
    <cellStyle name="Note 55 2" xfId="36125" xr:uid="{00000000-0005-0000-0000-0000458D0000}"/>
    <cellStyle name="Note 56" xfId="36126" xr:uid="{00000000-0005-0000-0000-0000468D0000}"/>
    <cellStyle name="Note 56 2" xfId="36127" xr:uid="{00000000-0005-0000-0000-0000478D0000}"/>
    <cellStyle name="Note 57" xfId="36128" xr:uid="{00000000-0005-0000-0000-0000488D0000}"/>
    <cellStyle name="Note 57 2" xfId="36129" xr:uid="{00000000-0005-0000-0000-0000498D0000}"/>
    <cellStyle name="Note 58" xfId="36130" xr:uid="{00000000-0005-0000-0000-00004A8D0000}"/>
    <cellStyle name="Note 58 2" xfId="36131" xr:uid="{00000000-0005-0000-0000-00004B8D0000}"/>
    <cellStyle name="Note 59" xfId="36132" xr:uid="{00000000-0005-0000-0000-00004C8D0000}"/>
    <cellStyle name="Note 59 2" xfId="36133" xr:uid="{00000000-0005-0000-0000-00004D8D0000}"/>
    <cellStyle name="Note 6" xfId="36134" xr:uid="{00000000-0005-0000-0000-00004E8D0000}"/>
    <cellStyle name="Note 6 2" xfId="36135" xr:uid="{00000000-0005-0000-0000-00004F8D0000}"/>
    <cellStyle name="Note 6 2 2" xfId="36136" xr:uid="{00000000-0005-0000-0000-0000508D0000}"/>
    <cellStyle name="Note 6 3" xfId="36137" xr:uid="{00000000-0005-0000-0000-0000518D0000}"/>
    <cellStyle name="Note 6 4" xfId="36138" xr:uid="{00000000-0005-0000-0000-0000528D0000}"/>
    <cellStyle name="Note 60" xfId="36139" xr:uid="{00000000-0005-0000-0000-0000538D0000}"/>
    <cellStyle name="Note 60 2" xfId="36140" xr:uid="{00000000-0005-0000-0000-0000548D0000}"/>
    <cellStyle name="Note 61" xfId="36141" xr:uid="{00000000-0005-0000-0000-0000558D0000}"/>
    <cellStyle name="Note 61 2" xfId="36142" xr:uid="{00000000-0005-0000-0000-0000568D0000}"/>
    <cellStyle name="Note 62" xfId="36143" xr:uid="{00000000-0005-0000-0000-0000578D0000}"/>
    <cellStyle name="Note 62 2" xfId="36144" xr:uid="{00000000-0005-0000-0000-0000588D0000}"/>
    <cellStyle name="Note 63" xfId="36145" xr:uid="{00000000-0005-0000-0000-0000598D0000}"/>
    <cellStyle name="Note 63 10" xfId="36146" xr:uid="{00000000-0005-0000-0000-00005A8D0000}"/>
    <cellStyle name="Note 63 11" xfId="36147" xr:uid="{00000000-0005-0000-0000-00005B8D0000}"/>
    <cellStyle name="Note 63 12" xfId="36148" xr:uid="{00000000-0005-0000-0000-00005C8D0000}"/>
    <cellStyle name="Note 63 13" xfId="36149" xr:uid="{00000000-0005-0000-0000-00005D8D0000}"/>
    <cellStyle name="Note 63 14" xfId="36150" xr:uid="{00000000-0005-0000-0000-00005E8D0000}"/>
    <cellStyle name="Note 63 15" xfId="36151" xr:uid="{00000000-0005-0000-0000-00005F8D0000}"/>
    <cellStyle name="Note 63 16" xfId="36152" xr:uid="{00000000-0005-0000-0000-0000608D0000}"/>
    <cellStyle name="Note 63 17" xfId="36153" xr:uid="{00000000-0005-0000-0000-0000618D0000}"/>
    <cellStyle name="Note 63 18" xfId="36154" xr:uid="{00000000-0005-0000-0000-0000628D0000}"/>
    <cellStyle name="Note 63 19" xfId="36155" xr:uid="{00000000-0005-0000-0000-0000638D0000}"/>
    <cellStyle name="Note 63 2" xfId="36156" xr:uid="{00000000-0005-0000-0000-0000648D0000}"/>
    <cellStyle name="Note 63 20" xfId="36157" xr:uid="{00000000-0005-0000-0000-0000658D0000}"/>
    <cellStyle name="Note 63 21" xfId="36158" xr:uid="{00000000-0005-0000-0000-0000668D0000}"/>
    <cellStyle name="Note 63 22" xfId="36159" xr:uid="{00000000-0005-0000-0000-0000678D0000}"/>
    <cellStyle name="Note 63 23" xfId="36160" xr:uid="{00000000-0005-0000-0000-0000688D0000}"/>
    <cellStyle name="Note 63 24" xfId="36161" xr:uid="{00000000-0005-0000-0000-0000698D0000}"/>
    <cellStyle name="Note 63 25" xfId="36162" xr:uid="{00000000-0005-0000-0000-00006A8D0000}"/>
    <cellStyle name="Note 63 26" xfId="36163" xr:uid="{00000000-0005-0000-0000-00006B8D0000}"/>
    <cellStyle name="Note 63 27" xfId="36164" xr:uid="{00000000-0005-0000-0000-00006C8D0000}"/>
    <cellStyle name="Note 63 28" xfId="36165" xr:uid="{00000000-0005-0000-0000-00006D8D0000}"/>
    <cellStyle name="Note 63 29" xfId="36166" xr:uid="{00000000-0005-0000-0000-00006E8D0000}"/>
    <cellStyle name="Note 63 3" xfId="36167" xr:uid="{00000000-0005-0000-0000-00006F8D0000}"/>
    <cellStyle name="Note 63 30" xfId="36168" xr:uid="{00000000-0005-0000-0000-0000708D0000}"/>
    <cellStyle name="Note 63 31" xfId="36169" xr:uid="{00000000-0005-0000-0000-0000718D0000}"/>
    <cellStyle name="Note 63 32" xfId="36170" xr:uid="{00000000-0005-0000-0000-0000728D0000}"/>
    <cellStyle name="Note 63 33" xfId="36171" xr:uid="{00000000-0005-0000-0000-0000738D0000}"/>
    <cellStyle name="Note 63 34" xfId="36172" xr:uid="{00000000-0005-0000-0000-0000748D0000}"/>
    <cellStyle name="Note 63 35" xfId="36173" xr:uid="{00000000-0005-0000-0000-0000758D0000}"/>
    <cellStyle name="Note 63 36" xfId="36174" xr:uid="{00000000-0005-0000-0000-0000768D0000}"/>
    <cellStyle name="Note 63 4" xfId="36175" xr:uid="{00000000-0005-0000-0000-0000778D0000}"/>
    <cellStyle name="Note 63 5" xfId="36176" xr:uid="{00000000-0005-0000-0000-0000788D0000}"/>
    <cellStyle name="Note 63 6" xfId="36177" xr:uid="{00000000-0005-0000-0000-0000798D0000}"/>
    <cellStyle name="Note 63 7" xfId="36178" xr:uid="{00000000-0005-0000-0000-00007A8D0000}"/>
    <cellStyle name="Note 63 8" xfId="36179" xr:uid="{00000000-0005-0000-0000-00007B8D0000}"/>
    <cellStyle name="Note 63 9" xfId="36180" xr:uid="{00000000-0005-0000-0000-00007C8D0000}"/>
    <cellStyle name="Note 64" xfId="36181" xr:uid="{00000000-0005-0000-0000-00007D8D0000}"/>
    <cellStyle name="Note 64 10" xfId="36182" xr:uid="{00000000-0005-0000-0000-00007E8D0000}"/>
    <cellStyle name="Note 64 11" xfId="36183" xr:uid="{00000000-0005-0000-0000-00007F8D0000}"/>
    <cellStyle name="Note 64 12" xfId="36184" xr:uid="{00000000-0005-0000-0000-0000808D0000}"/>
    <cellStyle name="Note 64 13" xfId="36185" xr:uid="{00000000-0005-0000-0000-0000818D0000}"/>
    <cellStyle name="Note 64 14" xfId="36186" xr:uid="{00000000-0005-0000-0000-0000828D0000}"/>
    <cellStyle name="Note 64 15" xfId="36187" xr:uid="{00000000-0005-0000-0000-0000838D0000}"/>
    <cellStyle name="Note 64 16" xfId="36188" xr:uid="{00000000-0005-0000-0000-0000848D0000}"/>
    <cellStyle name="Note 64 17" xfId="36189" xr:uid="{00000000-0005-0000-0000-0000858D0000}"/>
    <cellStyle name="Note 64 18" xfId="36190" xr:uid="{00000000-0005-0000-0000-0000868D0000}"/>
    <cellStyle name="Note 64 19" xfId="36191" xr:uid="{00000000-0005-0000-0000-0000878D0000}"/>
    <cellStyle name="Note 64 2" xfId="36192" xr:uid="{00000000-0005-0000-0000-0000888D0000}"/>
    <cellStyle name="Note 64 20" xfId="36193" xr:uid="{00000000-0005-0000-0000-0000898D0000}"/>
    <cellStyle name="Note 64 21" xfId="36194" xr:uid="{00000000-0005-0000-0000-00008A8D0000}"/>
    <cellStyle name="Note 64 22" xfId="36195" xr:uid="{00000000-0005-0000-0000-00008B8D0000}"/>
    <cellStyle name="Note 64 23" xfId="36196" xr:uid="{00000000-0005-0000-0000-00008C8D0000}"/>
    <cellStyle name="Note 64 24" xfId="36197" xr:uid="{00000000-0005-0000-0000-00008D8D0000}"/>
    <cellStyle name="Note 64 25" xfId="36198" xr:uid="{00000000-0005-0000-0000-00008E8D0000}"/>
    <cellStyle name="Note 64 26" xfId="36199" xr:uid="{00000000-0005-0000-0000-00008F8D0000}"/>
    <cellStyle name="Note 64 27" xfId="36200" xr:uid="{00000000-0005-0000-0000-0000908D0000}"/>
    <cellStyle name="Note 64 28" xfId="36201" xr:uid="{00000000-0005-0000-0000-0000918D0000}"/>
    <cellStyle name="Note 64 29" xfId="36202" xr:uid="{00000000-0005-0000-0000-0000928D0000}"/>
    <cellStyle name="Note 64 3" xfId="36203" xr:uid="{00000000-0005-0000-0000-0000938D0000}"/>
    <cellStyle name="Note 64 30" xfId="36204" xr:uid="{00000000-0005-0000-0000-0000948D0000}"/>
    <cellStyle name="Note 64 31" xfId="36205" xr:uid="{00000000-0005-0000-0000-0000958D0000}"/>
    <cellStyle name="Note 64 32" xfId="36206" xr:uid="{00000000-0005-0000-0000-0000968D0000}"/>
    <cellStyle name="Note 64 33" xfId="36207" xr:uid="{00000000-0005-0000-0000-0000978D0000}"/>
    <cellStyle name="Note 64 34" xfId="36208" xr:uid="{00000000-0005-0000-0000-0000988D0000}"/>
    <cellStyle name="Note 64 35" xfId="36209" xr:uid="{00000000-0005-0000-0000-0000998D0000}"/>
    <cellStyle name="Note 64 36" xfId="36210" xr:uid="{00000000-0005-0000-0000-00009A8D0000}"/>
    <cellStyle name="Note 64 4" xfId="36211" xr:uid="{00000000-0005-0000-0000-00009B8D0000}"/>
    <cellStyle name="Note 64 5" xfId="36212" xr:uid="{00000000-0005-0000-0000-00009C8D0000}"/>
    <cellStyle name="Note 64 6" xfId="36213" xr:uid="{00000000-0005-0000-0000-00009D8D0000}"/>
    <cellStyle name="Note 64 7" xfId="36214" xr:uid="{00000000-0005-0000-0000-00009E8D0000}"/>
    <cellStyle name="Note 64 8" xfId="36215" xr:uid="{00000000-0005-0000-0000-00009F8D0000}"/>
    <cellStyle name="Note 64 9" xfId="36216" xr:uid="{00000000-0005-0000-0000-0000A08D0000}"/>
    <cellStyle name="Note 65" xfId="36217" xr:uid="{00000000-0005-0000-0000-0000A18D0000}"/>
    <cellStyle name="Note 65 10" xfId="36218" xr:uid="{00000000-0005-0000-0000-0000A28D0000}"/>
    <cellStyle name="Note 65 11" xfId="36219" xr:uid="{00000000-0005-0000-0000-0000A38D0000}"/>
    <cellStyle name="Note 65 12" xfId="36220" xr:uid="{00000000-0005-0000-0000-0000A48D0000}"/>
    <cellStyle name="Note 65 13" xfId="36221" xr:uid="{00000000-0005-0000-0000-0000A58D0000}"/>
    <cellStyle name="Note 65 14" xfId="36222" xr:uid="{00000000-0005-0000-0000-0000A68D0000}"/>
    <cellStyle name="Note 65 15" xfId="36223" xr:uid="{00000000-0005-0000-0000-0000A78D0000}"/>
    <cellStyle name="Note 65 16" xfId="36224" xr:uid="{00000000-0005-0000-0000-0000A88D0000}"/>
    <cellStyle name="Note 65 17" xfId="36225" xr:uid="{00000000-0005-0000-0000-0000A98D0000}"/>
    <cellStyle name="Note 65 18" xfId="36226" xr:uid="{00000000-0005-0000-0000-0000AA8D0000}"/>
    <cellStyle name="Note 65 19" xfId="36227" xr:uid="{00000000-0005-0000-0000-0000AB8D0000}"/>
    <cellStyle name="Note 65 2" xfId="36228" xr:uid="{00000000-0005-0000-0000-0000AC8D0000}"/>
    <cellStyle name="Note 65 20" xfId="36229" xr:uid="{00000000-0005-0000-0000-0000AD8D0000}"/>
    <cellStyle name="Note 65 21" xfId="36230" xr:uid="{00000000-0005-0000-0000-0000AE8D0000}"/>
    <cellStyle name="Note 65 22" xfId="36231" xr:uid="{00000000-0005-0000-0000-0000AF8D0000}"/>
    <cellStyle name="Note 65 23" xfId="36232" xr:uid="{00000000-0005-0000-0000-0000B08D0000}"/>
    <cellStyle name="Note 65 24" xfId="36233" xr:uid="{00000000-0005-0000-0000-0000B18D0000}"/>
    <cellStyle name="Note 65 25" xfId="36234" xr:uid="{00000000-0005-0000-0000-0000B28D0000}"/>
    <cellStyle name="Note 65 26" xfId="36235" xr:uid="{00000000-0005-0000-0000-0000B38D0000}"/>
    <cellStyle name="Note 65 27" xfId="36236" xr:uid="{00000000-0005-0000-0000-0000B48D0000}"/>
    <cellStyle name="Note 65 28" xfId="36237" xr:uid="{00000000-0005-0000-0000-0000B58D0000}"/>
    <cellStyle name="Note 65 29" xfId="36238" xr:uid="{00000000-0005-0000-0000-0000B68D0000}"/>
    <cellStyle name="Note 65 3" xfId="36239" xr:uid="{00000000-0005-0000-0000-0000B78D0000}"/>
    <cellStyle name="Note 65 30" xfId="36240" xr:uid="{00000000-0005-0000-0000-0000B88D0000}"/>
    <cellStyle name="Note 65 31" xfId="36241" xr:uid="{00000000-0005-0000-0000-0000B98D0000}"/>
    <cellStyle name="Note 65 32" xfId="36242" xr:uid="{00000000-0005-0000-0000-0000BA8D0000}"/>
    <cellStyle name="Note 65 33" xfId="36243" xr:uid="{00000000-0005-0000-0000-0000BB8D0000}"/>
    <cellStyle name="Note 65 34" xfId="36244" xr:uid="{00000000-0005-0000-0000-0000BC8D0000}"/>
    <cellStyle name="Note 65 35" xfId="36245" xr:uid="{00000000-0005-0000-0000-0000BD8D0000}"/>
    <cellStyle name="Note 65 36" xfId="36246" xr:uid="{00000000-0005-0000-0000-0000BE8D0000}"/>
    <cellStyle name="Note 65 4" xfId="36247" xr:uid="{00000000-0005-0000-0000-0000BF8D0000}"/>
    <cellStyle name="Note 65 5" xfId="36248" xr:uid="{00000000-0005-0000-0000-0000C08D0000}"/>
    <cellStyle name="Note 65 6" xfId="36249" xr:uid="{00000000-0005-0000-0000-0000C18D0000}"/>
    <cellStyle name="Note 65 7" xfId="36250" xr:uid="{00000000-0005-0000-0000-0000C28D0000}"/>
    <cellStyle name="Note 65 8" xfId="36251" xr:uid="{00000000-0005-0000-0000-0000C38D0000}"/>
    <cellStyle name="Note 65 9" xfId="36252" xr:uid="{00000000-0005-0000-0000-0000C48D0000}"/>
    <cellStyle name="Note 66" xfId="36253" xr:uid="{00000000-0005-0000-0000-0000C58D0000}"/>
    <cellStyle name="Note 66 10" xfId="36254" xr:uid="{00000000-0005-0000-0000-0000C68D0000}"/>
    <cellStyle name="Note 66 11" xfId="36255" xr:uid="{00000000-0005-0000-0000-0000C78D0000}"/>
    <cellStyle name="Note 66 12" xfId="36256" xr:uid="{00000000-0005-0000-0000-0000C88D0000}"/>
    <cellStyle name="Note 66 13" xfId="36257" xr:uid="{00000000-0005-0000-0000-0000C98D0000}"/>
    <cellStyle name="Note 66 14" xfId="36258" xr:uid="{00000000-0005-0000-0000-0000CA8D0000}"/>
    <cellStyle name="Note 66 15" xfId="36259" xr:uid="{00000000-0005-0000-0000-0000CB8D0000}"/>
    <cellStyle name="Note 66 16" xfId="36260" xr:uid="{00000000-0005-0000-0000-0000CC8D0000}"/>
    <cellStyle name="Note 66 17" xfId="36261" xr:uid="{00000000-0005-0000-0000-0000CD8D0000}"/>
    <cellStyle name="Note 66 18" xfId="36262" xr:uid="{00000000-0005-0000-0000-0000CE8D0000}"/>
    <cellStyle name="Note 66 19" xfId="36263" xr:uid="{00000000-0005-0000-0000-0000CF8D0000}"/>
    <cellStyle name="Note 66 2" xfId="36264" xr:uid="{00000000-0005-0000-0000-0000D08D0000}"/>
    <cellStyle name="Note 66 20" xfId="36265" xr:uid="{00000000-0005-0000-0000-0000D18D0000}"/>
    <cellStyle name="Note 66 21" xfId="36266" xr:uid="{00000000-0005-0000-0000-0000D28D0000}"/>
    <cellStyle name="Note 66 22" xfId="36267" xr:uid="{00000000-0005-0000-0000-0000D38D0000}"/>
    <cellStyle name="Note 66 23" xfId="36268" xr:uid="{00000000-0005-0000-0000-0000D48D0000}"/>
    <cellStyle name="Note 66 24" xfId="36269" xr:uid="{00000000-0005-0000-0000-0000D58D0000}"/>
    <cellStyle name="Note 66 25" xfId="36270" xr:uid="{00000000-0005-0000-0000-0000D68D0000}"/>
    <cellStyle name="Note 66 26" xfId="36271" xr:uid="{00000000-0005-0000-0000-0000D78D0000}"/>
    <cellStyle name="Note 66 27" xfId="36272" xr:uid="{00000000-0005-0000-0000-0000D88D0000}"/>
    <cellStyle name="Note 66 28" xfId="36273" xr:uid="{00000000-0005-0000-0000-0000D98D0000}"/>
    <cellStyle name="Note 66 29" xfId="36274" xr:uid="{00000000-0005-0000-0000-0000DA8D0000}"/>
    <cellStyle name="Note 66 3" xfId="36275" xr:uid="{00000000-0005-0000-0000-0000DB8D0000}"/>
    <cellStyle name="Note 66 30" xfId="36276" xr:uid="{00000000-0005-0000-0000-0000DC8D0000}"/>
    <cellStyle name="Note 66 31" xfId="36277" xr:uid="{00000000-0005-0000-0000-0000DD8D0000}"/>
    <cellStyle name="Note 66 32" xfId="36278" xr:uid="{00000000-0005-0000-0000-0000DE8D0000}"/>
    <cellStyle name="Note 66 33" xfId="36279" xr:uid="{00000000-0005-0000-0000-0000DF8D0000}"/>
    <cellStyle name="Note 66 34" xfId="36280" xr:uid="{00000000-0005-0000-0000-0000E08D0000}"/>
    <cellStyle name="Note 66 35" xfId="36281" xr:uid="{00000000-0005-0000-0000-0000E18D0000}"/>
    <cellStyle name="Note 66 36" xfId="36282" xr:uid="{00000000-0005-0000-0000-0000E28D0000}"/>
    <cellStyle name="Note 66 4" xfId="36283" xr:uid="{00000000-0005-0000-0000-0000E38D0000}"/>
    <cellStyle name="Note 66 5" xfId="36284" xr:uid="{00000000-0005-0000-0000-0000E48D0000}"/>
    <cellStyle name="Note 66 6" xfId="36285" xr:uid="{00000000-0005-0000-0000-0000E58D0000}"/>
    <cellStyle name="Note 66 7" xfId="36286" xr:uid="{00000000-0005-0000-0000-0000E68D0000}"/>
    <cellStyle name="Note 66 8" xfId="36287" xr:uid="{00000000-0005-0000-0000-0000E78D0000}"/>
    <cellStyle name="Note 66 9" xfId="36288" xr:uid="{00000000-0005-0000-0000-0000E88D0000}"/>
    <cellStyle name="Note 67" xfId="36289" xr:uid="{00000000-0005-0000-0000-0000E98D0000}"/>
    <cellStyle name="Note 67 10" xfId="36290" xr:uid="{00000000-0005-0000-0000-0000EA8D0000}"/>
    <cellStyle name="Note 67 11" xfId="36291" xr:uid="{00000000-0005-0000-0000-0000EB8D0000}"/>
    <cellStyle name="Note 67 12" xfId="36292" xr:uid="{00000000-0005-0000-0000-0000EC8D0000}"/>
    <cellStyle name="Note 67 13" xfId="36293" xr:uid="{00000000-0005-0000-0000-0000ED8D0000}"/>
    <cellStyle name="Note 67 14" xfId="36294" xr:uid="{00000000-0005-0000-0000-0000EE8D0000}"/>
    <cellStyle name="Note 67 15" xfId="36295" xr:uid="{00000000-0005-0000-0000-0000EF8D0000}"/>
    <cellStyle name="Note 67 16" xfId="36296" xr:uid="{00000000-0005-0000-0000-0000F08D0000}"/>
    <cellStyle name="Note 67 17" xfId="36297" xr:uid="{00000000-0005-0000-0000-0000F18D0000}"/>
    <cellStyle name="Note 67 18" xfId="36298" xr:uid="{00000000-0005-0000-0000-0000F28D0000}"/>
    <cellStyle name="Note 67 19" xfId="36299" xr:uid="{00000000-0005-0000-0000-0000F38D0000}"/>
    <cellStyle name="Note 67 2" xfId="36300" xr:uid="{00000000-0005-0000-0000-0000F48D0000}"/>
    <cellStyle name="Note 67 20" xfId="36301" xr:uid="{00000000-0005-0000-0000-0000F58D0000}"/>
    <cellStyle name="Note 67 21" xfId="36302" xr:uid="{00000000-0005-0000-0000-0000F68D0000}"/>
    <cellStyle name="Note 67 22" xfId="36303" xr:uid="{00000000-0005-0000-0000-0000F78D0000}"/>
    <cellStyle name="Note 67 23" xfId="36304" xr:uid="{00000000-0005-0000-0000-0000F88D0000}"/>
    <cellStyle name="Note 67 24" xfId="36305" xr:uid="{00000000-0005-0000-0000-0000F98D0000}"/>
    <cellStyle name="Note 67 25" xfId="36306" xr:uid="{00000000-0005-0000-0000-0000FA8D0000}"/>
    <cellStyle name="Note 67 26" xfId="36307" xr:uid="{00000000-0005-0000-0000-0000FB8D0000}"/>
    <cellStyle name="Note 67 27" xfId="36308" xr:uid="{00000000-0005-0000-0000-0000FC8D0000}"/>
    <cellStyle name="Note 67 28" xfId="36309" xr:uid="{00000000-0005-0000-0000-0000FD8D0000}"/>
    <cellStyle name="Note 67 29" xfId="36310" xr:uid="{00000000-0005-0000-0000-0000FE8D0000}"/>
    <cellStyle name="Note 67 3" xfId="36311" xr:uid="{00000000-0005-0000-0000-0000FF8D0000}"/>
    <cellStyle name="Note 67 30" xfId="36312" xr:uid="{00000000-0005-0000-0000-0000008E0000}"/>
    <cellStyle name="Note 67 31" xfId="36313" xr:uid="{00000000-0005-0000-0000-0000018E0000}"/>
    <cellStyle name="Note 67 32" xfId="36314" xr:uid="{00000000-0005-0000-0000-0000028E0000}"/>
    <cellStyle name="Note 67 33" xfId="36315" xr:uid="{00000000-0005-0000-0000-0000038E0000}"/>
    <cellStyle name="Note 67 34" xfId="36316" xr:uid="{00000000-0005-0000-0000-0000048E0000}"/>
    <cellStyle name="Note 67 35" xfId="36317" xr:uid="{00000000-0005-0000-0000-0000058E0000}"/>
    <cellStyle name="Note 67 36" xfId="36318" xr:uid="{00000000-0005-0000-0000-0000068E0000}"/>
    <cellStyle name="Note 67 4" xfId="36319" xr:uid="{00000000-0005-0000-0000-0000078E0000}"/>
    <cellStyle name="Note 67 5" xfId="36320" xr:uid="{00000000-0005-0000-0000-0000088E0000}"/>
    <cellStyle name="Note 67 6" xfId="36321" xr:uid="{00000000-0005-0000-0000-0000098E0000}"/>
    <cellStyle name="Note 67 7" xfId="36322" xr:uid="{00000000-0005-0000-0000-00000A8E0000}"/>
    <cellStyle name="Note 67 8" xfId="36323" xr:uid="{00000000-0005-0000-0000-00000B8E0000}"/>
    <cellStyle name="Note 67 9" xfId="36324" xr:uid="{00000000-0005-0000-0000-00000C8E0000}"/>
    <cellStyle name="Note 68" xfId="36325" xr:uid="{00000000-0005-0000-0000-00000D8E0000}"/>
    <cellStyle name="Note 68 10" xfId="36326" xr:uid="{00000000-0005-0000-0000-00000E8E0000}"/>
    <cellStyle name="Note 68 11" xfId="36327" xr:uid="{00000000-0005-0000-0000-00000F8E0000}"/>
    <cellStyle name="Note 68 12" xfId="36328" xr:uid="{00000000-0005-0000-0000-0000108E0000}"/>
    <cellStyle name="Note 68 13" xfId="36329" xr:uid="{00000000-0005-0000-0000-0000118E0000}"/>
    <cellStyle name="Note 68 14" xfId="36330" xr:uid="{00000000-0005-0000-0000-0000128E0000}"/>
    <cellStyle name="Note 68 15" xfId="36331" xr:uid="{00000000-0005-0000-0000-0000138E0000}"/>
    <cellStyle name="Note 68 16" xfId="36332" xr:uid="{00000000-0005-0000-0000-0000148E0000}"/>
    <cellStyle name="Note 68 17" xfId="36333" xr:uid="{00000000-0005-0000-0000-0000158E0000}"/>
    <cellStyle name="Note 68 18" xfId="36334" xr:uid="{00000000-0005-0000-0000-0000168E0000}"/>
    <cellStyle name="Note 68 19" xfId="36335" xr:uid="{00000000-0005-0000-0000-0000178E0000}"/>
    <cellStyle name="Note 68 2" xfId="36336" xr:uid="{00000000-0005-0000-0000-0000188E0000}"/>
    <cellStyle name="Note 68 20" xfId="36337" xr:uid="{00000000-0005-0000-0000-0000198E0000}"/>
    <cellStyle name="Note 68 21" xfId="36338" xr:uid="{00000000-0005-0000-0000-00001A8E0000}"/>
    <cellStyle name="Note 68 22" xfId="36339" xr:uid="{00000000-0005-0000-0000-00001B8E0000}"/>
    <cellStyle name="Note 68 23" xfId="36340" xr:uid="{00000000-0005-0000-0000-00001C8E0000}"/>
    <cellStyle name="Note 68 24" xfId="36341" xr:uid="{00000000-0005-0000-0000-00001D8E0000}"/>
    <cellStyle name="Note 68 25" xfId="36342" xr:uid="{00000000-0005-0000-0000-00001E8E0000}"/>
    <cellStyle name="Note 68 26" xfId="36343" xr:uid="{00000000-0005-0000-0000-00001F8E0000}"/>
    <cellStyle name="Note 68 27" xfId="36344" xr:uid="{00000000-0005-0000-0000-0000208E0000}"/>
    <cellStyle name="Note 68 28" xfId="36345" xr:uid="{00000000-0005-0000-0000-0000218E0000}"/>
    <cellStyle name="Note 68 29" xfId="36346" xr:uid="{00000000-0005-0000-0000-0000228E0000}"/>
    <cellStyle name="Note 68 3" xfId="36347" xr:uid="{00000000-0005-0000-0000-0000238E0000}"/>
    <cellStyle name="Note 68 30" xfId="36348" xr:uid="{00000000-0005-0000-0000-0000248E0000}"/>
    <cellStyle name="Note 68 31" xfId="36349" xr:uid="{00000000-0005-0000-0000-0000258E0000}"/>
    <cellStyle name="Note 68 32" xfId="36350" xr:uid="{00000000-0005-0000-0000-0000268E0000}"/>
    <cellStyle name="Note 68 33" xfId="36351" xr:uid="{00000000-0005-0000-0000-0000278E0000}"/>
    <cellStyle name="Note 68 34" xfId="36352" xr:uid="{00000000-0005-0000-0000-0000288E0000}"/>
    <cellStyle name="Note 68 35" xfId="36353" xr:uid="{00000000-0005-0000-0000-0000298E0000}"/>
    <cellStyle name="Note 68 36" xfId="36354" xr:uid="{00000000-0005-0000-0000-00002A8E0000}"/>
    <cellStyle name="Note 68 4" xfId="36355" xr:uid="{00000000-0005-0000-0000-00002B8E0000}"/>
    <cellStyle name="Note 68 5" xfId="36356" xr:uid="{00000000-0005-0000-0000-00002C8E0000}"/>
    <cellStyle name="Note 68 6" xfId="36357" xr:uid="{00000000-0005-0000-0000-00002D8E0000}"/>
    <cellStyle name="Note 68 7" xfId="36358" xr:uid="{00000000-0005-0000-0000-00002E8E0000}"/>
    <cellStyle name="Note 68 8" xfId="36359" xr:uid="{00000000-0005-0000-0000-00002F8E0000}"/>
    <cellStyle name="Note 68 9" xfId="36360" xr:uid="{00000000-0005-0000-0000-0000308E0000}"/>
    <cellStyle name="Note 69" xfId="36361" xr:uid="{00000000-0005-0000-0000-0000318E0000}"/>
    <cellStyle name="Note 69 2" xfId="36362" xr:uid="{00000000-0005-0000-0000-0000328E0000}"/>
    <cellStyle name="Note 7" xfId="36363" xr:uid="{00000000-0005-0000-0000-0000338E0000}"/>
    <cellStyle name="Note 7 2" xfId="36364" xr:uid="{00000000-0005-0000-0000-0000348E0000}"/>
    <cellStyle name="Note 7 2 2" xfId="36365" xr:uid="{00000000-0005-0000-0000-0000358E0000}"/>
    <cellStyle name="Note 7 3" xfId="36366" xr:uid="{00000000-0005-0000-0000-0000368E0000}"/>
    <cellStyle name="Note 70" xfId="36367" xr:uid="{00000000-0005-0000-0000-0000378E0000}"/>
    <cellStyle name="Note 70 2" xfId="36368" xr:uid="{00000000-0005-0000-0000-0000388E0000}"/>
    <cellStyle name="Note 71" xfId="36369" xr:uid="{00000000-0005-0000-0000-0000398E0000}"/>
    <cellStyle name="Note 71 2" xfId="36370" xr:uid="{00000000-0005-0000-0000-00003A8E0000}"/>
    <cellStyle name="Note 72" xfId="36371" xr:uid="{00000000-0005-0000-0000-00003B8E0000}"/>
    <cellStyle name="Note 72 2" xfId="36372" xr:uid="{00000000-0005-0000-0000-00003C8E0000}"/>
    <cellStyle name="Note 73" xfId="36373" xr:uid="{00000000-0005-0000-0000-00003D8E0000}"/>
    <cellStyle name="Note 73 10" xfId="36374" xr:uid="{00000000-0005-0000-0000-00003E8E0000}"/>
    <cellStyle name="Note 73 10 2" xfId="36375" xr:uid="{00000000-0005-0000-0000-00003F8E0000}"/>
    <cellStyle name="Note 73 10 2 2" xfId="36376" xr:uid="{00000000-0005-0000-0000-0000408E0000}"/>
    <cellStyle name="Note 73 10 3" xfId="36377" xr:uid="{00000000-0005-0000-0000-0000418E0000}"/>
    <cellStyle name="Note 73 11" xfId="36378" xr:uid="{00000000-0005-0000-0000-0000428E0000}"/>
    <cellStyle name="Note 73 11 2" xfId="36379" xr:uid="{00000000-0005-0000-0000-0000438E0000}"/>
    <cellStyle name="Note 73 11 2 2" xfId="36380" xr:uid="{00000000-0005-0000-0000-0000448E0000}"/>
    <cellStyle name="Note 73 11 3" xfId="36381" xr:uid="{00000000-0005-0000-0000-0000458E0000}"/>
    <cellStyle name="Note 73 12" xfId="36382" xr:uid="{00000000-0005-0000-0000-0000468E0000}"/>
    <cellStyle name="Note 73 12 2" xfId="36383" xr:uid="{00000000-0005-0000-0000-0000478E0000}"/>
    <cellStyle name="Note 73 12 2 2" xfId="36384" xr:uid="{00000000-0005-0000-0000-0000488E0000}"/>
    <cellStyle name="Note 73 12 3" xfId="36385" xr:uid="{00000000-0005-0000-0000-0000498E0000}"/>
    <cellStyle name="Note 73 13" xfId="36386" xr:uid="{00000000-0005-0000-0000-00004A8E0000}"/>
    <cellStyle name="Note 73 13 2" xfId="36387" xr:uid="{00000000-0005-0000-0000-00004B8E0000}"/>
    <cellStyle name="Note 73 13 2 2" xfId="36388" xr:uid="{00000000-0005-0000-0000-00004C8E0000}"/>
    <cellStyle name="Note 73 13 3" xfId="36389" xr:uid="{00000000-0005-0000-0000-00004D8E0000}"/>
    <cellStyle name="Note 73 14" xfId="36390" xr:uid="{00000000-0005-0000-0000-00004E8E0000}"/>
    <cellStyle name="Note 73 14 2" xfId="36391" xr:uid="{00000000-0005-0000-0000-00004F8E0000}"/>
    <cellStyle name="Note 73 14 2 2" xfId="36392" xr:uid="{00000000-0005-0000-0000-0000508E0000}"/>
    <cellStyle name="Note 73 14 3" xfId="36393" xr:uid="{00000000-0005-0000-0000-0000518E0000}"/>
    <cellStyle name="Note 73 15" xfId="36394" xr:uid="{00000000-0005-0000-0000-0000528E0000}"/>
    <cellStyle name="Note 73 15 2" xfId="36395" xr:uid="{00000000-0005-0000-0000-0000538E0000}"/>
    <cellStyle name="Note 73 15 2 2" xfId="36396" xr:uid="{00000000-0005-0000-0000-0000548E0000}"/>
    <cellStyle name="Note 73 15 3" xfId="36397" xr:uid="{00000000-0005-0000-0000-0000558E0000}"/>
    <cellStyle name="Note 73 16" xfId="36398" xr:uid="{00000000-0005-0000-0000-0000568E0000}"/>
    <cellStyle name="Note 73 16 2" xfId="36399" xr:uid="{00000000-0005-0000-0000-0000578E0000}"/>
    <cellStyle name="Note 73 16 2 2" xfId="36400" xr:uid="{00000000-0005-0000-0000-0000588E0000}"/>
    <cellStyle name="Note 73 16 3" xfId="36401" xr:uid="{00000000-0005-0000-0000-0000598E0000}"/>
    <cellStyle name="Note 73 17" xfId="36402" xr:uid="{00000000-0005-0000-0000-00005A8E0000}"/>
    <cellStyle name="Note 73 17 2" xfId="36403" xr:uid="{00000000-0005-0000-0000-00005B8E0000}"/>
    <cellStyle name="Note 73 17 2 2" xfId="36404" xr:uid="{00000000-0005-0000-0000-00005C8E0000}"/>
    <cellStyle name="Note 73 17 3" xfId="36405" xr:uid="{00000000-0005-0000-0000-00005D8E0000}"/>
    <cellStyle name="Note 73 18" xfId="36406" xr:uid="{00000000-0005-0000-0000-00005E8E0000}"/>
    <cellStyle name="Note 73 18 2" xfId="36407" xr:uid="{00000000-0005-0000-0000-00005F8E0000}"/>
    <cellStyle name="Note 73 18 2 2" xfId="36408" xr:uid="{00000000-0005-0000-0000-0000608E0000}"/>
    <cellStyle name="Note 73 18 3" xfId="36409" xr:uid="{00000000-0005-0000-0000-0000618E0000}"/>
    <cellStyle name="Note 73 19" xfId="36410" xr:uid="{00000000-0005-0000-0000-0000628E0000}"/>
    <cellStyle name="Note 73 19 2" xfId="36411" xr:uid="{00000000-0005-0000-0000-0000638E0000}"/>
    <cellStyle name="Note 73 19 2 2" xfId="36412" xr:uid="{00000000-0005-0000-0000-0000648E0000}"/>
    <cellStyle name="Note 73 19 3" xfId="36413" xr:uid="{00000000-0005-0000-0000-0000658E0000}"/>
    <cellStyle name="Note 73 2" xfId="36414" xr:uid="{00000000-0005-0000-0000-0000668E0000}"/>
    <cellStyle name="Note 73 2 2" xfId="36415" xr:uid="{00000000-0005-0000-0000-0000678E0000}"/>
    <cellStyle name="Note 73 2 2 2" xfId="36416" xr:uid="{00000000-0005-0000-0000-0000688E0000}"/>
    <cellStyle name="Note 73 2 3" xfId="36417" xr:uid="{00000000-0005-0000-0000-0000698E0000}"/>
    <cellStyle name="Note 73 20" xfId="36418" xr:uid="{00000000-0005-0000-0000-00006A8E0000}"/>
    <cellStyle name="Note 73 20 2" xfId="36419" xr:uid="{00000000-0005-0000-0000-00006B8E0000}"/>
    <cellStyle name="Note 73 20 2 2" xfId="36420" xr:uid="{00000000-0005-0000-0000-00006C8E0000}"/>
    <cellStyle name="Note 73 20 3" xfId="36421" xr:uid="{00000000-0005-0000-0000-00006D8E0000}"/>
    <cellStyle name="Note 73 21" xfId="36422" xr:uid="{00000000-0005-0000-0000-00006E8E0000}"/>
    <cellStyle name="Note 73 21 2" xfId="36423" xr:uid="{00000000-0005-0000-0000-00006F8E0000}"/>
    <cellStyle name="Note 73 21 2 2" xfId="36424" xr:uid="{00000000-0005-0000-0000-0000708E0000}"/>
    <cellStyle name="Note 73 21 3" xfId="36425" xr:uid="{00000000-0005-0000-0000-0000718E0000}"/>
    <cellStyle name="Note 73 22" xfId="36426" xr:uid="{00000000-0005-0000-0000-0000728E0000}"/>
    <cellStyle name="Note 73 22 2" xfId="36427" xr:uid="{00000000-0005-0000-0000-0000738E0000}"/>
    <cellStyle name="Note 73 22 2 2" xfId="36428" xr:uid="{00000000-0005-0000-0000-0000748E0000}"/>
    <cellStyle name="Note 73 22 3" xfId="36429" xr:uid="{00000000-0005-0000-0000-0000758E0000}"/>
    <cellStyle name="Note 73 23" xfId="36430" xr:uid="{00000000-0005-0000-0000-0000768E0000}"/>
    <cellStyle name="Note 73 23 2" xfId="36431" xr:uid="{00000000-0005-0000-0000-0000778E0000}"/>
    <cellStyle name="Note 73 23 2 2" xfId="36432" xr:uid="{00000000-0005-0000-0000-0000788E0000}"/>
    <cellStyle name="Note 73 23 3" xfId="36433" xr:uid="{00000000-0005-0000-0000-0000798E0000}"/>
    <cellStyle name="Note 73 24" xfId="36434" xr:uid="{00000000-0005-0000-0000-00007A8E0000}"/>
    <cellStyle name="Note 73 24 2" xfId="36435" xr:uid="{00000000-0005-0000-0000-00007B8E0000}"/>
    <cellStyle name="Note 73 24 2 2" xfId="36436" xr:uid="{00000000-0005-0000-0000-00007C8E0000}"/>
    <cellStyle name="Note 73 24 3" xfId="36437" xr:uid="{00000000-0005-0000-0000-00007D8E0000}"/>
    <cellStyle name="Note 73 25" xfId="36438" xr:uid="{00000000-0005-0000-0000-00007E8E0000}"/>
    <cellStyle name="Note 73 25 2" xfId="36439" xr:uid="{00000000-0005-0000-0000-00007F8E0000}"/>
    <cellStyle name="Note 73 25 2 2" xfId="36440" xr:uid="{00000000-0005-0000-0000-0000808E0000}"/>
    <cellStyle name="Note 73 25 3" xfId="36441" xr:uid="{00000000-0005-0000-0000-0000818E0000}"/>
    <cellStyle name="Note 73 26" xfId="36442" xr:uid="{00000000-0005-0000-0000-0000828E0000}"/>
    <cellStyle name="Note 73 26 2" xfId="36443" xr:uid="{00000000-0005-0000-0000-0000838E0000}"/>
    <cellStyle name="Note 73 26 2 2" xfId="36444" xr:uid="{00000000-0005-0000-0000-0000848E0000}"/>
    <cellStyle name="Note 73 26 3" xfId="36445" xr:uid="{00000000-0005-0000-0000-0000858E0000}"/>
    <cellStyle name="Note 73 27" xfId="36446" xr:uid="{00000000-0005-0000-0000-0000868E0000}"/>
    <cellStyle name="Note 73 27 2" xfId="36447" xr:uid="{00000000-0005-0000-0000-0000878E0000}"/>
    <cellStyle name="Note 73 27 2 2" xfId="36448" xr:uid="{00000000-0005-0000-0000-0000888E0000}"/>
    <cellStyle name="Note 73 27 3" xfId="36449" xr:uid="{00000000-0005-0000-0000-0000898E0000}"/>
    <cellStyle name="Note 73 28" xfId="36450" xr:uid="{00000000-0005-0000-0000-00008A8E0000}"/>
    <cellStyle name="Note 73 28 2" xfId="36451" xr:uid="{00000000-0005-0000-0000-00008B8E0000}"/>
    <cellStyle name="Note 73 28 2 2" xfId="36452" xr:uid="{00000000-0005-0000-0000-00008C8E0000}"/>
    <cellStyle name="Note 73 28 3" xfId="36453" xr:uid="{00000000-0005-0000-0000-00008D8E0000}"/>
    <cellStyle name="Note 73 29" xfId="36454" xr:uid="{00000000-0005-0000-0000-00008E8E0000}"/>
    <cellStyle name="Note 73 29 2" xfId="36455" xr:uid="{00000000-0005-0000-0000-00008F8E0000}"/>
    <cellStyle name="Note 73 29 2 2" xfId="36456" xr:uid="{00000000-0005-0000-0000-0000908E0000}"/>
    <cellStyle name="Note 73 29 3" xfId="36457" xr:uid="{00000000-0005-0000-0000-0000918E0000}"/>
    <cellStyle name="Note 73 3" xfId="36458" xr:uid="{00000000-0005-0000-0000-0000928E0000}"/>
    <cellStyle name="Note 73 3 2" xfId="36459" xr:uid="{00000000-0005-0000-0000-0000938E0000}"/>
    <cellStyle name="Note 73 3 2 2" xfId="36460" xr:uid="{00000000-0005-0000-0000-0000948E0000}"/>
    <cellStyle name="Note 73 3 3" xfId="36461" xr:uid="{00000000-0005-0000-0000-0000958E0000}"/>
    <cellStyle name="Note 73 30" xfId="36462" xr:uid="{00000000-0005-0000-0000-0000968E0000}"/>
    <cellStyle name="Note 73 30 2" xfId="36463" xr:uid="{00000000-0005-0000-0000-0000978E0000}"/>
    <cellStyle name="Note 73 30 2 2" xfId="36464" xr:uid="{00000000-0005-0000-0000-0000988E0000}"/>
    <cellStyle name="Note 73 30 3" xfId="36465" xr:uid="{00000000-0005-0000-0000-0000998E0000}"/>
    <cellStyle name="Note 73 31" xfId="36466" xr:uid="{00000000-0005-0000-0000-00009A8E0000}"/>
    <cellStyle name="Note 73 31 2" xfId="36467" xr:uid="{00000000-0005-0000-0000-00009B8E0000}"/>
    <cellStyle name="Note 73 31 2 2" xfId="36468" xr:uid="{00000000-0005-0000-0000-00009C8E0000}"/>
    <cellStyle name="Note 73 31 3" xfId="36469" xr:uid="{00000000-0005-0000-0000-00009D8E0000}"/>
    <cellStyle name="Note 73 32" xfId="36470" xr:uid="{00000000-0005-0000-0000-00009E8E0000}"/>
    <cellStyle name="Note 73 32 2" xfId="36471" xr:uid="{00000000-0005-0000-0000-00009F8E0000}"/>
    <cellStyle name="Note 73 32 2 2" xfId="36472" xr:uid="{00000000-0005-0000-0000-0000A08E0000}"/>
    <cellStyle name="Note 73 32 3" xfId="36473" xr:uid="{00000000-0005-0000-0000-0000A18E0000}"/>
    <cellStyle name="Note 73 33" xfId="36474" xr:uid="{00000000-0005-0000-0000-0000A28E0000}"/>
    <cellStyle name="Note 73 33 2" xfId="36475" xr:uid="{00000000-0005-0000-0000-0000A38E0000}"/>
    <cellStyle name="Note 73 33 2 2" xfId="36476" xr:uid="{00000000-0005-0000-0000-0000A48E0000}"/>
    <cellStyle name="Note 73 33 3" xfId="36477" xr:uid="{00000000-0005-0000-0000-0000A58E0000}"/>
    <cellStyle name="Note 73 34" xfId="36478" xr:uid="{00000000-0005-0000-0000-0000A68E0000}"/>
    <cellStyle name="Note 73 34 2" xfId="36479" xr:uid="{00000000-0005-0000-0000-0000A78E0000}"/>
    <cellStyle name="Note 73 34 2 2" xfId="36480" xr:uid="{00000000-0005-0000-0000-0000A88E0000}"/>
    <cellStyle name="Note 73 34 3" xfId="36481" xr:uid="{00000000-0005-0000-0000-0000A98E0000}"/>
    <cellStyle name="Note 73 35" xfId="36482" xr:uid="{00000000-0005-0000-0000-0000AA8E0000}"/>
    <cellStyle name="Note 73 35 2" xfId="36483" xr:uid="{00000000-0005-0000-0000-0000AB8E0000}"/>
    <cellStyle name="Note 73 35 2 2" xfId="36484" xr:uid="{00000000-0005-0000-0000-0000AC8E0000}"/>
    <cellStyle name="Note 73 35 3" xfId="36485" xr:uid="{00000000-0005-0000-0000-0000AD8E0000}"/>
    <cellStyle name="Note 73 36" xfId="36486" xr:uid="{00000000-0005-0000-0000-0000AE8E0000}"/>
    <cellStyle name="Note 73 36 2" xfId="36487" xr:uid="{00000000-0005-0000-0000-0000AF8E0000}"/>
    <cellStyle name="Note 73 36 2 2" xfId="36488" xr:uid="{00000000-0005-0000-0000-0000B08E0000}"/>
    <cellStyle name="Note 73 36 3" xfId="36489" xr:uid="{00000000-0005-0000-0000-0000B18E0000}"/>
    <cellStyle name="Note 73 4" xfId="36490" xr:uid="{00000000-0005-0000-0000-0000B28E0000}"/>
    <cellStyle name="Note 73 4 2" xfId="36491" xr:uid="{00000000-0005-0000-0000-0000B38E0000}"/>
    <cellStyle name="Note 73 4 2 2" xfId="36492" xr:uid="{00000000-0005-0000-0000-0000B48E0000}"/>
    <cellStyle name="Note 73 4 3" xfId="36493" xr:uid="{00000000-0005-0000-0000-0000B58E0000}"/>
    <cellStyle name="Note 73 5" xfId="36494" xr:uid="{00000000-0005-0000-0000-0000B68E0000}"/>
    <cellStyle name="Note 73 5 2" xfId="36495" xr:uid="{00000000-0005-0000-0000-0000B78E0000}"/>
    <cellStyle name="Note 73 5 2 2" xfId="36496" xr:uid="{00000000-0005-0000-0000-0000B88E0000}"/>
    <cellStyle name="Note 73 5 3" xfId="36497" xr:uid="{00000000-0005-0000-0000-0000B98E0000}"/>
    <cellStyle name="Note 73 6" xfId="36498" xr:uid="{00000000-0005-0000-0000-0000BA8E0000}"/>
    <cellStyle name="Note 73 6 2" xfId="36499" xr:uid="{00000000-0005-0000-0000-0000BB8E0000}"/>
    <cellStyle name="Note 73 6 2 2" xfId="36500" xr:uid="{00000000-0005-0000-0000-0000BC8E0000}"/>
    <cellStyle name="Note 73 6 3" xfId="36501" xr:uid="{00000000-0005-0000-0000-0000BD8E0000}"/>
    <cellStyle name="Note 73 7" xfId="36502" xr:uid="{00000000-0005-0000-0000-0000BE8E0000}"/>
    <cellStyle name="Note 73 7 2" xfId="36503" xr:uid="{00000000-0005-0000-0000-0000BF8E0000}"/>
    <cellStyle name="Note 73 7 2 2" xfId="36504" xr:uid="{00000000-0005-0000-0000-0000C08E0000}"/>
    <cellStyle name="Note 73 7 3" xfId="36505" xr:uid="{00000000-0005-0000-0000-0000C18E0000}"/>
    <cellStyle name="Note 73 8" xfId="36506" xr:uid="{00000000-0005-0000-0000-0000C28E0000}"/>
    <cellStyle name="Note 73 8 2" xfId="36507" xr:uid="{00000000-0005-0000-0000-0000C38E0000}"/>
    <cellStyle name="Note 73 8 2 2" xfId="36508" xr:uid="{00000000-0005-0000-0000-0000C48E0000}"/>
    <cellStyle name="Note 73 8 3" xfId="36509" xr:uid="{00000000-0005-0000-0000-0000C58E0000}"/>
    <cellStyle name="Note 73 9" xfId="36510" xr:uid="{00000000-0005-0000-0000-0000C68E0000}"/>
    <cellStyle name="Note 73 9 2" xfId="36511" xr:uid="{00000000-0005-0000-0000-0000C78E0000}"/>
    <cellStyle name="Note 73 9 2 2" xfId="36512" xr:uid="{00000000-0005-0000-0000-0000C88E0000}"/>
    <cellStyle name="Note 73 9 3" xfId="36513" xr:uid="{00000000-0005-0000-0000-0000C98E0000}"/>
    <cellStyle name="Note 74" xfId="36514" xr:uid="{00000000-0005-0000-0000-0000CA8E0000}"/>
    <cellStyle name="Note 74 10" xfId="36515" xr:uid="{00000000-0005-0000-0000-0000CB8E0000}"/>
    <cellStyle name="Note 74 10 2" xfId="36516" xr:uid="{00000000-0005-0000-0000-0000CC8E0000}"/>
    <cellStyle name="Note 74 10 2 2" xfId="36517" xr:uid="{00000000-0005-0000-0000-0000CD8E0000}"/>
    <cellStyle name="Note 74 10 3" xfId="36518" xr:uid="{00000000-0005-0000-0000-0000CE8E0000}"/>
    <cellStyle name="Note 74 11" xfId="36519" xr:uid="{00000000-0005-0000-0000-0000CF8E0000}"/>
    <cellStyle name="Note 74 11 2" xfId="36520" xr:uid="{00000000-0005-0000-0000-0000D08E0000}"/>
    <cellStyle name="Note 74 11 2 2" xfId="36521" xr:uid="{00000000-0005-0000-0000-0000D18E0000}"/>
    <cellStyle name="Note 74 11 3" xfId="36522" xr:uid="{00000000-0005-0000-0000-0000D28E0000}"/>
    <cellStyle name="Note 74 12" xfId="36523" xr:uid="{00000000-0005-0000-0000-0000D38E0000}"/>
    <cellStyle name="Note 74 12 2" xfId="36524" xr:uid="{00000000-0005-0000-0000-0000D48E0000}"/>
    <cellStyle name="Note 74 12 2 2" xfId="36525" xr:uid="{00000000-0005-0000-0000-0000D58E0000}"/>
    <cellStyle name="Note 74 12 3" xfId="36526" xr:uid="{00000000-0005-0000-0000-0000D68E0000}"/>
    <cellStyle name="Note 74 13" xfId="36527" xr:uid="{00000000-0005-0000-0000-0000D78E0000}"/>
    <cellStyle name="Note 74 13 2" xfId="36528" xr:uid="{00000000-0005-0000-0000-0000D88E0000}"/>
    <cellStyle name="Note 74 13 2 2" xfId="36529" xr:uid="{00000000-0005-0000-0000-0000D98E0000}"/>
    <cellStyle name="Note 74 13 3" xfId="36530" xr:uid="{00000000-0005-0000-0000-0000DA8E0000}"/>
    <cellStyle name="Note 74 14" xfId="36531" xr:uid="{00000000-0005-0000-0000-0000DB8E0000}"/>
    <cellStyle name="Note 74 14 2" xfId="36532" xr:uid="{00000000-0005-0000-0000-0000DC8E0000}"/>
    <cellStyle name="Note 74 14 2 2" xfId="36533" xr:uid="{00000000-0005-0000-0000-0000DD8E0000}"/>
    <cellStyle name="Note 74 14 3" xfId="36534" xr:uid="{00000000-0005-0000-0000-0000DE8E0000}"/>
    <cellStyle name="Note 74 15" xfId="36535" xr:uid="{00000000-0005-0000-0000-0000DF8E0000}"/>
    <cellStyle name="Note 74 15 2" xfId="36536" xr:uid="{00000000-0005-0000-0000-0000E08E0000}"/>
    <cellStyle name="Note 74 15 2 2" xfId="36537" xr:uid="{00000000-0005-0000-0000-0000E18E0000}"/>
    <cellStyle name="Note 74 15 3" xfId="36538" xr:uid="{00000000-0005-0000-0000-0000E28E0000}"/>
    <cellStyle name="Note 74 16" xfId="36539" xr:uid="{00000000-0005-0000-0000-0000E38E0000}"/>
    <cellStyle name="Note 74 16 2" xfId="36540" xr:uid="{00000000-0005-0000-0000-0000E48E0000}"/>
    <cellStyle name="Note 74 16 2 2" xfId="36541" xr:uid="{00000000-0005-0000-0000-0000E58E0000}"/>
    <cellStyle name="Note 74 16 3" xfId="36542" xr:uid="{00000000-0005-0000-0000-0000E68E0000}"/>
    <cellStyle name="Note 74 17" xfId="36543" xr:uid="{00000000-0005-0000-0000-0000E78E0000}"/>
    <cellStyle name="Note 74 17 2" xfId="36544" xr:uid="{00000000-0005-0000-0000-0000E88E0000}"/>
    <cellStyle name="Note 74 17 2 2" xfId="36545" xr:uid="{00000000-0005-0000-0000-0000E98E0000}"/>
    <cellStyle name="Note 74 17 3" xfId="36546" xr:uid="{00000000-0005-0000-0000-0000EA8E0000}"/>
    <cellStyle name="Note 74 18" xfId="36547" xr:uid="{00000000-0005-0000-0000-0000EB8E0000}"/>
    <cellStyle name="Note 74 18 2" xfId="36548" xr:uid="{00000000-0005-0000-0000-0000EC8E0000}"/>
    <cellStyle name="Note 74 18 2 2" xfId="36549" xr:uid="{00000000-0005-0000-0000-0000ED8E0000}"/>
    <cellStyle name="Note 74 18 3" xfId="36550" xr:uid="{00000000-0005-0000-0000-0000EE8E0000}"/>
    <cellStyle name="Note 74 19" xfId="36551" xr:uid="{00000000-0005-0000-0000-0000EF8E0000}"/>
    <cellStyle name="Note 74 19 2" xfId="36552" xr:uid="{00000000-0005-0000-0000-0000F08E0000}"/>
    <cellStyle name="Note 74 19 2 2" xfId="36553" xr:uid="{00000000-0005-0000-0000-0000F18E0000}"/>
    <cellStyle name="Note 74 19 3" xfId="36554" xr:uid="{00000000-0005-0000-0000-0000F28E0000}"/>
    <cellStyle name="Note 74 2" xfId="36555" xr:uid="{00000000-0005-0000-0000-0000F38E0000}"/>
    <cellStyle name="Note 74 2 2" xfId="36556" xr:uid="{00000000-0005-0000-0000-0000F48E0000}"/>
    <cellStyle name="Note 74 2 2 2" xfId="36557" xr:uid="{00000000-0005-0000-0000-0000F58E0000}"/>
    <cellStyle name="Note 74 2 3" xfId="36558" xr:uid="{00000000-0005-0000-0000-0000F68E0000}"/>
    <cellStyle name="Note 74 20" xfId="36559" xr:uid="{00000000-0005-0000-0000-0000F78E0000}"/>
    <cellStyle name="Note 74 20 2" xfId="36560" xr:uid="{00000000-0005-0000-0000-0000F88E0000}"/>
    <cellStyle name="Note 74 20 2 2" xfId="36561" xr:uid="{00000000-0005-0000-0000-0000F98E0000}"/>
    <cellStyle name="Note 74 20 3" xfId="36562" xr:uid="{00000000-0005-0000-0000-0000FA8E0000}"/>
    <cellStyle name="Note 74 21" xfId="36563" xr:uid="{00000000-0005-0000-0000-0000FB8E0000}"/>
    <cellStyle name="Note 74 21 2" xfId="36564" xr:uid="{00000000-0005-0000-0000-0000FC8E0000}"/>
    <cellStyle name="Note 74 21 2 2" xfId="36565" xr:uid="{00000000-0005-0000-0000-0000FD8E0000}"/>
    <cellStyle name="Note 74 21 3" xfId="36566" xr:uid="{00000000-0005-0000-0000-0000FE8E0000}"/>
    <cellStyle name="Note 74 22" xfId="36567" xr:uid="{00000000-0005-0000-0000-0000FF8E0000}"/>
    <cellStyle name="Note 74 22 2" xfId="36568" xr:uid="{00000000-0005-0000-0000-0000008F0000}"/>
    <cellStyle name="Note 74 22 2 2" xfId="36569" xr:uid="{00000000-0005-0000-0000-0000018F0000}"/>
    <cellStyle name="Note 74 22 3" xfId="36570" xr:uid="{00000000-0005-0000-0000-0000028F0000}"/>
    <cellStyle name="Note 74 23" xfId="36571" xr:uid="{00000000-0005-0000-0000-0000038F0000}"/>
    <cellStyle name="Note 74 23 2" xfId="36572" xr:uid="{00000000-0005-0000-0000-0000048F0000}"/>
    <cellStyle name="Note 74 23 2 2" xfId="36573" xr:uid="{00000000-0005-0000-0000-0000058F0000}"/>
    <cellStyle name="Note 74 23 3" xfId="36574" xr:uid="{00000000-0005-0000-0000-0000068F0000}"/>
    <cellStyle name="Note 74 24" xfId="36575" xr:uid="{00000000-0005-0000-0000-0000078F0000}"/>
    <cellStyle name="Note 74 24 2" xfId="36576" xr:uid="{00000000-0005-0000-0000-0000088F0000}"/>
    <cellStyle name="Note 74 24 2 2" xfId="36577" xr:uid="{00000000-0005-0000-0000-0000098F0000}"/>
    <cellStyle name="Note 74 24 3" xfId="36578" xr:uid="{00000000-0005-0000-0000-00000A8F0000}"/>
    <cellStyle name="Note 74 25" xfId="36579" xr:uid="{00000000-0005-0000-0000-00000B8F0000}"/>
    <cellStyle name="Note 74 25 2" xfId="36580" xr:uid="{00000000-0005-0000-0000-00000C8F0000}"/>
    <cellStyle name="Note 74 25 2 2" xfId="36581" xr:uid="{00000000-0005-0000-0000-00000D8F0000}"/>
    <cellStyle name="Note 74 25 3" xfId="36582" xr:uid="{00000000-0005-0000-0000-00000E8F0000}"/>
    <cellStyle name="Note 74 26" xfId="36583" xr:uid="{00000000-0005-0000-0000-00000F8F0000}"/>
    <cellStyle name="Note 74 26 2" xfId="36584" xr:uid="{00000000-0005-0000-0000-0000108F0000}"/>
    <cellStyle name="Note 74 26 2 2" xfId="36585" xr:uid="{00000000-0005-0000-0000-0000118F0000}"/>
    <cellStyle name="Note 74 26 3" xfId="36586" xr:uid="{00000000-0005-0000-0000-0000128F0000}"/>
    <cellStyle name="Note 74 27" xfId="36587" xr:uid="{00000000-0005-0000-0000-0000138F0000}"/>
    <cellStyle name="Note 74 27 2" xfId="36588" xr:uid="{00000000-0005-0000-0000-0000148F0000}"/>
    <cellStyle name="Note 74 27 2 2" xfId="36589" xr:uid="{00000000-0005-0000-0000-0000158F0000}"/>
    <cellStyle name="Note 74 27 3" xfId="36590" xr:uid="{00000000-0005-0000-0000-0000168F0000}"/>
    <cellStyle name="Note 74 28" xfId="36591" xr:uid="{00000000-0005-0000-0000-0000178F0000}"/>
    <cellStyle name="Note 74 28 2" xfId="36592" xr:uid="{00000000-0005-0000-0000-0000188F0000}"/>
    <cellStyle name="Note 74 28 2 2" xfId="36593" xr:uid="{00000000-0005-0000-0000-0000198F0000}"/>
    <cellStyle name="Note 74 28 3" xfId="36594" xr:uid="{00000000-0005-0000-0000-00001A8F0000}"/>
    <cellStyle name="Note 74 29" xfId="36595" xr:uid="{00000000-0005-0000-0000-00001B8F0000}"/>
    <cellStyle name="Note 74 29 2" xfId="36596" xr:uid="{00000000-0005-0000-0000-00001C8F0000}"/>
    <cellStyle name="Note 74 29 2 2" xfId="36597" xr:uid="{00000000-0005-0000-0000-00001D8F0000}"/>
    <cellStyle name="Note 74 29 3" xfId="36598" xr:uid="{00000000-0005-0000-0000-00001E8F0000}"/>
    <cellStyle name="Note 74 3" xfId="36599" xr:uid="{00000000-0005-0000-0000-00001F8F0000}"/>
    <cellStyle name="Note 74 3 2" xfId="36600" xr:uid="{00000000-0005-0000-0000-0000208F0000}"/>
    <cellStyle name="Note 74 3 2 2" xfId="36601" xr:uid="{00000000-0005-0000-0000-0000218F0000}"/>
    <cellStyle name="Note 74 3 3" xfId="36602" xr:uid="{00000000-0005-0000-0000-0000228F0000}"/>
    <cellStyle name="Note 74 30" xfId="36603" xr:uid="{00000000-0005-0000-0000-0000238F0000}"/>
    <cellStyle name="Note 74 30 2" xfId="36604" xr:uid="{00000000-0005-0000-0000-0000248F0000}"/>
    <cellStyle name="Note 74 30 2 2" xfId="36605" xr:uid="{00000000-0005-0000-0000-0000258F0000}"/>
    <cellStyle name="Note 74 30 3" xfId="36606" xr:uid="{00000000-0005-0000-0000-0000268F0000}"/>
    <cellStyle name="Note 74 31" xfId="36607" xr:uid="{00000000-0005-0000-0000-0000278F0000}"/>
    <cellStyle name="Note 74 31 2" xfId="36608" xr:uid="{00000000-0005-0000-0000-0000288F0000}"/>
    <cellStyle name="Note 74 31 2 2" xfId="36609" xr:uid="{00000000-0005-0000-0000-0000298F0000}"/>
    <cellStyle name="Note 74 31 3" xfId="36610" xr:uid="{00000000-0005-0000-0000-00002A8F0000}"/>
    <cellStyle name="Note 74 32" xfId="36611" xr:uid="{00000000-0005-0000-0000-00002B8F0000}"/>
    <cellStyle name="Note 74 32 2" xfId="36612" xr:uid="{00000000-0005-0000-0000-00002C8F0000}"/>
    <cellStyle name="Note 74 32 2 2" xfId="36613" xr:uid="{00000000-0005-0000-0000-00002D8F0000}"/>
    <cellStyle name="Note 74 32 3" xfId="36614" xr:uid="{00000000-0005-0000-0000-00002E8F0000}"/>
    <cellStyle name="Note 74 33" xfId="36615" xr:uid="{00000000-0005-0000-0000-00002F8F0000}"/>
    <cellStyle name="Note 74 33 2" xfId="36616" xr:uid="{00000000-0005-0000-0000-0000308F0000}"/>
    <cellStyle name="Note 74 33 2 2" xfId="36617" xr:uid="{00000000-0005-0000-0000-0000318F0000}"/>
    <cellStyle name="Note 74 33 3" xfId="36618" xr:uid="{00000000-0005-0000-0000-0000328F0000}"/>
    <cellStyle name="Note 74 34" xfId="36619" xr:uid="{00000000-0005-0000-0000-0000338F0000}"/>
    <cellStyle name="Note 74 34 2" xfId="36620" xr:uid="{00000000-0005-0000-0000-0000348F0000}"/>
    <cellStyle name="Note 74 34 2 2" xfId="36621" xr:uid="{00000000-0005-0000-0000-0000358F0000}"/>
    <cellStyle name="Note 74 34 3" xfId="36622" xr:uid="{00000000-0005-0000-0000-0000368F0000}"/>
    <cellStyle name="Note 74 35" xfId="36623" xr:uid="{00000000-0005-0000-0000-0000378F0000}"/>
    <cellStyle name="Note 74 35 2" xfId="36624" xr:uid="{00000000-0005-0000-0000-0000388F0000}"/>
    <cellStyle name="Note 74 35 2 2" xfId="36625" xr:uid="{00000000-0005-0000-0000-0000398F0000}"/>
    <cellStyle name="Note 74 35 3" xfId="36626" xr:uid="{00000000-0005-0000-0000-00003A8F0000}"/>
    <cellStyle name="Note 74 36" xfId="36627" xr:uid="{00000000-0005-0000-0000-00003B8F0000}"/>
    <cellStyle name="Note 74 36 2" xfId="36628" xr:uid="{00000000-0005-0000-0000-00003C8F0000}"/>
    <cellStyle name="Note 74 36 2 2" xfId="36629" xr:uid="{00000000-0005-0000-0000-00003D8F0000}"/>
    <cellStyle name="Note 74 36 3" xfId="36630" xr:uid="{00000000-0005-0000-0000-00003E8F0000}"/>
    <cellStyle name="Note 74 4" xfId="36631" xr:uid="{00000000-0005-0000-0000-00003F8F0000}"/>
    <cellStyle name="Note 74 4 2" xfId="36632" xr:uid="{00000000-0005-0000-0000-0000408F0000}"/>
    <cellStyle name="Note 74 4 2 2" xfId="36633" xr:uid="{00000000-0005-0000-0000-0000418F0000}"/>
    <cellStyle name="Note 74 4 3" xfId="36634" xr:uid="{00000000-0005-0000-0000-0000428F0000}"/>
    <cellStyle name="Note 74 5" xfId="36635" xr:uid="{00000000-0005-0000-0000-0000438F0000}"/>
    <cellStyle name="Note 74 5 2" xfId="36636" xr:uid="{00000000-0005-0000-0000-0000448F0000}"/>
    <cellStyle name="Note 74 5 2 2" xfId="36637" xr:uid="{00000000-0005-0000-0000-0000458F0000}"/>
    <cellStyle name="Note 74 5 3" xfId="36638" xr:uid="{00000000-0005-0000-0000-0000468F0000}"/>
    <cellStyle name="Note 74 6" xfId="36639" xr:uid="{00000000-0005-0000-0000-0000478F0000}"/>
    <cellStyle name="Note 74 6 2" xfId="36640" xr:uid="{00000000-0005-0000-0000-0000488F0000}"/>
    <cellStyle name="Note 74 6 2 2" xfId="36641" xr:uid="{00000000-0005-0000-0000-0000498F0000}"/>
    <cellStyle name="Note 74 6 3" xfId="36642" xr:uid="{00000000-0005-0000-0000-00004A8F0000}"/>
    <cellStyle name="Note 74 7" xfId="36643" xr:uid="{00000000-0005-0000-0000-00004B8F0000}"/>
    <cellStyle name="Note 74 7 2" xfId="36644" xr:uid="{00000000-0005-0000-0000-00004C8F0000}"/>
    <cellStyle name="Note 74 7 2 2" xfId="36645" xr:uid="{00000000-0005-0000-0000-00004D8F0000}"/>
    <cellStyle name="Note 74 7 3" xfId="36646" xr:uid="{00000000-0005-0000-0000-00004E8F0000}"/>
    <cellStyle name="Note 74 8" xfId="36647" xr:uid="{00000000-0005-0000-0000-00004F8F0000}"/>
    <cellStyle name="Note 74 8 2" xfId="36648" xr:uid="{00000000-0005-0000-0000-0000508F0000}"/>
    <cellStyle name="Note 74 8 2 2" xfId="36649" xr:uid="{00000000-0005-0000-0000-0000518F0000}"/>
    <cellStyle name="Note 74 8 3" xfId="36650" xr:uid="{00000000-0005-0000-0000-0000528F0000}"/>
    <cellStyle name="Note 74 9" xfId="36651" xr:uid="{00000000-0005-0000-0000-0000538F0000}"/>
    <cellStyle name="Note 74 9 2" xfId="36652" xr:uid="{00000000-0005-0000-0000-0000548F0000}"/>
    <cellStyle name="Note 74 9 2 2" xfId="36653" xr:uid="{00000000-0005-0000-0000-0000558F0000}"/>
    <cellStyle name="Note 74 9 3" xfId="36654" xr:uid="{00000000-0005-0000-0000-0000568F0000}"/>
    <cellStyle name="Note 75" xfId="36655" xr:uid="{00000000-0005-0000-0000-0000578F0000}"/>
    <cellStyle name="Note 75 10" xfId="36656" xr:uid="{00000000-0005-0000-0000-0000588F0000}"/>
    <cellStyle name="Note 75 10 2" xfId="36657" xr:uid="{00000000-0005-0000-0000-0000598F0000}"/>
    <cellStyle name="Note 75 10 2 2" xfId="36658" xr:uid="{00000000-0005-0000-0000-00005A8F0000}"/>
    <cellStyle name="Note 75 10 3" xfId="36659" xr:uid="{00000000-0005-0000-0000-00005B8F0000}"/>
    <cellStyle name="Note 75 11" xfId="36660" xr:uid="{00000000-0005-0000-0000-00005C8F0000}"/>
    <cellStyle name="Note 75 11 2" xfId="36661" xr:uid="{00000000-0005-0000-0000-00005D8F0000}"/>
    <cellStyle name="Note 75 11 2 2" xfId="36662" xr:uid="{00000000-0005-0000-0000-00005E8F0000}"/>
    <cellStyle name="Note 75 11 3" xfId="36663" xr:uid="{00000000-0005-0000-0000-00005F8F0000}"/>
    <cellStyle name="Note 75 12" xfId="36664" xr:uid="{00000000-0005-0000-0000-0000608F0000}"/>
    <cellStyle name="Note 75 12 2" xfId="36665" xr:uid="{00000000-0005-0000-0000-0000618F0000}"/>
    <cellStyle name="Note 75 12 2 2" xfId="36666" xr:uid="{00000000-0005-0000-0000-0000628F0000}"/>
    <cellStyle name="Note 75 12 3" xfId="36667" xr:uid="{00000000-0005-0000-0000-0000638F0000}"/>
    <cellStyle name="Note 75 13" xfId="36668" xr:uid="{00000000-0005-0000-0000-0000648F0000}"/>
    <cellStyle name="Note 75 13 2" xfId="36669" xr:uid="{00000000-0005-0000-0000-0000658F0000}"/>
    <cellStyle name="Note 75 13 2 2" xfId="36670" xr:uid="{00000000-0005-0000-0000-0000668F0000}"/>
    <cellStyle name="Note 75 13 3" xfId="36671" xr:uid="{00000000-0005-0000-0000-0000678F0000}"/>
    <cellStyle name="Note 75 14" xfId="36672" xr:uid="{00000000-0005-0000-0000-0000688F0000}"/>
    <cellStyle name="Note 75 14 2" xfId="36673" xr:uid="{00000000-0005-0000-0000-0000698F0000}"/>
    <cellStyle name="Note 75 14 2 2" xfId="36674" xr:uid="{00000000-0005-0000-0000-00006A8F0000}"/>
    <cellStyle name="Note 75 14 3" xfId="36675" xr:uid="{00000000-0005-0000-0000-00006B8F0000}"/>
    <cellStyle name="Note 75 15" xfId="36676" xr:uid="{00000000-0005-0000-0000-00006C8F0000}"/>
    <cellStyle name="Note 75 15 2" xfId="36677" xr:uid="{00000000-0005-0000-0000-00006D8F0000}"/>
    <cellStyle name="Note 75 15 2 2" xfId="36678" xr:uid="{00000000-0005-0000-0000-00006E8F0000}"/>
    <cellStyle name="Note 75 15 3" xfId="36679" xr:uid="{00000000-0005-0000-0000-00006F8F0000}"/>
    <cellStyle name="Note 75 16" xfId="36680" xr:uid="{00000000-0005-0000-0000-0000708F0000}"/>
    <cellStyle name="Note 75 16 2" xfId="36681" xr:uid="{00000000-0005-0000-0000-0000718F0000}"/>
    <cellStyle name="Note 75 16 2 2" xfId="36682" xr:uid="{00000000-0005-0000-0000-0000728F0000}"/>
    <cellStyle name="Note 75 16 3" xfId="36683" xr:uid="{00000000-0005-0000-0000-0000738F0000}"/>
    <cellStyle name="Note 75 17" xfId="36684" xr:uid="{00000000-0005-0000-0000-0000748F0000}"/>
    <cellStyle name="Note 75 17 2" xfId="36685" xr:uid="{00000000-0005-0000-0000-0000758F0000}"/>
    <cellStyle name="Note 75 17 2 2" xfId="36686" xr:uid="{00000000-0005-0000-0000-0000768F0000}"/>
    <cellStyle name="Note 75 17 3" xfId="36687" xr:uid="{00000000-0005-0000-0000-0000778F0000}"/>
    <cellStyle name="Note 75 18" xfId="36688" xr:uid="{00000000-0005-0000-0000-0000788F0000}"/>
    <cellStyle name="Note 75 18 2" xfId="36689" xr:uid="{00000000-0005-0000-0000-0000798F0000}"/>
    <cellStyle name="Note 75 18 2 2" xfId="36690" xr:uid="{00000000-0005-0000-0000-00007A8F0000}"/>
    <cellStyle name="Note 75 18 3" xfId="36691" xr:uid="{00000000-0005-0000-0000-00007B8F0000}"/>
    <cellStyle name="Note 75 19" xfId="36692" xr:uid="{00000000-0005-0000-0000-00007C8F0000}"/>
    <cellStyle name="Note 75 19 2" xfId="36693" xr:uid="{00000000-0005-0000-0000-00007D8F0000}"/>
    <cellStyle name="Note 75 19 2 2" xfId="36694" xr:uid="{00000000-0005-0000-0000-00007E8F0000}"/>
    <cellStyle name="Note 75 19 3" xfId="36695" xr:uid="{00000000-0005-0000-0000-00007F8F0000}"/>
    <cellStyle name="Note 75 2" xfId="36696" xr:uid="{00000000-0005-0000-0000-0000808F0000}"/>
    <cellStyle name="Note 75 2 2" xfId="36697" xr:uid="{00000000-0005-0000-0000-0000818F0000}"/>
    <cellStyle name="Note 75 2 2 2" xfId="36698" xr:uid="{00000000-0005-0000-0000-0000828F0000}"/>
    <cellStyle name="Note 75 2 3" xfId="36699" xr:uid="{00000000-0005-0000-0000-0000838F0000}"/>
    <cellStyle name="Note 75 20" xfId="36700" xr:uid="{00000000-0005-0000-0000-0000848F0000}"/>
    <cellStyle name="Note 75 20 2" xfId="36701" xr:uid="{00000000-0005-0000-0000-0000858F0000}"/>
    <cellStyle name="Note 75 20 2 2" xfId="36702" xr:uid="{00000000-0005-0000-0000-0000868F0000}"/>
    <cellStyle name="Note 75 20 3" xfId="36703" xr:uid="{00000000-0005-0000-0000-0000878F0000}"/>
    <cellStyle name="Note 75 21" xfId="36704" xr:uid="{00000000-0005-0000-0000-0000888F0000}"/>
    <cellStyle name="Note 75 21 2" xfId="36705" xr:uid="{00000000-0005-0000-0000-0000898F0000}"/>
    <cellStyle name="Note 75 21 2 2" xfId="36706" xr:uid="{00000000-0005-0000-0000-00008A8F0000}"/>
    <cellStyle name="Note 75 21 3" xfId="36707" xr:uid="{00000000-0005-0000-0000-00008B8F0000}"/>
    <cellStyle name="Note 75 22" xfId="36708" xr:uid="{00000000-0005-0000-0000-00008C8F0000}"/>
    <cellStyle name="Note 75 22 2" xfId="36709" xr:uid="{00000000-0005-0000-0000-00008D8F0000}"/>
    <cellStyle name="Note 75 22 2 2" xfId="36710" xr:uid="{00000000-0005-0000-0000-00008E8F0000}"/>
    <cellStyle name="Note 75 22 3" xfId="36711" xr:uid="{00000000-0005-0000-0000-00008F8F0000}"/>
    <cellStyle name="Note 75 23" xfId="36712" xr:uid="{00000000-0005-0000-0000-0000908F0000}"/>
    <cellStyle name="Note 75 23 2" xfId="36713" xr:uid="{00000000-0005-0000-0000-0000918F0000}"/>
    <cellStyle name="Note 75 23 2 2" xfId="36714" xr:uid="{00000000-0005-0000-0000-0000928F0000}"/>
    <cellStyle name="Note 75 23 3" xfId="36715" xr:uid="{00000000-0005-0000-0000-0000938F0000}"/>
    <cellStyle name="Note 75 24" xfId="36716" xr:uid="{00000000-0005-0000-0000-0000948F0000}"/>
    <cellStyle name="Note 75 24 2" xfId="36717" xr:uid="{00000000-0005-0000-0000-0000958F0000}"/>
    <cellStyle name="Note 75 24 2 2" xfId="36718" xr:uid="{00000000-0005-0000-0000-0000968F0000}"/>
    <cellStyle name="Note 75 24 3" xfId="36719" xr:uid="{00000000-0005-0000-0000-0000978F0000}"/>
    <cellStyle name="Note 75 25" xfId="36720" xr:uid="{00000000-0005-0000-0000-0000988F0000}"/>
    <cellStyle name="Note 75 25 2" xfId="36721" xr:uid="{00000000-0005-0000-0000-0000998F0000}"/>
    <cellStyle name="Note 75 25 2 2" xfId="36722" xr:uid="{00000000-0005-0000-0000-00009A8F0000}"/>
    <cellStyle name="Note 75 25 3" xfId="36723" xr:uid="{00000000-0005-0000-0000-00009B8F0000}"/>
    <cellStyle name="Note 75 26" xfId="36724" xr:uid="{00000000-0005-0000-0000-00009C8F0000}"/>
    <cellStyle name="Note 75 26 2" xfId="36725" xr:uid="{00000000-0005-0000-0000-00009D8F0000}"/>
    <cellStyle name="Note 75 26 2 2" xfId="36726" xr:uid="{00000000-0005-0000-0000-00009E8F0000}"/>
    <cellStyle name="Note 75 26 3" xfId="36727" xr:uid="{00000000-0005-0000-0000-00009F8F0000}"/>
    <cellStyle name="Note 75 27" xfId="36728" xr:uid="{00000000-0005-0000-0000-0000A08F0000}"/>
    <cellStyle name="Note 75 27 2" xfId="36729" xr:uid="{00000000-0005-0000-0000-0000A18F0000}"/>
    <cellStyle name="Note 75 27 2 2" xfId="36730" xr:uid="{00000000-0005-0000-0000-0000A28F0000}"/>
    <cellStyle name="Note 75 27 3" xfId="36731" xr:uid="{00000000-0005-0000-0000-0000A38F0000}"/>
    <cellStyle name="Note 75 28" xfId="36732" xr:uid="{00000000-0005-0000-0000-0000A48F0000}"/>
    <cellStyle name="Note 75 28 2" xfId="36733" xr:uid="{00000000-0005-0000-0000-0000A58F0000}"/>
    <cellStyle name="Note 75 28 2 2" xfId="36734" xr:uid="{00000000-0005-0000-0000-0000A68F0000}"/>
    <cellStyle name="Note 75 28 3" xfId="36735" xr:uid="{00000000-0005-0000-0000-0000A78F0000}"/>
    <cellStyle name="Note 75 29" xfId="36736" xr:uid="{00000000-0005-0000-0000-0000A88F0000}"/>
    <cellStyle name="Note 75 29 2" xfId="36737" xr:uid="{00000000-0005-0000-0000-0000A98F0000}"/>
    <cellStyle name="Note 75 29 2 2" xfId="36738" xr:uid="{00000000-0005-0000-0000-0000AA8F0000}"/>
    <cellStyle name="Note 75 29 3" xfId="36739" xr:uid="{00000000-0005-0000-0000-0000AB8F0000}"/>
    <cellStyle name="Note 75 3" xfId="36740" xr:uid="{00000000-0005-0000-0000-0000AC8F0000}"/>
    <cellStyle name="Note 75 3 2" xfId="36741" xr:uid="{00000000-0005-0000-0000-0000AD8F0000}"/>
    <cellStyle name="Note 75 3 2 2" xfId="36742" xr:uid="{00000000-0005-0000-0000-0000AE8F0000}"/>
    <cellStyle name="Note 75 3 3" xfId="36743" xr:uid="{00000000-0005-0000-0000-0000AF8F0000}"/>
    <cellStyle name="Note 75 30" xfId="36744" xr:uid="{00000000-0005-0000-0000-0000B08F0000}"/>
    <cellStyle name="Note 75 30 2" xfId="36745" xr:uid="{00000000-0005-0000-0000-0000B18F0000}"/>
    <cellStyle name="Note 75 30 2 2" xfId="36746" xr:uid="{00000000-0005-0000-0000-0000B28F0000}"/>
    <cellStyle name="Note 75 30 3" xfId="36747" xr:uid="{00000000-0005-0000-0000-0000B38F0000}"/>
    <cellStyle name="Note 75 31" xfId="36748" xr:uid="{00000000-0005-0000-0000-0000B48F0000}"/>
    <cellStyle name="Note 75 31 2" xfId="36749" xr:uid="{00000000-0005-0000-0000-0000B58F0000}"/>
    <cellStyle name="Note 75 31 2 2" xfId="36750" xr:uid="{00000000-0005-0000-0000-0000B68F0000}"/>
    <cellStyle name="Note 75 31 3" xfId="36751" xr:uid="{00000000-0005-0000-0000-0000B78F0000}"/>
    <cellStyle name="Note 75 32" xfId="36752" xr:uid="{00000000-0005-0000-0000-0000B88F0000}"/>
    <cellStyle name="Note 75 32 2" xfId="36753" xr:uid="{00000000-0005-0000-0000-0000B98F0000}"/>
    <cellStyle name="Note 75 32 2 2" xfId="36754" xr:uid="{00000000-0005-0000-0000-0000BA8F0000}"/>
    <cellStyle name="Note 75 32 3" xfId="36755" xr:uid="{00000000-0005-0000-0000-0000BB8F0000}"/>
    <cellStyle name="Note 75 33" xfId="36756" xr:uid="{00000000-0005-0000-0000-0000BC8F0000}"/>
    <cellStyle name="Note 75 33 2" xfId="36757" xr:uid="{00000000-0005-0000-0000-0000BD8F0000}"/>
    <cellStyle name="Note 75 33 2 2" xfId="36758" xr:uid="{00000000-0005-0000-0000-0000BE8F0000}"/>
    <cellStyle name="Note 75 33 3" xfId="36759" xr:uid="{00000000-0005-0000-0000-0000BF8F0000}"/>
    <cellStyle name="Note 75 34" xfId="36760" xr:uid="{00000000-0005-0000-0000-0000C08F0000}"/>
    <cellStyle name="Note 75 34 2" xfId="36761" xr:uid="{00000000-0005-0000-0000-0000C18F0000}"/>
    <cellStyle name="Note 75 34 2 2" xfId="36762" xr:uid="{00000000-0005-0000-0000-0000C28F0000}"/>
    <cellStyle name="Note 75 34 3" xfId="36763" xr:uid="{00000000-0005-0000-0000-0000C38F0000}"/>
    <cellStyle name="Note 75 35" xfId="36764" xr:uid="{00000000-0005-0000-0000-0000C48F0000}"/>
    <cellStyle name="Note 75 35 2" xfId="36765" xr:uid="{00000000-0005-0000-0000-0000C58F0000}"/>
    <cellStyle name="Note 75 35 2 2" xfId="36766" xr:uid="{00000000-0005-0000-0000-0000C68F0000}"/>
    <cellStyle name="Note 75 35 3" xfId="36767" xr:uid="{00000000-0005-0000-0000-0000C78F0000}"/>
    <cellStyle name="Note 75 36" xfId="36768" xr:uid="{00000000-0005-0000-0000-0000C88F0000}"/>
    <cellStyle name="Note 75 36 2" xfId="36769" xr:uid="{00000000-0005-0000-0000-0000C98F0000}"/>
    <cellStyle name="Note 75 36 2 2" xfId="36770" xr:uid="{00000000-0005-0000-0000-0000CA8F0000}"/>
    <cellStyle name="Note 75 36 3" xfId="36771" xr:uid="{00000000-0005-0000-0000-0000CB8F0000}"/>
    <cellStyle name="Note 75 4" xfId="36772" xr:uid="{00000000-0005-0000-0000-0000CC8F0000}"/>
    <cellStyle name="Note 75 4 2" xfId="36773" xr:uid="{00000000-0005-0000-0000-0000CD8F0000}"/>
    <cellStyle name="Note 75 4 2 2" xfId="36774" xr:uid="{00000000-0005-0000-0000-0000CE8F0000}"/>
    <cellStyle name="Note 75 4 3" xfId="36775" xr:uid="{00000000-0005-0000-0000-0000CF8F0000}"/>
    <cellStyle name="Note 75 5" xfId="36776" xr:uid="{00000000-0005-0000-0000-0000D08F0000}"/>
    <cellStyle name="Note 75 5 2" xfId="36777" xr:uid="{00000000-0005-0000-0000-0000D18F0000}"/>
    <cellStyle name="Note 75 5 2 2" xfId="36778" xr:uid="{00000000-0005-0000-0000-0000D28F0000}"/>
    <cellStyle name="Note 75 5 3" xfId="36779" xr:uid="{00000000-0005-0000-0000-0000D38F0000}"/>
    <cellStyle name="Note 75 6" xfId="36780" xr:uid="{00000000-0005-0000-0000-0000D48F0000}"/>
    <cellStyle name="Note 75 6 2" xfId="36781" xr:uid="{00000000-0005-0000-0000-0000D58F0000}"/>
    <cellStyle name="Note 75 6 2 2" xfId="36782" xr:uid="{00000000-0005-0000-0000-0000D68F0000}"/>
    <cellStyle name="Note 75 6 3" xfId="36783" xr:uid="{00000000-0005-0000-0000-0000D78F0000}"/>
    <cellStyle name="Note 75 7" xfId="36784" xr:uid="{00000000-0005-0000-0000-0000D88F0000}"/>
    <cellStyle name="Note 75 7 2" xfId="36785" xr:uid="{00000000-0005-0000-0000-0000D98F0000}"/>
    <cellStyle name="Note 75 7 2 2" xfId="36786" xr:uid="{00000000-0005-0000-0000-0000DA8F0000}"/>
    <cellStyle name="Note 75 7 3" xfId="36787" xr:uid="{00000000-0005-0000-0000-0000DB8F0000}"/>
    <cellStyle name="Note 75 8" xfId="36788" xr:uid="{00000000-0005-0000-0000-0000DC8F0000}"/>
    <cellStyle name="Note 75 8 2" xfId="36789" xr:uid="{00000000-0005-0000-0000-0000DD8F0000}"/>
    <cellStyle name="Note 75 8 2 2" xfId="36790" xr:uid="{00000000-0005-0000-0000-0000DE8F0000}"/>
    <cellStyle name="Note 75 8 3" xfId="36791" xr:uid="{00000000-0005-0000-0000-0000DF8F0000}"/>
    <cellStyle name="Note 75 9" xfId="36792" xr:uid="{00000000-0005-0000-0000-0000E08F0000}"/>
    <cellStyle name="Note 75 9 2" xfId="36793" xr:uid="{00000000-0005-0000-0000-0000E18F0000}"/>
    <cellStyle name="Note 75 9 2 2" xfId="36794" xr:uid="{00000000-0005-0000-0000-0000E28F0000}"/>
    <cellStyle name="Note 75 9 3" xfId="36795" xr:uid="{00000000-0005-0000-0000-0000E38F0000}"/>
    <cellStyle name="Note 76" xfId="36796" xr:uid="{00000000-0005-0000-0000-0000E48F0000}"/>
    <cellStyle name="Note 76 10" xfId="36797" xr:uid="{00000000-0005-0000-0000-0000E58F0000}"/>
    <cellStyle name="Note 76 10 2" xfId="36798" xr:uid="{00000000-0005-0000-0000-0000E68F0000}"/>
    <cellStyle name="Note 76 10 2 2" xfId="36799" xr:uid="{00000000-0005-0000-0000-0000E78F0000}"/>
    <cellStyle name="Note 76 10 3" xfId="36800" xr:uid="{00000000-0005-0000-0000-0000E88F0000}"/>
    <cellStyle name="Note 76 11" xfId="36801" xr:uid="{00000000-0005-0000-0000-0000E98F0000}"/>
    <cellStyle name="Note 76 11 2" xfId="36802" xr:uid="{00000000-0005-0000-0000-0000EA8F0000}"/>
    <cellStyle name="Note 76 11 2 2" xfId="36803" xr:uid="{00000000-0005-0000-0000-0000EB8F0000}"/>
    <cellStyle name="Note 76 11 3" xfId="36804" xr:uid="{00000000-0005-0000-0000-0000EC8F0000}"/>
    <cellStyle name="Note 76 12" xfId="36805" xr:uid="{00000000-0005-0000-0000-0000ED8F0000}"/>
    <cellStyle name="Note 76 12 2" xfId="36806" xr:uid="{00000000-0005-0000-0000-0000EE8F0000}"/>
    <cellStyle name="Note 76 12 2 2" xfId="36807" xr:uid="{00000000-0005-0000-0000-0000EF8F0000}"/>
    <cellStyle name="Note 76 12 3" xfId="36808" xr:uid="{00000000-0005-0000-0000-0000F08F0000}"/>
    <cellStyle name="Note 76 13" xfId="36809" xr:uid="{00000000-0005-0000-0000-0000F18F0000}"/>
    <cellStyle name="Note 76 13 2" xfId="36810" xr:uid="{00000000-0005-0000-0000-0000F28F0000}"/>
    <cellStyle name="Note 76 13 2 2" xfId="36811" xr:uid="{00000000-0005-0000-0000-0000F38F0000}"/>
    <cellStyle name="Note 76 13 3" xfId="36812" xr:uid="{00000000-0005-0000-0000-0000F48F0000}"/>
    <cellStyle name="Note 76 14" xfId="36813" xr:uid="{00000000-0005-0000-0000-0000F58F0000}"/>
    <cellStyle name="Note 76 14 2" xfId="36814" xr:uid="{00000000-0005-0000-0000-0000F68F0000}"/>
    <cellStyle name="Note 76 14 2 2" xfId="36815" xr:uid="{00000000-0005-0000-0000-0000F78F0000}"/>
    <cellStyle name="Note 76 14 3" xfId="36816" xr:uid="{00000000-0005-0000-0000-0000F88F0000}"/>
    <cellStyle name="Note 76 15" xfId="36817" xr:uid="{00000000-0005-0000-0000-0000F98F0000}"/>
    <cellStyle name="Note 76 15 2" xfId="36818" xr:uid="{00000000-0005-0000-0000-0000FA8F0000}"/>
    <cellStyle name="Note 76 15 2 2" xfId="36819" xr:uid="{00000000-0005-0000-0000-0000FB8F0000}"/>
    <cellStyle name="Note 76 15 3" xfId="36820" xr:uid="{00000000-0005-0000-0000-0000FC8F0000}"/>
    <cellStyle name="Note 76 16" xfId="36821" xr:uid="{00000000-0005-0000-0000-0000FD8F0000}"/>
    <cellStyle name="Note 76 16 2" xfId="36822" xr:uid="{00000000-0005-0000-0000-0000FE8F0000}"/>
    <cellStyle name="Note 76 16 2 2" xfId="36823" xr:uid="{00000000-0005-0000-0000-0000FF8F0000}"/>
    <cellStyle name="Note 76 16 3" xfId="36824" xr:uid="{00000000-0005-0000-0000-000000900000}"/>
    <cellStyle name="Note 76 17" xfId="36825" xr:uid="{00000000-0005-0000-0000-000001900000}"/>
    <cellStyle name="Note 76 17 2" xfId="36826" xr:uid="{00000000-0005-0000-0000-000002900000}"/>
    <cellStyle name="Note 76 17 2 2" xfId="36827" xr:uid="{00000000-0005-0000-0000-000003900000}"/>
    <cellStyle name="Note 76 17 3" xfId="36828" xr:uid="{00000000-0005-0000-0000-000004900000}"/>
    <cellStyle name="Note 76 18" xfId="36829" xr:uid="{00000000-0005-0000-0000-000005900000}"/>
    <cellStyle name="Note 76 18 2" xfId="36830" xr:uid="{00000000-0005-0000-0000-000006900000}"/>
    <cellStyle name="Note 76 18 2 2" xfId="36831" xr:uid="{00000000-0005-0000-0000-000007900000}"/>
    <cellStyle name="Note 76 18 3" xfId="36832" xr:uid="{00000000-0005-0000-0000-000008900000}"/>
    <cellStyle name="Note 76 19" xfId="36833" xr:uid="{00000000-0005-0000-0000-000009900000}"/>
    <cellStyle name="Note 76 19 2" xfId="36834" xr:uid="{00000000-0005-0000-0000-00000A900000}"/>
    <cellStyle name="Note 76 19 2 2" xfId="36835" xr:uid="{00000000-0005-0000-0000-00000B900000}"/>
    <cellStyle name="Note 76 19 3" xfId="36836" xr:uid="{00000000-0005-0000-0000-00000C900000}"/>
    <cellStyle name="Note 76 2" xfId="36837" xr:uid="{00000000-0005-0000-0000-00000D900000}"/>
    <cellStyle name="Note 76 2 2" xfId="36838" xr:uid="{00000000-0005-0000-0000-00000E900000}"/>
    <cellStyle name="Note 76 2 2 2" xfId="36839" xr:uid="{00000000-0005-0000-0000-00000F900000}"/>
    <cellStyle name="Note 76 2 3" xfId="36840" xr:uid="{00000000-0005-0000-0000-000010900000}"/>
    <cellStyle name="Note 76 20" xfId="36841" xr:uid="{00000000-0005-0000-0000-000011900000}"/>
    <cellStyle name="Note 76 20 2" xfId="36842" xr:uid="{00000000-0005-0000-0000-000012900000}"/>
    <cellStyle name="Note 76 20 2 2" xfId="36843" xr:uid="{00000000-0005-0000-0000-000013900000}"/>
    <cellStyle name="Note 76 20 3" xfId="36844" xr:uid="{00000000-0005-0000-0000-000014900000}"/>
    <cellStyle name="Note 76 21" xfId="36845" xr:uid="{00000000-0005-0000-0000-000015900000}"/>
    <cellStyle name="Note 76 21 2" xfId="36846" xr:uid="{00000000-0005-0000-0000-000016900000}"/>
    <cellStyle name="Note 76 21 2 2" xfId="36847" xr:uid="{00000000-0005-0000-0000-000017900000}"/>
    <cellStyle name="Note 76 21 3" xfId="36848" xr:uid="{00000000-0005-0000-0000-000018900000}"/>
    <cellStyle name="Note 76 22" xfId="36849" xr:uid="{00000000-0005-0000-0000-000019900000}"/>
    <cellStyle name="Note 76 22 2" xfId="36850" xr:uid="{00000000-0005-0000-0000-00001A900000}"/>
    <cellStyle name="Note 76 22 2 2" xfId="36851" xr:uid="{00000000-0005-0000-0000-00001B900000}"/>
    <cellStyle name="Note 76 22 3" xfId="36852" xr:uid="{00000000-0005-0000-0000-00001C900000}"/>
    <cellStyle name="Note 76 23" xfId="36853" xr:uid="{00000000-0005-0000-0000-00001D900000}"/>
    <cellStyle name="Note 76 23 2" xfId="36854" xr:uid="{00000000-0005-0000-0000-00001E900000}"/>
    <cellStyle name="Note 76 23 2 2" xfId="36855" xr:uid="{00000000-0005-0000-0000-00001F900000}"/>
    <cellStyle name="Note 76 23 3" xfId="36856" xr:uid="{00000000-0005-0000-0000-000020900000}"/>
    <cellStyle name="Note 76 24" xfId="36857" xr:uid="{00000000-0005-0000-0000-000021900000}"/>
    <cellStyle name="Note 76 24 2" xfId="36858" xr:uid="{00000000-0005-0000-0000-000022900000}"/>
    <cellStyle name="Note 76 24 2 2" xfId="36859" xr:uid="{00000000-0005-0000-0000-000023900000}"/>
    <cellStyle name="Note 76 24 3" xfId="36860" xr:uid="{00000000-0005-0000-0000-000024900000}"/>
    <cellStyle name="Note 76 25" xfId="36861" xr:uid="{00000000-0005-0000-0000-000025900000}"/>
    <cellStyle name="Note 76 25 2" xfId="36862" xr:uid="{00000000-0005-0000-0000-000026900000}"/>
    <cellStyle name="Note 76 25 2 2" xfId="36863" xr:uid="{00000000-0005-0000-0000-000027900000}"/>
    <cellStyle name="Note 76 25 3" xfId="36864" xr:uid="{00000000-0005-0000-0000-000028900000}"/>
    <cellStyle name="Note 76 26" xfId="36865" xr:uid="{00000000-0005-0000-0000-000029900000}"/>
    <cellStyle name="Note 76 26 2" xfId="36866" xr:uid="{00000000-0005-0000-0000-00002A900000}"/>
    <cellStyle name="Note 76 26 2 2" xfId="36867" xr:uid="{00000000-0005-0000-0000-00002B900000}"/>
    <cellStyle name="Note 76 26 3" xfId="36868" xr:uid="{00000000-0005-0000-0000-00002C900000}"/>
    <cellStyle name="Note 76 27" xfId="36869" xr:uid="{00000000-0005-0000-0000-00002D900000}"/>
    <cellStyle name="Note 76 27 2" xfId="36870" xr:uid="{00000000-0005-0000-0000-00002E900000}"/>
    <cellStyle name="Note 76 27 2 2" xfId="36871" xr:uid="{00000000-0005-0000-0000-00002F900000}"/>
    <cellStyle name="Note 76 27 3" xfId="36872" xr:uid="{00000000-0005-0000-0000-000030900000}"/>
    <cellStyle name="Note 76 28" xfId="36873" xr:uid="{00000000-0005-0000-0000-000031900000}"/>
    <cellStyle name="Note 76 28 2" xfId="36874" xr:uid="{00000000-0005-0000-0000-000032900000}"/>
    <cellStyle name="Note 76 28 2 2" xfId="36875" xr:uid="{00000000-0005-0000-0000-000033900000}"/>
    <cellStyle name="Note 76 28 3" xfId="36876" xr:uid="{00000000-0005-0000-0000-000034900000}"/>
    <cellStyle name="Note 76 29" xfId="36877" xr:uid="{00000000-0005-0000-0000-000035900000}"/>
    <cellStyle name="Note 76 29 2" xfId="36878" xr:uid="{00000000-0005-0000-0000-000036900000}"/>
    <cellStyle name="Note 76 29 2 2" xfId="36879" xr:uid="{00000000-0005-0000-0000-000037900000}"/>
    <cellStyle name="Note 76 29 3" xfId="36880" xr:uid="{00000000-0005-0000-0000-000038900000}"/>
    <cellStyle name="Note 76 3" xfId="36881" xr:uid="{00000000-0005-0000-0000-000039900000}"/>
    <cellStyle name="Note 76 3 2" xfId="36882" xr:uid="{00000000-0005-0000-0000-00003A900000}"/>
    <cellStyle name="Note 76 3 2 2" xfId="36883" xr:uid="{00000000-0005-0000-0000-00003B900000}"/>
    <cellStyle name="Note 76 3 3" xfId="36884" xr:uid="{00000000-0005-0000-0000-00003C900000}"/>
    <cellStyle name="Note 76 30" xfId="36885" xr:uid="{00000000-0005-0000-0000-00003D900000}"/>
    <cellStyle name="Note 76 30 2" xfId="36886" xr:uid="{00000000-0005-0000-0000-00003E900000}"/>
    <cellStyle name="Note 76 30 2 2" xfId="36887" xr:uid="{00000000-0005-0000-0000-00003F900000}"/>
    <cellStyle name="Note 76 30 3" xfId="36888" xr:uid="{00000000-0005-0000-0000-000040900000}"/>
    <cellStyle name="Note 76 31" xfId="36889" xr:uid="{00000000-0005-0000-0000-000041900000}"/>
    <cellStyle name="Note 76 31 2" xfId="36890" xr:uid="{00000000-0005-0000-0000-000042900000}"/>
    <cellStyle name="Note 76 31 2 2" xfId="36891" xr:uid="{00000000-0005-0000-0000-000043900000}"/>
    <cellStyle name="Note 76 31 3" xfId="36892" xr:uid="{00000000-0005-0000-0000-000044900000}"/>
    <cellStyle name="Note 76 32" xfId="36893" xr:uid="{00000000-0005-0000-0000-000045900000}"/>
    <cellStyle name="Note 76 32 2" xfId="36894" xr:uid="{00000000-0005-0000-0000-000046900000}"/>
    <cellStyle name="Note 76 32 2 2" xfId="36895" xr:uid="{00000000-0005-0000-0000-000047900000}"/>
    <cellStyle name="Note 76 32 3" xfId="36896" xr:uid="{00000000-0005-0000-0000-000048900000}"/>
    <cellStyle name="Note 76 33" xfId="36897" xr:uid="{00000000-0005-0000-0000-000049900000}"/>
    <cellStyle name="Note 76 33 2" xfId="36898" xr:uid="{00000000-0005-0000-0000-00004A900000}"/>
    <cellStyle name="Note 76 33 2 2" xfId="36899" xr:uid="{00000000-0005-0000-0000-00004B900000}"/>
    <cellStyle name="Note 76 33 3" xfId="36900" xr:uid="{00000000-0005-0000-0000-00004C900000}"/>
    <cellStyle name="Note 76 34" xfId="36901" xr:uid="{00000000-0005-0000-0000-00004D900000}"/>
    <cellStyle name="Note 76 34 2" xfId="36902" xr:uid="{00000000-0005-0000-0000-00004E900000}"/>
    <cellStyle name="Note 76 34 2 2" xfId="36903" xr:uid="{00000000-0005-0000-0000-00004F900000}"/>
    <cellStyle name="Note 76 34 3" xfId="36904" xr:uid="{00000000-0005-0000-0000-000050900000}"/>
    <cellStyle name="Note 76 35" xfId="36905" xr:uid="{00000000-0005-0000-0000-000051900000}"/>
    <cellStyle name="Note 76 35 2" xfId="36906" xr:uid="{00000000-0005-0000-0000-000052900000}"/>
    <cellStyle name="Note 76 35 2 2" xfId="36907" xr:uid="{00000000-0005-0000-0000-000053900000}"/>
    <cellStyle name="Note 76 35 3" xfId="36908" xr:uid="{00000000-0005-0000-0000-000054900000}"/>
    <cellStyle name="Note 76 36" xfId="36909" xr:uid="{00000000-0005-0000-0000-000055900000}"/>
    <cellStyle name="Note 76 36 2" xfId="36910" xr:uid="{00000000-0005-0000-0000-000056900000}"/>
    <cellStyle name="Note 76 36 2 2" xfId="36911" xr:uid="{00000000-0005-0000-0000-000057900000}"/>
    <cellStyle name="Note 76 36 3" xfId="36912" xr:uid="{00000000-0005-0000-0000-000058900000}"/>
    <cellStyle name="Note 76 4" xfId="36913" xr:uid="{00000000-0005-0000-0000-000059900000}"/>
    <cellStyle name="Note 76 4 2" xfId="36914" xr:uid="{00000000-0005-0000-0000-00005A900000}"/>
    <cellStyle name="Note 76 4 2 2" xfId="36915" xr:uid="{00000000-0005-0000-0000-00005B900000}"/>
    <cellStyle name="Note 76 4 3" xfId="36916" xr:uid="{00000000-0005-0000-0000-00005C900000}"/>
    <cellStyle name="Note 76 5" xfId="36917" xr:uid="{00000000-0005-0000-0000-00005D900000}"/>
    <cellStyle name="Note 76 5 2" xfId="36918" xr:uid="{00000000-0005-0000-0000-00005E900000}"/>
    <cellStyle name="Note 76 5 2 2" xfId="36919" xr:uid="{00000000-0005-0000-0000-00005F900000}"/>
    <cellStyle name="Note 76 5 3" xfId="36920" xr:uid="{00000000-0005-0000-0000-000060900000}"/>
    <cellStyle name="Note 76 6" xfId="36921" xr:uid="{00000000-0005-0000-0000-000061900000}"/>
    <cellStyle name="Note 76 6 2" xfId="36922" xr:uid="{00000000-0005-0000-0000-000062900000}"/>
    <cellStyle name="Note 76 6 2 2" xfId="36923" xr:uid="{00000000-0005-0000-0000-000063900000}"/>
    <cellStyle name="Note 76 6 3" xfId="36924" xr:uid="{00000000-0005-0000-0000-000064900000}"/>
    <cellStyle name="Note 76 7" xfId="36925" xr:uid="{00000000-0005-0000-0000-000065900000}"/>
    <cellStyle name="Note 76 7 2" xfId="36926" xr:uid="{00000000-0005-0000-0000-000066900000}"/>
    <cellStyle name="Note 76 7 2 2" xfId="36927" xr:uid="{00000000-0005-0000-0000-000067900000}"/>
    <cellStyle name="Note 76 7 3" xfId="36928" xr:uid="{00000000-0005-0000-0000-000068900000}"/>
    <cellStyle name="Note 76 8" xfId="36929" xr:uid="{00000000-0005-0000-0000-000069900000}"/>
    <cellStyle name="Note 76 8 2" xfId="36930" xr:uid="{00000000-0005-0000-0000-00006A900000}"/>
    <cellStyle name="Note 76 8 2 2" xfId="36931" xr:uid="{00000000-0005-0000-0000-00006B900000}"/>
    <cellStyle name="Note 76 8 3" xfId="36932" xr:uid="{00000000-0005-0000-0000-00006C900000}"/>
    <cellStyle name="Note 76 9" xfId="36933" xr:uid="{00000000-0005-0000-0000-00006D900000}"/>
    <cellStyle name="Note 76 9 2" xfId="36934" xr:uid="{00000000-0005-0000-0000-00006E900000}"/>
    <cellStyle name="Note 76 9 2 2" xfId="36935" xr:uid="{00000000-0005-0000-0000-00006F900000}"/>
    <cellStyle name="Note 76 9 3" xfId="36936" xr:uid="{00000000-0005-0000-0000-000070900000}"/>
    <cellStyle name="Note 77" xfId="36937" xr:uid="{00000000-0005-0000-0000-000071900000}"/>
    <cellStyle name="Note 77 10" xfId="36938" xr:uid="{00000000-0005-0000-0000-000072900000}"/>
    <cellStyle name="Note 77 10 2" xfId="36939" xr:uid="{00000000-0005-0000-0000-000073900000}"/>
    <cellStyle name="Note 77 10 2 2" xfId="36940" xr:uid="{00000000-0005-0000-0000-000074900000}"/>
    <cellStyle name="Note 77 10 3" xfId="36941" xr:uid="{00000000-0005-0000-0000-000075900000}"/>
    <cellStyle name="Note 77 11" xfId="36942" xr:uid="{00000000-0005-0000-0000-000076900000}"/>
    <cellStyle name="Note 77 11 2" xfId="36943" xr:uid="{00000000-0005-0000-0000-000077900000}"/>
    <cellStyle name="Note 77 11 2 2" xfId="36944" xr:uid="{00000000-0005-0000-0000-000078900000}"/>
    <cellStyle name="Note 77 11 3" xfId="36945" xr:uid="{00000000-0005-0000-0000-000079900000}"/>
    <cellStyle name="Note 77 12" xfId="36946" xr:uid="{00000000-0005-0000-0000-00007A900000}"/>
    <cellStyle name="Note 77 12 2" xfId="36947" xr:uid="{00000000-0005-0000-0000-00007B900000}"/>
    <cellStyle name="Note 77 12 2 2" xfId="36948" xr:uid="{00000000-0005-0000-0000-00007C900000}"/>
    <cellStyle name="Note 77 12 3" xfId="36949" xr:uid="{00000000-0005-0000-0000-00007D900000}"/>
    <cellStyle name="Note 77 13" xfId="36950" xr:uid="{00000000-0005-0000-0000-00007E900000}"/>
    <cellStyle name="Note 77 13 2" xfId="36951" xr:uid="{00000000-0005-0000-0000-00007F900000}"/>
    <cellStyle name="Note 77 13 2 2" xfId="36952" xr:uid="{00000000-0005-0000-0000-000080900000}"/>
    <cellStyle name="Note 77 13 3" xfId="36953" xr:uid="{00000000-0005-0000-0000-000081900000}"/>
    <cellStyle name="Note 77 14" xfId="36954" xr:uid="{00000000-0005-0000-0000-000082900000}"/>
    <cellStyle name="Note 77 14 2" xfId="36955" xr:uid="{00000000-0005-0000-0000-000083900000}"/>
    <cellStyle name="Note 77 14 2 2" xfId="36956" xr:uid="{00000000-0005-0000-0000-000084900000}"/>
    <cellStyle name="Note 77 14 3" xfId="36957" xr:uid="{00000000-0005-0000-0000-000085900000}"/>
    <cellStyle name="Note 77 15" xfId="36958" xr:uid="{00000000-0005-0000-0000-000086900000}"/>
    <cellStyle name="Note 77 15 2" xfId="36959" xr:uid="{00000000-0005-0000-0000-000087900000}"/>
    <cellStyle name="Note 77 15 2 2" xfId="36960" xr:uid="{00000000-0005-0000-0000-000088900000}"/>
    <cellStyle name="Note 77 15 3" xfId="36961" xr:uid="{00000000-0005-0000-0000-000089900000}"/>
    <cellStyle name="Note 77 16" xfId="36962" xr:uid="{00000000-0005-0000-0000-00008A900000}"/>
    <cellStyle name="Note 77 16 2" xfId="36963" xr:uid="{00000000-0005-0000-0000-00008B900000}"/>
    <cellStyle name="Note 77 16 2 2" xfId="36964" xr:uid="{00000000-0005-0000-0000-00008C900000}"/>
    <cellStyle name="Note 77 16 3" xfId="36965" xr:uid="{00000000-0005-0000-0000-00008D900000}"/>
    <cellStyle name="Note 77 17" xfId="36966" xr:uid="{00000000-0005-0000-0000-00008E900000}"/>
    <cellStyle name="Note 77 17 2" xfId="36967" xr:uid="{00000000-0005-0000-0000-00008F900000}"/>
    <cellStyle name="Note 77 17 2 2" xfId="36968" xr:uid="{00000000-0005-0000-0000-000090900000}"/>
    <cellStyle name="Note 77 17 3" xfId="36969" xr:uid="{00000000-0005-0000-0000-000091900000}"/>
    <cellStyle name="Note 77 18" xfId="36970" xr:uid="{00000000-0005-0000-0000-000092900000}"/>
    <cellStyle name="Note 77 18 2" xfId="36971" xr:uid="{00000000-0005-0000-0000-000093900000}"/>
    <cellStyle name="Note 77 18 2 2" xfId="36972" xr:uid="{00000000-0005-0000-0000-000094900000}"/>
    <cellStyle name="Note 77 18 3" xfId="36973" xr:uid="{00000000-0005-0000-0000-000095900000}"/>
    <cellStyle name="Note 77 19" xfId="36974" xr:uid="{00000000-0005-0000-0000-000096900000}"/>
    <cellStyle name="Note 77 19 2" xfId="36975" xr:uid="{00000000-0005-0000-0000-000097900000}"/>
    <cellStyle name="Note 77 19 2 2" xfId="36976" xr:uid="{00000000-0005-0000-0000-000098900000}"/>
    <cellStyle name="Note 77 19 3" xfId="36977" xr:uid="{00000000-0005-0000-0000-000099900000}"/>
    <cellStyle name="Note 77 2" xfId="36978" xr:uid="{00000000-0005-0000-0000-00009A900000}"/>
    <cellStyle name="Note 77 2 2" xfId="36979" xr:uid="{00000000-0005-0000-0000-00009B900000}"/>
    <cellStyle name="Note 77 2 2 2" xfId="36980" xr:uid="{00000000-0005-0000-0000-00009C900000}"/>
    <cellStyle name="Note 77 2 3" xfId="36981" xr:uid="{00000000-0005-0000-0000-00009D900000}"/>
    <cellStyle name="Note 77 20" xfId="36982" xr:uid="{00000000-0005-0000-0000-00009E900000}"/>
    <cellStyle name="Note 77 20 2" xfId="36983" xr:uid="{00000000-0005-0000-0000-00009F900000}"/>
    <cellStyle name="Note 77 20 2 2" xfId="36984" xr:uid="{00000000-0005-0000-0000-0000A0900000}"/>
    <cellStyle name="Note 77 20 3" xfId="36985" xr:uid="{00000000-0005-0000-0000-0000A1900000}"/>
    <cellStyle name="Note 77 21" xfId="36986" xr:uid="{00000000-0005-0000-0000-0000A2900000}"/>
    <cellStyle name="Note 77 21 2" xfId="36987" xr:uid="{00000000-0005-0000-0000-0000A3900000}"/>
    <cellStyle name="Note 77 21 2 2" xfId="36988" xr:uid="{00000000-0005-0000-0000-0000A4900000}"/>
    <cellStyle name="Note 77 21 3" xfId="36989" xr:uid="{00000000-0005-0000-0000-0000A5900000}"/>
    <cellStyle name="Note 77 22" xfId="36990" xr:uid="{00000000-0005-0000-0000-0000A6900000}"/>
    <cellStyle name="Note 77 22 2" xfId="36991" xr:uid="{00000000-0005-0000-0000-0000A7900000}"/>
    <cellStyle name="Note 77 22 2 2" xfId="36992" xr:uid="{00000000-0005-0000-0000-0000A8900000}"/>
    <cellStyle name="Note 77 22 3" xfId="36993" xr:uid="{00000000-0005-0000-0000-0000A9900000}"/>
    <cellStyle name="Note 77 23" xfId="36994" xr:uid="{00000000-0005-0000-0000-0000AA900000}"/>
    <cellStyle name="Note 77 23 2" xfId="36995" xr:uid="{00000000-0005-0000-0000-0000AB900000}"/>
    <cellStyle name="Note 77 23 2 2" xfId="36996" xr:uid="{00000000-0005-0000-0000-0000AC900000}"/>
    <cellStyle name="Note 77 23 3" xfId="36997" xr:uid="{00000000-0005-0000-0000-0000AD900000}"/>
    <cellStyle name="Note 77 24" xfId="36998" xr:uid="{00000000-0005-0000-0000-0000AE900000}"/>
    <cellStyle name="Note 77 24 2" xfId="36999" xr:uid="{00000000-0005-0000-0000-0000AF900000}"/>
    <cellStyle name="Note 77 24 2 2" xfId="37000" xr:uid="{00000000-0005-0000-0000-0000B0900000}"/>
    <cellStyle name="Note 77 24 3" xfId="37001" xr:uid="{00000000-0005-0000-0000-0000B1900000}"/>
    <cellStyle name="Note 77 25" xfId="37002" xr:uid="{00000000-0005-0000-0000-0000B2900000}"/>
    <cellStyle name="Note 77 25 2" xfId="37003" xr:uid="{00000000-0005-0000-0000-0000B3900000}"/>
    <cellStyle name="Note 77 25 2 2" xfId="37004" xr:uid="{00000000-0005-0000-0000-0000B4900000}"/>
    <cellStyle name="Note 77 25 3" xfId="37005" xr:uid="{00000000-0005-0000-0000-0000B5900000}"/>
    <cellStyle name="Note 77 26" xfId="37006" xr:uid="{00000000-0005-0000-0000-0000B6900000}"/>
    <cellStyle name="Note 77 26 2" xfId="37007" xr:uid="{00000000-0005-0000-0000-0000B7900000}"/>
    <cellStyle name="Note 77 26 2 2" xfId="37008" xr:uid="{00000000-0005-0000-0000-0000B8900000}"/>
    <cellStyle name="Note 77 26 3" xfId="37009" xr:uid="{00000000-0005-0000-0000-0000B9900000}"/>
    <cellStyle name="Note 77 27" xfId="37010" xr:uid="{00000000-0005-0000-0000-0000BA900000}"/>
    <cellStyle name="Note 77 27 2" xfId="37011" xr:uid="{00000000-0005-0000-0000-0000BB900000}"/>
    <cellStyle name="Note 77 27 2 2" xfId="37012" xr:uid="{00000000-0005-0000-0000-0000BC900000}"/>
    <cellStyle name="Note 77 27 3" xfId="37013" xr:uid="{00000000-0005-0000-0000-0000BD900000}"/>
    <cellStyle name="Note 77 28" xfId="37014" xr:uid="{00000000-0005-0000-0000-0000BE900000}"/>
    <cellStyle name="Note 77 28 2" xfId="37015" xr:uid="{00000000-0005-0000-0000-0000BF900000}"/>
    <cellStyle name="Note 77 28 2 2" xfId="37016" xr:uid="{00000000-0005-0000-0000-0000C0900000}"/>
    <cellStyle name="Note 77 28 3" xfId="37017" xr:uid="{00000000-0005-0000-0000-0000C1900000}"/>
    <cellStyle name="Note 77 29" xfId="37018" xr:uid="{00000000-0005-0000-0000-0000C2900000}"/>
    <cellStyle name="Note 77 29 2" xfId="37019" xr:uid="{00000000-0005-0000-0000-0000C3900000}"/>
    <cellStyle name="Note 77 29 2 2" xfId="37020" xr:uid="{00000000-0005-0000-0000-0000C4900000}"/>
    <cellStyle name="Note 77 29 3" xfId="37021" xr:uid="{00000000-0005-0000-0000-0000C5900000}"/>
    <cellStyle name="Note 77 3" xfId="37022" xr:uid="{00000000-0005-0000-0000-0000C6900000}"/>
    <cellStyle name="Note 77 3 2" xfId="37023" xr:uid="{00000000-0005-0000-0000-0000C7900000}"/>
    <cellStyle name="Note 77 3 2 2" xfId="37024" xr:uid="{00000000-0005-0000-0000-0000C8900000}"/>
    <cellStyle name="Note 77 3 3" xfId="37025" xr:uid="{00000000-0005-0000-0000-0000C9900000}"/>
    <cellStyle name="Note 77 30" xfId="37026" xr:uid="{00000000-0005-0000-0000-0000CA900000}"/>
    <cellStyle name="Note 77 30 2" xfId="37027" xr:uid="{00000000-0005-0000-0000-0000CB900000}"/>
    <cellStyle name="Note 77 30 2 2" xfId="37028" xr:uid="{00000000-0005-0000-0000-0000CC900000}"/>
    <cellStyle name="Note 77 30 3" xfId="37029" xr:uid="{00000000-0005-0000-0000-0000CD900000}"/>
    <cellStyle name="Note 77 31" xfId="37030" xr:uid="{00000000-0005-0000-0000-0000CE900000}"/>
    <cellStyle name="Note 77 31 2" xfId="37031" xr:uid="{00000000-0005-0000-0000-0000CF900000}"/>
    <cellStyle name="Note 77 31 2 2" xfId="37032" xr:uid="{00000000-0005-0000-0000-0000D0900000}"/>
    <cellStyle name="Note 77 31 3" xfId="37033" xr:uid="{00000000-0005-0000-0000-0000D1900000}"/>
    <cellStyle name="Note 77 32" xfId="37034" xr:uid="{00000000-0005-0000-0000-0000D2900000}"/>
    <cellStyle name="Note 77 32 2" xfId="37035" xr:uid="{00000000-0005-0000-0000-0000D3900000}"/>
    <cellStyle name="Note 77 32 2 2" xfId="37036" xr:uid="{00000000-0005-0000-0000-0000D4900000}"/>
    <cellStyle name="Note 77 32 3" xfId="37037" xr:uid="{00000000-0005-0000-0000-0000D5900000}"/>
    <cellStyle name="Note 77 33" xfId="37038" xr:uid="{00000000-0005-0000-0000-0000D6900000}"/>
    <cellStyle name="Note 77 33 2" xfId="37039" xr:uid="{00000000-0005-0000-0000-0000D7900000}"/>
    <cellStyle name="Note 77 33 2 2" xfId="37040" xr:uid="{00000000-0005-0000-0000-0000D8900000}"/>
    <cellStyle name="Note 77 33 3" xfId="37041" xr:uid="{00000000-0005-0000-0000-0000D9900000}"/>
    <cellStyle name="Note 77 34" xfId="37042" xr:uid="{00000000-0005-0000-0000-0000DA900000}"/>
    <cellStyle name="Note 77 34 2" xfId="37043" xr:uid="{00000000-0005-0000-0000-0000DB900000}"/>
    <cellStyle name="Note 77 34 2 2" xfId="37044" xr:uid="{00000000-0005-0000-0000-0000DC900000}"/>
    <cellStyle name="Note 77 34 3" xfId="37045" xr:uid="{00000000-0005-0000-0000-0000DD900000}"/>
    <cellStyle name="Note 77 35" xfId="37046" xr:uid="{00000000-0005-0000-0000-0000DE900000}"/>
    <cellStyle name="Note 77 35 2" xfId="37047" xr:uid="{00000000-0005-0000-0000-0000DF900000}"/>
    <cellStyle name="Note 77 35 2 2" xfId="37048" xr:uid="{00000000-0005-0000-0000-0000E0900000}"/>
    <cellStyle name="Note 77 35 3" xfId="37049" xr:uid="{00000000-0005-0000-0000-0000E1900000}"/>
    <cellStyle name="Note 77 36" xfId="37050" xr:uid="{00000000-0005-0000-0000-0000E2900000}"/>
    <cellStyle name="Note 77 36 2" xfId="37051" xr:uid="{00000000-0005-0000-0000-0000E3900000}"/>
    <cellStyle name="Note 77 36 2 2" xfId="37052" xr:uid="{00000000-0005-0000-0000-0000E4900000}"/>
    <cellStyle name="Note 77 36 3" xfId="37053" xr:uid="{00000000-0005-0000-0000-0000E5900000}"/>
    <cellStyle name="Note 77 4" xfId="37054" xr:uid="{00000000-0005-0000-0000-0000E6900000}"/>
    <cellStyle name="Note 77 4 2" xfId="37055" xr:uid="{00000000-0005-0000-0000-0000E7900000}"/>
    <cellStyle name="Note 77 4 2 2" xfId="37056" xr:uid="{00000000-0005-0000-0000-0000E8900000}"/>
    <cellStyle name="Note 77 4 3" xfId="37057" xr:uid="{00000000-0005-0000-0000-0000E9900000}"/>
    <cellStyle name="Note 77 5" xfId="37058" xr:uid="{00000000-0005-0000-0000-0000EA900000}"/>
    <cellStyle name="Note 77 5 2" xfId="37059" xr:uid="{00000000-0005-0000-0000-0000EB900000}"/>
    <cellStyle name="Note 77 5 2 2" xfId="37060" xr:uid="{00000000-0005-0000-0000-0000EC900000}"/>
    <cellStyle name="Note 77 5 3" xfId="37061" xr:uid="{00000000-0005-0000-0000-0000ED900000}"/>
    <cellStyle name="Note 77 6" xfId="37062" xr:uid="{00000000-0005-0000-0000-0000EE900000}"/>
    <cellStyle name="Note 77 6 2" xfId="37063" xr:uid="{00000000-0005-0000-0000-0000EF900000}"/>
    <cellStyle name="Note 77 6 2 2" xfId="37064" xr:uid="{00000000-0005-0000-0000-0000F0900000}"/>
    <cellStyle name="Note 77 6 3" xfId="37065" xr:uid="{00000000-0005-0000-0000-0000F1900000}"/>
    <cellStyle name="Note 77 7" xfId="37066" xr:uid="{00000000-0005-0000-0000-0000F2900000}"/>
    <cellStyle name="Note 77 7 2" xfId="37067" xr:uid="{00000000-0005-0000-0000-0000F3900000}"/>
    <cellStyle name="Note 77 7 2 2" xfId="37068" xr:uid="{00000000-0005-0000-0000-0000F4900000}"/>
    <cellStyle name="Note 77 7 3" xfId="37069" xr:uid="{00000000-0005-0000-0000-0000F5900000}"/>
    <cellStyle name="Note 77 8" xfId="37070" xr:uid="{00000000-0005-0000-0000-0000F6900000}"/>
    <cellStyle name="Note 77 8 2" xfId="37071" xr:uid="{00000000-0005-0000-0000-0000F7900000}"/>
    <cellStyle name="Note 77 8 2 2" xfId="37072" xr:uid="{00000000-0005-0000-0000-0000F8900000}"/>
    <cellStyle name="Note 77 8 3" xfId="37073" xr:uid="{00000000-0005-0000-0000-0000F9900000}"/>
    <cellStyle name="Note 77 9" xfId="37074" xr:uid="{00000000-0005-0000-0000-0000FA900000}"/>
    <cellStyle name="Note 77 9 2" xfId="37075" xr:uid="{00000000-0005-0000-0000-0000FB900000}"/>
    <cellStyle name="Note 77 9 2 2" xfId="37076" xr:uid="{00000000-0005-0000-0000-0000FC900000}"/>
    <cellStyle name="Note 77 9 3" xfId="37077" xr:uid="{00000000-0005-0000-0000-0000FD900000}"/>
    <cellStyle name="Note 78" xfId="37078" xr:uid="{00000000-0005-0000-0000-0000FE900000}"/>
    <cellStyle name="Note 78 2" xfId="37079" xr:uid="{00000000-0005-0000-0000-0000FF900000}"/>
    <cellStyle name="Note 79" xfId="37080" xr:uid="{00000000-0005-0000-0000-000000910000}"/>
    <cellStyle name="Note 79 10" xfId="37081" xr:uid="{00000000-0005-0000-0000-000001910000}"/>
    <cellStyle name="Note 79 10 2" xfId="37082" xr:uid="{00000000-0005-0000-0000-000002910000}"/>
    <cellStyle name="Note 79 10 2 2" xfId="37083" xr:uid="{00000000-0005-0000-0000-000003910000}"/>
    <cellStyle name="Note 79 10 3" xfId="37084" xr:uid="{00000000-0005-0000-0000-000004910000}"/>
    <cellStyle name="Note 79 11" xfId="37085" xr:uid="{00000000-0005-0000-0000-000005910000}"/>
    <cellStyle name="Note 79 11 2" xfId="37086" xr:uid="{00000000-0005-0000-0000-000006910000}"/>
    <cellStyle name="Note 79 11 2 2" xfId="37087" xr:uid="{00000000-0005-0000-0000-000007910000}"/>
    <cellStyle name="Note 79 11 3" xfId="37088" xr:uid="{00000000-0005-0000-0000-000008910000}"/>
    <cellStyle name="Note 79 12" xfId="37089" xr:uid="{00000000-0005-0000-0000-000009910000}"/>
    <cellStyle name="Note 79 12 2" xfId="37090" xr:uid="{00000000-0005-0000-0000-00000A910000}"/>
    <cellStyle name="Note 79 12 2 2" xfId="37091" xr:uid="{00000000-0005-0000-0000-00000B910000}"/>
    <cellStyle name="Note 79 12 3" xfId="37092" xr:uid="{00000000-0005-0000-0000-00000C910000}"/>
    <cellStyle name="Note 79 13" xfId="37093" xr:uid="{00000000-0005-0000-0000-00000D910000}"/>
    <cellStyle name="Note 79 13 2" xfId="37094" xr:uid="{00000000-0005-0000-0000-00000E910000}"/>
    <cellStyle name="Note 79 13 2 2" xfId="37095" xr:uid="{00000000-0005-0000-0000-00000F910000}"/>
    <cellStyle name="Note 79 13 3" xfId="37096" xr:uid="{00000000-0005-0000-0000-000010910000}"/>
    <cellStyle name="Note 79 14" xfId="37097" xr:uid="{00000000-0005-0000-0000-000011910000}"/>
    <cellStyle name="Note 79 14 2" xfId="37098" xr:uid="{00000000-0005-0000-0000-000012910000}"/>
    <cellStyle name="Note 79 14 2 2" xfId="37099" xr:uid="{00000000-0005-0000-0000-000013910000}"/>
    <cellStyle name="Note 79 14 3" xfId="37100" xr:uid="{00000000-0005-0000-0000-000014910000}"/>
    <cellStyle name="Note 79 15" xfId="37101" xr:uid="{00000000-0005-0000-0000-000015910000}"/>
    <cellStyle name="Note 79 15 2" xfId="37102" xr:uid="{00000000-0005-0000-0000-000016910000}"/>
    <cellStyle name="Note 79 15 2 2" xfId="37103" xr:uid="{00000000-0005-0000-0000-000017910000}"/>
    <cellStyle name="Note 79 15 3" xfId="37104" xr:uid="{00000000-0005-0000-0000-000018910000}"/>
    <cellStyle name="Note 79 16" xfId="37105" xr:uid="{00000000-0005-0000-0000-000019910000}"/>
    <cellStyle name="Note 79 16 2" xfId="37106" xr:uid="{00000000-0005-0000-0000-00001A910000}"/>
    <cellStyle name="Note 79 16 2 2" xfId="37107" xr:uid="{00000000-0005-0000-0000-00001B910000}"/>
    <cellStyle name="Note 79 16 3" xfId="37108" xr:uid="{00000000-0005-0000-0000-00001C910000}"/>
    <cellStyle name="Note 79 17" xfId="37109" xr:uid="{00000000-0005-0000-0000-00001D910000}"/>
    <cellStyle name="Note 79 17 2" xfId="37110" xr:uid="{00000000-0005-0000-0000-00001E910000}"/>
    <cellStyle name="Note 79 17 2 2" xfId="37111" xr:uid="{00000000-0005-0000-0000-00001F910000}"/>
    <cellStyle name="Note 79 17 3" xfId="37112" xr:uid="{00000000-0005-0000-0000-000020910000}"/>
    <cellStyle name="Note 79 18" xfId="37113" xr:uid="{00000000-0005-0000-0000-000021910000}"/>
    <cellStyle name="Note 79 18 2" xfId="37114" xr:uid="{00000000-0005-0000-0000-000022910000}"/>
    <cellStyle name="Note 79 18 2 2" xfId="37115" xr:uid="{00000000-0005-0000-0000-000023910000}"/>
    <cellStyle name="Note 79 18 3" xfId="37116" xr:uid="{00000000-0005-0000-0000-000024910000}"/>
    <cellStyle name="Note 79 19" xfId="37117" xr:uid="{00000000-0005-0000-0000-000025910000}"/>
    <cellStyle name="Note 79 19 2" xfId="37118" xr:uid="{00000000-0005-0000-0000-000026910000}"/>
    <cellStyle name="Note 79 19 2 2" xfId="37119" xr:uid="{00000000-0005-0000-0000-000027910000}"/>
    <cellStyle name="Note 79 19 3" xfId="37120" xr:uid="{00000000-0005-0000-0000-000028910000}"/>
    <cellStyle name="Note 79 2" xfId="37121" xr:uid="{00000000-0005-0000-0000-000029910000}"/>
    <cellStyle name="Note 79 2 2" xfId="37122" xr:uid="{00000000-0005-0000-0000-00002A910000}"/>
    <cellStyle name="Note 79 2 2 2" xfId="37123" xr:uid="{00000000-0005-0000-0000-00002B910000}"/>
    <cellStyle name="Note 79 2 3" xfId="37124" xr:uid="{00000000-0005-0000-0000-00002C910000}"/>
    <cellStyle name="Note 79 20" xfId="37125" xr:uid="{00000000-0005-0000-0000-00002D910000}"/>
    <cellStyle name="Note 79 20 2" xfId="37126" xr:uid="{00000000-0005-0000-0000-00002E910000}"/>
    <cellStyle name="Note 79 20 2 2" xfId="37127" xr:uid="{00000000-0005-0000-0000-00002F910000}"/>
    <cellStyle name="Note 79 20 3" xfId="37128" xr:uid="{00000000-0005-0000-0000-000030910000}"/>
    <cellStyle name="Note 79 21" xfId="37129" xr:uid="{00000000-0005-0000-0000-000031910000}"/>
    <cellStyle name="Note 79 21 2" xfId="37130" xr:uid="{00000000-0005-0000-0000-000032910000}"/>
    <cellStyle name="Note 79 21 2 2" xfId="37131" xr:uid="{00000000-0005-0000-0000-000033910000}"/>
    <cellStyle name="Note 79 21 3" xfId="37132" xr:uid="{00000000-0005-0000-0000-000034910000}"/>
    <cellStyle name="Note 79 22" xfId="37133" xr:uid="{00000000-0005-0000-0000-000035910000}"/>
    <cellStyle name="Note 79 22 2" xfId="37134" xr:uid="{00000000-0005-0000-0000-000036910000}"/>
    <cellStyle name="Note 79 22 2 2" xfId="37135" xr:uid="{00000000-0005-0000-0000-000037910000}"/>
    <cellStyle name="Note 79 22 3" xfId="37136" xr:uid="{00000000-0005-0000-0000-000038910000}"/>
    <cellStyle name="Note 79 23" xfId="37137" xr:uid="{00000000-0005-0000-0000-000039910000}"/>
    <cellStyle name="Note 79 23 2" xfId="37138" xr:uid="{00000000-0005-0000-0000-00003A910000}"/>
    <cellStyle name="Note 79 23 2 2" xfId="37139" xr:uid="{00000000-0005-0000-0000-00003B910000}"/>
    <cellStyle name="Note 79 23 3" xfId="37140" xr:uid="{00000000-0005-0000-0000-00003C910000}"/>
    <cellStyle name="Note 79 24" xfId="37141" xr:uid="{00000000-0005-0000-0000-00003D910000}"/>
    <cellStyle name="Note 79 24 2" xfId="37142" xr:uid="{00000000-0005-0000-0000-00003E910000}"/>
    <cellStyle name="Note 79 24 2 2" xfId="37143" xr:uid="{00000000-0005-0000-0000-00003F910000}"/>
    <cellStyle name="Note 79 24 3" xfId="37144" xr:uid="{00000000-0005-0000-0000-000040910000}"/>
    <cellStyle name="Note 79 25" xfId="37145" xr:uid="{00000000-0005-0000-0000-000041910000}"/>
    <cellStyle name="Note 79 25 2" xfId="37146" xr:uid="{00000000-0005-0000-0000-000042910000}"/>
    <cellStyle name="Note 79 25 2 2" xfId="37147" xr:uid="{00000000-0005-0000-0000-000043910000}"/>
    <cellStyle name="Note 79 25 3" xfId="37148" xr:uid="{00000000-0005-0000-0000-000044910000}"/>
    <cellStyle name="Note 79 26" xfId="37149" xr:uid="{00000000-0005-0000-0000-000045910000}"/>
    <cellStyle name="Note 79 26 2" xfId="37150" xr:uid="{00000000-0005-0000-0000-000046910000}"/>
    <cellStyle name="Note 79 26 2 2" xfId="37151" xr:uid="{00000000-0005-0000-0000-000047910000}"/>
    <cellStyle name="Note 79 26 3" xfId="37152" xr:uid="{00000000-0005-0000-0000-000048910000}"/>
    <cellStyle name="Note 79 27" xfId="37153" xr:uid="{00000000-0005-0000-0000-000049910000}"/>
    <cellStyle name="Note 79 27 2" xfId="37154" xr:uid="{00000000-0005-0000-0000-00004A910000}"/>
    <cellStyle name="Note 79 27 2 2" xfId="37155" xr:uid="{00000000-0005-0000-0000-00004B910000}"/>
    <cellStyle name="Note 79 27 3" xfId="37156" xr:uid="{00000000-0005-0000-0000-00004C910000}"/>
    <cellStyle name="Note 79 28" xfId="37157" xr:uid="{00000000-0005-0000-0000-00004D910000}"/>
    <cellStyle name="Note 79 28 2" xfId="37158" xr:uid="{00000000-0005-0000-0000-00004E910000}"/>
    <cellStyle name="Note 79 28 2 2" xfId="37159" xr:uid="{00000000-0005-0000-0000-00004F910000}"/>
    <cellStyle name="Note 79 28 3" xfId="37160" xr:uid="{00000000-0005-0000-0000-000050910000}"/>
    <cellStyle name="Note 79 29" xfId="37161" xr:uid="{00000000-0005-0000-0000-000051910000}"/>
    <cellStyle name="Note 79 29 2" xfId="37162" xr:uid="{00000000-0005-0000-0000-000052910000}"/>
    <cellStyle name="Note 79 29 2 2" xfId="37163" xr:uid="{00000000-0005-0000-0000-000053910000}"/>
    <cellStyle name="Note 79 29 3" xfId="37164" xr:uid="{00000000-0005-0000-0000-000054910000}"/>
    <cellStyle name="Note 79 3" xfId="37165" xr:uid="{00000000-0005-0000-0000-000055910000}"/>
    <cellStyle name="Note 79 3 2" xfId="37166" xr:uid="{00000000-0005-0000-0000-000056910000}"/>
    <cellStyle name="Note 79 3 2 2" xfId="37167" xr:uid="{00000000-0005-0000-0000-000057910000}"/>
    <cellStyle name="Note 79 3 3" xfId="37168" xr:uid="{00000000-0005-0000-0000-000058910000}"/>
    <cellStyle name="Note 79 30" xfId="37169" xr:uid="{00000000-0005-0000-0000-000059910000}"/>
    <cellStyle name="Note 79 30 2" xfId="37170" xr:uid="{00000000-0005-0000-0000-00005A910000}"/>
    <cellStyle name="Note 79 30 2 2" xfId="37171" xr:uid="{00000000-0005-0000-0000-00005B910000}"/>
    <cellStyle name="Note 79 30 3" xfId="37172" xr:uid="{00000000-0005-0000-0000-00005C910000}"/>
    <cellStyle name="Note 79 31" xfId="37173" xr:uid="{00000000-0005-0000-0000-00005D910000}"/>
    <cellStyle name="Note 79 31 2" xfId="37174" xr:uid="{00000000-0005-0000-0000-00005E910000}"/>
    <cellStyle name="Note 79 31 2 2" xfId="37175" xr:uid="{00000000-0005-0000-0000-00005F910000}"/>
    <cellStyle name="Note 79 31 3" xfId="37176" xr:uid="{00000000-0005-0000-0000-000060910000}"/>
    <cellStyle name="Note 79 32" xfId="37177" xr:uid="{00000000-0005-0000-0000-000061910000}"/>
    <cellStyle name="Note 79 32 2" xfId="37178" xr:uid="{00000000-0005-0000-0000-000062910000}"/>
    <cellStyle name="Note 79 32 2 2" xfId="37179" xr:uid="{00000000-0005-0000-0000-000063910000}"/>
    <cellStyle name="Note 79 32 3" xfId="37180" xr:uid="{00000000-0005-0000-0000-000064910000}"/>
    <cellStyle name="Note 79 33" xfId="37181" xr:uid="{00000000-0005-0000-0000-000065910000}"/>
    <cellStyle name="Note 79 33 2" xfId="37182" xr:uid="{00000000-0005-0000-0000-000066910000}"/>
    <cellStyle name="Note 79 33 2 2" xfId="37183" xr:uid="{00000000-0005-0000-0000-000067910000}"/>
    <cellStyle name="Note 79 33 3" xfId="37184" xr:uid="{00000000-0005-0000-0000-000068910000}"/>
    <cellStyle name="Note 79 34" xfId="37185" xr:uid="{00000000-0005-0000-0000-000069910000}"/>
    <cellStyle name="Note 79 34 2" xfId="37186" xr:uid="{00000000-0005-0000-0000-00006A910000}"/>
    <cellStyle name="Note 79 34 2 2" xfId="37187" xr:uid="{00000000-0005-0000-0000-00006B910000}"/>
    <cellStyle name="Note 79 34 3" xfId="37188" xr:uid="{00000000-0005-0000-0000-00006C910000}"/>
    <cellStyle name="Note 79 35" xfId="37189" xr:uid="{00000000-0005-0000-0000-00006D910000}"/>
    <cellStyle name="Note 79 35 2" xfId="37190" xr:uid="{00000000-0005-0000-0000-00006E910000}"/>
    <cellStyle name="Note 79 35 2 2" xfId="37191" xr:uid="{00000000-0005-0000-0000-00006F910000}"/>
    <cellStyle name="Note 79 35 3" xfId="37192" xr:uid="{00000000-0005-0000-0000-000070910000}"/>
    <cellStyle name="Note 79 36" xfId="37193" xr:uid="{00000000-0005-0000-0000-000071910000}"/>
    <cellStyle name="Note 79 36 2" xfId="37194" xr:uid="{00000000-0005-0000-0000-000072910000}"/>
    <cellStyle name="Note 79 36 2 2" xfId="37195" xr:uid="{00000000-0005-0000-0000-000073910000}"/>
    <cellStyle name="Note 79 36 3" xfId="37196" xr:uid="{00000000-0005-0000-0000-000074910000}"/>
    <cellStyle name="Note 79 4" xfId="37197" xr:uid="{00000000-0005-0000-0000-000075910000}"/>
    <cellStyle name="Note 79 4 2" xfId="37198" xr:uid="{00000000-0005-0000-0000-000076910000}"/>
    <cellStyle name="Note 79 4 2 2" xfId="37199" xr:uid="{00000000-0005-0000-0000-000077910000}"/>
    <cellStyle name="Note 79 4 3" xfId="37200" xr:uid="{00000000-0005-0000-0000-000078910000}"/>
    <cellStyle name="Note 79 5" xfId="37201" xr:uid="{00000000-0005-0000-0000-000079910000}"/>
    <cellStyle name="Note 79 5 2" xfId="37202" xr:uid="{00000000-0005-0000-0000-00007A910000}"/>
    <cellStyle name="Note 79 5 2 2" xfId="37203" xr:uid="{00000000-0005-0000-0000-00007B910000}"/>
    <cellStyle name="Note 79 5 3" xfId="37204" xr:uid="{00000000-0005-0000-0000-00007C910000}"/>
    <cellStyle name="Note 79 6" xfId="37205" xr:uid="{00000000-0005-0000-0000-00007D910000}"/>
    <cellStyle name="Note 79 6 2" xfId="37206" xr:uid="{00000000-0005-0000-0000-00007E910000}"/>
    <cellStyle name="Note 79 6 2 2" xfId="37207" xr:uid="{00000000-0005-0000-0000-00007F910000}"/>
    <cellStyle name="Note 79 6 3" xfId="37208" xr:uid="{00000000-0005-0000-0000-000080910000}"/>
    <cellStyle name="Note 79 7" xfId="37209" xr:uid="{00000000-0005-0000-0000-000081910000}"/>
    <cellStyle name="Note 79 7 2" xfId="37210" xr:uid="{00000000-0005-0000-0000-000082910000}"/>
    <cellStyle name="Note 79 7 2 2" xfId="37211" xr:uid="{00000000-0005-0000-0000-000083910000}"/>
    <cellStyle name="Note 79 7 3" xfId="37212" xr:uid="{00000000-0005-0000-0000-000084910000}"/>
    <cellStyle name="Note 79 8" xfId="37213" xr:uid="{00000000-0005-0000-0000-000085910000}"/>
    <cellStyle name="Note 79 8 2" xfId="37214" xr:uid="{00000000-0005-0000-0000-000086910000}"/>
    <cellStyle name="Note 79 8 2 2" xfId="37215" xr:uid="{00000000-0005-0000-0000-000087910000}"/>
    <cellStyle name="Note 79 8 3" xfId="37216" xr:uid="{00000000-0005-0000-0000-000088910000}"/>
    <cellStyle name="Note 79 9" xfId="37217" xr:uid="{00000000-0005-0000-0000-000089910000}"/>
    <cellStyle name="Note 79 9 2" xfId="37218" xr:uid="{00000000-0005-0000-0000-00008A910000}"/>
    <cellStyle name="Note 79 9 2 2" xfId="37219" xr:uid="{00000000-0005-0000-0000-00008B910000}"/>
    <cellStyle name="Note 79 9 3" xfId="37220" xr:uid="{00000000-0005-0000-0000-00008C910000}"/>
    <cellStyle name="Note 8" xfId="37221" xr:uid="{00000000-0005-0000-0000-00008D910000}"/>
    <cellStyle name="Note 8 2" xfId="37222" xr:uid="{00000000-0005-0000-0000-00008E910000}"/>
    <cellStyle name="Note 8 2 2" xfId="37223" xr:uid="{00000000-0005-0000-0000-00008F910000}"/>
    <cellStyle name="Note 8 3" xfId="37224" xr:uid="{00000000-0005-0000-0000-000090910000}"/>
    <cellStyle name="Note 8 4" xfId="37225" xr:uid="{00000000-0005-0000-0000-000091910000}"/>
    <cellStyle name="Note 80" xfId="37226" xr:uid="{00000000-0005-0000-0000-000092910000}"/>
    <cellStyle name="Note 80 2" xfId="37227" xr:uid="{00000000-0005-0000-0000-000093910000}"/>
    <cellStyle name="Note 81" xfId="37228" xr:uid="{00000000-0005-0000-0000-000094910000}"/>
    <cellStyle name="Note 81 10" xfId="37229" xr:uid="{00000000-0005-0000-0000-000095910000}"/>
    <cellStyle name="Note 81 10 2" xfId="37230" xr:uid="{00000000-0005-0000-0000-000096910000}"/>
    <cellStyle name="Note 81 10 2 2" xfId="37231" xr:uid="{00000000-0005-0000-0000-000097910000}"/>
    <cellStyle name="Note 81 10 3" xfId="37232" xr:uid="{00000000-0005-0000-0000-000098910000}"/>
    <cellStyle name="Note 81 11" xfId="37233" xr:uid="{00000000-0005-0000-0000-000099910000}"/>
    <cellStyle name="Note 81 11 2" xfId="37234" xr:uid="{00000000-0005-0000-0000-00009A910000}"/>
    <cellStyle name="Note 81 11 2 2" xfId="37235" xr:uid="{00000000-0005-0000-0000-00009B910000}"/>
    <cellStyle name="Note 81 11 3" xfId="37236" xr:uid="{00000000-0005-0000-0000-00009C910000}"/>
    <cellStyle name="Note 81 12" xfId="37237" xr:uid="{00000000-0005-0000-0000-00009D910000}"/>
    <cellStyle name="Note 81 12 2" xfId="37238" xr:uid="{00000000-0005-0000-0000-00009E910000}"/>
    <cellStyle name="Note 81 12 2 2" xfId="37239" xr:uid="{00000000-0005-0000-0000-00009F910000}"/>
    <cellStyle name="Note 81 12 3" xfId="37240" xr:uid="{00000000-0005-0000-0000-0000A0910000}"/>
    <cellStyle name="Note 81 13" xfId="37241" xr:uid="{00000000-0005-0000-0000-0000A1910000}"/>
    <cellStyle name="Note 81 13 2" xfId="37242" xr:uid="{00000000-0005-0000-0000-0000A2910000}"/>
    <cellStyle name="Note 81 13 2 2" xfId="37243" xr:uid="{00000000-0005-0000-0000-0000A3910000}"/>
    <cellStyle name="Note 81 13 3" xfId="37244" xr:uid="{00000000-0005-0000-0000-0000A4910000}"/>
    <cellStyle name="Note 81 14" xfId="37245" xr:uid="{00000000-0005-0000-0000-0000A5910000}"/>
    <cellStyle name="Note 81 14 2" xfId="37246" xr:uid="{00000000-0005-0000-0000-0000A6910000}"/>
    <cellStyle name="Note 81 14 2 2" xfId="37247" xr:uid="{00000000-0005-0000-0000-0000A7910000}"/>
    <cellStyle name="Note 81 14 3" xfId="37248" xr:uid="{00000000-0005-0000-0000-0000A8910000}"/>
    <cellStyle name="Note 81 15" xfId="37249" xr:uid="{00000000-0005-0000-0000-0000A9910000}"/>
    <cellStyle name="Note 81 15 2" xfId="37250" xr:uid="{00000000-0005-0000-0000-0000AA910000}"/>
    <cellStyle name="Note 81 15 2 2" xfId="37251" xr:uid="{00000000-0005-0000-0000-0000AB910000}"/>
    <cellStyle name="Note 81 15 3" xfId="37252" xr:uid="{00000000-0005-0000-0000-0000AC910000}"/>
    <cellStyle name="Note 81 16" xfId="37253" xr:uid="{00000000-0005-0000-0000-0000AD910000}"/>
    <cellStyle name="Note 81 16 2" xfId="37254" xr:uid="{00000000-0005-0000-0000-0000AE910000}"/>
    <cellStyle name="Note 81 16 2 2" xfId="37255" xr:uid="{00000000-0005-0000-0000-0000AF910000}"/>
    <cellStyle name="Note 81 16 3" xfId="37256" xr:uid="{00000000-0005-0000-0000-0000B0910000}"/>
    <cellStyle name="Note 81 17" xfId="37257" xr:uid="{00000000-0005-0000-0000-0000B1910000}"/>
    <cellStyle name="Note 81 17 2" xfId="37258" xr:uid="{00000000-0005-0000-0000-0000B2910000}"/>
    <cellStyle name="Note 81 17 2 2" xfId="37259" xr:uid="{00000000-0005-0000-0000-0000B3910000}"/>
    <cellStyle name="Note 81 17 3" xfId="37260" xr:uid="{00000000-0005-0000-0000-0000B4910000}"/>
    <cellStyle name="Note 81 18" xfId="37261" xr:uid="{00000000-0005-0000-0000-0000B5910000}"/>
    <cellStyle name="Note 81 18 2" xfId="37262" xr:uid="{00000000-0005-0000-0000-0000B6910000}"/>
    <cellStyle name="Note 81 18 2 2" xfId="37263" xr:uid="{00000000-0005-0000-0000-0000B7910000}"/>
    <cellStyle name="Note 81 18 3" xfId="37264" xr:uid="{00000000-0005-0000-0000-0000B8910000}"/>
    <cellStyle name="Note 81 19" xfId="37265" xr:uid="{00000000-0005-0000-0000-0000B9910000}"/>
    <cellStyle name="Note 81 19 2" xfId="37266" xr:uid="{00000000-0005-0000-0000-0000BA910000}"/>
    <cellStyle name="Note 81 19 2 2" xfId="37267" xr:uid="{00000000-0005-0000-0000-0000BB910000}"/>
    <cellStyle name="Note 81 19 3" xfId="37268" xr:uid="{00000000-0005-0000-0000-0000BC910000}"/>
    <cellStyle name="Note 81 2" xfId="37269" xr:uid="{00000000-0005-0000-0000-0000BD910000}"/>
    <cellStyle name="Note 81 2 2" xfId="37270" xr:uid="{00000000-0005-0000-0000-0000BE910000}"/>
    <cellStyle name="Note 81 2 2 2" xfId="37271" xr:uid="{00000000-0005-0000-0000-0000BF910000}"/>
    <cellStyle name="Note 81 2 3" xfId="37272" xr:uid="{00000000-0005-0000-0000-0000C0910000}"/>
    <cellStyle name="Note 81 20" xfId="37273" xr:uid="{00000000-0005-0000-0000-0000C1910000}"/>
    <cellStyle name="Note 81 20 2" xfId="37274" xr:uid="{00000000-0005-0000-0000-0000C2910000}"/>
    <cellStyle name="Note 81 20 2 2" xfId="37275" xr:uid="{00000000-0005-0000-0000-0000C3910000}"/>
    <cellStyle name="Note 81 20 3" xfId="37276" xr:uid="{00000000-0005-0000-0000-0000C4910000}"/>
    <cellStyle name="Note 81 21" xfId="37277" xr:uid="{00000000-0005-0000-0000-0000C5910000}"/>
    <cellStyle name="Note 81 21 2" xfId="37278" xr:uid="{00000000-0005-0000-0000-0000C6910000}"/>
    <cellStyle name="Note 81 21 2 2" xfId="37279" xr:uid="{00000000-0005-0000-0000-0000C7910000}"/>
    <cellStyle name="Note 81 21 3" xfId="37280" xr:uid="{00000000-0005-0000-0000-0000C8910000}"/>
    <cellStyle name="Note 81 22" xfId="37281" xr:uid="{00000000-0005-0000-0000-0000C9910000}"/>
    <cellStyle name="Note 81 22 2" xfId="37282" xr:uid="{00000000-0005-0000-0000-0000CA910000}"/>
    <cellStyle name="Note 81 22 2 2" xfId="37283" xr:uid="{00000000-0005-0000-0000-0000CB910000}"/>
    <cellStyle name="Note 81 22 3" xfId="37284" xr:uid="{00000000-0005-0000-0000-0000CC910000}"/>
    <cellStyle name="Note 81 23" xfId="37285" xr:uid="{00000000-0005-0000-0000-0000CD910000}"/>
    <cellStyle name="Note 81 23 2" xfId="37286" xr:uid="{00000000-0005-0000-0000-0000CE910000}"/>
    <cellStyle name="Note 81 23 2 2" xfId="37287" xr:uid="{00000000-0005-0000-0000-0000CF910000}"/>
    <cellStyle name="Note 81 23 3" xfId="37288" xr:uid="{00000000-0005-0000-0000-0000D0910000}"/>
    <cellStyle name="Note 81 24" xfId="37289" xr:uid="{00000000-0005-0000-0000-0000D1910000}"/>
    <cellStyle name="Note 81 24 2" xfId="37290" xr:uid="{00000000-0005-0000-0000-0000D2910000}"/>
    <cellStyle name="Note 81 24 2 2" xfId="37291" xr:uid="{00000000-0005-0000-0000-0000D3910000}"/>
    <cellStyle name="Note 81 24 3" xfId="37292" xr:uid="{00000000-0005-0000-0000-0000D4910000}"/>
    <cellStyle name="Note 81 25" xfId="37293" xr:uid="{00000000-0005-0000-0000-0000D5910000}"/>
    <cellStyle name="Note 81 25 2" xfId="37294" xr:uid="{00000000-0005-0000-0000-0000D6910000}"/>
    <cellStyle name="Note 81 25 2 2" xfId="37295" xr:uid="{00000000-0005-0000-0000-0000D7910000}"/>
    <cellStyle name="Note 81 25 3" xfId="37296" xr:uid="{00000000-0005-0000-0000-0000D8910000}"/>
    <cellStyle name="Note 81 26" xfId="37297" xr:uid="{00000000-0005-0000-0000-0000D9910000}"/>
    <cellStyle name="Note 81 26 2" xfId="37298" xr:uid="{00000000-0005-0000-0000-0000DA910000}"/>
    <cellStyle name="Note 81 26 2 2" xfId="37299" xr:uid="{00000000-0005-0000-0000-0000DB910000}"/>
    <cellStyle name="Note 81 26 3" xfId="37300" xr:uid="{00000000-0005-0000-0000-0000DC910000}"/>
    <cellStyle name="Note 81 27" xfId="37301" xr:uid="{00000000-0005-0000-0000-0000DD910000}"/>
    <cellStyle name="Note 81 27 2" xfId="37302" xr:uid="{00000000-0005-0000-0000-0000DE910000}"/>
    <cellStyle name="Note 81 27 2 2" xfId="37303" xr:uid="{00000000-0005-0000-0000-0000DF910000}"/>
    <cellStyle name="Note 81 27 3" xfId="37304" xr:uid="{00000000-0005-0000-0000-0000E0910000}"/>
    <cellStyle name="Note 81 28" xfId="37305" xr:uid="{00000000-0005-0000-0000-0000E1910000}"/>
    <cellStyle name="Note 81 28 2" xfId="37306" xr:uid="{00000000-0005-0000-0000-0000E2910000}"/>
    <cellStyle name="Note 81 28 2 2" xfId="37307" xr:uid="{00000000-0005-0000-0000-0000E3910000}"/>
    <cellStyle name="Note 81 28 3" xfId="37308" xr:uid="{00000000-0005-0000-0000-0000E4910000}"/>
    <cellStyle name="Note 81 29" xfId="37309" xr:uid="{00000000-0005-0000-0000-0000E5910000}"/>
    <cellStyle name="Note 81 29 2" xfId="37310" xr:uid="{00000000-0005-0000-0000-0000E6910000}"/>
    <cellStyle name="Note 81 29 2 2" xfId="37311" xr:uid="{00000000-0005-0000-0000-0000E7910000}"/>
    <cellStyle name="Note 81 29 3" xfId="37312" xr:uid="{00000000-0005-0000-0000-0000E8910000}"/>
    <cellStyle name="Note 81 3" xfId="37313" xr:uid="{00000000-0005-0000-0000-0000E9910000}"/>
    <cellStyle name="Note 81 3 2" xfId="37314" xr:uid="{00000000-0005-0000-0000-0000EA910000}"/>
    <cellStyle name="Note 81 3 2 2" xfId="37315" xr:uid="{00000000-0005-0000-0000-0000EB910000}"/>
    <cellStyle name="Note 81 3 3" xfId="37316" xr:uid="{00000000-0005-0000-0000-0000EC910000}"/>
    <cellStyle name="Note 81 30" xfId="37317" xr:uid="{00000000-0005-0000-0000-0000ED910000}"/>
    <cellStyle name="Note 81 30 2" xfId="37318" xr:uid="{00000000-0005-0000-0000-0000EE910000}"/>
    <cellStyle name="Note 81 30 2 2" xfId="37319" xr:uid="{00000000-0005-0000-0000-0000EF910000}"/>
    <cellStyle name="Note 81 30 3" xfId="37320" xr:uid="{00000000-0005-0000-0000-0000F0910000}"/>
    <cellStyle name="Note 81 31" xfId="37321" xr:uid="{00000000-0005-0000-0000-0000F1910000}"/>
    <cellStyle name="Note 81 31 2" xfId="37322" xr:uid="{00000000-0005-0000-0000-0000F2910000}"/>
    <cellStyle name="Note 81 31 2 2" xfId="37323" xr:uid="{00000000-0005-0000-0000-0000F3910000}"/>
    <cellStyle name="Note 81 31 3" xfId="37324" xr:uid="{00000000-0005-0000-0000-0000F4910000}"/>
    <cellStyle name="Note 81 32" xfId="37325" xr:uid="{00000000-0005-0000-0000-0000F5910000}"/>
    <cellStyle name="Note 81 32 2" xfId="37326" xr:uid="{00000000-0005-0000-0000-0000F6910000}"/>
    <cellStyle name="Note 81 32 2 2" xfId="37327" xr:uid="{00000000-0005-0000-0000-0000F7910000}"/>
    <cellStyle name="Note 81 32 3" xfId="37328" xr:uid="{00000000-0005-0000-0000-0000F8910000}"/>
    <cellStyle name="Note 81 33" xfId="37329" xr:uid="{00000000-0005-0000-0000-0000F9910000}"/>
    <cellStyle name="Note 81 33 2" xfId="37330" xr:uid="{00000000-0005-0000-0000-0000FA910000}"/>
    <cellStyle name="Note 81 33 2 2" xfId="37331" xr:uid="{00000000-0005-0000-0000-0000FB910000}"/>
    <cellStyle name="Note 81 33 3" xfId="37332" xr:uid="{00000000-0005-0000-0000-0000FC910000}"/>
    <cellStyle name="Note 81 34" xfId="37333" xr:uid="{00000000-0005-0000-0000-0000FD910000}"/>
    <cellStyle name="Note 81 34 2" xfId="37334" xr:uid="{00000000-0005-0000-0000-0000FE910000}"/>
    <cellStyle name="Note 81 34 2 2" xfId="37335" xr:uid="{00000000-0005-0000-0000-0000FF910000}"/>
    <cellStyle name="Note 81 34 3" xfId="37336" xr:uid="{00000000-0005-0000-0000-000000920000}"/>
    <cellStyle name="Note 81 35" xfId="37337" xr:uid="{00000000-0005-0000-0000-000001920000}"/>
    <cellStyle name="Note 81 35 2" xfId="37338" xr:uid="{00000000-0005-0000-0000-000002920000}"/>
    <cellStyle name="Note 81 35 2 2" xfId="37339" xr:uid="{00000000-0005-0000-0000-000003920000}"/>
    <cellStyle name="Note 81 35 3" xfId="37340" xr:uid="{00000000-0005-0000-0000-000004920000}"/>
    <cellStyle name="Note 81 36" xfId="37341" xr:uid="{00000000-0005-0000-0000-000005920000}"/>
    <cellStyle name="Note 81 36 2" xfId="37342" xr:uid="{00000000-0005-0000-0000-000006920000}"/>
    <cellStyle name="Note 81 36 2 2" xfId="37343" xr:uid="{00000000-0005-0000-0000-000007920000}"/>
    <cellStyle name="Note 81 36 3" xfId="37344" xr:uid="{00000000-0005-0000-0000-000008920000}"/>
    <cellStyle name="Note 81 4" xfId="37345" xr:uid="{00000000-0005-0000-0000-000009920000}"/>
    <cellStyle name="Note 81 4 2" xfId="37346" xr:uid="{00000000-0005-0000-0000-00000A920000}"/>
    <cellStyle name="Note 81 4 2 2" xfId="37347" xr:uid="{00000000-0005-0000-0000-00000B920000}"/>
    <cellStyle name="Note 81 4 3" xfId="37348" xr:uid="{00000000-0005-0000-0000-00000C920000}"/>
    <cellStyle name="Note 81 5" xfId="37349" xr:uid="{00000000-0005-0000-0000-00000D920000}"/>
    <cellStyle name="Note 81 5 2" xfId="37350" xr:uid="{00000000-0005-0000-0000-00000E920000}"/>
    <cellStyle name="Note 81 5 2 2" xfId="37351" xr:uid="{00000000-0005-0000-0000-00000F920000}"/>
    <cellStyle name="Note 81 5 3" xfId="37352" xr:uid="{00000000-0005-0000-0000-000010920000}"/>
    <cellStyle name="Note 81 6" xfId="37353" xr:uid="{00000000-0005-0000-0000-000011920000}"/>
    <cellStyle name="Note 81 6 2" xfId="37354" xr:uid="{00000000-0005-0000-0000-000012920000}"/>
    <cellStyle name="Note 81 6 2 2" xfId="37355" xr:uid="{00000000-0005-0000-0000-000013920000}"/>
    <cellStyle name="Note 81 6 3" xfId="37356" xr:uid="{00000000-0005-0000-0000-000014920000}"/>
    <cellStyle name="Note 81 7" xfId="37357" xr:uid="{00000000-0005-0000-0000-000015920000}"/>
    <cellStyle name="Note 81 7 2" xfId="37358" xr:uid="{00000000-0005-0000-0000-000016920000}"/>
    <cellStyle name="Note 81 7 2 2" xfId="37359" xr:uid="{00000000-0005-0000-0000-000017920000}"/>
    <cellStyle name="Note 81 7 3" xfId="37360" xr:uid="{00000000-0005-0000-0000-000018920000}"/>
    <cellStyle name="Note 81 8" xfId="37361" xr:uid="{00000000-0005-0000-0000-000019920000}"/>
    <cellStyle name="Note 81 8 2" xfId="37362" xr:uid="{00000000-0005-0000-0000-00001A920000}"/>
    <cellStyle name="Note 81 8 2 2" xfId="37363" xr:uid="{00000000-0005-0000-0000-00001B920000}"/>
    <cellStyle name="Note 81 8 3" xfId="37364" xr:uid="{00000000-0005-0000-0000-00001C920000}"/>
    <cellStyle name="Note 81 9" xfId="37365" xr:uid="{00000000-0005-0000-0000-00001D920000}"/>
    <cellStyle name="Note 81 9 2" xfId="37366" xr:uid="{00000000-0005-0000-0000-00001E920000}"/>
    <cellStyle name="Note 81 9 2 2" xfId="37367" xr:uid="{00000000-0005-0000-0000-00001F920000}"/>
    <cellStyle name="Note 81 9 3" xfId="37368" xr:uid="{00000000-0005-0000-0000-000020920000}"/>
    <cellStyle name="Note 82" xfId="37369" xr:uid="{00000000-0005-0000-0000-000021920000}"/>
    <cellStyle name="Note 82 2" xfId="37370" xr:uid="{00000000-0005-0000-0000-000022920000}"/>
    <cellStyle name="Note 83" xfId="37371" xr:uid="{00000000-0005-0000-0000-000023920000}"/>
    <cellStyle name="Note 83 10" xfId="37372" xr:uid="{00000000-0005-0000-0000-000024920000}"/>
    <cellStyle name="Note 83 10 2" xfId="37373" xr:uid="{00000000-0005-0000-0000-000025920000}"/>
    <cellStyle name="Note 83 10 2 2" xfId="37374" xr:uid="{00000000-0005-0000-0000-000026920000}"/>
    <cellStyle name="Note 83 10 3" xfId="37375" xr:uid="{00000000-0005-0000-0000-000027920000}"/>
    <cellStyle name="Note 83 11" xfId="37376" xr:uid="{00000000-0005-0000-0000-000028920000}"/>
    <cellStyle name="Note 83 11 2" xfId="37377" xr:uid="{00000000-0005-0000-0000-000029920000}"/>
    <cellStyle name="Note 83 11 2 2" xfId="37378" xr:uid="{00000000-0005-0000-0000-00002A920000}"/>
    <cellStyle name="Note 83 11 3" xfId="37379" xr:uid="{00000000-0005-0000-0000-00002B920000}"/>
    <cellStyle name="Note 83 12" xfId="37380" xr:uid="{00000000-0005-0000-0000-00002C920000}"/>
    <cellStyle name="Note 83 12 2" xfId="37381" xr:uid="{00000000-0005-0000-0000-00002D920000}"/>
    <cellStyle name="Note 83 12 2 2" xfId="37382" xr:uid="{00000000-0005-0000-0000-00002E920000}"/>
    <cellStyle name="Note 83 12 3" xfId="37383" xr:uid="{00000000-0005-0000-0000-00002F920000}"/>
    <cellStyle name="Note 83 13" xfId="37384" xr:uid="{00000000-0005-0000-0000-000030920000}"/>
    <cellStyle name="Note 83 13 2" xfId="37385" xr:uid="{00000000-0005-0000-0000-000031920000}"/>
    <cellStyle name="Note 83 13 2 2" xfId="37386" xr:uid="{00000000-0005-0000-0000-000032920000}"/>
    <cellStyle name="Note 83 13 3" xfId="37387" xr:uid="{00000000-0005-0000-0000-000033920000}"/>
    <cellStyle name="Note 83 14" xfId="37388" xr:uid="{00000000-0005-0000-0000-000034920000}"/>
    <cellStyle name="Note 83 14 2" xfId="37389" xr:uid="{00000000-0005-0000-0000-000035920000}"/>
    <cellStyle name="Note 83 14 2 2" xfId="37390" xr:uid="{00000000-0005-0000-0000-000036920000}"/>
    <cellStyle name="Note 83 14 3" xfId="37391" xr:uid="{00000000-0005-0000-0000-000037920000}"/>
    <cellStyle name="Note 83 15" xfId="37392" xr:uid="{00000000-0005-0000-0000-000038920000}"/>
    <cellStyle name="Note 83 15 2" xfId="37393" xr:uid="{00000000-0005-0000-0000-000039920000}"/>
    <cellStyle name="Note 83 15 2 2" xfId="37394" xr:uid="{00000000-0005-0000-0000-00003A920000}"/>
    <cellStyle name="Note 83 15 3" xfId="37395" xr:uid="{00000000-0005-0000-0000-00003B920000}"/>
    <cellStyle name="Note 83 16" xfId="37396" xr:uid="{00000000-0005-0000-0000-00003C920000}"/>
    <cellStyle name="Note 83 16 2" xfId="37397" xr:uid="{00000000-0005-0000-0000-00003D920000}"/>
    <cellStyle name="Note 83 16 2 2" xfId="37398" xr:uid="{00000000-0005-0000-0000-00003E920000}"/>
    <cellStyle name="Note 83 16 3" xfId="37399" xr:uid="{00000000-0005-0000-0000-00003F920000}"/>
    <cellStyle name="Note 83 17" xfId="37400" xr:uid="{00000000-0005-0000-0000-000040920000}"/>
    <cellStyle name="Note 83 17 2" xfId="37401" xr:uid="{00000000-0005-0000-0000-000041920000}"/>
    <cellStyle name="Note 83 17 2 2" xfId="37402" xr:uid="{00000000-0005-0000-0000-000042920000}"/>
    <cellStyle name="Note 83 17 3" xfId="37403" xr:uid="{00000000-0005-0000-0000-000043920000}"/>
    <cellStyle name="Note 83 18" xfId="37404" xr:uid="{00000000-0005-0000-0000-000044920000}"/>
    <cellStyle name="Note 83 18 2" xfId="37405" xr:uid="{00000000-0005-0000-0000-000045920000}"/>
    <cellStyle name="Note 83 18 2 2" xfId="37406" xr:uid="{00000000-0005-0000-0000-000046920000}"/>
    <cellStyle name="Note 83 18 3" xfId="37407" xr:uid="{00000000-0005-0000-0000-000047920000}"/>
    <cellStyle name="Note 83 19" xfId="37408" xr:uid="{00000000-0005-0000-0000-000048920000}"/>
    <cellStyle name="Note 83 19 2" xfId="37409" xr:uid="{00000000-0005-0000-0000-000049920000}"/>
    <cellStyle name="Note 83 19 2 2" xfId="37410" xr:uid="{00000000-0005-0000-0000-00004A920000}"/>
    <cellStyle name="Note 83 19 3" xfId="37411" xr:uid="{00000000-0005-0000-0000-00004B920000}"/>
    <cellStyle name="Note 83 2" xfId="37412" xr:uid="{00000000-0005-0000-0000-00004C920000}"/>
    <cellStyle name="Note 83 2 2" xfId="37413" xr:uid="{00000000-0005-0000-0000-00004D920000}"/>
    <cellStyle name="Note 83 2 2 2" xfId="37414" xr:uid="{00000000-0005-0000-0000-00004E920000}"/>
    <cellStyle name="Note 83 2 3" xfId="37415" xr:uid="{00000000-0005-0000-0000-00004F920000}"/>
    <cellStyle name="Note 83 20" xfId="37416" xr:uid="{00000000-0005-0000-0000-000050920000}"/>
    <cellStyle name="Note 83 20 2" xfId="37417" xr:uid="{00000000-0005-0000-0000-000051920000}"/>
    <cellStyle name="Note 83 20 2 2" xfId="37418" xr:uid="{00000000-0005-0000-0000-000052920000}"/>
    <cellStyle name="Note 83 20 3" xfId="37419" xr:uid="{00000000-0005-0000-0000-000053920000}"/>
    <cellStyle name="Note 83 21" xfId="37420" xr:uid="{00000000-0005-0000-0000-000054920000}"/>
    <cellStyle name="Note 83 21 2" xfId="37421" xr:uid="{00000000-0005-0000-0000-000055920000}"/>
    <cellStyle name="Note 83 21 2 2" xfId="37422" xr:uid="{00000000-0005-0000-0000-000056920000}"/>
    <cellStyle name="Note 83 21 3" xfId="37423" xr:uid="{00000000-0005-0000-0000-000057920000}"/>
    <cellStyle name="Note 83 22" xfId="37424" xr:uid="{00000000-0005-0000-0000-000058920000}"/>
    <cellStyle name="Note 83 22 2" xfId="37425" xr:uid="{00000000-0005-0000-0000-000059920000}"/>
    <cellStyle name="Note 83 22 2 2" xfId="37426" xr:uid="{00000000-0005-0000-0000-00005A920000}"/>
    <cellStyle name="Note 83 22 3" xfId="37427" xr:uid="{00000000-0005-0000-0000-00005B920000}"/>
    <cellStyle name="Note 83 23" xfId="37428" xr:uid="{00000000-0005-0000-0000-00005C920000}"/>
    <cellStyle name="Note 83 23 2" xfId="37429" xr:uid="{00000000-0005-0000-0000-00005D920000}"/>
    <cellStyle name="Note 83 23 2 2" xfId="37430" xr:uid="{00000000-0005-0000-0000-00005E920000}"/>
    <cellStyle name="Note 83 23 3" xfId="37431" xr:uid="{00000000-0005-0000-0000-00005F920000}"/>
    <cellStyle name="Note 83 24" xfId="37432" xr:uid="{00000000-0005-0000-0000-000060920000}"/>
    <cellStyle name="Note 83 24 2" xfId="37433" xr:uid="{00000000-0005-0000-0000-000061920000}"/>
    <cellStyle name="Note 83 24 2 2" xfId="37434" xr:uid="{00000000-0005-0000-0000-000062920000}"/>
    <cellStyle name="Note 83 24 3" xfId="37435" xr:uid="{00000000-0005-0000-0000-000063920000}"/>
    <cellStyle name="Note 83 25" xfId="37436" xr:uid="{00000000-0005-0000-0000-000064920000}"/>
    <cellStyle name="Note 83 25 2" xfId="37437" xr:uid="{00000000-0005-0000-0000-000065920000}"/>
    <cellStyle name="Note 83 25 2 2" xfId="37438" xr:uid="{00000000-0005-0000-0000-000066920000}"/>
    <cellStyle name="Note 83 25 3" xfId="37439" xr:uid="{00000000-0005-0000-0000-000067920000}"/>
    <cellStyle name="Note 83 26" xfId="37440" xr:uid="{00000000-0005-0000-0000-000068920000}"/>
    <cellStyle name="Note 83 26 2" xfId="37441" xr:uid="{00000000-0005-0000-0000-000069920000}"/>
    <cellStyle name="Note 83 26 2 2" xfId="37442" xr:uid="{00000000-0005-0000-0000-00006A920000}"/>
    <cellStyle name="Note 83 26 3" xfId="37443" xr:uid="{00000000-0005-0000-0000-00006B920000}"/>
    <cellStyle name="Note 83 27" xfId="37444" xr:uid="{00000000-0005-0000-0000-00006C920000}"/>
    <cellStyle name="Note 83 27 2" xfId="37445" xr:uid="{00000000-0005-0000-0000-00006D920000}"/>
    <cellStyle name="Note 83 27 2 2" xfId="37446" xr:uid="{00000000-0005-0000-0000-00006E920000}"/>
    <cellStyle name="Note 83 27 3" xfId="37447" xr:uid="{00000000-0005-0000-0000-00006F920000}"/>
    <cellStyle name="Note 83 28" xfId="37448" xr:uid="{00000000-0005-0000-0000-000070920000}"/>
    <cellStyle name="Note 83 28 2" xfId="37449" xr:uid="{00000000-0005-0000-0000-000071920000}"/>
    <cellStyle name="Note 83 28 2 2" xfId="37450" xr:uid="{00000000-0005-0000-0000-000072920000}"/>
    <cellStyle name="Note 83 28 3" xfId="37451" xr:uid="{00000000-0005-0000-0000-000073920000}"/>
    <cellStyle name="Note 83 29" xfId="37452" xr:uid="{00000000-0005-0000-0000-000074920000}"/>
    <cellStyle name="Note 83 29 2" xfId="37453" xr:uid="{00000000-0005-0000-0000-000075920000}"/>
    <cellStyle name="Note 83 29 2 2" xfId="37454" xr:uid="{00000000-0005-0000-0000-000076920000}"/>
    <cellStyle name="Note 83 29 3" xfId="37455" xr:uid="{00000000-0005-0000-0000-000077920000}"/>
    <cellStyle name="Note 83 3" xfId="37456" xr:uid="{00000000-0005-0000-0000-000078920000}"/>
    <cellStyle name="Note 83 3 2" xfId="37457" xr:uid="{00000000-0005-0000-0000-000079920000}"/>
    <cellStyle name="Note 83 3 2 2" xfId="37458" xr:uid="{00000000-0005-0000-0000-00007A920000}"/>
    <cellStyle name="Note 83 3 3" xfId="37459" xr:uid="{00000000-0005-0000-0000-00007B920000}"/>
    <cellStyle name="Note 83 30" xfId="37460" xr:uid="{00000000-0005-0000-0000-00007C920000}"/>
    <cellStyle name="Note 83 30 2" xfId="37461" xr:uid="{00000000-0005-0000-0000-00007D920000}"/>
    <cellStyle name="Note 83 30 2 2" xfId="37462" xr:uid="{00000000-0005-0000-0000-00007E920000}"/>
    <cellStyle name="Note 83 30 3" xfId="37463" xr:uid="{00000000-0005-0000-0000-00007F920000}"/>
    <cellStyle name="Note 83 31" xfId="37464" xr:uid="{00000000-0005-0000-0000-000080920000}"/>
    <cellStyle name="Note 83 31 2" xfId="37465" xr:uid="{00000000-0005-0000-0000-000081920000}"/>
    <cellStyle name="Note 83 31 2 2" xfId="37466" xr:uid="{00000000-0005-0000-0000-000082920000}"/>
    <cellStyle name="Note 83 31 3" xfId="37467" xr:uid="{00000000-0005-0000-0000-000083920000}"/>
    <cellStyle name="Note 83 32" xfId="37468" xr:uid="{00000000-0005-0000-0000-000084920000}"/>
    <cellStyle name="Note 83 32 2" xfId="37469" xr:uid="{00000000-0005-0000-0000-000085920000}"/>
    <cellStyle name="Note 83 32 2 2" xfId="37470" xr:uid="{00000000-0005-0000-0000-000086920000}"/>
    <cellStyle name="Note 83 32 3" xfId="37471" xr:uid="{00000000-0005-0000-0000-000087920000}"/>
    <cellStyle name="Note 83 33" xfId="37472" xr:uid="{00000000-0005-0000-0000-000088920000}"/>
    <cellStyle name="Note 83 33 2" xfId="37473" xr:uid="{00000000-0005-0000-0000-000089920000}"/>
    <cellStyle name="Note 83 33 2 2" xfId="37474" xr:uid="{00000000-0005-0000-0000-00008A920000}"/>
    <cellStyle name="Note 83 33 3" xfId="37475" xr:uid="{00000000-0005-0000-0000-00008B920000}"/>
    <cellStyle name="Note 83 34" xfId="37476" xr:uid="{00000000-0005-0000-0000-00008C920000}"/>
    <cellStyle name="Note 83 34 2" xfId="37477" xr:uid="{00000000-0005-0000-0000-00008D920000}"/>
    <cellStyle name="Note 83 34 2 2" xfId="37478" xr:uid="{00000000-0005-0000-0000-00008E920000}"/>
    <cellStyle name="Note 83 34 3" xfId="37479" xr:uid="{00000000-0005-0000-0000-00008F920000}"/>
    <cellStyle name="Note 83 35" xfId="37480" xr:uid="{00000000-0005-0000-0000-000090920000}"/>
    <cellStyle name="Note 83 35 2" xfId="37481" xr:uid="{00000000-0005-0000-0000-000091920000}"/>
    <cellStyle name="Note 83 35 2 2" xfId="37482" xr:uid="{00000000-0005-0000-0000-000092920000}"/>
    <cellStyle name="Note 83 35 3" xfId="37483" xr:uid="{00000000-0005-0000-0000-000093920000}"/>
    <cellStyle name="Note 83 36" xfId="37484" xr:uid="{00000000-0005-0000-0000-000094920000}"/>
    <cellStyle name="Note 83 36 2" xfId="37485" xr:uid="{00000000-0005-0000-0000-000095920000}"/>
    <cellStyle name="Note 83 36 2 2" xfId="37486" xr:uid="{00000000-0005-0000-0000-000096920000}"/>
    <cellStyle name="Note 83 36 3" xfId="37487" xr:uid="{00000000-0005-0000-0000-000097920000}"/>
    <cellStyle name="Note 83 4" xfId="37488" xr:uid="{00000000-0005-0000-0000-000098920000}"/>
    <cellStyle name="Note 83 4 2" xfId="37489" xr:uid="{00000000-0005-0000-0000-000099920000}"/>
    <cellStyle name="Note 83 4 2 2" xfId="37490" xr:uid="{00000000-0005-0000-0000-00009A920000}"/>
    <cellStyle name="Note 83 4 3" xfId="37491" xr:uid="{00000000-0005-0000-0000-00009B920000}"/>
    <cellStyle name="Note 83 5" xfId="37492" xr:uid="{00000000-0005-0000-0000-00009C920000}"/>
    <cellStyle name="Note 83 5 2" xfId="37493" xr:uid="{00000000-0005-0000-0000-00009D920000}"/>
    <cellStyle name="Note 83 5 2 2" xfId="37494" xr:uid="{00000000-0005-0000-0000-00009E920000}"/>
    <cellStyle name="Note 83 5 3" xfId="37495" xr:uid="{00000000-0005-0000-0000-00009F920000}"/>
    <cellStyle name="Note 83 6" xfId="37496" xr:uid="{00000000-0005-0000-0000-0000A0920000}"/>
    <cellStyle name="Note 83 6 2" xfId="37497" xr:uid="{00000000-0005-0000-0000-0000A1920000}"/>
    <cellStyle name="Note 83 6 2 2" xfId="37498" xr:uid="{00000000-0005-0000-0000-0000A2920000}"/>
    <cellStyle name="Note 83 6 3" xfId="37499" xr:uid="{00000000-0005-0000-0000-0000A3920000}"/>
    <cellStyle name="Note 83 7" xfId="37500" xr:uid="{00000000-0005-0000-0000-0000A4920000}"/>
    <cellStyle name="Note 83 7 2" xfId="37501" xr:uid="{00000000-0005-0000-0000-0000A5920000}"/>
    <cellStyle name="Note 83 7 2 2" xfId="37502" xr:uid="{00000000-0005-0000-0000-0000A6920000}"/>
    <cellStyle name="Note 83 7 3" xfId="37503" xr:uid="{00000000-0005-0000-0000-0000A7920000}"/>
    <cellStyle name="Note 83 8" xfId="37504" xr:uid="{00000000-0005-0000-0000-0000A8920000}"/>
    <cellStyle name="Note 83 8 2" xfId="37505" xr:uid="{00000000-0005-0000-0000-0000A9920000}"/>
    <cellStyle name="Note 83 8 2 2" xfId="37506" xr:uid="{00000000-0005-0000-0000-0000AA920000}"/>
    <cellStyle name="Note 83 8 3" xfId="37507" xr:uid="{00000000-0005-0000-0000-0000AB920000}"/>
    <cellStyle name="Note 83 9" xfId="37508" xr:uid="{00000000-0005-0000-0000-0000AC920000}"/>
    <cellStyle name="Note 83 9 2" xfId="37509" xr:uid="{00000000-0005-0000-0000-0000AD920000}"/>
    <cellStyle name="Note 83 9 2 2" xfId="37510" xr:uid="{00000000-0005-0000-0000-0000AE920000}"/>
    <cellStyle name="Note 83 9 3" xfId="37511" xr:uid="{00000000-0005-0000-0000-0000AF920000}"/>
    <cellStyle name="Note 84" xfId="37512" xr:uid="{00000000-0005-0000-0000-0000B0920000}"/>
    <cellStyle name="Note 84 10" xfId="37513" xr:uid="{00000000-0005-0000-0000-0000B1920000}"/>
    <cellStyle name="Note 84 10 2" xfId="37514" xr:uid="{00000000-0005-0000-0000-0000B2920000}"/>
    <cellStyle name="Note 84 10 2 2" xfId="37515" xr:uid="{00000000-0005-0000-0000-0000B3920000}"/>
    <cellStyle name="Note 84 10 3" xfId="37516" xr:uid="{00000000-0005-0000-0000-0000B4920000}"/>
    <cellStyle name="Note 84 11" xfId="37517" xr:uid="{00000000-0005-0000-0000-0000B5920000}"/>
    <cellStyle name="Note 84 11 2" xfId="37518" xr:uid="{00000000-0005-0000-0000-0000B6920000}"/>
    <cellStyle name="Note 84 11 2 2" xfId="37519" xr:uid="{00000000-0005-0000-0000-0000B7920000}"/>
    <cellStyle name="Note 84 11 3" xfId="37520" xr:uid="{00000000-0005-0000-0000-0000B8920000}"/>
    <cellStyle name="Note 84 12" xfId="37521" xr:uid="{00000000-0005-0000-0000-0000B9920000}"/>
    <cellStyle name="Note 84 12 2" xfId="37522" xr:uid="{00000000-0005-0000-0000-0000BA920000}"/>
    <cellStyle name="Note 84 12 2 2" xfId="37523" xr:uid="{00000000-0005-0000-0000-0000BB920000}"/>
    <cellStyle name="Note 84 12 3" xfId="37524" xr:uid="{00000000-0005-0000-0000-0000BC920000}"/>
    <cellStyle name="Note 84 13" xfId="37525" xr:uid="{00000000-0005-0000-0000-0000BD920000}"/>
    <cellStyle name="Note 84 13 2" xfId="37526" xr:uid="{00000000-0005-0000-0000-0000BE920000}"/>
    <cellStyle name="Note 84 13 2 2" xfId="37527" xr:uid="{00000000-0005-0000-0000-0000BF920000}"/>
    <cellStyle name="Note 84 13 3" xfId="37528" xr:uid="{00000000-0005-0000-0000-0000C0920000}"/>
    <cellStyle name="Note 84 14" xfId="37529" xr:uid="{00000000-0005-0000-0000-0000C1920000}"/>
    <cellStyle name="Note 84 14 2" xfId="37530" xr:uid="{00000000-0005-0000-0000-0000C2920000}"/>
    <cellStyle name="Note 84 14 2 2" xfId="37531" xr:uid="{00000000-0005-0000-0000-0000C3920000}"/>
    <cellStyle name="Note 84 14 3" xfId="37532" xr:uid="{00000000-0005-0000-0000-0000C4920000}"/>
    <cellStyle name="Note 84 15" xfId="37533" xr:uid="{00000000-0005-0000-0000-0000C5920000}"/>
    <cellStyle name="Note 84 15 2" xfId="37534" xr:uid="{00000000-0005-0000-0000-0000C6920000}"/>
    <cellStyle name="Note 84 15 2 2" xfId="37535" xr:uid="{00000000-0005-0000-0000-0000C7920000}"/>
    <cellStyle name="Note 84 15 3" xfId="37536" xr:uid="{00000000-0005-0000-0000-0000C8920000}"/>
    <cellStyle name="Note 84 16" xfId="37537" xr:uid="{00000000-0005-0000-0000-0000C9920000}"/>
    <cellStyle name="Note 84 16 2" xfId="37538" xr:uid="{00000000-0005-0000-0000-0000CA920000}"/>
    <cellStyle name="Note 84 16 2 2" xfId="37539" xr:uid="{00000000-0005-0000-0000-0000CB920000}"/>
    <cellStyle name="Note 84 16 3" xfId="37540" xr:uid="{00000000-0005-0000-0000-0000CC920000}"/>
    <cellStyle name="Note 84 17" xfId="37541" xr:uid="{00000000-0005-0000-0000-0000CD920000}"/>
    <cellStyle name="Note 84 17 2" xfId="37542" xr:uid="{00000000-0005-0000-0000-0000CE920000}"/>
    <cellStyle name="Note 84 17 2 2" xfId="37543" xr:uid="{00000000-0005-0000-0000-0000CF920000}"/>
    <cellStyle name="Note 84 17 3" xfId="37544" xr:uid="{00000000-0005-0000-0000-0000D0920000}"/>
    <cellStyle name="Note 84 18" xfId="37545" xr:uid="{00000000-0005-0000-0000-0000D1920000}"/>
    <cellStyle name="Note 84 18 2" xfId="37546" xr:uid="{00000000-0005-0000-0000-0000D2920000}"/>
    <cellStyle name="Note 84 18 2 2" xfId="37547" xr:uid="{00000000-0005-0000-0000-0000D3920000}"/>
    <cellStyle name="Note 84 18 3" xfId="37548" xr:uid="{00000000-0005-0000-0000-0000D4920000}"/>
    <cellStyle name="Note 84 19" xfId="37549" xr:uid="{00000000-0005-0000-0000-0000D5920000}"/>
    <cellStyle name="Note 84 19 2" xfId="37550" xr:uid="{00000000-0005-0000-0000-0000D6920000}"/>
    <cellStyle name="Note 84 19 2 2" xfId="37551" xr:uid="{00000000-0005-0000-0000-0000D7920000}"/>
    <cellStyle name="Note 84 19 3" xfId="37552" xr:uid="{00000000-0005-0000-0000-0000D8920000}"/>
    <cellStyle name="Note 84 2" xfId="37553" xr:uid="{00000000-0005-0000-0000-0000D9920000}"/>
    <cellStyle name="Note 84 2 2" xfId="37554" xr:uid="{00000000-0005-0000-0000-0000DA920000}"/>
    <cellStyle name="Note 84 2 2 2" xfId="37555" xr:uid="{00000000-0005-0000-0000-0000DB920000}"/>
    <cellStyle name="Note 84 2 3" xfId="37556" xr:uid="{00000000-0005-0000-0000-0000DC920000}"/>
    <cellStyle name="Note 84 20" xfId="37557" xr:uid="{00000000-0005-0000-0000-0000DD920000}"/>
    <cellStyle name="Note 84 20 2" xfId="37558" xr:uid="{00000000-0005-0000-0000-0000DE920000}"/>
    <cellStyle name="Note 84 20 2 2" xfId="37559" xr:uid="{00000000-0005-0000-0000-0000DF920000}"/>
    <cellStyle name="Note 84 20 3" xfId="37560" xr:uid="{00000000-0005-0000-0000-0000E0920000}"/>
    <cellStyle name="Note 84 21" xfId="37561" xr:uid="{00000000-0005-0000-0000-0000E1920000}"/>
    <cellStyle name="Note 84 21 2" xfId="37562" xr:uid="{00000000-0005-0000-0000-0000E2920000}"/>
    <cellStyle name="Note 84 21 2 2" xfId="37563" xr:uid="{00000000-0005-0000-0000-0000E3920000}"/>
    <cellStyle name="Note 84 21 3" xfId="37564" xr:uid="{00000000-0005-0000-0000-0000E4920000}"/>
    <cellStyle name="Note 84 22" xfId="37565" xr:uid="{00000000-0005-0000-0000-0000E5920000}"/>
    <cellStyle name="Note 84 22 2" xfId="37566" xr:uid="{00000000-0005-0000-0000-0000E6920000}"/>
    <cellStyle name="Note 84 22 2 2" xfId="37567" xr:uid="{00000000-0005-0000-0000-0000E7920000}"/>
    <cellStyle name="Note 84 22 3" xfId="37568" xr:uid="{00000000-0005-0000-0000-0000E8920000}"/>
    <cellStyle name="Note 84 23" xfId="37569" xr:uid="{00000000-0005-0000-0000-0000E9920000}"/>
    <cellStyle name="Note 84 23 2" xfId="37570" xr:uid="{00000000-0005-0000-0000-0000EA920000}"/>
    <cellStyle name="Note 84 23 2 2" xfId="37571" xr:uid="{00000000-0005-0000-0000-0000EB920000}"/>
    <cellStyle name="Note 84 23 3" xfId="37572" xr:uid="{00000000-0005-0000-0000-0000EC920000}"/>
    <cellStyle name="Note 84 24" xfId="37573" xr:uid="{00000000-0005-0000-0000-0000ED920000}"/>
    <cellStyle name="Note 84 24 2" xfId="37574" xr:uid="{00000000-0005-0000-0000-0000EE920000}"/>
    <cellStyle name="Note 84 24 2 2" xfId="37575" xr:uid="{00000000-0005-0000-0000-0000EF920000}"/>
    <cellStyle name="Note 84 24 3" xfId="37576" xr:uid="{00000000-0005-0000-0000-0000F0920000}"/>
    <cellStyle name="Note 84 25" xfId="37577" xr:uid="{00000000-0005-0000-0000-0000F1920000}"/>
    <cellStyle name="Note 84 25 2" xfId="37578" xr:uid="{00000000-0005-0000-0000-0000F2920000}"/>
    <cellStyle name="Note 84 25 2 2" xfId="37579" xr:uid="{00000000-0005-0000-0000-0000F3920000}"/>
    <cellStyle name="Note 84 25 3" xfId="37580" xr:uid="{00000000-0005-0000-0000-0000F4920000}"/>
    <cellStyle name="Note 84 26" xfId="37581" xr:uid="{00000000-0005-0000-0000-0000F5920000}"/>
    <cellStyle name="Note 84 26 2" xfId="37582" xr:uid="{00000000-0005-0000-0000-0000F6920000}"/>
    <cellStyle name="Note 84 26 2 2" xfId="37583" xr:uid="{00000000-0005-0000-0000-0000F7920000}"/>
    <cellStyle name="Note 84 26 3" xfId="37584" xr:uid="{00000000-0005-0000-0000-0000F8920000}"/>
    <cellStyle name="Note 84 27" xfId="37585" xr:uid="{00000000-0005-0000-0000-0000F9920000}"/>
    <cellStyle name="Note 84 27 2" xfId="37586" xr:uid="{00000000-0005-0000-0000-0000FA920000}"/>
    <cellStyle name="Note 84 27 2 2" xfId="37587" xr:uid="{00000000-0005-0000-0000-0000FB920000}"/>
    <cellStyle name="Note 84 27 3" xfId="37588" xr:uid="{00000000-0005-0000-0000-0000FC920000}"/>
    <cellStyle name="Note 84 28" xfId="37589" xr:uid="{00000000-0005-0000-0000-0000FD920000}"/>
    <cellStyle name="Note 84 28 2" xfId="37590" xr:uid="{00000000-0005-0000-0000-0000FE920000}"/>
    <cellStyle name="Note 84 28 2 2" xfId="37591" xr:uid="{00000000-0005-0000-0000-0000FF920000}"/>
    <cellStyle name="Note 84 28 3" xfId="37592" xr:uid="{00000000-0005-0000-0000-000000930000}"/>
    <cellStyle name="Note 84 29" xfId="37593" xr:uid="{00000000-0005-0000-0000-000001930000}"/>
    <cellStyle name="Note 84 29 2" xfId="37594" xr:uid="{00000000-0005-0000-0000-000002930000}"/>
    <cellStyle name="Note 84 29 2 2" xfId="37595" xr:uid="{00000000-0005-0000-0000-000003930000}"/>
    <cellStyle name="Note 84 29 3" xfId="37596" xr:uid="{00000000-0005-0000-0000-000004930000}"/>
    <cellStyle name="Note 84 3" xfId="37597" xr:uid="{00000000-0005-0000-0000-000005930000}"/>
    <cellStyle name="Note 84 3 2" xfId="37598" xr:uid="{00000000-0005-0000-0000-000006930000}"/>
    <cellStyle name="Note 84 3 2 2" xfId="37599" xr:uid="{00000000-0005-0000-0000-000007930000}"/>
    <cellStyle name="Note 84 3 3" xfId="37600" xr:uid="{00000000-0005-0000-0000-000008930000}"/>
    <cellStyle name="Note 84 30" xfId="37601" xr:uid="{00000000-0005-0000-0000-000009930000}"/>
    <cellStyle name="Note 84 30 2" xfId="37602" xr:uid="{00000000-0005-0000-0000-00000A930000}"/>
    <cellStyle name="Note 84 30 2 2" xfId="37603" xr:uid="{00000000-0005-0000-0000-00000B930000}"/>
    <cellStyle name="Note 84 30 3" xfId="37604" xr:uid="{00000000-0005-0000-0000-00000C930000}"/>
    <cellStyle name="Note 84 31" xfId="37605" xr:uid="{00000000-0005-0000-0000-00000D930000}"/>
    <cellStyle name="Note 84 31 2" xfId="37606" xr:uid="{00000000-0005-0000-0000-00000E930000}"/>
    <cellStyle name="Note 84 31 2 2" xfId="37607" xr:uid="{00000000-0005-0000-0000-00000F930000}"/>
    <cellStyle name="Note 84 31 3" xfId="37608" xr:uid="{00000000-0005-0000-0000-000010930000}"/>
    <cellStyle name="Note 84 32" xfId="37609" xr:uid="{00000000-0005-0000-0000-000011930000}"/>
    <cellStyle name="Note 84 32 2" xfId="37610" xr:uid="{00000000-0005-0000-0000-000012930000}"/>
    <cellStyle name="Note 84 32 2 2" xfId="37611" xr:uid="{00000000-0005-0000-0000-000013930000}"/>
    <cellStyle name="Note 84 32 3" xfId="37612" xr:uid="{00000000-0005-0000-0000-000014930000}"/>
    <cellStyle name="Note 84 33" xfId="37613" xr:uid="{00000000-0005-0000-0000-000015930000}"/>
    <cellStyle name="Note 84 33 2" xfId="37614" xr:uid="{00000000-0005-0000-0000-000016930000}"/>
    <cellStyle name="Note 84 33 2 2" xfId="37615" xr:uid="{00000000-0005-0000-0000-000017930000}"/>
    <cellStyle name="Note 84 33 3" xfId="37616" xr:uid="{00000000-0005-0000-0000-000018930000}"/>
    <cellStyle name="Note 84 34" xfId="37617" xr:uid="{00000000-0005-0000-0000-000019930000}"/>
    <cellStyle name="Note 84 34 2" xfId="37618" xr:uid="{00000000-0005-0000-0000-00001A930000}"/>
    <cellStyle name="Note 84 34 2 2" xfId="37619" xr:uid="{00000000-0005-0000-0000-00001B930000}"/>
    <cellStyle name="Note 84 34 3" xfId="37620" xr:uid="{00000000-0005-0000-0000-00001C930000}"/>
    <cellStyle name="Note 84 35" xfId="37621" xr:uid="{00000000-0005-0000-0000-00001D930000}"/>
    <cellStyle name="Note 84 35 2" xfId="37622" xr:uid="{00000000-0005-0000-0000-00001E930000}"/>
    <cellStyle name="Note 84 35 2 2" xfId="37623" xr:uid="{00000000-0005-0000-0000-00001F930000}"/>
    <cellStyle name="Note 84 35 3" xfId="37624" xr:uid="{00000000-0005-0000-0000-000020930000}"/>
    <cellStyle name="Note 84 36" xfId="37625" xr:uid="{00000000-0005-0000-0000-000021930000}"/>
    <cellStyle name="Note 84 36 2" xfId="37626" xr:uid="{00000000-0005-0000-0000-000022930000}"/>
    <cellStyle name="Note 84 36 2 2" xfId="37627" xr:uid="{00000000-0005-0000-0000-000023930000}"/>
    <cellStyle name="Note 84 36 3" xfId="37628" xr:uid="{00000000-0005-0000-0000-000024930000}"/>
    <cellStyle name="Note 84 4" xfId="37629" xr:uid="{00000000-0005-0000-0000-000025930000}"/>
    <cellStyle name="Note 84 4 2" xfId="37630" xr:uid="{00000000-0005-0000-0000-000026930000}"/>
    <cellStyle name="Note 84 4 2 2" xfId="37631" xr:uid="{00000000-0005-0000-0000-000027930000}"/>
    <cellStyle name="Note 84 4 3" xfId="37632" xr:uid="{00000000-0005-0000-0000-000028930000}"/>
    <cellStyle name="Note 84 5" xfId="37633" xr:uid="{00000000-0005-0000-0000-000029930000}"/>
    <cellStyle name="Note 84 5 2" xfId="37634" xr:uid="{00000000-0005-0000-0000-00002A930000}"/>
    <cellStyle name="Note 84 5 2 2" xfId="37635" xr:uid="{00000000-0005-0000-0000-00002B930000}"/>
    <cellStyle name="Note 84 5 3" xfId="37636" xr:uid="{00000000-0005-0000-0000-00002C930000}"/>
    <cellStyle name="Note 84 6" xfId="37637" xr:uid="{00000000-0005-0000-0000-00002D930000}"/>
    <cellStyle name="Note 84 6 2" xfId="37638" xr:uid="{00000000-0005-0000-0000-00002E930000}"/>
    <cellStyle name="Note 84 6 2 2" xfId="37639" xr:uid="{00000000-0005-0000-0000-00002F930000}"/>
    <cellStyle name="Note 84 6 3" xfId="37640" xr:uid="{00000000-0005-0000-0000-000030930000}"/>
    <cellStyle name="Note 84 7" xfId="37641" xr:uid="{00000000-0005-0000-0000-000031930000}"/>
    <cellStyle name="Note 84 7 2" xfId="37642" xr:uid="{00000000-0005-0000-0000-000032930000}"/>
    <cellStyle name="Note 84 7 2 2" xfId="37643" xr:uid="{00000000-0005-0000-0000-000033930000}"/>
    <cellStyle name="Note 84 7 3" xfId="37644" xr:uid="{00000000-0005-0000-0000-000034930000}"/>
    <cellStyle name="Note 84 8" xfId="37645" xr:uid="{00000000-0005-0000-0000-000035930000}"/>
    <cellStyle name="Note 84 8 2" xfId="37646" xr:uid="{00000000-0005-0000-0000-000036930000}"/>
    <cellStyle name="Note 84 8 2 2" xfId="37647" xr:uid="{00000000-0005-0000-0000-000037930000}"/>
    <cellStyle name="Note 84 8 3" xfId="37648" xr:uid="{00000000-0005-0000-0000-000038930000}"/>
    <cellStyle name="Note 84 9" xfId="37649" xr:uid="{00000000-0005-0000-0000-000039930000}"/>
    <cellStyle name="Note 84 9 2" xfId="37650" xr:uid="{00000000-0005-0000-0000-00003A930000}"/>
    <cellStyle name="Note 84 9 2 2" xfId="37651" xr:uid="{00000000-0005-0000-0000-00003B930000}"/>
    <cellStyle name="Note 84 9 3" xfId="37652" xr:uid="{00000000-0005-0000-0000-00003C930000}"/>
    <cellStyle name="Note 85" xfId="37653" xr:uid="{00000000-0005-0000-0000-00003D930000}"/>
    <cellStyle name="Note 85 10" xfId="37654" xr:uid="{00000000-0005-0000-0000-00003E930000}"/>
    <cellStyle name="Note 85 10 2" xfId="37655" xr:uid="{00000000-0005-0000-0000-00003F930000}"/>
    <cellStyle name="Note 85 10 2 2" xfId="37656" xr:uid="{00000000-0005-0000-0000-000040930000}"/>
    <cellStyle name="Note 85 10 3" xfId="37657" xr:uid="{00000000-0005-0000-0000-000041930000}"/>
    <cellStyle name="Note 85 11" xfId="37658" xr:uid="{00000000-0005-0000-0000-000042930000}"/>
    <cellStyle name="Note 85 11 2" xfId="37659" xr:uid="{00000000-0005-0000-0000-000043930000}"/>
    <cellStyle name="Note 85 11 2 2" xfId="37660" xr:uid="{00000000-0005-0000-0000-000044930000}"/>
    <cellStyle name="Note 85 11 3" xfId="37661" xr:uid="{00000000-0005-0000-0000-000045930000}"/>
    <cellStyle name="Note 85 12" xfId="37662" xr:uid="{00000000-0005-0000-0000-000046930000}"/>
    <cellStyle name="Note 85 12 2" xfId="37663" xr:uid="{00000000-0005-0000-0000-000047930000}"/>
    <cellStyle name="Note 85 12 2 2" xfId="37664" xr:uid="{00000000-0005-0000-0000-000048930000}"/>
    <cellStyle name="Note 85 12 3" xfId="37665" xr:uid="{00000000-0005-0000-0000-000049930000}"/>
    <cellStyle name="Note 85 13" xfId="37666" xr:uid="{00000000-0005-0000-0000-00004A930000}"/>
    <cellStyle name="Note 85 13 2" xfId="37667" xr:uid="{00000000-0005-0000-0000-00004B930000}"/>
    <cellStyle name="Note 85 13 2 2" xfId="37668" xr:uid="{00000000-0005-0000-0000-00004C930000}"/>
    <cellStyle name="Note 85 13 3" xfId="37669" xr:uid="{00000000-0005-0000-0000-00004D930000}"/>
    <cellStyle name="Note 85 14" xfId="37670" xr:uid="{00000000-0005-0000-0000-00004E930000}"/>
    <cellStyle name="Note 85 14 2" xfId="37671" xr:uid="{00000000-0005-0000-0000-00004F930000}"/>
    <cellStyle name="Note 85 14 2 2" xfId="37672" xr:uid="{00000000-0005-0000-0000-000050930000}"/>
    <cellStyle name="Note 85 14 3" xfId="37673" xr:uid="{00000000-0005-0000-0000-000051930000}"/>
    <cellStyle name="Note 85 15" xfId="37674" xr:uid="{00000000-0005-0000-0000-000052930000}"/>
    <cellStyle name="Note 85 15 2" xfId="37675" xr:uid="{00000000-0005-0000-0000-000053930000}"/>
    <cellStyle name="Note 85 15 2 2" xfId="37676" xr:uid="{00000000-0005-0000-0000-000054930000}"/>
    <cellStyle name="Note 85 15 3" xfId="37677" xr:uid="{00000000-0005-0000-0000-000055930000}"/>
    <cellStyle name="Note 85 16" xfId="37678" xr:uid="{00000000-0005-0000-0000-000056930000}"/>
    <cellStyle name="Note 85 16 2" xfId="37679" xr:uid="{00000000-0005-0000-0000-000057930000}"/>
    <cellStyle name="Note 85 16 2 2" xfId="37680" xr:uid="{00000000-0005-0000-0000-000058930000}"/>
    <cellStyle name="Note 85 16 3" xfId="37681" xr:uid="{00000000-0005-0000-0000-000059930000}"/>
    <cellStyle name="Note 85 17" xfId="37682" xr:uid="{00000000-0005-0000-0000-00005A930000}"/>
    <cellStyle name="Note 85 17 2" xfId="37683" xr:uid="{00000000-0005-0000-0000-00005B930000}"/>
    <cellStyle name="Note 85 17 2 2" xfId="37684" xr:uid="{00000000-0005-0000-0000-00005C930000}"/>
    <cellStyle name="Note 85 17 3" xfId="37685" xr:uid="{00000000-0005-0000-0000-00005D930000}"/>
    <cellStyle name="Note 85 18" xfId="37686" xr:uid="{00000000-0005-0000-0000-00005E930000}"/>
    <cellStyle name="Note 85 18 2" xfId="37687" xr:uid="{00000000-0005-0000-0000-00005F930000}"/>
    <cellStyle name="Note 85 18 2 2" xfId="37688" xr:uid="{00000000-0005-0000-0000-000060930000}"/>
    <cellStyle name="Note 85 18 3" xfId="37689" xr:uid="{00000000-0005-0000-0000-000061930000}"/>
    <cellStyle name="Note 85 19" xfId="37690" xr:uid="{00000000-0005-0000-0000-000062930000}"/>
    <cellStyle name="Note 85 19 2" xfId="37691" xr:uid="{00000000-0005-0000-0000-000063930000}"/>
    <cellStyle name="Note 85 19 2 2" xfId="37692" xr:uid="{00000000-0005-0000-0000-000064930000}"/>
    <cellStyle name="Note 85 19 3" xfId="37693" xr:uid="{00000000-0005-0000-0000-000065930000}"/>
    <cellStyle name="Note 85 2" xfId="37694" xr:uid="{00000000-0005-0000-0000-000066930000}"/>
    <cellStyle name="Note 85 2 2" xfId="37695" xr:uid="{00000000-0005-0000-0000-000067930000}"/>
    <cellStyle name="Note 85 2 2 2" xfId="37696" xr:uid="{00000000-0005-0000-0000-000068930000}"/>
    <cellStyle name="Note 85 2 3" xfId="37697" xr:uid="{00000000-0005-0000-0000-000069930000}"/>
    <cellStyle name="Note 85 20" xfId="37698" xr:uid="{00000000-0005-0000-0000-00006A930000}"/>
    <cellStyle name="Note 85 20 2" xfId="37699" xr:uid="{00000000-0005-0000-0000-00006B930000}"/>
    <cellStyle name="Note 85 20 2 2" xfId="37700" xr:uid="{00000000-0005-0000-0000-00006C930000}"/>
    <cellStyle name="Note 85 20 3" xfId="37701" xr:uid="{00000000-0005-0000-0000-00006D930000}"/>
    <cellStyle name="Note 85 21" xfId="37702" xr:uid="{00000000-0005-0000-0000-00006E930000}"/>
    <cellStyle name="Note 85 21 2" xfId="37703" xr:uid="{00000000-0005-0000-0000-00006F930000}"/>
    <cellStyle name="Note 85 21 2 2" xfId="37704" xr:uid="{00000000-0005-0000-0000-000070930000}"/>
    <cellStyle name="Note 85 21 3" xfId="37705" xr:uid="{00000000-0005-0000-0000-000071930000}"/>
    <cellStyle name="Note 85 22" xfId="37706" xr:uid="{00000000-0005-0000-0000-000072930000}"/>
    <cellStyle name="Note 85 22 2" xfId="37707" xr:uid="{00000000-0005-0000-0000-000073930000}"/>
    <cellStyle name="Note 85 22 2 2" xfId="37708" xr:uid="{00000000-0005-0000-0000-000074930000}"/>
    <cellStyle name="Note 85 22 3" xfId="37709" xr:uid="{00000000-0005-0000-0000-000075930000}"/>
    <cellStyle name="Note 85 23" xfId="37710" xr:uid="{00000000-0005-0000-0000-000076930000}"/>
    <cellStyle name="Note 85 23 2" xfId="37711" xr:uid="{00000000-0005-0000-0000-000077930000}"/>
    <cellStyle name="Note 85 23 2 2" xfId="37712" xr:uid="{00000000-0005-0000-0000-000078930000}"/>
    <cellStyle name="Note 85 23 3" xfId="37713" xr:uid="{00000000-0005-0000-0000-000079930000}"/>
    <cellStyle name="Note 85 24" xfId="37714" xr:uid="{00000000-0005-0000-0000-00007A930000}"/>
    <cellStyle name="Note 85 24 2" xfId="37715" xr:uid="{00000000-0005-0000-0000-00007B930000}"/>
    <cellStyle name="Note 85 24 2 2" xfId="37716" xr:uid="{00000000-0005-0000-0000-00007C930000}"/>
    <cellStyle name="Note 85 24 3" xfId="37717" xr:uid="{00000000-0005-0000-0000-00007D930000}"/>
    <cellStyle name="Note 85 25" xfId="37718" xr:uid="{00000000-0005-0000-0000-00007E930000}"/>
    <cellStyle name="Note 85 25 2" xfId="37719" xr:uid="{00000000-0005-0000-0000-00007F930000}"/>
    <cellStyle name="Note 85 25 2 2" xfId="37720" xr:uid="{00000000-0005-0000-0000-000080930000}"/>
    <cellStyle name="Note 85 25 3" xfId="37721" xr:uid="{00000000-0005-0000-0000-000081930000}"/>
    <cellStyle name="Note 85 26" xfId="37722" xr:uid="{00000000-0005-0000-0000-000082930000}"/>
    <cellStyle name="Note 85 26 2" xfId="37723" xr:uid="{00000000-0005-0000-0000-000083930000}"/>
    <cellStyle name="Note 85 26 2 2" xfId="37724" xr:uid="{00000000-0005-0000-0000-000084930000}"/>
    <cellStyle name="Note 85 26 3" xfId="37725" xr:uid="{00000000-0005-0000-0000-000085930000}"/>
    <cellStyle name="Note 85 27" xfId="37726" xr:uid="{00000000-0005-0000-0000-000086930000}"/>
    <cellStyle name="Note 85 27 2" xfId="37727" xr:uid="{00000000-0005-0000-0000-000087930000}"/>
    <cellStyle name="Note 85 27 2 2" xfId="37728" xr:uid="{00000000-0005-0000-0000-000088930000}"/>
    <cellStyle name="Note 85 27 3" xfId="37729" xr:uid="{00000000-0005-0000-0000-000089930000}"/>
    <cellStyle name="Note 85 28" xfId="37730" xr:uid="{00000000-0005-0000-0000-00008A930000}"/>
    <cellStyle name="Note 85 28 2" xfId="37731" xr:uid="{00000000-0005-0000-0000-00008B930000}"/>
    <cellStyle name="Note 85 28 2 2" xfId="37732" xr:uid="{00000000-0005-0000-0000-00008C930000}"/>
    <cellStyle name="Note 85 28 3" xfId="37733" xr:uid="{00000000-0005-0000-0000-00008D930000}"/>
    <cellStyle name="Note 85 29" xfId="37734" xr:uid="{00000000-0005-0000-0000-00008E930000}"/>
    <cellStyle name="Note 85 29 2" xfId="37735" xr:uid="{00000000-0005-0000-0000-00008F930000}"/>
    <cellStyle name="Note 85 29 2 2" xfId="37736" xr:uid="{00000000-0005-0000-0000-000090930000}"/>
    <cellStyle name="Note 85 29 3" xfId="37737" xr:uid="{00000000-0005-0000-0000-000091930000}"/>
    <cellStyle name="Note 85 3" xfId="37738" xr:uid="{00000000-0005-0000-0000-000092930000}"/>
    <cellStyle name="Note 85 3 2" xfId="37739" xr:uid="{00000000-0005-0000-0000-000093930000}"/>
    <cellStyle name="Note 85 3 2 2" xfId="37740" xr:uid="{00000000-0005-0000-0000-000094930000}"/>
    <cellStyle name="Note 85 3 3" xfId="37741" xr:uid="{00000000-0005-0000-0000-000095930000}"/>
    <cellStyle name="Note 85 30" xfId="37742" xr:uid="{00000000-0005-0000-0000-000096930000}"/>
    <cellStyle name="Note 85 30 2" xfId="37743" xr:uid="{00000000-0005-0000-0000-000097930000}"/>
    <cellStyle name="Note 85 30 2 2" xfId="37744" xr:uid="{00000000-0005-0000-0000-000098930000}"/>
    <cellStyle name="Note 85 30 3" xfId="37745" xr:uid="{00000000-0005-0000-0000-000099930000}"/>
    <cellStyle name="Note 85 31" xfId="37746" xr:uid="{00000000-0005-0000-0000-00009A930000}"/>
    <cellStyle name="Note 85 31 2" xfId="37747" xr:uid="{00000000-0005-0000-0000-00009B930000}"/>
    <cellStyle name="Note 85 31 2 2" xfId="37748" xr:uid="{00000000-0005-0000-0000-00009C930000}"/>
    <cellStyle name="Note 85 31 3" xfId="37749" xr:uid="{00000000-0005-0000-0000-00009D930000}"/>
    <cellStyle name="Note 85 32" xfId="37750" xr:uid="{00000000-0005-0000-0000-00009E930000}"/>
    <cellStyle name="Note 85 32 2" xfId="37751" xr:uid="{00000000-0005-0000-0000-00009F930000}"/>
    <cellStyle name="Note 85 32 2 2" xfId="37752" xr:uid="{00000000-0005-0000-0000-0000A0930000}"/>
    <cellStyle name="Note 85 32 3" xfId="37753" xr:uid="{00000000-0005-0000-0000-0000A1930000}"/>
    <cellStyle name="Note 85 33" xfId="37754" xr:uid="{00000000-0005-0000-0000-0000A2930000}"/>
    <cellStyle name="Note 85 33 2" xfId="37755" xr:uid="{00000000-0005-0000-0000-0000A3930000}"/>
    <cellStyle name="Note 85 33 2 2" xfId="37756" xr:uid="{00000000-0005-0000-0000-0000A4930000}"/>
    <cellStyle name="Note 85 33 3" xfId="37757" xr:uid="{00000000-0005-0000-0000-0000A5930000}"/>
    <cellStyle name="Note 85 34" xfId="37758" xr:uid="{00000000-0005-0000-0000-0000A6930000}"/>
    <cellStyle name="Note 85 34 2" xfId="37759" xr:uid="{00000000-0005-0000-0000-0000A7930000}"/>
    <cellStyle name="Note 85 34 2 2" xfId="37760" xr:uid="{00000000-0005-0000-0000-0000A8930000}"/>
    <cellStyle name="Note 85 34 3" xfId="37761" xr:uid="{00000000-0005-0000-0000-0000A9930000}"/>
    <cellStyle name="Note 85 35" xfId="37762" xr:uid="{00000000-0005-0000-0000-0000AA930000}"/>
    <cellStyle name="Note 85 35 2" xfId="37763" xr:uid="{00000000-0005-0000-0000-0000AB930000}"/>
    <cellStyle name="Note 85 35 2 2" xfId="37764" xr:uid="{00000000-0005-0000-0000-0000AC930000}"/>
    <cellStyle name="Note 85 35 3" xfId="37765" xr:uid="{00000000-0005-0000-0000-0000AD930000}"/>
    <cellStyle name="Note 85 36" xfId="37766" xr:uid="{00000000-0005-0000-0000-0000AE930000}"/>
    <cellStyle name="Note 85 36 2" xfId="37767" xr:uid="{00000000-0005-0000-0000-0000AF930000}"/>
    <cellStyle name="Note 85 36 2 2" xfId="37768" xr:uid="{00000000-0005-0000-0000-0000B0930000}"/>
    <cellStyle name="Note 85 36 3" xfId="37769" xr:uid="{00000000-0005-0000-0000-0000B1930000}"/>
    <cellStyle name="Note 85 4" xfId="37770" xr:uid="{00000000-0005-0000-0000-0000B2930000}"/>
    <cellStyle name="Note 85 4 2" xfId="37771" xr:uid="{00000000-0005-0000-0000-0000B3930000}"/>
    <cellStyle name="Note 85 4 2 2" xfId="37772" xr:uid="{00000000-0005-0000-0000-0000B4930000}"/>
    <cellStyle name="Note 85 4 3" xfId="37773" xr:uid="{00000000-0005-0000-0000-0000B5930000}"/>
    <cellStyle name="Note 85 5" xfId="37774" xr:uid="{00000000-0005-0000-0000-0000B6930000}"/>
    <cellStyle name="Note 85 5 2" xfId="37775" xr:uid="{00000000-0005-0000-0000-0000B7930000}"/>
    <cellStyle name="Note 85 5 2 2" xfId="37776" xr:uid="{00000000-0005-0000-0000-0000B8930000}"/>
    <cellStyle name="Note 85 5 3" xfId="37777" xr:uid="{00000000-0005-0000-0000-0000B9930000}"/>
    <cellStyle name="Note 85 6" xfId="37778" xr:uid="{00000000-0005-0000-0000-0000BA930000}"/>
    <cellStyle name="Note 85 6 2" xfId="37779" xr:uid="{00000000-0005-0000-0000-0000BB930000}"/>
    <cellStyle name="Note 85 6 2 2" xfId="37780" xr:uid="{00000000-0005-0000-0000-0000BC930000}"/>
    <cellStyle name="Note 85 6 3" xfId="37781" xr:uid="{00000000-0005-0000-0000-0000BD930000}"/>
    <cellStyle name="Note 85 7" xfId="37782" xr:uid="{00000000-0005-0000-0000-0000BE930000}"/>
    <cellStyle name="Note 85 7 2" xfId="37783" xr:uid="{00000000-0005-0000-0000-0000BF930000}"/>
    <cellStyle name="Note 85 7 2 2" xfId="37784" xr:uid="{00000000-0005-0000-0000-0000C0930000}"/>
    <cellStyle name="Note 85 7 3" xfId="37785" xr:uid="{00000000-0005-0000-0000-0000C1930000}"/>
    <cellStyle name="Note 85 8" xfId="37786" xr:uid="{00000000-0005-0000-0000-0000C2930000}"/>
    <cellStyle name="Note 85 8 2" xfId="37787" xr:uid="{00000000-0005-0000-0000-0000C3930000}"/>
    <cellStyle name="Note 85 8 2 2" xfId="37788" xr:uid="{00000000-0005-0000-0000-0000C4930000}"/>
    <cellStyle name="Note 85 8 3" xfId="37789" xr:uid="{00000000-0005-0000-0000-0000C5930000}"/>
    <cellStyle name="Note 85 9" xfId="37790" xr:uid="{00000000-0005-0000-0000-0000C6930000}"/>
    <cellStyle name="Note 85 9 2" xfId="37791" xr:uid="{00000000-0005-0000-0000-0000C7930000}"/>
    <cellStyle name="Note 85 9 2 2" xfId="37792" xr:uid="{00000000-0005-0000-0000-0000C8930000}"/>
    <cellStyle name="Note 85 9 3" xfId="37793" xr:uid="{00000000-0005-0000-0000-0000C9930000}"/>
    <cellStyle name="Note 86" xfId="37794" xr:uid="{00000000-0005-0000-0000-0000CA930000}"/>
    <cellStyle name="Note 86 10" xfId="37795" xr:uid="{00000000-0005-0000-0000-0000CB930000}"/>
    <cellStyle name="Note 86 10 2" xfId="37796" xr:uid="{00000000-0005-0000-0000-0000CC930000}"/>
    <cellStyle name="Note 86 10 2 2" xfId="37797" xr:uid="{00000000-0005-0000-0000-0000CD930000}"/>
    <cellStyle name="Note 86 10 3" xfId="37798" xr:uid="{00000000-0005-0000-0000-0000CE930000}"/>
    <cellStyle name="Note 86 11" xfId="37799" xr:uid="{00000000-0005-0000-0000-0000CF930000}"/>
    <cellStyle name="Note 86 11 2" xfId="37800" xr:uid="{00000000-0005-0000-0000-0000D0930000}"/>
    <cellStyle name="Note 86 11 2 2" xfId="37801" xr:uid="{00000000-0005-0000-0000-0000D1930000}"/>
    <cellStyle name="Note 86 11 3" xfId="37802" xr:uid="{00000000-0005-0000-0000-0000D2930000}"/>
    <cellStyle name="Note 86 12" xfId="37803" xr:uid="{00000000-0005-0000-0000-0000D3930000}"/>
    <cellStyle name="Note 86 12 2" xfId="37804" xr:uid="{00000000-0005-0000-0000-0000D4930000}"/>
    <cellStyle name="Note 86 12 2 2" xfId="37805" xr:uid="{00000000-0005-0000-0000-0000D5930000}"/>
    <cellStyle name="Note 86 12 3" xfId="37806" xr:uid="{00000000-0005-0000-0000-0000D6930000}"/>
    <cellStyle name="Note 86 13" xfId="37807" xr:uid="{00000000-0005-0000-0000-0000D7930000}"/>
    <cellStyle name="Note 86 13 2" xfId="37808" xr:uid="{00000000-0005-0000-0000-0000D8930000}"/>
    <cellStyle name="Note 86 13 2 2" xfId="37809" xr:uid="{00000000-0005-0000-0000-0000D9930000}"/>
    <cellStyle name="Note 86 13 3" xfId="37810" xr:uid="{00000000-0005-0000-0000-0000DA930000}"/>
    <cellStyle name="Note 86 14" xfId="37811" xr:uid="{00000000-0005-0000-0000-0000DB930000}"/>
    <cellStyle name="Note 86 14 2" xfId="37812" xr:uid="{00000000-0005-0000-0000-0000DC930000}"/>
    <cellStyle name="Note 86 14 2 2" xfId="37813" xr:uid="{00000000-0005-0000-0000-0000DD930000}"/>
    <cellStyle name="Note 86 14 3" xfId="37814" xr:uid="{00000000-0005-0000-0000-0000DE930000}"/>
    <cellStyle name="Note 86 15" xfId="37815" xr:uid="{00000000-0005-0000-0000-0000DF930000}"/>
    <cellStyle name="Note 86 15 2" xfId="37816" xr:uid="{00000000-0005-0000-0000-0000E0930000}"/>
    <cellStyle name="Note 86 15 2 2" xfId="37817" xr:uid="{00000000-0005-0000-0000-0000E1930000}"/>
    <cellStyle name="Note 86 15 3" xfId="37818" xr:uid="{00000000-0005-0000-0000-0000E2930000}"/>
    <cellStyle name="Note 86 16" xfId="37819" xr:uid="{00000000-0005-0000-0000-0000E3930000}"/>
    <cellStyle name="Note 86 16 2" xfId="37820" xr:uid="{00000000-0005-0000-0000-0000E4930000}"/>
    <cellStyle name="Note 86 16 2 2" xfId="37821" xr:uid="{00000000-0005-0000-0000-0000E5930000}"/>
    <cellStyle name="Note 86 16 3" xfId="37822" xr:uid="{00000000-0005-0000-0000-0000E6930000}"/>
    <cellStyle name="Note 86 17" xfId="37823" xr:uid="{00000000-0005-0000-0000-0000E7930000}"/>
    <cellStyle name="Note 86 17 2" xfId="37824" xr:uid="{00000000-0005-0000-0000-0000E8930000}"/>
    <cellStyle name="Note 86 17 2 2" xfId="37825" xr:uid="{00000000-0005-0000-0000-0000E9930000}"/>
    <cellStyle name="Note 86 17 3" xfId="37826" xr:uid="{00000000-0005-0000-0000-0000EA930000}"/>
    <cellStyle name="Note 86 18" xfId="37827" xr:uid="{00000000-0005-0000-0000-0000EB930000}"/>
    <cellStyle name="Note 86 18 2" xfId="37828" xr:uid="{00000000-0005-0000-0000-0000EC930000}"/>
    <cellStyle name="Note 86 18 2 2" xfId="37829" xr:uid="{00000000-0005-0000-0000-0000ED930000}"/>
    <cellStyle name="Note 86 18 3" xfId="37830" xr:uid="{00000000-0005-0000-0000-0000EE930000}"/>
    <cellStyle name="Note 86 19" xfId="37831" xr:uid="{00000000-0005-0000-0000-0000EF930000}"/>
    <cellStyle name="Note 86 19 2" xfId="37832" xr:uid="{00000000-0005-0000-0000-0000F0930000}"/>
    <cellStyle name="Note 86 19 2 2" xfId="37833" xr:uid="{00000000-0005-0000-0000-0000F1930000}"/>
    <cellStyle name="Note 86 19 3" xfId="37834" xr:uid="{00000000-0005-0000-0000-0000F2930000}"/>
    <cellStyle name="Note 86 2" xfId="37835" xr:uid="{00000000-0005-0000-0000-0000F3930000}"/>
    <cellStyle name="Note 86 2 2" xfId="37836" xr:uid="{00000000-0005-0000-0000-0000F4930000}"/>
    <cellStyle name="Note 86 2 2 2" xfId="37837" xr:uid="{00000000-0005-0000-0000-0000F5930000}"/>
    <cellStyle name="Note 86 2 3" xfId="37838" xr:uid="{00000000-0005-0000-0000-0000F6930000}"/>
    <cellStyle name="Note 86 20" xfId="37839" xr:uid="{00000000-0005-0000-0000-0000F7930000}"/>
    <cellStyle name="Note 86 20 2" xfId="37840" xr:uid="{00000000-0005-0000-0000-0000F8930000}"/>
    <cellStyle name="Note 86 20 2 2" xfId="37841" xr:uid="{00000000-0005-0000-0000-0000F9930000}"/>
    <cellStyle name="Note 86 20 3" xfId="37842" xr:uid="{00000000-0005-0000-0000-0000FA930000}"/>
    <cellStyle name="Note 86 21" xfId="37843" xr:uid="{00000000-0005-0000-0000-0000FB930000}"/>
    <cellStyle name="Note 86 21 2" xfId="37844" xr:uid="{00000000-0005-0000-0000-0000FC930000}"/>
    <cellStyle name="Note 86 21 2 2" xfId="37845" xr:uid="{00000000-0005-0000-0000-0000FD930000}"/>
    <cellStyle name="Note 86 21 3" xfId="37846" xr:uid="{00000000-0005-0000-0000-0000FE930000}"/>
    <cellStyle name="Note 86 22" xfId="37847" xr:uid="{00000000-0005-0000-0000-0000FF930000}"/>
    <cellStyle name="Note 86 22 2" xfId="37848" xr:uid="{00000000-0005-0000-0000-000000940000}"/>
    <cellStyle name="Note 86 22 2 2" xfId="37849" xr:uid="{00000000-0005-0000-0000-000001940000}"/>
    <cellStyle name="Note 86 22 3" xfId="37850" xr:uid="{00000000-0005-0000-0000-000002940000}"/>
    <cellStyle name="Note 86 23" xfId="37851" xr:uid="{00000000-0005-0000-0000-000003940000}"/>
    <cellStyle name="Note 86 23 2" xfId="37852" xr:uid="{00000000-0005-0000-0000-000004940000}"/>
    <cellStyle name="Note 86 23 2 2" xfId="37853" xr:uid="{00000000-0005-0000-0000-000005940000}"/>
    <cellStyle name="Note 86 23 3" xfId="37854" xr:uid="{00000000-0005-0000-0000-000006940000}"/>
    <cellStyle name="Note 86 24" xfId="37855" xr:uid="{00000000-0005-0000-0000-000007940000}"/>
    <cellStyle name="Note 86 24 2" xfId="37856" xr:uid="{00000000-0005-0000-0000-000008940000}"/>
    <cellStyle name="Note 86 24 2 2" xfId="37857" xr:uid="{00000000-0005-0000-0000-000009940000}"/>
    <cellStyle name="Note 86 24 3" xfId="37858" xr:uid="{00000000-0005-0000-0000-00000A940000}"/>
    <cellStyle name="Note 86 25" xfId="37859" xr:uid="{00000000-0005-0000-0000-00000B940000}"/>
    <cellStyle name="Note 86 25 2" xfId="37860" xr:uid="{00000000-0005-0000-0000-00000C940000}"/>
    <cellStyle name="Note 86 25 2 2" xfId="37861" xr:uid="{00000000-0005-0000-0000-00000D940000}"/>
    <cellStyle name="Note 86 25 3" xfId="37862" xr:uid="{00000000-0005-0000-0000-00000E940000}"/>
    <cellStyle name="Note 86 26" xfId="37863" xr:uid="{00000000-0005-0000-0000-00000F940000}"/>
    <cellStyle name="Note 86 26 2" xfId="37864" xr:uid="{00000000-0005-0000-0000-000010940000}"/>
    <cellStyle name="Note 86 26 2 2" xfId="37865" xr:uid="{00000000-0005-0000-0000-000011940000}"/>
    <cellStyle name="Note 86 26 3" xfId="37866" xr:uid="{00000000-0005-0000-0000-000012940000}"/>
    <cellStyle name="Note 86 27" xfId="37867" xr:uid="{00000000-0005-0000-0000-000013940000}"/>
    <cellStyle name="Note 86 27 2" xfId="37868" xr:uid="{00000000-0005-0000-0000-000014940000}"/>
    <cellStyle name="Note 86 27 2 2" xfId="37869" xr:uid="{00000000-0005-0000-0000-000015940000}"/>
    <cellStyle name="Note 86 27 3" xfId="37870" xr:uid="{00000000-0005-0000-0000-000016940000}"/>
    <cellStyle name="Note 86 28" xfId="37871" xr:uid="{00000000-0005-0000-0000-000017940000}"/>
    <cellStyle name="Note 86 28 2" xfId="37872" xr:uid="{00000000-0005-0000-0000-000018940000}"/>
    <cellStyle name="Note 86 28 2 2" xfId="37873" xr:uid="{00000000-0005-0000-0000-000019940000}"/>
    <cellStyle name="Note 86 28 3" xfId="37874" xr:uid="{00000000-0005-0000-0000-00001A940000}"/>
    <cellStyle name="Note 86 29" xfId="37875" xr:uid="{00000000-0005-0000-0000-00001B940000}"/>
    <cellStyle name="Note 86 29 2" xfId="37876" xr:uid="{00000000-0005-0000-0000-00001C940000}"/>
    <cellStyle name="Note 86 29 2 2" xfId="37877" xr:uid="{00000000-0005-0000-0000-00001D940000}"/>
    <cellStyle name="Note 86 29 3" xfId="37878" xr:uid="{00000000-0005-0000-0000-00001E940000}"/>
    <cellStyle name="Note 86 3" xfId="37879" xr:uid="{00000000-0005-0000-0000-00001F940000}"/>
    <cellStyle name="Note 86 3 2" xfId="37880" xr:uid="{00000000-0005-0000-0000-000020940000}"/>
    <cellStyle name="Note 86 3 2 2" xfId="37881" xr:uid="{00000000-0005-0000-0000-000021940000}"/>
    <cellStyle name="Note 86 3 3" xfId="37882" xr:uid="{00000000-0005-0000-0000-000022940000}"/>
    <cellStyle name="Note 86 30" xfId="37883" xr:uid="{00000000-0005-0000-0000-000023940000}"/>
    <cellStyle name="Note 86 30 2" xfId="37884" xr:uid="{00000000-0005-0000-0000-000024940000}"/>
    <cellStyle name="Note 86 30 2 2" xfId="37885" xr:uid="{00000000-0005-0000-0000-000025940000}"/>
    <cellStyle name="Note 86 30 3" xfId="37886" xr:uid="{00000000-0005-0000-0000-000026940000}"/>
    <cellStyle name="Note 86 31" xfId="37887" xr:uid="{00000000-0005-0000-0000-000027940000}"/>
    <cellStyle name="Note 86 31 2" xfId="37888" xr:uid="{00000000-0005-0000-0000-000028940000}"/>
    <cellStyle name="Note 86 31 2 2" xfId="37889" xr:uid="{00000000-0005-0000-0000-000029940000}"/>
    <cellStyle name="Note 86 31 3" xfId="37890" xr:uid="{00000000-0005-0000-0000-00002A940000}"/>
    <cellStyle name="Note 86 32" xfId="37891" xr:uid="{00000000-0005-0000-0000-00002B940000}"/>
    <cellStyle name="Note 86 32 2" xfId="37892" xr:uid="{00000000-0005-0000-0000-00002C940000}"/>
    <cellStyle name="Note 86 32 2 2" xfId="37893" xr:uid="{00000000-0005-0000-0000-00002D940000}"/>
    <cellStyle name="Note 86 32 3" xfId="37894" xr:uid="{00000000-0005-0000-0000-00002E940000}"/>
    <cellStyle name="Note 86 33" xfId="37895" xr:uid="{00000000-0005-0000-0000-00002F940000}"/>
    <cellStyle name="Note 86 33 2" xfId="37896" xr:uid="{00000000-0005-0000-0000-000030940000}"/>
    <cellStyle name="Note 86 33 2 2" xfId="37897" xr:uid="{00000000-0005-0000-0000-000031940000}"/>
    <cellStyle name="Note 86 33 3" xfId="37898" xr:uid="{00000000-0005-0000-0000-000032940000}"/>
    <cellStyle name="Note 86 34" xfId="37899" xr:uid="{00000000-0005-0000-0000-000033940000}"/>
    <cellStyle name="Note 86 34 2" xfId="37900" xr:uid="{00000000-0005-0000-0000-000034940000}"/>
    <cellStyle name="Note 86 34 2 2" xfId="37901" xr:uid="{00000000-0005-0000-0000-000035940000}"/>
    <cellStyle name="Note 86 34 3" xfId="37902" xr:uid="{00000000-0005-0000-0000-000036940000}"/>
    <cellStyle name="Note 86 35" xfId="37903" xr:uid="{00000000-0005-0000-0000-000037940000}"/>
    <cellStyle name="Note 86 35 2" xfId="37904" xr:uid="{00000000-0005-0000-0000-000038940000}"/>
    <cellStyle name="Note 86 35 2 2" xfId="37905" xr:uid="{00000000-0005-0000-0000-000039940000}"/>
    <cellStyle name="Note 86 35 3" xfId="37906" xr:uid="{00000000-0005-0000-0000-00003A940000}"/>
    <cellStyle name="Note 86 36" xfId="37907" xr:uid="{00000000-0005-0000-0000-00003B940000}"/>
    <cellStyle name="Note 86 36 2" xfId="37908" xr:uid="{00000000-0005-0000-0000-00003C940000}"/>
    <cellStyle name="Note 86 36 2 2" xfId="37909" xr:uid="{00000000-0005-0000-0000-00003D940000}"/>
    <cellStyle name="Note 86 36 3" xfId="37910" xr:uid="{00000000-0005-0000-0000-00003E940000}"/>
    <cellStyle name="Note 86 4" xfId="37911" xr:uid="{00000000-0005-0000-0000-00003F940000}"/>
    <cellStyle name="Note 86 4 2" xfId="37912" xr:uid="{00000000-0005-0000-0000-000040940000}"/>
    <cellStyle name="Note 86 4 2 2" xfId="37913" xr:uid="{00000000-0005-0000-0000-000041940000}"/>
    <cellStyle name="Note 86 4 3" xfId="37914" xr:uid="{00000000-0005-0000-0000-000042940000}"/>
    <cellStyle name="Note 86 5" xfId="37915" xr:uid="{00000000-0005-0000-0000-000043940000}"/>
    <cellStyle name="Note 86 5 2" xfId="37916" xr:uid="{00000000-0005-0000-0000-000044940000}"/>
    <cellStyle name="Note 86 5 2 2" xfId="37917" xr:uid="{00000000-0005-0000-0000-000045940000}"/>
    <cellStyle name="Note 86 5 3" xfId="37918" xr:uid="{00000000-0005-0000-0000-000046940000}"/>
    <cellStyle name="Note 86 6" xfId="37919" xr:uid="{00000000-0005-0000-0000-000047940000}"/>
    <cellStyle name="Note 86 6 2" xfId="37920" xr:uid="{00000000-0005-0000-0000-000048940000}"/>
    <cellStyle name="Note 86 6 2 2" xfId="37921" xr:uid="{00000000-0005-0000-0000-000049940000}"/>
    <cellStyle name="Note 86 6 3" xfId="37922" xr:uid="{00000000-0005-0000-0000-00004A940000}"/>
    <cellStyle name="Note 86 7" xfId="37923" xr:uid="{00000000-0005-0000-0000-00004B940000}"/>
    <cellStyle name="Note 86 7 2" xfId="37924" xr:uid="{00000000-0005-0000-0000-00004C940000}"/>
    <cellStyle name="Note 86 7 2 2" xfId="37925" xr:uid="{00000000-0005-0000-0000-00004D940000}"/>
    <cellStyle name="Note 86 7 3" xfId="37926" xr:uid="{00000000-0005-0000-0000-00004E940000}"/>
    <cellStyle name="Note 86 8" xfId="37927" xr:uid="{00000000-0005-0000-0000-00004F940000}"/>
    <cellStyle name="Note 86 8 2" xfId="37928" xr:uid="{00000000-0005-0000-0000-000050940000}"/>
    <cellStyle name="Note 86 8 2 2" xfId="37929" xr:uid="{00000000-0005-0000-0000-000051940000}"/>
    <cellStyle name="Note 86 8 3" xfId="37930" xr:uid="{00000000-0005-0000-0000-000052940000}"/>
    <cellStyle name="Note 86 9" xfId="37931" xr:uid="{00000000-0005-0000-0000-000053940000}"/>
    <cellStyle name="Note 86 9 2" xfId="37932" xr:uid="{00000000-0005-0000-0000-000054940000}"/>
    <cellStyle name="Note 86 9 2 2" xfId="37933" xr:uid="{00000000-0005-0000-0000-000055940000}"/>
    <cellStyle name="Note 86 9 3" xfId="37934" xr:uid="{00000000-0005-0000-0000-000056940000}"/>
    <cellStyle name="Note 87" xfId="37935" xr:uid="{00000000-0005-0000-0000-000057940000}"/>
    <cellStyle name="Note 87 10" xfId="37936" xr:uid="{00000000-0005-0000-0000-000058940000}"/>
    <cellStyle name="Note 87 10 2" xfId="37937" xr:uid="{00000000-0005-0000-0000-000059940000}"/>
    <cellStyle name="Note 87 10 2 2" xfId="37938" xr:uid="{00000000-0005-0000-0000-00005A940000}"/>
    <cellStyle name="Note 87 10 3" xfId="37939" xr:uid="{00000000-0005-0000-0000-00005B940000}"/>
    <cellStyle name="Note 87 11" xfId="37940" xr:uid="{00000000-0005-0000-0000-00005C940000}"/>
    <cellStyle name="Note 87 11 2" xfId="37941" xr:uid="{00000000-0005-0000-0000-00005D940000}"/>
    <cellStyle name="Note 87 11 2 2" xfId="37942" xr:uid="{00000000-0005-0000-0000-00005E940000}"/>
    <cellStyle name="Note 87 11 3" xfId="37943" xr:uid="{00000000-0005-0000-0000-00005F940000}"/>
    <cellStyle name="Note 87 12" xfId="37944" xr:uid="{00000000-0005-0000-0000-000060940000}"/>
    <cellStyle name="Note 87 12 2" xfId="37945" xr:uid="{00000000-0005-0000-0000-000061940000}"/>
    <cellStyle name="Note 87 12 2 2" xfId="37946" xr:uid="{00000000-0005-0000-0000-000062940000}"/>
    <cellStyle name="Note 87 12 3" xfId="37947" xr:uid="{00000000-0005-0000-0000-000063940000}"/>
    <cellStyle name="Note 87 13" xfId="37948" xr:uid="{00000000-0005-0000-0000-000064940000}"/>
    <cellStyle name="Note 87 13 2" xfId="37949" xr:uid="{00000000-0005-0000-0000-000065940000}"/>
    <cellStyle name="Note 87 13 2 2" xfId="37950" xr:uid="{00000000-0005-0000-0000-000066940000}"/>
    <cellStyle name="Note 87 13 3" xfId="37951" xr:uid="{00000000-0005-0000-0000-000067940000}"/>
    <cellStyle name="Note 87 14" xfId="37952" xr:uid="{00000000-0005-0000-0000-000068940000}"/>
    <cellStyle name="Note 87 14 2" xfId="37953" xr:uid="{00000000-0005-0000-0000-000069940000}"/>
    <cellStyle name="Note 87 14 2 2" xfId="37954" xr:uid="{00000000-0005-0000-0000-00006A940000}"/>
    <cellStyle name="Note 87 14 3" xfId="37955" xr:uid="{00000000-0005-0000-0000-00006B940000}"/>
    <cellStyle name="Note 87 15" xfId="37956" xr:uid="{00000000-0005-0000-0000-00006C940000}"/>
    <cellStyle name="Note 87 15 2" xfId="37957" xr:uid="{00000000-0005-0000-0000-00006D940000}"/>
    <cellStyle name="Note 87 15 2 2" xfId="37958" xr:uid="{00000000-0005-0000-0000-00006E940000}"/>
    <cellStyle name="Note 87 15 3" xfId="37959" xr:uid="{00000000-0005-0000-0000-00006F940000}"/>
    <cellStyle name="Note 87 16" xfId="37960" xr:uid="{00000000-0005-0000-0000-000070940000}"/>
    <cellStyle name="Note 87 16 2" xfId="37961" xr:uid="{00000000-0005-0000-0000-000071940000}"/>
    <cellStyle name="Note 87 16 2 2" xfId="37962" xr:uid="{00000000-0005-0000-0000-000072940000}"/>
    <cellStyle name="Note 87 16 3" xfId="37963" xr:uid="{00000000-0005-0000-0000-000073940000}"/>
    <cellStyle name="Note 87 17" xfId="37964" xr:uid="{00000000-0005-0000-0000-000074940000}"/>
    <cellStyle name="Note 87 17 2" xfId="37965" xr:uid="{00000000-0005-0000-0000-000075940000}"/>
    <cellStyle name="Note 87 17 2 2" xfId="37966" xr:uid="{00000000-0005-0000-0000-000076940000}"/>
    <cellStyle name="Note 87 17 3" xfId="37967" xr:uid="{00000000-0005-0000-0000-000077940000}"/>
    <cellStyle name="Note 87 18" xfId="37968" xr:uid="{00000000-0005-0000-0000-000078940000}"/>
    <cellStyle name="Note 87 18 2" xfId="37969" xr:uid="{00000000-0005-0000-0000-000079940000}"/>
    <cellStyle name="Note 87 18 2 2" xfId="37970" xr:uid="{00000000-0005-0000-0000-00007A940000}"/>
    <cellStyle name="Note 87 18 3" xfId="37971" xr:uid="{00000000-0005-0000-0000-00007B940000}"/>
    <cellStyle name="Note 87 19" xfId="37972" xr:uid="{00000000-0005-0000-0000-00007C940000}"/>
    <cellStyle name="Note 87 19 2" xfId="37973" xr:uid="{00000000-0005-0000-0000-00007D940000}"/>
    <cellStyle name="Note 87 19 2 2" xfId="37974" xr:uid="{00000000-0005-0000-0000-00007E940000}"/>
    <cellStyle name="Note 87 19 3" xfId="37975" xr:uid="{00000000-0005-0000-0000-00007F940000}"/>
    <cellStyle name="Note 87 2" xfId="37976" xr:uid="{00000000-0005-0000-0000-000080940000}"/>
    <cellStyle name="Note 87 2 2" xfId="37977" xr:uid="{00000000-0005-0000-0000-000081940000}"/>
    <cellStyle name="Note 87 2 2 2" xfId="37978" xr:uid="{00000000-0005-0000-0000-000082940000}"/>
    <cellStyle name="Note 87 2 3" xfId="37979" xr:uid="{00000000-0005-0000-0000-000083940000}"/>
    <cellStyle name="Note 87 20" xfId="37980" xr:uid="{00000000-0005-0000-0000-000084940000}"/>
    <cellStyle name="Note 87 20 2" xfId="37981" xr:uid="{00000000-0005-0000-0000-000085940000}"/>
    <cellStyle name="Note 87 20 2 2" xfId="37982" xr:uid="{00000000-0005-0000-0000-000086940000}"/>
    <cellStyle name="Note 87 20 3" xfId="37983" xr:uid="{00000000-0005-0000-0000-000087940000}"/>
    <cellStyle name="Note 87 21" xfId="37984" xr:uid="{00000000-0005-0000-0000-000088940000}"/>
    <cellStyle name="Note 87 21 2" xfId="37985" xr:uid="{00000000-0005-0000-0000-000089940000}"/>
    <cellStyle name="Note 87 21 2 2" xfId="37986" xr:uid="{00000000-0005-0000-0000-00008A940000}"/>
    <cellStyle name="Note 87 21 3" xfId="37987" xr:uid="{00000000-0005-0000-0000-00008B940000}"/>
    <cellStyle name="Note 87 22" xfId="37988" xr:uid="{00000000-0005-0000-0000-00008C940000}"/>
    <cellStyle name="Note 87 22 2" xfId="37989" xr:uid="{00000000-0005-0000-0000-00008D940000}"/>
    <cellStyle name="Note 87 22 2 2" xfId="37990" xr:uid="{00000000-0005-0000-0000-00008E940000}"/>
    <cellStyle name="Note 87 22 3" xfId="37991" xr:uid="{00000000-0005-0000-0000-00008F940000}"/>
    <cellStyle name="Note 87 23" xfId="37992" xr:uid="{00000000-0005-0000-0000-000090940000}"/>
    <cellStyle name="Note 87 23 2" xfId="37993" xr:uid="{00000000-0005-0000-0000-000091940000}"/>
    <cellStyle name="Note 87 23 2 2" xfId="37994" xr:uid="{00000000-0005-0000-0000-000092940000}"/>
    <cellStyle name="Note 87 23 3" xfId="37995" xr:uid="{00000000-0005-0000-0000-000093940000}"/>
    <cellStyle name="Note 87 24" xfId="37996" xr:uid="{00000000-0005-0000-0000-000094940000}"/>
    <cellStyle name="Note 87 24 2" xfId="37997" xr:uid="{00000000-0005-0000-0000-000095940000}"/>
    <cellStyle name="Note 87 24 2 2" xfId="37998" xr:uid="{00000000-0005-0000-0000-000096940000}"/>
    <cellStyle name="Note 87 24 3" xfId="37999" xr:uid="{00000000-0005-0000-0000-000097940000}"/>
    <cellStyle name="Note 87 25" xfId="38000" xr:uid="{00000000-0005-0000-0000-000098940000}"/>
    <cellStyle name="Note 87 25 2" xfId="38001" xr:uid="{00000000-0005-0000-0000-000099940000}"/>
    <cellStyle name="Note 87 25 2 2" xfId="38002" xr:uid="{00000000-0005-0000-0000-00009A940000}"/>
    <cellStyle name="Note 87 25 3" xfId="38003" xr:uid="{00000000-0005-0000-0000-00009B940000}"/>
    <cellStyle name="Note 87 26" xfId="38004" xr:uid="{00000000-0005-0000-0000-00009C940000}"/>
    <cellStyle name="Note 87 26 2" xfId="38005" xr:uid="{00000000-0005-0000-0000-00009D940000}"/>
    <cellStyle name="Note 87 26 2 2" xfId="38006" xr:uid="{00000000-0005-0000-0000-00009E940000}"/>
    <cellStyle name="Note 87 26 3" xfId="38007" xr:uid="{00000000-0005-0000-0000-00009F940000}"/>
    <cellStyle name="Note 87 27" xfId="38008" xr:uid="{00000000-0005-0000-0000-0000A0940000}"/>
    <cellStyle name="Note 87 27 2" xfId="38009" xr:uid="{00000000-0005-0000-0000-0000A1940000}"/>
    <cellStyle name="Note 87 27 2 2" xfId="38010" xr:uid="{00000000-0005-0000-0000-0000A2940000}"/>
    <cellStyle name="Note 87 27 3" xfId="38011" xr:uid="{00000000-0005-0000-0000-0000A3940000}"/>
    <cellStyle name="Note 87 28" xfId="38012" xr:uid="{00000000-0005-0000-0000-0000A4940000}"/>
    <cellStyle name="Note 87 28 2" xfId="38013" xr:uid="{00000000-0005-0000-0000-0000A5940000}"/>
    <cellStyle name="Note 87 28 2 2" xfId="38014" xr:uid="{00000000-0005-0000-0000-0000A6940000}"/>
    <cellStyle name="Note 87 28 3" xfId="38015" xr:uid="{00000000-0005-0000-0000-0000A7940000}"/>
    <cellStyle name="Note 87 29" xfId="38016" xr:uid="{00000000-0005-0000-0000-0000A8940000}"/>
    <cellStyle name="Note 87 29 2" xfId="38017" xr:uid="{00000000-0005-0000-0000-0000A9940000}"/>
    <cellStyle name="Note 87 29 2 2" xfId="38018" xr:uid="{00000000-0005-0000-0000-0000AA940000}"/>
    <cellStyle name="Note 87 29 3" xfId="38019" xr:uid="{00000000-0005-0000-0000-0000AB940000}"/>
    <cellStyle name="Note 87 3" xfId="38020" xr:uid="{00000000-0005-0000-0000-0000AC940000}"/>
    <cellStyle name="Note 87 3 2" xfId="38021" xr:uid="{00000000-0005-0000-0000-0000AD940000}"/>
    <cellStyle name="Note 87 3 2 2" xfId="38022" xr:uid="{00000000-0005-0000-0000-0000AE940000}"/>
    <cellStyle name="Note 87 3 3" xfId="38023" xr:uid="{00000000-0005-0000-0000-0000AF940000}"/>
    <cellStyle name="Note 87 30" xfId="38024" xr:uid="{00000000-0005-0000-0000-0000B0940000}"/>
    <cellStyle name="Note 87 30 2" xfId="38025" xr:uid="{00000000-0005-0000-0000-0000B1940000}"/>
    <cellStyle name="Note 87 30 2 2" xfId="38026" xr:uid="{00000000-0005-0000-0000-0000B2940000}"/>
    <cellStyle name="Note 87 30 3" xfId="38027" xr:uid="{00000000-0005-0000-0000-0000B3940000}"/>
    <cellStyle name="Note 87 31" xfId="38028" xr:uid="{00000000-0005-0000-0000-0000B4940000}"/>
    <cellStyle name="Note 87 31 2" xfId="38029" xr:uid="{00000000-0005-0000-0000-0000B5940000}"/>
    <cellStyle name="Note 87 31 2 2" xfId="38030" xr:uid="{00000000-0005-0000-0000-0000B6940000}"/>
    <cellStyle name="Note 87 31 3" xfId="38031" xr:uid="{00000000-0005-0000-0000-0000B7940000}"/>
    <cellStyle name="Note 87 32" xfId="38032" xr:uid="{00000000-0005-0000-0000-0000B8940000}"/>
    <cellStyle name="Note 87 32 2" xfId="38033" xr:uid="{00000000-0005-0000-0000-0000B9940000}"/>
    <cellStyle name="Note 87 32 2 2" xfId="38034" xr:uid="{00000000-0005-0000-0000-0000BA940000}"/>
    <cellStyle name="Note 87 32 3" xfId="38035" xr:uid="{00000000-0005-0000-0000-0000BB940000}"/>
    <cellStyle name="Note 87 33" xfId="38036" xr:uid="{00000000-0005-0000-0000-0000BC940000}"/>
    <cellStyle name="Note 87 33 2" xfId="38037" xr:uid="{00000000-0005-0000-0000-0000BD940000}"/>
    <cellStyle name="Note 87 33 2 2" xfId="38038" xr:uid="{00000000-0005-0000-0000-0000BE940000}"/>
    <cellStyle name="Note 87 33 3" xfId="38039" xr:uid="{00000000-0005-0000-0000-0000BF940000}"/>
    <cellStyle name="Note 87 34" xfId="38040" xr:uid="{00000000-0005-0000-0000-0000C0940000}"/>
    <cellStyle name="Note 87 34 2" xfId="38041" xr:uid="{00000000-0005-0000-0000-0000C1940000}"/>
    <cellStyle name="Note 87 34 2 2" xfId="38042" xr:uid="{00000000-0005-0000-0000-0000C2940000}"/>
    <cellStyle name="Note 87 34 3" xfId="38043" xr:uid="{00000000-0005-0000-0000-0000C3940000}"/>
    <cellStyle name="Note 87 35" xfId="38044" xr:uid="{00000000-0005-0000-0000-0000C4940000}"/>
    <cellStyle name="Note 87 35 2" xfId="38045" xr:uid="{00000000-0005-0000-0000-0000C5940000}"/>
    <cellStyle name="Note 87 35 2 2" xfId="38046" xr:uid="{00000000-0005-0000-0000-0000C6940000}"/>
    <cellStyle name="Note 87 35 3" xfId="38047" xr:uid="{00000000-0005-0000-0000-0000C7940000}"/>
    <cellStyle name="Note 87 36" xfId="38048" xr:uid="{00000000-0005-0000-0000-0000C8940000}"/>
    <cellStyle name="Note 87 36 2" xfId="38049" xr:uid="{00000000-0005-0000-0000-0000C9940000}"/>
    <cellStyle name="Note 87 36 2 2" xfId="38050" xr:uid="{00000000-0005-0000-0000-0000CA940000}"/>
    <cellStyle name="Note 87 36 3" xfId="38051" xr:uid="{00000000-0005-0000-0000-0000CB940000}"/>
    <cellStyle name="Note 87 4" xfId="38052" xr:uid="{00000000-0005-0000-0000-0000CC940000}"/>
    <cellStyle name="Note 87 4 2" xfId="38053" xr:uid="{00000000-0005-0000-0000-0000CD940000}"/>
    <cellStyle name="Note 87 4 2 2" xfId="38054" xr:uid="{00000000-0005-0000-0000-0000CE940000}"/>
    <cellStyle name="Note 87 4 3" xfId="38055" xr:uid="{00000000-0005-0000-0000-0000CF940000}"/>
    <cellStyle name="Note 87 5" xfId="38056" xr:uid="{00000000-0005-0000-0000-0000D0940000}"/>
    <cellStyle name="Note 87 5 2" xfId="38057" xr:uid="{00000000-0005-0000-0000-0000D1940000}"/>
    <cellStyle name="Note 87 5 2 2" xfId="38058" xr:uid="{00000000-0005-0000-0000-0000D2940000}"/>
    <cellStyle name="Note 87 5 3" xfId="38059" xr:uid="{00000000-0005-0000-0000-0000D3940000}"/>
    <cellStyle name="Note 87 6" xfId="38060" xr:uid="{00000000-0005-0000-0000-0000D4940000}"/>
    <cellStyle name="Note 87 6 2" xfId="38061" xr:uid="{00000000-0005-0000-0000-0000D5940000}"/>
    <cellStyle name="Note 87 6 2 2" xfId="38062" xr:uid="{00000000-0005-0000-0000-0000D6940000}"/>
    <cellStyle name="Note 87 6 3" xfId="38063" xr:uid="{00000000-0005-0000-0000-0000D7940000}"/>
    <cellStyle name="Note 87 7" xfId="38064" xr:uid="{00000000-0005-0000-0000-0000D8940000}"/>
    <cellStyle name="Note 87 7 2" xfId="38065" xr:uid="{00000000-0005-0000-0000-0000D9940000}"/>
    <cellStyle name="Note 87 7 2 2" xfId="38066" xr:uid="{00000000-0005-0000-0000-0000DA940000}"/>
    <cellStyle name="Note 87 7 3" xfId="38067" xr:uid="{00000000-0005-0000-0000-0000DB940000}"/>
    <cellStyle name="Note 87 8" xfId="38068" xr:uid="{00000000-0005-0000-0000-0000DC940000}"/>
    <cellStyle name="Note 87 8 2" xfId="38069" xr:uid="{00000000-0005-0000-0000-0000DD940000}"/>
    <cellStyle name="Note 87 8 2 2" xfId="38070" xr:uid="{00000000-0005-0000-0000-0000DE940000}"/>
    <cellStyle name="Note 87 8 3" xfId="38071" xr:uid="{00000000-0005-0000-0000-0000DF940000}"/>
    <cellStyle name="Note 87 9" xfId="38072" xr:uid="{00000000-0005-0000-0000-0000E0940000}"/>
    <cellStyle name="Note 87 9 2" xfId="38073" xr:uid="{00000000-0005-0000-0000-0000E1940000}"/>
    <cellStyle name="Note 87 9 2 2" xfId="38074" xr:uid="{00000000-0005-0000-0000-0000E2940000}"/>
    <cellStyle name="Note 87 9 3" xfId="38075" xr:uid="{00000000-0005-0000-0000-0000E3940000}"/>
    <cellStyle name="Note 88" xfId="38076" xr:uid="{00000000-0005-0000-0000-0000E4940000}"/>
    <cellStyle name="Note 88 10" xfId="38077" xr:uid="{00000000-0005-0000-0000-0000E5940000}"/>
    <cellStyle name="Note 88 10 2" xfId="38078" xr:uid="{00000000-0005-0000-0000-0000E6940000}"/>
    <cellStyle name="Note 88 10 2 2" xfId="38079" xr:uid="{00000000-0005-0000-0000-0000E7940000}"/>
    <cellStyle name="Note 88 10 3" xfId="38080" xr:uid="{00000000-0005-0000-0000-0000E8940000}"/>
    <cellStyle name="Note 88 11" xfId="38081" xr:uid="{00000000-0005-0000-0000-0000E9940000}"/>
    <cellStyle name="Note 88 11 2" xfId="38082" xr:uid="{00000000-0005-0000-0000-0000EA940000}"/>
    <cellStyle name="Note 88 11 2 2" xfId="38083" xr:uid="{00000000-0005-0000-0000-0000EB940000}"/>
    <cellStyle name="Note 88 11 3" xfId="38084" xr:uid="{00000000-0005-0000-0000-0000EC940000}"/>
    <cellStyle name="Note 88 12" xfId="38085" xr:uid="{00000000-0005-0000-0000-0000ED940000}"/>
    <cellStyle name="Note 88 12 2" xfId="38086" xr:uid="{00000000-0005-0000-0000-0000EE940000}"/>
    <cellStyle name="Note 88 12 2 2" xfId="38087" xr:uid="{00000000-0005-0000-0000-0000EF940000}"/>
    <cellStyle name="Note 88 12 3" xfId="38088" xr:uid="{00000000-0005-0000-0000-0000F0940000}"/>
    <cellStyle name="Note 88 13" xfId="38089" xr:uid="{00000000-0005-0000-0000-0000F1940000}"/>
    <cellStyle name="Note 88 13 2" xfId="38090" xr:uid="{00000000-0005-0000-0000-0000F2940000}"/>
    <cellStyle name="Note 88 13 2 2" xfId="38091" xr:uid="{00000000-0005-0000-0000-0000F3940000}"/>
    <cellStyle name="Note 88 13 3" xfId="38092" xr:uid="{00000000-0005-0000-0000-0000F4940000}"/>
    <cellStyle name="Note 88 14" xfId="38093" xr:uid="{00000000-0005-0000-0000-0000F5940000}"/>
    <cellStyle name="Note 88 14 2" xfId="38094" xr:uid="{00000000-0005-0000-0000-0000F6940000}"/>
    <cellStyle name="Note 88 14 2 2" xfId="38095" xr:uid="{00000000-0005-0000-0000-0000F7940000}"/>
    <cellStyle name="Note 88 14 3" xfId="38096" xr:uid="{00000000-0005-0000-0000-0000F8940000}"/>
    <cellStyle name="Note 88 15" xfId="38097" xr:uid="{00000000-0005-0000-0000-0000F9940000}"/>
    <cellStyle name="Note 88 15 2" xfId="38098" xr:uid="{00000000-0005-0000-0000-0000FA940000}"/>
    <cellStyle name="Note 88 15 2 2" xfId="38099" xr:uid="{00000000-0005-0000-0000-0000FB940000}"/>
    <cellStyle name="Note 88 15 3" xfId="38100" xr:uid="{00000000-0005-0000-0000-0000FC940000}"/>
    <cellStyle name="Note 88 16" xfId="38101" xr:uid="{00000000-0005-0000-0000-0000FD940000}"/>
    <cellStyle name="Note 88 16 2" xfId="38102" xr:uid="{00000000-0005-0000-0000-0000FE940000}"/>
    <cellStyle name="Note 88 16 2 2" xfId="38103" xr:uid="{00000000-0005-0000-0000-0000FF940000}"/>
    <cellStyle name="Note 88 16 3" xfId="38104" xr:uid="{00000000-0005-0000-0000-000000950000}"/>
    <cellStyle name="Note 88 17" xfId="38105" xr:uid="{00000000-0005-0000-0000-000001950000}"/>
    <cellStyle name="Note 88 17 2" xfId="38106" xr:uid="{00000000-0005-0000-0000-000002950000}"/>
    <cellStyle name="Note 88 17 2 2" xfId="38107" xr:uid="{00000000-0005-0000-0000-000003950000}"/>
    <cellStyle name="Note 88 17 3" xfId="38108" xr:uid="{00000000-0005-0000-0000-000004950000}"/>
    <cellStyle name="Note 88 18" xfId="38109" xr:uid="{00000000-0005-0000-0000-000005950000}"/>
    <cellStyle name="Note 88 18 2" xfId="38110" xr:uid="{00000000-0005-0000-0000-000006950000}"/>
    <cellStyle name="Note 88 18 2 2" xfId="38111" xr:uid="{00000000-0005-0000-0000-000007950000}"/>
    <cellStyle name="Note 88 18 3" xfId="38112" xr:uid="{00000000-0005-0000-0000-000008950000}"/>
    <cellStyle name="Note 88 19" xfId="38113" xr:uid="{00000000-0005-0000-0000-000009950000}"/>
    <cellStyle name="Note 88 19 2" xfId="38114" xr:uid="{00000000-0005-0000-0000-00000A950000}"/>
    <cellStyle name="Note 88 19 2 2" xfId="38115" xr:uid="{00000000-0005-0000-0000-00000B950000}"/>
    <cellStyle name="Note 88 19 3" xfId="38116" xr:uid="{00000000-0005-0000-0000-00000C950000}"/>
    <cellStyle name="Note 88 2" xfId="38117" xr:uid="{00000000-0005-0000-0000-00000D950000}"/>
    <cellStyle name="Note 88 2 2" xfId="38118" xr:uid="{00000000-0005-0000-0000-00000E950000}"/>
    <cellStyle name="Note 88 2 2 2" xfId="38119" xr:uid="{00000000-0005-0000-0000-00000F950000}"/>
    <cellStyle name="Note 88 2 3" xfId="38120" xr:uid="{00000000-0005-0000-0000-000010950000}"/>
    <cellStyle name="Note 88 20" xfId="38121" xr:uid="{00000000-0005-0000-0000-000011950000}"/>
    <cellStyle name="Note 88 20 2" xfId="38122" xr:uid="{00000000-0005-0000-0000-000012950000}"/>
    <cellStyle name="Note 88 20 2 2" xfId="38123" xr:uid="{00000000-0005-0000-0000-000013950000}"/>
    <cellStyle name="Note 88 20 3" xfId="38124" xr:uid="{00000000-0005-0000-0000-000014950000}"/>
    <cellStyle name="Note 88 21" xfId="38125" xr:uid="{00000000-0005-0000-0000-000015950000}"/>
    <cellStyle name="Note 88 21 2" xfId="38126" xr:uid="{00000000-0005-0000-0000-000016950000}"/>
    <cellStyle name="Note 88 21 2 2" xfId="38127" xr:uid="{00000000-0005-0000-0000-000017950000}"/>
    <cellStyle name="Note 88 21 3" xfId="38128" xr:uid="{00000000-0005-0000-0000-000018950000}"/>
    <cellStyle name="Note 88 22" xfId="38129" xr:uid="{00000000-0005-0000-0000-000019950000}"/>
    <cellStyle name="Note 88 22 2" xfId="38130" xr:uid="{00000000-0005-0000-0000-00001A950000}"/>
    <cellStyle name="Note 88 22 2 2" xfId="38131" xr:uid="{00000000-0005-0000-0000-00001B950000}"/>
    <cellStyle name="Note 88 22 3" xfId="38132" xr:uid="{00000000-0005-0000-0000-00001C950000}"/>
    <cellStyle name="Note 88 23" xfId="38133" xr:uid="{00000000-0005-0000-0000-00001D950000}"/>
    <cellStyle name="Note 88 23 2" xfId="38134" xr:uid="{00000000-0005-0000-0000-00001E950000}"/>
    <cellStyle name="Note 88 23 2 2" xfId="38135" xr:uid="{00000000-0005-0000-0000-00001F950000}"/>
    <cellStyle name="Note 88 23 3" xfId="38136" xr:uid="{00000000-0005-0000-0000-000020950000}"/>
    <cellStyle name="Note 88 24" xfId="38137" xr:uid="{00000000-0005-0000-0000-000021950000}"/>
    <cellStyle name="Note 88 24 2" xfId="38138" xr:uid="{00000000-0005-0000-0000-000022950000}"/>
    <cellStyle name="Note 88 24 2 2" xfId="38139" xr:uid="{00000000-0005-0000-0000-000023950000}"/>
    <cellStyle name="Note 88 24 3" xfId="38140" xr:uid="{00000000-0005-0000-0000-000024950000}"/>
    <cellStyle name="Note 88 25" xfId="38141" xr:uid="{00000000-0005-0000-0000-000025950000}"/>
    <cellStyle name="Note 88 25 2" xfId="38142" xr:uid="{00000000-0005-0000-0000-000026950000}"/>
    <cellStyle name="Note 88 25 2 2" xfId="38143" xr:uid="{00000000-0005-0000-0000-000027950000}"/>
    <cellStyle name="Note 88 25 3" xfId="38144" xr:uid="{00000000-0005-0000-0000-000028950000}"/>
    <cellStyle name="Note 88 26" xfId="38145" xr:uid="{00000000-0005-0000-0000-000029950000}"/>
    <cellStyle name="Note 88 26 2" xfId="38146" xr:uid="{00000000-0005-0000-0000-00002A950000}"/>
    <cellStyle name="Note 88 26 2 2" xfId="38147" xr:uid="{00000000-0005-0000-0000-00002B950000}"/>
    <cellStyle name="Note 88 26 3" xfId="38148" xr:uid="{00000000-0005-0000-0000-00002C950000}"/>
    <cellStyle name="Note 88 27" xfId="38149" xr:uid="{00000000-0005-0000-0000-00002D950000}"/>
    <cellStyle name="Note 88 27 2" xfId="38150" xr:uid="{00000000-0005-0000-0000-00002E950000}"/>
    <cellStyle name="Note 88 27 2 2" xfId="38151" xr:uid="{00000000-0005-0000-0000-00002F950000}"/>
    <cellStyle name="Note 88 27 3" xfId="38152" xr:uid="{00000000-0005-0000-0000-000030950000}"/>
    <cellStyle name="Note 88 28" xfId="38153" xr:uid="{00000000-0005-0000-0000-000031950000}"/>
    <cellStyle name="Note 88 28 2" xfId="38154" xr:uid="{00000000-0005-0000-0000-000032950000}"/>
    <cellStyle name="Note 88 28 2 2" xfId="38155" xr:uid="{00000000-0005-0000-0000-000033950000}"/>
    <cellStyle name="Note 88 28 3" xfId="38156" xr:uid="{00000000-0005-0000-0000-000034950000}"/>
    <cellStyle name="Note 88 29" xfId="38157" xr:uid="{00000000-0005-0000-0000-000035950000}"/>
    <cellStyle name="Note 88 29 2" xfId="38158" xr:uid="{00000000-0005-0000-0000-000036950000}"/>
    <cellStyle name="Note 88 29 2 2" xfId="38159" xr:uid="{00000000-0005-0000-0000-000037950000}"/>
    <cellStyle name="Note 88 29 3" xfId="38160" xr:uid="{00000000-0005-0000-0000-000038950000}"/>
    <cellStyle name="Note 88 3" xfId="38161" xr:uid="{00000000-0005-0000-0000-000039950000}"/>
    <cellStyle name="Note 88 3 2" xfId="38162" xr:uid="{00000000-0005-0000-0000-00003A950000}"/>
    <cellStyle name="Note 88 3 2 2" xfId="38163" xr:uid="{00000000-0005-0000-0000-00003B950000}"/>
    <cellStyle name="Note 88 3 3" xfId="38164" xr:uid="{00000000-0005-0000-0000-00003C950000}"/>
    <cellStyle name="Note 88 30" xfId="38165" xr:uid="{00000000-0005-0000-0000-00003D950000}"/>
    <cellStyle name="Note 88 30 2" xfId="38166" xr:uid="{00000000-0005-0000-0000-00003E950000}"/>
    <cellStyle name="Note 88 30 2 2" xfId="38167" xr:uid="{00000000-0005-0000-0000-00003F950000}"/>
    <cellStyle name="Note 88 30 3" xfId="38168" xr:uid="{00000000-0005-0000-0000-000040950000}"/>
    <cellStyle name="Note 88 31" xfId="38169" xr:uid="{00000000-0005-0000-0000-000041950000}"/>
    <cellStyle name="Note 88 31 2" xfId="38170" xr:uid="{00000000-0005-0000-0000-000042950000}"/>
    <cellStyle name="Note 88 31 2 2" xfId="38171" xr:uid="{00000000-0005-0000-0000-000043950000}"/>
    <cellStyle name="Note 88 31 3" xfId="38172" xr:uid="{00000000-0005-0000-0000-000044950000}"/>
    <cellStyle name="Note 88 32" xfId="38173" xr:uid="{00000000-0005-0000-0000-000045950000}"/>
    <cellStyle name="Note 88 32 2" xfId="38174" xr:uid="{00000000-0005-0000-0000-000046950000}"/>
    <cellStyle name="Note 88 32 2 2" xfId="38175" xr:uid="{00000000-0005-0000-0000-000047950000}"/>
    <cellStyle name="Note 88 32 3" xfId="38176" xr:uid="{00000000-0005-0000-0000-000048950000}"/>
    <cellStyle name="Note 88 33" xfId="38177" xr:uid="{00000000-0005-0000-0000-000049950000}"/>
    <cellStyle name="Note 88 33 2" xfId="38178" xr:uid="{00000000-0005-0000-0000-00004A950000}"/>
    <cellStyle name="Note 88 33 2 2" xfId="38179" xr:uid="{00000000-0005-0000-0000-00004B950000}"/>
    <cellStyle name="Note 88 33 3" xfId="38180" xr:uid="{00000000-0005-0000-0000-00004C950000}"/>
    <cellStyle name="Note 88 34" xfId="38181" xr:uid="{00000000-0005-0000-0000-00004D950000}"/>
    <cellStyle name="Note 88 34 2" xfId="38182" xr:uid="{00000000-0005-0000-0000-00004E950000}"/>
    <cellStyle name="Note 88 34 2 2" xfId="38183" xr:uid="{00000000-0005-0000-0000-00004F950000}"/>
    <cellStyle name="Note 88 34 3" xfId="38184" xr:uid="{00000000-0005-0000-0000-000050950000}"/>
    <cellStyle name="Note 88 35" xfId="38185" xr:uid="{00000000-0005-0000-0000-000051950000}"/>
    <cellStyle name="Note 88 35 2" xfId="38186" xr:uid="{00000000-0005-0000-0000-000052950000}"/>
    <cellStyle name="Note 88 35 2 2" xfId="38187" xr:uid="{00000000-0005-0000-0000-000053950000}"/>
    <cellStyle name="Note 88 35 3" xfId="38188" xr:uid="{00000000-0005-0000-0000-000054950000}"/>
    <cellStyle name="Note 88 36" xfId="38189" xr:uid="{00000000-0005-0000-0000-000055950000}"/>
    <cellStyle name="Note 88 36 2" xfId="38190" xr:uid="{00000000-0005-0000-0000-000056950000}"/>
    <cellStyle name="Note 88 36 2 2" xfId="38191" xr:uid="{00000000-0005-0000-0000-000057950000}"/>
    <cellStyle name="Note 88 36 3" xfId="38192" xr:uid="{00000000-0005-0000-0000-000058950000}"/>
    <cellStyle name="Note 88 4" xfId="38193" xr:uid="{00000000-0005-0000-0000-000059950000}"/>
    <cellStyle name="Note 88 4 2" xfId="38194" xr:uid="{00000000-0005-0000-0000-00005A950000}"/>
    <cellStyle name="Note 88 4 2 2" xfId="38195" xr:uid="{00000000-0005-0000-0000-00005B950000}"/>
    <cellStyle name="Note 88 4 3" xfId="38196" xr:uid="{00000000-0005-0000-0000-00005C950000}"/>
    <cellStyle name="Note 88 5" xfId="38197" xr:uid="{00000000-0005-0000-0000-00005D950000}"/>
    <cellStyle name="Note 88 5 2" xfId="38198" xr:uid="{00000000-0005-0000-0000-00005E950000}"/>
    <cellStyle name="Note 88 5 2 2" xfId="38199" xr:uid="{00000000-0005-0000-0000-00005F950000}"/>
    <cellStyle name="Note 88 5 3" xfId="38200" xr:uid="{00000000-0005-0000-0000-000060950000}"/>
    <cellStyle name="Note 88 6" xfId="38201" xr:uid="{00000000-0005-0000-0000-000061950000}"/>
    <cellStyle name="Note 88 6 2" xfId="38202" xr:uid="{00000000-0005-0000-0000-000062950000}"/>
    <cellStyle name="Note 88 6 2 2" xfId="38203" xr:uid="{00000000-0005-0000-0000-000063950000}"/>
    <cellStyle name="Note 88 6 3" xfId="38204" xr:uid="{00000000-0005-0000-0000-000064950000}"/>
    <cellStyle name="Note 88 7" xfId="38205" xr:uid="{00000000-0005-0000-0000-000065950000}"/>
    <cellStyle name="Note 88 7 2" xfId="38206" xr:uid="{00000000-0005-0000-0000-000066950000}"/>
    <cellStyle name="Note 88 7 2 2" xfId="38207" xr:uid="{00000000-0005-0000-0000-000067950000}"/>
    <cellStyle name="Note 88 7 3" xfId="38208" xr:uid="{00000000-0005-0000-0000-000068950000}"/>
    <cellStyle name="Note 88 8" xfId="38209" xr:uid="{00000000-0005-0000-0000-000069950000}"/>
    <cellStyle name="Note 88 8 2" xfId="38210" xr:uid="{00000000-0005-0000-0000-00006A950000}"/>
    <cellStyle name="Note 88 8 2 2" xfId="38211" xr:uid="{00000000-0005-0000-0000-00006B950000}"/>
    <cellStyle name="Note 88 8 3" xfId="38212" xr:uid="{00000000-0005-0000-0000-00006C950000}"/>
    <cellStyle name="Note 88 9" xfId="38213" xr:uid="{00000000-0005-0000-0000-00006D950000}"/>
    <cellStyle name="Note 88 9 2" xfId="38214" xr:uid="{00000000-0005-0000-0000-00006E950000}"/>
    <cellStyle name="Note 88 9 2 2" xfId="38215" xr:uid="{00000000-0005-0000-0000-00006F950000}"/>
    <cellStyle name="Note 88 9 3" xfId="38216" xr:uid="{00000000-0005-0000-0000-000070950000}"/>
    <cellStyle name="Note 89" xfId="38217" xr:uid="{00000000-0005-0000-0000-000071950000}"/>
    <cellStyle name="Note 89 2" xfId="38218" xr:uid="{00000000-0005-0000-0000-000072950000}"/>
    <cellStyle name="Note 9" xfId="38219" xr:uid="{00000000-0005-0000-0000-000073950000}"/>
    <cellStyle name="Note 9 2" xfId="38220" xr:uid="{00000000-0005-0000-0000-000074950000}"/>
    <cellStyle name="Note 9 2 2" xfId="38221" xr:uid="{00000000-0005-0000-0000-000075950000}"/>
    <cellStyle name="Note 9 3" xfId="38222" xr:uid="{00000000-0005-0000-0000-000076950000}"/>
    <cellStyle name="Note 90" xfId="38223" xr:uid="{00000000-0005-0000-0000-000077950000}"/>
    <cellStyle name="Note 90 2" xfId="38224" xr:uid="{00000000-0005-0000-0000-000078950000}"/>
    <cellStyle name="Note 91" xfId="38225" xr:uid="{00000000-0005-0000-0000-000079950000}"/>
    <cellStyle name="Note 91 2" xfId="38226" xr:uid="{00000000-0005-0000-0000-00007A950000}"/>
    <cellStyle name="Note 92" xfId="38227" xr:uid="{00000000-0005-0000-0000-00007B950000}"/>
    <cellStyle name="Note 92 2" xfId="38228" xr:uid="{00000000-0005-0000-0000-00007C950000}"/>
    <cellStyle name="Note 93" xfId="38229" xr:uid="{00000000-0005-0000-0000-00007D950000}"/>
    <cellStyle name="Note 93 2" xfId="38230" xr:uid="{00000000-0005-0000-0000-00007E950000}"/>
    <cellStyle name="Note 93 2 2" xfId="38231" xr:uid="{00000000-0005-0000-0000-00007F950000}"/>
    <cellStyle name="Note 93 2 2 2" xfId="38232" xr:uid="{00000000-0005-0000-0000-000080950000}"/>
    <cellStyle name="Note 93 2 3" xfId="38233" xr:uid="{00000000-0005-0000-0000-000081950000}"/>
    <cellStyle name="Note 94" xfId="38234" xr:uid="{00000000-0005-0000-0000-000082950000}"/>
    <cellStyle name="Note 94 2" xfId="38235" xr:uid="{00000000-0005-0000-0000-000083950000}"/>
    <cellStyle name="Note 94 2 2" xfId="38236" xr:uid="{00000000-0005-0000-0000-000084950000}"/>
    <cellStyle name="Note 94 2 2 2" xfId="38237" xr:uid="{00000000-0005-0000-0000-000085950000}"/>
    <cellStyle name="Note 94 2 3" xfId="38238" xr:uid="{00000000-0005-0000-0000-000086950000}"/>
    <cellStyle name="Note 95" xfId="38239" xr:uid="{00000000-0005-0000-0000-000087950000}"/>
    <cellStyle name="Note 95 2" xfId="38240" xr:uid="{00000000-0005-0000-0000-000088950000}"/>
    <cellStyle name="Note 95 2 2" xfId="38241" xr:uid="{00000000-0005-0000-0000-000089950000}"/>
    <cellStyle name="Note 95 2 2 2" xfId="38242" xr:uid="{00000000-0005-0000-0000-00008A950000}"/>
    <cellStyle name="Note 95 2 3" xfId="38243" xr:uid="{00000000-0005-0000-0000-00008B950000}"/>
    <cellStyle name="Note 96" xfId="38244" xr:uid="{00000000-0005-0000-0000-00008C950000}"/>
    <cellStyle name="Note 96 2" xfId="38245" xr:uid="{00000000-0005-0000-0000-00008D950000}"/>
    <cellStyle name="Note 96 2 2" xfId="38246" xr:uid="{00000000-0005-0000-0000-00008E950000}"/>
    <cellStyle name="Note 96 2 2 2" xfId="38247" xr:uid="{00000000-0005-0000-0000-00008F950000}"/>
    <cellStyle name="Note 96 2 3" xfId="38248" xr:uid="{00000000-0005-0000-0000-000090950000}"/>
    <cellStyle name="Note 97" xfId="38249" xr:uid="{00000000-0005-0000-0000-000091950000}"/>
    <cellStyle name="Note 97 2" xfId="38250" xr:uid="{00000000-0005-0000-0000-000092950000}"/>
    <cellStyle name="Note 97 2 2" xfId="38251" xr:uid="{00000000-0005-0000-0000-000093950000}"/>
    <cellStyle name="Note 97 2 2 2" xfId="38252" xr:uid="{00000000-0005-0000-0000-000094950000}"/>
    <cellStyle name="Note 97 2 3" xfId="38253" xr:uid="{00000000-0005-0000-0000-000095950000}"/>
    <cellStyle name="Note 98" xfId="38254" xr:uid="{00000000-0005-0000-0000-000096950000}"/>
    <cellStyle name="Note 98 2" xfId="38255" xr:uid="{00000000-0005-0000-0000-000097950000}"/>
    <cellStyle name="Note 99" xfId="38256" xr:uid="{00000000-0005-0000-0000-000098950000}"/>
    <cellStyle name="Note 99 2" xfId="38257" xr:uid="{00000000-0005-0000-0000-000099950000}"/>
    <cellStyle name="Note 99 2 2" xfId="38258" xr:uid="{00000000-0005-0000-0000-00009A950000}"/>
    <cellStyle name="Note 99 2 2 2" xfId="38259" xr:uid="{00000000-0005-0000-0000-00009B950000}"/>
    <cellStyle name="Note 99 2 3" xfId="38260" xr:uid="{00000000-0005-0000-0000-00009C950000}"/>
    <cellStyle name="Output" xfId="41011" builtinId="21" customBuiltin="1"/>
    <cellStyle name="Output 10" xfId="38261" xr:uid="{00000000-0005-0000-0000-00009E950000}"/>
    <cellStyle name="Output 10 2" xfId="38262" xr:uid="{00000000-0005-0000-0000-00009F950000}"/>
    <cellStyle name="Output 100" xfId="38263" xr:uid="{00000000-0005-0000-0000-0000A0950000}"/>
    <cellStyle name="Output 101" xfId="38264" xr:uid="{00000000-0005-0000-0000-0000A1950000}"/>
    <cellStyle name="Output 102" xfId="38265" xr:uid="{00000000-0005-0000-0000-0000A2950000}"/>
    <cellStyle name="Output 103" xfId="38266" xr:uid="{00000000-0005-0000-0000-0000A3950000}"/>
    <cellStyle name="Output 104" xfId="38267" xr:uid="{00000000-0005-0000-0000-0000A4950000}"/>
    <cellStyle name="Output 105" xfId="38268" xr:uid="{00000000-0005-0000-0000-0000A5950000}"/>
    <cellStyle name="Output 106" xfId="38269" xr:uid="{00000000-0005-0000-0000-0000A6950000}"/>
    <cellStyle name="Output 107" xfId="38270" xr:uid="{00000000-0005-0000-0000-0000A7950000}"/>
    <cellStyle name="Output 108" xfId="38271" xr:uid="{00000000-0005-0000-0000-0000A8950000}"/>
    <cellStyle name="Output 109" xfId="38272" xr:uid="{00000000-0005-0000-0000-0000A9950000}"/>
    <cellStyle name="Output 11" xfId="38273" xr:uid="{00000000-0005-0000-0000-0000AA950000}"/>
    <cellStyle name="Output 11 2" xfId="38274" xr:uid="{00000000-0005-0000-0000-0000AB950000}"/>
    <cellStyle name="Output 110" xfId="38275" xr:uid="{00000000-0005-0000-0000-0000AC950000}"/>
    <cellStyle name="Output 111" xfId="38276" xr:uid="{00000000-0005-0000-0000-0000AD950000}"/>
    <cellStyle name="Output 112" xfId="38277" xr:uid="{00000000-0005-0000-0000-0000AE950000}"/>
    <cellStyle name="Output 113" xfId="38278" xr:uid="{00000000-0005-0000-0000-0000AF950000}"/>
    <cellStyle name="Output 114" xfId="38279" xr:uid="{00000000-0005-0000-0000-0000B0950000}"/>
    <cellStyle name="Output 115" xfId="38280" xr:uid="{00000000-0005-0000-0000-0000B1950000}"/>
    <cellStyle name="Output 116" xfId="38281" xr:uid="{00000000-0005-0000-0000-0000B2950000}"/>
    <cellStyle name="Output 117" xfId="38282" xr:uid="{00000000-0005-0000-0000-0000B3950000}"/>
    <cellStyle name="Output 118" xfId="38283" xr:uid="{00000000-0005-0000-0000-0000B4950000}"/>
    <cellStyle name="Output 119" xfId="38284" xr:uid="{00000000-0005-0000-0000-0000B5950000}"/>
    <cellStyle name="Output 12" xfId="38285" xr:uid="{00000000-0005-0000-0000-0000B6950000}"/>
    <cellStyle name="Output 12 2" xfId="38286" xr:uid="{00000000-0005-0000-0000-0000B7950000}"/>
    <cellStyle name="Output 120" xfId="38287" xr:uid="{00000000-0005-0000-0000-0000B8950000}"/>
    <cellStyle name="Output 121" xfId="38288" xr:uid="{00000000-0005-0000-0000-0000B9950000}"/>
    <cellStyle name="Output 122" xfId="38289" xr:uid="{00000000-0005-0000-0000-0000BA950000}"/>
    <cellStyle name="Output 123" xfId="38290" xr:uid="{00000000-0005-0000-0000-0000BB950000}"/>
    <cellStyle name="Output 124" xfId="38291" xr:uid="{00000000-0005-0000-0000-0000BC950000}"/>
    <cellStyle name="Output 125" xfId="38292" xr:uid="{00000000-0005-0000-0000-0000BD950000}"/>
    <cellStyle name="Output 126" xfId="38293" xr:uid="{00000000-0005-0000-0000-0000BE950000}"/>
    <cellStyle name="Output 127" xfId="38294" xr:uid="{00000000-0005-0000-0000-0000BF950000}"/>
    <cellStyle name="Output 128" xfId="38295" xr:uid="{00000000-0005-0000-0000-0000C0950000}"/>
    <cellStyle name="Output 129" xfId="38296" xr:uid="{00000000-0005-0000-0000-0000C1950000}"/>
    <cellStyle name="Output 13" xfId="38297" xr:uid="{00000000-0005-0000-0000-0000C2950000}"/>
    <cellStyle name="Output 13 2" xfId="38298" xr:uid="{00000000-0005-0000-0000-0000C3950000}"/>
    <cellStyle name="Output 130" xfId="38299" xr:uid="{00000000-0005-0000-0000-0000C4950000}"/>
    <cellStyle name="Output 131" xfId="38300" xr:uid="{00000000-0005-0000-0000-0000C5950000}"/>
    <cellStyle name="Output 132" xfId="38301" xr:uid="{00000000-0005-0000-0000-0000C6950000}"/>
    <cellStyle name="Output 133" xfId="38302" xr:uid="{00000000-0005-0000-0000-0000C7950000}"/>
    <cellStyle name="Output 14" xfId="38303" xr:uid="{00000000-0005-0000-0000-0000C8950000}"/>
    <cellStyle name="Output 14 2" xfId="38304" xr:uid="{00000000-0005-0000-0000-0000C9950000}"/>
    <cellStyle name="Output 15" xfId="38305" xr:uid="{00000000-0005-0000-0000-0000CA950000}"/>
    <cellStyle name="Output 15 2" xfId="38306" xr:uid="{00000000-0005-0000-0000-0000CB950000}"/>
    <cellStyle name="Output 16" xfId="38307" xr:uid="{00000000-0005-0000-0000-0000CC950000}"/>
    <cellStyle name="Output 16 2" xfId="38308" xr:uid="{00000000-0005-0000-0000-0000CD950000}"/>
    <cellStyle name="Output 17" xfId="38309" xr:uid="{00000000-0005-0000-0000-0000CE950000}"/>
    <cellStyle name="Output 17 2" xfId="38310" xr:uid="{00000000-0005-0000-0000-0000CF950000}"/>
    <cellStyle name="Output 18" xfId="38311" xr:uid="{00000000-0005-0000-0000-0000D0950000}"/>
    <cellStyle name="Output 18 2" xfId="38312" xr:uid="{00000000-0005-0000-0000-0000D1950000}"/>
    <cellStyle name="Output 19" xfId="38313" xr:uid="{00000000-0005-0000-0000-0000D2950000}"/>
    <cellStyle name="Output 19 2" xfId="38314" xr:uid="{00000000-0005-0000-0000-0000D3950000}"/>
    <cellStyle name="Output 2" xfId="38315" xr:uid="{00000000-0005-0000-0000-0000D4950000}"/>
    <cellStyle name="Output 2 2" xfId="38316" xr:uid="{00000000-0005-0000-0000-0000D5950000}"/>
    <cellStyle name="Output 2 2 2" xfId="38317" xr:uid="{00000000-0005-0000-0000-0000D6950000}"/>
    <cellStyle name="Output 2 2 2 2" xfId="38318" xr:uid="{00000000-0005-0000-0000-0000D7950000}"/>
    <cellStyle name="Output 2 2 2 2 2" xfId="38319" xr:uid="{00000000-0005-0000-0000-0000D8950000}"/>
    <cellStyle name="Output 2 3" xfId="38320" xr:uid="{00000000-0005-0000-0000-0000D9950000}"/>
    <cellStyle name="Output 2 4" xfId="38321" xr:uid="{00000000-0005-0000-0000-0000DA950000}"/>
    <cellStyle name="Output 20" xfId="38322" xr:uid="{00000000-0005-0000-0000-0000DB950000}"/>
    <cellStyle name="Output 20 2" xfId="38323" xr:uid="{00000000-0005-0000-0000-0000DC950000}"/>
    <cellStyle name="Output 21" xfId="38324" xr:uid="{00000000-0005-0000-0000-0000DD950000}"/>
    <cellStyle name="Output 21 2" xfId="38325" xr:uid="{00000000-0005-0000-0000-0000DE950000}"/>
    <cellStyle name="Output 22" xfId="38326" xr:uid="{00000000-0005-0000-0000-0000DF950000}"/>
    <cellStyle name="Output 22 2" xfId="38327" xr:uid="{00000000-0005-0000-0000-0000E0950000}"/>
    <cellStyle name="Output 23" xfId="38328" xr:uid="{00000000-0005-0000-0000-0000E1950000}"/>
    <cellStyle name="Output 23 2" xfId="38329" xr:uid="{00000000-0005-0000-0000-0000E2950000}"/>
    <cellStyle name="Output 24" xfId="38330" xr:uid="{00000000-0005-0000-0000-0000E3950000}"/>
    <cellStyle name="Output 24 2" xfId="38331" xr:uid="{00000000-0005-0000-0000-0000E4950000}"/>
    <cellStyle name="Output 25" xfId="38332" xr:uid="{00000000-0005-0000-0000-0000E5950000}"/>
    <cellStyle name="Output 25 2" xfId="38333" xr:uid="{00000000-0005-0000-0000-0000E6950000}"/>
    <cellStyle name="Output 26" xfId="38334" xr:uid="{00000000-0005-0000-0000-0000E7950000}"/>
    <cellStyle name="Output 26 2" xfId="38335" xr:uid="{00000000-0005-0000-0000-0000E8950000}"/>
    <cellStyle name="Output 27" xfId="38336" xr:uid="{00000000-0005-0000-0000-0000E9950000}"/>
    <cellStyle name="Output 27 2" xfId="38337" xr:uid="{00000000-0005-0000-0000-0000EA950000}"/>
    <cellStyle name="Output 28" xfId="38338" xr:uid="{00000000-0005-0000-0000-0000EB950000}"/>
    <cellStyle name="Output 28 2" xfId="38339" xr:uid="{00000000-0005-0000-0000-0000EC950000}"/>
    <cellStyle name="Output 29" xfId="38340" xr:uid="{00000000-0005-0000-0000-0000ED950000}"/>
    <cellStyle name="Output 29 2" xfId="38341" xr:uid="{00000000-0005-0000-0000-0000EE950000}"/>
    <cellStyle name="Output 3" xfId="38342" xr:uid="{00000000-0005-0000-0000-0000EF950000}"/>
    <cellStyle name="Output 3 2" xfId="38343" xr:uid="{00000000-0005-0000-0000-0000F0950000}"/>
    <cellStyle name="Output 3 2 2" xfId="38344" xr:uid="{00000000-0005-0000-0000-0000F1950000}"/>
    <cellStyle name="Output 3 3" xfId="38345" xr:uid="{00000000-0005-0000-0000-0000F2950000}"/>
    <cellStyle name="Output 3_MAR 2009" xfId="38346" xr:uid="{00000000-0005-0000-0000-0000F3950000}"/>
    <cellStyle name="Output 30" xfId="38347" xr:uid="{00000000-0005-0000-0000-0000F4950000}"/>
    <cellStyle name="Output 30 2" xfId="38348" xr:uid="{00000000-0005-0000-0000-0000F5950000}"/>
    <cellStyle name="Output 31" xfId="38349" xr:uid="{00000000-0005-0000-0000-0000F6950000}"/>
    <cellStyle name="Output 31 2" xfId="38350" xr:uid="{00000000-0005-0000-0000-0000F7950000}"/>
    <cellStyle name="Output 32" xfId="38351" xr:uid="{00000000-0005-0000-0000-0000F8950000}"/>
    <cellStyle name="Output 32 2" xfId="38352" xr:uid="{00000000-0005-0000-0000-0000F9950000}"/>
    <cellStyle name="Output 33" xfId="38353" xr:uid="{00000000-0005-0000-0000-0000FA950000}"/>
    <cellStyle name="Output 33 2" xfId="38354" xr:uid="{00000000-0005-0000-0000-0000FB950000}"/>
    <cellStyle name="Output 34" xfId="38355" xr:uid="{00000000-0005-0000-0000-0000FC950000}"/>
    <cellStyle name="Output 35" xfId="38356" xr:uid="{00000000-0005-0000-0000-0000FD950000}"/>
    <cellStyle name="Output 35 2" xfId="38357" xr:uid="{00000000-0005-0000-0000-0000FE950000}"/>
    <cellStyle name="Output 36" xfId="38358" xr:uid="{00000000-0005-0000-0000-0000FF950000}"/>
    <cellStyle name="Output 36 2" xfId="38359" xr:uid="{00000000-0005-0000-0000-000000960000}"/>
    <cellStyle name="Output 37" xfId="38360" xr:uid="{00000000-0005-0000-0000-000001960000}"/>
    <cellStyle name="Output 37 2" xfId="38361" xr:uid="{00000000-0005-0000-0000-000002960000}"/>
    <cellStyle name="Output 38" xfId="38362" xr:uid="{00000000-0005-0000-0000-000003960000}"/>
    <cellStyle name="Output 38 2" xfId="38363" xr:uid="{00000000-0005-0000-0000-000004960000}"/>
    <cellStyle name="Output 39" xfId="38364" xr:uid="{00000000-0005-0000-0000-000005960000}"/>
    <cellStyle name="Output 39 2" xfId="38365" xr:uid="{00000000-0005-0000-0000-000006960000}"/>
    <cellStyle name="Output 4" xfId="38366" xr:uid="{00000000-0005-0000-0000-000007960000}"/>
    <cellStyle name="Output 4 2" xfId="38367" xr:uid="{00000000-0005-0000-0000-000008960000}"/>
    <cellStyle name="Output 4 2 2" xfId="38368" xr:uid="{00000000-0005-0000-0000-000009960000}"/>
    <cellStyle name="Output 40" xfId="38369" xr:uid="{00000000-0005-0000-0000-00000A960000}"/>
    <cellStyle name="Output 40 2" xfId="38370" xr:uid="{00000000-0005-0000-0000-00000B960000}"/>
    <cellStyle name="Output 41" xfId="38371" xr:uid="{00000000-0005-0000-0000-00000C960000}"/>
    <cellStyle name="Output 41 2" xfId="38372" xr:uid="{00000000-0005-0000-0000-00000D960000}"/>
    <cellStyle name="Output 42" xfId="38373" xr:uid="{00000000-0005-0000-0000-00000E960000}"/>
    <cellStyle name="Output 42 2" xfId="38374" xr:uid="{00000000-0005-0000-0000-00000F960000}"/>
    <cellStyle name="Output 43" xfId="38375" xr:uid="{00000000-0005-0000-0000-000010960000}"/>
    <cellStyle name="Output 43 2" xfId="38376" xr:uid="{00000000-0005-0000-0000-000011960000}"/>
    <cellStyle name="Output 44" xfId="38377" xr:uid="{00000000-0005-0000-0000-000012960000}"/>
    <cellStyle name="Output 44 2" xfId="38378" xr:uid="{00000000-0005-0000-0000-000013960000}"/>
    <cellStyle name="Output 45" xfId="38379" xr:uid="{00000000-0005-0000-0000-000014960000}"/>
    <cellStyle name="Output 45 2" xfId="38380" xr:uid="{00000000-0005-0000-0000-000015960000}"/>
    <cellStyle name="Output 46" xfId="38381" xr:uid="{00000000-0005-0000-0000-000016960000}"/>
    <cellStyle name="Output 46 2" xfId="38382" xr:uid="{00000000-0005-0000-0000-000017960000}"/>
    <cellStyle name="Output 47" xfId="38383" xr:uid="{00000000-0005-0000-0000-000018960000}"/>
    <cellStyle name="Output 47 2" xfId="38384" xr:uid="{00000000-0005-0000-0000-000019960000}"/>
    <cellStyle name="Output 48" xfId="38385" xr:uid="{00000000-0005-0000-0000-00001A960000}"/>
    <cellStyle name="Output 48 2" xfId="38386" xr:uid="{00000000-0005-0000-0000-00001B960000}"/>
    <cellStyle name="Output 49" xfId="38387" xr:uid="{00000000-0005-0000-0000-00001C960000}"/>
    <cellStyle name="Output 49 2" xfId="38388" xr:uid="{00000000-0005-0000-0000-00001D960000}"/>
    <cellStyle name="Output 5" xfId="38389" xr:uid="{00000000-0005-0000-0000-00001E960000}"/>
    <cellStyle name="Output 5 2" xfId="38390" xr:uid="{00000000-0005-0000-0000-00001F960000}"/>
    <cellStyle name="Output 5 2 2" xfId="38391" xr:uid="{00000000-0005-0000-0000-000020960000}"/>
    <cellStyle name="Output 50" xfId="38392" xr:uid="{00000000-0005-0000-0000-000021960000}"/>
    <cellStyle name="Output 50 2" xfId="38393" xr:uid="{00000000-0005-0000-0000-000022960000}"/>
    <cellStyle name="Output 51" xfId="38394" xr:uid="{00000000-0005-0000-0000-000023960000}"/>
    <cellStyle name="Output 51 2" xfId="38395" xr:uid="{00000000-0005-0000-0000-000024960000}"/>
    <cellStyle name="Output 52" xfId="38396" xr:uid="{00000000-0005-0000-0000-000025960000}"/>
    <cellStyle name="Output 53" xfId="38397" xr:uid="{00000000-0005-0000-0000-000026960000}"/>
    <cellStyle name="Output 54" xfId="38398" xr:uid="{00000000-0005-0000-0000-000027960000}"/>
    <cellStyle name="Output 55" xfId="38399" xr:uid="{00000000-0005-0000-0000-000028960000}"/>
    <cellStyle name="Output 56" xfId="38400" xr:uid="{00000000-0005-0000-0000-000029960000}"/>
    <cellStyle name="Output 57" xfId="38401" xr:uid="{00000000-0005-0000-0000-00002A960000}"/>
    <cellStyle name="Output 58" xfId="38402" xr:uid="{00000000-0005-0000-0000-00002B960000}"/>
    <cellStyle name="Output 59" xfId="38403" xr:uid="{00000000-0005-0000-0000-00002C960000}"/>
    <cellStyle name="Output 6" xfId="38404" xr:uid="{00000000-0005-0000-0000-00002D960000}"/>
    <cellStyle name="Output 6 2" xfId="38405" xr:uid="{00000000-0005-0000-0000-00002E960000}"/>
    <cellStyle name="Output 60" xfId="38406" xr:uid="{00000000-0005-0000-0000-00002F960000}"/>
    <cellStyle name="Output 61" xfId="38407" xr:uid="{00000000-0005-0000-0000-000030960000}"/>
    <cellStyle name="Output 62" xfId="38408" xr:uid="{00000000-0005-0000-0000-000031960000}"/>
    <cellStyle name="Output 63" xfId="38409" xr:uid="{00000000-0005-0000-0000-000032960000}"/>
    <cellStyle name="Output 63 2" xfId="38410" xr:uid="{00000000-0005-0000-0000-000033960000}"/>
    <cellStyle name="Output 64" xfId="38411" xr:uid="{00000000-0005-0000-0000-000034960000}"/>
    <cellStyle name="Output 64 2" xfId="38412" xr:uid="{00000000-0005-0000-0000-000035960000}"/>
    <cellStyle name="Output 65" xfId="38413" xr:uid="{00000000-0005-0000-0000-000036960000}"/>
    <cellStyle name="Output 65 2" xfId="38414" xr:uid="{00000000-0005-0000-0000-000037960000}"/>
    <cellStyle name="Output 66" xfId="38415" xr:uid="{00000000-0005-0000-0000-000038960000}"/>
    <cellStyle name="Output 66 2" xfId="38416" xr:uid="{00000000-0005-0000-0000-000039960000}"/>
    <cellStyle name="Output 67" xfId="38417" xr:uid="{00000000-0005-0000-0000-00003A960000}"/>
    <cellStyle name="Output 67 2" xfId="38418" xr:uid="{00000000-0005-0000-0000-00003B960000}"/>
    <cellStyle name="Output 68" xfId="38419" xr:uid="{00000000-0005-0000-0000-00003C960000}"/>
    <cellStyle name="Output 68 2" xfId="38420" xr:uid="{00000000-0005-0000-0000-00003D960000}"/>
    <cellStyle name="Output 69" xfId="38421" xr:uid="{00000000-0005-0000-0000-00003E960000}"/>
    <cellStyle name="Output 69 2" xfId="38422" xr:uid="{00000000-0005-0000-0000-00003F960000}"/>
    <cellStyle name="Output 7" xfId="38423" xr:uid="{00000000-0005-0000-0000-000040960000}"/>
    <cellStyle name="Output 7 2" xfId="38424" xr:uid="{00000000-0005-0000-0000-000041960000}"/>
    <cellStyle name="Output 70" xfId="38425" xr:uid="{00000000-0005-0000-0000-000042960000}"/>
    <cellStyle name="Output 70 2" xfId="38426" xr:uid="{00000000-0005-0000-0000-000043960000}"/>
    <cellStyle name="Output 71" xfId="38427" xr:uid="{00000000-0005-0000-0000-000044960000}"/>
    <cellStyle name="Output 71 2" xfId="38428" xr:uid="{00000000-0005-0000-0000-000045960000}"/>
    <cellStyle name="Output 72" xfId="38429" xr:uid="{00000000-0005-0000-0000-000046960000}"/>
    <cellStyle name="Output 72 2" xfId="38430" xr:uid="{00000000-0005-0000-0000-000047960000}"/>
    <cellStyle name="Output 73" xfId="38431" xr:uid="{00000000-0005-0000-0000-000048960000}"/>
    <cellStyle name="Output 73 2" xfId="38432" xr:uid="{00000000-0005-0000-0000-000049960000}"/>
    <cellStyle name="Output 74" xfId="38433" xr:uid="{00000000-0005-0000-0000-00004A960000}"/>
    <cellStyle name="Output 74 2" xfId="38434" xr:uid="{00000000-0005-0000-0000-00004B960000}"/>
    <cellStyle name="Output 75" xfId="38435" xr:uid="{00000000-0005-0000-0000-00004C960000}"/>
    <cellStyle name="Output 75 2" xfId="38436" xr:uid="{00000000-0005-0000-0000-00004D960000}"/>
    <cellStyle name="Output 76" xfId="38437" xr:uid="{00000000-0005-0000-0000-00004E960000}"/>
    <cellStyle name="Output 76 2" xfId="38438" xr:uid="{00000000-0005-0000-0000-00004F960000}"/>
    <cellStyle name="Output 77" xfId="38439" xr:uid="{00000000-0005-0000-0000-000050960000}"/>
    <cellStyle name="Output 77 2" xfId="38440" xr:uid="{00000000-0005-0000-0000-000051960000}"/>
    <cellStyle name="Output 78" xfId="38441" xr:uid="{00000000-0005-0000-0000-000052960000}"/>
    <cellStyle name="Output 78 2" xfId="38442" xr:uid="{00000000-0005-0000-0000-000053960000}"/>
    <cellStyle name="Output 79" xfId="38443" xr:uid="{00000000-0005-0000-0000-000054960000}"/>
    <cellStyle name="Output 79 2" xfId="38444" xr:uid="{00000000-0005-0000-0000-000055960000}"/>
    <cellStyle name="Output 8" xfId="38445" xr:uid="{00000000-0005-0000-0000-000056960000}"/>
    <cellStyle name="Output 80" xfId="38446" xr:uid="{00000000-0005-0000-0000-000057960000}"/>
    <cellStyle name="Output 80 2" xfId="38447" xr:uid="{00000000-0005-0000-0000-000058960000}"/>
    <cellStyle name="Output 81" xfId="38448" xr:uid="{00000000-0005-0000-0000-000059960000}"/>
    <cellStyle name="Output 81 2" xfId="38449" xr:uid="{00000000-0005-0000-0000-00005A960000}"/>
    <cellStyle name="Output 82" xfId="38450" xr:uid="{00000000-0005-0000-0000-00005B960000}"/>
    <cellStyle name="Output 82 2" xfId="38451" xr:uid="{00000000-0005-0000-0000-00005C960000}"/>
    <cellStyle name="Output 83" xfId="38452" xr:uid="{00000000-0005-0000-0000-00005D960000}"/>
    <cellStyle name="Output 83 2" xfId="38453" xr:uid="{00000000-0005-0000-0000-00005E960000}"/>
    <cellStyle name="Output 84" xfId="38454" xr:uid="{00000000-0005-0000-0000-00005F960000}"/>
    <cellStyle name="Output 84 2" xfId="38455" xr:uid="{00000000-0005-0000-0000-000060960000}"/>
    <cellStyle name="Output 85" xfId="38456" xr:uid="{00000000-0005-0000-0000-000061960000}"/>
    <cellStyle name="Output 85 2" xfId="38457" xr:uid="{00000000-0005-0000-0000-000062960000}"/>
    <cellStyle name="Output 86" xfId="38458" xr:uid="{00000000-0005-0000-0000-000063960000}"/>
    <cellStyle name="Output 86 2" xfId="38459" xr:uid="{00000000-0005-0000-0000-000064960000}"/>
    <cellStyle name="Output 87" xfId="38460" xr:uid="{00000000-0005-0000-0000-000065960000}"/>
    <cellStyle name="Output 87 2" xfId="38461" xr:uid="{00000000-0005-0000-0000-000066960000}"/>
    <cellStyle name="Output 88" xfId="38462" xr:uid="{00000000-0005-0000-0000-000067960000}"/>
    <cellStyle name="Output 89" xfId="38463" xr:uid="{00000000-0005-0000-0000-000068960000}"/>
    <cellStyle name="Output 89 2" xfId="38464" xr:uid="{00000000-0005-0000-0000-000069960000}"/>
    <cellStyle name="Output 9" xfId="38465" xr:uid="{00000000-0005-0000-0000-00006A960000}"/>
    <cellStyle name="Output 9 2" xfId="38466" xr:uid="{00000000-0005-0000-0000-00006B960000}"/>
    <cellStyle name="Output 90" xfId="38467" xr:uid="{00000000-0005-0000-0000-00006C960000}"/>
    <cellStyle name="Output 90 2" xfId="38468" xr:uid="{00000000-0005-0000-0000-00006D960000}"/>
    <cellStyle name="Output 91" xfId="38469" xr:uid="{00000000-0005-0000-0000-00006E960000}"/>
    <cellStyle name="Output 91 2" xfId="38470" xr:uid="{00000000-0005-0000-0000-00006F960000}"/>
    <cellStyle name="Output 92" xfId="38471" xr:uid="{00000000-0005-0000-0000-000070960000}"/>
    <cellStyle name="Output 92 2" xfId="38472" xr:uid="{00000000-0005-0000-0000-000071960000}"/>
    <cellStyle name="Output 93" xfId="38473" xr:uid="{00000000-0005-0000-0000-000072960000}"/>
    <cellStyle name="Output 93 2" xfId="38474" xr:uid="{00000000-0005-0000-0000-000073960000}"/>
    <cellStyle name="Output 94" xfId="38475" xr:uid="{00000000-0005-0000-0000-000074960000}"/>
    <cellStyle name="Output 94 2" xfId="38476" xr:uid="{00000000-0005-0000-0000-000075960000}"/>
    <cellStyle name="Output 95" xfId="38477" xr:uid="{00000000-0005-0000-0000-000076960000}"/>
    <cellStyle name="Output 96" xfId="38478" xr:uid="{00000000-0005-0000-0000-000077960000}"/>
    <cellStyle name="Output 97" xfId="38479" xr:uid="{00000000-0005-0000-0000-000078960000}"/>
    <cellStyle name="Output 98" xfId="38480" xr:uid="{00000000-0005-0000-0000-000079960000}"/>
    <cellStyle name="Output 99" xfId="38481" xr:uid="{00000000-0005-0000-0000-00007A960000}"/>
    <cellStyle name="Percent 2" xfId="6" xr:uid="{00000000-0005-0000-0000-00007B960000}"/>
    <cellStyle name="Percent 2 2" xfId="41080" xr:uid="{00000000-0005-0000-0000-000037000000}"/>
    <cellStyle name="Percent 3" xfId="41001" xr:uid="{00000000-0005-0000-0000-00007C960000}"/>
    <cellStyle name="Title 10" xfId="38482" xr:uid="{00000000-0005-0000-0000-00007D960000}"/>
    <cellStyle name="Title 100" xfId="38483" xr:uid="{00000000-0005-0000-0000-00007E960000}"/>
    <cellStyle name="Title 101" xfId="38484" xr:uid="{00000000-0005-0000-0000-00007F960000}"/>
    <cellStyle name="Title 102" xfId="38485" xr:uid="{00000000-0005-0000-0000-000080960000}"/>
    <cellStyle name="Title 103" xfId="38486" xr:uid="{00000000-0005-0000-0000-000081960000}"/>
    <cellStyle name="Title 104" xfId="38487" xr:uid="{00000000-0005-0000-0000-000082960000}"/>
    <cellStyle name="Title 105" xfId="38488" xr:uid="{00000000-0005-0000-0000-000083960000}"/>
    <cellStyle name="Title 106" xfId="38489" xr:uid="{00000000-0005-0000-0000-000084960000}"/>
    <cellStyle name="Title 107" xfId="38490" xr:uid="{00000000-0005-0000-0000-000085960000}"/>
    <cellStyle name="Title 108" xfId="38491" xr:uid="{00000000-0005-0000-0000-000086960000}"/>
    <cellStyle name="Title 109" xfId="38492" xr:uid="{00000000-0005-0000-0000-000087960000}"/>
    <cellStyle name="Title 11" xfId="38493" xr:uid="{00000000-0005-0000-0000-000088960000}"/>
    <cellStyle name="Title 110" xfId="38494" xr:uid="{00000000-0005-0000-0000-000089960000}"/>
    <cellStyle name="Title 111" xfId="38495" xr:uid="{00000000-0005-0000-0000-00008A960000}"/>
    <cellStyle name="Title 112" xfId="38496" xr:uid="{00000000-0005-0000-0000-00008B960000}"/>
    <cellStyle name="Title 113" xfId="38497" xr:uid="{00000000-0005-0000-0000-00008C960000}"/>
    <cellStyle name="Title 114" xfId="38498" xr:uid="{00000000-0005-0000-0000-00008D960000}"/>
    <cellStyle name="Title 115" xfId="38499" xr:uid="{00000000-0005-0000-0000-00008E960000}"/>
    <cellStyle name="Title 116" xfId="38500" xr:uid="{00000000-0005-0000-0000-00008F960000}"/>
    <cellStyle name="Title 117" xfId="38501" xr:uid="{00000000-0005-0000-0000-000090960000}"/>
    <cellStyle name="Title 118" xfId="38502" xr:uid="{00000000-0005-0000-0000-000091960000}"/>
    <cellStyle name="Title 119" xfId="38503" xr:uid="{00000000-0005-0000-0000-000092960000}"/>
    <cellStyle name="Title 12" xfId="38504" xr:uid="{00000000-0005-0000-0000-000093960000}"/>
    <cellStyle name="Title 120" xfId="38505" xr:uid="{00000000-0005-0000-0000-000094960000}"/>
    <cellStyle name="Title 121" xfId="38506" xr:uid="{00000000-0005-0000-0000-000095960000}"/>
    <cellStyle name="Title 122" xfId="38507" xr:uid="{00000000-0005-0000-0000-000096960000}"/>
    <cellStyle name="Title 123" xfId="38508" xr:uid="{00000000-0005-0000-0000-000097960000}"/>
    <cellStyle name="Title 124" xfId="38509" xr:uid="{00000000-0005-0000-0000-000098960000}"/>
    <cellStyle name="Title 125" xfId="38510" xr:uid="{00000000-0005-0000-0000-000099960000}"/>
    <cellStyle name="Title 126" xfId="38511" xr:uid="{00000000-0005-0000-0000-00009A960000}"/>
    <cellStyle name="Title 127" xfId="38512" xr:uid="{00000000-0005-0000-0000-00009B960000}"/>
    <cellStyle name="Title 128" xfId="38513" xr:uid="{00000000-0005-0000-0000-00009C960000}"/>
    <cellStyle name="Title 129" xfId="38514" xr:uid="{00000000-0005-0000-0000-00009D960000}"/>
    <cellStyle name="Title 13" xfId="38515" xr:uid="{00000000-0005-0000-0000-00009E960000}"/>
    <cellStyle name="Title 130" xfId="38516" xr:uid="{00000000-0005-0000-0000-00009F960000}"/>
    <cellStyle name="Title 131" xfId="38517" xr:uid="{00000000-0005-0000-0000-0000A0960000}"/>
    <cellStyle name="Title 132" xfId="38518" xr:uid="{00000000-0005-0000-0000-0000A1960000}"/>
    <cellStyle name="Title 133" xfId="38519" xr:uid="{00000000-0005-0000-0000-0000A2960000}"/>
    <cellStyle name="Title 14" xfId="38520" xr:uid="{00000000-0005-0000-0000-0000A3960000}"/>
    <cellStyle name="Title 15" xfId="38521" xr:uid="{00000000-0005-0000-0000-0000A4960000}"/>
    <cellStyle name="Title 16" xfId="38522" xr:uid="{00000000-0005-0000-0000-0000A5960000}"/>
    <cellStyle name="Title 17" xfId="38523" xr:uid="{00000000-0005-0000-0000-0000A6960000}"/>
    <cellStyle name="Title 18" xfId="38524" xr:uid="{00000000-0005-0000-0000-0000A7960000}"/>
    <cellStyle name="Title 19" xfId="38525" xr:uid="{00000000-0005-0000-0000-0000A8960000}"/>
    <cellStyle name="Title 2" xfId="38526" xr:uid="{00000000-0005-0000-0000-0000A9960000}"/>
    <cellStyle name="Title 2 2" xfId="38527" xr:uid="{00000000-0005-0000-0000-0000AA960000}"/>
    <cellStyle name="Title 2 2 2" xfId="38528" xr:uid="{00000000-0005-0000-0000-0000AB960000}"/>
    <cellStyle name="Title 2 2 2 2" xfId="38529" xr:uid="{00000000-0005-0000-0000-0000AC960000}"/>
    <cellStyle name="Title 2 3" xfId="41037" xr:uid="{00000000-0005-0000-0000-0000AD960000}"/>
    <cellStyle name="Title 20" xfId="38530" xr:uid="{00000000-0005-0000-0000-0000AE960000}"/>
    <cellStyle name="Title 21" xfId="38531" xr:uid="{00000000-0005-0000-0000-0000AF960000}"/>
    <cellStyle name="Title 22" xfId="38532" xr:uid="{00000000-0005-0000-0000-0000B0960000}"/>
    <cellStyle name="Title 23" xfId="38533" xr:uid="{00000000-0005-0000-0000-0000B1960000}"/>
    <cellStyle name="Title 24" xfId="38534" xr:uid="{00000000-0005-0000-0000-0000B2960000}"/>
    <cellStyle name="Title 25" xfId="38535" xr:uid="{00000000-0005-0000-0000-0000B3960000}"/>
    <cellStyle name="Title 26" xfId="38536" xr:uid="{00000000-0005-0000-0000-0000B4960000}"/>
    <cellStyle name="Title 27" xfId="38537" xr:uid="{00000000-0005-0000-0000-0000B5960000}"/>
    <cellStyle name="Title 28" xfId="38538" xr:uid="{00000000-0005-0000-0000-0000B6960000}"/>
    <cellStyle name="Title 29" xfId="38539" xr:uid="{00000000-0005-0000-0000-0000B7960000}"/>
    <cellStyle name="Title 3" xfId="38540" xr:uid="{00000000-0005-0000-0000-0000B8960000}"/>
    <cellStyle name="Title 30" xfId="38541" xr:uid="{00000000-0005-0000-0000-0000B9960000}"/>
    <cellStyle name="Title 31" xfId="38542" xr:uid="{00000000-0005-0000-0000-0000BA960000}"/>
    <cellStyle name="Title 32" xfId="38543" xr:uid="{00000000-0005-0000-0000-0000BB960000}"/>
    <cellStyle name="Title 33" xfId="38544" xr:uid="{00000000-0005-0000-0000-0000BC960000}"/>
    <cellStyle name="Title 34" xfId="38545" xr:uid="{00000000-0005-0000-0000-0000BD960000}"/>
    <cellStyle name="Title 35" xfId="38546" xr:uid="{00000000-0005-0000-0000-0000BE960000}"/>
    <cellStyle name="Title 36" xfId="38547" xr:uid="{00000000-0005-0000-0000-0000BF960000}"/>
    <cellStyle name="Title 37" xfId="38548" xr:uid="{00000000-0005-0000-0000-0000C0960000}"/>
    <cellStyle name="Title 38" xfId="38549" xr:uid="{00000000-0005-0000-0000-0000C1960000}"/>
    <cellStyle name="Title 39" xfId="38550" xr:uid="{00000000-0005-0000-0000-0000C2960000}"/>
    <cellStyle name="Title 4" xfId="38551" xr:uid="{00000000-0005-0000-0000-0000C3960000}"/>
    <cellStyle name="Title 40" xfId="38552" xr:uid="{00000000-0005-0000-0000-0000C4960000}"/>
    <cellStyle name="Title 41" xfId="38553" xr:uid="{00000000-0005-0000-0000-0000C5960000}"/>
    <cellStyle name="Title 42" xfId="38554" xr:uid="{00000000-0005-0000-0000-0000C6960000}"/>
    <cellStyle name="Title 43" xfId="38555" xr:uid="{00000000-0005-0000-0000-0000C7960000}"/>
    <cellStyle name="Title 44" xfId="38556" xr:uid="{00000000-0005-0000-0000-0000C8960000}"/>
    <cellStyle name="Title 45" xfId="38557" xr:uid="{00000000-0005-0000-0000-0000C9960000}"/>
    <cellStyle name="Title 46" xfId="38558" xr:uid="{00000000-0005-0000-0000-0000CA960000}"/>
    <cellStyle name="Title 47" xfId="38559" xr:uid="{00000000-0005-0000-0000-0000CB960000}"/>
    <cellStyle name="Title 48" xfId="38560" xr:uid="{00000000-0005-0000-0000-0000CC960000}"/>
    <cellStyle name="Title 49" xfId="38561" xr:uid="{00000000-0005-0000-0000-0000CD960000}"/>
    <cellStyle name="Title 5" xfId="38562" xr:uid="{00000000-0005-0000-0000-0000CE960000}"/>
    <cellStyle name="Title 50" xfId="38563" xr:uid="{00000000-0005-0000-0000-0000CF960000}"/>
    <cellStyle name="Title 51" xfId="38564" xr:uid="{00000000-0005-0000-0000-0000D0960000}"/>
    <cellStyle name="Title 52" xfId="38565" xr:uid="{00000000-0005-0000-0000-0000D1960000}"/>
    <cellStyle name="Title 53" xfId="38566" xr:uid="{00000000-0005-0000-0000-0000D2960000}"/>
    <cellStyle name="Title 54" xfId="38567" xr:uid="{00000000-0005-0000-0000-0000D3960000}"/>
    <cellStyle name="Title 55" xfId="38568" xr:uid="{00000000-0005-0000-0000-0000D4960000}"/>
    <cellStyle name="Title 56" xfId="38569" xr:uid="{00000000-0005-0000-0000-0000D5960000}"/>
    <cellStyle name="Title 57" xfId="38570" xr:uid="{00000000-0005-0000-0000-0000D6960000}"/>
    <cellStyle name="Title 58" xfId="38571" xr:uid="{00000000-0005-0000-0000-0000D7960000}"/>
    <cellStyle name="Title 59" xfId="38572" xr:uid="{00000000-0005-0000-0000-0000D8960000}"/>
    <cellStyle name="Title 6" xfId="38573" xr:uid="{00000000-0005-0000-0000-0000D9960000}"/>
    <cellStyle name="Title 60" xfId="38574" xr:uid="{00000000-0005-0000-0000-0000DA960000}"/>
    <cellStyle name="Title 61" xfId="38575" xr:uid="{00000000-0005-0000-0000-0000DB960000}"/>
    <cellStyle name="Title 62" xfId="38576" xr:uid="{00000000-0005-0000-0000-0000DC960000}"/>
    <cellStyle name="Title 63" xfId="38577" xr:uid="{00000000-0005-0000-0000-0000DD960000}"/>
    <cellStyle name="Title 63 10" xfId="38578" xr:uid="{00000000-0005-0000-0000-0000DE960000}"/>
    <cellStyle name="Title 63 11" xfId="38579" xr:uid="{00000000-0005-0000-0000-0000DF960000}"/>
    <cellStyle name="Title 63 12" xfId="38580" xr:uid="{00000000-0005-0000-0000-0000E0960000}"/>
    <cellStyle name="Title 63 13" xfId="38581" xr:uid="{00000000-0005-0000-0000-0000E1960000}"/>
    <cellStyle name="Title 63 14" xfId="38582" xr:uid="{00000000-0005-0000-0000-0000E2960000}"/>
    <cellStyle name="Title 63 15" xfId="38583" xr:uid="{00000000-0005-0000-0000-0000E3960000}"/>
    <cellStyle name="Title 63 16" xfId="38584" xr:uid="{00000000-0005-0000-0000-0000E4960000}"/>
    <cellStyle name="Title 63 17" xfId="38585" xr:uid="{00000000-0005-0000-0000-0000E5960000}"/>
    <cellStyle name="Title 63 18" xfId="38586" xr:uid="{00000000-0005-0000-0000-0000E6960000}"/>
    <cellStyle name="Title 63 19" xfId="38587" xr:uid="{00000000-0005-0000-0000-0000E7960000}"/>
    <cellStyle name="Title 63 2" xfId="38588" xr:uid="{00000000-0005-0000-0000-0000E8960000}"/>
    <cellStyle name="Title 63 20" xfId="38589" xr:uid="{00000000-0005-0000-0000-0000E9960000}"/>
    <cellStyle name="Title 63 21" xfId="38590" xr:uid="{00000000-0005-0000-0000-0000EA960000}"/>
    <cellStyle name="Title 63 22" xfId="38591" xr:uid="{00000000-0005-0000-0000-0000EB960000}"/>
    <cellStyle name="Title 63 23" xfId="38592" xr:uid="{00000000-0005-0000-0000-0000EC960000}"/>
    <cellStyle name="Title 63 24" xfId="38593" xr:uid="{00000000-0005-0000-0000-0000ED960000}"/>
    <cellStyle name="Title 63 25" xfId="38594" xr:uid="{00000000-0005-0000-0000-0000EE960000}"/>
    <cellStyle name="Title 63 26" xfId="38595" xr:uid="{00000000-0005-0000-0000-0000EF960000}"/>
    <cellStyle name="Title 63 27" xfId="38596" xr:uid="{00000000-0005-0000-0000-0000F0960000}"/>
    <cellStyle name="Title 63 28" xfId="38597" xr:uid="{00000000-0005-0000-0000-0000F1960000}"/>
    <cellStyle name="Title 63 29" xfId="38598" xr:uid="{00000000-0005-0000-0000-0000F2960000}"/>
    <cellStyle name="Title 63 3" xfId="38599" xr:uid="{00000000-0005-0000-0000-0000F3960000}"/>
    <cellStyle name="Title 63 30" xfId="38600" xr:uid="{00000000-0005-0000-0000-0000F4960000}"/>
    <cellStyle name="Title 63 31" xfId="38601" xr:uid="{00000000-0005-0000-0000-0000F5960000}"/>
    <cellStyle name="Title 63 32" xfId="38602" xr:uid="{00000000-0005-0000-0000-0000F6960000}"/>
    <cellStyle name="Title 63 33" xfId="38603" xr:uid="{00000000-0005-0000-0000-0000F7960000}"/>
    <cellStyle name="Title 63 34" xfId="38604" xr:uid="{00000000-0005-0000-0000-0000F8960000}"/>
    <cellStyle name="Title 63 35" xfId="38605" xr:uid="{00000000-0005-0000-0000-0000F9960000}"/>
    <cellStyle name="Title 63 36" xfId="38606" xr:uid="{00000000-0005-0000-0000-0000FA960000}"/>
    <cellStyle name="Title 63 4" xfId="38607" xr:uid="{00000000-0005-0000-0000-0000FB960000}"/>
    <cellStyle name="Title 63 5" xfId="38608" xr:uid="{00000000-0005-0000-0000-0000FC960000}"/>
    <cellStyle name="Title 63 6" xfId="38609" xr:uid="{00000000-0005-0000-0000-0000FD960000}"/>
    <cellStyle name="Title 63 7" xfId="38610" xr:uid="{00000000-0005-0000-0000-0000FE960000}"/>
    <cellStyle name="Title 63 8" xfId="38611" xr:uid="{00000000-0005-0000-0000-0000FF960000}"/>
    <cellStyle name="Title 63 9" xfId="38612" xr:uid="{00000000-0005-0000-0000-000000970000}"/>
    <cellStyle name="Title 64" xfId="38613" xr:uid="{00000000-0005-0000-0000-000001970000}"/>
    <cellStyle name="Title 64 10" xfId="38614" xr:uid="{00000000-0005-0000-0000-000002970000}"/>
    <cellStyle name="Title 64 11" xfId="38615" xr:uid="{00000000-0005-0000-0000-000003970000}"/>
    <cellStyle name="Title 64 12" xfId="38616" xr:uid="{00000000-0005-0000-0000-000004970000}"/>
    <cellStyle name="Title 64 13" xfId="38617" xr:uid="{00000000-0005-0000-0000-000005970000}"/>
    <cellStyle name="Title 64 14" xfId="38618" xr:uid="{00000000-0005-0000-0000-000006970000}"/>
    <cellStyle name="Title 64 15" xfId="38619" xr:uid="{00000000-0005-0000-0000-000007970000}"/>
    <cellStyle name="Title 64 16" xfId="38620" xr:uid="{00000000-0005-0000-0000-000008970000}"/>
    <cellStyle name="Title 64 17" xfId="38621" xr:uid="{00000000-0005-0000-0000-000009970000}"/>
    <cellStyle name="Title 64 18" xfId="38622" xr:uid="{00000000-0005-0000-0000-00000A970000}"/>
    <cellStyle name="Title 64 19" xfId="38623" xr:uid="{00000000-0005-0000-0000-00000B970000}"/>
    <cellStyle name="Title 64 2" xfId="38624" xr:uid="{00000000-0005-0000-0000-00000C970000}"/>
    <cellStyle name="Title 64 20" xfId="38625" xr:uid="{00000000-0005-0000-0000-00000D970000}"/>
    <cellStyle name="Title 64 21" xfId="38626" xr:uid="{00000000-0005-0000-0000-00000E970000}"/>
    <cellStyle name="Title 64 22" xfId="38627" xr:uid="{00000000-0005-0000-0000-00000F970000}"/>
    <cellStyle name="Title 64 23" xfId="38628" xr:uid="{00000000-0005-0000-0000-000010970000}"/>
    <cellStyle name="Title 64 24" xfId="38629" xr:uid="{00000000-0005-0000-0000-000011970000}"/>
    <cellStyle name="Title 64 25" xfId="38630" xr:uid="{00000000-0005-0000-0000-000012970000}"/>
    <cellStyle name="Title 64 26" xfId="38631" xr:uid="{00000000-0005-0000-0000-000013970000}"/>
    <cellStyle name="Title 64 27" xfId="38632" xr:uid="{00000000-0005-0000-0000-000014970000}"/>
    <cellStyle name="Title 64 28" xfId="38633" xr:uid="{00000000-0005-0000-0000-000015970000}"/>
    <cellStyle name="Title 64 29" xfId="38634" xr:uid="{00000000-0005-0000-0000-000016970000}"/>
    <cellStyle name="Title 64 3" xfId="38635" xr:uid="{00000000-0005-0000-0000-000017970000}"/>
    <cellStyle name="Title 64 30" xfId="38636" xr:uid="{00000000-0005-0000-0000-000018970000}"/>
    <cellStyle name="Title 64 31" xfId="38637" xr:uid="{00000000-0005-0000-0000-000019970000}"/>
    <cellStyle name="Title 64 32" xfId="38638" xr:uid="{00000000-0005-0000-0000-00001A970000}"/>
    <cellStyle name="Title 64 33" xfId="38639" xr:uid="{00000000-0005-0000-0000-00001B970000}"/>
    <cellStyle name="Title 64 34" xfId="38640" xr:uid="{00000000-0005-0000-0000-00001C970000}"/>
    <cellStyle name="Title 64 35" xfId="38641" xr:uid="{00000000-0005-0000-0000-00001D970000}"/>
    <cellStyle name="Title 64 36" xfId="38642" xr:uid="{00000000-0005-0000-0000-00001E970000}"/>
    <cellStyle name="Title 64 4" xfId="38643" xr:uid="{00000000-0005-0000-0000-00001F970000}"/>
    <cellStyle name="Title 64 5" xfId="38644" xr:uid="{00000000-0005-0000-0000-000020970000}"/>
    <cellStyle name="Title 64 6" xfId="38645" xr:uid="{00000000-0005-0000-0000-000021970000}"/>
    <cellStyle name="Title 64 7" xfId="38646" xr:uid="{00000000-0005-0000-0000-000022970000}"/>
    <cellStyle name="Title 64 8" xfId="38647" xr:uid="{00000000-0005-0000-0000-000023970000}"/>
    <cellStyle name="Title 64 9" xfId="38648" xr:uid="{00000000-0005-0000-0000-000024970000}"/>
    <cellStyle name="Title 65" xfId="38649" xr:uid="{00000000-0005-0000-0000-000025970000}"/>
    <cellStyle name="Title 65 10" xfId="38650" xr:uid="{00000000-0005-0000-0000-000026970000}"/>
    <cellStyle name="Title 65 11" xfId="38651" xr:uid="{00000000-0005-0000-0000-000027970000}"/>
    <cellStyle name="Title 65 12" xfId="38652" xr:uid="{00000000-0005-0000-0000-000028970000}"/>
    <cellStyle name="Title 65 13" xfId="38653" xr:uid="{00000000-0005-0000-0000-000029970000}"/>
    <cellStyle name="Title 65 14" xfId="38654" xr:uid="{00000000-0005-0000-0000-00002A970000}"/>
    <cellStyle name="Title 65 15" xfId="38655" xr:uid="{00000000-0005-0000-0000-00002B970000}"/>
    <cellStyle name="Title 65 16" xfId="38656" xr:uid="{00000000-0005-0000-0000-00002C970000}"/>
    <cellStyle name="Title 65 17" xfId="38657" xr:uid="{00000000-0005-0000-0000-00002D970000}"/>
    <cellStyle name="Title 65 18" xfId="38658" xr:uid="{00000000-0005-0000-0000-00002E970000}"/>
    <cellStyle name="Title 65 19" xfId="38659" xr:uid="{00000000-0005-0000-0000-00002F970000}"/>
    <cellStyle name="Title 65 2" xfId="38660" xr:uid="{00000000-0005-0000-0000-000030970000}"/>
    <cellStyle name="Title 65 20" xfId="38661" xr:uid="{00000000-0005-0000-0000-000031970000}"/>
    <cellStyle name="Title 65 21" xfId="38662" xr:uid="{00000000-0005-0000-0000-000032970000}"/>
    <cellStyle name="Title 65 22" xfId="38663" xr:uid="{00000000-0005-0000-0000-000033970000}"/>
    <cellStyle name="Title 65 23" xfId="38664" xr:uid="{00000000-0005-0000-0000-000034970000}"/>
    <cellStyle name="Title 65 24" xfId="38665" xr:uid="{00000000-0005-0000-0000-000035970000}"/>
    <cellStyle name="Title 65 25" xfId="38666" xr:uid="{00000000-0005-0000-0000-000036970000}"/>
    <cellStyle name="Title 65 26" xfId="38667" xr:uid="{00000000-0005-0000-0000-000037970000}"/>
    <cellStyle name="Title 65 27" xfId="38668" xr:uid="{00000000-0005-0000-0000-000038970000}"/>
    <cellStyle name="Title 65 28" xfId="38669" xr:uid="{00000000-0005-0000-0000-000039970000}"/>
    <cellStyle name="Title 65 29" xfId="38670" xr:uid="{00000000-0005-0000-0000-00003A970000}"/>
    <cellStyle name="Title 65 3" xfId="38671" xr:uid="{00000000-0005-0000-0000-00003B970000}"/>
    <cellStyle name="Title 65 30" xfId="38672" xr:uid="{00000000-0005-0000-0000-00003C970000}"/>
    <cellStyle name="Title 65 31" xfId="38673" xr:uid="{00000000-0005-0000-0000-00003D970000}"/>
    <cellStyle name="Title 65 32" xfId="38674" xr:uid="{00000000-0005-0000-0000-00003E970000}"/>
    <cellStyle name="Title 65 33" xfId="38675" xr:uid="{00000000-0005-0000-0000-00003F970000}"/>
    <cellStyle name="Title 65 34" xfId="38676" xr:uid="{00000000-0005-0000-0000-000040970000}"/>
    <cellStyle name="Title 65 35" xfId="38677" xr:uid="{00000000-0005-0000-0000-000041970000}"/>
    <cellStyle name="Title 65 36" xfId="38678" xr:uid="{00000000-0005-0000-0000-000042970000}"/>
    <cellStyle name="Title 65 4" xfId="38679" xr:uid="{00000000-0005-0000-0000-000043970000}"/>
    <cellStyle name="Title 65 5" xfId="38680" xr:uid="{00000000-0005-0000-0000-000044970000}"/>
    <cellStyle name="Title 65 6" xfId="38681" xr:uid="{00000000-0005-0000-0000-000045970000}"/>
    <cellStyle name="Title 65 7" xfId="38682" xr:uid="{00000000-0005-0000-0000-000046970000}"/>
    <cellStyle name="Title 65 8" xfId="38683" xr:uid="{00000000-0005-0000-0000-000047970000}"/>
    <cellStyle name="Title 65 9" xfId="38684" xr:uid="{00000000-0005-0000-0000-000048970000}"/>
    <cellStyle name="Title 66" xfId="38685" xr:uid="{00000000-0005-0000-0000-000049970000}"/>
    <cellStyle name="Title 66 10" xfId="38686" xr:uid="{00000000-0005-0000-0000-00004A970000}"/>
    <cellStyle name="Title 66 11" xfId="38687" xr:uid="{00000000-0005-0000-0000-00004B970000}"/>
    <cellStyle name="Title 66 12" xfId="38688" xr:uid="{00000000-0005-0000-0000-00004C970000}"/>
    <cellStyle name="Title 66 13" xfId="38689" xr:uid="{00000000-0005-0000-0000-00004D970000}"/>
    <cellStyle name="Title 66 14" xfId="38690" xr:uid="{00000000-0005-0000-0000-00004E970000}"/>
    <cellStyle name="Title 66 15" xfId="38691" xr:uid="{00000000-0005-0000-0000-00004F970000}"/>
    <cellStyle name="Title 66 16" xfId="38692" xr:uid="{00000000-0005-0000-0000-000050970000}"/>
    <cellStyle name="Title 66 17" xfId="38693" xr:uid="{00000000-0005-0000-0000-000051970000}"/>
    <cellStyle name="Title 66 18" xfId="38694" xr:uid="{00000000-0005-0000-0000-000052970000}"/>
    <cellStyle name="Title 66 19" xfId="38695" xr:uid="{00000000-0005-0000-0000-000053970000}"/>
    <cellStyle name="Title 66 2" xfId="38696" xr:uid="{00000000-0005-0000-0000-000054970000}"/>
    <cellStyle name="Title 66 20" xfId="38697" xr:uid="{00000000-0005-0000-0000-000055970000}"/>
    <cellStyle name="Title 66 21" xfId="38698" xr:uid="{00000000-0005-0000-0000-000056970000}"/>
    <cellStyle name="Title 66 22" xfId="38699" xr:uid="{00000000-0005-0000-0000-000057970000}"/>
    <cellStyle name="Title 66 23" xfId="38700" xr:uid="{00000000-0005-0000-0000-000058970000}"/>
    <cellStyle name="Title 66 24" xfId="38701" xr:uid="{00000000-0005-0000-0000-000059970000}"/>
    <cellStyle name="Title 66 25" xfId="38702" xr:uid="{00000000-0005-0000-0000-00005A970000}"/>
    <cellStyle name="Title 66 26" xfId="38703" xr:uid="{00000000-0005-0000-0000-00005B970000}"/>
    <cellStyle name="Title 66 27" xfId="38704" xr:uid="{00000000-0005-0000-0000-00005C970000}"/>
    <cellStyle name="Title 66 28" xfId="38705" xr:uid="{00000000-0005-0000-0000-00005D970000}"/>
    <cellStyle name="Title 66 29" xfId="38706" xr:uid="{00000000-0005-0000-0000-00005E970000}"/>
    <cellStyle name="Title 66 3" xfId="38707" xr:uid="{00000000-0005-0000-0000-00005F970000}"/>
    <cellStyle name="Title 66 30" xfId="38708" xr:uid="{00000000-0005-0000-0000-000060970000}"/>
    <cellStyle name="Title 66 31" xfId="38709" xr:uid="{00000000-0005-0000-0000-000061970000}"/>
    <cellStyle name="Title 66 32" xfId="38710" xr:uid="{00000000-0005-0000-0000-000062970000}"/>
    <cellStyle name="Title 66 33" xfId="38711" xr:uid="{00000000-0005-0000-0000-000063970000}"/>
    <cellStyle name="Title 66 34" xfId="38712" xr:uid="{00000000-0005-0000-0000-000064970000}"/>
    <cellStyle name="Title 66 35" xfId="38713" xr:uid="{00000000-0005-0000-0000-000065970000}"/>
    <cellStyle name="Title 66 36" xfId="38714" xr:uid="{00000000-0005-0000-0000-000066970000}"/>
    <cellStyle name="Title 66 4" xfId="38715" xr:uid="{00000000-0005-0000-0000-000067970000}"/>
    <cellStyle name="Title 66 5" xfId="38716" xr:uid="{00000000-0005-0000-0000-000068970000}"/>
    <cellStyle name="Title 66 6" xfId="38717" xr:uid="{00000000-0005-0000-0000-000069970000}"/>
    <cellStyle name="Title 66 7" xfId="38718" xr:uid="{00000000-0005-0000-0000-00006A970000}"/>
    <cellStyle name="Title 66 8" xfId="38719" xr:uid="{00000000-0005-0000-0000-00006B970000}"/>
    <cellStyle name="Title 66 9" xfId="38720" xr:uid="{00000000-0005-0000-0000-00006C970000}"/>
    <cellStyle name="Title 67" xfId="38721" xr:uid="{00000000-0005-0000-0000-00006D970000}"/>
    <cellStyle name="Title 67 10" xfId="38722" xr:uid="{00000000-0005-0000-0000-00006E970000}"/>
    <cellStyle name="Title 67 11" xfId="38723" xr:uid="{00000000-0005-0000-0000-00006F970000}"/>
    <cellStyle name="Title 67 12" xfId="38724" xr:uid="{00000000-0005-0000-0000-000070970000}"/>
    <cellStyle name="Title 67 13" xfId="38725" xr:uid="{00000000-0005-0000-0000-000071970000}"/>
    <cellStyle name="Title 67 14" xfId="38726" xr:uid="{00000000-0005-0000-0000-000072970000}"/>
    <cellStyle name="Title 67 15" xfId="38727" xr:uid="{00000000-0005-0000-0000-000073970000}"/>
    <cellStyle name="Title 67 16" xfId="38728" xr:uid="{00000000-0005-0000-0000-000074970000}"/>
    <cellStyle name="Title 67 17" xfId="38729" xr:uid="{00000000-0005-0000-0000-000075970000}"/>
    <cellStyle name="Title 67 18" xfId="38730" xr:uid="{00000000-0005-0000-0000-000076970000}"/>
    <cellStyle name="Title 67 19" xfId="38731" xr:uid="{00000000-0005-0000-0000-000077970000}"/>
    <cellStyle name="Title 67 2" xfId="38732" xr:uid="{00000000-0005-0000-0000-000078970000}"/>
    <cellStyle name="Title 67 20" xfId="38733" xr:uid="{00000000-0005-0000-0000-000079970000}"/>
    <cellStyle name="Title 67 21" xfId="38734" xr:uid="{00000000-0005-0000-0000-00007A970000}"/>
    <cellStyle name="Title 67 22" xfId="38735" xr:uid="{00000000-0005-0000-0000-00007B970000}"/>
    <cellStyle name="Title 67 23" xfId="38736" xr:uid="{00000000-0005-0000-0000-00007C970000}"/>
    <cellStyle name="Title 67 24" xfId="38737" xr:uid="{00000000-0005-0000-0000-00007D970000}"/>
    <cellStyle name="Title 67 25" xfId="38738" xr:uid="{00000000-0005-0000-0000-00007E970000}"/>
    <cellStyle name="Title 67 26" xfId="38739" xr:uid="{00000000-0005-0000-0000-00007F970000}"/>
    <cellStyle name="Title 67 27" xfId="38740" xr:uid="{00000000-0005-0000-0000-000080970000}"/>
    <cellStyle name="Title 67 28" xfId="38741" xr:uid="{00000000-0005-0000-0000-000081970000}"/>
    <cellStyle name="Title 67 29" xfId="38742" xr:uid="{00000000-0005-0000-0000-000082970000}"/>
    <cellStyle name="Title 67 3" xfId="38743" xr:uid="{00000000-0005-0000-0000-000083970000}"/>
    <cellStyle name="Title 67 30" xfId="38744" xr:uid="{00000000-0005-0000-0000-000084970000}"/>
    <cellStyle name="Title 67 31" xfId="38745" xr:uid="{00000000-0005-0000-0000-000085970000}"/>
    <cellStyle name="Title 67 32" xfId="38746" xr:uid="{00000000-0005-0000-0000-000086970000}"/>
    <cellStyle name="Title 67 33" xfId="38747" xr:uid="{00000000-0005-0000-0000-000087970000}"/>
    <cellStyle name="Title 67 34" xfId="38748" xr:uid="{00000000-0005-0000-0000-000088970000}"/>
    <cellStyle name="Title 67 35" xfId="38749" xr:uid="{00000000-0005-0000-0000-000089970000}"/>
    <cellStyle name="Title 67 36" xfId="38750" xr:uid="{00000000-0005-0000-0000-00008A970000}"/>
    <cellStyle name="Title 67 4" xfId="38751" xr:uid="{00000000-0005-0000-0000-00008B970000}"/>
    <cellStyle name="Title 67 5" xfId="38752" xr:uid="{00000000-0005-0000-0000-00008C970000}"/>
    <cellStyle name="Title 67 6" xfId="38753" xr:uid="{00000000-0005-0000-0000-00008D970000}"/>
    <cellStyle name="Title 67 7" xfId="38754" xr:uid="{00000000-0005-0000-0000-00008E970000}"/>
    <cellStyle name="Title 67 8" xfId="38755" xr:uid="{00000000-0005-0000-0000-00008F970000}"/>
    <cellStyle name="Title 67 9" xfId="38756" xr:uid="{00000000-0005-0000-0000-000090970000}"/>
    <cellStyle name="Title 68" xfId="38757" xr:uid="{00000000-0005-0000-0000-000091970000}"/>
    <cellStyle name="Title 68 10" xfId="38758" xr:uid="{00000000-0005-0000-0000-000092970000}"/>
    <cellStyle name="Title 68 11" xfId="38759" xr:uid="{00000000-0005-0000-0000-000093970000}"/>
    <cellStyle name="Title 68 12" xfId="38760" xr:uid="{00000000-0005-0000-0000-000094970000}"/>
    <cellStyle name="Title 68 13" xfId="38761" xr:uid="{00000000-0005-0000-0000-000095970000}"/>
    <cellStyle name="Title 68 14" xfId="38762" xr:uid="{00000000-0005-0000-0000-000096970000}"/>
    <cellStyle name="Title 68 15" xfId="38763" xr:uid="{00000000-0005-0000-0000-000097970000}"/>
    <cellStyle name="Title 68 16" xfId="38764" xr:uid="{00000000-0005-0000-0000-000098970000}"/>
    <cellStyle name="Title 68 17" xfId="38765" xr:uid="{00000000-0005-0000-0000-000099970000}"/>
    <cellStyle name="Title 68 18" xfId="38766" xr:uid="{00000000-0005-0000-0000-00009A970000}"/>
    <cellStyle name="Title 68 19" xfId="38767" xr:uid="{00000000-0005-0000-0000-00009B970000}"/>
    <cellStyle name="Title 68 2" xfId="38768" xr:uid="{00000000-0005-0000-0000-00009C970000}"/>
    <cellStyle name="Title 68 20" xfId="38769" xr:uid="{00000000-0005-0000-0000-00009D970000}"/>
    <cellStyle name="Title 68 21" xfId="38770" xr:uid="{00000000-0005-0000-0000-00009E970000}"/>
    <cellStyle name="Title 68 22" xfId="38771" xr:uid="{00000000-0005-0000-0000-00009F970000}"/>
    <cellStyle name="Title 68 23" xfId="38772" xr:uid="{00000000-0005-0000-0000-0000A0970000}"/>
    <cellStyle name="Title 68 24" xfId="38773" xr:uid="{00000000-0005-0000-0000-0000A1970000}"/>
    <cellStyle name="Title 68 25" xfId="38774" xr:uid="{00000000-0005-0000-0000-0000A2970000}"/>
    <cellStyle name="Title 68 26" xfId="38775" xr:uid="{00000000-0005-0000-0000-0000A3970000}"/>
    <cellStyle name="Title 68 27" xfId="38776" xr:uid="{00000000-0005-0000-0000-0000A4970000}"/>
    <cellStyle name="Title 68 28" xfId="38777" xr:uid="{00000000-0005-0000-0000-0000A5970000}"/>
    <cellStyle name="Title 68 29" xfId="38778" xr:uid="{00000000-0005-0000-0000-0000A6970000}"/>
    <cellStyle name="Title 68 3" xfId="38779" xr:uid="{00000000-0005-0000-0000-0000A7970000}"/>
    <cellStyle name="Title 68 30" xfId="38780" xr:uid="{00000000-0005-0000-0000-0000A8970000}"/>
    <cellStyle name="Title 68 31" xfId="38781" xr:uid="{00000000-0005-0000-0000-0000A9970000}"/>
    <cellStyle name="Title 68 32" xfId="38782" xr:uid="{00000000-0005-0000-0000-0000AA970000}"/>
    <cellStyle name="Title 68 33" xfId="38783" xr:uid="{00000000-0005-0000-0000-0000AB970000}"/>
    <cellStyle name="Title 68 34" xfId="38784" xr:uid="{00000000-0005-0000-0000-0000AC970000}"/>
    <cellStyle name="Title 68 35" xfId="38785" xr:uid="{00000000-0005-0000-0000-0000AD970000}"/>
    <cellStyle name="Title 68 36" xfId="38786" xr:uid="{00000000-0005-0000-0000-0000AE970000}"/>
    <cellStyle name="Title 68 4" xfId="38787" xr:uid="{00000000-0005-0000-0000-0000AF970000}"/>
    <cellStyle name="Title 68 5" xfId="38788" xr:uid="{00000000-0005-0000-0000-0000B0970000}"/>
    <cellStyle name="Title 68 6" xfId="38789" xr:uid="{00000000-0005-0000-0000-0000B1970000}"/>
    <cellStyle name="Title 68 7" xfId="38790" xr:uid="{00000000-0005-0000-0000-0000B2970000}"/>
    <cellStyle name="Title 68 8" xfId="38791" xr:uid="{00000000-0005-0000-0000-0000B3970000}"/>
    <cellStyle name="Title 68 9" xfId="38792" xr:uid="{00000000-0005-0000-0000-0000B4970000}"/>
    <cellStyle name="Title 69" xfId="38793" xr:uid="{00000000-0005-0000-0000-0000B5970000}"/>
    <cellStyle name="Title 69 2" xfId="38794" xr:uid="{00000000-0005-0000-0000-0000B6970000}"/>
    <cellStyle name="Title 7" xfId="38795" xr:uid="{00000000-0005-0000-0000-0000B7970000}"/>
    <cellStyle name="Title 70" xfId="38796" xr:uid="{00000000-0005-0000-0000-0000B8970000}"/>
    <cellStyle name="Title 70 2" xfId="38797" xr:uid="{00000000-0005-0000-0000-0000B9970000}"/>
    <cellStyle name="Title 71" xfId="38798" xr:uid="{00000000-0005-0000-0000-0000BA970000}"/>
    <cellStyle name="Title 71 2" xfId="38799" xr:uid="{00000000-0005-0000-0000-0000BB970000}"/>
    <cellStyle name="Title 72" xfId="38800" xr:uid="{00000000-0005-0000-0000-0000BC970000}"/>
    <cellStyle name="Title 72 2" xfId="38801" xr:uid="{00000000-0005-0000-0000-0000BD970000}"/>
    <cellStyle name="Title 73" xfId="38802" xr:uid="{00000000-0005-0000-0000-0000BE970000}"/>
    <cellStyle name="Title 73 2" xfId="38803" xr:uid="{00000000-0005-0000-0000-0000BF970000}"/>
    <cellStyle name="Title 74" xfId="38804" xr:uid="{00000000-0005-0000-0000-0000C0970000}"/>
    <cellStyle name="Title 74 2" xfId="38805" xr:uid="{00000000-0005-0000-0000-0000C1970000}"/>
    <cellStyle name="Title 75" xfId="38806" xr:uid="{00000000-0005-0000-0000-0000C2970000}"/>
    <cellStyle name="Title 75 2" xfId="38807" xr:uid="{00000000-0005-0000-0000-0000C3970000}"/>
    <cellStyle name="Title 76" xfId="38808" xr:uid="{00000000-0005-0000-0000-0000C4970000}"/>
    <cellStyle name="Title 76 2" xfId="38809" xr:uid="{00000000-0005-0000-0000-0000C5970000}"/>
    <cellStyle name="Title 77" xfId="38810" xr:uid="{00000000-0005-0000-0000-0000C6970000}"/>
    <cellStyle name="Title 77 2" xfId="38811" xr:uid="{00000000-0005-0000-0000-0000C7970000}"/>
    <cellStyle name="Title 78" xfId="38812" xr:uid="{00000000-0005-0000-0000-0000C8970000}"/>
    <cellStyle name="Title 78 2" xfId="38813" xr:uid="{00000000-0005-0000-0000-0000C9970000}"/>
    <cellStyle name="Title 79" xfId="38814" xr:uid="{00000000-0005-0000-0000-0000CA970000}"/>
    <cellStyle name="Title 79 2" xfId="38815" xr:uid="{00000000-0005-0000-0000-0000CB970000}"/>
    <cellStyle name="Title 8" xfId="38816" xr:uid="{00000000-0005-0000-0000-0000CC970000}"/>
    <cellStyle name="Title 80" xfId="38817" xr:uid="{00000000-0005-0000-0000-0000CD970000}"/>
    <cellStyle name="Title 80 2" xfId="38818" xr:uid="{00000000-0005-0000-0000-0000CE970000}"/>
    <cellStyle name="Title 81" xfId="38819" xr:uid="{00000000-0005-0000-0000-0000CF970000}"/>
    <cellStyle name="Title 81 2" xfId="38820" xr:uid="{00000000-0005-0000-0000-0000D0970000}"/>
    <cellStyle name="Title 82" xfId="38821" xr:uid="{00000000-0005-0000-0000-0000D1970000}"/>
    <cellStyle name="Title 82 2" xfId="38822" xr:uid="{00000000-0005-0000-0000-0000D2970000}"/>
    <cellStyle name="Title 83" xfId="38823" xr:uid="{00000000-0005-0000-0000-0000D3970000}"/>
    <cellStyle name="Title 83 2" xfId="38824" xr:uid="{00000000-0005-0000-0000-0000D4970000}"/>
    <cellStyle name="Title 84" xfId="38825" xr:uid="{00000000-0005-0000-0000-0000D5970000}"/>
    <cellStyle name="Title 84 2" xfId="38826" xr:uid="{00000000-0005-0000-0000-0000D6970000}"/>
    <cellStyle name="Title 85" xfId="38827" xr:uid="{00000000-0005-0000-0000-0000D7970000}"/>
    <cellStyle name="Title 85 2" xfId="38828" xr:uid="{00000000-0005-0000-0000-0000D8970000}"/>
    <cellStyle name="Title 86" xfId="38829" xr:uid="{00000000-0005-0000-0000-0000D9970000}"/>
    <cellStyle name="Title 87" xfId="38830" xr:uid="{00000000-0005-0000-0000-0000DA970000}"/>
    <cellStyle name="Title 88" xfId="38831" xr:uid="{00000000-0005-0000-0000-0000DB970000}"/>
    <cellStyle name="Title 89" xfId="38832" xr:uid="{00000000-0005-0000-0000-0000DC970000}"/>
    <cellStyle name="Title 89 2" xfId="38833" xr:uid="{00000000-0005-0000-0000-0000DD970000}"/>
    <cellStyle name="Title 9" xfId="38834" xr:uid="{00000000-0005-0000-0000-0000DE970000}"/>
    <cellStyle name="Title 90" xfId="38835" xr:uid="{00000000-0005-0000-0000-0000DF970000}"/>
    <cellStyle name="Title 90 2" xfId="38836" xr:uid="{00000000-0005-0000-0000-0000E0970000}"/>
    <cellStyle name="Title 91" xfId="38837" xr:uid="{00000000-0005-0000-0000-0000E1970000}"/>
    <cellStyle name="Title 91 2" xfId="38838" xr:uid="{00000000-0005-0000-0000-0000E2970000}"/>
    <cellStyle name="Title 92" xfId="38839" xr:uid="{00000000-0005-0000-0000-0000E3970000}"/>
    <cellStyle name="Title 92 2" xfId="38840" xr:uid="{00000000-0005-0000-0000-0000E4970000}"/>
    <cellStyle name="Title 93" xfId="38841" xr:uid="{00000000-0005-0000-0000-0000E5970000}"/>
    <cellStyle name="Title 93 2" xfId="38842" xr:uid="{00000000-0005-0000-0000-0000E6970000}"/>
    <cellStyle name="Title 94" xfId="38843" xr:uid="{00000000-0005-0000-0000-0000E7970000}"/>
    <cellStyle name="Title 94 2" xfId="38844" xr:uid="{00000000-0005-0000-0000-0000E8970000}"/>
    <cellStyle name="Title 95" xfId="38845" xr:uid="{00000000-0005-0000-0000-0000E9970000}"/>
    <cellStyle name="Title 96" xfId="38846" xr:uid="{00000000-0005-0000-0000-0000EA970000}"/>
    <cellStyle name="Title 97" xfId="38847" xr:uid="{00000000-0005-0000-0000-0000EB970000}"/>
    <cellStyle name="Title 98" xfId="38848" xr:uid="{00000000-0005-0000-0000-0000EC970000}"/>
    <cellStyle name="Title 99" xfId="38849" xr:uid="{00000000-0005-0000-0000-0000ED970000}"/>
    <cellStyle name="Total" xfId="41018" builtinId="25" customBuiltin="1"/>
    <cellStyle name="Total 10" xfId="38850" xr:uid="{00000000-0005-0000-0000-0000EF970000}"/>
    <cellStyle name="Total 10 2" xfId="38851" xr:uid="{00000000-0005-0000-0000-0000F0970000}"/>
    <cellStyle name="Total 100" xfId="38852" xr:uid="{00000000-0005-0000-0000-0000F1970000}"/>
    <cellStyle name="Total 101" xfId="38853" xr:uid="{00000000-0005-0000-0000-0000F2970000}"/>
    <cellStyle name="Total 102" xfId="38854" xr:uid="{00000000-0005-0000-0000-0000F3970000}"/>
    <cellStyle name="Total 103" xfId="38855" xr:uid="{00000000-0005-0000-0000-0000F4970000}"/>
    <cellStyle name="Total 104" xfId="38856" xr:uid="{00000000-0005-0000-0000-0000F5970000}"/>
    <cellStyle name="Total 105" xfId="38857" xr:uid="{00000000-0005-0000-0000-0000F6970000}"/>
    <cellStyle name="Total 106" xfId="38858" xr:uid="{00000000-0005-0000-0000-0000F7970000}"/>
    <cellStyle name="Total 107" xfId="38859" xr:uid="{00000000-0005-0000-0000-0000F8970000}"/>
    <cellStyle name="Total 108" xfId="38860" xr:uid="{00000000-0005-0000-0000-0000F9970000}"/>
    <cellStyle name="Total 109" xfId="38861" xr:uid="{00000000-0005-0000-0000-0000FA970000}"/>
    <cellStyle name="Total 11" xfId="38862" xr:uid="{00000000-0005-0000-0000-0000FB970000}"/>
    <cellStyle name="Total 11 2" xfId="38863" xr:uid="{00000000-0005-0000-0000-0000FC970000}"/>
    <cellStyle name="Total 110" xfId="38864" xr:uid="{00000000-0005-0000-0000-0000FD970000}"/>
    <cellStyle name="Total 111" xfId="38865" xr:uid="{00000000-0005-0000-0000-0000FE970000}"/>
    <cellStyle name="Total 112" xfId="38866" xr:uid="{00000000-0005-0000-0000-0000FF970000}"/>
    <cellStyle name="Total 113" xfId="38867" xr:uid="{00000000-0005-0000-0000-000000980000}"/>
    <cellStyle name="Total 114" xfId="38868" xr:uid="{00000000-0005-0000-0000-000001980000}"/>
    <cellStyle name="Total 115" xfId="38869" xr:uid="{00000000-0005-0000-0000-000002980000}"/>
    <cellStyle name="Total 116" xfId="38870" xr:uid="{00000000-0005-0000-0000-000003980000}"/>
    <cellStyle name="Total 117" xfId="38871" xr:uid="{00000000-0005-0000-0000-000004980000}"/>
    <cellStyle name="Total 118" xfId="38872" xr:uid="{00000000-0005-0000-0000-000005980000}"/>
    <cellStyle name="Total 119" xfId="38873" xr:uid="{00000000-0005-0000-0000-000006980000}"/>
    <cellStyle name="Total 12" xfId="38874" xr:uid="{00000000-0005-0000-0000-000007980000}"/>
    <cellStyle name="Total 12 2" xfId="38875" xr:uid="{00000000-0005-0000-0000-000008980000}"/>
    <cellStyle name="Total 120" xfId="38876" xr:uid="{00000000-0005-0000-0000-000009980000}"/>
    <cellStyle name="Total 121" xfId="38877" xr:uid="{00000000-0005-0000-0000-00000A980000}"/>
    <cellStyle name="Total 122" xfId="38878" xr:uid="{00000000-0005-0000-0000-00000B980000}"/>
    <cellStyle name="Total 123" xfId="38879" xr:uid="{00000000-0005-0000-0000-00000C980000}"/>
    <cellStyle name="Total 124" xfId="38880" xr:uid="{00000000-0005-0000-0000-00000D980000}"/>
    <cellStyle name="Total 125" xfId="38881" xr:uid="{00000000-0005-0000-0000-00000E980000}"/>
    <cellStyle name="Total 126" xfId="38882" xr:uid="{00000000-0005-0000-0000-00000F980000}"/>
    <cellStyle name="Total 127" xfId="38883" xr:uid="{00000000-0005-0000-0000-000010980000}"/>
    <cellStyle name="Total 128" xfId="38884" xr:uid="{00000000-0005-0000-0000-000011980000}"/>
    <cellStyle name="Total 129" xfId="38885" xr:uid="{00000000-0005-0000-0000-000012980000}"/>
    <cellStyle name="Total 13" xfId="38886" xr:uid="{00000000-0005-0000-0000-000013980000}"/>
    <cellStyle name="Total 13 2" xfId="38887" xr:uid="{00000000-0005-0000-0000-000014980000}"/>
    <cellStyle name="Total 130" xfId="38888" xr:uid="{00000000-0005-0000-0000-000015980000}"/>
    <cellStyle name="Total 131" xfId="38889" xr:uid="{00000000-0005-0000-0000-000016980000}"/>
    <cellStyle name="Total 132" xfId="38890" xr:uid="{00000000-0005-0000-0000-000017980000}"/>
    <cellStyle name="Total 133" xfId="38891" xr:uid="{00000000-0005-0000-0000-000018980000}"/>
    <cellStyle name="Total 14" xfId="38892" xr:uid="{00000000-0005-0000-0000-000019980000}"/>
    <cellStyle name="Total 14 2" xfId="38893" xr:uid="{00000000-0005-0000-0000-00001A980000}"/>
    <cellStyle name="Total 15" xfId="38894" xr:uid="{00000000-0005-0000-0000-00001B980000}"/>
    <cellStyle name="Total 15 2" xfId="38895" xr:uid="{00000000-0005-0000-0000-00001C980000}"/>
    <cellStyle name="Total 16" xfId="38896" xr:uid="{00000000-0005-0000-0000-00001D980000}"/>
    <cellStyle name="Total 16 2" xfId="38897" xr:uid="{00000000-0005-0000-0000-00001E980000}"/>
    <cellStyle name="Total 17" xfId="38898" xr:uid="{00000000-0005-0000-0000-00001F980000}"/>
    <cellStyle name="Total 17 2" xfId="38899" xr:uid="{00000000-0005-0000-0000-000020980000}"/>
    <cellStyle name="Total 18" xfId="38900" xr:uid="{00000000-0005-0000-0000-000021980000}"/>
    <cellStyle name="Total 18 2" xfId="38901" xr:uid="{00000000-0005-0000-0000-000022980000}"/>
    <cellStyle name="Total 19" xfId="38902" xr:uid="{00000000-0005-0000-0000-000023980000}"/>
    <cellStyle name="Total 19 2" xfId="38903" xr:uid="{00000000-0005-0000-0000-000024980000}"/>
    <cellStyle name="Total 2" xfId="38904" xr:uid="{00000000-0005-0000-0000-000025980000}"/>
    <cellStyle name="Total 2 2" xfId="38905" xr:uid="{00000000-0005-0000-0000-000026980000}"/>
    <cellStyle name="Total 2 2 2" xfId="38906" xr:uid="{00000000-0005-0000-0000-000027980000}"/>
    <cellStyle name="Total 2 2 2 2" xfId="38907" xr:uid="{00000000-0005-0000-0000-000028980000}"/>
    <cellStyle name="Total 2 2 2 2 2" xfId="38908" xr:uid="{00000000-0005-0000-0000-000029980000}"/>
    <cellStyle name="Total 2 3" xfId="38909" xr:uid="{00000000-0005-0000-0000-00002A980000}"/>
    <cellStyle name="Total 2 4" xfId="38910" xr:uid="{00000000-0005-0000-0000-00002B980000}"/>
    <cellStyle name="Total 2 5" xfId="41081" xr:uid="{00000000-0005-0000-0000-000039000000}"/>
    <cellStyle name="Total 20" xfId="38911" xr:uid="{00000000-0005-0000-0000-00002C980000}"/>
    <cellStyle name="Total 20 2" xfId="38912" xr:uid="{00000000-0005-0000-0000-00002D980000}"/>
    <cellStyle name="Total 21" xfId="38913" xr:uid="{00000000-0005-0000-0000-00002E980000}"/>
    <cellStyle name="Total 21 2" xfId="38914" xr:uid="{00000000-0005-0000-0000-00002F980000}"/>
    <cellStyle name="Total 22" xfId="38915" xr:uid="{00000000-0005-0000-0000-000030980000}"/>
    <cellStyle name="Total 22 2" xfId="38916" xr:uid="{00000000-0005-0000-0000-000031980000}"/>
    <cellStyle name="Total 23" xfId="38917" xr:uid="{00000000-0005-0000-0000-000032980000}"/>
    <cellStyle name="Total 23 2" xfId="38918" xr:uid="{00000000-0005-0000-0000-000033980000}"/>
    <cellStyle name="Total 24" xfId="38919" xr:uid="{00000000-0005-0000-0000-000034980000}"/>
    <cellStyle name="Total 24 2" xfId="38920" xr:uid="{00000000-0005-0000-0000-000035980000}"/>
    <cellStyle name="Total 25" xfId="38921" xr:uid="{00000000-0005-0000-0000-000036980000}"/>
    <cellStyle name="Total 25 2" xfId="38922" xr:uid="{00000000-0005-0000-0000-000037980000}"/>
    <cellStyle name="Total 26" xfId="38923" xr:uid="{00000000-0005-0000-0000-000038980000}"/>
    <cellStyle name="Total 26 2" xfId="38924" xr:uid="{00000000-0005-0000-0000-000039980000}"/>
    <cellStyle name="Total 27" xfId="38925" xr:uid="{00000000-0005-0000-0000-00003A980000}"/>
    <cellStyle name="Total 27 2" xfId="38926" xr:uid="{00000000-0005-0000-0000-00003B980000}"/>
    <cellStyle name="Total 28" xfId="38927" xr:uid="{00000000-0005-0000-0000-00003C980000}"/>
    <cellStyle name="Total 28 2" xfId="38928" xr:uid="{00000000-0005-0000-0000-00003D980000}"/>
    <cellStyle name="Total 29" xfId="38929" xr:uid="{00000000-0005-0000-0000-00003E980000}"/>
    <cellStyle name="Total 29 2" xfId="38930" xr:uid="{00000000-0005-0000-0000-00003F980000}"/>
    <cellStyle name="Total 3" xfId="38931" xr:uid="{00000000-0005-0000-0000-000040980000}"/>
    <cellStyle name="Total 3 2" xfId="38932" xr:uid="{00000000-0005-0000-0000-000041980000}"/>
    <cellStyle name="Total 3 2 2" xfId="38933" xr:uid="{00000000-0005-0000-0000-000042980000}"/>
    <cellStyle name="Total 3 3" xfId="38934" xr:uid="{00000000-0005-0000-0000-000043980000}"/>
    <cellStyle name="Total 3 4" xfId="38935" xr:uid="{00000000-0005-0000-0000-000044980000}"/>
    <cellStyle name="Total 3_MAR 2009" xfId="38936" xr:uid="{00000000-0005-0000-0000-000045980000}"/>
    <cellStyle name="Total 30" xfId="38937" xr:uid="{00000000-0005-0000-0000-000046980000}"/>
    <cellStyle name="Total 30 2" xfId="38938" xr:uid="{00000000-0005-0000-0000-000047980000}"/>
    <cellStyle name="Total 31" xfId="38939" xr:uid="{00000000-0005-0000-0000-000048980000}"/>
    <cellStyle name="Total 31 2" xfId="38940" xr:uid="{00000000-0005-0000-0000-000049980000}"/>
    <cellStyle name="Total 32" xfId="38941" xr:uid="{00000000-0005-0000-0000-00004A980000}"/>
    <cellStyle name="Total 32 2" xfId="38942" xr:uid="{00000000-0005-0000-0000-00004B980000}"/>
    <cellStyle name="Total 33" xfId="38943" xr:uid="{00000000-0005-0000-0000-00004C980000}"/>
    <cellStyle name="Total 33 2" xfId="38944" xr:uid="{00000000-0005-0000-0000-00004D980000}"/>
    <cellStyle name="Total 34" xfId="38945" xr:uid="{00000000-0005-0000-0000-00004E980000}"/>
    <cellStyle name="Total 34 2" xfId="38946" xr:uid="{00000000-0005-0000-0000-00004F980000}"/>
    <cellStyle name="Total 35" xfId="38947" xr:uid="{00000000-0005-0000-0000-000050980000}"/>
    <cellStyle name="Total 35 2" xfId="38948" xr:uid="{00000000-0005-0000-0000-000051980000}"/>
    <cellStyle name="Total 36" xfId="38949" xr:uid="{00000000-0005-0000-0000-000052980000}"/>
    <cellStyle name="Total 36 2" xfId="38950" xr:uid="{00000000-0005-0000-0000-000053980000}"/>
    <cellStyle name="Total 37" xfId="38951" xr:uid="{00000000-0005-0000-0000-000054980000}"/>
    <cellStyle name="Total 37 2" xfId="38952" xr:uid="{00000000-0005-0000-0000-000055980000}"/>
    <cellStyle name="Total 38" xfId="38953" xr:uid="{00000000-0005-0000-0000-000056980000}"/>
    <cellStyle name="Total 38 2" xfId="38954" xr:uid="{00000000-0005-0000-0000-000057980000}"/>
    <cellStyle name="Total 39" xfId="38955" xr:uid="{00000000-0005-0000-0000-000058980000}"/>
    <cellStyle name="Total 39 2" xfId="38956" xr:uid="{00000000-0005-0000-0000-000059980000}"/>
    <cellStyle name="Total 4" xfId="38957" xr:uid="{00000000-0005-0000-0000-00005A980000}"/>
    <cellStyle name="Total 4 2" xfId="38958" xr:uid="{00000000-0005-0000-0000-00005B980000}"/>
    <cellStyle name="Total 4 2 2" xfId="38959" xr:uid="{00000000-0005-0000-0000-00005C980000}"/>
    <cellStyle name="Total 4 3" xfId="38960" xr:uid="{00000000-0005-0000-0000-00005D980000}"/>
    <cellStyle name="Total 40" xfId="38961" xr:uid="{00000000-0005-0000-0000-00005E980000}"/>
    <cellStyle name="Total 40 2" xfId="38962" xr:uid="{00000000-0005-0000-0000-00005F980000}"/>
    <cellStyle name="Total 41" xfId="38963" xr:uid="{00000000-0005-0000-0000-000060980000}"/>
    <cellStyle name="Total 41 2" xfId="38964" xr:uid="{00000000-0005-0000-0000-000061980000}"/>
    <cellStyle name="Total 42" xfId="38965" xr:uid="{00000000-0005-0000-0000-000062980000}"/>
    <cellStyle name="Total 42 2" xfId="38966" xr:uid="{00000000-0005-0000-0000-000063980000}"/>
    <cellStyle name="Total 43" xfId="38967" xr:uid="{00000000-0005-0000-0000-000064980000}"/>
    <cellStyle name="Total 43 2" xfId="38968" xr:uid="{00000000-0005-0000-0000-000065980000}"/>
    <cellStyle name="Total 44" xfId="38969" xr:uid="{00000000-0005-0000-0000-000066980000}"/>
    <cellStyle name="Total 44 2" xfId="38970" xr:uid="{00000000-0005-0000-0000-000067980000}"/>
    <cellStyle name="Total 45" xfId="38971" xr:uid="{00000000-0005-0000-0000-000068980000}"/>
    <cellStyle name="Total 45 2" xfId="38972" xr:uid="{00000000-0005-0000-0000-000069980000}"/>
    <cellStyle name="Total 46" xfId="38973" xr:uid="{00000000-0005-0000-0000-00006A980000}"/>
    <cellStyle name="Total 46 2" xfId="38974" xr:uid="{00000000-0005-0000-0000-00006B980000}"/>
    <cellStyle name="Total 47" xfId="38975" xr:uid="{00000000-0005-0000-0000-00006C980000}"/>
    <cellStyle name="Total 47 2" xfId="38976" xr:uid="{00000000-0005-0000-0000-00006D980000}"/>
    <cellStyle name="Total 48" xfId="38977" xr:uid="{00000000-0005-0000-0000-00006E980000}"/>
    <cellStyle name="Total 48 2" xfId="38978" xr:uid="{00000000-0005-0000-0000-00006F980000}"/>
    <cellStyle name="Total 49" xfId="38979" xr:uid="{00000000-0005-0000-0000-000070980000}"/>
    <cellStyle name="Total 49 2" xfId="38980" xr:uid="{00000000-0005-0000-0000-000071980000}"/>
    <cellStyle name="Total 5" xfId="38981" xr:uid="{00000000-0005-0000-0000-000072980000}"/>
    <cellStyle name="Total 5 2" xfId="38982" xr:uid="{00000000-0005-0000-0000-000073980000}"/>
    <cellStyle name="Total 5 2 2" xfId="38983" xr:uid="{00000000-0005-0000-0000-000074980000}"/>
    <cellStyle name="Total 5 3" xfId="38984" xr:uid="{00000000-0005-0000-0000-000075980000}"/>
    <cellStyle name="Total 50" xfId="38985" xr:uid="{00000000-0005-0000-0000-000076980000}"/>
    <cellStyle name="Total 50 2" xfId="38986" xr:uid="{00000000-0005-0000-0000-000077980000}"/>
    <cellStyle name="Total 51" xfId="38987" xr:uid="{00000000-0005-0000-0000-000078980000}"/>
    <cellStyle name="Total 51 2" xfId="38988" xr:uid="{00000000-0005-0000-0000-000079980000}"/>
    <cellStyle name="Total 52" xfId="38989" xr:uid="{00000000-0005-0000-0000-00007A980000}"/>
    <cellStyle name="Total 52 2" xfId="38990" xr:uid="{00000000-0005-0000-0000-00007B980000}"/>
    <cellStyle name="Total 53" xfId="38991" xr:uid="{00000000-0005-0000-0000-00007C980000}"/>
    <cellStyle name="Total 53 2" xfId="38992" xr:uid="{00000000-0005-0000-0000-00007D980000}"/>
    <cellStyle name="Total 54" xfId="38993" xr:uid="{00000000-0005-0000-0000-00007E980000}"/>
    <cellStyle name="Total 54 2" xfId="38994" xr:uid="{00000000-0005-0000-0000-00007F980000}"/>
    <cellStyle name="Total 55" xfId="38995" xr:uid="{00000000-0005-0000-0000-000080980000}"/>
    <cellStyle name="Total 55 2" xfId="38996" xr:uid="{00000000-0005-0000-0000-000081980000}"/>
    <cellStyle name="Total 56" xfId="38997" xr:uid="{00000000-0005-0000-0000-000082980000}"/>
    <cellStyle name="Total 56 2" xfId="38998" xr:uid="{00000000-0005-0000-0000-000083980000}"/>
    <cellStyle name="Total 57" xfId="38999" xr:uid="{00000000-0005-0000-0000-000084980000}"/>
    <cellStyle name="Total 57 2" xfId="39000" xr:uid="{00000000-0005-0000-0000-000085980000}"/>
    <cellStyle name="Total 58" xfId="39001" xr:uid="{00000000-0005-0000-0000-000086980000}"/>
    <cellStyle name="Total 58 2" xfId="39002" xr:uid="{00000000-0005-0000-0000-000087980000}"/>
    <cellStyle name="Total 59" xfId="39003" xr:uid="{00000000-0005-0000-0000-000088980000}"/>
    <cellStyle name="Total 6" xfId="39004" xr:uid="{00000000-0005-0000-0000-000089980000}"/>
    <cellStyle name="Total 6 2" xfId="39005" xr:uid="{00000000-0005-0000-0000-00008A980000}"/>
    <cellStyle name="Total 6 3" xfId="39006" xr:uid="{00000000-0005-0000-0000-00008B980000}"/>
    <cellStyle name="Total 60" xfId="39007" xr:uid="{00000000-0005-0000-0000-00008C980000}"/>
    <cellStyle name="Total 61" xfId="39008" xr:uid="{00000000-0005-0000-0000-00008D980000}"/>
    <cellStyle name="Total 62" xfId="39009" xr:uid="{00000000-0005-0000-0000-00008E980000}"/>
    <cellStyle name="Total 63" xfId="39010" xr:uid="{00000000-0005-0000-0000-00008F980000}"/>
    <cellStyle name="Total 63 2" xfId="39011" xr:uid="{00000000-0005-0000-0000-000090980000}"/>
    <cellStyle name="Total 64" xfId="39012" xr:uid="{00000000-0005-0000-0000-000091980000}"/>
    <cellStyle name="Total 64 2" xfId="39013" xr:uid="{00000000-0005-0000-0000-000092980000}"/>
    <cellStyle name="Total 65" xfId="39014" xr:uid="{00000000-0005-0000-0000-000093980000}"/>
    <cellStyle name="Total 65 2" xfId="39015" xr:uid="{00000000-0005-0000-0000-000094980000}"/>
    <cellStyle name="Total 66" xfId="39016" xr:uid="{00000000-0005-0000-0000-000095980000}"/>
    <cellStyle name="Total 66 2" xfId="39017" xr:uid="{00000000-0005-0000-0000-000096980000}"/>
    <cellStyle name="Total 67" xfId="39018" xr:uid="{00000000-0005-0000-0000-000097980000}"/>
    <cellStyle name="Total 67 2" xfId="39019" xr:uid="{00000000-0005-0000-0000-000098980000}"/>
    <cellStyle name="Total 68" xfId="39020" xr:uid="{00000000-0005-0000-0000-000099980000}"/>
    <cellStyle name="Total 68 2" xfId="39021" xr:uid="{00000000-0005-0000-0000-00009A980000}"/>
    <cellStyle name="Total 69" xfId="39022" xr:uid="{00000000-0005-0000-0000-00009B980000}"/>
    <cellStyle name="Total 69 2" xfId="39023" xr:uid="{00000000-0005-0000-0000-00009C980000}"/>
    <cellStyle name="Total 7" xfId="39024" xr:uid="{00000000-0005-0000-0000-00009D980000}"/>
    <cellStyle name="Total 7 2" xfId="39025" xr:uid="{00000000-0005-0000-0000-00009E980000}"/>
    <cellStyle name="Total 70" xfId="39026" xr:uid="{00000000-0005-0000-0000-00009F980000}"/>
    <cellStyle name="Total 70 2" xfId="39027" xr:uid="{00000000-0005-0000-0000-0000A0980000}"/>
    <cellStyle name="Total 71" xfId="39028" xr:uid="{00000000-0005-0000-0000-0000A1980000}"/>
    <cellStyle name="Total 71 2" xfId="39029" xr:uid="{00000000-0005-0000-0000-0000A2980000}"/>
    <cellStyle name="Total 72" xfId="39030" xr:uid="{00000000-0005-0000-0000-0000A3980000}"/>
    <cellStyle name="Total 72 2" xfId="39031" xr:uid="{00000000-0005-0000-0000-0000A4980000}"/>
    <cellStyle name="Total 73" xfId="39032" xr:uid="{00000000-0005-0000-0000-0000A5980000}"/>
    <cellStyle name="Total 73 2" xfId="39033" xr:uid="{00000000-0005-0000-0000-0000A6980000}"/>
    <cellStyle name="Total 74" xfId="39034" xr:uid="{00000000-0005-0000-0000-0000A7980000}"/>
    <cellStyle name="Total 74 2" xfId="39035" xr:uid="{00000000-0005-0000-0000-0000A8980000}"/>
    <cellStyle name="Total 75" xfId="39036" xr:uid="{00000000-0005-0000-0000-0000A9980000}"/>
    <cellStyle name="Total 75 2" xfId="39037" xr:uid="{00000000-0005-0000-0000-0000AA980000}"/>
    <cellStyle name="Total 76" xfId="39038" xr:uid="{00000000-0005-0000-0000-0000AB980000}"/>
    <cellStyle name="Total 76 2" xfId="39039" xr:uid="{00000000-0005-0000-0000-0000AC980000}"/>
    <cellStyle name="Total 77" xfId="39040" xr:uid="{00000000-0005-0000-0000-0000AD980000}"/>
    <cellStyle name="Total 77 2" xfId="39041" xr:uid="{00000000-0005-0000-0000-0000AE980000}"/>
    <cellStyle name="Total 78" xfId="39042" xr:uid="{00000000-0005-0000-0000-0000AF980000}"/>
    <cellStyle name="Total 78 2" xfId="39043" xr:uid="{00000000-0005-0000-0000-0000B0980000}"/>
    <cellStyle name="Total 79" xfId="39044" xr:uid="{00000000-0005-0000-0000-0000B1980000}"/>
    <cellStyle name="Total 79 2" xfId="39045" xr:uid="{00000000-0005-0000-0000-0000B2980000}"/>
    <cellStyle name="Total 8" xfId="39046" xr:uid="{00000000-0005-0000-0000-0000B3980000}"/>
    <cellStyle name="Total 8 2" xfId="39047" xr:uid="{00000000-0005-0000-0000-0000B4980000}"/>
    <cellStyle name="Total 80" xfId="39048" xr:uid="{00000000-0005-0000-0000-0000B5980000}"/>
    <cellStyle name="Total 80 2" xfId="39049" xr:uid="{00000000-0005-0000-0000-0000B6980000}"/>
    <cellStyle name="Total 81" xfId="39050" xr:uid="{00000000-0005-0000-0000-0000B7980000}"/>
    <cellStyle name="Total 81 2" xfId="39051" xr:uid="{00000000-0005-0000-0000-0000B8980000}"/>
    <cellStyle name="Total 82" xfId="39052" xr:uid="{00000000-0005-0000-0000-0000B9980000}"/>
    <cellStyle name="Total 82 2" xfId="39053" xr:uid="{00000000-0005-0000-0000-0000BA980000}"/>
    <cellStyle name="Total 83" xfId="39054" xr:uid="{00000000-0005-0000-0000-0000BB980000}"/>
    <cellStyle name="Total 83 2" xfId="39055" xr:uid="{00000000-0005-0000-0000-0000BC980000}"/>
    <cellStyle name="Total 84" xfId="39056" xr:uid="{00000000-0005-0000-0000-0000BD980000}"/>
    <cellStyle name="Total 84 2" xfId="39057" xr:uid="{00000000-0005-0000-0000-0000BE980000}"/>
    <cellStyle name="Total 85" xfId="39058" xr:uid="{00000000-0005-0000-0000-0000BF980000}"/>
    <cellStyle name="Total 85 2" xfId="39059" xr:uid="{00000000-0005-0000-0000-0000C0980000}"/>
    <cellStyle name="Total 86" xfId="39060" xr:uid="{00000000-0005-0000-0000-0000C1980000}"/>
    <cellStyle name="Total 86 2" xfId="39061" xr:uid="{00000000-0005-0000-0000-0000C2980000}"/>
    <cellStyle name="Total 87" xfId="39062" xr:uid="{00000000-0005-0000-0000-0000C3980000}"/>
    <cellStyle name="Total 87 2" xfId="39063" xr:uid="{00000000-0005-0000-0000-0000C4980000}"/>
    <cellStyle name="Total 88" xfId="39064" xr:uid="{00000000-0005-0000-0000-0000C5980000}"/>
    <cellStyle name="Total 89" xfId="39065" xr:uid="{00000000-0005-0000-0000-0000C6980000}"/>
    <cellStyle name="Total 89 2" xfId="39066" xr:uid="{00000000-0005-0000-0000-0000C7980000}"/>
    <cellStyle name="Total 9" xfId="39067" xr:uid="{00000000-0005-0000-0000-0000C8980000}"/>
    <cellStyle name="Total 9 2" xfId="39068" xr:uid="{00000000-0005-0000-0000-0000C9980000}"/>
    <cellStyle name="Total 90" xfId="39069" xr:uid="{00000000-0005-0000-0000-0000CA980000}"/>
    <cellStyle name="Total 90 2" xfId="39070" xr:uid="{00000000-0005-0000-0000-0000CB980000}"/>
    <cellStyle name="Total 91" xfId="39071" xr:uid="{00000000-0005-0000-0000-0000CC980000}"/>
    <cellStyle name="Total 91 2" xfId="39072" xr:uid="{00000000-0005-0000-0000-0000CD980000}"/>
    <cellStyle name="Total 92" xfId="39073" xr:uid="{00000000-0005-0000-0000-0000CE980000}"/>
    <cellStyle name="Total 92 2" xfId="39074" xr:uid="{00000000-0005-0000-0000-0000CF980000}"/>
    <cellStyle name="Total 93" xfId="39075" xr:uid="{00000000-0005-0000-0000-0000D0980000}"/>
    <cellStyle name="Total 93 2" xfId="39076" xr:uid="{00000000-0005-0000-0000-0000D1980000}"/>
    <cellStyle name="Total 94" xfId="39077" xr:uid="{00000000-0005-0000-0000-0000D2980000}"/>
    <cellStyle name="Total 94 2" xfId="39078" xr:uid="{00000000-0005-0000-0000-0000D3980000}"/>
    <cellStyle name="Total 95" xfId="39079" xr:uid="{00000000-0005-0000-0000-0000D4980000}"/>
    <cellStyle name="Total 96" xfId="39080" xr:uid="{00000000-0005-0000-0000-0000D5980000}"/>
    <cellStyle name="Total 97" xfId="39081" xr:uid="{00000000-0005-0000-0000-0000D6980000}"/>
    <cellStyle name="Total 98" xfId="39082" xr:uid="{00000000-0005-0000-0000-0000D7980000}"/>
    <cellStyle name="Total 99" xfId="39083" xr:uid="{00000000-0005-0000-0000-0000D8980000}"/>
    <cellStyle name="Warning Text" xfId="41015" builtinId="11" customBuiltin="1"/>
    <cellStyle name="Warning Text 10" xfId="39084" xr:uid="{00000000-0005-0000-0000-0000DA980000}"/>
    <cellStyle name="Warning Text 10 10" xfId="39085" xr:uid="{00000000-0005-0000-0000-0000DB980000}"/>
    <cellStyle name="Warning Text 10 11" xfId="39086" xr:uid="{00000000-0005-0000-0000-0000DC980000}"/>
    <cellStyle name="Warning Text 10 12" xfId="39087" xr:uid="{00000000-0005-0000-0000-0000DD980000}"/>
    <cellStyle name="Warning Text 10 13" xfId="39088" xr:uid="{00000000-0005-0000-0000-0000DE980000}"/>
    <cellStyle name="Warning Text 10 14" xfId="39089" xr:uid="{00000000-0005-0000-0000-0000DF980000}"/>
    <cellStyle name="Warning Text 10 15" xfId="39090" xr:uid="{00000000-0005-0000-0000-0000E0980000}"/>
    <cellStyle name="Warning Text 10 16" xfId="39091" xr:uid="{00000000-0005-0000-0000-0000E1980000}"/>
    <cellStyle name="Warning Text 10 17" xfId="39092" xr:uid="{00000000-0005-0000-0000-0000E2980000}"/>
    <cellStyle name="Warning Text 10 18" xfId="39093" xr:uid="{00000000-0005-0000-0000-0000E3980000}"/>
    <cellStyle name="Warning Text 10 19" xfId="39094" xr:uid="{00000000-0005-0000-0000-0000E4980000}"/>
    <cellStyle name="Warning Text 10 2" xfId="39095" xr:uid="{00000000-0005-0000-0000-0000E5980000}"/>
    <cellStyle name="Warning Text 10 20" xfId="39096" xr:uid="{00000000-0005-0000-0000-0000E6980000}"/>
    <cellStyle name="Warning Text 10 21" xfId="39097" xr:uid="{00000000-0005-0000-0000-0000E7980000}"/>
    <cellStyle name="Warning Text 10 22" xfId="39098" xr:uid="{00000000-0005-0000-0000-0000E8980000}"/>
    <cellStyle name="Warning Text 10 23" xfId="39099" xr:uid="{00000000-0005-0000-0000-0000E9980000}"/>
    <cellStyle name="Warning Text 10 24" xfId="39100" xr:uid="{00000000-0005-0000-0000-0000EA980000}"/>
    <cellStyle name="Warning Text 10 25" xfId="39101" xr:uid="{00000000-0005-0000-0000-0000EB980000}"/>
    <cellStyle name="Warning Text 10 26" xfId="39102" xr:uid="{00000000-0005-0000-0000-0000EC980000}"/>
    <cellStyle name="Warning Text 10 27" xfId="39103" xr:uid="{00000000-0005-0000-0000-0000ED980000}"/>
    <cellStyle name="Warning Text 10 28" xfId="39104" xr:uid="{00000000-0005-0000-0000-0000EE980000}"/>
    <cellStyle name="Warning Text 10 29" xfId="39105" xr:uid="{00000000-0005-0000-0000-0000EF980000}"/>
    <cellStyle name="Warning Text 10 3" xfId="39106" xr:uid="{00000000-0005-0000-0000-0000F0980000}"/>
    <cellStyle name="Warning Text 10 30" xfId="39107" xr:uid="{00000000-0005-0000-0000-0000F1980000}"/>
    <cellStyle name="Warning Text 10 31" xfId="39108" xr:uid="{00000000-0005-0000-0000-0000F2980000}"/>
    <cellStyle name="Warning Text 10 32" xfId="39109" xr:uid="{00000000-0005-0000-0000-0000F3980000}"/>
    <cellStyle name="Warning Text 10 33" xfId="39110" xr:uid="{00000000-0005-0000-0000-0000F4980000}"/>
    <cellStyle name="Warning Text 10 34" xfId="39111" xr:uid="{00000000-0005-0000-0000-0000F5980000}"/>
    <cellStyle name="Warning Text 10 35" xfId="39112" xr:uid="{00000000-0005-0000-0000-0000F6980000}"/>
    <cellStyle name="Warning Text 10 36" xfId="39113" xr:uid="{00000000-0005-0000-0000-0000F7980000}"/>
    <cellStyle name="Warning Text 10 4" xfId="39114" xr:uid="{00000000-0005-0000-0000-0000F8980000}"/>
    <cellStyle name="Warning Text 10 5" xfId="39115" xr:uid="{00000000-0005-0000-0000-0000F9980000}"/>
    <cellStyle name="Warning Text 10 6" xfId="39116" xr:uid="{00000000-0005-0000-0000-0000FA980000}"/>
    <cellStyle name="Warning Text 10 7" xfId="39117" xr:uid="{00000000-0005-0000-0000-0000FB980000}"/>
    <cellStyle name="Warning Text 10 8" xfId="39118" xr:uid="{00000000-0005-0000-0000-0000FC980000}"/>
    <cellStyle name="Warning Text 10 9" xfId="39119" xr:uid="{00000000-0005-0000-0000-0000FD980000}"/>
    <cellStyle name="Warning Text 100" xfId="39120" xr:uid="{00000000-0005-0000-0000-0000FE980000}"/>
    <cellStyle name="Warning Text 101" xfId="39121" xr:uid="{00000000-0005-0000-0000-0000FF980000}"/>
    <cellStyle name="Warning Text 102" xfId="39122" xr:uid="{00000000-0005-0000-0000-000000990000}"/>
    <cellStyle name="Warning Text 103" xfId="39123" xr:uid="{00000000-0005-0000-0000-000001990000}"/>
    <cellStyle name="Warning Text 104" xfId="39124" xr:uid="{00000000-0005-0000-0000-000002990000}"/>
    <cellStyle name="Warning Text 105" xfId="39125" xr:uid="{00000000-0005-0000-0000-000003990000}"/>
    <cellStyle name="Warning Text 106" xfId="39126" xr:uid="{00000000-0005-0000-0000-000004990000}"/>
    <cellStyle name="Warning Text 107" xfId="39127" xr:uid="{00000000-0005-0000-0000-000005990000}"/>
    <cellStyle name="Warning Text 108" xfId="39128" xr:uid="{00000000-0005-0000-0000-000006990000}"/>
    <cellStyle name="Warning Text 109" xfId="39129" xr:uid="{00000000-0005-0000-0000-000007990000}"/>
    <cellStyle name="Warning Text 11" xfId="39130" xr:uid="{00000000-0005-0000-0000-000008990000}"/>
    <cellStyle name="Warning Text 11 10" xfId="39131" xr:uid="{00000000-0005-0000-0000-000009990000}"/>
    <cellStyle name="Warning Text 11 11" xfId="39132" xr:uid="{00000000-0005-0000-0000-00000A990000}"/>
    <cellStyle name="Warning Text 11 12" xfId="39133" xr:uid="{00000000-0005-0000-0000-00000B990000}"/>
    <cellStyle name="Warning Text 11 13" xfId="39134" xr:uid="{00000000-0005-0000-0000-00000C990000}"/>
    <cellStyle name="Warning Text 11 14" xfId="39135" xr:uid="{00000000-0005-0000-0000-00000D990000}"/>
    <cellStyle name="Warning Text 11 15" xfId="39136" xr:uid="{00000000-0005-0000-0000-00000E990000}"/>
    <cellStyle name="Warning Text 11 16" xfId="39137" xr:uid="{00000000-0005-0000-0000-00000F990000}"/>
    <cellStyle name="Warning Text 11 17" xfId="39138" xr:uid="{00000000-0005-0000-0000-000010990000}"/>
    <cellStyle name="Warning Text 11 18" xfId="39139" xr:uid="{00000000-0005-0000-0000-000011990000}"/>
    <cellStyle name="Warning Text 11 19" xfId="39140" xr:uid="{00000000-0005-0000-0000-000012990000}"/>
    <cellStyle name="Warning Text 11 2" xfId="39141" xr:uid="{00000000-0005-0000-0000-000013990000}"/>
    <cellStyle name="Warning Text 11 20" xfId="39142" xr:uid="{00000000-0005-0000-0000-000014990000}"/>
    <cellStyle name="Warning Text 11 21" xfId="39143" xr:uid="{00000000-0005-0000-0000-000015990000}"/>
    <cellStyle name="Warning Text 11 22" xfId="39144" xr:uid="{00000000-0005-0000-0000-000016990000}"/>
    <cellStyle name="Warning Text 11 23" xfId="39145" xr:uid="{00000000-0005-0000-0000-000017990000}"/>
    <cellStyle name="Warning Text 11 24" xfId="39146" xr:uid="{00000000-0005-0000-0000-000018990000}"/>
    <cellStyle name="Warning Text 11 25" xfId="39147" xr:uid="{00000000-0005-0000-0000-000019990000}"/>
    <cellStyle name="Warning Text 11 26" xfId="39148" xr:uid="{00000000-0005-0000-0000-00001A990000}"/>
    <cellStyle name="Warning Text 11 27" xfId="39149" xr:uid="{00000000-0005-0000-0000-00001B990000}"/>
    <cellStyle name="Warning Text 11 28" xfId="39150" xr:uid="{00000000-0005-0000-0000-00001C990000}"/>
    <cellStyle name="Warning Text 11 29" xfId="39151" xr:uid="{00000000-0005-0000-0000-00001D990000}"/>
    <cellStyle name="Warning Text 11 3" xfId="39152" xr:uid="{00000000-0005-0000-0000-00001E990000}"/>
    <cellStyle name="Warning Text 11 30" xfId="39153" xr:uid="{00000000-0005-0000-0000-00001F990000}"/>
    <cellStyle name="Warning Text 11 31" xfId="39154" xr:uid="{00000000-0005-0000-0000-000020990000}"/>
    <cellStyle name="Warning Text 11 32" xfId="39155" xr:uid="{00000000-0005-0000-0000-000021990000}"/>
    <cellStyle name="Warning Text 11 33" xfId="39156" xr:uid="{00000000-0005-0000-0000-000022990000}"/>
    <cellStyle name="Warning Text 11 34" xfId="39157" xr:uid="{00000000-0005-0000-0000-000023990000}"/>
    <cellStyle name="Warning Text 11 35" xfId="39158" xr:uid="{00000000-0005-0000-0000-000024990000}"/>
    <cellStyle name="Warning Text 11 36" xfId="39159" xr:uid="{00000000-0005-0000-0000-000025990000}"/>
    <cellStyle name="Warning Text 11 4" xfId="39160" xr:uid="{00000000-0005-0000-0000-000026990000}"/>
    <cellStyle name="Warning Text 11 5" xfId="39161" xr:uid="{00000000-0005-0000-0000-000027990000}"/>
    <cellStyle name="Warning Text 11 6" xfId="39162" xr:uid="{00000000-0005-0000-0000-000028990000}"/>
    <cellStyle name="Warning Text 11 7" xfId="39163" xr:uid="{00000000-0005-0000-0000-000029990000}"/>
    <cellStyle name="Warning Text 11 8" xfId="39164" xr:uid="{00000000-0005-0000-0000-00002A990000}"/>
    <cellStyle name="Warning Text 11 9" xfId="39165" xr:uid="{00000000-0005-0000-0000-00002B990000}"/>
    <cellStyle name="Warning Text 110" xfId="39166" xr:uid="{00000000-0005-0000-0000-00002C990000}"/>
    <cellStyle name="Warning Text 111" xfId="39167" xr:uid="{00000000-0005-0000-0000-00002D990000}"/>
    <cellStyle name="Warning Text 112" xfId="39168" xr:uid="{00000000-0005-0000-0000-00002E990000}"/>
    <cellStyle name="Warning Text 113" xfId="39169" xr:uid="{00000000-0005-0000-0000-00002F990000}"/>
    <cellStyle name="Warning Text 114" xfId="39170" xr:uid="{00000000-0005-0000-0000-000030990000}"/>
    <cellStyle name="Warning Text 115" xfId="39171" xr:uid="{00000000-0005-0000-0000-000031990000}"/>
    <cellStyle name="Warning Text 116" xfId="39172" xr:uid="{00000000-0005-0000-0000-000032990000}"/>
    <cellStyle name="Warning Text 117" xfId="39173" xr:uid="{00000000-0005-0000-0000-000033990000}"/>
    <cellStyle name="Warning Text 118" xfId="39174" xr:uid="{00000000-0005-0000-0000-000034990000}"/>
    <cellStyle name="Warning Text 119" xfId="39175" xr:uid="{00000000-0005-0000-0000-000035990000}"/>
    <cellStyle name="Warning Text 12" xfId="39176" xr:uid="{00000000-0005-0000-0000-000036990000}"/>
    <cellStyle name="Warning Text 12 10" xfId="39177" xr:uid="{00000000-0005-0000-0000-000037990000}"/>
    <cellStyle name="Warning Text 12 11" xfId="39178" xr:uid="{00000000-0005-0000-0000-000038990000}"/>
    <cellStyle name="Warning Text 12 12" xfId="39179" xr:uid="{00000000-0005-0000-0000-000039990000}"/>
    <cellStyle name="Warning Text 12 13" xfId="39180" xr:uid="{00000000-0005-0000-0000-00003A990000}"/>
    <cellStyle name="Warning Text 12 14" xfId="39181" xr:uid="{00000000-0005-0000-0000-00003B990000}"/>
    <cellStyle name="Warning Text 12 15" xfId="39182" xr:uid="{00000000-0005-0000-0000-00003C990000}"/>
    <cellStyle name="Warning Text 12 16" xfId="39183" xr:uid="{00000000-0005-0000-0000-00003D990000}"/>
    <cellStyle name="Warning Text 12 17" xfId="39184" xr:uid="{00000000-0005-0000-0000-00003E990000}"/>
    <cellStyle name="Warning Text 12 18" xfId="39185" xr:uid="{00000000-0005-0000-0000-00003F990000}"/>
    <cellStyle name="Warning Text 12 19" xfId="39186" xr:uid="{00000000-0005-0000-0000-000040990000}"/>
    <cellStyle name="Warning Text 12 2" xfId="39187" xr:uid="{00000000-0005-0000-0000-000041990000}"/>
    <cellStyle name="Warning Text 12 20" xfId="39188" xr:uid="{00000000-0005-0000-0000-000042990000}"/>
    <cellStyle name="Warning Text 12 21" xfId="39189" xr:uid="{00000000-0005-0000-0000-000043990000}"/>
    <cellStyle name="Warning Text 12 22" xfId="39190" xr:uid="{00000000-0005-0000-0000-000044990000}"/>
    <cellStyle name="Warning Text 12 23" xfId="39191" xr:uid="{00000000-0005-0000-0000-000045990000}"/>
    <cellStyle name="Warning Text 12 24" xfId="39192" xr:uid="{00000000-0005-0000-0000-000046990000}"/>
    <cellStyle name="Warning Text 12 25" xfId="39193" xr:uid="{00000000-0005-0000-0000-000047990000}"/>
    <cellStyle name="Warning Text 12 26" xfId="39194" xr:uid="{00000000-0005-0000-0000-000048990000}"/>
    <cellStyle name="Warning Text 12 27" xfId="39195" xr:uid="{00000000-0005-0000-0000-000049990000}"/>
    <cellStyle name="Warning Text 12 28" xfId="39196" xr:uid="{00000000-0005-0000-0000-00004A990000}"/>
    <cellStyle name="Warning Text 12 29" xfId="39197" xr:uid="{00000000-0005-0000-0000-00004B990000}"/>
    <cellStyle name="Warning Text 12 3" xfId="39198" xr:uid="{00000000-0005-0000-0000-00004C990000}"/>
    <cellStyle name="Warning Text 12 30" xfId="39199" xr:uid="{00000000-0005-0000-0000-00004D990000}"/>
    <cellStyle name="Warning Text 12 31" xfId="39200" xr:uid="{00000000-0005-0000-0000-00004E990000}"/>
    <cellStyle name="Warning Text 12 32" xfId="39201" xr:uid="{00000000-0005-0000-0000-00004F990000}"/>
    <cellStyle name="Warning Text 12 33" xfId="39202" xr:uid="{00000000-0005-0000-0000-000050990000}"/>
    <cellStyle name="Warning Text 12 34" xfId="39203" xr:uid="{00000000-0005-0000-0000-000051990000}"/>
    <cellStyle name="Warning Text 12 35" xfId="39204" xr:uid="{00000000-0005-0000-0000-000052990000}"/>
    <cellStyle name="Warning Text 12 36" xfId="39205" xr:uid="{00000000-0005-0000-0000-000053990000}"/>
    <cellStyle name="Warning Text 12 4" xfId="39206" xr:uid="{00000000-0005-0000-0000-000054990000}"/>
    <cellStyle name="Warning Text 12 5" xfId="39207" xr:uid="{00000000-0005-0000-0000-000055990000}"/>
    <cellStyle name="Warning Text 12 6" xfId="39208" xr:uid="{00000000-0005-0000-0000-000056990000}"/>
    <cellStyle name="Warning Text 12 7" xfId="39209" xr:uid="{00000000-0005-0000-0000-000057990000}"/>
    <cellStyle name="Warning Text 12 8" xfId="39210" xr:uid="{00000000-0005-0000-0000-000058990000}"/>
    <cellStyle name="Warning Text 12 9" xfId="39211" xr:uid="{00000000-0005-0000-0000-000059990000}"/>
    <cellStyle name="Warning Text 120" xfId="39212" xr:uid="{00000000-0005-0000-0000-00005A990000}"/>
    <cellStyle name="Warning Text 121" xfId="39213" xr:uid="{00000000-0005-0000-0000-00005B990000}"/>
    <cellStyle name="Warning Text 122" xfId="39214" xr:uid="{00000000-0005-0000-0000-00005C990000}"/>
    <cellStyle name="Warning Text 123" xfId="39215" xr:uid="{00000000-0005-0000-0000-00005D990000}"/>
    <cellStyle name="Warning Text 124" xfId="39216" xr:uid="{00000000-0005-0000-0000-00005E990000}"/>
    <cellStyle name="Warning Text 125" xfId="39217" xr:uid="{00000000-0005-0000-0000-00005F990000}"/>
    <cellStyle name="Warning Text 126" xfId="39218" xr:uid="{00000000-0005-0000-0000-000060990000}"/>
    <cellStyle name="Warning Text 127" xfId="39219" xr:uid="{00000000-0005-0000-0000-000061990000}"/>
    <cellStyle name="Warning Text 128" xfId="39220" xr:uid="{00000000-0005-0000-0000-000062990000}"/>
    <cellStyle name="Warning Text 129" xfId="39221" xr:uid="{00000000-0005-0000-0000-000063990000}"/>
    <cellStyle name="Warning Text 13" xfId="39222" xr:uid="{00000000-0005-0000-0000-000064990000}"/>
    <cellStyle name="Warning Text 13 10" xfId="39223" xr:uid="{00000000-0005-0000-0000-000065990000}"/>
    <cellStyle name="Warning Text 13 11" xfId="39224" xr:uid="{00000000-0005-0000-0000-000066990000}"/>
    <cellStyle name="Warning Text 13 12" xfId="39225" xr:uid="{00000000-0005-0000-0000-000067990000}"/>
    <cellStyle name="Warning Text 13 13" xfId="39226" xr:uid="{00000000-0005-0000-0000-000068990000}"/>
    <cellStyle name="Warning Text 13 14" xfId="39227" xr:uid="{00000000-0005-0000-0000-000069990000}"/>
    <cellStyle name="Warning Text 13 15" xfId="39228" xr:uid="{00000000-0005-0000-0000-00006A990000}"/>
    <cellStyle name="Warning Text 13 16" xfId="39229" xr:uid="{00000000-0005-0000-0000-00006B990000}"/>
    <cellStyle name="Warning Text 13 17" xfId="39230" xr:uid="{00000000-0005-0000-0000-00006C990000}"/>
    <cellStyle name="Warning Text 13 18" xfId="39231" xr:uid="{00000000-0005-0000-0000-00006D990000}"/>
    <cellStyle name="Warning Text 13 19" xfId="39232" xr:uid="{00000000-0005-0000-0000-00006E990000}"/>
    <cellStyle name="Warning Text 13 2" xfId="39233" xr:uid="{00000000-0005-0000-0000-00006F990000}"/>
    <cellStyle name="Warning Text 13 20" xfId="39234" xr:uid="{00000000-0005-0000-0000-000070990000}"/>
    <cellStyle name="Warning Text 13 21" xfId="39235" xr:uid="{00000000-0005-0000-0000-000071990000}"/>
    <cellStyle name="Warning Text 13 22" xfId="39236" xr:uid="{00000000-0005-0000-0000-000072990000}"/>
    <cellStyle name="Warning Text 13 23" xfId="39237" xr:uid="{00000000-0005-0000-0000-000073990000}"/>
    <cellStyle name="Warning Text 13 24" xfId="39238" xr:uid="{00000000-0005-0000-0000-000074990000}"/>
    <cellStyle name="Warning Text 13 25" xfId="39239" xr:uid="{00000000-0005-0000-0000-000075990000}"/>
    <cellStyle name="Warning Text 13 26" xfId="39240" xr:uid="{00000000-0005-0000-0000-000076990000}"/>
    <cellStyle name="Warning Text 13 27" xfId="39241" xr:uid="{00000000-0005-0000-0000-000077990000}"/>
    <cellStyle name="Warning Text 13 28" xfId="39242" xr:uid="{00000000-0005-0000-0000-000078990000}"/>
    <cellStyle name="Warning Text 13 29" xfId="39243" xr:uid="{00000000-0005-0000-0000-000079990000}"/>
    <cellStyle name="Warning Text 13 3" xfId="39244" xr:uid="{00000000-0005-0000-0000-00007A990000}"/>
    <cellStyle name="Warning Text 13 30" xfId="39245" xr:uid="{00000000-0005-0000-0000-00007B990000}"/>
    <cellStyle name="Warning Text 13 31" xfId="39246" xr:uid="{00000000-0005-0000-0000-00007C990000}"/>
    <cellStyle name="Warning Text 13 32" xfId="39247" xr:uid="{00000000-0005-0000-0000-00007D990000}"/>
    <cellStyle name="Warning Text 13 33" xfId="39248" xr:uid="{00000000-0005-0000-0000-00007E990000}"/>
    <cellStyle name="Warning Text 13 34" xfId="39249" xr:uid="{00000000-0005-0000-0000-00007F990000}"/>
    <cellStyle name="Warning Text 13 35" xfId="39250" xr:uid="{00000000-0005-0000-0000-000080990000}"/>
    <cellStyle name="Warning Text 13 36" xfId="39251" xr:uid="{00000000-0005-0000-0000-000081990000}"/>
    <cellStyle name="Warning Text 13 4" xfId="39252" xr:uid="{00000000-0005-0000-0000-000082990000}"/>
    <cellStyle name="Warning Text 13 5" xfId="39253" xr:uid="{00000000-0005-0000-0000-000083990000}"/>
    <cellStyle name="Warning Text 13 6" xfId="39254" xr:uid="{00000000-0005-0000-0000-000084990000}"/>
    <cellStyle name="Warning Text 13 7" xfId="39255" xr:uid="{00000000-0005-0000-0000-000085990000}"/>
    <cellStyle name="Warning Text 13 8" xfId="39256" xr:uid="{00000000-0005-0000-0000-000086990000}"/>
    <cellStyle name="Warning Text 13 9" xfId="39257" xr:uid="{00000000-0005-0000-0000-000087990000}"/>
    <cellStyle name="Warning Text 130" xfId="39258" xr:uid="{00000000-0005-0000-0000-000088990000}"/>
    <cellStyle name="Warning Text 131" xfId="39259" xr:uid="{00000000-0005-0000-0000-000089990000}"/>
    <cellStyle name="Warning Text 132" xfId="39260" xr:uid="{00000000-0005-0000-0000-00008A990000}"/>
    <cellStyle name="Warning Text 133" xfId="39261" xr:uid="{00000000-0005-0000-0000-00008B990000}"/>
    <cellStyle name="Warning Text 14" xfId="39262" xr:uid="{00000000-0005-0000-0000-00008C990000}"/>
    <cellStyle name="Warning Text 14 10" xfId="39263" xr:uid="{00000000-0005-0000-0000-00008D990000}"/>
    <cellStyle name="Warning Text 14 11" xfId="39264" xr:uid="{00000000-0005-0000-0000-00008E990000}"/>
    <cellStyle name="Warning Text 14 12" xfId="39265" xr:uid="{00000000-0005-0000-0000-00008F990000}"/>
    <cellStyle name="Warning Text 14 13" xfId="39266" xr:uid="{00000000-0005-0000-0000-000090990000}"/>
    <cellStyle name="Warning Text 14 14" xfId="39267" xr:uid="{00000000-0005-0000-0000-000091990000}"/>
    <cellStyle name="Warning Text 14 15" xfId="39268" xr:uid="{00000000-0005-0000-0000-000092990000}"/>
    <cellStyle name="Warning Text 14 16" xfId="39269" xr:uid="{00000000-0005-0000-0000-000093990000}"/>
    <cellStyle name="Warning Text 14 17" xfId="39270" xr:uid="{00000000-0005-0000-0000-000094990000}"/>
    <cellStyle name="Warning Text 14 18" xfId="39271" xr:uid="{00000000-0005-0000-0000-000095990000}"/>
    <cellStyle name="Warning Text 14 19" xfId="39272" xr:uid="{00000000-0005-0000-0000-000096990000}"/>
    <cellStyle name="Warning Text 14 2" xfId="39273" xr:uid="{00000000-0005-0000-0000-000097990000}"/>
    <cellStyle name="Warning Text 14 20" xfId="39274" xr:uid="{00000000-0005-0000-0000-000098990000}"/>
    <cellStyle name="Warning Text 14 21" xfId="39275" xr:uid="{00000000-0005-0000-0000-000099990000}"/>
    <cellStyle name="Warning Text 14 22" xfId="39276" xr:uid="{00000000-0005-0000-0000-00009A990000}"/>
    <cellStyle name="Warning Text 14 23" xfId="39277" xr:uid="{00000000-0005-0000-0000-00009B990000}"/>
    <cellStyle name="Warning Text 14 24" xfId="39278" xr:uid="{00000000-0005-0000-0000-00009C990000}"/>
    <cellStyle name="Warning Text 14 25" xfId="39279" xr:uid="{00000000-0005-0000-0000-00009D990000}"/>
    <cellStyle name="Warning Text 14 26" xfId="39280" xr:uid="{00000000-0005-0000-0000-00009E990000}"/>
    <cellStyle name="Warning Text 14 27" xfId="39281" xr:uid="{00000000-0005-0000-0000-00009F990000}"/>
    <cellStyle name="Warning Text 14 28" xfId="39282" xr:uid="{00000000-0005-0000-0000-0000A0990000}"/>
    <cellStyle name="Warning Text 14 29" xfId="39283" xr:uid="{00000000-0005-0000-0000-0000A1990000}"/>
    <cellStyle name="Warning Text 14 3" xfId="39284" xr:uid="{00000000-0005-0000-0000-0000A2990000}"/>
    <cellStyle name="Warning Text 14 30" xfId="39285" xr:uid="{00000000-0005-0000-0000-0000A3990000}"/>
    <cellStyle name="Warning Text 14 31" xfId="39286" xr:uid="{00000000-0005-0000-0000-0000A4990000}"/>
    <cellStyle name="Warning Text 14 32" xfId="39287" xr:uid="{00000000-0005-0000-0000-0000A5990000}"/>
    <cellStyle name="Warning Text 14 33" xfId="39288" xr:uid="{00000000-0005-0000-0000-0000A6990000}"/>
    <cellStyle name="Warning Text 14 34" xfId="39289" xr:uid="{00000000-0005-0000-0000-0000A7990000}"/>
    <cellStyle name="Warning Text 14 35" xfId="39290" xr:uid="{00000000-0005-0000-0000-0000A8990000}"/>
    <cellStyle name="Warning Text 14 36" xfId="39291" xr:uid="{00000000-0005-0000-0000-0000A9990000}"/>
    <cellStyle name="Warning Text 14 4" xfId="39292" xr:uid="{00000000-0005-0000-0000-0000AA990000}"/>
    <cellStyle name="Warning Text 14 5" xfId="39293" xr:uid="{00000000-0005-0000-0000-0000AB990000}"/>
    <cellStyle name="Warning Text 14 6" xfId="39294" xr:uid="{00000000-0005-0000-0000-0000AC990000}"/>
    <cellStyle name="Warning Text 14 7" xfId="39295" xr:uid="{00000000-0005-0000-0000-0000AD990000}"/>
    <cellStyle name="Warning Text 14 8" xfId="39296" xr:uid="{00000000-0005-0000-0000-0000AE990000}"/>
    <cellStyle name="Warning Text 14 9" xfId="39297" xr:uid="{00000000-0005-0000-0000-0000AF990000}"/>
    <cellStyle name="Warning Text 15" xfId="39298" xr:uid="{00000000-0005-0000-0000-0000B0990000}"/>
    <cellStyle name="Warning Text 15 10" xfId="39299" xr:uid="{00000000-0005-0000-0000-0000B1990000}"/>
    <cellStyle name="Warning Text 15 11" xfId="39300" xr:uid="{00000000-0005-0000-0000-0000B2990000}"/>
    <cellStyle name="Warning Text 15 12" xfId="39301" xr:uid="{00000000-0005-0000-0000-0000B3990000}"/>
    <cellStyle name="Warning Text 15 13" xfId="39302" xr:uid="{00000000-0005-0000-0000-0000B4990000}"/>
    <cellStyle name="Warning Text 15 14" xfId="39303" xr:uid="{00000000-0005-0000-0000-0000B5990000}"/>
    <cellStyle name="Warning Text 15 15" xfId="39304" xr:uid="{00000000-0005-0000-0000-0000B6990000}"/>
    <cellStyle name="Warning Text 15 16" xfId="39305" xr:uid="{00000000-0005-0000-0000-0000B7990000}"/>
    <cellStyle name="Warning Text 15 17" xfId="39306" xr:uid="{00000000-0005-0000-0000-0000B8990000}"/>
    <cellStyle name="Warning Text 15 18" xfId="39307" xr:uid="{00000000-0005-0000-0000-0000B9990000}"/>
    <cellStyle name="Warning Text 15 19" xfId="39308" xr:uid="{00000000-0005-0000-0000-0000BA990000}"/>
    <cellStyle name="Warning Text 15 2" xfId="39309" xr:uid="{00000000-0005-0000-0000-0000BB990000}"/>
    <cellStyle name="Warning Text 15 20" xfId="39310" xr:uid="{00000000-0005-0000-0000-0000BC990000}"/>
    <cellStyle name="Warning Text 15 21" xfId="39311" xr:uid="{00000000-0005-0000-0000-0000BD990000}"/>
    <cellStyle name="Warning Text 15 22" xfId="39312" xr:uid="{00000000-0005-0000-0000-0000BE990000}"/>
    <cellStyle name="Warning Text 15 23" xfId="39313" xr:uid="{00000000-0005-0000-0000-0000BF990000}"/>
    <cellStyle name="Warning Text 15 24" xfId="39314" xr:uid="{00000000-0005-0000-0000-0000C0990000}"/>
    <cellStyle name="Warning Text 15 25" xfId="39315" xr:uid="{00000000-0005-0000-0000-0000C1990000}"/>
    <cellStyle name="Warning Text 15 26" xfId="39316" xr:uid="{00000000-0005-0000-0000-0000C2990000}"/>
    <cellStyle name="Warning Text 15 27" xfId="39317" xr:uid="{00000000-0005-0000-0000-0000C3990000}"/>
    <cellStyle name="Warning Text 15 28" xfId="39318" xr:uid="{00000000-0005-0000-0000-0000C4990000}"/>
    <cellStyle name="Warning Text 15 29" xfId="39319" xr:uid="{00000000-0005-0000-0000-0000C5990000}"/>
    <cellStyle name="Warning Text 15 3" xfId="39320" xr:uid="{00000000-0005-0000-0000-0000C6990000}"/>
    <cellStyle name="Warning Text 15 30" xfId="39321" xr:uid="{00000000-0005-0000-0000-0000C7990000}"/>
    <cellStyle name="Warning Text 15 31" xfId="39322" xr:uid="{00000000-0005-0000-0000-0000C8990000}"/>
    <cellStyle name="Warning Text 15 32" xfId="39323" xr:uid="{00000000-0005-0000-0000-0000C9990000}"/>
    <cellStyle name="Warning Text 15 33" xfId="39324" xr:uid="{00000000-0005-0000-0000-0000CA990000}"/>
    <cellStyle name="Warning Text 15 34" xfId="39325" xr:uid="{00000000-0005-0000-0000-0000CB990000}"/>
    <cellStyle name="Warning Text 15 35" xfId="39326" xr:uid="{00000000-0005-0000-0000-0000CC990000}"/>
    <cellStyle name="Warning Text 15 36" xfId="39327" xr:uid="{00000000-0005-0000-0000-0000CD990000}"/>
    <cellStyle name="Warning Text 15 4" xfId="39328" xr:uid="{00000000-0005-0000-0000-0000CE990000}"/>
    <cellStyle name="Warning Text 15 5" xfId="39329" xr:uid="{00000000-0005-0000-0000-0000CF990000}"/>
    <cellStyle name="Warning Text 15 6" xfId="39330" xr:uid="{00000000-0005-0000-0000-0000D0990000}"/>
    <cellStyle name="Warning Text 15 7" xfId="39331" xr:uid="{00000000-0005-0000-0000-0000D1990000}"/>
    <cellStyle name="Warning Text 15 8" xfId="39332" xr:uid="{00000000-0005-0000-0000-0000D2990000}"/>
    <cellStyle name="Warning Text 15 9" xfId="39333" xr:uid="{00000000-0005-0000-0000-0000D3990000}"/>
    <cellStyle name="Warning Text 16" xfId="39334" xr:uid="{00000000-0005-0000-0000-0000D4990000}"/>
    <cellStyle name="Warning Text 16 10" xfId="39335" xr:uid="{00000000-0005-0000-0000-0000D5990000}"/>
    <cellStyle name="Warning Text 16 11" xfId="39336" xr:uid="{00000000-0005-0000-0000-0000D6990000}"/>
    <cellStyle name="Warning Text 16 12" xfId="39337" xr:uid="{00000000-0005-0000-0000-0000D7990000}"/>
    <cellStyle name="Warning Text 16 13" xfId="39338" xr:uid="{00000000-0005-0000-0000-0000D8990000}"/>
    <cellStyle name="Warning Text 16 14" xfId="39339" xr:uid="{00000000-0005-0000-0000-0000D9990000}"/>
    <cellStyle name="Warning Text 16 15" xfId="39340" xr:uid="{00000000-0005-0000-0000-0000DA990000}"/>
    <cellStyle name="Warning Text 16 16" xfId="39341" xr:uid="{00000000-0005-0000-0000-0000DB990000}"/>
    <cellStyle name="Warning Text 16 17" xfId="39342" xr:uid="{00000000-0005-0000-0000-0000DC990000}"/>
    <cellStyle name="Warning Text 16 18" xfId="39343" xr:uid="{00000000-0005-0000-0000-0000DD990000}"/>
    <cellStyle name="Warning Text 16 19" xfId="39344" xr:uid="{00000000-0005-0000-0000-0000DE990000}"/>
    <cellStyle name="Warning Text 16 2" xfId="39345" xr:uid="{00000000-0005-0000-0000-0000DF990000}"/>
    <cellStyle name="Warning Text 16 20" xfId="39346" xr:uid="{00000000-0005-0000-0000-0000E0990000}"/>
    <cellStyle name="Warning Text 16 21" xfId="39347" xr:uid="{00000000-0005-0000-0000-0000E1990000}"/>
    <cellStyle name="Warning Text 16 22" xfId="39348" xr:uid="{00000000-0005-0000-0000-0000E2990000}"/>
    <cellStyle name="Warning Text 16 23" xfId="39349" xr:uid="{00000000-0005-0000-0000-0000E3990000}"/>
    <cellStyle name="Warning Text 16 24" xfId="39350" xr:uid="{00000000-0005-0000-0000-0000E4990000}"/>
    <cellStyle name="Warning Text 16 25" xfId="39351" xr:uid="{00000000-0005-0000-0000-0000E5990000}"/>
    <cellStyle name="Warning Text 16 26" xfId="39352" xr:uid="{00000000-0005-0000-0000-0000E6990000}"/>
    <cellStyle name="Warning Text 16 27" xfId="39353" xr:uid="{00000000-0005-0000-0000-0000E7990000}"/>
    <cellStyle name="Warning Text 16 28" xfId="39354" xr:uid="{00000000-0005-0000-0000-0000E8990000}"/>
    <cellStyle name="Warning Text 16 29" xfId="39355" xr:uid="{00000000-0005-0000-0000-0000E9990000}"/>
    <cellStyle name="Warning Text 16 3" xfId="39356" xr:uid="{00000000-0005-0000-0000-0000EA990000}"/>
    <cellStyle name="Warning Text 16 30" xfId="39357" xr:uid="{00000000-0005-0000-0000-0000EB990000}"/>
    <cellStyle name="Warning Text 16 31" xfId="39358" xr:uid="{00000000-0005-0000-0000-0000EC990000}"/>
    <cellStyle name="Warning Text 16 32" xfId="39359" xr:uid="{00000000-0005-0000-0000-0000ED990000}"/>
    <cellStyle name="Warning Text 16 33" xfId="39360" xr:uid="{00000000-0005-0000-0000-0000EE990000}"/>
    <cellStyle name="Warning Text 16 34" xfId="39361" xr:uid="{00000000-0005-0000-0000-0000EF990000}"/>
    <cellStyle name="Warning Text 16 35" xfId="39362" xr:uid="{00000000-0005-0000-0000-0000F0990000}"/>
    <cellStyle name="Warning Text 16 36" xfId="39363" xr:uid="{00000000-0005-0000-0000-0000F1990000}"/>
    <cellStyle name="Warning Text 16 4" xfId="39364" xr:uid="{00000000-0005-0000-0000-0000F2990000}"/>
    <cellStyle name="Warning Text 16 5" xfId="39365" xr:uid="{00000000-0005-0000-0000-0000F3990000}"/>
    <cellStyle name="Warning Text 16 6" xfId="39366" xr:uid="{00000000-0005-0000-0000-0000F4990000}"/>
    <cellStyle name="Warning Text 16 7" xfId="39367" xr:uid="{00000000-0005-0000-0000-0000F5990000}"/>
    <cellStyle name="Warning Text 16 8" xfId="39368" xr:uid="{00000000-0005-0000-0000-0000F6990000}"/>
    <cellStyle name="Warning Text 16 9" xfId="39369" xr:uid="{00000000-0005-0000-0000-0000F7990000}"/>
    <cellStyle name="Warning Text 17" xfId="39370" xr:uid="{00000000-0005-0000-0000-0000F8990000}"/>
    <cellStyle name="Warning Text 17 10" xfId="39371" xr:uid="{00000000-0005-0000-0000-0000F9990000}"/>
    <cellStyle name="Warning Text 17 11" xfId="39372" xr:uid="{00000000-0005-0000-0000-0000FA990000}"/>
    <cellStyle name="Warning Text 17 12" xfId="39373" xr:uid="{00000000-0005-0000-0000-0000FB990000}"/>
    <cellStyle name="Warning Text 17 13" xfId="39374" xr:uid="{00000000-0005-0000-0000-0000FC990000}"/>
    <cellStyle name="Warning Text 17 14" xfId="39375" xr:uid="{00000000-0005-0000-0000-0000FD990000}"/>
    <cellStyle name="Warning Text 17 15" xfId="39376" xr:uid="{00000000-0005-0000-0000-0000FE990000}"/>
    <cellStyle name="Warning Text 17 16" xfId="39377" xr:uid="{00000000-0005-0000-0000-0000FF990000}"/>
    <cellStyle name="Warning Text 17 17" xfId="39378" xr:uid="{00000000-0005-0000-0000-0000009A0000}"/>
    <cellStyle name="Warning Text 17 18" xfId="39379" xr:uid="{00000000-0005-0000-0000-0000019A0000}"/>
    <cellStyle name="Warning Text 17 19" xfId="39380" xr:uid="{00000000-0005-0000-0000-0000029A0000}"/>
    <cellStyle name="Warning Text 17 2" xfId="39381" xr:uid="{00000000-0005-0000-0000-0000039A0000}"/>
    <cellStyle name="Warning Text 17 20" xfId="39382" xr:uid="{00000000-0005-0000-0000-0000049A0000}"/>
    <cellStyle name="Warning Text 17 21" xfId="39383" xr:uid="{00000000-0005-0000-0000-0000059A0000}"/>
    <cellStyle name="Warning Text 17 22" xfId="39384" xr:uid="{00000000-0005-0000-0000-0000069A0000}"/>
    <cellStyle name="Warning Text 17 23" xfId="39385" xr:uid="{00000000-0005-0000-0000-0000079A0000}"/>
    <cellStyle name="Warning Text 17 24" xfId="39386" xr:uid="{00000000-0005-0000-0000-0000089A0000}"/>
    <cellStyle name="Warning Text 17 25" xfId="39387" xr:uid="{00000000-0005-0000-0000-0000099A0000}"/>
    <cellStyle name="Warning Text 17 26" xfId="39388" xr:uid="{00000000-0005-0000-0000-00000A9A0000}"/>
    <cellStyle name="Warning Text 17 27" xfId="39389" xr:uid="{00000000-0005-0000-0000-00000B9A0000}"/>
    <cellStyle name="Warning Text 17 28" xfId="39390" xr:uid="{00000000-0005-0000-0000-00000C9A0000}"/>
    <cellStyle name="Warning Text 17 29" xfId="39391" xr:uid="{00000000-0005-0000-0000-00000D9A0000}"/>
    <cellStyle name="Warning Text 17 3" xfId="39392" xr:uid="{00000000-0005-0000-0000-00000E9A0000}"/>
    <cellStyle name="Warning Text 17 30" xfId="39393" xr:uid="{00000000-0005-0000-0000-00000F9A0000}"/>
    <cellStyle name="Warning Text 17 31" xfId="39394" xr:uid="{00000000-0005-0000-0000-0000109A0000}"/>
    <cellStyle name="Warning Text 17 32" xfId="39395" xr:uid="{00000000-0005-0000-0000-0000119A0000}"/>
    <cellStyle name="Warning Text 17 33" xfId="39396" xr:uid="{00000000-0005-0000-0000-0000129A0000}"/>
    <cellStyle name="Warning Text 17 34" xfId="39397" xr:uid="{00000000-0005-0000-0000-0000139A0000}"/>
    <cellStyle name="Warning Text 17 35" xfId="39398" xr:uid="{00000000-0005-0000-0000-0000149A0000}"/>
    <cellStyle name="Warning Text 17 36" xfId="39399" xr:uid="{00000000-0005-0000-0000-0000159A0000}"/>
    <cellStyle name="Warning Text 17 4" xfId="39400" xr:uid="{00000000-0005-0000-0000-0000169A0000}"/>
    <cellStyle name="Warning Text 17 5" xfId="39401" xr:uid="{00000000-0005-0000-0000-0000179A0000}"/>
    <cellStyle name="Warning Text 17 6" xfId="39402" xr:uid="{00000000-0005-0000-0000-0000189A0000}"/>
    <cellStyle name="Warning Text 17 7" xfId="39403" xr:uid="{00000000-0005-0000-0000-0000199A0000}"/>
    <cellStyle name="Warning Text 17 8" xfId="39404" xr:uid="{00000000-0005-0000-0000-00001A9A0000}"/>
    <cellStyle name="Warning Text 17 9" xfId="39405" xr:uid="{00000000-0005-0000-0000-00001B9A0000}"/>
    <cellStyle name="Warning Text 18" xfId="39406" xr:uid="{00000000-0005-0000-0000-00001C9A0000}"/>
    <cellStyle name="Warning Text 18 10" xfId="39407" xr:uid="{00000000-0005-0000-0000-00001D9A0000}"/>
    <cellStyle name="Warning Text 18 11" xfId="39408" xr:uid="{00000000-0005-0000-0000-00001E9A0000}"/>
    <cellStyle name="Warning Text 18 12" xfId="39409" xr:uid="{00000000-0005-0000-0000-00001F9A0000}"/>
    <cellStyle name="Warning Text 18 13" xfId="39410" xr:uid="{00000000-0005-0000-0000-0000209A0000}"/>
    <cellStyle name="Warning Text 18 14" xfId="39411" xr:uid="{00000000-0005-0000-0000-0000219A0000}"/>
    <cellStyle name="Warning Text 18 15" xfId="39412" xr:uid="{00000000-0005-0000-0000-0000229A0000}"/>
    <cellStyle name="Warning Text 18 16" xfId="39413" xr:uid="{00000000-0005-0000-0000-0000239A0000}"/>
    <cellStyle name="Warning Text 18 17" xfId="39414" xr:uid="{00000000-0005-0000-0000-0000249A0000}"/>
    <cellStyle name="Warning Text 18 18" xfId="39415" xr:uid="{00000000-0005-0000-0000-0000259A0000}"/>
    <cellStyle name="Warning Text 18 19" xfId="39416" xr:uid="{00000000-0005-0000-0000-0000269A0000}"/>
    <cellStyle name="Warning Text 18 2" xfId="39417" xr:uid="{00000000-0005-0000-0000-0000279A0000}"/>
    <cellStyle name="Warning Text 18 20" xfId="39418" xr:uid="{00000000-0005-0000-0000-0000289A0000}"/>
    <cellStyle name="Warning Text 18 21" xfId="39419" xr:uid="{00000000-0005-0000-0000-0000299A0000}"/>
    <cellStyle name="Warning Text 18 22" xfId="39420" xr:uid="{00000000-0005-0000-0000-00002A9A0000}"/>
    <cellStyle name="Warning Text 18 23" xfId="39421" xr:uid="{00000000-0005-0000-0000-00002B9A0000}"/>
    <cellStyle name="Warning Text 18 24" xfId="39422" xr:uid="{00000000-0005-0000-0000-00002C9A0000}"/>
    <cellStyle name="Warning Text 18 25" xfId="39423" xr:uid="{00000000-0005-0000-0000-00002D9A0000}"/>
    <cellStyle name="Warning Text 18 26" xfId="39424" xr:uid="{00000000-0005-0000-0000-00002E9A0000}"/>
    <cellStyle name="Warning Text 18 27" xfId="39425" xr:uid="{00000000-0005-0000-0000-00002F9A0000}"/>
    <cellStyle name="Warning Text 18 28" xfId="39426" xr:uid="{00000000-0005-0000-0000-0000309A0000}"/>
    <cellStyle name="Warning Text 18 29" xfId="39427" xr:uid="{00000000-0005-0000-0000-0000319A0000}"/>
    <cellStyle name="Warning Text 18 3" xfId="39428" xr:uid="{00000000-0005-0000-0000-0000329A0000}"/>
    <cellStyle name="Warning Text 18 30" xfId="39429" xr:uid="{00000000-0005-0000-0000-0000339A0000}"/>
    <cellStyle name="Warning Text 18 31" xfId="39430" xr:uid="{00000000-0005-0000-0000-0000349A0000}"/>
    <cellStyle name="Warning Text 18 32" xfId="39431" xr:uid="{00000000-0005-0000-0000-0000359A0000}"/>
    <cellStyle name="Warning Text 18 33" xfId="39432" xr:uid="{00000000-0005-0000-0000-0000369A0000}"/>
    <cellStyle name="Warning Text 18 34" xfId="39433" xr:uid="{00000000-0005-0000-0000-0000379A0000}"/>
    <cellStyle name="Warning Text 18 35" xfId="39434" xr:uid="{00000000-0005-0000-0000-0000389A0000}"/>
    <cellStyle name="Warning Text 18 36" xfId="39435" xr:uid="{00000000-0005-0000-0000-0000399A0000}"/>
    <cellStyle name="Warning Text 18 4" xfId="39436" xr:uid="{00000000-0005-0000-0000-00003A9A0000}"/>
    <cellStyle name="Warning Text 18 5" xfId="39437" xr:uid="{00000000-0005-0000-0000-00003B9A0000}"/>
    <cellStyle name="Warning Text 18 6" xfId="39438" xr:uid="{00000000-0005-0000-0000-00003C9A0000}"/>
    <cellStyle name="Warning Text 18 7" xfId="39439" xr:uid="{00000000-0005-0000-0000-00003D9A0000}"/>
    <cellStyle name="Warning Text 18 8" xfId="39440" xr:uid="{00000000-0005-0000-0000-00003E9A0000}"/>
    <cellStyle name="Warning Text 18 9" xfId="39441" xr:uid="{00000000-0005-0000-0000-00003F9A0000}"/>
    <cellStyle name="Warning Text 19" xfId="39442" xr:uid="{00000000-0005-0000-0000-0000409A0000}"/>
    <cellStyle name="Warning Text 19 10" xfId="39443" xr:uid="{00000000-0005-0000-0000-0000419A0000}"/>
    <cellStyle name="Warning Text 19 11" xfId="39444" xr:uid="{00000000-0005-0000-0000-0000429A0000}"/>
    <cellStyle name="Warning Text 19 12" xfId="39445" xr:uid="{00000000-0005-0000-0000-0000439A0000}"/>
    <cellStyle name="Warning Text 19 13" xfId="39446" xr:uid="{00000000-0005-0000-0000-0000449A0000}"/>
    <cellStyle name="Warning Text 19 14" xfId="39447" xr:uid="{00000000-0005-0000-0000-0000459A0000}"/>
    <cellStyle name="Warning Text 19 15" xfId="39448" xr:uid="{00000000-0005-0000-0000-0000469A0000}"/>
    <cellStyle name="Warning Text 19 16" xfId="39449" xr:uid="{00000000-0005-0000-0000-0000479A0000}"/>
    <cellStyle name="Warning Text 19 17" xfId="39450" xr:uid="{00000000-0005-0000-0000-0000489A0000}"/>
    <cellStyle name="Warning Text 19 18" xfId="39451" xr:uid="{00000000-0005-0000-0000-0000499A0000}"/>
    <cellStyle name="Warning Text 19 19" xfId="39452" xr:uid="{00000000-0005-0000-0000-00004A9A0000}"/>
    <cellStyle name="Warning Text 19 2" xfId="39453" xr:uid="{00000000-0005-0000-0000-00004B9A0000}"/>
    <cellStyle name="Warning Text 19 20" xfId="39454" xr:uid="{00000000-0005-0000-0000-00004C9A0000}"/>
    <cellStyle name="Warning Text 19 21" xfId="39455" xr:uid="{00000000-0005-0000-0000-00004D9A0000}"/>
    <cellStyle name="Warning Text 19 22" xfId="39456" xr:uid="{00000000-0005-0000-0000-00004E9A0000}"/>
    <cellStyle name="Warning Text 19 23" xfId="39457" xr:uid="{00000000-0005-0000-0000-00004F9A0000}"/>
    <cellStyle name="Warning Text 19 24" xfId="39458" xr:uid="{00000000-0005-0000-0000-0000509A0000}"/>
    <cellStyle name="Warning Text 19 25" xfId="39459" xr:uid="{00000000-0005-0000-0000-0000519A0000}"/>
    <cellStyle name="Warning Text 19 26" xfId="39460" xr:uid="{00000000-0005-0000-0000-0000529A0000}"/>
    <cellStyle name="Warning Text 19 27" xfId="39461" xr:uid="{00000000-0005-0000-0000-0000539A0000}"/>
    <cellStyle name="Warning Text 19 28" xfId="39462" xr:uid="{00000000-0005-0000-0000-0000549A0000}"/>
    <cellStyle name="Warning Text 19 29" xfId="39463" xr:uid="{00000000-0005-0000-0000-0000559A0000}"/>
    <cellStyle name="Warning Text 19 3" xfId="39464" xr:uid="{00000000-0005-0000-0000-0000569A0000}"/>
    <cellStyle name="Warning Text 19 30" xfId="39465" xr:uid="{00000000-0005-0000-0000-0000579A0000}"/>
    <cellStyle name="Warning Text 19 31" xfId="39466" xr:uid="{00000000-0005-0000-0000-0000589A0000}"/>
    <cellStyle name="Warning Text 19 32" xfId="39467" xr:uid="{00000000-0005-0000-0000-0000599A0000}"/>
    <cellStyle name="Warning Text 19 33" xfId="39468" xr:uid="{00000000-0005-0000-0000-00005A9A0000}"/>
    <cellStyle name="Warning Text 19 34" xfId="39469" xr:uid="{00000000-0005-0000-0000-00005B9A0000}"/>
    <cellStyle name="Warning Text 19 35" xfId="39470" xr:uid="{00000000-0005-0000-0000-00005C9A0000}"/>
    <cellStyle name="Warning Text 19 36" xfId="39471" xr:uid="{00000000-0005-0000-0000-00005D9A0000}"/>
    <cellStyle name="Warning Text 19 4" xfId="39472" xr:uid="{00000000-0005-0000-0000-00005E9A0000}"/>
    <cellStyle name="Warning Text 19 5" xfId="39473" xr:uid="{00000000-0005-0000-0000-00005F9A0000}"/>
    <cellStyle name="Warning Text 19 6" xfId="39474" xr:uid="{00000000-0005-0000-0000-0000609A0000}"/>
    <cellStyle name="Warning Text 19 7" xfId="39475" xr:uid="{00000000-0005-0000-0000-0000619A0000}"/>
    <cellStyle name="Warning Text 19 8" xfId="39476" xr:uid="{00000000-0005-0000-0000-0000629A0000}"/>
    <cellStyle name="Warning Text 19 9" xfId="39477" xr:uid="{00000000-0005-0000-0000-0000639A0000}"/>
    <cellStyle name="Warning Text 2" xfId="39478" xr:uid="{00000000-0005-0000-0000-0000649A0000}"/>
    <cellStyle name="Warning Text 2 10" xfId="39479" xr:uid="{00000000-0005-0000-0000-0000659A0000}"/>
    <cellStyle name="Warning Text 2 11" xfId="39480" xr:uid="{00000000-0005-0000-0000-0000669A0000}"/>
    <cellStyle name="Warning Text 2 12" xfId="39481" xr:uid="{00000000-0005-0000-0000-0000679A0000}"/>
    <cellStyle name="Warning Text 2 13" xfId="39482" xr:uid="{00000000-0005-0000-0000-0000689A0000}"/>
    <cellStyle name="Warning Text 2 14" xfId="39483" xr:uid="{00000000-0005-0000-0000-0000699A0000}"/>
    <cellStyle name="Warning Text 2 15" xfId="39484" xr:uid="{00000000-0005-0000-0000-00006A9A0000}"/>
    <cellStyle name="Warning Text 2 16" xfId="39485" xr:uid="{00000000-0005-0000-0000-00006B9A0000}"/>
    <cellStyle name="Warning Text 2 17" xfId="39486" xr:uid="{00000000-0005-0000-0000-00006C9A0000}"/>
    <cellStyle name="Warning Text 2 18" xfId="39487" xr:uid="{00000000-0005-0000-0000-00006D9A0000}"/>
    <cellStyle name="Warning Text 2 19" xfId="39488" xr:uid="{00000000-0005-0000-0000-00006E9A0000}"/>
    <cellStyle name="Warning Text 2 2" xfId="39489" xr:uid="{00000000-0005-0000-0000-00006F9A0000}"/>
    <cellStyle name="Warning Text 2 2 10" xfId="39490" xr:uid="{00000000-0005-0000-0000-0000709A0000}"/>
    <cellStyle name="Warning Text 2 2 11" xfId="39491" xr:uid="{00000000-0005-0000-0000-0000719A0000}"/>
    <cellStyle name="Warning Text 2 2 12" xfId="39492" xr:uid="{00000000-0005-0000-0000-0000729A0000}"/>
    <cellStyle name="Warning Text 2 2 13" xfId="39493" xr:uid="{00000000-0005-0000-0000-0000739A0000}"/>
    <cellStyle name="Warning Text 2 2 14" xfId="39494" xr:uid="{00000000-0005-0000-0000-0000749A0000}"/>
    <cellStyle name="Warning Text 2 2 15" xfId="39495" xr:uid="{00000000-0005-0000-0000-0000759A0000}"/>
    <cellStyle name="Warning Text 2 2 16" xfId="39496" xr:uid="{00000000-0005-0000-0000-0000769A0000}"/>
    <cellStyle name="Warning Text 2 2 17" xfId="39497" xr:uid="{00000000-0005-0000-0000-0000779A0000}"/>
    <cellStyle name="Warning Text 2 2 18" xfId="39498" xr:uid="{00000000-0005-0000-0000-0000789A0000}"/>
    <cellStyle name="Warning Text 2 2 19" xfId="39499" xr:uid="{00000000-0005-0000-0000-0000799A0000}"/>
    <cellStyle name="Warning Text 2 2 2" xfId="39500" xr:uid="{00000000-0005-0000-0000-00007A9A0000}"/>
    <cellStyle name="Warning Text 2 2 2 10" xfId="39501" xr:uid="{00000000-0005-0000-0000-00007B9A0000}"/>
    <cellStyle name="Warning Text 2 2 2 11" xfId="39502" xr:uid="{00000000-0005-0000-0000-00007C9A0000}"/>
    <cellStyle name="Warning Text 2 2 2 12" xfId="39503" xr:uid="{00000000-0005-0000-0000-00007D9A0000}"/>
    <cellStyle name="Warning Text 2 2 2 13" xfId="39504" xr:uid="{00000000-0005-0000-0000-00007E9A0000}"/>
    <cellStyle name="Warning Text 2 2 2 14" xfId="39505" xr:uid="{00000000-0005-0000-0000-00007F9A0000}"/>
    <cellStyle name="Warning Text 2 2 2 15" xfId="39506" xr:uid="{00000000-0005-0000-0000-0000809A0000}"/>
    <cellStyle name="Warning Text 2 2 2 16" xfId="39507" xr:uid="{00000000-0005-0000-0000-0000819A0000}"/>
    <cellStyle name="Warning Text 2 2 2 17" xfId="39508" xr:uid="{00000000-0005-0000-0000-0000829A0000}"/>
    <cellStyle name="Warning Text 2 2 2 18" xfId="39509" xr:uid="{00000000-0005-0000-0000-0000839A0000}"/>
    <cellStyle name="Warning Text 2 2 2 19" xfId="39510" xr:uid="{00000000-0005-0000-0000-0000849A0000}"/>
    <cellStyle name="Warning Text 2 2 2 2" xfId="39511" xr:uid="{00000000-0005-0000-0000-0000859A0000}"/>
    <cellStyle name="Warning Text 2 2 2 20" xfId="39512" xr:uid="{00000000-0005-0000-0000-0000869A0000}"/>
    <cellStyle name="Warning Text 2 2 2 21" xfId="39513" xr:uid="{00000000-0005-0000-0000-0000879A0000}"/>
    <cellStyle name="Warning Text 2 2 2 22" xfId="39514" xr:uid="{00000000-0005-0000-0000-0000889A0000}"/>
    <cellStyle name="Warning Text 2 2 2 23" xfId="39515" xr:uid="{00000000-0005-0000-0000-0000899A0000}"/>
    <cellStyle name="Warning Text 2 2 2 24" xfId="39516" xr:uid="{00000000-0005-0000-0000-00008A9A0000}"/>
    <cellStyle name="Warning Text 2 2 2 25" xfId="39517" xr:uid="{00000000-0005-0000-0000-00008B9A0000}"/>
    <cellStyle name="Warning Text 2 2 2 26" xfId="39518" xr:uid="{00000000-0005-0000-0000-00008C9A0000}"/>
    <cellStyle name="Warning Text 2 2 2 27" xfId="39519" xr:uid="{00000000-0005-0000-0000-00008D9A0000}"/>
    <cellStyle name="Warning Text 2 2 2 28" xfId="39520" xr:uid="{00000000-0005-0000-0000-00008E9A0000}"/>
    <cellStyle name="Warning Text 2 2 2 29" xfId="39521" xr:uid="{00000000-0005-0000-0000-00008F9A0000}"/>
    <cellStyle name="Warning Text 2 2 2 3" xfId="39522" xr:uid="{00000000-0005-0000-0000-0000909A0000}"/>
    <cellStyle name="Warning Text 2 2 2 30" xfId="39523" xr:uid="{00000000-0005-0000-0000-0000919A0000}"/>
    <cellStyle name="Warning Text 2 2 2 31" xfId="39524" xr:uid="{00000000-0005-0000-0000-0000929A0000}"/>
    <cellStyle name="Warning Text 2 2 2 32" xfId="39525" xr:uid="{00000000-0005-0000-0000-0000939A0000}"/>
    <cellStyle name="Warning Text 2 2 2 4" xfId="39526" xr:uid="{00000000-0005-0000-0000-0000949A0000}"/>
    <cellStyle name="Warning Text 2 2 2 5" xfId="39527" xr:uid="{00000000-0005-0000-0000-0000959A0000}"/>
    <cellStyle name="Warning Text 2 2 2 6" xfId="39528" xr:uid="{00000000-0005-0000-0000-0000969A0000}"/>
    <cellStyle name="Warning Text 2 2 2 7" xfId="39529" xr:uid="{00000000-0005-0000-0000-0000979A0000}"/>
    <cellStyle name="Warning Text 2 2 2 8" xfId="39530" xr:uid="{00000000-0005-0000-0000-0000989A0000}"/>
    <cellStyle name="Warning Text 2 2 2 9" xfId="39531" xr:uid="{00000000-0005-0000-0000-0000999A0000}"/>
    <cellStyle name="Warning Text 2 2 20" xfId="39532" xr:uid="{00000000-0005-0000-0000-00009A9A0000}"/>
    <cellStyle name="Warning Text 2 2 21" xfId="39533" xr:uid="{00000000-0005-0000-0000-00009B9A0000}"/>
    <cellStyle name="Warning Text 2 2 22" xfId="39534" xr:uid="{00000000-0005-0000-0000-00009C9A0000}"/>
    <cellStyle name="Warning Text 2 2 23" xfId="39535" xr:uid="{00000000-0005-0000-0000-00009D9A0000}"/>
    <cellStyle name="Warning Text 2 2 24" xfId="39536" xr:uid="{00000000-0005-0000-0000-00009E9A0000}"/>
    <cellStyle name="Warning Text 2 2 25" xfId="39537" xr:uid="{00000000-0005-0000-0000-00009F9A0000}"/>
    <cellStyle name="Warning Text 2 2 26" xfId="39538" xr:uid="{00000000-0005-0000-0000-0000A09A0000}"/>
    <cellStyle name="Warning Text 2 2 27" xfId="39539" xr:uid="{00000000-0005-0000-0000-0000A19A0000}"/>
    <cellStyle name="Warning Text 2 2 28" xfId="39540" xr:uid="{00000000-0005-0000-0000-0000A29A0000}"/>
    <cellStyle name="Warning Text 2 2 29" xfId="39541" xr:uid="{00000000-0005-0000-0000-0000A39A0000}"/>
    <cellStyle name="Warning Text 2 2 3" xfId="39542" xr:uid="{00000000-0005-0000-0000-0000A49A0000}"/>
    <cellStyle name="Warning Text 2 2 30" xfId="39543" xr:uid="{00000000-0005-0000-0000-0000A59A0000}"/>
    <cellStyle name="Warning Text 2 2 31" xfId="39544" xr:uid="{00000000-0005-0000-0000-0000A69A0000}"/>
    <cellStyle name="Warning Text 2 2 32" xfId="39545" xr:uid="{00000000-0005-0000-0000-0000A79A0000}"/>
    <cellStyle name="Warning Text 2 2 4" xfId="39546" xr:uid="{00000000-0005-0000-0000-0000A89A0000}"/>
    <cellStyle name="Warning Text 2 2 5" xfId="39547" xr:uid="{00000000-0005-0000-0000-0000A99A0000}"/>
    <cellStyle name="Warning Text 2 2 6" xfId="39548" xr:uid="{00000000-0005-0000-0000-0000AA9A0000}"/>
    <cellStyle name="Warning Text 2 2 7" xfId="39549" xr:uid="{00000000-0005-0000-0000-0000AB9A0000}"/>
    <cellStyle name="Warning Text 2 2 8" xfId="39550" xr:uid="{00000000-0005-0000-0000-0000AC9A0000}"/>
    <cellStyle name="Warning Text 2 2 9" xfId="39551" xr:uid="{00000000-0005-0000-0000-0000AD9A0000}"/>
    <cellStyle name="Warning Text 2 20" xfId="39552" xr:uid="{00000000-0005-0000-0000-0000AE9A0000}"/>
    <cellStyle name="Warning Text 2 21" xfId="39553" xr:uid="{00000000-0005-0000-0000-0000AF9A0000}"/>
    <cellStyle name="Warning Text 2 22" xfId="39554" xr:uid="{00000000-0005-0000-0000-0000B09A0000}"/>
    <cellStyle name="Warning Text 2 23" xfId="39555" xr:uid="{00000000-0005-0000-0000-0000B19A0000}"/>
    <cellStyle name="Warning Text 2 24" xfId="39556" xr:uid="{00000000-0005-0000-0000-0000B29A0000}"/>
    <cellStyle name="Warning Text 2 25" xfId="39557" xr:uid="{00000000-0005-0000-0000-0000B39A0000}"/>
    <cellStyle name="Warning Text 2 26" xfId="39558" xr:uid="{00000000-0005-0000-0000-0000B49A0000}"/>
    <cellStyle name="Warning Text 2 27" xfId="39559" xr:uid="{00000000-0005-0000-0000-0000B59A0000}"/>
    <cellStyle name="Warning Text 2 28" xfId="39560" xr:uid="{00000000-0005-0000-0000-0000B69A0000}"/>
    <cellStyle name="Warning Text 2 29" xfId="39561" xr:uid="{00000000-0005-0000-0000-0000B79A0000}"/>
    <cellStyle name="Warning Text 2 3" xfId="39562" xr:uid="{00000000-0005-0000-0000-0000B89A0000}"/>
    <cellStyle name="Warning Text 2 3 2" xfId="39563" xr:uid="{00000000-0005-0000-0000-0000B99A0000}"/>
    <cellStyle name="Warning Text 2 30" xfId="39564" xr:uid="{00000000-0005-0000-0000-0000BA9A0000}"/>
    <cellStyle name="Warning Text 2 31" xfId="39565" xr:uid="{00000000-0005-0000-0000-0000BB9A0000}"/>
    <cellStyle name="Warning Text 2 32" xfId="39566" xr:uid="{00000000-0005-0000-0000-0000BC9A0000}"/>
    <cellStyle name="Warning Text 2 33" xfId="39567" xr:uid="{00000000-0005-0000-0000-0000BD9A0000}"/>
    <cellStyle name="Warning Text 2 34" xfId="39568" xr:uid="{00000000-0005-0000-0000-0000BE9A0000}"/>
    <cellStyle name="Warning Text 2 35" xfId="39569" xr:uid="{00000000-0005-0000-0000-0000BF9A0000}"/>
    <cellStyle name="Warning Text 2 36" xfId="39570" xr:uid="{00000000-0005-0000-0000-0000C09A0000}"/>
    <cellStyle name="Warning Text 2 4" xfId="39571" xr:uid="{00000000-0005-0000-0000-0000C19A0000}"/>
    <cellStyle name="Warning Text 2 5" xfId="39572" xr:uid="{00000000-0005-0000-0000-0000C29A0000}"/>
    <cellStyle name="Warning Text 2 6" xfId="39573" xr:uid="{00000000-0005-0000-0000-0000C39A0000}"/>
    <cellStyle name="Warning Text 2 7" xfId="39574" xr:uid="{00000000-0005-0000-0000-0000C49A0000}"/>
    <cellStyle name="Warning Text 2 8" xfId="39575" xr:uid="{00000000-0005-0000-0000-0000C59A0000}"/>
    <cellStyle name="Warning Text 2 9" xfId="39576" xr:uid="{00000000-0005-0000-0000-0000C69A0000}"/>
    <cellStyle name="Warning Text 20" xfId="39577" xr:uid="{00000000-0005-0000-0000-0000C79A0000}"/>
    <cellStyle name="Warning Text 20 10" xfId="39578" xr:uid="{00000000-0005-0000-0000-0000C89A0000}"/>
    <cellStyle name="Warning Text 20 11" xfId="39579" xr:uid="{00000000-0005-0000-0000-0000C99A0000}"/>
    <cellStyle name="Warning Text 20 12" xfId="39580" xr:uid="{00000000-0005-0000-0000-0000CA9A0000}"/>
    <cellStyle name="Warning Text 20 13" xfId="39581" xr:uid="{00000000-0005-0000-0000-0000CB9A0000}"/>
    <cellStyle name="Warning Text 20 14" xfId="39582" xr:uid="{00000000-0005-0000-0000-0000CC9A0000}"/>
    <cellStyle name="Warning Text 20 15" xfId="39583" xr:uid="{00000000-0005-0000-0000-0000CD9A0000}"/>
    <cellStyle name="Warning Text 20 16" xfId="39584" xr:uid="{00000000-0005-0000-0000-0000CE9A0000}"/>
    <cellStyle name="Warning Text 20 17" xfId="39585" xr:uid="{00000000-0005-0000-0000-0000CF9A0000}"/>
    <cellStyle name="Warning Text 20 18" xfId="39586" xr:uid="{00000000-0005-0000-0000-0000D09A0000}"/>
    <cellStyle name="Warning Text 20 19" xfId="39587" xr:uid="{00000000-0005-0000-0000-0000D19A0000}"/>
    <cellStyle name="Warning Text 20 2" xfId="39588" xr:uid="{00000000-0005-0000-0000-0000D29A0000}"/>
    <cellStyle name="Warning Text 20 20" xfId="39589" xr:uid="{00000000-0005-0000-0000-0000D39A0000}"/>
    <cellStyle name="Warning Text 20 21" xfId="39590" xr:uid="{00000000-0005-0000-0000-0000D49A0000}"/>
    <cellStyle name="Warning Text 20 22" xfId="39591" xr:uid="{00000000-0005-0000-0000-0000D59A0000}"/>
    <cellStyle name="Warning Text 20 23" xfId="39592" xr:uid="{00000000-0005-0000-0000-0000D69A0000}"/>
    <cellStyle name="Warning Text 20 24" xfId="39593" xr:uid="{00000000-0005-0000-0000-0000D79A0000}"/>
    <cellStyle name="Warning Text 20 25" xfId="39594" xr:uid="{00000000-0005-0000-0000-0000D89A0000}"/>
    <cellStyle name="Warning Text 20 26" xfId="39595" xr:uid="{00000000-0005-0000-0000-0000D99A0000}"/>
    <cellStyle name="Warning Text 20 27" xfId="39596" xr:uid="{00000000-0005-0000-0000-0000DA9A0000}"/>
    <cellStyle name="Warning Text 20 28" xfId="39597" xr:uid="{00000000-0005-0000-0000-0000DB9A0000}"/>
    <cellStyle name="Warning Text 20 29" xfId="39598" xr:uid="{00000000-0005-0000-0000-0000DC9A0000}"/>
    <cellStyle name="Warning Text 20 3" xfId="39599" xr:uid="{00000000-0005-0000-0000-0000DD9A0000}"/>
    <cellStyle name="Warning Text 20 30" xfId="39600" xr:uid="{00000000-0005-0000-0000-0000DE9A0000}"/>
    <cellStyle name="Warning Text 20 31" xfId="39601" xr:uid="{00000000-0005-0000-0000-0000DF9A0000}"/>
    <cellStyle name="Warning Text 20 32" xfId="39602" xr:uid="{00000000-0005-0000-0000-0000E09A0000}"/>
    <cellStyle name="Warning Text 20 33" xfId="39603" xr:uid="{00000000-0005-0000-0000-0000E19A0000}"/>
    <cellStyle name="Warning Text 20 34" xfId="39604" xr:uid="{00000000-0005-0000-0000-0000E29A0000}"/>
    <cellStyle name="Warning Text 20 35" xfId="39605" xr:uid="{00000000-0005-0000-0000-0000E39A0000}"/>
    <cellStyle name="Warning Text 20 36" xfId="39606" xr:uid="{00000000-0005-0000-0000-0000E49A0000}"/>
    <cellStyle name="Warning Text 20 4" xfId="39607" xr:uid="{00000000-0005-0000-0000-0000E59A0000}"/>
    <cellStyle name="Warning Text 20 5" xfId="39608" xr:uid="{00000000-0005-0000-0000-0000E69A0000}"/>
    <cellStyle name="Warning Text 20 6" xfId="39609" xr:uid="{00000000-0005-0000-0000-0000E79A0000}"/>
    <cellStyle name="Warning Text 20 7" xfId="39610" xr:uid="{00000000-0005-0000-0000-0000E89A0000}"/>
    <cellStyle name="Warning Text 20 8" xfId="39611" xr:uid="{00000000-0005-0000-0000-0000E99A0000}"/>
    <cellStyle name="Warning Text 20 9" xfId="39612" xr:uid="{00000000-0005-0000-0000-0000EA9A0000}"/>
    <cellStyle name="Warning Text 21" xfId="39613" xr:uid="{00000000-0005-0000-0000-0000EB9A0000}"/>
    <cellStyle name="Warning Text 21 10" xfId="39614" xr:uid="{00000000-0005-0000-0000-0000EC9A0000}"/>
    <cellStyle name="Warning Text 21 11" xfId="39615" xr:uid="{00000000-0005-0000-0000-0000ED9A0000}"/>
    <cellStyle name="Warning Text 21 12" xfId="39616" xr:uid="{00000000-0005-0000-0000-0000EE9A0000}"/>
    <cellStyle name="Warning Text 21 13" xfId="39617" xr:uid="{00000000-0005-0000-0000-0000EF9A0000}"/>
    <cellStyle name="Warning Text 21 14" xfId="39618" xr:uid="{00000000-0005-0000-0000-0000F09A0000}"/>
    <cellStyle name="Warning Text 21 15" xfId="39619" xr:uid="{00000000-0005-0000-0000-0000F19A0000}"/>
    <cellStyle name="Warning Text 21 16" xfId="39620" xr:uid="{00000000-0005-0000-0000-0000F29A0000}"/>
    <cellStyle name="Warning Text 21 17" xfId="39621" xr:uid="{00000000-0005-0000-0000-0000F39A0000}"/>
    <cellStyle name="Warning Text 21 18" xfId="39622" xr:uid="{00000000-0005-0000-0000-0000F49A0000}"/>
    <cellStyle name="Warning Text 21 19" xfId="39623" xr:uid="{00000000-0005-0000-0000-0000F59A0000}"/>
    <cellStyle name="Warning Text 21 2" xfId="39624" xr:uid="{00000000-0005-0000-0000-0000F69A0000}"/>
    <cellStyle name="Warning Text 21 20" xfId="39625" xr:uid="{00000000-0005-0000-0000-0000F79A0000}"/>
    <cellStyle name="Warning Text 21 21" xfId="39626" xr:uid="{00000000-0005-0000-0000-0000F89A0000}"/>
    <cellStyle name="Warning Text 21 22" xfId="39627" xr:uid="{00000000-0005-0000-0000-0000F99A0000}"/>
    <cellStyle name="Warning Text 21 23" xfId="39628" xr:uid="{00000000-0005-0000-0000-0000FA9A0000}"/>
    <cellStyle name="Warning Text 21 24" xfId="39629" xr:uid="{00000000-0005-0000-0000-0000FB9A0000}"/>
    <cellStyle name="Warning Text 21 25" xfId="39630" xr:uid="{00000000-0005-0000-0000-0000FC9A0000}"/>
    <cellStyle name="Warning Text 21 26" xfId="39631" xr:uid="{00000000-0005-0000-0000-0000FD9A0000}"/>
    <cellStyle name="Warning Text 21 27" xfId="39632" xr:uid="{00000000-0005-0000-0000-0000FE9A0000}"/>
    <cellStyle name="Warning Text 21 28" xfId="39633" xr:uid="{00000000-0005-0000-0000-0000FF9A0000}"/>
    <cellStyle name="Warning Text 21 29" xfId="39634" xr:uid="{00000000-0005-0000-0000-0000009B0000}"/>
    <cellStyle name="Warning Text 21 3" xfId="39635" xr:uid="{00000000-0005-0000-0000-0000019B0000}"/>
    <cellStyle name="Warning Text 21 30" xfId="39636" xr:uid="{00000000-0005-0000-0000-0000029B0000}"/>
    <cellStyle name="Warning Text 21 31" xfId="39637" xr:uid="{00000000-0005-0000-0000-0000039B0000}"/>
    <cellStyle name="Warning Text 21 32" xfId="39638" xr:uid="{00000000-0005-0000-0000-0000049B0000}"/>
    <cellStyle name="Warning Text 21 33" xfId="39639" xr:uid="{00000000-0005-0000-0000-0000059B0000}"/>
    <cellStyle name="Warning Text 21 34" xfId="39640" xr:uid="{00000000-0005-0000-0000-0000069B0000}"/>
    <cellStyle name="Warning Text 21 35" xfId="39641" xr:uid="{00000000-0005-0000-0000-0000079B0000}"/>
    <cellStyle name="Warning Text 21 36" xfId="39642" xr:uid="{00000000-0005-0000-0000-0000089B0000}"/>
    <cellStyle name="Warning Text 21 4" xfId="39643" xr:uid="{00000000-0005-0000-0000-0000099B0000}"/>
    <cellStyle name="Warning Text 21 5" xfId="39644" xr:uid="{00000000-0005-0000-0000-00000A9B0000}"/>
    <cellStyle name="Warning Text 21 6" xfId="39645" xr:uid="{00000000-0005-0000-0000-00000B9B0000}"/>
    <cellStyle name="Warning Text 21 7" xfId="39646" xr:uid="{00000000-0005-0000-0000-00000C9B0000}"/>
    <cellStyle name="Warning Text 21 8" xfId="39647" xr:uid="{00000000-0005-0000-0000-00000D9B0000}"/>
    <cellStyle name="Warning Text 21 9" xfId="39648" xr:uid="{00000000-0005-0000-0000-00000E9B0000}"/>
    <cellStyle name="Warning Text 22" xfId="39649" xr:uid="{00000000-0005-0000-0000-00000F9B0000}"/>
    <cellStyle name="Warning Text 22 10" xfId="39650" xr:uid="{00000000-0005-0000-0000-0000109B0000}"/>
    <cellStyle name="Warning Text 22 11" xfId="39651" xr:uid="{00000000-0005-0000-0000-0000119B0000}"/>
    <cellStyle name="Warning Text 22 12" xfId="39652" xr:uid="{00000000-0005-0000-0000-0000129B0000}"/>
    <cellStyle name="Warning Text 22 13" xfId="39653" xr:uid="{00000000-0005-0000-0000-0000139B0000}"/>
    <cellStyle name="Warning Text 22 14" xfId="39654" xr:uid="{00000000-0005-0000-0000-0000149B0000}"/>
    <cellStyle name="Warning Text 22 15" xfId="39655" xr:uid="{00000000-0005-0000-0000-0000159B0000}"/>
    <cellStyle name="Warning Text 22 16" xfId="39656" xr:uid="{00000000-0005-0000-0000-0000169B0000}"/>
    <cellStyle name="Warning Text 22 17" xfId="39657" xr:uid="{00000000-0005-0000-0000-0000179B0000}"/>
    <cellStyle name="Warning Text 22 18" xfId="39658" xr:uid="{00000000-0005-0000-0000-0000189B0000}"/>
    <cellStyle name="Warning Text 22 19" xfId="39659" xr:uid="{00000000-0005-0000-0000-0000199B0000}"/>
    <cellStyle name="Warning Text 22 2" xfId="39660" xr:uid="{00000000-0005-0000-0000-00001A9B0000}"/>
    <cellStyle name="Warning Text 22 20" xfId="39661" xr:uid="{00000000-0005-0000-0000-00001B9B0000}"/>
    <cellStyle name="Warning Text 22 21" xfId="39662" xr:uid="{00000000-0005-0000-0000-00001C9B0000}"/>
    <cellStyle name="Warning Text 22 22" xfId="39663" xr:uid="{00000000-0005-0000-0000-00001D9B0000}"/>
    <cellStyle name="Warning Text 22 23" xfId="39664" xr:uid="{00000000-0005-0000-0000-00001E9B0000}"/>
    <cellStyle name="Warning Text 22 24" xfId="39665" xr:uid="{00000000-0005-0000-0000-00001F9B0000}"/>
    <cellStyle name="Warning Text 22 25" xfId="39666" xr:uid="{00000000-0005-0000-0000-0000209B0000}"/>
    <cellStyle name="Warning Text 22 26" xfId="39667" xr:uid="{00000000-0005-0000-0000-0000219B0000}"/>
    <cellStyle name="Warning Text 22 27" xfId="39668" xr:uid="{00000000-0005-0000-0000-0000229B0000}"/>
    <cellStyle name="Warning Text 22 28" xfId="39669" xr:uid="{00000000-0005-0000-0000-0000239B0000}"/>
    <cellStyle name="Warning Text 22 29" xfId="39670" xr:uid="{00000000-0005-0000-0000-0000249B0000}"/>
    <cellStyle name="Warning Text 22 3" xfId="39671" xr:uid="{00000000-0005-0000-0000-0000259B0000}"/>
    <cellStyle name="Warning Text 22 30" xfId="39672" xr:uid="{00000000-0005-0000-0000-0000269B0000}"/>
    <cellStyle name="Warning Text 22 31" xfId="39673" xr:uid="{00000000-0005-0000-0000-0000279B0000}"/>
    <cellStyle name="Warning Text 22 32" xfId="39674" xr:uid="{00000000-0005-0000-0000-0000289B0000}"/>
    <cellStyle name="Warning Text 22 33" xfId="39675" xr:uid="{00000000-0005-0000-0000-0000299B0000}"/>
    <cellStyle name="Warning Text 22 34" xfId="39676" xr:uid="{00000000-0005-0000-0000-00002A9B0000}"/>
    <cellStyle name="Warning Text 22 35" xfId="39677" xr:uid="{00000000-0005-0000-0000-00002B9B0000}"/>
    <cellStyle name="Warning Text 22 36" xfId="39678" xr:uid="{00000000-0005-0000-0000-00002C9B0000}"/>
    <cellStyle name="Warning Text 22 4" xfId="39679" xr:uid="{00000000-0005-0000-0000-00002D9B0000}"/>
    <cellStyle name="Warning Text 22 5" xfId="39680" xr:uid="{00000000-0005-0000-0000-00002E9B0000}"/>
    <cellStyle name="Warning Text 22 6" xfId="39681" xr:uid="{00000000-0005-0000-0000-00002F9B0000}"/>
    <cellStyle name="Warning Text 22 7" xfId="39682" xr:uid="{00000000-0005-0000-0000-0000309B0000}"/>
    <cellStyle name="Warning Text 22 8" xfId="39683" xr:uid="{00000000-0005-0000-0000-0000319B0000}"/>
    <cellStyle name="Warning Text 22 9" xfId="39684" xr:uid="{00000000-0005-0000-0000-0000329B0000}"/>
    <cellStyle name="Warning Text 23" xfId="39685" xr:uid="{00000000-0005-0000-0000-0000339B0000}"/>
    <cellStyle name="Warning Text 23 10" xfId="39686" xr:uid="{00000000-0005-0000-0000-0000349B0000}"/>
    <cellStyle name="Warning Text 23 11" xfId="39687" xr:uid="{00000000-0005-0000-0000-0000359B0000}"/>
    <cellStyle name="Warning Text 23 12" xfId="39688" xr:uid="{00000000-0005-0000-0000-0000369B0000}"/>
    <cellStyle name="Warning Text 23 13" xfId="39689" xr:uid="{00000000-0005-0000-0000-0000379B0000}"/>
    <cellStyle name="Warning Text 23 14" xfId="39690" xr:uid="{00000000-0005-0000-0000-0000389B0000}"/>
    <cellStyle name="Warning Text 23 15" xfId="39691" xr:uid="{00000000-0005-0000-0000-0000399B0000}"/>
    <cellStyle name="Warning Text 23 16" xfId="39692" xr:uid="{00000000-0005-0000-0000-00003A9B0000}"/>
    <cellStyle name="Warning Text 23 17" xfId="39693" xr:uid="{00000000-0005-0000-0000-00003B9B0000}"/>
    <cellStyle name="Warning Text 23 18" xfId="39694" xr:uid="{00000000-0005-0000-0000-00003C9B0000}"/>
    <cellStyle name="Warning Text 23 19" xfId="39695" xr:uid="{00000000-0005-0000-0000-00003D9B0000}"/>
    <cellStyle name="Warning Text 23 2" xfId="39696" xr:uid="{00000000-0005-0000-0000-00003E9B0000}"/>
    <cellStyle name="Warning Text 23 20" xfId="39697" xr:uid="{00000000-0005-0000-0000-00003F9B0000}"/>
    <cellStyle name="Warning Text 23 21" xfId="39698" xr:uid="{00000000-0005-0000-0000-0000409B0000}"/>
    <cellStyle name="Warning Text 23 22" xfId="39699" xr:uid="{00000000-0005-0000-0000-0000419B0000}"/>
    <cellStyle name="Warning Text 23 23" xfId="39700" xr:uid="{00000000-0005-0000-0000-0000429B0000}"/>
    <cellStyle name="Warning Text 23 24" xfId="39701" xr:uid="{00000000-0005-0000-0000-0000439B0000}"/>
    <cellStyle name="Warning Text 23 25" xfId="39702" xr:uid="{00000000-0005-0000-0000-0000449B0000}"/>
    <cellStyle name="Warning Text 23 26" xfId="39703" xr:uid="{00000000-0005-0000-0000-0000459B0000}"/>
    <cellStyle name="Warning Text 23 27" xfId="39704" xr:uid="{00000000-0005-0000-0000-0000469B0000}"/>
    <cellStyle name="Warning Text 23 28" xfId="39705" xr:uid="{00000000-0005-0000-0000-0000479B0000}"/>
    <cellStyle name="Warning Text 23 29" xfId="39706" xr:uid="{00000000-0005-0000-0000-0000489B0000}"/>
    <cellStyle name="Warning Text 23 3" xfId="39707" xr:uid="{00000000-0005-0000-0000-0000499B0000}"/>
    <cellStyle name="Warning Text 23 30" xfId="39708" xr:uid="{00000000-0005-0000-0000-00004A9B0000}"/>
    <cellStyle name="Warning Text 23 31" xfId="39709" xr:uid="{00000000-0005-0000-0000-00004B9B0000}"/>
    <cellStyle name="Warning Text 23 32" xfId="39710" xr:uid="{00000000-0005-0000-0000-00004C9B0000}"/>
    <cellStyle name="Warning Text 23 33" xfId="39711" xr:uid="{00000000-0005-0000-0000-00004D9B0000}"/>
    <cellStyle name="Warning Text 23 34" xfId="39712" xr:uid="{00000000-0005-0000-0000-00004E9B0000}"/>
    <cellStyle name="Warning Text 23 35" xfId="39713" xr:uid="{00000000-0005-0000-0000-00004F9B0000}"/>
    <cellStyle name="Warning Text 23 36" xfId="39714" xr:uid="{00000000-0005-0000-0000-0000509B0000}"/>
    <cellStyle name="Warning Text 23 4" xfId="39715" xr:uid="{00000000-0005-0000-0000-0000519B0000}"/>
    <cellStyle name="Warning Text 23 5" xfId="39716" xr:uid="{00000000-0005-0000-0000-0000529B0000}"/>
    <cellStyle name="Warning Text 23 6" xfId="39717" xr:uid="{00000000-0005-0000-0000-0000539B0000}"/>
    <cellStyle name="Warning Text 23 7" xfId="39718" xr:uid="{00000000-0005-0000-0000-0000549B0000}"/>
    <cellStyle name="Warning Text 23 8" xfId="39719" xr:uid="{00000000-0005-0000-0000-0000559B0000}"/>
    <cellStyle name="Warning Text 23 9" xfId="39720" xr:uid="{00000000-0005-0000-0000-0000569B0000}"/>
    <cellStyle name="Warning Text 24" xfId="39721" xr:uid="{00000000-0005-0000-0000-0000579B0000}"/>
    <cellStyle name="Warning Text 24 10" xfId="39722" xr:uid="{00000000-0005-0000-0000-0000589B0000}"/>
    <cellStyle name="Warning Text 24 11" xfId="39723" xr:uid="{00000000-0005-0000-0000-0000599B0000}"/>
    <cellStyle name="Warning Text 24 12" xfId="39724" xr:uid="{00000000-0005-0000-0000-00005A9B0000}"/>
    <cellStyle name="Warning Text 24 13" xfId="39725" xr:uid="{00000000-0005-0000-0000-00005B9B0000}"/>
    <cellStyle name="Warning Text 24 14" xfId="39726" xr:uid="{00000000-0005-0000-0000-00005C9B0000}"/>
    <cellStyle name="Warning Text 24 15" xfId="39727" xr:uid="{00000000-0005-0000-0000-00005D9B0000}"/>
    <cellStyle name="Warning Text 24 16" xfId="39728" xr:uid="{00000000-0005-0000-0000-00005E9B0000}"/>
    <cellStyle name="Warning Text 24 17" xfId="39729" xr:uid="{00000000-0005-0000-0000-00005F9B0000}"/>
    <cellStyle name="Warning Text 24 18" xfId="39730" xr:uid="{00000000-0005-0000-0000-0000609B0000}"/>
    <cellStyle name="Warning Text 24 19" xfId="39731" xr:uid="{00000000-0005-0000-0000-0000619B0000}"/>
    <cellStyle name="Warning Text 24 2" xfId="39732" xr:uid="{00000000-0005-0000-0000-0000629B0000}"/>
    <cellStyle name="Warning Text 24 20" xfId="39733" xr:uid="{00000000-0005-0000-0000-0000639B0000}"/>
    <cellStyle name="Warning Text 24 21" xfId="39734" xr:uid="{00000000-0005-0000-0000-0000649B0000}"/>
    <cellStyle name="Warning Text 24 22" xfId="39735" xr:uid="{00000000-0005-0000-0000-0000659B0000}"/>
    <cellStyle name="Warning Text 24 23" xfId="39736" xr:uid="{00000000-0005-0000-0000-0000669B0000}"/>
    <cellStyle name="Warning Text 24 24" xfId="39737" xr:uid="{00000000-0005-0000-0000-0000679B0000}"/>
    <cellStyle name="Warning Text 24 25" xfId="39738" xr:uid="{00000000-0005-0000-0000-0000689B0000}"/>
    <cellStyle name="Warning Text 24 26" xfId="39739" xr:uid="{00000000-0005-0000-0000-0000699B0000}"/>
    <cellStyle name="Warning Text 24 27" xfId="39740" xr:uid="{00000000-0005-0000-0000-00006A9B0000}"/>
    <cellStyle name="Warning Text 24 28" xfId="39741" xr:uid="{00000000-0005-0000-0000-00006B9B0000}"/>
    <cellStyle name="Warning Text 24 29" xfId="39742" xr:uid="{00000000-0005-0000-0000-00006C9B0000}"/>
    <cellStyle name="Warning Text 24 3" xfId="39743" xr:uid="{00000000-0005-0000-0000-00006D9B0000}"/>
    <cellStyle name="Warning Text 24 30" xfId="39744" xr:uid="{00000000-0005-0000-0000-00006E9B0000}"/>
    <cellStyle name="Warning Text 24 31" xfId="39745" xr:uid="{00000000-0005-0000-0000-00006F9B0000}"/>
    <cellStyle name="Warning Text 24 32" xfId="39746" xr:uid="{00000000-0005-0000-0000-0000709B0000}"/>
    <cellStyle name="Warning Text 24 33" xfId="39747" xr:uid="{00000000-0005-0000-0000-0000719B0000}"/>
    <cellStyle name="Warning Text 24 34" xfId="39748" xr:uid="{00000000-0005-0000-0000-0000729B0000}"/>
    <cellStyle name="Warning Text 24 35" xfId="39749" xr:uid="{00000000-0005-0000-0000-0000739B0000}"/>
    <cellStyle name="Warning Text 24 36" xfId="39750" xr:uid="{00000000-0005-0000-0000-0000749B0000}"/>
    <cellStyle name="Warning Text 24 4" xfId="39751" xr:uid="{00000000-0005-0000-0000-0000759B0000}"/>
    <cellStyle name="Warning Text 24 5" xfId="39752" xr:uid="{00000000-0005-0000-0000-0000769B0000}"/>
    <cellStyle name="Warning Text 24 6" xfId="39753" xr:uid="{00000000-0005-0000-0000-0000779B0000}"/>
    <cellStyle name="Warning Text 24 7" xfId="39754" xr:uid="{00000000-0005-0000-0000-0000789B0000}"/>
    <cellStyle name="Warning Text 24 8" xfId="39755" xr:uid="{00000000-0005-0000-0000-0000799B0000}"/>
    <cellStyle name="Warning Text 24 9" xfId="39756" xr:uid="{00000000-0005-0000-0000-00007A9B0000}"/>
    <cellStyle name="Warning Text 25" xfId="39757" xr:uid="{00000000-0005-0000-0000-00007B9B0000}"/>
    <cellStyle name="Warning Text 25 10" xfId="39758" xr:uid="{00000000-0005-0000-0000-00007C9B0000}"/>
    <cellStyle name="Warning Text 25 11" xfId="39759" xr:uid="{00000000-0005-0000-0000-00007D9B0000}"/>
    <cellStyle name="Warning Text 25 12" xfId="39760" xr:uid="{00000000-0005-0000-0000-00007E9B0000}"/>
    <cellStyle name="Warning Text 25 13" xfId="39761" xr:uid="{00000000-0005-0000-0000-00007F9B0000}"/>
    <cellStyle name="Warning Text 25 14" xfId="39762" xr:uid="{00000000-0005-0000-0000-0000809B0000}"/>
    <cellStyle name="Warning Text 25 15" xfId="39763" xr:uid="{00000000-0005-0000-0000-0000819B0000}"/>
    <cellStyle name="Warning Text 25 16" xfId="39764" xr:uid="{00000000-0005-0000-0000-0000829B0000}"/>
    <cellStyle name="Warning Text 25 17" xfId="39765" xr:uid="{00000000-0005-0000-0000-0000839B0000}"/>
    <cellStyle name="Warning Text 25 18" xfId="39766" xr:uid="{00000000-0005-0000-0000-0000849B0000}"/>
    <cellStyle name="Warning Text 25 19" xfId="39767" xr:uid="{00000000-0005-0000-0000-0000859B0000}"/>
    <cellStyle name="Warning Text 25 2" xfId="39768" xr:uid="{00000000-0005-0000-0000-0000869B0000}"/>
    <cellStyle name="Warning Text 25 20" xfId="39769" xr:uid="{00000000-0005-0000-0000-0000879B0000}"/>
    <cellStyle name="Warning Text 25 21" xfId="39770" xr:uid="{00000000-0005-0000-0000-0000889B0000}"/>
    <cellStyle name="Warning Text 25 22" xfId="39771" xr:uid="{00000000-0005-0000-0000-0000899B0000}"/>
    <cellStyle name="Warning Text 25 23" xfId="39772" xr:uid="{00000000-0005-0000-0000-00008A9B0000}"/>
    <cellStyle name="Warning Text 25 24" xfId="39773" xr:uid="{00000000-0005-0000-0000-00008B9B0000}"/>
    <cellStyle name="Warning Text 25 25" xfId="39774" xr:uid="{00000000-0005-0000-0000-00008C9B0000}"/>
    <cellStyle name="Warning Text 25 26" xfId="39775" xr:uid="{00000000-0005-0000-0000-00008D9B0000}"/>
    <cellStyle name="Warning Text 25 27" xfId="39776" xr:uid="{00000000-0005-0000-0000-00008E9B0000}"/>
    <cellStyle name="Warning Text 25 28" xfId="39777" xr:uid="{00000000-0005-0000-0000-00008F9B0000}"/>
    <cellStyle name="Warning Text 25 29" xfId="39778" xr:uid="{00000000-0005-0000-0000-0000909B0000}"/>
    <cellStyle name="Warning Text 25 3" xfId="39779" xr:uid="{00000000-0005-0000-0000-0000919B0000}"/>
    <cellStyle name="Warning Text 25 30" xfId="39780" xr:uid="{00000000-0005-0000-0000-0000929B0000}"/>
    <cellStyle name="Warning Text 25 31" xfId="39781" xr:uid="{00000000-0005-0000-0000-0000939B0000}"/>
    <cellStyle name="Warning Text 25 32" xfId="39782" xr:uid="{00000000-0005-0000-0000-0000949B0000}"/>
    <cellStyle name="Warning Text 25 33" xfId="39783" xr:uid="{00000000-0005-0000-0000-0000959B0000}"/>
    <cellStyle name="Warning Text 25 34" xfId="39784" xr:uid="{00000000-0005-0000-0000-0000969B0000}"/>
    <cellStyle name="Warning Text 25 35" xfId="39785" xr:uid="{00000000-0005-0000-0000-0000979B0000}"/>
    <cellStyle name="Warning Text 25 36" xfId="39786" xr:uid="{00000000-0005-0000-0000-0000989B0000}"/>
    <cellStyle name="Warning Text 25 4" xfId="39787" xr:uid="{00000000-0005-0000-0000-0000999B0000}"/>
    <cellStyle name="Warning Text 25 5" xfId="39788" xr:uid="{00000000-0005-0000-0000-00009A9B0000}"/>
    <cellStyle name="Warning Text 25 6" xfId="39789" xr:uid="{00000000-0005-0000-0000-00009B9B0000}"/>
    <cellStyle name="Warning Text 25 7" xfId="39790" xr:uid="{00000000-0005-0000-0000-00009C9B0000}"/>
    <cellStyle name="Warning Text 25 8" xfId="39791" xr:uid="{00000000-0005-0000-0000-00009D9B0000}"/>
    <cellStyle name="Warning Text 25 9" xfId="39792" xr:uid="{00000000-0005-0000-0000-00009E9B0000}"/>
    <cellStyle name="Warning Text 26" xfId="39793" xr:uid="{00000000-0005-0000-0000-00009F9B0000}"/>
    <cellStyle name="Warning Text 26 10" xfId="39794" xr:uid="{00000000-0005-0000-0000-0000A09B0000}"/>
    <cellStyle name="Warning Text 26 11" xfId="39795" xr:uid="{00000000-0005-0000-0000-0000A19B0000}"/>
    <cellStyle name="Warning Text 26 12" xfId="39796" xr:uid="{00000000-0005-0000-0000-0000A29B0000}"/>
    <cellStyle name="Warning Text 26 13" xfId="39797" xr:uid="{00000000-0005-0000-0000-0000A39B0000}"/>
    <cellStyle name="Warning Text 26 14" xfId="39798" xr:uid="{00000000-0005-0000-0000-0000A49B0000}"/>
    <cellStyle name="Warning Text 26 15" xfId="39799" xr:uid="{00000000-0005-0000-0000-0000A59B0000}"/>
    <cellStyle name="Warning Text 26 16" xfId="39800" xr:uid="{00000000-0005-0000-0000-0000A69B0000}"/>
    <cellStyle name="Warning Text 26 17" xfId="39801" xr:uid="{00000000-0005-0000-0000-0000A79B0000}"/>
    <cellStyle name="Warning Text 26 18" xfId="39802" xr:uid="{00000000-0005-0000-0000-0000A89B0000}"/>
    <cellStyle name="Warning Text 26 19" xfId="39803" xr:uid="{00000000-0005-0000-0000-0000A99B0000}"/>
    <cellStyle name="Warning Text 26 2" xfId="39804" xr:uid="{00000000-0005-0000-0000-0000AA9B0000}"/>
    <cellStyle name="Warning Text 26 20" xfId="39805" xr:uid="{00000000-0005-0000-0000-0000AB9B0000}"/>
    <cellStyle name="Warning Text 26 21" xfId="39806" xr:uid="{00000000-0005-0000-0000-0000AC9B0000}"/>
    <cellStyle name="Warning Text 26 22" xfId="39807" xr:uid="{00000000-0005-0000-0000-0000AD9B0000}"/>
    <cellStyle name="Warning Text 26 23" xfId="39808" xr:uid="{00000000-0005-0000-0000-0000AE9B0000}"/>
    <cellStyle name="Warning Text 26 24" xfId="39809" xr:uid="{00000000-0005-0000-0000-0000AF9B0000}"/>
    <cellStyle name="Warning Text 26 25" xfId="39810" xr:uid="{00000000-0005-0000-0000-0000B09B0000}"/>
    <cellStyle name="Warning Text 26 26" xfId="39811" xr:uid="{00000000-0005-0000-0000-0000B19B0000}"/>
    <cellStyle name="Warning Text 26 27" xfId="39812" xr:uid="{00000000-0005-0000-0000-0000B29B0000}"/>
    <cellStyle name="Warning Text 26 28" xfId="39813" xr:uid="{00000000-0005-0000-0000-0000B39B0000}"/>
    <cellStyle name="Warning Text 26 29" xfId="39814" xr:uid="{00000000-0005-0000-0000-0000B49B0000}"/>
    <cellStyle name="Warning Text 26 3" xfId="39815" xr:uid="{00000000-0005-0000-0000-0000B59B0000}"/>
    <cellStyle name="Warning Text 26 30" xfId="39816" xr:uid="{00000000-0005-0000-0000-0000B69B0000}"/>
    <cellStyle name="Warning Text 26 31" xfId="39817" xr:uid="{00000000-0005-0000-0000-0000B79B0000}"/>
    <cellStyle name="Warning Text 26 32" xfId="39818" xr:uid="{00000000-0005-0000-0000-0000B89B0000}"/>
    <cellStyle name="Warning Text 26 33" xfId="39819" xr:uid="{00000000-0005-0000-0000-0000B99B0000}"/>
    <cellStyle name="Warning Text 26 34" xfId="39820" xr:uid="{00000000-0005-0000-0000-0000BA9B0000}"/>
    <cellStyle name="Warning Text 26 35" xfId="39821" xr:uid="{00000000-0005-0000-0000-0000BB9B0000}"/>
    <cellStyle name="Warning Text 26 36" xfId="39822" xr:uid="{00000000-0005-0000-0000-0000BC9B0000}"/>
    <cellStyle name="Warning Text 26 4" xfId="39823" xr:uid="{00000000-0005-0000-0000-0000BD9B0000}"/>
    <cellStyle name="Warning Text 26 5" xfId="39824" xr:uid="{00000000-0005-0000-0000-0000BE9B0000}"/>
    <cellStyle name="Warning Text 26 6" xfId="39825" xr:uid="{00000000-0005-0000-0000-0000BF9B0000}"/>
    <cellStyle name="Warning Text 26 7" xfId="39826" xr:uid="{00000000-0005-0000-0000-0000C09B0000}"/>
    <cellStyle name="Warning Text 26 8" xfId="39827" xr:uid="{00000000-0005-0000-0000-0000C19B0000}"/>
    <cellStyle name="Warning Text 26 9" xfId="39828" xr:uid="{00000000-0005-0000-0000-0000C29B0000}"/>
    <cellStyle name="Warning Text 27" xfId="39829" xr:uid="{00000000-0005-0000-0000-0000C39B0000}"/>
    <cellStyle name="Warning Text 27 10" xfId="39830" xr:uid="{00000000-0005-0000-0000-0000C49B0000}"/>
    <cellStyle name="Warning Text 27 11" xfId="39831" xr:uid="{00000000-0005-0000-0000-0000C59B0000}"/>
    <cellStyle name="Warning Text 27 12" xfId="39832" xr:uid="{00000000-0005-0000-0000-0000C69B0000}"/>
    <cellStyle name="Warning Text 27 13" xfId="39833" xr:uid="{00000000-0005-0000-0000-0000C79B0000}"/>
    <cellStyle name="Warning Text 27 14" xfId="39834" xr:uid="{00000000-0005-0000-0000-0000C89B0000}"/>
    <cellStyle name="Warning Text 27 15" xfId="39835" xr:uid="{00000000-0005-0000-0000-0000C99B0000}"/>
    <cellStyle name="Warning Text 27 16" xfId="39836" xr:uid="{00000000-0005-0000-0000-0000CA9B0000}"/>
    <cellStyle name="Warning Text 27 17" xfId="39837" xr:uid="{00000000-0005-0000-0000-0000CB9B0000}"/>
    <cellStyle name="Warning Text 27 18" xfId="39838" xr:uid="{00000000-0005-0000-0000-0000CC9B0000}"/>
    <cellStyle name="Warning Text 27 19" xfId="39839" xr:uid="{00000000-0005-0000-0000-0000CD9B0000}"/>
    <cellStyle name="Warning Text 27 2" xfId="39840" xr:uid="{00000000-0005-0000-0000-0000CE9B0000}"/>
    <cellStyle name="Warning Text 27 20" xfId="39841" xr:uid="{00000000-0005-0000-0000-0000CF9B0000}"/>
    <cellStyle name="Warning Text 27 21" xfId="39842" xr:uid="{00000000-0005-0000-0000-0000D09B0000}"/>
    <cellStyle name="Warning Text 27 22" xfId="39843" xr:uid="{00000000-0005-0000-0000-0000D19B0000}"/>
    <cellStyle name="Warning Text 27 23" xfId="39844" xr:uid="{00000000-0005-0000-0000-0000D29B0000}"/>
    <cellStyle name="Warning Text 27 24" xfId="39845" xr:uid="{00000000-0005-0000-0000-0000D39B0000}"/>
    <cellStyle name="Warning Text 27 25" xfId="39846" xr:uid="{00000000-0005-0000-0000-0000D49B0000}"/>
    <cellStyle name="Warning Text 27 26" xfId="39847" xr:uid="{00000000-0005-0000-0000-0000D59B0000}"/>
    <cellStyle name="Warning Text 27 27" xfId="39848" xr:uid="{00000000-0005-0000-0000-0000D69B0000}"/>
    <cellStyle name="Warning Text 27 28" xfId="39849" xr:uid="{00000000-0005-0000-0000-0000D79B0000}"/>
    <cellStyle name="Warning Text 27 29" xfId="39850" xr:uid="{00000000-0005-0000-0000-0000D89B0000}"/>
    <cellStyle name="Warning Text 27 3" xfId="39851" xr:uid="{00000000-0005-0000-0000-0000D99B0000}"/>
    <cellStyle name="Warning Text 27 30" xfId="39852" xr:uid="{00000000-0005-0000-0000-0000DA9B0000}"/>
    <cellStyle name="Warning Text 27 31" xfId="39853" xr:uid="{00000000-0005-0000-0000-0000DB9B0000}"/>
    <cellStyle name="Warning Text 27 32" xfId="39854" xr:uid="{00000000-0005-0000-0000-0000DC9B0000}"/>
    <cellStyle name="Warning Text 27 33" xfId="39855" xr:uid="{00000000-0005-0000-0000-0000DD9B0000}"/>
    <cellStyle name="Warning Text 27 34" xfId="39856" xr:uid="{00000000-0005-0000-0000-0000DE9B0000}"/>
    <cellStyle name="Warning Text 27 35" xfId="39857" xr:uid="{00000000-0005-0000-0000-0000DF9B0000}"/>
    <cellStyle name="Warning Text 27 36" xfId="39858" xr:uid="{00000000-0005-0000-0000-0000E09B0000}"/>
    <cellStyle name="Warning Text 27 4" xfId="39859" xr:uid="{00000000-0005-0000-0000-0000E19B0000}"/>
    <cellStyle name="Warning Text 27 5" xfId="39860" xr:uid="{00000000-0005-0000-0000-0000E29B0000}"/>
    <cellStyle name="Warning Text 27 6" xfId="39861" xr:uid="{00000000-0005-0000-0000-0000E39B0000}"/>
    <cellStyle name="Warning Text 27 7" xfId="39862" xr:uid="{00000000-0005-0000-0000-0000E49B0000}"/>
    <cellStyle name="Warning Text 27 8" xfId="39863" xr:uid="{00000000-0005-0000-0000-0000E59B0000}"/>
    <cellStyle name="Warning Text 27 9" xfId="39864" xr:uid="{00000000-0005-0000-0000-0000E69B0000}"/>
    <cellStyle name="Warning Text 28" xfId="39865" xr:uid="{00000000-0005-0000-0000-0000E79B0000}"/>
    <cellStyle name="Warning Text 28 10" xfId="39866" xr:uid="{00000000-0005-0000-0000-0000E89B0000}"/>
    <cellStyle name="Warning Text 28 11" xfId="39867" xr:uid="{00000000-0005-0000-0000-0000E99B0000}"/>
    <cellStyle name="Warning Text 28 12" xfId="39868" xr:uid="{00000000-0005-0000-0000-0000EA9B0000}"/>
    <cellStyle name="Warning Text 28 13" xfId="39869" xr:uid="{00000000-0005-0000-0000-0000EB9B0000}"/>
    <cellStyle name="Warning Text 28 14" xfId="39870" xr:uid="{00000000-0005-0000-0000-0000EC9B0000}"/>
    <cellStyle name="Warning Text 28 15" xfId="39871" xr:uid="{00000000-0005-0000-0000-0000ED9B0000}"/>
    <cellStyle name="Warning Text 28 16" xfId="39872" xr:uid="{00000000-0005-0000-0000-0000EE9B0000}"/>
    <cellStyle name="Warning Text 28 17" xfId="39873" xr:uid="{00000000-0005-0000-0000-0000EF9B0000}"/>
    <cellStyle name="Warning Text 28 18" xfId="39874" xr:uid="{00000000-0005-0000-0000-0000F09B0000}"/>
    <cellStyle name="Warning Text 28 19" xfId="39875" xr:uid="{00000000-0005-0000-0000-0000F19B0000}"/>
    <cellStyle name="Warning Text 28 2" xfId="39876" xr:uid="{00000000-0005-0000-0000-0000F29B0000}"/>
    <cellStyle name="Warning Text 28 20" xfId="39877" xr:uid="{00000000-0005-0000-0000-0000F39B0000}"/>
    <cellStyle name="Warning Text 28 21" xfId="39878" xr:uid="{00000000-0005-0000-0000-0000F49B0000}"/>
    <cellStyle name="Warning Text 28 22" xfId="39879" xr:uid="{00000000-0005-0000-0000-0000F59B0000}"/>
    <cellStyle name="Warning Text 28 23" xfId="39880" xr:uid="{00000000-0005-0000-0000-0000F69B0000}"/>
    <cellStyle name="Warning Text 28 24" xfId="39881" xr:uid="{00000000-0005-0000-0000-0000F79B0000}"/>
    <cellStyle name="Warning Text 28 25" xfId="39882" xr:uid="{00000000-0005-0000-0000-0000F89B0000}"/>
    <cellStyle name="Warning Text 28 26" xfId="39883" xr:uid="{00000000-0005-0000-0000-0000F99B0000}"/>
    <cellStyle name="Warning Text 28 27" xfId="39884" xr:uid="{00000000-0005-0000-0000-0000FA9B0000}"/>
    <cellStyle name="Warning Text 28 28" xfId="39885" xr:uid="{00000000-0005-0000-0000-0000FB9B0000}"/>
    <cellStyle name="Warning Text 28 29" xfId="39886" xr:uid="{00000000-0005-0000-0000-0000FC9B0000}"/>
    <cellStyle name="Warning Text 28 3" xfId="39887" xr:uid="{00000000-0005-0000-0000-0000FD9B0000}"/>
    <cellStyle name="Warning Text 28 30" xfId="39888" xr:uid="{00000000-0005-0000-0000-0000FE9B0000}"/>
    <cellStyle name="Warning Text 28 31" xfId="39889" xr:uid="{00000000-0005-0000-0000-0000FF9B0000}"/>
    <cellStyle name="Warning Text 28 32" xfId="39890" xr:uid="{00000000-0005-0000-0000-0000009C0000}"/>
    <cellStyle name="Warning Text 28 33" xfId="39891" xr:uid="{00000000-0005-0000-0000-0000019C0000}"/>
    <cellStyle name="Warning Text 28 34" xfId="39892" xr:uid="{00000000-0005-0000-0000-0000029C0000}"/>
    <cellStyle name="Warning Text 28 35" xfId="39893" xr:uid="{00000000-0005-0000-0000-0000039C0000}"/>
    <cellStyle name="Warning Text 28 36" xfId="39894" xr:uid="{00000000-0005-0000-0000-0000049C0000}"/>
    <cellStyle name="Warning Text 28 4" xfId="39895" xr:uid="{00000000-0005-0000-0000-0000059C0000}"/>
    <cellStyle name="Warning Text 28 5" xfId="39896" xr:uid="{00000000-0005-0000-0000-0000069C0000}"/>
    <cellStyle name="Warning Text 28 6" xfId="39897" xr:uid="{00000000-0005-0000-0000-0000079C0000}"/>
    <cellStyle name="Warning Text 28 7" xfId="39898" xr:uid="{00000000-0005-0000-0000-0000089C0000}"/>
    <cellStyle name="Warning Text 28 8" xfId="39899" xr:uid="{00000000-0005-0000-0000-0000099C0000}"/>
    <cellStyle name="Warning Text 28 9" xfId="39900" xr:uid="{00000000-0005-0000-0000-00000A9C0000}"/>
    <cellStyle name="Warning Text 29" xfId="39901" xr:uid="{00000000-0005-0000-0000-00000B9C0000}"/>
    <cellStyle name="Warning Text 29 10" xfId="39902" xr:uid="{00000000-0005-0000-0000-00000C9C0000}"/>
    <cellStyle name="Warning Text 29 11" xfId="39903" xr:uid="{00000000-0005-0000-0000-00000D9C0000}"/>
    <cellStyle name="Warning Text 29 12" xfId="39904" xr:uid="{00000000-0005-0000-0000-00000E9C0000}"/>
    <cellStyle name="Warning Text 29 13" xfId="39905" xr:uid="{00000000-0005-0000-0000-00000F9C0000}"/>
    <cellStyle name="Warning Text 29 14" xfId="39906" xr:uid="{00000000-0005-0000-0000-0000109C0000}"/>
    <cellStyle name="Warning Text 29 15" xfId="39907" xr:uid="{00000000-0005-0000-0000-0000119C0000}"/>
    <cellStyle name="Warning Text 29 16" xfId="39908" xr:uid="{00000000-0005-0000-0000-0000129C0000}"/>
    <cellStyle name="Warning Text 29 17" xfId="39909" xr:uid="{00000000-0005-0000-0000-0000139C0000}"/>
    <cellStyle name="Warning Text 29 18" xfId="39910" xr:uid="{00000000-0005-0000-0000-0000149C0000}"/>
    <cellStyle name="Warning Text 29 19" xfId="39911" xr:uid="{00000000-0005-0000-0000-0000159C0000}"/>
    <cellStyle name="Warning Text 29 2" xfId="39912" xr:uid="{00000000-0005-0000-0000-0000169C0000}"/>
    <cellStyle name="Warning Text 29 20" xfId="39913" xr:uid="{00000000-0005-0000-0000-0000179C0000}"/>
    <cellStyle name="Warning Text 29 21" xfId="39914" xr:uid="{00000000-0005-0000-0000-0000189C0000}"/>
    <cellStyle name="Warning Text 29 22" xfId="39915" xr:uid="{00000000-0005-0000-0000-0000199C0000}"/>
    <cellStyle name="Warning Text 29 23" xfId="39916" xr:uid="{00000000-0005-0000-0000-00001A9C0000}"/>
    <cellStyle name="Warning Text 29 24" xfId="39917" xr:uid="{00000000-0005-0000-0000-00001B9C0000}"/>
    <cellStyle name="Warning Text 29 25" xfId="39918" xr:uid="{00000000-0005-0000-0000-00001C9C0000}"/>
    <cellStyle name="Warning Text 29 26" xfId="39919" xr:uid="{00000000-0005-0000-0000-00001D9C0000}"/>
    <cellStyle name="Warning Text 29 27" xfId="39920" xr:uid="{00000000-0005-0000-0000-00001E9C0000}"/>
    <cellStyle name="Warning Text 29 28" xfId="39921" xr:uid="{00000000-0005-0000-0000-00001F9C0000}"/>
    <cellStyle name="Warning Text 29 29" xfId="39922" xr:uid="{00000000-0005-0000-0000-0000209C0000}"/>
    <cellStyle name="Warning Text 29 3" xfId="39923" xr:uid="{00000000-0005-0000-0000-0000219C0000}"/>
    <cellStyle name="Warning Text 29 30" xfId="39924" xr:uid="{00000000-0005-0000-0000-0000229C0000}"/>
    <cellStyle name="Warning Text 29 31" xfId="39925" xr:uid="{00000000-0005-0000-0000-0000239C0000}"/>
    <cellStyle name="Warning Text 29 32" xfId="39926" xr:uid="{00000000-0005-0000-0000-0000249C0000}"/>
    <cellStyle name="Warning Text 29 33" xfId="39927" xr:uid="{00000000-0005-0000-0000-0000259C0000}"/>
    <cellStyle name="Warning Text 29 34" xfId="39928" xr:uid="{00000000-0005-0000-0000-0000269C0000}"/>
    <cellStyle name="Warning Text 29 35" xfId="39929" xr:uid="{00000000-0005-0000-0000-0000279C0000}"/>
    <cellStyle name="Warning Text 29 36" xfId="39930" xr:uid="{00000000-0005-0000-0000-0000289C0000}"/>
    <cellStyle name="Warning Text 29 4" xfId="39931" xr:uid="{00000000-0005-0000-0000-0000299C0000}"/>
    <cellStyle name="Warning Text 29 5" xfId="39932" xr:uid="{00000000-0005-0000-0000-00002A9C0000}"/>
    <cellStyle name="Warning Text 29 6" xfId="39933" xr:uid="{00000000-0005-0000-0000-00002B9C0000}"/>
    <cellStyle name="Warning Text 29 7" xfId="39934" xr:uid="{00000000-0005-0000-0000-00002C9C0000}"/>
    <cellStyle name="Warning Text 29 8" xfId="39935" xr:uid="{00000000-0005-0000-0000-00002D9C0000}"/>
    <cellStyle name="Warning Text 29 9" xfId="39936" xr:uid="{00000000-0005-0000-0000-00002E9C0000}"/>
    <cellStyle name="Warning Text 3" xfId="39937" xr:uid="{00000000-0005-0000-0000-00002F9C0000}"/>
    <cellStyle name="Warning Text 3 10" xfId="39938" xr:uid="{00000000-0005-0000-0000-0000309C0000}"/>
    <cellStyle name="Warning Text 3 11" xfId="39939" xr:uid="{00000000-0005-0000-0000-0000319C0000}"/>
    <cellStyle name="Warning Text 3 12" xfId="39940" xr:uid="{00000000-0005-0000-0000-0000329C0000}"/>
    <cellStyle name="Warning Text 3 13" xfId="39941" xr:uid="{00000000-0005-0000-0000-0000339C0000}"/>
    <cellStyle name="Warning Text 3 14" xfId="39942" xr:uid="{00000000-0005-0000-0000-0000349C0000}"/>
    <cellStyle name="Warning Text 3 15" xfId="39943" xr:uid="{00000000-0005-0000-0000-0000359C0000}"/>
    <cellStyle name="Warning Text 3 16" xfId="39944" xr:uid="{00000000-0005-0000-0000-0000369C0000}"/>
    <cellStyle name="Warning Text 3 17" xfId="39945" xr:uid="{00000000-0005-0000-0000-0000379C0000}"/>
    <cellStyle name="Warning Text 3 18" xfId="39946" xr:uid="{00000000-0005-0000-0000-0000389C0000}"/>
    <cellStyle name="Warning Text 3 19" xfId="39947" xr:uid="{00000000-0005-0000-0000-0000399C0000}"/>
    <cellStyle name="Warning Text 3 2" xfId="39948" xr:uid="{00000000-0005-0000-0000-00003A9C0000}"/>
    <cellStyle name="Warning Text 3 2 2" xfId="39949" xr:uid="{00000000-0005-0000-0000-00003B9C0000}"/>
    <cellStyle name="Warning Text 3 20" xfId="39950" xr:uid="{00000000-0005-0000-0000-00003C9C0000}"/>
    <cellStyle name="Warning Text 3 21" xfId="39951" xr:uid="{00000000-0005-0000-0000-00003D9C0000}"/>
    <cellStyle name="Warning Text 3 22" xfId="39952" xr:uid="{00000000-0005-0000-0000-00003E9C0000}"/>
    <cellStyle name="Warning Text 3 23" xfId="39953" xr:uid="{00000000-0005-0000-0000-00003F9C0000}"/>
    <cellStyle name="Warning Text 3 24" xfId="39954" xr:uid="{00000000-0005-0000-0000-0000409C0000}"/>
    <cellStyle name="Warning Text 3 25" xfId="39955" xr:uid="{00000000-0005-0000-0000-0000419C0000}"/>
    <cellStyle name="Warning Text 3 26" xfId="39956" xr:uid="{00000000-0005-0000-0000-0000429C0000}"/>
    <cellStyle name="Warning Text 3 27" xfId="39957" xr:uid="{00000000-0005-0000-0000-0000439C0000}"/>
    <cellStyle name="Warning Text 3 28" xfId="39958" xr:uid="{00000000-0005-0000-0000-0000449C0000}"/>
    <cellStyle name="Warning Text 3 29" xfId="39959" xr:uid="{00000000-0005-0000-0000-0000459C0000}"/>
    <cellStyle name="Warning Text 3 3" xfId="39960" xr:uid="{00000000-0005-0000-0000-0000469C0000}"/>
    <cellStyle name="Warning Text 3 30" xfId="39961" xr:uid="{00000000-0005-0000-0000-0000479C0000}"/>
    <cellStyle name="Warning Text 3 31" xfId="39962" xr:uid="{00000000-0005-0000-0000-0000489C0000}"/>
    <cellStyle name="Warning Text 3 32" xfId="39963" xr:uid="{00000000-0005-0000-0000-0000499C0000}"/>
    <cellStyle name="Warning Text 3 33" xfId="39964" xr:uid="{00000000-0005-0000-0000-00004A9C0000}"/>
    <cellStyle name="Warning Text 3 34" xfId="39965" xr:uid="{00000000-0005-0000-0000-00004B9C0000}"/>
    <cellStyle name="Warning Text 3 35" xfId="39966" xr:uid="{00000000-0005-0000-0000-00004C9C0000}"/>
    <cellStyle name="Warning Text 3 36" xfId="39967" xr:uid="{00000000-0005-0000-0000-00004D9C0000}"/>
    <cellStyle name="Warning Text 3 4" xfId="39968" xr:uid="{00000000-0005-0000-0000-00004E9C0000}"/>
    <cellStyle name="Warning Text 3 5" xfId="39969" xr:uid="{00000000-0005-0000-0000-00004F9C0000}"/>
    <cellStyle name="Warning Text 3 6" xfId="39970" xr:uid="{00000000-0005-0000-0000-0000509C0000}"/>
    <cellStyle name="Warning Text 3 7" xfId="39971" xr:uid="{00000000-0005-0000-0000-0000519C0000}"/>
    <cellStyle name="Warning Text 3 8" xfId="39972" xr:uid="{00000000-0005-0000-0000-0000529C0000}"/>
    <cellStyle name="Warning Text 3 9" xfId="39973" xr:uid="{00000000-0005-0000-0000-0000539C0000}"/>
    <cellStyle name="Warning Text 3_MAR 2009" xfId="39974" xr:uid="{00000000-0005-0000-0000-0000549C0000}"/>
    <cellStyle name="Warning Text 30" xfId="39975" xr:uid="{00000000-0005-0000-0000-0000559C0000}"/>
    <cellStyle name="Warning Text 30 10" xfId="39976" xr:uid="{00000000-0005-0000-0000-0000569C0000}"/>
    <cellStyle name="Warning Text 30 11" xfId="39977" xr:uid="{00000000-0005-0000-0000-0000579C0000}"/>
    <cellStyle name="Warning Text 30 12" xfId="39978" xr:uid="{00000000-0005-0000-0000-0000589C0000}"/>
    <cellStyle name="Warning Text 30 13" xfId="39979" xr:uid="{00000000-0005-0000-0000-0000599C0000}"/>
    <cellStyle name="Warning Text 30 14" xfId="39980" xr:uid="{00000000-0005-0000-0000-00005A9C0000}"/>
    <cellStyle name="Warning Text 30 15" xfId="39981" xr:uid="{00000000-0005-0000-0000-00005B9C0000}"/>
    <cellStyle name="Warning Text 30 16" xfId="39982" xr:uid="{00000000-0005-0000-0000-00005C9C0000}"/>
    <cellStyle name="Warning Text 30 17" xfId="39983" xr:uid="{00000000-0005-0000-0000-00005D9C0000}"/>
    <cellStyle name="Warning Text 30 18" xfId="39984" xr:uid="{00000000-0005-0000-0000-00005E9C0000}"/>
    <cellStyle name="Warning Text 30 19" xfId="39985" xr:uid="{00000000-0005-0000-0000-00005F9C0000}"/>
    <cellStyle name="Warning Text 30 2" xfId="39986" xr:uid="{00000000-0005-0000-0000-0000609C0000}"/>
    <cellStyle name="Warning Text 30 20" xfId="39987" xr:uid="{00000000-0005-0000-0000-0000619C0000}"/>
    <cellStyle name="Warning Text 30 21" xfId="39988" xr:uid="{00000000-0005-0000-0000-0000629C0000}"/>
    <cellStyle name="Warning Text 30 22" xfId="39989" xr:uid="{00000000-0005-0000-0000-0000639C0000}"/>
    <cellStyle name="Warning Text 30 23" xfId="39990" xr:uid="{00000000-0005-0000-0000-0000649C0000}"/>
    <cellStyle name="Warning Text 30 24" xfId="39991" xr:uid="{00000000-0005-0000-0000-0000659C0000}"/>
    <cellStyle name="Warning Text 30 25" xfId="39992" xr:uid="{00000000-0005-0000-0000-0000669C0000}"/>
    <cellStyle name="Warning Text 30 26" xfId="39993" xr:uid="{00000000-0005-0000-0000-0000679C0000}"/>
    <cellStyle name="Warning Text 30 27" xfId="39994" xr:uid="{00000000-0005-0000-0000-0000689C0000}"/>
    <cellStyle name="Warning Text 30 28" xfId="39995" xr:uid="{00000000-0005-0000-0000-0000699C0000}"/>
    <cellStyle name="Warning Text 30 29" xfId="39996" xr:uid="{00000000-0005-0000-0000-00006A9C0000}"/>
    <cellStyle name="Warning Text 30 3" xfId="39997" xr:uid="{00000000-0005-0000-0000-00006B9C0000}"/>
    <cellStyle name="Warning Text 30 30" xfId="39998" xr:uid="{00000000-0005-0000-0000-00006C9C0000}"/>
    <cellStyle name="Warning Text 30 31" xfId="39999" xr:uid="{00000000-0005-0000-0000-00006D9C0000}"/>
    <cellStyle name="Warning Text 30 32" xfId="40000" xr:uid="{00000000-0005-0000-0000-00006E9C0000}"/>
    <cellStyle name="Warning Text 30 33" xfId="40001" xr:uid="{00000000-0005-0000-0000-00006F9C0000}"/>
    <cellStyle name="Warning Text 30 34" xfId="40002" xr:uid="{00000000-0005-0000-0000-0000709C0000}"/>
    <cellStyle name="Warning Text 30 35" xfId="40003" xr:uid="{00000000-0005-0000-0000-0000719C0000}"/>
    <cellStyle name="Warning Text 30 36" xfId="40004" xr:uid="{00000000-0005-0000-0000-0000729C0000}"/>
    <cellStyle name="Warning Text 30 4" xfId="40005" xr:uid="{00000000-0005-0000-0000-0000739C0000}"/>
    <cellStyle name="Warning Text 30 5" xfId="40006" xr:uid="{00000000-0005-0000-0000-0000749C0000}"/>
    <cellStyle name="Warning Text 30 6" xfId="40007" xr:uid="{00000000-0005-0000-0000-0000759C0000}"/>
    <cellStyle name="Warning Text 30 7" xfId="40008" xr:uid="{00000000-0005-0000-0000-0000769C0000}"/>
    <cellStyle name="Warning Text 30 8" xfId="40009" xr:uid="{00000000-0005-0000-0000-0000779C0000}"/>
    <cellStyle name="Warning Text 30 9" xfId="40010" xr:uid="{00000000-0005-0000-0000-0000789C0000}"/>
    <cellStyle name="Warning Text 31" xfId="40011" xr:uid="{00000000-0005-0000-0000-0000799C0000}"/>
    <cellStyle name="Warning Text 31 10" xfId="40012" xr:uid="{00000000-0005-0000-0000-00007A9C0000}"/>
    <cellStyle name="Warning Text 31 11" xfId="40013" xr:uid="{00000000-0005-0000-0000-00007B9C0000}"/>
    <cellStyle name="Warning Text 31 12" xfId="40014" xr:uid="{00000000-0005-0000-0000-00007C9C0000}"/>
    <cellStyle name="Warning Text 31 13" xfId="40015" xr:uid="{00000000-0005-0000-0000-00007D9C0000}"/>
    <cellStyle name="Warning Text 31 14" xfId="40016" xr:uid="{00000000-0005-0000-0000-00007E9C0000}"/>
    <cellStyle name="Warning Text 31 15" xfId="40017" xr:uid="{00000000-0005-0000-0000-00007F9C0000}"/>
    <cellStyle name="Warning Text 31 16" xfId="40018" xr:uid="{00000000-0005-0000-0000-0000809C0000}"/>
    <cellStyle name="Warning Text 31 17" xfId="40019" xr:uid="{00000000-0005-0000-0000-0000819C0000}"/>
    <cellStyle name="Warning Text 31 18" xfId="40020" xr:uid="{00000000-0005-0000-0000-0000829C0000}"/>
    <cellStyle name="Warning Text 31 19" xfId="40021" xr:uid="{00000000-0005-0000-0000-0000839C0000}"/>
    <cellStyle name="Warning Text 31 2" xfId="40022" xr:uid="{00000000-0005-0000-0000-0000849C0000}"/>
    <cellStyle name="Warning Text 31 20" xfId="40023" xr:uid="{00000000-0005-0000-0000-0000859C0000}"/>
    <cellStyle name="Warning Text 31 21" xfId="40024" xr:uid="{00000000-0005-0000-0000-0000869C0000}"/>
    <cellStyle name="Warning Text 31 22" xfId="40025" xr:uid="{00000000-0005-0000-0000-0000879C0000}"/>
    <cellStyle name="Warning Text 31 23" xfId="40026" xr:uid="{00000000-0005-0000-0000-0000889C0000}"/>
    <cellStyle name="Warning Text 31 24" xfId="40027" xr:uid="{00000000-0005-0000-0000-0000899C0000}"/>
    <cellStyle name="Warning Text 31 25" xfId="40028" xr:uid="{00000000-0005-0000-0000-00008A9C0000}"/>
    <cellStyle name="Warning Text 31 26" xfId="40029" xr:uid="{00000000-0005-0000-0000-00008B9C0000}"/>
    <cellStyle name="Warning Text 31 27" xfId="40030" xr:uid="{00000000-0005-0000-0000-00008C9C0000}"/>
    <cellStyle name="Warning Text 31 28" xfId="40031" xr:uid="{00000000-0005-0000-0000-00008D9C0000}"/>
    <cellStyle name="Warning Text 31 29" xfId="40032" xr:uid="{00000000-0005-0000-0000-00008E9C0000}"/>
    <cellStyle name="Warning Text 31 3" xfId="40033" xr:uid="{00000000-0005-0000-0000-00008F9C0000}"/>
    <cellStyle name="Warning Text 31 30" xfId="40034" xr:uid="{00000000-0005-0000-0000-0000909C0000}"/>
    <cellStyle name="Warning Text 31 31" xfId="40035" xr:uid="{00000000-0005-0000-0000-0000919C0000}"/>
    <cellStyle name="Warning Text 31 32" xfId="40036" xr:uid="{00000000-0005-0000-0000-0000929C0000}"/>
    <cellStyle name="Warning Text 31 33" xfId="40037" xr:uid="{00000000-0005-0000-0000-0000939C0000}"/>
    <cellStyle name="Warning Text 31 34" xfId="40038" xr:uid="{00000000-0005-0000-0000-0000949C0000}"/>
    <cellStyle name="Warning Text 31 35" xfId="40039" xr:uid="{00000000-0005-0000-0000-0000959C0000}"/>
    <cellStyle name="Warning Text 31 36" xfId="40040" xr:uid="{00000000-0005-0000-0000-0000969C0000}"/>
    <cellStyle name="Warning Text 31 4" xfId="40041" xr:uid="{00000000-0005-0000-0000-0000979C0000}"/>
    <cellStyle name="Warning Text 31 5" xfId="40042" xr:uid="{00000000-0005-0000-0000-0000989C0000}"/>
    <cellStyle name="Warning Text 31 6" xfId="40043" xr:uid="{00000000-0005-0000-0000-0000999C0000}"/>
    <cellStyle name="Warning Text 31 7" xfId="40044" xr:uid="{00000000-0005-0000-0000-00009A9C0000}"/>
    <cellStyle name="Warning Text 31 8" xfId="40045" xr:uid="{00000000-0005-0000-0000-00009B9C0000}"/>
    <cellStyle name="Warning Text 31 9" xfId="40046" xr:uid="{00000000-0005-0000-0000-00009C9C0000}"/>
    <cellStyle name="Warning Text 32" xfId="40047" xr:uid="{00000000-0005-0000-0000-00009D9C0000}"/>
    <cellStyle name="Warning Text 32 10" xfId="40048" xr:uid="{00000000-0005-0000-0000-00009E9C0000}"/>
    <cellStyle name="Warning Text 32 11" xfId="40049" xr:uid="{00000000-0005-0000-0000-00009F9C0000}"/>
    <cellStyle name="Warning Text 32 12" xfId="40050" xr:uid="{00000000-0005-0000-0000-0000A09C0000}"/>
    <cellStyle name="Warning Text 32 13" xfId="40051" xr:uid="{00000000-0005-0000-0000-0000A19C0000}"/>
    <cellStyle name="Warning Text 32 14" xfId="40052" xr:uid="{00000000-0005-0000-0000-0000A29C0000}"/>
    <cellStyle name="Warning Text 32 15" xfId="40053" xr:uid="{00000000-0005-0000-0000-0000A39C0000}"/>
    <cellStyle name="Warning Text 32 16" xfId="40054" xr:uid="{00000000-0005-0000-0000-0000A49C0000}"/>
    <cellStyle name="Warning Text 32 17" xfId="40055" xr:uid="{00000000-0005-0000-0000-0000A59C0000}"/>
    <cellStyle name="Warning Text 32 18" xfId="40056" xr:uid="{00000000-0005-0000-0000-0000A69C0000}"/>
    <cellStyle name="Warning Text 32 19" xfId="40057" xr:uid="{00000000-0005-0000-0000-0000A79C0000}"/>
    <cellStyle name="Warning Text 32 2" xfId="40058" xr:uid="{00000000-0005-0000-0000-0000A89C0000}"/>
    <cellStyle name="Warning Text 32 20" xfId="40059" xr:uid="{00000000-0005-0000-0000-0000A99C0000}"/>
    <cellStyle name="Warning Text 32 21" xfId="40060" xr:uid="{00000000-0005-0000-0000-0000AA9C0000}"/>
    <cellStyle name="Warning Text 32 22" xfId="40061" xr:uid="{00000000-0005-0000-0000-0000AB9C0000}"/>
    <cellStyle name="Warning Text 32 23" xfId="40062" xr:uid="{00000000-0005-0000-0000-0000AC9C0000}"/>
    <cellStyle name="Warning Text 32 24" xfId="40063" xr:uid="{00000000-0005-0000-0000-0000AD9C0000}"/>
    <cellStyle name="Warning Text 32 25" xfId="40064" xr:uid="{00000000-0005-0000-0000-0000AE9C0000}"/>
    <cellStyle name="Warning Text 32 26" xfId="40065" xr:uid="{00000000-0005-0000-0000-0000AF9C0000}"/>
    <cellStyle name="Warning Text 32 27" xfId="40066" xr:uid="{00000000-0005-0000-0000-0000B09C0000}"/>
    <cellStyle name="Warning Text 32 28" xfId="40067" xr:uid="{00000000-0005-0000-0000-0000B19C0000}"/>
    <cellStyle name="Warning Text 32 29" xfId="40068" xr:uid="{00000000-0005-0000-0000-0000B29C0000}"/>
    <cellStyle name="Warning Text 32 3" xfId="40069" xr:uid="{00000000-0005-0000-0000-0000B39C0000}"/>
    <cellStyle name="Warning Text 32 30" xfId="40070" xr:uid="{00000000-0005-0000-0000-0000B49C0000}"/>
    <cellStyle name="Warning Text 32 31" xfId="40071" xr:uid="{00000000-0005-0000-0000-0000B59C0000}"/>
    <cellStyle name="Warning Text 32 32" xfId="40072" xr:uid="{00000000-0005-0000-0000-0000B69C0000}"/>
    <cellStyle name="Warning Text 32 33" xfId="40073" xr:uid="{00000000-0005-0000-0000-0000B79C0000}"/>
    <cellStyle name="Warning Text 32 34" xfId="40074" xr:uid="{00000000-0005-0000-0000-0000B89C0000}"/>
    <cellStyle name="Warning Text 32 35" xfId="40075" xr:uid="{00000000-0005-0000-0000-0000B99C0000}"/>
    <cellStyle name="Warning Text 32 36" xfId="40076" xr:uid="{00000000-0005-0000-0000-0000BA9C0000}"/>
    <cellStyle name="Warning Text 32 4" xfId="40077" xr:uid="{00000000-0005-0000-0000-0000BB9C0000}"/>
    <cellStyle name="Warning Text 32 5" xfId="40078" xr:uid="{00000000-0005-0000-0000-0000BC9C0000}"/>
    <cellStyle name="Warning Text 32 6" xfId="40079" xr:uid="{00000000-0005-0000-0000-0000BD9C0000}"/>
    <cellStyle name="Warning Text 32 7" xfId="40080" xr:uid="{00000000-0005-0000-0000-0000BE9C0000}"/>
    <cellStyle name="Warning Text 32 8" xfId="40081" xr:uid="{00000000-0005-0000-0000-0000BF9C0000}"/>
    <cellStyle name="Warning Text 32 9" xfId="40082" xr:uid="{00000000-0005-0000-0000-0000C09C0000}"/>
    <cellStyle name="Warning Text 33" xfId="40083" xr:uid="{00000000-0005-0000-0000-0000C19C0000}"/>
    <cellStyle name="Warning Text 33 10" xfId="40084" xr:uid="{00000000-0005-0000-0000-0000C29C0000}"/>
    <cellStyle name="Warning Text 33 11" xfId="40085" xr:uid="{00000000-0005-0000-0000-0000C39C0000}"/>
    <cellStyle name="Warning Text 33 12" xfId="40086" xr:uid="{00000000-0005-0000-0000-0000C49C0000}"/>
    <cellStyle name="Warning Text 33 13" xfId="40087" xr:uid="{00000000-0005-0000-0000-0000C59C0000}"/>
    <cellStyle name="Warning Text 33 14" xfId="40088" xr:uid="{00000000-0005-0000-0000-0000C69C0000}"/>
    <cellStyle name="Warning Text 33 15" xfId="40089" xr:uid="{00000000-0005-0000-0000-0000C79C0000}"/>
    <cellStyle name="Warning Text 33 16" xfId="40090" xr:uid="{00000000-0005-0000-0000-0000C89C0000}"/>
    <cellStyle name="Warning Text 33 17" xfId="40091" xr:uid="{00000000-0005-0000-0000-0000C99C0000}"/>
    <cellStyle name="Warning Text 33 18" xfId="40092" xr:uid="{00000000-0005-0000-0000-0000CA9C0000}"/>
    <cellStyle name="Warning Text 33 19" xfId="40093" xr:uid="{00000000-0005-0000-0000-0000CB9C0000}"/>
    <cellStyle name="Warning Text 33 2" xfId="40094" xr:uid="{00000000-0005-0000-0000-0000CC9C0000}"/>
    <cellStyle name="Warning Text 33 20" xfId="40095" xr:uid="{00000000-0005-0000-0000-0000CD9C0000}"/>
    <cellStyle name="Warning Text 33 21" xfId="40096" xr:uid="{00000000-0005-0000-0000-0000CE9C0000}"/>
    <cellStyle name="Warning Text 33 22" xfId="40097" xr:uid="{00000000-0005-0000-0000-0000CF9C0000}"/>
    <cellStyle name="Warning Text 33 23" xfId="40098" xr:uid="{00000000-0005-0000-0000-0000D09C0000}"/>
    <cellStyle name="Warning Text 33 24" xfId="40099" xr:uid="{00000000-0005-0000-0000-0000D19C0000}"/>
    <cellStyle name="Warning Text 33 25" xfId="40100" xr:uid="{00000000-0005-0000-0000-0000D29C0000}"/>
    <cellStyle name="Warning Text 33 26" xfId="40101" xr:uid="{00000000-0005-0000-0000-0000D39C0000}"/>
    <cellStyle name="Warning Text 33 27" xfId="40102" xr:uid="{00000000-0005-0000-0000-0000D49C0000}"/>
    <cellStyle name="Warning Text 33 28" xfId="40103" xr:uid="{00000000-0005-0000-0000-0000D59C0000}"/>
    <cellStyle name="Warning Text 33 29" xfId="40104" xr:uid="{00000000-0005-0000-0000-0000D69C0000}"/>
    <cellStyle name="Warning Text 33 3" xfId="40105" xr:uid="{00000000-0005-0000-0000-0000D79C0000}"/>
    <cellStyle name="Warning Text 33 30" xfId="40106" xr:uid="{00000000-0005-0000-0000-0000D89C0000}"/>
    <cellStyle name="Warning Text 33 31" xfId="40107" xr:uid="{00000000-0005-0000-0000-0000D99C0000}"/>
    <cellStyle name="Warning Text 33 32" xfId="40108" xr:uid="{00000000-0005-0000-0000-0000DA9C0000}"/>
    <cellStyle name="Warning Text 33 33" xfId="40109" xr:uid="{00000000-0005-0000-0000-0000DB9C0000}"/>
    <cellStyle name="Warning Text 33 34" xfId="40110" xr:uid="{00000000-0005-0000-0000-0000DC9C0000}"/>
    <cellStyle name="Warning Text 33 35" xfId="40111" xr:uid="{00000000-0005-0000-0000-0000DD9C0000}"/>
    <cellStyle name="Warning Text 33 36" xfId="40112" xr:uid="{00000000-0005-0000-0000-0000DE9C0000}"/>
    <cellStyle name="Warning Text 33 4" xfId="40113" xr:uid="{00000000-0005-0000-0000-0000DF9C0000}"/>
    <cellStyle name="Warning Text 33 5" xfId="40114" xr:uid="{00000000-0005-0000-0000-0000E09C0000}"/>
    <cellStyle name="Warning Text 33 6" xfId="40115" xr:uid="{00000000-0005-0000-0000-0000E19C0000}"/>
    <cellStyle name="Warning Text 33 7" xfId="40116" xr:uid="{00000000-0005-0000-0000-0000E29C0000}"/>
    <cellStyle name="Warning Text 33 8" xfId="40117" xr:uid="{00000000-0005-0000-0000-0000E39C0000}"/>
    <cellStyle name="Warning Text 33 9" xfId="40118" xr:uid="{00000000-0005-0000-0000-0000E49C0000}"/>
    <cellStyle name="Warning Text 34" xfId="40119" xr:uid="{00000000-0005-0000-0000-0000E59C0000}"/>
    <cellStyle name="Warning Text 35" xfId="40120" xr:uid="{00000000-0005-0000-0000-0000E69C0000}"/>
    <cellStyle name="Warning Text 35 10" xfId="40121" xr:uid="{00000000-0005-0000-0000-0000E79C0000}"/>
    <cellStyle name="Warning Text 35 11" xfId="40122" xr:uid="{00000000-0005-0000-0000-0000E89C0000}"/>
    <cellStyle name="Warning Text 35 12" xfId="40123" xr:uid="{00000000-0005-0000-0000-0000E99C0000}"/>
    <cellStyle name="Warning Text 35 13" xfId="40124" xr:uid="{00000000-0005-0000-0000-0000EA9C0000}"/>
    <cellStyle name="Warning Text 35 14" xfId="40125" xr:uid="{00000000-0005-0000-0000-0000EB9C0000}"/>
    <cellStyle name="Warning Text 35 15" xfId="40126" xr:uid="{00000000-0005-0000-0000-0000EC9C0000}"/>
    <cellStyle name="Warning Text 35 16" xfId="40127" xr:uid="{00000000-0005-0000-0000-0000ED9C0000}"/>
    <cellStyle name="Warning Text 35 17" xfId="40128" xr:uid="{00000000-0005-0000-0000-0000EE9C0000}"/>
    <cellStyle name="Warning Text 35 18" xfId="40129" xr:uid="{00000000-0005-0000-0000-0000EF9C0000}"/>
    <cellStyle name="Warning Text 35 19" xfId="40130" xr:uid="{00000000-0005-0000-0000-0000F09C0000}"/>
    <cellStyle name="Warning Text 35 2" xfId="40131" xr:uid="{00000000-0005-0000-0000-0000F19C0000}"/>
    <cellStyle name="Warning Text 35 20" xfId="40132" xr:uid="{00000000-0005-0000-0000-0000F29C0000}"/>
    <cellStyle name="Warning Text 35 21" xfId="40133" xr:uid="{00000000-0005-0000-0000-0000F39C0000}"/>
    <cellStyle name="Warning Text 35 22" xfId="40134" xr:uid="{00000000-0005-0000-0000-0000F49C0000}"/>
    <cellStyle name="Warning Text 35 23" xfId="40135" xr:uid="{00000000-0005-0000-0000-0000F59C0000}"/>
    <cellStyle name="Warning Text 35 24" xfId="40136" xr:uid="{00000000-0005-0000-0000-0000F69C0000}"/>
    <cellStyle name="Warning Text 35 25" xfId="40137" xr:uid="{00000000-0005-0000-0000-0000F79C0000}"/>
    <cellStyle name="Warning Text 35 26" xfId="40138" xr:uid="{00000000-0005-0000-0000-0000F89C0000}"/>
    <cellStyle name="Warning Text 35 27" xfId="40139" xr:uid="{00000000-0005-0000-0000-0000F99C0000}"/>
    <cellStyle name="Warning Text 35 28" xfId="40140" xr:uid="{00000000-0005-0000-0000-0000FA9C0000}"/>
    <cellStyle name="Warning Text 35 29" xfId="40141" xr:uid="{00000000-0005-0000-0000-0000FB9C0000}"/>
    <cellStyle name="Warning Text 35 3" xfId="40142" xr:uid="{00000000-0005-0000-0000-0000FC9C0000}"/>
    <cellStyle name="Warning Text 35 30" xfId="40143" xr:uid="{00000000-0005-0000-0000-0000FD9C0000}"/>
    <cellStyle name="Warning Text 35 31" xfId="40144" xr:uid="{00000000-0005-0000-0000-0000FE9C0000}"/>
    <cellStyle name="Warning Text 35 32" xfId="40145" xr:uid="{00000000-0005-0000-0000-0000FF9C0000}"/>
    <cellStyle name="Warning Text 35 33" xfId="40146" xr:uid="{00000000-0005-0000-0000-0000009D0000}"/>
    <cellStyle name="Warning Text 35 34" xfId="40147" xr:uid="{00000000-0005-0000-0000-0000019D0000}"/>
    <cellStyle name="Warning Text 35 35" xfId="40148" xr:uid="{00000000-0005-0000-0000-0000029D0000}"/>
    <cellStyle name="Warning Text 35 36" xfId="40149" xr:uid="{00000000-0005-0000-0000-0000039D0000}"/>
    <cellStyle name="Warning Text 35 4" xfId="40150" xr:uid="{00000000-0005-0000-0000-0000049D0000}"/>
    <cellStyle name="Warning Text 35 5" xfId="40151" xr:uid="{00000000-0005-0000-0000-0000059D0000}"/>
    <cellStyle name="Warning Text 35 6" xfId="40152" xr:uid="{00000000-0005-0000-0000-0000069D0000}"/>
    <cellStyle name="Warning Text 35 7" xfId="40153" xr:uid="{00000000-0005-0000-0000-0000079D0000}"/>
    <cellStyle name="Warning Text 35 8" xfId="40154" xr:uid="{00000000-0005-0000-0000-0000089D0000}"/>
    <cellStyle name="Warning Text 35 9" xfId="40155" xr:uid="{00000000-0005-0000-0000-0000099D0000}"/>
    <cellStyle name="Warning Text 36" xfId="40156" xr:uid="{00000000-0005-0000-0000-00000A9D0000}"/>
    <cellStyle name="Warning Text 36 10" xfId="40157" xr:uid="{00000000-0005-0000-0000-00000B9D0000}"/>
    <cellStyle name="Warning Text 36 11" xfId="40158" xr:uid="{00000000-0005-0000-0000-00000C9D0000}"/>
    <cellStyle name="Warning Text 36 12" xfId="40159" xr:uid="{00000000-0005-0000-0000-00000D9D0000}"/>
    <cellStyle name="Warning Text 36 13" xfId="40160" xr:uid="{00000000-0005-0000-0000-00000E9D0000}"/>
    <cellStyle name="Warning Text 36 14" xfId="40161" xr:uid="{00000000-0005-0000-0000-00000F9D0000}"/>
    <cellStyle name="Warning Text 36 15" xfId="40162" xr:uid="{00000000-0005-0000-0000-0000109D0000}"/>
    <cellStyle name="Warning Text 36 16" xfId="40163" xr:uid="{00000000-0005-0000-0000-0000119D0000}"/>
    <cellStyle name="Warning Text 36 17" xfId="40164" xr:uid="{00000000-0005-0000-0000-0000129D0000}"/>
    <cellStyle name="Warning Text 36 18" xfId="40165" xr:uid="{00000000-0005-0000-0000-0000139D0000}"/>
    <cellStyle name="Warning Text 36 19" xfId="40166" xr:uid="{00000000-0005-0000-0000-0000149D0000}"/>
    <cellStyle name="Warning Text 36 2" xfId="40167" xr:uid="{00000000-0005-0000-0000-0000159D0000}"/>
    <cellStyle name="Warning Text 36 20" xfId="40168" xr:uid="{00000000-0005-0000-0000-0000169D0000}"/>
    <cellStyle name="Warning Text 36 21" xfId="40169" xr:uid="{00000000-0005-0000-0000-0000179D0000}"/>
    <cellStyle name="Warning Text 36 22" xfId="40170" xr:uid="{00000000-0005-0000-0000-0000189D0000}"/>
    <cellStyle name="Warning Text 36 23" xfId="40171" xr:uid="{00000000-0005-0000-0000-0000199D0000}"/>
    <cellStyle name="Warning Text 36 24" xfId="40172" xr:uid="{00000000-0005-0000-0000-00001A9D0000}"/>
    <cellStyle name="Warning Text 36 25" xfId="40173" xr:uid="{00000000-0005-0000-0000-00001B9D0000}"/>
    <cellStyle name="Warning Text 36 26" xfId="40174" xr:uid="{00000000-0005-0000-0000-00001C9D0000}"/>
    <cellStyle name="Warning Text 36 27" xfId="40175" xr:uid="{00000000-0005-0000-0000-00001D9D0000}"/>
    <cellStyle name="Warning Text 36 28" xfId="40176" xr:uid="{00000000-0005-0000-0000-00001E9D0000}"/>
    <cellStyle name="Warning Text 36 29" xfId="40177" xr:uid="{00000000-0005-0000-0000-00001F9D0000}"/>
    <cellStyle name="Warning Text 36 3" xfId="40178" xr:uid="{00000000-0005-0000-0000-0000209D0000}"/>
    <cellStyle name="Warning Text 36 30" xfId="40179" xr:uid="{00000000-0005-0000-0000-0000219D0000}"/>
    <cellStyle name="Warning Text 36 31" xfId="40180" xr:uid="{00000000-0005-0000-0000-0000229D0000}"/>
    <cellStyle name="Warning Text 36 32" xfId="40181" xr:uid="{00000000-0005-0000-0000-0000239D0000}"/>
    <cellStyle name="Warning Text 36 33" xfId="40182" xr:uid="{00000000-0005-0000-0000-0000249D0000}"/>
    <cellStyle name="Warning Text 36 34" xfId="40183" xr:uid="{00000000-0005-0000-0000-0000259D0000}"/>
    <cellStyle name="Warning Text 36 35" xfId="40184" xr:uid="{00000000-0005-0000-0000-0000269D0000}"/>
    <cellStyle name="Warning Text 36 36" xfId="40185" xr:uid="{00000000-0005-0000-0000-0000279D0000}"/>
    <cellStyle name="Warning Text 36 4" xfId="40186" xr:uid="{00000000-0005-0000-0000-0000289D0000}"/>
    <cellStyle name="Warning Text 36 5" xfId="40187" xr:uid="{00000000-0005-0000-0000-0000299D0000}"/>
    <cellStyle name="Warning Text 36 6" xfId="40188" xr:uid="{00000000-0005-0000-0000-00002A9D0000}"/>
    <cellStyle name="Warning Text 36 7" xfId="40189" xr:uid="{00000000-0005-0000-0000-00002B9D0000}"/>
    <cellStyle name="Warning Text 36 8" xfId="40190" xr:uid="{00000000-0005-0000-0000-00002C9D0000}"/>
    <cellStyle name="Warning Text 36 9" xfId="40191" xr:uid="{00000000-0005-0000-0000-00002D9D0000}"/>
    <cellStyle name="Warning Text 37" xfId="40192" xr:uid="{00000000-0005-0000-0000-00002E9D0000}"/>
    <cellStyle name="Warning Text 37 10" xfId="40193" xr:uid="{00000000-0005-0000-0000-00002F9D0000}"/>
    <cellStyle name="Warning Text 37 11" xfId="40194" xr:uid="{00000000-0005-0000-0000-0000309D0000}"/>
    <cellStyle name="Warning Text 37 12" xfId="40195" xr:uid="{00000000-0005-0000-0000-0000319D0000}"/>
    <cellStyle name="Warning Text 37 13" xfId="40196" xr:uid="{00000000-0005-0000-0000-0000329D0000}"/>
    <cellStyle name="Warning Text 37 14" xfId="40197" xr:uid="{00000000-0005-0000-0000-0000339D0000}"/>
    <cellStyle name="Warning Text 37 15" xfId="40198" xr:uid="{00000000-0005-0000-0000-0000349D0000}"/>
    <cellStyle name="Warning Text 37 16" xfId="40199" xr:uid="{00000000-0005-0000-0000-0000359D0000}"/>
    <cellStyle name="Warning Text 37 17" xfId="40200" xr:uid="{00000000-0005-0000-0000-0000369D0000}"/>
    <cellStyle name="Warning Text 37 18" xfId="40201" xr:uid="{00000000-0005-0000-0000-0000379D0000}"/>
    <cellStyle name="Warning Text 37 19" xfId="40202" xr:uid="{00000000-0005-0000-0000-0000389D0000}"/>
    <cellStyle name="Warning Text 37 2" xfId="40203" xr:uid="{00000000-0005-0000-0000-0000399D0000}"/>
    <cellStyle name="Warning Text 37 20" xfId="40204" xr:uid="{00000000-0005-0000-0000-00003A9D0000}"/>
    <cellStyle name="Warning Text 37 21" xfId="40205" xr:uid="{00000000-0005-0000-0000-00003B9D0000}"/>
    <cellStyle name="Warning Text 37 22" xfId="40206" xr:uid="{00000000-0005-0000-0000-00003C9D0000}"/>
    <cellStyle name="Warning Text 37 23" xfId="40207" xr:uid="{00000000-0005-0000-0000-00003D9D0000}"/>
    <cellStyle name="Warning Text 37 24" xfId="40208" xr:uid="{00000000-0005-0000-0000-00003E9D0000}"/>
    <cellStyle name="Warning Text 37 25" xfId="40209" xr:uid="{00000000-0005-0000-0000-00003F9D0000}"/>
    <cellStyle name="Warning Text 37 26" xfId="40210" xr:uid="{00000000-0005-0000-0000-0000409D0000}"/>
    <cellStyle name="Warning Text 37 27" xfId="40211" xr:uid="{00000000-0005-0000-0000-0000419D0000}"/>
    <cellStyle name="Warning Text 37 28" xfId="40212" xr:uid="{00000000-0005-0000-0000-0000429D0000}"/>
    <cellStyle name="Warning Text 37 29" xfId="40213" xr:uid="{00000000-0005-0000-0000-0000439D0000}"/>
    <cellStyle name="Warning Text 37 3" xfId="40214" xr:uid="{00000000-0005-0000-0000-0000449D0000}"/>
    <cellStyle name="Warning Text 37 30" xfId="40215" xr:uid="{00000000-0005-0000-0000-0000459D0000}"/>
    <cellStyle name="Warning Text 37 31" xfId="40216" xr:uid="{00000000-0005-0000-0000-0000469D0000}"/>
    <cellStyle name="Warning Text 37 32" xfId="40217" xr:uid="{00000000-0005-0000-0000-0000479D0000}"/>
    <cellStyle name="Warning Text 37 33" xfId="40218" xr:uid="{00000000-0005-0000-0000-0000489D0000}"/>
    <cellStyle name="Warning Text 37 34" xfId="40219" xr:uid="{00000000-0005-0000-0000-0000499D0000}"/>
    <cellStyle name="Warning Text 37 35" xfId="40220" xr:uid="{00000000-0005-0000-0000-00004A9D0000}"/>
    <cellStyle name="Warning Text 37 36" xfId="40221" xr:uid="{00000000-0005-0000-0000-00004B9D0000}"/>
    <cellStyle name="Warning Text 37 4" xfId="40222" xr:uid="{00000000-0005-0000-0000-00004C9D0000}"/>
    <cellStyle name="Warning Text 37 5" xfId="40223" xr:uid="{00000000-0005-0000-0000-00004D9D0000}"/>
    <cellStyle name="Warning Text 37 6" xfId="40224" xr:uid="{00000000-0005-0000-0000-00004E9D0000}"/>
    <cellStyle name="Warning Text 37 7" xfId="40225" xr:uid="{00000000-0005-0000-0000-00004F9D0000}"/>
    <cellStyle name="Warning Text 37 8" xfId="40226" xr:uid="{00000000-0005-0000-0000-0000509D0000}"/>
    <cellStyle name="Warning Text 37 9" xfId="40227" xr:uid="{00000000-0005-0000-0000-0000519D0000}"/>
    <cellStyle name="Warning Text 38" xfId="40228" xr:uid="{00000000-0005-0000-0000-0000529D0000}"/>
    <cellStyle name="Warning Text 38 10" xfId="40229" xr:uid="{00000000-0005-0000-0000-0000539D0000}"/>
    <cellStyle name="Warning Text 38 11" xfId="40230" xr:uid="{00000000-0005-0000-0000-0000549D0000}"/>
    <cellStyle name="Warning Text 38 12" xfId="40231" xr:uid="{00000000-0005-0000-0000-0000559D0000}"/>
    <cellStyle name="Warning Text 38 13" xfId="40232" xr:uid="{00000000-0005-0000-0000-0000569D0000}"/>
    <cellStyle name="Warning Text 38 14" xfId="40233" xr:uid="{00000000-0005-0000-0000-0000579D0000}"/>
    <cellStyle name="Warning Text 38 15" xfId="40234" xr:uid="{00000000-0005-0000-0000-0000589D0000}"/>
    <cellStyle name="Warning Text 38 16" xfId="40235" xr:uid="{00000000-0005-0000-0000-0000599D0000}"/>
    <cellStyle name="Warning Text 38 17" xfId="40236" xr:uid="{00000000-0005-0000-0000-00005A9D0000}"/>
    <cellStyle name="Warning Text 38 18" xfId="40237" xr:uid="{00000000-0005-0000-0000-00005B9D0000}"/>
    <cellStyle name="Warning Text 38 19" xfId="40238" xr:uid="{00000000-0005-0000-0000-00005C9D0000}"/>
    <cellStyle name="Warning Text 38 2" xfId="40239" xr:uid="{00000000-0005-0000-0000-00005D9D0000}"/>
    <cellStyle name="Warning Text 38 20" xfId="40240" xr:uid="{00000000-0005-0000-0000-00005E9D0000}"/>
    <cellStyle name="Warning Text 38 21" xfId="40241" xr:uid="{00000000-0005-0000-0000-00005F9D0000}"/>
    <cellStyle name="Warning Text 38 22" xfId="40242" xr:uid="{00000000-0005-0000-0000-0000609D0000}"/>
    <cellStyle name="Warning Text 38 23" xfId="40243" xr:uid="{00000000-0005-0000-0000-0000619D0000}"/>
    <cellStyle name="Warning Text 38 24" xfId="40244" xr:uid="{00000000-0005-0000-0000-0000629D0000}"/>
    <cellStyle name="Warning Text 38 25" xfId="40245" xr:uid="{00000000-0005-0000-0000-0000639D0000}"/>
    <cellStyle name="Warning Text 38 26" xfId="40246" xr:uid="{00000000-0005-0000-0000-0000649D0000}"/>
    <cellStyle name="Warning Text 38 27" xfId="40247" xr:uid="{00000000-0005-0000-0000-0000659D0000}"/>
    <cellStyle name="Warning Text 38 28" xfId="40248" xr:uid="{00000000-0005-0000-0000-0000669D0000}"/>
    <cellStyle name="Warning Text 38 29" xfId="40249" xr:uid="{00000000-0005-0000-0000-0000679D0000}"/>
    <cellStyle name="Warning Text 38 3" xfId="40250" xr:uid="{00000000-0005-0000-0000-0000689D0000}"/>
    <cellStyle name="Warning Text 38 30" xfId="40251" xr:uid="{00000000-0005-0000-0000-0000699D0000}"/>
    <cellStyle name="Warning Text 38 31" xfId="40252" xr:uid="{00000000-0005-0000-0000-00006A9D0000}"/>
    <cellStyle name="Warning Text 38 32" xfId="40253" xr:uid="{00000000-0005-0000-0000-00006B9D0000}"/>
    <cellStyle name="Warning Text 38 33" xfId="40254" xr:uid="{00000000-0005-0000-0000-00006C9D0000}"/>
    <cellStyle name="Warning Text 38 34" xfId="40255" xr:uid="{00000000-0005-0000-0000-00006D9D0000}"/>
    <cellStyle name="Warning Text 38 35" xfId="40256" xr:uid="{00000000-0005-0000-0000-00006E9D0000}"/>
    <cellStyle name="Warning Text 38 36" xfId="40257" xr:uid="{00000000-0005-0000-0000-00006F9D0000}"/>
    <cellStyle name="Warning Text 38 4" xfId="40258" xr:uid="{00000000-0005-0000-0000-0000709D0000}"/>
    <cellStyle name="Warning Text 38 5" xfId="40259" xr:uid="{00000000-0005-0000-0000-0000719D0000}"/>
    <cellStyle name="Warning Text 38 6" xfId="40260" xr:uid="{00000000-0005-0000-0000-0000729D0000}"/>
    <cellStyle name="Warning Text 38 7" xfId="40261" xr:uid="{00000000-0005-0000-0000-0000739D0000}"/>
    <cellStyle name="Warning Text 38 8" xfId="40262" xr:uid="{00000000-0005-0000-0000-0000749D0000}"/>
    <cellStyle name="Warning Text 38 9" xfId="40263" xr:uid="{00000000-0005-0000-0000-0000759D0000}"/>
    <cellStyle name="Warning Text 39" xfId="40264" xr:uid="{00000000-0005-0000-0000-0000769D0000}"/>
    <cellStyle name="Warning Text 39 10" xfId="40265" xr:uid="{00000000-0005-0000-0000-0000779D0000}"/>
    <cellStyle name="Warning Text 39 11" xfId="40266" xr:uid="{00000000-0005-0000-0000-0000789D0000}"/>
    <cellStyle name="Warning Text 39 12" xfId="40267" xr:uid="{00000000-0005-0000-0000-0000799D0000}"/>
    <cellStyle name="Warning Text 39 13" xfId="40268" xr:uid="{00000000-0005-0000-0000-00007A9D0000}"/>
    <cellStyle name="Warning Text 39 14" xfId="40269" xr:uid="{00000000-0005-0000-0000-00007B9D0000}"/>
    <cellStyle name="Warning Text 39 15" xfId="40270" xr:uid="{00000000-0005-0000-0000-00007C9D0000}"/>
    <cellStyle name="Warning Text 39 16" xfId="40271" xr:uid="{00000000-0005-0000-0000-00007D9D0000}"/>
    <cellStyle name="Warning Text 39 17" xfId="40272" xr:uid="{00000000-0005-0000-0000-00007E9D0000}"/>
    <cellStyle name="Warning Text 39 18" xfId="40273" xr:uid="{00000000-0005-0000-0000-00007F9D0000}"/>
    <cellStyle name="Warning Text 39 19" xfId="40274" xr:uid="{00000000-0005-0000-0000-0000809D0000}"/>
    <cellStyle name="Warning Text 39 2" xfId="40275" xr:uid="{00000000-0005-0000-0000-0000819D0000}"/>
    <cellStyle name="Warning Text 39 20" xfId="40276" xr:uid="{00000000-0005-0000-0000-0000829D0000}"/>
    <cellStyle name="Warning Text 39 21" xfId="40277" xr:uid="{00000000-0005-0000-0000-0000839D0000}"/>
    <cellStyle name="Warning Text 39 22" xfId="40278" xr:uid="{00000000-0005-0000-0000-0000849D0000}"/>
    <cellStyle name="Warning Text 39 23" xfId="40279" xr:uid="{00000000-0005-0000-0000-0000859D0000}"/>
    <cellStyle name="Warning Text 39 24" xfId="40280" xr:uid="{00000000-0005-0000-0000-0000869D0000}"/>
    <cellStyle name="Warning Text 39 25" xfId="40281" xr:uid="{00000000-0005-0000-0000-0000879D0000}"/>
    <cellStyle name="Warning Text 39 26" xfId="40282" xr:uid="{00000000-0005-0000-0000-0000889D0000}"/>
    <cellStyle name="Warning Text 39 27" xfId="40283" xr:uid="{00000000-0005-0000-0000-0000899D0000}"/>
    <cellStyle name="Warning Text 39 28" xfId="40284" xr:uid="{00000000-0005-0000-0000-00008A9D0000}"/>
    <cellStyle name="Warning Text 39 29" xfId="40285" xr:uid="{00000000-0005-0000-0000-00008B9D0000}"/>
    <cellStyle name="Warning Text 39 3" xfId="40286" xr:uid="{00000000-0005-0000-0000-00008C9D0000}"/>
    <cellStyle name="Warning Text 39 30" xfId="40287" xr:uid="{00000000-0005-0000-0000-00008D9D0000}"/>
    <cellStyle name="Warning Text 39 31" xfId="40288" xr:uid="{00000000-0005-0000-0000-00008E9D0000}"/>
    <cellStyle name="Warning Text 39 32" xfId="40289" xr:uid="{00000000-0005-0000-0000-00008F9D0000}"/>
    <cellStyle name="Warning Text 39 33" xfId="40290" xr:uid="{00000000-0005-0000-0000-0000909D0000}"/>
    <cellStyle name="Warning Text 39 34" xfId="40291" xr:uid="{00000000-0005-0000-0000-0000919D0000}"/>
    <cellStyle name="Warning Text 39 35" xfId="40292" xr:uid="{00000000-0005-0000-0000-0000929D0000}"/>
    <cellStyle name="Warning Text 39 36" xfId="40293" xr:uid="{00000000-0005-0000-0000-0000939D0000}"/>
    <cellStyle name="Warning Text 39 4" xfId="40294" xr:uid="{00000000-0005-0000-0000-0000949D0000}"/>
    <cellStyle name="Warning Text 39 5" xfId="40295" xr:uid="{00000000-0005-0000-0000-0000959D0000}"/>
    <cellStyle name="Warning Text 39 6" xfId="40296" xr:uid="{00000000-0005-0000-0000-0000969D0000}"/>
    <cellStyle name="Warning Text 39 7" xfId="40297" xr:uid="{00000000-0005-0000-0000-0000979D0000}"/>
    <cellStyle name="Warning Text 39 8" xfId="40298" xr:uid="{00000000-0005-0000-0000-0000989D0000}"/>
    <cellStyle name="Warning Text 39 9" xfId="40299" xr:uid="{00000000-0005-0000-0000-0000999D0000}"/>
    <cellStyle name="Warning Text 4" xfId="40300" xr:uid="{00000000-0005-0000-0000-00009A9D0000}"/>
    <cellStyle name="Warning Text 4 10" xfId="40301" xr:uid="{00000000-0005-0000-0000-00009B9D0000}"/>
    <cellStyle name="Warning Text 4 11" xfId="40302" xr:uid="{00000000-0005-0000-0000-00009C9D0000}"/>
    <cellStyle name="Warning Text 4 12" xfId="40303" xr:uid="{00000000-0005-0000-0000-00009D9D0000}"/>
    <cellStyle name="Warning Text 4 13" xfId="40304" xr:uid="{00000000-0005-0000-0000-00009E9D0000}"/>
    <cellStyle name="Warning Text 4 14" xfId="40305" xr:uid="{00000000-0005-0000-0000-00009F9D0000}"/>
    <cellStyle name="Warning Text 4 15" xfId="40306" xr:uid="{00000000-0005-0000-0000-0000A09D0000}"/>
    <cellStyle name="Warning Text 4 16" xfId="40307" xr:uid="{00000000-0005-0000-0000-0000A19D0000}"/>
    <cellStyle name="Warning Text 4 17" xfId="40308" xr:uid="{00000000-0005-0000-0000-0000A29D0000}"/>
    <cellStyle name="Warning Text 4 18" xfId="40309" xr:uid="{00000000-0005-0000-0000-0000A39D0000}"/>
    <cellStyle name="Warning Text 4 19" xfId="40310" xr:uid="{00000000-0005-0000-0000-0000A49D0000}"/>
    <cellStyle name="Warning Text 4 2" xfId="40311" xr:uid="{00000000-0005-0000-0000-0000A59D0000}"/>
    <cellStyle name="Warning Text 4 2 2" xfId="40312" xr:uid="{00000000-0005-0000-0000-0000A69D0000}"/>
    <cellStyle name="Warning Text 4 20" xfId="40313" xr:uid="{00000000-0005-0000-0000-0000A79D0000}"/>
    <cellStyle name="Warning Text 4 21" xfId="40314" xr:uid="{00000000-0005-0000-0000-0000A89D0000}"/>
    <cellStyle name="Warning Text 4 22" xfId="40315" xr:uid="{00000000-0005-0000-0000-0000A99D0000}"/>
    <cellStyle name="Warning Text 4 23" xfId="40316" xr:uid="{00000000-0005-0000-0000-0000AA9D0000}"/>
    <cellStyle name="Warning Text 4 24" xfId="40317" xr:uid="{00000000-0005-0000-0000-0000AB9D0000}"/>
    <cellStyle name="Warning Text 4 25" xfId="40318" xr:uid="{00000000-0005-0000-0000-0000AC9D0000}"/>
    <cellStyle name="Warning Text 4 26" xfId="40319" xr:uid="{00000000-0005-0000-0000-0000AD9D0000}"/>
    <cellStyle name="Warning Text 4 27" xfId="40320" xr:uid="{00000000-0005-0000-0000-0000AE9D0000}"/>
    <cellStyle name="Warning Text 4 28" xfId="40321" xr:uid="{00000000-0005-0000-0000-0000AF9D0000}"/>
    <cellStyle name="Warning Text 4 29" xfId="40322" xr:uid="{00000000-0005-0000-0000-0000B09D0000}"/>
    <cellStyle name="Warning Text 4 3" xfId="40323" xr:uid="{00000000-0005-0000-0000-0000B19D0000}"/>
    <cellStyle name="Warning Text 4 30" xfId="40324" xr:uid="{00000000-0005-0000-0000-0000B29D0000}"/>
    <cellStyle name="Warning Text 4 31" xfId="40325" xr:uid="{00000000-0005-0000-0000-0000B39D0000}"/>
    <cellStyle name="Warning Text 4 32" xfId="40326" xr:uid="{00000000-0005-0000-0000-0000B49D0000}"/>
    <cellStyle name="Warning Text 4 33" xfId="40327" xr:uid="{00000000-0005-0000-0000-0000B59D0000}"/>
    <cellStyle name="Warning Text 4 34" xfId="40328" xr:uid="{00000000-0005-0000-0000-0000B69D0000}"/>
    <cellStyle name="Warning Text 4 35" xfId="40329" xr:uid="{00000000-0005-0000-0000-0000B79D0000}"/>
    <cellStyle name="Warning Text 4 36" xfId="40330" xr:uid="{00000000-0005-0000-0000-0000B89D0000}"/>
    <cellStyle name="Warning Text 4 4" xfId="40331" xr:uid="{00000000-0005-0000-0000-0000B99D0000}"/>
    <cellStyle name="Warning Text 4 5" xfId="40332" xr:uid="{00000000-0005-0000-0000-0000BA9D0000}"/>
    <cellStyle name="Warning Text 4 6" xfId="40333" xr:uid="{00000000-0005-0000-0000-0000BB9D0000}"/>
    <cellStyle name="Warning Text 4 7" xfId="40334" xr:uid="{00000000-0005-0000-0000-0000BC9D0000}"/>
    <cellStyle name="Warning Text 4 8" xfId="40335" xr:uid="{00000000-0005-0000-0000-0000BD9D0000}"/>
    <cellStyle name="Warning Text 4 9" xfId="40336" xr:uid="{00000000-0005-0000-0000-0000BE9D0000}"/>
    <cellStyle name="Warning Text 40" xfId="40337" xr:uid="{00000000-0005-0000-0000-0000BF9D0000}"/>
    <cellStyle name="Warning Text 40 10" xfId="40338" xr:uid="{00000000-0005-0000-0000-0000C09D0000}"/>
    <cellStyle name="Warning Text 40 11" xfId="40339" xr:uid="{00000000-0005-0000-0000-0000C19D0000}"/>
    <cellStyle name="Warning Text 40 12" xfId="40340" xr:uid="{00000000-0005-0000-0000-0000C29D0000}"/>
    <cellStyle name="Warning Text 40 13" xfId="40341" xr:uid="{00000000-0005-0000-0000-0000C39D0000}"/>
    <cellStyle name="Warning Text 40 14" xfId="40342" xr:uid="{00000000-0005-0000-0000-0000C49D0000}"/>
    <cellStyle name="Warning Text 40 15" xfId="40343" xr:uid="{00000000-0005-0000-0000-0000C59D0000}"/>
    <cellStyle name="Warning Text 40 16" xfId="40344" xr:uid="{00000000-0005-0000-0000-0000C69D0000}"/>
    <cellStyle name="Warning Text 40 17" xfId="40345" xr:uid="{00000000-0005-0000-0000-0000C79D0000}"/>
    <cellStyle name="Warning Text 40 18" xfId="40346" xr:uid="{00000000-0005-0000-0000-0000C89D0000}"/>
    <cellStyle name="Warning Text 40 19" xfId="40347" xr:uid="{00000000-0005-0000-0000-0000C99D0000}"/>
    <cellStyle name="Warning Text 40 2" xfId="40348" xr:uid="{00000000-0005-0000-0000-0000CA9D0000}"/>
    <cellStyle name="Warning Text 40 20" xfId="40349" xr:uid="{00000000-0005-0000-0000-0000CB9D0000}"/>
    <cellStyle name="Warning Text 40 21" xfId="40350" xr:uid="{00000000-0005-0000-0000-0000CC9D0000}"/>
    <cellStyle name="Warning Text 40 22" xfId="40351" xr:uid="{00000000-0005-0000-0000-0000CD9D0000}"/>
    <cellStyle name="Warning Text 40 23" xfId="40352" xr:uid="{00000000-0005-0000-0000-0000CE9D0000}"/>
    <cellStyle name="Warning Text 40 24" xfId="40353" xr:uid="{00000000-0005-0000-0000-0000CF9D0000}"/>
    <cellStyle name="Warning Text 40 25" xfId="40354" xr:uid="{00000000-0005-0000-0000-0000D09D0000}"/>
    <cellStyle name="Warning Text 40 26" xfId="40355" xr:uid="{00000000-0005-0000-0000-0000D19D0000}"/>
    <cellStyle name="Warning Text 40 27" xfId="40356" xr:uid="{00000000-0005-0000-0000-0000D29D0000}"/>
    <cellStyle name="Warning Text 40 28" xfId="40357" xr:uid="{00000000-0005-0000-0000-0000D39D0000}"/>
    <cellStyle name="Warning Text 40 29" xfId="40358" xr:uid="{00000000-0005-0000-0000-0000D49D0000}"/>
    <cellStyle name="Warning Text 40 3" xfId="40359" xr:uid="{00000000-0005-0000-0000-0000D59D0000}"/>
    <cellStyle name="Warning Text 40 30" xfId="40360" xr:uid="{00000000-0005-0000-0000-0000D69D0000}"/>
    <cellStyle name="Warning Text 40 31" xfId="40361" xr:uid="{00000000-0005-0000-0000-0000D79D0000}"/>
    <cellStyle name="Warning Text 40 32" xfId="40362" xr:uid="{00000000-0005-0000-0000-0000D89D0000}"/>
    <cellStyle name="Warning Text 40 33" xfId="40363" xr:uid="{00000000-0005-0000-0000-0000D99D0000}"/>
    <cellStyle name="Warning Text 40 34" xfId="40364" xr:uid="{00000000-0005-0000-0000-0000DA9D0000}"/>
    <cellStyle name="Warning Text 40 35" xfId="40365" xr:uid="{00000000-0005-0000-0000-0000DB9D0000}"/>
    <cellStyle name="Warning Text 40 36" xfId="40366" xr:uid="{00000000-0005-0000-0000-0000DC9D0000}"/>
    <cellStyle name="Warning Text 40 4" xfId="40367" xr:uid="{00000000-0005-0000-0000-0000DD9D0000}"/>
    <cellStyle name="Warning Text 40 5" xfId="40368" xr:uid="{00000000-0005-0000-0000-0000DE9D0000}"/>
    <cellStyle name="Warning Text 40 6" xfId="40369" xr:uid="{00000000-0005-0000-0000-0000DF9D0000}"/>
    <cellStyle name="Warning Text 40 7" xfId="40370" xr:uid="{00000000-0005-0000-0000-0000E09D0000}"/>
    <cellStyle name="Warning Text 40 8" xfId="40371" xr:uid="{00000000-0005-0000-0000-0000E19D0000}"/>
    <cellStyle name="Warning Text 40 9" xfId="40372" xr:uid="{00000000-0005-0000-0000-0000E29D0000}"/>
    <cellStyle name="Warning Text 41" xfId="40373" xr:uid="{00000000-0005-0000-0000-0000E39D0000}"/>
    <cellStyle name="Warning Text 41 10" xfId="40374" xr:uid="{00000000-0005-0000-0000-0000E49D0000}"/>
    <cellStyle name="Warning Text 41 11" xfId="40375" xr:uid="{00000000-0005-0000-0000-0000E59D0000}"/>
    <cellStyle name="Warning Text 41 12" xfId="40376" xr:uid="{00000000-0005-0000-0000-0000E69D0000}"/>
    <cellStyle name="Warning Text 41 13" xfId="40377" xr:uid="{00000000-0005-0000-0000-0000E79D0000}"/>
    <cellStyle name="Warning Text 41 14" xfId="40378" xr:uid="{00000000-0005-0000-0000-0000E89D0000}"/>
    <cellStyle name="Warning Text 41 15" xfId="40379" xr:uid="{00000000-0005-0000-0000-0000E99D0000}"/>
    <cellStyle name="Warning Text 41 16" xfId="40380" xr:uid="{00000000-0005-0000-0000-0000EA9D0000}"/>
    <cellStyle name="Warning Text 41 17" xfId="40381" xr:uid="{00000000-0005-0000-0000-0000EB9D0000}"/>
    <cellStyle name="Warning Text 41 18" xfId="40382" xr:uid="{00000000-0005-0000-0000-0000EC9D0000}"/>
    <cellStyle name="Warning Text 41 19" xfId="40383" xr:uid="{00000000-0005-0000-0000-0000ED9D0000}"/>
    <cellStyle name="Warning Text 41 2" xfId="40384" xr:uid="{00000000-0005-0000-0000-0000EE9D0000}"/>
    <cellStyle name="Warning Text 41 20" xfId="40385" xr:uid="{00000000-0005-0000-0000-0000EF9D0000}"/>
    <cellStyle name="Warning Text 41 21" xfId="40386" xr:uid="{00000000-0005-0000-0000-0000F09D0000}"/>
    <cellStyle name="Warning Text 41 22" xfId="40387" xr:uid="{00000000-0005-0000-0000-0000F19D0000}"/>
    <cellStyle name="Warning Text 41 23" xfId="40388" xr:uid="{00000000-0005-0000-0000-0000F29D0000}"/>
    <cellStyle name="Warning Text 41 24" xfId="40389" xr:uid="{00000000-0005-0000-0000-0000F39D0000}"/>
    <cellStyle name="Warning Text 41 25" xfId="40390" xr:uid="{00000000-0005-0000-0000-0000F49D0000}"/>
    <cellStyle name="Warning Text 41 26" xfId="40391" xr:uid="{00000000-0005-0000-0000-0000F59D0000}"/>
    <cellStyle name="Warning Text 41 27" xfId="40392" xr:uid="{00000000-0005-0000-0000-0000F69D0000}"/>
    <cellStyle name="Warning Text 41 28" xfId="40393" xr:uid="{00000000-0005-0000-0000-0000F79D0000}"/>
    <cellStyle name="Warning Text 41 29" xfId="40394" xr:uid="{00000000-0005-0000-0000-0000F89D0000}"/>
    <cellStyle name="Warning Text 41 3" xfId="40395" xr:uid="{00000000-0005-0000-0000-0000F99D0000}"/>
    <cellStyle name="Warning Text 41 30" xfId="40396" xr:uid="{00000000-0005-0000-0000-0000FA9D0000}"/>
    <cellStyle name="Warning Text 41 31" xfId="40397" xr:uid="{00000000-0005-0000-0000-0000FB9D0000}"/>
    <cellStyle name="Warning Text 41 32" xfId="40398" xr:uid="{00000000-0005-0000-0000-0000FC9D0000}"/>
    <cellStyle name="Warning Text 41 33" xfId="40399" xr:uid="{00000000-0005-0000-0000-0000FD9D0000}"/>
    <cellStyle name="Warning Text 41 34" xfId="40400" xr:uid="{00000000-0005-0000-0000-0000FE9D0000}"/>
    <cellStyle name="Warning Text 41 35" xfId="40401" xr:uid="{00000000-0005-0000-0000-0000FF9D0000}"/>
    <cellStyle name="Warning Text 41 36" xfId="40402" xr:uid="{00000000-0005-0000-0000-0000009E0000}"/>
    <cellStyle name="Warning Text 41 4" xfId="40403" xr:uid="{00000000-0005-0000-0000-0000019E0000}"/>
    <cellStyle name="Warning Text 41 5" xfId="40404" xr:uid="{00000000-0005-0000-0000-0000029E0000}"/>
    <cellStyle name="Warning Text 41 6" xfId="40405" xr:uid="{00000000-0005-0000-0000-0000039E0000}"/>
    <cellStyle name="Warning Text 41 7" xfId="40406" xr:uid="{00000000-0005-0000-0000-0000049E0000}"/>
    <cellStyle name="Warning Text 41 8" xfId="40407" xr:uid="{00000000-0005-0000-0000-0000059E0000}"/>
    <cellStyle name="Warning Text 41 9" xfId="40408" xr:uid="{00000000-0005-0000-0000-0000069E0000}"/>
    <cellStyle name="Warning Text 42" xfId="40409" xr:uid="{00000000-0005-0000-0000-0000079E0000}"/>
    <cellStyle name="Warning Text 42 10" xfId="40410" xr:uid="{00000000-0005-0000-0000-0000089E0000}"/>
    <cellStyle name="Warning Text 42 11" xfId="40411" xr:uid="{00000000-0005-0000-0000-0000099E0000}"/>
    <cellStyle name="Warning Text 42 12" xfId="40412" xr:uid="{00000000-0005-0000-0000-00000A9E0000}"/>
    <cellStyle name="Warning Text 42 13" xfId="40413" xr:uid="{00000000-0005-0000-0000-00000B9E0000}"/>
    <cellStyle name="Warning Text 42 14" xfId="40414" xr:uid="{00000000-0005-0000-0000-00000C9E0000}"/>
    <cellStyle name="Warning Text 42 15" xfId="40415" xr:uid="{00000000-0005-0000-0000-00000D9E0000}"/>
    <cellStyle name="Warning Text 42 16" xfId="40416" xr:uid="{00000000-0005-0000-0000-00000E9E0000}"/>
    <cellStyle name="Warning Text 42 17" xfId="40417" xr:uid="{00000000-0005-0000-0000-00000F9E0000}"/>
    <cellStyle name="Warning Text 42 18" xfId="40418" xr:uid="{00000000-0005-0000-0000-0000109E0000}"/>
    <cellStyle name="Warning Text 42 19" xfId="40419" xr:uid="{00000000-0005-0000-0000-0000119E0000}"/>
    <cellStyle name="Warning Text 42 2" xfId="40420" xr:uid="{00000000-0005-0000-0000-0000129E0000}"/>
    <cellStyle name="Warning Text 42 20" xfId="40421" xr:uid="{00000000-0005-0000-0000-0000139E0000}"/>
    <cellStyle name="Warning Text 42 21" xfId="40422" xr:uid="{00000000-0005-0000-0000-0000149E0000}"/>
    <cellStyle name="Warning Text 42 22" xfId="40423" xr:uid="{00000000-0005-0000-0000-0000159E0000}"/>
    <cellStyle name="Warning Text 42 23" xfId="40424" xr:uid="{00000000-0005-0000-0000-0000169E0000}"/>
    <cellStyle name="Warning Text 42 24" xfId="40425" xr:uid="{00000000-0005-0000-0000-0000179E0000}"/>
    <cellStyle name="Warning Text 42 25" xfId="40426" xr:uid="{00000000-0005-0000-0000-0000189E0000}"/>
    <cellStyle name="Warning Text 42 26" xfId="40427" xr:uid="{00000000-0005-0000-0000-0000199E0000}"/>
    <cellStyle name="Warning Text 42 27" xfId="40428" xr:uid="{00000000-0005-0000-0000-00001A9E0000}"/>
    <cellStyle name="Warning Text 42 28" xfId="40429" xr:uid="{00000000-0005-0000-0000-00001B9E0000}"/>
    <cellStyle name="Warning Text 42 29" xfId="40430" xr:uid="{00000000-0005-0000-0000-00001C9E0000}"/>
    <cellStyle name="Warning Text 42 3" xfId="40431" xr:uid="{00000000-0005-0000-0000-00001D9E0000}"/>
    <cellStyle name="Warning Text 42 30" xfId="40432" xr:uid="{00000000-0005-0000-0000-00001E9E0000}"/>
    <cellStyle name="Warning Text 42 31" xfId="40433" xr:uid="{00000000-0005-0000-0000-00001F9E0000}"/>
    <cellStyle name="Warning Text 42 32" xfId="40434" xr:uid="{00000000-0005-0000-0000-0000209E0000}"/>
    <cellStyle name="Warning Text 42 33" xfId="40435" xr:uid="{00000000-0005-0000-0000-0000219E0000}"/>
    <cellStyle name="Warning Text 42 34" xfId="40436" xr:uid="{00000000-0005-0000-0000-0000229E0000}"/>
    <cellStyle name="Warning Text 42 35" xfId="40437" xr:uid="{00000000-0005-0000-0000-0000239E0000}"/>
    <cellStyle name="Warning Text 42 36" xfId="40438" xr:uid="{00000000-0005-0000-0000-0000249E0000}"/>
    <cellStyle name="Warning Text 42 4" xfId="40439" xr:uid="{00000000-0005-0000-0000-0000259E0000}"/>
    <cellStyle name="Warning Text 42 5" xfId="40440" xr:uid="{00000000-0005-0000-0000-0000269E0000}"/>
    <cellStyle name="Warning Text 42 6" xfId="40441" xr:uid="{00000000-0005-0000-0000-0000279E0000}"/>
    <cellStyle name="Warning Text 42 7" xfId="40442" xr:uid="{00000000-0005-0000-0000-0000289E0000}"/>
    <cellStyle name="Warning Text 42 8" xfId="40443" xr:uid="{00000000-0005-0000-0000-0000299E0000}"/>
    <cellStyle name="Warning Text 42 9" xfId="40444" xr:uid="{00000000-0005-0000-0000-00002A9E0000}"/>
    <cellStyle name="Warning Text 43" xfId="40445" xr:uid="{00000000-0005-0000-0000-00002B9E0000}"/>
    <cellStyle name="Warning Text 43 10" xfId="40446" xr:uid="{00000000-0005-0000-0000-00002C9E0000}"/>
    <cellStyle name="Warning Text 43 11" xfId="40447" xr:uid="{00000000-0005-0000-0000-00002D9E0000}"/>
    <cellStyle name="Warning Text 43 12" xfId="40448" xr:uid="{00000000-0005-0000-0000-00002E9E0000}"/>
    <cellStyle name="Warning Text 43 13" xfId="40449" xr:uid="{00000000-0005-0000-0000-00002F9E0000}"/>
    <cellStyle name="Warning Text 43 14" xfId="40450" xr:uid="{00000000-0005-0000-0000-0000309E0000}"/>
    <cellStyle name="Warning Text 43 15" xfId="40451" xr:uid="{00000000-0005-0000-0000-0000319E0000}"/>
    <cellStyle name="Warning Text 43 16" xfId="40452" xr:uid="{00000000-0005-0000-0000-0000329E0000}"/>
    <cellStyle name="Warning Text 43 17" xfId="40453" xr:uid="{00000000-0005-0000-0000-0000339E0000}"/>
    <cellStyle name="Warning Text 43 18" xfId="40454" xr:uid="{00000000-0005-0000-0000-0000349E0000}"/>
    <cellStyle name="Warning Text 43 19" xfId="40455" xr:uid="{00000000-0005-0000-0000-0000359E0000}"/>
    <cellStyle name="Warning Text 43 2" xfId="40456" xr:uid="{00000000-0005-0000-0000-0000369E0000}"/>
    <cellStyle name="Warning Text 43 20" xfId="40457" xr:uid="{00000000-0005-0000-0000-0000379E0000}"/>
    <cellStyle name="Warning Text 43 21" xfId="40458" xr:uid="{00000000-0005-0000-0000-0000389E0000}"/>
    <cellStyle name="Warning Text 43 22" xfId="40459" xr:uid="{00000000-0005-0000-0000-0000399E0000}"/>
    <cellStyle name="Warning Text 43 23" xfId="40460" xr:uid="{00000000-0005-0000-0000-00003A9E0000}"/>
    <cellStyle name="Warning Text 43 24" xfId="40461" xr:uid="{00000000-0005-0000-0000-00003B9E0000}"/>
    <cellStyle name="Warning Text 43 25" xfId="40462" xr:uid="{00000000-0005-0000-0000-00003C9E0000}"/>
    <cellStyle name="Warning Text 43 26" xfId="40463" xr:uid="{00000000-0005-0000-0000-00003D9E0000}"/>
    <cellStyle name="Warning Text 43 27" xfId="40464" xr:uid="{00000000-0005-0000-0000-00003E9E0000}"/>
    <cellStyle name="Warning Text 43 28" xfId="40465" xr:uid="{00000000-0005-0000-0000-00003F9E0000}"/>
    <cellStyle name="Warning Text 43 29" xfId="40466" xr:uid="{00000000-0005-0000-0000-0000409E0000}"/>
    <cellStyle name="Warning Text 43 3" xfId="40467" xr:uid="{00000000-0005-0000-0000-0000419E0000}"/>
    <cellStyle name="Warning Text 43 30" xfId="40468" xr:uid="{00000000-0005-0000-0000-0000429E0000}"/>
    <cellStyle name="Warning Text 43 31" xfId="40469" xr:uid="{00000000-0005-0000-0000-0000439E0000}"/>
    <cellStyle name="Warning Text 43 32" xfId="40470" xr:uid="{00000000-0005-0000-0000-0000449E0000}"/>
    <cellStyle name="Warning Text 43 33" xfId="40471" xr:uid="{00000000-0005-0000-0000-0000459E0000}"/>
    <cellStyle name="Warning Text 43 34" xfId="40472" xr:uid="{00000000-0005-0000-0000-0000469E0000}"/>
    <cellStyle name="Warning Text 43 35" xfId="40473" xr:uid="{00000000-0005-0000-0000-0000479E0000}"/>
    <cellStyle name="Warning Text 43 36" xfId="40474" xr:uid="{00000000-0005-0000-0000-0000489E0000}"/>
    <cellStyle name="Warning Text 43 4" xfId="40475" xr:uid="{00000000-0005-0000-0000-0000499E0000}"/>
    <cellStyle name="Warning Text 43 5" xfId="40476" xr:uid="{00000000-0005-0000-0000-00004A9E0000}"/>
    <cellStyle name="Warning Text 43 6" xfId="40477" xr:uid="{00000000-0005-0000-0000-00004B9E0000}"/>
    <cellStyle name="Warning Text 43 7" xfId="40478" xr:uid="{00000000-0005-0000-0000-00004C9E0000}"/>
    <cellStyle name="Warning Text 43 8" xfId="40479" xr:uid="{00000000-0005-0000-0000-00004D9E0000}"/>
    <cellStyle name="Warning Text 43 9" xfId="40480" xr:uid="{00000000-0005-0000-0000-00004E9E0000}"/>
    <cellStyle name="Warning Text 44" xfId="40481" xr:uid="{00000000-0005-0000-0000-00004F9E0000}"/>
    <cellStyle name="Warning Text 44 10" xfId="40482" xr:uid="{00000000-0005-0000-0000-0000509E0000}"/>
    <cellStyle name="Warning Text 44 11" xfId="40483" xr:uid="{00000000-0005-0000-0000-0000519E0000}"/>
    <cellStyle name="Warning Text 44 12" xfId="40484" xr:uid="{00000000-0005-0000-0000-0000529E0000}"/>
    <cellStyle name="Warning Text 44 13" xfId="40485" xr:uid="{00000000-0005-0000-0000-0000539E0000}"/>
    <cellStyle name="Warning Text 44 14" xfId="40486" xr:uid="{00000000-0005-0000-0000-0000549E0000}"/>
    <cellStyle name="Warning Text 44 15" xfId="40487" xr:uid="{00000000-0005-0000-0000-0000559E0000}"/>
    <cellStyle name="Warning Text 44 16" xfId="40488" xr:uid="{00000000-0005-0000-0000-0000569E0000}"/>
    <cellStyle name="Warning Text 44 17" xfId="40489" xr:uid="{00000000-0005-0000-0000-0000579E0000}"/>
    <cellStyle name="Warning Text 44 18" xfId="40490" xr:uid="{00000000-0005-0000-0000-0000589E0000}"/>
    <cellStyle name="Warning Text 44 19" xfId="40491" xr:uid="{00000000-0005-0000-0000-0000599E0000}"/>
    <cellStyle name="Warning Text 44 2" xfId="40492" xr:uid="{00000000-0005-0000-0000-00005A9E0000}"/>
    <cellStyle name="Warning Text 44 20" xfId="40493" xr:uid="{00000000-0005-0000-0000-00005B9E0000}"/>
    <cellStyle name="Warning Text 44 21" xfId="40494" xr:uid="{00000000-0005-0000-0000-00005C9E0000}"/>
    <cellStyle name="Warning Text 44 22" xfId="40495" xr:uid="{00000000-0005-0000-0000-00005D9E0000}"/>
    <cellStyle name="Warning Text 44 23" xfId="40496" xr:uid="{00000000-0005-0000-0000-00005E9E0000}"/>
    <cellStyle name="Warning Text 44 24" xfId="40497" xr:uid="{00000000-0005-0000-0000-00005F9E0000}"/>
    <cellStyle name="Warning Text 44 25" xfId="40498" xr:uid="{00000000-0005-0000-0000-0000609E0000}"/>
    <cellStyle name="Warning Text 44 26" xfId="40499" xr:uid="{00000000-0005-0000-0000-0000619E0000}"/>
    <cellStyle name="Warning Text 44 27" xfId="40500" xr:uid="{00000000-0005-0000-0000-0000629E0000}"/>
    <cellStyle name="Warning Text 44 28" xfId="40501" xr:uid="{00000000-0005-0000-0000-0000639E0000}"/>
    <cellStyle name="Warning Text 44 29" xfId="40502" xr:uid="{00000000-0005-0000-0000-0000649E0000}"/>
    <cellStyle name="Warning Text 44 3" xfId="40503" xr:uid="{00000000-0005-0000-0000-0000659E0000}"/>
    <cellStyle name="Warning Text 44 30" xfId="40504" xr:uid="{00000000-0005-0000-0000-0000669E0000}"/>
    <cellStyle name="Warning Text 44 31" xfId="40505" xr:uid="{00000000-0005-0000-0000-0000679E0000}"/>
    <cellStyle name="Warning Text 44 32" xfId="40506" xr:uid="{00000000-0005-0000-0000-0000689E0000}"/>
    <cellStyle name="Warning Text 44 33" xfId="40507" xr:uid="{00000000-0005-0000-0000-0000699E0000}"/>
    <cellStyle name="Warning Text 44 34" xfId="40508" xr:uid="{00000000-0005-0000-0000-00006A9E0000}"/>
    <cellStyle name="Warning Text 44 35" xfId="40509" xr:uid="{00000000-0005-0000-0000-00006B9E0000}"/>
    <cellStyle name="Warning Text 44 36" xfId="40510" xr:uid="{00000000-0005-0000-0000-00006C9E0000}"/>
    <cellStyle name="Warning Text 44 4" xfId="40511" xr:uid="{00000000-0005-0000-0000-00006D9E0000}"/>
    <cellStyle name="Warning Text 44 5" xfId="40512" xr:uid="{00000000-0005-0000-0000-00006E9E0000}"/>
    <cellStyle name="Warning Text 44 6" xfId="40513" xr:uid="{00000000-0005-0000-0000-00006F9E0000}"/>
    <cellStyle name="Warning Text 44 7" xfId="40514" xr:uid="{00000000-0005-0000-0000-0000709E0000}"/>
    <cellStyle name="Warning Text 44 8" xfId="40515" xr:uid="{00000000-0005-0000-0000-0000719E0000}"/>
    <cellStyle name="Warning Text 44 9" xfId="40516" xr:uid="{00000000-0005-0000-0000-0000729E0000}"/>
    <cellStyle name="Warning Text 45" xfId="40517" xr:uid="{00000000-0005-0000-0000-0000739E0000}"/>
    <cellStyle name="Warning Text 45 10" xfId="40518" xr:uid="{00000000-0005-0000-0000-0000749E0000}"/>
    <cellStyle name="Warning Text 45 11" xfId="40519" xr:uid="{00000000-0005-0000-0000-0000759E0000}"/>
    <cellStyle name="Warning Text 45 12" xfId="40520" xr:uid="{00000000-0005-0000-0000-0000769E0000}"/>
    <cellStyle name="Warning Text 45 13" xfId="40521" xr:uid="{00000000-0005-0000-0000-0000779E0000}"/>
    <cellStyle name="Warning Text 45 14" xfId="40522" xr:uid="{00000000-0005-0000-0000-0000789E0000}"/>
    <cellStyle name="Warning Text 45 15" xfId="40523" xr:uid="{00000000-0005-0000-0000-0000799E0000}"/>
    <cellStyle name="Warning Text 45 16" xfId="40524" xr:uid="{00000000-0005-0000-0000-00007A9E0000}"/>
    <cellStyle name="Warning Text 45 17" xfId="40525" xr:uid="{00000000-0005-0000-0000-00007B9E0000}"/>
    <cellStyle name="Warning Text 45 18" xfId="40526" xr:uid="{00000000-0005-0000-0000-00007C9E0000}"/>
    <cellStyle name="Warning Text 45 19" xfId="40527" xr:uid="{00000000-0005-0000-0000-00007D9E0000}"/>
    <cellStyle name="Warning Text 45 2" xfId="40528" xr:uid="{00000000-0005-0000-0000-00007E9E0000}"/>
    <cellStyle name="Warning Text 45 20" xfId="40529" xr:uid="{00000000-0005-0000-0000-00007F9E0000}"/>
    <cellStyle name="Warning Text 45 21" xfId="40530" xr:uid="{00000000-0005-0000-0000-0000809E0000}"/>
    <cellStyle name="Warning Text 45 22" xfId="40531" xr:uid="{00000000-0005-0000-0000-0000819E0000}"/>
    <cellStyle name="Warning Text 45 23" xfId="40532" xr:uid="{00000000-0005-0000-0000-0000829E0000}"/>
    <cellStyle name="Warning Text 45 24" xfId="40533" xr:uid="{00000000-0005-0000-0000-0000839E0000}"/>
    <cellStyle name="Warning Text 45 25" xfId="40534" xr:uid="{00000000-0005-0000-0000-0000849E0000}"/>
    <cellStyle name="Warning Text 45 26" xfId="40535" xr:uid="{00000000-0005-0000-0000-0000859E0000}"/>
    <cellStyle name="Warning Text 45 27" xfId="40536" xr:uid="{00000000-0005-0000-0000-0000869E0000}"/>
    <cellStyle name="Warning Text 45 28" xfId="40537" xr:uid="{00000000-0005-0000-0000-0000879E0000}"/>
    <cellStyle name="Warning Text 45 29" xfId="40538" xr:uid="{00000000-0005-0000-0000-0000889E0000}"/>
    <cellStyle name="Warning Text 45 3" xfId="40539" xr:uid="{00000000-0005-0000-0000-0000899E0000}"/>
    <cellStyle name="Warning Text 45 30" xfId="40540" xr:uid="{00000000-0005-0000-0000-00008A9E0000}"/>
    <cellStyle name="Warning Text 45 31" xfId="40541" xr:uid="{00000000-0005-0000-0000-00008B9E0000}"/>
    <cellStyle name="Warning Text 45 32" xfId="40542" xr:uid="{00000000-0005-0000-0000-00008C9E0000}"/>
    <cellStyle name="Warning Text 45 33" xfId="40543" xr:uid="{00000000-0005-0000-0000-00008D9E0000}"/>
    <cellStyle name="Warning Text 45 34" xfId="40544" xr:uid="{00000000-0005-0000-0000-00008E9E0000}"/>
    <cellStyle name="Warning Text 45 35" xfId="40545" xr:uid="{00000000-0005-0000-0000-00008F9E0000}"/>
    <cellStyle name="Warning Text 45 36" xfId="40546" xr:uid="{00000000-0005-0000-0000-0000909E0000}"/>
    <cellStyle name="Warning Text 45 4" xfId="40547" xr:uid="{00000000-0005-0000-0000-0000919E0000}"/>
    <cellStyle name="Warning Text 45 5" xfId="40548" xr:uid="{00000000-0005-0000-0000-0000929E0000}"/>
    <cellStyle name="Warning Text 45 6" xfId="40549" xr:uid="{00000000-0005-0000-0000-0000939E0000}"/>
    <cellStyle name="Warning Text 45 7" xfId="40550" xr:uid="{00000000-0005-0000-0000-0000949E0000}"/>
    <cellStyle name="Warning Text 45 8" xfId="40551" xr:uid="{00000000-0005-0000-0000-0000959E0000}"/>
    <cellStyle name="Warning Text 45 9" xfId="40552" xr:uid="{00000000-0005-0000-0000-0000969E0000}"/>
    <cellStyle name="Warning Text 46" xfId="40553" xr:uid="{00000000-0005-0000-0000-0000979E0000}"/>
    <cellStyle name="Warning Text 46 10" xfId="40554" xr:uid="{00000000-0005-0000-0000-0000989E0000}"/>
    <cellStyle name="Warning Text 46 11" xfId="40555" xr:uid="{00000000-0005-0000-0000-0000999E0000}"/>
    <cellStyle name="Warning Text 46 12" xfId="40556" xr:uid="{00000000-0005-0000-0000-00009A9E0000}"/>
    <cellStyle name="Warning Text 46 13" xfId="40557" xr:uid="{00000000-0005-0000-0000-00009B9E0000}"/>
    <cellStyle name="Warning Text 46 14" xfId="40558" xr:uid="{00000000-0005-0000-0000-00009C9E0000}"/>
    <cellStyle name="Warning Text 46 15" xfId="40559" xr:uid="{00000000-0005-0000-0000-00009D9E0000}"/>
    <cellStyle name="Warning Text 46 16" xfId="40560" xr:uid="{00000000-0005-0000-0000-00009E9E0000}"/>
    <cellStyle name="Warning Text 46 17" xfId="40561" xr:uid="{00000000-0005-0000-0000-00009F9E0000}"/>
    <cellStyle name="Warning Text 46 18" xfId="40562" xr:uid="{00000000-0005-0000-0000-0000A09E0000}"/>
    <cellStyle name="Warning Text 46 19" xfId="40563" xr:uid="{00000000-0005-0000-0000-0000A19E0000}"/>
    <cellStyle name="Warning Text 46 2" xfId="40564" xr:uid="{00000000-0005-0000-0000-0000A29E0000}"/>
    <cellStyle name="Warning Text 46 20" xfId="40565" xr:uid="{00000000-0005-0000-0000-0000A39E0000}"/>
    <cellStyle name="Warning Text 46 21" xfId="40566" xr:uid="{00000000-0005-0000-0000-0000A49E0000}"/>
    <cellStyle name="Warning Text 46 22" xfId="40567" xr:uid="{00000000-0005-0000-0000-0000A59E0000}"/>
    <cellStyle name="Warning Text 46 23" xfId="40568" xr:uid="{00000000-0005-0000-0000-0000A69E0000}"/>
    <cellStyle name="Warning Text 46 24" xfId="40569" xr:uid="{00000000-0005-0000-0000-0000A79E0000}"/>
    <cellStyle name="Warning Text 46 25" xfId="40570" xr:uid="{00000000-0005-0000-0000-0000A89E0000}"/>
    <cellStyle name="Warning Text 46 26" xfId="40571" xr:uid="{00000000-0005-0000-0000-0000A99E0000}"/>
    <cellStyle name="Warning Text 46 27" xfId="40572" xr:uid="{00000000-0005-0000-0000-0000AA9E0000}"/>
    <cellStyle name="Warning Text 46 28" xfId="40573" xr:uid="{00000000-0005-0000-0000-0000AB9E0000}"/>
    <cellStyle name="Warning Text 46 29" xfId="40574" xr:uid="{00000000-0005-0000-0000-0000AC9E0000}"/>
    <cellStyle name="Warning Text 46 3" xfId="40575" xr:uid="{00000000-0005-0000-0000-0000AD9E0000}"/>
    <cellStyle name="Warning Text 46 30" xfId="40576" xr:uid="{00000000-0005-0000-0000-0000AE9E0000}"/>
    <cellStyle name="Warning Text 46 31" xfId="40577" xr:uid="{00000000-0005-0000-0000-0000AF9E0000}"/>
    <cellStyle name="Warning Text 46 32" xfId="40578" xr:uid="{00000000-0005-0000-0000-0000B09E0000}"/>
    <cellStyle name="Warning Text 46 33" xfId="40579" xr:uid="{00000000-0005-0000-0000-0000B19E0000}"/>
    <cellStyle name="Warning Text 46 34" xfId="40580" xr:uid="{00000000-0005-0000-0000-0000B29E0000}"/>
    <cellStyle name="Warning Text 46 35" xfId="40581" xr:uid="{00000000-0005-0000-0000-0000B39E0000}"/>
    <cellStyle name="Warning Text 46 36" xfId="40582" xr:uid="{00000000-0005-0000-0000-0000B49E0000}"/>
    <cellStyle name="Warning Text 46 4" xfId="40583" xr:uid="{00000000-0005-0000-0000-0000B59E0000}"/>
    <cellStyle name="Warning Text 46 5" xfId="40584" xr:uid="{00000000-0005-0000-0000-0000B69E0000}"/>
    <cellStyle name="Warning Text 46 6" xfId="40585" xr:uid="{00000000-0005-0000-0000-0000B79E0000}"/>
    <cellStyle name="Warning Text 46 7" xfId="40586" xr:uid="{00000000-0005-0000-0000-0000B89E0000}"/>
    <cellStyle name="Warning Text 46 8" xfId="40587" xr:uid="{00000000-0005-0000-0000-0000B99E0000}"/>
    <cellStyle name="Warning Text 46 9" xfId="40588" xr:uid="{00000000-0005-0000-0000-0000BA9E0000}"/>
    <cellStyle name="Warning Text 47" xfId="40589" xr:uid="{00000000-0005-0000-0000-0000BB9E0000}"/>
    <cellStyle name="Warning Text 47 10" xfId="40590" xr:uid="{00000000-0005-0000-0000-0000BC9E0000}"/>
    <cellStyle name="Warning Text 47 11" xfId="40591" xr:uid="{00000000-0005-0000-0000-0000BD9E0000}"/>
    <cellStyle name="Warning Text 47 12" xfId="40592" xr:uid="{00000000-0005-0000-0000-0000BE9E0000}"/>
    <cellStyle name="Warning Text 47 13" xfId="40593" xr:uid="{00000000-0005-0000-0000-0000BF9E0000}"/>
    <cellStyle name="Warning Text 47 14" xfId="40594" xr:uid="{00000000-0005-0000-0000-0000C09E0000}"/>
    <cellStyle name="Warning Text 47 15" xfId="40595" xr:uid="{00000000-0005-0000-0000-0000C19E0000}"/>
    <cellStyle name="Warning Text 47 16" xfId="40596" xr:uid="{00000000-0005-0000-0000-0000C29E0000}"/>
    <cellStyle name="Warning Text 47 17" xfId="40597" xr:uid="{00000000-0005-0000-0000-0000C39E0000}"/>
    <cellStyle name="Warning Text 47 18" xfId="40598" xr:uid="{00000000-0005-0000-0000-0000C49E0000}"/>
    <cellStyle name="Warning Text 47 19" xfId="40599" xr:uid="{00000000-0005-0000-0000-0000C59E0000}"/>
    <cellStyle name="Warning Text 47 2" xfId="40600" xr:uid="{00000000-0005-0000-0000-0000C69E0000}"/>
    <cellStyle name="Warning Text 47 20" xfId="40601" xr:uid="{00000000-0005-0000-0000-0000C79E0000}"/>
    <cellStyle name="Warning Text 47 21" xfId="40602" xr:uid="{00000000-0005-0000-0000-0000C89E0000}"/>
    <cellStyle name="Warning Text 47 22" xfId="40603" xr:uid="{00000000-0005-0000-0000-0000C99E0000}"/>
    <cellStyle name="Warning Text 47 23" xfId="40604" xr:uid="{00000000-0005-0000-0000-0000CA9E0000}"/>
    <cellStyle name="Warning Text 47 24" xfId="40605" xr:uid="{00000000-0005-0000-0000-0000CB9E0000}"/>
    <cellStyle name="Warning Text 47 25" xfId="40606" xr:uid="{00000000-0005-0000-0000-0000CC9E0000}"/>
    <cellStyle name="Warning Text 47 26" xfId="40607" xr:uid="{00000000-0005-0000-0000-0000CD9E0000}"/>
    <cellStyle name="Warning Text 47 27" xfId="40608" xr:uid="{00000000-0005-0000-0000-0000CE9E0000}"/>
    <cellStyle name="Warning Text 47 28" xfId="40609" xr:uid="{00000000-0005-0000-0000-0000CF9E0000}"/>
    <cellStyle name="Warning Text 47 29" xfId="40610" xr:uid="{00000000-0005-0000-0000-0000D09E0000}"/>
    <cellStyle name="Warning Text 47 3" xfId="40611" xr:uid="{00000000-0005-0000-0000-0000D19E0000}"/>
    <cellStyle name="Warning Text 47 30" xfId="40612" xr:uid="{00000000-0005-0000-0000-0000D29E0000}"/>
    <cellStyle name="Warning Text 47 31" xfId="40613" xr:uid="{00000000-0005-0000-0000-0000D39E0000}"/>
    <cellStyle name="Warning Text 47 32" xfId="40614" xr:uid="{00000000-0005-0000-0000-0000D49E0000}"/>
    <cellStyle name="Warning Text 47 33" xfId="40615" xr:uid="{00000000-0005-0000-0000-0000D59E0000}"/>
    <cellStyle name="Warning Text 47 34" xfId="40616" xr:uid="{00000000-0005-0000-0000-0000D69E0000}"/>
    <cellStyle name="Warning Text 47 35" xfId="40617" xr:uid="{00000000-0005-0000-0000-0000D79E0000}"/>
    <cellStyle name="Warning Text 47 36" xfId="40618" xr:uid="{00000000-0005-0000-0000-0000D89E0000}"/>
    <cellStyle name="Warning Text 47 4" xfId="40619" xr:uid="{00000000-0005-0000-0000-0000D99E0000}"/>
    <cellStyle name="Warning Text 47 5" xfId="40620" xr:uid="{00000000-0005-0000-0000-0000DA9E0000}"/>
    <cellStyle name="Warning Text 47 6" xfId="40621" xr:uid="{00000000-0005-0000-0000-0000DB9E0000}"/>
    <cellStyle name="Warning Text 47 7" xfId="40622" xr:uid="{00000000-0005-0000-0000-0000DC9E0000}"/>
    <cellStyle name="Warning Text 47 8" xfId="40623" xr:uid="{00000000-0005-0000-0000-0000DD9E0000}"/>
    <cellStyle name="Warning Text 47 9" xfId="40624" xr:uid="{00000000-0005-0000-0000-0000DE9E0000}"/>
    <cellStyle name="Warning Text 48" xfId="40625" xr:uid="{00000000-0005-0000-0000-0000DF9E0000}"/>
    <cellStyle name="Warning Text 48 10" xfId="40626" xr:uid="{00000000-0005-0000-0000-0000E09E0000}"/>
    <cellStyle name="Warning Text 48 11" xfId="40627" xr:uid="{00000000-0005-0000-0000-0000E19E0000}"/>
    <cellStyle name="Warning Text 48 12" xfId="40628" xr:uid="{00000000-0005-0000-0000-0000E29E0000}"/>
    <cellStyle name="Warning Text 48 13" xfId="40629" xr:uid="{00000000-0005-0000-0000-0000E39E0000}"/>
    <cellStyle name="Warning Text 48 14" xfId="40630" xr:uid="{00000000-0005-0000-0000-0000E49E0000}"/>
    <cellStyle name="Warning Text 48 15" xfId="40631" xr:uid="{00000000-0005-0000-0000-0000E59E0000}"/>
    <cellStyle name="Warning Text 48 16" xfId="40632" xr:uid="{00000000-0005-0000-0000-0000E69E0000}"/>
    <cellStyle name="Warning Text 48 17" xfId="40633" xr:uid="{00000000-0005-0000-0000-0000E79E0000}"/>
    <cellStyle name="Warning Text 48 18" xfId="40634" xr:uid="{00000000-0005-0000-0000-0000E89E0000}"/>
    <cellStyle name="Warning Text 48 19" xfId="40635" xr:uid="{00000000-0005-0000-0000-0000E99E0000}"/>
    <cellStyle name="Warning Text 48 2" xfId="40636" xr:uid="{00000000-0005-0000-0000-0000EA9E0000}"/>
    <cellStyle name="Warning Text 48 20" xfId="40637" xr:uid="{00000000-0005-0000-0000-0000EB9E0000}"/>
    <cellStyle name="Warning Text 48 21" xfId="40638" xr:uid="{00000000-0005-0000-0000-0000EC9E0000}"/>
    <cellStyle name="Warning Text 48 22" xfId="40639" xr:uid="{00000000-0005-0000-0000-0000ED9E0000}"/>
    <cellStyle name="Warning Text 48 23" xfId="40640" xr:uid="{00000000-0005-0000-0000-0000EE9E0000}"/>
    <cellStyle name="Warning Text 48 24" xfId="40641" xr:uid="{00000000-0005-0000-0000-0000EF9E0000}"/>
    <cellStyle name="Warning Text 48 25" xfId="40642" xr:uid="{00000000-0005-0000-0000-0000F09E0000}"/>
    <cellStyle name="Warning Text 48 26" xfId="40643" xr:uid="{00000000-0005-0000-0000-0000F19E0000}"/>
    <cellStyle name="Warning Text 48 27" xfId="40644" xr:uid="{00000000-0005-0000-0000-0000F29E0000}"/>
    <cellStyle name="Warning Text 48 28" xfId="40645" xr:uid="{00000000-0005-0000-0000-0000F39E0000}"/>
    <cellStyle name="Warning Text 48 29" xfId="40646" xr:uid="{00000000-0005-0000-0000-0000F49E0000}"/>
    <cellStyle name="Warning Text 48 3" xfId="40647" xr:uid="{00000000-0005-0000-0000-0000F59E0000}"/>
    <cellStyle name="Warning Text 48 30" xfId="40648" xr:uid="{00000000-0005-0000-0000-0000F69E0000}"/>
    <cellStyle name="Warning Text 48 31" xfId="40649" xr:uid="{00000000-0005-0000-0000-0000F79E0000}"/>
    <cellStyle name="Warning Text 48 32" xfId="40650" xr:uid="{00000000-0005-0000-0000-0000F89E0000}"/>
    <cellStyle name="Warning Text 48 33" xfId="40651" xr:uid="{00000000-0005-0000-0000-0000F99E0000}"/>
    <cellStyle name="Warning Text 48 34" xfId="40652" xr:uid="{00000000-0005-0000-0000-0000FA9E0000}"/>
    <cellStyle name="Warning Text 48 35" xfId="40653" xr:uid="{00000000-0005-0000-0000-0000FB9E0000}"/>
    <cellStyle name="Warning Text 48 36" xfId="40654" xr:uid="{00000000-0005-0000-0000-0000FC9E0000}"/>
    <cellStyle name="Warning Text 48 4" xfId="40655" xr:uid="{00000000-0005-0000-0000-0000FD9E0000}"/>
    <cellStyle name="Warning Text 48 5" xfId="40656" xr:uid="{00000000-0005-0000-0000-0000FE9E0000}"/>
    <cellStyle name="Warning Text 48 6" xfId="40657" xr:uid="{00000000-0005-0000-0000-0000FF9E0000}"/>
    <cellStyle name="Warning Text 48 7" xfId="40658" xr:uid="{00000000-0005-0000-0000-0000009F0000}"/>
    <cellStyle name="Warning Text 48 8" xfId="40659" xr:uid="{00000000-0005-0000-0000-0000019F0000}"/>
    <cellStyle name="Warning Text 48 9" xfId="40660" xr:uid="{00000000-0005-0000-0000-0000029F0000}"/>
    <cellStyle name="Warning Text 49" xfId="40661" xr:uid="{00000000-0005-0000-0000-0000039F0000}"/>
    <cellStyle name="Warning Text 49 10" xfId="40662" xr:uid="{00000000-0005-0000-0000-0000049F0000}"/>
    <cellStyle name="Warning Text 49 11" xfId="40663" xr:uid="{00000000-0005-0000-0000-0000059F0000}"/>
    <cellStyle name="Warning Text 49 12" xfId="40664" xr:uid="{00000000-0005-0000-0000-0000069F0000}"/>
    <cellStyle name="Warning Text 49 13" xfId="40665" xr:uid="{00000000-0005-0000-0000-0000079F0000}"/>
    <cellStyle name="Warning Text 49 14" xfId="40666" xr:uid="{00000000-0005-0000-0000-0000089F0000}"/>
    <cellStyle name="Warning Text 49 15" xfId="40667" xr:uid="{00000000-0005-0000-0000-0000099F0000}"/>
    <cellStyle name="Warning Text 49 16" xfId="40668" xr:uid="{00000000-0005-0000-0000-00000A9F0000}"/>
    <cellStyle name="Warning Text 49 17" xfId="40669" xr:uid="{00000000-0005-0000-0000-00000B9F0000}"/>
    <cellStyle name="Warning Text 49 18" xfId="40670" xr:uid="{00000000-0005-0000-0000-00000C9F0000}"/>
    <cellStyle name="Warning Text 49 19" xfId="40671" xr:uid="{00000000-0005-0000-0000-00000D9F0000}"/>
    <cellStyle name="Warning Text 49 2" xfId="40672" xr:uid="{00000000-0005-0000-0000-00000E9F0000}"/>
    <cellStyle name="Warning Text 49 20" xfId="40673" xr:uid="{00000000-0005-0000-0000-00000F9F0000}"/>
    <cellStyle name="Warning Text 49 21" xfId="40674" xr:uid="{00000000-0005-0000-0000-0000109F0000}"/>
    <cellStyle name="Warning Text 49 22" xfId="40675" xr:uid="{00000000-0005-0000-0000-0000119F0000}"/>
    <cellStyle name="Warning Text 49 23" xfId="40676" xr:uid="{00000000-0005-0000-0000-0000129F0000}"/>
    <cellStyle name="Warning Text 49 24" xfId="40677" xr:uid="{00000000-0005-0000-0000-0000139F0000}"/>
    <cellStyle name="Warning Text 49 25" xfId="40678" xr:uid="{00000000-0005-0000-0000-0000149F0000}"/>
    <cellStyle name="Warning Text 49 26" xfId="40679" xr:uid="{00000000-0005-0000-0000-0000159F0000}"/>
    <cellStyle name="Warning Text 49 27" xfId="40680" xr:uid="{00000000-0005-0000-0000-0000169F0000}"/>
    <cellStyle name="Warning Text 49 28" xfId="40681" xr:uid="{00000000-0005-0000-0000-0000179F0000}"/>
    <cellStyle name="Warning Text 49 29" xfId="40682" xr:uid="{00000000-0005-0000-0000-0000189F0000}"/>
    <cellStyle name="Warning Text 49 3" xfId="40683" xr:uid="{00000000-0005-0000-0000-0000199F0000}"/>
    <cellStyle name="Warning Text 49 30" xfId="40684" xr:uid="{00000000-0005-0000-0000-00001A9F0000}"/>
    <cellStyle name="Warning Text 49 31" xfId="40685" xr:uid="{00000000-0005-0000-0000-00001B9F0000}"/>
    <cellStyle name="Warning Text 49 32" xfId="40686" xr:uid="{00000000-0005-0000-0000-00001C9F0000}"/>
    <cellStyle name="Warning Text 49 33" xfId="40687" xr:uid="{00000000-0005-0000-0000-00001D9F0000}"/>
    <cellStyle name="Warning Text 49 34" xfId="40688" xr:uid="{00000000-0005-0000-0000-00001E9F0000}"/>
    <cellStyle name="Warning Text 49 35" xfId="40689" xr:uid="{00000000-0005-0000-0000-00001F9F0000}"/>
    <cellStyle name="Warning Text 49 36" xfId="40690" xr:uid="{00000000-0005-0000-0000-0000209F0000}"/>
    <cellStyle name="Warning Text 49 4" xfId="40691" xr:uid="{00000000-0005-0000-0000-0000219F0000}"/>
    <cellStyle name="Warning Text 49 5" xfId="40692" xr:uid="{00000000-0005-0000-0000-0000229F0000}"/>
    <cellStyle name="Warning Text 49 6" xfId="40693" xr:uid="{00000000-0005-0000-0000-0000239F0000}"/>
    <cellStyle name="Warning Text 49 7" xfId="40694" xr:uid="{00000000-0005-0000-0000-0000249F0000}"/>
    <cellStyle name="Warning Text 49 8" xfId="40695" xr:uid="{00000000-0005-0000-0000-0000259F0000}"/>
    <cellStyle name="Warning Text 49 9" xfId="40696" xr:uid="{00000000-0005-0000-0000-0000269F0000}"/>
    <cellStyle name="Warning Text 5" xfId="40697" xr:uid="{00000000-0005-0000-0000-0000279F0000}"/>
    <cellStyle name="Warning Text 5 10" xfId="40698" xr:uid="{00000000-0005-0000-0000-0000289F0000}"/>
    <cellStyle name="Warning Text 5 11" xfId="40699" xr:uid="{00000000-0005-0000-0000-0000299F0000}"/>
    <cellStyle name="Warning Text 5 12" xfId="40700" xr:uid="{00000000-0005-0000-0000-00002A9F0000}"/>
    <cellStyle name="Warning Text 5 13" xfId="40701" xr:uid="{00000000-0005-0000-0000-00002B9F0000}"/>
    <cellStyle name="Warning Text 5 14" xfId="40702" xr:uid="{00000000-0005-0000-0000-00002C9F0000}"/>
    <cellStyle name="Warning Text 5 15" xfId="40703" xr:uid="{00000000-0005-0000-0000-00002D9F0000}"/>
    <cellStyle name="Warning Text 5 16" xfId="40704" xr:uid="{00000000-0005-0000-0000-00002E9F0000}"/>
    <cellStyle name="Warning Text 5 17" xfId="40705" xr:uid="{00000000-0005-0000-0000-00002F9F0000}"/>
    <cellStyle name="Warning Text 5 18" xfId="40706" xr:uid="{00000000-0005-0000-0000-0000309F0000}"/>
    <cellStyle name="Warning Text 5 19" xfId="40707" xr:uid="{00000000-0005-0000-0000-0000319F0000}"/>
    <cellStyle name="Warning Text 5 2" xfId="40708" xr:uid="{00000000-0005-0000-0000-0000329F0000}"/>
    <cellStyle name="Warning Text 5 2 2" xfId="40709" xr:uid="{00000000-0005-0000-0000-0000339F0000}"/>
    <cellStyle name="Warning Text 5 20" xfId="40710" xr:uid="{00000000-0005-0000-0000-0000349F0000}"/>
    <cellStyle name="Warning Text 5 21" xfId="40711" xr:uid="{00000000-0005-0000-0000-0000359F0000}"/>
    <cellStyle name="Warning Text 5 22" xfId="40712" xr:uid="{00000000-0005-0000-0000-0000369F0000}"/>
    <cellStyle name="Warning Text 5 23" xfId="40713" xr:uid="{00000000-0005-0000-0000-0000379F0000}"/>
    <cellStyle name="Warning Text 5 24" xfId="40714" xr:uid="{00000000-0005-0000-0000-0000389F0000}"/>
    <cellStyle name="Warning Text 5 25" xfId="40715" xr:uid="{00000000-0005-0000-0000-0000399F0000}"/>
    <cellStyle name="Warning Text 5 26" xfId="40716" xr:uid="{00000000-0005-0000-0000-00003A9F0000}"/>
    <cellStyle name="Warning Text 5 27" xfId="40717" xr:uid="{00000000-0005-0000-0000-00003B9F0000}"/>
    <cellStyle name="Warning Text 5 28" xfId="40718" xr:uid="{00000000-0005-0000-0000-00003C9F0000}"/>
    <cellStyle name="Warning Text 5 29" xfId="40719" xr:uid="{00000000-0005-0000-0000-00003D9F0000}"/>
    <cellStyle name="Warning Text 5 3" xfId="40720" xr:uid="{00000000-0005-0000-0000-00003E9F0000}"/>
    <cellStyle name="Warning Text 5 30" xfId="40721" xr:uid="{00000000-0005-0000-0000-00003F9F0000}"/>
    <cellStyle name="Warning Text 5 31" xfId="40722" xr:uid="{00000000-0005-0000-0000-0000409F0000}"/>
    <cellStyle name="Warning Text 5 32" xfId="40723" xr:uid="{00000000-0005-0000-0000-0000419F0000}"/>
    <cellStyle name="Warning Text 5 33" xfId="40724" xr:uid="{00000000-0005-0000-0000-0000429F0000}"/>
    <cellStyle name="Warning Text 5 34" xfId="40725" xr:uid="{00000000-0005-0000-0000-0000439F0000}"/>
    <cellStyle name="Warning Text 5 35" xfId="40726" xr:uid="{00000000-0005-0000-0000-0000449F0000}"/>
    <cellStyle name="Warning Text 5 36" xfId="40727" xr:uid="{00000000-0005-0000-0000-0000459F0000}"/>
    <cellStyle name="Warning Text 5 4" xfId="40728" xr:uid="{00000000-0005-0000-0000-0000469F0000}"/>
    <cellStyle name="Warning Text 5 5" xfId="40729" xr:uid="{00000000-0005-0000-0000-0000479F0000}"/>
    <cellStyle name="Warning Text 5 6" xfId="40730" xr:uid="{00000000-0005-0000-0000-0000489F0000}"/>
    <cellStyle name="Warning Text 5 7" xfId="40731" xr:uid="{00000000-0005-0000-0000-0000499F0000}"/>
    <cellStyle name="Warning Text 5 8" xfId="40732" xr:uid="{00000000-0005-0000-0000-00004A9F0000}"/>
    <cellStyle name="Warning Text 5 9" xfId="40733" xr:uid="{00000000-0005-0000-0000-00004B9F0000}"/>
    <cellStyle name="Warning Text 50" xfId="40734" xr:uid="{00000000-0005-0000-0000-00004C9F0000}"/>
    <cellStyle name="Warning Text 50 10" xfId="40735" xr:uid="{00000000-0005-0000-0000-00004D9F0000}"/>
    <cellStyle name="Warning Text 50 11" xfId="40736" xr:uid="{00000000-0005-0000-0000-00004E9F0000}"/>
    <cellStyle name="Warning Text 50 12" xfId="40737" xr:uid="{00000000-0005-0000-0000-00004F9F0000}"/>
    <cellStyle name="Warning Text 50 13" xfId="40738" xr:uid="{00000000-0005-0000-0000-0000509F0000}"/>
    <cellStyle name="Warning Text 50 14" xfId="40739" xr:uid="{00000000-0005-0000-0000-0000519F0000}"/>
    <cellStyle name="Warning Text 50 15" xfId="40740" xr:uid="{00000000-0005-0000-0000-0000529F0000}"/>
    <cellStyle name="Warning Text 50 16" xfId="40741" xr:uid="{00000000-0005-0000-0000-0000539F0000}"/>
    <cellStyle name="Warning Text 50 17" xfId="40742" xr:uid="{00000000-0005-0000-0000-0000549F0000}"/>
    <cellStyle name="Warning Text 50 18" xfId="40743" xr:uid="{00000000-0005-0000-0000-0000559F0000}"/>
    <cellStyle name="Warning Text 50 19" xfId="40744" xr:uid="{00000000-0005-0000-0000-0000569F0000}"/>
    <cellStyle name="Warning Text 50 2" xfId="40745" xr:uid="{00000000-0005-0000-0000-0000579F0000}"/>
    <cellStyle name="Warning Text 50 20" xfId="40746" xr:uid="{00000000-0005-0000-0000-0000589F0000}"/>
    <cellStyle name="Warning Text 50 21" xfId="40747" xr:uid="{00000000-0005-0000-0000-0000599F0000}"/>
    <cellStyle name="Warning Text 50 22" xfId="40748" xr:uid="{00000000-0005-0000-0000-00005A9F0000}"/>
    <cellStyle name="Warning Text 50 23" xfId="40749" xr:uid="{00000000-0005-0000-0000-00005B9F0000}"/>
    <cellStyle name="Warning Text 50 24" xfId="40750" xr:uid="{00000000-0005-0000-0000-00005C9F0000}"/>
    <cellStyle name="Warning Text 50 25" xfId="40751" xr:uid="{00000000-0005-0000-0000-00005D9F0000}"/>
    <cellStyle name="Warning Text 50 26" xfId="40752" xr:uid="{00000000-0005-0000-0000-00005E9F0000}"/>
    <cellStyle name="Warning Text 50 27" xfId="40753" xr:uid="{00000000-0005-0000-0000-00005F9F0000}"/>
    <cellStyle name="Warning Text 50 28" xfId="40754" xr:uid="{00000000-0005-0000-0000-0000609F0000}"/>
    <cellStyle name="Warning Text 50 29" xfId="40755" xr:uid="{00000000-0005-0000-0000-0000619F0000}"/>
    <cellStyle name="Warning Text 50 3" xfId="40756" xr:uid="{00000000-0005-0000-0000-0000629F0000}"/>
    <cellStyle name="Warning Text 50 30" xfId="40757" xr:uid="{00000000-0005-0000-0000-0000639F0000}"/>
    <cellStyle name="Warning Text 50 31" xfId="40758" xr:uid="{00000000-0005-0000-0000-0000649F0000}"/>
    <cellStyle name="Warning Text 50 32" xfId="40759" xr:uid="{00000000-0005-0000-0000-0000659F0000}"/>
    <cellStyle name="Warning Text 50 33" xfId="40760" xr:uid="{00000000-0005-0000-0000-0000669F0000}"/>
    <cellStyle name="Warning Text 50 34" xfId="40761" xr:uid="{00000000-0005-0000-0000-0000679F0000}"/>
    <cellStyle name="Warning Text 50 35" xfId="40762" xr:uid="{00000000-0005-0000-0000-0000689F0000}"/>
    <cellStyle name="Warning Text 50 36" xfId="40763" xr:uid="{00000000-0005-0000-0000-0000699F0000}"/>
    <cellStyle name="Warning Text 50 4" xfId="40764" xr:uid="{00000000-0005-0000-0000-00006A9F0000}"/>
    <cellStyle name="Warning Text 50 5" xfId="40765" xr:uid="{00000000-0005-0000-0000-00006B9F0000}"/>
    <cellStyle name="Warning Text 50 6" xfId="40766" xr:uid="{00000000-0005-0000-0000-00006C9F0000}"/>
    <cellStyle name="Warning Text 50 7" xfId="40767" xr:uid="{00000000-0005-0000-0000-00006D9F0000}"/>
    <cellStyle name="Warning Text 50 8" xfId="40768" xr:uid="{00000000-0005-0000-0000-00006E9F0000}"/>
    <cellStyle name="Warning Text 50 9" xfId="40769" xr:uid="{00000000-0005-0000-0000-00006F9F0000}"/>
    <cellStyle name="Warning Text 51" xfId="40770" xr:uid="{00000000-0005-0000-0000-0000709F0000}"/>
    <cellStyle name="Warning Text 51 10" xfId="40771" xr:uid="{00000000-0005-0000-0000-0000719F0000}"/>
    <cellStyle name="Warning Text 51 11" xfId="40772" xr:uid="{00000000-0005-0000-0000-0000729F0000}"/>
    <cellStyle name="Warning Text 51 12" xfId="40773" xr:uid="{00000000-0005-0000-0000-0000739F0000}"/>
    <cellStyle name="Warning Text 51 13" xfId="40774" xr:uid="{00000000-0005-0000-0000-0000749F0000}"/>
    <cellStyle name="Warning Text 51 14" xfId="40775" xr:uid="{00000000-0005-0000-0000-0000759F0000}"/>
    <cellStyle name="Warning Text 51 15" xfId="40776" xr:uid="{00000000-0005-0000-0000-0000769F0000}"/>
    <cellStyle name="Warning Text 51 16" xfId="40777" xr:uid="{00000000-0005-0000-0000-0000779F0000}"/>
    <cellStyle name="Warning Text 51 17" xfId="40778" xr:uid="{00000000-0005-0000-0000-0000789F0000}"/>
    <cellStyle name="Warning Text 51 18" xfId="40779" xr:uid="{00000000-0005-0000-0000-0000799F0000}"/>
    <cellStyle name="Warning Text 51 19" xfId="40780" xr:uid="{00000000-0005-0000-0000-00007A9F0000}"/>
    <cellStyle name="Warning Text 51 2" xfId="40781" xr:uid="{00000000-0005-0000-0000-00007B9F0000}"/>
    <cellStyle name="Warning Text 51 20" xfId="40782" xr:uid="{00000000-0005-0000-0000-00007C9F0000}"/>
    <cellStyle name="Warning Text 51 21" xfId="40783" xr:uid="{00000000-0005-0000-0000-00007D9F0000}"/>
    <cellStyle name="Warning Text 51 22" xfId="40784" xr:uid="{00000000-0005-0000-0000-00007E9F0000}"/>
    <cellStyle name="Warning Text 51 23" xfId="40785" xr:uid="{00000000-0005-0000-0000-00007F9F0000}"/>
    <cellStyle name="Warning Text 51 24" xfId="40786" xr:uid="{00000000-0005-0000-0000-0000809F0000}"/>
    <cellStyle name="Warning Text 51 25" xfId="40787" xr:uid="{00000000-0005-0000-0000-0000819F0000}"/>
    <cellStyle name="Warning Text 51 26" xfId="40788" xr:uid="{00000000-0005-0000-0000-0000829F0000}"/>
    <cellStyle name="Warning Text 51 27" xfId="40789" xr:uid="{00000000-0005-0000-0000-0000839F0000}"/>
    <cellStyle name="Warning Text 51 28" xfId="40790" xr:uid="{00000000-0005-0000-0000-0000849F0000}"/>
    <cellStyle name="Warning Text 51 29" xfId="40791" xr:uid="{00000000-0005-0000-0000-0000859F0000}"/>
    <cellStyle name="Warning Text 51 3" xfId="40792" xr:uid="{00000000-0005-0000-0000-0000869F0000}"/>
    <cellStyle name="Warning Text 51 30" xfId="40793" xr:uid="{00000000-0005-0000-0000-0000879F0000}"/>
    <cellStyle name="Warning Text 51 31" xfId="40794" xr:uid="{00000000-0005-0000-0000-0000889F0000}"/>
    <cellStyle name="Warning Text 51 32" xfId="40795" xr:uid="{00000000-0005-0000-0000-0000899F0000}"/>
    <cellStyle name="Warning Text 51 33" xfId="40796" xr:uid="{00000000-0005-0000-0000-00008A9F0000}"/>
    <cellStyle name="Warning Text 51 34" xfId="40797" xr:uid="{00000000-0005-0000-0000-00008B9F0000}"/>
    <cellStyle name="Warning Text 51 35" xfId="40798" xr:uid="{00000000-0005-0000-0000-00008C9F0000}"/>
    <cellStyle name="Warning Text 51 36" xfId="40799" xr:uid="{00000000-0005-0000-0000-00008D9F0000}"/>
    <cellStyle name="Warning Text 51 4" xfId="40800" xr:uid="{00000000-0005-0000-0000-00008E9F0000}"/>
    <cellStyle name="Warning Text 51 5" xfId="40801" xr:uid="{00000000-0005-0000-0000-00008F9F0000}"/>
    <cellStyle name="Warning Text 51 6" xfId="40802" xr:uid="{00000000-0005-0000-0000-0000909F0000}"/>
    <cellStyle name="Warning Text 51 7" xfId="40803" xr:uid="{00000000-0005-0000-0000-0000919F0000}"/>
    <cellStyle name="Warning Text 51 8" xfId="40804" xr:uid="{00000000-0005-0000-0000-0000929F0000}"/>
    <cellStyle name="Warning Text 51 9" xfId="40805" xr:uid="{00000000-0005-0000-0000-0000939F0000}"/>
    <cellStyle name="Warning Text 52" xfId="40806" xr:uid="{00000000-0005-0000-0000-0000949F0000}"/>
    <cellStyle name="Warning Text 53" xfId="40807" xr:uid="{00000000-0005-0000-0000-0000959F0000}"/>
    <cellStyle name="Warning Text 54" xfId="40808" xr:uid="{00000000-0005-0000-0000-0000969F0000}"/>
    <cellStyle name="Warning Text 55" xfId="40809" xr:uid="{00000000-0005-0000-0000-0000979F0000}"/>
    <cellStyle name="Warning Text 56" xfId="40810" xr:uid="{00000000-0005-0000-0000-0000989F0000}"/>
    <cellStyle name="Warning Text 57" xfId="40811" xr:uid="{00000000-0005-0000-0000-0000999F0000}"/>
    <cellStyle name="Warning Text 58" xfId="40812" xr:uid="{00000000-0005-0000-0000-00009A9F0000}"/>
    <cellStyle name="Warning Text 59" xfId="40813" xr:uid="{00000000-0005-0000-0000-00009B9F0000}"/>
    <cellStyle name="Warning Text 6" xfId="40814" xr:uid="{00000000-0005-0000-0000-00009C9F0000}"/>
    <cellStyle name="Warning Text 6 10" xfId="40815" xr:uid="{00000000-0005-0000-0000-00009D9F0000}"/>
    <cellStyle name="Warning Text 6 11" xfId="40816" xr:uid="{00000000-0005-0000-0000-00009E9F0000}"/>
    <cellStyle name="Warning Text 6 12" xfId="40817" xr:uid="{00000000-0005-0000-0000-00009F9F0000}"/>
    <cellStyle name="Warning Text 6 13" xfId="40818" xr:uid="{00000000-0005-0000-0000-0000A09F0000}"/>
    <cellStyle name="Warning Text 6 14" xfId="40819" xr:uid="{00000000-0005-0000-0000-0000A19F0000}"/>
    <cellStyle name="Warning Text 6 15" xfId="40820" xr:uid="{00000000-0005-0000-0000-0000A29F0000}"/>
    <cellStyle name="Warning Text 6 16" xfId="40821" xr:uid="{00000000-0005-0000-0000-0000A39F0000}"/>
    <cellStyle name="Warning Text 6 17" xfId="40822" xr:uid="{00000000-0005-0000-0000-0000A49F0000}"/>
    <cellStyle name="Warning Text 6 18" xfId="40823" xr:uid="{00000000-0005-0000-0000-0000A59F0000}"/>
    <cellStyle name="Warning Text 6 19" xfId="40824" xr:uid="{00000000-0005-0000-0000-0000A69F0000}"/>
    <cellStyle name="Warning Text 6 2" xfId="40825" xr:uid="{00000000-0005-0000-0000-0000A79F0000}"/>
    <cellStyle name="Warning Text 6 20" xfId="40826" xr:uid="{00000000-0005-0000-0000-0000A89F0000}"/>
    <cellStyle name="Warning Text 6 21" xfId="40827" xr:uid="{00000000-0005-0000-0000-0000A99F0000}"/>
    <cellStyle name="Warning Text 6 22" xfId="40828" xr:uid="{00000000-0005-0000-0000-0000AA9F0000}"/>
    <cellStyle name="Warning Text 6 23" xfId="40829" xr:uid="{00000000-0005-0000-0000-0000AB9F0000}"/>
    <cellStyle name="Warning Text 6 24" xfId="40830" xr:uid="{00000000-0005-0000-0000-0000AC9F0000}"/>
    <cellStyle name="Warning Text 6 25" xfId="40831" xr:uid="{00000000-0005-0000-0000-0000AD9F0000}"/>
    <cellStyle name="Warning Text 6 26" xfId="40832" xr:uid="{00000000-0005-0000-0000-0000AE9F0000}"/>
    <cellStyle name="Warning Text 6 27" xfId="40833" xr:uid="{00000000-0005-0000-0000-0000AF9F0000}"/>
    <cellStyle name="Warning Text 6 28" xfId="40834" xr:uid="{00000000-0005-0000-0000-0000B09F0000}"/>
    <cellStyle name="Warning Text 6 29" xfId="40835" xr:uid="{00000000-0005-0000-0000-0000B19F0000}"/>
    <cellStyle name="Warning Text 6 3" xfId="40836" xr:uid="{00000000-0005-0000-0000-0000B29F0000}"/>
    <cellStyle name="Warning Text 6 30" xfId="40837" xr:uid="{00000000-0005-0000-0000-0000B39F0000}"/>
    <cellStyle name="Warning Text 6 31" xfId="40838" xr:uid="{00000000-0005-0000-0000-0000B49F0000}"/>
    <cellStyle name="Warning Text 6 32" xfId="40839" xr:uid="{00000000-0005-0000-0000-0000B59F0000}"/>
    <cellStyle name="Warning Text 6 33" xfId="40840" xr:uid="{00000000-0005-0000-0000-0000B69F0000}"/>
    <cellStyle name="Warning Text 6 34" xfId="40841" xr:uid="{00000000-0005-0000-0000-0000B79F0000}"/>
    <cellStyle name="Warning Text 6 35" xfId="40842" xr:uid="{00000000-0005-0000-0000-0000B89F0000}"/>
    <cellStyle name="Warning Text 6 36" xfId="40843" xr:uid="{00000000-0005-0000-0000-0000B99F0000}"/>
    <cellStyle name="Warning Text 6 4" xfId="40844" xr:uid="{00000000-0005-0000-0000-0000BA9F0000}"/>
    <cellStyle name="Warning Text 6 5" xfId="40845" xr:uid="{00000000-0005-0000-0000-0000BB9F0000}"/>
    <cellStyle name="Warning Text 6 6" xfId="40846" xr:uid="{00000000-0005-0000-0000-0000BC9F0000}"/>
    <cellStyle name="Warning Text 6 7" xfId="40847" xr:uid="{00000000-0005-0000-0000-0000BD9F0000}"/>
    <cellStyle name="Warning Text 6 8" xfId="40848" xr:uid="{00000000-0005-0000-0000-0000BE9F0000}"/>
    <cellStyle name="Warning Text 6 9" xfId="40849" xr:uid="{00000000-0005-0000-0000-0000BF9F0000}"/>
    <cellStyle name="Warning Text 60" xfId="40850" xr:uid="{00000000-0005-0000-0000-0000C09F0000}"/>
    <cellStyle name="Warning Text 61" xfId="40851" xr:uid="{00000000-0005-0000-0000-0000C19F0000}"/>
    <cellStyle name="Warning Text 62" xfId="40852" xr:uid="{00000000-0005-0000-0000-0000C29F0000}"/>
    <cellStyle name="Warning Text 63" xfId="40853" xr:uid="{00000000-0005-0000-0000-0000C39F0000}"/>
    <cellStyle name="Warning Text 63 2" xfId="40854" xr:uid="{00000000-0005-0000-0000-0000C49F0000}"/>
    <cellStyle name="Warning Text 64" xfId="40855" xr:uid="{00000000-0005-0000-0000-0000C59F0000}"/>
    <cellStyle name="Warning Text 64 2" xfId="40856" xr:uid="{00000000-0005-0000-0000-0000C69F0000}"/>
    <cellStyle name="Warning Text 65" xfId="40857" xr:uid="{00000000-0005-0000-0000-0000C79F0000}"/>
    <cellStyle name="Warning Text 65 2" xfId="40858" xr:uid="{00000000-0005-0000-0000-0000C89F0000}"/>
    <cellStyle name="Warning Text 66" xfId="40859" xr:uid="{00000000-0005-0000-0000-0000C99F0000}"/>
    <cellStyle name="Warning Text 66 2" xfId="40860" xr:uid="{00000000-0005-0000-0000-0000CA9F0000}"/>
    <cellStyle name="Warning Text 67" xfId="40861" xr:uid="{00000000-0005-0000-0000-0000CB9F0000}"/>
    <cellStyle name="Warning Text 67 2" xfId="40862" xr:uid="{00000000-0005-0000-0000-0000CC9F0000}"/>
    <cellStyle name="Warning Text 68" xfId="40863" xr:uid="{00000000-0005-0000-0000-0000CD9F0000}"/>
    <cellStyle name="Warning Text 68 2" xfId="40864" xr:uid="{00000000-0005-0000-0000-0000CE9F0000}"/>
    <cellStyle name="Warning Text 69" xfId="40865" xr:uid="{00000000-0005-0000-0000-0000CF9F0000}"/>
    <cellStyle name="Warning Text 69 2" xfId="40866" xr:uid="{00000000-0005-0000-0000-0000D09F0000}"/>
    <cellStyle name="Warning Text 7" xfId="40867" xr:uid="{00000000-0005-0000-0000-0000D19F0000}"/>
    <cellStyle name="Warning Text 7 10" xfId="40868" xr:uid="{00000000-0005-0000-0000-0000D29F0000}"/>
    <cellStyle name="Warning Text 7 11" xfId="40869" xr:uid="{00000000-0005-0000-0000-0000D39F0000}"/>
    <cellStyle name="Warning Text 7 12" xfId="40870" xr:uid="{00000000-0005-0000-0000-0000D49F0000}"/>
    <cellStyle name="Warning Text 7 13" xfId="40871" xr:uid="{00000000-0005-0000-0000-0000D59F0000}"/>
    <cellStyle name="Warning Text 7 14" xfId="40872" xr:uid="{00000000-0005-0000-0000-0000D69F0000}"/>
    <cellStyle name="Warning Text 7 15" xfId="40873" xr:uid="{00000000-0005-0000-0000-0000D79F0000}"/>
    <cellStyle name="Warning Text 7 16" xfId="40874" xr:uid="{00000000-0005-0000-0000-0000D89F0000}"/>
    <cellStyle name="Warning Text 7 17" xfId="40875" xr:uid="{00000000-0005-0000-0000-0000D99F0000}"/>
    <cellStyle name="Warning Text 7 18" xfId="40876" xr:uid="{00000000-0005-0000-0000-0000DA9F0000}"/>
    <cellStyle name="Warning Text 7 19" xfId="40877" xr:uid="{00000000-0005-0000-0000-0000DB9F0000}"/>
    <cellStyle name="Warning Text 7 2" xfId="40878" xr:uid="{00000000-0005-0000-0000-0000DC9F0000}"/>
    <cellStyle name="Warning Text 7 20" xfId="40879" xr:uid="{00000000-0005-0000-0000-0000DD9F0000}"/>
    <cellStyle name="Warning Text 7 21" xfId="40880" xr:uid="{00000000-0005-0000-0000-0000DE9F0000}"/>
    <cellStyle name="Warning Text 7 22" xfId="40881" xr:uid="{00000000-0005-0000-0000-0000DF9F0000}"/>
    <cellStyle name="Warning Text 7 23" xfId="40882" xr:uid="{00000000-0005-0000-0000-0000E09F0000}"/>
    <cellStyle name="Warning Text 7 24" xfId="40883" xr:uid="{00000000-0005-0000-0000-0000E19F0000}"/>
    <cellStyle name="Warning Text 7 25" xfId="40884" xr:uid="{00000000-0005-0000-0000-0000E29F0000}"/>
    <cellStyle name="Warning Text 7 26" xfId="40885" xr:uid="{00000000-0005-0000-0000-0000E39F0000}"/>
    <cellStyle name="Warning Text 7 27" xfId="40886" xr:uid="{00000000-0005-0000-0000-0000E49F0000}"/>
    <cellStyle name="Warning Text 7 28" xfId="40887" xr:uid="{00000000-0005-0000-0000-0000E59F0000}"/>
    <cellStyle name="Warning Text 7 29" xfId="40888" xr:uid="{00000000-0005-0000-0000-0000E69F0000}"/>
    <cellStyle name="Warning Text 7 3" xfId="40889" xr:uid="{00000000-0005-0000-0000-0000E79F0000}"/>
    <cellStyle name="Warning Text 7 30" xfId="40890" xr:uid="{00000000-0005-0000-0000-0000E89F0000}"/>
    <cellStyle name="Warning Text 7 31" xfId="40891" xr:uid="{00000000-0005-0000-0000-0000E99F0000}"/>
    <cellStyle name="Warning Text 7 32" xfId="40892" xr:uid="{00000000-0005-0000-0000-0000EA9F0000}"/>
    <cellStyle name="Warning Text 7 33" xfId="40893" xr:uid="{00000000-0005-0000-0000-0000EB9F0000}"/>
    <cellStyle name="Warning Text 7 34" xfId="40894" xr:uid="{00000000-0005-0000-0000-0000EC9F0000}"/>
    <cellStyle name="Warning Text 7 35" xfId="40895" xr:uid="{00000000-0005-0000-0000-0000ED9F0000}"/>
    <cellStyle name="Warning Text 7 36" xfId="40896" xr:uid="{00000000-0005-0000-0000-0000EE9F0000}"/>
    <cellStyle name="Warning Text 7 4" xfId="40897" xr:uid="{00000000-0005-0000-0000-0000EF9F0000}"/>
    <cellStyle name="Warning Text 7 5" xfId="40898" xr:uid="{00000000-0005-0000-0000-0000F09F0000}"/>
    <cellStyle name="Warning Text 7 6" xfId="40899" xr:uid="{00000000-0005-0000-0000-0000F19F0000}"/>
    <cellStyle name="Warning Text 7 7" xfId="40900" xr:uid="{00000000-0005-0000-0000-0000F29F0000}"/>
    <cellStyle name="Warning Text 7 8" xfId="40901" xr:uid="{00000000-0005-0000-0000-0000F39F0000}"/>
    <cellStyle name="Warning Text 7 9" xfId="40902" xr:uid="{00000000-0005-0000-0000-0000F49F0000}"/>
    <cellStyle name="Warning Text 70" xfId="40903" xr:uid="{00000000-0005-0000-0000-0000F59F0000}"/>
    <cellStyle name="Warning Text 70 2" xfId="40904" xr:uid="{00000000-0005-0000-0000-0000F69F0000}"/>
    <cellStyle name="Warning Text 71" xfId="40905" xr:uid="{00000000-0005-0000-0000-0000F79F0000}"/>
    <cellStyle name="Warning Text 71 2" xfId="40906" xr:uid="{00000000-0005-0000-0000-0000F89F0000}"/>
    <cellStyle name="Warning Text 72" xfId="40907" xr:uid="{00000000-0005-0000-0000-0000F99F0000}"/>
    <cellStyle name="Warning Text 72 2" xfId="40908" xr:uid="{00000000-0005-0000-0000-0000FA9F0000}"/>
    <cellStyle name="Warning Text 73" xfId="40909" xr:uid="{00000000-0005-0000-0000-0000FB9F0000}"/>
    <cellStyle name="Warning Text 73 2" xfId="40910" xr:uid="{00000000-0005-0000-0000-0000FC9F0000}"/>
    <cellStyle name="Warning Text 74" xfId="40911" xr:uid="{00000000-0005-0000-0000-0000FD9F0000}"/>
    <cellStyle name="Warning Text 74 2" xfId="40912" xr:uid="{00000000-0005-0000-0000-0000FE9F0000}"/>
    <cellStyle name="Warning Text 75" xfId="40913" xr:uid="{00000000-0005-0000-0000-0000FF9F0000}"/>
    <cellStyle name="Warning Text 75 2" xfId="40914" xr:uid="{00000000-0005-0000-0000-000000A00000}"/>
    <cellStyle name="Warning Text 76" xfId="40915" xr:uid="{00000000-0005-0000-0000-000001A00000}"/>
    <cellStyle name="Warning Text 76 2" xfId="40916" xr:uid="{00000000-0005-0000-0000-000002A00000}"/>
    <cellStyle name="Warning Text 77" xfId="40917" xr:uid="{00000000-0005-0000-0000-000003A00000}"/>
    <cellStyle name="Warning Text 77 2" xfId="40918" xr:uid="{00000000-0005-0000-0000-000004A00000}"/>
    <cellStyle name="Warning Text 78" xfId="40919" xr:uid="{00000000-0005-0000-0000-000005A00000}"/>
    <cellStyle name="Warning Text 78 2" xfId="40920" xr:uid="{00000000-0005-0000-0000-000006A00000}"/>
    <cellStyle name="Warning Text 79" xfId="40921" xr:uid="{00000000-0005-0000-0000-000007A00000}"/>
    <cellStyle name="Warning Text 79 2" xfId="40922" xr:uid="{00000000-0005-0000-0000-000008A00000}"/>
    <cellStyle name="Warning Text 8" xfId="40923" xr:uid="{00000000-0005-0000-0000-000009A00000}"/>
    <cellStyle name="Warning Text 80" xfId="40924" xr:uid="{00000000-0005-0000-0000-00000AA00000}"/>
    <cellStyle name="Warning Text 80 2" xfId="40925" xr:uid="{00000000-0005-0000-0000-00000BA00000}"/>
    <cellStyle name="Warning Text 81" xfId="40926" xr:uid="{00000000-0005-0000-0000-00000CA00000}"/>
    <cellStyle name="Warning Text 81 2" xfId="40927" xr:uid="{00000000-0005-0000-0000-00000DA00000}"/>
    <cellStyle name="Warning Text 82" xfId="40928" xr:uid="{00000000-0005-0000-0000-00000EA00000}"/>
    <cellStyle name="Warning Text 82 2" xfId="40929" xr:uid="{00000000-0005-0000-0000-00000FA00000}"/>
    <cellStyle name="Warning Text 83" xfId="40930" xr:uid="{00000000-0005-0000-0000-000010A00000}"/>
    <cellStyle name="Warning Text 83 2" xfId="40931" xr:uid="{00000000-0005-0000-0000-000011A00000}"/>
    <cellStyle name="Warning Text 84" xfId="40932" xr:uid="{00000000-0005-0000-0000-000012A00000}"/>
    <cellStyle name="Warning Text 84 2" xfId="40933" xr:uid="{00000000-0005-0000-0000-000013A00000}"/>
    <cellStyle name="Warning Text 85" xfId="40934" xr:uid="{00000000-0005-0000-0000-000014A00000}"/>
    <cellStyle name="Warning Text 85 2" xfId="40935" xr:uid="{00000000-0005-0000-0000-000015A00000}"/>
    <cellStyle name="Warning Text 86" xfId="40936" xr:uid="{00000000-0005-0000-0000-000016A00000}"/>
    <cellStyle name="Warning Text 86 2" xfId="40937" xr:uid="{00000000-0005-0000-0000-000017A00000}"/>
    <cellStyle name="Warning Text 87" xfId="40938" xr:uid="{00000000-0005-0000-0000-000018A00000}"/>
    <cellStyle name="Warning Text 87 2" xfId="40939" xr:uid="{00000000-0005-0000-0000-000019A00000}"/>
    <cellStyle name="Warning Text 88" xfId="40940" xr:uid="{00000000-0005-0000-0000-00001AA00000}"/>
    <cellStyle name="Warning Text 89" xfId="40941" xr:uid="{00000000-0005-0000-0000-00001BA00000}"/>
    <cellStyle name="Warning Text 89 2" xfId="40942" xr:uid="{00000000-0005-0000-0000-00001CA00000}"/>
    <cellStyle name="Warning Text 9" xfId="40943" xr:uid="{00000000-0005-0000-0000-00001DA00000}"/>
    <cellStyle name="Warning Text 9 10" xfId="40944" xr:uid="{00000000-0005-0000-0000-00001EA00000}"/>
    <cellStyle name="Warning Text 9 11" xfId="40945" xr:uid="{00000000-0005-0000-0000-00001FA00000}"/>
    <cellStyle name="Warning Text 9 12" xfId="40946" xr:uid="{00000000-0005-0000-0000-000020A00000}"/>
    <cellStyle name="Warning Text 9 13" xfId="40947" xr:uid="{00000000-0005-0000-0000-000021A00000}"/>
    <cellStyle name="Warning Text 9 14" xfId="40948" xr:uid="{00000000-0005-0000-0000-000022A00000}"/>
    <cellStyle name="Warning Text 9 15" xfId="40949" xr:uid="{00000000-0005-0000-0000-000023A00000}"/>
    <cellStyle name="Warning Text 9 16" xfId="40950" xr:uid="{00000000-0005-0000-0000-000024A00000}"/>
    <cellStyle name="Warning Text 9 17" xfId="40951" xr:uid="{00000000-0005-0000-0000-000025A00000}"/>
    <cellStyle name="Warning Text 9 18" xfId="40952" xr:uid="{00000000-0005-0000-0000-000026A00000}"/>
    <cellStyle name="Warning Text 9 19" xfId="40953" xr:uid="{00000000-0005-0000-0000-000027A00000}"/>
    <cellStyle name="Warning Text 9 2" xfId="40954" xr:uid="{00000000-0005-0000-0000-000028A00000}"/>
    <cellStyle name="Warning Text 9 20" xfId="40955" xr:uid="{00000000-0005-0000-0000-000029A00000}"/>
    <cellStyle name="Warning Text 9 21" xfId="40956" xr:uid="{00000000-0005-0000-0000-00002AA00000}"/>
    <cellStyle name="Warning Text 9 22" xfId="40957" xr:uid="{00000000-0005-0000-0000-00002BA00000}"/>
    <cellStyle name="Warning Text 9 23" xfId="40958" xr:uid="{00000000-0005-0000-0000-00002CA00000}"/>
    <cellStyle name="Warning Text 9 24" xfId="40959" xr:uid="{00000000-0005-0000-0000-00002DA00000}"/>
    <cellStyle name="Warning Text 9 25" xfId="40960" xr:uid="{00000000-0005-0000-0000-00002EA00000}"/>
    <cellStyle name="Warning Text 9 26" xfId="40961" xr:uid="{00000000-0005-0000-0000-00002FA00000}"/>
    <cellStyle name="Warning Text 9 27" xfId="40962" xr:uid="{00000000-0005-0000-0000-000030A00000}"/>
    <cellStyle name="Warning Text 9 28" xfId="40963" xr:uid="{00000000-0005-0000-0000-000031A00000}"/>
    <cellStyle name="Warning Text 9 29" xfId="40964" xr:uid="{00000000-0005-0000-0000-000032A00000}"/>
    <cellStyle name="Warning Text 9 3" xfId="40965" xr:uid="{00000000-0005-0000-0000-000033A00000}"/>
    <cellStyle name="Warning Text 9 30" xfId="40966" xr:uid="{00000000-0005-0000-0000-000034A00000}"/>
    <cellStyle name="Warning Text 9 31" xfId="40967" xr:uid="{00000000-0005-0000-0000-000035A00000}"/>
    <cellStyle name="Warning Text 9 32" xfId="40968" xr:uid="{00000000-0005-0000-0000-000036A00000}"/>
    <cellStyle name="Warning Text 9 33" xfId="40969" xr:uid="{00000000-0005-0000-0000-000037A00000}"/>
    <cellStyle name="Warning Text 9 34" xfId="40970" xr:uid="{00000000-0005-0000-0000-000038A00000}"/>
    <cellStyle name="Warning Text 9 35" xfId="40971" xr:uid="{00000000-0005-0000-0000-000039A00000}"/>
    <cellStyle name="Warning Text 9 36" xfId="40972" xr:uid="{00000000-0005-0000-0000-00003AA00000}"/>
    <cellStyle name="Warning Text 9 4" xfId="40973" xr:uid="{00000000-0005-0000-0000-00003BA00000}"/>
    <cellStyle name="Warning Text 9 5" xfId="40974" xr:uid="{00000000-0005-0000-0000-00003CA00000}"/>
    <cellStyle name="Warning Text 9 6" xfId="40975" xr:uid="{00000000-0005-0000-0000-00003DA00000}"/>
    <cellStyle name="Warning Text 9 7" xfId="40976" xr:uid="{00000000-0005-0000-0000-00003EA00000}"/>
    <cellStyle name="Warning Text 9 8" xfId="40977" xr:uid="{00000000-0005-0000-0000-00003FA00000}"/>
    <cellStyle name="Warning Text 9 9" xfId="40978" xr:uid="{00000000-0005-0000-0000-000040A00000}"/>
    <cellStyle name="Warning Text 90" xfId="40979" xr:uid="{00000000-0005-0000-0000-000041A00000}"/>
    <cellStyle name="Warning Text 90 2" xfId="40980" xr:uid="{00000000-0005-0000-0000-000042A00000}"/>
    <cellStyle name="Warning Text 91" xfId="40981" xr:uid="{00000000-0005-0000-0000-000043A00000}"/>
    <cellStyle name="Warning Text 91 2" xfId="40982" xr:uid="{00000000-0005-0000-0000-000044A00000}"/>
    <cellStyle name="Warning Text 92" xfId="40983" xr:uid="{00000000-0005-0000-0000-000045A00000}"/>
    <cellStyle name="Warning Text 92 2" xfId="40984" xr:uid="{00000000-0005-0000-0000-000046A00000}"/>
    <cellStyle name="Warning Text 93" xfId="40985" xr:uid="{00000000-0005-0000-0000-000047A00000}"/>
    <cellStyle name="Warning Text 93 2" xfId="40986" xr:uid="{00000000-0005-0000-0000-000048A00000}"/>
    <cellStyle name="Warning Text 94" xfId="40987" xr:uid="{00000000-0005-0000-0000-000049A00000}"/>
    <cellStyle name="Warning Text 94 2" xfId="40988" xr:uid="{00000000-0005-0000-0000-00004AA00000}"/>
    <cellStyle name="Warning Text 95" xfId="40989" xr:uid="{00000000-0005-0000-0000-00004BA00000}"/>
    <cellStyle name="Warning Text 96" xfId="40990" xr:uid="{00000000-0005-0000-0000-00004CA00000}"/>
    <cellStyle name="Warning Text 97" xfId="40991" xr:uid="{00000000-0005-0000-0000-00004DA00000}"/>
    <cellStyle name="Warning Text 98" xfId="40992" xr:uid="{00000000-0005-0000-0000-00004EA00000}"/>
    <cellStyle name="Warning Text 99" xfId="40993" xr:uid="{00000000-0005-0000-0000-00004FA00000}"/>
  </cellStyles>
  <dxfs count="109">
    <dxf>
      <font>
        <color rgb="FF006100"/>
      </font>
      <fill>
        <patternFill>
          <bgColor rgb="FFC6EFCE"/>
        </patternFill>
      </fill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double">
          <color rgb="FF7030A0"/>
        </top>
        <bottom style="thin">
          <color rgb="FF7030A0"/>
        </bottom>
      </border>
    </dxf>
    <dxf>
      <font>
        <b/>
        <i val="0"/>
        <color theme="0"/>
      </font>
      <fill>
        <patternFill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/>
        </horizontal>
      </border>
    </dxf>
  </dxfs>
  <tableStyles count="36" defaultTableStyle="TableStyleMedium2" defaultPivotStyle="PivotStyleLight16">
    <tableStyle name="Resettlement" pivot="0" count="3" xr9:uid="{A07DF8EE-DAB1-4031-A828-DCEF4272A753}">
      <tableStyleElement type="wholeTable" dxfId="108"/>
      <tableStyleElement type="headerRow" dxfId="107"/>
      <tableStyleElement type="totalRow" dxfId="106"/>
    </tableStyle>
    <tableStyle name="Resettlement 10" pivot="0" count="3" xr9:uid="{3667C68D-05CE-4463-9998-1A34364C9620}">
      <tableStyleElement type="wholeTable" dxfId="105"/>
      <tableStyleElement type="headerRow" dxfId="104"/>
      <tableStyleElement type="totalRow" dxfId="103"/>
    </tableStyle>
    <tableStyle name="Resettlement 11" pivot="0" count="3" xr9:uid="{EE4FCBED-50A0-4123-9FCC-6A6D5EFBAC5B}">
      <tableStyleElement type="wholeTable" dxfId="102"/>
      <tableStyleElement type="headerRow" dxfId="101"/>
      <tableStyleElement type="totalRow" dxfId="100"/>
    </tableStyle>
    <tableStyle name="Resettlement 12" pivot="0" count="3" xr9:uid="{C5C52EF6-CF16-483E-A4B6-6C3119E66F2E}">
      <tableStyleElement type="wholeTable" dxfId="99"/>
      <tableStyleElement type="headerRow" dxfId="98"/>
      <tableStyleElement type="totalRow" dxfId="97"/>
    </tableStyle>
    <tableStyle name="Resettlement 13" pivot="0" count="3" xr9:uid="{D5EDF780-CCF0-4D26-90B4-EB97B0F9C3E6}">
      <tableStyleElement type="wholeTable" dxfId="96"/>
      <tableStyleElement type="headerRow" dxfId="95"/>
      <tableStyleElement type="totalRow" dxfId="94"/>
    </tableStyle>
    <tableStyle name="Resettlement 14" pivot="0" count="3" xr9:uid="{E1D3871C-27BE-43ED-8396-337DB79F133A}">
      <tableStyleElement type="wholeTable" dxfId="93"/>
      <tableStyleElement type="headerRow" dxfId="92"/>
      <tableStyleElement type="totalRow" dxfId="91"/>
    </tableStyle>
    <tableStyle name="Resettlement 15" pivot="0" count="3" xr9:uid="{102079B3-C917-4AE1-A35A-F0B32215E1F3}">
      <tableStyleElement type="wholeTable" dxfId="90"/>
      <tableStyleElement type="headerRow" dxfId="89"/>
      <tableStyleElement type="totalRow" dxfId="88"/>
    </tableStyle>
    <tableStyle name="Resettlement 16" pivot="0" count="3" xr9:uid="{726503DB-943B-486D-A676-468C060FA010}">
      <tableStyleElement type="wholeTable" dxfId="87"/>
      <tableStyleElement type="headerRow" dxfId="86"/>
      <tableStyleElement type="totalRow" dxfId="85"/>
    </tableStyle>
    <tableStyle name="Resettlement 17" pivot="0" count="3" xr9:uid="{41AF7A31-809C-43D1-911C-963D6F2EFA35}">
      <tableStyleElement type="wholeTable" dxfId="84"/>
      <tableStyleElement type="headerRow" dxfId="83"/>
      <tableStyleElement type="totalRow" dxfId="82"/>
    </tableStyle>
    <tableStyle name="Resettlement 18" pivot="0" count="3" xr9:uid="{F6B2B421-3F32-4203-AB51-C4E267BBBE61}">
      <tableStyleElement type="wholeTable" dxfId="81"/>
      <tableStyleElement type="headerRow" dxfId="80"/>
      <tableStyleElement type="totalRow" dxfId="79"/>
    </tableStyle>
    <tableStyle name="Resettlement 19" pivot="0" count="3" xr9:uid="{4E30A337-4662-428F-8024-CE1D639B11E1}">
      <tableStyleElement type="wholeTable" dxfId="78"/>
      <tableStyleElement type="headerRow" dxfId="77"/>
      <tableStyleElement type="totalRow" dxfId="76"/>
    </tableStyle>
    <tableStyle name="Resettlement 2" pivot="0" count="3" xr9:uid="{C43639A3-D79F-4518-8616-4B7480C1EE8F}">
      <tableStyleElement type="wholeTable" dxfId="75"/>
      <tableStyleElement type="headerRow" dxfId="74"/>
      <tableStyleElement type="totalRow" dxfId="73"/>
    </tableStyle>
    <tableStyle name="Resettlement 20" pivot="0" count="3" xr9:uid="{3D69D9A6-3C3F-4493-BEDE-08697693AD59}">
      <tableStyleElement type="wholeTable" dxfId="72"/>
      <tableStyleElement type="headerRow" dxfId="71"/>
      <tableStyleElement type="totalRow" dxfId="70"/>
    </tableStyle>
    <tableStyle name="Resettlement 21" pivot="0" count="3" xr9:uid="{6E2082E3-4AB8-42F1-9380-35DB370B34EE}">
      <tableStyleElement type="wholeTable" dxfId="69"/>
      <tableStyleElement type="headerRow" dxfId="68"/>
      <tableStyleElement type="totalRow" dxfId="67"/>
    </tableStyle>
    <tableStyle name="Resettlement 22" pivot="0" count="3" xr9:uid="{4C5C770D-30C5-41AC-AF06-46AF7D374019}">
      <tableStyleElement type="wholeTable" dxfId="66"/>
      <tableStyleElement type="headerRow" dxfId="65"/>
      <tableStyleElement type="totalRow" dxfId="64"/>
    </tableStyle>
    <tableStyle name="Resettlement 23" pivot="0" count="3" xr9:uid="{B1FE40A1-8FE2-4AAD-9B79-6C2E32728032}">
      <tableStyleElement type="wholeTable" dxfId="63"/>
      <tableStyleElement type="headerRow" dxfId="62"/>
      <tableStyleElement type="totalRow" dxfId="61"/>
    </tableStyle>
    <tableStyle name="Resettlement 24" pivot="0" count="3" xr9:uid="{74CE0A54-2C44-405B-941D-E9F5B4762B0D}">
      <tableStyleElement type="wholeTable" dxfId="60"/>
      <tableStyleElement type="headerRow" dxfId="59"/>
      <tableStyleElement type="totalRow" dxfId="58"/>
    </tableStyle>
    <tableStyle name="Resettlement 25" pivot="0" count="3" xr9:uid="{B5796730-717B-4BB2-B32E-27E2C29BB64C}">
      <tableStyleElement type="wholeTable" dxfId="57"/>
      <tableStyleElement type="headerRow" dxfId="56"/>
      <tableStyleElement type="totalRow" dxfId="55"/>
    </tableStyle>
    <tableStyle name="Resettlement 26" pivot="0" count="3" xr9:uid="{98D52C25-4A24-40B3-8BA7-B370054B1E60}">
      <tableStyleElement type="wholeTable" dxfId="54"/>
      <tableStyleElement type="headerRow" dxfId="53"/>
      <tableStyleElement type="totalRow" dxfId="52"/>
    </tableStyle>
    <tableStyle name="Resettlement 27" pivot="0" count="3" xr9:uid="{27A2BF2C-7F31-4B8F-8E14-F0498DB746FC}">
      <tableStyleElement type="wholeTable" dxfId="51"/>
      <tableStyleElement type="headerRow" dxfId="50"/>
      <tableStyleElement type="totalRow" dxfId="49"/>
    </tableStyle>
    <tableStyle name="Resettlement 28" pivot="0" count="3" xr9:uid="{F1B7EF3C-77C1-4CA9-86A7-AACA4CB6182C}">
      <tableStyleElement type="wholeTable" dxfId="48"/>
      <tableStyleElement type="headerRow" dxfId="47"/>
      <tableStyleElement type="totalRow" dxfId="46"/>
    </tableStyle>
    <tableStyle name="Resettlement 29" pivot="0" count="3" xr9:uid="{0BBDC85D-1C8A-4CFA-9785-E4E04E8909CC}">
      <tableStyleElement type="wholeTable" dxfId="45"/>
      <tableStyleElement type="headerRow" dxfId="44"/>
      <tableStyleElement type="totalRow" dxfId="43"/>
    </tableStyle>
    <tableStyle name="Resettlement 3" pivot="0" count="3" xr9:uid="{FFD5B284-1118-4319-B921-ACB4F732E249}">
      <tableStyleElement type="wholeTable" dxfId="42"/>
      <tableStyleElement type="headerRow" dxfId="41"/>
      <tableStyleElement type="totalRow" dxfId="40"/>
    </tableStyle>
    <tableStyle name="Resettlement 30" pivot="0" count="3" xr9:uid="{5F5DF9BF-5932-4479-8B9E-604ABABA3AD8}">
      <tableStyleElement type="wholeTable" dxfId="39"/>
      <tableStyleElement type="headerRow" dxfId="38"/>
      <tableStyleElement type="totalRow" dxfId="37"/>
    </tableStyle>
    <tableStyle name="Resettlement 31" pivot="0" count="3" xr9:uid="{DF3F197D-C016-4503-8925-7094170335D9}">
      <tableStyleElement type="wholeTable" dxfId="36"/>
      <tableStyleElement type="headerRow" dxfId="35"/>
      <tableStyleElement type="totalRow" dxfId="34"/>
    </tableStyle>
    <tableStyle name="Resettlement 32" pivot="0" count="3" xr9:uid="{295E99AC-5C8A-4DA1-856B-E8E3A03192DE}">
      <tableStyleElement type="wholeTable" dxfId="33"/>
      <tableStyleElement type="headerRow" dxfId="32"/>
      <tableStyleElement type="totalRow" dxfId="31"/>
    </tableStyle>
    <tableStyle name="Resettlement 33" pivot="0" count="3" xr9:uid="{337DDED3-1AAE-497F-9844-AF21F76BFF52}">
      <tableStyleElement type="wholeTable" dxfId="30"/>
      <tableStyleElement type="headerRow" dxfId="29"/>
      <tableStyleElement type="totalRow" dxfId="28"/>
    </tableStyle>
    <tableStyle name="Resettlement 34" pivot="0" count="3" xr9:uid="{1377F549-42E4-423B-8ABA-87D25A974315}">
      <tableStyleElement type="wholeTable" dxfId="27"/>
      <tableStyleElement type="headerRow" dxfId="26"/>
      <tableStyleElement type="totalRow" dxfId="25"/>
    </tableStyle>
    <tableStyle name="Resettlement 35" pivot="0" count="3" xr9:uid="{092587BA-8BA8-479B-BC87-895C41EDA720}">
      <tableStyleElement type="wholeTable" dxfId="24"/>
      <tableStyleElement type="headerRow" dxfId="23"/>
      <tableStyleElement type="totalRow" dxfId="22"/>
    </tableStyle>
    <tableStyle name="Resettlement 36" pivot="0" count="3" xr9:uid="{58F82274-4049-490F-BCA9-1629FFDE8619}">
      <tableStyleElement type="wholeTable" dxfId="21"/>
      <tableStyleElement type="headerRow" dxfId="20"/>
      <tableStyleElement type="totalRow" dxfId="19"/>
    </tableStyle>
    <tableStyle name="Resettlement 4" pivot="0" count="3" xr9:uid="{B4F0F977-5C67-48FD-A0D8-34B0EA3D0B8F}">
      <tableStyleElement type="wholeTable" dxfId="18"/>
      <tableStyleElement type="headerRow" dxfId="17"/>
      <tableStyleElement type="totalRow" dxfId="16"/>
    </tableStyle>
    <tableStyle name="Resettlement 5" pivot="0" count="3" xr9:uid="{39E9FE81-A056-4CA6-A307-28FBD2EAC091}">
      <tableStyleElement type="wholeTable" dxfId="15"/>
      <tableStyleElement type="headerRow" dxfId="14"/>
      <tableStyleElement type="totalRow" dxfId="13"/>
    </tableStyle>
    <tableStyle name="Resettlement 6" pivot="0" count="3" xr9:uid="{59564430-AE0E-4E06-B0E1-BBB40B7A9736}">
      <tableStyleElement type="wholeTable" dxfId="12"/>
      <tableStyleElement type="headerRow" dxfId="11"/>
      <tableStyleElement type="totalRow" dxfId="10"/>
    </tableStyle>
    <tableStyle name="Resettlement 7" pivot="0" count="3" xr9:uid="{8F821FD0-6EDD-4F6B-8F4A-7E1FC7EA63C6}">
      <tableStyleElement type="wholeTable" dxfId="9"/>
      <tableStyleElement type="headerRow" dxfId="8"/>
      <tableStyleElement type="totalRow" dxfId="7"/>
    </tableStyle>
    <tableStyle name="Resettlement 8" pivot="0" count="3" xr9:uid="{18C10424-20ED-4D4C-97D9-8C65DF433BA9}">
      <tableStyleElement type="wholeTable" dxfId="6"/>
      <tableStyleElement type="headerRow" dxfId="5"/>
      <tableStyleElement type="totalRow" dxfId="4"/>
    </tableStyle>
    <tableStyle name="Resettlement 9" pivot="0" count="3" xr9:uid="{25774026-6C81-4389-911B-A3EFA517252B}">
      <tableStyleElement type="wholeTable" dxfId="3"/>
      <tableStyleElement type="headerRow" dxfId="2"/>
      <tableStyleElement type="total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'Aztec Metered Load'!$J$78:$J$101</c:f>
              <c:numCache>
                <c:formatCode>General</c:formatCode>
                <c:ptCount val="24"/>
                <c:pt idx="0">
                  <c:v>3907</c:v>
                </c:pt>
                <c:pt idx="1">
                  <c:v>3859</c:v>
                </c:pt>
                <c:pt idx="2">
                  <c:v>3869</c:v>
                </c:pt>
                <c:pt idx="3">
                  <c:v>3930</c:v>
                </c:pt>
                <c:pt idx="4">
                  <c:v>4142</c:v>
                </c:pt>
                <c:pt idx="5">
                  <c:v>4484</c:v>
                </c:pt>
                <c:pt idx="6">
                  <c:v>5157</c:v>
                </c:pt>
                <c:pt idx="7">
                  <c:v>5118</c:v>
                </c:pt>
                <c:pt idx="8">
                  <c:v>4941</c:v>
                </c:pt>
                <c:pt idx="9">
                  <c:v>4770</c:v>
                </c:pt>
                <c:pt idx="10">
                  <c:v>4414</c:v>
                </c:pt>
                <c:pt idx="11">
                  <c:v>3949</c:v>
                </c:pt>
                <c:pt idx="12">
                  <c:v>3873</c:v>
                </c:pt>
                <c:pt idx="13">
                  <c:v>3947</c:v>
                </c:pt>
                <c:pt idx="14">
                  <c:v>3838</c:v>
                </c:pt>
                <c:pt idx="15">
                  <c:v>3623</c:v>
                </c:pt>
                <c:pt idx="16">
                  <c:v>3730</c:v>
                </c:pt>
                <c:pt idx="17">
                  <c:v>3832</c:v>
                </c:pt>
                <c:pt idx="18">
                  <c:v>4003</c:v>
                </c:pt>
                <c:pt idx="19">
                  <c:v>4215</c:v>
                </c:pt>
                <c:pt idx="20">
                  <c:v>4439</c:v>
                </c:pt>
                <c:pt idx="21">
                  <c:v>4419</c:v>
                </c:pt>
                <c:pt idx="22">
                  <c:v>4216</c:v>
                </c:pt>
                <c:pt idx="23">
                  <c:v>3976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2-44FD-A608-103DD704E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04432"/>
        <c:axId val="122299440"/>
      </c:lineChart>
      <c:catAx>
        <c:axId val="12230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9440"/>
        <c:crosses val="autoZero"/>
        <c:auto val="1"/>
        <c:lblAlgn val="ctr"/>
        <c:lblOffset val="100"/>
        <c:noMultiLvlLbl val="0"/>
      </c:catAx>
      <c:valAx>
        <c:axId val="12229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0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Energy Imbalance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178805774278205E-2"/>
          <c:y val="0.14205961323800037"/>
          <c:w val="0.65161286089238868"/>
          <c:h val="0.7028222765259127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'EI Chart'!$AA$3:$AA$746</c:f>
              <c:numCache>
                <c:formatCode>0.00_);[Red]\(0.00\)</c:formatCode>
                <c:ptCount val="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2-4010-B459-671D325E15E7}"/>
            </c:ext>
          </c:extLst>
        </c:ser>
        <c:ser>
          <c:idx val="1"/>
          <c:order val="1"/>
          <c:marker>
            <c:symbol val="none"/>
          </c:marker>
          <c:val>
            <c:numRef>
              <c:f>'EI Chart'!$AB$3:$AB$746</c:f>
              <c:numCache>
                <c:formatCode>0.00_);[Red]\(0.00\)</c:formatCode>
                <c:ptCount val="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2-4010-B459-671D325E15E7}"/>
            </c:ext>
          </c:extLst>
        </c:ser>
        <c:ser>
          <c:idx val="2"/>
          <c:order val="2"/>
          <c:marker>
            <c:symbol val="none"/>
          </c:marker>
          <c:val>
            <c:numRef>
              <c:f>'EI Chart'!$AC$3:$AC$746</c:f>
              <c:numCache>
                <c:formatCode>0.00_);[Red]\(0.00\)</c:formatCode>
                <c:ptCount val="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2-4010-B459-671D325E15E7}"/>
            </c:ext>
          </c:extLst>
        </c:ser>
        <c:ser>
          <c:idx val="3"/>
          <c:order val="3"/>
          <c:marker>
            <c:symbol val="none"/>
          </c:marker>
          <c:val>
            <c:numRef>
              <c:f>'EI Chart'!$AD$3:$AD$746</c:f>
              <c:numCache>
                <c:formatCode>0.00_);[Red]\(0.00\)</c:formatCode>
                <c:ptCount val="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F2-4010-B459-671D325E15E7}"/>
            </c:ext>
          </c:extLst>
        </c:ser>
        <c:ser>
          <c:idx val="4"/>
          <c:order val="4"/>
          <c:marker>
            <c:symbol val="none"/>
          </c:marker>
          <c:val>
            <c:numRef>
              <c:f>'EI Chart'!$AE$3:$AE$746</c:f>
              <c:numCache>
                <c:formatCode>0.00_);[Red]\(0.00\)</c:formatCode>
                <c:ptCount val="7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F2-4010-B459-671D325E1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789376"/>
        <c:axId val="603132416"/>
      </c:lineChart>
      <c:catAx>
        <c:axId val="64278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numFmt formatCode="0_);[Red]\(0\)" sourceLinked="0"/>
        <c:majorTickMark val="none"/>
        <c:minorTickMark val="none"/>
        <c:tickLblPos val="low"/>
        <c:crossAx val="603132416"/>
        <c:crosses val="autoZero"/>
        <c:auto val="1"/>
        <c:lblAlgn val="ctr"/>
        <c:lblOffset val="100"/>
        <c:tickLblSkip val="24"/>
        <c:noMultiLvlLbl val="0"/>
      </c:catAx>
      <c:valAx>
        <c:axId val="6031324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0"/>
        </c:title>
        <c:numFmt formatCode="0.00_);[Red]\(0.00\)" sourceLinked="0"/>
        <c:majorTickMark val="out"/>
        <c:minorTickMark val="none"/>
        <c:tickLblPos val="nextTo"/>
        <c:crossAx val="64278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245071906972471"/>
          <c:y val="0.25050177527973388"/>
          <c:w val="0.18429989919687351"/>
          <c:h val="0.47665594921477838"/>
        </c:manualLayout>
      </c:layout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Load and Generation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'EI Chart'!$AF$1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'EI Chart'!$AF$2:$AF$746</c:f>
              <c:numCache>
                <c:formatCode>0.00_);[Red]\(0.00\)</c:formatCode>
                <c:ptCount val="74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8-409E-BE8F-8E0AD672A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790912"/>
        <c:axId val="603134720"/>
      </c:lineChart>
      <c:catAx>
        <c:axId val="64279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0"/>
        </c:title>
        <c:majorTickMark val="none"/>
        <c:minorTickMark val="none"/>
        <c:tickLblPos val="low"/>
        <c:crossAx val="603134720"/>
        <c:crosses val="autoZero"/>
        <c:auto val="1"/>
        <c:lblAlgn val="ctr"/>
        <c:lblOffset val="100"/>
        <c:tickLblSkip val="24"/>
        <c:noMultiLvlLbl val="0"/>
      </c:catAx>
      <c:valAx>
        <c:axId val="6031347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642790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68</xdr:row>
      <xdr:rowOff>23813</xdr:rowOff>
    </xdr:from>
    <xdr:to>
      <xdr:col>19</xdr:col>
      <xdr:colOff>485775</xdr:colOff>
      <xdr:row>83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BE2B9-D9EC-E5FA-B1DC-DD5BEB2AC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1</xdr:row>
      <xdr:rowOff>43088</xdr:rowOff>
    </xdr:from>
    <xdr:to>
      <xdr:col>20</xdr:col>
      <xdr:colOff>40641</xdr:colOff>
      <xdr:row>35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113121</xdr:colOff>
      <xdr:row>36</xdr:row>
      <xdr:rowOff>70756</xdr:rowOff>
    </xdr:from>
    <xdr:to>
      <xdr:col>18</xdr:col>
      <xdr:colOff>252367</xdr:colOff>
      <xdr:row>53</xdr:row>
      <xdr:rowOff>98878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Wu" refreshedDate="42684.592907754632" createdVersion="4" refreshedVersion="6" minRefreshableVersion="3" recordCount="833" xr:uid="{00000000-000A-0000-FFFF-FFFF01000000}">
  <cacheSource type="worksheet">
    <worksheetSource ref="A1:K1048576" sheet="GEServed"/>
  </cacheSource>
  <cacheFields count="9">
    <cacheField name="Date" numFmtId="14">
      <sharedItems containsNonDate="0" containsDate="1" containsString="0" containsBlank="1" minDate="2016-09-01T00:00:00" maxDate="2016-11-01T00:00:00" count="62"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m/>
        <d v="2016-09-13T00:00:00" u="1"/>
        <d v="2016-09-06T00:00:00" u="1"/>
        <d v="2016-09-25T00:00:00" u="1"/>
        <d v="2016-09-18T00:00:00" u="1"/>
        <d v="2016-09-11T00:00:00" u="1"/>
        <d v="2016-09-30T00:00:00" u="1"/>
        <d v="2016-09-04T00:00:00" u="1"/>
        <d v="2016-09-23T00:00:00" u="1"/>
        <d v="2016-09-16T00:00:00" u="1"/>
        <d v="2016-09-09T00:00:00" u="1"/>
        <d v="2016-09-28T00:00:00" u="1"/>
        <d v="2016-09-02T00:00:00" u="1"/>
        <d v="2016-09-21T00:00:00" u="1"/>
        <d v="2016-09-14T00:00:00" u="1"/>
        <d v="2016-09-07T00:00:00" u="1"/>
        <d v="2016-09-26T00:00:00" u="1"/>
        <d v="2016-09-19T00:00:00" u="1"/>
        <d v="2016-09-12T00:00:00" u="1"/>
        <d v="2016-09-05T00:00:00" u="1"/>
        <d v="2016-09-24T00:00:00" u="1"/>
        <d v="2016-09-17T00:00:00" u="1"/>
        <d v="2016-09-10T00:00:00" u="1"/>
        <d v="2016-09-29T00:00:00" u="1"/>
        <d v="2016-09-03T00:00:00" u="1"/>
        <d v="2016-09-22T00:00:00" u="1"/>
        <d v="2016-09-15T00:00:00" u="1"/>
        <d v="2016-09-08T00:00:00" u="1"/>
        <d v="2016-09-27T00:00:00" u="1"/>
        <d v="2016-09-01T00:00:00" u="1"/>
        <d v="2016-09-20T00:00:00" u="1"/>
      </sharedItems>
    </cacheField>
    <cacheField name="HE" numFmtId="0">
      <sharedItems containsString="0" containsBlank="1" containsNumber="1" containsInteger="1" minValue="1" maxValue="24"/>
    </cacheField>
    <cacheField name="isHoliday" numFmtId="0">
      <sharedItems containsString="0" containsBlank="1" containsNumber="1" containsInteger="1" minValue="0" maxValue="0"/>
    </cacheField>
    <cacheField name="PeakHour" numFmtId="0">
      <sharedItems containsString="0" containsBlank="1" containsNumber="1" containsInteger="1" minValue="0" maxValue="1"/>
    </cacheField>
    <cacheField name="PeakType" numFmtId="0">
      <sharedItems containsBlank="1"/>
    </cacheField>
    <cacheField name="GE Served" numFmtId="0">
      <sharedItems containsString="0" containsBlank="1" containsNumber="1" containsInteger="1" minValue="0" maxValue="6"/>
    </cacheField>
    <cacheField name="AHP" numFmtId="0">
      <sharedItems containsString="0" containsBlank="1" containsNumber="1" containsInteger="1" minValue="0" maxValue="2"/>
    </cacheField>
    <cacheField name="WRP" numFmtId="0">
      <sharedItems containsString="0" containsBlank="1" containsNumber="1" containsInteger="1" minValue="0" maxValue="0"/>
    </cacheField>
    <cacheField name="Total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3">
  <r>
    <x v="0"/>
    <n v="1"/>
    <n v="0"/>
    <n v="0"/>
    <s v="OP"/>
    <n v="2"/>
    <n v="1"/>
    <n v="0"/>
    <n v="3"/>
  </r>
  <r>
    <x v="0"/>
    <n v="2"/>
    <n v="0"/>
    <n v="0"/>
    <s v="OP"/>
    <n v="2"/>
    <n v="1"/>
    <n v="0"/>
    <n v="3"/>
  </r>
  <r>
    <x v="0"/>
    <n v="3"/>
    <n v="0"/>
    <n v="0"/>
    <s v="OP"/>
    <n v="2"/>
    <n v="1"/>
    <n v="0"/>
    <n v="3"/>
  </r>
  <r>
    <x v="0"/>
    <n v="4"/>
    <n v="0"/>
    <n v="0"/>
    <s v="OP"/>
    <n v="2"/>
    <n v="1"/>
    <n v="0"/>
    <n v="3"/>
  </r>
  <r>
    <x v="0"/>
    <n v="5"/>
    <n v="0"/>
    <n v="0"/>
    <s v="OP"/>
    <n v="2"/>
    <n v="1"/>
    <n v="0"/>
    <n v="3"/>
  </r>
  <r>
    <x v="0"/>
    <n v="6"/>
    <n v="0"/>
    <n v="0"/>
    <s v="OP"/>
    <n v="2"/>
    <n v="1"/>
    <n v="0"/>
    <n v="3"/>
  </r>
  <r>
    <x v="0"/>
    <n v="7"/>
    <n v="0"/>
    <n v="1"/>
    <s v="PK"/>
    <n v="2"/>
    <n v="1"/>
    <n v="0"/>
    <n v="3"/>
  </r>
  <r>
    <x v="0"/>
    <n v="8"/>
    <n v="0"/>
    <n v="1"/>
    <s v="PK"/>
    <n v="2"/>
    <n v="1"/>
    <n v="0"/>
    <n v="3"/>
  </r>
  <r>
    <x v="0"/>
    <n v="9"/>
    <n v="0"/>
    <n v="1"/>
    <s v="PK"/>
    <n v="2"/>
    <n v="1"/>
    <n v="0"/>
    <n v="3"/>
  </r>
  <r>
    <x v="0"/>
    <n v="10"/>
    <n v="0"/>
    <n v="1"/>
    <s v="PK"/>
    <n v="2"/>
    <n v="1"/>
    <n v="0"/>
    <n v="3"/>
  </r>
  <r>
    <x v="0"/>
    <n v="11"/>
    <n v="0"/>
    <n v="1"/>
    <s v="PK"/>
    <n v="2"/>
    <n v="1"/>
    <n v="0"/>
    <n v="3"/>
  </r>
  <r>
    <x v="0"/>
    <n v="12"/>
    <n v="0"/>
    <n v="1"/>
    <s v="PK"/>
    <n v="2"/>
    <n v="1"/>
    <n v="0"/>
    <n v="3"/>
  </r>
  <r>
    <x v="0"/>
    <n v="13"/>
    <n v="0"/>
    <n v="1"/>
    <s v="PK"/>
    <n v="2"/>
    <n v="1"/>
    <n v="0"/>
    <n v="3"/>
  </r>
  <r>
    <x v="0"/>
    <n v="14"/>
    <n v="0"/>
    <n v="1"/>
    <s v="PK"/>
    <n v="2"/>
    <n v="1"/>
    <n v="0"/>
    <n v="3"/>
  </r>
  <r>
    <x v="0"/>
    <n v="15"/>
    <n v="0"/>
    <n v="1"/>
    <s v="PK"/>
    <n v="3"/>
    <n v="1"/>
    <n v="0"/>
    <n v="4"/>
  </r>
  <r>
    <x v="0"/>
    <n v="16"/>
    <n v="0"/>
    <n v="1"/>
    <s v="PK"/>
    <n v="3"/>
    <n v="1"/>
    <n v="0"/>
    <n v="4"/>
  </r>
  <r>
    <x v="0"/>
    <n v="17"/>
    <n v="0"/>
    <n v="1"/>
    <s v="PK"/>
    <n v="3"/>
    <n v="1"/>
    <n v="0"/>
    <n v="4"/>
  </r>
  <r>
    <x v="0"/>
    <n v="18"/>
    <n v="0"/>
    <n v="1"/>
    <s v="PK"/>
    <n v="3"/>
    <n v="1"/>
    <n v="0"/>
    <n v="4"/>
  </r>
  <r>
    <x v="0"/>
    <n v="19"/>
    <n v="0"/>
    <n v="1"/>
    <s v="PK"/>
    <n v="3"/>
    <n v="1"/>
    <n v="0"/>
    <n v="4"/>
  </r>
  <r>
    <x v="0"/>
    <n v="20"/>
    <n v="0"/>
    <n v="1"/>
    <s v="PK"/>
    <n v="3"/>
    <n v="2"/>
    <n v="0"/>
    <n v="5"/>
  </r>
  <r>
    <x v="0"/>
    <n v="21"/>
    <n v="0"/>
    <n v="1"/>
    <s v="PK"/>
    <n v="2"/>
    <n v="1"/>
    <n v="0"/>
    <n v="3"/>
  </r>
  <r>
    <x v="0"/>
    <n v="22"/>
    <n v="0"/>
    <n v="1"/>
    <s v="PK"/>
    <n v="2"/>
    <n v="1"/>
    <n v="0"/>
    <n v="3"/>
  </r>
  <r>
    <x v="0"/>
    <n v="23"/>
    <n v="0"/>
    <n v="0"/>
    <s v="OP"/>
    <n v="1"/>
    <n v="1"/>
    <n v="0"/>
    <n v="2"/>
  </r>
  <r>
    <x v="0"/>
    <n v="24"/>
    <n v="0"/>
    <n v="0"/>
    <s v="OP"/>
    <n v="2"/>
    <n v="1"/>
    <n v="0"/>
    <n v="3"/>
  </r>
  <r>
    <x v="1"/>
    <n v="1"/>
    <n v="0"/>
    <n v="0"/>
    <s v="OP"/>
    <n v="2"/>
    <n v="1"/>
    <n v="0"/>
    <n v="3"/>
  </r>
  <r>
    <x v="1"/>
    <n v="2"/>
    <n v="0"/>
    <n v="0"/>
    <s v="OP"/>
    <n v="2"/>
    <n v="1"/>
    <n v="0"/>
    <n v="3"/>
  </r>
  <r>
    <x v="1"/>
    <n v="3"/>
    <n v="0"/>
    <n v="0"/>
    <s v="OP"/>
    <n v="2"/>
    <n v="1"/>
    <n v="0"/>
    <n v="3"/>
  </r>
  <r>
    <x v="1"/>
    <n v="4"/>
    <n v="0"/>
    <n v="0"/>
    <s v="OP"/>
    <n v="2"/>
    <n v="1"/>
    <n v="0"/>
    <n v="3"/>
  </r>
  <r>
    <x v="1"/>
    <n v="5"/>
    <n v="0"/>
    <n v="0"/>
    <s v="OP"/>
    <n v="2"/>
    <n v="1"/>
    <n v="0"/>
    <n v="3"/>
  </r>
  <r>
    <x v="1"/>
    <n v="6"/>
    <n v="0"/>
    <n v="0"/>
    <s v="OP"/>
    <n v="2"/>
    <n v="1"/>
    <n v="0"/>
    <n v="3"/>
  </r>
  <r>
    <x v="1"/>
    <n v="7"/>
    <n v="0"/>
    <n v="1"/>
    <s v="OP"/>
    <n v="2"/>
    <n v="1"/>
    <n v="0"/>
    <n v="3"/>
  </r>
  <r>
    <x v="1"/>
    <n v="8"/>
    <n v="0"/>
    <n v="1"/>
    <s v="OP"/>
    <n v="2"/>
    <n v="1"/>
    <n v="0"/>
    <n v="3"/>
  </r>
  <r>
    <x v="1"/>
    <n v="9"/>
    <n v="0"/>
    <n v="1"/>
    <s v="OP"/>
    <n v="2"/>
    <n v="1"/>
    <n v="0"/>
    <n v="3"/>
  </r>
  <r>
    <x v="1"/>
    <n v="10"/>
    <n v="0"/>
    <n v="1"/>
    <s v="OP"/>
    <n v="2"/>
    <n v="1"/>
    <n v="0"/>
    <n v="3"/>
  </r>
  <r>
    <x v="1"/>
    <n v="11"/>
    <n v="0"/>
    <n v="1"/>
    <s v="OP"/>
    <n v="2"/>
    <n v="1"/>
    <n v="0"/>
    <n v="3"/>
  </r>
  <r>
    <x v="1"/>
    <n v="12"/>
    <n v="0"/>
    <n v="1"/>
    <s v="OP"/>
    <n v="2"/>
    <n v="1"/>
    <n v="0"/>
    <n v="3"/>
  </r>
  <r>
    <x v="1"/>
    <n v="13"/>
    <n v="0"/>
    <n v="1"/>
    <s v="OP"/>
    <n v="2"/>
    <n v="1"/>
    <n v="0"/>
    <n v="3"/>
  </r>
  <r>
    <x v="1"/>
    <n v="14"/>
    <n v="0"/>
    <n v="1"/>
    <s v="OP"/>
    <n v="2"/>
    <n v="1"/>
    <n v="0"/>
    <n v="3"/>
  </r>
  <r>
    <x v="1"/>
    <n v="15"/>
    <n v="0"/>
    <n v="1"/>
    <s v="OP"/>
    <n v="2"/>
    <n v="1"/>
    <n v="0"/>
    <n v="3"/>
  </r>
  <r>
    <x v="1"/>
    <n v="16"/>
    <n v="0"/>
    <n v="1"/>
    <s v="OP"/>
    <n v="3"/>
    <n v="1"/>
    <n v="0"/>
    <n v="4"/>
  </r>
  <r>
    <x v="1"/>
    <n v="17"/>
    <n v="0"/>
    <n v="1"/>
    <s v="OP"/>
    <n v="3"/>
    <n v="1"/>
    <n v="0"/>
    <n v="4"/>
  </r>
  <r>
    <x v="1"/>
    <n v="18"/>
    <n v="0"/>
    <n v="1"/>
    <s v="OP"/>
    <n v="3"/>
    <n v="1"/>
    <n v="0"/>
    <n v="4"/>
  </r>
  <r>
    <x v="1"/>
    <n v="19"/>
    <n v="0"/>
    <n v="1"/>
    <s v="OP"/>
    <n v="3"/>
    <n v="1"/>
    <n v="0"/>
    <n v="4"/>
  </r>
  <r>
    <x v="1"/>
    <n v="20"/>
    <n v="0"/>
    <n v="1"/>
    <s v="OP"/>
    <n v="3"/>
    <n v="1"/>
    <n v="0"/>
    <n v="4"/>
  </r>
  <r>
    <x v="1"/>
    <n v="21"/>
    <n v="0"/>
    <n v="1"/>
    <s v="OP"/>
    <n v="2"/>
    <n v="1"/>
    <n v="0"/>
    <n v="3"/>
  </r>
  <r>
    <x v="1"/>
    <n v="22"/>
    <n v="0"/>
    <n v="1"/>
    <s v="OP"/>
    <n v="2"/>
    <n v="1"/>
    <n v="0"/>
    <n v="3"/>
  </r>
  <r>
    <x v="1"/>
    <n v="23"/>
    <n v="0"/>
    <n v="0"/>
    <s v="OP"/>
    <n v="2"/>
    <n v="1"/>
    <n v="0"/>
    <n v="3"/>
  </r>
  <r>
    <x v="1"/>
    <n v="24"/>
    <n v="0"/>
    <n v="0"/>
    <s v="OP"/>
    <n v="2"/>
    <n v="1"/>
    <n v="0"/>
    <n v="3"/>
  </r>
  <r>
    <x v="2"/>
    <n v="1"/>
    <n v="0"/>
    <n v="0"/>
    <s v="OP"/>
    <n v="2"/>
    <n v="1"/>
    <n v="0"/>
    <n v="3"/>
  </r>
  <r>
    <x v="2"/>
    <n v="2"/>
    <n v="0"/>
    <n v="0"/>
    <s v="OP"/>
    <n v="2"/>
    <n v="1"/>
    <n v="0"/>
    <n v="3"/>
  </r>
  <r>
    <x v="2"/>
    <n v="3"/>
    <n v="0"/>
    <n v="0"/>
    <s v="OP"/>
    <n v="2"/>
    <n v="1"/>
    <n v="0"/>
    <n v="3"/>
  </r>
  <r>
    <x v="2"/>
    <n v="4"/>
    <n v="0"/>
    <n v="0"/>
    <s v="OP"/>
    <n v="2"/>
    <n v="1"/>
    <n v="0"/>
    <n v="3"/>
  </r>
  <r>
    <x v="2"/>
    <n v="5"/>
    <n v="0"/>
    <n v="0"/>
    <s v="OP"/>
    <n v="3"/>
    <n v="1"/>
    <n v="0"/>
    <n v="4"/>
  </r>
  <r>
    <x v="2"/>
    <n v="6"/>
    <n v="0"/>
    <n v="0"/>
    <s v="OP"/>
    <n v="3"/>
    <n v="1"/>
    <n v="0"/>
    <n v="4"/>
  </r>
  <r>
    <x v="2"/>
    <n v="7"/>
    <n v="0"/>
    <n v="1"/>
    <s v="PK"/>
    <n v="3"/>
    <n v="1"/>
    <n v="0"/>
    <n v="4"/>
  </r>
  <r>
    <x v="2"/>
    <n v="8"/>
    <n v="0"/>
    <n v="1"/>
    <s v="PK"/>
    <n v="3"/>
    <n v="1"/>
    <n v="0"/>
    <n v="4"/>
  </r>
  <r>
    <x v="2"/>
    <n v="9"/>
    <n v="0"/>
    <n v="1"/>
    <s v="PK"/>
    <n v="3"/>
    <n v="1"/>
    <n v="0"/>
    <n v="4"/>
  </r>
  <r>
    <x v="2"/>
    <n v="10"/>
    <n v="0"/>
    <n v="1"/>
    <s v="PK"/>
    <n v="3"/>
    <n v="1"/>
    <n v="0"/>
    <n v="4"/>
  </r>
  <r>
    <x v="2"/>
    <n v="11"/>
    <n v="0"/>
    <n v="1"/>
    <s v="PK"/>
    <n v="3"/>
    <n v="1"/>
    <n v="0"/>
    <n v="4"/>
  </r>
  <r>
    <x v="2"/>
    <n v="12"/>
    <n v="0"/>
    <n v="1"/>
    <s v="PK"/>
    <n v="3"/>
    <n v="1"/>
    <n v="0"/>
    <n v="4"/>
  </r>
  <r>
    <x v="2"/>
    <n v="13"/>
    <n v="0"/>
    <n v="1"/>
    <s v="PK"/>
    <n v="3"/>
    <n v="1"/>
    <n v="0"/>
    <n v="4"/>
  </r>
  <r>
    <x v="2"/>
    <n v="14"/>
    <n v="0"/>
    <n v="1"/>
    <s v="PK"/>
    <n v="3"/>
    <n v="1"/>
    <n v="0"/>
    <n v="4"/>
  </r>
  <r>
    <x v="2"/>
    <n v="15"/>
    <n v="0"/>
    <n v="1"/>
    <s v="PK"/>
    <n v="3"/>
    <n v="1"/>
    <n v="0"/>
    <n v="4"/>
  </r>
  <r>
    <x v="2"/>
    <n v="16"/>
    <n v="0"/>
    <n v="1"/>
    <s v="PK"/>
    <n v="3"/>
    <n v="1"/>
    <n v="0"/>
    <n v="4"/>
  </r>
  <r>
    <x v="2"/>
    <n v="17"/>
    <n v="0"/>
    <n v="1"/>
    <s v="PK"/>
    <n v="3"/>
    <n v="1"/>
    <n v="0"/>
    <n v="4"/>
  </r>
  <r>
    <x v="2"/>
    <n v="18"/>
    <n v="0"/>
    <n v="1"/>
    <s v="PK"/>
    <n v="3"/>
    <n v="1"/>
    <n v="0"/>
    <n v="4"/>
  </r>
  <r>
    <x v="2"/>
    <n v="19"/>
    <n v="0"/>
    <n v="1"/>
    <s v="PK"/>
    <n v="3"/>
    <n v="1"/>
    <n v="0"/>
    <n v="4"/>
  </r>
  <r>
    <x v="2"/>
    <n v="20"/>
    <n v="0"/>
    <n v="1"/>
    <s v="PK"/>
    <n v="3"/>
    <n v="2"/>
    <n v="0"/>
    <n v="5"/>
  </r>
  <r>
    <x v="2"/>
    <n v="21"/>
    <n v="0"/>
    <n v="1"/>
    <s v="PK"/>
    <n v="2"/>
    <n v="1"/>
    <n v="0"/>
    <n v="3"/>
  </r>
  <r>
    <x v="2"/>
    <n v="22"/>
    <n v="0"/>
    <n v="1"/>
    <s v="PK"/>
    <n v="2"/>
    <n v="1"/>
    <n v="0"/>
    <n v="3"/>
  </r>
  <r>
    <x v="2"/>
    <n v="23"/>
    <n v="0"/>
    <n v="0"/>
    <s v="OP"/>
    <n v="2"/>
    <n v="1"/>
    <n v="0"/>
    <n v="3"/>
  </r>
  <r>
    <x v="2"/>
    <n v="24"/>
    <n v="0"/>
    <n v="0"/>
    <s v="OP"/>
    <n v="2"/>
    <n v="1"/>
    <n v="0"/>
    <n v="3"/>
  </r>
  <r>
    <x v="3"/>
    <n v="1"/>
    <n v="0"/>
    <n v="0"/>
    <s v="OP"/>
    <n v="2"/>
    <n v="0"/>
    <n v="0"/>
    <n v="2"/>
  </r>
  <r>
    <x v="3"/>
    <n v="2"/>
    <n v="0"/>
    <n v="0"/>
    <s v="OP"/>
    <n v="2"/>
    <n v="1"/>
    <n v="0"/>
    <n v="3"/>
  </r>
  <r>
    <x v="3"/>
    <n v="3"/>
    <n v="0"/>
    <n v="0"/>
    <s v="OP"/>
    <n v="2"/>
    <n v="1"/>
    <n v="0"/>
    <n v="3"/>
  </r>
  <r>
    <x v="3"/>
    <n v="4"/>
    <n v="0"/>
    <n v="0"/>
    <s v="OP"/>
    <n v="2"/>
    <n v="1"/>
    <n v="0"/>
    <n v="3"/>
  </r>
  <r>
    <x v="3"/>
    <n v="5"/>
    <n v="0"/>
    <n v="0"/>
    <s v="OP"/>
    <n v="2"/>
    <n v="1"/>
    <n v="0"/>
    <n v="3"/>
  </r>
  <r>
    <x v="3"/>
    <n v="6"/>
    <n v="0"/>
    <n v="0"/>
    <s v="OP"/>
    <n v="3"/>
    <n v="1"/>
    <n v="0"/>
    <n v="4"/>
  </r>
  <r>
    <x v="3"/>
    <n v="7"/>
    <n v="0"/>
    <n v="1"/>
    <s v="PK"/>
    <n v="3"/>
    <n v="1"/>
    <n v="0"/>
    <n v="4"/>
  </r>
  <r>
    <x v="3"/>
    <n v="8"/>
    <n v="0"/>
    <n v="1"/>
    <s v="PK"/>
    <n v="3"/>
    <n v="1"/>
    <n v="0"/>
    <n v="4"/>
  </r>
  <r>
    <x v="3"/>
    <n v="9"/>
    <n v="0"/>
    <n v="1"/>
    <s v="PK"/>
    <n v="3"/>
    <n v="1"/>
    <n v="0"/>
    <n v="4"/>
  </r>
  <r>
    <x v="3"/>
    <n v="10"/>
    <n v="0"/>
    <n v="1"/>
    <s v="PK"/>
    <n v="3"/>
    <n v="1"/>
    <n v="0"/>
    <n v="4"/>
  </r>
  <r>
    <x v="3"/>
    <n v="11"/>
    <n v="0"/>
    <n v="1"/>
    <s v="PK"/>
    <n v="3"/>
    <n v="1"/>
    <n v="0"/>
    <n v="4"/>
  </r>
  <r>
    <x v="3"/>
    <n v="12"/>
    <n v="0"/>
    <n v="1"/>
    <s v="PK"/>
    <n v="3"/>
    <n v="1"/>
    <n v="0"/>
    <n v="4"/>
  </r>
  <r>
    <x v="3"/>
    <n v="13"/>
    <n v="0"/>
    <n v="1"/>
    <s v="PK"/>
    <n v="3"/>
    <n v="1"/>
    <n v="0"/>
    <n v="4"/>
  </r>
  <r>
    <x v="3"/>
    <n v="14"/>
    <n v="0"/>
    <n v="1"/>
    <s v="PK"/>
    <n v="3"/>
    <n v="1"/>
    <n v="0"/>
    <n v="4"/>
  </r>
  <r>
    <x v="3"/>
    <n v="15"/>
    <n v="0"/>
    <n v="1"/>
    <s v="PK"/>
    <n v="3"/>
    <n v="1"/>
    <n v="0"/>
    <n v="4"/>
  </r>
  <r>
    <x v="3"/>
    <n v="16"/>
    <n v="0"/>
    <n v="1"/>
    <s v="PK"/>
    <n v="3"/>
    <n v="1"/>
    <n v="0"/>
    <n v="4"/>
  </r>
  <r>
    <x v="3"/>
    <n v="17"/>
    <n v="0"/>
    <n v="1"/>
    <s v="PK"/>
    <n v="3"/>
    <n v="1"/>
    <n v="0"/>
    <n v="4"/>
  </r>
  <r>
    <x v="3"/>
    <n v="18"/>
    <n v="0"/>
    <n v="1"/>
    <s v="PK"/>
    <n v="3"/>
    <n v="1"/>
    <n v="0"/>
    <n v="4"/>
  </r>
  <r>
    <x v="3"/>
    <n v="19"/>
    <n v="0"/>
    <n v="1"/>
    <s v="PK"/>
    <n v="3"/>
    <n v="1"/>
    <n v="0"/>
    <n v="4"/>
  </r>
  <r>
    <x v="3"/>
    <n v="20"/>
    <n v="0"/>
    <n v="1"/>
    <s v="PK"/>
    <n v="3"/>
    <n v="2"/>
    <n v="0"/>
    <n v="5"/>
  </r>
  <r>
    <x v="3"/>
    <n v="21"/>
    <n v="0"/>
    <n v="1"/>
    <s v="PK"/>
    <n v="2"/>
    <n v="1"/>
    <n v="0"/>
    <n v="3"/>
  </r>
  <r>
    <x v="3"/>
    <n v="22"/>
    <n v="0"/>
    <n v="1"/>
    <s v="PK"/>
    <n v="2"/>
    <n v="1"/>
    <n v="0"/>
    <n v="3"/>
  </r>
  <r>
    <x v="3"/>
    <n v="23"/>
    <n v="0"/>
    <n v="0"/>
    <s v="OP"/>
    <n v="2"/>
    <n v="1"/>
    <n v="0"/>
    <n v="3"/>
  </r>
  <r>
    <x v="3"/>
    <n v="24"/>
    <n v="0"/>
    <n v="0"/>
    <s v="OP"/>
    <n v="2"/>
    <n v="1"/>
    <n v="0"/>
    <n v="3"/>
  </r>
  <r>
    <x v="4"/>
    <n v="1"/>
    <n v="0"/>
    <n v="0"/>
    <s v="OP"/>
    <n v="2"/>
    <n v="0"/>
    <n v="0"/>
    <n v="2"/>
  </r>
  <r>
    <x v="4"/>
    <n v="2"/>
    <n v="0"/>
    <n v="0"/>
    <s v="OP"/>
    <n v="2"/>
    <n v="1"/>
    <n v="0"/>
    <n v="3"/>
  </r>
  <r>
    <x v="4"/>
    <n v="3"/>
    <n v="0"/>
    <n v="0"/>
    <s v="OP"/>
    <n v="2"/>
    <n v="1"/>
    <n v="0"/>
    <n v="3"/>
  </r>
  <r>
    <x v="4"/>
    <n v="4"/>
    <n v="0"/>
    <n v="0"/>
    <s v="OP"/>
    <n v="2"/>
    <n v="1"/>
    <n v="0"/>
    <n v="3"/>
  </r>
  <r>
    <x v="4"/>
    <n v="5"/>
    <n v="0"/>
    <n v="0"/>
    <s v="OP"/>
    <n v="2"/>
    <n v="1"/>
    <n v="0"/>
    <n v="3"/>
  </r>
  <r>
    <x v="4"/>
    <n v="6"/>
    <n v="0"/>
    <n v="0"/>
    <s v="OP"/>
    <n v="2"/>
    <n v="1"/>
    <n v="0"/>
    <n v="3"/>
  </r>
  <r>
    <x v="4"/>
    <n v="7"/>
    <n v="0"/>
    <n v="1"/>
    <s v="PK"/>
    <n v="3"/>
    <n v="1"/>
    <n v="0"/>
    <n v="4"/>
  </r>
  <r>
    <x v="4"/>
    <n v="8"/>
    <n v="0"/>
    <n v="1"/>
    <s v="PK"/>
    <n v="3"/>
    <n v="1"/>
    <n v="0"/>
    <n v="4"/>
  </r>
  <r>
    <x v="4"/>
    <n v="9"/>
    <n v="0"/>
    <n v="1"/>
    <s v="PK"/>
    <n v="3"/>
    <n v="1"/>
    <n v="0"/>
    <n v="4"/>
  </r>
  <r>
    <x v="4"/>
    <n v="10"/>
    <n v="0"/>
    <n v="1"/>
    <s v="PK"/>
    <n v="3"/>
    <n v="1"/>
    <n v="0"/>
    <n v="4"/>
  </r>
  <r>
    <x v="4"/>
    <n v="11"/>
    <n v="0"/>
    <n v="1"/>
    <s v="PK"/>
    <n v="3"/>
    <n v="1"/>
    <n v="0"/>
    <n v="4"/>
  </r>
  <r>
    <x v="4"/>
    <n v="12"/>
    <n v="0"/>
    <n v="1"/>
    <s v="PK"/>
    <n v="3"/>
    <n v="1"/>
    <n v="0"/>
    <n v="4"/>
  </r>
  <r>
    <x v="4"/>
    <n v="13"/>
    <n v="0"/>
    <n v="1"/>
    <s v="PK"/>
    <n v="3"/>
    <n v="1"/>
    <n v="0"/>
    <n v="4"/>
  </r>
  <r>
    <x v="4"/>
    <n v="14"/>
    <n v="0"/>
    <n v="1"/>
    <s v="PK"/>
    <n v="3"/>
    <n v="1"/>
    <n v="0"/>
    <n v="4"/>
  </r>
  <r>
    <x v="4"/>
    <n v="15"/>
    <n v="0"/>
    <n v="1"/>
    <s v="PK"/>
    <n v="3"/>
    <n v="1"/>
    <n v="0"/>
    <n v="4"/>
  </r>
  <r>
    <x v="4"/>
    <n v="16"/>
    <n v="0"/>
    <n v="1"/>
    <s v="PK"/>
    <n v="3"/>
    <n v="1"/>
    <n v="0"/>
    <n v="4"/>
  </r>
  <r>
    <x v="4"/>
    <n v="17"/>
    <n v="0"/>
    <n v="1"/>
    <s v="PK"/>
    <n v="3"/>
    <n v="1"/>
    <n v="0"/>
    <n v="4"/>
  </r>
  <r>
    <x v="4"/>
    <n v="18"/>
    <n v="0"/>
    <n v="1"/>
    <s v="PK"/>
    <n v="3"/>
    <n v="1"/>
    <n v="0"/>
    <n v="4"/>
  </r>
  <r>
    <x v="4"/>
    <n v="19"/>
    <n v="0"/>
    <n v="1"/>
    <s v="PK"/>
    <n v="3"/>
    <n v="1"/>
    <n v="0"/>
    <n v="4"/>
  </r>
  <r>
    <x v="4"/>
    <n v="20"/>
    <n v="0"/>
    <n v="1"/>
    <s v="PK"/>
    <n v="3"/>
    <n v="2"/>
    <n v="0"/>
    <n v="5"/>
  </r>
  <r>
    <x v="4"/>
    <n v="21"/>
    <n v="0"/>
    <n v="1"/>
    <s v="PK"/>
    <n v="2"/>
    <n v="1"/>
    <n v="0"/>
    <n v="3"/>
  </r>
  <r>
    <x v="4"/>
    <n v="22"/>
    <n v="0"/>
    <n v="1"/>
    <s v="PK"/>
    <n v="2"/>
    <n v="1"/>
    <n v="0"/>
    <n v="3"/>
  </r>
  <r>
    <x v="4"/>
    <n v="23"/>
    <n v="0"/>
    <n v="0"/>
    <s v="OP"/>
    <n v="2"/>
    <n v="1"/>
    <n v="0"/>
    <n v="3"/>
  </r>
  <r>
    <x v="4"/>
    <n v="24"/>
    <n v="0"/>
    <n v="0"/>
    <s v="OP"/>
    <n v="2"/>
    <n v="1"/>
    <n v="0"/>
    <n v="3"/>
  </r>
  <r>
    <x v="5"/>
    <n v="1"/>
    <n v="0"/>
    <n v="0"/>
    <s v="OP"/>
    <n v="2"/>
    <n v="0"/>
    <n v="0"/>
    <n v="2"/>
  </r>
  <r>
    <x v="5"/>
    <n v="2"/>
    <n v="0"/>
    <n v="0"/>
    <s v="OP"/>
    <n v="2"/>
    <n v="1"/>
    <n v="0"/>
    <n v="3"/>
  </r>
  <r>
    <x v="5"/>
    <n v="3"/>
    <n v="0"/>
    <n v="0"/>
    <s v="OP"/>
    <n v="2"/>
    <n v="1"/>
    <n v="0"/>
    <n v="3"/>
  </r>
  <r>
    <x v="5"/>
    <n v="4"/>
    <n v="0"/>
    <n v="0"/>
    <s v="OP"/>
    <n v="2"/>
    <n v="1"/>
    <n v="0"/>
    <n v="3"/>
  </r>
  <r>
    <x v="5"/>
    <n v="5"/>
    <n v="0"/>
    <n v="0"/>
    <s v="OP"/>
    <n v="2"/>
    <n v="1"/>
    <n v="0"/>
    <n v="3"/>
  </r>
  <r>
    <x v="5"/>
    <n v="6"/>
    <n v="0"/>
    <n v="0"/>
    <s v="OP"/>
    <n v="2"/>
    <n v="1"/>
    <n v="0"/>
    <n v="3"/>
  </r>
  <r>
    <x v="5"/>
    <n v="7"/>
    <n v="0"/>
    <n v="1"/>
    <s v="PK"/>
    <n v="3"/>
    <n v="1"/>
    <n v="0"/>
    <n v="4"/>
  </r>
  <r>
    <x v="5"/>
    <n v="8"/>
    <n v="0"/>
    <n v="1"/>
    <s v="PK"/>
    <n v="3"/>
    <n v="1"/>
    <n v="0"/>
    <n v="4"/>
  </r>
  <r>
    <x v="5"/>
    <n v="9"/>
    <n v="0"/>
    <n v="1"/>
    <s v="PK"/>
    <n v="3"/>
    <n v="1"/>
    <n v="0"/>
    <n v="4"/>
  </r>
  <r>
    <x v="5"/>
    <n v="10"/>
    <n v="0"/>
    <n v="1"/>
    <s v="PK"/>
    <n v="3"/>
    <n v="1"/>
    <n v="0"/>
    <n v="4"/>
  </r>
  <r>
    <x v="5"/>
    <n v="11"/>
    <n v="0"/>
    <n v="1"/>
    <s v="PK"/>
    <n v="3"/>
    <n v="1"/>
    <n v="0"/>
    <n v="4"/>
  </r>
  <r>
    <x v="5"/>
    <n v="12"/>
    <n v="0"/>
    <n v="1"/>
    <s v="PK"/>
    <n v="3"/>
    <n v="1"/>
    <n v="0"/>
    <n v="4"/>
  </r>
  <r>
    <x v="5"/>
    <n v="13"/>
    <n v="0"/>
    <n v="1"/>
    <s v="PK"/>
    <n v="3"/>
    <n v="1"/>
    <n v="0"/>
    <n v="4"/>
  </r>
  <r>
    <x v="5"/>
    <n v="14"/>
    <n v="0"/>
    <n v="1"/>
    <s v="PK"/>
    <n v="3"/>
    <n v="1"/>
    <n v="0"/>
    <n v="4"/>
  </r>
  <r>
    <x v="5"/>
    <n v="15"/>
    <n v="0"/>
    <n v="1"/>
    <s v="PK"/>
    <n v="3"/>
    <n v="1"/>
    <n v="0"/>
    <n v="4"/>
  </r>
  <r>
    <x v="5"/>
    <n v="16"/>
    <n v="0"/>
    <n v="1"/>
    <s v="PK"/>
    <n v="3"/>
    <n v="1"/>
    <n v="0"/>
    <n v="4"/>
  </r>
  <r>
    <x v="5"/>
    <n v="17"/>
    <n v="0"/>
    <n v="1"/>
    <s v="PK"/>
    <n v="3"/>
    <n v="1"/>
    <n v="0"/>
    <n v="4"/>
  </r>
  <r>
    <x v="5"/>
    <n v="18"/>
    <n v="0"/>
    <n v="1"/>
    <s v="PK"/>
    <n v="3"/>
    <n v="1"/>
    <n v="0"/>
    <n v="4"/>
  </r>
  <r>
    <x v="5"/>
    <n v="19"/>
    <n v="0"/>
    <n v="1"/>
    <s v="PK"/>
    <n v="3"/>
    <n v="1"/>
    <n v="0"/>
    <n v="4"/>
  </r>
  <r>
    <x v="5"/>
    <n v="20"/>
    <n v="0"/>
    <n v="1"/>
    <s v="PK"/>
    <n v="3"/>
    <n v="2"/>
    <n v="0"/>
    <n v="5"/>
  </r>
  <r>
    <x v="5"/>
    <n v="21"/>
    <n v="0"/>
    <n v="1"/>
    <s v="PK"/>
    <n v="2"/>
    <n v="1"/>
    <n v="0"/>
    <n v="3"/>
  </r>
  <r>
    <x v="5"/>
    <n v="22"/>
    <n v="0"/>
    <n v="1"/>
    <s v="PK"/>
    <n v="2"/>
    <n v="1"/>
    <n v="0"/>
    <n v="3"/>
  </r>
  <r>
    <x v="5"/>
    <n v="23"/>
    <n v="0"/>
    <n v="0"/>
    <s v="OP"/>
    <n v="2"/>
    <n v="1"/>
    <n v="0"/>
    <n v="3"/>
  </r>
  <r>
    <x v="5"/>
    <n v="24"/>
    <n v="0"/>
    <n v="0"/>
    <s v="OP"/>
    <n v="2"/>
    <n v="1"/>
    <n v="0"/>
    <n v="3"/>
  </r>
  <r>
    <x v="6"/>
    <n v="1"/>
    <n v="0"/>
    <n v="0"/>
    <s v="OP"/>
    <n v="2"/>
    <n v="0"/>
    <n v="0"/>
    <n v="2"/>
  </r>
  <r>
    <x v="6"/>
    <n v="2"/>
    <n v="0"/>
    <n v="0"/>
    <s v="OP"/>
    <n v="2"/>
    <n v="1"/>
    <n v="0"/>
    <n v="3"/>
  </r>
  <r>
    <x v="6"/>
    <n v="3"/>
    <n v="0"/>
    <n v="0"/>
    <s v="OP"/>
    <n v="2"/>
    <n v="1"/>
    <n v="0"/>
    <n v="3"/>
  </r>
  <r>
    <x v="6"/>
    <n v="4"/>
    <n v="0"/>
    <n v="0"/>
    <s v="OP"/>
    <n v="2"/>
    <n v="1"/>
    <n v="0"/>
    <n v="3"/>
  </r>
  <r>
    <x v="6"/>
    <n v="5"/>
    <n v="0"/>
    <n v="0"/>
    <s v="OP"/>
    <n v="2"/>
    <n v="1"/>
    <n v="0"/>
    <n v="3"/>
  </r>
  <r>
    <x v="6"/>
    <n v="6"/>
    <n v="0"/>
    <n v="0"/>
    <s v="OP"/>
    <n v="2"/>
    <n v="1"/>
    <n v="0"/>
    <n v="3"/>
  </r>
  <r>
    <x v="6"/>
    <n v="7"/>
    <n v="0"/>
    <n v="1"/>
    <s v="PK"/>
    <n v="2"/>
    <n v="1"/>
    <n v="0"/>
    <n v="3"/>
  </r>
  <r>
    <x v="6"/>
    <n v="8"/>
    <n v="0"/>
    <n v="1"/>
    <s v="PK"/>
    <n v="2"/>
    <n v="1"/>
    <n v="0"/>
    <n v="3"/>
  </r>
  <r>
    <x v="6"/>
    <n v="9"/>
    <n v="0"/>
    <n v="1"/>
    <s v="PK"/>
    <n v="2"/>
    <n v="1"/>
    <n v="0"/>
    <n v="3"/>
  </r>
  <r>
    <x v="6"/>
    <n v="10"/>
    <n v="0"/>
    <n v="1"/>
    <s v="PK"/>
    <n v="2"/>
    <n v="1"/>
    <n v="0"/>
    <n v="3"/>
  </r>
  <r>
    <x v="6"/>
    <n v="11"/>
    <n v="0"/>
    <n v="1"/>
    <s v="PK"/>
    <n v="2"/>
    <n v="1"/>
    <n v="0"/>
    <n v="3"/>
  </r>
  <r>
    <x v="6"/>
    <n v="12"/>
    <n v="0"/>
    <n v="1"/>
    <s v="PK"/>
    <n v="2"/>
    <n v="1"/>
    <n v="0"/>
    <n v="3"/>
  </r>
  <r>
    <x v="6"/>
    <n v="13"/>
    <n v="0"/>
    <n v="1"/>
    <s v="PK"/>
    <n v="2"/>
    <n v="1"/>
    <n v="0"/>
    <n v="3"/>
  </r>
  <r>
    <x v="6"/>
    <n v="14"/>
    <n v="0"/>
    <n v="1"/>
    <s v="PK"/>
    <n v="2"/>
    <n v="1"/>
    <n v="0"/>
    <n v="3"/>
  </r>
  <r>
    <x v="6"/>
    <n v="15"/>
    <n v="0"/>
    <n v="1"/>
    <s v="PK"/>
    <n v="2"/>
    <n v="1"/>
    <n v="0"/>
    <n v="3"/>
  </r>
  <r>
    <x v="6"/>
    <n v="16"/>
    <n v="0"/>
    <n v="1"/>
    <s v="PK"/>
    <n v="3"/>
    <n v="1"/>
    <n v="0"/>
    <n v="4"/>
  </r>
  <r>
    <x v="6"/>
    <n v="17"/>
    <n v="0"/>
    <n v="1"/>
    <s v="PK"/>
    <n v="3"/>
    <n v="1"/>
    <n v="0"/>
    <n v="4"/>
  </r>
  <r>
    <x v="6"/>
    <n v="18"/>
    <n v="0"/>
    <n v="1"/>
    <s v="PK"/>
    <n v="3"/>
    <n v="1"/>
    <n v="0"/>
    <n v="4"/>
  </r>
  <r>
    <x v="6"/>
    <n v="19"/>
    <n v="0"/>
    <n v="1"/>
    <s v="PK"/>
    <n v="3"/>
    <n v="1"/>
    <n v="0"/>
    <n v="4"/>
  </r>
  <r>
    <x v="6"/>
    <n v="20"/>
    <n v="0"/>
    <n v="1"/>
    <s v="PK"/>
    <n v="3"/>
    <n v="2"/>
    <n v="0"/>
    <n v="5"/>
  </r>
  <r>
    <x v="6"/>
    <n v="21"/>
    <n v="0"/>
    <n v="1"/>
    <s v="PK"/>
    <n v="2"/>
    <n v="1"/>
    <n v="0"/>
    <n v="3"/>
  </r>
  <r>
    <x v="6"/>
    <n v="22"/>
    <n v="0"/>
    <n v="1"/>
    <s v="PK"/>
    <n v="2"/>
    <n v="1"/>
    <n v="0"/>
    <n v="3"/>
  </r>
  <r>
    <x v="6"/>
    <n v="23"/>
    <n v="0"/>
    <n v="0"/>
    <s v="OP"/>
    <n v="2"/>
    <n v="1"/>
    <n v="0"/>
    <n v="3"/>
  </r>
  <r>
    <x v="6"/>
    <n v="24"/>
    <n v="0"/>
    <n v="0"/>
    <s v="OP"/>
    <n v="2"/>
    <n v="1"/>
    <n v="0"/>
    <n v="3"/>
  </r>
  <r>
    <x v="7"/>
    <n v="1"/>
    <n v="0"/>
    <n v="0"/>
    <s v="OP"/>
    <n v="2"/>
    <n v="0"/>
    <n v="0"/>
    <n v="2"/>
  </r>
  <r>
    <x v="7"/>
    <n v="2"/>
    <n v="0"/>
    <n v="0"/>
    <s v="OP"/>
    <n v="2"/>
    <n v="1"/>
    <n v="0"/>
    <n v="3"/>
  </r>
  <r>
    <x v="7"/>
    <n v="3"/>
    <n v="0"/>
    <n v="0"/>
    <s v="OP"/>
    <n v="2"/>
    <n v="1"/>
    <n v="0"/>
    <n v="3"/>
  </r>
  <r>
    <x v="7"/>
    <n v="4"/>
    <n v="0"/>
    <n v="0"/>
    <s v="OP"/>
    <n v="2"/>
    <n v="1"/>
    <n v="0"/>
    <n v="3"/>
  </r>
  <r>
    <x v="7"/>
    <n v="5"/>
    <n v="0"/>
    <n v="0"/>
    <s v="OP"/>
    <n v="2"/>
    <n v="1"/>
    <n v="0"/>
    <n v="3"/>
  </r>
  <r>
    <x v="7"/>
    <n v="6"/>
    <n v="0"/>
    <n v="0"/>
    <s v="OP"/>
    <n v="2"/>
    <n v="1"/>
    <n v="0"/>
    <n v="3"/>
  </r>
  <r>
    <x v="7"/>
    <n v="7"/>
    <n v="0"/>
    <n v="1"/>
    <s v="PK"/>
    <n v="2"/>
    <n v="1"/>
    <n v="0"/>
    <n v="3"/>
  </r>
  <r>
    <x v="7"/>
    <n v="8"/>
    <n v="0"/>
    <n v="1"/>
    <s v="PK"/>
    <n v="2"/>
    <n v="1"/>
    <n v="0"/>
    <n v="3"/>
  </r>
  <r>
    <x v="7"/>
    <n v="9"/>
    <n v="0"/>
    <n v="1"/>
    <s v="PK"/>
    <n v="2"/>
    <n v="1"/>
    <n v="0"/>
    <n v="3"/>
  </r>
  <r>
    <x v="7"/>
    <n v="10"/>
    <n v="0"/>
    <n v="1"/>
    <s v="PK"/>
    <n v="2"/>
    <n v="1"/>
    <n v="0"/>
    <n v="3"/>
  </r>
  <r>
    <x v="7"/>
    <n v="11"/>
    <n v="0"/>
    <n v="1"/>
    <s v="PK"/>
    <n v="2"/>
    <n v="1"/>
    <n v="0"/>
    <n v="3"/>
  </r>
  <r>
    <x v="7"/>
    <n v="12"/>
    <n v="0"/>
    <n v="1"/>
    <s v="PK"/>
    <n v="2"/>
    <n v="1"/>
    <n v="0"/>
    <n v="3"/>
  </r>
  <r>
    <x v="7"/>
    <n v="13"/>
    <n v="0"/>
    <n v="1"/>
    <s v="PK"/>
    <n v="2"/>
    <n v="1"/>
    <n v="0"/>
    <n v="3"/>
  </r>
  <r>
    <x v="7"/>
    <n v="14"/>
    <n v="0"/>
    <n v="1"/>
    <s v="PK"/>
    <n v="2"/>
    <n v="1"/>
    <n v="0"/>
    <n v="3"/>
  </r>
  <r>
    <x v="7"/>
    <n v="15"/>
    <n v="0"/>
    <n v="1"/>
    <s v="PK"/>
    <n v="2"/>
    <n v="1"/>
    <n v="0"/>
    <n v="3"/>
  </r>
  <r>
    <x v="7"/>
    <n v="16"/>
    <n v="0"/>
    <n v="1"/>
    <s v="PK"/>
    <n v="2"/>
    <n v="1"/>
    <n v="0"/>
    <n v="3"/>
  </r>
  <r>
    <x v="7"/>
    <n v="17"/>
    <n v="0"/>
    <n v="1"/>
    <s v="PK"/>
    <n v="3"/>
    <n v="1"/>
    <n v="0"/>
    <n v="4"/>
  </r>
  <r>
    <x v="7"/>
    <n v="18"/>
    <n v="0"/>
    <n v="1"/>
    <s v="PK"/>
    <n v="3"/>
    <n v="1"/>
    <n v="0"/>
    <n v="4"/>
  </r>
  <r>
    <x v="7"/>
    <n v="19"/>
    <n v="0"/>
    <n v="1"/>
    <s v="PK"/>
    <n v="3"/>
    <n v="1"/>
    <n v="0"/>
    <n v="4"/>
  </r>
  <r>
    <x v="7"/>
    <n v="20"/>
    <n v="0"/>
    <n v="1"/>
    <s v="PK"/>
    <n v="3"/>
    <n v="2"/>
    <n v="0"/>
    <n v="5"/>
  </r>
  <r>
    <x v="7"/>
    <n v="21"/>
    <n v="0"/>
    <n v="1"/>
    <s v="PK"/>
    <n v="2"/>
    <n v="1"/>
    <n v="0"/>
    <n v="3"/>
  </r>
  <r>
    <x v="7"/>
    <n v="22"/>
    <n v="0"/>
    <n v="1"/>
    <s v="PK"/>
    <n v="2"/>
    <n v="1"/>
    <n v="0"/>
    <n v="3"/>
  </r>
  <r>
    <x v="7"/>
    <n v="23"/>
    <n v="0"/>
    <n v="0"/>
    <s v="OP"/>
    <n v="2"/>
    <n v="1"/>
    <n v="0"/>
    <n v="3"/>
  </r>
  <r>
    <x v="7"/>
    <n v="24"/>
    <n v="0"/>
    <n v="0"/>
    <s v="OP"/>
    <n v="2"/>
    <n v="1"/>
    <n v="0"/>
    <n v="3"/>
  </r>
  <r>
    <x v="8"/>
    <n v="1"/>
    <n v="0"/>
    <n v="0"/>
    <s v="OP"/>
    <n v="2"/>
    <n v="1"/>
    <n v="0"/>
    <n v="3"/>
  </r>
  <r>
    <x v="8"/>
    <n v="2"/>
    <n v="0"/>
    <n v="0"/>
    <s v="OP"/>
    <n v="2"/>
    <n v="1"/>
    <n v="0"/>
    <n v="3"/>
  </r>
  <r>
    <x v="8"/>
    <n v="3"/>
    <n v="0"/>
    <n v="0"/>
    <s v="OP"/>
    <n v="2"/>
    <n v="1"/>
    <n v="0"/>
    <n v="3"/>
  </r>
  <r>
    <x v="8"/>
    <n v="4"/>
    <n v="0"/>
    <n v="0"/>
    <s v="OP"/>
    <n v="2"/>
    <n v="1"/>
    <n v="0"/>
    <n v="3"/>
  </r>
  <r>
    <x v="8"/>
    <n v="5"/>
    <n v="0"/>
    <n v="0"/>
    <s v="OP"/>
    <n v="2"/>
    <n v="1"/>
    <n v="0"/>
    <n v="3"/>
  </r>
  <r>
    <x v="8"/>
    <n v="6"/>
    <n v="0"/>
    <n v="0"/>
    <s v="OP"/>
    <n v="2"/>
    <n v="1"/>
    <n v="0"/>
    <n v="3"/>
  </r>
  <r>
    <x v="8"/>
    <n v="7"/>
    <n v="0"/>
    <n v="1"/>
    <s v="OP"/>
    <n v="2"/>
    <n v="1"/>
    <n v="0"/>
    <n v="3"/>
  </r>
  <r>
    <x v="8"/>
    <n v="8"/>
    <n v="0"/>
    <n v="1"/>
    <s v="OP"/>
    <n v="2"/>
    <n v="1"/>
    <n v="0"/>
    <n v="3"/>
  </r>
  <r>
    <x v="8"/>
    <n v="9"/>
    <n v="0"/>
    <n v="1"/>
    <s v="OP"/>
    <n v="2"/>
    <n v="1"/>
    <n v="0"/>
    <n v="3"/>
  </r>
  <r>
    <x v="8"/>
    <n v="10"/>
    <n v="0"/>
    <n v="1"/>
    <s v="OP"/>
    <n v="2"/>
    <n v="1"/>
    <n v="0"/>
    <n v="3"/>
  </r>
  <r>
    <x v="8"/>
    <n v="11"/>
    <n v="0"/>
    <n v="1"/>
    <s v="OP"/>
    <n v="2"/>
    <n v="1"/>
    <n v="0"/>
    <n v="3"/>
  </r>
  <r>
    <x v="8"/>
    <n v="12"/>
    <n v="0"/>
    <n v="1"/>
    <s v="OP"/>
    <n v="2"/>
    <n v="1"/>
    <n v="0"/>
    <n v="3"/>
  </r>
  <r>
    <x v="8"/>
    <n v="13"/>
    <n v="0"/>
    <n v="1"/>
    <s v="OP"/>
    <n v="2"/>
    <n v="1"/>
    <n v="0"/>
    <n v="3"/>
  </r>
  <r>
    <x v="8"/>
    <n v="14"/>
    <n v="0"/>
    <n v="1"/>
    <s v="OP"/>
    <n v="2"/>
    <n v="1"/>
    <n v="0"/>
    <n v="3"/>
  </r>
  <r>
    <x v="8"/>
    <n v="15"/>
    <n v="0"/>
    <n v="1"/>
    <s v="OP"/>
    <n v="4"/>
    <n v="1"/>
    <n v="0"/>
    <n v="5"/>
  </r>
  <r>
    <x v="8"/>
    <n v="16"/>
    <n v="0"/>
    <n v="1"/>
    <s v="OP"/>
    <n v="2"/>
    <n v="1"/>
    <n v="0"/>
    <n v="3"/>
  </r>
  <r>
    <x v="8"/>
    <n v="17"/>
    <n v="0"/>
    <n v="1"/>
    <s v="OP"/>
    <n v="3"/>
    <n v="1"/>
    <n v="0"/>
    <n v="4"/>
  </r>
  <r>
    <x v="8"/>
    <n v="18"/>
    <n v="0"/>
    <n v="1"/>
    <s v="OP"/>
    <n v="3"/>
    <n v="1"/>
    <n v="0"/>
    <n v="4"/>
  </r>
  <r>
    <x v="8"/>
    <n v="19"/>
    <n v="0"/>
    <n v="1"/>
    <s v="OP"/>
    <n v="3"/>
    <n v="1"/>
    <n v="0"/>
    <n v="4"/>
  </r>
  <r>
    <x v="8"/>
    <n v="20"/>
    <n v="0"/>
    <n v="1"/>
    <s v="OP"/>
    <n v="3"/>
    <n v="1"/>
    <n v="0"/>
    <n v="4"/>
  </r>
  <r>
    <x v="8"/>
    <n v="21"/>
    <n v="0"/>
    <n v="1"/>
    <s v="OP"/>
    <n v="3"/>
    <n v="1"/>
    <n v="0"/>
    <n v="4"/>
  </r>
  <r>
    <x v="8"/>
    <n v="22"/>
    <n v="0"/>
    <n v="1"/>
    <s v="OP"/>
    <n v="0"/>
    <n v="1"/>
    <n v="0"/>
    <n v="1"/>
  </r>
  <r>
    <x v="8"/>
    <n v="23"/>
    <n v="0"/>
    <n v="0"/>
    <s v="OP"/>
    <n v="2"/>
    <n v="1"/>
    <n v="0"/>
    <n v="3"/>
  </r>
  <r>
    <x v="8"/>
    <n v="24"/>
    <n v="0"/>
    <n v="0"/>
    <s v="OP"/>
    <n v="2"/>
    <n v="1"/>
    <n v="0"/>
    <n v="3"/>
  </r>
  <r>
    <x v="9"/>
    <n v="1"/>
    <n v="0"/>
    <n v="0"/>
    <s v="OP"/>
    <n v="2"/>
    <n v="0"/>
    <n v="0"/>
    <n v="2"/>
  </r>
  <r>
    <x v="9"/>
    <n v="2"/>
    <n v="0"/>
    <n v="0"/>
    <s v="OP"/>
    <n v="2"/>
    <n v="1"/>
    <n v="0"/>
    <n v="3"/>
  </r>
  <r>
    <x v="9"/>
    <n v="3"/>
    <n v="0"/>
    <n v="0"/>
    <s v="OP"/>
    <n v="2"/>
    <n v="1"/>
    <n v="0"/>
    <n v="3"/>
  </r>
  <r>
    <x v="9"/>
    <n v="4"/>
    <n v="0"/>
    <n v="0"/>
    <s v="OP"/>
    <n v="2"/>
    <n v="1"/>
    <n v="0"/>
    <n v="3"/>
  </r>
  <r>
    <x v="9"/>
    <n v="5"/>
    <n v="0"/>
    <n v="0"/>
    <s v="OP"/>
    <n v="2"/>
    <n v="1"/>
    <n v="0"/>
    <n v="3"/>
  </r>
  <r>
    <x v="9"/>
    <n v="6"/>
    <n v="0"/>
    <n v="0"/>
    <s v="OP"/>
    <n v="2"/>
    <n v="1"/>
    <n v="0"/>
    <n v="3"/>
  </r>
  <r>
    <x v="9"/>
    <n v="7"/>
    <n v="0"/>
    <n v="1"/>
    <s v="PK"/>
    <n v="2"/>
    <n v="1"/>
    <n v="0"/>
    <n v="3"/>
  </r>
  <r>
    <x v="9"/>
    <n v="8"/>
    <n v="0"/>
    <n v="1"/>
    <s v="PK"/>
    <n v="2"/>
    <n v="1"/>
    <n v="0"/>
    <n v="3"/>
  </r>
  <r>
    <x v="9"/>
    <n v="9"/>
    <n v="0"/>
    <n v="1"/>
    <s v="PK"/>
    <n v="2"/>
    <n v="1"/>
    <n v="0"/>
    <n v="3"/>
  </r>
  <r>
    <x v="9"/>
    <n v="10"/>
    <n v="0"/>
    <n v="1"/>
    <s v="PK"/>
    <n v="3"/>
    <n v="1"/>
    <n v="0"/>
    <n v="4"/>
  </r>
  <r>
    <x v="9"/>
    <n v="11"/>
    <n v="0"/>
    <n v="1"/>
    <s v="PK"/>
    <n v="3"/>
    <n v="1"/>
    <n v="0"/>
    <n v="4"/>
  </r>
  <r>
    <x v="9"/>
    <n v="12"/>
    <n v="0"/>
    <n v="1"/>
    <s v="PK"/>
    <n v="3"/>
    <n v="1"/>
    <n v="0"/>
    <n v="4"/>
  </r>
  <r>
    <x v="9"/>
    <n v="13"/>
    <n v="0"/>
    <n v="1"/>
    <s v="PK"/>
    <n v="3"/>
    <n v="1"/>
    <n v="0"/>
    <n v="4"/>
  </r>
  <r>
    <x v="9"/>
    <n v="14"/>
    <n v="0"/>
    <n v="1"/>
    <s v="PK"/>
    <n v="3"/>
    <n v="1"/>
    <n v="0"/>
    <n v="4"/>
  </r>
  <r>
    <x v="9"/>
    <n v="15"/>
    <n v="0"/>
    <n v="1"/>
    <s v="PK"/>
    <n v="3"/>
    <n v="1"/>
    <n v="0"/>
    <n v="4"/>
  </r>
  <r>
    <x v="9"/>
    <n v="16"/>
    <n v="0"/>
    <n v="1"/>
    <s v="PK"/>
    <n v="3"/>
    <n v="1"/>
    <n v="0"/>
    <n v="4"/>
  </r>
  <r>
    <x v="9"/>
    <n v="17"/>
    <n v="0"/>
    <n v="1"/>
    <s v="PK"/>
    <n v="3"/>
    <n v="1"/>
    <n v="0"/>
    <n v="4"/>
  </r>
  <r>
    <x v="9"/>
    <n v="18"/>
    <n v="0"/>
    <n v="1"/>
    <s v="PK"/>
    <n v="3"/>
    <n v="1"/>
    <n v="0"/>
    <n v="4"/>
  </r>
  <r>
    <x v="9"/>
    <n v="19"/>
    <n v="0"/>
    <n v="1"/>
    <s v="PK"/>
    <n v="0"/>
    <n v="1"/>
    <n v="0"/>
    <n v="1"/>
  </r>
  <r>
    <x v="9"/>
    <n v="20"/>
    <n v="0"/>
    <n v="1"/>
    <s v="PK"/>
    <n v="0"/>
    <n v="2"/>
    <n v="0"/>
    <n v="2"/>
  </r>
  <r>
    <x v="9"/>
    <n v="21"/>
    <n v="0"/>
    <n v="1"/>
    <s v="PK"/>
    <n v="2"/>
    <n v="1"/>
    <n v="0"/>
    <n v="3"/>
  </r>
  <r>
    <x v="9"/>
    <n v="22"/>
    <n v="0"/>
    <n v="1"/>
    <s v="PK"/>
    <n v="0"/>
    <n v="1"/>
    <n v="0"/>
    <n v="1"/>
  </r>
  <r>
    <x v="9"/>
    <n v="23"/>
    <n v="0"/>
    <n v="0"/>
    <s v="OP"/>
    <n v="2"/>
    <n v="1"/>
    <n v="0"/>
    <n v="3"/>
  </r>
  <r>
    <x v="9"/>
    <n v="24"/>
    <n v="0"/>
    <n v="0"/>
    <s v="OP"/>
    <n v="2"/>
    <n v="1"/>
    <n v="0"/>
    <n v="3"/>
  </r>
  <r>
    <x v="10"/>
    <n v="1"/>
    <n v="0"/>
    <n v="0"/>
    <s v="OP"/>
    <n v="2"/>
    <n v="0"/>
    <n v="0"/>
    <n v="2"/>
  </r>
  <r>
    <x v="10"/>
    <n v="2"/>
    <n v="0"/>
    <n v="0"/>
    <s v="OP"/>
    <n v="2"/>
    <n v="1"/>
    <n v="0"/>
    <n v="3"/>
  </r>
  <r>
    <x v="10"/>
    <n v="3"/>
    <n v="0"/>
    <n v="0"/>
    <s v="OP"/>
    <n v="2"/>
    <n v="1"/>
    <n v="0"/>
    <n v="3"/>
  </r>
  <r>
    <x v="10"/>
    <n v="4"/>
    <n v="0"/>
    <n v="0"/>
    <s v="OP"/>
    <n v="2"/>
    <n v="1"/>
    <n v="0"/>
    <n v="3"/>
  </r>
  <r>
    <x v="10"/>
    <n v="5"/>
    <n v="0"/>
    <n v="0"/>
    <s v="OP"/>
    <n v="2"/>
    <n v="1"/>
    <n v="0"/>
    <n v="3"/>
  </r>
  <r>
    <x v="10"/>
    <n v="6"/>
    <n v="0"/>
    <n v="0"/>
    <s v="OP"/>
    <n v="2"/>
    <n v="1"/>
    <n v="0"/>
    <n v="3"/>
  </r>
  <r>
    <x v="10"/>
    <n v="7"/>
    <n v="0"/>
    <n v="1"/>
    <s v="PK"/>
    <n v="2"/>
    <n v="1"/>
    <n v="0"/>
    <n v="3"/>
  </r>
  <r>
    <x v="10"/>
    <n v="8"/>
    <n v="0"/>
    <n v="1"/>
    <s v="PK"/>
    <n v="2"/>
    <n v="1"/>
    <n v="0"/>
    <n v="3"/>
  </r>
  <r>
    <x v="10"/>
    <n v="9"/>
    <n v="0"/>
    <n v="1"/>
    <s v="PK"/>
    <n v="2"/>
    <n v="1"/>
    <n v="0"/>
    <n v="3"/>
  </r>
  <r>
    <x v="10"/>
    <n v="10"/>
    <n v="0"/>
    <n v="1"/>
    <s v="PK"/>
    <n v="2"/>
    <n v="1"/>
    <n v="0"/>
    <n v="3"/>
  </r>
  <r>
    <x v="10"/>
    <n v="11"/>
    <n v="0"/>
    <n v="1"/>
    <s v="PK"/>
    <n v="0"/>
    <n v="1"/>
    <n v="0"/>
    <n v="1"/>
  </r>
  <r>
    <x v="10"/>
    <n v="12"/>
    <n v="0"/>
    <n v="1"/>
    <s v="PK"/>
    <n v="0"/>
    <n v="1"/>
    <n v="0"/>
    <n v="1"/>
  </r>
  <r>
    <x v="10"/>
    <n v="13"/>
    <n v="0"/>
    <n v="1"/>
    <s v="PK"/>
    <n v="2"/>
    <n v="1"/>
    <n v="0"/>
    <n v="3"/>
  </r>
  <r>
    <x v="10"/>
    <n v="14"/>
    <n v="0"/>
    <n v="1"/>
    <s v="PK"/>
    <n v="4"/>
    <n v="1"/>
    <n v="0"/>
    <n v="5"/>
  </r>
  <r>
    <x v="10"/>
    <n v="15"/>
    <n v="0"/>
    <n v="1"/>
    <s v="PK"/>
    <n v="4"/>
    <n v="1"/>
    <n v="0"/>
    <n v="5"/>
  </r>
  <r>
    <x v="10"/>
    <n v="16"/>
    <n v="0"/>
    <n v="1"/>
    <s v="PK"/>
    <n v="2"/>
    <n v="1"/>
    <n v="0"/>
    <n v="3"/>
  </r>
  <r>
    <x v="10"/>
    <n v="17"/>
    <n v="0"/>
    <n v="1"/>
    <s v="PK"/>
    <n v="2"/>
    <n v="1"/>
    <n v="0"/>
    <n v="3"/>
  </r>
  <r>
    <x v="10"/>
    <n v="18"/>
    <n v="0"/>
    <n v="1"/>
    <s v="PK"/>
    <n v="2"/>
    <n v="1"/>
    <n v="0"/>
    <n v="3"/>
  </r>
  <r>
    <x v="10"/>
    <n v="19"/>
    <n v="0"/>
    <n v="1"/>
    <s v="PK"/>
    <n v="4"/>
    <n v="1"/>
    <n v="0"/>
    <n v="5"/>
  </r>
  <r>
    <x v="10"/>
    <n v="20"/>
    <n v="0"/>
    <n v="1"/>
    <s v="PK"/>
    <n v="2"/>
    <n v="2"/>
    <n v="0"/>
    <n v="4"/>
  </r>
  <r>
    <x v="10"/>
    <n v="21"/>
    <n v="0"/>
    <n v="1"/>
    <s v="PK"/>
    <n v="2"/>
    <n v="1"/>
    <n v="0"/>
    <n v="3"/>
  </r>
  <r>
    <x v="10"/>
    <n v="22"/>
    <n v="0"/>
    <n v="1"/>
    <s v="PK"/>
    <n v="2"/>
    <n v="1"/>
    <n v="0"/>
    <n v="3"/>
  </r>
  <r>
    <x v="10"/>
    <n v="23"/>
    <n v="0"/>
    <n v="0"/>
    <s v="OP"/>
    <n v="2"/>
    <n v="1"/>
    <n v="0"/>
    <n v="3"/>
  </r>
  <r>
    <x v="10"/>
    <n v="24"/>
    <n v="0"/>
    <n v="0"/>
    <s v="OP"/>
    <n v="3"/>
    <n v="1"/>
    <n v="0"/>
    <n v="4"/>
  </r>
  <r>
    <x v="11"/>
    <n v="1"/>
    <n v="0"/>
    <n v="0"/>
    <s v="OP"/>
    <n v="3"/>
    <n v="0"/>
    <n v="0"/>
    <n v="3"/>
  </r>
  <r>
    <x v="11"/>
    <n v="2"/>
    <n v="0"/>
    <n v="0"/>
    <s v="OP"/>
    <n v="3"/>
    <n v="1"/>
    <n v="0"/>
    <n v="4"/>
  </r>
  <r>
    <x v="11"/>
    <n v="3"/>
    <n v="0"/>
    <n v="0"/>
    <s v="OP"/>
    <n v="3"/>
    <n v="1"/>
    <n v="0"/>
    <n v="4"/>
  </r>
  <r>
    <x v="11"/>
    <n v="4"/>
    <n v="0"/>
    <n v="0"/>
    <s v="OP"/>
    <n v="3"/>
    <n v="1"/>
    <n v="0"/>
    <n v="4"/>
  </r>
  <r>
    <x v="11"/>
    <n v="5"/>
    <n v="0"/>
    <n v="0"/>
    <s v="OP"/>
    <n v="4"/>
    <n v="1"/>
    <n v="0"/>
    <n v="5"/>
  </r>
  <r>
    <x v="11"/>
    <n v="6"/>
    <n v="0"/>
    <n v="0"/>
    <s v="OP"/>
    <n v="4"/>
    <n v="1"/>
    <n v="0"/>
    <n v="5"/>
  </r>
  <r>
    <x v="11"/>
    <n v="7"/>
    <n v="0"/>
    <n v="1"/>
    <s v="PK"/>
    <n v="4"/>
    <n v="1"/>
    <n v="0"/>
    <n v="5"/>
  </r>
  <r>
    <x v="11"/>
    <n v="8"/>
    <n v="0"/>
    <n v="1"/>
    <s v="PK"/>
    <n v="4"/>
    <n v="1"/>
    <n v="0"/>
    <n v="5"/>
  </r>
  <r>
    <x v="11"/>
    <n v="9"/>
    <n v="0"/>
    <n v="1"/>
    <s v="PK"/>
    <n v="4"/>
    <n v="1"/>
    <n v="0"/>
    <n v="5"/>
  </r>
  <r>
    <x v="11"/>
    <n v="10"/>
    <n v="0"/>
    <n v="1"/>
    <s v="PK"/>
    <n v="3"/>
    <n v="1"/>
    <n v="0"/>
    <n v="4"/>
  </r>
  <r>
    <x v="11"/>
    <n v="11"/>
    <n v="0"/>
    <n v="1"/>
    <s v="PK"/>
    <n v="3"/>
    <n v="1"/>
    <n v="0"/>
    <n v="4"/>
  </r>
  <r>
    <x v="11"/>
    <n v="12"/>
    <n v="0"/>
    <n v="1"/>
    <s v="PK"/>
    <n v="3"/>
    <n v="1"/>
    <n v="0"/>
    <n v="4"/>
  </r>
  <r>
    <x v="11"/>
    <n v="13"/>
    <n v="0"/>
    <n v="1"/>
    <s v="PK"/>
    <n v="3"/>
    <n v="1"/>
    <n v="0"/>
    <n v="4"/>
  </r>
  <r>
    <x v="11"/>
    <n v="14"/>
    <n v="0"/>
    <n v="1"/>
    <s v="PK"/>
    <n v="3"/>
    <n v="1"/>
    <n v="0"/>
    <n v="4"/>
  </r>
  <r>
    <x v="11"/>
    <n v="15"/>
    <n v="0"/>
    <n v="1"/>
    <s v="PK"/>
    <n v="3"/>
    <n v="1"/>
    <n v="0"/>
    <n v="4"/>
  </r>
  <r>
    <x v="11"/>
    <n v="16"/>
    <n v="0"/>
    <n v="1"/>
    <s v="PK"/>
    <n v="3"/>
    <n v="1"/>
    <n v="0"/>
    <n v="4"/>
  </r>
  <r>
    <x v="11"/>
    <n v="17"/>
    <n v="0"/>
    <n v="1"/>
    <s v="PK"/>
    <n v="3"/>
    <n v="1"/>
    <n v="0"/>
    <n v="4"/>
  </r>
  <r>
    <x v="11"/>
    <n v="18"/>
    <n v="0"/>
    <n v="1"/>
    <s v="PK"/>
    <n v="3"/>
    <n v="1"/>
    <n v="0"/>
    <n v="4"/>
  </r>
  <r>
    <x v="11"/>
    <n v="19"/>
    <n v="0"/>
    <n v="1"/>
    <s v="PK"/>
    <n v="3"/>
    <n v="1"/>
    <n v="0"/>
    <n v="4"/>
  </r>
  <r>
    <x v="11"/>
    <n v="20"/>
    <n v="0"/>
    <n v="1"/>
    <s v="PK"/>
    <n v="4"/>
    <n v="2"/>
    <n v="0"/>
    <n v="6"/>
  </r>
  <r>
    <x v="11"/>
    <n v="21"/>
    <n v="0"/>
    <n v="1"/>
    <s v="PK"/>
    <n v="3"/>
    <n v="1"/>
    <n v="0"/>
    <n v="4"/>
  </r>
  <r>
    <x v="11"/>
    <n v="22"/>
    <n v="0"/>
    <n v="1"/>
    <s v="PK"/>
    <n v="3"/>
    <n v="1"/>
    <n v="0"/>
    <n v="4"/>
  </r>
  <r>
    <x v="11"/>
    <n v="23"/>
    <n v="0"/>
    <n v="0"/>
    <s v="OP"/>
    <n v="3"/>
    <n v="1"/>
    <n v="0"/>
    <n v="4"/>
  </r>
  <r>
    <x v="11"/>
    <n v="24"/>
    <n v="0"/>
    <n v="0"/>
    <s v="OP"/>
    <n v="3"/>
    <n v="1"/>
    <n v="0"/>
    <n v="4"/>
  </r>
  <r>
    <x v="12"/>
    <n v="1"/>
    <n v="0"/>
    <n v="0"/>
    <s v="OP"/>
    <n v="3"/>
    <n v="0"/>
    <n v="0"/>
    <n v="3"/>
  </r>
  <r>
    <x v="12"/>
    <n v="2"/>
    <n v="0"/>
    <n v="0"/>
    <s v="OP"/>
    <n v="3"/>
    <n v="1"/>
    <n v="0"/>
    <n v="4"/>
  </r>
  <r>
    <x v="12"/>
    <n v="3"/>
    <n v="0"/>
    <n v="0"/>
    <s v="OP"/>
    <n v="3"/>
    <n v="1"/>
    <n v="0"/>
    <n v="4"/>
  </r>
  <r>
    <x v="12"/>
    <n v="4"/>
    <n v="0"/>
    <n v="0"/>
    <s v="OP"/>
    <n v="3"/>
    <n v="1"/>
    <n v="0"/>
    <n v="4"/>
  </r>
  <r>
    <x v="12"/>
    <n v="5"/>
    <n v="0"/>
    <n v="0"/>
    <s v="OP"/>
    <n v="3"/>
    <n v="1"/>
    <n v="0"/>
    <n v="4"/>
  </r>
  <r>
    <x v="12"/>
    <n v="6"/>
    <n v="0"/>
    <n v="0"/>
    <s v="OP"/>
    <n v="4"/>
    <n v="1"/>
    <n v="0"/>
    <n v="5"/>
  </r>
  <r>
    <x v="12"/>
    <n v="7"/>
    <n v="0"/>
    <n v="1"/>
    <s v="PK"/>
    <n v="4"/>
    <n v="1"/>
    <n v="0"/>
    <n v="5"/>
  </r>
  <r>
    <x v="12"/>
    <n v="8"/>
    <n v="0"/>
    <n v="1"/>
    <s v="PK"/>
    <n v="4"/>
    <n v="1"/>
    <n v="0"/>
    <n v="5"/>
  </r>
  <r>
    <x v="12"/>
    <n v="9"/>
    <n v="0"/>
    <n v="1"/>
    <s v="PK"/>
    <n v="4"/>
    <n v="1"/>
    <n v="0"/>
    <n v="5"/>
  </r>
  <r>
    <x v="12"/>
    <n v="10"/>
    <n v="0"/>
    <n v="1"/>
    <s v="PK"/>
    <n v="3"/>
    <n v="1"/>
    <n v="0"/>
    <n v="4"/>
  </r>
  <r>
    <x v="12"/>
    <n v="11"/>
    <n v="0"/>
    <n v="1"/>
    <s v="PK"/>
    <n v="3"/>
    <n v="1"/>
    <n v="0"/>
    <n v="4"/>
  </r>
  <r>
    <x v="12"/>
    <n v="12"/>
    <n v="0"/>
    <n v="1"/>
    <s v="PK"/>
    <n v="3"/>
    <n v="1"/>
    <n v="0"/>
    <n v="4"/>
  </r>
  <r>
    <x v="12"/>
    <n v="13"/>
    <n v="0"/>
    <n v="1"/>
    <s v="PK"/>
    <n v="3"/>
    <n v="1"/>
    <n v="0"/>
    <n v="4"/>
  </r>
  <r>
    <x v="12"/>
    <n v="14"/>
    <n v="0"/>
    <n v="1"/>
    <s v="PK"/>
    <n v="3"/>
    <n v="1"/>
    <n v="0"/>
    <n v="4"/>
  </r>
  <r>
    <x v="12"/>
    <n v="15"/>
    <n v="0"/>
    <n v="1"/>
    <s v="PK"/>
    <n v="3"/>
    <n v="1"/>
    <n v="0"/>
    <n v="4"/>
  </r>
  <r>
    <x v="12"/>
    <n v="16"/>
    <n v="0"/>
    <n v="1"/>
    <s v="PK"/>
    <n v="3"/>
    <n v="1"/>
    <n v="0"/>
    <n v="4"/>
  </r>
  <r>
    <x v="12"/>
    <n v="17"/>
    <n v="0"/>
    <n v="1"/>
    <s v="PK"/>
    <n v="3"/>
    <n v="1"/>
    <n v="0"/>
    <n v="4"/>
  </r>
  <r>
    <x v="12"/>
    <n v="18"/>
    <n v="0"/>
    <n v="1"/>
    <s v="PK"/>
    <n v="3"/>
    <n v="1"/>
    <n v="0"/>
    <n v="4"/>
  </r>
  <r>
    <x v="12"/>
    <n v="19"/>
    <n v="0"/>
    <n v="1"/>
    <s v="PK"/>
    <n v="3"/>
    <n v="1"/>
    <n v="0"/>
    <n v="4"/>
  </r>
  <r>
    <x v="12"/>
    <n v="20"/>
    <n v="0"/>
    <n v="1"/>
    <s v="PK"/>
    <n v="4"/>
    <n v="2"/>
    <n v="0"/>
    <n v="6"/>
  </r>
  <r>
    <x v="12"/>
    <n v="21"/>
    <n v="0"/>
    <n v="1"/>
    <s v="PK"/>
    <n v="3"/>
    <n v="1"/>
    <n v="0"/>
    <n v="4"/>
  </r>
  <r>
    <x v="12"/>
    <n v="22"/>
    <n v="0"/>
    <n v="1"/>
    <s v="PK"/>
    <n v="3"/>
    <n v="1"/>
    <n v="0"/>
    <n v="4"/>
  </r>
  <r>
    <x v="12"/>
    <n v="23"/>
    <n v="0"/>
    <n v="0"/>
    <s v="OP"/>
    <n v="3"/>
    <n v="1"/>
    <n v="0"/>
    <n v="4"/>
  </r>
  <r>
    <x v="12"/>
    <n v="24"/>
    <n v="0"/>
    <n v="0"/>
    <s v="OP"/>
    <n v="3"/>
    <n v="1"/>
    <n v="0"/>
    <n v="4"/>
  </r>
  <r>
    <x v="13"/>
    <n v="1"/>
    <n v="0"/>
    <n v="0"/>
    <s v="OP"/>
    <n v="2"/>
    <n v="0"/>
    <n v="0"/>
    <n v="2"/>
  </r>
  <r>
    <x v="13"/>
    <n v="2"/>
    <n v="0"/>
    <n v="0"/>
    <s v="OP"/>
    <n v="2"/>
    <n v="1"/>
    <n v="0"/>
    <n v="3"/>
  </r>
  <r>
    <x v="13"/>
    <n v="3"/>
    <n v="0"/>
    <n v="0"/>
    <s v="OP"/>
    <n v="3"/>
    <n v="1"/>
    <n v="0"/>
    <n v="4"/>
  </r>
  <r>
    <x v="13"/>
    <n v="4"/>
    <n v="0"/>
    <n v="0"/>
    <s v="OP"/>
    <n v="3"/>
    <n v="1"/>
    <n v="0"/>
    <n v="4"/>
  </r>
  <r>
    <x v="13"/>
    <n v="5"/>
    <n v="0"/>
    <n v="0"/>
    <s v="OP"/>
    <n v="3"/>
    <n v="1"/>
    <n v="0"/>
    <n v="4"/>
  </r>
  <r>
    <x v="13"/>
    <n v="6"/>
    <n v="0"/>
    <n v="0"/>
    <s v="OP"/>
    <n v="4"/>
    <n v="1"/>
    <n v="0"/>
    <n v="5"/>
  </r>
  <r>
    <x v="13"/>
    <n v="7"/>
    <n v="0"/>
    <n v="1"/>
    <s v="PK"/>
    <n v="4"/>
    <n v="1"/>
    <n v="0"/>
    <n v="5"/>
  </r>
  <r>
    <x v="13"/>
    <n v="8"/>
    <n v="0"/>
    <n v="1"/>
    <s v="PK"/>
    <n v="4"/>
    <n v="1"/>
    <n v="0"/>
    <n v="5"/>
  </r>
  <r>
    <x v="13"/>
    <n v="9"/>
    <n v="0"/>
    <n v="1"/>
    <s v="PK"/>
    <n v="4"/>
    <n v="1"/>
    <n v="0"/>
    <n v="5"/>
  </r>
  <r>
    <x v="13"/>
    <n v="10"/>
    <n v="0"/>
    <n v="1"/>
    <s v="PK"/>
    <n v="3"/>
    <n v="1"/>
    <n v="0"/>
    <n v="4"/>
  </r>
  <r>
    <x v="13"/>
    <n v="11"/>
    <n v="0"/>
    <n v="1"/>
    <s v="PK"/>
    <n v="3"/>
    <n v="1"/>
    <n v="0"/>
    <n v="4"/>
  </r>
  <r>
    <x v="13"/>
    <n v="12"/>
    <n v="0"/>
    <n v="1"/>
    <s v="PK"/>
    <n v="3"/>
    <n v="1"/>
    <n v="0"/>
    <n v="4"/>
  </r>
  <r>
    <x v="13"/>
    <n v="13"/>
    <n v="0"/>
    <n v="1"/>
    <s v="PK"/>
    <n v="3"/>
    <n v="1"/>
    <n v="0"/>
    <n v="4"/>
  </r>
  <r>
    <x v="13"/>
    <n v="14"/>
    <n v="0"/>
    <n v="1"/>
    <s v="PK"/>
    <n v="3"/>
    <n v="1"/>
    <n v="0"/>
    <n v="4"/>
  </r>
  <r>
    <x v="13"/>
    <n v="15"/>
    <n v="0"/>
    <n v="1"/>
    <s v="PK"/>
    <n v="3"/>
    <n v="1"/>
    <n v="0"/>
    <n v="4"/>
  </r>
  <r>
    <x v="13"/>
    <n v="16"/>
    <n v="0"/>
    <n v="1"/>
    <s v="PK"/>
    <n v="3"/>
    <n v="1"/>
    <n v="0"/>
    <n v="4"/>
  </r>
  <r>
    <x v="13"/>
    <n v="17"/>
    <n v="0"/>
    <n v="1"/>
    <s v="PK"/>
    <n v="3"/>
    <n v="1"/>
    <n v="0"/>
    <n v="4"/>
  </r>
  <r>
    <x v="13"/>
    <n v="18"/>
    <n v="0"/>
    <n v="1"/>
    <s v="PK"/>
    <n v="3"/>
    <n v="1"/>
    <n v="0"/>
    <n v="4"/>
  </r>
  <r>
    <x v="13"/>
    <n v="19"/>
    <n v="0"/>
    <n v="1"/>
    <s v="PK"/>
    <n v="3"/>
    <n v="1"/>
    <n v="0"/>
    <n v="4"/>
  </r>
  <r>
    <x v="13"/>
    <n v="20"/>
    <n v="0"/>
    <n v="1"/>
    <s v="PK"/>
    <n v="3"/>
    <n v="2"/>
    <n v="0"/>
    <n v="5"/>
  </r>
  <r>
    <x v="13"/>
    <n v="21"/>
    <n v="0"/>
    <n v="1"/>
    <s v="PK"/>
    <n v="3"/>
    <n v="1"/>
    <n v="0"/>
    <n v="4"/>
  </r>
  <r>
    <x v="13"/>
    <n v="22"/>
    <n v="0"/>
    <n v="1"/>
    <s v="PK"/>
    <n v="3"/>
    <n v="1"/>
    <n v="0"/>
    <n v="4"/>
  </r>
  <r>
    <x v="13"/>
    <n v="23"/>
    <n v="0"/>
    <n v="0"/>
    <s v="OP"/>
    <n v="3"/>
    <n v="1"/>
    <n v="0"/>
    <n v="4"/>
  </r>
  <r>
    <x v="13"/>
    <n v="24"/>
    <n v="0"/>
    <n v="0"/>
    <s v="OP"/>
    <n v="3"/>
    <n v="1"/>
    <n v="0"/>
    <n v="4"/>
  </r>
  <r>
    <x v="14"/>
    <n v="1"/>
    <n v="0"/>
    <n v="0"/>
    <s v="OP"/>
    <n v="2"/>
    <n v="0"/>
    <n v="0"/>
    <n v="2"/>
  </r>
  <r>
    <x v="14"/>
    <n v="2"/>
    <n v="0"/>
    <n v="0"/>
    <s v="OP"/>
    <n v="2"/>
    <n v="1"/>
    <n v="0"/>
    <n v="3"/>
  </r>
  <r>
    <x v="14"/>
    <n v="3"/>
    <n v="0"/>
    <n v="0"/>
    <s v="OP"/>
    <n v="2"/>
    <n v="1"/>
    <n v="0"/>
    <n v="3"/>
  </r>
  <r>
    <x v="14"/>
    <n v="4"/>
    <n v="0"/>
    <n v="0"/>
    <s v="OP"/>
    <n v="2"/>
    <n v="1"/>
    <n v="0"/>
    <n v="3"/>
  </r>
  <r>
    <x v="14"/>
    <n v="5"/>
    <n v="0"/>
    <n v="0"/>
    <s v="OP"/>
    <n v="3"/>
    <n v="1"/>
    <n v="0"/>
    <n v="4"/>
  </r>
  <r>
    <x v="14"/>
    <n v="6"/>
    <n v="0"/>
    <n v="0"/>
    <s v="OP"/>
    <n v="3"/>
    <n v="1"/>
    <n v="0"/>
    <n v="4"/>
  </r>
  <r>
    <x v="14"/>
    <n v="7"/>
    <n v="0"/>
    <n v="1"/>
    <s v="PK"/>
    <n v="3"/>
    <n v="1"/>
    <n v="0"/>
    <n v="4"/>
  </r>
  <r>
    <x v="14"/>
    <n v="8"/>
    <n v="0"/>
    <n v="1"/>
    <s v="PK"/>
    <n v="3"/>
    <n v="1"/>
    <n v="0"/>
    <n v="4"/>
  </r>
  <r>
    <x v="14"/>
    <n v="9"/>
    <n v="0"/>
    <n v="1"/>
    <s v="PK"/>
    <n v="3"/>
    <n v="1"/>
    <n v="0"/>
    <n v="4"/>
  </r>
  <r>
    <x v="14"/>
    <n v="10"/>
    <n v="0"/>
    <n v="1"/>
    <s v="PK"/>
    <n v="3"/>
    <n v="1"/>
    <n v="0"/>
    <n v="4"/>
  </r>
  <r>
    <x v="14"/>
    <n v="11"/>
    <n v="0"/>
    <n v="1"/>
    <s v="PK"/>
    <n v="3"/>
    <n v="1"/>
    <n v="0"/>
    <n v="4"/>
  </r>
  <r>
    <x v="14"/>
    <n v="12"/>
    <n v="0"/>
    <n v="1"/>
    <s v="PK"/>
    <n v="3"/>
    <n v="1"/>
    <n v="0"/>
    <n v="4"/>
  </r>
  <r>
    <x v="14"/>
    <n v="13"/>
    <n v="0"/>
    <n v="1"/>
    <s v="PK"/>
    <n v="3"/>
    <n v="1"/>
    <n v="0"/>
    <n v="4"/>
  </r>
  <r>
    <x v="14"/>
    <n v="14"/>
    <n v="0"/>
    <n v="1"/>
    <s v="PK"/>
    <n v="3"/>
    <n v="1"/>
    <n v="0"/>
    <n v="4"/>
  </r>
  <r>
    <x v="14"/>
    <n v="15"/>
    <n v="0"/>
    <n v="1"/>
    <s v="PK"/>
    <n v="3"/>
    <n v="1"/>
    <n v="0"/>
    <n v="4"/>
  </r>
  <r>
    <x v="14"/>
    <n v="16"/>
    <n v="0"/>
    <n v="1"/>
    <s v="PK"/>
    <n v="3"/>
    <n v="1"/>
    <n v="0"/>
    <n v="4"/>
  </r>
  <r>
    <x v="14"/>
    <n v="17"/>
    <n v="0"/>
    <n v="1"/>
    <s v="PK"/>
    <n v="3"/>
    <n v="1"/>
    <n v="0"/>
    <n v="4"/>
  </r>
  <r>
    <x v="14"/>
    <n v="18"/>
    <n v="0"/>
    <n v="1"/>
    <s v="PK"/>
    <n v="3"/>
    <n v="1"/>
    <n v="0"/>
    <n v="4"/>
  </r>
  <r>
    <x v="14"/>
    <n v="19"/>
    <n v="0"/>
    <n v="1"/>
    <s v="PK"/>
    <n v="3"/>
    <n v="1"/>
    <n v="0"/>
    <n v="4"/>
  </r>
  <r>
    <x v="14"/>
    <n v="20"/>
    <n v="0"/>
    <n v="1"/>
    <s v="PK"/>
    <n v="3"/>
    <n v="2"/>
    <n v="0"/>
    <n v="5"/>
  </r>
  <r>
    <x v="14"/>
    <n v="21"/>
    <n v="0"/>
    <n v="1"/>
    <s v="PK"/>
    <n v="3"/>
    <n v="1"/>
    <n v="0"/>
    <n v="4"/>
  </r>
  <r>
    <x v="14"/>
    <n v="22"/>
    <n v="0"/>
    <n v="1"/>
    <s v="PK"/>
    <n v="3"/>
    <n v="1"/>
    <n v="0"/>
    <n v="4"/>
  </r>
  <r>
    <x v="14"/>
    <n v="23"/>
    <n v="0"/>
    <n v="0"/>
    <s v="OP"/>
    <n v="3"/>
    <n v="1"/>
    <n v="0"/>
    <n v="4"/>
  </r>
  <r>
    <x v="14"/>
    <n v="24"/>
    <n v="0"/>
    <n v="0"/>
    <s v="OP"/>
    <n v="3"/>
    <n v="1"/>
    <n v="0"/>
    <n v="4"/>
  </r>
  <r>
    <x v="15"/>
    <n v="1"/>
    <n v="0"/>
    <n v="0"/>
    <s v="OP"/>
    <n v="2"/>
    <n v="1"/>
    <n v="0"/>
    <n v="3"/>
  </r>
  <r>
    <x v="15"/>
    <n v="2"/>
    <n v="0"/>
    <n v="0"/>
    <s v="OP"/>
    <n v="2"/>
    <n v="1"/>
    <n v="0"/>
    <n v="3"/>
  </r>
  <r>
    <x v="15"/>
    <n v="3"/>
    <n v="0"/>
    <n v="0"/>
    <s v="OP"/>
    <n v="2"/>
    <n v="1"/>
    <n v="0"/>
    <n v="3"/>
  </r>
  <r>
    <x v="15"/>
    <n v="4"/>
    <n v="0"/>
    <n v="0"/>
    <s v="OP"/>
    <n v="2"/>
    <n v="1"/>
    <n v="0"/>
    <n v="3"/>
  </r>
  <r>
    <x v="15"/>
    <n v="5"/>
    <n v="0"/>
    <n v="0"/>
    <s v="OP"/>
    <n v="2"/>
    <n v="1"/>
    <n v="0"/>
    <n v="3"/>
  </r>
  <r>
    <x v="15"/>
    <n v="6"/>
    <n v="0"/>
    <n v="0"/>
    <s v="OP"/>
    <n v="3"/>
    <n v="1"/>
    <n v="0"/>
    <n v="4"/>
  </r>
  <r>
    <x v="15"/>
    <n v="7"/>
    <n v="0"/>
    <n v="1"/>
    <s v="OP"/>
    <n v="3"/>
    <n v="1"/>
    <n v="0"/>
    <n v="4"/>
  </r>
  <r>
    <x v="15"/>
    <n v="8"/>
    <n v="0"/>
    <n v="1"/>
    <s v="OP"/>
    <n v="3"/>
    <n v="1"/>
    <n v="0"/>
    <n v="4"/>
  </r>
  <r>
    <x v="15"/>
    <n v="9"/>
    <n v="0"/>
    <n v="1"/>
    <s v="OP"/>
    <n v="3"/>
    <n v="1"/>
    <n v="0"/>
    <n v="4"/>
  </r>
  <r>
    <x v="15"/>
    <n v="10"/>
    <n v="0"/>
    <n v="1"/>
    <s v="OP"/>
    <n v="3"/>
    <n v="1"/>
    <n v="0"/>
    <n v="4"/>
  </r>
  <r>
    <x v="15"/>
    <n v="11"/>
    <n v="0"/>
    <n v="1"/>
    <s v="OP"/>
    <n v="3"/>
    <n v="1"/>
    <n v="0"/>
    <n v="4"/>
  </r>
  <r>
    <x v="15"/>
    <n v="12"/>
    <n v="0"/>
    <n v="1"/>
    <s v="OP"/>
    <n v="3"/>
    <n v="1"/>
    <n v="0"/>
    <n v="4"/>
  </r>
  <r>
    <x v="15"/>
    <n v="13"/>
    <n v="0"/>
    <n v="1"/>
    <s v="OP"/>
    <n v="3"/>
    <n v="1"/>
    <n v="0"/>
    <n v="4"/>
  </r>
  <r>
    <x v="15"/>
    <n v="14"/>
    <n v="0"/>
    <n v="1"/>
    <s v="OP"/>
    <n v="3"/>
    <n v="1"/>
    <n v="0"/>
    <n v="4"/>
  </r>
  <r>
    <x v="15"/>
    <n v="15"/>
    <n v="0"/>
    <n v="1"/>
    <s v="OP"/>
    <n v="3"/>
    <n v="1"/>
    <n v="0"/>
    <n v="4"/>
  </r>
  <r>
    <x v="15"/>
    <n v="16"/>
    <n v="0"/>
    <n v="1"/>
    <s v="OP"/>
    <n v="3"/>
    <n v="1"/>
    <n v="0"/>
    <n v="4"/>
  </r>
  <r>
    <x v="15"/>
    <n v="17"/>
    <n v="0"/>
    <n v="1"/>
    <s v="OP"/>
    <n v="3"/>
    <n v="1"/>
    <n v="0"/>
    <n v="4"/>
  </r>
  <r>
    <x v="15"/>
    <n v="18"/>
    <n v="0"/>
    <n v="1"/>
    <s v="OP"/>
    <n v="3"/>
    <n v="1"/>
    <n v="0"/>
    <n v="4"/>
  </r>
  <r>
    <x v="15"/>
    <n v="19"/>
    <n v="0"/>
    <n v="1"/>
    <s v="OP"/>
    <n v="3"/>
    <n v="1"/>
    <n v="0"/>
    <n v="4"/>
  </r>
  <r>
    <x v="15"/>
    <n v="20"/>
    <n v="0"/>
    <n v="1"/>
    <s v="OP"/>
    <n v="3"/>
    <n v="1"/>
    <n v="0"/>
    <n v="4"/>
  </r>
  <r>
    <x v="15"/>
    <n v="21"/>
    <n v="0"/>
    <n v="1"/>
    <s v="OP"/>
    <n v="3"/>
    <n v="1"/>
    <n v="0"/>
    <n v="4"/>
  </r>
  <r>
    <x v="15"/>
    <n v="22"/>
    <n v="0"/>
    <n v="1"/>
    <s v="OP"/>
    <n v="3"/>
    <n v="1"/>
    <n v="0"/>
    <n v="4"/>
  </r>
  <r>
    <x v="15"/>
    <n v="23"/>
    <n v="0"/>
    <n v="0"/>
    <s v="OP"/>
    <n v="3"/>
    <n v="1"/>
    <n v="0"/>
    <n v="4"/>
  </r>
  <r>
    <x v="15"/>
    <n v="24"/>
    <n v="0"/>
    <n v="0"/>
    <s v="OP"/>
    <n v="5"/>
    <n v="1"/>
    <n v="0"/>
    <n v="6"/>
  </r>
  <r>
    <x v="16"/>
    <n v="1"/>
    <n v="0"/>
    <n v="0"/>
    <s v="OP"/>
    <n v="2"/>
    <n v="0"/>
    <n v="0"/>
    <n v="2"/>
  </r>
  <r>
    <x v="16"/>
    <n v="2"/>
    <n v="0"/>
    <n v="0"/>
    <s v="OP"/>
    <n v="2"/>
    <n v="1"/>
    <n v="0"/>
    <n v="3"/>
  </r>
  <r>
    <x v="16"/>
    <n v="3"/>
    <n v="0"/>
    <n v="0"/>
    <s v="OP"/>
    <n v="2"/>
    <n v="1"/>
    <n v="0"/>
    <n v="3"/>
  </r>
  <r>
    <x v="16"/>
    <n v="4"/>
    <n v="0"/>
    <n v="0"/>
    <s v="OP"/>
    <n v="2"/>
    <n v="1"/>
    <n v="0"/>
    <n v="3"/>
  </r>
  <r>
    <x v="16"/>
    <n v="5"/>
    <n v="0"/>
    <n v="0"/>
    <s v="OP"/>
    <n v="2"/>
    <n v="1"/>
    <n v="0"/>
    <n v="3"/>
  </r>
  <r>
    <x v="16"/>
    <n v="6"/>
    <n v="0"/>
    <n v="0"/>
    <s v="OP"/>
    <n v="0"/>
    <n v="1"/>
    <n v="0"/>
    <n v="1"/>
  </r>
  <r>
    <x v="16"/>
    <n v="7"/>
    <n v="0"/>
    <n v="1"/>
    <s v="PK"/>
    <n v="6"/>
    <n v="1"/>
    <n v="0"/>
    <n v="7"/>
  </r>
  <r>
    <x v="16"/>
    <n v="8"/>
    <n v="0"/>
    <n v="1"/>
    <s v="PK"/>
    <n v="4"/>
    <n v="1"/>
    <n v="0"/>
    <n v="5"/>
  </r>
  <r>
    <x v="16"/>
    <n v="9"/>
    <n v="0"/>
    <n v="1"/>
    <s v="PK"/>
    <n v="4"/>
    <n v="1"/>
    <n v="0"/>
    <n v="5"/>
  </r>
  <r>
    <x v="16"/>
    <n v="10"/>
    <n v="0"/>
    <n v="1"/>
    <s v="PK"/>
    <n v="4"/>
    <n v="1"/>
    <n v="0"/>
    <n v="5"/>
  </r>
  <r>
    <x v="16"/>
    <n v="11"/>
    <n v="0"/>
    <n v="1"/>
    <s v="PK"/>
    <n v="4"/>
    <n v="1"/>
    <n v="0"/>
    <n v="5"/>
  </r>
  <r>
    <x v="16"/>
    <n v="12"/>
    <n v="0"/>
    <n v="1"/>
    <s v="PK"/>
    <n v="4"/>
    <n v="1"/>
    <n v="0"/>
    <n v="5"/>
  </r>
  <r>
    <x v="16"/>
    <n v="13"/>
    <n v="0"/>
    <n v="1"/>
    <s v="PK"/>
    <n v="4"/>
    <n v="1"/>
    <n v="0"/>
    <n v="5"/>
  </r>
  <r>
    <x v="16"/>
    <n v="14"/>
    <n v="0"/>
    <n v="1"/>
    <s v="PK"/>
    <n v="4"/>
    <n v="1"/>
    <n v="0"/>
    <n v="5"/>
  </r>
  <r>
    <x v="16"/>
    <n v="15"/>
    <n v="0"/>
    <n v="1"/>
    <s v="PK"/>
    <n v="4"/>
    <n v="1"/>
    <n v="0"/>
    <n v="5"/>
  </r>
  <r>
    <x v="16"/>
    <n v="16"/>
    <n v="0"/>
    <n v="1"/>
    <s v="PK"/>
    <n v="4"/>
    <n v="1"/>
    <n v="0"/>
    <n v="5"/>
  </r>
  <r>
    <x v="16"/>
    <n v="17"/>
    <n v="0"/>
    <n v="1"/>
    <s v="PK"/>
    <n v="4"/>
    <n v="1"/>
    <n v="0"/>
    <n v="5"/>
  </r>
  <r>
    <x v="16"/>
    <n v="18"/>
    <n v="0"/>
    <n v="1"/>
    <s v="PK"/>
    <n v="4"/>
    <n v="1"/>
    <n v="0"/>
    <n v="5"/>
  </r>
  <r>
    <x v="16"/>
    <n v="19"/>
    <n v="0"/>
    <n v="1"/>
    <s v="PK"/>
    <n v="3"/>
    <n v="1"/>
    <n v="0"/>
    <n v="4"/>
  </r>
  <r>
    <x v="16"/>
    <n v="20"/>
    <n v="0"/>
    <n v="1"/>
    <s v="PK"/>
    <n v="3"/>
    <n v="2"/>
    <n v="0"/>
    <n v="5"/>
  </r>
  <r>
    <x v="16"/>
    <n v="21"/>
    <n v="0"/>
    <n v="1"/>
    <s v="PK"/>
    <n v="3"/>
    <n v="1"/>
    <n v="0"/>
    <n v="4"/>
  </r>
  <r>
    <x v="16"/>
    <n v="22"/>
    <n v="0"/>
    <n v="1"/>
    <s v="PK"/>
    <n v="3"/>
    <n v="1"/>
    <n v="0"/>
    <n v="4"/>
  </r>
  <r>
    <x v="16"/>
    <n v="23"/>
    <n v="0"/>
    <n v="0"/>
    <s v="OP"/>
    <n v="3"/>
    <n v="1"/>
    <n v="0"/>
    <n v="4"/>
  </r>
  <r>
    <x v="16"/>
    <n v="24"/>
    <n v="0"/>
    <n v="0"/>
    <s v="OP"/>
    <n v="3"/>
    <n v="1"/>
    <n v="0"/>
    <n v="4"/>
  </r>
  <r>
    <x v="17"/>
    <n v="1"/>
    <n v="0"/>
    <n v="0"/>
    <s v="OP"/>
    <n v="3"/>
    <n v="0"/>
    <n v="0"/>
    <n v="3"/>
  </r>
  <r>
    <x v="17"/>
    <n v="2"/>
    <n v="0"/>
    <n v="0"/>
    <s v="OP"/>
    <n v="3"/>
    <n v="1"/>
    <n v="0"/>
    <n v="4"/>
  </r>
  <r>
    <x v="17"/>
    <n v="3"/>
    <n v="0"/>
    <n v="0"/>
    <s v="OP"/>
    <n v="3"/>
    <n v="1"/>
    <n v="0"/>
    <n v="4"/>
  </r>
  <r>
    <x v="17"/>
    <n v="4"/>
    <n v="0"/>
    <n v="0"/>
    <s v="OP"/>
    <n v="3"/>
    <n v="1"/>
    <n v="0"/>
    <n v="4"/>
  </r>
  <r>
    <x v="17"/>
    <n v="5"/>
    <n v="0"/>
    <n v="0"/>
    <s v="OP"/>
    <n v="3"/>
    <n v="1"/>
    <n v="0"/>
    <n v="4"/>
  </r>
  <r>
    <x v="17"/>
    <n v="6"/>
    <n v="0"/>
    <n v="0"/>
    <s v="OP"/>
    <n v="4"/>
    <n v="1"/>
    <n v="0"/>
    <n v="5"/>
  </r>
  <r>
    <x v="17"/>
    <n v="7"/>
    <n v="0"/>
    <n v="1"/>
    <s v="PK"/>
    <n v="4"/>
    <n v="1"/>
    <n v="0"/>
    <n v="5"/>
  </r>
  <r>
    <x v="17"/>
    <n v="8"/>
    <n v="0"/>
    <n v="1"/>
    <s v="PK"/>
    <n v="4"/>
    <n v="1"/>
    <n v="0"/>
    <n v="5"/>
  </r>
  <r>
    <x v="17"/>
    <n v="9"/>
    <n v="0"/>
    <n v="1"/>
    <s v="PK"/>
    <n v="4"/>
    <n v="1"/>
    <n v="0"/>
    <n v="5"/>
  </r>
  <r>
    <x v="17"/>
    <n v="10"/>
    <n v="0"/>
    <n v="1"/>
    <s v="PK"/>
    <n v="4"/>
    <n v="1"/>
    <n v="0"/>
    <n v="5"/>
  </r>
  <r>
    <x v="17"/>
    <n v="11"/>
    <n v="0"/>
    <n v="1"/>
    <s v="PK"/>
    <n v="4"/>
    <n v="1"/>
    <n v="0"/>
    <n v="5"/>
  </r>
  <r>
    <x v="17"/>
    <n v="12"/>
    <n v="0"/>
    <n v="1"/>
    <s v="PK"/>
    <n v="4"/>
    <n v="1"/>
    <n v="0"/>
    <n v="5"/>
  </r>
  <r>
    <x v="17"/>
    <n v="13"/>
    <n v="0"/>
    <n v="1"/>
    <s v="PK"/>
    <n v="4"/>
    <n v="1"/>
    <n v="0"/>
    <n v="5"/>
  </r>
  <r>
    <x v="17"/>
    <n v="14"/>
    <n v="0"/>
    <n v="1"/>
    <s v="PK"/>
    <n v="4"/>
    <n v="1"/>
    <n v="0"/>
    <n v="5"/>
  </r>
  <r>
    <x v="17"/>
    <n v="15"/>
    <n v="0"/>
    <n v="1"/>
    <s v="PK"/>
    <n v="4"/>
    <n v="1"/>
    <n v="0"/>
    <n v="5"/>
  </r>
  <r>
    <x v="17"/>
    <n v="16"/>
    <n v="0"/>
    <n v="1"/>
    <s v="PK"/>
    <n v="4"/>
    <n v="1"/>
    <n v="0"/>
    <n v="5"/>
  </r>
  <r>
    <x v="17"/>
    <n v="17"/>
    <n v="0"/>
    <n v="1"/>
    <s v="PK"/>
    <n v="4"/>
    <n v="1"/>
    <n v="0"/>
    <n v="5"/>
  </r>
  <r>
    <x v="17"/>
    <n v="18"/>
    <n v="0"/>
    <n v="1"/>
    <s v="PK"/>
    <n v="4"/>
    <n v="1"/>
    <n v="0"/>
    <n v="5"/>
  </r>
  <r>
    <x v="17"/>
    <n v="19"/>
    <n v="0"/>
    <n v="1"/>
    <s v="PK"/>
    <n v="3"/>
    <n v="1"/>
    <n v="0"/>
    <n v="4"/>
  </r>
  <r>
    <x v="17"/>
    <n v="20"/>
    <n v="0"/>
    <n v="1"/>
    <s v="PK"/>
    <n v="4"/>
    <n v="2"/>
    <n v="0"/>
    <n v="6"/>
  </r>
  <r>
    <x v="17"/>
    <n v="21"/>
    <n v="0"/>
    <n v="1"/>
    <s v="PK"/>
    <n v="4"/>
    <n v="1"/>
    <n v="0"/>
    <n v="5"/>
  </r>
  <r>
    <x v="17"/>
    <n v="22"/>
    <n v="0"/>
    <n v="1"/>
    <s v="PK"/>
    <n v="3"/>
    <n v="1"/>
    <n v="0"/>
    <n v="4"/>
  </r>
  <r>
    <x v="17"/>
    <n v="23"/>
    <n v="0"/>
    <n v="0"/>
    <s v="OP"/>
    <n v="3"/>
    <n v="1"/>
    <n v="0"/>
    <n v="4"/>
  </r>
  <r>
    <x v="17"/>
    <n v="24"/>
    <n v="0"/>
    <n v="0"/>
    <s v="OP"/>
    <n v="3"/>
    <n v="1"/>
    <n v="0"/>
    <n v="4"/>
  </r>
  <r>
    <x v="18"/>
    <n v="1"/>
    <n v="0"/>
    <n v="0"/>
    <s v="OP"/>
    <n v="2"/>
    <n v="0"/>
    <n v="0"/>
    <n v="2"/>
  </r>
  <r>
    <x v="18"/>
    <n v="2"/>
    <n v="0"/>
    <n v="0"/>
    <s v="OP"/>
    <n v="2"/>
    <n v="1"/>
    <n v="0"/>
    <n v="3"/>
  </r>
  <r>
    <x v="18"/>
    <n v="3"/>
    <n v="0"/>
    <n v="0"/>
    <s v="OP"/>
    <n v="2"/>
    <n v="1"/>
    <n v="0"/>
    <n v="3"/>
  </r>
  <r>
    <x v="18"/>
    <n v="4"/>
    <n v="0"/>
    <n v="0"/>
    <s v="OP"/>
    <n v="2"/>
    <n v="1"/>
    <n v="0"/>
    <n v="3"/>
  </r>
  <r>
    <x v="18"/>
    <n v="5"/>
    <n v="0"/>
    <n v="0"/>
    <s v="OP"/>
    <n v="3"/>
    <n v="1"/>
    <n v="0"/>
    <n v="4"/>
  </r>
  <r>
    <x v="18"/>
    <n v="6"/>
    <n v="0"/>
    <n v="0"/>
    <s v="OP"/>
    <n v="3"/>
    <n v="1"/>
    <n v="0"/>
    <n v="4"/>
  </r>
  <r>
    <x v="18"/>
    <n v="7"/>
    <n v="0"/>
    <n v="1"/>
    <s v="PK"/>
    <n v="3"/>
    <n v="1"/>
    <n v="0"/>
    <n v="4"/>
  </r>
  <r>
    <x v="18"/>
    <n v="8"/>
    <n v="0"/>
    <n v="1"/>
    <s v="PK"/>
    <n v="3"/>
    <n v="1"/>
    <n v="0"/>
    <n v="4"/>
  </r>
  <r>
    <x v="18"/>
    <n v="9"/>
    <n v="0"/>
    <n v="1"/>
    <s v="PK"/>
    <n v="3"/>
    <n v="1"/>
    <n v="0"/>
    <n v="4"/>
  </r>
  <r>
    <x v="18"/>
    <n v="10"/>
    <n v="0"/>
    <n v="1"/>
    <s v="PK"/>
    <n v="3"/>
    <n v="1"/>
    <n v="0"/>
    <n v="4"/>
  </r>
  <r>
    <x v="18"/>
    <n v="11"/>
    <n v="0"/>
    <n v="1"/>
    <s v="PK"/>
    <n v="3"/>
    <n v="1"/>
    <n v="0"/>
    <n v="4"/>
  </r>
  <r>
    <x v="18"/>
    <n v="12"/>
    <n v="0"/>
    <n v="1"/>
    <s v="PK"/>
    <n v="3"/>
    <n v="1"/>
    <n v="0"/>
    <n v="4"/>
  </r>
  <r>
    <x v="18"/>
    <n v="13"/>
    <n v="0"/>
    <n v="1"/>
    <s v="PK"/>
    <n v="3"/>
    <n v="1"/>
    <n v="0"/>
    <n v="4"/>
  </r>
  <r>
    <x v="18"/>
    <n v="14"/>
    <n v="0"/>
    <n v="1"/>
    <s v="PK"/>
    <n v="3"/>
    <n v="1"/>
    <n v="0"/>
    <n v="4"/>
  </r>
  <r>
    <x v="18"/>
    <n v="15"/>
    <n v="0"/>
    <n v="1"/>
    <s v="PK"/>
    <n v="3"/>
    <n v="1"/>
    <n v="0"/>
    <n v="4"/>
  </r>
  <r>
    <x v="18"/>
    <n v="16"/>
    <n v="0"/>
    <n v="1"/>
    <s v="PK"/>
    <n v="3"/>
    <n v="1"/>
    <n v="0"/>
    <n v="4"/>
  </r>
  <r>
    <x v="18"/>
    <n v="17"/>
    <n v="0"/>
    <n v="1"/>
    <s v="PK"/>
    <n v="3"/>
    <n v="1"/>
    <n v="0"/>
    <n v="4"/>
  </r>
  <r>
    <x v="18"/>
    <n v="18"/>
    <n v="0"/>
    <n v="1"/>
    <s v="PK"/>
    <n v="3"/>
    <n v="1"/>
    <n v="0"/>
    <n v="4"/>
  </r>
  <r>
    <x v="18"/>
    <n v="19"/>
    <n v="0"/>
    <n v="1"/>
    <s v="PK"/>
    <n v="3"/>
    <n v="1"/>
    <n v="0"/>
    <n v="4"/>
  </r>
  <r>
    <x v="18"/>
    <n v="20"/>
    <n v="0"/>
    <n v="1"/>
    <s v="PK"/>
    <n v="3"/>
    <n v="2"/>
    <n v="0"/>
    <n v="5"/>
  </r>
  <r>
    <x v="18"/>
    <n v="21"/>
    <n v="0"/>
    <n v="1"/>
    <s v="PK"/>
    <n v="4"/>
    <n v="1"/>
    <n v="0"/>
    <n v="5"/>
  </r>
  <r>
    <x v="18"/>
    <n v="22"/>
    <n v="0"/>
    <n v="1"/>
    <s v="PK"/>
    <n v="3"/>
    <n v="1"/>
    <n v="0"/>
    <n v="4"/>
  </r>
  <r>
    <x v="18"/>
    <n v="23"/>
    <n v="0"/>
    <n v="0"/>
    <s v="OP"/>
    <n v="3"/>
    <n v="1"/>
    <n v="0"/>
    <n v="4"/>
  </r>
  <r>
    <x v="18"/>
    <n v="24"/>
    <n v="0"/>
    <n v="0"/>
    <s v="OP"/>
    <n v="4"/>
    <n v="1"/>
    <n v="0"/>
    <n v="5"/>
  </r>
  <r>
    <x v="19"/>
    <n v="1"/>
    <n v="0"/>
    <n v="0"/>
    <s v="OP"/>
    <n v="3"/>
    <n v="0"/>
    <n v="0"/>
    <n v="3"/>
  </r>
  <r>
    <x v="19"/>
    <n v="2"/>
    <n v="0"/>
    <n v="0"/>
    <s v="OP"/>
    <n v="3"/>
    <n v="1"/>
    <n v="0"/>
    <n v="4"/>
  </r>
  <r>
    <x v="19"/>
    <n v="3"/>
    <n v="0"/>
    <n v="0"/>
    <s v="OP"/>
    <n v="3"/>
    <n v="1"/>
    <n v="0"/>
    <n v="4"/>
  </r>
  <r>
    <x v="19"/>
    <n v="4"/>
    <n v="0"/>
    <n v="0"/>
    <s v="OP"/>
    <n v="3"/>
    <n v="1"/>
    <n v="0"/>
    <n v="4"/>
  </r>
  <r>
    <x v="19"/>
    <n v="5"/>
    <n v="0"/>
    <n v="0"/>
    <s v="OP"/>
    <n v="3"/>
    <n v="1"/>
    <n v="0"/>
    <n v="4"/>
  </r>
  <r>
    <x v="19"/>
    <n v="6"/>
    <n v="0"/>
    <n v="0"/>
    <s v="OP"/>
    <n v="3"/>
    <n v="1"/>
    <n v="0"/>
    <n v="4"/>
  </r>
  <r>
    <x v="19"/>
    <n v="7"/>
    <n v="0"/>
    <n v="1"/>
    <s v="PK"/>
    <n v="4"/>
    <n v="1"/>
    <n v="0"/>
    <n v="5"/>
  </r>
  <r>
    <x v="19"/>
    <n v="8"/>
    <n v="0"/>
    <n v="1"/>
    <s v="PK"/>
    <n v="4"/>
    <n v="1"/>
    <n v="0"/>
    <n v="5"/>
  </r>
  <r>
    <x v="19"/>
    <n v="9"/>
    <n v="0"/>
    <n v="1"/>
    <s v="PK"/>
    <n v="4"/>
    <n v="1"/>
    <n v="0"/>
    <n v="5"/>
  </r>
  <r>
    <x v="19"/>
    <n v="10"/>
    <n v="0"/>
    <n v="1"/>
    <s v="PK"/>
    <n v="3"/>
    <n v="1"/>
    <n v="0"/>
    <n v="4"/>
  </r>
  <r>
    <x v="19"/>
    <n v="11"/>
    <n v="0"/>
    <n v="1"/>
    <s v="PK"/>
    <n v="3"/>
    <n v="1"/>
    <n v="0"/>
    <n v="4"/>
  </r>
  <r>
    <x v="19"/>
    <n v="12"/>
    <n v="0"/>
    <n v="1"/>
    <s v="PK"/>
    <n v="3"/>
    <n v="1"/>
    <n v="0"/>
    <n v="4"/>
  </r>
  <r>
    <x v="19"/>
    <n v="13"/>
    <n v="0"/>
    <n v="1"/>
    <s v="PK"/>
    <n v="3"/>
    <n v="1"/>
    <n v="0"/>
    <n v="4"/>
  </r>
  <r>
    <x v="19"/>
    <n v="14"/>
    <n v="0"/>
    <n v="1"/>
    <s v="PK"/>
    <n v="3"/>
    <n v="1"/>
    <n v="0"/>
    <n v="4"/>
  </r>
  <r>
    <x v="19"/>
    <n v="15"/>
    <n v="0"/>
    <n v="1"/>
    <s v="PK"/>
    <n v="3"/>
    <n v="1"/>
    <n v="0"/>
    <n v="4"/>
  </r>
  <r>
    <x v="19"/>
    <n v="16"/>
    <n v="0"/>
    <n v="1"/>
    <s v="PK"/>
    <n v="3"/>
    <n v="1"/>
    <n v="0"/>
    <n v="4"/>
  </r>
  <r>
    <x v="19"/>
    <n v="17"/>
    <n v="0"/>
    <n v="1"/>
    <s v="PK"/>
    <n v="3"/>
    <n v="1"/>
    <n v="0"/>
    <n v="4"/>
  </r>
  <r>
    <x v="19"/>
    <n v="18"/>
    <n v="0"/>
    <n v="1"/>
    <s v="PK"/>
    <n v="3"/>
    <n v="1"/>
    <n v="0"/>
    <n v="4"/>
  </r>
  <r>
    <x v="19"/>
    <n v="19"/>
    <n v="0"/>
    <n v="1"/>
    <s v="PK"/>
    <n v="3"/>
    <n v="1"/>
    <n v="0"/>
    <n v="4"/>
  </r>
  <r>
    <x v="19"/>
    <n v="20"/>
    <n v="0"/>
    <n v="1"/>
    <s v="PK"/>
    <n v="3"/>
    <n v="2"/>
    <n v="0"/>
    <n v="5"/>
  </r>
  <r>
    <x v="19"/>
    <n v="21"/>
    <n v="0"/>
    <n v="1"/>
    <s v="PK"/>
    <n v="3"/>
    <n v="1"/>
    <n v="0"/>
    <n v="4"/>
  </r>
  <r>
    <x v="19"/>
    <n v="22"/>
    <n v="0"/>
    <n v="1"/>
    <s v="PK"/>
    <n v="3"/>
    <n v="1"/>
    <n v="0"/>
    <n v="4"/>
  </r>
  <r>
    <x v="19"/>
    <n v="23"/>
    <n v="0"/>
    <n v="0"/>
    <s v="OP"/>
    <n v="3"/>
    <n v="1"/>
    <n v="0"/>
    <n v="4"/>
  </r>
  <r>
    <x v="19"/>
    <n v="24"/>
    <n v="0"/>
    <n v="0"/>
    <s v="OP"/>
    <n v="3"/>
    <n v="1"/>
    <n v="0"/>
    <n v="4"/>
  </r>
  <r>
    <x v="20"/>
    <n v="1"/>
    <n v="0"/>
    <n v="0"/>
    <s v="OP"/>
    <n v="3"/>
    <n v="0"/>
    <n v="0"/>
    <n v="3"/>
  </r>
  <r>
    <x v="20"/>
    <n v="2"/>
    <n v="0"/>
    <n v="0"/>
    <s v="OP"/>
    <n v="3"/>
    <n v="1"/>
    <n v="0"/>
    <n v="4"/>
  </r>
  <r>
    <x v="20"/>
    <n v="3"/>
    <n v="0"/>
    <n v="0"/>
    <s v="OP"/>
    <n v="3"/>
    <n v="1"/>
    <n v="0"/>
    <n v="4"/>
  </r>
  <r>
    <x v="20"/>
    <n v="4"/>
    <n v="0"/>
    <n v="0"/>
    <s v="OP"/>
    <n v="3"/>
    <n v="1"/>
    <n v="0"/>
    <n v="4"/>
  </r>
  <r>
    <x v="20"/>
    <n v="5"/>
    <n v="0"/>
    <n v="0"/>
    <s v="OP"/>
    <n v="3"/>
    <n v="1"/>
    <n v="0"/>
    <n v="4"/>
  </r>
  <r>
    <x v="20"/>
    <n v="6"/>
    <n v="0"/>
    <n v="0"/>
    <s v="OP"/>
    <n v="4"/>
    <n v="1"/>
    <n v="0"/>
    <n v="5"/>
  </r>
  <r>
    <x v="20"/>
    <n v="7"/>
    <n v="0"/>
    <n v="1"/>
    <s v="PK"/>
    <n v="4"/>
    <n v="1"/>
    <n v="0"/>
    <n v="5"/>
  </r>
  <r>
    <x v="20"/>
    <n v="8"/>
    <n v="0"/>
    <n v="1"/>
    <s v="PK"/>
    <n v="4"/>
    <n v="1"/>
    <n v="0"/>
    <n v="5"/>
  </r>
  <r>
    <x v="20"/>
    <n v="9"/>
    <n v="0"/>
    <n v="1"/>
    <s v="PK"/>
    <n v="3"/>
    <n v="1"/>
    <n v="0"/>
    <n v="4"/>
  </r>
  <r>
    <x v="20"/>
    <n v="10"/>
    <n v="0"/>
    <n v="1"/>
    <s v="PK"/>
    <n v="3"/>
    <n v="1"/>
    <n v="0"/>
    <n v="4"/>
  </r>
  <r>
    <x v="20"/>
    <n v="11"/>
    <n v="0"/>
    <n v="1"/>
    <s v="PK"/>
    <n v="3"/>
    <n v="1"/>
    <n v="0"/>
    <n v="4"/>
  </r>
  <r>
    <x v="20"/>
    <n v="12"/>
    <n v="0"/>
    <n v="1"/>
    <s v="PK"/>
    <n v="3"/>
    <n v="1"/>
    <n v="0"/>
    <n v="4"/>
  </r>
  <r>
    <x v="20"/>
    <n v="13"/>
    <n v="0"/>
    <n v="1"/>
    <s v="PK"/>
    <n v="3"/>
    <n v="1"/>
    <n v="0"/>
    <n v="4"/>
  </r>
  <r>
    <x v="20"/>
    <n v="14"/>
    <n v="0"/>
    <n v="1"/>
    <s v="PK"/>
    <n v="3"/>
    <n v="1"/>
    <n v="0"/>
    <n v="4"/>
  </r>
  <r>
    <x v="20"/>
    <n v="15"/>
    <n v="0"/>
    <n v="1"/>
    <s v="PK"/>
    <n v="3"/>
    <n v="1"/>
    <n v="0"/>
    <n v="4"/>
  </r>
  <r>
    <x v="20"/>
    <n v="16"/>
    <n v="0"/>
    <n v="1"/>
    <s v="PK"/>
    <n v="3"/>
    <n v="1"/>
    <n v="0"/>
    <n v="4"/>
  </r>
  <r>
    <x v="20"/>
    <n v="17"/>
    <n v="0"/>
    <n v="1"/>
    <s v="PK"/>
    <n v="3"/>
    <n v="1"/>
    <n v="0"/>
    <n v="4"/>
  </r>
  <r>
    <x v="20"/>
    <n v="18"/>
    <n v="0"/>
    <n v="1"/>
    <s v="PK"/>
    <n v="3"/>
    <n v="1"/>
    <n v="0"/>
    <n v="4"/>
  </r>
  <r>
    <x v="20"/>
    <n v="19"/>
    <n v="0"/>
    <n v="1"/>
    <s v="PK"/>
    <n v="3"/>
    <n v="1"/>
    <n v="0"/>
    <n v="4"/>
  </r>
  <r>
    <x v="20"/>
    <n v="20"/>
    <n v="0"/>
    <n v="1"/>
    <s v="PK"/>
    <n v="4"/>
    <n v="2"/>
    <n v="0"/>
    <n v="6"/>
  </r>
  <r>
    <x v="20"/>
    <n v="21"/>
    <n v="0"/>
    <n v="1"/>
    <s v="PK"/>
    <n v="4"/>
    <n v="1"/>
    <n v="0"/>
    <n v="5"/>
  </r>
  <r>
    <x v="20"/>
    <n v="22"/>
    <n v="0"/>
    <n v="1"/>
    <s v="PK"/>
    <n v="3"/>
    <n v="1"/>
    <n v="0"/>
    <n v="4"/>
  </r>
  <r>
    <x v="20"/>
    <n v="23"/>
    <n v="0"/>
    <n v="0"/>
    <s v="OP"/>
    <n v="3"/>
    <n v="1"/>
    <n v="0"/>
    <n v="4"/>
  </r>
  <r>
    <x v="20"/>
    <n v="24"/>
    <n v="0"/>
    <n v="0"/>
    <s v="OP"/>
    <n v="0"/>
    <n v="1"/>
    <n v="0"/>
    <n v="1"/>
  </r>
  <r>
    <x v="21"/>
    <n v="1"/>
    <n v="0"/>
    <n v="0"/>
    <s v="OP"/>
    <n v="3"/>
    <n v="0"/>
    <n v="0"/>
    <n v="3"/>
  </r>
  <r>
    <x v="21"/>
    <n v="2"/>
    <n v="0"/>
    <n v="0"/>
    <s v="OP"/>
    <n v="3"/>
    <n v="1"/>
    <n v="0"/>
    <n v="4"/>
  </r>
  <r>
    <x v="21"/>
    <n v="3"/>
    <n v="0"/>
    <n v="0"/>
    <s v="OP"/>
    <n v="3"/>
    <n v="1"/>
    <n v="0"/>
    <n v="4"/>
  </r>
  <r>
    <x v="21"/>
    <n v="4"/>
    <n v="0"/>
    <n v="0"/>
    <s v="OP"/>
    <n v="3"/>
    <n v="1"/>
    <n v="0"/>
    <n v="4"/>
  </r>
  <r>
    <x v="21"/>
    <n v="5"/>
    <n v="0"/>
    <n v="0"/>
    <s v="OP"/>
    <n v="3"/>
    <n v="1"/>
    <n v="0"/>
    <n v="4"/>
  </r>
  <r>
    <x v="21"/>
    <n v="6"/>
    <n v="0"/>
    <n v="0"/>
    <s v="OP"/>
    <n v="3"/>
    <n v="1"/>
    <n v="0"/>
    <n v="4"/>
  </r>
  <r>
    <x v="21"/>
    <n v="7"/>
    <n v="0"/>
    <n v="1"/>
    <s v="PK"/>
    <n v="3"/>
    <n v="1"/>
    <n v="0"/>
    <n v="4"/>
  </r>
  <r>
    <x v="21"/>
    <n v="8"/>
    <n v="0"/>
    <n v="1"/>
    <s v="PK"/>
    <n v="3"/>
    <n v="1"/>
    <n v="0"/>
    <n v="4"/>
  </r>
  <r>
    <x v="21"/>
    <n v="9"/>
    <n v="0"/>
    <n v="1"/>
    <s v="PK"/>
    <n v="3"/>
    <n v="1"/>
    <n v="0"/>
    <n v="4"/>
  </r>
  <r>
    <x v="21"/>
    <n v="10"/>
    <n v="0"/>
    <n v="1"/>
    <s v="PK"/>
    <n v="3"/>
    <n v="1"/>
    <n v="0"/>
    <n v="4"/>
  </r>
  <r>
    <x v="21"/>
    <n v="11"/>
    <n v="0"/>
    <n v="1"/>
    <s v="PK"/>
    <n v="2"/>
    <n v="1"/>
    <n v="0"/>
    <n v="3"/>
  </r>
  <r>
    <x v="21"/>
    <n v="12"/>
    <n v="0"/>
    <n v="1"/>
    <s v="PK"/>
    <n v="2"/>
    <n v="1"/>
    <n v="0"/>
    <n v="3"/>
  </r>
  <r>
    <x v="21"/>
    <n v="13"/>
    <n v="0"/>
    <n v="1"/>
    <s v="PK"/>
    <n v="3"/>
    <n v="1"/>
    <n v="0"/>
    <n v="4"/>
  </r>
  <r>
    <x v="21"/>
    <n v="14"/>
    <n v="0"/>
    <n v="1"/>
    <s v="PK"/>
    <n v="3"/>
    <n v="1"/>
    <n v="0"/>
    <n v="4"/>
  </r>
  <r>
    <x v="21"/>
    <n v="15"/>
    <n v="0"/>
    <n v="1"/>
    <s v="PK"/>
    <n v="3"/>
    <n v="1"/>
    <n v="0"/>
    <n v="4"/>
  </r>
  <r>
    <x v="21"/>
    <n v="16"/>
    <n v="0"/>
    <n v="1"/>
    <s v="PK"/>
    <n v="3"/>
    <n v="1"/>
    <n v="0"/>
    <n v="4"/>
  </r>
  <r>
    <x v="21"/>
    <n v="17"/>
    <n v="0"/>
    <n v="1"/>
    <s v="PK"/>
    <n v="3"/>
    <n v="1"/>
    <n v="0"/>
    <n v="4"/>
  </r>
  <r>
    <x v="21"/>
    <n v="18"/>
    <n v="0"/>
    <n v="1"/>
    <s v="PK"/>
    <n v="3"/>
    <n v="1"/>
    <n v="0"/>
    <n v="4"/>
  </r>
  <r>
    <x v="21"/>
    <n v="19"/>
    <n v="0"/>
    <n v="1"/>
    <s v="PK"/>
    <n v="3"/>
    <n v="1"/>
    <n v="0"/>
    <n v="4"/>
  </r>
  <r>
    <x v="21"/>
    <n v="20"/>
    <n v="0"/>
    <n v="1"/>
    <s v="PK"/>
    <n v="3"/>
    <n v="2"/>
    <n v="0"/>
    <n v="5"/>
  </r>
  <r>
    <x v="21"/>
    <n v="21"/>
    <n v="0"/>
    <n v="1"/>
    <s v="PK"/>
    <n v="3"/>
    <n v="1"/>
    <n v="0"/>
    <n v="4"/>
  </r>
  <r>
    <x v="21"/>
    <n v="22"/>
    <n v="0"/>
    <n v="1"/>
    <s v="PK"/>
    <n v="3"/>
    <n v="1"/>
    <n v="0"/>
    <n v="4"/>
  </r>
  <r>
    <x v="21"/>
    <n v="23"/>
    <n v="0"/>
    <n v="0"/>
    <s v="OP"/>
    <n v="3"/>
    <n v="1"/>
    <n v="0"/>
    <n v="4"/>
  </r>
  <r>
    <x v="21"/>
    <n v="24"/>
    <n v="0"/>
    <n v="0"/>
    <s v="OP"/>
    <n v="3"/>
    <n v="1"/>
    <n v="0"/>
    <n v="4"/>
  </r>
  <r>
    <x v="22"/>
    <n v="1"/>
    <n v="0"/>
    <n v="0"/>
    <s v="OP"/>
    <n v="3"/>
    <n v="1"/>
    <n v="0"/>
    <n v="4"/>
  </r>
  <r>
    <x v="22"/>
    <n v="2"/>
    <n v="0"/>
    <n v="0"/>
    <s v="OP"/>
    <n v="2"/>
    <n v="1"/>
    <n v="0"/>
    <n v="3"/>
  </r>
  <r>
    <x v="22"/>
    <n v="3"/>
    <n v="0"/>
    <n v="0"/>
    <s v="OP"/>
    <n v="2"/>
    <n v="1"/>
    <n v="0"/>
    <n v="3"/>
  </r>
  <r>
    <x v="22"/>
    <n v="4"/>
    <n v="0"/>
    <n v="0"/>
    <s v="OP"/>
    <n v="3"/>
    <n v="1"/>
    <n v="0"/>
    <n v="4"/>
  </r>
  <r>
    <x v="22"/>
    <n v="5"/>
    <n v="0"/>
    <n v="0"/>
    <s v="OP"/>
    <n v="3"/>
    <n v="1"/>
    <n v="0"/>
    <n v="4"/>
  </r>
  <r>
    <x v="22"/>
    <n v="6"/>
    <n v="0"/>
    <n v="0"/>
    <s v="OP"/>
    <n v="3"/>
    <n v="1"/>
    <n v="0"/>
    <n v="4"/>
  </r>
  <r>
    <x v="22"/>
    <n v="7"/>
    <n v="0"/>
    <n v="1"/>
    <s v="OP"/>
    <n v="3"/>
    <n v="1"/>
    <n v="0"/>
    <n v="4"/>
  </r>
  <r>
    <x v="22"/>
    <n v="8"/>
    <n v="0"/>
    <n v="1"/>
    <s v="OP"/>
    <n v="3"/>
    <n v="1"/>
    <n v="0"/>
    <n v="4"/>
  </r>
  <r>
    <x v="22"/>
    <n v="9"/>
    <n v="0"/>
    <n v="1"/>
    <s v="OP"/>
    <n v="3"/>
    <n v="1"/>
    <n v="0"/>
    <n v="4"/>
  </r>
  <r>
    <x v="22"/>
    <n v="10"/>
    <n v="0"/>
    <n v="1"/>
    <s v="OP"/>
    <n v="2"/>
    <n v="1"/>
    <n v="0"/>
    <n v="3"/>
  </r>
  <r>
    <x v="22"/>
    <n v="11"/>
    <n v="0"/>
    <n v="1"/>
    <s v="OP"/>
    <n v="2"/>
    <n v="1"/>
    <n v="0"/>
    <n v="3"/>
  </r>
  <r>
    <x v="22"/>
    <n v="12"/>
    <n v="0"/>
    <n v="1"/>
    <s v="OP"/>
    <n v="2"/>
    <n v="1"/>
    <n v="0"/>
    <n v="3"/>
  </r>
  <r>
    <x v="22"/>
    <n v="13"/>
    <n v="0"/>
    <n v="1"/>
    <s v="OP"/>
    <n v="2"/>
    <n v="1"/>
    <n v="0"/>
    <n v="3"/>
  </r>
  <r>
    <x v="22"/>
    <n v="14"/>
    <n v="0"/>
    <n v="1"/>
    <s v="OP"/>
    <n v="3"/>
    <n v="1"/>
    <n v="0"/>
    <n v="4"/>
  </r>
  <r>
    <x v="22"/>
    <n v="15"/>
    <n v="0"/>
    <n v="1"/>
    <s v="OP"/>
    <n v="3"/>
    <n v="1"/>
    <n v="0"/>
    <n v="4"/>
  </r>
  <r>
    <x v="22"/>
    <n v="16"/>
    <n v="0"/>
    <n v="1"/>
    <s v="OP"/>
    <n v="3"/>
    <n v="1"/>
    <n v="0"/>
    <n v="4"/>
  </r>
  <r>
    <x v="22"/>
    <n v="17"/>
    <n v="0"/>
    <n v="1"/>
    <s v="OP"/>
    <n v="3"/>
    <n v="1"/>
    <n v="0"/>
    <n v="4"/>
  </r>
  <r>
    <x v="22"/>
    <n v="18"/>
    <n v="0"/>
    <n v="1"/>
    <s v="OP"/>
    <n v="3"/>
    <n v="1"/>
    <n v="0"/>
    <n v="4"/>
  </r>
  <r>
    <x v="22"/>
    <n v="19"/>
    <n v="0"/>
    <n v="1"/>
    <s v="OP"/>
    <n v="3"/>
    <n v="1"/>
    <n v="0"/>
    <n v="4"/>
  </r>
  <r>
    <x v="22"/>
    <n v="20"/>
    <n v="0"/>
    <n v="1"/>
    <s v="OP"/>
    <n v="3"/>
    <n v="1"/>
    <n v="0"/>
    <n v="4"/>
  </r>
  <r>
    <x v="22"/>
    <n v="21"/>
    <n v="0"/>
    <n v="1"/>
    <s v="OP"/>
    <n v="3"/>
    <n v="1"/>
    <n v="0"/>
    <n v="4"/>
  </r>
  <r>
    <x v="22"/>
    <n v="22"/>
    <n v="0"/>
    <n v="1"/>
    <s v="OP"/>
    <n v="3"/>
    <n v="1"/>
    <n v="0"/>
    <n v="4"/>
  </r>
  <r>
    <x v="22"/>
    <n v="23"/>
    <n v="0"/>
    <n v="0"/>
    <s v="OP"/>
    <n v="3"/>
    <n v="1"/>
    <n v="0"/>
    <n v="4"/>
  </r>
  <r>
    <x v="22"/>
    <n v="24"/>
    <n v="0"/>
    <n v="0"/>
    <s v="OP"/>
    <n v="3"/>
    <n v="1"/>
    <n v="0"/>
    <n v="4"/>
  </r>
  <r>
    <x v="23"/>
    <n v="1"/>
    <n v="0"/>
    <n v="0"/>
    <s v="OP"/>
    <n v="3"/>
    <n v="0"/>
    <n v="0"/>
    <n v="3"/>
  </r>
  <r>
    <x v="23"/>
    <n v="2"/>
    <n v="0"/>
    <n v="0"/>
    <s v="OP"/>
    <n v="3"/>
    <n v="1"/>
    <n v="0"/>
    <n v="4"/>
  </r>
  <r>
    <x v="23"/>
    <n v="3"/>
    <n v="0"/>
    <n v="0"/>
    <s v="OP"/>
    <n v="3"/>
    <n v="1"/>
    <n v="0"/>
    <n v="4"/>
  </r>
  <r>
    <x v="23"/>
    <n v="4"/>
    <n v="0"/>
    <n v="0"/>
    <s v="OP"/>
    <n v="3"/>
    <n v="1"/>
    <n v="0"/>
    <n v="4"/>
  </r>
  <r>
    <x v="23"/>
    <n v="5"/>
    <n v="0"/>
    <n v="0"/>
    <s v="OP"/>
    <n v="3"/>
    <n v="1"/>
    <n v="0"/>
    <n v="4"/>
  </r>
  <r>
    <x v="23"/>
    <n v="6"/>
    <n v="0"/>
    <n v="0"/>
    <s v="OP"/>
    <n v="3"/>
    <n v="1"/>
    <n v="0"/>
    <n v="4"/>
  </r>
  <r>
    <x v="23"/>
    <n v="7"/>
    <n v="0"/>
    <n v="1"/>
    <s v="PK"/>
    <n v="3"/>
    <n v="1"/>
    <n v="0"/>
    <n v="4"/>
  </r>
  <r>
    <x v="23"/>
    <n v="8"/>
    <n v="0"/>
    <n v="1"/>
    <s v="PK"/>
    <n v="3"/>
    <n v="1"/>
    <n v="0"/>
    <n v="4"/>
  </r>
  <r>
    <x v="23"/>
    <n v="9"/>
    <n v="0"/>
    <n v="1"/>
    <s v="PK"/>
    <n v="3"/>
    <n v="1"/>
    <n v="0"/>
    <n v="4"/>
  </r>
  <r>
    <x v="23"/>
    <n v="10"/>
    <n v="0"/>
    <n v="1"/>
    <s v="PK"/>
    <n v="3"/>
    <n v="1"/>
    <n v="0"/>
    <n v="4"/>
  </r>
  <r>
    <x v="23"/>
    <n v="11"/>
    <n v="0"/>
    <n v="1"/>
    <s v="PK"/>
    <n v="3"/>
    <n v="1"/>
    <n v="0"/>
    <n v="4"/>
  </r>
  <r>
    <x v="23"/>
    <n v="12"/>
    <n v="0"/>
    <n v="1"/>
    <s v="PK"/>
    <n v="3"/>
    <n v="1"/>
    <n v="0"/>
    <n v="4"/>
  </r>
  <r>
    <x v="23"/>
    <n v="13"/>
    <n v="0"/>
    <n v="1"/>
    <s v="PK"/>
    <n v="3"/>
    <n v="1"/>
    <n v="0"/>
    <n v="4"/>
  </r>
  <r>
    <x v="23"/>
    <n v="14"/>
    <n v="0"/>
    <n v="1"/>
    <s v="PK"/>
    <n v="3"/>
    <n v="1"/>
    <n v="0"/>
    <n v="4"/>
  </r>
  <r>
    <x v="23"/>
    <n v="15"/>
    <n v="0"/>
    <n v="1"/>
    <s v="PK"/>
    <n v="3"/>
    <n v="1"/>
    <n v="0"/>
    <n v="4"/>
  </r>
  <r>
    <x v="23"/>
    <n v="16"/>
    <n v="0"/>
    <n v="1"/>
    <s v="PK"/>
    <n v="3"/>
    <n v="1"/>
    <n v="0"/>
    <n v="4"/>
  </r>
  <r>
    <x v="23"/>
    <n v="17"/>
    <n v="0"/>
    <n v="1"/>
    <s v="PK"/>
    <n v="3"/>
    <n v="1"/>
    <n v="0"/>
    <n v="4"/>
  </r>
  <r>
    <x v="23"/>
    <n v="18"/>
    <n v="0"/>
    <n v="1"/>
    <s v="PK"/>
    <n v="3"/>
    <n v="1"/>
    <n v="0"/>
    <n v="4"/>
  </r>
  <r>
    <x v="23"/>
    <n v="19"/>
    <n v="0"/>
    <n v="1"/>
    <s v="PK"/>
    <n v="3"/>
    <n v="1"/>
    <n v="0"/>
    <n v="4"/>
  </r>
  <r>
    <x v="23"/>
    <n v="20"/>
    <n v="0"/>
    <n v="1"/>
    <s v="PK"/>
    <n v="3"/>
    <n v="2"/>
    <n v="0"/>
    <n v="5"/>
  </r>
  <r>
    <x v="23"/>
    <n v="21"/>
    <n v="0"/>
    <n v="1"/>
    <s v="PK"/>
    <n v="3"/>
    <n v="1"/>
    <n v="0"/>
    <n v="4"/>
  </r>
  <r>
    <x v="23"/>
    <n v="22"/>
    <n v="0"/>
    <n v="1"/>
    <s v="PK"/>
    <n v="3"/>
    <n v="1"/>
    <n v="0"/>
    <n v="4"/>
  </r>
  <r>
    <x v="23"/>
    <n v="23"/>
    <n v="0"/>
    <n v="0"/>
    <s v="OP"/>
    <n v="3"/>
    <n v="1"/>
    <n v="0"/>
    <n v="4"/>
  </r>
  <r>
    <x v="23"/>
    <n v="24"/>
    <n v="0"/>
    <n v="0"/>
    <s v="OP"/>
    <n v="3"/>
    <n v="1"/>
    <n v="0"/>
    <n v="4"/>
  </r>
  <r>
    <x v="24"/>
    <n v="1"/>
    <n v="0"/>
    <n v="0"/>
    <s v="OP"/>
    <n v="2"/>
    <n v="0"/>
    <n v="0"/>
    <n v="2"/>
  </r>
  <r>
    <x v="24"/>
    <n v="2"/>
    <n v="0"/>
    <n v="0"/>
    <s v="OP"/>
    <n v="2"/>
    <n v="1"/>
    <n v="0"/>
    <n v="3"/>
  </r>
  <r>
    <x v="24"/>
    <n v="3"/>
    <n v="0"/>
    <n v="0"/>
    <s v="OP"/>
    <n v="3"/>
    <n v="1"/>
    <n v="0"/>
    <n v="4"/>
  </r>
  <r>
    <x v="24"/>
    <n v="4"/>
    <n v="0"/>
    <n v="0"/>
    <s v="OP"/>
    <n v="3"/>
    <n v="1"/>
    <n v="0"/>
    <n v="4"/>
  </r>
  <r>
    <x v="24"/>
    <n v="5"/>
    <n v="0"/>
    <n v="0"/>
    <s v="OP"/>
    <n v="3"/>
    <n v="1"/>
    <n v="0"/>
    <n v="4"/>
  </r>
  <r>
    <x v="24"/>
    <n v="6"/>
    <n v="0"/>
    <n v="0"/>
    <s v="OP"/>
    <n v="3"/>
    <n v="1"/>
    <n v="0"/>
    <n v="4"/>
  </r>
  <r>
    <x v="24"/>
    <n v="7"/>
    <n v="0"/>
    <n v="1"/>
    <s v="PK"/>
    <n v="3"/>
    <n v="1"/>
    <n v="0"/>
    <n v="4"/>
  </r>
  <r>
    <x v="24"/>
    <n v="8"/>
    <n v="0"/>
    <n v="1"/>
    <s v="PK"/>
    <n v="3"/>
    <n v="1"/>
    <n v="0"/>
    <n v="4"/>
  </r>
  <r>
    <x v="24"/>
    <n v="9"/>
    <n v="0"/>
    <n v="1"/>
    <s v="PK"/>
    <n v="3"/>
    <n v="1"/>
    <n v="0"/>
    <n v="4"/>
  </r>
  <r>
    <x v="24"/>
    <n v="10"/>
    <n v="0"/>
    <n v="1"/>
    <s v="PK"/>
    <n v="3"/>
    <n v="1"/>
    <n v="0"/>
    <n v="4"/>
  </r>
  <r>
    <x v="24"/>
    <n v="11"/>
    <n v="0"/>
    <n v="1"/>
    <s v="PK"/>
    <n v="3"/>
    <n v="1"/>
    <n v="0"/>
    <n v="4"/>
  </r>
  <r>
    <x v="24"/>
    <n v="12"/>
    <n v="0"/>
    <n v="1"/>
    <s v="PK"/>
    <n v="3"/>
    <n v="1"/>
    <n v="0"/>
    <n v="4"/>
  </r>
  <r>
    <x v="24"/>
    <n v="13"/>
    <n v="0"/>
    <n v="1"/>
    <s v="PK"/>
    <n v="3"/>
    <n v="1"/>
    <n v="0"/>
    <n v="4"/>
  </r>
  <r>
    <x v="24"/>
    <n v="14"/>
    <n v="0"/>
    <n v="1"/>
    <s v="PK"/>
    <n v="3"/>
    <n v="1"/>
    <n v="0"/>
    <n v="4"/>
  </r>
  <r>
    <x v="24"/>
    <n v="15"/>
    <n v="0"/>
    <n v="1"/>
    <s v="PK"/>
    <n v="3"/>
    <n v="1"/>
    <n v="0"/>
    <n v="4"/>
  </r>
  <r>
    <x v="24"/>
    <n v="16"/>
    <n v="0"/>
    <n v="1"/>
    <s v="PK"/>
    <n v="3"/>
    <n v="1"/>
    <n v="0"/>
    <n v="4"/>
  </r>
  <r>
    <x v="24"/>
    <n v="17"/>
    <n v="0"/>
    <n v="1"/>
    <s v="PK"/>
    <n v="3"/>
    <n v="1"/>
    <n v="0"/>
    <n v="4"/>
  </r>
  <r>
    <x v="24"/>
    <n v="18"/>
    <n v="0"/>
    <n v="1"/>
    <s v="PK"/>
    <n v="3"/>
    <n v="1"/>
    <n v="0"/>
    <n v="4"/>
  </r>
  <r>
    <x v="24"/>
    <n v="19"/>
    <n v="0"/>
    <n v="1"/>
    <s v="PK"/>
    <n v="3"/>
    <n v="1"/>
    <n v="0"/>
    <n v="4"/>
  </r>
  <r>
    <x v="24"/>
    <n v="20"/>
    <n v="0"/>
    <n v="1"/>
    <s v="PK"/>
    <n v="3"/>
    <n v="2"/>
    <n v="0"/>
    <n v="5"/>
  </r>
  <r>
    <x v="24"/>
    <n v="21"/>
    <n v="0"/>
    <n v="1"/>
    <s v="PK"/>
    <n v="3"/>
    <n v="1"/>
    <n v="0"/>
    <n v="4"/>
  </r>
  <r>
    <x v="24"/>
    <n v="22"/>
    <n v="0"/>
    <n v="1"/>
    <s v="PK"/>
    <n v="3"/>
    <n v="1"/>
    <n v="0"/>
    <n v="4"/>
  </r>
  <r>
    <x v="24"/>
    <n v="23"/>
    <n v="0"/>
    <n v="0"/>
    <s v="OP"/>
    <n v="3"/>
    <n v="1"/>
    <n v="0"/>
    <n v="4"/>
  </r>
  <r>
    <x v="24"/>
    <n v="24"/>
    <n v="0"/>
    <n v="0"/>
    <s v="OP"/>
    <n v="3"/>
    <n v="1"/>
    <n v="0"/>
    <n v="4"/>
  </r>
  <r>
    <x v="25"/>
    <n v="1"/>
    <n v="0"/>
    <n v="0"/>
    <s v="OP"/>
    <n v="3"/>
    <n v="0"/>
    <n v="0"/>
    <n v="3"/>
  </r>
  <r>
    <x v="25"/>
    <n v="2"/>
    <n v="0"/>
    <n v="0"/>
    <s v="OP"/>
    <n v="3"/>
    <n v="1"/>
    <n v="0"/>
    <n v="4"/>
  </r>
  <r>
    <x v="25"/>
    <n v="3"/>
    <n v="0"/>
    <n v="0"/>
    <s v="OP"/>
    <n v="3"/>
    <n v="1"/>
    <n v="0"/>
    <n v="4"/>
  </r>
  <r>
    <x v="25"/>
    <n v="4"/>
    <n v="0"/>
    <n v="0"/>
    <s v="OP"/>
    <n v="3"/>
    <n v="1"/>
    <n v="0"/>
    <n v="4"/>
  </r>
  <r>
    <x v="25"/>
    <n v="5"/>
    <n v="0"/>
    <n v="0"/>
    <s v="OP"/>
    <n v="3"/>
    <n v="1"/>
    <n v="0"/>
    <n v="4"/>
  </r>
  <r>
    <x v="25"/>
    <n v="6"/>
    <n v="0"/>
    <n v="0"/>
    <s v="OP"/>
    <n v="3"/>
    <n v="1"/>
    <n v="0"/>
    <n v="4"/>
  </r>
  <r>
    <x v="25"/>
    <n v="7"/>
    <n v="0"/>
    <n v="1"/>
    <s v="PK"/>
    <n v="3"/>
    <n v="1"/>
    <n v="0"/>
    <n v="4"/>
  </r>
  <r>
    <x v="25"/>
    <n v="8"/>
    <n v="0"/>
    <n v="1"/>
    <s v="PK"/>
    <n v="3"/>
    <n v="1"/>
    <n v="0"/>
    <n v="4"/>
  </r>
  <r>
    <x v="25"/>
    <n v="9"/>
    <n v="0"/>
    <n v="1"/>
    <s v="PK"/>
    <n v="3"/>
    <n v="1"/>
    <n v="0"/>
    <n v="4"/>
  </r>
  <r>
    <x v="25"/>
    <n v="10"/>
    <n v="0"/>
    <n v="1"/>
    <s v="PK"/>
    <n v="3"/>
    <n v="1"/>
    <n v="0"/>
    <n v="4"/>
  </r>
  <r>
    <x v="25"/>
    <n v="11"/>
    <n v="0"/>
    <n v="1"/>
    <s v="PK"/>
    <n v="3"/>
    <n v="1"/>
    <n v="0"/>
    <n v="4"/>
  </r>
  <r>
    <x v="25"/>
    <n v="12"/>
    <n v="0"/>
    <n v="1"/>
    <s v="PK"/>
    <n v="3"/>
    <n v="1"/>
    <n v="0"/>
    <n v="4"/>
  </r>
  <r>
    <x v="25"/>
    <n v="13"/>
    <n v="0"/>
    <n v="1"/>
    <s v="PK"/>
    <n v="3"/>
    <n v="1"/>
    <n v="0"/>
    <n v="4"/>
  </r>
  <r>
    <x v="25"/>
    <n v="14"/>
    <n v="0"/>
    <n v="1"/>
    <s v="PK"/>
    <n v="3"/>
    <n v="1"/>
    <n v="0"/>
    <n v="4"/>
  </r>
  <r>
    <x v="25"/>
    <n v="15"/>
    <n v="0"/>
    <n v="1"/>
    <s v="PK"/>
    <n v="3"/>
    <n v="1"/>
    <n v="0"/>
    <n v="4"/>
  </r>
  <r>
    <x v="25"/>
    <n v="16"/>
    <n v="0"/>
    <n v="1"/>
    <s v="PK"/>
    <n v="3"/>
    <n v="1"/>
    <n v="0"/>
    <n v="4"/>
  </r>
  <r>
    <x v="25"/>
    <n v="17"/>
    <n v="0"/>
    <n v="1"/>
    <s v="PK"/>
    <n v="3"/>
    <n v="1"/>
    <n v="0"/>
    <n v="4"/>
  </r>
  <r>
    <x v="25"/>
    <n v="18"/>
    <n v="0"/>
    <n v="1"/>
    <s v="PK"/>
    <n v="3"/>
    <n v="1"/>
    <n v="0"/>
    <n v="4"/>
  </r>
  <r>
    <x v="25"/>
    <n v="19"/>
    <n v="0"/>
    <n v="1"/>
    <s v="PK"/>
    <n v="3"/>
    <n v="1"/>
    <n v="0"/>
    <n v="4"/>
  </r>
  <r>
    <x v="25"/>
    <n v="20"/>
    <n v="0"/>
    <n v="1"/>
    <s v="PK"/>
    <n v="3"/>
    <n v="2"/>
    <n v="0"/>
    <n v="5"/>
  </r>
  <r>
    <x v="25"/>
    <n v="21"/>
    <n v="0"/>
    <n v="1"/>
    <s v="PK"/>
    <n v="3"/>
    <n v="1"/>
    <n v="0"/>
    <n v="4"/>
  </r>
  <r>
    <x v="25"/>
    <n v="22"/>
    <n v="0"/>
    <n v="1"/>
    <s v="PK"/>
    <n v="3"/>
    <n v="1"/>
    <n v="0"/>
    <n v="4"/>
  </r>
  <r>
    <x v="25"/>
    <n v="23"/>
    <n v="0"/>
    <n v="0"/>
    <s v="OP"/>
    <n v="3"/>
    <n v="1"/>
    <n v="0"/>
    <n v="4"/>
  </r>
  <r>
    <x v="25"/>
    <n v="24"/>
    <n v="0"/>
    <n v="0"/>
    <s v="OP"/>
    <n v="3"/>
    <n v="1"/>
    <n v="0"/>
    <n v="4"/>
  </r>
  <r>
    <x v="26"/>
    <n v="1"/>
    <n v="0"/>
    <n v="0"/>
    <s v="OP"/>
    <n v="3"/>
    <n v="0"/>
    <n v="0"/>
    <n v="3"/>
  </r>
  <r>
    <x v="26"/>
    <n v="2"/>
    <n v="0"/>
    <n v="0"/>
    <s v="OP"/>
    <n v="3"/>
    <n v="1"/>
    <n v="0"/>
    <n v="4"/>
  </r>
  <r>
    <x v="26"/>
    <n v="3"/>
    <n v="0"/>
    <n v="0"/>
    <s v="OP"/>
    <n v="3"/>
    <n v="1"/>
    <n v="0"/>
    <n v="4"/>
  </r>
  <r>
    <x v="26"/>
    <n v="4"/>
    <n v="0"/>
    <n v="0"/>
    <s v="OP"/>
    <n v="3"/>
    <n v="1"/>
    <n v="0"/>
    <n v="4"/>
  </r>
  <r>
    <x v="26"/>
    <n v="5"/>
    <n v="0"/>
    <n v="0"/>
    <s v="OP"/>
    <n v="3"/>
    <n v="1"/>
    <n v="0"/>
    <n v="4"/>
  </r>
  <r>
    <x v="26"/>
    <n v="6"/>
    <n v="0"/>
    <n v="0"/>
    <s v="OP"/>
    <n v="3"/>
    <n v="1"/>
    <n v="0"/>
    <n v="4"/>
  </r>
  <r>
    <x v="26"/>
    <n v="7"/>
    <n v="0"/>
    <n v="1"/>
    <s v="PK"/>
    <n v="3"/>
    <n v="1"/>
    <n v="0"/>
    <n v="4"/>
  </r>
  <r>
    <x v="26"/>
    <n v="8"/>
    <n v="0"/>
    <n v="1"/>
    <s v="PK"/>
    <n v="3"/>
    <n v="1"/>
    <n v="0"/>
    <n v="4"/>
  </r>
  <r>
    <x v="26"/>
    <n v="9"/>
    <n v="0"/>
    <n v="1"/>
    <s v="PK"/>
    <n v="3"/>
    <n v="1"/>
    <n v="0"/>
    <n v="4"/>
  </r>
  <r>
    <x v="26"/>
    <n v="10"/>
    <n v="0"/>
    <n v="1"/>
    <s v="PK"/>
    <n v="3"/>
    <n v="1"/>
    <n v="0"/>
    <n v="4"/>
  </r>
  <r>
    <x v="26"/>
    <n v="11"/>
    <n v="0"/>
    <n v="1"/>
    <s v="PK"/>
    <n v="3"/>
    <n v="1"/>
    <n v="0"/>
    <n v="4"/>
  </r>
  <r>
    <x v="26"/>
    <n v="12"/>
    <n v="0"/>
    <n v="1"/>
    <s v="PK"/>
    <n v="3"/>
    <n v="1"/>
    <n v="0"/>
    <n v="4"/>
  </r>
  <r>
    <x v="26"/>
    <n v="13"/>
    <n v="0"/>
    <n v="1"/>
    <s v="PK"/>
    <n v="3"/>
    <n v="1"/>
    <n v="0"/>
    <n v="4"/>
  </r>
  <r>
    <x v="26"/>
    <n v="14"/>
    <n v="0"/>
    <n v="1"/>
    <s v="PK"/>
    <n v="3"/>
    <n v="1"/>
    <n v="0"/>
    <n v="4"/>
  </r>
  <r>
    <x v="26"/>
    <n v="15"/>
    <n v="0"/>
    <n v="1"/>
    <s v="PK"/>
    <n v="3"/>
    <n v="1"/>
    <n v="0"/>
    <n v="4"/>
  </r>
  <r>
    <x v="26"/>
    <n v="16"/>
    <n v="0"/>
    <n v="1"/>
    <s v="PK"/>
    <n v="3"/>
    <n v="1"/>
    <n v="0"/>
    <n v="4"/>
  </r>
  <r>
    <x v="26"/>
    <n v="17"/>
    <n v="0"/>
    <n v="1"/>
    <s v="PK"/>
    <n v="3"/>
    <n v="1"/>
    <n v="0"/>
    <n v="4"/>
  </r>
  <r>
    <x v="26"/>
    <n v="18"/>
    <n v="0"/>
    <n v="1"/>
    <s v="PK"/>
    <n v="3"/>
    <n v="1"/>
    <n v="0"/>
    <n v="4"/>
  </r>
  <r>
    <x v="26"/>
    <n v="19"/>
    <n v="0"/>
    <n v="1"/>
    <s v="PK"/>
    <n v="3"/>
    <n v="1"/>
    <n v="0"/>
    <n v="4"/>
  </r>
  <r>
    <x v="26"/>
    <n v="20"/>
    <n v="0"/>
    <n v="1"/>
    <s v="PK"/>
    <n v="3"/>
    <n v="2"/>
    <n v="0"/>
    <n v="5"/>
  </r>
  <r>
    <x v="26"/>
    <n v="21"/>
    <n v="0"/>
    <n v="1"/>
    <s v="PK"/>
    <n v="3"/>
    <n v="1"/>
    <n v="0"/>
    <n v="4"/>
  </r>
  <r>
    <x v="26"/>
    <n v="22"/>
    <n v="0"/>
    <n v="1"/>
    <s v="PK"/>
    <n v="3"/>
    <n v="1"/>
    <n v="0"/>
    <n v="4"/>
  </r>
  <r>
    <x v="26"/>
    <n v="23"/>
    <n v="0"/>
    <n v="0"/>
    <s v="OP"/>
    <n v="3"/>
    <n v="1"/>
    <n v="0"/>
    <n v="4"/>
  </r>
  <r>
    <x v="26"/>
    <n v="24"/>
    <n v="0"/>
    <n v="0"/>
    <s v="OP"/>
    <n v="3"/>
    <n v="1"/>
    <n v="0"/>
    <n v="4"/>
  </r>
  <r>
    <x v="27"/>
    <n v="1"/>
    <n v="0"/>
    <n v="0"/>
    <s v="OP"/>
    <n v="2"/>
    <n v="0"/>
    <n v="0"/>
    <n v="2"/>
  </r>
  <r>
    <x v="27"/>
    <n v="2"/>
    <n v="0"/>
    <n v="0"/>
    <s v="OP"/>
    <n v="2"/>
    <n v="1"/>
    <n v="0"/>
    <n v="3"/>
  </r>
  <r>
    <x v="27"/>
    <n v="3"/>
    <n v="0"/>
    <n v="0"/>
    <s v="OP"/>
    <n v="2"/>
    <n v="1"/>
    <n v="0"/>
    <n v="3"/>
  </r>
  <r>
    <x v="27"/>
    <n v="4"/>
    <n v="0"/>
    <n v="0"/>
    <s v="OP"/>
    <n v="3"/>
    <n v="1"/>
    <n v="0"/>
    <n v="4"/>
  </r>
  <r>
    <x v="27"/>
    <n v="5"/>
    <n v="0"/>
    <n v="0"/>
    <s v="OP"/>
    <n v="3"/>
    <n v="1"/>
    <n v="0"/>
    <n v="4"/>
  </r>
  <r>
    <x v="27"/>
    <n v="6"/>
    <n v="0"/>
    <n v="0"/>
    <s v="OP"/>
    <n v="3"/>
    <n v="1"/>
    <n v="0"/>
    <n v="4"/>
  </r>
  <r>
    <x v="27"/>
    <n v="7"/>
    <n v="0"/>
    <n v="1"/>
    <s v="PK"/>
    <n v="3"/>
    <n v="1"/>
    <n v="0"/>
    <n v="4"/>
  </r>
  <r>
    <x v="27"/>
    <n v="8"/>
    <n v="0"/>
    <n v="1"/>
    <s v="PK"/>
    <n v="3"/>
    <n v="1"/>
    <n v="0"/>
    <n v="4"/>
  </r>
  <r>
    <x v="27"/>
    <n v="9"/>
    <n v="0"/>
    <n v="1"/>
    <s v="PK"/>
    <n v="3"/>
    <n v="1"/>
    <n v="0"/>
    <n v="4"/>
  </r>
  <r>
    <x v="27"/>
    <n v="10"/>
    <n v="0"/>
    <n v="1"/>
    <s v="PK"/>
    <n v="3"/>
    <n v="1"/>
    <n v="0"/>
    <n v="4"/>
  </r>
  <r>
    <x v="27"/>
    <n v="11"/>
    <n v="0"/>
    <n v="1"/>
    <s v="PK"/>
    <n v="3"/>
    <n v="1"/>
    <n v="0"/>
    <n v="4"/>
  </r>
  <r>
    <x v="27"/>
    <n v="12"/>
    <n v="0"/>
    <n v="1"/>
    <s v="PK"/>
    <n v="3"/>
    <n v="1"/>
    <n v="0"/>
    <n v="4"/>
  </r>
  <r>
    <x v="27"/>
    <n v="13"/>
    <n v="0"/>
    <n v="1"/>
    <s v="PK"/>
    <n v="3"/>
    <n v="1"/>
    <n v="0"/>
    <n v="4"/>
  </r>
  <r>
    <x v="27"/>
    <n v="14"/>
    <n v="0"/>
    <n v="1"/>
    <s v="PK"/>
    <n v="3"/>
    <n v="1"/>
    <n v="0"/>
    <n v="4"/>
  </r>
  <r>
    <x v="27"/>
    <n v="15"/>
    <n v="0"/>
    <n v="1"/>
    <s v="PK"/>
    <n v="3"/>
    <n v="1"/>
    <n v="0"/>
    <n v="4"/>
  </r>
  <r>
    <x v="27"/>
    <n v="16"/>
    <n v="0"/>
    <n v="1"/>
    <s v="PK"/>
    <n v="3"/>
    <n v="1"/>
    <n v="0"/>
    <n v="4"/>
  </r>
  <r>
    <x v="27"/>
    <n v="17"/>
    <n v="0"/>
    <n v="1"/>
    <s v="PK"/>
    <n v="3"/>
    <n v="1"/>
    <n v="0"/>
    <n v="4"/>
  </r>
  <r>
    <x v="27"/>
    <n v="18"/>
    <n v="0"/>
    <n v="1"/>
    <s v="PK"/>
    <n v="3"/>
    <n v="1"/>
    <n v="0"/>
    <n v="4"/>
  </r>
  <r>
    <x v="27"/>
    <n v="19"/>
    <n v="0"/>
    <n v="1"/>
    <s v="PK"/>
    <n v="3"/>
    <n v="1"/>
    <n v="0"/>
    <n v="4"/>
  </r>
  <r>
    <x v="27"/>
    <n v="20"/>
    <n v="0"/>
    <n v="1"/>
    <s v="PK"/>
    <n v="3"/>
    <n v="2"/>
    <n v="0"/>
    <n v="5"/>
  </r>
  <r>
    <x v="27"/>
    <n v="21"/>
    <n v="0"/>
    <n v="1"/>
    <s v="PK"/>
    <n v="3"/>
    <n v="1"/>
    <n v="0"/>
    <n v="4"/>
  </r>
  <r>
    <x v="27"/>
    <n v="22"/>
    <n v="0"/>
    <n v="1"/>
    <s v="PK"/>
    <n v="3"/>
    <n v="1"/>
    <n v="0"/>
    <n v="4"/>
  </r>
  <r>
    <x v="27"/>
    <n v="23"/>
    <n v="0"/>
    <n v="0"/>
    <s v="OP"/>
    <n v="3"/>
    <n v="1"/>
    <n v="0"/>
    <n v="4"/>
  </r>
  <r>
    <x v="27"/>
    <n v="24"/>
    <n v="0"/>
    <n v="0"/>
    <s v="OP"/>
    <n v="3"/>
    <n v="1"/>
    <n v="0"/>
    <n v="4"/>
  </r>
  <r>
    <x v="28"/>
    <n v="1"/>
    <n v="0"/>
    <n v="0"/>
    <s v="OP"/>
    <n v="2"/>
    <n v="0"/>
    <n v="0"/>
    <n v="2"/>
  </r>
  <r>
    <x v="28"/>
    <n v="2"/>
    <n v="0"/>
    <n v="0"/>
    <s v="OP"/>
    <n v="2"/>
    <n v="1"/>
    <n v="0"/>
    <n v="3"/>
  </r>
  <r>
    <x v="28"/>
    <n v="3"/>
    <n v="0"/>
    <n v="0"/>
    <s v="OP"/>
    <n v="2"/>
    <n v="1"/>
    <n v="0"/>
    <n v="3"/>
  </r>
  <r>
    <x v="28"/>
    <n v="4"/>
    <n v="0"/>
    <n v="0"/>
    <s v="OP"/>
    <n v="2"/>
    <n v="1"/>
    <n v="0"/>
    <n v="3"/>
  </r>
  <r>
    <x v="28"/>
    <n v="5"/>
    <n v="0"/>
    <n v="0"/>
    <s v="OP"/>
    <n v="2"/>
    <n v="1"/>
    <n v="0"/>
    <n v="3"/>
  </r>
  <r>
    <x v="28"/>
    <n v="6"/>
    <n v="0"/>
    <n v="0"/>
    <s v="OP"/>
    <n v="3"/>
    <n v="1"/>
    <n v="0"/>
    <n v="4"/>
  </r>
  <r>
    <x v="28"/>
    <n v="7"/>
    <n v="0"/>
    <n v="1"/>
    <s v="PK"/>
    <n v="3"/>
    <n v="1"/>
    <n v="0"/>
    <n v="4"/>
  </r>
  <r>
    <x v="28"/>
    <n v="8"/>
    <n v="0"/>
    <n v="1"/>
    <s v="PK"/>
    <n v="3"/>
    <n v="1"/>
    <n v="0"/>
    <n v="4"/>
  </r>
  <r>
    <x v="28"/>
    <n v="9"/>
    <n v="0"/>
    <n v="1"/>
    <s v="PK"/>
    <n v="3"/>
    <n v="1"/>
    <n v="0"/>
    <n v="4"/>
  </r>
  <r>
    <x v="28"/>
    <n v="10"/>
    <n v="0"/>
    <n v="1"/>
    <s v="PK"/>
    <n v="2"/>
    <n v="1"/>
    <n v="0"/>
    <n v="3"/>
  </r>
  <r>
    <x v="28"/>
    <n v="11"/>
    <n v="0"/>
    <n v="1"/>
    <s v="PK"/>
    <n v="2"/>
    <n v="1"/>
    <n v="0"/>
    <n v="3"/>
  </r>
  <r>
    <x v="28"/>
    <n v="12"/>
    <n v="0"/>
    <n v="1"/>
    <s v="PK"/>
    <n v="2"/>
    <n v="1"/>
    <n v="0"/>
    <n v="3"/>
  </r>
  <r>
    <x v="28"/>
    <n v="13"/>
    <n v="0"/>
    <n v="1"/>
    <s v="PK"/>
    <n v="3"/>
    <n v="1"/>
    <n v="0"/>
    <n v="4"/>
  </r>
  <r>
    <x v="28"/>
    <n v="14"/>
    <n v="0"/>
    <n v="1"/>
    <s v="PK"/>
    <n v="3"/>
    <n v="1"/>
    <n v="0"/>
    <n v="4"/>
  </r>
  <r>
    <x v="28"/>
    <n v="15"/>
    <n v="0"/>
    <n v="1"/>
    <s v="PK"/>
    <n v="3"/>
    <n v="1"/>
    <n v="0"/>
    <n v="4"/>
  </r>
  <r>
    <x v="28"/>
    <n v="16"/>
    <n v="0"/>
    <n v="1"/>
    <s v="PK"/>
    <n v="3"/>
    <n v="1"/>
    <n v="0"/>
    <n v="4"/>
  </r>
  <r>
    <x v="28"/>
    <n v="17"/>
    <n v="0"/>
    <n v="1"/>
    <s v="PK"/>
    <n v="3"/>
    <n v="1"/>
    <n v="0"/>
    <n v="4"/>
  </r>
  <r>
    <x v="28"/>
    <n v="18"/>
    <n v="0"/>
    <n v="1"/>
    <s v="PK"/>
    <n v="3"/>
    <n v="1"/>
    <n v="0"/>
    <n v="4"/>
  </r>
  <r>
    <x v="28"/>
    <n v="19"/>
    <n v="0"/>
    <n v="1"/>
    <s v="PK"/>
    <n v="3"/>
    <n v="1"/>
    <n v="0"/>
    <n v="4"/>
  </r>
  <r>
    <x v="28"/>
    <n v="20"/>
    <n v="0"/>
    <n v="1"/>
    <s v="PK"/>
    <n v="3"/>
    <n v="2"/>
    <n v="0"/>
    <n v="5"/>
  </r>
  <r>
    <x v="28"/>
    <n v="21"/>
    <n v="0"/>
    <n v="1"/>
    <s v="PK"/>
    <n v="3"/>
    <n v="1"/>
    <n v="0"/>
    <n v="4"/>
  </r>
  <r>
    <x v="28"/>
    <n v="22"/>
    <n v="0"/>
    <n v="1"/>
    <s v="PK"/>
    <n v="3"/>
    <n v="1"/>
    <n v="0"/>
    <n v="4"/>
  </r>
  <r>
    <x v="28"/>
    <n v="23"/>
    <n v="0"/>
    <n v="0"/>
    <s v="OP"/>
    <n v="3"/>
    <n v="1"/>
    <n v="0"/>
    <n v="4"/>
  </r>
  <r>
    <x v="28"/>
    <n v="24"/>
    <n v="0"/>
    <n v="0"/>
    <s v="OP"/>
    <n v="3"/>
    <n v="1"/>
    <n v="0"/>
    <n v="4"/>
  </r>
  <r>
    <x v="29"/>
    <n v="1"/>
    <n v="0"/>
    <n v="0"/>
    <s v="OP"/>
    <n v="2"/>
    <n v="1"/>
    <n v="0"/>
    <n v="3"/>
  </r>
  <r>
    <x v="29"/>
    <n v="2"/>
    <n v="0"/>
    <n v="0"/>
    <s v="OP"/>
    <n v="2"/>
    <n v="1"/>
    <n v="0"/>
    <n v="3"/>
  </r>
  <r>
    <x v="29"/>
    <n v="3"/>
    <n v="0"/>
    <n v="0"/>
    <s v="OP"/>
    <n v="2"/>
    <n v="1"/>
    <n v="0"/>
    <n v="3"/>
  </r>
  <r>
    <x v="29"/>
    <n v="4"/>
    <n v="0"/>
    <n v="0"/>
    <s v="OP"/>
    <n v="2"/>
    <n v="1"/>
    <n v="0"/>
    <n v="3"/>
  </r>
  <r>
    <x v="29"/>
    <n v="5"/>
    <n v="0"/>
    <n v="0"/>
    <s v="OP"/>
    <n v="2"/>
    <n v="1"/>
    <n v="0"/>
    <n v="3"/>
  </r>
  <r>
    <x v="29"/>
    <n v="6"/>
    <n v="0"/>
    <n v="0"/>
    <s v="OP"/>
    <n v="3"/>
    <n v="1"/>
    <n v="0"/>
    <n v="4"/>
  </r>
  <r>
    <x v="29"/>
    <n v="7"/>
    <n v="0"/>
    <n v="1"/>
    <s v="OP"/>
    <n v="3"/>
    <n v="1"/>
    <n v="0"/>
    <n v="4"/>
  </r>
  <r>
    <x v="29"/>
    <n v="8"/>
    <n v="0"/>
    <n v="1"/>
    <s v="OP"/>
    <n v="3"/>
    <n v="1"/>
    <n v="0"/>
    <n v="4"/>
  </r>
  <r>
    <x v="29"/>
    <n v="9"/>
    <n v="0"/>
    <n v="1"/>
    <s v="OP"/>
    <n v="3"/>
    <n v="1"/>
    <n v="0"/>
    <n v="4"/>
  </r>
  <r>
    <x v="29"/>
    <n v="10"/>
    <n v="0"/>
    <n v="1"/>
    <s v="OP"/>
    <n v="2"/>
    <n v="1"/>
    <n v="0"/>
    <n v="3"/>
  </r>
  <r>
    <x v="29"/>
    <n v="11"/>
    <n v="0"/>
    <n v="1"/>
    <s v="OP"/>
    <n v="2"/>
    <n v="1"/>
    <n v="0"/>
    <n v="3"/>
  </r>
  <r>
    <x v="29"/>
    <n v="12"/>
    <n v="0"/>
    <n v="1"/>
    <s v="OP"/>
    <n v="2"/>
    <n v="1"/>
    <n v="0"/>
    <n v="3"/>
  </r>
  <r>
    <x v="29"/>
    <n v="13"/>
    <n v="0"/>
    <n v="1"/>
    <s v="OP"/>
    <n v="2"/>
    <n v="1"/>
    <n v="0"/>
    <n v="3"/>
  </r>
  <r>
    <x v="29"/>
    <n v="14"/>
    <n v="0"/>
    <n v="1"/>
    <s v="OP"/>
    <n v="3"/>
    <n v="1"/>
    <n v="0"/>
    <n v="4"/>
  </r>
  <r>
    <x v="29"/>
    <n v="15"/>
    <n v="0"/>
    <n v="1"/>
    <s v="OP"/>
    <n v="3"/>
    <n v="1"/>
    <n v="0"/>
    <n v="4"/>
  </r>
  <r>
    <x v="29"/>
    <n v="16"/>
    <n v="0"/>
    <n v="1"/>
    <s v="OP"/>
    <n v="3"/>
    <n v="1"/>
    <n v="0"/>
    <n v="4"/>
  </r>
  <r>
    <x v="29"/>
    <n v="17"/>
    <n v="0"/>
    <n v="1"/>
    <s v="OP"/>
    <n v="3"/>
    <n v="1"/>
    <n v="0"/>
    <n v="4"/>
  </r>
  <r>
    <x v="29"/>
    <n v="18"/>
    <n v="0"/>
    <n v="1"/>
    <s v="OP"/>
    <n v="3"/>
    <n v="1"/>
    <n v="0"/>
    <n v="4"/>
  </r>
  <r>
    <x v="29"/>
    <n v="19"/>
    <n v="0"/>
    <n v="1"/>
    <s v="OP"/>
    <n v="3"/>
    <n v="1"/>
    <n v="0"/>
    <n v="4"/>
  </r>
  <r>
    <x v="29"/>
    <n v="20"/>
    <n v="0"/>
    <n v="1"/>
    <s v="OP"/>
    <n v="3"/>
    <n v="1"/>
    <n v="0"/>
    <n v="4"/>
  </r>
  <r>
    <x v="29"/>
    <n v="21"/>
    <n v="0"/>
    <n v="1"/>
    <s v="OP"/>
    <n v="3"/>
    <n v="1"/>
    <n v="0"/>
    <n v="4"/>
  </r>
  <r>
    <x v="29"/>
    <n v="22"/>
    <n v="0"/>
    <n v="1"/>
    <s v="OP"/>
    <n v="3"/>
    <n v="1"/>
    <n v="0"/>
    <n v="4"/>
  </r>
  <r>
    <x v="29"/>
    <n v="23"/>
    <n v="0"/>
    <n v="0"/>
    <s v="OP"/>
    <n v="3"/>
    <n v="1"/>
    <n v="0"/>
    <n v="4"/>
  </r>
  <r>
    <x v="29"/>
    <n v="24"/>
    <n v="0"/>
    <n v="0"/>
    <s v="OP"/>
    <n v="3"/>
    <n v="1"/>
    <n v="0"/>
    <n v="4"/>
  </r>
  <r>
    <x v="30"/>
    <n v="1"/>
    <n v="0"/>
    <n v="0"/>
    <s v="OP"/>
    <n v="2"/>
    <n v="0"/>
    <n v="0"/>
    <n v="2"/>
  </r>
  <r>
    <x v="30"/>
    <n v="2"/>
    <n v="0"/>
    <n v="0"/>
    <s v="OP"/>
    <n v="2"/>
    <n v="1"/>
    <n v="0"/>
    <n v="3"/>
  </r>
  <r>
    <x v="30"/>
    <n v="3"/>
    <n v="0"/>
    <n v="0"/>
    <s v="OP"/>
    <n v="2"/>
    <n v="1"/>
    <n v="0"/>
    <n v="3"/>
  </r>
  <r>
    <x v="30"/>
    <n v="4"/>
    <n v="0"/>
    <n v="0"/>
    <s v="OP"/>
    <n v="3"/>
    <n v="1"/>
    <n v="0"/>
    <n v="4"/>
  </r>
  <r>
    <x v="30"/>
    <n v="5"/>
    <n v="0"/>
    <n v="0"/>
    <s v="OP"/>
    <n v="3"/>
    <n v="1"/>
    <n v="0"/>
    <n v="4"/>
  </r>
  <r>
    <x v="30"/>
    <n v="6"/>
    <n v="0"/>
    <n v="0"/>
    <s v="OP"/>
    <n v="3"/>
    <n v="1"/>
    <n v="0"/>
    <n v="4"/>
  </r>
  <r>
    <x v="30"/>
    <n v="7"/>
    <n v="0"/>
    <n v="1"/>
    <s v="PK"/>
    <n v="3"/>
    <n v="1"/>
    <n v="0"/>
    <n v="4"/>
  </r>
  <r>
    <x v="30"/>
    <n v="8"/>
    <n v="0"/>
    <n v="1"/>
    <s v="PK"/>
    <n v="3"/>
    <n v="1"/>
    <n v="0"/>
    <n v="4"/>
  </r>
  <r>
    <x v="30"/>
    <n v="9"/>
    <n v="0"/>
    <n v="1"/>
    <s v="PK"/>
    <n v="3"/>
    <n v="1"/>
    <n v="0"/>
    <n v="4"/>
  </r>
  <r>
    <x v="30"/>
    <n v="10"/>
    <n v="0"/>
    <n v="1"/>
    <s v="PK"/>
    <n v="3"/>
    <n v="1"/>
    <n v="0"/>
    <n v="4"/>
  </r>
  <r>
    <x v="30"/>
    <n v="11"/>
    <n v="0"/>
    <n v="1"/>
    <s v="PK"/>
    <n v="3"/>
    <n v="1"/>
    <n v="0"/>
    <n v="4"/>
  </r>
  <r>
    <x v="30"/>
    <n v="12"/>
    <n v="0"/>
    <n v="1"/>
    <s v="PK"/>
    <n v="3"/>
    <n v="1"/>
    <n v="0"/>
    <n v="4"/>
  </r>
  <r>
    <x v="30"/>
    <n v="13"/>
    <n v="0"/>
    <n v="1"/>
    <s v="PK"/>
    <n v="3"/>
    <n v="1"/>
    <n v="0"/>
    <n v="4"/>
  </r>
  <r>
    <x v="30"/>
    <n v="14"/>
    <n v="0"/>
    <n v="1"/>
    <s v="PK"/>
    <n v="3"/>
    <n v="1"/>
    <n v="0"/>
    <n v="4"/>
  </r>
  <r>
    <x v="30"/>
    <n v="15"/>
    <n v="0"/>
    <n v="1"/>
    <s v="PK"/>
    <n v="3"/>
    <n v="1"/>
    <n v="0"/>
    <n v="4"/>
  </r>
  <r>
    <x v="30"/>
    <n v="16"/>
    <n v="0"/>
    <n v="1"/>
    <s v="PK"/>
    <n v="3"/>
    <n v="1"/>
    <n v="0"/>
    <n v="4"/>
  </r>
  <r>
    <x v="30"/>
    <n v="17"/>
    <n v="0"/>
    <n v="1"/>
    <s v="PK"/>
    <n v="3"/>
    <n v="1"/>
    <n v="0"/>
    <n v="4"/>
  </r>
  <r>
    <x v="30"/>
    <n v="18"/>
    <n v="0"/>
    <n v="1"/>
    <s v="PK"/>
    <n v="3"/>
    <n v="1"/>
    <n v="0"/>
    <n v="4"/>
  </r>
  <r>
    <x v="30"/>
    <n v="19"/>
    <n v="0"/>
    <n v="1"/>
    <s v="PK"/>
    <n v="3"/>
    <n v="1"/>
    <n v="0"/>
    <n v="4"/>
  </r>
  <r>
    <x v="30"/>
    <n v="20"/>
    <n v="0"/>
    <n v="1"/>
    <s v="PK"/>
    <n v="3"/>
    <n v="2"/>
    <n v="0"/>
    <n v="5"/>
  </r>
  <r>
    <x v="30"/>
    <n v="21"/>
    <n v="0"/>
    <n v="1"/>
    <s v="PK"/>
    <n v="3"/>
    <n v="1"/>
    <n v="0"/>
    <n v="4"/>
  </r>
  <r>
    <x v="30"/>
    <n v="22"/>
    <n v="0"/>
    <n v="1"/>
    <s v="PK"/>
    <n v="3"/>
    <n v="1"/>
    <n v="0"/>
    <n v="4"/>
  </r>
  <r>
    <x v="30"/>
    <n v="23"/>
    <n v="0"/>
    <n v="0"/>
    <s v="OP"/>
    <n v="3"/>
    <n v="1"/>
    <n v="0"/>
    <n v="4"/>
  </r>
  <r>
    <x v="30"/>
    <n v="24"/>
    <n v="0"/>
    <n v="0"/>
    <s v="OP"/>
    <n v="3"/>
    <n v="1"/>
    <n v="0"/>
    <n v="4"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  <r>
    <x v="3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3:D35" firstHeaderRow="0" firstDataRow="1" firstDataCol="1"/>
  <pivotFields count="9">
    <pivotField axis="axisRow" showAll="0">
      <items count="63">
        <item m="1" x="60"/>
        <item m="1" x="43"/>
        <item m="1" x="55"/>
        <item m="1" x="38"/>
        <item m="1" x="50"/>
        <item m="1" x="33"/>
        <item m="1" x="46"/>
        <item m="1" x="58"/>
        <item m="1" x="41"/>
        <item m="1" x="53"/>
        <item m="1" x="36"/>
        <item m="1" x="49"/>
        <item m="1" x="32"/>
        <item m="1" x="45"/>
        <item m="1" x="57"/>
        <item m="1" x="40"/>
        <item m="1" x="52"/>
        <item m="1" x="35"/>
        <item m="1" x="48"/>
        <item m="1" x="61"/>
        <item m="1" x="44"/>
        <item m="1" x="56"/>
        <item m="1" x="39"/>
        <item m="1" x="51"/>
        <item m="1" x="34"/>
        <item m="1" x="47"/>
        <item m="1" x="59"/>
        <item m="1" x="42"/>
        <item m="1" x="54"/>
        <item m="1" x="37"/>
        <item h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 defaultSubtotal="0"/>
    <pivotField dataField="1" showAll="0"/>
    <pivotField dataField="1" showAll="0"/>
    <pivotField dataField="1" showAll="0"/>
  </pivotFields>
  <rowFields count="1">
    <field x="0"/>
  </rowFields>
  <rowItems count="32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HP" fld="6" baseField="0" baseItem="1"/>
    <dataField name="Sum of WRP" fld="7" baseField="0" baseItem="1"/>
    <dataField name="Sum of Total" fld="8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A1:K1433"/>
  <sheetViews>
    <sheetView tabSelected="1" zoomScale="80" zoomScaleNormal="80" workbookViewId="0">
      <selection activeCell="G10" sqref="G10"/>
    </sheetView>
  </sheetViews>
  <sheetFormatPr defaultColWidth="9.109375" defaultRowHeight="13.2" x14ac:dyDescent="0.25"/>
  <cols>
    <col min="1" max="1" width="16" style="1" customWidth="1"/>
    <col min="2" max="2" width="17.109375" style="1" customWidth="1"/>
    <col min="3" max="3" width="19" style="1" customWidth="1"/>
    <col min="4" max="4" width="21.109375" style="1" customWidth="1"/>
    <col min="5" max="5" width="4.88671875" style="1" customWidth="1"/>
    <col min="6" max="6" width="4.6640625" style="1" customWidth="1"/>
    <col min="7" max="7" width="13.88671875" style="1" bestFit="1" customWidth="1"/>
    <col min="8" max="8" width="14.33203125" style="1" bestFit="1" customWidth="1"/>
    <col min="9" max="9" width="9.109375" style="1" customWidth="1"/>
    <col min="10" max="10" width="13.88671875" style="166" bestFit="1" customWidth="1"/>
    <col min="11" max="16384" width="9.109375" style="1"/>
  </cols>
  <sheetData>
    <row r="1" spans="1:11" s="2" customFormat="1" x14ac:dyDescent="0.25">
      <c r="A1" s="1" t="s">
        <v>0</v>
      </c>
      <c r="C1" s="133">
        <f>SUM(C7:C726)</f>
        <v>2792.0379999999996</v>
      </c>
      <c r="D1" s="4" t="s">
        <v>1</v>
      </c>
      <c r="J1" s="165"/>
    </row>
    <row r="2" spans="1:11" s="2" customFormat="1" x14ac:dyDescent="0.25">
      <c r="B2" s="1"/>
      <c r="C2" s="3"/>
      <c r="D2" s="5" t="s">
        <v>2</v>
      </c>
      <c r="J2" s="165"/>
    </row>
    <row r="3" spans="1:11" s="2" customFormat="1" ht="14.4" x14ac:dyDescent="0.25">
      <c r="B3" s="1"/>
      <c r="C3" s="6" t="s">
        <v>3</v>
      </c>
      <c r="D3" s="7">
        <v>0</v>
      </c>
      <c r="J3" s="165"/>
    </row>
    <row r="4" spans="1:11" ht="14.4" x14ac:dyDescent="0.25">
      <c r="C4" s="6" t="s">
        <v>4</v>
      </c>
      <c r="D4" s="8">
        <v>0</v>
      </c>
    </row>
    <row r="5" spans="1:11" s="2" customFormat="1" ht="39.6" x14ac:dyDescent="0.25">
      <c r="A5" s="9" t="s">
        <v>5</v>
      </c>
      <c r="B5" s="9" t="s">
        <v>6</v>
      </c>
      <c r="C5" s="10" t="s">
        <v>7</v>
      </c>
      <c r="D5" s="131">
        <f>SUM(D7:D726)</f>
        <v>2792038</v>
      </c>
      <c r="G5" s="9" t="s">
        <v>5</v>
      </c>
      <c r="H5" s="9" t="s">
        <v>6</v>
      </c>
      <c r="I5" s="6"/>
      <c r="J5" s="167" t="s">
        <v>8</v>
      </c>
    </row>
    <row r="6" spans="1:11" s="11" customFormat="1" ht="14.4" x14ac:dyDescent="0.3">
      <c r="J6" s="168"/>
    </row>
    <row r="7" spans="1:11" ht="14.4" x14ac:dyDescent="0.3">
      <c r="A7" s="12">
        <v>45748</v>
      </c>
      <c r="B7" s="12">
        <f>$A7+1/24</f>
        <v>45748.041666666664</v>
      </c>
      <c r="C7" s="13">
        <f>SUM(D7)/1000</f>
        <v>3.3109999999999999</v>
      </c>
      <c r="D7" s="14">
        <f>J7*(1+$D$3)*(1+$D$4)</f>
        <v>3311</v>
      </c>
      <c r="G7" s="12">
        <f>A7</f>
        <v>45748</v>
      </c>
      <c r="H7" s="12">
        <f>B7</f>
        <v>45748.041666666664</v>
      </c>
      <c r="I7" s="132"/>
      <c r="J7" s="169">
        <v>3311</v>
      </c>
      <c r="K7" s="175"/>
    </row>
    <row r="8" spans="1:11" ht="14.4" x14ac:dyDescent="0.3">
      <c r="A8" s="12">
        <f>$A7+1/24</f>
        <v>45748.041666666664</v>
      </c>
      <c r="B8" s="12">
        <f t="shared" ref="B8:B71" si="0">$A8+1/24</f>
        <v>45748.083333333328</v>
      </c>
      <c r="C8" s="13">
        <f t="shared" ref="C8:C71" si="1">SUM(D8)/1000</f>
        <v>3.3</v>
      </c>
      <c r="D8" s="14">
        <f t="shared" ref="D8:D70" si="2">J8*(1+$D$3)*(1+$D$4)</f>
        <v>3300</v>
      </c>
      <c r="G8" s="12">
        <f t="shared" ref="G8:G71" si="3">A8</f>
        <v>45748.041666666664</v>
      </c>
      <c r="H8" s="12">
        <f t="shared" ref="H8:H71" si="4">B8</f>
        <v>45748.083333333328</v>
      </c>
      <c r="I8" s="132"/>
      <c r="J8" s="169">
        <v>3300</v>
      </c>
      <c r="K8" s="175"/>
    </row>
    <row r="9" spans="1:11" ht="14.4" x14ac:dyDescent="0.3">
      <c r="A9" s="12">
        <f t="shared" ref="A9:A72" si="5">$A8+1/24</f>
        <v>45748.083333333328</v>
      </c>
      <c r="B9" s="12">
        <f t="shared" si="0"/>
        <v>45748.124999999993</v>
      </c>
      <c r="C9" s="13">
        <f t="shared" si="1"/>
        <v>3.367</v>
      </c>
      <c r="D9" s="14">
        <f t="shared" si="2"/>
        <v>3367</v>
      </c>
      <c r="G9" s="12">
        <f t="shared" si="3"/>
        <v>45748.083333333328</v>
      </c>
      <c r="H9" s="12">
        <f t="shared" si="4"/>
        <v>45748.124999999993</v>
      </c>
      <c r="I9" s="132"/>
      <c r="J9" s="169">
        <v>3367</v>
      </c>
      <c r="K9" s="175"/>
    </row>
    <row r="10" spans="1:11" ht="14.4" x14ac:dyDescent="0.3">
      <c r="A10" s="12">
        <f t="shared" si="5"/>
        <v>45748.124999999993</v>
      </c>
      <c r="B10" s="12">
        <f t="shared" si="0"/>
        <v>45748.166666666657</v>
      </c>
      <c r="C10" s="13">
        <f t="shared" si="1"/>
        <v>3.49</v>
      </c>
      <c r="D10" s="14">
        <f t="shared" si="2"/>
        <v>3490</v>
      </c>
      <c r="G10" s="12">
        <f t="shared" si="3"/>
        <v>45748.124999999993</v>
      </c>
      <c r="H10" s="12">
        <f t="shared" si="4"/>
        <v>45748.166666666657</v>
      </c>
      <c r="I10" s="132"/>
      <c r="J10" s="169">
        <v>3490</v>
      </c>
      <c r="K10" s="175"/>
    </row>
    <row r="11" spans="1:11" ht="14.4" x14ac:dyDescent="0.3">
      <c r="A11" s="12">
        <f t="shared" si="5"/>
        <v>45748.166666666657</v>
      </c>
      <c r="B11" s="12">
        <f t="shared" si="0"/>
        <v>45748.208333333321</v>
      </c>
      <c r="C11" s="13">
        <f t="shared" si="1"/>
        <v>3.7629999999999999</v>
      </c>
      <c r="D11" s="14">
        <f t="shared" si="2"/>
        <v>3763</v>
      </c>
      <c r="G11" s="12">
        <f t="shared" si="3"/>
        <v>45748.166666666657</v>
      </c>
      <c r="H11" s="12">
        <f t="shared" si="4"/>
        <v>45748.208333333321</v>
      </c>
      <c r="I11" s="132"/>
      <c r="J11" s="169">
        <v>3763</v>
      </c>
      <c r="K11" s="175"/>
    </row>
    <row r="12" spans="1:11" ht="14.4" x14ac:dyDescent="0.3">
      <c r="A12" s="12">
        <f t="shared" si="5"/>
        <v>45748.208333333321</v>
      </c>
      <c r="B12" s="12">
        <f t="shared" si="0"/>
        <v>45748.249999999985</v>
      </c>
      <c r="C12" s="13">
        <f t="shared" si="1"/>
        <v>4.4569999999999999</v>
      </c>
      <c r="D12" s="14">
        <f>J12*(1+$D$3)*(1+$D$4)</f>
        <v>4457</v>
      </c>
      <c r="G12" s="12">
        <f t="shared" si="3"/>
        <v>45748.208333333321</v>
      </c>
      <c r="H12" s="12">
        <f t="shared" si="4"/>
        <v>45748.249999999985</v>
      </c>
      <c r="I12" s="132"/>
      <c r="J12" s="169">
        <v>4457</v>
      </c>
      <c r="K12" s="175"/>
    </row>
    <row r="13" spans="1:11" ht="14.4" x14ac:dyDescent="0.3">
      <c r="A13" s="12">
        <f t="shared" si="5"/>
        <v>45748.249999999985</v>
      </c>
      <c r="B13" s="12">
        <f t="shared" si="0"/>
        <v>45748.29166666665</v>
      </c>
      <c r="C13" s="13">
        <f>SUM(D13)/1000</f>
        <v>4.7210000000000001</v>
      </c>
      <c r="D13" s="14">
        <f t="shared" si="2"/>
        <v>4721</v>
      </c>
      <c r="G13" s="12">
        <f t="shared" si="3"/>
        <v>45748.249999999985</v>
      </c>
      <c r="H13" s="12">
        <f t="shared" si="4"/>
        <v>45748.29166666665</v>
      </c>
      <c r="I13" s="132"/>
      <c r="J13" s="169">
        <v>4721</v>
      </c>
      <c r="K13" s="175"/>
    </row>
    <row r="14" spans="1:11" ht="14.4" x14ac:dyDescent="0.3">
      <c r="A14" s="12">
        <f t="shared" si="5"/>
        <v>45748.29166666665</v>
      </c>
      <c r="B14" s="12">
        <f t="shared" si="0"/>
        <v>45748.333333333314</v>
      </c>
      <c r="C14" s="13">
        <f t="shared" si="1"/>
        <v>4.806</v>
      </c>
      <c r="D14" s="14">
        <f t="shared" si="2"/>
        <v>4806</v>
      </c>
      <c r="G14" s="12">
        <f t="shared" si="3"/>
        <v>45748.29166666665</v>
      </c>
      <c r="H14" s="12">
        <f t="shared" si="4"/>
        <v>45748.333333333314</v>
      </c>
      <c r="I14" s="132"/>
      <c r="J14" s="169">
        <v>4806</v>
      </c>
      <c r="K14" s="175"/>
    </row>
    <row r="15" spans="1:11" ht="14.4" x14ac:dyDescent="0.3">
      <c r="A15" s="12">
        <f t="shared" si="5"/>
        <v>45748.333333333314</v>
      </c>
      <c r="B15" s="12">
        <f t="shared" si="0"/>
        <v>45748.374999999978</v>
      </c>
      <c r="C15" s="13">
        <f t="shared" si="1"/>
        <v>5.0140000000000002</v>
      </c>
      <c r="D15" s="14">
        <f t="shared" si="2"/>
        <v>5014</v>
      </c>
      <c r="G15" s="12">
        <f t="shared" si="3"/>
        <v>45748.333333333314</v>
      </c>
      <c r="H15" s="12">
        <f t="shared" si="4"/>
        <v>45748.374999999978</v>
      </c>
      <c r="I15" s="132"/>
      <c r="J15" s="169">
        <v>5014</v>
      </c>
      <c r="K15" s="175"/>
    </row>
    <row r="16" spans="1:11" ht="14.4" x14ac:dyDescent="0.3">
      <c r="A16" s="12">
        <f t="shared" si="5"/>
        <v>45748.374999999978</v>
      </c>
      <c r="B16" s="12">
        <f t="shared" si="0"/>
        <v>45748.416666666642</v>
      </c>
      <c r="C16" s="13">
        <f t="shared" si="1"/>
        <v>5.1619999999999999</v>
      </c>
      <c r="D16" s="14">
        <f t="shared" si="2"/>
        <v>5162</v>
      </c>
      <c r="G16" s="12">
        <f t="shared" si="3"/>
        <v>45748.374999999978</v>
      </c>
      <c r="H16" s="12">
        <f t="shared" si="4"/>
        <v>45748.416666666642</v>
      </c>
      <c r="I16" s="132"/>
      <c r="J16" s="169">
        <v>5162</v>
      </c>
      <c r="K16" s="175"/>
    </row>
    <row r="17" spans="1:11" ht="14.4" x14ac:dyDescent="0.3">
      <c r="A17" s="12">
        <f t="shared" si="5"/>
        <v>45748.416666666642</v>
      </c>
      <c r="B17" s="12">
        <f t="shared" si="0"/>
        <v>45748.458333333307</v>
      </c>
      <c r="C17" s="13">
        <f t="shared" si="1"/>
        <v>4.7510000000000003</v>
      </c>
      <c r="D17" s="14">
        <f t="shared" si="2"/>
        <v>4751</v>
      </c>
      <c r="G17" s="12">
        <f t="shared" si="3"/>
        <v>45748.416666666642</v>
      </c>
      <c r="H17" s="12">
        <f t="shared" si="4"/>
        <v>45748.458333333307</v>
      </c>
      <c r="I17" s="132"/>
      <c r="J17" s="169">
        <v>4751</v>
      </c>
      <c r="K17" s="175"/>
    </row>
    <row r="18" spans="1:11" ht="14.4" x14ac:dyDescent="0.3">
      <c r="A18" s="12">
        <f t="shared" si="5"/>
        <v>45748.458333333307</v>
      </c>
      <c r="B18" s="12">
        <f t="shared" si="0"/>
        <v>45748.499999999971</v>
      </c>
      <c r="C18" s="13">
        <f t="shared" si="1"/>
        <v>4.2539999999999996</v>
      </c>
      <c r="D18" s="14">
        <f t="shared" si="2"/>
        <v>4254</v>
      </c>
      <c r="G18" s="12">
        <f t="shared" si="3"/>
        <v>45748.458333333307</v>
      </c>
      <c r="H18" s="12">
        <f t="shared" si="4"/>
        <v>45748.499999999971</v>
      </c>
      <c r="I18" s="132"/>
      <c r="J18" s="169">
        <v>4254</v>
      </c>
      <c r="K18" s="175"/>
    </row>
    <row r="19" spans="1:11" ht="14.4" x14ac:dyDescent="0.3">
      <c r="A19" s="12">
        <f t="shared" si="5"/>
        <v>45748.499999999971</v>
      </c>
      <c r="B19" s="12">
        <f t="shared" si="0"/>
        <v>45748.541666666635</v>
      </c>
      <c r="C19" s="13">
        <f t="shared" si="1"/>
        <v>3.9489999999999998</v>
      </c>
      <c r="D19" s="14">
        <f t="shared" si="2"/>
        <v>3949</v>
      </c>
      <c r="G19" s="12">
        <f t="shared" si="3"/>
        <v>45748.499999999971</v>
      </c>
      <c r="H19" s="12">
        <f t="shared" si="4"/>
        <v>45748.541666666635</v>
      </c>
      <c r="I19" s="132"/>
      <c r="J19" s="169">
        <v>3949</v>
      </c>
      <c r="K19" s="175"/>
    </row>
    <row r="20" spans="1:11" ht="14.4" x14ac:dyDescent="0.3">
      <c r="A20" s="12">
        <f t="shared" si="5"/>
        <v>45748.541666666635</v>
      </c>
      <c r="B20" s="12">
        <f t="shared" si="0"/>
        <v>45748.583333333299</v>
      </c>
      <c r="C20" s="13">
        <f t="shared" si="1"/>
        <v>4.2690000000000001</v>
      </c>
      <c r="D20" s="14">
        <f t="shared" si="2"/>
        <v>4269</v>
      </c>
      <c r="G20" s="12">
        <f t="shared" si="3"/>
        <v>45748.541666666635</v>
      </c>
      <c r="H20" s="12">
        <f t="shared" si="4"/>
        <v>45748.583333333299</v>
      </c>
      <c r="I20" s="132"/>
      <c r="J20" s="169">
        <v>4269</v>
      </c>
      <c r="K20" s="175"/>
    </row>
    <row r="21" spans="1:11" ht="14.4" x14ac:dyDescent="0.3">
      <c r="A21" s="12">
        <f t="shared" si="5"/>
        <v>45748.583333333299</v>
      </c>
      <c r="B21" s="12">
        <f t="shared" si="0"/>
        <v>45748.624999999964</v>
      </c>
      <c r="C21" s="13">
        <f t="shared" si="1"/>
        <v>4.5369999999999999</v>
      </c>
      <c r="D21" s="14">
        <f t="shared" si="2"/>
        <v>4537</v>
      </c>
      <c r="G21" s="12">
        <f t="shared" si="3"/>
        <v>45748.583333333299</v>
      </c>
      <c r="H21" s="12">
        <f t="shared" si="4"/>
        <v>45748.624999999964</v>
      </c>
      <c r="I21" s="132"/>
      <c r="J21" s="169">
        <v>4537</v>
      </c>
      <c r="K21" s="175"/>
    </row>
    <row r="22" spans="1:11" ht="14.4" x14ac:dyDescent="0.3">
      <c r="A22" s="12">
        <f t="shared" si="5"/>
        <v>45748.624999999964</v>
      </c>
      <c r="B22" s="12">
        <f t="shared" si="0"/>
        <v>45748.666666666628</v>
      </c>
      <c r="C22" s="13">
        <f t="shared" si="1"/>
        <v>4.3440000000000003</v>
      </c>
      <c r="D22" s="14">
        <f t="shared" si="2"/>
        <v>4344</v>
      </c>
      <c r="G22" s="12">
        <f t="shared" si="3"/>
        <v>45748.624999999964</v>
      </c>
      <c r="H22" s="12">
        <f t="shared" si="4"/>
        <v>45748.666666666628</v>
      </c>
      <c r="I22" s="132"/>
      <c r="J22" s="169">
        <v>4344</v>
      </c>
      <c r="K22" s="175"/>
    </row>
    <row r="23" spans="1:11" ht="14.4" x14ac:dyDescent="0.3">
      <c r="A23" s="12">
        <f t="shared" si="5"/>
        <v>45748.666666666628</v>
      </c>
      <c r="B23" s="12">
        <f t="shared" si="0"/>
        <v>45748.708333333292</v>
      </c>
      <c r="C23" s="13">
        <f t="shared" si="1"/>
        <v>4.4349999999999996</v>
      </c>
      <c r="D23" s="14">
        <f t="shared" si="2"/>
        <v>4435</v>
      </c>
      <c r="G23" s="12">
        <f t="shared" si="3"/>
        <v>45748.666666666628</v>
      </c>
      <c r="H23" s="12">
        <f t="shared" si="4"/>
        <v>45748.708333333292</v>
      </c>
      <c r="I23" s="132"/>
      <c r="J23" s="169">
        <v>4435</v>
      </c>
      <c r="K23" s="175"/>
    </row>
    <row r="24" spans="1:11" ht="14.4" x14ac:dyDescent="0.3">
      <c r="A24" s="12">
        <f t="shared" si="5"/>
        <v>45748.708333333292</v>
      </c>
      <c r="B24" s="12">
        <f t="shared" si="0"/>
        <v>45748.749999999956</v>
      </c>
      <c r="C24" s="13">
        <f t="shared" si="1"/>
        <v>4.4800000000000004</v>
      </c>
      <c r="D24" s="14">
        <f t="shared" si="2"/>
        <v>4480</v>
      </c>
      <c r="G24" s="12">
        <f t="shared" si="3"/>
        <v>45748.708333333292</v>
      </c>
      <c r="H24" s="12">
        <f t="shared" si="4"/>
        <v>45748.749999999956</v>
      </c>
      <c r="I24" s="132"/>
      <c r="J24" s="169">
        <v>4480</v>
      </c>
      <c r="K24" s="175"/>
    </row>
    <row r="25" spans="1:11" ht="14.4" x14ac:dyDescent="0.3">
      <c r="A25" s="12">
        <f t="shared" si="5"/>
        <v>45748.749999999956</v>
      </c>
      <c r="B25" s="12">
        <f t="shared" si="0"/>
        <v>45748.791666666621</v>
      </c>
      <c r="C25" s="13">
        <f t="shared" si="1"/>
        <v>4.6609999999999996</v>
      </c>
      <c r="D25" s="14">
        <f t="shared" si="2"/>
        <v>4661</v>
      </c>
      <c r="G25" s="12">
        <f t="shared" si="3"/>
        <v>45748.749999999956</v>
      </c>
      <c r="H25" s="12">
        <f t="shared" si="4"/>
        <v>45748.791666666621</v>
      </c>
      <c r="I25" s="132"/>
      <c r="J25" s="169">
        <v>4661</v>
      </c>
      <c r="K25" s="175"/>
    </row>
    <row r="26" spans="1:11" ht="14.4" x14ac:dyDescent="0.3">
      <c r="A26" s="12">
        <f t="shared" si="5"/>
        <v>45748.791666666621</v>
      </c>
      <c r="B26" s="12">
        <f t="shared" si="0"/>
        <v>45748.833333333285</v>
      </c>
      <c r="C26" s="13">
        <f t="shared" si="1"/>
        <v>4.8369999999999997</v>
      </c>
      <c r="D26" s="14">
        <f t="shared" si="2"/>
        <v>4837</v>
      </c>
      <c r="G26" s="12">
        <f t="shared" si="3"/>
        <v>45748.791666666621</v>
      </c>
      <c r="H26" s="12">
        <f t="shared" si="4"/>
        <v>45748.833333333285</v>
      </c>
      <c r="I26" s="132"/>
      <c r="J26" s="169">
        <v>4837</v>
      </c>
      <c r="K26" s="175"/>
    </row>
    <row r="27" spans="1:11" ht="14.4" x14ac:dyDescent="0.3">
      <c r="A27" s="12">
        <f t="shared" si="5"/>
        <v>45748.833333333285</v>
      </c>
      <c r="B27" s="12">
        <f t="shared" si="0"/>
        <v>45748.874999999949</v>
      </c>
      <c r="C27" s="13">
        <f t="shared" si="1"/>
        <v>4.6369999999999996</v>
      </c>
      <c r="D27" s="14">
        <f t="shared" si="2"/>
        <v>4637</v>
      </c>
      <c r="G27" s="12">
        <f t="shared" si="3"/>
        <v>45748.833333333285</v>
      </c>
      <c r="H27" s="12">
        <f t="shared" si="4"/>
        <v>45748.874999999949</v>
      </c>
      <c r="I27" s="132"/>
      <c r="J27" s="169">
        <v>4637</v>
      </c>
      <c r="K27" s="175"/>
    </row>
    <row r="28" spans="1:11" ht="14.4" x14ac:dyDescent="0.3">
      <c r="A28" s="12">
        <f t="shared" si="5"/>
        <v>45748.874999999949</v>
      </c>
      <c r="B28" s="12">
        <f t="shared" si="0"/>
        <v>45748.916666666613</v>
      </c>
      <c r="C28" s="13">
        <f t="shared" si="1"/>
        <v>4.3259999999999996</v>
      </c>
      <c r="D28" s="14">
        <f t="shared" si="2"/>
        <v>4326</v>
      </c>
      <c r="G28" s="12">
        <f t="shared" si="3"/>
        <v>45748.874999999949</v>
      </c>
      <c r="H28" s="12">
        <f t="shared" si="4"/>
        <v>45748.916666666613</v>
      </c>
      <c r="I28" s="132"/>
      <c r="J28" s="169">
        <v>4326</v>
      </c>
      <c r="K28" s="175"/>
    </row>
    <row r="29" spans="1:11" ht="14.4" x14ac:dyDescent="0.3">
      <c r="A29" s="12">
        <f t="shared" si="5"/>
        <v>45748.916666666613</v>
      </c>
      <c r="B29" s="12">
        <f t="shared" si="0"/>
        <v>45748.958333333278</v>
      </c>
      <c r="C29" s="13">
        <f t="shared" si="1"/>
        <v>4.0750000000000002</v>
      </c>
      <c r="D29" s="14">
        <f t="shared" si="2"/>
        <v>4075</v>
      </c>
      <c r="G29" s="12">
        <f t="shared" si="3"/>
        <v>45748.916666666613</v>
      </c>
      <c r="H29" s="12">
        <f t="shared" si="4"/>
        <v>45748.958333333278</v>
      </c>
      <c r="I29" s="132"/>
      <c r="J29" s="169">
        <v>4075</v>
      </c>
      <c r="K29" s="175"/>
    </row>
    <row r="30" spans="1:11" ht="14.4" x14ac:dyDescent="0.3">
      <c r="A30" s="12">
        <f t="shared" si="5"/>
        <v>45748.958333333278</v>
      </c>
      <c r="B30" s="12">
        <f t="shared" si="0"/>
        <v>45748.999999999942</v>
      </c>
      <c r="C30" s="13">
        <f t="shared" si="1"/>
        <v>3.923</v>
      </c>
      <c r="D30" s="14">
        <f t="shared" si="2"/>
        <v>3923</v>
      </c>
      <c r="G30" s="12">
        <f t="shared" si="3"/>
        <v>45748.958333333278</v>
      </c>
      <c r="H30" s="12">
        <f t="shared" si="4"/>
        <v>45748.999999999942</v>
      </c>
      <c r="I30" s="132"/>
      <c r="J30" s="169">
        <v>3923</v>
      </c>
      <c r="K30" s="175"/>
    </row>
    <row r="31" spans="1:11" ht="14.4" x14ac:dyDescent="0.3">
      <c r="A31" s="12">
        <f t="shared" si="5"/>
        <v>45748.999999999942</v>
      </c>
      <c r="B31" s="12">
        <f t="shared" si="0"/>
        <v>45749.041666666606</v>
      </c>
      <c r="C31" s="13">
        <f t="shared" si="1"/>
        <v>3.9129999999999998</v>
      </c>
      <c r="D31" s="14">
        <f t="shared" si="2"/>
        <v>3913</v>
      </c>
      <c r="G31" s="12">
        <f t="shared" si="3"/>
        <v>45748.999999999942</v>
      </c>
      <c r="H31" s="12">
        <f t="shared" si="4"/>
        <v>45749.041666666606</v>
      </c>
      <c r="I31" s="132"/>
      <c r="J31" s="169">
        <v>3913</v>
      </c>
      <c r="K31" s="175"/>
    </row>
    <row r="32" spans="1:11" ht="14.4" x14ac:dyDescent="0.3">
      <c r="A32" s="12">
        <f t="shared" si="5"/>
        <v>45749.041666666606</v>
      </c>
      <c r="B32" s="12">
        <f t="shared" si="0"/>
        <v>45749.08333333327</v>
      </c>
      <c r="C32" s="13">
        <f t="shared" si="1"/>
        <v>3.9359999999999999</v>
      </c>
      <c r="D32" s="14">
        <f t="shared" si="2"/>
        <v>3936</v>
      </c>
      <c r="G32" s="12">
        <f t="shared" si="3"/>
        <v>45749.041666666606</v>
      </c>
      <c r="H32" s="12">
        <f t="shared" si="4"/>
        <v>45749.08333333327</v>
      </c>
      <c r="I32" s="132"/>
      <c r="J32" s="169">
        <v>3936</v>
      </c>
      <c r="K32" s="175"/>
    </row>
    <row r="33" spans="1:11" ht="14.4" x14ac:dyDescent="0.3">
      <c r="A33" s="12">
        <f t="shared" si="5"/>
        <v>45749.08333333327</v>
      </c>
      <c r="B33" s="12">
        <f t="shared" si="0"/>
        <v>45749.124999999935</v>
      </c>
      <c r="C33" s="13">
        <f t="shared" si="1"/>
        <v>4.0279999999999996</v>
      </c>
      <c r="D33" s="14">
        <f t="shared" si="2"/>
        <v>4028</v>
      </c>
      <c r="G33" s="12">
        <f t="shared" si="3"/>
        <v>45749.08333333327</v>
      </c>
      <c r="H33" s="12">
        <f t="shared" si="4"/>
        <v>45749.124999999935</v>
      </c>
      <c r="I33" s="132"/>
      <c r="J33" s="169">
        <v>4028</v>
      </c>
      <c r="K33" s="175"/>
    </row>
    <row r="34" spans="1:11" ht="14.4" x14ac:dyDescent="0.3">
      <c r="A34" s="12">
        <f t="shared" si="5"/>
        <v>45749.124999999935</v>
      </c>
      <c r="B34" s="12">
        <f t="shared" si="0"/>
        <v>45749.166666666599</v>
      </c>
      <c r="C34" s="13">
        <f t="shared" si="1"/>
        <v>4.2130000000000001</v>
      </c>
      <c r="D34" s="14">
        <f t="shared" si="2"/>
        <v>4213</v>
      </c>
      <c r="G34" s="12">
        <f t="shared" si="3"/>
        <v>45749.124999999935</v>
      </c>
      <c r="H34" s="12">
        <f t="shared" si="4"/>
        <v>45749.166666666599</v>
      </c>
      <c r="I34" s="132"/>
      <c r="J34" s="169">
        <v>4213</v>
      </c>
      <c r="K34" s="175"/>
    </row>
    <row r="35" spans="1:11" ht="14.4" x14ac:dyDescent="0.3">
      <c r="A35" s="12">
        <f t="shared" si="5"/>
        <v>45749.166666666599</v>
      </c>
      <c r="B35" s="12">
        <f t="shared" si="0"/>
        <v>45749.208333333263</v>
      </c>
      <c r="C35" s="13">
        <f t="shared" si="1"/>
        <v>4.6070000000000002</v>
      </c>
      <c r="D35" s="14">
        <f t="shared" si="2"/>
        <v>4607</v>
      </c>
      <c r="G35" s="12">
        <f t="shared" si="3"/>
        <v>45749.166666666599</v>
      </c>
      <c r="H35" s="12">
        <f t="shared" si="4"/>
        <v>45749.208333333263</v>
      </c>
      <c r="I35" s="132"/>
      <c r="J35" s="169">
        <v>4607</v>
      </c>
      <c r="K35" s="175"/>
    </row>
    <row r="36" spans="1:11" ht="14.4" x14ac:dyDescent="0.3">
      <c r="A36" s="12">
        <f t="shared" si="5"/>
        <v>45749.208333333263</v>
      </c>
      <c r="B36" s="12">
        <f t="shared" si="0"/>
        <v>45749.249999999927</v>
      </c>
      <c r="C36" s="13">
        <f t="shared" si="1"/>
        <v>5.2779999999999996</v>
      </c>
      <c r="D36" s="14">
        <f t="shared" si="2"/>
        <v>5278</v>
      </c>
      <c r="G36" s="12">
        <f t="shared" si="3"/>
        <v>45749.208333333263</v>
      </c>
      <c r="H36" s="12">
        <f t="shared" si="4"/>
        <v>45749.249999999927</v>
      </c>
      <c r="I36" s="132"/>
      <c r="J36" s="169">
        <v>5278</v>
      </c>
      <c r="K36" s="175"/>
    </row>
    <row r="37" spans="1:11" ht="14.4" x14ac:dyDescent="0.3">
      <c r="A37" s="12">
        <f t="shared" si="5"/>
        <v>45749.249999999927</v>
      </c>
      <c r="B37" s="12">
        <f t="shared" si="0"/>
        <v>45749.291666666591</v>
      </c>
      <c r="C37" s="13">
        <f t="shared" si="1"/>
        <v>5.4950000000000001</v>
      </c>
      <c r="D37" s="14">
        <f t="shared" si="2"/>
        <v>5495</v>
      </c>
      <c r="G37" s="12">
        <f t="shared" si="3"/>
        <v>45749.249999999927</v>
      </c>
      <c r="H37" s="12">
        <f t="shared" si="4"/>
        <v>45749.291666666591</v>
      </c>
      <c r="I37" s="132"/>
      <c r="J37" s="169">
        <v>5495</v>
      </c>
      <c r="K37" s="175"/>
    </row>
    <row r="38" spans="1:11" ht="14.4" x14ac:dyDescent="0.3">
      <c r="A38" s="12">
        <f t="shared" si="5"/>
        <v>45749.291666666591</v>
      </c>
      <c r="B38" s="12">
        <f t="shared" si="0"/>
        <v>45749.333333333256</v>
      </c>
      <c r="C38" s="13">
        <f t="shared" si="1"/>
        <v>5.2030000000000003</v>
      </c>
      <c r="D38" s="14">
        <f t="shared" si="2"/>
        <v>5203</v>
      </c>
      <c r="G38" s="12">
        <f t="shared" si="3"/>
        <v>45749.291666666591</v>
      </c>
      <c r="H38" s="12">
        <f t="shared" si="4"/>
        <v>45749.333333333256</v>
      </c>
      <c r="I38" s="132"/>
      <c r="J38" s="169">
        <v>5203</v>
      </c>
      <c r="K38" s="175"/>
    </row>
    <row r="39" spans="1:11" ht="14.4" x14ac:dyDescent="0.3">
      <c r="A39" s="12">
        <f t="shared" si="5"/>
        <v>45749.333333333256</v>
      </c>
      <c r="B39" s="12">
        <f t="shared" si="0"/>
        <v>45749.37499999992</v>
      </c>
      <c r="C39" s="13">
        <f t="shared" si="1"/>
        <v>4.9290000000000003</v>
      </c>
      <c r="D39" s="14">
        <f t="shared" si="2"/>
        <v>4929</v>
      </c>
      <c r="G39" s="12">
        <f t="shared" si="3"/>
        <v>45749.333333333256</v>
      </c>
      <c r="H39" s="12">
        <f t="shared" si="4"/>
        <v>45749.37499999992</v>
      </c>
      <c r="I39" s="132"/>
      <c r="J39" s="169">
        <v>4929</v>
      </c>
      <c r="K39" s="175"/>
    </row>
    <row r="40" spans="1:11" ht="14.4" x14ac:dyDescent="0.3">
      <c r="A40" s="12">
        <f t="shared" si="5"/>
        <v>45749.37499999992</v>
      </c>
      <c r="B40" s="12">
        <f t="shared" si="0"/>
        <v>45749.416666666584</v>
      </c>
      <c r="C40" s="13">
        <f t="shared" si="1"/>
        <v>4.4740000000000002</v>
      </c>
      <c r="D40" s="14">
        <f t="shared" si="2"/>
        <v>4474</v>
      </c>
      <c r="G40" s="12">
        <f t="shared" si="3"/>
        <v>45749.37499999992</v>
      </c>
      <c r="H40" s="12">
        <f t="shared" si="4"/>
        <v>45749.416666666584</v>
      </c>
      <c r="I40" s="132"/>
      <c r="J40" s="169">
        <v>4474</v>
      </c>
      <c r="K40" s="175"/>
    </row>
    <row r="41" spans="1:11" ht="14.4" x14ac:dyDescent="0.3">
      <c r="A41" s="12">
        <f t="shared" si="5"/>
        <v>45749.416666666584</v>
      </c>
      <c r="B41" s="12">
        <f t="shared" si="0"/>
        <v>45749.458333333248</v>
      </c>
      <c r="C41" s="13">
        <f t="shared" si="1"/>
        <v>4.202</v>
      </c>
      <c r="D41" s="14">
        <f t="shared" si="2"/>
        <v>4202</v>
      </c>
      <c r="G41" s="12">
        <f t="shared" si="3"/>
        <v>45749.416666666584</v>
      </c>
      <c r="H41" s="12">
        <f t="shared" si="4"/>
        <v>45749.458333333248</v>
      </c>
      <c r="I41" s="132"/>
      <c r="J41" s="169">
        <v>4202</v>
      </c>
      <c r="K41" s="175"/>
    </row>
    <row r="42" spans="1:11" ht="14.4" x14ac:dyDescent="0.3">
      <c r="A42" s="12">
        <f t="shared" si="5"/>
        <v>45749.458333333248</v>
      </c>
      <c r="B42" s="12">
        <f t="shared" si="0"/>
        <v>45749.499999999913</v>
      </c>
      <c r="C42" s="13">
        <f t="shared" si="1"/>
        <v>3.9340000000000002</v>
      </c>
      <c r="D42" s="14">
        <f t="shared" si="2"/>
        <v>3934</v>
      </c>
      <c r="G42" s="12">
        <f t="shared" si="3"/>
        <v>45749.458333333248</v>
      </c>
      <c r="H42" s="12">
        <f t="shared" si="4"/>
        <v>45749.499999999913</v>
      </c>
      <c r="I42" s="132"/>
      <c r="J42" s="169">
        <v>3934</v>
      </c>
      <c r="K42" s="175"/>
    </row>
    <row r="43" spans="1:11" ht="14.4" x14ac:dyDescent="0.3">
      <c r="A43" s="12">
        <f t="shared" si="5"/>
        <v>45749.499999999913</v>
      </c>
      <c r="B43" s="12">
        <f t="shared" si="0"/>
        <v>45749.541666666577</v>
      </c>
      <c r="C43" s="13">
        <f t="shared" si="1"/>
        <v>4.0039999999999996</v>
      </c>
      <c r="D43" s="14">
        <f t="shared" si="2"/>
        <v>4004</v>
      </c>
      <c r="G43" s="12">
        <f t="shared" si="3"/>
        <v>45749.499999999913</v>
      </c>
      <c r="H43" s="12">
        <f t="shared" si="4"/>
        <v>45749.541666666577</v>
      </c>
      <c r="I43" s="132"/>
      <c r="J43" s="169">
        <v>4004</v>
      </c>
      <c r="K43" s="175"/>
    </row>
    <row r="44" spans="1:11" ht="14.4" x14ac:dyDescent="0.3">
      <c r="A44" s="12">
        <f t="shared" si="5"/>
        <v>45749.541666666577</v>
      </c>
      <c r="B44" s="12">
        <f t="shared" si="0"/>
        <v>45749.583333333241</v>
      </c>
      <c r="C44" s="13">
        <f t="shared" si="1"/>
        <v>3.8660000000000001</v>
      </c>
      <c r="D44" s="14">
        <f t="shared" si="2"/>
        <v>3866</v>
      </c>
      <c r="G44" s="12">
        <f t="shared" si="3"/>
        <v>45749.541666666577</v>
      </c>
      <c r="H44" s="12">
        <f t="shared" si="4"/>
        <v>45749.583333333241</v>
      </c>
      <c r="I44" s="132"/>
      <c r="J44" s="169">
        <v>3866</v>
      </c>
      <c r="K44" s="175"/>
    </row>
    <row r="45" spans="1:11" ht="14.4" x14ac:dyDescent="0.3">
      <c r="A45" s="12">
        <f t="shared" si="5"/>
        <v>45749.583333333241</v>
      </c>
      <c r="B45" s="12">
        <f t="shared" si="0"/>
        <v>45749.624999999905</v>
      </c>
      <c r="C45" s="13">
        <f t="shared" si="1"/>
        <v>3.9140000000000001</v>
      </c>
      <c r="D45" s="14">
        <f t="shared" si="2"/>
        <v>3914</v>
      </c>
      <c r="G45" s="12">
        <f t="shared" si="3"/>
        <v>45749.583333333241</v>
      </c>
      <c r="H45" s="12">
        <f t="shared" si="4"/>
        <v>45749.624999999905</v>
      </c>
      <c r="I45" s="132"/>
      <c r="J45" s="169">
        <v>3914</v>
      </c>
      <c r="K45" s="175"/>
    </row>
    <row r="46" spans="1:11" ht="14.4" x14ac:dyDescent="0.3">
      <c r="A46" s="12">
        <f t="shared" si="5"/>
        <v>45749.624999999905</v>
      </c>
      <c r="B46" s="12">
        <f t="shared" si="0"/>
        <v>45749.66666666657</v>
      </c>
      <c r="C46" s="13">
        <f t="shared" si="1"/>
        <v>4.3250000000000002</v>
      </c>
      <c r="D46" s="14">
        <f t="shared" si="2"/>
        <v>4325</v>
      </c>
      <c r="G46" s="12">
        <f t="shared" si="3"/>
        <v>45749.624999999905</v>
      </c>
      <c r="H46" s="12">
        <f t="shared" si="4"/>
        <v>45749.66666666657</v>
      </c>
      <c r="I46" s="132"/>
      <c r="J46" s="169">
        <v>4325</v>
      </c>
      <c r="K46" s="175"/>
    </row>
    <row r="47" spans="1:11" ht="14.4" x14ac:dyDescent="0.3">
      <c r="A47" s="12">
        <f t="shared" si="5"/>
        <v>45749.66666666657</v>
      </c>
      <c r="B47" s="12">
        <f t="shared" si="0"/>
        <v>45749.708333333234</v>
      </c>
      <c r="C47" s="13">
        <f t="shared" si="1"/>
        <v>3.9860000000000002</v>
      </c>
      <c r="D47" s="14">
        <f t="shared" si="2"/>
        <v>3986</v>
      </c>
      <c r="G47" s="12">
        <f t="shared" si="3"/>
        <v>45749.66666666657</v>
      </c>
      <c r="H47" s="12">
        <f t="shared" si="4"/>
        <v>45749.708333333234</v>
      </c>
      <c r="I47" s="132"/>
      <c r="J47" s="169">
        <v>3986</v>
      </c>
      <c r="K47" s="175"/>
    </row>
    <row r="48" spans="1:11" ht="14.4" x14ac:dyDescent="0.3">
      <c r="A48" s="12">
        <f t="shared" si="5"/>
        <v>45749.708333333234</v>
      </c>
      <c r="B48" s="12">
        <f t="shared" si="0"/>
        <v>45749.749999999898</v>
      </c>
      <c r="C48" s="13">
        <f t="shared" si="1"/>
        <v>4.298</v>
      </c>
      <c r="D48" s="14">
        <f t="shared" si="2"/>
        <v>4298</v>
      </c>
      <c r="G48" s="12">
        <f t="shared" si="3"/>
        <v>45749.708333333234</v>
      </c>
      <c r="H48" s="12">
        <f t="shared" si="4"/>
        <v>45749.749999999898</v>
      </c>
      <c r="I48" s="132"/>
      <c r="J48" s="169">
        <v>4298</v>
      </c>
      <c r="K48" s="175"/>
    </row>
    <row r="49" spans="1:11" ht="14.4" x14ac:dyDescent="0.3">
      <c r="A49" s="12">
        <f t="shared" si="5"/>
        <v>45749.749999999898</v>
      </c>
      <c r="B49" s="12">
        <f t="shared" si="0"/>
        <v>45749.791666666562</v>
      </c>
      <c r="C49" s="13">
        <f t="shared" si="1"/>
        <v>4.7080000000000002</v>
      </c>
      <c r="D49" s="14">
        <f t="shared" si="2"/>
        <v>4708</v>
      </c>
      <c r="G49" s="12">
        <f t="shared" si="3"/>
        <v>45749.749999999898</v>
      </c>
      <c r="H49" s="12">
        <f t="shared" si="4"/>
        <v>45749.791666666562</v>
      </c>
      <c r="I49" s="132"/>
      <c r="J49" s="169">
        <v>4708</v>
      </c>
      <c r="K49" s="175"/>
    </row>
    <row r="50" spans="1:11" ht="14.4" x14ac:dyDescent="0.3">
      <c r="A50" s="12">
        <f t="shared" si="5"/>
        <v>45749.791666666562</v>
      </c>
      <c r="B50" s="12">
        <f t="shared" si="0"/>
        <v>45749.833333333227</v>
      </c>
      <c r="C50" s="13">
        <f t="shared" si="1"/>
        <v>4.6459999999999999</v>
      </c>
      <c r="D50" s="14">
        <f t="shared" si="2"/>
        <v>4646</v>
      </c>
      <c r="G50" s="12">
        <f t="shared" si="3"/>
        <v>45749.791666666562</v>
      </c>
      <c r="H50" s="12">
        <f t="shared" si="4"/>
        <v>45749.833333333227</v>
      </c>
      <c r="I50" s="132"/>
      <c r="J50" s="169">
        <v>4646</v>
      </c>
      <c r="K50" s="175"/>
    </row>
    <row r="51" spans="1:11" ht="14.4" x14ac:dyDescent="0.3">
      <c r="A51" s="12">
        <f t="shared" si="5"/>
        <v>45749.833333333227</v>
      </c>
      <c r="B51" s="12">
        <f t="shared" si="0"/>
        <v>45749.874999999891</v>
      </c>
      <c r="C51" s="13">
        <f t="shared" si="1"/>
        <v>4.5289999999999999</v>
      </c>
      <c r="D51" s="14">
        <f t="shared" si="2"/>
        <v>4529</v>
      </c>
      <c r="G51" s="12">
        <f t="shared" si="3"/>
        <v>45749.833333333227</v>
      </c>
      <c r="H51" s="12">
        <f t="shared" si="4"/>
        <v>45749.874999999891</v>
      </c>
      <c r="I51" s="132"/>
      <c r="J51" s="169">
        <v>4529</v>
      </c>
      <c r="K51" s="175"/>
    </row>
    <row r="52" spans="1:11" ht="14.4" x14ac:dyDescent="0.3">
      <c r="A52" s="12">
        <f t="shared" si="5"/>
        <v>45749.874999999891</v>
      </c>
      <c r="B52" s="12">
        <f t="shared" si="0"/>
        <v>45749.916666666555</v>
      </c>
      <c r="C52" s="13">
        <f t="shared" si="1"/>
        <v>4.16</v>
      </c>
      <c r="D52" s="14">
        <f t="shared" si="2"/>
        <v>4160</v>
      </c>
      <c r="G52" s="12">
        <f t="shared" si="3"/>
        <v>45749.874999999891</v>
      </c>
      <c r="H52" s="12">
        <f t="shared" si="4"/>
        <v>45749.916666666555</v>
      </c>
      <c r="I52" s="132"/>
      <c r="J52" s="169">
        <v>4160</v>
      </c>
      <c r="K52" s="175"/>
    </row>
    <row r="53" spans="1:11" ht="14.4" x14ac:dyDescent="0.3">
      <c r="A53" s="12">
        <f t="shared" si="5"/>
        <v>45749.916666666555</v>
      </c>
      <c r="B53" s="12">
        <f t="shared" si="0"/>
        <v>45749.958333333219</v>
      </c>
      <c r="C53" s="13">
        <f t="shared" si="1"/>
        <v>3.9340000000000002</v>
      </c>
      <c r="D53" s="14">
        <f t="shared" si="2"/>
        <v>3934</v>
      </c>
      <c r="G53" s="12">
        <f t="shared" si="3"/>
        <v>45749.916666666555</v>
      </c>
      <c r="H53" s="12">
        <f t="shared" si="4"/>
        <v>45749.958333333219</v>
      </c>
      <c r="I53" s="132"/>
      <c r="J53" s="169">
        <v>3934</v>
      </c>
      <c r="K53" s="175"/>
    </row>
    <row r="54" spans="1:11" ht="14.4" x14ac:dyDescent="0.3">
      <c r="A54" s="12">
        <f t="shared" si="5"/>
        <v>45749.958333333219</v>
      </c>
      <c r="B54" s="12">
        <f t="shared" si="0"/>
        <v>45749.999999999884</v>
      </c>
      <c r="C54" s="13">
        <f t="shared" si="1"/>
        <v>3.7589999999999999</v>
      </c>
      <c r="D54" s="14">
        <f t="shared" si="2"/>
        <v>3759</v>
      </c>
      <c r="G54" s="12">
        <f t="shared" si="3"/>
        <v>45749.958333333219</v>
      </c>
      <c r="H54" s="12">
        <f t="shared" si="4"/>
        <v>45749.999999999884</v>
      </c>
      <c r="I54" s="132"/>
      <c r="J54" s="169">
        <v>3759</v>
      </c>
      <c r="K54" s="175"/>
    </row>
    <row r="55" spans="1:11" ht="14.4" x14ac:dyDescent="0.3">
      <c r="A55" s="12">
        <f t="shared" si="5"/>
        <v>45749.999999999884</v>
      </c>
      <c r="B55" s="12">
        <f t="shared" si="0"/>
        <v>45750.041666666548</v>
      </c>
      <c r="C55" s="13">
        <f t="shared" si="1"/>
        <v>3.6789999999999998</v>
      </c>
      <c r="D55" s="14">
        <f t="shared" si="2"/>
        <v>3679</v>
      </c>
      <c r="G55" s="12">
        <f t="shared" si="3"/>
        <v>45749.999999999884</v>
      </c>
      <c r="H55" s="12">
        <f t="shared" si="4"/>
        <v>45750.041666666548</v>
      </c>
      <c r="I55" s="132"/>
      <c r="J55" s="169">
        <v>3679</v>
      </c>
      <c r="K55" s="175"/>
    </row>
    <row r="56" spans="1:11" ht="14.4" x14ac:dyDescent="0.3">
      <c r="A56" s="12">
        <f t="shared" si="5"/>
        <v>45750.041666666548</v>
      </c>
      <c r="B56" s="12">
        <f t="shared" si="0"/>
        <v>45750.083333333212</v>
      </c>
      <c r="C56" s="13">
        <f t="shared" si="1"/>
        <v>3.653</v>
      </c>
      <c r="D56" s="14">
        <f t="shared" si="2"/>
        <v>3653</v>
      </c>
      <c r="G56" s="12">
        <f t="shared" si="3"/>
        <v>45750.041666666548</v>
      </c>
      <c r="H56" s="12">
        <f t="shared" si="4"/>
        <v>45750.083333333212</v>
      </c>
      <c r="I56" s="132"/>
      <c r="J56" s="169">
        <v>3653</v>
      </c>
      <c r="K56" s="175"/>
    </row>
    <row r="57" spans="1:11" ht="14.4" x14ac:dyDescent="0.3">
      <c r="A57" s="12">
        <f t="shared" si="5"/>
        <v>45750.083333333212</v>
      </c>
      <c r="B57" s="12">
        <f t="shared" si="0"/>
        <v>45750.124999999876</v>
      </c>
      <c r="C57" s="13">
        <f t="shared" si="1"/>
        <v>3.742</v>
      </c>
      <c r="D57" s="14">
        <f t="shared" si="2"/>
        <v>3742</v>
      </c>
      <c r="G57" s="12">
        <f t="shared" si="3"/>
        <v>45750.083333333212</v>
      </c>
      <c r="H57" s="12">
        <f t="shared" si="4"/>
        <v>45750.124999999876</v>
      </c>
      <c r="I57" s="132"/>
      <c r="J57" s="169">
        <v>3742</v>
      </c>
      <c r="K57" s="175"/>
    </row>
    <row r="58" spans="1:11" ht="14.4" x14ac:dyDescent="0.3">
      <c r="A58" s="12">
        <f t="shared" si="5"/>
        <v>45750.124999999876</v>
      </c>
      <c r="B58" s="12">
        <f t="shared" si="0"/>
        <v>45750.166666666541</v>
      </c>
      <c r="C58" s="13">
        <f t="shared" si="1"/>
        <v>3.9049999999999998</v>
      </c>
      <c r="D58" s="14">
        <f t="shared" si="2"/>
        <v>3905</v>
      </c>
      <c r="G58" s="12">
        <f t="shared" si="3"/>
        <v>45750.124999999876</v>
      </c>
      <c r="H58" s="12">
        <f t="shared" si="4"/>
        <v>45750.166666666541</v>
      </c>
      <c r="I58" s="132"/>
      <c r="J58" s="169">
        <v>3905</v>
      </c>
      <c r="K58" s="175"/>
    </row>
    <row r="59" spans="1:11" ht="14.4" x14ac:dyDescent="0.3">
      <c r="A59" s="12">
        <f t="shared" si="5"/>
        <v>45750.166666666541</v>
      </c>
      <c r="B59" s="12">
        <f t="shared" si="0"/>
        <v>45750.208333333205</v>
      </c>
      <c r="C59" s="13">
        <f t="shared" si="1"/>
        <v>4.2759999999999998</v>
      </c>
      <c r="D59" s="14">
        <f t="shared" si="2"/>
        <v>4276</v>
      </c>
      <c r="G59" s="12">
        <f t="shared" si="3"/>
        <v>45750.166666666541</v>
      </c>
      <c r="H59" s="12">
        <f t="shared" si="4"/>
        <v>45750.208333333205</v>
      </c>
      <c r="I59" s="132"/>
      <c r="J59" s="169">
        <v>4276</v>
      </c>
      <c r="K59" s="175"/>
    </row>
    <row r="60" spans="1:11" ht="14.4" x14ac:dyDescent="0.3">
      <c r="A60" s="12">
        <f t="shared" si="5"/>
        <v>45750.208333333205</v>
      </c>
      <c r="B60" s="12">
        <f t="shared" si="0"/>
        <v>45750.249999999869</v>
      </c>
      <c r="C60" s="13">
        <f t="shared" si="1"/>
        <v>4.968</v>
      </c>
      <c r="D60" s="14">
        <f t="shared" si="2"/>
        <v>4968</v>
      </c>
      <c r="G60" s="12">
        <f t="shared" si="3"/>
        <v>45750.208333333205</v>
      </c>
      <c r="H60" s="12">
        <f t="shared" si="4"/>
        <v>45750.249999999869</v>
      </c>
      <c r="I60" s="132"/>
      <c r="J60" s="169">
        <v>4968</v>
      </c>
      <c r="K60" s="175"/>
    </row>
    <row r="61" spans="1:11" ht="14.4" x14ac:dyDescent="0.3">
      <c r="A61" s="12">
        <f t="shared" si="5"/>
        <v>45750.249999999869</v>
      </c>
      <c r="B61" s="12">
        <f t="shared" si="0"/>
        <v>45750.291666666533</v>
      </c>
      <c r="C61" s="13">
        <f t="shared" si="1"/>
        <v>5.3049999999999997</v>
      </c>
      <c r="D61" s="14">
        <f t="shared" si="2"/>
        <v>5305</v>
      </c>
      <c r="G61" s="12">
        <f t="shared" si="3"/>
        <v>45750.249999999869</v>
      </c>
      <c r="H61" s="12">
        <f t="shared" si="4"/>
        <v>45750.291666666533</v>
      </c>
      <c r="I61" s="132"/>
      <c r="J61" s="169">
        <v>5305</v>
      </c>
      <c r="K61" s="175"/>
    </row>
    <row r="62" spans="1:11" ht="14.4" x14ac:dyDescent="0.3">
      <c r="A62" s="12">
        <f t="shared" si="5"/>
        <v>45750.291666666533</v>
      </c>
      <c r="B62" s="12">
        <f t="shared" si="0"/>
        <v>45750.333333333198</v>
      </c>
      <c r="C62" s="13">
        <f t="shared" si="1"/>
        <v>5.0990000000000002</v>
      </c>
      <c r="D62" s="14">
        <f t="shared" si="2"/>
        <v>5099</v>
      </c>
      <c r="G62" s="12">
        <f t="shared" si="3"/>
        <v>45750.291666666533</v>
      </c>
      <c r="H62" s="12">
        <f t="shared" si="4"/>
        <v>45750.333333333198</v>
      </c>
      <c r="I62" s="132"/>
      <c r="J62" s="169">
        <v>5099</v>
      </c>
      <c r="K62" s="175"/>
    </row>
    <row r="63" spans="1:11" ht="14.4" x14ac:dyDescent="0.3">
      <c r="A63" s="12">
        <f t="shared" si="5"/>
        <v>45750.333333333198</v>
      </c>
      <c r="B63" s="12">
        <f t="shared" si="0"/>
        <v>45750.374999999862</v>
      </c>
      <c r="C63" s="13">
        <f t="shared" si="1"/>
        <v>4.91</v>
      </c>
      <c r="D63" s="14">
        <f t="shared" si="2"/>
        <v>4910</v>
      </c>
      <c r="G63" s="12">
        <f t="shared" si="3"/>
        <v>45750.333333333198</v>
      </c>
      <c r="H63" s="12">
        <f t="shared" si="4"/>
        <v>45750.374999999862</v>
      </c>
      <c r="I63" s="132"/>
      <c r="J63" s="169">
        <v>4910</v>
      </c>
      <c r="K63" s="175"/>
    </row>
    <row r="64" spans="1:11" ht="14.4" x14ac:dyDescent="0.3">
      <c r="A64" s="12">
        <f t="shared" si="5"/>
        <v>45750.374999999862</v>
      </c>
      <c r="B64" s="12">
        <f t="shared" si="0"/>
        <v>45750.416666666526</v>
      </c>
      <c r="C64" s="13">
        <f t="shared" si="1"/>
        <v>4.6900000000000004</v>
      </c>
      <c r="D64" s="14">
        <f t="shared" si="2"/>
        <v>4690</v>
      </c>
      <c r="G64" s="12">
        <f t="shared" si="3"/>
        <v>45750.374999999862</v>
      </c>
      <c r="H64" s="12">
        <f t="shared" si="4"/>
        <v>45750.416666666526</v>
      </c>
      <c r="I64" s="132"/>
      <c r="J64" s="169">
        <v>4690</v>
      </c>
      <c r="K64" s="175"/>
    </row>
    <row r="65" spans="1:11" ht="14.4" x14ac:dyDescent="0.3">
      <c r="A65" s="12">
        <f t="shared" si="5"/>
        <v>45750.416666666526</v>
      </c>
      <c r="B65" s="12">
        <f t="shared" si="0"/>
        <v>45750.45833333319</v>
      </c>
      <c r="C65" s="13">
        <f t="shared" si="1"/>
        <v>4.8810000000000002</v>
      </c>
      <c r="D65" s="14">
        <f t="shared" si="2"/>
        <v>4881</v>
      </c>
      <c r="G65" s="12">
        <f t="shared" si="3"/>
        <v>45750.416666666526</v>
      </c>
      <c r="H65" s="12">
        <f t="shared" si="4"/>
        <v>45750.45833333319</v>
      </c>
      <c r="I65" s="132"/>
      <c r="J65" s="169">
        <v>4881</v>
      </c>
      <c r="K65" s="175"/>
    </row>
    <row r="66" spans="1:11" ht="14.4" x14ac:dyDescent="0.3">
      <c r="A66" s="12">
        <f t="shared" si="5"/>
        <v>45750.45833333319</v>
      </c>
      <c r="B66" s="12">
        <f t="shared" si="0"/>
        <v>45750.499999999854</v>
      </c>
      <c r="C66" s="13">
        <f t="shared" si="1"/>
        <v>4.5609999999999999</v>
      </c>
      <c r="D66" s="14">
        <f t="shared" si="2"/>
        <v>4561</v>
      </c>
      <c r="G66" s="12">
        <f t="shared" si="3"/>
        <v>45750.45833333319</v>
      </c>
      <c r="H66" s="12">
        <f t="shared" si="4"/>
        <v>45750.499999999854</v>
      </c>
      <c r="I66" s="132"/>
      <c r="J66" s="169">
        <v>4561</v>
      </c>
      <c r="K66" s="175"/>
    </row>
    <row r="67" spans="1:11" ht="14.4" x14ac:dyDescent="0.3">
      <c r="A67" s="12">
        <f t="shared" si="5"/>
        <v>45750.499999999854</v>
      </c>
      <c r="B67" s="12">
        <f t="shared" si="0"/>
        <v>45750.541666666519</v>
      </c>
      <c r="C67" s="13">
        <f t="shared" si="1"/>
        <v>4.2240000000000002</v>
      </c>
      <c r="D67" s="14">
        <f t="shared" si="2"/>
        <v>4224</v>
      </c>
      <c r="G67" s="12">
        <f t="shared" si="3"/>
        <v>45750.499999999854</v>
      </c>
      <c r="H67" s="12">
        <f t="shared" si="4"/>
        <v>45750.541666666519</v>
      </c>
      <c r="I67" s="132"/>
      <c r="J67" s="169">
        <v>4224</v>
      </c>
      <c r="K67" s="175"/>
    </row>
    <row r="68" spans="1:11" ht="14.4" x14ac:dyDescent="0.3">
      <c r="A68" s="12">
        <f t="shared" si="5"/>
        <v>45750.541666666519</v>
      </c>
      <c r="B68" s="12">
        <f t="shared" si="0"/>
        <v>45750.583333333183</v>
      </c>
      <c r="C68" s="13">
        <f t="shared" si="1"/>
        <v>4.0780000000000003</v>
      </c>
      <c r="D68" s="14">
        <f t="shared" si="2"/>
        <v>4078</v>
      </c>
      <c r="G68" s="12">
        <f t="shared" si="3"/>
        <v>45750.541666666519</v>
      </c>
      <c r="H68" s="12">
        <f t="shared" si="4"/>
        <v>45750.583333333183</v>
      </c>
      <c r="I68" s="132"/>
      <c r="J68" s="169">
        <v>4078</v>
      </c>
      <c r="K68" s="175"/>
    </row>
    <row r="69" spans="1:11" ht="14.4" x14ac:dyDescent="0.3">
      <c r="A69" s="12">
        <f t="shared" si="5"/>
        <v>45750.583333333183</v>
      </c>
      <c r="B69" s="12">
        <f t="shared" si="0"/>
        <v>45750.624999999847</v>
      </c>
      <c r="C69" s="13">
        <f t="shared" si="1"/>
        <v>3.863</v>
      </c>
      <c r="D69" s="14">
        <f t="shared" si="2"/>
        <v>3863</v>
      </c>
      <c r="G69" s="12">
        <f t="shared" si="3"/>
        <v>45750.583333333183</v>
      </c>
      <c r="H69" s="12">
        <f t="shared" si="4"/>
        <v>45750.624999999847</v>
      </c>
      <c r="I69" s="132"/>
      <c r="J69" s="169">
        <v>3863</v>
      </c>
      <c r="K69" s="175"/>
    </row>
    <row r="70" spans="1:11" ht="14.4" x14ac:dyDescent="0.3">
      <c r="A70" s="12">
        <f t="shared" si="5"/>
        <v>45750.624999999847</v>
      </c>
      <c r="B70" s="12">
        <f t="shared" si="0"/>
        <v>45750.666666666511</v>
      </c>
      <c r="C70" s="13">
        <f t="shared" si="1"/>
        <v>3.9540000000000002</v>
      </c>
      <c r="D70" s="14">
        <f t="shared" si="2"/>
        <v>3954</v>
      </c>
      <c r="G70" s="12">
        <f t="shared" si="3"/>
        <v>45750.624999999847</v>
      </c>
      <c r="H70" s="12">
        <f t="shared" si="4"/>
        <v>45750.666666666511</v>
      </c>
      <c r="I70" s="132"/>
      <c r="J70" s="169">
        <v>3954</v>
      </c>
      <c r="K70" s="175"/>
    </row>
    <row r="71" spans="1:11" ht="14.4" x14ac:dyDescent="0.3">
      <c r="A71" s="12">
        <f t="shared" si="5"/>
        <v>45750.666666666511</v>
      </c>
      <c r="B71" s="12">
        <f t="shared" si="0"/>
        <v>45750.708333333176</v>
      </c>
      <c r="C71" s="13">
        <f t="shared" si="1"/>
        <v>4.05</v>
      </c>
      <c r="D71" s="14">
        <f t="shared" ref="D71:D134" si="6">J71*(1+$D$3)*(1+$D$4)</f>
        <v>4050</v>
      </c>
      <c r="G71" s="12">
        <f t="shared" si="3"/>
        <v>45750.666666666511</v>
      </c>
      <c r="H71" s="12">
        <f t="shared" si="4"/>
        <v>45750.708333333176</v>
      </c>
      <c r="I71" s="132"/>
      <c r="J71" s="169">
        <v>4050</v>
      </c>
      <c r="K71" s="175"/>
    </row>
    <row r="72" spans="1:11" ht="14.4" x14ac:dyDescent="0.3">
      <c r="A72" s="12">
        <f t="shared" si="5"/>
        <v>45750.708333333176</v>
      </c>
      <c r="B72" s="12">
        <f t="shared" ref="B72:B135" si="7">$A72+1/24</f>
        <v>45750.74999999984</v>
      </c>
      <c r="C72" s="13">
        <f t="shared" ref="C72:C135" si="8">SUM(D72)/1000</f>
        <v>4.2919999999999998</v>
      </c>
      <c r="D72" s="14">
        <f t="shared" si="6"/>
        <v>4292</v>
      </c>
      <c r="G72" s="12">
        <f t="shared" ref="G72:G135" si="9">A72</f>
        <v>45750.708333333176</v>
      </c>
      <c r="H72" s="12">
        <f t="shared" ref="H72:H135" si="10">B72</f>
        <v>45750.74999999984</v>
      </c>
      <c r="I72" s="132"/>
      <c r="J72" s="169">
        <v>4292</v>
      </c>
      <c r="K72" s="175"/>
    </row>
    <row r="73" spans="1:11" ht="14.4" x14ac:dyDescent="0.3">
      <c r="A73" s="12">
        <f t="shared" ref="A73:A136" si="11">$A72+1/24</f>
        <v>45750.74999999984</v>
      </c>
      <c r="B73" s="12">
        <f t="shared" si="7"/>
        <v>45750.791666666504</v>
      </c>
      <c r="C73" s="13">
        <f t="shared" si="8"/>
        <v>4.4930000000000003</v>
      </c>
      <c r="D73" s="14">
        <f t="shared" si="6"/>
        <v>4493</v>
      </c>
      <c r="G73" s="12">
        <f t="shared" si="9"/>
        <v>45750.74999999984</v>
      </c>
      <c r="H73" s="12">
        <f t="shared" si="10"/>
        <v>45750.791666666504</v>
      </c>
      <c r="I73" s="132"/>
      <c r="J73" s="169">
        <v>4493</v>
      </c>
      <c r="K73" s="175"/>
    </row>
    <row r="74" spans="1:11" ht="14.4" x14ac:dyDescent="0.3">
      <c r="A74" s="12">
        <f t="shared" si="11"/>
        <v>45750.791666666504</v>
      </c>
      <c r="B74" s="12">
        <f t="shared" si="7"/>
        <v>45750.833333333168</v>
      </c>
      <c r="C74" s="13">
        <f t="shared" si="8"/>
        <v>4.7830000000000004</v>
      </c>
      <c r="D74" s="14">
        <f t="shared" si="6"/>
        <v>4783</v>
      </c>
      <c r="G74" s="12">
        <f t="shared" si="9"/>
        <v>45750.791666666504</v>
      </c>
      <c r="H74" s="12">
        <f t="shared" si="10"/>
        <v>45750.833333333168</v>
      </c>
      <c r="I74" s="132"/>
      <c r="J74" s="169">
        <v>4783</v>
      </c>
      <c r="K74" s="175"/>
    </row>
    <row r="75" spans="1:11" ht="14.4" x14ac:dyDescent="0.3">
      <c r="A75" s="12">
        <f t="shared" si="11"/>
        <v>45750.833333333168</v>
      </c>
      <c r="B75" s="12">
        <f t="shared" si="7"/>
        <v>45750.874999999833</v>
      </c>
      <c r="C75" s="13">
        <f t="shared" si="8"/>
        <v>4.6619999999999999</v>
      </c>
      <c r="D75" s="14">
        <f t="shared" si="6"/>
        <v>4662</v>
      </c>
      <c r="G75" s="12">
        <f t="shared" si="9"/>
        <v>45750.833333333168</v>
      </c>
      <c r="H75" s="12">
        <f t="shared" si="10"/>
        <v>45750.874999999833</v>
      </c>
      <c r="I75" s="132"/>
      <c r="J75" s="169">
        <v>4662</v>
      </c>
      <c r="K75" s="175"/>
    </row>
    <row r="76" spans="1:11" ht="14.4" x14ac:dyDescent="0.3">
      <c r="A76" s="12">
        <f t="shared" si="11"/>
        <v>45750.874999999833</v>
      </c>
      <c r="B76" s="12">
        <f t="shared" si="7"/>
        <v>45750.916666666497</v>
      </c>
      <c r="C76" s="13">
        <f t="shared" si="8"/>
        <v>4.3449999999999998</v>
      </c>
      <c r="D76" s="14">
        <f t="shared" si="6"/>
        <v>4345</v>
      </c>
      <c r="G76" s="12">
        <f t="shared" si="9"/>
        <v>45750.874999999833</v>
      </c>
      <c r="H76" s="12">
        <f t="shared" si="10"/>
        <v>45750.916666666497</v>
      </c>
      <c r="I76" s="132"/>
      <c r="J76" s="169">
        <v>4345</v>
      </c>
      <c r="K76" s="175"/>
    </row>
    <row r="77" spans="1:11" ht="14.4" x14ac:dyDescent="0.3">
      <c r="A77" s="12">
        <f t="shared" si="11"/>
        <v>45750.916666666497</v>
      </c>
      <c r="B77" s="12">
        <f t="shared" si="7"/>
        <v>45750.958333333161</v>
      </c>
      <c r="C77" s="13">
        <f t="shared" si="8"/>
        <v>4.0890000000000004</v>
      </c>
      <c r="D77" s="14">
        <f t="shared" si="6"/>
        <v>4089</v>
      </c>
      <c r="G77" s="12">
        <f t="shared" si="9"/>
        <v>45750.916666666497</v>
      </c>
      <c r="H77" s="12">
        <f t="shared" si="10"/>
        <v>45750.958333333161</v>
      </c>
      <c r="I77" s="132"/>
      <c r="J77" s="169">
        <v>4089</v>
      </c>
      <c r="K77" s="175"/>
    </row>
    <row r="78" spans="1:11" ht="14.4" x14ac:dyDescent="0.3">
      <c r="A78" s="12">
        <f t="shared" si="11"/>
        <v>45750.958333333161</v>
      </c>
      <c r="B78" s="12">
        <f t="shared" si="7"/>
        <v>45750.999999999825</v>
      </c>
      <c r="C78" s="13">
        <f t="shared" si="8"/>
        <v>3.907</v>
      </c>
      <c r="D78" s="14">
        <f t="shared" si="6"/>
        <v>3907</v>
      </c>
      <c r="G78" s="12">
        <f t="shared" si="9"/>
        <v>45750.958333333161</v>
      </c>
      <c r="H78" s="12">
        <f t="shared" si="10"/>
        <v>45750.999999999825</v>
      </c>
      <c r="I78" s="132"/>
      <c r="J78" s="169">
        <v>3907</v>
      </c>
      <c r="K78" s="175"/>
    </row>
    <row r="79" spans="1:11" ht="14.4" x14ac:dyDescent="0.3">
      <c r="A79" s="12">
        <f t="shared" si="11"/>
        <v>45750.999999999825</v>
      </c>
      <c r="B79" s="12">
        <f t="shared" si="7"/>
        <v>45751.04166666649</v>
      </c>
      <c r="C79" s="13">
        <f t="shared" si="8"/>
        <v>3.859</v>
      </c>
      <c r="D79" s="14">
        <f t="shared" si="6"/>
        <v>3859</v>
      </c>
      <c r="G79" s="12">
        <f t="shared" si="9"/>
        <v>45750.999999999825</v>
      </c>
      <c r="H79" s="12">
        <f t="shared" si="10"/>
        <v>45751.04166666649</v>
      </c>
      <c r="I79" s="132"/>
      <c r="J79" s="169">
        <v>3859</v>
      </c>
      <c r="K79" s="175"/>
    </row>
    <row r="80" spans="1:11" ht="14.4" x14ac:dyDescent="0.3">
      <c r="A80" s="12">
        <f t="shared" si="11"/>
        <v>45751.04166666649</v>
      </c>
      <c r="B80" s="12">
        <f t="shared" si="7"/>
        <v>45751.083333333154</v>
      </c>
      <c r="C80" s="13">
        <f t="shared" si="8"/>
        <v>3.8690000000000002</v>
      </c>
      <c r="D80" s="14">
        <f t="shared" si="6"/>
        <v>3869</v>
      </c>
      <c r="G80" s="12">
        <f t="shared" si="9"/>
        <v>45751.04166666649</v>
      </c>
      <c r="H80" s="12">
        <f t="shared" si="10"/>
        <v>45751.083333333154</v>
      </c>
      <c r="I80" s="132"/>
      <c r="J80" s="169">
        <v>3869</v>
      </c>
      <c r="K80" s="175"/>
    </row>
    <row r="81" spans="1:11" ht="14.4" x14ac:dyDescent="0.3">
      <c r="A81" s="12">
        <f t="shared" si="11"/>
        <v>45751.083333333154</v>
      </c>
      <c r="B81" s="12">
        <f t="shared" si="7"/>
        <v>45751.124999999818</v>
      </c>
      <c r="C81" s="13">
        <f t="shared" si="8"/>
        <v>3.93</v>
      </c>
      <c r="D81" s="14">
        <f t="shared" si="6"/>
        <v>3930</v>
      </c>
      <c r="G81" s="12">
        <f t="shared" si="9"/>
        <v>45751.083333333154</v>
      </c>
      <c r="H81" s="12">
        <f t="shared" si="10"/>
        <v>45751.124999999818</v>
      </c>
      <c r="I81" s="132"/>
      <c r="J81" s="169">
        <v>3930</v>
      </c>
      <c r="K81" s="175"/>
    </row>
    <row r="82" spans="1:11" ht="14.4" x14ac:dyDescent="0.3">
      <c r="A82" s="12">
        <f t="shared" si="11"/>
        <v>45751.124999999818</v>
      </c>
      <c r="B82" s="12">
        <f t="shared" si="7"/>
        <v>45751.166666666482</v>
      </c>
      <c r="C82" s="13">
        <f t="shared" si="8"/>
        <v>4.1420000000000003</v>
      </c>
      <c r="D82" s="14">
        <f t="shared" si="6"/>
        <v>4142</v>
      </c>
      <c r="G82" s="12">
        <f t="shared" si="9"/>
        <v>45751.124999999818</v>
      </c>
      <c r="H82" s="12">
        <f t="shared" si="10"/>
        <v>45751.166666666482</v>
      </c>
      <c r="I82" s="132"/>
      <c r="J82" s="169">
        <v>4142</v>
      </c>
      <c r="K82" s="175"/>
    </row>
    <row r="83" spans="1:11" ht="14.4" x14ac:dyDescent="0.3">
      <c r="A83" s="12">
        <f t="shared" si="11"/>
        <v>45751.166666666482</v>
      </c>
      <c r="B83" s="12">
        <f t="shared" si="7"/>
        <v>45751.208333333147</v>
      </c>
      <c r="C83" s="13">
        <f t="shared" si="8"/>
        <v>4.484</v>
      </c>
      <c r="D83" s="14">
        <f t="shared" si="6"/>
        <v>4484</v>
      </c>
      <c r="G83" s="12">
        <f t="shared" si="9"/>
        <v>45751.166666666482</v>
      </c>
      <c r="H83" s="12">
        <f t="shared" si="10"/>
        <v>45751.208333333147</v>
      </c>
      <c r="I83" s="132"/>
      <c r="J83" s="169">
        <v>4484</v>
      </c>
      <c r="K83" s="175"/>
    </row>
    <row r="84" spans="1:11" ht="14.4" x14ac:dyDescent="0.3">
      <c r="A84" s="12">
        <f t="shared" si="11"/>
        <v>45751.208333333147</v>
      </c>
      <c r="B84" s="12">
        <f t="shared" si="7"/>
        <v>45751.249999999811</v>
      </c>
      <c r="C84" s="13">
        <f t="shared" si="8"/>
        <v>5.157</v>
      </c>
      <c r="D84" s="14">
        <f t="shared" si="6"/>
        <v>5157</v>
      </c>
      <c r="G84" s="12">
        <f t="shared" si="9"/>
        <v>45751.208333333147</v>
      </c>
      <c r="H84" s="12">
        <f t="shared" si="10"/>
        <v>45751.249999999811</v>
      </c>
      <c r="I84" s="132"/>
      <c r="J84" s="169">
        <v>5157</v>
      </c>
      <c r="K84" s="175"/>
    </row>
    <row r="85" spans="1:11" ht="14.4" x14ac:dyDescent="0.3">
      <c r="A85" s="12">
        <f t="shared" si="11"/>
        <v>45751.249999999811</v>
      </c>
      <c r="B85" s="12">
        <f t="shared" si="7"/>
        <v>45751.291666666475</v>
      </c>
      <c r="C85" s="13">
        <f t="shared" si="8"/>
        <v>5.1180000000000003</v>
      </c>
      <c r="D85" s="14">
        <f t="shared" si="6"/>
        <v>5118</v>
      </c>
      <c r="G85" s="12">
        <f t="shared" si="9"/>
        <v>45751.249999999811</v>
      </c>
      <c r="H85" s="12">
        <f t="shared" si="10"/>
        <v>45751.291666666475</v>
      </c>
      <c r="I85" s="132"/>
      <c r="J85" s="169">
        <v>5118</v>
      </c>
      <c r="K85" s="175"/>
    </row>
    <row r="86" spans="1:11" ht="14.4" x14ac:dyDescent="0.3">
      <c r="A86" s="12">
        <f t="shared" si="11"/>
        <v>45751.291666666475</v>
      </c>
      <c r="B86" s="12">
        <f t="shared" si="7"/>
        <v>45751.333333333139</v>
      </c>
      <c r="C86" s="13">
        <f t="shared" si="8"/>
        <v>4.9409999999999998</v>
      </c>
      <c r="D86" s="14">
        <f t="shared" si="6"/>
        <v>4941</v>
      </c>
      <c r="G86" s="12">
        <f t="shared" si="9"/>
        <v>45751.291666666475</v>
      </c>
      <c r="H86" s="12">
        <f t="shared" si="10"/>
        <v>45751.333333333139</v>
      </c>
      <c r="I86" s="132"/>
      <c r="J86" s="169">
        <v>4941</v>
      </c>
      <c r="K86" s="175"/>
    </row>
    <row r="87" spans="1:11" ht="14.4" x14ac:dyDescent="0.3">
      <c r="A87" s="12">
        <f t="shared" si="11"/>
        <v>45751.333333333139</v>
      </c>
      <c r="B87" s="12">
        <f t="shared" si="7"/>
        <v>45751.374999999804</v>
      </c>
      <c r="C87" s="13">
        <f t="shared" si="8"/>
        <v>4.7699999999999996</v>
      </c>
      <c r="D87" s="14">
        <f t="shared" si="6"/>
        <v>4770</v>
      </c>
      <c r="G87" s="12">
        <f t="shared" si="9"/>
        <v>45751.333333333139</v>
      </c>
      <c r="H87" s="12">
        <f t="shared" si="10"/>
        <v>45751.374999999804</v>
      </c>
      <c r="I87" s="132"/>
      <c r="J87" s="169">
        <v>4770</v>
      </c>
      <c r="K87" s="175"/>
    </row>
    <row r="88" spans="1:11" ht="14.4" x14ac:dyDescent="0.3">
      <c r="A88" s="12">
        <f t="shared" si="11"/>
        <v>45751.374999999804</v>
      </c>
      <c r="B88" s="12">
        <f t="shared" si="7"/>
        <v>45751.416666666468</v>
      </c>
      <c r="C88" s="13">
        <f t="shared" si="8"/>
        <v>4.4139999999999997</v>
      </c>
      <c r="D88" s="14">
        <f t="shared" si="6"/>
        <v>4414</v>
      </c>
      <c r="G88" s="12">
        <f t="shared" si="9"/>
        <v>45751.374999999804</v>
      </c>
      <c r="H88" s="12">
        <f t="shared" si="10"/>
        <v>45751.416666666468</v>
      </c>
      <c r="I88" s="132"/>
      <c r="J88" s="169">
        <v>4414</v>
      </c>
      <c r="K88" s="175"/>
    </row>
    <row r="89" spans="1:11" ht="14.4" x14ac:dyDescent="0.3">
      <c r="A89" s="12">
        <f t="shared" si="11"/>
        <v>45751.416666666468</v>
      </c>
      <c r="B89" s="12">
        <f t="shared" si="7"/>
        <v>45751.458333333132</v>
      </c>
      <c r="C89" s="13">
        <f t="shared" si="8"/>
        <v>3.9489999999999998</v>
      </c>
      <c r="D89" s="14">
        <f t="shared" si="6"/>
        <v>3949</v>
      </c>
      <c r="G89" s="12">
        <f t="shared" si="9"/>
        <v>45751.416666666468</v>
      </c>
      <c r="H89" s="12">
        <f t="shared" si="10"/>
        <v>45751.458333333132</v>
      </c>
      <c r="I89" s="132"/>
      <c r="J89" s="169">
        <v>3949</v>
      </c>
      <c r="K89" s="175"/>
    </row>
    <row r="90" spans="1:11" ht="14.4" x14ac:dyDescent="0.3">
      <c r="A90" s="12">
        <f t="shared" si="11"/>
        <v>45751.458333333132</v>
      </c>
      <c r="B90" s="12">
        <f t="shared" si="7"/>
        <v>45751.499999999796</v>
      </c>
      <c r="C90" s="13">
        <f t="shared" si="8"/>
        <v>3.8730000000000002</v>
      </c>
      <c r="D90" s="14">
        <f t="shared" si="6"/>
        <v>3873</v>
      </c>
      <c r="G90" s="12">
        <f t="shared" si="9"/>
        <v>45751.458333333132</v>
      </c>
      <c r="H90" s="12">
        <f t="shared" si="10"/>
        <v>45751.499999999796</v>
      </c>
      <c r="I90" s="132"/>
      <c r="J90" s="169">
        <v>3873</v>
      </c>
      <c r="K90" s="175"/>
    </row>
    <row r="91" spans="1:11" ht="14.4" x14ac:dyDescent="0.3">
      <c r="A91" s="12">
        <f t="shared" si="11"/>
        <v>45751.499999999796</v>
      </c>
      <c r="B91" s="12">
        <f t="shared" si="7"/>
        <v>45751.541666666461</v>
      </c>
      <c r="C91" s="13">
        <f t="shared" si="8"/>
        <v>3.9470000000000001</v>
      </c>
      <c r="D91" s="14">
        <f t="shared" si="6"/>
        <v>3947</v>
      </c>
      <c r="G91" s="12">
        <f t="shared" si="9"/>
        <v>45751.499999999796</v>
      </c>
      <c r="H91" s="12">
        <f t="shared" si="10"/>
        <v>45751.541666666461</v>
      </c>
      <c r="I91" s="132"/>
      <c r="J91" s="169">
        <v>3947</v>
      </c>
      <c r="K91" s="175"/>
    </row>
    <row r="92" spans="1:11" ht="14.4" x14ac:dyDescent="0.3">
      <c r="A92" s="12">
        <f t="shared" si="11"/>
        <v>45751.541666666461</v>
      </c>
      <c r="B92" s="12">
        <f t="shared" si="7"/>
        <v>45751.583333333125</v>
      </c>
      <c r="C92" s="13">
        <f t="shared" si="8"/>
        <v>3.8380000000000001</v>
      </c>
      <c r="D92" s="14">
        <f t="shared" si="6"/>
        <v>3838</v>
      </c>
      <c r="G92" s="12">
        <f t="shared" si="9"/>
        <v>45751.541666666461</v>
      </c>
      <c r="H92" s="12">
        <f t="shared" si="10"/>
        <v>45751.583333333125</v>
      </c>
      <c r="I92" s="132"/>
      <c r="J92" s="169">
        <v>3838</v>
      </c>
      <c r="K92" s="175"/>
    </row>
    <row r="93" spans="1:11" ht="14.4" x14ac:dyDescent="0.3">
      <c r="A93" s="12">
        <f t="shared" si="11"/>
        <v>45751.583333333125</v>
      </c>
      <c r="B93" s="12">
        <f t="shared" si="7"/>
        <v>45751.624999999789</v>
      </c>
      <c r="C93" s="13">
        <f t="shared" si="8"/>
        <v>3.6230000000000002</v>
      </c>
      <c r="D93" s="14">
        <f t="shared" si="6"/>
        <v>3623</v>
      </c>
      <c r="G93" s="12">
        <f t="shared" si="9"/>
        <v>45751.583333333125</v>
      </c>
      <c r="H93" s="12">
        <f t="shared" si="10"/>
        <v>45751.624999999789</v>
      </c>
      <c r="I93" s="132"/>
      <c r="J93" s="169">
        <v>3623</v>
      </c>
      <c r="K93" s="175"/>
    </row>
    <row r="94" spans="1:11" ht="14.4" x14ac:dyDescent="0.3">
      <c r="A94" s="12">
        <f t="shared" si="11"/>
        <v>45751.624999999789</v>
      </c>
      <c r="B94" s="12">
        <f t="shared" si="7"/>
        <v>45751.666666666453</v>
      </c>
      <c r="C94" s="13">
        <f t="shared" si="8"/>
        <v>3.73</v>
      </c>
      <c r="D94" s="14">
        <f t="shared" si="6"/>
        <v>3730</v>
      </c>
      <c r="G94" s="12">
        <f t="shared" si="9"/>
        <v>45751.624999999789</v>
      </c>
      <c r="H94" s="12">
        <f t="shared" si="10"/>
        <v>45751.666666666453</v>
      </c>
      <c r="I94" s="132"/>
      <c r="J94" s="169">
        <v>3730</v>
      </c>
      <c r="K94" s="175"/>
    </row>
    <row r="95" spans="1:11" ht="14.4" x14ac:dyDescent="0.3">
      <c r="A95" s="12">
        <f t="shared" si="11"/>
        <v>45751.666666666453</v>
      </c>
      <c r="B95" s="12">
        <f t="shared" si="7"/>
        <v>45751.708333333117</v>
      </c>
      <c r="C95" s="13">
        <f t="shared" si="8"/>
        <v>3.8319999999999999</v>
      </c>
      <c r="D95" s="14">
        <f t="shared" si="6"/>
        <v>3832</v>
      </c>
      <c r="G95" s="12">
        <f t="shared" si="9"/>
        <v>45751.666666666453</v>
      </c>
      <c r="H95" s="12">
        <f t="shared" si="10"/>
        <v>45751.708333333117</v>
      </c>
      <c r="I95" s="132"/>
      <c r="J95" s="169">
        <v>3832</v>
      </c>
      <c r="K95" s="175"/>
    </row>
    <row r="96" spans="1:11" ht="14.4" x14ac:dyDescent="0.3">
      <c r="A96" s="12">
        <f t="shared" si="11"/>
        <v>45751.708333333117</v>
      </c>
      <c r="B96" s="12">
        <f t="shared" si="7"/>
        <v>45751.749999999782</v>
      </c>
      <c r="C96" s="13">
        <f t="shared" si="8"/>
        <v>4.0030000000000001</v>
      </c>
      <c r="D96" s="14">
        <f t="shared" si="6"/>
        <v>4003</v>
      </c>
      <c r="G96" s="12">
        <f t="shared" si="9"/>
        <v>45751.708333333117</v>
      </c>
      <c r="H96" s="12">
        <f t="shared" si="10"/>
        <v>45751.749999999782</v>
      </c>
      <c r="I96" s="132"/>
      <c r="J96" s="169">
        <v>4003</v>
      </c>
      <c r="K96" s="175"/>
    </row>
    <row r="97" spans="1:11" ht="14.4" x14ac:dyDescent="0.3">
      <c r="A97" s="12">
        <f t="shared" si="11"/>
        <v>45751.749999999782</v>
      </c>
      <c r="B97" s="12">
        <f t="shared" si="7"/>
        <v>45751.791666666446</v>
      </c>
      <c r="C97" s="13">
        <f t="shared" si="8"/>
        <v>4.2149999999999999</v>
      </c>
      <c r="D97" s="14">
        <f t="shared" si="6"/>
        <v>4215</v>
      </c>
      <c r="G97" s="12">
        <f t="shared" si="9"/>
        <v>45751.749999999782</v>
      </c>
      <c r="H97" s="12">
        <f t="shared" si="10"/>
        <v>45751.791666666446</v>
      </c>
      <c r="I97" s="132"/>
      <c r="J97" s="169">
        <v>4215</v>
      </c>
      <c r="K97" s="175"/>
    </row>
    <row r="98" spans="1:11" ht="14.4" x14ac:dyDescent="0.3">
      <c r="A98" s="12">
        <f t="shared" si="11"/>
        <v>45751.791666666446</v>
      </c>
      <c r="B98" s="12">
        <f t="shared" si="7"/>
        <v>45751.83333333311</v>
      </c>
      <c r="C98" s="13">
        <f t="shared" si="8"/>
        <v>4.4390000000000001</v>
      </c>
      <c r="D98" s="14">
        <f t="shared" si="6"/>
        <v>4439</v>
      </c>
      <c r="G98" s="12">
        <f t="shared" si="9"/>
        <v>45751.791666666446</v>
      </c>
      <c r="H98" s="12">
        <f t="shared" si="10"/>
        <v>45751.83333333311</v>
      </c>
      <c r="I98" s="132"/>
      <c r="J98" s="169">
        <v>4439</v>
      </c>
      <c r="K98" s="175"/>
    </row>
    <row r="99" spans="1:11" ht="14.4" x14ac:dyDescent="0.3">
      <c r="A99" s="12">
        <f t="shared" si="11"/>
        <v>45751.83333333311</v>
      </c>
      <c r="B99" s="12">
        <f t="shared" si="7"/>
        <v>45751.874999999774</v>
      </c>
      <c r="C99" s="13">
        <f t="shared" si="8"/>
        <v>4.4189999999999996</v>
      </c>
      <c r="D99" s="14">
        <f t="shared" si="6"/>
        <v>4419</v>
      </c>
      <c r="G99" s="12">
        <f t="shared" si="9"/>
        <v>45751.83333333311</v>
      </c>
      <c r="H99" s="12">
        <f t="shared" si="10"/>
        <v>45751.874999999774</v>
      </c>
      <c r="I99" s="132"/>
      <c r="J99" s="169">
        <v>4419</v>
      </c>
      <c r="K99" s="175"/>
    </row>
    <row r="100" spans="1:11" ht="14.4" x14ac:dyDescent="0.3">
      <c r="A100" s="12">
        <f t="shared" si="11"/>
        <v>45751.874999999774</v>
      </c>
      <c r="B100" s="12">
        <f t="shared" si="7"/>
        <v>45751.916666666439</v>
      </c>
      <c r="C100" s="13">
        <f t="shared" si="8"/>
        <v>4.2160000000000002</v>
      </c>
      <c r="D100" s="14">
        <f t="shared" si="6"/>
        <v>4216</v>
      </c>
      <c r="G100" s="12">
        <f t="shared" si="9"/>
        <v>45751.874999999774</v>
      </c>
      <c r="H100" s="12">
        <f t="shared" si="10"/>
        <v>45751.916666666439</v>
      </c>
      <c r="I100" s="132"/>
      <c r="J100" s="169">
        <v>4216</v>
      </c>
      <c r="K100" s="175"/>
    </row>
    <row r="101" spans="1:11" ht="14.4" x14ac:dyDescent="0.3">
      <c r="A101" s="12">
        <f t="shared" si="11"/>
        <v>45751.916666666439</v>
      </c>
      <c r="B101" s="12">
        <f t="shared" si="7"/>
        <v>45751.958333333103</v>
      </c>
      <c r="C101" s="13">
        <f t="shared" si="8"/>
        <v>3.976</v>
      </c>
      <c r="D101" s="14">
        <f t="shared" si="6"/>
        <v>3976</v>
      </c>
      <c r="G101" s="12">
        <f t="shared" si="9"/>
        <v>45751.916666666439</v>
      </c>
      <c r="H101" s="12">
        <f t="shared" si="10"/>
        <v>45751.958333333103</v>
      </c>
      <c r="I101" s="132"/>
      <c r="J101" s="169">
        <v>3976</v>
      </c>
      <c r="K101" s="175"/>
    </row>
    <row r="102" spans="1:11" ht="14.4" x14ac:dyDescent="0.3">
      <c r="A102" s="12">
        <f t="shared" si="11"/>
        <v>45751.958333333103</v>
      </c>
      <c r="B102" s="12">
        <f t="shared" si="7"/>
        <v>45751.999999999767</v>
      </c>
      <c r="C102" s="13">
        <f t="shared" si="8"/>
        <v>3.7669999999999999</v>
      </c>
      <c r="D102" s="14">
        <f t="shared" si="6"/>
        <v>3767</v>
      </c>
      <c r="G102" s="12">
        <f t="shared" si="9"/>
        <v>45751.958333333103</v>
      </c>
      <c r="H102" s="12">
        <f t="shared" si="10"/>
        <v>45751.999999999767</v>
      </c>
      <c r="I102" s="132"/>
      <c r="J102" s="169">
        <v>3767</v>
      </c>
      <c r="K102" s="175"/>
    </row>
    <row r="103" spans="1:11" ht="14.4" x14ac:dyDescent="0.3">
      <c r="A103" s="12">
        <f t="shared" si="11"/>
        <v>45751.999999999767</v>
      </c>
      <c r="B103" s="12">
        <f t="shared" si="7"/>
        <v>45752.041666666431</v>
      </c>
      <c r="C103" s="13">
        <f t="shared" si="8"/>
        <v>3.714</v>
      </c>
      <c r="D103" s="14">
        <f t="shared" si="6"/>
        <v>3714</v>
      </c>
      <c r="G103" s="12">
        <f t="shared" si="9"/>
        <v>45751.999999999767</v>
      </c>
      <c r="H103" s="12">
        <f t="shared" si="10"/>
        <v>45752.041666666431</v>
      </c>
      <c r="I103" s="132"/>
      <c r="J103" s="169">
        <v>3714</v>
      </c>
      <c r="K103" s="175"/>
    </row>
    <row r="104" spans="1:11" ht="14.4" x14ac:dyDescent="0.3">
      <c r="A104" s="12">
        <f t="shared" si="11"/>
        <v>45752.041666666431</v>
      </c>
      <c r="B104" s="12">
        <f t="shared" si="7"/>
        <v>45752.083333333096</v>
      </c>
      <c r="C104" s="13">
        <f t="shared" si="8"/>
        <v>3.6970000000000001</v>
      </c>
      <c r="D104" s="14">
        <f t="shared" si="6"/>
        <v>3697</v>
      </c>
      <c r="G104" s="12">
        <f t="shared" si="9"/>
        <v>45752.041666666431</v>
      </c>
      <c r="H104" s="12">
        <f t="shared" si="10"/>
        <v>45752.083333333096</v>
      </c>
      <c r="I104" s="132"/>
      <c r="J104" s="169">
        <v>3697</v>
      </c>
      <c r="K104" s="175"/>
    </row>
    <row r="105" spans="1:11" ht="14.4" x14ac:dyDescent="0.3">
      <c r="A105" s="12">
        <f t="shared" si="11"/>
        <v>45752.083333333096</v>
      </c>
      <c r="B105" s="12">
        <f t="shared" si="7"/>
        <v>45752.12499999976</v>
      </c>
      <c r="C105" s="13">
        <f t="shared" si="8"/>
        <v>3.6749999999999998</v>
      </c>
      <c r="D105" s="14">
        <f t="shared" si="6"/>
        <v>3675</v>
      </c>
      <c r="G105" s="12">
        <f t="shared" si="9"/>
        <v>45752.083333333096</v>
      </c>
      <c r="H105" s="12">
        <f t="shared" si="10"/>
        <v>45752.12499999976</v>
      </c>
      <c r="I105" s="132"/>
      <c r="J105" s="169">
        <v>3675</v>
      </c>
      <c r="K105" s="175"/>
    </row>
    <row r="106" spans="1:11" ht="14.4" x14ac:dyDescent="0.3">
      <c r="A106" s="12">
        <f t="shared" si="11"/>
        <v>45752.12499999976</v>
      </c>
      <c r="B106" s="12">
        <f t="shared" si="7"/>
        <v>45752.166666666424</v>
      </c>
      <c r="C106" s="13">
        <f t="shared" si="8"/>
        <v>3.76</v>
      </c>
      <c r="D106" s="14">
        <f t="shared" si="6"/>
        <v>3760</v>
      </c>
      <c r="G106" s="12">
        <f t="shared" si="9"/>
        <v>45752.12499999976</v>
      </c>
      <c r="H106" s="12">
        <f t="shared" si="10"/>
        <v>45752.166666666424</v>
      </c>
      <c r="I106" s="132"/>
      <c r="J106" s="169">
        <v>3760</v>
      </c>
      <c r="K106" s="175"/>
    </row>
    <row r="107" spans="1:11" ht="14.4" x14ac:dyDescent="0.3">
      <c r="A107" s="12">
        <f t="shared" si="11"/>
        <v>45752.166666666424</v>
      </c>
      <c r="B107" s="12">
        <f t="shared" si="7"/>
        <v>45752.208333333088</v>
      </c>
      <c r="C107" s="13">
        <f t="shared" si="8"/>
        <v>3.9990000000000001</v>
      </c>
      <c r="D107" s="14">
        <f t="shared" si="6"/>
        <v>3999</v>
      </c>
      <c r="G107" s="12">
        <f t="shared" si="9"/>
        <v>45752.166666666424</v>
      </c>
      <c r="H107" s="12">
        <f t="shared" si="10"/>
        <v>45752.208333333088</v>
      </c>
      <c r="I107" s="132"/>
      <c r="J107" s="169">
        <v>3999</v>
      </c>
      <c r="K107" s="175"/>
    </row>
    <row r="108" spans="1:11" ht="14.4" x14ac:dyDescent="0.3">
      <c r="A108" s="12">
        <f t="shared" si="11"/>
        <v>45752.208333333088</v>
      </c>
      <c r="B108" s="12">
        <f t="shared" si="7"/>
        <v>45752.249999999753</v>
      </c>
      <c r="C108" s="13">
        <f t="shared" si="8"/>
        <v>4.4279999999999999</v>
      </c>
      <c r="D108" s="14">
        <f t="shared" si="6"/>
        <v>4428</v>
      </c>
      <c r="G108" s="12">
        <f t="shared" si="9"/>
        <v>45752.208333333088</v>
      </c>
      <c r="H108" s="12">
        <f t="shared" si="10"/>
        <v>45752.249999999753</v>
      </c>
      <c r="I108" s="132"/>
      <c r="J108" s="169">
        <v>4428</v>
      </c>
      <c r="K108" s="175"/>
    </row>
    <row r="109" spans="1:11" ht="14.4" x14ac:dyDescent="0.3">
      <c r="A109" s="12">
        <f t="shared" si="11"/>
        <v>45752.249999999753</v>
      </c>
      <c r="B109" s="12">
        <f t="shared" si="7"/>
        <v>45752.291666666417</v>
      </c>
      <c r="C109" s="13">
        <f t="shared" si="8"/>
        <v>4.4950000000000001</v>
      </c>
      <c r="D109" s="14">
        <f t="shared" si="6"/>
        <v>4495</v>
      </c>
      <c r="G109" s="12">
        <f t="shared" si="9"/>
        <v>45752.249999999753</v>
      </c>
      <c r="H109" s="12">
        <f t="shared" si="10"/>
        <v>45752.291666666417</v>
      </c>
      <c r="I109" s="132"/>
      <c r="J109" s="169">
        <v>4495</v>
      </c>
      <c r="K109" s="175"/>
    </row>
    <row r="110" spans="1:11" ht="14.4" x14ac:dyDescent="0.3">
      <c r="A110" s="12">
        <f t="shared" si="11"/>
        <v>45752.291666666417</v>
      </c>
      <c r="B110" s="12">
        <f t="shared" si="7"/>
        <v>45752.333333333081</v>
      </c>
      <c r="C110" s="13">
        <f t="shared" si="8"/>
        <v>4.6859999999999999</v>
      </c>
      <c r="D110" s="14">
        <f t="shared" si="6"/>
        <v>4686</v>
      </c>
      <c r="G110" s="12">
        <f t="shared" si="9"/>
        <v>45752.291666666417</v>
      </c>
      <c r="H110" s="12">
        <f t="shared" si="10"/>
        <v>45752.333333333081</v>
      </c>
      <c r="I110" s="132"/>
      <c r="J110" s="169">
        <v>4686</v>
      </c>
      <c r="K110" s="175"/>
    </row>
    <row r="111" spans="1:11" ht="14.4" x14ac:dyDescent="0.3">
      <c r="A111" s="12">
        <f t="shared" si="11"/>
        <v>45752.333333333081</v>
      </c>
      <c r="B111" s="12">
        <f t="shared" si="7"/>
        <v>45752.374999999745</v>
      </c>
      <c r="C111" s="13">
        <f t="shared" si="8"/>
        <v>4.6829999999999998</v>
      </c>
      <c r="D111" s="14">
        <f t="shared" si="6"/>
        <v>4683</v>
      </c>
      <c r="G111" s="12">
        <f t="shared" si="9"/>
        <v>45752.333333333081</v>
      </c>
      <c r="H111" s="12">
        <f t="shared" si="10"/>
        <v>45752.374999999745</v>
      </c>
      <c r="I111" s="132"/>
      <c r="J111" s="169">
        <v>4683</v>
      </c>
      <c r="K111" s="175"/>
    </row>
    <row r="112" spans="1:11" ht="14.4" x14ac:dyDescent="0.3">
      <c r="A112" s="12">
        <f t="shared" si="11"/>
        <v>45752.374999999745</v>
      </c>
      <c r="B112" s="12">
        <f t="shared" si="7"/>
        <v>45752.41666666641</v>
      </c>
      <c r="C112" s="13">
        <f t="shared" si="8"/>
        <v>4.8230000000000004</v>
      </c>
      <c r="D112" s="14">
        <f t="shared" si="6"/>
        <v>4823</v>
      </c>
      <c r="G112" s="12">
        <f t="shared" si="9"/>
        <v>45752.374999999745</v>
      </c>
      <c r="H112" s="12">
        <f t="shared" si="10"/>
        <v>45752.41666666641</v>
      </c>
      <c r="I112" s="132"/>
      <c r="J112" s="169">
        <v>4823</v>
      </c>
      <c r="K112" s="175"/>
    </row>
    <row r="113" spans="1:11" ht="14.4" x14ac:dyDescent="0.3">
      <c r="A113" s="12">
        <f t="shared" si="11"/>
        <v>45752.41666666641</v>
      </c>
      <c r="B113" s="12">
        <f t="shared" si="7"/>
        <v>45752.458333333074</v>
      </c>
      <c r="C113" s="13">
        <f t="shared" si="8"/>
        <v>4.7889999999999997</v>
      </c>
      <c r="D113" s="14">
        <f t="shared" si="6"/>
        <v>4789</v>
      </c>
      <c r="G113" s="12">
        <f t="shared" si="9"/>
        <v>45752.41666666641</v>
      </c>
      <c r="H113" s="12">
        <f t="shared" si="10"/>
        <v>45752.458333333074</v>
      </c>
      <c r="I113" s="132"/>
      <c r="J113" s="169">
        <v>4789</v>
      </c>
      <c r="K113" s="175"/>
    </row>
    <row r="114" spans="1:11" ht="14.4" x14ac:dyDescent="0.3">
      <c r="A114" s="12">
        <f t="shared" si="11"/>
        <v>45752.458333333074</v>
      </c>
      <c r="B114" s="12">
        <f t="shared" si="7"/>
        <v>45752.499999999738</v>
      </c>
      <c r="C114" s="13">
        <f t="shared" si="8"/>
        <v>4.5209999999999999</v>
      </c>
      <c r="D114" s="14">
        <f t="shared" si="6"/>
        <v>4521</v>
      </c>
      <c r="G114" s="12">
        <f t="shared" si="9"/>
        <v>45752.458333333074</v>
      </c>
      <c r="H114" s="12">
        <f t="shared" si="10"/>
        <v>45752.499999999738</v>
      </c>
      <c r="I114" s="132"/>
      <c r="J114" s="169">
        <v>4521</v>
      </c>
      <c r="K114" s="175"/>
    </row>
    <row r="115" spans="1:11" ht="14.4" x14ac:dyDescent="0.3">
      <c r="A115" s="12">
        <f t="shared" si="11"/>
        <v>45752.499999999738</v>
      </c>
      <c r="B115" s="12">
        <f t="shared" si="7"/>
        <v>45752.541666666402</v>
      </c>
      <c r="C115" s="13">
        <f t="shared" si="8"/>
        <v>3.9950000000000001</v>
      </c>
      <c r="D115" s="14">
        <f t="shared" si="6"/>
        <v>3995</v>
      </c>
      <c r="G115" s="12">
        <f t="shared" si="9"/>
        <v>45752.499999999738</v>
      </c>
      <c r="H115" s="12">
        <f t="shared" si="10"/>
        <v>45752.541666666402</v>
      </c>
      <c r="I115" s="132"/>
      <c r="J115" s="169">
        <v>3995</v>
      </c>
      <c r="K115" s="175"/>
    </row>
    <row r="116" spans="1:11" ht="14.4" x14ac:dyDescent="0.3">
      <c r="A116" s="12">
        <f t="shared" si="11"/>
        <v>45752.541666666402</v>
      </c>
      <c r="B116" s="12">
        <f t="shared" si="7"/>
        <v>45752.583333333067</v>
      </c>
      <c r="C116" s="13">
        <f t="shared" si="8"/>
        <v>3.6960000000000002</v>
      </c>
      <c r="D116" s="14">
        <f t="shared" si="6"/>
        <v>3696</v>
      </c>
      <c r="G116" s="12">
        <f t="shared" si="9"/>
        <v>45752.541666666402</v>
      </c>
      <c r="H116" s="12">
        <f t="shared" si="10"/>
        <v>45752.583333333067</v>
      </c>
      <c r="I116" s="132"/>
      <c r="J116" s="169">
        <v>3696</v>
      </c>
      <c r="K116" s="175"/>
    </row>
    <row r="117" spans="1:11" ht="14.4" x14ac:dyDescent="0.3">
      <c r="A117" s="12">
        <f t="shared" si="11"/>
        <v>45752.583333333067</v>
      </c>
      <c r="B117" s="12">
        <f t="shared" si="7"/>
        <v>45752.624999999731</v>
      </c>
      <c r="C117" s="13">
        <f t="shared" si="8"/>
        <v>3.4449999999999998</v>
      </c>
      <c r="D117" s="14">
        <f t="shared" si="6"/>
        <v>3445</v>
      </c>
      <c r="G117" s="12">
        <f t="shared" si="9"/>
        <v>45752.583333333067</v>
      </c>
      <c r="H117" s="12">
        <f t="shared" si="10"/>
        <v>45752.624999999731</v>
      </c>
      <c r="I117" s="132"/>
      <c r="J117" s="169">
        <v>3445</v>
      </c>
      <c r="K117" s="175"/>
    </row>
    <row r="118" spans="1:11" ht="14.4" x14ac:dyDescent="0.3">
      <c r="A118" s="12">
        <f t="shared" si="11"/>
        <v>45752.624999999731</v>
      </c>
      <c r="B118" s="12">
        <f t="shared" si="7"/>
        <v>45752.666666666395</v>
      </c>
      <c r="C118" s="13">
        <f t="shared" si="8"/>
        <v>3.4860000000000002</v>
      </c>
      <c r="D118" s="14">
        <f t="shared" si="6"/>
        <v>3486</v>
      </c>
      <c r="G118" s="12">
        <f t="shared" si="9"/>
        <v>45752.624999999731</v>
      </c>
      <c r="H118" s="12">
        <f t="shared" si="10"/>
        <v>45752.666666666395</v>
      </c>
      <c r="I118" s="132"/>
      <c r="J118" s="169">
        <v>3486</v>
      </c>
      <c r="K118" s="175"/>
    </row>
    <row r="119" spans="1:11" ht="14.4" x14ac:dyDescent="0.3">
      <c r="A119" s="12">
        <f t="shared" si="11"/>
        <v>45752.666666666395</v>
      </c>
      <c r="B119" s="12">
        <f t="shared" si="7"/>
        <v>45752.708333333059</v>
      </c>
      <c r="C119" s="13">
        <f t="shared" si="8"/>
        <v>3.6389999999999998</v>
      </c>
      <c r="D119" s="14">
        <f t="shared" si="6"/>
        <v>3639</v>
      </c>
      <c r="G119" s="12">
        <f t="shared" si="9"/>
        <v>45752.666666666395</v>
      </c>
      <c r="H119" s="12">
        <f t="shared" si="10"/>
        <v>45752.708333333059</v>
      </c>
      <c r="I119" s="132"/>
      <c r="J119" s="169">
        <v>3639</v>
      </c>
      <c r="K119" s="175"/>
    </row>
    <row r="120" spans="1:11" ht="14.4" x14ac:dyDescent="0.3">
      <c r="A120" s="12">
        <f t="shared" si="11"/>
        <v>45752.708333333059</v>
      </c>
      <c r="B120" s="12">
        <f t="shared" si="7"/>
        <v>45752.749999999724</v>
      </c>
      <c r="C120" s="13">
        <f t="shared" si="8"/>
        <v>4.0030000000000001</v>
      </c>
      <c r="D120" s="14">
        <f t="shared" si="6"/>
        <v>4003</v>
      </c>
      <c r="G120" s="12">
        <f t="shared" si="9"/>
        <v>45752.708333333059</v>
      </c>
      <c r="H120" s="12">
        <f t="shared" si="10"/>
        <v>45752.749999999724</v>
      </c>
      <c r="I120" s="132"/>
      <c r="J120" s="169">
        <v>4003</v>
      </c>
      <c r="K120" s="175"/>
    </row>
    <row r="121" spans="1:11" ht="14.4" x14ac:dyDescent="0.3">
      <c r="A121" s="12">
        <f t="shared" si="11"/>
        <v>45752.749999999724</v>
      </c>
      <c r="B121" s="12">
        <f t="shared" si="7"/>
        <v>45752.791666666388</v>
      </c>
      <c r="C121" s="13">
        <f t="shared" si="8"/>
        <v>4.2919999999999998</v>
      </c>
      <c r="D121" s="14">
        <f t="shared" si="6"/>
        <v>4292</v>
      </c>
      <c r="G121" s="12">
        <f t="shared" si="9"/>
        <v>45752.749999999724</v>
      </c>
      <c r="H121" s="12">
        <f t="shared" si="10"/>
        <v>45752.791666666388</v>
      </c>
      <c r="I121" s="132"/>
      <c r="J121" s="169">
        <v>4292</v>
      </c>
      <c r="K121" s="175"/>
    </row>
    <row r="122" spans="1:11" ht="14.4" x14ac:dyDescent="0.3">
      <c r="A122" s="12">
        <f t="shared" si="11"/>
        <v>45752.791666666388</v>
      </c>
      <c r="B122" s="12">
        <f t="shared" si="7"/>
        <v>45752.833333333052</v>
      </c>
      <c r="C122" s="13">
        <f t="shared" si="8"/>
        <v>4.4960000000000004</v>
      </c>
      <c r="D122" s="14">
        <f t="shared" si="6"/>
        <v>4496</v>
      </c>
      <c r="G122" s="12">
        <f t="shared" si="9"/>
        <v>45752.791666666388</v>
      </c>
      <c r="H122" s="12">
        <f t="shared" si="10"/>
        <v>45752.833333333052</v>
      </c>
      <c r="I122" s="132"/>
      <c r="J122" s="169">
        <v>4496</v>
      </c>
      <c r="K122" s="175"/>
    </row>
    <row r="123" spans="1:11" ht="14.4" x14ac:dyDescent="0.3">
      <c r="A123" s="12">
        <f t="shared" si="11"/>
        <v>45752.833333333052</v>
      </c>
      <c r="B123" s="12">
        <f t="shared" si="7"/>
        <v>45752.874999999716</v>
      </c>
      <c r="C123" s="13">
        <f t="shared" si="8"/>
        <v>4.4109999999999996</v>
      </c>
      <c r="D123" s="14">
        <f t="shared" si="6"/>
        <v>4411</v>
      </c>
      <c r="G123" s="12">
        <f t="shared" si="9"/>
        <v>45752.833333333052</v>
      </c>
      <c r="H123" s="12">
        <f t="shared" si="10"/>
        <v>45752.874999999716</v>
      </c>
      <c r="I123" s="132"/>
      <c r="J123" s="169">
        <v>4411</v>
      </c>
      <c r="K123" s="175"/>
    </row>
    <row r="124" spans="1:11" ht="14.4" x14ac:dyDescent="0.3">
      <c r="A124" s="12">
        <f t="shared" si="11"/>
        <v>45752.874999999716</v>
      </c>
      <c r="B124" s="12">
        <f t="shared" si="7"/>
        <v>45752.91666666638</v>
      </c>
      <c r="C124" s="13">
        <f t="shared" si="8"/>
        <v>4.2030000000000003</v>
      </c>
      <c r="D124" s="14">
        <f t="shared" si="6"/>
        <v>4203</v>
      </c>
      <c r="G124" s="12">
        <f t="shared" si="9"/>
        <v>45752.874999999716</v>
      </c>
      <c r="H124" s="12">
        <f t="shared" si="10"/>
        <v>45752.91666666638</v>
      </c>
      <c r="I124" s="132"/>
      <c r="J124" s="169">
        <v>4203</v>
      </c>
      <c r="K124" s="175"/>
    </row>
    <row r="125" spans="1:11" ht="14.4" x14ac:dyDescent="0.3">
      <c r="A125" s="12">
        <f t="shared" si="11"/>
        <v>45752.91666666638</v>
      </c>
      <c r="B125" s="12">
        <f t="shared" si="7"/>
        <v>45752.958333333045</v>
      </c>
      <c r="C125" s="13">
        <f t="shared" si="8"/>
        <v>3.9780000000000002</v>
      </c>
      <c r="D125" s="14">
        <f t="shared" si="6"/>
        <v>3978</v>
      </c>
      <c r="G125" s="12">
        <f t="shared" si="9"/>
        <v>45752.91666666638</v>
      </c>
      <c r="H125" s="12">
        <f t="shared" si="10"/>
        <v>45752.958333333045</v>
      </c>
      <c r="I125" s="132"/>
      <c r="J125" s="169">
        <v>3978</v>
      </c>
      <c r="K125" s="175"/>
    </row>
    <row r="126" spans="1:11" ht="14.4" x14ac:dyDescent="0.3">
      <c r="A126" s="12">
        <f t="shared" si="11"/>
        <v>45752.958333333045</v>
      </c>
      <c r="B126" s="12">
        <f t="shared" si="7"/>
        <v>45752.999999999709</v>
      </c>
      <c r="C126" s="13">
        <f t="shared" si="8"/>
        <v>3.8149999999999999</v>
      </c>
      <c r="D126" s="14">
        <f t="shared" si="6"/>
        <v>3815</v>
      </c>
      <c r="G126" s="12">
        <f t="shared" si="9"/>
        <v>45752.958333333045</v>
      </c>
      <c r="H126" s="12">
        <f t="shared" si="10"/>
        <v>45752.999999999709</v>
      </c>
      <c r="I126" s="132"/>
      <c r="J126" s="169">
        <v>3815</v>
      </c>
      <c r="K126" s="175"/>
    </row>
    <row r="127" spans="1:11" ht="14.4" x14ac:dyDescent="0.3">
      <c r="A127" s="12">
        <f t="shared" si="11"/>
        <v>45752.999999999709</v>
      </c>
      <c r="B127" s="12">
        <f t="shared" si="7"/>
        <v>45753.041666666373</v>
      </c>
      <c r="C127" s="13">
        <f t="shared" si="8"/>
        <v>3.7040000000000002</v>
      </c>
      <c r="D127" s="14">
        <f t="shared" si="6"/>
        <v>3704</v>
      </c>
      <c r="G127" s="12">
        <f t="shared" si="9"/>
        <v>45752.999999999709</v>
      </c>
      <c r="H127" s="12">
        <f t="shared" si="10"/>
        <v>45753.041666666373</v>
      </c>
      <c r="I127" s="132"/>
      <c r="J127" s="169">
        <v>3704</v>
      </c>
      <c r="K127" s="175"/>
    </row>
    <row r="128" spans="1:11" ht="14.4" x14ac:dyDescent="0.3">
      <c r="A128" s="12">
        <f t="shared" si="11"/>
        <v>45753.041666666373</v>
      </c>
      <c r="B128" s="12">
        <f t="shared" si="7"/>
        <v>45753.083333333037</v>
      </c>
      <c r="C128" s="13">
        <f t="shared" si="8"/>
        <v>3.669</v>
      </c>
      <c r="D128" s="14">
        <f t="shared" si="6"/>
        <v>3669</v>
      </c>
      <c r="G128" s="12">
        <f t="shared" si="9"/>
        <v>45753.041666666373</v>
      </c>
      <c r="H128" s="12">
        <f t="shared" si="10"/>
        <v>45753.083333333037</v>
      </c>
      <c r="I128" s="132"/>
      <c r="J128" s="169">
        <v>3669</v>
      </c>
      <c r="K128" s="175"/>
    </row>
    <row r="129" spans="1:11" ht="14.4" x14ac:dyDescent="0.3">
      <c r="A129" s="12">
        <f t="shared" si="11"/>
        <v>45753.083333333037</v>
      </c>
      <c r="B129" s="12">
        <f t="shared" si="7"/>
        <v>45753.124999999702</v>
      </c>
      <c r="C129" s="13">
        <f t="shared" si="8"/>
        <v>3.6789999999999998</v>
      </c>
      <c r="D129" s="14">
        <f t="shared" si="6"/>
        <v>3679</v>
      </c>
      <c r="G129" s="12">
        <f t="shared" si="9"/>
        <v>45753.083333333037</v>
      </c>
      <c r="H129" s="12">
        <f t="shared" si="10"/>
        <v>45753.124999999702</v>
      </c>
      <c r="I129" s="132"/>
      <c r="J129" s="169">
        <v>3679</v>
      </c>
      <c r="K129" s="175"/>
    </row>
    <row r="130" spans="1:11" ht="14.4" x14ac:dyDescent="0.3">
      <c r="A130" s="12">
        <f t="shared" si="11"/>
        <v>45753.124999999702</v>
      </c>
      <c r="B130" s="12">
        <f t="shared" si="7"/>
        <v>45753.166666666366</v>
      </c>
      <c r="C130" s="13">
        <f t="shared" si="8"/>
        <v>3.722</v>
      </c>
      <c r="D130" s="14">
        <f t="shared" si="6"/>
        <v>3722</v>
      </c>
      <c r="G130" s="12">
        <f t="shared" si="9"/>
        <v>45753.124999999702</v>
      </c>
      <c r="H130" s="12">
        <f t="shared" si="10"/>
        <v>45753.166666666366</v>
      </c>
      <c r="I130" s="132"/>
      <c r="J130" s="169">
        <v>3722</v>
      </c>
      <c r="K130" s="175"/>
    </row>
    <row r="131" spans="1:11" ht="14.4" x14ac:dyDescent="0.3">
      <c r="A131" s="12">
        <f t="shared" si="11"/>
        <v>45753.166666666366</v>
      </c>
      <c r="B131" s="12">
        <f t="shared" si="7"/>
        <v>45753.20833333303</v>
      </c>
      <c r="C131" s="13">
        <f t="shared" si="8"/>
        <v>3.9780000000000002</v>
      </c>
      <c r="D131" s="14">
        <f t="shared" si="6"/>
        <v>3978</v>
      </c>
      <c r="G131" s="12">
        <f t="shared" si="9"/>
        <v>45753.166666666366</v>
      </c>
      <c r="H131" s="12">
        <f t="shared" si="10"/>
        <v>45753.20833333303</v>
      </c>
      <c r="I131" s="132"/>
      <c r="J131" s="169">
        <v>3978</v>
      </c>
      <c r="K131" s="175"/>
    </row>
    <row r="132" spans="1:11" ht="14.4" x14ac:dyDescent="0.3">
      <c r="A132" s="12">
        <f t="shared" si="11"/>
        <v>45753.20833333303</v>
      </c>
      <c r="B132" s="12">
        <f t="shared" si="7"/>
        <v>45753.249999999694</v>
      </c>
      <c r="C132" s="13">
        <f t="shared" si="8"/>
        <v>4.343</v>
      </c>
      <c r="D132" s="14">
        <f t="shared" si="6"/>
        <v>4343</v>
      </c>
      <c r="G132" s="12">
        <f t="shared" si="9"/>
        <v>45753.20833333303</v>
      </c>
      <c r="H132" s="12">
        <f t="shared" si="10"/>
        <v>45753.249999999694</v>
      </c>
      <c r="I132" s="132"/>
      <c r="J132" s="169">
        <v>4343</v>
      </c>
      <c r="K132" s="175"/>
    </row>
    <row r="133" spans="1:11" ht="14.4" x14ac:dyDescent="0.3">
      <c r="A133" s="12">
        <f t="shared" si="11"/>
        <v>45753.249999999694</v>
      </c>
      <c r="B133" s="12">
        <f t="shared" si="7"/>
        <v>45753.291666666359</v>
      </c>
      <c r="C133" s="13">
        <f t="shared" si="8"/>
        <v>4.3109999999999999</v>
      </c>
      <c r="D133" s="14">
        <f t="shared" si="6"/>
        <v>4311</v>
      </c>
      <c r="G133" s="12">
        <f t="shared" si="9"/>
        <v>45753.249999999694</v>
      </c>
      <c r="H133" s="12">
        <f t="shared" si="10"/>
        <v>45753.291666666359</v>
      </c>
      <c r="I133" s="132"/>
      <c r="J133" s="169">
        <v>4311</v>
      </c>
      <c r="K133" s="175"/>
    </row>
    <row r="134" spans="1:11" ht="14.4" x14ac:dyDescent="0.3">
      <c r="A134" s="12">
        <f t="shared" si="11"/>
        <v>45753.291666666359</v>
      </c>
      <c r="B134" s="12">
        <f t="shared" si="7"/>
        <v>45753.333333333023</v>
      </c>
      <c r="C134" s="13">
        <f t="shared" si="8"/>
        <v>4.125</v>
      </c>
      <c r="D134" s="14">
        <f t="shared" si="6"/>
        <v>4125</v>
      </c>
      <c r="G134" s="12">
        <f t="shared" si="9"/>
        <v>45753.291666666359</v>
      </c>
      <c r="H134" s="12">
        <f t="shared" si="10"/>
        <v>45753.333333333023</v>
      </c>
      <c r="I134" s="132"/>
      <c r="J134" s="169">
        <v>4125</v>
      </c>
      <c r="K134" s="175"/>
    </row>
    <row r="135" spans="1:11" ht="14.4" x14ac:dyDescent="0.3">
      <c r="A135" s="12">
        <f t="shared" si="11"/>
        <v>45753.333333333023</v>
      </c>
      <c r="B135" s="12">
        <f t="shared" si="7"/>
        <v>45753.374999999687</v>
      </c>
      <c r="C135" s="13">
        <f t="shared" si="8"/>
        <v>3.9569999999999999</v>
      </c>
      <c r="D135" s="14">
        <f t="shared" ref="D135:D198" si="12">J135*(1+$D$3)*(1+$D$4)</f>
        <v>3957</v>
      </c>
      <c r="G135" s="12">
        <f t="shared" si="9"/>
        <v>45753.333333333023</v>
      </c>
      <c r="H135" s="12">
        <f t="shared" si="10"/>
        <v>45753.374999999687</v>
      </c>
      <c r="I135" s="132"/>
      <c r="J135" s="169">
        <v>3957</v>
      </c>
      <c r="K135" s="175"/>
    </row>
    <row r="136" spans="1:11" ht="14.4" x14ac:dyDescent="0.3">
      <c r="A136" s="12">
        <f t="shared" si="11"/>
        <v>45753.374999999687</v>
      </c>
      <c r="B136" s="12">
        <f t="shared" ref="B136:B199" si="13">$A136+1/24</f>
        <v>45753.416666666351</v>
      </c>
      <c r="C136" s="13">
        <f t="shared" ref="C136:C199" si="14">SUM(D136)/1000</f>
        <v>3.9910000000000001</v>
      </c>
      <c r="D136" s="14">
        <f t="shared" si="12"/>
        <v>3991</v>
      </c>
      <c r="G136" s="12">
        <f t="shared" ref="G136:G199" si="15">A136</f>
        <v>45753.374999999687</v>
      </c>
      <c r="H136" s="12">
        <f t="shared" ref="H136:H199" si="16">B136</f>
        <v>45753.416666666351</v>
      </c>
      <c r="I136" s="132"/>
      <c r="J136" s="169">
        <v>3991</v>
      </c>
      <c r="K136" s="175"/>
    </row>
    <row r="137" spans="1:11" ht="14.4" x14ac:dyDescent="0.3">
      <c r="A137" s="12">
        <f t="shared" ref="A137:A200" si="17">$A136+1/24</f>
        <v>45753.416666666351</v>
      </c>
      <c r="B137" s="12">
        <f t="shared" si="13"/>
        <v>45753.458333333016</v>
      </c>
      <c r="C137" s="13">
        <f t="shared" si="14"/>
        <v>3.6819999999999999</v>
      </c>
      <c r="D137" s="14">
        <f t="shared" si="12"/>
        <v>3682</v>
      </c>
      <c r="G137" s="12">
        <f t="shared" si="15"/>
        <v>45753.416666666351</v>
      </c>
      <c r="H137" s="12">
        <f t="shared" si="16"/>
        <v>45753.458333333016</v>
      </c>
      <c r="I137" s="132"/>
      <c r="J137" s="169">
        <v>3682</v>
      </c>
      <c r="K137" s="175"/>
    </row>
    <row r="138" spans="1:11" ht="14.4" x14ac:dyDescent="0.3">
      <c r="A138" s="12">
        <f t="shared" si="17"/>
        <v>45753.458333333016</v>
      </c>
      <c r="B138" s="12">
        <f t="shared" si="13"/>
        <v>45753.49999999968</v>
      </c>
      <c r="C138" s="13">
        <f t="shared" si="14"/>
        <v>3.3759999999999999</v>
      </c>
      <c r="D138" s="14">
        <f t="shared" si="12"/>
        <v>3376</v>
      </c>
      <c r="G138" s="12">
        <f t="shared" si="15"/>
        <v>45753.458333333016</v>
      </c>
      <c r="H138" s="12">
        <f t="shared" si="16"/>
        <v>45753.49999999968</v>
      </c>
      <c r="I138" s="132"/>
      <c r="J138" s="169">
        <v>3376</v>
      </c>
      <c r="K138" s="175"/>
    </row>
    <row r="139" spans="1:11" ht="14.4" x14ac:dyDescent="0.3">
      <c r="A139" s="12">
        <f t="shared" si="17"/>
        <v>45753.49999999968</v>
      </c>
      <c r="B139" s="12">
        <f t="shared" si="13"/>
        <v>45753.541666666344</v>
      </c>
      <c r="C139" s="13">
        <f t="shared" si="14"/>
        <v>3.5630000000000002</v>
      </c>
      <c r="D139" s="14">
        <f t="shared" si="12"/>
        <v>3563</v>
      </c>
      <c r="G139" s="12">
        <f t="shared" si="15"/>
        <v>45753.49999999968</v>
      </c>
      <c r="H139" s="12">
        <f t="shared" si="16"/>
        <v>45753.541666666344</v>
      </c>
      <c r="I139" s="132"/>
      <c r="J139" s="169">
        <v>3563</v>
      </c>
      <c r="K139" s="175"/>
    </row>
    <row r="140" spans="1:11" ht="14.4" x14ac:dyDescent="0.3">
      <c r="A140" s="12">
        <f t="shared" si="17"/>
        <v>45753.541666666344</v>
      </c>
      <c r="B140" s="12">
        <f t="shared" si="13"/>
        <v>45753.583333333008</v>
      </c>
      <c r="C140" s="13">
        <f t="shared" si="14"/>
        <v>3.335</v>
      </c>
      <c r="D140" s="14">
        <f t="shared" si="12"/>
        <v>3335</v>
      </c>
      <c r="G140" s="12">
        <f t="shared" si="15"/>
        <v>45753.541666666344</v>
      </c>
      <c r="H140" s="12">
        <f t="shared" si="16"/>
        <v>45753.583333333008</v>
      </c>
      <c r="I140" s="132"/>
      <c r="J140" s="169">
        <v>3335</v>
      </c>
      <c r="K140" s="175"/>
    </row>
    <row r="141" spans="1:11" ht="14.4" x14ac:dyDescent="0.3">
      <c r="A141" s="12">
        <f t="shared" si="17"/>
        <v>45753.583333333008</v>
      </c>
      <c r="B141" s="12">
        <f t="shared" si="13"/>
        <v>45753.624999999673</v>
      </c>
      <c r="C141" s="13">
        <f t="shared" si="14"/>
        <v>3.2959999999999998</v>
      </c>
      <c r="D141" s="14">
        <f t="shared" si="12"/>
        <v>3296</v>
      </c>
      <c r="G141" s="12">
        <f t="shared" si="15"/>
        <v>45753.583333333008</v>
      </c>
      <c r="H141" s="12">
        <f t="shared" si="16"/>
        <v>45753.624999999673</v>
      </c>
      <c r="I141" s="132"/>
      <c r="J141" s="169">
        <v>3296</v>
      </c>
      <c r="K141" s="175"/>
    </row>
    <row r="142" spans="1:11" ht="14.4" x14ac:dyDescent="0.3">
      <c r="A142" s="12">
        <f t="shared" si="17"/>
        <v>45753.624999999673</v>
      </c>
      <c r="B142" s="12">
        <f t="shared" si="13"/>
        <v>45753.666666666337</v>
      </c>
      <c r="C142" s="13">
        <f t="shared" si="14"/>
        <v>3.3620000000000001</v>
      </c>
      <c r="D142" s="14">
        <f t="shared" si="12"/>
        <v>3362</v>
      </c>
      <c r="G142" s="12">
        <f t="shared" si="15"/>
        <v>45753.624999999673</v>
      </c>
      <c r="H142" s="12">
        <f t="shared" si="16"/>
        <v>45753.666666666337</v>
      </c>
      <c r="I142" s="132"/>
      <c r="J142" s="169">
        <v>3362</v>
      </c>
      <c r="K142" s="175"/>
    </row>
    <row r="143" spans="1:11" ht="14.4" x14ac:dyDescent="0.3">
      <c r="A143" s="12">
        <f t="shared" si="17"/>
        <v>45753.666666666337</v>
      </c>
      <c r="B143" s="12">
        <f t="shared" si="13"/>
        <v>45753.708333333001</v>
      </c>
      <c r="C143" s="13">
        <f t="shared" si="14"/>
        <v>3.649</v>
      </c>
      <c r="D143" s="14">
        <f t="shared" si="12"/>
        <v>3649</v>
      </c>
      <c r="G143" s="12">
        <f t="shared" si="15"/>
        <v>45753.666666666337</v>
      </c>
      <c r="H143" s="12">
        <f t="shared" si="16"/>
        <v>45753.708333333001</v>
      </c>
      <c r="I143" s="132"/>
      <c r="J143" s="169">
        <v>3649</v>
      </c>
      <c r="K143" s="175"/>
    </row>
    <row r="144" spans="1:11" ht="14.4" x14ac:dyDescent="0.3">
      <c r="A144" s="12">
        <f t="shared" si="17"/>
        <v>45753.708333333001</v>
      </c>
      <c r="B144" s="12">
        <f t="shared" si="13"/>
        <v>45753.749999999665</v>
      </c>
      <c r="C144" s="13">
        <f t="shared" si="14"/>
        <v>3.964</v>
      </c>
      <c r="D144" s="14">
        <f t="shared" si="12"/>
        <v>3964</v>
      </c>
      <c r="G144" s="12">
        <f t="shared" si="15"/>
        <v>45753.708333333001</v>
      </c>
      <c r="H144" s="12">
        <f t="shared" si="16"/>
        <v>45753.749999999665</v>
      </c>
      <c r="I144" s="132"/>
      <c r="J144" s="169">
        <v>3964</v>
      </c>
      <c r="K144" s="175"/>
    </row>
    <row r="145" spans="1:11" ht="14.4" x14ac:dyDescent="0.3">
      <c r="A145" s="12">
        <f t="shared" si="17"/>
        <v>45753.749999999665</v>
      </c>
      <c r="B145" s="12">
        <f t="shared" si="13"/>
        <v>45753.79166666633</v>
      </c>
      <c r="C145" s="13">
        <f t="shared" si="14"/>
        <v>4.1079999999999997</v>
      </c>
      <c r="D145" s="14">
        <f t="shared" si="12"/>
        <v>4108</v>
      </c>
      <c r="G145" s="12">
        <f t="shared" si="15"/>
        <v>45753.749999999665</v>
      </c>
      <c r="H145" s="12">
        <f t="shared" si="16"/>
        <v>45753.79166666633</v>
      </c>
      <c r="I145" s="132"/>
      <c r="J145" s="169">
        <v>4108</v>
      </c>
      <c r="K145" s="175"/>
    </row>
    <row r="146" spans="1:11" ht="14.4" x14ac:dyDescent="0.3">
      <c r="A146" s="12">
        <f t="shared" si="17"/>
        <v>45753.79166666633</v>
      </c>
      <c r="B146" s="12">
        <f t="shared" si="13"/>
        <v>45753.833333332994</v>
      </c>
      <c r="C146" s="13">
        <f t="shared" si="14"/>
        <v>4.3559999999999999</v>
      </c>
      <c r="D146" s="14">
        <f t="shared" si="12"/>
        <v>4356</v>
      </c>
      <c r="G146" s="12">
        <f t="shared" si="15"/>
        <v>45753.79166666633</v>
      </c>
      <c r="H146" s="12">
        <f t="shared" si="16"/>
        <v>45753.833333332994</v>
      </c>
      <c r="I146" s="132"/>
      <c r="J146" s="169">
        <v>4356</v>
      </c>
      <c r="K146" s="175"/>
    </row>
    <row r="147" spans="1:11" ht="14.4" x14ac:dyDescent="0.3">
      <c r="A147" s="12">
        <f t="shared" si="17"/>
        <v>45753.833333332994</v>
      </c>
      <c r="B147" s="12">
        <f t="shared" si="13"/>
        <v>45753.874999999658</v>
      </c>
      <c r="C147" s="13">
        <f t="shared" si="14"/>
        <v>4.3079999999999998</v>
      </c>
      <c r="D147" s="14">
        <f t="shared" si="12"/>
        <v>4308</v>
      </c>
      <c r="G147" s="12">
        <f t="shared" si="15"/>
        <v>45753.833333332994</v>
      </c>
      <c r="H147" s="12">
        <f t="shared" si="16"/>
        <v>45753.874999999658</v>
      </c>
      <c r="I147" s="132"/>
      <c r="J147" s="169">
        <v>4308</v>
      </c>
      <c r="K147" s="175"/>
    </row>
    <row r="148" spans="1:11" ht="14.4" x14ac:dyDescent="0.3">
      <c r="A148" s="12">
        <f t="shared" si="17"/>
        <v>45753.874999999658</v>
      </c>
      <c r="B148" s="12">
        <f t="shared" si="13"/>
        <v>45753.916666666322</v>
      </c>
      <c r="C148" s="13">
        <f t="shared" si="14"/>
        <v>4.0259999999999998</v>
      </c>
      <c r="D148" s="14">
        <f t="shared" si="12"/>
        <v>4026</v>
      </c>
      <c r="G148" s="12">
        <f t="shared" si="15"/>
        <v>45753.874999999658</v>
      </c>
      <c r="H148" s="12">
        <f t="shared" si="16"/>
        <v>45753.916666666322</v>
      </c>
      <c r="I148" s="132"/>
      <c r="J148" s="169">
        <v>4026</v>
      </c>
      <c r="K148" s="175"/>
    </row>
    <row r="149" spans="1:11" ht="14.4" x14ac:dyDescent="0.3">
      <c r="A149" s="12">
        <f t="shared" si="17"/>
        <v>45753.916666666322</v>
      </c>
      <c r="B149" s="12">
        <f t="shared" si="13"/>
        <v>45753.958333332987</v>
      </c>
      <c r="C149" s="13">
        <f t="shared" si="14"/>
        <v>3.706</v>
      </c>
      <c r="D149" s="14">
        <f t="shared" si="12"/>
        <v>3706</v>
      </c>
      <c r="G149" s="12">
        <f t="shared" si="15"/>
        <v>45753.916666666322</v>
      </c>
      <c r="H149" s="12">
        <f t="shared" si="16"/>
        <v>45753.958333332987</v>
      </c>
      <c r="I149" s="132"/>
      <c r="J149" s="169">
        <v>3706</v>
      </c>
      <c r="K149" s="175"/>
    </row>
    <row r="150" spans="1:11" ht="14.4" x14ac:dyDescent="0.3">
      <c r="A150" s="12">
        <f t="shared" si="17"/>
        <v>45753.958333332987</v>
      </c>
      <c r="B150" s="12">
        <f t="shared" si="13"/>
        <v>45753.999999999651</v>
      </c>
      <c r="C150" s="13">
        <f t="shared" si="14"/>
        <v>3.5790000000000002</v>
      </c>
      <c r="D150" s="14">
        <f t="shared" si="12"/>
        <v>3579</v>
      </c>
      <c r="G150" s="12">
        <f t="shared" si="15"/>
        <v>45753.958333332987</v>
      </c>
      <c r="H150" s="12">
        <f t="shared" si="16"/>
        <v>45753.999999999651</v>
      </c>
      <c r="I150" s="132"/>
      <c r="J150" s="169">
        <v>3579</v>
      </c>
      <c r="K150" s="175"/>
    </row>
    <row r="151" spans="1:11" ht="14.4" x14ac:dyDescent="0.3">
      <c r="A151" s="12">
        <f t="shared" si="17"/>
        <v>45753.999999999651</v>
      </c>
      <c r="B151" s="12">
        <f t="shared" si="13"/>
        <v>45754.041666666315</v>
      </c>
      <c r="C151" s="13">
        <f t="shared" si="14"/>
        <v>3.5630000000000002</v>
      </c>
      <c r="D151" s="14">
        <f t="shared" si="12"/>
        <v>3563</v>
      </c>
      <c r="G151" s="12">
        <f t="shared" si="15"/>
        <v>45753.999999999651</v>
      </c>
      <c r="H151" s="12">
        <f t="shared" si="16"/>
        <v>45754.041666666315</v>
      </c>
      <c r="I151" s="132"/>
      <c r="J151" s="169">
        <v>3563</v>
      </c>
      <c r="K151" s="175"/>
    </row>
    <row r="152" spans="1:11" ht="14.4" x14ac:dyDescent="0.3">
      <c r="A152" s="12">
        <f t="shared" si="17"/>
        <v>45754.041666666315</v>
      </c>
      <c r="B152" s="12">
        <f t="shared" si="13"/>
        <v>45754.083333332979</v>
      </c>
      <c r="C152" s="13">
        <f t="shared" si="14"/>
        <v>3.6190000000000002</v>
      </c>
      <c r="D152" s="14">
        <f t="shared" si="12"/>
        <v>3619</v>
      </c>
      <c r="G152" s="12">
        <f t="shared" si="15"/>
        <v>45754.041666666315</v>
      </c>
      <c r="H152" s="12">
        <f t="shared" si="16"/>
        <v>45754.083333332979</v>
      </c>
      <c r="I152" s="132"/>
      <c r="J152" s="169">
        <v>3619</v>
      </c>
      <c r="K152" s="175"/>
    </row>
    <row r="153" spans="1:11" ht="14.4" x14ac:dyDescent="0.3">
      <c r="A153" s="12">
        <f t="shared" si="17"/>
        <v>45754.083333332979</v>
      </c>
      <c r="B153" s="12">
        <f t="shared" si="13"/>
        <v>45754.124999999643</v>
      </c>
      <c r="C153" s="13">
        <f t="shared" si="14"/>
        <v>3.7549999999999999</v>
      </c>
      <c r="D153" s="14">
        <f t="shared" si="12"/>
        <v>3755</v>
      </c>
      <c r="G153" s="12">
        <f t="shared" si="15"/>
        <v>45754.083333332979</v>
      </c>
      <c r="H153" s="12">
        <f t="shared" si="16"/>
        <v>45754.124999999643</v>
      </c>
      <c r="I153" s="132"/>
      <c r="J153" s="169">
        <v>3755</v>
      </c>
      <c r="K153" s="175"/>
    </row>
    <row r="154" spans="1:11" ht="14.4" x14ac:dyDescent="0.3">
      <c r="A154" s="12">
        <f t="shared" si="17"/>
        <v>45754.124999999643</v>
      </c>
      <c r="B154" s="12">
        <f t="shared" si="13"/>
        <v>45754.166666666308</v>
      </c>
      <c r="C154" s="13">
        <f t="shared" si="14"/>
        <v>3.968</v>
      </c>
      <c r="D154" s="14">
        <f t="shared" si="12"/>
        <v>3968</v>
      </c>
      <c r="G154" s="12">
        <f t="shared" si="15"/>
        <v>45754.124999999643</v>
      </c>
      <c r="H154" s="12">
        <f t="shared" si="16"/>
        <v>45754.166666666308</v>
      </c>
      <c r="I154" s="132"/>
      <c r="J154" s="169">
        <v>3968</v>
      </c>
      <c r="K154" s="175"/>
    </row>
    <row r="155" spans="1:11" ht="14.4" x14ac:dyDescent="0.3">
      <c r="A155" s="12">
        <f t="shared" si="17"/>
        <v>45754.166666666308</v>
      </c>
      <c r="B155" s="12">
        <f t="shared" si="13"/>
        <v>45754.208333332972</v>
      </c>
      <c r="C155" s="13">
        <f t="shared" si="14"/>
        <v>4.2919999999999998</v>
      </c>
      <c r="D155" s="14">
        <f t="shared" si="12"/>
        <v>4292</v>
      </c>
      <c r="G155" s="12">
        <f t="shared" si="15"/>
        <v>45754.166666666308</v>
      </c>
      <c r="H155" s="12">
        <f t="shared" si="16"/>
        <v>45754.208333332972</v>
      </c>
      <c r="I155" s="132"/>
      <c r="J155" s="169">
        <v>4292</v>
      </c>
      <c r="K155" s="175"/>
    </row>
    <row r="156" spans="1:11" ht="14.4" x14ac:dyDescent="0.3">
      <c r="A156" s="12">
        <f t="shared" si="17"/>
        <v>45754.208333332972</v>
      </c>
      <c r="B156" s="12">
        <f t="shared" si="13"/>
        <v>45754.249999999636</v>
      </c>
      <c r="C156" s="13">
        <f t="shared" si="14"/>
        <v>4.9770000000000003</v>
      </c>
      <c r="D156" s="14">
        <f t="shared" si="12"/>
        <v>4977</v>
      </c>
      <c r="G156" s="12">
        <f t="shared" si="15"/>
        <v>45754.208333332972</v>
      </c>
      <c r="H156" s="12">
        <f t="shared" si="16"/>
        <v>45754.249999999636</v>
      </c>
      <c r="I156" s="132"/>
      <c r="J156" s="169">
        <v>4977</v>
      </c>
      <c r="K156" s="175"/>
    </row>
    <row r="157" spans="1:11" ht="14.4" x14ac:dyDescent="0.3">
      <c r="A157" s="12">
        <f t="shared" si="17"/>
        <v>45754.249999999636</v>
      </c>
      <c r="B157" s="12">
        <f t="shared" si="13"/>
        <v>45754.2916666663</v>
      </c>
      <c r="C157" s="13">
        <f t="shared" si="14"/>
        <v>5.2729999999999997</v>
      </c>
      <c r="D157" s="14">
        <f t="shared" si="12"/>
        <v>5273</v>
      </c>
      <c r="G157" s="12">
        <f t="shared" si="15"/>
        <v>45754.249999999636</v>
      </c>
      <c r="H157" s="12">
        <f t="shared" si="16"/>
        <v>45754.2916666663</v>
      </c>
      <c r="I157" s="132"/>
      <c r="J157" s="169">
        <v>5273</v>
      </c>
      <c r="K157" s="175"/>
    </row>
    <row r="158" spans="1:11" ht="14.4" x14ac:dyDescent="0.3">
      <c r="A158" s="12">
        <f t="shared" si="17"/>
        <v>45754.2916666663</v>
      </c>
      <c r="B158" s="12">
        <f t="shared" si="13"/>
        <v>45754.333333332965</v>
      </c>
      <c r="C158" s="13">
        <f t="shared" si="14"/>
        <v>4.9939999999999998</v>
      </c>
      <c r="D158" s="14">
        <f t="shared" si="12"/>
        <v>4994</v>
      </c>
      <c r="G158" s="12">
        <f t="shared" si="15"/>
        <v>45754.2916666663</v>
      </c>
      <c r="H158" s="12">
        <f t="shared" si="16"/>
        <v>45754.333333332965</v>
      </c>
      <c r="I158" s="132"/>
      <c r="J158" s="169">
        <v>4994</v>
      </c>
      <c r="K158" s="175"/>
    </row>
    <row r="159" spans="1:11" ht="14.4" x14ac:dyDescent="0.3">
      <c r="A159" s="12">
        <f t="shared" si="17"/>
        <v>45754.333333332965</v>
      </c>
      <c r="B159" s="12">
        <f t="shared" si="13"/>
        <v>45754.374999999629</v>
      </c>
      <c r="C159" s="13">
        <f t="shared" si="14"/>
        <v>4.5049999999999999</v>
      </c>
      <c r="D159" s="14">
        <f t="shared" si="12"/>
        <v>4505</v>
      </c>
      <c r="G159" s="12">
        <f t="shared" si="15"/>
        <v>45754.333333332965</v>
      </c>
      <c r="H159" s="12">
        <f t="shared" si="16"/>
        <v>45754.374999999629</v>
      </c>
      <c r="I159" s="132"/>
      <c r="J159" s="169">
        <v>4505</v>
      </c>
      <c r="K159" s="175"/>
    </row>
    <row r="160" spans="1:11" ht="14.4" x14ac:dyDescent="0.3">
      <c r="A160" s="12">
        <f t="shared" si="17"/>
        <v>45754.374999999629</v>
      </c>
      <c r="B160" s="12">
        <f t="shared" si="13"/>
        <v>45754.416666666293</v>
      </c>
      <c r="C160" s="13">
        <f t="shared" si="14"/>
        <v>4.2569999999999997</v>
      </c>
      <c r="D160" s="14">
        <f t="shared" si="12"/>
        <v>4257</v>
      </c>
      <c r="G160" s="12">
        <f t="shared" si="15"/>
        <v>45754.374999999629</v>
      </c>
      <c r="H160" s="12">
        <f t="shared" si="16"/>
        <v>45754.416666666293</v>
      </c>
      <c r="I160" s="132"/>
      <c r="J160" s="169">
        <v>4257</v>
      </c>
      <c r="K160" s="175"/>
    </row>
    <row r="161" spans="1:11" ht="14.4" x14ac:dyDescent="0.3">
      <c r="A161" s="12">
        <f t="shared" si="17"/>
        <v>45754.416666666293</v>
      </c>
      <c r="B161" s="12">
        <f t="shared" si="13"/>
        <v>45754.458333332957</v>
      </c>
      <c r="C161" s="13">
        <f t="shared" si="14"/>
        <v>4.1909999999999998</v>
      </c>
      <c r="D161" s="14">
        <f t="shared" si="12"/>
        <v>4191</v>
      </c>
      <c r="G161" s="12">
        <f t="shared" si="15"/>
        <v>45754.416666666293</v>
      </c>
      <c r="H161" s="12">
        <f t="shared" si="16"/>
        <v>45754.458333332957</v>
      </c>
      <c r="I161" s="132"/>
      <c r="J161" s="169">
        <v>4191</v>
      </c>
      <c r="K161" s="175"/>
    </row>
    <row r="162" spans="1:11" ht="14.4" x14ac:dyDescent="0.3">
      <c r="A162" s="12">
        <f t="shared" si="17"/>
        <v>45754.458333332957</v>
      </c>
      <c r="B162" s="12">
        <f t="shared" si="13"/>
        <v>45754.499999999622</v>
      </c>
      <c r="C162" s="13">
        <f t="shared" si="14"/>
        <v>4.0469999999999997</v>
      </c>
      <c r="D162" s="14">
        <f t="shared" si="12"/>
        <v>4047</v>
      </c>
      <c r="G162" s="12">
        <f t="shared" si="15"/>
        <v>45754.458333332957</v>
      </c>
      <c r="H162" s="12">
        <f t="shared" si="16"/>
        <v>45754.499999999622</v>
      </c>
      <c r="I162" s="132"/>
      <c r="J162" s="169">
        <v>4047</v>
      </c>
      <c r="K162" s="175"/>
    </row>
    <row r="163" spans="1:11" ht="14.4" x14ac:dyDescent="0.3">
      <c r="A163" s="12">
        <f t="shared" si="17"/>
        <v>45754.499999999622</v>
      </c>
      <c r="B163" s="12">
        <f t="shared" si="13"/>
        <v>45754.541666666286</v>
      </c>
      <c r="C163" s="13">
        <f t="shared" si="14"/>
        <v>4.0229999999999997</v>
      </c>
      <c r="D163" s="14">
        <f t="shared" si="12"/>
        <v>4023</v>
      </c>
      <c r="G163" s="12">
        <f t="shared" si="15"/>
        <v>45754.499999999622</v>
      </c>
      <c r="H163" s="12">
        <f t="shared" si="16"/>
        <v>45754.541666666286</v>
      </c>
      <c r="I163" s="132"/>
      <c r="J163" s="169">
        <v>4023</v>
      </c>
      <c r="K163" s="175"/>
    </row>
    <row r="164" spans="1:11" ht="14.4" x14ac:dyDescent="0.3">
      <c r="A164" s="12">
        <f t="shared" si="17"/>
        <v>45754.541666666286</v>
      </c>
      <c r="B164" s="12">
        <f t="shared" si="13"/>
        <v>45754.58333333295</v>
      </c>
      <c r="C164" s="13">
        <f t="shared" si="14"/>
        <v>4.077</v>
      </c>
      <c r="D164" s="14">
        <f t="shared" si="12"/>
        <v>4077</v>
      </c>
      <c r="G164" s="12">
        <f t="shared" si="15"/>
        <v>45754.541666666286</v>
      </c>
      <c r="H164" s="12">
        <f t="shared" si="16"/>
        <v>45754.58333333295</v>
      </c>
      <c r="I164" s="132"/>
      <c r="J164" s="169">
        <v>4077</v>
      </c>
      <c r="K164" s="175"/>
    </row>
    <row r="165" spans="1:11" ht="14.4" x14ac:dyDescent="0.3">
      <c r="A165" s="12">
        <f t="shared" si="17"/>
        <v>45754.58333333295</v>
      </c>
      <c r="B165" s="12">
        <f t="shared" si="13"/>
        <v>45754.624999999614</v>
      </c>
      <c r="C165" s="13">
        <f t="shared" si="14"/>
        <v>3.9609999999999999</v>
      </c>
      <c r="D165" s="14">
        <f t="shared" si="12"/>
        <v>3961</v>
      </c>
      <c r="G165" s="12">
        <f t="shared" si="15"/>
        <v>45754.58333333295</v>
      </c>
      <c r="H165" s="12">
        <f t="shared" si="16"/>
        <v>45754.624999999614</v>
      </c>
      <c r="I165" s="132"/>
      <c r="J165" s="169">
        <v>3961</v>
      </c>
      <c r="K165" s="175"/>
    </row>
    <row r="166" spans="1:11" ht="14.4" x14ac:dyDescent="0.3">
      <c r="A166" s="12">
        <f t="shared" si="17"/>
        <v>45754.624999999614</v>
      </c>
      <c r="B166" s="12">
        <f t="shared" si="13"/>
        <v>45754.666666666279</v>
      </c>
      <c r="C166" s="13">
        <f t="shared" si="14"/>
        <v>3.9980000000000002</v>
      </c>
      <c r="D166" s="14">
        <f t="shared" si="12"/>
        <v>3998</v>
      </c>
      <c r="G166" s="12">
        <f t="shared" si="15"/>
        <v>45754.624999999614</v>
      </c>
      <c r="H166" s="12">
        <f t="shared" si="16"/>
        <v>45754.666666666279</v>
      </c>
      <c r="I166" s="132"/>
      <c r="J166" s="169">
        <v>3998</v>
      </c>
      <c r="K166" s="175"/>
    </row>
    <row r="167" spans="1:11" ht="14.4" x14ac:dyDescent="0.3">
      <c r="A167" s="12">
        <f t="shared" si="17"/>
        <v>45754.666666666279</v>
      </c>
      <c r="B167" s="12">
        <f t="shared" si="13"/>
        <v>45754.708333332943</v>
      </c>
      <c r="C167" s="13">
        <f t="shared" si="14"/>
        <v>3.8109999999999999</v>
      </c>
      <c r="D167" s="14">
        <f t="shared" si="12"/>
        <v>3811</v>
      </c>
      <c r="G167" s="12">
        <f t="shared" si="15"/>
        <v>45754.666666666279</v>
      </c>
      <c r="H167" s="12">
        <f t="shared" si="16"/>
        <v>45754.708333332943</v>
      </c>
      <c r="I167" s="132"/>
      <c r="J167" s="169">
        <v>3811</v>
      </c>
      <c r="K167" s="175"/>
    </row>
    <row r="168" spans="1:11" ht="14.4" x14ac:dyDescent="0.3">
      <c r="A168" s="12">
        <f t="shared" si="17"/>
        <v>45754.708333332943</v>
      </c>
      <c r="B168" s="12">
        <f t="shared" si="13"/>
        <v>45754.749999999607</v>
      </c>
      <c r="C168" s="13">
        <f t="shared" si="14"/>
        <v>4.1020000000000003</v>
      </c>
      <c r="D168" s="14">
        <f t="shared" si="12"/>
        <v>4102</v>
      </c>
      <c r="G168" s="12">
        <f t="shared" si="15"/>
        <v>45754.708333332943</v>
      </c>
      <c r="H168" s="12">
        <f t="shared" si="16"/>
        <v>45754.749999999607</v>
      </c>
      <c r="I168" s="132"/>
      <c r="J168" s="169">
        <v>4102</v>
      </c>
      <c r="K168" s="175"/>
    </row>
    <row r="169" spans="1:11" ht="14.4" x14ac:dyDescent="0.3">
      <c r="A169" s="12">
        <f t="shared" si="17"/>
        <v>45754.749999999607</v>
      </c>
      <c r="B169" s="12">
        <f t="shared" si="13"/>
        <v>45754.791666666271</v>
      </c>
      <c r="C169" s="13">
        <f t="shared" si="14"/>
        <v>4.3250000000000002</v>
      </c>
      <c r="D169" s="14">
        <f t="shared" si="12"/>
        <v>4325</v>
      </c>
      <c r="G169" s="12">
        <f t="shared" si="15"/>
        <v>45754.749999999607</v>
      </c>
      <c r="H169" s="12">
        <f t="shared" si="16"/>
        <v>45754.791666666271</v>
      </c>
      <c r="I169" s="132"/>
      <c r="J169" s="169">
        <v>4325</v>
      </c>
      <c r="K169" s="175"/>
    </row>
    <row r="170" spans="1:11" ht="14.4" x14ac:dyDescent="0.3">
      <c r="A170" s="12">
        <f t="shared" si="17"/>
        <v>45754.791666666271</v>
      </c>
      <c r="B170" s="12">
        <f t="shared" si="13"/>
        <v>45754.833333332936</v>
      </c>
      <c r="C170" s="13">
        <f t="shared" si="14"/>
        <v>4.4409999999999998</v>
      </c>
      <c r="D170" s="14">
        <f t="shared" si="12"/>
        <v>4441</v>
      </c>
      <c r="G170" s="12">
        <f t="shared" si="15"/>
        <v>45754.791666666271</v>
      </c>
      <c r="H170" s="12">
        <f t="shared" si="16"/>
        <v>45754.833333332936</v>
      </c>
      <c r="I170" s="132"/>
      <c r="J170" s="169">
        <v>4441</v>
      </c>
      <c r="K170" s="175"/>
    </row>
    <row r="171" spans="1:11" ht="14.4" x14ac:dyDescent="0.3">
      <c r="A171" s="12">
        <f t="shared" si="17"/>
        <v>45754.833333332936</v>
      </c>
      <c r="B171" s="12">
        <f t="shared" si="13"/>
        <v>45754.8749999996</v>
      </c>
      <c r="C171" s="13">
        <f t="shared" si="14"/>
        <v>4.2859999999999996</v>
      </c>
      <c r="D171" s="14">
        <f t="shared" si="12"/>
        <v>4286</v>
      </c>
      <c r="G171" s="12">
        <f t="shared" si="15"/>
        <v>45754.833333332936</v>
      </c>
      <c r="H171" s="12">
        <f t="shared" si="16"/>
        <v>45754.8749999996</v>
      </c>
      <c r="I171" s="132"/>
      <c r="J171" s="169">
        <v>4286</v>
      </c>
      <c r="K171" s="175"/>
    </row>
    <row r="172" spans="1:11" ht="14.4" x14ac:dyDescent="0.3">
      <c r="A172" s="12">
        <f t="shared" si="17"/>
        <v>45754.8749999996</v>
      </c>
      <c r="B172" s="12">
        <f t="shared" si="13"/>
        <v>45754.916666666264</v>
      </c>
      <c r="C172" s="13">
        <f t="shared" si="14"/>
        <v>3.9540000000000002</v>
      </c>
      <c r="D172" s="14">
        <f t="shared" si="12"/>
        <v>3954</v>
      </c>
      <c r="G172" s="12">
        <f t="shared" si="15"/>
        <v>45754.8749999996</v>
      </c>
      <c r="H172" s="12">
        <f t="shared" si="16"/>
        <v>45754.916666666264</v>
      </c>
      <c r="I172" s="132"/>
      <c r="J172" s="169">
        <v>3954</v>
      </c>
      <c r="K172" s="175"/>
    </row>
    <row r="173" spans="1:11" ht="14.4" x14ac:dyDescent="0.3">
      <c r="A173" s="12">
        <f t="shared" si="17"/>
        <v>45754.916666666264</v>
      </c>
      <c r="B173" s="12">
        <f t="shared" si="13"/>
        <v>45754.958333332928</v>
      </c>
      <c r="C173" s="13">
        <f t="shared" si="14"/>
        <v>3.6219999999999999</v>
      </c>
      <c r="D173" s="14">
        <f t="shared" si="12"/>
        <v>3622</v>
      </c>
      <c r="G173" s="12">
        <f t="shared" si="15"/>
        <v>45754.916666666264</v>
      </c>
      <c r="H173" s="12">
        <f t="shared" si="16"/>
        <v>45754.958333332928</v>
      </c>
      <c r="I173" s="132"/>
      <c r="J173" s="169">
        <v>3622</v>
      </c>
      <c r="K173" s="175"/>
    </row>
    <row r="174" spans="1:11" ht="14.4" x14ac:dyDescent="0.3">
      <c r="A174" s="12">
        <f t="shared" si="17"/>
        <v>45754.958333332928</v>
      </c>
      <c r="B174" s="12">
        <f t="shared" si="13"/>
        <v>45754.999999999593</v>
      </c>
      <c r="C174" s="13">
        <f t="shared" si="14"/>
        <v>3.508</v>
      </c>
      <c r="D174" s="14">
        <f t="shared" si="12"/>
        <v>3508</v>
      </c>
      <c r="G174" s="12">
        <f t="shared" si="15"/>
        <v>45754.958333332928</v>
      </c>
      <c r="H174" s="12">
        <f t="shared" si="16"/>
        <v>45754.999999999593</v>
      </c>
      <c r="I174" s="132"/>
      <c r="J174" s="169">
        <v>3508</v>
      </c>
      <c r="K174" s="175"/>
    </row>
    <row r="175" spans="1:11" ht="14.4" x14ac:dyDescent="0.3">
      <c r="A175" s="12">
        <f t="shared" si="17"/>
        <v>45754.999999999593</v>
      </c>
      <c r="B175" s="12">
        <f t="shared" si="13"/>
        <v>45755.041666666257</v>
      </c>
      <c r="C175" s="13">
        <f t="shared" si="14"/>
        <v>3.5310000000000001</v>
      </c>
      <c r="D175" s="14">
        <f t="shared" si="12"/>
        <v>3531</v>
      </c>
      <c r="G175" s="12">
        <f t="shared" si="15"/>
        <v>45754.999999999593</v>
      </c>
      <c r="H175" s="12">
        <f t="shared" si="16"/>
        <v>45755.041666666257</v>
      </c>
      <c r="I175" s="132"/>
      <c r="J175" s="169">
        <v>3531</v>
      </c>
      <c r="K175" s="175"/>
    </row>
    <row r="176" spans="1:11" ht="14.4" x14ac:dyDescent="0.3">
      <c r="A176" s="12">
        <f t="shared" si="17"/>
        <v>45755.041666666257</v>
      </c>
      <c r="B176" s="12">
        <f t="shared" si="13"/>
        <v>45755.083333332921</v>
      </c>
      <c r="C176" s="13">
        <f t="shared" si="14"/>
        <v>3.5649999999999999</v>
      </c>
      <c r="D176" s="14">
        <f t="shared" si="12"/>
        <v>3565</v>
      </c>
      <c r="G176" s="12">
        <f t="shared" si="15"/>
        <v>45755.041666666257</v>
      </c>
      <c r="H176" s="12">
        <f t="shared" si="16"/>
        <v>45755.083333332921</v>
      </c>
      <c r="I176" s="132"/>
      <c r="J176" s="169">
        <v>3565</v>
      </c>
      <c r="K176" s="175"/>
    </row>
    <row r="177" spans="1:11" ht="14.4" x14ac:dyDescent="0.3">
      <c r="A177" s="12">
        <f t="shared" si="17"/>
        <v>45755.083333332921</v>
      </c>
      <c r="B177" s="12">
        <f t="shared" si="13"/>
        <v>45755.124999999585</v>
      </c>
      <c r="C177" s="13">
        <f t="shared" si="14"/>
        <v>3.7050000000000001</v>
      </c>
      <c r="D177" s="14">
        <f t="shared" si="12"/>
        <v>3705</v>
      </c>
      <c r="G177" s="12">
        <f t="shared" si="15"/>
        <v>45755.083333332921</v>
      </c>
      <c r="H177" s="12">
        <f t="shared" si="16"/>
        <v>45755.124999999585</v>
      </c>
      <c r="I177" s="132"/>
      <c r="J177" s="169">
        <v>3705</v>
      </c>
      <c r="K177" s="175"/>
    </row>
    <row r="178" spans="1:11" ht="14.4" x14ac:dyDescent="0.3">
      <c r="A178" s="12">
        <f t="shared" si="17"/>
        <v>45755.124999999585</v>
      </c>
      <c r="B178" s="12">
        <f t="shared" si="13"/>
        <v>45755.16666666625</v>
      </c>
      <c r="C178" s="13">
        <f t="shared" si="14"/>
        <v>3.903</v>
      </c>
      <c r="D178" s="14">
        <f t="shared" si="12"/>
        <v>3903</v>
      </c>
      <c r="G178" s="12">
        <f t="shared" si="15"/>
        <v>45755.124999999585</v>
      </c>
      <c r="H178" s="12">
        <f t="shared" si="16"/>
        <v>45755.16666666625</v>
      </c>
      <c r="I178" s="132"/>
      <c r="J178" s="169">
        <v>3903</v>
      </c>
      <c r="K178" s="175"/>
    </row>
    <row r="179" spans="1:11" ht="14.4" x14ac:dyDescent="0.3">
      <c r="A179" s="12">
        <f t="shared" si="17"/>
        <v>45755.16666666625</v>
      </c>
      <c r="B179" s="12">
        <f t="shared" si="13"/>
        <v>45755.208333332914</v>
      </c>
      <c r="C179" s="13">
        <f t="shared" si="14"/>
        <v>4.1520000000000001</v>
      </c>
      <c r="D179" s="14">
        <f t="shared" si="12"/>
        <v>4152</v>
      </c>
      <c r="G179" s="12">
        <f t="shared" si="15"/>
        <v>45755.16666666625</v>
      </c>
      <c r="H179" s="12">
        <f t="shared" si="16"/>
        <v>45755.208333332914</v>
      </c>
      <c r="I179" s="132"/>
      <c r="J179" s="169">
        <v>4152</v>
      </c>
      <c r="K179" s="175"/>
    </row>
    <row r="180" spans="1:11" ht="14.4" x14ac:dyDescent="0.3">
      <c r="A180" s="12">
        <f t="shared" si="17"/>
        <v>45755.208333332914</v>
      </c>
      <c r="B180" s="12">
        <f t="shared" si="13"/>
        <v>45755.249999999578</v>
      </c>
      <c r="C180" s="13">
        <f t="shared" si="14"/>
        <v>4.8129999999999997</v>
      </c>
      <c r="D180" s="14">
        <f t="shared" si="12"/>
        <v>4813</v>
      </c>
      <c r="G180" s="12">
        <f t="shared" si="15"/>
        <v>45755.208333332914</v>
      </c>
      <c r="H180" s="12">
        <f t="shared" si="16"/>
        <v>45755.249999999578</v>
      </c>
      <c r="I180" s="132"/>
      <c r="J180" s="169">
        <v>4813</v>
      </c>
      <c r="K180" s="175"/>
    </row>
    <row r="181" spans="1:11" ht="14.4" x14ac:dyDescent="0.3">
      <c r="A181" s="12">
        <f t="shared" si="17"/>
        <v>45755.249999999578</v>
      </c>
      <c r="B181" s="12">
        <f t="shared" si="13"/>
        <v>45755.291666666242</v>
      </c>
      <c r="C181" s="13">
        <f t="shared" si="14"/>
        <v>5.0620000000000003</v>
      </c>
      <c r="D181" s="14">
        <f t="shared" si="12"/>
        <v>5062</v>
      </c>
      <c r="G181" s="12">
        <f t="shared" si="15"/>
        <v>45755.249999999578</v>
      </c>
      <c r="H181" s="12">
        <f t="shared" si="16"/>
        <v>45755.291666666242</v>
      </c>
      <c r="I181" s="132"/>
      <c r="J181" s="169">
        <v>5062</v>
      </c>
      <c r="K181" s="175"/>
    </row>
    <row r="182" spans="1:11" ht="14.4" x14ac:dyDescent="0.3">
      <c r="A182" s="12">
        <f t="shared" si="17"/>
        <v>45755.291666666242</v>
      </c>
      <c r="B182" s="12">
        <f t="shared" si="13"/>
        <v>45755.333333332906</v>
      </c>
      <c r="C182" s="13">
        <f t="shared" si="14"/>
        <v>4.9569999999999999</v>
      </c>
      <c r="D182" s="14">
        <f t="shared" si="12"/>
        <v>4957</v>
      </c>
      <c r="G182" s="12">
        <f t="shared" si="15"/>
        <v>45755.291666666242</v>
      </c>
      <c r="H182" s="12">
        <f t="shared" si="16"/>
        <v>45755.333333332906</v>
      </c>
      <c r="I182" s="132"/>
      <c r="J182" s="169">
        <v>4957</v>
      </c>
      <c r="K182" s="175"/>
    </row>
    <row r="183" spans="1:11" ht="14.4" x14ac:dyDescent="0.3">
      <c r="A183" s="12">
        <f t="shared" si="17"/>
        <v>45755.333333332906</v>
      </c>
      <c r="B183" s="12">
        <f t="shared" si="13"/>
        <v>45755.374999999571</v>
      </c>
      <c r="C183" s="13">
        <f t="shared" si="14"/>
        <v>4.4790000000000001</v>
      </c>
      <c r="D183" s="14">
        <f t="shared" si="12"/>
        <v>4479</v>
      </c>
      <c r="G183" s="12">
        <f t="shared" si="15"/>
        <v>45755.333333332906</v>
      </c>
      <c r="H183" s="12">
        <f t="shared" si="16"/>
        <v>45755.374999999571</v>
      </c>
      <c r="I183" s="132"/>
      <c r="J183" s="169">
        <v>4479</v>
      </c>
      <c r="K183" s="175"/>
    </row>
    <row r="184" spans="1:11" ht="14.4" x14ac:dyDescent="0.3">
      <c r="A184" s="12">
        <f t="shared" si="17"/>
        <v>45755.374999999571</v>
      </c>
      <c r="B184" s="12">
        <f t="shared" si="13"/>
        <v>45755.416666666235</v>
      </c>
      <c r="C184" s="13">
        <f t="shared" si="14"/>
        <v>4.2629999999999999</v>
      </c>
      <c r="D184" s="14">
        <f t="shared" si="12"/>
        <v>4263</v>
      </c>
      <c r="G184" s="12">
        <f t="shared" si="15"/>
        <v>45755.374999999571</v>
      </c>
      <c r="H184" s="12">
        <f t="shared" si="16"/>
        <v>45755.416666666235</v>
      </c>
      <c r="I184" s="132"/>
      <c r="J184" s="169">
        <v>4263</v>
      </c>
      <c r="K184" s="175"/>
    </row>
    <row r="185" spans="1:11" ht="14.4" x14ac:dyDescent="0.3">
      <c r="A185" s="12">
        <f t="shared" si="17"/>
        <v>45755.416666666235</v>
      </c>
      <c r="B185" s="12">
        <f t="shared" si="13"/>
        <v>45755.458333332899</v>
      </c>
      <c r="C185" s="13">
        <f t="shared" si="14"/>
        <v>4.1280000000000001</v>
      </c>
      <c r="D185" s="14">
        <f t="shared" si="12"/>
        <v>4128</v>
      </c>
      <c r="G185" s="12">
        <f t="shared" si="15"/>
        <v>45755.416666666235</v>
      </c>
      <c r="H185" s="12">
        <f t="shared" si="16"/>
        <v>45755.458333332899</v>
      </c>
      <c r="I185" s="132"/>
      <c r="J185" s="169">
        <v>4128</v>
      </c>
      <c r="K185" s="175"/>
    </row>
    <row r="186" spans="1:11" ht="14.4" x14ac:dyDescent="0.3">
      <c r="A186" s="12">
        <f t="shared" si="17"/>
        <v>45755.458333332899</v>
      </c>
      <c r="B186" s="12">
        <f t="shared" si="13"/>
        <v>45755.499999999563</v>
      </c>
      <c r="C186" s="13">
        <f t="shared" si="14"/>
        <v>4.1669999999999998</v>
      </c>
      <c r="D186" s="14">
        <f t="shared" si="12"/>
        <v>4167</v>
      </c>
      <c r="G186" s="12">
        <f t="shared" si="15"/>
        <v>45755.458333332899</v>
      </c>
      <c r="H186" s="12">
        <f t="shared" si="16"/>
        <v>45755.499999999563</v>
      </c>
      <c r="I186" s="132"/>
      <c r="J186" s="169">
        <v>4167</v>
      </c>
      <c r="K186" s="175"/>
    </row>
    <row r="187" spans="1:11" ht="14.4" x14ac:dyDescent="0.3">
      <c r="A187" s="12">
        <f t="shared" si="17"/>
        <v>45755.499999999563</v>
      </c>
      <c r="B187" s="12">
        <f t="shared" si="13"/>
        <v>45755.541666666228</v>
      </c>
      <c r="C187" s="13">
        <f t="shared" si="14"/>
        <v>3.9319999999999999</v>
      </c>
      <c r="D187" s="14">
        <f t="shared" si="12"/>
        <v>3932</v>
      </c>
      <c r="G187" s="12">
        <f t="shared" si="15"/>
        <v>45755.499999999563</v>
      </c>
      <c r="H187" s="12">
        <f t="shared" si="16"/>
        <v>45755.541666666228</v>
      </c>
      <c r="I187" s="132"/>
      <c r="J187" s="169">
        <v>3932</v>
      </c>
      <c r="K187" s="175"/>
    </row>
    <row r="188" spans="1:11" ht="14.4" x14ac:dyDescent="0.3">
      <c r="A188" s="12">
        <f t="shared" si="17"/>
        <v>45755.541666666228</v>
      </c>
      <c r="B188" s="12">
        <f t="shared" si="13"/>
        <v>45755.583333332892</v>
      </c>
      <c r="C188" s="13">
        <f t="shared" si="14"/>
        <v>3.8740000000000001</v>
      </c>
      <c r="D188" s="14">
        <f t="shared" si="12"/>
        <v>3874</v>
      </c>
      <c r="G188" s="12">
        <f t="shared" si="15"/>
        <v>45755.541666666228</v>
      </c>
      <c r="H188" s="12">
        <f t="shared" si="16"/>
        <v>45755.583333332892</v>
      </c>
      <c r="I188" s="132"/>
      <c r="J188" s="169">
        <v>3874</v>
      </c>
      <c r="K188" s="175"/>
    </row>
    <row r="189" spans="1:11" ht="14.4" x14ac:dyDescent="0.3">
      <c r="A189" s="12">
        <f t="shared" si="17"/>
        <v>45755.583333332892</v>
      </c>
      <c r="B189" s="12">
        <f t="shared" si="13"/>
        <v>45755.624999999556</v>
      </c>
      <c r="C189" s="13">
        <f t="shared" si="14"/>
        <v>3.9620000000000002</v>
      </c>
      <c r="D189" s="14">
        <f t="shared" si="12"/>
        <v>3962</v>
      </c>
      <c r="G189" s="12">
        <f t="shared" si="15"/>
        <v>45755.583333332892</v>
      </c>
      <c r="H189" s="12">
        <f t="shared" si="16"/>
        <v>45755.624999999556</v>
      </c>
      <c r="I189" s="132"/>
      <c r="J189" s="169">
        <v>3962</v>
      </c>
      <c r="K189" s="175"/>
    </row>
    <row r="190" spans="1:11" ht="14.4" x14ac:dyDescent="0.3">
      <c r="A190" s="12">
        <f t="shared" si="17"/>
        <v>45755.624999999556</v>
      </c>
      <c r="B190" s="12">
        <f t="shared" si="13"/>
        <v>45755.66666666622</v>
      </c>
      <c r="C190" s="13">
        <f t="shared" si="14"/>
        <v>4.008</v>
      </c>
      <c r="D190" s="14">
        <f t="shared" si="12"/>
        <v>4008</v>
      </c>
      <c r="G190" s="12">
        <f t="shared" si="15"/>
        <v>45755.624999999556</v>
      </c>
      <c r="H190" s="12">
        <f t="shared" si="16"/>
        <v>45755.66666666622</v>
      </c>
      <c r="I190" s="132"/>
      <c r="J190" s="169">
        <v>4008</v>
      </c>
      <c r="K190" s="175"/>
    </row>
    <row r="191" spans="1:11" ht="14.4" x14ac:dyDescent="0.3">
      <c r="A191" s="12">
        <f t="shared" si="17"/>
        <v>45755.66666666622</v>
      </c>
      <c r="B191" s="12">
        <f t="shared" si="13"/>
        <v>45755.708333332885</v>
      </c>
      <c r="C191" s="13">
        <f t="shared" si="14"/>
        <v>3.907</v>
      </c>
      <c r="D191" s="14">
        <f t="shared" si="12"/>
        <v>3907</v>
      </c>
      <c r="G191" s="12">
        <f t="shared" si="15"/>
        <v>45755.66666666622</v>
      </c>
      <c r="H191" s="12">
        <f t="shared" si="16"/>
        <v>45755.708333332885</v>
      </c>
      <c r="I191" s="132"/>
      <c r="J191" s="169">
        <v>3907</v>
      </c>
      <c r="K191" s="175"/>
    </row>
    <row r="192" spans="1:11" ht="14.4" x14ac:dyDescent="0.3">
      <c r="A192" s="12">
        <f t="shared" si="17"/>
        <v>45755.708333332885</v>
      </c>
      <c r="B192" s="12">
        <f t="shared" si="13"/>
        <v>45755.749999999549</v>
      </c>
      <c r="C192" s="13">
        <f t="shared" si="14"/>
        <v>4.18</v>
      </c>
      <c r="D192" s="14">
        <f t="shared" si="12"/>
        <v>4180</v>
      </c>
      <c r="G192" s="12">
        <f t="shared" si="15"/>
        <v>45755.708333332885</v>
      </c>
      <c r="H192" s="12">
        <f t="shared" si="16"/>
        <v>45755.749999999549</v>
      </c>
      <c r="I192" s="132"/>
      <c r="J192" s="169">
        <v>4180</v>
      </c>
      <c r="K192" s="175"/>
    </row>
    <row r="193" spans="1:11" ht="14.4" x14ac:dyDescent="0.3">
      <c r="A193" s="12">
        <f t="shared" si="17"/>
        <v>45755.749999999549</v>
      </c>
      <c r="B193" s="12">
        <f t="shared" si="13"/>
        <v>45755.791666666213</v>
      </c>
      <c r="C193" s="13">
        <f t="shared" si="14"/>
        <v>4.2889999999999997</v>
      </c>
      <c r="D193" s="14">
        <f t="shared" si="12"/>
        <v>4289</v>
      </c>
      <c r="G193" s="12">
        <f t="shared" si="15"/>
        <v>45755.749999999549</v>
      </c>
      <c r="H193" s="12">
        <f t="shared" si="16"/>
        <v>45755.791666666213</v>
      </c>
      <c r="I193" s="132"/>
      <c r="J193" s="169">
        <v>4289</v>
      </c>
      <c r="K193" s="175"/>
    </row>
    <row r="194" spans="1:11" ht="14.4" x14ac:dyDescent="0.3">
      <c r="A194" s="12">
        <f t="shared" si="17"/>
        <v>45755.791666666213</v>
      </c>
      <c r="B194" s="12">
        <f t="shared" si="13"/>
        <v>45755.833333332877</v>
      </c>
      <c r="C194" s="13">
        <f t="shared" si="14"/>
        <v>4.298</v>
      </c>
      <c r="D194" s="14">
        <f t="shared" si="12"/>
        <v>4298</v>
      </c>
      <c r="G194" s="12">
        <f t="shared" si="15"/>
        <v>45755.791666666213</v>
      </c>
      <c r="H194" s="12">
        <f t="shared" si="16"/>
        <v>45755.833333332877</v>
      </c>
      <c r="I194" s="132"/>
      <c r="J194" s="169">
        <v>4298</v>
      </c>
      <c r="K194" s="175"/>
    </row>
    <row r="195" spans="1:11" ht="14.4" x14ac:dyDescent="0.3">
      <c r="A195" s="12">
        <f t="shared" si="17"/>
        <v>45755.833333332877</v>
      </c>
      <c r="B195" s="12">
        <f t="shared" si="13"/>
        <v>45755.874999999542</v>
      </c>
      <c r="C195" s="13">
        <f t="shared" si="14"/>
        <v>4.0410000000000004</v>
      </c>
      <c r="D195" s="14">
        <f t="shared" si="12"/>
        <v>4041</v>
      </c>
      <c r="G195" s="12">
        <f t="shared" si="15"/>
        <v>45755.833333332877</v>
      </c>
      <c r="H195" s="12">
        <f t="shared" si="16"/>
        <v>45755.874999999542</v>
      </c>
      <c r="I195" s="132"/>
      <c r="J195" s="169">
        <v>4041</v>
      </c>
      <c r="K195" s="175"/>
    </row>
    <row r="196" spans="1:11" ht="14.4" x14ac:dyDescent="0.3">
      <c r="A196" s="12">
        <f t="shared" si="17"/>
        <v>45755.874999999542</v>
      </c>
      <c r="B196" s="12">
        <f t="shared" si="13"/>
        <v>45755.916666666206</v>
      </c>
      <c r="C196" s="13">
        <f t="shared" si="14"/>
        <v>3.6909999999999998</v>
      </c>
      <c r="D196" s="14">
        <f t="shared" si="12"/>
        <v>3691</v>
      </c>
      <c r="G196" s="12">
        <f t="shared" si="15"/>
        <v>45755.874999999542</v>
      </c>
      <c r="H196" s="12">
        <f t="shared" si="16"/>
        <v>45755.916666666206</v>
      </c>
      <c r="I196" s="132"/>
      <c r="J196" s="169">
        <v>3691</v>
      </c>
      <c r="K196" s="175"/>
    </row>
    <row r="197" spans="1:11" ht="14.4" x14ac:dyDescent="0.3">
      <c r="A197" s="12">
        <f t="shared" si="17"/>
        <v>45755.916666666206</v>
      </c>
      <c r="B197" s="12">
        <f t="shared" si="13"/>
        <v>45755.95833333287</v>
      </c>
      <c r="C197" s="13">
        <f t="shared" si="14"/>
        <v>3.5270000000000001</v>
      </c>
      <c r="D197" s="14">
        <f t="shared" si="12"/>
        <v>3527</v>
      </c>
      <c r="G197" s="12">
        <f t="shared" si="15"/>
        <v>45755.916666666206</v>
      </c>
      <c r="H197" s="12">
        <f t="shared" si="16"/>
        <v>45755.95833333287</v>
      </c>
      <c r="I197" s="132"/>
      <c r="J197" s="169">
        <v>3527</v>
      </c>
      <c r="K197" s="175"/>
    </row>
    <row r="198" spans="1:11" ht="14.4" x14ac:dyDescent="0.3">
      <c r="A198" s="12">
        <f t="shared" si="17"/>
        <v>45755.95833333287</v>
      </c>
      <c r="B198" s="12">
        <f t="shared" si="13"/>
        <v>45755.999999999534</v>
      </c>
      <c r="C198" s="13">
        <f t="shared" si="14"/>
        <v>3.3540000000000001</v>
      </c>
      <c r="D198" s="14">
        <f t="shared" si="12"/>
        <v>3354</v>
      </c>
      <c r="G198" s="12">
        <f t="shared" si="15"/>
        <v>45755.95833333287</v>
      </c>
      <c r="H198" s="12">
        <f t="shared" si="16"/>
        <v>45755.999999999534</v>
      </c>
      <c r="I198" s="132"/>
      <c r="J198" s="169">
        <v>3354</v>
      </c>
      <c r="K198" s="175"/>
    </row>
    <row r="199" spans="1:11" ht="14.4" x14ac:dyDescent="0.3">
      <c r="A199" s="12">
        <f t="shared" si="17"/>
        <v>45755.999999999534</v>
      </c>
      <c r="B199" s="12">
        <f t="shared" si="13"/>
        <v>45756.041666666199</v>
      </c>
      <c r="C199" s="13">
        <f t="shared" si="14"/>
        <v>3.2719999999999998</v>
      </c>
      <c r="D199" s="14">
        <f t="shared" ref="D199:D248" si="18">J199*(1+$D$3)*(1+$D$4)</f>
        <v>3272</v>
      </c>
      <c r="G199" s="12">
        <f t="shared" si="15"/>
        <v>45755.999999999534</v>
      </c>
      <c r="H199" s="12">
        <f t="shared" si="16"/>
        <v>45756.041666666199</v>
      </c>
      <c r="I199" s="132"/>
      <c r="J199" s="169">
        <v>3272</v>
      </c>
      <c r="K199" s="175"/>
    </row>
    <row r="200" spans="1:11" ht="14.4" x14ac:dyDescent="0.3">
      <c r="A200" s="12">
        <f t="shared" si="17"/>
        <v>45756.041666666199</v>
      </c>
      <c r="B200" s="12">
        <f t="shared" ref="B200:B263" si="19">$A200+1/24</f>
        <v>45756.083333332863</v>
      </c>
      <c r="C200" s="13">
        <f t="shared" ref="C200:C263" si="20">SUM(D200)/1000</f>
        <v>3.2749999999999999</v>
      </c>
      <c r="D200" s="14">
        <f t="shared" si="18"/>
        <v>3275</v>
      </c>
      <c r="G200" s="12">
        <f t="shared" ref="G200:G263" si="21">A200</f>
        <v>45756.041666666199</v>
      </c>
      <c r="H200" s="12">
        <f t="shared" ref="H200:H263" si="22">B200</f>
        <v>45756.083333332863</v>
      </c>
      <c r="I200" s="132"/>
      <c r="J200" s="169">
        <v>3275</v>
      </c>
      <c r="K200" s="175"/>
    </row>
    <row r="201" spans="1:11" ht="14.4" x14ac:dyDescent="0.3">
      <c r="A201" s="12">
        <f t="shared" ref="A201:A264" si="23">$A200+1/24</f>
        <v>45756.083333332863</v>
      </c>
      <c r="B201" s="12">
        <f t="shared" si="19"/>
        <v>45756.124999999527</v>
      </c>
      <c r="C201" s="13">
        <f t="shared" si="20"/>
        <v>3.3839999999999999</v>
      </c>
      <c r="D201" s="14">
        <f t="shared" si="18"/>
        <v>3384</v>
      </c>
      <c r="G201" s="12">
        <f t="shared" si="21"/>
        <v>45756.083333332863</v>
      </c>
      <c r="H201" s="12">
        <f t="shared" si="22"/>
        <v>45756.124999999527</v>
      </c>
      <c r="I201" s="132"/>
      <c r="J201" s="169">
        <v>3384</v>
      </c>
      <c r="K201" s="175"/>
    </row>
    <row r="202" spans="1:11" ht="14.4" x14ac:dyDescent="0.3">
      <c r="A202" s="12">
        <f t="shared" si="23"/>
        <v>45756.124999999527</v>
      </c>
      <c r="B202" s="12">
        <f t="shared" si="19"/>
        <v>45756.166666666191</v>
      </c>
      <c r="C202" s="13">
        <f t="shared" si="20"/>
        <v>3.5739999999999998</v>
      </c>
      <c r="D202" s="14">
        <f t="shared" si="18"/>
        <v>3574</v>
      </c>
      <c r="G202" s="12">
        <f t="shared" si="21"/>
        <v>45756.124999999527</v>
      </c>
      <c r="H202" s="12">
        <f t="shared" si="22"/>
        <v>45756.166666666191</v>
      </c>
      <c r="I202" s="132"/>
      <c r="J202" s="169">
        <v>3574</v>
      </c>
      <c r="K202" s="175"/>
    </row>
    <row r="203" spans="1:11" ht="14.4" x14ac:dyDescent="0.3">
      <c r="A203" s="12">
        <f t="shared" si="23"/>
        <v>45756.166666666191</v>
      </c>
      <c r="B203" s="12">
        <f t="shared" si="19"/>
        <v>45756.208333332856</v>
      </c>
      <c r="C203" s="13">
        <f t="shared" si="20"/>
        <v>3.9940000000000002</v>
      </c>
      <c r="D203" s="14">
        <f t="shared" si="18"/>
        <v>3994</v>
      </c>
      <c r="G203" s="12">
        <f t="shared" si="21"/>
        <v>45756.166666666191</v>
      </c>
      <c r="H203" s="12">
        <f t="shared" si="22"/>
        <v>45756.208333332856</v>
      </c>
      <c r="I203" s="132"/>
      <c r="J203" s="169">
        <v>3994</v>
      </c>
      <c r="K203" s="175"/>
    </row>
    <row r="204" spans="1:11" ht="14.4" x14ac:dyDescent="0.3">
      <c r="A204" s="12">
        <f t="shared" si="23"/>
        <v>45756.208333332856</v>
      </c>
      <c r="B204" s="12">
        <f t="shared" si="19"/>
        <v>45756.24999999952</v>
      </c>
      <c r="C204" s="13">
        <f t="shared" si="20"/>
        <v>4.5739999999999998</v>
      </c>
      <c r="D204" s="14">
        <f t="shared" si="18"/>
        <v>4574</v>
      </c>
      <c r="G204" s="12">
        <f t="shared" si="21"/>
        <v>45756.208333332856</v>
      </c>
      <c r="H204" s="12">
        <f t="shared" si="22"/>
        <v>45756.24999999952</v>
      </c>
      <c r="I204" s="132"/>
      <c r="J204" s="169">
        <v>4574</v>
      </c>
      <c r="K204" s="175"/>
    </row>
    <row r="205" spans="1:11" ht="14.4" x14ac:dyDescent="0.3">
      <c r="A205" s="12">
        <f t="shared" si="23"/>
        <v>45756.24999999952</v>
      </c>
      <c r="B205" s="12">
        <f t="shared" si="19"/>
        <v>45756.291666666184</v>
      </c>
      <c r="C205" s="13">
        <f t="shared" si="20"/>
        <v>4.8040000000000003</v>
      </c>
      <c r="D205" s="14">
        <f t="shared" si="18"/>
        <v>4804</v>
      </c>
      <c r="G205" s="12">
        <f t="shared" si="21"/>
        <v>45756.24999999952</v>
      </c>
      <c r="H205" s="12">
        <f t="shared" si="22"/>
        <v>45756.291666666184</v>
      </c>
      <c r="I205" s="132"/>
      <c r="J205" s="169">
        <v>4804</v>
      </c>
      <c r="K205" s="175"/>
    </row>
    <row r="206" spans="1:11" ht="14.4" x14ac:dyDescent="0.3">
      <c r="A206" s="12">
        <f t="shared" si="23"/>
        <v>45756.291666666184</v>
      </c>
      <c r="B206" s="12">
        <f t="shared" si="19"/>
        <v>45756.333333332848</v>
      </c>
      <c r="C206" s="13">
        <f t="shared" si="20"/>
        <v>4.6189999999999998</v>
      </c>
      <c r="D206" s="14">
        <f t="shared" si="18"/>
        <v>4619</v>
      </c>
      <c r="G206" s="12">
        <f t="shared" si="21"/>
        <v>45756.291666666184</v>
      </c>
      <c r="H206" s="12">
        <f t="shared" si="22"/>
        <v>45756.333333332848</v>
      </c>
      <c r="I206" s="132"/>
      <c r="J206" s="169">
        <v>4619</v>
      </c>
      <c r="K206" s="175"/>
    </row>
    <row r="207" spans="1:11" ht="14.4" x14ac:dyDescent="0.3">
      <c r="A207" s="12">
        <f t="shared" si="23"/>
        <v>45756.333333332848</v>
      </c>
      <c r="B207" s="12">
        <f t="shared" si="19"/>
        <v>45756.374999999513</v>
      </c>
      <c r="C207" s="13">
        <f t="shared" si="20"/>
        <v>4.3689999999999998</v>
      </c>
      <c r="D207" s="14">
        <f t="shared" si="18"/>
        <v>4369</v>
      </c>
      <c r="G207" s="12">
        <f t="shared" si="21"/>
        <v>45756.333333332848</v>
      </c>
      <c r="H207" s="12">
        <f t="shared" si="22"/>
        <v>45756.374999999513</v>
      </c>
      <c r="I207" s="132"/>
      <c r="J207" s="169">
        <v>4369</v>
      </c>
      <c r="K207" s="175"/>
    </row>
    <row r="208" spans="1:11" ht="14.4" x14ac:dyDescent="0.3">
      <c r="A208" s="12">
        <f t="shared" si="23"/>
        <v>45756.374999999513</v>
      </c>
      <c r="B208" s="12">
        <f t="shared" si="19"/>
        <v>45756.416666666177</v>
      </c>
      <c r="C208" s="13">
        <f t="shared" si="20"/>
        <v>4.01</v>
      </c>
      <c r="D208" s="14">
        <f t="shared" si="18"/>
        <v>4010</v>
      </c>
      <c r="G208" s="12">
        <f t="shared" si="21"/>
        <v>45756.374999999513</v>
      </c>
      <c r="H208" s="12">
        <f t="shared" si="22"/>
        <v>45756.416666666177</v>
      </c>
      <c r="I208" s="132"/>
      <c r="J208" s="169">
        <v>4010</v>
      </c>
      <c r="K208" s="175"/>
    </row>
    <row r="209" spans="1:11" ht="14.4" x14ac:dyDescent="0.3">
      <c r="A209" s="12">
        <f t="shared" si="23"/>
        <v>45756.416666666177</v>
      </c>
      <c r="B209" s="12">
        <f t="shared" si="19"/>
        <v>45756.458333332841</v>
      </c>
      <c r="C209" s="13">
        <f t="shared" si="20"/>
        <v>3.87</v>
      </c>
      <c r="D209" s="14">
        <f t="shared" si="18"/>
        <v>3870</v>
      </c>
      <c r="G209" s="12">
        <f t="shared" si="21"/>
        <v>45756.416666666177</v>
      </c>
      <c r="H209" s="12">
        <f t="shared" si="22"/>
        <v>45756.458333332841</v>
      </c>
      <c r="I209" s="132"/>
      <c r="J209" s="169">
        <v>3870</v>
      </c>
      <c r="K209" s="175"/>
    </row>
    <row r="210" spans="1:11" ht="14.4" x14ac:dyDescent="0.3">
      <c r="A210" s="12">
        <f t="shared" si="23"/>
        <v>45756.458333332841</v>
      </c>
      <c r="B210" s="12">
        <f t="shared" si="19"/>
        <v>45756.499999999505</v>
      </c>
      <c r="C210" s="13">
        <f t="shared" si="20"/>
        <v>3.843</v>
      </c>
      <c r="D210" s="14">
        <f t="shared" si="18"/>
        <v>3843</v>
      </c>
      <c r="G210" s="12">
        <f t="shared" si="21"/>
        <v>45756.458333332841</v>
      </c>
      <c r="H210" s="12">
        <f t="shared" si="22"/>
        <v>45756.499999999505</v>
      </c>
      <c r="I210" s="132"/>
      <c r="J210" s="169">
        <v>3843</v>
      </c>
      <c r="K210" s="175"/>
    </row>
    <row r="211" spans="1:11" ht="14.4" x14ac:dyDescent="0.3">
      <c r="A211" s="12">
        <f t="shared" si="23"/>
        <v>45756.499999999505</v>
      </c>
      <c r="B211" s="12">
        <f t="shared" si="19"/>
        <v>45756.541666666169</v>
      </c>
      <c r="C211" s="13">
        <f t="shared" si="20"/>
        <v>3.8889999999999998</v>
      </c>
      <c r="D211" s="14">
        <f t="shared" si="18"/>
        <v>3889</v>
      </c>
      <c r="G211" s="12">
        <f t="shared" si="21"/>
        <v>45756.499999999505</v>
      </c>
      <c r="H211" s="12">
        <f t="shared" si="22"/>
        <v>45756.541666666169</v>
      </c>
      <c r="I211" s="132"/>
      <c r="J211" s="169">
        <v>3889</v>
      </c>
      <c r="K211" s="175"/>
    </row>
    <row r="212" spans="1:11" ht="14.4" x14ac:dyDescent="0.3">
      <c r="A212" s="12">
        <f t="shared" si="23"/>
        <v>45756.541666666169</v>
      </c>
      <c r="B212" s="12">
        <f t="shared" si="19"/>
        <v>45756.583333332834</v>
      </c>
      <c r="C212" s="13">
        <f t="shared" si="20"/>
        <v>3.8809999999999998</v>
      </c>
      <c r="D212" s="14">
        <f t="shared" si="18"/>
        <v>3881</v>
      </c>
      <c r="G212" s="12">
        <f t="shared" si="21"/>
        <v>45756.541666666169</v>
      </c>
      <c r="H212" s="12">
        <f t="shared" si="22"/>
        <v>45756.583333332834</v>
      </c>
      <c r="I212" s="132"/>
      <c r="J212" s="169">
        <v>3881</v>
      </c>
      <c r="K212" s="175"/>
    </row>
    <row r="213" spans="1:11" ht="14.4" x14ac:dyDescent="0.3">
      <c r="A213" s="12">
        <f t="shared" si="23"/>
        <v>45756.583333332834</v>
      </c>
      <c r="B213" s="12">
        <f t="shared" si="19"/>
        <v>45756.624999999498</v>
      </c>
      <c r="C213" s="13">
        <f t="shared" si="20"/>
        <v>4.0279999999999996</v>
      </c>
      <c r="D213" s="14">
        <f t="shared" si="18"/>
        <v>4028</v>
      </c>
      <c r="G213" s="12">
        <f t="shared" si="21"/>
        <v>45756.583333332834</v>
      </c>
      <c r="H213" s="12">
        <f t="shared" si="22"/>
        <v>45756.624999999498</v>
      </c>
      <c r="I213" s="132"/>
      <c r="J213" s="169">
        <v>4028</v>
      </c>
      <c r="K213" s="175"/>
    </row>
    <row r="214" spans="1:11" ht="14.4" x14ac:dyDescent="0.3">
      <c r="A214" s="12">
        <f t="shared" si="23"/>
        <v>45756.624999999498</v>
      </c>
      <c r="B214" s="12">
        <f t="shared" si="19"/>
        <v>45756.666666666162</v>
      </c>
      <c r="C214" s="13">
        <f t="shared" si="20"/>
        <v>4.0359999999999996</v>
      </c>
      <c r="D214" s="14">
        <f t="shared" si="18"/>
        <v>4036</v>
      </c>
      <c r="G214" s="12">
        <f t="shared" si="21"/>
        <v>45756.624999999498</v>
      </c>
      <c r="H214" s="12">
        <f t="shared" si="22"/>
        <v>45756.666666666162</v>
      </c>
      <c r="I214" s="132"/>
      <c r="J214" s="169">
        <v>4036</v>
      </c>
      <c r="K214" s="175"/>
    </row>
    <row r="215" spans="1:11" ht="14.4" x14ac:dyDescent="0.3">
      <c r="A215" s="12">
        <f t="shared" si="23"/>
        <v>45756.666666666162</v>
      </c>
      <c r="B215" s="12">
        <f t="shared" si="19"/>
        <v>45756.708333332826</v>
      </c>
      <c r="C215" s="13">
        <f t="shared" si="20"/>
        <v>3.9380000000000002</v>
      </c>
      <c r="D215" s="14">
        <f t="shared" si="18"/>
        <v>3938</v>
      </c>
      <c r="G215" s="12">
        <f t="shared" si="21"/>
        <v>45756.666666666162</v>
      </c>
      <c r="H215" s="12">
        <f t="shared" si="22"/>
        <v>45756.708333332826</v>
      </c>
      <c r="I215" s="132"/>
      <c r="J215" s="169">
        <v>3938</v>
      </c>
      <c r="K215" s="175"/>
    </row>
    <row r="216" spans="1:11" ht="14.4" x14ac:dyDescent="0.3">
      <c r="A216" s="12">
        <f t="shared" si="23"/>
        <v>45756.708333332826</v>
      </c>
      <c r="B216" s="12">
        <f t="shared" si="19"/>
        <v>45756.749999999491</v>
      </c>
      <c r="C216" s="13">
        <f t="shared" si="20"/>
        <v>4.2140000000000004</v>
      </c>
      <c r="D216" s="14">
        <f t="shared" si="18"/>
        <v>4214</v>
      </c>
      <c r="G216" s="12">
        <f t="shared" si="21"/>
        <v>45756.708333332826</v>
      </c>
      <c r="H216" s="12">
        <f t="shared" si="22"/>
        <v>45756.749999999491</v>
      </c>
      <c r="I216" s="132"/>
      <c r="J216" s="169">
        <v>4214</v>
      </c>
      <c r="K216" s="175"/>
    </row>
    <row r="217" spans="1:11" ht="14.4" x14ac:dyDescent="0.3">
      <c r="A217" s="12">
        <f t="shared" si="23"/>
        <v>45756.749999999491</v>
      </c>
      <c r="B217" s="12">
        <f t="shared" si="19"/>
        <v>45756.791666666155</v>
      </c>
      <c r="C217" s="13">
        <f t="shared" si="20"/>
        <v>4.3380000000000001</v>
      </c>
      <c r="D217" s="14">
        <f t="shared" si="18"/>
        <v>4338</v>
      </c>
      <c r="G217" s="12">
        <f t="shared" si="21"/>
        <v>45756.749999999491</v>
      </c>
      <c r="H217" s="12">
        <f t="shared" si="22"/>
        <v>45756.791666666155</v>
      </c>
      <c r="I217" s="132"/>
      <c r="J217" s="169">
        <v>4338</v>
      </c>
      <c r="K217" s="175"/>
    </row>
    <row r="218" spans="1:11" ht="14.4" x14ac:dyDescent="0.3">
      <c r="A218" s="12">
        <f t="shared" si="23"/>
        <v>45756.791666666155</v>
      </c>
      <c r="B218" s="12">
        <f t="shared" si="19"/>
        <v>45756.833333332819</v>
      </c>
      <c r="C218" s="13">
        <f t="shared" si="20"/>
        <v>4.3860000000000001</v>
      </c>
      <c r="D218" s="14">
        <f t="shared" si="18"/>
        <v>4386</v>
      </c>
      <c r="G218" s="12">
        <f t="shared" si="21"/>
        <v>45756.791666666155</v>
      </c>
      <c r="H218" s="12">
        <f t="shared" si="22"/>
        <v>45756.833333332819</v>
      </c>
      <c r="I218" s="132"/>
      <c r="J218" s="169">
        <v>4386</v>
      </c>
      <c r="K218" s="175"/>
    </row>
    <row r="219" spans="1:11" ht="14.4" x14ac:dyDescent="0.3">
      <c r="A219" s="12">
        <f t="shared" si="23"/>
        <v>45756.833333332819</v>
      </c>
      <c r="B219" s="12">
        <f t="shared" si="19"/>
        <v>45756.874999999483</v>
      </c>
      <c r="C219" s="13">
        <f t="shared" si="20"/>
        <v>4.1159999999999997</v>
      </c>
      <c r="D219" s="14">
        <f t="shared" si="18"/>
        <v>4116</v>
      </c>
      <c r="G219" s="12">
        <f t="shared" si="21"/>
        <v>45756.833333332819</v>
      </c>
      <c r="H219" s="12">
        <f t="shared" si="22"/>
        <v>45756.874999999483</v>
      </c>
      <c r="I219" s="132"/>
      <c r="J219" s="169">
        <v>4116</v>
      </c>
      <c r="K219" s="175"/>
    </row>
    <row r="220" spans="1:11" ht="14.4" x14ac:dyDescent="0.3">
      <c r="A220" s="12">
        <f t="shared" si="23"/>
        <v>45756.874999999483</v>
      </c>
      <c r="B220" s="12">
        <f t="shared" si="19"/>
        <v>45756.916666666148</v>
      </c>
      <c r="C220" s="13">
        <f t="shared" si="20"/>
        <v>3.6749999999999998</v>
      </c>
      <c r="D220" s="14">
        <f t="shared" si="18"/>
        <v>3675</v>
      </c>
      <c r="G220" s="12">
        <f t="shared" si="21"/>
        <v>45756.874999999483</v>
      </c>
      <c r="H220" s="12">
        <f t="shared" si="22"/>
        <v>45756.916666666148</v>
      </c>
      <c r="I220" s="132"/>
      <c r="J220" s="169">
        <v>3675</v>
      </c>
      <c r="K220" s="175"/>
    </row>
    <row r="221" spans="1:11" ht="14.4" x14ac:dyDescent="0.3">
      <c r="A221" s="12">
        <f t="shared" si="23"/>
        <v>45756.916666666148</v>
      </c>
      <c r="B221" s="12">
        <f t="shared" si="19"/>
        <v>45756.958333332812</v>
      </c>
      <c r="C221" s="13">
        <f t="shared" si="20"/>
        <v>3.42</v>
      </c>
      <c r="D221" s="14">
        <f t="shared" si="18"/>
        <v>3420</v>
      </c>
      <c r="G221" s="12">
        <f t="shared" si="21"/>
        <v>45756.916666666148</v>
      </c>
      <c r="H221" s="12">
        <f t="shared" si="22"/>
        <v>45756.958333332812</v>
      </c>
      <c r="I221" s="132"/>
      <c r="J221" s="169">
        <v>3420</v>
      </c>
      <c r="K221" s="175"/>
    </row>
    <row r="222" spans="1:11" ht="14.4" x14ac:dyDescent="0.3">
      <c r="A222" s="12">
        <f t="shared" si="23"/>
        <v>45756.958333332812</v>
      </c>
      <c r="B222" s="12">
        <f t="shared" si="19"/>
        <v>45756.999999999476</v>
      </c>
      <c r="C222" s="13">
        <f t="shared" si="20"/>
        <v>3.218</v>
      </c>
      <c r="D222" s="14">
        <f t="shared" si="18"/>
        <v>3218</v>
      </c>
      <c r="G222" s="12">
        <f t="shared" si="21"/>
        <v>45756.958333332812</v>
      </c>
      <c r="H222" s="12">
        <f t="shared" si="22"/>
        <v>45756.999999999476</v>
      </c>
      <c r="I222" s="132"/>
      <c r="J222" s="169">
        <v>3218</v>
      </c>
      <c r="K222" s="175"/>
    </row>
    <row r="223" spans="1:11" ht="14.4" x14ac:dyDescent="0.3">
      <c r="A223" s="12">
        <f t="shared" si="23"/>
        <v>45756.999999999476</v>
      </c>
      <c r="B223" s="12">
        <f t="shared" si="19"/>
        <v>45757.04166666614</v>
      </c>
      <c r="C223" s="13">
        <f t="shared" si="20"/>
        <v>3.1520000000000001</v>
      </c>
      <c r="D223" s="14">
        <f t="shared" si="18"/>
        <v>3152</v>
      </c>
      <c r="G223" s="12">
        <f t="shared" si="21"/>
        <v>45756.999999999476</v>
      </c>
      <c r="H223" s="12">
        <f t="shared" si="22"/>
        <v>45757.04166666614</v>
      </c>
      <c r="I223" s="132"/>
      <c r="J223" s="169">
        <v>3152</v>
      </c>
      <c r="K223" s="175"/>
    </row>
    <row r="224" spans="1:11" ht="14.4" x14ac:dyDescent="0.3">
      <c r="A224" s="12">
        <f t="shared" si="23"/>
        <v>45757.04166666614</v>
      </c>
      <c r="B224" s="12">
        <f t="shared" si="19"/>
        <v>45757.083333332805</v>
      </c>
      <c r="C224" s="13">
        <f t="shared" si="20"/>
        <v>3.1970000000000001</v>
      </c>
      <c r="D224" s="14">
        <f t="shared" si="18"/>
        <v>3197</v>
      </c>
      <c r="G224" s="12">
        <f t="shared" si="21"/>
        <v>45757.04166666614</v>
      </c>
      <c r="H224" s="12">
        <f t="shared" si="22"/>
        <v>45757.083333332805</v>
      </c>
      <c r="I224" s="132"/>
      <c r="J224" s="169">
        <v>3197</v>
      </c>
      <c r="K224" s="175"/>
    </row>
    <row r="225" spans="1:11" ht="14.4" x14ac:dyDescent="0.3">
      <c r="A225" s="12">
        <f t="shared" si="23"/>
        <v>45757.083333332805</v>
      </c>
      <c r="B225" s="12">
        <f t="shared" si="19"/>
        <v>45757.124999999469</v>
      </c>
      <c r="C225" s="13">
        <f t="shared" si="20"/>
        <v>3.31</v>
      </c>
      <c r="D225" s="14">
        <f t="shared" si="18"/>
        <v>3310</v>
      </c>
      <c r="G225" s="12">
        <f t="shared" si="21"/>
        <v>45757.083333332805</v>
      </c>
      <c r="H225" s="12">
        <f t="shared" si="22"/>
        <v>45757.124999999469</v>
      </c>
      <c r="I225" s="132"/>
      <c r="J225" s="169">
        <v>3310</v>
      </c>
      <c r="K225" s="175"/>
    </row>
    <row r="226" spans="1:11" ht="14.4" x14ac:dyDescent="0.3">
      <c r="A226" s="12">
        <f t="shared" si="23"/>
        <v>45757.124999999469</v>
      </c>
      <c r="B226" s="12">
        <f t="shared" si="19"/>
        <v>45757.166666666133</v>
      </c>
      <c r="C226" s="13">
        <f t="shared" si="20"/>
        <v>3.5</v>
      </c>
      <c r="D226" s="14">
        <f t="shared" si="18"/>
        <v>3500</v>
      </c>
      <c r="G226" s="12">
        <f t="shared" si="21"/>
        <v>45757.124999999469</v>
      </c>
      <c r="H226" s="12">
        <f t="shared" si="22"/>
        <v>45757.166666666133</v>
      </c>
      <c r="I226" s="132"/>
      <c r="J226" s="169">
        <v>3500</v>
      </c>
      <c r="K226" s="175"/>
    </row>
    <row r="227" spans="1:11" ht="14.4" x14ac:dyDescent="0.3">
      <c r="A227" s="12">
        <f t="shared" si="23"/>
        <v>45757.166666666133</v>
      </c>
      <c r="B227" s="12">
        <f t="shared" si="19"/>
        <v>45757.208333332797</v>
      </c>
      <c r="C227" s="13">
        <f t="shared" si="20"/>
        <v>3.8210000000000002</v>
      </c>
      <c r="D227" s="14">
        <f t="shared" si="18"/>
        <v>3821</v>
      </c>
      <c r="G227" s="12">
        <f t="shared" si="21"/>
        <v>45757.166666666133</v>
      </c>
      <c r="H227" s="12">
        <f t="shared" si="22"/>
        <v>45757.208333332797</v>
      </c>
      <c r="I227" s="132"/>
      <c r="J227" s="169">
        <v>3821</v>
      </c>
      <c r="K227" s="175"/>
    </row>
    <row r="228" spans="1:11" ht="14.4" x14ac:dyDescent="0.3">
      <c r="A228" s="12">
        <f t="shared" si="23"/>
        <v>45757.208333332797</v>
      </c>
      <c r="B228" s="12">
        <f t="shared" si="19"/>
        <v>45757.249999999462</v>
      </c>
      <c r="C228" s="13">
        <f t="shared" si="20"/>
        <v>4.4059999999999997</v>
      </c>
      <c r="D228" s="14">
        <f t="shared" si="18"/>
        <v>4406</v>
      </c>
      <c r="G228" s="12">
        <f t="shared" si="21"/>
        <v>45757.208333332797</v>
      </c>
      <c r="H228" s="12">
        <f t="shared" si="22"/>
        <v>45757.249999999462</v>
      </c>
      <c r="I228" s="132"/>
      <c r="J228" s="169">
        <v>4406</v>
      </c>
      <c r="K228" s="175"/>
    </row>
    <row r="229" spans="1:11" ht="14.4" x14ac:dyDescent="0.3">
      <c r="A229" s="12">
        <f t="shared" si="23"/>
        <v>45757.249999999462</v>
      </c>
      <c r="B229" s="12">
        <f t="shared" si="19"/>
        <v>45757.291666666126</v>
      </c>
      <c r="C229" s="13">
        <f t="shared" si="20"/>
        <v>4.6050000000000004</v>
      </c>
      <c r="D229" s="14">
        <f t="shared" si="18"/>
        <v>4605</v>
      </c>
      <c r="G229" s="12">
        <f t="shared" si="21"/>
        <v>45757.249999999462</v>
      </c>
      <c r="H229" s="12">
        <f t="shared" si="22"/>
        <v>45757.291666666126</v>
      </c>
      <c r="I229" s="132"/>
      <c r="J229" s="169">
        <v>4605</v>
      </c>
      <c r="K229" s="175"/>
    </row>
    <row r="230" spans="1:11" ht="14.4" x14ac:dyDescent="0.3">
      <c r="A230" s="12">
        <f t="shared" si="23"/>
        <v>45757.291666666126</v>
      </c>
      <c r="B230" s="12">
        <f t="shared" si="19"/>
        <v>45757.33333333279</v>
      </c>
      <c r="C230" s="13">
        <f t="shared" si="20"/>
        <v>4.4000000000000004</v>
      </c>
      <c r="D230" s="14">
        <f t="shared" si="18"/>
        <v>4400</v>
      </c>
      <c r="G230" s="12">
        <f t="shared" si="21"/>
        <v>45757.291666666126</v>
      </c>
      <c r="H230" s="12">
        <f t="shared" si="22"/>
        <v>45757.33333333279</v>
      </c>
      <c r="I230" s="132"/>
      <c r="J230" s="169">
        <v>4400</v>
      </c>
      <c r="K230" s="175"/>
    </row>
    <row r="231" spans="1:11" ht="14.4" x14ac:dyDescent="0.3">
      <c r="A231" s="12">
        <f t="shared" si="23"/>
        <v>45757.33333333279</v>
      </c>
      <c r="B231" s="12">
        <f t="shared" si="19"/>
        <v>45757.374999999454</v>
      </c>
      <c r="C231" s="13">
        <f t="shared" si="20"/>
        <v>4.2069999999999999</v>
      </c>
      <c r="D231" s="14">
        <f t="shared" si="18"/>
        <v>4207</v>
      </c>
      <c r="G231" s="12">
        <f t="shared" si="21"/>
        <v>45757.33333333279</v>
      </c>
      <c r="H231" s="12">
        <f t="shared" si="22"/>
        <v>45757.374999999454</v>
      </c>
      <c r="I231" s="132"/>
      <c r="J231" s="169">
        <v>4207</v>
      </c>
      <c r="K231" s="175"/>
    </row>
    <row r="232" spans="1:11" ht="14.4" x14ac:dyDescent="0.3">
      <c r="A232" s="12">
        <f t="shared" si="23"/>
        <v>45757.374999999454</v>
      </c>
      <c r="B232" s="12">
        <f t="shared" si="19"/>
        <v>45757.416666666119</v>
      </c>
      <c r="C232" s="13">
        <f t="shared" si="20"/>
        <v>4.0359999999999996</v>
      </c>
      <c r="D232" s="14">
        <f t="shared" si="18"/>
        <v>4036</v>
      </c>
      <c r="G232" s="12">
        <f t="shared" si="21"/>
        <v>45757.374999999454</v>
      </c>
      <c r="H232" s="12">
        <f t="shared" si="22"/>
        <v>45757.416666666119</v>
      </c>
      <c r="I232" s="132"/>
      <c r="J232" s="169">
        <v>4036</v>
      </c>
      <c r="K232" s="175"/>
    </row>
    <row r="233" spans="1:11" ht="14.4" x14ac:dyDescent="0.3">
      <c r="A233" s="12">
        <f t="shared" si="23"/>
        <v>45757.416666666119</v>
      </c>
      <c r="B233" s="12">
        <f t="shared" si="19"/>
        <v>45757.458333332783</v>
      </c>
      <c r="C233" s="13">
        <f t="shared" si="20"/>
        <v>4.0730000000000004</v>
      </c>
      <c r="D233" s="14">
        <f t="shared" si="18"/>
        <v>4073</v>
      </c>
      <c r="G233" s="12">
        <f t="shared" si="21"/>
        <v>45757.416666666119</v>
      </c>
      <c r="H233" s="12">
        <f t="shared" si="22"/>
        <v>45757.458333332783</v>
      </c>
      <c r="I233" s="132"/>
      <c r="J233" s="169">
        <v>4073</v>
      </c>
      <c r="K233" s="175"/>
    </row>
    <row r="234" spans="1:11" ht="14.4" x14ac:dyDescent="0.3">
      <c r="A234" s="12">
        <f t="shared" si="23"/>
        <v>45757.458333332783</v>
      </c>
      <c r="B234" s="12">
        <f t="shared" si="19"/>
        <v>45757.499999999447</v>
      </c>
      <c r="C234" s="13">
        <f t="shared" si="20"/>
        <v>3.9319999999999999</v>
      </c>
      <c r="D234" s="14">
        <f t="shared" si="18"/>
        <v>3932</v>
      </c>
      <c r="G234" s="12">
        <f t="shared" si="21"/>
        <v>45757.458333332783</v>
      </c>
      <c r="H234" s="12">
        <f t="shared" si="22"/>
        <v>45757.499999999447</v>
      </c>
      <c r="I234" s="132"/>
      <c r="J234" s="169">
        <v>3932</v>
      </c>
      <c r="K234" s="175"/>
    </row>
    <row r="235" spans="1:11" ht="14.4" x14ac:dyDescent="0.3">
      <c r="A235" s="12">
        <f t="shared" si="23"/>
        <v>45757.499999999447</v>
      </c>
      <c r="B235" s="12">
        <f t="shared" si="19"/>
        <v>45757.541666666111</v>
      </c>
      <c r="C235" s="13">
        <f t="shared" si="20"/>
        <v>4.008</v>
      </c>
      <c r="D235" s="14">
        <f t="shared" si="18"/>
        <v>4008</v>
      </c>
      <c r="G235" s="12">
        <f t="shared" si="21"/>
        <v>45757.499999999447</v>
      </c>
      <c r="H235" s="12">
        <f t="shared" si="22"/>
        <v>45757.541666666111</v>
      </c>
      <c r="I235" s="132"/>
      <c r="J235" s="169">
        <v>4008</v>
      </c>
      <c r="K235" s="175"/>
    </row>
    <row r="236" spans="1:11" ht="14.4" x14ac:dyDescent="0.3">
      <c r="A236" s="12">
        <f t="shared" si="23"/>
        <v>45757.541666666111</v>
      </c>
      <c r="B236" s="12">
        <f t="shared" si="19"/>
        <v>45757.583333332776</v>
      </c>
      <c r="C236" s="13">
        <f t="shared" si="20"/>
        <v>4.0129999999999999</v>
      </c>
      <c r="D236" s="14">
        <f t="shared" si="18"/>
        <v>4013</v>
      </c>
      <c r="G236" s="12">
        <f t="shared" si="21"/>
        <v>45757.541666666111</v>
      </c>
      <c r="H236" s="12">
        <f t="shared" si="22"/>
        <v>45757.583333332776</v>
      </c>
      <c r="I236" s="132"/>
      <c r="J236" s="169">
        <v>4013</v>
      </c>
      <c r="K236" s="175"/>
    </row>
    <row r="237" spans="1:11" ht="14.4" x14ac:dyDescent="0.3">
      <c r="A237" s="12">
        <f t="shared" si="23"/>
        <v>45757.583333332776</v>
      </c>
      <c r="B237" s="12">
        <f t="shared" si="19"/>
        <v>45757.62499999944</v>
      </c>
      <c r="C237" s="13">
        <f t="shared" si="20"/>
        <v>4.157</v>
      </c>
      <c r="D237" s="14">
        <f t="shared" si="18"/>
        <v>4157</v>
      </c>
      <c r="G237" s="12">
        <f t="shared" si="21"/>
        <v>45757.583333332776</v>
      </c>
      <c r="H237" s="12">
        <f t="shared" si="22"/>
        <v>45757.62499999944</v>
      </c>
      <c r="I237" s="132"/>
      <c r="J237" s="169">
        <v>4157</v>
      </c>
      <c r="K237" s="175"/>
    </row>
    <row r="238" spans="1:11" ht="14.4" x14ac:dyDescent="0.3">
      <c r="A238" s="12">
        <f t="shared" si="23"/>
        <v>45757.62499999944</v>
      </c>
      <c r="B238" s="12">
        <f t="shared" si="19"/>
        <v>45757.666666666104</v>
      </c>
      <c r="C238" s="13">
        <f t="shared" si="20"/>
        <v>4.359</v>
      </c>
      <c r="D238" s="14">
        <f t="shared" si="18"/>
        <v>4359</v>
      </c>
      <c r="G238" s="12">
        <f t="shared" si="21"/>
        <v>45757.62499999944</v>
      </c>
      <c r="H238" s="12">
        <f t="shared" si="22"/>
        <v>45757.666666666104</v>
      </c>
      <c r="I238" s="132"/>
      <c r="J238" s="169">
        <v>4359</v>
      </c>
      <c r="K238" s="175"/>
    </row>
    <row r="239" spans="1:11" ht="14.4" x14ac:dyDescent="0.3">
      <c r="A239" s="12">
        <f t="shared" si="23"/>
        <v>45757.666666666104</v>
      </c>
      <c r="B239" s="12">
        <f t="shared" si="19"/>
        <v>45757.708333332768</v>
      </c>
      <c r="C239" s="13">
        <f t="shared" si="20"/>
        <v>4.2839999999999998</v>
      </c>
      <c r="D239" s="14">
        <f t="shared" si="18"/>
        <v>4284</v>
      </c>
      <c r="G239" s="12">
        <f t="shared" si="21"/>
        <v>45757.666666666104</v>
      </c>
      <c r="H239" s="12">
        <f t="shared" si="22"/>
        <v>45757.708333332768</v>
      </c>
      <c r="I239" s="132"/>
      <c r="J239" s="169">
        <v>4284</v>
      </c>
      <c r="K239" s="175"/>
    </row>
    <row r="240" spans="1:11" ht="14.4" x14ac:dyDescent="0.3">
      <c r="A240" s="12">
        <f t="shared" si="23"/>
        <v>45757.708333332768</v>
      </c>
      <c r="B240" s="12">
        <f t="shared" si="19"/>
        <v>45757.749999999432</v>
      </c>
      <c r="C240" s="13">
        <f t="shared" si="20"/>
        <v>4.33</v>
      </c>
      <c r="D240" s="14">
        <f t="shared" si="18"/>
        <v>4330</v>
      </c>
      <c r="G240" s="12">
        <f t="shared" si="21"/>
        <v>45757.708333332768</v>
      </c>
      <c r="H240" s="12">
        <f t="shared" si="22"/>
        <v>45757.749999999432</v>
      </c>
      <c r="I240" s="132"/>
      <c r="J240" s="169">
        <v>4330</v>
      </c>
      <c r="K240" s="175"/>
    </row>
    <row r="241" spans="1:11" ht="14.4" x14ac:dyDescent="0.3">
      <c r="A241" s="12">
        <f t="shared" si="23"/>
        <v>45757.749999999432</v>
      </c>
      <c r="B241" s="12">
        <f t="shared" si="19"/>
        <v>45757.791666666097</v>
      </c>
      <c r="C241" s="13">
        <f t="shared" si="20"/>
        <v>4.4000000000000004</v>
      </c>
      <c r="D241" s="14">
        <f t="shared" si="18"/>
        <v>4400</v>
      </c>
      <c r="G241" s="12">
        <f t="shared" si="21"/>
        <v>45757.749999999432</v>
      </c>
      <c r="H241" s="12">
        <f t="shared" si="22"/>
        <v>45757.791666666097</v>
      </c>
      <c r="I241" s="132"/>
      <c r="J241" s="169">
        <v>4400</v>
      </c>
      <c r="K241" s="175"/>
    </row>
    <row r="242" spans="1:11" ht="14.4" x14ac:dyDescent="0.3">
      <c r="A242" s="12">
        <f t="shared" si="23"/>
        <v>45757.791666666097</v>
      </c>
      <c r="B242" s="12">
        <f t="shared" si="19"/>
        <v>45757.833333332761</v>
      </c>
      <c r="C242" s="13">
        <f t="shared" si="20"/>
        <v>4.4859999999999998</v>
      </c>
      <c r="D242" s="14">
        <f t="shared" si="18"/>
        <v>4486</v>
      </c>
      <c r="G242" s="12">
        <f t="shared" si="21"/>
        <v>45757.791666666097</v>
      </c>
      <c r="H242" s="12">
        <f t="shared" si="22"/>
        <v>45757.833333332761</v>
      </c>
      <c r="I242" s="132"/>
      <c r="J242" s="169">
        <v>4486</v>
      </c>
      <c r="K242" s="175"/>
    </row>
    <row r="243" spans="1:11" ht="14.4" x14ac:dyDescent="0.3">
      <c r="A243" s="12">
        <f t="shared" si="23"/>
        <v>45757.833333332761</v>
      </c>
      <c r="B243" s="12">
        <f t="shared" si="19"/>
        <v>45757.874999999425</v>
      </c>
      <c r="C243" s="13">
        <f t="shared" si="20"/>
        <v>4.2359999999999998</v>
      </c>
      <c r="D243" s="14">
        <f t="shared" si="18"/>
        <v>4236</v>
      </c>
      <c r="G243" s="12">
        <f t="shared" si="21"/>
        <v>45757.833333332761</v>
      </c>
      <c r="H243" s="12">
        <f t="shared" si="22"/>
        <v>45757.874999999425</v>
      </c>
      <c r="I243" s="132"/>
      <c r="J243" s="169">
        <v>4236</v>
      </c>
      <c r="K243" s="175"/>
    </row>
    <row r="244" spans="1:11" ht="14.4" x14ac:dyDescent="0.3">
      <c r="A244" s="12">
        <f t="shared" si="23"/>
        <v>45757.874999999425</v>
      </c>
      <c r="B244" s="12">
        <f t="shared" si="19"/>
        <v>45757.916666666089</v>
      </c>
      <c r="C244" s="13">
        <f t="shared" si="20"/>
        <v>3.726</v>
      </c>
      <c r="D244" s="14">
        <f t="shared" si="18"/>
        <v>3726</v>
      </c>
      <c r="G244" s="12">
        <f t="shared" si="21"/>
        <v>45757.874999999425</v>
      </c>
      <c r="H244" s="12">
        <f t="shared" si="22"/>
        <v>45757.916666666089</v>
      </c>
      <c r="I244" s="132"/>
      <c r="J244" s="169">
        <v>3726</v>
      </c>
      <c r="K244" s="175"/>
    </row>
    <row r="245" spans="1:11" ht="14.4" x14ac:dyDescent="0.3">
      <c r="A245" s="12">
        <f t="shared" si="23"/>
        <v>45757.916666666089</v>
      </c>
      <c r="B245" s="12">
        <f t="shared" si="19"/>
        <v>45757.958333332754</v>
      </c>
      <c r="C245" s="13">
        <f t="shared" si="20"/>
        <v>3.4340000000000002</v>
      </c>
      <c r="D245" s="14">
        <f t="shared" si="18"/>
        <v>3434</v>
      </c>
      <c r="G245" s="12">
        <f t="shared" si="21"/>
        <v>45757.916666666089</v>
      </c>
      <c r="H245" s="12">
        <f t="shared" si="22"/>
        <v>45757.958333332754</v>
      </c>
      <c r="I245" s="132"/>
      <c r="J245" s="169">
        <v>3434</v>
      </c>
      <c r="K245" s="175"/>
    </row>
    <row r="246" spans="1:11" ht="14.4" x14ac:dyDescent="0.3">
      <c r="A246" s="12">
        <f t="shared" si="23"/>
        <v>45757.958333332754</v>
      </c>
      <c r="B246" s="12">
        <f t="shared" si="19"/>
        <v>45757.999999999418</v>
      </c>
      <c r="C246" s="13">
        <f t="shared" si="20"/>
        <v>3.2010000000000001</v>
      </c>
      <c r="D246" s="14">
        <f t="shared" si="18"/>
        <v>3201</v>
      </c>
      <c r="G246" s="12">
        <f t="shared" si="21"/>
        <v>45757.958333332754</v>
      </c>
      <c r="H246" s="12">
        <f t="shared" si="22"/>
        <v>45757.999999999418</v>
      </c>
      <c r="I246" s="132"/>
      <c r="J246" s="169">
        <v>3201</v>
      </c>
      <c r="K246" s="175"/>
    </row>
    <row r="247" spans="1:11" ht="14.4" x14ac:dyDescent="0.3">
      <c r="A247" s="12">
        <f t="shared" si="23"/>
        <v>45757.999999999418</v>
      </c>
      <c r="B247" s="12">
        <f t="shared" si="19"/>
        <v>45758.041666666082</v>
      </c>
      <c r="C247" s="13">
        <f t="shared" si="20"/>
        <v>3.2189999999999999</v>
      </c>
      <c r="D247" s="14">
        <f t="shared" si="18"/>
        <v>3219</v>
      </c>
      <c r="G247" s="12">
        <f t="shared" si="21"/>
        <v>45757.999999999418</v>
      </c>
      <c r="H247" s="12">
        <f t="shared" si="22"/>
        <v>45758.041666666082</v>
      </c>
      <c r="I247" s="132"/>
      <c r="J247" s="169">
        <v>3219</v>
      </c>
      <c r="K247" s="175"/>
    </row>
    <row r="248" spans="1:11" ht="14.4" x14ac:dyDescent="0.3">
      <c r="A248" s="12">
        <f t="shared" si="23"/>
        <v>45758.041666666082</v>
      </c>
      <c r="B248" s="12">
        <f t="shared" si="19"/>
        <v>45758.083333332746</v>
      </c>
      <c r="C248" s="13">
        <f t="shared" si="20"/>
        <v>3.1789999999999998</v>
      </c>
      <c r="D248" s="14">
        <f t="shared" si="18"/>
        <v>3179</v>
      </c>
      <c r="G248" s="12">
        <f t="shared" si="21"/>
        <v>45758.041666666082</v>
      </c>
      <c r="H248" s="12">
        <f t="shared" si="22"/>
        <v>45758.083333332746</v>
      </c>
      <c r="I248" s="132"/>
      <c r="J248" s="169">
        <v>3179</v>
      </c>
      <c r="K248" s="175"/>
    </row>
    <row r="249" spans="1:11" ht="14.4" x14ac:dyDescent="0.3">
      <c r="A249" s="12">
        <f t="shared" si="23"/>
        <v>45758.083333332746</v>
      </c>
      <c r="B249" s="12">
        <f t="shared" si="19"/>
        <v>45758.124999999411</v>
      </c>
      <c r="C249" s="13">
        <f t="shared" si="20"/>
        <v>3.1789999999999998</v>
      </c>
      <c r="D249" s="14">
        <f t="shared" ref="D249:D262" si="24">J249*(1+$D$3)*(1+$D$4)</f>
        <v>3179</v>
      </c>
      <c r="G249" s="12">
        <f t="shared" si="21"/>
        <v>45758.083333332746</v>
      </c>
      <c r="H249" s="12">
        <f t="shared" si="22"/>
        <v>45758.124999999411</v>
      </c>
      <c r="I249" s="132"/>
      <c r="J249" s="169">
        <v>3179</v>
      </c>
      <c r="K249" s="175"/>
    </row>
    <row r="250" spans="1:11" ht="14.4" x14ac:dyDescent="0.3">
      <c r="A250" s="12">
        <f t="shared" si="23"/>
        <v>45758.124999999411</v>
      </c>
      <c r="B250" s="12">
        <f t="shared" si="19"/>
        <v>45758.166666666075</v>
      </c>
      <c r="C250" s="13">
        <f t="shared" si="20"/>
        <v>3.2839999999999998</v>
      </c>
      <c r="D250" s="14">
        <f t="shared" si="24"/>
        <v>3284</v>
      </c>
      <c r="G250" s="12">
        <f t="shared" si="21"/>
        <v>45758.124999999411</v>
      </c>
      <c r="H250" s="12">
        <f t="shared" si="22"/>
        <v>45758.166666666075</v>
      </c>
      <c r="I250" s="132"/>
      <c r="J250" s="169">
        <v>3284</v>
      </c>
      <c r="K250" s="175"/>
    </row>
    <row r="251" spans="1:11" ht="14.4" x14ac:dyDescent="0.3">
      <c r="A251" s="12">
        <f t="shared" si="23"/>
        <v>45758.166666666075</v>
      </c>
      <c r="B251" s="12">
        <f t="shared" si="19"/>
        <v>45758.208333332739</v>
      </c>
      <c r="C251" s="13">
        <f t="shared" si="20"/>
        <v>3.633</v>
      </c>
      <c r="D251" s="14">
        <f t="shared" si="24"/>
        <v>3633</v>
      </c>
      <c r="G251" s="12">
        <f t="shared" si="21"/>
        <v>45758.166666666075</v>
      </c>
      <c r="H251" s="12">
        <f t="shared" si="22"/>
        <v>45758.208333332739</v>
      </c>
      <c r="I251" s="132"/>
      <c r="J251" s="169">
        <v>3633</v>
      </c>
      <c r="K251" s="175"/>
    </row>
    <row r="252" spans="1:11" ht="14.4" x14ac:dyDescent="0.3">
      <c r="A252" s="12">
        <f t="shared" si="23"/>
        <v>45758.208333332739</v>
      </c>
      <c r="B252" s="12">
        <f t="shared" si="19"/>
        <v>45758.249999999403</v>
      </c>
      <c r="C252" s="13">
        <f t="shared" si="20"/>
        <v>4.2149999999999999</v>
      </c>
      <c r="D252" s="14">
        <f t="shared" si="24"/>
        <v>4215</v>
      </c>
      <c r="G252" s="12">
        <f t="shared" si="21"/>
        <v>45758.208333332739</v>
      </c>
      <c r="H252" s="12">
        <f t="shared" si="22"/>
        <v>45758.249999999403</v>
      </c>
      <c r="I252" s="132"/>
      <c r="J252" s="169">
        <v>4215</v>
      </c>
      <c r="K252" s="175"/>
    </row>
    <row r="253" spans="1:11" ht="14.4" x14ac:dyDescent="0.3">
      <c r="A253" s="12">
        <f t="shared" si="23"/>
        <v>45758.249999999403</v>
      </c>
      <c r="B253" s="12">
        <f t="shared" si="19"/>
        <v>45758.291666666068</v>
      </c>
      <c r="C253" s="13">
        <f t="shared" si="20"/>
        <v>4.335</v>
      </c>
      <c r="D253" s="14">
        <f t="shared" si="24"/>
        <v>4335</v>
      </c>
      <c r="G253" s="12">
        <f t="shared" si="21"/>
        <v>45758.249999999403</v>
      </c>
      <c r="H253" s="12">
        <f t="shared" si="22"/>
        <v>45758.291666666068</v>
      </c>
      <c r="I253" s="132"/>
      <c r="J253" s="169">
        <v>4335</v>
      </c>
      <c r="K253" s="175"/>
    </row>
    <row r="254" spans="1:11" ht="14.4" x14ac:dyDescent="0.3">
      <c r="A254" s="12">
        <f t="shared" si="23"/>
        <v>45758.291666666068</v>
      </c>
      <c r="B254" s="12">
        <f t="shared" si="19"/>
        <v>45758.333333332732</v>
      </c>
      <c r="C254" s="13">
        <f t="shared" si="20"/>
        <v>4.1449999999999996</v>
      </c>
      <c r="D254" s="14">
        <f t="shared" si="24"/>
        <v>4145</v>
      </c>
      <c r="G254" s="12">
        <f t="shared" si="21"/>
        <v>45758.291666666068</v>
      </c>
      <c r="H254" s="12">
        <f t="shared" si="22"/>
        <v>45758.333333332732</v>
      </c>
      <c r="I254" s="132"/>
      <c r="J254" s="169">
        <v>4145</v>
      </c>
      <c r="K254" s="175"/>
    </row>
    <row r="255" spans="1:11" ht="14.4" x14ac:dyDescent="0.3">
      <c r="A255" s="12">
        <f t="shared" si="23"/>
        <v>45758.333333332732</v>
      </c>
      <c r="B255" s="12">
        <f t="shared" si="19"/>
        <v>45758.374999999396</v>
      </c>
      <c r="C255" s="13">
        <f t="shared" si="20"/>
        <v>4.1139999999999999</v>
      </c>
      <c r="D255" s="14">
        <f t="shared" si="24"/>
        <v>4114</v>
      </c>
      <c r="G255" s="12">
        <f t="shared" si="21"/>
        <v>45758.333333332732</v>
      </c>
      <c r="H255" s="12">
        <f t="shared" si="22"/>
        <v>45758.374999999396</v>
      </c>
      <c r="I255" s="132"/>
      <c r="J255" s="169">
        <v>4114</v>
      </c>
      <c r="K255" s="175"/>
    </row>
    <row r="256" spans="1:11" ht="14.4" x14ac:dyDescent="0.3">
      <c r="A256" s="12">
        <f t="shared" si="23"/>
        <v>45758.374999999396</v>
      </c>
      <c r="B256" s="12">
        <f t="shared" si="19"/>
        <v>45758.41666666606</v>
      </c>
      <c r="C256" s="13">
        <f t="shared" si="20"/>
        <v>3.9510000000000001</v>
      </c>
      <c r="D256" s="14">
        <f t="shared" si="24"/>
        <v>3951</v>
      </c>
      <c r="G256" s="12">
        <f t="shared" si="21"/>
        <v>45758.374999999396</v>
      </c>
      <c r="H256" s="12">
        <f t="shared" si="22"/>
        <v>45758.41666666606</v>
      </c>
      <c r="I256" s="132"/>
      <c r="J256" s="169">
        <v>3951</v>
      </c>
      <c r="K256" s="175"/>
    </row>
    <row r="257" spans="1:11" ht="14.4" x14ac:dyDescent="0.3">
      <c r="A257" s="12">
        <f t="shared" si="23"/>
        <v>45758.41666666606</v>
      </c>
      <c r="B257" s="12">
        <f t="shared" si="19"/>
        <v>45758.458333332725</v>
      </c>
      <c r="C257" s="13">
        <f t="shared" si="20"/>
        <v>3.8860000000000001</v>
      </c>
      <c r="D257" s="14">
        <f t="shared" si="24"/>
        <v>3886</v>
      </c>
      <c r="G257" s="12">
        <f t="shared" si="21"/>
        <v>45758.41666666606</v>
      </c>
      <c r="H257" s="12">
        <f t="shared" si="22"/>
        <v>45758.458333332725</v>
      </c>
      <c r="I257" s="132"/>
      <c r="J257" s="169">
        <v>3886</v>
      </c>
      <c r="K257" s="175"/>
    </row>
    <row r="258" spans="1:11" ht="14.4" x14ac:dyDescent="0.3">
      <c r="A258" s="12">
        <f t="shared" si="23"/>
        <v>45758.458333332725</v>
      </c>
      <c r="B258" s="12">
        <f t="shared" si="19"/>
        <v>45758.499999999389</v>
      </c>
      <c r="C258" s="13">
        <f t="shared" si="20"/>
        <v>3.8610000000000002</v>
      </c>
      <c r="D258" s="14">
        <f t="shared" si="24"/>
        <v>3861</v>
      </c>
      <c r="G258" s="12">
        <f t="shared" si="21"/>
        <v>45758.458333332725</v>
      </c>
      <c r="H258" s="12">
        <f t="shared" si="22"/>
        <v>45758.499999999389</v>
      </c>
      <c r="I258" s="132"/>
      <c r="J258" s="169">
        <v>3861</v>
      </c>
      <c r="K258" s="175"/>
    </row>
    <row r="259" spans="1:11" ht="14.4" x14ac:dyDescent="0.3">
      <c r="A259" s="12">
        <f t="shared" si="23"/>
        <v>45758.499999999389</v>
      </c>
      <c r="B259" s="12">
        <f t="shared" si="19"/>
        <v>45758.541666666053</v>
      </c>
      <c r="C259" s="13">
        <f t="shared" si="20"/>
        <v>3.9620000000000002</v>
      </c>
      <c r="D259" s="14">
        <f t="shared" si="24"/>
        <v>3962</v>
      </c>
      <c r="G259" s="12">
        <f t="shared" si="21"/>
        <v>45758.499999999389</v>
      </c>
      <c r="H259" s="12">
        <f t="shared" si="22"/>
        <v>45758.541666666053</v>
      </c>
      <c r="I259" s="132"/>
      <c r="J259" s="169">
        <v>3962</v>
      </c>
      <c r="K259" s="175"/>
    </row>
    <row r="260" spans="1:11" ht="14.4" x14ac:dyDescent="0.3">
      <c r="A260" s="12">
        <f t="shared" si="23"/>
        <v>45758.541666666053</v>
      </c>
      <c r="B260" s="12">
        <f t="shared" si="19"/>
        <v>45758.583333332717</v>
      </c>
      <c r="C260" s="13">
        <f t="shared" si="20"/>
        <v>4.0960000000000001</v>
      </c>
      <c r="D260" s="14">
        <f t="shared" si="24"/>
        <v>4096</v>
      </c>
      <c r="G260" s="12">
        <f t="shared" si="21"/>
        <v>45758.541666666053</v>
      </c>
      <c r="H260" s="12">
        <f t="shared" si="22"/>
        <v>45758.583333332717</v>
      </c>
      <c r="I260" s="132"/>
      <c r="J260" s="169">
        <v>4096</v>
      </c>
      <c r="K260" s="175"/>
    </row>
    <row r="261" spans="1:11" ht="14.4" x14ac:dyDescent="0.3">
      <c r="A261" s="12">
        <f t="shared" si="23"/>
        <v>45758.583333332717</v>
      </c>
      <c r="B261" s="12">
        <f t="shared" si="19"/>
        <v>45758.624999999382</v>
      </c>
      <c r="C261" s="13">
        <f t="shared" si="20"/>
        <v>4.0869999999999997</v>
      </c>
      <c r="D261" s="14">
        <f t="shared" si="24"/>
        <v>4087</v>
      </c>
      <c r="G261" s="12">
        <f t="shared" si="21"/>
        <v>45758.583333332717</v>
      </c>
      <c r="H261" s="12">
        <f t="shared" si="22"/>
        <v>45758.624999999382</v>
      </c>
      <c r="I261" s="132"/>
      <c r="J261" s="169">
        <v>4087</v>
      </c>
      <c r="K261" s="175"/>
    </row>
    <row r="262" spans="1:11" ht="14.4" x14ac:dyDescent="0.3">
      <c r="A262" s="12">
        <f t="shared" si="23"/>
        <v>45758.624999999382</v>
      </c>
      <c r="B262" s="12">
        <f t="shared" si="19"/>
        <v>45758.666666666046</v>
      </c>
      <c r="C262" s="13">
        <f t="shared" si="20"/>
        <v>4.1710000000000003</v>
      </c>
      <c r="D262" s="14">
        <f t="shared" si="24"/>
        <v>4171</v>
      </c>
      <c r="G262" s="12">
        <f t="shared" si="21"/>
        <v>45758.624999999382</v>
      </c>
      <c r="H262" s="12">
        <f t="shared" si="22"/>
        <v>45758.666666666046</v>
      </c>
      <c r="I262" s="132"/>
      <c r="J262" s="169">
        <v>4171</v>
      </c>
      <c r="K262" s="175"/>
    </row>
    <row r="263" spans="1:11" ht="14.4" x14ac:dyDescent="0.3">
      <c r="A263" s="12">
        <f t="shared" si="23"/>
        <v>45758.666666666046</v>
      </c>
      <c r="B263" s="12">
        <f t="shared" si="19"/>
        <v>45758.70833333271</v>
      </c>
      <c r="C263" s="13">
        <f t="shared" si="20"/>
        <v>4.3920000000000003</v>
      </c>
      <c r="D263" s="14">
        <f t="shared" ref="D263:D326" si="25">J263*(1+$D$3)*(1+$D$4)</f>
        <v>4392</v>
      </c>
      <c r="G263" s="12">
        <f t="shared" si="21"/>
        <v>45758.666666666046</v>
      </c>
      <c r="H263" s="12">
        <f t="shared" si="22"/>
        <v>45758.70833333271</v>
      </c>
      <c r="I263" s="132"/>
      <c r="J263" s="169">
        <v>4392</v>
      </c>
      <c r="K263" s="175"/>
    </row>
    <row r="264" spans="1:11" ht="14.4" x14ac:dyDescent="0.3">
      <c r="A264" s="12">
        <f t="shared" si="23"/>
        <v>45758.70833333271</v>
      </c>
      <c r="B264" s="12">
        <f t="shared" ref="B264:B327" si="26">$A264+1/24</f>
        <v>45758.749999999374</v>
      </c>
      <c r="C264" s="13">
        <f t="shared" ref="C264:C327" si="27">SUM(D264)/1000</f>
        <v>4.4960000000000004</v>
      </c>
      <c r="D264" s="14">
        <f t="shared" si="25"/>
        <v>4496</v>
      </c>
      <c r="G264" s="12">
        <f t="shared" ref="G264:G327" si="28">A264</f>
        <v>45758.70833333271</v>
      </c>
      <c r="H264" s="12">
        <f t="shared" ref="H264:H327" si="29">B264</f>
        <v>45758.749999999374</v>
      </c>
      <c r="I264" s="132"/>
      <c r="J264" s="169">
        <v>4496</v>
      </c>
      <c r="K264" s="175"/>
    </row>
    <row r="265" spans="1:11" ht="14.4" x14ac:dyDescent="0.3">
      <c r="A265" s="12">
        <f t="shared" ref="A265:A328" si="30">$A264+1/24</f>
        <v>45758.749999999374</v>
      </c>
      <c r="B265" s="12">
        <f t="shared" si="26"/>
        <v>45758.791666666039</v>
      </c>
      <c r="C265" s="13">
        <f t="shared" si="27"/>
        <v>4.4859999999999998</v>
      </c>
      <c r="D265" s="14">
        <f t="shared" si="25"/>
        <v>4486</v>
      </c>
      <c r="G265" s="12">
        <f t="shared" si="28"/>
        <v>45758.749999999374</v>
      </c>
      <c r="H265" s="12">
        <f t="shared" si="29"/>
        <v>45758.791666666039</v>
      </c>
      <c r="I265" s="132"/>
      <c r="J265" s="169">
        <v>4486</v>
      </c>
      <c r="K265" s="175"/>
    </row>
    <row r="266" spans="1:11" ht="14.4" x14ac:dyDescent="0.3">
      <c r="A266" s="12">
        <f t="shared" si="30"/>
        <v>45758.791666666039</v>
      </c>
      <c r="B266" s="12">
        <f t="shared" si="26"/>
        <v>45758.833333332703</v>
      </c>
      <c r="C266" s="13">
        <f t="shared" si="27"/>
        <v>4.3840000000000003</v>
      </c>
      <c r="D266" s="14">
        <f t="shared" si="25"/>
        <v>4384</v>
      </c>
      <c r="G266" s="12">
        <f t="shared" si="28"/>
        <v>45758.791666666039</v>
      </c>
      <c r="H266" s="12">
        <f t="shared" si="29"/>
        <v>45758.833333332703</v>
      </c>
      <c r="I266" s="132"/>
      <c r="J266" s="169">
        <v>4384</v>
      </c>
      <c r="K266" s="175"/>
    </row>
    <row r="267" spans="1:11" ht="14.4" x14ac:dyDescent="0.3">
      <c r="A267" s="12">
        <f t="shared" si="30"/>
        <v>45758.833333332703</v>
      </c>
      <c r="B267" s="12">
        <f t="shared" si="26"/>
        <v>45758.874999999367</v>
      </c>
      <c r="C267" s="13">
        <f t="shared" si="27"/>
        <v>4.1379999999999999</v>
      </c>
      <c r="D267" s="14">
        <f t="shared" si="25"/>
        <v>4138</v>
      </c>
      <c r="G267" s="12">
        <f t="shared" si="28"/>
        <v>45758.833333332703</v>
      </c>
      <c r="H267" s="12">
        <f t="shared" si="29"/>
        <v>45758.874999999367</v>
      </c>
      <c r="I267" s="132"/>
      <c r="J267" s="169">
        <v>4138</v>
      </c>
      <c r="K267" s="175"/>
    </row>
    <row r="268" spans="1:11" ht="14.4" x14ac:dyDescent="0.3">
      <c r="A268" s="12">
        <f t="shared" si="30"/>
        <v>45758.874999999367</v>
      </c>
      <c r="B268" s="12">
        <f t="shared" si="26"/>
        <v>45758.916666666031</v>
      </c>
      <c r="C268" s="13">
        <f t="shared" si="27"/>
        <v>3.8279999999999998</v>
      </c>
      <c r="D268" s="14">
        <f t="shared" si="25"/>
        <v>3828</v>
      </c>
      <c r="G268" s="12">
        <f t="shared" si="28"/>
        <v>45758.874999999367</v>
      </c>
      <c r="H268" s="12">
        <f t="shared" si="29"/>
        <v>45758.916666666031</v>
      </c>
      <c r="I268" s="132"/>
      <c r="J268" s="169">
        <v>3828</v>
      </c>
      <c r="K268" s="175"/>
    </row>
    <row r="269" spans="1:11" ht="14.4" x14ac:dyDescent="0.3">
      <c r="A269" s="12">
        <f t="shared" si="30"/>
        <v>45758.916666666031</v>
      </c>
      <c r="B269" s="12">
        <f t="shared" si="26"/>
        <v>45758.958333332695</v>
      </c>
      <c r="C269" s="13">
        <f t="shared" si="27"/>
        <v>3.5139999999999998</v>
      </c>
      <c r="D269" s="14">
        <f t="shared" si="25"/>
        <v>3514</v>
      </c>
      <c r="G269" s="12">
        <f t="shared" si="28"/>
        <v>45758.916666666031</v>
      </c>
      <c r="H269" s="12">
        <f t="shared" si="29"/>
        <v>45758.958333332695</v>
      </c>
      <c r="I269" s="132"/>
      <c r="J269" s="169">
        <v>3514</v>
      </c>
      <c r="K269" s="175"/>
    </row>
    <row r="270" spans="1:11" ht="14.4" x14ac:dyDescent="0.3">
      <c r="A270" s="12">
        <f t="shared" si="30"/>
        <v>45758.958333332695</v>
      </c>
      <c r="B270" s="12">
        <f t="shared" si="26"/>
        <v>45758.99999999936</v>
      </c>
      <c r="C270" s="13">
        <f t="shared" si="27"/>
        <v>3.2450000000000001</v>
      </c>
      <c r="D270" s="14">
        <f t="shared" si="25"/>
        <v>3245</v>
      </c>
      <c r="G270" s="12">
        <f t="shared" si="28"/>
        <v>45758.958333332695</v>
      </c>
      <c r="H270" s="12">
        <f t="shared" si="29"/>
        <v>45758.99999999936</v>
      </c>
      <c r="I270" s="132"/>
      <c r="J270" s="169">
        <v>3245</v>
      </c>
      <c r="K270" s="175"/>
    </row>
    <row r="271" spans="1:11" ht="14.4" x14ac:dyDescent="0.3">
      <c r="A271" s="12">
        <f t="shared" si="30"/>
        <v>45758.99999999936</v>
      </c>
      <c r="B271" s="12">
        <f t="shared" si="26"/>
        <v>45759.041666666024</v>
      </c>
      <c r="C271" s="13">
        <f t="shared" si="27"/>
        <v>3.117</v>
      </c>
      <c r="D271" s="14">
        <f t="shared" si="25"/>
        <v>3117</v>
      </c>
      <c r="G271" s="12">
        <f t="shared" si="28"/>
        <v>45758.99999999936</v>
      </c>
      <c r="H271" s="12">
        <f t="shared" si="29"/>
        <v>45759.041666666024</v>
      </c>
      <c r="I271" s="132"/>
      <c r="J271" s="169">
        <v>3117</v>
      </c>
      <c r="K271" s="175"/>
    </row>
    <row r="272" spans="1:11" ht="14.4" x14ac:dyDescent="0.3">
      <c r="A272" s="12">
        <f t="shared" si="30"/>
        <v>45759.041666666024</v>
      </c>
      <c r="B272" s="12">
        <f t="shared" si="26"/>
        <v>45759.083333332688</v>
      </c>
      <c r="C272" s="13">
        <f t="shared" si="27"/>
        <v>3.0640000000000001</v>
      </c>
      <c r="D272" s="14">
        <f t="shared" si="25"/>
        <v>3064</v>
      </c>
      <c r="G272" s="12">
        <f t="shared" si="28"/>
        <v>45759.041666666024</v>
      </c>
      <c r="H272" s="12">
        <f t="shared" si="29"/>
        <v>45759.083333332688</v>
      </c>
      <c r="I272" s="132"/>
      <c r="J272" s="169">
        <v>3064</v>
      </c>
      <c r="K272" s="175"/>
    </row>
    <row r="273" spans="1:11" ht="14.4" x14ac:dyDescent="0.3">
      <c r="A273" s="12">
        <f t="shared" si="30"/>
        <v>45759.083333332688</v>
      </c>
      <c r="B273" s="12">
        <f t="shared" si="26"/>
        <v>45759.124999999352</v>
      </c>
      <c r="C273" s="13">
        <f t="shared" si="27"/>
        <v>3.093</v>
      </c>
      <c r="D273" s="14">
        <f t="shared" si="25"/>
        <v>3093</v>
      </c>
      <c r="G273" s="12">
        <f t="shared" si="28"/>
        <v>45759.083333332688</v>
      </c>
      <c r="H273" s="12">
        <f t="shared" si="29"/>
        <v>45759.124999999352</v>
      </c>
      <c r="I273" s="132"/>
      <c r="J273" s="169">
        <v>3093</v>
      </c>
      <c r="K273" s="175"/>
    </row>
    <row r="274" spans="1:11" ht="14.4" x14ac:dyDescent="0.3">
      <c r="A274" s="12">
        <f t="shared" si="30"/>
        <v>45759.124999999352</v>
      </c>
      <c r="B274" s="12">
        <f t="shared" si="26"/>
        <v>45759.166666666017</v>
      </c>
      <c r="C274" s="13">
        <f t="shared" si="27"/>
        <v>3.1720000000000002</v>
      </c>
      <c r="D274" s="14">
        <f t="shared" si="25"/>
        <v>3172</v>
      </c>
      <c r="G274" s="12">
        <f t="shared" si="28"/>
        <v>45759.124999999352</v>
      </c>
      <c r="H274" s="12">
        <f t="shared" si="29"/>
        <v>45759.166666666017</v>
      </c>
      <c r="I274" s="132"/>
      <c r="J274" s="169">
        <v>3172</v>
      </c>
      <c r="K274" s="175"/>
    </row>
    <row r="275" spans="1:11" ht="14.4" x14ac:dyDescent="0.3">
      <c r="A275" s="12">
        <f t="shared" si="30"/>
        <v>45759.166666666017</v>
      </c>
      <c r="B275" s="12">
        <f t="shared" si="26"/>
        <v>45759.208333332681</v>
      </c>
      <c r="C275" s="13">
        <f t="shared" si="27"/>
        <v>3.33</v>
      </c>
      <c r="D275" s="14">
        <f t="shared" si="25"/>
        <v>3330</v>
      </c>
      <c r="G275" s="12">
        <f t="shared" si="28"/>
        <v>45759.166666666017</v>
      </c>
      <c r="H275" s="12">
        <f t="shared" si="29"/>
        <v>45759.208333332681</v>
      </c>
      <c r="I275" s="132"/>
      <c r="J275" s="169">
        <v>3330</v>
      </c>
      <c r="K275" s="175"/>
    </row>
    <row r="276" spans="1:11" ht="14.4" x14ac:dyDescent="0.3">
      <c r="A276" s="12">
        <f t="shared" si="30"/>
        <v>45759.208333332681</v>
      </c>
      <c r="B276" s="12">
        <f t="shared" si="26"/>
        <v>45759.249999999345</v>
      </c>
      <c r="C276" s="13">
        <f t="shared" si="27"/>
        <v>3.5489999999999999</v>
      </c>
      <c r="D276" s="14">
        <f t="shared" si="25"/>
        <v>3549</v>
      </c>
      <c r="G276" s="12">
        <f t="shared" si="28"/>
        <v>45759.208333332681</v>
      </c>
      <c r="H276" s="12">
        <f t="shared" si="29"/>
        <v>45759.249999999345</v>
      </c>
      <c r="I276" s="132"/>
      <c r="J276" s="169">
        <v>3549</v>
      </c>
      <c r="K276" s="175"/>
    </row>
    <row r="277" spans="1:11" ht="14.4" x14ac:dyDescent="0.3">
      <c r="A277" s="12">
        <f t="shared" si="30"/>
        <v>45759.249999999345</v>
      </c>
      <c r="B277" s="12">
        <f t="shared" si="26"/>
        <v>45759.291666666009</v>
      </c>
      <c r="C277" s="13">
        <f t="shared" si="27"/>
        <v>3.64</v>
      </c>
      <c r="D277" s="14">
        <f t="shared" si="25"/>
        <v>3640</v>
      </c>
      <c r="G277" s="12">
        <f t="shared" si="28"/>
        <v>45759.249999999345</v>
      </c>
      <c r="H277" s="12">
        <f t="shared" si="29"/>
        <v>45759.291666666009</v>
      </c>
      <c r="I277" s="132"/>
      <c r="J277" s="169">
        <v>3640</v>
      </c>
      <c r="K277" s="175"/>
    </row>
    <row r="278" spans="1:11" ht="14.4" x14ac:dyDescent="0.3">
      <c r="A278" s="12">
        <f t="shared" si="30"/>
        <v>45759.291666666009</v>
      </c>
      <c r="B278" s="12">
        <f t="shared" si="26"/>
        <v>45759.333333332674</v>
      </c>
      <c r="C278" s="13">
        <f t="shared" si="27"/>
        <v>3.532</v>
      </c>
      <c r="D278" s="14">
        <f t="shared" si="25"/>
        <v>3532</v>
      </c>
      <c r="G278" s="12">
        <f t="shared" si="28"/>
        <v>45759.291666666009</v>
      </c>
      <c r="H278" s="12">
        <f t="shared" si="29"/>
        <v>45759.333333332674</v>
      </c>
      <c r="I278" s="132"/>
      <c r="J278" s="169">
        <v>3532</v>
      </c>
      <c r="K278" s="175"/>
    </row>
    <row r="279" spans="1:11" ht="14.4" x14ac:dyDescent="0.3">
      <c r="A279" s="12">
        <f t="shared" si="30"/>
        <v>45759.333333332674</v>
      </c>
      <c r="B279" s="12">
        <f t="shared" si="26"/>
        <v>45759.374999999338</v>
      </c>
      <c r="C279" s="13">
        <f t="shared" si="27"/>
        <v>3.4340000000000002</v>
      </c>
      <c r="D279" s="14">
        <f t="shared" si="25"/>
        <v>3434</v>
      </c>
      <c r="G279" s="12">
        <f t="shared" si="28"/>
        <v>45759.333333332674</v>
      </c>
      <c r="H279" s="12">
        <f t="shared" si="29"/>
        <v>45759.374999999338</v>
      </c>
      <c r="I279" s="132"/>
      <c r="J279" s="169">
        <v>3434</v>
      </c>
      <c r="K279" s="175"/>
    </row>
    <row r="280" spans="1:11" ht="14.4" x14ac:dyDescent="0.3">
      <c r="A280" s="12">
        <f t="shared" si="30"/>
        <v>45759.374999999338</v>
      </c>
      <c r="B280" s="12">
        <f t="shared" si="26"/>
        <v>45759.416666666002</v>
      </c>
      <c r="C280" s="13">
        <f t="shared" si="27"/>
        <v>3.41</v>
      </c>
      <c r="D280" s="14">
        <f t="shared" si="25"/>
        <v>3410</v>
      </c>
      <c r="G280" s="12">
        <f t="shared" si="28"/>
        <v>45759.374999999338</v>
      </c>
      <c r="H280" s="12">
        <f t="shared" si="29"/>
        <v>45759.416666666002</v>
      </c>
      <c r="I280" s="132"/>
      <c r="J280" s="169">
        <v>3410</v>
      </c>
      <c r="K280" s="175"/>
    </row>
    <row r="281" spans="1:11" ht="14.4" x14ac:dyDescent="0.3">
      <c r="A281" s="12">
        <f t="shared" si="30"/>
        <v>45759.416666666002</v>
      </c>
      <c r="B281" s="12">
        <f t="shared" si="26"/>
        <v>45759.458333332666</v>
      </c>
      <c r="C281" s="13">
        <f t="shared" si="27"/>
        <v>3.2919999999999998</v>
      </c>
      <c r="D281" s="14">
        <f t="shared" si="25"/>
        <v>3292</v>
      </c>
      <c r="G281" s="12">
        <f t="shared" si="28"/>
        <v>45759.416666666002</v>
      </c>
      <c r="H281" s="12">
        <f t="shared" si="29"/>
        <v>45759.458333332666</v>
      </c>
      <c r="I281" s="132"/>
      <c r="J281" s="169">
        <v>3292</v>
      </c>
      <c r="K281" s="175"/>
    </row>
    <row r="282" spans="1:11" ht="14.4" x14ac:dyDescent="0.3">
      <c r="A282" s="12">
        <f t="shared" si="30"/>
        <v>45759.458333332666</v>
      </c>
      <c r="B282" s="12">
        <f t="shared" si="26"/>
        <v>45759.499999999331</v>
      </c>
      <c r="C282" s="13">
        <f t="shared" si="27"/>
        <v>3.4420000000000002</v>
      </c>
      <c r="D282" s="14">
        <f t="shared" si="25"/>
        <v>3442</v>
      </c>
      <c r="G282" s="12">
        <f t="shared" si="28"/>
        <v>45759.458333332666</v>
      </c>
      <c r="H282" s="12">
        <f t="shared" si="29"/>
        <v>45759.499999999331</v>
      </c>
      <c r="I282" s="132"/>
      <c r="J282" s="169">
        <v>3442</v>
      </c>
      <c r="K282" s="175"/>
    </row>
    <row r="283" spans="1:11" ht="14.4" x14ac:dyDescent="0.3">
      <c r="A283" s="12">
        <f t="shared" si="30"/>
        <v>45759.499999999331</v>
      </c>
      <c r="B283" s="12">
        <f t="shared" si="26"/>
        <v>45759.541666665995</v>
      </c>
      <c r="C283" s="13">
        <f t="shared" si="27"/>
        <v>3.5529999999999999</v>
      </c>
      <c r="D283" s="14">
        <f t="shared" si="25"/>
        <v>3553</v>
      </c>
      <c r="G283" s="12">
        <f t="shared" si="28"/>
        <v>45759.499999999331</v>
      </c>
      <c r="H283" s="12">
        <f t="shared" si="29"/>
        <v>45759.541666665995</v>
      </c>
      <c r="I283" s="132"/>
      <c r="J283" s="169">
        <v>3553</v>
      </c>
      <c r="K283" s="175"/>
    </row>
    <row r="284" spans="1:11" ht="14.4" x14ac:dyDescent="0.3">
      <c r="A284" s="12">
        <f t="shared" si="30"/>
        <v>45759.541666665995</v>
      </c>
      <c r="B284" s="12">
        <f t="shared" si="26"/>
        <v>45759.583333332659</v>
      </c>
      <c r="C284" s="13">
        <f t="shared" si="27"/>
        <v>3.6909999999999998</v>
      </c>
      <c r="D284" s="14">
        <f t="shared" si="25"/>
        <v>3691</v>
      </c>
      <c r="G284" s="12">
        <f t="shared" si="28"/>
        <v>45759.541666665995</v>
      </c>
      <c r="H284" s="12">
        <f t="shared" si="29"/>
        <v>45759.583333332659</v>
      </c>
      <c r="I284" s="132"/>
      <c r="J284" s="169">
        <v>3691</v>
      </c>
      <c r="K284" s="175"/>
    </row>
    <row r="285" spans="1:11" ht="14.4" x14ac:dyDescent="0.3">
      <c r="A285" s="12">
        <f t="shared" si="30"/>
        <v>45759.583333332659</v>
      </c>
      <c r="B285" s="12">
        <f t="shared" si="26"/>
        <v>45759.624999999323</v>
      </c>
      <c r="C285" s="13">
        <f t="shared" si="27"/>
        <v>4.0529999999999999</v>
      </c>
      <c r="D285" s="14">
        <f t="shared" si="25"/>
        <v>4053</v>
      </c>
      <c r="G285" s="12">
        <f t="shared" si="28"/>
        <v>45759.583333332659</v>
      </c>
      <c r="H285" s="12">
        <f t="shared" si="29"/>
        <v>45759.624999999323</v>
      </c>
      <c r="I285" s="132"/>
      <c r="J285" s="169">
        <v>4053</v>
      </c>
      <c r="K285" s="175"/>
    </row>
    <row r="286" spans="1:11" ht="14.4" x14ac:dyDescent="0.3">
      <c r="A286" s="12">
        <f t="shared" si="30"/>
        <v>45759.624999999323</v>
      </c>
      <c r="B286" s="12">
        <f t="shared" si="26"/>
        <v>45759.666666665988</v>
      </c>
      <c r="C286" s="13">
        <f t="shared" si="27"/>
        <v>4.2</v>
      </c>
      <c r="D286" s="14">
        <f t="shared" si="25"/>
        <v>4200</v>
      </c>
      <c r="G286" s="12">
        <f t="shared" si="28"/>
        <v>45759.624999999323</v>
      </c>
      <c r="H286" s="12">
        <f t="shared" si="29"/>
        <v>45759.666666665988</v>
      </c>
      <c r="I286" s="132"/>
      <c r="J286" s="169">
        <v>4200</v>
      </c>
      <c r="K286" s="175"/>
    </row>
    <row r="287" spans="1:11" ht="14.4" x14ac:dyDescent="0.3">
      <c r="A287" s="12">
        <f t="shared" si="30"/>
        <v>45759.666666665988</v>
      </c>
      <c r="B287" s="12">
        <f t="shared" si="26"/>
        <v>45759.708333332652</v>
      </c>
      <c r="C287" s="13">
        <f t="shared" si="27"/>
        <v>4.0709999999999997</v>
      </c>
      <c r="D287" s="14">
        <f t="shared" si="25"/>
        <v>4071</v>
      </c>
      <c r="G287" s="12">
        <f t="shared" si="28"/>
        <v>45759.666666665988</v>
      </c>
      <c r="H287" s="12">
        <f t="shared" si="29"/>
        <v>45759.708333332652</v>
      </c>
      <c r="I287" s="132"/>
      <c r="J287" s="169">
        <v>4071</v>
      </c>
      <c r="K287" s="175"/>
    </row>
    <row r="288" spans="1:11" ht="14.4" x14ac:dyDescent="0.3">
      <c r="A288" s="12">
        <f t="shared" si="30"/>
        <v>45759.708333332652</v>
      </c>
      <c r="B288" s="12">
        <f t="shared" si="26"/>
        <v>45759.749999999316</v>
      </c>
      <c r="C288" s="13">
        <f t="shared" si="27"/>
        <v>4.1180000000000003</v>
      </c>
      <c r="D288" s="14">
        <f t="shared" si="25"/>
        <v>4118</v>
      </c>
      <c r="G288" s="12">
        <f t="shared" si="28"/>
        <v>45759.708333332652</v>
      </c>
      <c r="H288" s="12">
        <f t="shared" si="29"/>
        <v>45759.749999999316</v>
      </c>
      <c r="I288" s="132"/>
      <c r="J288" s="169">
        <v>4118</v>
      </c>
      <c r="K288" s="175"/>
    </row>
    <row r="289" spans="1:11" ht="14.4" x14ac:dyDescent="0.3">
      <c r="A289" s="12">
        <f t="shared" si="30"/>
        <v>45759.749999999316</v>
      </c>
      <c r="B289" s="12">
        <f t="shared" si="26"/>
        <v>45759.79166666598</v>
      </c>
      <c r="C289" s="13">
        <f t="shared" si="27"/>
        <v>4.266</v>
      </c>
      <c r="D289" s="14">
        <f t="shared" si="25"/>
        <v>4266</v>
      </c>
      <c r="G289" s="12">
        <f t="shared" si="28"/>
        <v>45759.749999999316</v>
      </c>
      <c r="H289" s="12">
        <f t="shared" si="29"/>
        <v>45759.79166666598</v>
      </c>
      <c r="I289" s="132"/>
      <c r="J289" s="169">
        <v>4266</v>
      </c>
      <c r="K289" s="175"/>
    </row>
    <row r="290" spans="1:11" ht="14.4" x14ac:dyDescent="0.3">
      <c r="A290" s="12">
        <f t="shared" si="30"/>
        <v>45759.79166666598</v>
      </c>
      <c r="B290" s="12">
        <f t="shared" si="26"/>
        <v>45759.833333332645</v>
      </c>
      <c r="C290" s="13">
        <f t="shared" si="27"/>
        <v>4.2480000000000002</v>
      </c>
      <c r="D290" s="14">
        <f t="shared" si="25"/>
        <v>4248</v>
      </c>
      <c r="G290" s="12">
        <f t="shared" si="28"/>
        <v>45759.79166666598</v>
      </c>
      <c r="H290" s="12">
        <f t="shared" si="29"/>
        <v>45759.833333332645</v>
      </c>
      <c r="I290" s="132"/>
      <c r="J290" s="169">
        <v>4248</v>
      </c>
      <c r="K290" s="175"/>
    </row>
    <row r="291" spans="1:11" ht="14.4" x14ac:dyDescent="0.3">
      <c r="A291" s="12">
        <f t="shared" si="30"/>
        <v>45759.833333332645</v>
      </c>
      <c r="B291" s="12">
        <f t="shared" si="26"/>
        <v>45759.874999999309</v>
      </c>
      <c r="C291" s="13">
        <f t="shared" si="27"/>
        <v>3.9870000000000001</v>
      </c>
      <c r="D291" s="14">
        <f t="shared" si="25"/>
        <v>3987</v>
      </c>
      <c r="G291" s="12">
        <f t="shared" si="28"/>
        <v>45759.833333332645</v>
      </c>
      <c r="H291" s="12">
        <f t="shared" si="29"/>
        <v>45759.874999999309</v>
      </c>
      <c r="I291" s="132"/>
      <c r="J291" s="169">
        <v>3987</v>
      </c>
      <c r="K291" s="175"/>
    </row>
    <row r="292" spans="1:11" ht="14.4" x14ac:dyDescent="0.3">
      <c r="A292" s="12">
        <f t="shared" si="30"/>
        <v>45759.874999999309</v>
      </c>
      <c r="B292" s="12">
        <f t="shared" si="26"/>
        <v>45759.916666665973</v>
      </c>
      <c r="C292" s="13">
        <f t="shared" si="27"/>
        <v>3.72</v>
      </c>
      <c r="D292" s="14">
        <f t="shared" si="25"/>
        <v>3720</v>
      </c>
      <c r="G292" s="12">
        <f t="shared" si="28"/>
        <v>45759.874999999309</v>
      </c>
      <c r="H292" s="12">
        <f t="shared" si="29"/>
        <v>45759.916666665973</v>
      </c>
      <c r="I292" s="132"/>
      <c r="J292" s="169">
        <v>3720</v>
      </c>
      <c r="K292" s="175"/>
    </row>
    <row r="293" spans="1:11" ht="14.4" x14ac:dyDescent="0.3">
      <c r="A293" s="12">
        <f t="shared" si="30"/>
        <v>45759.916666665973</v>
      </c>
      <c r="B293" s="12">
        <f t="shared" si="26"/>
        <v>45759.958333332637</v>
      </c>
      <c r="C293" s="13">
        <f t="shared" si="27"/>
        <v>3.4359999999999999</v>
      </c>
      <c r="D293" s="14">
        <f t="shared" si="25"/>
        <v>3436</v>
      </c>
      <c r="G293" s="12">
        <f t="shared" si="28"/>
        <v>45759.916666665973</v>
      </c>
      <c r="H293" s="12">
        <f t="shared" si="29"/>
        <v>45759.958333332637</v>
      </c>
      <c r="I293" s="132"/>
      <c r="J293" s="169">
        <v>3436</v>
      </c>
      <c r="K293" s="175"/>
    </row>
    <row r="294" spans="1:11" ht="14.4" x14ac:dyDescent="0.3">
      <c r="A294" s="12">
        <f t="shared" si="30"/>
        <v>45759.958333332637</v>
      </c>
      <c r="B294" s="12">
        <f t="shared" si="26"/>
        <v>45759.999999999302</v>
      </c>
      <c r="C294" s="13">
        <f t="shared" si="27"/>
        <v>3.2090000000000001</v>
      </c>
      <c r="D294" s="14">
        <f t="shared" si="25"/>
        <v>3209</v>
      </c>
      <c r="G294" s="12">
        <f t="shared" si="28"/>
        <v>45759.958333332637</v>
      </c>
      <c r="H294" s="12">
        <f t="shared" si="29"/>
        <v>45759.999999999302</v>
      </c>
      <c r="I294" s="132"/>
      <c r="J294" s="169">
        <v>3209</v>
      </c>
      <c r="K294" s="175"/>
    </row>
    <row r="295" spans="1:11" ht="14.4" x14ac:dyDescent="0.3">
      <c r="A295" s="12">
        <f t="shared" si="30"/>
        <v>45759.999999999302</v>
      </c>
      <c r="B295" s="12">
        <f t="shared" si="26"/>
        <v>45760.041666665966</v>
      </c>
      <c r="C295" s="13">
        <f t="shared" si="27"/>
        <v>3.1360000000000001</v>
      </c>
      <c r="D295" s="14">
        <f t="shared" si="25"/>
        <v>3136</v>
      </c>
      <c r="G295" s="12">
        <f t="shared" si="28"/>
        <v>45759.999999999302</v>
      </c>
      <c r="H295" s="12">
        <f t="shared" si="29"/>
        <v>45760.041666665966</v>
      </c>
      <c r="I295" s="132"/>
      <c r="J295" s="169">
        <v>3136</v>
      </c>
      <c r="K295" s="175"/>
    </row>
    <row r="296" spans="1:11" ht="14.4" x14ac:dyDescent="0.3">
      <c r="A296" s="12">
        <f t="shared" si="30"/>
        <v>45760.041666665966</v>
      </c>
      <c r="B296" s="12">
        <f t="shared" si="26"/>
        <v>45760.08333333263</v>
      </c>
      <c r="C296" s="13">
        <f t="shared" si="27"/>
        <v>3.0640000000000001</v>
      </c>
      <c r="D296" s="14">
        <f t="shared" si="25"/>
        <v>3064</v>
      </c>
      <c r="G296" s="12">
        <f t="shared" si="28"/>
        <v>45760.041666665966</v>
      </c>
      <c r="H296" s="12">
        <f t="shared" si="29"/>
        <v>45760.08333333263</v>
      </c>
      <c r="I296" s="132"/>
      <c r="J296" s="169">
        <v>3064</v>
      </c>
      <c r="K296" s="175"/>
    </row>
    <row r="297" spans="1:11" ht="14.4" x14ac:dyDescent="0.3">
      <c r="A297" s="12">
        <f t="shared" si="30"/>
        <v>45760.08333333263</v>
      </c>
      <c r="B297" s="12">
        <f t="shared" si="26"/>
        <v>45760.124999999294</v>
      </c>
      <c r="C297" s="13">
        <f t="shared" si="27"/>
        <v>3.008</v>
      </c>
      <c r="D297" s="14">
        <f t="shared" si="25"/>
        <v>3008</v>
      </c>
      <c r="G297" s="12">
        <f t="shared" si="28"/>
        <v>45760.08333333263</v>
      </c>
      <c r="H297" s="12">
        <f t="shared" si="29"/>
        <v>45760.124999999294</v>
      </c>
      <c r="I297" s="132"/>
      <c r="J297" s="169">
        <v>3008</v>
      </c>
      <c r="K297" s="175"/>
    </row>
    <row r="298" spans="1:11" ht="14.4" x14ac:dyDescent="0.3">
      <c r="A298" s="12">
        <f t="shared" si="30"/>
        <v>45760.124999999294</v>
      </c>
      <c r="B298" s="12">
        <f t="shared" si="26"/>
        <v>45760.166666665958</v>
      </c>
      <c r="C298" s="13">
        <f t="shared" si="27"/>
        <v>3.0430000000000001</v>
      </c>
      <c r="D298" s="14">
        <f t="shared" si="25"/>
        <v>3043</v>
      </c>
      <c r="G298" s="12">
        <f t="shared" si="28"/>
        <v>45760.124999999294</v>
      </c>
      <c r="H298" s="12">
        <f t="shared" si="29"/>
        <v>45760.166666665958</v>
      </c>
      <c r="I298" s="132"/>
      <c r="J298" s="169">
        <v>3043</v>
      </c>
      <c r="K298" s="175"/>
    </row>
    <row r="299" spans="1:11" ht="14.4" x14ac:dyDescent="0.3">
      <c r="A299" s="12">
        <f t="shared" si="30"/>
        <v>45760.166666665958</v>
      </c>
      <c r="B299" s="12">
        <f t="shared" si="26"/>
        <v>45760.208333332623</v>
      </c>
      <c r="C299" s="13">
        <f t="shared" si="27"/>
        <v>3.2069999999999999</v>
      </c>
      <c r="D299" s="14">
        <f t="shared" si="25"/>
        <v>3207</v>
      </c>
      <c r="G299" s="12">
        <f t="shared" si="28"/>
        <v>45760.166666665958</v>
      </c>
      <c r="H299" s="12">
        <f t="shared" si="29"/>
        <v>45760.208333332623</v>
      </c>
      <c r="I299" s="132"/>
      <c r="J299" s="169">
        <v>3207</v>
      </c>
      <c r="K299" s="175"/>
    </row>
    <row r="300" spans="1:11" ht="14.4" x14ac:dyDescent="0.3">
      <c r="A300" s="12">
        <f t="shared" si="30"/>
        <v>45760.208333332623</v>
      </c>
      <c r="B300" s="12">
        <f t="shared" si="26"/>
        <v>45760.249999999287</v>
      </c>
      <c r="C300" s="13">
        <f t="shared" si="27"/>
        <v>3.4380000000000002</v>
      </c>
      <c r="D300" s="14">
        <f t="shared" si="25"/>
        <v>3438</v>
      </c>
      <c r="G300" s="12">
        <f t="shared" si="28"/>
        <v>45760.208333332623</v>
      </c>
      <c r="H300" s="12">
        <f t="shared" si="29"/>
        <v>45760.249999999287</v>
      </c>
      <c r="I300" s="132"/>
      <c r="J300" s="169">
        <v>3438</v>
      </c>
      <c r="K300" s="175"/>
    </row>
    <row r="301" spans="1:11" ht="14.4" x14ac:dyDescent="0.3">
      <c r="A301" s="12">
        <f t="shared" si="30"/>
        <v>45760.249999999287</v>
      </c>
      <c r="B301" s="12">
        <f t="shared" si="26"/>
        <v>45760.291666665951</v>
      </c>
      <c r="C301" s="13">
        <f t="shared" si="27"/>
        <v>3.5259999999999998</v>
      </c>
      <c r="D301" s="14">
        <f t="shared" si="25"/>
        <v>3526</v>
      </c>
      <c r="G301" s="12">
        <f t="shared" si="28"/>
        <v>45760.249999999287</v>
      </c>
      <c r="H301" s="12">
        <f t="shared" si="29"/>
        <v>45760.291666665951</v>
      </c>
      <c r="I301" s="132"/>
      <c r="J301" s="169">
        <v>3526</v>
      </c>
      <c r="K301" s="175"/>
    </row>
    <row r="302" spans="1:11" ht="14.4" x14ac:dyDescent="0.3">
      <c r="A302" s="12">
        <f t="shared" si="30"/>
        <v>45760.291666665951</v>
      </c>
      <c r="B302" s="12">
        <f t="shared" si="26"/>
        <v>45760.333333332615</v>
      </c>
      <c r="C302" s="13">
        <f t="shared" si="27"/>
        <v>3.3540000000000001</v>
      </c>
      <c r="D302" s="14">
        <f t="shared" si="25"/>
        <v>3354</v>
      </c>
      <c r="G302" s="12">
        <f t="shared" si="28"/>
        <v>45760.291666665951</v>
      </c>
      <c r="H302" s="12">
        <f t="shared" si="29"/>
        <v>45760.333333332615</v>
      </c>
      <c r="I302" s="132"/>
      <c r="J302" s="169">
        <v>3354</v>
      </c>
      <c r="K302" s="175"/>
    </row>
    <row r="303" spans="1:11" ht="14.4" x14ac:dyDescent="0.3">
      <c r="A303" s="12">
        <f t="shared" si="30"/>
        <v>45760.333333332615</v>
      </c>
      <c r="B303" s="12">
        <f t="shared" si="26"/>
        <v>45760.37499999928</v>
      </c>
      <c r="C303" s="13">
        <f t="shared" si="27"/>
        <v>3.3439999999999999</v>
      </c>
      <c r="D303" s="14">
        <f t="shared" si="25"/>
        <v>3344</v>
      </c>
      <c r="G303" s="12">
        <f t="shared" si="28"/>
        <v>45760.333333332615</v>
      </c>
      <c r="H303" s="12">
        <f t="shared" si="29"/>
        <v>45760.37499999928</v>
      </c>
      <c r="I303" s="132"/>
      <c r="J303" s="169">
        <v>3344</v>
      </c>
      <c r="K303" s="175"/>
    </row>
    <row r="304" spans="1:11" ht="14.4" x14ac:dyDescent="0.3">
      <c r="A304" s="12">
        <f t="shared" si="30"/>
        <v>45760.37499999928</v>
      </c>
      <c r="B304" s="12">
        <f t="shared" si="26"/>
        <v>45760.416666665944</v>
      </c>
      <c r="C304" s="13">
        <f t="shared" si="27"/>
        <v>3.3740000000000001</v>
      </c>
      <c r="D304" s="14">
        <f t="shared" si="25"/>
        <v>3374</v>
      </c>
      <c r="G304" s="12">
        <f t="shared" si="28"/>
        <v>45760.37499999928</v>
      </c>
      <c r="H304" s="12">
        <f t="shared" si="29"/>
        <v>45760.416666665944</v>
      </c>
      <c r="I304" s="132"/>
      <c r="J304" s="169">
        <v>3374</v>
      </c>
      <c r="K304" s="175"/>
    </row>
    <row r="305" spans="1:11" ht="14.4" x14ac:dyDescent="0.3">
      <c r="A305" s="12">
        <f t="shared" si="30"/>
        <v>45760.416666665944</v>
      </c>
      <c r="B305" s="12">
        <f t="shared" si="26"/>
        <v>45760.458333332608</v>
      </c>
      <c r="C305" s="13">
        <f t="shared" si="27"/>
        <v>3.3</v>
      </c>
      <c r="D305" s="14">
        <f t="shared" si="25"/>
        <v>3300</v>
      </c>
      <c r="G305" s="12">
        <f t="shared" si="28"/>
        <v>45760.416666665944</v>
      </c>
      <c r="H305" s="12">
        <f t="shared" si="29"/>
        <v>45760.458333332608</v>
      </c>
      <c r="I305" s="132"/>
      <c r="J305" s="169">
        <v>3300</v>
      </c>
      <c r="K305" s="175"/>
    </row>
    <row r="306" spans="1:11" ht="14.4" x14ac:dyDescent="0.3">
      <c r="A306" s="12">
        <f t="shared" si="30"/>
        <v>45760.458333332608</v>
      </c>
      <c r="B306" s="12">
        <f t="shared" si="26"/>
        <v>45760.499999999272</v>
      </c>
      <c r="C306" s="13">
        <f t="shared" si="27"/>
        <v>3.3769999999999998</v>
      </c>
      <c r="D306" s="14">
        <f t="shared" si="25"/>
        <v>3377</v>
      </c>
      <c r="G306" s="12">
        <f t="shared" si="28"/>
        <v>45760.458333332608</v>
      </c>
      <c r="H306" s="12">
        <f t="shared" si="29"/>
        <v>45760.499999999272</v>
      </c>
      <c r="I306" s="132"/>
      <c r="J306" s="169">
        <v>3377</v>
      </c>
      <c r="K306" s="175"/>
    </row>
    <row r="307" spans="1:11" ht="14.4" x14ac:dyDescent="0.3">
      <c r="A307" s="12">
        <f t="shared" si="30"/>
        <v>45760.499999999272</v>
      </c>
      <c r="B307" s="12">
        <f t="shared" si="26"/>
        <v>45760.541666665937</v>
      </c>
      <c r="C307" s="13">
        <f t="shared" si="27"/>
        <v>3.5750000000000002</v>
      </c>
      <c r="D307" s="14">
        <f t="shared" si="25"/>
        <v>3575</v>
      </c>
      <c r="G307" s="12">
        <f t="shared" si="28"/>
        <v>45760.499999999272</v>
      </c>
      <c r="H307" s="12">
        <f t="shared" si="29"/>
        <v>45760.541666665937</v>
      </c>
      <c r="I307" s="132"/>
      <c r="J307" s="169">
        <v>3575</v>
      </c>
      <c r="K307" s="175"/>
    </row>
    <row r="308" spans="1:11" ht="14.4" x14ac:dyDescent="0.3">
      <c r="A308" s="12">
        <f t="shared" si="30"/>
        <v>45760.541666665937</v>
      </c>
      <c r="B308" s="12">
        <f t="shared" si="26"/>
        <v>45760.583333332601</v>
      </c>
      <c r="C308" s="13">
        <f t="shared" si="27"/>
        <v>3.8010000000000002</v>
      </c>
      <c r="D308" s="14">
        <f t="shared" si="25"/>
        <v>3801</v>
      </c>
      <c r="G308" s="12">
        <f t="shared" si="28"/>
        <v>45760.541666665937</v>
      </c>
      <c r="H308" s="12">
        <f t="shared" si="29"/>
        <v>45760.583333332601</v>
      </c>
      <c r="I308" s="132"/>
      <c r="J308" s="169">
        <v>3801</v>
      </c>
      <c r="K308" s="175"/>
    </row>
    <row r="309" spans="1:11" ht="14.4" x14ac:dyDescent="0.3">
      <c r="A309" s="12">
        <f t="shared" si="30"/>
        <v>45760.583333332601</v>
      </c>
      <c r="B309" s="12">
        <f t="shared" si="26"/>
        <v>45760.624999999265</v>
      </c>
      <c r="C309" s="13">
        <f t="shared" si="27"/>
        <v>3.8250000000000002</v>
      </c>
      <c r="D309" s="14">
        <f t="shared" si="25"/>
        <v>3825</v>
      </c>
      <c r="G309" s="12">
        <f t="shared" si="28"/>
        <v>45760.583333332601</v>
      </c>
      <c r="H309" s="12">
        <f t="shared" si="29"/>
        <v>45760.624999999265</v>
      </c>
      <c r="I309" s="132"/>
      <c r="J309" s="169">
        <v>3825</v>
      </c>
      <c r="K309" s="175"/>
    </row>
    <row r="310" spans="1:11" ht="14.4" x14ac:dyDescent="0.3">
      <c r="A310" s="12">
        <f t="shared" si="30"/>
        <v>45760.624999999265</v>
      </c>
      <c r="B310" s="12">
        <f t="shared" si="26"/>
        <v>45760.666666665929</v>
      </c>
      <c r="C310" s="13">
        <f t="shared" si="27"/>
        <v>3.7189999999999999</v>
      </c>
      <c r="D310" s="14">
        <f t="shared" si="25"/>
        <v>3719</v>
      </c>
      <c r="G310" s="12">
        <f t="shared" si="28"/>
        <v>45760.624999999265</v>
      </c>
      <c r="H310" s="12">
        <f t="shared" si="29"/>
        <v>45760.666666665929</v>
      </c>
      <c r="I310" s="132"/>
      <c r="J310" s="169">
        <v>3719</v>
      </c>
      <c r="K310" s="175"/>
    </row>
    <row r="311" spans="1:11" ht="14.4" x14ac:dyDescent="0.3">
      <c r="A311" s="12">
        <f t="shared" si="30"/>
        <v>45760.666666665929</v>
      </c>
      <c r="B311" s="12">
        <f t="shared" si="26"/>
        <v>45760.708333332594</v>
      </c>
      <c r="C311" s="13">
        <f t="shared" si="27"/>
        <v>3.8580000000000001</v>
      </c>
      <c r="D311" s="14">
        <f t="shared" si="25"/>
        <v>3858</v>
      </c>
      <c r="G311" s="12">
        <f t="shared" si="28"/>
        <v>45760.666666665929</v>
      </c>
      <c r="H311" s="12">
        <f t="shared" si="29"/>
        <v>45760.708333332594</v>
      </c>
      <c r="I311" s="132"/>
      <c r="J311" s="169">
        <v>3858</v>
      </c>
      <c r="K311" s="175"/>
    </row>
    <row r="312" spans="1:11" ht="14.4" x14ac:dyDescent="0.3">
      <c r="A312" s="12">
        <f t="shared" si="30"/>
        <v>45760.708333332594</v>
      </c>
      <c r="B312" s="12">
        <f t="shared" si="26"/>
        <v>45760.749999999258</v>
      </c>
      <c r="C312" s="13">
        <f t="shared" si="27"/>
        <v>4.16</v>
      </c>
      <c r="D312" s="14">
        <f t="shared" si="25"/>
        <v>4160</v>
      </c>
      <c r="G312" s="12">
        <f t="shared" si="28"/>
        <v>45760.708333332594</v>
      </c>
      <c r="H312" s="12">
        <f t="shared" si="29"/>
        <v>45760.749999999258</v>
      </c>
      <c r="I312" s="132"/>
      <c r="J312" s="169">
        <v>4160</v>
      </c>
      <c r="K312" s="175"/>
    </row>
    <row r="313" spans="1:11" ht="14.4" x14ac:dyDescent="0.3">
      <c r="A313" s="12">
        <f t="shared" si="30"/>
        <v>45760.749999999258</v>
      </c>
      <c r="B313" s="12">
        <f t="shared" si="26"/>
        <v>45760.791666665922</v>
      </c>
      <c r="C313" s="13">
        <f t="shared" si="27"/>
        <v>4.2300000000000004</v>
      </c>
      <c r="D313" s="14">
        <f t="shared" si="25"/>
        <v>4230</v>
      </c>
      <c r="G313" s="12">
        <f t="shared" si="28"/>
        <v>45760.749999999258</v>
      </c>
      <c r="H313" s="12">
        <f t="shared" si="29"/>
        <v>45760.791666665922</v>
      </c>
      <c r="I313" s="132"/>
      <c r="J313" s="169">
        <v>4230</v>
      </c>
      <c r="K313" s="175"/>
    </row>
    <row r="314" spans="1:11" ht="14.4" x14ac:dyDescent="0.3">
      <c r="A314" s="12">
        <f t="shared" si="30"/>
        <v>45760.791666665922</v>
      </c>
      <c r="B314" s="12">
        <f t="shared" si="26"/>
        <v>45760.833333332586</v>
      </c>
      <c r="C314" s="13">
        <f t="shared" si="27"/>
        <v>4.3319999999999999</v>
      </c>
      <c r="D314" s="14">
        <f t="shared" si="25"/>
        <v>4332</v>
      </c>
      <c r="G314" s="12">
        <f t="shared" si="28"/>
        <v>45760.791666665922</v>
      </c>
      <c r="H314" s="12">
        <f t="shared" si="29"/>
        <v>45760.833333332586</v>
      </c>
      <c r="I314" s="132"/>
      <c r="J314" s="169">
        <v>4332</v>
      </c>
      <c r="K314" s="175"/>
    </row>
    <row r="315" spans="1:11" ht="14.4" x14ac:dyDescent="0.3">
      <c r="A315" s="12">
        <f t="shared" si="30"/>
        <v>45760.833333332586</v>
      </c>
      <c r="B315" s="12">
        <f t="shared" si="26"/>
        <v>45760.874999999251</v>
      </c>
      <c r="C315" s="13">
        <f t="shared" si="27"/>
        <v>4.0919999999999996</v>
      </c>
      <c r="D315" s="14">
        <f t="shared" si="25"/>
        <v>4092</v>
      </c>
      <c r="G315" s="12">
        <f t="shared" si="28"/>
        <v>45760.833333332586</v>
      </c>
      <c r="H315" s="12">
        <f t="shared" si="29"/>
        <v>45760.874999999251</v>
      </c>
      <c r="I315" s="132"/>
      <c r="J315" s="169">
        <v>4092</v>
      </c>
      <c r="K315" s="175"/>
    </row>
    <row r="316" spans="1:11" ht="14.4" x14ac:dyDescent="0.3">
      <c r="A316" s="12">
        <f t="shared" si="30"/>
        <v>45760.874999999251</v>
      </c>
      <c r="B316" s="12">
        <f t="shared" si="26"/>
        <v>45760.916666665915</v>
      </c>
      <c r="C316" s="13">
        <f t="shared" si="27"/>
        <v>3.694</v>
      </c>
      <c r="D316" s="14">
        <f t="shared" si="25"/>
        <v>3694</v>
      </c>
      <c r="G316" s="12">
        <f t="shared" si="28"/>
        <v>45760.874999999251</v>
      </c>
      <c r="H316" s="12">
        <f t="shared" si="29"/>
        <v>45760.916666665915</v>
      </c>
      <c r="I316" s="132"/>
      <c r="J316" s="169">
        <v>3694</v>
      </c>
      <c r="K316" s="175"/>
    </row>
    <row r="317" spans="1:11" ht="14.4" x14ac:dyDescent="0.3">
      <c r="A317" s="12">
        <f t="shared" si="30"/>
        <v>45760.916666665915</v>
      </c>
      <c r="B317" s="12">
        <f t="shared" si="26"/>
        <v>45760.958333332579</v>
      </c>
      <c r="C317" s="13">
        <f t="shared" si="27"/>
        <v>3.2989999999999999</v>
      </c>
      <c r="D317" s="14">
        <f t="shared" si="25"/>
        <v>3299</v>
      </c>
      <c r="G317" s="12">
        <f t="shared" si="28"/>
        <v>45760.916666665915</v>
      </c>
      <c r="H317" s="12">
        <f t="shared" si="29"/>
        <v>45760.958333332579</v>
      </c>
      <c r="I317" s="132"/>
      <c r="J317" s="169">
        <v>3299</v>
      </c>
      <c r="K317" s="175"/>
    </row>
    <row r="318" spans="1:11" ht="14.4" x14ac:dyDescent="0.3">
      <c r="A318" s="12">
        <f t="shared" si="30"/>
        <v>45760.958333332579</v>
      </c>
      <c r="B318" s="12">
        <f t="shared" si="26"/>
        <v>45760.999999999243</v>
      </c>
      <c r="C318" s="13">
        <f t="shared" si="27"/>
        <v>3.1110000000000002</v>
      </c>
      <c r="D318" s="14">
        <f t="shared" si="25"/>
        <v>3111</v>
      </c>
      <c r="G318" s="12">
        <f t="shared" si="28"/>
        <v>45760.958333332579</v>
      </c>
      <c r="H318" s="12">
        <f t="shared" si="29"/>
        <v>45760.999999999243</v>
      </c>
      <c r="I318" s="132"/>
      <c r="J318" s="169">
        <v>3111</v>
      </c>
      <c r="K318" s="175"/>
    </row>
    <row r="319" spans="1:11" ht="14.4" x14ac:dyDescent="0.3">
      <c r="A319" s="12">
        <f t="shared" si="30"/>
        <v>45760.999999999243</v>
      </c>
      <c r="B319" s="12">
        <f t="shared" si="26"/>
        <v>45761.041666665908</v>
      </c>
      <c r="C319" s="13">
        <f t="shared" si="27"/>
        <v>3.048</v>
      </c>
      <c r="D319" s="14">
        <f t="shared" si="25"/>
        <v>3048</v>
      </c>
      <c r="G319" s="12">
        <f t="shared" si="28"/>
        <v>45760.999999999243</v>
      </c>
      <c r="H319" s="12">
        <f t="shared" si="29"/>
        <v>45761.041666665908</v>
      </c>
      <c r="I319" s="132"/>
      <c r="J319" s="169">
        <v>3048</v>
      </c>
      <c r="K319" s="175"/>
    </row>
    <row r="320" spans="1:11" ht="14.4" x14ac:dyDescent="0.3">
      <c r="A320" s="12">
        <f t="shared" si="30"/>
        <v>45761.041666665908</v>
      </c>
      <c r="B320" s="12">
        <f t="shared" si="26"/>
        <v>45761.083333332572</v>
      </c>
      <c r="C320" s="13">
        <f t="shared" si="27"/>
        <v>3.1080000000000001</v>
      </c>
      <c r="D320" s="14">
        <f t="shared" si="25"/>
        <v>3108</v>
      </c>
      <c r="G320" s="12">
        <f t="shared" si="28"/>
        <v>45761.041666665908</v>
      </c>
      <c r="H320" s="12">
        <f t="shared" si="29"/>
        <v>45761.083333332572</v>
      </c>
      <c r="I320" s="132"/>
      <c r="J320" s="169">
        <v>3108</v>
      </c>
      <c r="K320" s="175"/>
    </row>
    <row r="321" spans="1:11" ht="14.4" x14ac:dyDescent="0.3">
      <c r="A321" s="12">
        <f t="shared" si="30"/>
        <v>45761.083333332572</v>
      </c>
      <c r="B321" s="12">
        <f t="shared" si="26"/>
        <v>45761.124999999236</v>
      </c>
      <c r="C321" s="13">
        <f t="shared" si="27"/>
        <v>3.1019999999999999</v>
      </c>
      <c r="D321" s="14">
        <f t="shared" si="25"/>
        <v>3102</v>
      </c>
      <c r="G321" s="12">
        <f t="shared" si="28"/>
        <v>45761.083333332572</v>
      </c>
      <c r="H321" s="12">
        <f t="shared" si="29"/>
        <v>45761.124999999236</v>
      </c>
      <c r="I321" s="132"/>
      <c r="J321" s="169">
        <v>3102</v>
      </c>
      <c r="K321" s="175"/>
    </row>
    <row r="322" spans="1:11" ht="14.4" x14ac:dyDescent="0.3">
      <c r="A322" s="12">
        <f t="shared" si="30"/>
        <v>45761.124999999236</v>
      </c>
      <c r="B322" s="12">
        <f t="shared" si="26"/>
        <v>45761.1666666659</v>
      </c>
      <c r="C322" s="13">
        <f t="shared" si="27"/>
        <v>3.278</v>
      </c>
      <c r="D322" s="14">
        <f t="shared" si="25"/>
        <v>3278</v>
      </c>
      <c r="G322" s="12">
        <f t="shared" si="28"/>
        <v>45761.124999999236</v>
      </c>
      <c r="H322" s="12">
        <f t="shared" si="29"/>
        <v>45761.1666666659</v>
      </c>
      <c r="I322" s="132"/>
      <c r="J322" s="169">
        <v>3278</v>
      </c>
      <c r="K322" s="175"/>
    </row>
    <row r="323" spans="1:11" ht="14.4" x14ac:dyDescent="0.3">
      <c r="A323" s="12">
        <f t="shared" si="30"/>
        <v>45761.1666666659</v>
      </c>
      <c r="B323" s="12">
        <f t="shared" si="26"/>
        <v>45761.208333332565</v>
      </c>
      <c r="C323" s="13">
        <f t="shared" si="27"/>
        <v>3.6669999999999998</v>
      </c>
      <c r="D323" s="14">
        <f t="shared" si="25"/>
        <v>3667</v>
      </c>
      <c r="G323" s="12">
        <f t="shared" si="28"/>
        <v>45761.1666666659</v>
      </c>
      <c r="H323" s="12">
        <f t="shared" si="29"/>
        <v>45761.208333332565</v>
      </c>
      <c r="I323" s="132"/>
      <c r="J323" s="169">
        <v>3667</v>
      </c>
      <c r="K323" s="175"/>
    </row>
    <row r="324" spans="1:11" ht="14.4" x14ac:dyDescent="0.3">
      <c r="A324" s="12">
        <f t="shared" si="30"/>
        <v>45761.208333332565</v>
      </c>
      <c r="B324" s="12">
        <f t="shared" si="26"/>
        <v>45761.249999999229</v>
      </c>
      <c r="C324" s="13">
        <f t="shared" si="27"/>
        <v>4.2249999999999996</v>
      </c>
      <c r="D324" s="14">
        <f t="shared" si="25"/>
        <v>4225</v>
      </c>
      <c r="G324" s="12">
        <f t="shared" si="28"/>
        <v>45761.208333332565</v>
      </c>
      <c r="H324" s="12">
        <f t="shared" si="29"/>
        <v>45761.249999999229</v>
      </c>
      <c r="I324" s="132"/>
      <c r="J324" s="169">
        <v>4225</v>
      </c>
      <c r="K324" s="175"/>
    </row>
    <row r="325" spans="1:11" ht="14.4" x14ac:dyDescent="0.3">
      <c r="A325" s="12">
        <f t="shared" si="30"/>
        <v>45761.249999999229</v>
      </c>
      <c r="B325" s="12">
        <f t="shared" si="26"/>
        <v>45761.291666665893</v>
      </c>
      <c r="C325" s="13">
        <f t="shared" si="27"/>
        <v>4.3010000000000002</v>
      </c>
      <c r="D325" s="14">
        <f t="shared" si="25"/>
        <v>4301</v>
      </c>
      <c r="G325" s="12">
        <f t="shared" si="28"/>
        <v>45761.249999999229</v>
      </c>
      <c r="H325" s="12">
        <f t="shared" si="29"/>
        <v>45761.291666665893</v>
      </c>
      <c r="I325" s="132"/>
      <c r="J325" s="169">
        <v>4301</v>
      </c>
      <c r="K325" s="175"/>
    </row>
    <row r="326" spans="1:11" ht="14.4" x14ac:dyDescent="0.3">
      <c r="A326" s="12">
        <f t="shared" si="30"/>
        <v>45761.291666665893</v>
      </c>
      <c r="B326" s="12">
        <f t="shared" si="26"/>
        <v>45761.333333332557</v>
      </c>
      <c r="C326" s="13">
        <f t="shared" si="27"/>
        <v>4.2560000000000002</v>
      </c>
      <c r="D326" s="14">
        <f t="shared" si="25"/>
        <v>4256</v>
      </c>
      <c r="G326" s="12">
        <f t="shared" si="28"/>
        <v>45761.291666665893</v>
      </c>
      <c r="H326" s="12">
        <f t="shared" si="29"/>
        <v>45761.333333332557</v>
      </c>
      <c r="I326" s="132"/>
      <c r="J326" s="169">
        <v>4256</v>
      </c>
      <c r="K326" s="175"/>
    </row>
    <row r="327" spans="1:11" ht="14.4" x14ac:dyDescent="0.3">
      <c r="A327" s="12">
        <f t="shared" si="30"/>
        <v>45761.333333332557</v>
      </c>
      <c r="B327" s="12">
        <f t="shared" si="26"/>
        <v>45761.374999999221</v>
      </c>
      <c r="C327" s="13">
        <f t="shared" si="27"/>
        <v>4.3419999999999996</v>
      </c>
      <c r="D327" s="14">
        <f t="shared" ref="D327:D390" si="31">J327*(1+$D$3)*(1+$D$4)</f>
        <v>4342</v>
      </c>
      <c r="G327" s="12">
        <f t="shared" si="28"/>
        <v>45761.333333332557</v>
      </c>
      <c r="H327" s="12">
        <f t="shared" si="29"/>
        <v>45761.374999999221</v>
      </c>
      <c r="I327" s="132"/>
      <c r="J327" s="169">
        <v>4342</v>
      </c>
      <c r="K327" s="175"/>
    </row>
    <row r="328" spans="1:11" ht="14.4" x14ac:dyDescent="0.3">
      <c r="A328" s="12">
        <f t="shared" si="30"/>
        <v>45761.374999999221</v>
      </c>
      <c r="B328" s="12">
        <f t="shared" ref="B328:B391" si="32">$A328+1/24</f>
        <v>45761.416666665886</v>
      </c>
      <c r="C328" s="13">
        <f t="shared" ref="C328:C391" si="33">SUM(D328)/1000</f>
        <v>4.0750000000000002</v>
      </c>
      <c r="D328" s="14">
        <f t="shared" si="31"/>
        <v>4075</v>
      </c>
      <c r="G328" s="12">
        <f t="shared" ref="G328:G391" si="34">A328</f>
        <v>45761.374999999221</v>
      </c>
      <c r="H328" s="12">
        <f t="shared" ref="H328:H391" si="35">B328</f>
        <v>45761.416666665886</v>
      </c>
      <c r="I328" s="132"/>
      <c r="J328" s="169">
        <v>4075</v>
      </c>
      <c r="K328" s="175"/>
    </row>
    <row r="329" spans="1:11" ht="14.4" x14ac:dyDescent="0.3">
      <c r="A329" s="12">
        <f t="shared" ref="A329:A392" si="36">$A328+1/24</f>
        <v>45761.416666665886</v>
      </c>
      <c r="B329" s="12">
        <f t="shared" si="32"/>
        <v>45761.45833333255</v>
      </c>
      <c r="C329" s="13">
        <f t="shared" si="33"/>
        <v>4.0110000000000001</v>
      </c>
      <c r="D329" s="14">
        <f t="shared" si="31"/>
        <v>4011</v>
      </c>
      <c r="G329" s="12">
        <f t="shared" si="34"/>
        <v>45761.416666665886</v>
      </c>
      <c r="H329" s="12">
        <f t="shared" si="35"/>
        <v>45761.45833333255</v>
      </c>
      <c r="I329" s="132"/>
      <c r="J329" s="169">
        <v>4011</v>
      </c>
      <c r="K329" s="175"/>
    </row>
    <row r="330" spans="1:11" ht="14.4" x14ac:dyDescent="0.3">
      <c r="A330" s="12">
        <f t="shared" si="36"/>
        <v>45761.45833333255</v>
      </c>
      <c r="B330" s="12">
        <f t="shared" si="32"/>
        <v>45761.499999999214</v>
      </c>
      <c r="C330" s="13">
        <f t="shared" si="33"/>
        <v>4.1790000000000003</v>
      </c>
      <c r="D330" s="14">
        <f t="shared" si="31"/>
        <v>4179</v>
      </c>
      <c r="G330" s="12">
        <f t="shared" si="34"/>
        <v>45761.45833333255</v>
      </c>
      <c r="H330" s="12">
        <f t="shared" si="35"/>
        <v>45761.499999999214</v>
      </c>
      <c r="I330" s="132"/>
      <c r="J330" s="169">
        <v>4179</v>
      </c>
      <c r="K330" s="175"/>
    </row>
    <row r="331" spans="1:11" ht="14.4" x14ac:dyDescent="0.3">
      <c r="A331" s="12">
        <f t="shared" si="36"/>
        <v>45761.499999999214</v>
      </c>
      <c r="B331" s="12">
        <f t="shared" si="32"/>
        <v>45761.541666665878</v>
      </c>
      <c r="C331" s="13">
        <f t="shared" si="33"/>
        <v>4.0110000000000001</v>
      </c>
      <c r="D331" s="14">
        <f t="shared" si="31"/>
        <v>4011</v>
      </c>
      <c r="G331" s="12">
        <f t="shared" si="34"/>
        <v>45761.499999999214</v>
      </c>
      <c r="H331" s="12">
        <f t="shared" si="35"/>
        <v>45761.541666665878</v>
      </c>
      <c r="I331" s="132"/>
      <c r="J331" s="169">
        <v>4011</v>
      </c>
      <c r="K331" s="175"/>
    </row>
    <row r="332" spans="1:11" ht="14.4" x14ac:dyDescent="0.3">
      <c r="A332" s="12">
        <f t="shared" si="36"/>
        <v>45761.541666665878</v>
      </c>
      <c r="B332" s="12">
        <f t="shared" si="32"/>
        <v>45761.583333332543</v>
      </c>
      <c r="C332" s="13">
        <f t="shared" si="33"/>
        <v>4.0780000000000003</v>
      </c>
      <c r="D332" s="14">
        <f t="shared" si="31"/>
        <v>4078</v>
      </c>
      <c r="G332" s="12">
        <f t="shared" si="34"/>
        <v>45761.541666665878</v>
      </c>
      <c r="H332" s="12">
        <f t="shared" si="35"/>
        <v>45761.583333332543</v>
      </c>
      <c r="I332" s="132"/>
      <c r="J332" s="169">
        <v>4078</v>
      </c>
      <c r="K332" s="175"/>
    </row>
    <row r="333" spans="1:11" ht="14.4" x14ac:dyDescent="0.3">
      <c r="A333" s="12">
        <f t="shared" si="36"/>
        <v>45761.583333332543</v>
      </c>
      <c r="B333" s="12">
        <f t="shared" si="32"/>
        <v>45761.624999999207</v>
      </c>
      <c r="C333" s="13">
        <f t="shared" si="33"/>
        <v>2.0329999999999999</v>
      </c>
      <c r="D333" s="14">
        <f t="shared" si="31"/>
        <v>2033</v>
      </c>
      <c r="G333" s="12">
        <f t="shared" si="34"/>
        <v>45761.583333332543</v>
      </c>
      <c r="H333" s="12">
        <f t="shared" si="35"/>
        <v>45761.624999999207</v>
      </c>
      <c r="I333" s="132"/>
      <c r="J333" s="169">
        <v>2033</v>
      </c>
      <c r="K333" s="175"/>
    </row>
    <row r="334" spans="1:11" ht="14.4" x14ac:dyDescent="0.3">
      <c r="A334" s="12">
        <f t="shared" si="36"/>
        <v>45761.624999999207</v>
      </c>
      <c r="B334" s="12">
        <f t="shared" si="32"/>
        <v>45761.666666665871</v>
      </c>
      <c r="C334" s="13">
        <f t="shared" si="33"/>
        <v>1.3979999999999999</v>
      </c>
      <c r="D334" s="14">
        <f t="shared" si="31"/>
        <v>1398</v>
      </c>
      <c r="G334" s="12">
        <f t="shared" si="34"/>
        <v>45761.624999999207</v>
      </c>
      <c r="H334" s="12">
        <f t="shared" si="35"/>
        <v>45761.666666665871</v>
      </c>
      <c r="I334" s="132"/>
      <c r="J334" s="169">
        <v>1398</v>
      </c>
      <c r="K334" s="175"/>
    </row>
    <row r="335" spans="1:11" ht="14.4" x14ac:dyDescent="0.3">
      <c r="A335" s="12">
        <f t="shared" si="36"/>
        <v>45761.666666665871</v>
      </c>
      <c r="B335" s="12">
        <f t="shared" si="32"/>
        <v>45761.708333332535</v>
      </c>
      <c r="C335" s="13">
        <f t="shared" si="33"/>
        <v>4.2729999999999997</v>
      </c>
      <c r="D335" s="14">
        <f t="shared" si="31"/>
        <v>4273</v>
      </c>
      <c r="G335" s="12">
        <f t="shared" si="34"/>
        <v>45761.666666665871</v>
      </c>
      <c r="H335" s="12">
        <f t="shared" si="35"/>
        <v>45761.708333332535</v>
      </c>
      <c r="I335" s="132"/>
      <c r="J335" s="169">
        <v>4273</v>
      </c>
      <c r="K335" s="175"/>
    </row>
    <row r="336" spans="1:11" ht="14.4" x14ac:dyDescent="0.3">
      <c r="A336" s="12">
        <f t="shared" si="36"/>
        <v>45761.708333332535</v>
      </c>
      <c r="B336" s="12">
        <f t="shared" si="32"/>
        <v>45761.7499999992</v>
      </c>
      <c r="C336" s="13">
        <f t="shared" si="33"/>
        <v>4.4390000000000001</v>
      </c>
      <c r="D336" s="14">
        <f t="shared" si="31"/>
        <v>4439</v>
      </c>
      <c r="G336" s="12">
        <f t="shared" si="34"/>
        <v>45761.708333332535</v>
      </c>
      <c r="H336" s="12">
        <f t="shared" si="35"/>
        <v>45761.7499999992</v>
      </c>
      <c r="I336" s="132"/>
      <c r="J336" s="169">
        <v>4439</v>
      </c>
      <c r="K336" s="175"/>
    </row>
    <row r="337" spans="1:11" ht="14.4" x14ac:dyDescent="0.3">
      <c r="A337" s="12">
        <f t="shared" si="36"/>
        <v>45761.7499999992</v>
      </c>
      <c r="B337" s="12">
        <f t="shared" si="32"/>
        <v>45761.791666665864</v>
      </c>
      <c r="C337" s="13">
        <f t="shared" si="33"/>
        <v>4.4779999999999998</v>
      </c>
      <c r="D337" s="14">
        <f t="shared" si="31"/>
        <v>4478</v>
      </c>
      <c r="G337" s="12">
        <f t="shared" si="34"/>
        <v>45761.7499999992</v>
      </c>
      <c r="H337" s="12">
        <f t="shared" si="35"/>
        <v>45761.791666665864</v>
      </c>
      <c r="I337" s="132"/>
      <c r="J337" s="169">
        <v>4478</v>
      </c>
      <c r="K337" s="175"/>
    </row>
    <row r="338" spans="1:11" ht="14.4" x14ac:dyDescent="0.3">
      <c r="A338" s="12">
        <f t="shared" si="36"/>
        <v>45761.791666665864</v>
      </c>
      <c r="B338" s="12">
        <f t="shared" si="32"/>
        <v>45761.833333332528</v>
      </c>
      <c r="C338" s="13">
        <f t="shared" si="33"/>
        <v>4.5570000000000004</v>
      </c>
      <c r="D338" s="14">
        <f t="shared" si="31"/>
        <v>4557</v>
      </c>
      <c r="G338" s="12">
        <f t="shared" si="34"/>
        <v>45761.791666665864</v>
      </c>
      <c r="H338" s="12">
        <f t="shared" si="35"/>
        <v>45761.833333332528</v>
      </c>
      <c r="I338" s="132"/>
      <c r="J338" s="169">
        <v>4557</v>
      </c>
      <c r="K338" s="175"/>
    </row>
    <row r="339" spans="1:11" ht="14.4" x14ac:dyDescent="0.3">
      <c r="A339" s="12">
        <f t="shared" si="36"/>
        <v>45761.833333332528</v>
      </c>
      <c r="B339" s="12">
        <f t="shared" si="32"/>
        <v>45761.874999999192</v>
      </c>
      <c r="C339" s="13">
        <f t="shared" si="33"/>
        <v>4.1360000000000001</v>
      </c>
      <c r="D339" s="14">
        <f t="shared" si="31"/>
        <v>4136</v>
      </c>
      <c r="G339" s="12">
        <f t="shared" si="34"/>
        <v>45761.833333332528</v>
      </c>
      <c r="H339" s="12">
        <f t="shared" si="35"/>
        <v>45761.874999999192</v>
      </c>
      <c r="I339" s="132"/>
      <c r="J339" s="169">
        <v>4136</v>
      </c>
      <c r="K339" s="175"/>
    </row>
    <row r="340" spans="1:11" ht="14.4" x14ac:dyDescent="0.3">
      <c r="A340" s="12">
        <f t="shared" si="36"/>
        <v>45761.874999999192</v>
      </c>
      <c r="B340" s="12">
        <f t="shared" si="32"/>
        <v>45761.916666665857</v>
      </c>
      <c r="C340" s="13">
        <f t="shared" si="33"/>
        <v>3.74</v>
      </c>
      <c r="D340" s="14">
        <f t="shared" si="31"/>
        <v>3740</v>
      </c>
      <c r="G340" s="12">
        <f t="shared" si="34"/>
        <v>45761.874999999192</v>
      </c>
      <c r="H340" s="12">
        <f t="shared" si="35"/>
        <v>45761.916666665857</v>
      </c>
      <c r="I340" s="132"/>
      <c r="J340" s="169">
        <v>3740</v>
      </c>
      <c r="K340" s="175"/>
    </row>
    <row r="341" spans="1:11" ht="14.4" x14ac:dyDescent="0.3">
      <c r="A341" s="12">
        <f t="shared" si="36"/>
        <v>45761.916666665857</v>
      </c>
      <c r="B341" s="12">
        <f t="shared" si="32"/>
        <v>45761.958333332521</v>
      </c>
      <c r="C341" s="13">
        <f t="shared" si="33"/>
        <v>3.411</v>
      </c>
      <c r="D341" s="14">
        <f t="shared" si="31"/>
        <v>3411</v>
      </c>
      <c r="G341" s="12">
        <f t="shared" si="34"/>
        <v>45761.916666665857</v>
      </c>
      <c r="H341" s="12">
        <f t="shared" si="35"/>
        <v>45761.958333332521</v>
      </c>
      <c r="I341" s="132"/>
      <c r="J341" s="169">
        <v>3411</v>
      </c>
      <c r="K341" s="175"/>
    </row>
    <row r="342" spans="1:11" ht="14.4" x14ac:dyDescent="0.3">
      <c r="A342" s="12">
        <f t="shared" si="36"/>
        <v>45761.958333332521</v>
      </c>
      <c r="B342" s="12">
        <f t="shared" si="32"/>
        <v>45761.999999999185</v>
      </c>
      <c r="C342" s="13">
        <f t="shared" si="33"/>
        <v>3.24</v>
      </c>
      <c r="D342" s="14">
        <f t="shared" si="31"/>
        <v>3240</v>
      </c>
      <c r="G342" s="12">
        <f t="shared" si="34"/>
        <v>45761.958333332521</v>
      </c>
      <c r="H342" s="12">
        <f t="shared" si="35"/>
        <v>45761.999999999185</v>
      </c>
      <c r="I342" s="132"/>
      <c r="J342" s="169">
        <v>3240</v>
      </c>
      <c r="K342" s="175"/>
    </row>
    <row r="343" spans="1:11" ht="14.4" x14ac:dyDescent="0.3">
      <c r="A343" s="12">
        <f t="shared" si="36"/>
        <v>45761.999999999185</v>
      </c>
      <c r="B343" s="12">
        <f t="shared" si="32"/>
        <v>45762.041666665849</v>
      </c>
      <c r="C343" s="13">
        <f t="shared" si="33"/>
        <v>3.157</v>
      </c>
      <c r="D343" s="14">
        <f t="shared" si="31"/>
        <v>3157</v>
      </c>
      <c r="G343" s="12">
        <f t="shared" si="34"/>
        <v>45761.999999999185</v>
      </c>
      <c r="H343" s="12">
        <f t="shared" si="35"/>
        <v>45762.041666665849</v>
      </c>
      <c r="I343" s="132"/>
      <c r="J343" s="169">
        <v>3157</v>
      </c>
      <c r="K343" s="175"/>
    </row>
    <row r="344" spans="1:11" ht="14.4" x14ac:dyDescent="0.3">
      <c r="A344" s="12">
        <f t="shared" si="36"/>
        <v>45762.041666665849</v>
      </c>
      <c r="B344" s="12">
        <f t="shared" si="32"/>
        <v>45762.083333332514</v>
      </c>
      <c r="C344" s="13">
        <f t="shared" si="33"/>
        <v>3.109</v>
      </c>
      <c r="D344" s="14">
        <f t="shared" si="31"/>
        <v>3109</v>
      </c>
      <c r="G344" s="12">
        <f t="shared" si="34"/>
        <v>45762.041666665849</v>
      </c>
      <c r="H344" s="12">
        <f t="shared" si="35"/>
        <v>45762.083333332514</v>
      </c>
      <c r="I344" s="132"/>
      <c r="J344" s="169">
        <v>3109</v>
      </c>
      <c r="K344" s="175"/>
    </row>
    <row r="345" spans="1:11" ht="14.4" x14ac:dyDescent="0.3">
      <c r="A345" s="12">
        <f t="shared" si="36"/>
        <v>45762.083333332514</v>
      </c>
      <c r="B345" s="12">
        <f t="shared" si="32"/>
        <v>45762.124999999178</v>
      </c>
      <c r="C345" s="13">
        <f t="shared" si="33"/>
        <v>3.18</v>
      </c>
      <c r="D345" s="14">
        <f t="shared" si="31"/>
        <v>3180</v>
      </c>
      <c r="G345" s="12">
        <f t="shared" si="34"/>
        <v>45762.083333332514</v>
      </c>
      <c r="H345" s="12">
        <f t="shared" si="35"/>
        <v>45762.124999999178</v>
      </c>
      <c r="I345" s="132"/>
      <c r="J345" s="169">
        <v>3180</v>
      </c>
      <c r="K345" s="175"/>
    </row>
    <row r="346" spans="1:11" ht="14.4" x14ac:dyDescent="0.3">
      <c r="A346" s="12">
        <f t="shared" si="36"/>
        <v>45762.124999999178</v>
      </c>
      <c r="B346" s="12">
        <f t="shared" si="32"/>
        <v>45762.166666665842</v>
      </c>
      <c r="C346" s="13">
        <f t="shared" si="33"/>
        <v>3.3769999999999998</v>
      </c>
      <c r="D346" s="14">
        <f t="shared" si="31"/>
        <v>3377</v>
      </c>
      <c r="G346" s="12">
        <f t="shared" si="34"/>
        <v>45762.124999999178</v>
      </c>
      <c r="H346" s="12">
        <f t="shared" si="35"/>
        <v>45762.166666665842</v>
      </c>
      <c r="I346" s="132"/>
      <c r="J346" s="169">
        <v>3377</v>
      </c>
      <c r="K346" s="175"/>
    </row>
    <row r="347" spans="1:11" ht="14.4" x14ac:dyDescent="0.3">
      <c r="A347" s="12">
        <f t="shared" si="36"/>
        <v>45762.166666665842</v>
      </c>
      <c r="B347" s="12">
        <f t="shared" si="32"/>
        <v>45762.208333332506</v>
      </c>
      <c r="C347" s="13">
        <f t="shared" si="33"/>
        <v>3.661</v>
      </c>
      <c r="D347" s="14">
        <f t="shared" si="31"/>
        <v>3661</v>
      </c>
      <c r="G347" s="12">
        <f t="shared" si="34"/>
        <v>45762.166666665842</v>
      </c>
      <c r="H347" s="12">
        <f t="shared" si="35"/>
        <v>45762.208333332506</v>
      </c>
      <c r="I347" s="132"/>
      <c r="J347" s="169">
        <v>3661</v>
      </c>
      <c r="K347" s="175"/>
    </row>
    <row r="348" spans="1:11" ht="14.4" x14ac:dyDescent="0.3">
      <c r="A348" s="12">
        <f t="shared" si="36"/>
        <v>45762.208333332506</v>
      </c>
      <c r="B348" s="12">
        <f t="shared" si="32"/>
        <v>45762.249999999171</v>
      </c>
      <c r="C348" s="13">
        <f t="shared" si="33"/>
        <v>4.2039999999999997</v>
      </c>
      <c r="D348" s="14">
        <f t="shared" si="31"/>
        <v>4204</v>
      </c>
      <c r="G348" s="12">
        <f t="shared" si="34"/>
        <v>45762.208333332506</v>
      </c>
      <c r="H348" s="12">
        <f t="shared" si="35"/>
        <v>45762.249999999171</v>
      </c>
      <c r="I348" s="132"/>
      <c r="J348" s="169">
        <v>4204</v>
      </c>
      <c r="K348" s="175"/>
    </row>
    <row r="349" spans="1:11" ht="14.4" x14ac:dyDescent="0.3">
      <c r="A349" s="12">
        <f t="shared" si="36"/>
        <v>45762.249999999171</v>
      </c>
      <c r="B349" s="12">
        <f t="shared" si="32"/>
        <v>45762.291666665835</v>
      </c>
      <c r="C349" s="13">
        <f t="shared" si="33"/>
        <v>4.4660000000000002</v>
      </c>
      <c r="D349" s="14">
        <f t="shared" si="31"/>
        <v>4466</v>
      </c>
      <c r="G349" s="12">
        <f t="shared" si="34"/>
        <v>45762.249999999171</v>
      </c>
      <c r="H349" s="12">
        <f t="shared" si="35"/>
        <v>45762.291666665835</v>
      </c>
      <c r="I349" s="132"/>
      <c r="J349" s="169">
        <v>4466</v>
      </c>
      <c r="K349" s="175"/>
    </row>
    <row r="350" spans="1:11" ht="14.4" x14ac:dyDescent="0.3">
      <c r="A350" s="12">
        <f t="shared" si="36"/>
        <v>45762.291666665835</v>
      </c>
      <c r="B350" s="12">
        <f t="shared" si="32"/>
        <v>45762.333333332499</v>
      </c>
      <c r="C350" s="13">
        <f t="shared" si="33"/>
        <v>4.5330000000000004</v>
      </c>
      <c r="D350" s="14">
        <f t="shared" si="31"/>
        <v>4533</v>
      </c>
      <c r="G350" s="12">
        <f t="shared" si="34"/>
        <v>45762.291666665835</v>
      </c>
      <c r="H350" s="12">
        <f t="shared" si="35"/>
        <v>45762.333333332499</v>
      </c>
      <c r="I350" s="132"/>
      <c r="J350" s="169">
        <v>4533</v>
      </c>
      <c r="K350" s="175"/>
    </row>
    <row r="351" spans="1:11" ht="14.4" x14ac:dyDescent="0.3">
      <c r="A351" s="12">
        <f t="shared" si="36"/>
        <v>45762.333333332499</v>
      </c>
      <c r="B351" s="12">
        <f t="shared" si="32"/>
        <v>45762.374999999163</v>
      </c>
      <c r="C351" s="13">
        <f t="shared" si="33"/>
        <v>4.3120000000000003</v>
      </c>
      <c r="D351" s="14">
        <f t="shared" si="31"/>
        <v>4312</v>
      </c>
      <c r="G351" s="12">
        <f t="shared" si="34"/>
        <v>45762.333333332499</v>
      </c>
      <c r="H351" s="12">
        <f t="shared" si="35"/>
        <v>45762.374999999163</v>
      </c>
      <c r="I351" s="132"/>
      <c r="J351" s="169">
        <v>4312</v>
      </c>
      <c r="K351" s="175"/>
    </row>
    <row r="352" spans="1:11" ht="14.4" x14ac:dyDescent="0.3">
      <c r="A352" s="12">
        <f t="shared" si="36"/>
        <v>45762.374999999163</v>
      </c>
      <c r="B352" s="12">
        <f t="shared" si="32"/>
        <v>45762.416666665828</v>
      </c>
      <c r="C352" s="13">
        <f t="shared" si="33"/>
        <v>4.2850000000000001</v>
      </c>
      <c r="D352" s="14">
        <f t="shared" si="31"/>
        <v>4285</v>
      </c>
      <c r="G352" s="12">
        <f t="shared" si="34"/>
        <v>45762.374999999163</v>
      </c>
      <c r="H352" s="12">
        <f t="shared" si="35"/>
        <v>45762.416666665828</v>
      </c>
      <c r="I352" s="132"/>
      <c r="J352" s="169">
        <v>4285</v>
      </c>
      <c r="K352" s="175"/>
    </row>
    <row r="353" spans="1:11" ht="14.4" x14ac:dyDescent="0.3">
      <c r="A353" s="12">
        <f t="shared" si="36"/>
        <v>45762.416666665828</v>
      </c>
      <c r="B353" s="12">
        <f t="shared" si="32"/>
        <v>45762.458333332492</v>
      </c>
      <c r="C353" s="13">
        <f t="shared" si="33"/>
        <v>4.3719999999999999</v>
      </c>
      <c r="D353" s="14">
        <f t="shared" si="31"/>
        <v>4372</v>
      </c>
      <c r="G353" s="12">
        <f t="shared" si="34"/>
        <v>45762.416666665828</v>
      </c>
      <c r="H353" s="12">
        <f t="shared" si="35"/>
        <v>45762.458333332492</v>
      </c>
      <c r="I353" s="132"/>
      <c r="J353" s="169">
        <v>4372</v>
      </c>
      <c r="K353" s="175"/>
    </row>
    <row r="354" spans="1:11" ht="14.4" x14ac:dyDescent="0.3">
      <c r="A354" s="12">
        <f t="shared" si="36"/>
        <v>45762.458333332492</v>
      </c>
      <c r="B354" s="12">
        <f t="shared" si="32"/>
        <v>45762.499999999156</v>
      </c>
      <c r="C354" s="13">
        <f t="shared" si="33"/>
        <v>3.9350000000000001</v>
      </c>
      <c r="D354" s="14">
        <f t="shared" si="31"/>
        <v>3935</v>
      </c>
      <c r="G354" s="12">
        <f t="shared" si="34"/>
        <v>45762.458333332492</v>
      </c>
      <c r="H354" s="12">
        <f t="shared" si="35"/>
        <v>45762.499999999156</v>
      </c>
      <c r="I354" s="132"/>
      <c r="J354" s="169">
        <v>3935</v>
      </c>
      <c r="K354" s="175"/>
    </row>
    <row r="355" spans="1:11" ht="14.4" x14ac:dyDescent="0.3">
      <c r="A355" s="12">
        <f t="shared" si="36"/>
        <v>45762.499999999156</v>
      </c>
      <c r="B355" s="12">
        <f t="shared" si="32"/>
        <v>45762.54166666582</v>
      </c>
      <c r="C355" s="13">
        <f t="shared" si="33"/>
        <v>4.2619999999999996</v>
      </c>
      <c r="D355" s="14">
        <f t="shared" si="31"/>
        <v>4262</v>
      </c>
      <c r="G355" s="12">
        <f t="shared" si="34"/>
        <v>45762.499999999156</v>
      </c>
      <c r="H355" s="12">
        <f t="shared" si="35"/>
        <v>45762.54166666582</v>
      </c>
      <c r="I355" s="132"/>
      <c r="J355" s="169">
        <v>4262</v>
      </c>
      <c r="K355" s="175"/>
    </row>
    <row r="356" spans="1:11" ht="14.4" x14ac:dyDescent="0.3">
      <c r="A356" s="12">
        <f t="shared" si="36"/>
        <v>45762.54166666582</v>
      </c>
      <c r="B356" s="12">
        <f t="shared" si="32"/>
        <v>45762.583333332484</v>
      </c>
      <c r="C356" s="13">
        <f t="shared" si="33"/>
        <v>4.3140000000000001</v>
      </c>
      <c r="D356" s="14">
        <f t="shared" si="31"/>
        <v>4314</v>
      </c>
      <c r="G356" s="12">
        <f t="shared" si="34"/>
        <v>45762.54166666582</v>
      </c>
      <c r="H356" s="12">
        <f t="shared" si="35"/>
        <v>45762.583333332484</v>
      </c>
      <c r="I356" s="132"/>
      <c r="J356" s="169">
        <v>4314</v>
      </c>
      <c r="K356" s="175"/>
    </row>
    <row r="357" spans="1:11" ht="14.4" x14ac:dyDescent="0.3">
      <c r="A357" s="12">
        <f t="shared" si="36"/>
        <v>45762.583333332484</v>
      </c>
      <c r="B357" s="12">
        <f t="shared" si="32"/>
        <v>45762.624999999149</v>
      </c>
      <c r="C357" s="13">
        <f t="shared" si="33"/>
        <v>4.2210000000000001</v>
      </c>
      <c r="D357" s="14">
        <f t="shared" si="31"/>
        <v>4221</v>
      </c>
      <c r="G357" s="12">
        <f t="shared" si="34"/>
        <v>45762.583333332484</v>
      </c>
      <c r="H357" s="12">
        <f t="shared" si="35"/>
        <v>45762.624999999149</v>
      </c>
      <c r="I357" s="132"/>
      <c r="J357" s="169">
        <v>4221</v>
      </c>
      <c r="K357" s="175"/>
    </row>
    <row r="358" spans="1:11" ht="14.4" x14ac:dyDescent="0.3">
      <c r="A358" s="12">
        <f t="shared" si="36"/>
        <v>45762.624999999149</v>
      </c>
      <c r="B358" s="12">
        <f t="shared" si="32"/>
        <v>45762.666666665813</v>
      </c>
      <c r="C358" s="13">
        <f t="shared" si="33"/>
        <v>4.3449999999999998</v>
      </c>
      <c r="D358" s="14">
        <f t="shared" si="31"/>
        <v>4345</v>
      </c>
      <c r="G358" s="12">
        <f t="shared" si="34"/>
        <v>45762.624999999149</v>
      </c>
      <c r="H358" s="12">
        <f t="shared" si="35"/>
        <v>45762.666666665813</v>
      </c>
      <c r="I358" s="132"/>
      <c r="J358" s="169">
        <v>4345</v>
      </c>
      <c r="K358" s="175"/>
    </row>
    <row r="359" spans="1:11" ht="14.4" x14ac:dyDescent="0.3">
      <c r="A359" s="12">
        <f t="shared" si="36"/>
        <v>45762.666666665813</v>
      </c>
      <c r="B359" s="12">
        <f t="shared" si="32"/>
        <v>45762.708333332477</v>
      </c>
      <c r="C359" s="13">
        <f t="shared" si="33"/>
        <v>4.415</v>
      </c>
      <c r="D359" s="14">
        <f t="shared" si="31"/>
        <v>4415</v>
      </c>
      <c r="G359" s="12">
        <f t="shared" si="34"/>
        <v>45762.666666665813</v>
      </c>
      <c r="H359" s="12">
        <f t="shared" si="35"/>
        <v>45762.708333332477</v>
      </c>
      <c r="I359" s="132"/>
      <c r="J359" s="169">
        <v>4415</v>
      </c>
      <c r="K359" s="175"/>
    </row>
    <row r="360" spans="1:11" ht="14.4" x14ac:dyDescent="0.3">
      <c r="A360" s="12">
        <f t="shared" si="36"/>
        <v>45762.708333332477</v>
      </c>
      <c r="B360" s="12">
        <f t="shared" si="32"/>
        <v>45762.749999999141</v>
      </c>
      <c r="C360" s="13">
        <f t="shared" si="33"/>
        <v>4.6079999999999997</v>
      </c>
      <c r="D360" s="14">
        <f t="shared" si="31"/>
        <v>4608</v>
      </c>
      <c r="G360" s="12">
        <f t="shared" si="34"/>
        <v>45762.708333332477</v>
      </c>
      <c r="H360" s="12">
        <f t="shared" si="35"/>
        <v>45762.749999999141</v>
      </c>
      <c r="I360" s="132"/>
      <c r="J360" s="169">
        <v>4608</v>
      </c>
      <c r="K360" s="175"/>
    </row>
    <row r="361" spans="1:11" ht="14.4" x14ac:dyDescent="0.3">
      <c r="A361" s="12">
        <f t="shared" si="36"/>
        <v>45762.749999999141</v>
      </c>
      <c r="B361" s="12">
        <f t="shared" si="32"/>
        <v>45762.791666665806</v>
      </c>
      <c r="C361" s="13">
        <f t="shared" si="33"/>
        <v>4.641</v>
      </c>
      <c r="D361" s="14">
        <f t="shared" si="31"/>
        <v>4641</v>
      </c>
      <c r="G361" s="12">
        <f t="shared" si="34"/>
        <v>45762.749999999141</v>
      </c>
      <c r="H361" s="12">
        <f t="shared" si="35"/>
        <v>45762.791666665806</v>
      </c>
      <c r="I361" s="132"/>
      <c r="J361" s="169">
        <v>4641</v>
      </c>
      <c r="K361" s="175"/>
    </row>
    <row r="362" spans="1:11" ht="14.4" x14ac:dyDescent="0.3">
      <c r="A362" s="12">
        <f t="shared" si="36"/>
        <v>45762.791666665806</v>
      </c>
      <c r="B362" s="12">
        <f t="shared" si="32"/>
        <v>45762.83333333247</v>
      </c>
      <c r="C362" s="13">
        <f t="shared" si="33"/>
        <v>4.7290000000000001</v>
      </c>
      <c r="D362" s="14">
        <f t="shared" si="31"/>
        <v>4729</v>
      </c>
      <c r="G362" s="12">
        <f t="shared" si="34"/>
        <v>45762.791666665806</v>
      </c>
      <c r="H362" s="12">
        <f t="shared" si="35"/>
        <v>45762.83333333247</v>
      </c>
      <c r="I362" s="132"/>
      <c r="J362" s="169">
        <v>4729</v>
      </c>
      <c r="K362" s="175"/>
    </row>
    <row r="363" spans="1:11" ht="14.4" x14ac:dyDescent="0.3">
      <c r="A363" s="12">
        <f t="shared" si="36"/>
        <v>45762.83333333247</v>
      </c>
      <c r="B363" s="12">
        <f t="shared" si="32"/>
        <v>45762.874999999134</v>
      </c>
      <c r="C363" s="13">
        <f t="shared" si="33"/>
        <v>4.4290000000000003</v>
      </c>
      <c r="D363" s="14">
        <f t="shared" si="31"/>
        <v>4429</v>
      </c>
      <c r="G363" s="12">
        <f t="shared" si="34"/>
        <v>45762.83333333247</v>
      </c>
      <c r="H363" s="12">
        <f t="shared" si="35"/>
        <v>45762.874999999134</v>
      </c>
      <c r="I363" s="132"/>
      <c r="J363" s="169">
        <v>4429</v>
      </c>
      <c r="K363" s="175"/>
    </row>
    <row r="364" spans="1:11" ht="14.4" x14ac:dyDescent="0.3">
      <c r="A364" s="12">
        <f t="shared" si="36"/>
        <v>45762.874999999134</v>
      </c>
      <c r="B364" s="12">
        <f t="shared" si="32"/>
        <v>45762.916666665798</v>
      </c>
      <c r="C364" s="13">
        <f t="shared" si="33"/>
        <v>3.9540000000000002</v>
      </c>
      <c r="D364" s="14">
        <f t="shared" si="31"/>
        <v>3954</v>
      </c>
      <c r="G364" s="12">
        <f t="shared" si="34"/>
        <v>45762.874999999134</v>
      </c>
      <c r="H364" s="12">
        <f t="shared" si="35"/>
        <v>45762.916666665798</v>
      </c>
      <c r="I364" s="132"/>
      <c r="J364" s="169">
        <v>3954</v>
      </c>
      <c r="K364" s="175"/>
    </row>
    <row r="365" spans="1:11" ht="14.4" x14ac:dyDescent="0.3">
      <c r="A365" s="12">
        <f t="shared" si="36"/>
        <v>45762.916666665798</v>
      </c>
      <c r="B365" s="12">
        <f t="shared" si="32"/>
        <v>45762.958333332463</v>
      </c>
      <c r="C365" s="13">
        <f t="shared" si="33"/>
        <v>3.4940000000000002</v>
      </c>
      <c r="D365" s="14">
        <f t="shared" si="31"/>
        <v>3494</v>
      </c>
      <c r="G365" s="12">
        <f t="shared" si="34"/>
        <v>45762.916666665798</v>
      </c>
      <c r="H365" s="12">
        <f t="shared" si="35"/>
        <v>45762.958333332463</v>
      </c>
      <c r="I365" s="132"/>
      <c r="J365" s="169">
        <v>3494</v>
      </c>
      <c r="K365" s="175"/>
    </row>
    <row r="366" spans="1:11" ht="14.4" x14ac:dyDescent="0.3">
      <c r="A366" s="12">
        <f t="shared" si="36"/>
        <v>45762.958333332463</v>
      </c>
      <c r="B366" s="12">
        <f t="shared" si="32"/>
        <v>45762.999999999127</v>
      </c>
      <c r="C366" s="13">
        <f t="shared" si="33"/>
        <v>3.2410000000000001</v>
      </c>
      <c r="D366" s="14">
        <f t="shared" si="31"/>
        <v>3241</v>
      </c>
      <c r="G366" s="12">
        <f t="shared" si="34"/>
        <v>45762.958333332463</v>
      </c>
      <c r="H366" s="12">
        <f t="shared" si="35"/>
        <v>45762.999999999127</v>
      </c>
      <c r="I366" s="132"/>
      <c r="J366" s="169">
        <v>3241</v>
      </c>
      <c r="K366" s="175"/>
    </row>
    <row r="367" spans="1:11" ht="14.4" x14ac:dyDescent="0.3">
      <c r="A367" s="12">
        <f t="shared" si="36"/>
        <v>45762.999999999127</v>
      </c>
      <c r="B367" s="12">
        <f t="shared" si="32"/>
        <v>45763.041666665791</v>
      </c>
      <c r="C367" s="13">
        <f t="shared" si="33"/>
        <v>3.1280000000000001</v>
      </c>
      <c r="D367" s="14">
        <f t="shared" si="31"/>
        <v>3128</v>
      </c>
      <c r="G367" s="12">
        <f t="shared" si="34"/>
        <v>45762.999999999127</v>
      </c>
      <c r="H367" s="12">
        <f t="shared" si="35"/>
        <v>45763.041666665791</v>
      </c>
      <c r="I367" s="132"/>
      <c r="J367" s="169">
        <v>3128</v>
      </c>
      <c r="K367" s="175"/>
    </row>
    <row r="368" spans="1:11" ht="14.4" x14ac:dyDescent="0.3">
      <c r="A368" s="12">
        <f t="shared" si="36"/>
        <v>45763.041666665791</v>
      </c>
      <c r="B368" s="12">
        <f t="shared" si="32"/>
        <v>45763.083333332455</v>
      </c>
      <c r="C368" s="13">
        <f t="shared" si="33"/>
        <v>3.0950000000000002</v>
      </c>
      <c r="D368" s="14">
        <f t="shared" si="31"/>
        <v>3095</v>
      </c>
      <c r="G368" s="12">
        <f t="shared" si="34"/>
        <v>45763.041666665791</v>
      </c>
      <c r="H368" s="12">
        <f t="shared" si="35"/>
        <v>45763.083333332455</v>
      </c>
      <c r="I368" s="132"/>
      <c r="J368" s="169">
        <v>3095</v>
      </c>
      <c r="K368" s="175"/>
    </row>
    <row r="369" spans="1:11" ht="14.4" x14ac:dyDescent="0.3">
      <c r="A369" s="12">
        <f t="shared" si="36"/>
        <v>45763.083333332455</v>
      </c>
      <c r="B369" s="12">
        <f t="shared" si="32"/>
        <v>45763.12499999912</v>
      </c>
      <c r="C369" s="13">
        <f t="shared" si="33"/>
        <v>3.149</v>
      </c>
      <c r="D369" s="14">
        <f t="shared" si="31"/>
        <v>3149</v>
      </c>
      <c r="G369" s="12">
        <f t="shared" si="34"/>
        <v>45763.083333332455</v>
      </c>
      <c r="H369" s="12">
        <f t="shared" si="35"/>
        <v>45763.12499999912</v>
      </c>
      <c r="I369" s="132"/>
      <c r="J369" s="169">
        <v>3149</v>
      </c>
      <c r="K369" s="175"/>
    </row>
    <row r="370" spans="1:11" ht="14.4" x14ac:dyDescent="0.3">
      <c r="A370" s="12">
        <f t="shared" si="36"/>
        <v>45763.12499999912</v>
      </c>
      <c r="B370" s="12">
        <f t="shared" si="32"/>
        <v>45763.166666665784</v>
      </c>
      <c r="C370" s="13">
        <f t="shared" si="33"/>
        <v>3.39</v>
      </c>
      <c r="D370" s="14">
        <f t="shared" si="31"/>
        <v>3390</v>
      </c>
      <c r="G370" s="12">
        <f t="shared" si="34"/>
        <v>45763.12499999912</v>
      </c>
      <c r="H370" s="12">
        <f t="shared" si="35"/>
        <v>45763.166666665784</v>
      </c>
      <c r="I370" s="132"/>
      <c r="J370" s="169">
        <v>3390</v>
      </c>
      <c r="K370" s="175"/>
    </row>
    <row r="371" spans="1:11" ht="14.4" x14ac:dyDescent="0.3">
      <c r="A371" s="12">
        <f t="shared" si="36"/>
        <v>45763.166666665784</v>
      </c>
      <c r="B371" s="12">
        <f t="shared" si="32"/>
        <v>45763.208333332448</v>
      </c>
      <c r="C371" s="13">
        <f t="shared" si="33"/>
        <v>3.6379999999999999</v>
      </c>
      <c r="D371" s="14">
        <f t="shared" si="31"/>
        <v>3638</v>
      </c>
      <c r="G371" s="12">
        <f t="shared" si="34"/>
        <v>45763.166666665784</v>
      </c>
      <c r="H371" s="12">
        <f t="shared" si="35"/>
        <v>45763.208333332448</v>
      </c>
      <c r="I371" s="132"/>
      <c r="J371" s="169">
        <v>3638</v>
      </c>
      <c r="K371" s="175"/>
    </row>
    <row r="372" spans="1:11" ht="14.4" x14ac:dyDescent="0.3">
      <c r="A372" s="12">
        <f t="shared" si="36"/>
        <v>45763.208333332448</v>
      </c>
      <c r="B372" s="12">
        <f t="shared" si="32"/>
        <v>45763.249999999112</v>
      </c>
      <c r="C372" s="13">
        <f t="shared" si="33"/>
        <v>4.056</v>
      </c>
      <c r="D372" s="14">
        <f t="shared" si="31"/>
        <v>4056</v>
      </c>
      <c r="G372" s="12">
        <f t="shared" si="34"/>
        <v>45763.208333332448</v>
      </c>
      <c r="H372" s="12">
        <f t="shared" si="35"/>
        <v>45763.249999999112</v>
      </c>
      <c r="I372" s="132"/>
      <c r="J372" s="169">
        <v>4056</v>
      </c>
      <c r="K372" s="175"/>
    </row>
    <row r="373" spans="1:11" ht="14.4" x14ac:dyDescent="0.3">
      <c r="A373" s="12">
        <f t="shared" si="36"/>
        <v>45763.249999999112</v>
      </c>
      <c r="B373" s="12">
        <f t="shared" si="32"/>
        <v>45763.291666665777</v>
      </c>
      <c r="C373" s="13">
        <f t="shared" si="33"/>
        <v>4.274</v>
      </c>
      <c r="D373" s="14">
        <f t="shared" si="31"/>
        <v>4274</v>
      </c>
      <c r="G373" s="12">
        <f t="shared" si="34"/>
        <v>45763.249999999112</v>
      </c>
      <c r="H373" s="12">
        <f t="shared" si="35"/>
        <v>45763.291666665777</v>
      </c>
      <c r="I373" s="132"/>
      <c r="J373" s="169">
        <v>4274</v>
      </c>
      <c r="K373" s="175"/>
    </row>
    <row r="374" spans="1:11" ht="14.4" x14ac:dyDescent="0.3">
      <c r="A374" s="12">
        <f t="shared" si="36"/>
        <v>45763.291666665777</v>
      </c>
      <c r="B374" s="12">
        <f t="shared" si="32"/>
        <v>45763.333333332441</v>
      </c>
      <c r="C374" s="13">
        <f t="shared" si="33"/>
        <v>4.1280000000000001</v>
      </c>
      <c r="D374" s="14">
        <f t="shared" si="31"/>
        <v>4128</v>
      </c>
      <c r="G374" s="12">
        <f t="shared" si="34"/>
        <v>45763.291666665777</v>
      </c>
      <c r="H374" s="12">
        <f t="shared" si="35"/>
        <v>45763.333333332441</v>
      </c>
      <c r="I374" s="132"/>
      <c r="J374" s="169">
        <v>4128</v>
      </c>
      <c r="K374" s="175"/>
    </row>
    <row r="375" spans="1:11" ht="14.4" x14ac:dyDescent="0.3">
      <c r="A375" s="12">
        <f t="shared" si="36"/>
        <v>45763.333333332441</v>
      </c>
      <c r="B375" s="12">
        <f t="shared" si="32"/>
        <v>45763.374999999105</v>
      </c>
      <c r="C375" s="13">
        <f t="shared" si="33"/>
        <v>4.2039999999999997</v>
      </c>
      <c r="D375" s="14">
        <f t="shared" si="31"/>
        <v>4204</v>
      </c>
      <c r="G375" s="12">
        <f t="shared" si="34"/>
        <v>45763.333333332441</v>
      </c>
      <c r="H375" s="12">
        <f t="shared" si="35"/>
        <v>45763.374999999105</v>
      </c>
      <c r="I375" s="132"/>
      <c r="J375" s="169">
        <v>4204</v>
      </c>
      <c r="K375" s="175"/>
    </row>
    <row r="376" spans="1:11" ht="14.4" x14ac:dyDescent="0.3">
      <c r="A376" s="12">
        <f t="shared" si="36"/>
        <v>45763.374999999105</v>
      </c>
      <c r="B376" s="12">
        <f t="shared" si="32"/>
        <v>45763.416666665769</v>
      </c>
      <c r="C376" s="13">
        <f t="shared" si="33"/>
        <v>4.048</v>
      </c>
      <c r="D376" s="14">
        <f t="shared" si="31"/>
        <v>4048</v>
      </c>
      <c r="G376" s="12">
        <f t="shared" si="34"/>
        <v>45763.374999999105</v>
      </c>
      <c r="H376" s="12">
        <f t="shared" si="35"/>
        <v>45763.416666665769</v>
      </c>
      <c r="I376" s="132"/>
      <c r="J376" s="169">
        <v>4048</v>
      </c>
      <c r="K376" s="175"/>
    </row>
    <row r="377" spans="1:11" ht="14.4" x14ac:dyDescent="0.3">
      <c r="A377" s="12">
        <f t="shared" si="36"/>
        <v>45763.416666665769</v>
      </c>
      <c r="B377" s="12">
        <f t="shared" si="32"/>
        <v>45763.458333332434</v>
      </c>
      <c r="C377" s="13">
        <f t="shared" si="33"/>
        <v>4.0179999999999998</v>
      </c>
      <c r="D377" s="14">
        <f t="shared" si="31"/>
        <v>4018</v>
      </c>
      <c r="G377" s="12">
        <f t="shared" si="34"/>
        <v>45763.416666665769</v>
      </c>
      <c r="H377" s="12">
        <f t="shared" si="35"/>
        <v>45763.458333332434</v>
      </c>
      <c r="I377" s="132"/>
      <c r="J377" s="169">
        <v>4018</v>
      </c>
      <c r="K377" s="175"/>
    </row>
    <row r="378" spans="1:11" ht="14.4" x14ac:dyDescent="0.3">
      <c r="A378" s="12">
        <f t="shared" si="36"/>
        <v>45763.458333332434</v>
      </c>
      <c r="B378" s="12">
        <f t="shared" si="32"/>
        <v>45763.499999999098</v>
      </c>
      <c r="C378" s="13">
        <f t="shared" si="33"/>
        <v>4.0309999999999997</v>
      </c>
      <c r="D378" s="14">
        <f t="shared" si="31"/>
        <v>4031</v>
      </c>
      <c r="G378" s="12">
        <f t="shared" si="34"/>
        <v>45763.458333332434</v>
      </c>
      <c r="H378" s="12">
        <f t="shared" si="35"/>
        <v>45763.499999999098</v>
      </c>
      <c r="I378" s="132"/>
      <c r="J378" s="169">
        <v>4031</v>
      </c>
      <c r="K378" s="175"/>
    </row>
    <row r="379" spans="1:11" ht="14.4" x14ac:dyDescent="0.3">
      <c r="A379" s="12">
        <f t="shared" si="36"/>
        <v>45763.499999999098</v>
      </c>
      <c r="B379" s="12">
        <f t="shared" si="32"/>
        <v>45763.541666665762</v>
      </c>
      <c r="C379" s="13">
        <f t="shared" si="33"/>
        <v>4.1900000000000004</v>
      </c>
      <c r="D379" s="14">
        <f t="shared" si="31"/>
        <v>4190</v>
      </c>
      <c r="G379" s="12">
        <f t="shared" si="34"/>
        <v>45763.499999999098</v>
      </c>
      <c r="H379" s="12">
        <f t="shared" si="35"/>
        <v>45763.541666665762</v>
      </c>
      <c r="I379" s="132"/>
      <c r="J379" s="169">
        <v>4190</v>
      </c>
      <c r="K379" s="175"/>
    </row>
    <row r="380" spans="1:11" ht="14.4" x14ac:dyDescent="0.3">
      <c r="A380" s="12">
        <f t="shared" si="36"/>
        <v>45763.541666665762</v>
      </c>
      <c r="B380" s="12">
        <f t="shared" si="32"/>
        <v>45763.583333332426</v>
      </c>
      <c r="C380" s="13">
        <f t="shared" si="33"/>
        <v>4.3339999999999996</v>
      </c>
      <c r="D380" s="14">
        <f t="shared" si="31"/>
        <v>4334</v>
      </c>
      <c r="G380" s="12">
        <f t="shared" si="34"/>
        <v>45763.541666665762</v>
      </c>
      <c r="H380" s="12">
        <f t="shared" si="35"/>
        <v>45763.583333332426</v>
      </c>
      <c r="I380" s="132"/>
      <c r="J380" s="169">
        <v>4334</v>
      </c>
      <c r="K380" s="175"/>
    </row>
    <row r="381" spans="1:11" ht="14.4" x14ac:dyDescent="0.3">
      <c r="A381" s="12">
        <f t="shared" si="36"/>
        <v>45763.583333332426</v>
      </c>
      <c r="B381" s="12">
        <f t="shared" si="32"/>
        <v>45763.624999999091</v>
      </c>
      <c r="C381" s="13">
        <f t="shared" si="33"/>
        <v>4.4269999999999996</v>
      </c>
      <c r="D381" s="14">
        <f t="shared" si="31"/>
        <v>4427</v>
      </c>
      <c r="G381" s="12">
        <f t="shared" si="34"/>
        <v>45763.583333332426</v>
      </c>
      <c r="H381" s="12">
        <f t="shared" si="35"/>
        <v>45763.624999999091</v>
      </c>
      <c r="I381" s="132"/>
      <c r="J381" s="169">
        <v>4427</v>
      </c>
      <c r="K381" s="175"/>
    </row>
    <row r="382" spans="1:11" ht="14.4" x14ac:dyDescent="0.3">
      <c r="A382" s="12">
        <f t="shared" si="36"/>
        <v>45763.624999999091</v>
      </c>
      <c r="B382" s="12">
        <f t="shared" si="32"/>
        <v>45763.666666665755</v>
      </c>
      <c r="C382" s="13">
        <f t="shared" si="33"/>
        <v>4.556</v>
      </c>
      <c r="D382" s="14">
        <f t="shared" si="31"/>
        <v>4556</v>
      </c>
      <c r="G382" s="12">
        <f t="shared" si="34"/>
        <v>45763.624999999091</v>
      </c>
      <c r="H382" s="12">
        <f t="shared" si="35"/>
        <v>45763.666666665755</v>
      </c>
      <c r="I382" s="132"/>
      <c r="J382" s="169">
        <v>4556</v>
      </c>
      <c r="K382" s="175"/>
    </row>
    <row r="383" spans="1:11" ht="14.4" x14ac:dyDescent="0.3">
      <c r="A383" s="12">
        <f t="shared" si="36"/>
        <v>45763.666666665755</v>
      </c>
      <c r="B383" s="12">
        <f t="shared" si="32"/>
        <v>45763.708333332419</v>
      </c>
      <c r="C383" s="13">
        <f t="shared" si="33"/>
        <v>4.7249999999999996</v>
      </c>
      <c r="D383" s="14">
        <f t="shared" si="31"/>
        <v>4725</v>
      </c>
      <c r="G383" s="12">
        <f t="shared" si="34"/>
        <v>45763.666666665755</v>
      </c>
      <c r="H383" s="12">
        <f t="shared" si="35"/>
        <v>45763.708333332419</v>
      </c>
      <c r="I383" s="132"/>
      <c r="J383" s="169">
        <v>4725</v>
      </c>
      <c r="K383" s="175"/>
    </row>
    <row r="384" spans="1:11" ht="14.4" x14ac:dyDescent="0.3">
      <c r="A384" s="12">
        <f t="shared" si="36"/>
        <v>45763.708333332419</v>
      </c>
      <c r="B384" s="12">
        <f t="shared" si="32"/>
        <v>45763.749999999083</v>
      </c>
      <c r="C384" s="13">
        <f t="shared" si="33"/>
        <v>4.7050000000000001</v>
      </c>
      <c r="D384" s="14">
        <f t="shared" si="31"/>
        <v>4705</v>
      </c>
      <c r="G384" s="12">
        <f t="shared" si="34"/>
        <v>45763.708333332419</v>
      </c>
      <c r="H384" s="12">
        <f t="shared" si="35"/>
        <v>45763.749999999083</v>
      </c>
      <c r="I384" s="132"/>
      <c r="J384" s="169">
        <v>4705</v>
      </c>
      <c r="K384" s="175"/>
    </row>
    <row r="385" spans="1:11" ht="14.4" x14ac:dyDescent="0.3">
      <c r="A385" s="12">
        <f t="shared" si="36"/>
        <v>45763.749999999083</v>
      </c>
      <c r="B385" s="12">
        <f t="shared" si="32"/>
        <v>45763.791666665747</v>
      </c>
      <c r="C385" s="13">
        <f t="shared" si="33"/>
        <v>4.7960000000000003</v>
      </c>
      <c r="D385" s="14">
        <f t="shared" si="31"/>
        <v>4796</v>
      </c>
      <c r="G385" s="12">
        <f t="shared" si="34"/>
        <v>45763.749999999083</v>
      </c>
      <c r="H385" s="12">
        <f t="shared" si="35"/>
        <v>45763.791666665747</v>
      </c>
      <c r="I385" s="132"/>
      <c r="J385" s="169">
        <v>4796</v>
      </c>
      <c r="K385" s="175"/>
    </row>
    <row r="386" spans="1:11" ht="14.4" x14ac:dyDescent="0.3">
      <c r="A386" s="12">
        <f t="shared" si="36"/>
        <v>45763.791666665747</v>
      </c>
      <c r="B386" s="12">
        <f t="shared" si="32"/>
        <v>45763.833333332412</v>
      </c>
      <c r="C386" s="13">
        <f t="shared" si="33"/>
        <v>4.7690000000000001</v>
      </c>
      <c r="D386" s="14">
        <f t="shared" si="31"/>
        <v>4769</v>
      </c>
      <c r="G386" s="12">
        <f t="shared" si="34"/>
        <v>45763.791666665747</v>
      </c>
      <c r="H386" s="12">
        <f t="shared" si="35"/>
        <v>45763.833333332412</v>
      </c>
      <c r="I386" s="132"/>
      <c r="J386" s="169">
        <v>4769</v>
      </c>
      <c r="K386" s="175"/>
    </row>
    <row r="387" spans="1:11" ht="14.4" x14ac:dyDescent="0.3">
      <c r="A387" s="12">
        <f t="shared" si="36"/>
        <v>45763.833333332412</v>
      </c>
      <c r="B387" s="12">
        <f t="shared" si="32"/>
        <v>45763.874999999076</v>
      </c>
      <c r="C387" s="13">
        <f t="shared" si="33"/>
        <v>4.3140000000000001</v>
      </c>
      <c r="D387" s="14">
        <f t="shared" si="31"/>
        <v>4314</v>
      </c>
      <c r="G387" s="12">
        <f t="shared" si="34"/>
        <v>45763.833333332412</v>
      </c>
      <c r="H387" s="12">
        <f t="shared" si="35"/>
        <v>45763.874999999076</v>
      </c>
      <c r="I387" s="132"/>
      <c r="J387" s="169">
        <v>4314</v>
      </c>
      <c r="K387" s="175"/>
    </row>
    <row r="388" spans="1:11" ht="14.4" x14ac:dyDescent="0.3">
      <c r="A388" s="12">
        <f t="shared" si="36"/>
        <v>45763.874999999076</v>
      </c>
      <c r="B388" s="12">
        <f t="shared" si="32"/>
        <v>45763.91666666574</v>
      </c>
      <c r="C388" s="13">
        <f t="shared" si="33"/>
        <v>3.8969999999999998</v>
      </c>
      <c r="D388" s="14">
        <f t="shared" si="31"/>
        <v>3897</v>
      </c>
      <c r="G388" s="12">
        <f t="shared" si="34"/>
        <v>45763.874999999076</v>
      </c>
      <c r="H388" s="12">
        <f t="shared" si="35"/>
        <v>45763.91666666574</v>
      </c>
      <c r="I388" s="132"/>
      <c r="J388" s="169">
        <v>3897</v>
      </c>
      <c r="K388" s="175"/>
    </row>
    <row r="389" spans="1:11" ht="14.4" x14ac:dyDescent="0.3">
      <c r="A389" s="12">
        <f t="shared" si="36"/>
        <v>45763.91666666574</v>
      </c>
      <c r="B389" s="12">
        <f t="shared" si="32"/>
        <v>45763.958333332404</v>
      </c>
      <c r="C389" s="13">
        <f t="shared" si="33"/>
        <v>3.57</v>
      </c>
      <c r="D389" s="14">
        <f t="shared" si="31"/>
        <v>3570</v>
      </c>
      <c r="G389" s="12">
        <f t="shared" si="34"/>
        <v>45763.91666666574</v>
      </c>
      <c r="H389" s="12">
        <f t="shared" si="35"/>
        <v>45763.958333332404</v>
      </c>
      <c r="I389" s="132"/>
      <c r="J389" s="169">
        <v>3570</v>
      </c>
      <c r="K389" s="175"/>
    </row>
    <row r="390" spans="1:11" ht="14.4" x14ac:dyDescent="0.3">
      <c r="A390" s="12">
        <f t="shared" si="36"/>
        <v>45763.958333332404</v>
      </c>
      <c r="B390" s="12">
        <f t="shared" si="32"/>
        <v>45763.999999999069</v>
      </c>
      <c r="C390" s="13">
        <f t="shared" si="33"/>
        <v>3.3050000000000002</v>
      </c>
      <c r="D390" s="14">
        <f t="shared" si="31"/>
        <v>3305</v>
      </c>
      <c r="G390" s="12">
        <f t="shared" si="34"/>
        <v>45763.958333332404</v>
      </c>
      <c r="H390" s="12">
        <f t="shared" si="35"/>
        <v>45763.999999999069</v>
      </c>
      <c r="I390" s="132"/>
      <c r="J390" s="169">
        <v>3305</v>
      </c>
      <c r="K390" s="175"/>
    </row>
    <row r="391" spans="1:11" ht="14.4" x14ac:dyDescent="0.3">
      <c r="A391" s="12">
        <f t="shared" si="36"/>
        <v>45763.999999999069</v>
      </c>
      <c r="B391" s="12">
        <f t="shared" si="32"/>
        <v>45764.041666665733</v>
      </c>
      <c r="C391" s="13">
        <f t="shared" si="33"/>
        <v>3.1920000000000002</v>
      </c>
      <c r="D391" s="14">
        <f t="shared" ref="D391:D454" si="37">J391*(1+$D$3)*(1+$D$4)</f>
        <v>3192</v>
      </c>
      <c r="G391" s="12">
        <f t="shared" si="34"/>
        <v>45763.999999999069</v>
      </c>
      <c r="H391" s="12">
        <f t="shared" si="35"/>
        <v>45764.041666665733</v>
      </c>
      <c r="I391" s="132"/>
      <c r="J391" s="169">
        <v>3192</v>
      </c>
      <c r="K391" s="175"/>
    </row>
    <row r="392" spans="1:11" ht="14.4" x14ac:dyDescent="0.3">
      <c r="A392" s="12">
        <f t="shared" si="36"/>
        <v>45764.041666665733</v>
      </c>
      <c r="B392" s="12">
        <f t="shared" ref="B392:B455" si="38">$A392+1/24</f>
        <v>45764.083333332397</v>
      </c>
      <c r="C392" s="13">
        <f t="shared" ref="C392:C455" si="39">SUM(D392)/1000</f>
        <v>3.125</v>
      </c>
      <c r="D392" s="14">
        <f t="shared" si="37"/>
        <v>3125</v>
      </c>
      <c r="G392" s="12">
        <f t="shared" ref="G392:G455" si="40">A392</f>
        <v>45764.041666665733</v>
      </c>
      <c r="H392" s="12">
        <f t="shared" ref="H392:H455" si="41">B392</f>
        <v>45764.083333332397</v>
      </c>
      <c r="I392" s="132"/>
      <c r="J392" s="169">
        <v>3125</v>
      </c>
      <c r="K392" s="175"/>
    </row>
    <row r="393" spans="1:11" ht="14.4" x14ac:dyDescent="0.3">
      <c r="A393" s="12">
        <f t="shared" ref="A393:A456" si="42">$A392+1/24</f>
        <v>45764.083333332397</v>
      </c>
      <c r="B393" s="12">
        <f t="shared" si="38"/>
        <v>45764.124999999061</v>
      </c>
      <c r="C393" s="13">
        <f t="shared" si="39"/>
        <v>3.2149999999999999</v>
      </c>
      <c r="D393" s="14">
        <f t="shared" si="37"/>
        <v>3215</v>
      </c>
      <c r="G393" s="12">
        <f t="shared" si="40"/>
        <v>45764.083333332397</v>
      </c>
      <c r="H393" s="12">
        <f t="shared" si="41"/>
        <v>45764.124999999061</v>
      </c>
      <c r="I393" s="132"/>
      <c r="J393" s="169">
        <v>3215</v>
      </c>
      <c r="K393" s="175"/>
    </row>
    <row r="394" spans="1:11" ht="14.4" x14ac:dyDescent="0.3">
      <c r="A394" s="12">
        <f t="shared" si="42"/>
        <v>45764.124999999061</v>
      </c>
      <c r="B394" s="12">
        <f t="shared" si="38"/>
        <v>45764.166666665726</v>
      </c>
      <c r="C394" s="13">
        <f t="shared" si="39"/>
        <v>3.3860000000000001</v>
      </c>
      <c r="D394" s="14">
        <f t="shared" si="37"/>
        <v>3386</v>
      </c>
      <c r="G394" s="12">
        <f t="shared" si="40"/>
        <v>45764.124999999061</v>
      </c>
      <c r="H394" s="12">
        <f t="shared" si="41"/>
        <v>45764.166666665726</v>
      </c>
      <c r="I394" s="132"/>
      <c r="J394" s="169">
        <v>3386</v>
      </c>
      <c r="K394" s="175"/>
    </row>
    <row r="395" spans="1:11" ht="14.4" x14ac:dyDescent="0.3">
      <c r="A395" s="12">
        <f t="shared" si="42"/>
        <v>45764.166666665726</v>
      </c>
      <c r="B395" s="12">
        <f t="shared" si="38"/>
        <v>45764.20833333239</v>
      </c>
      <c r="C395" s="13">
        <f t="shared" si="39"/>
        <v>3.6709999999999998</v>
      </c>
      <c r="D395" s="14">
        <f t="shared" si="37"/>
        <v>3671</v>
      </c>
      <c r="G395" s="12">
        <f t="shared" si="40"/>
        <v>45764.166666665726</v>
      </c>
      <c r="H395" s="12">
        <f t="shared" si="41"/>
        <v>45764.20833333239</v>
      </c>
      <c r="I395" s="132"/>
      <c r="J395" s="169">
        <v>3671</v>
      </c>
      <c r="K395" s="175"/>
    </row>
    <row r="396" spans="1:11" ht="14.4" x14ac:dyDescent="0.3">
      <c r="A396" s="12">
        <f t="shared" si="42"/>
        <v>45764.20833333239</v>
      </c>
      <c r="B396" s="12">
        <f t="shared" si="38"/>
        <v>45764.249999999054</v>
      </c>
      <c r="C396" s="13">
        <f t="shared" si="39"/>
        <v>4.1109999999999998</v>
      </c>
      <c r="D396" s="14">
        <f t="shared" si="37"/>
        <v>4111</v>
      </c>
      <c r="G396" s="12">
        <f t="shared" si="40"/>
        <v>45764.20833333239</v>
      </c>
      <c r="H396" s="12">
        <f t="shared" si="41"/>
        <v>45764.249999999054</v>
      </c>
      <c r="I396" s="132"/>
      <c r="J396" s="169">
        <v>4111</v>
      </c>
      <c r="K396" s="175"/>
    </row>
    <row r="397" spans="1:11" ht="14.4" x14ac:dyDescent="0.3">
      <c r="A397" s="12">
        <f t="shared" si="42"/>
        <v>45764.249999999054</v>
      </c>
      <c r="B397" s="12">
        <f t="shared" si="38"/>
        <v>45764.291666665718</v>
      </c>
      <c r="C397" s="13">
        <f t="shared" si="39"/>
        <v>4.3289999999999997</v>
      </c>
      <c r="D397" s="14">
        <f t="shared" si="37"/>
        <v>4329</v>
      </c>
      <c r="G397" s="12">
        <f t="shared" si="40"/>
        <v>45764.249999999054</v>
      </c>
      <c r="H397" s="12">
        <f t="shared" si="41"/>
        <v>45764.291666665718</v>
      </c>
      <c r="I397" s="132"/>
      <c r="J397" s="169">
        <v>4329</v>
      </c>
      <c r="K397" s="175"/>
    </row>
    <row r="398" spans="1:11" ht="14.4" x14ac:dyDescent="0.3">
      <c r="A398" s="12">
        <f t="shared" si="42"/>
        <v>45764.291666665718</v>
      </c>
      <c r="B398" s="12">
        <f t="shared" si="38"/>
        <v>45764.333333332383</v>
      </c>
      <c r="C398" s="13">
        <f t="shared" si="39"/>
        <v>4.3630000000000004</v>
      </c>
      <c r="D398" s="14">
        <f t="shared" si="37"/>
        <v>4363</v>
      </c>
      <c r="G398" s="12">
        <f t="shared" si="40"/>
        <v>45764.291666665718</v>
      </c>
      <c r="H398" s="12">
        <f t="shared" si="41"/>
        <v>45764.333333332383</v>
      </c>
      <c r="I398" s="132"/>
      <c r="J398" s="169">
        <v>4363</v>
      </c>
      <c r="K398" s="175"/>
    </row>
    <row r="399" spans="1:11" ht="14.4" x14ac:dyDescent="0.3">
      <c r="A399" s="12">
        <f t="shared" si="42"/>
        <v>45764.333333332383</v>
      </c>
      <c r="B399" s="12">
        <f t="shared" si="38"/>
        <v>45764.374999999047</v>
      </c>
      <c r="C399" s="13">
        <f t="shared" si="39"/>
        <v>4.0970000000000004</v>
      </c>
      <c r="D399" s="14">
        <f t="shared" si="37"/>
        <v>4097</v>
      </c>
      <c r="G399" s="12">
        <f t="shared" si="40"/>
        <v>45764.333333332383</v>
      </c>
      <c r="H399" s="12">
        <f t="shared" si="41"/>
        <v>45764.374999999047</v>
      </c>
      <c r="I399" s="132"/>
      <c r="J399" s="169">
        <v>4097</v>
      </c>
      <c r="K399" s="175"/>
    </row>
    <row r="400" spans="1:11" ht="14.4" x14ac:dyDescent="0.3">
      <c r="A400" s="12">
        <f t="shared" si="42"/>
        <v>45764.374999999047</v>
      </c>
      <c r="B400" s="12">
        <f t="shared" si="38"/>
        <v>45764.416666665711</v>
      </c>
      <c r="C400" s="13">
        <f t="shared" si="39"/>
        <v>3.9470000000000001</v>
      </c>
      <c r="D400" s="14">
        <f t="shared" si="37"/>
        <v>3947</v>
      </c>
      <c r="G400" s="12">
        <f t="shared" si="40"/>
        <v>45764.374999999047</v>
      </c>
      <c r="H400" s="12">
        <f t="shared" si="41"/>
        <v>45764.416666665711</v>
      </c>
      <c r="I400" s="132"/>
      <c r="J400" s="169">
        <v>3947</v>
      </c>
      <c r="K400" s="175"/>
    </row>
    <row r="401" spans="1:11" ht="14.4" x14ac:dyDescent="0.3">
      <c r="A401" s="12">
        <f t="shared" si="42"/>
        <v>45764.416666665711</v>
      </c>
      <c r="B401" s="12">
        <f t="shared" si="38"/>
        <v>45764.458333332375</v>
      </c>
      <c r="C401" s="13">
        <f t="shared" si="39"/>
        <v>4.0190000000000001</v>
      </c>
      <c r="D401" s="14">
        <f t="shared" si="37"/>
        <v>4019</v>
      </c>
      <c r="G401" s="12">
        <f t="shared" si="40"/>
        <v>45764.416666665711</v>
      </c>
      <c r="H401" s="12">
        <f t="shared" si="41"/>
        <v>45764.458333332375</v>
      </c>
      <c r="I401" s="132"/>
      <c r="J401" s="169">
        <v>4019</v>
      </c>
      <c r="K401" s="175"/>
    </row>
    <row r="402" spans="1:11" ht="14.4" x14ac:dyDescent="0.3">
      <c r="A402" s="12">
        <f t="shared" si="42"/>
        <v>45764.458333332375</v>
      </c>
      <c r="B402" s="12">
        <f t="shared" si="38"/>
        <v>45764.49999999904</v>
      </c>
      <c r="C402" s="13">
        <f t="shared" si="39"/>
        <v>3.9620000000000002</v>
      </c>
      <c r="D402" s="14">
        <f t="shared" si="37"/>
        <v>3962</v>
      </c>
      <c r="G402" s="12">
        <f t="shared" si="40"/>
        <v>45764.458333332375</v>
      </c>
      <c r="H402" s="12">
        <f t="shared" si="41"/>
        <v>45764.49999999904</v>
      </c>
      <c r="I402" s="132"/>
      <c r="J402" s="169">
        <v>3962</v>
      </c>
      <c r="K402" s="175"/>
    </row>
    <row r="403" spans="1:11" ht="14.4" x14ac:dyDescent="0.3">
      <c r="A403" s="12">
        <f t="shared" si="42"/>
        <v>45764.49999999904</v>
      </c>
      <c r="B403" s="12">
        <f t="shared" si="38"/>
        <v>45764.541666665704</v>
      </c>
      <c r="C403" s="13">
        <f t="shared" si="39"/>
        <v>3.9649999999999999</v>
      </c>
      <c r="D403" s="14">
        <f t="shared" si="37"/>
        <v>3965</v>
      </c>
      <c r="G403" s="12">
        <f t="shared" si="40"/>
        <v>45764.49999999904</v>
      </c>
      <c r="H403" s="12">
        <f t="shared" si="41"/>
        <v>45764.541666665704</v>
      </c>
      <c r="I403" s="132"/>
      <c r="J403" s="169">
        <v>3965</v>
      </c>
      <c r="K403" s="175"/>
    </row>
    <row r="404" spans="1:11" ht="14.4" x14ac:dyDescent="0.3">
      <c r="A404" s="12">
        <f t="shared" si="42"/>
        <v>45764.541666665704</v>
      </c>
      <c r="B404" s="12">
        <f t="shared" si="38"/>
        <v>45764.583333332368</v>
      </c>
      <c r="C404" s="13">
        <f t="shared" si="39"/>
        <v>4</v>
      </c>
      <c r="D404" s="14">
        <f t="shared" si="37"/>
        <v>4000</v>
      </c>
      <c r="G404" s="12">
        <f t="shared" si="40"/>
        <v>45764.541666665704</v>
      </c>
      <c r="H404" s="12">
        <f t="shared" si="41"/>
        <v>45764.583333332368</v>
      </c>
      <c r="I404" s="132"/>
      <c r="J404" s="169">
        <v>4000</v>
      </c>
      <c r="K404" s="175"/>
    </row>
    <row r="405" spans="1:11" ht="14.4" x14ac:dyDescent="0.3">
      <c r="A405" s="12">
        <f t="shared" si="42"/>
        <v>45764.583333332368</v>
      </c>
      <c r="B405" s="12">
        <f t="shared" si="38"/>
        <v>45764.624999999032</v>
      </c>
      <c r="C405" s="13">
        <f t="shared" si="39"/>
        <v>4.0110000000000001</v>
      </c>
      <c r="D405" s="14">
        <f t="shared" si="37"/>
        <v>4011</v>
      </c>
      <c r="G405" s="12">
        <f t="shared" si="40"/>
        <v>45764.583333332368</v>
      </c>
      <c r="H405" s="12">
        <f t="shared" si="41"/>
        <v>45764.624999999032</v>
      </c>
      <c r="I405" s="132"/>
      <c r="J405" s="169">
        <v>4011</v>
      </c>
      <c r="K405" s="175"/>
    </row>
    <row r="406" spans="1:11" ht="14.4" x14ac:dyDescent="0.3">
      <c r="A406" s="12">
        <f t="shared" si="42"/>
        <v>45764.624999999032</v>
      </c>
      <c r="B406" s="12">
        <f t="shared" si="38"/>
        <v>45764.666666665697</v>
      </c>
      <c r="C406" s="13">
        <f t="shared" si="39"/>
        <v>3.9329999999999998</v>
      </c>
      <c r="D406" s="14">
        <f t="shared" si="37"/>
        <v>3933</v>
      </c>
      <c r="G406" s="12">
        <f t="shared" si="40"/>
        <v>45764.624999999032</v>
      </c>
      <c r="H406" s="12">
        <f t="shared" si="41"/>
        <v>45764.666666665697</v>
      </c>
      <c r="I406" s="132"/>
      <c r="J406" s="169">
        <v>3933</v>
      </c>
      <c r="K406" s="175"/>
    </row>
    <row r="407" spans="1:11" ht="14.4" x14ac:dyDescent="0.3">
      <c r="A407" s="12">
        <f t="shared" si="42"/>
        <v>45764.666666665697</v>
      </c>
      <c r="B407" s="12">
        <f t="shared" si="38"/>
        <v>45764.708333332361</v>
      </c>
      <c r="C407" s="13">
        <f t="shared" si="39"/>
        <v>3.8929999999999998</v>
      </c>
      <c r="D407" s="14">
        <f t="shared" si="37"/>
        <v>3893</v>
      </c>
      <c r="G407" s="12">
        <f t="shared" si="40"/>
        <v>45764.666666665697</v>
      </c>
      <c r="H407" s="12">
        <f t="shared" si="41"/>
        <v>45764.708333332361</v>
      </c>
      <c r="I407" s="132"/>
      <c r="J407" s="169">
        <v>3893</v>
      </c>
      <c r="K407" s="175"/>
    </row>
    <row r="408" spans="1:11" ht="14.4" x14ac:dyDescent="0.3">
      <c r="A408" s="12">
        <f t="shared" si="42"/>
        <v>45764.708333332361</v>
      </c>
      <c r="B408" s="12">
        <f t="shared" si="38"/>
        <v>45764.749999999025</v>
      </c>
      <c r="C408" s="13">
        <f t="shared" si="39"/>
        <v>3.9510000000000001</v>
      </c>
      <c r="D408" s="14">
        <f t="shared" si="37"/>
        <v>3951</v>
      </c>
      <c r="G408" s="12">
        <f t="shared" si="40"/>
        <v>45764.708333332361</v>
      </c>
      <c r="H408" s="12">
        <f t="shared" si="41"/>
        <v>45764.749999999025</v>
      </c>
      <c r="I408" s="132"/>
      <c r="J408" s="169">
        <v>3951</v>
      </c>
      <c r="K408" s="175"/>
    </row>
    <row r="409" spans="1:11" ht="14.4" x14ac:dyDescent="0.3">
      <c r="A409" s="12">
        <f t="shared" si="42"/>
        <v>45764.749999999025</v>
      </c>
      <c r="B409" s="12">
        <f t="shared" si="38"/>
        <v>45764.791666665689</v>
      </c>
      <c r="C409" s="13">
        <f t="shared" si="39"/>
        <v>3.99</v>
      </c>
      <c r="D409" s="14">
        <f t="shared" si="37"/>
        <v>3990</v>
      </c>
      <c r="G409" s="12">
        <f t="shared" si="40"/>
        <v>45764.749999999025</v>
      </c>
      <c r="H409" s="12">
        <f t="shared" si="41"/>
        <v>45764.791666665689</v>
      </c>
      <c r="I409" s="132"/>
      <c r="J409" s="169">
        <v>3990</v>
      </c>
      <c r="K409" s="175"/>
    </row>
    <row r="410" spans="1:11" ht="14.4" x14ac:dyDescent="0.3">
      <c r="A410" s="12">
        <f t="shared" si="42"/>
        <v>45764.791666665689</v>
      </c>
      <c r="B410" s="12">
        <f t="shared" si="38"/>
        <v>45764.833333332354</v>
      </c>
      <c r="C410" s="13">
        <f t="shared" si="39"/>
        <v>4.3120000000000003</v>
      </c>
      <c r="D410" s="14">
        <f t="shared" si="37"/>
        <v>4312</v>
      </c>
      <c r="G410" s="12">
        <f t="shared" si="40"/>
        <v>45764.791666665689</v>
      </c>
      <c r="H410" s="12">
        <f t="shared" si="41"/>
        <v>45764.833333332354</v>
      </c>
      <c r="I410" s="132"/>
      <c r="J410" s="169">
        <v>4312</v>
      </c>
      <c r="K410" s="175"/>
    </row>
    <row r="411" spans="1:11" ht="14.4" x14ac:dyDescent="0.3">
      <c r="A411" s="12">
        <f t="shared" si="42"/>
        <v>45764.833333332354</v>
      </c>
      <c r="B411" s="12">
        <f t="shared" si="38"/>
        <v>45764.874999999018</v>
      </c>
      <c r="C411" s="13">
        <f t="shared" si="39"/>
        <v>4.0419999999999998</v>
      </c>
      <c r="D411" s="14">
        <f t="shared" si="37"/>
        <v>4042</v>
      </c>
      <c r="G411" s="12">
        <f t="shared" si="40"/>
        <v>45764.833333332354</v>
      </c>
      <c r="H411" s="12">
        <f t="shared" si="41"/>
        <v>45764.874999999018</v>
      </c>
      <c r="I411" s="132"/>
      <c r="J411" s="169">
        <v>4042</v>
      </c>
      <c r="K411" s="175"/>
    </row>
    <row r="412" spans="1:11" ht="14.4" x14ac:dyDescent="0.3">
      <c r="A412" s="12">
        <f t="shared" si="42"/>
        <v>45764.874999999018</v>
      </c>
      <c r="B412" s="12">
        <f t="shared" si="38"/>
        <v>45764.916666665682</v>
      </c>
      <c r="C412" s="13">
        <f t="shared" si="39"/>
        <v>3.5569999999999999</v>
      </c>
      <c r="D412" s="14">
        <f t="shared" si="37"/>
        <v>3557</v>
      </c>
      <c r="G412" s="12">
        <f t="shared" si="40"/>
        <v>45764.874999999018</v>
      </c>
      <c r="H412" s="12">
        <f t="shared" si="41"/>
        <v>45764.916666665682</v>
      </c>
      <c r="I412" s="132"/>
      <c r="J412" s="169">
        <v>3557</v>
      </c>
      <c r="K412" s="175"/>
    </row>
    <row r="413" spans="1:11" ht="14.4" x14ac:dyDescent="0.3">
      <c r="A413" s="12">
        <f t="shared" si="42"/>
        <v>45764.916666665682</v>
      </c>
      <c r="B413" s="12">
        <f t="shared" si="38"/>
        <v>45764.958333332346</v>
      </c>
      <c r="C413" s="13">
        <f t="shared" si="39"/>
        <v>3.4020000000000001</v>
      </c>
      <c r="D413" s="14">
        <f t="shared" si="37"/>
        <v>3402</v>
      </c>
      <c r="G413" s="12">
        <f t="shared" si="40"/>
        <v>45764.916666665682</v>
      </c>
      <c r="H413" s="12">
        <f t="shared" si="41"/>
        <v>45764.958333332346</v>
      </c>
      <c r="I413" s="132"/>
      <c r="J413" s="169">
        <v>3402</v>
      </c>
      <c r="K413" s="175"/>
    </row>
    <row r="414" spans="1:11" ht="14.4" x14ac:dyDescent="0.3">
      <c r="A414" s="12">
        <f t="shared" si="42"/>
        <v>45764.958333332346</v>
      </c>
      <c r="B414" s="12">
        <f t="shared" si="38"/>
        <v>45764.99999999901</v>
      </c>
      <c r="C414" s="13">
        <f t="shared" si="39"/>
        <v>3.19</v>
      </c>
      <c r="D414" s="14">
        <f t="shared" si="37"/>
        <v>3190</v>
      </c>
      <c r="G414" s="12">
        <f t="shared" si="40"/>
        <v>45764.958333332346</v>
      </c>
      <c r="H414" s="12">
        <f t="shared" si="41"/>
        <v>45764.99999999901</v>
      </c>
      <c r="I414" s="132"/>
      <c r="J414" s="169">
        <v>3190</v>
      </c>
      <c r="K414" s="175"/>
    </row>
    <row r="415" spans="1:11" ht="14.4" x14ac:dyDescent="0.3">
      <c r="A415" s="12">
        <f t="shared" si="42"/>
        <v>45764.99999999901</v>
      </c>
      <c r="B415" s="12">
        <f t="shared" si="38"/>
        <v>45765.041666665675</v>
      </c>
      <c r="C415" s="13">
        <f t="shared" si="39"/>
        <v>3.06</v>
      </c>
      <c r="D415" s="14">
        <f t="shared" si="37"/>
        <v>3060</v>
      </c>
      <c r="G415" s="12">
        <f t="shared" si="40"/>
        <v>45764.99999999901</v>
      </c>
      <c r="H415" s="12">
        <f t="shared" si="41"/>
        <v>45765.041666665675</v>
      </c>
      <c r="I415" s="132"/>
      <c r="J415" s="169">
        <v>3060</v>
      </c>
      <c r="K415" s="175"/>
    </row>
    <row r="416" spans="1:11" ht="14.4" x14ac:dyDescent="0.3">
      <c r="A416" s="12">
        <f t="shared" si="42"/>
        <v>45765.041666665675</v>
      </c>
      <c r="B416" s="12">
        <f t="shared" si="38"/>
        <v>45765.083333332339</v>
      </c>
      <c r="C416" s="13">
        <f t="shared" si="39"/>
        <v>3.0169999999999999</v>
      </c>
      <c r="D416" s="14">
        <f t="shared" si="37"/>
        <v>3017</v>
      </c>
      <c r="G416" s="12">
        <f t="shared" si="40"/>
        <v>45765.041666665675</v>
      </c>
      <c r="H416" s="12">
        <f t="shared" si="41"/>
        <v>45765.083333332339</v>
      </c>
      <c r="I416" s="132"/>
      <c r="J416" s="169">
        <v>3017</v>
      </c>
      <c r="K416" s="175"/>
    </row>
    <row r="417" spans="1:11" ht="14.4" x14ac:dyDescent="0.3">
      <c r="A417" s="12">
        <f t="shared" si="42"/>
        <v>45765.083333332339</v>
      </c>
      <c r="B417" s="12">
        <f t="shared" si="38"/>
        <v>45765.124999999003</v>
      </c>
      <c r="C417" s="13">
        <f t="shared" si="39"/>
        <v>3.1070000000000002</v>
      </c>
      <c r="D417" s="14">
        <f t="shared" si="37"/>
        <v>3107</v>
      </c>
      <c r="G417" s="12">
        <f t="shared" si="40"/>
        <v>45765.083333332339</v>
      </c>
      <c r="H417" s="12">
        <f t="shared" si="41"/>
        <v>45765.124999999003</v>
      </c>
      <c r="I417" s="132"/>
      <c r="J417" s="169">
        <v>3107</v>
      </c>
      <c r="K417" s="175"/>
    </row>
    <row r="418" spans="1:11" ht="14.4" x14ac:dyDescent="0.3">
      <c r="A418" s="12">
        <f t="shared" si="42"/>
        <v>45765.124999999003</v>
      </c>
      <c r="B418" s="12">
        <f t="shared" si="38"/>
        <v>45765.166666665667</v>
      </c>
      <c r="C418" s="13">
        <f t="shared" si="39"/>
        <v>3.2610000000000001</v>
      </c>
      <c r="D418" s="14">
        <f t="shared" si="37"/>
        <v>3261</v>
      </c>
      <c r="G418" s="12">
        <f t="shared" si="40"/>
        <v>45765.124999999003</v>
      </c>
      <c r="H418" s="12">
        <f t="shared" si="41"/>
        <v>45765.166666665667</v>
      </c>
      <c r="I418" s="132"/>
      <c r="J418" s="169">
        <v>3261</v>
      </c>
      <c r="K418" s="175"/>
    </row>
    <row r="419" spans="1:11" ht="14.4" x14ac:dyDescent="0.3">
      <c r="A419" s="12">
        <f t="shared" si="42"/>
        <v>45765.166666665667</v>
      </c>
      <c r="B419" s="12">
        <f t="shared" si="38"/>
        <v>45765.208333332332</v>
      </c>
      <c r="C419" s="13">
        <f t="shared" si="39"/>
        <v>3.456</v>
      </c>
      <c r="D419" s="14">
        <f t="shared" si="37"/>
        <v>3456</v>
      </c>
      <c r="G419" s="12">
        <f t="shared" si="40"/>
        <v>45765.166666665667</v>
      </c>
      <c r="H419" s="12">
        <f t="shared" si="41"/>
        <v>45765.208333332332</v>
      </c>
      <c r="I419" s="132"/>
      <c r="J419" s="169">
        <v>3456</v>
      </c>
      <c r="K419" s="175"/>
    </row>
    <row r="420" spans="1:11" ht="14.4" x14ac:dyDescent="0.3">
      <c r="A420" s="12">
        <f t="shared" si="42"/>
        <v>45765.208333332332</v>
      </c>
      <c r="B420" s="12">
        <f t="shared" si="38"/>
        <v>45765.249999998996</v>
      </c>
      <c r="C420" s="13">
        <f t="shared" si="39"/>
        <v>3.7719999999999998</v>
      </c>
      <c r="D420" s="14">
        <f t="shared" si="37"/>
        <v>3772</v>
      </c>
      <c r="G420" s="12">
        <f t="shared" si="40"/>
        <v>45765.208333332332</v>
      </c>
      <c r="H420" s="12">
        <f t="shared" si="41"/>
        <v>45765.249999998996</v>
      </c>
      <c r="I420" s="132"/>
      <c r="J420" s="169">
        <v>3772</v>
      </c>
      <c r="K420" s="175"/>
    </row>
    <row r="421" spans="1:11" ht="14.4" x14ac:dyDescent="0.3">
      <c r="A421" s="12">
        <f t="shared" si="42"/>
        <v>45765.249999998996</v>
      </c>
      <c r="B421" s="12">
        <f t="shared" si="38"/>
        <v>45765.29166666566</v>
      </c>
      <c r="C421" s="13">
        <f t="shared" si="39"/>
        <v>3.8450000000000002</v>
      </c>
      <c r="D421" s="14">
        <f t="shared" si="37"/>
        <v>3845</v>
      </c>
      <c r="G421" s="12">
        <f t="shared" si="40"/>
        <v>45765.249999998996</v>
      </c>
      <c r="H421" s="12">
        <f t="shared" si="41"/>
        <v>45765.29166666566</v>
      </c>
      <c r="I421" s="132"/>
      <c r="J421" s="169">
        <v>3845</v>
      </c>
      <c r="K421" s="175"/>
    </row>
    <row r="422" spans="1:11" ht="14.4" x14ac:dyDescent="0.3">
      <c r="A422" s="12">
        <f t="shared" si="42"/>
        <v>45765.29166666566</v>
      </c>
      <c r="B422" s="12">
        <f t="shared" si="38"/>
        <v>45765.333333332324</v>
      </c>
      <c r="C422" s="13">
        <f t="shared" si="39"/>
        <v>3.7</v>
      </c>
      <c r="D422" s="14">
        <f t="shared" si="37"/>
        <v>3700</v>
      </c>
      <c r="G422" s="12">
        <f t="shared" si="40"/>
        <v>45765.29166666566</v>
      </c>
      <c r="H422" s="12">
        <f t="shared" si="41"/>
        <v>45765.333333332324</v>
      </c>
      <c r="I422" s="132"/>
      <c r="J422" s="169">
        <v>3700</v>
      </c>
      <c r="K422" s="175"/>
    </row>
    <row r="423" spans="1:11" ht="14.4" x14ac:dyDescent="0.3">
      <c r="A423" s="12">
        <f t="shared" si="42"/>
        <v>45765.333333332324</v>
      </c>
      <c r="B423" s="12">
        <f t="shared" si="38"/>
        <v>45765.374999998989</v>
      </c>
      <c r="C423" s="13">
        <f t="shared" si="39"/>
        <v>3.8809999999999998</v>
      </c>
      <c r="D423" s="14">
        <f t="shared" si="37"/>
        <v>3881</v>
      </c>
      <c r="G423" s="12">
        <f t="shared" si="40"/>
        <v>45765.333333332324</v>
      </c>
      <c r="H423" s="12">
        <f t="shared" si="41"/>
        <v>45765.374999998989</v>
      </c>
      <c r="I423" s="132"/>
      <c r="J423" s="169">
        <v>3881</v>
      </c>
      <c r="K423" s="175"/>
    </row>
    <row r="424" spans="1:11" ht="14.4" x14ac:dyDescent="0.3">
      <c r="A424" s="12">
        <f t="shared" si="42"/>
        <v>45765.374999998989</v>
      </c>
      <c r="B424" s="12">
        <f t="shared" si="38"/>
        <v>45765.416666665653</v>
      </c>
      <c r="C424" s="13">
        <f t="shared" si="39"/>
        <v>4.0780000000000003</v>
      </c>
      <c r="D424" s="14">
        <f t="shared" si="37"/>
        <v>4078</v>
      </c>
      <c r="G424" s="12">
        <f t="shared" si="40"/>
        <v>45765.374999998989</v>
      </c>
      <c r="H424" s="12">
        <f t="shared" si="41"/>
        <v>45765.416666665653</v>
      </c>
      <c r="I424" s="132"/>
      <c r="J424" s="169">
        <v>4078</v>
      </c>
      <c r="K424" s="175"/>
    </row>
    <row r="425" spans="1:11" ht="14.4" x14ac:dyDescent="0.3">
      <c r="A425" s="12">
        <f t="shared" si="42"/>
        <v>45765.416666665653</v>
      </c>
      <c r="B425" s="12">
        <f t="shared" si="38"/>
        <v>45765.458333332317</v>
      </c>
      <c r="C425" s="13">
        <f t="shared" si="39"/>
        <v>4.2510000000000003</v>
      </c>
      <c r="D425" s="14">
        <f t="shared" si="37"/>
        <v>4251</v>
      </c>
      <c r="G425" s="12">
        <f t="shared" si="40"/>
        <v>45765.416666665653</v>
      </c>
      <c r="H425" s="12">
        <f t="shared" si="41"/>
        <v>45765.458333332317</v>
      </c>
      <c r="I425" s="132"/>
      <c r="J425" s="169">
        <v>4251</v>
      </c>
      <c r="K425" s="175"/>
    </row>
    <row r="426" spans="1:11" ht="14.4" x14ac:dyDescent="0.3">
      <c r="A426" s="12">
        <f t="shared" si="42"/>
        <v>45765.458333332317</v>
      </c>
      <c r="B426" s="12">
        <f t="shared" si="38"/>
        <v>45765.499999998981</v>
      </c>
      <c r="C426" s="13">
        <f t="shared" si="39"/>
        <v>4.2489999999999997</v>
      </c>
      <c r="D426" s="14">
        <f t="shared" si="37"/>
        <v>4249</v>
      </c>
      <c r="G426" s="12">
        <f t="shared" si="40"/>
        <v>45765.458333332317</v>
      </c>
      <c r="H426" s="12">
        <f t="shared" si="41"/>
        <v>45765.499999998981</v>
      </c>
      <c r="I426" s="132"/>
      <c r="J426" s="169">
        <v>4249</v>
      </c>
      <c r="K426" s="175"/>
    </row>
    <row r="427" spans="1:11" ht="14.4" x14ac:dyDescent="0.3">
      <c r="A427" s="12">
        <f t="shared" si="42"/>
        <v>45765.499999998981</v>
      </c>
      <c r="B427" s="12">
        <f t="shared" si="38"/>
        <v>45765.541666665646</v>
      </c>
      <c r="C427" s="13">
        <f t="shared" si="39"/>
        <v>4.1040000000000001</v>
      </c>
      <c r="D427" s="14">
        <f t="shared" si="37"/>
        <v>4104</v>
      </c>
      <c r="G427" s="12">
        <f t="shared" si="40"/>
        <v>45765.499999998981</v>
      </c>
      <c r="H427" s="12">
        <f t="shared" si="41"/>
        <v>45765.541666665646</v>
      </c>
      <c r="I427" s="132"/>
      <c r="J427" s="169">
        <v>4104</v>
      </c>
      <c r="K427" s="175"/>
    </row>
    <row r="428" spans="1:11" ht="14.4" x14ac:dyDescent="0.3">
      <c r="A428" s="12">
        <f t="shared" si="42"/>
        <v>45765.541666665646</v>
      </c>
      <c r="B428" s="12">
        <f t="shared" si="38"/>
        <v>45765.58333333231</v>
      </c>
      <c r="C428" s="13">
        <f t="shared" si="39"/>
        <v>3.8450000000000002</v>
      </c>
      <c r="D428" s="14">
        <f t="shared" si="37"/>
        <v>3845</v>
      </c>
      <c r="G428" s="12">
        <f t="shared" si="40"/>
        <v>45765.541666665646</v>
      </c>
      <c r="H428" s="12">
        <f t="shared" si="41"/>
        <v>45765.58333333231</v>
      </c>
      <c r="I428" s="132"/>
      <c r="J428" s="169">
        <v>3845</v>
      </c>
      <c r="K428" s="175"/>
    </row>
    <row r="429" spans="1:11" ht="14.4" x14ac:dyDescent="0.3">
      <c r="A429" s="12">
        <f t="shared" si="42"/>
        <v>45765.58333333231</v>
      </c>
      <c r="B429" s="12">
        <f t="shared" si="38"/>
        <v>45765.624999998974</v>
      </c>
      <c r="C429" s="13">
        <f t="shared" si="39"/>
        <v>4.0339999999999998</v>
      </c>
      <c r="D429" s="14">
        <f t="shared" si="37"/>
        <v>4034</v>
      </c>
      <c r="G429" s="12">
        <f t="shared" si="40"/>
        <v>45765.58333333231</v>
      </c>
      <c r="H429" s="12">
        <f t="shared" si="41"/>
        <v>45765.624999998974</v>
      </c>
      <c r="I429" s="132"/>
      <c r="J429" s="169">
        <v>4034</v>
      </c>
      <c r="K429" s="175"/>
    </row>
    <row r="430" spans="1:11" ht="14.4" x14ac:dyDescent="0.3">
      <c r="A430" s="12">
        <f t="shared" si="42"/>
        <v>45765.624999998974</v>
      </c>
      <c r="B430" s="12">
        <f t="shared" si="38"/>
        <v>45765.666666665638</v>
      </c>
      <c r="C430" s="13">
        <f t="shared" si="39"/>
        <v>4.3639999999999999</v>
      </c>
      <c r="D430" s="14">
        <f t="shared" si="37"/>
        <v>4364</v>
      </c>
      <c r="G430" s="12">
        <f t="shared" si="40"/>
        <v>45765.624999998974</v>
      </c>
      <c r="H430" s="12">
        <f t="shared" si="41"/>
        <v>45765.666666665638</v>
      </c>
      <c r="I430" s="132"/>
      <c r="J430" s="169">
        <v>4364</v>
      </c>
      <c r="K430" s="175"/>
    </row>
    <row r="431" spans="1:11" ht="14.4" x14ac:dyDescent="0.3">
      <c r="A431" s="12">
        <f t="shared" si="42"/>
        <v>45765.666666665638</v>
      </c>
      <c r="B431" s="12">
        <f t="shared" si="38"/>
        <v>45765.708333332303</v>
      </c>
      <c r="C431" s="13">
        <f t="shared" si="39"/>
        <v>4.3810000000000002</v>
      </c>
      <c r="D431" s="14">
        <f t="shared" si="37"/>
        <v>4381</v>
      </c>
      <c r="G431" s="12">
        <f t="shared" si="40"/>
        <v>45765.666666665638</v>
      </c>
      <c r="H431" s="12">
        <f t="shared" si="41"/>
        <v>45765.708333332303</v>
      </c>
      <c r="I431" s="132"/>
      <c r="J431" s="169">
        <v>4381</v>
      </c>
      <c r="K431" s="175"/>
    </row>
    <row r="432" spans="1:11" ht="14.4" x14ac:dyDescent="0.3">
      <c r="A432" s="12">
        <f t="shared" si="42"/>
        <v>45765.708333332303</v>
      </c>
      <c r="B432" s="12">
        <f t="shared" si="38"/>
        <v>45765.749999998967</v>
      </c>
      <c r="C432" s="13">
        <f t="shared" si="39"/>
        <v>4.4550000000000001</v>
      </c>
      <c r="D432" s="14">
        <f t="shared" si="37"/>
        <v>4455</v>
      </c>
      <c r="G432" s="12">
        <f t="shared" si="40"/>
        <v>45765.708333332303</v>
      </c>
      <c r="H432" s="12">
        <f t="shared" si="41"/>
        <v>45765.749999998967</v>
      </c>
      <c r="I432" s="132"/>
      <c r="J432" s="169">
        <v>4455</v>
      </c>
      <c r="K432" s="175"/>
    </row>
    <row r="433" spans="1:11" ht="14.4" x14ac:dyDescent="0.3">
      <c r="A433" s="12">
        <f t="shared" si="42"/>
        <v>45765.749999998967</v>
      </c>
      <c r="B433" s="12">
        <f t="shared" si="38"/>
        <v>45765.791666665631</v>
      </c>
      <c r="C433" s="13">
        <f t="shared" si="39"/>
        <v>4.4080000000000004</v>
      </c>
      <c r="D433" s="14">
        <f t="shared" si="37"/>
        <v>4408</v>
      </c>
      <c r="G433" s="12">
        <f t="shared" si="40"/>
        <v>45765.749999998967</v>
      </c>
      <c r="H433" s="12">
        <f t="shared" si="41"/>
        <v>45765.791666665631</v>
      </c>
      <c r="I433" s="132"/>
      <c r="J433" s="169">
        <v>4408</v>
      </c>
      <c r="K433" s="175"/>
    </row>
    <row r="434" spans="1:11" ht="14.4" x14ac:dyDescent="0.3">
      <c r="A434" s="12">
        <f t="shared" si="42"/>
        <v>45765.791666665631</v>
      </c>
      <c r="B434" s="12">
        <f t="shared" si="38"/>
        <v>45765.833333332295</v>
      </c>
      <c r="C434" s="13">
        <f t="shared" si="39"/>
        <v>4.5789999999999997</v>
      </c>
      <c r="D434" s="14">
        <f t="shared" si="37"/>
        <v>4579</v>
      </c>
      <c r="G434" s="12">
        <f t="shared" si="40"/>
        <v>45765.791666665631</v>
      </c>
      <c r="H434" s="12">
        <f t="shared" si="41"/>
        <v>45765.833333332295</v>
      </c>
      <c r="I434" s="132"/>
      <c r="J434" s="169">
        <v>4579</v>
      </c>
      <c r="K434" s="175"/>
    </row>
    <row r="435" spans="1:11" ht="14.4" x14ac:dyDescent="0.3">
      <c r="A435" s="12">
        <f t="shared" si="42"/>
        <v>45765.833333332295</v>
      </c>
      <c r="B435" s="12">
        <f t="shared" si="38"/>
        <v>45765.87499999896</v>
      </c>
      <c r="C435" s="13">
        <f t="shared" si="39"/>
        <v>4.4409999999999998</v>
      </c>
      <c r="D435" s="14">
        <f t="shared" si="37"/>
        <v>4441</v>
      </c>
      <c r="G435" s="12">
        <f t="shared" si="40"/>
        <v>45765.833333332295</v>
      </c>
      <c r="H435" s="12">
        <f t="shared" si="41"/>
        <v>45765.87499999896</v>
      </c>
      <c r="I435" s="132"/>
      <c r="J435" s="169">
        <v>4441</v>
      </c>
      <c r="K435" s="175"/>
    </row>
    <row r="436" spans="1:11" ht="14.4" x14ac:dyDescent="0.3">
      <c r="A436" s="12">
        <f t="shared" si="42"/>
        <v>45765.87499999896</v>
      </c>
      <c r="B436" s="12">
        <f t="shared" si="38"/>
        <v>45765.916666665624</v>
      </c>
      <c r="C436" s="13">
        <f t="shared" si="39"/>
        <v>4.1529999999999996</v>
      </c>
      <c r="D436" s="14">
        <f t="shared" si="37"/>
        <v>4153</v>
      </c>
      <c r="G436" s="12">
        <f t="shared" si="40"/>
        <v>45765.87499999896</v>
      </c>
      <c r="H436" s="12">
        <f t="shared" si="41"/>
        <v>45765.916666665624</v>
      </c>
      <c r="I436" s="132"/>
      <c r="J436" s="169">
        <v>4153</v>
      </c>
      <c r="K436" s="175"/>
    </row>
    <row r="437" spans="1:11" ht="14.4" x14ac:dyDescent="0.3">
      <c r="A437" s="12">
        <f t="shared" si="42"/>
        <v>45765.916666665624</v>
      </c>
      <c r="B437" s="12">
        <f t="shared" si="38"/>
        <v>45765.958333332288</v>
      </c>
      <c r="C437" s="13">
        <f t="shared" si="39"/>
        <v>3.8839999999999999</v>
      </c>
      <c r="D437" s="14">
        <f t="shared" si="37"/>
        <v>3884</v>
      </c>
      <c r="G437" s="12">
        <f t="shared" si="40"/>
        <v>45765.916666665624</v>
      </c>
      <c r="H437" s="12">
        <f t="shared" si="41"/>
        <v>45765.958333332288</v>
      </c>
      <c r="I437" s="132"/>
      <c r="J437" s="169">
        <v>3884</v>
      </c>
      <c r="K437" s="175"/>
    </row>
    <row r="438" spans="1:11" ht="14.4" x14ac:dyDescent="0.3">
      <c r="A438" s="12">
        <f t="shared" si="42"/>
        <v>45765.958333332288</v>
      </c>
      <c r="B438" s="12">
        <f t="shared" si="38"/>
        <v>45765.999999998952</v>
      </c>
      <c r="C438" s="13">
        <f t="shared" si="39"/>
        <v>3.7320000000000002</v>
      </c>
      <c r="D438" s="14">
        <f t="shared" si="37"/>
        <v>3732</v>
      </c>
      <c r="G438" s="12">
        <f t="shared" si="40"/>
        <v>45765.958333332288</v>
      </c>
      <c r="H438" s="12">
        <f t="shared" si="41"/>
        <v>45765.999999998952</v>
      </c>
      <c r="I438" s="132"/>
      <c r="J438" s="169">
        <v>3732</v>
      </c>
      <c r="K438" s="175"/>
    </row>
    <row r="439" spans="1:11" ht="14.4" x14ac:dyDescent="0.3">
      <c r="A439" s="12">
        <f t="shared" si="42"/>
        <v>45765.999999998952</v>
      </c>
      <c r="B439" s="12">
        <f t="shared" si="38"/>
        <v>45766.041666665617</v>
      </c>
      <c r="C439" s="13">
        <f t="shared" si="39"/>
        <v>3.6269999999999998</v>
      </c>
      <c r="D439" s="14">
        <f t="shared" si="37"/>
        <v>3627</v>
      </c>
      <c r="G439" s="12">
        <f t="shared" si="40"/>
        <v>45765.999999998952</v>
      </c>
      <c r="H439" s="12">
        <f t="shared" si="41"/>
        <v>45766.041666665617</v>
      </c>
      <c r="I439" s="132"/>
      <c r="J439" s="169">
        <v>3627</v>
      </c>
      <c r="K439" s="175"/>
    </row>
    <row r="440" spans="1:11" ht="14.4" x14ac:dyDescent="0.3">
      <c r="A440" s="12">
        <f t="shared" si="42"/>
        <v>45766.041666665617</v>
      </c>
      <c r="B440" s="12">
        <f t="shared" si="38"/>
        <v>45766.083333332281</v>
      </c>
      <c r="C440" s="13">
        <f t="shared" si="39"/>
        <v>3.5259999999999998</v>
      </c>
      <c r="D440" s="14">
        <f t="shared" si="37"/>
        <v>3526</v>
      </c>
      <c r="G440" s="12">
        <f t="shared" si="40"/>
        <v>45766.041666665617</v>
      </c>
      <c r="H440" s="12">
        <f t="shared" si="41"/>
        <v>45766.083333332281</v>
      </c>
      <c r="I440" s="132"/>
      <c r="J440" s="169">
        <v>3526</v>
      </c>
      <c r="K440" s="175"/>
    </row>
    <row r="441" spans="1:11" ht="14.4" x14ac:dyDescent="0.3">
      <c r="A441" s="12">
        <f t="shared" si="42"/>
        <v>45766.083333332281</v>
      </c>
      <c r="B441" s="12">
        <f t="shared" si="38"/>
        <v>45766.124999998945</v>
      </c>
      <c r="C441" s="13">
        <f t="shared" si="39"/>
        <v>3.593</v>
      </c>
      <c r="D441" s="14">
        <f t="shared" si="37"/>
        <v>3593</v>
      </c>
      <c r="G441" s="12">
        <f t="shared" si="40"/>
        <v>45766.083333332281</v>
      </c>
      <c r="H441" s="12">
        <f t="shared" si="41"/>
        <v>45766.124999998945</v>
      </c>
      <c r="I441" s="132"/>
      <c r="J441" s="169">
        <v>3593</v>
      </c>
      <c r="K441" s="175"/>
    </row>
    <row r="442" spans="1:11" ht="14.4" x14ac:dyDescent="0.3">
      <c r="A442" s="12">
        <f t="shared" si="42"/>
        <v>45766.124999998945</v>
      </c>
      <c r="B442" s="12">
        <f t="shared" si="38"/>
        <v>45766.166666665609</v>
      </c>
      <c r="C442" s="13">
        <f t="shared" si="39"/>
        <v>3.6560000000000001</v>
      </c>
      <c r="D442" s="14">
        <f t="shared" si="37"/>
        <v>3656</v>
      </c>
      <c r="G442" s="12">
        <f t="shared" si="40"/>
        <v>45766.124999998945</v>
      </c>
      <c r="H442" s="12">
        <f t="shared" si="41"/>
        <v>45766.166666665609</v>
      </c>
      <c r="I442" s="132"/>
      <c r="J442" s="169">
        <v>3656</v>
      </c>
      <c r="K442" s="175"/>
    </row>
    <row r="443" spans="1:11" ht="14.4" x14ac:dyDescent="0.3">
      <c r="A443" s="12">
        <f t="shared" si="42"/>
        <v>45766.166666665609</v>
      </c>
      <c r="B443" s="12">
        <f t="shared" si="38"/>
        <v>45766.208333332273</v>
      </c>
      <c r="C443" s="13">
        <f t="shared" si="39"/>
        <v>3.8140000000000001</v>
      </c>
      <c r="D443" s="14">
        <f t="shared" si="37"/>
        <v>3814</v>
      </c>
      <c r="G443" s="12">
        <f t="shared" si="40"/>
        <v>45766.166666665609</v>
      </c>
      <c r="H443" s="12">
        <f t="shared" si="41"/>
        <v>45766.208333332273</v>
      </c>
      <c r="I443" s="132"/>
      <c r="J443" s="169">
        <v>3814</v>
      </c>
      <c r="K443" s="175"/>
    </row>
    <row r="444" spans="1:11" ht="14.4" x14ac:dyDescent="0.3">
      <c r="A444" s="12">
        <f t="shared" si="42"/>
        <v>45766.208333332273</v>
      </c>
      <c r="B444" s="12">
        <f t="shared" si="38"/>
        <v>45766.249999998938</v>
      </c>
      <c r="C444" s="13">
        <f t="shared" si="39"/>
        <v>4.0670000000000002</v>
      </c>
      <c r="D444" s="14">
        <f t="shared" si="37"/>
        <v>4067</v>
      </c>
      <c r="G444" s="12">
        <f t="shared" si="40"/>
        <v>45766.208333332273</v>
      </c>
      <c r="H444" s="12">
        <f t="shared" si="41"/>
        <v>45766.249999998938</v>
      </c>
      <c r="I444" s="132"/>
      <c r="J444" s="169">
        <v>4067</v>
      </c>
      <c r="K444" s="175"/>
    </row>
    <row r="445" spans="1:11" ht="14.4" x14ac:dyDescent="0.3">
      <c r="A445" s="12">
        <f t="shared" si="42"/>
        <v>45766.249999998938</v>
      </c>
      <c r="B445" s="12">
        <f t="shared" si="38"/>
        <v>45766.291666665602</v>
      </c>
      <c r="C445" s="13">
        <f t="shared" si="39"/>
        <v>4.1289999999999996</v>
      </c>
      <c r="D445" s="14">
        <f t="shared" si="37"/>
        <v>4129</v>
      </c>
      <c r="G445" s="12">
        <f t="shared" si="40"/>
        <v>45766.249999998938</v>
      </c>
      <c r="H445" s="12">
        <f t="shared" si="41"/>
        <v>45766.291666665602</v>
      </c>
      <c r="I445" s="132"/>
      <c r="J445" s="169">
        <v>4129</v>
      </c>
      <c r="K445" s="175"/>
    </row>
    <row r="446" spans="1:11" ht="14.4" x14ac:dyDescent="0.3">
      <c r="A446" s="12">
        <f t="shared" si="42"/>
        <v>45766.291666665602</v>
      </c>
      <c r="B446" s="12">
        <f t="shared" si="38"/>
        <v>45766.333333332266</v>
      </c>
      <c r="C446" s="13">
        <f t="shared" si="39"/>
        <v>4.3639999999999999</v>
      </c>
      <c r="D446" s="14">
        <f t="shared" si="37"/>
        <v>4364</v>
      </c>
      <c r="G446" s="12">
        <f t="shared" si="40"/>
        <v>45766.291666665602</v>
      </c>
      <c r="H446" s="12">
        <f t="shared" si="41"/>
        <v>45766.333333332266</v>
      </c>
      <c r="I446" s="132"/>
      <c r="J446" s="169">
        <v>4364</v>
      </c>
      <c r="K446" s="175"/>
    </row>
    <row r="447" spans="1:11" ht="14.4" x14ac:dyDescent="0.3">
      <c r="A447" s="12">
        <f t="shared" si="42"/>
        <v>45766.333333332266</v>
      </c>
      <c r="B447" s="12">
        <f t="shared" si="38"/>
        <v>45766.37499999893</v>
      </c>
      <c r="C447" s="13">
        <f t="shared" si="39"/>
        <v>4.3109999999999999</v>
      </c>
      <c r="D447" s="14">
        <f t="shared" si="37"/>
        <v>4311</v>
      </c>
      <c r="G447" s="12">
        <f t="shared" si="40"/>
        <v>45766.333333332266</v>
      </c>
      <c r="H447" s="12">
        <f t="shared" si="41"/>
        <v>45766.37499999893</v>
      </c>
      <c r="I447" s="132"/>
      <c r="J447" s="169">
        <v>4311</v>
      </c>
      <c r="K447" s="175"/>
    </row>
    <row r="448" spans="1:11" ht="14.4" x14ac:dyDescent="0.3">
      <c r="A448" s="12">
        <f t="shared" si="42"/>
        <v>45766.37499999893</v>
      </c>
      <c r="B448" s="12">
        <f t="shared" si="38"/>
        <v>45766.416666665595</v>
      </c>
      <c r="C448" s="13">
        <f t="shared" si="39"/>
        <v>4.0730000000000004</v>
      </c>
      <c r="D448" s="14">
        <f t="shared" si="37"/>
        <v>4073</v>
      </c>
      <c r="G448" s="12">
        <f t="shared" si="40"/>
        <v>45766.37499999893</v>
      </c>
      <c r="H448" s="12">
        <f t="shared" si="41"/>
        <v>45766.416666665595</v>
      </c>
      <c r="I448" s="132"/>
      <c r="J448" s="169">
        <v>4073</v>
      </c>
      <c r="K448" s="175"/>
    </row>
    <row r="449" spans="1:11" ht="14.4" x14ac:dyDescent="0.3">
      <c r="A449" s="12">
        <f t="shared" si="42"/>
        <v>45766.416666665595</v>
      </c>
      <c r="B449" s="12">
        <f t="shared" si="38"/>
        <v>45766.458333332259</v>
      </c>
      <c r="C449" s="13">
        <f t="shared" si="39"/>
        <v>3.899</v>
      </c>
      <c r="D449" s="14">
        <f t="shared" si="37"/>
        <v>3899</v>
      </c>
      <c r="G449" s="12">
        <f t="shared" si="40"/>
        <v>45766.416666665595</v>
      </c>
      <c r="H449" s="12">
        <f t="shared" si="41"/>
        <v>45766.458333332259</v>
      </c>
      <c r="I449" s="132"/>
      <c r="J449" s="169">
        <v>3899</v>
      </c>
      <c r="K449" s="175"/>
    </row>
    <row r="450" spans="1:11" ht="14.4" x14ac:dyDescent="0.3">
      <c r="A450" s="12">
        <f t="shared" si="42"/>
        <v>45766.458333332259</v>
      </c>
      <c r="B450" s="12">
        <f t="shared" si="38"/>
        <v>45766.499999998923</v>
      </c>
      <c r="C450" s="13">
        <f t="shared" si="39"/>
        <v>3.577</v>
      </c>
      <c r="D450" s="14">
        <f t="shared" si="37"/>
        <v>3577</v>
      </c>
      <c r="G450" s="12">
        <f t="shared" si="40"/>
        <v>45766.458333332259</v>
      </c>
      <c r="H450" s="12">
        <f t="shared" si="41"/>
        <v>45766.499999998923</v>
      </c>
      <c r="I450" s="132"/>
      <c r="J450" s="169">
        <v>3577</v>
      </c>
      <c r="K450" s="175"/>
    </row>
    <row r="451" spans="1:11" ht="14.4" x14ac:dyDescent="0.3">
      <c r="A451" s="12">
        <f t="shared" si="42"/>
        <v>45766.499999998923</v>
      </c>
      <c r="B451" s="12">
        <f t="shared" si="38"/>
        <v>45766.541666665587</v>
      </c>
      <c r="C451" s="13">
        <f t="shared" si="39"/>
        <v>3.2519999999999998</v>
      </c>
      <c r="D451" s="14">
        <f t="shared" si="37"/>
        <v>3252</v>
      </c>
      <c r="G451" s="12">
        <f t="shared" si="40"/>
        <v>45766.499999998923</v>
      </c>
      <c r="H451" s="12">
        <f t="shared" si="41"/>
        <v>45766.541666665587</v>
      </c>
      <c r="I451" s="132"/>
      <c r="J451" s="169">
        <v>3252</v>
      </c>
      <c r="K451" s="175"/>
    </row>
    <row r="452" spans="1:11" ht="14.4" x14ac:dyDescent="0.3">
      <c r="A452" s="12">
        <f t="shared" si="42"/>
        <v>45766.541666665587</v>
      </c>
      <c r="B452" s="12">
        <f t="shared" si="38"/>
        <v>45766.583333332252</v>
      </c>
      <c r="C452" s="13">
        <f t="shared" si="39"/>
        <v>3.3639999999999999</v>
      </c>
      <c r="D452" s="14">
        <f t="shared" si="37"/>
        <v>3364</v>
      </c>
      <c r="G452" s="12">
        <f t="shared" si="40"/>
        <v>45766.541666665587</v>
      </c>
      <c r="H452" s="12">
        <f t="shared" si="41"/>
        <v>45766.583333332252</v>
      </c>
      <c r="I452" s="132"/>
      <c r="J452" s="169">
        <v>3364</v>
      </c>
      <c r="K452" s="175"/>
    </row>
    <row r="453" spans="1:11" ht="14.4" x14ac:dyDescent="0.3">
      <c r="A453" s="12">
        <f t="shared" si="42"/>
        <v>45766.583333332252</v>
      </c>
      <c r="B453" s="12">
        <f t="shared" si="38"/>
        <v>45766.624999998916</v>
      </c>
      <c r="C453" s="13">
        <f t="shared" si="39"/>
        <v>3.423</v>
      </c>
      <c r="D453" s="14">
        <f t="shared" si="37"/>
        <v>3423</v>
      </c>
      <c r="G453" s="12">
        <f t="shared" si="40"/>
        <v>45766.583333332252</v>
      </c>
      <c r="H453" s="12">
        <f t="shared" si="41"/>
        <v>45766.624999998916</v>
      </c>
      <c r="I453" s="132"/>
      <c r="J453" s="169">
        <v>3423</v>
      </c>
      <c r="K453" s="175"/>
    </row>
    <row r="454" spans="1:11" ht="14.4" x14ac:dyDescent="0.3">
      <c r="A454" s="12">
        <f t="shared" si="42"/>
        <v>45766.624999998916</v>
      </c>
      <c r="B454" s="12">
        <f t="shared" si="38"/>
        <v>45766.66666666558</v>
      </c>
      <c r="C454" s="13">
        <f t="shared" si="39"/>
        <v>3.5430000000000001</v>
      </c>
      <c r="D454" s="14">
        <f t="shared" si="37"/>
        <v>3543</v>
      </c>
      <c r="G454" s="12">
        <f t="shared" si="40"/>
        <v>45766.624999998916</v>
      </c>
      <c r="H454" s="12">
        <f t="shared" si="41"/>
        <v>45766.66666666558</v>
      </c>
      <c r="I454" s="132"/>
      <c r="J454" s="169">
        <v>3543</v>
      </c>
      <c r="K454" s="175"/>
    </row>
    <row r="455" spans="1:11" ht="14.4" x14ac:dyDescent="0.3">
      <c r="A455" s="12">
        <f t="shared" si="42"/>
        <v>45766.66666666558</v>
      </c>
      <c r="B455" s="12">
        <f t="shared" si="38"/>
        <v>45766.708333332244</v>
      </c>
      <c r="C455" s="13">
        <f t="shared" si="39"/>
        <v>3.7429999999999999</v>
      </c>
      <c r="D455" s="14">
        <f t="shared" ref="D455:D518" si="43">J455*(1+$D$3)*(1+$D$4)</f>
        <v>3743</v>
      </c>
      <c r="G455" s="12">
        <f t="shared" si="40"/>
        <v>45766.66666666558</v>
      </c>
      <c r="H455" s="12">
        <f t="shared" si="41"/>
        <v>45766.708333332244</v>
      </c>
      <c r="I455" s="132"/>
      <c r="J455" s="169">
        <v>3743</v>
      </c>
      <c r="K455" s="175"/>
    </row>
    <row r="456" spans="1:11" ht="14.4" x14ac:dyDescent="0.3">
      <c r="A456" s="12">
        <f t="shared" si="42"/>
        <v>45766.708333332244</v>
      </c>
      <c r="B456" s="12">
        <f t="shared" ref="B456:B519" si="44">$A456+1/24</f>
        <v>45766.749999998909</v>
      </c>
      <c r="C456" s="13">
        <f t="shared" ref="C456:C519" si="45">SUM(D456)/1000</f>
        <v>3.8809999999999998</v>
      </c>
      <c r="D456" s="14">
        <f t="shared" si="43"/>
        <v>3881</v>
      </c>
      <c r="G456" s="12">
        <f t="shared" ref="G456:G519" si="46">A456</f>
        <v>45766.708333332244</v>
      </c>
      <c r="H456" s="12">
        <f t="shared" ref="H456:H519" si="47">B456</f>
        <v>45766.749999998909</v>
      </c>
      <c r="I456" s="132"/>
      <c r="J456" s="169">
        <v>3881</v>
      </c>
      <c r="K456" s="175"/>
    </row>
    <row r="457" spans="1:11" ht="14.4" x14ac:dyDescent="0.3">
      <c r="A457" s="12">
        <f t="shared" ref="A457:A520" si="48">$A456+1/24</f>
        <v>45766.749999998909</v>
      </c>
      <c r="B457" s="12">
        <f t="shared" si="44"/>
        <v>45766.791666665573</v>
      </c>
      <c r="C457" s="13">
        <f t="shared" si="45"/>
        <v>4.0259999999999998</v>
      </c>
      <c r="D457" s="14">
        <f t="shared" si="43"/>
        <v>4026</v>
      </c>
      <c r="G457" s="12">
        <f t="shared" si="46"/>
        <v>45766.749999998909</v>
      </c>
      <c r="H457" s="12">
        <f t="shared" si="47"/>
        <v>45766.791666665573</v>
      </c>
      <c r="I457" s="132"/>
      <c r="J457" s="169">
        <v>4026</v>
      </c>
      <c r="K457" s="175"/>
    </row>
    <row r="458" spans="1:11" ht="14.4" x14ac:dyDescent="0.3">
      <c r="A458" s="12">
        <f t="shared" si="48"/>
        <v>45766.791666665573</v>
      </c>
      <c r="B458" s="12">
        <f t="shared" si="44"/>
        <v>45766.833333332237</v>
      </c>
      <c r="C458" s="13">
        <f t="shared" si="45"/>
        <v>4.3140000000000001</v>
      </c>
      <c r="D458" s="14">
        <f t="shared" si="43"/>
        <v>4314</v>
      </c>
      <c r="G458" s="12">
        <f t="shared" si="46"/>
        <v>45766.791666665573</v>
      </c>
      <c r="H458" s="12">
        <f t="shared" si="47"/>
        <v>45766.833333332237</v>
      </c>
      <c r="I458" s="132"/>
      <c r="J458" s="169">
        <v>4314</v>
      </c>
      <c r="K458" s="175"/>
    </row>
    <row r="459" spans="1:11" ht="14.4" x14ac:dyDescent="0.3">
      <c r="A459" s="12">
        <f t="shared" si="48"/>
        <v>45766.833333332237</v>
      </c>
      <c r="B459" s="12">
        <f t="shared" si="44"/>
        <v>45766.874999998901</v>
      </c>
      <c r="C459" s="13">
        <f t="shared" si="45"/>
        <v>4.2380000000000004</v>
      </c>
      <c r="D459" s="14">
        <f t="shared" si="43"/>
        <v>4238</v>
      </c>
      <c r="G459" s="12">
        <f t="shared" si="46"/>
        <v>45766.833333332237</v>
      </c>
      <c r="H459" s="12">
        <f t="shared" si="47"/>
        <v>45766.874999998901</v>
      </c>
      <c r="I459" s="132"/>
      <c r="J459" s="169">
        <v>4238</v>
      </c>
      <c r="K459" s="175"/>
    </row>
    <row r="460" spans="1:11" ht="14.4" x14ac:dyDescent="0.3">
      <c r="A460" s="12">
        <f t="shared" si="48"/>
        <v>45766.874999998901</v>
      </c>
      <c r="B460" s="12">
        <f t="shared" si="44"/>
        <v>45766.916666665566</v>
      </c>
      <c r="C460" s="13">
        <f t="shared" si="45"/>
        <v>4.016</v>
      </c>
      <c r="D460" s="14">
        <f t="shared" si="43"/>
        <v>4016</v>
      </c>
      <c r="G460" s="12">
        <f t="shared" si="46"/>
        <v>45766.874999998901</v>
      </c>
      <c r="H460" s="12">
        <f t="shared" si="47"/>
        <v>45766.916666665566</v>
      </c>
      <c r="I460" s="132"/>
      <c r="J460" s="169">
        <v>4016</v>
      </c>
      <c r="K460" s="175"/>
    </row>
    <row r="461" spans="1:11" ht="14.4" x14ac:dyDescent="0.3">
      <c r="A461" s="12">
        <f t="shared" si="48"/>
        <v>45766.916666665566</v>
      </c>
      <c r="B461" s="12">
        <f t="shared" si="44"/>
        <v>45766.95833333223</v>
      </c>
      <c r="C461" s="13">
        <f t="shared" si="45"/>
        <v>3.802</v>
      </c>
      <c r="D461" s="14">
        <f t="shared" si="43"/>
        <v>3802</v>
      </c>
      <c r="G461" s="12">
        <f t="shared" si="46"/>
        <v>45766.916666665566</v>
      </c>
      <c r="H461" s="12">
        <f t="shared" si="47"/>
        <v>45766.95833333223</v>
      </c>
      <c r="I461" s="132"/>
      <c r="J461" s="169">
        <v>3802</v>
      </c>
      <c r="K461" s="175"/>
    </row>
    <row r="462" spans="1:11" ht="14.4" x14ac:dyDescent="0.3">
      <c r="A462" s="12">
        <f t="shared" si="48"/>
        <v>45766.95833333223</v>
      </c>
      <c r="B462" s="12">
        <f t="shared" si="44"/>
        <v>45766.999999998894</v>
      </c>
      <c r="C462" s="13">
        <f t="shared" si="45"/>
        <v>3.641</v>
      </c>
      <c r="D462" s="14">
        <f t="shared" si="43"/>
        <v>3641</v>
      </c>
      <c r="G462" s="12">
        <f t="shared" si="46"/>
        <v>45766.95833333223</v>
      </c>
      <c r="H462" s="12">
        <f t="shared" si="47"/>
        <v>45766.999999998894</v>
      </c>
      <c r="I462" s="132"/>
      <c r="J462" s="169">
        <v>3641</v>
      </c>
      <c r="K462" s="175"/>
    </row>
    <row r="463" spans="1:11" ht="14.4" x14ac:dyDescent="0.3">
      <c r="A463" s="12">
        <f t="shared" si="48"/>
        <v>45766.999999998894</v>
      </c>
      <c r="B463" s="12">
        <f t="shared" si="44"/>
        <v>45767.041666665558</v>
      </c>
      <c r="C463" s="13">
        <f t="shared" si="45"/>
        <v>3.641</v>
      </c>
      <c r="D463" s="14">
        <f t="shared" si="43"/>
        <v>3641</v>
      </c>
      <c r="G463" s="12">
        <f t="shared" si="46"/>
        <v>45766.999999998894</v>
      </c>
      <c r="H463" s="12">
        <f t="shared" si="47"/>
        <v>45767.041666665558</v>
      </c>
      <c r="I463" s="132"/>
      <c r="J463" s="169">
        <v>3641</v>
      </c>
      <c r="K463" s="175"/>
    </row>
    <row r="464" spans="1:11" ht="14.4" x14ac:dyDescent="0.3">
      <c r="A464" s="12">
        <f t="shared" si="48"/>
        <v>45767.041666665558</v>
      </c>
      <c r="B464" s="12">
        <f t="shared" si="44"/>
        <v>45767.083333332223</v>
      </c>
      <c r="C464" s="13">
        <f t="shared" si="45"/>
        <v>3.5569999999999999</v>
      </c>
      <c r="D464" s="14">
        <f t="shared" si="43"/>
        <v>3557</v>
      </c>
      <c r="G464" s="12">
        <f t="shared" si="46"/>
        <v>45767.041666665558</v>
      </c>
      <c r="H464" s="12">
        <f t="shared" si="47"/>
        <v>45767.083333332223</v>
      </c>
      <c r="I464" s="132"/>
      <c r="J464" s="169">
        <v>3557</v>
      </c>
      <c r="K464" s="175"/>
    </row>
    <row r="465" spans="1:11" ht="14.4" x14ac:dyDescent="0.3">
      <c r="A465" s="12">
        <f t="shared" si="48"/>
        <v>45767.083333332223</v>
      </c>
      <c r="B465" s="12">
        <f t="shared" si="44"/>
        <v>45767.124999998887</v>
      </c>
      <c r="C465" s="13">
        <f t="shared" si="45"/>
        <v>3.6429999999999998</v>
      </c>
      <c r="D465" s="14">
        <f t="shared" si="43"/>
        <v>3643</v>
      </c>
      <c r="G465" s="12">
        <f t="shared" si="46"/>
        <v>45767.083333332223</v>
      </c>
      <c r="H465" s="12">
        <f t="shared" si="47"/>
        <v>45767.124999998887</v>
      </c>
      <c r="I465" s="132"/>
      <c r="J465" s="169">
        <v>3643</v>
      </c>
      <c r="K465" s="175"/>
    </row>
    <row r="466" spans="1:11" ht="14.4" x14ac:dyDescent="0.3">
      <c r="A466" s="12">
        <f t="shared" si="48"/>
        <v>45767.124999998887</v>
      </c>
      <c r="B466" s="12">
        <f t="shared" si="44"/>
        <v>45767.166666665551</v>
      </c>
      <c r="C466" s="13">
        <f t="shared" si="45"/>
        <v>3.69</v>
      </c>
      <c r="D466" s="14">
        <f t="shared" si="43"/>
        <v>3690</v>
      </c>
      <c r="G466" s="12">
        <f t="shared" si="46"/>
        <v>45767.124999998887</v>
      </c>
      <c r="H466" s="12">
        <f t="shared" si="47"/>
        <v>45767.166666665551</v>
      </c>
      <c r="I466" s="132"/>
      <c r="J466" s="169">
        <v>3690</v>
      </c>
      <c r="K466" s="175"/>
    </row>
    <row r="467" spans="1:11" ht="14.4" x14ac:dyDescent="0.3">
      <c r="A467" s="12">
        <f t="shared" si="48"/>
        <v>45767.166666665551</v>
      </c>
      <c r="B467" s="12">
        <f t="shared" si="44"/>
        <v>45767.208333332215</v>
      </c>
      <c r="C467" s="13">
        <f t="shared" si="45"/>
        <v>3.8889999999999998</v>
      </c>
      <c r="D467" s="14">
        <f t="shared" si="43"/>
        <v>3889</v>
      </c>
      <c r="G467" s="12">
        <f t="shared" si="46"/>
        <v>45767.166666665551</v>
      </c>
      <c r="H467" s="12">
        <f t="shared" si="47"/>
        <v>45767.208333332215</v>
      </c>
      <c r="I467" s="132"/>
      <c r="J467" s="169">
        <v>3889</v>
      </c>
      <c r="K467" s="175"/>
    </row>
    <row r="468" spans="1:11" ht="14.4" x14ac:dyDescent="0.3">
      <c r="A468" s="12">
        <f t="shared" si="48"/>
        <v>45767.208333332215</v>
      </c>
      <c r="B468" s="12">
        <f t="shared" si="44"/>
        <v>45767.24999999888</v>
      </c>
      <c r="C468" s="13">
        <f t="shared" si="45"/>
        <v>4.1760000000000002</v>
      </c>
      <c r="D468" s="14">
        <f t="shared" si="43"/>
        <v>4176</v>
      </c>
      <c r="G468" s="12">
        <f t="shared" si="46"/>
        <v>45767.208333332215</v>
      </c>
      <c r="H468" s="12">
        <f t="shared" si="47"/>
        <v>45767.24999999888</v>
      </c>
      <c r="I468" s="132"/>
      <c r="J468" s="169">
        <v>4176</v>
      </c>
      <c r="K468" s="175"/>
    </row>
    <row r="469" spans="1:11" ht="14.4" x14ac:dyDescent="0.3">
      <c r="A469" s="12">
        <f t="shared" si="48"/>
        <v>45767.24999999888</v>
      </c>
      <c r="B469" s="12">
        <f t="shared" si="44"/>
        <v>45767.291666665544</v>
      </c>
      <c r="C469" s="13">
        <f t="shared" si="45"/>
        <v>4.1420000000000003</v>
      </c>
      <c r="D469" s="14">
        <f t="shared" si="43"/>
        <v>4142</v>
      </c>
      <c r="G469" s="12">
        <f t="shared" si="46"/>
        <v>45767.24999999888</v>
      </c>
      <c r="H469" s="12">
        <f t="shared" si="47"/>
        <v>45767.291666665544</v>
      </c>
      <c r="I469" s="132"/>
      <c r="J469" s="169">
        <v>4142</v>
      </c>
      <c r="K469" s="175"/>
    </row>
    <row r="470" spans="1:11" ht="14.4" x14ac:dyDescent="0.3">
      <c r="A470" s="12">
        <f t="shared" si="48"/>
        <v>45767.291666665544</v>
      </c>
      <c r="B470" s="12">
        <f t="shared" si="44"/>
        <v>45767.333333332208</v>
      </c>
      <c r="C470" s="13">
        <f t="shared" si="45"/>
        <v>3.8759999999999999</v>
      </c>
      <c r="D470" s="14">
        <f t="shared" si="43"/>
        <v>3876</v>
      </c>
      <c r="G470" s="12">
        <f t="shared" si="46"/>
        <v>45767.291666665544</v>
      </c>
      <c r="H470" s="12">
        <f t="shared" si="47"/>
        <v>45767.333333332208</v>
      </c>
      <c r="I470" s="132"/>
      <c r="J470" s="169">
        <v>3876</v>
      </c>
      <c r="K470" s="175"/>
    </row>
    <row r="471" spans="1:11" ht="14.4" x14ac:dyDescent="0.3">
      <c r="A471" s="12">
        <f t="shared" si="48"/>
        <v>45767.333333332208</v>
      </c>
      <c r="B471" s="12">
        <f t="shared" si="44"/>
        <v>45767.374999998872</v>
      </c>
      <c r="C471" s="13">
        <f t="shared" si="45"/>
        <v>3.6739999999999999</v>
      </c>
      <c r="D471" s="14">
        <f t="shared" si="43"/>
        <v>3674</v>
      </c>
      <c r="G471" s="12">
        <f t="shared" si="46"/>
        <v>45767.333333332208</v>
      </c>
      <c r="H471" s="12">
        <f t="shared" si="47"/>
        <v>45767.374999998872</v>
      </c>
      <c r="I471" s="132"/>
      <c r="J471" s="169">
        <v>3674</v>
      </c>
      <c r="K471" s="175"/>
    </row>
    <row r="472" spans="1:11" ht="14.4" x14ac:dyDescent="0.3">
      <c r="A472" s="12">
        <f t="shared" si="48"/>
        <v>45767.374999998872</v>
      </c>
      <c r="B472" s="12">
        <f t="shared" si="44"/>
        <v>45767.416666665536</v>
      </c>
      <c r="C472" s="13">
        <f t="shared" si="45"/>
        <v>3.2959999999999998</v>
      </c>
      <c r="D472" s="14">
        <f t="shared" si="43"/>
        <v>3296</v>
      </c>
      <c r="G472" s="12">
        <f t="shared" si="46"/>
        <v>45767.374999998872</v>
      </c>
      <c r="H472" s="12">
        <f t="shared" si="47"/>
        <v>45767.416666665536</v>
      </c>
      <c r="I472" s="132"/>
      <c r="J472" s="169">
        <v>3296</v>
      </c>
      <c r="K472" s="175"/>
    </row>
    <row r="473" spans="1:11" ht="14.4" x14ac:dyDescent="0.3">
      <c r="A473" s="12">
        <f t="shared" si="48"/>
        <v>45767.416666665536</v>
      </c>
      <c r="B473" s="12">
        <f t="shared" si="44"/>
        <v>45767.458333332201</v>
      </c>
      <c r="C473" s="13">
        <f t="shared" si="45"/>
        <v>3.1059999999999999</v>
      </c>
      <c r="D473" s="14">
        <f t="shared" si="43"/>
        <v>3106</v>
      </c>
      <c r="G473" s="12">
        <f t="shared" si="46"/>
        <v>45767.416666665536</v>
      </c>
      <c r="H473" s="12">
        <f t="shared" si="47"/>
        <v>45767.458333332201</v>
      </c>
      <c r="I473" s="132"/>
      <c r="J473" s="169">
        <v>3106</v>
      </c>
      <c r="K473" s="175"/>
    </row>
    <row r="474" spans="1:11" ht="14.4" x14ac:dyDescent="0.3">
      <c r="A474" s="12">
        <f t="shared" si="48"/>
        <v>45767.458333332201</v>
      </c>
      <c r="B474" s="12">
        <f t="shared" si="44"/>
        <v>45767.499999998865</v>
      </c>
      <c r="C474" s="13">
        <f t="shared" si="45"/>
        <v>2.9209999999999998</v>
      </c>
      <c r="D474" s="14">
        <f t="shared" si="43"/>
        <v>2921</v>
      </c>
      <c r="G474" s="12">
        <f t="shared" si="46"/>
        <v>45767.458333332201</v>
      </c>
      <c r="H474" s="12">
        <f t="shared" si="47"/>
        <v>45767.499999998865</v>
      </c>
      <c r="I474" s="132"/>
      <c r="J474" s="169">
        <v>2921</v>
      </c>
      <c r="K474" s="175"/>
    </row>
    <row r="475" spans="1:11" ht="14.4" x14ac:dyDescent="0.3">
      <c r="A475" s="12">
        <f t="shared" si="48"/>
        <v>45767.499999998865</v>
      </c>
      <c r="B475" s="12">
        <f t="shared" si="44"/>
        <v>45767.541666665529</v>
      </c>
      <c r="C475" s="13">
        <f t="shared" si="45"/>
        <v>2.8220000000000001</v>
      </c>
      <c r="D475" s="14">
        <f t="shared" si="43"/>
        <v>2822</v>
      </c>
      <c r="G475" s="12">
        <f t="shared" si="46"/>
        <v>45767.499999998865</v>
      </c>
      <c r="H475" s="12">
        <f t="shared" si="47"/>
        <v>45767.541666665529</v>
      </c>
      <c r="I475" s="132"/>
      <c r="J475" s="169">
        <v>2822</v>
      </c>
      <c r="K475" s="175"/>
    </row>
    <row r="476" spans="1:11" ht="14.4" x14ac:dyDescent="0.3">
      <c r="A476" s="12">
        <f t="shared" si="48"/>
        <v>45767.541666665529</v>
      </c>
      <c r="B476" s="12">
        <f t="shared" si="44"/>
        <v>45767.583333332193</v>
      </c>
      <c r="C476" s="13">
        <f t="shared" si="45"/>
        <v>2.7679999999999998</v>
      </c>
      <c r="D476" s="14">
        <f t="shared" si="43"/>
        <v>2768</v>
      </c>
      <c r="G476" s="12">
        <f t="shared" si="46"/>
        <v>45767.541666665529</v>
      </c>
      <c r="H476" s="12">
        <f t="shared" si="47"/>
        <v>45767.583333332193</v>
      </c>
      <c r="I476" s="132"/>
      <c r="J476" s="169">
        <v>2768</v>
      </c>
      <c r="K476" s="175"/>
    </row>
    <row r="477" spans="1:11" ht="14.4" x14ac:dyDescent="0.3">
      <c r="A477" s="12">
        <f t="shared" si="48"/>
        <v>45767.583333332193</v>
      </c>
      <c r="B477" s="12">
        <f t="shared" si="44"/>
        <v>45767.624999998858</v>
      </c>
      <c r="C477" s="13">
        <f t="shared" si="45"/>
        <v>2.7909999999999999</v>
      </c>
      <c r="D477" s="14">
        <f t="shared" si="43"/>
        <v>2791</v>
      </c>
      <c r="G477" s="12">
        <f t="shared" si="46"/>
        <v>45767.583333332193</v>
      </c>
      <c r="H477" s="12">
        <f t="shared" si="47"/>
        <v>45767.624999998858</v>
      </c>
      <c r="I477" s="132"/>
      <c r="J477" s="169">
        <v>2791</v>
      </c>
      <c r="K477" s="175"/>
    </row>
    <row r="478" spans="1:11" ht="14.4" x14ac:dyDescent="0.3">
      <c r="A478" s="12">
        <f t="shared" si="48"/>
        <v>45767.624999998858</v>
      </c>
      <c r="B478" s="12">
        <f t="shared" si="44"/>
        <v>45767.666666665522</v>
      </c>
      <c r="C478" s="13">
        <f t="shared" si="45"/>
        <v>2.8330000000000002</v>
      </c>
      <c r="D478" s="14">
        <f t="shared" si="43"/>
        <v>2833</v>
      </c>
      <c r="G478" s="12">
        <f t="shared" si="46"/>
        <v>45767.624999998858</v>
      </c>
      <c r="H478" s="12">
        <f t="shared" si="47"/>
        <v>45767.666666665522</v>
      </c>
      <c r="I478" s="132"/>
      <c r="J478" s="169">
        <v>2833</v>
      </c>
      <c r="K478" s="175"/>
    </row>
    <row r="479" spans="1:11" ht="14.4" x14ac:dyDescent="0.3">
      <c r="A479" s="12">
        <f t="shared" si="48"/>
        <v>45767.666666665522</v>
      </c>
      <c r="B479" s="12">
        <f t="shared" si="44"/>
        <v>45767.708333332186</v>
      </c>
      <c r="C479" s="13">
        <f t="shared" si="45"/>
        <v>3.113</v>
      </c>
      <c r="D479" s="14">
        <f t="shared" si="43"/>
        <v>3113</v>
      </c>
      <c r="G479" s="12">
        <f t="shared" si="46"/>
        <v>45767.666666665522</v>
      </c>
      <c r="H479" s="12">
        <f t="shared" si="47"/>
        <v>45767.708333332186</v>
      </c>
      <c r="I479" s="132"/>
      <c r="J479" s="169">
        <v>3113</v>
      </c>
      <c r="K479" s="175"/>
    </row>
    <row r="480" spans="1:11" ht="14.4" x14ac:dyDescent="0.3">
      <c r="A480" s="12">
        <f t="shared" si="48"/>
        <v>45767.708333332186</v>
      </c>
      <c r="B480" s="12">
        <f t="shared" si="44"/>
        <v>45767.74999999885</v>
      </c>
      <c r="C480" s="13">
        <f t="shared" si="45"/>
        <v>3.431</v>
      </c>
      <c r="D480" s="14">
        <f t="shared" si="43"/>
        <v>3431</v>
      </c>
      <c r="G480" s="12">
        <f t="shared" si="46"/>
        <v>45767.708333332186</v>
      </c>
      <c r="H480" s="12">
        <f t="shared" si="47"/>
        <v>45767.74999999885</v>
      </c>
      <c r="I480" s="132"/>
      <c r="J480" s="169">
        <v>3431</v>
      </c>
      <c r="K480" s="175"/>
    </row>
    <row r="481" spans="1:11" ht="14.4" x14ac:dyDescent="0.3">
      <c r="A481" s="12">
        <f t="shared" si="48"/>
        <v>45767.74999999885</v>
      </c>
      <c r="B481" s="12">
        <f t="shared" si="44"/>
        <v>45767.791666665515</v>
      </c>
      <c r="C481" s="13">
        <f t="shared" si="45"/>
        <v>3.7610000000000001</v>
      </c>
      <c r="D481" s="14">
        <f t="shared" si="43"/>
        <v>3761</v>
      </c>
      <c r="G481" s="12">
        <f t="shared" si="46"/>
        <v>45767.74999999885</v>
      </c>
      <c r="H481" s="12">
        <f t="shared" si="47"/>
        <v>45767.791666665515</v>
      </c>
      <c r="I481" s="132"/>
      <c r="J481" s="169">
        <v>3761</v>
      </c>
      <c r="K481" s="175"/>
    </row>
    <row r="482" spans="1:11" ht="14.4" x14ac:dyDescent="0.3">
      <c r="A482" s="12">
        <f t="shared" si="48"/>
        <v>45767.791666665515</v>
      </c>
      <c r="B482" s="12">
        <f t="shared" si="44"/>
        <v>45767.833333332179</v>
      </c>
      <c r="C482" s="13">
        <f t="shared" si="45"/>
        <v>4.0919999999999996</v>
      </c>
      <c r="D482" s="14">
        <f t="shared" si="43"/>
        <v>4092</v>
      </c>
      <c r="G482" s="12">
        <f t="shared" si="46"/>
        <v>45767.791666665515</v>
      </c>
      <c r="H482" s="12">
        <f t="shared" si="47"/>
        <v>45767.833333332179</v>
      </c>
      <c r="I482" s="132"/>
      <c r="J482" s="169">
        <v>4092</v>
      </c>
      <c r="K482" s="175"/>
    </row>
    <row r="483" spans="1:11" ht="14.4" x14ac:dyDescent="0.3">
      <c r="A483" s="12">
        <f t="shared" si="48"/>
        <v>45767.833333332179</v>
      </c>
      <c r="B483" s="12">
        <f t="shared" si="44"/>
        <v>45767.874999998843</v>
      </c>
      <c r="C483" s="13">
        <f t="shared" si="45"/>
        <v>3.9580000000000002</v>
      </c>
      <c r="D483" s="14">
        <f t="shared" si="43"/>
        <v>3958</v>
      </c>
      <c r="G483" s="12">
        <f t="shared" si="46"/>
        <v>45767.833333332179</v>
      </c>
      <c r="H483" s="12">
        <f t="shared" si="47"/>
        <v>45767.874999998843</v>
      </c>
      <c r="I483" s="132"/>
      <c r="J483" s="169">
        <v>3958</v>
      </c>
      <c r="K483" s="175"/>
    </row>
    <row r="484" spans="1:11" ht="14.4" x14ac:dyDescent="0.3">
      <c r="A484" s="12">
        <f t="shared" si="48"/>
        <v>45767.874999998843</v>
      </c>
      <c r="B484" s="12">
        <f t="shared" si="44"/>
        <v>45767.916666665507</v>
      </c>
      <c r="C484" s="13">
        <f t="shared" si="45"/>
        <v>3.7290000000000001</v>
      </c>
      <c r="D484" s="14">
        <f t="shared" si="43"/>
        <v>3729</v>
      </c>
      <c r="G484" s="12">
        <f t="shared" si="46"/>
        <v>45767.874999998843</v>
      </c>
      <c r="H484" s="12">
        <f t="shared" si="47"/>
        <v>45767.916666665507</v>
      </c>
      <c r="I484" s="132"/>
      <c r="J484" s="169">
        <v>3729</v>
      </c>
      <c r="K484" s="175"/>
    </row>
    <row r="485" spans="1:11" ht="14.4" x14ac:dyDescent="0.3">
      <c r="A485" s="12">
        <f t="shared" si="48"/>
        <v>45767.916666665507</v>
      </c>
      <c r="B485" s="12">
        <f t="shared" si="44"/>
        <v>45767.958333332172</v>
      </c>
      <c r="C485" s="13">
        <f t="shared" si="45"/>
        <v>3.552</v>
      </c>
      <c r="D485" s="14">
        <f t="shared" si="43"/>
        <v>3552</v>
      </c>
      <c r="G485" s="12">
        <f t="shared" si="46"/>
        <v>45767.916666665507</v>
      </c>
      <c r="H485" s="12">
        <f t="shared" si="47"/>
        <v>45767.958333332172</v>
      </c>
      <c r="I485" s="132"/>
      <c r="J485" s="169">
        <v>3552</v>
      </c>
      <c r="K485" s="175"/>
    </row>
    <row r="486" spans="1:11" ht="14.4" x14ac:dyDescent="0.3">
      <c r="A486" s="12">
        <f t="shared" si="48"/>
        <v>45767.958333332172</v>
      </c>
      <c r="B486" s="12">
        <f t="shared" si="44"/>
        <v>45767.999999998836</v>
      </c>
      <c r="C486" s="13">
        <f t="shared" si="45"/>
        <v>3.4169999999999998</v>
      </c>
      <c r="D486" s="14">
        <f t="shared" si="43"/>
        <v>3417</v>
      </c>
      <c r="G486" s="12">
        <f t="shared" si="46"/>
        <v>45767.958333332172</v>
      </c>
      <c r="H486" s="12">
        <f t="shared" si="47"/>
        <v>45767.999999998836</v>
      </c>
      <c r="I486" s="132"/>
      <c r="J486" s="169">
        <v>3417</v>
      </c>
      <c r="K486" s="175"/>
    </row>
    <row r="487" spans="1:11" ht="14.4" x14ac:dyDescent="0.3">
      <c r="A487" s="12">
        <f t="shared" si="48"/>
        <v>45767.999999998836</v>
      </c>
      <c r="B487" s="12">
        <f t="shared" si="44"/>
        <v>45768.0416666655</v>
      </c>
      <c r="C487" s="13">
        <f t="shared" si="45"/>
        <v>3.3450000000000002</v>
      </c>
      <c r="D487" s="14">
        <f t="shared" si="43"/>
        <v>3345</v>
      </c>
      <c r="G487" s="12">
        <f t="shared" si="46"/>
        <v>45767.999999998836</v>
      </c>
      <c r="H487" s="12">
        <f t="shared" si="47"/>
        <v>45768.0416666655</v>
      </c>
      <c r="I487" s="132"/>
      <c r="J487" s="169">
        <v>3345</v>
      </c>
      <c r="K487" s="175"/>
    </row>
    <row r="488" spans="1:11" ht="14.4" x14ac:dyDescent="0.3">
      <c r="A488" s="12">
        <f t="shared" si="48"/>
        <v>45768.0416666655</v>
      </c>
      <c r="B488" s="12">
        <f t="shared" si="44"/>
        <v>45768.083333332164</v>
      </c>
      <c r="C488" s="13">
        <f t="shared" si="45"/>
        <v>3.3340000000000001</v>
      </c>
      <c r="D488" s="14">
        <f t="shared" si="43"/>
        <v>3334</v>
      </c>
      <c r="G488" s="12">
        <f t="shared" si="46"/>
        <v>45768.0416666655</v>
      </c>
      <c r="H488" s="12">
        <f t="shared" si="47"/>
        <v>45768.083333332164</v>
      </c>
      <c r="I488" s="132"/>
      <c r="J488" s="169">
        <v>3334</v>
      </c>
      <c r="K488" s="175"/>
    </row>
    <row r="489" spans="1:11" ht="14.4" x14ac:dyDescent="0.3">
      <c r="A489" s="12">
        <f t="shared" si="48"/>
        <v>45768.083333332164</v>
      </c>
      <c r="B489" s="12">
        <f t="shared" si="44"/>
        <v>45768.124999998829</v>
      </c>
      <c r="C489" s="13">
        <f t="shared" si="45"/>
        <v>3.4460000000000002</v>
      </c>
      <c r="D489" s="14">
        <f t="shared" si="43"/>
        <v>3446</v>
      </c>
      <c r="G489" s="12">
        <f t="shared" si="46"/>
        <v>45768.083333332164</v>
      </c>
      <c r="H489" s="12">
        <f t="shared" si="47"/>
        <v>45768.124999998829</v>
      </c>
      <c r="I489" s="132"/>
      <c r="J489" s="169">
        <v>3446</v>
      </c>
      <c r="K489" s="175"/>
    </row>
    <row r="490" spans="1:11" ht="14.4" x14ac:dyDescent="0.3">
      <c r="A490" s="12">
        <f t="shared" si="48"/>
        <v>45768.124999998829</v>
      </c>
      <c r="B490" s="12">
        <f t="shared" si="44"/>
        <v>45768.166666665493</v>
      </c>
      <c r="C490" s="13">
        <f t="shared" si="45"/>
        <v>3.6240000000000001</v>
      </c>
      <c r="D490" s="14">
        <f t="shared" si="43"/>
        <v>3624</v>
      </c>
      <c r="G490" s="12">
        <f t="shared" si="46"/>
        <v>45768.124999998829</v>
      </c>
      <c r="H490" s="12">
        <f t="shared" si="47"/>
        <v>45768.166666665493</v>
      </c>
      <c r="I490" s="132"/>
      <c r="J490" s="169">
        <v>3624</v>
      </c>
      <c r="K490" s="175"/>
    </row>
    <row r="491" spans="1:11" ht="14.4" x14ac:dyDescent="0.3">
      <c r="A491" s="12">
        <f t="shared" si="48"/>
        <v>45768.166666665493</v>
      </c>
      <c r="B491" s="12">
        <f t="shared" si="44"/>
        <v>45768.208333332157</v>
      </c>
      <c r="C491" s="13">
        <f t="shared" si="45"/>
        <v>3.895</v>
      </c>
      <c r="D491" s="14">
        <f t="shared" si="43"/>
        <v>3895</v>
      </c>
      <c r="G491" s="12">
        <f t="shared" si="46"/>
        <v>45768.166666665493</v>
      </c>
      <c r="H491" s="12">
        <f t="shared" si="47"/>
        <v>45768.208333332157</v>
      </c>
      <c r="I491" s="132"/>
      <c r="J491" s="169">
        <v>3895</v>
      </c>
      <c r="K491" s="175"/>
    </row>
    <row r="492" spans="1:11" ht="14.4" x14ac:dyDescent="0.3">
      <c r="A492" s="12">
        <f t="shared" si="48"/>
        <v>45768.208333332157</v>
      </c>
      <c r="B492" s="12">
        <f t="shared" si="44"/>
        <v>45768.249999998821</v>
      </c>
      <c r="C492" s="13">
        <f t="shared" si="45"/>
        <v>4.492</v>
      </c>
      <c r="D492" s="14">
        <f t="shared" si="43"/>
        <v>4492</v>
      </c>
      <c r="G492" s="12">
        <f t="shared" si="46"/>
        <v>45768.208333332157</v>
      </c>
      <c r="H492" s="12">
        <f t="shared" si="47"/>
        <v>45768.249999998821</v>
      </c>
      <c r="I492" s="132"/>
      <c r="J492" s="169">
        <v>4492</v>
      </c>
      <c r="K492" s="175"/>
    </row>
    <row r="493" spans="1:11" ht="14.4" x14ac:dyDescent="0.3">
      <c r="A493" s="12">
        <f t="shared" si="48"/>
        <v>45768.249999998821</v>
      </c>
      <c r="B493" s="12">
        <f t="shared" si="44"/>
        <v>45768.291666665486</v>
      </c>
      <c r="C493" s="13">
        <f t="shared" si="45"/>
        <v>4.5869999999999997</v>
      </c>
      <c r="D493" s="14">
        <f t="shared" si="43"/>
        <v>4587</v>
      </c>
      <c r="G493" s="12">
        <f t="shared" si="46"/>
        <v>45768.249999998821</v>
      </c>
      <c r="H493" s="12">
        <f t="shared" si="47"/>
        <v>45768.291666665486</v>
      </c>
      <c r="I493" s="132"/>
      <c r="J493" s="169">
        <v>4587</v>
      </c>
      <c r="K493" s="175"/>
    </row>
    <row r="494" spans="1:11" ht="14.4" x14ac:dyDescent="0.3">
      <c r="A494" s="12">
        <f t="shared" si="48"/>
        <v>45768.291666665486</v>
      </c>
      <c r="B494" s="12">
        <f t="shared" si="44"/>
        <v>45768.33333333215</v>
      </c>
      <c r="C494" s="13">
        <f t="shared" si="45"/>
        <v>4.4710000000000001</v>
      </c>
      <c r="D494" s="14">
        <f t="shared" si="43"/>
        <v>4471</v>
      </c>
      <c r="G494" s="12">
        <f t="shared" si="46"/>
        <v>45768.291666665486</v>
      </c>
      <c r="H494" s="12">
        <f t="shared" si="47"/>
        <v>45768.33333333215</v>
      </c>
      <c r="I494" s="132"/>
      <c r="J494" s="169">
        <v>4471</v>
      </c>
      <c r="K494" s="175"/>
    </row>
    <row r="495" spans="1:11" ht="14.4" x14ac:dyDescent="0.3">
      <c r="A495" s="12">
        <f t="shared" si="48"/>
        <v>45768.33333333215</v>
      </c>
      <c r="B495" s="12">
        <f t="shared" si="44"/>
        <v>45768.374999998814</v>
      </c>
      <c r="C495" s="13">
        <f t="shared" si="45"/>
        <v>4.1879999999999997</v>
      </c>
      <c r="D495" s="14">
        <f t="shared" si="43"/>
        <v>4188</v>
      </c>
      <c r="G495" s="12">
        <f t="shared" si="46"/>
        <v>45768.33333333215</v>
      </c>
      <c r="H495" s="12">
        <f t="shared" si="47"/>
        <v>45768.374999998814</v>
      </c>
      <c r="I495" s="132"/>
      <c r="J495" s="169">
        <v>4188</v>
      </c>
      <c r="K495" s="175"/>
    </row>
    <row r="496" spans="1:11" ht="14.4" x14ac:dyDescent="0.3">
      <c r="A496" s="12">
        <f t="shared" si="48"/>
        <v>45768.374999998814</v>
      </c>
      <c r="B496" s="12">
        <f t="shared" si="44"/>
        <v>45768.416666665478</v>
      </c>
      <c r="C496" s="13">
        <f t="shared" si="45"/>
        <v>4.077</v>
      </c>
      <c r="D496" s="14">
        <f t="shared" si="43"/>
        <v>4077</v>
      </c>
      <c r="G496" s="12">
        <f t="shared" si="46"/>
        <v>45768.374999998814</v>
      </c>
      <c r="H496" s="12">
        <f t="shared" si="47"/>
        <v>45768.416666665478</v>
      </c>
      <c r="I496" s="132"/>
      <c r="J496" s="169">
        <v>4077</v>
      </c>
      <c r="K496" s="175"/>
    </row>
    <row r="497" spans="1:11" ht="14.4" x14ac:dyDescent="0.3">
      <c r="A497" s="12">
        <f t="shared" si="48"/>
        <v>45768.416666665478</v>
      </c>
      <c r="B497" s="12">
        <f t="shared" si="44"/>
        <v>45768.458333332143</v>
      </c>
      <c r="C497" s="13">
        <f t="shared" si="45"/>
        <v>3.9279999999999999</v>
      </c>
      <c r="D497" s="14">
        <f t="shared" si="43"/>
        <v>3928</v>
      </c>
      <c r="G497" s="12">
        <f t="shared" si="46"/>
        <v>45768.416666665478</v>
      </c>
      <c r="H497" s="12">
        <f t="shared" si="47"/>
        <v>45768.458333332143</v>
      </c>
      <c r="I497" s="132"/>
      <c r="J497" s="169">
        <v>3928</v>
      </c>
      <c r="K497" s="175"/>
    </row>
    <row r="498" spans="1:11" ht="14.4" x14ac:dyDescent="0.3">
      <c r="A498" s="12">
        <f t="shared" si="48"/>
        <v>45768.458333332143</v>
      </c>
      <c r="B498" s="12">
        <f t="shared" si="44"/>
        <v>45768.499999998807</v>
      </c>
      <c r="C498" s="13">
        <f t="shared" si="45"/>
        <v>3.8370000000000002</v>
      </c>
      <c r="D498" s="14">
        <f t="shared" si="43"/>
        <v>3837</v>
      </c>
      <c r="G498" s="12">
        <f t="shared" si="46"/>
        <v>45768.458333332143</v>
      </c>
      <c r="H498" s="12">
        <f t="shared" si="47"/>
        <v>45768.499999998807</v>
      </c>
      <c r="I498" s="132"/>
      <c r="J498" s="169">
        <v>3837</v>
      </c>
      <c r="K498" s="175"/>
    </row>
    <row r="499" spans="1:11" ht="14.4" x14ac:dyDescent="0.3">
      <c r="A499" s="12">
        <f t="shared" si="48"/>
        <v>45768.499999998807</v>
      </c>
      <c r="B499" s="12">
        <f t="shared" si="44"/>
        <v>45768.541666665471</v>
      </c>
      <c r="C499" s="13">
        <f t="shared" si="45"/>
        <v>3.9249999999999998</v>
      </c>
      <c r="D499" s="14">
        <f t="shared" si="43"/>
        <v>3925</v>
      </c>
      <c r="G499" s="12">
        <f t="shared" si="46"/>
        <v>45768.499999998807</v>
      </c>
      <c r="H499" s="12">
        <f t="shared" si="47"/>
        <v>45768.541666665471</v>
      </c>
      <c r="I499" s="132"/>
      <c r="J499" s="169">
        <v>3925</v>
      </c>
      <c r="K499" s="175"/>
    </row>
    <row r="500" spans="1:11" ht="14.4" x14ac:dyDescent="0.3">
      <c r="A500" s="12">
        <f t="shared" si="48"/>
        <v>45768.541666665471</v>
      </c>
      <c r="B500" s="12">
        <f t="shared" si="44"/>
        <v>45768.583333332135</v>
      </c>
      <c r="C500" s="13">
        <f t="shared" si="45"/>
        <v>3.855</v>
      </c>
      <c r="D500" s="14">
        <f t="shared" si="43"/>
        <v>3855</v>
      </c>
      <c r="G500" s="12">
        <f t="shared" si="46"/>
        <v>45768.541666665471</v>
      </c>
      <c r="H500" s="12">
        <f t="shared" si="47"/>
        <v>45768.583333332135</v>
      </c>
      <c r="I500" s="132"/>
      <c r="J500" s="169">
        <v>3855</v>
      </c>
      <c r="K500" s="175"/>
    </row>
    <row r="501" spans="1:11" ht="14.4" x14ac:dyDescent="0.3">
      <c r="A501" s="12">
        <f t="shared" si="48"/>
        <v>45768.583333332135</v>
      </c>
      <c r="B501" s="12">
        <f t="shared" si="44"/>
        <v>45768.624999998799</v>
      </c>
      <c r="C501" s="13">
        <f t="shared" si="45"/>
        <v>3.968</v>
      </c>
      <c r="D501" s="14">
        <f t="shared" si="43"/>
        <v>3968</v>
      </c>
      <c r="G501" s="12">
        <f t="shared" si="46"/>
        <v>45768.583333332135</v>
      </c>
      <c r="H501" s="12">
        <f t="shared" si="47"/>
        <v>45768.624999998799</v>
      </c>
      <c r="I501" s="132"/>
      <c r="J501" s="169">
        <v>3968</v>
      </c>
      <c r="K501" s="175"/>
    </row>
    <row r="502" spans="1:11" ht="14.4" x14ac:dyDescent="0.3">
      <c r="A502" s="12">
        <f t="shared" si="48"/>
        <v>45768.624999998799</v>
      </c>
      <c r="B502" s="12">
        <f t="shared" si="44"/>
        <v>45768.666666665464</v>
      </c>
      <c r="C502" s="13">
        <f t="shared" si="45"/>
        <v>4.0069999999999997</v>
      </c>
      <c r="D502" s="14">
        <f t="shared" si="43"/>
        <v>4007</v>
      </c>
      <c r="G502" s="12">
        <f t="shared" si="46"/>
        <v>45768.624999998799</v>
      </c>
      <c r="H502" s="12">
        <f t="shared" si="47"/>
        <v>45768.666666665464</v>
      </c>
      <c r="I502" s="132"/>
      <c r="J502" s="169">
        <v>4007</v>
      </c>
      <c r="K502" s="175"/>
    </row>
    <row r="503" spans="1:11" ht="14.4" x14ac:dyDescent="0.3">
      <c r="A503" s="12">
        <f t="shared" si="48"/>
        <v>45768.666666665464</v>
      </c>
      <c r="B503" s="12">
        <f t="shared" si="44"/>
        <v>45768.708333332128</v>
      </c>
      <c r="C503" s="13">
        <f t="shared" si="45"/>
        <v>3.9750000000000001</v>
      </c>
      <c r="D503" s="14">
        <f t="shared" si="43"/>
        <v>3975</v>
      </c>
      <c r="G503" s="12">
        <f t="shared" si="46"/>
        <v>45768.666666665464</v>
      </c>
      <c r="H503" s="12">
        <f t="shared" si="47"/>
        <v>45768.708333332128</v>
      </c>
      <c r="I503" s="132"/>
      <c r="J503" s="169">
        <v>3975</v>
      </c>
      <c r="K503" s="175"/>
    </row>
    <row r="504" spans="1:11" ht="14.4" x14ac:dyDescent="0.3">
      <c r="A504" s="12">
        <f t="shared" si="48"/>
        <v>45768.708333332128</v>
      </c>
      <c r="B504" s="12">
        <f t="shared" si="44"/>
        <v>45768.749999998792</v>
      </c>
      <c r="C504" s="13">
        <f t="shared" si="45"/>
        <v>4.0650000000000004</v>
      </c>
      <c r="D504" s="14">
        <f t="shared" si="43"/>
        <v>4065</v>
      </c>
      <c r="G504" s="12">
        <f t="shared" si="46"/>
        <v>45768.708333332128</v>
      </c>
      <c r="H504" s="12">
        <f t="shared" si="47"/>
        <v>45768.749999998792</v>
      </c>
      <c r="I504" s="132"/>
      <c r="J504" s="169">
        <v>4065</v>
      </c>
      <c r="K504" s="175"/>
    </row>
    <row r="505" spans="1:11" ht="14.4" x14ac:dyDescent="0.3">
      <c r="A505" s="12">
        <f t="shared" si="48"/>
        <v>45768.749999998792</v>
      </c>
      <c r="B505" s="12">
        <f t="shared" si="44"/>
        <v>45768.791666665456</v>
      </c>
      <c r="C505" s="13">
        <f t="shared" si="45"/>
        <v>4.0720000000000001</v>
      </c>
      <c r="D505" s="14">
        <f t="shared" si="43"/>
        <v>4072</v>
      </c>
      <c r="G505" s="12">
        <f t="shared" si="46"/>
        <v>45768.749999998792</v>
      </c>
      <c r="H505" s="12">
        <f t="shared" si="47"/>
        <v>45768.791666665456</v>
      </c>
      <c r="I505" s="132"/>
      <c r="J505" s="169">
        <v>4072</v>
      </c>
      <c r="K505" s="175"/>
    </row>
    <row r="506" spans="1:11" ht="14.4" x14ac:dyDescent="0.3">
      <c r="A506" s="12">
        <f t="shared" si="48"/>
        <v>45768.791666665456</v>
      </c>
      <c r="B506" s="12">
        <f t="shared" si="44"/>
        <v>45768.833333332121</v>
      </c>
      <c r="C506" s="13">
        <f t="shared" si="45"/>
        <v>4.2750000000000004</v>
      </c>
      <c r="D506" s="14">
        <f t="shared" si="43"/>
        <v>4275</v>
      </c>
      <c r="G506" s="12">
        <f t="shared" si="46"/>
        <v>45768.791666665456</v>
      </c>
      <c r="H506" s="12">
        <f t="shared" si="47"/>
        <v>45768.833333332121</v>
      </c>
      <c r="I506" s="132"/>
      <c r="J506" s="169">
        <v>4275</v>
      </c>
      <c r="K506" s="175"/>
    </row>
    <row r="507" spans="1:11" ht="14.4" x14ac:dyDescent="0.3">
      <c r="A507" s="12">
        <f t="shared" si="48"/>
        <v>45768.833333332121</v>
      </c>
      <c r="B507" s="12">
        <f t="shared" si="44"/>
        <v>45768.874999998785</v>
      </c>
      <c r="C507" s="13">
        <f t="shared" si="45"/>
        <v>4.0119999999999996</v>
      </c>
      <c r="D507" s="14">
        <f t="shared" si="43"/>
        <v>4012</v>
      </c>
      <c r="G507" s="12">
        <f t="shared" si="46"/>
        <v>45768.833333332121</v>
      </c>
      <c r="H507" s="12">
        <f t="shared" si="47"/>
        <v>45768.874999998785</v>
      </c>
      <c r="I507" s="132"/>
      <c r="J507" s="169">
        <v>4012</v>
      </c>
      <c r="K507" s="175"/>
    </row>
    <row r="508" spans="1:11" ht="14.4" x14ac:dyDescent="0.3">
      <c r="A508" s="12">
        <f t="shared" si="48"/>
        <v>45768.874999998785</v>
      </c>
      <c r="B508" s="12">
        <f t="shared" si="44"/>
        <v>45768.916666665449</v>
      </c>
      <c r="C508" s="13">
        <f t="shared" si="45"/>
        <v>3.633</v>
      </c>
      <c r="D508" s="14">
        <f t="shared" si="43"/>
        <v>3633</v>
      </c>
      <c r="G508" s="12">
        <f t="shared" si="46"/>
        <v>45768.874999998785</v>
      </c>
      <c r="H508" s="12">
        <f t="shared" si="47"/>
        <v>45768.916666665449</v>
      </c>
      <c r="I508" s="132"/>
      <c r="J508" s="169">
        <v>3633</v>
      </c>
      <c r="K508" s="175"/>
    </row>
    <row r="509" spans="1:11" ht="14.4" x14ac:dyDescent="0.3">
      <c r="A509" s="12">
        <f t="shared" si="48"/>
        <v>45768.916666665449</v>
      </c>
      <c r="B509" s="12">
        <f t="shared" si="44"/>
        <v>45768.958333332113</v>
      </c>
      <c r="C509" s="13">
        <f t="shared" si="45"/>
        <v>3.3620000000000001</v>
      </c>
      <c r="D509" s="14">
        <f t="shared" si="43"/>
        <v>3362</v>
      </c>
      <c r="G509" s="12">
        <f t="shared" si="46"/>
        <v>45768.916666665449</v>
      </c>
      <c r="H509" s="12">
        <f t="shared" si="47"/>
        <v>45768.958333332113</v>
      </c>
      <c r="I509" s="132"/>
      <c r="J509" s="169">
        <v>3362</v>
      </c>
      <c r="K509" s="175"/>
    </row>
    <row r="510" spans="1:11" ht="14.4" x14ac:dyDescent="0.3">
      <c r="A510" s="12">
        <f t="shared" si="48"/>
        <v>45768.958333332113</v>
      </c>
      <c r="B510" s="12">
        <f t="shared" si="44"/>
        <v>45768.999999998778</v>
      </c>
      <c r="C510" s="13">
        <f t="shared" si="45"/>
        <v>3.2250000000000001</v>
      </c>
      <c r="D510" s="14">
        <f t="shared" si="43"/>
        <v>3225</v>
      </c>
      <c r="G510" s="12">
        <f t="shared" si="46"/>
        <v>45768.958333332113</v>
      </c>
      <c r="H510" s="12">
        <f t="shared" si="47"/>
        <v>45768.999999998778</v>
      </c>
      <c r="I510" s="132"/>
      <c r="J510" s="169">
        <v>3225</v>
      </c>
      <c r="K510" s="175"/>
    </row>
    <row r="511" spans="1:11" ht="14.4" x14ac:dyDescent="0.3">
      <c r="A511" s="12">
        <f t="shared" si="48"/>
        <v>45768.999999998778</v>
      </c>
      <c r="B511" s="12">
        <f t="shared" si="44"/>
        <v>45769.041666665442</v>
      </c>
      <c r="C511" s="13">
        <f t="shared" si="45"/>
        <v>3.157</v>
      </c>
      <c r="D511" s="14">
        <f t="shared" si="43"/>
        <v>3157</v>
      </c>
      <c r="G511" s="12">
        <f t="shared" si="46"/>
        <v>45768.999999998778</v>
      </c>
      <c r="H511" s="12">
        <f t="shared" si="47"/>
        <v>45769.041666665442</v>
      </c>
      <c r="I511" s="132"/>
      <c r="J511" s="169">
        <v>3157</v>
      </c>
      <c r="K511" s="175"/>
    </row>
    <row r="512" spans="1:11" ht="14.4" x14ac:dyDescent="0.3">
      <c r="A512" s="12">
        <f t="shared" si="48"/>
        <v>45769.041666665442</v>
      </c>
      <c r="B512" s="12">
        <f t="shared" si="44"/>
        <v>45769.083333332106</v>
      </c>
      <c r="C512" s="13">
        <f t="shared" si="45"/>
        <v>3.157</v>
      </c>
      <c r="D512" s="14">
        <f t="shared" si="43"/>
        <v>3157</v>
      </c>
      <c r="G512" s="12">
        <f t="shared" si="46"/>
        <v>45769.041666665442</v>
      </c>
      <c r="H512" s="12">
        <f t="shared" si="47"/>
        <v>45769.083333332106</v>
      </c>
      <c r="I512" s="132"/>
      <c r="J512" s="169">
        <v>3157</v>
      </c>
      <c r="K512" s="175"/>
    </row>
    <row r="513" spans="1:11" ht="14.4" x14ac:dyDescent="0.3">
      <c r="A513" s="12">
        <f t="shared" si="48"/>
        <v>45769.083333332106</v>
      </c>
      <c r="B513" s="12">
        <f t="shared" si="44"/>
        <v>45769.12499999877</v>
      </c>
      <c r="C513" s="13">
        <f t="shared" si="45"/>
        <v>3.262</v>
      </c>
      <c r="D513" s="14">
        <f t="shared" si="43"/>
        <v>3262</v>
      </c>
      <c r="G513" s="12">
        <f t="shared" si="46"/>
        <v>45769.083333332106</v>
      </c>
      <c r="H513" s="12">
        <f t="shared" si="47"/>
        <v>45769.12499999877</v>
      </c>
      <c r="I513" s="132"/>
      <c r="J513" s="169">
        <v>3262</v>
      </c>
      <c r="K513" s="175"/>
    </row>
    <row r="514" spans="1:11" ht="14.4" x14ac:dyDescent="0.3">
      <c r="A514" s="12">
        <f t="shared" si="48"/>
        <v>45769.12499999877</v>
      </c>
      <c r="B514" s="12">
        <f t="shared" si="44"/>
        <v>45769.166666665435</v>
      </c>
      <c r="C514" s="13">
        <f t="shared" si="45"/>
        <v>3.4470000000000001</v>
      </c>
      <c r="D514" s="14">
        <f t="shared" si="43"/>
        <v>3447</v>
      </c>
      <c r="G514" s="12">
        <f t="shared" si="46"/>
        <v>45769.12499999877</v>
      </c>
      <c r="H514" s="12">
        <f t="shared" si="47"/>
        <v>45769.166666665435</v>
      </c>
      <c r="I514" s="132"/>
      <c r="J514" s="169">
        <v>3447</v>
      </c>
      <c r="K514" s="175"/>
    </row>
    <row r="515" spans="1:11" ht="14.4" x14ac:dyDescent="0.3">
      <c r="A515" s="12">
        <f t="shared" si="48"/>
        <v>45769.166666665435</v>
      </c>
      <c r="B515" s="12">
        <f t="shared" si="44"/>
        <v>45769.208333332099</v>
      </c>
      <c r="C515" s="13">
        <f t="shared" si="45"/>
        <v>3.702</v>
      </c>
      <c r="D515" s="14">
        <f t="shared" si="43"/>
        <v>3702</v>
      </c>
      <c r="G515" s="12">
        <f t="shared" si="46"/>
        <v>45769.166666665435</v>
      </c>
      <c r="H515" s="12">
        <f t="shared" si="47"/>
        <v>45769.208333332099</v>
      </c>
      <c r="I515" s="132"/>
      <c r="J515" s="169">
        <v>3702</v>
      </c>
      <c r="K515" s="175"/>
    </row>
    <row r="516" spans="1:11" ht="14.4" x14ac:dyDescent="0.3">
      <c r="A516" s="12">
        <f t="shared" si="48"/>
        <v>45769.208333332099</v>
      </c>
      <c r="B516" s="12">
        <f t="shared" si="44"/>
        <v>45769.249999998763</v>
      </c>
      <c r="C516" s="13">
        <f t="shared" si="45"/>
        <v>4.2039999999999997</v>
      </c>
      <c r="D516" s="14">
        <f t="shared" si="43"/>
        <v>4204</v>
      </c>
      <c r="G516" s="12">
        <f t="shared" si="46"/>
        <v>45769.208333332099</v>
      </c>
      <c r="H516" s="12">
        <f t="shared" si="47"/>
        <v>45769.249999998763</v>
      </c>
      <c r="I516" s="132"/>
      <c r="J516" s="169">
        <v>4204</v>
      </c>
      <c r="K516" s="175"/>
    </row>
    <row r="517" spans="1:11" ht="14.4" x14ac:dyDescent="0.3">
      <c r="A517" s="12">
        <f t="shared" si="48"/>
        <v>45769.249999998763</v>
      </c>
      <c r="B517" s="12">
        <f t="shared" si="44"/>
        <v>45769.291666665427</v>
      </c>
      <c r="C517" s="13">
        <f t="shared" si="45"/>
        <v>4.4560000000000004</v>
      </c>
      <c r="D517" s="14">
        <f t="shared" si="43"/>
        <v>4456</v>
      </c>
      <c r="G517" s="12">
        <f t="shared" si="46"/>
        <v>45769.249999998763</v>
      </c>
      <c r="H517" s="12">
        <f t="shared" si="47"/>
        <v>45769.291666665427</v>
      </c>
      <c r="I517" s="132"/>
      <c r="J517" s="169">
        <v>4456</v>
      </c>
      <c r="K517" s="175"/>
    </row>
    <row r="518" spans="1:11" ht="14.4" x14ac:dyDescent="0.3">
      <c r="A518" s="12">
        <f t="shared" si="48"/>
        <v>45769.291666665427</v>
      </c>
      <c r="B518" s="12">
        <f t="shared" si="44"/>
        <v>45769.333333332092</v>
      </c>
      <c r="C518" s="13">
        <f t="shared" si="45"/>
        <v>4.28</v>
      </c>
      <c r="D518" s="14">
        <f t="shared" si="43"/>
        <v>4280</v>
      </c>
      <c r="G518" s="12">
        <f t="shared" si="46"/>
        <v>45769.291666665427</v>
      </c>
      <c r="H518" s="12">
        <f t="shared" si="47"/>
        <v>45769.333333332092</v>
      </c>
      <c r="I518" s="132"/>
      <c r="J518" s="169">
        <v>4280</v>
      </c>
      <c r="K518" s="175"/>
    </row>
    <row r="519" spans="1:11" ht="14.4" x14ac:dyDescent="0.3">
      <c r="A519" s="12">
        <f t="shared" si="48"/>
        <v>45769.333333332092</v>
      </c>
      <c r="B519" s="12">
        <f t="shared" si="44"/>
        <v>45769.374999998756</v>
      </c>
      <c r="C519" s="13">
        <f t="shared" si="45"/>
        <v>4.1319999999999997</v>
      </c>
      <c r="D519" s="14">
        <f t="shared" ref="D519:D582" si="49">J519*(1+$D$3)*(1+$D$4)</f>
        <v>4132</v>
      </c>
      <c r="G519" s="12">
        <f t="shared" si="46"/>
        <v>45769.333333332092</v>
      </c>
      <c r="H519" s="12">
        <f t="shared" si="47"/>
        <v>45769.374999998756</v>
      </c>
      <c r="I519" s="132"/>
      <c r="J519" s="169">
        <v>4132</v>
      </c>
      <c r="K519" s="175"/>
    </row>
    <row r="520" spans="1:11" ht="14.4" x14ac:dyDescent="0.3">
      <c r="A520" s="12">
        <f t="shared" si="48"/>
        <v>45769.374999998756</v>
      </c>
      <c r="B520" s="12">
        <f t="shared" ref="B520:B583" si="50">$A520+1/24</f>
        <v>45769.41666666542</v>
      </c>
      <c r="C520" s="13">
        <f t="shared" ref="C520:C583" si="51">SUM(D520)/1000</f>
        <v>3.9729999999999999</v>
      </c>
      <c r="D520" s="14">
        <f t="shared" si="49"/>
        <v>3973</v>
      </c>
      <c r="G520" s="12">
        <f t="shared" ref="G520:G583" si="52">A520</f>
        <v>45769.374999998756</v>
      </c>
      <c r="H520" s="12">
        <f t="shared" ref="H520:H583" si="53">B520</f>
        <v>45769.41666666542</v>
      </c>
      <c r="I520" s="132"/>
      <c r="J520" s="169">
        <v>3973</v>
      </c>
      <c r="K520" s="175"/>
    </row>
    <row r="521" spans="1:11" ht="14.4" x14ac:dyDescent="0.3">
      <c r="A521" s="12">
        <f t="shared" ref="A521:A584" si="54">$A520+1/24</f>
        <v>45769.41666666542</v>
      </c>
      <c r="B521" s="12">
        <f t="shared" si="50"/>
        <v>45769.458333332084</v>
      </c>
      <c r="C521" s="13">
        <f t="shared" si="51"/>
        <v>3.9</v>
      </c>
      <c r="D521" s="14">
        <f t="shared" si="49"/>
        <v>3900</v>
      </c>
      <c r="G521" s="12">
        <f t="shared" si="52"/>
        <v>45769.41666666542</v>
      </c>
      <c r="H521" s="12">
        <f t="shared" si="53"/>
        <v>45769.458333332084</v>
      </c>
      <c r="I521" s="132"/>
      <c r="J521" s="169">
        <v>3900</v>
      </c>
      <c r="K521" s="175"/>
    </row>
    <row r="522" spans="1:11" ht="14.4" x14ac:dyDescent="0.3">
      <c r="A522" s="12">
        <f t="shared" si="54"/>
        <v>45769.458333332084</v>
      </c>
      <c r="B522" s="12">
        <f t="shared" si="50"/>
        <v>45769.499999998749</v>
      </c>
      <c r="C522" s="13">
        <f t="shared" si="51"/>
        <v>3.8140000000000001</v>
      </c>
      <c r="D522" s="14">
        <f t="shared" si="49"/>
        <v>3814</v>
      </c>
      <c r="G522" s="12">
        <f t="shared" si="52"/>
        <v>45769.458333332084</v>
      </c>
      <c r="H522" s="12">
        <f t="shared" si="53"/>
        <v>45769.499999998749</v>
      </c>
      <c r="I522" s="132"/>
      <c r="J522" s="169">
        <v>3814</v>
      </c>
      <c r="K522" s="175"/>
    </row>
    <row r="523" spans="1:11" ht="14.4" x14ac:dyDescent="0.3">
      <c r="A523" s="12">
        <f t="shared" si="54"/>
        <v>45769.499999998749</v>
      </c>
      <c r="B523" s="12">
        <f t="shared" si="50"/>
        <v>45769.541666665413</v>
      </c>
      <c r="C523" s="13">
        <f t="shared" si="51"/>
        <v>3.8610000000000002</v>
      </c>
      <c r="D523" s="14">
        <f t="shared" si="49"/>
        <v>3861</v>
      </c>
      <c r="G523" s="12">
        <f t="shared" si="52"/>
        <v>45769.499999998749</v>
      </c>
      <c r="H523" s="12">
        <f t="shared" si="53"/>
        <v>45769.541666665413</v>
      </c>
      <c r="I523" s="132"/>
      <c r="J523" s="169">
        <v>3861</v>
      </c>
      <c r="K523" s="175"/>
    </row>
    <row r="524" spans="1:11" ht="14.4" x14ac:dyDescent="0.3">
      <c r="A524" s="12">
        <f t="shared" si="54"/>
        <v>45769.541666665413</v>
      </c>
      <c r="B524" s="12">
        <f t="shared" si="50"/>
        <v>45769.583333332077</v>
      </c>
      <c r="C524" s="13">
        <f t="shared" si="51"/>
        <v>4.0110000000000001</v>
      </c>
      <c r="D524" s="14">
        <f t="shared" si="49"/>
        <v>4011</v>
      </c>
      <c r="G524" s="12">
        <f t="shared" si="52"/>
        <v>45769.541666665413</v>
      </c>
      <c r="H524" s="12">
        <f t="shared" si="53"/>
        <v>45769.583333332077</v>
      </c>
      <c r="I524" s="132"/>
      <c r="J524" s="169">
        <v>4011</v>
      </c>
      <c r="K524" s="175"/>
    </row>
    <row r="525" spans="1:11" ht="14.4" x14ac:dyDescent="0.3">
      <c r="A525" s="12">
        <f t="shared" si="54"/>
        <v>45769.583333332077</v>
      </c>
      <c r="B525" s="12">
        <f t="shared" si="50"/>
        <v>45769.624999998741</v>
      </c>
      <c r="C525" s="13">
        <f t="shared" si="51"/>
        <v>4.0819999999999999</v>
      </c>
      <c r="D525" s="14">
        <f t="shared" si="49"/>
        <v>4082</v>
      </c>
      <c r="G525" s="12">
        <f t="shared" si="52"/>
        <v>45769.583333332077</v>
      </c>
      <c r="H525" s="12">
        <f t="shared" si="53"/>
        <v>45769.624999998741</v>
      </c>
      <c r="I525" s="132"/>
      <c r="J525" s="169">
        <v>4082</v>
      </c>
      <c r="K525" s="175"/>
    </row>
    <row r="526" spans="1:11" ht="14.4" x14ac:dyDescent="0.3">
      <c r="A526" s="12">
        <f t="shared" si="54"/>
        <v>45769.624999998741</v>
      </c>
      <c r="B526" s="12">
        <f t="shared" si="50"/>
        <v>45769.666666665406</v>
      </c>
      <c r="C526" s="13">
        <f t="shared" si="51"/>
        <v>4.2149999999999999</v>
      </c>
      <c r="D526" s="14">
        <f t="shared" si="49"/>
        <v>4215</v>
      </c>
      <c r="G526" s="12">
        <f t="shared" si="52"/>
        <v>45769.624999998741</v>
      </c>
      <c r="H526" s="12">
        <f t="shared" si="53"/>
        <v>45769.666666665406</v>
      </c>
      <c r="I526" s="132"/>
      <c r="J526" s="169">
        <v>4215</v>
      </c>
      <c r="K526" s="175"/>
    </row>
    <row r="527" spans="1:11" ht="14.4" x14ac:dyDescent="0.3">
      <c r="A527" s="12">
        <f t="shared" si="54"/>
        <v>45769.666666665406</v>
      </c>
      <c r="B527" s="12">
        <f t="shared" si="50"/>
        <v>45769.70833333207</v>
      </c>
      <c r="C527" s="13">
        <f t="shared" si="51"/>
        <v>4.2830000000000004</v>
      </c>
      <c r="D527" s="14">
        <f t="shared" si="49"/>
        <v>4283</v>
      </c>
      <c r="G527" s="12">
        <f t="shared" si="52"/>
        <v>45769.666666665406</v>
      </c>
      <c r="H527" s="12">
        <f t="shared" si="53"/>
        <v>45769.70833333207</v>
      </c>
      <c r="I527" s="132"/>
      <c r="J527" s="169">
        <v>4283</v>
      </c>
      <c r="K527" s="175"/>
    </row>
    <row r="528" spans="1:11" ht="14.4" x14ac:dyDescent="0.3">
      <c r="A528" s="12">
        <f t="shared" si="54"/>
        <v>45769.70833333207</v>
      </c>
      <c r="B528" s="12">
        <f t="shared" si="50"/>
        <v>45769.749999998734</v>
      </c>
      <c r="C528" s="13">
        <f t="shared" si="51"/>
        <v>4.351</v>
      </c>
      <c r="D528" s="14">
        <f t="shared" si="49"/>
        <v>4351</v>
      </c>
      <c r="G528" s="12">
        <f t="shared" si="52"/>
        <v>45769.70833333207</v>
      </c>
      <c r="H528" s="12">
        <f t="shared" si="53"/>
        <v>45769.749999998734</v>
      </c>
      <c r="I528" s="132"/>
      <c r="J528" s="169">
        <v>4351</v>
      </c>
      <c r="K528" s="175"/>
    </row>
    <row r="529" spans="1:11" ht="14.4" x14ac:dyDescent="0.3">
      <c r="A529" s="12">
        <f t="shared" si="54"/>
        <v>45769.749999998734</v>
      </c>
      <c r="B529" s="12">
        <f t="shared" si="50"/>
        <v>45769.791666665398</v>
      </c>
      <c r="C529" s="13">
        <f t="shared" si="51"/>
        <v>4.3979999999999997</v>
      </c>
      <c r="D529" s="14">
        <f t="shared" si="49"/>
        <v>4398</v>
      </c>
      <c r="G529" s="12">
        <f t="shared" si="52"/>
        <v>45769.749999998734</v>
      </c>
      <c r="H529" s="12">
        <f t="shared" si="53"/>
        <v>45769.791666665398</v>
      </c>
      <c r="I529" s="132"/>
      <c r="J529" s="169">
        <v>4398</v>
      </c>
      <c r="K529" s="175"/>
    </row>
    <row r="530" spans="1:11" ht="14.4" x14ac:dyDescent="0.3">
      <c r="A530" s="12">
        <f t="shared" si="54"/>
        <v>45769.791666665398</v>
      </c>
      <c r="B530" s="12">
        <f t="shared" si="50"/>
        <v>45769.833333332062</v>
      </c>
      <c r="C530" s="13">
        <f t="shared" si="51"/>
        <v>4.4210000000000003</v>
      </c>
      <c r="D530" s="14">
        <f t="shared" si="49"/>
        <v>4421</v>
      </c>
      <c r="G530" s="12">
        <f t="shared" si="52"/>
        <v>45769.791666665398</v>
      </c>
      <c r="H530" s="12">
        <f t="shared" si="53"/>
        <v>45769.833333332062</v>
      </c>
      <c r="I530" s="132"/>
      <c r="J530" s="169">
        <v>4421</v>
      </c>
      <c r="K530" s="175"/>
    </row>
    <row r="531" spans="1:11" ht="14.4" x14ac:dyDescent="0.3">
      <c r="A531" s="12">
        <f t="shared" si="54"/>
        <v>45769.833333332062</v>
      </c>
      <c r="B531" s="12">
        <f t="shared" si="50"/>
        <v>45769.874999998727</v>
      </c>
      <c r="C531" s="13">
        <f t="shared" si="51"/>
        <v>4.1689999999999996</v>
      </c>
      <c r="D531" s="14">
        <f t="shared" si="49"/>
        <v>4169</v>
      </c>
      <c r="G531" s="12">
        <f t="shared" si="52"/>
        <v>45769.833333332062</v>
      </c>
      <c r="H531" s="12">
        <f t="shared" si="53"/>
        <v>45769.874999998727</v>
      </c>
      <c r="I531" s="132"/>
      <c r="J531" s="169">
        <v>4169</v>
      </c>
      <c r="K531" s="175"/>
    </row>
    <row r="532" spans="1:11" ht="14.4" x14ac:dyDescent="0.3">
      <c r="A532" s="12">
        <f t="shared" si="54"/>
        <v>45769.874999998727</v>
      </c>
      <c r="B532" s="12">
        <f t="shared" si="50"/>
        <v>45769.916666665391</v>
      </c>
      <c r="C532" s="13">
        <f t="shared" si="51"/>
        <v>3.698</v>
      </c>
      <c r="D532" s="14">
        <f t="shared" si="49"/>
        <v>3698</v>
      </c>
      <c r="G532" s="12">
        <f t="shared" si="52"/>
        <v>45769.874999998727</v>
      </c>
      <c r="H532" s="12">
        <f t="shared" si="53"/>
        <v>45769.916666665391</v>
      </c>
      <c r="I532" s="132"/>
      <c r="J532" s="169">
        <v>3698</v>
      </c>
      <c r="K532" s="175"/>
    </row>
    <row r="533" spans="1:11" ht="14.4" x14ac:dyDescent="0.3">
      <c r="A533" s="12">
        <f t="shared" si="54"/>
        <v>45769.916666665391</v>
      </c>
      <c r="B533" s="12">
        <f t="shared" si="50"/>
        <v>45769.958333332055</v>
      </c>
      <c r="C533" s="13">
        <f t="shared" si="51"/>
        <v>3.3570000000000002</v>
      </c>
      <c r="D533" s="14">
        <f t="shared" si="49"/>
        <v>3357</v>
      </c>
      <c r="G533" s="12">
        <f t="shared" si="52"/>
        <v>45769.916666665391</v>
      </c>
      <c r="H533" s="12">
        <f t="shared" si="53"/>
        <v>45769.958333332055</v>
      </c>
      <c r="I533" s="132"/>
      <c r="J533" s="169">
        <v>3357</v>
      </c>
      <c r="K533" s="175"/>
    </row>
    <row r="534" spans="1:11" ht="14.4" x14ac:dyDescent="0.3">
      <c r="A534" s="12">
        <f t="shared" si="54"/>
        <v>45769.958333332055</v>
      </c>
      <c r="B534" s="12">
        <f t="shared" si="50"/>
        <v>45769.999999998719</v>
      </c>
      <c r="C534" s="13">
        <f t="shared" si="51"/>
        <v>3.1709999999999998</v>
      </c>
      <c r="D534" s="14">
        <f t="shared" si="49"/>
        <v>3171</v>
      </c>
      <c r="G534" s="12">
        <f t="shared" si="52"/>
        <v>45769.958333332055</v>
      </c>
      <c r="H534" s="12">
        <f t="shared" si="53"/>
        <v>45769.999999998719</v>
      </c>
      <c r="I534" s="132"/>
      <c r="J534" s="169">
        <v>3171</v>
      </c>
      <c r="K534" s="175"/>
    </row>
    <row r="535" spans="1:11" ht="14.4" x14ac:dyDescent="0.3">
      <c r="A535" s="12">
        <f t="shared" si="54"/>
        <v>45769.999999998719</v>
      </c>
      <c r="B535" s="12">
        <f t="shared" si="50"/>
        <v>45770.041666665384</v>
      </c>
      <c r="C535" s="13">
        <f t="shared" si="51"/>
        <v>3.0819999999999999</v>
      </c>
      <c r="D535" s="14">
        <f t="shared" si="49"/>
        <v>3082</v>
      </c>
      <c r="G535" s="12">
        <f t="shared" si="52"/>
        <v>45769.999999998719</v>
      </c>
      <c r="H535" s="12">
        <f t="shared" si="53"/>
        <v>45770.041666665384</v>
      </c>
      <c r="I535" s="132"/>
      <c r="J535" s="169">
        <v>3082</v>
      </c>
      <c r="K535" s="175"/>
    </row>
    <row r="536" spans="1:11" ht="14.4" x14ac:dyDescent="0.3">
      <c r="A536" s="12">
        <f t="shared" si="54"/>
        <v>45770.041666665384</v>
      </c>
      <c r="B536" s="12">
        <f t="shared" si="50"/>
        <v>45770.083333332048</v>
      </c>
      <c r="C536" s="13">
        <f t="shared" si="51"/>
        <v>3.089</v>
      </c>
      <c r="D536" s="14">
        <f t="shared" si="49"/>
        <v>3089</v>
      </c>
      <c r="G536" s="12">
        <f t="shared" si="52"/>
        <v>45770.041666665384</v>
      </c>
      <c r="H536" s="12">
        <f t="shared" si="53"/>
        <v>45770.083333332048</v>
      </c>
      <c r="I536" s="132"/>
      <c r="J536" s="169">
        <v>3089</v>
      </c>
      <c r="K536" s="175"/>
    </row>
    <row r="537" spans="1:11" ht="14.4" x14ac:dyDescent="0.3">
      <c r="A537" s="12">
        <f t="shared" si="54"/>
        <v>45770.083333332048</v>
      </c>
      <c r="B537" s="12">
        <f t="shared" si="50"/>
        <v>45770.124999998712</v>
      </c>
      <c r="C537" s="13">
        <f t="shared" si="51"/>
        <v>3.1970000000000001</v>
      </c>
      <c r="D537" s="14">
        <f t="shared" si="49"/>
        <v>3197</v>
      </c>
      <c r="G537" s="12">
        <f t="shared" si="52"/>
        <v>45770.083333332048</v>
      </c>
      <c r="H537" s="12">
        <f t="shared" si="53"/>
        <v>45770.124999998712</v>
      </c>
      <c r="I537" s="132"/>
      <c r="J537" s="169">
        <v>3197</v>
      </c>
      <c r="K537" s="175"/>
    </row>
    <row r="538" spans="1:11" ht="14.4" x14ac:dyDescent="0.3">
      <c r="A538" s="12">
        <f t="shared" si="54"/>
        <v>45770.124999998712</v>
      </c>
      <c r="B538" s="12">
        <f t="shared" si="50"/>
        <v>45770.166666665376</v>
      </c>
      <c r="C538" s="13">
        <f t="shared" si="51"/>
        <v>3.4009999999999998</v>
      </c>
      <c r="D538" s="14">
        <f t="shared" si="49"/>
        <v>3401</v>
      </c>
      <c r="G538" s="12">
        <f t="shared" si="52"/>
        <v>45770.124999998712</v>
      </c>
      <c r="H538" s="12">
        <f t="shared" si="53"/>
        <v>45770.166666665376</v>
      </c>
      <c r="I538" s="132"/>
      <c r="J538" s="169">
        <v>3401</v>
      </c>
      <c r="K538" s="175"/>
    </row>
    <row r="539" spans="1:11" ht="14.4" x14ac:dyDescent="0.3">
      <c r="A539" s="12">
        <f t="shared" si="54"/>
        <v>45770.166666665376</v>
      </c>
      <c r="B539" s="12">
        <f t="shared" si="50"/>
        <v>45770.208333332041</v>
      </c>
      <c r="C539" s="13">
        <f t="shared" si="51"/>
        <v>3.6440000000000001</v>
      </c>
      <c r="D539" s="14">
        <f t="shared" si="49"/>
        <v>3644</v>
      </c>
      <c r="G539" s="12">
        <f t="shared" si="52"/>
        <v>45770.166666665376</v>
      </c>
      <c r="H539" s="12">
        <f t="shared" si="53"/>
        <v>45770.208333332041</v>
      </c>
      <c r="I539" s="132"/>
      <c r="J539" s="169">
        <v>3644</v>
      </c>
      <c r="K539" s="175"/>
    </row>
    <row r="540" spans="1:11" ht="14.4" x14ac:dyDescent="0.3">
      <c r="A540" s="12">
        <f t="shared" si="54"/>
        <v>45770.208333332041</v>
      </c>
      <c r="B540" s="12">
        <f t="shared" si="50"/>
        <v>45770.249999998705</v>
      </c>
      <c r="C540" s="13">
        <f t="shared" si="51"/>
        <v>4.1740000000000004</v>
      </c>
      <c r="D540" s="14">
        <f t="shared" si="49"/>
        <v>4174</v>
      </c>
      <c r="G540" s="12">
        <f t="shared" si="52"/>
        <v>45770.208333332041</v>
      </c>
      <c r="H540" s="12">
        <f t="shared" si="53"/>
        <v>45770.249999998705</v>
      </c>
      <c r="I540" s="132"/>
      <c r="J540" s="169">
        <v>4174</v>
      </c>
      <c r="K540" s="175"/>
    </row>
    <row r="541" spans="1:11" ht="14.4" x14ac:dyDescent="0.3">
      <c r="A541" s="12">
        <f t="shared" si="54"/>
        <v>45770.249999998705</v>
      </c>
      <c r="B541" s="12">
        <f t="shared" si="50"/>
        <v>45770.291666665369</v>
      </c>
      <c r="C541" s="13">
        <f t="shared" si="51"/>
        <v>4.4429999999999996</v>
      </c>
      <c r="D541" s="14">
        <f t="shared" si="49"/>
        <v>4443</v>
      </c>
      <c r="G541" s="12">
        <f t="shared" si="52"/>
        <v>45770.249999998705</v>
      </c>
      <c r="H541" s="12">
        <f t="shared" si="53"/>
        <v>45770.291666665369</v>
      </c>
      <c r="I541" s="132"/>
      <c r="J541" s="169">
        <v>4443</v>
      </c>
      <c r="K541" s="175"/>
    </row>
    <row r="542" spans="1:11" ht="14.4" x14ac:dyDescent="0.3">
      <c r="A542" s="12">
        <f t="shared" si="54"/>
        <v>45770.291666665369</v>
      </c>
      <c r="B542" s="12">
        <f t="shared" si="50"/>
        <v>45770.333333332033</v>
      </c>
      <c r="C542" s="13">
        <f t="shared" si="51"/>
        <v>4.3280000000000003</v>
      </c>
      <c r="D542" s="14">
        <f t="shared" si="49"/>
        <v>4328</v>
      </c>
      <c r="G542" s="12">
        <f t="shared" si="52"/>
        <v>45770.291666665369</v>
      </c>
      <c r="H542" s="12">
        <f t="shared" si="53"/>
        <v>45770.333333332033</v>
      </c>
      <c r="I542" s="132"/>
      <c r="J542" s="169">
        <v>4328</v>
      </c>
      <c r="K542" s="175"/>
    </row>
    <row r="543" spans="1:11" ht="14.4" x14ac:dyDescent="0.3">
      <c r="A543" s="12">
        <f t="shared" si="54"/>
        <v>45770.333333332033</v>
      </c>
      <c r="B543" s="12">
        <f t="shared" si="50"/>
        <v>45770.374999998698</v>
      </c>
      <c r="C543" s="13">
        <f t="shared" si="51"/>
        <v>4</v>
      </c>
      <c r="D543" s="14">
        <f t="shared" si="49"/>
        <v>4000</v>
      </c>
      <c r="G543" s="12">
        <f t="shared" si="52"/>
        <v>45770.333333332033</v>
      </c>
      <c r="H543" s="12">
        <f t="shared" si="53"/>
        <v>45770.374999998698</v>
      </c>
      <c r="I543" s="132"/>
      <c r="J543" s="169">
        <v>4000</v>
      </c>
      <c r="K543" s="175"/>
    </row>
    <row r="544" spans="1:11" ht="14.4" x14ac:dyDescent="0.3">
      <c r="A544" s="12">
        <f t="shared" si="54"/>
        <v>45770.374999998698</v>
      </c>
      <c r="B544" s="12">
        <f t="shared" si="50"/>
        <v>45770.416666665362</v>
      </c>
      <c r="C544" s="13">
        <f t="shared" si="51"/>
        <v>3.7839999999999998</v>
      </c>
      <c r="D544" s="14">
        <f t="shared" si="49"/>
        <v>3784</v>
      </c>
      <c r="G544" s="12">
        <f t="shared" si="52"/>
        <v>45770.374999998698</v>
      </c>
      <c r="H544" s="12">
        <f t="shared" si="53"/>
        <v>45770.416666665362</v>
      </c>
      <c r="I544" s="132"/>
      <c r="J544" s="169">
        <v>3784</v>
      </c>
      <c r="K544" s="175"/>
    </row>
    <row r="545" spans="1:11" ht="14.4" x14ac:dyDescent="0.3">
      <c r="A545" s="12">
        <f t="shared" si="54"/>
        <v>45770.416666665362</v>
      </c>
      <c r="B545" s="12">
        <f t="shared" si="50"/>
        <v>45770.458333332026</v>
      </c>
      <c r="C545" s="13">
        <f t="shared" si="51"/>
        <v>3.738</v>
      </c>
      <c r="D545" s="14">
        <f t="shared" si="49"/>
        <v>3738</v>
      </c>
      <c r="G545" s="12">
        <f t="shared" si="52"/>
        <v>45770.416666665362</v>
      </c>
      <c r="H545" s="12">
        <f t="shared" si="53"/>
        <v>45770.458333332026</v>
      </c>
      <c r="I545" s="132"/>
      <c r="J545" s="169">
        <v>3738</v>
      </c>
      <c r="K545" s="175"/>
    </row>
    <row r="546" spans="1:11" ht="14.4" x14ac:dyDescent="0.3">
      <c r="A546" s="12">
        <f t="shared" si="54"/>
        <v>45770.458333332026</v>
      </c>
      <c r="B546" s="12">
        <f t="shared" si="50"/>
        <v>45770.49999999869</v>
      </c>
      <c r="C546" s="13">
        <f t="shared" si="51"/>
        <v>3.7890000000000001</v>
      </c>
      <c r="D546" s="14">
        <f t="shared" si="49"/>
        <v>3789</v>
      </c>
      <c r="G546" s="12">
        <f t="shared" si="52"/>
        <v>45770.458333332026</v>
      </c>
      <c r="H546" s="12">
        <f t="shared" si="53"/>
        <v>45770.49999999869</v>
      </c>
      <c r="I546" s="132"/>
      <c r="J546" s="169">
        <v>3789</v>
      </c>
      <c r="K546" s="175"/>
    </row>
    <row r="547" spans="1:11" ht="14.4" x14ac:dyDescent="0.3">
      <c r="A547" s="12">
        <f t="shared" si="54"/>
        <v>45770.49999999869</v>
      </c>
      <c r="B547" s="12">
        <f t="shared" si="50"/>
        <v>45770.541666665355</v>
      </c>
      <c r="C547" s="13">
        <f t="shared" si="51"/>
        <v>3.9039999999999999</v>
      </c>
      <c r="D547" s="14">
        <f t="shared" si="49"/>
        <v>3904</v>
      </c>
      <c r="G547" s="12">
        <f t="shared" si="52"/>
        <v>45770.49999999869</v>
      </c>
      <c r="H547" s="12">
        <f t="shared" si="53"/>
        <v>45770.541666665355</v>
      </c>
      <c r="I547" s="132"/>
      <c r="J547" s="169">
        <v>3904</v>
      </c>
      <c r="K547" s="175"/>
    </row>
    <row r="548" spans="1:11" ht="14.4" x14ac:dyDescent="0.3">
      <c r="A548" s="12">
        <f t="shared" si="54"/>
        <v>45770.541666665355</v>
      </c>
      <c r="B548" s="12">
        <f t="shared" si="50"/>
        <v>45770.583333332019</v>
      </c>
      <c r="C548" s="13">
        <f t="shared" si="51"/>
        <v>3.8730000000000002</v>
      </c>
      <c r="D548" s="14">
        <f t="shared" si="49"/>
        <v>3873</v>
      </c>
      <c r="G548" s="12">
        <f t="shared" si="52"/>
        <v>45770.541666665355</v>
      </c>
      <c r="H548" s="12">
        <f t="shared" si="53"/>
        <v>45770.583333332019</v>
      </c>
      <c r="I548" s="132"/>
      <c r="J548" s="169">
        <v>3873</v>
      </c>
      <c r="K548" s="175"/>
    </row>
    <row r="549" spans="1:11" ht="14.4" x14ac:dyDescent="0.3">
      <c r="A549" s="12">
        <f t="shared" si="54"/>
        <v>45770.583333332019</v>
      </c>
      <c r="B549" s="12">
        <f t="shared" si="50"/>
        <v>45770.624999998683</v>
      </c>
      <c r="C549" s="13">
        <f t="shared" si="51"/>
        <v>4</v>
      </c>
      <c r="D549" s="14">
        <f t="shared" si="49"/>
        <v>4000</v>
      </c>
      <c r="G549" s="12">
        <f t="shared" si="52"/>
        <v>45770.583333332019</v>
      </c>
      <c r="H549" s="12">
        <f t="shared" si="53"/>
        <v>45770.624999998683</v>
      </c>
      <c r="I549" s="132"/>
      <c r="J549" s="169">
        <v>4000</v>
      </c>
      <c r="K549" s="175"/>
    </row>
    <row r="550" spans="1:11" ht="14.4" x14ac:dyDescent="0.3">
      <c r="A550" s="12">
        <f t="shared" si="54"/>
        <v>45770.624999998683</v>
      </c>
      <c r="B550" s="12">
        <f t="shared" si="50"/>
        <v>45770.666666665347</v>
      </c>
      <c r="C550" s="13">
        <f t="shared" si="51"/>
        <v>4.1310000000000002</v>
      </c>
      <c r="D550" s="14">
        <f t="shared" si="49"/>
        <v>4131</v>
      </c>
      <c r="G550" s="12">
        <f t="shared" si="52"/>
        <v>45770.624999998683</v>
      </c>
      <c r="H550" s="12">
        <f t="shared" si="53"/>
        <v>45770.666666665347</v>
      </c>
      <c r="I550" s="132"/>
      <c r="J550" s="169">
        <v>4131</v>
      </c>
      <c r="K550" s="175"/>
    </row>
    <row r="551" spans="1:11" ht="14.4" x14ac:dyDescent="0.3">
      <c r="A551" s="12">
        <f t="shared" si="54"/>
        <v>45770.666666665347</v>
      </c>
      <c r="B551" s="12">
        <f t="shared" si="50"/>
        <v>45770.708333332012</v>
      </c>
      <c r="C551" s="13">
        <f t="shared" si="51"/>
        <v>4.1890000000000001</v>
      </c>
      <c r="D551" s="14">
        <f t="shared" si="49"/>
        <v>4189</v>
      </c>
      <c r="G551" s="12">
        <f t="shared" si="52"/>
        <v>45770.666666665347</v>
      </c>
      <c r="H551" s="12">
        <f t="shared" si="53"/>
        <v>45770.708333332012</v>
      </c>
      <c r="I551" s="132"/>
      <c r="J551" s="169">
        <v>4189</v>
      </c>
      <c r="K551" s="175"/>
    </row>
    <row r="552" spans="1:11" ht="14.4" x14ac:dyDescent="0.3">
      <c r="A552" s="12">
        <f t="shared" si="54"/>
        <v>45770.708333332012</v>
      </c>
      <c r="B552" s="12">
        <f t="shared" si="50"/>
        <v>45770.749999998676</v>
      </c>
      <c r="C552" s="13">
        <f t="shared" si="51"/>
        <v>4.3490000000000002</v>
      </c>
      <c r="D552" s="14">
        <f t="shared" si="49"/>
        <v>4349</v>
      </c>
      <c r="G552" s="12">
        <f t="shared" si="52"/>
        <v>45770.708333332012</v>
      </c>
      <c r="H552" s="12">
        <f t="shared" si="53"/>
        <v>45770.749999998676</v>
      </c>
      <c r="I552" s="132"/>
      <c r="J552" s="169">
        <v>4349</v>
      </c>
      <c r="K552" s="175"/>
    </row>
    <row r="553" spans="1:11" ht="14.4" x14ac:dyDescent="0.3">
      <c r="A553" s="12">
        <f t="shared" si="54"/>
        <v>45770.749999998676</v>
      </c>
      <c r="B553" s="12">
        <f t="shared" si="50"/>
        <v>45770.79166666534</v>
      </c>
      <c r="C553" s="13">
        <f t="shared" si="51"/>
        <v>4.3280000000000003</v>
      </c>
      <c r="D553" s="14">
        <f t="shared" si="49"/>
        <v>4328</v>
      </c>
      <c r="G553" s="12">
        <f t="shared" si="52"/>
        <v>45770.749999998676</v>
      </c>
      <c r="H553" s="12">
        <f t="shared" si="53"/>
        <v>45770.79166666534</v>
      </c>
      <c r="I553" s="132"/>
      <c r="J553" s="169">
        <v>4328</v>
      </c>
      <c r="K553" s="175"/>
    </row>
    <row r="554" spans="1:11" ht="14.4" x14ac:dyDescent="0.3">
      <c r="A554" s="12">
        <f t="shared" si="54"/>
        <v>45770.79166666534</v>
      </c>
      <c r="B554" s="12">
        <f t="shared" si="50"/>
        <v>45770.833333332004</v>
      </c>
      <c r="C554" s="13">
        <f t="shared" si="51"/>
        <v>4.5250000000000004</v>
      </c>
      <c r="D554" s="14">
        <f t="shared" si="49"/>
        <v>4525</v>
      </c>
      <c r="G554" s="12">
        <f t="shared" si="52"/>
        <v>45770.79166666534</v>
      </c>
      <c r="H554" s="12">
        <f t="shared" si="53"/>
        <v>45770.833333332004</v>
      </c>
      <c r="I554" s="132"/>
      <c r="J554" s="169">
        <v>4525</v>
      </c>
      <c r="K554" s="175"/>
    </row>
    <row r="555" spans="1:11" ht="14.4" x14ac:dyDescent="0.3">
      <c r="A555" s="12">
        <f t="shared" si="54"/>
        <v>45770.833333332004</v>
      </c>
      <c r="B555" s="12">
        <f t="shared" si="50"/>
        <v>45770.874999998668</v>
      </c>
      <c r="C555" s="13">
        <f t="shared" si="51"/>
        <v>4.1840000000000002</v>
      </c>
      <c r="D555" s="14">
        <f t="shared" si="49"/>
        <v>4184</v>
      </c>
      <c r="G555" s="12">
        <f t="shared" si="52"/>
        <v>45770.833333332004</v>
      </c>
      <c r="H555" s="12">
        <f t="shared" si="53"/>
        <v>45770.874999998668</v>
      </c>
      <c r="I555" s="132"/>
      <c r="J555" s="169">
        <v>4184</v>
      </c>
      <c r="K555" s="175"/>
    </row>
    <row r="556" spans="1:11" ht="14.4" x14ac:dyDescent="0.3">
      <c r="A556" s="12">
        <f t="shared" si="54"/>
        <v>45770.874999998668</v>
      </c>
      <c r="B556" s="12">
        <f t="shared" si="50"/>
        <v>45770.916666665333</v>
      </c>
      <c r="C556" s="13">
        <f t="shared" si="51"/>
        <v>3.698</v>
      </c>
      <c r="D556" s="14">
        <f t="shared" si="49"/>
        <v>3698</v>
      </c>
      <c r="G556" s="12">
        <f t="shared" si="52"/>
        <v>45770.874999998668</v>
      </c>
      <c r="H556" s="12">
        <f t="shared" si="53"/>
        <v>45770.916666665333</v>
      </c>
      <c r="I556" s="132"/>
      <c r="J556" s="169">
        <v>3698</v>
      </c>
      <c r="K556" s="175"/>
    </row>
    <row r="557" spans="1:11" ht="14.4" x14ac:dyDescent="0.3">
      <c r="A557" s="12">
        <f t="shared" si="54"/>
        <v>45770.916666665333</v>
      </c>
      <c r="B557" s="12">
        <f t="shared" si="50"/>
        <v>45770.958333331997</v>
      </c>
      <c r="C557" s="13">
        <f t="shared" si="51"/>
        <v>3.3479999999999999</v>
      </c>
      <c r="D557" s="14">
        <f t="shared" si="49"/>
        <v>3348</v>
      </c>
      <c r="G557" s="12">
        <f t="shared" si="52"/>
        <v>45770.916666665333</v>
      </c>
      <c r="H557" s="12">
        <f t="shared" si="53"/>
        <v>45770.958333331997</v>
      </c>
      <c r="I557" s="132"/>
      <c r="J557" s="169">
        <v>3348</v>
      </c>
      <c r="K557" s="175"/>
    </row>
    <row r="558" spans="1:11" ht="14.4" x14ac:dyDescent="0.3">
      <c r="A558" s="12">
        <f t="shared" si="54"/>
        <v>45770.958333331997</v>
      </c>
      <c r="B558" s="12">
        <f t="shared" si="50"/>
        <v>45770.999999998661</v>
      </c>
      <c r="C558" s="13">
        <f t="shared" si="51"/>
        <v>3.1640000000000001</v>
      </c>
      <c r="D558" s="14">
        <f t="shared" si="49"/>
        <v>3164</v>
      </c>
      <c r="G558" s="12">
        <f t="shared" si="52"/>
        <v>45770.958333331997</v>
      </c>
      <c r="H558" s="12">
        <f t="shared" si="53"/>
        <v>45770.999999998661</v>
      </c>
      <c r="I558" s="132"/>
      <c r="J558" s="169">
        <v>3164</v>
      </c>
      <c r="K558" s="175"/>
    </row>
    <row r="559" spans="1:11" ht="14.4" x14ac:dyDescent="0.3">
      <c r="A559" s="12">
        <f t="shared" si="54"/>
        <v>45770.999999998661</v>
      </c>
      <c r="B559" s="12">
        <f t="shared" si="50"/>
        <v>45771.041666665325</v>
      </c>
      <c r="C559" s="13">
        <f t="shared" si="51"/>
        <v>3.1040000000000001</v>
      </c>
      <c r="D559" s="14">
        <f t="shared" si="49"/>
        <v>3104</v>
      </c>
      <c r="G559" s="12">
        <f t="shared" si="52"/>
        <v>45770.999999998661</v>
      </c>
      <c r="H559" s="12">
        <f t="shared" si="53"/>
        <v>45771.041666665325</v>
      </c>
      <c r="I559" s="132"/>
      <c r="J559" s="169">
        <v>3104</v>
      </c>
      <c r="K559" s="175"/>
    </row>
    <row r="560" spans="1:11" ht="14.4" x14ac:dyDescent="0.3">
      <c r="A560" s="12">
        <f t="shared" si="54"/>
        <v>45771.041666665325</v>
      </c>
      <c r="B560" s="12">
        <f t="shared" si="50"/>
        <v>45771.08333333199</v>
      </c>
      <c r="C560" s="13">
        <f t="shared" si="51"/>
        <v>3.1669999999999998</v>
      </c>
      <c r="D560" s="14">
        <f t="shared" si="49"/>
        <v>3167</v>
      </c>
      <c r="G560" s="12">
        <f t="shared" si="52"/>
        <v>45771.041666665325</v>
      </c>
      <c r="H560" s="12">
        <f t="shared" si="53"/>
        <v>45771.08333333199</v>
      </c>
      <c r="I560" s="132"/>
      <c r="J560" s="169">
        <v>3167</v>
      </c>
      <c r="K560" s="175"/>
    </row>
    <row r="561" spans="1:11" ht="14.4" x14ac:dyDescent="0.3">
      <c r="A561" s="12">
        <f t="shared" si="54"/>
        <v>45771.08333333199</v>
      </c>
      <c r="B561" s="12">
        <f t="shared" si="50"/>
        <v>45771.124999998654</v>
      </c>
      <c r="C561" s="13">
        <f t="shared" si="51"/>
        <v>3.2469999999999999</v>
      </c>
      <c r="D561" s="14">
        <f t="shared" si="49"/>
        <v>3247</v>
      </c>
      <c r="G561" s="12">
        <f t="shared" si="52"/>
        <v>45771.08333333199</v>
      </c>
      <c r="H561" s="12">
        <f t="shared" si="53"/>
        <v>45771.124999998654</v>
      </c>
      <c r="I561" s="132"/>
      <c r="J561" s="169">
        <v>3247</v>
      </c>
      <c r="K561" s="175"/>
    </row>
    <row r="562" spans="1:11" ht="14.4" x14ac:dyDescent="0.3">
      <c r="A562" s="12">
        <f t="shared" si="54"/>
        <v>45771.124999998654</v>
      </c>
      <c r="B562" s="12">
        <f t="shared" si="50"/>
        <v>45771.166666665318</v>
      </c>
      <c r="C562" s="13">
        <f t="shared" si="51"/>
        <v>3.4350000000000001</v>
      </c>
      <c r="D562" s="14">
        <f t="shared" si="49"/>
        <v>3435</v>
      </c>
      <c r="G562" s="12">
        <f t="shared" si="52"/>
        <v>45771.124999998654</v>
      </c>
      <c r="H562" s="12">
        <f t="shared" si="53"/>
        <v>45771.166666665318</v>
      </c>
      <c r="I562" s="132"/>
      <c r="J562" s="169">
        <v>3435</v>
      </c>
      <c r="K562" s="175"/>
    </row>
    <row r="563" spans="1:11" ht="14.4" x14ac:dyDescent="0.3">
      <c r="A563" s="12">
        <f t="shared" si="54"/>
        <v>45771.166666665318</v>
      </c>
      <c r="B563" s="12">
        <f t="shared" si="50"/>
        <v>45771.208333331982</v>
      </c>
      <c r="C563" s="13">
        <f t="shared" si="51"/>
        <v>3.7570000000000001</v>
      </c>
      <c r="D563" s="14">
        <f t="shared" si="49"/>
        <v>3757</v>
      </c>
      <c r="G563" s="12">
        <f t="shared" si="52"/>
        <v>45771.166666665318</v>
      </c>
      <c r="H563" s="12">
        <f t="shared" si="53"/>
        <v>45771.208333331982</v>
      </c>
      <c r="I563" s="132"/>
      <c r="J563" s="169">
        <v>3757</v>
      </c>
      <c r="K563" s="175"/>
    </row>
    <row r="564" spans="1:11" ht="14.4" x14ac:dyDescent="0.3">
      <c r="A564" s="12">
        <f t="shared" si="54"/>
        <v>45771.208333331982</v>
      </c>
      <c r="B564" s="12">
        <f t="shared" si="50"/>
        <v>45771.249999998647</v>
      </c>
      <c r="C564" s="13">
        <f t="shared" si="51"/>
        <v>4.0960000000000001</v>
      </c>
      <c r="D564" s="14">
        <f t="shared" si="49"/>
        <v>4096</v>
      </c>
      <c r="G564" s="12">
        <f t="shared" si="52"/>
        <v>45771.208333331982</v>
      </c>
      <c r="H564" s="12">
        <f t="shared" si="53"/>
        <v>45771.249999998647</v>
      </c>
      <c r="I564" s="132"/>
      <c r="J564" s="169">
        <v>4096</v>
      </c>
      <c r="K564" s="175"/>
    </row>
    <row r="565" spans="1:11" ht="14.4" x14ac:dyDescent="0.3">
      <c r="A565" s="12">
        <f t="shared" si="54"/>
        <v>45771.249999998647</v>
      </c>
      <c r="B565" s="12">
        <f t="shared" si="50"/>
        <v>45771.291666665311</v>
      </c>
      <c r="C565" s="13">
        <f t="shared" si="51"/>
        <v>4.319</v>
      </c>
      <c r="D565" s="14">
        <f t="shared" si="49"/>
        <v>4319</v>
      </c>
      <c r="G565" s="12">
        <f t="shared" si="52"/>
        <v>45771.249999998647</v>
      </c>
      <c r="H565" s="12">
        <f t="shared" si="53"/>
        <v>45771.291666665311</v>
      </c>
      <c r="I565" s="132"/>
      <c r="J565" s="169">
        <v>4319</v>
      </c>
      <c r="K565" s="175"/>
    </row>
    <row r="566" spans="1:11" ht="14.4" x14ac:dyDescent="0.3">
      <c r="A566" s="12">
        <f t="shared" si="54"/>
        <v>45771.291666665311</v>
      </c>
      <c r="B566" s="12">
        <f t="shared" si="50"/>
        <v>45771.333333331975</v>
      </c>
      <c r="C566" s="13">
        <f t="shared" si="51"/>
        <v>4.17</v>
      </c>
      <c r="D566" s="14">
        <f t="shared" si="49"/>
        <v>4170</v>
      </c>
      <c r="G566" s="12">
        <f t="shared" si="52"/>
        <v>45771.291666665311</v>
      </c>
      <c r="H566" s="12">
        <f t="shared" si="53"/>
        <v>45771.333333331975</v>
      </c>
      <c r="I566" s="132"/>
      <c r="J566" s="169">
        <v>4170</v>
      </c>
      <c r="K566" s="175"/>
    </row>
    <row r="567" spans="1:11" ht="14.4" x14ac:dyDescent="0.3">
      <c r="A567" s="12">
        <f t="shared" si="54"/>
        <v>45771.333333331975</v>
      </c>
      <c r="B567" s="12">
        <f t="shared" si="50"/>
        <v>45771.374999998639</v>
      </c>
      <c r="C567" s="13">
        <f t="shared" si="51"/>
        <v>3.952</v>
      </c>
      <c r="D567" s="14">
        <f t="shared" si="49"/>
        <v>3952</v>
      </c>
      <c r="G567" s="12">
        <f t="shared" si="52"/>
        <v>45771.333333331975</v>
      </c>
      <c r="H567" s="12">
        <f t="shared" si="53"/>
        <v>45771.374999998639</v>
      </c>
      <c r="I567" s="132"/>
      <c r="J567" s="169">
        <v>3952</v>
      </c>
      <c r="K567" s="175"/>
    </row>
    <row r="568" spans="1:11" ht="14.4" x14ac:dyDescent="0.3">
      <c r="A568" s="12">
        <f t="shared" si="54"/>
        <v>45771.374999998639</v>
      </c>
      <c r="B568" s="12">
        <f t="shared" si="50"/>
        <v>45771.416666665304</v>
      </c>
      <c r="C568" s="13">
        <f t="shared" si="51"/>
        <v>3.726</v>
      </c>
      <c r="D568" s="14">
        <f t="shared" si="49"/>
        <v>3726</v>
      </c>
      <c r="G568" s="12">
        <f t="shared" si="52"/>
        <v>45771.374999998639</v>
      </c>
      <c r="H568" s="12">
        <f t="shared" si="53"/>
        <v>45771.416666665304</v>
      </c>
      <c r="I568" s="132"/>
      <c r="J568" s="169">
        <v>3726</v>
      </c>
      <c r="K568" s="175"/>
    </row>
    <row r="569" spans="1:11" ht="14.4" x14ac:dyDescent="0.3">
      <c r="A569" s="12">
        <f t="shared" si="54"/>
        <v>45771.416666665304</v>
      </c>
      <c r="B569" s="12">
        <f t="shared" si="50"/>
        <v>45771.458333331968</v>
      </c>
      <c r="C569" s="13">
        <f t="shared" si="51"/>
        <v>3.7589999999999999</v>
      </c>
      <c r="D569" s="14">
        <f t="shared" si="49"/>
        <v>3759</v>
      </c>
      <c r="G569" s="12">
        <f t="shared" si="52"/>
        <v>45771.416666665304</v>
      </c>
      <c r="H569" s="12">
        <f t="shared" si="53"/>
        <v>45771.458333331968</v>
      </c>
      <c r="I569" s="132"/>
      <c r="J569" s="169">
        <v>3759</v>
      </c>
      <c r="K569" s="175"/>
    </row>
    <row r="570" spans="1:11" ht="14.4" x14ac:dyDescent="0.3">
      <c r="A570" s="12">
        <f t="shared" si="54"/>
        <v>45771.458333331968</v>
      </c>
      <c r="B570" s="12">
        <f t="shared" si="50"/>
        <v>45771.499999998632</v>
      </c>
      <c r="C570" s="13">
        <f t="shared" si="51"/>
        <v>3.7120000000000002</v>
      </c>
      <c r="D570" s="14">
        <f t="shared" si="49"/>
        <v>3712</v>
      </c>
      <c r="G570" s="12">
        <f t="shared" si="52"/>
        <v>45771.458333331968</v>
      </c>
      <c r="H570" s="12">
        <f t="shared" si="53"/>
        <v>45771.499999998632</v>
      </c>
      <c r="I570" s="132"/>
      <c r="J570" s="169">
        <v>3712</v>
      </c>
      <c r="K570" s="175"/>
    </row>
    <row r="571" spans="1:11" ht="14.4" x14ac:dyDescent="0.3">
      <c r="A571" s="12">
        <f t="shared" si="54"/>
        <v>45771.499999998632</v>
      </c>
      <c r="B571" s="12">
        <f t="shared" si="50"/>
        <v>45771.541666665296</v>
      </c>
      <c r="C571" s="13">
        <f t="shared" si="51"/>
        <v>3.8079999999999998</v>
      </c>
      <c r="D571" s="14">
        <f t="shared" si="49"/>
        <v>3808</v>
      </c>
      <c r="G571" s="12">
        <f t="shared" si="52"/>
        <v>45771.499999998632</v>
      </c>
      <c r="H571" s="12">
        <f t="shared" si="53"/>
        <v>45771.541666665296</v>
      </c>
      <c r="I571" s="132"/>
      <c r="J571" s="169">
        <v>3808</v>
      </c>
      <c r="K571" s="175"/>
    </row>
    <row r="572" spans="1:11" ht="14.4" x14ac:dyDescent="0.3">
      <c r="A572" s="12">
        <f t="shared" si="54"/>
        <v>45771.541666665296</v>
      </c>
      <c r="B572" s="12">
        <f t="shared" si="50"/>
        <v>45771.583333331961</v>
      </c>
      <c r="C572" s="13">
        <f t="shared" si="51"/>
        <v>3.6869999999999998</v>
      </c>
      <c r="D572" s="14">
        <f t="shared" si="49"/>
        <v>3687</v>
      </c>
      <c r="G572" s="12">
        <f t="shared" si="52"/>
        <v>45771.541666665296</v>
      </c>
      <c r="H572" s="12">
        <f t="shared" si="53"/>
        <v>45771.583333331961</v>
      </c>
      <c r="I572" s="132"/>
      <c r="J572" s="169">
        <v>3687</v>
      </c>
      <c r="K572" s="175"/>
    </row>
    <row r="573" spans="1:11" ht="14.4" x14ac:dyDescent="0.3">
      <c r="A573" s="12">
        <f t="shared" si="54"/>
        <v>45771.583333331961</v>
      </c>
      <c r="B573" s="12">
        <f t="shared" si="50"/>
        <v>45771.624999998625</v>
      </c>
      <c r="C573" s="13">
        <f t="shared" si="51"/>
        <v>3.9169999999999998</v>
      </c>
      <c r="D573" s="14">
        <f t="shared" si="49"/>
        <v>3917</v>
      </c>
      <c r="G573" s="12">
        <f t="shared" si="52"/>
        <v>45771.583333331961</v>
      </c>
      <c r="H573" s="12">
        <f t="shared" si="53"/>
        <v>45771.624999998625</v>
      </c>
      <c r="I573" s="132"/>
      <c r="J573" s="169">
        <v>3917</v>
      </c>
      <c r="K573" s="175"/>
    </row>
    <row r="574" spans="1:11" ht="14.4" x14ac:dyDescent="0.3">
      <c r="A574" s="12">
        <f t="shared" si="54"/>
        <v>45771.624999998625</v>
      </c>
      <c r="B574" s="12">
        <f t="shared" si="50"/>
        <v>45771.666666665289</v>
      </c>
      <c r="C574" s="13">
        <f t="shared" si="51"/>
        <v>4.0330000000000004</v>
      </c>
      <c r="D574" s="14">
        <f t="shared" si="49"/>
        <v>4033</v>
      </c>
      <c r="G574" s="12">
        <f t="shared" si="52"/>
        <v>45771.624999998625</v>
      </c>
      <c r="H574" s="12">
        <f t="shared" si="53"/>
        <v>45771.666666665289</v>
      </c>
      <c r="I574" s="132"/>
      <c r="J574" s="169">
        <v>4033</v>
      </c>
      <c r="K574" s="175"/>
    </row>
    <row r="575" spans="1:11" ht="14.4" x14ac:dyDescent="0.3">
      <c r="A575" s="12">
        <f t="shared" si="54"/>
        <v>45771.666666665289</v>
      </c>
      <c r="B575" s="12">
        <f t="shared" si="50"/>
        <v>45771.708333331953</v>
      </c>
      <c r="C575" s="13">
        <f t="shared" si="51"/>
        <v>4.0190000000000001</v>
      </c>
      <c r="D575" s="14">
        <f t="shared" si="49"/>
        <v>4019</v>
      </c>
      <c r="G575" s="12">
        <f t="shared" si="52"/>
        <v>45771.666666665289</v>
      </c>
      <c r="H575" s="12">
        <f t="shared" si="53"/>
        <v>45771.708333331953</v>
      </c>
      <c r="I575" s="132"/>
      <c r="J575" s="169">
        <v>4019</v>
      </c>
      <c r="K575" s="175"/>
    </row>
    <row r="576" spans="1:11" ht="14.4" x14ac:dyDescent="0.3">
      <c r="A576" s="12">
        <f t="shared" si="54"/>
        <v>45771.708333331953</v>
      </c>
      <c r="B576" s="12">
        <f t="shared" si="50"/>
        <v>45771.749999998618</v>
      </c>
      <c r="C576" s="13">
        <f t="shared" si="51"/>
        <v>4.1749999999999998</v>
      </c>
      <c r="D576" s="14">
        <f t="shared" si="49"/>
        <v>4175</v>
      </c>
      <c r="G576" s="12">
        <f t="shared" si="52"/>
        <v>45771.708333331953</v>
      </c>
      <c r="H576" s="12">
        <f t="shared" si="53"/>
        <v>45771.749999998618</v>
      </c>
      <c r="I576" s="132"/>
      <c r="J576" s="169">
        <v>4175</v>
      </c>
      <c r="K576" s="175"/>
    </row>
    <row r="577" spans="1:11" ht="14.4" x14ac:dyDescent="0.3">
      <c r="A577" s="12">
        <f t="shared" si="54"/>
        <v>45771.749999998618</v>
      </c>
      <c r="B577" s="12">
        <f t="shared" si="50"/>
        <v>45771.791666665282</v>
      </c>
      <c r="C577" s="13">
        <f t="shared" si="51"/>
        <v>4.335</v>
      </c>
      <c r="D577" s="14">
        <f t="shared" si="49"/>
        <v>4335</v>
      </c>
      <c r="G577" s="12">
        <f t="shared" si="52"/>
        <v>45771.749999998618</v>
      </c>
      <c r="H577" s="12">
        <f t="shared" si="53"/>
        <v>45771.791666665282</v>
      </c>
      <c r="I577" s="132"/>
      <c r="J577" s="169">
        <v>4335</v>
      </c>
      <c r="K577" s="175"/>
    </row>
    <row r="578" spans="1:11" ht="14.4" x14ac:dyDescent="0.3">
      <c r="A578" s="12">
        <f t="shared" si="54"/>
        <v>45771.791666665282</v>
      </c>
      <c r="B578" s="12">
        <f t="shared" si="50"/>
        <v>45771.833333331946</v>
      </c>
      <c r="C578" s="13">
        <f t="shared" si="51"/>
        <v>4.5149999999999997</v>
      </c>
      <c r="D578" s="14">
        <f t="shared" si="49"/>
        <v>4515</v>
      </c>
      <c r="G578" s="12">
        <f t="shared" si="52"/>
        <v>45771.791666665282</v>
      </c>
      <c r="H578" s="12">
        <f t="shared" si="53"/>
        <v>45771.833333331946</v>
      </c>
      <c r="I578" s="132"/>
      <c r="J578" s="169">
        <v>4515</v>
      </c>
      <c r="K578" s="175"/>
    </row>
    <row r="579" spans="1:11" ht="14.4" x14ac:dyDescent="0.3">
      <c r="A579" s="12">
        <f t="shared" si="54"/>
        <v>45771.833333331946</v>
      </c>
      <c r="B579" s="12">
        <f t="shared" si="50"/>
        <v>45771.87499999861</v>
      </c>
      <c r="C579" s="13">
        <f t="shared" si="51"/>
        <v>4.1609999999999996</v>
      </c>
      <c r="D579" s="14">
        <f t="shared" si="49"/>
        <v>4161</v>
      </c>
      <c r="G579" s="12">
        <f t="shared" si="52"/>
        <v>45771.833333331946</v>
      </c>
      <c r="H579" s="12">
        <f t="shared" si="53"/>
        <v>45771.87499999861</v>
      </c>
      <c r="I579" s="132"/>
      <c r="J579" s="169">
        <v>4161</v>
      </c>
      <c r="K579" s="175"/>
    </row>
    <row r="580" spans="1:11" ht="14.4" x14ac:dyDescent="0.3">
      <c r="A580" s="12">
        <f t="shared" si="54"/>
        <v>45771.87499999861</v>
      </c>
      <c r="B580" s="12">
        <f t="shared" si="50"/>
        <v>45771.916666665275</v>
      </c>
      <c r="C580" s="13">
        <f t="shared" si="51"/>
        <v>3.6480000000000001</v>
      </c>
      <c r="D580" s="14">
        <f t="shared" si="49"/>
        <v>3648</v>
      </c>
      <c r="G580" s="12">
        <f t="shared" si="52"/>
        <v>45771.87499999861</v>
      </c>
      <c r="H580" s="12">
        <f t="shared" si="53"/>
        <v>45771.916666665275</v>
      </c>
      <c r="I580" s="132"/>
      <c r="J580" s="169">
        <v>3648</v>
      </c>
      <c r="K580" s="175"/>
    </row>
    <row r="581" spans="1:11" ht="14.4" x14ac:dyDescent="0.3">
      <c r="A581" s="12">
        <f t="shared" si="54"/>
        <v>45771.916666665275</v>
      </c>
      <c r="B581" s="12">
        <f t="shared" si="50"/>
        <v>45771.958333331939</v>
      </c>
      <c r="C581" s="13">
        <f t="shared" si="51"/>
        <v>3.3660000000000001</v>
      </c>
      <c r="D581" s="14">
        <f t="shared" si="49"/>
        <v>3366</v>
      </c>
      <c r="G581" s="12">
        <f t="shared" si="52"/>
        <v>45771.916666665275</v>
      </c>
      <c r="H581" s="12">
        <f t="shared" si="53"/>
        <v>45771.958333331939</v>
      </c>
      <c r="I581" s="132"/>
      <c r="J581" s="169">
        <v>3366</v>
      </c>
      <c r="K581" s="175"/>
    </row>
    <row r="582" spans="1:11" ht="14.4" x14ac:dyDescent="0.3">
      <c r="A582" s="12">
        <f t="shared" si="54"/>
        <v>45771.958333331939</v>
      </c>
      <c r="B582" s="12">
        <f t="shared" si="50"/>
        <v>45771.999999998603</v>
      </c>
      <c r="C582" s="13">
        <f t="shared" si="51"/>
        <v>3.137</v>
      </c>
      <c r="D582" s="14">
        <f t="shared" si="49"/>
        <v>3137</v>
      </c>
      <c r="G582" s="12">
        <f t="shared" si="52"/>
        <v>45771.958333331939</v>
      </c>
      <c r="H582" s="12">
        <f t="shared" si="53"/>
        <v>45771.999999998603</v>
      </c>
      <c r="I582" s="132"/>
      <c r="J582" s="169">
        <v>3137</v>
      </c>
      <c r="K582" s="175"/>
    </row>
    <row r="583" spans="1:11" ht="14.4" x14ac:dyDescent="0.3">
      <c r="A583" s="12">
        <f t="shared" si="54"/>
        <v>45771.999999998603</v>
      </c>
      <c r="B583" s="12">
        <f t="shared" si="50"/>
        <v>45772.041666665267</v>
      </c>
      <c r="C583" s="13">
        <f t="shared" si="51"/>
        <v>3.032</v>
      </c>
      <c r="D583" s="14">
        <f t="shared" ref="D583:D646" si="55">J583*(1+$D$3)*(1+$D$4)</f>
        <v>3032</v>
      </c>
      <c r="G583" s="12">
        <f t="shared" si="52"/>
        <v>45771.999999998603</v>
      </c>
      <c r="H583" s="12">
        <f t="shared" si="53"/>
        <v>45772.041666665267</v>
      </c>
      <c r="I583" s="132"/>
      <c r="J583" s="169">
        <v>3032</v>
      </c>
      <c r="K583" s="175"/>
    </row>
    <row r="584" spans="1:11" ht="14.4" x14ac:dyDescent="0.3">
      <c r="A584" s="12">
        <f t="shared" si="54"/>
        <v>45772.041666665267</v>
      </c>
      <c r="B584" s="12">
        <f t="shared" ref="B584:B647" si="56">$A584+1/24</f>
        <v>45772.083333331931</v>
      </c>
      <c r="C584" s="13">
        <f t="shared" ref="C584:C647" si="57">SUM(D584)/1000</f>
        <v>3.0390000000000001</v>
      </c>
      <c r="D584" s="14">
        <f t="shared" si="55"/>
        <v>3039</v>
      </c>
      <c r="G584" s="12">
        <f t="shared" ref="G584:G647" si="58">A584</f>
        <v>45772.041666665267</v>
      </c>
      <c r="H584" s="12">
        <f t="shared" ref="H584:H647" si="59">B584</f>
        <v>45772.083333331931</v>
      </c>
      <c r="I584" s="132"/>
      <c r="J584" s="169">
        <v>3039</v>
      </c>
      <c r="K584" s="175"/>
    </row>
    <row r="585" spans="1:11" ht="14.4" x14ac:dyDescent="0.3">
      <c r="A585" s="12">
        <f t="shared" ref="A585:A648" si="60">$A584+1/24</f>
        <v>45772.083333331931</v>
      </c>
      <c r="B585" s="12">
        <f t="shared" si="56"/>
        <v>45772.124999998596</v>
      </c>
      <c r="C585" s="13">
        <f t="shared" si="57"/>
        <v>3.1110000000000002</v>
      </c>
      <c r="D585" s="14">
        <f t="shared" si="55"/>
        <v>3111</v>
      </c>
      <c r="G585" s="12">
        <f t="shared" si="58"/>
        <v>45772.083333331931</v>
      </c>
      <c r="H585" s="12">
        <f t="shared" si="59"/>
        <v>45772.124999998596</v>
      </c>
      <c r="I585" s="132"/>
      <c r="J585" s="169">
        <v>3111</v>
      </c>
      <c r="K585" s="175"/>
    </row>
    <row r="586" spans="1:11" ht="14.4" x14ac:dyDescent="0.3">
      <c r="A586" s="12">
        <f t="shared" si="60"/>
        <v>45772.124999998596</v>
      </c>
      <c r="B586" s="12">
        <f t="shared" si="56"/>
        <v>45772.16666666526</v>
      </c>
      <c r="C586" s="13">
        <f t="shared" si="57"/>
        <v>3.3220000000000001</v>
      </c>
      <c r="D586" s="14">
        <f t="shared" si="55"/>
        <v>3322</v>
      </c>
      <c r="G586" s="12">
        <f t="shared" si="58"/>
        <v>45772.124999998596</v>
      </c>
      <c r="H586" s="12">
        <f t="shared" si="59"/>
        <v>45772.16666666526</v>
      </c>
      <c r="I586" s="132"/>
      <c r="J586" s="169">
        <v>3322</v>
      </c>
      <c r="K586" s="175"/>
    </row>
    <row r="587" spans="1:11" ht="14.4" x14ac:dyDescent="0.3">
      <c r="A587" s="12">
        <f t="shared" si="60"/>
        <v>45772.16666666526</v>
      </c>
      <c r="B587" s="12">
        <f t="shared" si="56"/>
        <v>45772.208333331924</v>
      </c>
      <c r="C587" s="13">
        <f t="shared" si="57"/>
        <v>3.544</v>
      </c>
      <c r="D587" s="14">
        <f t="shared" si="55"/>
        <v>3544</v>
      </c>
      <c r="G587" s="12">
        <f t="shared" si="58"/>
        <v>45772.16666666526</v>
      </c>
      <c r="H587" s="12">
        <f t="shared" si="59"/>
        <v>45772.208333331924</v>
      </c>
      <c r="I587" s="132"/>
      <c r="J587" s="169">
        <v>3544</v>
      </c>
      <c r="K587" s="175"/>
    </row>
    <row r="588" spans="1:11" ht="14.4" x14ac:dyDescent="0.3">
      <c r="A588" s="12">
        <f t="shared" si="60"/>
        <v>45772.208333331924</v>
      </c>
      <c r="B588" s="12">
        <f t="shared" si="56"/>
        <v>45772.249999998588</v>
      </c>
      <c r="C588" s="13">
        <f t="shared" si="57"/>
        <v>4.0019999999999998</v>
      </c>
      <c r="D588" s="14">
        <f t="shared" si="55"/>
        <v>4002</v>
      </c>
      <c r="G588" s="12">
        <f t="shared" si="58"/>
        <v>45772.208333331924</v>
      </c>
      <c r="H588" s="12">
        <f t="shared" si="59"/>
        <v>45772.249999998588</v>
      </c>
      <c r="I588" s="132"/>
      <c r="J588" s="169">
        <v>4002</v>
      </c>
      <c r="K588" s="175"/>
    </row>
    <row r="589" spans="1:11" ht="14.4" x14ac:dyDescent="0.3">
      <c r="A589" s="12">
        <f t="shared" si="60"/>
        <v>45772.249999998588</v>
      </c>
      <c r="B589" s="12">
        <f t="shared" si="56"/>
        <v>45772.291666665253</v>
      </c>
      <c r="C589" s="13">
        <f t="shared" si="57"/>
        <v>4.2190000000000003</v>
      </c>
      <c r="D589" s="14">
        <f t="shared" si="55"/>
        <v>4219</v>
      </c>
      <c r="G589" s="12">
        <f t="shared" si="58"/>
        <v>45772.249999998588</v>
      </c>
      <c r="H589" s="12">
        <f t="shared" si="59"/>
        <v>45772.291666665253</v>
      </c>
      <c r="I589" s="132"/>
      <c r="J589" s="169">
        <v>4219</v>
      </c>
      <c r="K589" s="175"/>
    </row>
    <row r="590" spans="1:11" ht="14.4" x14ac:dyDescent="0.3">
      <c r="A590" s="12">
        <f t="shared" si="60"/>
        <v>45772.291666665253</v>
      </c>
      <c r="B590" s="12">
        <f t="shared" si="56"/>
        <v>45772.333333331917</v>
      </c>
      <c r="C590" s="13">
        <f t="shared" si="57"/>
        <v>4.2489999999999997</v>
      </c>
      <c r="D590" s="14">
        <f t="shared" si="55"/>
        <v>4249</v>
      </c>
      <c r="G590" s="12">
        <f t="shared" si="58"/>
        <v>45772.291666665253</v>
      </c>
      <c r="H590" s="12">
        <f t="shared" si="59"/>
        <v>45772.333333331917</v>
      </c>
      <c r="I590" s="132"/>
      <c r="J590" s="169">
        <v>4249</v>
      </c>
      <c r="K590" s="175"/>
    </row>
    <row r="591" spans="1:11" ht="14.4" x14ac:dyDescent="0.3">
      <c r="A591" s="12">
        <f t="shared" si="60"/>
        <v>45772.333333331917</v>
      </c>
      <c r="B591" s="12">
        <f t="shared" si="56"/>
        <v>45772.374999998581</v>
      </c>
      <c r="C591" s="13">
        <f t="shared" si="57"/>
        <v>4.0220000000000002</v>
      </c>
      <c r="D591" s="14">
        <f t="shared" si="55"/>
        <v>4022</v>
      </c>
      <c r="G591" s="12">
        <f t="shared" si="58"/>
        <v>45772.333333331917</v>
      </c>
      <c r="H591" s="12">
        <f t="shared" si="59"/>
        <v>45772.374999998581</v>
      </c>
      <c r="I591" s="132"/>
      <c r="J591" s="169">
        <v>4022</v>
      </c>
      <c r="K591" s="175"/>
    </row>
    <row r="592" spans="1:11" ht="14.4" x14ac:dyDescent="0.3">
      <c r="A592" s="12">
        <f t="shared" si="60"/>
        <v>45772.374999998581</v>
      </c>
      <c r="B592" s="12">
        <f t="shared" si="56"/>
        <v>45772.416666665245</v>
      </c>
      <c r="C592" s="13">
        <f t="shared" si="57"/>
        <v>3.7770000000000001</v>
      </c>
      <c r="D592" s="14">
        <f t="shared" si="55"/>
        <v>3777</v>
      </c>
      <c r="G592" s="12">
        <f t="shared" si="58"/>
        <v>45772.374999998581</v>
      </c>
      <c r="H592" s="12">
        <f t="shared" si="59"/>
        <v>45772.416666665245</v>
      </c>
      <c r="I592" s="132"/>
      <c r="J592" s="169">
        <v>3777</v>
      </c>
      <c r="K592" s="175"/>
    </row>
    <row r="593" spans="1:11" ht="14.4" x14ac:dyDescent="0.3">
      <c r="A593" s="12">
        <f t="shared" si="60"/>
        <v>45772.416666665245</v>
      </c>
      <c r="B593" s="12">
        <f t="shared" si="56"/>
        <v>45772.45833333191</v>
      </c>
      <c r="C593" s="13">
        <f t="shared" si="57"/>
        <v>3.5920000000000001</v>
      </c>
      <c r="D593" s="14">
        <f t="shared" si="55"/>
        <v>3592</v>
      </c>
      <c r="G593" s="12">
        <f t="shared" si="58"/>
        <v>45772.416666665245</v>
      </c>
      <c r="H593" s="12">
        <f t="shared" si="59"/>
        <v>45772.45833333191</v>
      </c>
      <c r="I593" s="132"/>
      <c r="J593" s="169">
        <v>3592</v>
      </c>
      <c r="K593" s="175"/>
    </row>
    <row r="594" spans="1:11" ht="14.4" x14ac:dyDescent="0.3">
      <c r="A594" s="12">
        <f t="shared" si="60"/>
        <v>45772.45833333191</v>
      </c>
      <c r="B594" s="12">
        <f t="shared" si="56"/>
        <v>45772.499999998574</v>
      </c>
      <c r="C594" s="13">
        <f t="shared" si="57"/>
        <v>3.54</v>
      </c>
      <c r="D594" s="14">
        <f t="shared" si="55"/>
        <v>3540</v>
      </c>
      <c r="G594" s="12">
        <f t="shared" si="58"/>
        <v>45772.45833333191</v>
      </c>
      <c r="H594" s="12">
        <f t="shared" si="59"/>
        <v>45772.499999998574</v>
      </c>
      <c r="I594" s="132"/>
      <c r="J594" s="169">
        <v>3540</v>
      </c>
      <c r="K594" s="175"/>
    </row>
    <row r="595" spans="1:11" ht="14.4" x14ac:dyDescent="0.3">
      <c r="A595" s="12">
        <f t="shared" si="60"/>
        <v>45772.499999998574</v>
      </c>
      <c r="B595" s="12">
        <f t="shared" si="56"/>
        <v>45772.541666665238</v>
      </c>
      <c r="C595" s="13">
        <f t="shared" si="57"/>
        <v>3.548</v>
      </c>
      <c r="D595" s="14">
        <f t="shared" si="55"/>
        <v>3548</v>
      </c>
      <c r="G595" s="12">
        <f t="shared" si="58"/>
        <v>45772.499999998574</v>
      </c>
      <c r="H595" s="12">
        <f t="shared" si="59"/>
        <v>45772.541666665238</v>
      </c>
      <c r="I595" s="132"/>
      <c r="J595" s="169">
        <v>3548</v>
      </c>
      <c r="K595" s="175"/>
    </row>
    <row r="596" spans="1:11" ht="14.4" x14ac:dyDescent="0.3">
      <c r="A596" s="12">
        <f t="shared" si="60"/>
        <v>45772.541666665238</v>
      </c>
      <c r="B596" s="12">
        <f t="shared" si="56"/>
        <v>45772.583333331902</v>
      </c>
      <c r="C596" s="13">
        <f t="shared" si="57"/>
        <v>3.6469999999999998</v>
      </c>
      <c r="D596" s="14">
        <f t="shared" si="55"/>
        <v>3647</v>
      </c>
      <c r="G596" s="12">
        <f t="shared" si="58"/>
        <v>45772.541666665238</v>
      </c>
      <c r="H596" s="12">
        <f t="shared" si="59"/>
        <v>45772.583333331902</v>
      </c>
      <c r="I596" s="132"/>
      <c r="J596" s="169">
        <v>3647</v>
      </c>
      <c r="K596" s="175"/>
    </row>
    <row r="597" spans="1:11" ht="14.4" x14ac:dyDescent="0.3">
      <c r="A597" s="12">
        <f t="shared" si="60"/>
        <v>45772.583333331902</v>
      </c>
      <c r="B597" s="12">
        <f t="shared" si="56"/>
        <v>45772.624999998567</v>
      </c>
      <c r="C597" s="13">
        <f t="shared" si="57"/>
        <v>3.6040000000000001</v>
      </c>
      <c r="D597" s="14">
        <f t="shared" si="55"/>
        <v>3604</v>
      </c>
      <c r="G597" s="12">
        <f t="shared" si="58"/>
        <v>45772.583333331902</v>
      </c>
      <c r="H597" s="12">
        <f t="shared" si="59"/>
        <v>45772.624999998567</v>
      </c>
      <c r="I597" s="132"/>
      <c r="J597" s="169">
        <v>3604</v>
      </c>
      <c r="K597" s="175"/>
    </row>
    <row r="598" spans="1:11" ht="14.4" x14ac:dyDescent="0.3">
      <c r="A598" s="12">
        <f t="shared" si="60"/>
        <v>45772.624999998567</v>
      </c>
      <c r="B598" s="12">
        <f t="shared" si="56"/>
        <v>45772.666666665231</v>
      </c>
      <c r="C598" s="13">
        <f t="shared" si="57"/>
        <v>3.7250000000000001</v>
      </c>
      <c r="D598" s="14">
        <f t="shared" si="55"/>
        <v>3725</v>
      </c>
      <c r="G598" s="12">
        <f t="shared" si="58"/>
        <v>45772.624999998567</v>
      </c>
      <c r="H598" s="12">
        <f t="shared" si="59"/>
        <v>45772.666666665231</v>
      </c>
      <c r="I598" s="132"/>
      <c r="J598" s="169">
        <v>3725</v>
      </c>
      <c r="K598" s="175"/>
    </row>
    <row r="599" spans="1:11" ht="14.4" x14ac:dyDescent="0.3">
      <c r="A599" s="12">
        <f t="shared" si="60"/>
        <v>45772.666666665231</v>
      </c>
      <c r="B599" s="12">
        <f t="shared" si="56"/>
        <v>45772.708333331895</v>
      </c>
      <c r="C599" s="13">
        <f t="shared" si="57"/>
        <v>3.887</v>
      </c>
      <c r="D599" s="14">
        <f t="shared" si="55"/>
        <v>3887</v>
      </c>
      <c r="G599" s="12">
        <f t="shared" si="58"/>
        <v>45772.666666665231</v>
      </c>
      <c r="H599" s="12">
        <f t="shared" si="59"/>
        <v>45772.708333331895</v>
      </c>
      <c r="I599" s="132"/>
      <c r="J599" s="169">
        <v>3887</v>
      </c>
      <c r="K599" s="175"/>
    </row>
    <row r="600" spans="1:11" ht="14.4" x14ac:dyDescent="0.3">
      <c r="A600" s="12">
        <f t="shared" si="60"/>
        <v>45772.708333331895</v>
      </c>
      <c r="B600" s="12">
        <f t="shared" si="56"/>
        <v>45772.749999998559</v>
      </c>
      <c r="C600" s="13">
        <f t="shared" si="57"/>
        <v>4.101</v>
      </c>
      <c r="D600" s="14">
        <f t="shared" si="55"/>
        <v>4101</v>
      </c>
      <c r="G600" s="12">
        <f t="shared" si="58"/>
        <v>45772.708333331895</v>
      </c>
      <c r="H600" s="12">
        <f t="shared" si="59"/>
        <v>45772.749999998559</v>
      </c>
      <c r="I600" s="132"/>
      <c r="J600" s="169">
        <v>4101</v>
      </c>
      <c r="K600" s="175"/>
    </row>
    <row r="601" spans="1:11" ht="14.4" x14ac:dyDescent="0.3">
      <c r="A601" s="12">
        <f t="shared" si="60"/>
        <v>45772.749999998559</v>
      </c>
      <c r="B601" s="12">
        <f t="shared" si="56"/>
        <v>45772.791666665224</v>
      </c>
      <c r="C601" s="13">
        <f t="shared" si="57"/>
        <v>4.1379999999999999</v>
      </c>
      <c r="D601" s="14">
        <f t="shared" si="55"/>
        <v>4138</v>
      </c>
      <c r="G601" s="12">
        <f t="shared" si="58"/>
        <v>45772.749999998559</v>
      </c>
      <c r="H601" s="12">
        <f t="shared" si="59"/>
        <v>45772.791666665224</v>
      </c>
      <c r="I601" s="132"/>
      <c r="J601" s="169">
        <v>4138</v>
      </c>
      <c r="K601" s="175"/>
    </row>
    <row r="602" spans="1:11" ht="14.4" x14ac:dyDescent="0.3">
      <c r="A602" s="12">
        <f t="shared" si="60"/>
        <v>45772.791666665224</v>
      </c>
      <c r="B602" s="12">
        <f t="shared" si="56"/>
        <v>45772.833333331888</v>
      </c>
      <c r="C602" s="13">
        <f t="shared" si="57"/>
        <v>4.3899999999999997</v>
      </c>
      <c r="D602" s="14">
        <f t="shared" si="55"/>
        <v>4390</v>
      </c>
      <c r="G602" s="12">
        <f t="shared" si="58"/>
        <v>45772.791666665224</v>
      </c>
      <c r="H602" s="12">
        <f t="shared" si="59"/>
        <v>45772.833333331888</v>
      </c>
      <c r="I602" s="132"/>
      <c r="J602" s="169">
        <v>4390</v>
      </c>
      <c r="K602" s="175"/>
    </row>
    <row r="603" spans="1:11" ht="14.4" x14ac:dyDescent="0.3">
      <c r="A603" s="12">
        <f t="shared" si="60"/>
        <v>45772.833333331888</v>
      </c>
      <c r="B603" s="12">
        <f t="shared" si="56"/>
        <v>45772.874999998552</v>
      </c>
      <c r="C603" s="13">
        <f t="shared" si="57"/>
        <v>4.0789999999999997</v>
      </c>
      <c r="D603" s="14">
        <f t="shared" si="55"/>
        <v>4079</v>
      </c>
      <c r="G603" s="12">
        <f t="shared" si="58"/>
        <v>45772.833333331888</v>
      </c>
      <c r="H603" s="12">
        <f t="shared" si="59"/>
        <v>45772.874999998552</v>
      </c>
      <c r="I603" s="132"/>
      <c r="J603" s="169">
        <v>4079</v>
      </c>
      <c r="K603" s="175"/>
    </row>
    <row r="604" spans="1:11" ht="14.4" x14ac:dyDescent="0.3">
      <c r="A604" s="12">
        <f t="shared" si="60"/>
        <v>45772.874999998552</v>
      </c>
      <c r="B604" s="12">
        <f t="shared" si="56"/>
        <v>45772.916666665216</v>
      </c>
      <c r="C604" s="13">
        <f t="shared" si="57"/>
        <v>3.702</v>
      </c>
      <c r="D604" s="14">
        <f t="shared" si="55"/>
        <v>3702</v>
      </c>
      <c r="G604" s="12">
        <f t="shared" si="58"/>
        <v>45772.874999998552</v>
      </c>
      <c r="H604" s="12">
        <f t="shared" si="59"/>
        <v>45772.916666665216</v>
      </c>
      <c r="I604" s="132"/>
      <c r="J604" s="169">
        <v>3702</v>
      </c>
      <c r="K604" s="175"/>
    </row>
    <row r="605" spans="1:11" ht="14.4" x14ac:dyDescent="0.3">
      <c r="A605" s="12">
        <f t="shared" si="60"/>
        <v>45772.916666665216</v>
      </c>
      <c r="B605" s="12">
        <f t="shared" si="56"/>
        <v>45772.958333331881</v>
      </c>
      <c r="C605" s="13">
        <f t="shared" si="57"/>
        <v>3.34</v>
      </c>
      <c r="D605" s="14">
        <f t="shared" si="55"/>
        <v>3340</v>
      </c>
      <c r="G605" s="12">
        <f t="shared" si="58"/>
        <v>45772.916666665216</v>
      </c>
      <c r="H605" s="12">
        <f t="shared" si="59"/>
        <v>45772.958333331881</v>
      </c>
      <c r="I605" s="132"/>
      <c r="J605" s="169">
        <v>3340</v>
      </c>
      <c r="K605" s="175"/>
    </row>
    <row r="606" spans="1:11" ht="14.4" x14ac:dyDescent="0.3">
      <c r="A606" s="12">
        <f t="shared" si="60"/>
        <v>45772.958333331881</v>
      </c>
      <c r="B606" s="12">
        <f t="shared" si="56"/>
        <v>45772.999999998545</v>
      </c>
      <c r="C606" s="13">
        <f t="shared" si="57"/>
        <v>3.1349999999999998</v>
      </c>
      <c r="D606" s="14">
        <f t="shared" si="55"/>
        <v>3135</v>
      </c>
      <c r="G606" s="12">
        <f t="shared" si="58"/>
        <v>45772.958333331881</v>
      </c>
      <c r="H606" s="12">
        <f t="shared" si="59"/>
        <v>45772.999999998545</v>
      </c>
      <c r="I606" s="132"/>
      <c r="J606" s="169">
        <v>3135</v>
      </c>
      <c r="K606" s="175"/>
    </row>
    <row r="607" spans="1:11" ht="14.4" x14ac:dyDescent="0.3">
      <c r="A607" s="12">
        <f t="shared" si="60"/>
        <v>45772.999999998545</v>
      </c>
      <c r="B607" s="12">
        <f t="shared" si="56"/>
        <v>45773.041666665209</v>
      </c>
      <c r="C607" s="13">
        <f t="shared" si="57"/>
        <v>3.0419999999999998</v>
      </c>
      <c r="D607" s="14">
        <f t="shared" si="55"/>
        <v>3042</v>
      </c>
      <c r="G607" s="12">
        <f t="shared" si="58"/>
        <v>45772.999999998545</v>
      </c>
      <c r="H607" s="12">
        <f t="shared" si="59"/>
        <v>45773.041666665209</v>
      </c>
      <c r="I607" s="132"/>
      <c r="J607" s="169">
        <v>3042</v>
      </c>
      <c r="K607" s="175"/>
    </row>
    <row r="608" spans="1:11" ht="14.4" x14ac:dyDescent="0.3">
      <c r="A608" s="12">
        <f t="shared" si="60"/>
        <v>45773.041666665209</v>
      </c>
      <c r="B608" s="12">
        <f t="shared" si="56"/>
        <v>45773.083333331873</v>
      </c>
      <c r="C608" s="13">
        <f t="shared" si="57"/>
        <v>3.0030000000000001</v>
      </c>
      <c r="D608" s="14">
        <f t="shared" si="55"/>
        <v>3003</v>
      </c>
      <c r="G608" s="12">
        <f t="shared" si="58"/>
        <v>45773.041666665209</v>
      </c>
      <c r="H608" s="12">
        <f t="shared" si="59"/>
        <v>45773.083333331873</v>
      </c>
      <c r="I608" s="132"/>
      <c r="J608" s="169">
        <v>3003</v>
      </c>
      <c r="K608" s="175"/>
    </row>
    <row r="609" spans="1:11" ht="14.4" x14ac:dyDescent="0.3">
      <c r="A609" s="12">
        <f t="shared" si="60"/>
        <v>45773.083333331873</v>
      </c>
      <c r="B609" s="12">
        <f t="shared" si="56"/>
        <v>45773.124999998538</v>
      </c>
      <c r="C609" s="13">
        <f t="shared" si="57"/>
        <v>3.0230000000000001</v>
      </c>
      <c r="D609" s="14">
        <f t="shared" si="55"/>
        <v>3023</v>
      </c>
      <c r="G609" s="12">
        <f t="shared" si="58"/>
        <v>45773.083333331873</v>
      </c>
      <c r="H609" s="12">
        <f t="shared" si="59"/>
        <v>45773.124999998538</v>
      </c>
      <c r="I609" s="132"/>
      <c r="J609" s="169">
        <v>3023</v>
      </c>
      <c r="K609" s="175"/>
    </row>
    <row r="610" spans="1:11" ht="14.4" x14ac:dyDescent="0.3">
      <c r="A610" s="12">
        <f t="shared" si="60"/>
        <v>45773.124999998538</v>
      </c>
      <c r="B610" s="12">
        <f t="shared" si="56"/>
        <v>45773.166666665202</v>
      </c>
      <c r="C610" s="13">
        <f t="shared" si="57"/>
        <v>3.0939999999999999</v>
      </c>
      <c r="D610" s="14">
        <f t="shared" si="55"/>
        <v>3094</v>
      </c>
      <c r="G610" s="12">
        <f t="shared" si="58"/>
        <v>45773.124999998538</v>
      </c>
      <c r="H610" s="12">
        <f t="shared" si="59"/>
        <v>45773.166666665202</v>
      </c>
      <c r="I610" s="132"/>
      <c r="J610" s="169">
        <v>3094</v>
      </c>
      <c r="K610" s="175"/>
    </row>
    <row r="611" spans="1:11" ht="14.4" x14ac:dyDescent="0.3">
      <c r="A611" s="12">
        <f t="shared" si="60"/>
        <v>45773.166666665202</v>
      </c>
      <c r="B611" s="12">
        <f t="shared" si="56"/>
        <v>45773.208333331866</v>
      </c>
      <c r="C611" s="13">
        <f t="shared" si="57"/>
        <v>3.2709999999999999</v>
      </c>
      <c r="D611" s="14">
        <f t="shared" si="55"/>
        <v>3271</v>
      </c>
      <c r="G611" s="12">
        <f t="shared" si="58"/>
        <v>45773.166666665202</v>
      </c>
      <c r="H611" s="12">
        <f t="shared" si="59"/>
        <v>45773.208333331866</v>
      </c>
      <c r="I611" s="132"/>
      <c r="J611" s="169">
        <v>3271</v>
      </c>
      <c r="K611" s="175"/>
    </row>
    <row r="612" spans="1:11" ht="14.4" x14ac:dyDescent="0.3">
      <c r="A612" s="12">
        <f t="shared" si="60"/>
        <v>45773.208333331866</v>
      </c>
      <c r="B612" s="12">
        <f t="shared" si="56"/>
        <v>45773.24999999853</v>
      </c>
      <c r="C612" s="13">
        <f t="shared" si="57"/>
        <v>3.4729999999999999</v>
      </c>
      <c r="D612" s="14">
        <f t="shared" si="55"/>
        <v>3473</v>
      </c>
      <c r="G612" s="12">
        <f t="shared" si="58"/>
        <v>45773.208333331866</v>
      </c>
      <c r="H612" s="12">
        <f t="shared" si="59"/>
        <v>45773.24999999853</v>
      </c>
      <c r="I612" s="132"/>
      <c r="J612" s="169">
        <v>3473</v>
      </c>
      <c r="K612" s="175"/>
    </row>
    <row r="613" spans="1:11" ht="14.4" x14ac:dyDescent="0.3">
      <c r="A613" s="12">
        <f t="shared" si="60"/>
        <v>45773.24999999853</v>
      </c>
      <c r="B613" s="12">
        <f t="shared" si="56"/>
        <v>45773.291666665194</v>
      </c>
      <c r="C613" s="13">
        <f t="shared" si="57"/>
        <v>3.532</v>
      </c>
      <c r="D613" s="14">
        <f t="shared" si="55"/>
        <v>3532</v>
      </c>
      <c r="G613" s="12">
        <f t="shared" si="58"/>
        <v>45773.24999999853</v>
      </c>
      <c r="H613" s="12">
        <f t="shared" si="59"/>
        <v>45773.291666665194</v>
      </c>
      <c r="I613" s="132"/>
      <c r="J613" s="169">
        <v>3532</v>
      </c>
      <c r="K613" s="175"/>
    </row>
    <row r="614" spans="1:11" ht="14.4" x14ac:dyDescent="0.3">
      <c r="A614" s="12">
        <f t="shared" si="60"/>
        <v>45773.291666665194</v>
      </c>
      <c r="B614" s="12">
        <f t="shared" si="56"/>
        <v>45773.333333331859</v>
      </c>
      <c r="C614" s="13">
        <f t="shared" si="57"/>
        <v>3.2989999999999999</v>
      </c>
      <c r="D614" s="14">
        <f t="shared" si="55"/>
        <v>3299</v>
      </c>
      <c r="G614" s="12">
        <f t="shared" si="58"/>
        <v>45773.291666665194</v>
      </c>
      <c r="H614" s="12">
        <f t="shared" si="59"/>
        <v>45773.333333331859</v>
      </c>
      <c r="I614" s="132"/>
      <c r="J614" s="169">
        <v>3299</v>
      </c>
      <c r="K614" s="175"/>
    </row>
    <row r="615" spans="1:11" ht="14.4" x14ac:dyDescent="0.3">
      <c r="A615" s="12">
        <f t="shared" si="60"/>
        <v>45773.333333331859</v>
      </c>
      <c r="B615" s="12">
        <f t="shared" si="56"/>
        <v>45773.374999998523</v>
      </c>
      <c r="C615" s="13">
        <f t="shared" si="57"/>
        <v>3.23</v>
      </c>
      <c r="D615" s="14">
        <f t="shared" si="55"/>
        <v>3230</v>
      </c>
      <c r="G615" s="12">
        <f t="shared" si="58"/>
        <v>45773.333333331859</v>
      </c>
      <c r="H615" s="12">
        <f t="shared" si="59"/>
        <v>45773.374999998523</v>
      </c>
      <c r="I615" s="132"/>
      <c r="J615" s="169">
        <v>3230</v>
      </c>
      <c r="K615" s="175"/>
    </row>
    <row r="616" spans="1:11" ht="14.4" x14ac:dyDescent="0.3">
      <c r="A616" s="12">
        <f t="shared" si="60"/>
        <v>45773.374999998523</v>
      </c>
      <c r="B616" s="12">
        <f t="shared" si="56"/>
        <v>45773.416666665187</v>
      </c>
      <c r="C616" s="13">
        <f t="shared" si="57"/>
        <v>3.2069999999999999</v>
      </c>
      <c r="D616" s="14">
        <f t="shared" si="55"/>
        <v>3207</v>
      </c>
      <c r="G616" s="12">
        <f t="shared" si="58"/>
        <v>45773.374999998523</v>
      </c>
      <c r="H616" s="12">
        <f t="shared" si="59"/>
        <v>45773.416666665187</v>
      </c>
      <c r="I616" s="132"/>
      <c r="J616" s="169">
        <v>3207</v>
      </c>
      <c r="K616" s="175"/>
    </row>
    <row r="617" spans="1:11" ht="14.4" x14ac:dyDescent="0.3">
      <c r="A617" s="12">
        <f t="shared" si="60"/>
        <v>45773.416666665187</v>
      </c>
      <c r="B617" s="12">
        <f t="shared" si="56"/>
        <v>45773.458333331851</v>
      </c>
      <c r="C617" s="13">
        <f t="shared" si="57"/>
        <v>2.976</v>
      </c>
      <c r="D617" s="14">
        <f t="shared" si="55"/>
        <v>2976</v>
      </c>
      <c r="G617" s="12">
        <f t="shared" si="58"/>
        <v>45773.416666665187</v>
      </c>
      <c r="H617" s="12">
        <f t="shared" si="59"/>
        <v>45773.458333331851</v>
      </c>
      <c r="I617" s="132"/>
      <c r="J617" s="169">
        <v>2976</v>
      </c>
      <c r="K617" s="175"/>
    </row>
    <row r="618" spans="1:11" ht="14.4" x14ac:dyDescent="0.3">
      <c r="A618" s="12">
        <f t="shared" si="60"/>
        <v>45773.458333331851</v>
      </c>
      <c r="B618" s="12">
        <f t="shared" si="56"/>
        <v>45773.499999998516</v>
      </c>
      <c r="C618" s="13">
        <f t="shared" si="57"/>
        <v>3.03</v>
      </c>
      <c r="D618" s="14">
        <f t="shared" si="55"/>
        <v>3030</v>
      </c>
      <c r="G618" s="12">
        <f t="shared" si="58"/>
        <v>45773.458333331851</v>
      </c>
      <c r="H618" s="12">
        <f t="shared" si="59"/>
        <v>45773.499999998516</v>
      </c>
      <c r="I618" s="132"/>
      <c r="J618" s="169">
        <v>3030</v>
      </c>
      <c r="K618" s="175"/>
    </row>
    <row r="619" spans="1:11" ht="14.4" x14ac:dyDescent="0.3">
      <c r="A619" s="12">
        <f t="shared" si="60"/>
        <v>45773.499999998516</v>
      </c>
      <c r="B619" s="12">
        <f t="shared" si="56"/>
        <v>45773.54166666518</v>
      </c>
      <c r="C619" s="13">
        <f t="shared" si="57"/>
        <v>3.1440000000000001</v>
      </c>
      <c r="D619" s="14">
        <f t="shared" si="55"/>
        <v>3144</v>
      </c>
      <c r="G619" s="12">
        <f t="shared" si="58"/>
        <v>45773.499999998516</v>
      </c>
      <c r="H619" s="12">
        <f t="shared" si="59"/>
        <v>45773.54166666518</v>
      </c>
      <c r="I619" s="132"/>
      <c r="J619" s="169">
        <v>3144</v>
      </c>
      <c r="K619" s="175"/>
    </row>
    <row r="620" spans="1:11" ht="14.4" x14ac:dyDescent="0.3">
      <c r="A620" s="12">
        <f t="shared" si="60"/>
        <v>45773.54166666518</v>
      </c>
      <c r="B620" s="12">
        <f t="shared" si="56"/>
        <v>45773.583333331844</v>
      </c>
      <c r="C620" s="13">
        <f t="shared" si="57"/>
        <v>3.246</v>
      </c>
      <c r="D620" s="14">
        <f t="shared" si="55"/>
        <v>3246</v>
      </c>
      <c r="G620" s="12">
        <f t="shared" si="58"/>
        <v>45773.54166666518</v>
      </c>
      <c r="H620" s="12">
        <f t="shared" si="59"/>
        <v>45773.583333331844</v>
      </c>
      <c r="I620" s="132"/>
      <c r="J620" s="169">
        <v>3246</v>
      </c>
      <c r="K620" s="175"/>
    </row>
    <row r="621" spans="1:11" ht="14.4" x14ac:dyDescent="0.3">
      <c r="A621" s="12">
        <f t="shared" si="60"/>
        <v>45773.583333331844</v>
      </c>
      <c r="B621" s="12">
        <f t="shared" si="56"/>
        <v>45773.624999998508</v>
      </c>
      <c r="C621" s="13">
        <f t="shared" si="57"/>
        <v>3.3130000000000002</v>
      </c>
      <c r="D621" s="14">
        <f t="shared" si="55"/>
        <v>3313</v>
      </c>
      <c r="G621" s="12">
        <f t="shared" si="58"/>
        <v>45773.583333331844</v>
      </c>
      <c r="H621" s="12">
        <f t="shared" si="59"/>
        <v>45773.624999998508</v>
      </c>
      <c r="I621" s="132"/>
      <c r="J621" s="169">
        <v>3313</v>
      </c>
      <c r="K621" s="175"/>
    </row>
    <row r="622" spans="1:11" ht="14.4" x14ac:dyDescent="0.3">
      <c r="A622" s="12">
        <f t="shared" si="60"/>
        <v>45773.624999998508</v>
      </c>
      <c r="B622" s="12">
        <f t="shared" si="56"/>
        <v>45773.666666665173</v>
      </c>
      <c r="C622" s="13">
        <f t="shared" si="57"/>
        <v>3.3639999999999999</v>
      </c>
      <c r="D622" s="14">
        <f t="shared" si="55"/>
        <v>3364</v>
      </c>
      <c r="G622" s="12">
        <f t="shared" si="58"/>
        <v>45773.624999998508</v>
      </c>
      <c r="H622" s="12">
        <f t="shared" si="59"/>
        <v>45773.666666665173</v>
      </c>
      <c r="I622" s="132"/>
      <c r="J622" s="169">
        <v>3364</v>
      </c>
      <c r="K622" s="175"/>
    </row>
    <row r="623" spans="1:11" ht="14.4" x14ac:dyDescent="0.3">
      <c r="A623" s="12">
        <f t="shared" si="60"/>
        <v>45773.666666665173</v>
      </c>
      <c r="B623" s="12">
        <f t="shared" si="56"/>
        <v>45773.708333331837</v>
      </c>
      <c r="C623" s="13">
        <f t="shared" si="57"/>
        <v>3.673</v>
      </c>
      <c r="D623" s="14">
        <f t="shared" si="55"/>
        <v>3673</v>
      </c>
      <c r="G623" s="12">
        <f t="shared" si="58"/>
        <v>45773.666666665173</v>
      </c>
      <c r="H623" s="12">
        <f t="shared" si="59"/>
        <v>45773.708333331837</v>
      </c>
      <c r="I623" s="132"/>
      <c r="J623" s="169">
        <v>3673</v>
      </c>
      <c r="K623" s="175"/>
    </row>
    <row r="624" spans="1:11" ht="14.4" x14ac:dyDescent="0.3">
      <c r="A624" s="12">
        <f t="shared" si="60"/>
        <v>45773.708333331837</v>
      </c>
      <c r="B624" s="12">
        <f t="shared" si="56"/>
        <v>45773.749999998501</v>
      </c>
      <c r="C624" s="13">
        <f t="shared" si="57"/>
        <v>4.0339999999999998</v>
      </c>
      <c r="D624" s="14">
        <f t="shared" si="55"/>
        <v>4034</v>
      </c>
      <c r="G624" s="12">
        <f t="shared" si="58"/>
        <v>45773.708333331837</v>
      </c>
      <c r="H624" s="12">
        <f t="shared" si="59"/>
        <v>45773.749999998501</v>
      </c>
      <c r="I624" s="132"/>
      <c r="J624" s="169">
        <v>4034</v>
      </c>
      <c r="K624" s="175"/>
    </row>
    <row r="625" spans="1:11" ht="14.4" x14ac:dyDescent="0.3">
      <c r="A625" s="12">
        <f t="shared" si="60"/>
        <v>45773.749999998501</v>
      </c>
      <c r="B625" s="12">
        <f t="shared" si="56"/>
        <v>45773.791666665165</v>
      </c>
      <c r="C625" s="13">
        <f t="shared" si="57"/>
        <v>4.1260000000000003</v>
      </c>
      <c r="D625" s="14">
        <f t="shared" si="55"/>
        <v>4126</v>
      </c>
      <c r="G625" s="12">
        <f t="shared" si="58"/>
        <v>45773.749999998501</v>
      </c>
      <c r="H625" s="12">
        <f t="shared" si="59"/>
        <v>45773.791666665165</v>
      </c>
      <c r="I625" s="132"/>
      <c r="J625" s="169">
        <v>4126</v>
      </c>
      <c r="K625" s="175"/>
    </row>
    <row r="626" spans="1:11" ht="14.4" x14ac:dyDescent="0.3">
      <c r="A626" s="12">
        <f t="shared" si="60"/>
        <v>45773.791666665165</v>
      </c>
      <c r="B626" s="12">
        <f t="shared" si="56"/>
        <v>45773.83333333183</v>
      </c>
      <c r="C626" s="13">
        <f t="shared" si="57"/>
        <v>4.2610000000000001</v>
      </c>
      <c r="D626" s="14">
        <f t="shared" si="55"/>
        <v>4261</v>
      </c>
      <c r="G626" s="12">
        <f t="shared" si="58"/>
        <v>45773.791666665165</v>
      </c>
      <c r="H626" s="12">
        <f t="shared" si="59"/>
        <v>45773.83333333183</v>
      </c>
      <c r="I626" s="132"/>
      <c r="J626" s="169">
        <v>4261</v>
      </c>
      <c r="K626" s="175"/>
    </row>
    <row r="627" spans="1:11" ht="14.4" x14ac:dyDescent="0.3">
      <c r="A627" s="12">
        <f t="shared" si="60"/>
        <v>45773.83333333183</v>
      </c>
      <c r="B627" s="12">
        <f t="shared" si="56"/>
        <v>45773.874999998494</v>
      </c>
      <c r="C627" s="13">
        <f t="shared" si="57"/>
        <v>4.0179999999999998</v>
      </c>
      <c r="D627" s="14">
        <f t="shared" si="55"/>
        <v>4018</v>
      </c>
      <c r="G627" s="12">
        <f t="shared" si="58"/>
        <v>45773.83333333183</v>
      </c>
      <c r="H627" s="12">
        <f t="shared" si="59"/>
        <v>45773.874999998494</v>
      </c>
      <c r="I627" s="132"/>
      <c r="J627" s="169">
        <v>4018</v>
      </c>
      <c r="K627" s="175"/>
    </row>
    <row r="628" spans="1:11" ht="14.4" x14ac:dyDescent="0.3">
      <c r="A628" s="12">
        <f t="shared" si="60"/>
        <v>45773.874999998494</v>
      </c>
      <c r="B628" s="12">
        <f t="shared" si="56"/>
        <v>45773.916666665158</v>
      </c>
      <c r="C628" s="13">
        <f t="shared" si="57"/>
        <v>3.589</v>
      </c>
      <c r="D628" s="14">
        <f t="shared" si="55"/>
        <v>3589</v>
      </c>
      <c r="G628" s="12">
        <f t="shared" si="58"/>
        <v>45773.874999998494</v>
      </c>
      <c r="H628" s="12">
        <f t="shared" si="59"/>
        <v>45773.916666665158</v>
      </c>
      <c r="I628" s="132"/>
      <c r="J628" s="169">
        <v>3589</v>
      </c>
      <c r="K628" s="175"/>
    </row>
    <row r="629" spans="1:11" ht="14.4" x14ac:dyDescent="0.3">
      <c r="A629" s="12">
        <f t="shared" si="60"/>
        <v>45773.916666665158</v>
      </c>
      <c r="B629" s="12">
        <f t="shared" si="56"/>
        <v>45773.958333331822</v>
      </c>
      <c r="C629" s="13">
        <f t="shared" si="57"/>
        <v>3.2029999999999998</v>
      </c>
      <c r="D629" s="14">
        <f t="shared" si="55"/>
        <v>3203</v>
      </c>
      <c r="G629" s="12">
        <f t="shared" si="58"/>
        <v>45773.916666665158</v>
      </c>
      <c r="H629" s="12">
        <f t="shared" si="59"/>
        <v>45773.958333331822</v>
      </c>
      <c r="I629" s="132"/>
      <c r="J629" s="169">
        <v>3203</v>
      </c>
      <c r="K629" s="175"/>
    </row>
    <row r="630" spans="1:11" ht="14.4" x14ac:dyDescent="0.3">
      <c r="A630" s="12">
        <f t="shared" si="60"/>
        <v>45773.958333331822</v>
      </c>
      <c r="B630" s="12">
        <f t="shared" si="56"/>
        <v>45773.999999998487</v>
      </c>
      <c r="C630" s="13">
        <f t="shared" si="57"/>
        <v>3.04</v>
      </c>
      <c r="D630" s="14">
        <f t="shared" si="55"/>
        <v>3040</v>
      </c>
      <c r="G630" s="12">
        <f t="shared" si="58"/>
        <v>45773.958333331822</v>
      </c>
      <c r="H630" s="12">
        <f t="shared" si="59"/>
        <v>45773.999999998487</v>
      </c>
      <c r="I630" s="132"/>
      <c r="J630" s="169">
        <v>3040</v>
      </c>
      <c r="K630" s="175"/>
    </row>
    <row r="631" spans="1:11" ht="14.4" x14ac:dyDescent="0.3">
      <c r="A631" s="12">
        <f t="shared" si="60"/>
        <v>45773.999999998487</v>
      </c>
      <c r="B631" s="12">
        <f t="shared" si="56"/>
        <v>45774.041666665151</v>
      </c>
      <c r="C631" s="13">
        <f t="shared" si="57"/>
        <v>2.9729999999999999</v>
      </c>
      <c r="D631" s="14">
        <f t="shared" si="55"/>
        <v>2973</v>
      </c>
      <c r="G631" s="12">
        <f t="shared" si="58"/>
        <v>45773.999999998487</v>
      </c>
      <c r="H631" s="12">
        <f t="shared" si="59"/>
        <v>45774.041666665151</v>
      </c>
      <c r="I631" s="132"/>
      <c r="J631" s="169">
        <v>2973</v>
      </c>
      <c r="K631" s="175"/>
    </row>
    <row r="632" spans="1:11" ht="14.4" x14ac:dyDescent="0.3">
      <c r="A632" s="12">
        <f t="shared" si="60"/>
        <v>45774.041666665151</v>
      </c>
      <c r="B632" s="12">
        <f t="shared" si="56"/>
        <v>45774.083333331815</v>
      </c>
      <c r="C632" s="13">
        <f t="shared" si="57"/>
        <v>2.9319999999999999</v>
      </c>
      <c r="D632" s="14">
        <f t="shared" si="55"/>
        <v>2932</v>
      </c>
      <c r="G632" s="12">
        <f t="shared" si="58"/>
        <v>45774.041666665151</v>
      </c>
      <c r="H632" s="12">
        <f t="shared" si="59"/>
        <v>45774.083333331815</v>
      </c>
      <c r="I632" s="132"/>
      <c r="J632" s="169">
        <v>2932</v>
      </c>
      <c r="K632" s="175"/>
    </row>
    <row r="633" spans="1:11" ht="14.4" x14ac:dyDescent="0.3">
      <c r="A633" s="12">
        <f t="shared" si="60"/>
        <v>45774.083333331815</v>
      </c>
      <c r="B633" s="12">
        <f t="shared" si="56"/>
        <v>45774.124999998479</v>
      </c>
      <c r="C633" s="13">
        <f t="shared" si="57"/>
        <v>2.9039999999999999</v>
      </c>
      <c r="D633" s="14">
        <f t="shared" si="55"/>
        <v>2904</v>
      </c>
      <c r="G633" s="12">
        <f t="shared" si="58"/>
        <v>45774.083333331815</v>
      </c>
      <c r="H633" s="12">
        <f t="shared" si="59"/>
        <v>45774.124999998479</v>
      </c>
      <c r="I633" s="132"/>
      <c r="J633" s="169">
        <v>2904</v>
      </c>
      <c r="K633" s="175"/>
    </row>
    <row r="634" spans="1:11" ht="14.4" x14ac:dyDescent="0.3">
      <c r="A634" s="12">
        <f t="shared" si="60"/>
        <v>45774.124999998479</v>
      </c>
      <c r="B634" s="12">
        <f t="shared" si="56"/>
        <v>45774.166666665144</v>
      </c>
      <c r="C634" s="13">
        <f t="shared" si="57"/>
        <v>2.9980000000000002</v>
      </c>
      <c r="D634" s="14">
        <f t="shared" si="55"/>
        <v>2998</v>
      </c>
      <c r="G634" s="12">
        <f t="shared" si="58"/>
        <v>45774.124999998479</v>
      </c>
      <c r="H634" s="12">
        <f t="shared" si="59"/>
        <v>45774.166666665144</v>
      </c>
      <c r="I634" s="132"/>
      <c r="J634" s="169">
        <v>2998</v>
      </c>
      <c r="K634" s="175"/>
    </row>
    <row r="635" spans="1:11" ht="14.4" x14ac:dyDescent="0.3">
      <c r="A635" s="12">
        <f t="shared" si="60"/>
        <v>45774.166666665144</v>
      </c>
      <c r="B635" s="12">
        <f t="shared" si="56"/>
        <v>45774.208333331808</v>
      </c>
      <c r="C635" s="13">
        <f t="shared" si="57"/>
        <v>3.2320000000000002</v>
      </c>
      <c r="D635" s="14">
        <f t="shared" si="55"/>
        <v>3232</v>
      </c>
      <c r="G635" s="12">
        <f t="shared" si="58"/>
        <v>45774.166666665144</v>
      </c>
      <c r="H635" s="12">
        <f t="shared" si="59"/>
        <v>45774.208333331808</v>
      </c>
      <c r="I635" s="132"/>
      <c r="J635" s="169">
        <v>3232</v>
      </c>
      <c r="K635" s="175"/>
    </row>
    <row r="636" spans="1:11" ht="14.4" x14ac:dyDescent="0.3">
      <c r="A636" s="12">
        <f t="shared" si="60"/>
        <v>45774.208333331808</v>
      </c>
      <c r="B636" s="12">
        <f t="shared" si="56"/>
        <v>45774.249999998472</v>
      </c>
      <c r="C636" s="13">
        <f t="shared" si="57"/>
        <v>3.415</v>
      </c>
      <c r="D636" s="14">
        <f t="shared" si="55"/>
        <v>3415</v>
      </c>
      <c r="G636" s="12">
        <f t="shared" si="58"/>
        <v>45774.208333331808</v>
      </c>
      <c r="H636" s="12">
        <f t="shared" si="59"/>
        <v>45774.249999998472</v>
      </c>
      <c r="I636" s="132"/>
      <c r="J636" s="169">
        <v>3415</v>
      </c>
      <c r="K636" s="175"/>
    </row>
    <row r="637" spans="1:11" ht="14.4" x14ac:dyDescent="0.3">
      <c r="A637" s="12">
        <f t="shared" si="60"/>
        <v>45774.249999998472</v>
      </c>
      <c r="B637" s="12">
        <f t="shared" si="56"/>
        <v>45774.291666665136</v>
      </c>
      <c r="C637" s="13">
        <f t="shared" si="57"/>
        <v>3.3370000000000002</v>
      </c>
      <c r="D637" s="14">
        <f t="shared" si="55"/>
        <v>3337</v>
      </c>
      <c r="G637" s="12">
        <f t="shared" si="58"/>
        <v>45774.249999998472</v>
      </c>
      <c r="H637" s="12">
        <f t="shared" si="59"/>
        <v>45774.291666665136</v>
      </c>
      <c r="I637" s="132"/>
      <c r="J637" s="169">
        <v>3337</v>
      </c>
      <c r="K637" s="175"/>
    </row>
    <row r="638" spans="1:11" ht="14.4" x14ac:dyDescent="0.3">
      <c r="A638" s="12">
        <f t="shared" si="60"/>
        <v>45774.291666665136</v>
      </c>
      <c r="B638" s="12">
        <f t="shared" si="56"/>
        <v>45774.333333331801</v>
      </c>
      <c r="C638" s="13">
        <f t="shared" si="57"/>
        <v>3.1960000000000002</v>
      </c>
      <c r="D638" s="14">
        <f t="shared" si="55"/>
        <v>3196</v>
      </c>
      <c r="G638" s="12">
        <f t="shared" si="58"/>
        <v>45774.291666665136</v>
      </c>
      <c r="H638" s="12">
        <f t="shared" si="59"/>
        <v>45774.333333331801</v>
      </c>
      <c r="I638" s="132"/>
      <c r="J638" s="169">
        <v>3196</v>
      </c>
      <c r="K638" s="175"/>
    </row>
    <row r="639" spans="1:11" ht="14.4" x14ac:dyDescent="0.3">
      <c r="A639" s="12">
        <f t="shared" si="60"/>
        <v>45774.333333331801</v>
      </c>
      <c r="B639" s="12">
        <f t="shared" si="56"/>
        <v>45774.374999998465</v>
      </c>
      <c r="C639" s="13">
        <f t="shared" si="57"/>
        <v>3.105</v>
      </c>
      <c r="D639" s="14">
        <f t="shared" si="55"/>
        <v>3105</v>
      </c>
      <c r="G639" s="12">
        <f t="shared" si="58"/>
        <v>45774.333333331801</v>
      </c>
      <c r="H639" s="12">
        <f t="shared" si="59"/>
        <v>45774.374999998465</v>
      </c>
      <c r="I639" s="132"/>
      <c r="J639" s="169">
        <v>3105</v>
      </c>
      <c r="K639" s="175"/>
    </row>
    <row r="640" spans="1:11" ht="14.4" x14ac:dyDescent="0.3">
      <c r="A640" s="12">
        <f t="shared" si="60"/>
        <v>45774.374999998465</v>
      </c>
      <c r="B640" s="12">
        <f t="shared" si="56"/>
        <v>45774.416666665129</v>
      </c>
      <c r="C640" s="13">
        <f t="shared" si="57"/>
        <v>2.996</v>
      </c>
      <c r="D640" s="14">
        <f t="shared" si="55"/>
        <v>2996</v>
      </c>
      <c r="G640" s="12">
        <f t="shared" si="58"/>
        <v>45774.374999998465</v>
      </c>
      <c r="H640" s="12">
        <f t="shared" si="59"/>
        <v>45774.416666665129</v>
      </c>
      <c r="I640" s="132"/>
      <c r="J640" s="169">
        <v>2996</v>
      </c>
      <c r="K640" s="175"/>
    </row>
    <row r="641" spans="1:11" ht="14.4" x14ac:dyDescent="0.3">
      <c r="A641" s="12">
        <f t="shared" si="60"/>
        <v>45774.416666665129</v>
      </c>
      <c r="B641" s="12">
        <f t="shared" si="56"/>
        <v>45774.458333331793</v>
      </c>
      <c r="C641" s="13">
        <f t="shared" si="57"/>
        <v>2.84</v>
      </c>
      <c r="D641" s="14">
        <f t="shared" si="55"/>
        <v>2840</v>
      </c>
      <c r="G641" s="12">
        <f t="shared" si="58"/>
        <v>45774.416666665129</v>
      </c>
      <c r="H641" s="12">
        <f t="shared" si="59"/>
        <v>45774.458333331793</v>
      </c>
      <c r="I641" s="132"/>
      <c r="J641" s="169">
        <v>2840</v>
      </c>
      <c r="K641" s="175"/>
    </row>
    <row r="642" spans="1:11" ht="14.4" x14ac:dyDescent="0.3">
      <c r="A642" s="12">
        <f t="shared" si="60"/>
        <v>45774.458333331793</v>
      </c>
      <c r="B642" s="12">
        <f t="shared" si="56"/>
        <v>45774.499999998457</v>
      </c>
      <c r="C642" s="13">
        <f t="shared" si="57"/>
        <v>2.9750000000000001</v>
      </c>
      <c r="D642" s="14">
        <f t="shared" si="55"/>
        <v>2975</v>
      </c>
      <c r="G642" s="12">
        <f t="shared" si="58"/>
        <v>45774.458333331793</v>
      </c>
      <c r="H642" s="12">
        <f t="shared" si="59"/>
        <v>45774.499999998457</v>
      </c>
      <c r="I642" s="132"/>
      <c r="J642" s="169">
        <v>2975</v>
      </c>
      <c r="K642" s="175"/>
    </row>
    <row r="643" spans="1:11" ht="14.4" x14ac:dyDescent="0.3">
      <c r="A643" s="12">
        <f t="shared" si="60"/>
        <v>45774.499999998457</v>
      </c>
      <c r="B643" s="12">
        <f t="shared" si="56"/>
        <v>45774.541666665122</v>
      </c>
      <c r="C643" s="13">
        <f t="shared" si="57"/>
        <v>3.0819999999999999</v>
      </c>
      <c r="D643" s="14">
        <f t="shared" si="55"/>
        <v>3082</v>
      </c>
      <c r="G643" s="12">
        <f t="shared" si="58"/>
        <v>45774.499999998457</v>
      </c>
      <c r="H643" s="12">
        <f t="shared" si="59"/>
        <v>45774.541666665122</v>
      </c>
      <c r="I643" s="132"/>
      <c r="J643" s="169">
        <v>3082</v>
      </c>
      <c r="K643" s="175"/>
    </row>
    <row r="644" spans="1:11" ht="14.4" x14ac:dyDescent="0.3">
      <c r="A644" s="12">
        <f t="shared" si="60"/>
        <v>45774.541666665122</v>
      </c>
      <c r="B644" s="12">
        <f t="shared" si="56"/>
        <v>45774.583333331786</v>
      </c>
      <c r="C644" s="13">
        <f t="shared" si="57"/>
        <v>3.609</v>
      </c>
      <c r="D644" s="14">
        <f t="shared" si="55"/>
        <v>3609</v>
      </c>
      <c r="G644" s="12">
        <f t="shared" si="58"/>
        <v>45774.541666665122</v>
      </c>
      <c r="H644" s="12">
        <f t="shared" si="59"/>
        <v>45774.583333331786</v>
      </c>
      <c r="I644" s="132"/>
      <c r="J644" s="169">
        <v>3609</v>
      </c>
      <c r="K644" s="175"/>
    </row>
    <row r="645" spans="1:11" ht="14.4" x14ac:dyDescent="0.3">
      <c r="A645" s="12">
        <f t="shared" si="60"/>
        <v>45774.583333331786</v>
      </c>
      <c r="B645" s="12">
        <f t="shared" si="56"/>
        <v>45774.62499999845</v>
      </c>
      <c r="C645" s="13">
        <f t="shared" si="57"/>
        <v>3.6560000000000001</v>
      </c>
      <c r="D645" s="14">
        <f t="shared" si="55"/>
        <v>3656</v>
      </c>
      <c r="G645" s="12">
        <f t="shared" si="58"/>
        <v>45774.583333331786</v>
      </c>
      <c r="H645" s="12">
        <f t="shared" si="59"/>
        <v>45774.62499999845</v>
      </c>
      <c r="I645" s="132"/>
      <c r="J645" s="169">
        <v>3656</v>
      </c>
      <c r="K645" s="175"/>
    </row>
    <row r="646" spans="1:11" ht="14.4" x14ac:dyDescent="0.3">
      <c r="A646" s="12">
        <f t="shared" si="60"/>
        <v>45774.62499999845</v>
      </c>
      <c r="B646" s="12">
        <f t="shared" si="56"/>
        <v>45774.666666665114</v>
      </c>
      <c r="C646" s="13">
        <f t="shared" si="57"/>
        <v>3.4889999999999999</v>
      </c>
      <c r="D646" s="14">
        <f t="shared" si="55"/>
        <v>3489</v>
      </c>
      <c r="G646" s="12">
        <f t="shared" si="58"/>
        <v>45774.62499999845</v>
      </c>
      <c r="H646" s="12">
        <f t="shared" si="59"/>
        <v>45774.666666665114</v>
      </c>
      <c r="I646" s="132"/>
      <c r="J646" s="169">
        <v>3489</v>
      </c>
      <c r="K646" s="175"/>
    </row>
    <row r="647" spans="1:11" ht="14.4" x14ac:dyDescent="0.3">
      <c r="A647" s="12">
        <f t="shared" si="60"/>
        <v>45774.666666665114</v>
      </c>
      <c r="B647" s="12">
        <f t="shared" si="56"/>
        <v>45774.708333331779</v>
      </c>
      <c r="C647" s="13">
        <f t="shared" si="57"/>
        <v>3.6179999999999999</v>
      </c>
      <c r="D647" s="14">
        <f t="shared" ref="D647:D678" si="61">J647*(1+$D$3)*(1+$D$4)</f>
        <v>3618</v>
      </c>
      <c r="G647" s="12">
        <f t="shared" si="58"/>
        <v>45774.666666665114</v>
      </c>
      <c r="H647" s="12">
        <f t="shared" si="59"/>
        <v>45774.708333331779</v>
      </c>
      <c r="I647" s="132"/>
      <c r="J647" s="169">
        <v>3618</v>
      </c>
      <c r="K647" s="175"/>
    </row>
    <row r="648" spans="1:11" ht="14.4" x14ac:dyDescent="0.3">
      <c r="A648" s="12">
        <f t="shared" si="60"/>
        <v>45774.708333331779</v>
      </c>
      <c r="B648" s="12">
        <f t="shared" ref="B648:B711" si="62">$A648+1/24</f>
        <v>45774.749999998443</v>
      </c>
      <c r="C648" s="13">
        <f t="shared" ref="C648:C678" si="63">SUM(D648)/1000</f>
        <v>3.7160000000000002</v>
      </c>
      <c r="D648" s="14">
        <f t="shared" si="61"/>
        <v>3716</v>
      </c>
      <c r="G648" s="12">
        <f t="shared" ref="G648:G678" si="64">A648</f>
        <v>45774.708333331779</v>
      </c>
      <c r="H648" s="12">
        <f t="shared" ref="H648:H678" si="65">B648</f>
        <v>45774.749999998443</v>
      </c>
      <c r="I648" s="132"/>
      <c r="J648" s="169">
        <v>3716</v>
      </c>
      <c r="K648" s="175"/>
    </row>
    <row r="649" spans="1:11" ht="14.4" x14ac:dyDescent="0.3">
      <c r="A649" s="12">
        <f t="shared" ref="A649:A712" si="66">$A648+1/24</f>
        <v>45774.749999998443</v>
      </c>
      <c r="B649" s="12">
        <f t="shared" si="62"/>
        <v>45774.791666665107</v>
      </c>
      <c r="C649" s="13">
        <f t="shared" si="63"/>
        <v>3.879</v>
      </c>
      <c r="D649" s="14">
        <f t="shared" si="61"/>
        <v>3879</v>
      </c>
      <c r="G649" s="12">
        <f t="shared" si="64"/>
        <v>45774.749999998443</v>
      </c>
      <c r="H649" s="12">
        <f t="shared" si="65"/>
        <v>45774.791666665107</v>
      </c>
      <c r="I649" s="132"/>
      <c r="J649" s="169">
        <v>3879</v>
      </c>
      <c r="K649" s="175"/>
    </row>
    <row r="650" spans="1:11" ht="14.4" x14ac:dyDescent="0.3">
      <c r="A650" s="12">
        <f t="shared" si="66"/>
        <v>45774.791666665107</v>
      </c>
      <c r="B650" s="12">
        <f t="shared" si="62"/>
        <v>45774.833333331771</v>
      </c>
      <c r="C650" s="13">
        <f t="shared" si="63"/>
        <v>4.1260000000000003</v>
      </c>
      <c r="D650" s="14">
        <f t="shared" si="61"/>
        <v>4126</v>
      </c>
      <c r="G650" s="12">
        <f t="shared" si="64"/>
        <v>45774.791666665107</v>
      </c>
      <c r="H650" s="12">
        <f t="shared" si="65"/>
        <v>45774.833333331771</v>
      </c>
      <c r="I650" s="132"/>
      <c r="J650" s="169">
        <v>4126</v>
      </c>
      <c r="K650" s="175"/>
    </row>
    <row r="651" spans="1:11" ht="14.4" x14ac:dyDescent="0.3">
      <c r="A651" s="12">
        <f t="shared" si="66"/>
        <v>45774.833333331771</v>
      </c>
      <c r="B651" s="12">
        <f t="shared" si="62"/>
        <v>45774.874999998436</v>
      </c>
      <c r="C651" s="13">
        <f t="shared" si="63"/>
        <v>3.9630000000000001</v>
      </c>
      <c r="D651" s="14">
        <f t="shared" si="61"/>
        <v>3963</v>
      </c>
      <c r="G651" s="12">
        <f t="shared" si="64"/>
        <v>45774.833333331771</v>
      </c>
      <c r="H651" s="12">
        <f t="shared" si="65"/>
        <v>45774.874999998436</v>
      </c>
      <c r="I651" s="132"/>
      <c r="J651" s="169">
        <v>3963</v>
      </c>
      <c r="K651" s="175"/>
    </row>
    <row r="652" spans="1:11" ht="14.4" x14ac:dyDescent="0.3">
      <c r="A652" s="12">
        <f t="shared" si="66"/>
        <v>45774.874999998436</v>
      </c>
      <c r="B652" s="12">
        <f t="shared" si="62"/>
        <v>45774.9166666651</v>
      </c>
      <c r="C652" s="13">
        <f t="shared" si="63"/>
        <v>3.56</v>
      </c>
      <c r="D652" s="14">
        <f t="shared" si="61"/>
        <v>3560</v>
      </c>
      <c r="G652" s="12">
        <f t="shared" si="64"/>
        <v>45774.874999998436</v>
      </c>
      <c r="H652" s="12">
        <f t="shared" si="65"/>
        <v>45774.9166666651</v>
      </c>
      <c r="I652" s="132"/>
      <c r="J652" s="169">
        <v>3560</v>
      </c>
      <c r="K652" s="175"/>
    </row>
    <row r="653" spans="1:11" ht="14.4" x14ac:dyDescent="0.3">
      <c r="A653" s="12">
        <f t="shared" si="66"/>
        <v>45774.9166666651</v>
      </c>
      <c r="B653" s="12">
        <f t="shared" si="62"/>
        <v>45774.958333331764</v>
      </c>
      <c r="C653" s="13">
        <f t="shared" si="63"/>
        <v>3.234</v>
      </c>
      <c r="D653" s="14">
        <f t="shared" si="61"/>
        <v>3234</v>
      </c>
      <c r="G653" s="12">
        <f t="shared" si="64"/>
        <v>45774.9166666651</v>
      </c>
      <c r="H653" s="12">
        <f t="shared" si="65"/>
        <v>45774.958333331764</v>
      </c>
      <c r="I653" s="132"/>
      <c r="J653" s="169">
        <v>3234</v>
      </c>
      <c r="K653" s="175"/>
    </row>
    <row r="654" spans="1:11" ht="14.4" x14ac:dyDescent="0.3">
      <c r="A654" s="12">
        <f t="shared" si="66"/>
        <v>45774.958333331764</v>
      </c>
      <c r="B654" s="12">
        <f t="shared" si="62"/>
        <v>45774.999999998428</v>
      </c>
      <c r="C654" s="13">
        <f t="shared" si="63"/>
        <v>3.093</v>
      </c>
      <c r="D654" s="14">
        <f t="shared" si="61"/>
        <v>3093</v>
      </c>
      <c r="G654" s="12">
        <f t="shared" si="64"/>
        <v>45774.958333331764</v>
      </c>
      <c r="H654" s="12">
        <f t="shared" si="65"/>
        <v>45774.999999998428</v>
      </c>
      <c r="I654" s="132"/>
      <c r="J654" s="169">
        <v>3093</v>
      </c>
      <c r="K654" s="175"/>
    </row>
    <row r="655" spans="1:11" ht="14.4" x14ac:dyDescent="0.3">
      <c r="A655" s="12">
        <f t="shared" si="66"/>
        <v>45774.999999998428</v>
      </c>
      <c r="B655" s="12">
        <f t="shared" si="62"/>
        <v>45775.041666665093</v>
      </c>
      <c r="C655" s="13">
        <f t="shared" si="63"/>
        <v>3.0680000000000001</v>
      </c>
      <c r="D655" s="14">
        <f t="shared" si="61"/>
        <v>3068</v>
      </c>
      <c r="G655" s="12">
        <f t="shared" si="64"/>
        <v>45774.999999998428</v>
      </c>
      <c r="H655" s="12">
        <f t="shared" si="65"/>
        <v>45775.041666665093</v>
      </c>
      <c r="I655" s="132"/>
      <c r="J655" s="169">
        <v>3068</v>
      </c>
      <c r="K655" s="175"/>
    </row>
    <row r="656" spans="1:11" ht="14.4" x14ac:dyDescent="0.3">
      <c r="A656" s="12">
        <f t="shared" si="66"/>
        <v>45775.041666665093</v>
      </c>
      <c r="B656" s="12">
        <f t="shared" si="62"/>
        <v>45775.083333331757</v>
      </c>
      <c r="C656" s="13">
        <f t="shared" si="63"/>
        <v>3.093</v>
      </c>
      <c r="D656" s="14">
        <f t="shared" si="61"/>
        <v>3093</v>
      </c>
      <c r="G656" s="12">
        <f t="shared" si="64"/>
        <v>45775.041666665093</v>
      </c>
      <c r="H656" s="12">
        <f t="shared" si="65"/>
        <v>45775.083333331757</v>
      </c>
      <c r="I656" s="132"/>
      <c r="J656" s="169">
        <v>3093</v>
      </c>
      <c r="K656" s="175"/>
    </row>
    <row r="657" spans="1:11" ht="14.4" x14ac:dyDescent="0.3">
      <c r="A657" s="12">
        <f t="shared" si="66"/>
        <v>45775.083333331757</v>
      </c>
      <c r="B657" s="12">
        <f t="shared" si="62"/>
        <v>45775.124999998421</v>
      </c>
      <c r="C657" s="13">
        <f t="shared" si="63"/>
        <v>3.1880000000000002</v>
      </c>
      <c r="D657" s="14">
        <f t="shared" si="61"/>
        <v>3188</v>
      </c>
      <c r="G657" s="12">
        <f t="shared" si="64"/>
        <v>45775.083333331757</v>
      </c>
      <c r="H657" s="12">
        <f t="shared" si="65"/>
        <v>45775.124999998421</v>
      </c>
      <c r="I657" s="132"/>
      <c r="J657" s="169">
        <v>3188</v>
      </c>
      <c r="K657" s="175"/>
    </row>
    <row r="658" spans="1:11" ht="14.4" x14ac:dyDescent="0.3">
      <c r="A658" s="12">
        <f t="shared" si="66"/>
        <v>45775.124999998421</v>
      </c>
      <c r="B658" s="12">
        <f t="shared" si="62"/>
        <v>45775.166666665085</v>
      </c>
      <c r="C658" s="13">
        <f t="shared" si="63"/>
        <v>3.431</v>
      </c>
      <c r="D658" s="14">
        <f t="shared" si="61"/>
        <v>3431</v>
      </c>
      <c r="G658" s="12">
        <f t="shared" si="64"/>
        <v>45775.124999998421</v>
      </c>
      <c r="H658" s="12">
        <f t="shared" si="65"/>
        <v>45775.166666665085</v>
      </c>
      <c r="I658" s="132"/>
      <c r="J658" s="169">
        <v>3431</v>
      </c>
      <c r="K658" s="175"/>
    </row>
    <row r="659" spans="1:11" ht="14.4" x14ac:dyDescent="0.3">
      <c r="A659" s="12">
        <f t="shared" si="66"/>
        <v>45775.166666665085</v>
      </c>
      <c r="B659" s="12">
        <f t="shared" si="62"/>
        <v>45775.20833333175</v>
      </c>
      <c r="C659" s="13">
        <f t="shared" si="63"/>
        <v>3.7629999999999999</v>
      </c>
      <c r="D659" s="14">
        <f t="shared" si="61"/>
        <v>3763</v>
      </c>
      <c r="G659" s="12">
        <f t="shared" si="64"/>
        <v>45775.166666665085</v>
      </c>
      <c r="H659" s="12">
        <f t="shared" si="65"/>
        <v>45775.20833333175</v>
      </c>
      <c r="I659" s="132"/>
      <c r="J659" s="169">
        <v>3763</v>
      </c>
      <c r="K659" s="175"/>
    </row>
    <row r="660" spans="1:11" ht="14.4" x14ac:dyDescent="0.3">
      <c r="A660" s="12">
        <f t="shared" si="66"/>
        <v>45775.20833333175</v>
      </c>
      <c r="B660" s="12">
        <f t="shared" si="62"/>
        <v>45775.249999998414</v>
      </c>
      <c r="C660" s="13">
        <f t="shared" si="63"/>
        <v>4.2270000000000003</v>
      </c>
      <c r="D660" s="14">
        <f t="shared" si="61"/>
        <v>4227</v>
      </c>
      <c r="G660" s="12">
        <f t="shared" si="64"/>
        <v>45775.20833333175</v>
      </c>
      <c r="H660" s="12">
        <f t="shared" si="65"/>
        <v>45775.249999998414</v>
      </c>
      <c r="I660" s="132"/>
      <c r="J660" s="169">
        <v>4227</v>
      </c>
      <c r="K660" s="175"/>
    </row>
    <row r="661" spans="1:11" ht="14.4" x14ac:dyDescent="0.3">
      <c r="A661" s="12">
        <f t="shared" si="66"/>
        <v>45775.249999998414</v>
      </c>
      <c r="B661" s="12">
        <f t="shared" si="62"/>
        <v>45775.291666665078</v>
      </c>
      <c r="C661" s="13">
        <f t="shared" si="63"/>
        <v>4.3019999999999996</v>
      </c>
      <c r="D661" s="14">
        <f t="shared" si="61"/>
        <v>4302</v>
      </c>
      <c r="G661" s="12">
        <f t="shared" si="64"/>
        <v>45775.249999998414</v>
      </c>
      <c r="H661" s="12">
        <f t="shared" si="65"/>
        <v>45775.291666665078</v>
      </c>
      <c r="I661" s="132"/>
      <c r="J661" s="169">
        <v>4302</v>
      </c>
      <c r="K661" s="175"/>
    </row>
    <row r="662" spans="1:11" ht="14.4" x14ac:dyDescent="0.3">
      <c r="A662" s="12">
        <f t="shared" si="66"/>
        <v>45775.291666665078</v>
      </c>
      <c r="B662" s="12">
        <f t="shared" si="62"/>
        <v>45775.333333331742</v>
      </c>
      <c r="C662" s="13">
        <f t="shared" si="63"/>
        <v>4.1230000000000002</v>
      </c>
      <c r="D662" s="14">
        <f t="shared" si="61"/>
        <v>4123</v>
      </c>
      <c r="G662" s="12">
        <f t="shared" si="64"/>
        <v>45775.291666665078</v>
      </c>
      <c r="H662" s="12">
        <f t="shared" si="65"/>
        <v>45775.333333331742</v>
      </c>
      <c r="I662" s="132"/>
      <c r="J662" s="169">
        <v>4123</v>
      </c>
      <c r="K662" s="175"/>
    </row>
    <row r="663" spans="1:11" ht="14.4" x14ac:dyDescent="0.3">
      <c r="A663" s="12">
        <f t="shared" si="66"/>
        <v>45775.333333331742</v>
      </c>
      <c r="B663" s="12">
        <f t="shared" si="62"/>
        <v>45775.374999998407</v>
      </c>
      <c r="C663" s="13">
        <f t="shared" si="63"/>
        <v>3.9390000000000001</v>
      </c>
      <c r="D663" s="14">
        <f t="shared" si="61"/>
        <v>3939</v>
      </c>
      <c r="G663" s="12">
        <f t="shared" si="64"/>
        <v>45775.333333331742</v>
      </c>
      <c r="H663" s="12">
        <f t="shared" si="65"/>
        <v>45775.374999998407</v>
      </c>
      <c r="I663" s="132"/>
      <c r="J663" s="169">
        <v>3939</v>
      </c>
      <c r="K663" s="175"/>
    </row>
    <row r="664" spans="1:11" ht="14.4" x14ac:dyDescent="0.3">
      <c r="A664" s="12">
        <f t="shared" si="66"/>
        <v>45775.374999998407</v>
      </c>
      <c r="B664" s="12">
        <f t="shared" si="62"/>
        <v>45775.416666665071</v>
      </c>
      <c r="C664" s="13">
        <f t="shared" si="63"/>
        <v>3.6320000000000001</v>
      </c>
      <c r="D664" s="14">
        <f t="shared" si="61"/>
        <v>3632</v>
      </c>
      <c r="G664" s="12">
        <f t="shared" si="64"/>
        <v>45775.374999998407</v>
      </c>
      <c r="H664" s="12">
        <f t="shared" si="65"/>
        <v>45775.416666665071</v>
      </c>
      <c r="I664" s="132"/>
      <c r="J664" s="169">
        <v>3632</v>
      </c>
      <c r="K664" s="175"/>
    </row>
    <row r="665" spans="1:11" ht="14.4" x14ac:dyDescent="0.3">
      <c r="A665" s="12">
        <f t="shared" si="66"/>
        <v>45775.416666665071</v>
      </c>
      <c r="B665" s="12">
        <f t="shared" si="62"/>
        <v>45775.458333331735</v>
      </c>
      <c r="C665" s="13">
        <f t="shared" si="63"/>
        <v>3.528</v>
      </c>
      <c r="D665" s="14">
        <f t="shared" si="61"/>
        <v>3528</v>
      </c>
      <c r="G665" s="12">
        <f t="shared" si="64"/>
        <v>45775.416666665071</v>
      </c>
      <c r="H665" s="12">
        <f t="shared" si="65"/>
        <v>45775.458333331735</v>
      </c>
      <c r="I665" s="132"/>
      <c r="J665" s="169">
        <v>3528</v>
      </c>
      <c r="K665" s="175"/>
    </row>
    <row r="666" spans="1:11" ht="14.4" x14ac:dyDescent="0.3">
      <c r="A666" s="12">
        <f t="shared" si="66"/>
        <v>45775.458333331735</v>
      </c>
      <c r="B666" s="12">
        <f t="shared" si="62"/>
        <v>45775.499999998399</v>
      </c>
      <c r="C666" s="13">
        <f t="shared" si="63"/>
        <v>3.3969999999999998</v>
      </c>
      <c r="D666" s="14">
        <f t="shared" si="61"/>
        <v>3397</v>
      </c>
      <c r="G666" s="12">
        <f t="shared" si="64"/>
        <v>45775.458333331735</v>
      </c>
      <c r="H666" s="12">
        <f t="shared" si="65"/>
        <v>45775.499999998399</v>
      </c>
      <c r="I666" s="132"/>
      <c r="J666" s="169">
        <v>3397</v>
      </c>
      <c r="K666" s="175"/>
    </row>
    <row r="667" spans="1:11" ht="14.4" x14ac:dyDescent="0.3">
      <c r="A667" s="12">
        <f t="shared" si="66"/>
        <v>45775.499999998399</v>
      </c>
      <c r="B667" s="12">
        <f t="shared" si="62"/>
        <v>45775.541666665064</v>
      </c>
      <c r="C667" s="13">
        <f t="shared" si="63"/>
        <v>3.44</v>
      </c>
      <c r="D667" s="14">
        <f t="shared" si="61"/>
        <v>3440</v>
      </c>
      <c r="G667" s="12">
        <f t="shared" si="64"/>
        <v>45775.499999998399</v>
      </c>
      <c r="H667" s="12">
        <f t="shared" si="65"/>
        <v>45775.541666665064</v>
      </c>
      <c r="I667" s="132"/>
      <c r="J667" s="169">
        <v>3440</v>
      </c>
      <c r="K667" s="175"/>
    </row>
    <row r="668" spans="1:11" ht="14.4" x14ac:dyDescent="0.3">
      <c r="A668" s="12">
        <f t="shared" si="66"/>
        <v>45775.541666665064</v>
      </c>
      <c r="B668" s="12">
        <f t="shared" si="62"/>
        <v>45775.583333331728</v>
      </c>
      <c r="C668" s="13">
        <f t="shared" si="63"/>
        <v>3.452</v>
      </c>
      <c r="D668" s="14">
        <f t="shared" si="61"/>
        <v>3452</v>
      </c>
      <c r="G668" s="12">
        <f t="shared" si="64"/>
        <v>45775.541666665064</v>
      </c>
      <c r="H668" s="12">
        <f t="shared" si="65"/>
        <v>45775.583333331728</v>
      </c>
      <c r="I668" s="132"/>
      <c r="J668" s="169">
        <v>3452</v>
      </c>
      <c r="K668" s="175"/>
    </row>
    <row r="669" spans="1:11" ht="14.4" x14ac:dyDescent="0.3">
      <c r="A669" s="12">
        <f t="shared" si="66"/>
        <v>45775.583333331728</v>
      </c>
      <c r="B669" s="12">
        <f t="shared" si="62"/>
        <v>45775.624999998392</v>
      </c>
      <c r="C669" s="13">
        <f t="shared" si="63"/>
        <v>3.4529999999999998</v>
      </c>
      <c r="D669" s="14">
        <f t="shared" si="61"/>
        <v>3453</v>
      </c>
      <c r="G669" s="12">
        <f t="shared" si="64"/>
        <v>45775.583333331728</v>
      </c>
      <c r="H669" s="12">
        <f t="shared" si="65"/>
        <v>45775.624999998392</v>
      </c>
      <c r="I669" s="132"/>
      <c r="J669" s="169">
        <v>3453</v>
      </c>
      <c r="K669" s="175"/>
    </row>
    <row r="670" spans="1:11" ht="14.4" x14ac:dyDescent="0.3">
      <c r="A670" s="12">
        <f t="shared" si="66"/>
        <v>45775.624999998392</v>
      </c>
      <c r="B670" s="12">
        <f t="shared" si="62"/>
        <v>45775.666666665056</v>
      </c>
      <c r="C670" s="13">
        <f t="shared" si="63"/>
        <v>3.5259999999999998</v>
      </c>
      <c r="D670" s="14">
        <f t="shared" si="61"/>
        <v>3526</v>
      </c>
      <c r="G670" s="12">
        <f t="shared" si="64"/>
        <v>45775.624999998392</v>
      </c>
      <c r="H670" s="12">
        <f t="shared" si="65"/>
        <v>45775.666666665056</v>
      </c>
      <c r="I670" s="132"/>
      <c r="J670" s="169">
        <v>3526</v>
      </c>
      <c r="K670" s="175"/>
    </row>
    <row r="671" spans="1:11" ht="14.4" x14ac:dyDescent="0.3">
      <c r="A671" s="12">
        <f t="shared" si="66"/>
        <v>45775.666666665056</v>
      </c>
      <c r="B671" s="12">
        <f t="shared" si="62"/>
        <v>45775.70833333172</v>
      </c>
      <c r="C671" s="13">
        <f t="shared" si="63"/>
        <v>3.7050000000000001</v>
      </c>
      <c r="D671" s="14">
        <f t="shared" si="61"/>
        <v>3705</v>
      </c>
      <c r="G671" s="12">
        <f t="shared" si="64"/>
        <v>45775.666666665056</v>
      </c>
      <c r="H671" s="12">
        <f t="shared" si="65"/>
        <v>45775.70833333172</v>
      </c>
      <c r="I671" s="132"/>
      <c r="J671" s="169">
        <v>3705</v>
      </c>
      <c r="K671" s="175"/>
    </row>
    <row r="672" spans="1:11" ht="14.4" x14ac:dyDescent="0.3">
      <c r="A672" s="12">
        <f t="shared" si="66"/>
        <v>45775.70833333172</v>
      </c>
      <c r="B672" s="12">
        <f t="shared" si="62"/>
        <v>45775.749999998385</v>
      </c>
      <c r="C672" s="13">
        <f t="shared" si="63"/>
        <v>3.903</v>
      </c>
      <c r="D672" s="14">
        <f t="shared" si="61"/>
        <v>3903</v>
      </c>
      <c r="G672" s="12">
        <f t="shared" si="64"/>
        <v>45775.70833333172</v>
      </c>
      <c r="H672" s="12">
        <f t="shared" si="65"/>
        <v>45775.749999998385</v>
      </c>
      <c r="I672" s="132"/>
      <c r="J672" s="169">
        <v>3903</v>
      </c>
      <c r="K672" s="175"/>
    </row>
    <row r="673" spans="1:11" ht="14.4" x14ac:dyDescent="0.3">
      <c r="A673" s="12">
        <f t="shared" si="66"/>
        <v>45775.749999998385</v>
      </c>
      <c r="B673" s="12">
        <f t="shared" si="62"/>
        <v>45775.791666665049</v>
      </c>
      <c r="C673" s="13">
        <f t="shared" si="63"/>
        <v>3.9239999999999999</v>
      </c>
      <c r="D673" s="14">
        <f t="shared" si="61"/>
        <v>3924</v>
      </c>
      <c r="G673" s="12">
        <f t="shared" si="64"/>
        <v>45775.749999998385</v>
      </c>
      <c r="H673" s="12">
        <f t="shared" si="65"/>
        <v>45775.791666665049</v>
      </c>
      <c r="I673" s="132"/>
      <c r="J673" s="169">
        <v>3924</v>
      </c>
      <c r="K673" s="175"/>
    </row>
    <row r="674" spans="1:11" ht="14.4" x14ac:dyDescent="0.3">
      <c r="A674" s="12">
        <f t="shared" si="66"/>
        <v>45775.791666665049</v>
      </c>
      <c r="B674" s="12">
        <f t="shared" si="62"/>
        <v>45775.833333331713</v>
      </c>
      <c r="C674" s="13">
        <f t="shared" si="63"/>
        <v>4.0659999999999998</v>
      </c>
      <c r="D674" s="14">
        <f t="shared" si="61"/>
        <v>4066</v>
      </c>
      <c r="G674" s="12">
        <f t="shared" si="64"/>
        <v>45775.791666665049</v>
      </c>
      <c r="H674" s="12">
        <f t="shared" si="65"/>
        <v>45775.833333331713</v>
      </c>
      <c r="I674" s="132"/>
      <c r="J674" s="169">
        <v>4066</v>
      </c>
      <c r="K674" s="175"/>
    </row>
    <row r="675" spans="1:11" ht="14.4" x14ac:dyDescent="0.3">
      <c r="A675" s="12">
        <f t="shared" si="66"/>
        <v>45775.833333331713</v>
      </c>
      <c r="B675" s="12">
        <f t="shared" si="62"/>
        <v>45775.874999998377</v>
      </c>
      <c r="C675" s="13">
        <f t="shared" si="63"/>
        <v>3.964</v>
      </c>
      <c r="D675" s="14">
        <f t="shared" si="61"/>
        <v>3964</v>
      </c>
      <c r="G675" s="12">
        <f t="shared" si="64"/>
        <v>45775.833333331713</v>
      </c>
      <c r="H675" s="12">
        <f t="shared" si="65"/>
        <v>45775.874999998377</v>
      </c>
      <c r="I675" s="132"/>
      <c r="J675" s="169">
        <v>3964</v>
      </c>
      <c r="K675" s="175"/>
    </row>
    <row r="676" spans="1:11" ht="14.4" x14ac:dyDescent="0.3">
      <c r="A676" s="12">
        <f t="shared" si="66"/>
        <v>45775.874999998377</v>
      </c>
      <c r="B676" s="12">
        <f t="shared" si="62"/>
        <v>45775.916666665042</v>
      </c>
      <c r="C676" s="13">
        <f t="shared" si="63"/>
        <v>3.67</v>
      </c>
      <c r="D676" s="14">
        <f t="shared" si="61"/>
        <v>3670</v>
      </c>
      <c r="G676" s="12">
        <f t="shared" si="64"/>
        <v>45775.874999998377</v>
      </c>
      <c r="H676" s="12">
        <f t="shared" si="65"/>
        <v>45775.916666665042</v>
      </c>
      <c r="I676" s="132"/>
      <c r="J676" s="169">
        <v>3670</v>
      </c>
      <c r="K676" s="175"/>
    </row>
    <row r="677" spans="1:11" ht="14.4" x14ac:dyDescent="0.3">
      <c r="A677" s="12">
        <f t="shared" si="66"/>
        <v>45775.916666665042</v>
      </c>
      <c r="B677" s="12">
        <f t="shared" si="62"/>
        <v>45775.958333331706</v>
      </c>
      <c r="C677" s="13">
        <f t="shared" si="63"/>
        <v>3.3740000000000001</v>
      </c>
      <c r="D677" s="14">
        <f t="shared" si="61"/>
        <v>3374</v>
      </c>
      <c r="G677" s="12">
        <f t="shared" si="64"/>
        <v>45775.916666665042</v>
      </c>
      <c r="H677" s="12">
        <f t="shared" si="65"/>
        <v>45775.958333331706</v>
      </c>
      <c r="I677" s="132"/>
      <c r="J677" s="169">
        <v>3374</v>
      </c>
      <c r="K677" s="175"/>
    </row>
    <row r="678" spans="1:11" ht="14.4" x14ac:dyDescent="0.3">
      <c r="A678" s="12">
        <f t="shared" si="66"/>
        <v>45775.958333331706</v>
      </c>
      <c r="B678" s="12">
        <f t="shared" si="62"/>
        <v>45775.99999999837</v>
      </c>
      <c r="C678" s="13">
        <f t="shared" si="63"/>
        <v>3.2229999999999999</v>
      </c>
      <c r="D678" s="14">
        <f t="shared" si="61"/>
        <v>3223</v>
      </c>
      <c r="G678" s="12">
        <f t="shared" si="64"/>
        <v>45775.958333331706</v>
      </c>
      <c r="H678" s="12">
        <f t="shared" si="65"/>
        <v>45775.99999999837</v>
      </c>
      <c r="I678" s="132"/>
      <c r="J678" s="169">
        <v>3223</v>
      </c>
      <c r="K678" s="175"/>
    </row>
    <row r="679" spans="1:11" ht="14.4" x14ac:dyDescent="0.3">
      <c r="A679" s="12">
        <f t="shared" si="66"/>
        <v>45775.99999999837</v>
      </c>
      <c r="B679" s="12">
        <f t="shared" si="62"/>
        <v>45776.041666665034</v>
      </c>
      <c r="C679" s="13">
        <f t="shared" ref="C679:C720" si="67">SUM(D679)/1000</f>
        <v>3.2160000000000002</v>
      </c>
      <c r="D679" s="14">
        <f t="shared" ref="D679:D720" si="68">J679*(1+$D$3)*(1+$D$4)</f>
        <v>3216</v>
      </c>
      <c r="G679" s="12">
        <f t="shared" ref="G679:G720" si="69">A679</f>
        <v>45775.99999999837</v>
      </c>
      <c r="H679" s="12">
        <f t="shared" ref="H679:H720" si="70">B679</f>
        <v>45776.041666665034</v>
      </c>
      <c r="I679" s="132"/>
      <c r="J679" s="169">
        <v>3216</v>
      </c>
      <c r="K679" s="175"/>
    </row>
    <row r="680" spans="1:11" ht="14.4" x14ac:dyDescent="0.3">
      <c r="A680" s="12">
        <f t="shared" si="66"/>
        <v>45776.041666665034</v>
      </c>
      <c r="B680" s="12">
        <f t="shared" si="62"/>
        <v>45776.083333331699</v>
      </c>
      <c r="C680" s="13">
        <f t="shared" si="67"/>
        <v>3.1720000000000002</v>
      </c>
      <c r="D680" s="14">
        <f t="shared" si="68"/>
        <v>3172</v>
      </c>
      <c r="G680" s="12">
        <f t="shared" si="69"/>
        <v>45776.041666665034</v>
      </c>
      <c r="H680" s="12">
        <f t="shared" si="70"/>
        <v>45776.083333331699</v>
      </c>
      <c r="I680" s="132"/>
      <c r="J680" s="169">
        <v>3172</v>
      </c>
      <c r="K680" s="175"/>
    </row>
    <row r="681" spans="1:11" ht="14.4" x14ac:dyDescent="0.3">
      <c r="A681" s="12">
        <f t="shared" si="66"/>
        <v>45776.083333331699</v>
      </c>
      <c r="B681" s="12">
        <f t="shared" si="62"/>
        <v>45776.124999998363</v>
      </c>
      <c r="C681" s="13">
        <f t="shared" si="67"/>
        <v>3.2320000000000002</v>
      </c>
      <c r="D681" s="14">
        <f t="shared" si="68"/>
        <v>3232</v>
      </c>
      <c r="G681" s="12">
        <f t="shared" si="69"/>
        <v>45776.083333331699</v>
      </c>
      <c r="H681" s="12">
        <f t="shared" si="70"/>
        <v>45776.124999998363</v>
      </c>
      <c r="I681" s="132"/>
      <c r="J681" s="169">
        <v>3232</v>
      </c>
      <c r="K681" s="175"/>
    </row>
    <row r="682" spans="1:11" ht="14.4" x14ac:dyDescent="0.3">
      <c r="A682" s="12">
        <f t="shared" si="66"/>
        <v>45776.124999998363</v>
      </c>
      <c r="B682" s="12">
        <f t="shared" si="62"/>
        <v>45776.166666665027</v>
      </c>
      <c r="C682" s="13">
        <f t="shared" si="67"/>
        <v>3.5049999999999999</v>
      </c>
      <c r="D682" s="14">
        <f t="shared" si="68"/>
        <v>3505</v>
      </c>
      <c r="G682" s="12">
        <f t="shared" si="69"/>
        <v>45776.124999998363</v>
      </c>
      <c r="H682" s="12">
        <f t="shared" si="70"/>
        <v>45776.166666665027</v>
      </c>
      <c r="I682" s="132"/>
      <c r="J682" s="169">
        <v>3505</v>
      </c>
      <c r="K682" s="175"/>
    </row>
    <row r="683" spans="1:11" ht="14.4" x14ac:dyDescent="0.3">
      <c r="A683" s="12">
        <f t="shared" si="66"/>
        <v>45776.166666665027</v>
      </c>
      <c r="B683" s="12">
        <f t="shared" si="62"/>
        <v>45776.208333331691</v>
      </c>
      <c r="C683" s="13">
        <f t="shared" si="67"/>
        <v>3.81</v>
      </c>
      <c r="D683" s="14">
        <f t="shared" si="68"/>
        <v>3810</v>
      </c>
      <c r="G683" s="12">
        <f t="shared" si="69"/>
        <v>45776.166666665027</v>
      </c>
      <c r="H683" s="12">
        <f t="shared" si="70"/>
        <v>45776.208333331691</v>
      </c>
      <c r="I683" s="132"/>
      <c r="J683" s="169">
        <v>3810</v>
      </c>
      <c r="K683" s="175"/>
    </row>
    <row r="684" spans="1:11" ht="14.4" x14ac:dyDescent="0.3">
      <c r="A684" s="12">
        <f t="shared" si="66"/>
        <v>45776.208333331691</v>
      </c>
      <c r="B684" s="12">
        <f t="shared" si="62"/>
        <v>45776.249999998356</v>
      </c>
      <c r="C684" s="13">
        <f t="shared" si="67"/>
        <v>4.274</v>
      </c>
      <c r="D684" s="14">
        <f t="shared" si="68"/>
        <v>4274</v>
      </c>
      <c r="G684" s="12">
        <f t="shared" si="69"/>
        <v>45776.208333331691</v>
      </c>
      <c r="H684" s="12">
        <f t="shared" si="70"/>
        <v>45776.249999998356</v>
      </c>
      <c r="I684" s="132"/>
      <c r="J684" s="169">
        <v>4274</v>
      </c>
      <c r="K684" s="175"/>
    </row>
    <row r="685" spans="1:11" ht="14.4" x14ac:dyDescent="0.3">
      <c r="A685" s="12">
        <f t="shared" si="66"/>
        <v>45776.249999998356</v>
      </c>
      <c r="B685" s="12">
        <f t="shared" si="62"/>
        <v>45776.29166666502</v>
      </c>
      <c r="C685" s="13">
        <f t="shared" si="67"/>
        <v>4.6180000000000003</v>
      </c>
      <c r="D685" s="14">
        <f t="shared" si="68"/>
        <v>4618</v>
      </c>
      <c r="G685" s="12">
        <f t="shared" si="69"/>
        <v>45776.249999998356</v>
      </c>
      <c r="H685" s="12">
        <f t="shared" si="70"/>
        <v>45776.29166666502</v>
      </c>
      <c r="I685" s="132"/>
      <c r="J685" s="169">
        <v>4618</v>
      </c>
      <c r="K685" s="175"/>
    </row>
    <row r="686" spans="1:11" ht="14.4" x14ac:dyDescent="0.3">
      <c r="A686" s="12">
        <f t="shared" si="66"/>
        <v>45776.29166666502</v>
      </c>
      <c r="B686" s="12">
        <f t="shared" si="62"/>
        <v>45776.333333331684</v>
      </c>
      <c r="C686" s="13">
        <f t="shared" si="67"/>
        <v>4.407</v>
      </c>
      <c r="D686" s="14">
        <f t="shared" si="68"/>
        <v>4407</v>
      </c>
      <c r="G686" s="12">
        <f t="shared" si="69"/>
        <v>45776.29166666502</v>
      </c>
      <c r="H686" s="12">
        <f t="shared" si="70"/>
        <v>45776.333333331684</v>
      </c>
      <c r="I686" s="132"/>
      <c r="J686" s="169">
        <v>4407</v>
      </c>
      <c r="K686" s="175"/>
    </row>
    <row r="687" spans="1:11" ht="14.4" x14ac:dyDescent="0.3">
      <c r="A687" s="12">
        <f t="shared" si="66"/>
        <v>45776.333333331684</v>
      </c>
      <c r="B687" s="12">
        <f t="shared" si="62"/>
        <v>45776.374999998348</v>
      </c>
      <c r="C687" s="13">
        <f t="shared" si="67"/>
        <v>3.992</v>
      </c>
      <c r="D687" s="14">
        <f t="shared" si="68"/>
        <v>3992</v>
      </c>
      <c r="G687" s="12">
        <f t="shared" si="69"/>
        <v>45776.333333331684</v>
      </c>
      <c r="H687" s="12">
        <f t="shared" si="70"/>
        <v>45776.374999998348</v>
      </c>
      <c r="I687" s="132"/>
      <c r="J687" s="169">
        <v>3992</v>
      </c>
      <c r="K687" s="175"/>
    </row>
    <row r="688" spans="1:11" ht="14.4" x14ac:dyDescent="0.3">
      <c r="A688" s="12">
        <f t="shared" si="66"/>
        <v>45776.374999998348</v>
      </c>
      <c r="B688" s="12">
        <f t="shared" si="62"/>
        <v>45776.416666665013</v>
      </c>
      <c r="C688" s="13">
        <f t="shared" si="67"/>
        <v>3.851</v>
      </c>
      <c r="D688" s="14">
        <f t="shared" si="68"/>
        <v>3851</v>
      </c>
      <c r="G688" s="12">
        <f t="shared" si="69"/>
        <v>45776.374999998348</v>
      </c>
      <c r="H688" s="12">
        <f t="shared" si="70"/>
        <v>45776.416666665013</v>
      </c>
      <c r="I688" s="132"/>
      <c r="J688" s="169">
        <v>3851</v>
      </c>
      <c r="K688" s="175"/>
    </row>
    <row r="689" spans="1:11" ht="14.4" x14ac:dyDescent="0.3">
      <c r="A689" s="12">
        <f t="shared" si="66"/>
        <v>45776.416666665013</v>
      </c>
      <c r="B689" s="12">
        <f t="shared" si="62"/>
        <v>45776.458333331677</v>
      </c>
      <c r="C689" s="13">
        <f t="shared" si="67"/>
        <v>3.6070000000000002</v>
      </c>
      <c r="D689" s="14">
        <f t="shared" si="68"/>
        <v>3607</v>
      </c>
      <c r="G689" s="12">
        <f t="shared" si="69"/>
        <v>45776.416666665013</v>
      </c>
      <c r="H689" s="12">
        <f t="shared" si="70"/>
        <v>45776.458333331677</v>
      </c>
      <c r="I689" s="132"/>
      <c r="J689" s="169">
        <v>3607</v>
      </c>
      <c r="K689" s="175"/>
    </row>
    <row r="690" spans="1:11" ht="14.4" x14ac:dyDescent="0.3">
      <c r="A690" s="12">
        <f t="shared" si="66"/>
        <v>45776.458333331677</v>
      </c>
      <c r="B690" s="12">
        <f t="shared" si="62"/>
        <v>45776.499999998341</v>
      </c>
      <c r="C690" s="13">
        <f t="shared" si="67"/>
        <v>3.5840000000000001</v>
      </c>
      <c r="D690" s="14">
        <f t="shared" si="68"/>
        <v>3584</v>
      </c>
      <c r="G690" s="12">
        <f t="shared" si="69"/>
        <v>45776.458333331677</v>
      </c>
      <c r="H690" s="12">
        <f t="shared" si="70"/>
        <v>45776.499999998341</v>
      </c>
      <c r="I690" s="132"/>
      <c r="J690" s="169">
        <v>3584</v>
      </c>
      <c r="K690" s="175"/>
    </row>
    <row r="691" spans="1:11" ht="14.4" x14ac:dyDescent="0.3">
      <c r="A691" s="12">
        <f t="shared" si="66"/>
        <v>45776.499999998341</v>
      </c>
      <c r="B691" s="12">
        <f t="shared" si="62"/>
        <v>45776.541666665005</v>
      </c>
      <c r="C691" s="13">
        <f t="shared" si="67"/>
        <v>3.9580000000000002</v>
      </c>
      <c r="D691" s="14">
        <f t="shared" si="68"/>
        <v>3958</v>
      </c>
      <c r="G691" s="12">
        <f t="shared" si="69"/>
        <v>45776.499999998341</v>
      </c>
      <c r="H691" s="12">
        <f t="shared" si="70"/>
        <v>45776.541666665005</v>
      </c>
      <c r="I691" s="132"/>
      <c r="J691" s="169">
        <v>3958</v>
      </c>
      <c r="K691" s="175"/>
    </row>
    <row r="692" spans="1:11" ht="14.4" x14ac:dyDescent="0.3">
      <c r="A692" s="12">
        <f t="shared" si="66"/>
        <v>45776.541666665005</v>
      </c>
      <c r="B692" s="12">
        <f t="shared" si="62"/>
        <v>45776.58333333167</v>
      </c>
      <c r="C692" s="13">
        <f t="shared" si="67"/>
        <v>3.9319999999999999</v>
      </c>
      <c r="D692" s="14">
        <f t="shared" si="68"/>
        <v>3932</v>
      </c>
      <c r="G692" s="12">
        <f t="shared" si="69"/>
        <v>45776.541666665005</v>
      </c>
      <c r="H692" s="12">
        <f t="shared" si="70"/>
        <v>45776.58333333167</v>
      </c>
      <c r="I692" s="132"/>
      <c r="J692" s="169">
        <v>3932</v>
      </c>
      <c r="K692" s="175"/>
    </row>
    <row r="693" spans="1:11" ht="14.4" x14ac:dyDescent="0.3">
      <c r="A693" s="12">
        <f t="shared" si="66"/>
        <v>45776.58333333167</v>
      </c>
      <c r="B693" s="12">
        <f t="shared" si="62"/>
        <v>45776.624999998334</v>
      </c>
      <c r="C693" s="13">
        <f t="shared" si="67"/>
        <v>3.9550000000000001</v>
      </c>
      <c r="D693" s="14">
        <f t="shared" si="68"/>
        <v>3955</v>
      </c>
      <c r="G693" s="12">
        <f t="shared" si="69"/>
        <v>45776.58333333167</v>
      </c>
      <c r="H693" s="12">
        <f t="shared" si="70"/>
        <v>45776.624999998334</v>
      </c>
      <c r="I693" s="132"/>
      <c r="J693" s="169">
        <v>3955</v>
      </c>
      <c r="K693" s="175"/>
    </row>
    <row r="694" spans="1:11" ht="14.4" x14ac:dyDescent="0.3">
      <c r="A694" s="12">
        <f t="shared" si="66"/>
        <v>45776.624999998334</v>
      </c>
      <c r="B694" s="12">
        <f t="shared" si="62"/>
        <v>45776.666666664998</v>
      </c>
      <c r="C694" s="13">
        <f t="shared" si="67"/>
        <v>4.133</v>
      </c>
      <c r="D694" s="14">
        <f t="shared" si="68"/>
        <v>4133</v>
      </c>
      <c r="G694" s="12">
        <f t="shared" si="69"/>
        <v>45776.624999998334</v>
      </c>
      <c r="H694" s="12">
        <f t="shared" si="70"/>
        <v>45776.666666664998</v>
      </c>
      <c r="I694" s="132"/>
      <c r="J694" s="169">
        <v>4133</v>
      </c>
      <c r="K694" s="175"/>
    </row>
    <row r="695" spans="1:11" ht="14.4" x14ac:dyDescent="0.3">
      <c r="A695" s="12">
        <f t="shared" si="66"/>
        <v>45776.666666664998</v>
      </c>
      <c r="B695" s="12">
        <f t="shared" si="62"/>
        <v>45776.708333331662</v>
      </c>
      <c r="C695" s="13">
        <f t="shared" si="67"/>
        <v>4.3460000000000001</v>
      </c>
      <c r="D695" s="14">
        <f t="shared" si="68"/>
        <v>4346</v>
      </c>
      <c r="G695" s="12">
        <f t="shared" si="69"/>
        <v>45776.666666664998</v>
      </c>
      <c r="H695" s="12">
        <f t="shared" si="70"/>
        <v>45776.708333331662</v>
      </c>
      <c r="I695" s="132"/>
      <c r="J695" s="169">
        <v>4346</v>
      </c>
      <c r="K695" s="175"/>
    </row>
    <row r="696" spans="1:11" ht="14.4" x14ac:dyDescent="0.3">
      <c r="A696" s="12">
        <f t="shared" si="66"/>
        <v>45776.708333331662</v>
      </c>
      <c r="B696" s="12">
        <f t="shared" si="62"/>
        <v>45776.749999998327</v>
      </c>
      <c r="C696" s="13">
        <f t="shared" si="67"/>
        <v>4.335</v>
      </c>
      <c r="D696" s="14">
        <f t="shared" si="68"/>
        <v>4335</v>
      </c>
      <c r="G696" s="12">
        <f t="shared" si="69"/>
        <v>45776.708333331662</v>
      </c>
      <c r="H696" s="12">
        <f t="shared" si="70"/>
        <v>45776.749999998327</v>
      </c>
      <c r="I696" s="132"/>
      <c r="J696" s="169">
        <v>4335</v>
      </c>
      <c r="K696" s="175"/>
    </row>
    <row r="697" spans="1:11" ht="14.4" x14ac:dyDescent="0.3">
      <c r="A697" s="12">
        <f t="shared" si="66"/>
        <v>45776.749999998327</v>
      </c>
      <c r="B697" s="12">
        <f t="shared" si="62"/>
        <v>45776.791666664991</v>
      </c>
      <c r="C697" s="13">
        <f t="shared" si="67"/>
        <v>4.2489999999999997</v>
      </c>
      <c r="D697" s="14">
        <f t="shared" si="68"/>
        <v>4249</v>
      </c>
      <c r="G697" s="12">
        <f t="shared" si="69"/>
        <v>45776.749999998327</v>
      </c>
      <c r="H697" s="12">
        <f t="shared" si="70"/>
        <v>45776.791666664991</v>
      </c>
      <c r="I697" s="132"/>
      <c r="J697" s="169">
        <v>4249</v>
      </c>
      <c r="K697" s="175"/>
    </row>
    <row r="698" spans="1:11" ht="14.4" x14ac:dyDescent="0.3">
      <c r="A698" s="12">
        <f t="shared" si="66"/>
        <v>45776.791666664991</v>
      </c>
      <c r="B698" s="12">
        <f t="shared" si="62"/>
        <v>45776.833333331655</v>
      </c>
      <c r="C698" s="13">
        <f t="shared" si="67"/>
        <v>4.359</v>
      </c>
      <c r="D698" s="14">
        <f t="shared" si="68"/>
        <v>4359</v>
      </c>
      <c r="G698" s="12">
        <f t="shared" si="69"/>
        <v>45776.791666664991</v>
      </c>
      <c r="H698" s="12">
        <f t="shared" si="70"/>
        <v>45776.833333331655</v>
      </c>
      <c r="I698" s="132"/>
      <c r="J698" s="169">
        <v>4359</v>
      </c>
      <c r="K698" s="175"/>
    </row>
    <row r="699" spans="1:11" ht="14.4" x14ac:dyDescent="0.3">
      <c r="A699" s="12">
        <f t="shared" si="66"/>
        <v>45776.833333331655</v>
      </c>
      <c r="B699" s="12">
        <f t="shared" si="62"/>
        <v>45776.874999998319</v>
      </c>
      <c r="C699" s="13">
        <f t="shared" si="67"/>
        <v>4.2919999999999998</v>
      </c>
      <c r="D699" s="14">
        <f t="shared" si="68"/>
        <v>4292</v>
      </c>
      <c r="G699" s="12">
        <f t="shared" si="69"/>
        <v>45776.833333331655</v>
      </c>
      <c r="H699" s="12">
        <f t="shared" si="70"/>
        <v>45776.874999998319</v>
      </c>
      <c r="I699" s="132"/>
      <c r="J699" s="169">
        <v>4292</v>
      </c>
      <c r="K699" s="175"/>
    </row>
    <row r="700" spans="1:11" ht="14.4" x14ac:dyDescent="0.3">
      <c r="A700" s="12">
        <f t="shared" si="66"/>
        <v>45776.874999998319</v>
      </c>
      <c r="B700" s="12">
        <f t="shared" si="62"/>
        <v>45776.916666664983</v>
      </c>
      <c r="C700" s="13">
        <f t="shared" si="67"/>
        <v>3.831</v>
      </c>
      <c r="D700" s="14">
        <f t="shared" si="68"/>
        <v>3831</v>
      </c>
      <c r="G700" s="12">
        <f t="shared" si="69"/>
        <v>45776.874999998319</v>
      </c>
      <c r="H700" s="12">
        <f t="shared" si="70"/>
        <v>45776.916666664983</v>
      </c>
      <c r="I700" s="132"/>
      <c r="J700" s="169">
        <v>3831</v>
      </c>
      <c r="K700" s="175"/>
    </row>
    <row r="701" spans="1:11" ht="14.4" x14ac:dyDescent="0.3">
      <c r="A701" s="12">
        <f t="shared" si="66"/>
        <v>45776.916666664983</v>
      </c>
      <c r="B701" s="12">
        <f t="shared" si="62"/>
        <v>45776.958333331648</v>
      </c>
      <c r="C701" s="13">
        <f t="shared" si="67"/>
        <v>3.4390000000000001</v>
      </c>
      <c r="D701" s="14">
        <f t="shared" si="68"/>
        <v>3439</v>
      </c>
      <c r="G701" s="12">
        <f t="shared" si="69"/>
        <v>45776.916666664983</v>
      </c>
      <c r="H701" s="12">
        <f t="shared" si="70"/>
        <v>45776.958333331648</v>
      </c>
      <c r="I701" s="132"/>
      <c r="J701" s="169">
        <v>3439</v>
      </c>
      <c r="K701" s="175"/>
    </row>
    <row r="702" spans="1:11" ht="14.4" x14ac:dyDescent="0.3">
      <c r="A702" s="12">
        <f t="shared" si="66"/>
        <v>45776.958333331648</v>
      </c>
      <c r="B702" s="12">
        <f t="shared" si="62"/>
        <v>45776.999999998312</v>
      </c>
      <c r="C702" s="13">
        <f t="shared" si="67"/>
        <v>3.2730000000000001</v>
      </c>
      <c r="D702" s="14">
        <f t="shared" si="68"/>
        <v>3273</v>
      </c>
      <c r="G702" s="12">
        <f t="shared" si="69"/>
        <v>45776.958333331648</v>
      </c>
      <c r="H702" s="12">
        <f t="shared" si="70"/>
        <v>45776.999999998312</v>
      </c>
      <c r="I702" s="132"/>
      <c r="J702" s="169">
        <v>3273</v>
      </c>
      <c r="K702" s="175"/>
    </row>
    <row r="703" spans="1:11" ht="14.4" x14ac:dyDescent="0.3">
      <c r="A703" s="12">
        <f t="shared" si="66"/>
        <v>45776.999999998312</v>
      </c>
      <c r="B703" s="12">
        <f t="shared" si="62"/>
        <v>45777.041666664976</v>
      </c>
      <c r="C703" s="13">
        <f t="shared" si="67"/>
        <v>3.1680000000000001</v>
      </c>
      <c r="D703" s="14">
        <f t="shared" si="68"/>
        <v>3168</v>
      </c>
      <c r="G703" s="12">
        <f t="shared" si="69"/>
        <v>45776.999999998312</v>
      </c>
      <c r="H703" s="12">
        <f t="shared" si="70"/>
        <v>45777.041666664976</v>
      </c>
      <c r="I703" s="132"/>
      <c r="J703" s="169">
        <v>3168</v>
      </c>
      <c r="K703" s="175"/>
    </row>
    <row r="704" spans="1:11" ht="14.4" x14ac:dyDescent="0.3">
      <c r="A704" s="12">
        <f t="shared" si="66"/>
        <v>45777.041666664976</v>
      </c>
      <c r="B704" s="12">
        <f t="shared" si="62"/>
        <v>45777.08333333164</v>
      </c>
      <c r="C704" s="13">
        <f t="shared" si="67"/>
        <v>3.1680000000000001</v>
      </c>
      <c r="D704" s="14">
        <f t="shared" si="68"/>
        <v>3168</v>
      </c>
      <c r="G704" s="12">
        <f t="shared" si="69"/>
        <v>45777.041666664976</v>
      </c>
      <c r="H704" s="12">
        <f t="shared" si="70"/>
        <v>45777.08333333164</v>
      </c>
      <c r="I704" s="132"/>
      <c r="J704" s="169">
        <v>3168</v>
      </c>
      <c r="K704" s="175"/>
    </row>
    <row r="705" spans="1:11" ht="14.4" x14ac:dyDescent="0.3">
      <c r="A705" s="12">
        <f t="shared" si="66"/>
        <v>45777.08333333164</v>
      </c>
      <c r="B705" s="12">
        <f t="shared" si="62"/>
        <v>45777.124999998305</v>
      </c>
      <c r="C705" s="13">
        <f t="shared" si="67"/>
        <v>3.26</v>
      </c>
      <c r="D705" s="14">
        <f t="shared" si="68"/>
        <v>3260</v>
      </c>
      <c r="G705" s="12">
        <f t="shared" si="69"/>
        <v>45777.08333333164</v>
      </c>
      <c r="H705" s="12">
        <f t="shared" si="70"/>
        <v>45777.124999998305</v>
      </c>
      <c r="I705" s="132"/>
      <c r="J705" s="169">
        <v>3260</v>
      </c>
      <c r="K705" s="175"/>
    </row>
    <row r="706" spans="1:11" ht="14.4" x14ac:dyDescent="0.3">
      <c r="A706" s="12">
        <f t="shared" si="66"/>
        <v>45777.124999998305</v>
      </c>
      <c r="B706" s="12">
        <f t="shared" si="62"/>
        <v>45777.166666664969</v>
      </c>
      <c r="C706" s="13">
        <f t="shared" si="67"/>
        <v>3.5</v>
      </c>
      <c r="D706" s="14">
        <f t="shared" si="68"/>
        <v>3500</v>
      </c>
      <c r="G706" s="12">
        <f t="shared" si="69"/>
        <v>45777.124999998305</v>
      </c>
      <c r="H706" s="12">
        <f t="shared" si="70"/>
        <v>45777.166666664969</v>
      </c>
      <c r="I706" s="132"/>
      <c r="J706" s="169">
        <v>3500</v>
      </c>
      <c r="K706" s="175"/>
    </row>
    <row r="707" spans="1:11" ht="14.4" x14ac:dyDescent="0.3">
      <c r="A707" s="12">
        <f t="shared" si="66"/>
        <v>45777.166666664969</v>
      </c>
      <c r="B707" s="12">
        <f t="shared" si="62"/>
        <v>45777.208333331633</v>
      </c>
      <c r="C707" s="13">
        <f t="shared" si="67"/>
        <v>3.9239999999999999</v>
      </c>
      <c r="D707" s="14">
        <f t="shared" si="68"/>
        <v>3924</v>
      </c>
      <c r="G707" s="12">
        <f t="shared" si="69"/>
        <v>45777.166666664969</v>
      </c>
      <c r="H707" s="12">
        <f t="shared" si="70"/>
        <v>45777.208333331633</v>
      </c>
      <c r="I707" s="132"/>
      <c r="J707" s="169">
        <v>3924</v>
      </c>
      <c r="K707" s="175"/>
    </row>
    <row r="708" spans="1:11" ht="14.4" x14ac:dyDescent="0.3">
      <c r="A708" s="12">
        <f t="shared" si="66"/>
        <v>45777.208333331633</v>
      </c>
      <c r="B708" s="12">
        <f t="shared" si="62"/>
        <v>45777.249999998297</v>
      </c>
      <c r="C708" s="13">
        <f t="shared" si="67"/>
        <v>4.3319999999999999</v>
      </c>
      <c r="D708" s="14">
        <f t="shared" si="68"/>
        <v>4332</v>
      </c>
      <c r="G708" s="12">
        <f t="shared" si="69"/>
        <v>45777.208333331633</v>
      </c>
      <c r="H708" s="12">
        <f t="shared" si="70"/>
        <v>45777.249999998297</v>
      </c>
      <c r="I708" s="132"/>
      <c r="J708" s="169">
        <v>4332</v>
      </c>
      <c r="K708" s="175"/>
    </row>
    <row r="709" spans="1:11" ht="14.4" x14ac:dyDescent="0.3">
      <c r="A709" s="12">
        <f t="shared" si="66"/>
        <v>45777.249999998297</v>
      </c>
      <c r="B709" s="12">
        <f t="shared" si="62"/>
        <v>45777.291666664962</v>
      </c>
      <c r="C709" s="13">
        <f t="shared" si="67"/>
        <v>4.4139999999999997</v>
      </c>
      <c r="D709" s="14">
        <f t="shared" si="68"/>
        <v>4414</v>
      </c>
      <c r="G709" s="12">
        <f t="shared" si="69"/>
        <v>45777.249999998297</v>
      </c>
      <c r="H709" s="12">
        <f t="shared" si="70"/>
        <v>45777.291666664962</v>
      </c>
      <c r="I709" s="132"/>
      <c r="J709" s="169">
        <v>4414</v>
      </c>
      <c r="K709" s="175"/>
    </row>
    <row r="710" spans="1:11" ht="14.4" x14ac:dyDescent="0.3">
      <c r="A710" s="12">
        <f t="shared" si="66"/>
        <v>45777.291666664962</v>
      </c>
      <c r="B710" s="12">
        <f t="shared" si="62"/>
        <v>45777.333333331626</v>
      </c>
      <c r="C710" s="13">
        <f t="shared" si="67"/>
        <v>4.2640000000000002</v>
      </c>
      <c r="D710" s="14">
        <f t="shared" si="68"/>
        <v>4264</v>
      </c>
      <c r="G710" s="12">
        <f t="shared" si="69"/>
        <v>45777.291666664962</v>
      </c>
      <c r="H710" s="12">
        <f t="shared" si="70"/>
        <v>45777.333333331626</v>
      </c>
      <c r="I710" s="132"/>
      <c r="J710" s="169">
        <v>4264</v>
      </c>
      <c r="K710" s="175"/>
    </row>
    <row r="711" spans="1:11" ht="14.4" x14ac:dyDescent="0.3">
      <c r="A711" s="12">
        <f t="shared" si="66"/>
        <v>45777.333333331626</v>
      </c>
      <c r="B711" s="12">
        <f t="shared" si="62"/>
        <v>45777.37499999829</v>
      </c>
      <c r="C711" s="13">
        <f t="shared" si="67"/>
        <v>3.8610000000000002</v>
      </c>
      <c r="D711" s="14">
        <f t="shared" si="68"/>
        <v>3861</v>
      </c>
      <c r="G711" s="12">
        <f t="shared" si="69"/>
        <v>45777.333333331626</v>
      </c>
      <c r="H711" s="12">
        <f t="shared" si="70"/>
        <v>45777.37499999829</v>
      </c>
      <c r="I711" s="132"/>
      <c r="J711" s="169">
        <v>3861</v>
      </c>
      <c r="K711" s="175"/>
    </row>
    <row r="712" spans="1:11" ht="14.4" x14ac:dyDescent="0.3">
      <c r="A712" s="12">
        <f t="shared" si="66"/>
        <v>45777.37499999829</v>
      </c>
      <c r="B712" s="12">
        <f t="shared" ref="B712:B726" si="71">$A712+1/24</f>
        <v>45777.416666664954</v>
      </c>
      <c r="C712" s="13">
        <f t="shared" si="67"/>
        <v>3.7170000000000001</v>
      </c>
      <c r="D712" s="14">
        <f t="shared" si="68"/>
        <v>3717</v>
      </c>
      <c r="G712" s="12">
        <f t="shared" si="69"/>
        <v>45777.37499999829</v>
      </c>
      <c r="H712" s="12">
        <f t="shared" si="70"/>
        <v>45777.416666664954</v>
      </c>
      <c r="I712" s="132"/>
      <c r="J712" s="169">
        <v>3717</v>
      </c>
      <c r="K712" s="175"/>
    </row>
    <row r="713" spans="1:11" ht="14.4" x14ac:dyDescent="0.3">
      <c r="A713" s="12">
        <f t="shared" ref="A713:A726" si="72">$A712+1/24</f>
        <v>45777.416666664954</v>
      </c>
      <c r="B713" s="12">
        <f t="shared" si="71"/>
        <v>45777.458333331619</v>
      </c>
      <c r="C713" s="13">
        <f t="shared" si="67"/>
        <v>3.609</v>
      </c>
      <c r="D713" s="14">
        <f t="shared" si="68"/>
        <v>3609</v>
      </c>
      <c r="G713" s="12">
        <f t="shared" si="69"/>
        <v>45777.416666664954</v>
      </c>
      <c r="H713" s="12">
        <f t="shared" si="70"/>
        <v>45777.458333331619</v>
      </c>
      <c r="I713" s="132"/>
      <c r="J713" s="169">
        <v>3609</v>
      </c>
      <c r="K713" s="175"/>
    </row>
    <row r="714" spans="1:11" ht="14.4" x14ac:dyDescent="0.3">
      <c r="A714" s="12">
        <f t="shared" si="72"/>
        <v>45777.458333331619</v>
      </c>
      <c r="B714" s="12">
        <f t="shared" si="71"/>
        <v>45777.499999998283</v>
      </c>
      <c r="C714" s="13">
        <f t="shared" si="67"/>
        <v>3.633</v>
      </c>
      <c r="D714" s="14">
        <f t="shared" si="68"/>
        <v>3633</v>
      </c>
      <c r="G714" s="12">
        <f t="shared" si="69"/>
        <v>45777.458333331619</v>
      </c>
      <c r="H714" s="12">
        <f t="shared" si="70"/>
        <v>45777.499999998283</v>
      </c>
      <c r="I714" s="132"/>
      <c r="J714" s="169">
        <v>3633</v>
      </c>
      <c r="K714" s="175"/>
    </row>
    <row r="715" spans="1:11" ht="14.4" x14ac:dyDescent="0.3">
      <c r="A715" s="12">
        <f t="shared" si="72"/>
        <v>45777.499999998283</v>
      </c>
      <c r="B715" s="12">
        <f t="shared" si="71"/>
        <v>45777.541666664947</v>
      </c>
      <c r="C715" s="13">
        <f t="shared" si="67"/>
        <v>3.633</v>
      </c>
      <c r="D715" s="14">
        <f t="shared" si="68"/>
        <v>3633</v>
      </c>
      <c r="G715" s="12">
        <f t="shared" si="69"/>
        <v>45777.499999998283</v>
      </c>
      <c r="H715" s="12">
        <f t="shared" si="70"/>
        <v>45777.541666664947</v>
      </c>
      <c r="I715" s="132"/>
      <c r="J715" s="169">
        <v>3633</v>
      </c>
      <c r="K715" s="175"/>
    </row>
    <row r="716" spans="1:11" ht="14.4" x14ac:dyDescent="0.3">
      <c r="A716" s="12">
        <f t="shared" si="72"/>
        <v>45777.541666664947</v>
      </c>
      <c r="B716" s="12">
        <f t="shared" si="71"/>
        <v>45777.583333331611</v>
      </c>
      <c r="C716" s="13">
        <f t="shared" si="67"/>
        <v>3.5630000000000002</v>
      </c>
      <c r="D716" s="14">
        <f t="shared" si="68"/>
        <v>3563</v>
      </c>
      <c r="G716" s="12">
        <f t="shared" si="69"/>
        <v>45777.541666664947</v>
      </c>
      <c r="H716" s="12">
        <f t="shared" si="70"/>
        <v>45777.583333331611</v>
      </c>
      <c r="I716" s="132"/>
      <c r="J716" s="169">
        <v>3563</v>
      </c>
      <c r="K716" s="175"/>
    </row>
    <row r="717" spans="1:11" ht="14.4" x14ac:dyDescent="0.3">
      <c r="A717" s="12">
        <f t="shared" si="72"/>
        <v>45777.583333331611</v>
      </c>
      <c r="B717" s="12">
        <f t="shared" si="71"/>
        <v>45777.624999998276</v>
      </c>
      <c r="C717" s="13">
        <f t="shared" si="67"/>
        <v>3.7679999999999998</v>
      </c>
      <c r="D717" s="14">
        <f t="shared" si="68"/>
        <v>3768</v>
      </c>
      <c r="G717" s="12">
        <f t="shared" si="69"/>
        <v>45777.583333331611</v>
      </c>
      <c r="H717" s="12">
        <f t="shared" si="70"/>
        <v>45777.624999998276</v>
      </c>
      <c r="I717" s="132"/>
      <c r="J717" s="169">
        <v>3768</v>
      </c>
      <c r="K717" s="175"/>
    </row>
    <row r="718" spans="1:11" ht="14.4" x14ac:dyDescent="0.3">
      <c r="A718" s="12">
        <f t="shared" si="72"/>
        <v>45777.624999998276</v>
      </c>
      <c r="B718" s="12">
        <f t="shared" si="71"/>
        <v>45777.66666666494</v>
      </c>
      <c r="C718" s="13">
        <f t="shared" si="67"/>
        <v>3.9670000000000001</v>
      </c>
      <c r="D718" s="14">
        <f t="shared" si="68"/>
        <v>3967</v>
      </c>
      <c r="G718" s="12">
        <f t="shared" si="69"/>
        <v>45777.624999998276</v>
      </c>
      <c r="H718" s="12">
        <f t="shared" si="70"/>
        <v>45777.66666666494</v>
      </c>
      <c r="I718" s="132"/>
      <c r="J718" s="169">
        <v>3967</v>
      </c>
      <c r="K718" s="175"/>
    </row>
    <row r="719" spans="1:11" ht="14.4" x14ac:dyDescent="0.3">
      <c r="A719" s="12">
        <f t="shared" si="72"/>
        <v>45777.66666666494</v>
      </c>
      <c r="B719" s="12">
        <f t="shared" si="71"/>
        <v>45777.708333331604</v>
      </c>
      <c r="C719" s="13">
        <f t="shared" si="67"/>
        <v>3.9489999999999998</v>
      </c>
      <c r="D719" s="14">
        <f t="shared" si="68"/>
        <v>3949</v>
      </c>
      <c r="G719" s="12">
        <f t="shared" si="69"/>
        <v>45777.66666666494</v>
      </c>
      <c r="H719" s="12">
        <f t="shared" si="70"/>
        <v>45777.708333331604</v>
      </c>
      <c r="I719" s="132"/>
      <c r="J719" s="169">
        <v>3949</v>
      </c>
      <c r="K719" s="175"/>
    </row>
    <row r="720" spans="1:11" ht="14.4" x14ac:dyDescent="0.3">
      <c r="A720" s="12">
        <f t="shared" si="72"/>
        <v>45777.708333331604</v>
      </c>
      <c r="B720" s="12">
        <f t="shared" si="71"/>
        <v>45777.749999998268</v>
      </c>
      <c r="C720" s="13">
        <f t="shared" si="67"/>
        <v>4.1340000000000003</v>
      </c>
      <c r="D720" s="14">
        <f t="shared" si="68"/>
        <v>4134</v>
      </c>
      <c r="G720" s="12">
        <f t="shared" si="69"/>
        <v>45777.708333331604</v>
      </c>
      <c r="H720" s="12">
        <f t="shared" si="70"/>
        <v>45777.749999998268</v>
      </c>
      <c r="I720" s="132"/>
      <c r="J720" s="169">
        <v>4134</v>
      </c>
      <c r="K720" s="175"/>
    </row>
    <row r="721" spans="1:11" ht="14.4" x14ac:dyDescent="0.3">
      <c r="A721" s="12">
        <f t="shared" si="72"/>
        <v>45777.749999998268</v>
      </c>
      <c r="B721" s="12">
        <f t="shared" si="71"/>
        <v>45777.791666664933</v>
      </c>
      <c r="C721" s="13">
        <f t="shared" ref="C721:C726" si="73">SUM(D721)/1000</f>
        <v>4.16</v>
      </c>
      <c r="D721" s="14">
        <f t="shared" ref="D721:D726" si="74">J721*(1+$D$3)*(1+$D$4)</f>
        <v>4160</v>
      </c>
      <c r="G721" s="12">
        <f t="shared" ref="G721:G726" si="75">A721</f>
        <v>45777.749999998268</v>
      </c>
      <c r="H721" s="12">
        <f t="shared" ref="H721:H726" si="76">B721</f>
        <v>45777.791666664933</v>
      </c>
      <c r="I721" s="132"/>
      <c r="J721" s="169">
        <v>4160</v>
      </c>
      <c r="K721" s="175"/>
    </row>
    <row r="722" spans="1:11" ht="14.4" x14ac:dyDescent="0.3">
      <c r="A722" s="12">
        <f t="shared" si="72"/>
        <v>45777.791666664933</v>
      </c>
      <c r="B722" s="12">
        <f t="shared" si="71"/>
        <v>45777.833333331597</v>
      </c>
      <c r="C722" s="13">
        <f t="shared" si="73"/>
        <v>4.33</v>
      </c>
      <c r="D722" s="14">
        <f t="shared" si="74"/>
        <v>4330</v>
      </c>
      <c r="G722" s="12">
        <f t="shared" si="75"/>
        <v>45777.791666664933</v>
      </c>
      <c r="H722" s="12">
        <f t="shared" si="76"/>
        <v>45777.833333331597</v>
      </c>
      <c r="I722" s="132"/>
      <c r="J722" s="169">
        <v>4330</v>
      </c>
      <c r="K722" s="175"/>
    </row>
    <row r="723" spans="1:11" ht="14.4" x14ac:dyDescent="0.3">
      <c r="A723" s="12">
        <f t="shared" si="72"/>
        <v>45777.833333331597</v>
      </c>
      <c r="B723" s="12">
        <f t="shared" si="71"/>
        <v>45777.874999998261</v>
      </c>
      <c r="C723" s="13">
        <f t="shared" si="73"/>
        <v>4.0629999999999997</v>
      </c>
      <c r="D723" s="14">
        <f t="shared" si="74"/>
        <v>4063</v>
      </c>
      <c r="G723" s="12">
        <f t="shared" si="75"/>
        <v>45777.833333331597</v>
      </c>
      <c r="H723" s="12">
        <f t="shared" si="76"/>
        <v>45777.874999998261</v>
      </c>
      <c r="I723" s="132"/>
      <c r="J723" s="169">
        <v>4063</v>
      </c>
      <c r="K723" s="175"/>
    </row>
    <row r="724" spans="1:11" ht="14.4" x14ac:dyDescent="0.3">
      <c r="A724" s="12">
        <f t="shared" si="72"/>
        <v>45777.874999998261</v>
      </c>
      <c r="B724" s="12">
        <f t="shared" si="71"/>
        <v>45777.916666664925</v>
      </c>
      <c r="C724" s="13">
        <f t="shared" si="73"/>
        <v>3.589</v>
      </c>
      <c r="D724" s="14">
        <f t="shared" si="74"/>
        <v>3589</v>
      </c>
      <c r="G724" s="12">
        <f t="shared" si="75"/>
        <v>45777.874999998261</v>
      </c>
      <c r="H724" s="12">
        <f t="shared" si="76"/>
        <v>45777.916666664925</v>
      </c>
      <c r="I724" s="132"/>
      <c r="J724" s="169">
        <v>3589</v>
      </c>
      <c r="K724" s="175"/>
    </row>
    <row r="725" spans="1:11" ht="14.4" x14ac:dyDescent="0.3">
      <c r="A725" s="12">
        <f t="shared" si="72"/>
        <v>45777.916666664925</v>
      </c>
      <c r="B725" s="12">
        <f t="shared" si="71"/>
        <v>45777.95833333159</v>
      </c>
      <c r="C725" s="13">
        <f t="shared" si="73"/>
        <v>3.36</v>
      </c>
      <c r="D725" s="14">
        <f t="shared" si="74"/>
        <v>3360</v>
      </c>
      <c r="G725" s="12">
        <f t="shared" si="75"/>
        <v>45777.916666664925</v>
      </c>
      <c r="H725" s="12">
        <f t="shared" si="76"/>
        <v>45777.95833333159</v>
      </c>
      <c r="I725" s="132"/>
      <c r="J725" s="169">
        <v>3360</v>
      </c>
      <c r="K725" s="175"/>
    </row>
    <row r="726" spans="1:11" ht="14.4" x14ac:dyDescent="0.3">
      <c r="A726" s="12">
        <f t="shared" si="72"/>
        <v>45777.95833333159</v>
      </c>
      <c r="B726" s="12">
        <f t="shared" si="71"/>
        <v>45777.999999998254</v>
      </c>
      <c r="C726" s="13">
        <f t="shared" si="73"/>
        <v>3.2080000000000002</v>
      </c>
      <c r="D726" s="14">
        <f t="shared" si="74"/>
        <v>3208</v>
      </c>
      <c r="G726" s="12">
        <f t="shared" si="75"/>
        <v>45777.95833333159</v>
      </c>
      <c r="H726" s="12">
        <f t="shared" si="76"/>
        <v>45777.999999998254</v>
      </c>
      <c r="I726" s="132"/>
      <c r="J726" s="169">
        <v>3208</v>
      </c>
      <c r="K726" s="175"/>
    </row>
    <row r="727" spans="1:11" ht="14.4" x14ac:dyDescent="0.3">
      <c r="B727" s="12"/>
      <c r="C727" s="13"/>
      <c r="D727" s="14"/>
    </row>
    <row r="728" spans="1:11" ht="14.4" x14ac:dyDescent="0.3">
      <c r="B728" s="12"/>
      <c r="C728" s="13"/>
      <c r="D728" s="14"/>
    </row>
    <row r="729" spans="1:11" ht="14.4" x14ac:dyDescent="0.3">
      <c r="B729" s="12"/>
      <c r="C729" s="13"/>
      <c r="D729" s="14"/>
    </row>
    <row r="730" spans="1:11" ht="14.4" x14ac:dyDescent="0.3">
      <c r="B730" s="12"/>
      <c r="C730" s="13"/>
      <c r="D730" s="14"/>
    </row>
    <row r="731" spans="1:11" ht="14.4" x14ac:dyDescent="0.3">
      <c r="B731" s="12"/>
      <c r="C731" s="13"/>
      <c r="D731" s="14"/>
    </row>
    <row r="732" spans="1:11" ht="14.4" x14ac:dyDescent="0.3">
      <c r="B732" s="6" t="s">
        <v>9</v>
      </c>
      <c r="C732" s="15">
        <f>SUM(C7:C726)</f>
        <v>2792.0379999999996</v>
      </c>
      <c r="D732" s="15">
        <f>SUM(D7:D726)</f>
        <v>2792038</v>
      </c>
    </row>
    <row r="733" spans="1:11" x14ac:dyDescent="0.25">
      <c r="B733" s="6"/>
    </row>
    <row r="734" spans="1:11" x14ac:dyDescent="0.25">
      <c r="B734" s="6" t="s">
        <v>10</v>
      </c>
      <c r="C734" s="13">
        <f>SUM(D732:D732)/1000</f>
        <v>2792.038</v>
      </c>
    </row>
    <row r="1433" spans="4:4" ht="14.4" x14ac:dyDescent="0.3">
      <c r="D1433" s="163"/>
    </row>
  </sheetData>
  <pageMargins left="0.75" right="0.75" top="1" bottom="1" header="0.5" footer="0.5"/>
  <pageSetup scale="1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</sheetPr>
  <dimension ref="B1:AH747"/>
  <sheetViews>
    <sheetView workbookViewId="0">
      <selection activeCell="F726" sqref="F726"/>
    </sheetView>
  </sheetViews>
  <sheetFormatPr defaultRowHeight="14.4" x14ac:dyDescent="0.3"/>
  <cols>
    <col min="2" max="2" width="10.6640625" bestFit="1" customWidth="1"/>
    <col min="4" max="4" width="11.5546875" style="170" bestFit="1" customWidth="1"/>
    <col min="5" max="5" width="9.109375" style="16"/>
    <col min="7" max="7" width="13" style="19" customWidth="1"/>
    <col min="8" max="8" width="6.109375" style="16" bestFit="1" customWidth="1"/>
    <col min="9" max="9" width="11" customWidth="1"/>
    <col min="10" max="10" width="6.109375" bestFit="1" customWidth="1"/>
    <col min="11" max="11" width="4.6640625" bestFit="1" customWidth="1"/>
    <col min="12" max="12" width="6.109375" bestFit="1" customWidth="1"/>
    <col min="13" max="13" width="4.6640625" bestFit="1" customWidth="1"/>
    <col min="14" max="14" width="6.109375" bestFit="1" customWidth="1"/>
    <col min="15" max="15" width="4.6640625" bestFit="1" customWidth="1"/>
    <col min="16" max="16" width="6.109375" bestFit="1" customWidth="1"/>
    <col min="17" max="17" width="4.6640625" bestFit="1" customWidth="1"/>
    <col min="18" max="18" width="6.109375" bestFit="1" customWidth="1"/>
    <col min="19" max="19" width="5.6640625" bestFit="1" customWidth="1"/>
    <col min="20" max="20" width="7.109375" bestFit="1" customWidth="1"/>
    <col min="21" max="21" width="5.6640625" bestFit="1" customWidth="1"/>
    <col min="22" max="22" width="7.109375" bestFit="1" customWidth="1"/>
    <col min="23" max="23" width="5.6640625" bestFit="1" customWidth="1"/>
    <col min="24" max="24" width="7.109375" bestFit="1" customWidth="1"/>
    <col min="25" max="25" width="5.6640625" bestFit="1" customWidth="1"/>
    <col min="26" max="26" width="7.109375" bestFit="1" customWidth="1"/>
    <col min="27" max="27" width="5.6640625" bestFit="1" customWidth="1"/>
    <col min="28" max="28" width="7.109375" bestFit="1" customWidth="1"/>
    <col min="29" max="29" width="5.6640625" bestFit="1" customWidth="1"/>
    <col min="30" max="30" width="7.109375" bestFit="1" customWidth="1"/>
    <col min="31" max="31" width="5.6640625" bestFit="1" customWidth="1"/>
    <col min="32" max="32" width="7.109375" bestFit="1" customWidth="1"/>
    <col min="33" max="33" width="5.6640625" style="23" bestFit="1" customWidth="1"/>
    <col min="34" max="34" width="12.6640625" bestFit="1" customWidth="1"/>
  </cols>
  <sheetData>
    <row r="1" spans="2:34" ht="2.4" customHeight="1" x14ac:dyDescent="0.3">
      <c r="H1" s="125">
        <v>1</v>
      </c>
      <c r="I1">
        <v>2</v>
      </c>
      <c r="J1" s="125">
        <v>3</v>
      </c>
      <c r="K1">
        <v>4</v>
      </c>
      <c r="L1" s="125">
        <v>5</v>
      </c>
      <c r="M1">
        <v>6</v>
      </c>
      <c r="N1" s="125">
        <v>7</v>
      </c>
      <c r="O1">
        <v>8</v>
      </c>
      <c r="P1" s="125">
        <v>9</v>
      </c>
      <c r="Q1">
        <v>10</v>
      </c>
      <c r="R1" s="125">
        <v>11</v>
      </c>
      <c r="S1">
        <v>12</v>
      </c>
      <c r="T1" s="125">
        <v>13</v>
      </c>
      <c r="U1">
        <v>14</v>
      </c>
      <c r="V1" s="125">
        <v>15</v>
      </c>
      <c r="W1">
        <v>16</v>
      </c>
      <c r="X1" s="125">
        <v>17</v>
      </c>
      <c r="Y1">
        <v>18</v>
      </c>
      <c r="Z1" s="125">
        <v>19</v>
      </c>
      <c r="AA1">
        <v>20</v>
      </c>
      <c r="AB1" s="125">
        <v>21</v>
      </c>
      <c r="AC1">
        <v>22</v>
      </c>
      <c r="AD1" s="125">
        <v>23</v>
      </c>
      <c r="AE1">
        <v>24</v>
      </c>
    </row>
    <row r="2" spans="2:34" ht="15" thickBot="1" x14ac:dyDescent="0.35">
      <c r="B2" s="21" t="s">
        <v>58</v>
      </c>
      <c r="C2" s="21" t="s">
        <v>12</v>
      </c>
      <c r="D2" s="171" t="s">
        <v>59</v>
      </c>
      <c r="E2" s="16" t="s">
        <v>60</v>
      </c>
    </row>
    <row r="3" spans="2:34" x14ac:dyDescent="0.3">
      <c r="B3" s="19">
        <v>45748</v>
      </c>
      <c r="C3">
        <v>1</v>
      </c>
      <c r="D3" s="169">
        <v>0</v>
      </c>
      <c r="E3">
        <f>D3/1000</f>
        <v>0</v>
      </c>
    </row>
    <row r="4" spans="2:34" x14ac:dyDescent="0.3">
      <c r="B4" s="19">
        <f>IF(C3=24,B3+1,B3)</f>
        <v>45748</v>
      </c>
      <c r="C4">
        <f>IF(C3=24,1,C3+1)</f>
        <v>2</v>
      </c>
      <c r="D4" s="169">
        <v>0</v>
      </c>
      <c r="E4">
        <f t="shared" ref="E4:E67" si="0">D4/1000</f>
        <v>0</v>
      </c>
    </row>
    <row r="5" spans="2:34" x14ac:dyDescent="0.3">
      <c r="B5" s="19">
        <f t="shared" ref="B5:B68" si="1">IF(C4=24,B4+1,B4)</f>
        <v>45748</v>
      </c>
      <c r="C5">
        <f t="shared" ref="C5:C68" si="2">IF(C4=24,1,C4+1)</f>
        <v>3</v>
      </c>
      <c r="D5" s="169">
        <v>0</v>
      </c>
      <c r="E5">
        <f t="shared" si="0"/>
        <v>0</v>
      </c>
      <c r="I5" s="19"/>
      <c r="J5" s="159" t="s">
        <v>25</v>
      </c>
      <c r="K5" s="23" t="s">
        <v>26</v>
      </c>
      <c r="L5" s="159" t="s">
        <v>27</v>
      </c>
      <c r="M5" s="23" t="s">
        <v>28</v>
      </c>
      <c r="N5" s="159" t="s">
        <v>29</v>
      </c>
      <c r="O5" s="23" t="s">
        <v>30</v>
      </c>
      <c r="P5" s="159" t="s">
        <v>31</v>
      </c>
      <c r="Q5" s="23" t="s">
        <v>32</v>
      </c>
      <c r="R5" s="159" t="s">
        <v>33</v>
      </c>
      <c r="S5" s="23" t="s">
        <v>34</v>
      </c>
      <c r="T5" s="159" t="s">
        <v>35</v>
      </c>
      <c r="U5" s="23" t="s">
        <v>36</v>
      </c>
      <c r="V5" s="159" t="s">
        <v>37</v>
      </c>
      <c r="W5" s="23" t="s">
        <v>38</v>
      </c>
      <c r="X5" s="159" t="s">
        <v>39</v>
      </c>
      <c r="Y5" s="23" t="s">
        <v>40</v>
      </c>
      <c r="Z5" s="159" t="s">
        <v>41</v>
      </c>
      <c r="AA5" s="23" t="s">
        <v>42</v>
      </c>
      <c r="AB5" s="159" t="s">
        <v>43</v>
      </c>
      <c r="AC5" s="23" t="s">
        <v>44</v>
      </c>
      <c r="AD5" s="159" t="s">
        <v>45</v>
      </c>
      <c r="AE5" s="23" t="s">
        <v>46</v>
      </c>
      <c r="AF5" s="159" t="s">
        <v>47</v>
      </c>
      <c r="AG5" s="23" t="s">
        <v>48</v>
      </c>
      <c r="AH5" s="159" t="s">
        <v>61</v>
      </c>
    </row>
    <row r="6" spans="2:34" x14ac:dyDescent="0.3">
      <c r="B6" s="19">
        <f t="shared" si="1"/>
        <v>45748</v>
      </c>
      <c r="C6">
        <f t="shared" si="2"/>
        <v>4</v>
      </c>
      <c r="D6" s="169">
        <v>0</v>
      </c>
      <c r="E6">
        <f t="shared" si="0"/>
        <v>0</v>
      </c>
      <c r="I6" s="24">
        <v>45748</v>
      </c>
      <c r="J6" s="158">
        <f>SUMIFS($D$3:$D$746,$B$3:$B$746,$I6,$C$3:$C$746,H$1)</f>
        <v>0</v>
      </c>
      <c r="K6" s="158">
        <f t="shared" ref="K6:AG17" si="3">SUMIFS($D$3:$D$746,$B$3:$B$746,$I6,$C$3:$C$746,I$1)</f>
        <v>0</v>
      </c>
      <c r="L6" s="158">
        <f t="shared" si="3"/>
        <v>0</v>
      </c>
      <c r="M6" s="158">
        <f t="shared" si="3"/>
        <v>0</v>
      </c>
      <c r="N6" s="158">
        <f t="shared" si="3"/>
        <v>0</v>
      </c>
      <c r="O6" s="158">
        <f t="shared" si="3"/>
        <v>0</v>
      </c>
      <c r="P6" s="158">
        <f t="shared" si="3"/>
        <v>40</v>
      </c>
      <c r="Q6" s="158">
        <f t="shared" si="3"/>
        <v>125</v>
      </c>
      <c r="R6" s="158">
        <f t="shared" si="3"/>
        <v>94</v>
      </c>
      <c r="S6" s="158">
        <f t="shared" si="3"/>
        <v>96</v>
      </c>
      <c r="T6" s="158">
        <f t="shared" si="3"/>
        <v>347</v>
      </c>
      <c r="U6" s="158">
        <f t="shared" si="3"/>
        <v>608</v>
      </c>
      <c r="V6" s="158">
        <f t="shared" si="3"/>
        <v>722</v>
      </c>
      <c r="W6" s="158">
        <f t="shared" si="3"/>
        <v>458</v>
      </c>
      <c r="X6" s="158">
        <f t="shared" si="3"/>
        <v>276</v>
      </c>
      <c r="Y6" s="158">
        <f t="shared" si="3"/>
        <v>311</v>
      </c>
      <c r="Z6" s="158">
        <f t="shared" si="3"/>
        <v>165</v>
      </c>
      <c r="AA6" s="158">
        <f t="shared" si="3"/>
        <v>85</v>
      </c>
      <c r="AB6" s="158">
        <f t="shared" si="3"/>
        <v>9</v>
      </c>
      <c r="AC6" s="158">
        <f t="shared" si="3"/>
        <v>0</v>
      </c>
      <c r="AD6" s="158">
        <f t="shared" si="3"/>
        <v>0</v>
      </c>
      <c r="AE6" s="158">
        <f t="shared" si="3"/>
        <v>0</v>
      </c>
      <c r="AF6" s="158">
        <f t="shared" si="3"/>
        <v>0</v>
      </c>
      <c r="AG6" s="158">
        <f t="shared" si="3"/>
        <v>0</v>
      </c>
      <c r="AH6" s="172">
        <f>SUM(J6:AG6)</f>
        <v>3336</v>
      </c>
    </row>
    <row r="7" spans="2:34" x14ac:dyDescent="0.3">
      <c r="B7" s="19">
        <f t="shared" si="1"/>
        <v>45748</v>
      </c>
      <c r="C7">
        <f t="shared" si="2"/>
        <v>5</v>
      </c>
      <c r="D7" s="169">
        <v>0</v>
      </c>
      <c r="E7">
        <f t="shared" si="0"/>
        <v>0</v>
      </c>
      <c r="I7" s="24">
        <f>I6+1</f>
        <v>45749</v>
      </c>
      <c r="J7" s="158">
        <f t="shared" ref="J7:Y33" si="4">SUMIFS($D$3:$D$746,$B$3:$B$746,$I7,$C$3:$C$746,H$1)</f>
        <v>0</v>
      </c>
      <c r="K7" s="158">
        <f t="shared" si="3"/>
        <v>0</v>
      </c>
      <c r="L7" s="158">
        <f t="shared" si="3"/>
        <v>0</v>
      </c>
      <c r="M7" s="158">
        <f t="shared" si="3"/>
        <v>0</v>
      </c>
      <c r="N7" s="158">
        <f t="shared" si="3"/>
        <v>0</v>
      </c>
      <c r="O7" s="158">
        <f t="shared" si="3"/>
        <v>0</v>
      </c>
      <c r="P7" s="158">
        <f t="shared" si="3"/>
        <v>54</v>
      </c>
      <c r="Q7" s="158">
        <f t="shared" si="3"/>
        <v>284</v>
      </c>
      <c r="R7" s="158">
        <f t="shared" si="3"/>
        <v>501</v>
      </c>
      <c r="S7" s="158">
        <f t="shared" si="3"/>
        <v>643</v>
      </c>
      <c r="T7" s="158">
        <f t="shared" si="3"/>
        <v>741</v>
      </c>
      <c r="U7" s="158">
        <f t="shared" si="3"/>
        <v>775</v>
      </c>
      <c r="V7" s="158">
        <f>SUMIFS($D$3:$D$746,$B$3:$B$746,$I7,$C$3:$C$746,T$1)</f>
        <v>719</v>
      </c>
      <c r="W7" s="158">
        <f t="shared" si="3"/>
        <v>737</v>
      </c>
      <c r="X7" s="158">
        <f t="shared" si="3"/>
        <v>606</v>
      </c>
      <c r="Y7" s="158">
        <f t="shared" si="3"/>
        <v>275</v>
      </c>
      <c r="Z7" s="158">
        <f t="shared" si="3"/>
        <v>300</v>
      </c>
      <c r="AA7" s="158">
        <f t="shared" si="3"/>
        <v>53</v>
      </c>
      <c r="AB7" s="158">
        <f t="shared" si="3"/>
        <v>0</v>
      </c>
      <c r="AC7" s="158">
        <f t="shared" si="3"/>
        <v>0</v>
      </c>
      <c r="AD7" s="158">
        <f t="shared" si="3"/>
        <v>0</v>
      </c>
      <c r="AE7" s="158">
        <f t="shared" si="3"/>
        <v>0</v>
      </c>
      <c r="AF7" s="158">
        <f t="shared" si="3"/>
        <v>0</v>
      </c>
      <c r="AG7" s="158">
        <f t="shared" si="3"/>
        <v>0</v>
      </c>
      <c r="AH7" s="172">
        <f t="shared" ref="AH7:AH33" si="5">SUM(J7:AG7)</f>
        <v>5688</v>
      </c>
    </row>
    <row r="8" spans="2:34" x14ac:dyDescent="0.3">
      <c r="B8" s="19">
        <f t="shared" si="1"/>
        <v>45748</v>
      </c>
      <c r="C8">
        <f t="shared" si="2"/>
        <v>6</v>
      </c>
      <c r="D8" s="169">
        <v>0</v>
      </c>
      <c r="E8">
        <f t="shared" si="0"/>
        <v>0</v>
      </c>
      <c r="I8" s="24">
        <f>I7+1</f>
        <v>45750</v>
      </c>
      <c r="J8" s="158">
        <f t="shared" si="4"/>
        <v>0</v>
      </c>
      <c r="K8" s="158">
        <f t="shared" si="3"/>
        <v>0</v>
      </c>
      <c r="L8" s="158">
        <f t="shared" si="3"/>
        <v>0</v>
      </c>
      <c r="M8" s="158">
        <f t="shared" si="3"/>
        <v>0</v>
      </c>
      <c r="N8" s="158">
        <f t="shared" si="3"/>
        <v>0</v>
      </c>
      <c r="O8" s="158">
        <f t="shared" si="3"/>
        <v>0</v>
      </c>
      <c r="P8" s="158">
        <f t="shared" si="3"/>
        <v>48</v>
      </c>
      <c r="Q8" s="158">
        <f t="shared" si="3"/>
        <v>268</v>
      </c>
      <c r="R8" s="158">
        <f t="shared" si="3"/>
        <v>462</v>
      </c>
      <c r="S8" s="158">
        <f t="shared" si="3"/>
        <v>551</v>
      </c>
      <c r="T8" s="158">
        <f t="shared" si="3"/>
        <v>368</v>
      </c>
      <c r="U8" s="158">
        <f t="shared" si="3"/>
        <v>524</v>
      </c>
      <c r="V8" s="158">
        <f t="shared" si="3"/>
        <v>681</v>
      </c>
      <c r="W8" s="158">
        <f t="shared" si="3"/>
        <v>652</v>
      </c>
      <c r="X8" s="158">
        <f t="shared" si="3"/>
        <v>684</v>
      </c>
      <c r="Y8" s="158">
        <f t="shared" si="3"/>
        <v>532</v>
      </c>
      <c r="Z8" s="158">
        <f t="shared" si="3"/>
        <v>276</v>
      </c>
      <c r="AA8" s="158">
        <f t="shared" si="3"/>
        <v>75</v>
      </c>
      <c r="AB8" s="158">
        <f t="shared" si="3"/>
        <v>5</v>
      </c>
      <c r="AC8" s="158">
        <f t="shared" si="3"/>
        <v>0</v>
      </c>
      <c r="AD8" s="158">
        <f t="shared" si="3"/>
        <v>0</v>
      </c>
      <c r="AE8" s="158">
        <f t="shared" si="3"/>
        <v>0</v>
      </c>
      <c r="AF8" s="158">
        <f t="shared" si="3"/>
        <v>0</v>
      </c>
      <c r="AG8" s="158">
        <f t="shared" si="3"/>
        <v>0</v>
      </c>
      <c r="AH8" s="172">
        <f t="shared" si="5"/>
        <v>5126</v>
      </c>
    </row>
    <row r="9" spans="2:34" x14ac:dyDescent="0.3">
      <c r="B9" s="19">
        <f t="shared" si="1"/>
        <v>45748</v>
      </c>
      <c r="C9">
        <f t="shared" si="2"/>
        <v>7</v>
      </c>
      <c r="D9" s="169">
        <v>40</v>
      </c>
      <c r="E9">
        <f t="shared" si="0"/>
        <v>0.04</v>
      </c>
      <c r="I9" s="24">
        <f t="shared" ref="I9:I29" si="6">I8+1</f>
        <v>45751</v>
      </c>
      <c r="J9" s="158">
        <f t="shared" si="4"/>
        <v>0</v>
      </c>
      <c r="K9" s="158">
        <f t="shared" si="3"/>
        <v>0</v>
      </c>
      <c r="L9" s="158">
        <f t="shared" si="3"/>
        <v>0</v>
      </c>
      <c r="M9" s="158">
        <f t="shared" si="3"/>
        <v>0</v>
      </c>
      <c r="N9" s="158">
        <f t="shared" si="3"/>
        <v>0</v>
      </c>
      <c r="O9" s="158">
        <f t="shared" si="3"/>
        <v>0</v>
      </c>
      <c r="P9" s="158">
        <f t="shared" si="3"/>
        <v>54</v>
      </c>
      <c r="Q9" s="158">
        <f t="shared" si="3"/>
        <v>272</v>
      </c>
      <c r="R9" s="158">
        <f t="shared" si="3"/>
        <v>498</v>
      </c>
      <c r="S9" s="158">
        <f t="shared" si="3"/>
        <v>586</v>
      </c>
      <c r="T9" s="158">
        <f t="shared" si="3"/>
        <v>733</v>
      </c>
      <c r="U9" s="158">
        <f t="shared" si="3"/>
        <v>779</v>
      </c>
      <c r="V9" s="158">
        <f t="shared" si="3"/>
        <v>759</v>
      </c>
      <c r="W9" s="158">
        <f t="shared" si="3"/>
        <v>713</v>
      </c>
      <c r="X9" s="158">
        <f t="shared" si="3"/>
        <v>646</v>
      </c>
      <c r="Y9" s="158">
        <f t="shared" si="3"/>
        <v>400</v>
      </c>
      <c r="Z9" s="158">
        <f t="shared" si="3"/>
        <v>320</v>
      </c>
      <c r="AA9" s="158">
        <f t="shared" si="3"/>
        <v>107</v>
      </c>
      <c r="AB9" s="158">
        <f t="shared" si="3"/>
        <v>8</v>
      </c>
      <c r="AC9" s="158">
        <f t="shared" si="3"/>
        <v>0</v>
      </c>
      <c r="AD9" s="158">
        <f t="shared" si="3"/>
        <v>0</v>
      </c>
      <c r="AE9" s="158">
        <f t="shared" si="3"/>
        <v>0</v>
      </c>
      <c r="AF9" s="158">
        <f t="shared" si="3"/>
        <v>0</v>
      </c>
      <c r="AG9" s="158">
        <f t="shared" si="3"/>
        <v>0</v>
      </c>
      <c r="AH9" s="172">
        <f t="shared" si="5"/>
        <v>5875</v>
      </c>
    </row>
    <row r="10" spans="2:34" x14ac:dyDescent="0.3">
      <c r="B10" s="19">
        <f t="shared" si="1"/>
        <v>45748</v>
      </c>
      <c r="C10">
        <f t="shared" si="2"/>
        <v>8</v>
      </c>
      <c r="D10" s="169">
        <v>125</v>
      </c>
      <c r="E10">
        <f t="shared" si="0"/>
        <v>0.125</v>
      </c>
      <c r="I10" s="24">
        <f t="shared" si="6"/>
        <v>45752</v>
      </c>
      <c r="J10" s="158">
        <f t="shared" si="4"/>
        <v>0</v>
      </c>
      <c r="K10" s="158">
        <f t="shared" si="3"/>
        <v>0</v>
      </c>
      <c r="L10" s="158">
        <f t="shared" si="3"/>
        <v>0</v>
      </c>
      <c r="M10" s="158">
        <f t="shared" si="3"/>
        <v>0</v>
      </c>
      <c r="N10" s="158">
        <f t="shared" si="3"/>
        <v>0</v>
      </c>
      <c r="O10" s="158">
        <f t="shared" si="3"/>
        <v>0</v>
      </c>
      <c r="P10" s="158">
        <f t="shared" si="3"/>
        <v>0</v>
      </c>
      <c r="Q10" s="158">
        <f t="shared" si="3"/>
        <v>36</v>
      </c>
      <c r="R10" s="158">
        <f t="shared" si="3"/>
        <v>184</v>
      </c>
      <c r="S10" s="158">
        <f t="shared" si="3"/>
        <v>187</v>
      </c>
      <c r="T10" s="158">
        <f t="shared" si="3"/>
        <v>224</v>
      </c>
      <c r="U10" s="158">
        <f t="shared" si="3"/>
        <v>324</v>
      </c>
      <c r="V10" s="158">
        <f t="shared" si="3"/>
        <v>618</v>
      </c>
      <c r="W10" s="158">
        <f t="shared" si="3"/>
        <v>669</v>
      </c>
      <c r="X10" s="158">
        <f t="shared" si="3"/>
        <v>619</v>
      </c>
      <c r="Y10" s="158">
        <f t="shared" si="3"/>
        <v>511</v>
      </c>
      <c r="Z10" s="158">
        <f t="shared" si="3"/>
        <v>337</v>
      </c>
      <c r="AA10" s="158">
        <f t="shared" si="3"/>
        <v>100</v>
      </c>
      <c r="AB10" s="158">
        <f t="shared" si="3"/>
        <v>8</v>
      </c>
      <c r="AC10" s="158">
        <f t="shared" si="3"/>
        <v>0</v>
      </c>
      <c r="AD10" s="158">
        <f t="shared" si="3"/>
        <v>0</v>
      </c>
      <c r="AE10" s="158">
        <f t="shared" si="3"/>
        <v>0</v>
      </c>
      <c r="AF10" s="158">
        <f t="shared" si="3"/>
        <v>0</v>
      </c>
      <c r="AG10" s="158">
        <f t="shared" si="3"/>
        <v>0</v>
      </c>
      <c r="AH10" s="172">
        <f t="shared" si="5"/>
        <v>3817</v>
      </c>
    </row>
    <row r="11" spans="2:34" x14ac:dyDescent="0.3">
      <c r="B11" s="19">
        <f t="shared" si="1"/>
        <v>45748</v>
      </c>
      <c r="C11">
        <f t="shared" si="2"/>
        <v>9</v>
      </c>
      <c r="D11" s="169">
        <v>94</v>
      </c>
      <c r="E11">
        <f t="shared" si="0"/>
        <v>9.4E-2</v>
      </c>
      <c r="I11" s="24">
        <f t="shared" si="6"/>
        <v>45753</v>
      </c>
      <c r="J11" s="158">
        <f t="shared" si="4"/>
        <v>0</v>
      </c>
      <c r="K11" s="158">
        <f t="shared" si="3"/>
        <v>0</v>
      </c>
      <c r="L11" s="158">
        <f t="shared" si="3"/>
        <v>0</v>
      </c>
      <c r="M11" s="158">
        <f t="shared" si="3"/>
        <v>0</v>
      </c>
      <c r="N11" s="158">
        <f t="shared" si="3"/>
        <v>0</v>
      </c>
      <c r="O11" s="158">
        <f t="shared" si="3"/>
        <v>0</v>
      </c>
      <c r="P11" s="158">
        <f t="shared" si="3"/>
        <v>63</v>
      </c>
      <c r="Q11" s="158">
        <f t="shared" si="3"/>
        <v>297</v>
      </c>
      <c r="R11" s="158">
        <f t="shared" si="3"/>
        <v>496</v>
      </c>
      <c r="S11" s="158">
        <f t="shared" si="3"/>
        <v>479</v>
      </c>
      <c r="T11" s="158">
        <f t="shared" si="3"/>
        <v>674</v>
      </c>
      <c r="U11" s="158">
        <f t="shared" si="3"/>
        <v>782</v>
      </c>
      <c r="V11" s="158">
        <f t="shared" si="3"/>
        <v>631</v>
      </c>
      <c r="W11" s="158">
        <f t="shared" si="3"/>
        <v>757</v>
      </c>
      <c r="X11" s="158">
        <f t="shared" si="3"/>
        <v>696</v>
      </c>
      <c r="Y11" s="158">
        <f t="shared" si="3"/>
        <v>555</v>
      </c>
      <c r="Z11" s="158">
        <f t="shared" si="3"/>
        <v>388</v>
      </c>
      <c r="AA11" s="158">
        <f t="shared" si="3"/>
        <v>143</v>
      </c>
      <c r="AB11" s="158">
        <f t="shared" si="3"/>
        <v>9</v>
      </c>
      <c r="AC11" s="158">
        <f t="shared" si="3"/>
        <v>0</v>
      </c>
      <c r="AD11" s="158">
        <f t="shared" si="3"/>
        <v>0</v>
      </c>
      <c r="AE11" s="158">
        <f t="shared" si="3"/>
        <v>0</v>
      </c>
      <c r="AF11" s="158">
        <f t="shared" si="3"/>
        <v>0</v>
      </c>
      <c r="AG11" s="158">
        <f t="shared" si="3"/>
        <v>0</v>
      </c>
      <c r="AH11" s="172">
        <f t="shared" si="5"/>
        <v>5970</v>
      </c>
    </row>
    <row r="12" spans="2:34" x14ac:dyDescent="0.3">
      <c r="B12" s="19">
        <f t="shared" si="1"/>
        <v>45748</v>
      </c>
      <c r="C12">
        <f t="shared" si="2"/>
        <v>10</v>
      </c>
      <c r="D12" s="169">
        <v>96</v>
      </c>
      <c r="E12">
        <f t="shared" si="0"/>
        <v>9.6000000000000002E-2</v>
      </c>
      <c r="I12" s="24">
        <f t="shared" si="6"/>
        <v>45754</v>
      </c>
      <c r="J12" s="158">
        <f t="shared" si="4"/>
        <v>0</v>
      </c>
      <c r="K12" s="158">
        <f t="shared" si="3"/>
        <v>0</v>
      </c>
      <c r="L12" s="158">
        <f t="shared" si="3"/>
        <v>0</v>
      </c>
      <c r="M12" s="158">
        <f t="shared" si="3"/>
        <v>0</v>
      </c>
      <c r="N12" s="158">
        <f t="shared" si="3"/>
        <v>0</v>
      </c>
      <c r="O12" s="158">
        <f t="shared" si="3"/>
        <v>0</v>
      </c>
      <c r="P12" s="158">
        <f t="shared" si="3"/>
        <v>41</v>
      </c>
      <c r="Q12" s="158">
        <f t="shared" si="3"/>
        <v>192</v>
      </c>
      <c r="R12" s="158">
        <f t="shared" si="3"/>
        <v>331</v>
      </c>
      <c r="S12" s="158">
        <f t="shared" si="3"/>
        <v>427</v>
      </c>
      <c r="T12" s="158">
        <f t="shared" si="3"/>
        <v>489</v>
      </c>
      <c r="U12" s="158">
        <f t="shared" si="3"/>
        <v>516</v>
      </c>
      <c r="V12" s="158">
        <f t="shared" si="3"/>
        <v>519</v>
      </c>
      <c r="W12" s="158">
        <f t="shared" si="3"/>
        <v>500</v>
      </c>
      <c r="X12" s="158">
        <f t="shared" si="3"/>
        <v>460</v>
      </c>
      <c r="Y12" s="158">
        <f t="shared" si="3"/>
        <v>370</v>
      </c>
      <c r="Z12" s="158">
        <f t="shared" si="3"/>
        <v>258</v>
      </c>
      <c r="AA12" s="158">
        <f t="shared" si="3"/>
        <v>96</v>
      </c>
      <c r="AB12" s="158">
        <f t="shared" si="3"/>
        <v>5</v>
      </c>
      <c r="AC12" s="158">
        <f t="shared" si="3"/>
        <v>0</v>
      </c>
      <c r="AD12" s="158">
        <f t="shared" si="3"/>
        <v>0</v>
      </c>
      <c r="AE12" s="158">
        <f t="shared" si="3"/>
        <v>0</v>
      </c>
      <c r="AF12" s="158">
        <f t="shared" si="3"/>
        <v>0</v>
      </c>
      <c r="AG12" s="158">
        <f t="shared" si="3"/>
        <v>0</v>
      </c>
      <c r="AH12" s="172">
        <f t="shared" si="5"/>
        <v>4204</v>
      </c>
    </row>
    <row r="13" spans="2:34" x14ac:dyDescent="0.3">
      <c r="B13" s="19">
        <f t="shared" si="1"/>
        <v>45748</v>
      </c>
      <c r="C13">
        <f t="shared" si="2"/>
        <v>11</v>
      </c>
      <c r="D13" s="169">
        <v>347</v>
      </c>
      <c r="E13">
        <f t="shared" si="0"/>
        <v>0.34699999999999998</v>
      </c>
      <c r="I13" s="24">
        <f t="shared" si="6"/>
        <v>45755</v>
      </c>
      <c r="J13" s="158">
        <f t="shared" si="4"/>
        <v>0</v>
      </c>
      <c r="K13" s="158">
        <f t="shared" si="3"/>
        <v>0</v>
      </c>
      <c r="L13" s="158">
        <f t="shared" si="3"/>
        <v>0</v>
      </c>
      <c r="M13" s="158">
        <f t="shared" si="3"/>
        <v>0</v>
      </c>
      <c r="N13" s="158">
        <f t="shared" si="3"/>
        <v>0</v>
      </c>
      <c r="O13" s="158">
        <f t="shared" si="3"/>
        <v>0</v>
      </c>
      <c r="P13" s="158">
        <f t="shared" si="3"/>
        <v>30</v>
      </c>
      <c r="Q13" s="158">
        <f t="shared" si="3"/>
        <v>172</v>
      </c>
      <c r="R13" s="158">
        <f t="shared" si="3"/>
        <v>320</v>
      </c>
      <c r="S13" s="158">
        <f t="shared" si="3"/>
        <v>412</v>
      </c>
      <c r="T13" s="158">
        <f t="shared" si="3"/>
        <v>475</v>
      </c>
      <c r="U13" s="158">
        <f t="shared" si="3"/>
        <v>471</v>
      </c>
      <c r="V13" s="158">
        <f t="shared" si="3"/>
        <v>495</v>
      </c>
      <c r="W13" s="158">
        <f t="shared" si="3"/>
        <v>487</v>
      </c>
      <c r="X13" s="158">
        <f t="shared" si="3"/>
        <v>421</v>
      </c>
      <c r="Y13" s="158">
        <f t="shared" si="3"/>
        <v>312</v>
      </c>
      <c r="Z13" s="158">
        <f t="shared" si="3"/>
        <v>215</v>
      </c>
      <c r="AA13" s="158">
        <f t="shared" si="3"/>
        <v>65</v>
      </c>
      <c r="AB13" s="158">
        <f t="shared" si="3"/>
        <v>6</v>
      </c>
      <c r="AC13" s="158">
        <f t="shared" si="3"/>
        <v>0</v>
      </c>
      <c r="AD13" s="158">
        <f t="shared" si="3"/>
        <v>0</v>
      </c>
      <c r="AE13" s="158">
        <f t="shared" si="3"/>
        <v>0</v>
      </c>
      <c r="AF13" s="158">
        <f t="shared" si="3"/>
        <v>0</v>
      </c>
      <c r="AG13" s="158">
        <f t="shared" si="3"/>
        <v>0</v>
      </c>
      <c r="AH13" s="172">
        <f t="shared" si="5"/>
        <v>3881</v>
      </c>
    </row>
    <row r="14" spans="2:34" x14ac:dyDescent="0.3">
      <c r="B14" s="19">
        <f t="shared" si="1"/>
        <v>45748</v>
      </c>
      <c r="C14">
        <f t="shared" si="2"/>
        <v>12</v>
      </c>
      <c r="D14" s="169">
        <v>608</v>
      </c>
      <c r="E14">
        <f t="shared" si="0"/>
        <v>0.60799999999999998</v>
      </c>
      <c r="I14" s="24">
        <f t="shared" si="6"/>
        <v>45756</v>
      </c>
      <c r="J14" s="158">
        <f t="shared" si="4"/>
        <v>0</v>
      </c>
      <c r="K14" s="158">
        <f t="shared" si="3"/>
        <v>0</v>
      </c>
      <c r="L14" s="158">
        <f t="shared" si="3"/>
        <v>0</v>
      </c>
      <c r="M14" s="158">
        <f t="shared" si="3"/>
        <v>0</v>
      </c>
      <c r="N14" s="158">
        <f t="shared" si="3"/>
        <v>0</v>
      </c>
      <c r="O14" s="158">
        <f t="shared" si="3"/>
        <v>0</v>
      </c>
      <c r="P14" s="158">
        <f t="shared" si="3"/>
        <v>40</v>
      </c>
      <c r="Q14" s="158">
        <f t="shared" si="3"/>
        <v>188</v>
      </c>
      <c r="R14" s="158">
        <f t="shared" si="3"/>
        <v>324</v>
      </c>
      <c r="S14" s="158">
        <f t="shared" si="3"/>
        <v>415</v>
      </c>
      <c r="T14" s="158">
        <f t="shared" si="3"/>
        <v>478</v>
      </c>
      <c r="U14" s="158">
        <f t="shared" si="3"/>
        <v>507</v>
      </c>
      <c r="V14" s="158">
        <f t="shared" si="3"/>
        <v>516</v>
      </c>
      <c r="W14" s="158">
        <f t="shared" si="3"/>
        <v>498</v>
      </c>
      <c r="X14" s="158">
        <f t="shared" si="3"/>
        <v>451</v>
      </c>
      <c r="Y14" s="158">
        <f t="shared" si="3"/>
        <v>362</v>
      </c>
      <c r="Z14" s="158">
        <f t="shared" si="3"/>
        <v>251</v>
      </c>
      <c r="AA14" s="158">
        <f t="shared" si="3"/>
        <v>94</v>
      </c>
      <c r="AB14" s="158">
        <f t="shared" si="3"/>
        <v>7</v>
      </c>
      <c r="AC14" s="158">
        <f t="shared" si="3"/>
        <v>0</v>
      </c>
      <c r="AD14" s="158">
        <f t="shared" si="3"/>
        <v>0</v>
      </c>
      <c r="AE14" s="158">
        <f t="shared" si="3"/>
        <v>0</v>
      </c>
      <c r="AF14" s="158">
        <f t="shared" si="3"/>
        <v>0</v>
      </c>
      <c r="AG14" s="158">
        <f t="shared" si="3"/>
        <v>0</v>
      </c>
      <c r="AH14" s="172">
        <f t="shared" si="5"/>
        <v>4131</v>
      </c>
    </row>
    <row r="15" spans="2:34" x14ac:dyDescent="0.3">
      <c r="B15" s="19">
        <f t="shared" si="1"/>
        <v>45748</v>
      </c>
      <c r="C15">
        <f t="shared" si="2"/>
        <v>13</v>
      </c>
      <c r="D15" s="169">
        <v>722</v>
      </c>
      <c r="E15">
        <f t="shared" si="0"/>
        <v>0.72199999999999998</v>
      </c>
      <c r="I15" s="24">
        <f t="shared" si="6"/>
        <v>45757</v>
      </c>
      <c r="J15" s="158">
        <f t="shared" si="4"/>
        <v>0</v>
      </c>
      <c r="K15" s="158">
        <f t="shared" si="3"/>
        <v>0</v>
      </c>
      <c r="L15" s="158">
        <f t="shared" si="3"/>
        <v>0</v>
      </c>
      <c r="M15" s="158">
        <f t="shared" si="3"/>
        <v>0</v>
      </c>
      <c r="N15" s="158">
        <f t="shared" si="3"/>
        <v>0</v>
      </c>
      <c r="O15" s="158">
        <f t="shared" si="3"/>
        <v>0</v>
      </c>
      <c r="P15" s="158">
        <f t="shared" si="3"/>
        <v>39</v>
      </c>
      <c r="Q15" s="158">
        <f t="shared" si="3"/>
        <v>187</v>
      </c>
      <c r="R15" s="158">
        <f t="shared" si="3"/>
        <v>321</v>
      </c>
      <c r="S15" s="158">
        <f t="shared" si="3"/>
        <v>410</v>
      </c>
      <c r="T15" s="158">
        <f t="shared" si="3"/>
        <v>475</v>
      </c>
      <c r="U15" s="158">
        <f t="shared" si="3"/>
        <v>500</v>
      </c>
      <c r="V15" s="158">
        <f t="shared" si="3"/>
        <v>506</v>
      </c>
      <c r="W15" s="158">
        <f t="shared" si="3"/>
        <v>485</v>
      </c>
      <c r="X15" s="158">
        <f t="shared" si="3"/>
        <v>446</v>
      </c>
      <c r="Y15" s="158">
        <f t="shared" si="3"/>
        <v>355</v>
      </c>
      <c r="Z15" s="158">
        <f t="shared" si="3"/>
        <v>248</v>
      </c>
      <c r="AA15" s="158">
        <f t="shared" si="3"/>
        <v>95</v>
      </c>
      <c r="AB15" s="158">
        <f t="shared" si="3"/>
        <v>7</v>
      </c>
      <c r="AC15" s="158">
        <f t="shared" si="3"/>
        <v>0</v>
      </c>
      <c r="AD15" s="158">
        <f t="shared" si="3"/>
        <v>0</v>
      </c>
      <c r="AE15" s="158">
        <f t="shared" si="3"/>
        <v>0</v>
      </c>
      <c r="AF15" s="158">
        <f t="shared" si="3"/>
        <v>0</v>
      </c>
      <c r="AG15" s="158">
        <f t="shared" si="3"/>
        <v>0</v>
      </c>
      <c r="AH15" s="172">
        <f t="shared" si="5"/>
        <v>4074</v>
      </c>
    </row>
    <row r="16" spans="2:34" x14ac:dyDescent="0.3">
      <c r="B16" s="19">
        <f t="shared" si="1"/>
        <v>45748</v>
      </c>
      <c r="C16">
        <f t="shared" si="2"/>
        <v>14</v>
      </c>
      <c r="D16" s="169">
        <v>458</v>
      </c>
      <c r="E16">
        <f t="shared" si="0"/>
        <v>0.45800000000000002</v>
      </c>
      <c r="I16" s="24">
        <f t="shared" si="6"/>
        <v>45758</v>
      </c>
      <c r="J16" s="158">
        <f t="shared" si="4"/>
        <v>0</v>
      </c>
      <c r="K16" s="158">
        <f t="shared" si="3"/>
        <v>0</v>
      </c>
      <c r="L16" s="158">
        <f t="shared" si="3"/>
        <v>0</v>
      </c>
      <c r="M16" s="158">
        <f t="shared" si="3"/>
        <v>0</v>
      </c>
      <c r="N16" s="158">
        <f t="shared" si="3"/>
        <v>0</v>
      </c>
      <c r="O16" s="158">
        <f t="shared" si="3"/>
        <v>0</v>
      </c>
      <c r="P16" s="158">
        <f t="shared" si="3"/>
        <v>40</v>
      </c>
      <c r="Q16" s="158">
        <f t="shared" si="3"/>
        <v>189</v>
      </c>
      <c r="R16" s="158">
        <f t="shared" si="3"/>
        <v>324</v>
      </c>
      <c r="S16" s="158">
        <f t="shared" si="3"/>
        <v>410</v>
      </c>
      <c r="T16" s="158">
        <f t="shared" si="3"/>
        <v>472</v>
      </c>
      <c r="U16" s="158">
        <f t="shared" si="3"/>
        <v>495</v>
      </c>
      <c r="V16" s="158">
        <f t="shared" si="3"/>
        <v>499</v>
      </c>
      <c r="W16" s="158">
        <f t="shared" si="3"/>
        <v>484</v>
      </c>
      <c r="X16" s="158">
        <f t="shared" si="3"/>
        <v>440</v>
      </c>
      <c r="Y16" s="158">
        <f t="shared" si="3"/>
        <v>347</v>
      </c>
      <c r="Z16" s="158">
        <f t="shared" si="3"/>
        <v>200</v>
      </c>
      <c r="AA16" s="158">
        <f t="shared" si="3"/>
        <v>58</v>
      </c>
      <c r="AB16" s="158">
        <f t="shared" si="3"/>
        <v>10</v>
      </c>
      <c r="AC16" s="158">
        <f t="shared" si="3"/>
        <v>0</v>
      </c>
      <c r="AD16" s="158">
        <f t="shared" si="3"/>
        <v>0</v>
      </c>
      <c r="AE16" s="158">
        <f t="shared" si="3"/>
        <v>0</v>
      </c>
      <c r="AF16" s="158">
        <f t="shared" si="3"/>
        <v>0</v>
      </c>
      <c r="AG16" s="158">
        <f t="shared" si="3"/>
        <v>0</v>
      </c>
      <c r="AH16" s="172">
        <f t="shared" si="5"/>
        <v>3968</v>
      </c>
    </row>
    <row r="17" spans="2:34" x14ac:dyDescent="0.3">
      <c r="B17" s="19">
        <f t="shared" si="1"/>
        <v>45748</v>
      </c>
      <c r="C17">
        <f t="shared" si="2"/>
        <v>15</v>
      </c>
      <c r="D17" s="169">
        <v>276</v>
      </c>
      <c r="E17">
        <f t="shared" si="0"/>
        <v>0.27600000000000002</v>
      </c>
      <c r="I17" s="24">
        <f t="shared" si="6"/>
        <v>45759</v>
      </c>
      <c r="J17" s="158">
        <f t="shared" si="4"/>
        <v>0</v>
      </c>
      <c r="K17" s="158">
        <f t="shared" si="3"/>
        <v>0</v>
      </c>
      <c r="L17" s="158">
        <f t="shared" si="3"/>
        <v>0</v>
      </c>
      <c r="M17" s="158">
        <f t="shared" ref="M17:AB32" si="7">SUMIFS($D$3:$D$746,$B$3:$B$746,$I17,$C$3:$C$746,K$1)</f>
        <v>0</v>
      </c>
      <c r="N17" s="158">
        <f t="shared" si="7"/>
        <v>0</v>
      </c>
      <c r="O17" s="158">
        <f t="shared" si="7"/>
        <v>0</v>
      </c>
      <c r="P17" s="158">
        <f t="shared" si="7"/>
        <v>42</v>
      </c>
      <c r="Q17" s="158">
        <f t="shared" si="7"/>
        <v>197</v>
      </c>
      <c r="R17" s="158">
        <f t="shared" si="7"/>
        <v>327</v>
      </c>
      <c r="S17" s="158">
        <f t="shared" si="7"/>
        <v>416</v>
      </c>
      <c r="T17" s="158">
        <f t="shared" si="7"/>
        <v>472</v>
      </c>
      <c r="U17" s="158">
        <f t="shared" si="7"/>
        <v>458</v>
      </c>
      <c r="V17" s="158">
        <f t="shared" si="7"/>
        <v>431</v>
      </c>
      <c r="W17" s="158">
        <f t="shared" si="7"/>
        <v>435</v>
      </c>
      <c r="X17" s="158">
        <f t="shared" si="7"/>
        <v>307</v>
      </c>
      <c r="Y17" s="158">
        <f t="shared" si="7"/>
        <v>189</v>
      </c>
      <c r="Z17" s="158">
        <f t="shared" si="7"/>
        <v>122</v>
      </c>
      <c r="AA17" s="158">
        <f t="shared" si="7"/>
        <v>38</v>
      </c>
      <c r="AB17" s="158">
        <f t="shared" si="7"/>
        <v>3</v>
      </c>
      <c r="AC17" s="158">
        <f t="shared" ref="AC17:AG33" si="8">SUMIFS($D$3:$D$746,$B$3:$B$746,$I17,$C$3:$C$746,AA$1)</f>
        <v>0</v>
      </c>
      <c r="AD17" s="158">
        <f t="shared" si="8"/>
        <v>0</v>
      </c>
      <c r="AE17" s="158">
        <f t="shared" si="8"/>
        <v>0</v>
      </c>
      <c r="AF17" s="158">
        <f t="shared" si="8"/>
        <v>0</v>
      </c>
      <c r="AG17" s="158">
        <f t="shared" si="8"/>
        <v>0</v>
      </c>
      <c r="AH17" s="172">
        <f t="shared" si="5"/>
        <v>3437</v>
      </c>
    </row>
    <row r="18" spans="2:34" x14ac:dyDescent="0.3">
      <c r="B18" s="19">
        <f t="shared" si="1"/>
        <v>45748</v>
      </c>
      <c r="C18">
        <f t="shared" si="2"/>
        <v>16</v>
      </c>
      <c r="D18" s="169">
        <v>311</v>
      </c>
      <c r="E18">
        <f t="shared" si="0"/>
        <v>0.311</v>
      </c>
      <c r="I18" s="24">
        <f t="shared" si="6"/>
        <v>45760</v>
      </c>
      <c r="J18" s="158">
        <f t="shared" si="4"/>
        <v>0</v>
      </c>
      <c r="K18" s="158">
        <f t="shared" si="4"/>
        <v>0</v>
      </c>
      <c r="L18" s="158">
        <f t="shared" si="4"/>
        <v>0</v>
      </c>
      <c r="M18" s="158">
        <f t="shared" si="7"/>
        <v>0</v>
      </c>
      <c r="N18" s="158">
        <f t="shared" si="7"/>
        <v>0</v>
      </c>
      <c r="O18" s="158">
        <f t="shared" si="7"/>
        <v>0</v>
      </c>
      <c r="P18" s="158">
        <f t="shared" si="7"/>
        <v>45</v>
      </c>
      <c r="Q18" s="158">
        <f t="shared" si="7"/>
        <v>187</v>
      </c>
      <c r="R18" s="158">
        <f t="shared" si="7"/>
        <v>324</v>
      </c>
      <c r="S18" s="158">
        <f t="shared" si="7"/>
        <v>411</v>
      </c>
      <c r="T18" s="158">
        <f t="shared" si="7"/>
        <v>481</v>
      </c>
      <c r="U18" s="158">
        <f t="shared" si="7"/>
        <v>443</v>
      </c>
      <c r="V18" s="158">
        <f t="shared" si="7"/>
        <v>412</v>
      </c>
      <c r="W18" s="158">
        <f t="shared" si="7"/>
        <v>309</v>
      </c>
      <c r="X18" s="158">
        <f t="shared" si="7"/>
        <v>273</v>
      </c>
      <c r="Y18" s="158">
        <f t="shared" si="7"/>
        <v>256</v>
      </c>
      <c r="Z18" s="158">
        <f t="shared" si="7"/>
        <v>248</v>
      </c>
      <c r="AA18" s="158">
        <f t="shared" si="7"/>
        <v>98</v>
      </c>
      <c r="AB18" s="158">
        <f t="shared" si="7"/>
        <v>7</v>
      </c>
      <c r="AC18" s="158">
        <f t="shared" si="8"/>
        <v>0</v>
      </c>
      <c r="AD18" s="158">
        <f t="shared" si="8"/>
        <v>0</v>
      </c>
      <c r="AE18" s="158">
        <f t="shared" si="8"/>
        <v>0</v>
      </c>
      <c r="AF18" s="158">
        <f t="shared" si="8"/>
        <v>0</v>
      </c>
      <c r="AG18" s="158">
        <f t="shared" si="8"/>
        <v>0</v>
      </c>
      <c r="AH18" s="172">
        <f t="shared" si="5"/>
        <v>3494</v>
      </c>
    </row>
    <row r="19" spans="2:34" x14ac:dyDescent="0.3">
      <c r="B19" s="19">
        <f t="shared" si="1"/>
        <v>45748</v>
      </c>
      <c r="C19">
        <f t="shared" si="2"/>
        <v>17</v>
      </c>
      <c r="D19" s="169">
        <v>165</v>
      </c>
      <c r="E19">
        <f t="shared" si="0"/>
        <v>0.16500000000000001</v>
      </c>
      <c r="I19" s="24">
        <f t="shared" si="6"/>
        <v>45761</v>
      </c>
      <c r="J19" s="158">
        <f t="shared" si="4"/>
        <v>0</v>
      </c>
      <c r="K19" s="158">
        <f t="shared" si="4"/>
        <v>0</v>
      </c>
      <c r="L19" s="158">
        <f t="shared" si="4"/>
        <v>0</v>
      </c>
      <c r="M19" s="158">
        <f t="shared" si="7"/>
        <v>0</v>
      </c>
      <c r="N19" s="158">
        <f t="shared" si="7"/>
        <v>0</v>
      </c>
      <c r="O19" s="158">
        <f t="shared" si="7"/>
        <v>1</v>
      </c>
      <c r="P19" s="158">
        <f t="shared" si="7"/>
        <v>49</v>
      </c>
      <c r="Q19" s="158">
        <f t="shared" si="7"/>
        <v>165</v>
      </c>
      <c r="R19" s="158">
        <f t="shared" si="7"/>
        <v>253</v>
      </c>
      <c r="S19" s="158">
        <f t="shared" si="7"/>
        <v>429</v>
      </c>
      <c r="T19" s="158">
        <f t="shared" si="7"/>
        <v>471</v>
      </c>
      <c r="U19" s="158">
        <f t="shared" si="7"/>
        <v>404</v>
      </c>
      <c r="V19" s="158">
        <f t="shared" si="7"/>
        <v>505</v>
      </c>
      <c r="W19" s="158">
        <f t="shared" si="7"/>
        <v>506</v>
      </c>
      <c r="X19" s="158">
        <f t="shared" si="7"/>
        <v>457</v>
      </c>
      <c r="Y19" s="158">
        <f t="shared" si="7"/>
        <v>368</v>
      </c>
      <c r="Z19" s="158">
        <f t="shared" si="7"/>
        <v>216</v>
      </c>
      <c r="AA19" s="158">
        <f t="shared" si="7"/>
        <v>71</v>
      </c>
      <c r="AB19" s="158">
        <f t="shared" si="7"/>
        <v>9</v>
      </c>
      <c r="AC19" s="158">
        <f t="shared" si="8"/>
        <v>0</v>
      </c>
      <c r="AD19" s="158">
        <f t="shared" si="8"/>
        <v>0</v>
      </c>
      <c r="AE19" s="158">
        <f t="shared" si="8"/>
        <v>0</v>
      </c>
      <c r="AF19" s="158">
        <f t="shared" si="8"/>
        <v>0</v>
      </c>
      <c r="AG19" s="158">
        <f t="shared" si="8"/>
        <v>0</v>
      </c>
      <c r="AH19" s="172">
        <f t="shared" si="5"/>
        <v>3904</v>
      </c>
    </row>
    <row r="20" spans="2:34" x14ac:dyDescent="0.3">
      <c r="B20" s="19">
        <f t="shared" si="1"/>
        <v>45748</v>
      </c>
      <c r="C20">
        <f t="shared" si="2"/>
        <v>18</v>
      </c>
      <c r="D20" s="169">
        <v>85</v>
      </c>
      <c r="E20">
        <f t="shared" si="0"/>
        <v>8.5000000000000006E-2</v>
      </c>
      <c r="I20" s="24">
        <f t="shared" si="6"/>
        <v>45762</v>
      </c>
      <c r="J20" s="158">
        <f t="shared" si="4"/>
        <v>0</v>
      </c>
      <c r="K20" s="158">
        <f t="shared" si="4"/>
        <v>0</v>
      </c>
      <c r="L20" s="158">
        <f t="shared" si="4"/>
        <v>0</v>
      </c>
      <c r="M20" s="158">
        <f t="shared" si="7"/>
        <v>0</v>
      </c>
      <c r="N20" s="158">
        <f t="shared" si="7"/>
        <v>0</v>
      </c>
      <c r="O20" s="158">
        <f t="shared" si="7"/>
        <v>1</v>
      </c>
      <c r="P20" s="158">
        <f t="shared" si="7"/>
        <v>43</v>
      </c>
      <c r="Q20" s="158">
        <f t="shared" si="7"/>
        <v>116</v>
      </c>
      <c r="R20" s="158">
        <f t="shared" si="7"/>
        <v>324</v>
      </c>
      <c r="S20" s="158">
        <f t="shared" si="7"/>
        <v>329</v>
      </c>
      <c r="T20" s="158">
        <f t="shared" si="7"/>
        <v>289</v>
      </c>
      <c r="U20" s="158">
        <f t="shared" si="7"/>
        <v>494</v>
      </c>
      <c r="V20" s="158">
        <f t="shared" si="7"/>
        <v>378</v>
      </c>
      <c r="W20" s="158">
        <f t="shared" si="7"/>
        <v>331</v>
      </c>
      <c r="X20" s="158">
        <f t="shared" si="7"/>
        <v>379</v>
      </c>
      <c r="Y20" s="158">
        <f t="shared" si="7"/>
        <v>346</v>
      </c>
      <c r="Z20" s="158">
        <f t="shared" si="7"/>
        <v>259</v>
      </c>
      <c r="AA20" s="158">
        <f t="shared" si="7"/>
        <v>101</v>
      </c>
      <c r="AB20" s="158">
        <f t="shared" si="7"/>
        <v>10</v>
      </c>
      <c r="AC20" s="158">
        <f t="shared" si="8"/>
        <v>0</v>
      </c>
      <c r="AD20" s="158">
        <f t="shared" si="8"/>
        <v>0</v>
      </c>
      <c r="AE20" s="158">
        <f t="shared" si="8"/>
        <v>0</v>
      </c>
      <c r="AF20" s="158">
        <f t="shared" si="8"/>
        <v>0</v>
      </c>
      <c r="AG20" s="158">
        <f t="shared" si="8"/>
        <v>0</v>
      </c>
      <c r="AH20" s="172">
        <f t="shared" si="5"/>
        <v>3400</v>
      </c>
    </row>
    <row r="21" spans="2:34" x14ac:dyDescent="0.3">
      <c r="B21" s="19">
        <f t="shared" si="1"/>
        <v>45748</v>
      </c>
      <c r="C21">
        <f t="shared" si="2"/>
        <v>19</v>
      </c>
      <c r="D21" s="169">
        <v>9</v>
      </c>
      <c r="E21">
        <f t="shared" si="0"/>
        <v>8.9999999999999993E-3</v>
      </c>
      <c r="I21" s="24">
        <f t="shared" si="6"/>
        <v>45763</v>
      </c>
      <c r="J21" s="158">
        <f t="shared" si="4"/>
        <v>0</v>
      </c>
      <c r="K21" s="158">
        <f t="shared" si="4"/>
        <v>0</v>
      </c>
      <c r="L21" s="158">
        <f t="shared" si="4"/>
        <v>0</v>
      </c>
      <c r="M21" s="158">
        <f t="shared" si="7"/>
        <v>0</v>
      </c>
      <c r="N21" s="158">
        <f t="shared" si="7"/>
        <v>0</v>
      </c>
      <c r="O21" s="158">
        <f t="shared" si="7"/>
        <v>0</v>
      </c>
      <c r="P21" s="158">
        <f t="shared" si="7"/>
        <v>36</v>
      </c>
      <c r="Q21" s="158">
        <f t="shared" si="7"/>
        <v>197</v>
      </c>
      <c r="R21" s="158">
        <f t="shared" si="7"/>
        <v>315</v>
      </c>
      <c r="S21" s="158">
        <f t="shared" si="7"/>
        <v>424</v>
      </c>
      <c r="T21" s="158">
        <f t="shared" si="7"/>
        <v>474</v>
      </c>
      <c r="U21" s="158">
        <f t="shared" si="7"/>
        <v>507</v>
      </c>
      <c r="V21" s="158">
        <f t="shared" si="7"/>
        <v>469</v>
      </c>
      <c r="W21" s="158">
        <f t="shared" si="7"/>
        <v>490</v>
      </c>
      <c r="X21" s="158">
        <f t="shared" si="7"/>
        <v>433</v>
      </c>
      <c r="Y21" s="158">
        <f t="shared" si="7"/>
        <v>364</v>
      </c>
      <c r="Z21" s="158">
        <f t="shared" si="7"/>
        <v>190</v>
      </c>
      <c r="AA21" s="158">
        <f t="shared" si="7"/>
        <v>109</v>
      </c>
      <c r="AB21" s="158">
        <f t="shared" si="7"/>
        <v>7</v>
      </c>
      <c r="AC21" s="158">
        <f t="shared" si="8"/>
        <v>0</v>
      </c>
      <c r="AD21" s="158">
        <f t="shared" si="8"/>
        <v>0</v>
      </c>
      <c r="AE21" s="158">
        <f t="shared" si="8"/>
        <v>0</v>
      </c>
      <c r="AF21" s="158">
        <f t="shared" si="8"/>
        <v>0</v>
      </c>
      <c r="AG21" s="158">
        <f t="shared" si="8"/>
        <v>0</v>
      </c>
      <c r="AH21" s="172">
        <f t="shared" si="5"/>
        <v>4015</v>
      </c>
    </row>
    <row r="22" spans="2:34" x14ac:dyDescent="0.3">
      <c r="B22" s="19">
        <f t="shared" si="1"/>
        <v>45748</v>
      </c>
      <c r="C22">
        <f t="shared" si="2"/>
        <v>20</v>
      </c>
      <c r="D22" s="169">
        <v>0</v>
      </c>
      <c r="E22">
        <f t="shared" si="0"/>
        <v>0</v>
      </c>
      <c r="I22" s="24">
        <f t="shared" si="6"/>
        <v>45764</v>
      </c>
      <c r="J22" s="158">
        <f t="shared" si="4"/>
        <v>0</v>
      </c>
      <c r="K22" s="158">
        <f t="shared" si="4"/>
        <v>0</v>
      </c>
      <c r="L22" s="158">
        <f t="shared" si="4"/>
        <v>0</v>
      </c>
      <c r="M22" s="158">
        <f t="shared" si="7"/>
        <v>0</v>
      </c>
      <c r="N22" s="158">
        <f t="shared" si="7"/>
        <v>0</v>
      </c>
      <c r="O22" s="158">
        <f t="shared" si="7"/>
        <v>1</v>
      </c>
      <c r="P22" s="158">
        <f t="shared" si="7"/>
        <v>55</v>
      </c>
      <c r="Q22" s="158">
        <f t="shared" si="7"/>
        <v>140</v>
      </c>
      <c r="R22" s="158">
        <f t="shared" si="7"/>
        <v>335</v>
      </c>
      <c r="S22" s="158">
        <f t="shared" si="7"/>
        <v>416</v>
      </c>
      <c r="T22" s="158">
        <f t="shared" si="7"/>
        <v>448</v>
      </c>
      <c r="U22" s="158">
        <f t="shared" si="7"/>
        <v>498</v>
      </c>
      <c r="V22" s="158">
        <f t="shared" si="7"/>
        <v>532</v>
      </c>
      <c r="W22" s="158">
        <f t="shared" si="7"/>
        <v>511</v>
      </c>
      <c r="X22" s="158">
        <f t="shared" si="7"/>
        <v>470</v>
      </c>
      <c r="Y22" s="158">
        <f t="shared" si="7"/>
        <v>387</v>
      </c>
      <c r="Z22" s="158">
        <f t="shared" si="7"/>
        <v>247</v>
      </c>
      <c r="AA22" s="158">
        <f t="shared" si="7"/>
        <v>96</v>
      </c>
      <c r="AB22" s="158">
        <f t="shared" si="7"/>
        <v>9</v>
      </c>
      <c r="AC22" s="158">
        <f t="shared" si="8"/>
        <v>0</v>
      </c>
      <c r="AD22" s="158">
        <f t="shared" si="8"/>
        <v>0</v>
      </c>
      <c r="AE22" s="158">
        <f t="shared" si="8"/>
        <v>0</v>
      </c>
      <c r="AF22" s="158">
        <f t="shared" si="8"/>
        <v>0</v>
      </c>
      <c r="AG22" s="158">
        <f t="shared" si="8"/>
        <v>0</v>
      </c>
      <c r="AH22" s="172">
        <f t="shared" si="5"/>
        <v>4145</v>
      </c>
    </row>
    <row r="23" spans="2:34" x14ac:dyDescent="0.3">
      <c r="B23" s="19">
        <f t="shared" si="1"/>
        <v>45748</v>
      </c>
      <c r="C23">
        <f t="shared" si="2"/>
        <v>21</v>
      </c>
      <c r="D23" s="169">
        <v>0</v>
      </c>
      <c r="E23">
        <f t="shared" si="0"/>
        <v>0</v>
      </c>
      <c r="I23" s="24">
        <f t="shared" si="6"/>
        <v>45765</v>
      </c>
      <c r="J23" s="158">
        <f t="shared" si="4"/>
        <v>0</v>
      </c>
      <c r="K23" s="158">
        <f t="shared" si="4"/>
        <v>0</v>
      </c>
      <c r="L23" s="158">
        <f t="shared" si="4"/>
        <v>0</v>
      </c>
      <c r="M23" s="158">
        <f t="shared" si="7"/>
        <v>0</v>
      </c>
      <c r="N23" s="158">
        <f t="shared" si="7"/>
        <v>0</v>
      </c>
      <c r="O23" s="158">
        <f t="shared" si="7"/>
        <v>0</v>
      </c>
      <c r="P23" s="158">
        <f t="shared" si="7"/>
        <v>52</v>
      </c>
      <c r="Q23" s="158">
        <f t="shared" si="7"/>
        <v>170</v>
      </c>
      <c r="R23" s="158">
        <f t="shared" si="7"/>
        <v>163</v>
      </c>
      <c r="S23" s="158">
        <f t="shared" si="7"/>
        <v>134</v>
      </c>
      <c r="T23" s="158">
        <f t="shared" si="7"/>
        <v>103</v>
      </c>
      <c r="U23" s="158">
        <f t="shared" si="7"/>
        <v>145</v>
      </c>
      <c r="V23" s="158">
        <f t="shared" si="7"/>
        <v>160</v>
      </c>
      <c r="W23" s="158">
        <f t="shared" si="7"/>
        <v>239</v>
      </c>
      <c r="X23" s="158">
        <f t="shared" si="7"/>
        <v>125</v>
      </c>
      <c r="Y23" s="158">
        <f t="shared" si="7"/>
        <v>25</v>
      </c>
      <c r="Z23" s="158">
        <f t="shared" si="7"/>
        <v>27</v>
      </c>
      <c r="AA23" s="158">
        <f t="shared" si="7"/>
        <v>16</v>
      </c>
      <c r="AB23" s="158">
        <f t="shared" si="7"/>
        <v>3</v>
      </c>
      <c r="AC23" s="158">
        <f t="shared" si="8"/>
        <v>0</v>
      </c>
      <c r="AD23" s="158">
        <f t="shared" si="8"/>
        <v>0</v>
      </c>
      <c r="AE23" s="158">
        <f t="shared" si="8"/>
        <v>0</v>
      </c>
      <c r="AF23" s="158">
        <f t="shared" si="8"/>
        <v>0</v>
      </c>
      <c r="AG23" s="158">
        <f t="shared" si="8"/>
        <v>0</v>
      </c>
      <c r="AH23" s="172">
        <f t="shared" si="5"/>
        <v>1362</v>
      </c>
    </row>
    <row r="24" spans="2:34" x14ac:dyDescent="0.3">
      <c r="B24" s="19">
        <f t="shared" si="1"/>
        <v>45748</v>
      </c>
      <c r="C24">
        <f t="shared" si="2"/>
        <v>22</v>
      </c>
      <c r="D24" s="169">
        <v>0</v>
      </c>
      <c r="E24">
        <f t="shared" si="0"/>
        <v>0</v>
      </c>
      <c r="I24" s="24">
        <f t="shared" si="6"/>
        <v>45766</v>
      </c>
      <c r="J24" s="158">
        <f t="shared" si="4"/>
        <v>0</v>
      </c>
      <c r="K24" s="158">
        <f t="shared" si="4"/>
        <v>0</v>
      </c>
      <c r="L24" s="158">
        <f t="shared" si="4"/>
        <v>0</v>
      </c>
      <c r="M24" s="158">
        <f t="shared" si="7"/>
        <v>0</v>
      </c>
      <c r="N24" s="158">
        <f t="shared" si="7"/>
        <v>0</v>
      </c>
      <c r="O24" s="158">
        <f t="shared" si="7"/>
        <v>0</v>
      </c>
      <c r="P24" s="158">
        <f t="shared" si="7"/>
        <v>13</v>
      </c>
      <c r="Q24" s="158">
        <f t="shared" si="7"/>
        <v>49</v>
      </c>
      <c r="R24" s="158">
        <f t="shared" si="7"/>
        <v>118</v>
      </c>
      <c r="S24" s="158">
        <f t="shared" si="7"/>
        <v>233</v>
      </c>
      <c r="T24" s="158">
        <f t="shared" si="7"/>
        <v>295</v>
      </c>
      <c r="U24" s="158">
        <f t="shared" si="7"/>
        <v>418</v>
      </c>
      <c r="V24" s="158">
        <f t="shared" si="7"/>
        <v>548</v>
      </c>
      <c r="W24" s="158">
        <f t="shared" si="7"/>
        <v>432</v>
      </c>
      <c r="X24" s="158">
        <f t="shared" si="7"/>
        <v>335</v>
      </c>
      <c r="Y24" s="158">
        <f t="shared" si="7"/>
        <v>182</v>
      </c>
      <c r="Z24" s="158">
        <f t="shared" si="7"/>
        <v>100</v>
      </c>
      <c r="AA24" s="158">
        <f t="shared" si="7"/>
        <v>47</v>
      </c>
      <c r="AB24" s="158">
        <f t="shared" si="7"/>
        <v>12</v>
      </c>
      <c r="AC24" s="158">
        <f t="shared" si="8"/>
        <v>0</v>
      </c>
      <c r="AD24" s="158">
        <f t="shared" si="8"/>
        <v>0</v>
      </c>
      <c r="AE24" s="158">
        <f t="shared" si="8"/>
        <v>0</v>
      </c>
      <c r="AF24" s="158">
        <f t="shared" si="8"/>
        <v>0</v>
      </c>
      <c r="AG24" s="158">
        <f t="shared" si="8"/>
        <v>0</v>
      </c>
      <c r="AH24" s="172">
        <f t="shared" si="5"/>
        <v>2782</v>
      </c>
    </row>
    <row r="25" spans="2:34" x14ac:dyDescent="0.3">
      <c r="B25" s="19">
        <f t="shared" si="1"/>
        <v>45748</v>
      </c>
      <c r="C25">
        <f t="shared" si="2"/>
        <v>23</v>
      </c>
      <c r="D25" s="169">
        <v>0</v>
      </c>
      <c r="E25">
        <f t="shared" si="0"/>
        <v>0</v>
      </c>
      <c r="I25" s="24">
        <f t="shared" si="6"/>
        <v>45767</v>
      </c>
      <c r="J25" s="158">
        <f t="shared" si="4"/>
        <v>0</v>
      </c>
      <c r="K25" s="158">
        <f t="shared" si="4"/>
        <v>0</v>
      </c>
      <c r="L25" s="158">
        <f t="shared" si="4"/>
        <v>0</v>
      </c>
      <c r="M25" s="158">
        <f t="shared" si="7"/>
        <v>0</v>
      </c>
      <c r="N25" s="158">
        <f t="shared" si="7"/>
        <v>0</v>
      </c>
      <c r="O25" s="158">
        <f t="shared" si="7"/>
        <v>1</v>
      </c>
      <c r="P25" s="158">
        <f t="shared" si="7"/>
        <v>64</v>
      </c>
      <c r="Q25" s="158">
        <f t="shared" si="7"/>
        <v>219</v>
      </c>
      <c r="R25" s="158">
        <f t="shared" si="7"/>
        <v>349</v>
      </c>
      <c r="S25" s="158">
        <f t="shared" si="7"/>
        <v>441</v>
      </c>
      <c r="T25" s="158">
        <f t="shared" si="7"/>
        <v>495</v>
      </c>
      <c r="U25" s="158">
        <f t="shared" si="7"/>
        <v>520</v>
      </c>
      <c r="V25" s="158">
        <f t="shared" si="7"/>
        <v>526</v>
      </c>
      <c r="W25" s="158">
        <f t="shared" si="7"/>
        <v>510</v>
      </c>
      <c r="X25" s="158">
        <f t="shared" si="7"/>
        <v>468</v>
      </c>
      <c r="Y25" s="158">
        <f t="shared" si="7"/>
        <v>377</v>
      </c>
      <c r="Z25" s="158">
        <f t="shared" si="7"/>
        <v>265</v>
      </c>
      <c r="AA25" s="158">
        <f t="shared" si="7"/>
        <v>105</v>
      </c>
      <c r="AB25" s="158">
        <f t="shared" si="7"/>
        <v>9</v>
      </c>
      <c r="AC25" s="158">
        <f t="shared" si="8"/>
        <v>0</v>
      </c>
      <c r="AD25" s="158">
        <f t="shared" si="8"/>
        <v>0</v>
      </c>
      <c r="AE25" s="158">
        <f t="shared" si="8"/>
        <v>0</v>
      </c>
      <c r="AF25" s="158">
        <f t="shared" si="8"/>
        <v>0</v>
      </c>
      <c r="AG25" s="158">
        <f t="shared" si="8"/>
        <v>0</v>
      </c>
      <c r="AH25" s="172">
        <f t="shared" si="5"/>
        <v>4349</v>
      </c>
    </row>
    <row r="26" spans="2:34" x14ac:dyDescent="0.3">
      <c r="B26" s="19">
        <f t="shared" si="1"/>
        <v>45748</v>
      </c>
      <c r="C26">
        <f t="shared" si="2"/>
        <v>24</v>
      </c>
      <c r="D26" s="169">
        <v>0</v>
      </c>
      <c r="E26">
        <f t="shared" si="0"/>
        <v>0</v>
      </c>
      <c r="I26" s="24">
        <f t="shared" si="6"/>
        <v>45768</v>
      </c>
      <c r="J26" s="158">
        <f t="shared" si="4"/>
        <v>0</v>
      </c>
      <c r="K26" s="158">
        <f t="shared" si="4"/>
        <v>0</v>
      </c>
      <c r="L26" s="158">
        <f t="shared" si="4"/>
        <v>0</v>
      </c>
      <c r="M26" s="158">
        <f t="shared" si="7"/>
        <v>0</v>
      </c>
      <c r="N26" s="158">
        <f t="shared" si="7"/>
        <v>0</v>
      </c>
      <c r="O26" s="158">
        <f t="shared" si="7"/>
        <v>2</v>
      </c>
      <c r="P26" s="158">
        <f t="shared" si="7"/>
        <v>56</v>
      </c>
      <c r="Q26" s="158">
        <f t="shared" si="7"/>
        <v>216</v>
      </c>
      <c r="R26" s="158">
        <f t="shared" si="7"/>
        <v>336</v>
      </c>
      <c r="S26" s="158">
        <f t="shared" si="7"/>
        <v>408</v>
      </c>
      <c r="T26" s="158">
        <f t="shared" si="7"/>
        <v>475</v>
      </c>
      <c r="U26" s="158">
        <f t="shared" si="7"/>
        <v>520</v>
      </c>
      <c r="V26" s="158">
        <f t="shared" si="7"/>
        <v>497</v>
      </c>
      <c r="W26" s="158">
        <f t="shared" si="7"/>
        <v>492</v>
      </c>
      <c r="X26" s="158">
        <f t="shared" si="7"/>
        <v>445</v>
      </c>
      <c r="Y26" s="158">
        <f t="shared" si="7"/>
        <v>377</v>
      </c>
      <c r="Z26" s="158">
        <f t="shared" si="7"/>
        <v>241</v>
      </c>
      <c r="AA26" s="158">
        <f t="shared" si="7"/>
        <v>99</v>
      </c>
      <c r="AB26" s="158">
        <f t="shared" si="7"/>
        <v>15</v>
      </c>
      <c r="AC26" s="158">
        <f t="shared" si="8"/>
        <v>0</v>
      </c>
      <c r="AD26" s="158">
        <f t="shared" si="8"/>
        <v>0</v>
      </c>
      <c r="AE26" s="158">
        <f t="shared" si="8"/>
        <v>0</v>
      </c>
      <c r="AF26" s="158">
        <f t="shared" si="8"/>
        <v>0</v>
      </c>
      <c r="AG26" s="158">
        <f t="shared" si="8"/>
        <v>0</v>
      </c>
      <c r="AH26" s="172">
        <f t="shared" si="5"/>
        <v>4179</v>
      </c>
    </row>
    <row r="27" spans="2:34" x14ac:dyDescent="0.3">
      <c r="B27" s="19">
        <f>IF(C26=24,B26+1,B26)</f>
        <v>45749</v>
      </c>
      <c r="C27">
        <f t="shared" si="2"/>
        <v>1</v>
      </c>
      <c r="D27" s="169">
        <v>0</v>
      </c>
      <c r="E27">
        <f t="shared" si="0"/>
        <v>0</v>
      </c>
      <c r="I27" s="24">
        <f t="shared" si="6"/>
        <v>45769</v>
      </c>
      <c r="J27" s="158">
        <f t="shared" si="4"/>
        <v>0</v>
      </c>
      <c r="K27" s="158">
        <f t="shared" si="4"/>
        <v>0</v>
      </c>
      <c r="L27" s="158">
        <f t="shared" si="4"/>
        <v>0</v>
      </c>
      <c r="M27" s="158">
        <f t="shared" si="7"/>
        <v>0</v>
      </c>
      <c r="N27" s="158">
        <f t="shared" si="7"/>
        <v>0</v>
      </c>
      <c r="O27" s="158">
        <f t="shared" si="7"/>
        <v>1</v>
      </c>
      <c r="P27" s="158">
        <f t="shared" si="7"/>
        <v>56</v>
      </c>
      <c r="Q27" s="158">
        <f t="shared" si="7"/>
        <v>217</v>
      </c>
      <c r="R27" s="158">
        <f t="shared" si="7"/>
        <v>342</v>
      </c>
      <c r="S27" s="158">
        <f t="shared" si="7"/>
        <v>430</v>
      </c>
      <c r="T27" s="158">
        <f t="shared" si="7"/>
        <v>510</v>
      </c>
      <c r="U27" s="158">
        <f t="shared" si="7"/>
        <v>552</v>
      </c>
      <c r="V27" s="158">
        <f t="shared" si="7"/>
        <v>571</v>
      </c>
      <c r="W27" s="158">
        <f t="shared" si="7"/>
        <v>561</v>
      </c>
      <c r="X27" s="158">
        <f t="shared" si="7"/>
        <v>515</v>
      </c>
      <c r="Y27" s="158">
        <f t="shared" si="7"/>
        <v>420</v>
      </c>
      <c r="Z27" s="158">
        <f t="shared" si="7"/>
        <v>286</v>
      </c>
      <c r="AA27" s="158">
        <f t="shared" si="7"/>
        <v>112</v>
      </c>
      <c r="AB27" s="158">
        <f t="shared" si="7"/>
        <v>9</v>
      </c>
      <c r="AC27" s="158">
        <f t="shared" si="8"/>
        <v>0</v>
      </c>
      <c r="AD27" s="158">
        <f t="shared" si="8"/>
        <v>0</v>
      </c>
      <c r="AE27" s="158">
        <f t="shared" si="8"/>
        <v>0</v>
      </c>
      <c r="AF27" s="158">
        <f t="shared" si="8"/>
        <v>0</v>
      </c>
      <c r="AG27" s="158">
        <f t="shared" si="8"/>
        <v>0</v>
      </c>
      <c r="AH27" s="172">
        <f t="shared" si="5"/>
        <v>4582</v>
      </c>
    </row>
    <row r="28" spans="2:34" x14ac:dyDescent="0.3">
      <c r="B28" s="19">
        <f t="shared" si="1"/>
        <v>45749</v>
      </c>
      <c r="C28">
        <f t="shared" si="2"/>
        <v>2</v>
      </c>
      <c r="D28" s="169">
        <v>0</v>
      </c>
      <c r="E28">
        <f t="shared" si="0"/>
        <v>0</v>
      </c>
      <c r="I28" s="24">
        <f t="shared" si="6"/>
        <v>45770</v>
      </c>
      <c r="J28" s="158">
        <f t="shared" si="4"/>
        <v>0</v>
      </c>
      <c r="K28" s="158">
        <f t="shared" si="4"/>
        <v>0</v>
      </c>
      <c r="L28" s="158">
        <f t="shared" si="4"/>
        <v>0</v>
      </c>
      <c r="M28" s="158">
        <f t="shared" si="7"/>
        <v>0</v>
      </c>
      <c r="N28" s="158">
        <f t="shared" si="7"/>
        <v>0</v>
      </c>
      <c r="O28" s="158">
        <f t="shared" si="7"/>
        <v>2</v>
      </c>
      <c r="P28" s="158">
        <f t="shared" si="7"/>
        <v>60</v>
      </c>
      <c r="Q28" s="158">
        <f t="shared" si="7"/>
        <v>232</v>
      </c>
      <c r="R28" s="158">
        <f t="shared" si="7"/>
        <v>401</v>
      </c>
      <c r="S28" s="158">
        <f t="shared" si="7"/>
        <v>528</v>
      </c>
      <c r="T28" s="158">
        <f t="shared" si="7"/>
        <v>608</v>
      </c>
      <c r="U28" s="158">
        <f t="shared" si="7"/>
        <v>627</v>
      </c>
      <c r="V28" s="158">
        <f t="shared" si="7"/>
        <v>648</v>
      </c>
      <c r="W28" s="158">
        <f t="shared" si="7"/>
        <v>654</v>
      </c>
      <c r="X28" s="158">
        <f t="shared" si="7"/>
        <v>619</v>
      </c>
      <c r="Y28" s="158">
        <f t="shared" si="7"/>
        <v>500</v>
      </c>
      <c r="Z28" s="158">
        <f t="shared" si="7"/>
        <v>329</v>
      </c>
      <c r="AA28" s="158">
        <f t="shared" si="7"/>
        <v>128</v>
      </c>
      <c r="AB28" s="158">
        <f t="shared" si="7"/>
        <v>12</v>
      </c>
      <c r="AC28" s="158">
        <f t="shared" si="8"/>
        <v>0</v>
      </c>
      <c r="AD28" s="158">
        <f t="shared" si="8"/>
        <v>0</v>
      </c>
      <c r="AE28" s="158">
        <f t="shared" si="8"/>
        <v>0</v>
      </c>
      <c r="AF28" s="158">
        <f t="shared" si="8"/>
        <v>0</v>
      </c>
      <c r="AG28" s="158">
        <f t="shared" si="8"/>
        <v>0</v>
      </c>
      <c r="AH28" s="172">
        <f t="shared" si="5"/>
        <v>5348</v>
      </c>
    </row>
    <row r="29" spans="2:34" x14ac:dyDescent="0.3">
      <c r="B29" s="19">
        <f t="shared" si="1"/>
        <v>45749</v>
      </c>
      <c r="C29">
        <f t="shared" si="2"/>
        <v>3</v>
      </c>
      <c r="D29" s="169">
        <v>0</v>
      </c>
      <c r="E29">
        <f t="shared" si="0"/>
        <v>0</v>
      </c>
      <c r="I29" s="24">
        <f t="shared" si="6"/>
        <v>45771</v>
      </c>
      <c r="J29" s="158">
        <f t="shared" si="4"/>
        <v>0</v>
      </c>
      <c r="K29" s="158">
        <f t="shared" si="4"/>
        <v>0</v>
      </c>
      <c r="L29" s="158">
        <f t="shared" si="4"/>
        <v>0</v>
      </c>
      <c r="M29" s="158">
        <f t="shared" si="7"/>
        <v>0</v>
      </c>
      <c r="N29" s="158">
        <f t="shared" si="7"/>
        <v>0</v>
      </c>
      <c r="O29" s="158">
        <f t="shared" si="7"/>
        <v>2</v>
      </c>
      <c r="P29" s="158">
        <f t="shared" si="7"/>
        <v>74</v>
      </c>
      <c r="Q29" s="158">
        <f t="shared" si="7"/>
        <v>268</v>
      </c>
      <c r="R29" s="158">
        <f t="shared" si="7"/>
        <v>447</v>
      </c>
      <c r="S29" s="158">
        <f t="shared" si="7"/>
        <v>583</v>
      </c>
      <c r="T29" s="158">
        <f t="shared" si="7"/>
        <v>645</v>
      </c>
      <c r="U29" s="158">
        <f t="shared" si="7"/>
        <v>662</v>
      </c>
      <c r="V29" s="158">
        <f t="shared" si="7"/>
        <v>666</v>
      </c>
      <c r="W29" s="158">
        <f t="shared" si="7"/>
        <v>650</v>
      </c>
      <c r="X29" s="158">
        <f t="shared" si="7"/>
        <v>606</v>
      </c>
      <c r="Y29" s="158">
        <f t="shared" si="7"/>
        <v>491</v>
      </c>
      <c r="Z29" s="158">
        <f t="shared" si="7"/>
        <v>326</v>
      </c>
      <c r="AA29" s="158">
        <f t="shared" si="7"/>
        <v>129</v>
      </c>
      <c r="AB29" s="158">
        <f t="shared" si="7"/>
        <v>13</v>
      </c>
      <c r="AC29" s="158">
        <f t="shared" si="8"/>
        <v>0</v>
      </c>
      <c r="AD29" s="158">
        <f t="shared" si="8"/>
        <v>0</v>
      </c>
      <c r="AE29" s="158">
        <f t="shared" si="8"/>
        <v>0</v>
      </c>
      <c r="AF29" s="158">
        <f t="shared" si="8"/>
        <v>0</v>
      </c>
      <c r="AG29" s="158">
        <f t="shared" si="8"/>
        <v>0</v>
      </c>
      <c r="AH29" s="172">
        <f t="shared" si="5"/>
        <v>5562</v>
      </c>
    </row>
    <row r="30" spans="2:34" x14ac:dyDescent="0.3">
      <c r="B30" s="19">
        <f t="shared" si="1"/>
        <v>45749</v>
      </c>
      <c r="C30">
        <f t="shared" si="2"/>
        <v>4</v>
      </c>
      <c r="D30" s="169">
        <v>0</v>
      </c>
      <c r="E30">
        <f t="shared" si="0"/>
        <v>0</v>
      </c>
      <c r="I30" s="24">
        <f t="shared" ref="I30:I35" si="9">I29+1</f>
        <v>45772</v>
      </c>
      <c r="J30" s="158">
        <f t="shared" si="4"/>
        <v>0</v>
      </c>
      <c r="K30" s="158">
        <f t="shared" si="4"/>
        <v>0</v>
      </c>
      <c r="L30" s="158">
        <f t="shared" si="4"/>
        <v>0</v>
      </c>
      <c r="M30" s="158">
        <f t="shared" si="7"/>
        <v>0</v>
      </c>
      <c r="N30" s="158">
        <f t="shared" si="7"/>
        <v>0</v>
      </c>
      <c r="O30" s="158">
        <f t="shared" si="7"/>
        <v>10</v>
      </c>
      <c r="P30" s="158">
        <f t="shared" si="7"/>
        <v>57</v>
      </c>
      <c r="Q30" s="158">
        <f t="shared" si="7"/>
        <v>165</v>
      </c>
      <c r="R30" s="158">
        <f t="shared" si="7"/>
        <v>312</v>
      </c>
      <c r="S30" s="158">
        <f t="shared" si="7"/>
        <v>477</v>
      </c>
      <c r="T30" s="158">
        <f t="shared" si="7"/>
        <v>637</v>
      </c>
      <c r="U30" s="158">
        <f t="shared" si="7"/>
        <v>665</v>
      </c>
      <c r="V30" s="158">
        <f t="shared" si="7"/>
        <v>664</v>
      </c>
      <c r="W30" s="158">
        <f t="shared" si="7"/>
        <v>652</v>
      </c>
      <c r="X30" s="158">
        <f t="shared" si="7"/>
        <v>610</v>
      </c>
      <c r="Y30" s="158">
        <f t="shared" si="7"/>
        <v>484</v>
      </c>
      <c r="Z30" s="158">
        <f t="shared" si="7"/>
        <v>308</v>
      </c>
      <c r="AA30" s="158">
        <f t="shared" si="7"/>
        <v>130</v>
      </c>
      <c r="AB30" s="158">
        <f t="shared" si="7"/>
        <v>11</v>
      </c>
      <c r="AC30" s="158">
        <f t="shared" si="8"/>
        <v>0</v>
      </c>
      <c r="AD30" s="158">
        <f t="shared" si="8"/>
        <v>0</v>
      </c>
      <c r="AE30" s="158">
        <f t="shared" si="8"/>
        <v>0</v>
      </c>
      <c r="AF30" s="158">
        <f t="shared" si="8"/>
        <v>0</v>
      </c>
      <c r="AG30" s="158">
        <f t="shared" si="8"/>
        <v>0</v>
      </c>
      <c r="AH30" s="172">
        <f t="shared" si="5"/>
        <v>5182</v>
      </c>
    </row>
    <row r="31" spans="2:34" x14ac:dyDescent="0.3">
      <c r="B31" s="19">
        <f t="shared" si="1"/>
        <v>45749</v>
      </c>
      <c r="C31">
        <f t="shared" si="2"/>
        <v>5</v>
      </c>
      <c r="D31" s="169">
        <v>0</v>
      </c>
      <c r="E31">
        <f t="shared" si="0"/>
        <v>0</v>
      </c>
      <c r="I31" s="24">
        <f t="shared" si="9"/>
        <v>45773</v>
      </c>
      <c r="J31" s="158">
        <f t="shared" si="4"/>
        <v>0</v>
      </c>
      <c r="K31" s="158">
        <f t="shared" si="4"/>
        <v>0</v>
      </c>
      <c r="L31" s="158">
        <f t="shared" si="4"/>
        <v>0</v>
      </c>
      <c r="M31" s="158">
        <f t="shared" si="7"/>
        <v>0</v>
      </c>
      <c r="N31" s="158">
        <f t="shared" si="7"/>
        <v>0</v>
      </c>
      <c r="O31" s="158">
        <f t="shared" si="7"/>
        <v>3</v>
      </c>
      <c r="P31" s="158">
        <f t="shared" si="7"/>
        <v>77</v>
      </c>
      <c r="Q31" s="158">
        <f t="shared" si="7"/>
        <v>271</v>
      </c>
      <c r="R31" s="158">
        <f t="shared" si="7"/>
        <v>449</v>
      </c>
      <c r="S31" s="158">
        <f t="shared" si="7"/>
        <v>579</v>
      </c>
      <c r="T31" s="158">
        <f t="shared" si="7"/>
        <v>651</v>
      </c>
      <c r="U31" s="158">
        <f t="shared" si="7"/>
        <v>660</v>
      </c>
      <c r="V31" s="158">
        <f t="shared" si="7"/>
        <v>665</v>
      </c>
      <c r="W31" s="158">
        <f t="shared" si="7"/>
        <v>654</v>
      </c>
      <c r="X31" s="158">
        <f t="shared" si="7"/>
        <v>607</v>
      </c>
      <c r="Y31" s="158">
        <f t="shared" si="7"/>
        <v>492</v>
      </c>
      <c r="Z31" s="158">
        <f t="shared" si="7"/>
        <v>325</v>
      </c>
      <c r="AA31" s="158">
        <f t="shared" si="7"/>
        <v>130</v>
      </c>
      <c r="AB31" s="158">
        <f t="shared" si="7"/>
        <v>15</v>
      </c>
      <c r="AC31" s="158">
        <f t="shared" si="8"/>
        <v>0</v>
      </c>
      <c r="AD31" s="158">
        <f t="shared" si="8"/>
        <v>0</v>
      </c>
      <c r="AE31" s="158">
        <f t="shared" si="8"/>
        <v>0</v>
      </c>
      <c r="AF31" s="158">
        <f t="shared" si="8"/>
        <v>0</v>
      </c>
      <c r="AG31" s="158">
        <f t="shared" si="8"/>
        <v>0</v>
      </c>
      <c r="AH31" s="172">
        <f t="shared" si="5"/>
        <v>5578</v>
      </c>
    </row>
    <row r="32" spans="2:34" x14ac:dyDescent="0.3">
      <c r="B32" s="19">
        <f t="shared" si="1"/>
        <v>45749</v>
      </c>
      <c r="C32">
        <f t="shared" si="2"/>
        <v>6</v>
      </c>
      <c r="D32" s="169">
        <v>0</v>
      </c>
      <c r="E32">
        <f t="shared" si="0"/>
        <v>0</v>
      </c>
      <c r="I32" s="24">
        <f t="shared" si="9"/>
        <v>45774</v>
      </c>
      <c r="J32" s="158">
        <f t="shared" si="4"/>
        <v>0</v>
      </c>
      <c r="K32" s="158">
        <f t="shared" si="4"/>
        <v>0</v>
      </c>
      <c r="L32" s="158">
        <f t="shared" si="4"/>
        <v>0</v>
      </c>
      <c r="M32" s="158">
        <f t="shared" si="7"/>
        <v>0</v>
      </c>
      <c r="N32" s="158">
        <f t="shared" si="7"/>
        <v>0</v>
      </c>
      <c r="O32" s="158">
        <f t="shared" si="7"/>
        <v>4</v>
      </c>
      <c r="P32" s="158">
        <f t="shared" si="7"/>
        <v>78</v>
      </c>
      <c r="Q32" s="158">
        <f t="shared" si="7"/>
        <v>270</v>
      </c>
      <c r="R32" s="158">
        <f t="shared" si="7"/>
        <v>448</v>
      </c>
      <c r="S32" s="158">
        <f t="shared" si="7"/>
        <v>584</v>
      </c>
      <c r="T32" s="158">
        <f t="shared" si="7"/>
        <v>652</v>
      </c>
      <c r="U32" s="158">
        <f t="shared" si="7"/>
        <v>664</v>
      </c>
      <c r="V32" s="158">
        <f t="shared" si="7"/>
        <v>614</v>
      </c>
      <c r="W32" s="158">
        <f t="shared" si="7"/>
        <v>339</v>
      </c>
      <c r="X32" s="158">
        <f t="shared" si="7"/>
        <v>212</v>
      </c>
      <c r="Y32" s="158">
        <f t="shared" si="7"/>
        <v>233</v>
      </c>
      <c r="Z32" s="158">
        <f t="shared" si="7"/>
        <v>206</v>
      </c>
      <c r="AA32" s="158">
        <f t="shared" si="7"/>
        <v>132</v>
      </c>
      <c r="AB32" s="158">
        <f t="shared" ref="AB32:AB33" si="10">SUMIFS($D$3:$D$746,$B$3:$B$746,$I32,$C$3:$C$746,Z$1)</f>
        <v>14</v>
      </c>
      <c r="AC32" s="158">
        <f t="shared" si="8"/>
        <v>0</v>
      </c>
      <c r="AD32" s="158">
        <f t="shared" si="8"/>
        <v>0</v>
      </c>
      <c r="AE32" s="158">
        <f t="shared" si="8"/>
        <v>0</v>
      </c>
      <c r="AF32" s="158">
        <f t="shared" si="8"/>
        <v>0</v>
      </c>
      <c r="AG32" s="158">
        <f t="shared" si="8"/>
        <v>0</v>
      </c>
      <c r="AH32" s="172">
        <f t="shared" si="5"/>
        <v>4450</v>
      </c>
    </row>
    <row r="33" spans="2:34" x14ac:dyDescent="0.3">
      <c r="B33" s="19">
        <f t="shared" si="1"/>
        <v>45749</v>
      </c>
      <c r="C33">
        <f t="shared" si="2"/>
        <v>7</v>
      </c>
      <c r="D33" s="169">
        <v>54</v>
      </c>
      <c r="E33">
        <f t="shared" si="0"/>
        <v>5.3999999999999999E-2</v>
      </c>
      <c r="I33" s="24">
        <f t="shared" si="9"/>
        <v>45775</v>
      </c>
      <c r="J33" s="158">
        <f t="shared" si="4"/>
        <v>0</v>
      </c>
      <c r="K33" s="158">
        <f t="shared" si="4"/>
        <v>0</v>
      </c>
      <c r="L33" s="158">
        <f t="shared" si="4"/>
        <v>0</v>
      </c>
      <c r="M33" s="158">
        <f t="shared" si="4"/>
        <v>0</v>
      </c>
      <c r="N33" s="158">
        <f t="shared" si="4"/>
        <v>0</v>
      </c>
      <c r="O33" s="158">
        <f t="shared" si="4"/>
        <v>4</v>
      </c>
      <c r="P33" s="158">
        <f t="shared" si="4"/>
        <v>81</v>
      </c>
      <c r="Q33" s="158">
        <f t="shared" si="4"/>
        <v>278</v>
      </c>
      <c r="R33" s="158">
        <f t="shared" si="4"/>
        <v>462</v>
      </c>
      <c r="S33" s="158">
        <f t="shared" si="4"/>
        <v>600</v>
      </c>
      <c r="T33" s="158">
        <f t="shared" si="4"/>
        <v>657</v>
      </c>
      <c r="U33" s="158">
        <f t="shared" si="4"/>
        <v>674</v>
      </c>
      <c r="V33" s="158">
        <f t="shared" si="4"/>
        <v>676</v>
      </c>
      <c r="W33" s="158">
        <f t="shared" si="4"/>
        <v>661</v>
      </c>
      <c r="X33" s="158">
        <f t="shared" si="4"/>
        <v>616</v>
      </c>
      <c r="Y33" s="158">
        <f t="shared" si="4"/>
        <v>501</v>
      </c>
      <c r="Z33" s="158">
        <f t="shared" ref="Z33:AA33" si="11">SUMIFS($D$3:$D$746,$B$3:$B$746,$I33,$C$3:$C$746,X$1)</f>
        <v>336</v>
      </c>
      <c r="AA33" s="158">
        <f t="shared" si="11"/>
        <v>135</v>
      </c>
      <c r="AB33" s="158">
        <f t="shared" si="10"/>
        <v>14</v>
      </c>
      <c r="AC33" s="158">
        <f t="shared" si="8"/>
        <v>0</v>
      </c>
      <c r="AD33" s="158">
        <f t="shared" si="8"/>
        <v>0</v>
      </c>
      <c r="AE33" s="158">
        <f t="shared" si="8"/>
        <v>0</v>
      </c>
      <c r="AF33" s="158">
        <f t="shared" si="8"/>
        <v>0</v>
      </c>
      <c r="AG33" s="158">
        <f t="shared" si="8"/>
        <v>0</v>
      </c>
      <c r="AH33" s="172">
        <f t="shared" si="5"/>
        <v>5695</v>
      </c>
    </row>
    <row r="34" spans="2:34" x14ac:dyDescent="0.3">
      <c r="B34" s="19">
        <f t="shared" si="1"/>
        <v>45749</v>
      </c>
      <c r="C34">
        <f t="shared" si="2"/>
        <v>8</v>
      </c>
      <c r="D34" s="169">
        <v>284</v>
      </c>
      <c r="E34">
        <f t="shared" si="0"/>
        <v>0.28399999999999997</v>
      </c>
      <c r="I34" s="24">
        <f t="shared" si="9"/>
        <v>45776</v>
      </c>
      <c r="J34" s="158">
        <f t="shared" ref="J34:J36" si="12">SUMIFS($D$3:$D$746,$B$3:$B$746,$I34,$C$3:$C$746,H$1)</f>
        <v>0</v>
      </c>
      <c r="K34" s="158">
        <f t="shared" ref="K34:K36" si="13">SUMIFS($D$3:$D$746,$B$3:$B$746,$I34,$C$3:$C$746,I$1)</f>
        <v>0</v>
      </c>
      <c r="L34" s="158">
        <f t="shared" ref="L34:L36" si="14">SUMIFS($D$3:$D$746,$B$3:$B$746,$I34,$C$3:$C$746,J$1)</f>
        <v>0</v>
      </c>
      <c r="M34" s="158">
        <f t="shared" ref="M34:M36" si="15">SUMIFS($D$3:$D$746,$B$3:$B$746,$I34,$C$3:$C$746,K$1)</f>
        <v>0</v>
      </c>
      <c r="N34" s="158">
        <f t="shared" ref="N34:N36" si="16">SUMIFS($D$3:$D$746,$B$3:$B$746,$I34,$C$3:$C$746,L$1)</f>
        <v>0</v>
      </c>
      <c r="O34" s="158">
        <f t="shared" ref="O34:O36" si="17">SUMIFS($D$3:$D$746,$B$3:$B$746,$I34,$C$3:$C$746,M$1)</f>
        <v>3</v>
      </c>
      <c r="P34" s="158">
        <f t="shared" ref="P34:P36" si="18">SUMIFS($D$3:$D$746,$B$3:$B$746,$I34,$C$3:$C$746,N$1)</f>
        <v>43</v>
      </c>
      <c r="Q34" s="158">
        <f t="shared" ref="Q34:Q36" si="19">SUMIFS($D$3:$D$746,$B$3:$B$746,$I34,$C$3:$C$746,O$1)</f>
        <v>263</v>
      </c>
      <c r="R34" s="158">
        <f t="shared" ref="R34:R36" si="20">SUMIFS($D$3:$D$746,$B$3:$B$746,$I34,$C$3:$C$746,P$1)</f>
        <v>461</v>
      </c>
      <c r="S34" s="158">
        <f t="shared" ref="S34:S36" si="21">SUMIFS($D$3:$D$746,$B$3:$B$746,$I34,$C$3:$C$746,Q$1)</f>
        <v>583</v>
      </c>
      <c r="T34" s="158">
        <f t="shared" ref="T34:T36" si="22">SUMIFS($D$3:$D$746,$B$3:$B$746,$I34,$C$3:$C$746,R$1)</f>
        <v>652</v>
      </c>
      <c r="U34" s="158">
        <f t="shared" ref="U34:U36" si="23">SUMIFS($D$3:$D$746,$B$3:$B$746,$I34,$C$3:$C$746,S$1)</f>
        <v>671</v>
      </c>
      <c r="V34" s="158">
        <f t="shared" ref="V34:V36" si="24">SUMIFS($D$3:$D$746,$B$3:$B$746,$I34,$C$3:$C$746,T$1)</f>
        <v>554</v>
      </c>
      <c r="W34" s="158">
        <f t="shared" ref="W34:W36" si="25">SUMIFS($D$3:$D$746,$B$3:$B$746,$I34,$C$3:$C$746,U$1)</f>
        <v>617</v>
      </c>
      <c r="X34" s="158">
        <f t="shared" ref="X34:X36" si="26">SUMIFS($D$3:$D$746,$B$3:$B$746,$I34,$C$3:$C$746,V$1)</f>
        <v>546</v>
      </c>
      <c r="Y34" s="158">
        <f t="shared" ref="Y34:Y36" si="27">SUMIFS($D$3:$D$746,$B$3:$B$746,$I34,$C$3:$C$746,W$1)</f>
        <v>381</v>
      </c>
      <c r="Z34" s="158">
        <f t="shared" ref="Z34:Z36" si="28">SUMIFS($D$3:$D$746,$B$3:$B$746,$I34,$C$3:$C$746,X$1)</f>
        <v>110</v>
      </c>
      <c r="AA34" s="158">
        <f t="shared" ref="AA34:AA36" si="29">SUMIFS($D$3:$D$746,$B$3:$B$746,$I34,$C$3:$C$746,Y$1)</f>
        <v>43</v>
      </c>
      <c r="AB34" s="158">
        <f t="shared" ref="AB34:AB36" si="30">SUMIFS($D$3:$D$746,$B$3:$B$746,$I34,$C$3:$C$746,Z$1)</f>
        <v>10</v>
      </c>
      <c r="AC34" s="158">
        <f t="shared" ref="AC34:AC36" si="31">SUMIFS($D$3:$D$746,$B$3:$B$746,$I34,$C$3:$C$746,AA$1)</f>
        <v>0</v>
      </c>
      <c r="AD34" s="158">
        <f t="shared" ref="AD34:AD36" si="32">SUMIFS($D$3:$D$746,$B$3:$B$746,$I34,$C$3:$C$746,AB$1)</f>
        <v>0</v>
      </c>
      <c r="AE34" s="158">
        <f t="shared" ref="AE34:AE36" si="33">SUMIFS($D$3:$D$746,$B$3:$B$746,$I34,$C$3:$C$746,AC$1)</f>
        <v>0</v>
      </c>
      <c r="AF34" s="158">
        <f t="shared" ref="AF34:AF36" si="34">SUMIFS($D$3:$D$746,$B$3:$B$746,$I34,$C$3:$C$746,AD$1)</f>
        <v>0</v>
      </c>
      <c r="AG34" s="158">
        <f t="shared" ref="AG34:AG36" si="35">SUMIFS($D$3:$D$746,$B$3:$B$746,$I34,$C$3:$C$746,AE$1)</f>
        <v>0</v>
      </c>
      <c r="AH34" s="172">
        <f>SUM(J34:AG34)</f>
        <v>4937</v>
      </c>
    </row>
    <row r="35" spans="2:34" x14ac:dyDescent="0.3">
      <c r="B35" s="19">
        <f t="shared" si="1"/>
        <v>45749</v>
      </c>
      <c r="C35">
        <f t="shared" si="2"/>
        <v>9</v>
      </c>
      <c r="D35" s="169">
        <v>501</v>
      </c>
      <c r="E35">
        <f t="shared" si="0"/>
        <v>0.501</v>
      </c>
      <c r="I35" s="24">
        <f t="shared" si="9"/>
        <v>45777</v>
      </c>
      <c r="J35" s="158">
        <f t="shared" si="12"/>
        <v>0</v>
      </c>
      <c r="K35" s="158">
        <f t="shared" si="13"/>
        <v>0</v>
      </c>
      <c r="L35" s="158">
        <f t="shared" si="14"/>
        <v>0</v>
      </c>
      <c r="M35" s="158">
        <f t="shared" si="15"/>
        <v>0</v>
      </c>
      <c r="N35" s="158">
        <f t="shared" si="16"/>
        <v>0</v>
      </c>
      <c r="O35" s="158">
        <f t="shared" si="17"/>
        <v>4</v>
      </c>
      <c r="P35" s="158">
        <f t="shared" si="18"/>
        <v>81</v>
      </c>
      <c r="Q35" s="158">
        <f t="shared" si="19"/>
        <v>273</v>
      </c>
      <c r="R35" s="158">
        <f t="shared" si="20"/>
        <v>453</v>
      </c>
      <c r="S35" s="158">
        <f t="shared" si="21"/>
        <v>586</v>
      </c>
      <c r="T35" s="158">
        <f t="shared" si="22"/>
        <v>654</v>
      </c>
      <c r="U35" s="158">
        <f t="shared" si="23"/>
        <v>668</v>
      </c>
      <c r="V35" s="158">
        <f t="shared" si="24"/>
        <v>672</v>
      </c>
      <c r="W35" s="158">
        <f t="shared" si="25"/>
        <v>848</v>
      </c>
      <c r="X35" s="158">
        <f t="shared" si="26"/>
        <v>932</v>
      </c>
      <c r="Y35" s="158">
        <f t="shared" si="27"/>
        <v>703</v>
      </c>
      <c r="Z35" s="158">
        <f t="shared" si="28"/>
        <v>501</v>
      </c>
      <c r="AA35" s="158">
        <f t="shared" si="29"/>
        <v>201</v>
      </c>
      <c r="AB35" s="158">
        <f t="shared" si="30"/>
        <v>21</v>
      </c>
      <c r="AC35" s="158">
        <f t="shared" si="31"/>
        <v>0</v>
      </c>
      <c r="AD35" s="158">
        <f t="shared" si="32"/>
        <v>0</v>
      </c>
      <c r="AE35" s="158">
        <f t="shared" si="33"/>
        <v>0</v>
      </c>
      <c r="AF35" s="158">
        <f t="shared" si="34"/>
        <v>0</v>
      </c>
      <c r="AG35" s="158">
        <f t="shared" si="35"/>
        <v>0</v>
      </c>
      <c r="AH35" s="172">
        <f>SUM(J35:AG35)</f>
        <v>6597</v>
      </c>
    </row>
    <row r="36" spans="2:34" x14ac:dyDescent="0.3">
      <c r="B36" s="19">
        <f t="shared" si="1"/>
        <v>45749</v>
      </c>
      <c r="C36">
        <f t="shared" si="2"/>
        <v>10</v>
      </c>
      <c r="D36" s="169">
        <v>643</v>
      </c>
      <c r="E36">
        <f t="shared" si="0"/>
        <v>0.64300000000000002</v>
      </c>
      <c r="I36" s="24"/>
      <c r="J36" s="158">
        <f t="shared" si="12"/>
        <v>0</v>
      </c>
      <c r="K36" s="158">
        <f t="shared" si="13"/>
        <v>0</v>
      </c>
      <c r="L36" s="158">
        <f t="shared" si="14"/>
        <v>0</v>
      </c>
      <c r="M36" s="158">
        <f t="shared" si="15"/>
        <v>0</v>
      </c>
      <c r="N36" s="158">
        <f t="shared" si="16"/>
        <v>0</v>
      </c>
      <c r="O36" s="158">
        <f t="shared" si="17"/>
        <v>0</v>
      </c>
      <c r="P36" s="158">
        <f t="shared" si="18"/>
        <v>0</v>
      </c>
      <c r="Q36" s="158">
        <f t="shared" si="19"/>
        <v>0</v>
      </c>
      <c r="R36" s="158">
        <f t="shared" si="20"/>
        <v>0</v>
      </c>
      <c r="S36" s="158">
        <f t="shared" si="21"/>
        <v>0</v>
      </c>
      <c r="T36" s="158">
        <f t="shared" si="22"/>
        <v>0</v>
      </c>
      <c r="U36" s="158">
        <f t="shared" si="23"/>
        <v>0</v>
      </c>
      <c r="V36" s="158">
        <f t="shared" si="24"/>
        <v>0</v>
      </c>
      <c r="W36" s="158">
        <f t="shared" si="25"/>
        <v>0</v>
      </c>
      <c r="X36" s="158">
        <f t="shared" si="26"/>
        <v>0</v>
      </c>
      <c r="Y36" s="158">
        <f t="shared" si="27"/>
        <v>0</v>
      </c>
      <c r="Z36" s="158">
        <f t="shared" si="28"/>
        <v>0</v>
      </c>
      <c r="AA36" s="158">
        <f t="shared" si="29"/>
        <v>0</v>
      </c>
      <c r="AB36" s="158">
        <f t="shared" si="30"/>
        <v>0</v>
      </c>
      <c r="AC36" s="158">
        <f t="shared" si="31"/>
        <v>0</v>
      </c>
      <c r="AD36" s="158">
        <f t="shared" si="32"/>
        <v>0</v>
      </c>
      <c r="AE36" s="158">
        <f t="shared" si="33"/>
        <v>0</v>
      </c>
      <c r="AF36" s="158">
        <f t="shared" si="34"/>
        <v>0</v>
      </c>
      <c r="AG36" s="158">
        <f t="shared" si="35"/>
        <v>0</v>
      </c>
      <c r="AH36" s="172">
        <f>SUM(J36:AG36)</f>
        <v>0</v>
      </c>
    </row>
    <row r="37" spans="2:34" x14ac:dyDescent="0.3">
      <c r="B37" s="19">
        <f t="shared" si="1"/>
        <v>45749</v>
      </c>
      <c r="C37">
        <f t="shared" si="2"/>
        <v>11</v>
      </c>
      <c r="D37" s="169">
        <v>741</v>
      </c>
      <c r="E37">
        <f t="shared" si="0"/>
        <v>0.74099999999999999</v>
      </c>
      <c r="I37" s="24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72">
        <f>SUM(AH6:AH36)</f>
        <v>133068</v>
      </c>
    </row>
    <row r="38" spans="2:34" x14ac:dyDescent="0.3">
      <c r="B38" s="19">
        <f t="shared" si="1"/>
        <v>45749</v>
      </c>
      <c r="C38">
        <f t="shared" si="2"/>
        <v>12</v>
      </c>
      <c r="D38" s="169">
        <v>775</v>
      </c>
      <c r="E38">
        <f t="shared" si="0"/>
        <v>0.77500000000000002</v>
      </c>
    </row>
    <row r="39" spans="2:34" x14ac:dyDescent="0.3">
      <c r="B39" s="19">
        <f t="shared" si="1"/>
        <v>45749</v>
      </c>
      <c r="C39">
        <f t="shared" si="2"/>
        <v>13</v>
      </c>
      <c r="D39" s="169">
        <v>719</v>
      </c>
      <c r="E39">
        <f t="shared" si="0"/>
        <v>0.71899999999999997</v>
      </c>
    </row>
    <row r="40" spans="2:34" x14ac:dyDescent="0.3">
      <c r="B40" s="19">
        <f t="shared" si="1"/>
        <v>45749</v>
      </c>
      <c r="C40">
        <f t="shared" si="2"/>
        <v>14</v>
      </c>
      <c r="D40" s="169">
        <v>737</v>
      </c>
      <c r="E40">
        <f t="shared" si="0"/>
        <v>0.73699999999999999</v>
      </c>
    </row>
    <row r="41" spans="2:34" x14ac:dyDescent="0.3">
      <c r="B41" s="19">
        <f t="shared" si="1"/>
        <v>45749</v>
      </c>
      <c r="C41">
        <f t="shared" si="2"/>
        <v>15</v>
      </c>
      <c r="D41" s="169">
        <v>606</v>
      </c>
      <c r="E41">
        <f t="shared" si="0"/>
        <v>0.60599999999999998</v>
      </c>
    </row>
    <row r="42" spans="2:34" x14ac:dyDescent="0.3">
      <c r="B42" s="19">
        <f t="shared" si="1"/>
        <v>45749</v>
      </c>
      <c r="C42">
        <f t="shared" si="2"/>
        <v>16</v>
      </c>
      <c r="D42" s="169">
        <v>275</v>
      </c>
      <c r="E42">
        <f t="shared" si="0"/>
        <v>0.27500000000000002</v>
      </c>
    </row>
    <row r="43" spans="2:34" x14ac:dyDescent="0.3">
      <c r="B43" s="19">
        <f t="shared" si="1"/>
        <v>45749</v>
      </c>
      <c r="C43">
        <f t="shared" si="2"/>
        <v>17</v>
      </c>
      <c r="D43" s="169">
        <v>300</v>
      </c>
      <c r="E43">
        <f t="shared" si="0"/>
        <v>0.3</v>
      </c>
    </row>
    <row r="44" spans="2:34" x14ac:dyDescent="0.3">
      <c r="B44" s="19">
        <f t="shared" si="1"/>
        <v>45749</v>
      </c>
      <c r="C44">
        <f t="shared" si="2"/>
        <v>18</v>
      </c>
      <c r="D44" s="169">
        <v>53</v>
      </c>
      <c r="E44">
        <f t="shared" si="0"/>
        <v>5.2999999999999999E-2</v>
      </c>
    </row>
    <row r="45" spans="2:34" x14ac:dyDescent="0.3">
      <c r="B45" s="19">
        <f t="shared" si="1"/>
        <v>45749</v>
      </c>
      <c r="C45">
        <f t="shared" si="2"/>
        <v>19</v>
      </c>
      <c r="D45" s="169">
        <v>0</v>
      </c>
      <c r="E45">
        <f t="shared" si="0"/>
        <v>0</v>
      </c>
    </row>
    <row r="46" spans="2:34" x14ac:dyDescent="0.3">
      <c r="B46" s="19">
        <f t="shared" si="1"/>
        <v>45749</v>
      </c>
      <c r="C46">
        <f t="shared" si="2"/>
        <v>20</v>
      </c>
      <c r="D46" s="169">
        <v>0</v>
      </c>
      <c r="E46">
        <f t="shared" si="0"/>
        <v>0</v>
      </c>
    </row>
    <row r="47" spans="2:34" x14ac:dyDescent="0.3">
      <c r="B47" s="19">
        <f t="shared" si="1"/>
        <v>45749</v>
      </c>
      <c r="C47">
        <f t="shared" si="2"/>
        <v>21</v>
      </c>
      <c r="D47" s="169">
        <v>0</v>
      </c>
      <c r="E47">
        <f t="shared" si="0"/>
        <v>0</v>
      </c>
    </row>
    <row r="48" spans="2:34" x14ac:dyDescent="0.3">
      <c r="B48" s="19">
        <f t="shared" si="1"/>
        <v>45749</v>
      </c>
      <c r="C48">
        <f t="shared" si="2"/>
        <v>22</v>
      </c>
      <c r="D48" s="169">
        <v>0</v>
      </c>
      <c r="E48">
        <f t="shared" si="0"/>
        <v>0</v>
      </c>
    </row>
    <row r="49" spans="2:5" x14ac:dyDescent="0.3">
      <c r="B49" s="19">
        <f t="shared" si="1"/>
        <v>45749</v>
      </c>
      <c r="C49">
        <f t="shared" si="2"/>
        <v>23</v>
      </c>
      <c r="D49" s="169">
        <v>0</v>
      </c>
      <c r="E49">
        <f t="shared" si="0"/>
        <v>0</v>
      </c>
    </row>
    <row r="50" spans="2:5" x14ac:dyDescent="0.3">
      <c r="B50" s="19">
        <f t="shared" si="1"/>
        <v>45749</v>
      </c>
      <c r="C50">
        <f t="shared" si="2"/>
        <v>24</v>
      </c>
      <c r="D50" s="169">
        <v>0</v>
      </c>
      <c r="E50">
        <f t="shared" si="0"/>
        <v>0</v>
      </c>
    </row>
    <row r="51" spans="2:5" x14ac:dyDescent="0.3">
      <c r="B51" s="19">
        <f t="shared" si="1"/>
        <v>45750</v>
      </c>
      <c r="C51">
        <f t="shared" si="2"/>
        <v>1</v>
      </c>
      <c r="D51" s="169">
        <v>0</v>
      </c>
      <c r="E51">
        <f t="shared" si="0"/>
        <v>0</v>
      </c>
    </row>
    <row r="52" spans="2:5" x14ac:dyDescent="0.3">
      <c r="B52" s="19">
        <f t="shared" si="1"/>
        <v>45750</v>
      </c>
      <c r="C52">
        <f t="shared" si="2"/>
        <v>2</v>
      </c>
      <c r="D52" s="169">
        <v>0</v>
      </c>
      <c r="E52">
        <f t="shared" si="0"/>
        <v>0</v>
      </c>
    </row>
    <row r="53" spans="2:5" x14ac:dyDescent="0.3">
      <c r="B53" s="19">
        <f t="shared" si="1"/>
        <v>45750</v>
      </c>
      <c r="C53">
        <f t="shared" si="2"/>
        <v>3</v>
      </c>
      <c r="D53" s="169">
        <v>0</v>
      </c>
      <c r="E53">
        <f t="shared" si="0"/>
        <v>0</v>
      </c>
    </row>
    <row r="54" spans="2:5" x14ac:dyDescent="0.3">
      <c r="B54" s="19">
        <f t="shared" si="1"/>
        <v>45750</v>
      </c>
      <c r="C54">
        <f t="shared" si="2"/>
        <v>4</v>
      </c>
      <c r="D54" s="169">
        <v>0</v>
      </c>
      <c r="E54">
        <f t="shared" si="0"/>
        <v>0</v>
      </c>
    </row>
    <row r="55" spans="2:5" x14ac:dyDescent="0.3">
      <c r="B55" s="19">
        <f t="shared" si="1"/>
        <v>45750</v>
      </c>
      <c r="C55">
        <f t="shared" si="2"/>
        <v>5</v>
      </c>
      <c r="D55" s="169">
        <v>0</v>
      </c>
      <c r="E55">
        <f t="shared" si="0"/>
        <v>0</v>
      </c>
    </row>
    <row r="56" spans="2:5" x14ac:dyDescent="0.3">
      <c r="B56" s="19">
        <f t="shared" si="1"/>
        <v>45750</v>
      </c>
      <c r="C56">
        <f t="shared" si="2"/>
        <v>6</v>
      </c>
      <c r="D56" s="169">
        <v>0</v>
      </c>
      <c r="E56">
        <f t="shared" si="0"/>
        <v>0</v>
      </c>
    </row>
    <row r="57" spans="2:5" x14ac:dyDescent="0.3">
      <c r="B57" s="19">
        <f t="shared" si="1"/>
        <v>45750</v>
      </c>
      <c r="C57">
        <f t="shared" si="2"/>
        <v>7</v>
      </c>
      <c r="D57" s="169">
        <v>48</v>
      </c>
      <c r="E57">
        <f t="shared" si="0"/>
        <v>4.8000000000000001E-2</v>
      </c>
    </row>
    <row r="58" spans="2:5" x14ac:dyDescent="0.3">
      <c r="B58" s="19">
        <f t="shared" si="1"/>
        <v>45750</v>
      </c>
      <c r="C58">
        <f t="shared" si="2"/>
        <v>8</v>
      </c>
      <c r="D58" s="169">
        <v>268</v>
      </c>
      <c r="E58">
        <f t="shared" si="0"/>
        <v>0.26800000000000002</v>
      </c>
    </row>
    <row r="59" spans="2:5" x14ac:dyDescent="0.3">
      <c r="B59" s="19">
        <f t="shared" si="1"/>
        <v>45750</v>
      </c>
      <c r="C59">
        <f t="shared" si="2"/>
        <v>9</v>
      </c>
      <c r="D59" s="169">
        <v>462</v>
      </c>
      <c r="E59">
        <f t="shared" si="0"/>
        <v>0.46200000000000002</v>
      </c>
    </row>
    <row r="60" spans="2:5" x14ac:dyDescent="0.3">
      <c r="B60" s="19">
        <f t="shared" si="1"/>
        <v>45750</v>
      </c>
      <c r="C60">
        <f t="shared" si="2"/>
        <v>10</v>
      </c>
      <c r="D60" s="169">
        <v>551</v>
      </c>
      <c r="E60">
        <f t="shared" si="0"/>
        <v>0.55100000000000005</v>
      </c>
    </row>
    <row r="61" spans="2:5" x14ac:dyDescent="0.3">
      <c r="B61" s="19">
        <f t="shared" si="1"/>
        <v>45750</v>
      </c>
      <c r="C61">
        <f t="shared" si="2"/>
        <v>11</v>
      </c>
      <c r="D61" s="169">
        <v>368</v>
      </c>
      <c r="E61">
        <f t="shared" si="0"/>
        <v>0.36799999999999999</v>
      </c>
    </row>
    <row r="62" spans="2:5" x14ac:dyDescent="0.3">
      <c r="B62" s="19">
        <f t="shared" si="1"/>
        <v>45750</v>
      </c>
      <c r="C62">
        <f t="shared" si="2"/>
        <v>12</v>
      </c>
      <c r="D62" s="169">
        <v>524</v>
      </c>
      <c r="E62">
        <f t="shared" si="0"/>
        <v>0.52400000000000002</v>
      </c>
    </row>
    <row r="63" spans="2:5" x14ac:dyDescent="0.3">
      <c r="B63" s="19">
        <f t="shared" si="1"/>
        <v>45750</v>
      </c>
      <c r="C63">
        <f t="shared" si="2"/>
        <v>13</v>
      </c>
      <c r="D63" s="169">
        <v>681</v>
      </c>
      <c r="E63">
        <f t="shared" si="0"/>
        <v>0.68100000000000005</v>
      </c>
    </row>
    <row r="64" spans="2:5" x14ac:dyDescent="0.3">
      <c r="B64" s="19">
        <f t="shared" si="1"/>
        <v>45750</v>
      </c>
      <c r="C64">
        <f t="shared" si="2"/>
        <v>14</v>
      </c>
      <c r="D64" s="169">
        <v>652</v>
      </c>
      <c r="E64">
        <f t="shared" si="0"/>
        <v>0.65200000000000002</v>
      </c>
    </row>
    <row r="65" spans="2:5" x14ac:dyDescent="0.3">
      <c r="B65" s="19">
        <f t="shared" si="1"/>
        <v>45750</v>
      </c>
      <c r="C65">
        <f t="shared" si="2"/>
        <v>15</v>
      </c>
      <c r="D65" s="169">
        <v>684</v>
      </c>
      <c r="E65">
        <f t="shared" si="0"/>
        <v>0.68400000000000005</v>
      </c>
    </row>
    <row r="66" spans="2:5" x14ac:dyDescent="0.3">
      <c r="B66" s="19">
        <f t="shared" si="1"/>
        <v>45750</v>
      </c>
      <c r="C66">
        <f t="shared" si="2"/>
        <v>16</v>
      </c>
      <c r="D66" s="169">
        <v>532</v>
      </c>
      <c r="E66">
        <f t="shared" si="0"/>
        <v>0.53200000000000003</v>
      </c>
    </row>
    <row r="67" spans="2:5" x14ac:dyDescent="0.3">
      <c r="B67" s="19">
        <f t="shared" si="1"/>
        <v>45750</v>
      </c>
      <c r="C67">
        <f t="shared" si="2"/>
        <v>17</v>
      </c>
      <c r="D67" s="169">
        <v>276</v>
      </c>
      <c r="E67">
        <f t="shared" si="0"/>
        <v>0.27600000000000002</v>
      </c>
    </row>
    <row r="68" spans="2:5" x14ac:dyDescent="0.3">
      <c r="B68" s="19">
        <f t="shared" si="1"/>
        <v>45750</v>
      </c>
      <c r="C68">
        <f t="shared" si="2"/>
        <v>18</v>
      </c>
      <c r="D68" s="169">
        <v>75</v>
      </c>
      <c r="E68">
        <f t="shared" ref="E68:E131" si="36">D68/1000</f>
        <v>7.4999999999999997E-2</v>
      </c>
    </row>
    <row r="69" spans="2:5" x14ac:dyDescent="0.3">
      <c r="B69" s="19">
        <f t="shared" ref="B69:B132" si="37">IF(C68=24,B68+1,B68)</f>
        <v>45750</v>
      </c>
      <c r="C69">
        <f t="shared" ref="C69:C132" si="38">IF(C68=24,1,C68+1)</f>
        <v>19</v>
      </c>
      <c r="D69" s="169">
        <v>5</v>
      </c>
      <c r="E69">
        <f t="shared" si="36"/>
        <v>5.0000000000000001E-3</v>
      </c>
    </row>
    <row r="70" spans="2:5" x14ac:dyDescent="0.3">
      <c r="B70" s="19">
        <f t="shared" si="37"/>
        <v>45750</v>
      </c>
      <c r="C70">
        <f t="shared" si="38"/>
        <v>20</v>
      </c>
      <c r="D70" s="169">
        <v>0</v>
      </c>
      <c r="E70">
        <f t="shared" si="36"/>
        <v>0</v>
      </c>
    </row>
    <row r="71" spans="2:5" x14ac:dyDescent="0.3">
      <c r="B71" s="19">
        <f t="shared" si="37"/>
        <v>45750</v>
      </c>
      <c r="C71">
        <f t="shared" si="38"/>
        <v>21</v>
      </c>
      <c r="D71" s="169">
        <v>0</v>
      </c>
      <c r="E71">
        <f t="shared" si="36"/>
        <v>0</v>
      </c>
    </row>
    <row r="72" spans="2:5" x14ac:dyDescent="0.3">
      <c r="B72" s="19">
        <f t="shared" si="37"/>
        <v>45750</v>
      </c>
      <c r="C72">
        <f t="shared" si="38"/>
        <v>22</v>
      </c>
      <c r="D72" s="169">
        <v>0</v>
      </c>
      <c r="E72">
        <f t="shared" si="36"/>
        <v>0</v>
      </c>
    </row>
    <row r="73" spans="2:5" x14ac:dyDescent="0.3">
      <c r="B73" s="19">
        <f t="shared" si="37"/>
        <v>45750</v>
      </c>
      <c r="C73">
        <f t="shared" si="38"/>
        <v>23</v>
      </c>
      <c r="D73" s="169">
        <v>0</v>
      </c>
      <c r="E73">
        <f t="shared" si="36"/>
        <v>0</v>
      </c>
    </row>
    <row r="74" spans="2:5" x14ac:dyDescent="0.3">
      <c r="B74" s="19">
        <f t="shared" si="37"/>
        <v>45750</v>
      </c>
      <c r="C74">
        <f t="shared" si="38"/>
        <v>24</v>
      </c>
      <c r="D74" s="169">
        <v>0</v>
      </c>
      <c r="E74">
        <f t="shared" si="36"/>
        <v>0</v>
      </c>
    </row>
    <row r="75" spans="2:5" x14ac:dyDescent="0.3">
      <c r="B75" s="19">
        <f t="shared" si="37"/>
        <v>45751</v>
      </c>
      <c r="C75">
        <f t="shared" si="38"/>
        <v>1</v>
      </c>
      <c r="D75" s="169">
        <v>0</v>
      </c>
      <c r="E75">
        <f t="shared" si="36"/>
        <v>0</v>
      </c>
    </row>
    <row r="76" spans="2:5" x14ac:dyDescent="0.3">
      <c r="B76" s="19">
        <f t="shared" si="37"/>
        <v>45751</v>
      </c>
      <c r="C76">
        <f t="shared" si="38"/>
        <v>2</v>
      </c>
      <c r="D76" s="169">
        <v>0</v>
      </c>
      <c r="E76">
        <f t="shared" si="36"/>
        <v>0</v>
      </c>
    </row>
    <row r="77" spans="2:5" x14ac:dyDescent="0.3">
      <c r="B77" s="19">
        <f t="shared" si="37"/>
        <v>45751</v>
      </c>
      <c r="C77">
        <f t="shared" si="38"/>
        <v>3</v>
      </c>
      <c r="D77" s="169">
        <v>0</v>
      </c>
      <c r="E77">
        <f t="shared" si="36"/>
        <v>0</v>
      </c>
    </row>
    <row r="78" spans="2:5" x14ac:dyDescent="0.3">
      <c r="B78" s="19">
        <f t="shared" si="37"/>
        <v>45751</v>
      </c>
      <c r="C78">
        <f t="shared" si="38"/>
        <v>4</v>
      </c>
      <c r="D78" s="169">
        <v>0</v>
      </c>
      <c r="E78">
        <f t="shared" si="36"/>
        <v>0</v>
      </c>
    </row>
    <row r="79" spans="2:5" x14ac:dyDescent="0.3">
      <c r="B79" s="19">
        <f t="shared" si="37"/>
        <v>45751</v>
      </c>
      <c r="C79">
        <f t="shared" si="38"/>
        <v>5</v>
      </c>
      <c r="D79" s="169">
        <v>0</v>
      </c>
      <c r="E79">
        <f t="shared" si="36"/>
        <v>0</v>
      </c>
    </row>
    <row r="80" spans="2:5" x14ac:dyDescent="0.3">
      <c r="B80" s="19">
        <f t="shared" si="37"/>
        <v>45751</v>
      </c>
      <c r="C80">
        <f t="shared" si="38"/>
        <v>6</v>
      </c>
      <c r="D80" s="169">
        <v>0</v>
      </c>
      <c r="E80">
        <f t="shared" si="36"/>
        <v>0</v>
      </c>
    </row>
    <row r="81" spans="2:5" x14ac:dyDescent="0.3">
      <c r="B81" s="19">
        <f t="shared" si="37"/>
        <v>45751</v>
      </c>
      <c r="C81">
        <f t="shared" si="38"/>
        <v>7</v>
      </c>
      <c r="D81" s="169">
        <v>54</v>
      </c>
      <c r="E81">
        <f t="shared" si="36"/>
        <v>5.3999999999999999E-2</v>
      </c>
    </row>
    <row r="82" spans="2:5" x14ac:dyDescent="0.3">
      <c r="B82" s="19">
        <f t="shared" si="37"/>
        <v>45751</v>
      </c>
      <c r="C82">
        <f t="shared" si="38"/>
        <v>8</v>
      </c>
      <c r="D82" s="169">
        <v>272</v>
      </c>
      <c r="E82">
        <f t="shared" si="36"/>
        <v>0.27200000000000002</v>
      </c>
    </row>
    <row r="83" spans="2:5" x14ac:dyDescent="0.3">
      <c r="B83" s="19">
        <f t="shared" si="37"/>
        <v>45751</v>
      </c>
      <c r="C83">
        <f t="shared" si="38"/>
        <v>9</v>
      </c>
      <c r="D83" s="169">
        <v>498</v>
      </c>
      <c r="E83">
        <f t="shared" si="36"/>
        <v>0.498</v>
      </c>
    </row>
    <row r="84" spans="2:5" x14ac:dyDescent="0.3">
      <c r="B84" s="19">
        <f t="shared" si="37"/>
        <v>45751</v>
      </c>
      <c r="C84">
        <f t="shared" si="38"/>
        <v>10</v>
      </c>
      <c r="D84" s="169">
        <v>586</v>
      </c>
      <c r="E84">
        <f t="shared" si="36"/>
        <v>0.58599999999999997</v>
      </c>
    </row>
    <row r="85" spans="2:5" x14ac:dyDescent="0.3">
      <c r="B85" s="19">
        <f t="shared" si="37"/>
        <v>45751</v>
      </c>
      <c r="C85">
        <f t="shared" si="38"/>
        <v>11</v>
      </c>
      <c r="D85" s="169">
        <v>733</v>
      </c>
      <c r="E85">
        <f t="shared" si="36"/>
        <v>0.73299999999999998</v>
      </c>
    </row>
    <row r="86" spans="2:5" x14ac:dyDescent="0.3">
      <c r="B86" s="19">
        <f t="shared" si="37"/>
        <v>45751</v>
      </c>
      <c r="C86">
        <f t="shared" si="38"/>
        <v>12</v>
      </c>
      <c r="D86" s="169">
        <v>779</v>
      </c>
      <c r="E86">
        <f t="shared" si="36"/>
        <v>0.77900000000000003</v>
      </c>
    </row>
    <row r="87" spans="2:5" x14ac:dyDescent="0.3">
      <c r="B87" s="19">
        <f t="shared" si="37"/>
        <v>45751</v>
      </c>
      <c r="C87">
        <f t="shared" si="38"/>
        <v>13</v>
      </c>
      <c r="D87" s="169">
        <v>759</v>
      </c>
      <c r="E87">
        <f t="shared" si="36"/>
        <v>0.75900000000000001</v>
      </c>
    </row>
    <row r="88" spans="2:5" x14ac:dyDescent="0.3">
      <c r="B88" s="19">
        <f t="shared" si="37"/>
        <v>45751</v>
      </c>
      <c r="C88">
        <f t="shared" si="38"/>
        <v>14</v>
      </c>
      <c r="D88" s="169">
        <v>713</v>
      </c>
      <c r="E88">
        <f t="shared" si="36"/>
        <v>0.71299999999999997</v>
      </c>
    </row>
    <row r="89" spans="2:5" x14ac:dyDescent="0.3">
      <c r="B89" s="19">
        <f t="shared" si="37"/>
        <v>45751</v>
      </c>
      <c r="C89">
        <f t="shared" si="38"/>
        <v>15</v>
      </c>
      <c r="D89" s="169">
        <v>646</v>
      </c>
      <c r="E89">
        <f t="shared" si="36"/>
        <v>0.64600000000000002</v>
      </c>
    </row>
    <row r="90" spans="2:5" x14ac:dyDescent="0.3">
      <c r="B90" s="19">
        <f t="shared" si="37"/>
        <v>45751</v>
      </c>
      <c r="C90">
        <f t="shared" si="38"/>
        <v>16</v>
      </c>
      <c r="D90" s="169">
        <v>400</v>
      </c>
      <c r="E90">
        <f t="shared" si="36"/>
        <v>0.4</v>
      </c>
    </row>
    <row r="91" spans="2:5" x14ac:dyDescent="0.3">
      <c r="B91" s="19">
        <f t="shared" si="37"/>
        <v>45751</v>
      </c>
      <c r="C91">
        <f t="shared" si="38"/>
        <v>17</v>
      </c>
      <c r="D91" s="169">
        <v>320</v>
      </c>
      <c r="E91">
        <f t="shared" si="36"/>
        <v>0.32</v>
      </c>
    </row>
    <row r="92" spans="2:5" x14ac:dyDescent="0.3">
      <c r="B92" s="19">
        <f t="shared" si="37"/>
        <v>45751</v>
      </c>
      <c r="C92">
        <f t="shared" si="38"/>
        <v>18</v>
      </c>
      <c r="D92" s="169">
        <v>107</v>
      </c>
      <c r="E92">
        <f t="shared" si="36"/>
        <v>0.107</v>
      </c>
    </row>
    <row r="93" spans="2:5" x14ac:dyDescent="0.3">
      <c r="B93" s="19">
        <f t="shared" si="37"/>
        <v>45751</v>
      </c>
      <c r="C93">
        <f t="shared" si="38"/>
        <v>19</v>
      </c>
      <c r="D93" s="169">
        <v>8</v>
      </c>
      <c r="E93">
        <f t="shared" si="36"/>
        <v>8.0000000000000002E-3</v>
      </c>
    </row>
    <row r="94" spans="2:5" x14ac:dyDescent="0.3">
      <c r="B94" s="19">
        <f t="shared" si="37"/>
        <v>45751</v>
      </c>
      <c r="C94">
        <f t="shared" si="38"/>
        <v>20</v>
      </c>
      <c r="D94" s="169">
        <v>0</v>
      </c>
      <c r="E94">
        <f t="shared" si="36"/>
        <v>0</v>
      </c>
    </row>
    <row r="95" spans="2:5" x14ac:dyDescent="0.3">
      <c r="B95" s="19">
        <f t="shared" si="37"/>
        <v>45751</v>
      </c>
      <c r="C95">
        <f t="shared" si="38"/>
        <v>21</v>
      </c>
      <c r="D95" s="169">
        <v>0</v>
      </c>
      <c r="E95">
        <f t="shared" si="36"/>
        <v>0</v>
      </c>
    </row>
    <row r="96" spans="2:5" x14ac:dyDescent="0.3">
      <c r="B96" s="19">
        <f t="shared" si="37"/>
        <v>45751</v>
      </c>
      <c r="C96">
        <f t="shared" si="38"/>
        <v>22</v>
      </c>
      <c r="D96" s="169">
        <v>0</v>
      </c>
      <c r="E96">
        <f t="shared" si="36"/>
        <v>0</v>
      </c>
    </row>
    <row r="97" spans="2:5" x14ac:dyDescent="0.3">
      <c r="B97" s="19">
        <f t="shared" si="37"/>
        <v>45751</v>
      </c>
      <c r="C97">
        <f t="shared" si="38"/>
        <v>23</v>
      </c>
      <c r="D97" s="169">
        <v>0</v>
      </c>
      <c r="E97">
        <f t="shared" si="36"/>
        <v>0</v>
      </c>
    </row>
    <row r="98" spans="2:5" x14ac:dyDescent="0.3">
      <c r="B98" s="19">
        <f t="shared" si="37"/>
        <v>45751</v>
      </c>
      <c r="C98">
        <f t="shared" si="38"/>
        <v>24</v>
      </c>
      <c r="D98" s="169">
        <v>0</v>
      </c>
      <c r="E98">
        <f t="shared" si="36"/>
        <v>0</v>
      </c>
    </row>
    <row r="99" spans="2:5" x14ac:dyDescent="0.3">
      <c r="B99" s="19">
        <f t="shared" si="37"/>
        <v>45752</v>
      </c>
      <c r="C99">
        <f t="shared" si="38"/>
        <v>1</v>
      </c>
      <c r="D99" s="169">
        <v>0</v>
      </c>
      <c r="E99">
        <f t="shared" si="36"/>
        <v>0</v>
      </c>
    </row>
    <row r="100" spans="2:5" x14ac:dyDescent="0.3">
      <c r="B100" s="19">
        <f t="shared" si="37"/>
        <v>45752</v>
      </c>
      <c r="C100">
        <f t="shared" si="38"/>
        <v>2</v>
      </c>
      <c r="D100" s="169">
        <v>0</v>
      </c>
      <c r="E100">
        <f t="shared" si="36"/>
        <v>0</v>
      </c>
    </row>
    <row r="101" spans="2:5" x14ac:dyDescent="0.3">
      <c r="B101" s="19">
        <f t="shared" si="37"/>
        <v>45752</v>
      </c>
      <c r="C101">
        <f t="shared" si="38"/>
        <v>3</v>
      </c>
      <c r="D101" s="169">
        <v>0</v>
      </c>
      <c r="E101">
        <f t="shared" si="36"/>
        <v>0</v>
      </c>
    </row>
    <row r="102" spans="2:5" x14ac:dyDescent="0.3">
      <c r="B102" s="19">
        <f t="shared" si="37"/>
        <v>45752</v>
      </c>
      <c r="C102">
        <f t="shared" si="38"/>
        <v>4</v>
      </c>
      <c r="D102" s="169">
        <v>0</v>
      </c>
      <c r="E102">
        <f t="shared" si="36"/>
        <v>0</v>
      </c>
    </row>
    <row r="103" spans="2:5" x14ac:dyDescent="0.3">
      <c r="B103" s="19">
        <f t="shared" si="37"/>
        <v>45752</v>
      </c>
      <c r="C103">
        <f t="shared" si="38"/>
        <v>5</v>
      </c>
      <c r="D103" s="169">
        <v>0</v>
      </c>
      <c r="E103">
        <f t="shared" si="36"/>
        <v>0</v>
      </c>
    </row>
    <row r="104" spans="2:5" x14ac:dyDescent="0.3">
      <c r="B104" s="19">
        <f t="shared" si="37"/>
        <v>45752</v>
      </c>
      <c r="C104">
        <f t="shared" si="38"/>
        <v>6</v>
      </c>
      <c r="D104" s="169">
        <v>0</v>
      </c>
      <c r="E104">
        <f t="shared" si="36"/>
        <v>0</v>
      </c>
    </row>
    <row r="105" spans="2:5" x14ac:dyDescent="0.3">
      <c r="B105" s="19">
        <f t="shared" si="37"/>
        <v>45752</v>
      </c>
      <c r="C105">
        <f t="shared" si="38"/>
        <v>7</v>
      </c>
      <c r="D105" s="169">
        <v>0</v>
      </c>
      <c r="E105">
        <f t="shared" si="36"/>
        <v>0</v>
      </c>
    </row>
    <row r="106" spans="2:5" x14ac:dyDescent="0.3">
      <c r="B106" s="19">
        <f t="shared" si="37"/>
        <v>45752</v>
      </c>
      <c r="C106">
        <f t="shared" si="38"/>
        <v>8</v>
      </c>
      <c r="D106" s="169">
        <v>36</v>
      </c>
      <c r="E106">
        <f t="shared" si="36"/>
        <v>3.5999999999999997E-2</v>
      </c>
    </row>
    <row r="107" spans="2:5" x14ac:dyDescent="0.3">
      <c r="B107" s="19">
        <f t="shared" si="37"/>
        <v>45752</v>
      </c>
      <c r="C107">
        <f t="shared" si="38"/>
        <v>9</v>
      </c>
      <c r="D107" s="169">
        <v>184</v>
      </c>
      <c r="E107">
        <f t="shared" si="36"/>
        <v>0.184</v>
      </c>
    </row>
    <row r="108" spans="2:5" x14ac:dyDescent="0.3">
      <c r="B108" s="19">
        <f t="shared" si="37"/>
        <v>45752</v>
      </c>
      <c r="C108">
        <f t="shared" si="38"/>
        <v>10</v>
      </c>
      <c r="D108" s="169">
        <v>187</v>
      </c>
      <c r="E108">
        <f t="shared" si="36"/>
        <v>0.187</v>
      </c>
    </row>
    <row r="109" spans="2:5" x14ac:dyDescent="0.3">
      <c r="B109" s="19">
        <f t="shared" si="37"/>
        <v>45752</v>
      </c>
      <c r="C109">
        <f t="shared" si="38"/>
        <v>11</v>
      </c>
      <c r="D109" s="169">
        <v>224</v>
      </c>
      <c r="E109">
        <f t="shared" si="36"/>
        <v>0.224</v>
      </c>
    </row>
    <row r="110" spans="2:5" x14ac:dyDescent="0.3">
      <c r="B110" s="19">
        <f t="shared" si="37"/>
        <v>45752</v>
      </c>
      <c r="C110">
        <f t="shared" si="38"/>
        <v>12</v>
      </c>
      <c r="D110" s="169">
        <v>324</v>
      </c>
      <c r="E110">
        <f t="shared" si="36"/>
        <v>0.32400000000000001</v>
      </c>
    </row>
    <row r="111" spans="2:5" x14ac:dyDescent="0.3">
      <c r="B111" s="19">
        <f t="shared" si="37"/>
        <v>45752</v>
      </c>
      <c r="C111">
        <f t="shared" si="38"/>
        <v>13</v>
      </c>
      <c r="D111" s="169">
        <v>618</v>
      </c>
      <c r="E111">
        <f t="shared" si="36"/>
        <v>0.61799999999999999</v>
      </c>
    </row>
    <row r="112" spans="2:5" x14ac:dyDescent="0.3">
      <c r="B112" s="19">
        <f t="shared" si="37"/>
        <v>45752</v>
      </c>
      <c r="C112">
        <f t="shared" si="38"/>
        <v>14</v>
      </c>
      <c r="D112" s="169">
        <v>669</v>
      </c>
      <c r="E112">
        <f t="shared" si="36"/>
        <v>0.66900000000000004</v>
      </c>
    </row>
    <row r="113" spans="2:5" x14ac:dyDescent="0.3">
      <c r="B113" s="19">
        <f t="shared" si="37"/>
        <v>45752</v>
      </c>
      <c r="C113">
        <f t="shared" si="38"/>
        <v>15</v>
      </c>
      <c r="D113" s="169">
        <v>619</v>
      </c>
      <c r="E113">
        <f t="shared" si="36"/>
        <v>0.61899999999999999</v>
      </c>
    </row>
    <row r="114" spans="2:5" x14ac:dyDescent="0.3">
      <c r="B114" s="19">
        <f t="shared" si="37"/>
        <v>45752</v>
      </c>
      <c r="C114">
        <f t="shared" si="38"/>
        <v>16</v>
      </c>
      <c r="D114" s="169">
        <v>511</v>
      </c>
      <c r="E114">
        <f t="shared" si="36"/>
        <v>0.51100000000000001</v>
      </c>
    </row>
    <row r="115" spans="2:5" x14ac:dyDescent="0.3">
      <c r="B115" s="19">
        <f t="shared" si="37"/>
        <v>45752</v>
      </c>
      <c r="C115">
        <f t="shared" si="38"/>
        <v>17</v>
      </c>
      <c r="D115" s="169">
        <v>337</v>
      </c>
      <c r="E115">
        <f t="shared" si="36"/>
        <v>0.33700000000000002</v>
      </c>
    </row>
    <row r="116" spans="2:5" x14ac:dyDescent="0.3">
      <c r="B116" s="19">
        <f t="shared" si="37"/>
        <v>45752</v>
      </c>
      <c r="C116">
        <f t="shared" si="38"/>
        <v>18</v>
      </c>
      <c r="D116" s="169">
        <v>100</v>
      </c>
      <c r="E116">
        <f t="shared" si="36"/>
        <v>0.1</v>
      </c>
    </row>
    <row r="117" spans="2:5" x14ac:dyDescent="0.3">
      <c r="B117" s="19">
        <f t="shared" si="37"/>
        <v>45752</v>
      </c>
      <c r="C117">
        <f t="shared" si="38"/>
        <v>19</v>
      </c>
      <c r="D117" s="169">
        <v>8</v>
      </c>
      <c r="E117">
        <f t="shared" si="36"/>
        <v>8.0000000000000002E-3</v>
      </c>
    </row>
    <row r="118" spans="2:5" x14ac:dyDescent="0.3">
      <c r="B118" s="19">
        <f t="shared" si="37"/>
        <v>45752</v>
      </c>
      <c r="C118">
        <f t="shared" si="38"/>
        <v>20</v>
      </c>
      <c r="D118" s="169">
        <v>0</v>
      </c>
      <c r="E118">
        <f t="shared" si="36"/>
        <v>0</v>
      </c>
    </row>
    <row r="119" spans="2:5" x14ac:dyDescent="0.3">
      <c r="B119" s="19">
        <f t="shared" si="37"/>
        <v>45752</v>
      </c>
      <c r="C119">
        <f t="shared" si="38"/>
        <v>21</v>
      </c>
      <c r="D119" s="169">
        <v>0</v>
      </c>
      <c r="E119">
        <f t="shared" si="36"/>
        <v>0</v>
      </c>
    </row>
    <row r="120" spans="2:5" x14ac:dyDescent="0.3">
      <c r="B120" s="19">
        <f t="shared" si="37"/>
        <v>45752</v>
      </c>
      <c r="C120">
        <f t="shared" si="38"/>
        <v>22</v>
      </c>
      <c r="D120" s="169">
        <v>0</v>
      </c>
      <c r="E120">
        <f t="shared" si="36"/>
        <v>0</v>
      </c>
    </row>
    <row r="121" spans="2:5" x14ac:dyDescent="0.3">
      <c r="B121" s="19">
        <f t="shared" si="37"/>
        <v>45752</v>
      </c>
      <c r="C121">
        <f t="shared" si="38"/>
        <v>23</v>
      </c>
      <c r="D121" s="169">
        <v>0</v>
      </c>
      <c r="E121">
        <f t="shared" si="36"/>
        <v>0</v>
      </c>
    </row>
    <row r="122" spans="2:5" x14ac:dyDescent="0.3">
      <c r="B122" s="19">
        <f t="shared" si="37"/>
        <v>45752</v>
      </c>
      <c r="C122">
        <f t="shared" si="38"/>
        <v>24</v>
      </c>
      <c r="D122" s="169">
        <v>0</v>
      </c>
      <c r="E122">
        <f t="shared" si="36"/>
        <v>0</v>
      </c>
    </row>
    <row r="123" spans="2:5" x14ac:dyDescent="0.3">
      <c r="B123" s="19">
        <f t="shared" si="37"/>
        <v>45753</v>
      </c>
      <c r="C123">
        <f t="shared" si="38"/>
        <v>1</v>
      </c>
      <c r="D123" s="169">
        <v>0</v>
      </c>
      <c r="E123">
        <f t="shared" si="36"/>
        <v>0</v>
      </c>
    </row>
    <row r="124" spans="2:5" x14ac:dyDescent="0.3">
      <c r="B124" s="19">
        <f t="shared" si="37"/>
        <v>45753</v>
      </c>
      <c r="C124">
        <f t="shared" si="38"/>
        <v>2</v>
      </c>
      <c r="D124" s="169">
        <v>0</v>
      </c>
      <c r="E124">
        <f t="shared" si="36"/>
        <v>0</v>
      </c>
    </row>
    <row r="125" spans="2:5" x14ac:dyDescent="0.3">
      <c r="B125" s="19">
        <f t="shared" si="37"/>
        <v>45753</v>
      </c>
      <c r="C125">
        <f t="shared" si="38"/>
        <v>3</v>
      </c>
      <c r="D125" s="169">
        <v>0</v>
      </c>
      <c r="E125">
        <f t="shared" si="36"/>
        <v>0</v>
      </c>
    </row>
    <row r="126" spans="2:5" x14ac:dyDescent="0.3">
      <c r="B126" s="19">
        <f t="shared" si="37"/>
        <v>45753</v>
      </c>
      <c r="C126">
        <f t="shared" si="38"/>
        <v>4</v>
      </c>
      <c r="D126" s="169">
        <v>0</v>
      </c>
      <c r="E126">
        <f t="shared" si="36"/>
        <v>0</v>
      </c>
    </row>
    <row r="127" spans="2:5" x14ac:dyDescent="0.3">
      <c r="B127" s="19">
        <f t="shared" si="37"/>
        <v>45753</v>
      </c>
      <c r="C127">
        <f t="shared" si="38"/>
        <v>5</v>
      </c>
      <c r="D127" s="169">
        <v>0</v>
      </c>
      <c r="E127">
        <f t="shared" si="36"/>
        <v>0</v>
      </c>
    </row>
    <row r="128" spans="2:5" x14ac:dyDescent="0.3">
      <c r="B128" s="19">
        <f t="shared" si="37"/>
        <v>45753</v>
      </c>
      <c r="C128">
        <f t="shared" si="38"/>
        <v>6</v>
      </c>
      <c r="D128" s="169">
        <v>0</v>
      </c>
      <c r="E128">
        <f t="shared" si="36"/>
        <v>0</v>
      </c>
    </row>
    <row r="129" spans="2:5" x14ac:dyDescent="0.3">
      <c r="B129" s="19">
        <f t="shared" si="37"/>
        <v>45753</v>
      </c>
      <c r="C129">
        <f t="shared" si="38"/>
        <v>7</v>
      </c>
      <c r="D129" s="169">
        <v>63</v>
      </c>
      <c r="E129">
        <f t="shared" si="36"/>
        <v>6.3E-2</v>
      </c>
    </row>
    <row r="130" spans="2:5" x14ac:dyDescent="0.3">
      <c r="B130" s="19">
        <f t="shared" si="37"/>
        <v>45753</v>
      </c>
      <c r="C130">
        <f t="shared" si="38"/>
        <v>8</v>
      </c>
      <c r="D130" s="169">
        <v>297</v>
      </c>
      <c r="E130">
        <f t="shared" si="36"/>
        <v>0.29699999999999999</v>
      </c>
    </row>
    <row r="131" spans="2:5" x14ac:dyDescent="0.3">
      <c r="B131" s="19">
        <f t="shared" si="37"/>
        <v>45753</v>
      </c>
      <c r="C131">
        <f t="shared" si="38"/>
        <v>9</v>
      </c>
      <c r="D131" s="169">
        <v>496</v>
      </c>
      <c r="E131">
        <f t="shared" si="36"/>
        <v>0.496</v>
      </c>
    </row>
    <row r="132" spans="2:5" x14ac:dyDescent="0.3">
      <c r="B132" s="19">
        <f t="shared" si="37"/>
        <v>45753</v>
      </c>
      <c r="C132">
        <f t="shared" si="38"/>
        <v>10</v>
      </c>
      <c r="D132" s="169">
        <v>479</v>
      </c>
      <c r="E132">
        <f t="shared" ref="E132:E195" si="39">D132/1000</f>
        <v>0.47899999999999998</v>
      </c>
    </row>
    <row r="133" spans="2:5" x14ac:dyDescent="0.3">
      <c r="B133" s="19">
        <f t="shared" ref="B133:B196" si="40">IF(C132=24,B132+1,B132)</f>
        <v>45753</v>
      </c>
      <c r="C133">
        <f t="shared" ref="C133:C196" si="41">IF(C132=24,1,C132+1)</f>
        <v>11</v>
      </c>
      <c r="D133" s="169">
        <v>674</v>
      </c>
      <c r="E133">
        <f t="shared" si="39"/>
        <v>0.67400000000000004</v>
      </c>
    </row>
    <row r="134" spans="2:5" x14ac:dyDescent="0.3">
      <c r="B134" s="19">
        <f t="shared" si="40"/>
        <v>45753</v>
      </c>
      <c r="C134">
        <f t="shared" si="41"/>
        <v>12</v>
      </c>
      <c r="D134" s="169">
        <v>782</v>
      </c>
      <c r="E134">
        <f t="shared" si="39"/>
        <v>0.78200000000000003</v>
      </c>
    </row>
    <row r="135" spans="2:5" x14ac:dyDescent="0.3">
      <c r="B135" s="19">
        <f t="shared" si="40"/>
        <v>45753</v>
      </c>
      <c r="C135">
        <f t="shared" si="41"/>
        <v>13</v>
      </c>
      <c r="D135" s="169">
        <v>631</v>
      </c>
      <c r="E135">
        <f t="shared" si="39"/>
        <v>0.63100000000000001</v>
      </c>
    </row>
    <row r="136" spans="2:5" x14ac:dyDescent="0.3">
      <c r="B136" s="19">
        <f t="shared" si="40"/>
        <v>45753</v>
      </c>
      <c r="C136">
        <f t="shared" si="41"/>
        <v>14</v>
      </c>
      <c r="D136" s="169">
        <v>757</v>
      </c>
      <c r="E136">
        <f t="shared" si="39"/>
        <v>0.75700000000000001</v>
      </c>
    </row>
    <row r="137" spans="2:5" x14ac:dyDescent="0.3">
      <c r="B137" s="19">
        <f t="shared" si="40"/>
        <v>45753</v>
      </c>
      <c r="C137">
        <f t="shared" si="41"/>
        <v>15</v>
      </c>
      <c r="D137" s="169">
        <v>696</v>
      </c>
      <c r="E137">
        <f t="shared" si="39"/>
        <v>0.69599999999999995</v>
      </c>
    </row>
    <row r="138" spans="2:5" x14ac:dyDescent="0.3">
      <c r="B138" s="19">
        <f t="shared" si="40"/>
        <v>45753</v>
      </c>
      <c r="C138">
        <f t="shared" si="41"/>
        <v>16</v>
      </c>
      <c r="D138" s="169">
        <v>555</v>
      </c>
      <c r="E138">
        <f t="shared" si="39"/>
        <v>0.55500000000000005</v>
      </c>
    </row>
    <row r="139" spans="2:5" x14ac:dyDescent="0.3">
      <c r="B139" s="19">
        <f t="shared" si="40"/>
        <v>45753</v>
      </c>
      <c r="C139">
        <f t="shared" si="41"/>
        <v>17</v>
      </c>
      <c r="D139" s="169">
        <v>388</v>
      </c>
      <c r="E139">
        <f t="shared" si="39"/>
        <v>0.38800000000000001</v>
      </c>
    </row>
    <row r="140" spans="2:5" x14ac:dyDescent="0.3">
      <c r="B140" s="19">
        <f t="shared" si="40"/>
        <v>45753</v>
      </c>
      <c r="C140">
        <f t="shared" si="41"/>
        <v>18</v>
      </c>
      <c r="D140" s="169">
        <v>143</v>
      </c>
      <c r="E140">
        <f t="shared" si="39"/>
        <v>0.14299999999999999</v>
      </c>
    </row>
    <row r="141" spans="2:5" x14ac:dyDescent="0.3">
      <c r="B141" s="19">
        <f t="shared" si="40"/>
        <v>45753</v>
      </c>
      <c r="C141">
        <f t="shared" si="41"/>
        <v>19</v>
      </c>
      <c r="D141" s="169">
        <v>9</v>
      </c>
      <c r="E141">
        <f t="shared" si="39"/>
        <v>8.9999999999999993E-3</v>
      </c>
    </row>
    <row r="142" spans="2:5" x14ac:dyDescent="0.3">
      <c r="B142" s="19">
        <f t="shared" si="40"/>
        <v>45753</v>
      </c>
      <c r="C142">
        <f t="shared" si="41"/>
        <v>20</v>
      </c>
      <c r="D142" s="169">
        <v>0</v>
      </c>
      <c r="E142">
        <f t="shared" si="39"/>
        <v>0</v>
      </c>
    </row>
    <row r="143" spans="2:5" x14ac:dyDescent="0.3">
      <c r="B143" s="19">
        <f t="shared" si="40"/>
        <v>45753</v>
      </c>
      <c r="C143">
        <f t="shared" si="41"/>
        <v>21</v>
      </c>
      <c r="D143" s="169">
        <v>0</v>
      </c>
      <c r="E143">
        <f t="shared" si="39"/>
        <v>0</v>
      </c>
    </row>
    <row r="144" spans="2:5" x14ac:dyDescent="0.3">
      <c r="B144" s="19">
        <f t="shared" si="40"/>
        <v>45753</v>
      </c>
      <c r="C144">
        <f t="shared" si="41"/>
        <v>22</v>
      </c>
      <c r="D144" s="169">
        <v>0</v>
      </c>
      <c r="E144">
        <f t="shared" si="39"/>
        <v>0</v>
      </c>
    </row>
    <row r="145" spans="2:5" x14ac:dyDescent="0.3">
      <c r="B145" s="19">
        <f t="shared" si="40"/>
        <v>45753</v>
      </c>
      <c r="C145">
        <f t="shared" si="41"/>
        <v>23</v>
      </c>
      <c r="D145" s="169">
        <v>0</v>
      </c>
      <c r="E145">
        <f t="shared" si="39"/>
        <v>0</v>
      </c>
    </row>
    <row r="146" spans="2:5" x14ac:dyDescent="0.3">
      <c r="B146" s="19">
        <f t="shared" si="40"/>
        <v>45753</v>
      </c>
      <c r="C146">
        <f t="shared" si="41"/>
        <v>24</v>
      </c>
      <c r="D146" s="169">
        <v>0</v>
      </c>
      <c r="E146">
        <f t="shared" si="39"/>
        <v>0</v>
      </c>
    </row>
    <row r="147" spans="2:5" x14ac:dyDescent="0.3">
      <c r="B147" s="19">
        <f t="shared" si="40"/>
        <v>45754</v>
      </c>
      <c r="C147">
        <f t="shared" si="41"/>
        <v>1</v>
      </c>
      <c r="D147" s="169">
        <v>0</v>
      </c>
      <c r="E147">
        <f t="shared" si="39"/>
        <v>0</v>
      </c>
    </row>
    <row r="148" spans="2:5" x14ac:dyDescent="0.3">
      <c r="B148" s="19">
        <f t="shared" si="40"/>
        <v>45754</v>
      </c>
      <c r="C148">
        <f t="shared" si="41"/>
        <v>2</v>
      </c>
      <c r="D148" s="169">
        <v>0</v>
      </c>
      <c r="E148">
        <f t="shared" si="39"/>
        <v>0</v>
      </c>
    </row>
    <row r="149" spans="2:5" x14ac:dyDescent="0.3">
      <c r="B149" s="19">
        <f t="shared" si="40"/>
        <v>45754</v>
      </c>
      <c r="C149">
        <f t="shared" si="41"/>
        <v>3</v>
      </c>
      <c r="D149" s="169">
        <v>0</v>
      </c>
      <c r="E149">
        <f t="shared" si="39"/>
        <v>0</v>
      </c>
    </row>
    <row r="150" spans="2:5" x14ac:dyDescent="0.3">
      <c r="B150" s="19">
        <f t="shared" si="40"/>
        <v>45754</v>
      </c>
      <c r="C150">
        <f t="shared" si="41"/>
        <v>4</v>
      </c>
      <c r="D150" s="169">
        <v>0</v>
      </c>
      <c r="E150">
        <f t="shared" si="39"/>
        <v>0</v>
      </c>
    </row>
    <row r="151" spans="2:5" x14ac:dyDescent="0.3">
      <c r="B151" s="19">
        <f t="shared" si="40"/>
        <v>45754</v>
      </c>
      <c r="C151">
        <f t="shared" si="41"/>
        <v>5</v>
      </c>
      <c r="D151" s="169">
        <v>0</v>
      </c>
      <c r="E151">
        <f t="shared" si="39"/>
        <v>0</v>
      </c>
    </row>
    <row r="152" spans="2:5" x14ac:dyDescent="0.3">
      <c r="B152" s="19">
        <f t="shared" si="40"/>
        <v>45754</v>
      </c>
      <c r="C152">
        <f t="shared" si="41"/>
        <v>6</v>
      </c>
      <c r="D152" s="169">
        <v>0</v>
      </c>
      <c r="E152">
        <f t="shared" si="39"/>
        <v>0</v>
      </c>
    </row>
    <row r="153" spans="2:5" x14ac:dyDescent="0.3">
      <c r="B153" s="19">
        <f t="shared" si="40"/>
        <v>45754</v>
      </c>
      <c r="C153">
        <f t="shared" si="41"/>
        <v>7</v>
      </c>
      <c r="D153" s="169">
        <v>41</v>
      </c>
      <c r="E153">
        <f t="shared" si="39"/>
        <v>4.1000000000000002E-2</v>
      </c>
    </row>
    <row r="154" spans="2:5" x14ac:dyDescent="0.3">
      <c r="B154" s="19">
        <f t="shared" si="40"/>
        <v>45754</v>
      </c>
      <c r="C154">
        <f t="shared" si="41"/>
        <v>8</v>
      </c>
      <c r="D154" s="169">
        <v>192</v>
      </c>
      <c r="E154">
        <f t="shared" si="39"/>
        <v>0.192</v>
      </c>
    </row>
    <row r="155" spans="2:5" x14ac:dyDescent="0.3">
      <c r="B155" s="19">
        <f t="shared" si="40"/>
        <v>45754</v>
      </c>
      <c r="C155">
        <f t="shared" si="41"/>
        <v>9</v>
      </c>
      <c r="D155" s="169">
        <v>331</v>
      </c>
      <c r="E155">
        <f t="shared" si="39"/>
        <v>0.33100000000000002</v>
      </c>
    </row>
    <row r="156" spans="2:5" x14ac:dyDescent="0.3">
      <c r="B156" s="19">
        <f t="shared" si="40"/>
        <v>45754</v>
      </c>
      <c r="C156">
        <f t="shared" si="41"/>
        <v>10</v>
      </c>
      <c r="D156" s="169">
        <v>427</v>
      </c>
      <c r="E156">
        <f t="shared" si="39"/>
        <v>0.42699999999999999</v>
      </c>
    </row>
    <row r="157" spans="2:5" x14ac:dyDescent="0.3">
      <c r="B157" s="19">
        <f t="shared" si="40"/>
        <v>45754</v>
      </c>
      <c r="C157">
        <f t="shared" si="41"/>
        <v>11</v>
      </c>
      <c r="D157" s="169">
        <v>489</v>
      </c>
      <c r="E157">
        <f t="shared" si="39"/>
        <v>0.48899999999999999</v>
      </c>
    </row>
    <row r="158" spans="2:5" x14ac:dyDescent="0.3">
      <c r="B158" s="19">
        <f t="shared" si="40"/>
        <v>45754</v>
      </c>
      <c r="C158">
        <f t="shared" si="41"/>
        <v>12</v>
      </c>
      <c r="D158" s="169">
        <v>516</v>
      </c>
      <c r="E158">
        <f t="shared" si="39"/>
        <v>0.51600000000000001</v>
      </c>
    </row>
    <row r="159" spans="2:5" x14ac:dyDescent="0.3">
      <c r="B159" s="19">
        <f t="shared" si="40"/>
        <v>45754</v>
      </c>
      <c r="C159">
        <f t="shared" si="41"/>
        <v>13</v>
      </c>
      <c r="D159" s="169">
        <v>519</v>
      </c>
      <c r="E159">
        <f t="shared" si="39"/>
        <v>0.51900000000000002</v>
      </c>
    </row>
    <row r="160" spans="2:5" x14ac:dyDescent="0.3">
      <c r="B160" s="19">
        <f t="shared" si="40"/>
        <v>45754</v>
      </c>
      <c r="C160">
        <f t="shared" si="41"/>
        <v>14</v>
      </c>
      <c r="D160" s="169">
        <v>500</v>
      </c>
      <c r="E160">
        <f t="shared" si="39"/>
        <v>0.5</v>
      </c>
    </row>
    <row r="161" spans="2:5" x14ac:dyDescent="0.3">
      <c r="B161" s="19">
        <f t="shared" si="40"/>
        <v>45754</v>
      </c>
      <c r="C161">
        <f t="shared" si="41"/>
        <v>15</v>
      </c>
      <c r="D161" s="169">
        <v>460</v>
      </c>
      <c r="E161">
        <f t="shared" si="39"/>
        <v>0.46</v>
      </c>
    </row>
    <row r="162" spans="2:5" x14ac:dyDescent="0.3">
      <c r="B162" s="19">
        <f t="shared" si="40"/>
        <v>45754</v>
      </c>
      <c r="C162">
        <f t="shared" si="41"/>
        <v>16</v>
      </c>
      <c r="D162" s="169">
        <v>370</v>
      </c>
      <c r="E162">
        <f t="shared" si="39"/>
        <v>0.37</v>
      </c>
    </row>
    <row r="163" spans="2:5" x14ac:dyDescent="0.3">
      <c r="B163" s="19">
        <f t="shared" si="40"/>
        <v>45754</v>
      </c>
      <c r="C163">
        <f t="shared" si="41"/>
        <v>17</v>
      </c>
      <c r="D163" s="169">
        <v>258</v>
      </c>
      <c r="E163">
        <f t="shared" si="39"/>
        <v>0.25800000000000001</v>
      </c>
    </row>
    <row r="164" spans="2:5" x14ac:dyDescent="0.3">
      <c r="B164" s="19">
        <f t="shared" si="40"/>
        <v>45754</v>
      </c>
      <c r="C164">
        <f t="shared" si="41"/>
        <v>18</v>
      </c>
      <c r="D164" s="169">
        <v>96</v>
      </c>
      <c r="E164">
        <f t="shared" si="39"/>
        <v>9.6000000000000002E-2</v>
      </c>
    </row>
    <row r="165" spans="2:5" x14ac:dyDescent="0.3">
      <c r="B165" s="19">
        <f t="shared" si="40"/>
        <v>45754</v>
      </c>
      <c r="C165">
        <f t="shared" si="41"/>
        <v>19</v>
      </c>
      <c r="D165" s="169">
        <v>5</v>
      </c>
      <c r="E165">
        <f t="shared" si="39"/>
        <v>5.0000000000000001E-3</v>
      </c>
    </row>
    <row r="166" spans="2:5" x14ac:dyDescent="0.3">
      <c r="B166" s="19">
        <f t="shared" si="40"/>
        <v>45754</v>
      </c>
      <c r="C166">
        <f t="shared" si="41"/>
        <v>20</v>
      </c>
      <c r="D166" s="169">
        <v>0</v>
      </c>
      <c r="E166">
        <f t="shared" si="39"/>
        <v>0</v>
      </c>
    </row>
    <row r="167" spans="2:5" x14ac:dyDescent="0.3">
      <c r="B167" s="19">
        <f t="shared" si="40"/>
        <v>45754</v>
      </c>
      <c r="C167">
        <f t="shared" si="41"/>
        <v>21</v>
      </c>
      <c r="D167" s="169">
        <v>0</v>
      </c>
      <c r="E167">
        <f t="shared" si="39"/>
        <v>0</v>
      </c>
    </row>
    <row r="168" spans="2:5" x14ac:dyDescent="0.3">
      <c r="B168" s="19">
        <f t="shared" si="40"/>
        <v>45754</v>
      </c>
      <c r="C168">
        <f t="shared" si="41"/>
        <v>22</v>
      </c>
      <c r="D168" s="169">
        <v>0</v>
      </c>
      <c r="E168">
        <f t="shared" si="39"/>
        <v>0</v>
      </c>
    </row>
    <row r="169" spans="2:5" x14ac:dyDescent="0.3">
      <c r="B169" s="19">
        <f t="shared" si="40"/>
        <v>45754</v>
      </c>
      <c r="C169">
        <f t="shared" si="41"/>
        <v>23</v>
      </c>
      <c r="D169" s="169">
        <v>0</v>
      </c>
      <c r="E169">
        <f t="shared" si="39"/>
        <v>0</v>
      </c>
    </row>
    <row r="170" spans="2:5" x14ac:dyDescent="0.3">
      <c r="B170" s="19">
        <f t="shared" si="40"/>
        <v>45754</v>
      </c>
      <c r="C170">
        <f t="shared" si="41"/>
        <v>24</v>
      </c>
      <c r="D170" s="169">
        <v>0</v>
      </c>
      <c r="E170">
        <f t="shared" si="39"/>
        <v>0</v>
      </c>
    </row>
    <row r="171" spans="2:5" x14ac:dyDescent="0.3">
      <c r="B171" s="19">
        <f t="shared" si="40"/>
        <v>45755</v>
      </c>
      <c r="C171">
        <f t="shared" si="41"/>
        <v>1</v>
      </c>
      <c r="D171" s="169">
        <v>0</v>
      </c>
      <c r="E171">
        <f t="shared" si="39"/>
        <v>0</v>
      </c>
    </row>
    <row r="172" spans="2:5" x14ac:dyDescent="0.3">
      <c r="B172" s="19">
        <f t="shared" si="40"/>
        <v>45755</v>
      </c>
      <c r="C172">
        <f t="shared" si="41"/>
        <v>2</v>
      </c>
      <c r="D172" s="169">
        <v>0</v>
      </c>
      <c r="E172">
        <f t="shared" si="39"/>
        <v>0</v>
      </c>
    </row>
    <row r="173" spans="2:5" x14ac:dyDescent="0.3">
      <c r="B173" s="19">
        <f t="shared" si="40"/>
        <v>45755</v>
      </c>
      <c r="C173">
        <f t="shared" si="41"/>
        <v>3</v>
      </c>
      <c r="D173" s="169">
        <v>0</v>
      </c>
      <c r="E173">
        <f t="shared" si="39"/>
        <v>0</v>
      </c>
    </row>
    <row r="174" spans="2:5" x14ac:dyDescent="0.3">
      <c r="B174" s="19">
        <f t="shared" si="40"/>
        <v>45755</v>
      </c>
      <c r="C174">
        <f t="shared" si="41"/>
        <v>4</v>
      </c>
      <c r="D174" s="169">
        <v>0</v>
      </c>
      <c r="E174">
        <f t="shared" si="39"/>
        <v>0</v>
      </c>
    </row>
    <row r="175" spans="2:5" x14ac:dyDescent="0.3">
      <c r="B175" s="19">
        <f t="shared" si="40"/>
        <v>45755</v>
      </c>
      <c r="C175">
        <f t="shared" si="41"/>
        <v>5</v>
      </c>
      <c r="D175" s="169">
        <v>0</v>
      </c>
      <c r="E175">
        <f t="shared" si="39"/>
        <v>0</v>
      </c>
    </row>
    <row r="176" spans="2:5" x14ac:dyDescent="0.3">
      <c r="B176" s="19">
        <f t="shared" si="40"/>
        <v>45755</v>
      </c>
      <c r="C176">
        <f t="shared" si="41"/>
        <v>6</v>
      </c>
      <c r="D176" s="169">
        <v>0</v>
      </c>
      <c r="E176">
        <f t="shared" si="39"/>
        <v>0</v>
      </c>
    </row>
    <row r="177" spans="2:5" x14ac:dyDescent="0.3">
      <c r="B177" s="19">
        <f t="shared" si="40"/>
        <v>45755</v>
      </c>
      <c r="C177">
        <f t="shared" si="41"/>
        <v>7</v>
      </c>
      <c r="D177" s="169">
        <v>30</v>
      </c>
      <c r="E177">
        <f t="shared" si="39"/>
        <v>0.03</v>
      </c>
    </row>
    <row r="178" spans="2:5" x14ac:dyDescent="0.3">
      <c r="B178" s="19">
        <f t="shared" si="40"/>
        <v>45755</v>
      </c>
      <c r="C178">
        <f t="shared" si="41"/>
        <v>8</v>
      </c>
      <c r="D178" s="169">
        <v>172</v>
      </c>
      <c r="E178">
        <f t="shared" si="39"/>
        <v>0.17199999999999999</v>
      </c>
    </row>
    <row r="179" spans="2:5" x14ac:dyDescent="0.3">
      <c r="B179" s="19">
        <f t="shared" si="40"/>
        <v>45755</v>
      </c>
      <c r="C179">
        <f t="shared" si="41"/>
        <v>9</v>
      </c>
      <c r="D179" s="169">
        <v>320</v>
      </c>
      <c r="E179">
        <f t="shared" si="39"/>
        <v>0.32</v>
      </c>
    </row>
    <row r="180" spans="2:5" x14ac:dyDescent="0.3">
      <c r="B180" s="19">
        <f t="shared" si="40"/>
        <v>45755</v>
      </c>
      <c r="C180">
        <f t="shared" si="41"/>
        <v>10</v>
      </c>
      <c r="D180" s="169">
        <v>412</v>
      </c>
      <c r="E180">
        <f t="shared" si="39"/>
        <v>0.41199999999999998</v>
      </c>
    </row>
    <row r="181" spans="2:5" x14ac:dyDescent="0.3">
      <c r="B181" s="19">
        <f t="shared" si="40"/>
        <v>45755</v>
      </c>
      <c r="C181">
        <f t="shared" si="41"/>
        <v>11</v>
      </c>
      <c r="D181" s="169">
        <v>475</v>
      </c>
      <c r="E181">
        <f t="shared" si="39"/>
        <v>0.47499999999999998</v>
      </c>
    </row>
    <row r="182" spans="2:5" x14ac:dyDescent="0.3">
      <c r="B182" s="19">
        <f t="shared" si="40"/>
        <v>45755</v>
      </c>
      <c r="C182">
        <f t="shared" si="41"/>
        <v>12</v>
      </c>
      <c r="D182" s="169">
        <v>471</v>
      </c>
      <c r="E182">
        <f t="shared" si="39"/>
        <v>0.47099999999999997</v>
      </c>
    </row>
    <row r="183" spans="2:5" x14ac:dyDescent="0.3">
      <c r="B183" s="19">
        <f t="shared" si="40"/>
        <v>45755</v>
      </c>
      <c r="C183">
        <f t="shared" si="41"/>
        <v>13</v>
      </c>
      <c r="D183" s="169">
        <v>495</v>
      </c>
      <c r="E183">
        <f t="shared" si="39"/>
        <v>0.495</v>
      </c>
    </row>
    <row r="184" spans="2:5" x14ac:dyDescent="0.3">
      <c r="B184" s="19">
        <f t="shared" si="40"/>
        <v>45755</v>
      </c>
      <c r="C184">
        <f t="shared" si="41"/>
        <v>14</v>
      </c>
      <c r="D184" s="169">
        <v>487</v>
      </c>
      <c r="E184">
        <f t="shared" si="39"/>
        <v>0.48699999999999999</v>
      </c>
    </row>
    <row r="185" spans="2:5" x14ac:dyDescent="0.3">
      <c r="B185" s="19">
        <f t="shared" si="40"/>
        <v>45755</v>
      </c>
      <c r="C185">
        <f t="shared" si="41"/>
        <v>15</v>
      </c>
      <c r="D185" s="169">
        <v>421</v>
      </c>
      <c r="E185">
        <f t="shared" si="39"/>
        <v>0.42099999999999999</v>
      </c>
    </row>
    <row r="186" spans="2:5" x14ac:dyDescent="0.3">
      <c r="B186" s="19">
        <f t="shared" si="40"/>
        <v>45755</v>
      </c>
      <c r="C186">
        <f t="shared" si="41"/>
        <v>16</v>
      </c>
      <c r="D186" s="169">
        <v>312</v>
      </c>
      <c r="E186">
        <f t="shared" si="39"/>
        <v>0.312</v>
      </c>
    </row>
    <row r="187" spans="2:5" x14ac:dyDescent="0.3">
      <c r="B187" s="19">
        <f t="shared" si="40"/>
        <v>45755</v>
      </c>
      <c r="C187">
        <f t="shared" si="41"/>
        <v>17</v>
      </c>
      <c r="D187" s="169">
        <v>215</v>
      </c>
      <c r="E187">
        <f t="shared" si="39"/>
        <v>0.215</v>
      </c>
    </row>
    <row r="188" spans="2:5" x14ac:dyDescent="0.3">
      <c r="B188" s="19">
        <f t="shared" si="40"/>
        <v>45755</v>
      </c>
      <c r="C188">
        <f t="shared" si="41"/>
        <v>18</v>
      </c>
      <c r="D188" s="169">
        <v>65</v>
      </c>
      <c r="E188">
        <f t="shared" si="39"/>
        <v>6.5000000000000002E-2</v>
      </c>
    </row>
    <row r="189" spans="2:5" x14ac:dyDescent="0.3">
      <c r="B189" s="19">
        <f t="shared" si="40"/>
        <v>45755</v>
      </c>
      <c r="C189">
        <f t="shared" si="41"/>
        <v>19</v>
      </c>
      <c r="D189" s="169">
        <v>6</v>
      </c>
      <c r="E189">
        <f t="shared" si="39"/>
        <v>6.0000000000000001E-3</v>
      </c>
    </row>
    <row r="190" spans="2:5" x14ac:dyDescent="0.3">
      <c r="B190" s="19">
        <f t="shared" si="40"/>
        <v>45755</v>
      </c>
      <c r="C190">
        <f t="shared" si="41"/>
        <v>20</v>
      </c>
      <c r="D190" s="169">
        <v>0</v>
      </c>
      <c r="E190">
        <f t="shared" si="39"/>
        <v>0</v>
      </c>
    </row>
    <row r="191" spans="2:5" x14ac:dyDescent="0.3">
      <c r="B191" s="19">
        <f t="shared" si="40"/>
        <v>45755</v>
      </c>
      <c r="C191">
        <f t="shared" si="41"/>
        <v>21</v>
      </c>
      <c r="D191" s="169">
        <v>0</v>
      </c>
      <c r="E191">
        <f t="shared" si="39"/>
        <v>0</v>
      </c>
    </row>
    <row r="192" spans="2:5" x14ac:dyDescent="0.3">
      <c r="B192" s="19">
        <f t="shared" si="40"/>
        <v>45755</v>
      </c>
      <c r="C192">
        <f t="shared" si="41"/>
        <v>22</v>
      </c>
      <c r="D192" s="169">
        <v>0</v>
      </c>
      <c r="E192">
        <f t="shared" si="39"/>
        <v>0</v>
      </c>
    </row>
    <row r="193" spans="2:5" x14ac:dyDescent="0.3">
      <c r="B193" s="19">
        <f t="shared" si="40"/>
        <v>45755</v>
      </c>
      <c r="C193">
        <f t="shared" si="41"/>
        <v>23</v>
      </c>
      <c r="D193" s="169">
        <v>0</v>
      </c>
      <c r="E193">
        <f t="shared" si="39"/>
        <v>0</v>
      </c>
    </row>
    <row r="194" spans="2:5" x14ac:dyDescent="0.3">
      <c r="B194" s="19">
        <f t="shared" si="40"/>
        <v>45755</v>
      </c>
      <c r="C194">
        <f t="shared" si="41"/>
        <v>24</v>
      </c>
      <c r="D194" s="169">
        <v>0</v>
      </c>
      <c r="E194">
        <f t="shared" si="39"/>
        <v>0</v>
      </c>
    </row>
    <row r="195" spans="2:5" x14ac:dyDescent="0.3">
      <c r="B195" s="19">
        <f t="shared" si="40"/>
        <v>45756</v>
      </c>
      <c r="C195">
        <f t="shared" si="41"/>
        <v>1</v>
      </c>
      <c r="D195" s="169">
        <v>0</v>
      </c>
      <c r="E195">
        <f t="shared" si="39"/>
        <v>0</v>
      </c>
    </row>
    <row r="196" spans="2:5" x14ac:dyDescent="0.3">
      <c r="B196" s="19">
        <f t="shared" si="40"/>
        <v>45756</v>
      </c>
      <c r="C196">
        <f t="shared" si="41"/>
        <v>2</v>
      </c>
      <c r="D196" s="169">
        <v>0</v>
      </c>
      <c r="E196">
        <f t="shared" ref="E196:E259" si="42">D196/1000</f>
        <v>0</v>
      </c>
    </row>
    <row r="197" spans="2:5" x14ac:dyDescent="0.3">
      <c r="B197" s="19">
        <f t="shared" ref="B197:B260" si="43">IF(C196=24,B196+1,B196)</f>
        <v>45756</v>
      </c>
      <c r="C197">
        <f t="shared" ref="C197:C260" si="44">IF(C196=24,1,C196+1)</f>
        <v>3</v>
      </c>
      <c r="D197" s="169">
        <v>0</v>
      </c>
      <c r="E197">
        <f t="shared" si="42"/>
        <v>0</v>
      </c>
    </row>
    <row r="198" spans="2:5" x14ac:dyDescent="0.3">
      <c r="B198" s="19">
        <f t="shared" si="43"/>
        <v>45756</v>
      </c>
      <c r="C198">
        <f t="shared" si="44"/>
        <v>4</v>
      </c>
      <c r="D198" s="169">
        <v>0</v>
      </c>
      <c r="E198">
        <f t="shared" si="42"/>
        <v>0</v>
      </c>
    </row>
    <row r="199" spans="2:5" x14ac:dyDescent="0.3">
      <c r="B199" s="19">
        <f t="shared" si="43"/>
        <v>45756</v>
      </c>
      <c r="C199">
        <f t="shared" si="44"/>
        <v>5</v>
      </c>
      <c r="D199" s="169">
        <v>0</v>
      </c>
      <c r="E199">
        <f t="shared" si="42"/>
        <v>0</v>
      </c>
    </row>
    <row r="200" spans="2:5" x14ac:dyDescent="0.3">
      <c r="B200" s="19">
        <f t="shared" si="43"/>
        <v>45756</v>
      </c>
      <c r="C200">
        <f t="shared" si="44"/>
        <v>6</v>
      </c>
      <c r="D200" s="169">
        <v>0</v>
      </c>
      <c r="E200">
        <f t="shared" si="42"/>
        <v>0</v>
      </c>
    </row>
    <row r="201" spans="2:5" x14ac:dyDescent="0.3">
      <c r="B201" s="19">
        <f t="shared" si="43"/>
        <v>45756</v>
      </c>
      <c r="C201">
        <f t="shared" si="44"/>
        <v>7</v>
      </c>
      <c r="D201" s="169">
        <v>40</v>
      </c>
      <c r="E201">
        <f t="shared" si="42"/>
        <v>0.04</v>
      </c>
    </row>
    <row r="202" spans="2:5" x14ac:dyDescent="0.3">
      <c r="B202" s="19">
        <f t="shared" si="43"/>
        <v>45756</v>
      </c>
      <c r="C202">
        <f t="shared" si="44"/>
        <v>8</v>
      </c>
      <c r="D202" s="169">
        <v>188</v>
      </c>
      <c r="E202">
        <f t="shared" si="42"/>
        <v>0.188</v>
      </c>
    </row>
    <row r="203" spans="2:5" x14ac:dyDescent="0.3">
      <c r="B203" s="19">
        <f t="shared" si="43"/>
        <v>45756</v>
      </c>
      <c r="C203">
        <f t="shared" si="44"/>
        <v>9</v>
      </c>
      <c r="D203" s="169">
        <v>324</v>
      </c>
      <c r="E203">
        <f t="shared" si="42"/>
        <v>0.32400000000000001</v>
      </c>
    </row>
    <row r="204" spans="2:5" x14ac:dyDescent="0.3">
      <c r="B204" s="19">
        <f t="shared" si="43"/>
        <v>45756</v>
      </c>
      <c r="C204">
        <f t="shared" si="44"/>
        <v>10</v>
      </c>
      <c r="D204" s="169">
        <v>415</v>
      </c>
      <c r="E204">
        <f t="shared" si="42"/>
        <v>0.41499999999999998</v>
      </c>
    </row>
    <row r="205" spans="2:5" x14ac:dyDescent="0.3">
      <c r="B205" s="19">
        <f t="shared" si="43"/>
        <v>45756</v>
      </c>
      <c r="C205">
        <f t="shared" si="44"/>
        <v>11</v>
      </c>
      <c r="D205" s="169">
        <v>478</v>
      </c>
      <c r="E205">
        <f t="shared" si="42"/>
        <v>0.47799999999999998</v>
      </c>
    </row>
    <row r="206" spans="2:5" x14ac:dyDescent="0.3">
      <c r="B206" s="19">
        <f t="shared" si="43"/>
        <v>45756</v>
      </c>
      <c r="C206">
        <f t="shared" si="44"/>
        <v>12</v>
      </c>
      <c r="D206" s="169">
        <v>507</v>
      </c>
      <c r="E206">
        <f t="shared" si="42"/>
        <v>0.50700000000000001</v>
      </c>
    </row>
    <row r="207" spans="2:5" x14ac:dyDescent="0.3">
      <c r="B207" s="19">
        <f t="shared" si="43"/>
        <v>45756</v>
      </c>
      <c r="C207">
        <f t="shared" si="44"/>
        <v>13</v>
      </c>
      <c r="D207" s="169">
        <v>516</v>
      </c>
      <c r="E207">
        <f t="shared" si="42"/>
        <v>0.51600000000000001</v>
      </c>
    </row>
    <row r="208" spans="2:5" x14ac:dyDescent="0.3">
      <c r="B208" s="19">
        <f t="shared" si="43"/>
        <v>45756</v>
      </c>
      <c r="C208">
        <f t="shared" si="44"/>
        <v>14</v>
      </c>
      <c r="D208" s="169">
        <v>498</v>
      </c>
      <c r="E208">
        <f t="shared" si="42"/>
        <v>0.498</v>
      </c>
    </row>
    <row r="209" spans="2:5" x14ac:dyDescent="0.3">
      <c r="B209" s="19">
        <f t="shared" si="43"/>
        <v>45756</v>
      </c>
      <c r="C209">
        <f t="shared" si="44"/>
        <v>15</v>
      </c>
      <c r="D209" s="169">
        <v>451</v>
      </c>
      <c r="E209">
        <f t="shared" si="42"/>
        <v>0.45100000000000001</v>
      </c>
    </row>
    <row r="210" spans="2:5" x14ac:dyDescent="0.3">
      <c r="B210" s="19">
        <f t="shared" si="43"/>
        <v>45756</v>
      </c>
      <c r="C210">
        <f t="shared" si="44"/>
        <v>16</v>
      </c>
      <c r="D210" s="169">
        <v>362</v>
      </c>
      <c r="E210">
        <f t="shared" si="42"/>
        <v>0.36199999999999999</v>
      </c>
    </row>
    <row r="211" spans="2:5" x14ac:dyDescent="0.3">
      <c r="B211" s="19">
        <f t="shared" si="43"/>
        <v>45756</v>
      </c>
      <c r="C211">
        <f t="shared" si="44"/>
        <v>17</v>
      </c>
      <c r="D211" s="169">
        <v>251</v>
      </c>
      <c r="E211">
        <f t="shared" si="42"/>
        <v>0.251</v>
      </c>
    </row>
    <row r="212" spans="2:5" x14ac:dyDescent="0.3">
      <c r="B212" s="19">
        <f t="shared" si="43"/>
        <v>45756</v>
      </c>
      <c r="C212">
        <f t="shared" si="44"/>
        <v>18</v>
      </c>
      <c r="D212" s="169">
        <v>94</v>
      </c>
      <c r="E212">
        <f t="shared" si="42"/>
        <v>9.4E-2</v>
      </c>
    </row>
    <row r="213" spans="2:5" x14ac:dyDescent="0.3">
      <c r="B213" s="19">
        <f t="shared" si="43"/>
        <v>45756</v>
      </c>
      <c r="C213">
        <f t="shared" si="44"/>
        <v>19</v>
      </c>
      <c r="D213" s="169">
        <v>7</v>
      </c>
      <c r="E213">
        <f t="shared" si="42"/>
        <v>7.0000000000000001E-3</v>
      </c>
    </row>
    <row r="214" spans="2:5" x14ac:dyDescent="0.3">
      <c r="B214" s="19">
        <f t="shared" si="43"/>
        <v>45756</v>
      </c>
      <c r="C214">
        <f t="shared" si="44"/>
        <v>20</v>
      </c>
      <c r="D214" s="169">
        <v>0</v>
      </c>
      <c r="E214">
        <f t="shared" si="42"/>
        <v>0</v>
      </c>
    </row>
    <row r="215" spans="2:5" x14ac:dyDescent="0.3">
      <c r="B215" s="19">
        <f t="shared" si="43"/>
        <v>45756</v>
      </c>
      <c r="C215">
        <f t="shared" si="44"/>
        <v>21</v>
      </c>
      <c r="D215" s="169">
        <v>0</v>
      </c>
      <c r="E215">
        <f t="shared" si="42"/>
        <v>0</v>
      </c>
    </row>
    <row r="216" spans="2:5" x14ac:dyDescent="0.3">
      <c r="B216" s="19">
        <f t="shared" si="43"/>
        <v>45756</v>
      </c>
      <c r="C216">
        <f t="shared" si="44"/>
        <v>22</v>
      </c>
      <c r="D216" s="169">
        <v>0</v>
      </c>
      <c r="E216">
        <f t="shared" si="42"/>
        <v>0</v>
      </c>
    </row>
    <row r="217" spans="2:5" x14ac:dyDescent="0.3">
      <c r="B217" s="19">
        <f t="shared" si="43"/>
        <v>45756</v>
      </c>
      <c r="C217">
        <f t="shared" si="44"/>
        <v>23</v>
      </c>
      <c r="D217" s="169">
        <v>0</v>
      </c>
      <c r="E217">
        <f t="shared" si="42"/>
        <v>0</v>
      </c>
    </row>
    <row r="218" spans="2:5" x14ac:dyDescent="0.3">
      <c r="B218" s="19">
        <f t="shared" si="43"/>
        <v>45756</v>
      </c>
      <c r="C218">
        <f t="shared" si="44"/>
        <v>24</v>
      </c>
      <c r="D218" s="169">
        <v>0</v>
      </c>
      <c r="E218">
        <f t="shared" si="42"/>
        <v>0</v>
      </c>
    </row>
    <row r="219" spans="2:5" x14ac:dyDescent="0.3">
      <c r="B219" s="19">
        <f t="shared" si="43"/>
        <v>45757</v>
      </c>
      <c r="C219">
        <f t="shared" si="44"/>
        <v>1</v>
      </c>
      <c r="D219" s="169">
        <v>0</v>
      </c>
      <c r="E219">
        <f t="shared" si="42"/>
        <v>0</v>
      </c>
    </row>
    <row r="220" spans="2:5" x14ac:dyDescent="0.3">
      <c r="B220" s="19">
        <f t="shared" si="43"/>
        <v>45757</v>
      </c>
      <c r="C220">
        <f t="shared" si="44"/>
        <v>2</v>
      </c>
      <c r="D220" s="169">
        <v>0</v>
      </c>
      <c r="E220">
        <f t="shared" si="42"/>
        <v>0</v>
      </c>
    </row>
    <row r="221" spans="2:5" x14ac:dyDescent="0.3">
      <c r="B221" s="19">
        <f t="shared" si="43"/>
        <v>45757</v>
      </c>
      <c r="C221">
        <f t="shared" si="44"/>
        <v>3</v>
      </c>
      <c r="D221" s="169">
        <v>0</v>
      </c>
      <c r="E221">
        <f t="shared" si="42"/>
        <v>0</v>
      </c>
    </row>
    <row r="222" spans="2:5" x14ac:dyDescent="0.3">
      <c r="B222" s="19">
        <f t="shared" si="43"/>
        <v>45757</v>
      </c>
      <c r="C222">
        <f t="shared" si="44"/>
        <v>4</v>
      </c>
      <c r="D222" s="169">
        <v>0</v>
      </c>
      <c r="E222">
        <f t="shared" si="42"/>
        <v>0</v>
      </c>
    </row>
    <row r="223" spans="2:5" x14ac:dyDescent="0.3">
      <c r="B223" s="19">
        <f t="shared" si="43"/>
        <v>45757</v>
      </c>
      <c r="C223">
        <f t="shared" si="44"/>
        <v>5</v>
      </c>
      <c r="D223" s="169">
        <v>0</v>
      </c>
      <c r="E223">
        <f t="shared" si="42"/>
        <v>0</v>
      </c>
    </row>
    <row r="224" spans="2:5" x14ac:dyDescent="0.3">
      <c r="B224" s="19">
        <f t="shared" si="43"/>
        <v>45757</v>
      </c>
      <c r="C224">
        <f t="shared" si="44"/>
        <v>6</v>
      </c>
      <c r="D224" s="169">
        <v>0</v>
      </c>
      <c r="E224">
        <f t="shared" si="42"/>
        <v>0</v>
      </c>
    </row>
    <row r="225" spans="2:5" x14ac:dyDescent="0.3">
      <c r="B225" s="19">
        <f t="shared" si="43"/>
        <v>45757</v>
      </c>
      <c r="C225">
        <f t="shared" si="44"/>
        <v>7</v>
      </c>
      <c r="D225" s="169">
        <v>39</v>
      </c>
      <c r="E225">
        <f t="shared" si="42"/>
        <v>3.9E-2</v>
      </c>
    </row>
    <row r="226" spans="2:5" x14ac:dyDescent="0.3">
      <c r="B226" s="19">
        <f t="shared" si="43"/>
        <v>45757</v>
      </c>
      <c r="C226">
        <f t="shared" si="44"/>
        <v>8</v>
      </c>
      <c r="D226" s="169">
        <v>187</v>
      </c>
      <c r="E226">
        <f t="shared" si="42"/>
        <v>0.187</v>
      </c>
    </row>
    <row r="227" spans="2:5" x14ac:dyDescent="0.3">
      <c r="B227" s="19">
        <f t="shared" si="43"/>
        <v>45757</v>
      </c>
      <c r="C227">
        <f t="shared" si="44"/>
        <v>9</v>
      </c>
      <c r="D227" s="169">
        <v>321</v>
      </c>
      <c r="E227">
        <f t="shared" si="42"/>
        <v>0.32100000000000001</v>
      </c>
    </row>
    <row r="228" spans="2:5" x14ac:dyDescent="0.3">
      <c r="B228" s="19">
        <f t="shared" si="43"/>
        <v>45757</v>
      </c>
      <c r="C228">
        <f t="shared" si="44"/>
        <v>10</v>
      </c>
      <c r="D228" s="169">
        <v>410</v>
      </c>
      <c r="E228">
        <f t="shared" si="42"/>
        <v>0.41</v>
      </c>
    </row>
    <row r="229" spans="2:5" x14ac:dyDescent="0.3">
      <c r="B229" s="19">
        <f t="shared" si="43"/>
        <v>45757</v>
      </c>
      <c r="C229">
        <f t="shared" si="44"/>
        <v>11</v>
      </c>
      <c r="D229" s="169">
        <v>475</v>
      </c>
      <c r="E229">
        <f t="shared" si="42"/>
        <v>0.47499999999999998</v>
      </c>
    </row>
    <row r="230" spans="2:5" x14ac:dyDescent="0.3">
      <c r="B230" s="19">
        <f t="shared" si="43"/>
        <v>45757</v>
      </c>
      <c r="C230">
        <f t="shared" si="44"/>
        <v>12</v>
      </c>
      <c r="D230" s="169">
        <v>500</v>
      </c>
      <c r="E230">
        <f t="shared" si="42"/>
        <v>0.5</v>
      </c>
    </row>
    <row r="231" spans="2:5" x14ac:dyDescent="0.3">
      <c r="B231" s="19">
        <f t="shared" si="43"/>
        <v>45757</v>
      </c>
      <c r="C231">
        <f t="shared" si="44"/>
        <v>13</v>
      </c>
      <c r="D231" s="169">
        <v>506</v>
      </c>
      <c r="E231">
        <f t="shared" si="42"/>
        <v>0.50600000000000001</v>
      </c>
    </row>
    <row r="232" spans="2:5" x14ac:dyDescent="0.3">
      <c r="B232" s="19">
        <f t="shared" si="43"/>
        <v>45757</v>
      </c>
      <c r="C232">
        <f t="shared" si="44"/>
        <v>14</v>
      </c>
      <c r="D232" s="169">
        <v>485</v>
      </c>
      <c r="E232">
        <f t="shared" si="42"/>
        <v>0.48499999999999999</v>
      </c>
    </row>
    <row r="233" spans="2:5" x14ac:dyDescent="0.3">
      <c r="B233" s="19">
        <f t="shared" si="43"/>
        <v>45757</v>
      </c>
      <c r="C233">
        <f t="shared" si="44"/>
        <v>15</v>
      </c>
      <c r="D233" s="169">
        <v>446</v>
      </c>
      <c r="E233">
        <f t="shared" si="42"/>
        <v>0.44600000000000001</v>
      </c>
    </row>
    <row r="234" spans="2:5" x14ac:dyDescent="0.3">
      <c r="B234" s="19">
        <f t="shared" si="43"/>
        <v>45757</v>
      </c>
      <c r="C234">
        <f t="shared" si="44"/>
        <v>16</v>
      </c>
      <c r="D234" s="169">
        <v>355</v>
      </c>
      <c r="E234">
        <f t="shared" si="42"/>
        <v>0.35499999999999998</v>
      </c>
    </row>
    <row r="235" spans="2:5" x14ac:dyDescent="0.3">
      <c r="B235" s="19">
        <f t="shared" si="43"/>
        <v>45757</v>
      </c>
      <c r="C235">
        <f t="shared" si="44"/>
        <v>17</v>
      </c>
      <c r="D235" s="169">
        <v>248</v>
      </c>
      <c r="E235">
        <f t="shared" si="42"/>
        <v>0.248</v>
      </c>
    </row>
    <row r="236" spans="2:5" x14ac:dyDescent="0.3">
      <c r="B236" s="19">
        <f t="shared" si="43"/>
        <v>45757</v>
      </c>
      <c r="C236">
        <f t="shared" si="44"/>
        <v>18</v>
      </c>
      <c r="D236" s="169">
        <v>95</v>
      </c>
      <c r="E236">
        <f t="shared" si="42"/>
        <v>9.5000000000000001E-2</v>
      </c>
    </row>
    <row r="237" spans="2:5" x14ac:dyDescent="0.3">
      <c r="B237" s="19">
        <f t="shared" si="43"/>
        <v>45757</v>
      </c>
      <c r="C237">
        <f t="shared" si="44"/>
        <v>19</v>
      </c>
      <c r="D237" s="169">
        <v>7</v>
      </c>
      <c r="E237">
        <f t="shared" si="42"/>
        <v>7.0000000000000001E-3</v>
      </c>
    </row>
    <row r="238" spans="2:5" x14ac:dyDescent="0.3">
      <c r="B238" s="19">
        <f t="shared" si="43"/>
        <v>45757</v>
      </c>
      <c r="C238">
        <f t="shared" si="44"/>
        <v>20</v>
      </c>
      <c r="D238" s="169">
        <v>0</v>
      </c>
      <c r="E238">
        <f t="shared" si="42"/>
        <v>0</v>
      </c>
    </row>
    <row r="239" spans="2:5" x14ac:dyDescent="0.3">
      <c r="B239" s="19">
        <f t="shared" si="43"/>
        <v>45757</v>
      </c>
      <c r="C239">
        <f t="shared" si="44"/>
        <v>21</v>
      </c>
      <c r="D239" s="169">
        <v>0</v>
      </c>
      <c r="E239">
        <f t="shared" si="42"/>
        <v>0</v>
      </c>
    </row>
    <row r="240" spans="2:5" x14ac:dyDescent="0.3">
      <c r="B240" s="19">
        <f t="shared" si="43"/>
        <v>45757</v>
      </c>
      <c r="C240">
        <f t="shared" si="44"/>
        <v>22</v>
      </c>
      <c r="D240" s="169">
        <v>0</v>
      </c>
      <c r="E240">
        <f t="shared" si="42"/>
        <v>0</v>
      </c>
    </row>
    <row r="241" spans="2:5" x14ac:dyDescent="0.3">
      <c r="B241" s="19">
        <f t="shared" si="43"/>
        <v>45757</v>
      </c>
      <c r="C241">
        <f t="shared" si="44"/>
        <v>23</v>
      </c>
      <c r="D241" s="169">
        <v>0</v>
      </c>
      <c r="E241">
        <f t="shared" si="42"/>
        <v>0</v>
      </c>
    </row>
    <row r="242" spans="2:5" x14ac:dyDescent="0.3">
      <c r="B242" s="19">
        <f t="shared" si="43"/>
        <v>45757</v>
      </c>
      <c r="C242">
        <f t="shared" si="44"/>
        <v>24</v>
      </c>
      <c r="D242" s="169">
        <v>0</v>
      </c>
      <c r="E242">
        <f t="shared" si="42"/>
        <v>0</v>
      </c>
    </row>
    <row r="243" spans="2:5" x14ac:dyDescent="0.3">
      <c r="B243" s="19">
        <f t="shared" si="43"/>
        <v>45758</v>
      </c>
      <c r="C243">
        <f t="shared" si="44"/>
        <v>1</v>
      </c>
      <c r="D243" s="169">
        <v>0</v>
      </c>
      <c r="E243">
        <f t="shared" si="42"/>
        <v>0</v>
      </c>
    </row>
    <row r="244" spans="2:5" x14ac:dyDescent="0.3">
      <c r="B244" s="19">
        <f t="shared" si="43"/>
        <v>45758</v>
      </c>
      <c r="C244">
        <f t="shared" si="44"/>
        <v>2</v>
      </c>
      <c r="D244" s="169">
        <v>0</v>
      </c>
      <c r="E244">
        <f t="shared" si="42"/>
        <v>0</v>
      </c>
    </row>
    <row r="245" spans="2:5" x14ac:dyDescent="0.3">
      <c r="B245" s="19">
        <f t="shared" si="43"/>
        <v>45758</v>
      </c>
      <c r="C245">
        <f t="shared" si="44"/>
        <v>3</v>
      </c>
      <c r="D245" s="169">
        <v>0</v>
      </c>
      <c r="E245">
        <f t="shared" si="42"/>
        <v>0</v>
      </c>
    </row>
    <row r="246" spans="2:5" x14ac:dyDescent="0.3">
      <c r="B246" s="19">
        <f t="shared" si="43"/>
        <v>45758</v>
      </c>
      <c r="C246">
        <f t="shared" si="44"/>
        <v>4</v>
      </c>
      <c r="D246" s="169">
        <v>0</v>
      </c>
      <c r="E246">
        <f t="shared" si="42"/>
        <v>0</v>
      </c>
    </row>
    <row r="247" spans="2:5" x14ac:dyDescent="0.3">
      <c r="B247" s="19">
        <f t="shared" si="43"/>
        <v>45758</v>
      </c>
      <c r="C247">
        <f t="shared" si="44"/>
        <v>5</v>
      </c>
      <c r="D247" s="169">
        <v>0</v>
      </c>
      <c r="E247">
        <f t="shared" si="42"/>
        <v>0</v>
      </c>
    </row>
    <row r="248" spans="2:5" x14ac:dyDescent="0.3">
      <c r="B248" s="19">
        <f t="shared" si="43"/>
        <v>45758</v>
      </c>
      <c r="C248">
        <f t="shared" si="44"/>
        <v>6</v>
      </c>
      <c r="D248" s="169">
        <v>0</v>
      </c>
      <c r="E248">
        <f t="shared" si="42"/>
        <v>0</v>
      </c>
    </row>
    <row r="249" spans="2:5" x14ac:dyDescent="0.3">
      <c r="B249" s="19">
        <f t="shared" si="43"/>
        <v>45758</v>
      </c>
      <c r="C249">
        <f t="shared" si="44"/>
        <v>7</v>
      </c>
      <c r="D249" s="169">
        <v>40</v>
      </c>
      <c r="E249">
        <f t="shared" si="42"/>
        <v>0.04</v>
      </c>
    </row>
    <row r="250" spans="2:5" x14ac:dyDescent="0.3">
      <c r="B250" s="19">
        <f t="shared" si="43"/>
        <v>45758</v>
      </c>
      <c r="C250">
        <f t="shared" si="44"/>
        <v>8</v>
      </c>
      <c r="D250" s="169">
        <v>189</v>
      </c>
      <c r="E250">
        <f t="shared" si="42"/>
        <v>0.189</v>
      </c>
    </row>
    <row r="251" spans="2:5" x14ac:dyDescent="0.3">
      <c r="B251" s="19">
        <f t="shared" si="43"/>
        <v>45758</v>
      </c>
      <c r="C251">
        <f t="shared" si="44"/>
        <v>9</v>
      </c>
      <c r="D251" s="169">
        <v>324</v>
      </c>
      <c r="E251">
        <f t="shared" si="42"/>
        <v>0.32400000000000001</v>
      </c>
    </row>
    <row r="252" spans="2:5" x14ac:dyDescent="0.3">
      <c r="B252" s="19">
        <f t="shared" si="43"/>
        <v>45758</v>
      </c>
      <c r="C252">
        <f t="shared" si="44"/>
        <v>10</v>
      </c>
      <c r="D252" s="169">
        <v>410</v>
      </c>
      <c r="E252">
        <f t="shared" si="42"/>
        <v>0.41</v>
      </c>
    </row>
    <row r="253" spans="2:5" x14ac:dyDescent="0.3">
      <c r="B253" s="19">
        <f t="shared" si="43"/>
        <v>45758</v>
      </c>
      <c r="C253">
        <f t="shared" si="44"/>
        <v>11</v>
      </c>
      <c r="D253" s="169">
        <v>472</v>
      </c>
      <c r="E253">
        <f t="shared" si="42"/>
        <v>0.47199999999999998</v>
      </c>
    </row>
    <row r="254" spans="2:5" x14ac:dyDescent="0.3">
      <c r="B254" s="19">
        <f t="shared" si="43"/>
        <v>45758</v>
      </c>
      <c r="C254">
        <f t="shared" si="44"/>
        <v>12</v>
      </c>
      <c r="D254" s="169">
        <v>495</v>
      </c>
      <c r="E254">
        <f t="shared" si="42"/>
        <v>0.495</v>
      </c>
    </row>
    <row r="255" spans="2:5" x14ac:dyDescent="0.3">
      <c r="B255" s="19">
        <f t="shared" si="43"/>
        <v>45758</v>
      </c>
      <c r="C255">
        <f t="shared" si="44"/>
        <v>13</v>
      </c>
      <c r="D255" s="169">
        <v>499</v>
      </c>
      <c r="E255">
        <f t="shared" si="42"/>
        <v>0.499</v>
      </c>
    </row>
    <row r="256" spans="2:5" x14ac:dyDescent="0.3">
      <c r="B256" s="19">
        <f t="shared" si="43"/>
        <v>45758</v>
      </c>
      <c r="C256">
        <f t="shared" si="44"/>
        <v>14</v>
      </c>
      <c r="D256" s="169">
        <v>484</v>
      </c>
      <c r="E256">
        <f t="shared" si="42"/>
        <v>0.48399999999999999</v>
      </c>
    </row>
    <row r="257" spans="2:5" x14ac:dyDescent="0.3">
      <c r="B257" s="19">
        <f t="shared" si="43"/>
        <v>45758</v>
      </c>
      <c r="C257">
        <f t="shared" si="44"/>
        <v>15</v>
      </c>
      <c r="D257" s="169">
        <v>440</v>
      </c>
      <c r="E257">
        <f t="shared" si="42"/>
        <v>0.44</v>
      </c>
    </row>
    <row r="258" spans="2:5" x14ac:dyDescent="0.3">
      <c r="B258" s="19">
        <f t="shared" si="43"/>
        <v>45758</v>
      </c>
      <c r="C258">
        <f t="shared" si="44"/>
        <v>16</v>
      </c>
      <c r="D258" s="169">
        <v>347</v>
      </c>
      <c r="E258">
        <f t="shared" si="42"/>
        <v>0.34699999999999998</v>
      </c>
    </row>
    <row r="259" spans="2:5" x14ac:dyDescent="0.3">
      <c r="B259" s="19">
        <f t="shared" si="43"/>
        <v>45758</v>
      </c>
      <c r="C259">
        <f t="shared" si="44"/>
        <v>17</v>
      </c>
      <c r="D259" s="169">
        <v>200</v>
      </c>
      <c r="E259">
        <f t="shared" si="42"/>
        <v>0.2</v>
      </c>
    </row>
    <row r="260" spans="2:5" x14ac:dyDescent="0.3">
      <c r="B260" s="19">
        <f t="shared" si="43"/>
        <v>45758</v>
      </c>
      <c r="C260">
        <f t="shared" si="44"/>
        <v>18</v>
      </c>
      <c r="D260" s="169">
        <v>58</v>
      </c>
      <c r="E260">
        <f t="shared" ref="E260:E323" si="45">D260/1000</f>
        <v>5.8000000000000003E-2</v>
      </c>
    </row>
    <row r="261" spans="2:5" x14ac:dyDescent="0.3">
      <c r="B261" s="19">
        <f t="shared" ref="B261:B324" si="46">IF(C260=24,B260+1,B260)</f>
        <v>45758</v>
      </c>
      <c r="C261">
        <f t="shared" ref="C261:C324" si="47">IF(C260=24,1,C260+1)</f>
        <v>19</v>
      </c>
      <c r="D261" s="169">
        <v>10</v>
      </c>
      <c r="E261">
        <f t="shared" si="45"/>
        <v>0.01</v>
      </c>
    </row>
    <row r="262" spans="2:5" x14ac:dyDescent="0.3">
      <c r="B262" s="19">
        <f t="shared" si="46"/>
        <v>45758</v>
      </c>
      <c r="C262">
        <f t="shared" si="47"/>
        <v>20</v>
      </c>
      <c r="D262" s="169">
        <v>0</v>
      </c>
      <c r="E262">
        <f t="shared" si="45"/>
        <v>0</v>
      </c>
    </row>
    <row r="263" spans="2:5" x14ac:dyDescent="0.3">
      <c r="B263" s="19">
        <f t="shared" si="46"/>
        <v>45758</v>
      </c>
      <c r="C263">
        <f t="shared" si="47"/>
        <v>21</v>
      </c>
      <c r="D263" s="169">
        <v>0</v>
      </c>
      <c r="E263">
        <f t="shared" si="45"/>
        <v>0</v>
      </c>
    </row>
    <row r="264" spans="2:5" x14ac:dyDescent="0.3">
      <c r="B264" s="19">
        <f t="shared" si="46"/>
        <v>45758</v>
      </c>
      <c r="C264">
        <f t="shared" si="47"/>
        <v>22</v>
      </c>
      <c r="D264" s="169">
        <v>0</v>
      </c>
      <c r="E264">
        <f t="shared" si="45"/>
        <v>0</v>
      </c>
    </row>
    <row r="265" spans="2:5" x14ac:dyDescent="0.3">
      <c r="B265" s="19">
        <f t="shared" si="46"/>
        <v>45758</v>
      </c>
      <c r="C265">
        <f t="shared" si="47"/>
        <v>23</v>
      </c>
      <c r="D265" s="169">
        <v>0</v>
      </c>
      <c r="E265">
        <f t="shared" si="45"/>
        <v>0</v>
      </c>
    </row>
    <row r="266" spans="2:5" x14ac:dyDescent="0.3">
      <c r="B266" s="19">
        <f t="shared" si="46"/>
        <v>45758</v>
      </c>
      <c r="C266">
        <f t="shared" si="47"/>
        <v>24</v>
      </c>
      <c r="D266" s="169">
        <v>0</v>
      </c>
      <c r="E266">
        <f t="shared" si="45"/>
        <v>0</v>
      </c>
    </row>
    <row r="267" spans="2:5" x14ac:dyDescent="0.3">
      <c r="B267" s="19">
        <f t="shared" si="46"/>
        <v>45759</v>
      </c>
      <c r="C267">
        <f t="shared" si="47"/>
        <v>1</v>
      </c>
      <c r="D267" s="169">
        <v>0</v>
      </c>
      <c r="E267">
        <f t="shared" si="45"/>
        <v>0</v>
      </c>
    </row>
    <row r="268" spans="2:5" x14ac:dyDescent="0.3">
      <c r="B268" s="19">
        <f t="shared" si="46"/>
        <v>45759</v>
      </c>
      <c r="C268">
        <f t="shared" si="47"/>
        <v>2</v>
      </c>
      <c r="D268" s="169">
        <v>0</v>
      </c>
      <c r="E268">
        <f t="shared" si="45"/>
        <v>0</v>
      </c>
    </row>
    <row r="269" spans="2:5" x14ac:dyDescent="0.3">
      <c r="B269" s="19">
        <f t="shared" si="46"/>
        <v>45759</v>
      </c>
      <c r="C269">
        <f t="shared" si="47"/>
        <v>3</v>
      </c>
      <c r="D269" s="169">
        <v>0</v>
      </c>
      <c r="E269">
        <f t="shared" si="45"/>
        <v>0</v>
      </c>
    </row>
    <row r="270" spans="2:5" x14ac:dyDescent="0.3">
      <c r="B270" s="19">
        <f t="shared" si="46"/>
        <v>45759</v>
      </c>
      <c r="C270">
        <f t="shared" si="47"/>
        <v>4</v>
      </c>
      <c r="D270" s="169">
        <v>0</v>
      </c>
      <c r="E270">
        <f t="shared" si="45"/>
        <v>0</v>
      </c>
    </row>
    <row r="271" spans="2:5" x14ac:dyDescent="0.3">
      <c r="B271" s="19">
        <f t="shared" si="46"/>
        <v>45759</v>
      </c>
      <c r="C271">
        <f t="shared" si="47"/>
        <v>5</v>
      </c>
      <c r="D271" s="169">
        <v>0</v>
      </c>
      <c r="E271">
        <f t="shared" si="45"/>
        <v>0</v>
      </c>
    </row>
    <row r="272" spans="2:5" x14ac:dyDescent="0.3">
      <c r="B272" s="19">
        <f t="shared" si="46"/>
        <v>45759</v>
      </c>
      <c r="C272">
        <f t="shared" si="47"/>
        <v>6</v>
      </c>
      <c r="D272" s="169">
        <v>0</v>
      </c>
      <c r="E272">
        <f t="shared" si="45"/>
        <v>0</v>
      </c>
    </row>
    <row r="273" spans="2:5" x14ac:dyDescent="0.3">
      <c r="B273" s="19">
        <f t="shared" si="46"/>
        <v>45759</v>
      </c>
      <c r="C273">
        <f t="shared" si="47"/>
        <v>7</v>
      </c>
      <c r="D273" s="169">
        <v>42</v>
      </c>
      <c r="E273">
        <f t="shared" si="45"/>
        <v>4.2000000000000003E-2</v>
      </c>
    </row>
    <row r="274" spans="2:5" x14ac:dyDescent="0.3">
      <c r="B274" s="19">
        <f t="shared" si="46"/>
        <v>45759</v>
      </c>
      <c r="C274">
        <f t="shared" si="47"/>
        <v>8</v>
      </c>
      <c r="D274" s="169">
        <v>197</v>
      </c>
      <c r="E274">
        <f t="shared" si="45"/>
        <v>0.19700000000000001</v>
      </c>
    </row>
    <row r="275" spans="2:5" x14ac:dyDescent="0.3">
      <c r="B275" s="19">
        <f t="shared" si="46"/>
        <v>45759</v>
      </c>
      <c r="C275">
        <f t="shared" si="47"/>
        <v>9</v>
      </c>
      <c r="D275" s="169">
        <v>327</v>
      </c>
      <c r="E275">
        <f t="shared" si="45"/>
        <v>0.32700000000000001</v>
      </c>
    </row>
    <row r="276" spans="2:5" x14ac:dyDescent="0.3">
      <c r="B276" s="19">
        <f t="shared" si="46"/>
        <v>45759</v>
      </c>
      <c r="C276">
        <f t="shared" si="47"/>
        <v>10</v>
      </c>
      <c r="D276" s="169">
        <v>416</v>
      </c>
      <c r="E276">
        <f t="shared" si="45"/>
        <v>0.41599999999999998</v>
      </c>
    </row>
    <row r="277" spans="2:5" x14ac:dyDescent="0.3">
      <c r="B277" s="19">
        <f t="shared" si="46"/>
        <v>45759</v>
      </c>
      <c r="C277">
        <f t="shared" si="47"/>
        <v>11</v>
      </c>
      <c r="D277" s="169">
        <v>472</v>
      </c>
      <c r="E277">
        <f t="shared" si="45"/>
        <v>0.47199999999999998</v>
      </c>
    </row>
    <row r="278" spans="2:5" x14ac:dyDescent="0.3">
      <c r="B278" s="19">
        <f t="shared" si="46"/>
        <v>45759</v>
      </c>
      <c r="C278">
        <f t="shared" si="47"/>
        <v>12</v>
      </c>
      <c r="D278" s="169">
        <v>458</v>
      </c>
      <c r="E278">
        <f t="shared" si="45"/>
        <v>0.45800000000000002</v>
      </c>
    </row>
    <row r="279" spans="2:5" x14ac:dyDescent="0.3">
      <c r="B279" s="19">
        <f t="shared" si="46"/>
        <v>45759</v>
      </c>
      <c r="C279">
        <f t="shared" si="47"/>
        <v>13</v>
      </c>
      <c r="D279" s="169">
        <v>431</v>
      </c>
      <c r="E279">
        <f t="shared" si="45"/>
        <v>0.43099999999999999</v>
      </c>
    </row>
    <row r="280" spans="2:5" x14ac:dyDescent="0.3">
      <c r="B280" s="19">
        <f t="shared" si="46"/>
        <v>45759</v>
      </c>
      <c r="C280">
        <f t="shared" si="47"/>
        <v>14</v>
      </c>
      <c r="D280" s="169">
        <v>435</v>
      </c>
      <c r="E280">
        <f t="shared" si="45"/>
        <v>0.435</v>
      </c>
    </row>
    <row r="281" spans="2:5" x14ac:dyDescent="0.3">
      <c r="B281" s="19">
        <f t="shared" si="46"/>
        <v>45759</v>
      </c>
      <c r="C281">
        <f t="shared" si="47"/>
        <v>15</v>
      </c>
      <c r="D281" s="169">
        <v>307</v>
      </c>
      <c r="E281">
        <f t="shared" si="45"/>
        <v>0.307</v>
      </c>
    </row>
    <row r="282" spans="2:5" x14ac:dyDescent="0.3">
      <c r="B282" s="19">
        <f t="shared" si="46"/>
        <v>45759</v>
      </c>
      <c r="C282">
        <f t="shared" si="47"/>
        <v>16</v>
      </c>
      <c r="D282" s="169">
        <v>189</v>
      </c>
      <c r="E282">
        <f t="shared" si="45"/>
        <v>0.189</v>
      </c>
    </row>
    <row r="283" spans="2:5" x14ac:dyDescent="0.3">
      <c r="B283" s="19">
        <f t="shared" si="46"/>
        <v>45759</v>
      </c>
      <c r="C283">
        <f t="shared" si="47"/>
        <v>17</v>
      </c>
      <c r="D283" s="169">
        <v>122</v>
      </c>
      <c r="E283">
        <f t="shared" si="45"/>
        <v>0.122</v>
      </c>
    </row>
    <row r="284" spans="2:5" x14ac:dyDescent="0.3">
      <c r="B284" s="19">
        <f t="shared" si="46"/>
        <v>45759</v>
      </c>
      <c r="C284">
        <f t="shared" si="47"/>
        <v>18</v>
      </c>
      <c r="D284" s="169">
        <v>38</v>
      </c>
      <c r="E284">
        <f t="shared" si="45"/>
        <v>3.7999999999999999E-2</v>
      </c>
    </row>
    <row r="285" spans="2:5" x14ac:dyDescent="0.3">
      <c r="B285" s="19">
        <f t="shared" si="46"/>
        <v>45759</v>
      </c>
      <c r="C285">
        <f t="shared" si="47"/>
        <v>19</v>
      </c>
      <c r="D285" s="169">
        <v>3</v>
      </c>
      <c r="E285">
        <f t="shared" si="45"/>
        <v>3.0000000000000001E-3</v>
      </c>
    </row>
    <row r="286" spans="2:5" x14ac:dyDescent="0.3">
      <c r="B286" s="19">
        <f t="shared" si="46"/>
        <v>45759</v>
      </c>
      <c r="C286">
        <f t="shared" si="47"/>
        <v>20</v>
      </c>
      <c r="D286" s="169">
        <v>0</v>
      </c>
      <c r="E286">
        <f t="shared" si="45"/>
        <v>0</v>
      </c>
    </row>
    <row r="287" spans="2:5" x14ac:dyDescent="0.3">
      <c r="B287" s="19">
        <f t="shared" si="46"/>
        <v>45759</v>
      </c>
      <c r="C287">
        <f t="shared" si="47"/>
        <v>21</v>
      </c>
      <c r="D287" s="169">
        <v>0</v>
      </c>
      <c r="E287">
        <f t="shared" si="45"/>
        <v>0</v>
      </c>
    </row>
    <row r="288" spans="2:5" x14ac:dyDescent="0.3">
      <c r="B288" s="19">
        <f t="shared" si="46"/>
        <v>45759</v>
      </c>
      <c r="C288">
        <f t="shared" si="47"/>
        <v>22</v>
      </c>
      <c r="D288" s="169">
        <v>0</v>
      </c>
      <c r="E288">
        <f t="shared" si="45"/>
        <v>0</v>
      </c>
    </row>
    <row r="289" spans="2:5" x14ac:dyDescent="0.3">
      <c r="B289" s="19">
        <f t="shared" si="46"/>
        <v>45759</v>
      </c>
      <c r="C289">
        <f t="shared" si="47"/>
        <v>23</v>
      </c>
      <c r="D289" s="169">
        <v>0</v>
      </c>
      <c r="E289">
        <f t="shared" si="45"/>
        <v>0</v>
      </c>
    </row>
    <row r="290" spans="2:5" x14ac:dyDescent="0.3">
      <c r="B290" s="19">
        <f t="shared" si="46"/>
        <v>45759</v>
      </c>
      <c r="C290">
        <f t="shared" si="47"/>
        <v>24</v>
      </c>
      <c r="D290" s="169">
        <v>0</v>
      </c>
      <c r="E290">
        <f t="shared" si="45"/>
        <v>0</v>
      </c>
    </row>
    <row r="291" spans="2:5" x14ac:dyDescent="0.3">
      <c r="B291" s="19">
        <f t="shared" si="46"/>
        <v>45760</v>
      </c>
      <c r="C291">
        <f t="shared" si="47"/>
        <v>1</v>
      </c>
      <c r="D291" s="169">
        <v>0</v>
      </c>
      <c r="E291">
        <f t="shared" si="45"/>
        <v>0</v>
      </c>
    </row>
    <row r="292" spans="2:5" x14ac:dyDescent="0.3">
      <c r="B292" s="19">
        <f t="shared" si="46"/>
        <v>45760</v>
      </c>
      <c r="C292">
        <f t="shared" si="47"/>
        <v>2</v>
      </c>
      <c r="D292" s="169">
        <v>0</v>
      </c>
      <c r="E292">
        <f t="shared" si="45"/>
        <v>0</v>
      </c>
    </row>
    <row r="293" spans="2:5" x14ac:dyDescent="0.3">
      <c r="B293" s="19">
        <f t="shared" si="46"/>
        <v>45760</v>
      </c>
      <c r="C293">
        <f t="shared" si="47"/>
        <v>3</v>
      </c>
      <c r="D293" s="169">
        <v>0</v>
      </c>
      <c r="E293">
        <f t="shared" si="45"/>
        <v>0</v>
      </c>
    </row>
    <row r="294" spans="2:5" x14ac:dyDescent="0.3">
      <c r="B294" s="19">
        <f t="shared" si="46"/>
        <v>45760</v>
      </c>
      <c r="C294">
        <f t="shared" si="47"/>
        <v>4</v>
      </c>
      <c r="D294" s="169">
        <v>0</v>
      </c>
      <c r="E294">
        <f t="shared" si="45"/>
        <v>0</v>
      </c>
    </row>
    <row r="295" spans="2:5" x14ac:dyDescent="0.3">
      <c r="B295" s="19">
        <f t="shared" si="46"/>
        <v>45760</v>
      </c>
      <c r="C295">
        <f t="shared" si="47"/>
        <v>5</v>
      </c>
      <c r="D295" s="169">
        <v>0</v>
      </c>
      <c r="E295">
        <f t="shared" si="45"/>
        <v>0</v>
      </c>
    </row>
    <row r="296" spans="2:5" x14ac:dyDescent="0.3">
      <c r="B296" s="19">
        <f t="shared" si="46"/>
        <v>45760</v>
      </c>
      <c r="C296">
        <f t="shared" si="47"/>
        <v>6</v>
      </c>
      <c r="D296" s="169">
        <v>0</v>
      </c>
      <c r="E296">
        <f t="shared" si="45"/>
        <v>0</v>
      </c>
    </row>
    <row r="297" spans="2:5" x14ac:dyDescent="0.3">
      <c r="B297" s="19">
        <f t="shared" si="46"/>
        <v>45760</v>
      </c>
      <c r="C297">
        <f t="shared" si="47"/>
        <v>7</v>
      </c>
      <c r="D297" s="169">
        <v>45</v>
      </c>
      <c r="E297">
        <f t="shared" si="45"/>
        <v>4.4999999999999998E-2</v>
      </c>
    </row>
    <row r="298" spans="2:5" x14ac:dyDescent="0.3">
      <c r="B298" s="19">
        <f t="shared" si="46"/>
        <v>45760</v>
      </c>
      <c r="C298">
        <f t="shared" si="47"/>
        <v>8</v>
      </c>
      <c r="D298" s="169">
        <v>187</v>
      </c>
      <c r="E298">
        <f t="shared" si="45"/>
        <v>0.187</v>
      </c>
    </row>
    <row r="299" spans="2:5" x14ac:dyDescent="0.3">
      <c r="B299" s="19">
        <f t="shared" si="46"/>
        <v>45760</v>
      </c>
      <c r="C299">
        <f t="shared" si="47"/>
        <v>9</v>
      </c>
      <c r="D299" s="169">
        <v>324</v>
      </c>
      <c r="E299">
        <f t="shared" si="45"/>
        <v>0.32400000000000001</v>
      </c>
    </row>
    <row r="300" spans="2:5" x14ac:dyDescent="0.3">
      <c r="B300" s="19">
        <f t="shared" si="46"/>
        <v>45760</v>
      </c>
      <c r="C300">
        <f t="shared" si="47"/>
        <v>10</v>
      </c>
      <c r="D300" s="169">
        <v>411</v>
      </c>
      <c r="E300">
        <f t="shared" si="45"/>
        <v>0.41099999999999998</v>
      </c>
    </row>
    <row r="301" spans="2:5" x14ac:dyDescent="0.3">
      <c r="B301" s="19">
        <f t="shared" si="46"/>
        <v>45760</v>
      </c>
      <c r="C301">
        <f t="shared" si="47"/>
        <v>11</v>
      </c>
      <c r="D301" s="169">
        <v>481</v>
      </c>
      <c r="E301">
        <f t="shared" si="45"/>
        <v>0.48099999999999998</v>
      </c>
    </row>
    <row r="302" spans="2:5" x14ac:dyDescent="0.3">
      <c r="B302" s="19">
        <f t="shared" si="46"/>
        <v>45760</v>
      </c>
      <c r="C302">
        <f t="shared" si="47"/>
        <v>12</v>
      </c>
      <c r="D302" s="169">
        <v>443</v>
      </c>
      <c r="E302">
        <f t="shared" si="45"/>
        <v>0.443</v>
      </c>
    </row>
    <row r="303" spans="2:5" x14ac:dyDescent="0.3">
      <c r="B303" s="19">
        <f t="shared" si="46"/>
        <v>45760</v>
      </c>
      <c r="C303">
        <f t="shared" si="47"/>
        <v>13</v>
      </c>
      <c r="D303" s="169">
        <v>412</v>
      </c>
      <c r="E303">
        <f t="shared" si="45"/>
        <v>0.41199999999999998</v>
      </c>
    </row>
    <row r="304" spans="2:5" x14ac:dyDescent="0.3">
      <c r="B304" s="19">
        <f t="shared" si="46"/>
        <v>45760</v>
      </c>
      <c r="C304">
        <f t="shared" si="47"/>
        <v>14</v>
      </c>
      <c r="D304" s="169">
        <v>309</v>
      </c>
      <c r="E304">
        <f t="shared" si="45"/>
        <v>0.309</v>
      </c>
    </row>
    <row r="305" spans="2:5" x14ac:dyDescent="0.3">
      <c r="B305" s="19">
        <f t="shared" si="46"/>
        <v>45760</v>
      </c>
      <c r="C305">
        <f t="shared" si="47"/>
        <v>15</v>
      </c>
      <c r="D305" s="169">
        <v>273</v>
      </c>
      <c r="E305">
        <f t="shared" si="45"/>
        <v>0.27300000000000002</v>
      </c>
    </row>
    <row r="306" spans="2:5" x14ac:dyDescent="0.3">
      <c r="B306" s="19">
        <f t="shared" si="46"/>
        <v>45760</v>
      </c>
      <c r="C306">
        <f t="shared" si="47"/>
        <v>16</v>
      </c>
      <c r="D306" s="169">
        <v>256</v>
      </c>
      <c r="E306">
        <f t="shared" si="45"/>
        <v>0.25600000000000001</v>
      </c>
    </row>
    <row r="307" spans="2:5" x14ac:dyDescent="0.3">
      <c r="B307" s="19">
        <f t="shared" si="46"/>
        <v>45760</v>
      </c>
      <c r="C307">
        <f t="shared" si="47"/>
        <v>17</v>
      </c>
      <c r="D307" s="169">
        <v>248</v>
      </c>
      <c r="E307">
        <f t="shared" si="45"/>
        <v>0.248</v>
      </c>
    </row>
    <row r="308" spans="2:5" x14ac:dyDescent="0.3">
      <c r="B308" s="19">
        <f t="shared" si="46"/>
        <v>45760</v>
      </c>
      <c r="C308">
        <f t="shared" si="47"/>
        <v>18</v>
      </c>
      <c r="D308" s="169">
        <v>98</v>
      </c>
      <c r="E308">
        <f t="shared" si="45"/>
        <v>9.8000000000000004E-2</v>
      </c>
    </row>
    <row r="309" spans="2:5" x14ac:dyDescent="0.3">
      <c r="B309" s="19">
        <f t="shared" si="46"/>
        <v>45760</v>
      </c>
      <c r="C309">
        <f t="shared" si="47"/>
        <v>19</v>
      </c>
      <c r="D309" s="169">
        <v>7</v>
      </c>
      <c r="E309">
        <f t="shared" si="45"/>
        <v>7.0000000000000001E-3</v>
      </c>
    </row>
    <row r="310" spans="2:5" x14ac:dyDescent="0.3">
      <c r="B310" s="19">
        <f t="shared" si="46"/>
        <v>45760</v>
      </c>
      <c r="C310">
        <f t="shared" si="47"/>
        <v>20</v>
      </c>
      <c r="D310" s="169">
        <v>0</v>
      </c>
      <c r="E310">
        <f t="shared" si="45"/>
        <v>0</v>
      </c>
    </row>
    <row r="311" spans="2:5" x14ac:dyDescent="0.3">
      <c r="B311" s="19">
        <f t="shared" si="46"/>
        <v>45760</v>
      </c>
      <c r="C311">
        <f t="shared" si="47"/>
        <v>21</v>
      </c>
      <c r="D311" s="169">
        <v>0</v>
      </c>
      <c r="E311">
        <f t="shared" si="45"/>
        <v>0</v>
      </c>
    </row>
    <row r="312" spans="2:5" x14ac:dyDescent="0.3">
      <c r="B312" s="19">
        <f t="shared" si="46"/>
        <v>45760</v>
      </c>
      <c r="C312">
        <f t="shared" si="47"/>
        <v>22</v>
      </c>
      <c r="D312" s="169">
        <v>0</v>
      </c>
      <c r="E312">
        <f t="shared" si="45"/>
        <v>0</v>
      </c>
    </row>
    <row r="313" spans="2:5" x14ac:dyDescent="0.3">
      <c r="B313" s="19">
        <f t="shared" si="46"/>
        <v>45760</v>
      </c>
      <c r="C313">
        <f t="shared" si="47"/>
        <v>23</v>
      </c>
      <c r="D313" s="169">
        <v>0</v>
      </c>
      <c r="E313">
        <f t="shared" si="45"/>
        <v>0</v>
      </c>
    </row>
    <row r="314" spans="2:5" x14ac:dyDescent="0.3">
      <c r="B314" s="19">
        <f t="shared" si="46"/>
        <v>45760</v>
      </c>
      <c r="C314">
        <f t="shared" si="47"/>
        <v>24</v>
      </c>
      <c r="D314" s="169">
        <v>0</v>
      </c>
      <c r="E314">
        <f t="shared" si="45"/>
        <v>0</v>
      </c>
    </row>
    <row r="315" spans="2:5" x14ac:dyDescent="0.3">
      <c r="B315" s="19">
        <f t="shared" si="46"/>
        <v>45761</v>
      </c>
      <c r="C315">
        <f t="shared" si="47"/>
        <v>1</v>
      </c>
      <c r="D315" s="169">
        <v>0</v>
      </c>
      <c r="E315">
        <f t="shared" si="45"/>
        <v>0</v>
      </c>
    </row>
    <row r="316" spans="2:5" x14ac:dyDescent="0.3">
      <c r="B316" s="19">
        <f t="shared" si="46"/>
        <v>45761</v>
      </c>
      <c r="C316">
        <f t="shared" si="47"/>
        <v>2</v>
      </c>
      <c r="D316" s="169">
        <v>0</v>
      </c>
      <c r="E316">
        <f t="shared" si="45"/>
        <v>0</v>
      </c>
    </row>
    <row r="317" spans="2:5" x14ac:dyDescent="0.3">
      <c r="B317" s="19">
        <f t="shared" si="46"/>
        <v>45761</v>
      </c>
      <c r="C317">
        <f t="shared" si="47"/>
        <v>3</v>
      </c>
      <c r="D317" s="169">
        <v>0</v>
      </c>
      <c r="E317">
        <f t="shared" si="45"/>
        <v>0</v>
      </c>
    </row>
    <row r="318" spans="2:5" x14ac:dyDescent="0.3">
      <c r="B318" s="19">
        <f t="shared" si="46"/>
        <v>45761</v>
      </c>
      <c r="C318">
        <f t="shared" si="47"/>
        <v>4</v>
      </c>
      <c r="D318" s="169">
        <v>0</v>
      </c>
      <c r="E318">
        <f t="shared" si="45"/>
        <v>0</v>
      </c>
    </row>
    <row r="319" spans="2:5" x14ac:dyDescent="0.3">
      <c r="B319" s="19">
        <f t="shared" si="46"/>
        <v>45761</v>
      </c>
      <c r="C319">
        <f t="shared" si="47"/>
        <v>5</v>
      </c>
      <c r="D319" s="169">
        <v>0</v>
      </c>
      <c r="E319">
        <f t="shared" si="45"/>
        <v>0</v>
      </c>
    </row>
    <row r="320" spans="2:5" x14ac:dyDescent="0.3">
      <c r="B320" s="19">
        <f t="shared" si="46"/>
        <v>45761</v>
      </c>
      <c r="C320">
        <f t="shared" si="47"/>
        <v>6</v>
      </c>
      <c r="D320" s="169">
        <v>1</v>
      </c>
      <c r="E320">
        <f t="shared" si="45"/>
        <v>1E-3</v>
      </c>
    </row>
    <row r="321" spans="2:5" x14ac:dyDescent="0.3">
      <c r="B321" s="19">
        <f t="shared" si="46"/>
        <v>45761</v>
      </c>
      <c r="C321">
        <f t="shared" si="47"/>
        <v>7</v>
      </c>
      <c r="D321" s="169">
        <v>49</v>
      </c>
      <c r="E321">
        <f t="shared" si="45"/>
        <v>4.9000000000000002E-2</v>
      </c>
    </row>
    <row r="322" spans="2:5" x14ac:dyDescent="0.3">
      <c r="B322" s="19">
        <f t="shared" si="46"/>
        <v>45761</v>
      </c>
      <c r="C322">
        <f t="shared" si="47"/>
        <v>8</v>
      </c>
      <c r="D322" s="169">
        <v>165</v>
      </c>
      <c r="E322">
        <f t="shared" si="45"/>
        <v>0.16500000000000001</v>
      </c>
    </row>
    <row r="323" spans="2:5" x14ac:dyDescent="0.3">
      <c r="B323" s="19">
        <f t="shared" si="46"/>
        <v>45761</v>
      </c>
      <c r="C323">
        <f t="shared" si="47"/>
        <v>9</v>
      </c>
      <c r="D323" s="169">
        <v>253</v>
      </c>
      <c r="E323">
        <f t="shared" si="45"/>
        <v>0.253</v>
      </c>
    </row>
    <row r="324" spans="2:5" x14ac:dyDescent="0.3">
      <c r="B324" s="19">
        <f t="shared" si="46"/>
        <v>45761</v>
      </c>
      <c r="C324">
        <f t="shared" si="47"/>
        <v>10</v>
      </c>
      <c r="D324" s="169">
        <v>429</v>
      </c>
      <c r="E324">
        <f t="shared" ref="E324:E387" si="48">D324/1000</f>
        <v>0.42899999999999999</v>
      </c>
    </row>
    <row r="325" spans="2:5" x14ac:dyDescent="0.3">
      <c r="B325" s="19">
        <f t="shared" ref="B325:B388" si="49">IF(C324=24,B324+1,B324)</f>
        <v>45761</v>
      </c>
      <c r="C325">
        <f t="shared" ref="C325:C388" si="50">IF(C324=24,1,C324+1)</f>
        <v>11</v>
      </c>
      <c r="D325" s="169">
        <v>471</v>
      </c>
      <c r="E325">
        <f t="shared" si="48"/>
        <v>0.47099999999999997</v>
      </c>
    </row>
    <row r="326" spans="2:5" x14ac:dyDescent="0.3">
      <c r="B326" s="19">
        <f t="shared" si="49"/>
        <v>45761</v>
      </c>
      <c r="C326">
        <f t="shared" si="50"/>
        <v>12</v>
      </c>
      <c r="D326" s="169">
        <v>404</v>
      </c>
      <c r="E326">
        <f t="shared" si="48"/>
        <v>0.40400000000000003</v>
      </c>
    </row>
    <row r="327" spans="2:5" x14ac:dyDescent="0.3">
      <c r="B327" s="19">
        <f t="shared" si="49"/>
        <v>45761</v>
      </c>
      <c r="C327">
        <f t="shared" si="50"/>
        <v>13</v>
      </c>
      <c r="D327" s="169">
        <v>505</v>
      </c>
      <c r="E327">
        <f t="shared" si="48"/>
        <v>0.505</v>
      </c>
    </row>
    <row r="328" spans="2:5" x14ac:dyDescent="0.3">
      <c r="B328" s="19">
        <f t="shared" si="49"/>
        <v>45761</v>
      </c>
      <c r="C328">
        <f t="shared" si="50"/>
        <v>14</v>
      </c>
      <c r="D328" s="169">
        <v>506</v>
      </c>
      <c r="E328">
        <f t="shared" si="48"/>
        <v>0.50600000000000001</v>
      </c>
    </row>
    <row r="329" spans="2:5" x14ac:dyDescent="0.3">
      <c r="B329" s="19">
        <f t="shared" si="49"/>
        <v>45761</v>
      </c>
      <c r="C329">
        <f t="shared" si="50"/>
        <v>15</v>
      </c>
      <c r="D329" s="169">
        <v>457</v>
      </c>
      <c r="E329">
        <f t="shared" si="48"/>
        <v>0.45700000000000002</v>
      </c>
    </row>
    <row r="330" spans="2:5" x14ac:dyDescent="0.3">
      <c r="B330" s="19">
        <f t="shared" si="49"/>
        <v>45761</v>
      </c>
      <c r="C330">
        <f t="shared" si="50"/>
        <v>16</v>
      </c>
      <c r="D330" s="169">
        <v>368</v>
      </c>
      <c r="E330">
        <f t="shared" si="48"/>
        <v>0.36799999999999999</v>
      </c>
    </row>
    <row r="331" spans="2:5" x14ac:dyDescent="0.3">
      <c r="B331" s="19">
        <f t="shared" si="49"/>
        <v>45761</v>
      </c>
      <c r="C331">
        <f t="shared" si="50"/>
        <v>17</v>
      </c>
      <c r="D331" s="169">
        <v>216</v>
      </c>
      <c r="E331">
        <f t="shared" si="48"/>
        <v>0.216</v>
      </c>
    </row>
    <row r="332" spans="2:5" x14ac:dyDescent="0.3">
      <c r="B332" s="19">
        <f t="shared" si="49"/>
        <v>45761</v>
      </c>
      <c r="C332">
        <f t="shared" si="50"/>
        <v>18</v>
      </c>
      <c r="D332" s="169">
        <v>71</v>
      </c>
      <c r="E332">
        <f t="shared" si="48"/>
        <v>7.0999999999999994E-2</v>
      </c>
    </row>
    <row r="333" spans="2:5" x14ac:dyDescent="0.3">
      <c r="B333" s="19">
        <f t="shared" si="49"/>
        <v>45761</v>
      </c>
      <c r="C333">
        <f t="shared" si="50"/>
        <v>19</v>
      </c>
      <c r="D333" s="169">
        <v>9</v>
      </c>
      <c r="E333">
        <f t="shared" si="48"/>
        <v>8.9999999999999993E-3</v>
      </c>
    </row>
    <row r="334" spans="2:5" x14ac:dyDescent="0.3">
      <c r="B334" s="19">
        <f t="shared" si="49"/>
        <v>45761</v>
      </c>
      <c r="C334">
        <f t="shared" si="50"/>
        <v>20</v>
      </c>
      <c r="D334" s="169">
        <v>0</v>
      </c>
      <c r="E334">
        <f t="shared" si="48"/>
        <v>0</v>
      </c>
    </row>
    <row r="335" spans="2:5" x14ac:dyDescent="0.3">
      <c r="B335" s="19">
        <f t="shared" si="49"/>
        <v>45761</v>
      </c>
      <c r="C335">
        <f t="shared" si="50"/>
        <v>21</v>
      </c>
      <c r="D335" s="169">
        <v>0</v>
      </c>
      <c r="E335">
        <f t="shared" si="48"/>
        <v>0</v>
      </c>
    </row>
    <row r="336" spans="2:5" x14ac:dyDescent="0.3">
      <c r="B336" s="19">
        <f t="shared" si="49"/>
        <v>45761</v>
      </c>
      <c r="C336">
        <f t="shared" si="50"/>
        <v>22</v>
      </c>
      <c r="D336" s="169">
        <v>0</v>
      </c>
      <c r="E336">
        <f t="shared" si="48"/>
        <v>0</v>
      </c>
    </row>
    <row r="337" spans="2:5" x14ac:dyDescent="0.3">
      <c r="B337" s="19">
        <f t="shared" si="49"/>
        <v>45761</v>
      </c>
      <c r="C337">
        <f t="shared" si="50"/>
        <v>23</v>
      </c>
      <c r="D337" s="169">
        <v>0</v>
      </c>
      <c r="E337">
        <f t="shared" si="48"/>
        <v>0</v>
      </c>
    </row>
    <row r="338" spans="2:5" x14ac:dyDescent="0.3">
      <c r="B338" s="19">
        <f t="shared" si="49"/>
        <v>45761</v>
      </c>
      <c r="C338">
        <f t="shared" si="50"/>
        <v>24</v>
      </c>
      <c r="D338" s="169">
        <v>0</v>
      </c>
      <c r="E338">
        <f t="shared" si="48"/>
        <v>0</v>
      </c>
    </row>
    <row r="339" spans="2:5" x14ac:dyDescent="0.3">
      <c r="B339" s="19">
        <f t="shared" si="49"/>
        <v>45762</v>
      </c>
      <c r="C339">
        <f t="shared" si="50"/>
        <v>1</v>
      </c>
      <c r="D339" s="169">
        <v>0</v>
      </c>
      <c r="E339">
        <f t="shared" si="48"/>
        <v>0</v>
      </c>
    </row>
    <row r="340" spans="2:5" x14ac:dyDescent="0.3">
      <c r="B340" s="19">
        <f t="shared" si="49"/>
        <v>45762</v>
      </c>
      <c r="C340">
        <f t="shared" si="50"/>
        <v>2</v>
      </c>
      <c r="D340" s="169">
        <v>0</v>
      </c>
      <c r="E340">
        <f t="shared" si="48"/>
        <v>0</v>
      </c>
    </row>
    <row r="341" spans="2:5" x14ac:dyDescent="0.3">
      <c r="B341" s="19">
        <f t="shared" si="49"/>
        <v>45762</v>
      </c>
      <c r="C341">
        <f t="shared" si="50"/>
        <v>3</v>
      </c>
      <c r="D341" s="169">
        <v>0</v>
      </c>
      <c r="E341">
        <f t="shared" si="48"/>
        <v>0</v>
      </c>
    </row>
    <row r="342" spans="2:5" x14ac:dyDescent="0.3">
      <c r="B342" s="19">
        <f t="shared" si="49"/>
        <v>45762</v>
      </c>
      <c r="C342">
        <f t="shared" si="50"/>
        <v>4</v>
      </c>
      <c r="D342" s="169">
        <v>0</v>
      </c>
      <c r="E342">
        <f t="shared" si="48"/>
        <v>0</v>
      </c>
    </row>
    <row r="343" spans="2:5" x14ac:dyDescent="0.3">
      <c r="B343" s="19">
        <f t="shared" si="49"/>
        <v>45762</v>
      </c>
      <c r="C343">
        <f t="shared" si="50"/>
        <v>5</v>
      </c>
      <c r="D343" s="169">
        <v>0</v>
      </c>
      <c r="E343">
        <f t="shared" si="48"/>
        <v>0</v>
      </c>
    </row>
    <row r="344" spans="2:5" x14ac:dyDescent="0.3">
      <c r="B344" s="19">
        <f t="shared" si="49"/>
        <v>45762</v>
      </c>
      <c r="C344">
        <f t="shared" si="50"/>
        <v>6</v>
      </c>
      <c r="D344" s="169">
        <v>1</v>
      </c>
      <c r="E344">
        <f t="shared" si="48"/>
        <v>1E-3</v>
      </c>
    </row>
    <row r="345" spans="2:5" x14ac:dyDescent="0.3">
      <c r="B345" s="19">
        <f t="shared" si="49"/>
        <v>45762</v>
      </c>
      <c r="C345">
        <f t="shared" si="50"/>
        <v>7</v>
      </c>
      <c r="D345" s="169">
        <v>43</v>
      </c>
      <c r="E345">
        <f t="shared" si="48"/>
        <v>4.2999999999999997E-2</v>
      </c>
    </row>
    <row r="346" spans="2:5" x14ac:dyDescent="0.3">
      <c r="B346" s="19">
        <f t="shared" si="49"/>
        <v>45762</v>
      </c>
      <c r="C346">
        <f t="shared" si="50"/>
        <v>8</v>
      </c>
      <c r="D346" s="169">
        <v>116</v>
      </c>
      <c r="E346">
        <f t="shared" si="48"/>
        <v>0.11600000000000001</v>
      </c>
    </row>
    <row r="347" spans="2:5" x14ac:dyDescent="0.3">
      <c r="B347" s="19">
        <f t="shared" si="49"/>
        <v>45762</v>
      </c>
      <c r="C347">
        <f t="shared" si="50"/>
        <v>9</v>
      </c>
      <c r="D347" s="169">
        <v>324</v>
      </c>
      <c r="E347">
        <f t="shared" si="48"/>
        <v>0.32400000000000001</v>
      </c>
    </row>
    <row r="348" spans="2:5" x14ac:dyDescent="0.3">
      <c r="B348" s="19">
        <f t="shared" si="49"/>
        <v>45762</v>
      </c>
      <c r="C348">
        <f t="shared" si="50"/>
        <v>10</v>
      </c>
      <c r="D348" s="169">
        <v>329</v>
      </c>
      <c r="E348">
        <f t="shared" si="48"/>
        <v>0.32900000000000001</v>
      </c>
    </row>
    <row r="349" spans="2:5" x14ac:dyDescent="0.3">
      <c r="B349" s="19">
        <f t="shared" si="49"/>
        <v>45762</v>
      </c>
      <c r="C349">
        <f t="shared" si="50"/>
        <v>11</v>
      </c>
      <c r="D349" s="169">
        <v>289</v>
      </c>
      <c r="E349">
        <f t="shared" si="48"/>
        <v>0.28899999999999998</v>
      </c>
    </row>
    <row r="350" spans="2:5" x14ac:dyDescent="0.3">
      <c r="B350" s="19">
        <f t="shared" si="49"/>
        <v>45762</v>
      </c>
      <c r="C350">
        <f t="shared" si="50"/>
        <v>12</v>
      </c>
      <c r="D350" s="169">
        <v>494</v>
      </c>
      <c r="E350">
        <f t="shared" si="48"/>
        <v>0.49399999999999999</v>
      </c>
    </row>
    <row r="351" spans="2:5" x14ac:dyDescent="0.3">
      <c r="B351" s="19">
        <f t="shared" si="49"/>
        <v>45762</v>
      </c>
      <c r="C351">
        <f t="shared" si="50"/>
        <v>13</v>
      </c>
      <c r="D351" s="169">
        <v>378</v>
      </c>
      <c r="E351">
        <f t="shared" si="48"/>
        <v>0.378</v>
      </c>
    </row>
    <row r="352" spans="2:5" x14ac:dyDescent="0.3">
      <c r="B352" s="19">
        <f t="shared" si="49"/>
        <v>45762</v>
      </c>
      <c r="C352">
        <f t="shared" si="50"/>
        <v>14</v>
      </c>
      <c r="D352" s="169">
        <v>331</v>
      </c>
      <c r="E352">
        <f t="shared" si="48"/>
        <v>0.33100000000000002</v>
      </c>
    </row>
    <row r="353" spans="2:5" x14ac:dyDescent="0.3">
      <c r="B353" s="19">
        <f t="shared" si="49"/>
        <v>45762</v>
      </c>
      <c r="C353">
        <f t="shared" si="50"/>
        <v>15</v>
      </c>
      <c r="D353" s="169">
        <v>379</v>
      </c>
      <c r="E353">
        <f t="shared" si="48"/>
        <v>0.379</v>
      </c>
    </row>
    <row r="354" spans="2:5" x14ac:dyDescent="0.3">
      <c r="B354" s="19">
        <f t="shared" si="49"/>
        <v>45762</v>
      </c>
      <c r="C354">
        <f t="shared" si="50"/>
        <v>16</v>
      </c>
      <c r="D354" s="169">
        <v>346</v>
      </c>
      <c r="E354">
        <f t="shared" si="48"/>
        <v>0.34599999999999997</v>
      </c>
    </row>
    <row r="355" spans="2:5" x14ac:dyDescent="0.3">
      <c r="B355" s="19">
        <f t="shared" si="49"/>
        <v>45762</v>
      </c>
      <c r="C355">
        <f t="shared" si="50"/>
        <v>17</v>
      </c>
      <c r="D355" s="169">
        <v>259</v>
      </c>
      <c r="E355">
        <f t="shared" si="48"/>
        <v>0.25900000000000001</v>
      </c>
    </row>
    <row r="356" spans="2:5" x14ac:dyDescent="0.3">
      <c r="B356" s="19">
        <f t="shared" si="49"/>
        <v>45762</v>
      </c>
      <c r="C356">
        <f t="shared" si="50"/>
        <v>18</v>
      </c>
      <c r="D356" s="169">
        <v>101</v>
      </c>
      <c r="E356">
        <f t="shared" si="48"/>
        <v>0.10100000000000001</v>
      </c>
    </row>
    <row r="357" spans="2:5" x14ac:dyDescent="0.3">
      <c r="B357" s="19">
        <f t="shared" si="49"/>
        <v>45762</v>
      </c>
      <c r="C357">
        <f t="shared" si="50"/>
        <v>19</v>
      </c>
      <c r="D357" s="169">
        <v>10</v>
      </c>
      <c r="E357">
        <f t="shared" si="48"/>
        <v>0.01</v>
      </c>
    </row>
    <row r="358" spans="2:5" x14ac:dyDescent="0.3">
      <c r="B358" s="19">
        <f t="shared" si="49"/>
        <v>45762</v>
      </c>
      <c r="C358">
        <f t="shared" si="50"/>
        <v>20</v>
      </c>
      <c r="D358" s="169">
        <v>0</v>
      </c>
      <c r="E358">
        <f t="shared" si="48"/>
        <v>0</v>
      </c>
    </row>
    <row r="359" spans="2:5" x14ac:dyDescent="0.3">
      <c r="B359" s="19">
        <f t="shared" si="49"/>
        <v>45762</v>
      </c>
      <c r="C359">
        <f t="shared" si="50"/>
        <v>21</v>
      </c>
      <c r="D359" s="169">
        <v>0</v>
      </c>
      <c r="E359">
        <f t="shared" si="48"/>
        <v>0</v>
      </c>
    </row>
    <row r="360" spans="2:5" x14ac:dyDescent="0.3">
      <c r="B360" s="19">
        <f t="shared" si="49"/>
        <v>45762</v>
      </c>
      <c r="C360">
        <f t="shared" si="50"/>
        <v>22</v>
      </c>
      <c r="D360" s="169">
        <v>0</v>
      </c>
      <c r="E360">
        <f t="shared" si="48"/>
        <v>0</v>
      </c>
    </row>
    <row r="361" spans="2:5" x14ac:dyDescent="0.3">
      <c r="B361" s="19">
        <f t="shared" si="49"/>
        <v>45762</v>
      </c>
      <c r="C361">
        <f t="shared" si="50"/>
        <v>23</v>
      </c>
      <c r="D361" s="169">
        <v>0</v>
      </c>
      <c r="E361">
        <f t="shared" si="48"/>
        <v>0</v>
      </c>
    </row>
    <row r="362" spans="2:5" x14ac:dyDescent="0.3">
      <c r="B362" s="19">
        <f t="shared" si="49"/>
        <v>45762</v>
      </c>
      <c r="C362">
        <f t="shared" si="50"/>
        <v>24</v>
      </c>
      <c r="D362" s="169">
        <v>0</v>
      </c>
      <c r="E362">
        <f t="shared" si="48"/>
        <v>0</v>
      </c>
    </row>
    <row r="363" spans="2:5" x14ac:dyDescent="0.3">
      <c r="B363" s="19">
        <f t="shared" si="49"/>
        <v>45763</v>
      </c>
      <c r="C363">
        <f t="shared" si="50"/>
        <v>1</v>
      </c>
      <c r="D363" s="169">
        <v>0</v>
      </c>
      <c r="E363">
        <f t="shared" si="48"/>
        <v>0</v>
      </c>
    </row>
    <row r="364" spans="2:5" x14ac:dyDescent="0.3">
      <c r="B364" s="19">
        <f t="shared" si="49"/>
        <v>45763</v>
      </c>
      <c r="C364">
        <f t="shared" si="50"/>
        <v>2</v>
      </c>
      <c r="D364" s="169">
        <v>0</v>
      </c>
      <c r="E364">
        <f t="shared" si="48"/>
        <v>0</v>
      </c>
    </row>
    <row r="365" spans="2:5" x14ac:dyDescent="0.3">
      <c r="B365" s="19">
        <f t="shared" si="49"/>
        <v>45763</v>
      </c>
      <c r="C365">
        <f t="shared" si="50"/>
        <v>3</v>
      </c>
      <c r="D365" s="169">
        <v>0</v>
      </c>
      <c r="E365">
        <f t="shared" si="48"/>
        <v>0</v>
      </c>
    </row>
    <row r="366" spans="2:5" x14ac:dyDescent="0.3">
      <c r="B366" s="19">
        <f t="shared" si="49"/>
        <v>45763</v>
      </c>
      <c r="C366">
        <f t="shared" si="50"/>
        <v>4</v>
      </c>
      <c r="D366" s="169">
        <v>0</v>
      </c>
      <c r="E366">
        <f t="shared" si="48"/>
        <v>0</v>
      </c>
    </row>
    <row r="367" spans="2:5" x14ac:dyDescent="0.3">
      <c r="B367" s="19">
        <f t="shared" si="49"/>
        <v>45763</v>
      </c>
      <c r="C367">
        <f t="shared" si="50"/>
        <v>5</v>
      </c>
      <c r="D367" s="169">
        <v>0</v>
      </c>
      <c r="E367">
        <f t="shared" si="48"/>
        <v>0</v>
      </c>
    </row>
    <row r="368" spans="2:5" x14ac:dyDescent="0.3">
      <c r="B368" s="19">
        <f t="shared" si="49"/>
        <v>45763</v>
      </c>
      <c r="C368">
        <f t="shared" si="50"/>
        <v>6</v>
      </c>
      <c r="D368" s="169">
        <v>0</v>
      </c>
      <c r="E368">
        <f t="shared" si="48"/>
        <v>0</v>
      </c>
    </row>
    <row r="369" spans="2:5" x14ac:dyDescent="0.3">
      <c r="B369" s="19">
        <f t="shared" si="49"/>
        <v>45763</v>
      </c>
      <c r="C369">
        <f t="shared" si="50"/>
        <v>7</v>
      </c>
      <c r="D369" s="169">
        <v>36</v>
      </c>
      <c r="E369">
        <f t="shared" si="48"/>
        <v>3.5999999999999997E-2</v>
      </c>
    </row>
    <row r="370" spans="2:5" x14ac:dyDescent="0.3">
      <c r="B370" s="19">
        <f t="shared" si="49"/>
        <v>45763</v>
      </c>
      <c r="C370">
        <f t="shared" si="50"/>
        <v>8</v>
      </c>
      <c r="D370" s="169">
        <v>197</v>
      </c>
      <c r="E370">
        <f t="shared" si="48"/>
        <v>0.19700000000000001</v>
      </c>
    </row>
    <row r="371" spans="2:5" x14ac:dyDescent="0.3">
      <c r="B371" s="19">
        <f t="shared" si="49"/>
        <v>45763</v>
      </c>
      <c r="C371">
        <f t="shared" si="50"/>
        <v>9</v>
      </c>
      <c r="D371" s="169">
        <v>315</v>
      </c>
      <c r="E371">
        <f t="shared" si="48"/>
        <v>0.315</v>
      </c>
    </row>
    <row r="372" spans="2:5" x14ac:dyDescent="0.3">
      <c r="B372" s="19">
        <f t="shared" si="49"/>
        <v>45763</v>
      </c>
      <c r="C372">
        <f t="shared" si="50"/>
        <v>10</v>
      </c>
      <c r="D372" s="169">
        <v>424</v>
      </c>
      <c r="E372">
        <f t="shared" si="48"/>
        <v>0.42399999999999999</v>
      </c>
    </row>
    <row r="373" spans="2:5" x14ac:dyDescent="0.3">
      <c r="B373" s="19">
        <f t="shared" si="49"/>
        <v>45763</v>
      </c>
      <c r="C373">
        <f t="shared" si="50"/>
        <v>11</v>
      </c>
      <c r="D373" s="169">
        <v>474</v>
      </c>
      <c r="E373">
        <f t="shared" si="48"/>
        <v>0.47399999999999998</v>
      </c>
    </row>
    <row r="374" spans="2:5" x14ac:dyDescent="0.3">
      <c r="B374" s="19">
        <f t="shared" si="49"/>
        <v>45763</v>
      </c>
      <c r="C374">
        <f t="shared" si="50"/>
        <v>12</v>
      </c>
      <c r="D374" s="169">
        <v>507</v>
      </c>
      <c r="E374">
        <f t="shared" si="48"/>
        <v>0.50700000000000001</v>
      </c>
    </row>
    <row r="375" spans="2:5" x14ac:dyDescent="0.3">
      <c r="B375" s="19">
        <f t="shared" si="49"/>
        <v>45763</v>
      </c>
      <c r="C375">
        <f t="shared" si="50"/>
        <v>13</v>
      </c>
      <c r="D375" s="169">
        <v>469</v>
      </c>
      <c r="E375">
        <f t="shared" si="48"/>
        <v>0.46899999999999997</v>
      </c>
    </row>
    <row r="376" spans="2:5" x14ac:dyDescent="0.3">
      <c r="B376" s="19">
        <f t="shared" si="49"/>
        <v>45763</v>
      </c>
      <c r="C376">
        <f t="shared" si="50"/>
        <v>14</v>
      </c>
      <c r="D376" s="169">
        <v>490</v>
      </c>
      <c r="E376">
        <f t="shared" si="48"/>
        <v>0.49</v>
      </c>
    </row>
    <row r="377" spans="2:5" x14ac:dyDescent="0.3">
      <c r="B377" s="19">
        <f t="shared" si="49"/>
        <v>45763</v>
      </c>
      <c r="C377">
        <f t="shared" si="50"/>
        <v>15</v>
      </c>
      <c r="D377" s="169">
        <v>433</v>
      </c>
      <c r="E377">
        <f t="shared" si="48"/>
        <v>0.433</v>
      </c>
    </row>
    <row r="378" spans="2:5" x14ac:dyDescent="0.3">
      <c r="B378" s="19">
        <f t="shared" si="49"/>
        <v>45763</v>
      </c>
      <c r="C378">
        <f t="shared" si="50"/>
        <v>16</v>
      </c>
      <c r="D378" s="169">
        <v>364</v>
      </c>
      <c r="E378">
        <f t="shared" si="48"/>
        <v>0.36399999999999999</v>
      </c>
    </row>
    <row r="379" spans="2:5" x14ac:dyDescent="0.3">
      <c r="B379" s="19">
        <f t="shared" si="49"/>
        <v>45763</v>
      </c>
      <c r="C379">
        <f t="shared" si="50"/>
        <v>17</v>
      </c>
      <c r="D379" s="169">
        <v>190</v>
      </c>
      <c r="E379">
        <f t="shared" si="48"/>
        <v>0.19</v>
      </c>
    </row>
    <row r="380" spans="2:5" x14ac:dyDescent="0.3">
      <c r="B380" s="19">
        <f t="shared" si="49"/>
        <v>45763</v>
      </c>
      <c r="C380">
        <f t="shared" si="50"/>
        <v>18</v>
      </c>
      <c r="D380" s="169">
        <v>109</v>
      </c>
      <c r="E380">
        <f t="shared" si="48"/>
        <v>0.109</v>
      </c>
    </row>
    <row r="381" spans="2:5" x14ac:dyDescent="0.3">
      <c r="B381" s="19">
        <f t="shared" si="49"/>
        <v>45763</v>
      </c>
      <c r="C381">
        <f t="shared" si="50"/>
        <v>19</v>
      </c>
      <c r="D381" s="169">
        <v>7</v>
      </c>
      <c r="E381">
        <f t="shared" si="48"/>
        <v>7.0000000000000001E-3</v>
      </c>
    </row>
    <row r="382" spans="2:5" x14ac:dyDescent="0.3">
      <c r="B382" s="19">
        <f t="shared" si="49"/>
        <v>45763</v>
      </c>
      <c r="C382">
        <f t="shared" si="50"/>
        <v>20</v>
      </c>
      <c r="D382" s="169">
        <v>0</v>
      </c>
      <c r="E382">
        <f t="shared" si="48"/>
        <v>0</v>
      </c>
    </row>
    <row r="383" spans="2:5" x14ac:dyDescent="0.3">
      <c r="B383" s="19">
        <f t="shared" si="49"/>
        <v>45763</v>
      </c>
      <c r="C383">
        <f t="shared" si="50"/>
        <v>21</v>
      </c>
      <c r="D383" s="169">
        <v>0</v>
      </c>
      <c r="E383">
        <f t="shared" si="48"/>
        <v>0</v>
      </c>
    </row>
    <row r="384" spans="2:5" x14ac:dyDescent="0.3">
      <c r="B384" s="19">
        <f t="shared" si="49"/>
        <v>45763</v>
      </c>
      <c r="C384">
        <f t="shared" si="50"/>
        <v>22</v>
      </c>
      <c r="D384" s="169">
        <v>0</v>
      </c>
      <c r="E384">
        <f t="shared" si="48"/>
        <v>0</v>
      </c>
    </row>
    <row r="385" spans="2:5" x14ac:dyDescent="0.3">
      <c r="B385" s="19">
        <f t="shared" si="49"/>
        <v>45763</v>
      </c>
      <c r="C385">
        <f t="shared" si="50"/>
        <v>23</v>
      </c>
      <c r="D385" s="169">
        <v>0</v>
      </c>
      <c r="E385">
        <f t="shared" si="48"/>
        <v>0</v>
      </c>
    </row>
    <row r="386" spans="2:5" x14ac:dyDescent="0.3">
      <c r="B386" s="19">
        <f t="shared" si="49"/>
        <v>45763</v>
      </c>
      <c r="C386">
        <f t="shared" si="50"/>
        <v>24</v>
      </c>
      <c r="D386" s="169">
        <v>0</v>
      </c>
      <c r="E386">
        <f t="shared" si="48"/>
        <v>0</v>
      </c>
    </row>
    <row r="387" spans="2:5" x14ac:dyDescent="0.3">
      <c r="B387" s="19">
        <f t="shared" si="49"/>
        <v>45764</v>
      </c>
      <c r="C387">
        <f t="shared" si="50"/>
        <v>1</v>
      </c>
      <c r="D387" s="169">
        <v>0</v>
      </c>
      <c r="E387">
        <f t="shared" si="48"/>
        <v>0</v>
      </c>
    </row>
    <row r="388" spans="2:5" x14ac:dyDescent="0.3">
      <c r="B388" s="19">
        <f t="shared" si="49"/>
        <v>45764</v>
      </c>
      <c r="C388">
        <f t="shared" si="50"/>
        <v>2</v>
      </c>
      <c r="D388" s="169">
        <v>0</v>
      </c>
      <c r="E388">
        <f t="shared" ref="E388:E451" si="51">D388/1000</f>
        <v>0</v>
      </c>
    </row>
    <row r="389" spans="2:5" x14ac:dyDescent="0.3">
      <c r="B389" s="19">
        <f t="shared" ref="B389:B452" si="52">IF(C388=24,B388+1,B388)</f>
        <v>45764</v>
      </c>
      <c r="C389">
        <f t="shared" ref="C389:C452" si="53">IF(C388=24,1,C388+1)</f>
        <v>3</v>
      </c>
      <c r="D389" s="169">
        <v>0</v>
      </c>
      <c r="E389">
        <f t="shared" si="51"/>
        <v>0</v>
      </c>
    </row>
    <row r="390" spans="2:5" x14ac:dyDescent="0.3">
      <c r="B390" s="19">
        <f t="shared" si="52"/>
        <v>45764</v>
      </c>
      <c r="C390">
        <f t="shared" si="53"/>
        <v>4</v>
      </c>
      <c r="D390" s="169">
        <v>0</v>
      </c>
      <c r="E390">
        <f t="shared" si="51"/>
        <v>0</v>
      </c>
    </row>
    <row r="391" spans="2:5" x14ac:dyDescent="0.3">
      <c r="B391" s="19">
        <f t="shared" si="52"/>
        <v>45764</v>
      </c>
      <c r="C391">
        <f t="shared" si="53"/>
        <v>5</v>
      </c>
      <c r="D391" s="169">
        <v>0</v>
      </c>
      <c r="E391">
        <f t="shared" si="51"/>
        <v>0</v>
      </c>
    </row>
    <row r="392" spans="2:5" x14ac:dyDescent="0.3">
      <c r="B392" s="19">
        <f t="shared" si="52"/>
        <v>45764</v>
      </c>
      <c r="C392">
        <f t="shared" si="53"/>
        <v>6</v>
      </c>
      <c r="D392" s="169">
        <v>1</v>
      </c>
      <c r="E392">
        <f t="shared" si="51"/>
        <v>1E-3</v>
      </c>
    </row>
    <row r="393" spans="2:5" x14ac:dyDescent="0.3">
      <c r="B393" s="19">
        <f t="shared" si="52"/>
        <v>45764</v>
      </c>
      <c r="C393">
        <f t="shared" si="53"/>
        <v>7</v>
      </c>
      <c r="D393" s="169">
        <v>55</v>
      </c>
      <c r="E393">
        <f t="shared" si="51"/>
        <v>5.5E-2</v>
      </c>
    </row>
    <row r="394" spans="2:5" x14ac:dyDescent="0.3">
      <c r="B394" s="19">
        <f t="shared" si="52"/>
        <v>45764</v>
      </c>
      <c r="C394">
        <f t="shared" si="53"/>
        <v>8</v>
      </c>
      <c r="D394" s="169">
        <v>140</v>
      </c>
      <c r="E394">
        <f t="shared" si="51"/>
        <v>0.14000000000000001</v>
      </c>
    </row>
    <row r="395" spans="2:5" x14ac:dyDescent="0.3">
      <c r="B395" s="19">
        <f t="shared" si="52"/>
        <v>45764</v>
      </c>
      <c r="C395">
        <f t="shared" si="53"/>
        <v>9</v>
      </c>
      <c r="D395" s="169">
        <v>335</v>
      </c>
      <c r="E395">
        <f t="shared" si="51"/>
        <v>0.33500000000000002</v>
      </c>
    </row>
    <row r="396" spans="2:5" x14ac:dyDescent="0.3">
      <c r="B396" s="19">
        <f t="shared" si="52"/>
        <v>45764</v>
      </c>
      <c r="C396">
        <f t="shared" si="53"/>
        <v>10</v>
      </c>
      <c r="D396" s="169">
        <v>416</v>
      </c>
      <c r="E396">
        <f t="shared" si="51"/>
        <v>0.41599999999999998</v>
      </c>
    </row>
    <row r="397" spans="2:5" x14ac:dyDescent="0.3">
      <c r="B397" s="19">
        <f t="shared" si="52"/>
        <v>45764</v>
      </c>
      <c r="C397">
        <f t="shared" si="53"/>
        <v>11</v>
      </c>
      <c r="D397" s="169">
        <v>448</v>
      </c>
      <c r="E397">
        <f t="shared" si="51"/>
        <v>0.44800000000000001</v>
      </c>
    </row>
    <row r="398" spans="2:5" x14ac:dyDescent="0.3">
      <c r="B398" s="19">
        <f t="shared" si="52"/>
        <v>45764</v>
      </c>
      <c r="C398">
        <f t="shared" si="53"/>
        <v>12</v>
      </c>
      <c r="D398" s="169">
        <v>498</v>
      </c>
      <c r="E398">
        <f t="shared" si="51"/>
        <v>0.498</v>
      </c>
    </row>
    <row r="399" spans="2:5" x14ac:dyDescent="0.3">
      <c r="B399" s="19">
        <f t="shared" si="52"/>
        <v>45764</v>
      </c>
      <c r="C399">
        <f t="shared" si="53"/>
        <v>13</v>
      </c>
      <c r="D399" s="169">
        <v>532</v>
      </c>
      <c r="E399">
        <f t="shared" si="51"/>
        <v>0.53200000000000003</v>
      </c>
    </row>
    <row r="400" spans="2:5" x14ac:dyDescent="0.3">
      <c r="B400" s="19">
        <f t="shared" si="52"/>
        <v>45764</v>
      </c>
      <c r="C400">
        <f t="shared" si="53"/>
        <v>14</v>
      </c>
      <c r="D400" s="169">
        <v>511</v>
      </c>
      <c r="E400">
        <f t="shared" si="51"/>
        <v>0.51100000000000001</v>
      </c>
    </row>
    <row r="401" spans="2:5" x14ac:dyDescent="0.3">
      <c r="B401" s="19">
        <f t="shared" si="52"/>
        <v>45764</v>
      </c>
      <c r="C401">
        <f t="shared" si="53"/>
        <v>15</v>
      </c>
      <c r="D401" s="169">
        <v>470</v>
      </c>
      <c r="E401">
        <f t="shared" si="51"/>
        <v>0.47</v>
      </c>
    </row>
    <row r="402" spans="2:5" x14ac:dyDescent="0.3">
      <c r="B402" s="19">
        <f t="shared" si="52"/>
        <v>45764</v>
      </c>
      <c r="C402">
        <f t="shared" si="53"/>
        <v>16</v>
      </c>
      <c r="D402" s="169">
        <v>387</v>
      </c>
      <c r="E402">
        <f t="shared" si="51"/>
        <v>0.38700000000000001</v>
      </c>
    </row>
    <row r="403" spans="2:5" x14ac:dyDescent="0.3">
      <c r="B403" s="19">
        <f t="shared" si="52"/>
        <v>45764</v>
      </c>
      <c r="C403">
        <f t="shared" si="53"/>
        <v>17</v>
      </c>
      <c r="D403" s="169">
        <v>247</v>
      </c>
      <c r="E403">
        <f t="shared" si="51"/>
        <v>0.247</v>
      </c>
    </row>
    <row r="404" spans="2:5" x14ac:dyDescent="0.3">
      <c r="B404" s="19">
        <f t="shared" si="52"/>
        <v>45764</v>
      </c>
      <c r="C404">
        <f t="shared" si="53"/>
        <v>18</v>
      </c>
      <c r="D404" s="169">
        <v>96</v>
      </c>
      <c r="E404">
        <f t="shared" si="51"/>
        <v>9.6000000000000002E-2</v>
      </c>
    </row>
    <row r="405" spans="2:5" x14ac:dyDescent="0.3">
      <c r="B405" s="19">
        <f t="shared" si="52"/>
        <v>45764</v>
      </c>
      <c r="C405">
        <f t="shared" si="53"/>
        <v>19</v>
      </c>
      <c r="D405" s="169">
        <v>9</v>
      </c>
      <c r="E405">
        <f t="shared" si="51"/>
        <v>8.9999999999999993E-3</v>
      </c>
    </row>
    <row r="406" spans="2:5" x14ac:dyDescent="0.3">
      <c r="B406" s="19">
        <f t="shared" si="52"/>
        <v>45764</v>
      </c>
      <c r="C406">
        <f t="shared" si="53"/>
        <v>20</v>
      </c>
      <c r="D406" s="169">
        <v>0</v>
      </c>
      <c r="E406">
        <f t="shared" si="51"/>
        <v>0</v>
      </c>
    </row>
    <row r="407" spans="2:5" x14ac:dyDescent="0.3">
      <c r="B407" s="19">
        <f t="shared" si="52"/>
        <v>45764</v>
      </c>
      <c r="C407">
        <f t="shared" si="53"/>
        <v>21</v>
      </c>
      <c r="D407" s="169">
        <v>0</v>
      </c>
      <c r="E407">
        <f t="shared" si="51"/>
        <v>0</v>
      </c>
    </row>
    <row r="408" spans="2:5" x14ac:dyDescent="0.3">
      <c r="B408" s="19">
        <f t="shared" si="52"/>
        <v>45764</v>
      </c>
      <c r="C408">
        <f t="shared" si="53"/>
        <v>22</v>
      </c>
      <c r="D408" s="169">
        <v>0</v>
      </c>
      <c r="E408">
        <f t="shared" si="51"/>
        <v>0</v>
      </c>
    </row>
    <row r="409" spans="2:5" x14ac:dyDescent="0.3">
      <c r="B409" s="19">
        <f t="shared" si="52"/>
        <v>45764</v>
      </c>
      <c r="C409">
        <f t="shared" si="53"/>
        <v>23</v>
      </c>
      <c r="D409" s="169">
        <v>0</v>
      </c>
      <c r="E409">
        <f t="shared" si="51"/>
        <v>0</v>
      </c>
    </row>
    <row r="410" spans="2:5" x14ac:dyDescent="0.3">
      <c r="B410" s="19">
        <f t="shared" si="52"/>
        <v>45764</v>
      </c>
      <c r="C410">
        <f t="shared" si="53"/>
        <v>24</v>
      </c>
      <c r="D410" s="169">
        <v>0</v>
      </c>
      <c r="E410">
        <f t="shared" si="51"/>
        <v>0</v>
      </c>
    </row>
    <row r="411" spans="2:5" x14ac:dyDescent="0.3">
      <c r="B411" s="19">
        <f t="shared" si="52"/>
        <v>45765</v>
      </c>
      <c r="C411">
        <f t="shared" si="53"/>
        <v>1</v>
      </c>
      <c r="D411" s="169">
        <v>0</v>
      </c>
      <c r="E411">
        <f t="shared" si="51"/>
        <v>0</v>
      </c>
    </row>
    <row r="412" spans="2:5" x14ac:dyDescent="0.3">
      <c r="B412" s="19">
        <f t="shared" si="52"/>
        <v>45765</v>
      </c>
      <c r="C412">
        <f t="shared" si="53"/>
        <v>2</v>
      </c>
      <c r="D412" s="169">
        <v>0</v>
      </c>
      <c r="E412">
        <f t="shared" si="51"/>
        <v>0</v>
      </c>
    </row>
    <row r="413" spans="2:5" x14ac:dyDescent="0.3">
      <c r="B413" s="19">
        <f t="shared" si="52"/>
        <v>45765</v>
      </c>
      <c r="C413">
        <f t="shared" si="53"/>
        <v>3</v>
      </c>
      <c r="D413" s="169">
        <v>0</v>
      </c>
      <c r="E413">
        <f t="shared" si="51"/>
        <v>0</v>
      </c>
    </row>
    <row r="414" spans="2:5" x14ac:dyDescent="0.3">
      <c r="B414" s="19">
        <f t="shared" si="52"/>
        <v>45765</v>
      </c>
      <c r="C414">
        <f t="shared" si="53"/>
        <v>4</v>
      </c>
      <c r="D414" s="169">
        <v>0</v>
      </c>
      <c r="E414">
        <f t="shared" si="51"/>
        <v>0</v>
      </c>
    </row>
    <row r="415" spans="2:5" x14ac:dyDescent="0.3">
      <c r="B415" s="19">
        <f t="shared" si="52"/>
        <v>45765</v>
      </c>
      <c r="C415">
        <f t="shared" si="53"/>
        <v>5</v>
      </c>
      <c r="D415" s="169">
        <v>0</v>
      </c>
      <c r="E415">
        <f t="shared" si="51"/>
        <v>0</v>
      </c>
    </row>
    <row r="416" spans="2:5" x14ac:dyDescent="0.3">
      <c r="B416" s="19">
        <f t="shared" si="52"/>
        <v>45765</v>
      </c>
      <c r="C416">
        <f t="shared" si="53"/>
        <v>6</v>
      </c>
      <c r="D416" s="169">
        <v>0</v>
      </c>
      <c r="E416">
        <f t="shared" si="51"/>
        <v>0</v>
      </c>
    </row>
    <row r="417" spans="2:5" x14ac:dyDescent="0.3">
      <c r="B417" s="19">
        <f t="shared" si="52"/>
        <v>45765</v>
      </c>
      <c r="C417">
        <f t="shared" si="53"/>
        <v>7</v>
      </c>
      <c r="D417" s="169">
        <v>52</v>
      </c>
      <c r="E417">
        <f t="shared" si="51"/>
        <v>5.1999999999999998E-2</v>
      </c>
    </row>
    <row r="418" spans="2:5" x14ac:dyDescent="0.3">
      <c r="B418" s="19">
        <f t="shared" si="52"/>
        <v>45765</v>
      </c>
      <c r="C418">
        <f t="shared" si="53"/>
        <v>8</v>
      </c>
      <c r="D418" s="169">
        <v>170</v>
      </c>
      <c r="E418">
        <f t="shared" si="51"/>
        <v>0.17</v>
      </c>
    </row>
    <row r="419" spans="2:5" x14ac:dyDescent="0.3">
      <c r="B419" s="19">
        <f t="shared" si="52"/>
        <v>45765</v>
      </c>
      <c r="C419">
        <f t="shared" si="53"/>
        <v>9</v>
      </c>
      <c r="D419" s="169">
        <v>163</v>
      </c>
      <c r="E419">
        <f t="shared" si="51"/>
        <v>0.16300000000000001</v>
      </c>
    </row>
    <row r="420" spans="2:5" x14ac:dyDescent="0.3">
      <c r="B420" s="19">
        <f t="shared" si="52"/>
        <v>45765</v>
      </c>
      <c r="C420">
        <f t="shared" si="53"/>
        <v>10</v>
      </c>
      <c r="D420" s="169">
        <v>134</v>
      </c>
      <c r="E420">
        <f t="shared" si="51"/>
        <v>0.13400000000000001</v>
      </c>
    </row>
    <row r="421" spans="2:5" x14ac:dyDescent="0.3">
      <c r="B421" s="19">
        <f t="shared" si="52"/>
        <v>45765</v>
      </c>
      <c r="C421">
        <f t="shared" si="53"/>
        <v>11</v>
      </c>
      <c r="D421" s="169">
        <v>103</v>
      </c>
      <c r="E421">
        <f t="shared" si="51"/>
        <v>0.10299999999999999</v>
      </c>
    </row>
    <row r="422" spans="2:5" x14ac:dyDescent="0.3">
      <c r="B422" s="19">
        <f t="shared" si="52"/>
        <v>45765</v>
      </c>
      <c r="C422">
        <f t="shared" si="53"/>
        <v>12</v>
      </c>
      <c r="D422" s="169">
        <v>145</v>
      </c>
      <c r="E422">
        <f t="shared" si="51"/>
        <v>0.14499999999999999</v>
      </c>
    </row>
    <row r="423" spans="2:5" x14ac:dyDescent="0.3">
      <c r="B423" s="19">
        <f t="shared" si="52"/>
        <v>45765</v>
      </c>
      <c r="C423">
        <f t="shared" si="53"/>
        <v>13</v>
      </c>
      <c r="D423" s="169">
        <v>160</v>
      </c>
      <c r="E423">
        <f t="shared" si="51"/>
        <v>0.16</v>
      </c>
    </row>
    <row r="424" spans="2:5" x14ac:dyDescent="0.3">
      <c r="B424" s="19">
        <f t="shared" si="52"/>
        <v>45765</v>
      </c>
      <c r="C424">
        <f t="shared" si="53"/>
        <v>14</v>
      </c>
      <c r="D424" s="169">
        <v>239</v>
      </c>
      <c r="E424">
        <f t="shared" si="51"/>
        <v>0.23899999999999999</v>
      </c>
    </row>
    <row r="425" spans="2:5" x14ac:dyDescent="0.3">
      <c r="B425" s="19">
        <f t="shared" si="52"/>
        <v>45765</v>
      </c>
      <c r="C425">
        <f t="shared" si="53"/>
        <v>15</v>
      </c>
      <c r="D425" s="169">
        <v>125</v>
      </c>
      <c r="E425">
        <f t="shared" si="51"/>
        <v>0.125</v>
      </c>
    </row>
    <row r="426" spans="2:5" x14ac:dyDescent="0.3">
      <c r="B426" s="19">
        <f t="shared" si="52"/>
        <v>45765</v>
      </c>
      <c r="C426">
        <f t="shared" si="53"/>
        <v>16</v>
      </c>
      <c r="D426" s="169">
        <v>25</v>
      </c>
      <c r="E426">
        <f t="shared" si="51"/>
        <v>2.5000000000000001E-2</v>
      </c>
    </row>
    <row r="427" spans="2:5" x14ac:dyDescent="0.3">
      <c r="B427" s="19">
        <f t="shared" si="52"/>
        <v>45765</v>
      </c>
      <c r="C427">
        <f t="shared" si="53"/>
        <v>17</v>
      </c>
      <c r="D427" s="169">
        <v>27</v>
      </c>
      <c r="E427">
        <f t="shared" si="51"/>
        <v>2.7E-2</v>
      </c>
    </row>
    <row r="428" spans="2:5" x14ac:dyDescent="0.3">
      <c r="B428" s="19">
        <f t="shared" si="52"/>
        <v>45765</v>
      </c>
      <c r="C428">
        <f t="shared" si="53"/>
        <v>18</v>
      </c>
      <c r="D428" s="169">
        <v>16</v>
      </c>
      <c r="E428">
        <f t="shared" si="51"/>
        <v>1.6E-2</v>
      </c>
    </row>
    <row r="429" spans="2:5" x14ac:dyDescent="0.3">
      <c r="B429" s="19">
        <f t="shared" si="52"/>
        <v>45765</v>
      </c>
      <c r="C429">
        <f t="shared" si="53"/>
        <v>19</v>
      </c>
      <c r="D429" s="169">
        <v>3</v>
      </c>
      <c r="E429">
        <f t="shared" si="51"/>
        <v>3.0000000000000001E-3</v>
      </c>
    </row>
    <row r="430" spans="2:5" x14ac:dyDescent="0.3">
      <c r="B430" s="19">
        <f t="shared" si="52"/>
        <v>45765</v>
      </c>
      <c r="C430">
        <f t="shared" si="53"/>
        <v>20</v>
      </c>
      <c r="D430" s="169">
        <v>0</v>
      </c>
      <c r="E430">
        <f t="shared" si="51"/>
        <v>0</v>
      </c>
    </row>
    <row r="431" spans="2:5" x14ac:dyDescent="0.3">
      <c r="B431" s="19">
        <f t="shared" si="52"/>
        <v>45765</v>
      </c>
      <c r="C431">
        <f t="shared" si="53"/>
        <v>21</v>
      </c>
      <c r="D431" s="169">
        <v>0</v>
      </c>
      <c r="E431">
        <f t="shared" si="51"/>
        <v>0</v>
      </c>
    </row>
    <row r="432" spans="2:5" x14ac:dyDescent="0.3">
      <c r="B432" s="19">
        <f t="shared" si="52"/>
        <v>45765</v>
      </c>
      <c r="C432">
        <f t="shared" si="53"/>
        <v>22</v>
      </c>
      <c r="D432" s="169">
        <v>0</v>
      </c>
      <c r="E432">
        <f t="shared" si="51"/>
        <v>0</v>
      </c>
    </row>
    <row r="433" spans="2:5" x14ac:dyDescent="0.3">
      <c r="B433" s="19">
        <f t="shared" si="52"/>
        <v>45765</v>
      </c>
      <c r="C433">
        <f t="shared" si="53"/>
        <v>23</v>
      </c>
      <c r="D433" s="169">
        <v>0</v>
      </c>
      <c r="E433">
        <f t="shared" si="51"/>
        <v>0</v>
      </c>
    </row>
    <row r="434" spans="2:5" x14ac:dyDescent="0.3">
      <c r="B434" s="19">
        <f t="shared" si="52"/>
        <v>45765</v>
      </c>
      <c r="C434">
        <f t="shared" si="53"/>
        <v>24</v>
      </c>
      <c r="D434" s="169">
        <v>0</v>
      </c>
      <c r="E434">
        <f t="shared" si="51"/>
        <v>0</v>
      </c>
    </row>
    <row r="435" spans="2:5" x14ac:dyDescent="0.3">
      <c r="B435" s="19">
        <f t="shared" si="52"/>
        <v>45766</v>
      </c>
      <c r="C435">
        <f t="shared" si="53"/>
        <v>1</v>
      </c>
      <c r="D435" s="169">
        <v>0</v>
      </c>
      <c r="E435">
        <f t="shared" si="51"/>
        <v>0</v>
      </c>
    </row>
    <row r="436" spans="2:5" x14ac:dyDescent="0.3">
      <c r="B436" s="19">
        <f t="shared" si="52"/>
        <v>45766</v>
      </c>
      <c r="C436">
        <f t="shared" si="53"/>
        <v>2</v>
      </c>
      <c r="D436" s="169">
        <v>0</v>
      </c>
      <c r="E436">
        <f t="shared" si="51"/>
        <v>0</v>
      </c>
    </row>
    <row r="437" spans="2:5" x14ac:dyDescent="0.3">
      <c r="B437" s="19">
        <f t="shared" si="52"/>
        <v>45766</v>
      </c>
      <c r="C437">
        <f t="shared" si="53"/>
        <v>3</v>
      </c>
      <c r="D437" s="169">
        <v>0</v>
      </c>
      <c r="E437">
        <f t="shared" si="51"/>
        <v>0</v>
      </c>
    </row>
    <row r="438" spans="2:5" x14ac:dyDescent="0.3">
      <c r="B438" s="19">
        <f t="shared" si="52"/>
        <v>45766</v>
      </c>
      <c r="C438">
        <f t="shared" si="53"/>
        <v>4</v>
      </c>
      <c r="D438" s="169">
        <v>0</v>
      </c>
      <c r="E438">
        <f t="shared" si="51"/>
        <v>0</v>
      </c>
    </row>
    <row r="439" spans="2:5" x14ac:dyDescent="0.3">
      <c r="B439" s="19">
        <f t="shared" si="52"/>
        <v>45766</v>
      </c>
      <c r="C439">
        <f t="shared" si="53"/>
        <v>5</v>
      </c>
      <c r="D439" s="169">
        <v>0</v>
      </c>
      <c r="E439">
        <f t="shared" si="51"/>
        <v>0</v>
      </c>
    </row>
    <row r="440" spans="2:5" x14ac:dyDescent="0.3">
      <c r="B440" s="19">
        <f t="shared" si="52"/>
        <v>45766</v>
      </c>
      <c r="C440">
        <f t="shared" si="53"/>
        <v>6</v>
      </c>
      <c r="D440" s="169">
        <v>0</v>
      </c>
      <c r="E440">
        <f t="shared" si="51"/>
        <v>0</v>
      </c>
    </row>
    <row r="441" spans="2:5" x14ac:dyDescent="0.3">
      <c r="B441" s="19">
        <f t="shared" si="52"/>
        <v>45766</v>
      </c>
      <c r="C441">
        <f t="shared" si="53"/>
        <v>7</v>
      </c>
      <c r="D441" s="169">
        <v>13</v>
      </c>
      <c r="E441">
        <f t="shared" si="51"/>
        <v>1.2999999999999999E-2</v>
      </c>
    </row>
    <row r="442" spans="2:5" x14ac:dyDescent="0.3">
      <c r="B442" s="19">
        <f t="shared" si="52"/>
        <v>45766</v>
      </c>
      <c r="C442">
        <f t="shared" si="53"/>
        <v>8</v>
      </c>
      <c r="D442" s="169">
        <v>49</v>
      </c>
      <c r="E442">
        <f t="shared" si="51"/>
        <v>4.9000000000000002E-2</v>
      </c>
    </row>
    <row r="443" spans="2:5" x14ac:dyDescent="0.3">
      <c r="B443" s="19">
        <f t="shared" si="52"/>
        <v>45766</v>
      </c>
      <c r="C443">
        <f t="shared" si="53"/>
        <v>9</v>
      </c>
      <c r="D443" s="169">
        <v>118</v>
      </c>
      <c r="E443">
        <f t="shared" si="51"/>
        <v>0.11799999999999999</v>
      </c>
    </row>
    <row r="444" spans="2:5" x14ac:dyDescent="0.3">
      <c r="B444" s="19">
        <f t="shared" si="52"/>
        <v>45766</v>
      </c>
      <c r="C444">
        <f t="shared" si="53"/>
        <v>10</v>
      </c>
      <c r="D444" s="169">
        <v>233</v>
      </c>
      <c r="E444">
        <f t="shared" si="51"/>
        <v>0.23300000000000001</v>
      </c>
    </row>
    <row r="445" spans="2:5" x14ac:dyDescent="0.3">
      <c r="B445" s="19">
        <f t="shared" si="52"/>
        <v>45766</v>
      </c>
      <c r="C445">
        <f t="shared" si="53"/>
        <v>11</v>
      </c>
      <c r="D445" s="169">
        <v>295</v>
      </c>
      <c r="E445">
        <f t="shared" si="51"/>
        <v>0.29499999999999998</v>
      </c>
    </row>
    <row r="446" spans="2:5" x14ac:dyDescent="0.3">
      <c r="B446" s="19">
        <f t="shared" si="52"/>
        <v>45766</v>
      </c>
      <c r="C446">
        <f t="shared" si="53"/>
        <v>12</v>
      </c>
      <c r="D446" s="169">
        <v>418</v>
      </c>
      <c r="E446">
        <f t="shared" si="51"/>
        <v>0.41799999999999998</v>
      </c>
    </row>
    <row r="447" spans="2:5" x14ac:dyDescent="0.3">
      <c r="B447" s="19">
        <f t="shared" si="52"/>
        <v>45766</v>
      </c>
      <c r="C447">
        <f t="shared" si="53"/>
        <v>13</v>
      </c>
      <c r="D447" s="169">
        <v>548</v>
      </c>
      <c r="E447">
        <f t="shared" si="51"/>
        <v>0.54800000000000004</v>
      </c>
    </row>
    <row r="448" spans="2:5" x14ac:dyDescent="0.3">
      <c r="B448" s="19">
        <f t="shared" si="52"/>
        <v>45766</v>
      </c>
      <c r="C448">
        <f t="shared" si="53"/>
        <v>14</v>
      </c>
      <c r="D448" s="169">
        <v>432</v>
      </c>
      <c r="E448">
        <f t="shared" si="51"/>
        <v>0.432</v>
      </c>
    </row>
    <row r="449" spans="2:5" x14ac:dyDescent="0.3">
      <c r="B449" s="19">
        <f t="shared" si="52"/>
        <v>45766</v>
      </c>
      <c r="C449">
        <f t="shared" si="53"/>
        <v>15</v>
      </c>
      <c r="D449" s="169">
        <v>335</v>
      </c>
      <c r="E449">
        <f t="shared" si="51"/>
        <v>0.33500000000000002</v>
      </c>
    </row>
    <row r="450" spans="2:5" x14ac:dyDescent="0.3">
      <c r="B450" s="19">
        <f t="shared" si="52"/>
        <v>45766</v>
      </c>
      <c r="C450">
        <f t="shared" si="53"/>
        <v>16</v>
      </c>
      <c r="D450" s="169">
        <v>182</v>
      </c>
      <c r="E450">
        <f t="shared" si="51"/>
        <v>0.182</v>
      </c>
    </row>
    <row r="451" spans="2:5" x14ac:dyDescent="0.3">
      <c r="B451" s="19">
        <f t="shared" si="52"/>
        <v>45766</v>
      </c>
      <c r="C451">
        <f t="shared" si="53"/>
        <v>17</v>
      </c>
      <c r="D451" s="169">
        <v>100</v>
      </c>
      <c r="E451">
        <f t="shared" si="51"/>
        <v>0.1</v>
      </c>
    </row>
    <row r="452" spans="2:5" x14ac:dyDescent="0.3">
      <c r="B452" s="19">
        <f t="shared" si="52"/>
        <v>45766</v>
      </c>
      <c r="C452">
        <f t="shared" si="53"/>
        <v>18</v>
      </c>
      <c r="D452" s="169">
        <v>47</v>
      </c>
      <c r="E452">
        <f t="shared" ref="E452:E515" si="54">D452/1000</f>
        <v>4.7E-2</v>
      </c>
    </row>
    <row r="453" spans="2:5" x14ac:dyDescent="0.3">
      <c r="B453" s="19">
        <f t="shared" ref="B453:B516" si="55">IF(C452=24,B452+1,B452)</f>
        <v>45766</v>
      </c>
      <c r="C453">
        <f t="shared" ref="C453:C516" si="56">IF(C452=24,1,C452+1)</f>
        <v>19</v>
      </c>
      <c r="D453" s="169">
        <v>12</v>
      </c>
      <c r="E453">
        <f t="shared" si="54"/>
        <v>1.2E-2</v>
      </c>
    </row>
    <row r="454" spans="2:5" x14ac:dyDescent="0.3">
      <c r="B454" s="19">
        <f t="shared" si="55"/>
        <v>45766</v>
      </c>
      <c r="C454">
        <f t="shared" si="56"/>
        <v>20</v>
      </c>
      <c r="D454" s="169">
        <v>0</v>
      </c>
      <c r="E454">
        <f t="shared" si="54"/>
        <v>0</v>
      </c>
    </row>
    <row r="455" spans="2:5" x14ac:dyDescent="0.3">
      <c r="B455" s="19">
        <f t="shared" si="55"/>
        <v>45766</v>
      </c>
      <c r="C455">
        <f t="shared" si="56"/>
        <v>21</v>
      </c>
      <c r="D455" s="169">
        <v>0</v>
      </c>
      <c r="E455">
        <f t="shared" si="54"/>
        <v>0</v>
      </c>
    </row>
    <row r="456" spans="2:5" x14ac:dyDescent="0.3">
      <c r="B456" s="19">
        <f t="shared" si="55"/>
        <v>45766</v>
      </c>
      <c r="C456">
        <f t="shared" si="56"/>
        <v>22</v>
      </c>
      <c r="D456" s="169">
        <v>0</v>
      </c>
      <c r="E456">
        <f t="shared" si="54"/>
        <v>0</v>
      </c>
    </row>
    <row r="457" spans="2:5" x14ac:dyDescent="0.3">
      <c r="B457" s="19">
        <f t="shared" si="55"/>
        <v>45766</v>
      </c>
      <c r="C457">
        <f t="shared" si="56"/>
        <v>23</v>
      </c>
      <c r="D457" s="169">
        <v>0</v>
      </c>
      <c r="E457">
        <f t="shared" si="54"/>
        <v>0</v>
      </c>
    </row>
    <row r="458" spans="2:5" x14ac:dyDescent="0.3">
      <c r="B458" s="19">
        <f t="shared" si="55"/>
        <v>45766</v>
      </c>
      <c r="C458">
        <f t="shared" si="56"/>
        <v>24</v>
      </c>
      <c r="D458" s="169">
        <v>0</v>
      </c>
      <c r="E458">
        <f t="shared" si="54"/>
        <v>0</v>
      </c>
    </row>
    <row r="459" spans="2:5" x14ac:dyDescent="0.3">
      <c r="B459" s="19">
        <f t="shared" si="55"/>
        <v>45767</v>
      </c>
      <c r="C459">
        <f t="shared" si="56"/>
        <v>1</v>
      </c>
      <c r="D459" s="169">
        <v>0</v>
      </c>
      <c r="E459">
        <f t="shared" si="54"/>
        <v>0</v>
      </c>
    </row>
    <row r="460" spans="2:5" x14ac:dyDescent="0.3">
      <c r="B460" s="19">
        <f t="shared" si="55"/>
        <v>45767</v>
      </c>
      <c r="C460">
        <f t="shared" si="56"/>
        <v>2</v>
      </c>
      <c r="D460" s="169">
        <v>0</v>
      </c>
      <c r="E460">
        <f t="shared" si="54"/>
        <v>0</v>
      </c>
    </row>
    <row r="461" spans="2:5" x14ac:dyDescent="0.3">
      <c r="B461" s="19">
        <f t="shared" si="55"/>
        <v>45767</v>
      </c>
      <c r="C461">
        <f t="shared" si="56"/>
        <v>3</v>
      </c>
      <c r="D461" s="169">
        <v>0</v>
      </c>
      <c r="E461">
        <f t="shared" si="54"/>
        <v>0</v>
      </c>
    </row>
    <row r="462" spans="2:5" x14ac:dyDescent="0.3">
      <c r="B462" s="19">
        <f t="shared" si="55"/>
        <v>45767</v>
      </c>
      <c r="C462">
        <f t="shared" si="56"/>
        <v>4</v>
      </c>
      <c r="D462" s="169">
        <v>0</v>
      </c>
      <c r="E462">
        <f t="shared" si="54"/>
        <v>0</v>
      </c>
    </row>
    <row r="463" spans="2:5" x14ac:dyDescent="0.3">
      <c r="B463" s="19">
        <f t="shared" si="55"/>
        <v>45767</v>
      </c>
      <c r="C463">
        <f t="shared" si="56"/>
        <v>5</v>
      </c>
      <c r="D463" s="169">
        <v>0</v>
      </c>
      <c r="E463">
        <f t="shared" si="54"/>
        <v>0</v>
      </c>
    </row>
    <row r="464" spans="2:5" x14ac:dyDescent="0.3">
      <c r="B464" s="19">
        <f t="shared" si="55"/>
        <v>45767</v>
      </c>
      <c r="C464">
        <f t="shared" si="56"/>
        <v>6</v>
      </c>
      <c r="D464" s="169">
        <v>1</v>
      </c>
      <c r="E464">
        <f t="shared" si="54"/>
        <v>1E-3</v>
      </c>
    </row>
    <row r="465" spans="2:5" x14ac:dyDescent="0.3">
      <c r="B465" s="19">
        <f t="shared" si="55"/>
        <v>45767</v>
      </c>
      <c r="C465">
        <f t="shared" si="56"/>
        <v>7</v>
      </c>
      <c r="D465" s="169">
        <v>64</v>
      </c>
      <c r="E465">
        <f t="shared" si="54"/>
        <v>6.4000000000000001E-2</v>
      </c>
    </row>
    <row r="466" spans="2:5" x14ac:dyDescent="0.3">
      <c r="B466" s="19">
        <f t="shared" si="55"/>
        <v>45767</v>
      </c>
      <c r="C466">
        <f t="shared" si="56"/>
        <v>8</v>
      </c>
      <c r="D466" s="169">
        <v>219</v>
      </c>
      <c r="E466">
        <f t="shared" si="54"/>
        <v>0.219</v>
      </c>
    </row>
    <row r="467" spans="2:5" x14ac:dyDescent="0.3">
      <c r="B467" s="19">
        <f t="shared" si="55"/>
        <v>45767</v>
      </c>
      <c r="C467">
        <f t="shared" si="56"/>
        <v>9</v>
      </c>
      <c r="D467" s="169">
        <v>349</v>
      </c>
      <c r="E467">
        <f t="shared" si="54"/>
        <v>0.34899999999999998</v>
      </c>
    </row>
    <row r="468" spans="2:5" x14ac:dyDescent="0.3">
      <c r="B468" s="19">
        <f t="shared" si="55"/>
        <v>45767</v>
      </c>
      <c r="C468">
        <f t="shared" si="56"/>
        <v>10</v>
      </c>
      <c r="D468" s="169">
        <v>441</v>
      </c>
      <c r="E468">
        <f t="shared" si="54"/>
        <v>0.441</v>
      </c>
    </row>
    <row r="469" spans="2:5" x14ac:dyDescent="0.3">
      <c r="B469" s="19">
        <f t="shared" si="55"/>
        <v>45767</v>
      </c>
      <c r="C469">
        <f t="shared" si="56"/>
        <v>11</v>
      </c>
      <c r="D469" s="169">
        <v>495</v>
      </c>
      <c r="E469">
        <f t="shared" si="54"/>
        <v>0.495</v>
      </c>
    </row>
    <row r="470" spans="2:5" x14ac:dyDescent="0.3">
      <c r="B470" s="19">
        <f t="shared" si="55"/>
        <v>45767</v>
      </c>
      <c r="C470">
        <f t="shared" si="56"/>
        <v>12</v>
      </c>
      <c r="D470" s="169">
        <v>520</v>
      </c>
      <c r="E470">
        <f t="shared" si="54"/>
        <v>0.52</v>
      </c>
    </row>
    <row r="471" spans="2:5" x14ac:dyDescent="0.3">
      <c r="B471" s="19">
        <f t="shared" si="55"/>
        <v>45767</v>
      </c>
      <c r="C471">
        <f t="shared" si="56"/>
        <v>13</v>
      </c>
      <c r="D471" s="169">
        <v>526</v>
      </c>
      <c r="E471">
        <f t="shared" si="54"/>
        <v>0.52600000000000002</v>
      </c>
    </row>
    <row r="472" spans="2:5" x14ac:dyDescent="0.3">
      <c r="B472" s="19">
        <f t="shared" si="55"/>
        <v>45767</v>
      </c>
      <c r="C472">
        <f t="shared" si="56"/>
        <v>14</v>
      </c>
      <c r="D472" s="169">
        <v>510</v>
      </c>
      <c r="E472">
        <f t="shared" si="54"/>
        <v>0.51</v>
      </c>
    </row>
    <row r="473" spans="2:5" x14ac:dyDescent="0.3">
      <c r="B473" s="19">
        <f t="shared" si="55"/>
        <v>45767</v>
      </c>
      <c r="C473">
        <f t="shared" si="56"/>
        <v>15</v>
      </c>
      <c r="D473" s="169">
        <v>468</v>
      </c>
      <c r="E473">
        <f t="shared" si="54"/>
        <v>0.46800000000000003</v>
      </c>
    </row>
    <row r="474" spans="2:5" x14ac:dyDescent="0.3">
      <c r="B474" s="19">
        <f t="shared" si="55"/>
        <v>45767</v>
      </c>
      <c r="C474">
        <f t="shared" si="56"/>
        <v>16</v>
      </c>
      <c r="D474" s="169">
        <v>377</v>
      </c>
      <c r="E474">
        <f t="shared" si="54"/>
        <v>0.377</v>
      </c>
    </row>
    <row r="475" spans="2:5" x14ac:dyDescent="0.3">
      <c r="B475" s="19">
        <f t="shared" si="55"/>
        <v>45767</v>
      </c>
      <c r="C475">
        <f t="shared" si="56"/>
        <v>17</v>
      </c>
      <c r="D475" s="169">
        <v>265</v>
      </c>
      <c r="E475">
        <f t="shared" si="54"/>
        <v>0.26500000000000001</v>
      </c>
    </row>
    <row r="476" spans="2:5" x14ac:dyDescent="0.3">
      <c r="B476" s="19">
        <f t="shared" si="55"/>
        <v>45767</v>
      </c>
      <c r="C476">
        <f t="shared" si="56"/>
        <v>18</v>
      </c>
      <c r="D476" s="169">
        <v>105</v>
      </c>
      <c r="E476">
        <f t="shared" si="54"/>
        <v>0.105</v>
      </c>
    </row>
    <row r="477" spans="2:5" x14ac:dyDescent="0.3">
      <c r="B477" s="19">
        <f t="shared" si="55"/>
        <v>45767</v>
      </c>
      <c r="C477">
        <f t="shared" si="56"/>
        <v>19</v>
      </c>
      <c r="D477" s="169">
        <v>9</v>
      </c>
      <c r="E477">
        <f t="shared" si="54"/>
        <v>8.9999999999999993E-3</v>
      </c>
    </row>
    <row r="478" spans="2:5" x14ac:dyDescent="0.3">
      <c r="B478" s="19">
        <f t="shared" si="55"/>
        <v>45767</v>
      </c>
      <c r="C478">
        <f t="shared" si="56"/>
        <v>20</v>
      </c>
      <c r="D478" s="169">
        <v>0</v>
      </c>
      <c r="E478">
        <f t="shared" si="54"/>
        <v>0</v>
      </c>
    </row>
    <row r="479" spans="2:5" x14ac:dyDescent="0.3">
      <c r="B479" s="19">
        <f t="shared" si="55"/>
        <v>45767</v>
      </c>
      <c r="C479">
        <f t="shared" si="56"/>
        <v>21</v>
      </c>
      <c r="D479" s="169">
        <v>0</v>
      </c>
      <c r="E479">
        <f t="shared" si="54"/>
        <v>0</v>
      </c>
    </row>
    <row r="480" spans="2:5" x14ac:dyDescent="0.3">
      <c r="B480" s="19">
        <f t="shared" si="55"/>
        <v>45767</v>
      </c>
      <c r="C480">
        <f t="shared" si="56"/>
        <v>22</v>
      </c>
      <c r="D480" s="169">
        <v>0</v>
      </c>
      <c r="E480">
        <f t="shared" si="54"/>
        <v>0</v>
      </c>
    </row>
    <row r="481" spans="2:5" x14ac:dyDescent="0.3">
      <c r="B481" s="19">
        <f t="shared" si="55"/>
        <v>45767</v>
      </c>
      <c r="C481">
        <f t="shared" si="56"/>
        <v>23</v>
      </c>
      <c r="D481" s="169">
        <v>0</v>
      </c>
      <c r="E481">
        <f t="shared" si="54"/>
        <v>0</v>
      </c>
    </row>
    <row r="482" spans="2:5" x14ac:dyDescent="0.3">
      <c r="B482" s="19">
        <f t="shared" si="55"/>
        <v>45767</v>
      </c>
      <c r="C482">
        <f t="shared" si="56"/>
        <v>24</v>
      </c>
      <c r="D482" s="169">
        <v>0</v>
      </c>
      <c r="E482">
        <f t="shared" si="54"/>
        <v>0</v>
      </c>
    </row>
    <row r="483" spans="2:5" x14ac:dyDescent="0.3">
      <c r="B483" s="19">
        <f t="shared" si="55"/>
        <v>45768</v>
      </c>
      <c r="C483">
        <f t="shared" si="56"/>
        <v>1</v>
      </c>
      <c r="D483" s="169">
        <v>0</v>
      </c>
      <c r="E483">
        <f t="shared" si="54"/>
        <v>0</v>
      </c>
    </row>
    <row r="484" spans="2:5" x14ac:dyDescent="0.3">
      <c r="B484" s="19">
        <f t="shared" si="55"/>
        <v>45768</v>
      </c>
      <c r="C484">
        <f t="shared" si="56"/>
        <v>2</v>
      </c>
      <c r="D484" s="169">
        <v>0</v>
      </c>
      <c r="E484">
        <f t="shared" si="54"/>
        <v>0</v>
      </c>
    </row>
    <row r="485" spans="2:5" x14ac:dyDescent="0.3">
      <c r="B485" s="19">
        <f t="shared" si="55"/>
        <v>45768</v>
      </c>
      <c r="C485">
        <f t="shared" si="56"/>
        <v>3</v>
      </c>
      <c r="D485" s="169">
        <v>0</v>
      </c>
      <c r="E485">
        <f t="shared" si="54"/>
        <v>0</v>
      </c>
    </row>
    <row r="486" spans="2:5" x14ac:dyDescent="0.3">
      <c r="B486" s="19">
        <f t="shared" si="55"/>
        <v>45768</v>
      </c>
      <c r="C486">
        <f t="shared" si="56"/>
        <v>4</v>
      </c>
      <c r="D486" s="169">
        <v>0</v>
      </c>
      <c r="E486">
        <f t="shared" si="54"/>
        <v>0</v>
      </c>
    </row>
    <row r="487" spans="2:5" x14ac:dyDescent="0.3">
      <c r="B487" s="19">
        <f t="shared" si="55"/>
        <v>45768</v>
      </c>
      <c r="C487">
        <f t="shared" si="56"/>
        <v>5</v>
      </c>
      <c r="D487" s="169">
        <v>0</v>
      </c>
      <c r="E487">
        <f t="shared" si="54"/>
        <v>0</v>
      </c>
    </row>
    <row r="488" spans="2:5" x14ac:dyDescent="0.3">
      <c r="B488" s="19">
        <f t="shared" si="55"/>
        <v>45768</v>
      </c>
      <c r="C488">
        <f t="shared" si="56"/>
        <v>6</v>
      </c>
      <c r="D488" s="169">
        <v>2</v>
      </c>
      <c r="E488">
        <f t="shared" si="54"/>
        <v>2E-3</v>
      </c>
    </row>
    <row r="489" spans="2:5" x14ac:dyDescent="0.3">
      <c r="B489" s="19">
        <f t="shared" si="55"/>
        <v>45768</v>
      </c>
      <c r="C489">
        <f t="shared" si="56"/>
        <v>7</v>
      </c>
      <c r="D489" s="169">
        <v>56</v>
      </c>
      <c r="E489">
        <f t="shared" si="54"/>
        <v>5.6000000000000001E-2</v>
      </c>
    </row>
    <row r="490" spans="2:5" x14ac:dyDescent="0.3">
      <c r="B490" s="19">
        <f t="shared" si="55"/>
        <v>45768</v>
      </c>
      <c r="C490">
        <f t="shared" si="56"/>
        <v>8</v>
      </c>
      <c r="D490" s="169">
        <v>216</v>
      </c>
      <c r="E490">
        <f t="shared" si="54"/>
        <v>0.216</v>
      </c>
    </row>
    <row r="491" spans="2:5" x14ac:dyDescent="0.3">
      <c r="B491" s="19">
        <f t="shared" si="55"/>
        <v>45768</v>
      </c>
      <c r="C491">
        <f t="shared" si="56"/>
        <v>9</v>
      </c>
      <c r="D491" s="169">
        <v>336</v>
      </c>
      <c r="E491">
        <f t="shared" si="54"/>
        <v>0.33600000000000002</v>
      </c>
    </row>
    <row r="492" spans="2:5" x14ac:dyDescent="0.3">
      <c r="B492" s="19">
        <f t="shared" si="55"/>
        <v>45768</v>
      </c>
      <c r="C492">
        <f t="shared" si="56"/>
        <v>10</v>
      </c>
      <c r="D492" s="169">
        <v>408</v>
      </c>
      <c r="E492">
        <f t="shared" si="54"/>
        <v>0.40799999999999997</v>
      </c>
    </row>
    <row r="493" spans="2:5" x14ac:dyDescent="0.3">
      <c r="B493" s="19">
        <f t="shared" si="55"/>
        <v>45768</v>
      </c>
      <c r="C493">
        <f t="shared" si="56"/>
        <v>11</v>
      </c>
      <c r="D493" s="169">
        <v>475</v>
      </c>
      <c r="E493">
        <f t="shared" si="54"/>
        <v>0.47499999999999998</v>
      </c>
    </row>
    <row r="494" spans="2:5" x14ac:dyDescent="0.3">
      <c r="B494" s="19">
        <f t="shared" si="55"/>
        <v>45768</v>
      </c>
      <c r="C494">
        <f t="shared" si="56"/>
        <v>12</v>
      </c>
      <c r="D494" s="169">
        <v>520</v>
      </c>
      <c r="E494">
        <f t="shared" si="54"/>
        <v>0.52</v>
      </c>
    </row>
    <row r="495" spans="2:5" x14ac:dyDescent="0.3">
      <c r="B495" s="19">
        <f t="shared" si="55"/>
        <v>45768</v>
      </c>
      <c r="C495">
        <f t="shared" si="56"/>
        <v>13</v>
      </c>
      <c r="D495" s="169">
        <v>497</v>
      </c>
      <c r="E495">
        <f t="shared" si="54"/>
        <v>0.497</v>
      </c>
    </row>
    <row r="496" spans="2:5" x14ac:dyDescent="0.3">
      <c r="B496" s="19">
        <f t="shared" si="55"/>
        <v>45768</v>
      </c>
      <c r="C496">
        <f t="shared" si="56"/>
        <v>14</v>
      </c>
      <c r="D496" s="169">
        <v>492</v>
      </c>
      <c r="E496">
        <f t="shared" si="54"/>
        <v>0.49199999999999999</v>
      </c>
    </row>
    <row r="497" spans="2:5" x14ac:dyDescent="0.3">
      <c r="B497" s="19">
        <f t="shared" si="55"/>
        <v>45768</v>
      </c>
      <c r="C497">
        <f t="shared" si="56"/>
        <v>15</v>
      </c>
      <c r="D497" s="169">
        <v>445</v>
      </c>
      <c r="E497">
        <f t="shared" si="54"/>
        <v>0.44500000000000001</v>
      </c>
    </row>
    <row r="498" spans="2:5" x14ac:dyDescent="0.3">
      <c r="B498" s="19">
        <f t="shared" si="55"/>
        <v>45768</v>
      </c>
      <c r="C498">
        <f t="shared" si="56"/>
        <v>16</v>
      </c>
      <c r="D498" s="169">
        <v>377</v>
      </c>
      <c r="E498">
        <f t="shared" si="54"/>
        <v>0.377</v>
      </c>
    </row>
    <row r="499" spans="2:5" x14ac:dyDescent="0.3">
      <c r="B499" s="19">
        <f t="shared" si="55"/>
        <v>45768</v>
      </c>
      <c r="C499">
        <f t="shared" si="56"/>
        <v>17</v>
      </c>
      <c r="D499" s="169">
        <v>241</v>
      </c>
      <c r="E499">
        <f t="shared" si="54"/>
        <v>0.24099999999999999</v>
      </c>
    </row>
    <row r="500" spans="2:5" x14ac:dyDescent="0.3">
      <c r="B500" s="19">
        <f t="shared" si="55"/>
        <v>45768</v>
      </c>
      <c r="C500">
        <f t="shared" si="56"/>
        <v>18</v>
      </c>
      <c r="D500" s="169">
        <v>99</v>
      </c>
      <c r="E500">
        <f t="shared" si="54"/>
        <v>9.9000000000000005E-2</v>
      </c>
    </row>
    <row r="501" spans="2:5" x14ac:dyDescent="0.3">
      <c r="B501" s="19">
        <f t="shared" si="55"/>
        <v>45768</v>
      </c>
      <c r="C501">
        <f t="shared" si="56"/>
        <v>19</v>
      </c>
      <c r="D501" s="169">
        <v>15</v>
      </c>
      <c r="E501">
        <f t="shared" si="54"/>
        <v>1.4999999999999999E-2</v>
      </c>
    </row>
    <row r="502" spans="2:5" x14ac:dyDescent="0.3">
      <c r="B502" s="19">
        <f t="shared" si="55"/>
        <v>45768</v>
      </c>
      <c r="C502">
        <f t="shared" si="56"/>
        <v>20</v>
      </c>
      <c r="D502" s="169">
        <v>0</v>
      </c>
      <c r="E502">
        <f t="shared" si="54"/>
        <v>0</v>
      </c>
    </row>
    <row r="503" spans="2:5" x14ac:dyDescent="0.3">
      <c r="B503" s="19">
        <f t="shared" si="55"/>
        <v>45768</v>
      </c>
      <c r="C503">
        <f t="shared" si="56"/>
        <v>21</v>
      </c>
      <c r="D503" s="169">
        <v>0</v>
      </c>
      <c r="E503">
        <f t="shared" si="54"/>
        <v>0</v>
      </c>
    </row>
    <row r="504" spans="2:5" x14ac:dyDescent="0.3">
      <c r="B504" s="19">
        <f t="shared" si="55"/>
        <v>45768</v>
      </c>
      <c r="C504">
        <f t="shared" si="56"/>
        <v>22</v>
      </c>
      <c r="D504" s="169">
        <v>0</v>
      </c>
      <c r="E504">
        <f t="shared" si="54"/>
        <v>0</v>
      </c>
    </row>
    <row r="505" spans="2:5" x14ac:dyDescent="0.3">
      <c r="B505" s="19">
        <f t="shared" si="55"/>
        <v>45768</v>
      </c>
      <c r="C505">
        <f t="shared" si="56"/>
        <v>23</v>
      </c>
      <c r="D505" s="169">
        <v>0</v>
      </c>
      <c r="E505">
        <f t="shared" si="54"/>
        <v>0</v>
      </c>
    </row>
    <row r="506" spans="2:5" x14ac:dyDescent="0.3">
      <c r="B506" s="19">
        <f t="shared" si="55"/>
        <v>45768</v>
      </c>
      <c r="C506">
        <f t="shared" si="56"/>
        <v>24</v>
      </c>
      <c r="D506" s="169">
        <v>0</v>
      </c>
      <c r="E506">
        <f t="shared" si="54"/>
        <v>0</v>
      </c>
    </row>
    <row r="507" spans="2:5" x14ac:dyDescent="0.3">
      <c r="B507" s="19">
        <f t="shared" si="55"/>
        <v>45769</v>
      </c>
      <c r="C507">
        <f t="shared" si="56"/>
        <v>1</v>
      </c>
      <c r="D507" s="169">
        <v>0</v>
      </c>
      <c r="E507">
        <f t="shared" si="54"/>
        <v>0</v>
      </c>
    </row>
    <row r="508" spans="2:5" x14ac:dyDescent="0.3">
      <c r="B508" s="19">
        <f t="shared" si="55"/>
        <v>45769</v>
      </c>
      <c r="C508">
        <f t="shared" si="56"/>
        <v>2</v>
      </c>
      <c r="D508" s="169">
        <v>0</v>
      </c>
      <c r="E508">
        <f t="shared" si="54"/>
        <v>0</v>
      </c>
    </row>
    <row r="509" spans="2:5" x14ac:dyDescent="0.3">
      <c r="B509" s="19">
        <f t="shared" si="55"/>
        <v>45769</v>
      </c>
      <c r="C509">
        <f t="shared" si="56"/>
        <v>3</v>
      </c>
      <c r="D509" s="169">
        <v>0</v>
      </c>
      <c r="E509">
        <f t="shared" si="54"/>
        <v>0</v>
      </c>
    </row>
    <row r="510" spans="2:5" x14ac:dyDescent="0.3">
      <c r="B510" s="19">
        <f t="shared" si="55"/>
        <v>45769</v>
      </c>
      <c r="C510">
        <f t="shared" si="56"/>
        <v>4</v>
      </c>
      <c r="D510" s="169">
        <v>0</v>
      </c>
      <c r="E510">
        <f t="shared" si="54"/>
        <v>0</v>
      </c>
    </row>
    <row r="511" spans="2:5" x14ac:dyDescent="0.3">
      <c r="B511" s="19">
        <f t="shared" si="55"/>
        <v>45769</v>
      </c>
      <c r="C511">
        <f t="shared" si="56"/>
        <v>5</v>
      </c>
      <c r="D511" s="169">
        <v>0</v>
      </c>
      <c r="E511">
        <f t="shared" si="54"/>
        <v>0</v>
      </c>
    </row>
    <row r="512" spans="2:5" x14ac:dyDescent="0.3">
      <c r="B512" s="19">
        <f t="shared" si="55"/>
        <v>45769</v>
      </c>
      <c r="C512">
        <f t="shared" si="56"/>
        <v>6</v>
      </c>
      <c r="D512" s="169">
        <v>1</v>
      </c>
      <c r="E512">
        <f t="shared" si="54"/>
        <v>1E-3</v>
      </c>
    </row>
    <row r="513" spans="2:5" x14ac:dyDescent="0.3">
      <c r="B513" s="19">
        <f t="shared" si="55"/>
        <v>45769</v>
      </c>
      <c r="C513">
        <f t="shared" si="56"/>
        <v>7</v>
      </c>
      <c r="D513" s="169">
        <v>56</v>
      </c>
      <c r="E513">
        <f t="shared" si="54"/>
        <v>5.6000000000000001E-2</v>
      </c>
    </row>
    <row r="514" spans="2:5" x14ac:dyDescent="0.3">
      <c r="B514" s="19">
        <f t="shared" si="55"/>
        <v>45769</v>
      </c>
      <c r="C514">
        <f t="shared" si="56"/>
        <v>8</v>
      </c>
      <c r="D514" s="169">
        <v>217</v>
      </c>
      <c r="E514">
        <f t="shared" si="54"/>
        <v>0.217</v>
      </c>
    </row>
    <row r="515" spans="2:5" x14ac:dyDescent="0.3">
      <c r="B515" s="19">
        <f t="shared" si="55"/>
        <v>45769</v>
      </c>
      <c r="C515">
        <f t="shared" si="56"/>
        <v>9</v>
      </c>
      <c r="D515" s="169">
        <v>342</v>
      </c>
      <c r="E515">
        <f t="shared" si="54"/>
        <v>0.34200000000000003</v>
      </c>
    </row>
    <row r="516" spans="2:5" x14ac:dyDescent="0.3">
      <c r="B516" s="19">
        <f t="shared" si="55"/>
        <v>45769</v>
      </c>
      <c r="C516">
        <f t="shared" si="56"/>
        <v>10</v>
      </c>
      <c r="D516" s="169">
        <v>430</v>
      </c>
      <c r="E516">
        <f t="shared" ref="E516:E579" si="57">D516/1000</f>
        <v>0.43</v>
      </c>
    </row>
    <row r="517" spans="2:5" x14ac:dyDescent="0.3">
      <c r="B517" s="19">
        <f t="shared" ref="B517:B580" si="58">IF(C516=24,B516+1,B516)</f>
        <v>45769</v>
      </c>
      <c r="C517">
        <f t="shared" ref="C517:C580" si="59">IF(C516=24,1,C516+1)</f>
        <v>11</v>
      </c>
      <c r="D517" s="169">
        <v>510</v>
      </c>
      <c r="E517">
        <f t="shared" si="57"/>
        <v>0.51</v>
      </c>
    </row>
    <row r="518" spans="2:5" x14ac:dyDescent="0.3">
      <c r="B518" s="19">
        <f t="shared" si="58"/>
        <v>45769</v>
      </c>
      <c r="C518">
        <f t="shared" si="59"/>
        <v>12</v>
      </c>
      <c r="D518" s="169">
        <v>552</v>
      </c>
      <c r="E518">
        <f t="shared" si="57"/>
        <v>0.55200000000000005</v>
      </c>
    </row>
    <row r="519" spans="2:5" x14ac:dyDescent="0.3">
      <c r="B519" s="19">
        <f t="shared" si="58"/>
        <v>45769</v>
      </c>
      <c r="C519">
        <f t="shared" si="59"/>
        <v>13</v>
      </c>
      <c r="D519" s="169">
        <v>571</v>
      </c>
      <c r="E519">
        <f t="shared" si="57"/>
        <v>0.57099999999999995</v>
      </c>
    </row>
    <row r="520" spans="2:5" x14ac:dyDescent="0.3">
      <c r="B520" s="19">
        <f t="shared" si="58"/>
        <v>45769</v>
      </c>
      <c r="C520">
        <f t="shared" si="59"/>
        <v>14</v>
      </c>
      <c r="D520" s="169">
        <v>561</v>
      </c>
      <c r="E520">
        <f t="shared" si="57"/>
        <v>0.56100000000000005</v>
      </c>
    </row>
    <row r="521" spans="2:5" x14ac:dyDescent="0.3">
      <c r="B521" s="19">
        <f t="shared" si="58"/>
        <v>45769</v>
      </c>
      <c r="C521">
        <f t="shared" si="59"/>
        <v>15</v>
      </c>
      <c r="D521" s="169">
        <v>515</v>
      </c>
      <c r="E521">
        <f t="shared" si="57"/>
        <v>0.51500000000000001</v>
      </c>
    </row>
    <row r="522" spans="2:5" x14ac:dyDescent="0.3">
      <c r="B522" s="19">
        <f t="shared" si="58"/>
        <v>45769</v>
      </c>
      <c r="C522">
        <f t="shared" si="59"/>
        <v>16</v>
      </c>
      <c r="D522" s="169">
        <v>420</v>
      </c>
      <c r="E522">
        <f t="shared" si="57"/>
        <v>0.42</v>
      </c>
    </row>
    <row r="523" spans="2:5" x14ac:dyDescent="0.3">
      <c r="B523" s="19">
        <f t="shared" si="58"/>
        <v>45769</v>
      </c>
      <c r="C523">
        <f t="shared" si="59"/>
        <v>17</v>
      </c>
      <c r="D523" s="169">
        <v>286</v>
      </c>
      <c r="E523">
        <f t="shared" si="57"/>
        <v>0.28599999999999998</v>
      </c>
    </row>
    <row r="524" spans="2:5" x14ac:dyDescent="0.3">
      <c r="B524" s="19">
        <f t="shared" si="58"/>
        <v>45769</v>
      </c>
      <c r="C524">
        <f t="shared" si="59"/>
        <v>18</v>
      </c>
      <c r="D524" s="169">
        <v>112</v>
      </c>
      <c r="E524">
        <f t="shared" si="57"/>
        <v>0.112</v>
      </c>
    </row>
    <row r="525" spans="2:5" x14ac:dyDescent="0.3">
      <c r="B525" s="19">
        <f t="shared" si="58"/>
        <v>45769</v>
      </c>
      <c r="C525">
        <f t="shared" si="59"/>
        <v>19</v>
      </c>
      <c r="D525" s="169">
        <v>9</v>
      </c>
      <c r="E525">
        <f t="shared" si="57"/>
        <v>8.9999999999999993E-3</v>
      </c>
    </row>
    <row r="526" spans="2:5" x14ac:dyDescent="0.3">
      <c r="B526" s="19">
        <f t="shared" si="58"/>
        <v>45769</v>
      </c>
      <c r="C526">
        <f t="shared" si="59"/>
        <v>20</v>
      </c>
      <c r="D526" s="169">
        <v>0</v>
      </c>
      <c r="E526">
        <f t="shared" si="57"/>
        <v>0</v>
      </c>
    </row>
    <row r="527" spans="2:5" x14ac:dyDescent="0.3">
      <c r="B527" s="19">
        <f t="shared" si="58"/>
        <v>45769</v>
      </c>
      <c r="C527">
        <f t="shared" si="59"/>
        <v>21</v>
      </c>
      <c r="D527" s="169">
        <v>0</v>
      </c>
      <c r="E527">
        <f t="shared" si="57"/>
        <v>0</v>
      </c>
    </row>
    <row r="528" spans="2:5" x14ac:dyDescent="0.3">
      <c r="B528" s="19">
        <f t="shared" si="58"/>
        <v>45769</v>
      </c>
      <c r="C528">
        <f t="shared" si="59"/>
        <v>22</v>
      </c>
      <c r="D528" s="169">
        <v>0</v>
      </c>
      <c r="E528">
        <f t="shared" si="57"/>
        <v>0</v>
      </c>
    </row>
    <row r="529" spans="2:5" x14ac:dyDescent="0.3">
      <c r="B529" s="19">
        <f t="shared" si="58"/>
        <v>45769</v>
      </c>
      <c r="C529">
        <f t="shared" si="59"/>
        <v>23</v>
      </c>
      <c r="D529" s="169">
        <v>0</v>
      </c>
      <c r="E529">
        <f t="shared" si="57"/>
        <v>0</v>
      </c>
    </row>
    <row r="530" spans="2:5" x14ac:dyDescent="0.3">
      <c r="B530" s="19">
        <f t="shared" si="58"/>
        <v>45769</v>
      </c>
      <c r="C530">
        <f t="shared" si="59"/>
        <v>24</v>
      </c>
      <c r="D530" s="169">
        <v>0</v>
      </c>
      <c r="E530">
        <f t="shared" si="57"/>
        <v>0</v>
      </c>
    </row>
    <row r="531" spans="2:5" x14ac:dyDescent="0.3">
      <c r="B531" s="19">
        <f t="shared" si="58"/>
        <v>45770</v>
      </c>
      <c r="C531">
        <f t="shared" si="59"/>
        <v>1</v>
      </c>
      <c r="D531" s="169">
        <v>0</v>
      </c>
      <c r="E531">
        <f t="shared" si="57"/>
        <v>0</v>
      </c>
    </row>
    <row r="532" spans="2:5" x14ac:dyDescent="0.3">
      <c r="B532" s="19">
        <f t="shared" si="58"/>
        <v>45770</v>
      </c>
      <c r="C532">
        <f t="shared" si="59"/>
        <v>2</v>
      </c>
      <c r="D532" s="169">
        <v>0</v>
      </c>
      <c r="E532">
        <f t="shared" si="57"/>
        <v>0</v>
      </c>
    </row>
    <row r="533" spans="2:5" x14ac:dyDescent="0.3">
      <c r="B533" s="19">
        <f t="shared" si="58"/>
        <v>45770</v>
      </c>
      <c r="C533">
        <f t="shared" si="59"/>
        <v>3</v>
      </c>
      <c r="D533" s="169">
        <v>0</v>
      </c>
      <c r="E533">
        <f t="shared" si="57"/>
        <v>0</v>
      </c>
    </row>
    <row r="534" spans="2:5" x14ac:dyDescent="0.3">
      <c r="B534" s="19">
        <f t="shared" si="58"/>
        <v>45770</v>
      </c>
      <c r="C534">
        <f t="shared" si="59"/>
        <v>4</v>
      </c>
      <c r="D534" s="169">
        <v>0</v>
      </c>
      <c r="E534">
        <f t="shared" si="57"/>
        <v>0</v>
      </c>
    </row>
    <row r="535" spans="2:5" x14ac:dyDescent="0.3">
      <c r="B535" s="19">
        <f t="shared" si="58"/>
        <v>45770</v>
      </c>
      <c r="C535">
        <f t="shared" si="59"/>
        <v>5</v>
      </c>
      <c r="D535" s="169">
        <v>0</v>
      </c>
      <c r="E535">
        <f t="shared" si="57"/>
        <v>0</v>
      </c>
    </row>
    <row r="536" spans="2:5" x14ac:dyDescent="0.3">
      <c r="B536" s="19">
        <f t="shared" si="58"/>
        <v>45770</v>
      </c>
      <c r="C536">
        <f t="shared" si="59"/>
        <v>6</v>
      </c>
      <c r="D536" s="169">
        <v>2</v>
      </c>
      <c r="E536">
        <f t="shared" si="57"/>
        <v>2E-3</v>
      </c>
    </row>
    <row r="537" spans="2:5" x14ac:dyDescent="0.3">
      <c r="B537" s="19">
        <f t="shared" si="58"/>
        <v>45770</v>
      </c>
      <c r="C537">
        <f t="shared" si="59"/>
        <v>7</v>
      </c>
      <c r="D537" s="169">
        <v>60</v>
      </c>
      <c r="E537">
        <f t="shared" si="57"/>
        <v>0.06</v>
      </c>
    </row>
    <row r="538" spans="2:5" x14ac:dyDescent="0.3">
      <c r="B538" s="19">
        <f t="shared" si="58"/>
        <v>45770</v>
      </c>
      <c r="C538">
        <f t="shared" si="59"/>
        <v>8</v>
      </c>
      <c r="D538" s="169">
        <v>232</v>
      </c>
      <c r="E538">
        <f t="shared" si="57"/>
        <v>0.23200000000000001</v>
      </c>
    </row>
    <row r="539" spans="2:5" x14ac:dyDescent="0.3">
      <c r="B539" s="19">
        <f t="shared" si="58"/>
        <v>45770</v>
      </c>
      <c r="C539">
        <f t="shared" si="59"/>
        <v>9</v>
      </c>
      <c r="D539" s="169">
        <v>401</v>
      </c>
      <c r="E539">
        <f t="shared" si="57"/>
        <v>0.40100000000000002</v>
      </c>
    </row>
    <row r="540" spans="2:5" x14ac:dyDescent="0.3">
      <c r="B540" s="19">
        <f t="shared" si="58"/>
        <v>45770</v>
      </c>
      <c r="C540">
        <f t="shared" si="59"/>
        <v>10</v>
      </c>
      <c r="D540" s="169">
        <v>528</v>
      </c>
      <c r="E540">
        <f t="shared" si="57"/>
        <v>0.52800000000000002</v>
      </c>
    </row>
    <row r="541" spans="2:5" x14ac:dyDescent="0.3">
      <c r="B541" s="19">
        <f t="shared" si="58"/>
        <v>45770</v>
      </c>
      <c r="C541">
        <f t="shared" si="59"/>
        <v>11</v>
      </c>
      <c r="D541" s="169">
        <v>608</v>
      </c>
      <c r="E541">
        <f t="shared" si="57"/>
        <v>0.60799999999999998</v>
      </c>
    </row>
    <row r="542" spans="2:5" x14ac:dyDescent="0.3">
      <c r="B542" s="19">
        <f t="shared" si="58"/>
        <v>45770</v>
      </c>
      <c r="C542">
        <f t="shared" si="59"/>
        <v>12</v>
      </c>
      <c r="D542" s="169">
        <v>627</v>
      </c>
      <c r="E542">
        <f t="shared" si="57"/>
        <v>0.627</v>
      </c>
    </row>
    <row r="543" spans="2:5" x14ac:dyDescent="0.3">
      <c r="B543" s="19">
        <f t="shared" si="58"/>
        <v>45770</v>
      </c>
      <c r="C543">
        <f t="shared" si="59"/>
        <v>13</v>
      </c>
      <c r="D543" s="169">
        <v>648</v>
      </c>
      <c r="E543">
        <f t="shared" si="57"/>
        <v>0.64800000000000002</v>
      </c>
    </row>
    <row r="544" spans="2:5" x14ac:dyDescent="0.3">
      <c r="B544" s="19">
        <f t="shared" si="58"/>
        <v>45770</v>
      </c>
      <c r="C544">
        <f t="shared" si="59"/>
        <v>14</v>
      </c>
      <c r="D544" s="169">
        <v>654</v>
      </c>
      <c r="E544">
        <f t="shared" si="57"/>
        <v>0.65400000000000003</v>
      </c>
    </row>
    <row r="545" spans="2:5" x14ac:dyDescent="0.3">
      <c r="B545" s="19">
        <f t="shared" si="58"/>
        <v>45770</v>
      </c>
      <c r="C545">
        <f t="shared" si="59"/>
        <v>15</v>
      </c>
      <c r="D545" s="169">
        <v>619</v>
      </c>
      <c r="E545">
        <f t="shared" si="57"/>
        <v>0.61899999999999999</v>
      </c>
    </row>
    <row r="546" spans="2:5" x14ac:dyDescent="0.3">
      <c r="B546" s="19">
        <f t="shared" si="58"/>
        <v>45770</v>
      </c>
      <c r="C546">
        <f t="shared" si="59"/>
        <v>16</v>
      </c>
      <c r="D546" s="169">
        <v>500</v>
      </c>
      <c r="E546">
        <f t="shared" si="57"/>
        <v>0.5</v>
      </c>
    </row>
    <row r="547" spans="2:5" x14ac:dyDescent="0.3">
      <c r="B547" s="19">
        <f t="shared" si="58"/>
        <v>45770</v>
      </c>
      <c r="C547">
        <f t="shared" si="59"/>
        <v>17</v>
      </c>
      <c r="D547" s="169">
        <v>329</v>
      </c>
      <c r="E547">
        <f t="shared" si="57"/>
        <v>0.32900000000000001</v>
      </c>
    </row>
    <row r="548" spans="2:5" x14ac:dyDescent="0.3">
      <c r="B548" s="19">
        <f t="shared" si="58"/>
        <v>45770</v>
      </c>
      <c r="C548">
        <f t="shared" si="59"/>
        <v>18</v>
      </c>
      <c r="D548" s="169">
        <v>128</v>
      </c>
      <c r="E548">
        <f t="shared" si="57"/>
        <v>0.128</v>
      </c>
    </row>
    <row r="549" spans="2:5" x14ac:dyDescent="0.3">
      <c r="B549" s="19">
        <f t="shared" si="58"/>
        <v>45770</v>
      </c>
      <c r="C549">
        <f t="shared" si="59"/>
        <v>19</v>
      </c>
      <c r="D549" s="169">
        <v>12</v>
      </c>
      <c r="E549">
        <f t="shared" si="57"/>
        <v>1.2E-2</v>
      </c>
    </row>
    <row r="550" spans="2:5" x14ac:dyDescent="0.3">
      <c r="B550" s="19">
        <f t="shared" si="58"/>
        <v>45770</v>
      </c>
      <c r="C550">
        <f t="shared" si="59"/>
        <v>20</v>
      </c>
      <c r="D550" s="169">
        <v>0</v>
      </c>
      <c r="E550">
        <f t="shared" si="57"/>
        <v>0</v>
      </c>
    </row>
    <row r="551" spans="2:5" x14ac:dyDescent="0.3">
      <c r="B551" s="19">
        <f t="shared" si="58"/>
        <v>45770</v>
      </c>
      <c r="C551">
        <f t="shared" si="59"/>
        <v>21</v>
      </c>
      <c r="D551" s="169">
        <v>0</v>
      </c>
      <c r="E551">
        <f t="shared" si="57"/>
        <v>0</v>
      </c>
    </row>
    <row r="552" spans="2:5" x14ac:dyDescent="0.3">
      <c r="B552" s="19">
        <f t="shared" si="58"/>
        <v>45770</v>
      </c>
      <c r="C552">
        <f t="shared" si="59"/>
        <v>22</v>
      </c>
      <c r="D552" s="169">
        <v>0</v>
      </c>
      <c r="E552">
        <f t="shared" si="57"/>
        <v>0</v>
      </c>
    </row>
    <row r="553" spans="2:5" x14ac:dyDescent="0.3">
      <c r="B553" s="19">
        <f t="shared" si="58"/>
        <v>45770</v>
      </c>
      <c r="C553">
        <f t="shared" si="59"/>
        <v>23</v>
      </c>
      <c r="D553" s="169">
        <v>0</v>
      </c>
      <c r="E553">
        <f t="shared" si="57"/>
        <v>0</v>
      </c>
    </row>
    <row r="554" spans="2:5" x14ac:dyDescent="0.3">
      <c r="B554" s="19">
        <f t="shared" si="58"/>
        <v>45770</v>
      </c>
      <c r="C554">
        <f t="shared" si="59"/>
        <v>24</v>
      </c>
      <c r="D554" s="169">
        <v>0</v>
      </c>
      <c r="E554">
        <f t="shared" si="57"/>
        <v>0</v>
      </c>
    </row>
    <row r="555" spans="2:5" x14ac:dyDescent="0.3">
      <c r="B555" s="19">
        <f t="shared" si="58"/>
        <v>45771</v>
      </c>
      <c r="C555">
        <f t="shared" si="59"/>
        <v>1</v>
      </c>
      <c r="D555" s="169">
        <v>0</v>
      </c>
      <c r="E555">
        <f t="shared" si="57"/>
        <v>0</v>
      </c>
    </row>
    <row r="556" spans="2:5" x14ac:dyDescent="0.3">
      <c r="B556" s="19">
        <f t="shared" si="58"/>
        <v>45771</v>
      </c>
      <c r="C556">
        <f t="shared" si="59"/>
        <v>2</v>
      </c>
      <c r="D556" s="169">
        <v>0</v>
      </c>
      <c r="E556">
        <f t="shared" si="57"/>
        <v>0</v>
      </c>
    </row>
    <row r="557" spans="2:5" x14ac:dyDescent="0.3">
      <c r="B557" s="19">
        <f t="shared" si="58"/>
        <v>45771</v>
      </c>
      <c r="C557">
        <f t="shared" si="59"/>
        <v>3</v>
      </c>
      <c r="D557" s="169">
        <v>0</v>
      </c>
      <c r="E557">
        <f t="shared" si="57"/>
        <v>0</v>
      </c>
    </row>
    <row r="558" spans="2:5" x14ac:dyDescent="0.3">
      <c r="B558" s="19">
        <f t="shared" si="58"/>
        <v>45771</v>
      </c>
      <c r="C558">
        <f t="shared" si="59"/>
        <v>4</v>
      </c>
      <c r="D558" s="169">
        <v>0</v>
      </c>
      <c r="E558">
        <f t="shared" si="57"/>
        <v>0</v>
      </c>
    </row>
    <row r="559" spans="2:5" x14ac:dyDescent="0.3">
      <c r="B559" s="19">
        <f t="shared" si="58"/>
        <v>45771</v>
      </c>
      <c r="C559">
        <f t="shared" si="59"/>
        <v>5</v>
      </c>
      <c r="D559" s="169">
        <v>0</v>
      </c>
      <c r="E559">
        <f t="shared" si="57"/>
        <v>0</v>
      </c>
    </row>
    <row r="560" spans="2:5" x14ac:dyDescent="0.3">
      <c r="B560" s="19">
        <f t="shared" si="58"/>
        <v>45771</v>
      </c>
      <c r="C560">
        <f t="shared" si="59"/>
        <v>6</v>
      </c>
      <c r="D560" s="169">
        <v>2</v>
      </c>
      <c r="E560">
        <f t="shared" si="57"/>
        <v>2E-3</v>
      </c>
    </row>
    <row r="561" spans="2:5" x14ac:dyDescent="0.3">
      <c r="B561" s="19">
        <f t="shared" si="58"/>
        <v>45771</v>
      </c>
      <c r="C561">
        <f t="shared" si="59"/>
        <v>7</v>
      </c>
      <c r="D561" s="169">
        <v>74</v>
      </c>
      <c r="E561">
        <f t="shared" si="57"/>
        <v>7.3999999999999996E-2</v>
      </c>
    </row>
    <row r="562" spans="2:5" x14ac:dyDescent="0.3">
      <c r="B562" s="19">
        <f t="shared" si="58"/>
        <v>45771</v>
      </c>
      <c r="C562">
        <f t="shared" si="59"/>
        <v>8</v>
      </c>
      <c r="D562" s="169">
        <v>268</v>
      </c>
      <c r="E562">
        <f t="shared" si="57"/>
        <v>0.26800000000000002</v>
      </c>
    </row>
    <row r="563" spans="2:5" x14ac:dyDescent="0.3">
      <c r="B563" s="19">
        <f t="shared" si="58"/>
        <v>45771</v>
      </c>
      <c r="C563">
        <f t="shared" si="59"/>
        <v>9</v>
      </c>
      <c r="D563" s="169">
        <v>447</v>
      </c>
      <c r="E563">
        <f t="shared" si="57"/>
        <v>0.44700000000000001</v>
      </c>
    </row>
    <row r="564" spans="2:5" x14ac:dyDescent="0.3">
      <c r="B564" s="19">
        <f t="shared" si="58"/>
        <v>45771</v>
      </c>
      <c r="C564">
        <f t="shared" si="59"/>
        <v>10</v>
      </c>
      <c r="D564" s="169">
        <v>583</v>
      </c>
      <c r="E564">
        <f t="shared" si="57"/>
        <v>0.58299999999999996</v>
      </c>
    </row>
    <row r="565" spans="2:5" x14ac:dyDescent="0.3">
      <c r="B565" s="19">
        <f t="shared" si="58"/>
        <v>45771</v>
      </c>
      <c r="C565">
        <f t="shared" si="59"/>
        <v>11</v>
      </c>
      <c r="D565" s="169">
        <v>645</v>
      </c>
      <c r="E565">
        <f t="shared" si="57"/>
        <v>0.64500000000000002</v>
      </c>
    </row>
    <row r="566" spans="2:5" x14ac:dyDescent="0.3">
      <c r="B566" s="19">
        <f t="shared" si="58"/>
        <v>45771</v>
      </c>
      <c r="C566">
        <f t="shared" si="59"/>
        <v>12</v>
      </c>
      <c r="D566" s="169">
        <v>662</v>
      </c>
      <c r="E566">
        <f t="shared" si="57"/>
        <v>0.66200000000000003</v>
      </c>
    </row>
    <row r="567" spans="2:5" x14ac:dyDescent="0.3">
      <c r="B567" s="19">
        <f t="shared" si="58"/>
        <v>45771</v>
      </c>
      <c r="C567">
        <f t="shared" si="59"/>
        <v>13</v>
      </c>
      <c r="D567" s="169">
        <v>666</v>
      </c>
      <c r="E567">
        <f t="shared" si="57"/>
        <v>0.66600000000000004</v>
      </c>
    </row>
    <row r="568" spans="2:5" x14ac:dyDescent="0.3">
      <c r="B568" s="19">
        <f t="shared" si="58"/>
        <v>45771</v>
      </c>
      <c r="C568">
        <f t="shared" si="59"/>
        <v>14</v>
      </c>
      <c r="D568" s="169">
        <v>650</v>
      </c>
      <c r="E568">
        <f t="shared" si="57"/>
        <v>0.65</v>
      </c>
    </row>
    <row r="569" spans="2:5" x14ac:dyDescent="0.3">
      <c r="B569" s="19">
        <f t="shared" si="58"/>
        <v>45771</v>
      </c>
      <c r="C569">
        <f t="shared" si="59"/>
        <v>15</v>
      </c>
      <c r="D569" s="169">
        <v>606</v>
      </c>
      <c r="E569">
        <f t="shared" si="57"/>
        <v>0.60599999999999998</v>
      </c>
    </row>
    <row r="570" spans="2:5" x14ac:dyDescent="0.3">
      <c r="B570" s="19">
        <f t="shared" si="58"/>
        <v>45771</v>
      </c>
      <c r="C570">
        <f t="shared" si="59"/>
        <v>16</v>
      </c>
      <c r="D570" s="169">
        <v>491</v>
      </c>
      <c r="E570">
        <f t="shared" si="57"/>
        <v>0.49099999999999999</v>
      </c>
    </row>
    <row r="571" spans="2:5" x14ac:dyDescent="0.3">
      <c r="B571" s="19">
        <f t="shared" si="58"/>
        <v>45771</v>
      </c>
      <c r="C571">
        <f t="shared" si="59"/>
        <v>17</v>
      </c>
      <c r="D571" s="169">
        <v>326</v>
      </c>
      <c r="E571">
        <f t="shared" si="57"/>
        <v>0.32600000000000001</v>
      </c>
    </row>
    <row r="572" spans="2:5" x14ac:dyDescent="0.3">
      <c r="B572" s="19">
        <f t="shared" si="58"/>
        <v>45771</v>
      </c>
      <c r="C572">
        <f t="shared" si="59"/>
        <v>18</v>
      </c>
      <c r="D572" s="169">
        <v>129</v>
      </c>
      <c r="E572">
        <f t="shared" si="57"/>
        <v>0.129</v>
      </c>
    </row>
    <row r="573" spans="2:5" x14ac:dyDescent="0.3">
      <c r="B573" s="19">
        <f t="shared" si="58"/>
        <v>45771</v>
      </c>
      <c r="C573">
        <f t="shared" si="59"/>
        <v>19</v>
      </c>
      <c r="D573" s="169">
        <v>13</v>
      </c>
      <c r="E573">
        <f t="shared" si="57"/>
        <v>1.2999999999999999E-2</v>
      </c>
    </row>
    <row r="574" spans="2:5" x14ac:dyDescent="0.3">
      <c r="B574" s="19">
        <f t="shared" si="58"/>
        <v>45771</v>
      </c>
      <c r="C574">
        <f t="shared" si="59"/>
        <v>20</v>
      </c>
      <c r="D574" s="169">
        <v>0</v>
      </c>
      <c r="E574">
        <f t="shared" si="57"/>
        <v>0</v>
      </c>
    </row>
    <row r="575" spans="2:5" x14ac:dyDescent="0.3">
      <c r="B575" s="19">
        <f t="shared" si="58"/>
        <v>45771</v>
      </c>
      <c r="C575">
        <f t="shared" si="59"/>
        <v>21</v>
      </c>
      <c r="D575" s="169">
        <v>0</v>
      </c>
      <c r="E575">
        <f t="shared" si="57"/>
        <v>0</v>
      </c>
    </row>
    <row r="576" spans="2:5" x14ac:dyDescent="0.3">
      <c r="B576" s="19">
        <f t="shared" si="58"/>
        <v>45771</v>
      </c>
      <c r="C576">
        <f t="shared" si="59"/>
        <v>22</v>
      </c>
      <c r="D576" s="169">
        <v>0</v>
      </c>
      <c r="E576">
        <f t="shared" si="57"/>
        <v>0</v>
      </c>
    </row>
    <row r="577" spans="2:5" x14ac:dyDescent="0.3">
      <c r="B577" s="19">
        <f t="shared" si="58"/>
        <v>45771</v>
      </c>
      <c r="C577">
        <f t="shared" si="59"/>
        <v>23</v>
      </c>
      <c r="D577" s="169">
        <v>0</v>
      </c>
      <c r="E577">
        <f t="shared" si="57"/>
        <v>0</v>
      </c>
    </row>
    <row r="578" spans="2:5" x14ac:dyDescent="0.3">
      <c r="B578" s="19">
        <f t="shared" si="58"/>
        <v>45771</v>
      </c>
      <c r="C578">
        <f t="shared" si="59"/>
        <v>24</v>
      </c>
      <c r="D578" s="169">
        <v>0</v>
      </c>
      <c r="E578">
        <f t="shared" si="57"/>
        <v>0</v>
      </c>
    </row>
    <row r="579" spans="2:5" x14ac:dyDescent="0.3">
      <c r="B579" s="19">
        <f t="shared" si="58"/>
        <v>45772</v>
      </c>
      <c r="C579">
        <f t="shared" si="59"/>
        <v>1</v>
      </c>
      <c r="D579" s="169">
        <v>0</v>
      </c>
      <c r="E579">
        <f t="shared" si="57"/>
        <v>0</v>
      </c>
    </row>
    <row r="580" spans="2:5" x14ac:dyDescent="0.3">
      <c r="B580" s="19">
        <f t="shared" si="58"/>
        <v>45772</v>
      </c>
      <c r="C580">
        <f t="shared" si="59"/>
        <v>2</v>
      </c>
      <c r="D580" s="169">
        <v>0</v>
      </c>
      <c r="E580">
        <f t="shared" ref="E580:E643" si="60">D580/1000</f>
        <v>0</v>
      </c>
    </row>
    <row r="581" spans="2:5" x14ac:dyDescent="0.3">
      <c r="B581" s="19">
        <f t="shared" ref="B581:B644" si="61">IF(C580=24,B580+1,B580)</f>
        <v>45772</v>
      </c>
      <c r="C581">
        <f t="shared" ref="C581:C644" si="62">IF(C580=24,1,C580+1)</f>
        <v>3</v>
      </c>
      <c r="D581" s="169">
        <v>0</v>
      </c>
      <c r="E581">
        <f t="shared" si="60"/>
        <v>0</v>
      </c>
    </row>
    <row r="582" spans="2:5" x14ac:dyDescent="0.3">
      <c r="B582" s="19">
        <f t="shared" si="61"/>
        <v>45772</v>
      </c>
      <c r="C582">
        <f t="shared" si="62"/>
        <v>4</v>
      </c>
      <c r="D582" s="169">
        <v>0</v>
      </c>
      <c r="E582">
        <f t="shared" si="60"/>
        <v>0</v>
      </c>
    </row>
    <row r="583" spans="2:5" x14ac:dyDescent="0.3">
      <c r="B583" s="19">
        <f t="shared" si="61"/>
        <v>45772</v>
      </c>
      <c r="C583">
        <f t="shared" si="62"/>
        <v>5</v>
      </c>
      <c r="D583" s="169">
        <v>0</v>
      </c>
      <c r="E583">
        <f t="shared" si="60"/>
        <v>0</v>
      </c>
    </row>
    <row r="584" spans="2:5" x14ac:dyDescent="0.3">
      <c r="B584" s="19">
        <f t="shared" si="61"/>
        <v>45772</v>
      </c>
      <c r="C584">
        <f t="shared" si="62"/>
        <v>6</v>
      </c>
      <c r="D584" s="169">
        <v>10</v>
      </c>
      <c r="E584">
        <f t="shared" si="60"/>
        <v>0.01</v>
      </c>
    </row>
    <row r="585" spans="2:5" x14ac:dyDescent="0.3">
      <c r="B585" s="19">
        <f t="shared" si="61"/>
        <v>45772</v>
      </c>
      <c r="C585">
        <f t="shared" si="62"/>
        <v>7</v>
      </c>
      <c r="D585" s="169">
        <v>57</v>
      </c>
      <c r="E585">
        <f t="shared" si="60"/>
        <v>5.7000000000000002E-2</v>
      </c>
    </row>
    <row r="586" spans="2:5" x14ac:dyDescent="0.3">
      <c r="B586" s="19">
        <f t="shared" si="61"/>
        <v>45772</v>
      </c>
      <c r="C586">
        <f t="shared" si="62"/>
        <v>8</v>
      </c>
      <c r="D586" s="169">
        <v>165</v>
      </c>
      <c r="E586">
        <f t="shared" si="60"/>
        <v>0.16500000000000001</v>
      </c>
    </row>
    <row r="587" spans="2:5" x14ac:dyDescent="0.3">
      <c r="B587" s="19">
        <f t="shared" si="61"/>
        <v>45772</v>
      </c>
      <c r="C587">
        <f t="shared" si="62"/>
        <v>9</v>
      </c>
      <c r="D587" s="169">
        <v>312</v>
      </c>
      <c r="E587">
        <f t="shared" si="60"/>
        <v>0.312</v>
      </c>
    </row>
    <row r="588" spans="2:5" x14ac:dyDescent="0.3">
      <c r="B588" s="19">
        <f t="shared" si="61"/>
        <v>45772</v>
      </c>
      <c r="C588">
        <f t="shared" si="62"/>
        <v>10</v>
      </c>
      <c r="D588" s="169">
        <v>477</v>
      </c>
      <c r="E588">
        <f t="shared" si="60"/>
        <v>0.47699999999999998</v>
      </c>
    </row>
    <row r="589" spans="2:5" x14ac:dyDescent="0.3">
      <c r="B589" s="19">
        <f t="shared" si="61"/>
        <v>45772</v>
      </c>
      <c r="C589">
        <f t="shared" si="62"/>
        <v>11</v>
      </c>
      <c r="D589" s="169">
        <v>637</v>
      </c>
      <c r="E589">
        <f t="shared" si="60"/>
        <v>0.63700000000000001</v>
      </c>
    </row>
    <row r="590" spans="2:5" x14ac:dyDescent="0.3">
      <c r="B590" s="19">
        <f t="shared" si="61"/>
        <v>45772</v>
      </c>
      <c r="C590">
        <f t="shared" si="62"/>
        <v>12</v>
      </c>
      <c r="D590" s="169">
        <v>665</v>
      </c>
      <c r="E590">
        <f t="shared" si="60"/>
        <v>0.66500000000000004</v>
      </c>
    </row>
    <row r="591" spans="2:5" x14ac:dyDescent="0.3">
      <c r="B591" s="19">
        <f t="shared" si="61"/>
        <v>45772</v>
      </c>
      <c r="C591">
        <f t="shared" si="62"/>
        <v>13</v>
      </c>
      <c r="D591" s="169">
        <v>664</v>
      </c>
      <c r="E591">
        <f t="shared" si="60"/>
        <v>0.66400000000000003</v>
      </c>
    </row>
    <row r="592" spans="2:5" x14ac:dyDescent="0.3">
      <c r="B592" s="19">
        <f t="shared" si="61"/>
        <v>45772</v>
      </c>
      <c r="C592">
        <f t="shared" si="62"/>
        <v>14</v>
      </c>
      <c r="D592" s="169">
        <v>652</v>
      </c>
      <c r="E592">
        <f t="shared" si="60"/>
        <v>0.65200000000000002</v>
      </c>
    </row>
    <row r="593" spans="2:5" x14ac:dyDescent="0.3">
      <c r="B593" s="19">
        <f t="shared" si="61"/>
        <v>45772</v>
      </c>
      <c r="C593">
        <f t="shared" si="62"/>
        <v>15</v>
      </c>
      <c r="D593" s="169">
        <v>610</v>
      </c>
      <c r="E593">
        <f t="shared" si="60"/>
        <v>0.61</v>
      </c>
    </row>
    <row r="594" spans="2:5" x14ac:dyDescent="0.3">
      <c r="B594" s="19">
        <f t="shared" si="61"/>
        <v>45772</v>
      </c>
      <c r="C594">
        <f t="shared" si="62"/>
        <v>16</v>
      </c>
      <c r="D594" s="169">
        <v>484</v>
      </c>
      <c r="E594">
        <f t="shared" si="60"/>
        <v>0.48399999999999999</v>
      </c>
    </row>
    <row r="595" spans="2:5" x14ac:dyDescent="0.3">
      <c r="B595" s="19">
        <f t="shared" si="61"/>
        <v>45772</v>
      </c>
      <c r="C595">
        <f t="shared" si="62"/>
        <v>17</v>
      </c>
      <c r="D595" s="169">
        <v>308</v>
      </c>
      <c r="E595">
        <f t="shared" si="60"/>
        <v>0.308</v>
      </c>
    </row>
    <row r="596" spans="2:5" x14ac:dyDescent="0.3">
      <c r="B596" s="19">
        <f t="shared" si="61"/>
        <v>45772</v>
      </c>
      <c r="C596">
        <f t="shared" si="62"/>
        <v>18</v>
      </c>
      <c r="D596" s="169">
        <v>130</v>
      </c>
      <c r="E596">
        <f t="shared" si="60"/>
        <v>0.13</v>
      </c>
    </row>
    <row r="597" spans="2:5" x14ac:dyDescent="0.3">
      <c r="B597" s="19">
        <f t="shared" si="61"/>
        <v>45772</v>
      </c>
      <c r="C597">
        <f t="shared" si="62"/>
        <v>19</v>
      </c>
      <c r="D597" s="169">
        <v>11</v>
      </c>
      <c r="E597">
        <f t="shared" si="60"/>
        <v>1.0999999999999999E-2</v>
      </c>
    </row>
    <row r="598" spans="2:5" x14ac:dyDescent="0.3">
      <c r="B598" s="19">
        <f t="shared" si="61"/>
        <v>45772</v>
      </c>
      <c r="C598">
        <f t="shared" si="62"/>
        <v>20</v>
      </c>
      <c r="D598" s="169">
        <v>0</v>
      </c>
      <c r="E598">
        <f t="shared" si="60"/>
        <v>0</v>
      </c>
    </row>
    <row r="599" spans="2:5" x14ac:dyDescent="0.3">
      <c r="B599" s="19">
        <f t="shared" si="61"/>
        <v>45772</v>
      </c>
      <c r="C599">
        <f t="shared" si="62"/>
        <v>21</v>
      </c>
      <c r="D599" s="169">
        <v>0</v>
      </c>
      <c r="E599">
        <f t="shared" si="60"/>
        <v>0</v>
      </c>
    </row>
    <row r="600" spans="2:5" x14ac:dyDescent="0.3">
      <c r="B600" s="19">
        <f t="shared" si="61"/>
        <v>45772</v>
      </c>
      <c r="C600">
        <f t="shared" si="62"/>
        <v>22</v>
      </c>
      <c r="D600" s="169">
        <v>0</v>
      </c>
      <c r="E600">
        <f t="shared" si="60"/>
        <v>0</v>
      </c>
    </row>
    <row r="601" spans="2:5" x14ac:dyDescent="0.3">
      <c r="B601" s="19">
        <f t="shared" si="61"/>
        <v>45772</v>
      </c>
      <c r="C601">
        <f t="shared" si="62"/>
        <v>23</v>
      </c>
      <c r="D601" s="169">
        <v>0</v>
      </c>
      <c r="E601">
        <f t="shared" si="60"/>
        <v>0</v>
      </c>
    </row>
    <row r="602" spans="2:5" x14ac:dyDescent="0.3">
      <c r="B602" s="19">
        <f t="shared" si="61"/>
        <v>45772</v>
      </c>
      <c r="C602">
        <f t="shared" si="62"/>
        <v>24</v>
      </c>
      <c r="D602" s="169">
        <v>0</v>
      </c>
      <c r="E602">
        <f t="shared" si="60"/>
        <v>0</v>
      </c>
    </row>
    <row r="603" spans="2:5" x14ac:dyDescent="0.3">
      <c r="B603" s="19">
        <f t="shared" si="61"/>
        <v>45773</v>
      </c>
      <c r="C603">
        <f t="shared" si="62"/>
        <v>1</v>
      </c>
      <c r="D603" s="169">
        <v>0</v>
      </c>
      <c r="E603">
        <f t="shared" si="60"/>
        <v>0</v>
      </c>
    </row>
    <row r="604" spans="2:5" x14ac:dyDescent="0.3">
      <c r="B604" s="19">
        <f t="shared" si="61"/>
        <v>45773</v>
      </c>
      <c r="C604">
        <f t="shared" si="62"/>
        <v>2</v>
      </c>
      <c r="D604" s="169">
        <v>0</v>
      </c>
      <c r="E604">
        <f t="shared" si="60"/>
        <v>0</v>
      </c>
    </row>
    <row r="605" spans="2:5" x14ac:dyDescent="0.3">
      <c r="B605" s="19">
        <f t="shared" si="61"/>
        <v>45773</v>
      </c>
      <c r="C605">
        <f t="shared" si="62"/>
        <v>3</v>
      </c>
      <c r="D605" s="169">
        <v>0</v>
      </c>
      <c r="E605">
        <f t="shared" si="60"/>
        <v>0</v>
      </c>
    </row>
    <row r="606" spans="2:5" x14ac:dyDescent="0.3">
      <c r="B606" s="19">
        <f t="shared" si="61"/>
        <v>45773</v>
      </c>
      <c r="C606">
        <f t="shared" si="62"/>
        <v>4</v>
      </c>
      <c r="D606" s="169">
        <v>0</v>
      </c>
      <c r="E606">
        <f t="shared" si="60"/>
        <v>0</v>
      </c>
    </row>
    <row r="607" spans="2:5" x14ac:dyDescent="0.3">
      <c r="B607" s="19">
        <f t="shared" si="61"/>
        <v>45773</v>
      </c>
      <c r="C607">
        <f t="shared" si="62"/>
        <v>5</v>
      </c>
      <c r="D607" s="169">
        <v>0</v>
      </c>
      <c r="E607">
        <f t="shared" si="60"/>
        <v>0</v>
      </c>
    </row>
    <row r="608" spans="2:5" x14ac:dyDescent="0.3">
      <c r="B608" s="19">
        <f t="shared" si="61"/>
        <v>45773</v>
      </c>
      <c r="C608">
        <f t="shared" si="62"/>
        <v>6</v>
      </c>
      <c r="D608" s="169">
        <v>3</v>
      </c>
      <c r="E608">
        <f t="shared" si="60"/>
        <v>3.0000000000000001E-3</v>
      </c>
    </row>
    <row r="609" spans="2:5" x14ac:dyDescent="0.3">
      <c r="B609" s="19">
        <f t="shared" si="61"/>
        <v>45773</v>
      </c>
      <c r="C609">
        <f t="shared" si="62"/>
        <v>7</v>
      </c>
      <c r="D609" s="169">
        <v>77</v>
      </c>
      <c r="E609">
        <f t="shared" si="60"/>
        <v>7.6999999999999999E-2</v>
      </c>
    </row>
    <row r="610" spans="2:5" x14ac:dyDescent="0.3">
      <c r="B610" s="19">
        <f t="shared" si="61"/>
        <v>45773</v>
      </c>
      <c r="C610">
        <f t="shared" si="62"/>
        <v>8</v>
      </c>
      <c r="D610" s="169">
        <v>271</v>
      </c>
      <c r="E610">
        <f t="shared" si="60"/>
        <v>0.27100000000000002</v>
      </c>
    </row>
    <row r="611" spans="2:5" x14ac:dyDescent="0.3">
      <c r="B611" s="19">
        <f t="shared" si="61"/>
        <v>45773</v>
      </c>
      <c r="C611">
        <f t="shared" si="62"/>
        <v>9</v>
      </c>
      <c r="D611" s="169">
        <v>449</v>
      </c>
      <c r="E611">
        <f t="shared" si="60"/>
        <v>0.44900000000000001</v>
      </c>
    </row>
    <row r="612" spans="2:5" x14ac:dyDescent="0.3">
      <c r="B612" s="19">
        <f t="shared" si="61"/>
        <v>45773</v>
      </c>
      <c r="C612">
        <f t="shared" si="62"/>
        <v>10</v>
      </c>
      <c r="D612" s="169">
        <v>579</v>
      </c>
      <c r="E612">
        <f t="shared" si="60"/>
        <v>0.57899999999999996</v>
      </c>
    </row>
    <row r="613" spans="2:5" x14ac:dyDescent="0.3">
      <c r="B613" s="19">
        <f t="shared" si="61"/>
        <v>45773</v>
      </c>
      <c r="C613">
        <f t="shared" si="62"/>
        <v>11</v>
      </c>
      <c r="D613" s="169">
        <v>651</v>
      </c>
      <c r="E613">
        <f t="shared" si="60"/>
        <v>0.65100000000000002</v>
      </c>
    </row>
    <row r="614" spans="2:5" x14ac:dyDescent="0.3">
      <c r="B614" s="19">
        <f t="shared" si="61"/>
        <v>45773</v>
      </c>
      <c r="C614">
        <f t="shared" si="62"/>
        <v>12</v>
      </c>
      <c r="D614" s="169">
        <v>660</v>
      </c>
      <c r="E614">
        <f t="shared" si="60"/>
        <v>0.66</v>
      </c>
    </row>
    <row r="615" spans="2:5" x14ac:dyDescent="0.3">
      <c r="B615" s="19">
        <f t="shared" si="61"/>
        <v>45773</v>
      </c>
      <c r="C615">
        <f t="shared" si="62"/>
        <v>13</v>
      </c>
      <c r="D615" s="169">
        <v>665</v>
      </c>
      <c r="E615">
        <f t="shared" si="60"/>
        <v>0.66500000000000004</v>
      </c>
    </row>
    <row r="616" spans="2:5" x14ac:dyDescent="0.3">
      <c r="B616" s="19">
        <f t="shared" si="61"/>
        <v>45773</v>
      </c>
      <c r="C616">
        <f t="shared" si="62"/>
        <v>14</v>
      </c>
      <c r="D616" s="169">
        <v>654</v>
      </c>
      <c r="E616">
        <f t="shared" si="60"/>
        <v>0.65400000000000003</v>
      </c>
    </row>
    <row r="617" spans="2:5" x14ac:dyDescent="0.3">
      <c r="B617" s="19">
        <f t="shared" si="61"/>
        <v>45773</v>
      </c>
      <c r="C617">
        <f t="shared" si="62"/>
        <v>15</v>
      </c>
      <c r="D617" s="169">
        <v>607</v>
      </c>
      <c r="E617">
        <f t="shared" si="60"/>
        <v>0.60699999999999998</v>
      </c>
    </row>
    <row r="618" spans="2:5" x14ac:dyDescent="0.3">
      <c r="B618" s="19">
        <f t="shared" si="61"/>
        <v>45773</v>
      </c>
      <c r="C618">
        <f t="shared" si="62"/>
        <v>16</v>
      </c>
      <c r="D618" s="169">
        <v>492</v>
      </c>
      <c r="E618">
        <f t="shared" si="60"/>
        <v>0.49199999999999999</v>
      </c>
    </row>
    <row r="619" spans="2:5" x14ac:dyDescent="0.3">
      <c r="B619" s="19">
        <f t="shared" si="61"/>
        <v>45773</v>
      </c>
      <c r="C619">
        <f t="shared" si="62"/>
        <v>17</v>
      </c>
      <c r="D619" s="169">
        <v>325</v>
      </c>
      <c r="E619">
        <f t="shared" si="60"/>
        <v>0.32500000000000001</v>
      </c>
    </row>
    <row r="620" spans="2:5" x14ac:dyDescent="0.3">
      <c r="B620" s="19">
        <f t="shared" si="61"/>
        <v>45773</v>
      </c>
      <c r="C620">
        <f t="shared" si="62"/>
        <v>18</v>
      </c>
      <c r="D620" s="169">
        <v>130</v>
      </c>
      <c r="E620">
        <f t="shared" si="60"/>
        <v>0.13</v>
      </c>
    </row>
    <row r="621" spans="2:5" x14ac:dyDescent="0.3">
      <c r="B621" s="19">
        <f t="shared" si="61"/>
        <v>45773</v>
      </c>
      <c r="C621">
        <f t="shared" si="62"/>
        <v>19</v>
      </c>
      <c r="D621" s="169">
        <v>15</v>
      </c>
      <c r="E621">
        <f t="shared" si="60"/>
        <v>1.4999999999999999E-2</v>
      </c>
    </row>
    <row r="622" spans="2:5" x14ac:dyDescent="0.3">
      <c r="B622" s="19">
        <f t="shared" si="61"/>
        <v>45773</v>
      </c>
      <c r="C622">
        <f t="shared" si="62"/>
        <v>20</v>
      </c>
      <c r="D622" s="169">
        <v>0</v>
      </c>
      <c r="E622">
        <f t="shared" si="60"/>
        <v>0</v>
      </c>
    </row>
    <row r="623" spans="2:5" x14ac:dyDescent="0.3">
      <c r="B623" s="19">
        <f t="shared" si="61"/>
        <v>45773</v>
      </c>
      <c r="C623">
        <f t="shared" si="62"/>
        <v>21</v>
      </c>
      <c r="D623" s="169">
        <v>0</v>
      </c>
      <c r="E623">
        <f t="shared" si="60"/>
        <v>0</v>
      </c>
    </row>
    <row r="624" spans="2:5" x14ac:dyDescent="0.3">
      <c r="B624" s="19">
        <f t="shared" si="61"/>
        <v>45773</v>
      </c>
      <c r="C624">
        <f t="shared" si="62"/>
        <v>22</v>
      </c>
      <c r="D624" s="169">
        <v>0</v>
      </c>
      <c r="E624">
        <f t="shared" si="60"/>
        <v>0</v>
      </c>
    </row>
    <row r="625" spans="2:5" x14ac:dyDescent="0.3">
      <c r="B625" s="19">
        <f t="shared" si="61"/>
        <v>45773</v>
      </c>
      <c r="C625">
        <f t="shared" si="62"/>
        <v>23</v>
      </c>
      <c r="D625" s="169">
        <v>0</v>
      </c>
      <c r="E625">
        <f t="shared" si="60"/>
        <v>0</v>
      </c>
    </row>
    <row r="626" spans="2:5" x14ac:dyDescent="0.3">
      <c r="B626" s="19">
        <f t="shared" si="61"/>
        <v>45773</v>
      </c>
      <c r="C626">
        <f t="shared" si="62"/>
        <v>24</v>
      </c>
      <c r="D626" s="169">
        <v>0</v>
      </c>
      <c r="E626">
        <f t="shared" si="60"/>
        <v>0</v>
      </c>
    </row>
    <row r="627" spans="2:5" x14ac:dyDescent="0.3">
      <c r="B627" s="19">
        <f t="shared" si="61"/>
        <v>45774</v>
      </c>
      <c r="C627">
        <f t="shared" si="62"/>
        <v>1</v>
      </c>
      <c r="D627" s="169">
        <v>0</v>
      </c>
      <c r="E627">
        <f t="shared" si="60"/>
        <v>0</v>
      </c>
    </row>
    <row r="628" spans="2:5" x14ac:dyDescent="0.3">
      <c r="B628" s="19">
        <f t="shared" si="61"/>
        <v>45774</v>
      </c>
      <c r="C628">
        <f t="shared" si="62"/>
        <v>2</v>
      </c>
      <c r="D628" s="169">
        <v>0</v>
      </c>
      <c r="E628">
        <f t="shared" si="60"/>
        <v>0</v>
      </c>
    </row>
    <row r="629" spans="2:5" x14ac:dyDescent="0.3">
      <c r="B629" s="19">
        <f t="shared" si="61"/>
        <v>45774</v>
      </c>
      <c r="C629">
        <f t="shared" si="62"/>
        <v>3</v>
      </c>
      <c r="D629" s="169">
        <v>0</v>
      </c>
      <c r="E629">
        <f t="shared" si="60"/>
        <v>0</v>
      </c>
    </row>
    <row r="630" spans="2:5" x14ac:dyDescent="0.3">
      <c r="B630" s="19">
        <f t="shared" si="61"/>
        <v>45774</v>
      </c>
      <c r="C630">
        <f t="shared" si="62"/>
        <v>4</v>
      </c>
      <c r="D630" s="169">
        <v>0</v>
      </c>
      <c r="E630">
        <f t="shared" si="60"/>
        <v>0</v>
      </c>
    </row>
    <row r="631" spans="2:5" x14ac:dyDescent="0.3">
      <c r="B631" s="19">
        <f t="shared" si="61"/>
        <v>45774</v>
      </c>
      <c r="C631">
        <f t="shared" si="62"/>
        <v>5</v>
      </c>
      <c r="D631" s="169">
        <v>0</v>
      </c>
      <c r="E631">
        <f t="shared" si="60"/>
        <v>0</v>
      </c>
    </row>
    <row r="632" spans="2:5" x14ac:dyDescent="0.3">
      <c r="B632" s="19">
        <f t="shared" si="61"/>
        <v>45774</v>
      </c>
      <c r="C632">
        <f t="shared" si="62"/>
        <v>6</v>
      </c>
      <c r="D632" s="169">
        <v>4</v>
      </c>
      <c r="E632">
        <f t="shared" si="60"/>
        <v>4.0000000000000001E-3</v>
      </c>
    </row>
    <row r="633" spans="2:5" x14ac:dyDescent="0.3">
      <c r="B633" s="19">
        <f t="shared" si="61"/>
        <v>45774</v>
      </c>
      <c r="C633">
        <f t="shared" si="62"/>
        <v>7</v>
      </c>
      <c r="D633" s="169">
        <v>78</v>
      </c>
      <c r="E633">
        <f t="shared" si="60"/>
        <v>7.8E-2</v>
      </c>
    </row>
    <row r="634" spans="2:5" x14ac:dyDescent="0.3">
      <c r="B634" s="19">
        <f t="shared" si="61"/>
        <v>45774</v>
      </c>
      <c r="C634">
        <f t="shared" si="62"/>
        <v>8</v>
      </c>
      <c r="D634" s="169">
        <v>270</v>
      </c>
      <c r="E634">
        <f t="shared" si="60"/>
        <v>0.27</v>
      </c>
    </row>
    <row r="635" spans="2:5" x14ac:dyDescent="0.3">
      <c r="B635" s="19">
        <f t="shared" si="61"/>
        <v>45774</v>
      </c>
      <c r="C635">
        <f t="shared" si="62"/>
        <v>9</v>
      </c>
      <c r="D635" s="169">
        <v>448</v>
      </c>
      <c r="E635">
        <f t="shared" si="60"/>
        <v>0.44800000000000001</v>
      </c>
    </row>
    <row r="636" spans="2:5" x14ac:dyDescent="0.3">
      <c r="B636" s="19">
        <f t="shared" si="61"/>
        <v>45774</v>
      </c>
      <c r="C636">
        <f t="shared" si="62"/>
        <v>10</v>
      </c>
      <c r="D636" s="169">
        <v>584</v>
      </c>
      <c r="E636">
        <f t="shared" si="60"/>
        <v>0.58399999999999996</v>
      </c>
    </row>
    <row r="637" spans="2:5" x14ac:dyDescent="0.3">
      <c r="B637" s="19">
        <f t="shared" si="61"/>
        <v>45774</v>
      </c>
      <c r="C637">
        <f t="shared" si="62"/>
        <v>11</v>
      </c>
      <c r="D637" s="169">
        <v>652</v>
      </c>
      <c r="E637">
        <f t="shared" si="60"/>
        <v>0.65200000000000002</v>
      </c>
    </row>
    <row r="638" spans="2:5" x14ac:dyDescent="0.3">
      <c r="B638" s="19">
        <f t="shared" si="61"/>
        <v>45774</v>
      </c>
      <c r="C638">
        <f t="shared" si="62"/>
        <v>12</v>
      </c>
      <c r="D638" s="169">
        <v>664</v>
      </c>
      <c r="E638">
        <f t="shared" si="60"/>
        <v>0.66400000000000003</v>
      </c>
    </row>
    <row r="639" spans="2:5" x14ac:dyDescent="0.3">
      <c r="B639" s="19">
        <f t="shared" si="61"/>
        <v>45774</v>
      </c>
      <c r="C639">
        <f t="shared" si="62"/>
        <v>13</v>
      </c>
      <c r="D639" s="169">
        <v>614</v>
      </c>
      <c r="E639">
        <f t="shared" si="60"/>
        <v>0.61399999999999999</v>
      </c>
    </row>
    <row r="640" spans="2:5" x14ac:dyDescent="0.3">
      <c r="B640" s="19">
        <f t="shared" si="61"/>
        <v>45774</v>
      </c>
      <c r="C640">
        <f t="shared" si="62"/>
        <v>14</v>
      </c>
      <c r="D640" s="169">
        <v>339</v>
      </c>
      <c r="E640">
        <f t="shared" si="60"/>
        <v>0.33900000000000002</v>
      </c>
    </row>
    <row r="641" spans="2:5" x14ac:dyDescent="0.3">
      <c r="B641" s="19">
        <f t="shared" si="61"/>
        <v>45774</v>
      </c>
      <c r="C641">
        <f t="shared" si="62"/>
        <v>15</v>
      </c>
      <c r="D641" s="169">
        <v>212</v>
      </c>
      <c r="E641">
        <f t="shared" si="60"/>
        <v>0.21199999999999999</v>
      </c>
    </row>
    <row r="642" spans="2:5" x14ac:dyDescent="0.3">
      <c r="B642" s="19">
        <f t="shared" si="61"/>
        <v>45774</v>
      </c>
      <c r="C642">
        <f t="shared" si="62"/>
        <v>16</v>
      </c>
      <c r="D642" s="169">
        <v>233</v>
      </c>
      <c r="E642">
        <f t="shared" si="60"/>
        <v>0.23300000000000001</v>
      </c>
    </row>
    <row r="643" spans="2:5" x14ac:dyDescent="0.3">
      <c r="B643" s="19">
        <f t="shared" si="61"/>
        <v>45774</v>
      </c>
      <c r="C643">
        <f t="shared" si="62"/>
        <v>17</v>
      </c>
      <c r="D643" s="169">
        <v>206</v>
      </c>
      <c r="E643">
        <f t="shared" si="60"/>
        <v>0.20599999999999999</v>
      </c>
    </row>
    <row r="644" spans="2:5" x14ac:dyDescent="0.3">
      <c r="B644" s="19">
        <f t="shared" si="61"/>
        <v>45774</v>
      </c>
      <c r="C644">
        <f t="shared" si="62"/>
        <v>18</v>
      </c>
      <c r="D644" s="169">
        <v>132</v>
      </c>
      <c r="E644">
        <f t="shared" ref="E644:E707" si="63">D644/1000</f>
        <v>0.13200000000000001</v>
      </c>
    </row>
    <row r="645" spans="2:5" x14ac:dyDescent="0.3">
      <c r="B645" s="19">
        <f t="shared" ref="B645:B674" si="64">IF(C644=24,B644+1,B644)</f>
        <v>45774</v>
      </c>
      <c r="C645">
        <f t="shared" ref="C645:C708" si="65">IF(C644=24,1,C644+1)</f>
        <v>19</v>
      </c>
      <c r="D645" s="169">
        <v>14</v>
      </c>
      <c r="E645">
        <f t="shared" si="63"/>
        <v>1.4E-2</v>
      </c>
    </row>
    <row r="646" spans="2:5" x14ac:dyDescent="0.3">
      <c r="B646" s="19">
        <f t="shared" si="64"/>
        <v>45774</v>
      </c>
      <c r="C646">
        <f t="shared" si="65"/>
        <v>20</v>
      </c>
      <c r="D646" s="169">
        <v>0</v>
      </c>
      <c r="E646">
        <f t="shared" si="63"/>
        <v>0</v>
      </c>
    </row>
    <row r="647" spans="2:5" x14ac:dyDescent="0.3">
      <c r="B647" s="19">
        <f t="shared" si="64"/>
        <v>45774</v>
      </c>
      <c r="C647">
        <f t="shared" si="65"/>
        <v>21</v>
      </c>
      <c r="D647" s="169">
        <v>0</v>
      </c>
      <c r="E647">
        <f t="shared" si="63"/>
        <v>0</v>
      </c>
    </row>
    <row r="648" spans="2:5" x14ac:dyDescent="0.3">
      <c r="B648" s="19">
        <f t="shared" si="64"/>
        <v>45774</v>
      </c>
      <c r="C648">
        <f t="shared" si="65"/>
        <v>22</v>
      </c>
      <c r="D648" s="169">
        <v>0</v>
      </c>
      <c r="E648">
        <f t="shared" si="63"/>
        <v>0</v>
      </c>
    </row>
    <row r="649" spans="2:5" x14ac:dyDescent="0.3">
      <c r="B649" s="19">
        <f t="shared" si="64"/>
        <v>45774</v>
      </c>
      <c r="C649">
        <f t="shared" si="65"/>
        <v>23</v>
      </c>
      <c r="D649" s="169">
        <v>0</v>
      </c>
      <c r="E649">
        <f t="shared" si="63"/>
        <v>0</v>
      </c>
    </row>
    <row r="650" spans="2:5" x14ac:dyDescent="0.3">
      <c r="B650" s="19">
        <f t="shared" si="64"/>
        <v>45774</v>
      </c>
      <c r="C650">
        <f t="shared" si="65"/>
        <v>24</v>
      </c>
      <c r="D650" s="169">
        <v>0</v>
      </c>
      <c r="E650">
        <f t="shared" si="63"/>
        <v>0</v>
      </c>
    </row>
    <row r="651" spans="2:5" x14ac:dyDescent="0.3">
      <c r="B651" s="19">
        <f t="shared" si="64"/>
        <v>45775</v>
      </c>
      <c r="C651">
        <f t="shared" si="65"/>
        <v>1</v>
      </c>
      <c r="D651" s="169">
        <v>0</v>
      </c>
      <c r="E651">
        <f t="shared" si="63"/>
        <v>0</v>
      </c>
    </row>
    <row r="652" spans="2:5" x14ac:dyDescent="0.3">
      <c r="B652" s="19">
        <f t="shared" si="64"/>
        <v>45775</v>
      </c>
      <c r="C652">
        <f t="shared" si="65"/>
        <v>2</v>
      </c>
      <c r="D652" s="169">
        <v>0</v>
      </c>
      <c r="E652">
        <f t="shared" si="63"/>
        <v>0</v>
      </c>
    </row>
    <row r="653" spans="2:5" x14ac:dyDescent="0.3">
      <c r="B653" s="19">
        <f t="shared" si="64"/>
        <v>45775</v>
      </c>
      <c r="C653">
        <f t="shared" si="65"/>
        <v>3</v>
      </c>
      <c r="D653" s="169">
        <v>0</v>
      </c>
      <c r="E653">
        <f t="shared" si="63"/>
        <v>0</v>
      </c>
    </row>
    <row r="654" spans="2:5" x14ac:dyDescent="0.3">
      <c r="B654" s="19">
        <f t="shared" si="64"/>
        <v>45775</v>
      </c>
      <c r="C654">
        <f t="shared" si="65"/>
        <v>4</v>
      </c>
      <c r="D654" s="169">
        <v>0</v>
      </c>
      <c r="E654">
        <f t="shared" si="63"/>
        <v>0</v>
      </c>
    </row>
    <row r="655" spans="2:5" x14ac:dyDescent="0.3">
      <c r="B655" s="19">
        <f t="shared" si="64"/>
        <v>45775</v>
      </c>
      <c r="C655">
        <f t="shared" si="65"/>
        <v>5</v>
      </c>
      <c r="D655" s="169">
        <v>0</v>
      </c>
      <c r="E655">
        <f t="shared" si="63"/>
        <v>0</v>
      </c>
    </row>
    <row r="656" spans="2:5" x14ac:dyDescent="0.3">
      <c r="B656" s="19">
        <f t="shared" si="64"/>
        <v>45775</v>
      </c>
      <c r="C656">
        <f t="shared" si="65"/>
        <v>6</v>
      </c>
      <c r="D656" s="169">
        <v>4</v>
      </c>
      <c r="E656">
        <f t="shared" si="63"/>
        <v>4.0000000000000001E-3</v>
      </c>
    </row>
    <row r="657" spans="2:5" x14ac:dyDescent="0.3">
      <c r="B657" s="19">
        <f t="shared" si="64"/>
        <v>45775</v>
      </c>
      <c r="C657">
        <f t="shared" si="65"/>
        <v>7</v>
      </c>
      <c r="D657" s="169">
        <v>81</v>
      </c>
      <c r="E657">
        <f t="shared" si="63"/>
        <v>8.1000000000000003E-2</v>
      </c>
    </row>
    <row r="658" spans="2:5" x14ac:dyDescent="0.3">
      <c r="B658" s="19">
        <f t="shared" si="64"/>
        <v>45775</v>
      </c>
      <c r="C658">
        <f t="shared" si="65"/>
        <v>8</v>
      </c>
      <c r="D658" s="169">
        <v>278</v>
      </c>
      <c r="E658">
        <f t="shared" si="63"/>
        <v>0.27800000000000002</v>
      </c>
    </row>
    <row r="659" spans="2:5" x14ac:dyDescent="0.3">
      <c r="B659" s="19">
        <f t="shared" si="64"/>
        <v>45775</v>
      </c>
      <c r="C659">
        <f t="shared" si="65"/>
        <v>9</v>
      </c>
      <c r="D659" s="169">
        <v>462</v>
      </c>
      <c r="E659">
        <f t="shared" si="63"/>
        <v>0.46200000000000002</v>
      </c>
    </row>
    <row r="660" spans="2:5" x14ac:dyDescent="0.3">
      <c r="B660" s="19">
        <f t="shared" si="64"/>
        <v>45775</v>
      </c>
      <c r="C660">
        <f t="shared" si="65"/>
        <v>10</v>
      </c>
      <c r="D660" s="169">
        <v>600</v>
      </c>
      <c r="E660">
        <f t="shared" si="63"/>
        <v>0.6</v>
      </c>
    </row>
    <row r="661" spans="2:5" x14ac:dyDescent="0.3">
      <c r="B661" s="19">
        <f t="shared" si="64"/>
        <v>45775</v>
      </c>
      <c r="C661">
        <f t="shared" si="65"/>
        <v>11</v>
      </c>
      <c r="D661" s="169">
        <v>657</v>
      </c>
      <c r="E661">
        <f t="shared" si="63"/>
        <v>0.65700000000000003</v>
      </c>
    </row>
    <row r="662" spans="2:5" x14ac:dyDescent="0.3">
      <c r="B662" s="19">
        <f t="shared" si="64"/>
        <v>45775</v>
      </c>
      <c r="C662">
        <f t="shared" si="65"/>
        <v>12</v>
      </c>
      <c r="D662" s="169">
        <v>674</v>
      </c>
      <c r="E662">
        <f t="shared" si="63"/>
        <v>0.67400000000000004</v>
      </c>
    </row>
    <row r="663" spans="2:5" x14ac:dyDescent="0.3">
      <c r="B663" s="19">
        <f t="shared" si="64"/>
        <v>45775</v>
      </c>
      <c r="C663">
        <f t="shared" si="65"/>
        <v>13</v>
      </c>
      <c r="D663" s="169">
        <v>676</v>
      </c>
      <c r="E663">
        <f t="shared" si="63"/>
        <v>0.67600000000000005</v>
      </c>
    </row>
    <row r="664" spans="2:5" x14ac:dyDescent="0.3">
      <c r="B664" s="19">
        <f t="shared" si="64"/>
        <v>45775</v>
      </c>
      <c r="C664">
        <f t="shared" si="65"/>
        <v>14</v>
      </c>
      <c r="D664" s="169">
        <v>661</v>
      </c>
      <c r="E664">
        <f t="shared" si="63"/>
        <v>0.66100000000000003</v>
      </c>
    </row>
    <row r="665" spans="2:5" x14ac:dyDescent="0.3">
      <c r="B665" s="19">
        <f t="shared" si="64"/>
        <v>45775</v>
      </c>
      <c r="C665">
        <f t="shared" si="65"/>
        <v>15</v>
      </c>
      <c r="D665" s="169">
        <v>616</v>
      </c>
      <c r="E665">
        <f t="shared" si="63"/>
        <v>0.61599999999999999</v>
      </c>
    </row>
    <row r="666" spans="2:5" x14ac:dyDescent="0.3">
      <c r="B666" s="19">
        <f t="shared" si="64"/>
        <v>45775</v>
      </c>
      <c r="C666">
        <f t="shared" si="65"/>
        <v>16</v>
      </c>
      <c r="D666" s="169">
        <v>501</v>
      </c>
      <c r="E666">
        <f t="shared" si="63"/>
        <v>0.501</v>
      </c>
    </row>
    <row r="667" spans="2:5" x14ac:dyDescent="0.3">
      <c r="B667" s="19">
        <f t="shared" si="64"/>
        <v>45775</v>
      </c>
      <c r="C667">
        <f t="shared" si="65"/>
        <v>17</v>
      </c>
      <c r="D667" s="169">
        <v>336</v>
      </c>
      <c r="E667">
        <f t="shared" si="63"/>
        <v>0.33600000000000002</v>
      </c>
    </row>
    <row r="668" spans="2:5" x14ac:dyDescent="0.3">
      <c r="B668" s="19">
        <f t="shared" si="64"/>
        <v>45775</v>
      </c>
      <c r="C668">
        <f t="shared" si="65"/>
        <v>18</v>
      </c>
      <c r="D668" s="169">
        <v>135</v>
      </c>
      <c r="E668">
        <f t="shared" si="63"/>
        <v>0.13500000000000001</v>
      </c>
    </row>
    <row r="669" spans="2:5" x14ac:dyDescent="0.3">
      <c r="B669" s="19">
        <f t="shared" si="64"/>
        <v>45775</v>
      </c>
      <c r="C669">
        <f t="shared" si="65"/>
        <v>19</v>
      </c>
      <c r="D669" s="169">
        <v>14</v>
      </c>
      <c r="E669">
        <f t="shared" si="63"/>
        <v>1.4E-2</v>
      </c>
    </row>
    <row r="670" spans="2:5" x14ac:dyDescent="0.3">
      <c r="B670" s="19">
        <f t="shared" si="64"/>
        <v>45775</v>
      </c>
      <c r="C670">
        <f t="shared" si="65"/>
        <v>20</v>
      </c>
      <c r="D670" s="169">
        <v>0</v>
      </c>
      <c r="E670">
        <f t="shared" si="63"/>
        <v>0</v>
      </c>
    </row>
    <row r="671" spans="2:5" x14ac:dyDescent="0.3">
      <c r="B671" s="19">
        <f t="shared" si="64"/>
        <v>45775</v>
      </c>
      <c r="C671">
        <f t="shared" si="65"/>
        <v>21</v>
      </c>
      <c r="D671" s="169">
        <v>0</v>
      </c>
      <c r="E671">
        <f t="shared" si="63"/>
        <v>0</v>
      </c>
    </row>
    <row r="672" spans="2:5" x14ac:dyDescent="0.3">
      <c r="B672" s="19">
        <f t="shared" si="64"/>
        <v>45775</v>
      </c>
      <c r="C672">
        <f t="shared" si="65"/>
        <v>22</v>
      </c>
      <c r="D672" s="169">
        <v>0</v>
      </c>
      <c r="E672">
        <f t="shared" si="63"/>
        <v>0</v>
      </c>
    </row>
    <row r="673" spans="2:5" x14ac:dyDescent="0.3">
      <c r="B673" s="19">
        <f t="shared" si="64"/>
        <v>45775</v>
      </c>
      <c r="C673">
        <f t="shared" si="65"/>
        <v>23</v>
      </c>
      <c r="D673" s="169">
        <v>0</v>
      </c>
      <c r="E673">
        <f t="shared" si="63"/>
        <v>0</v>
      </c>
    </row>
    <row r="674" spans="2:5" x14ac:dyDescent="0.3">
      <c r="B674" s="19">
        <f t="shared" si="64"/>
        <v>45775</v>
      </c>
      <c r="C674">
        <f t="shared" si="65"/>
        <v>24</v>
      </c>
      <c r="D674" s="169">
        <v>0</v>
      </c>
      <c r="E674">
        <f t="shared" si="63"/>
        <v>0</v>
      </c>
    </row>
    <row r="675" spans="2:5" x14ac:dyDescent="0.3">
      <c r="B675" s="19">
        <f t="shared" ref="B675:B722" si="66">IF(C674=24,B674+1,B674)</f>
        <v>45776</v>
      </c>
      <c r="C675">
        <f t="shared" si="65"/>
        <v>1</v>
      </c>
      <c r="D675" s="169">
        <v>0</v>
      </c>
      <c r="E675">
        <f t="shared" si="63"/>
        <v>0</v>
      </c>
    </row>
    <row r="676" spans="2:5" x14ac:dyDescent="0.3">
      <c r="B676" s="19">
        <f t="shared" si="66"/>
        <v>45776</v>
      </c>
      <c r="C676">
        <f t="shared" si="65"/>
        <v>2</v>
      </c>
      <c r="D676" s="169">
        <v>0</v>
      </c>
      <c r="E676">
        <f t="shared" si="63"/>
        <v>0</v>
      </c>
    </row>
    <row r="677" spans="2:5" x14ac:dyDescent="0.3">
      <c r="B677" s="19">
        <f t="shared" si="66"/>
        <v>45776</v>
      </c>
      <c r="C677">
        <f t="shared" si="65"/>
        <v>3</v>
      </c>
      <c r="D677" s="169">
        <v>0</v>
      </c>
      <c r="E677">
        <f t="shared" si="63"/>
        <v>0</v>
      </c>
    </row>
    <row r="678" spans="2:5" x14ac:dyDescent="0.3">
      <c r="B678" s="19">
        <f t="shared" si="66"/>
        <v>45776</v>
      </c>
      <c r="C678">
        <f t="shared" si="65"/>
        <v>4</v>
      </c>
      <c r="D678" s="169">
        <v>0</v>
      </c>
      <c r="E678">
        <f t="shared" si="63"/>
        <v>0</v>
      </c>
    </row>
    <row r="679" spans="2:5" x14ac:dyDescent="0.3">
      <c r="B679" s="19">
        <f t="shared" si="66"/>
        <v>45776</v>
      </c>
      <c r="C679">
        <f t="shared" si="65"/>
        <v>5</v>
      </c>
      <c r="D679" s="169">
        <v>0</v>
      </c>
      <c r="E679">
        <f t="shared" si="63"/>
        <v>0</v>
      </c>
    </row>
    <row r="680" spans="2:5" x14ac:dyDescent="0.3">
      <c r="B680" s="19">
        <f t="shared" si="66"/>
        <v>45776</v>
      </c>
      <c r="C680">
        <f t="shared" si="65"/>
        <v>6</v>
      </c>
      <c r="D680" s="169">
        <v>3</v>
      </c>
      <c r="E680">
        <f t="shared" si="63"/>
        <v>3.0000000000000001E-3</v>
      </c>
    </row>
    <row r="681" spans="2:5" x14ac:dyDescent="0.3">
      <c r="B681" s="19">
        <f t="shared" si="66"/>
        <v>45776</v>
      </c>
      <c r="C681">
        <f t="shared" si="65"/>
        <v>7</v>
      </c>
      <c r="D681" s="169">
        <v>43</v>
      </c>
      <c r="E681">
        <f t="shared" si="63"/>
        <v>4.2999999999999997E-2</v>
      </c>
    </row>
    <row r="682" spans="2:5" x14ac:dyDescent="0.3">
      <c r="B682" s="19">
        <f t="shared" si="66"/>
        <v>45776</v>
      </c>
      <c r="C682">
        <f t="shared" si="65"/>
        <v>8</v>
      </c>
      <c r="D682" s="169">
        <v>263</v>
      </c>
      <c r="E682">
        <f t="shared" si="63"/>
        <v>0.26300000000000001</v>
      </c>
    </row>
    <row r="683" spans="2:5" x14ac:dyDescent="0.3">
      <c r="B683" s="19">
        <f t="shared" si="66"/>
        <v>45776</v>
      </c>
      <c r="C683">
        <f t="shared" si="65"/>
        <v>9</v>
      </c>
      <c r="D683" s="169">
        <v>461</v>
      </c>
      <c r="E683">
        <f t="shared" si="63"/>
        <v>0.46100000000000002</v>
      </c>
    </row>
    <row r="684" spans="2:5" x14ac:dyDescent="0.3">
      <c r="B684" s="19">
        <f t="shared" si="66"/>
        <v>45776</v>
      </c>
      <c r="C684">
        <f t="shared" si="65"/>
        <v>10</v>
      </c>
      <c r="D684" s="169">
        <v>583</v>
      </c>
      <c r="E684">
        <f t="shared" si="63"/>
        <v>0.58299999999999996</v>
      </c>
    </row>
    <row r="685" spans="2:5" x14ac:dyDescent="0.3">
      <c r="B685" s="19">
        <f t="shared" si="66"/>
        <v>45776</v>
      </c>
      <c r="C685">
        <f t="shared" si="65"/>
        <v>11</v>
      </c>
      <c r="D685" s="169">
        <v>652</v>
      </c>
      <c r="E685">
        <f t="shared" si="63"/>
        <v>0.65200000000000002</v>
      </c>
    </row>
    <row r="686" spans="2:5" x14ac:dyDescent="0.3">
      <c r="B686" s="19">
        <f t="shared" si="66"/>
        <v>45776</v>
      </c>
      <c r="C686">
        <f t="shared" si="65"/>
        <v>12</v>
      </c>
      <c r="D686" s="169">
        <v>671</v>
      </c>
      <c r="E686">
        <f t="shared" si="63"/>
        <v>0.67100000000000004</v>
      </c>
    </row>
    <row r="687" spans="2:5" x14ac:dyDescent="0.3">
      <c r="B687" s="19">
        <f t="shared" si="66"/>
        <v>45776</v>
      </c>
      <c r="C687">
        <f t="shared" si="65"/>
        <v>13</v>
      </c>
      <c r="D687" s="169">
        <v>554</v>
      </c>
      <c r="E687">
        <f t="shared" si="63"/>
        <v>0.55400000000000005</v>
      </c>
    </row>
    <row r="688" spans="2:5" x14ac:dyDescent="0.3">
      <c r="B688" s="19">
        <f t="shared" si="66"/>
        <v>45776</v>
      </c>
      <c r="C688">
        <f t="shared" si="65"/>
        <v>14</v>
      </c>
      <c r="D688" s="169">
        <v>617</v>
      </c>
      <c r="E688">
        <f t="shared" si="63"/>
        <v>0.61699999999999999</v>
      </c>
    </row>
    <row r="689" spans="2:5" x14ac:dyDescent="0.3">
      <c r="B689" s="19">
        <f t="shared" si="66"/>
        <v>45776</v>
      </c>
      <c r="C689">
        <f t="shared" si="65"/>
        <v>15</v>
      </c>
      <c r="D689" s="169">
        <v>546</v>
      </c>
      <c r="E689">
        <f t="shared" si="63"/>
        <v>0.54600000000000004</v>
      </c>
    </row>
    <row r="690" spans="2:5" x14ac:dyDescent="0.3">
      <c r="B690" s="19">
        <f t="shared" si="66"/>
        <v>45776</v>
      </c>
      <c r="C690">
        <f t="shared" si="65"/>
        <v>16</v>
      </c>
      <c r="D690" s="169">
        <v>381</v>
      </c>
      <c r="E690">
        <f t="shared" si="63"/>
        <v>0.38100000000000001</v>
      </c>
    </row>
    <row r="691" spans="2:5" x14ac:dyDescent="0.3">
      <c r="B691" s="19">
        <f t="shared" si="66"/>
        <v>45776</v>
      </c>
      <c r="C691">
        <f t="shared" si="65"/>
        <v>17</v>
      </c>
      <c r="D691" s="169">
        <v>110</v>
      </c>
      <c r="E691">
        <f t="shared" si="63"/>
        <v>0.11</v>
      </c>
    </row>
    <row r="692" spans="2:5" x14ac:dyDescent="0.3">
      <c r="B692" s="19">
        <f t="shared" si="66"/>
        <v>45776</v>
      </c>
      <c r="C692">
        <f t="shared" si="65"/>
        <v>18</v>
      </c>
      <c r="D692" s="169">
        <v>43</v>
      </c>
      <c r="E692">
        <f t="shared" si="63"/>
        <v>4.2999999999999997E-2</v>
      </c>
    </row>
    <row r="693" spans="2:5" x14ac:dyDescent="0.3">
      <c r="B693" s="19">
        <f t="shared" si="66"/>
        <v>45776</v>
      </c>
      <c r="C693">
        <f t="shared" si="65"/>
        <v>19</v>
      </c>
      <c r="D693" s="169">
        <v>10</v>
      </c>
      <c r="E693">
        <f t="shared" si="63"/>
        <v>0.01</v>
      </c>
    </row>
    <row r="694" spans="2:5" x14ac:dyDescent="0.3">
      <c r="B694" s="19">
        <f t="shared" si="66"/>
        <v>45776</v>
      </c>
      <c r="C694">
        <f t="shared" si="65"/>
        <v>20</v>
      </c>
      <c r="D694" s="169">
        <v>0</v>
      </c>
      <c r="E694">
        <f t="shared" si="63"/>
        <v>0</v>
      </c>
    </row>
    <row r="695" spans="2:5" x14ac:dyDescent="0.3">
      <c r="B695" s="19">
        <f t="shared" si="66"/>
        <v>45776</v>
      </c>
      <c r="C695">
        <f t="shared" si="65"/>
        <v>21</v>
      </c>
      <c r="D695" s="169">
        <v>0</v>
      </c>
      <c r="E695">
        <f t="shared" si="63"/>
        <v>0</v>
      </c>
    </row>
    <row r="696" spans="2:5" x14ac:dyDescent="0.3">
      <c r="B696" s="19">
        <f t="shared" si="66"/>
        <v>45776</v>
      </c>
      <c r="C696">
        <f t="shared" si="65"/>
        <v>22</v>
      </c>
      <c r="D696" s="169">
        <v>0</v>
      </c>
      <c r="E696">
        <f t="shared" si="63"/>
        <v>0</v>
      </c>
    </row>
    <row r="697" spans="2:5" x14ac:dyDescent="0.3">
      <c r="B697" s="19">
        <f t="shared" si="66"/>
        <v>45776</v>
      </c>
      <c r="C697">
        <f t="shared" si="65"/>
        <v>23</v>
      </c>
      <c r="D697" s="169">
        <v>0</v>
      </c>
      <c r="E697">
        <f t="shared" si="63"/>
        <v>0</v>
      </c>
    </row>
    <row r="698" spans="2:5" x14ac:dyDescent="0.3">
      <c r="B698" s="19">
        <f t="shared" si="66"/>
        <v>45776</v>
      </c>
      <c r="C698">
        <f t="shared" si="65"/>
        <v>24</v>
      </c>
      <c r="D698" s="169">
        <v>0</v>
      </c>
      <c r="E698">
        <f t="shared" si="63"/>
        <v>0</v>
      </c>
    </row>
    <row r="699" spans="2:5" x14ac:dyDescent="0.3">
      <c r="B699" s="19">
        <f t="shared" si="66"/>
        <v>45777</v>
      </c>
      <c r="C699">
        <f t="shared" si="65"/>
        <v>1</v>
      </c>
      <c r="D699" s="169">
        <v>0</v>
      </c>
      <c r="E699">
        <f t="shared" si="63"/>
        <v>0</v>
      </c>
    </row>
    <row r="700" spans="2:5" x14ac:dyDescent="0.3">
      <c r="B700" s="19">
        <f t="shared" si="66"/>
        <v>45777</v>
      </c>
      <c r="C700">
        <f t="shared" si="65"/>
        <v>2</v>
      </c>
      <c r="D700" s="169">
        <v>0</v>
      </c>
      <c r="E700">
        <f t="shared" si="63"/>
        <v>0</v>
      </c>
    </row>
    <row r="701" spans="2:5" x14ac:dyDescent="0.3">
      <c r="B701" s="19">
        <f t="shared" si="66"/>
        <v>45777</v>
      </c>
      <c r="C701">
        <f t="shared" si="65"/>
        <v>3</v>
      </c>
      <c r="D701" s="169">
        <v>0</v>
      </c>
      <c r="E701">
        <f t="shared" si="63"/>
        <v>0</v>
      </c>
    </row>
    <row r="702" spans="2:5" x14ac:dyDescent="0.3">
      <c r="B702" s="19">
        <f t="shared" si="66"/>
        <v>45777</v>
      </c>
      <c r="C702">
        <f t="shared" si="65"/>
        <v>4</v>
      </c>
      <c r="D702" s="169">
        <v>0</v>
      </c>
      <c r="E702">
        <f t="shared" si="63"/>
        <v>0</v>
      </c>
    </row>
    <row r="703" spans="2:5" x14ac:dyDescent="0.3">
      <c r="B703" s="19">
        <f t="shared" si="66"/>
        <v>45777</v>
      </c>
      <c r="C703">
        <f t="shared" si="65"/>
        <v>5</v>
      </c>
      <c r="D703" s="169">
        <v>0</v>
      </c>
      <c r="E703">
        <f t="shared" si="63"/>
        <v>0</v>
      </c>
    </row>
    <row r="704" spans="2:5" x14ac:dyDescent="0.3">
      <c r="B704" s="19">
        <f t="shared" si="66"/>
        <v>45777</v>
      </c>
      <c r="C704">
        <f t="shared" si="65"/>
        <v>6</v>
      </c>
      <c r="D704" s="169">
        <v>4</v>
      </c>
      <c r="E704">
        <f t="shared" si="63"/>
        <v>4.0000000000000001E-3</v>
      </c>
    </row>
    <row r="705" spans="2:5" x14ac:dyDescent="0.3">
      <c r="B705" s="19">
        <f t="shared" si="66"/>
        <v>45777</v>
      </c>
      <c r="C705">
        <f t="shared" si="65"/>
        <v>7</v>
      </c>
      <c r="D705" s="169">
        <v>81</v>
      </c>
      <c r="E705">
        <f t="shared" si="63"/>
        <v>8.1000000000000003E-2</v>
      </c>
    </row>
    <row r="706" spans="2:5" x14ac:dyDescent="0.3">
      <c r="B706" s="19">
        <f t="shared" si="66"/>
        <v>45777</v>
      </c>
      <c r="C706">
        <f t="shared" si="65"/>
        <v>8</v>
      </c>
      <c r="D706" s="169">
        <v>273</v>
      </c>
      <c r="E706">
        <f t="shared" si="63"/>
        <v>0.27300000000000002</v>
      </c>
    </row>
    <row r="707" spans="2:5" x14ac:dyDescent="0.3">
      <c r="B707" s="19">
        <f t="shared" si="66"/>
        <v>45777</v>
      </c>
      <c r="C707">
        <f t="shared" si="65"/>
        <v>9</v>
      </c>
      <c r="D707" s="169">
        <v>453</v>
      </c>
      <c r="E707">
        <f t="shared" si="63"/>
        <v>0.45300000000000001</v>
      </c>
    </row>
    <row r="708" spans="2:5" x14ac:dyDescent="0.3">
      <c r="B708" s="19">
        <f t="shared" si="66"/>
        <v>45777</v>
      </c>
      <c r="C708">
        <f t="shared" si="65"/>
        <v>10</v>
      </c>
      <c r="D708" s="169">
        <v>586</v>
      </c>
      <c r="E708">
        <f t="shared" ref="E708:E722" si="67">D708/1000</f>
        <v>0.58599999999999997</v>
      </c>
    </row>
    <row r="709" spans="2:5" x14ac:dyDescent="0.3">
      <c r="B709" s="19">
        <f t="shared" si="66"/>
        <v>45777</v>
      </c>
      <c r="C709">
        <f t="shared" ref="C709:C722" si="68">IF(C708=24,1,C708+1)</f>
        <v>11</v>
      </c>
      <c r="D709" s="169">
        <v>654</v>
      </c>
      <c r="E709">
        <f t="shared" si="67"/>
        <v>0.65400000000000003</v>
      </c>
    </row>
    <row r="710" spans="2:5" x14ac:dyDescent="0.3">
      <c r="B710" s="19">
        <f t="shared" si="66"/>
        <v>45777</v>
      </c>
      <c r="C710">
        <f t="shared" si="68"/>
        <v>12</v>
      </c>
      <c r="D710" s="169">
        <v>668</v>
      </c>
      <c r="E710">
        <f t="shared" si="67"/>
        <v>0.66800000000000004</v>
      </c>
    </row>
    <row r="711" spans="2:5" x14ac:dyDescent="0.3">
      <c r="B711" s="19">
        <f t="shared" si="66"/>
        <v>45777</v>
      </c>
      <c r="C711">
        <f t="shared" si="68"/>
        <v>13</v>
      </c>
      <c r="D711" s="169">
        <v>672</v>
      </c>
      <c r="E711">
        <f t="shared" si="67"/>
        <v>0.67200000000000004</v>
      </c>
    </row>
    <row r="712" spans="2:5" x14ac:dyDescent="0.3">
      <c r="B712" s="19">
        <f t="shared" si="66"/>
        <v>45777</v>
      </c>
      <c r="C712">
        <f t="shared" si="68"/>
        <v>14</v>
      </c>
      <c r="D712" s="169">
        <v>848</v>
      </c>
      <c r="E712">
        <f t="shared" si="67"/>
        <v>0.84799999999999998</v>
      </c>
    </row>
    <row r="713" spans="2:5" x14ac:dyDescent="0.3">
      <c r="B713" s="19">
        <f t="shared" si="66"/>
        <v>45777</v>
      </c>
      <c r="C713">
        <f t="shared" si="68"/>
        <v>15</v>
      </c>
      <c r="D713" s="169">
        <v>932</v>
      </c>
      <c r="E713">
        <f t="shared" si="67"/>
        <v>0.93200000000000005</v>
      </c>
    </row>
    <row r="714" spans="2:5" x14ac:dyDescent="0.3">
      <c r="B714" s="19">
        <f t="shared" si="66"/>
        <v>45777</v>
      </c>
      <c r="C714">
        <f t="shared" si="68"/>
        <v>16</v>
      </c>
      <c r="D714" s="169">
        <v>703</v>
      </c>
      <c r="E714">
        <f t="shared" si="67"/>
        <v>0.70299999999999996</v>
      </c>
    </row>
    <row r="715" spans="2:5" x14ac:dyDescent="0.3">
      <c r="B715" s="19">
        <f t="shared" si="66"/>
        <v>45777</v>
      </c>
      <c r="C715">
        <f t="shared" si="68"/>
        <v>17</v>
      </c>
      <c r="D715" s="169">
        <v>501</v>
      </c>
      <c r="E715">
        <f t="shared" si="67"/>
        <v>0.501</v>
      </c>
    </row>
    <row r="716" spans="2:5" x14ac:dyDescent="0.3">
      <c r="B716" s="19">
        <f t="shared" si="66"/>
        <v>45777</v>
      </c>
      <c r="C716">
        <f t="shared" si="68"/>
        <v>18</v>
      </c>
      <c r="D716" s="169">
        <v>201</v>
      </c>
      <c r="E716">
        <f t="shared" si="67"/>
        <v>0.20100000000000001</v>
      </c>
    </row>
    <row r="717" spans="2:5" x14ac:dyDescent="0.3">
      <c r="B717" s="19">
        <f t="shared" si="66"/>
        <v>45777</v>
      </c>
      <c r="C717">
        <f t="shared" si="68"/>
        <v>19</v>
      </c>
      <c r="D717" s="169">
        <v>21</v>
      </c>
      <c r="E717">
        <f t="shared" si="67"/>
        <v>2.1000000000000001E-2</v>
      </c>
    </row>
    <row r="718" spans="2:5" x14ac:dyDescent="0.3">
      <c r="B718" s="19">
        <f t="shared" si="66"/>
        <v>45777</v>
      </c>
      <c r="C718">
        <f t="shared" si="68"/>
        <v>20</v>
      </c>
      <c r="D718" s="169">
        <v>0</v>
      </c>
      <c r="E718">
        <f t="shared" si="67"/>
        <v>0</v>
      </c>
    </row>
    <row r="719" spans="2:5" x14ac:dyDescent="0.3">
      <c r="B719" s="19">
        <f t="shared" si="66"/>
        <v>45777</v>
      </c>
      <c r="C719">
        <f t="shared" si="68"/>
        <v>21</v>
      </c>
      <c r="D719" s="169">
        <v>0</v>
      </c>
      <c r="E719">
        <f t="shared" si="67"/>
        <v>0</v>
      </c>
    </row>
    <row r="720" spans="2:5" x14ac:dyDescent="0.3">
      <c r="B720" s="19">
        <f t="shared" si="66"/>
        <v>45777</v>
      </c>
      <c r="C720">
        <f t="shared" si="68"/>
        <v>22</v>
      </c>
      <c r="D720" s="169">
        <v>0</v>
      </c>
      <c r="E720">
        <f t="shared" si="67"/>
        <v>0</v>
      </c>
    </row>
    <row r="721" spans="2:5" x14ac:dyDescent="0.3">
      <c r="B721" s="19">
        <f t="shared" si="66"/>
        <v>45777</v>
      </c>
      <c r="C721">
        <f t="shared" si="68"/>
        <v>23</v>
      </c>
      <c r="D721" s="169">
        <v>0</v>
      </c>
      <c r="E721">
        <f t="shared" si="67"/>
        <v>0</v>
      </c>
    </row>
    <row r="722" spans="2:5" x14ac:dyDescent="0.3">
      <c r="B722" s="19">
        <f t="shared" si="66"/>
        <v>45777</v>
      </c>
      <c r="C722">
        <f t="shared" si="68"/>
        <v>24</v>
      </c>
      <c r="D722" s="169">
        <v>0</v>
      </c>
      <c r="E722">
        <f t="shared" si="67"/>
        <v>0</v>
      </c>
    </row>
    <row r="723" spans="2:5" x14ac:dyDescent="0.3">
      <c r="B723" s="19"/>
      <c r="D723" s="169"/>
      <c r="E723"/>
    </row>
    <row r="724" spans="2:5" x14ac:dyDescent="0.3">
      <c r="B724" s="19"/>
      <c r="D724" s="169"/>
      <c r="E724"/>
    </row>
    <row r="725" spans="2:5" x14ac:dyDescent="0.3">
      <c r="B725" s="19"/>
      <c r="D725" s="169"/>
      <c r="E725"/>
    </row>
    <row r="726" spans="2:5" x14ac:dyDescent="0.3">
      <c r="B726" s="19"/>
      <c r="D726" s="169"/>
      <c r="E726"/>
    </row>
    <row r="727" spans="2:5" x14ac:dyDescent="0.3">
      <c r="B727" s="19"/>
      <c r="D727" s="169"/>
      <c r="E727"/>
    </row>
    <row r="728" spans="2:5" x14ac:dyDescent="0.3">
      <c r="B728" s="19"/>
      <c r="D728" s="169"/>
      <c r="E728"/>
    </row>
    <row r="729" spans="2:5" x14ac:dyDescent="0.3">
      <c r="B729" s="19"/>
      <c r="D729" s="169"/>
      <c r="E729"/>
    </row>
    <row r="730" spans="2:5" x14ac:dyDescent="0.3">
      <c r="B730" s="19"/>
      <c r="D730" s="169"/>
      <c r="E730"/>
    </row>
    <row r="731" spans="2:5" x14ac:dyDescent="0.3">
      <c r="B731" s="19"/>
      <c r="D731" s="169"/>
      <c r="E731"/>
    </row>
    <row r="732" spans="2:5" x14ac:dyDescent="0.3">
      <c r="B732" s="19"/>
      <c r="D732" s="169"/>
      <c r="E732"/>
    </row>
    <row r="733" spans="2:5" x14ac:dyDescent="0.3">
      <c r="B733" s="19"/>
      <c r="D733" s="169"/>
      <c r="E733"/>
    </row>
    <row r="734" spans="2:5" x14ac:dyDescent="0.3">
      <c r="B734" s="19"/>
      <c r="D734" s="169"/>
      <c r="E734"/>
    </row>
    <row r="735" spans="2:5" x14ac:dyDescent="0.3">
      <c r="B735" s="19"/>
      <c r="D735" s="169"/>
      <c r="E735"/>
    </row>
    <row r="736" spans="2:5" x14ac:dyDescent="0.3">
      <c r="B736" s="19"/>
      <c r="D736" s="169"/>
      <c r="E736"/>
    </row>
    <row r="737" spans="2:5" x14ac:dyDescent="0.3">
      <c r="B737" s="19"/>
      <c r="D737" s="169"/>
      <c r="E737"/>
    </row>
    <row r="738" spans="2:5" x14ac:dyDescent="0.3">
      <c r="B738" s="19"/>
      <c r="D738" s="169"/>
      <c r="E738"/>
    </row>
    <row r="739" spans="2:5" x14ac:dyDescent="0.3">
      <c r="B739" s="19"/>
      <c r="D739" s="169"/>
      <c r="E739"/>
    </row>
    <row r="740" spans="2:5" x14ac:dyDescent="0.3">
      <c r="B740" s="19"/>
      <c r="D740" s="169"/>
      <c r="E740"/>
    </row>
    <row r="741" spans="2:5" x14ac:dyDescent="0.3">
      <c r="B741" s="19"/>
      <c r="D741" s="169"/>
      <c r="E741"/>
    </row>
    <row r="742" spans="2:5" x14ac:dyDescent="0.3">
      <c r="B742" s="19"/>
      <c r="D742" s="169"/>
      <c r="E742"/>
    </row>
    <row r="743" spans="2:5" x14ac:dyDescent="0.3">
      <c r="B743" s="19"/>
      <c r="D743" s="169"/>
      <c r="E743"/>
    </row>
    <row r="744" spans="2:5" x14ac:dyDescent="0.3">
      <c r="B744" s="19"/>
      <c r="D744" s="169"/>
      <c r="E744"/>
    </row>
    <row r="745" spans="2:5" x14ac:dyDescent="0.3">
      <c r="B745" s="19"/>
      <c r="D745" s="169"/>
      <c r="E745"/>
    </row>
    <row r="746" spans="2:5" x14ac:dyDescent="0.3">
      <c r="B746" s="19"/>
      <c r="D746" s="169"/>
      <c r="E746"/>
    </row>
    <row r="747" spans="2:5" x14ac:dyDescent="0.3">
      <c r="B747" s="19"/>
      <c r="D747" s="169"/>
      <c r="E74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A1:AS779"/>
  <sheetViews>
    <sheetView zoomScale="80" zoomScaleNormal="80" workbookViewId="0">
      <selection activeCell="AE135" sqref="AE135"/>
    </sheetView>
  </sheetViews>
  <sheetFormatPr defaultRowHeight="14.4" x14ac:dyDescent="0.3"/>
  <cols>
    <col min="1" max="1" width="11.5546875" style="19" bestFit="1" customWidth="1"/>
    <col min="2" max="2" width="6.6640625" customWidth="1"/>
    <col min="4" max="4" width="9.5546875" bestFit="1" customWidth="1"/>
    <col min="5" max="5" width="9.5546875" customWidth="1"/>
    <col min="6" max="6" width="9.88671875" bestFit="1" customWidth="1"/>
    <col min="7" max="8" width="5.88671875" bestFit="1" customWidth="1"/>
    <col min="9" max="10" width="7.6640625" customWidth="1"/>
    <col min="11" max="11" width="10.33203125" customWidth="1"/>
    <col min="12" max="12" width="9.109375" style="179"/>
    <col min="15" max="15" width="18" style="149" bestFit="1" customWidth="1"/>
    <col min="16" max="16" width="7.88671875" style="149" customWidth="1"/>
    <col min="17" max="17" width="7.44140625" customWidth="1"/>
    <col min="18" max="19" width="4.6640625" bestFit="1" customWidth="1"/>
    <col min="20" max="20" width="5.109375" bestFit="1" customWidth="1"/>
    <col min="21" max="24" width="4.6640625" bestFit="1" customWidth="1"/>
    <col min="25" max="39" width="5.6640625" bestFit="1" customWidth="1"/>
    <col min="40" max="40" width="7.5546875" bestFit="1" customWidth="1"/>
    <col min="41" max="41" width="7.5546875" style="23" bestFit="1" customWidth="1"/>
    <col min="42" max="43" width="12.109375" bestFit="1" customWidth="1"/>
    <col min="44" max="44" width="11.109375" bestFit="1" customWidth="1"/>
  </cols>
  <sheetData>
    <row r="1" spans="1:41" x14ac:dyDescent="0.3">
      <c r="F1">
        <f t="shared" ref="F1:L1" si="0">SUM(F3:F722)</f>
        <v>3535</v>
      </c>
      <c r="G1">
        <f t="shared" si="0"/>
        <v>400</v>
      </c>
      <c r="H1">
        <f t="shared" si="0"/>
        <v>0</v>
      </c>
      <c r="I1">
        <f t="shared" si="0"/>
        <v>807</v>
      </c>
      <c r="J1">
        <f t="shared" si="0"/>
        <v>0</v>
      </c>
      <c r="K1">
        <f t="shared" si="0"/>
        <v>3935</v>
      </c>
      <c r="L1" s="129">
        <f t="shared" si="0"/>
        <v>2792.0379999999996</v>
      </c>
      <c r="M1" s="129"/>
      <c r="N1" s="176">
        <f>L1-I1-H1-G1-(F1-I1)</f>
        <v>-1142.9620000000004</v>
      </c>
      <c r="Q1" s="129"/>
      <c r="R1" s="129"/>
      <c r="T1" s="129"/>
    </row>
    <row r="2" spans="1:41" s="144" customFormat="1" ht="28.8" x14ac:dyDescent="0.3">
      <c r="A2" s="145" t="s">
        <v>11</v>
      </c>
      <c r="B2" s="147" t="s">
        <v>12</v>
      </c>
      <c r="C2" s="147" t="s">
        <v>13</v>
      </c>
      <c r="D2" s="147" t="s">
        <v>14</v>
      </c>
      <c r="E2" s="147" t="s">
        <v>15</v>
      </c>
      <c r="F2" s="147" t="s">
        <v>16</v>
      </c>
      <c r="G2" s="147" t="s">
        <v>17</v>
      </c>
      <c r="H2" s="147" t="s">
        <v>18</v>
      </c>
      <c r="I2" s="147" t="s">
        <v>19</v>
      </c>
      <c r="J2" s="147" t="s">
        <v>20</v>
      </c>
      <c r="K2" s="147" t="s">
        <v>21</v>
      </c>
      <c r="L2" s="180" t="s">
        <v>22</v>
      </c>
      <c r="M2" s="173"/>
      <c r="O2" s="183" t="str">
        <f>F2</f>
        <v>GE Served</v>
      </c>
      <c r="P2" s="183"/>
      <c r="AO2" s="147"/>
    </row>
    <row r="3" spans="1:41" x14ac:dyDescent="0.3">
      <c r="A3" s="19">
        <v>45748</v>
      </c>
      <c r="B3">
        <v>1</v>
      </c>
      <c r="C3" s="16">
        <f>IFERROR(MATCH(A4,NERCHolidays!$B$2:$B$121,0),0)</f>
        <v>0</v>
      </c>
      <c r="D3">
        <f>IF(AND(B3&gt;=8,B3&lt;=23),1,0)</f>
        <v>0</v>
      </c>
      <c r="E3" t="str">
        <f>IF(OR(WEEKDAY(A3)=1,C3&lt;&gt;0),"OP",IF(D3=0,"OP","PK"))</f>
        <v>OP</v>
      </c>
      <c r="F3">
        <f t="shared" ref="F3:F34" si="1">VLOOKUP(A3,$O$3:$AN$34,B3+2,FALSE)</f>
        <v>5</v>
      </c>
      <c r="G3">
        <f t="shared" ref="G3:G66" si="2">VLOOKUP(A3,$O$107:$AM$138,B3+1,FALSE)</f>
        <v>1</v>
      </c>
      <c r="H3">
        <f t="shared" ref="H3:H66" si="3">VLOOKUP(A3,$O$142:$AM$173,B3+1,FALSE)</f>
        <v>0</v>
      </c>
      <c r="I3">
        <f t="shared" ref="I3:I11" si="4">VLOOKUP(A3,$O$39:$AN$70,B3+2,FALSE)</f>
        <v>1</v>
      </c>
      <c r="J3">
        <f t="shared" ref="J3:J66" si="5">VLOOKUP(A3,$O$73:$AN$104,B3+2,FALSE)</f>
        <v>0</v>
      </c>
      <c r="K3">
        <f>VLOOKUP(A3,$O$175:$AM$206,B3+1,FALSE)</f>
        <v>6</v>
      </c>
      <c r="L3" s="179">
        <f>'Aztec Metered Load'!C7</f>
        <v>3.3109999999999999</v>
      </c>
      <c r="O3" s="146" t="s">
        <v>23</v>
      </c>
      <c r="P3" s="153" t="s">
        <v>24</v>
      </c>
      <c r="Q3" s="130" t="s">
        <v>25</v>
      </c>
      <c r="R3" s="130" t="s">
        <v>26</v>
      </c>
      <c r="S3" s="130" t="s">
        <v>27</v>
      </c>
      <c r="T3" s="130" t="s">
        <v>28</v>
      </c>
      <c r="U3" s="130" t="s">
        <v>29</v>
      </c>
      <c r="V3" s="130" t="s">
        <v>30</v>
      </c>
      <c r="W3" s="130" t="s">
        <v>31</v>
      </c>
      <c r="X3" s="130" t="s">
        <v>32</v>
      </c>
      <c r="Y3" s="130" t="s">
        <v>33</v>
      </c>
      <c r="Z3" s="130" t="s">
        <v>34</v>
      </c>
      <c r="AA3" s="130" t="s">
        <v>35</v>
      </c>
      <c r="AB3" s="130" t="s">
        <v>36</v>
      </c>
      <c r="AC3" s="130" t="s">
        <v>37</v>
      </c>
      <c r="AD3" s="130" t="s">
        <v>38</v>
      </c>
      <c r="AE3" s="130" t="s">
        <v>39</v>
      </c>
      <c r="AF3" s="130" t="s">
        <v>40</v>
      </c>
      <c r="AG3" s="130" t="s">
        <v>41</v>
      </c>
      <c r="AH3" s="130" t="s">
        <v>42</v>
      </c>
      <c r="AI3" s="130" t="s">
        <v>43</v>
      </c>
      <c r="AJ3" s="130" t="s">
        <v>44</v>
      </c>
      <c r="AK3" s="130" t="s">
        <v>45</v>
      </c>
      <c r="AL3" s="130" t="s">
        <v>46</v>
      </c>
      <c r="AM3" s="130" t="s">
        <v>47</v>
      </c>
      <c r="AN3" s="130" t="s">
        <v>48</v>
      </c>
      <c r="AO3" s="150" t="s">
        <v>49</v>
      </c>
    </row>
    <row r="4" spans="1:41" x14ac:dyDescent="0.3">
      <c r="A4" s="19">
        <f>IF(B3=24,A3+1,A3)</f>
        <v>45748</v>
      </c>
      <c r="B4">
        <f>IF(B3=24,1,B3+1)</f>
        <v>2</v>
      </c>
      <c r="C4" s="16">
        <f>IFERROR(MATCH(A5,NERCHolidays!$B$2:$B$121,0),0)</f>
        <v>0</v>
      </c>
      <c r="D4">
        <f t="shared" ref="D4:D67" si="6">IF(AND(B4&gt;=8,B4&lt;=23),1,0)</f>
        <v>0</v>
      </c>
      <c r="E4" t="str">
        <f t="shared" ref="E4:E66" si="7">IF(OR(WEEKDAY(A4)=1,C4&lt;&gt;0),"OP",IF(D4=0,"OP","PK"))</f>
        <v>OP</v>
      </c>
      <c r="F4">
        <f t="shared" si="1"/>
        <v>5</v>
      </c>
      <c r="G4">
        <f t="shared" si="2"/>
        <v>1</v>
      </c>
      <c r="H4">
        <f t="shared" si="3"/>
        <v>0</v>
      </c>
      <c r="I4">
        <f t="shared" si="4"/>
        <v>1</v>
      </c>
      <c r="J4">
        <f t="shared" si="5"/>
        <v>0</v>
      </c>
      <c r="K4">
        <f t="shared" ref="K4:K66" si="8">VLOOKUP(A4,$O$175:$AM$206,B4+1,FALSE)</f>
        <v>6</v>
      </c>
      <c r="L4" s="179">
        <f>'Aztec Metered Load'!C8</f>
        <v>3.3</v>
      </c>
      <c r="O4" s="148">
        <v>45748</v>
      </c>
      <c r="P4" s="147" t="s">
        <v>50</v>
      </c>
      <c r="Q4" s="174">
        <v>5</v>
      </c>
      <c r="R4" s="174">
        <v>5</v>
      </c>
      <c r="S4" s="174">
        <v>0</v>
      </c>
      <c r="T4" s="174">
        <v>5</v>
      </c>
      <c r="U4" s="174">
        <v>5</v>
      </c>
      <c r="V4" s="174">
        <v>5</v>
      </c>
      <c r="W4" s="174">
        <v>5</v>
      </c>
      <c r="X4" s="174">
        <v>5</v>
      </c>
      <c r="Y4" s="174">
        <v>5</v>
      </c>
      <c r="Z4" s="174">
        <v>5</v>
      </c>
      <c r="AA4" s="174">
        <v>5</v>
      </c>
      <c r="AB4" s="174">
        <v>5</v>
      </c>
      <c r="AC4" s="174">
        <v>5</v>
      </c>
      <c r="AD4" s="174">
        <v>5</v>
      </c>
      <c r="AE4" s="174">
        <v>5</v>
      </c>
      <c r="AF4" s="174">
        <v>5</v>
      </c>
      <c r="AG4" s="174">
        <v>5</v>
      </c>
      <c r="AH4" s="174">
        <v>5</v>
      </c>
      <c r="AI4" s="174">
        <v>5</v>
      </c>
      <c r="AJ4" s="174">
        <v>5</v>
      </c>
      <c r="AK4" s="174">
        <v>5</v>
      </c>
      <c r="AL4" s="174">
        <v>5</v>
      </c>
      <c r="AM4" s="174">
        <v>5</v>
      </c>
      <c r="AN4" s="174">
        <v>5</v>
      </c>
      <c r="AO4" s="151">
        <f>SUM(Q4:AN4)</f>
        <v>115</v>
      </c>
    </row>
    <row r="5" spans="1:41" x14ac:dyDescent="0.3">
      <c r="A5" s="19">
        <f t="shared" ref="A5:A68" si="9">IF(B4=24,A4+1,A4)</f>
        <v>45748</v>
      </c>
      <c r="B5">
        <f t="shared" ref="B5:B68" si="10">IF(B4=24,1,B4+1)</f>
        <v>3</v>
      </c>
      <c r="C5" s="16">
        <f>IFERROR(MATCH(A6,NERCHolidays!$B$2:$B$121,0),0)</f>
        <v>0</v>
      </c>
      <c r="D5">
        <f t="shared" si="6"/>
        <v>0</v>
      </c>
      <c r="E5" t="str">
        <f t="shared" si="7"/>
        <v>OP</v>
      </c>
      <c r="F5">
        <f t="shared" si="1"/>
        <v>0</v>
      </c>
      <c r="G5">
        <f t="shared" si="2"/>
        <v>1</v>
      </c>
      <c r="H5">
        <f t="shared" si="3"/>
        <v>0</v>
      </c>
      <c r="I5">
        <f t="shared" si="4"/>
        <v>2</v>
      </c>
      <c r="J5">
        <f t="shared" si="5"/>
        <v>0</v>
      </c>
      <c r="K5">
        <f t="shared" si="8"/>
        <v>1</v>
      </c>
      <c r="L5" s="179">
        <f>'Aztec Metered Load'!C9</f>
        <v>3.367</v>
      </c>
      <c r="O5" s="148">
        <f>O4+1</f>
        <v>45749</v>
      </c>
      <c r="P5" s="147" t="s">
        <v>50</v>
      </c>
      <c r="Q5" s="174">
        <v>5</v>
      </c>
      <c r="R5" s="174">
        <v>5</v>
      </c>
      <c r="S5" s="174">
        <v>5</v>
      </c>
      <c r="T5" s="174">
        <v>5</v>
      </c>
      <c r="U5" s="174">
        <v>5</v>
      </c>
      <c r="V5" s="174">
        <v>5</v>
      </c>
      <c r="W5" s="174">
        <v>5</v>
      </c>
      <c r="X5" s="174">
        <v>5</v>
      </c>
      <c r="Y5" s="174">
        <v>5</v>
      </c>
      <c r="Z5" s="174">
        <v>5</v>
      </c>
      <c r="AA5" s="174">
        <v>5</v>
      </c>
      <c r="AB5" s="174">
        <v>5</v>
      </c>
      <c r="AC5" s="174">
        <v>5</v>
      </c>
      <c r="AD5" s="174">
        <v>5</v>
      </c>
      <c r="AE5" s="174">
        <v>5</v>
      </c>
      <c r="AF5" s="174">
        <v>5</v>
      </c>
      <c r="AG5" s="174">
        <v>5</v>
      </c>
      <c r="AH5" s="174">
        <v>5</v>
      </c>
      <c r="AI5" s="174">
        <v>5</v>
      </c>
      <c r="AJ5" s="174">
        <v>5</v>
      </c>
      <c r="AK5" s="174">
        <v>5</v>
      </c>
      <c r="AL5" s="174">
        <v>5</v>
      </c>
      <c r="AM5" s="174">
        <v>5</v>
      </c>
      <c r="AN5" s="174">
        <v>5</v>
      </c>
      <c r="AO5" s="151">
        <f t="shared" ref="AO5:AO31" si="11">SUM(Q5:AN5)</f>
        <v>120</v>
      </c>
    </row>
    <row r="6" spans="1:41" x14ac:dyDescent="0.3">
      <c r="A6" s="19">
        <f t="shared" si="9"/>
        <v>45748</v>
      </c>
      <c r="B6">
        <f t="shared" si="10"/>
        <v>4</v>
      </c>
      <c r="C6" s="16">
        <f>IFERROR(MATCH(A7,NERCHolidays!$B$2:$B$121,0),0)</f>
        <v>0</v>
      </c>
      <c r="D6">
        <f t="shared" si="6"/>
        <v>0</v>
      </c>
      <c r="E6" t="str">
        <f t="shared" si="7"/>
        <v>OP</v>
      </c>
      <c r="F6">
        <f t="shared" si="1"/>
        <v>5</v>
      </c>
      <c r="G6">
        <f t="shared" si="2"/>
        <v>1</v>
      </c>
      <c r="H6">
        <f t="shared" si="3"/>
        <v>0</v>
      </c>
      <c r="I6">
        <f t="shared" si="4"/>
        <v>2</v>
      </c>
      <c r="J6">
        <f t="shared" si="5"/>
        <v>0</v>
      </c>
      <c r="K6">
        <f t="shared" si="8"/>
        <v>6</v>
      </c>
      <c r="L6" s="179">
        <f>'Aztec Metered Load'!C10</f>
        <v>3.49</v>
      </c>
      <c r="O6" s="148">
        <f t="shared" ref="O6:O33" si="12">O5+1</f>
        <v>45750</v>
      </c>
      <c r="P6" s="147" t="s">
        <v>50</v>
      </c>
      <c r="Q6" s="174">
        <v>5</v>
      </c>
      <c r="R6" s="174">
        <v>5</v>
      </c>
      <c r="S6" s="174">
        <v>5</v>
      </c>
      <c r="T6" s="174">
        <v>5</v>
      </c>
      <c r="U6" s="174">
        <v>5</v>
      </c>
      <c r="V6" s="174">
        <v>5</v>
      </c>
      <c r="W6" s="174">
        <v>5</v>
      </c>
      <c r="X6" s="174">
        <v>1</v>
      </c>
      <c r="Y6" s="174">
        <v>1</v>
      </c>
      <c r="Z6" s="174">
        <v>5</v>
      </c>
      <c r="AA6" s="174">
        <v>5</v>
      </c>
      <c r="AB6" s="174">
        <v>5</v>
      </c>
      <c r="AC6" s="174">
        <v>5</v>
      </c>
      <c r="AD6" s="174">
        <v>5</v>
      </c>
      <c r="AE6" s="174">
        <v>5</v>
      </c>
      <c r="AF6" s="174">
        <v>5</v>
      </c>
      <c r="AG6" s="174">
        <v>5</v>
      </c>
      <c r="AH6" s="174">
        <v>0</v>
      </c>
      <c r="AI6" s="174">
        <v>5</v>
      </c>
      <c r="AJ6" s="174">
        <v>5</v>
      </c>
      <c r="AK6" s="174">
        <v>5</v>
      </c>
      <c r="AL6" s="174">
        <v>5</v>
      </c>
      <c r="AM6" s="174">
        <v>5</v>
      </c>
      <c r="AN6" s="174">
        <v>5</v>
      </c>
      <c r="AO6" s="151">
        <f t="shared" si="11"/>
        <v>107</v>
      </c>
    </row>
    <row r="7" spans="1:41" x14ac:dyDescent="0.3">
      <c r="A7" s="19">
        <f t="shared" si="9"/>
        <v>45748</v>
      </c>
      <c r="B7">
        <f>IF(B6=24,1,B6+1)</f>
        <v>5</v>
      </c>
      <c r="C7" s="16">
        <f>IFERROR(MATCH(A8,NERCHolidays!$B$2:$B$121,0),0)</f>
        <v>0</v>
      </c>
      <c r="D7">
        <f t="shared" si="6"/>
        <v>0</v>
      </c>
      <c r="E7" t="str">
        <f t="shared" si="7"/>
        <v>OP</v>
      </c>
      <c r="F7">
        <f t="shared" si="1"/>
        <v>5</v>
      </c>
      <c r="G7">
        <f t="shared" si="2"/>
        <v>1</v>
      </c>
      <c r="H7">
        <f t="shared" si="3"/>
        <v>0</v>
      </c>
      <c r="I7">
        <f t="shared" si="4"/>
        <v>2</v>
      </c>
      <c r="J7">
        <f t="shared" si="5"/>
        <v>0</v>
      </c>
      <c r="K7">
        <f t="shared" si="8"/>
        <v>6</v>
      </c>
      <c r="L7" s="179">
        <f>'Aztec Metered Load'!C11</f>
        <v>3.7629999999999999</v>
      </c>
      <c r="O7" s="148">
        <f t="shared" si="12"/>
        <v>45751</v>
      </c>
      <c r="P7" s="147" t="s">
        <v>50</v>
      </c>
      <c r="Q7" s="174">
        <v>5</v>
      </c>
      <c r="R7" s="174">
        <v>5</v>
      </c>
      <c r="S7" s="174">
        <v>5</v>
      </c>
      <c r="T7" s="174">
        <v>5</v>
      </c>
      <c r="U7" s="174">
        <v>0</v>
      </c>
      <c r="V7" s="174">
        <v>0</v>
      </c>
      <c r="W7" s="174">
        <v>5</v>
      </c>
      <c r="X7" s="174">
        <v>5</v>
      </c>
      <c r="Y7" s="174">
        <v>5</v>
      </c>
      <c r="Z7" s="174">
        <v>5</v>
      </c>
      <c r="AA7" s="174">
        <v>5</v>
      </c>
      <c r="AB7" s="174">
        <v>5</v>
      </c>
      <c r="AC7" s="174">
        <v>5</v>
      </c>
      <c r="AD7" s="174">
        <v>5</v>
      </c>
      <c r="AE7" s="174">
        <v>5</v>
      </c>
      <c r="AF7" s="174">
        <v>5</v>
      </c>
      <c r="AG7" s="174">
        <v>5</v>
      </c>
      <c r="AH7" s="174">
        <v>5</v>
      </c>
      <c r="AI7" s="174">
        <v>5</v>
      </c>
      <c r="AJ7" s="174">
        <v>5</v>
      </c>
      <c r="AK7" s="174">
        <v>5</v>
      </c>
      <c r="AL7" s="174">
        <v>5</v>
      </c>
      <c r="AM7" s="174">
        <v>5</v>
      </c>
      <c r="AN7" s="174">
        <v>5</v>
      </c>
      <c r="AO7" s="151">
        <f t="shared" si="11"/>
        <v>110</v>
      </c>
    </row>
    <row r="8" spans="1:41" x14ac:dyDescent="0.3">
      <c r="A8" s="19">
        <f t="shared" si="9"/>
        <v>45748</v>
      </c>
      <c r="B8">
        <f t="shared" si="10"/>
        <v>6</v>
      </c>
      <c r="C8" s="16">
        <f>IFERROR(MATCH(A9,NERCHolidays!$B$2:$B$121,0),0)</f>
        <v>0</v>
      </c>
      <c r="D8">
        <f t="shared" si="6"/>
        <v>0</v>
      </c>
      <c r="E8" t="str">
        <f t="shared" si="7"/>
        <v>OP</v>
      </c>
      <c r="F8">
        <f t="shared" si="1"/>
        <v>5</v>
      </c>
      <c r="G8">
        <f t="shared" si="2"/>
        <v>1</v>
      </c>
      <c r="H8">
        <f t="shared" si="3"/>
        <v>0</v>
      </c>
      <c r="I8">
        <f t="shared" si="4"/>
        <v>2</v>
      </c>
      <c r="J8">
        <f t="shared" si="5"/>
        <v>0</v>
      </c>
      <c r="K8">
        <f t="shared" si="8"/>
        <v>6</v>
      </c>
      <c r="L8" s="179">
        <f>'Aztec Metered Load'!C12</f>
        <v>4.4569999999999999</v>
      </c>
      <c r="O8" s="148">
        <f t="shared" si="12"/>
        <v>45752</v>
      </c>
      <c r="P8" s="147" t="s">
        <v>50</v>
      </c>
      <c r="Q8" s="174">
        <v>5</v>
      </c>
      <c r="R8" s="174">
        <v>5</v>
      </c>
      <c r="S8" s="174">
        <v>5</v>
      </c>
      <c r="T8" s="174">
        <v>5</v>
      </c>
      <c r="U8" s="174">
        <v>5</v>
      </c>
      <c r="V8" s="174">
        <v>5</v>
      </c>
      <c r="W8" s="174">
        <v>5</v>
      </c>
      <c r="X8" s="174">
        <v>5</v>
      </c>
      <c r="Y8" s="174">
        <v>5</v>
      </c>
      <c r="Z8" s="174">
        <v>5</v>
      </c>
      <c r="AA8" s="174">
        <v>5</v>
      </c>
      <c r="AB8" s="174">
        <v>5</v>
      </c>
      <c r="AC8" s="174">
        <v>5</v>
      </c>
      <c r="AD8" s="174">
        <v>5</v>
      </c>
      <c r="AE8" s="174">
        <v>5</v>
      </c>
      <c r="AF8" s="174">
        <v>5</v>
      </c>
      <c r="AG8" s="174">
        <v>5</v>
      </c>
      <c r="AH8" s="174">
        <v>5</v>
      </c>
      <c r="AI8" s="174">
        <v>5</v>
      </c>
      <c r="AJ8" s="174">
        <v>5</v>
      </c>
      <c r="AK8" s="174">
        <v>5</v>
      </c>
      <c r="AL8" s="174">
        <v>5</v>
      </c>
      <c r="AM8" s="174">
        <v>5</v>
      </c>
      <c r="AN8" s="174">
        <v>5</v>
      </c>
      <c r="AO8" s="151">
        <f t="shared" si="11"/>
        <v>120</v>
      </c>
    </row>
    <row r="9" spans="1:41" x14ac:dyDescent="0.3">
      <c r="A9" s="19">
        <f t="shared" si="9"/>
        <v>45748</v>
      </c>
      <c r="B9">
        <f t="shared" si="10"/>
        <v>7</v>
      </c>
      <c r="C9" s="16">
        <f>IFERROR(MATCH(A10,NERCHolidays!$B$2:$B$121,0),0)</f>
        <v>0</v>
      </c>
      <c r="D9">
        <f t="shared" si="6"/>
        <v>0</v>
      </c>
      <c r="E9" t="str">
        <f t="shared" si="7"/>
        <v>OP</v>
      </c>
      <c r="F9">
        <f t="shared" si="1"/>
        <v>5</v>
      </c>
      <c r="G9">
        <f t="shared" si="2"/>
        <v>1</v>
      </c>
      <c r="H9">
        <f t="shared" si="3"/>
        <v>0</v>
      </c>
      <c r="I9">
        <f t="shared" si="4"/>
        <v>1</v>
      </c>
      <c r="J9">
        <f t="shared" si="5"/>
        <v>0</v>
      </c>
      <c r="K9">
        <f t="shared" si="8"/>
        <v>6</v>
      </c>
      <c r="L9" s="179">
        <f>'Aztec Metered Load'!C13</f>
        <v>4.7210000000000001</v>
      </c>
      <c r="O9" s="148">
        <f t="shared" si="12"/>
        <v>45753</v>
      </c>
      <c r="P9" s="147" t="s">
        <v>50</v>
      </c>
      <c r="Q9" s="174">
        <v>5</v>
      </c>
      <c r="R9" s="174">
        <v>5</v>
      </c>
      <c r="S9" s="174">
        <v>5</v>
      </c>
      <c r="T9" s="174">
        <v>5</v>
      </c>
      <c r="U9" s="174">
        <v>5</v>
      </c>
      <c r="V9" s="174">
        <v>5</v>
      </c>
      <c r="W9" s="174">
        <v>5</v>
      </c>
      <c r="X9" s="174">
        <v>5</v>
      </c>
      <c r="Y9" s="174">
        <v>5</v>
      </c>
      <c r="Z9" s="174">
        <v>5</v>
      </c>
      <c r="AA9" s="174">
        <v>5</v>
      </c>
      <c r="AB9" s="174">
        <v>5</v>
      </c>
      <c r="AC9" s="174">
        <v>5</v>
      </c>
      <c r="AD9" s="174">
        <v>5</v>
      </c>
      <c r="AE9" s="174">
        <v>5</v>
      </c>
      <c r="AF9" s="174">
        <v>5</v>
      </c>
      <c r="AG9" s="174">
        <v>5</v>
      </c>
      <c r="AH9" s="174">
        <v>5</v>
      </c>
      <c r="AI9" s="174">
        <v>5</v>
      </c>
      <c r="AJ9" s="174">
        <v>5</v>
      </c>
      <c r="AK9" s="174">
        <v>5</v>
      </c>
      <c r="AL9" s="174">
        <v>5</v>
      </c>
      <c r="AM9" s="174">
        <v>5</v>
      </c>
      <c r="AN9" s="174">
        <v>5</v>
      </c>
      <c r="AO9" s="151">
        <f t="shared" si="11"/>
        <v>120</v>
      </c>
    </row>
    <row r="10" spans="1:41" x14ac:dyDescent="0.3">
      <c r="A10" s="19">
        <f t="shared" si="9"/>
        <v>45748</v>
      </c>
      <c r="B10">
        <f t="shared" si="10"/>
        <v>8</v>
      </c>
      <c r="C10" s="16">
        <f>IFERROR(MATCH(A11,NERCHolidays!$B$2:$B$121,0),0)</f>
        <v>0</v>
      </c>
      <c r="D10">
        <f t="shared" si="6"/>
        <v>1</v>
      </c>
      <c r="E10" t="str">
        <f t="shared" si="7"/>
        <v>PK</v>
      </c>
      <c r="F10">
        <f t="shared" si="1"/>
        <v>5</v>
      </c>
      <c r="G10">
        <f t="shared" si="2"/>
        <v>1</v>
      </c>
      <c r="H10">
        <f t="shared" si="3"/>
        <v>0</v>
      </c>
      <c r="I10">
        <f t="shared" si="4"/>
        <v>1</v>
      </c>
      <c r="J10">
        <f t="shared" si="5"/>
        <v>0</v>
      </c>
      <c r="K10">
        <f t="shared" si="8"/>
        <v>6</v>
      </c>
      <c r="L10" s="179">
        <f>'Aztec Metered Load'!C14</f>
        <v>4.806</v>
      </c>
      <c r="O10" s="148">
        <f t="shared" si="12"/>
        <v>45754</v>
      </c>
      <c r="P10" s="147" t="s">
        <v>50</v>
      </c>
      <c r="Q10" s="174">
        <v>5</v>
      </c>
      <c r="R10" s="174">
        <v>5</v>
      </c>
      <c r="S10" s="174">
        <v>5</v>
      </c>
      <c r="T10" s="174">
        <v>5</v>
      </c>
      <c r="U10" s="174">
        <v>5</v>
      </c>
      <c r="V10" s="174">
        <v>5</v>
      </c>
      <c r="W10" s="174">
        <v>5</v>
      </c>
      <c r="X10" s="174">
        <v>5</v>
      </c>
      <c r="Y10" s="174">
        <v>5</v>
      </c>
      <c r="Z10" s="174">
        <v>5</v>
      </c>
      <c r="AA10" s="174">
        <v>5</v>
      </c>
      <c r="AB10" s="174">
        <v>5</v>
      </c>
      <c r="AC10" s="174">
        <v>5</v>
      </c>
      <c r="AD10" s="174">
        <v>5</v>
      </c>
      <c r="AE10" s="174">
        <v>5</v>
      </c>
      <c r="AF10" s="174">
        <v>5</v>
      </c>
      <c r="AG10" s="174">
        <v>5</v>
      </c>
      <c r="AH10" s="174">
        <v>5</v>
      </c>
      <c r="AI10" s="174">
        <v>5</v>
      </c>
      <c r="AJ10" s="174">
        <v>5</v>
      </c>
      <c r="AK10" s="174">
        <v>5</v>
      </c>
      <c r="AL10" s="174">
        <v>5</v>
      </c>
      <c r="AM10" s="174">
        <v>5</v>
      </c>
      <c r="AN10" s="174">
        <v>5</v>
      </c>
      <c r="AO10" s="151">
        <f t="shared" si="11"/>
        <v>120</v>
      </c>
    </row>
    <row r="11" spans="1:41" x14ac:dyDescent="0.3">
      <c r="A11" s="19">
        <f t="shared" si="9"/>
        <v>45748</v>
      </c>
      <c r="B11">
        <f t="shared" si="10"/>
        <v>9</v>
      </c>
      <c r="C11" s="16">
        <f>IFERROR(MATCH(A12,NERCHolidays!$B$2:$B$121,0),0)</f>
        <v>0</v>
      </c>
      <c r="D11">
        <f t="shared" si="6"/>
        <v>1</v>
      </c>
      <c r="E11" t="str">
        <f t="shared" si="7"/>
        <v>PK</v>
      </c>
      <c r="F11">
        <f t="shared" si="1"/>
        <v>5</v>
      </c>
      <c r="G11">
        <f t="shared" si="2"/>
        <v>1</v>
      </c>
      <c r="H11">
        <f t="shared" si="3"/>
        <v>0</v>
      </c>
      <c r="I11">
        <f t="shared" si="4"/>
        <v>1</v>
      </c>
      <c r="J11">
        <f t="shared" si="5"/>
        <v>0</v>
      </c>
      <c r="K11">
        <f t="shared" si="8"/>
        <v>6</v>
      </c>
      <c r="L11" s="179">
        <f>'Aztec Metered Load'!C15</f>
        <v>5.0140000000000002</v>
      </c>
      <c r="O11" s="148">
        <f t="shared" si="12"/>
        <v>45755</v>
      </c>
      <c r="P11" s="147" t="s">
        <v>50</v>
      </c>
      <c r="Q11" s="174">
        <v>5</v>
      </c>
      <c r="R11" s="174">
        <v>5</v>
      </c>
      <c r="S11" s="174">
        <v>5</v>
      </c>
      <c r="T11" s="174">
        <v>5</v>
      </c>
      <c r="U11" s="174">
        <v>5</v>
      </c>
      <c r="V11" s="174">
        <v>5</v>
      </c>
      <c r="W11" s="174">
        <v>5</v>
      </c>
      <c r="X11" s="174">
        <v>5</v>
      </c>
      <c r="Y11" s="174">
        <v>5</v>
      </c>
      <c r="Z11" s="174">
        <v>5</v>
      </c>
      <c r="AA11" s="174">
        <v>5</v>
      </c>
      <c r="AB11" s="174">
        <v>5</v>
      </c>
      <c r="AC11" s="174">
        <v>5</v>
      </c>
      <c r="AD11" s="174">
        <v>5</v>
      </c>
      <c r="AE11" s="174">
        <v>5</v>
      </c>
      <c r="AF11" s="174">
        <v>5</v>
      </c>
      <c r="AG11" s="174">
        <v>5</v>
      </c>
      <c r="AH11" s="174">
        <v>5</v>
      </c>
      <c r="AI11" s="174">
        <v>5</v>
      </c>
      <c r="AJ11" s="174">
        <v>5</v>
      </c>
      <c r="AK11" s="174">
        <v>5</v>
      </c>
      <c r="AL11" s="174">
        <v>5</v>
      </c>
      <c r="AM11" s="174">
        <v>5</v>
      </c>
      <c r="AN11" s="174">
        <v>5</v>
      </c>
      <c r="AO11" s="151">
        <f t="shared" si="11"/>
        <v>120</v>
      </c>
    </row>
    <row r="12" spans="1:41" x14ac:dyDescent="0.3">
      <c r="A12" s="19">
        <f t="shared" si="9"/>
        <v>45748</v>
      </c>
      <c r="B12">
        <f t="shared" si="10"/>
        <v>10</v>
      </c>
      <c r="C12" s="16">
        <f>IFERROR(MATCH(A13,NERCHolidays!$B$2:$B$121,0),0)</f>
        <v>0</v>
      </c>
      <c r="D12">
        <f t="shared" si="6"/>
        <v>1</v>
      </c>
      <c r="E12" t="str">
        <f t="shared" si="7"/>
        <v>PK</v>
      </c>
      <c r="F12" s="129">
        <f t="shared" si="1"/>
        <v>5</v>
      </c>
      <c r="G12">
        <f t="shared" si="2"/>
        <v>0</v>
      </c>
      <c r="H12">
        <f t="shared" si="3"/>
        <v>0</v>
      </c>
      <c r="I12">
        <f t="shared" ref="I12:I75" si="13">VLOOKUP(A12,$O$40:$AN$70,B12+2,FALSE)</f>
        <v>1</v>
      </c>
      <c r="J12">
        <f t="shared" si="5"/>
        <v>0</v>
      </c>
      <c r="K12">
        <f t="shared" si="8"/>
        <v>5</v>
      </c>
      <c r="L12" s="179">
        <f>'Aztec Metered Load'!C16</f>
        <v>5.1619999999999999</v>
      </c>
      <c r="O12" s="148">
        <f t="shared" si="12"/>
        <v>45756</v>
      </c>
      <c r="P12" s="147" t="s">
        <v>50</v>
      </c>
      <c r="Q12" s="174">
        <v>5</v>
      </c>
      <c r="R12" s="174">
        <v>5</v>
      </c>
      <c r="S12" s="174">
        <v>5</v>
      </c>
      <c r="T12" s="174">
        <v>5</v>
      </c>
      <c r="U12" s="174">
        <v>5</v>
      </c>
      <c r="V12" s="174">
        <v>5</v>
      </c>
      <c r="W12" s="174">
        <v>5</v>
      </c>
      <c r="X12" s="174">
        <v>5</v>
      </c>
      <c r="Y12" s="174">
        <v>5</v>
      </c>
      <c r="Z12" s="174">
        <v>5</v>
      </c>
      <c r="AA12" s="174">
        <v>5</v>
      </c>
      <c r="AB12" s="174">
        <v>5</v>
      </c>
      <c r="AC12" s="174">
        <v>5</v>
      </c>
      <c r="AD12" s="174">
        <v>5</v>
      </c>
      <c r="AE12" s="174">
        <v>5</v>
      </c>
      <c r="AF12" s="174">
        <v>5</v>
      </c>
      <c r="AG12" s="174">
        <v>5</v>
      </c>
      <c r="AH12" s="174">
        <v>5</v>
      </c>
      <c r="AI12" s="174">
        <v>5</v>
      </c>
      <c r="AJ12" s="174">
        <v>5</v>
      </c>
      <c r="AK12" s="174">
        <v>5</v>
      </c>
      <c r="AL12" s="174">
        <v>5</v>
      </c>
      <c r="AM12" s="174">
        <v>5</v>
      </c>
      <c r="AN12" s="174">
        <v>5</v>
      </c>
      <c r="AO12" s="151">
        <f t="shared" si="11"/>
        <v>120</v>
      </c>
    </row>
    <row r="13" spans="1:41" x14ac:dyDescent="0.3">
      <c r="A13" s="19">
        <f t="shared" si="9"/>
        <v>45748</v>
      </c>
      <c r="B13">
        <f t="shared" si="10"/>
        <v>11</v>
      </c>
      <c r="C13" s="16">
        <f>IFERROR(MATCH(A14,NERCHolidays!$B$2:$B$121,0),0)</f>
        <v>0</v>
      </c>
      <c r="D13">
        <f t="shared" si="6"/>
        <v>1</v>
      </c>
      <c r="E13" t="str">
        <f t="shared" si="7"/>
        <v>PK</v>
      </c>
      <c r="F13">
        <f t="shared" si="1"/>
        <v>5</v>
      </c>
      <c r="G13">
        <f t="shared" si="2"/>
        <v>0</v>
      </c>
      <c r="H13">
        <f t="shared" si="3"/>
        <v>0</v>
      </c>
      <c r="I13">
        <f t="shared" si="13"/>
        <v>1</v>
      </c>
      <c r="J13">
        <f t="shared" si="5"/>
        <v>0</v>
      </c>
      <c r="K13">
        <f t="shared" si="8"/>
        <v>5</v>
      </c>
      <c r="L13" s="179">
        <f>'Aztec Metered Load'!C17</f>
        <v>4.7510000000000003</v>
      </c>
      <c r="O13" s="148">
        <f t="shared" si="12"/>
        <v>45757</v>
      </c>
      <c r="P13" s="147" t="s">
        <v>50</v>
      </c>
      <c r="Q13" s="174">
        <v>5</v>
      </c>
      <c r="R13" s="174">
        <v>5</v>
      </c>
      <c r="S13" s="174">
        <v>5</v>
      </c>
      <c r="T13" s="174">
        <v>5</v>
      </c>
      <c r="U13" s="174">
        <v>5</v>
      </c>
      <c r="V13" s="174">
        <v>5</v>
      </c>
      <c r="W13" s="174">
        <v>5</v>
      </c>
      <c r="X13" s="174">
        <v>5</v>
      </c>
      <c r="Y13" s="174">
        <v>5</v>
      </c>
      <c r="Z13" s="174">
        <v>5</v>
      </c>
      <c r="AA13" s="174">
        <v>5</v>
      </c>
      <c r="AB13" s="174">
        <v>5</v>
      </c>
      <c r="AC13" s="174">
        <v>5</v>
      </c>
      <c r="AD13" s="174">
        <v>5</v>
      </c>
      <c r="AE13" s="174">
        <v>5</v>
      </c>
      <c r="AF13" s="174">
        <v>5</v>
      </c>
      <c r="AG13" s="174">
        <v>5</v>
      </c>
      <c r="AH13" s="174">
        <v>5</v>
      </c>
      <c r="AI13" s="174">
        <v>5</v>
      </c>
      <c r="AJ13" s="174">
        <v>5</v>
      </c>
      <c r="AK13" s="174">
        <v>5</v>
      </c>
      <c r="AL13" s="174">
        <v>5</v>
      </c>
      <c r="AM13" s="174">
        <v>5</v>
      </c>
      <c r="AN13" s="174">
        <v>5</v>
      </c>
      <c r="AO13" s="151">
        <f t="shared" si="11"/>
        <v>120</v>
      </c>
    </row>
    <row r="14" spans="1:41" x14ac:dyDescent="0.3">
      <c r="A14" s="19">
        <f t="shared" si="9"/>
        <v>45748</v>
      </c>
      <c r="B14">
        <f t="shared" si="10"/>
        <v>12</v>
      </c>
      <c r="C14" s="16">
        <f>IFERROR(MATCH(A15,NERCHolidays!$B$2:$B$121,0),0)</f>
        <v>0</v>
      </c>
      <c r="D14">
        <f t="shared" si="6"/>
        <v>1</v>
      </c>
      <c r="E14" t="str">
        <f t="shared" si="7"/>
        <v>PK</v>
      </c>
      <c r="F14">
        <f t="shared" si="1"/>
        <v>5</v>
      </c>
      <c r="G14">
        <f t="shared" si="2"/>
        <v>0</v>
      </c>
      <c r="H14">
        <f t="shared" si="3"/>
        <v>0</v>
      </c>
      <c r="I14">
        <f t="shared" si="13"/>
        <v>1</v>
      </c>
      <c r="J14">
        <f t="shared" si="5"/>
        <v>0</v>
      </c>
      <c r="K14">
        <f t="shared" si="8"/>
        <v>5</v>
      </c>
      <c r="L14" s="179">
        <f>'Aztec Metered Load'!C18</f>
        <v>4.2539999999999996</v>
      </c>
      <c r="O14" s="148">
        <f t="shared" si="12"/>
        <v>45758</v>
      </c>
      <c r="P14" s="147" t="s">
        <v>50</v>
      </c>
      <c r="Q14" s="174">
        <v>5</v>
      </c>
      <c r="R14" s="174">
        <v>5</v>
      </c>
      <c r="S14" s="174">
        <v>5</v>
      </c>
      <c r="T14" s="174">
        <v>5</v>
      </c>
      <c r="U14" s="174">
        <v>5</v>
      </c>
      <c r="V14" s="174">
        <v>5</v>
      </c>
      <c r="W14" s="174">
        <v>5</v>
      </c>
      <c r="X14" s="174">
        <v>5</v>
      </c>
      <c r="Y14" s="174">
        <v>5</v>
      </c>
      <c r="Z14" s="174">
        <v>5</v>
      </c>
      <c r="AA14" s="174">
        <v>5</v>
      </c>
      <c r="AB14" s="174">
        <v>5</v>
      </c>
      <c r="AC14" s="174">
        <v>5</v>
      </c>
      <c r="AD14" s="174">
        <v>5</v>
      </c>
      <c r="AE14" s="174">
        <v>5</v>
      </c>
      <c r="AF14" s="174">
        <v>5</v>
      </c>
      <c r="AG14" s="174">
        <v>5</v>
      </c>
      <c r="AH14" s="174">
        <v>5</v>
      </c>
      <c r="AI14" s="174">
        <v>5</v>
      </c>
      <c r="AJ14" s="174">
        <v>5</v>
      </c>
      <c r="AK14" s="174">
        <v>5</v>
      </c>
      <c r="AL14" s="174">
        <v>5</v>
      </c>
      <c r="AM14" s="174">
        <v>5</v>
      </c>
      <c r="AN14" s="174">
        <v>5</v>
      </c>
      <c r="AO14" s="151">
        <f t="shared" si="11"/>
        <v>120</v>
      </c>
    </row>
    <row r="15" spans="1:41" x14ac:dyDescent="0.3">
      <c r="A15" s="19">
        <f t="shared" si="9"/>
        <v>45748</v>
      </c>
      <c r="B15">
        <f t="shared" si="10"/>
        <v>13</v>
      </c>
      <c r="C15" s="16">
        <f>IFERROR(MATCH(A16,NERCHolidays!$B$2:$B$121,0),0)</f>
        <v>0</v>
      </c>
      <c r="D15">
        <f t="shared" si="6"/>
        <v>1</v>
      </c>
      <c r="E15" t="str">
        <f t="shared" si="7"/>
        <v>PK</v>
      </c>
      <c r="F15">
        <f t="shared" si="1"/>
        <v>5</v>
      </c>
      <c r="G15">
        <f t="shared" si="2"/>
        <v>0</v>
      </c>
      <c r="H15">
        <f t="shared" si="3"/>
        <v>0</v>
      </c>
      <c r="I15">
        <f t="shared" si="13"/>
        <v>1</v>
      </c>
      <c r="J15">
        <f t="shared" si="5"/>
        <v>0</v>
      </c>
      <c r="K15">
        <f t="shared" si="8"/>
        <v>5</v>
      </c>
      <c r="L15" s="179">
        <f>'Aztec Metered Load'!C19</f>
        <v>3.9489999999999998</v>
      </c>
      <c r="O15" s="148">
        <f t="shared" si="12"/>
        <v>45759</v>
      </c>
      <c r="P15" s="147" t="s">
        <v>50</v>
      </c>
      <c r="Q15" s="174">
        <v>5</v>
      </c>
      <c r="R15" s="174">
        <v>5</v>
      </c>
      <c r="S15" s="174">
        <v>5</v>
      </c>
      <c r="T15" s="174">
        <v>5</v>
      </c>
      <c r="U15" s="174">
        <v>5</v>
      </c>
      <c r="V15" s="174">
        <v>5</v>
      </c>
      <c r="W15" s="174">
        <v>5</v>
      </c>
      <c r="X15" s="174">
        <v>5</v>
      </c>
      <c r="Y15" s="174">
        <v>5</v>
      </c>
      <c r="Z15" s="174">
        <v>5</v>
      </c>
      <c r="AA15" s="174">
        <v>5</v>
      </c>
      <c r="AB15" s="174">
        <v>5</v>
      </c>
      <c r="AC15" s="174">
        <v>5</v>
      </c>
      <c r="AD15" s="174">
        <v>5</v>
      </c>
      <c r="AE15" s="174">
        <v>5</v>
      </c>
      <c r="AF15" s="174">
        <v>5</v>
      </c>
      <c r="AG15" s="174">
        <v>5</v>
      </c>
      <c r="AH15" s="174">
        <v>5</v>
      </c>
      <c r="AI15" s="174">
        <v>5</v>
      </c>
      <c r="AJ15" s="174">
        <v>5</v>
      </c>
      <c r="AK15" s="174">
        <v>5</v>
      </c>
      <c r="AL15" s="174">
        <v>5</v>
      </c>
      <c r="AM15" s="174">
        <v>5</v>
      </c>
      <c r="AN15" s="174">
        <v>5</v>
      </c>
      <c r="AO15" s="151">
        <f t="shared" si="11"/>
        <v>120</v>
      </c>
    </row>
    <row r="16" spans="1:41" x14ac:dyDescent="0.3">
      <c r="A16" s="19">
        <f t="shared" si="9"/>
        <v>45748</v>
      </c>
      <c r="B16">
        <f t="shared" si="10"/>
        <v>14</v>
      </c>
      <c r="C16" s="16">
        <f>IFERROR(MATCH(A17,NERCHolidays!$B$2:$B$121,0),0)</f>
        <v>0</v>
      </c>
      <c r="D16">
        <f t="shared" si="6"/>
        <v>1</v>
      </c>
      <c r="E16" t="str">
        <f t="shared" si="7"/>
        <v>PK</v>
      </c>
      <c r="F16">
        <f t="shared" si="1"/>
        <v>5</v>
      </c>
      <c r="G16">
        <f t="shared" si="2"/>
        <v>0</v>
      </c>
      <c r="H16">
        <f t="shared" si="3"/>
        <v>0</v>
      </c>
      <c r="I16">
        <f t="shared" si="13"/>
        <v>1</v>
      </c>
      <c r="J16">
        <f t="shared" si="5"/>
        <v>0</v>
      </c>
      <c r="K16">
        <f t="shared" si="8"/>
        <v>5</v>
      </c>
      <c r="L16" s="179">
        <f>'Aztec Metered Load'!C20</f>
        <v>4.2690000000000001</v>
      </c>
      <c r="O16" s="148">
        <f t="shared" si="12"/>
        <v>45760</v>
      </c>
      <c r="P16" s="147" t="s">
        <v>50</v>
      </c>
      <c r="Q16" s="174">
        <v>5</v>
      </c>
      <c r="R16" s="174">
        <v>5</v>
      </c>
      <c r="S16" s="174">
        <v>5</v>
      </c>
      <c r="T16" s="174">
        <v>5</v>
      </c>
      <c r="U16" s="174">
        <v>5</v>
      </c>
      <c r="V16" s="174">
        <v>5</v>
      </c>
      <c r="W16" s="174">
        <v>5</v>
      </c>
      <c r="X16" s="174">
        <v>5</v>
      </c>
      <c r="Y16" s="174">
        <v>5</v>
      </c>
      <c r="Z16" s="174">
        <v>5</v>
      </c>
      <c r="AA16" s="174">
        <v>5</v>
      </c>
      <c r="AB16" s="174">
        <v>5</v>
      </c>
      <c r="AC16" s="174">
        <v>5</v>
      </c>
      <c r="AD16" s="174">
        <v>5</v>
      </c>
      <c r="AE16" s="174">
        <v>5</v>
      </c>
      <c r="AF16" s="174">
        <v>5</v>
      </c>
      <c r="AG16" s="174">
        <v>5</v>
      </c>
      <c r="AH16" s="174">
        <v>5</v>
      </c>
      <c r="AI16" s="174">
        <v>5</v>
      </c>
      <c r="AJ16" s="174">
        <v>5</v>
      </c>
      <c r="AK16" s="174">
        <v>5</v>
      </c>
      <c r="AL16" s="174">
        <v>5</v>
      </c>
      <c r="AM16" s="174">
        <v>5</v>
      </c>
      <c r="AN16" s="174">
        <v>5</v>
      </c>
      <c r="AO16" s="151">
        <f t="shared" si="11"/>
        <v>120</v>
      </c>
    </row>
    <row r="17" spans="1:41" x14ac:dyDescent="0.3">
      <c r="A17" s="19">
        <f t="shared" si="9"/>
        <v>45748</v>
      </c>
      <c r="B17">
        <f t="shared" si="10"/>
        <v>15</v>
      </c>
      <c r="C17" s="16">
        <f>IFERROR(MATCH(A18,NERCHolidays!$B$2:$B$121,0),0)</f>
        <v>0</v>
      </c>
      <c r="D17">
        <f t="shared" si="6"/>
        <v>1</v>
      </c>
      <c r="E17" t="str">
        <f t="shared" si="7"/>
        <v>PK</v>
      </c>
      <c r="F17">
        <f t="shared" si="1"/>
        <v>5</v>
      </c>
      <c r="G17">
        <f t="shared" si="2"/>
        <v>0</v>
      </c>
      <c r="H17">
        <f t="shared" si="3"/>
        <v>0</v>
      </c>
      <c r="I17">
        <f t="shared" si="13"/>
        <v>1</v>
      </c>
      <c r="J17">
        <f t="shared" si="5"/>
        <v>0</v>
      </c>
      <c r="K17">
        <f t="shared" si="8"/>
        <v>5</v>
      </c>
      <c r="L17" s="179">
        <f>'Aztec Metered Load'!C21</f>
        <v>4.5369999999999999</v>
      </c>
      <c r="O17" s="148">
        <f t="shared" si="12"/>
        <v>45761</v>
      </c>
      <c r="P17" s="147" t="s">
        <v>50</v>
      </c>
      <c r="Q17" s="174">
        <v>5</v>
      </c>
      <c r="R17" s="174">
        <v>5</v>
      </c>
      <c r="S17" s="174">
        <v>5</v>
      </c>
      <c r="T17" s="174">
        <v>5</v>
      </c>
      <c r="U17" s="174">
        <v>5</v>
      </c>
      <c r="V17" s="174">
        <v>5</v>
      </c>
      <c r="W17" s="174">
        <v>5</v>
      </c>
      <c r="X17" s="174">
        <v>3</v>
      </c>
      <c r="Y17" s="174">
        <v>5</v>
      </c>
      <c r="Z17" s="174">
        <v>5</v>
      </c>
      <c r="AA17" s="174">
        <v>5</v>
      </c>
      <c r="AB17" s="174">
        <v>5</v>
      </c>
      <c r="AC17" s="174">
        <v>5</v>
      </c>
      <c r="AD17" s="174">
        <v>5</v>
      </c>
      <c r="AE17" s="174">
        <v>5</v>
      </c>
      <c r="AF17" s="174">
        <v>5</v>
      </c>
      <c r="AG17" s="174">
        <v>5</v>
      </c>
      <c r="AH17" s="174">
        <v>5</v>
      </c>
      <c r="AI17" s="174">
        <v>5</v>
      </c>
      <c r="AJ17" s="174">
        <v>5</v>
      </c>
      <c r="AK17" s="174">
        <v>5</v>
      </c>
      <c r="AL17" s="174">
        <v>5</v>
      </c>
      <c r="AM17" s="174">
        <v>5</v>
      </c>
      <c r="AN17" s="174">
        <v>5</v>
      </c>
      <c r="AO17" s="151">
        <f t="shared" si="11"/>
        <v>118</v>
      </c>
    </row>
    <row r="18" spans="1:41" x14ac:dyDescent="0.3">
      <c r="A18" s="19">
        <f t="shared" si="9"/>
        <v>45748</v>
      </c>
      <c r="B18">
        <f t="shared" si="10"/>
        <v>16</v>
      </c>
      <c r="C18" s="16">
        <f>IFERROR(MATCH(A19,NERCHolidays!$B$2:$B$121,0),0)</f>
        <v>0</v>
      </c>
      <c r="D18">
        <f t="shared" si="6"/>
        <v>1</v>
      </c>
      <c r="E18" t="str">
        <f t="shared" si="7"/>
        <v>PK</v>
      </c>
      <c r="F18">
        <f t="shared" si="1"/>
        <v>5</v>
      </c>
      <c r="G18">
        <f t="shared" si="2"/>
        <v>0</v>
      </c>
      <c r="H18">
        <f t="shared" si="3"/>
        <v>0</v>
      </c>
      <c r="I18">
        <f t="shared" si="13"/>
        <v>1</v>
      </c>
      <c r="J18">
        <f t="shared" si="5"/>
        <v>0</v>
      </c>
      <c r="K18">
        <f t="shared" si="8"/>
        <v>5</v>
      </c>
      <c r="L18" s="179">
        <f>'Aztec Metered Load'!C22</f>
        <v>4.3440000000000003</v>
      </c>
      <c r="O18" s="148">
        <f t="shared" si="12"/>
        <v>45762</v>
      </c>
      <c r="P18" s="147" t="s">
        <v>50</v>
      </c>
      <c r="Q18" s="174">
        <v>5</v>
      </c>
      <c r="R18" s="174">
        <v>5</v>
      </c>
      <c r="S18" s="174">
        <v>5</v>
      </c>
      <c r="T18" s="174">
        <v>4</v>
      </c>
      <c r="U18" s="174">
        <v>4</v>
      </c>
      <c r="V18" s="174">
        <v>4</v>
      </c>
      <c r="W18" s="174">
        <v>4</v>
      </c>
      <c r="X18" s="174">
        <v>4</v>
      </c>
      <c r="Y18" s="174">
        <v>5</v>
      </c>
      <c r="Z18" s="174">
        <v>5</v>
      </c>
      <c r="AA18" s="174">
        <v>5</v>
      </c>
      <c r="AB18" s="174">
        <v>5</v>
      </c>
      <c r="AC18" s="174">
        <v>5</v>
      </c>
      <c r="AD18" s="174">
        <v>5</v>
      </c>
      <c r="AE18" s="174">
        <v>5</v>
      </c>
      <c r="AF18" s="174">
        <v>5</v>
      </c>
      <c r="AG18" s="174">
        <v>5</v>
      </c>
      <c r="AH18" s="174">
        <v>5</v>
      </c>
      <c r="AI18" s="174">
        <v>5</v>
      </c>
      <c r="AJ18" s="174">
        <v>5</v>
      </c>
      <c r="AK18" s="174">
        <v>5</v>
      </c>
      <c r="AL18" s="174">
        <v>5</v>
      </c>
      <c r="AM18" s="174">
        <v>5</v>
      </c>
      <c r="AN18" s="174">
        <v>5</v>
      </c>
      <c r="AO18" s="151">
        <f t="shared" si="11"/>
        <v>115</v>
      </c>
    </row>
    <row r="19" spans="1:41" x14ac:dyDescent="0.3">
      <c r="A19" s="19">
        <f t="shared" si="9"/>
        <v>45748</v>
      </c>
      <c r="B19">
        <f t="shared" si="10"/>
        <v>17</v>
      </c>
      <c r="C19" s="16">
        <f>IFERROR(MATCH(A20,NERCHolidays!$B$2:$B$121,0),0)</f>
        <v>0</v>
      </c>
      <c r="D19">
        <f t="shared" si="6"/>
        <v>1</v>
      </c>
      <c r="E19" t="str">
        <f t="shared" si="7"/>
        <v>PK</v>
      </c>
      <c r="F19">
        <f t="shared" si="1"/>
        <v>5</v>
      </c>
      <c r="G19">
        <f t="shared" si="2"/>
        <v>0</v>
      </c>
      <c r="H19">
        <f t="shared" si="3"/>
        <v>0</v>
      </c>
      <c r="I19">
        <f t="shared" si="13"/>
        <v>1</v>
      </c>
      <c r="J19">
        <f t="shared" si="5"/>
        <v>0</v>
      </c>
      <c r="K19">
        <f t="shared" si="8"/>
        <v>5</v>
      </c>
      <c r="L19" s="179">
        <f>'Aztec Metered Load'!C23</f>
        <v>4.4349999999999996</v>
      </c>
      <c r="O19" s="148">
        <f t="shared" si="12"/>
        <v>45763</v>
      </c>
      <c r="P19" s="147" t="s">
        <v>50</v>
      </c>
      <c r="Q19" s="174">
        <v>5</v>
      </c>
      <c r="R19" s="174">
        <v>5</v>
      </c>
      <c r="S19" s="174">
        <v>5</v>
      </c>
      <c r="T19" s="174">
        <v>5</v>
      </c>
      <c r="U19" s="174">
        <v>5</v>
      </c>
      <c r="V19" s="174">
        <v>5</v>
      </c>
      <c r="W19" s="174">
        <v>5</v>
      </c>
      <c r="X19" s="174">
        <v>5</v>
      </c>
      <c r="Y19" s="174">
        <v>5</v>
      </c>
      <c r="Z19" s="174">
        <v>5</v>
      </c>
      <c r="AA19" s="174">
        <v>5</v>
      </c>
      <c r="AB19" s="174">
        <v>5</v>
      </c>
      <c r="AC19" s="174">
        <v>5</v>
      </c>
      <c r="AD19" s="174">
        <v>5</v>
      </c>
      <c r="AE19" s="174">
        <v>5</v>
      </c>
      <c r="AF19" s="174">
        <v>5</v>
      </c>
      <c r="AG19" s="174">
        <v>5</v>
      </c>
      <c r="AH19" s="174">
        <v>5</v>
      </c>
      <c r="AI19" s="174">
        <v>5</v>
      </c>
      <c r="AJ19" s="174">
        <v>5</v>
      </c>
      <c r="AK19" s="174">
        <v>5</v>
      </c>
      <c r="AL19" s="174">
        <v>5</v>
      </c>
      <c r="AM19" s="174">
        <v>5</v>
      </c>
      <c r="AN19" s="174">
        <v>5</v>
      </c>
      <c r="AO19" s="151">
        <f t="shared" si="11"/>
        <v>120</v>
      </c>
    </row>
    <row r="20" spans="1:41" x14ac:dyDescent="0.3">
      <c r="A20" s="19">
        <f t="shared" si="9"/>
        <v>45748</v>
      </c>
      <c r="B20">
        <f t="shared" si="10"/>
        <v>18</v>
      </c>
      <c r="C20" s="16">
        <f>IFERROR(MATCH(A21,NERCHolidays!$B$2:$B$121,0),0)</f>
        <v>0</v>
      </c>
      <c r="D20">
        <f t="shared" si="6"/>
        <v>1</v>
      </c>
      <c r="E20" t="str">
        <f t="shared" si="7"/>
        <v>PK</v>
      </c>
      <c r="F20">
        <f t="shared" si="1"/>
        <v>5</v>
      </c>
      <c r="G20">
        <f t="shared" si="2"/>
        <v>0</v>
      </c>
      <c r="H20">
        <f t="shared" si="3"/>
        <v>0</v>
      </c>
      <c r="I20">
        <f t="shared" si="13"/>
        <v>1</v>
      </c>
      <c r="J20">
        <f t="shared" si="5"/>
        <v>0</v>
      </c>
      <c r="K20">
        <f t="shared" si="8"/>
        <v>5</v>
      </c>
      <c r="L20" s="179">
        <f>'Aztec Metered Load'!C24</f>
        <v>4.4800000000000004</v>
      </c>
      <c r="O20" s="148">
        <f t="shared" si="12"/>
        <v>45764</v>
      </c>
      <c r="P20" s="147" t="s">
        <v>50</v>
      </c>
      <c r="Q20" s="174">
        <v>5</v>
      </c>
      <c r="R20" s="174">
        <v>5</v>
      </c>
      <c r="S20" s="174">
        <v>5</v>
      </c>
      <c r="T20" s="174">
        <v>5</v>
      </c>
      <c r="U20" s="174">
        <v>5</v>
      </c>
      <c r="V20" s="174">
        <v>5</v>
      </c>
      <c r="W20" s="174">
        <v>5</v>
      </c>
      <c r="X20" s="174">
        <v>5</v>
      </c>
      <c r="Y20" s="174">
        <v>5</v>
      </c>
      <c r="Z20" s="174">
        <v>5</v>
      </c>
      <c r="AA20" s="174">
        <v>5</v>
      </c>
      <c r="AB20" s="174">
        <v>5</v>
      </c>
      <c r="AC20" s="174">
        <v>5</v>
      </c>
      <c r="AD20" s="174">
        <v>5</v>
      </c>
      <c r="AE20" s="174">
        <v>5</v>
      </c>
      <c r="AF20" s="174">
        <v>5</v>
      </c>
      <c r="AG20" s="174">
        <v>5</v>
      </c>
      <c r="AH20" s="174">
        <v>5</v>
      </c>
      <c r="AI20" s="174">
        <v>5</v>
      </c>
      <c r="AJ20" s="174">
        <v>5</v>
      </c>
      <c r="AK20" s="174">
        <v>5</v>
      </c>
      <c r="AL20" s="174">
        <v>5</v>
      </c>
      <c r="AM20" s="174">
        <v>5</v>
      </c>
      <c r="AN20" s="174">
        <v>5</v>
      </c>
      <c r="AO20" s="151">
        <f t="shared" si="11"/>
        <v>120</v>
      </c>
    </row>
    <row r="21" spans="1:41" x14ac:dyDescent="0.3">
      <c r="A21" s="19">
        <f t="shared" si="9"/>
        <v>45748</v>
      </c>
      <c r="B21">
        <f t="shared" si="10"/>
        <v>19</v>
      </c>
      <c r="C21" s="16">
        <f>IFERROR(MATCH(A22,NERCHolidays!$B$2:$B$121,0),0)</f>
        <v>0</v>
      </c>
      <c r="D21">
        <f t="shared" si="6"/>
        <v>1</v>
      </c>
      <c r="E21" t="str">
        <f t="shared" si="7"/>
        <v>PK</v>
      </c>
      <c r="F21">
        <f t="shared" si="1"/>
        <v>5</v>
      </c>
      <c r="G21">
        <f t="shared" si="2"/>
        <v>1</v>
      </c>
      <c r="H21">
        <f t="shared" si="3"/>
        <v>0</v>
      </c>
      <c r="I21">
        <f t="shared" si="13"/>
        <v>1</v>
      </c>
      <c r="J21">
        <f t="shared" si="5"/>
        <v>0</v>
      </c>
      <c r="K21">
        <f t="shared" si="8"/>
        <v>6</v>
      </c>
      <c r="L21" s="179">
        <f>'Aztec Metered Load'!C25</f>
        <v>4.6609999999999996</v>
      </c>
      <c r="O21" s="148">
        <f t="shared" si="12"/>
        <v>45765</v>
      </c>
      <c r="P21" s="147" t="s">
        <v>50</v>
      </c>
      <c r="Q21" s="174">
        <v>5</v>
      </c>
      <c r="R21" s="174">
        <v>5</v>
      </c>
      <c r="S21" s="174">
        <v>5</v>
      </c>
      <c r="T21" s="174">
        <v>5</v>
      </c>
      <c r="U21" s="174">
        <v>5</v>
      </c>
      <c r="V21" s="174">
        <v>5</v>
      </c>
      <c r="W21" s="174">
        <v>5</v>
      </c>
      <c r="X21" s="174">
        <v>5</v>
      </c>
      <c r="Y21" s="174">
        <v>5</v>
      </c>
      <c r="Z21" s="174">
        <v>5</v>
      </c>
      <c r="AA21" s="174">
        <v>5</v>
      </c>
      <c r="AB21" s="174">
        <v>5</v>
      </c>
      <c r="AC21" s="174">
        <v>5</v>
      </c>
      <c r="AD21" s="174">
        <v>5</v>
      </c>
      <c r="AE21" s="174">
        <v>5</v>
      </c>
      <c r="AF21" s="174">
        <v>5</v>
      </c>
      <c r="AG21" s="174">
        <v>5</v>
      </c>
      <c r="AH21" s="174">
        <v>5</v>
      </c>
      <c r="AI21" s="174">
        <v>5</v>
      </c>
      <c r="AJ21" s="174">
        <v>5</v>
      </c>
      <c r="AK21" s="174">
        <v>5</v>
      </c>
      <c r="AL21" s="174">
        <v>5</v>
      </c>
      <c r="AM21" s="174">
        <v>5</v>
      </c>
      <c r="AN21" s="174">
        <v>5</v>
      </c>
      <c r="AO21" s="151">
        <f t="shared" si="11"/>
        <v>120</v>
      </c>
    </row>
    <row r="22" spans="1:41" x14ac:dyDescent="0.3">
      <c r="A22" s="19">
        <f t="shared" si="9"/>
        <v>45748</v>
      </c>
      <c r="B22">
        <f t="shared" si="10"/>
        <v>20</v>
      </c>
      <c r="C22" s="16">
        <f>IFERROR(MATCH(A23,NERCHolidays!$B$2:$B$121,0),0)</f>
        <v>0</v>
      </c>
      <c r="D22">
        <f t="shared" si="6"/>
        <v>1</v>
      </c>
      <c r="E22" t="str">
        <f t="shared" si="7"/>
        <v>PK</v>
      </c>
      <c r="F22">
        <f t="shared" si="1"/>
        <v>5</v>
      </c>
      <c r="G22">
        <f t="shared" si="2"/>
        <v>1</v>
      </c>
      <c r="H22">
        <f t="shared" si="3"/>
        <v>0</v>
      </c>
      <c r="I22">
        <f t="shared" si="13"/>
        <v>1</v>
      </c>
      <c r="J22">
        <f t="shared" si="5"/>
        <v>0</v>
      </c>
      <c r="K22">
        <f t="shared" si="8"/>
        <v>6</v>
      </c>
      <c r="L22" s="179">
        <f>'Aztec Metered Load'!C26</f>
        <v>4.8369999999999997</v>
      </c>
      <c r="O22" s="148">
        <f t="shared" si="12"/>
        <v>45766</v>
      </c>
      <c r="P22" s="147" t="s">
        <v>50</v>
      </c>
      <c r="Q22" s="174">
        <v>5</v>
      </c>
      <c r="R22" s="174">
        <v>0</v>
      </c>
      <c r="S22" s="174">
        <v>4</v>
      </c>
      <c r="T22" s="174">
        <v>5</v>
      </c>
      <c r="U22" s="174">
        <v>5</v>
      </c>
      <c r="V22" s="174">
        <v>5</v>
      </c>
      <c r="W22" s="174">
        <v>5</v>
      </c>
      <c r="X22" s="174">
        <v>5</v>
      </c>
      <c r="Y22" s="174">
        <v>0</v>
      </c>
      <c r="Z22" s="174">
        <v>5</v>
      </c>
      <c r="AA22" s="174">
        <v>5</v>
      </c>
      <c r="AB22" s="174">
        <v>5</v>
      </c>
      <c r="AC22" s="174">
        <v>5</v>
      </c>
      <c r="AD22" s="174">
        <v>5</v>
      </c>
      <c r="AE22" s="174">
        <v>5</v>
      </c>
      <c r="AF22" s="174">
        <v>5</v>
      </c>
      <c r="AG22" s="174">
        <v>5</v>
      </c>
      <c r="AH22" s="174">
        <v>0</v>
      </c>
      <c r="AI22" s="174">
        <v>5</v>
      </c>
      <c r="AJ22" s="174">
        <v>5</v>
      </c>
      <c r="AK22" s="174">
        <v>5</v>
      </c>
      <c r="AL22" s="174">
        <v>5</v>
      </c>
      <c r="AM22" s="174">
        <v>5</v>
      </c>
      <c r="AN22" s="174">
        <v>5</v>
      </c>
      <c r="AO22" s="151">
        <f t="shared" si="11"/>
        <v>104</v>
      </c>
    </row>
    <row r="23" spans="1:41" x14ac:dyDescent="0.3">
      <c r="A23" s="19">
        <f t="shared" si="9"/>
        <v>45748</v>
      </c>
      <c r="B23">
        <f t="shared" si="10"/>
        <v>21</v>
      </c>
      <c r="C23" s="16">
        <f>IFERROR(MATCH(A24,NERCHolidays!$B$2:$B$121,0),0)</f>
        <v>0</v>
      </c>
      <c r="D23">
        <f t="shared" si="6"/>
        <v>1</v>
      </c>
      <c r="E23" t="str">
        <f t="shared" si="7"/>
        <v>PK</v>
      </c>
      <c r="F23">
        <f t="shared" si="1"/>
        <v>5</v>
      </c>
      <c r="G23">
        <f t="shared" si="2"/>
        <v>1</v>
      </c>
      <c r="H23">
        <f t="shared" si="3"/>
        <v>0</v>
      </c>
      <c r="I23">
        <f t="shared" si="13"/>
        <v>1</v>
      </c>
      <c r="J23">
        <f t="shared" si="5"/>
        <v>0</v>
      </c>
      <c r="K23">
        <f t="shared" si="8"/>
        <v>6</v>
      </c>
      <c r="L23" s="179">
        <f>'Aztec Metered Load'!C27</f>
        <v>4.6369999999999996</v>
      </c>
      <c r="O23" s="148">
        <f t="shared" si="12"/>
        <v>45767</v>
      </c>
      <c r="P23" s="147" t="s">
        <v>50</v>
      </c>
      <c r="Q23" s="174">
        <v>0</v>
      </c>
      <c r="R23" s="174">
        <v>5</v>
      </c>
      <c r="S23" s="174">
        <v>5</v>
      </c>
      <c r="T23" s="174">
        <v>5</v>
      </c>
      <c r="U23" s="174">
        <v>5</v>
      </c>
      <c r="V23" s="174">
        <v>5</v>
      </c>
      <c r="W23" s="174">
        <v>5</v>
      </c>
      <c r="X23" s="174">
        <v>5</v>
      </c>
      <c r="Y23" s="174">
        <v>5</v>
      </c>
      <c r="Z23" s="174">
        <v>5</v>
      </c>
      <c r="AA23" s="174">
        <v>5</v>
      </c>
      <c r="AB23" s="174">
        <v>5</v>
      </c>
      <c r="AC23" s="174">
        <v>5</v>
      </c>
      <c r="AD23" s="174">
        <v>5</v>
      </c>
      <c r="AE23" s="174">
        <v>5</v>
      </c>
      <c r="AF23" s="174">
        <v>5</v>
      </c>
      <c r="AG23" s="174">
        <v>5</v>
      </c>
      <c r="AH23" s="174">
        <v>5</v>
      </c>
      <c r="AI23" s="174">
        <v>5</v>
      </c>
      <c r="AJ23" s="174">
        <v>5</v>
      </c>
      <c r="AK23" s="174">
        <v>5</v>
      </c>
      <c r="AL23" s="174">
        <v>5</v>
      </c>
      <c r="AM23" s="174">
        <v>5</v>
      </c>
      <c r="AN23" s="174">
        <v>5</v>
      </c>
      <c r="AO23" s="151">
        <f t="shared" si="11"/>
        <v>115</v>
      </c>
    </row>
    <row r="24" spans="1:41" x14ac:dyDescent="0.3">
      <c r="A24" s="19">
        <f t="shared" si="9"/>
        <v>45748</v>
      </c>
      <c r="B24">
        <f t="shared" si="10"/>
        <v>22</v>
      </c>
      <c r="C24" s="16">
        <f>IFERROR(MATCH(A25,NERCHolidays!$B$2:$B$121,0),0)</f>
        <v>0</v>
      </c>
      <c r="D24">
        <f t="shared" si="6"/>
        <v>1</v>
      </c>
      <c r="E24" t="str">
        <f t="shared" si="7"/>
        <v>PK</v>
      </c>
      <c r="F24">
        <f t="shared" si="1"/>
        <v>5</v>
      </c>
      <c r="G24">
        <f t="shared" si="2"/>
        <v>1</v>
      </c>
      <c r="H24">
        <f t="shared" si="3"/>
        <v>0</v>
      </c>
      <c r="I24">
        <f t="shared" si="13"/>
        <v>1</v>
      </c>
      <c r="J24">
        <f t="shared" si="5"/>
        <v>0</v>
      </c>
      <c r="K24">
        <f t="shared" si="8"/>
        <v>6</v>
      </c>
      <c r="L24" s="179">
        <f>'Aztec Metered Load'!C28</f>
        <v>4.3259999999999996</v>
      </c>
      <c r="O24" s="148">
        <f t="shared" si="12"/>
        <v>45768</v>
      </c>
      <c r="P24" s="147" t="s">
        <v>50</v>
      </c>
      <c r="Q24" s="174">
        <v>5</v>
      </c>
      <c r="R24" s="174">
        <v>5</v>
      </c>
      <c r="S24" s="174">
        <v>5</v>
      </c>
      <c r="T24" s="174">
        <v>5</v>
      </c>
      <c r="U24" s="174">
        <v>5</v>
      </c>
      <c r="V24" s="174">
        <v>5</v>
      </c>
      <c r="W24" s="174">
        <v>5</v>
      </c>
      <c r="X24" s="174">
        <v>5</v>
      </c>
      <c r="Y24" s="174">
        <v>5</v>
      </c>
      <c r="Z24" s="174">
        <v>5</v>
      </c>
      <c r="AA24" s="174">
        <v>5</v>
      </c>
      <c r="AB24" s="174">
        <v>5</v>
      </c>
      <c r="AC24" s="174">
        <v>5</v>
      </c>
      <c r="AD24" s="174">
        <v>5</v>
      </c>
      <c r="AE24" s="174">
        <v>5</v>
      </c>
      <c r="AF24" s="174">
        <v>5</v>
      </c>
      <c r="AG24" s="174">
        <v>5</v>
      </c>
      <c r="AH24" s="174">
        <v>5</v>
      </c>
      <c r="AI24" s="174">
        <v>5</v>
      </c>
      <c r="AJ24" s="174">
        <v>5</v>
      </c>
      <c r="AK24" s="174">
        <v>5</v>
      </c>
      <c r="AL24" s="174">
        <v>5</v>
      </c>
      <c r="AM24" s="174">
        <v>5</v>
      </c>
      <c r="AN24" s="174">
        <v>5</v>
      </c>
      <c r="AO24" s="151">
        <f t="shared" si="11"/>
        <v>120</v>
      </c>
    </row>
    <row r="25" spans="1:41" x14ac:dyDescent="0.3">
      <c r="A25" s="19">
        <f t="shared" si="9"/>
        <v>45748</v>
      </c>
      <c r="B25">
        <f t="shared" si="10"/>
        <v>23</v>
      </c>
      <c r="C25" s="16">
        <f>IFERROR(MATCH(A26,NERCHolidays!$B$2:$B$121,0),0)</f>
        <v>0</v>
      </c>
      <c r="D25">
        <f t="shared" si="6"/>
        <v>1</v>
      </c>
      <c r="E25" t="str">
        <f t="shared" si="7"/>
        <v>PK</v>
      </c>
      <c r="F25">
        <f t="shared" si="1"/>
        <v>5</v>
      </c>
      <c r="G25">
        <f t="shared" si="2"/>
        <v>1</v>
      </c>
      <c r="H25">
        <f t="shared" si="3"/>
        <v>0</v>
      </c>
      <c r="I25">
        <f t="shared" si="13"/>
        <v>1</v>
      </c>
      <c r="J25">
        <f t="shared" si="5"/>
        <v>0</v>
      </c>
      <c r="K25">
        <f t="shared" si="8"/>
        <v>6</v>
      </c>
      <c r="L25" s="179">
        <f>'Aztec Metered Load'!C29</f>
        <v>4.0750000000000002</v>
      </c>
      <c r="O25" s="148">
        <f t="shared" si="12"/>
        <v>45769</v>
      </c>
      <c r="P25" s="147" t="s">
        <v>50</v>
      </c>
      <c r="Q25" s="174">
        <v>5</v>
      </c>
      <c r="R25" s="174">
        <v>5</v>
      </c>
      <c r="S25" s="174">
        <v>5</v>
      </c>
      <c r="T25" s="174">
        <v>5</v>
      </c>
      <c r="U25" s="174">
        <v>5</v>
      </c>
      <c r="V25" s="174">
        <v>5</v>
      </c>
      <c r="W25" s="174">
        <v>5</v>
      </c>
      <c r="X25" s="174">
        <v>5</v>
      </c>
      <c r="Y25" s="174">
        <v>5</v>
      </c>
      <c r="Z25" s="174">
        <v>5</v>
      </c>
      <c r="AA25" s="174">
        <v>5</v>
      </c>
      <c r="AB25" s="174">
        <v>5</v>
      </c>
      <c r="AC25" s="174">
        <v>5</v>
      </c>
      <c r="AD25" s="174">
        <v>5</v>
      </c>
      <c r="AE25" s="174">
        <v>5</v>
      </c>
      <c r="AF25" s="174">
        <v>5</v>
      </c>
      <c r="AG25" s="174">
        <v>0</v>
      </c>
      <c r="AH25" s="174">
        <v>5</v>
      </c>
      <c r="AI25" s="174">
        <v>5</v>
      </c>
      <c r="AJ25" s="174">
        <v>5</v>
      </c>
      <c r="AK25" s="174">
        <v>5</v>
      </c>
      <c r="AL25" s="174">
        <v>5</v>
      </c>
      <c r="AM25" s="174">
        <v>5</v>
      </c>
      <c r="AN25" s="174">
        <v>5</v>
      </c>
      <c r="AO25" s="151">
        <f t="shared" si="11"/>
        <v>115</v>
      </c>
    </row>
    <row r="26" spans="1:41" x14ac:dyDescent="0.3">
      <c r="A26" s="19">
        <f t="shared" si="9"/>
        <v>45748</v>
      </c>
      <c r="B26">
        <f t="shared" si="10"/>
        <v>24</v>
      </c>
      <c r="C26" s="16">
        <f>IFERROR(MATCH(A27,NERCHolidays!$B$2:$B$121,0),0)</f>
        <v>0</v>
      </c>
      <c r="D26">
        <f t="shared" si="6"/>
        <v>0</v>
      </c>
      <c r="E26" t="str">
        <f t="shared" si="7"/>
        <v>OP</v>
      </c>
      <c r="F26">
        <f t="shared" si="1"/>
        <v>5</v>
      </c>
      <c r="G26">
        <f t="shared" si="2"/>
        <v>0</v>
      </c>
      <c r="H26">
        <f t="shared" si="3"/>
        <v>0</v>
      </c>
      <c r="I26">
        <f t="shared" si="13"/>
        <v>1</v>
      </c>
      <c r="J26">
        <f t="shared" si="5"/>
        <v>0</v>
      </c>
      <c r="K26">
        <f t="shared" si="8"/>
        <v>5</v>
      </c>
      <c r="L26" s="179">
        <f>'Aztec Metered Load'!C30</f>
        <v>3.923</v>
      </c>
      <c r="O26" s="148">
        <f t="shared" si="12"/>
        <v>45770</v>
      </c>
      <c r="P26" s="147" t="s">
        <v>50</v>
      </c>
      <c r="Q26" s="174">
        <v>5</v>
      </c>
      <c r="R26" s="174">
        <v>5</v>
      </c>
      <c r="S26" s="174">
        <v>5</v>
      </c>
      <c r="T26" s="174">
        <v>5</v>
      </c>
      <c r="U26" s="174">
        <v>5</v>
      </c>
      <c r="V26" s="174">
        <v>5</v>
      </c>
      <c r="W26" s="174">
        <v>5</v>
      </c>
      <c r="X26" s="174">
        <v>5</v>
      </c>
      <c r="Y26" s="174">
        <v>5</v>
      </c>
      <c r="Z26" s="174">
        <v>5</v>
      </c>
      <c r="AA26" s="174">
        <v>5</v>
      </c>
      <c r="AB26" s="174">
        <v>5</v>
      </c>
      <c r="AC26" s="174">
        <v>5</v>
      </c>
      <c r="AD26" s="174">
        <v>5</v>
      </c>
      <c r="AE26" s="174">
        <v>5</v>
      </c>
      <c r="AF26" s="174">
        <v>5</v>
      </c>
      <c r="AG26" s="174">
        <v>5</v>
      </c>
      <c r="AH26" s="174">
        <v>5</v>
      </c>
      <c r="AI26" s="174">
        <v>5</v>
      </c>
      <c r="AJ26" s="174">
        <v>0</v>
      </c>
      <c r="AK26" s="174">
        <v>10</v>
      </c>
      <c r="AL26" s="174">
        <v>5</v>
      </c>
      <c r="AM26" s="174">
        <v>5</v>
      </c>
      <c r="AN26" s="174">
        <v>5</v>
      </c>
      <c r="AO26" s="151">
        <f t="shared" si="11"/>
        <v>120</v>
      </c>
    </row>
    <row r="27" spans="1:41" x14ac:dyDescent="0.3">
      <c r="A27" s="19">
        <f t="shared" si="9"/>
        <v>45749</v>
      </c>
      <c r="B27">
        <f t="shared" si="10"/>
        <v>1</v>
      </c>
      <c r="C27" s="16">
        <f>IFERROR(MATCH(A28,NERCHolidays!$B$2:$B$121,0),0)</f>
        <v>0</v>
      </c>
      <c r="D27">
        <f>IF(AND(B27&gt;=8,B27&lt;=23),1,0)</f>
        <v>0</v>
      </c>
      <c r="E27" t="str">
        <f t="shared" si="7"/>
        <v>OP</v>
      </c>
      <c r="F27">
        <f t="shared" si="1"/>
        <v>5</v>
      </c>
      <c r="G27">
        <f t="shared" si="2"/>
        <v>1</v>
      </c>
      <c r="H27">
        <f t="shared" si="3"/>
        <v>0</v>
      </c>
      <c r="I27">
        <f t="shared" si="13"/>
        <v>1</v>
      </c>
      <c r="J27">
        <f t="shared" si="5"/>
        <v>0</v>
      </c>
      <c r="K27">
        <f t="shared" si="8"/>
        <v>6</v>
      </c>
      <c r="L27" s="179">
        <f>'Aztec Metered Load'!C31</f>
        <v>3.9129999999999998</v>
      </c>
      <c r="O27" s="148">
        <f t="shared" si="12"/>
        <v>45771</v>
      </c>
      <c r="P27" s="147" t="s">
        <v>50</v>
      </c>
      <c r="Q27" s="174">
        <v>5</v>
      </c>
      <c r="R27" s="174">
        <v>5</v>
      </c>
      <c r="S27" s="174">
        <v>5</v>
      </c>
      <c r="T27" s="174">
        <v>5</v>
      </c>
      <c r="U27" s="174">
        <v>5</v>
      </c>
      <c r="V27" s="174">
        <v>5</v>
      </c>
      <c r="W27" s="174">
        <v>5</v>
      </c>
      <c r="X27" s="174">
        <v>5</v>
      </c>
      <c r="Y27" s="174">
        <v>5</v>
      </c>
      <c r="Z27" s="174">
        <v>5</v>
      </c>
      <c r="AA27" s="174">
        <v>5</v>
      </c>
      <c r="AB27" s="174">
        <v>5</v>
      </c>
      <c r="AC27" s="174">
        <v>5</v>
      </c>
      <c r="AD27" s="174">
        <v>0</v>
      </c>
      <c r="AE27" s="174">
        <v>5</v>
      </c>
      <c r="AF27" s="174">
        <v>5</v>
      </c>
      <c r="AG27" s="174">
        <v>5</v>
      </c>
      <c r="AH27" s="174">
        <v>5</v>
      </c>
      <c r="AI27" s="174">
        <v>5</v>
      </c>
      <c r="AJ27" s="174">
        <v>5</v>
      </c>
      <c r="AK27" s="174">
        <v>5</v>
      </c>
      <c r="AL27" s="174">
        <v>5</v>
      </c>
      <c r="AM27" s="174">
        <v>5</v>
      </c>
      <c r="AN27" s="174">
        <v>5</v>
      </c>
      <c r="AO27" s="151">
        <f t="shared" si="11"/>
        <v>115</v>
      </c>
    </row>
    <row r="28" spans="1:41" x14ac:dyDescent="0.3">
      <c r="A28" s="19">
        <f t="shared" si="9"/>
        <v>45749</v>
      </c>
      <c r="B28">
        <f t="shared" si="10"/>
        <v>2</v>
      </c>
      <c r="C28" s="16">
        <f>IFERROR(MATCH(A29,NERCHolidays!$B$2:$B$121,0),0)</f>
        <v>0</v>
      </c>
      <c r="D28">
        <f t="shared" si="6"/>
        <v>0</v>
      </c>
      <c r="E28" t="str">
        <f t="shared" si="7"/>
        <v>OP</v>
      </c>
      <c r="F28">
        <f t="shared" si="1"/>
        <v>5</v>
      </c>
      <c r="G28">
        <f t="shared" si="2"/>
        <v>1</v>
      </c>
      <c r="H28">
        <f t="shared" si="3"/>
        <v>0</v>
      </c>
      <c r="I28">
        <f t="shared" si="13"/>
        <v>1</v>
      </c>
      <c r="J28">
        <f t="shared" si="5"/>
        <v>0</v>
      </c>
      <c r="K28">
        <f t="shared" si="8"/>
        <v>6</v>
      </c>
      <c r="L28" s="179">
        <f>'Aztec Metered Load'!C32</f>
        <v>3.9359999999999999</v>
      </c>
      <c r="O28" s="148">
        <f t="shared" si="12"/>
        <v>45772</v>
      </c>
      <c r="P28" s="147" t="s">
        <v>50</v>
      </c>
      <c r="Q28" s="174">
        <v>5</v>
      </c>
      <c r="R28" s="174">
        <v>5</v>
      </c>
      <c r="S28" s="174">
        <v>5</v>
      </c>
      <c r="T28" s="174">
        <v>5</v>
      </c>
      <c r="U28" s="174">
        <v>5</v>
      </c>
      <c r="V28" s="174">
        <v>5</v>
      </c>
      <c r="W28" s="174">
        <v>5</v>
      </c>
      <c r="X28" s="174">
        <v>5</v>
      </c>
      <c r="Y28" s="174">
        <v>5</v>
      </c>
      <c r="Z28" s="174">
        <v>5</v>
      </c>
      <c r="AA28" s="174">
        <v>5</v>
      </c>
      <c r="AB28" s="174">
        <v>5</v>
      </c>
      <c r="AC28" s="174">
        <v>5</v>
      </c>
      <c r="AD28" s="174">
        <v>5</v>
      </c>
      <c r="AE28" s="174">
        <v>5</v>
      </c>
      <c r="AF28" s="174">
        <v>5</v>
      </c>
      <c r="AG28" s="174">
        <v>5</v>
      </c>
      <c r="AH28" s="174">
        <v>5</v>
      </c>
      <c r="AI28" s="174">
        <v>5</v>
      </c>
      <c r="AJ28" s="174">
        <v>5</v>
      </c>
      <c r="AK28" s="174">
        <v>0</v>
      </c>
      <c r="AL28" s="174">
        <v>10</v>
      </c>
      <c r="AM28" s="174">
        <v>5</v>
      </c>
      <c r="AN28" s="174">
        <v>2</v>
      </c>
      <c r="AO28" s="151">
        <f t="shared" si="11"/>
        <v>117</v>
      </c>
    </row>
    <row r="29" spans="1:41" x14ac:dyDescent="0.3">
      <c r="A29" s="19">
        <f t="shared" si="9"/>
        <v>45749</v>
      </c>
      <c r="B29">
        <f t="shared" si="10"/>
        <v>3</v>
      </c>
      <c r="C29" s="16">
        <f>IFERROR(MATCH(A30,NERCHolidays!$B$2:$B$121,0),0)</f>
        <v>0</v>
      </c>
      <c r="D29">
        <f t="shared" si="6"/>
        <v>0</v>
      </c>
      <c r="E29" t="str">
        <f t="shared" si="7"/>
        <v>OP</v>
      </c>
      <c r="F29">
        <f t="shared" si="1"/>
        <v>5</v>
      </c>
      <c r="G29">
        <f t="shared" si="2"/>
        <v>1</v>
      </c>
      <c r="H29">
        <f t="shared" si="3"/>
        <v>0</v>
      </c>
      <c r="I29">
        <f t="shared" si="13"/>
        <v>2</v>
      </c>
      <c r="J29">
        <f t="shared" si="5"/>
        <v>0</v>
      </c>
      <c r="K29">
        <f t="shared" si="8"/>
        <v>6</v>
      </c>
      <c r="L29" s="179">
        <f>'Aztec Metered Load'!C33</f>
        <v>4.0279999999999996</v>
      </c>
      <c r="O29" s="148">
        <f t="shared" si="12"/>
        <v>45773</v>
      </c>
      <c r="P29" s="147" t="s">
        <v>50</v>
      </c>
      <c r="Q29" s="174">
        <v>5</v>
      </c>
      <c r="R29" s="174">
        <v>5</v>
      </c>
      <c r="S29" s="174">
        <v>5</v>
      </c>
      <c r="T29" s="174">
        <v>5</v>
      </c>
      <c r="U29" s="174">
        <v>10</v>
      </c>
      <c r="V29" s="174">
        <v>5</v>
      </c>
      <c r="W29" s="174">
        <v>5</v>
      </c>
      <c r="X29" s="174">
        <v>5</v>
      </c>
      <c r="Y29" s="174">
        <v>5</v>
      </c>
      <c r="Z29" s="174">
        <v>5</v>
      </c>
      <c r="AA29" s="174">
        <v>5</v>
      </c>
      <c r="AB29" s="174">
        <v>5</v>
      </c>
      <c r="AC29" s="174">
        <v>5</v>
      </c>
      <c r="AD29" s="174">
        <v>5</v>
      </c>
      <c r="AE29" s="174">
        <v>5</v>
      </c>
      <c r="AF29" s="174">
        <v>5</v>
      </c>
      <c r="AG29" s="174">
        <v>5</v>
      </c>
      <c r="AH29" s="174">
        <v>5</v>
      </c>
      <c r="AI29" s="174">
        <v>5</v>
      </c>
      <c r="AJ29" s="174">
        <v>5</v>
      </c>
      <c r="AK29" s="174">
        <v>5</v>
      </c>
      <c r="AL29" s="174">
        <v>10</v>
      </c>
      <c r="AM29" s="174">
        <v>10</v>
      </c>
      <c r="AN29" s="174">
        <v>5</v>
      </c>
      <c r="AO29" s="151">
        <f t="shared" si="11"/>
        <v>135</v>
      </c>
    </row>
    <row r="30" spans="1:41" x14ac:dyDescent="0.3">
      <c r="A30" s="19">
        <f t="shared" si="9"/>
        <v>45749</v>
      </c>
      <c r="B30">
        <f t="shared" si="10"/>
        <v>4</v>
      </c>
      <c r="C30" s="16">
        <f>IFERROR(MATCH(A31,NERCHolidays!$B$2:$B$121,0),0)</f>
        <v>0</v>
      </c>
      <c r="D30">
        <f t="shared" si="6"/>
        <v>0</v>
      </c>
      <c r="E30" t="str">
        <f t="shared" si="7"/>
        <v>OP</v>
      </c>
      <c r="F30">
        <f t="shared" si="1"/>
        <v>5</v>
      </c>
      <c r="G30">
        <f t="shared" si="2"/>
        <v>1</v>
      </c>
      <c r="H30">
        <f t="shared" si="3"/>
        <v>0</v>
      </c>
      <c r="I30">
        <f t="shared" si="13"/>
        <v>2</v>
      </c>
      <c r="J30">
        <f t="shared" si="5"/>
        <v>0</v>
      </c>
      <c r="K30">
        <f t="shared" si="8"/>
        <v>6</v>
      </c>
      <c r="L30" s="179">
        <f>'Aztec Metered Load'!C34</f>
        <v>4.2130000000000001</v>
      </c>
      <c r="O30" s="148">
        <f t="shared" si="12"/>
        <v>45774</v>
      </c>
      <c r="P30" s="147" t="s">
        <v>50</v>
      </c>
      <c r="Q30" s="174">
        <v>4</v>
      </c>
      <c r="R30" s="174">
        <v>4</v>
      </c>
      <c r="S30" s="174">
        <v>5</v>
      </c>
      <c r="T30" s="174">
        <v>5</v>
      </c>
      <c r="U30" s="174">
        <v>4</v>
      </c>
      <c r="V30" s="174">
        <v>4</v>
      </c>
      <c r="W30" s="174">
        <v>5</v>
      </c>
      <c r="X30" s="174">
        <v>5</v>
      </c>
      <c r="Y30" s="174">
        <v>5</v>
      </c>
      <c r="Z30" s="174">
        <v>5</v>
      </c>
      <c r="AA30" s="174">
        <v>5</v>
      </c>
      <c r="AB30" s="174">
        <v>5</v>
      </c>
      <c r="AC30" s="174">
        <v>5</v>
      </c>
      <c r="AD30" s="174">
        <v>5</v>
      </c>
      <c r="AE30" s="174">
        <v>5</v>
      </c>
      <c r="AF30" s="174">
        <v>5</v>
      </c>
      <c r="AG30" s="174">
        <v>5</v>
      </c>
      <c r="AH30" s="174">
        <v>5</v>
      </c>
      <c r="AI30" s="174">
        <v>5</v>
      </c>
      <c r="AJ30" s="174">
        <v>5</v>
      </c>
      <c r="AK30" s="174">
        <v>5</v>
      </c>
      <c r="AL30" s="174">
        <v>5</v>
      </c>
      <c r="AM30" s="174">
        <v>5</v>
      </c>
      <c r="AN30" s="174">
        <v>2</v>
      </c>
      <c r="AO30" s="151">
        <f t="shared" si="11"/>
        <v>113</v>
      </c>
    </row>
    <row r="31" spans="1:41" x14ac:dyDescent="0.3">
      <c r="A31" s="19">
        <f t="shared" si="9"/>
        <v>45749</v>
      </c>
      <c r="B31">
        <f t="shared" si="10"/>
        <v>5</v>
      </c>
      <c r="C31" s="16">
        <f>IFERROR(MATCH(A32,NERCHolidays!$B$2:$B$121,0),0)</f>
        <v>0</v>
      </c>
      <c r="D31">
        <f t="shared" si="6"/>
        <v>0</v>
      </c>
      <c r="E31" t="str">
        <f t="shared" si="7"/>
        <v>OP</v>
      </c>
      <c r="F31">
        <f t="shared" si="1"/>
        <v>5</v>
      </c>
      <c r="G31">
        <f t="shared" si="2"/>
        <v>1</v>
      </c>
      <c r="H31">
        <f t="shared" si="3"/>
        <v>0</v>
      </c>
      <c r="I31">
        <f t="shared" si="13"/>
        <v>2</v>
      </c>
      <c r="J31">
        <f t="shared" si="5"/>
        <v>0</v>
      </c>
      <c r="K31">
        <f t="shared" si="8"/>
        <v>6</v>
      </c>
      <c r="L31" s="179">
        <f>'Aztec Metered Load'!C35</f>
        <v>4.6070000000000002</v>
      </c>
      <c r="O31" s="148">
        <f t="shared" si="12"/>
        <v>45775</v>
      </c>
      <c r="P31" s="147" t="s">
        <v>50</v>
      </c>
      <c r="Q31" s="174">
        <v>7</v>
      </c>
      <c r="R31" s="174">
        <v>8</v>
      </c>
      <c r="S31" s="174">
        <v>9</v>
      </c>
      <c r="T31" s="174">
        <v>3</v>
      </c>
      <c r="U31" s="174">
        <v>8</v>
      </c>
      <c r="V31" s="174">
        <v>3</v>
      </c>
      <c r="W31" s="174">
        <v>3</v>
      </c>
      <c r="X31" s="174">
        <v>5</v>
      </c>
      <c r="Y31" s="174">
        <v>5</v>
      </c>
      <c r="Z31" s="174">
        <v>5</v>
      </c>
      <c r="AA31" s="174">
        <v>5</v>
      </c>
      <c r="AB31" s="174">
        <v>5</v>
      </c>
      <c r="AC31" s="174">
        <v>5</v>
      </c>
      <c r="AD31" s="174">
        <v>5</v>
      </c>
      <c r="AE31" s="174">
        <v>5</v>
      </c>
      <c r="AF31" s="174">
        <v>5</v>
      </c>
      <c r="AG31" s="174">
        <v>5</v>
      </c>
      <c r="AH31" s="174">
        <v>5</v>
      </c>
      <c r="AI31" s="174">
        <v>5</v>
      </c>
      <c r="AJ31" s="174">
        <v>4</v>
      </c>
      <c r="AK31" s="174">
        <v>4</v>
      </c>
      <c r="AL31" s="174">
        <v>5</v>
      </c>
      <c r="AM31" s="174">
        <v>5</v>
      </c>
      <c r="AN31" s="174">
        <v>5</v>
      </c>
      <c r="AO31" s="151">
        <f t="shared" si="11"/>
        <v>124</v>
      </c>
    </row>
    <row r="32" spans="1:41" x14ac:dyDescent="0.3">
      <c r="A32" s="19">
        <f t="shared" si="9"/>
        <v>45749</v>
      </c>
      <c r="B32">
        <f t="shared" si="10"/>
        <v>6</v>
      </c>
      <c r="C32" s="16">
        <f>IFERROR(MATCH(A33,NERCHolidays!$B$2:$B$121,0),0)</f>
        <v>0</v>
      </c>
      <c r="D32">
        <f t="shared" si="6"/>
        <v>0</v>
      </c>
      <c r="E32" t="str">
        <f t="shared" si="7"/>
        <v>OP</v>
      </c>
      <c r="F32">
        <f t="shared" si="1"/>
        <v>5</v>
      </c>
      <c r="G32">
        <f t="shared" si="2"/>
        <v>1</v>
      </c>
      <c r="H32">
        <f t="shared" si="3"/>
        <v>0</v>
      </c>
      <c r="I32">
        <f t="shared" si="13"/>
        <v>2</v>
      </c>
      <c r="J32">
        <f t="shared" si="5"/>
        <v>0</v>
      </c>
      <c r="K32">
        <f t="shared" si="8"/>
        <v>6</v>
      </c>
      <c r="L32" s="179">
        <f>'Aztec Metered Load'!C36</f>
        <v>5.2779999999999996</v>
      </c>
      <c r="O32" s="148">
        <f t="shared" si="12"/>
        <v>45776</v>
      </c>
      <c r="P32" s="147" t="s">
        <v>50</v>
      </c>
      <c r="Q32" s="174">
        <v>5</v>
      </c>
      <c r="R32" s="174">
        <v>5</v>
      </c>
      <c r="S32" s="174">
        <v>5</v>
      </c>
      <c r="T32" s="174">
        <v>5</v>
      </c>
      <c r="U32" s="174">
        <v>5</v>
      </c>
      <c r="V32" s="174">
        <v>5</v>
      </c>
      <c r="W32" s="174">
        <v>5</v>
      </c>
      <c r="X32" s="174">
        <v>5</v>
      </c>
      <c r="Y32" s="174">
        <v>5</v>
      </c>
      <c r="Z32" s="174">
        <v>5</v>
      </c>
      <c r="AA32" s="174">
        <v>5</v>
      </c>
      <c r="AB32" s="174">
        <v>5</v>
      </c>
      <c r="AC32" s="174">
        <v>5</v>
      </c>
      <c r="AD32" s="174">
        <v>5</v>
      </c>
      <c r="AE32" s="174">
        <v>5</v>
      </c>
      <c r="AF32" s="174">
        <v>5</v>
      </c>
      <c r="AG32" s="174">
        <v>5</v>
      </c>
      <c r="AH32" s="174">
        <v>5</v>
      </c>
      <c r="AI32" s="174">
        <v>5</v>
      </c>
      <c r="AJ32" s="174">
        <v>5</v>
      </c>
      <c r="AK32" s="174">
        <v>5</v>
      </c>
      <c r="AL32" s="174">
        <v>5</v>
      </c>
      <c r="AM32" s="174">
        <v>5</v>
      </c>
      <c r="AN32" s="174">
        <v>5</v>
      </c>
      <c r="AO32" s="151">
        <f>SUM(Q32:AN32)</f>
        <v>120</v>
      </c>
    </row>
    <row r="33" spans="1:43" x14ac:dyDescent="0.3">
      <c r="A33" s="19">
        <f t="shared" si="9"/>
        <v>45749</v>
      </c>
      <c r="B33">
        <f t="shared" si="10"/>
        <v>7</v>
      </c>
      <c r="C33" s="16">
        <f>IFERROR(MATCH(A34,NERCHolidays!$B$2:$B$121,0),0)</f>
        <v>0</v>
      </c>
      <c r="D33">
        <f t="shared" si="6"/>
        <v>0</v>
      </c>
      <c r="E33" t="str">
        <f t="shared" si="7"/>
        <v>OP</v>
      </c>
      <c r="F33">
        <f t="shared" si="1"/>
        <v>5</v>
      </c>
      <c r="G33">
        <f t="shared" si="2"/>
        <v>1</v>
      </c>
      <c r="H33">
        <f t="shared" si="3"/>
        <v>0</v>
      </c>
      <c r="I33">
        <f t="shared" si="13"/>
        <v>1</v>
      </c>
      <c r="J33">
        <f t="shared" si="5"/>
        <v>0</v>
      </c>
      <c r="K33">
        <f t="shared" si="8"/>
        <v>6</v>
      </c>
      <c r="L33" s="179">
        <f>'Aztec Metered Load'!C37</f>
        <v>5.4950000000000001</v>
      </c>
      <c r="O33" s="148">
        <f t="shared" si="12"/>
        <v>45777</v>
      </c>
      <c r="P33" s="147" t="s">
        <v>50</v>
      </c>
      <c r="Q33" s="174">
        <v>4</v>
      </c>
      <c r="R33" s="174">
        <v>4</v>
      </c>
      <c r="S33" s="174">
        <v>4</v>
      </c>
      <c r="T33" s="174">
        <v>4</v>
      </c>
      <c r="U33" s="174">
        <v>4</v>
      </c>
      <c r="V33" s="174">
        <v>4</v>
      </c>
      <c r="W33" s="174">
        <v>5</v>
      </c>
      <c r="X33" s="174">
        <v>5</v>
      </c>
      <c r="Y33" s="174">
        <v>5</v>
      </c>
      <c r="Z33" s="174">
        <v>5</v>
      </c>
      <c r="AA33" s="174">
        <v>5</v>
      </c>
      <c r="AB33" s="174">
        <v>5</v>
      </c>
      <c r="AC33" s="174">
        <v>5</v>
      </c>
      <c r="AD33" s="174">
        <v>5</v>
      </c>
      <c r="AE33" s="174">
        <v>5</v>
      </c>
      <c r="AF33" s="174">
        <v>5</v>
      </c>
      <c r="AG33" s="174">
        <v>5</v>
      </c>
      <c r="AH33" s="174">
        <v>5</v>
      </c>
      <c r="AI33" s="174">
        <v>5</v>
      </c>
      <c r="AJ33" s="174">
        <v>5</v>
      </c>
      <c r="AK33" s="174">
        <v>5</v>
      </c>
      <c r="AL33" s="174">
        <v>5</v>
      </c>
      <c r="AM33" s="174">
        <v>4</v>
      </c>
      <c r="AN33" s="174">
        <v>4</v>
      </c>
      <c r="AO33" s="151">
        <f>SUM(Q33:AN33)</f>
        <v>112</v>
      </c>
    </row>
    <row r="34" spans="1:43" x14ac:dyDescent="0.3">
      <c r="A34" s="19">
        <f t="shared" si="9"/>
        <v>45749</v>
      </c>
      <c r="B34">
        <f t="shared" si="10"/>
        <v>8</v>
      </c>
      <c r="C34" s="16">
        <f>IFERROR(MATCH(A35,NERCHolidays!$B$2:$B$121,0),0)</f>
        <v>0</v>
      </c>
      <c r="D34">
        <f>IF(AND(B34&gt;=8,B34&lt;=23),1,0)</f>
        <v>1</v>
      </c>
      <c r="E34" t="str">
        <f t="shared" si="7"/>
        <v>PK</v>
      </c>
      <c r="F34">
        <f t="shared" si="1"/>
        <v>5</v>
      </c>
      <c r="G34">
        <f t="shared" si="2"/>
        <v>1</v>
      </c>
      <c r="H34">
        <f t="shared" si="3"/>
        <v>0</v>
      </c>
      <c r="I34">
        <f t="shared" si="13"/>
        <v>1</v>
      </c>
      <c r="J34">
        <f t="shared" si="5"/>
        <v>0</v>
      </c>
      <c r="K34">
        <f t="shared" si="8"/>
        <v>6</v>
      </c>
      <c r="L34" s="179">
        <f>'Aztec Metered Load'!C38</f>
        <v>5.2030000000000003</v>
      </c>
      <c r="O34" s="148"/>
      <c r="P34" s="147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51">
        <f>SUM(Q34:AN34)</f>
        <v>0</v>
      </c>
    </row>
    <row r="35" spans="1:43" x14ac:dyDescent="0.3">
      <c r="A35" s="19">
        <f t="shared" si="9"/>
        <v>45749</v>
      </c>
      <c r="B35">
        <f t="shared" si="10"/>
        <v>9</v>
      </c>
      <c r="C35" s="16">
        <f>IFERROR(MATCH(A36,NERCHolidays!$B$2:$B$121,0),0)</f>
        <v>0</v>
      </c>
      <c r="D35">
        <f t="shared" si="6"/>
        <v>1</v>
      </c>
      <c r="E35" t="str">
        <f t="shared" si="7"/>
        <v>PK</v>
      </c>
      <c r="F35">
        <f t="shared" ref="F35:F66" si="14">VLOOKUP(A35,$O$3:$AN$34,B35+2,FALSE)</f>
        <v>5</v>
      </c>
      <c r="G35">
        <f t="shared" si="2"/>
        <v>1</v>
      </c>
      <c r="H35">
        <f t="shared" si="3"/>
        <v>0</v>
      </c>
      <c r="I35">
        <f t="shared" si="13"/>
        <v>1</v>
      </c>
      <c r="J35">
        <f t="shared" si="5"/>
        <v>0</v>
      </c>
      <c r="K35">
        <f t="shared" si="8"/>
        <v>6</v>
      </c>
      <c r="L35" s="179">
        <f>'Aztec Metered Load'!C39</f>
        <v>4.9290000000000003</v>
      </c>
      <c r="O35" s="148"/>
      <c r="P35" s="147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51">
        <f>SUM(AO4:AO34)</f>
        <v>3535</v>
      </c>
    </row>
    <row r="36" spans="1:43" x14ac:dyDescent="0.3">
      <c r="A36" s="19">
        <f t="shared" si="9"/>
        <v>45749</v>
      </c>
      <c r="B36">
        <f t="shared" si="10"/>
        <v>10</v>
      </c>
      <c r="C36" s="16">
        <f>IFERROR(MATCH(A37,NERCHolidays!$B$2:$B$121,0),0)</f>
        <v>0</v>
      </c>
      <c r="D36">
        <f t="shared" si="6"/>
        <v>1</v>
      </c>
      <c r="E36" t="str">
        <f t="shared" si="7"/>
        <v>PK</v>
      </c>
      <c r="F36">
        <f t="shared" si="14"/>
        <v>5</v>
      </c>
      <c r="G36">
        <f t="shared" si="2"/>
        <v>0</v>
      </c>
      <c r="H36">
        <f t="shared" si="3"/>
        <v>0</v>
      </c>
      <c r="I36">
        <f t="shared" si="13"/>
        <v>1</v>
      </c>
      <c r="J36">
        <f t="shared" si="5"/>
        <v>0</v>
      </c>
      <c r="K36">
        <f t="shared" si="8"/>
        <v>5</v>
      </c>
      <c r="L36" s="179">
        <f>'Aztec Metered Load'!C40</f>
        <v>4.4740000000000002</v>
      </c>
      <c r="O36" s="148"/>
      <c r="P36" s="147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51"/>
    </row>
    <row r="37" spans="1:43" x14ac:dyDescent="0.3">
      <c r="A37" s="19">
        <f t="shared" si="9"/>
        <v>45749</v>
      </c>
      <c r="B37">
        <f t="shared" si="10"/>
        <v>11</v>
      </c>
      <c r="C37" s="16">
        <f>IFERROR(MATCH(A38,NERCHolidays!$B$2:$B$121,0),0)</f>
        <v>0</v>
      </c>
      <c r="D37">
        <f t="shared" si="6"/>
        <v>1</v>
      </c>
      <c r="E37" t="str">
        <f t="shared" si="7"/>
        <v>PK</v>
      </c>
      <c r="F37">
        <f t="shared" si="14"/>
        <v>5</v>
      </c>
      <c r="G37">
        <f t="shared" si="2"/>
        <v>0</v>
      </c>
      <c r="H37">
        <f t="shared" si="3"/>
        <v>0</v>
      </c>
      <c r="I37">
        <f t="shared" si="13"/>
        <v>1</v>
      </c>
      <c r="J37">
        <f t="shared" si="5"/>
        <v>0</v>
      </c>
      <c r="K37">
        <f t="shared" si="8"/>
        <v>5</v>
      </c>
      <c r="L37" s="179">
        <f>'Aztec Metered Load'!C41</f>
        <v>4.202</v>
      </c>
      <c r="O37" s="148"/>
      <c r="P37" s="147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51"/>
    </row>
    <row r="38" spans="1:43" x14ac:dyDescent="0.3">
      <c r="A38" s="19">
        <f t="shared" si="9"/>
        <v>45749</v>
      </c>
      <c r="B38">
        <f t="shared" si="10"/>
        <v>12</v>
      </c>
      <c r="C38" s="16">
        <f>IFERROR(MATCH(A39,NERCHolidays!$B$2:$B$121,0),0)</f>
        <v>0</v>
      </c>
      <c r="D38">
        <f t="shared" si="6"/>
        <v>1</v>
      </c>
      <c r="E38" t="str">
        <f t="shared" si="7"/>
        <v>PK</v>
      </c>
      <c r="F38">
        <f t="shared" si="14"/>
        <v>5</v>
      </c>
      <c r="G38">
        <f t="shared" si="2"/>
        <v>0</v>
      </c>
      <c r="H38">
        <f t="shared" si="3"/>
        <v>0</v>
      </c>
      <c r="I38">
        <f t="shared" si="13"/>
        <v>1</v>
      </c>
      <c r="J38">
        <f t="shared" si="5"/>
        <v>0</v>
      </c>
      <c r="K38">
        <f t="shared" si="8"/>
        <v>5</v>
      </c>
      <c r="L38" s="179">
        <f>'Aztec Metered Load'!C42</f>
        <v>3.9340000000000002</v>
      </c>
      <c r="O38" s="177" t="s">
        <v>51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51"/>
    </row>
    <row r="39" spans="1:43" x14ac:dyDescent="0.3">
      <c r="A39" s="19">
        <f t="shared" si="9"/>
        <v>45749</v>
      </c>
      <c r="B39">
        <f t="shared" si="10"/>
        <v>13</v>
      </c>
      <c r="C39" s="16">
        <f>IFERROR(MATCH(A40,NERCHolidays!$B$2:$B$121,0),0)</f>
        <v>0</v>
      </c>
      <c r="D39">
        <f t="shared" si="6"/>
        <v>1</v>
      </c>
      <c r="E39" t="str">
        <f t="shared" si="7"/>
        <v>PK</v>
      </c>
      <c r="F39">
        <f t="shared" si="14"/>
        <v>5</v>
      </c>
      <c r="G39">
        <f t="shared" si="2"/>
        <v>0</v>
      </c>
      <c r="H39">
        <f t="shared" si="3"/>
        <v>0</v>
      </c>
      <c r="I39">
        <f t="shared" si="13"/>
        <v>1</v>
      </c>
      <c r="J39">
        <f t="shared" si="5"/>
        <v>0</v>
      </c>
      <c r="K39">
        <f t="shared" si="8"/>
        <v>5</v>
      </c>
      <c r="L39" s="179">
        <f>'Aztec Metered Load'!C43</f>
        <v>4.0039999999999996</v>
      </c>
      <c r="O39" s="146"/>
      <c r="P39" s="153" t="s">
        <v>52</v>
      </c>
      <c r="Q39" s="130" t="s">
        <v>25</v>
      </c>
      <c r="R39" s="130" t="s">
        <v>26</v>
      </c>
      <c r="S39" s="130" t="s">
        <v>27</v>
      </c>
      <c r="T39" s="130" t="s">
        <v>28</v>
      </c>
      <c r="U39" s="130" t="s">
        <v>29</v>
      </c>
      <c r="V39" s="130" t="s">
        <v>30</v>
      </c>
      <c r="W39" s="130" t="s">
        <v>31</v>
      </c>
      <c r="X39" s="130" t="s">
        <v>32</v>
      </c>
      <c r="Y39" s="130" t="s">
        <v>33</v>
      </c>
      <c r="Z39" s="130" t="s">
        <v>34</v>
      </c>
      <c r="AA39" s="130" t="s">
        <v>35</v>
      </c>
      <c r="AB39" s="130" t="s">
        <v>36</v>
      </c>
      <c r="AC39" s="130" t="s">
        <v>37</v>
      </c>
      <c r="AD39" s="130" t="s">
        <v>38</v>
      </c>
      <c r="AE39" s="130" t="s">
        <v>39</v>
      </c>
      <c r="AF39" s="130" t="s">
        <v>40</v>
      </c>
      <c r="AG39" s="130" t="s">
        <v>41</v>
      </c>
      <c r="AH39" s="130" t="s">
        <v>42</v>
      </c>
      <c r="AI39" s="130" t="s">
        <v>43</v>
      </c>
      <c r="AJ39" s="130" t="s">
        <v>44</v>
      </c>
      <c r="AK39" s="130" t="s">
        <v>45</v>
      </c>
      <c r="AL39" s="130" t="s">
        <v>46</v>
      </c>
      <c r="AM39" s="130" t="s">
        <v>47</v>
      </c>
      <c r="AN39" s="130" t="s">
        <v>48</v>
      </c>
      <c r="AO39" s="150" t="s">
        <v>49</v>
      </c>
      <c r="AP39" s="150" t="s">
        <v>53</v>
      </c>
      <c r="AQ39" s="150" t="s">
        <v>54</v>
      </c>
    </row>
    <row r="40" spans="1:43" x14ac:dyDescent="0.3">
      <c r="A40" s="19">
        <f t="shared" si="9"/>
        <v>45749</v>
      </c>
      <c r="B40">
        <f t="shared" si="10"/>
        <v>14</v>
      </c>
      <c r="C40" s="16">
        <f>IFERROR(MATCH(A41,NERCHolidays!$B$2:$B$121,0),0)</f>
        <v>0</v>
      </c>
      <c r="D40">
        <f t="shared" si="6"/>
        <v>1</v>
      </c>
      <c r="E40" t="str">
        <f t="shared" si="7"/>
        <v>PK</v>
      </c>
      <c r="F40">
        <f t="shared" si="14"/>
        <v>5</v>
      </c>
      <c r="G40">
        <f t="shared" si="2"/>
        <v>0</v>
      </c>
      <c r="H40">
        <f t="shared" si="3"/>
        <v>0</v>
      </c>
      <c r="I40">
        <f t="shared" si="13"/>
        <v>1</v>
      </c>
      <c r="J40">
        <f t="shared" si="5"/>
        <v>0</v>
      </c>
      <c r="K40">
        <f t="shared" si="8"/>
        <v>5</v>
      </c>
      <c r="L40" s="179">
        <f>'Aztec Metered Load'!C44</f>
        <v>3.8660000000000001</v>
      </c>
      <c r="O40" s="148">
        <f t="shared" ref="O40:O67" si="15">O4</f>
        <v>45748</v>
      </c>
      <c r="P40" s="164">
        <v>3</v>
      </c>
      <c r="Q40" s="161">
        <v>1</v>
      </c>
      <c r="R40" s="161">
        <v>1</v>
      </c>
      <c r="S40" s="161">
        <v>2</v>
      </c>
      <c r="T40" s="161">
        <v>2</v>
      </c>
      <c r="U40" s="161">
        <v>2</v>
      </c>
      <c r="V40" s="161">
        <v>2</v>
      </c>
      <c r="W40" s="161">
        <v>1</v>
      </c>
      <c r="X40" s="161">
        <v>1</v>
      </c>
      <c r="Y40" s="161">
        <v>1</v>
      </c>
      <c r="Z40" s="161">
        <v>1</v>
      </c>
      <c r="AA40" s="161">
        <v>1</v>
      </c>
      <c r="AB40" s="161">
        <v>1</v>
      </c>
      <c r="AC40" s="161">
        <v>1</v>
      </c>
      <c r="AD40" s="161">
        <v>1</v>
      </c>
      <c r="AE40" s="161">
        <v>1</v>
      </c>
      <c r="AF40" s="161">
        <v>1</v>
      </c>
      <c r="AG40" s="161">
        <v>1</v>
      </c>
      <c r="AH40" s="161">
        <v>1</v>
      </c>
      <c r="AI40" s="161">
        <v>1</v>
      </c>
      <c r="AJ40" s="161">
        <v>1</v>
      </c>
      <c r="AK40" s="161">
        <v>1</v>
      </c>
      <c r="AL40" s="161">
        <v>1</v>
      </c>
      <c r="AM40" s="161">
        <v>1</v>
      </c>
      <c r="AN40" s="161">
        <v>1</v>
      </c>
      <c r="AO40" s="151">
        <f>SUM(Q40:AN40)</f>
        <v>28</v>
      </c>
      <c r="AP40">
        <f t="shared" ref="AP40" si="16">IF(P40="SUNDAY",0,SUM(X40:AM40))</f>
        <v>16</v>
      </c>
      <c r="AQ40">
        <f t="shared" ref="AQ40" si="17">IF(P40="SUNDAY",SUM(Q40:AN40),SUM(Q40:W40,AN40:AN40))</f>
        <v>12</v>
      </c>
    </row>
    <row r="41" spans="1:43" x14ac:dyDescent="0.3">
      <c r="A41" s="19">
        <f t="shared" si="9"/>
        <v>45749</v>
      </c>
      <c r="B41">
        <f t="shared" si="10"/>
        <v>15</v>
      </c>
      <c r="C41" s="16">
        <f>IFERROR(MATCH(A42,NERCHolidays!$B$2:$B$121,0),0)</f>
        <v>0</v>
      </c>
      <c r="D41">
        <f t="shared" si="6"/>
        <v>1</v>
      </c>
      <c r="E41" t="str">
        <f t="shared" si="7"/>
        <v>PK</v>
      </c>
      <c r="F41">
        <f t="shared" si="14"/>
        <v>5</v>
      </c>
      <c r="G41">
        <f t="shared" si="2"/>
        <v>0</v>
      </c>
      <c r="H41">
        <f t="shared" si="3"/>
        <v>0</v>
      </c>
      <c r="I41">
        <f t="shared" si="13"/>
        <v>1</v>
      </c>
      <c r="J41">
        <f t="shared" si="5"/>
        <v>0</v>
      </c>
      <c r="K41">
        <f t="shared" si="8"/>
        <v>5</v>
      </c>
      <c r="L41" s="179">
        <f>'Aztec Metered Load'!C45</f>
        <v>3.9140000000000001</v>
      </c>
      <c r="O41" s="148">
        <f t="shared" si="15"/>
        <v>45749</v>
      </c>
      <c r="P41" s="164">
        <v>4</v>
      </c>
      <c r="Q41" s="161">
        <v>1</v>
      </c>
      <c r="R41" s="161">
        <v>1</v>
      </c>
      <c r="S41" s="161">
        <v>2</v>
      </c>
      <c r="T41" s="161">
        <v>2</v>
      </c>
      <c r="U41" s="161">
        <v>2</v>
      </c>
      <c r="V41" s="161">
        <v>2</v>
      </c>
      <c r="W41" s="161">
        <v>1</v>
      </c>
      <c r="X41" s="161">
        <v>1</v>
      </c>
      <c r="Y41" s="161">
        <v>1</v>
      </c>
      <c r="Z41" s="161">
        <v>1</v>
      </c>
      <c r="AA41" s="161">
        <v>1</v>
      </c>
      <c r="AB41" s="161">
        <v>1</v>
      </c>
      <c r="AC41" s="161">
        <v>1</v>
      </c>
      <c r="AD41" s="161">
        <v>1</v>
      </c>
      <c r="AE41" s="161">
        <v>1</v>
      </c>
      <c r="AF41" s="161">
        <v>1</v>
      </c>
      <c r="AG41" s="161">
        <v>1</v>
      </c>
      <c r="AH41" s="161">
        <v>1</v>
      </c>
      <c r="AI41" s="161">
        <v>1</v>
      </c>
      <c r="AJ41" s="161">
        <v>1</v>
      </c>
      <c r="AK41" s="161">
        <v>1</v>
      </c>
      <c r="AL41" s="161">
        <v>1</v>
      </c>
      <c r="AM41" s="161">
        <v>1</v>
      </c>
      <c r="AN41" s="161">
        <v>1</v>
      </c>
      <c r="AO41" s="151">
        <f t="shared" ref="AO41:AO68" si="18">SUM(Q41:AN41)</f>
        <v>28</v>
      </c>
      <c r="AP41">
        <f t="shared" ref="AP41:AP70" si="19">IF(P41="SUNDAY",0,SUM(X41:AM41))</f>
        <v>16</v>
      </c>
      <c r="AQ41">
        <f t="shared" ref="AQ41:AQ70" si="20">IF(P41="SUNDAY",SUM(Q41:AN41),SUM(Q41:W41,AN41:AN41))</f>
        <v>12</v>
      </c>
    </row>
    <row r="42" spans="1:43" x14ac:dyDescent="0.3">
      <c r="A42" s="19">
        <f t="shared" si="9"/>
        <v>45749</v>
      </c>
      <c r="B42">
        <f t="shared" si="10"/>
        <v>16</v>
      </c>
      <c r="C42" s="16">
        <f>IFERROR(MATCH(A43,NERCHolidays!$B$2:$B$121,0),0)</f>
        <v>0</v>
      </c>
      <c r="D42">
        <f t="shared" si="6"/>
        <v>1</v>
      </c>
      <c r="E42" t="str">
        <f t="shared" si="7"/>
        <v>PK</v>
      </c>
      <c r="F42">
        <f t="shared" si="14"/>
        <v>5</v>
      </c>
      <c r="G42">
        <f t="shared" si="2"/>
        <v>0</v>
      </c>
      <c r="H42">
        <f t="shared" si="3"/>
        <v>0</v>
      </c>
      <c r="I42">
        <f t="shared" si="13"/>
        <v>1</v>
      </c>
      <c r="J42">
        <f t="shared" si="5"/>
        <v>0</v>
      </c>
      <c r="K42">
        <f t="shared" si="8"/>
        <v>5</v>
      </c>
      <c r="L42" s="179">
        <f>'Aztec Metered Load'!C46</f>
        <v>4.3250000000000002</v>
      </c>
      <c r="O42" s="148">
        <f t="shared" si="15"/>
        <v>45750</v>
      </c>
      <c r="P42" s="164">
        <v>5</v>
      </c>
      <c r="Q42" s="161">
        <v>1</v>
      </c>
      <c r="R42" s="161">
        <v>1</v>
      </c>
      <c r="S42" s="161">
        <v>2</v>
      </c>
      <c r="T42" s="161">
        <v>2</v>
      </c>
      <c r="U42" s="161">
        <v>2</v>
      </c>
      <c r="V42" s="161">
        <v>2</v>
      </c>
      <c r="W42" s="161">
        <v>1</v>
      </c>
      <c r="X42" s="161">
        <v>1</v>
      </c>
      <c r="Y42" s="161">
        <v>1</v>
      </c>
      <c r="Z42" s="161">
        <v>1</v>
      </c>
      <c r="AA42" s="161">
        <v>1</v>
      </c>
      <c r="AB42" s="161">
        <v>1</v>
      </c>
      <c r="AC42" s="161">
        <v>1</v>
      </c>
      <c r="AD42" s="161">
        <v>1</v>
      </c>
      <c r="AE42" s="161">
        <v>1</v>
      </c>
      <c r="AF42" s="161">
        <v>1</v>
      </c>
      <c r="AG42" s="161">
        <v>1</v>
      </c>
      <c r="AH42" s="161">
        <v>1</v>
      </c>
      <c r="AI42" s="161">
        <v>1</v>
      </c>
      <c r="AJ42" s="161">
        <v>1</v>
      </c>
      <c r="AK42" s="161">
        <v>1</v>
      </c>
      <c r="AL42" s="161">
        <v>1</v>
      </c>
      <c r="AM42" s="161">
        <v>1</v>
      </c>
      <c r="AN42" s="161">
        <v>1</v>
      </c>
      <c r="AO42" s="151">
        <f t="shared" si="18"/>
        <v>28</v>
      </c>
      <c r="AP42">
        <f t="shared" si="19"/>
        <v>16</v>
      </c>
      <c r="AQ42">
        <f t="shared" si="20"/>
        <v>12</v>
      </c>
    </row>
    <row r="43" spans="1:43" x14ac:dyDescent="0.3">
      <c r="A43" s="19">
        <f t="shared" si="9"/>
        <v>45749</v>
      </c>
      <c r="B43">
        <f t="shared" si="10"/>
        <v>17</v>
      </c>
      <c r="C43" s="16">
        <f>IFERROR(MATCH(A44,NERCHolidays!$B$2:$B$121,0),0)</f>
        <v>0</v>
      </c>
      <c r="D43">
        <f t="shared" si="6"/>
        <v>1</v>
      </c>
      <c r="E43" t="str">
        <f t="shared" si="7"/>
        <v>PK</v>
      </c>
      <c r="F43">
        <f t="shared" si="14"/>
        <v>5</v>
      </c>
      <c r="G43">
        <f t="shared" si="2"/>
        <v>0</v>
      </c>
      <c r="H43">
        <f t="shared" si="3"/>
        <v>0</v>
      </c>
      <c r="I43">
        <f t="shared" si="13"/>
        <v>1</v>
      </c>
      <c r="J43">
        <f t="shared" si="5"/>
        <v>0</v>
      </c>
      <c r="K43">
        <f t="shared" si="8"/>
        <v>5</v>
      </c>
      <c r="L43" s="179">
        <f>'Aztec Metered Load'!C47</f>
        <v>3.9860000000000002</v>
      </c>
      <c r="O43" s="148">
        <f t="shared" si="15"/>
        <v>45751</v>
      </c>
      <c r="P43" s="164">
        <v>6</v>
      </c>
      <c r="Q43" s="161">
        <v>1</v>
      </c>
      <c r="R43" s="161">
        <v>1</v>
      </c>
      <c r="S43" s="161">
        <v>2</v>
      </c>
      <c r="T43" s="161">
        <v>2</v>
      </c>
      <c r="U43" s="161">
        <v>2</v>
      </c>
      <c r="V43" s="161">
        <v>2</v>
      </c>
      <c r="W43" s="161">
        <v>1</v>
      </c>
      <c r="X43" s="161">
        <v>1</v>
      </c>
      <c r="Y43" s="161">
        <v>1</v>
      </c>
      <c r="Z43" s="161">
        <v>1</v>
      </c>
      <c r="AA43" s="161">
        <v>1</v>
      </c>
      <c r="AB43" s="161">
        <v>1</v>
      </c>
      <c r="AC43" s="161">
        <v>1</v>
      </c>
      <c r="AD43" s="161">
        <v>1</v>
      </c>
      <c r="AE43" s="161">
        <v>1</v>
      </c>
      <c r="AF43" s="161">
        <v>1</v>
      </c>
      <c r="AG43" s="161">
        <v>1</v>
      </c>
      <c r="AH43" s="161">
        <v>1</v>
      </c>
      <c r="AI43" s="161">
        <v>1</v>
      </c>
      <c r="AJ43" s="161">
        <v>1</v>
      </c>
      <c r="AK43" s="161">
        <v>1</v>
      </c>
      <c r="AL43" s="161">
        <v>1</v>
      </c>
      <c r="AM43" s="161">
        <v>1</v>
      </c>
      <c r="AN43" s="161">
        <v>1</v>
      </c>
      <c r="AO43" s="151">
        <f t="shared" si="18"/>
        <v>28</v>
      </c>
      <c r="AP43">
        <f t="shared" si="19"/>
        <v>16</v>
      </c>
      <c r="AQ43">
        <f t="shared" si="20"/>
        <v>12</v>
      </c>
    </row>
    <row r="44" spans="1:43" x14ac:dyDescent="0.3">
      <c r="A44" s="19">
        <f t="shared" si="9"/>
        <v>45749</v>
      </c>
      <c r="B44">
        <f t="shared" si="10"/>
        <v>18</v>
      </c>
      <c r="C44" s="16">
        <f>IFERROR(MATCH(A45,NERCHolidays!$B$2:$B$121,0),0)</f>
        <v>0</v>
      </c>
      <c r="D44">
        <f t="shared" si="6"/>
        <v>1</v>
      </c>
      <c r="E44" t="str">
        <f t="shared" si="7"/>
        <v>PK</v>
      </c>
      <c r="F44">
        <f t="shared" si="14"/>
        <v>5</v>
      </c>
      <c r="G44">
        <f t="shared" si="2"/>
        <v>0</v>
      </c>
      <c r="H44">
        <f t="shared" si="3"/>
        <v>0</v>
      </c>
      <c r="I44">
        <f t="shared" si="13"/>
        <v>1</v>
      </c>
      <c r="J44">
        <f t="shared" si="5"/>
        <v>0</v>
      </c>
      <c r="K44">
        <f t="shared" si="8"/>
        <v>5</v>
      </c>
      <c r="L44" s="179">
        <f>'Aztec Metered Load'!C48</f>
        <v>4.298</v>
      </c>
      <c r="O44" s="148">
        <f t="shared" si="15"/>
        <v>45752</v>
      </c>
      <c r="P44" s="164">
        <v>7</v>
      </c>
      <c r="Q44" s="161">
        <v>1</v>
      </c>
      <c r="R44" s="161">
        <v>1</v>
      </c>
      <c r="S44" s="161">
        <v>2</v>
      </c>
      <c r="T44" s="161">
        <v>2</v>
      </c>
      <c r="U44" s="161">
        <v>2</v>
      </c>
      <c r="V44" s="161">
        <v>2</v>
      </c>
      <c r="W44" s="161">
        <v>1</v>
      </c>
      <c r="X44" s="161">
        <v>1</v>
      </c>
      <c r="Y44" s="161">
        <v>1</v>
      </c>
      <c r="Z44" s="161">
        <v>1</v>
      </c>
      <c r="AA44" s="161">
        <v>1</v>
      </c>
      <c r="AB44" s="161">
        <v>1</v>
      </c>
      <c r="AC44" s="161">
        <v>1</v>
      </c>
      <c r="AD44" s="161">
        <v>1</v>
      </c>
      <c r="AE44" s="161">
        <v>1</v>
      </c>
      <c r="AF44" s="161">
        <v>1</v>
      </c>
      <c r="AG44" s="161">
        <v>1</v>
      </c>
      <c r="AH44" s="161">
        <v>1</v>
      </c>
      <c r="AI44" s="161">
        <v>1</v>
      </c>
      <c r="AJ44" s="161">
        <v>1</v>
      </c>
      <c r="AK44" s="161">
        <v>1</v>
      </c>
      <c r="AL44" s="161">
        <v>1</v>
      </c>
      <c r="AM44" s="161">
        <v>1</v>
      </c>
      <c r="AN44" s="161">
        <v>1</v>
      </c>
      <c r="AO44" s="151">
        <f t="shared" si="18"/>
        <v>28</v>
      </c>
      <c r="AP44">
        <f t="shared" si="19"/>
        <v>16</v>
      </c>
      <c r="AQ44">
        <f t="shared" si="20"/>
        <v>12</v>
      </c>
    </row>
    <row r="45" spans="1:43" x14ac:dyDescent="0.3">
      <c r="A45" s="19">
        <f t="shared" si="9"/>
        <v>45749</v>
      </c>
      <c r="B45">
        <f t="shared" si="10"/>
        <v>19</v>
      </c>
      <c r="C45" s="16">
        <f>IFERROR(MATCH(A46,NERCHolidays!$B$2:$B$121,0),0)</f>
        <v>0</v>
      </c>
      <c r="D45">
        <f t="shared" si="6"/>
        <v>1</v>
      </c>
      <c r="E45" t="str">
        <f t="shared" si="7"/>
        <v>PK</v>
      </c>
      <c r="F45">
        <f t="shared" si="14"/>
        <v>5</v>
      </c>
      <c r="G45">
        <f t="shared" si="2"/>
        <v>1</v>
      </c>
      <c r="H45">
        <f t="shared" si="3"/>
        <v>0</v>
      </c>
      <c r="I45">
        <f t="shared" si="13"/>
        <v>1</v>
      </c>
      <c r="J45">
        <f t="shared" si="5"/>
        <v>0</v>
      </c>
      <c r="K45">
        <f t="shared" si="8"/>
        <v>6</v>
      </c>
      <c r="L45" s="179">
        <f>'Aztec Metered Load'!C49</f>
        <v>4.7080000000000002</v>
      </c>
      <c r="O45" s="148">
        <f t="shared" si="15"/>
        <v>45753</v>
      </c>
      <c r="P45" s="164" t="s">
        <v>55</v>
      </c>
      <c r="Q45" s="161">
        <v>1</v>
      </c>
      <c r="R45" s="161">
        <v>1</v>
      </c>
      <c r="S45" s="161">
        <v>2</v>
      </c>
      <c r="T45" s="161">
        <v>2</v>
      </c>
      <c r="U45" s="161">
        <v>2</v>
      </c>
      <c r="V45" s="161">
        <v>2</v>
      </c>
      <c r="W45" s="161">
        <v>1</v>
      </c>
      <c r="X45" s="161">
        <v>1</v>
      </c>
      <c r="Y45" s="161">
        <v>1</v>
      </c>
      <c r="Z45" s="161">
        <v>1</v>
      </c>
      <c r="AA45" s="161">
        <v>1</v>
      </c>
      <c r="AB45" s="161">
        <v>1</v>
      </c>
      <c r="AC45" s="161">
        <v>1</v>
      </c>
      <c r="AD45" s="161">
        <v>1</v>
      </c>
      <c r="AE45" s="161">
        <v>1</v>
      </c>
      <c r="AF45" s="161">
        <v>1</v>
      </c>
      <c r="AG45" s="161">
        <v>1</v>
      </c>
      <c r="AH45" s="161">
        <v>1</v>
      </c>
      <c r="AI45" s="161">
        <v>1</v>
      </c>
      <c r="AJ45" s="161">
        <v>1</v>
      </c>
      <c r="AK45" s="161">
        <v>1</v>
      </c>
      <c r="AL45" s="161">
        <v>1</v>
      </c>
      <c r="AM45" s="161">
        <v>1</v>
      </c>
      <c r="AN45" s="161">
        <v>1</v>
      </c>
      <c r="AO45" s="151">
        <f t="shared" si="18"/>
        <v>28</v>
      </c>
      <c r="AP45">
        <f t="shared" si="19"/>
        <v>0</v>
      </c>
      <c r="AQ45">
        <f t="shared" si="20"/>
        <v>28</v>
      </c>
    </row>
    <row r="46" spans="1:43" x14ac:dyDescent="0.3">
      <c r="A46" s="19">
        <f t="shared" si="9"/>
        <v>45749</v>
      </c>
      <c r="B46">
        <f t="shared" si="10"/>
        <v>20</v>
      </c>
      <c r="C46" s="16">
        <f>IFERROR(MATCH(A47,NERCHolidays!$B$2:$B$121,0),0)</f>
        <v>0</v>
      </c>
      <c r="D46">
        <f t="shared" si="6"/>
        <v>1</v>
      </c>
      <c r="E46" t="str">
        <f t="shared" si="7"/>
        <v>PK</v>
      </c>
      <c r="F46">
        <f t="shared" si="14"/>
        <v>5</v>
      </c>
      <c r="G46">
        <f t="shared" si="2"/>
        <v>1</v>
      </c>
      <c r="H46">
        <f t="shared" si="3"/>
        <v>0</v>
      </c>
      <c r="I46">
        <f t="shared" si="13"/>
        <v>1</v>
      </c>
      <c r="J46">
        <f t="shared" si="5"/>
        <v>0</v>
      </c>
      <c r="K46">
        <f t="shared" si="8"/>
        <v>6</v>
      </c>
      <c r="L46" s="179">
        <f>'Aztec Metered Load'!C50</f>
        <v>4.6459999999999999</v>
      </c>
      <c r="O46" s="148">
        <f t="shared" si="15"/>
        <v>45754</v>
      </c>
      <c r="P46" s="164">
        <v>2</v>
      </c>
      <c r="Q46" s="161">
        <v>1</v>
      </c>
      <c r="R46" s="161">
        <v>1</v>
      </c>
      <c r="S46" s="161">
        <v>2</v>
      </c>
      <c r="T46" s="161">
        <v>2</v>
      </c>
      <c r="U46" s="161">
        <v>2</v>
      </c>
      <c r="V46" s="161">
        <v>2</v>
      </c>
      <c r="W46" s="161">
        <v>1</v>
      </c>
      <c r="X46" s="161">
        <v>1</v>
      </c>
      <c r="Y46" s="161">
        <v>1</v>
      </c>
      <c r="Z46" s="161">
        <v>1</v>
      </c>
      <c r="AA46" s="161">
        <v>1</v>
      </c>
      <c r="AB46" s="161">
        <v>1</v>
      </c>
      <c r="AC46" s="161">
        <v>1</v>
      </c>
      <c r="AD46" s="161">
        <v>1</v>
      </c>
      <c r="AE46" s="161">
        <v>1</v>
      </c>
      <c r="AF46" s="161">
        <v>1</v>
      </c>
      <c r="AG46" s="161">
        <v>1</v>
      </c>
      <c r="AH46" s="161">
        <v>1</v>
      </c>
      <c r="AI46" s="161">
        <v>1</v>
      </c>
      <c r="AJ46" s="161">
        <v>1</v>
      </c>
      <c r="AK46" s="161">
        <v>1</v>
      </c>
      <c r="AL46" s="161">
        <v>1</v>
      </c>
      <c r="AM46" s="161">
        <v>1</v>
      </c>
      <c r="AN46" s="161">
        <v>1</v>
      </c>
      <c r="AO46" s="151">
        <f t="shared" si="18"/>
        <v>28</v>
      </c>
      <c r="AP46">
        <f t="shared" si="19"/>
        <v>16</v>
      </c>
      <c r="AQ46">
        <f t="shared" si="20"/>
        <v>12</v>
      </c>
    </row>
    <row r="47" spans="1:43" x14ac:dyDescent="0.3">
      <c r="A47" s="19">
        <f t="shared" si="9"/>
        <v>45749</v>
      </c>
      <c r="B47">
        <f t="shared" si="10"/>
        <v>21</v>
      </c>
      <c r="C47" s="16">
        <f>IFERROR(MATCH(A48,NERCHolidays!$B$2:$B$121,0),0)</f>
        <v>0</v>
      </c>
      <c r="D47">
        <f t="shared" si="6"/>
        <v>1</v>
      </c>
      <c r="E47" t="str">
        <f t="shared" si="7"/>
        <v>PK</v>
      </c>
      <c r="F47">
        <f t="shared" si="14"/>
        <v>5</v>
      </c>
      <c r="G47">
        <f t="shared" si="2"/>
        <v>1</v>
      </c>
      <c r="H47">
        <f t="shared" si="3"/>
        <v>0</v>
      </c>
      <c r="I47">
        <f t="shared" si="13"/>
        <v>1</v>
      </c>
      <c r="J47">
        <f t="shared" si="5"/>
        <v>0</v>
      </c>
      <c r="K47">
        <f t="shared" si="8"/>
        <v>6</v>
      </c>
      <c r="L47" s="179">
        <f>'Aztec Metered Load'!C51</f>
        <v>4.5289999999999999</v>
      </c>
      <c r="O47" s="148">
        <f t="shared" si="15"/>
        <v>45755</v>
      </c>
      <c r="P47" s="164">
        <v>3</v>
      </c>
      <c r="Q47" s="161">
        <v>1</v>
      </c>
      <c r="R47" s="161">
        <v>1</v>
      </c>
      <c r="S47" s="161">
        <v>2</v>
      </c>
      <c r="T47" s="161">
        <v>2</v>
      </c>
      <c r="U47" s="161">
        <v>2</v>
      </c>
      <c r="V47" s="161">
        <v>2</v>
      </c>
      <c r="W47" s="161">
        <v>1</v>
      </c>
      <c r="X47" s="161">
        <v>1</v>
      </c>
      <c r="Y47" s="161">
        <v>1</v>
      </c>
      <c r="Z47" s="161">
        <v>1</v>
      </c>
      <c r="AA47" s="161">
        <v>1</v>
      </c>
      <c r="AB47" s="161">
        <v>1</v>
      </c>
      <c r="AC47" s="161">
        <v>1</v>
      </c>
      <c r="AD47" s="161">
        <v>1</v>
      </c>
      <c r="AE47" s="161">
        <v>1</v>
      </c>
      <c r="AF47" s="161">
        <v>1</v>
      </c>
      <c r="AG47" s="161">
        <v>1</v>
      </c>
      <c r="AH47" s="161">
        <v>1</v>
      </c>
      <c r="AI47" s="161">
        <v>1</v>
      </c>
      <c r="AJ47" s="161">
        <v>1</v>
      </c>
      <c r="AK47" s="161">
        <v>1</v>
      </c>
      <c r="AL47" s="161">
        <v>1</v>
      </c>
      <c r="AM47" s="161">
        <v>1</v>
      </c>
      <c r="AN47" s="161">
        <v>1</v>
      </c>
      <c r="AO47" s="151">
        <f t="shared" si="18"/>
        <v>28</v>
      </c>
      <c r="AP47">
        <f t="shared" si="19"/>
        <v>16</v>
      </c>
      <c r="AQ47">
        <f t="shared" si="20"/>
        <v>12</v>
      </c>
    </row>
    <row r="48" spans="1:43" x14ac:dyDescent="0.3">
      <c r="A48" s="19">
        <f t="shared" si="9"/>
        <v>45749</v>
      </c>
      <c r="B48">
        <f t="shared" si="10"/>
        <v>22</v>
      </c>
      <c r="C48" s="16">
        <f>IFERROR(MATCH(A49,NERCHolidays!$B$2:$B$121,0),0)</f>
        <v>0</v>
      </c>
      <c r="D48">
        <f t="shared" si="6"/>
        <v>1</v>
      </c>
      <c r="E48" t="str">
        <f t="shared" si="7"/>
        <v>PK</v>
      </c>
      <c r="F48">
        <f t="shared" si="14"/>
        <v>5</v>
      </c>
      <c r="G48">
        <f t="shared" si="2"/>
        <v>1</v>
      </c>
      <c r="H48">
        <f t="shared" si="3"/>
        <v>0</v>
      </c>
      <c r="I48">
        <f t="shared" si="13"/>
        <v>1</v>
      </c>
      <c r="J48">
        <f t="shared" si="5"/>
        <v>0</v>
      </c>
      <c r="K48">
        <f t="shared" si="8"/>
        <v>6</v>
      </c>
      <c r="L48" s="179">
        <f>'Aztec Metered Load'!C52</f>
        <v>4.16</v>
      </c>
      <c r="O48" s="148">
        <f t="shared" si="15"/>
        <v>45756</v>
      </c>
      <c r="P48" s="164">
        <v>4</v>
      </c>
      <c r="Q48" s="161">
        <v>1</v>
      </c>
      <c r="R48" s="161">
        <v>1</v>
      </c>
      <c r="S48" s="161">
        <v>2</v>
      </c>
      <c r="T48" s="161">
        <v>2</v>
      </c>
      <c r="U48" s="161">
        <v>2</v>
      </c>
      <c r="V48" s="161">
        <v>2</v>
      </c>
      <c r="W48" s="161">
        <v>1</v>
      </c>
      <c r="X48" s="161">
        <v>1</v>
      </c>
      <c r="Y48" s="161">
        <v>1</v>
      </c>
      <c r="Z48" s="161">
        <v>1</v>
      </c>
      <c r="AA48" s="161">
        <v>1</v>
      </c>
      <c r="AB48" s="161">
        <v>1</v>
      </c>
      <c r="AC48" s="161">
        <v>1</v>
      </c>
      <c r="AD48" s="161">
        <v>1</v>
      </c>
      <c r="AE48" s="161">
        <v>1</v>
      </c>
      <c r="AF48" s="161">
        <v>1</v>
      </c>
      <c r="AG48" s="161">
        <v>1</v>
      </c>
      <c r="AH48" s="161">
        <v>1</v>
      </c>
      <c r="AI48" s="161">
        <v>1</v>
      </c>
      <c r="AJ48" s="161">
        <v>1</v>
      </c>
      <c r="AK48" s="161">
        <v>1</v>
      </c>
      <c r="AL48" s="161">
        <v>1</v>
      </c>
      <c r="AM48" s="161">
        <v>1</v>
      </c>
      <c r="AN48" s="161">
        <v>1</v>
      </c>
      <c r="AO48" s="151">
        <f t="shared" si="18"/>
        <v>28</v>
      </c>
      <c r="AP48">
        <f t="shared" si="19"/>
        <v>16</v>
      </c>
      <c r="AQ48">
        <f t="shared" si="20"/>
        <v>12</v>
      </c>
    </row>
    <row r="49" spans="1:43" x14ac:dyDescent="0.3">
      <c r="A49" s="19">
        <f t="shared" si="9"/>
        <v>45749</v>
      </c>
      <c r="B49">
        <f t="shared" si="10"/>
        <v>23</v>
      </c>
      <c r="C49" s="16">
        <f>IFERROR(MATCH(A50,NERCHolidays!$B$2:$B$121,0),0)</f>
        <v>0</v>
      </c>
      <c r="D49">
        <f t="shared" si="6"/>
        <v>1</v>
      </c>
      <c r="E49" t="str">
        <f t="shared" si="7"/>
        <v>PK</v>
      </c>
      <c r="F49">
        <f t="shared" si="14"/>
        <v>5</v>
      </c>
      <c r="G49">
        <f t="shared" si="2"/>
        <v>1</v>
      </c>
      <c r="H49">
        <f t="shared" si="3"/>
        <v>0</v>
      </c>
      <c r="I49">
        <f t="shared" si="13"/>
        <v>1</v>
      </c>
      <c r="J49">
        <f t="shared" si="5"/>
        <v>0</v>
      </c>
      <c r="K49">
        <f t="shared" si="8"/>
        <v>6</v>
      </c>
      <c r="L49" s="179">
        <f>'Aztec Metered Load'!C53</f>
        <v>3.9340000000000002</v>
      </c>
      <c r="O49" s="148">
        <f t="shared" si="15"/>
        <v>45757</v>
      </c>
      <c r="P49" s="164">
        <v>5</v>
      </c>
      <c r="Q49" s="161">
        <v>1</v>
      </c>
      <c r="R49" s="161">
        <v>1</v>
      </c>
      <c r="S49" s="161">
        <v>2</v>
      </c>
      <c r="T49" s="161">
        <v>2</v>
      </c>
      <c r="U49" s="161">
        <v>2</v>
      </c>
      <c r="V49" s="161">
        <v>2</v>
      </c>
      <c r="W49" s="161">
        <v>1</v>
      </c>
      <c r="X49" s="161">
        <v>1</v>
      </c>
      <c r="Y49" s="161">
        <v>1</v>
      </c>
      <c r="Z49" s="161">
        <v>1</v>
      </c>
      <c r="AA49" s="161">
        <v>1</v>
      </c>
      <c r="AB49" s="161">
        <v>1</v>
      </c>
      <c r="AC49" s="161">
        <v>1</v>
      </c>
      <c r="AD49" s="161">
        <v>1</v>
      </c>
      <c r="AE49" s="161">
        <v>1</v>
      </c>
      <c r="AF49" s="161">
        <v>1</v>
      </c>
      <c r="AG49" s="161">
        <v>1</v>
      </c>
      <c r="AH49" s="161">
        <v>1</v>
      </c>
      <c r="AI49" s="161">
        <v>1</v>
      </c>
      <c r="AJ49" s="161">
        <v>1</v>
      </c>
      <c r="AK49" s="161">
        <v>1</v>
      </c>
      <c r="AL49" s="161">
        <v>1</v>
      </c>
      <c r="AM49" s="161">
        <v>1</v>
      </c>
      <c r="AN49" s="161">
        <v>1</v>
      </c>
      <c r="AO49" s="151">
        <f t="shared" si="18"/>
        <v>28</v>
      </c>
      <c r="AP49">
        <f t="shared" si="19"/>
        <v>16</v>
      </c>
      <c r="AQ49">
        <f t="shared" si="20"/>
        <v>12</v>
      </c>
    </row>
    <row r="50" spans="1:43" x14ac:dyDescent="0.3">
      <c r="A50" s="19">
        <f t="shared" si="9"/>
        <v>45749</v>
      </c>
      <c r="B50">
        <f t="shared" si="10"/>
        <v>24</v>
      </c>
      <c r="C50" s="16">
        <f>IFERROR(MATCH(A51,NERCHolidays!$B$2:$B$121,0),0)</f>
        <v>0</v>
      </c>
      <c r="D50">
        <f t="shared" si="6"/>
        <v>0</v>
      </c>
      <c r="E50" t="str">
        <f t="shared" si="7"/>
        <v>OP</v>
      </c>
      <c r="F50">
        <f t="shared" si="14"/>
        <v>5</v>
      </c>
      <c r="G50">
        <f t="shared" si="2"/>
        <v>0</v>
      </c>
      <c r="H50">
        <f t="shared" si="3"/>
        <v>0</v>
      </c>
      <c r="I50">
        <f t="shared" si="13"/>
        <v>1</v>
      </c>
      <c r="J50">
        <f t="shared" si="5"/>
        <v>0</v>
      </c>
      <c r="K50">
        <f t="shared" si="8"/>
        <v>5</v>
      </c>
      <c r="L50" s="179">
        <f>'Aztec Metered Load'!C54</f>
        <v>3.7589999999999999</v>
      </c>
      <c r="O50" s="148">
        <f t="shared" si="15"/>
        <v>45758</v>
      </c>
      <c r="P50" s="164">
        <v>6</v>
      </c>
      <c r="Q50" s="161">
        <v>1</v>
      </c>
      <c r="R50" s="161">
        <v>1</v>
      </c>
      <c r="S50" s="161">
        <v>2</v>
      </c>
      <c r="T50" s="161">
        <v>2</v>
      </c>
      <c r="U50" s="161">
        <v>2</v>
      </c>
      <c r="V50" s="161">
        <v>2</v>
      </c>
      <c r="W50" s="161">
        <v>1</v>
      </c>
      <c r="X50" s="161">
        <v>1</v>
      </c>
      <c r="Y50" s="161">
        <v>1</v>
      </c>
      <c r="Z50" s="161">
        <v>1</v>
      </c>
      <c r="AA50" s="161">
        <v>1</v>
      </c>
      <c r="AB50" s="161">
        <v>1</v>
      </c>
      <c r="AC50" s="161">
        <v>1</v>
      </c>
      <c r="AD50" s="161">
        <v>1</v>
      </c>
      <c r="AE50" s="161">
        <v>1</v>
      </c>
      <c r="AF50" s="161">
        <v>1</v>
      </c>
      <c r="AG50" s="161">
        <v>1</v>
      </c>
      <c r="AH50" s="161">
        <v>1</v>
      </c>
      <c r="AI50" s="161">
        <v>1</v>
      </c>
      <c r="AJ50" s="161">
        <v>1</v>
      </c>
      <c r="AK50" s="161">
        <v>1</v>
      </c>
      <c r="AL50" s="161">
        <v>1</v>
      </c>
      <c r="AM50" s="161">
        <v>1</v>
      </c>
      <c r="AN50" s="161">
        <v>1</v>
      </c>
      <c r="AO50" s="151">
        <f t="shared" si="18"/>
        <v>28</v>
      </c>
      <c r="AP50">
        <f t="shared" si="19"/>
        <v>16</v>
      </c>
      <c r="AQ50">
        <f t="shared" si="20"/>
        <v>12</v>
      </c>
    </row>
    <row r="51" spans="1:43" x14ac:dyDescent="0.3">
      <c r="A51" s="19">
        <f t="shared" si="9"/>
        <v>45750</v>
      </c>
      <c r="B51">
        <f t="shared" si="10"/>
        <v>1</v>
      </c>
      <c r="C51" s="16">
        <f>IFERROR(MATCH(A52,NERCHolidays!$B$2:$B$121,0),0)</f>
        <v>0</v>
      </c>
      <c r="D51">
        <f t="shared" si="6"/>
        <v>0</v>
      </c>
      <c r="E51" t="str">
        <f t="shared" si="7"/>
        <v>OP</v>
      </c>
      <c r="F51">
        <f t="shared" si="14"/>
        <v>5</v>
      </c>
      <c r="G51">
        <f t="shared" si="2"/>
        <v>1</v>
      </c>
      <c r="H51">
        <f t="shared" si="3"/>
        <v>0</v>
      </c>
      <c r="I51">
        <f t="shared" si="13"/>
        <v>1</v>
      </c>
      <c r="J51">
        <f t="shared" si="5"/>
        <v>0</v>
      </c>
      <c r="K51">
        <f t="shared" si="8"/>
        <v>6</v>
      </c>
      <c r="L51" s="179">
        <f>'Aztec Metered Load'!C55</f>
        <v>3.6789999999999998</v>
      </c>
      <c r="O51" s="148">
        <f t="shared" si="15"/>
        <v>45759</v>
      </c>
      <c r="P51" s="164">
        <v>7</v>
      </c>
      <c r="Q51" s="161">
        <v>1</v>
      </c>
      <c r="R51" s="161">
        <v>1</v>
      </c>
      <c r="S51" s="161">
        <v>2</v>
      </c>
      <c r="T51" s="161">
        <v>2</v>
      </c>
      <c r="U51" s="161">
        <v>2</v>
      </c>
      <c r="V51" s="161">
        <v>1</v>
      </c>
      <c r="W51" s="161">
        <v>1</v>
      </c>
      <c r="X51" s="161">
        <v>1</v>
      </c>
      <c r="Y51" s="161">
        <v>1</v>
      </c>
      <c r="Z51" s="161">
        <v>1</v>
      </c>
      <c r="AA51" s="161">
        <v>1</v>
      </c>
      <c r="AB51" s="161">
        <v>1</v>
      </c>
      <c r="AC51" s="161">
        <v>1</v>
      </c>
      <c r="AD51" s="161">
        <v>1</v>
      </c>
      <c r="AE51" s="161">
        <v>1</v>
      </c>
      <c r="AF51" s="161">
        <v>1</v>
      </c>
      <c r="AG51" s="161">
        <v>1</v>
      </c>
      <c r="AH51" s="161">
        <v>1</v>
      </c>
      <c r="AI51" s="161">
        <v>1</v>
      </c>
      <c r="AJ51" s="161">
        <v>1</v>
      </c>
      <c r="AK51" s="161">
        <v>1</v>
      </c>
      <c r="AL51" s="161">
        <v>1</v>
      </c>
      <c r="AM51" s="161">
        <v>1</v>
      </c>
      <c r="AN51" s="161">
        <v>1</v>
      </c>
      <c r="AO51" s="151">
        <f t="shared" si="18"/>
        <v>27</v>
      </c>
      <c r="AP51">
        <f t="shared" si="19"/>
        <v>16</v>
      </c>
      <c r="AQ51">
        <f t="shared" si="20"/>
        <v>11</v>
      </c>
    </row>
    <row r="52" spans="1:43" x14ac:dyDescent="0.3">
      <c r="A52" s="19">
        <f t="shared" si="9"/>
        <v>45750</v>
      </c>
      <c r="B52">
        <f t="shared" si="10"/>
        <v>2</v>
      </c>
      <c r="C52" s="16">
        <f>IFERROR(MATCH(A53,NERCHolidays!$B$2:$B$121,0),0)</f>
        <v>0</v>
      </c>
      <c r="D52">
        <f t="shared" si="6"/>
        <v>0</v>
      </c>
      <c r="E52" t="str">
        <f t="shared" si="7"/>
        <v>OP</v>
      </c>
      <c r="F52">
        <f t="shared" si="14"/>
        <v>5</v>
      </c>
      <c r="G52">
        <f t="shared" si="2"/>
        <v>1</v>
      </c>
      <c r="H52">
        <f t="shared" si="3"/>
        <v>0</v>
      </c>
      <c r="I52">
        <f t="shared" si="13"/>
        <v>1</v>
      </c>
      <c r="J52">
        <f t="shared" si="5"/>
        <v>0</v>
      </c>
      <c r="K52">
        <f t="shared" si="8"/>
        <v>6</v>
      </c>
      <c r="L52" s="179">
        <f>'Aztec Metered Load'!C56</f>
        <v>3.653</v>
      </c>
      <c r="O52" s="148">
        <f t="shared" si="15"/>
        <v>45760</v>
      </c>
      <c r="P52" s="164" t="s">
        <v>55</v>
      </c>
      <c r="Q52" s="161">
        <v>1</v>
      </c>
      <c r="R52" s="161">
        <v>1</v>
      </c>
      <c r="S52" s="161">
        <v>2</v>
      </c>
      <c r="T52" s="161">
        <v>2</v>
      </c>
      <c r="U52" s="161">
        <v>2</v>
      </c>
      <c r="V52" s="161">
        <v>1</v>
      </c>
      <c r="W52" s="161">
        <v>1</v>
      </c>
      <c r="X52" s="161">
        <v>1</v>
      </c>
      <c r="Y52" s="161">
        <v>1</v>
      </c>
      <c r="Z52" s="161">
        <v>1</v>
      </c>
      <c r="AA52" s="161">
        <v>1</v>
      </c>
      <c r="AB52" s="161">
        <v>1</v>
      </c>
      <c r="AC52" s="161">
        <v>1</v>
      </c>
      <c r="AD52" s="161">
        <v>1</v>
      </c>
      <c r="AE52" s="161">
        <v>1</v>
      </c>
      <c r="AF52" s="161">
        <v>1</v>
      </c>
      <c r="AG52" s="161">
        <v>1</v>
      </c>
      <c r="AH52" s="161">
        <v>1</v>
      </c>
      <c r="AI52" s="161">
        <v>1</v>
      </c>
      <c r="AJ52" s="161">
        <v>1</v>
      </c>
      <c r="AK52" s="161">
        <v>1</v>
      </c>
      <c r="AL52" s="161">
        <v>1</v>
      </c>
      <c r="AM52" s="161">
        <v>1</v>
      </c>
      <c r="AN52" s="161">
        <v>1</v>
      </c>
      <c r="AO52" s="151">
        <f t="shared" si="18"/>
        <v>27</v>
      </c>
      <c r="AP52">
        <f t="shared" si="19"/>
        <v>0</v>
      </c>
      <c r="AQ52">
        <f t="shared" si="20"/>
        <v>27</v>
      </c>
    </row>
    <row r="53" spans="1:43" x14ac:dyDescent="0.3">
      <c r="A53" s="19">
        <f t="shared" si="9"/>
        <v>45750</v>
      </c>
      <c r="B53">
        <f t="shared" si="10"/>
        <v>3</v>
      </c>
      <c r="C53" s="16">
        <f>IFERROR(MATCH(A54,NERCHolidays!$B$2:$B$121,0),0)</f>
        <v>0</v>
      </c>
      <c r="D53">
        <f t="shared" si="6"/>
        <v>0</v>
      </c>
      <c r="E53" t="str">
        <f t="shared" si="7"/>
        <v>OP</v>
      </c>
      <c r="F53">
        <f t="shared" si="14"/>
        <v>5</v>
      </c>
      <c r="G53">
        <f t="shared" si="2"/>
        <v>1</v>
      </c>
      <c r="H53">
        <f t="shared" si="3"/>
        <v>0</v>
      </c>
      <c r="I53">
        <f t="shared" si="13"/>
        <v>2</v>
      </c>
      <c r="J53">
        <f t="shared" si="5"/>
        <v>0</v>
      </c>
      <c r="K53">
        <f t="shared" si="8"/>
        <v>6</v>
      </c>
      <c r="L53" s="179">
        <f>'Aztec Metered Load'!C57</f>
        <v>3.742</v>
      </c>
      <c r="O53" s="148">
        <f t="shared" si="15"/>
        <v>45761</v>
      </c>
      <c r="P53" s="164">
        <v>2</v>
      </c>
      <c r="Q53" s="161">
        <v>1</v>
      </c>
      <c r="R53" s="161">
        <v>1</v>
      </c>
      <c r="S53" s="161">
        <v>2</v>
      </c>
      <c r="T53" s="161">
        <v>2</v>
      </c>
      <c r="U53" s="161">
        <v>2</v>
      </c>
      <c r="V53" s="161">
        <v>1</v>
      </c>
      <c r="W53" s="161">
        <v>1</v>
      </c>
      <c r="X53" s="161">
        <v>1</v>
      </c>
      <c r="Y53" s="161">
        <v>1</v>
      </c>
      <c r="Z53" s="161">
        <v>1</v>
      </c>
      <c r="AA53" s="161">
        <v>1</v>
      </c>
      <c r="AB53" s="161">
        <v>1</v>
      </c>
      <c r="AC53" s="161">
        <v>1</v>
      </c>
      <c r="AD53" s="161">
        <v>1</v>
      </c>
      <c r="AE53" s="161">
        <v>1</v>
      </c>
      <c r="AF53" s="161">
        <v>1</v>
      </c>
      <c r="AG53" s="161">
        <v>1</v>
      </c>
      <c r="AH53" s="161">
        <v>1</v>
      </c>
      <c r="AI53" s="161">
        <v>1</v>
      </c>
      <c r="AJ53" s="161">
        <v>1</v>
      </c>
      <c r="AK53" s="161">
        <v>1</v>
      </c>
      <c r="AL53" s="161">
        <v>1</v>
      </c>
      <c r="AM53" s="161">
        <v>1</v>
      </c>
      <c r="AN53" s="161">
        <v>1</v>
      </c>
      <c r="AO53" s="151">
        <f t="shared" si="18"/>
        <v>27</v>
      </c>
      <c r="AP53">
        <f t="shared" si="19"/>
        <v>16</v>
      </c>
      <c r="AQ53">
        <f t="shared" si="20"/>
        <v>11</v>
      </c>
    </row>
    <row r="54" spans="1:43" x14ac:dyDescent="0.3">
      <c r="A54" s="19">
        <f t="shared" si="9"/>
        <v>45750</v>
      </c>
      <c r="B54">
        <f t="shared" si="10"/>
        <v>4</v>
      </c>
      <c r="C54" s="16">
        <f>IFERROR(MATCH(A55,NERCHolidays!$B$2:$B$121,0),0)</f>
        <v>0</v>
      </c>
      <c r="D54">
        <f t="shared" si="6"/>
        <v>0</v>
      </c>
      <c r="E54" t="str">
        <f t="shared" si="7"/>
        <v>OP</v>
      </c>
      <c r="F54">
        <f t="shared" si="14"/>
        <v>5</v>
      </c>
      <c r="G54">
        <f t="shared" si="2"/>
        <v>1</v>
      </c>
      <c r="H54">
        <f t="shared" si="3"/>
        <v>0</v>
      </c>
      <c r="I54">
        <f t="shared" si="13"/>
        <v>2</v>
      </c>
      <c r="J54">
        <f t="shared" si="5"/>
        <v>0</v>
      </c>
      <c r="K54">
        <f t="shared" si="8"/>
        <v>6</v>
      </c>
      <c r="L54" s="179">
        <f>'Aztec Metered Load'!C58</f>
        <v>3.9049999999999998</v>
      </c>
      <c r="O54" s="148">
        <f t="shared" si="15"/>
        <v>45762</v>
      </c>
      <c r="P54" s="164">
        <v>3</v>
      </c>
      <c r="Q54" s="161">
        <v>1</v>
      </c>
      <c r="R54" s="161">
        <v>1</v>
      </c>
      <c r="S54" s="161">
        <v>2</v>
      </c>
      <c r="T54" s="161">
        <v>2</v>
      </c>
      <c r="U54" s="161">
        <v>2</v>
      </c>
      <c r="V54" s="161">
        <v>1</v>
      </c>
      <c r="W54" s="161">
        <v>1</v>
      </c>
      <c r="X54" s="161">
        <v>1</v>
      </c>
      <c r="Y54" s="161">
        <v>1</v>
      </c>
      <c r="Z54" s="161">
        <v>1</v>
      </c>
      <c r="AA54" s="161">
        <v>1</v>
      </c>
      <c r="AB54" s="161">
        <v>1</v>
      </c>
      <c r="AC54" s="161">
        <v>1</v>
      </c>
      <c r="AD54" s="161">
        <v>1</v>
      </c>
      <c r="AE54" s="161">
        <v>1</v>
      </c>
      <c r="AF54" s="161">
        <v>1</v>
      </c>
      <c r="AG54" s="161">
        <v>1</v>
      </c>
      <c r="AH54" s="161">
        <v>1</v>
      </c>
      <c r="AI54" s="161">
        <v>1</v>
      </c>
      <c r="AJ54" s="161">
        <v>1</v>
      </c>
      <c r="AK54" s="161">
        <v>1</v>
      </c>
      <c r="AL54" s="161">
        <v>1</v>
      </c>
      <c r="AM54" s="161">
        <v>1</v>
      </c>
      <c r="AN54" s="161">
        <v>1</v>
      </c>
      <c r="AO54" s="151">
        <f t="shared" si="18"/>
        <v>27</v>
      </c>
      <c r="AP54">
        <f t="shared" si="19"/>
        <v>16</v>
      </c>
      <c r="AQ54">
        <f t="shared" si="20"/>
        <v>11</v>
      </c>
    </row>
    <row r="55" spans="1:43" x14ac:dyDescent="0.3">
      <c r="A55" s="19">
        <f t="shared" si="9"/>
        <v>45750</v>
      </c>
      <c r="B55">
        <f t="shared" si="10"/>
        <v>5</v>
      </c>
      <c r="C55" s="16">
        <f>IFERROR(MATCH(A56,NERCHolidays!$B$2:$B$121,0),0)</f>
        <v>0</v>
      </c>
      <c r="D55">
        <f t="shared" si="6"/>
        <v>0</v>
      </c>
      <c r="E55" t="str">
        <f t="shared" si="7"/>
        <v>OP</v>
      </c>
      <c r="F55">
        <f t="shared" si="14"/>
        <v>5</v>
      </c>
      <c r="G55">
        <f t="shared" si="2"/>
        <v>1</v>
      </c>
      <c r="H55">
        <f t="shared" si="3"/>
        <v>0</v>
      </c>
      <c r="I55">
        <f t="shared" si="13"/>
        <v>2</v>
      </c>
      <c r="J55">
        <f t="shared" si="5"/>
        <v>0</v>
      </c>
      <c r="K55">
        <f t="shared" si="8"/>
        <v>6</v>
      </c>
      <c r="L55" s="179">
        <f>'Aztec Metered Load'!C59</f>
        <v>4.2759999999999998</v>
      </c>
      <c r="O55" s="148">
        <f t="shared" si="15"/>
        <v>45763</v>
      </c>
      <c r="P55" s="164">
        <v>4</v>
      </c>
      <c r="Q55" s="161">
        <v>1</v>
      </c>
      <c r="R55" s="161">
        <v>1</v>
      </c>
      <c r="S55" s="161">
        <v>2</v>
      </c>
      <c r="T55" s="161">
        <v>2</v>
      </c>
      <c r="U55" s="161">
        <v>2</v>
      </c>
      <c r="V55" s="161">
        <v>1</v>
      </c>
      <c r="W55" s="161">
        <v>1</v>
      </c>
      <c r="X55" s="161">
        <v>1</v>
      </c>
      <c r="Y55" s="161">
        <v>1</v>
      </c>
      <c r="Z55" s="161">
        <v>1</v>
      </c>
      <c r="AA55" s="161">
        <v>1</v>
      </c>
      <c r="AB55" s="161">
        <v>1</v>
      </c>
      <c r="AC55" s="161">
        <v>1</v>
      </c>
      <c r="AD55" s="161">
        <v>1</v>
      </c>
      <c r="AE55" s="161">
        <v>1</v>
      </c>
      <c r="AF55" s="161">
        <v>1</v>
      </c>
      <c r="AG55" s="161">
        <v>1</v>
      </c>
      <c r="AH55" s="161">
        <v>1</v>
      </c>
      <c r="AI55" s="161">
        <v>1</v>
      </c>
      <c r="AJ55" s="161">
        <v>1</v>
      </c>
      <c r="AK55" s="161">
        <v>1</v>
      </c>
      <c r="AL55" s="161">
        <v>1</v>
      </c>
      <c r="AM55" s="161">
        <v>1</v>
      </c>
      <c r="AN55" s="161">
        <v>1</v>
      </c>
      <c r="AO55" s="151">
        <f t="shared" si="18"/>
        <v>27</v>
      </c>
      <c r="AP55">
        <f t="shared" si="19"/>
        <v>16</v>
      </c>
      <c r="AQ55">
        <f t="shared" si="20"/>
        <v>11</v>
      </c>
    </row>
    <row r="56" spans="1:43" x14ac:dyDescent="0.3">
      <c r="A56" s="19">
        <f t="shared" si="9"/>
        <v>45750</v>
      </c>
      <c r="B56">
        <f t="shared" si="10"/>
        <v>6</v>
      </c>
      <c r="C56" s="16">
        <f>IFERROR(MATCH(A57,NERCHolidays!$B$2:$B$121,0),0)</f>
        <v>0</v>
      </c>
      <c r="D56">
        <f t="shared" si="6"/>
        <v>0</v>
      </c>
      <c r="E56" t="str">
        <f t="shared" si="7"/>
        <v>OP</v>
      </c>
      <c r="F56">
        <f t="shared" si="14"/>
        <v>5</v>
      </c>
      <c r="G56">
        <f t="shared" si="2"/>
        <v>1</v>
      </c>
      <c r="H56">
        <f t="shared" si="3"/>
        <v>0</v>
      </c>
      <c r="I56">
        <f t="shared" si="13"/>
        <v>2</v>
      </c>
      <c r="J56">
        <f t="shared" si="5"/>
        <v>0</v>
      </c>
      <c r="K56">
        <f t="shared" si="8"/>
        <v>6</v>
      </c>
      <c r="L56" s="179">
        <f>'Aztec Metered Load'!C60</f>
        <v>4.968</v>
      </c>
      <c r="O56" s="148">
        <f t="shared" si="15"/>
        <v>45764</v>
      </c>
      <c r="P56" s="164">
        <v>5</v>
      </c>
      <c r="Q56" s="161">
        <v>1</v>
      </c>
      <c r="R56" s="161">
        <v>1</v>
      </c>
      <c r="S56" s="161">
        <v>1</v>
      </c>
      <c r="T56" s="161">
        <v>2</v>
      </c>
      <c r="U56" s="161">
        <v>2</v>
      </c>
      <c r="V56" s="161">
        <v>1</v>
      </c>
      <c r="W56" s="161">
        <v>1</v>
      </c>
      <c r="X56" s="161">
        <v>1</v>
      </c>
      <c r="Y56" s="161">
        <v>1</v>
      </c>
      <c r="Z56" s="161">
        <v>1</v>
      </c>
      <c r="AA56" s="161">
        <v>1</v>
      </c>
      <c r="AB56" s="161">
        <v>1</v>
      </c>
      <c r="AC56" s="161">
        <v>1</v>
      </c>
      <c r="AD56" s="161">
        <v>1</v>
      </c>
      <c r="AE56" s="161">
        <v>1</v>
      </c>
      <c r="AF56" s="161">
        <v>1</v>
      </c>
      <c r="AG56" s="161">
        <v>1</v>
      </c>
      <c r="AH56" s="161">
        <v>1</v>
      </c>
      <c r="AI56" s="161">
        <v>1</v>
      </c>
      <c r="AJ56" s="161">
        <v>1</v>
      </c>
      <c r="AK56" s="161">
        <v>1</v>
      </c>
      <c r="AL56" s="161">
        <v>1</v>
      </c>
      <c r="AM56" s="161">
        <v>1</v>
      </c>
      <c r="AN56" s="161">
        <v>1</v>
      </c>
      <c r="AO56" s="151">
        <f t="shared" si="18"/>
        <v>26</v>
      </c>
      <c r="AP56">
        <f t="shared" si="19"/>
        <v>16</v>
      </c>
      <c r="AQ56">
        <f t="shared" si="20"/>
        <v>10</v>
      </c>
    </row>
    <row r="57" spans="1:43" x14ac:dyDescent="0.3">
      <c r="A57" s="19">
        <f t="shared" si="9"/>
        <v>45750</v>
      </c>
      <c r="B57">
        <f t="shared" si="10"/>
        <v>7</v>
      </c>
      <c r="C57" s="16">
        <f>IFERROR(MATCH(A58,NERCHolidays!$B$2:$B$121,0),0)</f>
        <v>0</v>
      </c>
      <c r="D57">
        <f t="shared" si="6"/>
        <v>0</v>
      </c>
      <c r="E57" t="str">
        <f t="shared" si="7"/>
        <v>OP</v>
      </c>
      <c r="F57">
        <f t="shared" si="14"/>
        <v>5</v>
      </c>
      <c r="G57">
        <f t="shared" si="2"/>
        <v>1</v>
      </c>
      <c r="H57">
        <f t="shared" si="3"/>
        <v>0</v>
      </c>
      <c r="I57">
        <f t="shared" si="13"/>
        <v>1</v>
      </c>
      <c r="J57">
        <f t="shared" si="5"/>
        <v>0</v>
      </c>
      <c r="K57">
        <f t="shared" si="8"/>
        <v>6</v>
      </c>
      <c r="L57" s="179">
        <f>'Aztec Metered Load'!C61</f>
        <v>5.3049999999999997</v>
      </c>
      <c r="O57" s="148">
        <f t="shared" si="15"/>
        <v>45765</v>
      </c>
      <c r="P57" s="164">
        <v>6</v>
      </c>
      <c r="Q57" s="161">
        <v>1</v>
      </c>
      <c r="R57" s="161">
        <v>1</v>
      </c>
      <c r="S57" s="161">
        <v>1</v>
      </c>
      <c r="T57" s="161">
        <v>2</v>
      </c>
      <c r="U57" s="161">
        <v>2</v>
      </c>
      <c r="V57" s="161">
        <v>1</v>
      </c>
      <c r="W57" s="161">
        <v>1</v>
      </c>
      <c r="X57" s="161">
        <v>1</v>
      </c>
      <c r="Y57" s="161">
        <v>1</v>
      </c>
      <c r="Z57" s="161">
        <v>1</v>
      </c>
      <c r="AA57" s="161">
        <v>1</v>
      </c>
      <c r="AB57" s="161">
        <v>1</v>
      </c>
      <c r="AC57" s="161">
        <v>1</v>
      </c>
      <c r="AD57" s="161">
        <v>1</v>
      </c>
      <c r="AE57" s="161">
        <v>1</v>
      </c>
      <c r="AF57" s="161">
        <v>1</v>
      </c>
      <c r="AG57" s="161">
        <v>1</v>
      </c>
      <c r="AH57" s="161">
        <v>1</v>
      </c>
      <c r="AI57" s="161">
        <v>1</v>
      </c>
      <c r="AJ57" s="161">
        <v>1</v>
      </c>
      <c r="AK57" s="161">
        <v>1</v>
      </c>
      <c r="AL57" s="161">
        <v>1</v>
      </c>
      <c r="AM57" s="161">
        <v>1</v>
      </c>
      <c r="AN57" s="161">
        <v>1</v>
      </c>
      <c r="AO57" s="151">
        <f t="shared" si="18"/>
        <v>26</v>
      </c>
      <c r="AP57">
        <f t="shared" si="19"/>
        <v>16</v>
      </c>
      <c r="AQ57">
        <f t="shared" si="20"/>
        <v>10</v>
      </c>
    </row>
    <row r="58" spans="1:43" x14ac:dyDescent="0.3">
      <c r="A58" s="19">
        <f t="shared" si="9"/>
        <v>45750</v>
      </c>
      <c r="B58">
        <f t="shared" si="10"/>
        <v>8</v>
      </c>
      <c r="C58" s="16">
        <f>IFERROR(MATCH(A59,NERCHolidays!$B$2:$B$121,0),0)</f>
        <v>0</v>
      </c>
      <c r="D58">
        <f t="shared" si="6"/>
        <v>1</v>
      </c>
      <c r="E58" t="str">
        <f t="shared" si="7"/>
        <v>PK</v>
      </c>
      <c r="F58">
        <f t="shared" si="14"/>
        <v>1</v>
      </c>
      <c r="G58">
        <f t="shared" si="2"/>
        <v>1</v>
      </c>
      <c r="H58">
        <f t="shared" si="3"/>
        <v>0</v>
      </c>
      <c r="I58">
        <f t="shared" si="13"/>
        <v>1</v>
      </c>
      <c r="J58">
        <f t="shared" si="5"/>
        <v>0</v>
      </c>
      <c r="K58">
        <f t="shared" si="8"/>
        <v>2</v>
      </c>
      <c r="L58" s="179">
        <f>'Aztec Metered Load'!C62</f>
        <v>5.0990000000000002</v>
      </c>
      <c r="O58" s="148">
        <f t="shared" si="15"/>
        <v>45766</v>
      </c>
      <c r="P58" s="164">
        <v>7</v>
      </c>
      <c r="Q58" s="161">
        <v>1</v>
      </c>
      <c r="R58" s="161">
        <v>1</v>
      </c>
      <c r="S58" s="161">
        <v>1</v>
      </c>
      <c r="T58" s="161">
        <v>2</v>
      </c>
      <c r="U58" s="161">
        <v>2</v>
      </c>
      <c r="V58" s="161">
        <v>1</v>
      </c>
      <c r="W58" s="161">
        <v>1</v>
      </c>
      <c r="X58" s="161">
        <v>1</v>
      </c>
      <c r="Y58" s="161">
        <v>1</v>
      </c>
      <c r="Z58" s="161">
        <v>1</v>
      </c>
      <c r="AA58" s="161">
        <v>1</v>
      </c>
      <c r="AB58" s="161">
        <v>1</v>
      </c>
      <c r="AC58" s="161">
        <v>1</v>
      </c>
      <c r="AD58" s="161">
        <v>1</v>
      </c>
      <c r="AE58" s="161">
        <v>1</v>
      </c>
      <c r="AF58" s="161">
        <v>1</v>
      </c>
      <c r="AG58" s="161">
        <v>1</v>
      </c>
      <c r="AH58" s="161">
        <v>1</v>
      </c>
      <c r="AI58" s="161">
        <v>1</v>
      </c>
      <c r="AJ58" s="161">
        <v>1</v>
      </c>
      <c r="AK58" s="161">
        <v>1</v>
      </c>
      <c r="AL58" s="161">
        <v>1</v>
      </c>
      <c r="AM58" s="161">
        <v>1</v>
      </c>
      <c r="AN58" s="161">
        <v>1</v>
      </c>
      <c r="AO58" s="151">
        <f t="shared" si="18"/>
        <v>26</v>
      </c>
      <c r="AP58">
        <f t="shared" si="19"/>
        <v>16</v>
      </c>
      <c r="AQ58">
        <f t="shared" si="20"/>
        <v>10</v>
      </c>
    </row>
    <row r="59" spans="1:43" x14ac:dyDescent="0.3">
      <c r="A59" s="19">
        <f t="shared" si="9"/>
        <v>45750</v>
      </c>
      <c r="B59">
        <f t="shared" si="10"/>
        <v>9</v>
      </c>
      <c r="C59" s="16">
        <f>IFERROR(MATCH(A60,NERCHolidays!$B$2:$B$121,0),0)</f>
        <v>0</v>
      </c>
      <c r="D59">
        <f t="shared" si="6"/>
        <v>1</v>
      </c>
      <c r="E59" t="str">
        <f t="shared" si="7"/>
        <v>PK</v>
      </c>
      <c r="F59">
        <f t="shared" si="14"/>
        <v>1</v>
      </c>
      <c r="G59">
        <f t="shared" si="2"/>
        <v>1</v>
      </c>
      <c r="H59">
        <f t="shared" si="3"/>
        <v>0</v>
      </c>
      <c r="I59">
        <f t="shared" si="13"/>
        <v>1</v>
      </c>
      <c r="J59">
        <f t="shared" si="5"/>
        <v>0</v>
      </c>
      <c r="K59">
        <f t="shared" si="8"/>
        <v>2</v>
      </c>
      <c r="L59" s="179">
        <f>'Aztec Metered Load'!C63</f>
        <v>4.91</v>
      </c>
      <c r="O59" s="148">
        <f t="shared" si="15"/>
        <v>45767</v>
      </c>
      <c r="P59" s="164" t="s">
        <v>55</v>
      </c>
      <c r="Q59" s="161">
        <v>1</v>
      </c>
      <c r="R59" s="161">
        <v>1</v>
      </c>
      <c r="S59" s="161">
        <v>1</v>
      </c>
      <c r="T59" s="161">
        <v>2</v>
      </c>
      <c r="U59" s="161">
        <v>2</v>
      </c>
      <c r="V59" s="161">
        <v>1</v>
      </c>
      <c r="W59" s="161">
        <v>1</v>
      </c>
      <c r="X59" s="161">
        <v>1</v>
      </c>
      <c r="Y59" s="161">
        <v>1</v>
      </c>
      <c r="Z59" s="161">
        <v>1</v>
      </c>
      <c r="AA59" s="161">
        <v>1</v>
      </c>
      <c r="AB59" s="161">
        <v>1</v>
      </c>
      <c r="AC59" s="161">
        <v>1</v>
      </c>
      <c r="AD59" s="161">
        <v>1</v>
      </c>
      <c r="AE59" s="161">
        <v>1</v>
      </c>
      <c r="AF59" s="161">
        <v>1</v>
      </c>
      <c r="AG59" s="161">
        <v>1</v>
      </c>
      <c r="AH59" s="161">
        <v>1</v>
      </c>
      <c r="AI59" s="161">
        <v>1</v>
      </c>
      <c r="AJ59" s="161">
        <v>1</v>
      </c>
      <c r="AK59" s="161">
        <v>1</v>
      </c>
      <c r="AL59" s="161">
        <v>1</v>
      </c>
      <c r="AM59" s="161">
        <v>1</v>
      </c>
      <c r="AN59" s="161">
        <v>1</v>
      </c>
      <c r="AO59" s="151">
        <f t="shared" si="18"/>
        <v>26</v>
      </c>
      <c r="AP59">
        <f>IF(P59="SUNDAY",0,SUM(X59:AM59))</f>
        <v>0</v>
      </c>
      <c r="AQ59">
        <f t="shared" si="20"/>
        <v>26</v>
      </c>
    </row>
    <row r="60" spans="1:43" x14ac:dyDescent="0.3">
      <c r="A60" s="19">
        <f t="shared" si="9"/>
        <v>45750</v>
      </c>
      <c r="B60">
        <f t="shared" si="10"/>
        <v>10</v>
      </c>
      <c r="C60" s="16">
        <f>IFERROR(MATCH(A61,NERCHolidays!$B$2:$B$121,0),0)</f>
        <v>0</v>
      </c>
      <c r="D60">
        <f t="shared" si="6"/>
        <v>1</v>
      </c>
      <c r="E60" t="str">
        <f t="shared" si="7"/>
        <v>PK</v>
      </c>
      <c r="F60">
        <f t="shared" si="14"/>
        <v>5</v>
      </c>
      <c r="G60">
        <f t="shared" si="2"/>
        <v>0</v>
      </c>
      <c r="H60">
        <f t="shared" si="3"/>
        <v>0</v>
      </c>
      <c r="I60">
        <f t="shared" si="13"/>
        <v>1</v>
      </c>
      <c r="J60">
        <f t="shared" si="5"/>
        <v>0</v>
      </c>
      <c r="K60">
        <f t="shared" si="8"/>
        <v>5</v>
      </c>
      <c r="L60" s="179">
        <f>'Aztec Metered Load'!C64</f>
        <v>4.6900000000000004</v>
      </c>
      <c r="O60" s="148">
        <f t="shared" si="15"/>
        <v>45768</v>
      </c>
      <c r="P60" s="164">
        <v>2</v>
      </c>
      <c r="Q60" s="161">
        <v>1</v>
      </c>
      <c r="R60" s="161">
        <v>1</v>
      </c>
      <c r="S60" s="161">
        <v>1</v>
      </c>
      <c r="T60" s="161">
        <v>2</v>
      </c>
      <c r="U60" s="161">
        <v>2</v>
      </c>
      <c r="V60" s="161">
        <v>1</v>
      </c>
      <c r="W60" s="161">
        <v>1</v>
      </c>
      <c r="X60" s="161">
        <v>1</v>
      </c>
      <c r="Y60" s="161">
        <v>1</v>
      </c>
      <c r="Z60" s="161">
        <v>1</v>
      </c>
      <c r="AA60" s="161">
        <v>1</v>
      </c>
      <c r="AB60" s="161">
        <v>1</v>
      </c>
      <c r="AC60" s="161">
        <v>1</v>
      </c>
      <c r="AD60" s="161">
        <v>1</v>
      </c>
      <c r="AE60" s="161">
        <v>1</v>
      </c>
      <c r="AF60" s="161">
        <v>1</v>
      </c>
      <c r="AG60" s="161">
        <v>1</v>
      </c>
      <c r="AH60" s="161">
        <v>1</v>
      </c>
      <c r="AI60" s="161">
        <v>1</v>
      </c>
      <c r="AJ60" s="161">
        <v>1</v>
      </c>
      <c r="AK60" s="161">
        <v>1</v>
      </c>
      <c r="AL60" s="161">
        <v>1</v>
      </c>
      <c r="AM60" s="161">
        <v>1</v>
      </c>
      <c r="AN60" s="161">
        <v>1</v>
      </c>
      <c r="AO60" s="151">
        <f t="shared" si="18"/>
        <v>26</v>
      </c>
      <c r="AP60">
        <f t="shared" si="19"/>
        <v>16</v>
      </c>
      <c r="AQ60">
        <f t="shared" si="20"/>
        <v>10</v>
      </c>
    </row>
    <row r="61" spans="1:43" x14ac:dyDescent="0.3">
      <c r="A61" s="19">
        <f t="shared" si="9"/>
        <v>45750</v>
      </c>
      <c r="B61">
        <f t="shared" si="10"/>
        <v>11</v>
      </c>
      <c r="C61" s="16">
        <f>IFERROR(MATCH(A62,NERCHolidays!$B$2:$B$121,0),0)</f>
        <v>0</v>
      </c>
      <c r="D61">
        <f t="shared" si="6"/>
        <v>1</v>
      </c>
      <c r="E61" t="str">
        <f t="shared" si="7"/>
        <v>PK</v>
      </c>
      <c r="F61">
        <f t="shared" si="14"/>
        <v>5</v>
      </c>
      <c r="G61">
        <f t="shared" si="2"/>
        <v>0</v>
      </c>
      <c r="H61">
        <f t="shared" si="3"/>
        <v>0</v>
      </c>
      <c r="I61">
        <f t="shared" si="13"/>
        <v>1</v>
      </c>
      <c r="J61">
        <f t="shared" si="5"/>
        <v>0</v>
      </c>
      <c r="K61">
        <f t="shared" si="8"/>
        <v>5</v>
      </c>
      <c r="L61" s="179">
        <f>'Aztec Metered Load'!C65</f>
        <v>4.8810000000000002</v>
      </c>
      <c r="O61" s="148">
        <f t="shared" si="15"/>
        <v>45769</v>
      </c>
      <c r="P61" s="164">
        <v>3</v>
      </c>
      <c r="Q61" s="161">
        <v>1</v>
      </c>
      <c r="R61" s="161">
        <v>1</v>
      </c>
      <c r="S61" s="161">
        <v>1</v>
      </c>
      <c r="T61" s="161">
        <v>2</v>
      </c>
      <c r="U61" s="161">
        <v>2</v>
      </c>
      <c r="V61" s="161">
        <v>1</v>
      </c>
      <c r="W61" s="161">
        <v>1</v>
      </c>
      <c r="X61" s="161">
        <v>1</v>
      </c>
      <c r="Y61" s="161">
        <v>1</v>
      </c>
      <c r="Z61" s="161">
        <v>1</v>
      </c>
      <c r="AA61" s="161">
        <v>1</v>
      </c>
      <c r="AB61" s="161">
        <v>1</v>
      </c>
      <c r="AC61" s="161">
        <v>1</v>
      </c>
      <c r="AD61" s="161">
        <v>1</v>
      </c>
      <c r="AE61" s="161">
        <v>1</v>
      </c>
      <c r="AF61" s="161">
        <v>1</v>
      </c>
      <c r="AG61" s="161">
        <v>1</v>
      </c>
      <c r="AH61" s="161">
        <v>1</v>
      </c>
      <c r="AI61" s="161">
        <v>1</v>
      </c>
      <c r="AJ61" s="161">
        <v>1</v>
      </c>
      <c r="AK61" s="161">
        <v>1</v>
      </c>
      <c r="AL61" s="161">
        <v>1</v>
      </c>
      <c r="AM61" s="161">
        <v>1</v>
      </c>
      <c r="AN61" s="161">
        <v>1</v>
      </c>
      <c r="AO61" s="151">
        <f t="shared" si="18"/>
        <v>26</v>
      </c>
      <c r="AP61">
        <f t="shared" si="19"/>
        <v>16</v>
      </c>
      <c r="AQ61">
        <f t="shared" si="20"/>
        <v>10</v>
      </c>
    </row>
    <row r="62" spans="1:43" x14ac:dyDescent="0.3">
      <c r="A62" s="19">
        <f t="shared" si="9"/>
        <v>45750</v>
      </c>
      <c r="B62">
        <f t="shared" si="10"/>
        <v>12</v>
      </c>
      <c r="C62" s="16">
        <f>IFERROR(MATCH(A63,NERCHolidays!$B$2:$B$121,0),0)</f>
        <v>0</v>
      </c>
      <c r="D62">
        <f t="shared" si="6"/>
        <v>1</v>
      </c>
      <c r="E62" t="str">
        <f t="shared" si="7"/>
        <v>PK</v>
      </c>
      <c r="F62">
        <f t="shared" si="14"/>
        <v>5</v>
      </c>
      <c r="G62">
        <f t="shared" si="2"/>
        <v>0</v>
      </c>
      <c r="H62">
        <f t="shared" si="3"/>
        <v>0</v>
      </c>
      <c r="I62">
        <f t="shared" si="13"/>
        <v>1</v>
      </c>
      <c r="J62">
        <f t="shared" si="5"/>
        <v>0</v>
      </c>
      <c r="K62">
        <f t="shared" si="8"/>
        <v>5</v>
      </c>
      <c r="L62" s="179">
        <f>'Aztec Metered Load'!C66</f>
        <v>4.5609999999999999</v>
      </c>
      <c r="O62" s="148">
        <f t="shared" si="15"/>
        <v>45770</v>
      </c>
      <c r="P62" s="164">
        <v>4</v>
      </c>
      <c r="Q62" s="161">
        <v>1</v>
      </c>
      <c r="R62" s="161">
        <v>1</v>
      </c>
      <c r="S62" s="161">
        <v>1</v>
      </c>
      <c r="T62" s="161">
        <v>2</v>
      </c>
      <c r="U62" s="161">
        <v>2</v>
      </c>
      <c r="V62" s="161">
        <v>1</v>
      </c>
      <c r="W62" s="161">
        <v>1</v>
      </c>
      <c r="X62" s="161">
        <v>1</v>
      </c>
      <c r="Y62" s="161">
        <v>1</v>
      </c>
      <c r="Z62" s="161">
        <v>1</v>
      </c>
      <c r="AA62" s="161">
        <v>1</v>
      </c>
      <c r="AB62" s="161">
        <v>1</v>
      </c>
      <c r="AC62" s="161">
        <v>1</v>
      </c>
      <c r="AD62" s="161">
        <v>1</v>
      </c>
      <c r="AE62" s="161">
        <v>1</v>
      </c>
      <c r="AF62" s="161">
        <v>1</v>
      </c>
      <c r="AG62" s="161">
        <v>1</v>
      </c>
      <c r="AH62" s="161">
        <v>1</v>
      </c>
      <c r="AI62" s="161">
        <v>1</v>
      </c>
      <c r="AJ62" s="161">
        <v>1</v>
      </c>
      <c r="AK62" s="161">
        <v>1</v>
      </c>
      <c r="AL62" s="161">
        <v>1</v>
      </c>
      <c r="AM62" s="161">
        <v>1</v>
      </c>
      <c r="AN62" s="161">
        <v>1</v>
      </c>
      <c r="AO62" s="151">
        <f t="shared" si="18"/>
        <v>26</v>
      </c>
      <c r="AP62">
        <f t="shared" si="19"/>
        <v>16</v>
      </c>
      <c r="AQ62">
        <f t="shared" si="20"/>
        <v>10</v>
      </c>
    </row>
    <row r="63" spans="1:43" x14ac:dyDescent="0.3">
      <c r="A63" s="19">
        <f t="shared" si="9"/>
        <v>45750</v>
      </c>
      <c r="B63">
        <f t="shared" si="10"/>
        <v>13</v>
      </c>
      <c r="C63" s="16">
        <f>IFERROR(MATCH(A64,NERCHolidays!$B$2:$B$121,0),0)</f>
        <v>0</v>
      </c>
      <c r="D63">
        <f t="shared" si="6"/>
        <v>1</v>
      </c>
      <c r="E63" t="str">
        <f t="shared" si="7"/>
        <v>PK</v>
      </c>
      <c r="F63">
        <f t="shared" si="14"/>
        <v>5</v>
      </c>
      <c r="G63">
        <f t="shared" si="2"/>
        <v>0</v>
      </c>
      <c r="H63">
        <f t="shared" si="3"/>
        <v>0</v>
      </c>
      <c r="I63">
        <f t="shared" si="13"/>
        <v>1</v>
      </c>
      <c r="J63">
        <f t="shared" si="5"/>
        <v>0</v>
      </c>
      <c r="K63">
        <f t="shared" si="8"/>
        <v>5</v>
      </c>
      <c r="L63" s="179">
        <f>'Aztec Metered Load'!C67</f>
        <v>4.2240000000000002</v>
      </c>
      <c r="O63" s="148">
        <f t="shared" si="15"/>
        <v>45771</v>
      </c>
      <c r="P63" s="164">
        <v>5</v>
      </c>
      <c r="Q63" s="161">
        <v>1</v>
      </c>
      <c r="R63" s="161">
        <v>1</v>
      </c>
      <c r="S63" s="161">
        <v>1</v>
      </c>
      <c r="T63" s="161">
        <v>2</v>
      </c>
      <c r="U63" s="161">
        <v>2</v>
      </c>
      <c r="V63" s="161">
        <v>1</v>
      </c>
      <c r="W63" s="161">
        <v>1</v>
      </c>
      <c r="X63" s="161">
        <v>1</v>
      </c>
      <c r="Y63" s="161">
        <v>1</v>
      </c>
      <c r="Z63" s="161">
        <v>1</v>
      </c>
      <c r="AA63" s="161">
        <v>1</v>
      </c>
      <c r="AB63" s="161">
        <v>1</v>
      </c>
      <c r="AC63" s="161">
        <v>1</v>
      </c>
      <c r="AD63" s="161">
        <v>1</v>
      </c>
      <c r="AE63" s="161">
        <v>1</v>
      </c>
      <c r="AF63" s="161">
        <v>1</v>
      </c>
      <c r="AG63" s="161">
        <v>1</v>
      </c>
      <c r="AH63" s="161">
        <v>1</v>
      </c>
      <c r="AI63" s="161">
        <v>1</v>
      </c>
      <c r="AJ63" s="161">
        <v>1</v>
      </c>
      <c r="AK63" s="161">
        <v>1</v>
      </c>
      <c r="AL63" s="161">
        <v>1</v>
      </c>
      <c r="AM63" s="161">
        <v>1</v>
      </c>
      <c r="AN63" s="161">
        <v>1</v>
      </c>
      <c r="AO63" s="151">
        <f t="shared" si="18"/>
        <v>26</v>
      </c>
      <c r="AP63">
        <f t="shared" si="19"/>
        <v>16</v>
      </c>
      <c r="AQ63">
        <f t="shared" si="20"/>
        <v>10</v>
      </c>
    </row>
    <row r="64" spans="1:43" x14ac:dyDescent="0.3">
      <c r="A64" s="19">
        <f t="shared" si="9"/>
        <v>45750</v>
      </c>
      <c r="B64">
        <f t="shared" si="10"/>
        <v>14</v>
      </c>
      <c r="C64" s="16">
        <f>IFERROR(MATCH(A65,NERCHolidays!$B$2:$B$121,0),0)</f>
        <v>0</v>
      </c>
      <c r="D64">
        <f t="shared" si="6"/>
        <v>1</v>
      </c>
      <c r="E64" t="str">
        <f t="shared" si="7"/>
        <v>PK</v>
      </c>
      <c r="F64">
        <f t="shared" si="14"/>
        <v>5</v>
      </c>
      <c r="G64">
        <f t="shared" si="2"/>
        <v>0</v>
      </c>
      <c r="H64">
        <f t="shared" si="3"/>
        <v>0</v>
      </c>
      <c r="I64">
        <f t="shared" si="13"/>
        <v>1</v>
      </c>
      <c r="J64">
        <f t="shared" si="5"/>
        <v>0</v>
      </c>
      <c r="K64">
        <f t="shared" si="8"/>
        <v>5</v>
      </c>
      <c r="L64" s="179">
        <f>'Aztec Metered Load'!C68</f>
        <v>4.0780000000000003</v>
      </c>
      <c r="O64" s="148">
        <f t="shared" si="15"/>
        <v>45772</v>
      </c>
      <c r="P64" s="164">
        <v>6</v>
      </c>
      <c r="Q64" s="161">
        <v>1</v>
      </c>
      <c r="R64" s="161">
        <v>1</v>
      </c>
      <c r="S64" s="161">
        <v>1</v>
      </c>
      <c r="T64" s="161">
        <v>2</v>
      </c>
      <c r="U64" s="161">
        <v>2</v>
      </c>
      <c r="V64" s="161">
        <v>1</v>
      </c>
      <c r="W64" s="161">
        <v>1</v>
      </c>
      <c r="X64" s="161">
        <v>1</v>
      </c>
      <c r="Y64" s="161">
        <v>1</v>
      </c>
      <c r="Z64" s="161">
        <v>1</v>
      </c>
      <c r="AA64" s="161">
        <v>1</v>
      </c>
      <c r="AB64" s="161">
        <v>1</v>
      </c>
      <c r="AC64" s="161">
        <v>1</v>
      </c>
      <c r="AD64" s="161">
        <v>1</v>
      </c>
      <c r="AE64" s="161">
        <v>1</v>
      </c>
      <c r="AF64" s="161">
        <v>1</v>
      </c>
      <c r="AG64" s="161">
        <v>1</v>
      </c>
      <c r="AH64" s="161">
        <v>1</v>
      </c>
      <c r="AI64" s="161">
        <v>1</v>
      </c>
      <c r="AJ64" s="161">
        <v>1</v>
      </c>
      <c r="AK64" s="161">
        <v>1</v>
      </c>
      <c r="AL64" s="161">
        <v>1</v>
      </c>
      <c r="AM64" s="161">
        <v>1</v>
      </c>
      <c r="AN64" s="161">
        <v>1</v>
      </c>
      <c r="AO64" s="151">
        <f t="shared" si="18"/>
        <v>26</v>
      </c>
      <c r="AP64">
        <f t="shared" si="19"/>
        <v>16</v>
      </c>
      <c r="AQ64">
        <f t="shared" si="20"/>
        <v>10</v>
      </c>
    </row>
    <row r="65" spans="1:45" x14ac:dyDescent="0.3">
      <c r="A65" s="19">
        <f t="shared" si="9"/>
        <v>45750</v>
      </c>
      <c r="B65">
        <f t="shared" si="10"/>
        <v>15</v>
      </c>
      <c r="C65" s="16">
        <f>IFERROR(MATCH(A66,NERCHolidays!$B$2:$B$121,0),0)</f>
        <v>0</v>
      </c>
      <c r="D65">
        <f t="shared" si="6"/>
        <v>1</v>
      </c>
      <c r="E65" t="str">
        <f t="shared" si="7"/>
        <v>PK</v>
      </c>
      <c r="F65">
        <f t="shared" si="14"/>
        <v>5</v>
      </c>
      <c r="G65">
        <f t="shared" si="2"/>
        <v>0</v>
      </c>
      <c r="H65">
        <f t="shared" si="3"/>
        <v>0</v>
      </c>
      <c r="I65">
        <f t="shared" si="13"/>
        <v>1</v>
      </c>
      <c r="J65">
        <f t="shared" si="5"/>
        <v>0</v>
      </c>
      <c r="K65">
        <f t="shared" si="8"/>
        <v>5</v>
      </c>
      <c r="L65" s="179">
        <f>'Aztec Metered Load'!C69</f>
        <v>3.863</v>
      </c>
      <c r="O65" s="148">
        <f t="shared" si="15"/>
        <v>45773</v>
      </c>
      <c r="P65" s="164">
        <v>7</v>
      </c>
      <c r="Q65" s="161">
        <v>1</v>
      </c>
      <c r="R65" s="161">
        <v>1</v>
      </c>
      <c r="S65" s="161">
        <v>1</v>
      </c>
      <c r="T65" s="161">
        <v>2</v>
      </c>
      <c r="U65" s="161">
        <v>2</v>
      </c>
      <c r="V65" s="161">
        <v>1</v>
      </c>
      <c r="W65" s="161">
        <v>1</v>
      </c>
      <c r="X65" s="161">
        <v>1</v>
      </c>
      <c r="Y65" s="161">
        <v>1</v>
      </c>
      <c r="Z65" s="161">
        <v>1</v>
      </c>
      <c r="AA65" s="161">
        <v>1</v>
      </c>
      <c r="AB65" s="161">
        <v>1</v>
      </c>
      <c r="AC65" s="161">
        <v>1</v>
      </c>
      <c r="AD65" s="161">
        <v>1</v>
      </c>
      <c r="AE65" s="161">
        <v>1</v>
      </c>
      <c r="AF65" s="161">
        <v>1</v>
      </c>
      <c r="AG65" s="161">
        <v>1</v>
      </c>
      <c r="AH65" s="161">
        <v>1</v>
      </c>
      <c r="AI65" s="161">
        <v>1</v>
      </c>
      <c r="AJ65" s="161">
        <v>1</v>
      </c>
      <c r="AK65" s="161">
        <v>1</v>
      </c>
      <c r="AL65" s="161">
        <v>1</v>
      </c>
      <c r="AM65" s="161">
        <v>1</v>
      </c>
      <c r="AN65" s="161">
        <v>1</v>
      </c>
      <c r="AO65" s="151">
        <f t="shared" si="18"/>
        <v>26</v>
      </c>
      <c r="AP65">
        <f t="shared" si="19"/>
        <v>16</v>
      </c>
      <c r="AQ65">
        <f t="shared" si="20"/>
        <v>10</v>
      </c>
    </row>
    <row r="66" spans="1:45" x14ac:dyDescent="0.3">
      <c r="A66" s="19">
        <f t="shared" si="9"/>
        <v>45750</v>
      </c>
      <c r="B66">
        <f t="shared" si="10"/>
        <v>16</v>
      </c>
      <c r="C66" s="16">
        <f>IFERROR(MATCH(A67,NERCHolidays!$B$2:$B$121,0),0)</f>
        <v>0</v>
      </c>
      <c r="D66">
        <f t="shared" si="6"/>
        <v>1</v>
      </c>
      <c r="E66" t="str">
        <f t="shared" si="7"/>
        <v>PK</v>
      </c>
      <c r="F66">
        <f t="shared" si="14"/>
        <v>5</v>
      </c>
      <c r="G66">
        <f t="shared" si="2"/>
        <v>0</v>
      </c>
      <c r="H66">
        <f t="shared" si="3"/>
        <v>0</v>
      </c>
      <c r="I66">
        <f t="shared" si="13"/>
        <v>1</v>
      </c>
      <c r="J66">
        <f t="shared" si="5"/>
        <v>0</v>
      </c>
      <c r="K66">
        <f t="shared" si="8"/>
        <v>5</v>
      </c>
      <c r="L66" s="179">
        <f>'Aztec Metered Load'!C70</f>
        <v>3.9540000000000002</v>
      </c>
      <c r="O66" s="148">
        <f t="shared" si="15"/>
        <v>45774</v>
      </c>
      <c r="P66" s="164" t="s">
        <v>55</v>
      </c>
      <c r="Q66" s="161">
        <v>1</v>
      </c>
      <c r="R66" s="161">
        <v>1</v>
      </c>
      <c r="S66" s="161">
        <v>1</v>
      </c>
      <c r="T66" s="161">
        <v>2</v>
      </c>
      <c r="U66" s="161">
        <v>2</v>
      </c>
      <c r="V66" s="161">
        <v>1</v>
      </c>
      <c r="W66" s="161">
        <v>1</v>
      </c>
      <c r="X66" s="161">
        <v>1</v>
      </c>
      <c r="Y66" s="161">
        <v>1</v>
      </c>
      <c r="Z66" s="161">
        <v>1</v>
      </c>
      <c r="AA66" s="161">
        <v>1</v>
      </c>
      <c r="AB66" s="161">
        <v>1</v>
      </c>
      <c r="AC66" s="161">
        <v>1</v>
      </c>
      <c r="AD66" s="161">
        <v>1</v>
      </c>
      <c r="AE66" s="161">
        <v>1</v>
      </c>
      <c r="AF66" s="161">
        <v>1</v>
      </c>
      <c r="AG66" s="161">
        <v>1</v>
      </c>
      <c r="AH66" s="161">
        <v>1</v>
      </c>
      <c r="AI66" s="161">
        <v>1</v>
      </c>
      <c r="AJ66" s="161">
        <v>1</v>
      </c>
      <c r="AK66" s="161">
        <v>1</v>
      </c>
      <c r="AL66" s="161">
        <v>1</v>
      </c>
      <c r="AM66" s="161">
        <v>1</v>
      </c>
      <c r="AN66" s="161">
        <v>1</v>
      </c>
      <c r="AO66" s="151">
        <f t="shared" si="18"/>
        <v>26</v>
      </c>
      <c r="AP66">
        <f t="shared" si="19"/>
        <v>0</v>
      </c>
      <c r="AQ66">
        <f t="shared" si="20"/>
        <v>26</v>
      </c>
    </row>
    <row r="67" spans="1:45" x14ac:dyDescent="0.3">
      <c r="A67" s="19">
        <f t="shared" si="9"/>
        <v>45750</v>
      </c>
      <c r="B67">
        <f t="shared" si="10"/>
        <v>17</v>
      </c>
      <c r="C67" s="16">
        <f>IFERROR(MATCH(A68,NERCHolidays!$B$2:$B$121,0),0)</f>
        <v>0</v>
      </c>
      <c r="D67">
        <f t="shared" si="6"/>
        <v>1</v>
      </c>
      <c r="E67" t="str">
        <f t="shared" ref="E67:E130" si="21">IF(OR(WEEKDAY(A67)=1,C67&lt;&gt;0),"OP",IF(D67=0,"OP","PK"))</f>
        <v>PK</v>
      </c>
      <c r="F67">
        <f t="shared" ref="F67:F98" si="22">VLOOKUP(A67,$O$3:$AN$34,B67+2,FALSE)</f>
        <v>5</v>
      </c>
      <c r="G67">
        <f t="shared" ref="G67:G130" si="23">VLOOKUP(A67,$O$107:$AM$138,B67+1,FALSE)</f>
        <v>0</v>
      </c>
      <c r="H67">
        <f t="shared" ref="H67:H130" si="24">VLOOKUP(A67,$O$142:$AM$173,B67+1,FALSE)</f>
        <v>0</v>
      </c>
      <c r="I67">
        <f t="shared" si="13"/>
        <v>1</v>
      </c>
      <c r="J67">
        <f t="shared" ref="J67:J130" si="25">VLOOKUP(A67,$O$73:$AN$104,B67+2,FALSE)</f>
        <v>0</v>
      </c>
      <c r="K67">
        <f t="shared" ref="K67:K130" si="26">VLOOKUP(A67,$O$175:$AM$206,B67+1,FALSE)</f>
        <v>5</v>
      </c>
      <c r="L67" s="179">
        <f>'Aztec Metered Load'!C71</f>
        <v>4.05</v>
      </c>
      <c r="O67" s="148">
        <f t="shared" si="15"/>
        <v>45775</v>
      </c>
      <c r="P67" s="164">
        <v>2</v>
      </c>
      <c r="Q67" s="161">
        <v>1</v>
      </c>
      <c r="R67" s="161">
        <v>1</v>
      </c>
      <c r="S67" s="161">
        <v>1</v>
      </c>
      <c r="T67" s="161">
        <v>2</v>
      </c>
      <c r="U67" s="161">
        <v>2</v>
      </c>
      <c r="V67" s="161">
        <v>1</v>
      </c>
      <c r="W67" s="161">
        <v>1</v>
      </c>
      <c r="X67" s="161">
        <v>1</v>
      </c>
      <c r="Y67" s="161">
        <v>1</v>
      </c>
      <c r="Z67" s="161">
        <v>1</v>
      </c>
      <c r="AA67" s="161">
        <v>1</v>
      </c>
      <c r="AB67" s="161">
        <v>1</v>
      </c>
      <c r="AC67" s="161">
        <v>1</v>
      </c>
      <c r="AD67" s="161">
        <v>1</v>
      </c>
      <c r="AE67" s="161">
        <v>1</v>
      </c>
      <c r="AF67" s="161">
        <v>1</v>
      </c>
      <c r="AG67" s="161">
        <v>1</v>
      </c>
      <c r="AH67" s="161">
        <v>1</v>
      </c>
      <c r="AI67" s="161">
        <v>1</v>
      </c>
      <c r="AJ67" s="161">
        <v>1</v>
      </c>
      <c r="AK67" s="161">
        <v>1</v>
      </c>
      <c r="AL67" s="161">
        <v>1</v>
      </c>
      <c r="AM67" s="161">
        <v>1</v>
      </c>
      <c r="AN67" s="161">
        <v>1</v>
      </c>
      <c r="AO67" s="151">
        <f t="shared" si="18"/>
        <v>26</v>
      </c>
      <c r="AP67">
        <f t="shared" si="19"/>
        <v>16</v>
      </c>
      <c r="AQ67">
        <f t="shared" si="20"/>
        <v>10</v>
      </c>
    </row>
    <row r="68" spans="1:45" x14ac:dyDescent="0.3">
      <c r="A68" s="19">
        <f t="shared" si="9"/>
        <v>45750</v>
      </c>
      <c r="B68">
        <f t="shared" si="10"/>
        <v>18</v>
      </c>
      <c r="C68" s="16">
        <f>IFERROR(MATCH(A69,NERCHolidays!$B$2:$B$121,0),0)</f>
        <v>0</v>
      </c>
      <c r="D68">
        <f t="shared" ref="D68:D131" si="27">IF(AND(B68&gt;=8,B68&lt;=23),1,0)</f>
        <v>1</v>
      </c>
      <c r="E68" t="str">
        <f t="shared" si="21"/>
        <v>PK</v>
      </c>
      <c r="F68">
        <f t="shared" si="22"/>
        <v>0</v>
      </c>
      <c r="G68">
        <f t="shared" si="23"/>
        <v>0</v>
      </c>
      <c r="H68">
        <f t="shared" si="24"/>
        <v>0</v>
      </c>
      <c r="I68">
        <f t="shared" si="13"/>
        <v>1</v>
      </c>
      <c r="J68">
        <f t="shared" si="25"/>
        <v>0</v>
      </c>
      <c r="K68">
        <f t="shared" si="26"/>
        <v>0</v>
      </c>
      <c r="L68" s="179">
        <f>'Aztec Metered Load'!C72</f>
        <v>4.2919999999999998</v>
      </c>
      <c r="O68" s="148">
        <f t="shared" ref="O68:O69" si="28">O32</f>
        <v>45776</v>
      </c>
      <c r="P68" s="164">
        <v>3</v>
      </c>
      <c r="Q68" s="161">
        <v>1</v>
      </c>
      <c r="R68" s="161">
        <v>1</v>
      </c>
      <c r="S68" s="161">
        <v>1</v>
      </c>
      <c r="T68" s="161">
        <v>2</v>
      </c>
      <c r="U68" s="161">
        <v>2</v>
      </c>
      <c r="V68" s="161">
        <v>1</v>
      </c>
      <c r="W68" s="161">
        <v>1</v>
      </c>
      <c r="X68" s="161">
        <v>1</v>
      </c>
      <c r="Y68" s="161">
        <v>1</v>
      </c>
      <c r="Z68" s="161">
        <v>1</v>
      </c>
      <c r="AA68" s="161">
        <v>1</v>
      </c>
      <c r="AB68" s="161">
        <v>1</v>
      </c>
      <c r="AC68" s="161">
        <v>1</v>
      </c>
      <c r="AD68" s="161">
        <v>1</v>
      </c>
      <c r="AE68" s="161">
        <v>1</v>
      </c>
      <c r="AF68" s="161">
        <v>1</v>
      </c>
      <c r="AG68" s="161">
        <v>1</v>
      </c>
      <c r="AH68" s="161">
        <v>1</v>
      </c>
      <c r="AI68" s="161">
        <v>1</v>
      </c>
      <c r="AJ68" s="161">
        <v>1</v>
      </c>
      <c r="AK68" s="161">
        <v>1</v>
      </c>
      <c r="AL68" s="161">
        <v>1</v>
      </c>
      <c r="AM68" s="161">
        <v>1</v>
      </c>
      <c r="AN68" s="161">
        <v>1</v>
      </c>
      <c r="AO68" s="151">
        <f t="shared" si="18"/>
        <v>26</v>
      </c>
      <c r="AP68">
        <f t="shared" si="19"/>
        <v>16</v>
      </c>
      <c r="AQ68">
        <f t="shared" si="20"/>
        <v>10</v>
      </c>
    </row>
    <row r="69" spans="1:45" x14ac:dyDescent="0.3">
      <c r="A69" s="19">
        <f t="shared" ref="A69:A132" si="29">IF(B68=24,A68+1,A68)</f>
        <v>45750</v>
      </c>
      <c r="B69">
        <f t="shared" ref="B69:B132" si="30">IF(B68=24,1,B68+1)</f>
        <v>19</v>
      </c>
      <c r="C69" s="16">
        <f>IFERROR(MATCH(A70,NERCHolidays!$B$2:$B$121,0),0)</f>
        <v>0</v>
      </c>
      <c r="D69">
        <f t="shared" si="27"/>
        <v>1</v>
      </c>
      <c r="E69" t="str">
        <f t="shared" si="21"/>
        <v>PK</v>
      </c>
      <c r="F69">
        <f t="shared" si="22"/>
        <v>5</v>
      </c>
      <c r="G69">
        <f t="shared" si="23"/>
        <v>1</v>
      </c>
      <c r="H69">
        <f t="shared" si="24"/>
        <v>0</v>
      </c>
      <c r="I69">
        <f t="shared" si="13"/>
        <v>1</v>
      </c>
      <c r="J69">
        <f t="shared" si="25"/>
        <v>0</v>
      </c>
      <c r="K69">
        <f t="shared" si="26"/>
        <v>6</v>
      </c>
      <c r="L69" s="179">
        <f>'Aztec Metered Load'!C73</f>
        <v>4.4930000000000003</v>
      </c>
      <c r="O69" s="148">
        <f t="shared" si="28"/>
        <v>45777</v>
      </c>
      <c r="P69" s="164">
        <v>4</v>
      </c>
      <c r="Q69" s="161">
        <v>1</v>
      </c>
      <c r="R69" s="161">
        <v>1</v>
      </c>
      <c r="S69" s="161">
        <v>1</v>
      </c>
      <c r="T69" s="161">
        <v>2</v>
      </c>
      <c r="U69" s="161">
        <v>2</v>
      </c>
      <c r="V69" s="161">
        <v>1</v>
      </c>
      <c r="W69" s="161">
        <v>1</v>
      </c>
      <c r="X69" s="161">
        <v>1</v>
      </c>
      <c r="Y69" s="161">
        <v>1</v>
      </c>
      <c r="Z69" s="161">
        <v>1</v>
      </c>
      <c r="AA69" s="161">
        <v>1</v>
      </c>
      <c r="AB69" s="161">
        <v>1</v>
      </c>
      <c r="AC69" s="161">
        <v>1</v>
      </c>
      <c r="AD69" s="161">
        <v>1</v>
      </c>
      <c r="AE69" s="161">
        <v>1</v>
      </c>
      <c r="AF69" s="161">
        <v>1</v>
      </c>
      <c r="AG69" s="161">
        <v>1</v>
      </c>
      <c r="AH69" s="161">
        <v>1</v>
      </c>
      <c r="AI69" s="161">
        <v>1</v>
      </c>
      <c r="AJ69" s="161">
        <v>1</v>
      </c>
      <c r="AK69" s="161">
        <v>1</v>
      </c>
      <c r="AL69" s="161">
        <v>1</v>
      </c>
      <c r="AM69" s="161">
        <v>1</v>
      </c>
      <c r="AN69" s="161">
        <v>1</v>
      </c>
      <c r="AO69" s="151">
        <f>SUM(Q69:AN69)</f>
        <v>26</v>
      </c>
      <c r="AP69">
        <f t="shared" si="19"/>
        <v>16</v>
      </c>
      <c r="AQ69">
        <f t="shared" si="20"/>
        <v>10</v>
      </c>
      <c r="AS69" s="137"/>
    </row>
    <row r="70" spans="1:45" x14ac:dyDescent="0.3">
      <c r="A70" s="19">
        <f t="shared" si="29"/>
        <v>45750</v>
      </c>
      <c r="B70">
        <f t="shared" si="30"/>
        <v>20</v>
      </c>
      <c r="C70" s="16">
        <f>IFERROR(MATCH(A71,NERCHolidays!$B$2:$B$121,0),0)</f>
        <v>0</v>
      </c>
      <c r="D70">
        <f t="shared" si="27"/>
        <v>1</v>
      </c>
      <c r="E70" t="str">
        <f t="shared" si="21"/>
        <v>PK</v>
      </c>
      <c r="F70">
        <f t="shared" si="22"/>
        <v>5</v>
      </c>
      <c r="G70">
        <f t="shared" si="23"/>
        <v>1</v>
      </c>
      <c r="H70">
        <f t="shared" si="24"/>
        <v>0</v>
      </c>
      <c r="I70">
        <f t="shared" si="13"/>
        <v>1</v>
      </c>
      <c r="J70">
        <f t="shared" si="25"/>
        <v>0</v>
      </c>
      <c r="K70">
        <f t="shared" si="26"/>
        <v>6</v>
      </c>
      <c r="L70" s="179">
        <f>'Aztec Metered Load'!C74</f>
        <v>4.7830000000000004</v>
      </c>
      <c r="O70" s="148"/>
      <c r="P70" s="164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51">
        <f>SUM(Q70:AN70)</f>
        <v>0</v>
      </c>
      <c r="AP70">
        <f t="shared" si="19"/>
        <v>0</v>
      </c>
      <c r="AQ70">
        <f t="shared" si="20"/>
        <v>0</v>
      </c>
    </row>
    <row r="71" spans="1:45" x14ac:dyDescent="0.3">
      <c r="A71" s="19">
        <f t="shared" si="29"/>
        <v>45750</v>
      </c>
      <c r="B71">
        <f t="shared" si="30"/>
        <v>21</v>
      </c>
      <c r="C71" s="16">
        <f>IFERROR(MATCH(A72,NERCHolidays!$B$2:$B$121,0),0)</f>
        <v>0</v>
      </c>
      <c r="D71">
        <f t="shared" si="27"/>
        <v>1</v>
      </c>
      <c r="E71" t="str">
        <f t="shared" si="21"/>
        <v>PK</v>
      </c>
      <c r="F71">
        <f t="shared" si="22"/>
        <v>5</v>
      </c>
      <c r="G71">
        <f t="shared" si="23"/>
        <v>1</v>
      </c>
      <c r="H71">
        <f t="shared" si="24"/>
        <v>0</v>
      </c>
      <c r="I71">
        <f t="shared" si="13"/>
        <v>1</v>
      </c>
      <c r="J71">
        <f t="shared" si="25"/>
        <v>0</v>
      </c>
      <c r="K71">
        <f t="shared" si="26"/>
        <v>6</v>
      </c>
      <c r="L71" s="179">
        <f>'Aztec Metered Load'!C75</f>
        <v>4.6619999999999999</v>
      </c>
      <c r="P71" s="164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51">
        <f>SUM(AO40:AO70)</f>
        <v>807</v>
      </c>
      <c r="AP71" s="151">
        <f>SUM(AP40:AP70)</f>
        <v>416</v>
      </c>
      <c r="AQ71" s="23">
        <f>SUM(AQ40:AQ70)</f>
        <v>391</v>
      </c>
      <c r="AR71" s="162"/>
    </row>
    <row r="72" spans="1:45" x14ac:dyDescent="0.3">
      <c r="A72" s="19">
        <f t="shared" si="29"/>
        <v>45750</v>
      </c>
      <c r="B72">
        <f t="shared" si="30"/>
        <v>22</v>
      </c>
      <c r="C72" s="16">
        <f>IFERROR(MATCH(A73,NERCHolidays!$B$2:$B$121,0),0)</f>
        <v>0</v>
      </c>
      <c r="D72">
        <f t="shared" si="27"/>
        <v>1</v>
      </c>
      <c r="E72" t="str">
        <f t="shared" si="21"/>
        <v>PK</v>
      </c>
      <c r="F72">
        <f t="shared" si="22"/>
        <v>5</v>
      </c>
      <c r="G72">
        <f t="shared" si="23"/>
        <v>1</v>
      </c>
      <c r="H72">
        <f t="shared" si="24"/>
        <v>0</v>
      </c>
      <c r="I72">
        <f t="shared" si="13"/>
        <v>1</v>
      </c>
      <c r="J72">
        <f t="shared" si="25"/>
        <v>0</v>
      </c>
      <c r="K72">
        <f t="shared" si="26"/>
        <v>6</v>
      </c>
      <c r="L72" s="179">
        <f>'Aztec Metered Load'!C76</f>
        <v>4.3449999999999998</v>
      </c>
      <c r="O72" s="178" t="s">
        <v>56</v>
      </c>
      <c r="P72" s="164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62"/>
      <c r="AP72" s="151"/>
      <c r="AR72" s="162"/>
    </row>
    <row r="73" spans="1:45" x14ac:dyDescent="0.3">
      <c r="A73" s="19">
        <f t="shared" si="29"/>
        <v>45750</v>
      </c>
      <c r="B73">
        <f t="shared" si="30"/>
        <v>23</v>
      </c>
      <c r="C73" s="16">
        <f>IFERROR(MATCH(A74,NERCHolidays!$B$2:$B$121,0),0)</f>
        <v>0</v>
      </c>
      <c r="D73">
        <f t="shared" si="27"/>
        <v>1</v>
      </c>
      <c r="E73" t="str">
        <f t="shared" si="21"/>
        <v>PK</v>
      </c>
      <c r="F73">
        <f t="shared" si="22"/>
        <v>5</v>
      </c>
      <c r="G73">
        <f t="shared" si="23"/>
        <v>1</v>
      </c>
      <c r="H73">
        <f t="shared" si="24"/>
        <v>0</v>
      </c>
      <c r="I73">
        <f t="shared" si="13"/>
        <v>1</v>
      </c>
      <c r="J73">
        <f t="shared" si="25"/>
        <v>0</v>
      </c>
      <c r="K73">
        <f t="shared" si="26"/>
        <v>6</v>
      </c>
      <c r="L73" s="179">
        <f>'Aztec Metered Load'!C77</f>
        <v>4.0890000000000004</v>
      </c>
      <c r="O73" s="146"/>
      <c r="P73" s="153" t="s">
        <v>52</v>
      </c>
      <c r="Q73" s="130" t="s">
        <v>25</v>
      </c>
      <c r="R73" s="130" t="s">
        <v>26</v>
      </c>
      <c r="S73" s="130" t="s">
        <v>27</v>
      </c>
      <c r="T73" s="130" t="s">
        <v>28</v>
      </c>
      <c r="U73" s="130" t="s">
        <v>29</v>
      </c>
      <c r="V73" s="130" t="s">
        <v>30</v>
      </c>
      <c r="W73" s="130" t="s">
        <v>31</v>
      </c>
      <c r="X73" s="130" t="s">
        <v>32</v>
      </c>
      <c r="Y73" s="130" t="s">
        <v>33</v>
      </c>
      <c r="Z73" s="130" t="s">
        <v>34</v>
      </c>
      <c r="AA73" s="130" t="s">
        <v>35</v>
      </c>
      <c r="AB73" s="130" t="s">
        <v>36</v>
      </c>
      <c r="AC73" s="130" t="s">
        <v>37</v>
      </c>
      <c r="AD73" s="130" t="s">
        <v>38</v>
      </c>
      <c r="AE73" s="130" t="s">
        <v>39</v>
      </c>
      <c r="AF73" s="130" t="s">
        <v>40</v>
      </c>
      <c r="AG73" s="130" t="s">
        <v>41</v>
      </c>
      <c r="AH73" s="130" t="s">
        <v>42</v>
      </c>
      <c r="AI73" s="130" t="s">
        <v>43</v>
      </c>
      <c r="AJ73" s="130" t="s">
        <v>44</v>
      </c>
      <c r="AK73" s="130" t="s">
        <v>45</v>
      </c>
      <c r="AL73" s="130" t="s">
        <v>46</v>
      </c>
      <c r="AM73" s="130" t="s">
        <v>47</v>
      </c>
      <c r="AN73" s="130" t="s">
        <v>48</v>
      </c>
      <c r="AO73" s="150" t="s">
        <v>49</v>
      </c>
      <c r="AP73" s="150" t="s">
        <v>53</v>
      </c>
      <c r="AQ73" s="150" t="s">
        <v>54</v>
      </c>
    </row>
    <row r="74" spans="1:45" x14ac:dyDescent="0.3">
      <c r="A74" s="19">
        <f t="shared" si="29"/>
        <v>45750</v>
      </c>
      <c r="B74">
        <f t="shared" si="30"/>
        <v>24</v>
      </c>
      <c r="C74" s="16">
        <f>IFERROR(MATCH(A75,NERCHolidays!$B$2:$B$121,0),0)</f>
        <v>0</v>
      </c>
      <c r="D74">
        <f t="shared" si="27"/>
        <v>0</v>
      </c>
      <c r="E74" t="str">
        <f t="shared" si="21"/>
        <v>OP</v>
      </c>
      <c r="F74">
        <f t="shared" si="22"/>
        <v>5</v>
      </c>
      <c r="G74">
        <f t="shared" si="23"/>
        <v>0</v>
      </c>
      <c r="H74">
        <f t="shared" si="24"/>
        <v>0</v>
      </c>
      <c r="I74">
        <f t="shared" si="13"/>
        <v>1</v>
      </c>
      <c r="J74">
        <f t="shared" si="25"/>
        <v>0</v>
      </c>
      <c r="K74">
        <f t="shared" si="26"/>
        <v>5</v>
      </c>
      <c r="L74" s="179">
        <f>'Aztec Metered Load'!C78</f>
        <v>3.907</v>
      </c>
      <c r="O74" s="148">
        <f t="shared" ref="O74:P101" si="31">O40</f>
        <v>45748</v>
      </c>
      <c r="P74" s="164">
        <f>P40</f>
        <v>3</v>
      </c>
      <c r="Q74" s="161">
        <v>0</v>
      </c>
      <c r="R74" s="161">
        <v>0</v>
      </c>
      <c r="S74" s="161">
        <v>0</v>
      </c>
      <c r="T74" s="161">
        <v>0</v>
      </c>
      <c r="U74" s="161">
        <v>0</v>
      </c>
      <c r="V74" s="161">
        <v>0</v>
      </c>
      <c r="W74" s="161">
        <v>0</v>
      </c>
      <c r="X74" s="161">
        <v>0</v>
      </c>
      <c r="Y74" s="161">
        <v>0</v>
      </c>
      <c r="Z74" s="161">
        <v>0</v>
      </c>
      <c r="AA74" s="161">
        <v>0</v>
      </c>
      <c r="AB74" s="161">
        <v>0</v>
      </c>
      <c r="AC74" s="161">
        <v>0</v>
      </c>
      <c r="AD74" s="161">
        <v>0</v>
      </c>
      <c r="AE74" s="161">
        <v>0</v>
      </c>
      <c r="AF74" s="161">
        <v>0</v>
      </c>
      <c r="AG74" s="161">
        <v>0</v>
      </c>
      <c r="AH74" s="161">
        <v>0</v>
      </c>
      <c r="AI74" s="161">
        <v>0</v>
      </c>
      <c r="AJ74" s="161">
        <v>0</v>
      </c>
      <c r="AK74" s="161">
        <v>0</v>
      </c>
      <c r="AL74" s="161">
        <v>0</v>
      </c>
      <c r="AM74" s="161">
        <v>0</v>
      </c>
      <c r="AN74" s="161">
        <v>0</v>
      </c>
      <c r="AO74" s="151">
        <f>SUM(Q74:AN74)</f>
        <v>0</v>
      </c>
      <c r="AP74">
        <f t="shared" ref="AP74" si="32">IF(P74="SUNDAY",0,SUM(X74:AM74))</f>
        <v>0</v>
      </c>
      <c r="AQ74">
        <f t="shared" ref="AQ74" si="33">IF(P74="SUNDAY",SUM(Q74:AN74),SUM(Q74:W74,AN74:AN74))</f>
        <v>0</v>
      </c>
    </row>
    <row r="75" spans="1:45" x14ac:dyDescent="0.3">
      <c r="A75" s="19">
        <f t="shared" si="29"/>
        <v>45751</v>
      </c>
      <c r="B75">
        <f t="shared" si="30"/>
        <v>1</v>
      </c>
      <c r="C75" s="16">
        <f>IFERROR(MATCH(A76,NERCHolidays!$B$2:$B$121,0),0)</f>
        <v>0</v>
      </c>
      <c r="D75">
        <f t="shared" si="27"/>
        <v>0</v>
      </c>
      <c r="E75" t="str">
        <f t="shared" si="21"/>
        <v>OP</v>
      </c>
      <c r="F75">
        <f t="shared" si="22"/>
        <v>5</v>
      </c>
      <c r="G75">
        <f t="shared" si="23"/>
        <v>1</v>
      </c>
      <c r="H75">
        <f t="shared" si="24"/>
        <v>0</v>
      </c>
      <c r="I75">
        <f t="shared" si="13"/>
        <v>1</v>
      </c>
      <c r="J75">
        <f t="shared" si="25"/>
        <v>0</v>
      </c>
      <c r="K75">
        <f t="shared" si="26"/>
        <v>6</v>
      </c>
      <c r="L75" s="179">
        <f>'Aztec Metered Load'!C79</f>
        <v>3.859</v>
      </c>
      <c r="O75" s="148">
        <f t="shared" si="31"/>
        <v>45749</v>
      </c>
      <c r="P75" s="164">
        <f>P41</f>
        <v>4</v>
      </c>
      <c r="Q75" s="161">
        <v>0</v>
      </c>
      <c r="R75" s="161">
        <v>0</v>
      </c>
      <c r="S75" s="161">
        <v>0</v>
      </c>
      <c r="T75" s="161">
        <v>0</v>
      </c>
      <c r="U75" s="161">
        <v>0</v>
      </c>
      <c r="V75" s="161">
        <v>0</v>
      </c>
      <c r="W75" s="161">
        <v>0</v>
      </c>
      <c r="X75" s="161">
        <v>0</v>
      </c>
      <c r="Y75" s="161">
        <v>0</v>
      </c>
      <c r="Z75" s="161">
        <v>0</v>
      </c>
      <c r="AA75" s="161">
        <v>0</v>
      </c>
      <c r="AB75" s="161">
        <v>0</v>
      </c>
      <c r="AC75" s="161">
        <v>0</v>
      </c>
      <c r="AD75" s="161">
        <v>0</v>
      </c>
      <c r="AE75" s="161">
        <v>0</v>
      </c>
      <c r="AF75" s="161">
        <v>0</v>
      </c>
      <c r="AG75" s="161">
        <v>0</v>
      </c>
      <c r="AH75" s="161">
        <v>0</v>
      </c>
      <c r="AI75" s="161">
        <v>0</v>
      </c>
      <c r="AJ75" s="161">
        <v>0</v>
      </c>
      <c r="AK75" s="161">
        <v>0</v>
      </c>
      <c r="AL75" s="161">
        <v>0</v>
      </c>
      <c r="AM75" s="161">
        <v>0</v>
      </c>
      <c r="AN75" s="161">
        <v>0</v>
      </c>
      <c r="AO75" s="151">
        <f t="shared" ref="AO75:AO102" si="34">SUM(Q75:AN75)</f>
        <v>0</v>
      </c>
      <c r="AP75">
        <f t="shared" ref="AP75:AP104" si="35">IF(P75="SUNDAY",0,SUM(X75:AM75))</f>
        <v>0</v>
      </c>
      <c r="AQ75">
        <f t="shared" ref="AQ75:AQ104" si="36">IF(P75="SUNDAY",SUM(Q75:AN75),SUM(Q75:W75,AN75:AN75))</f>
        <v>0</v>
      </c>
    </row>
    <row r="76" spans="1:45" x14ac:dyDescent="0.3">
      <c r="A76" s="19">
        <f t="shared" si="29"/>
        <v>45751</v>
      </c>
      <c r="B76">
        <f t="shared" si="30"/>
        <v>2</v>
      </c>
      <c r="C76" s="16">
        <f>IFERROR(MATCH(A77,NERCHolidays!$B$2:$B$121,0),0)</f>
        <v>0</v>
      </c>
      <c r="D76">
        <f t="shared" si="27"/>
        <v>0</v>
      </c>
      <c r="E76" t="str">
        <f t="shared" si="21"/>
        <v>OP</v>
      </c>
      <c r="F76">
        <f t="shared" si="22"/>
        <v>5</v>
      </c>
      <c r="G76">
        <f t="shared" si="23"/>
        <v>1</v>
      </c>
      <c r="H76">
        <f t="shared" si="24"/>
        <v>0</v>
      </c>
      <c r="I76">
        <f t="shared" ref="I76:I139" si="37">VLOOKUP(A76,$O$40:$AN$70,B76+2,FALSE)</f>
        <v>1</v>
      </c>
      <c r="J76">
        <f t="shared" si="25"/>
        <v>0</v>
      </c>
      <c r="K76">
        <f t="shared" si="26"/>
        <v>6</v>
      </c>
      <c r="L76" s="179">
        <f>'Aztec Metered Load'!C80</f>
        <v>3.8690000000000002</v>
      </c>
      <c r="O76" s="148">
        <f t="shared" si="31"/>
        <v>45750</v>
      </c>
      <c r="P76" s="164">
        <f t="shared" si="31"/>
        <v>5</v>
      </c>
      <c r="Q76" s="161">
        <v>0</v>
      </c>
      <c r="R76" s="161">
        <v>0</v>
      </c>
      <c r="S76" s="161">
        <v>0</v>
      </c>
      <c r="T76" s="161">
        <v>0</v>
      </c>
      <c r="U76" s="161">
        <v>0</v>
      </c>
      <c r="V76" s="161">
        <v>0</v>
      </c>
      <c r="W76" s="161">
        <v>0</v>
      </c>
      <c r="X76" s="161">
        <v>0</v>
      </c>
      <c r="Y76" s="161">
        <v>0</v>
      </c>
      <c r="Z76" s="161">
        <v>0</v>
      </c>
      <c r="AA76" s="161">
        <v>0</v>
      </c>
      <c r="AB76" s="161">
        <v>0</v>
      </c>
      <c r="AC76" s="161">
        <v>0</v>
      </c>
      <c r="AD76" s="161">
        <v>0</v>
      </c>
      <c r="AE76" s="161">
        <v>0</v>
      </c>
      <c r="AF76" s="161">
        <v>0</v>
      </c>
      <c r="AG76" s="161">
        <v>0</v>
      </c>
      <c r="AH76" s="161">
        <v>0</v>
      </c>
      <c r="AI76" s="161">
        <v>0</v>
      </c>
      <c r="AJ76" s="161">
        <v>0</v>
      </c>
      <c r="AK76" s="161">
        <v>0</v>
      </c>
      <c r="AL76" s="161">
        <v>0</v>
      </c>
      <c r="AM76" s="161">
        <v>0</v>
      </c>
      <c r="AN76" s="161">
        <v>0</v>
      </c>
      <c r="AO76" s="151">
        <f t="shared" si="34"/>
        <v>0</v>
      </c>
      <c r="AP76">
        <f t="shared" si="35"/>
        <v>0</v>
      </c>
      <c r="AQ76">
        <f t="shared" si="36"/>
        <v>0</v>
      </c>
    </row>
    <row r="77" spans="1:45" x14ac:dyDescent="0.3">
      <c r="A77" s="19">
        <f t="shared" si="29"/>
        <v>45751</v>
      </c>
      <c r="B77">
        <f t="shared" si="30"/>
        <v>3</v>
      </c>
      <c r="C77" s="16">
        <f>IFERROR(MATCH(A78,NERCHolidays!$B$2:$B$121,0),0)</f>
        <v>0</v>
      </c>
      <c r="D77">
        <f t="shared" si="27"/>
        <v>0</v>
      </c>
      <c r="E77" t="str">
        <f t="shared" si="21"/>
        <v>OP</v>
      </c>
      <c r="F77">
        <f t="shared" si="22"/>
        <v>5</v>
      </c>
      <c r="G77">
        <f t="shared" si="23"/>
        <v>1</v>
      </c>
      <c r="H77">
        <f t="shared" si="24"/>
        <v>0</v>
      </c>
      <c r="I77">
        <f t="shared" si="37"/>
        <v>2</v>
      </c>
      <c r="J77">
        <f t="shared" si="25"/>
        <v>0</v>
      </c>
      <c r="K77">
        <f t="shared" si="26"/>
        <v>6</v>
      </c>
      <c r="L77" s="179">
        <f>'Aztec Metered Load'!C81</f>
        <v>3.93</v>
      </c>
      <c r="O77" s="148">
        <f t="shared" si="31"/>
        <v>45751</v>
      </c>
      <c r="P77" s="164">
        <f t="shared" si="31"/>
        <v>6</v>
      </c>
      <c r="Q77" s="161">
        <v>0</v>
      </c>
      <c r="R77" s="161">
        <v>0</v>
      </c>
      <c r="S77" s="161">
        <v>0</v>
      </c>
      <c r="T77" s="161">
        <v>0</v>
      </c>
      <c r="U77" s="161">
        <v>0</v>
      </c>
      <c r="V77" s="161">
        <v>0</v>
      </c>
      <c r="W77" s="161">
        <v>0</v>
      </c>
      <c r="X77" s="161">
        <v>0</v>
      </c>
      <c r="Y77" s="161">
        <v>0</v>
      </c>
      <c r="Z77" s="161">
        <v>0</v>
      </c>
      <c r="AA77" s="161">
        <v>0</v>
      </c>
      <c r="AB77" s="161">
        <v>0</v>
      </c>
      <c r="AC77" s="161">
        <v>0</v>
      </c>
      <c r="AD77" s="161">
        <v>0</v>
      </c>
      <c r="AE77" s="161">
        <v>0</v>
      </c>
      <c r="AF77" s="161">
        <v>0</v>
      </c>
      <c r="AG77" s="161">
        <v>0</v>
      </c>
      <c r="AH77" s="161">
        <v>0</v>
      </c>
      <c r="AI77" s="161">
        <v>0</v>
      </c>
      <c r="AJ77" s="161">
        <v>0</v>
      </c>
      <c r="AK77" s="161">
        <v>0</v>
      </c>
      <c r="AL77" s="161">
        <v>0</v>
      </c>
      <c r="AM77" s="161">
        <v>0</v>
      </c>
      <c r="AN77" s="161">
        <v>0</v>
      </c>
      <c r="AO77" s="151">
        <f t="shared" si="34"/>
        <v>0</v>
      </c>
      <c r="AP77">
        <f t="shared" si="35"/>
        <v>0</v>
      </c>
      <c r="AQ77">
        <f t="shared" si="36"/>
        <v>0</v>
      </c>
    </row>
    <row r="78" spans="1:45" x14ac:dyDescent="0.3">
      <c r="A78" s="19">
        <f t="shared" si="29"/>
        <v>45751</v>
      </c>
      <c r="B78">
        <f t="shared" si="30"/>
        <v>4</v>
      </c>
      <c r="C78" s="16">
        <f>IFERROR(MATCH(A79,NERCHolidays!$B$2:$B$121,0),0)</f>
        <v>0</v>
      </c>
      <c r="D78">
        <f t="shared" si="27"/>
        <v>0</v>
      </c>
      <c r="E78" t="str">
        <f t="shared" si="21"/>
        <v>OP</v>
      </c>
      <c r="F78">
        <f t="shared" si="22"/>
        <v>5</v>
      </c>
      <c r="G78">
        <f t="shared" si="23"/>
        <v>1</v>
      </c>
      <c r="H78">
        <f t="shared" si="24"/>
        <v>0</v>
      </c>
      <c r="I78">
        <f t="shared" si="37"/>
        <v>2</v>
      </c>
      <c r="J78">
        <f t="shared" si="25"/>
        <v>0</v>
      </c>
      <c r="K78">
        <f t="shared" si="26"/>
        <v>6</v>
      </c>
      <c r="L78" s="179">
        <f>'Aztec Metered Load'!C82</f>
        <v>4.1420000000000003</v>
      </c>
      <c r="O78" s="148">
        <f t="shared" si="31"/>
        <v>45752</v>
      </c>
      <c r="P78" s="164">
        <f t="shared" si="31"/>
        <v>7</v>
      </c>
      <c r="Q78" s="161">
        <v>0</v>
      </c>
      <c r="R78" s="161">
        <v>0</v>
      </c>
      <c r="S78" s="161">
        <v>0</v>
      </c>
      <c r="T78" s="161">
        <v>0</v>
      </c>
      <c r="U78" s="161">
        <v>0</v>
      </c>
      <c r="V78" s="161">
        <v>0</v>
      </c>
      <c r="W78" s="161">
        <v>0</v>
      </c>
      <c r="X78" s="161">
        <v>0</v>
      </c>
      <c r="Y78" s="161">
        <v>0</v>
      </c>
      <c r="Z78" s="161">
        <v>0</v>
      </c>
      <c r="AA78" s="161">
        <v>0</v>
      </c>
      <c r="AB78" s="161">
        <v>0</v>
      </c>
      <c r="AC78" s="161">
        <v>0</v>
      </c>
      <c r="AD78" s="161">
        <v>0</v>
      </c>
      <c r="AE78" s="161">
        <v>0</v>
      </c>
      <c r="AF78" s="161">
        <v>0</v>
      </c>
      <c r="AG78" s="161">
        <v>0</v>
      </c>
      <c r="AH78" s="161">
        <v>0</v>
      </c>
      <c r="AI78" s="161">
        <v>0</v>
      </c>
      <c r="AJ78" s="161">
        <v>0</v>
      </c>
      <c r="AK78" s="161">
        <v>0</v>
      </c>
      <c r="AL78" s="161">
        <v>0</v>
      </c>
      <c r="AM78" s="161">
        <v>0</v>
      </c>
      <c r="AN78" s="161">
        <v>0</v>
      </c>
      <c r="AO78" s="151">
        <f t="shared" si="34"/>
        <v>0</v>
      </c>
      <c r="AP78">
        <f t="shared" si="35"/>
        <v>0</v>
      </c>
      <c r="AQ78">
        <f t="shared" si="36"/>
        <v>0</v>
      </c>
    </row>
    <row r="79" spans="1:45" x14ac:dyDescent="0.3">
      <c r="A79" s="19">
        <f t="shared" si="29"/>
        <v>45751</v>
      </c>
      <c r="B79">
        <f t="shared" si="30"/>
        <v>5</v>
      </c>
      <c r="C79" s="16">
        <f>IFERROR(MATCH(A80,NERCHolidays!$B$2:$B$121,0),0)</f>
        <v>0</v>
      </c>
      <c r="D79">
        <f t="shared" si="27"/>
        <v>0</v>
      </c>
      <c r="E79" t="str">
        <f t="shared" si="21"/>
        <v>OP</v>
      </c>
      <c r="F79">
        <f t="shared" si="22"/>
        <v>0</v>
      </c>
      <c r="G79">
        <f t="shared" si="23"/>
        <v>1</v>
      </c>
      <c r="H79">
        <f t="shared" si="24"/>
        <v>0</v>
      </c>
      <c r="I79">
        <f t="shared" si="37"/>
        <v>2</v>
      </c>
      <c r="J79">
        <f t="shared" si="25"/>
        <v>0</v>
      </c>
      <c r="K79">
        <f t="shared" si="26"/>
        <v>1</v>
      </c>
      <c r="L79" s="179">
        <f>'Aztec Metered Load'!C83</f>
        <v>4.484</v>
      </c>
      <c r="O79" s="148">
        <f t="shared" si="31"/>
        <v>45753</v>
      </c>
      <c r="P79" s="164" t="str">
        <f t="shared" si="31"/>
        <v>Sunday</v>
      </c>
      <c r="Q79" s="161">
        <v>0</v>
      </c>
      <c r="R79" s="161">
        <v>0</v>
      </c>
      <c r="S79" s="161">
        <v>0</v>
      </c>
      <c r="T79" s="161">
        <v>0</v>
      </c>
      <c r="U79" s="161">
        <v>0</v>
      </c>
      <c r="V79" s="161">
        <v>0</v>
      </c>
      <c r="W79" s="161">
        <v>0</v>
      </c>
      <c r="X79" s="161">
        <v>0</v>
      </c>
      <c r="Y79" s="161">
        <v>0</v>
      </c>
      <c r="Z79" s="161">
        <v>0</v>
      </c>
      <c r="AA79" s="161">
        <v>0</v>
      </c>
      <c r="AB79" s="161">
        <v>0</v>
      </c>
      <c r="AC79" s="161">
        <v>0</v>
      </c>
      <c r="AD79" s="161">
        <v>0</v>
      </c>
      <c r="AE79" s="161">
        <v>0</v>
      </c>
      <c r="AF79" s="161">
        <v>0</v>
      </c>
      <c r="AG79" s="161">
        <v>0</v>
      </c>
      <c r="AH79" s="161">
        <v>0</v>
      </c>
      <c r="AI79" s="161">
        <v>0</v>
      </c>
      <c r="AJ79" s="161">
        <v>0</v>
      </c>
      <c r="AK79" s="161">
        <v>0</v>
      </c>
      <c r="AL79" s="161">
        <v>0</v>
      </c>
      <c r="AM79" s="161">
        <v>0</v>
      </c>
      <c r="AN79" s="161">
        <v>0</v>
      </c>
      <c r="AO79" s="151">
        <f t="shared" si="34"/>
        <v>0</v>
      </c>
      <c r="AP79">
        <f t="shared" si="35"/>
        <v>0</v>
      </c>
      <c r="AQ79">
        <f t="shared" si="36"/>
        <v>0</v>
      </c>
    </row>
    <row r="80" spans="1:45" x14ac:dyDescent="0.3">
      <c r="A80" s="19">
        <f t="shared" si="29"/>
        <v>45751</v>
      </c>
      <c r="B80">
        <f t="shared" si="30"/>
        <v>6</v>
      </c>
      <c r="C80" s="16">
        <f>IFERROR(MATCH(A81,NERCHolidays!$B$2:$B$121,0),0)</f>
        <v>0</v>
      </c>
      <c r="D80">
        <f t="shared" si="27"/>
        <v>0</v>
      </c>
      <c r="E80" t="str">
        <f t="shared" si="21"/>
        <v>OP</v>
      </c>
      <c r="F80">
        <f t="shared" si="22"/>
        <v>0</v>
      </c>
      <c r="G80">
        <f t="shared" si="23"/>
        <v>1</v>
      </c>
      <c r="H80">
        <f t="shared" si="24"/>
        <v>0</v>
      </c>
      <c r="I80">
        <f t="shared" si="37"/>
        <v>2</v>
      </c>
      <c r="J80">
        <f t="shared" si="25"/>
        <v>0</v>
      </c>
      <c r="K80">
        <f t="shared" si="26"/>
        <v>1</v>
      </c>
      <c r="L80" s="179">
        <f>'Aztec Metered Load'!C84</f>
        <v>5.157</v>
      </c>
      <c r="O80" s="148">
        <f t="shared" si="31"/>
        <v>45754</v>
      </c>
      <c r="P80" s="164">
        <f t="shared" si="31"/>
        <v>2</v>
      </c>
      <c r="Q80" s="161">
        <v>0</v>
      </c>
      <c r="R80" s="161">
        <v>0</v>
      </c>
      <c r="S80" s="161">
        <v>0</v>
      </c>
      <c r="T80" s="161">
        <v>0</v>
      </c>
      <c r="U80" s="161">
        <v>0</v>
      </c>
      <c r="V80" s="161">
        <v>0</v>
      </c>
      <c r="W80" s="161">
        <v>0</v>
      </c>
      <c r="X80" s="161">
        <v>0</v>
      </c>
      <c r="Y80" s="161">
        <v>0</v>
      </c>
      <c r="Z80" s="161">
        <v>0</v>
      </c>
      <c r="AA80" s="161">
        <v>0</v>
      </c>
      <c r="AB80" s="161">
        <v>0</v>
      </c>
      <c r="AC80" s="161">
        <v>0</v>
      </c>
      <c r="AD80" s="161">
        <v>0</v>
      </c>
      <c r="AE80" s="161">
        <v>0</v>
      </c>
      <c r="AF80" s="161">
        <v>0</v>
      </c>
      <c r="AG80" s="161">
        <v>0</v>
      </c>
      <c r="AH80" s="161">
        <v>0</v>
      </c>
      <c r="AI80" s="161">
        <v>0</v>
      </c>
      <c r="AJ80" s="161">
        <v>0</v>
      </c>
      <c r="AK80" s="161">
        <v>0</v>
      </c>
      <c r="AL80" s="161">
        <v>0</v>
      </c>
      <c r="AM80" s="161">
        <v>0</v>
      </c>
      <c r="AN80" s="161">
        <v>0</v>
      </c>
      <c r="AO80" s="151">
        <f t="shared" si="34"/>
        <v>0</v>
      </c>
      <c r="AP80">
        <f t="shared" si="35"/>
        <v>0</v>
      </c>
      <c r="AQ80">
        <f t="shared" si="36"/>
        <v>0</v>
      </c>
    </row>
    <row r="81" spans="1:43" x14ac:dyDescent="0.3">
      <c r="A81" s="19">
        <f t="shared" si="29"/>
        <v>45751</v>
      </c>
      <c r="B81">
        <f t="shared" si="30"/>
        <v>7</v>
      </c>
      <c r="C81" s="16">
        <f>IFERROR(MATCH(A82,NERCHolidays!$B$2:$B$121,0),0)</f>
        <v>0</v>
      </c>
      <c r="D81">
        <f t="shared" si="27"/>
        <v>0</v>
      </c>
      <c r="E81" t="str">
        <f t="shared" si="21"/>
        <v>OP</v>
      </c>
      <c r="F81">
        <f t="shared" si="22"/>
        <v>5</v>
      </c>
      <c r="G81">
        <f t="shared" si="23"/>
        <v>1</v>
      </c>
      <c r="H81">
        <f t="shared" si="24"/>
        <v>0</v>
      </c>
      <c r="I81">
        <f t="shared" si="37"/>
        <v>1</v>
      </c>
      <c r="J81">
        <f t="shared" si="25"/>
        <v>0</v>
      </c>
      <c r="K81">
        <f t="shared" si="26"/>
        <v>6</v>
      </c>
      <c r="L81" s="179">
        <f>'Aztec Metered Load'!C85</f>
        <v>5.1180000000000003</v>
      </c>
      <c r="O81" s="148">
        <f t="shared" si="31"/>
        <v>45755</v>
      </c>
      <c r="P81" s="164">
        <f t="shared" si="31"/>
        <v>3</v>
      </c>
      <c r="Q81" s="161">
        <v>0</v>
      </c>
      <c r="R81" s="161">
        <v>0</v>
      </c>
      <c r="S81" s="161">
        <v>0</v>
      </c>
      <c r="T81" s="161">
        <v>0</v>
      </c>
      <c r="U81" s="161">
        <v>0</v>
      </c>
      <c r="V81" s="161">
        <v>0</v>
      </c>
      <c r="W81" s="161">
        <v>0</v>
      </c>
      <c r="X81" s="161">
        <v>0</v>
      </c>
      <c r="Y81" s="161">
        <v>0</v>
      </c>
      <c r="Z81" s="161">
        <v>0</v>
      </c>
      <c r="AA81" s="161">
        <v>0</v>
      </c>
      <c r="AB81" s="161">
        <v>0</v>
      </c>
      <c r="AC81" s="161">
        <v>0</v>
      </c>
      <c r="AD81" s="161">
        <v>0</v>
      </c>
      <c r="AE81" s="161">
        <v>0</v>
      </c>
      <c r="AF81" s="161">
        <v>0</v>
      </c>
      <c r="AG81" s="161">
        <v>0</v>
      </c>
      <c r="AH81" s="161">
        <v>0</v>
      </c>
      <c r="AI81" s="161">
        <v>0</v>
      </c>
      <c r="AJ81" s="161">
        <v>0</v>
      </c>
      <c r="AK81" s="161">
        <v>0</v>
      </c>
      <c r="AL81" s="161">
        <v>0</v>
      </c>
      <c r="AM81" s="161">
        <v>0</v>
      </c>
      <c r="AN81" s="161">
        <v>0</v>
      </c>
      <c r="AO81" s="151">
        <f t="shared" si="34"/>
        <v>0</v>
      </c>
      <c r="AP81">
        <f t="shared" si="35"/>
        <v>0</v>
      </c>
      <c r="AQ81">
        <f t="shared" si="36"/>
        <v>0</v>
      </c>
    </row>
    <row r="82" spans="1:43" x14ac:dyDescent="0.3">
      <c r="A82" s="19">
        <f t="shared" si="29"/>
        <v>45751</v>
      </c>
      <c r="B82">
        <f t="shared" si="30"/>
        <v>8</v>
      </c>
      <c r="C82" s="16">
        <f>IFERROR(MATCH(A83,NERCHolidays!$B$2:$B$121,0),0)</f>
        <v>0</v>
      </c>
      <c r="D82">
        <f t="shared" si="27"/>
        <v>1</v>
      </c>
      <c r="E82" t="str">
        <f t="shared" si="21"/>
        <v>PK</v>
      </c>
      <c r="F82">
        <f t="shared" si="22"/>
        <v>5</v>
      </c>
      <c r="G82">
        <f t="shared" si="23"/>
        <v>1</v>
      </c>
      <c r="H82">
        <f t="shared" si="24"/>
        <v>0</v>
      </c>
      <c r="I82">
        <f t="shared" si="37"/>
        <v>1</v>
      </c>
      <c r="J82">
        <f t="shared" si="25"/>
        <v>0</v>
      </c>
      <c r="K82">
        <f t="shared" si="26"/>
        <v>6</v>
      </c>
      <c r="L82" s="179">
        <f>'Aztec Metered Load'!C86</f>
        <v>4.9409999999999998</v>
      </c>
      <c r="O82" s="148">
        <f t="shared" si="31"/>
        <v>45756</v>
      </c>
      <c r="P82" s="164">
        <f t="shared" si="31"/>
        <v>4</v>
      </c>
      <c r="Q82" s="161">
        <v>0</v>
      </c>
      <c r="R82" s="161">
        <v>0</v>
      </c>
      <c r="S82" s="161">
        <v>0</v>
      </c>
      <c r="T82" s="161">
        <v>0</v>
      </c>
      <c r="U82" s="161">
        <v>0</v>
      </c>
      <c r="V82" s="161">
        <v>0</v>
      </c>
      <c r="W82" s="161">
        <v>0</v>
      </c>
      <c r="X82" s="161">
        <v>0</v>
      </c>
      <c r="Y82" s="161">
        <v>0</v>
      </c>
      <c r="Z82" s="161">
        <v>0</v>
      </c>
      <c r="AA82" s="161">
        <v>0</v>
      </c>
      <c r="AB82" s="161">
        <v>0</v>
      </c>
      <c r="AC82" s="161">
        <v>0</v>
      </c>
      <c r="AD82" s="161">
        <v>0</v>
      </c>
      <c r="AE82" s="161">
        <v>0</v>
      </c>
      <c r="AF82" s="161">
        <v>0</v>
      </c>
      <c r="AG82" s="161">
        <v>0</v>
      </c>
      <c r="AH82" s="161">
        <v>0</v>
      </c>
      <c r="AI82" s="161">
        <v>0</v>
      </c>
      <c r="AJ82" s="161">
        <v>0</v>
      </c>
      <c r="AK82" s="161">
        <v>0</v>
      </c>
      <c r="AL82" s="161">
        <v>0</v>
      </c>
      <c r="AM82" s="161">
        <v>0</v>
      </c>
      <c r="AN82" s="161">
        <v>0</v>
      </c>
      <c r="AO82" s="151">
        <f t="shared" si="34"/>
        <v>0</v>
      </c>
      <c r="AP82">
        <f t="shared" si="35"/>
        <v>0</v>
      </c>
      <c r="AQ82">
        <f t="shared" si="36"/>
        <v>0</v>
      </c>
    </row>
    <row r="83" spans="1:43" x14ac:dyDescent="0.3">
      <c r="A83" s="19">
        <f t="shared" si="29"/>
        <v>45751</v>
      </c>
      <c r="B83">
        <f t="shared" si="30"/>
        <v>9</v>
      </c>
      <c r="C83" s="16">
        <f>IFERROR(MATCH(A84,NERCHolidays!$B$2:$B$121,0),0)</f>
        <v>0</v>
      </c>
      <c r="D83">
        <f t="shared" si="27"/>
        <v>1</v>
      </c>
      <c r="E83" t="str">
        <f t="shared" si="21"/>
        <v>PK</v>
      </c>
      <c r="F83">
        <f t="shared" si="22"/>
        <v>5</v>
      </c>
      <c r="G83">
        <f t="shared" si="23"/>
        <v>1</v>
      </c>
      <c r="H83">
        <f t="shared" si="24"/>
        <v>0</v>
      </c>
      <c r="I83">
        <f t="shared" si="37"/>
        <v>1</v>
      </c>
      <c r="J83">
        <f t="shared" si="25"/>
        <v>0</v>
      </c>
      <c r="K83">
        <f t="shared" si="26"/>
        <v>6</v>
      </c>
      <c r="L83" s="179">
        <f>'Aztec Metered Load'!C87</f>
        <v>4.7699999999999996</v>
      </c>
      <c r="O83" s="148">
        <f t="shared" si="31"/>
        <v>45757</v>
      </c>
      <c r="P83" s="164">
        <f t="shared" si="31"/>
        <v>5</v>
      </c>
      <c r="Q83" s="161">
        <v>0</v>
      </c>
      <c r="R83" s="161">
        <v>0</v>
      </c>
      <c r="S83" s="161">
        <v>0</v>
      </c>
      <c r="T83" s="161">
        <v>0</v>
      </c>
      <c r="U83" s="161">
        <v>0</v>
      </c>
      <c r="V83" s="161">
        <v>0</v>
      </c>
      <c r="W83" s="161">
        <v>0</v>
      </c>
      <c r="X83" s="161">
        <v>0</v>
      </c>
      <c r="Y83" s="161">
        <v>0</v>
      </c>
      <c r="Z83" s="161">
        <v>0</v>
      </c>
      <c r="AA83" s="161">
        <v>0</v>
      </c>
      <c r="AB83" s="161">
        <v>0</v>
      </c>
      <c r="AC83" s="161">
        <v>0</v>
      </c>
      <c r="AD83" s="161">
        <v>0</v>
      </c>
      <c r="AE83" s="161">
        <v>0</v>
      </c>
      <c r="AF83" s="161">
        <v>0</v>
      </c>
      <c r="AG83" s="161">
        <v>0</v>
      </c>
      <c r="AH83" s="161">
        <v>0</v>
      </c>
      <c r="AI83" s="161">
        <v>0</v>
      </c>
      <c r="AJ83" s="161">
        <v>0</v>
      </c>
      <c r="AK83" s="161">
        <v>0</v>
      </c>
      <c r="AL83" s="161">
        <v>0</v>
      </c>
      <c r="AM83" s="161">
        <v>0</v>
      </c>
      <c r="AN83" s="161">
        <v>0</v>
      </c>
      <c r="AO83" s="151">
        <f t="shared" si="34"/>
        <v>0</v>
      </c>
      <c r="AP83">
        <f t="shared" si="35"/>
        <v>0</v>
      </c>
      <c r="AQ83">
        <f t="shared" si="36"/>
        <v>0</v>
      </c>
    </row>
    <row r="84" spans="1:43" x14ac:dyDescent="0.3">
      <c r="A84" s="19">
        <f t="shared" si="29"/>
        <v>45751</v>
      </c>
      <c r="B84">
        <f t="shared" si="30"/>
        <v>10</v>
      </c>
      <c r="C84" s="16">
        <f>IFERROR(MATCH(A85,NERCHolidays!$B$2:$B$121,0),0)</f>
        <v>0</v>
      </c>
      <c r="D84">
        <f t="shared" si="27"/>
        <v>1</v>
      </c>
      <c r="E84" t="str">
        <f t="shared" si="21"/>
        <v>PK</v>
      </c>
      <c r="F84">
        <f t="shared" si="22"/>
        <v>5</v>
      </c>
      <c r="G84">
        <f t="shared" si="23"/>
        <v>0</v>
      </c>
      <c r="H84">
        <f t="shared" si="24"/>
        <v>0</v>
      </c>
      <c r="I84">
        <f t="shared" si="37"/>
        <v>1</v>
      </c>
      <c r="J84">
        <f t="shared" si="25"/>
        <v>0</v>
      </c>
      <c r="K84">
        <f t="shared" si="26"/>
        <v>5</v>
      </c>
      <c r="L84" s="179">
        <f>'Aztec Metered Load'!C88</f>
        <v>4.4139999999999997</v>
      </c>
      <c r="O84" s="148">
        <f t="shared" si="31"/>
        <v>45758</v>
      </c>
      <c r="P84" s="164">
        <f t="shared" si="31"/>
        <v>6</v>
      </c>
      <c r="Q84" s="161">
        <v>0</v>
      </c>
      <c r="R84" s="161">
        <v>0</v>
      </c>
      <c r="S84" s="161">
        <v>0</v>
      </c>
      <c r="T84" s="161">
        <v>0</v>
      </c>
      <c r="U84" s="161">
        <v>0</v>
      </c>
      <c r="V84" s="161">
        <v>0</v>
      </c>
      <c r="W84" s="161">
        <v>0</v>
      </c>
      <c r="X84" s="161">
        <v>0</v>
      </c>
      <c r="Y84" s="161">
        <v>0</v>
      </c>
      <c r="Z84" s="161">
        <v>0</v>
      </c>
      <c r="AA84" s="161">
        <v>0</v>
      </c>
      <c r="AB84" s="161">
        <v>0</v>
      </c>
      <c r="AC84" s="161">
        <v>0</v>
      </c>
      <c r="AD84" s="161">
        <v>0</v>
      </c>
      <c r="AE84" s="161">
        <v>0</v>
      </c>
      <c r="AF84" s="161">
        <v>0</v>
      </c>
      <c r="AG84" s="161">
        <v>0</v>
      </c>
      <c r="AH84" s="161">
        <v>0</v>
      </c>
      <c r="AI84" s="161">
        <v>0</v>
      </c>
      <c r="AJ84" s="161">
        <v>0</v>
      </c>
      <c r="AK84" s="161">
        <v>0</v>
      </c>
      <c r="AL84" s="161">
        <v>0</v>
      </c>
      <c r="AM84" s="161">
        <v>0</v>
      </c>
      <c r="AN84" s="161">
        <v>0</v>
      </c>
      <c r="AO84" s="151">
        <f t="shared" si="34"/>
        <v>0</v>
      </c>
      <c r="AP84">
        <f t="shared" si="35"/>
        <v>0</v>
      </c>
      <c r="AQ84">
        <f t="shared" si="36"/>
        <v>0</v>
      </c>
    </row>
    <row r="85" spans="1:43" x14ac:dyDescent="0.3">
      <c r="A85" s="19">
        <f t="shared" si="29"/>
        <v>45751</v>
      </c>
      <c r="B85">
        <f t="shared" si="30"/>
        <v>11</v>
      </c>
      <c r="C85" s="16">
        <f>IFERROR(MATCH(A86,NERCHolidays!$B$2:$B$121,0),0)</f>
        <v>0</v>
      </c>
      <c r="D85">
        <f t="shared" si="27"/>
        <v>1</v>
      </c>
      <c r="E85" t="str">
        <f t="shared" si="21"/>
        <v>PK</v>
      </c>
      <c r="F85">
        <f t="shared" si="22"/>
        <v>5</v>
      </c>
      <c r="G85">
        <f t="shared" si="23"/>
        <v>0</v>
      </c>
      <c r="H85">
        <f t="shared" si="24"/>
        <v>0</v>
      </c>
      <c r="I85">
        <f t="shared" si="37"/>
        <v>1</v>
      </c>
      <c r="J85">
        <f t="shared" si="25"/>
        <v>0</v>
      </c>
      <c r="K85">
        <f t="shared" si="26"/>
        <v>5</v>
      </c>
      <c r="L85" s="179">
        <f>'Aztec Metered Load'!C89</f>
        <v>3.9489999999999998</v>
      </c>
      <c r="O85" s="148">
        <f t="shared" si="31"/>
        <v>45759</v>
      </c>
      <c r="P85" s="164">
        <f t="shared" si="31"/>
        <v>7</v>
      </c>
      <c r="Q85" s="161">
        <v>0</v>
      </c>
      <c r="R85" s="161">
        <v>0</v>
      </c>
      <c r="S85" s="161">
        <v>0</v>
      </c>
      <c r="T85" s="161">
        <v>0</v>
      </c>
      <c r="U85" s="161">
        <v>0</v>
      </c>
      <c r="V85" s="161">
        <v>0</v>
      </c>
      <c r="W85" s="161">
        <v>0</v>
      </c>
      <c r="X85" s="161">
        <v>0</v>
      </c>
      <c r="Y85" s="161">
        <v>0</v>
      </c>
      <c r="Z85" s="161">
        <v>0</v>
      </c>
      <c r="AA85" s="161">
        <v>0</v>
      </c>
      <c r="AB85" s="161">
        <v>0</v>
      </c>
      <c r="AC85" s="161">
        <v>0</v>
      </c>
      <c r="AD85" s="161">
        <v>0</v>
      </c>
      <c r="AE85" s="161">
        <v>0</v>
      </c>
      <c r="AF85" s="161">
        <v>0</v>
      </c>
      <c r="AG85" s="161">
        <v>0</v>
      </c>
      <c r="AH85" s="161">
        <v>0</v>
      </c>
      <c r="AI85" s="161">
        <v>0</v>
      </c>
      <c r="AJ85" s="161">
        <v>0</v>
      </c>
      <c r="AK85" s="161">
        <v>0</v>
      </c>
      <c r="AL85" s="161">
        <v>0</v>
      </c>
      <c r="AM85" s="161">
        <v>0</v>
      </c>
      <c r="AN85" s="161">
        <v>0</v>
      </c>
      <c r="AO85" s="151">
        <f t="shared" si="34"/>
        <v>0</v>
      </c>
      <c r="AP85">
        <f t="shared" si="35"/>
        <v>0</v>
      </c>
      <c r="AQ85">
        <f t="shared" si="36"/>
        <v>0</v>
      </c>
    </row>
    <row r="86" spans="1:43" x14ac:dyDescent="0.3">
      <c r="A86" s="19">
        <f t="shared" si="29"/>
        <v>45751</v>
      </c>
      <c r="B86">
        <f t="shared" si="30"/>
        <v>12</v>
      </c>
      <c r="C86" s="16">
        <f>IFERROR(MATCH(A87,NERCHolidays!$B$2:$B$121,0),0)</f>
        <v>0</v>
      </c>
      <c r="D86">
        <f t="shared" si="27"/>
        <v>1</v>
      </c>
      <c r="E86" t="str">
        <f t="shared" si="21"/>
        <v>PK</v>
      </c>
      <c r="F86">
        <f t="shared" si="22"/>
        <v>5</v>
      </c>
      <c r="G86">
        <f t="shared" si="23"/>
        <v>0</v>
      </c>
      <c r="H86">
        <f t="shared" si="24"/>
        <v>0</v>
      </c>
      <c r="I86">
        <f t="shared" si="37"/>
        <v>1</v>
      </c>
      <c r="J86">
        <f t="shared" si="25"/>
        <v>0</v>
      </c>
      <c r="K86">
        <f t="shared" si="26"/>
        <v>5</v>
      </c>
      <c r="L86" s="179">
        <f>'Aztec Metered Load'!C90</f>
        <v>3.8730000000000002</v>
      </c>
      <c r="O86" s="148">
        <f t="shared" si="31"/>
        <v>45760</v>
      </c>
      <c r="P86" s="164" t="str">
        <f t="shared" si="31"/>
        <v>Sunday</v>
      </c>
      <c r="Q86" s="161">
        <v>0</v>
      </c>
      <c r="R86" s="161">
        <v>0</v>
      </c>
      <c r="S86" s="161">
        <v>0</v>
      </c>
      <c r="T86" s="161">
        <v>0</v>
      </c>
      <c r="U86" s="161">
        <v>0</v>
      </c>
      <c r="V86" s="161">
        <v>0</v>
      </c>
      <c r="W86" s="161">
        <v>0</v>
      </c>
      <c r="X86" s="161">
        <v>0</v>
      </c>
      <c r="Y86" s="161">
        <v>0</v>
      </c>
      <c r="Z86" s="161">
        <v>0</v>
      </c>
      <c r="AA86" s="161">
        <v>0</v>
      </c>
      <c r="AB86" s="161">
        <v>0</v>
      </c>
      <c r="AC86" s="161">
        <v>0</v>
      </c>
      <c r="AD86" s="161">
        <v>0</v>
      </c>
      <c r="AE86" s="161">
        <v>0</v>
      </c>
      <c r="AF86" s="161">
        <v>0</v>
      </c>
      <c r="AG86" s="161">
        <v>0</v>
      </c>
      <c r="AH86" s="161">
        <v>0</v>
      </c>
      <c r="AI86" s="161">
        <v>0</v>
      </c>
      <c r="AJ86" s="161">
        <v>0</v>
      </c>
      <c r="AK86" s="161">
        <v>0</v>
      </c>
      <c r="AL86" s="161">
        <v>0</v>
      </c>
      <c r="AM86" s="161">
        <v>0</v>
      </c>
      <c r="AN86" s="161">
        <v>0</v>
      </c>
      <c r="AO86" s="151">
        <f t="shared" si="34"/>
        <v>0</v>
      </c>
      <c r="AP86">
        <f t="shared" si="35"/>
        <v>0</v>
      </c>
      <c r="AQ86">
        <f t="shared" si="36"/>
        <v>0</v>
      </c>
    </row>
    <row r="87" spans="1:43" x14ac:dyDescent="0.3">
      <c r="A87" s="19">
        <f t="shared" si="29"/>
        <v>45751</v>
      </c>
      <c r="B87">
        <f t="shared" si="30"/>
        <v>13</v>
      </c>
      <c r="C87" s="16">
        <f>IFERROR(MATCH(A88,NERCHolidays!$B$2:$B$121,0),0)</f>
        <v>0</v>
      </c>
      <c r="D87">
        <f t="shared" si="27"/>
        <v>1</v>
      </c>
      <c r="E87" t="str">
        <f t="shared" si="21"/>
        <v>PK</v>
      </c>
      <c r="F87">
        <f t="shared" si="22"/>
        <v>5</v>
      </c>
      <c r="G87">
        <f t="shared" si="23"/>
        <v>0</v>
      </c>
      <c r="H87">
        <f t="shared" si="24"/>
        <v>0</v>
      </c>
      <c r="I87">
        <f t="shared" si="37"/>
        <v>1</v>
      </c>
      <c r="J87">
        <f t="shared" si="25"/>
        <v>0</v>
      </c>
      <c r="K87">
        <f t="shared" si="26"/>
        <v>5</v>
      </c>
      <c r="L87" s="179">
        <f>'Aztec Metered Load'!C91</f>
        <v>3.9470000000000001</v>
      </c>
      <c r="O87" s="148">
        <f t="shared" si="31"/>
        <v>45761</v>
      </c>
      <c r="P87" s="164">
        <f t="shared" si="31"/>
        <v>2</v>
      </c>
      <c r="Q87" s="161">
        <v>0</v>
      </c>
      <c r="R87" s="161">
        <v>0</v>
      </c>
      <c r="S87" s="161">
        <v>0</v>
      </c>
      <c r="T87" s="161">
        <v>0</v>
      </c>
      <c r="U87" s="161">
        <v>0</v>
      </c>
      <c r="V87" s="161">
        <v>0</v>
      </c>
      <c r="W87" s="161">
        <v>0</v>
      </c>
      <c r="X87" s="161">
        <v>0</v>
      </c>
      <c r="Y87" s="161">
        <v>0</v>
      </c>
      <c r="Z87" s="161">
        <v>0</v>
      </c>
      <c r="AA87" s="161">
        <v>0</v>
      </c>
      <c r="AB87" s="161">
        <v>0</v>
      </c>
      <c r="AC87" s="161">
        <v>0</v>
      </c>
      <c r="AD87" s="161">
        <v>0</v>
      </c>
      <c r="AE87" s="161">
        <v>0</v>
      </c>
      <c r="AF87" s="161">
        <v>0</v>
      </c>
      <c r="AG87" s="161">
        <v>0</v>
      </c>
      <c r="AH87" s="161">
        <v>0</v>
      </c>
      <c r="AI87" s="161">
        <v>0</v>
      </c>
      <c r="AJ87" s="161">
        <v>0</v>
      </c>
      <c r="AK87" s="161">
        <v>0</v>
      </c>
      <c r="AL87" s="161">
        <v>0</v>
      </c>
      <c r="AM87" s="161">
        <v>0</v>
      </c>
      <c r="AN87" s="161">
        <v>0</v>
      </c>
      <c r="AO87" s="151">
        <f t="shared" si="34"/>
        <v>0</v>
      </c>
      <c r="AP87">
        <f t="shared" si="35"/>
        <v>0</v>
      </c>
      <c r="AQ87">
        <f t="shared" si="36"/>
        <v>0</v>
      </c>
    </row>
    <row r="88" spans="1:43" x14ac:dyDescent="0.3">
      <c r="A88" s="19">
        <f t="shared" si="29"/>
        <v>45751</v>
      </c>
      <c r="B88">
        <f t="shared" si="30"/>
        <v>14</v>
      </c>
      <c r="C88" s="16">
        <f>IFERROR(MATCH(A89,NERCHolidays!$B$2:$B$121,0),0)</f>
        <v>0</v>
      </c>
      <c r="D88">
        <f t="shared" si="27"/>
        <v>1</v>
      </c>
      <c r="E88" t="str">
        <f t="shared" si="21"/>
        <v>PK</v>
      </c>
      <c r="F88">
        <f t="shared" si="22"/>
        <v>5</v>
      </c>
      <c r="G88">
        <f t="shared" si="23"/>
        <v>0</v>
      </c>
      <c r="H88">
        <f t="shared" si="24"/>
        <v>0</v>
      </c>
      <c r="I88">
        <f t="shared" si="37"/>
        <v>1</v>
      </c>
      <c r="J88">
        <f t="shared" si="25"/>
        <v>0</v>
      </c>
      <c r="K88">
        <f t="shared" si="26"/>
        <v>5</v>
      </c>
      <c r="L88" s="179">
        <f>'Aztec Metered Load'!C92</f>
        <v>3.8380000000000001</v>
      </c>
      <c r="O88" s="148">
        <f t="shared" si="31"/>
        <v>45762</v>
      </c>
      <c r="P88" s="164">
        <f t="shared" si="31"/>
        <v>3</v>
      </c>
      <c r="Q88" s="161">
        <v>0</v>
      </c>
      <c r="R88" s="161">
        <v>0</v>
      </c>
      <c r="S88" s="161">
        <v>0</v>
      </c>
      <c r="T88" s="161">
        <v>0</v>
      </c>
      <c r="U88" s="161">
        <v>0</v>
      </c>
      <c r="V88" s="161">
        <v>0</v>
      </c>
      <c r="W88" s="161">
        <v>0</v>
      </c>
      <c r="X88" s="161">
        <v>0</v>
      </c>
      <c r="Y88" s="161">
        <v>0</v>
      </c>
      <c r="Z88" s="161">
        <v>0</v>
      </c>
      <c r="AA88" s="161">
        <v>0</v>
      </c>
      <c r="AB88" s="161">
        <v>0</v>
      </c>
      <c r="AC88" s="161">
        <v>0</v>
      </c>
      <c r="AD88" s="161">
        <v>0</v>
      </c>
      <c r="AE88" s="161">
        <v>0</v>
      </c>
      <c r="AF88" s="161">
        <v>0</v>
      </c>
      <c r="AG88" s="161">
        <v>0</v>
      </c>
      <c r="AH88" s="161">
        <v>0</v>
      </c>
      <c r="AI88" s="161">
        <v>0</v>
      </c>
      <c r="AJ88" s="161">
        <v>0</v>
      </c>
      <c r="AK88" s="161">
        <v>0</v>
      </c>
      <c r="AL88" s="161">
        <v>0</v>
      </c>
      <c r="AM88" s="161">
        <v>0</v>
      </c>
      <c r="AN88" s="161">
        <v>0</v>
      </c>
      <c r="AO88" s="151">
        <f t="shared" si="34"/>
        <v>0</v>
      </c>
      <c r="AP88">
        <f t="shared" si="35"/>
        <v>0</v>
      </c>
      <c r="AQ88">
        <f t="shared" si="36"/>
        <v>0</v>
      </c>
    </row>
    <row r="89" spans="1:43" x14ac:dyDescent="0.3">
      <c r="A89" s="19">
        <f t="shared" si="29"/>
        <v>45751</v>
      </c>
      <c r="B89">
        <f t="shared" si="30"/>
        <v>15</v>
      </c>
      <c r="C89" s="16">
        <f>IFERROR(MATCH(A90,NERCHolidays!$B$2:$B$121,0),0)</f>
        <v>0</v>
      </c>
      <c r="D89">
        <f t="shared" si="27"/>
        <v>1</v>
      </c>
      <c r="E89" t="str">
        <f t="shared" si="21"/>
        <v>PK</v>
      </c>
      <c r="F89">
        <f t="shared" si="22"/>
        <v>5</v>
      </c>
      <c r="G89">
        <f t="shared" si="23"/>
        <v>0</v>
      </c>
      <c r="H89">
        <f t="shared" si="24"/>
        <v>0</v>
      </c>
      <c r="I89">
        <f t="shared" si="37"/>
        <v>1</v>
      </c>
      <c r="J89">
        <f t="shared" si="25"/>
        <v>0</v>
      </c>
      <c r="K89">
        <f t="shared" si="26"/>
        <v>5</v>
      </c>
      <c r="L89" s="179">
        <f>'Aztec Metered Load'!C93</f>
        <v>3.6230000000000002</v>
      </c>
      <c r="O89" s="148">
        <f t="shared" si="31"/>
        <v>45763</v>
      </c>
      <c r="P89" s="164">
        <f t="shared" si="31"/>
        <v>4</v>
      </c>
      <c r="Q89" s="161">
        <v>0</v>
      </c>
      <c r="R89" s="161">
        <v>0</v>
      </c>
      <c r="S89" s="161">
        <v>0</v>
      </c>
      <c r="T89" s="161">
        <v>0</v>
      </c>
      <c r="U89" s="161">
        <v>0</v>
      </c>
      <c r="V89" s="161">
        <v>0</v>
      </c>
      <c r="W89" s="161">
        <v>0</v>
      </c>
      <c r="X89" s="161">
        <v>0</v>
      </c>
      <c r="Y89" s="161">
        <v>0</v>
      </c>
      <c r="Z89" s="161">
        <v>0</v>
      </c>
      <c r="AA89" s="161">
        <v>0</v>
      </c>
      <c r="AB89" s="161">
        <v>0</v>
      </c>
      <c r="AC89" s="161">
        <v>0</v>
      </c>
      <c r="AD89" s="161">
        <v>0</v>
      </c>
      <c r="AE89" s="161">
        <v>0</v>
      </c>
      <c r="AF89" s="161">
        <v>0</v>
      </c>
      <c r="AG89" s="161">
        <v>0</v>
      </c>
      <c r="AH89" s="161">
        <v>0</v>
      </c>
      <c r="AI89" s="161">
        <v>0</v>
      </c>
      <c r="AJ89" s="161">
        <v>0</v>
      </c>
      <c r="AK89" s="161">
        <v>0</v>
      </c>
      <c r="AL89" s="161">
        <v>0</v>
      </c>
      <c r="AM89" s="161">
        <v>0</v>
      </c>
      <c r="AN89" s="161">
        <v>0</v>
      </c>
      <c r="AO89" s="151">
        <f t="shared" si="34"/>
        <v>0</v>
      </c>
      <c r="AP89">
        <f t="shared" si="35"/>
        <v>0</v>
      </c>
      <c r="AQ89">
        <f t="shared" si="36"/>
        <v>0</v>
      </c>
    </row>
    <row r="90" spans="1:43" x14ac:dyDescent="0.3">
      <c r="A90" s="19">
        <f t="shared" si="29"/>
        <v>45751</v>
      </c>
      <c r="B90">
        <f t="shared" si="30"/>
        <v>16</v>
      </c>
      <c r="C90" s="16">
        <f>IFERROR(MATCH(A91,NERCHolidays!$B$2:$B$121,0),0)</f>
        <v>0</v>
      </c>
      <c r="D90">
        <f t="shared" si="27"/>
        <v>1</v>
      </c>
      <c r="E90" t="str">
        <f t="shared" si="21"/>
        <v>PK</v>
      </c>
      <c r="F90">
        <f t="shared" si="22"/>
        <v>5</v>
      </c>
      <c r="G90">
        <f t="shared" si="23"/>
        <v>0</v>
      </c>
      <c r="H90">
        <f t="shared" si="24"/>
        <v>0</v>
      </c>
      <c r="I90">
        <f t="shared" si="37"/>
        <v>1</v>
      </c>
      <c r="J90">
        <f t="shared" si="25"/>
        <v>0</v>
      </c>
      <c r="K90">
        <f t="shared" si="26"/>
        <v>5</v>
      </c>
      <c r="L90" s="179">
        <f>'Aztec Metered Load'!C94</f>
        <v>3.73</v>
      </c>
      <c r="O90" s="148">
        <f t="shared" si="31"/>
        <v>45764</v>
      </c>
      <c r="P90" s="164">
        <f t="shared" si="31"/>
        <v>5</v>
      </c>
      <c r="Q90" s="161">
        <v>0</v>
      </c>
      <c r="R90" s="161">
        <v>0</v>
      </c>
      <c r="S90" s="161">
        <v>0</v>
      </c>
      <c r="T90" s="161">
        <v>0</v>
      </c>
      <c r="U90" s="161">
        <v>0</v>
      </c>
      <c r="V90" s="161">
        <v>0</v>
      </c>
      <c r="W90" s="161">
        <v>0</v>
      </c>
      <c r="X90" s="161">
        <v>0</v>
      </c>
      <c r="Y90" s="161">
        <v>0</v>
      </c>
      <c r="Z90" s="161">
        <v>0</v>
      </c>
      <c r="AA90" s="161">
        <v>0</v>
      </c>
      <c r="AB90" s="161">
        <v>0</v>
      </c>
      <c r="AC90" s="161">
        <v>0</v>
      </c>
      <c r="AD90" s="161">
        <v>0</v>
      </c>
      <c r="AE90" s="161">
        <v>0</v>
      </c>
      <c r="AF90" s="161">
        <v>0</v>
      </c>
      <c r="AG90" s="161">
        <v>0</v>
      </c>
      <c r="AH90" s="161">
        <v>0</v>
      </c>
      <c r="AI90" s="161">
        <v>0</v>
      </c>
      <c r="AJ90" s="161">
        <v>0</v>
      </c>
      <c r="AK90" s="161">
        <v>0</v>
      </c>
      <c r="AL90" s="161">
        <v>0</v>
      </c>
      <c r="AM90" s="161">
        <v>0</v>
      </c>
      <c r="AN90" s="161">
        <v>0</v>
      </c>
      <c r="AO90" s="151">
        <f t="shared" si="34"/>
        <v>0</v>
      </c>
      <c r="AP90">
        <f t="shared" si="35"/>
        <v>0</v>
      </c>
      <c r="AQ90">
        <f t="shared" si="36"/>
        <v>0</v>
      </c>
    </row>
    <row r="91" spans="1:43" x14ac:dyDescent="0.3">
      <c r="A91" s="19">
        <f t="shared" si="29"/>
        <v>45751</v>
      </c>
      <c r="B91">
        <f t="shared" si="30"/>
        <v>17</v>
      </c>
      <c r="C91" s="16">
        <f>IFERROR(MATCH(A92,NERCHolidays!$B$2:$B$121,0),0)</f>
        <v>0</v>
      </c>
      <c r="D91">
        <f t="shared" si="27"/>
        <v>1</v>
      </c>
      <c r="E91" t="str">
        <f t="shared" si="21"/>
        <v>PK</v>
      </c>
      <c r="F91">
        <f t="shared" si="22"/>
        <v>5</v>
      </c>
      <c r="G91">
        <f t="shared" si="23"/>
        <v>0</v>
      </c>
      <c r="H91">
        <f t="shared" si="24"/>
        <v>0</v>
      </c>
      <c r="I91">
        <f t="shared" si="37"/>
        <v>1</v>
      </c>
      <c r="J91">
        <f t="shared" si="25"/>
        <v>0</v>
      </c>
      <c r="K91">
        <f t="shared" si="26"/>
        <v>5</v>
      </c>
      <c r="L91" s="179">
        <f>'Aztec Metered Load'!C95</f>
        <v>3.8319999999999999</v>
      </c>
      <c r="O91" s="148">
        <f t="shared" si="31"/>
        <v>45765</v>
      </c>
      <c r="P91" s="164">
        <f t="shared" si="31"/>
        <v>6</v>
      </c>
      <c r="Q91" s="161">
        <v>0</v>
      </c>
      <c r="R91" s="161">
        <v>0</v>
      </c>
      <c r="S91" s="161">
        <v>0</v>
      </c>
      <c r="T91" s="161">
        <v>0</v>
      </c>
      <c r="U91" s="161">
        <v>0</v>
      </c>
      <c r="V91" s="161">
        <v>0</v>
      </c>
      <c r="W91" s="161">
        <v>0</v>
      </c>
      <c r="X91" s="161">
        <v>0</v>
      </c>
      <c r="Y91" s="161">
        <v>0</v>
      </c>
      <c r="Z91" s="161">
        <v>0</v>
      </c>
      <c r="AA91" s="161">
        <v>0</v>
      </c>
      <c r="AB91" s="161">
        <v>0</v>
      </c>
      <c r="AC91" s="161">
        <v>0</v>
      </c>
      <c r="AD91" s="161">
        <v>0</v>
      </c>
      <c r="AE91" s="161">
        <v>0</v>
      </c>
      <c r="AF91" s="161">
        <v>0</v>
      </c>
      <c r="AG91" s="161">
        <v>0</v>
      </c>
      <c r="AH91" s="161">
        <v>0</v>
      </c>
      <c r="AI91" s="161">
        <v>0</v>
      </c>
      <c r="AJ91" s="161">
        <v>0</v>
      </c>
      <c r="AK91" s="161">
        <v>0</v>
      </c>
      <c r="AL91" s="161">
        <v>0</v>
      </c>
      <c r="AM91" s="161">
        <v>0</v>
      </c>
      <c r="AN91" s="161">
        <v>0</v>
      </c>
      <c r="AO91" s="151">
        <f t="shared" si="34"/>
        <v>0</v>
      </c>
      <c r="AP91">
        <f t="shared" si="35"/>
        <v>0</v>
      </c>
      <c r="AQ91">
        <f t="shared" si="36"/>
        <v>0</v>
      </c>
    </row>
    <row r="92" spans="1:43" x14ac:dyDescent="0.3">
      <c r="A92" s="19">
        <f t="shared" si="29"/>
        <v>45751</v>
      </c>
      <c r="B92">
        <f t="shared" si="30"/>
        <v>18</v>
      </c>
      <c r="C92" s="16">
        <f>IFERROR(MATCH(A93,NERCHolidays!$B$2:$B$121,0),0)</f>
        <v>0</v>
      </c>
      <c r="D92">
        <f t="shared" si="27"/>
        <v>1</v>
      </c>
      <c r="E92" t="str">
        <f t="shared" si="21"/>
        <v>PK</v>
      </c>
      <c r="F92">
        <f t="shared" si="22"/>
        <v>5</v>
      </c>
      <c r="G92">
        <f t="shared" si="23"/>
        <v>0</v>
      </c>
      <c r="H92">
        <f t="shared" si="24"/>
        <v>0</v>
      </c>
      <c r="I92">
        <f t="shared" si="37"/>
        <v>1</v>
      </c>
      <c r="J92">
        <f t="shared" si="25"/>
        <v>0</v>
      </c>
      <c r="K92">
        <f t="shared" si="26"/>
        <v>5</v>
      </c>
      <c r="L92" s="179">
        <f>'Aztec Metered Load'!C96</f>
        <v>4.0030000000000001</v>
      </c>
      <c r="O92" s="148">
        <f t="shared" si="31"/>
        <v>45766</v>
      </c>
      <c r="P92" s="164">
        <f t="shared" si="31"/>
        <v>7</v>
      </c>
      <c r="Q92" s="161">
        <v>0</v>
      </c>
      <c r="R92" s="161">
        <v>0</v>
      </c>
      <c r="S92" s="161">
        <v>0</v>
      </c>
      <c r="T92" s="161">
        <v>0</v>
      </c>
      <c r="U92" s="161">
        <v>0</v>
      </c>
      <c r="V92" s="161">
        <v>0</v>
      </c>
      <c r="W92" s="161">
        <v>0</v>
      </c>
      <c r="X92" s="161">
        <v>0</v>
      </c>
      <c r="Y92" s="161">
        <v>0</v>
      </c>
      <c r="Z92" s="161">
        <v>0</v>
      </c>
      <c r="AA92" s="161">
        <v>0</v>
      </c>
      <c r="AB92" s="161">
        <v>0</v>
      </c>
      <c r="AC92" s="161">
        <v>0</v>
      </c>
      <c r="AD92" s="161">
        <v>0</v>
      </c>
      <c r="AE92" s="161">
        <v>0</v>
      </c>
      <c r="AF92" s="161">
        <v>0</v>
      </c>
      <c r="AG92" s="161">
        <v>0</v>
      </c>
      <c r="AH92" s="161">
        <v>0</v>
      </c>
      <c r="AI92" s="161">
        <v>0</v>
      </c>
      <c r="AJ92" s="161">
        <v>0</v>
      </c>
      <c r="AK92" s="161">
        <v>0</v>
      </c>
      <c r="AL92" s="161">
        <v>0</v>
      </c>
      <c r="AM92" s="161">
        <v>0</v>
      </c>
      <c r="AN92" s="161">
        <v>0</v>
      </c>
      <c r="AO92" s="151">
        <f t="shared" si="34"/>
        <v>0</v>
      </c>
      <c r="AP92">
        <f t="shared" si="35"/>
        <v>0</v>
      </c>
      <c r="AQ92">
        <f t="shared" si="36"/>
        <v>0</v>
      </c>
    </row>
    <row r="93" spans="1:43" x14ac:dyDescent="0.3">
      <c r="A93" s="19">
        <f t="shared" si="29"/>
        <v>45751</v>
      </c>
      <c r="B93">
        <f t="shared" si="30"/>
        <v>19</v>
      </c>
      <c r="C93" s="16">
        <f>IFERROR(MATCH(A94,NERCHolidays!$B$2:$B$121,0),0)</f>
        <v>0</v>
      </c>
      <c r="D93">
        <f t="shared" si="27"/>
        <v>1</v>
      </c>
      <c r="E93" t="str">
        <f t="shared" si="21"/>
        <v>PK</v>
      </c>
      <c r="F93">
        <f t="shared" si="22"/>
        <v>5</v>
      </c>
      <c r="G93">
        <f t="shared" si="23"/>
        <v>1</v>
      </c>
      <c r="H93">
        <f t="shared" si="24"/>
        <v>0</v>
      </c>
      <c r="I93">
        <f t="shared" si="37"/>
        <v>1</v>
      </c>
      <c r="J93">
        <f t="shared" si="25"/>
        <v>0</v>
      </c>
      <c r="K93">
        <f t="shared" si="26"/>
        <v>6</v>
      </c>
      <c r="L93" s="179">
        <f>'Aztec Metered Load'!C97</f>
        <v>4.2149999999999999</v>
      </c>
      <c r="O93" s="148">
        <f t="shared" si="31"/>
        <v>45767</v>
      </c>
      <c r="P93" s="164" t="str">
        <f t="shared" si="31"/>
        <v>Sunday</v>
      </c>
      <c r="Q93" s="161">
        <v>0</v>
      </c>
      <c r="R93" s="161">
        <v>0</v>
      </c>
      <c r="S93" s="161">
        <v>0</v>
      </c>
      <c r="T93" s="161">
        <v>0</v>
      </c>
      <c r="U93" s="161">
        <v>0</v>
      </c>
      <c r="V93" s="161">
        <v>0</v>
      </c>
      <c r="W93" s="161">
        <v>0</v>
      </c>
      <c r="X93" s="161">
        <v>0</v>
      </c>
      <c r="Y93" s="161">
        <v>0</v>
      </c>
      <c r="Z93" s="161">
        <v>0</v>
      </c>
      <c r="AA93" s="161">
        <v>0</v>
      </c>
      <c r="AB93" s="161">
        <v>0</v>
      </c>
      <c r="AC93" s="161">
        <v>0</v>
      </c>
      <c r="AD93" s="161">
        <v>0</v>
      </c>
      <c r="AE93" s="161">
        <v>0</v>
      </c>
      <c r="AF93" s="161">
        <v>0</v>
      </c>
      <c r="AG93" s="161">
        <v>0</v>
      </c>
      <c r="AH93" s="161">
        <v>0</v>
      </c>
      <c r="AI93" s="161">
        <v>0</v>
      </c>
      <c r="AJ93" s="161">
        <v>0</v>
      </c>
      <c r="AK93" s="161">
        <v>0</v>
      </c>
      <c r="AL93" s="161">
        <v>0</v>
      </c>
      <c r="AM93" s="161">
        <v>0</v>
      </c>
      <c r="AN93" s="161">
        <v>0</v>
      </c>
      <c r="AO93" s="151">
        <f t="shared" si="34"/>
        <v>0</v>
      </c>
      <c r="AP93">
        <f t="shared" si="35"/>
        <v>0</v>
      </c>
      <c r="AQ93">
        <f t="shared" si="36"/>
        <v>0</v>
      </c>
    </row>
    <row r="94" spans="1:43" x14ac:dyDescent="0.3">
      <c r="A94" s="19">
        <f t="shared" si="29"/>
        <v>45751</v>
      </c>
      <c r="B94">
        <f t="shared" si="30"/>
        <v>20</v>
      </c>
      <c r="C94" s="16">
        <f>IFERROR(MATCH(A95,NERCHolidays!$B$2:$B$121,0),0)</f>
        <v>0</v>
      </c>
      <c r="D94">
        <f t="shared" si="27"/>
        <v>1</v>
      </c>
      <c r="E94" t="str">
        <f t="shared" si="21"/>
        <v>PK</v>
      </c>
      <c r="F94">
        <f t="shared" si="22"/>
        <v>5</v>
      </c>
      <c r="G94">
        <f t="shared" si="23"/>
        <v>1</v>
      </c>
      <c r="H94">
        <f t="shared" si="24"/>
        <v>0</v>
      </c>
      <c r="I94">
        <f t="shared" si="37"/>
        <v>1</v>
      </c>
      <c r="J94">
        <f t="shared" si="25"/>
        <v>0</v>
      </c>
      <c r="K94">
        <f t="shared" si="26"/>
        <v>6</v>
      </c>
      <c r="L94" s="179">
        <f>'Aztec Metered Load'!C98</f>
        <v>4.4390000000000001</v>
      </c>
      <c r="O94" s="148">
        <f t="shared" si="31"/>
        <v>45768</v>
      </c>
      <c r="P94" s="164">
        <f t="shared" si="31"/>
        <v>2</v>
      </c>
      <c r="Q94" s="161">
        <v>0</v>
      </c>
      <c r="R94" s="161">
        <v>0</v>
      </c>
      <c r="S94" s="161">
        <v>0</v>
      </c>
      <c r="T94" s="161">
        <v>0</v>
      </c>
      <c r="U94" s="161">
        <v>0</v>
      </c>
      <c r="V94" s="161">
        <v>0</v>
      </c>
      <c r="W94" s="161">
        <v>0</v>
      </c>
      <c r="X94" s="161">
        <v>0</v>
      </c>
      <c r="Y94" s="161">
        <v>0</v>
      </c>
      <c r="Z94" s="161">
        <v>0</v>
      </c>
      <c r="AA94" s="161">
        <v>0</v>
      </c>
      <c r="AB94" s="161">
        <v>0</v>
      </c>
      <c r="AC94" s="161">
        <v>0</v>
      </c>
      <c r="AD94" s="161">
        <v>0</v>
      </c>
      <c r="AE94" s="161">
        <v>0</v>
      </c>
      <c r="AF94" s="161">
        <v>0</v>
      </c>
      <c r="AG94" s="161">
        <v>0</v>
      </c>
      <c r="AH94" s="161">
        <v>0</v>
      </c>
      <c r="AI94" s="161">
        <v>0</v>
      </c>
      <c r="AJ94" s="161">
        <v>0</v>
      </c>
      <c r="AK94" s="161">
        <v>0</v>
      </c>
      <c r="AL94" s="161">
        <v>0</v>
      </c>
      <c r="AM94" s="161">
        <v>0</v>
      </c>
      <c r="AN94" s="161">
        <v>0</v>
      </c>
      <c r="AO94" s="151">
        <f t="shared" si="34"/>
        <v>0</v>
      </c>
      <c r="AP94">
        <f t="shared" si="35"/>
        <v>0</v>
      </c>
      <c r="AQ94">
        <f t="shared" si="36"/>
        <v>0</v>
      </c>
    </row>
    <row r="95" spans="1:43" x14ac:dyDescent="0.3">
      <c r="A95" s="19">
        <f t="shared" si="29"/>
        <v>45751</v>
      </c>
      <c r="B95">
        <f t="shared" si="30"/>
        <v>21</v>
      </c>
      <c r="C95" s="16">
        <f>IFERROR(MATCH(A96,NERCHolidays!$B$2:$B$121,0),0)</f>
        <v>0</v>
      </c>
      <c r="D95">
        <f t="shared" si="27"/>
        <v>1</v>
      </c>
      <c r="E95" t="str">
        <f t="shared" si="21"/>
        <v>PK</v>
      </c>
      <c r="F95">
        <f t="shared" si="22"/>
        <v>5</v>
      </c>
      <c r="G95">
        <f t="shared" si="23"/>
        <v>1</v>
      </c>
      <c r="H95">
        <f t="shared" si="24"/>
        <v>0</v>
      </c>
      <c r="I95">
        <f t="shared" si="37"/>
        <v>1</v>
      </c>
      <c r="J95">
        <f t="shared" si="25"/>
        <v>0</v>
      </c>
      <c r="K95">
        <f t="shared" si="26"/>
        <v>6</v>
      </c>
      <c r="L95" s="179">
        <f>'Aztec Metered Load'!C99</f>
        <v>4.4189999999999996</v>
      </c>
      <c r="O95" s="148">
        <f t="shared" si="31"/>
        <v>45769</v>
      </c>
      <c r="P95" s="164">
        <f t="shared" si="31"/>
        <v>3</v>
      </c>
      <c r="Q95" s="161">
        <v>0</v>
      </c>
      <c r="R95" s="161">
        <v>0</v>
      </c>
      <c r="S95" s="161">
        <v>0</v>
      </c>
      <c r="T95" s="161">
        <v>0</v>
      </c>
      <c r="U95" s="161">
        <v>0</v>
      </c>
      <c r="V95" s="161">
        <v>0</v>
      </c>
      <c r="W95" s="161">
        <v>0</v>
      </c>
      <c r="X95" s="161">
        <v>0</v>
      </c>
      <c r="Y95" s="161">
        <v>0</v>
      </c>
      <c r="Z95" s="161">
        <v>0</v>
      </c>
      <c r="AA95" s="161">
        <v>0</v>
      </c>
      <c r="AB95" s="161">
        <v>0</v>
      </c>
      <c r="AC95" s="161">
        <v>0</v>
      </c>
      <c r="AD95" s="161">
        <v>0</v>
      </c>
      <c r="AE95" s="161">
        <v>0</v>
      </c>
      <c r="AF95" s="161">
        <v>0</v>
      </c>
      <c r="AG95" s="161">
        <v>0</v>
      </c>
      <c r="AH95" s="161">
        <v>0</v>
      </c>
      <c r="AI95" s="161">
        <v>0</v>
      </c>
      <c r="AJ95" s="161">
        <v>0</v>
      </c>
      <c r="AK95" s="161">
        <v>0</v>
      </c>
      <c r="AL95" s="161">
        <v>0</v>
      </c>
      <c r="AM95" s="161">
        <v>0</v>
      </c>
      <c r="AN95" s="161">
        <v>0</v>
      </c>
      <c r="AO95" s="151">
        <f t="shared" si="34"/>
        <v>0</v>
      </c>
      <c r="AP95">
        <f t="shared" si="35"/>
        <v>0</v>
      </c>
      <c r="AQ95">
        <f t="shared" si="36"/>
        <v>0</v>
      </c>
    </row>
    <row r="96" spans="1:43" x14ac:dyDescent="0.3">
      <c r="A96" s="19">
        <f t="shared" si="29"/>
        <v>45751</v>
      </c>
      <c r="B96">
        <f t="shared" si="30"/>
        <v>22</v>
      </c>
      <c r="C96" s="16">
        <f>IFERROR(MATCH(A97,NERCHolidays!$B$2:$B$121,0),0)</f>
        <v>0</v>
      </c>
      <c r="D96">
        <f t="shared" si="27"/>
        <v>1</v>
      </c>
      <c r="E96" t="str">
        <f t="shared" si="21"/>
        <v>PK</v>
      </c>
      <c r="F96">
        <f t="shared" si="22"/>
        <v>5</v>
      </c>
      <c r="G96">
        <f t="shared" si="23"/>
        <v>1</v>
      </c>
      <c r="H96">
        <f t="shared" si="24"/>
        <v>0</v>
      </c>
      <c r="I96">
        <f t="shared" si="37"/>
        <v>1</v>
      </c>
      <c r="J96">
        <f t="shared" si="25"/>
        <v>0</v>
      </c>
      <c r="K96">
        <f t="shared" si="26"/>
        <v>6</v>
      </c>
      <c r="L96" s="179">
        <f>'Aztec Metered Load'!C100</f>
        <v>4.2160000000000002</v>
      </c>
      <c r="O96" s="148">
        <f t="shared" si="31"/>
        <v>45770</v>
      </c>
      <c r="P96" s="164">
        <f t="shared" si="31"/>
        <v>4</v>
      </c>
      <c r="Q96" s="161">
        <v>0</v>
      </c>
      <c r="R96" s="161">
        <v>0</v>
      </c>
      <c r="S96" s="161">
        <v>0</v>
      </c>
      <c r="T96" s="161">
        <v>0</v>
      </c>
      <c r="U96" s="161">
        <v>0</v>
      </c>
      <c r="V96" s="161">
        <v>0</v>
      </c>
      <c r="W96" s="161">
        <v>0</v>
      </c>
      <c r="X96" s="161">
        <v>0</v>
      </c>
      <c r="Y96" s="161">
        <v>0</v>
      </c>
      <c r="Z96" s="161">
        <v>0</v>
      </c>
      <c r="AA96" s="161">
        <v>0</v>
      </c>
      <c r="AB96" s="161">
        <v>0</v>
      </c>
      <c r="AC96" s="161">
        <v>0</v>
      </c>
      <c r="AD96" s="161">
        <v>0</v>
      </c>
      <c r="AE96" s="161">
        <v>0</v>
      </c>
      <c r="AF96" s="161">
        <v>0</v>
      </c>
      <c r="AG96" s="161">
        <v>0</v>
      </c>
      <c r="AH96" s="161">
        <v>0</v>
      </c>
      <c r="AI96" s="161">
        <v>0</v>
      </c>
      <c r="AJ96" s="161">
        <v>0</v>
      </c>
      <c r="AK96" s="161">
        <v>0</v>
      </c>
      <c r="AL96" s="161">
        <v>0</v>
      </c>
      <c r="AM96" s="161">
        <v>0</v>
      </c>
      <c r="AN96" s="161">
        <v>0</v>
      </c>
      <c r="AO96" s="151">
        <f t="shared" si="34"/>
        <v>0</v>
      </c>
      <c r="AP96">
        <f t="shared" si="35"/>
        <v>0</v>
      </c>
      <c r="AQ96">
        <f t="shared" si="36"/>
        <v>0</v>
      </c>
    </row>
    <row r="97" spans="1:43" x14ac:dyDescent="0.3">
      <c r="A97" s="19">
        <f t="shared" si="29"/>
        <v>45751</v>
      </c>
      <c r="B97">
        <f t="shared" si="30"/>
        <v>23</v>
      </c>
      <c r="C97" s="16">
        <f>IFERROR(MATCH(A98,NERCHolidays!$B$2:$B$121,0),0)</f>
        <v>0</v>
      </c>
      <c r="D97">
        <f t="shared" si="27"/>
        <v>1</v>
      </c>
      <c r="E97" t="str">
        <f t="shared" si="21"/>
        <v>PK</v>
      </c>
      <c r="F97">
        <f t="shared" si="22"/>
        <v>5</v>
      </c>
      <c r="G97">
        <f t="shared" si="23"/>
        <v>1</v>
      </c>
      <c r="H97">
        <f t="shared" si="24"/>
        <v>0</v>
      </c>
      <c r="I97">
        <f t="shared" si="37"/>
        <v>1</v>
      </c>
      <c r="J97">
        <f t="shared" si="25"/>
        <v>0</v>
      </c>
      <c r="K97">
        <f t="shared" si="26"/>
        <v>6</v>
      </c>
      <c r="L97" s="179">
        <f>'Aztec Metered Load'!C101</f>
        <v>3.976</v>
      </c>
      <c r="O97" s="148">
        <f t="shared" si="31"/>
        <v>45771</v>
      </c>
      <c r="P97" s="164">
        <f t="shared" si="31"/>
        <v>5</v>
      </c>
      <c r="Q97" s="161">
        <v>0</v>
      </c>
      <c r="R97" s="161">
        <v>0</v>
      </c>
      <c r="S97" s="161">
        <v>0</v>
      </c>
      <c r="T97" s="161">
        <v>0</v>
      </c>
      <c r="U97" s="161">
        <v>0</v>
      </c>
      <c r="V97" s="161">
        <v>0</v>
      </c>
      <c r="W97" s="161">
        <v>0</v>
      </c>
      <c r="X97" s="161">
        <v>0</v>
      </c>
      <c r="Y97" s="161">
        <v>0</v>
      </c>
      <c r="Z97" s="161">
        <v>0</v>
      </c>
      <c r="AA97" s="161">
        <v>0</v>
      </c>
      <c r="AB97" s="161">
        <v>0</v>
      </c>
      <c r="AC97" s="161">
        <v>0</v>
      </c>
      <c r="AD97" s="161">
        <v>0</v>
      </c>
      <c r="AE97" s="161">
        <v>0</v>
      </c>
      <c r="AF97" s="161">
        <v>0</v>
      </c>
      <c r="AG97" s="161">
        <v>0</v>
      </c>
      <c r="AH97" s="161">
        <v>0</v>
      </c>
      <c r="AI97" s="161">
        <v>0</v>
      </c>
      <c r="AJ97" s="161">
        <v>0</v>
      </c>
      <c r="AK97" s="161">
        <v>0</v>
      </c>
      <c r="AL97" s="161">
        <v>0</v>
      </c>
      <c r="AM97" s="161">
        <v>0</v>
      </c>
      <c r="AN97" s="161">
        <v>0</v>
      </c>
      <c r="AO97" s="151">
        <f t="shared" si="34"/>
        <v>0</v>
      </c>
      <c r="AP97">
        <f t="shared" si="35"/>
        <v>0</v>
      </c>
      <c r="AQ97">
        <f t="shared" si="36"/>
        <v>0</v>
      </c>
    </row>
    <row r="98" spans="1:43" x14ac:dyDescent="0.3">
      <c r="A98" s="19">
        <f t="shared" si="29"/>
        <v>45751</v>
      </c>
      <c r="B98">
        <f t="shared" si="30"/>
        <v>24</v>
      </c>
      <c r="C98" s="16">
        <f>IFERROR(MATCH(A99,NERCHolidays!$B$2:$B$121,0),0)</f>
        <v>0</v>
      </c>
      <c r="D98">
        <f t="shared" si="27"/>
        <v>0</v>
      </c>
      <c r="E98" t="str">
        <f t="shared" si="21"/>
        <v>OP</v>
      </c>
      <c r="F98">
        <f t="shared" si="22"/>
        <v>5</v>
      </c>
      <c r="G98">
        <f t="shared" si="23"/>
        <v>0</v>
      </c>
      <c r="H98">
        <f t="shared" si="24"/>
        <v>0</v>
      </c>
      <c r="I98">
        <f t="shared" si="37"/>
        <v>1</v>
      </c>
      <c r="J98">
        <f t="shared" si="25"/>
        <v>0</v>
      </c>
      <c r="K98">
        <f t="shared" si="26"/>
        <v>5</v>
      </c>
      <c r="L98" s="179">
        <f>'Aztec Metered Load'!C102</f>
        <v>3.7669999999999999</v>
      </c>
      <c r="O98" s="148">
        <f t="shared" si="31"/>
        <v>45772</v>
      </c>
      <c r="P98" s="164">
        <f t="shared" si="31"/>
        <v>6</v>
      </c>
      <c r="Q98" s="161">
        <v>0</v>
      </c>
      <c r="R98" s="161">
        <v>0</v>
      </c>
      <c r="S98" s="161">
        <v>0</v>
      </c>
      <c r="T98" s="161">
        <v>0</v>
      </c>
      <c r="U98" s="161">
        <v>0</v>
      </c>
      <c r="V98" s="161">
        <v>0</v>
      </c>
      <c r="W98" s="161">
        <v>0</v>
      </c>
      <c r="X98" s="161">
        <v>0</v>
      </c>
      <c r="Y98" s="161">
        <v>0</v>
      </c>
      <c r="Z98" s="161">
        <v>0</v>
      </c>
      <c r="AA98" s="161">
        <v>0</v>
      </c>
      <c r="AB98" s="161">
        <v>0</v>
      </c>
      <c r="AC98" s="161">
        <v>0</v>
      </c>
      <c r="AD98" s="161">
        <v>0</v>
      </c>
      <c r="AE98" s="161">
        <v>0</v>
      </c>
      <c r="AF98" s="161">
        <v>0</v>
      </c>
      <c r="AG98" s="161">
        <v>0</v>
      </c>
      <c r="AH98" s="161">
        <v>0</v>
      </c>
      <c r="AI98" s="161">
        <v>0</v>
      </c>
      <c r="AJ98" s="161">
        <v>0</v>
      </c>
      <c r="AK98" s="161">
        <v>0</v>
      </c>
      <c r="AL98" s="161">
        <v>0</v>
      </c>
      <c r="AM98" s="161">
        <v>0</v>
      </c>
      <c r="AN98" s="161">
        <v>0</v>
      </c>
      <c r="AO98" s="151">
        <f t="shared" si="34"/>
        <v>0</v>
      </c>
      <c r="AP98">
        <f t="shared" si="35"/>
        <v>0</v>
      </c>
      <c r="AQ98">
        <f t="shared" si="36"/>
        <v>0</v>
      </c>
    </row>
    <row r="99" spans="1:43" x14ac:dyDescent="0.3">
      <c r="A99" s="19">
        <f t="shared" si="29"/>
        <v>45752</v>
      </c>
      <c r="B99">
        <f t="shared" si="30"/>
        <v>1</v>
      </c>
      <c r="C99" s="16">
        <f>IFERROR(MATCH(A100,NERCHolidays!$B$2:$B$121,0),0)</f>
        <v>0</v>
      </c>
      <c r="D99">
        <f t="shared" si="27"/>
        <v>0</v>
      </c>
      <c r="E99" t="str">
        <f t="shared" si="21"/>
        <v>OP</v>
      </c>
      <c r="F99">
        <f t="shared" ref="F99:F130" si="38">VLOOKUP(A99,$O$3:$AN$34,B99+2,FALSE)</f>
        <v>5</v>
      </c>
      <c r="G99">
        <f t="shared" si="23"/>
        <v>1</v>
      </c>
      <c r="H99">
        <f t="shared" si="24"/>
        <v>0</v>
      </c>
      <c r="I99">
        <f t="shared" si="37"/>
        <v>1</v>
      </c>
      <c r="J99">
        <f t="shared" si="25"/>
        <v>0</v>
      </c>
      <c r="K99">
        <f t="shared" si="26"/>
        <v>6</v>
      </c>
      <c r="L99" s="179">
        <f>'Aztec Metered Load'!C103</f>
        <v>3.714</v>
      </c>
      <c r="O99" s="148">
        <f t="shared" si="31"/>
        <v>45773</v>
      </c>
      <c r="P99" s="164">
        <f t="shared" si="31"/>
        <v>7</v>
      </c>
      <c r="Q99" s="161">
        <v>0</v>
      </c>
      <c r="R99" s="161">
        <v>0</v>
      </c>
      <c r="S99" s="161">
        <v>0</v>
      </c>
      <c r="T99" s="161">
        <v>0</v>
      </c>
      <c r="U99" s="161">
        <v>0</v>
      </c>
      <c r="V99" s="161">
        <v>0</v>
      </c>
      <c r="W99" s="161">
        <v>0</v>
      </c>
      <c r="X99" s="161">
        <v>0</v>
      </c>
      <c r="Y99" s="161">
        <v>0</v>
      </c>
      <c r="Z99" s="161">
        <v>0</v>
      </c>
      <c r="AA99" s="161">
        <v>0</v>
      </c>
      <c r="AB99" s="161">
        <v>0</v>
      </c>
      <c r="AC99" s="161">
        <v>0</v>
      </c>
      <c r="AD99" s="161">
        <v>0</v>
      </c>
      <c r="AE99" s="161">
        <v>0</v>
      </c>
      <c r="AF99" s="161">
        <v>0</v>
      </c>
      <c r="AG99" s="161">
        <v>0</v>
      </c>
      <c r="AH99" s="161">
        <v>0</v>
      </c>
      <c r="AI99" s="161">
        <v>0</v>
      </c>
      <c r="AJ99" s="161">
        <v>0</v>
      </c>
      <c r="AK99" s="161">
        <v>0</v>
      </c>
      <c r="AL99" s="161">
        <v>0</v>
      </c>
      <c r="AM99" s="161">
        <v>0</v>
      </c>
      <c r="AN99" s="161">
        <v>0</v>
      </c>
      <c r="AO99" s="151">
        <f t="shared" si="34"/>
        <v>0</v>
      </c>
      <c r="AP99">
        <f t="shared" si="35"/>
        <v>0</v>
      </c>
      <c r="AQ99">
        <f t="shared" si="36"/>
        <v>0</v>
      </c>
    </row>
    <row r="100" spans="1:43" x14ac:dyDescent="0.3">
      <c r="A100" s="19">
        <f t="shared" si="29"/>
        <v>45752</v>
      </c>
      <c r="B100">
        <f t="shared" si="30"/>
        <v>2</v>
      </c>
      <c r="C100" s="16">
        <f>IFERROR(MATCH(A101,NERCHolidays!$B$2:$B$121,0),0)</f>
        <v>0</v>
      </c>
      <c r="D100">
        <f t="shared" si="27"/>
        <v>0</v>
      </c>
      <c r="E100" t="str">
        <f t="shared" si="21"/>
        <v>OP</v>
      </c>
      <c r="F100">
        <f t="shared" si="38"/>
        <v>5</v>
      </c>
      <c r="G100">
        <f t="shared" si="23"/>
        <v>1</v>
      </c>
      <c r="H100">
        <f t="shared" si="24"/>
        <v>0</v>
      </c>
      <c r="I100">
        <f t="shared" si="37"/>
        <v>1</v>
      </c>
      <c r="J100">
        <f t="shared" si="25"/>
        <v>0</v>
      </c>
      <c r="K100">
        <f t="shared" si="26"/>
        <v>6</v>
      </c>
      <c r="L100" s="179">
        <f>'Aztec Metered Load'!C104</f>
        <v>3.6970000000000001</v>
      </c>
      <c r="O100" s="148">
        <f t="shared" si="31"/>
        <v>45774</v>
      </c>
      <c r="P100" s="164" t="str">
        <f t="shared" si="31"/>
        <v>Sunday</v>
      </c>
      <c r="Q100" s="161">
        <v>0</v>
      </c>
      <c r="R100" s="161">
        <v>0</v>
      </c>
      <c r="S100" s="161">
        <v>0</v>
      </c>
      <c r="T100" s="161">
        <v>0</v>
      </c>
      <c r="U100" s="161">
        <v>0</v>
      </c>
      <c r="V100" s="161">
        <v>0</v>
      </c>
      <c r="W100" s="161">
        <v>0</v>
      </c>
      <c r="X100" s="161">
        <v>0</v>
      </c>
      <c r="Y100" s="161">
        <v>0</v>
      </c>
      <c r="Z100" s="161">
        <v>0</v>
      </c>
      <c r="AA100" s="161">
        <v>0</v>
      </c>
      <c r="AB100" s="161">
        <v>0</v>
      </c>
      <c r="AC100" s="161">
        <v>0</v>
      </c>
      <c r="AD100" s="161">
        <v>0</v>
      </c>
      <c r="AE100" s="161">
        <v>0</v>
      </c>
      <c r="AF100" s="161">
        <v>0</v>
      </c>
      <c r="AG100" s="161">
        <v>0</v>
      </c>
      <c r="AH100" s="161">
        <v>0</v>
      </c>
      <c r="AI100" s="161">
        <v>0</v>
      </c>
      <c r="AJ100" s="161">
        <v>0</v>
      </c>
      <c r="AK100" s="161">
        <v>0</v>
      </c>
      <c r="AL100" s="161">
        <v>0</v>
      </c>
      <c r="AM100" s="161">
        <v>0</v>
      </c>
      <c r="AN100" s="161">
        <v>0</v>
      </c>
      <c r="AO100" s="151">
        <f t="shared" si="34"/>
        <v>0</v>
      </c>
      <c r="AP100">
        <f t="shared" si="35"/>
        <v>0</v>
      </c>
      <c r="AQ100">
        <f t="shared" si="36"/>
        <v>0</v>
      </c>
    </row>
    <row r="101" spans="1:43" x14ac:dyDescent="0.3">
      <c r="A101" s="19">
        <f t="shared" si="29"/>
        <v>45752</v>
      </c>
      <c r="B101">
        <f t="shared" si="30"/>
        <v>3</v>
      </c>
      <c r="C101" s="16">
        <f>IFERROR(MATCH(A102,NERCHolidays!$B$2:$B$121,0),0)</f>
        <v>0</v>
      </c>
      <c r="D101">
        <f t="shared" si="27"/>
        <v>0</v>
      </c>
      <c r="E101" t="str">
        <f t="shared" si="21"/>
        <v>OP</v>
      </c>
      <c r="F101">
        <f t="shared" si="38"/>
        <v>5</v>
      </c>
      <c r="G101">
        <f t="shared" si="23"/>
        <v>1</v>
      </c>
      <c r="H101">
        <f t="shared" si="24"/>
        <v>0</v>
      </c>
      <c r="I101">
        <f t="shared" si="37"/>
        <v>2</v>
      </c>
      <c r="J101">
        <f t="shared" si="25"/>
        <v>0</v>
      </c>
      <c r="K101">
        <f t="shared" si="26"/>
        <v>6</v>
      </c>
      <c r="L101" s="179">
        <f>'Aztec Metered Load'!C105</f>
        <v>3.6749999999999998</v>
      </c>
      <c r="O101" s="148">
        <f t="shared" si="31"/>
        <v>45775</v>
      </c>
      <c r="P101" s="164">
        <f t="shared" si="31"/>
        <v>2</v>
      </c>
      <c r="Q101" s="161">
        <v>0</v>
      </c>
      <c r="R101" s="161">
        <v>0</v>
      </c>
      <c r="S101" s="161">
        <v>0</v>
      </c>
      <c r="T101" s="161">
        <v>0</v>
      </c>
      <c r="U101" s="161">
        <v>0</v>
      </c>
      <c r="V101" s="161">
        <v>0</v>
      </c>
      <c r="W101" s="161">
        <v>0</v>
      </c>
      <c r="X101" s="161">
        <v>0</v>
      </c>
      <c r="Y101" s="161">
        <v>0</v>
      </c>
      <c r="Z101" s="161">
        <v>0</v>
      </c>
      <c r="AA101" s="161">
        <v>0</v>
      </c>
      <c r="AB101" s="161">
        <v>0</v>
      </c>
      <c r="AC101" s="161">
        <v>0</v>
      </c>
      <c r="AD101" s="161">
        <v>0</v>
      </c>
      <c r="AE101" s="161">
        <v>0</v>
      </c>
      <c r="AF101" s="161">
        <v>0</v>
      </c>
      <c r="AG101" s="161">
        <v>0</v>
      </c>
      <c r="AH101" s="161">
        <v>0</v>
      </c>
      <c r="AI101" s="161">
        <v>0</v>
      </c>
      <c r="AJ101" s="161">
        <v>0</v>
      </c>
      <c r="AK101" s="161">
        <v>0</v>
      </c>
      <c r="AL101" s="161">
        <v>0</v>
      </c>
      <c r="AM101" s="161">
        <v>0</v>
      </c>
      <c r="AN101" s="161">
        <v>0</v>
      </c>
      <c r="AO101" s="151">
        <f t="shared" si="34"/>
        <v>0</v>
      </c>
      <c r="AP101">
        <f t="shared" si="35"/>
        <v>0</v>
      </c>
      <c r="AQ101">
        <f t="shared" si="36"/>
        <v>0</v>
      </c>
    </row>
    <row r="102" spans="1:43" x14ac:dyDescent="0.3">
      <c r="A102" s="19">
        <f t="shared" si="29"/>
        <v>45752</v>
      </c>
      <c r="B102">
        <f t="shared" si="30"/>
        <v>4</v>
      </c>
      <c r="C102" s="16">
        <f>IFERROR(MATCH(A103,NERCHolidays!$B$2:$B$121,0),0)</f>
        <v>0</v>
      </c>
      <c r="D102">
        <f t="shared" si="27"/>
        <v>0</v>
      </c>
      <c r="E102" t="str">
        <f t="shared" si="21"/>
        <v>OP</v>
      </c>
      <c r="F102">
        <f t="shared" si="38"/>
        <v>5</v>
      </c>
      <c r="G102">
        <f t="shared" si="23"/>
        <v>1</v>
      </c>
      <c r="H102">
        <f t="shared" si="24"/>
        <v>0</v>
      </c>
      <c r="I102">
        <f t="shared" si="37"/>
        <v>2</v>
      </c>
      <c r="J102">
        <f t="shared" si="25"/>
        <v>0</v>
      </c>
      <c r="K102">
        <f t="shared" si="26"/>
        <v>6</v>
      </c>
      <c r="L102" s="179">
        <f>'Aztec Metered Load'!C106</f>
        <v>3.76</v>
      </c>
      <c r="O102" s="148">
        <f t="shared" ref="O102:P102" si="39">O68</f>
        <v>45776</v>
      </c>
      <c r="P102" s="164">
        <f t="shared" si="39"/>
        <v>3</v>
      </c>
      <c r="Q102" s="161">
        <v>0</v>
      </c>
      <c r="R102" s="161">
        <v>0</v>
      </c>
      <c r="S102" s="161">
        <v>0</v>
      </c>
      <c r="T102" s="161">
        <v>0</v>
      </c>
      <c r="U102" s="161">
        <v>0</v>
      </c>
      <c r="V102" s="161">
        <v>0</v>
      </c>
      <c r="W102" s="161">
        <v>0</v>
      </c>
      <c r="X102" s="161">
        <v>0</v>
      </c>
      <c r="Y102" s="161">
        <v>0</v>
      </c>
      <c r="Z102" s="161">
        <v>0</v>
      </c>
      <c r="AA102" s="161">
        <v>0</v>
      </c>
      <c r="AB102" s="161">
        <v>0</v>
      </c>
      <c r="AC102" s="161">
        <v>0</v>
      </c>
      <c r="AD102" s="161">
        <v>0</v>
      </c>
      <c r="AE102" s="161">
        <v>0</v>
      </c>
      <c r="AF102" s="161">
        <v>0</v>
      </c>
      <c r="AG102" s="161">
        <v>0</v>
      </c>
      <c r="AH102" s="161">
        <v>0</v>
      </c>
      <c r="AI102" s="161">
        <v>0</v>
      </c>
      <c r="AJ102" s="161">
        <v>0</v>
      </c>
      <c r="AK102" s="161">
        <v>0</v>
      </c>
      <c r="AL102" s="161">
        <v>0</v>
      </c>
      <c r="AM102" s="161">
        <v>0</v>
      </c>
      <c r="AN102" s="161">
        <v>0</v>
      </c>
      <c r="AO102" s="151">
        <f t="shared" si="34"/>
        <v>0</v>
      </c>
      <c r="AP102">
        <f t="shared" si="35"/>
        <v>0</v>
      </c>
      <c r="AQ102">
        <f t="shared" si="36"/>
        <v>0</v>
      </c>
    </row>
    <row r="103" spans="1:43" x14ac:dyDescent="0.3">
      <c r="A103" s="19">
        <f t="shared" si="29"/>
        <v>45752</v>
      </c>
      <c r="B103">
        <f t="shared" si="30"/>
        <v>5</v>
      </c>
      <c r="C103" s="16">
        <f>IFERROR(MATCH(A104,NERCHolidays!$B$2:$B$121,0),0)</f>
        <v>0</v>
      </c>
      <c r="D103">
        <f t="shared" si="27"/>
        <v>0</v>
      </c>
      <c r="E103" t="str">
        <f t="shared" si="21"/>
        <v>OP</v>
      </c>
      <c r="F103">
        <f t="shared" si="38"/>
        <v>5</v>
      </c>
      <c r="G103">
        <f t="shared" si="23"/>
        <v>1</v>
      </c>
      <c r="H103">
        <f t="shared" si="24"/>
        <v>0</v>
      </c>
      <c r="I103">
        <f t="shared" si="37"/>
        <v>2</v>
      </c>
      <c r="J103">
        <f t="shared" si="25"/>
        <v>0</v>
      </c>
      <c r="K103">
        <f t="shared" si="26"/>
        <v>6</v>
      </c>
      <c r="L103" s="179">
        <f>'Aztec Metered Load'!C107</f>
        <v>3.9990000000000001</v>
      </c>
      <c r="O103" s="148">
        <f t="shared" ref="O103:P103" si="40">O69</f>
        <v>45777</v>
      </c>
      <c r="P103" s="164">
        <f t="shared" si="40"/>
        <v>4</v>
      </c>
      <c r="Q103" s="161">
        <v>0</v>
      </c>
      <c r="R103" s="161">
        <v>0</v>
      </c>
      <c r="S103" s="161">
        <v>0</v>
      </c>
      <c r="T103" s="161">
        <v>0</v>
      </c>
      <c r="U103" s="161">
        <v>0</v>
      </c>
      <c r="V103" s="161">
        <v>0</v>
      </c>
      <c r="W103" s="161">
        <v>0</v>
      </c>
      <c r="X103" s="161">
        <v>0</v>
      </c>
      <c r="Y103" s="161">
        <v>0</v>
      </c>
      <c r="Z103" s="161">
        <v>0</v>
      </c>
      <c r="AA103" s="161">
        <v>0</v>
      </c>
      <c r="AB103" s="161">
        <v>0</v>
      </c>
      <c r="AC103" s="161">
        <v>0</v>
      </c>
      <c r="AD103" s="161">
        <v>0</v>
      </c>
      <c r="AE103" s="161">
        <v>0</v>
      </c>
      <c r="AF103" s="161">
        <v>0</v>
      </c>
      <c r="AG103" s="161">
        <v>0</v>
      </c>
      <c r="AH103" s="161">
        <v>0</v>
      </c>
      <c r="AI103" s="161">
        <v>0</v>
      </c>
      <c r="AJ103" s="161">
        <v>0</v>
      </c>
      <c r="AK103" s="161">
        <v>0</v>
      </c>
      <c r="AL103" s="161">
        <v>0</v>
      </c>
      <c r="AM103" s="161">
        <v>0</v>
      </c>
      <c r="AN103" s="161">
        <v>0</v>
      </c>
      <c r="AO103" s="151">
        <f>SUM(Q103:AN103)</f>
        <v>0</v>
      </c>
      <c r="AP103">
        <f t="shared" si="35"/>
        <v>0</v>
      </c>
      <c r="AQ103">
        <f t="shared" si="36"/>
        <v>0</v>
      </c>
    </row>
    <row r="104" spans="1:43" x14ac:dyDescent="0.3">
      <c r="A104" s="19">
        <f t="shared" si="29"/>
        <v>45752</v>
      </c>
      <c r="B104">
        <f t="shared" si="30"/>
        <v>6</v>
      </c>
      <c r="C104" s="16">
        <f>IFERROR(MATCH(A105,NERCHolidays!$B$2:$B$121,0),0)</f>
        <v>0</v>
      </c>
      <c r="D104">
        <f t="shared" si="27"/>
        <v>0</v>
      </c>
      <c r="E104" t="str">
        <f t="shared" si="21"/>
        <v>OP</v>
      </c>
      <c r="F104">
        <f t="shared" si="38"/>
        <v>5</v>
      </c>
      <c r="G104">
        <f t="shared" si="23"/>
        <v>1</v>
      </c>
      <c r="H104">
        <f t="shared" si="24"/>
        <v>0</v>
      </c>
      <c r="I104">
        <f t="shared" si="37"/>
        <v>2</v>
      </c>
      <c r="J104">
        <f t="shared" si="25"/>
        <v>0</v>
      </c>
      <c r="K104">
        <f t="shared" si="26"/>
        <v>6</v>
      </c>
      <c r="L104" s="179">
        <f>'Aztec Metered Load'!C108</f>
        <v>4.4279999999999999</v>
      </c>
      <c r="O104" s="148"/>
      <c r="P104" s="164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51">
        <f>SUM(Q104:AN104)</f>
        <v>0</v>
      </c>
      <c r="AP104">
        <f t="shared" si="35"/>
        <v>0</v>
      </c>
      <c r="AQ104">
        <f t="shared" si="36"/>
        <v>0</v>
      </c>
    </row>
    <row r="105" spans="1:43" x14ac:dyDescent="0.3">
      <c r="A105" s="19">
        <f t="shared" si="29"/>
        <v>45752</v>
      </c>
      <c r="B105">
        <f t="shared" si="30"/>
        <v>7</v>
      </c>
      <c r="C105" s="16">
        <f>IFERROR(MATCH(A106,NERCHolidays!$B$2:$B$121,0),0)</f>
        <v>0</v>
      </c>
      <c r="D105">
        <f t="shared" si="27"/>
        <v>0</v>
      </c>
      <c r="E105" t="str">
        <f t="shared" si="21"/>
        <v>OP</v>
      </c>
      <c r="F105">
        <f t="shared" si="38"/>
        <v>5</v>
      </c>
      <c r="G105">
        <f t="shared" si="23"/>
        <v>1</v>
      </c>
      <c r="H105">
        <f t="shared" si="24"/>
        <v>0</v>
      </c>
      <c r="I105">
        <f t="shared" si="37"/>
        <v>1</v>
      </c>
      <c r="J105">
        <f t="shared" si="25"/>
        <v>0</v>
      </c>
      <c r="K105">
        <f t="shared" si="26"/>
        <v>6</v>
      </c>
      <c r="L105" s="179">
        <f>'Aztec Metered Load'!C109</f>
        <v>4.4950000000000001</v>
      </c>
      <c r="P105" s="164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51">
        <f>SUM(AO74:AO104)</f>
        <v>0</v>
      </c>
      <c r="AP105" s="151">
        <f>SUM(AP74:AP104)</f>
        <v>0</v>
      </c>
      <c r="AQ105" s="23">
        <f>SUM(AQ74:AQ104)</f>
        <v>0</v>
      </c>
    </row>
    <row r="106" spans="1:43" x14ac:dyDescent="0.3">
      <c r="A106" s="19">
        <f t="shared" si="29"/>
        <v>45752</v>
      </c>
      <c r="B106">
        <f t="shared" si="30"/>
        <v>8</v>
      </c>
      <c r="C106" s="16">
        <f>IFERROR(MATCH(A107,NERCHolidays!$B$2:$B$121,0),0)</f>
        <v>0</v>
      </c>
      <c r="D106">
        <f t="shared" si="27"/>
        <v>1</v>
      </c>
      <c r="E106" t="str">
        <f t="shared" si="21"/>
        <v>PK</v>
      </c>
      <c r="F106">
        <f t="shared" si="38"/>
        <v>5</v>
      </c>
      <c r="G106">
        <f t="shared" si="23"/>
        <v>1</v>
      </c>
      <c r="H106">
        <f t="shared" si="24"/>
        <v>0</v>
      </c>
      <c r="I106">
        <f t="shared" si="37"/>
        <v>1</v>
      </c>
      <c r="J106">
        <f t="shared" si="25"/>
        <v>0</v>
      </c>
      <c r="K106">
        <f t="shared" si="26"/>
        <v>6</v>
      </c>
      <c r="L106" s="179">
        <f>'Aztec Metered Load'!C110</f>
        <v>4.6859999999999999</v>
      </c>
      <c r="O106" s="149" t="s">
        <v>57</v>
      </c>
      <c r="P106" s="164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51"/>
      <c r="AP106" s="151"/>
    </row>
    <row r="107" spans="1:43" x14ac:dyDescent="0.3">
      <c r="A107" s="19">
        <f t="shared" si="29"/>
        <v>45752</v>
      </c>
      <c r="B107">
        <f t="shared" si="30"/>
        <v>9</v>
      </c>
      <c r="C107" s="16">
        <f>IFERROR(MATCH(A108,NERCHolidays!$B$2:$B$121,0),0)</f>
        <v>0</v>
      </c>
      <c r="D107">
        <f t="shared" si="27"/>
        <v>1</v>
      </c>
      <c r="E107" t="str">
        <f t="shared" si="21"/>
        <v>PK</v>
      </c>
      <c r="F107">
        <f t="shared" si="38"/>
        <v>5</v>
      </c>
      <c r="G107">
        <f t="shared" si="23"/>
        <v>1</v>
      </c>
      <c r="H107">
        <f t="shared" si="24"/>
        <v>0</v>
      </c>
      <c r="I107">
        <f t="shared" si="37"/>
        <v>1</v>
      </c>
      <c r="J107">
        <f t="shared" si="25"/>
        <v>0</v>
      </c>
      <c r="K107">
        <f t="shared" si="26"/>
        <v>6</v>
      </c>
      <c r="L107" s="179">
        <f>'Aztec Metered Load'!C111</f>
        <v>4.6829999999999998</v>
      </c>
      <c r="O107" s="146"/>
      <c r="P107" s="154" t="s">
        <v>25</v>
      </c>
      <c r="Q107" s="130" t="s">
        <v>26</v>
      </c>
      <c r="R107" s="130" t="s">
        <v>27</v>
      </c>
      <c r="S107" s="130" t="s">
        <v>28</v>
      </c>
      <c r="T107" s="130" t="s">
        <v>29</v>
      </c>
      <c r="U107" s="130" t="s">
        <v>30</v>
      </c>
      <c r="V107" s="130" t="s">
        <v>31</v>
      </c>
      <c r="W107" s="130" t="s">
        <v>32</v>
      </c>
      <c r="X107" s="130" t="s">
        <v>33</v>
      </c>
      <c r="Y107" s="130" t="s">
        <v>34</v>
      </c>
      <c r="Z107" s="130" t="s">
        <v>35</v>
      </c>
      <c r="AA107" s="130" t="s">
        <v>36</v>
      </c>
      <c r="AB107" s="130" t="s">
        <v>37</v>
      </c>
      <c r="AC107" s="130" t="s">
        <v>38</v>
      </c>
      <c r="AD107" s="130" t="s">
        <v>39</v>
      </c>
      <c r="AE107" s="130" t="s">
        <v>40</v>
      </c>
      <c r="AF107" s="130" t="s">
        <v>41</v>
      </c>
      <c r="AG107" s="130" t="s">
        <v>42</v>
      </c>
      <c r="AH107" s="130" t="s">
        <v>43</v>
      </c>
      <c r="AI107" s="130" t="s">
        <v>44</v>
      </c>
      <c r="AJ107" s="130" t="s">
        <v>45</v>
      </c>
      <c r="AK107" s="130" t="s">
        <v>46</v>
      </c>
      <c r="AL107" s="130" t="s">
        <v>47</v>
      </c>
      <c r="AM107" s="130" t="s">
        <v>48</v>
      </c>
      <c r="AN107" s="150" t="s">
        <v>49</v>
      </c>
      <c r="AP107" s="25"/>
      <c r="AQ107" s="25"/>
    </row>
    <row r="108" spans="1:43" x14ac:dyDescent="0.3">
      <c r="A108" s="19">
        <f t="shared" si="29"/>
        <v>45752</v>
      </c>
      <c r="B108">
        <f t="shared" si="30"/>
        <v>10</v>
      </c>
      <c r="C108" s="16">
        <f>IFERROR(MATCH(A109,NERCHolidays!$B$2:$B$121,0),0)</f>
        <v>0</v>
      </c>
      <c r="D108">
        <f t="shared" si="27"/>
        <v>1</v>
      </c>
      <c r="E108" t="str">
        <f t="shared" si="21"/>
        <v>PK</v>
      </c>
      <c r="F108">
        <f t="shared" si="38"/>
        <v>5</v>
      </c>
      <c r="G108">
        <f t="shared" si="23"/>
        <v>0</v>
      </c>
      <c r="H108">
        <f t="shared" si="24"/>
        <v>0</v>
      </c>
      <c r="I108">
        <f t="shared" si="37"/>
        <v>1</v>
      </c>
      <c r="J108">
        <f t="shared" si="25"/>
        <v>0</v>
      </c>
      <c r="K108">
        <f t="shared" si="26"/>
        <v>5</v>
      </c>
      <c r="L108" s="179">
        <f>'Aztec Metered Load'!C112</f>
        <v>4.8230000000000004</v>
      </c>
      <c r="O108" s="148">
        <f t="shared" ref="O108:O137" si="41">O4</f>
        <v>45748</v>
      </c>
      <c r="P108" s="182">
        <v>1</v>
      </c>
      <c r="Q108" s="182">
        <v>1</v>
      </c>
      <c r="R108" s="182">
        <v>1</v>
      </c>
      <c r="S108" s="182">
        <v>1</v>
      </c>
      <c r="T108" s="182">
        <v>1</v>
      </c>
      <c r="U108" s="182">
        <v>1</v>
      </c>
      <c r="V108" s="182">
        <v>1</v>
      </c>
      <c r="W108" s="182">
        <v>1</v>
      </c>
      <c r="X108" s="182">
        <v>1</v>
      </c>
      <c r="Y108" s="182">
        <v>0</v>
      </c>
      <c r="Z108" s="182">
        <v>0</v>
      </c>
      <c r="AA108" s="182">
        <v>0</v>
      </c>
      <c r="AB108" s="182">
        <v>0</v>
      </c>
      <c r="AC108" s="182">
        <v>0</v>
      </c>
      <c r="AD108" s="182">
        <v>0</v>
      </c>
      <c r="AE108" s="182">
        <v>0</v>
      </c>
      <c r="AF108" s="182">
        <v>0</v>
      </c>
      <c r="AG108" s="182">
        <v>0</v>
      </c>
      <c r="AH108" s="182">
        <v>1</v>
      </c>
      <c r="AI108" s="182">
        <v>1</v>
      </c>
      <c r="AJ108" s="182">
        <v>1</v>
      </c>
      <c r="AK108" s="182">
        <v>1</v>
      </c>
      <c r="AL108" s="182">
        <v>1</v>
      </c>
      <c r="AM108" s="182">
        <v>0</v>
      </c>
      <c r="AN108" s="152">
        <f t="shared" ref="AN108:AN135" si="42">SUM(P108:AM108)</f>
        <v>14</v>
      </c>
      <c r="AP108" s="16"/>
      <c r="AQ108" s="16"/>
    </row>
    <row r="109" spans="1:43" x14ac:dyDescent="0.3">
      <c r="A109" s="19">
        <f t="shared" si="29"/>
        <v>45752</v>
      </c>
      <c r="B109">
        <f t="shared" si="30"/>
        <v>11</v>
      </c>
      <c r="C109" s="16">
        <f>IFERROR(MATCH(A110,NERCHolidays!$B$2:$B$121,0),0)</f>
        <v>0</v>
      </c>
      <c r="D109">
        <f t="shared" si="27"/>
        <v>1</v>
      </c>
      <c r="E109" t="str">
        <f t="shared" si="21"/>
        <v>PK</v>
      </c>
      <c r="F109">
        <f t="shared" si="38"/>
        <v>5</v>
      </c>
      <c r="G109">
        <f t="shared" si="23"/>
        <v>0</v>
      </c>
      <c r="H109">
        <f t="shared" si="24"/>
        <v>0</v>
      </c>
      <c r="I109">
        <f t="shared" si="37"/>
        <v>1</v>
      </c>
      <c r="J109">
        <f t="shared" si="25"/>
        <v>0</v>
      </c>
      <c r="K109">
        <f t="shared" si="26"/>
        <v>5</v>
      </c>
      <c r="L109" s="179">
        <f>'Aztec Metered Load'!C113</f>
        <v>4.7889999999999997</v>
      </c>
      <c r="O109" s="148">
        <f t="shared" si="41"/>
        <v>45749</v>
      </c>
      <c r="P109" s="182">
        <v>1</v>
      </c>
      <c r="Q109" s="182">
        <v>1</v>
      </c>
      <c r="R109" s="182">
        <v>1</v>
      </c>
      <c r="S109" s="182">
        <v>1</v>
      </c>
      <c r="T109" s="182">
        <v>1</v>
      </c>
      <c r="U109" s="182">
        <v>1</v>
      </c>
      <c r="V109" s="182">
        <v>1</v>
      </c>
      <c r="W109" s="182">
        <v>1</v>
      </c>
      <c r="X109" s="182">
        <v>1</v>
      </c>
      <c r="Y109" s="182">
        <v>0</v>
      </c>
      <c r="Z109" s="182">
        <v>0</v>
      </c>
      <c r="AA109" s="182">
        <v>0</v>
      </c>
      <c r="AB109" s="182">
        <v>0</v>
      </c>
      <c r="AC109" s="182">
        <v>0</v>
      </c>
      <c r="AD109" s="182">
        <v>0</v>
      </c>
      <c r="AE109" s="182">
        <v>0</v>
      </c>
      <c r="AF109" s="182">
        <v>0</v>
      </c>
      <c r="AG109" s="182">
        <v>0</v>
      </c>
      <c r="AH109" s="182">
        <v>1</v>
      </c>
      <c r="AI109" s="182">
        <v>1</v>
      </c>
      <c r="AJ109" s="182">
        <v>1</v>
      </c>
      <c r="AK109" s="182">
        <v>1</v>
      </c>
      <c r="AL109" s="182">
        <v>1</v>
      </c>
      <c r="AM109" s="182">
        <v>0</v>
      </c>
      <c r="AN109" s="152">
        <f t="shared" si="42"/>
        <v>14</v>
      </c>
      <c r="AP109" s="25"/>
      <c r="AQ109" s="25"/>
    </row>
    <row r="110" spans="1:43" x14ac:dyDescent="0.3">
      <c r="A110" s="19">
        <f t="shared" si="29"/>
        <v>45752</v>
      </c>
      <c r="B110">
        <f t="shared" si="30"/>
        <v>12</v>
      </c>
      <c r="C110" s="16">
        <f>IFERROR(MATCH(A111,NERCHolidays!$B$2:$B$121,0),0)</f>
        <v>0</v>
      </c>
      <c r="D110">
        <f t="shared" si="27"/>
        <v>1</v>
      </c>
      <c r="E110" t="str">
        <f t="shared" si="21"/>
        <v>PK</v>
      </c>
      <c r="F110">
        <f t="shared" si="38"/>
        <v>5</v>
      </c>
      <c r="G110">
        <f t="shared" si="23"/>
        <v>0</v>
      </c>
      <c r="H110">
        <f t="shared" si="24"/>
        <v>0</v>
      </c>
      <c r="I110">
        <f t="shared" si="37"/>
        <v>1</v>
      </c>
      <c r="J110">
        <f t="shared" si="25"/>
        <v>0</v>
      </c>
      <c r="K110">
        <f t="shared" si="26"/>
        <v>5</v>
      </c>
      <c r="L110" s="179">
        <f>'Aztec Metered Load'!C114</f>
        <v>4.5209999999999999</v>
      </c>
      <c r="O110" s="148">
        <f t="shared" si="41"/>
        <v>45750</v>
      </c>
      <c r="P110" s="182">
        <v>1</v>
      </c>
      <c r="Q110" s="182">
        <v>1</v>
      </c>
      <c r="R110" s="182">
        <v>1</v>
      </c>
      <c r="S110" s="182">
        <v>1</v>
      </c>
      <c r="T110" s="182">
        <v>1</v>
      </c>
      <c r="U110" s="182">
        <v>1</v>
      </c>
      <c r="V110" s="182">
        <v>1</v>
      </c>
      <c r="W110" s="182">
        <v>1</v>
      </c>
      <c r="X110" s="182">
        <v>1</v>
      </c>
      <c r="Y110" s="182">
        <v>0</v>
      </c>
      <c r="Z110" s="182">
        <v>0</v>
      </c>
      <c r="AA110" s="182">
        <v>0</v>
      </c>
      <c r="AB110" s="182">
        <v>0</v>
      </c>
      <c r="AC110" s="182">
        <v>0</v>
      </c>
      <c r="AD110" s="182">
        <v>0</v>
      </c>
      <c r="AE110" s="182">
        <v>0</v>
      </c>
      <c r="AF110" s="182">
        <v>0</v>
      </c>
      <c r="AG110" s="182">
        <v>0</v>
      </c>
      <c r="AH110" s="182">
        <v>1</v>
      </c>
      <c r="AI110" s="182">
        <v>1</v>
      </c>
      <c r="AJ110" s="182">
        <v>1</v>
      </c>
      <c r="AK110" s="182">
        <v>1</v>
      </c>
      <c r="AL110" s="182">
        <v>1</v>
      </c>
      <c r="AM110" s="182">
        <v>0</v>
      </c>
      <c r="AN110" s="152">
        <f t="shared" si="42"/>
        <v>14</v>
      </c>
      <c r="AP110" s="162"/>
      <c r="AQ110" s="162"/>
    </row>
    <row r="111" spans="1:43" x14ac:dyDescent="0.3">
      <c r="A111" s="19">
        <f t="shared" si="29"/>
        <v>45752</v>
      </c>
      <c r="B111">
        <f t="shared" si="30"/>
        <v>13</v>
      </c>
      <c r="C111" s="16">
        <f>IFERROR(MATCH(A112,NERCHolidays!$B$2:$B$121,0),0)</f>
        <v>0</v>
      </c>
      <c r="D111">
        <f t="shared" si="27"/>
        <v>1</v>
      </c>
      <c r="E111" t="str">
        <f t="shared" si="21"/>
        <v>PK</v>
      </c>
      <c r="F111">
        <f t="shared" si="38"/>
        <v>5</v>
      </c>
      <c r="G111">
        <f t="shared" si="23"/>
        <v>0</v>
      </c>
      <c r="H111">
        <f t="shared" si="24"/>
        <v>0</v>
      </c>
      <c r="I111">
        <f t="shared" si="37"/>
        <v>1</v>
      </c>
      <c r="J111">
        <f t="shared" si="25"/>
        <v>0</v>
      </c>
      <c r="K111">
        <f t="shared" si="26"/>
        <v>5</v>
      </c>
      <c r="L111" s="179">
        <f>'Aztec Metered Load'!C115</f>
        <v>3.9950000000000001</v>
      </c>
      <c r="O111" s="148">
        <f t="shared" si="41"/>
        <v>45751</v>
      </c>
      <c r="P111" s="182">
        <v>1</v>
      </c>
      <c r="Q111" s="182">
        <v>1</v>
      </c>
      <c r="R111" s="182">
        <v>1</v>
      </c>
      <c r="S111" s="182">
        <v>1</v>
      </c>
      <c r="T111" s="182">
        <v>1</v>
      </c>
      <c r="U111" s="182">
        <v>1</v>
      </c>
      <c r="V111" s="182">
        <v>1</v>
      </c>
      <c r="W111" s="182">
        <v>1</v>
      </c>
      <c r="X111" s="182">
        <v>1</v>
      </c>
      <c r="Y111" s="182">
        <v>0</v>
      </c>
      <c r="Z111" s="182">
        <v>0</v>
      </c>
      <c r="AA111" s="182">
        <v>0</v>
      </c>
      <c r="AB111" s="182">
        <v>0</v>
      </c>
      <c r="AC111" s="182">
        <v>0</v>
      </c>
      <c r="AD111" s="182">
        <v>0</v>
      </c>
      <c r="AE111" s="182">
        <v>0</v>
      </c>
      <c r="AF111" s="182">
        <v>0</v>
      </c>
      <c r="AG111" s="182">
        <v>0</v>
      </c>
      <c r="AH111" s="182">
        <v>1</v>
      </c>
      <c r="AI111" s="182">
        <v>1</v>
      </c>
      <c r="AJ111" s="182">
        <v>1</v>
      </c>
      <c r="AK111" s="182">
        <v>1</v>
      </c>
      <c r="AL111" s="182">
        <v>1</v>
      </c>
      <c r="AM111" s="182">
        <v>0</v>
      </c>
      <c r="AN111" s="152">
        <f t="shared" si="42"/>
        <v>14</v>
      </c>
    </row>
    <row r="112" spans="1:43" x14ac:dyDescent="0.3">
      <c r="A112" s="19">
        <f t="shared" si="29"/>
        <v>45752</v>
      </c>
      <c r="B112">
        <f t="shared" si="30"/>
        <v>14</v>
      </c>
      <c r="C112" s="16">
        <f>IFERROR(MATCH(A113,NERCHolidays!$B$2:$B$121,0),0)</f>
        <v>0</v>
      </c>
      <c r="D112">
        <f t="shared" si="27"/>
        <v>1</v>
      </c>
      <c r="E112" t="str">
        <f t="shared" si="21"/>
        <v>PK</v>
      </c>
      <c r="F112">
        <f t="shared" si="38"/>
        <v>5</v>
      </c>
      <c r="G112">
        <f t="shared" si="23"/>
        <v>0</v>
      </c>
      <c r="H112">
        <f t="shared" si="24"/>
        <v>0</v>
      </c>
      <c r="I112">
        <f t="shared" si="37"/>
        <v>1</v>
      </c>
      <c r="J112">
        <f t="shared" si="25"/>
        <v>0</v>
      </c>
      <c r="K112">
        <f t="shared" si="26"/>
        <v>5</v>
      </c>
      <c r="L112" s="179">
        <f>'Aztec Metered Load'!C116</f>
        <v>3.6960000000000002</v>
      </c>
      <c r="O112" s="148">
        <f t="shared" si="41"/>
        <v>45752</v>
      </c>
      <c r="P112" s="182">
        <v>1</v>
      </c>
      <c r="Q112" s="182">
        <v>1</v>
      </c>
      <c r="R112" s="182">
        <v>1</v>
      </c>
      <c r="S112" s="182">
        <v>1</v>
      </c>
      <c r="T112" s="182">
        <v>1</v>
      </c>
      <c r="U112" s="182">
        <v>1</v>
      </c>
      <c r="V112" s="182">
        <v>1</v>
      </c>
      <c r="W112" s="182">
        <v>1</v>
      </c>
      <c r="X112" s="182">
        <v>1</v>
      </c>
      <c r="Y112" s="182">
        <v>0</v>
      </c>
      <c r="Z112" s="182">
        <v>0</v>
      </c>
      <c r="AA112" s="182">
        <v>0</v>
      </c>
      <c r="AB112" s="182">
        <v>0</v>
      </c>
      <c r="AC112" s="182">
        <v>0</v>
      </c>
      <c r="AD112" s="182">
        <v>0</v>
      </c>
      <c r="AE112" s="182">
        <v>0</v>
      </c>
      <c r="AF112" s="182">
        <v>0</v>
      </c>
      <c r="AG112" s="182">
        <v>0</v>
      </c>
      <c r="AH112" s="182">
        <v>1</v>
      </c>
      <c r="AI112" s="182">
        <v>1</v>
      </c>
      <c r="AJ112" s="182">
        <v>1</v>
      </c>
      <c r="AK112" s="182">
        <v>1</v>
      </c>
      <c r="AL112" s="182">
        <v>1</v>
      </c>
      <c r="AM112" s="182">
        <v>0</v>
      </c>
      <c r="AN112" s="152">
        <f t="shared" si="42"/>
        <v>14</v>
      </c>
    </row>
    <row r="113" spans="1:42" x14ac:dyDescent="0.3">
      <c r="A113" s="19">
        <f t="shared" si="29"/>
        <v>45752</v>
      </c>
      <c r="B113">
        <f t="shared" si="30"/>
        <v>15</v>
      </c>
      <c r="C113" s="16">
        <f>IFERROR(MATCH(A114,NERCHolidays!$B$2:$B$121,0),0)</f>
        <v>0</v>
      </c>
      <c r="D113">
        <f t="shared" si="27"/>
        <v>1</v>
      </c>
      <c r="E113" t="str">
        <f t="shared" si="21"/>
        <v>PK</v>
      </c>
      <c r="F113">
        <f t="shared" si="38"/>
        <v>5</v>
      </c>
      <c r="G113">
        <f t="shared" si="23"/>
        <v>0</v>
      </c>
      <c r="H113">
        <f t="shared" si="24"/>
        <v>0</v>
      </c>
      <c r="I113">
        <f t="shared" si="37"/>
        <v>1</v>
      </c>
      <c r="J113">
        <f t="shared" si="25"/>
        <v>0</v>
      </c>
      <c r="K113">
        <f t="shared" si="26"/>
        <v>5</v>
      </c>
      <c r="L113" s="179">
        <f>'Aztec Metered Load'!C117</f>
        <v>3.4449999999999998</v>
      </c>
      <c r="O113" s="148">
        <f t="shared" si="41"/>
        <v>45753</v>
      </c>
      <c r="P113" s="182">
        <v>1</v>
      </c>
      <c r="Q113" s="182">
        <v>1</v>
      </c>
      <c r="R113" s="182">
        <v>1</v>
      </c>
      <c r="S113" s="182">
        <v>1</v>
      </c>
      <c r="T113" s="182">
        <v>1</v>
      </c>
      <c r="U113" s="182">
        <v>1</v>
      </c>
      <c r="V113" s="182">
        <v>1</v>
      </c>
      <c r="W113" s="182">
        <v>1</v>
      </c>
      <c r="X113" s="182">
        <v>1</v>
      </c>
      <c r="Y113" s="182">
        <v>0</v>
      </c>
      <c r="Z113" s="182">
        <v>0</v>
      </c>
      <c r="AA113" s="182">
        <v>0</v>
      </c>
      <c r="AB113" s="182">
        <v>0</v>
      </c>
      <c r="AC113" s="182">
        <v>0</v>
      </c>
      <c r="AD113" s="182">
        <v>0</v>
      </c>
      <c r="AE113" s="182">
        <v>0</v>
      </c>
      <c r="AF113" s="182">
        <v>0</v>
      </c>
      <c r="AG113" s="182">
        <v>0</v>
      </c>
      <c r="AH113" s="182">
        <v>1</v>
      </c>
      <c r="AI113" s="182">
        <v>1</v>
      </c>
      <c r="AJ113" s="182">
        <v>1</v>
      </c>
      <c r="AK113" s="182">
        <v>1</v>
      </c>
      <c r="AL113" s="182">
        <v>1</v>
      </c>
      <c r="AM113" s="182">
        <v>0</v>
      </c>
      <c r="AN113" s="152">
        <f t="shared" si="42"/>
        <v>14</v>
      </c>
    </row>
    <row r="114" spans="1:42" x14ac:dyDescent="0.3">
      <c r="A114" s="19">
        <f t="shared" si="29"/>
        <v>45752</v>
      </c>
      <c r="B114">
        <f t="shared" si="30"/>
        <v>16</v>
      </c>
      <c r="C114" s="16">
        <f>IFERROR(MATCH(A115,NERCHolidays!$B$2:$B$121,0),0)</f>
        <v>0</v>
      </c>
      <c r="D114">
        <f t="shared" si="27"/>
        <v>1</v>
      </c>
      <c r="E114" t="str">
        <f t="shared" si="21"/>
        <v>PK</v>
      </c>
      <c r="F114">
        <f t="shared" si="38"/>
        <v>5</v>
      </c>
      <c r="G114">
        <f t="shared" si="23"/>
        <v>0</v>
      </c>
      <c r="H114">
        <f t="shared" si="24"/>
        <v>0</v>
      </c>
      <c r="I114">
        <f t="shared" si="37"/>
        <v>1</v>
      </c>
      <c r="J114">
        <f t="shared" si="25"/>
        <v>0</v>
      </c>
      <c r="K114">
        <f t="shared" si="26"/>
        <v>5</v>
      </c>
      <c r="L114" s="179">
        <f>'Aztec Metered Load'!C118</f>
        <v>3.4860000000000002</v>
      </c>
      <c r="O114" s="148">
        <f t="shared" si="41"/>
        <v>45754</v>
      </c>
      <c r="P114" s="182">
        <v>1</v>
      </c>
      <c r="Q114" s="182">
        <v>1</v>
      </c>
      <c r="R114" s="182">
        <v>1</v>
      </c>
      <c r="S114" s="182">
        <v>1</v>
      </c>
      <c r="T114" s="182">
        <v>1</v>
      </c>
      <c r="U114" s="182">
        <v>1</v>
      </c>
      <c r="V114" s="182">
        <v>1</v>
      </c>
      <c r="W114" s="182">
        <v>1</v>
      </c>
      <c r="X114" s="182">
        <v>1</v>
      </c>
      <c r="Y114" s="182">
        <v>0</v>
      </c>
      <c r="Z114" s="182">
        <v>0</v>
      </c>
      <c r="AA114" s="182">
        <v>0</v>
      </c>
      <c r="AB114" s="182">
        <v>0</v>
      </c>
      <c r="AC114" s="182">
        <v>0</v>
      </c>
      <c r="AD114" s="182">
        <v>0</v>
      </c>
      <c r="AE114" s="182">
        <v>0</v>
      </c>
      <c r="AF114" s="182">
        <v>0</v>
      </c>
      <c r="AG114" s="182">
        <v>0</v>
      </c>
      <c r="AH114" s="182">
        <v>1</v>
      </c>
      <c r="AI114" s="182">
        <v>1</v>
      </c>
      <c r="AJ114" s="182">
        <v>1</v>
      </c>
      <c r="AK114" s="182">
        <v>1</v>
      </c>
      <c r="AL114" s="182">
        <v>1</v>
      </c>
      <c r="AM114" s="182">
        <v>0</v>
      </c>
      <c r="AN114" s="152">
        <f t="shared" si="42"/>
        <v>14</v>
      </c>
    </row>
    <row r="115" spans="1:42" x14ac:dyDescent="0.3">
      <c r="A115" s="19">
        <f t="shared" si="29"/>
        <v>45752</v>
      </c>
      <c r="B115">
        <f t="shared" si="30"/>
        <v>17</v>
      </c>
      <c r="C115" s="16">
        <f>IFERROR(MATCH(A116,NERCHolidays!$B$2:$B$121,0),0)</f>
        <v>0</v>
      </c>
      <c r="D115">
        <f t="shared" si="27"/>
        <v>1</v>
      </c>
      <c r="E115" t="str">
        <f t="shared" si="21"/>
        <v>PK</v>
      </c>
      <c r="F115">
        <f t="shared" si="38"/>
        <v>5</v>
      </c>
      <c r="G115">
        <f t="shared" si="23"/>
        <v>0</v>
      </c>
      <c r="H115">
        <f t="shared" si="24"/>
        <v>0</v>
      </c>
      <c r="I115">
        <f t="shared" si="37"/>
        <v>1</v>
      </c>
      <c r="J115">
        <f t="shared" si="25"/>
        <v>0</v>
      </c>
      <c r="K115">
        <f t="shared" si="26"/>
        <v>5</v>
      </c>
      <c r="L115" s="179">
        <f>'Aztec Metered Load'!C119</f>
        <v>3.6389999999999998</v>
      </c>
      <c r="O115" s="148">
        <f t="shared" si="41"/>
        <v>45755</v>
      </c>
      <c r="P115" s="182">
        <v>1</v>
      </c>
      <c r="Q115" s="182">
        <v>1</v>
      </c>
      <c r="R115" s="182">
        <v>1</v>
      </c>
      <c r="S115" s="182">
        <v>1</v>
      </c>
      <c r="T115" s="182">
        <v>1</v>
      </c>
      <c r="U115" s="182">
        <v>1</v>
      </c>
      <c r="V115" s="182">
        <v>1</v>
      </c>
      <c r="W115" s="182">
        <v>1</v>
      </c>
      <c r="X115" s="182">
        <v>1</v>
      </c>
      <c r="Y115" s="182">
        <v>0</v>
      </c>
      <c r="Z115" s="182">
        <v>0</v>
      </c>
      <c r="AA115" s="182">
        <v>0</v>
      </c>
      <c r="AB115" s="182">
        <v>0</v>
      </c>
      <c r="AC115" s="182">
        <v>0</v>
      </c>
      <c r="AD115" s="182">
        <v>0</v>
      </c>
      <c r="AE115" s="182">
        <v>0</v>
      </c>
      <c r="AF115" s="182">
        <v>0</v>
      </c>
      <c r="AG115" s="182">
        <v>0</v>
      </c>
      <c r="AH115" s="182">
        <v>1</v>
      </c>
      <c r="AI115" s="182">
        <v>1</v>
      </c>
      <c r="AJ115" s="182">
        <v>1</v>
      </c>
      <c r="AK115" s="182">
        <v>1</v>
      </c>
      <c r="AL115" s="182">
        <v>1</v>
      </c>
      <c r="AM115" s="182">
        <v>0</v>
      </c>
      <c r="AN115" s="152">
        <f t="shared" si="42"/>
        <v>14</v>
      </c>
    </row>
    <row r="116" spans="1:42" x14ac:dyDescent="0.3">
      <c r="A116" s="19">
        <f t="shared" si="29"/>
        <v>45752</v>
      </c>
      <c r="B116">
        <f t="shared" si="30"/>
        <v>18</v>
      </c>
      <c r="C116" s="16">
        <f>IFERROR(MATCH(A117,NERCHolidays!$B$2:$B$121,0),0)</f>
        <v>0</v>
      </c>
      <c r="D116">
        <f t="shared" si="27"/>
        <v>1</v>
      </c>
      <c r="E116" t="str">
        <f t="shared" si="21"/>
        <v>PK</v>
      </c>
      <c r="F116">
        <f t="shared" si="38"/>
        <v>5</v>
      </c>
      <c r="G116">
        <f t="shared" si="23"/>
        <v>0</v>
      </c>
      <c r="H116">
        <f t="shared" si="24"/>
        <v>0</v>
      </c>
      <c r="I116">
        <f t="shared" si="37"/>
        <v>1</v>
      </c>
      <c r="J116">
        <f t="shared" si="25"/>
        <v>0</v>
      </c>
      <c r="K116">
        <f t="shared" si="26"/>
        <v>5</v>
      </c>
      <c r="L116" s="179">
        <f>'Aztec Metered Load'!C120</f>
        <v>4.0030000000000001</v>
      </c>
      <c r="O116" s="148">
        <f t="shared" si="41"/>
        <v>45756</v>
      </c>
      <c r="P116" s="182">
        <v>1</v>
      </c>
      <c r="Q116" s="182">
        <v>1</v>
      </c>
      <c r="R116" s="182">
        <v>1</v>
      </c>
      <c r="S116" s="182">
        <v>1</v>
      </c>
      <c r="T116" s="182">
        <v>1</v>
      </c>
      <c r="U116" s="182">
        <v>1</v>
      </c>
      <c r="V116" s="182">
        <v>1</v>
      </c>
      <c r="W116" s="182">
        <v>1</v>
      </c>
      <c r="X116" s="182">
        <v>1</v>
      </c>
      <c r="Y116" s="182">
        <v>0</v>
      </c>
      <c r="Z116" s="182">
        <v>0</v>
      </c>
      <c r="AA116" s="182">
        <v>0</v>
      </c>
      <c r="AB116" s="182">
        <v>0</v>
      </c>
      <c r="AC116" s="182">
        <v>0</v>
      </c>
      <c r="AD116" s="182">
        <v>0</v>
      </c>
      <c r="AE116" s="182">
        <v>0</v>
      </c>
      <c r="AF116" s="182">
        <v>0</v>
      </c>
      <c r="AG116" s="182">
        <v>0</v>
      </c>
      <c r="AH116" s="182">
        <v>1</v>
      </c>
      <c r="AI116" s="182">
        <v>1</v>
      </c>
      <c r="AJ116" s="182">
        <v>1</v>
      </c>
      <c r="AK116" s="182">
        <v>1</v>
      </c>
      <c r="AL116" s="182">
        <v>1</v>
      </c>
      <c r="AM116" s="182">
        <v>0</v>
      </c>
      <c r="AN116" s="152">
        <f t="shared" si="42"/>
        <v>14</v>
      </c>
    </row>
    <row r="117" spans="1:42" x14ac:dyDescent="0.3">
      <c r="A117" s="19">
        <f t="shared" si="29"/>
        <v>45752</v>
      </c>
      <c r="B117">
        <f t="shared" si="30"/>
        <v>19</v>
      </c>
      <c r="C117" s="16">
        <f>IFERROR(MATCH(A118,NERCHolidays!$B$2:$B$121,0),0)</f>
        <v>0</v>
      </c>
      <c r="D117">
        <f t="shared" si="27"/>
        <v>1</v>
      </c>
      <c r="E117" t="str">
        <f t="shared" si="21"/>
        <v>PK</v>
      </c>
      <c r="F117">
        <f t="shared" si="38"/>
        <v>5</v>
      </c>
      <c r="G117">
        <f t="shared" si="23"/>
        <v>1</v>
      </c>
      <c r="H117">
        <f t="shared" si="24"/>
        <v>0</v>
      </c>
      <c r="I117">
        <f t="shared" si="37"/>
        <v>1</v>
      </c>
      <c r="J117">
        <f t="shared" si="25"/>
        <v>0</v>
      </c>
      <c r="K117">
        <f t="shared" si="26"/>
        <v>6</v>
      </c>
      <c r="L117" s="179">
        <f>'Aztec Metered Load'!C121</f>
        <v>4.2919999999999998</v>
      </c>
      <c r="O117" s="148">
        <f t="shared" si="41"/>
        <v>45757</v>
      </c>
      <c r="P117" s="182">
        <v>1</v>
      </c>
      <c r="Q117" s="182">
        <v>1</v>
      </c>
      <c r="R117" s="182">
        <v>1</v>
      </c>
      <c r="S117" s="182">
        <v>1</v>
      </c>
      <c r="T117" s="182">
        <v>1</v>
      </c>
      <c r="U117" s="182">
        <v>1</v>
      </c>
      <c r="V117" s="182">
        <v>1</v>
      </c>
      <c r="W117" s="182">
        <v>1</v>
      </c>
      <c r="X117" s="182">
        <v>1</v>
      </c>
      <c r="Y117" s="182">
        <v>0</v>
      </c>
      <c r="Z117" s="182">
        <v>0</v>
      </c>
      <c r="AA117" s="182">
        <v>0</v>
      </c>
      <c r="AB117" s="182">
        <v>0</v>
      </c>
      <c r="AC117" s="182">
        <v>0</v>
      </c>
      <c r="AD117" s="182">
        <v>0</v>
      </c>
      <c r="AE117" s="182">
        <v>0</v>
      </c>
      <c r="AF117" s="182">
        <v>0</v>
      </c>
      <c r="AG117" s="182">
        <v>0</v>
      </c>
      <c r="AH117" s="182">
        <v>1</v>
      </c>
      <c r="AI117" s="182">
        <v>1</v>
      </c>
      <c r="AJ117" s="182">
        <v>1</v>
      </c>
      <c r="AK117" s="182">
        <v>1</v>
      </c>
      <c r="AL117" s="182">
        <v>1</v>
      </c>
      <c r="AM117" s="182">
        <v>0</v>
      </c>
      <c r="AN117" s="152">
        <f t="shared" si="42"/>
        <v>14</v>
      </c>
    </row>
    <row r="118" spans="1:42" x14ac:dyDescent="0.3">
      <c r="A118" s="19">
        <f t="shared" si="29"/>
        <v>45752</v>
      </c>
      <c r="B118">
        <f t="shared" si="30"/>
        <v>20</v>
      </c>
      <c r="C118" s="16">
        <f>IFERROR(MATCH(A119,NERCHolidays!$B$2:$B$121,0),0)</f>
        <v>0</v>
      </c>
      <c r="D118">
        <f t="shared" si="27"/>
        <v>1</v>
      </c>
      <c r="E118" t="str">
        <f t="shared" si="21"/>
        <v>PK</v>
      </c>
      <c r="F118">
        <f t="shared" si="38"/>
        <v>5</v>
      </c>
      <c r="G118">
        <f t="shared" si="23"/>
        <v>1</v>
      </c>
      <c r="H118">
        <f t="shared" si="24"/>
        <v>0</v>
      </c>
      <c r="I118">
        <f t="shared" si="37"/>
        <v>1</v>
      </c>
      <c r="J118">
        <f t="shared" si="25"/>
        <v>0</v>
      </c>
      <c r="K118">
        <f t="shared" si="26"/>
        <v>6</v>
      </c>
      <c r="L118" s="179">
        <f>'Aztec Metered Load'!C122</f>
        <v>4.4960000000000004</v>
      </c>
      <c r="O118" s="148">
        <f t="shared" si="41"/>
        <v>45758</v>
      </c>
      <c r="P118" s="182">
        <v>1</v>
      </c>
      <c r="Q118" s="182">
        <v>1</v>
      </c>
      <c r="R118" s="182">
        <v>1</v>
      </c>
      <c r="S118" s="182">
        <v>1</v>
      </c>
      <c r="T118" s="182">
        <v>1</v>
      </c>
      <c r="U118" s="182">
        <v>1</v>
      </c>
      <c r="V118" s="182">
        <v>1</v>
      </c>
      <c r="W118" s="182">
        <v>1</v>
      </c>
      <c r="X118" s="182">
        <v>1</v>
      </c>
      <c r="Y118" s="182">
        <v>0</v>
      </c>
      <c r="Z118" s="182">
        <v>0</v>
      </c>
      <c r="AA118" s="182">
        <v>0</v>
      </c>
      <c r="AB118" s="182">
        <v>0</v>
      </c>
      <c r="AC118" s="182">
        <v>0</v>
      </c>
      <c r="AD118" s="182">
        <v>0</v>
      </c>
      <c r="AE118" s="182">
        <v>0</v>
      </c>
      <c r="AF118" s="182">
        <v>0</v>
      </c>
      <c r="AG118" s="182">
        <v>0</v>
      </c>
      <c r="AH118" s="182">
        <v>1</v>
      </c>
      <c r="AI118" s="182">
        <v>1</v>
      </c>
      <c r="AJ118" s="182">
        <v>1</v>
      </c>
      <c r="AK118" s="182">
        <v>1</v>
      </c>
      <c r="AL118" s="182">
        <v>1</v>
      </c>
      <c r="AM118" s="182">
        <v>0</v>
      </c>
      <c r="AN118" s="152">
        <f t="shared" si="42"/>
        <v>14</v>
      </c>
    </row>
    <row r="119" spans="1:42" x14ac:dyDescent="0.3">
      <c r="A119" s="19">
        <f t="shared" si="29"/>
        <v>45752</v>
      </c>
      <c r="B119">
        <f t="shared" si="30"/>
        <v>21</v>
      </c>
      <c r="C119" s="16">
        <f>IFERROR(MATCH(A120,NERCHolidays!$B$2:$B$121,0),0)</f>
        <v>0</v>
      </c>
      <c r="D119">
        <f t="shared" si="27"/>
        <v>1</v>
      </c>
      <c r="E119" t="str">
        <f t="shared" si="21"/>
        <v>PK</v>
      </c>
      <c r="F119">
        <f t="shared" si="38"/>
        <v>5</v>
      </c>
      <c r="G119">
        <f t="shared" si="23"/>
        <v>1</v>
      </c>
      <c r="H119">
        <f t="shared" si="24"/>
        <v>0</v>
      </c>
      <c r="I119">
        <f t="shared" si="37"/>
        <v>1</v>
      </c>
      <c r="J119">
        <f t="shared" si="25"/>
        <v>0</v>
      </c>
      <c r="K119">
        <f t="shared" si="26"/>
        <v>6</v>
      </c>
      <c r="L119" s="179">
        <f>'Aztec Metered Load'!C123</f>
        <v>4.4109999999999996</v>
      </c>
      <c r="O119" s="148">
        <f t="shared" si="41"/>
        <v>45759</v>
      </c>
      <c r="P119" s="182">
        <v>1</v>
      </c>
      <c r="Q119" s="182">
        <v>1</v>
      </c>
      <c r="R119" s="182">
        <v>1</v>
      </c>
      <c r="S119" s="182">
        <v>1</v>
      </c>
      <c r="T119" s="182">
        <v>1</v>
      </c>
      <c r="U119" s="182">
        <v>1</v>
      </c>
      <c r="V119" s="182">
        <v>1</v>
      </c>
      <c r="W119" s="182">
        <v>1</v>
      </c>
      <c r="X119" s="182">
        <v>1</v>
      </c>
      <c r="Y119" s="182">
        <v>0</v>
      </c>
      <c r="Z119" s="182">
        <v>0</v>
      </c>
      <c r="AA119" s="182">
        <v>0</v>
      </c>
      <c r="AB119" s="182">
        <v>0</v>
      </c>
      <c r="AC119" s="182">
        <v>0</v>
      </c>
      <c r="AD119" s="182">
        <v>0</v>
      </c>
      <c r="AE119" s="182">
        <v>0</v>
      </c>
      <c r="AF119" s="182">
        <v>0</v>
      </c>
      <c r="AG119" s="182">
        <v>0</v>
      </c>
      <c r="AH119" s="182">
        <v>1</v>
      </c>
      <c r="AI119" s="182">
        <v>1</v>
      </c>
      <c r="AJ119" s="182">
        <v>1</v>
      </c>
      <c r="AK119" s="182">
        <v>1</v>
      </c>
      <c r="AL119" s="182">
        <v>1</v>
      </c>
      <c r="AM119" s="182">
        <v>0</v>
      </c>
      <c r="AN119" s="152">
        <f t="shared" si="42"/>
        <v>14</v>
      </c>
    </row>
    <row r="120" spans="1:42" x14ac:dyDescent="0.3">
      <c r="A120" s="19">
        <f t="shared" si="29"/>
        <v>45752</v>
      </c>
      <c r="B120">
        <f t="shared" si="30"/>
        <v>22</v>
      </c>
      <c r="C120" s="16">
        <f>IFERROR(MATCH(A121,NERCHolidays!$B$2:$B$121,0),0)</f>
        <v>0</v>
      </c>
      <c r="D120">
        <f t="shared" si="27"/>
        <v>1</v>
      </c>
      <c r="E120" t="str">
        <f t="shared" si="21"/>
        <v>PK</v>
      </c>
      <c r="F120">
        <f t="shared" si="38"/>
        <v>5</v>
      </c>
      <c r="G120">
        <f t="shared" si="23"/>
        <v>1</v>
      </c>
      <c r="H120">
        <f t="shared" si="24"/>
        <v>0</v>
      </c>
      <c r="I120">
        <f t="shared" si="37"/>
        <v>1</v>
      </c>
      <c r="J120">
        <f t="shared" si="25"/>
        <v>0</v>
      </c>
      <c r="K120">
        <f t="shared" si="26"/>
        <v>6</v>
      </c>
      <c r="L120" s="179">
        <f>'Aztec Metered Load'!C124</f>
        <v>4.2030000000000003</v>
      </c>
      <c r="O120" s="148">
        <f t="shared" si="41"/>
        <v>45760</v>
      </c>
      <c r="P120" s="182">
        <v>1</v>
      </c>
      <c r="Q120" s="182">
        <v>1</v>
      </c>
      <c r="R120" s="182">
        <v>1</v>
      </c>
      <c r="S120" s="182">
        <v>1</v>
      </c>
      <c r="T120" s="182">
        <v>1</v>
      </c>
      <c r="U120" s="182">
        <v>1</v>
      </c>
      <c r="V120" s="182">
        <v>1</v>
      </c>
      <c r="W120" s="182">
        <v>1</v>
      </c>
      <c r="X120" s="182">
        <v>1</v>
      </c>
      <c r="Y120" s="182">
        <v>0</v>
      </c>
      <c r="Z120" s="182">
        <v>0</v>
      </c>
      <c r="AA120" s="182">
        <v>0</v>
      </c>
      <c r="AB120" s="182">
        <v>0</v>
      </c>
      <c r="AC120" s="182">
        <v>0</v>
      </c>
      <c r="AD120" s="182">
        <v>0</v>
      </c>
      <c r="AE120" s="182">
        <v>0</v>
      </c>
      <c r="AF120" s="182">
        <v>0</v>
      </c>
      <c r="AG120" s="182">
        <v>0</v>
      </c>
      <c r="AH120" s="182">
        <v>1</v>
      </c>
      <c r="AI120" s="182">
        <v>1</v>
      </c>
      <c r="AJ120" s="182">
        <v>1</v>
      </c>
      <c r="AK120" s="182">
        <v>1</v>
      </c>
      <c r="AL120" s="182">
        <v>1</v>
      </c>
      <c r="AM120" s="182">
        <v>0</v>
      </c>
      <c r="AN120" s="152">
        <f t="shared" si="42"/>
        <v>14</v>
      </c>
      <c r="AP120" s="137"/>
    </row>
    <row r="121" spans="1:42" x14ac:dyDescent="0.3">
      <c r="A121" s="19">
        <f t="shared" si="29"/>
        <v>45752</v>
      </c>
      <c r="B121">
        <f t="shared" si="30"/>
        <v>23</v>
      </c>
      <c r="C121" s="16">
        <f>IFERROR(MATCH(A122,NERCHolidays!$B$2:$B$121,0),0)</f>
        <v>0</v>
      </c>
      <c r="D121">
        <f t="shared" si="27"/>
        <v>1</v>
      </c>
      <c r="E121" t="str">
        <f t="shared" si="21"/>
        <v>PK</v>
      </c>
      <c r="F121">
        <f t="shared" si="38"/>
        <v>5</v>
      </c>
      <c r="G121">
        <f t="shared" si="23"/>
        <v>1</v>
      </c>
      <c r="H121">
        <f t="shared" si="24"/>
        <v>0</v>
      </c>
      <c r="I121">
        <f t="shared" si="37"/>
        <v>1</v>
      </c>
      <c r="J121">
        <f t="shared" si="25"/>
        <v>0</v>
      </c>
      <c r="K121">
        <f t="shared" si="26"/>
        <v>6</v>
      </c>
      <c r="L121" s="179">
        <f>'Aztec Metered Load'!C125</f>
        <v>3.9780000000000002</v>
      </c>
      <c r="O121" s="148">
        <f t="shared" si="41"/>
        <v>45761</v>
      </c>
      <c r="P121" s="182">
        <v>1</v>
      </c>
      <c r="Q121" s="182">
        <v>1</v>
      </c>
      <c r="R121" s="182">
        <v>1</v>
      </c>
      <c r="S121" s="182">
        <v>1</v>
      </c>
      <c r="T121" s="182">
        <v>1</v>
      </c>
      <c r="U121" s="182">
        <v>1</v>
      </c>
      <c r="V121" s="182">
        <v>1</v>
      </c>
      <c r="W121" s="182">
        <v>1</v>
      </c>
      <c r="X121" s="182">
        <v>1</v>
      </c>
      <c r="Y121" s="182">
        <v>0</v>
      </c>
      <c r="Z121" s="182">
        <v>0</v>
      </c>
      <c r="AA121" s="182">
        <v>0</v>
      </c>
      <c r="AB121" s="182">
        <v>0</v>
      </c>
      <c r="AC121" s="182">
        <v>0</v>
      </c>
      <c r="AD121" s="182">
        <v>0</v>
      </c>
      <c r="AE121" s="182">
        <v>0</v>
      </c>
      <c r="AF121" s="182">
        <v>0</v>
      </c>
      <c r="AG121" s="182">
        <v>0</v>
      </c>
      <c r="AH121" s="182">
        <v>1</v>
      </c>
      <c r="AI121" s="182">
        <v>1</v>
      </c>
      <c r="AJ121" s="182">
        <v>1</v>
      </c>
      <c r="AK121" s="182">
        <v>1</v>
      </c>
      <c r="AL121" s="182">
        <v>1</v>
      </c>
      <c r="AM121" s="182">
        <v>0</v>
      </c>
      <c r="AN121" s="152">
        <f t="shared" si="42"/>
        <v>14</v>
      </c>
    </row>
    <row r="122" spans="1:42" x14ac:dyDescent="0.3">
      <c r="A122" s="19">
        <f t="shared" si="29"/>
        <v>45752</v>
      </c>
      <c r="B122">
        <f t="shared" si="30"/>
        <v>24</v>
      </c>
      <c r="C122" s="16">
        <f>IFERROR(MATCH(A123,NERCHolidays!$B$2:$B$121,0),0)</f>
        <v>0</v>
      </c>
      <c r="D122">
        <f t="shared" si="27"/>
        <v>0</v>
      </c>
      <c r="E122" t="str">
        <f t="shared" si="21"/>
        <v>OP</v>
      </c>
      <c r="F122">
        <f t="shared" si="38"/>
        <v>5</v>
      </c>
      <c r="G122">
        <f t="shared" si="23"/>
        <v>0</v>
      </c>
      <c r="H122">
        <f t="shared" si="24"/>
        <v>0</v>
      </c>
      <c r="I122">
        <f t="shared" si="37"/>
        <v>1</v>
      </c>
      <c r="J122">
        <f t="shared" si="25"/>
        <v>0</v>
      </c>
      <c r="K122">
        <f t="shared" si="26"/>
        <v>5</v>
      </c>
      <c r="L122" s="179">
        <f>'Aztec Metered Load'!C126</f>
        <v>3.8149999999999999</v>
      </c>
      <c r="O122" s="148">
        <f t="shared" si="41"/>
        <v>45762</v>
      </c>
      <c r="P122" s="182">
        <v>1</v>
      </c>
      <c r="Q122" s="182">
        <v>1</v>
      </c>
      <c r="R122" s="182">
        <v>1</v>
      </c>
      <c r="S122" s="182">
        <v>1</v>
      </c>
      <c r="T122" s="182">
        <v>1</v>
      </c>
      <c r="U122" s="182">
        <v>1</v>
      </c>
      <c r="V122" s="182">
        <v>1</v>
      </c>
      <c r="W122" s="182">
        <v>1</v>
      </c>
      <c r="X122" s="182">
        <v>1</v>
      </c>
      <c r="Y122" s="182">
        <v>0</v>
      </c>
      <c r="Z122" s="182">
        <v>0</v>
      </c>
      <c r="AA122" s="182">
        <v>0</v>
      </c>
      <c r="AB122" s="182">
        <v>0</v>
      </c>
      <c r="AC122" s="182">
        <v>0</v>
      </c>
      <c r="AD122" s="182">
        <v>0</v>
      </c>
      <c r="AE122" s="182">
        <v>0</v>
      </c>
      <c r="AF122" s="182">
        <v>0</v>
      </c>
      <c r="AG122" s="182">
        <v>0</v>
      </c>
      <c r="AH122" s="182">
        <v>1</v>
      </c>
      <c r="AI122" s="182">
        <v>1</v>
      </c>
      <c r="AJ122" s="182">
        <v>1</v>
      </c>
      <c r="AK122" s="182">
        <v>1</v>
      </c>
      <c r="AL122" s="182">
        <v>1</v>
      </c>
      <c r="AM122" s="182">
        <v>0</v>
      </c>
      <c r="AN122" s="152">
        <f t="shared" si="42"/>
        <v>14</v>
      </c>
    </row>
    <row r="123" spans="1:42" x14ac:dyDescent="0.3">
      <c r="A123" s="19">
        <f t="shared" si="29"/>
        <v>45753</v>
      </c>
      <c r="B123">
        <f t="shared" si="30"/>
        <v>1</v>
      </c>
      <c r="C123" s="16">
        <f>IFERROR(MATCH(A124,NERCHolidays!$B$2:$B$121,0),0)</f>
        <v>0</v>
      </c>
      <c r="D123">
        <f t="shared" si="27"/>
        <v>0</v>
      </c>
      <c r="E123" t="str">
        <f t="shared" si="21"/>
        <v>OP</v>
      </c>
      <c r="F123">
        <f t="shared" si="38"/>
        <v>5</v>
      </c>
      <c r="G123">
        <f t="shared" si="23"/>
        <v>1</v>
      </c>
      <c r="H123">
        <f t="shared" si="24"/>
        <v>0</v>
      </c>
      <c r="I123">
        <f t="shared" si="37"/>
        <v>1</v>
      </c>
      <c r="J123">
        <f t="shared" si="25"/>
        <v>0</v>
      </c>
      <c r="K123">
        <f t="shared" si="26"/>
        <v>6</v>
      </c>
      <c r="L123" s="179">
        <f>'Aztec Metered Load'!C127</f>
        <v>3.7040000000000002</v>
      </c>
      <c r="O123" s="148">
        <f t="shared" si="41"/>
        <v>45763</v>
      </c>
      <c r="P123" s="182">
        <v>1</v>
      </c>
      <c r="Q123" s="182">
        <v>1</v>
      </c>
      <c r="R123" s="182">
        <v>1</v>
      </c>
      <c r="S123" s="182">
        <v>1</v>
      </c>
      <c r="T123" s="182">
        <v>1</v>
      </c>
      <c r="U123" s="182">
        <v>1</v>
      </c>
      <c r="V123" s="182">
        <v>1</v>
      </c>
      <c r="W123" s="182">
        <v>1</v>
      </c>
      <c r="X123" s="182">
        <v>0</v>
      </c>
      <c r="Y123" s="182">
        <v>0</v>
      </c>
      <c r="Z123" s="182">
        <v>0</v>
      </c>
      <c r="AA123" s="182">
        <v>0</v>
      </c>
      <c r="AB123" s="182">
        <v>0</v>
      </c>
      <c r="AC123" s="182">
        <v>0</v>
      </c>
      <c r="AD123" s="182">
        <v>0</v>
      </c>
      <c r="AE123" s="182">
        <v>0</v>
      </c>
      <c r="AF123" s="182">
        <v>0</v>
      </c>
      <c r="AG123" s="182">
        <v>0</v>
      </c>
      <c r="AH123" s="182">
        <v>1</v>
      </c>
      <c r="AI123" s="182">
        <v>1</v>
      </c>
      <c r="AJ123" s="182">
        <v>1</v>
      </c>
      <c r="AK123" s="182">
        <v>1</v>
      </c>
      <c r="AL123" s="182">
        <v>1</v>
      </c>
      <c r="AM123" s="182">
        <v>0</v>
      </c>
      <c r="AN123" s="152">
        <f t="shared" si="42"/>
        <v>13</v>
      </c>
    </row>
    <row r="124" spans="1:42" x14ac:dyDescent="0.3">
      <c r="A124" s="19">
        <f t="shared" si="29"/>
        <v>45753</v>
      </c>
      <c r="B124">
        <f t="shared" si="30"/>
        <v>2</v>
      </c>
      <c r="C124" s="16">
        <f>IFERROR(MATCH(A125,NERCHolidays!$B$2:$B$121,0),0)</f>
        <v>0</v>
      </c>
      <c r="D124">
        <f t="shared" si="27"/>
        <v>0</v>
      </c>
      <c r="E124" t="str">
        <f t="shared" si="21"/>
        <v>OP</v>
      </c>
      <c r="F124">
        <f t="shared" si="38"/>
        <v>5</v>
      </c>
      <c r="G124">
        <f t="shared" si="23"/>
        <v>1</v>
      </c>
      <c r="H124">
        <f t="shared" si="24"/>
        <v>0</v>
      </c>
      <c r="I124">
        <f t="shared" si="37"/>
        <v>1</v>
      </c>
      <c r="J124">
        <f t="shared" si="25"/>
        <v>0</v>
      </c>
      <c r="K124">
        <f t="shared" si="26"/>
        <v>6</v>
      </c>
      <c r="L124" s="179">
        <f>'Aztec Metered Load'!C128</f>
        <v>3.669</v>
      </c>
      <c r="O124" s="148">
        <f t="shared" si="41"/>
        <v>45764</v>
      </c>
      <c r="P124" s="182">
        <v>1</v>
      </c>
      <c r="Q124" s="182">
        <v>1</v>
      </c>
      <c r="R124" s="182">
        <v>1</v>
      </c>
      <c r="S124" s="182">
        <v>1</v>
      </c>
      <c r="T124" s="182">
        <v>1</v>
      </c>
      <c r="U124" s="182">
        <v>1</v>
      </c>
      <c r="V124" s="182">
        <v>1</v>
      </c>
      <c r="W124" s="182">
        <v>1</v>
      </c>
      <c r="X124" s="182">
        <v>0</v>
      </c>
      <c r="Y124" s="182">
        <v>0</v>
      </c>
      <c r="Z124" s="182">
        <v>0</v>
      </c>
      <c r="AA124" s="182">
        <v>0</v>
      </c>
      <c r="AB124" s="182">
        <v>0</v>
      </c>
      <c r="AC124" s="182">
        <v>0</v>
      </c>
      <c r="AD124" s="182">
        <v>0</v>
      </c>
      <c r="AE124" s="182">
        <v>0</v>
      </c>
      <c r="AF124" s="182">
        <v>0</v>
      </c>
      <c r="AG124" s="182">
        <v>0</v>
      </c>
      <c r="AH124" s="182">
        <v>1</v>
      </c>
      <c r="AI124" s="182">
        <v>1</v>
      </c>
      <c r="AJ124" s="182">
        <v>1</v>
      </c>
      <c r="AK124" s="182">
        <v>1</v>
      </c>
      <c r="AL124" s="182">
        <v>1</v>
      </c>
      <c r="AM124" s="182">
        <v>0</v>
      </c>
      <c r="AN124" s="152">
        <f t="shared" si="42"/>
        <v>13</v>
      </c>
    </row>
    <row r="125" spans="1:42" x14ac:dyDescent="0.3">
      <c r="A125" s="19">
        <f t="shared" si="29"/>
        <v>45753</v>
      </c>
      <c r="B125">
        <f t="shared" si="30"/>
        <v>3</v>
      </c>
      <c r="C125" s="16">
        <f>IFERROR(MATCH(A126,NERCHolidays!$B$2:$B$121,0),0)</f>
        <v>0</v>
      </c>
      <c r="D125">
        <f t="shared" si="27"/>
        <v>0</v>
      </c>
      <c r="E125" t="str">
        <f t="shared" si="21"/>
        <v>OP</v>
      </c>
      <c r="F125">
        <f t="shared" si="38"/>
        <v>5</v>
      </c>
      <c r="G125">
        <f t="shared" si="23"/>
        <v>1</v>
      </c>
      <c r="H125">
        <f t="shared" si="24"/>
        <v>0</v>
      </c>
      <c r="I125">
        <f t="shared" si="37"/>
        <v>2</v>
      </c>
      <c r="J125">
        <f t="shared" si="25"/>
        <v>0</v>
      </c>
      <c r="K125">
        <f t="shared" si="26"/>
        <v>6</v>
      </c>
      <c r="L125" s="179">
        <f>'Aztec Metered Load'!C129</f>
        <v>3.6789999999999998</v>
      </c>
      <c r="O125" s="148">
        <f t="shared" si="41"/>
        <v>45765</v>
      </c>
      <c r="P125" s="182">
        <v>1</v>
      </c>
      <c r="Q125" s="182">
        <v>1</v>
      </c>
      <c r="R125" s="182">
        <v>1</v>
      </c>
      <c r="S125" s="182">
        <v>1</v>
      </c>
      <c r="T125" s="182">
        <v>1</v>
      </c>
      <c r="U125" s="182">
        <v>1</v>
      </c>
      <c r="V125" s="182">
        <v>1</v>
      </c>
      <c r="W125" s="182">
        <v>1</v>
      </c>
      <c r="X125" s="182">
        <v>0</v>
      </c>
      <c r="Y125" s="182">
        <v>0</v>
      </c>
      <c r="Z125" s="182">
        <v>0</v>
      </c>
      <c r="AA125" s="182">
        <v>0</v>
      </c>
      <c r="AB125" s="182">
        <v>0</v>
      </c>
      <c r="AC125" s="182">
        <v>0</v>
      </c>
      <c r="AD125" s="182">
        <v>0</v>
      </c>
      <c r="AE125" s="182">
        <v>0</v>
      </c>
      <c r="AF125" s="182">
        <v>0</v>
      </c>
      <c r="AG125" s="182">
        <v>0</v>
      </c>
      <c r="AH125" s="182">
        <v>1</v>
      </c>
      <c r="AI125" s="182">
        <v>1</v>
      </c>
      <c r="AJ125" s="182">
        <v>1</v>
      </c>
      <c r="AK125" s="182">
        <v>1</v>
      </c>
      <c r="AL125" s="182">
        <v>1</v>
      </c>
      <c r="AM125" s="182">
        <v>0</v>
      </c>
      <c r="AN125" s="152">
        <f t="shared" si="42"/>
        <v>13</v>
      </c>
    </row>
    <row r="126" spans="1:42" x14ac:dyDescent="0.3">
      <c r="A126" s="19">
        <f t="shared" si="29"/>
        <v>45753</v>
      </c>
      <c r="B126">
        <f t="shared" si="30"/>
        <v>4</v>
      </c>
      <c r="C126" s="16">
        <f>IFERROR(MATCH(A127,NERCHolidays!$B$2:$B$121,0),0)</f>
        <v>0</v>
      </c>
      <c r="D126">
        <f t="shared" si="27"/>
        <v>0</v>
      </c>
      <c r="E126" t="str">
        <f t="shared" si="21"/>
        <v>OP</v>
      </c>
      <c r="F126">
        <f t="shared" si="38"/>
        <v>5</v>
      </c>
      <c r="G126">
        <f t="shared" si="23"/>
        <v>1</v>
      </c>
      <c r="H126">
        <f t="shared" si="24"/>
        <v>0</v>
      </c>
      <c r="I126">
        <f t="shared" si="37"/>
        <v>2</v>
      </c>
      <c r="J126">
        <f t="shared" si="25"/>
        <v>0</v>
      </c>
      <c r="K126">
        <f t="shared" si="26"/>
        <v>6</v>
      </c>
      <c r="L126" s="179">
        <f>'Aztec Metered Load'!C130</f>
        <v>3.722</v>
      </c>
      <c r="O126" s="148">
        <f t="shared" si="41"/>
        <v>45766</v>
      </c>
      <c r="P126" s="182">
        <v>1</v>
      </c>
      <c r="Q126" s="182">
        <v>1</v>
      </c>
      <c r="R126" s="182">
        <v>1</v>
      </c>
      <c r="S126" s="182">
        <v>1</v>
      </c>
      <c r="T126" s="182">
        <v>1</v>
      </c>
      <c r="U126" s="182">
        <v>1</v>
      </c>
      <c r="V126" s="182">
        <v>1</v>
      </c>
      <c r="W126" s="182">
        <v>1</v>
      </c>
      <c r="X126" s="182">
        <v>0</v>
      </c>
      <c r="Y126" s="182">
        <v>0</v>
      </c>
      <c r="Z126" s="182">
        <v>0</v>
      </c>
      <c r="AA126" s="182">
        <v>0</v>
      </c>
      <c r="AB126" s="182">
        <v>0</v>
      </c>
      <c r="AC126" s="182">
        <v>0</v>
      </c>
      <c r="AD126" s="182">
        <v>0</v>
      </c>
      <c r="AE126" s="182">
        <v>0</v>
      </c>
      <c r="AF126" s="182">
        <v>0</v>
      </c>
      <c r="AG126" s="182">
        <v>0</v>
      </c>
      <c r="AH126" s="182">
        <v>1</v>
      </c>
      <c r="AI126" s="182">
        <v>1</v>
      </c>
      <c r="AJ126" s="182">
        <v>1</v>
      </c>
      <c r="AK126" s="182">
        <v>1</v>
      </c>
      <c r="AL126" s="182">
        <v>1</v>
      </c>
      <c r="AM126" s="182">
        <v>0</v>
      </c>
      <c r="AN126" s="152">
        <f t="shared" si="42"/>
        <v>13</v>
      </c>
    </row>
    <row r="127" spans="1:42" x14ac:dyDescent="0.3">
      <c r="A127" s="19">
        <f t="shared" si="29"/>
        <v>45753</v>
      </c>
      <c r="B127">
        <f t="shared" si="30"/>
        <v>5</v>
      </c>
      <c r="C127" s="16">
        <f>IFERROR(MATCH(A128,NERCHolidays!$B$2:$B$121,0),0)</f>
        <v>0</v>
      </c>
      <c r="D127">
        <f t="shared" si="27"/>
        <v>0</v>
      </c>
      <c r="E127" t="str">
        <f t="shared" si="21"/>
        <v>OP</v>
      </c>
      <c r="F127">
        <f t="shared" si="38"/>
        <v>5</v>
      </c>
      <c r="G127">
        <f t="shared" si="23"/>
        <v>1</v>
      </c>
      <c r="H127">
        <f t="shared" si="24"/>
        <v>0</v>
      </c>
      <c r="I127">
        <f t="shared" si="37"/>
        <v>2</v>
      </c>
      <c r="J127">
        <f t="shared" si="25"/>
        <v>0</v>
      </c>
      <c r="K127">
        <f t="shared" si="26"/>
        <v>6</v>
      </c>
      <c r="L127" s="179">
        <f>'Aztec Metered Load'!C131</f>
        <v>3.9780000000000002</v>
      </c>
      <c r="O127" s="148">
        <f t="shared" si="41"/>
        <v>45767</v>
      </c>
      <c r="P127" s="182">
        <v>1</v>
      </c>
      <c r="Q127" s="182">
        <v>1</v>
      </c>
      <c r="R127" s="182">
        <v>1</v>
      </c>
      <c r="S127" s="182">
        <v>1</v>
      </c>
      <c r="T127" s="182">
        <v>1</v>
      </c>
      <c r="U127" s="182">
        <v>1</v>
      </c>
      <c r="V127" s="182">
        <v>1</v>
      </c>
      <c r="W127" s="182">
        <v>1</v>
      </c>
      <c r="X127" s="182">
        <v>0</v>
      </c>
      <c r="Y127" s="182">
        <v>0</v>
      </c>
      <c r="Z127" s="182">
        <v>0</v>
      </c>
      <c r="AA127" s="182">
        <v>0</v>
      </c>
      <c r="AB127" s="182">
        <v>0</v>
      </c>
      <c r="AC127" s="182">
        <v>0</v>
      </c>
      <c r="AD127" s="182">
        <v>0</v>
      </c>
      <c r="AE127" s="182">
        <v>0</v>
      </c>
      <c r="AF127" s="182">
        <v>0</v>
      </c>
      <c r="AG127" s="182">
        <v>0</v>
      </c>
      <c r="AH127" s="182">
        <v>1</v>
      </c>
      <c r="AI127" s="182">
        <v>1</v>
      </c>
      <c r="AJ127" s="182">
        <v>1</v>
      </c>
      <c r="AK127" s="182">
        <v>1</v>
      </c>
      <c r="AL127" s="182">
        <v>1</v>
      </c>
      <c r="AM127" s="182">
        <v>0</v>
      </c>
      <c r="AN127" s="152">
        <f t="shared" si="42"/>
        <v>13</v>
      </c>
    </row>
    <row r="128" spans="1:42" x14ac:dyDescent="0.3">
      <c r="A128" s="19">
        <f t="shared" si="29"/>
        <v>45753</v>
      </c>
      <c r="B128">
        <f t="shared" si="30"/>
        <v>6</v>
      </c>
      <c r="C128" s="16">
        <f>IFERROR(MATCH(A129,NERCHolidays!$B$2:$B$121,0),0)</f>
        <v>0</v>
      </c>
      <c r="D128">
        <f t="shared" si="27"/>
        <v>0</v>
      </c>
      <c r="E128" t="str">
        <f t="shared" si="21"/>
        <v>OP</v>
      </c>
      <c r="F128">
        <f t="shared" si="38"/>
        <v>5</v>
      </c>
      <c r="G128">
        <f t="shared" si="23"/>
        <v>1</v>
      </c>
      <c r="H128">
        <f t="shared" si="24"/>
        <v>0</v>
      </c>
      <c r="I128">
        <f t="shared" si="37"/>
        <v>2</v>
      </c>
      <c r="J128">
        <f t="shared" si="25"/>
        <v>0</v>
      </c>
      <c r="K128">
        <f t="shared" si="26"/>
        <v>6</v>
      </c>
      <c r="L128" s="179">
        <f>'Aztec Metered Load'!C132</f>
        <v>4.343</v>
      </c>
      <c r="O128" s="148">
        <f t="shared" si="41"/>
        <v>45768</v>
      </c>
      <c r="P128" s="182">
        <v>1</v>
      </c>
      <c r="Q128" s="182">
        <v>1</v>
      </c>
      <c r="R128" s="182">
        <v>1</v>
      </c>
      <c r="S128" s="182">
        <v>1</v>
      </c>
      <c r="T128" s="182">
        <v>1</v>
      </c>
      <c r="U128" s="182">
        <v>1</v>
      </c>
      <c r="V128" s="182">
        <v>1</v>
      </c>
      <c r="W128" s="182">
        <v>1</v>
      </c>
      <c r="X128" s="182">
        <v>0</v>
      </c>
      <c r="Y128" s="182">
        <v>0</v>
      </c>
      <c r="Z128" s="182">
        <v>0</v>
      </c>
      <c r="AA128" s="182">
        <v>0</v>
      </c>
      <c r="AB128" s="182">
        <v>0</v>
      </c>
      <c r="AC128" s="182">
        <v>0</v>
      </c>
      <c r="AD128" s="182">
        <v>0</v>
      </c>
      <c r="AE128" s="182">
        <v>0</v>
      </c>
      <c r="AF128" s="182">
        <v>0</v>
      </c>
      <c r="AG128" s="182">
        <v>0</v>
      </c>
      <c r="AH128" s="182">
        <v>1</v>
      </c>
      <c r="AI128" s="182">
        <v>1</v>
      </c>
      <c r="AJ128" s="182">
        <v>1</v>
      </c>
      <c r="AK128" s="182">
        <v>1</v>
      </c>
      <c r="AL128" s="182">
        <v>1</v>
      </c>
      <c r="AM128" s="182">
        <v>0</v>
      </c>
      <c r="AN128" s="152">
        <f t="shared" si="42"/>
        <v>13</v>
      </c>
    </row>
    <row r="129" spans="1:40" x14ac:dyDescent="0.3">
      <c r="A129" s="19">
        <f t="shared" si="29"/>
        <v>45753</v>
      </c>
      <c r="B129">
        <f t="shared" si="30"/>
        <v>7</v>
      </c>
      <c r="C129" s="16">
        <f>IFERROR(MATCH(A130,NERCHolidays!$B$2:$B$121,0),0)</f>
        <v>0</v>
      </c>
      <c r="D129">
        <f t="shared" si="27"/>
        <v>0</v>
      </c>
      <c r="E129" t="str">
        <f t="shared" si="21"/>
        <v>OP</v>
      </c>
      <c r="F129">
        <f t="shared" si="38"/>
        <v>5</v>
      </c>
      <c r="G129">
        <f t="shared" si="23"/>
        <v>1</v>
      </c>
      <c r="H129">
        <f t="shared" si="24"/>
        <v>0</v>
      </c>
      <c r="I129">
        <f t="shared" si="37"/>
        <v>1</v>
      </c>
      <c r="J129">
        <f t="shared" si="25"/>
        <v>0</v>
      </c>
      <c r="K129">
        <f t="shared" si="26"/>
        <v>6</v>
      </c>
      <c r="L129" s="179">
        <f>'Aztec Metered Load'!C133</f>
        <v>4.3109999999999999</v>
      </c>
      <c r="O129" s="148">
        <f t="shared" si="41"/>
        <v>45769</v>
      </c>
      <c r="P129" s="182">
        <v>1</v>
      </c>
      <c r="Q129" s="182">
        <v>1</v>
      </c>
      <c r="R129" s="182">
        <v>1</v>
      </c>
      <c r="S129" s="182">
        <v>1</v>
      </c>
      <c r="T129" s="182">
        <v>1</v>
      </c>
      <c r="U129" s="182">
        <v>1</v>
      </c>
      <c r="V129" s="182">
        <v>1</v>
      </c>
      <c r="W129" s="182">
        <v>1</v>
      </c>
      <c r="X129" s="182">
        <v>0</v>
      </c>
      <c r="Y129" s="182">
        <v>0</v>
      </c>
      <c r="Z129" s="182">
        <v>0</v>
      </c>
      <c r="AA129" s="182">
        <v>0</v>
      </c>
      <c r="AB129" s="182">
        <v>0</v>
      </c>
      <c r="AC129" s="182">
        <v>0</v>
      </c>
      <c r="AD129" s="182">
        <v>0</v>
      </c>
      <c r="AE129" s="182">
        <v>0</v>
      </c>
      <c r="AF129" s="182">
        <v>0</v>
      </c>
      <c r="AG129" s="182">
        <v>0</v>
      </c>
      <c r="AH129" s="182">
        <v>1</v>
      </c>
      <c r="AI129" s="182">
        <v>1</v>
      </c>
      <c r="AJ129" s="182">
        <v>1</v>
      </c>
      <c r="AK129" s="182">
        <v>1</v>
      </c>
      <c r="AL129" s="182">
        <v>1</v>
      </c>
      <c r="AM129" s="182">
        <v>0</v>
      </c>
      <c r="AN129" s="152">
        <f t="shared" si="42"/>
        <v>13</v>
      </c>
    </row>
    <row r="130" spans="1:40" x14ac:dyDescent="0.3">
      <c r="A130" s="19">
        <f t="shared" si="29"/>
        <v>45753</v>
      </c>
      <c r="B130">
        <f t="shared" si="30"/>
        <v>8</v>
      </c>
      <c r="C130" s="16">
        <f>IFERROR(MATCH(A131,NERCHolidays!$B$2:$B$121,0),0)</f>
        <v>0</v>
      </c>
      <c r="D130">
        <f t="shared" si="27"/>
        <v>1</v>
      </c>
      <c r="E130" t="str">
        <f t="shared" si="21"/>
        <v>OP</v>
      </c>
      <c r="F130">
        <f t="shared" si="38"/>
        <v>5</v>
      </c>
      <c r="G130">
        <f t="shared" si="23"/>
        <v>1</v>
      </c>
      <c r="H130">
        <f t="shared" si="24"/>
        <v>0</v>
      </c>
      <c r="I130">
        <f t="shared" si="37"/>
        <v>1</v>
      </c>
      <c r="J130">
        <f t="shared" si="25"/>
        <v>0</v>
      </c>
      <c r="K130">
        <f t="shared" si="26"/>
        <v>6</v>
      </c>
      <c r="L130" s="179">
        <f>'Aztec Metered Load'!C134</f>
        <v>4.125</v>
      </c>
      <c r="O130" s="148">
        <f t="shared" si="41"/>
        <v>45770</v>
      </c>
      <c r="P130" s="182">
        <v>1</v>
      </c>
      <c r="Q130" s="182">
        <v>1</v>
      </c>
      <c r="R130" s="182">
        <v>1</v>
      </c>
      <c r="S130" s="182">
        <v>1</v>
      </c>
      <c r="T130" s="182">
        <v>1</v>
      </c>
      <c r="U130" s="182">
        <v>1</v>
      </c>
      <c r="V130" s="182">
        <v>1</v>
      </c>
      <c r="W130" s="182">
        <v>1</v>
      </c>
      <c r="X130" s="182">
        <v>0</v>
      </c>
      <c r="Y130" s="182">
        <v>0</v>
      </c>
      <c r="Z130" s="182">
        <v>0</v>
      </c>
      <c r="AA130" s="182">
        <v>0</v>
      </c>
      <c r="AB130" s="182">
        <v>0</v>
      </c>
      <c r="AC130" s="182">
        <v>0</v>
      </c>
      <c r="AD130" s="182">
        <v>0</v>
      </c>
      <c r="AE130" s="182">
        <v>0</v>
      </c>
      <c r="AF130" s="182">
        <v>0</v>
      </c>
      <c r="AG130" s="182">
        <v>0</v>
      </c>
      <c r="AH130" s="182">
        <v>1</v>
      </c>
      <c r="AI130" s="182">
        <v>0</v>
      </c>
      <c r="AJ130" s="182">
        <v>1</v>
      </c>
      <c r="AK130" s="182">
        <v>1</v>
      </c>
      <c r="AL130" s="182">
        <v>1</v>
      </c>
      <c r="AM130" s="182">
        <v>0</v>
      </c>
      <c r="AN130" s="152">
        <f t="shared" si="42"/>
        <v>12</v>
      </c>
    </row>
    <row r="131" spans="1:40" x14ac:dyDescent="0.3">
      <c r="A131" s="19">
        <f t="shared" si="29"/>
        <v>45753</v>
      </c>
      <c r="B131">
        <f t="shared" si="30"/>
        <v>9</v>
      </c>
      <c r="C131" s="16">
        <f>IFERROR(MATCH(A132,NERCHolidays!$B$2:$B$121,0),0)</f>
        <v>0</v>
      </c>
      <c r="D131">
        <f t="shared" si="27"/>
        <v>1</v>
      </c>
      <c r="E131" t="str">
        <f t="shared" ref="E131:E194" si="43">IF(OR(WEEKDAY(A131)=1,C131&lt;&gt;0),"OP",IF(D131=0,"OP","PK"))</f>
        <v>OP</v>
      </c>
      <c r="F131">
        <f t="shared" ref="F131:F162" si="44">VLOOKUP(A131,$O$3:$AN$34,B131+2,FALSE)</f>
        <v>5</v>
      </c>
      <c r="G131">
        <f t="shared" ref="G131:G194" si="45">VLOOKUP(A131,$O$107:$AM$138,B131+1,FALSE)</f>
        <v>1</v>
      </c>
      <c r="H131">
        <f t="shared" ref="H131:H194" si="46">VLOOKUP(A131,$O$142:$AM$173,B131+1,FALSE)</f>
        <v>0</v>
      </c>
      <c r="I131">
        <f t="shared" si="37"/>
        <v>1</v>
      </c>
      <c r="J131">
        <f t="shared" ref="J131:J194" si="47">VLOOKUP(A131,$O$73:$AN$104,B131+2,FALSE)</f>
        <v>0</v>
      </c>
      <c r="K131">
        <f t="shared" ref="K131:K194" si="48">VLOOKUP(A131,$O$175:$AM$206,B131+1,FALSE)</f>
        <v>6</v>
      </c>
      <c r="L131" s="179">
        <f>'Aztec Metered Load'!C135</f>
        <v>3.9569999999999999</v>
      </c>
      <c r="O131" s="148">
        <f t="shared" si="41"/>
        <v>45771</v>
      </c>
      <c r="P131" s="182">
        <v>1</v>
      </c>
      <c r="Q131" s="182">
        <v>1</v>
      </c>
      <c r="R131" s="182">
        <v>1</v>
      </c>
      <c r="S131" s="182">
        <v>1</v>
      </c>
      <c r="T131" s="182">
        <v>1</v>
      </c>
      <c r="U131" s="182">
        <v>1</v>
      </c>
      <c r="V131" s="182">
        <v>1</v>
      </c>
      <c r="W131" s="182">
        <v>1</v>
      </c>
      <c r="X131" s="182">
        <v>0</v>
      </c>
      <c r="Y131" s="182">
        <v>0</v>
      </c>
      <c r="Z131" s="182">
        <v>0</v>
      </c>
      <c r="AA131" s="182">
        <v>0</v>
      </c>
      <c r="AB131" s="182">
        <v>0</v>
      </c>
      <c r="AC131" s="182">
        <v>0</v>
      </c>
      <c r="AD131" s="182">
        <v>0</v>
      </c>
      <c r="AE131" s="182">
        <v>0</v>
      </c>
      <c r="AF131" s="182">
        <v>0</v>
      </c>
      <c r="AG131" s="182">
        <v>0</v>
      </c>
      <c r="AH131" s="182">
        <v>1</v>
      </c>
      <c r="AI131" s="182">
        <v>1</v>
      </c>
      <c r="AJ131" s="182">
        <v>1</v>
      </c>
      <c r="AK131" s="182">
        <v>1</v>
      </c>
      <c r="AL131" s="182">
        <v>1</v>
      </c>
      <c r="AM131" s="182">
        <v>0</v>
      </c>
      <c r="AN131" s="152">
        <f t="shared" si="42"/>
        <v>13</v>
      </c>
    </row>
    <row r="132" spans="1:40" x14ac:dyDescent="0.3">
      <c r="A132" s="19">
        <f t="shared" si="29"/>
        <v>45753</v>
      </c>
      <c r="B132">
        <f t="shared" si="30"/>
        <v>10</v>
      </c>
      <c r="C132" s="16">
        <f>IFERROR(MATCH(A133,NERCHolidays!$B$2:$B$121,0),0)</f>
        <v>0</v>
      </c>
      <c r="D132">
        <f t="shared" ref="D132:D195" si="49">IF(AND(B132&gt;=8,B132&lt;=23),1,0)</f>
        <v>1</v>
      </c>
      <c r="E132" t="str">
        <f t="shared" si="43"/>
        <v>OP</v>
      </c>
      <c r="F132">
        <f t="shared" si="44"/>
        <v>5</v>
      </c>
      <c r="G132">
        <f t="shared" si="45"/>
        <v>0</v>
      </c>
      <c r="H132">
        <f t="shared" si="46"/>
        <v>0</v>
      </c>
      <c r="I132">
        <f t="shared" si="37"/>
        <v>1</v>
      </c>
      <c r="J132">
        <f t="shared" si="47"/>
        <v>0</v>
      </c>
      <c r="K132">
        <f t="shared" si="48"/>
        <v>5</v>
      </c>
      <c r="L132" s="179">
        <f>'Aztec Metered Load'!C136</f>
        <v>3.9910000000000001</v>
      </c>
      <c r="O132" s="148">
        <f t="shared" si="41"/>
        <v>45772</v>
      </c>
      <c r="P132" s="182">
        <v>1</v>
      </c>
      <c r="Q132" s="182">
        <v>1</v>
      </c>
      <c r="R132" s="182">
        <v>1</v>
      </c>
      <c r="S132" s="182">
        <v>1</v>
      </c>
      <c r="T132" s="182">
        <v>1</v>
      </c>
      <c r="U132" s="182">
        <v>1</v>
      </c>
      <c r="V132" s="182">
        <v>1</v>
      </c>
      <c r="W132" s="182">
        <v>1</v>
      </c>
      <c r="X132" s="182">
        <v>0</v>
      </c>
      <c r="Y132" s="182">
        <v>0</v>
      </c>
      <c r="Z132" s="182">
        <v>0</v>
      </c>
      <c r="AA132" s="182">
        <v>0</v>
      </c>
      <c r="AB132" s="182">
        <v>0</v>
      </c>
      <c r="AC132" s="182">
        <v>0</v>
      </c>
      <c r="AD132" s="182">
        <v>0</v>
      </c>
      <c r="AE132" s="182">
        <v>0</v>
      </c>
      <c r="AF132" s="182">
        <v>0</v>
      </c>
      <c r="AG132" s="182">
        <v>0</v>
      </c>
      <c r="AH132" s="182">
        <v>1</v>
      </c>
      <c r="AI132" s="182">
        <v>1</v>
      </c>
      <c r="AJ132" s="182">
        <v>0</v>
      </c>
      <c r="AK132" s="182">
        <v>1</v>
      </c>
      <c r="AL132" s="182">
        <v>1</v>
      </c>
      <c r="AM132" s="182">
        <v>0</v>
      </c>
      <c r="AN132" s="152">
        <f t="shared" si="42"/>
        <v>12</v>
      </c>
    </row>
    <row r="133" spans="1:40" x14ac:dyDescent="0.3">
      <c r="A133" s="19">
        <f t="shared" ref="A133:A196" si="50">IF(B132=24,A132+1,A132)</f>
        <v>45753</v>
      </c>
      <c r="B133">
        <f t="shared" ref="B133:B196" si="51">IF(B132=24,1,B132+1)</f>
        <v>11</v>
      </c>
      <c r="C133" s="16">
        <f>IFERROR(MATCH(A134,NERCHolidays!$B$2:$B$121,0),0)</f>
        <v>0</v>
      </c>
      <c r="D133">
        <f t="shared" si="49"/>
        <v>1</v>
      </c>
      <c r="E133" t="str">
        <f t="shared" si="43"/>
        <v>OP</v>
      </c>
      <c r="F133">
        <f t="shared" si="44"/>
        <v>5</v>
      </c>
      <c r="G133">
        <f t="shared" si="45"/>
        <v>0</v>
      </c>
      <c r="H133">
        <f t="shared" si="46"/>
        <v>0</v>
      </c>
      <c r="I133">
        <f t="shared" si="37"/>
        <v>1</v>
      </c>
      <c r="J133">
        <f t="shared" si="47"/>
        <v>0</v>
      </c>
      <c r="K133">
        <f t="shared" si="48"/>
        <v>5</v>
      </c>
      <c r="L133" s="179">
        <f>'Aztec Metered Load'!C137</f>
        <v>3.6819999999999999</v>
      </c>
      <c r="O133" s="148">
        <f t="shared" si="41"/>
        <v>45773</v>
      </c>
      <c r="P133" s="182">
        <v>1</v>
      </c>
      <c r="Q133" s="182">
        <v>0</v>
      </c>
      <c r="R133" s="182">
        <v>0</v>
      </c>
      <c r="S133" s="182">
        <v>0</v>
      </c>
      <c r="T133" s="182">
        <v>1</v>
      </c>
      <c r="U133" s="182">
        <v>1</v>
      </c>
      <c r="V133" s="182">
        <v>1</v>
      </c>
      <c r="W133" s="182">
        <v>1</v>
      </c>
      <c r="X133" s="182">
        <v>0</v>
      </c>
      <c r="Y133" s="182">
        <v>0</v>
      </c>
      <c r="Z133" s="182">
        <v>0</v>
      </c>
      <c r="AA133" s="182">
        <v>0</v>
      </c>
      <c r="AB133" s="182">
        <v>0</v>
      </c>
      <c r="AC133" s="182">
        <v>0</v>
      </c>
      <c r="AD133" s="182">
        <v>0</v>
      </c>
      <c r="AE133" s="182">
        <v>0</v>
      </c>
      <c r="AF133" s="182">
        <v>0</v>
      </c>
      <c r="AG133" s="182">
        <v>0</v>
      </c>
      <c r="AH133" s="182">
        <v>1</v>
      </c>
      <c r="AI133" s="182">
        <v>1</v>
      </c>
      <c r="AJ133" s="182">
        <v>1</v>
      </c>
      <c r="AK133" s="182">
        <v>1</v>
      </c>
      <c r="AL133" s="182">
        <v>1</v>
      </c>
      <c r="AM133" s="182">
        <v>0</v>
      </c>
      <c r="AN133" s="152">
        <f t="shared" si="42"/>
        <v>10</v>
      </c>
    </row>
    <row r="134" spans="1:40" x14ac:dyDescent="0.3">
      <c r="A134" s="19">
        <f t="shared" si="50"/>
        <v>45753</v>
      </c>
      <c r="B134">
        <f t="shared" si="51"/>
        <v>12</v>
      </c>
      <c r="C134" s="16">
        <f>IFERROR(MATCH(A135,NERCHolidays!$B$2:$B$121,0),0)</f>
        <v>0</v>
      </c>
      <c r="D134">
        <f t="shared" si="49"/>
        <v>1</v>
      </c>
      <c r="E134" t="str">
        <f t="shared" si="43"/>
        <v>OP</v>
      </c>
      <c r="F134">
        <f t="shared" si="44"/>
        <v>5</v>
      </c>
      <c r="G134">
        <f t="shared" si="45"/>
        <v>0</v>
      </c>
      <c r="H134">
        <f t="shared" si="46"/>
        <v>0</v>
      </c>
      <c r="I134">
        <f t="shared" si="37"/>
        <v>1</v>
      </c>
      <c r="J134">
        <f t="shared" si="47"/>
        <v>0</v>
      </c>
      <c r="K134">
        <f t="shared" si="48"/>
        <v>5</v>
      </c>
      <c r="L134" s="179">
        <f>'Aztec Metered Load'!C138</f>
        <v>3.3759999999999999</v>
      </c>
      <c r="O134" s="148">
        <f t="shared" si="41"/>
        <v>45774</v>
      </c>
      <c r="P134" s="182">
        <v>1</v>
      </c>
      <c r="Q134" s="182">
        <v>1</v>
      </c>
      <c r="R134" s="182">
        <v>1</v>
      </c>
      <c r="S134" s="182">
        <v>1</v>
      </c>
      <c r="T134" s="182">
        <v>1</v>
      </c>
      <c r="U134" s="182">
        <v>1</v>
      </c>
      <c r="V134" s="182">
        <v>1</v>
      </c>
      <c r="W134" s="182">
        <v>1</v>
      </c>
      <c r="X134" s="182">
        <v>0</v>
      </c>
      <c r="Y134" s="182">
        <v>0</v>
      </c>
      <c r="Z134" s="182">
        <v>0</v>
      </c>
      <c r="AA134" s="182">
        <v>0</v>
      </c>
      <c r="AB134" s="182">
        <v>0</v>
      </c>
      <c r="AC134" s="182">
        <v>0</v>
      </c>
      <c r="AD134" s="182">
        <v>0</v>
      </c>
      <c r="AE134" s="182">
        <v>0</v>
      </c>
      <c r="AF134" s="182">
        <v>0</v>
      </c>
      <c r="AG134" s="182">
        <v>0</v>
      </c>
      <c r="AH134" s="182">
        <v>1</v>
      </c>
      <c r="AI134" s="182">
        <v>1</v>
      </c>
      <c r="AJ134" s="182">
        <v>1</v>
      </c>
      <c r="AK134" s="182">
        <v>1</v>
      </c>
      <c r="AL134" s="182">
        <v>1</v>
      </c>
      <c r="AM134" s="182">
        <v>0</v>
      </c>
      <c r="AN134" s="152">
        <f t="shared" si="42"/>
        <v>13</v>
      </c>
    </row>
    <row r="135" spans="1:40" x14ac:dyDescent="0.3">
      <c r="A135" s="19">
        <f t="shared" si="50"/>
        <v>45753</v>
      </c>
      <c r="B135">
        <f t="shared" si="51"/>
        <v>13</v>
      </c>
      <c r="C135" s="16">
        <f>IFERROR(MATCH(A136,NERCHolidays!$B$2:$B$121,0),0)</f>
        <v>0</v>
      </c>
      <c r="D135">
        <f t="shared" si="49"/>
        <v>1</v>
      </c>
      <c r="E135" t="str">
        <f t="shared" si="43"/>
        <v>OP</v>
      </c>
      <c r="F135">
        <f t="shared" si="44"/>
        <v>5</v>
      </c>
      <c r="G135">
        <f t="shared" si="45"/>
        <v>0</v>
      </c>
      <c r="H135">
        <f t="shared" si="46"/>
        <v>0</v>
      </c>
      <c r="I135">
        <f t="shared" si="37"/>
        <v>1</v>
      </c>
      <c r="J135">
        <f t="shared" si="47"/>
        <v>0</v>
      </c>
      <c r="K135">
        <f t="shared" si="48"/>
        <v>5</v>
      </c>
      <c r="L135" s="179">
        <f>'Aztec Metered Load'!C139</f>
        <v>3.5630000000000002</v>
      </c>
      <c r="O135" s="148">
        <f t="shared" si="41"/>
        <v>45775</v>
      </c>
      <c r="P135" s="182">
        <v>1</v>
      </c>
      <c r="Q135" s="182">
        <v>1</v>
      </c>
      <c r="R135" s="182">
        <v>1</v>
      </c>
      <c r="S135" s="182">
        <v>1</v>
      </c>
      <c r="T135" s="182">
        <v>1</v>
      </c>
      <c r="U135" s="182">
        <v>1</v>
      </c>
      <c r="V135" s="182">
        <v>1</v>
      </c>
      <c r="W135" s="182">
        <v>1</v>
      </c>
      <c r="X135" s="182">
        <v>0</v>
      </c>
      <c r="Y135" s="182">
        <v>0</v>
      </c>
      <c r="Z135" s="182">
        <v>0</v>
      </c>
      <c r="AA135" s="182">
        <v>0</v>
      </c>
      <c r="AB135" s="182">
        <v>0</v>
      </c>
      <c r="AC135" s="182">
        <v>0</v>
      </c>
      <c r="AD135" s="182">
        <v>0</v>
      </c>
      <c r="AE135" s="182">
        <v>0</v>
      </c>
      <c r="AF135" s="182">
        <v>0</v>
      </c>
      <c r="AG135" s="182">
        <v>0</v>
      </c>
      <c r="AH135" s="182">
        <v>1</v>
      </c>
      <c r="AI135" s="182">
        <v>1</v>
      </c>
      <c r="AJ135" s="182">
        <v>1</v>
      </c>
      <c r="AK135" s="182">
        <v>1</v>
      </c>
      <c r="AL135" s="182">
        <v>1</v>
      </c>
      <c r="AM135" s="182">
        <v>0</v>
      </c>
      <c r="AN135" s="152">
        <f t="shared" si="42"/>
        <v>13</v>
      </c>
    </row>
    <row r="136" spans="1:40" x14ac:dyDescent="0.3">
      <c r="A136" s="19">
        <f t="shared" si="50"/>
        <v>45753</v>
      </c>
      <c r="B136">
        <f t="shared" si="51"/>
        <v>14</v>
      </c>
      <c r="C136" s="16">
        <f>IFERROR(MATCH(A137,NERCHolidays!$B$2:$B$121,0),0)</f>
        <v>0</v>
      </c>
      <c r="D136">
        <f t="shared" si="49"/>
        <v>1</v>
      </c>
      <c r="E136" t="str">
        <f t="shared" si="43"/>
        <v>OP</v>
      </c>
      <c r="F136">
        <f t="shared" si="44"/>
        <v>5</v>
      </c>
      <c r="G136">
        <f t="shared" si="45"/>
        <v>0</v>
      </c>
      <c r="H136">
        <f t="shared" si="46"/>
        <v>0</v>
      </c>
      <c r="I136">
        <f t="shared" si="37"/>
        <v>1</v>
      </c>
      <c r="J136">
        <f t="shared" si="47"/>
        <v>0</v>
      </c>
      <c r="K136">
        <f t="shared" si="48"/>
        <v>5</v>
      </c>
      <c r="L136" s="179">
        <f>'Aztec Metered Load'!C140</f>
        <v>3.335</v>
      </c>
      <c r="O136" s="148">
        <f t="shared" si="41"/>
        <v>45776</v>
      </c>
      <c r="P136" s="182">
        <v>1</v>
      </c>
      <c r="Q136" s="182">
        <v>1</v>
      </c>
      <c r="R136" s="182">
        <v>1</v>
      </c>
      <c r="S136" s="182">
        <v>1</v>
      </c>
      <c r="T136" s="182">
        <v>1</v>
      </c>
      <c r="U136" s="182">
        <v>1</v>
      </c>
      <c r="V136" s="182">
        <v>1</v>
      </c>
      <c r="W136" s="182">
        <v>1</v>
      </c>
      <c r="X136" s="182">
        <v>0</v>
      </c>
      <c r="Y136" s="182">
        <v>0</v>
      </c>
      <c r="Z136" s="182">
        <v>0</v>
      </c>
      <c r="AA136" s="182">
        <v>0</v>
      </c>
      <c r="AB136" s="182">
        <v>0</v>
      </c>
      <c r="AC136" s="182">
        <v>0</v>
      </c>
      <c r="AD136" s="182">
        <v>0</v>
      </c>
      <c r="AE136" s="182">
        <v>0</v>
      </c>
      <c r="AF136" s="182">
        <v>0</v>
      </c>
      <c r="AG136" s="182">
        <v>0</v>
      </c>
      <c r="AH136" s="182">
        <v>1</v>
      </c>
      <c r="AI136" s="182">
        <v>1</v>
      </c>
      <c r="AJ136" s="182">
        <v>1</v>
      </c>
      <c r="AK136" s="182">
        <v>1</v>
      </c>
      <c r="AL136" s="182">
        <v>1</v>
      </c>
      <c r="AM136" s="182">
        <v>0</v>
      </c>
      <c r="AN136" s="152">
        <f t="shared" ref="AN136:AN137" si="52">SUM(P136:AM136)</f>
        <v>13</v>
      </c>
    </row>
    <row r="137" spans="1:40" x14ac:dyDescent="0.3">
      <c r="A137" s="19">
        <f t="shared" si="50"/>
        <v>45753</v>
      </c>
      <c r="B137">
        <f t="shared" si="51"/>
        <v>15</v>
      </c>
      <c r="C137" s="16">
        <f>IFERROR(MATCH(A138,NERCHolidays!$B$2:$B$121,0),0)</f>
        <v>0</v>
      </c>
      <c r="D137">
        <f t="shared" si="49"/>
        <v>1</v>
      </c>
      <c r="E137" t="str">
        <f t="shared" si="43"/>
        <v>OP</v>
      </c>
      <c r="F137">
        <f t="shared" si="44"/>
        <v>5</v>
      </c>
      <c r="G137">
        <f t="shared" si="45"/>
        <v>0</v>
      </c>
      <c r="H137">
        <f t="shared" si="46"/>
        <v>0</v>
      </c>
      <c r="I137">
        <f t="shared" si="37"/>
        <v>1</v>
      </c>
      <c r="J137">
        <f t="shared" si="47"/>
        <v>0</v>
      </c>
      <c r="K137">
        <f t="shared" si="48"/>
        <v>5</v>
      </c>
      <c r="L137" s="179">
        <f>'Aztec Metered Load'!C141</f>
        <v>3.2959999999999998</v>
      </c>
      <c r="O137" s="148">
        <f t="shared" si="41"/>
        <v>45777</v>
      </c>
      <c r="P137" s="182">
        <v>1</v>
      </c>
      <c r="Q137" s="182">
        <v>1</v>
      </c>
      <c r="R137" s="182">
        <v>1</v>
      </c>
      <c r="S137" s="182">
        <v>1</v>
      </c>
      <c r="T137" s="182">
        <v>1</v>
      </c>
      <c r="U137" s="182">
        <v>1</v>
      </c>
      <c r="V137" s="182">
        <v>1</v>
      </c>
      <c r="W137" s="182">
        <v>1</v>
      </c>
      <c r="X137" s="182">
        <v>0</v>
      </c>
      <c r="Y137" s="182">
        <v>0</v>
      </c>
      <c r="Z137" s="182">
        <v>0</v>
      </c>
      <c r="AA137" s="182">
        <v>0</v>
      </c>
      <c r="AB137" s="182">
        <v>0</v>
      </c>
      <c r="AC137" s="182">
        <v>0</v>
      </c>
      <c r="AD137" s="182">
        <v>0</v>
      </c>
      <c r="AE137" s="182">
        <v>0</v>
      </c>
      <c r="AF137" s="182">
        <v>0</v>
      </c>
      <c r="AG137" s="182">
        <v>0</v>
      </c>
      <c r="AH137" s="182">
        <v>1</v>
      </c>
      <c r="AI137" s="182">
        <v>1</v>
      </c>
      <c r="AJ137" s="182">
        <v>1</v>
      </c>
      <c r="AK137" s="182">
        <v>1</v>
      </c>
      <c r="AL137" s="182">
        <v>1</v>
      </c>
      <c r="AM137" s="182">
        <v>0</v>
      </c>
      <c r="AN137" s="152">
        <f t="shared" si="52"/>
        <v>13</v>
      </c>
    </row>
    <row r="138" spans="1:40" x14ac:dyDescent="0.3">
      <c r="A138" s="19">
        <f t="shared" si="50"/>
        <v>45753</v>
      </c>
      <c r="B138">
        <f t="shared" si="51"/>
        <v>16</v>
      </c>
      <c r="C138" s="16">
        <f>IFERROR(MATCH(A139,NERCHolidays!$B$2:$B$121,0),0)</f>
        <v>0</v>
      </c>
      <c r="D138">
        <f t="shared" si="49"/>
        <v>1</v>
      </c>
      <c r="E138" t="str">
        <f t="shared" si="43"/>
        <v>OP</v>
      </c>
      <c r="F138">
        <f t="shared" si="44"/>
        <v>5</v>
      </c>
      <c r="G138">
        <f t="shared" si="45"/>
        <v>0</v>
      </c>
      <c r="H138">
        <f t="shared" si="46"/>
        <v>0</v>
      </c>
      <c r="I138">
        <f t="shared" si="37"/>
        <v>1</v>
      </c>
      <c r="J138">
        <f t="shared" si="47"/>
        <v>0</v>
      </c>
      <c r="K138">
        <f t="shared" si="48"/>
        <v>5</v>
      </c>
      <c r="L138" s="179">
        <f>'Aztec Metered Load'!C142</f>
        <v>3.3620000000000001</v>
      </c>
      <c r="O138" s="148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  <c r="AK138" s="181"/>
      <c r="AL138" s="181"/>
      <c r="AM138" s="181"/>
      <c r="AN138" s="152">
        <f>SUM(P138:AM138)</f>
        <v>0</v>
      </c>
    </row>
    <row r="139" spans="1:40" x14ac:dyDescent="0.3">
      <c r="A139" s="19">
        <f t="shared" si="50"/>
        <v>45753</v>
      </c>
      <c r="B139">
        <f t="shared" si="51"/>
        <v>17</v>
      </c>
      <c r="C139" s="16">
        <f>IFERROR(MATCH(A140,NERCHolidays!$B$2:$B$121,0),0)</f>
        <v>0</v>
      </c>
      <c r="D139">
        <f t="shared" si="49"/>
        <v>1</v>
      </c>
      <c r="E139" t="str">
        <f t="shared" si="43"/>
        <v>OP</v>
      </c>
      <c r="F139">
        <f t="shared" si="44"/>
        <v>5</v>
      </c>
      <c r="G139">
        <f t="shared" si="45"/>
        <v>0</v>
      </c>
      <c r="H139">
        <f t="shared" si="46"/>
        <v>0</v>
      </c>
      <c r="I139">
        <f t="shared" si="37"/>
        <v>1</v>
      </c>
      <c r="J139">
        <f t="shared" si="47"/>
        <v>0</v>
      </c>
      <c r="K139">
        <f t="shared" si="48"/>
        <v>5</v>
      </c>
      <c r="L139" s="179">
        <f>'Aztec Metered Load'!C143</f>
        <v>3.649</v>
      </c>
      <c r="P139" s="155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52">
        <f>SUM(AN108:AN138)</f>
        <v>400</v>
      </c>
    </row>
    <row r="140" spans="1:40" x14ac:dyDescent="0.3">
      <c r="A140" s="19">
        <f t="shared" si="50"/>
        <v>45753</v>
      </c>
      <c r="B140">
        <f t="shared" si="51"/>
        <v>18</v>
      </c>
      <c r="C140" s="16">
        <f>IFERROR(MATCH(A141,NERCHolidays!$B$2:$B$121,0),0)</f>
        <v>0</v>
      </c>
      <c r="D140">
        <f t="shared" si="49"/>
        <v>1</v>
      </c>
      <c r="E140" t="str">
        <f t="shared" si="43"/>
        <v>OP</v>
      </c>
      <c r="F140">
        <f t="shared" si="44"/>
        <v>5</v>
      </c>
      <c r="G140">
        <f t="shared" si="45"/>
        <v>0</v>
      </c>
      <c r="H140">
        <f t="shared" si="46"/>
        <v>0</v>
      </c>
      <c r="I140">
        <f t="shared" ref="I140:I203" si="53">VLOOKUP(A140,$O$40:$AN$70,B140+2,FALSE)</f>
        <v>1</v>
      </c>
      <c r="J140">
        <f t="shared" si="47"/>
        <v>0</v>
      </c>
      <c r="K140">
        <f t="shared" si="48"/>
        <v>5</v>
      </c>
      <c r="L140" s="179">
        <f>'Aztec Metered Load'!C144</f>
        <v>3.964</v>
      </c>
      <c r="O140" s="149" t="s">
        <v>18</v>
      </c>
      <c r="P140" s="155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52"/>
    </row>
    <row r="141" spans="1:40" x14ac:dyDescent="0.3">
      <c r="A141" s="19">
        <f t="shared" si="50"/>
        <v>45753</v>
      </c>
      <c r="B141">
        <f t="shared" si="51"/>
        <v>19</v>
      </c>
      <c r="C141" s="16">
        <f>IFERROR(MATCH(A142,NERCHolidays!$B$2:$B$121,0),0)</f>
        <v>0</v>
      </c>
      <c r="D141">
        <f t="shared" si="49"/>
        <v>1</v>
      </c>
      <c r="E141" t="str">
        <f t="shared" si="43"/>
        <v>OP</v>
      </c>
      <c r="F141">
        <f t="shared" si="44"/>
        <v>5</v>
      </c>
      <c r="G141">
        <f t="shared" si="45"/>
        <v>1</v>
      </c>
      <c r="H141">
        <f t="shared" si="46"/>
        <v>0</v>
      </c>
      <c r="I141">
        <f t="shared" si="53"/>
        <v>1</v>
      </c>
      <c r="J141">
        <f t="shared" si="47"/>
        <v>0</v>
      </c>
      <c r="K141">
        <f t="shared" si="48"/>
        <v>6</v>
      </c>
      <c r="L141" s="179">
        <f>'Aztec Metered Load'!C145</f>
        <v>4.1079999999999997</v>
      </c>
      <c r="O141" s="146"/>
      <c r="P141" s="154" t="s">
        <v>25</v>
      </c>
      <c r="Q141" s="130" t="s">
        <v>26</v>
      </c>
      <c r="R141" s="130" t="s">
        <v>27</v>
      </c>
      <c r="S141" s="130" t="s">
        <v>28</v>
      </c>
      <c r="T141" s="130" t="s">
        <v>29</v>
      </c>
      <c r="U141" s="130" t="s">
        <v>30</v>
      </c>
      <c r="V141" s="130" t="s">
        <v>31</v>
      </c>
      <c r="W141" s="130" t="s">
        <v>32</v>
      </c>
      <c r="X141" s="130" t="s">
        <v>33</v>
      </c>
      <c r="Y141" s="130" t="s">
        <v>34</v>
      </c>
      <c r="Z141" s="130" t="s">
        <v>35</v>
      </c>
      <c r="AA141" s="130" t="s">
        <v>36</v>
      </c>
      <c r="AB141" s="130" t="s">
        <v>37</v>
      </c>
      <c r="AC141" s="130" t="s">
        <v>38</v>
      </c>
      <c r="AD141" s="130" t="s">
        <v>39</v>
      </c>
      <c r="AE141" s="130" t="s">
        <v>40</v>
      </c>
      <c r="AF141" s="130" t="s">
        <v>41</v>
      </c>
      <c r="AG141" s="130" t="s">
        <v>42</v>
      </c>
      <c r="AH141" s="130" t="s">
        <v>43</v>
      </c>
      <c r="AI141" s="130" t="s">
        <v>44</v>
      </c>
      <c r="AJ141" s="130" t="s">
        <v>45</v>
      </c>
      <c r="AK141" s="130" t="s">
        <v>46</v>
      </c>
      <c r="AL141" s="130" t="s">
        <v>47</v>
      </c>
      <c r="AM141" s="130" t="s">
        <v>48</v>
      </c>
      <c r="AN141" s="150" t="s">
        <v>49</v>
      </c>
    </row>
    <row r="142" spans="1:40" x14ac:dyDescent="0.3">
      <c r="A142" s="19">
        <f t="shared" si="50"/>
        <v>45753</v>
      </c>
      <c r="B142">
        <f t="shared" si="51"/>
        <v>20</v>
      </c>
      <c r="C142" s="16">
        <f>IFERROR(MATCH(A143,NERCHolidays!$B$2:$B$121,0),0)</f>
        <v>0</v>
      </c>
      <c r="D142">
        <f t="shared" si="49"/>
        <v>1</v>
      </c>
      <c r="E142" t="str">
        <f t="shared" si="43"/>
        <v>OP</v>
      </c>
      <c r="F142">
        <f t="shared" si="44"/>
        <v>5</v>
      </c>
      <c r="G142">
        <f t="shared" si="45"/>
        <v>1</v>
      </c>
      <c r="H142">
        <f t="shared" si="46"/>
        <v>0</v>
      </c>
      <c r="I142">
        <f t="shared" si="53"/>
        <v>1</v>
      </c>
      <c r="J142">
        <f t="shared" si="47"/>
        <v>0</v>
      </c>
      <c r="K142">
        <f t="shared" si="48"/>
        <v>6</v>
      </c>
      <c r="L142" s="179">
        <f>'Aztec Metered Load'!C146</f>
        <v>4.3559999999999999</v>
      </c>
      <c r="O142" s="148">
        <f t="shared" ref="O142:O171" si="54">O4</f>
        <v>45748</v>
      </c>
      <c r="P142" s="161">
        <v>0</v>
      </c>
      <c r="Q142" s="161">
        <v>0</v>
      </c>
      <c r="R142" s="161">
        <v>0</v>
      </c>
      <c r="S142" s="161">
        <v>0</v>
      </c>
      <c r="T142" s="161">
        <v>0</v>
      </c>
      <c r="U142" s="161">
        <v>0</v>
      </c>
      <c r="V142" s="161">
        <v>0</v>
      </c>
      <c r="W142" s="161">
        <v>0</v>
      </c>
      <c r="X142" s="161">
        <v>0</v>
      </c>
      <c r="Y142" s="161">
        <v>0</v>
      </c>
      <c r="Z142" s="161">
        <v>0</v>
      </c>
      <c r="AA142" s="161">
        <v>0</v>
      </c>
      <c r="AB142" s="161">
        <v>0</v>
      </c>
      <c r="AC142" s="161">
        <v>0</v>
      </c>
      <c r="AD142" s="161">
        <v>0</v>
      </c>
      <c r="AE142" s="161">
        <v>0</v>
      </c>
      <c r="AF142" s="161">
        <v>0</v>
      </c>
      <c r="AG142" s="161">
        <v>0</v>
      </c>
      <c r="AH142" s="161">
        <v>0</v>
      </c>
      <c r="AI142" s="161">
        <v>0</v>
      </c>
      <c r="AJ142" s="161">
        <v>0</v>
      </c>
      <c r="AK142" s="161">
        <v>0</v>
      </c>
      <c r="AL142" s="161">
        <v>0</v>
      </c>
      <c r="AM142" s="161">
        <v>0</v>
      </c>
      <c r="AN142" s="152">
        <f>SUM(P142:AM142)</f>
        <v>0</v>
      </c>
    </row>
    <row r="143" spans="1:40" x14ac:dyDescent="0.3">
      <c r="A143" s="19">
        <f t="shared" si="50"/>
        <v>45753</v>
      </c>
      <c r="B143">
        <f t="shared" si="51"/>
        <v>21</v>
      </c>
      <c r="C143" s="16">
        <f>IFERROR(MATCH(A144,NERCHolidays!$B$2:$B$121,0),0)</f>
        <v>0</v>
      </c>
      <c r="D143">
        <f t="shared" si="49"/>
        <v>1</v>
      </c>
      <c r="E143" t="str">
        <f t="shared" si="43"/>
        <v>OP</v>
      </c>
      <c r="F143">
        <f t="shared" si="44"/>
        <v>5</v>
      </c>
      <c r="G143">
        <f t="shared" si="45"/>
        <v>1</v>
      </c>
      <c r="H143">
        <f t="shared" si="46"/>
        <v>0</v>
      </c>
      <c r="I143">
        <f t="shared" si="53"/>
        <v>1</v>
      </c>
      <c r="J143">
        <f t="shared" si="47"/>
        <v>0</v>
      </c>
      <c r="K143">
        <f t="shared" si="48"/>
        <v>6</v>
      </c>
      <c r="L143" s="179">
        <f>'Aztec Metered Load'!C147</f>
        <v>4.3079999999999998</v>
      </c>
      <c r="O143" s="148">
        <f t="shared" si="54"/>
        <v>45749</v>
      </c>
      <c r="P143" s="161">
        <v>0</v>
      </c>
      <c r="Q143" s="161">
        <v>0</v>
      </c>
      <c r="R143" s="161">
        <v>0</v>
      </c>
      <c r="S143" s="161">
        <v>0</v>
      </c>
      <c r="T143" s="161">
        <v>0</v>
      </c>
      <c r="U143" s="161">
        <v>0</v>
      </c>
      <c r="V143" s="161">
        <v>0</v>
      </c>
      <c r="W143" s="161">
        <v>0</v>
      </c>
      <c r="X143" s="161">
        <v>0</v>
      </c>
      <c r="Y143" s="161">
        <v>0</v>
      </c>
      <c r="Z143" s="161">
        <v>0</v>
      </c>
      <c r="AA143" s="161">
        <v>0</v>
      </c>
      <c r="AB143" s="161">
        <v>0</v>
      </c>
      <c r="AC143" s="161">
        <v>0</v>
      </c>
      <c r="AD143" s="161">
        <v>0</v>
      </c>
      <c r="AE143" s="161">
        <v>0</v>
      </c>
      <c r="AF143" s="161">
        <v>0</v>
      </c>
      <c r="AG143" s="161">
        <v>0</v>
      </c>
      <c r="AH143" s="161">
        <v>0</v>
      </c>
      <c r="AI143" s="161">
        <v>0</v>
      </c>
      <c r="AJ143" s="161">
        <v>0</v>
      </c>
      <c r="AK143" s="161">
        <v>0</v>
      </c>
      <c r="AL143" s="161">
        <v>0</v>
      </c>
      <c r="AM143" s="161">
        <v>0</v>
      </c>
      <c r="AN143" s="152">
        <f t="shared" ref="AN143:AN172" si="55">SUM(P143:AM143)</f>
        <v>0</v>
      </c>
    </row>
    <row r="144" spans="1:40" x14ac:dyDescent="0.3">
      <c r="A144" s="19">
        <f t="shared" si="50"/>
        <v>45753</v>
      </c>
      <c r="B144">
        <f t="shared" si="51"/>
        <v>22</v>
      </c>
      <c r="C144" s="16">
        <f>IFERROR(MATCH(A145,NERCHolidays!$B$2:$B$121,0),0)</f>
        <v>0</v>
      </c>
      <c r="D144">
        <f t="shared" si="49"/>
        <v>1</v>
      </c>
      <c r="E144" t="str">
        <f t="shared" si="43"/>
        <v>OP</v>
      </c>
      <c r="F144">
        <f t="shared" si="44"/>
        <v>5</v>
      </c>
      <c r="G144">
        <f t="shared" si="45"/>
        <v>1</v>
      </c>
      <c r="H144">
        <f t="shared" si="46"/>
        <v>0</v>
      </c>
      <c r="I144">
        <f t="shared" si="53"/>
        <v>1</v>
      </c>
      <c r="J144">
        <f t="shared" si="47"/>
        <v>0</v>
      </c>
      <c r="K144">
        <f t="shared" si="48"/>
        <v>6</v>
      </c>
      <c r="L144" s="179">
        <f>'Aztec Metered Load'!C148</f>
        <v>4.0259999999999998</v>
      </c>
      <c r="O144" s="148">
        <f t="shared" si="54"/>
        <v>45750</v>
      </c>
      <c r="P144" s="161">
        <v>0</v>
      </c>
      <c r="Q144" s="161">
        <v>0</v>
      </c>
      <c r="R144" s="161">
        <v>0</v>
      </c>
      <c r="S144" s="161">
        <v>0</v>
      </c>
      <c r="T144" s="161">
        <v>0</v>
      </c>
      <c r="U144" s="161">
        <v>0</v>
      </c>
      <c r="V144" s="161">
        <v>0</v>
      </c>
      <c r="W144" s="161">
        <v>0</v>
      </c>
      <c r="X144" s="161">
        <v>0</v>
      </c>
      <c r="Y144" s="161">
        <v>0</v>
      </c>
      <c r="Z144" s="161">
        <v>0</v>
      </c>
      <c r="AA144" s="161">
        <v>0</v>
      </c>
      <c r="AB144" s="161">
        <v>0</v>
      </c>
      <c r="AC144" s="161">
        <v>0</v>
      </c>
      <c r="AD144" s="161">
        <v>0</v>
      </c>
      <c r="AE144" s="161">
        <v>0</v>
      </c>
      <c r="AF144" s="161">
        <v>0</v>
      </c>
      <c r="AG144" s="161">
        <v>0</v>
      </c>
      <c r="AH144" s="161">
        <v>0</v>
      </c>
      <c r="AI144" s="161">
        <v>0</v>
      </c>
      <c r="AJ144" s="161">
        <v>0</v>
      </c>
      <c r="AK144" s="161">
        <v>0</v>
      </c>
      <c r="AL144" s="161">
        <v>0</v>
      </c>
      <c r="AM144" s="161">
        <v>0</v>
      </c>
      <c r="AN144" s="152">
        <f t="shared" si="55"/>
        <v>0</v>
      </c>
    </row>
    <row r="145" spans="1:40" x14ac:dyDescent="0.3">
      <c r="A145" s="19">
        <f t="shared" si="50"/>
        <v>45753</v>
      </c>
      <c r="B145">
        <f t="shared" si="51"/>
        <v>23</v>
      </c>
      <c r="C145" s="16">
        <f>IFERROR(MATCH(A146,NERCHolidays!$B$2:$B$121,0),0)</f>
        <v>0</v>
      </c>
      <c r="D145">
        <f t="shared" si="49"/>
        <v>1</v>
      </c>
      <c r="E145" t="str">
        <f t="shared" si="43"/>
        <v>OP</v>
      </c>
      <c r="F145">
        <f t="shared" si="44"/>
        <v>5</v>
      </c>
      <c r="G145">
        <f t="shared" si="45"/>
        <v>1</v>
      </c>
      <c r="H145">
        <f t="shared" si="46"/>
        <v>0</v>
      </c>
      <c r="I145">
        <f t="shared" si="53"/>
        <v>1</v>
      </c>
      <c r="J145">
        <f t="shared" si="47"/>
        <v>0</v>
      </c>
      <c r="K145">
        <f t="shared" si="48"/>
        <v>6</v>
      </c>
      <c r="L145" s="179">
        <f>'Aztec Metered Load'!C149</f>
        <v>3.706</v>
      </c>
      <c r="O145" s="148">
        <f t="shared" si="54"/>
        <v>45751</v>
      </c>
      <c r="P145" s="161">
        <v>0</v>
      </c>
      <c r="Q145" s="161">
        <v>0</v>
      </c>
      <c r="R145" s="161">
        <v>0</v>
      </c>
      <c r="S145" s="161">
        <v>0</v>
      </c>
      <c r="T145" s="161">
        <v>0</v>
      </c>
      <c r="U145" s="161">
        <v>0</v>
      </c>
      <c r="V145" s="161">
        <v>0</v>
      </c>
      <c r="W145" s="161">
        <v>0</v>
      </c>
      <c r="X145" s="161">
        <v>0</v>
      </c>
      <c r="Y145" s="161">
        <v>0</v>
      </c>
      <c r="Z145" s="161">
        <v>0</v>
      </c>
      <c r="AA145" s="161">
        <v>0</v>
      </c>
      <c r="AB145" s="161">
        <v>0</v>
      </c>
      <c r="AC145" s="161">
        <v>0</v>
      </c>
      <c r="AD145" s="161">
        <v>0</v>
      </c>
      <c r="AE145" s="161">
        <v>0</v>
      </c>
      <c r="AF145" s="161">
        <v>0</v>
      </c>
      <c r="AG145" s="161">
        <v>0</v>
      </c>
      <c r="AH145" s="161">
        <v>0</v>
      </c>
      <c r="AI145" s="161">
        <v>0</v>
      </c>
      <c r="AJ145" s="161">
        <v>0</v>
      </c>
      <c r="AK145" s="161">
        <v>0</v>
      </c>
      <c r="AL145" s="161">
        <v>0</v>
      </c>
      <c r="AM145" s="161">
        <v>0</v>
      </c>
      <c r="AN145" s="152">
        <f t="shared" si="55"/>
        <v>0</v>
      </c>
    </row>
    <row r="146" spans="1:40" x14ac:dyDescent="0.3">
      <c r="A146" s="19">
        <f t="shared" si="50"/>
        <v>45753</v>
      </c>
      <c r="B146">
        <f t="shared" si="51"/>
        <v>24</v>
      </c>
      <c r="C146" s="16">
        <f>IFERROR(MATCH(A147,NERCHolidays!$B$2:$B$121,0),0)</f>
        <v>0</v>
      </c>
      <c r="D146">
        <f t="shared" si="49"/>
        <v>0</v>
      </c>
      <c r="E146" t="str">
        <f t="shared" si="43"/>
        <v>OP</v>
      </c>
      <c r="F146">
        <f t="shared" si="44"/>
        <v>5</v>
      </c>
      <c r="G146">
        <f t="shared" si="45"/>
        <v>0</v>
      </c>
      <c r="H146">
        <f t="shared" si="46"/>
        <v>0</v>
      </c>
      <c r="I146">
        <f t="shared" si="53"/>
        <v>1</v>
      </c>
      <c r="J146">
        <f t="shared" si="47"/>
        <v>0</v>
      </c>
      <c r="K146">
        <f t="shared" si="48"/>
        <v>5</v>
      </c>
      <c r="L146" s="179">
        <f>'Aztec Metered Load'!C150</f>
        <v>3.5790000000000002</v>
      </c>
      <c r="O146" s="148">
        <f t="shared" si="54"/>
        <v>45752</v>
      </c>
      <c r="P146" s="161">
        <v>0</v>
      </c>
      <c r="Q146" s="161">
        <v>0</v>
      </c>
      <c r="R146" s="161">
        <v>0</v>
      </c>
      <c r="S146" s="161">
        <v>0</v>
      </c>
      <c r="T146" s="161">
        <v>0</v>
      </c>
      <c r="U146" s="161">
        <v>0</v>
      </c>
      <c r="V146" s="161">
        <v>0</v>
      </c>
      <c r="W146" s="161">
        <v>0</v>
      </c>
      <c r="X146" s="161">
        <v>0</v>
      </c>
      <c r="Y146" s="161">
        <v>0</v>
      </c>
      <c r="Z146" s="161">
        <v>0</v>
      </c>
      <c r="AA146" s="161">
        <v>0</v>
      </c>
      <c r="AB146" s="161">
        <v>0</v>
      </c>
      <c r="AC146" s="161">
        <v>0</v>
      </c>
      <c r="AD146" s="161">
        <v>0</v>
      </c>
      <c r="AE146" s="161">
        <v>0</v>
      </c>
      <c r="AF146" s="161">
        <v>0</v>
      </c>
      <c r="AG146" s="161">
        <v>0</v>
      </c>
      <c r="AH146" s="161">
        <v>0</v>
      </c>
      <c r="AI146" s="161">
        <v>0</v>
      </c>
      <c r="AJ146" s="161">
        <v>0</v>
      </c>
      <c r="AK146" s="161">
        <v>0</v>
      </c>
      <c r="AL146" s="161">
        <v>0</v>
      </c>
      <c r="AM146" s="161">
        <v>0</v>
      </c>
      <c r="AN146" s="152">
        <f t="shared" si="55"/>
        <v>0</v>
      </c>
    </row>
    <row r="147" spans="1:40" x14ac:dyDescent="0.3">
      <c r="A147" s="19">
        <f t="shared" si="50"/>
        <v>45754</v>
      </c>
      <c r="B147">
        <f t="shared" si="51"/>
        <v>1</v>
      </c>
      <c r="C147" s="16">
        <f>IFERROR(MATCH(A148,NERCHolidays!$B$2:$B$121,0),0)</f>
        <v>0</v>
      </c>
      <c r="D147">
        <f t="shared" si="49"/>
        <v>0</v>
      </c>
      <c r="E147" t="str">
        <f t="shared" si="43"/>
        <v>OP</v>
      </c>
      <c r="F147">
        <f t="shared" si="44"/>
        <v>5</v>
      </c>
      <c r="G147">
        <f t="shared" si="45"/>
        <v>1</v>
      </c>
      <c r="H147">
        <f t="shared" si="46"/>
        <v>0</v>
      </c>
      <c r="I147">
        <f t="shared" si="53"/>
        <v>1</v>
      </c>
      <c r="J147">
        <f t="shared" si="47"/>
        <v>0</v>
      </c>
      <c r="K147">
        <f t="shared" si="48"/>
        <v>6</v>
      </c>
      <c r="L147" s="179">
        <f>'Aztec Metered Load'!C151</f>
        <v>3.5630000000000002</v>
      </c>
      <c r="O147" s="148">
        <f t="shared" si="54"/>
        <v>45753</v>
      </c>
      <c r="P147" s="161">
        <v>0</v>
      </c>
      <c r="Q147" s="161">
        <v>0</v>
      </c>
      <c r="R147" s="161">
        <v>0</v>
      </c>
      <c r="S147" s="161">
        <v>0</v>
      </c>
      <c r="T147" s="161">
        <v>0</v>
      </c>
      <c r="U147" s="161">
        <v>0</v>
      </c>
      <c r="V147" s="161">
        <v>0</v>
      </c>
      <c r="W147" s="161">
        <v>0</v>
      </c>
      <c r="X147" s="161">
        <v>0</v>
      </c>
      <c r="Y147" s="161">
        <v>0</v>
      </c>
      <c r="Z147" s="161">
        <v>0</v>
      </c>
      <c r="AA147" s="161">
        <v>0</v>
      </c>
      <c r="AB147" s="161">
        <v>0</v>
      </c>
      <c r="AC147" s="161">
        <v>0</v>
      </c>
      <c r="AD147" s="161">
        <v>0</v>
      </c>
      <c r="AE147" s="161">
        <v>0</v>
      </c>
      <c r="AF147" s="161">
        <v>0</v>
      </c>
      <c r="AG147" s="161">
        <v>0</v>
      </c>
      <c r="AH147" s="161">
        <v>0</v>
      </c>
      <c r="AI147" s="161">
        <v>0</v>
      </c>
      <c r="AJ147" s="161">
        <v>0</v>
      </c>
      <c r="AK147" s="161">
        <v>0</v>
      </c>
      <c r="AL147" s="161">
        <v>0</v>
      </c>
      <c r="AM147" s="161">
        <v>0</v>
      </c>
      <c r="AN147" s="152">
        <f t="shared" si="55"/>
        <v>0</v>
      </c>
    </row>
    <row r="148" spans="1:40" x14ac:dyDescent="0.3">
      <c r="A148" s="19">
        <f t="shared" si="50"/>
        <v>45754</v>
      </c>
      <c r="B148">
        <f t="shared" si="51"/>
        <v>2</v>
      </c>
      <c r="C148" s="16">
        <f>IFERROR(MATCH(A149,NERCHolidays!$B$2:$B$121,0),0)</f>
        <v>0</v>
      </c>
      <c r="D148">
        <f t="shared" si="49"/>
        <v>0</v>
      </c>
      <c r="E148" t="str">
        <f t="shared" si="43"/>
        <v>OP</v>
      </c>
      <c r="F148">
        <f t="shared" si="44"/>
        <v>5</v>
      </c>
      <c r="G148">
        <f t="shared" si="45"/>
        <v>1</v>
      </c>
      <c r="H148">
        <f t="shared" si="46"/>
        <v>0</v>
      </c>
      <c r="I148">
        <f t="shared" si="53"/>
        <v>1</v>
      </c>
      <c r="J148">
        <f t="shared" si="47"/>
        <v>0</v>
      </c>
      <c r="K148">
        <f t="shared" si="48"/>
        <v>6</v>
      </c>
      <c r="L148" s="179">
        <f>'Aztec Metered Load'!C152</f>
        <v>3.6190000000000002</v>
      </c>
      <c r="O148" s="148">
        <f t="shared" si="54"/>
        <v>45754</v>
      </c>
      <c r="P148" s="161">
        <v>0</v>
      </c>
      <c r="Q148" s="161">
        <v>0</v>
      </c>
      <c r="R148" s="161">
        <v>0</v>
      </c>
      <c r="S148" s="161">
        <v>0</v>
      </c>
      <c r="T148" s="161">
        <v>0</v>
      </c>
      <c r="U148" s="161">
        <v>0</v>
      </c>
      <c r="V148" s="161">
        <v>0</v>
      </c>
      <c r="W148" s="161">
        <v>0</v>
      </c>
      <c r="X148" s="161">
        <v>0</v>
      </c>
      <c r="Y148" s="161">
        <v>0</v>
      </c>
      <c r="Z148" s="161">
        <v>0</v>
      </c>
      <c r="AA148" s="161">
        <v>0</v>
      </c>
      <c r="AB148" s="161">
        <v>0</v>
      </c>
      <c r="AC148" s="161">
        <v>0</v>
      </c>
      <c r="AD148" s="161">
        <v>0</v>
      </c>
      <c r="AE148" s="161">
        <v>0</v>
      </c>
      <c r="AF148" s="161">
        <v>0</v>
      </c>
      <c r="AG148" s="161">
        <v>0</v>
      </c>
      <c r="AH148" s="161">
        <v>0</v>
      </c>
      <c r="AI148" s="161">
        <v>0</v>
      </c>
      <c r="AJ148" s="161">
        <v>0</v>
      </c>
      <c r="AK148" s="161">
        <v>0</v>
      </c>
      <c r="AL148" s="161">
        <v>0</v>
      </c>
      <c r="AM148" s="161">
        <v>0</v>
      </c>
      <c r="AN148" s="152">
        <f t="shared" si="55"/>
        <v>0</v>
      </c>
    </row>
    <row r="149" spans="1:40" x14ac:dyDescent="0.3">
      <c r="A149" s="19">
        <f t="shared" si="50"/>
        <v>45754</v>
      </c>
      <c r="B149">
        <f t="shared" si="51"/>
        <v>3</v>
      </c>
      <c r="C149" s="16">
        <f>IFERROR(MATCH(A150,NERCHolidays!$B$2:$B$121,0),0)</f>
        <v>0</v>
      </c>
      <c r="D149">
        <f t="shared" si="49"/>
        <v>0</v>
      </c>
      <c r="E149" t="str">
        <f t="shared" si="43"/>
        <v>OP</v>
      </c>
      <c r="F149">
        <f t="shared" si="44"/>
        <v>5</v>
      </c>
      <c r="G149">
        <f t="shared" si="45"/>
        <v>1</v>
      </c>
      <c r="H149">
        <f t="shared" si="46"/>
        <v>0</v>
      </c>
      <c r="I149">
        <f t="shared" si="53"/>
        <v>2</v>
      </c>
      <c r="J149">
        <f t="shared" si="47"/>
        <v>0</v>
      </c>
      <c r="K149">
        <f t="shared" si="48"/>
        <v>6</v>
      </c>
      <c r="L149" s="179">
        <f>'Aztec Metered Load'!C153</f>
        <v>3.7549999999999999</v>
      </c>
      <c r="O149" s="148">
        <f t="shared" si="54"/>
        <v>45755</v>
      </c>
      <c r="P149" s="161">
        <v>0</v>
      </c>
      <c r="Q149" s="161">
        <v>0</v>
      </c>
      <c r="R149" s="161">
        <v>0</v>
      </c>
      <c r="S149" s="161">
        <v>0</v>
      </c>
      <c r="T149" s="161">
        <v>0</v>
      </c>
      <c r="U149" s="161">
        <v>0</v>
      </c>
      <c r="V149" s="161">
        <v>0</v>
      </c>
      <c r="W149" s="161">
        <v>0</v>
      </c>
      <c r="X149" s="161">
        <v>0</v>
      </c>
      <c r="Y149" s="161">
        <v>0</v>
      </c>
      <c r="Z149" s="161">
        <v>0</v>
      </c>
      <c r="AA149" s="161">
        <v>0</v>
      </c>
      <c r="AB149" s="161">
        <v>0</v>
      </c>
      <c r="AC149" s="161">
        <v>0</v>
      </c>
      <c r="AD149" s="161">
        <v>0</v>
      </c>
      <c r="AE149" s="161">
        <v>0</v>
      </c>
      <c r="AF149" s="161">
        <v>0</v>
      </c>
      <c r="AG149" s="161">
        <v>0</v>
      </c>
      <c r="AH149" s="161">
        <v>0</v>
      </c>
      <c r="AI149" s="161">
        <v>0</v>
      </c>
      <c r="AJ149" s="161">
        <v>0</v>
      </c>
      <c r="AK149" s="161">
        <v>0</v>
      </c>
      <c r="AL149" s="161">
        <v>0</v>
      </c>
      <c r="AM149" s="161">
        <v>0</v>
      </c>
      <c r="AN149" s="152">
        <f t="shared" si="55"/>
        <v>0</v>
      </c>
    </row>
    <row r="150" spans="1:40" x14ac:dyDescent="0.3">
      <c r="A150" s="19">
        <f t="shared" si="50"/>
        <v>45754</v>
      </c>
      <c r="B150">
        <f t="shared" si="51"/>
        <v>4</v>
      </c>
      <c r="C150" s="16">
        <f>IFERROR(MATCH(A151,NERCHolidays!$B$2:$B$121,0),0)</f>
        <v>0</v>
      </c>
      <c r="D150">
        <f t="shared" si="49"/>
        <v>0</v>
      </c>
      <c r="E150" t="str">
        <f t="shared" si="43"/>
        <v>OP</v>
      </c>
      <c r="F150">
        <f t="shared" si="44"/>
        <v>5</v>
      </c>
      <c r="G150">
        <f t="shared" si="45"/>
        <v>1</v>
      </c>
      <c r="H150">
        <f t="shared" si="46"/>
        <v>0</v>
      </c>
      <c r="I150">
        <f t="shared" si="53"/>
        <v>2</v>
      </c>
      <c r="J150">
        <f t="shared" si="47"/>
        <v>0</v>
      </c>
      <c r="K150">
        <f t="shared" si="48"/>
        <v>6</v>
      </c>
      <c r="L150" s="179">
        <f>'Aztec Metered Load'!C154</f>
        <v>3.968</v>
      </c>
      <c r="O150" s="148">
        <f t="shared" si="54"/>
        <v>45756</v>
      </c>
      <c r="P150" s="161">
        <v>0</v>
      </c>
      <c r="Q150" s="161">
        <v>0</v>
      </c>
      <c r="R150" s="161">
        <v>0</v>
      </c>
      <c r="S150" s="161">
        <v>0</v>
      </c>
      <c r="T150" s="161">
        <v>0</v>
      </c>
      <c r="U150" s="161">
        <v>0</v>
      </c>
      <c r="V150" s="161">
        <v>0</v>
      </c>
      <c r="W150" s="161">
        <v>0</v>
      </c>
      <c r="X150" s="161">
        <v>0</v>
      </c>
      <c r="Y150" s="161">
        <v>0</v>
      </c>
      <c r="Z150" s="161">
        <v>0</v>
      </c>
      <c r="AA150" s="161">
        <v>0</v>
      </c>
      <c r="AB150" s="161">
        <v>0</v>
      </c>
      <c r="AC150" s="161">
        <v>0</v>
      </c>
      <c r="AD150" s="161">
        <v>0</v>
      </c>
      <c r="AE150" s="161">
        <v>0</v>
      </c>
      <c r="AF150" s="161">
        <v>0</v>
      </c>
      <c r="AG150" s="161">
        <v>0</v>
      </c>
      <c r="AH150" s="161">
        <v>0</v>
      </c>
      <c r="AI150" s="161">
        <v>0</v>
      </c>
      <c r="AJ150" s="161">
        <v>0</v>
      </c>
      <c r="AK150" s="161">
        <v>0</v>
      </c>
      <c r="AL150" s="161">
        <v>0</v>
      </c>
      <c r="AM150" s="161">
        <v>0</v>
      </c>
      <c r="AN150" s="152">
        <f t="shared" si="55"/>
        <v>0</v>
      </c>
    </row>
    <row r="151" spans="1:40" x14ac:dyDescent="0.3">
      <c r="A151" s="19">
        <f t="shared" si="50"/>
        <v>45754</v>
      </c>
      <c r="B151">
        <f t="shared" si="51"/>
        <v>5</v>
      </c>
      <c r="C151" s="16">
        <f>IFERROR(MATCH(A152,NERCHolidays!$B$2:$B$121,0),0)</f>
        <v>0</v>
      </c>
      <c r="D151">
        <f t="shared" si="49"/>
        <v>0</v>
      </c>
      <c r="E151" t="str">
        <f t="shared" si="43"/>
        <v>OP</v>
      </c>
      <c r="F151">
        <f t="shared" si="44"/>
        <v>5</v>
      </c>
      <c r="G151">
        <f t="shared" si="45"/>
        <v>1</v>
      </c>
      <c r="H151">
        <f t="shared" si="46"/>
        <v>0</v>
      </c>
      <c r="I151">
        <f t="shared" si="53"/>
        <v>2</v>
      </c>
      <c r="J151">
        <f t="shared" si="47"/>
        <v>0</v>
      </c>
      <c r="K151">
        <f t="shared" si="48"/>
        <v>6</v>
      </c>
      <c r="L151" s="179">
        <f>'Aztec Metered Load'!C155</f>
        <v>4.2919999999999998</v>
      </c>
      <c r="O151" s="148">
        <f t="shared" si="54"/>
        <v>45757</v>
      </c>
      <c r="P151" s="161">
        <v>0</v>
      </c>
      <c r="Q151" s="161">
        <v>0</v>
      </c>
      <c r="R151" s="161">
        <v>0</v>
      </c>
      <c r="S151" s="161">
        <v>0</v>
      </c>
      <c r="T151" s="161">
        <v>0</v>
      </c>
      <c r="U151" s="161">
        <v>0</v>
      </c>
      <c r="V151" s="161">
        <v>0</v>
      </c>
      <c r="W151" s="161">
        <v>0</v>
      </c>
      <c r="X151" s="161">
        <v>0</v>
      </c>
      <c r="Y151" s="161">
        <v>0</v>
      </c>
      <c r="Z151" s="161">
        <v>0</v>
      </c>
      <c r="AA151" s="161">
        <v>0</v>
      </c>
      <c r="AB151" s="161">
        <v>0</v>
      </c>
      <c r="AC151" s="161">
        <v>0</v>
      </c>
      <c r="AD151" s="161">
        <v>0</v>
      </c>
      <c r="AE151" s="161">
        <v>0</v>
      </c>
      <c r="AF151" s="161">
        <v>0</v>
      </c>
      <c r="AG151" s="161">
        <v>0</v>
      </c>
      <c r="AH151" s="161">
        <v>0</v>
      </c>
      <c r="AI151" s="161">
        <v>0</v>
      </c>
      <c r="AJ151" s="161">
        <v>0</v>
      </c>
      <c r="AK151" s="161">
        <v>0</v>
      </c>
      <c r="AL151" s="161">
        <v>0</v>
      </c>
      <c r="AM151" s="161">
        <v>0</v>
      </c>
      <c r="AN151" s="152">
        <f t="shared" si="55"/>
        <v>0</v>
      </c>
    </row>
    <row r="152" spans="1:40" x14ac:dyDescent="0.3">
      <c r="A152" s="19">
        <f t="shared" si="50"/>
        <v>45754</v>
      </c>
      <c r="B152">
        <f t="shared" si="51"/>
        <v>6</v>
      </c>
      <c r="C152" s="16">
        <f>IFERROR(MATCH(A153,NERCHolidays!$B$2:$B$121,0),0)</f>
        <v>0</v>
      </c>
      <c r="D152">
        <f t="shared" si="49"/>
        <v>0</v>
      </c>
      <c r="E152" t="str">
        <f t="shared" si="43"/>
        <v>OP</v>
      </c>
      <c r="F152">
        <f t="shared" si="44"/>
        <v>5</v>
      </c>
      <c r="G152">
        <f t="shared" si="45"/>
        <v>1</v>
      </c>
      <c r="H152">
        <f t="shared" si="46"/>
        <v>0</v>
      </c>
      <c r="I152">
        <f t="shared" si="53"/>
        <v>2</v>
      </c>
      <c r="J152">
        <f t="shared" si="47"/>
        <v>0</v>
      </c>
      <c r="K152">
        <f t="shared" si="48"/>
        <v>6</v>
      </c>
      <c r="L152" s="179">
        <f>'Aztec Metered Load'!C156</f>
        <v>4.9770000000000003</v>
      </c>
      <c r="O152" s="148">
        <f t="shared" si="54"/>
        <v>45758</v>
      </c>
      <c r="P152" s="161">
        <v>0</v>
      </c>
      <c r="Q152" s="161">
        <v>0</v>
      </c>
      <c r="R152" s="161">
        <v>0</v>
      </c>
      <c r="S152" s="161">
        <v>0</v>
      </c>
      <c r="T152" s="161">
        <v>0</v>
      </c>
      <c r="U152" s="161">
        <v>0</v>
      </c>
      <c r="V152" s="161">
        <v>0</v>
      </c>
      <c r="W152" s="161">
        <v>0</v>
      </c>
      <c r="X152" s="161">
        <v>0</v>
      </c>
      <c r="Y152" s="161">
        <v>0</v>
      </c>
      <c r="Z152" s="161">
        <v>0</v>
      </c>
      <c r="AA152" s="161">
        <v>0</v>
      </c>
      <c r="AB152" s="161">
        <v>0</v>
      </c>
      <c r="AC152" s="161">
        <v>0</v>
      </c>
      <c r="AD152" s="161">
        <v>0</v>
      </c>
      <c r="AE152" s="161">
        <v>0</v>
      </c>
      <c r="AF152" s="161">
        <v>0</v>
      </c>
      <c r="AG152" s="161">
        <v>0</v>
      </c>
      <c r="AH152" s="161">
        <v>0</v>
      </c>
      <c r="AI152" s="161">
        <v>0</v>
      </c>
      <c r="AJ152" s="161">
        <v>0</v>
      </c>
      <c r="AK152" s="161">
        <v>0</v>
      </c>
      <c r="AL152" s="161">
        <v>0</v>
      </c>
      <c r="AM152" s="161">
        <v>0</v>
      </c>
      <c r="AN152" s="152">
        <f t="shared" si="55"/>
        <v>0</v>
      </c>
    </row>
    <row r="153" spans="1:40" x14ac:dyDescent="0.3">
      <c r="A153" s="19">
        <f t="shared" si="50"/>
        <v>45754</v>
      </c>
      <c r="B153">
        <f t="shared" si="51"/>
        <v>7</v>
      </c>
      <c r="C153" s="16">
        <f>IFERROR(MATCH(A154,NERCHolidays!$B$2:$B$121,0),0)</f>
        <v>0</v>
      </c>
      <c r="D153">
        <f t="shared" si="49"/>
        <v>0</v>
      </c>
      <c r="E153" t="str">
        <f t="shared" si="43"/>
        <v>OP</v>
      </c>
      <c r="F153">
        <f t="shared" si="44"/>
        <v>5</v>
      </c>
      <c r="G153">
        <f t="shared" si="45"/>
        <v>1</v>
      </c>
      <c r="H153">
        <f t="shared" si="46"/>
        <v>0</v>
      </c>
      <c r="I153">
        <f t="shared" si="53"/>
        <v>1</v>
      </c>
      <c r="J153">
        <f t="shared" si="47"/>
        <v>0</v>
      </c>
      <c r="K153">
        <f t="shared" si="48"/>
        <v>6</v>
      </c>
      <c r="L153" s="179">
        <f>'Aztec Metered Load'!C157</f>
        <v>5.2729999999999997</v>
      </c>
      <c r="O153" s="148">
        <f t="shared" si="54"/>
        <v>45759</v>
      </c>
      <c r="P153" s="161">
        <v>0</v>
      </c>
      <c r="Q153" s="161">
        <v>0</v>
      </c>
      <c r="R153" s="161">
        <v>0</v>
      </c>
      <c r="S153" s="161">
        <v>0</v>
      </c>
      <c r="T153" s="161">
        <v>0</v>
      </c>
      <c r="U153" s="161">
        <v>0</v>
      </c>
      <c r="V153" s="161">
        <v>0</v>
      </c>
      <c r="W153" s="161">
        <v>0</v>
      </c>
      <c r="X153" s="161">
        <v>0</v>
      </c>
      <c r="Y153" s="161">
        <v>0</v>
      </c>
      <c r="Z153" s="161">
        <v>0</v>
      </c>
      <c r="AA153" s="161">
        <v>0</v>
      </c>
      <c r="AB153" s="161">
        <v>0</v>
      </c>
      <c r="AC153" s="161">
        <v>0</v>
      </c>
      <c r="AD153" s="161">
        <v>0</v>
      </c>
      <c r="AE153" s="161">
        <v>0</v>
      </c>
      <c r="AF153" s="161">
        <v>0</v>
      </c>
      <c r="AG153" s="161">
        <v>0</v>
      </c>
      <c r="AH153" s="161">
        <v>0</v>
      </c>
      <c r="AI153" s="161">
        <v>0</v>
      </c>
      <c r="AJ153" s="161">
        <v>0</v>
      </c>
      <c r="AK153" s="161">
        <v>0</v>
      </c>
      <c r="AL153" s="161">
        <v>0</v>
      </c>
      <c r="AM153" s="161">
        <v>0</v>
      </c>
      <c r="AN153" s="152">
        <f t="shared" si="55"/>
        <v>0</v>
      </c>
    </row>
    <row r="154" spans="1:40" x14ac:dyDescent="0.3">
      <c r="A154" s="19">
        <f t="shared" si="50"/>
        <v>45754</v>
      </c>
      <c r="B154">
        <f t="shared" si="51"/>
        <v>8</v>
      </c>
      <c r="C154" s="16">
        <f>IFERROR(MATCH(A155,NERCHolidays!$B$2:$B$121,0),0)</f>
        <v>0</v>
      </c>
      <c r="D154">
        <f t="shared" si="49"/>
        <v>1</v>
      </c>
      <c r="E154" t="str">
        <f t="shared" si="43"/>
        <v>PK</v>
      </c>
      <c r="F154">
        <f t="shared" si="44"/>
        <v>5</v>
      </c>
      <c r="G154">
        <f t="shared" si="45"/>
        <v>1</v>
      </c>
      <c r="H154">
        <f t="shared" si="46"/>
        <v>0</v>
      </c>
      <c r="I154">
        <f t="shared" si="53"/>
        <v>1</v>
      </c>
      <c r="J154">
        <f t="shared" si="47"/>
        <v>0</v>
      </c>
      <c r="K154">
        <f t="shared" si="48"/>
        <v>6</v>
      </c>
      <c r="L154" s="179">
        <f>'Aztec Metered Load'!C158</f>
        <v>4.9939999999999998</v>
      </c>
      <c r="O154" s="148">
        <f t="shared" si="54"/>
        <v>45760</v>
      </c>
      <c r="P154" s="161">
        <v>0</v>
      </c>
      <c r="Q154" s="161">
        <v>0</v>
      </c>
      <c r="R154" s="161">
        <v>0</v>
      </c>
      <c r="S154" s="161">
        <v>0</v>
      </c>
      <c r="T154" s="161">
        <v>0</v>
      </c>
      <c r="U154" s="161">
        <v>0</v>
      </c>
      <c r="V154" s="161">
        <v>0</v>
      </c>
      <c r="W154" s="161">
        <v>0</v>
      </c>
      <c r="X154" s="161">
        <v>0</v>
      </c>
      <c r="Y154" s="161">
        <v>0</v>
      </c>
      <c r="Z154" s="161">
        <v>0</v>
      </c>
      <c r="AA154" s="161">
        <v>0</v>
      </c>
      <c r="AB154" s="161">
        <v>0</v>
      </c>
      <c r="AC154" s="161">
        <v>0</v>
      </c>
      <c r="AD154" s="161">
        <v>0</v>
      </c>
      <c r="AE154" s="161">
        <v>0</v>
      </c>
      <c r="AF154" s="161">
        <v>0</v>
      </c>
      <c r="AG154" s="161">
        <v>0</v>
      </c>
      <c r="AH154" s="161">
        <v>0</v>
      </c>
      <c r="AI154" s="161">
        <v>0</v>
      </c>
      <c r="AJ154" s="161">
        <v>0</v>
      </c>
      <c r="AK154" s="161">
        <v>0</v>
      </c>
      <c r="AL154" s="161">
        <v>0</v>
      </c>
      <c r="AM154" s="161">
        <v>0</v>
      </c>
      <c r="AN154" s="152">
        <f t="shared" si="55"/>
        <v>0</v>
      </c>
    </row>
    <row r="155" spans="1:40" x14ac:dyDescent="0.3">
      <c r="A155" s="19">
        <f t="shared" si="50"/>
        <v>45754</v>
      </c>
      <c r="B155">
        <f t="shared" si="51"/>
        <v>9</v>
      </c>
      <c r="C155" s="16">
        <f>IFERROR(MATCH(A156,NERCHolidays!$B$2:$B$121,0),0)</f>
        <v>0</v>
      </c>
      <c r="D155">
        <f t="shared" si="49"/>
        <v>1</v>
      </c>
      <c r="E155" t="str">
        <f t="shared" si="43"/>
        <v>PK</v>
      </c>
      <c r="F155">
        <f t="shared" si="44"/>
        <v>5</v>
      </c>
      <c r="G155">
        <f t="shared" si="45"/>
        <v>1</v>
      </c>
      <c r="H155">
        <f t="shared" si="46"/>
        <v>0</v>
      </c>
      <c r="I155">
        <f t="shared" si="53"/>
        <v>1</v>
      </c>
      <c r="J155">
        <f t="shared" si="47"/>
        <v>0</v>
      </c>
      <c r="K155">
        <f t="shared" si="48"/>
        <v>6</v>
      </c>
      <c r="L155" s="179">
        <f>'Aztec Metered Load'!C159</f>
        <v>4.5049999999999999</v>
      </c>
      <c r="O155" s="148">
        <f t="shared" si="54"/>
        <v>45761</v>
      </c>
      <c r="P155" s="161">
        <v>0</v>
      </c>
      <c r="Q155" s="161">
        <v>0</v>
      </c>
      <c r="R155" s="161">
        <v>0</v>
      </c>
      <c r="S155" s="161">
        <v>0</v>
      </c>
      <c r="T155" s="161">
        <v>0</v>
      </c>
      <c r="U155" s="161">
        <v>0</v>
      </c>
      <c r="V155" s="161">
        <v>0</v>
      </c>
      <c r="W155" s="161">
        <v>0</v>
      </c>
      <c r="X155" s="161">
        <v>0</v>
      </c>
      <c r="Y155" s="161">
        <v>0</v>
      </c>
      <c r="Z155" s="161">
        <v>0</v>
      </c>
      <c r="AA155" s="161">
        <v>0</v>
      </c>
      <c r="AB155" s="161">
        <v>0</v>
      </c>
      <c r="AC155" s="161">
        <v>0</v>
      </c>
      <c r="AD155" s="161">
        <v>0</v>
      </c>
      <c r="AE155" s="161">
        <v>0</v>
      </c>
      <c r="AF155" s="161">
        <v>0</v>
      </c>
      <c r="AG155" s="161">
        <v>0</v>
      </c>
      <c r="AH155" s="161">
        <v>0</v>
      </c>
      <c r="AI155" s="161">
        <v>0</v>
      </c>
      <c r="AJ155" s="161">
        <v>0</v>
      </c>
      <c r="AK155" s="161">
        <v>0</v>
      </c>
      <c r="AL155" s="161">
        <v>0</v>
      </c>
      <c r="AM155" s="161">
        <v>0</v>
      </c>
      <c r="AN155" s="152">
        <f t="shared" si="55"/>
        <v>0</v>
      </c>
    </row>
    <row r="156" spans="1:40" x14ac:dyDescent="0.3">
      <c r="A156" s="19">
        <f t="shared" si="50"/>
        <v>45754</v>
      </c>
      <c r="B156">
        <f t="shared" si="51"/>
        <v>10</v>
      </c>
      <c r="C156" s="16">
        <f>IFERROR(MATCH(A157,NERCHolidays!$B$2:$B$121,0),0)</f>
        <v>0</v>
      </c>
      <c r="D156">
        <f t="shared" si="49"/>
        <v>1</v>
      </c>
      <c r="E156" t="str">
        <f t="shared" si="43"/>
        <v>PK</v>
      </c>
      <c r="F156">
        <f t="shared" si="44"/>
        <v>5</v>
      </c>
      <c r="G156">
        <f t="shared" si="45"/>
        <v>0</v>
      </c>
      <c r="H156">
        <f t="shared" si="46"/>
        <v>0</v>
      </c>
      <c r="I156">
        <f t="shared" si="53"/>
        <v>1</v>
      </c>
      <c r="J156">
        <f t="shared" si="47"/>
        <v>0</v>
      </c>
      <c r="K156">
        <f t="shared" si="48"/>
        <v>5</v>
      </c>
      <c r="L156" s="179">
        <f>'Aztec Metered Load'!C160</f>
        <v>4.2569999999999997</v>
      </c>
      <c r="O156" s="148">
        <f t="shared" si="54"/>
        <v>45762</v>
      </c>
      <c r="P156" s="161">
        <v>0</v>
      </c>
      <c r="Q156" s="161">
        <v>0</v>
      </c>
      <c r="R156" s="161">
        <v>0</v>
      </c>
      <c r="S156" s="161">
        <v>0</v>
      </c>
      <c r="T156" s="161">
        <v>0</v>
      </c>
      <c r="U156" s="161">
        <v>0</v>
      </c>
      <c r="V156" s="161">
        <v>0</v>
      </c>
      <c r="W156" s="161">
        <v>0</v>
      </c>
      <c r="X156" s="161">
        <v>0</v>
      </c>
      <c r="Y156" s="161">
        <v>0</v>
      </c>
      <c r="Z156" s="161">
        <v>0</v>
      </c>
      <c r="AA156" s="161">
        <v>0</v>
      </c>
      <c r="AB156" s="161">
        <v>0</v>
      </c>
      <c r="AC156" s="161">
        <v>0</v>
      </c>
      <c r="AD156" s="161">
        <v>0</v>
      </c>
      <c r="AE156" s="161">
        <v>0</v>
      </c>
      <c r="AF156" s="161">
        <v>0</v>
      </c>
      <c r="AG156" s="161">
        <v>0</v>
      </c>
      <c r="AH156" s="161">
        <v>0</v>
      </c>
      <c r="AI156" s="161">
        <v>0</v>
      </c>
      <c r="AJ156" s="161">
        <v>0</v>
      </c>
      <c r="AK156" s="161">
        <v>0</v>
      </c>
      <c r="AL156" s="161">
        <v>0</v>
      </c>
      <c r="AM156" s="161">
        <v>0</v>
      </c>
      <c r="AN156" s="152">
        <f t="shared" si="55"/>
        <v>0</v>
      </c>
    </row>
    <row r="157" spans="1:40" x14ac:dyDescent="0.3">
      <c r="A157" s="19">
        <f t="shared" si="50"/>
        <v>45754</v>
      </c>
      <c r="B157">
        <f t="shared" si="51"/>
        <v>11</v>
      </c>
      <c r="C157" s="16">
        <f>IFERROR(MATCH(A158,NERCHolidays!$B$2:$B$121,0),0)</f>
        <v>0</v>
      </c>
      <c r="D157">
        <f t="shared" si="49"/>
        <v>1</v>
      </c>
      <c r="E157" t="str">
        <f t="shared" si="43"/>
        <v>PK</v>
      </c>
      <c r="F157">
        <f t="shared" si="44"/>
        <v>5</v>
      </c>
      <c r="G157">
        <f t="shared" si="45"/>
        <v>0</v>
      </c>
      <c r="H157">
        <f t="shared" si="46"/>
        <v>0</v>
      </c>
      <c r="I157">
        <f t="shared" si="53"/>
        <v>1</v>
      </c>
      <c r="J157">
        <f t="shared" si="47"/>
        <v>0</v>
      </c>
      <c r="K157">
        <f t="shared" si="48"/>
        <v>5</v>
      </c>
      <c r="L157" s="179">
        <f>'Aztec Metered Load'!C161</f>
        <v>4.1909999999999998</v>
      </c>
      <c r="O157" s="148">
        <f t="shared" si="54"/>
        <v>45763</v>
      </c>
      <c r="P157" s="161">
        <v>0</v>
      </c>
      <c r="Q157" s="161">
        <v>0</v>
      </c>
      <c r="R157" s="161">
        <v>0</v>
      </c>
      <c r="S157" s="161">
        <v>0</v>
      </c>
      <c r="T157" s="161">
        <v>0</v>
      </c>
      <c r="U157" s="161">
        <v>0</v>
      </c>
      <c r="V157" s="161">
        <v>0</v>
      </c>
      <c r="W157" s="161">
        <v>0</v>
      </c>
      <c r="X157" s="161">
        <v>0</v>
      </c>
      <c r="Y157" s="161">
        <v>0</v>
      </c>
      <c r="Z157" s="161">
        <v>0</v>
      </c>
      <c r="AA157" s="161">
        <v>0</v>
      </c>
      <c r="AB157" s="161">
        <v>0</v>
      </c>
      <c r="AC157" s="161">
        <v>0</v>
      </c>
      <c r="AD157" s="161">
        <v>0</v>
      </c>
      <c r="AE157" s="161">
        <v>0</v>
      </c>
      <c r="AF157" s="161">
        <v>0</v>
      </c>
      <c r="AG157" s="161">
        <v>0</v>
      </c>
      <c r="AH157" s="161">
        <v>0</v>
      </c>
      <c r="AI157" s="161">
        <v>0</v>
      </c>
      <c r="AJ157" s="161">
        <v>0</v>
      </c>
      <c r="AK157" s="161">
        <v>0</v>
      </c>
      <c r="AL157" s="161">
        <v>0</v>
      </c>
      <c r="AM157" s="161">
        <v>0</v>
      </c>
      <c r="AN157" s="152">
        <f t="shared" si="55"/>
        <v>0</v>
      </c>
    </row>
    <row r="158" spans="1:40" x14ac:dyDescent="0.3">
      <c r="A158" s="19">
        <f t="shared" si="50"/>
        <v>45754</v>
      </c>
      <c r="B158">
        <f t="shared" si="51"/>
        <v>12</v>
      </c>
      <c r="C158" s="16">
        <f>IFERROR(MATCH(A159,NERCHolidays!$B$2:$B$121,0),0)</f>
        <v>0</v>
      </c>
      <c r="D158">
        <f t="shared" si="49"/>
        <v>1</v>
      </c>
      <c r="E158" t="str">
        <f t="shared" si="43"/>
        <v>PK</v>
      </c>
      <c r="F158">
        <f t="shared" si="44"/>
        <v>5</v>
      </c>
      <c r="G158">
        <f t="shared" si="45"/>
        <v>0</v>
      </c>
      <c r="H158">
        <f t="shared" si="46"/>
        <v>0</v>
      </c>
      <c r="I158">
        <f t="shared" si="53"/>
        <v>1</v>
      </c>
      <c r="J158">
        <f t="shared" si="47"/>
        <v>0</v>
      </c>
      <c r="K158">
        <f t="shared" si="48"/>
        <v>5</v>
      </c>
      <c r="L158" s="179">
        <f>'Aztec Metered Load'!C162</f>
        <v>4.0469999999999997</v>
      </c>
      <c r="O158" s="148">
        <f t="shared" si="54"/>
        <v>45764</v>
      </c>
      <c r="P158" s="161">
        <v>0</v>
      </c>
      <c r="Q158" s="161">
        <v>0</v>
      </c>
      <c r="R158" s="161">
        <v>0</v>
      </c>
      <c r="S158" s="161">
        <v>0</v>
      </c>
      <c r="T158" s="161">
        <v>0</v>
      </c>
      <c r="U158" s="161">
        <v>0</v>
      </c>
      <c r="V158" s="161">
        <v>0</v>
      </c>
      <c r="W158" s="161">
        <v>0</v>
      </c>
      <c r="X158" s="161">
        <v>0</v>
      </c>
      <c r="Y158" s="161">
        <v>0</v>
      </c>
      <c r="Z158" s="161">
        <v>0</v>
      </c>
      <c r="AA158" s="161">
        <v>0</v>
      </c>
      <c r="AB158" s="161">
        <v>0</v>
      </c>
      <c r="AC158" s="161">
        <v>0</v>
      </c>
      <c r="AD158" s="161">
        <v>0</v>
      </c>
      <c r="AE158" s="161">
        <v>0</v>
      </c>
      <c r="AF158" s="161">
        <v>0</v>
      </c>
      <c r="AG158" s="161">
        <v>0</v>
      </c>
      <c r="AH158" s="161">
        <v>0</v>
      </c>
      <c r="AI158" s="161">
        <v>0</v>
      </c>
      <c r="AJ158" s="161">
        <v>0</v>
      </c>
      <c r="AK158" s="161">
        <v>0</v>
      </c>
      <c r="AL158" s="161">
        <v>0</v>
      </c>
      <c r="AM158" s="161">
        <v>0</v>
      </c>
      <c r="AN158" s="152">
        <f t="shared" si="55"/>
        <v>0</v>
      </c>
    </row>
    <row r="159" spans="1:40" x14ac:dyDescent="0.3">
      <c r="A159" s="19">
        <f t="shared" si="50"/>
        <v>45754</v>
      </c>
      <c r="B159">
        <f t="shared" si="51"/>
        <v>13</v>
      </c>
      <c r="C159" s="16">
        <f>IFERROR(MATCH(A160,NERCHolidays!$B$2:$B$121,0),0)</f>
        <v>0</v>
      </c>
      <c r="D159">
        <f t="shared" si="49"/>
        <v>1</v>
      </c>
      <c r="E159" t="str">
        <f t="shared" si="43"/>
        <v>PK</v>
      </c>
      <c r="F159">
        <f t="shared" si="44"/>
        <v>5</v>
      </c>
      <c r="G159">
        <f t="shared" si="45"/>
        <v>0</v>
      </c>
      <c r="H159">
        <f t="shared" si="46"/>
        <v>0</v>
      </c>
      <c r="I159">
        <f t="shared" si="53"/>
        <v>1</v>
      </c>
      <c r="J159">
        <f t="shared" si="47"/>
        <v>0</v>
      </c>
      <c r="K159">
        <f t="shared" si="48"/>
        <v>5</v>
      </c>
      <c r="L159" s="179">
        <f>'Aztec Metered Load'!C163</f>
        <v>4.0229999999999997</v>
      </c>
      <c r="O159" s="148">
        <f t="shared" si="54"/>
        <v>45765</v>
      </c>
      <c r="P159" s="161">
        <v>0</v>
      </c>
      <c r="Q159" s="161">
        <v>0</v>
      </c>
      <c r="R159" s="161">
        <v>0</v>
      </c>
      <c r="S159" s="161">
        <v>0</v>
      </c>
      <c r="T159" s="161">
        <v>0</v>
      </c>
      <c r="U159" s="161">
        <v>0</v>
      </c>
      <c r="V159" s="161">
        <v>0</v>
      </c>
      <c r="W159" s="161">
        <v>0</v>
      </c>
      <c r="X159" s="161">
        <v>0</v>
      </c>
      <c r="Y159" s="161">
        <v>0</v>
      </c>
      <c r="Z159" s="161">
        <v>0</v>
      </c>
      <c r="AA159" s="161">
        <v>0</v>
      </c>
      <c r="AB159" s="161">
        <v>0</v>
      </c>
      <c r="AC159" s="161">
        <v>0</v>
      </c>
      <c r="AD159" s="161">
        <v>0</v>
      </c>
      <c r="AE159" s="161">
        <v>0</v>
      </c>
      <c r="AF159" s="161">
        <v>0</v>
      </c>
      <c r="AG159" s="161">
        <v>0</v>
      </c>
      <c r="AH159" s="161">
        <v>0</v>
      </c>
      <c r="AI159" s="161">
        <v>0</v>
      </c>
      <c r="AJ159" s="161">
        <v>0</v>
      </c>
      <c r="AK159" s="161">
        <v>0</v>
      </c>
      <c r="AL159" s="161">
        <v>0</v>
      </c>
      <c r="AM159" s="161">
        <v>0</v>
      </c>
      <c r="AN159" s="152">
        <f t="shared" si="55"/>
        <v>0</v>
      </c>
    </row>
    <row r="160" spans="1:40" x14ac:dyDescent="0.3">
      <c r="A160" s="19">
        <f t="shared" si="50"/>
        <v>45754</v>
      </c>
      <c r="B160">
        <f t="shared" si="51"/>
        <v>14</v>
      </c>
      <c r="C160" s="16">
        <f>IFERROR(MATCH(A161,NERCHolidays!$B$2:$B$121,0),0)</f>
        <v>0</v>
      </c>
      <c r="D160">
        <f t="shared" si="49"/>
        <v>1</v>
      </c>
      <c r="E160" t="str">
        <f t="shared" si="43"/>
        <v>PK</v>
      </c>
      <c r="F160">
        <f t="shared" si="44"/>
        <v>5</v>
      </c>
      <c r="G160">
        <f t="shared" si="45"/>
        <v>0</v>
      </c>
      <c r="H160">
        <f t="shared" si="46"/>
        <v>0</v>
      </c>
      <c r="I160">
        <f t="shared" si="53"/>
        <v>1</v>
      </c>
      <c r="J160">
        <f t="shared" si="47"/>
        <v>0</v>
      </c>
      <c r="K160">
        <f t="shared" si="48"/>
        <v>5</v>
      </c>
      <c r="L160" s="179">
        <f>'Aztec Metered Load'!C164</f>
        <v>4.077</v>
      </c>
      <c r="O160" s="148">
        <f t="shared" si="54"/>
        <v>45766</v>
      </c>
      <c r="P160" s="161">
        <v>0</v>
      </c>
      <c r="Q160" s="161">
        <v>0</v>
      </c>
      <c r="R160" s="161">
        <v>0</v>
      </c>
      <c r="S160" s="161">
        <v>0</v>
      </c>
      <c r="T160" s="161">
        <v>0</v>
      </c>
      <c r="U160" s="161">
        <v>0</v>
      </c>
      <c r="V160" s="161">
        <v>0</v>
      </c>
      <c r="W160" s="161">
        <v>0</v>
      </c>
      <c r="X160" s="161">
        <v>0</v>
      </c>
      <c r="Y160" s="161">
        <v>0</v>
      </c>
      <c r="Z160" s="161">
        <v>0</v>
      </c>
      <c r="AA160" s="161">
        <v>0</v>
      </c>
      <c r="AB160" s="161">
        <v>0</v>
      </c>
      <c r="AC160" s="161">
        <v>0</v>
      </c>
      <c r="AD160" s="161">
        <v>0</v>
      </c>
      <c r="AE160" s="161">
        <v>0</v>
      </c>
      <c r="AF160" s="161">
        <v>0</v>
      </c>
      <c r="AG160" s="161">
        <v>0</v>
      </c>
      <c r="AH160" s="161">
        <v>0</v>
      </c>
      <c r="AI160" s="161">
        <v>0</v>
      </c>
      <c r="AJ160" s="161">
        <v>0</v>
      </c>
      <c r="AK160" s="161">
        <v>0</v>
      </c>
      <c r="AL160" s="161">
        <v>0</v>
      </c>
      <c r="AM160" s="161">
        <v>0</v>
      </c>
      <c r="AN160" s="152">
        <f t="shared" si="55"/>
        <v>0</v>
      </c>
    </row>
    <row r="161" spans="1:40" x14ac:dyDescent="0.3">
      <c r="A161" s="19">
        <f t="shared" si="50"/>
        <v>45754</v>
      </c>
      <c r="B161">
        <f t="shared" si="51"/>
        <v>15</v>
      </c>
      <c r="C161" s="16">
        <f>IFERROR(MATCH(A162,NERCHolidays!$B$2:$B$121,0),0)</f>
        <v>0</v>
      </c>
      <c r="D161">
        <f t="shared" si="49"/>
        <v>1</v>
      </c>
      <c r="E161" t="str">
        <f t="shared" si="43"/>
        <v>PK</v>
      </c>
      <c r="F161">
        <f t="shared" si="44"/>
        <v>5</v>
      </c>
      <c r="G161">
        <f t="shared" si="45"/>
        <v>0</v>
      </c>
      <c r="H161">
        <f t="shared" si="46"/>
        <v>0</v>
      </c>
      <c r="I161">
        <f t="shared" si="53"/>
        <v>1</v>
      </c>
      <c r="J161">
        <f t="shared" si="47"/>
        <v>0</v>
      </c>
      <c r="K161">
        <f t="shared" si="48"/>
        <v>5</v>
      </c>
      <c r="L161" s="179">
        <f>'Aztec Metered Load'!C165</f>
        <v>3.9609999999999999</v>
      </c>
      <c r="O161" s="148">
        <f t="shared" si="54"/>
        <v>45767</v>
      </c>
      <c r="P161" s="161">
        <v>0</v>
      </c>
      <c r="Q161" s="161">
        <v>0</v>
      </c>
      <c r="R161" s="161">
        <v>0</v>
      </c>
      <c r="S161" s="161">
        <v>0</v>
      </c>
      <c r="T161" s="161">
        <v>0</v>
      </c>
      <c r="U161" s="161">
        <v>0</v>
      </c>
      <c r="V161" s="161">
        <v>0</v>
      </c>
      <c r="W161" s="161">
        <v>0</v>
      </c>
      <c r="X161" s="161">
        <v>0</v>
      </c>
      <c r="Y161" s="161">
        <v>0</v>
      </c>
      <c r="Z161" s="161">
        <v>0</v>
      </c>
      <c r="AA161" s="161">
        <v>0</v>
      </c>
      <c r="AB161" s="161">
        <v>0</v>
      </c>
      <c r="AC161" s="161">
        <v>0</v>
      </c>
      <c r="AD161" s="161">
        <v>0</v>
      </c>
      <c r="AE161" s="161">
        <v>0</v>
      </c>
      <c r="AF161" s="161">
        <v>0</v>
      </c>
      <c r="AG161" s="161">
        <v>0</v>
      </c>
      <c r="AH161" s="161">
        <v>0</v>
      </c>
      <c r="AI161" s="161">
        <v>0</v>
      </c>
      <c r="AJ161" s="161">
        <v>0</v>
      </c>
      <c r="AK161" s="161">
        <v>0</v>
      </c>
      <c r="AL161" s="161">
        <v>0</v>
      </c>
      <c r="AM161" s="161">
        <v>0</v>
      </c>
      <c r="AN161" s="152">
        <f t="shared" si="55"/>
        <v>0</v>
      </c>
    </row>
    <row r="162" spans="1:40" x14ac:dyDescent="0.3">
      <c r="A162" s="19">
        <f t="shared" si="50"/>
        <v>45754</v>
      </c>
      <c r="B162">
        <f t="shared" si="51"/>
        <v>16</v>
      </c>
      <c r="C162" s="16">
        <f>IFERROR(MATCH(A163,NERCHolidays!$B$2:$B$121,0),0)</f>
        <v>0</v>
      </c>
      <c r="D162">
        <f t="shared" si="49"/>
        <v>1</v>
      </c>
      <c r="E162" t="str">
        <f t="shared" si="43"/>
        <v>PK</v>
      </c>
      <c r="F162">
        <f t="shared" si="44"/>
        <v>5</v>
      </c>
      <c r="G162">
        <f t="shared" si="45"/>
        <v>0</v>
      </c>
      <c r="H162">
        <f t="shared" si="46"/>
        <v>0</v>
      </c>
      <c r="I162">
        <f t="shared" si="53"/>
        <v>1</v>
      </c>
      <c r="J162">
        <f t="shared" si="47"/>
        <v>0</v>
      </c>
      <c r="K162">
        <f t="shared" si="48"/>
        <v>5</v>
      </c>
      <c r="L162" s="179">
        <f>'Aztec Metered Load'!C166</f>
        <v>3.9980000000000002</v>
      </c>
      <c r="O162" s="148">
        <f t="shared" si="54"/>
        <v>45768</v>
      </c>
      <c r="P162" s="161">
        <v>0</v>
      </c>
      <c r="Q162" s="161">
        <v>0</v>
      </c>
      <c r="R162" s="161">
        <v>0</v>
      </c>
      <c r="S162" s="161">
        <v>0</v>
      </c>
      <c r="T162" s="161">
        <v>0</v>
      </c>
      <c r="U162" s="161">
        <v>0</v>
      </c>
      <c r="V162" s="161">
        <v>0</v>
      </c>
      <c r="W162" s="161">
        <v>0</v>
      </c>
      <c r="X162" s="161">
        <v>0</v>
      </c>
      <c r="Y162" s="161">
        <v>0</v>
      </c>
      <c r="Z162" s="161">
        <v>0</v>
      </c>
      <c r="AA162" s="161">
        <v>0</v>
      </c>
      <c r="AB162" s="161">
        <v>0</v>
      </c>
      <c r="AC162" s="161">
        <v>0</v>
      </c>
      <c r="AD162" s="161">
        <v>0</v>
      </c>
      <c r="AE162" s="161">
        <v>0</v>
      </c>
      <c r="AF162" s="161">
        <v>0</v>
      </c>
      <c r="AG162" s="161">
        <v>0</v>
      </c>
      <c r="AH162" s="161">
        <v>0</v>
      </c>
      <c r="AI162" s="161">
        <v>0</v>
      </c>
      <c r="AJ162" s="161">
        <v>0</v>
      </c>
      <c r="AK162" s="161">
        <v>0</v>
      </c>
      <c r="AL162" s="161">
        <v>0</v>
      </c>
      <c r="AM162" s="161">
        <v>0</v>
      </c>
      <c r="AN162" s="152">
        <f t="shared" si="55"/>
        <v>0</v>
      </c>
    </row>
    <row r="163" spans="1:40" x14ac:dyDescent="0.3">
      <c r="A163" s="19">
        <f t="shared" si="50"/>
        <v>45754</v>
      </c>
      <c r="B163">
        <f t="shared" si="51"/>
        <v>17</v>
      </c>
      <c r="C163" s="16">
        <f>IFERROR(MATCH(A164,NERCHolidays!$B$2:$B$121,0),0)</f>
        <v>0</v>
      </c>
      <c r="D163">
        <f t="shared" si="49"/>
        <v>1</v>
      </c>
      <c r="E163" t="str">
        <f t="shared" si="43"/>
        <v>PK</v>
      </c>
      <c r="F163">
        <f t="shared" ref="F163:F194" si="56">VLOOKUP(A163,$O$3:$AN$34,B163+2,FALSE)</f>
        <v>5</v>
      </c>
      <c r="G163">
        <f t="shared" si="45"/>
        <v>0</v>
      </c>
      <c r="H163">
        <f t="shared" si="46"/>
        <v>0</v>
      </c>
      <c r="I163">
        <f t="shared" si="53"/>
        <v>1</v>
      </c>
      <c r="J163">
        <f t="shared" si="47"/>
        <v>0</v>
      </c>
      <c r="K163">
        <f t="shared" si="48"/>
        <v>5</v>
      </c>
      <c r="L163" s="179">
        <f>'Aztec Metered Load'!C167</f>
        <v>3.8109999999999999</v>
      </c>
      <c r="O163" s="148">
        <f t="shared" si="54"/>
        <v>45769</v>
      </c>
      <c r="P163" s="161">
        <v>0</v>
      </c>
      <c r="Q163" s="161">
        <v>0</v>
      </c>
      <c r="R163" s="161">
        <v>0</v>
      </c>
      <c r="S163" s="161">
        <v>0</v>
      </c>
      <c r="T163" s="161">
        <v>0</v>
      </c>
      <c r="U163" s="161">
        <v>0</v>
      </c>
      <c r="V163" s="161">
        <v>0</v>
      </c>
      <c r="W163" s="161">
        <v>0</v>
      </c>
      <c r="X163" s="161">
        <v>0</v>
      </c>
      <c r="Y163" s="161">
        <v>0</v>
      </c>
      <c r="Z163" s="161">
        <v>0</v>
      </c>
      <c r="AA163" s="161">
        <v>0</v>
      </c>
      <c r="AB163" s="161">
        <v>0</v>
      </c>
      <c r="AC163" s="161">
        <v>0</v>
      </c>
      <c r="AD163" s="161">
        <v>0</v>
      </c>
      <c r="AE163" s="161">
        <v>0</v>
      </c>
      <c r="AF163" s="161">
        <v>0</v>
      </c>
      <c r="AG163" s="161">
        <v>0</v>
      </c>
      <c r="AH163" s="161">
        <v>0</v>
      </c>
      <c r="AI163" s="161">
        <v>0</v>
      </c>
      <c r="AJ163" s="161">
        <v>0</v>
      </c>
      <c r="AK163" s="161">
        <v>0</v>
      </c>
      <c r="AL163" s="161">
        <v>0</v>
      </c>
      <c r="AM163" s="161">
        <v>0</v>
      </c>
      <c r="AN163" s="152">
        <f t="shared" si="55"/>
        <v>0</v>
      </c>
    </row>
    <row r="164" spans="1:40" x14ac:dyDescent="0.3">
      <c r="A164" s="19">
        <f t="shared" si="50"/>
        <v>45754</v>
      </c>
      <c r="B164">
        <f t="shared" si="51"/>
        <v>18</v>
      </c>
      <c r="C164" s="16">
        <f>IFERROR(MATCH(A165,NERCHolidays!$B$2:$B$121,0),0)</f>
        <v>0</v>
      </c>
      <c r="D164">
        <f t="shared" si="49"/>
        <v>1</v>
      </c>
      <c r="E164" t="str">
        <f t="shared" si="43"/>
        <v>PK</v>
      </c>
      <c r="F164">
        <f t="shared" si="56"/>
        <v>5</v>
      </c>
      <c r="G164">
        <f t="shared" si="45"/>
        <v>0</v>
      </c>
      <c r="H164">
        <f t="shared" si="46"/>
        <v>0</v>
      </c>
      <c r="I164">
        <f t="shared" si="53"/>
        <v>1</v>
      </c>
      <c r="J164">
        <f t="shared" si="47"/>
        <v>0</v>
      </c>
      <c r="K164">
        <f t="shared" si="48"/>
        <v>5</v>
      </c>
      <c r="L164" s="179">
        <f>'Aztec Metered Load'!C168</f>
        <v>4.1020000000000003</v>
      </c>
      <c r="O164" s="148">
        <f t="shared" si="54"/>
        <v>45770</v>
      </c>
      <c r="P164" s="161">
        <v>0</v>
      </c>
      <c r="Q164" s="161">
        <v>0</v>
      </c>
      <c r="R164" s="161">
        <v>0</v>
      </c>
      <c r="S164" s="161">
        <v>0</v>
      </c>
      <c r="T164" s="161">
        <v>0</v>
      </c>
      <c r="U164" s="161">
        <v>0</v>
      </c>
      <c r="V164" s="161">
        <v>0</v>
      </c>
      <c r="W164" s="161">
        <v>0</v>
      </c>
      <c r="X164" s="161">
        <v>0</v>
      </c>
      <c r="Y164" s="161">
        <v>0</v>
      </c>
      <c r="Z164" s="161">
        <v>0</v>
      </c>
      <c r="AA164" s="161">
        <v>0</v>
      </c>
      <c r="AB164" s="161">
        <v>0</v>
      </c>
      <c r="AC164" s="161">
        <v>0</v>
      </c>
      <c r="AD164" s="161">
        <v>0</v>
      </c>
      <c r="AE164" s="161">
        <v>0</v>
      </c>
      <c r="AF164" s="161">
        <v>0</v>
      </c>
      <c r="AG164" s="161">
        <v>0</v>
      </c>
      <c r="AH164" s="161">
        <v>0</v>
      </c>
      <c r="AI164" s="161">
        <v>0</v>
      </c>
      <c r="AJ164" s="161">
        <v>0</v>
      </c>
      <c r="AK164" s="161">
        <v>0</v>
      </c>
      <c r="AL164" s="161">
        <v>0</v>
      </c>
      <c r="AM164" s="161">
        <v>0</v>
      </c>
      <c r="AN164" s="152">
        <f t="shared" si="55"/>
        <v>0</v>
      </c>
    </row>
    <row r="165" spans="1:40" x14ac:dyDescent="0.3">
      <c r="A165" s="19">
        <f t="shared" si="50"/>
        <v>45754</v>
      </c>
      <c r="B165">
        <f t="shared" si="51"/>
        <v>19</v>
      </c>
      <c r="C165" s="16">
        <f>IFERROR(MATCH(A166,NERCHolidays!$B$2:$B$121,0),0)</f>
        <v>0</v>
      </c>
      <c r="D165">
        <f t="shared" si="49"/>
        <v>1</v>
      </c>
      <c r="E165" t="str">
        <f t="shared" si="43"/>
        <v>PK</v>
      </c>
      <c r="F165">
        <f t="shared" si="56"/>
        <v>5</v>
      </c>
      <c r="G165">
        <f t="shared" si="45"/>
        <v>1</v>
      </c>
      <c r="H165">
        <f t="shared" si="46"/>
        <v>0</v>
      </c>
      <c r="I165">
        <f t="shared" si="53"/>
        <v>1</v>
      </c>
      <c r="J165">
        <f t="shared" si="47"/>
        <v>0</v>
      </c>
      <c r="K165">
        <f t="shared" si="48"/>
        <v>6</v>
      </c>
      <c r="L165" s="179">
        <f>'Aztec Metered Load'!C169</f>
        <v>4.3250000000000002</v>
      </c>
      <c r="O165" s="148">
        <f t="shared" si="54"/>
        <v>45771</v>
      </c>
      <c r="P165" s="161">
        <v>0</v>
      </c>
      <c r="Q165" s="161">
        <v>0</v>
      </c>
      <c r="R165" s="161">
        <v>0</v>
      </c>
      <c r="S165" s="161">
        <v>0</v>
      </c>
      <c r="T165" s="161">
        <v>0</v>
      </c>
      <c r="U165" s="161">
        <v>0</v>
      </c>
      <c r="V165" s="161">
        <v>0</v>
      </c>
      <c r="W165" s="161">
        <v>0</v>
      </c>
      <c r="X165" s="161">
        <v>0</v>
      </c>
      <c r="Y165" s="161">
        <v>0</v>
      </c>
      <c r="Z165" s="161">
        <v>0</v>
      </c>
      <c r="AA165" s="161">
        <v>0</v>
      </c>
      <c r="AB165" s="161">
        <v>0</v>
      </c>
      <c r="AC165" s="161">
        <v>0</v>
      </c>
      <c r="AD165" s="161">
        <v>0</v>
      </c>
      <c r="AE165" s="161">
        <v>0</v>
      </c>
      <c r="AF165" s="161">
        <v>0</v>
      </c>
      <c r="AG165" s="161">
        <v>0</v>
      </c>
      <c r="AH165" s="161">
        <v>0</v>
      </c>
      <c r="AI165" s="161">
        <v>0</v>
      </c>
      <c r="AJ165" s="161">
        <v>0</v>
      </c>
      <c r="AK165" s="161">
        <v>0</v>
      </c>
      <c r="AL165" s="161">
        <v>0</v>
      </c>
      <c r="AM165" s="161">
        <v>0</v>
      </c>
      <c r="AN165" s="152">
        <f t="shared" si="55"/>
        <v>0</v>
      </c>
    </row>
    <row r="166" spans="1:40" x14ac:dyDescent="0.3">
      <c r="A166" s="19">
        <f t="shared" si="50"/>
        <v>45754</v>
      </c>
      <c r="B166">
        <f t="shared" si="51"/>
        <v>20</v>
      </c>
      <c r="C166" s="16">
        <f>IFERROR(MATCH(A167,NERCHolidays!$B$2:$B$121,0),0)</f>
        <v>0</v>
      </c>
      <c r="D166">
        <f t="shared" si="49"/>
        <v>1</v>
      </c>
      <c r="E166" t="str">
        <f t="shared" si="43"/>
        <v>PK</v>
      </c>
      <c r="F166">
        <f t="shared" si="56"/>
        <v>5</v>
      </c>
      <c r="G166">
        <f t="shared" si="45"/>
        <v>1</v>
      </c>
      <c r="H166">
        <f t="shared" si="46"/>
        <v>0</v>
      </c>
      <c r="I166">
        <f t="shared" si="53"/>
        <v>1</v>
      </c>
      <c r="J166">
        <f t="shared" si="47"/>
        <v>0</v>
      </c>
      <c r="K166">
        <f t="shared" si="48"/>
        <v>6</v>
      </c>
      <c r="L166" s="179">
        <f>'Aztec Metered Load'!C170</f>
        <v>4.4409999999999998</v>
      </c>
      <c r="O166" s="148">
        <f t="shared" si="54"/>
        <v>45772</v>
      </c>
      <c r="P166" s="161">
        <v>0</v>
      </c>
      <c r="Q166" s="161">
        <v>0</v>
      </c>
      <c r="R166" s="161">
        <v>0</v>
      </c>
      <c r="S166" s="161">
        <v>0</v>
      </c>
      <c r="T166" s="161">
        <v>0</v>
      </c>
      <c r="U166" s="161">
        <v>0</v>
      </c>
      <c r="V166" s="161">
        <v>0</v>
      </c>
      <c r="W166" s="161">
        <v>0</v>
      </c>
      <c r="X166" s="161">
        <v>0</v>
      </c>
      <c r="Y166" s="161">
        <v>0</v>
      </c>
      <c r="Z166" s="161">
        <v>0</v>
      </c>
      <c r="AA166" s="161">
        <v>0</v>
      </c>
      <c r="AB166" s="161">
        <v>0</v>
      </c>
      <c r="AC166" s="161">
        <v>0</v>
      </c>
      <c r="AD166" s="161">
        <v>0</v>
      </c>
      <c r="AE166" s="161">
        <v>0</v>
      </c>
      <c r="AF166" s="161">
        <v>0</v>
      </c>
      <c r="AG166" s="161">
        <v>0</v>
      </c>
      <c r="AH166" s="161">
        <v>0</v>
      </c>
      <c r="AI166" s="161">
        <v>0</v>
      </c>
      <c r="AJ166" s="161">
        <v>0</v>
      </c>
      <c r="AK166" s="161">
        <v>0</v>
      </c>
      <c r="AL166" s="161">
        <v>0</v>
      </c>
      <c r="AM166" s="161">
        <v>0</v>
      </c>
      <c r="AN166" s="152">
        <f t="shared" si="55"/>
        <v>0</v>
      </c>
    </row>
    <row r="167" spans="1:40" x14ac:dyDescent="0.3">
      <c r="A167" s="19">
        <f t="shared" si="50"/>
        <v>45754</v>
      </c>
      <c r="B167">
        <f t="shared" si="51"/>
        <v>21</v>
      </c>
      <c r="C167" s="16">
        <f>IFERROR(MATCH(A168,NERCHolidays!$B$2:$B$121,0),0)</f>
        <v>0</v>
      </c>
      <c r="D167">
        <f t="shared" si="49"/>
        <v>1</v>
      </c>
      <c r="E167" t="str">
        <f t="shared" si="43"/>
        <v>PK</v>
      </c>
      <c r="F167">
        <f t="shared" si="56"/>
        <v>5</v>
      </c>
      <c r="G167">
        <f t="shared" si="45"/>
        <v>1</v>
      </c>
      <c r="H167">
        <f t="shared" si="46"/>
        <v>0</v>
      </c>
      <c r="I167">
        <f t="shared" si="53"/>
        <v>1</v>
      </c>
      <c r="J167">
        <f t="shared" si="47"/>
        <v>0</v>
      </c>
      <c r="K167">
        <f t="shared" si="48"/>
        <v>6</v>
      </c>
      <c r="L167" s="179">
        <f>'Aztec Metered Load'!C171</f>
        <v>4.2859999999999996</v>
      </c>
      <c r="O167" s="148">
        <f t="shared" si="54"/>
        <v>45773</v>
      </c>
      <c r="P167" s="161">
        <v>0</v>
      </c>
      <c r="Q167" s="161">
        <v>0</v>
      </c>
      <c r="R167" s="161">
        <v>0</v>
      </c>
      <c r="S167" s="161">
        <v>0</v>
      </c>
      <c r="T167" s="161">
        <v>0</v>
      </c>
      <c r="U167" s="161">
        <v>0</v>
      </c>
      <c r="V167" s="161">
        <v>0</v>
      </c>
      <c r="W167" s="161">
        <v>0</v>
      </c>
      <c r="X167" s="161">
        <v>0</v>
      </c>
      <c r="Y167" s="161">
        <v>0</v>
      </c>
      <c r="Z167" s="161">
        <v>0</v>
      </c>
      <c r="AA167" s="161">
        <v>0</v>
      </c>
      <c r="AB167" s="161">
        <v>0</v>
      </c>
      <c r="AC167" s="161">
        <v>0</v>
      </c>
      <c r="AD167" s="161">
        <v>0</v>
      </c>
      <c r="AE167" s="161">
        <v>0</v>
      </c>
      <c r="AF167" s="161">
        <v>0</v>
      </c>
      <c r="AG167" s="161">
        <v>0</v>
      </c>
      <c r="AH167" s="161">
        <v>0</v>
      </c>
      <c r="AI167" s="161">
        <v>0</v>
      </c>
      <c r="AJ167" s="161">
        <v>0</v>
      </c>
      <c r="AK167" s="161">
        <v>0</v>
      </c>
      <c r="AL167" s="161">
        <v>0</v>
      </c>
      <c r="AM167" s="161">
        <v>0</v>
      </c>
      <c r="AN167" s="152">
        <f t="shared" si="55"/>
        <v>0</v>
      </c>
    </row>
    <row r="168" spans="1:40" x14ac:dyDescent="0.3">
      <c r="A168" s="19">
        <f t="shared" si="50"/>
        <v>45754</v>
      </c>
      <c r="B168">
        <f t="shared" si="51"/>
        <v>22</v>
      </c>
      <c r="C168" s="16">
        <f>IFERROR(MATCH(A169,NERCHolidays!$B$2:$B$121,0),0)</f>
        <v>0</v>
      </c>
      <c r="D168">
        <f t="shared" si="49"/>
        <v>1</v>
      </c>
      <c r="E168" t="str">
        <f t="shared" si="43"/>
        <v>PK</v>
      </c>
      <c r="F168">
        <f t="shared" si="56"/>
        <v>5</v>
      </c>
      <c r="G168">
        <f t="shared" si="45"/>
        <v>1</v>
      </c>
      <c r="H168">
        <f t="shared" si="46"/>
        <v>0</v>
      </c>
      <c r="I168">
        <f t="shared" si="53"/>
        <v>1</v>
      </c>
      <c r="J168">
        <f t="shared" si="47"/>
        <v>0</v>
      </c>
      <c r="K168">
        <f t="shared" si="48"/>
        <v>6</v>
      </c>
      <c r="L168" s="179">
        <f>'Aztec Metered Load'!C172</f>
        <v>3.9540000000000002</v>
      </c>
      <c r="O168" s="148">
        <f t="shared" si="54"/>
        <v>45774</v>
      </c>
      <c r="P168" s="161">
        <v>0</v>
      </c>
      <c r="Q168" s="161">
        <v>0</v>
      </c>
      <c r="R168" s="161">
        <v>0</v>
      </c>
      <c r="S168" s="161">
        <v>0</v>
      </c>
      <c r="T168" s="161">
        <v>0</v>
      </c>
      <c r="U168" s="161">
        <v>0</v>
      </c>
      <c r="V168" s="161">
        <v>0</v>
      </c>
      <c r="W168" s="161">
        <v>0</v>
      </c>
      <c r="X168" s="161">
        <v>0</v>
      </c>
      <c r="Y168" s="161">
        <v>0</v>
      </c>
      <c r="Z168" s="161">
        <v>0</v>
      </c>
      <c r="AA168" s="161">
        <v>0</v>
      </c>
      <c r="AB168" s="161">
        <v>0</v>
      </c>
      <c r="AC168" s="161">
        <v>0</v>
      </c>
      <c r="AD168" s="161">
        <v>0</v>
      </c>
      <c r="AE168" s="161">
        <v>0</v>
      </c>
      <c r="AF168" s="161">
        <v>0</v>
      </c>
      <c r="AG168" s="161">
        <v>0</v>
      </c>
      <c r="AH168" s="161">
        <v>0</v>
      </c>
      <c r="AI168" s="161">
        <v>0</v>
      </c>
      <c r="AJ168" s="161">
        <v>0</v>
      </c>
      <c r="AK168" s="161">
        <v>0</v>
      </c>
      <c r="AL168" s="161">
        <v>0</v>
      </c>
      <c r="AM168" s="161">
        <v>0</v>
      </c>
      <c r="AN168" s="152">
        <f t="shared" si="55"/>
        <v>0</v>
      </c>
    </row>
    <row r="169" spans="1:40" x14ac:dyDescent="0.3">
      <c r="A169" s="19">
        <f t="shared" si="50"/>
        <v>45754</v>
      </c>
      <c r="B169">
        <f t="shared" si="51"/>
        <v>23</v>
      </c>
      <c r="C169" s="16">
        <f>IFERROR(MATCH(A170,NERCHolidays!$B$2:$B$121,0),0)</f>
        <v>0</v>
      </c>
      <c r="D169">
        <f t="shared" si="49"/>
        <v>1</v>
      </c>
      <c r="E169" t="str">
        <f t="shared" si="43"/>
        <v>PK</v>
      </c>
      <c r="F169">
        <f t="shared" si="56"/>
        <v>5</v>
      </c>
      <c r="G169">
        <f t="shared" si="45"/>
        <v>1</v>
      </c>
      <c r="H169">
        <f t="shared" si="46"/>
        <v>0</v>
      </c>
      <c r="I169">
        <f t="shared" si="53"/>
        <v>1</v>
      </c>
      <c r="J169">
        <f t="shared" si="47"/>
        <v>0</v>
      </c>
      <c r="K169">
        <f t="shared" si="48"/>
        <v>6</v>
      </c>
      <c r="L169" s="179">
        <f>'Aztec Metered Load'!C173</f>
        <v>3.6219999999999999</v>
      </c>
      <c r="O169" s="148">
        <f t="shared" si="54"/>
        <v>45775</v>
      </c>
      <c r="P169" s="161">
        <v>0</v>
      </c>
      <c r="Q169" s="161">
        <v>0</v>
      </c>
      <c r="R169" s="161">
        <v>0</v>
      </c>
      <c r="S169" s="161">
        <v>0</v>
      </c>
      <c r="T169" s="161">
        <v>0</v>
      </c>
      <c r="U169" s="161">
        <v>0</v>
      </c>
      <c r="V169" s="161">
        <v>0</v>
      </c>
      <c r="W169" s="161">
        <v>0</v>
      </c>
      <c r="X169" s="161">
        <v>0</v>
      </c>
      <c r="Y169" s="161">
        <v>0</v>
      </c>
      <c r="Z169" s="161">
        <v>0</v>
      </c>
      <c r="AA169" s="161">
        <v>0</v>
      </c>
      <c r="AB169" s="161">
        <v>0</v>
      </c>
      <c r="AC169" s="161">
        <v>0</v>
      </c>
      <c r="AD169" s="161">
        <v>0</v>
      </c>
      <c r="AE169" s="161">
        <v>0</v>
      </c>
      <c r="AF169" s="161">
        <v>0</v>
      </c>
      <c r="AG169" s="161">
        <v>0</v>
      </c>
      <c r="AH169" s="161">
        <v>0</v>
      </c>
      <c r="AI169" s="161">
        <v>0</v>
      </c>
      <c r="AJ169" s="161">
        <v>0</v>
      </c>
      <c r="AK169" s="161">
        <v>0</v>
      </c>
      <c r="AL169" s="161">
        <v>0</v>
      </c>
      <c r="AM169" s="161">
        <v>0</v>
      </c>
      <c r="AN169" s="152">
        <f t="shared" si="55"/>
        <v>0</v>
      </c>
    </row>
    <row r="170" spans="1:40" x14ac:dyDescent="0.3">
      <c r="A170" s="19">
        <f t="shared" si="50"/>
        <v>45754</v>
      </c>
      <c r="B170">
        <f t="shared" si="51"/>
        <v>24</v>
      </c>
      <c r="C170" s="16">
        <f>IFERROR(MATCH(A171,NERCHolidays!$B$2:$B$121,0),0)</f>
        <v>0</v>
      </c>
      <c r="D170">
        <f t="shared" si="49"/>
        <v>0</v>
      </c>
      <c r="E170" t="str">
        <f t="shared" si="43"/>
        <v>OP</v>
      </c>
      <c r="F170">
        <f t="shared" si="56"/>
        <v>5</v>
      </c>
      <c r="G170">
        <f t="shared" si="45"/>
        <v>0</v>
      </c>
      <c r="H170">
        <f t="shared" si="46"/>
        <v>0</v>
      </c>
      <c r="I170">
        <f t="shared" si="53"/>
        <v>1</v>
      </c>
      <c r="J170">
        <f t="shared" si="47"/>
        <v>0</v>
      </c>
      <c r="K170">
        <f t="shared" si="48"/>
        <v>5</v>
      </c>
      <c r="L170" s="179">
        <f>'Aztec Metered Load'!C174</f>
        <v>3.508</v>
      </c>
      <c r="O170" s="148">
        <f t="shared" si="54"/>
        <v>45776</v>
      </c>
      <c r="P170" s="161">
        <v>0</v>
      </c>
      <c r="Q170" s="161">
        <v>0</v>
      </c>
      <c r="R170" s="161">
        <v>0</v>
      </c>
      <c r="S170" s="161">
        <v>0</v>
      </c>
      <c r="T170" s="161">
        <v>0</v>
      </c>
      <c r="U170" s="161">
        <v>0</v>
      </c>
      <c r="V170" s="161">
        <v>0</v>
      </c>
      <c r="W170" s="161">
        <v>0</v>
      </c>
      <c r="X170" s="161">
        <v>0</v>
      </c>
      <c r="Y170" s="161">
        <v>0</v>
      </c>
      <c r="Z170" s="161">
        <v>0</v>
      </c>
      <c r="AA170" s="161">
        <v>0</v>
      </c>
      <c r="AB170" s="161">
        <v>0</v>
      </c>
      <c r="AC170" s="161">
        <v>0</v>
      </c>
      <c r="AD170" s="161">
        <v>0</v>
      </c>
      <c r="AE170" s="161">
        <v>0</v>
      </c>
      <c r="AF170" s="161">
        <v>0</v>
      </c>
      <c r="AG170" s="161">
        <v>0</v>
      </c>
      <c r="AH170" s="161">
        <v>0</v>
      </c>
      <c r="AI170" s="161">
        <v>0</v>
      </c>
      <c r="AJ170" s="161">
        <v>0</v>
      </c>
      <c r="AK170" s="161">
        <v>0</v>
      </c>
      <c r="AL170" s="161">
        <v>0</v>
      </c>
      <c r="AM170" s="161">
        <v>0</v>
      </c>
      <c r="AN170" s="152">
        <f t="shared" si="55"/>
        <v>0</v>
      </c>
    </row>
    <row r="171" spans="1:40" x14ac:dyDescent="0.3">
      <c r="A171" s="19">
        <f t="shared" si="50"/>
        <v>45755</v>
      </c>
      <c r="B171">
        <f t="shared" si="51"/>
        <v>1</v>
      </c>
      <c r="C171" s="16">
        <f>IFERROR(MATCH(A172,NERCHolidays!$B$2:$B$121,0),0)</f>
        <v>0</v>
      </c>
      <c r="D171">
        <f t="shared" si="49"/>
        <v>0</v>
      </c>
      <c r="E171" t="str">
        <f t="shared" si="43"/>
        <v>OP</v>
      </c>
      <c r="F171">
        <f t="shared" si="56"/>
        <v>5</v>
      </c>
      <c r="G171">
        <f t="shared" si="45"/>
        <v>1</v>
      </c>
      <c r="H171">
        <f t="shared" si="46"/>
        <v>0</v>
      </c>
      <c r="I171">
        <f t="shared" si="53"/>
        <v>1</v>
      </c>
      <c r="J171">
        <f t="shared" si="47"/>
        <v>0</v>
      </c>
      <c r="K171">
        <f t="shared" si="48"/>
        <v>6</v>
      </c>
      <c r="L171" s="179">
        <f>'Aztec Metered Load'!C175</f>
        <v>3.5310000000000001</v>
      </c>
      <c r="O171" s="148">
        <f t="shared" si="54"/>
        <v>45777</v>
      </c>
      <c r="P171" s="161">
        <v>0</v>
      </c>
      <c r="Q171" s="161">
        <v>0</v>
      </c>
      <c r="R171" s="161">
        <v>0</v>
      </c>
      <c r="S171" s="161">
        <v>0</v>
      </c>
      <c r="T171" s="161">
        <v>0</v>
      </c>
      <c r="U171" s="161">
        <v>0</v>
      </c>
      <c r="V171" s="161">
        <v>0</v>
      </c>
      <c r="W171" s="161">
        <v>0</v>
      </c>
      <c r="X171" s="161">
        <v>0</v>
      </c>
      <c r="Y171" s="161">
        <v>0</v>
      </c>
      <c r="Z171" s="161">
        <v>0</v>
      </c>
      <c r="AA171" s="161">
        <v>0</v>
      </c>
      <c r="AB171" s="161">
        <v>0</v>
      </c>
      <c r="AC171" s="161">
        <v>0</v>
      </c>
      <c r="AD171" s="161">
        <v>0</v>
      </c>
      <c r="AE171" s="161">
        <v>0</v>
      </c>
      <c r="AF171" s="161">
        <v>0</v>
      </c>
      <c r="AG171" s="161">
        <v>0</v>
      </c>
      <c r="AH171" s="161">
        <v>0</v>
      </c>
      <c r="AI171" s="161">
        <v>0</v>
      </c>
      <c r="AJ171" s="161">
        <v>0</v>
      </c>
      <c r="AK171" s="161">
        <v>0</v>
      </c>
      <c r="AL171" s="161">
        <v>0</v>
      </c>
      <c r="AM171" s="161">
        <v>0</v>
      </c>
      <c r="AN171" s="152">
        <f t="shared" si="55"/>
        <v>0</v>
      </c>
    </row>
    <row r="172" spans="1:40" x14ac:dyDescent="0.3">
      <c r="A172" s="19">
        <f t="shared" si="50"/>
        <v>45755</v>
      </c>
      <c r="B172">
        <f t="shared" si="51"/>
        <v>2</v>
      </c>
      <c r="C172" s="16">
        <f>IFERROR(MATCH(A173,NERCHolidays!$B$2:$B$121,0),0)</f>
        <v>0</v>
      </c>
      <c r="D172">
        <f t="shared" si="49"/>
        <v>0</v>
      </c>
      <c r="E172" t="str">
        <f t="shared" si="43"/>
        <v>OP</v>
      </c>
      <c r="F172">
        <f t="shared" si="56"/>
        <v>5</v>
      </c>
      <c r="G172">
        <f t="shared" si="45"/>
        <v>1</v>
      </c>
      <c r="H172">
        <f t="shared" si="46"/>
        <v>0</v>
      </c>
      <c r="I172">
        <f t="shared" si="53"/>
        <v>1</v>
      </c>
      <c r="J172">
        <f t="shared" si="47"/>
        <v>0</v>
      </c>
      <c r="K172">
        <f t="shared" si="48"/>
        <v>6</v>
      </c>
      <c r="L172" s="179">
        <f>'Aztec Metered Load'!C176</f>
        <v>3.5649999999999999</v>
      </c>
      <c r="O172" s="148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52">
        <f t="shared" si="55"/>
        <v>0</v>
      </c>
    </row>
    <row r="173" spans="1:40" x14ac:dyDescent="0.3">
      <c r="A173" s="19">
        <f t="shared" si="50"/>
        <v>45755</v>
      </c>
      <c r="B173">
        <f t="shared" si="51"/>
        <v>3</v>
      </c>
      <c r="C173" s="16">
        <f>IFERROR(MATCH(A174,NERCHolidays!$B$2:$B$121,0),0)</f>
        <v>0</v>
      </c>
      <c r="D173">
        <f t="shared" si="49"/>
        <v>0</v>
      </c>
      <c r="E173" t="str">
        <f t="shared" si="43"/>
        <v>OP</v>
      </c>
      <c r="F173">
        <f t="shared" si="56"/>
        <v>5</v>
      </c>
      <c r="G173">
        <f t="shared" si="45"/>
        <v>1</v>
      </c>
      <c r="H173">
        <f t="shared" si="46"/>
        <v>0</v>
      </c>
      <c r="I173">
        <f t="shared" si="53"/>
        <v>2</v>
      </c>
      <c r="J173">
        <f t="shared" si="47"/>
        <v>0</v>
      </c>
      <c r="K173">
        <f t="shared" si="48"/>
        <v>6</v>
      </c>
      <c r="L173" s="179">
        <f>'Aztec Metered Load'!C177</f>
        <v>3.7050000000000001</v>
      </c>
      <c r="P173" s="155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52">
        <f>SUM(AN142:AN172)</f>
        <v>0</v>
      </c>
    </row>
    <row r="174" spans="1:40" x14ac:dyDescent="0.3">
      <c r="A174" s="19">
        <f t="shared" si="50"/>
        <v>45755</v>
      </c>
      <c r="B174">
        <f t="shared" si="51"/>
        <v>4</v>
      </c>
      <c r="C174" s="16">
        <f>IFERROR(MATCH(A175,NERCHolidays!$B$2:$B$121,0),0)</f>
        <v>0</v>
      </c>
      <c r="D174">
        <f t="shared" si="49"/>
        <v>0</v>
      </c>
      <c r="E174" t="str">
        <f t="shared" si="43"/>
        <v>OP</v>
      </c>
      <c r="F174">
        <f t="shared" si="56"/>
        <v>5</v>
      </c>
      <c r="G174">
        <f t="shared" si="45"/>
        <v>1</v>
      </c>
      <c r="H174">
        <f t="shared" si="46"/>
        <v>0</v>
      </c>
      <c r="I174">
        <f t="shared" si="53"/>
        <v>2</v>
      </c>
      <c r="J174">
        <f t="shared" si="47"/>
        <v>0</v>
      </c>
      <c r="K174">
        <f t="shared" si="48"/>
        <v>6</v>
      </c>
      <c r="L174" s="179">
        <f>'Aztec Metered Load'!C178</f>
        <v>3.903</v>
      </c>
      <c r="O174" s="149" t="str">
        <f>K2</f>
        <v>Total Delivered</v>
      </c>
      <c r="AN174" s="152"/>
    </row>
    <row r="175" spans="1:40" x14ac:dyDescent="0.3">
      <c r="A175" s="19">
        <f t="shared" si="50"/>
        <v>45755</v>
      </c>
      <c r="B175">
        <f t="shared" si="51"/>
        <v>5</v>
      </c>
      <c r="C175" s="16">
        <f>IFERROR(MATCH(A176,NERCHolidays!$B$2:$B$121,0),0)</f>
        <v>0</v>
      </c>
      <c r="D175">
        <f t="shared" si="49"/>
        <v>0</v>
      </c>
      <c r="E175" t="str">
        <f t="shared" si="43"/>
        <v>OP</v>
      </c>
      <c r="F175">
        <f t="shared" si="56"/>
        <v>5</v>
      </c>
      <c r="G175">
        <f t="shared" si="45"/>
        <v>1</v>
      </c>
      <c r="H175">
        <f t="shared" si="46"/>
        <v>0</v>
      </c>
      <c r="I175">
        <f t="shared" si="53"/>
        <v>2</v>
      </c>
      <c r="J175">
        <f t="shared" si="47"/>
        <v>0</v>
      </c>
      <c r="K175">
        <f t="shared" si="48"/>
        <v>6</v>
      </c>
      <c r="L175" s="179">
        <f>'Aztec Metered Load'!C179</f>
        <v>4.1520000000000001</v>
      </c>
      <c r="O175" s="146"/>
      <c r="P175" s="154" t="s">
        <v>25</v>
      </c>
      <c r="Q175" s="130" t="s">
        <v>26</v>
      </c>
      <c r="R175" s="130" t="s">
        <v>27</v>
      </c>
      <c r="S175" s="130" t="s">
        <v>28</v>
      </c>
      <c r="T175" s="130" t="s">
        <v>29</v>
      </c>
      <c r="U175" s="130" t="s">
        <v>30</v>
      </c>
      <c r="V175" s="130" t="s">
        <v>31</v>
      </c>
      <c r="W175" s="130" t="s">
        <v>32</v>
      </c>
      <c r="X175" s="130" t="s">
        <v>33</v>
      </c>
      <c r="Y175" s="130" t="s">
        <v>34</v>
      </c>
      <c r="Z175" s="130" t="s">
        <v>35</v>
      </c>
      <c r="AA175" s="130" t="s">
        <v>36</v>
      </c>
      <c r="AB175" s="130" t="s">
        <v>37</v>
      </c>
      <c r="AC175" s="130" t="s">
        <v>38</v>
      </c>
      <c r="AD175" s="130" t="s">
        <v>39</v>
      </c>
      <c r="AE175" s="130" t="s">
        <v>40</v>
      </c>
      <c r="AF175" s="130" t="s">
        <v>41</v>
      </c>
      <c r="AG175" s="130" t="s">
        <v>42</v>
      </c>
      <c r="AH175" s="130" t="s">
        <v>43</v>
      </c>
      <c r="AI175" s="130" t="s">
        <v>44</v>
      </c>
      <c r="AJ175" s="130" t="s">
        <v>45</v>
      </c>
      <c r="AK175" s="130" t="s">
        <v>46</v>
      </c>
      <c r="AL175" s="130" t="s">
        <v>47</v>
      </c>
      <c r="AM175" s="130" t="s">
        <v>48</v>
      </c>
      <c r="AN175" s="150" t="s">
        <v>49</v>
      </c>
    </row>
    <row r="176" spans="1:40" x14ac:dyDescent="0.3">
      <c r="A176" s="19">
        <f t="shared" si="50"/>
        <v>45755</v>
      </c>
      <c r="B176">
        <f t="shared" si="51"/>
        <v>6</v>
      </c>
      <c r="C176" s="16">
        <f>IFERROR(MATCH(A177,NERCHolidays!$B$2:$B$121,0),0)</f>
        <v>0</v>
      </c>
      <c r="D176">
        <f t="shared" si="49"/>
        <v>0</v>
      </c>
      <c r="E176" t="str">
        <f t="shared" si="43"/>
        <v>OP</v>
      </c>
      <c r="F176">
        <f t="shared" si="56"/>
        <v>5</v>
      </c>
      <c r="G176">
        <f t="shared" si="45"/>
        <v>1</v>
      </c>
      <c r="H176">
        <f t="shared" si="46"/>
        <v>0</v>
      </c>
      <c r="I176">
        <f t="shared" si="53"/>
        <v>2</v>
      </c>
      <c r="J176">
        <f t="shared" si="47"/>
        <v>0</v>
      </c>
      <c r="K176">
        <f t="shared" si="48"/>
        <v>6</v>
      </c>
      <c r="L176" s="179">
        <f>'Aztec Metered Load'!C180</f>
        <v>4.8129999999999997</v>
      </c>
      <c r="O176" s="148">
        <f t="shared" ref="O176:O205" si="57">O4</f>
        <v>45748</v>
      </c>
      <c r="P176" s="157">
        <f t="shared" ref="P176:AM176" si="58">Q4+P108+P142</f>
        <v>6</v>
      </c>
      <c r="Q176" s="157">
        <f t="shared" si="58"/>
        <v>6</v>
      </c>
      <c r="R176" s="157">
        <f t="shared" si="58"/>
        <v>1</v>
      </c>
      <c r="S176" s="157">
        <f t="shared" si="58"/>
        <v>6</v>
      </c>
      <c r="T176" s="157">
        <f t="shared" si="58"/>
        <v>6</v>
      </c>
      <c r="U176" s="157">
        <f t="shared" si="58"/>
        <v>6</v>
      </c>
      <c r="V176" s="157">
        <f t="shared" si="58"/>
        <v>6</v>
      </c>
      <c r="W176" s="157">
        <f t="shared" si="58"/>
        <v>6</v>
      </c>
      <c r="X176" s="157">
        <f t="shared" si="58"/>
        <v>6</v>
      </c>
      <c r="Y176" s="157">
        <f t="shared" si="58"/>
        <v>5</v>
      </c>
      <c r="Z176" s="157">
        <f t="shared" si="58"/>
        <v>5</v>
      </c>
      <c r="AA176" s="157">
        <f t="shared" si="58"/>
        <v>5</v>
      </c>
      <c r="AB176" s="157">
        <f t="shared" si="58"/>
        <v>5</v>
      </c>
      <c r="AC176" s="157">
        <f t="shared" si="58"/>
        <v>5</v>
      </c>
      <c r="AD176" s="157">
        <f t="shared" si="58"/>
        <v>5</v>
      </c>
      <c r="AE176" s="157">
        <f t="shared" si="58"/>
        <v>5</v>
      </c>
      <c r="AF176" s="157">
        <f t="shared" si="58"/>
        <v>5</v>
      </c>
      <c r="AG176" s="157">
        <f t="shared" si="58"/>
        <v>5</v>
      </c>
      <c r="AH176" s="157">
        <f t="shared" si="58"/>
        <v>6</v>
      </c>
      <c r="AI176" s="157">
        <f t="shared" si="58"/>
        <v>6</v>
      </c>
      <c r="AJ176" s="157">
        <f t="shared" si="58"/>
        <v>6</v>
      </c>
      <c r="AK176" s="157">
        <f t="shared" si="58"/>
        <v>6</v>
      </c>
      <c r="AL176" s="157">
        <f t="shared" si="58"/>
        <v>6</v>
      </c>
      <c r="AM176" s="157">
        <f t="shared" si="58"/>
        <v>5</v>
      </c>
      <c r="AN176" s="152">
        <f>SUM(P176:AM176)</f>
        <v>129</v>
      </c>
    </row>
    <row r="177" spans="1:40" x14ac:dyDescent="0.3">
      <c r="A177" s="19">
        <f t="shared" si="50"/>
        <v>45755</v>
      </c>
      <c r="B177">
        <f t="shared" si="51"/>
        <v>7</v>
      </c>
      <c r="C177" s="16">
        <f>IFERROR(MATCH(A178,NERCHolidays!$B$2:$B$121,0),0)</f>
        <v>0</v>
      </c>
      <c r="D177">
        <f t="shared" si="49"/>
        <v>0</v>
      </c>
      <c r="E177" t="str">
        <f t="shared" si="43"/>
        <v>OP</v>
      </c>
      <c r="F177">
        <f t="shared" si="56"/>
        <v>5</v>
      </c>
      <c r="G177">
        <f t="shared" si="45"/>
        <v>1</v>
      </c>
      <c r="H177">
        <f t="shared" si="46"/>
        <v>0</v>
      </c>
      <c r="I177">
        <f t="shared" si="53"/>
        <v>1</v>
      </c>
      <c r="J177">
        <f t="shared" si="47"/>
        <v>0</v>
      </c>
      <c r="K177">
        <f t="shared" si="48"/>
        <v>6</v>
      </c>
      <c r="L177" s="179">
        <f>'Aztec Metered Load'!C181</f>
        <v>5.0620000000000003</v>
      </c>
      <c r="O177" s="148">
        <f t="shared" si="57"/>
        <v>45749</v>
      </c>
      <c r="P177" s="157">
        <f t="shared" ref="P177:AM177" si="59">Q5+P109+P143</f>
        <v>6</v>
      </c>
      <c r="Q177" s="157">
        <f t="shared" si="59"/>
        <v>6</v>
      </c>
      <c r="R177" s="157">
        <f t="shared" si="59"/>
        <v>6</v>
      </c>
      <c r="S177" s="157">
        <f t="shared" si="59"/>
        <v>6</v>
      </c>
      <c r="T177" s="157">
        <f t="shared" si="59"/>
        <v>6</v>
      </c>
      <c r="U177" s="157">
        <f t="shared" si="59"/>
        <v>6</v>
      </c>
      <c r="V177" s="157">
        <f t="shared" si="59"/>
        <v>6</v>
      </c>
      <c r="W177" s="157">
        <f t="shared" si="59"/>
        <v>6</v>
      </c>
      <c r="X177" s="157">
        <f t="shared" si="59"/>
        <v>6</v>
      </c>
      <c r="Y177" s="157">
        <f t="shared" si="59"/>
        <v>5</v>
      </c>
      <c r="Z177" s="157">
        <f t="shared" si="59"/>
        <v>5</v>
      </c>
      <c r="AA177" s="157">
        <f t="shared" si="59"/>
        <v>5</v>
      </c>
      <c r="AB177" s="157">
        <f t="shared" si="59"/>
        <v>5</v>
      </c>
      <c r="AC177" s="157">
        <f t="shared" si="59"/>
        <v>5</v>
      </c>
      <c r="AD177" s="157">
        <f t="shared" si="59"/>
        <v>5</v>
      </c>
      <c r="AE177" s="157">
        <f t="shared" si="59"/>
        <v>5</v>
      </c>
      <c r="AF177" s="157">
        <f t="shared" si="59"/>
        <v>5</v>
      </c>
      <c r="AG177" s="157">
        <f t="shared" si="59"/>
        <v>5</v>
      </c>
      <c r="AH177" s="157">
        <f t="shared" si="59"/>
        <v>6</v>
      </c>
      <c r="AI177" s="157">
        <f t="shared" si="59"/>
        <v>6</v>
      </c>
      <c r="AJ177" s="157">
        <f t="shared" si="59"/>
        <v>6</v>
      </c>
      <c r="AK177" s="157">
        <f t="shared" si="59"/>
        <v>6</v>
      </c>
      <c r="AL177" s="157">
        <f t="shared" si="59"/>
        <v>6</v>
      </c>
      <c r="AM177" s="157">
        <f t="shared" si="59"/>
        <v>5</v>
      </c>
      <c r="AN177" s="152">
        <f t="shared" ref="AN177:AN203" si="60">SUM(P177:AM177)</f>
        <v>134</v>
      </c>
    </row>
    <row r="178" spans="1:40" x14ac:dyDescent="0.3">
      <c r="A178" s="19">
        <f t="shared" si="50"/>
        <v>45755</v>
      </c>
      <c r="B178">
        <f t="shared" si="51"/>
        <v>8</v>
      </c>
      <c r="C178" s="16">
        <f>IFERROR(MATCH(A179,NERCHolidays!$B$2:$B$121,0),0)</f>
        <v>0</v>
      </c>
      <c r="D178">
        <f t="shared" si="49"/>
        <v>1</v>
      </c>
      <c r="E178" t="str">
        <f t="shared" si="43"/>
        <v>PK</v>
      </c>
      <c r="F178">
        <f t="shared" si="56"/>
        <v>5</v>
      </c>
      <c r="G178">
        <f t="shared" si="45"/>
        <v>1</v>
      </c>
      <c r="H178">
        <f t="shared" si="46"/>
        <v>0</v>
      </c>
      <c r="I178">
        <f t="shared" si="53"/>
        <v>1</v>
      </c>
      <c r="J178">
        <f t="shared" si="47"/>
        <v>0</v>
      </c>
      <c r="K178">
        <f t="shared" si="48"/>
        <v>6</v>
      </c>
      <c r="L178" s="179">
        <f>'Aztec Metered Load'!C182</f>
        <v>4.9569999999999999</v>
      </c>
      <c r="O178" s="148">
        <f t="shared" si="57"/>
        <v>45750</v>
      </c>
      <c r="P178" s="157">
        <f t="shared" ref="P178:AM178" si="61">Q6+P110+P144</f>
        <v>6</v>
      </c>
      <c r="Q178" s="157">
        <f t="shared" si="61"/>
        <v>6</v>
      </c>
      <c r="R178" s="157">
        <f t="shared" si="61"/>
        <v>6</v>
      </c>
      <c r="S178" s="157">
        <f t="shared" si="61"/>
        <v>6</v>
      </c>
      <c r="T178" s="157">
        <f t="shared" si="61"/>
        <v>6</v>
      </c>
      <c r="U178" s="157">
        <f t="shared" si="61"/>
        <v>6</v>
      </c>
      <c r="V178" s="157">
        <f t="shared" si="61"/>
        <v>6</v>
      </c>
      <c r="W178" s="157">
        <f t="shared" si="61"/>
        <v>2</v>
      </c>
      <c r="X178" s="157">
        <f t="shared" si="61"/>
        <v>2</v>
      </c>
      <c r="Y178" s="157">
        <f t="shared" si="61"/>
        <v>5</v>
      </c>
      <c r="Z178" s="157">
        <f t="shared" si="61"/>
        <v>5</v>
      </c>
      <c r="AA178" s="157">
        <f t="shared" si="61"/>
        <v>5</v>
      </c>
      <c r="AB178" s="157">
        <f t="shared" si="61"/>
        <v>5</v>
      </c>
      <c r="AC178" s="157">
        <f t="shared" si="61"/>
        <v>5</v>
      </c>
      <c r="AD178" s="157">
        <f t="shared" si="61"/>
        <v>5</v>
      </c>
      <c r="AE178" s="157">
        <f t="shared" si="61"/>
        <v>5</v>
      </c>
      <c r="AF178" s="157">
        <f t="shared" si="61"/>
        <v>5</v>
      </c>
      <c r="AG178" s="157">
        <f t="shared" si="61"/>
        <v>0</v>
      </c>
      <c r="AH178" s="157">
        <f t="shared" si="61"/>
        <v>6</v>
      </c>
      <c r="AI178" s="157">
        <f t="shared" si="61"/>
        <v>6</v>
      </c>
      <c r="AJ178" s="157">
        <f t="shared" si="61"/>
        <v>6</v>
      </c>
      <c r="AK178" s="157">
        <f t="shared" si="61"/>
        <v>6</v>
      </c>
      <c r="AL178" s="157">
        <f t="shared" si="61"/>
        <v>6</v>
      </c>
      <c r="AM178" s="157">
        <f t="shared" si="61"/>
        <v>5</v>
      </c>
      <c r="AN178" s="152">
        <f t="shared" si="60"/>
        <v>121</v>
      </c>
    </row>
    <row r="179" spans="1:40" x14ac:dyDescent="0.3">
      <c r="A179" s="19">
        <f t="shared" si="50"/>
        <v>45755</v>
      </c>
      <c r="B179">
        <f t="shared" si="51"/>
        <v>9</v>
      </c>
      <c r="C179" s="16">
        <f>IFERROR(MATCH(A180,NERCHolidays!$B$2:$B$121,0),0)</f>
        <v>0</v>
      </c>
      <c r="D179">
        <f t="shared" si="49"/>
        <v>1</v>
      </c>
      <c r="E179" t="str">
        <f t="shared" si="43"/>
        <v>PK</v>
      </c>
      <c r="F179">
        <f t="shared" si="56"/>
        <v>5</v>
      </c>
      <c r="G179">
        <f t="shared" si="45"/>
        <v>1</v>
      </c>
      <c r="H179">
        <f t="shared" si="46"/>
        <v>0</v>
      </c>
      <c r="I179">
        <f t="shared" si="53"/>
        <v>1</v>
      </c>
      <c r="J179">
        <f t="shared" si="47"/>
        <v>0</v>
      </c>
      <c r="K179">
        <f t="shared" si="48"/>
        <v>6</v>
      </c>
      <c r="L179" s="179">
        <f>'Aztec Metered Load'!C183</f>
        <v>4.4790000000000001</v>
      </c>
      <c r="O179" s="148">
        <f t="shared" si="57"/>
        <v>45751</v>
      </c>
      <c r="P179" s="157">
        <f t="shared" ref="P179:AM179" si="62">Q7+P111+P145</f>
        <v>6</v>
      </c>
      <c r="Q179" s="157">
        <f t="shared" si="62"/>
        <v>6</v>
      </c>
      <c r="R179" s="157">
        <f t="shared" si="62"/>
        <v>6</v>
      </c>
      <c r="S179" s="157">
        <f t="shared" si="62"/>
        <v>6</v>
      </c>
      <c r="T179" s="157">
        <f t="shared" si="62"/>
        <v>1</v>
      </c>
      <c r="U179" s="157">
        <f t="shared" si="62"/>
        <v>1</v>
      </c>
      <c r="V179" s="157">
        <f t="shared" si="62"/>
        <v>6</v>
      </c>
      <c r="W179" s="157">
        <f t="shared" si="62"/>
        <v>6</v>
      </c>
      <c r="X179" s="157">
        <f t="shared" si="62"/>
        <v>6</v>
      </c>
      <c r="Y179" s="157">
        <f t="shared" si="62"/>
        <v>5</v>
      </c>
      <c r="Z179" s="157">
        <f t="shared" si="62"/>
        <v>5</v>
      </c>
      <c r="AA179" s="157">
        <f t="shared" si="62"/>
        <v>5</v>
      </c>
      <c r="AB179" s="157">
        <f t="shared" si="62"/>
        <v>5</v>
      </c>
      <c r="AC179" s="157">
        <f t="shared" si="62"/>
        <v>5</v>
      </c>
      <c r="AD179" s="157">
        <f t="shared" si="62"/>
        <v>5</v>
      </c>
      <c r="AE179" s="157">
        <f t="shared" si="62"/>
        <v>5</v>
      </c>
      <c r="AF179" s="157">
        <f t="shared" si="62"/>
        <v>5</v>
      </c>
      <c r="AG179" s="157">
        <f t="shared" si="62"/>
        <v>5</v>
      </c>
      <c r="AH179" s="157">
        <f t="shared" si="62"/>
        <v>6</v>
      </c>
      <c r="AI179" s="157">
        <f t="shared" si="62"/>
        <v>6</v>
      </c>
      <c r="AJ179" s="157">
        <f t="shared" si="62"/>
        <v>6</v>
      </c>
      <c r="AK179" s="157">
        <f t="shared" si="62"/>
        <v>6</v>
      </c>
      <c r="AL179" s="157">
        <f t="shared" si="62"/>
        <v>6</v>
      </c>
      <c r="AM179" s="157">
        <f t="shared" si="62"/>
        <v>5</v>
      </c>
      <c r="AN179" s="152">
        <f t="shared" si="60"/>
        <v>124</v>
      </c>
    </row>
    <row r="180" spans="1:40" x14ac:dyDescent="0.3">
      <c r="A180" s="19">
        <f t="shared" si="50"/>
        <v>45755</v>
      </c>
      <c r="B180">
        <f t="shared" si="51"/>
        <v>10</v>
      </c>
      <c r="C180" s="16">
        <f>IFERROR(MATCH(A181,NERCHolidays!$B$2:$B$121,0),0)</f>
        <v>0</v>
      </c>
      <c r="D180">
        <f t="shared" si="49"/>
        <v>1</v>
      </c>
      <c r="E180" t="str">
        <f t="shared" si="43"/>
        <v>PK</v>
      </c>
      <c r="F180">
        <f t="shared" si="56"/>
        <v>5</v>
      </c>
      <c r="G180">
        <f t="shared" si="45"/>
        <v>0</v>
      </c>
      <c r="H180">
        <f t="shared" si="46"/>
        <v>0</v>
      </c>
      <c r="I180">
        <f t="shared" si="53"/>
        <v>1</v>
      </c>
      <c r="J180">
        <f t="shared" si="47"/>
        <v>0</v>
      </c>
      <c r="K180">
        <f t="shared" si="48"/>
        <v>5</v>
      </c>
      <c r="L180" s="179">
        <f>'Aztec Metered Load'!C184</f>
        <v>4.2629999999999999</v>
      </c>
      <c r="O180" s="148">
        <f t="shared" si="57"/>
        <v>45752</v>
      </c>
      <c r="P180" s="157">
        <f t="shared" ref="P180:AM180" si="63">Q8+P112+P146</f>
        <v>6</v>
      </c>
      <c r="Q180" s="157">
        <f t="shared" si="63"/>
        <v>6</v>
      </c>
      <c r="R180" s="157">
        <f t="shared" si="63"/>
        <v>6</v>
      </c>
      <c r="S180" s="157">
        <f t="shared" si="63"/>
        <v>6</v>
      </c>
      <c r="T180" s="157">
        <f t="shared" si="63"/>
        <v>6</v>
      </c>
      <c r="U180" s="157">
        <f t="shared" si="63"/>
        <v>6</v>
      </c>
      <c r="V180" s="157">
        <f t="shared" si="63"/>
        <v>6</v>
      </c>
      <c r="W180" s="157">
        <f t="shared" si="63"/>
        <v>6</v>
      </c>
      <c r="X180" s="157">
        <f t="shared" si="63"/>
        <v>6</v>
      </c>
      <c r="Y180" s="157">
        <f t="shared" si="63"/>
        <v>5</v>
      </c>
      <c r="Z180" s="157">
        <f t="shared" si="63"/>
        <v>5</v>
      </c>
      <c r="AA180" s="157">
        <f t="shared" si="63"/>
        <v>5</v>
      </c>
      <c r="AB180" s="157">
        <f t="shared" si="63"/>
        <v>5</v>
      </c>
      <c r="AC180" s="157">
        <f t="shared" si="63"/>
        <v>5</v>
      </c>
      <c r="AD180" s="157">
        <f t="shared" si="63"/>
        <v>5</v>
      </c>
      <c r="AE180" s="157">
        <f t="shared" si="63"/>
        <v>5</v>
      </c>
      <c r="AF180" s="157">
        <f t="shared" si="63"/>
        <v>5</v>
      </c>
      <c r="AG180" s="157">
        <f t="shared" si="63"/>
        <v>5</v>
      </c>
      <c r="AH180" s="157">
        <f t="shared" si="63"/>
        <v>6</v>
      </c>
      <c r="AI180" s="157">
        <f t="shared" si="63"/>
        <v>6</v>
      </c>
      <c r="AJ180" s="157">
        <f t="shared" si="63"/>
        <v>6</v>
      </c>
      <c r="AK180" s="157">
        <f t="shared" si="63"/>
        <v>6</v>
      </c>
      <c r="AL180" s="157">
        <f t="shared" si="63"/>
        <v>6</v>
      </c>
      <c r="AM180" s="157">
        <f t="shared" si="63"/>
        <v>5</v>
      </c>
      <c r="AN180" s="152">
        <f t="shared" si="60"/>
        <v>134</v>
      </c>
    </row>
    <row r="181" spans="1:40" x14ac:dyDescent="0.3">
      <c r="A181" s="19">
        <f t="shared" si="50"/>
        <v>45755</v>
      </c>
      <c r="B181">
        <f t="shared" si="51"/>
        <v>11</v>
      </c>
      <c r="C181" s="16">
        <f>IFERROR(MATCH(A182,NERCHolidays!$B$2:$B$121,0),0)</f>
        <v>0</v>
      </c>
      <c r="D181">
        <f t="shared" si="49"/>
        <v>1</v>
      </c>
      <c r="E181" t="str">
        <f t="shared" si="43"/>
        <v>PK</v>
      </c>
      <c r="F181">
        <f t="shared" si="56"/>
        <v>5</v>
      </c>
      <c r="G181">
        <f t="shared" si="45"/>
        <v>0</v>
      </c>
      <c r="H181">
        <f t="shared" si="46"/>
        <v>0</v>
      </c>
      <c r="I181">
        <f t="shared" si="53"/>
        <v>1</v>
      </c>
      <c r="J181">
        <f t="shared" si="47"/>
        <v>0</v>
      </c>
      <c r="K181">
        <f t="shared" si="48"/>
        <v>5</v>
      </c>
      <c r="L181" s="179">
        <f>'Aztec Metered Load'!C185</f>
        <v>4.1280000000000001</v>
      </c>
      <c r="O181" s="148">
        <f t="shared" si="57"/>
        <v>45753</v>
      </c>
      <c r="P181" s="157">
        <f t="shared" ref="P181:AM181" si="64">Q9+P113+P147</f>
        <v>6</v>
      </c>
      <c r="Q181" s="157">
        <f t="shared" si="64"/>
        <v>6</v>
      </c>
      <c r="R181" s="157">
        <f t="shared" si="64"/>
        <v>6</v>
      </c>
      <c r="S181" s="157">
        <f t="shared" si="64"/>
        <v>6</v>
      </c>
      <c r="T181" s="157">
        <f t="shared" si="64"/>
        <v>6</v>
      </c>
      <c r="U181" s="157">
        <f t="shared" si="64"/>
        <v>6</v>
      </c>
      <c r="V181" s="157">
        <f t="shared" si="64"/>
        <v>6</v>
      </c>
      <c r="W181" s="157">
        <f t="shared" si="64"/>
        <v>6</v>
      </c>
      <c r="X181" s="157">
        <f t="shared" si="64"/>
        <v>6</v>
      </c>
      <c r="Y181" s="157">
        <f t="shared" si="64"/>
        <v>5</v>
      </c>
      <c r="Z181" s="157">
        <f t="shared" si="64"/>
        <v>5</v>
      </c>
      <c r="AA181" s="157">
        <f t="shared" si="64"/>
        <v>5</v>
      </c>
      <c r="AB181" s="157">
        <f t="shared" si="64"/>
        <v>5</v>
      </c>
      <c r="AC181" s="157">
        <f t="shared" si="64"/>
        <v>5</v>
      </c>
      <c r="AD181" s="157">
        <f t="shared" si="64"/>
        <v>5</v>
      </c>
      <c r="AE181" s="157">
        <f t="shared" si="64"/>
        <v>5</v>
      </c>
      <c r="AF181" s="157">
        <f t="shared" si="64"/>
        <v>5</v>
      </c>
      <c r="AG181" s="157">
        <f t="shared" si="64"/>
        <v>5</v>
      </c>
      <c r="AH181" s="157">
        <f t="shared" si="64"/>
        <v>6</v>
      </c>
      <c r="AI181" s="157">
        <f t="shared" si="64"/>
        <v>6</v>
      </c>
      <c r="AJ181" s="157">
        <f t="shared" si="64"/>
        <v>6</v>
      </c>
      <c r="AK181" s="157">
        <f t="shared" si="64"/>
        <v>6</v>
      </c>
      <c r="AL181" s="157">
        <f t="shared" si="64"/>
        <v>6</v>
      </c>
      <c r="AM181" s="157">
        <f t="shared" si="64"/>
        <v>5</v>
      </c>
      <c r="AN181" s="152">
        <f t="shared" si="60"/>
        <v>134</v>
      </c>
    </row>
    <row r="182" spans="1:40" x14ac:dyDescent="0.3">
      <c r="A182" s="19">
        <f t="shared" si="50"/>
        <v>45755</v>
      </c>
      <c r="B182">
        <f t="shared" si="51"/>
        <v>12</v>
      </c>
      <c r="C182" s="16">
        <f>IFERROR(MATCH(A183,NERCHolidays!$B$2:$B$121,0),0)</f>
        <v>0</v>
      </c>
      <c r="D182">
        <f t="shared" si="49"/>
        <v>1</v>
      </c>
      <c r="E182" t="str">
        <f t="shared" si="43"/>
        <v>PK</v>
      </c>
      <c r="F182">
        <f t="shared" si="56"/>
        <v>5</v>
      </c>
      <c r="G182">
        <f t="shared" si="45"/>
        <v>0</v>
      </c>
      <c r="H182">
        <f t="shared" si="46"/>
        <v>0</v>
      </c>
      <c r="I182">
        <f t="shared" si="53"/>
        <v>1</v>
      </c>
      <c r="J182">
        <f t="shared" si="47"/>
        <v>0</v>
      </c>
      <c r="K182">
        <f t="shared" si="48"/>
        <v>5</v>
      </c>
      <c r="L182" s="179">
        <f>'Aztec Metered Load'!C186</f>
        <v>4.1669999999999998</v>
      </c>
      <c r="O182" s="148">
        <f t="shared" si="57"/>
        <v>45754</v>
      </c>
      <c r="P182" s="157">
        <f t="shared" ref="P182:AM182" si="65">Q10+P114+P148</f>
        <v>6</v>
      </c>
      <c r="Q182" s="157">
        <f t="shared" si="65"/>
        <v>6</v>
      </c>
      <c r="R182" s="157">
        <f t="shared" si="65"/>
        <v>6</v>
      </c>
      <c r="S182" s="157">
        <f t="shared" si="65"/>
        <v>6</v>
      </c>
      <c r="T182" s="157">
        <f t="shared" si="65"/>
        <v>6</v>
      </c>
      <c r="U182" s="157">
        <f t="shared" si="65"/>
        <v>6</v>
      </c>
      <c r="V182" s="157">
        <f t="shared" si="65"/>
        <v>6</v>
      </c>
      <c r="W182" s="157">
        <f t="shared" si="65"/>
        <v>6</v>
      </c>
      <c r="X182" s="157">
        <f t="shared" si="65"/>
        <v>6</v>
      </c>
      <c r="Y182" s="157">
        <f t="shared" si="65"/>
        <v>5</v>
      </c>
      <c r="Z182" s="157">
        <f t="shared" si="65"/>
        <v>5</v>
      </c>
      <c r="AA182" s="157">
        <f t="shared" si="65"/>
        <v>5</v>
      </c>
      <c r="AB182" s="157">
        <f t="shared" si="65"/>
        <v>5</v>
      </c>
      <c r="AC182" s="157">
        <f t="shared" si="65"/>
        <v>5</v>
      </c>
      <c r="AD182" s="157">
        <f t="shared" si="65"/>
        <v>5</v>
      </c>
      <c r="AE182" s="157">
        <f t="shared" si="65"/>
        <v>5</v>
      </c>
      <c r="AF182" s="157">
        <f t="shared" si="65"/>
        <v>5</v>
      </c>
      <c r="AG182" s="157">
        <f t="shared" si="65"/>
        <v>5</v>
      </c>
      <c r="AH182" s="157">
        <f t="shared" si="65"/>
        <v>6</v>
      </c>
      <c r="AI182" s="157">
        <f t="shared" si="65"/>
        <v>6</v>
      </c>
      <c r="AJ182" s="157">
        <f t="shared" si="65"/>
        <v>6</v>
      </c>
      <c r="AK182" s="157">
        <f t="shared" si="65"/>
        <v>6</v>
      </c>
      <c r="AL182" s="157">
        <f t="shared" si="65"/>
        <v>6</v>
      </c>
      <c r="AM182" s="157">
        <f t="shared" si="65"/>
        <v>5</v>
      </c>
      <c r="AN182" s="152">
        <f t="shared" si="60"/>
        <v>134</v>
      </c>
    </row>
    <row r="183" spans="1:40" x14ac:dyDescent="0.3">
      <c r="A183" s="19">
        <f t="shared" si="50"/>
        <v>45755</v>
      </c>
      <c r="B183">
        <f t="shared" si="51"/>
        <v>13</v>
      </c>
      <c r="C183" s="16">
        <f>IFERROR(MATCH(A184,NERCHolidays!$B$2:$B$121,0),0)</f>
        <v>0</v>
      </c>
      <c r="D183">
        <f t="shared" si="49"/>
        <v>1</v>
      </c>
      <c r="E183" t="str">
        <f t="shared" si="43"/>
        <v>PK</v>
      </c>
      <c r="F183">
        <f t="shared" si="56"/>
        <v>5</v>
      </c>
      <c r="G183">
        <f t="shared" si="45"/>
        <v>0</v>
      </c>
      <c r="H183">
        <f t="shared" si="46"/>
        <v>0</v>
      </c>
      <c r="I183">
        <f t="shared" si="53"/>
        <v>1</v>
      </c>
      <c r="J183">
        <f t="shared" si="47"/>
        <v>0</v>
      </c>
      <c r="K183">
        <f t="shared" si="48"/>
        <v>5</v>
      </c>
      <c r="L183" s="179">
        <f>'Aztec Metered Load'!C187</f>
        <v>3.9319999999999999</v>
      </c>
      <c r="O183" s="148">
        <f t="shared" si="57"/>
        <v>45755</v>
      </c>
      <c r="P183" s="157">
        <f t="shared" ref="P183:AM183" si="66">Q11+P115+P149</f>
        <v>6</v>
      </c>
      <c r="Q183" s="157">
        <f t="shared" si="66"/>
        <v>6</v>
      </c>
      <c r="R183" s="157">
        <f t="shared" si="66"/>
        <v>6</v>
      </c>
      <c r="S183" s="157">
        <f t="shared" si="66"/>
        <v>6</v>
      </c>
      <c r="T183" s="157">
        <f t="shared" si="66"/>
        <v>6</v>
      </c>
      <c r="U183" s="157">
        <f t="shared" si="66"/>
        <v>6</v>
      </c>
      <c r="V183" s="157">
        <f t="shared" si="66"/>
        <v>6</v>
      </c>
      <c r="W183" s="157">
        <f t="shared" si="66"/>
        <v>6</v>
      </c>
      <c r="X183" s="157">
        <f t="shared" si="66"/>
        <v>6</v>
      </c>
      <c r="Y183" s="157">
        <f t="shared" si="66"/>
        <v>5</v>
      </c>
      <c r="Z183" s="157">
        <f t="shared" si="66"/>
        <v>5</v>
      </c>
      <c r="AA183" s="157">
        <f t="shared" si="66"/>
        <v>5</v>
      </c>
      <c r="AB183" s="157">
        <f t="shared" si="66"/>
        <v>5</v>
      </c>
      <c r="AC183" s="157">
        <f t="shared" si="66"/>
        <v>5</v>
      </c>
      <c r="AD183" s="157">
        <f t="shared" si="66"/>
        <v>5</v>
      </c>
      <c r="AE183" s="157">
        <f t="shared" si="66"/>
        <v>5</v>
      </c>
      <c r="AF183" s="157">
        <f t="shared" si="66"/>
        <v>5</v>
      </c>
      <c r="AG183" s="157">
        <f t="shared" si="66"/>
        <v>5</v>
      </c>
      <c r="AH183" s="157">
        <f t="shared" si="66"/>
        <v>6</v>
      </c>
      <c r="AI183" s="157">
        <f t="shared" si="66"/>
        <v>6</v>
      </c>
      <c r="AJ183" s="157">
        <f t="shared" si="66"/>
        <v>6</v>
      </c>
      <c r="AK183" s="157">
        <f t="shared" si="66"/>
        <v>6</v>
      </c>
      <c r="AL183" s="157">
        <f t="shared" si="66"/>
        <v>6</v>
      </c>
      <c r="AM183" s="157">
        <f t="shared" si="66"/>
        <v>5</v>
      </c>
      <c r="AN183" s="152">
        <f t="shared" si="60"/>
        <v>134</v>
      </c>
    </row>
    <row r="184" spans="1:40" x14ac:dyDescent="0.3">
      <c r="A184" s="19">
        <f t="shared" si="50"/>
        <v>45755</v>
      </c>
      <c r="B184">
        <f t="shared" si="51"/>
        <v>14</v>
      </c>
      <c r="C184" s="16">
        <f>IFERROR(MATCH(A185,NERCHolidays!$B$2:$B$121,0),0)</f>
        <v>0</v>
      </c>
      <c r="D184">
        <f t="shared" si="49"/>
        <v>1</v>
      </c>
      <c r="E184" t="str">
        <f t="shared" si="43"/>
        <v>PK</v>
      </c>
      <c r="F184">
        <f t="shared" si="56"/>
        <v>5</v>
      </c>
      <c r="G184">
        <f t="shared" si="45"/>
        <v>0</v>
      </c>
      <c r="H184">
        <f t="shared" si="46"/>
        <v>0</v>
      </c>
      <c r="I184">
        <f t="shared" si="53"/>
        <v>1</v>
      </c>
      <c r="J184">
        <f t="shared" si="47"/>
        <v>0</v>
      </c>
      <c r="K184">
        <f t="shared" si="48"/>
        <v>5</v>
      </c>
      <c r="L184" s="179">
        <f>'Aztec Metered Load'!C188</f>
        <v>3.8740000000000001</v>
      </c>
      <c r="O184" s="148">
        <f t="shared" si="57"/>
        <v>45756</v>
      </c>
      <c r="P184" s="157">
        <f t="shared" ref="P184:AM184" si="67">Q12+P116+P150</f>
        <v>6</v>
      </c>
      <c r="Q184" s="157">
        <f t="shared" si="67"/>
        <v>6</v>
      </c>
      <c r="R184" s="157">
        <f t="shared" si="67"/>
        <v>6</v>
      </c>
      <c r="S184" s="157">
        <f t="shared" si="67"/>
        <v>6</v>
      </c>
      <c r="T184" s="157">
        <f t="shared" si="67"/>
        <v>6</v>
      </c>
      <c r="U184" s="157">
        <f t="shared" si="67"/>
        <v>6</v>
      </c>
      <c r="V184" s="157">
        <f t="shared" si="67"/>
        <v>6</v>
      </c>
      <c r="W184" s="157">
        <f t="shared" si="67"/>
        <v>6</v>
      </c>
      <c r="X184" s="157">
        <f t="shared" si="67"/>
        <v>6</v>
      </c>
      <c r="Y184" s="157">
        <f t="shared" si="67"/>
        <v>5</v>
      </c>
      <c r="Z184" s="157">
        <f t="shared" si="67"/>
        <v>5</v>
      </c>
      <c r="AA184" s="157">
        <f t="shared" si="67"/>
        <v>5</v>
      </c>
      <c r="AB184" s="157">
        <f t="shared" si="67"/>
        <v>5</v>
      </c>
      <c r="AC184" s="157">
        <f t="shared" si="67"/>
        <v>5</v>
      </c>
      <c r="AD184" s="157">
        <f t="shared" si="67"/>
        <v>5</v>
      </c>
      <c r="AE184" s="157">
        <f t="shared" si="67"/>
        <v>5</v>
      </c>
      <c r="AF184" s="157">
        <f t="shared" si="67"/>
        <v>5</v>
      </c>
      <c r="AG184" s="157">
        <f t="shared" si="67"/>
        <v>5</v>
      </c>
      <c r="AH184" s="157">
        <f t="shared" si="67"/>
        <v>6</v>
      </c>
      <c r="AI184" s="157">
        <f t="shared" si="67"/>
        <v>6</v>
      </c>
      <c r="AJ184" s="157">
        <f t="shared" si="67"/>
        <v>6</v>
      </c>
      <c r="AK184" s="157">
        <f t="shared" si="67"/>
        <v>6</v>
      </c>
      <c r="AL184" s="157">
        <f t="shared" si="67"/>
        <v>6</v>
      </c>
      <c r="AM184" s="157">
        <f t="shared" si="67"/>
        <v>5</v>
      </c>
      <c r="AN184" s="152">
        <f t="shared" si="60"/>
        <v>134</v>
      </c>
    </row>
    <row r="185" spans="1:40" x14ac:dyDescent="0.3">
      <c r="A185" s="19">
        <f t="shared" si="50"/>
        <v>45755</v>
      </c>
      <c r="B185">
        <f t="shared" si="51"/>
        <v>15</v>
      </c>
      <c r="C185" s="16">
        <f>IFERROR(MATCH(A186,NERCHolidays!$B$2:$B$121,0),0)</f>
        <v>0</v>
      </c>
      <c r="D185">
        <f t="shared" si="49"/>
        <v>1</v>
      </c>
      <c r="E185" t="str">
        <f t="shared" si="43"/>
        <v>PK</v>
      </c>
      <c r="F185">
        <f t="shared" si="56"/>
        <v>5</v>
      </c>
      <c r="G185">
        <f t="shared" si="45"/>
        <v>0</v>
      </c>
      <c r="H185">
        <f t="shared" si="46"/>
        <v>0</v>
      </c>
      <c r="I185">
        <f t="shared" si="53"/>
        <v>1</v>
      </c>
      <c r="J185">
        <f t="shared" si="47"/>
        <v>0</v>
      </c>
      <c r="K185">
        <f t="shared" si="48"/>
        <v>5</v>
      </c>
      <c r="L185" s="179">
        <f>'Aztec Metered Load'!C189</f>
        <v>3.9620000000000002</v>
      </c>
      <c r="O185" s="148">
        <f t="shared" si="57"/>
        <v>45757</v>
      </c>
      <c r="P185" s="157">
        <f t="shared" ref="P185:AM185" si="68">Q13+P117+P151</f>
        <v>6</v>
      </c>
      <c r="Q185" s="157">
        <f t="shared" si="68"/>
        <v>6</v>
      </c>
      <c r="R185" s="157">
        <f t="shared" si="68"/>
        <v>6</v>
      </c>
      <c r="S185" s="157">
        <f t="shared" si="68"/>
        <v>6</v>
      </c>
      <c r="T185" s="157">
        <f t="shared" si="68"/>
        <v>6</v>
      </c>
      <c r="U185" s="157">
        <f t="shared" si="68"/>
        <v>6</v>
      </c>
      <c r="V185" s="157">
        <f t="shared" si="68"/>
        <v>6</v>
      </c>
      <c r="W185" s="157">
        <f t="shared" si="68"/>
        <v>6</v>
      </c>
      <c r="X185" s="157">
        <f t="shared" si="68"/>
        <v>6</v>
      </c>
      <c r="Y185" s="157">
        <f t="shared" si="68"/>
        <v>5</v>
      </c>
      <c r="Z185" s="157">
        <f t="shared" si="68"/>
        <v>5</v>
      </c>
      <c r="AA185" s="157">
        <f t="shared" si="68"/>
        <v>5</v>
      </c>
      <c r="AB185" s="157">
        <f t="shared" si="68"/>
        <v>5</v>
      </c>
      <c r="AC185" s="157">
        <f t="shared" si="68"/>
        <v>5</v>
      </c>
      <c r="AD185" s="157">
        <f t="shared" si="68"/>
        <v>5</v>
      </c>
      <c r="AE185" s="157">
        <f t="shared" si="68"/>
        <v>5</v>
      </c>
      <c r="AF185" s="157">
        <f t="shared" si="68"/>
        <v>5</v>
      </c>
      <c r="AG185" s="157">
        <f t="shared" si="68"/>
        <v>5</v>
      </c>
      <c r="AH185" s="157">
        <f t="shared" si="68"/>
        <v>6</v>
      </c>
      <c r="AI185" s="157">
        <f t="shared" si="68"/>
        <v>6</v>
      </c>
      <c r="AJ185" s="157">
        <f t="shared" si="68"/>
        <v>6</v>
      </c>
      <c r="AK185" s="157">
        <f t="shared" si="68"/>
        <v>6</v>
      </c>
      <c r="AL185" s="157">
        <f t="shared" si="68"/>
        <v>6</v>
      </c>
      <c r="AM185" s="157">
        <f t="shared" si="68"/>
        <v>5</v>
      </c>
      <c r="AN185" s="152">
        <f t="shared" si="60"/>
        <v>134</v>
      </c>
    </row>
    <row r="186" spans="1:40" x14ac:dyDescent="0.3">
      <c r="A186" s="19">
        <f t="shared" si="50"/>
        <v>45755</v>
      </c>
      <c r="B186">
        <f t="shared" si="51"/>
        <v>16</v>
      </c>
      <c r="C186" s="16">
        <f>IFERROR(MATCH(A187,NERCHolidays!$B$2:$B$121,0),0)</f>
        <v>0</v>
      </c>
      <c r="D186">
        <f t="shared" si="49"/>
        <v>1</v>
      </c>
      <c r="E186" t="str">
        <f t="shared" si="43"/>
        <v>PK</v>
      </c>
      <c r="F186">
        <f t="shared" si="56"/>
        <v>5</v>
      </c>
      <c r="G186">
        <f t="shared" si="45"/>
        <v>0</v>
      </c>
      <c r="H186">
        <f t="shared" si="46"/>
        <v>0</v>
      </c>
      <c r="I186">
        <f t="shared" si="53"/>
        <v>1</v>
      </c>
      <c r="J186">
        <f t="shared" si="47"/>
        <v>0</v>
      </c>
      <c r="K186">
        <f t="shared" si="48"/>
        <v>5</v>
      </c>
      <c r="L186" s="179">
        <f>'Aztec Metered Load'!C190</f>
        <v>4.008</v>
      </c>
      <c r="O186" s="148">
        <f t="shared" si="57"/>
        <v>45758</v>
      </c>
      <c r="P186" s="157">
        <f t="shared" ref="P186:AM186" si="69">Q14+P118+P152</f>
        <v>6</v>
      </c>
      <c r="Q186" s="157">
        <f t="shared" si="69"/>
        <v>6</v>
      </c>
      <c r="R186" s="157">
        <f t="shared" si="69"/>
        <v>6</v>
      </c>
      <c r="S186" s="157">
        <f t="shared" si="69"/>
        <v>6</v>
      </c>
      <c r="T186" s="157">
        <f t="shared" si="69"/>
        <v>6</v>
      </c>
      <c r="U186" s="157">
        <f t="shared" si="69"/>
        <v>6</v>
      </c>
      <c r="V186" s="157">
        <f t="shared" si="69"/>
        <v>6</v>
      </c>
      <c r="W186" s="157">
        <f t="shared" si="69"/>
        <v>6</v>
      </c>
      <c r="X186" s="157">
        <f t="shared" si="69"/>
        <v>6</v>
      </c>
      <c r="Y186" s="157">
        <f t="shared" si="69"/>
        <v>5</v>
      </c>
      <c r="Z186" s="157">
        <f t="shared" si="69"/>
        <v>5</v>
      </c>
      <c r="AA186" s="157">
        <f t="shared" si="69"/>
        <v>5</v>
      </c>
      <c r="AB186" s="157">
        <f t="shared" si="69"/>
        <v>5</v>
      </c>
      <c r="AC186" s="157">
        <f t="shared" si="69"/>
        <v>5</v>
      </c>
      <c r="AD186" s="157">
        <f t="shared" si="69"/>
        <v>5</v>
      </c>
      <c r="AE186" s="157">
        <f t="shared" si="69"/>
        <v>5</v>
      </c>
      <c r="AF186" s="157">
        <f t="shared" si="69"/>
        <v>5</v>
      </c>
      <c r="AG186" s="157">
        <f t="shared" si="69"/>
        <v>5</v>
      </c>
      <c r="AH186" s="157">
        <f t="shared" si="69"/>
        <v>6</v>
      </c>
      <c r="AI186" s="157">
        <f t="shared" si="69"/>
        <v>6</v>
      </c>
      <c r="AJ186" s="157">
        <f t="shared" si="69"/>
        <v>6</v>
      </c>
      <c r="AK186" s="157">
        <f t="shared" si="69"/>
        <v>6</v>
      </c>
      <c r="AL186" s="157">
        <f t="shared" si="69"/>
        <v>6</v>
      </c>
      <c r="AM186" s="157">
        <f t="shared" si="69"/>
        <v>5</v>
      </c>
      <c r="AN186" s="152">
        <f t="shared" si="60"/>
        <v>134</v>
      </c>
    </row>
    <row r="187" spans="1:40" x14ac:dyDescent="0.3">
      <c r="A187" s="19">
        <f t="shared" si="50"/>
        <v>45755</v>
      </c>
      <c r="B187">
        <f t="shared" si="51"/>
        <v>17</v>
      </c>
      <c r="C187" s="16">
        <f>IFERROR(MATCH(A188,NERCHolidays!$B$2:$B$121,0),0)</f>
        <v>0</v>
      </c>
      <c r="D187">
        <f t="shared" si="49"/>
        <v>1</v>
      </c>
      <c r="E187" t="str">
        <f t="shared" si="43"/>
        <v>PK</v>
      </c>
      <c r="F187">
        <f t="shared" si="56"/>
        <v>5</v>
      </c>
      <c r="G187">
        <f t="shared" si="45"/>
        <v>0</v>
      </c>
      <c r="H187">
        <f t="shared" si="46"/>
        <v>0</v>
      </c>
      <c r="I187">
        <f t="shared" si="53"/>
        <v>1</v>
      </c>
      <c r="J187">
        <f t="shared" si="47"/>
        <v>0</v>
      </c>
      <c r="K187">
        <f t="shared" si="48"/>
        <v>5</v>
      </c>
      <c r="L187" s="179">
        <f>'Aztec Metered Load'!C191</f>
        <v>3.907</v>
      </c>
      <c r="O187" s="148">
        <f t="shared" si="57"/>
        <v>45759</v>
      </c>
      <c r="P187" s="157">
        <f t="shared" ref="P187:AM187" si="70">Q15+P119+P153</f>
        <v>6</v>
      </c>
      <c r="Q187" s="157">
        <f t="shared" si="70"/>
        <v>6</v>
      </c>
      <c r="R187" s="157">
        <f t="shared" si="70"/>
        <v>6</v>
      </c>
      <c r="S187" s="157">
        <f t="shared" si="70"/>
        <v>6</v>
      </c>
      <c r="T187" s="157">
        <f t="shared" si="70"/>
        <v>6</v>
      </c>
      <c r="U187" s="157">
        <f t="shared" si="70"/>
        <v>6</v>
      </c>
      <c r="V187" s="157">
        <f t="shared" si="70"/>
        <v>6</v>
      </c>
      <c r="W187" s="157">
        <f t="shared" si="70"/>
        <v>6</v>
      </c>
      <c r="X187" s="157">
        <f t="shared" si="70"/>
        <v>6</v>
      </c>
      <c r="Y187" s="157">
        <f t="shared" si="70"/>
        <v>5</v>
      </c>
      <c r="Z187" s="157">
        <f t="shared" si="70"/>
        <v>5</v>
      </c>
      <c r="AA187" s="157">
        <f t="shared" si="70"/>
        <v>5</v>
      </c>
      <c r="AB187" s="157">
        <f t="shared" si="70"/>
        <v>5</v>
      </c>
      <c r="AC187" s="157">
        <f t="shared" si="70"/>
        <v>5</v>
      </c>
      <c r="AD187" s="157">
        <f t="shared" si="70"/>
        <v>5</v>
      </c>
      <c r="AE187" s="157">
        <f t="shared" si="70"/>
        <v>5</v>
      </c>
      <c r="AF187" s="157">
        <f t="shared" si="70"/>
        <v>5</v>
      </c>
      <c r="AG187" s="157">
        <f t="shared" si="70"/>
        <v>5</v>
      </c>
      <c r="AH187" s="157">
        <f t="shared" si="70"/>
        <v>6</v>
      </c>
      <c r="AI187" s="157">
        <f t="shared" si="70"/>
        <v>6</v>
      </c>
      <c r="AJ187" s="157">
        <f t="shared" si="70"/>
        <v>6</v>
      </c>
      <c r="AK187" s="157">
        <f t="shared" si="70"/>
        <v>6</v>
      </c>
      <c r="AL187" s="157">
        <f t="shared" si="70"/>
        <v>6</v>
      </c>
      <c r="AM187" s="157">
        <f t="shared" si="70"/>
        <v>5</v>
      </c>
      <c r="AN187" s="152">
        <f t="shared" si="60"/>
        <v>134</v>
      </c>
    </row>
    <row r="188" spans="1:40" x14ac:dyDescent="0.3">
      <c r="A188" s="19">
        <f t="shared" si="50"/>
        <v>45755</v>
      </c>
      <c r="B188">
        <f t="shared" si="51"/>
        <v>18</v>
      </c>
      <c r="C188" s="16">
        <f>IFERROR(MATCH(A189,NERCHolidays!$B$2:$B$121,0),0)</f>
        <v>0</v>
      </c>
      <c r="D188">
        <f t="shared" si="49"/>
        <v>1</v>
      </c>
      <c r="E188" t="str">
        <f t="shared" si="43"/>
        <v>PK</v>
      </c>
      <c r="F188">
        <f t="shared" si="56"/>
        <v>5</v>
      </c>
      <c r="G188">
        <f t="shared" si="45"/>
        <v>0</v>
      </c>
      <c r="H188">
        <f t="shared" si="46"/>
        <v>0</v>
      </c>
      <c r="I188">
        <f t="shared" si="53"/>
        <v>1</v>
      </c>
      <c r="J188">
        <f t="shared" si="47"/>
        <v>0</v>
      </c>
      <c r="K188">
        <f t="shared" si="48"/>
        <v>5</v>
      </c>
      <c r="L188" s="179">
        <f>'Aztec Metered Load'!C192</f>
        <v>4.18</v>
      </c>
      <c r="O188" s="148">
        <f t="shared" si="57"/>
        <v>45760</v>
      </c>
      <c r="P188" s="157">
        <f t="shared" ref="P188:AM188" si="71">Q16+P120+P154</f>
        <v>6</v>
      </c>
      <c r="Q188" s="157">
        <f t="shared" si="71"/>
        <v>6</v>
      </c>
      <c r="R188" s="157">
        <f t="shared" si="71"/>
        <v>6</v>
      </c>
      <c r="S188" s="157">
        <f t="shared" si="71"/>
        <v>6</v>
      </c>
      <c r="T188" s="157">
        <f t="shared" si="71"/>
        <v>6</v>
      </c>
      <c r="U188" s="157">
        <f t="shared" si="71"/>
        <v>6</v>
      </c>
      <c r="V188" s="157">
        <f t="shared" si="71"/>
        <v>6</v>
      </c>
      <c r="W188" s="157">
        <f t="shared" si="71"/>
        <v>6</v>
      </c>
      <c r="X188" s="157">
        <f t="shared" si="71"/>
        <v>6</v>
      </c>
      <c r="Y188" s="157">
        <f t="shared" si="71"/>
        <v>5</v>
      </c>
      <c r="Z188" s="157">
        <f t="shared" si="71"/>
        <v>5</v>
      </c>
      <c r="AA188" s="157">
        <f t="shared" si="71"/>
        <v>5</v>
      </c>
      <c r="AB188" s="157">
        <f t="shared" si="71"/>
        <v>5</v>
      </c>
      <c r="AC188" s="157">
        <f t="shared" si="71"/>
        <v>5</v>
      </c>
      <c r="AD188" s="157">
        <f t="shared" si="71"/>
        <v>5</v>
      </c>
      <c r="AE188" s="157">
        <f t="shared" si="71"/>
        <v>5</v>
      </c>
      <c r="AF188" s="157">
        <f t="shared" si="71"/>
        <v>5</v>
      </c>
      <c r="AG188" s="157">
        <f t="shared" si="71"/>
        <v>5</v>
      </c>
      <c r="AH188" s="157">
        <f t="shared" si="71"/>
        <v>6</v>
      </c>
      <c r="AI188" s="157">
        <f t="shared" si="71"/>
        <v>6</v>
      </c>
      <c r="AJ188" s="157">
        <f t="shared" si="71"/>
        <v>6</v>
      </c>
      <c r="AK188" s="157">
        <f t="shared" si="71"/>
        <v>6</v>
      </c>
      <c r="AL188" s="157">
        <f t="shared" si="71"/>
        <v>6</v>
      </c>
      <c r="AM188" s="157">
        <f t="shared" si="71"/>
        <v>5</v>
      </c>
      <c r="AN188" s="152">
        <f t="shared" si="60"/>
        <v>134</v>
      </c>
    </row>
    <row r="189" spans="1:40" x14ac:dyDescent="0.3">
      <c r="A189" s="19">
        <f t="shared" si="50"/>
        <v>45755</v>
      </c>
      <c r="B189">
        <f t="shared" si="51"/>
        <v>19</v>
      </c>
      <c r="C189" s="16">
        <f>IFERROR(MATCH(A190,NERCHolidays!$B$2:$B$121,0),0)</f>
        <v>0</v>
      </c>
      <c r="D189">
        <f t="shared" si="49"/>
        <v>1</v>
      </c>
      <c r="E189" t="str">
        <f t="shared" si="43"/>
        <v>PK</v>
      </c>
      <c r="F189">
        <f t="shared" si="56"/>
        <v>5</v>
      </c>
      <c r="G189">
        <f t="shared" si="45"/>
        <v>1</v>
      </c>
      <c r="H189">
        <f t="shared" si="46"/>
        <v>0</v>
      </c>
      <c r="I189">
        <f t="shared" si="53"/>
        <v>1</v>
      </c>
      <c r="J189">
        <f t="shared" si="47"/>
        <v>0</v>
      </c>
      <c r="K189">
        <f t="shared" si="48"/>
        <v>6</v>
      </c>
      <c r="L189" s="179">
        <f>'Aztec Metered Load'!C193</f>
        <v>4.2889999999999997</v>
      </c>
      <c r="O189" s="148">
        <f t="shared" si="57"/>
        <v>45761</v>
      </c>
      <c r="P189" s="157">
        <f t="shared" ref="P189:AM189" si="72">Q17+P121+P155</f>
        <v>6</v>
      </c>
      <c r="Q189" s="157">
        <f t="shared" si="72"/>
        <v>6</v>
      </c>
      <c r="R189" s="157">
        <f t="shared" si="72"/>
        <v>6</v>
      </c>
      <c r="S189" s="157">
        <f t="shared" si="72"/>
        <v>6</v>
      </c>
      <c r="T189" s="157">
        <f t="shared" si="72"/>
        <v>6</v>
      </c>
      <c r="U189" s="157">
        <f t="shared" si="72"/>
        <v>6</v>
      </c>
      <c r="V189" s="157">
        <f t="shared" si="72"/>
        <v>6</v>
      </c>
      <c r="W189" s="157">
        <f t="shared" si="72"/>
        <v>4</v>
      </c>
      <c r="X189" s="157">
        <f t="shared" si="72"/>
        <v>6</v>
      </c>
      <c r="Y189" s="157">
        <f t="shared" si="72"/>
        <v>5</v>
      </c>
      <c r="Z189" s="157">
        <f t="shared" si="72"/>
        <v>5</v>
      </c>
      <c r="AA189" s="157">
        <f t="shared" si="72"/>
        <v>5</v>
      </c>
      <c r="AB189" s="157">
        <f t="shared" si="72"/>
        <v>5</v>
      </c>
      <c r="AC189" s="157">
        <f t="shared" si="72"/>
        <v>5</v>
      </c>
      <c r="AD189" s="157">
        <f t="shared" si="72"/>
        <v>5</v>
      </c>
      <c r="AE189" s="157">
        <f t="shared" si="72"/>
        <v>5</v>
      </c>
      <c r="AF189" s="157">
        <f t="shared" si="72"/>
        <v>5</v>
      </c>
      <c r="AG189" s="157">
        <f t="shared" si="72"/>
        <v>5</v>
      </c>
      <c r="AH189" s="157">
        <f t="shared" si="72"/>
        <v>6</v>
      </c>
      <c r="AI189" s="157">
        <f t="shared" si="72"/>
        <v>6</v>
      </c>
      <c r="AJ189" s="157">
        <f t="shared" si="72"/>
        <v>6</v>
      </c>
      <c r="AK189" s="157">
        <f t="shared" si="72"/>
        <v>6</v>
      </c>
      <c r="AL189" s="157">
        <f t="shared" si="72"/>
        <v>6</v>
      </c>
      <c r="AM189" s="157">
        <f t="shared" si="72"/>
        <v>5</v>
      </c>
      <c r="AN189" s="152">
        <f t="shared" si="60"/>
        <v>132</v>
      </c>
    </row>
    <row r="190" spans="1:40" x14ac:dyDescent="0.3">
      <c r="A190" s="19">
        <f t="shared" si="50"/>
        <v>45755</v>
      </c>
      <c r="B190">
        <f t="shared" si="51"/>
        <v>20</v>
      </c>
      <c r="C190" s="16">
        <f>IFERROR(MATCH(A191,NERCHolidays!$B$2:$B$121,0),0)</f>
        <v>0</v>
      </c>
      <c r="D190">
        <f t="shared" si="49"/>
        <v>1</v>
      </c>
      <c r="E190" t="str">
        <f t="shared" si="43"/>
        <v>PK</v>
      </c>
      <c r="F190">
        <f t="shared" si="56"/>
        <v>5</v>
      </c>
      <c r="G190">
        <f t="shared" si="45"/>
        <v>1</v>
      </c>
      <c r="H190">
        <f t="shared" si="46"/>
        <v>0</v>
      </c>
      <c r="I190">
        <f t="shared" si="53"/>
        <v>1</v>
      </c>
      <c r="J190">
        <f t="shared" si="47"/>
        <v>0</v>
      </c>
      <c r="K190">
        <f t="shared" si="48"/>
        <v>6</v>
      </c>
      <c r="L190" s="179">
        <f>'Aztec Metered Load'!C194</f>
        <v>4.298</v>
      </c>
      <c r="O190" s="148">
        <f t="shared" si="57"/>
        <v>45762</v>
      </c>
      <c r="P190" s="157">
        <f t="shared" ref="P190:AM190" si="73">Q18+P122+P156</f>
        <v>6</v>
      </c>
      <c r="Q190" s="157">
        <f t="shared" si="73"/>
        <v>6</v>
      </c>
      <c r="R190" s="157">
        <f t="shared" si="73"/>
        <v>6</v>
      </c>
      <c r="S190" s="157">
        <f t="shared" si="73"/>
        <v>5</v>
      </c>
      <c r="T190" s="157">
        <f t="shared" si="73"/>
        <v>5</v>
      </c>
      <c r="U190" s="157">
        <f t="shared" si="73"/>
        <v>5</v>
      </c>
      <c r="V190" s="157">
        <f t="shared" si="73"/>
        <v>5</v>
      </c>
      <c r="W190" s="157">
        <f t="shared" si="73"/>
        <v>5</v>
      </c>
      <c r="X190" s="157">
        <f t="shared" si="73"/>
        <v>6</v>
      </c>
      <c r="Y190" s="157">
        <f t="shared" si="73"/>
        <v>5</v>
      </c>
      <c r="Z190" s="157">
        <f t="shared" si="73"/>
        <v>5</v>
      </c>
      <c r="AA190" s="157">
        <f t="shared" si="73"/>
        <v>5</v>
      </c>
      <c r="AB190" s="157">
        <f t="shared" si="73"/>
        <v>5</v>
      </c>
      <c r="AC190" s="157">
        <f t="shared" si="73"/>
        <v>5</v>
      </c>
      <c r="AD190" s="157">
        <f t="shared" si="73"/>
        <v>5</v>
      </c>
      <c r="AE190" s="157">
        <f t="shared" si="73"/>
        <v>5</v>
      </c>
      <c r="AF190" s="157">
        <f t="shared" si="73"/>
        <v>5</v>
      </c>
      <c r="AG190" s="157">
        <f t="shared" si="73"/>
        <v>5</v>
      </c>
      <c r="AH190" s="157">
        <f t="shared" si="73"/>
        <v>6</v>
      </c>
      <c r="AI190" s="157">
        <f t="shared" si="73"/>
        <v>6</v>
      </c>
      <c r="AJ190" s="157">
        <f t="shared" si="73"/>
        <v>6</v>
      </c>
      <c r="AK190" s="157">
        <f t="shared" si="73"/>
        <v>6</v>
      </c>
      <c r="AL190" s="157">
        <f t="shared" si="73"/>
        <v>6</v>
      </c>
      <c r="AM190" s="157">
        <f t="shared" si="73"/>
        <v>5</v>
      </c>
      <c r="AN190" s="152">
        <f t="shared" si="60"/>
        <v>129</v>
      </c>
    </row>
    <row r="191" spans="1:40" x14ac:dyDescent="0.3">
      <c r="A191" s="19">
        <f t="shared" si="50"/>
        <v>45755</v>
      </c>
      <c r="B191">
        <f t="shared" si="51"/>
        <v>21</v>
      </c>
      <c r="C191" s="16">
        <f>IFERROR(MATCH(A192,NERCHolidays!$B$2:$B$121,0),0)</f>
        <v>0</v>
      </c>
      <c r="D191">
        <f t="shared" si="49"/>
        <v>1</v>
      </c>
      <c r="E191" t="str">
        <f t="shared" si="43"/>
        <v>PK</v>
      </c>
      <c r="F191">
        <f t="shared" si="56"/>
        <v>5</v>
      </c>
      <c r="G191">
        <f t="shared" si="45"/>
        <v>1</v>
      </c>
      <c r="H191">
        <f t="shared" si="46"/>
        <v>0</v>
      </c>
      <c r="I191">
        <f t="shared" si="53"/>
        <v>1</v>
      </c>
      <c r="J191">
        <f t="shared" si="47"/>
        <v>0</v>
      </c>
      <c r="K191">
        <f t="shared" si="48"/>
        <v>6</v>
      </c>
      <c r="L191" s="179">
        <f>'Aztec Metered Load'!C195</f>
        <v>4.0410000000000004</v>
      </c>
      <c r="O191" s="148">
        <f t="shared" si="57"/>
        <v>45763</v>
      </c>
      <c r="P191" s="157">
        <f t="shared" ref="P191:AM191" si="74">Q19+P123+P157</f>
        <v>6</v>
      </c>
      <c r="Q191" s="157">
        <f t="shared" si="74"/>
        <v>6</v>
      </c>
      <c r="R191" s="157">
        <f t="shared" si="74"/>
        <v>6</v>
      </c>
      <c r="S191" s="157">
        <f t="shared" si="74"/>
        <v>6</v>
      </c>
      <c r="T191" s="157">
        <f t="shared" si="74"/>
        <v>6</v>
      </c>
      <c r="U191" s="157">
        <f t="shared" si="74"/>
        <v>6</v>
      </c>
      <c r="V191" s="157">
        <f t="shared" si="74"/>
        <v>6</v>
      </c>
      <c r="W191" s="157">
        <f t="shared" si="74"/>
        <v>6</v>
      </c>
      <c r="X191" s="157">
        <f t="shared" si="74"/>
        <v>5</v>
      </c>
      <c r="Y191" s="157">
        <f t="shared" si="74"/>
        <v>5</v>
      </c>
      <c r="Z191" s="157">
        <f t="shared" si="74"/>
        <v>5</v>
      </c>
      <c r="AA191" s="157">
        <f t="shared" si="74"/>
        <v>5</v>
      </c>
      <c r="AB191" s="157">
        <f t="shared" si="74"/>
        <v>5</v>
      </c>
      <c r="AC191" s="157">
        <f t="shared" si="74"/>
        <v>5</v>
      </c>
      <c r="AD191" s="157">
        <f t="shared" si="74"/>
        <v>5</v>
      </c>
      <c r="AE191" s="157">
        <f t="shared" si="74"/>
        <v>5</v>
      </c>
      <c r="AF191" s="157">
        <f t="shared" si="74"/>
        <v>5</v>
      </c>
      <c r="AG191" s="157">
        <f t="shared" si="74"/>
        <v>5</v>
      </c>
      <c r="AH191" s="157">
        <f t="shared" si="74"/>
        <v>6</v>
      </c>
      <c r="AI191" s="157">
        <f t="shared" si="74"/>
        <v>6</v>
      </c>
      <c r="AJ191" s="157">
        <f t="shared" si="74"/>
        <v>6</v>
      </c>
      <c r="AK191" s="157">
        <f t="shared" si="74"/>
        <v>6</v>
      </c>
      <c r="AL191" s="157">
        <f t="shared" si="74"/>
        <v>6</v>
      </c>
      <c r="AM191" s="157">
        <f t="shared" si="74"/>
        <v>5</v>
      </c>
      <c r="AN191" s="152">
        <f t="shared" si="60"/>
        <v>133</v>
      </c>
    </row>
    <row r="192" spans="1:40" x14ac:dyDescent="0.3">
      <c r="A192" s="19">
        <f t="shared" si="50"/>
        <v>45755</v>
      </c>
      <c r="B192">
        <f t="shared" si="51"/>
        <v>22</v>
      </c>
      <c r="C192" s="16">
        <f>IFERROR(MATCH(A193,NERCHolidays!$B$2:$B$121,0),0)</f>
        <v>0</v>
      </c>
      <c r="D192">
        <f t="shared" si="49"/>
        <v>1</v>
      </c>
      <c r="E192" t="str">
        <f t="shared" si="43"/>
        <v>PK</v>
      </c>
      <c r="F192">
        <f t="shared" si="56"/>
        <v>5</v>
      </c>
      <c r="G192">
        <f t="shared" si="45"/>
        <v>1</v>
      </c>
      <c r="H192">
        <f t="shared" si="46"/>
        <v>0</v>
      </c>
      <c r="I192">
        <f t="shared" si="53"/>
        <v>1</v>
      </c>
      <c r="J192">
        <f t="shared" si="47"/>
        <v>0</v>
      </c>
      <c r="K192">
        <f t="shared" si="48"/>
        <v>6</v>
      </c>
      <c r="L192" s="179">
        <f>'Aztec Metered Load'!C196</f>
        <v>3.6909999999999998</v>
      </c>
      <c r="O192" s="148">
        <f t="shared" si="57"/>
        <v>45764</v>
      </c>
      <c r="P192" s="157">
        <f t="shared" ref="P192:AM192" si="75">Q20+P124+P158</f>
        <v>6</v>
      </c>
      <c r="Q192" s="157">
        <f t="shared" si="75"/>
        <v>6</v>
      </c>
      <c r="R192" s="157">
        <f t="shared" si="75"/>
        <v>6</v>
      </c>
      <c r="S192" s="157">
        <f t="shared" si="75"/>
        <v>6</v>
      </c>
      <c r="T192" s="157">
        <f t="shared" si="75"/>
        <v>6</v>
      </c>
      <c r="U192" s="157">
        <f t="shared" si="75"/>
        <v>6</v>
      </c>
      <c r="V192" s="157">
        <f t="shared" si="75"/>
        <v>6</v>
      </c>
      <c r="W192" s="157">
        <f t="shared" si="75"/>
        <v>6</v>
      </c>
      <c r="X192" s="157">
        <f t="shared" si="75"/>
        <v>5</v>
      </c>
      <c r="Y192" s="157">
        <f t="shared" si="75"/>
        <v>5</v>
      </c>
      <c r="Z192" s="157">
        <f t="shared" si="75"/>
        <v>5</v>
      </c>
      <c r="AA192" s="157">
        <f t="shared" si="75"/>
        <v>5</v>
      </c>
      <c r="AB192" s="157">
        <f t="shared" si="75"/>
        <v>5</v>
      </c>
      <c r="AC192" s="157">
        <f t="shared" si="75"/>
        <v>5</v>
      </c>
      <c r="AD192" s="157">
        <f t="shared" si="75"/>
        <v>5</v>
      </c>
      <c r="AE192" s="157">
        <f t="shared" si="75"/>
        <v>5</v>
      </c>
      <c r="AF192" s="157">
        <f t="shared" si="75"/>
        <v>5</v>
      </c>
      <c r="AG192" s="157">
        <f t="shared" si="75"/>
        <v>5</v>
      </c>
      <c r="AH192" s="157">
        <f t="shared" si="75"/>
        <v>6</v>
      </c>
      <c r="AI192" s="157">
        <f t="shared" si="75"/>
        <v>6</v>
      </c>
      <c r="AJ192" s="157">
        <f t="shared" si="75"/>
        <v>6</v>
      </c>
      <c r="AK192" s="157">
        <f t="shared" si="75"/>
        <v>6</v>
      </c>
      <c r="AL192" s="157">
        <f t="shared" si="75"/>
        <v>6</v>
      </c>
      <c r="AM192" s="157">
        <f t="shared" si="75"/>
        <v>5</v>
      </c>
      <c r="AN192" s="152">
        <f t="shared" si="60"/>
        <v>133</v>
      </c>
    </row>
    <row r="193" spans="1:42" x14ac:dyDescent="0.3">
      <c r="A193" s="19">
        <f t="shared" si="50"/>
        <v>45755</v>
      </c>
      <c r="B193">
        <f t="shared" si="51"/>
        <v>23</v>
      </c>
      <c r="C193" s="16">
        <f>IFERROR(MATCH(A194,NERCHolidays!$B$2:$B$121,0),0)</f>
        <v>0</v>
      </c>
      <c r="D193">
        <f t="shared" si="49"/>
        <v>1</v>
      </c>
      <c r="E193" t="str">
        <f t="shared" si="43"/>
        <v>PK</v>
      </c>
      <c r="F193">
        <f t="shared" si="56"/>
        <v>5</v>
      </c>
      <c r="G193">
        <f t="shared" si="45"/>
        <v>1</v>
      </c>
      <c r="H193">
        <f t="shared" si="46"/>
        <v>0</v>
      </c>
      <c r="I193">
        <f t="shared" si="53"/>
        <v>1</v>
      </c>
      <c r="J193">
        <f t="shared" si="47"/>
        <v>0</v>
      </c>
      <c r="K193">
        <f t="shared" si="48"/>
        <v>6</v>
      </c>
      <c r="L193" s="179">
        <f>'Aztec Metered Load'!C197</f>
        <v>3.5270000000000001</v>
      </c>
      <c r="O193" s="148">
        <f t="shared" si="57"/>
        <v>45765</v>
      </c>
      <c r="P193" s="157">
        <f t="shared" ref="P193:AM193" si="76">Q21+P125+P159</f>
        <v>6</v>
      </c>
      <c r="Q193" s="157">
        <f t="shared" si="76"/>
        <v>6</v>
      </c>
      <c r="R193" s="157">
        <f t="shared" si="76"/>
        <v>6</v>
      </c>
      <c r="S193" s="157">
        <f t="shared" si="76"/>
        <v>6</v>
      </c>
      <c r="T193" s="157">
        <f t="shared" si="76"/>
        <v>6</v>
      </c>
      <c r="U193" s="157">
        <f t="shared" si="76"/>
        <v>6</v>
      </c>
      <c r="V193" s="157">
        <f t="shared" si="76"/>
        <v>6</v>
      </c>
      <c r="W193" s="157">
        <f t="shared" si="76"/>
        <v>6</v>
      </c>
      <c r="X193" s="157">
        <f t="shared" si="76"/>
        <v>5</v>
      </c>
      <c r="Y193" s="157">
        <f t="shared" si="76"/>
        <v>5</v>
      </c>
      <c r="Z193" s="157">
        <f t="shared" si="76"/>
        <v>5</v>
      </c>
      <c r="AA193" s="157">
        <f t="shared" si="76"/>
        <v>5</v>
      </c>
      <c r="AB193" s="157">
        <f t="shared" si="76"/>
        <v>5</v>
      </c>
      <c r="AC193" s="157">
        <f t="shared" si="76"/>
        <v>5</v>
      </c>
      <c r="AD193" s="157">
        <f t="shared" si="76"/>
        <v>5</v>
      </c>
      <c r="AE193" s="157">
        <f t="shared" si="76"/>
        <v>5</v>
      </c>
      <c r="AF193" s="157">
        <f t="shared" si="76"/>
        <v>5</v>
      </c>
      <c r="AG193" s="157">
        <f t="shared" si="76"/>
        <v>5</v>
      </c>
      <c r="AH193" s="157">
        <f t="shared" si="76"/>
        <v>6</v>
      </c>
      <c r="AI193" s="157">
        <f t="shared" si="76"/>
        <v>6</v>
      </c>
      <c r="AJ193" s="157">
        <f t="shared" si="76"/>
        <v>6</v>
      </c>
      <c r="AK193" s="157">
        <f t="shared" si="76"/>
        <v>6</v>
      </c>
      <c r="AL193" s="157">
        <f t="shared" si="76"/>
        <v>6</v>
      </c>
      <c r="AM193" s="157">
        <f t="shared" si="76"/>
        <v>5</v>
      </c>
      <c r="AN193" s="152">
        <f t="shared" si="60"/>
        <v>133</v>
      </c>
    </row>
    <row r="194" spans="1:42" x14ac:dyDescent="0.3">
      <c r="A194" s="19">
        <f t="shared" si="50"/>
        <v>45755</v>
      </c>
      <c r="B194">
        <f t="shared" si="51"/>
        <v>24</v>
      </c>
      <c r="C194" s="16">
        <f>IFERROR(MATCH(A195,NERCHolidays!$B$2:$B$121,0),0)</f>
        <v>0</v>
      </c>
      <c r="D194">
        <f t="shared" si="49"/>
        <v>0</v>
      </c>
      <c r="E194" t="str">
        <f t="shared" si="43"/>
        <v>OP</v>
      </c>
      <c r="F194">
        <f t="shared" si="56"/>
        <v>5</v>
      </c>
      <c r="G194">
        <f t="shared" si="45"/>
        <v>0</v>
      </c>
      <c r="H194">
        <f t="shared" si="46"/>
        <v>0</v>
      </c>
      <c r="I194">
        <f t="shared" si="53"/>
        <v>1</v>
      </c>
      <c r="J194">
        <f t="shared" si="47"/>
        <v>0</v>
      </c>
      <c r="K194">
        <f t="shared" si="48"/>
        <v>5</v>
      </c>
      <c r="L194" s="179">
        <f>'Aztec Metered Load'!C198</f>
        <v>3.3540000000000001</v>
      </c>
      <c r="O194" s="148">
        <f t="shared" si="57"/>
        <v>45766</v>
      </c>
      <c r="P194" s="157">
        <f t="shared" ref="P194:AM194" si="77">Q22+P126+P160</f>
        <v>6</v>
      </c>
      <c r="Q194" s="157">
        <f t="shared" si="77"/>
        <v>1</v>
      </c>
      <c r="R194" s="157">
        <f t="shared" si="77"/>
        <v>5</v>
      </c>
      <c r="S194" s="157">
        <f t="shared" si="77"/>
        <v>6</v>
      </c>
      <c r="T194" s="157">
        <f t="shared" si="77"/>
        <v>6</v>
      </c>
      <c r="U194" s="157">
        <f t="shared" si="77"/>
        <v>6</v>
      </c>
      <c r="V194" s="157">
        <f t="shared" si="77"/>
        <v>6</v>
      </c>
      <c r="W194" s="157">
        <f t="shared" si="77"/>
        <v>6</v>
      </c>
      <c r="X194" s="157">
        <f t="shared" si="77"/>
        <v>0</v>
      </c>
      <c r="Y194" s="157">
        <f t="shared" si="77"/>
        <v>5</v>
      </c>
      <c r="Z194" s="157">
        <f t="shared" si="77"/>
        <v>5</v>
      </c>
      <c r="AA194" s="157">
        <f t="shared" si="77"/>
        <v>5</v>
      </c>
      <c r="AB194" s="157">
        <f t="shared" si="77"/>
        <v>5</v>
      </c>
      <c r="AC194" s="157">
        <f t="shared" si="77"/>
        <v>5</v>
      </c>
      <c r="AD194" s="157">
        <f t="shared" si="77"/>
        <v>5</v>
      </c>
      <c r="AE194" s="157">
        <f t="shared" si="77"/>
        <v>5</v>
      </c>
      <c r="AF194" s="157">
        <f t="shared" si="77"/>
        <v>5</v>
      </c>
      <c r="AG194" s="157">
        <f t="shared" si="77"/>
        <v>0</v>
      </c>
      <c r="AH194" s="157">
        <f t="shared" si="77"/>
        <v>6</v>
      </c>
      <c r="AI194" s="157">
        <f t="shared" si="77"/>
        <v>6</v>
      </c>
      <c r="AJ194" s="157">
        <f t="shared" si="77"/>
        <v>6</v>
      </c>
      <c r="AK194" s="157">
        <f t="shared" si="77"/>
        <v>6</v>
      </c>
      <c r="AL194" s="157">
        <f t="shared" si="77"/>
        <v>6</v>
      </c>
      <c r="AM194" s="157">
        <f t="shared" si="77"/>
        <v>5</v>
      </c>
      <c r="AN194" s="152">
        <f t="shared" si="60"/>
        <v>117</v>
      </c>
    </row>
    <row r="195" spans="1:42" x14ac:dyDescent="0.3">
      <c r="A195" s="19">
        <f t="shared" si="50"/>
        <v>45756</v>
      </c>
      <c r="B195">
        <f t="shared" si="51"/>
        <v>1</v>
      </c>
      <c r="C195" s="16">
        <f>IFERROR(MATCH(A196,NERCHolidays!$B$2:$B$121,0),0)</f>
        <v>0</v>
      </c>
      <c r="D195">
        <f t="shared" si="49"/>
        <v>0</v>
      </c>
      <c r="E195" t="str">
        <f t="shared" ref="E195:E258" si="78">IF(OR(WEEKDAY(A195)=1,C195&lt;&gt;0),"OP",IF(D195=0,"OP","PK"))</f>
        <v>OP</v>
      </c>
      <c r="F195">
        <f t="shared" ref="F195:F258" si="79">VLOOKUP(A195,$O$3:$AN$34,B195+2,FALSE)</f>
        <v>5</v>
      </c>
      <c r="G195">
        <f t="shared" ref="G195:G258" si="80">VLOOKUP(A195,$O$107:$AM$138,B195+1,FALSE)</f>
        <v>1</v>
      </c>
      <c r="H195">
        <f t="shared" ref="H195:H258" si="81">VLOOKUP(A195,$O$142:$AM$173,B195+1,FALSE)</f>
        <v>0</v>
      </c>
      <c r="I195">
        <f t="shared" si="53"/>
        <v>1</v>
      </c>
      <c r="J195">
        <f t="shared" ref="J195:J259" si="82">VLOOKUP(A195,$O$73:$AN$104,B195+2,FALSE)</f>
        <v>0</v>
      </c>
      <c r="K195">
        <f t="shared" ref="K195:K258" si="83">VLOOKUP(A195,$O$175:$AM$206,B195+1,FALSE)</f>
        <v>6</v>
      </c>
      <c r="L195" s="179">
        <f>'Aztec Metered Load'!C199</f>
        <v>3.2719999999999998</v>
      </c>
      <c r="O195" s="148">
        <f t="shared" si="57"/>
        <v>45767</v>
      </c>
      <c r="P195" s="157">
        <f t="shared" ref="P195:AM195" si="84">Q23+P127+P161</f>
        <v>1</v>
      </c>
      <c r="Q195" s="157">
        <f t="shared" si="84"/>
        <v>6</v>
      </c>
      <c r="R195" s="157">
        <f t="shared" si="84"/>
        <v>6</v>
      </c>
      <c r="S195" s="157">
        <f t="shared" si="84"/>
        <v>6</v>
      </c>
      <c r="T195" s="157">
        <f t="shared" si="84"/>
        <v>6</v>
      </c>
      <c r="U195" s="157">
        <f t="shared" si="84"/>
        <v>6</v>
      </c>
      <c r="V195" s="157">
        <f t="shared" si="84"/>
        <v>6</v>
      </c>
      <c r="W195" s="157">
        <f t="shared" si="84"/>
        <v>6</v>
      </c>
      <c r="X195" s="157">
        <f t="shared" si="84"/>
        <v>5</v>
      </c>
      <c r="Y195" s="157">
        <f t="shared" si="84"/>
        <v>5</v>
      </c>
      <c r="Z195" s="157">
        <f t="shared" si="84"/>
        <v>5</v>
      </c>
      <c r="AA195" s="157">
        <f t="shared" si="84"/>
        <v>5</v>
      </c>
      <c r="AB195" s="157">
        <f t="shared" si="84"/>
        <v>5</v>
      </c>
      <c r="AC195" s="157">
        <f t="shared" si="84"/>
        <v>5</v>
      </c>
      <c r="AD195" s="157">
        <f t="shared" si="84"/>
        <v>5</v>
      </c>
      <c r="AE195" s="157">
        <f t="shared" si="84"/>
        <v>5</v>
      </c>
      <c r="AF195" s="157">
        <f t="shared" si="84"/>
        <v>5</v>
      </c>
      <c r="AG195" s="157">
        <f t="shared" si="84"/>
        <v>5</v>
      </c>
      <c r="AH195" s="157">
        <f t="shared" si="84"/>
        <v>6</v>
      </c>
      <c r="AI195" s="157">
        <f t="shared" si="84"/>
        <v>6</v>
      </c>
      <c r="AJ195" s="157">
        <f t="shared" si="84"/>
        <v>6</v>
      </c>
      <c r="AK195" s="157">
        <f t="shared" si="84"/>
        <v>6</v>
      </c>
      <c r="AL195" s="157">
        <f t="shared" si="84"/>
        <v>6</v>
      </c>
      <c r="AM195" s="157">
        <f t="shared" si="84"/>
        <v>5</v>
      </c>
      <c r="AN195" s="152">
        <f t="shared" si="60"/>
        <v>128</v>
      </c>
    </row>
    <row r="196" spans="1:42" x14ac:dyDescent="0.3">
      <c r="A196" s="19">
        <f t="shared" si="50"/>
        <v>45756</v>
      </c>
      <c r="B196">
        <f t="shared" si="51"/>
        <v>2</v>
      </c>
      <c r="C196" s="16">
        <f>IFERROR(MATCH(A197,NERCHolidays!$B$2:$B$121,0),0)</f>
        <v>0</v>
      </c>
      <c r="D196">
        <f t="shared" ref="D196:D259" si="85">IF(AND(B196&gt;=8,B196&lt;=23),1,0)</f>
        <v>0</v>
      </c>
      <c r="E196" t="str">
        <f t="shared" si="78"/>
        <v>OP</v>
      </c>
      <c r="F196">
        <f t="shared" si="79"/>
        <v>5</v>
      </c>
      <c r="G196">
        <f t="shared" si="80"/>
        <v>1</v>
      </c>
      <c r="H196">
        <f t="shared" si="81"/>
        <v>0</v>
      </c>
      <c r="I196">
        <f t="shared" si="53"/>
        <v>1</v>
      </c>
      <c r="J196">
        <f t="shared" si="82"/>
        <v>0</v>
      </c>
      <c r="K196">
        <f t="shared" si="83"/>
        <v>6</v>
      </c>
      <c r="L196" s="179">
        <f>'Aztec Metered Load'!C200</f>
        <v>3.2749999999999999</v>
      </c>
      <c r="O196" s="148">
        <f t="shared" si="57"/>
        <v>45768</v>
      </c>
      <c r="P196" s="157">
        <f t="shared" ref="P196:AM196" si="86">Q24+P128+P162</f>
        <v>6</v>
      </c>
      <c r="Q196" s="157">
        <f t="shared" si="86"/>
        <v>6</v>
      </c>
      <c r="R196" s="157">
        <f t="shared" si="86"/>
        <v>6</v>
      </c>
      <c r="S196" s="157">
        <f t="shared" si="86"/>
        <v>6</v>
      </c>
      <c r="T196" s="157">
        <f t="shared" si="86"/>
        <v>6</v>
      </c>
      <c r="U196" s="157">
        <f t="shared" si="86"/>
        <v>6</v>
      </c>
      <c r="V196" s="157">
        <f t="shared" si="86"/>
        <v>6</v>
      </c>
      <c r="W196" s="157">
        <f t="shared" si="86"/>
        <v>6</v>
      </c>
      <c r="X196" s="157">
        <f t="shared" si="86"/>
        <v>5</v>
      </c>
      <c r="Y196" s="157">
        <f t="shared" si="86"/>
        <v>5</v>
      </c>
      <c r="Z196" s="157">
        <f t="shared" si="86"/>
        <v>5</v>
      </c>
      <c r="AA196" s="157">
        <f t="shared" si="86"/>
        <v>5</v>
      </c>
      <c r="AB196" s="157">
        <f t="shared" si="86"/>
        <v>5</v>
      </c>
      <c r="AC196" s="157">
        <f t="shared" si="86"/>
        <v>5</v>
      </c>
      <c r="AD196" s="157">
        <f t="shared" si="86"/>
        <v>5</v>
      </c>
      <c r="AE196" s="157">
        <f t="shared" si="86"/>
        <v>5</v>
      </c>
      <c r="AF196" s="157">
        <f t="shared" si="86"/>
        <v>5</v>
      </c>
      <c r="AG196" s="157">
        <f t="shared" si="86"/>
        <v>5</v>
      </c>
      <c r="AH196" s="157">
        <f t="shared" si="86"/>
        <v>6</v>
      </c>
      <c r="AI196" s="157">
        <f t="shared" si="86"/>
        <v>6</v>
      </c>
      <c r="AJ196" s="157">
        <f t="shared" si="86"/>
        <v>6</v>
      </c>
      <c r="AK196" s="157">
        <f t="shared" si="86"/>
        <v>6</v>
      </c>
      <c r="AL196" s="157">
        <f t="shared" si="86"/>
        <v>6</v>
      </c>
      <c r="AM196" s="157">
        <f t="shared" si="86"/>
        <v>5</v>
      </c>
      <c r="AN196" s="152">
        <f t="shared" si="60"/>
        <v>133</v>
      </c>
    </row>
    <row r="197" spans="1:42" x14ac:dyDescent="0.3">
      <c r="A197" s="19">
        <f t="shared" ref="A197:A260" si="87">IF(B196=24,A196+1,A196)</f>
        <v>45756</v>
      </c>
      <c r="B197">
        <f t="shared" ref="B197:B260" si="88">IF(B196=24,1,B196+1)</f>
        <v>3</v>
      </c>
      <c r="C197" s="16">
        <f>IFERROR(MATCH(A198,NERCHolidays!$B$2:$B$121,0),0)</f>
        <v>0</v>
      </c>
      <c r="D197">
        <f t="shared" si="85"/>
        <v>0</v>
      </c>
      <c r="E197" t="str">
        <f t="shared" si="78"/>
        <v>OP</v>
      </c>
      <c r="F197">
        <f t="shared" si="79"/>
        <v>5</v>
      </c>
      <c r="G197">
        <f t="shared" si="80"/>
        <v>1</v>
      </c>
      <c r="H197">
        <f t="shared" si="81"/>
        <v>0</v>
      </c>
      <c r="I197">
        <f t="shared" si="53"/>
        <v>2</v>
      </c>
      <c r="J197">
        <f t="shared" si="82"/>
        <v>0</v>
      </c>
      <c r="K197">
        <f t="shared" si="83"/>
        <v>6</v>
      </c>
      <c r="L197" s="179">
        <f>'Aztec Metered Load'!C201</f>
        <v>3.3839999999999999</v>
      </c>
      <c r="O197" s="148">
        <f t="shared" si="57"/>
        <v>45769</v>
      </c>
      <c r="P197" s="157">
        <f t="shared" ref="P197:AM197" si="89">Q25+P129+P163</f>
        <v>6</v>
      </c>
      <c r="Q197" s="157">
        <f t="shared" si="89"/>
        <v>6</v>
      </c>
      <c r="R197" s="157">
        <f t="shared" si="89"/>
        <v>6</v>
      </c>
      <c r="S197" s="157">
        <f t="shared" si="89"/>
        <v>6</v>
      </c>
      <c r="T197" s="157">
        <f t="shared" si="89"/>
        <v>6</v>
      </c>
      <c r="U197" s="157">
        <f t="shared" si="89"/>
        <v>6</v>
      </c>
      <c r="V197" s="157">
        <f t="shared" si="89"/>
        <v>6</v>
      </c>
      <c r="W197" s="157">
        <f t="shared" si="89"/>
        <v>6</v>
      </c>
      <c r="X197" s="157">
        <f t="shared" si="89"/>
        <v>5</v>
      </c>
      <c r="Y197" s="157">
        <f t="shared" si="89"/>
        <v>5</v>
      </c>
      <c r="Z197" s="157">
        <f t="shared" si="89"/>
        <v>5</v>
      </c>
      <c r="AA197" s="157">
        <f t="shared" si="89"/>
        <v>5</v>
      </c>
      <c r="AB197" s="157">
        <f t="shared" si="89"/>
        <v>5</v>
      </c>
      <c r="AC197" s="157">
        <f t="shared" si="89"/>
        <v>5</v>
      </c>
      <c r="AD197" s="157">
        <f t="shared" si="89"/>
        <v>5</v>
      </c>
      <c r="AE197" s="157">
        <f t="shared" si="89"/>
        <v>5</v>
      </c>
      <c r="AF197" s="157">
        <f t="shared" si="89"/>
        <v>0</v>
      </c>
      <c r="AG197" s="157">
        <f t="shared" si="89"/>
        <v>5</v>
      </c>
      <c r="AH197" s="157">
        <f t="shared" si="89"/>
        <v>6</v>
      </c>
      <c r="AI197" s="157">
        <f t="shared" si="89"/>
        <v>6</v>
      </c>
      <c r="AJ197" s="157">
        <f t="shared" si="89"/>
        <v>6</v>
      </c>
      <c r="AK197" s="157">
        <f t="shared" si="89"/>
        <v>6</v>
      </c>
      <c r="AL197" s="157">
        <f t="shared" si="89"/>
        <v>6</v>
      </c>
      <c r="AM197" s="157">
        <f t="shared" si="89"/>
        <v>5</v>
      </c>
      <c r="AN197" s="152">
        <f t="shared" si="60"/>
        <v>128</v>
      </c>
    </row>
    <row r="198" spans="1:42" x14ac:dyDescent="0.3">
      <c r="A198" s="19">
        <f t="shared" si="87"/>
        <v>45756</v>
      </c>
      <c r="B198">
        <f t="shared" si="88"/>
        <v>4</v>
      </c>
      <c r="C198" s="16">
        <f>IFERROR(MATCH(A199,NERCHolidays!$B$2:$B$121,0),0)</f>
        <v>0</v>
      </c>
      <c r="D198">
        <f t="shared" si="85"/>
        <v>0</v>
      </c>
      <c r="E198" t="str">
        <f t="shared" si="78"/>
        <v>OP</v>
      </c>
      <c r="F198">
        <f t="shared" si="79"/>
        <v>5</v>
      </c>
      <c r="G198">
        <f t="shared" si="80"/>
        <v>1</v>
      </c>
      <c r="H198">
        <f t="shared" si="81"/>
        <v>0</v>
      </c>
      <c r="I198">
        <f t="shared" si="53"/>
        <v>2</v>
      </c>
      <c r="J198">
        <f t="shared" si="82"/>
        <v>0</v>
      </c>
      <c r="K198">
        <f t="shared" si="83"/>
        <v>6</v>
      </c>
      <c r="L198" s="179">
        <f>'Aztec Metered Load'!C202</f>
        <v>3.5739999999999998</v>
      </c>
      <c r="O198" s="148">
        <f t="shared" si="57"/>
        <v>45770</v>
      </c>
      <c r="P198" s="157">
        <f t="shared" ref="P198:AM198" si="90">Q26+P130+P164</f>
        <v>6</v>
      </c>
      <c r="Q198" s="157">
        <f t="shared" si="90"/>
        <v>6</v>
      </c>
      <c r="R198" s="157">
        <f t="shared" si="90"/>
        <v>6</v>
      </c>
      <c r="S198" s="157">
        <f t="shared" si="90"/>
        <v>6</v>
      </c>
      <c r="T198" s="157">
        <f t="shared" si="90"/>
        <v>6</v>
      </c>
      <c r="U198" s="157">
        <f t="shared" si="90"/>
        <v>6</v>
      </c>
      <c r="V198" s="157">
        <f t="shared" si="90"/>
        <v>6</v>
      </c>
      <c r="W198" s="157">
        <f t="shared" si="90"/>
        <v>6</v>
      </c>
      <c r="X198" s="157">
        <f t="shared" si="90"/>
        <v>5</v>
      </c>
      <c r="Y198" s="157">
        <f t="shared" si="90"/>
        <v>5</v>
      </c>
      <c r="Z198" s="157">
        <f t="shared" si="90"/>
        <v>5</v>
      </c>
      <c r="AA198" s="157">
        <f t="shared" si="90"/>
        <v>5</v>
      </c>
      <c r="AB198" s="157">
        <f t="shared" si="90"/>
        <v>5</v>
      </c>
      <c r="AC198" s="157">
        <f t="shared" si="90"/>
        <v>5</v>
      </c>
      <c r="AD198" s="157">
        <f t="shared" si="90"/>
        <v>5</v>
      </c>
      <c r="AE198" s="157">
        <f t="shared" si="90"/>
        <v>5</v>
      </c>
      <c r="AF198" s="157">
        <f t="shared" si="90"/>
        <v>5</v>
      </c>
      <c r="AG198" s="157">
        <f t="shared" si="90"/>
        <v>5</v>
      </c>
      <c r="AH198" s="157">
        <f t="shared" si="90"/>
        <v>6</v>
      </c>
      <c r="AI198" s="157">
        <f t="shared" si="90"/>
        <v>0</v>
      </c>
      <c r="AJ198" s="157">
        <f t="shared" si="90"/>
        <v>11</v>
      </c>
      <c r="AK198" s="157">
        <f t="shared" si="90"/>
        <v>6</v>
      </c>
      <c r="AL198" s="157">
        <f t="shared" si="90"/>
        <v>6</v>
      </c>
      <c r="AM198" s="157">
        <f t="shared" si="90"/>
        <v>5</v>
      </c>
      <c r="AN198" s="152">
        <f t="shared" si="60"/>
        <v>132</v>
      </c>
    </row>
    <row r="199" spans="1:42" x14ac:dyDescent="0.3">
      <c r="A199" s="19">
        <f t="shared" si="87"/>
        <v>45756</v>
      </c>
      <c r="B199">
        <f t="shared" si="88"/>
        <v>5</v>
      </c>
      <c r="C199" s="16">
        <f>IFERROR(MATCH(A200,NERCHolidays!$B$2:$B$121,0),0)</f>
        <v>0</v>
      </c>
      <c r="D199">
        <f t="shared" si="85"/>
        <v>0</v>
      </c>
      <c r="E199" t="str">
        <f t="shared" si="78"/>
        <v>OP</v>
      </c>
      <c r="F199">
        <f t="shared" si="79"/>
        <v>5</v>
      </c>
      <c r="G199">
        <f t="shared" si="80"/>
        <v>1</v>
      </c>
      <c r="H199">
        <f t="shared" si="81"/>
        <v>0</v>
      </c>
      <c r="I199">
        <f t="shared" si="53"/>
        <v>2</v>
      </c>
      <c r="J199">
        <f t="shared" si="82"/>
        <v>0</v>
      </c>
      <c r="K199">
        <f t="shared" si="83"/>
        <v>6</v>
      </c>
      <c r="L199" s="179">
        <f>'Aztec Metered Load'!C203</f>
        <v>3.9940000000000002</v>
      </c>
      <c r="O199" s="148">
        <f t="shared" si="57"/>
        <v>45771</v>
      </c>
      <c r="P199" s="157">
        <f t="shared" ref="P199:AM199" si="91">Q27+P131+P165</f>
        <v>6</v>
      </c>
      <c r="Q199" s="157">
        <f t="shared" si="91"/>
        <v>6</v>
      </c>
      <c r="R199" s="157">
        <f t="shared" si="91"/>
        <v>6</v>
      </c>
      <c r="S199" s="157">
        <f t="shared" si="91"/>
        <v>6</v>
      </c>
      <c r="T199" s="157">
        <f t="shared" si="91"/>
        <v>6</v>
      </c>
      <c r="U199" s="157">
        <f t="shared" si="91"/>
        <v>6</v>
      </c>
      <c r="V199" s="157">
        <f t="shared" si="91"/>
        <v>6</v>
      </c>
      <c r="W199" s="157">
        <f t="shared" si="91"/>
        <v>6</v>
      </c>
      <c r="X199" s="157">
        <f t="shared" si="91"/>
        <v>5</v>
      </c>
      <c r="Y199" s="157">
        <f t="shared" si="91"/>
        <v>5</v>
      </c>
      <c r="Z199" s="157">
        <f t="shared" si="91"/>
        <v>5</v>
      </c>
      <c r="AA199" s="157">
        <f t="shared" si="91"/>
        <v>5</v>
      </c>
      <c r="AB199" s="157">
        <f t="shared" si="91"/>
        <v>5</v>
      </c>
      <c r="AC199" s="157">
        <f t="shared" si="91"/>
        <v>0</v>
      </c>
      <c r="AD199" s="157">
        <f t="shared" si="91"/>
        <v>5</v>
      </c>
      <c r="AE199" s="157">
        <f t="shared" si="91"/>
        <v>5</v>
      </c>
      <c r="AF199" s="157">
        <f t="shared" si="91"/>
        <v>5</v>
      </c>
      <c r="AG199" s="157">
        <f t="shared" si="91"/>
        <v>5</v>
      </c>
      <c r="AH199" s="157">
        <f t="shared" si="91"/>
        <v>6</v>
      </c>
      <c r="AI199" s="157">
        <f t="shared" si="91"/>
        <v>6</v>
      </c>
      <c r="AJ199" s="157">
        <f t="shared" si="91"/>
        <v>6</v>
      </c>
      <c r="AK199" s="157">
        <f t="shared" si="91"/>
        <v>6</v>
      </c>
      <c r="AL199" s="157">
        <f t="shared" si="91"/>
        <v>6</v>
      </c>
      <c r="AM199" s="157">
        <f t="shared" si="91"/>
        <v>5</v>
      </c>
      <c r="AN199" s="152">
        <f t="shared" si="60"/>
        <v>128</v>
      </c>
    </row>
    <row r="200" spans="1:42" x14ac:dyDescent="0.3">
      <c r="A200" s="19">
        <f t="shared" si="87"/>
        <v>45756</v>
      </c>
      <c r="B200">
        <f t="shared" si="88"/>
        <v>6</v>
      </c>
      <c r="C200" s="16">
        <f>IFERROR(MATCH(A201,NERCHolidays!$B$2:$B$121,0),0)</f>
        <v>0</v>
      </c>
      <c r="D200">
        <f t="shared" si="85"/>
        <v>0</v>
      </c>
      <c r="E200" t="str">
        <f t="shared" si="78"/>
        <v>OP</v>
      </c>
      <c r="F200">
        <f t="shared" si="79"/>
        <v>5</v>
      </c>
      <c r="G200">
        <f t="shared" si="80"/>
        <v>1</v>
      </c>
      <c r="H200">
        <f t="shared" si="81"/>
        <v>0</v>
      </c>
      <c r="I200">
        <f t="shared" si="53"/>
        <v>2</v>
      </c>
      <c r="J200">
        <f t="shared" si="82"/>
        <v>0</v>
      </c>
      <c r="K200">
        <f t="shared" si="83"/>
        <v>6</v>
      </c>
      <c r="L200" s="179">
        <f>'Aztec Metered Load'!C204</f>
        <v>4.5739999999999998</v>
      </c>
      <c r="O200" s="148">
        <f t="shared" si="57"/>
        <v>45772</v>
      </c>
      <c r="P200" s="157">
        <f t="shared" ref="P200:AM200" si="92">Q28+P132+P166</f>
        <v>6</v>
      </c>
      <c r="Q200" s="157">
        <f t="shared" si="92"/>
        <v>6</v>
      </c>
      <c r="R200" s="157">
        <f t="shared" si="92"/>
        <v>6</v>
      </c>
      <c r="S200" s="157">
        <f t="shared" si="92"/>
        <v>6</v>
      </c>
      <c r="T200" s="157">
        <f t="shared" si="92"/>
        <v>6</v>
      </c>
      <c r="U200" s="157">
        <f t="shared" si="92"/>
        <v>6</v>
      </c>
      <c r="V200" s="157">
        <f t="shared" si="92"/>
        <v>6</v>
      </c>
      <c r="W200" s="157">
        <f t="shared" si="92"/>
        <v>6</v>
      </c>
      <c r="X200" s="157">
        <f t="shared" si="92"/>
        <v>5</v>
      </c>
      <c r="Y200" s="157">
        <f t="shared" si="92"/>
        <v>5</v>
      </c>
      <c r="Z200" s="157">
        <f t="shared" si="92"/>
        <v>5</v>
      </c>
      <c r="AA200" s="157">
        <f t="shared" si="92"/>
        <v>5</v>
      </c>
      <c r="AB200" s="157">
        <f t="shared" si="92"/>
        <v>5</v>
      </c>
      <c r="AC200" s="157">
        <f t="shared" si="92"/>
        <v>5</v>
      </c>
      <c r="AD200" s="157">
        <f t="shared" si="92"/>
        <v>5</v>
      </c>
      <c r="AE200" s="157">
        <f t="shared" si="92"/>
        <v>5</v>
      </c>
      <c r="AF200" s="157">
        <f t="shared" si="92"/>
        <v>5</v>
      </c>
      <c r="AG200" s="157">
        <f t="shared" si="92"/>
        <v>5</v>
      </c>
      <c r="AH200" s="157">
        <f t="shared" si="92"/>
        <v>6</v>
      </c>
      <c r="AI200" s="157">
        <f t="shared" si="92"/>
        <v>6</v>
      </c>
      <c r="AJ200" s="157">
        <f t="shared" si="92"/>
        <v>0</v>
      </c>
      <c r="AK200" s="157">
        <f t="shared" si="92"/>
        <v>11</v>
      </c>
      <c r="AL200" s="157">
        <f t="shared" si="92"/>
        <v>6</v>
      </c>
      <c r="AM200" s="157">
        <f t="shared" si="92"/>
        <v>2</v>
      </c>
      <c r="AN200" s="152">
        <f t="shared" si="60"/>
        <v>129</v>
      </c>
    </row>
    <row r="201" spans="1:42" x14ac:dyDescent="0.3">
      <c r="A201" s="19">
        <f t="shared" si="87"/>
        <v>45756</v>
      </c>
      <c r="B201">
        <f t="shared" si="88"/>
        <v>7</v>
      </c>
      <c r="C201" s="16">
        <f>IFERROR(MATCH(A202,NERCHolidays!$B$2:$B$121,0),0)</f>
        <v>0</v>
      </c>
      <c r="D201">
        <f t="shared" si="85"/>
        <v>0</v>
      </c>
      <c r="E201" t="str">
        <f t="shared" si="78"/>
        <v>OP</v>
      </c>
      <c r="F201">
        <f t="shared" si="79"/>
        <v>5</v>
      </c>
      <c r="G201">
        <f t="shared" si="80"/>
        <v>1</v>
      </c>
      <c r="H201">
        <f t="shared" si="81"/>
        <v>0</v>
      </c>
      <c r="I201">
        <f t="shared" si="53"/>
        <v>1</v>
      </c>
      <c r="J201">
        <f t="shared" si="82"/>
        <v>0</v>
      </c>
      <c r="K201">
        <f t="shared" si="83"/>
        <v>6</v>
      </c>
      <c r="L201" s="179">
        <f>'Aztec Metered Load'!C205</f>
        <v>4.8040000000000003</v>
      </c>
      <c r="O201" s="148">
        <f t="shared" si="57"/>
        <v>45773</v>
      </c>
      <c r="P201" s="157">
        <f t="shared" ref="P201:AM201" si="93">Q29+P133+P167</f>
        <v>6</v>
      </c>
      <c r="Q201" s="157">
        <f t="shared" si="93"/>
        <v>5</v>
      </c>
      <c r="R201" s="157">
        <f t="shared" si="93"/>
        <v>5</v>
      </c>
      <c r="S201" s="157">
        <f t="shared" si="93"/>
        <v>5</v>
      </c>
      <c r="T201" s="157">
        <f t="shared" si="93"/>
        <v>11</v>
      </c>
      <c r="U201" s="157">
        <f t="shared" si="93"/>
        <v>6</v>
      </c>
      <c r="V201" s="157">
        <f t="shared" si="93"/>
        <v>6</v>
      </c>
      <c r="W201" s="157">
        <f t="shared" si="93"/>
        <v>6</v>
      </c>
      <c r="X201" s="157">
        <f t="shared" si="93"/>
        <v>5</v>
      </c>
      <c r="Y201" s="157">
        <f t="shared" si="93"/>
        <v>5</v>
      </c>
      <c r="Z201" s="157">
        <f t="shared" si="93"/>
        <v>5</v>
      </c>
      <c r="AA201" s="157">
        <f t="shared" si="93"/>
        <v>5</v>
      </c>
      <c r="AB201" s="157">
        <f t="shared" si="93"/>
        <v>5</v>
      </c>
      <c r="AC201" s="157">
        <f t="shared" si="93"/>
        <v>5</v>
      </c>
      <c r="AD201" s="157">
        <f t="shared" si="93"/>
        <v>5</v>
      </c>
      <c r="AE201" s="157">
        <f t="shared" si="93"/>
        <v>5</v>
      </c>
      <c r="AF201" s="157">
        <f t="shared" si="93"/>
        <v>5</v>
      </c>
      <c r="AG201" s="157">
        <f t="shared" si="93"/>
        <v>5</v>
      </c>
      <c r="AH201" s="157">
        <f t="shared" si="93"/>
        <v>6</v>
      </c>
      <c r="AI201" s="157">
        <f t="shared" si="93"/>
        <v>6</v>
      </c>
      <c r="AJ201" s="157">
        <f t="shared" si="93"/>
        <v>6</v>
      </c>
      <c r="AK201" s="157">
        <f t="shared" si="93"/>
        <v>11</v>
      </c>
      <c r="AL201" s="157">
        <f t="shared" si="93"/>
        <v>11</v>
      </c>
      <c r="AM201" s="157">
        <f t="shared" si="93"/>
        <v>5</v>
      </c>
      <c r="AN201" s="152">
        <f t="shared" si="60"/>
        <v>145</v>
      </c>
    </row>
    <row r="202" spans="1:42" x14ac:dyDescent="0.3">
      <c r="A202" s="19">
        <f t="shared" si="87"/>
        <v>45756</v>
      </c>
      <c r="B202">
        <f t="shared" si="88"/>
        <v>8</v>
      </c>
      <c r="C202" s="16">
        <f>IFERROR(MATCH(A203,NERCHolidays!$B$2:$B$121,0),0)</f>
        <v>0</v>
      </c>
      <c r="D202">
        <f t="shared" si="85"/>
        <v>1</v>
      </c>
      <c r="E202" t="str">
        <f t="shared" si="78"/>
        <v>PK</v>
      </c>
      <c r="F202">
        <f t="shared" si="79"/>
        <v>5</v>
      </c>
      <c r="G202">
        <f t="shared" si="80"/>
        <v>1</v>
      </c>
      <c r="H202">
        <f t="shared" si="81"/>
        <v>0</v>
      </c>
      <c r="I202">
        <f t="shared" si="53"/>
        <v>1</v>
      </c>
      <c r="J202">
        <f t="shared" si="82"/>
        <v>0</v>
      </c>
      <c r="K202">
        <f t="shared" si="83"/>
        <v>6</v>
      </c>
      <c r="L202" s="179">
        <f>'Aztec Metered Load'!C206</f>
        <v>4.6189999999999998</v>
      </c>
      <c r="O202" s="148">
        <f t="shared" si="57"/>
        <v>45774</v>
      </c>
      <c r="P202" s="157">
        <f t="shared" ref="P202:AM202" si="94">Q30+P134+P168</f>
        <v>5</v>
      </c>
      <c r="Q202" s="157">
        <f t="shared" si="94"/>
        <v>5</v>
      </c>
      <c r="R202" s="157">
        <f t="shared" si="94"/>
        <v>6</v>
      </c>
      <c r="S202" s="157">
        <f t="shared" si="94"/>
        <v>6</v>
      </c>
      <c r="T202" s="157">
        <f t="shared" si="94"/>
        <v>5</v>
      </c>
      <c r="U202" s="157">
        <f t="shared" si="94"/>
        <v>5</v>
      </c>
      <c r="V202" s="157">
        <f t="shared" si="94"/>
        <v>6</v>
      </c>
      <c r="W202" s="157">
        <f t="shared" si="94"/>
        <v>6</v>
      </c>
      <c r="X202" s="157">
        <f t="shared" si="94"/>
        <v>5</v>
      </c>
      <c r="Y202" s="157">
        <f t="shared" si="94"/>
        <v>5</v>
      </c>
      <c r="Z202" s="157">
        <f t="shared" si="94"/>
        <v>5</v>
      </c>
      <c r="AA202" s="157">
        <f t="shared" si="94"/>
        <v>5</v>
      </c>
      <c r="AB202" s="157">
        <f t="shared" si="94"/>
        <v>5</v>
      </c>
      <c r="AC202" s="157">
        <f t="shared" si="94"/>
        <v>5</v>
      </c>
      <c r="AD202" s="157">
        <f t="shared" si="94"/>
        <v>5</v>
      </c>
      <c r="AE202" s="157">
        <f t="shared" si="94"/>
        <v>5</v>
      </c>
      <c r="AF202" s="157">
        <f t="shared" si="94"/>
        <v>5</v>
      </c>
      <c r="AG202" s="157">
        <f t="shared" si="94"/>
        <v>5</v>
      </c>
      <c r="AH202" s="157">
        <f t="shared" si="94"/>
        <v>6</v>
      </c>
      <c r="AI202" s="157">
        <f t="shared" si="94"/>
        <v>6</v>
      </c>
      <c r="AJ202" s="157">
        <f t="shared" si="94"/>
        <v>6</v>
      </c>
      <c r="AK202" s="157">
        <f t="shared" si="94"/>
        <v>6</v>
      </c>
      <c r="AL202" s="157">
        <f t="shared" si="94"/>
        <v>6</v>
      </c>
      <c r="AM202" s="157">
        <f t="shared" si="94"/>
        <v>2</v>
      </c>
      <c r="AN202" s="152">
        <f>SUM(P202:AM202)</f>
        <v>126</v>
      </c>
    </row>
    <row r="203" spans="1:42" x14ac:dyDescent="0.3">
      <c r="A203" s="19">
        <f t="shared" si="87"/>
        <v>45756</v>
      </c>
      <c r="B203">
        <f t="shared" si="88"/>
        <v>9</v>
      </c>
      <c r="C203" s="16">
        <f>IFERROR(MATCH(A204,NERCHolidays!$B$2:$B$121,0),0)</f>
        <v>0</v>
      </c>
      <c r="D203">
        <f t="shared" si="85"/>
        <v>1</v>
      </c>
      <c r="E203" t="str">
        <f t="shared" si="78"/>
        <v>PK</v>
      </c>
      <c r="F203">
        <f t="shared" si="79"/>
        <v>5</v>
      </c>
      <c r="G203">
        <f t="shared" si="80"/>
        <v>1</v>
      </c>
      <c r="H203">
        <f t="shared" si="81"/>
        <v>0</v>
      </c>
      <c r="I203">
        <f t="shared" si="53"/>
        <v>1</v>
      </c>
      <c r="J203">
        <f t="shared" si="82"/>
        <v>0</v>
      </c>
      <c r="K203">
        <f t="shared" si="83"/>
        <v>6</v>
      </c>
      <c r="L203" s="179">
        <f>'Aztec Metered Load'!C207</f>
        <v>4.3689999999999998</v>
      </c>
      <c r="O203" s="148">
        <f t="shared" si="57"/>
        <v>45775</v>
      </c>
      <c r="P203" s="157">
        <f t="shared" ref="P203:AM203" si="95">Q31+P135+P169</f>
        <v>8</v>
      </c>
      <c r="Q203" s="157">
        <f t="shared" si="95"/>
        <v>9</v>
      </c>
      <c r="R203" s="157">
        <f t="shared" si="95"/>
        <v>10</v>
      </c>
      <c r="S203" s="157">
        <f t="shared" si="95"/>
        <v>4</v>
      </c>
      <c r="T203" s="157">
        <f t="shared" si="95"/>
        <v>9</v>
      </c>
      <c r="U203" s="157">
        <f t="shared" si="95"/>
        <v>4</v>
      </c>
      <c r="V203" s="157">
        <f t="shared" si="95"/>
        <v>4</v>
      </c>
      <c r="W203" s="157">
        <f t="shared" si="95"/>
        <v>6</v>
      </c>
      <c r="X203" s="157">
        <f t="shared" si="95"/>
        <v>5</v>
      </c>
      <c r="Y203" s="157">
        <f t="shared" si="95"/>
        <v>5</v>
      </c>
      <c r="Z203" s="157">
        <f t="shared" si="95"/>
        <v>5</v>
      </c>
      <c r="AA203" s="157">
        <f t="shared" si="95"/>
        <v>5</v>
      </c>
      <c r="AB203" s="157">
        <f t="shared" si="95"/>
        <v>5</v>
      </c>
      <c r="AC203" s="157">
        <f t="shared" si="95"/>
        <v>5</v>
      </c>
      <c r="AD203" s="157">
        <f t="shared" si="95"/>
        <v>5</v>
      </c>
      <c r="AE203" s="157">
        <f t="shared" si="95"/>
        <v>5</v>
      </c>
      <c r="AF203" s="157">
        <f t="shared" si="95"/>
        <v>5</v>
      </c>
      <c r="AG203" s="157">
        <f t="shared" si="95"/>
        <v>5</v>
      </c>
      <c r="AH203" s="157">
        <f t="shared" si="95"/>
        <v>6</v>
      </c>
      <c r="AI203" s="157">
        <f t="shared" si="95"/>
        <v>5</v>
      </c>
      <c r="AJ203" s="157">
        <f t="shared" si="95"/>
        <v>5</v>
      </c>
      <c r="AK203" s="157">
        <f t="shared" si="95"/>
        <v>6</v>
      </c>
      <c r="AL203" s="157">
        <f t="shared" si="95"/>
        <v>6</v>
      </c>
      <c r="AM203" s="157">
        <f t="shared" si="95"/>
        <v>5</v>
      </c>
      <c r="AN203" s="152">
        <f t="shared" si="60"/>
        <v>137</v>
      </c>
    </row>
    <row r="204" spans="1:42" x14ac:dyDescent="0.3">
      <c r="A204" s="19">
        <f t="shared" si="87"/>
        <v>45756</v>
      </c>
      <c r="B204">
        <f t="shared" si="88"/>
        <v>10</v>
      </c>
      <c r="C204" s="16">
        <f>IFERROR(MATCH(A205,NERCHolidays!$B$2:$B$121,0),0)</f>
        <v>0</v>
      </c>
      <c r="D204">
        <f t="shared" si="85"/>
        <v>1</v>
      </c>
      <c r="E204" t="str">
        <f t="shared" si="78"/>
        <v>PK</v>
      </c>
      <c r="F204">
        <f t="shared" si="79"/>
        <v>5</v>
      </c>
      <c r="G204">
        <f t="shared" si="80"/>
        <v>0</v>
      </c>
      <c r="H204">
        <f t="shared" si="81"/>
        <v>0</v>
      </c>
      <c r="I204">
        <f t="shared" ref="I204:I259" si="96">VLOOKUP(A204,$O$40:$AN$70,B204+2,FALSE)</f>
        <v>1</v>
      </c>
      <c r="J204">
        <f t="shared" si="82"/>
        <v>0</v>
      </c>
      <c r="K204">
        <f t="shared" si="83"/>
        <v>5</v>
      </c>
      <c r="L204" s="179">
        <f>'Aztec Metered Load'!C208</f>
        <v>4.01</v>
      </c>
      <c r="O204" s="148">
        <f t="shared" si="57"/>
        <v>45776</v>
      </c>
      <c r="P204" s="157">
        <f t="shared" ref="P204:AM204" si="97">Q32+P136+P170</f>
        <v>6</v>
      </c>
      <c r="Q204" s="157">
        <f t="shared" si="97"/>
        <v>6</v>
      </c>
      <c r="R204" s="157">
        <f t="shared" si="97"/>
        <v>6</v>
      </c>
      <c r="S204" s="157">
        <f t="shared" si="97"/>
        <v>6</v>
      </c>
      <c r="T204" s="157">
        <f t="shared" si="97"/>
        <v>6</v>
      </c>
      <c r="U204" s="157">
        <f t="shared" si="97"/>
        <v>6</v>
      </c>
      <c r="V204" s="157">
        <f t="shared" si="97"/>
        <v>6</v>
      </c>
      <c r="W204" s="157">
        <f t="shared" si="97"/>
        <v>6</v>
      </c>
      <c r="X204" s="157">
        <f t="shared" si="97"/>
        <v>5</v>
      </c>
      <c r="Y204" s="157">
        <f t="shared" si="97"/>
        <v>5</v>
      </c>
      <c r="Z204" s="157">
        <f t="shared" si="97"/>
        <v>5</v>
      </c>
      <c r="AA204" s="157">
        <f t="shared" si="97"/>
        <v>5</v>
      </c>
      <c r="AB204" s="157">
        <f t="shared" si="97"/>
        <v>5</v>
      </c>
      <c r="AC204" s="157">
        <f t="shared" si="97"/>
        <v>5</v>
      </c>
      <c r="AD204" s="157">
        <f t="shared" si="97"/>
        <v>5</v>
      </c>
      <c r="AE204" s="157">
        <f t="shared" si="97"/>
        <v>5</v>
      </c>
      <c r="AF204" s="157">
        <f t="shared" si="97"/>
        <v>5</v>
      </c>
      <c r="AG204" s="157">
        <f t="shared" si="97"/>
        <v>5</v>
      </c>
      <c r="AH204" s="157">
        <f t="shared" si="97"/>
        <v>6</v>
      </c>
      <c r="AI204" s="157">
        <f t="shared" si="97"/>
        <v>6</v>
      </c>
      <c r="AJ204" s="157">
        <f t="shared" si="97"/>
        <v>6</v>
      </c>
      <c r="AK204" s="157">
        <f t="shared" si="97"/>
        <v>6</v>
      </c>
      <c r="AL204" s="157">
        <f t="shared" si="97"/>
        <v>6</v>
      </c>
      <c r="AM204" s="157">
        <f t="shared" si="97"/>
        <v>5</v>
      </c>
      <c r="AN204" s="152">
        <f>SUM(P204:AM204)</f>
        <v>133</v>
      </c>
    </row>
    <row r="205" spans="1:42" x14ac:dyDescent="0.3">
      <c r="A205" s="19">
        <f t="shared" si="87"/>
        <v>45756</v>
      </c>
      <c r="B205">
        <f t="shared" si="88"/>
        <v>11</v>
      </c>
      <c r="C205" s="16">
        <f>IFERROR(MATCH(A206,NERCHolidays!$B$2:$B$121,0),0)</f>
        <v>0</v>
      </c>
      <c r="D205">
        <f t="shared" si="85"/>
        <v>1</v>
      </c>
      <c r="E205" t="str">
        <f t="shared" si="78"/>
        <v>PK</v>
      </c>
      <c r="F205">
        <f t="shared" si="79"/>
        <v>5</v>
      </c>
      <c r="G205">
        <f t="shared" si="80"/>
        <v>0</v>
      </c>
      <c r="H205">
        <f t="shared" si="81"/>
        <v>0</v>
      </c>
      <c r="I205">
        <f t="shared" si="96"/>
        <v>1</v>
      </c>
      <c r="J205">
        <f t="shared" si="82"/>
        <v>0</v>
      </c>
      <c r="K205">
        <f t="shared" si="83"/>
        <v>5</v>
      </c>
      <c r="L205" s="179">
        <f>'Aztec Metered Load'!C209</f>
        <v>3.87</v>
      </c>
      <c r="O205" s="148">
        <f t="shared" si="57"/>
        <v>45777</v>
      </c>
      <c r="P205" s="157">
        <f t="shared" ref="P205:AM205" si="98">Q33+P137+P171</f>
        <v>5</v>
      </c>
      <c r="Q205" s="157">
        <f t="shared" si="98"/>
        <v>5</v>
      </c>
      <c r="R205" s="157">
        <f t="shared" si="98"/>
        <v>5</v>
      </c>
      <c r="S205" s="157">
        <f t="shared" si="98"/>
        <v>5</v>
      </c>
      <c r="T205" s="157">
        <f t="shared" si="98"/>
        <v>5</v>
      </c>
      <c r="U205" s="157">
        <f t="shared" si="98"/>
        <v>5</v>
      </c>
      <c r="V205" s="157">
        <f t="shared" si="98"/>
        <v>6</v>
      </c>
      <c r="W205" s="157">
        <f t="shared" si="98"/>
        <v>6</v>
      </c>
      <c r="X205" s="157">
        <f t="shared" si="98"/>
        <v>5</v>
      </c>
      <c r="Y205" s="157">
        <f t="shared" si="98"/>
        <v>5</v>
      </c>
      <c r="Z205" s="157">
        <f t="shared" si="98"/>
        <v>5</v>
      </c>
      <c r="AA205" s="157">
        <f t="shared" si="98"/>
        <v>5</v>
      </c>
      <c r="AB205" s="157">
        <f t="shared" si="98"/>
        <v>5</v>
      </c>
      <c r="AC205" s="157">
        <f t="shared" si="98"/>
        <v>5</v>
      </c>
      <c r="AD205" s="157">
        <f t="shared" si="98"/>
        <v>5</v>
      </c>
      <c r="AE205" s="157">
        <f t="shared" si="98"/>
        <v>5</v>
      </c>
      <c r="AF205" s="157">
        <f t="shared" si="98"/>
        <v>5</v>
      </c>
      <c r="AG205" s="157">
        <f t="shared" si="98"/>
        <v>5</v>
      </c>
      <c r="AH205" s="157">
        <f t="shared" si="98"/>
        <v>6</v>
      </c>
      <c r="AI205" s="157">
        <f t="shared" si="98"/>
        <v>6</v>
      </c>
      <c r="AJ205" s="157">
        <f t="shared" si="98"/>
        <v>6</v>
      </c>
      <c r="AK205" s="157">
        <f t="shared" si="98"/>
        <v>6</v>
      </c>
      <c r="AL205" s="157">
        <f t="shared" si="98"/>
        <v>5</v>
      </c>
      <c r="AM205" s="157">
        <f t="shared" si="98"/>
        <v>4</v>
      </c>
      <c r="AN205" s="152">
        <f>SUM(P205:AM205)</f>
        <v>125</v>
      </c>
    </row>
    <row r="206" spans="1:42" x14ac:dyDescent="0.3">
      <c r="A206" s="19">
        <f t="shared" si="87"/>
        <v>45756</v>
      </c>
      <c r="B206">
        <f t="shared" si="88"/>
        <v>12</v>
      </c>
      <c r="C206" s="16">
        <f>IFERROR(MATCH(A207,NERCHolidays!$B$2:$B$121,0),0)</f>
        <v>0</v>
      </c>
      <c r="D206">
        <f t="shared" si="85"/>
        <v>1</v>
      </c>
      <c r="E206" t="str">
        <f t="shared" si="78"/>
        <v>PK</v>
      </c>
      <c r="F206">
        <f t="shared" si="79"/>
        <v>5</v>
      </c>
      <c r="G206">
        <f t="shared" si="80"/>
        <v>0</v>
      </c>
      <c r="H206">
        <f t="shared" si="81"/>
        <v>0</v>
      </c>
      <c r="I206">
        <f t="shared" si="96"/>
        <v>1</v>
      </c>
      <c r="J206">
        <f t="shared" si="82"/>
        <v>0</v>
      </c>
      <c r="K206">
        <f t="shared" si="83"/>
        <v>5</v>
      </c>
      <c r="L206" s="179">
        <f>'Aztec Metered Load'!C210</f>
        <v>3.843</v>
      </c>
      <c r="O206" s="148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  <c r="AN206" s="152">
        <f>SUM(P206:AM206)</f>
        <v>0</v>
      </c>
    </row>
    <row r="207" spans="1:42" x14ac:dyDescent="0.3">
      <c r="A207" s="19">
        <f t="shared" si="87"/>
        <v>45756</v>
      </c>
      <c r="B207">
        <f t="shared" si="88"/>
        <v>13</v>
      </c>
      <c r="C207" s="16">
        <f>IFERROR(MATCH(A208,NERCHolidays!$B$2:$B$121,0),0)</f>
        <v>0</v>
      </c>
      <c r="D207">
        <f t="shared" si="85"/>
        <v>1</v>
      </c>
      <c r="E207" t="str">
        <f t="shared" si="78"/>
        <v>PK</v>
      </c>
      <c r="F207">
        <f t="shared" si="79"/>
        <v>5</v>
      </c>
      <c r="G207">
        <f t="shared" si="80"/>
        <v>0</v>
      </c>
      <c r="H207">
        <f t="shared" si="81"/>
        <v>0</v>
      </c>
      <c r="I207">
        <f t="shared" si="96"/>
        <v>1</v>
      </c>
      <c r="J207">
        <f t="shared" si="82"/>
        <v>0</v>
      </c>
      <c r="K207">
        <f t="shared" si="83"/>
        <v>5</v>
      </c>
      <c r="L207" s="179">
        <f>'Aztec Metered Load'!C211</f>
        <v>3.8889999999999998</v>
      </c>
      <c r="AN207" s="152">
        <f>SUM(AN176:AN206)</f>
        <v>3935</v>
      </c>
      <c r="AO207" s="152"/>
      <c r="AP207" s="129"/>
    </row>
    <row r="208" spans="1:42" x14ac:dyDescent="0.3">
      <c r="A208" s="19">
        <f t="shared" si="87"/>
        <v>45756</v>
      </c>
      <c r="B208">
        <f t="shared" si="88"/>
        <v>14</v>
      </c>
      <c r="C208" s="16">
        <f>IFERROR(MATCH(A209,NERCHolidays!$B$2:$B$121,0),0)</f>
        <v>0</v>
      </c>
      <c r="D208">
        <f t="shared" si="85"/>
        <v>1</v>
      </c>
      <c r="E208" t="str">
        <f t="shared" si="78"/>
        <v>PK</v>
      </c>
      <c r="F208">
        <f t="shared" si="79"/>
        <v>5</v>
      </c>
      <c r="G208">
        <f t="shared" si="80"/>
        <v>0</v>
      </c>
      <c r="H208">
        <f t="shared" si="81"/>
        <v>0</v>
      </c>
      <c r="I208">
        <f t="shared" si="96"/>
        <v>1</v>
      </c>
      <c r="J208">
        <f t="shared" si="82"/>
        <v>0</v>
      </c>
      <c r="K208">
        <f t="shared" si="83"/>
        <v>5</v>
      </c>
      <c r="L208" s="179">
        <f>'Aztec Metered Load'!C212</f>
        <v>3.8809999999999998</v>
      </c>
    </row>
    <row r="209" spans="1:40" x14ac:dyDescent="0.3">
      <c r="A209" s="19">
        <f t="shared" si="87"/>
        <v>45756</v>
      </c>
      <c r="B209">
        <f t="shared" si="88"/>
        <v>15</v>
      </c>
      <c r="C209" s="16">
        <f>IFERROR(MATCH(A210,NERCHolidays!$B$2:$B$121,0),0)</f>
        <v>0</v>
      </c>
      <c r="D209">
        <f t="shared" si="85"/>
        <v>1</v>
      </c>
      <c r="E209" t="str">
        <f t="shared" si="78"/>
        <v>PK</v>
      </c>
      <c r="F209">
        <f t="shared" si="79"/>
        <v>5</v>
      </c>
      <c r="G209">
        <f t="shared" si="80"/>
        <v>0</v>
      </c>
      <c r="H209">
        <f t="shared" si="81"/>
        <v>0</v>
      </c>
      <c r="I209">
        <f t="shared" si="96"/>
        <v>1</v>
      </c>
      <c r="J209">
        <f t="shared" si="82"/>
        <v>0</v>
      </c>
      <c r="K209">
        <f t="shared" si="83"/>
        <v>5</v>
      </c>
      <c r="L209" s="179">
        <f>'Aztec Metered Load'!C213</f>
        <v>4.0279999999999996</v>
      </c>
      <c r="AN209" s="129"/>
    </row>
    <row r="210" spans="1:40" x14ac:dyDescent="0.3">
      <c r="A210" s="19">
        <f t="shared" si="87"/>
        <v>45756</v>
      </c>
      <c r="B210">
        <f t="shared" si="88"/>
        <v>16</v>
      </c>
      <c r="C210" s="16">
        <f>IFERROR(MATCH(A211,NERCHolidays!$B$2:$B$121,0),0)</f>
        <v>0</v>
      </c>
      <c r="D210">
        <f t="shared" si="85"/>
        <v>1</v>
      </c>
      <c r="E210" t="str">
        <f t="shared" si="78"/>
        <v>PK</v>
      </c>
      <c r="F210">
        <f t="shared" si="79"/>
        <v>5</v>
      </c>
      <c r="G210">
        <f t="shared" si="80"/>
        <v>0</v>
      </c>
      <c r="H210">
        <f t="shared" si="81"/>
        <v>0</v>
      </c>
      <c r="I210">
        <f t="shared" si="96"/>
        <v>1</v>
      </c>
      <c r="J210">
        <f t="shared" si="82"/>
        <v>0</v>
      </c>
      <c r="K210">
        <f t="shared" si="83"/>
        <v>5</v>
      </c>
      <c r="L210" s="179">
        <f>'Aztec Metered Load'!C214</f>
        <v>4.0359999999999996</v>
      </c>
    </row>
    <row r="211" spans="1:40" x14ac:dyDescent="0.3">
      <c r="A211" s="19">
        <f t="shared" si="87"/>
        <v>45756</v>
      </c>
      <c r="B211">
        <f t="shared" si="88"/>
        <v>17</v>
      </c>
      <c r="C211" s="16">
        <f>IFERROR(MATCH(A212,NERCHolidays!$B$2:$B$121,0),0)</f>
        <v>0</v>
      </c>
      <c r="D211">
        <f t="shared" si="85"/>
        <v>1</v>
      </c>
      <c r="E211" t="str">
        <f t="shared" si="78"/>
        <v>PK</v>
      </c>
      <c r="F211">
        <f t="shared" si="79"/>
        <v>5</v>
      </c>
      <c r="G211">
        <f t="shared" si="80"/>
        <v>0</v>
      </c>
      <c r="H211">
        <f t="shared" si="81"/>
        <v>0</v>
      </c>
      <c r="I211">
        <f t="shared" si="96"/>
        <v>1</v>
      </c>
      <c r="J211">
        <f t="shared" si="82"/>
        <v>0</v>
      </c>
      <c r="K211">
        <f t="shared" si="83"/>
        <v>5</v>
      </c>
      <c r="L211" s="179">
        <f>'Aztec Metered Load'!C215</f>
        <v>3.9380000000000002</v>
      </c>
      <c r="AN211" s="129"/>
    </row>
    <row r="212" spans="1:40" x14ac:dyDescent="0.3">
      <c r="A212" s="19">
        <f t="shared" si="87"/>
        <v>45756</v>
      </c>
      <c r="B212">
        <f t="shared" si="88"/>
        <v>18</v>
      </c>
      <c r="C212" s="16">
        <f>IFERROR(MATCH(A213,NERCHolidays!$B$2:$B$121,0),0)</f>
        <v>0</v>
      </c>
      <c r="D212">
        <f t="shared" si="85"/>
        <v>1</v>
      </c>
      <c r="E212" t="str">
        <f t="shared" si="78"/>
        <v>PK</v>
      </c>
      <c r="F212">
        <f t="shared" si="79"/>
        <v>5</v>
      </c>
      <c r="G212">
        <f t="shared" si="80"/>
        <v>0</v>
      </c>
      <c r="H212">
        <f t="shared" si="81"/>
        <v>0</v>
      </c>
      <c r="I212">
        <f t="shared" si="96"/>
        <v>1</v>
      </c>
      <c r="J212">
        <f t="shared" si="82"/>
        <v>0</v>
      </c>
      <c r="K212">
        <f t="shared" si="83"/>
        <v>5</v>
      </c>
      <c r="L212" s="179">
        <f>'Aztec Metered Load'!C216</f>
        <v>4.2140000000000004</v>
      </c>
      <c r="AN212" s="129"/>
    </row>
    <row r="213" spans="1:40" x14ac:dyDescent="0.3">
      <c r="A213" s="19">
        <f t="shared" si="87"/>
        <v>45756</v>
      </c>
      <c r="B213">
        <f t="shared" si="88"/>
        <v>19</v>
      </c>
      <c r="C213" s="16">
        <f>IFERROR(MATCH(A214,NERCHolidays!$B$2:$B$121,0),0)</f>
        <v>0</v>
      </c>
      <c r="D213">
        <f t="shared" si="85"/>
        <v>1</v>
      </c>
      <c r="E213" t="str">
        <f t="shared" si="78"/>
        <v>PK</v>
      </c>
      <c r="F213">
        <f t="shared" si="79"/>
        <v>5</v>
      </c>
      <c r="G213">
        <f t="shared" si="80"/>
        <v>1</v>
      </c>
      <c r="H213">
        <f t="shared" si="81"/>
        <v>0</v>
      </c>
      <c r="I213">
        <f t="shared" si="96"/>
        <v>1</v>
      </c>
      <c r="J213">
        <f t="shared" si="82"/>
        <v>0</v>
      </c>
      <c r="K213">
        <f t="shared" si="83"/>
        <v>6</v>
      </c>
      <c r="L213" s="179">
        <f>'Aztec Metered Load'!C217</f>
        <v>4.3380000000000001</v>
      </c>
    </row>
    <row r="214" spans="1:40" x14ac:dyDescent="0.3">
      <c r="A214" s="19">
        <f t="shared" si="87"/>
        <v>45756</v>
      </c>
      <c r="B214">
        <f t="shared" si="88"/>
        <v>20</v>
      </c>
      <c r="C214" s="16">
        <f>IFERROR(MATCH(A215,NERCHolidays!$B$2:$B$121,0),0)</f>
        <v>0</v>
      </c>
      <c r="D214">
        <f t="shared" si="85"/>
        <v>1</v>
      </c>
      <c r="E214" t="str">
        <f t="shared" si="78"/>
        <v>PK</v>
      </c>
      <c r="F214">
        <f t="shared" si="79"/>
        <v>5</v>
      </c>
      <c r="G214">
        <f t="shared" si="80"/>
        <v>1</v>
      </c>
      <c r="H214">
        <f t="shared" si="81"/>
        <v>0</v>
      </c>
      <c r="I214">
        <f t="shared" si="96"/>
        <v>1</v>
      </c>
      <c r="J214">
        <f t="shared" si="82"/>
        <v>0</v>
      </c>
      <c r="K214">
        <f t="shared" si="83"/>
        <v>6</v>
      </c>
      <c r="L214" s="179">
        <f>'Aztec Metered Load'!C218</f>
        <v>4.3860000000000001</v>
      </c>
    </row>
    <row r="215" spans="1:40" x14ac:dyDescent="0.3">
      <c r="A215" s="19">
        <f t="shared" si="87"/>
        <v>45756</v>
      </c>
      <c r="B215">
        <f t="shared" si="88"/>
        <v>21</v>
      </c>
      <c r="C215" s="16">
        <f>IFERROR(MATCH(A216,NERCHolidays!$B$2:$B$121,0),0)</f>
        <v>0</v>
      </c>
      <c r="D215">
        <f t="shared" si="85"/>
        <v>1</v>
      </c>
      <c r="E215" t="str">
        <f t="shared" si="78"/>
        <v>PK</v>
      </c>
      <c r="F215">
        <f t="shared" si="79"/>
        <v>5</v>
      </c>
      <c r="G215">
        <f t="shared" si="80"/>
        <v>1</v>
      </c>
      <c r="H215">
        <f t="shared" si="81"/>
        <v>0</v>
      </c>
      <c r="I215">
        <f t="shared" si="96"/>
        <v>1</v>
      </c>
      <c r="J215">
        <f t="shared" si="82"/>
        <v>0</v>
      </c>
      <c r="K215">
        <f t="shared" si="83"/>
        <v>6</v>
      </c>
      <c r="L215" s="179">
        <f>'Aztec Metered Load'!C219</f>
        <v>4.1159999999999997</v>
      </c>
    </row>
    <row r="216" spans="1:40" x14ac:dyDescent="0.3">
      <c r="A216" s="19">
        <f t="shared" si="87"/>
        <v>45756</v>
      </c>
      <c r="B216">
        <f t="shared" si="88"/>
        <v>22</v>
      </c>
      <c r="C216" s="16">
        <f>IFERROR(MATCH(A217,NERCHolidays!$B$2:$B$121,0),0)</f>
        <v>0</v>
      </c>
      <c r="D216">
        <f t="shared" si="85"/>
        <v>1</v>
      </c>
      <c r="E216" t="str">
        <f t="shared" si="78"/>
        <v>PK</v>
      </c>
      <c r="F216">
        <f t="shared" si="79"/>
        <v>5</v>
      </c>
      <c r="G216">
        <f t="shared" si="80"/>
        <v>1</v>
      </c>
      <c r="H216">
        <f t="shared" si="81"/>
        <v>0</v>
      </c>
      <c r="I216">
        <f t="shared" si="96"/>
        <v>1</v>
      </c>
      <c r="J216">
        <f t="shared" si="82"/>
        <v>0</v>
      </c>
      <c r="K216">
        <f t="shared" si="83"/>
        <v>6</v>
      </c>
      <c r="L216" s="179">
        <f>'Aztec Metered Load'!C220</f>
        <v>3.6749999999999998</v>
      </c>
    </row>
    <row r="217" spans="1:40" x14ac:dyDescent="0.3">
      <c r="A217" s="19">
        <f t="shared" si="87"/>
        <v>45756</v>
      </c>
      <c r="B217">
        <f t="shared" si="88"/>
        <v>23</v>
      </c>
      <c r="C217" s="16">
        <f>IFERROR(MATCH(A218,NERCHolidays!$B$2:$B$121,0),0)</f>
        <v>0</v>
      </c>
      <c r="D217">
        <f t="shared" si="85"/>
        <v>1</v>
      </c>
      <c r="E217" t="str">
        <f t="shared" si="78"/>
        <v>PK</v>
      </c>
      <c r="F217">
        <f t="shared" si="79"/>
        <v>5</v>
      </c>
      <c r="G217">
        <f t="shared" si="80"/>
        <v>1</v>
      </c>
      <c r="H217">
        <f t="shared" si="81"/>
        <v>0</v>
      </c>
      <c r="I217">
        <f t="shared" si="96"/>
        <v>1</v>
      </c>
      <c r="J217">
        <f t="shared" si="82"/>
        <v>0</v>
      </c>
      <c r="K217">
        <f t="shared" si="83"/>
        <v>6</v>
      </c>
      <c r="L217" s="179">
        <f>'Aztec Metered Load'!C221</f>
        <v>3.42</v>
      </c>
    </row>
    <row r="218" spans="1:40" x14ac:dyDescent="0.3">
      <c r="A218" s="19">
        <f t="shared" si="87"/>
        <v>45756</v>
      </c>
      <c r="B218">
        <f t="shared" si="88"/>
        <v>24</v>
      </c>
      <c r="C218" s="16">
        <f>IFERROR(MATCH(A219,NERCHolidays!$B$2:$B$121,0),0)</f>
        <v>0</v>
      </c>
      <c r="D218">
        <f t="shared" si="85"/>
        <v>0</v>
      </c>
      <c r="E218" t="str">
        <f t="shared" si="78"/>
        <v>OP</v>
      </c>
      <c r="F218">
        <f t="shared" si="79"/>
        <v>5</v>
      </c>
      <c r="G218">
        <f t="shared" si="80"/>
        <v>0</v>
      </c>
      <c r="H218">
        <f t="shared" si="81"/>
        <v>0</v>
      </c>
      <c r="I218">
        <f t="shared" si="96"/>
        <v>1</v>
      </c>
      <c r="J218">
        <f t="shared" si="82"/>
        <v>0</v>
      </c>
      <c r="K218">
        <f t="shared" si="83"/>
        <v>5</v>
      </c>
      <c r="L218" s="179">
        <f>'Aztec Metered Load'!C222</f>
        <v>3.218</v>
      </c>
    </row>
    <row r="219" spans="1:40" x14ac:dyDescent="0.3">
      <c r="A219" s="19">
        <f t="shared" si="87"/>
        <v>45757</v>
      </c>
      <c r="B219">
        <f t="shared" si="88"/>
        <v>1</v>
      </c>
      <c r="C219" s="16">
        <f>IFERROR(MATCH(A220,NERCHolidays!$B$2:$B$121,0),0)</f>
        <v>0</v>
      </c>
      <c r="D219">
        <f t="shared" si="85"/>
        <v>0</v>
      </c>
      <c r="E219" t="str">
        <f t="shared" si="78"/>
        <v>OP</v>
      </c>
      <c r="F219">
        <f t="shared" si="79"/>
        <v>5</v>
      </c>
      <c r="G219">
        <f t="shared" si="80"/>
        <v>1</v>
      </c>
      <c r="H219">
        <f t="shared" si="81"/>
        <v>0</v>
      </c>
      <c r="I219">
        <f t="shared" si="96"/>
        <v>1</v>
      </c>
      <c r="J219">
        <f t="shared" si="82"/>
        <v>0</v>
      </c>
      <c r="K219">
        <f t="shared" si="83"/>
        <v>6</v>
      </c>
      <c r="L219" s="179">
        <f>'Aztec Metered Load'!C223</f>
        <v>3.1520000000000001</v>
      </c>
    </row>
    <row r="220" spans="1:40" x14ac:dyDescent="0.3">
      <c r="A220" s="19">
        <f t="shared" si="87"/>
        <v>45757</v>
      </c>
      <c r="B220">
        <f t="shared" si="88"/>
        <v>2</v>
      </c>
      <c r="C220" s="16">
        <f>IFERROR(MATCH(A221,NERCHolidays!$B$2:$B$121,0),0)</f>
        <v>0</v>
      </c>
      <c r="D220">
        <f t="shared" si="85"/>
        <v>0</v>
      </c>
      <c r="E220" t="str">
        <f t="shared" si="78"/>
        <v>OP</v>
      </c>
      <c r="F220">
        <f t="shared" si="79"/>
        <v>5</v>
      </c>
      <c r="G220">
        <f t="shared" si="80"/>
        <v>1</v>
      </c>
      <c r="H220">
        <f t="shared" si="81"/>
        <v>0</v>
      </c>
      <c r="I220">
        <f t="shared" si="96"/>
        <v>1</v>
      </c>
      <c r="J220">
        <f t="shared" si="82"/>
        <v>0</v>
      </c>
      <c r="K220">
        <f t="shared" si="83"/>
        <v>6</v>
      </c>
      <c r="L220" s="179">
        <f>'Aztec Metered Load'!C224</f>
        <v>3.1970000000000001</v>
      </c>
    </row>
    <row r="221" spans="1:40" x14ac:dyDescent="0.3">
      <c r="A221" s="19">
        <f t="shared" si="87"/>
        <v>45757</v>
      </c>
      <c r="B221">
        <f t="shared" si="88"/>
        <v>3</v>
      </c>
      <c r="C221" s="16">
        <f>IFERROR(MATCH(A222,NERCHolidays!$B$2:$B$121,0),0)</f>
        <v>0</v>
      </c>
      <c r="D221">
        <f t="shared" si="85"/>
        <v>0</v>
      </c>
      <c r="E221" t="str">
        <f t="shared" si="78"/>
        <v>OP</v>
      </c>
      <c r="F221">
        <f t="shared" si="79"/>
        <v>5</v>
      </c>
      <c r="G221">
        <f t="shared" si="80"/>
        <v>1</v>
      </c>
      <c r="H221">
        <f t="shared" si="81"/>
        <v>0</v>
      </c>
      <c r="I221">
        <f t="shared" si="96"/>
        <v>2</v>
      </c>
      <c r="J221">
        <f t="shared" si="82"/>
        <v>0</v>
      </c>
      <c r="K221">
        <f t="shared" si="83"/>
        <v>6</v>
      </c>
      <c r="L221" s="179">
        <f>'Aztec Metered Load'!C225</f>
        <v>3.31</v>
      </c>
    </row>
    <row r="222" spans="1:40" x14ac:dyDescent="0.3">
      <c r="A222" s="19">
        <f t="shared" si="87"/>
        <v>45757</v>
      </c>
      <c r="B222">
        <f t="shared" si="88"/>
        <v>4</v>
      </c>
      <c r="C222" s="16">
        <f>IFERROR(MATCH(A223,NERCHolidays!$B$2:$B$121,0),0)</f>
        <v>0</v>
      </c>
      <c r="D222">
        <f t="shared" si="85"/>
        <v>0</v>
      </c>
      <c r="E222" t="str">
        <f t="shared" si="78"/>
        <v>OP</v>
      </c>
      <c r="F222">
        <f t="shared" si="79"/>
        <v>5</v>
      </c>
      <c r="G222">
        <f t="shared" si="80"/>
        <v>1</v>
      </c>
      <c r="H222">
        <f t="shared" si="81"/>
        <v>0</v>
      </c>
      <c r="I222">
        <f t="shared" si="96"/>
        <v>2</v>
      </c>
      <c r="J222">
        <f t="shared" si="82"/>
        <v>0</v>
      </c>
      <c r="K222">
        <f t="shared" si="83"/>
        <v>6</v>
      </c>
      <c r="L222" s="179">
        <f>'Aztec Metered Load'!C226</f>
        <v>3.5</v>
      </c>
    </row>
    <row r="223" spans="1:40" x14ac:dyDescent="0.3">
      <c r="A223" s="19">
        <f t="shared" si="87"/>
        <v>45757</v>
      </c>
      <c r="B223">
        <f t="shared" si="88"/>
        <v>5</v>
      </c>
      <c r="C223" s="16">
        <f>IFERROR(MATCH(A224,NERCHolidays!$B$2:$B$121,0),0)</f>
        <v>0</v>
      </c>
      <c r="D223">
        <f t="shared" si="85"/>
        <v>0</v>
      </c>
      <c r="E223" t="str">
        <f t="shared" si="78"/>
        <v>OP</v>
      </c>
      <c r="F223">
        <f t="shared" si="79"/>
        <v>5</v>
      </c>
      <c r="G223">
        <f t="shared" si="80"/>
        <v>1</v>
      </c>
      <c r="H223">
        <f t="shared" si="81"/>
        <v>0</v>
      </c>
      <c r="I223">
        <f t="shared" si="96"/>
        <v>2</v>
      </c>
      <c r="J223">
        <f t="shared" si="82"/>
        <v>0</v>
      </c>
      <c r="K223">
        <f t="shared" si="83"/>
        <v>6</v>
      </c>
      <c r="L223" s="179">
        <f>'Aztec Metered Load'!C227</f>
        <v>3.8210000000000002</v>
      </c>
    </row>
    <row r="224" spans="1:40" x14ac:dyDescent="0.3">
      <c r="A224" s="19">
        <f t="shared" si="87"/>
        <v>45757</v>
      </c>
      <c r="B224">
        <f t="shared" si="88"/>
        <v>6</v>
      </c>
      <c r="C224" s="16">
        <f>IFERROR(MATCH(A225,NERCHolidays!$B$2:$B$121,0),0)</f>
        <v>0</v>
      </c>
      <c r="D224">
        <f t="shared" si="85"/>
        <v>0</v>
      </c>
      <c r="E224" t="str">
        <f t="shared" si="78"/>
        <v>OP</v>
      </c>
      <c r="F224">
        <f t="shared" si="79"/>
        <v>5</v>
      </c>
      <c r="G224">
        <f t="shared" si="80"/>
        <v>1</v>
      </c>
      <c r="H224">
        <f t="shared" si="81"/>
        <v>0</v>
      </c>
      <c r="I224">
        <f t="shared" si="96"/>
        <v>2</v>
      </c>
      <c r="J224">
        <f t="shared" si="82"/>
        <v>0</v>
      </c>
      <c r="K224">
        <f t="shared" si="83"/>
        <v>6</v>
      </c>
      <c r="L224" s="179">
        <f>'Aztec Metered Load'!C228</f>
        <v>4.4059999999999997</v>
      </c>
    </row>
    <row r="225" spans="1:12" x14ac:dyDescent="0.3">
      <c r="A225" s="19">
        <f t="shared" si="87"/>
        <v>45757</v>
      </c>
      <c r="B225">
        <f t="shared" si="88"/>
        <v>7</v>
      </c>
      <c r="C225" s="16">
        <f>IFERROR(MATCH(A226,NERCHolidays!$B$2:$B$121,0),0)</f>
        <v>0</v>
      </c>
      <c r="D225">
        <f t="shared" si="85"/>
        <v>0</v>
      </c>
      <c r="E225" t="str">
        <f t="shared" si="78"/>
        <v>OP</v>
      </c>
      <c r="F225">
        <f t="shared" si="79"/>
        <v>5</v>
      </c>
      <c r="G225">
        <f t="shared" si="80"/>
        <v>1</v>
      </c>
      <c r="H225">
        <f t="shared" si="81"/>
        <v>0</v>
      </c>
      <c r="I225">
        <f t="shared" si="96"/>
        <v>1</v>
      </c>
      <c r="J225">
        <f t="shared" si="82"/>
        <v>0</v>
      </c>
      <c r="K225">
        <f t="shared" si="83"/>
        <v>6</v>
      </c>
      <c r="L225" s="179">
        <f>'Aztec Metered Load'!C229</f>
        <v>4.6050000000000004</v>
      </c>
    </row>
    <row r="226" spans="1:12" x14ac:dyDescent="0.3">
      <c r="A226" s="19">
        <f t="shared" si="87"/>
        <v>45757</v>
      </c>
      <c r="B226">
        <f t="shared" si="88"/>
        <v>8</v>
      </c>
      <c r="C226" s="16">
        <f>IFERROR(MATCH(A227,NERCHolidays!$B$2:$B$121,0),0)</f>
        <v>0</v>
      </c>
      <c r="D226">
        <f t="shared" si="85"/>
        <v>1</v>
      </c>
      <c r="E226" t="str">
        <f t="shared" si="78"/>
        <v>PK</v>
      </c>
      <c r="F226">
        <f t="shared" si="79"/>
        <v>5</v>
      </c>
      <c r="G226">
        <f t="shared" si="80"/>
        <v>1</v>
      </c>
      <c r="H226">
        <f t="shared" si="81"/>
        <v>0</v>
      </c>
      <c r="I226">
        <f t="shared" si="96"/>
        <v>1</v>
      </c>
      <c r="J226">
        <f t="shared" si="82"/>
        <v>0</v>
      </c>
      <c r="K226">
        <f t="shared" si="83"/>
        <v>6</v>
      </c>
      <c r="L226" s="179">
        <f>'Aztec Metered Load'!C230</f>
        <v>4.4000000000000004</v>
      </c>
    </row>
    <row r="227" spans="1:12" x14ac:dyDescent="0.3">
      <c r="A227" s="19">
        <f t="shared" si="87"/>
        <v>45757</v>
      </c>
      <c r="B227">
        <f t="shared" si="88"/>
        <v>9</v>
      </c>
      <c r="C227" s="16">
        <f>IFERROR(MATCH(A228,NERCHolidays!$B$2:$B$121,0),0)</f>
        <v>0</v>
      </c>
      <c r="D227">
        <f t="shared" si="85"/>
        <v>1</v>
      </c>
      <c r="E227" t="str">
        <f t="shared" si="78"/>
        <v>PK</v>
      </c>
      <c r="F227">
        <f t="shared" si="79"/>
        <v>5</v>
      </c>
      <c r="G227">
        <f t="shared" si="80"/>
        <v>1</v>
      </c>
      <c r="H227">
        <f t="shared" si="81"/>
        <v>0</v>
      </c>
      <c r="I227">
        <f t="shared" si="96"/>
        <v>1</v>
      </c>
      <c r="J227">
        <f t="shared" si="82"/>
        <v>0</v>
      </c>
      <c r="K227">
        <f t="shared" si="83"/>
        <v>6</v>
      </c>
      <c r="L227" s="179">
        <f>'Aztec Metered Load'!C231</f>
        <v>4.2069999999999999</v>
      </c>
    </row>
    <row r="228" spans="1:12" x14ac:dyDescent="0.3">
      <c r="A228" s="19">
        <f t="shared" si="87"/>
        <v>45757</v>
      </c>
      <c r="B228">
        <f t="shared" si="88"/>
        <v>10</v>
      </c>
      <c r="C228" s="16">
        <f>IFERROR(MATCH(A229,NERCHolidays!$B$2:$B$121,0),0)</f>
        <v>0</v>
      </c>
      <c r="D228">
        <f t="shared" si="85"/>
        <v>1</v>
      </c>
      <c r="E228" t="str">
        <f t="shared" si="78"/>
        <v>PK</v>
      </c>
      <c r="F228">
        <f t="shared" si="79"/>
        <v>5</v>
      </c>
      <c r="G228">
        <f t="shared" si="80"/>
        <v>0</v>
      </c>
      <c r="H228">
        <f t="shared" si="81"/>
        <v>0</v>
      </c>
      <c r="I228">
        <f t="shared" si="96"/>
        <v>1</v>
      </c>
      <c r="J228">
        <f t="shared" si="82"/>
        <v>0</v>
      </c>
      <c r="K228">
        <f t="shared" si="83"/>
        <v>5</v>
      </c>
      <c r="L228" s="179">
        <f>'Aztec Metered Load'!C232</f>
        <v>4.0359999999999996</v>
      </c>
    </row>
    <row r="229" spans="1:12" x14ac:dyDescent="0.3">
      <c r="A229" s="19">
        <f t="shared" si="87"/>
        <v>45757</v>
      </c>
      <c r="B229">
        <f t="shared" si="88"/>
        <v>11</v>
      </c>
      <c r="C229" s="16">
        <f>IFERROR(MATCH(A230,NERCHolidays!$B$2:$B$121,0),0)</f>
        <v>0</v>
      </c>
      <c r="D229">
        <f t="shared" si="85"/>
        <v>1</v>
      </c>
      <c r="E229" t="str">
        <f t="shared" si="78"/>
        <v>PK</v>
      </c>
      <c r="F229">
        <f t="shared" si="79"/>
        <v>5</v>
      </c>
      <c r="G229">
        <f t="shared" si="80"/>
        <v>0</v>
      </c>
      <c r="H229">
        <f t="shared" si="81"/>
        <v>0</v>
      </c>
      <c r="I229">
        <f t="shared" si="96"/>
        <v>1</v>
      </c>
      <c r="J229">
        <f t="shared" si="82"/>
        <v>0</v>
      </c>
      <c r="K229">
        <f t="shared" si="83"/>
        <v>5</v>
      </c>
      <c r="L229" s="179">
        <f>'Aztec Metered Load'!C233</f>
        <v>4.0730000000000004</v>
      </c>
    </row>
    <row r="230" spans="1:12" x14ac:dyDescent="0.3">
      <c r="A230" s="19">
        <f t="shared" si="87"/>
        <v>45757</v>
      </c>
      <c r="B230">
        <f t="shared" si="88"/>
        <v>12</v>
      </c>
      <c r="C230" s="16">
        <f>IFERROR(MATCH(A231,NERCHolidays!$B$2:$B$121,0),0)</f>
        <v>0</v>
      </c>
      <c r="D230">
        <f t="shared" si="85"/>
        <v>1</v>
      </c>
      <c r="E230" t="str">
        <f t="shared" si="78"/>
        <v>PK</v>
      </c>
      <c r="F230">
        <f t="shared" si="79"/>
        <v>5</v>
      </c>
      <c r="G230">
        <f t="shared" si="80"/>
        <v>0</v>
      </c>
      <c r="H230">
        <f t="shared" si="81"/>
        <v>0</v>
      </c>
      <c r="I230">
        <f t="shared" si="96"/>
        <v>1</v>
      </c>
      <c r="J230">
        <f t="shared" si="82"/>
        <v>0</v>
      </c>
      <c r="K230">
        <f t="shared" si="83"/>
        <v>5</v>
      </c>
      <c r="L230" s="179">
        <f>'Aztec Metered Load'!C234</f>
        <v>3.9319999999999999</v>
      </c>
    </row>
    <row r="231" spans="1:12" x14ac:dyDescent="0.3">
      <c r="A231" s="19">
        <f t="shared" si="87"/>
        <v>45757</v>
      </c>
      <c r="B231">
        <f t="shared" si="88"/>
        <v>13</v>
      </c>
      <c r="C231" s="16">
        <f>IFERROR(MATCH(A232,NERCHolidays!$B$2:$B$121,0),0)</f>
        <v>0</v>
      </c>
      <c r="D231">
        <f t="shared" si="85"/>
        <v>1</v>
      </c>
      <c r="E231" t="str">
        <f t="shared" si="78"/>
        <v>PK</v>
      </c>
      <c r="F231">
        <f t="shared" si="79"/>
        <v>5</v>
      </c>
      <c r="G231">
        <f t="shared" si="80"/>
        <v>0</v>
      </c>
      <c r="H231">
        <f t="shared" si="81"/>
        <v>0</v>
      </c>
      <c r="I231">
        <f t="shared" si="96"/>
        <v>1</v>
      </c>
      <c r="J231">
        <f t="shared" si="82"/>
        <v>0</v>
      </c>
      <c r="K231">
        <f t="shared" si="83"/>
        <v>5</v>
      </c>
      <c r="L231" s="179">
        <f>'Aztec Metered Load'!C235</f>
        <v>4.008</v>
      </c>
    </row>
    <row r="232" spans="1:12" x14ac:dyDescent="0.3">
      <c r="A232" s="19">
        <f t="shared" si="87"/>
        <v>45757</v>
      </c>
      <c r="B232">
        <f t="shared" si="88"/>
        <v>14</v>
      </c>
      <c r="C232" s="16">
        <f>IFERROR(MATCH(A233,NERCHolidays!$B$2:$B$121,0),0)</f>
        <v>0</v>
      </c>
      <c r="D232">
        <f t="shared" si="85"/>
        <v>1</v>
      </c>
      <c r="E232" t="str">
        <f t="shared" si="78"/>
        <v>PK</v>
      </c>
      <c r="F232">
        <f t="shared" si="79"/>
        <v>5</v>
      </c>
      <c r="G232">
        <f t="shared" si="80"/>
        <v>0</v>
      </c>
      <c r="H232">
        <f t="shared" si="81"/>
        <v>0</v>
      </c>
      <c r="I232">
        <f t="shared" si="96"/>
        <v>1</v>
      </c>
      <c r="J232">
        <f t="shared" si="82"/>
        <v>0</v>
      </c>
      <c r="K232">
        <f t="shared" si="83"/>
        <v>5</v>
      </c>
      <c r="L232" s="179">
        <f>'Aztec Metered Load'!C236</f>
        <v>4.0129999999999999</v>
      </c>
    </row>
    <row r="233" spans="1:12" x14ac:dyDescent="0.3">
      <c r="A233" s="19">
        <f t="shared" si="87"/>
        <v>45757</v>
      </c>
      <c r="B233">
        <f t="shared" si="88"/>
        <v>15</v>
      </c>
      <c r="C233" s="16">
        <f>IFERROR(MATCH(A234,NERCHolidays!$B$2:$B$121,0),0)</f>
        <v>0</v>
      </c>
      <c r="D233">
        <f t="shared" si="85"/>
        <v>1</v>
      </c>
      <c r="E233" t="str">
        <f t="shared" si="78"/>
        <v>PK</v>
      </c>
      <c r="F233">
        <f t="shared" si="79"/>
        <v>5</v>
      </c>
      <c r="G233">
        <f t="shared" si="80"/>
        <v>0</v>
      </c>
      <c r="H233">
        <f t="shared" si="81"/>
        <v>0</v>
      </c>
      <c r="I233">
        <f t="shared" si="96"/>
        <v>1</v>
      </c>
      <c r="J233">
        <f t="shared" si="82"/>
        <v>0</v>
      </c>
      <c r="K233">
        <f t="shared" si="83"/>
        <v>5</v>
      </c>
      <c r="L233" s="179">
        <f>'Aztec Metered Load'!C237</f>
        <v>4.157</v>
      </c>
    </row>
    <row r="234" spans="1:12" x14ac:dyDescent="0.3">
      <c r="A234" s="19">
        <f t="shared" si="87"/>
        <v>45757</v>
      </c>
      <c r="B234">
        <f t="shared" si="88"/>
        <v>16</v>
      </c>
      <c r="C234" s="16">
        <f>IFERROR(MATCH(A235,NERCHolidays!$B$2:$B$121,0),0)</f>
        <v>0</v>
      </c>
      <c r="D234">
        <f t="shared" si="85"/>
        <v>1</v>
      </c>
      <c r="E234" t="str">
        <f t="shared" si="78"/>
        <v>PK</v>
      </c>
      <c r="F234">
        <f t="shared" si="79"/>
        <v>5</v>
      </c>
      <c r="G234">
        <f t="shared" si="80"/>
        <v>0</v>
      </c>
      <c r="H234">
        <f t="shared" si="81"/>
        <v>0</v>
      </c>
      <c r="I234">
        <f t="shared" si="96"/>
        <v>1</v>
      </c>
      <c r="J234">
        <f t="shared" si="82"/>
        <v>0</v>
      </c>
      <c r="K234">
        <f t="shared" si="83"/>
        <v>5</v>
      </c>
      <c r="L234" s="179">
        <f>'Aztec Metered Load'!C238</f>
        <v>4.359</v>
      </c>
    </row>
    <row r="235" spans="1:12" x14ac:dyDescent="0.3">
      <c r="A235" s="19">
        <f t="shared" si="87"/>
        <v>45757</v>
      </c>
      <c r="B235">
        <f t="shared" si="88"/>
        <v>17</v>
      </c>
      <c r="C235" s="16">
        <f>IFERROR(MATCH(A236,NERCHolidays!$B$2:$B$121,0),0)</f>
        <v>0</v>
      </c>
      <c r="D235">
        <f t="shared" si="85"/>
        <v>1</v>
      </c>
      <c r="E235" t="str">
        <f t="shared" si="78"/>
        <v>PK</v>
      </c>
      <c r="F235">
        <f t="shared" si="79"/>
        <v>5</v>
      </c>
      <c r="G235">
        <f t="shared" si="80"/>
        <v>0</v>
      </c>
      <c r="H235">
        <f t="shared" si="81"/>
        <v>0</v>
      </c>
      <c r="I235">
        <f t="shared" si="96"/>
        <v>1</v>
      </c>
      <c r="J235">
        <f t="shared" si="82"/>
        <v>0</v>
      </c>
      <c r="K235">
        <f t="shared" si="83"/>
        <v>5</v>
      </c>
      <c r="L235" s="179">
        <f>'Aztec Metered Load'!C239</f>
        <v>4.2839999999999998</v>
      </c>
    </row>
    <row r="236" spans="1:12" x14ac:dyDescent="0.3">
      <c r="A236" s="19">
        <f t="shared" si="87"/>
        <v>45757</v>
      </c>
      <c r="B236">
        <f t="shared" si="88"/>
        <v>18</v>
      </c>
      <c r="C236" s="16">
        <f>IFERROR(MATCH(A237,NERCHolidays!$B$2:$B$121,0),0)</f>
        <v>0</v>
      </c>
      <c r="D236">
        <f t="shared" si="85"/>
        <v>1</v>
      </c>
      <c r="E236" t="str">
        <f t="shared" si="78"/>
        <v>PK</v>
      </c>
      <c r="F236">
        <f t="shared" si="79"/>
        <v>5</v>
      </c>
      <c r="G236">
        <f t="shared" si="80"/>
        <v>0</v>
      </c>
      <c r="H236">
        <f t="shared" si="81"/>
        <v>0</v>
      </c>
      <c r="I236">
        <f t="shared" si="96"/>
        <v>1</v>
      </c>
      <c r="J236">
        <f t="shared" si="82"/>
        <v>0</v>
      </c>
      <c r="K236">
        <f t="shared" si="83"/>
        <v>5</v>
      </c>
      <c r="L236" s="179">
        <f>'Aztec Metered Load'!C240</f>
        <v>4.33</v>
      </c>
    </row>
    <row r="237" spans="1:12" x14ac:dyDescent="0.3">
      <c r="A237" s="19">
        <f t="shared" si="87"/>
        <v>45757</v>
      </c>
      <c r="B237">
        <f t="shared" si="88"/>
        <v>19</v>
      </c>
      <c r="C237" s="16">
        <f>IFERROR(MATCH(A238,NERCHolidays!$B$2:$B$121,0),0)</f>
        <v>0</v>
      </c>
      <c r="D237">
        <f t="shared" si="85"/>
        <v>1</v>
      </c>
      <c r="E237" t="str">
        <f t="shared" si="78"/>
        <v>PK</v>
      </c>
      <c r="F237">
        <f t="shared" si="79"/>
        <v>5</v>
      </c>
      <c r="G237">
        <f t="shared" si="80"/>
        <v>1</v>
      </c>
      <c r="H237">
        <f t="shared" si="81"/>
        <v>0</v>
      </c>
      <c r="I237">
        <f t="shared" si="96"/>
        <v>1</v>
      </c>
      <c r="J237">
        <f t="shared" si="82"/>
        <v>0</v>
      </c>
      <c r="K237">
        <f t="shared" si="83"/>
        <v>6</v>
      </c>
      <c r="L237" s="179">
        <f>'Aztec Metered Load'!C241</f>
        <v>4.4000000000000004</v>
      </c>
    </row>
    <row r="238" spans="1:12" x14ac:dyDescent="0.3">
      <c r="A238" s="19">
        <f t="shared" si="87"/>
        <v>45757</v>
      </c>
      <c r="B238">
        <f t="shared" si="88"/>
        <v>20</v>
      </c>
      <c r="C238" s="16">
        <f>IFERROR(MATCH(A239,NERCHolidays!$B$2:$B$121,0),0)</f>
        <v>0</v>
      </c>
      <c r="D238">
        <f t="shared" si="85"/>
        <v>1</v>
      </c>
      <c r="E238" t="str">
        <f t="shared" si="78"/>
        <v>PK</v>
      </c>
      <c r="F238">
        <f t="shared" si="79"/>
        <v>5</v>
      </c>
      <c r="G238">
        <f t="shared" si="80"/>
        <v>1</v>
      </c>
      <c r="H238">
        <f t="shared" si="81"/>
        <v>0</v>
      </c>
      <c r="I238">
        <f t="shared" si="96"/>
        <v>1</v>
      </c>
      <c r="J238">
        <f t="shared" si="82"/>
        <v>0</v>
      </c>
      <c r="K238">
        <f t="shared" si="83"/>
        <v>6</v>
      </c>
      <c r="L238" s="179">
        <f>'Aztec Metered Load'!C242</f>
        <v>4.4859999999999998</v>
      </c>
    </row>
    <row r="239" spans="1:12" x14ac:dyDescent="0.3">
      <c r="A239" s="19">
        <f t="shared" si="87"/>
        <v>45757</v>
      </c>
      <c r="B239">
        <f t="shared" si="88"/>
        <v>21</v>
      </c>
      <c r="C239" s="16">
        <f>IFERROR(MATCH(A240,NERCHolidays!$B$2:$B$121,0),0)</f>
        <v>0</v>
      </c>
      <c r="D239">
        <f t="shared" si="85"/>
        <v>1</v>
      </c>
      <c r="E239" t="str">
        <f t="shared" si="78"/>
        <v>PK</v>
      </c>
      <c r="F239">
        <f t="shared" si="79"/>
        <v>5</v>
      </c>
      <c r="G239">
        <f t="shared" si="80"/>
        <v>1</v>
      </c>
      <c r="H239">
        <f t="shared" si="81"/>
        <v>0</v>
      </c>
      <c r="I239">
        <f t="shared" si="96"/>
        <v>1</v>
      </c>
      <c r="J239">
        <f t="shared" si="82"/>
        <v>0</v>
      </c>
      <c r="K239">
        <f t="shared" si="83"/>
        <v>6</v>
      </c>
      <c r="L239" s="179">
        <f>'Aztec Metered Load'!C243</f>
        <v>4.2359999999999998</v>
      </c>
    </row>
    <row r="240" spans="1:12" x14ac:dyDescent="0.3">
      <c r="A240" s="19">
        <f t="shared" si="87"/>
        <v>45757</v>
      </c>
      <c r="B240">
        <f t="shared" si="88"/>
        <v>22</v>
      </c>
      <c r="C240" s="16">
        <f>IFERROR(MATCH(A241,NERCHolidays!$B$2:$B$121,0),0)</f>
        <v>0</v>
      </c>
      <c r="D240">
        <f t="shared" si="85"/>
        <v>1</v>
      </c>
      <c r="E240" t="str">
        <f t="shared" si="78"/>
        <v>PK</v>
      </c>
      <c r="F240">
        <f t="shared" si="79"/>
        <v>5</v>
      </c>
      <c r="G240">
        <f t="shared" si="80"/>
        <v>1</v>
      </c>
      <c r="H240">
        <f t="shared" si="81"/>
        <v>0</v>
      </c>
      <c r="I240">
        <f t="shared" si="96"/>
        <v>1</v>
      </c>
      <c r="J240">
        <f t="shared" si="82"/>
        <v>0</v>
      </c>
      <c r="K240">
        <f t="shared" si="83"/>
        <v>6</v>
      </c>
      <c r="L240" s="179">
        <f>'Aztec Metered Load'!C244</f>
        <v>3.726</v>
      </c>
    </row>
    <row r="241" spans="1:12" x14ac:dyDescent="0.3">
      <c r="A241" s="19">
        <f t="shared" si="87"/>
        <v>45757</v>
      </c>
      <c r="B241">
        <f t="shared" si="88"/>
        <v>23</v>
      </c>
      <c r="C241" s="16">
        <f>IFERROR(MATCH(A242,NERCHolidays!$B$2:$B$121,0),0)</f>
        <v>0</v>
      </c>
      <c r="D241">
        <f t="shared" si="85"/>
        <v>1</v>
      </c>
      <c r="E241" t="str">
        <f t="shared" si="78"/>
        <v>PK</v>
      </c>
      <c r="F241">
        <f t="shared" si="79"/>
        <v>5</v>
      </c>
      <c r="G241">
        <f t="shared" si="80"/>
        <v>1</v>
      </c>
      <c r="H241">
        <f t="shared" si="81"/>
        <v>0</v>
      </c>
      <c r="I241">
        <f t="shared" si="96"/>
        <v>1</v>
      </c>
      <c r="J241">
        <f t="shared" si="82"/>
        <v>0</v>
      </c>
      <c r="K241">
        <f t="shared" si="83"/>
        <v>6</v>
      </c>
      <c r="L241" s="179">
        <f>'Aztec Metered Load'!C245</f>
        <v>3.4340000000000002</v>
      </c>
    </row>
    <row r="242" spans="1:12" x14ac:dyDescent="0.3">
      <c r="A242" s="19">
        <f t="shared" si="87"/>
        <v>45757</v>
      </c>
      <c r="B242">
        <f t="shared" si="88"/>
        <v>24</v>
      </c>
      <c r="C242" s="16">
        <f>IFERROR(MATCH(A243,NERCHolidays!$B$2:$B$121,0),0)</f>
        <v>0</v>
      </c>
      <c r="D242">
        <f t="shared" si="85"/>
        <v>0</v>
      </c>
      <c r="E242" t="str">
        <f t="shared" si="78"/>
        <v>OP</v>
      </c>
      <c r="F242">
        <f t="shared" si="79"/>
        <v>5</v>
      </c>
      <c r="G242">
        <f t="shared" si="80"/>
        <v>0</v>
      </c>
      <c r="H242">
        <f t="shared" si="81"/>
        <v>0</v>
      </c>
      <c r="I242">
        <f t="shared" si="96"/>
        <v>1</v>
      </c>
      <c r="J242">
        <f t="shared" si="82"/>
        <v>0</v>
      </c>
      <c r="K242">
        <f t="shared" si="83"/>
        <v>5</v>
      </c>
      <c r="L242" s="179">
        <f>'Aztec Metered Load'!C246</f>
        <v>3.2010000000000001</v>
      </c>
    </row>
    <row r="243" spans="1:12" x14ac:dyDescent="0.3">
      <c r="A243" s="19">
        <f t="shared" si="87"/>
        <v>45758</v>
      </c>
      <c r="B243">
        <f t="shared" si="88"/>
        <v>1</v>
      </c>
      <c r="C243" s="16">
        <f>IFERROR(MATCH(A244,NERCHolidays!$B$2:$B$121,0),0)</f>
        <v>0</v>
      </c>
      <c r="D243">
        <f t="shared" si="85"/>
        <v>0</v>
      </c>
      <c r="E243" t="str">
        <f t="shared" si="78"/>
        <v>OP</v>
      </c>
      <c r="F243">
        <f t="shared" si="79"/>
        <v>5</v>
      </c>
      <c r="G243">
        <f t="shared" si="80"/>
        <v>1</v>
      </c>
      <c r="H243">
        <f t="shared" si="81"/>
        <v>0</v>
      </c>
      <c r="I243">
        <f t="shared" si="96"/>
        <v>1</v>
      </c>
      <c r="J243">
        <f t="shared" si="82"/>
        <v>0</v>
      </c>
      <c r="K243">
        <f t="shared" si="83"/>
        <v>6</v>
      </c>
      <c r="L243" s="179">
        <f>'Aztec Metered Load'!C247</f>
        <v>3.2189999999999999</v>
      </c>
    </row>
    <row r="244" spans="1:12" x14ac:dyDescent="0.3">
      <c r="A244" s="19">
        <f t="shared" si="87"/>
        <v>45758</v>
      </c>
      <c r="B244">
        <f t="shared" si="88"/>
        <v>2</v>
      </c>
      <c r="C244" s="16">
        <f>IFERROR(MATCH(A245,NERCHolidays!$B$2:$B$121,0),0)</f>
        <v>0</v>
      </c>
      <c r="D244">
        <f t="shared" si="85"/>
        <v>0</v>
      </c>
      <c r="E244" t="str">
        <f t="shared" si="78"/>
        <v>OP</v>
      </c>
      <c r="F244">
        <f t="shared" si="79"/>
        <v>5</v>
      </c>
      <c r="G244">
        <f t="shared" si="80"/>
        <v>1</v>
      </c>
      <c r="H244">
        <f t="shared" si="81"/>
        <v>0</v>
      </c>
      <c r="I244">
        <f t="shared" si="96"/>
        <v>1</v>
      </c>
      <c r="J244">
        <f t="shared" si="82"/>
        <v>0</v>
      </c>
      <c r="K244">
        <f t="shared" si="83"/>
        <v>6</v>
      </c>
      <c r="L244" s="179">
        <f>'Aztec Metered Load'!C248</f>
        <v>3.1789999999999998</v>
      </c>
    </row>
    <row r="245" spans="1:12" x14ac:dyDescent="0.3">
      <c r="A245" s="19">
        <f t="shared" si="87"/>
        <v>45758</v>
      </c>
      <c r="B245">
        <f t="shared" si="88"/>
        <v>3</v>
      </c>
      <c r="C245" s="16">
        <f>IFERROR(MATCH(A246,NERCHolidays!$B$2:$B$121,0),0)</f>
        <v>0</v>
      </c>
      <c r="D245">
        <f t="shared" si="85"/>
        <v>0</v>
      </c>
      <c r="E245" t="str">
        <f t="shared" si="78"/>
        <v>OP</v>
      </c>
      <c r="F245">
        <f t="shared" si="79"/>
        <v>5</v>
      </c>
      <c r="G245">
        <f t="shared" si="80"/>
        <v>1</v>
      </c>
      <c r="H245">
        <f t="shared" si="81"/>
        <v>0</v>
      </c>
      <c r="I245">
        <f t="shared" si="96"/>
        <v>2</v>
      </c>
      <c r="J245">
        <f t="shared" si="82"/>
        <v>0</v>
      </c>
      <c r="K245">
        <f t="shared" si="83"/>
        <v>6</v>
      </c>
      <c r="L245" s="179">
        <f>'Aztec Metered Load'!C249</f>
        <v>3.1789999999999998</v>
      </c>
    </row>
    <row r="246" spans="1:12" x14ac:dyDescent="0.3">
      <c r="A246" s="19">
        <f t="shared" si="87"/>
        <v>45758</v>
      </c>
      <c r="B246">
        <f t="shared" si="88"/>
        <v>4</v>
      </c>
      <c r="C246" s="16">
        <f>IFERROR(MATCH(A247,NERCHolidays!$B$2:$B$121,0),0)</f>
        <v>0</v>
      </c>
      <c r="D246">
        <f t="shared" si="85"/>
        <v>0</v>
      </c>
      <c r="E246" t="str">
        <f t="shared" si="78"/>
        <v>OP</v>
      </c>
      <c r="F246">
        <f t="shared" si="79"/>
        <v>5</v>
      </c>
      <c r="G246">
        <f t="shared" si="80"/>
        <v>1</v>
      </c>
      <c r="H246">
        <f t="shared" si="81"/>
        <v>0</v>
      </c>
      <c r="I246">
        <f t="shared" si="96"/>
        <v>2</v>
      </c>
      <c r="J246">
        <f t="shared" si="82"/>
        <v>0</v>
      </c>
      <c r="K246">
        <f t="shared" si="83"/>
        <v>6</v>
      </c>
      <c r="L246" s="179">
        <f>'Aztec Metered Load'!C250</f>
        <v>3.2839999999999998</v>
      </c>
    </row>
    <row r="247" spans="1:12" x14ac:dyDescent="0.3">
      <c r="A247" s="19">
        <f t="shared" si="87"/>
        <v>45758</v>
      </c>
      <c r="B247">
        <f t="shared" si="88"/>
        <v>5</v>
      </c>
      <c r="C247" s="16">
        <f>IFERROR(MATCH(A248,NERCHolidays!$B$2:$B$121,0),0)</f>
        <v>0</v>
      </c>
      <c r="D247">
        <f t="shared" si="85"/>
        <v>0</v>
      </c>
      <c r="E247" t="str">
        <f t="shared" si="78"/>
        <v>OP</v>
      </c>
      <c r="F247">
        <f t="shared" si="79"/>
        <v>5</v>
      </c>
      <c r="G247">
        <f t="shared" si="80"/>
        <v>1</v>
      </c>
      <c r="H247">
        <f t="shared" si="81"/>
        <v>0</v>
      </c>
      <c r="I247">
        <f t="shared" si="96"/>
        <v>2</v>
      </c>
      <c r="J247">
        <f t="shared" si="82"/>
        <v>0</v>
      </c>
      <c r="K247">
        <f t="shared" si="83"/>
        <v>6</v>
      </c>
      <c r="L247" s="179">
        <f>'Aztec Metered Load'!C251</f>
        <v>3.633</v>
      </c>
    </row>
    <row r="248" spans="1:12" x14ac:dyDescent="0.3">
      <c r="A248" s="19">
        <f t="shared" si="87"/>
        <v>45758</v>
      </c>
      <c r="B248">
        <f t="shared" si="88"/>
        <v>6</v>
      </c>
      <c r="C248" s="16">
        <f>IFERROR(MATCH(A249,NERCHolidays!$B$2:$B$121,0),0)</f>
        <v>0</v>
      </c>
      <c r="D248">
        <f t="shared" si="85"/>
        <v>0</v>
      </c>
      <c r="E248" t="str">
        <f t="shared" si="78"/>
        <v>OP</v>
      </c>
      <c r="F248">
        <f t="shared" si="79"/>
        <v>5</v>
      </c>
      <c r="G248">
        <f t="shared" si="80"/>
        <v>1</v>
      </c>
      <c r="H248">
        <f t="shared" si="81"/>
        <v>0</v>
      </c>
      <c r="I248">
        <f t="shared" si="96"/>
        <v>2</v>
      </c>
      <c r="J248">
        <f t="shared" si="82"/>
        <v>0</v>
      </c>
      <c r="K248">
        <f t="shared" si="83"/>
        <v>6</v>
      </c>
      <c r="L248" s="179">
        <f>'Aztec Metered Load'!C252</f>
        <v>4.2149999999999999</v>
      </c>
    </row>
    <row r="249" spans="1:12" x14ac:dyDescent="0.3">
      <c r="A249" s="19">
        <f t="shared" si="87"/>
        <v>45758</v>
      </c>
      <c r="B249">
        <f t="shared" si="88"/>
        <v>7</v>
      </c>
      <c r="C249" s="16">
        <f>IFERROR(MATCH(A250,NERCHolidays!$B$2:$B$121,0),0)</f>
        <v>0</v>
      </c>
      <c r="D249">
        <f t="shared" si="85"/>
        <v>0</v>
      </c>
      <c r="E249" t="str">
        <f t="shared" si="78"/>
        <v>OP</v>
      </c>
      <c r="F249">
        <f t="shared" si="79"/>
        <v>5</v>
      </c>
      <c r="G249">
        <f t="shared" si="80"/>
        <v>1</v>
      </c>
      <c r="H249">
        <f t="shared" si="81"/>
        <v>0</v>
      </c>
      <c r="I249">
        <f t="shared" si="96"/>
        <v>1</v>
      </c>
      <c r="J249">
        <f t="shared" si="82"/>
        <v>0</v>
      </c>
      <c r="K249">
        <f t="shared" si="83"/>
        <v>6</v>
      </c>
      <c r="L249" s="179">
        <f>'Aztec Metered Load'!C253</f>
        <v>4.335</v>
      </c>
    </row>
    <row r="250" spans="1:12" x14ac:dyDescent="0.3">
      <c r="A250" s="19">
        <f t="shared" si="87"/>
        <v>45758</v>
      </c>
      <c r="B250">
        <f t="shared" si="88"/>
        <v>8</v>
      </c>
      <c r="C250" s="16">
        <f>IFERROR(MATCH(A251,NERCHolidays!$B$2:$B$121,0),0)</f>
        <v>0</v>
      </c>
      <c r="D250">
        <f t="shared" si="85"/>
        <v>1</v>
      </c>
      <c r="E250" t="str">
        <f t="shared" si="78"/>
        <v>PK</v>
      </c>
      <c r="F250">
        <f t="shared" si="79"/>
        <v>5</v>
      </c>
      <c r="G250">
        <f t="shared" si="80"/>
        <v>1</v>
      </c>
      <c r="H250">
        <f t="shared" si="81"/>
        <v>0</v>
      </c>
      <c r="I250">
        <f t="shared" si="96"/>
        <v>1</v>
      </c>
      <c r="J250">
        <f t="shared" si="82"/>
        <v>0</v>
      </c>
      <c r="K250">
        <f t="shared" si="83"/>
        <v>6</v>
      </c>
      <c r="L250" s="179">
        <f>'Aztec Metered Load'!C254</f>
        <v>4.1449999999999996</v>
      </c>
    </row>
    <row r="251" spans="1:12" x14ac:dyDescent="0.3">
      <c r="A251" s="19">
        <f t="shared" si="87"/>
        <v>45758</v>
      </c>
      <c r="B251">
        <f t="shared" si="88"/>
        <v>9</v>
      </c>
      <c r="C251" s="16">
        <f>IFERROR(MATCH(A252,NERCHolidays!$B$2:$B$121,0),0)</f>
        <v>0</v>
      </c>
      <c r="D251">
        <f t="shared" si="85"/>
        <v>1</v>
      </c>
      <c r="E251" t="str">
        <f t="shared" si="78"/>
        <v>PK</v>
      </c>
      <c r="F251">
        <f t="shared" si="79"/>
        <v>5</v>
      </c>
      <c r="G251">
        <f t="shared" si="80"/>
        <v>1</v>
      </c>
      <c r="H251">
        <f t="shared" si="81"/>
        <v>0</v>
      </c>
      <c r="I251">
        <f t="shared" si="96"/>
        <v>1</v>
      </c>
      <c r="J251">
        <f t="shared" si="82"/>
        <v>0</v>
      </c>
      <c r="K251">
        <f t="shared" si="83"/>
        <v>6</v>
      </c>
      <c r="L251" s="179">
        <f>'Aztec Metered Load'!C255</f>
        <v>4.1139999999999999</v>
      </c>
    </row>
    <row r="252" spans="1:12" x14ac:dyDescent="0.3">
      <c r="A252" s="19">
        <f t="shared" si="87"/>
        <v>45758</v>
      </c>
      <c r="B252">
        <f t="shared" si="88"/>
        <v>10</v>
      </c>
      <c r="C252" s="16">
        <f>IFERROR(MATCH(A253,NERCHolidays!$B$2:$B$121,0),0)</f>
        <v>0</v>
      </c>
      <c r="D252">
        <f t="shared" si="85"/>
        <v>1</v>
      </c>
      <c r="E252" t="str">
        <f t="shared" si="78"/>
        <v>PK</v>
      </c>
      <c r="F252">
        <f t="shared" si="79"/>
        <v>5</v>
      </c>
      <c r="G252">
        <f t="shared" si="80"/>
        <v>0</v>
      </c>
      <c r="H252">
        <f t="shared" si="81"/>
        <v>0</v>
      </c>
      <c r="I252">
        <f t="shared" si="96"/>
        <v>1</v>
      </c>
      <c r="J252">
        <f t="shared" si="82"/>
        <v>0</v>
      </c>
      <c r="K252">
        <f t="shared" si="83"/>
        <v>5</v>
      </c>
      <c r="L252" s="179">
        <f>'Aztec Metered Load'!C256</f>
        <v>3.9510000000000001</v>
      </c>
    </row>
    <row r="253" spans="1:12" x14ac:dyDescent="0.3">
      <c r="A253" s="19">
        <f t="shared" si="87"/>
        <v>45758</v>
      </c>
      <c r="B253">
        <f t="shared" si="88"/>
        <v>11</v>
      </c>
      <c r="C253" s="16">
        <f>IFERROR(MATCH(A254,NERCHolidays!$B$2:$B$121,0),0)</f>
        <v>0</v>
      </c>
      <c r="D253">
        <f t="shared" si="85"/>
        <v>1</v>
      </c>
      <c r="E253" t="str">
        <f t="shared" si="78"/>
        <v>PK</v>
      </c>
      <c r="F253">
        <f t="shared" si="79"/>
        <v>5</v>
      </c>
      <c r="G253">
        <f t="shared" si="80"/>
        <v>0</v>
      </c>
      <c r="H253">
        <f t="shared" si="81"/>
        <v>0</v>
      </c>
      <c r="I253">
        <f t="shared" si="96"/>
        <v>1</v>
      </c>
      <c r="J253">
        <f t="shared" si="82"/>
        <v>0</v>
      </c>
      <c r="K253">
        <f t="shared" si="83"/>
        <v>5</v>
      </c>
      <c r="L253" s="179">
        <f>'Aztec Metered Load'!C257</f>
        <v>3.8860000000000001</v>
      </c>
    </row>
    <row r="254" spans="1:12" x14ac:dyDescent="0.3">
      <c r="A254" s="19">
        <f t="shared" si="87"/>
        <v>45758</v>
      </c>
      <c r="B254">
        <f t="shared" si="88"/>
        <v>12</v>
      </c>
      <c r="C254" s="16">
        <f>IFERROR(MATCH(A255,NERCHolidays!$B$2:$B$121,0),0)</f>
        <v>0</v>
      </c>
      <c r="D254">
        <f t="shared" si="85"/>
        <v>1</v>
      </c>
      <c r="E254" t="str">
        <f t="shared" si="78"/>
        <v>PK</v>
      </c>
      <c r="F254">
        <f t="shared" si="79"/>
        <v>5</v>
      </c>
      <c r="G254">
        <f t="shared" si="80"/>
        <v>0</v>
      </c>
      <c r="H254">
        <f t="shared" si="81"/>
        <v>0</v>
      </c>
      <c r="I254">
        <f t="shared" si="96"/>
        <v>1</v>
      </c>
      <c r="J254">
        <f t="shared" si="82"/>
        <v>0</v>
      </c>
      <c r="K254">
        <f t="shared" si="83"/>
        <v>5</v>
      </c>
      <c r="L254" s="179">
        <f>'Aztec Metered Load'!C258</f>
        <v>3.8610000000000002</v>
      </c>
    </row>
    <row r="255" spans="1:12" x14ac:dyDescent="0.3">
      <c r="A255" s="19">
        <f t="shared" si="87"/>
        <v>45758</v>
      </c>
      <c r="B255">
        <f t="shared" si="88"/>
        <v>13</v>
      </c>
      <c r="C255" s="16">
        <f>IFERROR(MATCH(A256,NERCHolidays!$B$2:$B$121,0),0)</f>
        <v>0</v>
      </c>
      <c r="D255">
        <f t="shared" si="85"/>
        <v>1</v>
      </c>
      <c r="E255" t="str">
        <f t="shared" si="78"/>
        <v>PK</v>
      </c>
      <c r="F255">
        <f t="shared" si="79"/>
        <v>5</v>
      </c>
      <c r="G255">
        <f t="shared" si="80"/>
        <v>0</v>
      </c>
      <c r="H255">
        <f t="shared" si="81"/>
        <v>0</v>
      </c>
      <c r="I255">
        <f t="shared" si="96"/>
        <v>1</v>
      </c>
      <c r="J255">
        <f t="shared" si="82"/>
        <v>0</v>
      </c>
      <c r="K255">
        <f t="shared" si="83"/>
        <v>5</v>
      </c>
      <c r="L255" s="179">
        <f>'Aztec Metered Load'!C259</f>
        <v>3.9620000000000002</v>
      </c>
    </row>
    <row r="256" spans="1:12" x14ac:dyDescent="0.3">
      <c r="A256" s="19">
        <f t="shared" si="87"/>
        <v>45758</v>
      </c>
      <c r="B256">
        <f t="shared" si="88"/>
        <v>14</v>
      </c>
      <c r="C256" s="16">
        <f>IFERROR(MATCH(A257,NERCHolidays!$B$2:$B$121,0),0)</f>
        <v>0</v>
      </c>
      <c r="D256">
        <f t="shared" si="85"/>
        <v>1</v>
      </c>
      <c r="E256" t="str">
        <f t="shared" si="78"/>
        <v>PK</v>
      </c>
      <c r="F256">
        <f t="shared" si="79"/>
        <v>5</v>
      </c>
      <c r="G256">
        <f t="shared" si="80"/>
        <v>0</v>
      </c>
      <c r="H256">
        <f t="shared" si="81"/>
        <v>0</v>
      </c>
      <c r="I256">
        <f t="shared" si="96"/>
        <v>1</v>
      </c>
      <c r="J256">
        <f t="shared" si="82"/>
        <v>0</v>
      </c>
      <c r="K256">
        <f t="shared" si="83"/>
        <v>5</v>
      </c>
      <c r="L256" s="179">
        <f>'Aztec Metered Load'!C260</f>
        <v>4.0960000000000001</v>
      </c>
    </row>
    <row r="257" spans="1:12" x14ac:dyDescent="0.3">
      <c r="A257" s="19">
        <f t="shared" si="87"/>
        <v>45758</v>
      </c>
      <c r="B257">
        <f t="shared" si="88"/>
        <v>15</v>
      </c>
      <c r="C257" s="16">
        <f>IFERROR(MATCH(A258,NERCHolidays!$B$2:$B$121,0),0)</f>
        <v>0</v>
      </c>
      <c r="D257">
        <f t="shared" si="85"/>
        <v>1</v>
      </c>
      <c r="E257" t="str">
        <f t="shared" si="78"/>
        <v>PK</v>
      </c>
      <c r="F257">
        <f t="shared" si="79"/>
        <v>5</v>
      </c>
      <c r="G257">
        <f t="shared" si="80"/>
        <v>0</v>
      </c>
      <c r="H257">
        <f t="shared" si="81"/>
        <v>0</v>
      </c>
      <c r="I257">
        <f t="shared" si="96"/>
        <v>1</v>
      </c>
      <c r="J257">
        <f t="shared" si="82"/>
        <v>0</v>
      </c>
      <c r="K257">
        <f t="shared" si="83"/>
        <v>5</v>
      </c>
      <c r="L257" s="179">
        <f>'Aztec Metered Load'!C261</f>
        <v>4.0869999999999997</v>
      </c>
    </row>
    <row r="258" spans="1:12" x14ac:dyDescent="0.3">
      <c r="A258" s="19">
        <f t="shared" si="87"/>
        <v>45758</v>
      </c>
      <c r="B258">
        <f t="shared" si="88"/>
        <v>16</v>
      </c>
      <c r="C258" s="16">
        <f>IFERROR(MATCH(A259,NERCHolidays!$B$2:$B$121,0),0)</f>
        <v>0</v>
      </c>
      <c r="D258">
        <f t="shared" si="85"/>
        <v>1</v>
      </c>
      <c r="E258" t="str">
        <f t="shared" si="78"/>
        <v>PK</v>
      </c>
      <c r="F258">
        <f t="shared" si="79"/>
        <v>5</v>
      </c>
      <c r="G258">
        <f t="shared" si="80"/>
        <v>0</v>
      </c>
      <c r="H258">
        <f t="shared" si="81"/>
        <v>0</v>
      </c>
      <c r="I258">
        <f t="shared" si="96"/>
        <v>1</v>
      </c>
      <c r="J258">
        <f t="shared" si="82"/>
        <v>0</v>
      </c>
      <c r="K258">
        <f t="shared" si="83"/>
        <v>5</v>
      </c>
      <c r="L258" s="179">
        <f>'Aztec Metered Load'!C262</f>
        <v>4.1710000000000003</v>
      </c>
    </row>
    <row r="259" spans="1:12" x14ac:dyDescent="0.3">
      <c r="A259" s="19">
        <f t="shared" si="87"/>
        <v>45758</v>
      </c>
      <c r="B259">
        <f t="shared" si="88"/>
        <v>17</v>
      </c>
      <c r="C259" s="16">
        <f>IFERROR(MATCH(A260,NERCHolidays!$B$2:$B$121,0),0)</f>
        <v>0</v>
      </c>
      <c r="D259">
        <f t="shared" si="85"/>
        <v>1</v>
      </c>
      <c r="E259" t="str">
        <f t="shared" ref="E259:E322" si="99">IF(OR(WEEKDAY(A259)=1,C259&lt;&gt;0),"OP",IF(D259=0,"OP","PK"))</f>
        <v>PK</v>
      </c>
      <c r="F259">
        <f t="shared" ref="F259:F322" si="100">VLOOKUP(A259,$O$3:$AN$34,B259+2,FALSE)</f>
        <v>5</v>
      </c>
      <c r="G259">
        <f t="shared" ref="G259:G322" si="101">VLOOKUP(A259,$O$107:$AM$138,B259+1,FALSE)</f>
        <v>0</v>
      </c>
      <c r="H259">
        <f t="shared" ref="H259:H322" si="102">VLOOKUP(A259,$O$142:$AM$173,B259+1,FALSE)</f>
        <v>0</v>
      </c>
      <c r="I259">
        <f t="shared" si="96"/>
        <v>1</v>
      </c>
      <c r="J259">
        <f t="shared" si="82"/>
        <v>0</v>
      </c>
      <c r="K259">
        <f t="shared" ref="K259:K322" si="103">VLOOKUP(A259,$O$175:$AM$206,B259+1,FALSE)</f>
        <v>5</v>
      </c>
      <c r="L259" s="179">
        <f>'Aztec Metered Load'!C263</f>
        <v>4.3920000000000003</v>
      </c>
    </row>
    <row r="260" spans="1:12" x14ac:dyDescent="0.3">
      <c r="A260" s="19">
        <f t="shared" si="87"/>
        <v>45758</v>
      </c>
      <c r="B260">
        <f t="shared" si="88"/>
        <v>18</v>
      </c>
      <c r="C260" s="16">
        <f>IFERROR(MATCH(A261,NERCHolidays!$B$2:$B$121,0),0)</f>
        <v>0</v>
      </c>
      <c r="D260">
        <f t="shared" ref="D260:D323" si="104">IF(AND(B260&gt;=8,B260&lt;=23),1,0)</f>
        <v>1</v>
      </c>
      <c r="E260" t="str">
        <f t="shared" si="99"/>
        <v>PK</v>
      </c>
      <c r="F260">
        <f t="shared" si="100"/>
        <v>5</v>
      </c>
      <c r="G260">
        <f t="shared" si="101"/>
        <v>0</v>
      </c>
      <c r="H260">
        <f t="shared" si="102"/>
        <v>0</v>
      </c>
      <c r="I260">
        <f t="shared" ref="I260:I323" si="105">VLOOKUP(A260,$O$40:$AN$70,B260+2,FALSE)</f>
        <v>1</v>
      </c>
      <c r="J260">
        <f t="shared" ref="J260:J323" si="106">VLOOKUP(A260,$O$73:$AN$104,B260+2,FALSE)</f>
        <v>0</v>
      </c>
      <c r="K260">
        <f t="shared" si="103"/>
        <v>5</v>
      </c>
      <c r="L260" s="179">
        <f>'Aztec Metered Load'!C264</f>
        <v>4.4960000000000004</v>
      </c>
    </row>
    <row r="261" spans="1:12" x14ac:dyDescent="0.3">
      <c r="A261" s="19">
        <f t="shared" ref="A261:A324" si="107">IF(B260=24,A260+1,A260)</f>
        <v>45758</v>
      </c>
      <c r="B261">
        <f t="shared" ref="B261:B324" si="108">IF(B260=24,1,B260+1)</f>
        <v>19</v>
      </c>
      <c r="C261" s="16">
        <f>IFERROR(MATCH(A262,NERCHolidays!$B$2:$B$121,0),0)</f>
        <v>0</v>
      </c>
      <c r="D261">
        <f t="shared" si="104"/>
        <v>1</v>
      </c>
      <c r="E261" t="str">
        <f t="shared" si="99"/>
        <v>PK</v>
      </c>
      <c r="F261">
        <f t="shared" si="100"/>
        <v>5</v>
      </c>
      <c r="G261">
        <f t="shared" si="101"/>
        <v>1</v>
      </c>
      <c r="H261">
        <f t="shared" si="102"/>
        <v>0</v>
      </c>
      <c r="I261">
        <f t="shared" si="105"/>
        <v>1</v>
      </c>
      <c r="J261">
        <f t="shared" si="106"/>
        <v>0</v>
      </c>
      <c r="K261">
        <f t="shared" si="103"/>
        <v>6</v>
      </c>
      <c r="L261" s="179">
        <f>'Aztec Metered Load'!C265</f>
        <v>4.4859999999999998</v>
      </c>
    </row>
    <row r="262" spans="1:12" x14ac:dyDescent="0.3">
      <c r="A262" s="19">
        <f t="shared" si="107"/>
        <v>45758</v>
      </c>
      <c r="B262">
        <f t="shared" si="108"/>
        <v>20</v>
      </c>
      <c r="C262" s="16">
        <f>IFERROR(MATCH(A263,NERCHolidays!$B$2:$B$121,0),0)</f>
        <v>0</v>
      </c>
      <c r="D262">
        <f t="shared" si="104"/>
        <v>1</v>
      </c>
      <c r="E262" t="str">
        <f t="shared" si="99"/>
        <v>PK</v>
      </c>
      <c r="F262">
        <f t="shared" si="100"/>
        <v>5</v>
      </c>
      <c r="G262">
        <f t="shared" si="101"/>
        <v>1</v>
      </c>
      <c r="H262">
        <f t="shared" si="102"/>
        <v>0</v>
      </c>
      <c r="I262">
        <f t="shared" si="105"/>
        <v>1</v>
      </c>
      <c r="J262">
        <f t="shared" si="106"/>
        <v>0</v>
      </c>
      <c r="K262">
        <f t="shared" si="103"/>
        <v>6</v>
      </c>
      <c r="L262" s="179">
        <f>'Aztec Metered Load'!C266</f>
        <v>4.3840000000000003</v>
      </c>
    </row>
    <row r="263" spans="1:12" x14ac:dyDescent="0.3">
      <c r="A263" s="19">
        <f t="shared" si="107"/>
        <v>45758</v>
      </c>
      <c r="B263">
        <f t="shared" si="108"/>
        <v>21</v>
      </c>
      <c r="C263" s="16">
        <f>IFERROR(MATCH(A264,NERCHolidays!$B$2:$B$121,0),0)</f>
        <v>0</v>
      </c>
      <c r="D263">
        <f t="shared" si="104"/>
        <v>1</v>
      </c>
      <c r="E263" t="str">
        <f t="shared" si="99"/>
        <v>PK</v>
      </c>
      <c r="F263">
        <f t="shared" si="100"/>
        <v>5</v>
      </c>
      <c r="G263">
        <f t="shared" si="101"/>
        <v>1</v>
      </c>
      <c r="H263">
        <f t="shared" si="102"/>
        <v>0</v>
      </c>
      <c r="I263">
        <f t="shared" si="105"/>
        <v>1</v>
      </c>
      <c r="J263">
        <f t="shared" si="106"/>
        <v>0</v>
      </c>
      <c r="K263">
        <f t="shared" si="103"/>
        <v>6</v>
      </c>
      <c r="L263" s="179">
        <f>'Aztec Metered Load'!C267</f>
        <v>4.1379999999999999</v>
      </c>
    </row>
    <row r="264" spans="1:12" x14ac:dyDescent="0.3">
      <c r="A264" s="19">
        <f t="shared" si="107"/>
        <v>45758</v>
      </c>
      <c r="B264">
        <f t="shared" si="108"/>
        <v>22</v>
      </c>
      <c r="C264" s="16">
        <f>IFERROR(MATCH(A265,NERCHolidays!$B$2:$B$121,0),0)</f>
        <v>0</v>
      </c>
      <c r="D264">
        <f t="shared" si="104"/>
        <v>1</v>
      </c>
      <c r="E264" t="str">
        <f t="shared" si="99"/>
        <v>PK</v>
      </c>
      <c r="F264">
        <f t="shared" si="100"/>
        <v>5</v>
      </c>
      <c r="G264">
        <f t="shared" si="101"/>
        <v>1</v>
      </c>
      <c r="H264">
        <f t="shared" si="102"/>
        <v>0</v>
      </c>
      <c r="I264">
        <f t="shared" si="105"/>
        <v>1</v>
      </c>
      <c r="J264">
        <f t="shared" si="106"/>
        <v>0</v>
      </c>
      <c r="K264">
        <f t="shared" si="103"/>
        <v>6</v>
      </c>
      <c r="L264" s="179">
        <f>'Aztec Metered Load'!C268</f>
        <v>3.8279999999999998</v>
      </c>
    </row>
    <row r="265" spans="1:12" x14ac:dyDescent="0.3">
      <c r="A265" s="19">
        <f t="shared" si="107"/>
        <v>45758</v>
      </c>
      <c r="B265">
        <f t="shared" si="108"/>
        <v>23</v>
      </c>
      <c r="C265" s="16">
        <f>IFERROR(MATCH(A266,NERCHolidays!$B$2:$B$121,0),0)</f>
        <v>0</v>
      </c>
      <c r="D265">
        <f t="shared" si="104"/>
        <v>1</v>
      </c>
      <c r="E265" t="str">
        <f t="shared" si="99"/>
        <v>PK</v>
      </c>
      <c r="F265">
        <f t="shared" si="100"/>
        <v>5</v>
      </c>
      <c r="G265">
        <f t="shared" si="101"/>
        <v>1</v>
      </c>
      <c r="H265">
        <f t="shared" si="102"/>
        <v>0</v>
      </c>
      <c r="I265">
        <f t="shared" si="105"/>
        <v>1</v>
      </c>
      <c r="J265">
        <f t="shared" si="106"/>
        <v>0</v>
      </c>
      <c r="K265">
        <f t="shared" si="103"/>
        <v>6</v>
      </c>
      <c r="L265" s="179">
        <f>'Aztec Metered Load'!C269</f>
        <v>3.5139999999999998</v>
      </c>
    </row>
    <row r="266" spans="1:12" x14ac:dyDescent="0.3">
      <c r="A266" s="19">
        <f t="shared" si="107"/>
        <v>45758</v>
      </c>
      <c r="B266">
        <f t="shared" si="108"/>
        <v>24</v>
      </c>
      <c r="C266" s="16">
        <f>IFERROR(MATCH(A267,NERCHolidays!$B$2:$B$121,0),0)</f>
        <v>0</v>
      </c>
      <c r="D266">
        <f t="shared" si="104"/>
        <v>0</v>
      </c>
      <c r="E266" t="str">
        <f t="shared" si="99"/>
        <v>OP</v>
      </c>
      <c r="F266">
        <f t="shared" si="100"/>
        <v>5</v>
      </c>
      <c r="G266">
        <f t="shared" si="101"/>
        <v>0</v>
      </c>
      <c r="H266">
        <f t="shared" si="102"/>
        <v>0</v>
      </c>
      <c r="I266">
        <f t="shared" si="105"/>
        <v>1</v>
      </c>
      <c r="J266">
        <f t="shared" si="106"/>
        <v>0</v>
      </c>
      <c r="K266">
        <f t="shared" si="103"/>
        <v>5</v>
      </c>
      <c r="L266" s="179">
        <f>'Aztec Metered Load'!C270</f>
        <v>3.2450000000000001</v>
      </c>
    </row>
    <row r="267" spans="1:12" x14ac:dyDescent="0.3">
      <c r="A267" s="19">
        <f t="shared" si="107"/>
        <v>45759</v>
      </c>
      <c r="B267">
        <f t="shared" si="108"/>
        <v>1</v>
      </c>
      <c r="C267" s="16">
        <f>IFERROR(MATCH(A268,NERCHolidays!$B$2:$B$121,0),0)</f>
        <v>0</v>
      </c>
      <c r="D267">
        <f t="shared" si="104"/>
        <v>0</v>
      </c>
      <c r="E267" t="str">
        <f t="shared" si="99"/>
        <v>OP</v>
      </c>
      <c r="F267">
        <f t="shared" si="100"/>
        <v>5</v>
      </c>
      <c r="G267">
        <f t="shared" si="101"/>
        <v>1</v>
      </c>
      <c r="H267">
        <f t="shared" si="102"/>
        <v>0</v>
      </c>
      <c r="I267">
        <f t="shared" si="105"/>
        <v>1</v>
      </c>
      <c r="J267">
        <f t="shared" si="106"/>
        <v>0</v>
      </c>
      <c r="K267">
        <f t="shared" si="103"/>
        <v>6</v>
      </c>
      <c r="L267" s="179">
        <f>'Aztec Metered Load'!C271</f>
        <v>3.117</v>
      </c>
    </row>
    <row r="268" spans="1:12" x14ac:dyDescent="0.3">
      <c r="A268" s="19">
        <f t="shared" si="107"/>
        <v>45759</v>
      </c>
      <c r="B268">
        <f t="shared" si="108"/>
        <v>2</v>
      </c>
      <c r="C268" s="16">
        <f>IFERROR(MATCH(A269,NERCHolidays!$B$2:$B$121,0),0)</f>
        <v>0</v>
      </c>
      <c r="D268">
        <f t="shared" si="104"/>
        <v>0</v>
      </c>
      <c r="E268" t="str">
        <f t="shared" si="99"/>
        <v>OP</v>
      </c>
      <c r="F268">
        <f t="shared" si="100"/>
        <v>5</v>
      </c>
      <c r="G268">
        <f t="shared" si="101"/>
        <v>1</v>
      </c>
      <c r="H268">
        <f t="shared" si="102"/>
        <v>0</v>
      </c>
      <c r="I268">
        <f t="shared" si="105"/>
        <v>1</v>
      </c>
      <c r="J268">
        <f t="shared" si="106"/>
        <v>0</v>
      </c>
      <c r="K268">
        <f t="shared" si="103"/>
        <v>6</v>
      </c>
      <c r="L268" s="179">
        <f>'Aztec Metered Load'!C272</f>
        <v>3.0640000000000001</v>
      </c>
    </row>
    <row r="269" spans="1:12" x14ac:dyDescent="0.3">
      <c r="A269" s="19">
        <f t="shared" si="107"/>
        <v>45759</v>
      </c>
      <c r="B269">
        <f t="shared" si="108"/>
        <v>3</v>
      </c>
      <c r="C269" s="16">
        <f>IFERROR(MATCH(A270,NERCHolidays!$B$2:$B$121,0),0)</f>
        <v>0</v>
      </c>
      <c r="D269">
        <f t="shared" si="104"/>
        <v>0</v>
      </c>
      <c r="E269" t="str">
        <f t="shared" si="99"/>
        <v>OP</v>
      </c>
      <c r="F269">
        <f t="shared" si="100"/>
        <v>5</v>
      </c>
      <c r="G269">
        <f t="shared" si="101"/>
        <v>1</v>
      </c>
      <c r="H269">
        <f t="shared" si="102"/>
        <v>0</v>
      </c>
      <c r="I269">
        <f t="shared" si="105"/>
        <v>2</v>
      </c>
      <c r="J269">
        <f t="shared" si="106"/>
        <v>0</v>
      </c>
      <c r="K269">
        <f t="shared" si="103"/>
        <v>6</v>
      </c>
      <c r="L269" s="179">
        <f>'Aztec Metered Load'!C273</f>
        <v>3.093</v>
      </c>
    </row>
    <row r="270" spans="1:12" x14ac:dyDescent="0.3">
      <c r="A270" s="19">
        <f t="shared" si="107"/>
        <v>45759</v>
      </c>
      <c r="B270">
        <f t="shared" si="108"/>
        <v>4</v>
      </c>
      <c r="C270" s="16">
        <f>IFERROR(MATCH(A271,NERCHolidays!$B$2:$B$121,0),0)</f>
        <v>0</v>
      </c>
      <c r="D270">
        <f t="shared" si="104"/>
        <v>0</v>
      </c>
      <c r="E270" t="str">
        <f t="shared" si="99"/>
        <v>OP</v>
      </c>
      <c r="F270">
        <f t="shared" si="100"/>
        <v>5</v>
      </c>
      <c r="G270">
        <f t="shared" si="101"/>
        <v>1</v>
      </c>
      <c r="H270">
        <f t="shared" si="102"/>
        <v>0</v>
      </c>
      <c r="I270">
        <f t="shared" si="105"/>
        <v>2</v>
      </c>
      <c r="J270">
        <f t="shared" si="106"/>
        <v>0</v>
      </c>
      <c r="K270">
        <f t="shared" si="103"/>
        <v>6</v>
      </c>
      <c r="L270" s="179">
        <f>'Aztec Metered Load'!C274</f>
        <v>3.1720000000000002</v>
      </c>
    </row>
    <row r="271" spans="1:12" x14ac:dyDescent="0.3">
      <c r="A271" s="19">
        <f t="shared" si="107"/>
        <v>45759</v>
      </c>
      <c r="B271">
        <f t="shared" si="108"/>
        <v>5</v>
      </c>
      <c r="C271" s="16">
        <f>IFERROR(MATCH(A272,NERCHolidays!$B$2:$B$121,0),0)</f>
        <v>0</v>
      </c>
      <c r="D271">
        <f t="shared" si="104"/>
        <v>0</v>
      </c>
      <c r="E271" t="str">
        <f t="shared" si="99"/>
        <v>OP</v>
      </c>
      <c r="F271">
        <f t="shared" si="100"/>
        <v>5</v>
      </c>
      <c r="G271">
        <f t="shared" si="101"/>
        <v>1</v>
      </c>
      <c r="H271">
        <f t="shared" si="102"/>
        <v>0</v>
      </c>
      <c r="I271">
        <f t="shared" si="105"/>
        <v>2</v>
      </c>
      <c r="J271">
        <f t="shared" si="106"/>
        <v>0</v>
      </c>
      <c r="K271">
        <f t="shared" si="103"/>
        <v>6</v>
      </c>
      <c r="L271" s="179">
        <f>'Aztec Metered Load'!C275</f>
        <v>3.33</v>
      </c>
    </row>
    <row r="272" spans="1:12" x14ac:dyDescent="0.3">
      <c r="A272" s="19">
        <f t="shared" si="107"/>
        <v>45759</v>
      </c>
      <c r="B272">
        <f t="shared" si="108"/>
        <v>6</v>
      </c>
      <c r="C272" s="16">
        <f>IFERROR(MATCH(A273,NERCHolidays!$B$2:$B$121,0),0)</f>
        <v>0</v>
      </c>
      <c r="D272">
        <f t="shared" si="104"/>
        <v>0</v>
      </c>
      <c r="E272" t="str">
        <f t="shared" si="99"/>
        <v>OP</v>
      </c>
      <c r="F272">
        <f t="shared" si="100"/>
        <v>5</v>
      </c>
      <c r="G272">
        <f t="shared" si="101"/>
        <v>1</v>
      </c>
      <c r="H272">
        <f t="shared" si="102"/>
        <v>0</v>
      </c>
      <c r="I272">
        <f t="shared" si="105"/>
        <v>1</v>
      </c>
      <c r="J272">
        <f t="shared" si="106"/>
        <v>0</v>
      </c>
      <c r="K272">
        <f t="shared" si="103"/>
        <v>6</v>
      </c>
      <c r="L272" s="179">
        <f>'Aztec Metered Load'!C276</f>
        <v>3.5489999999999999</v>
      </c>
    </row>
    <row r="273" spans="1:12" x14ac:dyDescent="0.3">
      <c r="A273" s="19">
        <f t="shared" si="107"/>
        <v>45759</v>
      </c>
      <c r="B273">
        <f t="shared" si="108"/>
        <v>7</v>
      </c>
      <c r="C273" s="16">
        <f>IFERROR(MATCH(A274,NERCHolidays!$B$2:$B$121,0),0)</f>
        <v>0</v>
      </c>
      <c r="D273">
        <f t="shared" si="104"/>
        <v>0</v>
      </c>
      <c r="E273" t="str">
        <f t="shared" si="99"/>
        <v>OP</v>
      </c>
      <c r="F273">
        <f t="shared" si="100"/>
        <v>5</v>
      </c>
      <c r="G273">
        <f t="shared" si="101"/>
        <v>1</v>
      </c>
      <c r="H273">
        <f t="shared" si="102"/>
        <v>0</v>
      </c>
      <c r="I273">
        <f t="shared" si="105"/>
        <v>1</v>
      </c>
      <c r="J273">
        <f t="shared" si="106"/>
        <v>0</v>
      </c>
      <c r="K273">
        <f t="shared" si="103"/>
        <v>6</v>
      </c>
      <c r="L273" s="179">
        <f>'Aztec Metered Load'!C277</f>
        <v>3.64</v>
      </c>
    </row>
    <row r="274" spans="1:12" x14ac:dyDescent="0.3">
      <c r="A274" s="19">
        <f t="shared" si="107"/>
        <v>45759</v>
      </c>
      <c r="B274">
        <f t="shared" si="108"/>
        <v>8</v>
      </c>
      <c r="C274" s="16">
        <f>IFERROR(MATCH(A275,NERCHolidays!$B$2:$B$121,0),0)</f>
        <v>0</v>
      </c>
      <c r="D274">
        <f t="shared" si="104"/>
        <v>1</v>
      </c>
      <c r="E274" t="str">
        <f t="shared" si="99"/>
        <v>PK</v>
      </c>
      <c r="F274">
        <f t="shared" si="100"/>
        <v>5</v>
      </c>
      <c r="G274">
        <f t="shared" si="101"/>
        <v>1</v>
      </c>
      <c r="H274">
        <f t="shared" si="102"/>
        <v>0</v>
      </c>
      <c r="I274">
        <f t="shared" si="105"/>
        <v>1</v>
      </c>
      <c r="J274">
        <f t="shared" si="106"/>
        <v>0</v>
      </c>
      <c r="K274">
        <f t="shared" si="103"/>
        <v>6</v>
      </c>
      <c r="L274" s="179">
        <f>'Aztec Metered Load'!C278</f>
        <v>3.532</v>
      </c>
    </row>
    <row r="275" spans="1:12" x14ac:dyDescent="0.3">
      <c r="A275" s="19">
        <f t="shared" si="107"/>
        <v>45759</v>
      </c>
      <c r="B275">
        <f t="shared" si="108"/>
        <v>9</v>
      </c>
      <c r="C275" s="16">
        <f>IFERROR(MATCH(A276,NERCHolidays!$B$2:$B$121,0),0)</f>
        <v>0</v>
      </c>
      <c r="D275">
        <f t="shared" si="104"/>
        <v>1</v>
      </c>
      <c r="E275" t="str">
        <f t="shared" si="99"/>
        <v>PK</v>
      </c>
      <c r="F275">
        <f t="shared" si="100"/>
        <v>5</v>
      </c>
      <c r="G275">
        <f t="shared" si="101"/>
        <v>1</v>
      </c>
      <c r="H275">
        <f t="shared" si="102"/>
        <v>0</v>
      </c>
      <c r="I275">
        <f t="shared" si="105"/>
        <v>1</v>
      </c>
      <c r="J275">
        <f t="shared" si="106"/>
        <v>0</v>
      </c>
      <c r="K275">
        <f t="shared" si="103"/>
        <v>6</v>
      </c>
      <c r="L275" s="179">
        <f>'Aztec Metered Load'!C279</f>
        <v>3.4340000000000002</v>
      </c>
    </row>
    <row r="276" spans="1:12" x14ac:dyDescent="0.3">
      <c r="A276" s="19">
        <f t="shared" si="107"/>
        <v>45759</v>
      </c>
      <c r="B276">
        <f t="shared" si="108"/>
        <v>10</v>
      </c>
      <c r="C276" s="16">
        <f>IFERROR(MATCH(A277,NERCHolidays!$B$2:$B$121,0),0)</f>
        <v>0</v>
      </c>
      <c r="D276">
        <f t="shared" si="104"/>
        <v>1</v>
      </c>
      <c r="E276" t="str">
        <f t="shared" si="99"/>
        <v>PK</v>
      </c>
      <c r="F276">
        <f t="shared" si="100"/>
        <v>5</v>
      </c>
      <c r="G276">
        <f t="shared" si="101"/>
        <v>0</v>
      </c>
      <c r="H276">
        <f t="shared" si="102"/>
        <v>0</v>
      </c>
      <c r="I276">
        <f t="shared" si="105"/>
        <v>1</v>
      </c>
      <c r="J276">
        <f t="shared" si="106"/>
        <v>0</v>
      </c>
      <c r="K276">
        <f t="shared" si="103"/>
        <v>5</v>
      </c>
      <c r="L276" s="179">
        <f>'Aztec Metered Load'!C280</f>
        <v>3.41</v>
      </c>
    </row>
    <row r="277" spans="1:12" x14ac:dyDescent="0.3">
      <c r="A277" s="19">
        <f t="shared" si="107"/>
        <v>45759</v>
      </c>
      <c r="B277">
        <f t="shared" si="108"/>
        <v>11</v>
      </c>
      <c r="C277" s="16">
        <f>IFERROR(MATCH(A278,NERCHolidays!$B$2:$B$121,0),0)</f>
        <v>0</v>
      </c>
      <c r="D277">
        <f t="shared" si="104"/>
        <v>1</v>
      </c>
      <c r="E277" t="str">
        <f t="shared" si="99"/>
        <v>PK</v>
      </c>
      <c r="F277">
        <f t="shared" si="100"/>
        <v>5</v>
      </c>
      <c r="G277">
        <f t="shared" si="101"/>
        <v>0</v>
      </c>
      <c r="H277">
        <f t="shared" si="102"/>
        <v>0</v>
      </c>
      <c r="I277">
        <f t="shared" si="105"/>
        <v>1</v>
      </c>
      <c r="J277">
        <f t="shared" si="106"/>
        <v>0</v>
      </c>
      <c r="K277">
        <f t="shared" si="103"/>
        <v>5</v>
      </c>
      <c r="L277" s="179">
        <f>'Aztec Metered Load'!C281</f>
        <v>3.2919999999999998</v>
      </c>
    </row>
    <row r="278" spans="1:12" x14ac:dyDescent="0.3">
      <c r="A278" s="19">
        <f t="shared" si="107"/>
        <v>45759</v>
      </c>
      <c r="B278">
        <f t="shared" si="108"/>
        <v>12</v>
      </c>
      <c r="C278" s="16">
        <f>IFERROR(MATCH(A279,NERCHolidays!$B$2:$B$121,0),0)</f>
        <v>0</v>
      </c>
      <c r="D278">
        <f t="shared" si="104"/>
        <v>1</v>
      </c>
      <c r="E278" t="str">
        <f t="shared" si="99"/>
        <v>PK</v>
      </c>
      <c r="F278">
        <f t="shared" si="100"/>
        <v>5</v>
      </c>
      <c r="G278">
        <f t="shared" si="101"/>
        <v>0</v>
      </c>
      <c r="H278">
        <f t="shared" si="102"/>
        <v>0</v>
      </c>
      <c r="I278">
        <f t="shared" si="105"/>
        <v>1</v>
      </c>
      <c r="J278">
        <f t="shared" si="106"/>
        <v>0</v>
      </c>
      <c r="K278">
        <f t="shared" si="103"/>
        <v>5</v>
      </c>
      <c r="L278" s="179">
        <f>'Aztec Metered Load'!C282</f>
        <v>3.4420000000000002</v>
      </c>
    </row>
    <row r="279" spans="1:12" x14ac:dyDescent="0.3">
      <c r="A279" s="19">
        <f t="shared" si="107"/>
        <v>45759</v>
      </c>
      <c r="B279">
        <f t="shared" si="108"/>
        <v>13</v>
      </c>
      <c r="C279" s="16">
        <f>IFERROR(MATCH(A280,NERCHolidays!$B$2:$B$121,0),0)</f>
        <v>0</v>
      </c>
      <c r="D279">
        <f t="shared" si="104"/>
        <v>1</v>
      </c>
      <c r="E279" t="str">
        <f t="shared" si="99"/>
        <v>PK</v>
      </c>
      <c r="F279">
        <f t="shared" si="100"/>
        <v>5</v>
      </c>
      <c r="G279">
        <f t="shared" si="101"/>
        <v>0</v>
      </c>
      <c r="H279">
        <f t="shared" si="102"/>
        <v>0</v>
      </c>
      <c r="I279">
        <f t="shared" si="105"/>
        <v>1</v>
      </c>
      <c r="J279">
        <f t="shared" si="106"/>
        <v>0</v>
      </c>
      <c r="K279">
        <f t="shared" si="103"/>
        <v>5</v>
      </c>
      <c r="L279" s="179">
        <f>'Aztec Metered Load'!C283</f>
        <v>3.5529999999999999</v>
      </c>
    </row>
    <row r="280" spans="1:12" x14ac:dyDescent="0.3">
      <c r="A280" s="19">
        <f t="shared" si="107"/>
        <v>45759</v>
      </c>
      <c r="B280">
        <f t="shared" si="108"/>
        <v>14</v>
      </c>
      <c r="C280" s="16">
        <f>IFERROR(MATCH(A281,NERCHolidays!$B$2:$B$121,0),0)</f>
        <v>0</v>
      </c>
      <c r="D280">
        <f t="shared" si="104"/>
        <v>1</v>
      </c>
      <c r="E280" t="str">
        <f t="shared" si="99"/>
        <v>PK</v>
      </c>
      <c r="F280">
        <f t="shared" si="100"/>
        <v>5</v>
      </c>
      <c r="G280">
        <f t="shared" si="101"/>
        <v>0</v>
      </c>
      <c r="H280">
        <f t="shared" si="102"/>
        <v>0</v>
      </c>
      <c r="I280">
        <f t="shared" si="105"/>
        <v>1</v>
      </c>
      <c r="J280">
        <f t="shared" si="106"/>
        <v>0</v>
      </c>
      <c r="K280">
        <f t="shared" si="103"/>
        <v>5</v>
      </c>
      <c r="L280" s="179">
        <f>'Aztec Metered Load'!C284</f>
        <v>3.6909999999999998</v>
      </c>
    </row>
    <row r="281" spans="1:12" x14ac:dyDescent="0.3">
      <c r="A281" s="19">
        <f t="shared" si="107"/>
        <v>45759</v>
      </c>
      <c r="B281">
        <f t="shared" si="108"/>
        <v>15</v>
      </c>
      <c r="C281" s="16">
        <f>IFERROR(MATCH(A282,NERCHolidays!$B$2:$B$121,0),0)</f>
        <v>0</v>
      </c>
      <c r="D281">
        <f t="shared" si="104"/>
        <v>1</v>
      </c>
      <c r="E281" t="str">
        <f t="shared" si="99"/>
        <v>PK</v>
      </c>
      <c r="F281">
        <f t="shared" si="100"/>
        <v>5</v>
      </c>
      <c r="G281">
        <f t="shared" si="101"/>
        <v>0</v>
      </c>
      <c r="H281">
        <f t="shared" si="102"/>
        <v>0</v>
      </c>
      <c r="I281">
        <f t="shared" si="105"/>
        <v>1</v>
      </c>
      <c r="J281">
        <f t="shared" si="106"/>
        <v>0</v>
      </c>
      <c r="K281">
        <f t="shared" si="103"/>
        <v>5</v>
      </c>
      <c r="L281" s="179">
        <f>'Aztec Metered Load'!C285</f>
        <v>4.0529999999999999</v>
      </c>
    </row>
    <row r="282" spans="1:12" x14ac:dyDescent="0.3">
      <c r="A282" s="19">
        <f t="shared" si="107"/>
        <v>45759</v>
      </c>
      <c r="B282">
        <f t="shared" si="108"/>
        <v>16</v>
      </c>
      <c r="C282" s="16">
        <f>IFERROR(MATCH(A283,NERCHolidays!$B$2:$B$121,0),0)</f>
        <v>0</v>
      </c>
      <c r="D282">
        <f t="shared" si="104"/>
        <v>1</v>
      </c>
      <c r="E282" t="str">
        <f t="shared" si="99"/>
        <v>PK</v>
      </c>
      <c r="F282">
        <f t="shared" si="100"/>
        <v>5</v>
      </c>
      <c r="G282">
        <f t="shared" si="101"/>
        <v>0</v>
      </c>
      <c r="H282">
        <f t="shared" si="102"/>
        <v>0</v>
      </c>
      <c r="I282">
        <f t="shared" si="105"/>
        <v>1</v>
      </c>
      <c r="J282">
        <f t="shared" si="106"/>
        <v>0</v>
      </c>
      <c r="K282">
        <f t="shared" si="103"/>
        <v>5</v>
      </c>
      <c r="L282" s="179">
        <f>'Aztec Metered Load'!C286</f>
        <v>4.2</v>
      </c>
    </row>
    <row r="283" spans="1:12" x14ac:dyDescent="0.3">
      <c r="A283" s="19">
        <f t="shared" si="107"/>
        <v>45759</v>
      </c>
      <c r="B283">
        <f t="shared" si="108"/>
        <v>17</v>
      </c>
      <c r="C283" s="16">
        <f>IFERROR(MATCH(A284,NERCHolidays!$B$2:$B$121,0),0)</f>
        <v>0</v>
      </c>
      <c r="D283">
        <f t="shared" si="104"/>
        <v>1</v>
      </c>
      <c r="E283" t="str">
        <f t="shared" si="99"/>
        <v>PK</v>
      </c>
      <c r="F283">
        <f t="shared" si="100"/>
        <v>5</v>
      </c>
      <c r="G283">
        <f t="shared" si="101"/>
        <v>0</v>
      </c>
      <c r="H283">
        <f t="shared" si="102"/>
        <v>0</v>
      </c>
      <c r="I283">
        <f t="shared" si="105"/>
        <v>1</v>
      </c>
      <c r="J283">
        <f t="shared" si="106"/>
        <v>0</v>
      </c>
      <c r="K283">
        <f t="shared" si="103"/>
        <v>5</v>
      </c>
      <c r="L283" s="179">
        <f>'Aztec Metered Load'!C287</f>
        <v>4.0709999999999997</v>
      </c>
    </row>
    <row r="284" spans="1:12" x14ac:dyDescent="0.3">
      <c r="A284" s="19">
        <f t="shared" si="107"/>
        <v>45759</v>
      </c>
      <c r="B284">
        <f t="shared" si="108"/>
        <v>18</v>
      </c>
      <c r="C284" s="16">
        <f>IFERROR(MATCH(A285,NERCHolidays!$B$2:$B$121,0),0)</f>
        <v>0</v>
      </c>
      <c r="D284">
        <f t="shared" si="104"/>
        <v>1</v>
      </c>
      <c r="E284" t="str">
        <f t="shared" si="99"/>
        <v>PK</v>
      </c>
      <c r="F284">
        <f t="shared" si="100"/>
        <v>5</v>
      </c>
      <c r="G284">
        <f t="shared" si="101"/>
        <v>0</v>
      </c>
      <c r="H284">
        <f t="shared" si="102"/>
        <v>0</v>
      </c>
      <c r="I284">
        <f t="shared" si="105"/>
        <v>1</v>
      </c>
      <c r="J284">
        <f t="shared" si="106"/>
        <v>0</v>
      </c>
      <c r="K284">
        <f t="shared" si="103"/>
        <v>5</v>
      </c>
      <c r="L284" s="179">
        <f>'Aztec Metered Load'!C288</f>
        <v>4.1180000000000003</v>
      </c>
    </row>
    <row r="285" spans="1:12" x14ac:dyDescent="0.3">
      <c r="A285" s="19">
        <f t="shared" si="107"/>
        <v>45759</v>
      </c>
      <c r="B285">
        <f t="shared" si="108"/>
        <v>19</v>
      </c>
      <c r="C285" s="16">
        <f>IFERROR(MATCH(A286,NERCHolidays!$B$2:$B$121,0),0)</f>
        <v>0</v>
      </c>
      <c r="D285">
        <f t="shared" si="104"/>
        <v>1</v>
      </c>
      <c r="E285" t="str">
        <f t="shared" si="99"/>
        <v>PK</v>
      </c>
      <c r="F285">
        <f t="shared" si="100"/>
        <v>5</v>
      </c>
      <c r="G285">
        <f t="shared" si="101"/>
        <v>1</v>
      </c>
      <c r="H285">
        <f t="shared" si="102"/>
        <v>0</v>
      </c>
      <c r="I285">
        <f t="shared" si="105"/>
        <v>1</v>
      </c>
      <c r="J285">
        <f t="shared" si="106"/>
        <v>0</v>
      </c>
      <c r="K285">
        <f t="shared" si="103"/>
        <v>6</v>
      </c>
      <c r="L285" s="179">
        <f>'Aztec Metered Load'!C289</f>
        <v>4.266</v>
      </c>
    </row>
    <row r="286" spans="1:12" x14ac:dyDescent="0.3">
      <c r="A286" s="19">
        <f t="shared" si="107"/>
        <v>45759</v>
      </c>
      <c r="B286">
        <f t="shared" si="108"/>
        <v>20</v>
      </c>
      <c r="C286" s="16">
        <f>IFERROR(MATCH(A287,NERCHolidays!$B$2:$B$121,0),0)</f>
        <v>0</v>
      </c>
      <c r="D286">
        <f t="shared" si="104"/>
        <v>1</v>
      </c>
      <c r="E286" t="str">
        <f t="shared" si="99"/>
        <v>PK</v>
      </c>
      <c r="F286">
        <f t="shared" si="100"/>
        <v>5</v>
      </c>
      <c r="G286">
        <f t="shared" si="101"/>
        <v>1</v>
      </c>
      <c r="H286">
        <f t="shared" si="102"/>
        <v>0</v>
      </c>
      <c r="I286">
        <f t="shared" si="105"/>
        <v>1</v>
      </c>
      <c r="J286">
        <f t="shared" si="106"/>
        <v>0</v>
      </c>
      <c r="K286">
        <f t="shared" si="103"/>
        <v>6</v>
      </c>
      <c r="L286" s="179">
        <f>'Aztec Metered Load'!C290</f>
        <v>4.2480000000000002</v>
      </c>
    </row>
    <row r="287" spans="1:12" x14ac:dyDescent="0.3">
      <c r="A287" s="19">
        <f t="shared" si="107"/>
        <v>45759</v>
      </c>
      <c r="B287">
        <f t="shared" si="108"/>
        <v>21</v>
      </c>
      <c r="C287" s="16">
        <f>IFERROR(MATCH(A288,NERCHolidays!$B$2:$B$121,0),0)</f>
        <v>0</v>
      </c>
      <c r="D287">
        <f t="shared" si="104"/>
        <v>1</v>
      </c>
      <c r="E287" t="str">
        <f t="shared" si="99"/>
        <v>PK</v>
      </c>
      <c r="F287">
        <f t="shared" si="100"/>
        <v>5</v>
      </c>
      <c r="G287">
        <f t="shared" si="101"/>
        <v>1</v>
      </c>
      <c r="H287">
        <f t="shared" si="102"/>
        <v>0</v>
      </c>
      <c r="I287">
        <f t="shared" si="105"/>
        <v>1</v>
      </c>
      <c r="J287">
        <f t="shared" si="106"/>
        <v>0</v>
      </c>
      <c r="K287">
        <f t="shared" si="103"/>
        <v>6</v>
      </c>
      <c r="L287" s="179">
        <f>'Aztec Metered Load'!C291</f>
        <v>3.9870000000000001</v>
      </c>
    </row>
    <row r="288" spans="1:12" x14ac:dyDescent="0.3">
      <c r="A288" s="19">
        <f t="shared" si="107"/>
        <v>45759</v>
      </c>
      <c r="B288">
        <f t="shared" si="108"/>
        <v>22</v>
      </c>
      <c r="C288" s="16">
        <f>IFERROR(MATCH(A289,NERCHolidays!$B$2:$B$121,0),0)</f>
        <v>0</v>
      </c>
      <c r="D288">
        <f t="shared" si="104"/>
        <v>1</v>
      </c>
      <c r="E288" t="str">
        <f t="shared" si="99"/>
        <v>PK</v>
      </c>
      <c r="F288">
        <f t="shared" si="100"/>
        <v>5</v>
      </c>
      <c r="G288">
        <f t="shared" si="101"/>
        <v>1</v>
      </c>
      <c r="H288">
        <f t="shared" si="102"/>
        <v>0</v>
      </c>
      <c r="I288">
        <f t="shared" si="105"/>
        <v>1</v>
      </c>
      <c r="J288">
        <f t="shared" si="106"/>
        <v>0</v>
      </c>
      <c r="K288">
        <f t="shared" si="103"/>
        <v>6</v>
      </c>
      <c r="L288" s="179">
        <f>'Aztec Metered Load'!C292</f>
        <v>3.72</v>
      </c>
    </row>
    <row r="289" spans="1:12" x14ac:dyDescent="0.3">
      <c r="A289" s="19">
        <f t="shared" si="107"/>
        <v>45759</v>
      </c>
      <c r="B289">
        <f t="shared" si="108"/>
        <v>23</v>
      </c>
      <c r="C289" s="16">
        <f>IFERROR(MATCH(A290,NERCHolidays!$B$2:$B$121,0),0)</f>
        <v>0</v>
      </c>
      <c r="D289">
        <f t="shared" si="104"/>
        <v>1</v>
      </c>
      <c r="E289" t="str">
        <f t="shared" si="99"/>
        <v>PK</v>
      </c>
      <c r="F289">
        <f t="shared" si="100"/>
        <v>5</v>
      </c>
      <c r="G289">
        <f t="shared" si="101"/>
        <v>1</v>
      </c>
      <c r="H289">
        <f t="shared" si="102"/>
        <v>0</v>
      </c>
      <c r="I289">
        <f t="shared" si="105"/>
        <v>1</v>
      </c>
      <c r="J289">
        <f t="shared" si="106"/>
        <v>0</v>
      </c>
      <c r="K289">
        <f t="shared" si="103"/>
        <v>6</v>
      </c>
      <c r="L289" s="179">
        <f>'Aztec Metered Load'!C293</f>
        <v>3.4359999999999999</v>
      </c>
    </row>
    <row r="290" spans="1:12" x14ac:dyDescent="0.3">
      <c r="A290" s="19">
        <f t="shared" si="107"/>
        <v>45759</v>
      </c>
      <c r="B290">
        <f t="shared" si="108"/>
        <v>24</v>
      </c>
      <c r="C290" s="16">
        <f>IFERROR(MATCH(A291,NERCHolidays!$B$2:$B$121,0),0)</f>
        <v>0</v>
      </c>
      <c r="D290">
        <f t="shared" si="104"/>
        <v>0</v>
      </c>
      <c r="E290" t="str">
        <f t="shared" si="99"/>
        <v>OP</v>
      </c>
      <c r="F290">
        <f t="shared" si="100"/>
        <v>5</v>
      </c>
      <c r="G290">
        <f t="shared" si="101"/>
        <v>0</v>
      </c>
      <c r="H290">
        <f t="shared" si="102"/>
        <v>0</v>
      </c>
      <c r="I290">
        <f t="shared" si="105"/>
        <v>1</v>
      </c>
      <c r="J290">
        <f t="shared" si="106"/>
        <v>0</v>
      </c>
      <c r="K290">
        <f t="shared" si="103"/>
        <v>5</v>
      </c>
      <c r="L290" s="179">
        <f>'Aztec Metered Load'!C294</f>
        <v>3.2090000000000001</v>
      </c>
    </row>
    <row r="291" spans="1:12" x14ac:dyDescent="0.3">
      <c r="A291" s="19">
        <f t="shared" si="107"/>
        <v>45760</v>
      </c>
      <c r="B291">
        <f t="shared" si="108"/>
        <v>1</v>
      </c>
      <c r="C291" s="16">
        <f>IFERROR(MATCH(A292,NERCHolidays!$B$2:$B$121,0),0)</f>
        <v>0</v>
      </c>
      <c r="D291">
        <f t="shared" si="104"/>
        <v>0</v>
      </c>
      <c r="E291" t="str">
        <f t="shared" si="99"/>
        <v>OP</v>
      </c>
      <c r="F291">
        <f t="shared" si="100"/>
        <v>5</v>
      </c>
      <c r="G291">
        <f t="shared" si="101"/>
        <v>1</v>
      </c>
      <c r="H291">
        <f t="shared" si="102"/>
        <v>0</v>
      </c>
      <c r="I291">
        <f t="shared" si="105"/>
        <v>1</v>
      </c>
      <c r="J291">
        <f t="shared" si="106"/>
        <v>0</v>
      </c>
      <c r="K291">
        <f t="shared" si="103"/>
        <v>6</v>
      </c>
      <c r="L291" s="179">
        <f>'Aztec Metered Load'!C295</f>
        <v>3.1360000000000001</v>
      </c>
    </row>
    <row r="292" spans="1:12" x14ac:dyDescent="0.3">
      <c r="A292" s="19">
        <f t="shared" si="107"/>
        <v>45760</v>
      </c>
      <c r="B292">
        <f t="shared" si="108"/>
        <v>2</v>
      </c>
      <c r="C292" s="16">
        <f>IFERROR(MATCH(A293,NERCHolidays!$B$2:$B$121,0),0)</f>
        <v>0</v>
      </c>
      <c r="D292">
        <f t="shared" si="104"/>
        <v>0</v>
      </c>
      <c r="E292" t="str">
        <f t="shared" si="99"/>
        <v>OP</v>
      </c>
      <c r="F292">
        <f t="shared" si="100"/>
        <v>5</v>
      </c>
      <c r="G292">
        <f t="shared" si="101"/>
        <v>1</v>
      </c>
      <c r="H292">
        <f t="shared" si="102"/>
        <v>0</v>
      </c>
      <c r="I292">
        <f t="shared" si="105"/>
        <v>1</v>
      </c>
      <c r="J292">
        <f t="shared" si="106"/>
        <v>0</v>
      </c>
      <c r="K292">
        <f t="shared" si="103"/>
        <v>6</v>
      </c>
      <c r="L292" s="179">
        <f>'Aztec Metered Load'!C296</f>
        <v>3.0640000000000001</v>
      </c>
    </row>
    <row r="293" spans="1:12" x14ac:dyDescent="0.3">
      <c r="A293" s="19">
        <f t="shared" si="107"/>
        <v>45760</v>
      </c>
      <c r="B293">
        <f t="shared" si="108"/>
        <v>3</v>
      </c>
      <c r="C293" s="16">
        <f>IFERROR(MATCH(A294,NERCHolidays!$B$2:$B$121,0),0)</f>
        <v>0</v>
      </c>
      <c r="D293">
        <f t="shared" si="104"/>
        <v>0</v>
      </c>
      <c r="E293" t="str">
        <f t="shared" si="99"/>
        <v>OP</v>
      </c>
      <c r="F293">
        <f t="shared" si="100"/>
        <v>5</v>
      </c>
      <c r="G293">
        <f t="shared" si="101"/>
        <v>1</v>
      </c>
      <c r="H293">
        <f t="shared" si="102"/>
        <v>0</v>
      </c>
      <c r="I293">
        <f t="shared" si="105"/>
        <v>2</v>
      </c>
      <c r="J293">
        <f t="shared" si="106"/>
        <v>0</v>
      </c>
      <c r="K293">
        <f t="shared" si="103"/>
        <v>6</v>
      </c>
      <c r="L293" s="179">
        <f>'Aztec Metered Load'!C297</f>
        <v>3.008</v>
      </c>
    </row>
    <row r="294" spans="1:12" x14ac:dyDescent="0.3">
      <c r="A294" s="19">
        <f t="shared" si="107"/>
        <v>45760</v>
      </c>
      <c r="B294">
        <f t="shared" si="108"/>
        <v>4</v>
      </c>
      <c r="C294" s="16">
        <f>IFERROR(MATCH(A295,NERCHolidays!$B$2:$B$121,0),0)</f>
        <v>0</v>
      </c>
      <c r="D294">
        <f t="shared" si="104"/>
        <v>0</v>
      </c>
      <c r="E294" t="str">
        <f t="shared" si="99"/>
        <v>OP</v>
      </c>
      <c r="F294">
        <f t="shared" si="100"/>
        <v>5</v>
      </c>
      <c r="G294">
        <f t="shared" si="101"/>
        <v>1</v>
      </c>
      <c r="H294">
        <f t="shared" si="102"/>
        <v>0</v>
      </c>
      <c r="I294">
        <f t="shared" si="105"/>
        <v>2</v>
      </c>
      <c r="J294">
        <f t="shared" si="106"/>
        <v>0</v>
      </c>
      <c r="K294">
        <f t="shared" si="103"/>
        <v>6</v>
      </c>
      <c r="L294" s="179">
        <f>'Aztec Metered Load'!C298</f>
        <v>3.0430000000000001</v>
      </c>
    </row>
    <row r="295" spans="1:12" x14ac:dyDescent="0.3">
      <c r="A295" s="19">
        <f t="shared" si="107"/>
        <v>45760</v>
      </c>
      <c r="B295">
        <f t="shared" si="108"/>
        <v>5</v>
      </c>
      <c r="C295" s="16">
        <f>IFERROR(MATCH(A296,NERCHolidays!$B$2:$B$121,0),0)</f>
        <v>0</v>
      </c>
      <c r="D295">
        <f t="shared" si="104"/>
        <v>0</v>
      </c>
      <c r="E295" t="str">
        <f t="shared" si="99"/>
        <v>OP</v>
      </c>
      <c r="F295">
        <f t="shared" si="100"/>
        <v>5</v>
      </c>
      <c r="G295">
        <f t="shared" si="101"/>
        <v>1</v>
      </c>
      <c r="H295">
        <f t="shared" si="102"/>
        <v>0</v>
      </c>
      <c r="I295">
        <f t="shared" si="105"/>
        <v>2</v>
      </c>
      <c r="J295">
        <f t="shared" si="106"/>
        <v>0</v>
      </c>
      <c r="K295">
        <f t="shared" si="103"/>
        <v>6</v>
      </c>
      <c r="L295" s="179">
        <f>'Aztec Metered Load'!C299</f>
        <v>3.2069999999999999</v>
      </c>
    </row>
    <row r="296" spans="1:12" x14ac:dyDescent="0.3">
      <c r="A296" s="19">
        <f t="shared" si="107"/>
        <v>45760</v>
      </c>
      <c r="B296">
        <f t="shared" si="108"/>
        <v>6</v>
      </c>
      <c r="C296" s="16">
        <f>IFERROR(MATCH(A297,NERCHolidays!$B$2:$B$121,0),0)</f>
        <v>0</v>
      </c>
      <c r="D296">
        <f t="shared" si="104"/>
        <v>0</v>
      </c>
      <c r="E296" t="str">
        <f t="shared" si="99"/>
        <v>OP</v>
      </c>
      <c r="F296">
        <f t="shared" si="100"/>
        <v>5</v>
      </c>
      <c r="G296">
        <f t="shared" si="101"/>
        <v>1</v>
      </c>
      <c r="H296">
        <f t="shared" si="102"/>
        <v>0</v>
      </c>
      <c r="I296">
        <f t="shared" si="105"/>
        <v>1</v>
      </c>
      <c r="J296">
        <f t="shared" si="106"/>
        <v>0</v>
      </c>
      <c r="K296">
        <f t="shared" si="103"/>
        <v>6</v>
      </c>
      <c r="L296" s="179">
        <f>'Aztec Metered Load'!C300</f>
        <v>3.4380000000000002</v>
      </c>
    </row>
    <row r="297" spans="1:12" x14ac:dyDescent="0.3">
      <c r="A297" s="19">
        <f t="shared" si="107"/>
        <v>45760</v>
      </c>
      <c r="B297">
        <f t="shared" si="108"/>
        <v>7</v>
      </c>
      <c r="C297" s="16">
        <f>IFERROR(MATCH(A298,NERCHolidays!$B$2:$B$121,0),0)</f>
        <v>0</v>
      </c>
      <c r="D297">
        <f t="shared" si="104"/>
        <v>0</v>
      </c>
      <c r="E297" t="str">
        <f t="shared" si="99"/>
        <v>OP</v>
      </c>
      <c r="F297">
        <f t="shared" si="100"/>
        <v>5</v>
      </c>
      <c r="G297">
        <f t="shared" si="101"/>
        <v>1</v>
      </c>
      <c r="H297">
        <f t="shared" si="102"/>
        <v>0</v>
      </c>
      <c r="I297">
        <f t="shared" si="105"/>
        <v>1</v>
      </c>
      <c r="J297">
        <f t="shared" si="106"/>
        <v>0</v>
      </c>
      <c r="K297">
        <f t="shared" si="103"/>
        <v>6</v>
      </c>
      <c r="L297" s="179">
        <f>'Aztec Metered Load'!C301</f>
        <v>3.5259999999999998</v>
      </c>
    </row>
    <row r="298" spans="1:12" x14ac:dyDescent="0.3">
      <c r="A298" s="19">
        <f t="shared" si="107"/>
        <v>45760</v>
      </c>
      <c r="B298">
        <f t="shared" si="108"/>
        <v>8</v>
      </c>
      <c r="C298" s="16">
        <f>IFERROR(MATCH(A299,NERCHolidays!$B$2:$B$121,0),0)</f>
        <v>0</v>
      </c>
      <c r="D298">
        <f t="shared" si="104"/>
        <v>1</v>
      </c>
      <c r="E298" t="str">
        <f t="shared" si="99"/>
        <v>OP</v>
      </c>
      <c r="F298">
        <f t="shared" si="100"/>
        <v>5</v>
      </c>
      <c r="G298">
        <f t="shared" si="101"/>
        <v>1</v>
      </c>
      <c r="H298">
        <f t="shared" si="102"/>
        <v>0</v>
      </c>
      <c r="I298">
        <f t="shared" si="105"/>
        <v>1</v>
      </c>
      <c r="J298">
        <f t="shared" si="106"/>
        <v>0</v>
      </c>
      <c r="K298">
        <f t="shared" si="103"/>
        <v>6</v>
      </c>
      <c r="L298" s="179">
        <f>'Aztec Metered Load'!C302</f>
        <v>3.3540000000000001</v>
      </c>
    </row>
    <row r="299" spans="1:12" x14ac:dyDescent="0.3">
      <c r="A299" s="19">
        <f t="shared" si="107"/>
        <v>45760</v>
      </c>
      <c r="B299">
        <f t="shared" si="108"/>
        <v>9</v>
      </c>
      <c r="C299" s="16">
        <f>IFERROR(MATCH(A300,NERCHolidays!$B$2:$B$121,0),0)</f>
        <v>0</v>
      </c>
      <c r="D299">
        <f t="shared" si="104"/>
        <v>1</v>
      </c>
      <c r="E299" t="str">
        <f t="shared" si="99"/>
        <v>OP</v>
      </c>
      <c r="F299">
        <f t="shared" si="100"/>
        <v>5</v>
      </c>
      <c r="G299">
        <f t="shared" si="101"/>
        <v>1</v>
      </c>
      <c r="H299">
        <f t="shared" si="102"/>
        <v>0</v>
      </c>
      <c r="I299">
        <f t="shared" si="105"/>
        <v>1</v>
      </c>
      <c r="J299">
        <f t="shared" si="106"/>
        <v>0</v>
      </c>
      <c r="K299">
        <f t="shared" si="103"/>
        <v>6</v>
      </c>
      <c r="L299" s="179">
        <f>'Aztec Metered Load'!C303</f>
        <v>3.3439999999999999</v>
      </c>
    </row>
    <row r="300" spans="1:12" x14ac:dyDescent="0.3">
      <c r="A300" s="19">
        <f t="shared" si="107"/>
        <v>45760</v>
      </c>
      <c r="B300">
        <f t="shared" si="108"/>
        <v>10</v>
      </c>
      <c r="C300" s="16">
        <f>IFERROR(MATCH(A301,NERCHolidays!$B$2:$B$121,0),0)</f>
        <v>0</v>
      </c>
      <c r="D300">
        <f t="shared" si="104"/>
        <v>1</v>
      </c>
      <c r="E300" t="str">
        <f t="shared" si="99"/>
        <v>OP</v>
      </c>
      <c r="F300">
        <f t="shared" si="100"/>
        <v>5</v>
      </c>
      <c r="G300">
        <f t="shared" si="101"/>
        <v>0</v>
      </c>
      <c r="H300">
        <f t="shared" si="102"/>
        <v>0</v>
      </c>
      <c r="I300">
        <f t="shared" si="105"/>
        <v>1</v>
      </c>
      <c r="J300">
        <f t="shared" si="106"/>
        <v>0</v>
      </c>
      <c r="K300">
        <f t="shared" si="103"/>
        <v>5</v>
      </c>
      <c r="L300" s="179">
        <f>'Aztec Metered Load'!C304</f>
        <v>3.3740000000000001</v>
      </c>
    </row>
    <row r="301" spans="1:12" x14ac:dyDescent="0.3">
      <c r="A301" s="19">
        <f t="shared" si="107"/>
        <v>45760</v>
      </c>
      <c r="B301">
        <f t="shared" si="108"/>
        <v>11</v>
      </c>
      <c r="C301" s="16">
        <f>IFERROR(MATCH(A302,NERCHolidays!$B$2:$B$121,0),0)</f>
        <v>0</v>
      </c>
      <c r="D301">
        <f t="shared" si="104"/>
        <v>1</v>
      </c>
      <c r="E301" t="str">
        <f t="shared" si="99"/>
        <v>OP</v>
      </c>
      <c r="F301">
        <f t="shared" si="100"/>
        <v>5</v>
      </c>
      <c r="G301">
        <f t="shared" si="101"/>
        <v>0</v>
      </c>
      <c r="H301">
        <f t="shared" si="102"/>
        <v>0</v>
      </c>
      <c r="I301">
        <f t="shared" si="105"/>
        <v>1</v>
      </c>
      <c r="J301">
        <f t="shared" si="106"/>
        <v>0</v>
      </c>
      <c r="K301">
        <f t="shared" si="103"/>
        <v>5</v>
      </c>
      <c r="L301" s="179">
        <f>'Aztec Metered Load'!C305</f>
        <v>3.3</v>
      </c>
    </row>
    <row r="302" spans="1:12" x14ac:dyDescent="0.3">
      <c r="A302" s="19">
        <f t="shared" si="107"/>
        <v>45760</v>
      </c>
      <c r="B302">
        <f t="shared" si="108"/>
        <v>12</v>
      </c>
      <c r="C302" s="16">
        <f>IFERROR(MATCH(A303,NERCHolidays!$B$2:$B$121,0),0)</f>
        <v>0</v>
      </c>
      <c r="D302">
        <f t="shared" si="104"/>
        <v>1</v>
      </c>
      <c r="E302" t="str">
        <f t="shared" si="99"/>
        <v>OP</v>
      </c>
      <c r="F302">
        <f t="shared" si="100"/>
        <v>5</v>
      </c>
      <c r="G302">
        <f t="shared" si="101"/>
        <v>0</v>
      </c>
      <c r="H302">
        <f t="shared" si="102"/>
        <v>0</v>
      </c>
      <c r="I302">
        <f t="shared" si="105"/>
        <v>1</v>
      </c>
      <c r="J302">
        <f t="shared" si="106"/>
        <v>0</v>
      </c>
      <c r="K302">
        <f t="shared" si="103"/>
        <v>5</v>
      </c>
      <c r="L302" s="179">
        <f>'Aztec Metered Load'!C306</f>
        <v>3.3769999999999998</v>
      </c>
    </row>
    <row r="303" spans="1:12" x14ac:dyDescent="0.3">
      <c r="A303" s="19">
        <f t="shared" si="107"/>
        <v>45760</v>
      </c>
      <c r="B303">
        <f t="shared" si="108"/>
        <v>13</v>
      </c>
      <c r="C303" s="16">
        <f>IFERROR(MATCH(A304,NERCHolidays!$B$2:$B$121,0),0)</f>
        <v>0</v>
      </c>
      <c r="D303">
        <f t="shared" si="104"/>
        <v>1</v>
      </c>
      <c r="E303" t="str">
        <f t="shared" si="99"/>
        <v>OP</v>
      </c>
      <c r="F303">
        <f t="shared" si="100"/>
        <v>5</v>
      </c>
      <c r="G303">
        <f t="shared" si="101"/>
        <v>0</v>
      </c>
      <c r="H303">
        <f t="shared" si="102"/>
        <v>0</v>
      </c>
      <c r="I303">
        <f t="shared" si="105"/>
        <v>1</v>
      </c>
      <c r="J303">
        <f t="shared" si="106"/>
        <v>0</v>
      </c>
      <c r="K303">
        <f t="shared" si="103"/>
        <v>5</v>
      </c>
      <c r="L303" s="179">
        <f>'Aztec Metered Load'!C307</f>
        <v>3.5750000000000002</v>
      </c>
    </row>
    <row r="304" spans="1:12" x14ac:dyDescent="0.3">
      <c r="A304" s="19">
        <f t="shared" si="107"/>
        <v>45760</v>
      </c>
      <c r="B304">
        <f t="shared" si="108"/>
        <v>14</v>
      </c>
      <c r="C304" s="16">
        <f>IFERROR(MATCH(A305,NERCHolidays!$B$2:$B$121,0),0)</f>
        <v>0</v>
      </c>
      <c r="D304">
        <f t="shared" si="104"/>
        <v>1</v>
      </c>
      <c r="E304" t="str">
        <f t="shared" si="99"/>
        <v>OP</v>
      </c>
      <c r="F304">
        <f t="shared" si="100"/>
        <v>5</v>
      </c>
      <c r="G304">
        <f t="shared" si="101"/>
        <v>0</v>
      </c>
      <c r="H304">
        <f t="shared" si="102"/>
        <v>0</v>
      </c>
      <c r="I304">
        <f t="shared" si="105"/>
        <v>1</v>
      </c>
      <c r="J304">
        <f t="shared" si="106"/>
        <v>0</v>
      </c>
      <c r="K304">
        <f t="shared" si="103"/>
        <v>5</v>
      </c>
      <c r="L304" s="179">
        <f>'Aztec Metered Load'!C308</f>
        <v>3.8010000000000002</v>
      </c>
    </row>
    <row r="305" spans="1:12" x14ac:dyDescent="0.3">
      <c r="A305" s="19">
        <f t="shared" si="107"/>
        <v>45760</v>
      </c>
      <c r="B305">
        <f t="shared" si="108"/>
        <v>15</v>
      </c>
      <c r="C305" s="16">
        <f>IFERROR(MATCH(A306,NERCHolidays!$B$2:$B$121,0),0)</f>
        <v>0</v>
      </c>
      <c r="D305">
        <f t="shared" si="104"/>
        <v>1</v>
      </c>
      <c r="E305" t="str">
        <f t="shared" si="99"/>
        <v>OP</v>
      </c>
      <c r="F305">
        <f t="shared" si="100"/>
        <v>5</v>
      </c>
      <c r="G305">
        <f t="shared" si="101"/>
        <v>0</v>
      </c>
      <c r="H305">
        <f t="shared" si="102"/>
        <v>0</v>
      </c>
      <c r="I305">
        <f t="shared" si="105"/>
        <v>1</v>
      </c>
      <c r="J305">
        <f t="shared" si="106"/>
        <v>0</v>
      </c>
      <c r="K305">
        <f t="shared" si="103"/>
        <v>5</v>
      </c>
      <c r="L305" s="179">
        <f>'Aztec Metered Load'!C309</f>
        <v>3.8250000000000002</v>
      </c>
    </row>
    <row r="306" spans="1:12" x14ac:dyDescent="0.3">
      <c r="A306" s="19">
        <f t="shared" si="107"/>
        <v>45760</v>
      </c>
      <c r="B306">
        <f t="shared" si="108"/>
        <v>16</v>
      </c>
      <c r="C306" s="16">
        <f>IFERROR(MATCH(A307,NERCHolidays!$B$2:$B$121,0),0)</f>
        <v>0</v>
      </c>
      <c r="D306">
        <f t="shared" si="104"/>
        <v>1</v>
      </c>
      <c r="E306" t="str">
        <f t="shared" si="99"/>
        <v>OP</v>
      </c>
      <c r="F306">
        <f t="shared" si="100"/>
        <v>5</v>
      </c>
      <c r="G306">
        <f t="shared" si="101"/>
        <v>0</v>
      </c>
      <c r="H306">
        <f t="shared" si="102"/>
        <v>0</v>
      </c>
      <c r="I306">
        <f t="shared" si="105"/>
        <v>1</v>
      </c>
      <c r="J306">
        <f t="shared" si="106"/>
        <v>0</v>
      </c>
      <c r="K306">
        <f t="shared" si="103"/>
        <v>5</v>
      </c>
      <c r="L306" s="179">
        <f>'Aztec Metered Load'!C310</f>
        <v>3.7189999999999999</v>
      </c>
    </row>
    <row r="307" spans="1:12" x14ac:dyDescent="0.3">
      <c r="A307" s="19">
        <f t="shared" si="107"/>
        <v>45760</v>
      </c>
      <c r="B307">
        <f t="shared" si="108"/>
        <v>17</v>
      </c>
      <c r="C307" s="16">
        <f>IFERROR(MATCH(A308,NERCHolidays!$B$2:$B$121,0),0)</f>
        <v>0</v>
      </c>
      <c r="D307">
        <f t="shared" si="104"/>
        <v>1</v>
      </c>
      <c r="E307" t="str">
        <f t="shared" si="99"/>
        <v>OP</v>
      </c>
      <c r="F307">
        <f t="shared" si="100"/>
        <v>5</v>
      </c>
      <c r="G307">
        <f t="shared" si="101"/>
        <v>0</v>
      </c>
      <c r="H307">
        <f t="shared" si="102"/>
        <v>0</v>
      </c>
      <c r="I307">
        <f t="shared" si="105"/>
        <v>1</v>
      </c>
      <c r="J307">
        <f t="shared" si="106"/>
        <v>0</v>
      </c>
      <c r="K307">
        <f t="shared" si="103"/>
        <v>5</v>
      </c>
      <c r="L307" s="179">
        <f>'Aztec Metered Load'!C311</f>
        <v>3.8580000000000001</v>
      </c>
    </row>
    <row r="308" spans="1:12" x14ac:dyDescent="0.3">
      <c r="A308" s="19">
        <f t="shared" si="107"/>
        <v>45760</v>
      </c>
      <c r="B308">
        <f t="shared" si="108"/>
        <v>18</v>
      </c>
      <c r="C308" s="16">
        <f>IFERROR(MATCH(A309,NERCHolidays!$B$2:$B$121,0),0)</f>
        <v>0</v>
      </c>
      <c r="D308">
        <f t="shared" si="104"/>
        <v>1</v>
      </c>
      <c r="E308" t="str">
        <f t="shared" si="99"/>
        <v>OP</v>
      </c>
      <c r="F308">
        <f t="shared" si="100"/>
        <v>5</v>
      </c>
      <c r="G308">
        <f t="shared" si="101"/>
        <v>0</v>
      </c>
      <c r="H308">
        <f t="shared" si="102"/>
        <v>0</v>
      </c>
      <c r="I308">
        <f t="shared" si="105"/>
        <v>1</v>
      </c>
      <c r="J308">
        <f t="shared" si="106"/>
        <v>0</v>
      </c>
      <c r="K308">
        <f t="shared" si="103"/>
        <v>5</v>
      </c>
      <c r="L308" s="179">
        <f>'Aztec Metered Load'!C312</f>
        <v>4.16</v>
      </c>
    </row>
    <row r="309" spans="1:12" x14ac:dyDescent="0.3">
      <c r="A309" s="19">
        <f t="shared" si="107"/>
        <v>45760</v>
      </c>
      <c r="B309">
        <f t="shared" si="108"/>
        <v>19</v>
      </c>
      <c r="C309" s="16">
        <f>IFERROR(MATCH(A310,NERCHolidays!$B$2:$B$121,0),0)</f>
        <v>0</v>
      </c>
      <c r="D309">
        <f t="shared" si="104"/>
        <v>1</v>
      </c>
      <c r="E309" t="str">
        <f t="shared" si="99"/>
        <v>OP</v>
      </c>
      <c r="F309">
        <f t="shared" si="100"/>
        <v>5</v>
      </c>
      <c r="G309">
        <f t="shared" si="101"/>
        <v>1</v>
      </c>
      <c r="H309">
        <f t="shared" si="102"/>
        <v>0</v>
      </c>
      <c r="I309">
        <f t="shared" si="105"/>
        <v>1</v>
      </c>
      <c r="J309">
        <f t="shared" si="106"/>
        <v>0</v>
      </c>
      <c r="K309">
        <f t="shared" si="103"/>
        <v>6</v>
      </c>
      <c r="L309" s="179">
        <f>'Aztec Metered Load'!C313</f>
        <v>4.2300000000000004</v>
      </c>
    </row>
    <row r="310" spans="1:12" x14ac:dyDescent="0.3">
      <c r="A310" s="19">
        <f t="shared" si="107"/>
        <v>45760</v>
      </c>
      <c r="B310">
        <f t="shared" si="108"/>
        <v>20</v>
      </c>
      <c r="C310" s="16">
        <f>IFERROR(MATCH(A311,NERCHolidays!$B$2:$B$121,0),0)</f>
        <v>0</v>
      </c>
      <c r="D310">
        <f t="shared" si="104"/>
        <v>1</v>
      </c>
      <c r="E310" t="str">
        <f t="shared" si="99"/>
        <v>OP</v>
      </c>
      <c r="F310">
        <f t="shared" si="100"/>
        <v>5</v>
      </c>
      <c r="G310">
        <f t="shared" si="101"/>
        <v>1</v>
      </c>
      <c r="H310">
        <f t="shared" si="102"/>
        <v>0</v>
      </c>
      <c r="I310">
        <f t="shared" si="105"/>
        <v>1</v>
      </c>
      <c r="J310">
        <f t="shared" si="106"/>
        <v>0</v>
      </c>
      <c r="K310">
        <f t="shared" si="103"/>
        <v>6</v>
      </c>
      <c r="L310" s="179">
        <f>'Aztec Metered Load'!C314</f>
        <v>4.3319999999999999</v>
      </c>
    </row>
    <row r="311" spans="1:12" x14ac:dyDescent="0.3">
      <c r="A311" s="19">
        <f t="shared" si="107"/>
        <v>45760</v>
      </c>
      <c r="B311">
        <f t="shared" si="108"/>
        <v>21</v>
      </c>
      <c r="C311" s="16">
        <f>IFERROR(MATCH(A312,NERCHolidays!$B$2:$B$121,0),0)</f>
        <v>0</v>
      </c>
      <c r="D311">
        <f t="shared" si="104"/>
        <v>1</v>
      </c>
      <c r="E311" t="str">
        <f t="shared" si="99"/>
        <v>OP</v>
      </c>
      <c r="F311">
        <f t="shared" si="100"/>
        <v>5</v>
      </c>
      <c r="G311">
        <f t="shared" si="101"/>
        <v>1</v>
      </c>
      <c r="H311">
        <f t="shared" si="102"/>
        <v>0</v>
      </c>
      <c r="I311">
        <f t="shared" si="105"/>
        <v>1</v>
      </c>
      <c r="J311">
        <f t="shared" si="106"/>
        <v>0</v>
      </c>
      <c r="K311">
        <f t="shared" si="103"/>
        <v>6</v>
      </c>
      <c r="L311" s="179">
        <f>'Aztec Metered Load'!C315</f>
        <v>4.0919999999999996</v>
      </c>
    </row>
    <row r="312" spans="1:12" x14ac:dyDescent="0.3">
      <c r="A312" s="19">
        <f t="shared" si="107"/>
        <v>45760</v>
      </c>
      <c r="B312">
        <f t="shared" si="108"/>
        <v>22</v>
      </c>
      <c r="C312" s="16">
        <f>IFERROR(MATCH(A313,NERCHolidays!$B$2:$B$121,0),0)</f>
        <v>0</v>
      </c>
      <c r="D312">
        <f t="shared" si="104"/>
        <v>1</v>
      </c>
      <c r="E312" t="str">
        <f t="shared" si="99"/>
        <v>OP</v>
      </c>
      <c r="F312">
        <f t="shared" si="100"/>
        <v>5</v>
      </c>
      <c r="G312">
        <f t="shared" si="101"/>
        <v>1</v>
      </c>
      <c r="H312">
        <f t="shared" si="102"/>
        <v>0</v>
      </c>
      <c r="I312">
        <f t="shared" si="105"/>
        <v>1</v>
      </c>
      <c r="J312">
        <f t="shared" si="106"/>
        <v>0</v>
      </c>
      <c r="K312">
        <f t="shared" si="103"/>
        <v>6</v>
      </c>
      <c r="L312" s="179">
        <f>'Aztec Metered Load'!C316</f>
        <v>3.694</v>
      </c>
    </row>
    <row r="313" spans="1:12" x14ac:dyDescent="0.3">
      <c r="A313" s="19">
        <f t="shared" si="107"/>
        <v>45760</v>
      </c>
      <c r="B313">
        <f t="shared" si="108"/>
        <v>23</v>
      </c>
      <c r="C313" s="16">
        <f>IFERROR(MATCH(A314,NERCHolidays!$B$2:$B$121,0),0)</f>
        <v>0</v>
      </c>
      <c r="D313">
        <f t="shared" si="104"/>
        <v>1</v>
      </c>
      <c r="E313" t="str">
        <f t="shared" si="99"/>
        <v>OP</v>
      </c>
      <c r="F313">
        <f t="shared" si="100"/>
        <v>5</v>
      </c>
      <c r="G313">
        <f t="shared" si="101"/>
        <v>1</v>
      </c>
      <c r="H313">
        <f t="shared" si="102"/>
        <v>0</v>
      </c>
      <c r="I313">
        <f t="shared" si="105"/>
        <v>1</v>
      </c>
      <c r="J313">
        <f t="shared" si="106"/>
        <v>0</v>
      </c>
      <c r="K313">
        <f t="shared" si="103"/>
        <v>6</v>
      </c>
      <c r="L313" s="179">
        <f>'Aztec Metered Load'!C317</f>
        <v>3.2989999999999999</v>
      </c>
    </row>
    <row r="314" spans="1:12" x14ac:dyDescent="0.3">
      <c r="A314" s="19">
        <f t="shared" si="107"/>
        <v>45760</v>
      </c>
      <c r="B314">
        <f t="shared" si="108"/>
        <v>24</v>
      </c>
      <c r="C314" s="16">
        <f>IFERROR(MATCH(A315,NERCHolidays!$B$2:$B$121,0),0)</f>
        <v>0</v>
      </c>
      <c r="D314">
        <f t="shared" si="104"/>
        <v>0</v>
      </c>
      <c r="E314" t="str">
        <f t="shared" si="99"/>
        <v>OP</v>
      </c>
      <c r="F314">
        <f t="shared" si="100"/>
        <v>5</v>
      </c>
      <c r="G314">
        <f t="shared" si="101"/>
        <v>0</v>
      </c>
      <c r="H314">
        <f t="shared" si="102"/>
        <v>0</v>
      </c>
      <c r="I314">
        <f t="shared" si="105"/>
        <v>1</v>
      </c>
      <c r="J314">
        <f t="shared" si="106"/>
        <v>0</v>
      </c>
      <c r="K314">
        <f t="shared" si="103"/>
        <v>5</v>
      </c>
      <c r="L314" s="179">
        <f>'Aztec Metered Load'!C318</f>
        <v>3.1110000000000002</v>
      </c>
    </row>
    <row r="315" spans="1:12" x14ac:dyDescent="0.3">
      <c r="A315" s="19">
        <f t="shared" si="107"/>
        <v>45761</v>
      </c>
      <c r="B315">
        <f t="shared" si="108"/>
        <v>1</v>
      </c>
      <c r="C315" s="16">
        <f>IFERROR(MATCH(A316,NERCHolidays!$B$2:$B$121,0),0)</f>
        <v>0</v>
      </c>
      <c r="D315">
        <f t="shared" si="104"/>
        <v>0</v>
      </c>
      <c r="E315" t="str">
        <f t="shared" si="99"/>
        <v>OP</v>
      </c>
      <c r="F315">
        <f t="shared" si="100"/>
        <v>5</v>
      </c>
      <c r="G315">
        <f t="shared" si="101"/>
        <v>1</v>
      </c>
      <c r="H315">
        <f t="shared" si="102"/>
        <v>0</v>
      </c>
      <c r="I315">
        <f t="shared" si="105"/>
        <v>1</v>
      </c>
      <c r="J315">
        <f t="shared" si="106"/>
        <v>0</v>
      </c>
      <c r="K315">
        <f t="shared" si="103"/>
        <v>6</v>
      </c>
      <c r="L315" s="179">
        <f>'Aztec Metered Load'!C319</f>
        <v>3.048</v>
      </c>
    </row>
    <row r="316" spans="1:12" x14ac:dyDescent="0.3">
      <c r="A316" s="19">
        <f t="shared" si="107"/>
        <v>45761</v>
      </c>
      <c r="B316">
        <f t="shared" si="108"/>
        <v>2</v>
      </c>
      <c r="C316" s="16">
        <f>IFERROR(MATCH(A317,NERCHolidays!$B$2:$B$121,0),0)</f>
        <v>0</v>
      </c>
      <c r="D316">
        <f t="shared" si="104"/>
        <v>0</v>
      </c>
      <c r="E316" t="str">
        <f t="shared" si="99"/>
        <v>OP</v>
      </c>
      <c r="F316">
        <f t="shared" si="100"/>
        <v>5</v>
      </c>
      <c r="G316">
        <f t="shared" si="101"/>
        <v>1</v>
      </c>
      <c r="H316">
        <f t="shared" si="102"/>
        <v>0</v>
      </c>
      <c r="I316">
        <f t="shared" si="105"/>
        <v>1</v>
      </c>
      <c r="J316">
        <f t="shared" si="106"/>
        <v>0</v>
      </c>
      <c r="K316">
        <f t="shared" si="103"/>
        <v>6</v>
      </c>
      <c r="L316" s="179">
        <f>'Aztec Metered Load'!C320</f>
        <v>3.1080000000000001</v>
      </c>
    </row>
    <row r="317" spans="1:12" x14ac:dyDescent="0.3">
      <c r="A317" s="19">
        <f t="shared" si="107"/>
        <v>45761</v>
      </c>
      <c r="B317">
        <f t="shared" si="108"/>
        <v>3</v>
      </c>
      <c r="C317" s="16">
        <f>IFERROR(MATCH(A318,NERCHolidays!$B$2:$B$121,0),0)</f>
        <v>0</v>
      </c>
      <c r="D317">
        <f t="shared" si="104"/>
        <v>0</v>
      </c>
      <c r="E317" t="str">
        <f t="shared" si="99"/>
        <v>OP</v>
      </c>
      <c r="F317">
        <f t="shared" si="100"/>
        <v>5</v>
      </c>
      <c r="G317">
        <f t="shared" si="101"/>
        <v>1</v>
      </c>
      <c r="H317">
        <f t="shared" si="102"/>
        <v>0</v>
      </c>
      <c r="I317">
        <f t="shared" si="105"/>
        <v>2</v>
      </c>
      <c r="J317">
        <f t="shared" si="106"/>
        <v>0</v>
      </c>
      <c r="K317">
        <f t="shared" si="103"/>
        <v>6</v>
      </c>
      <c r="L317" s="179">
        <f>'Aztec Metered Load'!C321</f>
        <v>3.1019999999999999</v>
      </c>
    </row>
    <row r="318" spans="1:12" x14ac:dyDescent="0.3">
      <c r="A318" s="19">
        <f t="shared" si="107"/>
        <v>45761</v>
      </c>
      <c r="B318">
        <f t="shared" si="108"/>
        <v>4</v>
      </c>
      <c r="C318" s="16">
        <f>IFERROR(MATCH(A319,NERCHolidays!$B$2:$B$121,0),0)</f>
        <v>0</v>
      </c>
      <c r="D318">
        <f t="shared" si="104"/>
        <v>0</v>
      </c>
      <c r="E318" t="str">
        <f t="shared" si="99"/>
        <v>OP</v>
      </c>
      <c r="F318">
        <f t="shared" si="100"/>
        <v>5</v>
      </c>
      <c r="G318">
        <f t="shared" si="101"/>
        <v>1</v>
      </c>
      <c r="H318">
        <f t="shared" si="102"/>
        <v>0</v>
      </c>
      <c r="I318">
        <f t="shared" si="105"/>
        <v>2</v>
      </c>
      <c r="J318">
        <f t="shared" si="106"/>
        <v>0</v>
      </c>
      <c r="K318">
        <f t="shared" si="103"/>
        <v>6</v>
      </c>
      <c r="L318" s="179">
        <f>'Aztec Metered Load'!C322</f>
        <v>3.278</v>
      </c>
    </row>
    <row r="319" spans="1:12" x14ac:dyDescent="0.3">
      <c r="A319" s="19">
        <f t="shared" si="107"/>
        <v>45761</v>
      </c>
      <c r="B319">
        <f t="shared" si="108"/>
        <v>5</v>
      </c>
      <c r="C319" s="16">
        <f>IFERROR(MATCH(A320,NERCHolidays!$B$2:$B$121,0),0)</f>
        <v>0</v>
      </c>
      <c r="D319">
        <f t="shared" si="104"/>
        <v>0</v>
      </c>
      <c r="E319" t="str">
        <f t="shared" si="99"/>
        <v>OP</v>
      </c>
      <c r="F319">
        <f t="shared" si="100"/>
        <v>5</v>
      </c>
      <c r="G319">
        <f t="shared" si="101"/>
        <v>1</v>
      </c>
      <c r="H319">
        <f t="shared" si="102"/>
        <v>0</v>
      </c>
      <c r="I319">
        <f t="shared" si="105"/>
        <v>2</v>
      </c>
      <c r="J319">
        <f t="shared" si="106"/>
        <v>0</v>
      </c>
      <c r="K319">
        <f t="shared" si="103"/>
        <v>6</v>
      </c>
      <c r="L319" s="179">
        <f>'Aztec Metered Load'!C323</f>
        <v>3.6669999999999998</v>
      </c>
    </row>
    <row r="320" spans="1:12" x14ac:dyDescent="0.3">
      <c r="A320" s="19">
        <f t="shared" si="107"/>
        <v>45761</v>
      </c>
      <c r="B320">
        <f t="shared" si="108"/>
        <v>6</v>
      </c>
      <c r="C320" s="16">
        <f>IFERROR(MATCH(A321,NERCHolidays!$B$2:$B$121,0),0)</f>
        <v>0</v>
      </c>
      <c r="D320">
        <f t="shared" si="104"/>
        <v>0</v>
      </c>
      <c r="E320" t="str">
        <f t="shared" si="99"/>
        <v>OP</v>
      </c>
      <c r="F320">
        <f t="shared" si="100"/>
        <v>5</v>
      </c>
      <c r="G320">
        <f t="shared" si="101"/>
        <v>1</v>
      </c>
      <c r="H320">
        <f t="shared" si="102"/>
        <v>0</v>
      </c>
      <c r="I320">
        <f t="shared" si="105"/>
        <v>1</v>
      </c>
      <c r="J320">
        <f t="shared" si="106"/>
        <v>0</v>
      </c>
      <c r="K320">
        <f t="shared" si="103"/>
        <v>6</v>
      </c>
      <c r="L320" s="179">
        <f>'Aztec Metered Load'!C324</f>
        <v>4.2249999999999996</v>
      </c>
    </row>
    <row r="321" spans="1:12" x14ac:dyDescent="0.3">
      <c r="A321" s="19">
        <f t="shared" si="107"/>
        <v>45761</v>
      </c>
      <c r="B321">
        <f t="shared" si="108"/>
        <v>7</v>
      </c>
      <c r="C321" s="16">
        <f>IFERROR(MATCH(A322,NERCHolidays!$B$2:$B$121,0),0)</f>
        <v>0</v>
      </c>
      <c r="D321">
        <f t="shared" si="104"/>
        <v>0</v>
      </c>
      <c r="E321" t="str">
        <f t="shared" si="99"/>
        <v>OP</v>
      </c>
      <c r="F321">
        <f t="shared" si="100"/>
        <v>5</v>
      </c>
      <c r="G321">
        <f t="shared" si="101"/>
        <v>1</v>
      </c>
      <c r="H321">
        <f t="shared" si="102"/>
        <v>0</v>
      </c>
      <c r="I321">
        <f t="shared" si="105"/>
        <v>1</v>
      </c>
      <c r="J321">
        <f t="shared" si="106"/>
        <v>0</v>
      </c>
      <c r="K321">
        <f t="shared" si="103"/>
        <v>6</v>
      </c>
      <c r="L321" s="179">
        <f>'Aztec Metered Load'!C325</f>
        <v>4.3010000000000002</v>
      </c>
    </row>
    <row r="322" spans="1:12" x14ac:dyDescent="0.3">
      <c r="A322" s="19">
        <f t="shared" si="107"/>
        <v>45761</v>
      </c>
      <c r="B322">
        <f t="shared" si="108"/>
        <v>8</v>
      </c>
      <c r="C322" s="16">
        <f>IFERROR(MATCH(A323,NERCHolidays!$B$2:$B$121,0),0)</f>
        <v>0</v>
      </c>
      <c r="D322">
        <f t="shared" si="104"/>
        <v>1</v>
      </c>
      <c r="E322" t="str">
        <f t="shared" si="99"/>
        <v>PK</v>
      </c>
      <c r="F322">
        <f t="shared" si="100"/>
        <v>3</v>
      </c>
      <c r="G322">
        <f t="shared" si="101"/>
        <v>1</v>
      </c>
      <c r="H322">
        <f t="shared" si="102"/>
        <v>0</v>
      </c>
      <c r="I322">
        <f t="shared" si="105"/>
        <v>1</v>
      </c>
      <c r="J322">
        <f t="shared" si="106"/>
        <v>0</v>
      </c>
      <c r="K322">
        <f t="shared" si="103"/>
        <v>4</v>
      </c>
      <c r="L322" s="179">
        <f>'Aztec Metered Load'!C326</f>
        <v>4.2560000000000002</v>
      </c>
    </row>
    <row r="323" spans="1:12" x14ac:dyDescent="0.3">
      <c r="A323" s="19">
        <f t="shared" si="107"/>
        <v>45761</v>
      </c>
      <c r="B323">
        <f t="shared" si="108"/>
        <v>9</v>
      </c>
      <c r="C323" s="16">
        <f>IFERROR(MATCH(A324,NERCHolidays!$B$2:$B$121,0),0)</f>
        <v>0</v>
      </c>
      <c r="D323">
        <f t="shared" si="104"/>
        <v>1</v>
      </c>
      <c r="E323" t="str">
        <f t="shared" ref="E323:E386" si="109">IF(OR(WEEKDAY(A323)=1,C323&lt;&gt;0),"OP",IF(D323=0,"OP","PK"))</f>
        <v>PK</v>
      </c>
      <c r="F323">
        <f t="shared" ref="F323:F386" si="110">VLOOKUP(A323,$O$3:$AN$34,B323+2,FALSE)</f>
        <v>5</v>
      </c>
      <c r="G323">
        <f t="shared" ref="G323:G386" si="111">VLOOKUP(A323,$O$107:$AM$138,B323+1,FALSE)</f>
        <v>1</v>
      </c>
      <c r="H323">
        <f t="shared" ref="H323:H386" si="112">VLOOKUP(A323,$O$142:$AM$173,B323+1,FALSE)</f>
        <v>0</v>
      </c>
      <c r="I323">
        <f t="shared" si="105"/>
        <v>1</v>
      </c>
      <c r="J323">
        <f t="shared" si="106"/>
        <v>0</v>
      </c>
      <c r="K323">
        <f t="shared" ref="K323:K386" si="113">VLOOKUP(A323,$O$175:$AM$206,B323+1,FALSE)</f>
        <v>6</v>
      </c>
      <c r="L323" s="179">
        <f>'Aztec Metered Load'!C327</f>
        <v>4.3419999999999996</v>
      </c>
    </row>
    <row r="324" spans="1:12" x14ac:dyDescent="0.3">
      <c r="A324" s="19">
        <f t="shared" si="107"/>
        <v>45761</v>
      </c>
      <c r="B324">
        <f t="shared" si="108"/>
        <v>10</v>
      </c>
      <c r="C324" s="16">
        <f>IFERROR(MATCH(A325,NERCHolidays!$B$2:$B$121,0),0)</f>
        <v>0</v>
      </c>
      <c r="D324">
        <f t="shared" ref="D324:D387" si="114">IF(AND(B324&gt;=8,B324&lt;=23),1,0)</f>
        <v>1</v>
      </c>
      <c r="E324" t="str">
        <f t="shared" si="109"/>
        <v>PK</v>
      </c>
      <c r="F324">
        <f t="shared" si="110"/>
        <v>5</v>
      </c>
      <c r="G324">
        <f t="shared" si="111"/>
        <v>0</v>
      </c>
      <c r="H324">
        <f t="shared" si="112"/>
        <v>0</v>
      </c>
      <c r="I324">
        <f t="shared" ref="I324:I387" si="115">VLOOKUP(A324,$O$40:$AN$70,B324+2,FALSE)</f>
        <v>1</v>
      </c>
      <c r="J324">
        <f t="shared" ref="J324:J387" si="116">VLOOKUP(A324,$O$73:$AN$104,B324+2,FALSE)</f>
        <v>0</v>
      </c>
      <c r="K324">
        <f t="shared" si="113"/>
        <v>5</v>
      </c>
      <c r="L324" s="179">
        <f>'Aztec Metered Load'!C328</f>
        <v>4.0750000000000002</v>
      </c>
    </row>
    <row r="325" spans="1:12" x14ac:dyDescent="0.3">
      <c r="A325" s="19">
        <f t="shared" ref="A325:A388" si="117">IF(B324=24,A324+1,A324)</f>
        <v>45761</v>
      </c>
      <c r="B325">
        <f t="shared" ref="B325:B388" si="118">IF(B324=24,1,B324+1)</f>
        <v>11</v>
      </c>
      <c r="C325" s="16">
        <f>IFERROR(MATCH(A326,NERCHolidays!$B$2:$B$121,0),0)</f>
        <v>0</v>
      </c>
      <c r="D325">
        <f t="shared" si="114"/>
        <v>1</v>
      </c>
      <c r="E325" t="str">
        <f t="shared" si="109"/>
        <v>PK</v>
      </c>
      <c r="F325">
        <f t="shared" si="110"/>
        <v>5</v>
      </c>
      <c r="G325">
        <f t="shared" si="111"/>
        <v>0</v>
      </c>
      <c r="H325">
        <f t="shared" si="112"/>
        <v>0</v>
      </c>
      <c r="I325">
        <f t="shared" si="115"/>
        <v>1</v>
      </c>
      <c r="J325">
        <f t="shared" si="116"/>
        <v>0</v>
      </c>
      <c r="K325">
        <f t="shared" si="113"/>
        <v>5</v>
      </c>
      <c r="L325" s="179">
        <f>'Aztec Metered Load'!C329</f>
        <v>4.0110000000000001</v>
      </c>
    </row>
    <row r="326" spans="1:12" x14ac:dyDescent="0.3">
      <c r="A326" s="19">
        <f t="shared" si="117"/>
        <v>45761</v>
      </c>
      <c r="B326">
        <f t="shared" si="118"/>
        <v>12</v>
      </c>
      <c r="C326" s="16">
        <f>IFERROR(MATCH(A327,NERCHolidays!$B$2:$B$121,0),0)</f>
        <v>0</v>
      </c>
      <c r="D326">
        <f t="shared" si="114"/>
        <v>1</v>
      </c>
      <c r="E326" t="str">
        <f t="shared" si="109"/>
        <v>PK</v>
      </c>
      <c r="F326">
        <f t="shared" si="110"/>
        <v>5</v>
      </c>
      <c r="G326">
        <f t="shared" si="111"/>
        <v>0</v>
      </c>
      <c r="H326">
        <f t="shared" si="112"/>
        <v>0</v>
      </c>
      <c r="I326">
        <f t="shared" si="115"/>
        <v>1</v>
      </c>
      <c r="J326">
        <f t="shared" si="116"/>
        <v>0</v>
      </c>
      <c r="K326">
        <f t="shared" si="113"/>
        <v>5</v>
      </c>
      <c r="L326" s="179">
        <f>'Aztec Metered Load'!C330</f>
        <v>4.1790000000000003</v>
      </c>
    </row>
    <row r="327" spans="1:12" x14ac:dyDescent="0.3">
      <c r="A327" s="19">
        <f t="shared" si="117"/>
        <v>45761</v>
      </c>
      <c r="B327">
        <f t="shared" si="118"/>
        <v>13</v>
      </c>
      <c r="C327" s="16">
        <f>IFERROR(MATCH(A328,NERCHolidays!$B$2:$B$121,0),0)</f>
        <v>0</v>
      </c>
      <c r="D327">
        <f t="shared" si="114"/>
        <v>1</v>
      </c>
      <c r="E327" t="str">
        <f t="shared" si="109"/>
        <v>PK</v>
      </c>
      <c r="F327">
        <f t="shared" si="110"/>
        <v>5</v>
      </c>
      <c r="G327">
        <f t="shared" si="111"/>
        <v>0</v>
      </c>
      <c r="H327">
        <f t="shared" si="112"/>
        <v>0</v>
      </c>
      <c r="I327">
        <f t="shared" si="115"/>
        <v>1</v>
      </c>
      <c r="J327">
        <f t="shared" si="116"/>
        <v>0</v>
      </c>
      <c r="K327">
        <f t="shared" si="113"/>
        <v>5</v>
      </c>
      <c r="L327" s="179">
        <f>'Aztec Metered Load'!C331</f>
        <v>4.0110000000000001</v>
      </c>
    </row>
    <row r="328" spans="1:12" x14ac:dyDescent="0.3">
      <c r="A328" s="19">
        <f t="shared" si="117"/>
        <v>45761</v>
      </c>
      <c r="B328">
        <f t="shared" si="118"/>
        <v>14</v>
      </c>
      <c r="C328" s="16">
        <f>IFERROR(MATCH(A329,NERCHolidays!$B$2:$B$121,0),0)</f>
        <v>0</v>
      </c>
      <c r="D328">
        <f t="shared" si="114"/>
        <v>1</v>
      </c>
      <c r="E328" t="str">
        <f t="shared" si="109"/>
        <v>PK</v>
      </c>
      <c r="F328">
        <f t="shared" si="110"/>
        <v>5</v>
      </c>
      <c r="G328">
        <f t="shared" si="111"/>
        <v>0</v>
      </c>
      <c r="H328">
        <f t="shared" si="112"/>
        <v>0</v>
      </c>
      <c r="I328">
        <f t="shared" si="115"/>
        <v>1</v>
      </c>
      <c r="J328">
        <f t="shared" si="116"/>
        <v>0</v>
      </c>
      <c r="K328">
        <f t="shared" si="113"/>
        <v>5</v>
      </c>
      <c r="L328" s="179">
        <f>'Aztec Metered Load'!C332</f>
        <v>4.0780000000000003</v>
      </c>
    </row>
    <row r="329" spans="1:12" x14ac:dyDescent="0.3">
      <c r="A329" s="19">
        <f t="shared" si="117"/>
        <v>45761</v>
      </c>
      <c r="B329">
        <f t="shared" si="118"/>
        <v>15</v>
      </c>
      <c r="C329" s="16">
        <f>IFERROR(MATCH(A330,NERCHolidays!$B$2:$B$121,0),0)</f>
        <v>0</v>
      </c>
      <c r="D329">
        <f t="shared" si="114"/>
        <v>1</v>
      </c>
      <c r="E329" t="str">
        <f t="shared" si="109"/>
        <v>PK</v>
      </c>
      <c r="F329">
        <f t="shared" si="110"/>
        <v>5</v>
      </c>
      <c r="G329">
        <f t="shared" si="111"/>
        <v>0</v>
      </c>
      <c r="H329">
        <f t="shared" si="112"/>
        <v>0</v>
      </c>
      <c r="I329">
        <f t="shared" si="115"/>
        <v>1</v>
      </c>
      <c r="J329">
        <f t="shared" si="116"/>
        <v>0</v>
      </c>
      <c r="K329">
        <f t="shared" si="113"/>
        <v>5</v>
      </c>
      <c r="L329" s="179">
        <f>'Aztec Metered Load'!C333</f>
        <v>2.0329999999999999</v>
      </c>
    </row>
    <row r="330" spans="1:12" x14ac:dyDescent="0.3">
      <c r="A330" s="19">
        <f t="shared" si="117"/>
        <v>45761</v>
      </c>
      <c r="B330">
        <f t="shared" si="118"/>
        <v>16</v>
      </c>
      <c r="C330" s="16">
        <f>IFERROR(MATCH(A331,NERCHolidays!$B$2:$B$121,0),0)</f>
        <v>0</v>
      </c>
      <c r="D330">
        <f t="shared" si="114"/>
        <v>1</v>
      </c>
      <c r="E330" t="str">
        <f t="shared" si="109"/>
        <v>PK</v>
      </c>
      <c r="F330">
        <f t="shared" si="110"/>
        <v>5</v>
      </c>
      <c r="G330">
        <f t="shared" si="111"/>
        <v>0</v>
      </c>
      <c r="H330">
        <f t="shared" si="112"/>
        <v>0</v>
      </c>
      <c r="I330">
        <f t="shared" si="115"/>
        <v>1</v>
      </c>
      <c r="J330">
        <f t="shared" si="116"/>
        <v>0</v>
      </c>
      <c r="K330">
        <f t="shared" si="113"/>
        <v>5</v>
      </c>
      <c r="L330" s="179">
        <f>'Aztec Metered Load'!C334</f>
        <v>1.3979999999999999</v>
      </c>
    </row>
    <row r="331" spans="1:12" x14ac:dyDescent="0.3">
      <c r="A331" s="19">
        <f t="shared" si="117"/>
        <v>45761</v>
      </c>
      <c r="B331">
        <f t="shared" si="118"/>
        <v>17</v>
      </c>
      <c r="C331" s="16">
        <f>IFERROR(MATCH(A332,NERCHolidays!$B$2:$B$121,0),0)</f>
        <v>0</v>
      </c>
      <c r="D331">
        <f t="shared" si="114"/>
        <v>1</v>
      </c>
      <c r="E331" t="str">
        <f t="shared" si="109"/>
        <v>PK</v>
      </c>
      <c r="F331">
        <f t="shared" si="110"/>
        <v>5</v>
      </c>
      <c r="G331">
        <f t="shared" si="111"/>
        <v>0</v>
      </c>
      <c r="H331">
        <f t="shared" si="112"/>
        <v>0</v>
      </c>
      <c r="I331">
        <f t="shared" si="115"/>
        <v>1</v>
      </c>
      <c r="J331">
        <f t="shared" si="116"/>
        <v>0</v>
      </c>
      <c r="K331">
        <f t="shared" si="113"/>
        <v>5</v>
      </c>
      <c r="L331" s="179">
        <f>'Aztec Metered Load'!C335</f>
        <v>4.2729999999999997</v>
      </c>
    </row>
    <row r="332" spans="1:12" x14ac:dyDescent="0.3">
      <c r="A332" s="19">
        <f t="shared" si="117"/>
        <v>45761</v>
      </c>
      <c r="B332">
        <f t="shared" si="118"/>
        <v>18</v>
      </c>
      <c r="C332" s="16">
        <f>IFERROR(MATCH(A333,NERCHolidays!$B$2:$B$121,0),0)</f>
        <v>0</v>
      </c>
      <c r="D332">
        <f t="shared" si="114"/>
        <v>1</v>
      </c>
      <c r="E332" t="str">
        <f t="shared" si="109"/>
        <v>PK</v>
      </c>
      <c r="F332">
        <f t="shared" si="110"/>
        <v>5</v>
      </c>
      <c r="G332">
        <f t="shared" si="111"/>
        <v>0</v>
      </c>
      <c r="H332">
        <f t="shared" si="112"/>
        <v>0</v>
      </c>
      <c r="I332">
        <f t="shared" si="115"/>
        <v>1</v>
      </c>
      <c r="J332">
        <f t="shared" si="116"/>
        <v>0</v>
      </c>
      <c r="K332">
        <f t="shared" si="113"/>
        <v>5</v>
      </c>
      <c r="L332" s="179">
        <f>'Aztec Metered Load'!C336</f>
        <v>4.4390000000000001</v>
      </c>
    </row>
    <row r="333" spans="1:12" x14ac:dyDescent="0.3">
      <c r="A333" s="19">
        <f t="shared" si="117"/>
        <v>45761</v>
      </c>
      <c r="B333">
        <f t="shared" si="118"/>
        <v>19</v>
      </c>
      <c r="C333" s="16">
        <f>IFERROR(MATCH(A334,NERCHolidays!$B$2:$B$121,0),0)</f>
        <v>0</v>
      </c>
      <c r="D333">
        <f t="shared" si="114"/>
        <v>1</v>
      </c>
      <c r="E333" t="str">
        <f t="shared" si="109"/>
        <v>PK</v>
      </c>
      <c r="F333">
        <f t="shared" si="110"/>
        <v>5</v>
      </c>
      <c r="G333">
        <f t="shared" si="111"/>
        <v>1</v>
      </c>
      <c r="H333">
        <f t="shared" si="112"/>
        <v>0</v>
      </c>
      <c r="I333">
        <f t="shared" si="115"/>
        <v>1</v>
      </c>
      <c r="J333">
        <f t="shared" si="116"/>
        <v>0</v>
      </c>
      <c r="K333">
        <f t="shared" si="113"/>
        <v>6</v>
      </c>
      <c r="L333" s="179">
        <f>'Aztec Metered Load'!C337</f>
        <v>4.4779999999999998</v>
      </c>
    </row>
    <row r="334" spans="1:12" x14ac:dyDescent="0.3">
      <c r="A334" s="19">
        <f t="shared" si="117"/>
        <v>45761</v>
      </c>
      <c r="B334">
        <f t="shared" si="118"/>
        <v>20</v>
      </c>
      <c r="C334" s="16">
        <f>IFERROR(MATCH(A335,NERCHolidays!$B$2:$B$121,0),0)</f>
        <v>0</v>
      </c>
      <c r="D334">
        <f t="shared" si="114"/>
        <v>1</v>
      </c>
      <c r="E334" t="str">
        <f t="shared" si="109"/>
        <v>PK</v>
      </c>
      <c r="F334">
        <f t="shared" si="110"/>
        <v>5</v>
      </c>
      <c r="G334">
        <f t="shared" si="111"/>
        <v>1</v>
      </c>
      <c r="H334">
        <f t="shared" si="112"/>
        <v>0</v>
      </c>
      <c r="I334">
        <f t="shared" si="115"/>
        <v>1</v>
      </c>
      <c r="J334">
        <f t="shared" si="116"/>
        <v>0</v>
      </c>
      <c r="K334">
        <f t="shared" si="113"/>
        <v>6</v>
      </c>
      <c r="L334" s="179">
        <f>'Aztec Metered Load'!C338</f>
        <v>4.5570000000000004</v>
      </c>
    </row>
    <row r="335" spans="1:12" x14ac:dyDescent="0.3">
      <c r="A335" s="19">
        <f t="shared" si="117"/>
        <v>45761</v>
      </c>
      <c r="B335">
        <f t="shared" si="118"/>
        <v>21</v>
      </c>
      <c r="C335" s="16">
        <f>IFERROR(MATCH(A336,NERCHolidays!$B$2:$B$121,0),0)</f>
        <v>0</v>
      </c>
      <c r="D335">
        <f t="shared" si="114"/>
        <v>1</v>
      </c>
      <c r="E335" t="str">
        <f t="shared" si="109"/>
        <v>PK</v>
      </c>
      <c r="F335">
        <f t="shared" si="110"/>
        <v>5</v>
      </c>
      <c r="G335">
        <f t="shared" si="111"/>
        <v>1</v>
      </c>
      <c r="H335">
        <f t="shared" si="112"/>
        <v>0</v>
      </c>
      <c r="I335">
        <f t="shared" si="115"/>
        <v>1</v>
      </c>
      <c r="J335">
        <f t="shared" si="116"/>
        <v>0</v>
      </c>
      <c r="K335">
        <f t="shared" si="113"/>
        <v>6</v>
      </c>
      <c r="L335" s="179">
        <f>'Aztec Metered Load'!C339</f>
        <v>4.1360000000000001</v>
      </c>
    </row>
    <row r="336" spans="1:12" x14ac:dyDescent="0.3">
      <c r="A336" s="19">
        <f t="shared" si="117"/>
        <v>45761</v>
      </c>
      <c r="B336">
        <f t="shared" si="118"/>
        <v>22</v>
      </c>
      <c r="C336" s="16">
        <f>IFERROR(MATCH(A337,NERCHolidays!$B$2:$B$121,0),0)</f>
        <v>0</v>
      </c>
      <c r="D336">
        <f t="shared" si="114"/>
        <v>1</v>
      </c>
      <c r="E336" t="str">
        <f t="shared" si="109"/>
        <v>PK</v>
      </c>
      <c r="F336">
        <f t="shared" si="110"/>
        <v>5</v>
      </c>
      <c r="G336">
        <f t="shared" si="111"/>
        <v>1</v>
      </c>
      <c r="H336">
        <f t="shared" si="112"/>
        <v>0</v>
      </c>
      <c r="I336">
        <f t="shared" si="115"/>
        <v>1</v>
      </c>
      <c r="J336">
        <f t="shared" si="116"/>
        <v>0</v>
      </c>
      <c r="K336">
        <f t="shared" si="113"/>
        <v>6</v>
      </c>
      <c r="L336" s="179">
        <f>'Aztec Metered Load'!C340</f>
        <v>3.74</v>
      </c>
    </row>
    <row r="337" spans="1:12" x14ac:dyDescent="0.3">
      <c r="A337" s="19">
        <f t="shared" si="117"/>
        <v>45761</v>
      </c>
      <c r="B337">
        <f t="shared" si="118"/>
        <v>23</v>
      </c>
      <c r="C337" s="16">
        <f>IFERROR(MATCH(A338,NERCHolidays!$B$2:$B$121,0),0)</f>
        <v>0</v>
      </c>
      <c r="D337">
        <f t="shared" si="114"/>
        <v>1</v>
      </c>
      <c r="E337" t="str">
        <f t="shared" si="109"/>
        <v>PK</v>
      </c>
      <c r="F337">
        <f t="shared" si="110"/>
        <v>5</v>
      </c>
      <c r="G337">
        <f t="shared" si="111"/>
        <v>1</v>
      </c>
      <c r="H337">
        <f t="shared" si="112"/>
        <v>0</v>
      </c>
      <c r="I337">
        <f t="shared" si="115"/>
        <v>1</v>
      </c>
      <c r="J337">
        <f t="shared" si="116"/>
        <v>0</v>
      </c>
      <c r="K337">
        <f t="shared" si="113"/>
        <v>6</v>
      </c>
      <c r="L337" s="179">
        <f>'Aztec Metered Load'!C341</f>
        <v>3.411</v>
      </c>
    </row>
    <row r="338" spans="1:12" x14ac:dyDescent="0.3">
      <c r="A338" s="19">
        <f t="shared" si="117"/>
        <v>45761</v>
      </c>
      <c r="B338">
        <f t="shared" si="118"/>
        <v>24</v>
      </c>
      <c r="C338" s="16">
        <f>IFERROR(MATCH(A339,NERCHolidays!$B$2:$B$121,0),0)</f>
        <v>0</v>
      </c>
      <c r="D338">
        <f t="shared" si="114"/>
        <v>0</v>
      </c>
      <c r="E338" t="str">
        <f t="shared" si="109"/>
        <v>OP</v>
      </c>
      <c r="F338">
        <f t="shared" si="110"/>
        <v>5</v>
      </c>
      <c r="G338">
        <f t="shared" si="111"/>
        <v>0</v>
      </c>
      <c r="H338">
        <f t="shared" si="112"/>
        <v>0</v>
      </c>
      <c r="I338">
        <f t="shared" si="115"/>
        <v>1</v>
      </c>
      <c r="J338">
        <f t="shared" si="116"/>
        <v>0</v>
      </c>
      <c r="K338">
        <f t="shared" si="113"/>
        <v>5</v>
      </c>
      <c r="L338" s="179">
        <f>'Aztec Metered Load'!C342</f>
        <v>3.24</v>
      </c>
    </row>
    <row r="339" spans="1:12" x14ac:dyDescent="0.3">
      <c r="A339" s="19">
        <f t="shared" si="117"/>
        <v>45762</v>
      </c>
      <c r="B339">
        <f t="shared" si="118"/>
        <v>1</v>
      </c>
      <c r="C339" s="16">
        <f>IFERROR(MATCH(A340,NERCHolidays!$B$2:$B$121,0),0)</f>
        <v>0</v>
      </c>
      <c r="D339">
        <f t="shared" si="114"/>
        <v>0</v>
      </c>
      <c r="E339" t="str">
        <f t="shared" si="109"/>
        <v>OP</v>
      </c>
      <c r="F339">
        <f t="shared" si="110"/>
        <v>5</v>
      </c>
      <c r="G339">
        <f t="shared" si="111"/>
        <v>1</v>
      </c>
      <c r="H339">
        <f t="shared" si="112"/>
        <v>0</v>
      </c>
      <c r="I339">
        <f t="shared" si="115"/>
        <v>1</v>
      </c>
      <c r="J339">
        <f t="shared" si="116"/>
        <v>0</v>
      </c>
      <c r="K339">
        <f t="shared" si="113"/>
        <v>6</v>
      </c>
      <c r="L339" s="179">
        <f>'Aztec Metered Load'!C343</f>
        <v>3.157</v>
      </c>
    </row>
    <row r="340" spans="1:12" x14ac:dyDescent="0.3">
      <c r="A340" s="19">
        <f t="shared" si="117"/>
        <v>45762</v>
      </c>
      <c r="B340">
        <f t="shared" si="118"/>
        <v>2</v>
      </c>
      <c r="C340" s="16">
        <f>IFERROR(MATCH(A341,NERCHolidays!$B$2:$B$121,0),0)</f>
        <v>0</v>
      </c>
      <c r="D340">
        <f t="shared" si="114"/>
        <v>0</v>
      </c>
      <c r="E340" t="str">
        <f t="shared" si="109"/>
        <v>OP</v>
      </c>
      <c r="F340">
        <f t="shared" si="110"/>
        <v>5</v>
      </c>
      <c r="G340">
        <f t="shared" si="111"/>
        <v>1</v>
      </c>
      <c r="H340">
        <f t="shared" si="112"/>
        <v>0</v>
      </c>
      <c r="I340">
        <f t="shared" si="115"/>
        <v>1</v>
      </c>
      <c r="J340">
        <f t="shared" si="116"/>
        <v>0</v>
      </c>
      <c r="K340">
        <f t="shared" si="113"/>
        <v>6</v>
      </c>
      <c r="L340" s="179">
        <f>'Aztec Metered Load'!C344</f>
        <v>3.109</v>
      </c>
    </row>
    <row r="341" spans="1:12" x14ac:dyDescent="0.3">
      <c r="A341" s="19">
        <f t="shared" si="117"/>
        <v>45762</v>
      </c>
      <c r="B341">
        <f t="shared" si="118"/>
        <v>3</v>
      </c>
      <c r="C341" s="16">
        <f>IFERROR(MATCH(A342,NERCHolidays!$B$2:$B$121,0),0)</f>
        <v>0</v>
      </c>
      <c r="D341">
        <f t="shared" si="114"/>
        <v>0</v>
      </c>
      <c r="E341" t="str">
        <f t="shared" si="109"/>
        <v>OP</v>
      </c>
      <c r="F341">
        <f t="shared" si="110"/>
        <v>5</v>
      </c>
      <c r="G341">
        <f t="shared" si="111"/>
        <v>1</v>
      </c>
      <c r="H341">
        <f t="shared" si="112"/>
        <v>0</v>
      </c>
      <c r="I341">
        <f t="shared" si="115"/>
        <v>2</v>
      </c>
      <c r="J341">
        <f t="shared" si="116"/>
        <v>0</v>
      </c>
      <c r="K341">
        <f t="shared" si="113"/>
        <v>6</v>
      </c>
      <c r="L341" s="179">
        <f>'Aztec Metered Load'!C345</f>
        <v>3.18</v>
      </c>
    </row>
    <row r="342" spans="1:12" x14ac:dyDescent="0.3">
      <c r="A342" s="19">
        <f t="shared" si="117"/>
        <v>45762</v>
      </c>
      <c r="B342">
        <f t="shared" si="118"/>
        <v>4</v>
      </c>
      <c r="C342" s="16">
        <f>IFERROR(MATCH(A343,NERCHolidays!$B$2:$B$121,0),0)</f>
        <v>0</v>
      </c>
      <c r="D342">
        <f t="shared" si="114"/>
        <v>0</v>
      </c>
      <c r="E342" t="str">
        <f t="shared" si="109"/>
        <v>OP</v>
      </c>
      <c r="F342">
        <f t="shared" si="110"/>
        <v>4</v>
      </c>
      <c r="G342">
        <f t="shared" si="111"/>
        <v>1</v>
      </c>
      <c r="H342">
        <f t="shared" si="112"/>
        <v>0</v>
      </c>
      <c r="I342">
        <f t="shared" si="115"/>
        <v>2</v>
      </c>
      <c r="J342">
        <f t="shared" si="116"/>
        <v>0</v>
      </c>
      <c r="K342">
        <f t="shared" si="113"/>
        <v>5</v>
      </c>
      <c r="L342" s="179">
        <f>'Aztec Metered Load'!C346</f>
        <v>3.3769999999999998</v>
      </c>
    </row>
    <row r="343" spans="1:12" x14ac:dyDescent="0.3">
      <c r="A343" s="19">
        <f t="shared" si="117"/>
        <v>45762</v>
      </c>
      <c r="B343">
        <f t="shared" si="118"/>
        <v>5</v>
      </c>
      <c r="C343" s="16">
        <f>IFERROR(MATCH(A344,NERCHolidays!$B$2:$B$121,0),0)</f>
        <v>0</v>
      </c>
      <c r="D343">
        <f t="shared" si="114"/>
        <v>0</v>
      </c>
      <c r="E343" t="str">
        <f t="shared" si="109"/>
        <v>OP</v>
      </c>
      <c r="F343">
        <f t="shared" si="110"/>
        <v>4</v>
      </c>
      <c r="G343">
        <f t="shared" si="111"/>
        <v>1</v>
      </c>
      <c r="H343">
        <f t="shared" si="112"/>
        <v>0</v>
      </c>
      <c r="I343">
        <f t="shared" si="115"/>
        <v>2</v>
      </c>
      <c r="J343">
        <f t="shared" si="116"/>
        <v>0</v>
      </c>
      <c r="K343">
        <f t="shared" si="113"/>
        <v>5</v>
      </c>
      <c r="L343" s="179">
        <f>'Aztec Metered Load'!C347</f>
        <v>3.661</v>
      </c>
    </row>
    <row r="344" spans="1:12" x14ac:dyDescent="0.3">
      <c r="A344" s="19">
        <f t="shared" si="117"/>
        <v>45762</v>
      </c>
      <c r="B344">
        <f t="shared" si="118"/>
        <v>6</v>
      </c>
      <c r="C344" s="16">
        <f>IFERROR(MATCH(A345,NERCHolidays!$B$2:$B$121,0),0)</f>
        <v>0</v>
      </c>
      <c r="D344">
        <f t="shared" si="114"/>
        <v>0</v>
      </c>
      <c r="E344" t="str">
        <f t="shared" si="109"/>
        <v>OP</v>
      </c>
      <c r="F344">
        <f t="shared" si="110"/>
        <v>4</v>
      </c>
      <c r="G344">
        <f t="shared" si="111"/>
        <v>1</v>
      </c>
      <c r="H344">
        <f t="shared" si="112"/>
        <v>0</v>
      </c>
      <c r="I344">
        <f t="shared" si="115"/>
        <v>1</v>
      </c>
      <c r="J344">
        <f t="shared" si="116"/>
        <v>0</v>
      </c>
      <c r="K344">
        <f t="shared" si="113"/>
        <v>5</v>
      </c>
      <c r="L344" s="179">
        <f>'Aztec Metered Load'!C348</f>
        <v>4.2039999999999997</v>
      </c>
    </row>
    <row r="345" spans="1:12" x14ac:dyDescent="0.3">
      <c r="A345" s="19">
        <f t="shared" si="117"/>
        <v>45762</v>
      </c>
      <c r="B345">
        <f t="shared" si="118"/>
        <v>7</v>
      </c>
      <c r="C345" s="16">
        <f>IFERROR(MATCH(A346,NERCHolidays!$B$2:$B$121,0),0)</f>
        <v>0</v>
      </c>
      <c r="D345">
        <f t="shared" si="114"/>
        <v>0</v>
      </c>
      <c r="E345" t="str">
        <f t="shared" si="109"/>
        <v>OP</v>
      </c>
      <c r="F345">
        <f t="shared" si="110"/>
        <v>4</v>
      </c>
      <c r="G345">
        <f t="shared" si="111"/>
        <v>1</v>
      </c>
      <c r="H345">
        <f t="shared" si="112"/>
        <v>0</v>
      </c>
      <c r="I345">
        <f t="shared" si="115"/>
        <v>1</v>
      </c>
      <c r="J345">
        <f t="shared" si="116"/>
        <v>0</v>
      </c>
      <c r="K345">
        <f t="shared" si="113"/>
        <v>5</v>
      </c>
      <c r="L345" s="179">
        <f>'Aztec Metered Load'!C349</f>
        <v>4.4660000000000002</v>
      </c>
    </row>
    <row r="346" spans="1:12" x14ac:dyDescent="0.3">
      <c r="A346" s="19">
        <f t="shared" si="117"/>
        <v>45762</v>
      </c>
      <c r="B346">
        <f t="shared" si="118"/>
        <v>8</v>
      </c>
      <c r="C346" s="16">
        <f>IFERROR(MATCH(A347,NERCHolidays!$B$2:$B$121,0),0)</f>
        <v>0</v>
      </c>
      <c r="D346">
        <f t="shared" si="114"/>
        <v>1</v>
      </c>
      <c r="E346" t="str">
        <f t="shared" si="109"/>
        <v>PK</v>
      </c>
      <c r="F346">
        <f t="shared" si="110"/>
        <v>4</v>
      </c>
      <c r="G346">
        <f t="shared" si="111"/>
        <v>1</v>
      </c>
      <c r="H346">
        <f t="shared" si="112"/>
        <v>0</v>
      </c>
      <c r="I346">
        <f t="shared" si="115"/>
        <v>1</v>
      </c>
      <c r="J346">
        <f t="shared" si="116"/>
        <v>0</v>
      </c>
      <c r="K346">
        <f t="shared" si="113"/>
        <v>5</v>
      </c>
      <c r="L346" s="179">
        <f>'Aztec Metered Load'!C350</f>
        <v>4.5330000000000004</v>
      </c>
    </row>
    <row r="347" spans="1:12" x14ac:dyDescent="0.3">
      <c r="A347" s="19">
        <f t="shared" si="117"/>
        <v>45762</v>
      </c>
      <c r="B347">
        <f t="shared" si="118"/>
        <v>9</v>
      </c>
      <c r="C347" s="16">
        <f>IFERROR(MATCH(A348,NERCHolidays!$B$2:$B$121,0),0)</f>
        <v>0</v>
      </c>
      <c r="D347">
        <f t="shared" si="114"/>
        <v>1</v>
      </c>
      <c r="E347" t="str">
        <f t="shared" si="109"/>
        <v>PK</v>
      </c>
      <c r="F347">
        <f t="shared" si="110"/>
        <v>5</v>
      </c>
      <c r="G347">
        <f t="shared" si="111"/>
        <v>1</v>
      </c>
      <c r="H347">
        <f t="shared" si="112"/>
        <v>0</v>
      </c>
      <c r="I347">
        <f t="shared" si="115"/>
        <v>1</v>
      </c>
      <c r="J347">
        <f t="shared" si="116"/>
        <v>0</v>
      </c>
      <c r="K347">
        <f t="shared" si="113"/>
        <v>6</v>
      </c>
      <c r="L347" s="179">
        <f>'Aztec Metered Load'!C351</f>
        <v>4.3120000000000003</v>
      </c>
    </row>
    <row r="348" spans="1:12" x14ac:dyDescent="0.3">
      <c r="A348" s="19">
        <f t="shared" si="117"/>
        <v>45762</v>
      </c>
      <c r="B348">
        <f t="shared" si="118"/>
        <v>10</v>
      </c>
      <c r="C348" s="16">
        <f>IFERROR(MATCH(A349,NERCHolidays!$B$2:$B$121,0),0)</f>
        <v>0</v>
      </c>
      <c r="D348">
        <f t="shared" si="114"/>
        <v>1</v>
      </c>
      <c r="E348" t="str">
        <f t="shared" si="109"/>
        <v>PK</v>
      </c>
      <c r="F348">
        <f t="shared" si="110"/>
        <v>5</v>
      </c>
      <c r="G348">
        <f t="shared" si="111"/>
        <v>0</v>
      </c>
      <c r="H348">
        <f t="shared" si="112"/>
        <v>0</v>
      </c>
      <c r="I348">
        <f t="shared" si="115"/>
        <v>1</v>
      </c>
      <c r="J348">
        <f t="shared" si="116"/>
        <v>0</v>
      </c>
      <c r="K348">
        <f t="shared" si="113"/>
        <v>5</v>
      </c>
      <c r="L348" s="179">
        <f>'Aztec Metered Load'!C352</f>
        <v>4.2850000000000001</v>
      </c>
    </row>
    <row r="349" spans="1:12" x14ac:dyDescent="0.3">
      <c r="A349" s="19">
        <f t="shared" si="117"/>
        <v>45762</v>
      </c>
      <c r="B349">
        <f t="shared" si="118"/>
        <v>11</v>
      </c>
      <c r="C349" s="16">
        <f>IFERROR(MATCH(A350,NERCHolidays!$B$2:$B$121,0),0)</f>
        <v>0</v>
      </c>
      <c r="D349">
        <f t="shared" si="114"/>
        <v>1</v>
      </c>
      <c r="E349" t="str">
        <f t="shared" si="109"/>
        <v>PK</v>
      </c>
      <c r="F349">
        <f t="shared" si="110"/>
        <v>5</v>
      </c>
      <c r="G349">
        <f t="shared" si="111"/>
        <v>0</v>
      </c>
      <c r="H349">
        <f t="shared" si="112"/>
        <v>0</v>
      </c>
      <c r="I349">
        <f t="shared" si="115"/>
        <v>1</v>
      </c>
      <c r="J349">
        <f t="shared" si="116"/>
        <v>0</v>
      </c>
      <c r="K349">
        <f t="shared" si="113"/>
        <v>5</v>
      </c>
      <c r="L349" s="179">
        <f>'Aztec Metered Load'!C353</f>
        <v>4.3719999999999999</v>
      </c>
    </row>
    <row r="350" spans="1:12" x14ac:dyDescent="0.3">
      <c r="A350" s="19">
        <f t="shared" si="117"/>
        <v>45762</v>
      </c>
      <c r="B350">
        <f t="shared" si="118"/>
        <v>12</v>
      </c>
      <c r="C350" s="16">
        <f>IFERROR(MATCH(A351,NERCHolidays!$B$2:$B$121,0),0)</f>
        <v>0</v>
      </c>
      <c r="D350">
        <f t="shared" si="114"/>
        <v>1</v>
      </c>
      <c r="E350" t="str">
        <f t="shared" si="109"/>
        <v>PK</v>
      </c>
      <c r="F350">
        <f t="shared" si="110"/>
        <v>5</v>
      </c>
      <c r="G350">
        <f t="shared" si="111"/>
        <v>0</v>
      </c>
      <c r="H350">
        <f t="shared" si="112"/>
        <v>0</v>
      </c>
      <c r="I350">
        <f t="shared" si="115"/>
        <v>1</v>
      </c>
      <c r="J350">
        <f t="shared" si="116"/>
        <v>0</v>
      </c>
      <c r="K350">
        <f t="shared" si="113"/>
        <v>5</v>
      </c>
      <c r="L350" s="179">
        <f>'Aztec Metered Load'!C354</f>
        <v>3.9350000000000001</v>
      </c>
    </row>
    <row r="351" spans="1:12" x14ac:dyDescent="0.3">
      <c r="A351" s="19">
        <f t="shared" si="117"/>
        <v>45762</v>
      </c>
      <c r="B351">
        <f t="shared" si="118"/>
        <v>13</v>
      </c>
      <c r="C351" s="16">
        <f>IFERROR(MATCH(A352,NERCHolidays!$B$2:$B$121,0),0)</f>
        <v>0</v>
      </c>
      <c r="D351">
        <f t="shared" si="114"/>
        <v>1</v>
      </c>
      <c r="E351" t="str">
        <f t="shared" si="109"/>
        <v>PK</v>
      </c>
      <c r="F351">
        <f t="shared" si="110"/>
        <v>5</v>
      </c>
      <c r="G351">
        <f t="shared" si="111"/>
        <v>0</v>
      </c>
      <c r="H351">
        <f t="shared" si="112"/>
        <v>0</v>
      </c>
      <c r="I351">
        <f t="shared" si="115"/>
        <v>1</v>
      </c>
      <c r="J351">
        <f t="shared" si="116"/>
        <v>0</v>
      </c>
      <c r="K351">
        <f t="shared" si="113"/>
        <v>5</v>
      </c>
      <c r="L351" s="179">
        <f>'Aztec Metered Load'!C355</f>
        <v>4.2619999999999996</v>
      </c>
    </row>
    <row r="352" spans="1:12" x14ac:dyDescent="0.3">
      <c r="A352" s="19">
        <f t="shared" si="117"/>
        <v>45762</v>
      </c>
      <c r="B352">
        <f t="shared" si="118"/>
        <v>14</v>
      </c>
      <c r="C352" s="16">
        <f>IFERROR(MATCH(A353,NERCHolidays!$B$2:$B$121,0),0)</f>
        <v>0</v>
      </c>
      <c r="D352">
        <f t="shared" si="114"/>
        <v>1</v>
      </c>
      <c r="E352" t="str">
        <f t="shared" si="109"/>
        <v>PK</v>
      </c>
      <c r="F352">
        <f t="shared" si="110"/>
        <v>5</v>
      </c>
      <c r="G352">
        <f t="shared" si="111"/>
        <v>0</v>
      </c>
      <c r="H352">
        <f t="shared" si="112"/>
        <v>0</v>
      </c>
      <c r="I352">
        <f t="shared" si="115"/>
        <v>1</v>
      </c>
      <c r="J352">
        <f t="shared" si="116"/>
        <v>0</v>
      </c>
      <c r="K352">
        <f t="shared" si="113"/>
        <v>5</v>
      </c>
      <c r="L352" s="179">
        <f>'Aztec Metered Load'!C356</f>
        <v>4.3140000000000001</v>
      </c>
    </row>
    <row r="353" spans="1:12" x14ac:dyDescent="0.3">
      <c r="A353" s="19">
        <f t="shared" si="117"/>
        <v>45762</v>
      </c>
      <c r="B353">
        <f t="shared" si="118"/>
        <v>15</v>
      </c>
      <c r="C353" s="16">
        <f>IFERROR(MATCH(A354,NERCHolidays!$B$2:$B$121,0),0)</f>
        <v>0</v>
      </c>
      <c r="D353">
        <f t="shared" si="114"/>
        <v>1</v>
      </c>
      <c r="E353" t="str">
        <f t="shared" si="109"/>
        <v>PK</v>
      </c>
      <c r="F353">
        <f t="shared" si="110"/>
        <v>5</v>
      </c>
      <c r="G353">
        <f t="shared" si="111"/>
        <v>0</v>
      </c>
      <c r="H353">
        <f t="shared" si="112"/>
        <v>0</v>
      </c>
      <c r="I353">
        <f t="shared" si="115"/>
        <v>1</v>
      </c>
      <c r="J353">
        <f t="shared" si="116"/>
        <v>0</v>
      </c>
      <c r="K353">
        <f t="shared" si="113"/>
        <v>5</v>
      </c>
      <c r="L353" s="179">
        <f>'Aztec Metered Load'!C357</f>
        <v>4.2210000000000001</v>
      </c>
    </row>
    <row r="354" spans="1:12" x14ac:dyDescent="0.3">
      <c r="A354" s="19">
        <f t="shared" si="117"/>
        <v>45762</v>
      </c>
      <c r="B354">
        <f t="shared" si="118"/>
        <v>16</v>
      </c>
      <c r="C354" s="16">
        <f>IFERROR(MATCH(A355,NERCHolidays!$B$2:$B$121,0),0)</f>
        <v>0</v>
      </c>
      <c r="D354">
        <f t="shared" si="114"/>
        <v>1</v>
      </c>
      <c r="E354" t="str">
        <f t="shared" si="109"/>
        <v>PK</v>
      </c>
      <c r="F354">
        <f t="shared" si="110"/>
        <v>5</v>
      </c>
      <c r="G354">
        <f t="shared" si="111"/>
        <v>0</v>
      </c>
      <c r="H354">
        <f t="shared" si="112"/>
        <v>0</v>
      </c>
      <c r="I354">
        <f t="shared" si="115"/>
        <v>1</v>
      </c>
      <c r="J354">
        <f t="shared" si="116"/>
        <v>0</v>
      </c>
      <c r="K354">
        <f t="shared" si="113"/>
        <v>5</v>
      </c>
      <c r="L354" s="179">
        <f>'Aztec Metered Load'!C358</f>
        <v>4.3449999999999998</v>
      </c>
    </row>
    <row r="355" spans="1:12" x14ac:dyDescent="0.3">
      <c r="A355" s="19">
        <f t="shared" si="117"/>
        <v>45762</v>
      </c>
      <c r="B355">
        <f t="shared" si="118"/>
        <v>17</v>
      </c>
      <c r="C355" s="16">
        <f>IFERROR(MATCH(A356,NERCHolidays!$B$2:$B$121,0),0)</f>
        <v>0</v>
      </c>
      <c r="D355">
        <f t="shared" si="114"/>
        <v>1</v>
      </c>
      <c r="E355" t="str">
        <f t="shared" si="109"/>
        <v>PK</v>
      </c>
      <c r="F355">
        <f t="shared" si="110"/>
        <v>5</v>
      </c>
      <c r="G355">
        <f t="shared" si="111"/>
        <v>0</v>
      </c>
      <c r="H355">
        <f t="shared" si="112"/>
        <v>0</v>
      </c>
      <c r="I355">
        <f t="shared" si="115"/>
        <v>1</v>
      </c>
      <c r="J355">
        <f t="shared" si="116"/>
        <v>0</v>
      </c>
      <c r="K355">
        <f t="shared" si="113"/>
        <v>5</v>
      </c>
      <c r="L355" s="179">
        <f>'Aztec Metered Load'!C359</f>
        <v>4.415</v>
      </c>
    </row>
    <row r="356" spans="1:12" x14ac:dyDescent="0.3">
      <c r="A356" s="19">
        <f t="shared" si="117"/>
        <v>45762</v>
      </c>
      <c r="B356">
        <f t="shared" si="118"/>
        <v>18</v>
      </c>
      <c r="C356" s="16">
        <f>IFERROR(MATCH(A357,NERCHolidays!$B$2:$B$121,0),0)</f>
        <v>0</v>
      </c>
      <c r="D356">
        <f t="shared" si="114"/>
        <v>1</v>
      </c>
      <c r="E356" t="str">
        <f t="shared" si="109"/>
        <v>PK</v>
      </c>
      <c r="F356">
        <f t="shared" si="110"/>
        <v>5</v>
      </c>
      <c r="G356">
        <f t="shared" si="111"/>
        <v>0</v>
      </c>
      <c r="H356">
        <f t="shared" si="112"/>
        <v>0</v>
      </c>
      <c r="I356">
        <f t="shared" si="115"/>
        <v>1</v>
      </c>
      <c r="J356">
        <f t="shared" si="116"/>
        <v>0</v>
      </c>
      <c r="K356">
        <f t="shared" si="113"/>
        <v>5</v>
      </c>
      <c r="L356" s="179">
        <f>'Aztec Metered Load'!C360</f>
        <v>4.6079999999999997</v>
      </c>
    </row>
    <row r="357" spans="1:12" x14ac:dyDescent="0.3">
      <c r="A357" s="19">
        <f t="shared" si="117"/>
        <v>45762</v>
      </c>
      <c r="B357">
        <f t="shared" si="118"/>
        <v>19</v>
      </c>
      <c r="C357" s="16">
        <f>IFERROR(MATCH(A358,NERCHolidays!$B$2:$B$121,0),0)</f>
        <v>0</v>
      </c>
      <c r="D357">
        <f t="shared" si="114"/>
        <v>1</v>
      </c>
      <c r="E357" t="str">
        <f t="shared" si="109"/>
        <v>PK</v>
      </c>
      <c r="F357">
        <f t="shared" si="110"/>
        <v>5</v>
      </c>
      <c r="G357">
        <f t="shared" si="111"/>
        <v>1</v>
      </c>
      <c r="H357">
        <f t="shared" si="112"/>
        <v>0</v>
      </c>
      <c r="I357">
        <f t="shared" si="115"/>
        <v>1</v>
      </c>
      <c r="J357">
        <f t="shared" si="116"/>
        <v>0</v>
      </c>
      <c r="K357">
        <f t="shared" si="113"/>
        <v>6</v>
      </c>
      <c r="L357" s="179">
        <f>'Aztec Metered Load'!C361</f>
        <v>4.641</v>
      </c>
    </row>
    <row r="358" spans="1:12" x14ac:dyDescent="0.3">
      <c r="A358" s="19">
        <f t="shared" si="117"/>
        <v>45762</v>
      </c>
      <c r="B358">
        <f t="shared" si="118"/>
        <v>20</v>
      </c>
      <c r="C358" s="16">
        <f>IFERROR(MATCH(A359,NERCHolidays!$B$2:$B$121,0),0)</f>
        <v>0</v>
      </c>
      <c r="D358">
        <f t="shared" si="114"/>
        <v>1</v>
      </c>
      <c r="E358" t="str">
        <f t="shared" si="109"/>
        <v>PK</v>
      </c>
      <c r="F358">
        <f t="shared" si="110"/>
        <v>5</v>
      </c>
      <c r="G358">
        <f t="shared" si="111"/>
        <v>1</v>
      </c>
      <c r="H358">
        <f t="shared" si="112"/>
        <v>0</v>
      </c>
      <c r="I358">
        <f t="shared" si="115"/>
        <v>1</v>
      </c>
      <c r="J358">
        <f t="shared" si="116"/>
        <v>0</v>
      </c>
      <c r="K358">
        <f t="shared" si="113"/>
        <v>6</v>
      </c>
      <c r="L358" s="179">
        <f>'Aztec Metered Load'!C362</f>
        <v>4.7290000000000001</v>
      </c>
    </row>
    <row r="359" spans="1:12" x14ac:dyDescent="0.3">
      <c r="A359" s="19">
        <f t="shared" si="117"/>
        <v>45762</v>
      </c>
      <c r="B359">
        <f t="shared" si="118"/>
        <v>21</v>
      </c>
      <c r="C359" s="16">
        <f>IFERROR(MATCH(A360,NERCHolidays!$B$2:$B$121,0),0)</f>
        <v>0</v>
      </c>
      <c r="D359">
        <f t="shared" si="114"/>
        <v>1</v>
      </c>
      <c r="E359" t="str">
        <f t="shared" si="109"/>
        <v>PK</v>
      </c>
      <c r="F359">
        <f t="shared" si="110"/>
        <v>5</v>
      </c>
      <c r="G359">
        <f t="shared" si="111"/>
        <v>1</v>
      </c>
      <c r="H359">
        <f t="shared" si="112"/>
        <v>0</v>
      </c>
      <c r="I359">
        <f t="shared" si="115"/>
        <v>1</v>
      </c>
      <c r="J359">
        <f t="shared" si="116"/>
        <v>0</v>
      </c>
      <c r="K359">
        <f t="shared" si="113"/>
        <v>6</v>
      </c>
      <c r="L359" s="179">
        <f>'Aztec Metered Load'!C363</f>
        <v>4.4290000000000003</v>
      </c>
    </row>
    <row r="360" spans="1:12" x14ac:dyDescent="0.3">
      <c r="A360" s="19">
        <f t="shared" si="117"/>
        <v>45762</v>
      </c>
      <c r="B360">
        <f t="shared" si="118"/>
        <v>22</v>
      </c>
      <c r="C360" s="16">
        <f>IFERROR(MATCH(A361,NERCHolidays!$B$2:$B$121,0),0)</f>
        <v>0</v>
      </c>
      <c r="D360">
        <f t="shared" si="114"/>
        <v>1</v>
      </c>
      <c r="E360" t="str">
        <f t="shared" si="109"/>
        <v>PK</v>
      </c>
      <c r="F360">
        <f t="shared" si="110"/>
        <v>5</v>
      </c>
      <c r="G360">
        <f t="shared" si="111"/>
        <v>1</v>
      </c>
      <c r="H360">
        <f t="shared" si="112"/>
        <v>0</v>
      </c>
      <c r="I360">
        <f t="shared" si="115"/>
        <v>1</v>
      </c>
      <c r="J360">
        <f t="shared" si="116"/>
        <v>0</v>
      </c>
      <c r="K360">
        <f t="shared" si="113"/>
        <v>6</v>
      </c>
      <c r="L360" s="179">
        <f>'Aztec Metered Load'!C364</f>
        <v>3.9540000000000002</v>
      </c>
    </row>
    <row r="361" spans="1:12" x14ac:dyDescent="0.3">
      <c r="A361" s="19">
        <f t="shared" si="117"/>
        <v>45762</v>
      </c>
      <c r="B361">
        <f t="shared" si="118"/>
        <v>23</v>
      </c>
      <c r="C361" s="16">
        <f>IFERROR(MATCH(A362,NERCHolidays!$B$2:$B$121,0),0)</f>
        <v>0</v>
      </c>
      <c r="D361">
        <f t="shared" si="114"/>
        <v>1</v>
      </c>
      <c r="E361" t="str">
        <f t="shared" si="109"/>
        <v>PK</v>
      </c>
      <c r="F361">
        <f t="shared" si="110"/>
        <v>5</v>
      </c>
      <c r="G361">
        <f t="shared" si="111"/>
        <v>1</v>
      </c>
      <c r="H361">
        <f t="shared" si="112"/>
        <v>0</v>
      </c>
      <c r="I361">
        <f t="shared" si="115"/>
        <v>1</v>
      </c>
      <c r="J361">
        <f t="shared" si="116"/>
        <v>0</v>
      </c>
      <c r="K361">
        <f t="shared" si="113"/>
        <v>6</v>
      </c>
      <c r="L361" s="179">
        <f>'Aztec Metered Load'!C365</f>
        <v>3.4940000000000002</v>
      </c>
    </row>
    <row r="362" spans="1:12" x14ac:dyDescent="0.3">
      <c r="A362" s="19">
        <f t="shared" si="117"/>
        <v>45762</v>
      </c>
      <c r="B362">
        <f t="shared" si="118"/>
        <v>24</v>
      </c>
      <c r="C362" s="16">
        <f>IFERROR(MATCH(A363,NERCHolidays!$B$2:$B$121,0),0)</f>
        <v>0</v>
      </c>
      <c r="D362">
        <f t="shared" si="114"/>
        <v>0</v>
      </c>
      <c r="E362" t="str">
        <f t="shared" si="109"/>
        <v>OP</v>
      </c>
      <c r="F362">
        <f t="shared" si="110"/>
        <v>5</v>
      </c>
      <c r="G362">
        <f t="shared" si="111"/>
        <v>0</v>
      </c>
      <c r="H362">
        <f t="shared" si="112"/>
        <v>0</v>
      </c>
      <c r="I362">
        <f t="shared" si="115"/>
        <v>1</v>
      </c>
      <c r="J362">
        <f t="shared" si="116"/>
        <v>0</v>
      </c>
      <c r="K362">
        <f t="shared" si="113"/>
        <v>5</v>
      </c>
      <c r="L362" s="179">
        <f>'Aztec Metered Load'!C366</f>
        <v>3.2410000000000001</v>
      </c>
    </row>
    <row r="363" spans="1:12" x14ac:dyDescent="0.3">
      <c r="A363" s="19">
        <f t="shared" si="117"/>
        <v>45763</v>
      </c>
      <c r="B363">
        <f t="shared" si="118"/>
        <v>1</v>
      </c>
      <c r="C363" s="16">
        <f>IFERROR(MATCH(A364,NERCHolidays!$B$2:$B$121,0),0)</f>
        <v>0</v>
      </c>
      <c r="D363">
        <f t="shared" si="114"/>
        <v>0</v>
      </c>
      <c r="E363" t="str">
        <f t="shared" si="109"/>
        <v>OP</v>
      </c>
      <c r="F363">
        <f t="shared" si="110"/>
        <v>5</v>
      </c>
      <c r="G363">
        <f t="shared" si="111"/>
        <v>1</v>
      </c>
      <c r="H363">
        <f t="shared" si="112"/>
        <v>0</v>
      </c>
      <c r="I363">
        <f t="shared" si="115"/>
        <v>1</v>
      </c>
      <c r="J363">
        <f t="shared" si="116"/>
        <v>0</v>
      </c>
      <c r="K363">
        <f t="shared" si="113"/>
        <v>6</v>
      </c>
      <c r="L363" s="179">
        <f>'Aztec Metered Load'!C367</f>
        <v>3.1280000000000001</v>
      </c>
    </row>
    <row r="364" spans="1:12" x14ac:dyDescent="0.3">
      <c r="A364" s="19">
        <f t="shared" si="117"/>
        <v>45763</v>
      </c>
      <c r="B364">
        <f t="shared" si="118"/>
        <v>2</v>
      </c>
      <c r="C364" s="16">
        <f>IFERROR(MATCH(A365,NERCHolidays!$B$2:$B$121,0),0)</f>
        <v>0</v>
      </c>
      <c r="D364">
        <f t="shared" si="114"/>
        <v>0</v>
      </c>
      <c r="E364" t="str">
        <f t="shared" si="109"/>
        <v>OP</v>
      </c>
      <c r="F364">
        <f t="shared" si="110"/>
        <v>5</v>
      </c>
      <c r="G364">
        <f t="shared" si="111"/>
        <v>1</v>
      </c>
      <c r="H364">
        <f t="shared" si="112"/>
        <v>0</v>
      </c>
      <c r="I364">
        <f t="shared" si="115"/>
        <v>1</v>
      </c>
      <c r="J364">
        <f t="shared" si="116"/>
        <v>0</v>
      </c>
      <c r="K364">
        <f t="shared" si="113"/>
        <v>6</v>
      </c>
      <c r="L364" s="179">
        <f>'Aztec Metered Load'!C368</f>
        <v>3.0950000000000002</v>
      </c>
    </row>
    <row r="365" spans="1:12" x14ac:dyDescent="0.3">
      <c r="A365" s="19">
        <f t="shared" si="117"/>
        <v>45763</v>
      </c>
      <c r="B365">
        <f t="shared" si="118"/>
        <v>3</v>
      </c>
      <c r="C365" s="16">
        <f>IFERROR(MATCH(A366,NERCHolidays!$B$2:$B$121,0),0)</f>
        <v>0</v>
      </c>
      <c r="D365">
        <f t="shared" si="114"/>
        <v>0</v>
      </c>
      <c r="E365" t="str">
        <f t="shared" si="109"/>
        <v>OP</v>
      </c>
      <c r="F365">
        <f t="shared" si="110"/>
        <v>5</v>
      </c>
      <c r="G365">
        <f t="shared" si="111"/>
        <v>1</v>
      </c>
      <c r="H365">
        <f t="shared" si="112"/>
        <v>0</v>
      </c>
      <c r="I365">
        <f t="shared" si="115"/>
        <v>2</v>
      </c>
      <c r="J365">
        <f t="shared" si="116"/>
        <v>0</v>
      </c>
      <c r="K365">
        <f t="shared" si="113"/>
        <v>6</v>
      </c>
      <c r="L365" s="179">
        <f>'Aztec Metered Load'!C369</f>
        <v>3.149</v>
      </c>
    </row>
    <row r="366" spans="1:12" x14ac:dyDescent="0.3">
      <c r="A366" s="19">
        <f t="shared" si="117"/>
        <v>45763</v>
      </c>
      <c r="B366">
        <f t="shared" si="118"/>
        <v>4</v>
      </c>
      <c r="C366" s="16">
        <f>IFERROR(MATCH(A367,NERCHolidays!$B$2:$B$121,0),0)</f>
        <v>0</v>
      </c>
      <c r="D366">
        <f t="shared" si="114"/>
        <v>0</v>
      </c>
      <c r="E366" t="str">
        <f t="shared" si="109"/>
        <v>OP</v>
      </c>
      <c r="F366">
        <f t="shared" si="110"/>
        <v>5</v>
      </c>
      <c r="G366">
        <f t="shared" si="111"/>
        <v>1</v>
      </c>
      <c r="H366">
        <f t="shared" si="112"/>
        <v>0</v>
      </c>
      <c r="I366">
        <f t="shared" si="115"/>
        <v>2</v>
      </c>
      <c r="J366">
        <f t="shared" si="116"/>
        <v>0</v>
      </c>
      <c r="K366">
        <f t="shared" si="113"/>
        <v>6</v>
      </c>
      <c r="L366" s="179">
        <f>'Aztec Metered Load'!C370</f>
        <v>3.39</v>
      </c>
    </row>
    <row r="367" spans="1:12" x14ac:dyDescent="0.3">
      <c r="A367" s="19">
        <f t="shared" si="117"/>
        <v>45763</v>
      </c>
      <c r="B367">
        <f t="shared" si="118"/>
        <v>5</v>
      </c>
      <c r="C367" s="16">
        <f>IFERROR(MATCH(A368,NERCHolidays!$B$2:$B$121,0),0)</f>
        <v>0</v>
      </c>
      <c r="D367">
        <f t="shared" si="114"/>
        <v>0</v>
      </c>
      <c r="E367" t="str">
        <f t="shared" si="109"/>
        <v>OP</v>
      </c>
      <c r="F367">
        <f t="shared" si="110"/>
        <v>5</v>
      </c>
      <c r="G367">
        <f t="shared" si="111"/>
        <v>1</v>
      </c>
      <c r="H367">
        <f t="shared" si="112"/>
        <v>0</v>
      </c>
      <c r="I367">
        <f t="shared" si="115"/>
        <v>2</v>
      </c>
      <c r="J367">
        <f t="shared" si="116"/>
        <v>0</v>
      </c>
      <c r="K367">
        <f t="shared" si="113"/>
        <v>6</v>
      </c>
      <c r="L367" s="179">
        <f>'Aztec Metered Load'!C371</f>
        <v>3.6379999999999999</v>
      </c>
    </row>
    <row r="368" spans="1:12" x14ac:dyDescent="0.3">
      <c r="A368" s="19">
        <f t="shared" si="117"/>
        <v>45763</v>
      </c>
      <c r="B368">
        <f t="shared" si="118"/>
        <v>6</v>
      </c>
      <c r="C368" s="16">
        <f>IFERROR(MATCH(A369,NERCHolidays!$B$2:$B$121,0),0)</f>
        <v>0</v>
      </c>
      <c r="D368">
        <f t="shared" si="114"/>
        <v>0</v>
      </c>
      <c r="E368" t="str">
        <f t="shared" si="109"/>
        <v>OP</v>
      </c>
      <c r="F368">
        <f t="shared" si="110"/>
        <v>5</v>
      </c>
      <c r="G368">
        <f t="shared" si="111"/>
        <v>1</v>
      </c>
      <c r="H368">
        <f t="shared" si="112"/>
        <v>0</v>
      </c>
      <c r="I368">
        <f t="shared" si="115"/>
        <v>1</v>
      </c>
      <c r="J368">
        <f t="shared" si="116"/>
        <v>0</v>
      </c>
      <c r="K368">
        <f t="shared" si="113"/>
        <v>6</v>
      </c>
      <c r="L368" s="179">
        <f>'Aztec Metered Load'!C372</f>
        <v>4.056</v>
      </c>
    </row>
    <row r="369" spans="1:12" x14ac:dyDescent="0.3">
      <c r="A369" s="19">
        <f t="shared" si="117"/>
        <v>45763</v>
      </c>
      <c r="B369">
        <f t="shared" si="118"/>
        <v>7</v>
      </c>
      <c r="C369" s="16">
        <f>IFERROR(MATCH(A370,NERCHolidays!$B$2:$B$121,0),0)</f>
        <v>0</v>
      </c>
      <c r="D369">
        <f t="shared" si="114"/>
        <v>0</v>
      </c>
      <c r="E369" t="str">
        <f t="shared" si="109"/>
        <v>OP</v>
      </c>
      <c r="F369">
        <f t="shared" si="110"/>
        <v>5</v>
      </c>
      <c r="G369">
        <f t="shared" si="111"/>
        <v>1</v>
      </c>
      <c r="H369">
        <f t="shared" si="112"/>
        <v>0</v>
      </c>
      <c r="I369">
        <f t="shared" si="115"/>
        <v>1</v>
      </c>
      <c r="J369">
        <f t="shared" si="116"/>
        <v>0</v>
      </c>
      <c r="K369">
        <f t="shared" si="113"/>
        <v>6</v>
      </c>
      <c r="L369" s="179">
        <f>'Aztec Metered Load'!C373</f>
        <v>4.274</v>
      </c>
    </row>
    <row r="370" spans="1:12" x14ac:dyDescent="0.3">
      <c r="A370" s="19">
        <f t="shared" si="117"/>
        <v>45763</v>
      </c>
      <c r="B370">
        <f t="shared" si="118"/>
        <v>8</v>
      </c>
      <c r="C370" s="16">
        <f>IFERROR(MATCH(A371,NERCHolidays!$B$2:$B$121,0),0)</f>
        <v>0</v>
      </c>
      <c r="D370">
        <f t="shared" si="114"/>
        <v>1</v>
      </c>
      <c r="E370" t="str">
        <f t="shared" si="109"/>
        <v>PK</v>
      </c>
      <c r="F370">
        <f t="shared" si="110"/>
        <v>5</v>
      </c>
      <c r="G370">
        <f t="shared" si="111"/>
        <v>1</v>
      </c>
      <c r="H370">
        <f t="shared" si="112"/>
        <v>0</v>
      </c>
      <c r="I370">
        <f t="shared" si="115"/>
        <v>1</v>
      </c>
      <c r="J370">
        <f t="shared" si="116"/>
        <v>0</v>
      </c>
      <c r="K370">
        <f t="shared" si="113"/>
        <v>6</v>
      </c>
      <c r="L370" s="179">
        <f>'Aztec Metered Load'!C374</f>
        <v>4.1280000000000001</v>
      </c>
    </row>
    <row r="371" spans="1:12" x14ac:dyDescent="0.3">
      <c r="A371" s="19">
        <f t="shared" si="117"/>
        <v>45763</v>
      </c>
      <c r="B371">
        <f t="shared" si="118"/>
        <v>9</v>
      </c>
      <c r="C371" s="16">
        <f>IFERROR(MATCH(A372,NERCHolidays!$B$2:$B$121,0),0)</f>
        <v>0</v>
      </c>
      <c r="D371">
        <f t="shared" si="114"/>
        <v>1</v>
      </c>
      <c r="E371" t="str">
        <f t="shared" si="109"/>
        <v>PK</v>
      </c>
      <c r="F371">
        <f t="shared" si="110"/>
        <v>5</v>
      </c>
      <c r="G371">
        <f t="shared" si="111"/>
        <v>0</v>
      </c>
      <c r="H371">
        <f t="shared" si="112"/>
        <v>0</v>
      </c>
      <c r="I371">
        <f t="shared" si="115"/>
        <v>1</v>
      </c>
      <c r="J371">
        <f t="shared" si="116"/>
        <v>0</v>
      </c>
      <c r="K371">
        <f t="shared" si="113"/>
        <v>5</v>
      </c>
      <c r="L371" s="179">
        <f>'Aztec Metered Load'!C375</f>
        <v>4.2039999999999997</v>
      </c>
    </row>
    <row r="372" spans="1:12" x14ac:dyDescent="0.3">
      <c r="A372" s="19">
        <f t="shared" si="117"/>
        <v>45763</v>
      </c>
      <c r="B372">
        <f t="shared" si="118"/>
        <v>10</v>
      </c>
      <c r="C372" s="16">
        <f>IFERROR(MATCH(A373,NERCHolidays!$B$2:$B$121,0),0)</f>
        <v>0</v>
      </c>
      <c r="D372">
        <f t="shared" si="114"/>
        <v>1</v>
      </c>
      <c r="E372" t="str">
        <f t="shared" si="109"/>
        <v>PK</v>
      </c>
      <c r="F372">
        <f t="shared" si="110"/>
        <v>5</v>
      </c>
      <c r="G372">
        <f t="shared" si="111"/>
        <v>0</v>
      </c>
      <c r="H372">
        <f t="shared" si="112"/>
        <v>0</v>
      </c>
      <c r="I372">
        <f t="shared" si="115"/>
        <v>1</v>
      </c>
      <c r="J372">
        <f t="shared" si="116"/>
        <v>0</v>
      </c>
      <c r="K372">
        <f t="shared" si="113"/>
        <v>5</v>
      </c>
      <c r="L372" s="179">
        <f>'Aztec Metered Load'!C376</f>
        <v>4.048</v>
      </c>
    </row>
    <row r="373" spans="1:12" x14ac:dyDescent="0.3">
      <c r="A373" s="19">
        <f t="shared" si="117"/>
        <v>45763</v>
      </c>
      <c r="B373">
        <f t="shared" si="118"/>
        <v>11</v>
      </c>
      <c r="C373" s="16">
        <f>IFERROR(MATCH(A374,NERCHolidays!$B$2:$B$121,0),0)</f>
        <v>0</v>
      </c>
      <c r="D373">
        <f t="shared" si="114"/>
        <v>1</v>
      </c>
      <c r="E373" t="str">
        <f t="shared" si="109"/>
        <v>PK</v>
      </c>
      <c r="F373">
        <f t="shared" si="110"/>
        <v>5</v>
      </c>
      <c r="G373">
        <f t="shared" si="111"/>
        <v>0</v>
      </c>
      <c r="H373">
        <f t="shared" si="112"/>
        <v>0</v>
      </c>
      <c r="I373">
        <f t="shared" si="115"/>
        <v>1</v>
      </c>
      <c r="J373">
        <f t="shared" si="116"/>
        <v>0</v>
      </c>
      <c r="K373">
        <f t="shared" si="113"/>
        <v>5</v>
      </c>
      <c r="L373" s="179">
        <f>'Aztec Metered Load'!C377</f>
        <v>4.0179999999999998</v>
      </c>
    </row>
    <row r="374" spans="1:12" x14ac:dyDescent="0.3">
      <c r="A374" s="19">
        <f t="shared" si="117"/>
        <v>45763</v>
      </c>
      <c r="B374">
        <f t="shared" si="118"/>
        <v>12</v>
      </c>
      <c r="C374" s="16">
        <f>IFERROR(MATCH(A375,NERCHolidays!$B$2:$B$121,0),0)</f>
        <v>0</v>
      </c>
      <c r="D374">
        <f t="shared" si="114"/>
        <v>1</v>
      </c>
      <c r="E374" t="str">
        <f t="shared" si="109"/>
        <v>PK</v>
      </c>
      <c r="F374">
        <f t="shared" si="110"/>
        <v>5</v>
      </c>
      <c r="G374">
        <f t="shared" si="111"/>
        <v>0</v>
      </c>
      <c r="H374">
        <f t="shared" si="112"/>
        <v>0</v>
      </c>
      <c r="I374">
        <f t="shared" si="115"/>
        <v>1</v>
      </c>
      <c r="J374">
        <f t="shared" si="116"/>
        <v>0</v>
      </c>
      <c r="K374">
        <f t="shared" si="113"/>
        <v>5</v>
      </c>
      <c r="L374" s="179">
        <f>'Aztec Metered Load'!C378</f>
        <v>4.0309999999999997</v>
      </c>
    </row>
    <row r="375" spans="1:12" x14ac:dyDescent="0.3">
      <c r="A375" s="19">
        <f t="shared" si="117"/>
        <v>45763</v>
      </c>
      <c r="B375">
        <f t="shared" si="118"/>
        <v>13</v>
      </c>
      <c r="C375" s="16">
        <f>IFERROR(MATCH(A376,NERCHolidays!$B$2:$B$121,0),0)</f>
        <v>0</v>
      </c>
      <c r="D375">
        <f t="shared" si="114"/>
        <v>1</v>
      </c>
      <c r="E375" t="str">
        <f t="shared" si="109"/>
        <v>PK</v>
      </c>
      <c r="F375">
        <f t="shared" si="110"/>
        <v>5</v>
      </c>
      <c r="G375">
        <f t="shared" si="111"/>
        <v>0</v>
      </c>
      <c r="H375">
        <f t="shared" si="112"/>
        <v>0</v>
      </c>
      <c r="I375">
        <f t="shared" si="115"/>
        <v>1</v>
      </c>
      <c r="J375">
        <f t="shared" si="116"/>
        <v>0</v>
      </c>
      <c r="K375">
        <f t="shared" si="113"/>
        <v>5</v>
      </c>
      <c r="L375" s="179">
        <f>'Aztec Metered Load'!C379</f>
        <v>4.1900000000000004</v>
      </c>
    </row>
    <row r="376" spans="1:12" x14ac:dyDescent="0.3">
      <c r="A376" s="19">
        <f t="shared" si="117"/>
        <v>45763</v>
      </c>
      <c r="B376">
        <f t="shared" si="118"/>
        <v>14</v>
      </c>
      <c r="C376" s="16">
        <f>IFERROR(MATCH(A377,NERCHolidays!$B$2:$B$121,0),0)</f>
        <v>0</v>
      </c>
      <c r="D376">
        <f t="shared" si="114"/>
        <v>1</v>
      </c>
      <c r="E376" t="str">
        <f t="shared" si="109"/>
        <v>PK</v>
      </c>
      <c r="F376">
        <f t="shared" si="110"/>
        <v>5</v>
      </c>
      <c r="G376">
        <f t="shared" si="111"/>
        <v>0</v>
      </c>
      <c r="H376">
        <f t="shared" si="112"/>
        <v>0</v>
      </c>
      <c r="I376">
        <f t="shared" si="115"/>
        <v>1</v>
      </c>
      <c r="J376">
        <f t="shared" si="116"/>
        <v>0</v>
      </c>
      <c r="K376">
        <f t="shared" si="113"/>
        <v>5</v>
      </c>
      <c r="L376" s="179">
        <f>'Aztec Metered Load'!C380</f>
        <v>4.3339999999999996</v>
      </c>
    </row>
    <row r="377" spans="1:12" x14ac:dyDescent="0.3">
      <c r="A377" s="19">
        <f t="shared" si="117"/>
        <v>45763</v>
      </c>
      <c r="B377">
        <f t="shared" si="118"/>
        <v>15</v>
      </c>
      <c r="C377" s="16">
        <f>IFERROR(MATCH(A378,NERCHolidays!$B$2:$B$121,0),0)</f>
        <v>0</v>
      </c>
      <c r="D377">
        <f t="shared" si="114"/>
        <v>1</v>
      </c>
      <c r="E377" t="str">
        <f t="shared" si="109"/>
        <v>PK</v>
      </c>
      <c r="F377">
        <f t="shared" si="110"/>
        <v>5</v>
      </c>
      <c r="G377">
        <f t="shared" si="111"/>
        <v>0</v>
      </c>
      <c r="H377">
        <f t="shared" si="112"/>
        <v>0</v>
      </c>
      <c r="I377">
        <f t="shared" si="115"/>
        <v>1</v>
      </c>
      <c r="J377">
        <f t="shared" si="116"/>
        <v>0</v>
      </c>
      <c r="K377">
        <f t="shared" si="113"/>
        <v>5</v>
      </c>
      <c r="L377" s="179">
        <f>'Aztec Metered Load'!C381</f>
        <v>4.4269999999999996</v>
      </c>
    </row>
    <row r="378" spans="1:12" x14ac:dyDescent="0.3">
      <c r="A378" s="19">
        <f t="shared" si="117"/>
        <v>45763</v>
      </c>
      <c r="B378">
        <f t="shared" si="118"/>
        <v>16</v>
      </c>
      <c r="C378" s="16">
        <f>IFERROR(MATCH(A379,NERCHolidays!$B$2:$B$121,0),0)</f>
        <v>0</v>
      </c>
      <c r="D378">
        <f t="shared" si="114"/>
        <v>1</v>
      </c>
      <c r="E378" t="str">
        <f t="shared" si="109"/>
        <v>PK</v>
      </c>
      <c r="F378">
        <f t="shared" si="110"/>
        <v>5</v>
      </c>
      <c r="G378">
        <f t="shared" si="111"/>
        <v>0</v>
      </c>
      <c r="H378">
        <f t="shared" si="112"/>
        <v>0</v>
      </c>
      <c r="I378">
        <f t="shared" si="115"/>
        <v>1</v>
      </c>
      <c r="J378">
        <f t="shared" si="116"/>
        <v>0</v>
      </c>
      <c r="K378">
        <f t="shared" si="113"/>
        <v>5</v>
      </c>
      <c r="L378" s="179">
        <f>'Aztec Metered Load'!C382</f>
        <v>4.556</v>
      </c>
    </row>
    <row r="379" spans="1:12" x14ac:dyDescent="0.3">
      <c r="A379" s="19">
        <f t="shared" si="117"/>
        <v>45763</v>
      </c>
      <c r="B379">
        <f t="shared" si="118"/>
        <v>17</v>
      </c>
      <c r="C379" s="16">
        <f>IFERROR(MATCH(A380,NERCHolidays!$B$2:$B$121,0),0)</f>
        <v>0</v>
      </c>
      <c r="D379">
        <f t="shared" si="114"/>
        <v>1</v>
      </c>
      <c r="E379" t="str">
        <f t="shared" si="109"/>
        <v>PK</v>
      </c>
      <c r="F379">
        <f t="shared" si="110"/>
        <v>5</v>
      </c>
      <c r="G379">
        <f t="shared" si="111"/>
        <v>0</v>
      </c>
      <c r="H379">
        <f t="shared" si="112"/>
        <v>0</v>
      </c>
      <c r="I379">
        <f t="shared" si="115"/>
        <v>1</v>
      </c>
      <c r="J379">
        <f t="shared" si="116"/>
        <v>0</v>
      </c>
      <c r="K379">
        <f t="shared" si="113"/>
        <v>5</v>
      </c>
      <c r="L379" s="179">
        <f>'Aztec Metered Load'!C383</f>
        <v>4.7249999999999996</v>
      </c>
    </row>
    <row r="380" spans="1:12" x14ac:dyDescent="0.3">
      <c r="A380" s="19">
        <f t="shared" si="117"/>
        <v>45763</v>
      </c>
      <c r="B380">
        <f t="shared" si="118"/>
        <v>18</v>
      </c>
      <c r="C380" s="16">
        <f>IFERROR(MATCH(A381,NERCHolidays!$B$2:$B$121,0),0)</f>
        <v>0</v>
      </c>
      <c r="D380">
        <f t="shared" si="114"/>
        <v>1</v>
      </c>
      <c r="E380" t="str">
        <f t="shared" si="109"/>
        <v>PK</v>
      </c>
      <c r="F380">
        <f t="shared" si="110"/>
        <v>5</v>
      </c>
      <c r="G380">
        <f t="shared" si="111"/>
        <v>0</v>
      </c>
      <c r="H380">
        <f t="shared" si="112"/>
        <v>0</v>
      </c>
      <c r="I380">
        <f t="shared" si="115"/>
        <v>1</v>
      </c>
      <c r="J380">
        <f t="shared" si="116"/>
        <v>0</v>
      </c>
      <c r="K380">
        <f t="shared" si="113"/>
        <v>5</v>
      </c>
      <c r="L380" s="179">
        <f>'Aztec Metered Load'!C384</f>
        <v>4.7050000000000001</v>
      </c>
    </row>
    <row r="381" spans="1:12" x14ac:dyDescent="0.3">
      <c r="A381" s="19">
        <f t="shared" si="117"/>
        <v>45763</v>
      </c>
      <c r="B381">
        <f t="shared" si="118"/>
        <v>19</v>
      </c>
      <c r="C381" s="16">
        <f>IFERROR(MATCH(A382,NERCHolidays!$B$2:$B$121,0),0)</f>
        <v>0</v>
      </c>
      <c r="D381">
        <f t="shared" si="114"/>
        <v>1</v>
      </c>
      <c r="E381" t="str">
        <f t="shared" si="109"/>
        <v>PK</v>
      </c>
      <c r="F381">
        <f t="shared" si="110"/>
        <v>5</v>
      </c>
      <c r="G381">
        <f t="shared" si="111"/>
        <v>1</v>
      </c>
      <c r="H381">
        <f t="shared" si="112"/>
        <v>0</v>
      </c>
      <c r="I381">
        <f t="shared" si="115"/>
        <v>1</v>
      </c>
      <c r="J381">
        <f t="shared" si="116"/>
        <v>0</v>
      </c>
      <c r="K381">
        <f t="shared" si="113"/>
        <v>6</v>
      </c>
      <c r="L381" s="179">
        <f>'Aztec Metered Load'!C385</f>
        <v>4.7960000000000003</v>
      </c>
    </row>
    <row r="382" spans="1:12" x14ac:dyDescent="0.3">
      <c r="A382" s="19">
        <f t="shared" si="117"/>
        <v>45763</v>
      </c>
      <c r="B382">
        <f t="shared" si="118"/>
        <v>20</v>
      </c>
      <c r="C382" s="16">
        <f>IFERROR(MATCH(A383,NERCHolidays!$B$2:$B$121,0),0)</f>
        <v>0</v>
      </c>
      <c r="D382">
        <f t="shared" si="114"/>
        <v>1</v>
      </c>
      <c r="E382" t="str">
        <f t="shared" si="109"/>
        <v>PK</v>
      </c>
      <c r="F382">
        <f t="shared" si="110"/>
        <v>5</v>
      </c>
      <c r="G382">
        <f t="shared" si="111"/>
        <v>1</v>
      </c>
      <c r="H382">
        <f t="shared" si="112"/>
        <v>0</v>
      </c>
      <c r="I382">
        <f t="shared" si="115"/>
        <v>1</v>
      </c>
      <c r="J382">
        <f t="shared" si="116"/>
        <v>0</v>
      </c>
      <c r="K382">
        <f t="shared" si="113"/>
        <v>6</v>
      </c>
      <c r="L382" s="179">
        <f>'Aztec Metered Load'!C386</f>
        <v>4.7690000000000001</v>
      </c>
    </row>
    <row r="383" spans="1:12" x14ac:dyDescent="0.3">
      <c r="A383" s="19">
        <f t="shared" si="117"/>
        <v>45763</v>
      </c>
      <c r="B383">
        <f t="shared" si="118"/>
        <v>21</v>
      </c>
      <c r="C383" s="16">
        <f>IFERROR(MATCH(A384,NERCHolidays!$B$2:$B$121,0),0)</f>
        <v>0</v>
      </c>
      <c r="D383">
        <f t="shared" si="114"/>
        <v>1</v>
      </c>
      <c r="E383" t="str">
        <f t="shared" si="109"/>
        <v>PK</v>
      </c>
      <c r="F383">
        <f t="shared" si="110"/>
        <v>5</v>
      </c>
      <c r="G383">
        <f t="shared" si="111"/>
        <v>1</v>
      </c>
      <c r="H383">
        <f t="shared" si="112"/>
        <v>0</v>
      </c>
      <c r="I383">
        <f t="shared" si="115"/>
        <v>1</v>
      </c>
      <c r="J383">
        <f t="shared" si="116"/>
        <v>0</v>
      </c>
      <c r="K383">
        <f t="shared" si="113"/>
        <v>6</v>
      </c>
      <c r="L383" s="179">
        <f>'Aztec Metered Load'!C387</f>
        <v>4.3140000000000001</v>
      </c>
    </row>
    <row r="384" spans="1:12" x14ac:dyDescent="0.3">
      <c r="A384" s="19">
        <f t="shared" si="117"/>
        <v>45763</v>
      </c>
      <c r="B384">
        <f t="shared" si="118"/>
        <v>22</v>
      </c>
      <c r="C384" s="16">
        <f>IFERROR(MATCH(A385,NERCHolidays!$B$2:$B$121,0),0)</f>
        <v>0</v>
      </c>
      <c r="D384">
        <f t="shared" si="114"/>
        <v>1</v>
      </c>
      <c r="E384" t="str">
        <f t="shared" si="109"/>
        <v>PK</v>
      </c>
      <c r="F384">
        <f t="shared" si="110"/>
        <v>5</v>
      </c>
      <c r="G384">
        <f t="shared" si="111"/>
        <v>1</v>
      </c>
      <c r="H384">
        <f t="shared" si="112"/>
        <v>0</v>
      </c>
      <c r="I384">
        <f t="shared" si="115"/>
        <v>1</v>
      </c>
      <c r="J384">
        <f t="shared" si="116"/>
        <v>0</v>
      </c>
      <c r="K384">
        <f t="shared" si="113"/>
        <v>6</v>
      </c>
      <c r="L384" s="179">
        <f>'Aztec Metered Load'!C388</f>
        <v>3.8969999999999998</v>
      </c>
    </row>
    <row r="385" spans="1:12" x14ac:dyDescent="0.3">
      <c r="A385" s="19">
        <f t="shared" si="117"/>
        <v>45763</v>
      </c>
      <c r="B385">
        <f t="shared" si="118"/>
        <v>23</v>
      </c>
      <c r="C385" s="16">
        <f>IFERROR(MATCH(A386,NERCHolidays!$B$2:$B$121,0),0)</f>
        <v>0</v>
      </c>
      <c r="D385">
        <f t="shared" si="114"/>
        <v>1</v>
      </c>
      <c r="E385" t="str">
        <f t="shared" si="109"/>
        <v>PK</v>
      </c>
      <c r="F385">
        <f t="shared" si="110"/>
        <v>5</v>
      </c>
      <c r="G385">
        <f t="shared" si="111"/>
        <v>1</v>
      </c>
      <c r="H385">
        <f t="shared" si="112"/>
        <v>0</v>
      </c>
      <c r="I385">
        <f t="shared" si="115"/>
        <v>1</v>
      </c>
      <c r="J385">
        <f t="shared" si="116"/>
        <v>0</v>
      </c>
      <c r="K385">
        <f t="shared" si="113"/>
        <v>6</v>
      </c>
      <c r="L385" s="179">
        <f>'Aztec Metered Load'!C389</f>
        <v>3.57</v>
      </c>
    </row>
    <row r="386" spans="1:12" x14ac:dyDescent="0.3">
      <c r="A386" s="19">
        <f t="shared" si="117"/>
        <v>45763</v>
      </c>
      <c r="B386">
        <f t="shared" si="118"/>
        <v>24</v>
      </c>
      <c r="C386" s="16">
        <f>IFERROR(MATCH(A387,NERCHolidays!$B$2:$B$121,0),0)</f>
        <v>0</v>
      </c>
      <c r="D386">
        <f t="shared" si="114"/>
        <v>0</v>
      </c>
      <c r="E386" t="str">
        <f t="shared" si="109"/>
        <v>OP</v>
      </c>
      <c r="F386">
        <f t="shared" si="110"/>
        <v>5</v>
      </c>
      <c r="G386">
        <f t="shared" si="111"/>
        <v>0</v>
      </c>
      <c r="H386">
        <f t="shared" si="112"/>
        <v>0</v>
      </c>
      <c r="I386">
        <f t="shared" si="115"/>
        <v>1</v>
      </c>
      <c r="J386">
        <f t="shared" si="116"/>
        <v>0</v>
      </c>
      <c r="K386">
        <f t="shared" si="113"/>
        <v>5</v>
      </c>
      <c r="L386" s="179">
        <f>'Aztec Metered Load'!C390</f>
        <v>3.3050000000000002</v>
      </c>
    </row>
    <row r="387" spans="1:12" x14ac:dyDescent="0.3">
      <c r="A387" s="19">
        <f t="shared" si="117"/>
        <v>45764</v>
      </c>
      <c r="B387">
        <f t="shared" si="118"/>
        <v>1</v>
      </c>
      <c r="C387" s="16">
        <f>IFERROR(MATCH(A388,NERCHolidays!$B$2:$B$121,0),0)</f>
        <v>0</v>
      </c>
      <c r="D387">
        <f t="shared" si="114"/>
        <v>0</v>
      </c>
      <c r="E387" t="str">
        <f t="shared" ref="E387:E450" si="119">IF(OR(WEEKDAY(A387)=1,C387&lt;&gt;0),"OP",IF(D387=0,"OP","PK"))</f>
        <v>OP</v>
      </c>
      <c r="F387">
        <f t="shared" ref="F387:F450" si="120">VLOOKUP(A387,$O$3:$AN$34,B387+2,FALSE)</f>
        <v>5</v>
      </c>
      <c r="G387">
        <f t="shared" ref="G387:G450" si="121">VLOOKUP(A387,$O$107:$AM$138,B387+1,FALSE)</f>
        <v>1</v>
      </c>
      <c r="H387">
        <f t="shared" ref="H387:H450" si="122">VLOOKUP(A387,$O$142:$AM$173,B387+1,FALSE)</f>
        <v>0</v>
      </c>
      <c r="I387">
        <f t="shared" si="115"/>
        <v>1</v>
      </c>
      <c r="J387">
        <f t="shared" si="116"/>
        <v>0</v>
      </c>
      <c r="K387">
        <f t="shared" ref="K387:K450" si="123">VLOOKUP(A387,$O$175:$AM$206,B387+1,FALSE)</f>
        <v>6</v>
      </c>
      <c r="L387" s="179">
        <f>'Aztec Metered Load'!C391</f>
        <v>3.1920000000000002</v>
      </c>
    </row>
    <row r="388" spans="1:12" x14ac:dyDescent="0.3">
      <c r="A388" s="19">
        <f t="shared" si="117"/>
        <v>45764</v>
      </c>
      <c r="B388">
        <f t="shared" si="118"/>
        <v>2</v>
      </c>
      <c r="C388" s="16">
        <f>IFERROR(MATCH(A389,NERCHolidays!$B$2:$B$121,0),0)</f>
        <v>0</v>
      </c>
      <c r="D388">
        <f t="shared" ref="D388:D451" si="124">IF(AND(B388&gt;=8,B388&lt;=23),1,0)</f>
        <v>0</v>
      </c>
      <c r="E388" t="str">
        <f t="shared" si="119"/>
        <v>OP</v>
      </c>
      <c r="F388">
        <f t="shared" si="120"/>
        <v>5</v>
      </c>
      <c r="G388">
        <f t="shared" si="121"/>
        <v>1</v>
      </c>
      <c r="H388">
        <f t="shared" si="122"/>
        <v>0</v>
      </c>
      <c r="I388">
        <f t="shared" ref="I388:I451" si="125">VLOOKUP(A388,$O$40:$AN$70,B388+2,FALSE)</f>
        <v>1</v>
      </c>
      <c r="J388">
        <f t="shared" ref="J388:J451" si="126">VLOOKUP(A388,$O$73:$AN$104,B388+2,FALSE)</f>
        <v>0</v>
      </c>
      <c r="K388">
        <f t="shared" si="123"/>
        <v>6</v>
      </c>
      <c r="L388" s="179">
        <f>'Aztec Metered Load'!C392</f>
        <v>3.125</v>
      </c>
    </row>
    <row r="389" spans="1:12" x14ac:dyDescent="0.3">
      <c r="A389" s="19">
        <f t="shared" ref="A389:A452" si="127">IF(B388=24,A388+1,A388)</f>
        <v>45764</v>
      </c>
      <c r="B389">
        <f t="shared" ref="B389:B452" si="128">IF(B388=24,1,B388+1)</f>
        <v>3</v>
      </c>
      <c r="C389" s="16">
        <f>IFERROR(MATCH(A390,NERCHolidays!$B$2:$B$121,0),0)</f>
        <v>0</v>
      </c>
      <c r="D389">
        <f t="shared" si="124"/>
        <v>0</v>
      </c>
      <c r="E389" t="str">
        <f t="shared" si="119"/>
        <v>OP</v>
      </c>
      <c r="F389">
        <f t="shared" si="120"/>
        <v>5</v>
      </c>
      <c r="G389">
        <f t="shared" si="121"/>
        <v>1</v>
      </c>
      <c r="H389">
        <f t="shared" si="122"/>
        <v>0</v>
      </c>
      <c r="I389">
        <f t="shared" si="125"/>
        <v>1</v>
      </c>
      <c r="J389">
        <f t="shared" si="126"/>
        <v>0</v>
      </c>
      <c r="K389">
        <f t="shared" si="123"/>
        <v>6</v>
      </c>
      <c r="L389" s="179">
        <f>'Aztec Metered Load'!C393</f>
        <v>3.2149999999999999</v>
      </c>
    </row>
    <row r="390" spans="1:12" x14ac:dyDescent="0.3">
      <c r="A390" s="19">
        <f t="shared" si="127"/>
        <v>45764</v>
      </c>
      <c r="B390">
        <f t="shared" si="128"/>
        <v>4</v>
      </c>
      <c r="C390" s="16">
        <f>IFERROR(MATCH(A391,NERCHolidays!$B$2:$B$121,0),0)</f>
        <v>0</v>
      </c>
      <c r="D390">
        <f t="shared" si="124"/>
        <v>0</v>
      </c>
      <c r="E390" t="str">
        <f t="shared" si="119"/>
        <v>OP</v>
      </c>
      <c r="F390">
        <f t="shared" si="120"/>
        <v>5</v>
      </c>
      <c r="G390">
        <f t="shared" si="121"/>
        <v>1</v>
      </c>
      <c r="H390">
        <f t="shared" si="122"/>
        <v>0</v>
      </c>
      <c r="I390">
        <f t="shared" si="125"/>
        <v>2</v>
      </c>
      <c r="J390">
        <f t="shared" si="126"/>
        <v>0</v>
      </c>
      <c r="K390">
        <f t="shared" si="123"/>
        <v>6</v>
      </c>
      <c r="L390" s="179">
        <f>'Aztec Metered Load'!C394</f>
        <v>3.3860000000000001</v>
      </c>
    </row>
    <row r="391" spans="1:12" x14ac:dyDescent="0.3">
      <c r="A391" s="19">
        <f t="shared" si="127"/>
        <v>45764</v>
      </c>
      <c r="B391">
        <f t="shared" si="128"/>
        <v>5</v>
      </c>
      <c r="C391" s="16">
        <f>IFERROR(MATCH(A392,NERCHolidays!$B$2:$B$121,0),0)</f>
        <v>0</v>
      </c>
      <c r="D391">
        <f t="shared" si="124"/>
        <v>0</v>
      </c>
      <c r="E391" t="str">
        <f t="shared" si="119"/>
        <v>OP</v>
      </c>
      <c r="F391">
        <f t="shared" si="120"/>
        <v>5</v>
      </c>
      <c r="G391">
        <f t="shared" si="121"/>
        <v>1</v>
      </c>
      <c r="H391">
        <f t="shared" si="122"/>
        <v>0</v>
      </c>
      <c r="I391">
        <f t="shared" si="125"/>
        <v>2</v>
      </c>
      <c r="J391">
        <f t="shared" si="126"/>
        <v>0</v>
      </c>
      <c r="K391">
        <f t="shared" si="123"/>
        <v>6</v>
      </c>
      <c r="L391" s="179">
        <f>'Aztec Metered Load'!C395</f>
        <v>3.6709999999999998</v>
      </c>
    </row>
    <row r="392" spans="1:12" x14ac:dyDescent="0.3">
      <c r="A392" s="19">
        <f t="shared" si="127"/>
        <v>45764</v>
      </c>
      <c r="B392">
        <f t="shared" si="128"/>
        <v>6</v>
      </c>
      <c r="C392" s="16">
        <f>IFERROR(MATCH(A393,NERCHolidays!$B$2:$B$121,0),0)</f>
        <v>0</v>
      </c>
      <c r="D392">
        <f t="shared" si="124"/>
        <v>0</v>
      </c>
      <c r="E392" t="str">
        <f t="shared" si="119"/>
        <v>OP</v>
      </c>
      <c r="F392">
        <f t="shared" si="120"/>
        <v>5</v>
      </c>
      <c r="G392">
        <f t="shared" si="121"/>
        <v>1</v>
      </c>
      <c r="H392">
        <f t="shared" si="122"/>
        <v>0</v>
      </c>
      <c r="I392">
        <f t="shared" si="125"/>
        <v>1</v>
      </c>
      <c r="J392">
        <f t="shared" si="126"/>
        <v>0</v>
      </c>
      <c r="K392">
        <f t="shared" si="123"/>
        <v>6</v>
      </c>
      <c r="L392" s="179">
        <f>'Aztec Metered Load'!C396</f>
        <v>4.1109999999999998</v>
      </c>
    </row>
    <row r="393" spans="1:12" x14ac:dyDescent="0.3">
      <c r="A393" s="19">
        <f t="shared" si="127"/>
        <v>45764</v>
      </c>
      <c r="B393">
        <f t="shared" si="128"/>
        <v>7</v>
      </c>
      <c r="C393" s="16">
        <f>IFERROR(MATCH(A394,NERCHolidays!$B$2:$B$121,0),0)</f>
        <v>0</v>
      </c>
      <c r="D393">
        <f t="shared" si="124"/>
        <v>0</v>
      </c>
      <c r="E393" t="str">
        <f t="shared" si="119"/>
        <v>OP</v>
      </c>
      <c r="F393">
        <f t="shared" si="120"/>
        <v>5</v>
      </c>
      <c r="G393">
        <f t="shared" si="121"/>
        <v>1</v>
      </c>
      <c r="H393">
        <f t="shared" si="122"/>
        <v>0</v>
      </c>
      <c r="I393">
        <f t="shared" si="125"/>
        <v>1</v>
      </c>
      <c r="J393">
        <f t="shared" si="126"/>
        <v>0</v>
      </c>
      <c r="K393">
        <f t="shared" si="123"/>
        <v>6</v>
      </c>
      <c r="L393" s="179">
        <f>'Aztec Metered Load'!C397</f>
        <v>4.3289999999999997</v>
      </c>
    </row>
    <row r="394" spans="1:12" x14ac:dyDescent="0.3">
      <c r="A394" s="19">
        <f t="shared" si="127"/>
        <v>45764</v>
      </c>
      <c r="B394">
        <f t="shared" si="128"/>
        <v>8</v>
      </c>
      <c r="C394" s="16">
        <f>IFERROR(MATCH(A395,NERCHolidays!$B$2:$B$121,0),0)</f>
        <v>0</v>
      </c>
      <c r="D394">
        <f t="shared" si="124"/>
        <v>1</v>
      </c>
      <c r="E394" t="str">
        <f t="shared" si="119"/>
        <v>PK</v>
      </c>
      <c r="F394">
        <f t="shared" si="120"/>
        <v>5</v>
      </c>
      <c r="G394">
        <f t="shared" si="121"/>
        <v>1</v>
      </c>
      <c r="H394">
        <f t="shared" si="122"/>
        <v>0</v>
      </c>
      <c r="I394">
        <f t="shared" si="125"/>
        <v>1</v>
      </c>
      <c r="J394">
        <f t="shared" si="126"/>
        <v>0</v>
      </c>
      <c r="K394">
        <f t="shared" si="123"/>
        <v>6</v>
      </c>
      <c r="L394" s="179">
        <f>'Aztec Metered Load'!C398</f>
        <v>4.3630000000000004</v>
      </c>
    </row>
    <row r="395" spans="1:12" x14ac:dyDescent="0.3">
      <c r="A395" s="19">
        <f t="shared" si="127"/>
        <v>45764</v>
      </c>
      <c r="B395">
        <f t="shared" si="128"/>
        <v>9</v>
      </c>
      <c r="C395" s="16">
        <f>IFERROR(MATCH(A396,NERCHolidays!$B$2:$B$121,0),0)</f>
        <v>0</v>
      </c>
      <c r="D395">
        <f t="shared" si="124"/>
        <v>1</v>
      </c>
      <c r="E395" t="str">
        <f t="shared" si="119"/>
        <v>PK</v>
      </c>
      <c r="F395">
        <f t="shared" si="120"/>
        <v>5</v>
      </c>
      <c r="G395">
        <f t="shared" si="121"/>
        <v>0</v>
      </c>
      <c r="H395">
        <f t="shared" si="122"/>
        <v>0</v>
      </c>
      <c r="I395">
        <f t="shared" si="125"/>
        <v>1</v>
      </c>
      <c r="J395">
        <f t="shared" si="126"/>
        <v>0</v>
      </c>
      <c r="K395">
        <f t="shared" si="123"/>
        <v>5</v>
      </c>
      <c r="L395" s="179">
        <f>'Aztec Metered Load'!C399</f>
        <v>4.0970000000000004</v>
      </c>
    </row>
    <row r="396" spans="1:12" x14ac:dyDescent="0.3">
      <c r="A396" s="19">
        <f t="shared" si="127"/>
        <v>45764</v>
      </c>
      <c r="B396">
        <f t="shared" si="128"/>
        <v>10</v>
      </c>
      <c r="C396" s="16">
        <f>IFERROR(MATCH(A397,NERCHolidays!$B$2:$B$121,0),0)</f>
        <v>0</v>
      </c>
      <c r="D396">
        <f t="shared" si="124"/>
        <v>1</v>
      </c>
      <c r="E396" t="str">
        <f t="shared" si="119"/>
        <v>PK</v>
      </c>
      <c r="F396">
        <f t="shared" si="120"/>
        <v>5</v>
      </c>
      <c r="G396">
        <f t="shared" si="121"/>
        <v>0</v>
      </c>
      <c r="H396">
        <f t="shared" si="122"/>
        <v>0</v>
      </c>
      <c r="I396">
        <f t="shared" si="125"/>
        <v>1</v>
      </c>
      <c r="J396">
        <f t="shared" si="126"/>
        <v>0</v>
      </c>
      <c r="K396">
        <f t="shared" si="123"/>
        <v>5</v>
      </c>
      <c r="L396" s="179">
        <f>'Aztec Metered Load'!C400</f>
        <v>3.9470000000000001</v>
      </c>
    </row>
    <row r="397" spans="1:12" x14ac:dyDescent="0.3">
      <c r="A397" s="19">
        <f t="shared" si="127"/>
        <v>45764</v>
      </c>
      <c r="B397">
        <f t="shared" si="128"/>
        <v>11</v>
      </c>
      <c r="C397" s="16">
        <f>IFERROR(MATCH(A398,NERCHolidays!$B$2:$B$121,0),0)</f>
        <v>0</v>
      </c>
      <c r="D397">
        <f t="shared" si="124"/>
        <v>1</v>
      </c>
      <c r="E397" t="str">
        <f t="shared" si="119"/>
        <v>PK</v>
      </c>
      <c r="F397">
        <f t="shared" si="120"/>
        <v>5</v>
      </c>
      <c r="G397">
        <f t="shared" si="121"/>
        <v>0</v>
      </c>
      <c r="H397">
        <f t="shared" si="122"/>
        <v>0</v>
      </c>
      <c r="I397">
        <f t="shared" si="125"/>
        <v>1</v>
      </c>
      <c r="J397">
        <f t="shared" si="126"/>
        <v>0</v>
      </c>
      <c r="K397">
        <f t="shared" si="123"/>
        <v>5</v>
      </c>
      <c r="L397" s="179">
        <f>'Aztec Metered Load'!C401</f>
        <v>4.0190000000000001</v>
      </c>
    </row>
    <row r="398" spans="1:12" x14ac:dyDescent="0.3">
      <c r="A398" s="19">
        <f t="shared" si="127"/>
        <v>45764</v>
      </c>
      <c r="B398">
        <f t="shared" si="128"/>
        <v>12</v>
      </c>
      <c r="C398" s="16">
        <f>IFERROR(MATCH(A399,NERCHolidays!$B$2:$B$121,0),0)</f>
        <v>0</v>
      </c>
      <c r="D398">
        <f t="shared" si="124"/>
        <v>1</v>
      </c>
      <c r="E398" t="str">
        <f t="shared" si="119"/>
        <v>PK</v>
      </c>
      <c r="F398">
        <f t="shared" si="120"/>
        <v>5</v>
      </c>
      <c r="G398">
        <f t="shared" si="121"/>
        <v>0</v>
      </c>
      <c r="H398">
        <f t="shared" si="122"/>
        <v>0</v>
      </c>
      <c r="I398">
        <f t="shared" si="125"/>
        <v>1</v>
      </c>
      <c r="J398">
        <f t="shared" si="126"/>
        <v>0</v>
      </c>
      <c r="K398">
        <f t="shared" si="123"/>
        <v>5</v>
      </c>
      <c r="L398" s="179">
        <f>'Aztec Metered Load'!C402</f>
        <v>3.9620000000000002</v>
      </c>
    </row>
    <row r="399" spans="1:12" x14ac:dyDescent="0.3">
      <c r="A399" s="19">
        <f t="shared" si="127"/>
        <v>45764</v>
      </c>
      <c r="B399">
        <f t="shared" si="128"/>
        <v>13</v>
      </c>
      <c r="C399" s="16">
        <f>IFERROR(MATCH(A400,NERCHolidays!$B$2:$B$121,0),0)</f>
        <v>0</v>
      </c>
      <c r="D399">
        <f t="shared" si="124"/>
        <v>1</v>
      </c>
      <c r="E399" t="str">
        <f t="shared" si="119"/>
        <v>PK</v>
      </c>
      <c r="F399">
        <f t="shared" si="120"/>
        <v>5</v>
      </c>
      <c r="G399">
        <f t="shared" si="121"/>
        <v>0</v>
      </c>
      <c r="H399">
        <f t="shared" si="122"/>
        <v>0</v>
      </c>
      <c r="I399">
        <f t="shared" si="125"/>
        <v>1</v>
      </c>
      <c r="J399">
        <f t="shared" si="126"/>
        <v>0</v>
      </c>
      <c r="K399">
        <f t="shared" si="123"/>
        <v>5</v>
      </c>
      <c r="L399" s="179">
        <f>'Aztec Metered Load'!C403</f>
        <v>3.9649999999999999</v>
      </c>
    </row>
    <row r="400" spans="1:12" x14ac:dyDescent="0.3">
      <c r="A400" s="19">
        <f t="shared" si="127"/>
        <v>45764</v>
      </c>
      <c r="B400">
        <f t="shared" si="128"/>
        <v>14</v>
      </c>
      <c r="C400" s="16">
        <f>IFERROR(MATCH(A401,NERCHolidays!$B$2:$B$121,0),0)</f>
        <v>0</v>
      </c>
      <c r="D400">
        <f t="shared" si="124"/>
        <v>1</v>
      </c>
      <c r="E400" t="str">
        <f t="shared" si="119"/>
        <v>PK</v>
      </c>
      <c r="F400">
        <f t="shared" si="120"/>
        <v>5</v>
      </c>
      <c r="G400">
        <f t="shared" si="121"/>
        <v>0</v>
      </c>
      <c r="H400">
        <f t="shared" si="122"/>
        <v>0</v>
      </c>
      <c r="I400">
        <f t="shared" si="125"/>
        <v>1</v>
      </c>
      <c r="J400">
        <f t="shared" si="126"/>
        <v>0</v>
      </c>
      <c r="K400">
        <f t="shared" si="123"/>
        <v>5</v>
      </c>
      <c r="L400" s="179">
        <f>'Aztec Metered Load'!C404</f>
        <v>4</v>
      </c>
    </row>
    <row r="401" spans="1:12" x14ac:dyDescent="0.3">
      <c r="A401" s="19">
        <f t="shared" si="127"/>
        <v>45764</v>
      </c>
      <c r="B401">
        <f t="shared" si="128"/>
        <v>15</v>
      </c>
      <c r="C401" s="16">
        <f>IFERROR(MATCH(A402,NERCHolidays!$B$2:$B$121,0),0)</f>
        <v>0</v>
      </c>
      <c r="D401">
        <f t="shared" si="124"/>
        <v>1</v>
      </c>
      <c r="E401" t="str">
        <f t="shared" si="119"/>
        <v>PK</v>
      </c>
      <c r="F401">
        <f t="shared" si="120"/>
        <v>5</v>
      </c>
      <c r="G401">
        <f t="shared" si="121"/>
        <v>0</v>
      </c>
      <c r="H401">
        <f t="shared" si="122"/>
        <v>0</v>
      </c>
      <c r="I401">
        <f t="shared" si="125"/>
        <v>1</v>
      </c>
      <c r="J401">
        <f t="shared" si="126"/>
        <v>0</v>
      </c>
      <c r="K401">
        <f t="shared" si="123"/>
        <v>5</v>
      </c>
      <c r="L401" s="179">
        <f>'Aztec Metered Load'!C405</f>
        <v>4.0110000000000001</v>
      </c>
    </row>
    <row r="402" spans="1:12" x14ac:dyDescent="0.3">
      <c r="A402" s="19">
        <f t="shared" si="127"/>
        <v>45764</v>
      </c>
      <c r="B402">
        <f t="shared" si="128"/>
        <v>16</v>
      </c>
      <c r="C402" s="16">
        <f>IFERROR(MATCH(A403,NERCHolidays!$B$2:$B$121,0),0)</f>
        <v>0</v>
      </c>
      <c r="D402">
        <f t="shared" si="124"/>
        <v>1</v>
      </c>
      <c r="E402" t="str">
        <f t="shared" si="119"/>
        <v>PK</v>
      </c>
      <c r="F402">
        <f t="shared" si="120"/>
        <v>5</v>
      </c>
      <c r="G402">
        <f t="shared" si="121"/>
        <v>0</v>
      </c>
      <c r="H402">
        <f t="shared" si="122"/>
        <v>0</v>
      </c>
      <c r="I402">
        <f t="shared" si="125"/>
        <v>1</v>
      </c>
      <c r="J402">
        <f t="shared" si="126"/>
        <v>0</v>
      </c>
      <c r="K402">
        <f t="shared" si="123"/>
        <v>5</v>
      </c>
      <c r="L402" s="179">
        <f>'Aztec Metered Load'!C406</f>
        <v>3.9329999999999998</v>
      </c>
    </row>
    <row r="403" spans="1:12" x14ac:dyDescent="0.3">
      <c r="A403" s="19">
        <f t="shared" si="127"/>
        <v>45764</v>
      </c>
      <c r="B403">
        <f t="shared" si="128"/>
        <v>17</v>
      </c>
      <c r="C403" s="16">
        <f>IFERROR(MATCH(A404,NERCHolidays!$B$2:$B$121,0),0)</f>
        <v>0</v>
      </c>
      <c r="D403">
        <f t="shared" si="124"/>
        <v>1</v>
      </c>
      <c r="E403" t="str">
        <f t="shared" si="119"/>
        <v>PK</v>
      </c>
      <c r="F403">
        <f t="shared" si="120"/>
        <v>5</v>
      </c>
      <c r="G403">
        <f t="shared" si="121"/>
        <v>0</v>
      </c>
      <c r="H403">
        <f t="shared" si="122"/>
        <v>0</v>
      </c>
      <c r="I403">
        <f t="shared" si="125"/>
        <v>1</v>
      </c>
      <c r="J403">
        <f t="shared" si="126"/>
        <v>0</v>
      </c>
      <c r="K403">
        <f t="shared" si="123"/>
        <v>5</v>
      </c>
      <c r="L403" s="179">
        <f>'Aztec Metered Load'!C407</f>
        <v>3.8929999999999998</v>
      </c>
    </row>
    <row r="404" spans="1:12" x14ac:dyDescent="0.3">
      <c r="A404" s="19">
        <f t="shared" si="127"/>
        <v>45764</v>
      </c>
      <c r="B404">
        <f t="shared" si="128"/>
        <v>18</v>
      </c>
      <c r="C404" s="16">
        <f>IFERROR(MATCH(A405,NERCHolidays!$B$2:$B$121,0),0)</f>
        <v>0</v>
      </c>
      <c r="D404">
        <f t="shared" si="124"/>
        <v>1</v>
      </c>
      <c r="E404" t="str">
        <f t="shared" si="119"/>
        <v>PK</v>
      </c>
      <c r="F404">
        <f t="shared" si="120"/>
        <v>5</v>
      </c>
      <c r="G404">
        <f t="shared" si="121"/>
        <v>0</v>
      </c>
      <c r="H404">
        <f t="shared" si="122"/>
        <v>0</v>
      </c>
      <c r="I404">
        <f t="shared" si="125"/>
        <v>1</v>
      </c>
      <c r="J404">
        <f t="shared" si="126"/>
        <v>0</v>
      </c>
      <c r="K404">
        <f t="shared" si="123"/>
        <v>5</v>
      </c>
      <c r="L404" s="179">
        <f>'Aztec Metered Load'!C408</f>
        <v>3.9510000000000001</v>
      </c>
    </row>
    <row r="405" spans="1:12" x14ac:dyDescent="0.3">
      <c r="A405" s="19">
        <f t="shared" si="127"/>
        <v>45764</v>
      </c>
      <c r="B405">
        <f t="shared" si="128"/>
        <v>19</v>
      </c>
      <c r="C405" s="16">
        <f>IFERROR(MATCH(A406,NERCHolidays!$B$2:$B$121,0),0)</f>
        <v>0</v>
      </c>
      <c r="D405">
        <f t="shared" si="124"/>
        <v>1</v>
      </c>
      <c r="E405" t="str">
        <f t="shared" si="119"/>
        <v>PK</v>
      </c>
      <c r="F405">
        <f t="shared" si="120"/>
        <v>5</v>
      </c>
      <c r="G405">
        <f t="shared" si="121"/>
        <v>1</v>
      </c>
      <c r="H405">
        <f t="shared" si="122"/>
        <v>0</v>
      </c>
      <c r="I405">
        <f t="shared" si="125"/>
        <v>1</v>
      </c>
      <c r="J405">
        <f t="shared" si="126"/>
        <v>0</v>
      </c>
      <c r="K405">
        <f t="shared" si="123"/>
        <v>6</v>
      </c>
      <c r="L405" s="179">
        <f>'Aztec Metered Load'!C409</f>
        <v>3.99</v>
      </c>
    </row>
    <row r="406" spans="1:12" x14ac:dyDescent="0.3">
      <c r="A406" s="19">
        <f t="shared" si="127"/>
        <v>45764</v>
      </c>
      <c r="B406">
        <f t="shared" si="128"/>
        <v>20</v>
      </c>
      <c r="C406" s="16">
        <f>IFERROR(MATCH(A407,NERCHolidays!$B$2:$B$121,0),0)</f>
        <v>0</v>
      </c>
      <c r="D406">
        <f t="shared" si="124"/>
        <v>1</v>
      </c>
      <c r="E406" t="str">
        <f t="shared" si="119"/>
        <v>PK</v>
      </c>
      <c r="F406">
        <f t="shared" si="120"/>
        <v>5</v>
      </c>
      <c r="G406">
        <f t="shared" si="121"/>
        <v>1</v>
      </c>
      <c r="H406">
        <f t="shared" si="122"/>
        <v>0</v>
      </c>
      <c r="I406">
        <f t="shared" si="125"/>
        <v>1</v>
      </c>
      <c r="J406">
        <f t="shared" si="126"/>
        <v>0</v>
      </c>
      <c r="K406">
        <f t="shared" si="123"/>
        <v>6</v>
      </c>
      <c r="L406" s="179">
        <f>'Aztec Metered Load'!C410</f>
        <v>4.3120000000000003</v>
      </c>
    </row>
    <row r="407" spans="1:12" x14ac:dyDescent="0.3">
      <c r="A407" s="19">
        <f t="shared" si="127"/>
        <v>45764</v>
      </c>
      <c r="B407">
        <f t="shared" si="128"/>
        <v>21</v>
      </c>
      <c r="C407" s="16">
        <f>IFERROR(MATCH(A408,NERCHolidays!$B$2:$B$121,0),0)</f>
        <v>0</v>
      </c>
      <c r="D407">
        <f t="shared" si="124"/>
        <v>1</v>
      </c>
      <c r="E407" t="str">
        <f t="shared" si="119"/>
        <v>PK</v>
      </c>
      <c r="F407">
        <f t="shared" si="120"/>
        <v>5</v>
      </c>
      <c r="G407">
        <f t="shared" si="121"/>
        <v>1</v>
      </c>
      <c r="H407">
        <f t="shared" si="122"/>
        <v>0</v>
      </c>
      <c r="I407">
        <f t="shared" si="125"/>
        <v>1</v>
      </c>
      <c r="J407">
        <f t="shared" si="126"/>
        <v>0</v>
      </c>
      <c r="K407">
        <f t="shared" si="123"/>
        <v>6</v>
      </c>
      <c r="L407" s="179">
        <f>'Aztec Metered Load'!C411</f>
        <v>4.0419999999999998</v>
      </c>
    </row>
    <row r="408" spans="1:12" x14ac:dyDescent="0.3">
      <c r="A408" s="19">
        <f t="shared" si="127"/>
        <v>45764</v>
      </c>
      <c r="B408">
        <f t="shared" si="128"/>
        <v>22</v>
      </c>
      <c r="C408" s="16">
        <f>IFERROR(MATCH(A409,NERCHolidays!$B$2:$B$121,0),0)</f>
        <v>0</v>
      </c>
      <c r="D408">
        <f t="shared" si="124"/>
        <v>1</v>
      </c>
      <c r="E408" t="str">
        <f t="shared" si="119"/>
        <v>PK</v>
      </c>
      <c r="F408">
        <f t="shared" si="120"/>
        <v>5</v>
      </c>
      <c r="G408">
        <f t="shared" si="121"/>
        <v>1</v>
      </c>
      <c r="H408">
        <f t="shared" si="122"/>
        <v>0</v>
      </c>
      <c r="I408">
        <f t="shared" si="125"/>
        <v>1</v>
      </c>
      <c r="J408">
        <f t="shared" si="126"/>
        <v>0</v>
      </c>
      <c r="K408">
        <f t="shared" si="123"/>
        <v>6</v>
      </c>
      <c r="L408" s="179">
        <f>'Aztec Metered Load'!C412</f>
        <v>3.5569999999999999</v>
      </c>
    </row>
    <row r="409" spans="1:12" x14ac:dyDescent="0.3">
      <c r="A409" s="19">
        <f t="shared" si="127"/>
        <v>45764</v>
      </c>
      <c r="B409">
        <f t="shared" si="128"/>
        <v>23</v>
      </c>
      <c r="C409" s="16">
        <f>IFERROR(MATCH(A410,NERCHolidays!$B$2:$B$121,0),0)</f>
        <v>0</v>
      </c>
      <c r="D409">
        <f t="shared" si="124"/>
        <v>1</v>
      </c>
      <c r="E409" t="str">
        <f t="shared" si="119"/>
        <v>PK</v>
      </c>
      <c r="F409">
        <f t="shared" si="120"/>
        <v>5</v>
      </c>
      <c r="G409">
        <f t="shared" si="121"/>
        <v>1</v>
      </c>
      <c r="H409">
        <f t="shared" si="122"/>
        <v>0</v>
      </c>
      <c r="I409">
        <f t="shared" si="125"/>
        <v>1</v>
      </c>
      <c r="J409">
        <f t="shared" si="126"/>
        <v>0</v>
      </c>
      <c r="K409">
        <f t="shared" si="123"/>
        <v>6</v>
      </c>
      <c r="L409" s="179">
        <f>'Aztec Metered Load'!C413</f>
        <v>3.4020000000000001</v>
      </c>
    </row>
    <row r="410" spans="1:12" x14ac:dyDescent="0.3">
      <c r="A410" s="19">
        <f t="shared" si="127"/>
        <v>45764</v>
      </c>
      <c r="B410">
        <f t="shared" si="128"/>
        <v>24</v>
      </c>
      <c r="C410" s="16">
        <f>IFERROR(MATCH(A411,NERCHolidays!$B$2:$B$121,0),0)</f>
        <v>0</v>
      </c>
      <c r="D410">
        <f t="shared" si="124"/>
        <v>0</v>
      </c>
      <c r="E410" t="str">
        <f t="shared" si="119"/>
        <v>OP</v>
      </c>
      <c r="F410">
        <f t="shared" si="120"/>
        <v>5</v>
      </c>
      <c r="G410">
        <f t="shared" si="121"/>
        <v>0</v>
      </c>
      <c r="H410">
        <f t="shared" si="122"/>
        <v>0</v>
      </c>
      <c r="I410">
        <f t="shared" si="125"/>
        <v>1</v>
      </c>
      <c r="J410">
        <f t="shared" si="126"/>
        <v>0</v>
      </c>
      <c r="K410">
        <f t="shared" si="123"/>
        <v>5</v>
      </c>
      <c r="L410" s="179">
        <f>'Aztec Metered Load'!C414</f>
        <v>3.19</v>
      </c>
    </row>
    <row r="411" spans="1:12" x14ac:dyDescent="0.3">
      <c r="A411" s="19">
        <f t="shared" si="127"/>
        <v>45765</v>
      </c>
      <c r="B411">
        <f t="shared" si="128"/>
        <v>1</v>
      </c>
      <c r="C411" s="16">
        <f>IFERROR(MATCH(A412,NERCHolidays!$B$2:$B$121,0),0)</f>
        <v>0</v>
      </c>
      <c r="D411">
        <f t="shared" si="124"/>
        <v>0</v>
      </c>
      <c r="E411" t="str">
        <f t="shared" si="119"/>
        <v>OP</v>
      </c>
      <c r="F411">
        <f t="shared" si="120"/>
        <v>5</v>
      </c>
      <c r="G411">
        <f t="shared" si="121"/>
        <v>1</v>
      </c>
      <c r="H411">
        <f t="shared" si="122"/>
        <v>0</v>
      </c>
      <c r="I411">
        <f t="shared" si="125"/>
        <v>1</v>
      </c>
      <c r="J411">
        <f t="shared" si="126"/>
        <v>0</v>
      </c>
      <c r="K411">
        <f t="shared" si="123"/>
        <v>6</v>
      </c>
      <c r="L411" s="179">
        <f>'Aztec Metered Load'!C415</f>
        <v>3.06</v>
      </c>
    </row>
    <row r="412" spans="1:12" x14ac:dyDescent="0.3">
      <c r="A412" s="19">
        <f t="shared" si="127"/>
        <v>45765</v>
      </c>
      <c r="B412">
        <f t="shared" si="128"/>
        <v>2</v>
      </c>
      <c r="C412" s="16">
        <f>IFERROR(MATCH(A413,NERCHolidays!$B$2:$B$121,0),0)</f>
        <v>0</v>
      </c>
      <c r="D412">
        <f t="shared" si="124"/>
        <v>0</v>
      </c>
      <c r="E412" t="str">
        <f t="shared" si="119"/>
        <v>OP</v>
      </c>
      <c r="F412">
        <f t="shared" si="120"/>
        <v>5</v>
      </c>
      <c r="G412">
        <f t="shared" si="121"/>
        <v>1</v>
      </c>
      <c r="H412">
        <f t="shared" si="122"/>
        <v>0</v>
      </c>
      <c r="I412">
        <f t="shared" si="125"/>
        <v>1</v>
      </c>
      <c r="J412">
        <f t="shared" si="126"/>
        <v>0</v>
      </c>
      <c r="K412">
        <f t="shared" si="123"/>
        <v>6</v>
      </c>
      <c r="L412" s="179">
        <f>'Aztec Metered Load'!C416</f>
        <v>3.0169999999999999</v>
      </c>
    </row>
    <row r="413" spans="1:12" x14ac:dyDescent="0.3">
      <c r="A413" s="19">
        <f t="shared" si="127"/>
        <v>45765</v>
      </c>
      <c r="B413">
        <f t="shared" si="128"/>
        <v>3</v>
      </c>
      <c r="C413" s="16">
        <f>IFERROR(MATCH(A414,NERCHolidays!$B$2:$B$121,0),0)</f>
        <v>0</v>
      </c>
      <c r="D413">
        <f t="shared" si="124"/>
        <v>0</v>
      </c>
      <c r="E413" t="str">
        <f t="shared" si="119"/>
        <v>OP</v>
      </c>
      <c r="F413">
        <f t="shared" si="120"/>
        <v>5</v>
      </c>
      <c r="G413">
        <f t="shared" si="121"/>
        <v>1</v>
      </c>
      <c r="H413">
        <f t="shared" si="122"/>
        <v>0</v>
      </c>
      <c r="I413">
        <f t="shared" si="125"/>
        <v>1</v>
      </c>
      <c r="J413">
        <f t="shared" si="126"/>
        <v>0</v>
      </c>
      <c r="K413">
        <f t="shared" si="123"/>
        <v>6</v>
      </c>
      <c r="L413" s="179">
        <f>'Aztec Metered Load'!C417</f>
        <v>3.1070000000000002</v>
      </c>
    </row>
    <row r="414" spans="1:12" x14ac:dyDescent="0.3">
      <c r="A414" s="19">
        <f t="shared" si="127"/>
        <v>45765</v>
      </c>
      <c r="B414">
        <f t="shared" si="128"/>
        <v>4</v>
      </c>
      <c r="C414" s="16">
        <f>IFERROR(MATCH(A415,NERCHolidays!$B$2:$B$121,0),0)</f>
        <v>0</v>
      </c>
      <c r="D414">
        <f t="shared" si="124"/>
        <v>0</v>
      </c>
      <c r="E414" t="str">
        <f t="shared" si="119"/>
        <v>OP</v>
      </c>
      <c r="F414">
        <f t="shared" si="120"/>
        <v>5</v>
      </c>
      <c r="G414">
        <f t="shared" si="121"/>
        <v>1</v>
      </c>
      <c r="H414">
        <f t="shared" si="122"/>
        <v>0</v>
      </c>
      <c r="I414">
        <f t="shared" si="125"/>
        <v>2</v>
      </c>
      <c r="J414">
        <f t="shared" si="126"/>
        <v>0</v>
      </c>
      <c r="K414">
        <f t="shared" si="123"/>
        <v>6</v>
      </c>
      <c r="L414" s="179">
        <f>'Aztec Metered Load'!C418</f>
        <v>3.2610000000000001</v>
      </c>
    </row>
    <row r="415" spans="1:12" x14ac:dyDescent="0.3">
      <c r="A415" s="19">
        <f t="shared" si="127"/>
        <v>45765</v>
      </c>
      <c r="B415">
        <f t="shared" si="128"/>
        <v>5</v>
      </c>
      <c r="C415" s="16">
        <f>IFERROR(MATCH(A416,NERCHolidays!$B$2:$B$121,0),0)</f>
        <v>0</v>
      </c>
      <c r="D415">
        <f t="shared" si="124"/>
        <v>0</v>
      </c>
      <c r="E415" t="str">
        <f t="shared" si="119"/>
        <v>OP</v>
      </c>
      <c r="F415">
        <f t="shared" si="120"/>
        <v>5</v>
      </c>
      <c r="G415">
        <f t="shared" si="121"/>
        <v>1</v>
      </c>
      <c r="H415">
        <f t="shared" si="122"/>
        <v>0</v>
      </c>
      <c r="I415">
        <f t="shared" si="125"/>
        <v>2</v>
      </c>
      <c r="J415">
        <f t="shared" si="126"/>
        <v>0</v>
      </c>
      <c r="K415">
        <f t="shared" si="123"/>
        <v>6</v>
      </c>
      <c r="L415" s="179">
        <f>'Aztec Metered Load'!C419</f>
        <v>3.456</v>
      </c>
    </row>
    <row r="416" spans="1:12" x14ac:dyDescent="0.3">
      <c r="A416" s="19">
        <f t="shared" si="127"/>
        <v>45765</v>
      </c>
      <c r="B416">
        <f t="shared" si="128"/>
        <v>6</v>
      </c>
      <c r="C416" s="16">
        <f>IFERROR(MATCH(A417,NERCHolidays!$B$2:$B$121,0),0)</f>
        <v>0</v>
      </c>
      <c r="D416">
        <f t="shared" si="124"/>
        <v>0</v>
      </c>
      <c r="E416" t="str">
        <f t="shared" si="119"/>
        <v>OP</v>
      </c>
      <c r="F416">
        <f t="shared" si="120"/>
        <v>5</v>
      </c>
      <c r="G416">
        <f t="shared" si="121"/>
        <v>1</v>
      </c>
      <c r="H416">
        <f t="shared" si="122"/>
        <v>0</v>
      </c>
      <c r="I416">
        <f t="shared" si="125"/>
        <v>1</v>
      </c>
      <c r="J416">
        <f t="shared" si="126"/>
        <v>0</v>
      </c>
      <c r="K416">
        <f t="shared" si="123"/>
        <v>6</v>
      </c>
      <c r="L416" s="179">
        <f>'Aztec Metered Load'!C420</f>
        <v>3.7719999999999998</v>
      </c>
    </row>
    <row r="417" spans="1:12" x14ac:dyDescent="0.3">
      <c r="A417" s="19">
        <f t="shared" si="127"/>
        <v>45765</v>
      </c>
      <c r="B417">
        <f t="shared" si="128"/>
        <v>7</v>
      </c>
      <c r="C417" s="16">
        <f>IFERROR(MATCH(A418,NERCHolidays!$B$2:$B$121,0),0)</f>
        <v>0</v>
      </c>
      <c r="D417">
        <f t="shared" si="124"/>
        <v>0</v>
      </c>
      <c r="E417" t="str">
        <f t="shared" si="119"/>
        <v>OP</v>
      </c>
      <c r="F417">
        <f t="shared" si="120"/>
        <v>5</v>
      </c>
      <c r="G417">
        <f t="shared" si="121"/>
        <v>1</v>
      </c>
      <c r="H417">
        <f t="shared" si="122"/>
        <v>0</v>
      </c>
      <c r="I417">
        <f t="shared" si="125"/>
        <v>1</v>
      </c>
      <c r="J417">
        <f t="shared" si="126"/>
        <v>0</v>
      </c>
      <c r="K417">
        <f t="shared" si="123"/>
        <v>6</v>
      </c>
      <c r="L417" s="179">
        <f>'Aztec Metered Load'!C421</f>
        <v>3.8450000000000002</v>
      </c>
    </row>
    <row r="418" spans="1:12" x14ac:dyDescent="0.3">
      <c r="A418" s="19">
        <f t="shared" si="127"/>
        <v>45765</v>
      </c>
      <c r="B418">
        <f t="shared" si="128"/>
        <v>8</v>
      </c>
      <c r="C418" s="16">
        <f>IFERROR(MATCH(A419,NERCHolidays!$B$2:$B$121,0),0)</f>
        <v>0</v>
      </c>
      <c r="D418">
        <f t="shared" si="124"/>
        <v>1</v>
      </c>
      <c r="E418" t="str">
        <f t="shared" si="119"/>
        <v>PK</v>
      </c>
      <c r="F418">
        <f t="shared" si="120"/>
        <v>5</v>
      </c>
      <c r="G418">
        <f t="shared" si="121"/>
        <v>1</v>
      </c>
      <c r="H418">
        <f t="shared" si="122"/>
        <v>0</v>
      </c>
      <c r="I418">
        <f t="shared" si="125"/>
        <v>1</v>
      </c>
      <c r="J418">
        <f t="shared" si="126"/>
        <v>0</v>
      </c>
      <c r="K418">
        <f t="shared" si="123"/>
        <v>6</v>
      </c>
      <c r="L418" s="179">
        <f>'Aztec Metered Load'!C422</f>
        <v>3.7</v>
      </c>
    </row>
    <row r="419" spans="1:12" x14ac:dyDescent="0.3">
      <c r="A419" s="19">
        <f t="shared" si="127"/>
        <v>45765</v>
      </c>
      <c r="B419">
        <f t="shared" si="128"/>
        <v>9</v>
      </c>
      <c r="C419" s="16">
        <f>IFERROR(MATCH(A420,NERCHolidays!$B$2:$B$121,0),0)</f>
        <v>0</v>
      </c>
      <c r="D419">
        <f t="shared" si="124"/>
        <v>1</v>
      </c>
      <c r="E419" t="str">
        <f t="shared" si="119"/>
        <v>PK</v>
      </c>
      <c r="F419">
        <f t="shared" si="120"/>
        <v>5</v>
      </c>
      <c r="G419">
        <f t="shared" si="121"/>
        <v>0</v>
      </c>
      <c r="H419">
        <f t="shared" si="122"/>
        <v>0</v>
      </c>
      <c r="I419">
        <f t="shared" si="125"/>
        <v>1</v>
      </c>
      <c r="J419">
        <f t="shared" si="126"/>
        <v>0</v>
      </c>
      <c r="K419">
        <f t="shared" si="123"/>
        <v>5</v>
      </c>
      <c r="L419" s="179">
        <f>'Aztec Metered Load'!C423</f>
        <v>3.8809999999999998</v>
      </c>
    </row>
    <row r="420" spans="1:12" x14ac:dyDescent="0.3">
      <c r="A420" s="19">
        <f t="shared" si="127"/>
        <v>45765</v>
      </c>
      <c r="B420">
        <f t="shared" si="128"/>
        <v>10</v>
      </c>
      <c r="C420" s="16">
        <f>IFERROR(MATCH(A421,NERCHolidays!$B$2:$B$121,0),0)</f>
        <v>0</v>
      </c>
      <c r="D420">
        <f t="shared" si="124"/>
        <v>1</v>
      </c>
      <c r="E420" t="str">
        <f t="shared" si="119"/>
        <v>PK</v>
      </c>
      <c r="F420">
        <f t="shared" si="120"/>
        <v>5</v>
      </c>
      <c r="G420">
        <f t="shared" si="121"/>
        <v>0</v>
      </c>
      <c r="H420">
        <f t="shared" si="122"/>
        <v>0</v>
      </c>
      <c r="I420">
        <f t="shared" si="125"/>
        <v>1</v>
      </c>
      <c r="J420">
        <f t="shared" si="126"/>
        <v>0</v>
      </c>
      <c r="K420">
        <f t="shared" si="123"/>
        <v>5</v>
      </c>
      <c r="L420" s="179">
        <f>'Aztec Metered Load'!C424</f>
        <v>4.0780000000000003</v>
      </c>
    </row>
    <row r="421" spans="1:12" x14ac:dyDescent="0.3">
      <c r="A421" s="19">
        <f t="shared" si="127"/>
        <v>45765</v>
      </c>
      <c r="B421">
        <f t="shared" si="128"/>
        <v>11</v>
      </c>
      <c r="C421" s="16">
        <f>IFERROR(MATCH(A422,NERCHolidays!$B$2:$B$121,0),0)</f>
        <v>0</v>
      </c>
      <c r="D421">
        <f t="shared" si="124"/>
        <v>1</v>
      </c>
      <c r="E421" t="str">
        <f t="shared" si="119"/>
        <v>PK</v>
      </c>
      <c r="F421">
        <f t="shared" si="120"/>
        <v>5</v>
      </c>
      <c r="G421">
        <f t="shared" si="121"/>
        <v>0</v>
      </c>
      <c r="H421">
        <f t="shared" si="122"/>
        <v>0</v>
      </c>
      <c r="I421">
        <f t="shared" si="125"/>
        <v>1</v>
      </c>
      <c r="J421">
        <f t="shared" si="126"/>
        <v>0</v>
      </c>
      <c r="K421">
        <f t="shared" si="123"/>
        <v>5</v>
      </c>
      <c r="L421" s="179">
        <f>'Aztec Metered Load'!C425</f>
        <v>4.2510000000000003</v>
      </c>
    </row>
    <row r="422" spans="1:12" x14ac:dyDescent="0.3">
      <c r="A422" s="19">
        <f t="shared" si="127"/>
        <v>45765</v>
      </c>
      <c r="B422">
        <f t="shared" si="128"/>
        <v>12</v>
      </c>
      <c r="C422" s="16">
        <f>IFERROR(MATCH(A423,NERCHolidays!$B$2:$B$121,0),0)</f>
        <v>0</v>
      </c>
      <c r="D422">
        <f t="shared" si="124"/>
        <v>1</v>
      </c>
      <c r="E422" t="str">
        <f t="shared" si="119"/>
        <v>PK</v>
      </c>
      <c r="F422">
        <f t="shared" si="120"/>
        <v>5</v>
      </c>
      <c r="G422">
        <f t="shared" si="121"/>
        <v>0</v>
      </c>
      <c r="H422">
        <f t="shared" si="122"/>
        <v>0</v>
      </c>
      <c r="I422">
        <f t="shared" si="125"/>
        <v>1</v>
      </c>
      <c r="J422">
        <f t="shared" si="126"/>
        <v>0</v>
      </c>
      <c r="K422">
        <f t="shared" si="123"/>
        <v>5</v>
      </c>
      <c r="L422" s="179">
        <f>'Aztec Metered Load'!C426</f>
        <v>4.2489999999999997</v>
      </c>
    </row>
    <row r="423" spans="1:12" x14ac:dyDescent="0.3">
      <c r="A423" s="19">
        <f t="shared" si="127"/>
        <v>45765</v>
      </c>
      <c r="B423">
        <f t="shared" si="128"/>
        <v>13</v>
      </c>
      <c r="C423" s="16">
        <f>IFERROR(MATCH(A424,NERCHolidays!$B$2:$B$121,0),0)</f>
        <v>0</v>
      </c>
      <c r="D423">
        <f t="shared" si="124"/>
        <v>1</v>
      </c>
      <c r="E423" t="str">
        <f t="shared" si="119"/>
        <v>PK</v>
      </c>
      <c r="F423">
        <f t="shared" si="120"/>
        <v>5</v>
      </c>
      <c r="G423">
        <f t="shared" si="121"/>
        <v>0</v>
      </c>
      <c r="H423">
        <f t="shared" si="122"/>
        <v>0</v>
      </c>
      <c r="I423">
        <f t="shared" si="125"/>
        <v>1</v>
      </c>
      <c r="J423">
        <f t="shared" si="126"/>
        <v>0</v>
      </c>
      <c r="K423">
        <f t="shared" si="123"/>
        <v>5</v>
      </c>
      <c r="L423" s="179">
        <f>'Aztec Metered Load'!C427</f>
        <v>4.1040000000000001</v>
      </c>
    </row>
    <row r="424" spans="1:12" x14ac:dyDescent="0.3">
      <c r="A424" s="19">
        <f t="shared" si="127"/>
        <v>45765</v>
      </c>
      <c r="B424">
        <f t="shared" si="128"/>
        <v>14</v>
      </c>
      <c r="C424" s="16">
        <f>IFERROR(MATCH(A425,NERCHolidays!$B$2:$B$121,0),0)</f>
        <v>0</v>
      </c>
      <c r="D424">
        <f t="shared" si="124"/>
        <v>1</v>
      </c>
      <c r="E424" t="str">
        <f t="shared" si="119"/>
        <v>PK</v>
      </c>
      <c r="F424">
        <f t="shared" si="120"/>
        <v>5</v>
      </c>
      <c r="G424">
        <f t="shared" si="121"/>
        <v>0</v>
      </c>
      <c r="H424">
        <f t="shared" si="122"/>
        <v>0</v>
      </c>
      <c r="I424">
        <f t="shared" si="125"/>
        <v>1</v>
      </c>
      <c r="J424">
        <f t="shared" si="126"/>
        <v>0</v>
      </c>
      <c r="K424">
        <f t="shared" si="123"/>
        <v>5</v>
      </c>
      <c r="L424" s="179">
        <f>'Aztec Metered Load'!C428</f>
        <v>3.8450000000000002</v>
      </c>
    </row>
    <row r="425" spans="1:12" x14ac:dyDescent="0.3">
      <c r="A425" s="19">
        <f t="shared" si="127"/>
        <v>45765</v>
      </c>
      <c r="B425">
        <f t="shared" si="128"/>
        <v>15</v>
      </c>
      <c r="C425" s="16">
        <f>IFERROR(MATCH(A426,NERCHolidays!$B$2:$B$121,0),0)</f>
        <v>0</v>
      </c>
      <c r="D425">
        <f t="shared" si="124"/>
        <v>1</v>
      </c>
      <c r="E425" t="str">
        <f t="shared" si="119"/>
        <v>PK</v>
      </c>
      <c r="F425">
        <f t="shared" si="120"/>
        <v>5</v>
      </c>
      <c r="G425">
        <f t="shared" si="121"/>
        <v>0</v>
      </c>
      <c r="H425">
        <f t="shared" si="122"/>
        <v>0</v>
      </c>
      <c r="I425">
        <f t="shared" si="125"/>
        <v>1</v>
      </c>
      <c r="J425">
        <f t="shared" si="126"/>
        <v>0</v>
      </c>
      <c r="K425">
        <f t="shared" si="123"/>
        <v>5</v>
      </c>
      <c r="L425" s="179">
        <f>'Aztec Metered Load'!C429</f>
        <v>4.0339999999999998</v>
      </c>
    </row>
    <row r="426" spans="1:12" x14ac:dyDescent="0.3">
      <c r="A426" s="19">
        <f t="shared" si="127"/>
        <v>45765</v>
      </c>
      <c r="B426">
        <f t="shared" si="128"/>
        <v>16</v>
      </c>
      <c r="C426" s="16">
        <f>IFERROR(MATCH(A427,NERCHolidays!$B$2:$B$121,0),0)</f>
        <v>0</v>
      </c>
      <c r="D426">
        <f t="shared" si="124"/>
        <v>1</v>
      </c>
      <c r="E426" t="str">
        <f t="shared" si="119"/>
        <v>PK</v>
      </c>
      <c r="F426">
        <f t="shared" si="120"/>
        <v>5</v>
      </c>
      <c r="G426">
        <f t="shared" si="121"/>
        <v>0</v>
      </c>
      <c r="H426">
        <f t="shared" si="122"/>
        <v>0</v>
      </c>
      <c r="I426">
        <f t="shared" si="125"/>
        <v>1</v>
      </c>
      <c r="J426">
        <f t="shared" si="126"/>
        <v>0</v>
      </c>
      <c r="K426">
        <f t="shared" si="123"/>
        <v>5</v>
      </c>
      <c r="L426" s="179">
        <f>'Aztec Metered Load'!C430</f>
        <v>4.3639999999999999</v>
      </c>
    </row>
    <row r="427" spans="1:12" x14ac:dyDescent="0.3">
      <c r="A427" s="19">
        <f t="shared" si="127"/>
        <v>45765</v>
      </c>
      <c r="B427">
        <f t="shared" si="128"/>
        <v>17</v>
      </c>
      <c r="C427" s="16">
        <f>IFERROR(MATCH(A428,NERCHolidays!$B$2:$B$121,0),0)</f>
        <v>0</v>
      </c>
      <c r="D427">
        <f t="shared" si="124"/>
        <v>1</v>
      </c>
      <c r="E427" t="str">
        <f t="shared" si="119"/>
        <v>PK</v>
      </c>
      <c r="F427">
        <f t="shared" si="120"/>
        <v>5</v>
      </c>
      <c r="G427">
        <f t="shared" si="121"/>
        <v>0</v>
      </c>
      <c r="H427">
        <f t="shared" si="122"/>
        <v>0</v>
      </c>
      <c r="I427">
        <f t="shared" si="125"/>
        <v>1</v>
      </c>
      <c r="J427">
        <f t="shared" si="126"/>
        <v>0</v>
      </c>
      <c r="K427">
        <f t="shared" si="123"/>
        <v>5</v>
      </c>
      <c r="L427" s="179">
        <f>'Aztec Metered Load'!C431</f>
        <v>4.3810000000000002</v>
      </c>
    </row>
    <row r="428" spans="1:12" x14ac:dyDescent="0.3">
      <c r="A428" s="19">
        <f t="shared" si="127"/>
        <v>45765</v>
      </c>
      <c r="B428">
        <f t="shared" si="128"/>
        <v>18</v>
      </c>
      <c r="C428" s="16">
        <f>IFERROR(MATCH(A429,NERCHolidays!$B$2:$B$121,0),0)</f>
        <v>0</v>
      </c>
      <c r="D428">
        <f t="shared" si="124"/>
        <v>1</v>
      </c>
      <c r="E428" t="str">
        <f t="shared" si="119"/>
        <v>PK</v>
      </c>
      <c r="F428">
        <f t="shared" si="120"/>
        <v>5</v>
      </c>
      <c r="G428">
        <f t="shared" si="121"/>
        <v>0</v>
      </c>
      <c r="H428">
        <f t="shared" si="122"/>
        <v>0</v>
      </c>
      <c r="I428">
        <f t="shared" si="125"/>
        <v>1</v>
      </c>
      <c r="J428">
        <f t="shared" si="126"/>
        <v>0</v>
      </c>
      <c r="K428">
        <f t="shared" si="123"/>
        <v>5</v>
      </c>
      <c r="L428" s="179">
        <f>'Aztec Metered Load'!C432</f>
        <v>4.4550000000000001</v>
      </c>
    </row>
    <row r="429" spans="1:12" x14ac:dyDescent="0.3">
      <c r="A429" s="19">
        <f t="shared" si="127"/>
        <v>45765</v>
      </c>
      <c r="B429">
        <f t="shared" si="128"/>
        <v>19</v>
      </c>
      <c r="C429" s="16">
        <f>IFERROR(MATCH(A430,NERCHolidays!$B$2:$B$121,0),0)</f>
        <v>0</v>
      </c>
      <c r="D429">
        <f t="shared" si="124"/>
        <v>1</v>
      </c>
      <c r="E429" t="str">
        <f t="shared" si="119"/>
        <v>PK</v>
      </c>
      <c r="F429">
        <f t="shared" si="120"/>
        <v>5</v>
      </c>
      <c r="G429">
        <f t="shared" si="121"/>
        <v>1</v>
      </c>
      <c r="H429">
        <f t="shared" si="122"/>
        <v>0</v>
      </c>
      <c r="I429">
        <f t="shared" si="125"/>
        <v>1</v>
      </c>
      <c r="J429">
        <f t="shared" si="126"/>
        <v>0</v>
      </c>
      <c r="K429">
        <f t="shared" si="123"/>
        <v>6</v>
      </c>
      <c r="L429" s="179">
        <f>'Aztec Metered Load'!C433</f>
        <v>4.4080000000000004</v>
      </c>
    </row>
    <row r="430" spans="1:12" x14ac:dyDescent="0.3">
      <c r="A430" s="19">
        <f t="shared" si="127"/>
        <v>45765</v>
      </c>
      <c r="B430">
        <f t="shared" si="128"/>
        <v>20</v>
      </c>
      <c r="C430" s="16">
        <f>IFERROR(MATCH(A431,NERCHolidays!$B$2:$B$121,0),0)</f>
        <v>0</v>
      </c>
      <c r="D430">
        <f t="shared" si="124"/>
        <v>1</v>
      </c>
      <c r="E430" t="str">
        <f t="shared" si="119"/>
        <v>PK</v>
      </c>
      <c r="F430">
        <f t="shared" si="120"/>
        <v>5</v>
      </c>
      <c r="G430">
        <f t="shared" si="121"/>
        <v>1</v>
      </c>
      <c r="H430">
        <f t="shared" si="122"/>
        <v>0</v>
      </c>
      <c r="I430">
        <f t="shared" si="125"/>
        <v>1</v>
      </c>
      <c r="J430">
        <f t="shared" si="126"/>
        <v>0</v>
      </c>
      <c r="K430">
        <f t="shared" si="123"/>
        <v>6</v>
      </c>
      <c r="L430" s="179">
        <f>'Aztec Metered Load'!C434</f>
        <v>4.5789999999999997</v>
      </c>
    </row>
    <row r="431" spans="1:12" x14ac:dyDescent="0.3">
      <c r="A431" s="19">
        <f t="shared" si="127"/>
        <v>45765</v>
      </c>
      <c r="B431">
        <f t="shared" si="128"/>
        <v>21</v>
      </c>
      <c r="C431" s="16">
        <f>IFERROR(MATCH(A432,NERCHolidays!$B$2:$B$121,0),0)</f>
        <v>0</v>
      </c>
      <c r="D431">
        <f t="shared" si="124"/>
        <v>1</v>
      </c>
      <c r="E431" t="str">
        <f t="shared" si="119"/>
        <v>PK</v>
      </c>
      <c r="F431">
        <f t="shared" si="120"/>
        <v>5</v>
      </c>
      <c r="G431">
        <f t="shared" si="121"/>
        <v>1</v>
      </c>
      <c r="H431">
        <f t="shared" si="122"/>
        <v>0</v>
      </c>
      <c r="I431">
        <f t="shared" si="125"/>
        <v>1</v>
      </c>
      <c r="J431">
        <f t="shared" si="126"/>
        <v>0</v>
      </c>
      <c r="K431">
        <f t="shared" si="123"/>
        <v>6</v>
      </c>
      <c r="L431" s="179">
        <f>'Aztec Metered Load'!C435</f>
        <v>4.4409999999999998</v>
      </c>
    </row>
    <row r="432" spans="1:12" x14ac:dyDescent="0.3">
      <c r="A432" s="19">
        <f t="shared" si="127"/>
        <v>45765</v>
      </c>
      <c r="B432">
        <f t="shared" si="128"/>
        <v>22</v>
      </c>
      <c r="C432" s="16">
        <f>IFERROR(MATCH(A433,NERCHolidays!$B$2:$B$121,0),0)</f>
        <v>0</v>
      </c>
      <c r="D432">
        <f t="shared" si="124"/>
        <v>1</v>
      </c>
      <c r="E432" t="str">
        <f t="shared" si="119"/>
        <v>PK</v>
      </c>
      <c r="F432">
        <f t="shared" si="120"/>
        <v>5</v>
      </c>
      <c r="G432">
        <f t="shared" si="121"/>
        <v>1</v>
      </c>
      <c r="H432">
        <f t="shared" si="122"/>
        <v>0</v>
      </c>
      <c r="I432">
        <f t="shared" si="125"/>
        <v>1</v>
      </c>
      <c r="J432">
        <f t="shared" si="126"/>
        <v>0</v>
      </c>
      <c r="K432">
        <f t="shared" si="123"/>
        <v>6</v>
      </c>
      <c r="L432" s="179">
        <f>'Aztec Metered Load'!C436</f>
        <v>4.1529999999999996</v>
      </c>
    </row>
    <row r="433" spans="1:12" x14ac:dyDescent="0.3">
      <c r="A433" s="19">
        <f t="shared" si="127"/>
        <v>45765</v>
      </c>
      <c r="B433">
        <f t="shared" si="128"/>
        <v>23</v>
      </c>
      <c r="C433" s="16">
        <f>IFERROR(MATCH(A434,NERCHolidays!$B$2:$B$121,0),0)</f>
        <v>0</v>
      </c>
      <c r="D433">
        <f t="shared" si="124"/>
        <v>1</v>
      </c>
      <c r="E433" t="str">
        <f t="shared" si="119"/>
        <v>PK</v>
      </c>
      <c r="F433">
        <f t="shared" si="120"/>
        <v>5</v>
      </c>
      <c r="G433">
        <f t="shared" si="121"/>
        <v>1</v>
      </c>
      <c r="H433">
        <f t="shared" si="122"/>
        <v>0</v>
      </c>
      <c r="I433">
        <f t="shared" si="125"/>
        <v>1</v>
      </c>
      <c r="J433">
        <f t="shared" si="126"/>
        <v>0</v>
      </c>
      <c r="K433">
        <f t="shared" si="123"/>
        <v>6</v>
      </c>
      <c r="L433" s="179">
        <f>'Aztec Metered Load'!C437</f>
        <v>3.8839999999999999</v>
      </c>
    </row>
    <row r="434" spans="1:12" x14ac:dyDescent="0.3">
      <c r="A434" s="19">
        <f t="shared" si="127"/>
        <v>45765</v>
      </c>
      <c r="B434">
        <f t="shared" si="128"/>
        <v>24</v>
      </c>
      <c r="C434" s="16">
        <f>IFERROR(MATCH(A435,NERCHolidays!$B$2:$B$121,0),0)</f>
        <v>0</v>
      </c>
      <c r="D434">
        <f t="shared" si="124"/>
        <v>0</v>
      </c>
      <c r="E434" t="str">
        <f t="shared" si="119"/>
        <v>OP</v>
      </c>
      <c r="F434">
        <f t="shared" si="120"/>
        <v>5</v>
      </c>
      <c r="G434">
        <f t="shared" si="121"/>
        <v>0</v>
      </c>
      <c r="H434">
        <f t="shared" si="122"/>
        <v>0</v>
      </c>
      <c r="I434">
        <f t="shared" si="125"/>
        <v>1</v>
      </c>
      <c r="J434">
        <f t="shared" si="126"/>
        <v>0</v>
      </c>
      <c r="K434">
        <f t="shared" si="123"/>
        <v>5</v>
      </c>
      <c r="L434" s="179">
        <f>'Aztec Metered Load'!C438</f>
        <v>3.7320000000000002</v>
      </c>
    </row>
    <row r="435" spans="1:12" x14ac:dyDescent="0.3">
      <c r="A435" s="19">
        <f t="shared" si="127"/>
        <v>45766</v>
      </c>
      <c r="B435">
        <f t="shared" si="128"/>
        <v>1</v>
      </c>
      <c r="C435" s="16">
        <f>IFERROR(MATCH(A436,NERCHolidays!$B$2:$B$121,0),0)</f>
        <v>0</v>
      </c>
      <c r="D435">
        <f t="shared" si="124"/>
        <v>0</v>
      </c>
      <c r="E435" t="str">
        <f t="shared" si="119"/>
        <v>OP</v>
      </c>
      <c r="F435">
        <f t="shared" si="120"/>
        <v>5</v>
      </c>
      <c r="G435">
        <f t="shared" si="121"/>
        <v>1</v>
      </c>
      <c r="H435">
        <f t="shared" si="122"/>
        <v>0</v>
      </c>
      <c r="I435">
        <f t="shared" si="125"/>
        <v>1</v>
      </c>
      <c r="J435">
        <f t="shared" si="126"/>
        <v>0</v>
      </c>
      <c r="K435">
        <f t="shared" si="123"/>
        <v>6</v>
      </c>
      <c r="L435" s="179">
        <f>'Aztec Metered Load'!C439</f>
        <v>3.6269999999999998</v>
      </c>
    </row>
    <row r="436" spans="1:12" x14ac:dyDescent="0.3">
      <c r="A436" s="19">
        <f t="shared" si="127"/>
        <v>45766</v>
      </c>
      <c r="B436">
        <f t="shared" si="128"/>
        <v>2</v>
      </c>
      <c r="C436" s="16">
        <f>IFERROR(MATCH(A437,NERCHolidays!$B$2:$B$121,0),0)</f>
        <v>0</v>
      </c>
      <c r="D436">
        <f t="shared" si="124"/>
        <v>0</v>
      </c>
      <c r="E436" t="str">
        <f t="shared" si="119"/>
        <v>OP</v>
      </c>
      <c r="F436">
        <f t="shared" si="120"/>
        <v>0</v>
      </c>
      <c r="G436">
        <f t="shared" si="121"/>
        <v>1</v>
      </c>
      <c r="H436">
        <f t="shared" si="122"/>
        <v>0</v>
      </c>
      <c r="I436">
        <f t="shared" si="125"/>
        <v>1</v>
      </c>
      <c r="J436">
        <f t="shared" si="126"/>
        <v>0</v>
      </c>
      <c r="K436">
        <f t="shared" si="123"/>
        <v>1</v>
      </c>
      <c r="L436" s="179">
        <f>'Aztec Metered Load'!C440</f>
        <v>3.5259999999999998</v>
      </c>
    </row>
    <row r="437" spans="1:12" x14ac:dyDescent="0.3">
      <c r="A437" s="19">
        <f t="shared" si="127"/>
        <v>45766</v>
      </c>
      <c r="B437">
        <f t="shared" si="128"/>
        <v>3</v>
      </c>
      <c r="C437" s="16">
        <f>IFERROR(MATCH(A438,NERCHolidays!$B$2:$B$121,0),0)</f>
        <v>0</v>
      </c>
      <c r="D437">
        <f t="shared" si="124"/>
        <v>0</v>
      </c>
      <c r="E437" t="str">
        <f t="shared" si="119"/>
        <v>OP</v>
      </c>
      <c r="F437">
        <f t="shared" si="120"/>
        <v>4</v>
      </c>
      <c r="G437">
        <f t="shared" si="121"/>
        <v>1</v>
      </c>
      <c r="H437">
        <f t="shared" si="122"/>
        <v>0</v>
      </c>
      <c r="I437">
        <f t="shared" si="125"/>
        <v>1</v>
      </c>
      <c r="J437">
        <f t="shared" si="126"/>
        <v>0</v>
      </c>
      <c r="K437">
        <f t="shared" si="123"/>
        <v>5</v>
      </c>
      <c r="L437" s="179">
        <f>'Aztec Metered Load'!C441</f>
        <v>3.593</v>
      </c>
    </row>
    <row r="438" spans="1:12" x14ac:dyDescent="0.3">
      <c r="A438" s="19">
        <f t="shared" si="127"/>
        <v>45766</v>
      </c>
      <c r="B438">
        <f t="shared" si="128"/>
        <v>4</v>
      </c>
      <c r="C438" s="16">
        <f>IFERROR(MATCH(A439,NERCHolidays!$B$2:$B$121,0),0)</f>
        <v>0</v>
      </c>
      <c r="D438">
        <f t="shared" si="124"/>
        <v>0</v>
      </c>
      <c r="E438" t="str">
        <f t="shared" si="119"/>
        <v>OP</v>
      </c>
      <c r="F438">
        <f t="shared" si="120"/>
        <v>5</v>
      </c>
      <c r="G438">
        <f t="shared" si="121"/>
        <v>1</v>
      </c>
      <c r="H438">
        <f t="shared" si="122"/>
        <v>0</v>
      </c>
      <c r="I438">
        <f t="shared" si="125"/>
        <v>2</v>
      </c>
      <c r="J438">
        <f t="shared" si="126"/>
        <v>0</v>
      </c>
      <c r="K438">
        <f t="shared" si="123"/>
        <v>6</v>
      </c>
      <c r="L438" s="179">
        <f>'Aztec Metered Load'!C442</f>
        <v>3.6560000000000001</v>
      </c>
    </row>
    <row r="439" spans="1:12" x14ac:dyDescent="0.3">
      <c r="A439" s="19">
        <f t="shared" si="127"/>
        <v>45766</v>
      </c>
      <c r="B439">
        <f t="shared" si="128"/>
        <v>5</v>
      </c>
      <c r="C439" s="16">
        <f>IFERROR(MATCH(A440,NERCHolidays!$B$2:$B$121,0),0)</f>
        <v>0</v>
      </c>
      <c r="D439">
        <f t="shared" si="124"/>
        <v>0</v>
      </c>
      <c r="E439" t="str">
        <f t="shared" si="119"/>
        <v>OP</v>
      </c>
      <c r="F439">
        <f t="shared" si="120"/>
        <v>5</v>
      </c>
      <c r="G439">
        <f t="shared" si="121"/>
        <v>1</v>
      </c>
      <c r="H439">
        <f t="shared" si="122"/>
        <v>0</v>
      </c>
      <c r="I439">
        <f t="shared" si="125"/>
        <v>2</v>
      </c>
      <c r="J439">
        <f t="shared" si="126"/>
        <v>0</v>
      </c>
      <c r="K439">
        <f t="shared" si="123"/>
        <v>6</v>
      </c>
      <c r="L439" s="179">
        <f>'Aztec Metered Load'!C443</f>
        <v>3.8140000000000001</v>
      </c>
    </row>
    <row r="440" spans="1:12" x14ac:dyDescent="0.3">
      <c r="A440" s="19">
        <f t="shared" si="127"/>
        <v>45766</v>
      </c>
      <c r="B440">
        <f t="shared" si="128"/>
        <v>6</v>
      </c>
      <c r="C440" s="16">
        <f>IFERROR(MATCH(A441,NERCHolidays!$B$2:$B$121,0),0)</f>
        <v>0</v>
      </c>
      <c r="D440">
        <f t="shared" si="124"/>
        <v>0</v>
      </c>
      <c r="E440" t="str">
        <f t="shared" si="119"/>
        <v>OP</v>
      </c>
      <c r="F440">
        <f t="shared" si="120"/>
        <v>5</v>
      </c>
      <c r="G440">
        <f t="shared" si="121"/>
        <v>1</v>
      </c>
      <c r="H440">
        <f t="shared" si="122"/>
        <v>0</v>
      </c>
      <c r="I440">
        <f t="shared" si="125"/>
        <v>1</v>
      </c>
      <c r="J440">
        <f t="shared" si="126"/>
        <v>0</v>
      </c>
      <c r="K440">
        <f t="shared" si="123"/>
        <v>6</v>
      </c>
      <c r="L440" s="179">
        <f>'Aztec Metered Load'!C444</f>
        <v>4.0670000000000002</v>
      </c>
    </row>
    <row r="441" spans="1:12" x14ac:dyDescent="0.3">
      <c r="A441" s="19">
        <f t="shared" si="127"/>
        <v>45766</v>
      </c>
      <c r="B441">
        <f t="shared" si="128"/>
        <v>7</v>
      </c>
      <c r="C441" s="16">
        <f>IFERROR(MATCH(A442,NERCHolidays!$B$2:$B$121,0),0)</f>
        <v>0</v>
      </c>
      <c r="D441">
        <f t="shared" si="124"/>
        <v>0</v>
      </c>
      <c r="E441" t="str">
        <f t="shared" si="119"/>
        <v>OP</v>
      </c>
      <c r="F441">
        <f t="shared" si="120"/>
        <v>5</v>
      </c>
      <c r="G441">
        <f t="shared" si="121"/>
        <v>1</v>
      </c>
      <c r="H441">
        <f t="shared" si="122"/>
        <v>0</v>
      </c>
      <c r="I441">
        <f t="shared" si="125"/>
        <v>1</v>
      </c>
      <c r="J441">
        <f t="shared" si="126"/>
        <v>0</v>
      </c>
      <c r="K441">
        <f t="shared" si="123"/>
        <v>6</v>
      </c>
      <c r="L441" s="179">
        <f>'Aztec Metered Load'!C445</f>
        <v>4.1289999999999996</v>
      </c>
    </row>
    <row r="442" spans="1:12" x14ac:dyDescent="0.3">
      <c r="A442" s="19">
        <f t="shared" si="127"/>
        <v>45766</v>
      </c>
      <c r="B442">
        <f t="shared" si="128"/>
        <v>8</v>
      </c>
      <c r="C442" s="16">
        <f>IFERROR(MATCH(A443,NERCHolidays!$B$2:$B$121,0),0)</f>
        <v>0</v>
      </c>
      <c r="D442">
        <f t="shared" si="124"/>
        <v>1</v>
      </c>
      <c r="E442" t="str">
        <f t="shared" si="119"/>
        <v>PK</v>
      </c>
      <c r="F442">
        <f t="shared" si="120"/>
        <v>5</v>
      </c>
      <c r="G442">
        <f t="shared" si="121"/>
        <v>1</v>
      </c>
      <c r="H442">
        <f t="shared" si="122"/>
        <v>0</v>
      </c>
      <c r="I442">
        <f t="shared" si="125"/>
        <v>1</v>
      </c>
      <c r="J442">
        <f t="shared" si="126"/>
        <v>0</v>
      </c>
      <c r="K442">
        <f t="shared" si="123"/>
        <v>6</v>
      </c>
      <c r="L442" s="179">
        <f>'Aztec Metered Load'!C446</f>
        <v>4.3639999999999999</v>
      </c>
    </row>
    <row r="443" spans="1:12" x14ac:dyDescent="0.3">
      <c r="A443" s="19">
        <f t="shared" si="127"/>
        <v>45766</v>
      </c>
      <c r="B443">
        <f t="shared" si="128"/>
        <v>9</v>
      </c>
      <c r="C443" s="16">
        <f>IFERROR(MATCH(A444,NERCHolidays!$B$2:$B$121,0),0)</f>
        <v>0</v>
      </c>
      <c r="D443">
        <f t="shared" si="124"/>
        <v>1</v>
      </c>
      <c r="E443" t="str">
        <f t="shared" si="119"/>
        <v>PK</v>
      </c>
      <c r="F443">
        <f t="shared" si="120"/>
        <v>0</v>
      </c>
      <c r="G443">
        <f t="shared" si="121"/>
        <v>0</v>
      </c>
      <c r="H443">
        <f t="shared" si="122"/>
        <v>0</v>
      </c>
      <c r="I443">
        <f t="shared" si="125"/>
        <v>1</v>
      </c>
      <c r="J443">
        <f t="shared" si="126"/>
        <v>0</v>
      </c>
      <c r="K443">
        <f t="shared" si="123"/>
        <v>0</v>
      </c>
      <c r="L443" s="179">
        <f>'Aztec Metered Load'!C447</f>
        <v>4.3109999999999999</v>
      </c>
    </row>
    <row r="444" spans="1:12" x14ac:dyDescent="0.3">
      <c r="A444" s="19">
        <f t="shared" si="127"/>
        <v>45766</v>
      </c>
      <c r="B444">
        <f t="shared" si="128"/>
        <v>10</v>
      </c>
      <c r="C444" s="16">
        <f>IFERROR(MATCH(A445,NERCHolidays!$B$2:$B$121,0),0)</f>
        <v>0</v>
      </c>
      <c r="D444">
        <f t="shared" si="124"/>
        <v>1</v>
      </c>
      <c r="E444" t="str">
        <f t="shared" si="119"/>
        <v>PK</v>
      </c>
      <c r="F444">
        <f t="shared" si="120"/>
        <v>5</v>
      </c>
      <c r="G444">
        <f t="shared" si="121"/>
        <v>0</v>
      </c>
      <c r="H444">
        <f t="shared" si="122"/>
        <v>0</v>
      </c>
      <c r="I444">
        <f t="shared" si="125"/>
        <v>1</v>
      </c>
      <c r="J444">
        <f t="shared" si="126"/>
        <v>0</v>
      </c>
      <c r="K444">
        <f t="shared" si="123"/>
        <v>5</v>
      </c>
      <c r="L444" s="179">
        <f>'Aztec Metered Load'!C448</f>
        <v>4.0730000000000004</v>
      </c>
    </row>
    <row r="445" spans="1:12" x14ac:dyDescent="0.3">
      <c r="A445" s="19">
        <f t="shared" si="127"/>
        <v>45766</v>
      </c>
      <c r="B445">
        <f t="shared" si="128"/>
        <v>11</v>
      </c>
      <c r="C445" s="16">
        <f>IFERROR(MATCH(A446,NERCHolidays!$B$2:$B$121,0),0)</f>
        <v>0</v>
      </c>
      <c r="D445">
        <f t="shared" si="124"/>
        <v>1</v>
      </c>
      <c r="E445" t="str">
        <f t="shared" si="119"/>
        <v>PK</v>
      </c>
      <c r="F445">
        <f t="shared" si="120"/>
        <v>5</v>
      </c>
      <c r="G445">
        <f t="shared" si="121"/>
        <v>0</v>
      </c>
      <c r="H445">
        <f t="shared" si="122"/>
        <v>0</v>
      </c>
      <c r="I445">
        <f t="shared" si="125"/>
        <v>1</v>
      </c>
      <c r="J445">
        <f t="shared" si="126"/>
        <v>0</v>
      </c>
      <c r="K445">
        <f t="shared" si="123"/>
        <v>5</v>
      </c>
      <c r="L445" s="179">
        <f>'Aztec Metered Load'!C449</f>
        <v>3.899</v>
      </c>
    </row>
    <row r="446" spans="1:12" x14ac:dyDescent="0.3">
      <c r="A446" s="19">
        <f t="shared" si="127"/>
        <v>45766</v>
      </c>
      <c r="B446">
        <f t="shared" si="128"/>
        <v>12</v>
      </c>
      <c r="C446" s="16">
        <f>IFERROR(MATCH(A447,NERCHolidays!$B$2:$B$121,0),0)</f>
        <v>0</v>
      </c>
      <c r="D446">
        <f t="shared" si="124"/>
        <v>1</v>
      </c>
      <c r="E446" t="str">
        <f t="shared" si="119"/>
        <v>PK</v>
      </c>
      <c r="F446">
        <f t="shared" si="120"/>
        <v>5</v>
      </c>
      <c r="G446">
        <f t="shared" si="121"/>
        <v>0</v>
      </c>
      <c r="H446">
        <f t="shared" si="122"/>
        <v>0</v>
      </c>
      <c r="I446">
        <f t="shared" si="125"/>
        <v>1</v>
      </c>
      <c r="J446">
        <f t="shared" si="126"/>
        <v>0</v>
      </c>
      <c r="K446">
        <f t="shared" si="123"/>
        <v>5</v>
      </c>
      <c r="L446" s="179">
        <f>'Aztec Metered Load'!C450</f>
        <v>3.577</v>
      </c>
    </row>
    <row r="447" spans="1:12" x14ac:dyDescent="0.3">
      <c r="A447" s="19">
        <f t="shared" si="127"/>
        <v>45766</v>
      </c>
      <c r="B447">
        <f t="shared" si="128"/>
        <v>13</v>
      </c>
      <c r="C447" s="16">
        <f>IFERROR(MATCH(A448,NERCHolidays!$B$2:$B$121,0),0)</f>
        <v>0</v>
      </c>
      <c r="D447">
        <f t="shared" si="124"/>
        <v>1</v>
      </c>
      <c r="E447" t="str">
        <f t="shared" si="119"/>
        <v>PK</v>
      </c>
      <c r="F447">
        <f t="shared" si="120"/>
        <v>5</v>
      </c>
      <c r="G447">
        <f t="shared" si="121"/>
        <v>0</v>
      </c>
      <c r="H447">
        <f t="shared" si="122"/>
        <v>0</v>
      </c>
      <c r="I447">
        <f t="shared" si="125"/>
        <v>1</v>
      </c>
      <c r="J447">
        <f t="shared" si="126"/>
        <v>0</v>
      </c>
      <c r="K447">
        <f t="shared" si="123"/>
        <v>5</v>
      </c>
      <c r="L447" s="179">
        <f>'Aztec Metered Load'!C451</f>
        <v>3.2519999999999998</v>
      </c>
    </row>
    <row r="448" spans="1:12" x14ac:dyDescent="0.3">
      <c r="A448" s="19">
        <f t="shared" si="127"/>
        <v>45766</v>
      </c>
      <c r="B448">
        <f t="shared" si="128"/>
        <v>14</v>
      </c>
      <c r="C448" s="16">
        <f>IFERROR(MATCH(A449,NERCHolidays!$B$2:$B$121,0),0)</f>
        <v>0</v>
      </c>
      <c r="D448">
        <f t="shared" si="124"/>
        <v>1</v>
      </c>
      <c r="E448" t="str">
        <f t="shared" si="119"/>
        <v>PK</v>
      </c>
      <c r="F448">
        <f t="shared" si="120"/>
        <v>5</v>
      </c>
      <c r="G448">
        <f t="shared" si="121"/>
        <v>0</v>
      </c>
      <c r="H448">
        <f t="shared" si="122"/>
        <v>0</v>
      </c>
      <c r="I448">
        <f t="shared" si="125"/>
        <v>1</v>
      </c>
      <c r="J448">
        <f t="shared" si="126"/>
        <v>0</v>
      </c>
      <c r="K448">
        <f t="shared" si="123"/>
        <v>5</v>
      </c>
      <c r="L448" s="179">
        <f>'Aztec Metered Load'!C452</f>
        <v>3.3639999999999999</v>
      </c>
    </row>
    <row r="449" spans="1:12" x14ac:dyDescent="0.3">
      <c r="A449" s="19">
        <f t="shared" si="127"/>
        <v>45766</v>
      </c>
      <c r="B449">
        <f t="shared" si="128"/>
        <v>15</v>
      </c>
      <c r="C449" s="16">
        <f>IFERROR(MATCH(A450,NERCHolidays!$B$2:$B$121,0),0)</f>
        <v>0</v>
      </c>
      <c r="D449">
        <f t="shared" si="124"/>
        <v>1</v>
      </c>
      <c r="E449" t="str">
        <f t="shared" si="119"/>
        <v>PK</v>
      </c>
      <c r="F449">
        <f t="shared" si="120"/>
        <v>5</v>
      </c>
      <c r="G449">
        <f t="shared" si="121"/>
        <v>0</v>
      </c>
      <c r="H449">
        <f t="shared" si="122"/>
        <v>0</v>
      </c>
      <c r="I449">
        <f t="shared" si="125"/>
        <v>1</v>
      </c>
      <c r="J449">
        <f t="shared" si="126"/>
        <v>0</v>
      </c>
      <c r="K449">
        <f t="shared" si="123"/>
        <v>5</v>
      </c>
      <c r="L449" s="179">
        <f>'Aztec Metered Load'!C453</f>
        <v>3.423</v>
      </c>
    </row>
    <row r="450" spans="1:12" x14ac:dyDescent="0.3">
      <c r="A450" s="19">
        <f t="shared" si="127"/>
        <v>45766</v>
      </c>
      <c r="B450">
        <f t="shared" si="128"/>
        <v>16</v>
      </c>
      <c r="C450" s="16">
        <f>IFERROR(MATCH(A451,NERCHolidays!$B$2:$B$121,0),0)</f>
        <v>0</v>
      </c>
      <c r="D450">
        <f t="shared" si="124"/>
        <v>1</v>
      </c>
      <c r="E450" t="str">
        <f t="shared" si="119"/>
        <v>PK</v>
      </c>
      <c r="F450">
        <f t="shared" si="120"/>
        <v>5</v>
      </c>
      <c r="G450">
        <f t="shared" si="121"/>
        <v>0</v>
      </c>
      <c r="H450">
        <f t="shared" si="122"/>
        <v>0</v>
      </c>
      <c r="I450">
        <f t="shared" si="125"/>
        <v>1</v>
      </c>
      <c r="J450">
        <f t="shared" si="126"/>
        <v>0</v>
      </c>
      <c r="K450">
        <f t="shared" si="123"/>
        <v>5</v>
      </c>
      <c r="L450" s="179">
        <f>'Aztec Metered Load'!C454</f>
        <v>3.5430000000000001</v>
      </c>
    </row>
    <row r="451" spans="1:12" x14ac:dyDescent="0.3">
      <c r="A451" s="19">
        <f t="shared" si="127"/>
        <v>45766</v>
      </c>
      <c r="B451">
        <f t="shared" si="128"/>
        <v>17</v>
      </c>
      <c r="C451" s="16">
        <f>IFERROR(MATCH(A452,NERCHolidays!$B$2:$B$121,0),0)</f>
        <v>0</v>
      </c>
      <c r="D451">
        <f t="shared" si="124"/>
        <v>1</v>
      </c>
      <c r="E451" t="str">
        <f t="shared" ref="E451:E514" si="129">IF(OR(WEEKDAY(A451)=1,C451&lt;&gt;0),"OP",IF(D451=0,"OP","PK"))</f>
        <v>PK</v>
      </c>
      <c r="F451">
        <f t="shared" ref="F451:F514" si="130">VLOOKUP(A451,$O$3:$AN$34,B451+2,FALSE)</f>
        <v>5</v>
      </c>
      <c r="G451">
        <f t="shared" ref="G451:G514" si="131">VLOOKUP(A451,$O$107:$AM$138,B451+1,FALSE)</f>
        <v>0</v>
      </c>
      <c r="H451">
        <f t="shared" ref="H451:H514" si="132">VLOOKUP(A451,$O$142:$AM$173,B451+1,FALSE)</f>
        <v>0</v>
      </c>
      <c r="I451">
        <f t="shared" si="125"/>
        <v>1</v>
      </c>
      <c r="J451">
        <f t="shared" si="126"/>
        <v>0</v>
      </c>
      <c r="K451">
        <f t="shared" ref="K451:K514" si="133">VLOOKUP(A451,$O$175:$AM$206,B451+1,FALSE)</f>
        <v>5</v>
      </c>
      <c r="L451" s="179">
        <f>'Aztec Metered Load'!C455</f>
        <v>3.7429999999999999</v>
      </c>
    </row>
    <row r="452" spans="1:12" x14ac:dyDescent="0.3">
      <c r="A452" s="19">
        <f t="shared" si="127"/>
        <v>45766</v>
      </c>
      <c r="B452">
        <f t="shared" si="128"/>
        <v>18</v>
      </c>
      <c r="C452" s="16">
        <f>IFERROR(MATCH(A453,NERCHolidays!$B$2:$B$121,0),0)</f>
        <v>0</v>
      </c>
      <c r="D452">
        <f t="shared" ref="D452:D515" si="134">IF(AND(B452&gt;=8,B452&lt;=23),1,0)</f>
        <v>1</v>
      </c>
      <c r="E452" t="str">
        <f t="shared" si="129"/>
        <v>PK</v>
      </c>
      <c r="F452">
        <f t="shared" si="130"/>
        <v>0</v>
      </c>
      <c r="G452">
        <f t="shared" si="131"/>
        <v>0</v>
      </c>
      <c r="H452">
        <f t="shared" si="132"/>
        <v>0</v>
      </c>
      <c r="I452">
        <f t="shared" ref="I452:I515" si="135">VLOOKUP(A452,$O$40:$AN$70,B452+2,FALSE)</f>
        <v>1</v>
      </c>
      <c r="J452">
        <f t="shared" ref="J452:J515" si="136">VLOOKUP(A452,$O$73:$AN$104,B452+2,FALSE)</f>
        <v>0</v>
      </c>
      <c r="K452">
        <f t="shared" si="133"/>
        <v>0</v>
      </c>
      <c r="L452" s="179">
        <f>'Aztec Metered Load'!C456</f>
        <v>3.8809999999999998</v>
      </c>
    </row>
    <row r="453" spans="1:12" x14ac:dyDescent="0.3">
      <c r="A453" s="19">
        <f t="shared" ref="A453:A516" si="137">IF(B452=24,A452+1,A452)</f>
        <v>45766</v>
      </c>
      <c r="B453">
        <f t="shared" ref="B453:B516" si="138">IF(B452=24,1,B452+1)</f>
        <v>19</v>
      </c>
      <c r="C453" s="16">
        <f>IFERROR(MATCH(A454,NERCHolidays!$B$2:$B$121,0),0)</f>
        <v>0</v>
      </c>
      <c r="D453">
        <f t="shared" si="134"/>
        <v>1</v>
      </c>
      <c r="E453" t="str">
        <f t="shared" si="129"/>
        <v>PK</v>
      </c>
      <c r="F453">
        <f t="shared" si="130"/>
        <v>5</v>
      </c>
      <c r="G453">
        <f t="shared" si="131"/>
        <v>1</v>
      </c>
      <c r="H453">
        <f t="shared" si="132"/>
        <v>0</v>
      </c>
      <c r="I453">
        <f t="shared" si="135"/>
        <v>1</v>
      </c>
      <c r="J453">
        <f t="shared" si="136"/>
        <v>0</v>
      </c>
      <c r="K453">
        <f t="shared" si="133"/>
        <v>6</v>
      </c>
      <c r="L453" s="179">
        <f>'Aztec Metered Load'!C457</f>
        <v>4.0259999999999998</v>
      </c>
    </row>
    <row r="454" spans="1:12" x14ac:dyDescent="0.3">
      <c r="A454" s="19">
        <f t="shared" si="137"/>
        <v>45766</v>
      </c>
      <c r="B454">
        <f t="shared" si="138"/>
        <v>20</v>
      </c>
      <c r="C454" s="16">
        <f>IFERROR(MATCH(A455,NERCHolidays!$B$2:$B$121,0),0)</f>
        <v>0</v>
      </c>
      <c r="D454">
        <f t="shared" si="134"/>
        <v>1</v>
      </c>
      <c r="E454" t="str">
        <f t="shared" si="129"/>
        <v>PK</v>
      </c>
      <c r="F454">
        <f t="shared" si="130"/>
        <v>5</v>
      </c>
      <c r="G454">
        <f t="shared" si="131"/>
        <v>1</v>
      </c>
      <c r="H454">
        <f t="shared" si="132"/>
        <v>0</v>
      </c>
      <c r="I454">
        <f t="shared" si="135"/>
        <v>1</v>
      </c>
      <c r="J454">
        <f t="shared" si="136"/>
        <v>0</v>
      </c>
      <c r="K454">
        <f t="shared" si="133"/>
        <v>6</v>
      </c>
      <c r="L454" s="179">
        <f>'Aztec Metered Load'!C458</f>
        <v>4.3140000000000001</v>
      </c>
    </row>
    <row r="455" spans="1:12" x14ac:dyDescent="0.3">
      <c r="A455" s="19">
        <f t="shared" si="137"/>
        <v>45766</v>
      </c>
      <c r="B455">
        <f t="shared" si="138"/>
        <v>21</v>
      </c>
      <c r="C455" s="16">
        <f>IFERROR(MATCH(A456,NERCHolidays!$B$2:$B$121,0),0)</f>
        <v>0</v>
      </c>
      <c r="D455">
        <f t="shared" si="134"/>
        <v>1</v>
      </c>
      <c r="E455" t="str">
        <f t="shared" si="129"/>
        <v>PK</v>
      </c>
      <c r="F455">
        <f t="shared" si="130"/>
        <v>5</v>
      </c>
      <c r="G455">
        <f t="shared" si="131"/>
        <v>1</v>
      </c>
      <c r="H455">
        <f t="shared" si="132"/>
        <v>0</v>
      </c>
      <c r="I455">
        <f t="shared" si="135"/>
        <v>1</v>
      </c>
      <c r="J455">
        <f t="shared" si="136"/>
        <v>0</v>
      </c>
      <c r="K455">
        <f t="shared" si="133"/>
        <v>6</v>
      </c>
      <c r="L455" s="179">
        <f>'Aztec Metered Load'!C459</f>
        <v>4.2380000000000004</v>
      </c>
    </row>
    <row r="456" spans="1:12" x14ac:dyDescent="0.3">
      <c r="A456" s="19">
        <f t="shared" si="137"/>
        <v>45766</v>
      </c>
      <c r="B456">
        <f t="shared" si="138"/>
        <v>22</v>
      </c>
      <c r="C456" s="16">
        <f>IFERROR(MATCH(A457,NERCHolidays!$B$2:$B$121,0),0)</f>
        <v>0</v>
      </c>
      <c r="D456">
        <f t="shared" si="134"/>
        <v>1</v>
      </c>
      <c r="E456" t="str">
        <f t="shared" si="129"/>
        <v>PK</v>
      </c>
      <c r="F456">
        <f t="shared" si="130"/>
        <v>5</v>
      </c>
      <c r="G456">
        <f t="shared" si="131"/>
        <v>1</v>
      </c>
      <c r="H456">
        <f t="shared" si="132"/>
        <v>0</v>
      </c>
      <c r="I456">
        <f t="shared" si="135"/>
        <v>1</v>
      </c>
      <c r="J456">
        <f t="shared" si="136"/>
        <v>0</v>
      </c>
      <c r="K456">
        <f t="shared" si="133"/>
        <v>6</v>
      </c>
      <c r="L456" s="179">
        <f>'Aztec Metered Load'!C460</f>
        <v>4.016</v>
      </c>
    </row>
    <row r="457" spans="1:12" x14ac:dyDescent="0.3">
      <c r="A457" s="19">
        <f t="shared" si="137"/>
        <v>45766</v>
      </c>
      <c r="B457">
        <f t="shared" si="138"/>
        <v>23</v>
      </c>
      <c r="C457" s="16">
        <f>IFERROR(MATCH(A458,NERCHolidays!$B$2:$B$121,0),0)</f>
        <v>0</v>
      </c>
      <c r="D457">
        <f t="shared" si="134"/>
        <v>1</v>
      </c>
      <c r="E457" t="str">
        <f t="shared" si="129"/>
        <v>PK</v>
      </c>
      <c r="F457">
        <f t="shared" si="130"/>
        <v>5</v>
      </c>
      <c r="G457">
        <f t="shared" si="131"/>
        <v>1</v>
      </c>
      <c r="H457">
        <f t="shared" si="132"/>
        <v>0</v>
      </c>
      <c r="I457">
        <f t="shared" si="135"/>
        <v>1</v>
      </c>
      <c r="J457">
        <f t="shared" si="136"/>
        <v>0</v>
      </c>
      <c r="K457">
        <f t="shared" si="133"/>
        <v>6</v>
      </c>
      <c r="L457" s="179">
        <f>'Aztec Metered Load'!C461</f>
        <v>3.802</v>
      </c>
    </row>
    <row r="458" spans="1:12" x14ac:dyDescent="0.3">
      <c r="A458" s="19">
        <f t="shared" si="137"/>
        <v>45766</v>
      </c>
      <c r="B458">
        <f t="shared" si="138"/>
        <v>24</v>
      </c>
      <c r="C458" s="16">
        <f>IFERROR(MATCH(A459,NERCHolidays!$B$2:$B$121,0),0)</f>
        <v>0</v>
      </c>
      <c r="D458">
        <f t="shared" si="134"/>
        <v>0</v>
      </c>
      <c r="E458" t="str">
        <f t="shared" si="129"/>
        <v>OP</v>
      </c>
      <c r="F458">
        <f t="shared" si="130"/>
        <v>5</v>
      </c>
      <c r="G458">
        <f t="shared" si="131"/>
        <v>0</v>
      </c>
      <c r="H458">
        <f t="shared" si="132"/>
        <v>0</v>
      </c>
      <c r="I458">
        <f t="shared" si="135"/>
        <v>1</v>
      </c>
      <c r="J458">
        <f t="shared" si="136"/>
        <v>0</v>
      </c>
      <c r="K458">
        <f t="shared" si="133"/>
        <v>5</v>
      </c>
      <c r="L458" s="179">
        <f>'Aztec Metered Load'!C462</f>
        <v>3.641</v>
      </c>
    </row>
    <row r="459" spans="1:12" x14ac:dyDescent="0.3">
      <c r="A459" s="19">
        <f t="shared" si="137"/>
        <v>45767</v>
      </c>
      <c r="B459">
        <f t="shared" si="138"/>
        <v>1</v>
      </c>
      <c r="C459" s="16">
        <f>IFERROR(MATCH(A460,NERCHolidays!$B$2:$B$121,0),0)</f>
        <v>0</v>
      </c>
      <c r="D459">
        <f t="shared" si="134"/>
        <v>0</v>
      </c>
      <c r="E459" t="str">
        <f t="shared" si="129"/>
        <v>OP</v>
      </c>
      <c r="F459">
        <f t="shared" si="130"/>
        <v>0</v>
      </c>
      <c r="G459">
        <f t="shared" si="131"/>
        <v>1</v>
      </c>
      <c r="H459">
        <f t="shared" si="132"/>
        <v>0</v>
      </c>
      <c r="I459">
        <f t="shared" si="135"/>
        <v>1</v>
      </c>
      <c r="J459">
        <f t="shared" si="136"/>
        <v>0</v>
      </c>
      <c r="K459">
        <f t="shared" si="133"/>
        <v>1</v>
      </c>
      <c r="L459" s="179">
        <f>'Aztec Metered Load'!C463</f>
        <v>3.641</v>
      </c>
    </row>
    <row r="460" spans="1:12" x14ac:dyDescent="0.3">
      <c r="A460" s="19">
        <f t="shared" si="137"/>
        <v>45767</v>
      </c>
      <c r="B460">
        <f t="shared" si="138"/>
        <v>2</v>
      </c>
      <c r="C460" s="16">
        <f>IFERROR(MATCH(A461,NERCHolidays!$B$2:$B$121,0),0)</f>
        <v>0</v>
      </c>
      <c r="D460">
        <f t="shared" si="134"/>
        <v>0</v>
      </c>
      <c r="E460" t="str">
        <f t="shared" si="129"/>
        <v>OP</v>
      </c>
      <c r="F460">
        <f t="shared" si="130"/>
        <v>5</v>
      </c>
      <c r="G460">
        <f t="shared" si="131"/>
        <v>1</v>
      </c>
      <c r="H460">
        <f t="shared" si="132"/>
        <v>0</v>
      </c>
      <c r="I460">
        <f t="shared" si="135"/>
        <v>1</v>
      </c>
      <c r="J460">
        <f t="shared" si="136"/>
        <v>0</v>
      </c>
      <c r="K460">
        <f t="shared" si="133"/>
        <v>6</v>
      </c>
      <c r="L460" s="179">
        <f>'Aztec Metered Load'!C464</f>
        <v>3.5569999999999999</v>
      </c>
    </row>
    <row r="461" spans="1:12" x14ac:dyDescent="0.3">
      <c r="A461" s="19">
        <f t="shared" si="137"/>
        <v>45767</v>
      </c>
      <c r="B461">
        <f t="shared" si="138"/>
        <v>3</v>
      </c>
      <c r="C461" s="16">
        <f>IFERROR(MATCH(A462,NERCHolidays!$B$2:$B$121,0),0)</f>
        <v>0</v>
      </c>
      <c r="D461">
        <f t="shared" si="134"/>
        <v>0</v>
      </c>
      <c r="E461" t="str">
        <f t="shared" si="129"/>
        <v>OP</v>
      </c>
      <c r="F461">
        <f t="shared" si="130"/>
        <v>5</v>
      </c>
      <c r="G461">
        <f t="shared" si="131"/>
        <v>1</v>
      </c>
      <c r="H461">
        <f t="shared" si="132"/>
        <v>0</v>
      </c>
      <c r="I461">
        <f t="shared" si="135"/>
        <v>1</v>
      </c>
      <c r="J461">
        <f t="shared" si="136"/>
        <v>0</v>
      </c>
      <c r="K461">
        <f t="shared" si="133"/>
        <v>6</v>
      </c>
      <c r="L461" s="179">
        <f>'Aztec Metered Load'!C465</f>
        <v>3.6429999999999998</v>
      </c>
    </row>
    <row r="462" spans="1:12" x14ac:dyDescent="0.3">
      <c r="A462" s="19">
        <f t="shared" si="137"/>
        <v>45767</v>
      </c>
      <c r="B462">
        <f t="shared" si="138"/>
        <v>4</v>
      </c>
      <c r="C462" s="16">
        <f>IFERROR(MATCH(A463,NERCHolidays!$B$2:$B$121,0),0)</f>
        <v>0</v>
      </c>
      <c r="D462">
        <f t="shared" si="134"/>
        <v>0</v>
      </c>
      <c r="E462" t="str">
        <f t="shared" si="129"/>
        <v>OP</v>
      </c>
      <c r="F462">
        <f t="shared" si="130"/>
        <v>5</v>
      </c>
      <c r="G462">
        <f t="shared" si="131"/>
        <v>1</v>
      </c>
      <c r="H462">
        <f t="shared" si="132"/>
        <v>0</v>
      </c>
      <c r="I462">
        <f t="shared" si="135"/>
        <v>2</v>
      </c>
      <c r="J462">
        <f t="shared" si="136"/>
        <v>0</v>
      </c>
      <c r="K462">
        <f t="shared" si="133"/>
        <v>6</v>
      </c>
      <c r="L462" s="179">
        <f>'Aztec Metered Load'!C466</f>
        <v>3.69</v>
      </c>
    </row>
    <row r="463" spans="1:12" x14ac:dyDescent="0.3">
      <c r="A463" s="19">
        <f t="shared" si="137"/>
        <v>45767</v>
      </c>
      <c r="B463">
        <f t="shared" si="138"/>
        <v>5</v>
      </c>
      <c r="C463" s="16">
        <f>IFERROR(MATCH(A464,NERCHolidays!$B$2:$B$121,0),0)</f>
        <v>0</v>
      </c>
      <c r="D463">
        <f t="shared" si="134"/>
        <v>0</v>
      </c>
      <c r="E463" t="str">
        <f t="shared" si="129"/>
        <v>OP</v>
      </c>
      <c r="F463">
        <f t="shared" si="130"/>
        <v>5</v>
      </c>
      <c r="G463">
        <f t="shared" si="131"/>
        <v>1</v>
      </c>
      <c r="H463">
        <f t="shared" si="132"/>
        <v>0</v>
      </c>
      <c r="I463">
        <f t="shared" si="135"/>
        <v>2</v>
      </c>
      <c r="J463">
        <f t="shared" si="136"/>
        <v>0</v>
      </c>
      <c r="K463">
        <f t="shared" si="133"/>
        <v>6</v>
      </c>
      <c r="L463" s="179">
        <f>'Aztec Metered Load'!C467</f>
        <v>3.8889999999999998</v>
      </c>
    </row>
    <row r="464" spans="1:12" x14ac:dyDescent="0.3">
      <c r="A464" s="19">
        <f t="shared" si="137"/>
        <v>45767</v>
      </c>
      <c r="B464">
        <f t="shared" si="138"/>
        <v>6</v>
      </c>
      <c r="C464" s="16">
        <f>IFERROR(MATCH(A465,NERCHolidays!$B$2:$B$121,0),0)</f>
        <v>0</v>
      </c>
      <c r="D464">
        <f t="shared" si="134"/>
        <v>0</v>
      </c>
      <c r="E464" t="str">
        <f t="shared" si="129"/>
        <v>OP</v>
      </c>
      <c r="F464">
        <f t="shared" si="130"/>
        <v>5</v>
      </c>
      <c r="G464">
        <f t="shared" si="131"/>
        <v>1</v>
      </c>
      <c r="H464">
        <f t="shared" si="132"/>
        <v>0</v>
      </c>
      <c r="I464">
        <f t="shared" si="135"/>
        <v>1</v>
      </c>
      <c r="J464">
        <f t="shared" si="136"/>
        <v>0</v>
      </c>
      <c r="K464">
        <f t="shared" si="133"/>
        <v>6</v>
      </c>
      <c r="L464" s="179">
        <f>'Aztec Metered Load'!C468</f>
        <v>4.1760000000000002</v>
      </c>
    </row>
    <row r="465" spans="1:12" x14ac:dyDescent="0.3">
      <c r="A465" s="19">
        <f t="shared" si="137"/>
        <v>45767</v>
      </c>
      <c r="B465">
        <f t="shared" si="138"/>
        <v>7</v>
      </c>
      <c r="C465" s="16">
        <f>IFERROR(MATCH(A466,NERCHolidays!$B$2:$B$121,0),0)</f>
        <v>0</v>
      </c>
      <c r="D465">
        <f t="shared" si="134"/>
        <v>0</v>
      </c>
      <c r="E465" t="str">
        <f t="shared" si="129"/>
        <v>OP</v>
      </c>
      <c r="F465">
        <f t="shared" si="130"/>
        <v>5</v>
      </c>
      <c r="G465">
        <f t="shared" si="131"/>
        <v>1</v>
      </c>
      <c r="H465">
        <f t="shared" si="132"/>
        <v>0</v>
      </c>
      <c r="I465">
        <f t="shared" si="135"/>
        <v>1</v>
      </c>
      <c r="J465">
        <f t="shared" si="136"/>
        <v>0</v>
      </c>
      <c r="K465">
        <f t="shared" si="133"/>
        <v>6</v>
      </c>
      <c r="L465" s="179">
        <f>'Aztec Metered Load'!C469</f>
        <v>4.1420000000000003</v>
      </c>
    </row>
    <row r="466" spans="1:12" x14ac:dyDescent="0.3">
      <c r="A466" s="19">
        <f t="shared" si="137"/>
        <v>45767</v>
      </c>
      <c r="B466">
        <f t="shared" si="138"/>
        <v>8</v>
      </c>
      <c r="C466" s="16">
        <f>IFERROR(MATCH(A467,NERCHolidays!$B$2:$B$121,0),0)</f>
        <v>0</v>
      </c>
      <c r="D466">
        <f t="shared" si="134"/>
        <v>1</v>
      </c>
      <c r="E466" t="str">
        <f t="shared" si="129"/>
        <v>OP</v>
      </c>
      <c r="F466">
        <f t="shared" si="130"/>
        <v>5</v>
      </c>
      <c r="G466">
        <f t="shared" si="131"/>
        <v>1</v>
      </c>
      <c r="H466">
        <f t="shared" si="132"/>
        <v>0</v>
      </c>
      <c r="I466">
        <f t="shared" si="135"/>
        <v>1</v>
      </c>
      <c r="J466">
        <f t="shared" si="136"/>
        <v>0</v>
      </c>
      <c r="K466">
        <f t="shared" si="133"/>
        <v>6</v>
      </c>
      <c r="L466" s="179">
        <f>'Aztec Metered Load'!C470</f>
        <v>3.8759999999999999</v>
      </c>
    </row>
    <row r="467" spans="1:12" x14ac:dyDescent="0.3">
      <c r="A467" s="19">
        <f t="shared" si="137"/>
        <v>45767</v>
      </c>
      <c r="B467">
        <f t="shared" si="138"/>
        <v>9</v>
      </c>
      <c r="C467" s="16">
        <f>IFERROR(MATCH(A468,NERCHolidays!$B$2:$B$121,0),0)</f>
        <v>0</v>
      </c>
      <c r="D467">
        <f t="shared" si="134"/>
        <v>1</v>
      </c>
      <c r="E467" t="str">
        <f t="shared" si="129"/>
        <v>OP</v>
      </c>
      <c r="F467">
        <f t="shared" si="130"/>
        <v>5</v>
      </c>
      <c r="G467">
        <f t="shared" si="131"/>
        <v>0</v>
      </c>
      <c r="H467">
        <f t="shared" si="132"/>
        <v>0</v>
      </c>
      <c r="I467">
        <f t="shared" si="135"/>
        <v>1</v>
      </c>
      <c r="J467">
        <f t="shared" si="136"/>
        <v>0</v>
      </c>
      <c r="K467">
        <f t="shared" si="133"/>
        <v>5</v>
      </c>
      <c r="L467" s="179">
        <f>'Aztec Metered Load'!C471</f>
        <v>3.6739999999999999</v>
      </c>
    </row>
    <row r="468" spans="1:12" x14ac:dyDescent="0.3">
      <c r="A468" s="19">
        <f t="shared" si="137"/>
        <v>45767</v>
      </c>
      <c r="B468">
        <f t="shared" si="138"/>
        <v>10</v>
      </c>
      <c r="C468" s="16">
        <f>IFERROR(MATCH(A469,NERCHolidays!$B$2:$B$121,0),0)</f>
        <v>0</v>
      </c>
      <c r="D468">
        <f t="shared" si="134"/>
        <v>1</v>
      </c>
      <c r="E468" t="str">
        <f t="shared" si="129"/>
        <v>OP</v>
      </c>
      <c r="F468">
        <f t="shared" si="130"/>
        <v>5</v>
      </c>
      <c r="G468">
        <f t="shared" si="131"/>
        <v>0</v>
      </c>
      <c r="H468">
        <f t="shared" si="132"/>
        <v>0</v>
      </c>
      <c r="I468">
        <f t="shared" si="135"/>
        <v>1</v>
      </c>
      <c r="J468">
        <f t="shared" si="136"/>
        <v>0</v>
      </c>
      <c r="K468">
        <f t="shared" si="133"/>
        <v>5</v>
      </c>
      <c r="L468" s="179">
        <f>'Aztec Metered Load'!C472</f>
        <v>3.2959999999999998</v>
      </c>
    </row>
    <row r="469" spans="1:12" x14ac:dyDescent="0.3">
      <c r="A469" s="19">
        <f t="shared" si="137"/>
        <v>45767</v>
      </c>
      <c r="B469">
        <f t="shared" si="138"/>
        <v>11</v>
      </c>
      <c r="C469" s="16">
        <f>IFERROR(MATCH(A470,NERCHolidays!$B$2:$B$121,0),0)</f>
        <v>0</v>
      </c>
      <c r="D469">
        <f t="shared" si="134"/>
        <v>1</v>
      </c>
      <c r="E469" t="str">
        <f t="shared" si="129"/>
        <v>OP</v>
      </c>
      <c r="F469">
        <f t="shared" si="130"/>
        <v>5</v>
      </c>
      <c r="G469">
        <f t="shared" si="131"/>
        <v>0</v>
      </c>
      <c r="H469">
        <f t="shared" si="132"/>
        <v>0</v>
      </c>
      <c r="I469">
        <f t="shared" si="135"/>
        <v>1</v>
      </c>
      <c r="J469">
        <f t="shared" si="136"/>
        <v>0</v>
      </c>
      <c r="K469">
        <f t="shared" si="133"/>
        <v>5</v>
      </c>
      <c r="L469" s="179">
        <f>'Aztec Metered Load'!C473</f>
        <v>3.1059999999999999</v>
      </c>
    </row>
    <row r="470" spans="1:12" x14ac:dyDescent="0.3">
      <c r="A470" s="19">
        <f t="shared" si="137"/>
        <v>45767</v>
      </c>
      <c r="B470">
        <f t="shared" si="138"/>
        <v>12</v>
      </c>
      <c r="C470" s="16">
        <f>IFERROR(MATCH(A471,NERCHolidays!$B$2:$B$121,0),0)</f>
        <v>0</v>
      </c>
      <c r="D470">
        <f t="shared" si="134"/>
        <v>1</v>
      </c>
      <c r="E470" t="str">
        <f t="shared" si="129"/>
        <v>OP</v>
      </c>
      <c r="F470">
        <f t="shared" si="130"/>
        <v>5</v>
      </c>
      <c r="G470">
        <f t="shared" si="131"/>
        <v>0</v>
      </c>
      <c r="H470">
        <f t="shared" si="132"/>
        <v>0</v>
      </c>
      <c r="I470">
        <f t="shared" si="135"/>
        <v>1</v>
      </c>
      <c r="J470">
        <f t="shared" si="136"/>
        <v>0</v>
      </c>
      <c r="K470">
        <f t="shared" si="133"/>
        <v>5</v>
      </c>
      <c r="L470" s="179">
        <f>'Aztec Metered Load'!C474</f>
        <v>2.9209999999999998</v>
      </c>
    </row>
    <row r="471" spans="1:12" x14ac:dyDescent="0.3">
      <c r="A471" s="19">
        <f t="shared" si="137"/>
        <v>45767</v>
      </c>
      <c r="B471">
        <f t="shared" si="138"/>
        <v>13</v>
      </c>
      <c r="C471" s="16">
        <f>IFERROR(MATCH(A472,NERCHolidays!$B$2:$B$121,0),0)</f>
        <v>0</v>
      </c>
      <c r="D471">
        <f t="shared" si="134"/>
        <v>1</v>
      </c>
      <c r="E471" t="str">
        <f t="shared" si="129"/>
        <v>OP</v>
      </c>
      <c r="F471">
        <f t="shared" si="130"/>
        <v>5</v>
      </c>
      <c r="G471">
        <f t="shared" si="131"/>
        <v>0</v>
      </c>
      <c r="H471">
        <f t="shared" si="132"/>
        <v>0</v>
      </c>
      <c r="I471">
        <f t="shared" si="135"/>
        <v>1</v>
      </c>
      <c r="J471">
        <f t="shared" si="136"/>
        <v>0</v>
      </c>
      <c r="K471">
        <f t="shared" si="133"/>
        <v>5</v>
      </c>
      <c r="L471" s="179">
        <f>'Aztec Metered Load'!C475</f>
        <v>2.8220000000000001</v>
      </c>
    </row>
    <row r="472" spans="1:12" x14ac:dyDescent="0.3">
      <c r="A472" s="19">
        <f t="shared" si="137"/>
        <v>45767</v>
      </c>
      <c r="B472">
        <f t="shared" si="138"/>
        <v>14</v>
      </c>
      <c r="C472" s="16">
        <f>IFERROR(MATCH(A473,NERCHolidays!$B$2:$B$121,0),0)</f>
        <v>0</v>
      </c>
      <c r="D472">
        <f t="shared" si="134"/>
        <v>1</v>
      </c>
      <c r="E472" t="str">
        <f t="shared" si="129"/>
        <v>OP</v>
      </c>
      <c r="F472">
        <f t="shared" si="130"/>
        <v>5</v>
      </c>
      <c r="G472">
        <f t="shared" si="131"/>
        <v>0</v>
      </c>
      <c r="H472">
        <f t="shared" si="132"/>
        <v>0</v>
      </c>
      <c r="I472">
        <f t="shared" si="135"/>
        <v>1</v>
      </c>
      <c r="J472">
        <f t="shared" si="136"/>
        <v>0</v>
      </c>
      <c r="K472">
        <f t="shared" si="133"/>
        <v>5</v>
      </c>
      <c r="L472" s="179">
        <f>'Aztec Metered Load'!C476</f>
        <v>2.7679999999999998</v>
      </c>
    </row>
    <row r="473" spans="1:12" x14ac:dyDescent="0.3">
      <c r="A473" s="19">
        <f t="shared" si="137"/>
        <v>45767</v>
      </c>
      <c r="B473">
        <f t="shared" si="138"/>
        <v>15</v>
      </c>
      <c r="C473" s="16">
        <f>IFERROR(MATCH(A474,NERCHolidays!$B$2:$B$121,0),0)</f>
        <v>0</v>
      </c>
      <c r="D473">
        <f t="shared" si="134"/>
        <v>1</v>
      </c>
      <c r="E473" t="str">
        <f t="shared" si="129"/>
        <v>OP</v>
      </c>
      <c r="F473">
        <f t="shared" si="130"/>
        <v>5</v>
      </c>
      <c r="G473">
        <f t="shared" si="131"/>
        <v>0</v>
      </c>
      <c r="H473">
        <f t="shared" si="132"/>
        <v>0</v>
      </c>
      <c r="I473">
        <f t="shared" si="135"/>
        <v>1</v>
      </c>
      <c r="J473">
        <f t="shared" si="136"/>
        <v>0</v>
      </c>
      <c r="K473">
        <f t="shared" si="133"/>
        <v>5</v>
      </c>
      <c r="L473" s="179">
        <f>'Aztec Metered Load'!C477</f>
        <v>2.7909999999999999</v>
      </c>
    </row>
    <row r="474" spans="1:12" x14ac:dyDescent="0.3">
      <c r="A474" s="19">
        <f t="shared" si="137"/>
        <v>45767</v>
      </c>
      <c r="B474">
        <f t="shared" si="138"/>
        <v>16</v>
      </c>
      <c r="C474" s="16">
        <f>IFERROR(MATCH(A475,NERCHolidays!$B$2:$B$121,0),0)</f>
        <v>0</v>
      </c>
      <c r="D474">
        <f t="shared" si="134"/>
        <v>1</v>
      </c>
      <c r="E474" t="str">
        <f t="shared" si="129"/>
        <v>OP</v>
      </c>
      <c r="F474">
        <f t="shared" si="130"/>
        <v>5</v>
      </c>
      <c r="G474">
        <f t="shared" si="131"/>
        <v>0</v>
      </c>
      <c r="H474">
        <f t="shared" si="132"/>
        <v>0</v>
      </c>
      <c r="I474">
        <f t="shared" si="135"/>
        <v>1</v>
      </c>
      <c r="J474">
        <f t="shared" si="136"/>
        <v>0</v>
      </c>
      <c r="K474">
        <f t="shared" si="133"/>
        <v>5</v>
      </c>
      <c r="L474" s="179">
        <f>'Aztec Metered Load'!C478</f>
        <v>2.8330000000000002</v>
      </c>
    </row>
    <row r="475" spans="1:12" x14ac:dyDescent="0.3">
      <c r="A475" s="19">
        <f t="shared" si="137"/>
        <v>45767</v>
      </c>
      <c r="B475">
        <f t="shared" si="138"/>
        <v>17</v>
      </c>
      <c r="C475" s="16">
        <f>IFERROR(MATCH(A476,NERCHolidays!$B$2:$B$121,0),0)</f>
        <v>0</v>
      </c>
      <c r="D475">
        <f t="shared" si="134"/>
        <v>1</v>
      </c>
      <c r="E475" t="str">
        <f t="shared" si="129"/>
        <v>OP</v>
      </c>
      <c r="F475">
        <f t="shared" si="130"/>
        <v>5</v>
      </c>
      <c r="G475">
        <f t="shared" si="131"/>
        <v>0</v>
      </c>
      <c r="H475">
        <f t="shared" si="132"/>
        <v>0</v>
      </c>
      <c r="I475">
        <f t="shared" si="135"/>
        <v>1</v>
      </c>
      <c r="J475">
        <f t="shared" si="136"/>
        <v>0</v>
      </c>
      <c r="K475">
        <f t="shared" si="133"/>
        <v>5</v>
      </c>
      <c r="L475" s="179">
        <f>'Aztec Metered Load'!C479</f>
        <v>3.113</v>
      </c>
    </row>
    <row r="476" spans="1:12" x14ac:dyDescent="0.3">
      <c r="A476" s="19">
        <f t="shared" si="137"/>
        <v>45767</v>
      </c>
      <c r="B476">
        <f t="shared" si="138"/>
        <v>18</v>
      </c>
      <c r="C476" s="16">
        <f>IFERROR(MATCH(A477,NERCHolidays!$B$2:$B$121,0),0)</f>
        <v>0</v>
      </c>
      <c r="D476">
        <f t="shared" si="134"/>
        <v>1</v>
      </c>
      <c r="E476" t="str">
        <f t="shared" si="129"/>
        <v>OP</v>
      </c>
      <c r="F476">
        <f t="shared" si="130"/>
        <v>5</v>
      </c>
      <c r="G476">
        <f t="shared" si="131"/>
        <v>0</v>
      </c>
      <c r="H476">
        <f t="shared" si="132"/>
        <v>0</v>
      </c>
      <c r="I476">
        <f t="shared" si="135"/>
        <v>1</v>
      </c>
      <c r="J476">
        <f t="shared" si="136"/>
        <v>0</v>
      </c>
      <c r="K476">
        <f t="shared" si="133"/>
        <v>5</v>
      </c>
      <c r="L476" s="179">
        <f>'Aztec Metered Load'!C480</f>
        <v>3.431</v>
      </c>
    </row>
    <row r="477" spans="1:12" x14ac:dyDescent="0.3">
      <c r="A477" s="19">
        <f t="shared" si="137"/>
        <v>45767</v>
      </c>
      <c r="B477">
        <f t="shared" si="138"/>
        <v>19</v>
      </c>
      <c r="C477" s="16">
        <f>IFERROR(MATCH(A478,NERCHolidays!$B$2:$B$121,0),0)</f>
        <v>0</v>
      </c>
      <c r="D477">
        <f t="shared" si="134"/>
        <v>1</v>
      </c>
      <c r="E477" t="str">
        <f t="shared" si="129"/>
        <v>OP</v>
      </c>
      <c r="F477">
        <f t="shared" si="130"/>
        <v>5</v>
      </c>
      <c r="G477">
        <f t="shared" si="131"/>
        <v>1</v>
      </c>
      <c r="H477">
        <f t="shared" si="132"/>
        <v>0</v>
      </c>
      <c r="I477">
        <f t="shared" si="135"/>
        <v>1</v>
      </c>
      <c r="J477">
        <f t="shared" si="136"/>
        <v>0</v>
      </c>
      <c r="K477">
        <f t="shared" si="133"/>
        <v>6</v>
      </c>
      <c r="L477" s="179">
        <f>'Aztec Metered Load'!C481</f>
        <v>3.7610000000000001</v>
      </c>
    </row>
    <row r="478" spans="1:12" x14ac:dyDescent="0.3">
      <c r="A478" s="19">
        <f t="shared" si="137"/>
        <v>45767</v>
      </c>
      <c r="B478">
        <f t="shared" si="138"/>
        <v>20</v>
      </c>
      <c r="C478" s="16">
        <f>IFERROR(MATCH(A479,NERCHolidays!$B$2:$B$121,0),0)</f>
        <v>0</v>
      </c>
      <c r="D478">
        <f t="shared" si="134"/>
        <v>1</v>
      </c>
      <c r="E478" t="str">
        <f t="shared" si="129"/>
        <v>OP</v>
      </c>
      <c r="F478">
        <f t="shared" si="130"/>
        <v>5</v>
      </c>
      <c r="G478">
        <f t="shared" si="131"/>
        <v>1</v>
      </c>
      <c r="H478">
        <f t="shared" si="132"/>
        <v>0</v>
      </c>
      <c r="I478">
        <f t="shared" si="135"/>
        <v>1</v>
      </c>
      <c r="J478">
        <f t="shared" si="136"/>
        <v>0</v>
      </c>
      <c r="K478">
        <f t="shared" si="133"/>
        <v>6</v>
      </c>
      <c r="L478" s="179">
        <f>'Aztec Metered Load'!C482</f>
        <v>4.0919999999999996</v>
      </c>
    </row>
    <row r="479" spans="1:12" x14ac:dyDescent="0.3">
      <c r="A479" s="19">
        <f t="shared" si="137"/>
        <v>45767</v>
      </c>
      <c r="B479">
        <f t="shared" si="138"/>
        <v>21</v>
      </c>
      <c r="C479" s="16">
        <f>IFERROR(MATCH(A480,NERCHolidays!$B$2:$B$121,0),0)</f>
        <v>0</v>
      </c>
      <c r="D479">
        <f t="shared" si="134"/>
        <v>1</v>
      </c>
      <c r="E479" t="str">
        <f t="shared" si="129"/>
        <v>OP</v>
      </c>
      <c r="F479">
        <f t="shared" si="130"/>
        <v>5</v>
      </c>
      <c r="G479">
        <f t="shared" si="131"/>
        <v>1</v>
      </c>
      <c r="H479">
        <f t="shared" si="132"/>
        <v>0</v>
      </c>
      <c r="I479">
        <f t="shared" si="135"/>
        <v>1</v>
      </c>
      <c r="J479">
        <f t="shared" si="136"/>
        <v>0</v>
      </c>
      <c r="K479">
        <f t="shared" si="133"/>
        <v>6</v>
      </c>
      <c r="L479" s="179">
        <f>'Aztec Metered Load'!C483</f>
        <v>3.9580000000000002</v>
      </c>
    </row>
    <row r="480" spans="1:12" x14ac:dyDescent="0.3">
      <c r="A480" s="19">
        <f t="shared" si="137"/>
        <v>45767</v>
      </c>
      <c r="B480">
        <f t="shared" si="138"/>
        <v>22</v>
      </c>
      <c r="C480" s="16">
        <f>IFERROR(MATCH(A481,NERCHolidays!$B$2:$B$121,0),0)</f>
        <v>0</v>
      </c>
      <c r="D480">
        <f t="shared" si="134"/>
        <v>1</v>
      </c>
      <c r="E480" t="str">
        <f t="shared" si="129"/>
        <v>OP</v>
      </c>
      <c r="F480">
        <f t="shared" si="130"/>
        <v>5</v>
      </c>
      <c r="G480">
        <f t="shared" si="131"/>
        <v>1</v>
      </c>
      <c r="H480">
        <f t="shared" si="132"/>
        <v>0</v>
      </c>
      <c r="I480">
        <f t="shared" si="135"/>
        <v>1</v>
      </c>
      <c r="J480">
        <f t="shared" si="136"/>
        <v>0</v>
      </c>
      <c r="K480">
        <f t="shared" si="133"/>
        <v>6</v>
      </c>
      <c r="L480" s="179">
        <f>'Aztec Metered Load'!C484</f>
        <v>3.7290000000000001</v>
      </c>
    </row>
    <row r="481" spans="1:12" x14ac:dyDescent="0.3">
      <c r="A481" s="19">
        <f t="shared" si="137"/>
        <v>45767</v>
      </c>
      <c r="B481">
        <f t="shared" si="138"/>
        <v>23</v>
      </c>
      <c r="C481" s="16">
        <f>IFERROR(MATCH(A482,NERCHolidays!$B$2:$B$121,0),0)</f>
        <v>0</v>
      </c>
      <c r="D481">
        <f t="shared" si="134"/>
        <v>1</v>
      </c>
      <c r="E481" t="str">
        <f t="shared" si="129"/>
        <v>OP</v>
      </c>
      <c r="F481">
        <f t="shared" si="130"/>
        <v>5</v>
      </c>
      <c r="G481">
        <f t="shared" si="131"/>
        <v>1</v>
      </c>
      <c r="H481">
        <f t="shared" si="132"/>
        <v>0</v>
      </c>
      <c r="I481">
        <f t="shared" si="135"/>
        <v>1</v>
      </c>
      <c r="J481">
        <f t="shared" si="136"/>
        <v>0</v>
      </c>
      <c r="K481">
        <f t="shared" si="133"/>
        <v>6</v>
      </c>
      <c r="L481" s="179">
        <f>'Aztec Metered Load'!C485</f>
        <v>3.552</v>
      </c>
    </row>
    <row r="482" spans="1:12" x14ac:dyDescent="0.3">
      <c r="A482" s="19">
        <f t="shared" si="137"/>
        <v>45767</v>
      </c>
      <c r="B482">
        <f t="shared" si="138"/>
        <v>24</v>
      </c>
      <c r="C482" s="16">
        <f>IFERROR(MATCH(A483,NERCHolidays!$B$2:$B$121,0),0)</f>
        <v>0</v>
      </c>
      <c r="D482">
        <f t="shared" si="134"/>
        <v>0</v>
      </c>
      <c r="E482" t="str">
        <f t="shared" si="129"/>
        <v>OP</v>
      </c>
      <c r="F482">
        <f t="shared" si="130"/>
        <v>5</v>
      </c>
      <c r="G482">
        <f t="shared" si="131"/>
        <v>0</v>
      </c>
      <c r="H482">
        <f t="shared" si="132"/>
        <v>0</v>
      </c>
      <c r="I482">
        <f t="shared" si="135"/>
        <v>1</v>
      </c>
      <c r="J482">
        <f t="shared" si="136"/>
        <v>0</v>
      </c>
      <c r="K482">
        <f t="shared" si="133"/>
        <v>5</v>
      </c>
      <c r="L482" s="179">
        <f>'Aztec Metered Load'!C486</f>
        <v>3.4169999999999998</v>
      </c>
    </row>
    <row r="483" spans="1:12" x14ac:dyDescent="0.3">
      <c r="A483" s="19">
        <f t="shared" si="137"/>
        <v>45768</v>
      </c>
      <c r="B483">
        <f t="shared" si="138"/>
        <v>1</v>
      </c>
      <c r="C483" s="16">
        <f>IFERROR(MATCH(A484,NERCHolidays!$B$2:$B$121,0),0)</f>
        <v>0</v>
      </c>
      <c r="D483">
        <f t="shared" si="134"/>
        <v>0</v>
      </c>
      <c r="E483" t="str">
        <f t="shared" si="129"/>
        <v>OP</v>
      </c>
      <c r="F483">
        <f t="shared" si="130"/>
        <v>5</v>
      </c>
      <c r="G483">
        <f t="shared" si="131"/>
        <v>1</v>
      </c>
      <c r="H483">
        <f t="shared" si="132"/>
        <v>0</v>
      </c>
      <c r="I483">
        <f t="shared" si="135"/>
        <v>1</v>
      </c>
      <c r="J483">
        <f t="shared" si="136"/>
        <v>0</v>
      </c>
      <c r="K483">
        <f t="shared" si="133"/>
        <v>6</v>
      </c>
      <c r="L483" s="179">
        <f>'Aztec Metered Load'!C487</f>
        <v>3.3450000000000002</v>
      </c>
    </row>
    <row r="484" spans="1:12" x14ac:dyDescent="0.3">
      <c r="A484" s="19">
        <f t="shared" si="137"/>
        <v>45768</v>
      </c>
      <c r="B484">
        <f t="shared" si="138"/>
        <v>2</v>
      </c>
      <c r="C484" s="16">
        <f>IFERROR(MATCH(A485,NERCHolidays!$B$2:$B$121,0),0)</f>
        <v>0</v>
      </c>
      <c r="D484">
        <f t="shared" si="134"/>
        <v>0</v>
      </c>
      <c r="E484" t="str">
        <f t="shared" si="129"/>
        <v>OP</v>
      </c>
      <c r="F484">
        <f t="shared" si="130"/>
        <v>5</v>
      </c>
      <c r="G484">
        <f t="shared" si="131"/>
        <v>1</v>
      </c>
      <c r="H484">
        <f t="shared" si="132"/>
        <v>0</v>
      </c>
      <c r="I484">
        <f t="shared" si="135"/>
        <v>1</v>
      </c>
      <c r="J484">
        <f t="shared" si="136"/>
        <v>0</v>
      </c>
      <c r="K484">
        <f t="shared" si="133"/>
        <v>6</v>
      </c>
      <c r="L484" s="179">
        <f>'Aztec Metered Load'!C488</f>
        <v>3.3340000000000001</v>
      </c>
    </row>
    <row r="485" spans="1:12" x14ac:dyDescent="0.3">
      <c r="A485" s="19">
        <f t="shared" si="137"/>
        <v>45768</v>
      </c>
      <c r="B485">
        <f t="shared" si="138"/>
        <v>3</v>
      </c>
      <c r="C485" s="16">
        <f>IFERROR(MATCH(A486,NERCHolidays!$B$2:$B$121,0),0)</f>
        <v>0</v>
      </c>
      <c r="D485">
        <f t="shared" si="134"/>
        <v>0</v>
      </c>
      <c r="E485" t="str">
        <f t="shared" si="129"/>
        <v>OP</v>
      </c>
      <c r="F485">
        <f t="shared" si="130"/>
        <v>5</v>
      </c>
      <c r="G485">
        <f t="shared" si="131"/>
        <v>1</v>
      </c>
      <c r="H485">
        <f t="shared" si="132"/>
        <v>0</v>
      </c>
      <c r="I485">
        <f t="shared" si="135"/>
        <v>1</v>
      </c>
      <c r="J485">
        <f t="shared" si="136"/>
        <v>0</v>
      </c>
      <c r="K485">
        <f t="shared" si="133"/>
        <v>6</v>
      </c>
      <c r="L485" s="179">
        <f>'Aztec Metered Load'!C489</f>
        <v>3.4460000000000002</v>
      </c>
    </row>
    <row r="486" spans="1:12" x14ac:dyDescent="0.3">
      <c r="A486" s="19">
        <f t="shared" si="137"/>
        <v>45768</v>
      </c>
      <c r="B486">
        <f t="shared" si="138"/>
        <v>4</v>
      </c>
      <c r="C486" s="16">
        <f>IFERROR(MATCH(A487,NERCHolidays!$B$2:$B$121,0),0)</f>
        <v>0</v>
      </c>
      <c r="D486">
        <f t="shared" si="134"/>
        <v>0</v>
      </c>
      <c r="E486" t="str">
        <f t="shared" si="129"/>
        <v>OP</v>
      </c>
      <c r="F486">
        <f t="shared" si="130"/>
        <v>5</v>
      </c>
      <c r="G486">
        <f t="shared" si="131"/>
        <v>1</v>
      </c>
      <c r="H486">
        <f t="shared" si="132"/>
        <v>0</v>
      </c>
      <c r="I486">
        <f t="shared" si="135"/>
        <v>2</v>
      </c>
      <c r="J486">
        <f t="shared" si="136"/>
        <v>0</v>
      </c>
      <c r="K486">
        <f t="shared" si="133"/>
        <v>6</v>
      </c>
      <c r="L486" s="179">
        <f>'Aztec Metered Load'!C490</f>
        <v>3.6240000000000001</v>
      </c>
    </row>
    <row r="487" spans="1:12" x14ac:dyDescent="0.3">
      <c r="A487" s="19">
        <f t="shared" si="137"/>
        <v>45768</v>
      </c>
      <c r="B487">
        <f t="shared" si="138"/>
        <v>5</v>
      </c>
      <c r="C487" s="16">
        <f>IFERROR(MATCH(A488,NERCHolidays!$B$2:$B$121,0),0)</f>
        <v>0</v>
      </c>
      <c r="D487">
        <f t="shared" si="134"/>
        <v>0</v>
      </c>
      <c r="E487" t="str">
        <f t="shared" si="129"/>
        <v>OP</v>
      </c>
      <c r="F487">
        <f t="shared" si="130"/>
        <v>5</v>
      </c>
      <c r="G487">
        <f t="shared" si="131"/>
        <v>1</v>
      </c>
      <c r="H487">
        <f t="shared" si="132"/>
        <v>0</v>
      </c>
      <c r="I487">
        <f t="shared" si="135"/>
        <v>2</v>
      </c>
      <c r="J487">
        <f t="shared" si="136"/>
        <v>0</v>
      </c>
      <c r="K487">
        <f t="shared" si="133"/>
        <v>6</v>
      </c>
      <c r="L487" s="179">
        <f>'Aztec Metered Load'!C491</f>
        <v>3.895</v>
      </c>
    </row>
    <row r="488" spans="1:12" x14ac:dyDescent="0.3">
      <c r="A488" s="19">
        <f t="shared" si="137"/>
        <v>45768</v>
      </c>
      <c r="B488">
        <f t="shared" si="138"/>
        <v>6</v>
      </c>
      <c r="C488" s="16">
        <f>IFERROR(MATCH(A489,NERCHolidays!$B$2:$B$121,0),0)</f>
        <v>0</v>
      </c>
      <c r="D488">
        <f t="shared" si="134"/>
        <v>0</v>
      </c>
      <c r="E488" t="str">
        <f t="shared" si="129"/>
        <v>OP</v>
      </c>
      <c r="F488">
        <f t="shared" si="130"/>
        <v>5</v>
      </c>
      <c r="G488">
        <f t="shared" si="131"/>
        <v>1</v>
      </c>
      <c r="H488">
        <f t="shared" si="132"/>
        <v>0</v>
      </c>
      <c r="I488">
        <f t="shared" si="135"/>
        <v>1</v>
      </c>
      <c r="J488">
        <f t="shared" si="136"/>
        <v>0</v>
      </c>
      <c r="K488">
        <f t="shared" si="133"/>
        <v>6</v>
      </c>
      <c r="L488" s="179">
        <f>'Aztec Metered Load'!C492</f>
        <v>4.492</v>
      </c>
    </row>
    <row r="489" spans="1:12" x14ac:dyDescent="0.3">
      <c r="A489" s="19">
        <f t="shared" si="137"/>
        <v>45768</v>
      </c>
      <c r="B489">
        <f t="shared" si="138"/>
        <v>7</v>
      </c>
      <c r="C489" s="16">
        <f>IFERROR(MATCH(A490,NERCHolidays!$B$2:$B$121,0),0)</f>
        <v>0</v>
      </c>
      <c r="D489">
        <f t="shared" si="134"/>
        <v>0</v>
      </c>
      <c r="E489" t="str">
        <f t="shared" si="129"/>
        <v>OP</v>
      </c>
      <c r="F489">
        <f t="shared" si="130"/>
        <v>5</v>
      </c>
      <c r="G489">
        <f t="shared" si="131"/>
        <v>1</v>
      </c>
      <c r="H489">
        <f t="shared" si="132"/>
        <v>0</v>
      </c>
      <c r="I489">
        <f t="shared" si="135"/>
        <v>1</v>
      </c>
      <c r="J489">
        <f t="shared" si="136"/>
        <v>0</v>
      </c>
      <c r="K489">
        <f t="shared" si="133"/>
        <v>6</v>
      </c>
      <c r="L489" s="179">
        <f>'Aztec Metered Load'!C493</f>
        <v>4.5869999999999997</v>
      </c>
    </row>
    <row r="490" spans="1:12" x14ac:dyDescent="0.3">
      <c r="A490" s="19">
        <f t="shared" si="137"/>
        <v>45768</v>
      </c>
      <c r="B490">
        <f t="shared" si="138"/>
        <v>8</v>
      </c>
      <c r="C490" s="16">
        <f>IFERROR(MATCH(A491,NERCHolidays!$B$2:$B$121,0),0)</f>
        <v>0</v>
      </c>
      <c r="D490">
        <f t="shared" si="134"/>
        <v>1</v>
      </c>
      <c r="E490" t="str">
        <f t="shared" si="129"/>
        <v>PK</v>
      </c>
      <c r="F490">
        <f t="shared" si="130"/>
        <v>5</v>
      </c>
      <c r="G490">
        <f t="shared" si="131"/>
        <v>1</v>
      </c>
      <c r="H490">
        <f t="shared" si="132"/>
        <v>0</v>
      </c>
      <c r="I490">
        <f t="shared" si="135"/>
        <v>1</v>
      </c>
      <c r="J490">
        <f t="shared" si="136"/>
        <v>0</v>
      </c>
      <c r="K490">
        <f t="shared" si="133"/>
        <v>6</v>
      </c>
      <c r="L490" s="179">
        <f>'Aztec Metered Load'!C494</f>
        <v>4.4710000000000001</v>
      </c>
    </row>
    <row r="491" spans="1:12" x14ac:dyDescent="0.3">
      <c r="A491" s="19">
        <f t="shared" si="137"/>
        <v>45768</v>
      </c>
      <c r="B491">
        <f t="shared" si="138"/>
        <v>9</v>
      </c>
      <c r="C491" s="16">
        <f>IFERROR(MATCH(A492,NERCHolidays!$B$2:$B$121,0),0)</f>
        <v>0</v>
      </c>
      <c r="D491">
        <f t="shared" si="134"/>
        <v>1</v>
      </c>
      <c r="E491" t="str">
        <f t="shared" si="129"/>
        <v>PK</v>
      </c>
      <c r="F491">
        <f t="shared" si="130"/>
        <v>5</v>
      </c>
      <c r="G491">
        <f t="shared" si="131"/>
        <v>0</v>
      </c>
      <c r="H491">
        <f t="shared" si="132"/>
        <v>0</v>
      </c>
      <c r="I491">
        <f t="shared" si="135"/>
        <v>1</v>
      </c>
      <c r="J491">
        <f t="shared" si="136"/>
        <v>0</v>
      </c>
      <c r="K491">
        <f t="shared" si="133"/>
        <v>5</v>
      </c>
      <c r="L491" s="179">
        <f>'Aztec Metered Load'!C495</f>
        <v>4.1879999999999997</v>
      </c>
    </row>
    <row r="492" spans="1:12" x14ac:dyDescent="0.3">
      <c r="A492" s="19">
        <f t="shared" si="137"/>
        <v>45768</v>
      </c>
      <c r="B492">
        <f t="shared" si="138"/>
        <v>10</v>
      </c>
      <c r="C492" s="16">
        <f>IFERROR(MATCH(A493,NERCHolidays!$B$2:$B$121,0),0)</f>
        <v>0</v>
      </c>
      <c r="D492">
        <f t="shared" si="134"/>
        <v>1</v>
      </c>
      <c r="E492" t="str">
        <f t="shared" si="129"/>
        <v>PK</v>
      </c>
      <c r="F492">
        <f t="shared" si="130"/>
        <v>5</v>
      </c>
      <c r="G492">
        <f t="shared" si="131"/>
        <v>0</v>
      </c>
      <c r="H492">
        <f t="shared" si="132"/>
        <v>0</v>
      </c>
      <c r="I492">
        <f t="shared" si="135"/>
        <v>1</v>
      </c>
      <c r="J492">
        <f t="shared" si="136"/>
        <v>0</v>
      </c>
      <c r="K492">
        <f t="shared" si="133"/>
        <v>5</v>
      </c>
      <c r="L492" s="179">
        <f>'Aztec Metered Load'!C496</f>
        <v>4.077</v>
      </c>
    </row>
    <row r="493" spans="1:12" x14ac:dyDescent="0.3">
      <c r="A493" s="19">
        <f t="shared" si="137"/>
        <v>45768</v>
      </c>
      <c r="B493">
        <f t="shared" si="138"/>
        <v>11</v>
      </c>
      <c r="C493" s="16">
        <f>IFERROR(MATCH(A494,NERCHolidays!$B$2:$B$121,0),0)</f>
        <v>0</v>
      </c>
      <c r="D493">
        <f t="shared" si="134"/>
        <v>1</v>
      </c>
      <c r="E493" t="str">
        <f t="shared" si="129"/>
        <v>PK</v>
      </c>
      <c r="F493">
        <f t="shared" si="130"/>
        <v>5</v>
      </c>
      <c r="G493">
        <f t="shared" si="131"/>
        <v>0</v>
      </c>
      <c r="H493">
        <f t="shared" si="132"/>
        <v>0</v>
      </c>
      <c r="I493">
        <f t="shared" si="135"/>
        <v>1</v>
      </c>
      <c r="J493">
        <f t="shared" si="136"/>
        <v>0</v>
      </c>
      <c r="K493">
        <f t="shared" si="133"/>
        <v>5</v>
      </c>
      <c r="L493" s="179">
        <f>'Aztec Metered Load'!C497</f>
        <v>3.9279999999999999</v>
      </c>
    </row>
    <row r="494" spans="1:12" x14ac:dyDescent="0.3">
      <c r="A494" s="19">
        <f t="shared" si="137"/>
        <v>45768</v>
      </c>
      <c r="B494">
        <f t="shared" si="138"/>
        <v>12</v>
      </c>
      <c r="C494" s="16">
        <f>IFERROR(MATCH(A495,NERCHolidays!$B$2:$B$121,0),0)</f>
        <v>0</v>
      </c>
      <c r="D494">
        <f t="shared" si="134"/>
        <v>1</v>
      </c>
      <c r="E494" t="str">
        <f t="shared" si="129"/>
        <v>PK</v>
      </c>
      <c r="F494">
        <f t="shared" si="130"/>
        <v>5</v>
      </c>
      <c r="G494">
        <f t="shared" si="131"/>
        <v>0</v>
      </c>
      <c r="H494">
        <f t="shared" si="132"/>
        <v>0</v>
      </c>
      <c r="I494">
        <f t="shared" si="135"/>
        <v>1</v>
      </c>
      <c r="J494">
        <f t="shared" si="136"/>
        <v>0</v>
      </c>
      <c r="K494">
        <f t="shared" si="133"/>
        <v>5</v>
      </c>
      <c r="L494" s="179">
        <f>'Aztec Metered Load'!C498</f>
        <v>3.8370000000000002</v>
      </c>
    </row>
    <row r="495" spans="1:12" x14ac:dyDescent="0.3">
      <c r="A495" s="19">
        <f t="shared" si="137"/>
        <v>45768</v>
      </c>
      <c r="B495">
        <f t="shared" si="138"/>
        <v>13</v>
      </c>
      <c r="C495" s="16">
        <f>IFERROR(MATCH(A496,NERCHolidays!$B$2:$B$121,0),0)</f>
        <v>0</v>
      </c>
      <c r="D495">
        <f t="shared" si="134"/>
        <v>1</v>
      </c>
      <c r="E495" t="str">
        <f t="shared" si="129"/>
        <v>PK</v>
      </c>
      <c r="F495">
        <f t="shared" si="130"/>
        <v>5</v>
      </c>
      <c r="G495">
        <f t="shared" si="131"/>
        <v>0</v>
      </c>
      <c r="H495">
        <f t="shared" si="132"/>
        <v>0</v>
      </c>
      <c r="I495">
        <f t="shared" si="135"/>
        <v>1</v>
      </c>
      <c r="J495">
        <f t="shared" si="136"/>
        <v>0</v>
      </c>
      <c r="K495">
        <f t="shared" si="133"/>
        <v>5</v>
      </c>
      <c r="L495" s="179">
        <f>'Aztec Metered Load'!C499</f>
        <v>3.9249999999999998</v>
      </c>
    </row>
    <row r="496" spans="1:12" x14ac:dyDescent="0.3">
      <c r="A496" s="19">
        <f t="shared" si="137"/>
        <v>45768</v>
      </c>
      <c r="B496">
        <f t="shared" si="138"/>
        <v>14</v>
      </c>
      <c r="C496" s="16">
        <f>IFERROR(MATCH(A497,NERCHolidays!$B$2:$B$121,0),0)</f>
        <v>0</v>
      </c>
      <c r="D496">
        <f t="shared" si="134"/>
        <v>1</v>
      </c>
      <c r="E496" t="str">
        <f t="shared" si="129"/>
        <v>PK</v>
      </c>
      <c r="F496">
        <f t="shared" si="130"/>
        <v>5</v>
      </c>
      <c r="G496">
        <f t="shared" si="131"/>
        <v>0</v>
      </c>
      <c r="H496">
        <f t="shared" si="132"/>
        <v>0</v>
      </c>
      <c r="I496">
        <f t="shared" si="135"/>
        <v>1</v>
      </c>
      <c r="J496">
        <f t="shared" si="136"/>
        <v>0</v>
      </c>
      <c r="K496">
        <f t="shared" si="133"/>
        <v>5</v>
      </c>
      <c r="L496" s="179">
        <f>'Aztec Metered Load'!C500</f>
        <v>3.855</v>
      </c>
    </row>
    <row r="497" spans="1:12" x14ac:dyDescent="0.3">
      <c r="A497" s="19">
        <f t="shared" si="137"/>
        <v>45768</v>
      </c>
      <c r="B497">
        <f t="shared" si="138"/>
        <v>15</v>
      </c>
      <c r="C497" s="16">
        <f>IFERROR(MATCH(A498,NERCHolidays!$B$2:$B$121,0),0)</f>
        <v>0</v>
      </c>
      <c r="D497">
        <f t="shared" si="134"/>
        <v>1</v>
      </c>
      <c r="E497" t="str">
        <f t="shared" si="129"/>
        <v>PK</v>
      </c>
      <c r="F497">
        <f t="shared" si="130"/>
        <v>5</v>
      </c>
      <c r="G497">
        <f t="shared" si="131"/>
        <v>0</v>
      </c>
      <c r="H497">
        <f t="shared" si="132"/>
        <v>0</v>
      </c>
      <c r="I497">
        <f t="shared" si="135"/>
        <v>1</v>
      </c>
      <c r="J497">
        <f t="shared" si="136"/>
        <v>0</v>
      </c>
      <c r="K497">
        <f t="shared" si="133"/>
        <v>5</v>
      </c>
      <c r="L497" s="179">
        <f>'Aztec Metered Load'!C501</f>
        <v>3.968</v>
      </c>
    </row>
    <row r="498" spans="1:12" x14ac:dyDescent="0.3">
      <c r="A498" s="19">
        <f t="shared" si="137"/>
        <v>45768</v>
      </c>
      <c r="B498">
        <f t="shared" si="138"/>
        <v>16</v>
      </c>
      <c r="C498" s="16">
        <f>IFERROR(MATCH(A499,NERCHolidays!$B$2:$B$121,0),0)</f>
        <v>0</v>
      </c>
      <c r="D498">
        <f t="shared" si="134"/>
        <v>1</v>
      </c>
      <c r="E498" t="str">
        <f t="shared" si="129"/>
        <v>PK</v>
      </c>
      <c r="F498">
        <f t="shared" si="130"/>
        <v>5</v>
      </c>
      <c r="G498">
        <f t="shared" si="131"/>
        <v>0</v>
      </c>
      <c r="H498">
        <f t="shared" si="132"/>
        <v>0</v>
      </c>
      <c r="I498">
        <f t="shared" si="135"/>
        <v>1</v>
      </c>
      <c r="J498">
        <f t="shared" si="136"/>
        <v>0</v>
      </c>
      <c r="K498">
        <f t="shared" si="133"/>
        <v>5</v>
      </c>
      <c r="L498" s="179">
        <f>'Aztec Metered Load'!C502</f>
        <v>4.0069999999999997</v>
      </c>
    </row>
    <row r="499" spans="1:12" x14ac:dyDescent="0.3">
      <c r="A499" s="19">
        <f t="shared" si="137"/>
        <v>45768</v>
      </c>
      <c r="B499">
        <f t="shared" si="138"/>
        <v>17</v>
      </c>
      <c r="C499" s="16">
        <f>IFERROR(MATCH(A500,NERCHolidays!$B$2:$B$121,0),0)</f>
        <v>0</v>
      </c>
      <c r="D499">
        <f t="shared" si="134"/>
        <v>1</v>
      </c>
      <c r="E499" t="str">
        <f t="shared" si="129"/>
        <v>PK</v>
      </c>
      <c r="F499">
        <f t="shared" si="130"/>
        <v>5</v>
      </c>
      <c r="G499">
        <f t="shared" si="131"/>
        <v>0</v>
      </c>
      <c r="H499">
        <f t="shared" si="132"/>
        <v>0</v>
      </c>
      <c r="I499">
        <f t="shared" si="135"/>
        <v>1</v>
      </c>
      <c r="J499">
        <f t="shared" si="136"/>
        <v>0</v>
      </c>
      <c r="K499">
        <f t="shared" si="133"/>
        <v>5</v>
      </c>
      <c r="L499" s="179">
        <f>'Aztec Metered Load'!C503</f>
        <v>3.9750000000000001</v>
      </c>
    </row>
    <row r="500" spans="1:12" x14ac:dyDescent="0.3">
      <c r="A500" s="19">
        <f t="shared" si="137"/>
        <v>45768</v>
      </c>
      <c r="B500">
        <f t="shared" si="138"/>
        <v>18</v>
      </c>
      <c r="C500" s="16">
        <f>IFERROR(MATCH(A501,NERCHolidays!$B$2:$B$121,0),0)</f>
        <v>0</v>
      </c>
      <c r="D500">
        <f t="shared" si="134"/>
        <v>1</v>
      </c>
      <c r="E500" t="str">
        <f t="shared" si="129"/>
        <v>PK</v>
      </c>
      <c r="F500">
        <f t="shared" si="130"/>
        <v>5</v>
      </c>
      <c r="G500">
        <f t="shared" si="131"/>
        <v>0</v>
      </c>
      <c r="H500">
        <f t="shared" si="132"/>
        <v>0</v>
      </c>
      <c r="I500">
        <f t="shared" si="135"/>
        <v>1</v>
      </c>
      <c r="J500">
        <f t="shared" si="136"/>
        <v>0</v>
      </c>
      <c r="K500">
        <f t="shared" si="133"/>
        <v>5</v>
      </c>
      <c r="L500" s="179">
        <f>'Aztec Metered Load'!C504</f>
        <v>4.0650000000000004</v>
      </c>
    </row>
    <row r="501" spans="1:12" x14ac:dyDescent="0.3">
      <c r="A501" s="19">
        <f t="shared" si="137"/>
        <v>45768</v>
      </c>
      <c r="B501">
        <f t="shared" si="138"/>
        <v>19</v>
      </c>
      <c r="C501" s="16">
        <f>IFERROR(MATCH(A502,NERCHolidays!$B$2:$B$121,0),0)</f>
        <v>0</v>
      </c>
      <c r="D501">
        <f t="shared" si="134"/>
        <v>1</v>
      </c>
      <c r="E501" t="str">
        <f t="shared" si="129"/>
        <v>PK</v>
      </c>
      <c r="F501">
        <f t="shared" si="130"/>
        <v>5</v>
      </c>
      <c r="G501">
        <f t="shared" si="131"/>
        <v>1</v>
      </c>
      <c r="H501">
        <f t="shared" si="132"/>
        <v>0</v>
      </c>
      <c r="I501">
        <f t="shared" si="135"/>
        <v>1</v>
      </c>
      <c r="J501">
        <f t="shared" si="136"/>
        <v>0</v>
      </c>
      <c r="K501">
        <f t="shared" si="133"/>
        <v>6</v>
      </c>
      <c r="L501" s="179">
        <f>'Aztec Metered Load'!C505</f>
        <v>4.0720000000000001</v>
      </c>
    </row>
    <row r="502" spans="1:12" x14ac:dyDescent="0.3">
      <c r="A502" s="19">
        <f t="shared" si="137"/>
        <v>45768</v>
      </c>
      <c r="B502">
        <f t="shared" si="138"/>
        <v>20</v>
      </c>
      <c r="C502" s="16">
        <f>IFERROR(MATCH(A503,NERCHolidays!$B$2:$B$121,0),0)</f>
        <v>0</v>
      </c>
      <c r="D502">
        <f t="shared" si="134"/>
        <v>1</v>
      </c>
      <c r="E502" t="str">
        <f t="shared" si="129"/>
        <v>PK</v>
      </c>
      <c r="F502">
        <f t="shared" si="130"/>
        <v>5</v>
      </c>
      <c r="G502">
        <f t="shared" si="131"/>
        <v>1</v>
      </c>
      <c r="H502">
        <f t="shared" si="132"/>
        <v>0</v>
      </c>
      <c r="I502">
        <f t="shared" si="135"/>
        <v>1</v>
      </c>
      <c r="J502">
        <f t="shared" si="136"/>
        <v>0</v>
      </c>
      <c r="K502">
        <f t="shared" si="133"/>
        <v>6</v>
      </c>
      <c r="L502" s="179">
        <f>'Aztec Metered Load'!C506</f>
        <v>4.2750000000000004</v>
      </c>
    </row>
    <row r="503" spans="1:12" x14ac:dyDescent="0.3">
      <c r="A503" s="19">
        <f t="shared" si="137"/>
        <v>45768</v>
      </c>
      <c r="B503">
        <f t="shared" si="138"/>
        <v>21</v>
      </c>
      <c r="C503" s="16">
        <f>IFERROR(MATCH(A504,NERCHolidays!$B$2:$B$121,0),0)</f>
        <v>0</v>
      </c>
      <c r="D503">
        <f t="shared" si="134"/>
        <v>1</v>
      </c>
      <c r="E503" t="str">
        <f t="shared" si="129"/>
        <v>PK</v>
      </c>
      <c r="F503">
        <f t="shared" si="130"/>
        <v>5</v>
      </c>
      <c r="G503">
        <f t="shared" si="131"/>
        <v>1</v>
      </c>
      <c r="H503">
        <f t="shared" si="132"/>
        <v>0</v>
      </c>
      <c r="I503">
        <f t="shared" si="135"/>
        <v>1</v>
      </c>
      <c r="J503">
        <f t="shared" si="136"/>
        <v>0</v>
      </c>
      <c r="K503">
        <f t="shared" si="133"/>
        <v>6</v>
      </c>
      <c r="L503" s="179">
        <f>'Aztec Metered Load'!C507</f>
        <v>4.0119999999999996</v>
      </c>
    </row>
    <row r="504" spans="1:12" x14ac:dyDescent="0.3">
      <c r="A504" s="19">
        <f t="shared" si="137"/>
        <v>45768</v>
      </c>
      <c r="B504">
        <f t="shared" si="138"/>
        <v>22</v>
      </c>
      <c r="C504" s="16">
        <f>IFERROR(MATCH(A505,NERCHolidays!$B$2:$B$121,0),0)</f>
        <v>0</v>
      </c>
      <c r="D504">
        <f t="shared" si="134"/>
        <v>1</v>
      </c>
      <c r="E504" t="str">
        <f t="shared" si="129"/>
        <v>PK</v>
      </c>
      <c r="F504">
        <f t="shared" si="130"/>
        <v>5</v>
      </c>
      <c r="G504">
        <f t="shared" si="131"/>
        <v>1</v>
      </c>
      <c r="H504">
        <f t="shared" si="132"/>
        <v>0</v>
      </c>
      <c r="I504">
        <f t="shared" si="135"/>
        <v>1</v>
      </c>
      <c r="J504">
        <f t="shared" si="136"/>
        <v>0</v>
      </c>
      <c r="K504">
        <f t="shared" si="133"/>
        <v>6</v>
      </c>
      <c r="L504" s="179">
        <f>'Aztec Metered Load'!C508</f>
        <v>3.633</v>
      </c>
    </row>
    <row r="505" spans="1:12" x14ac:dyDescent="0.3">
      <c r="A505" s="19">
        <f t="shared" si="137"/>
        <v>45768</v>
      </c>
      <c r="B505">
        <f t="shared" si="138"/>
        <v>23</v>
      </c>
      <c r="C505" s="16">
        <f>IFERROR(MATCH(A506,NERCHolidays!$B$2:$B$121,0),0)</f>
        <v>0</v>
      </c>
      <c r="D505">
        <f t="shared" si="134"/>
        <v>1</v>
      </c>
      <c r="E505" t="str">
        <f t="shared" si="129"/>
        <v>PK</v>
      </c>
      <c r="F505">
        <f t="shared" si="130"/>
        <v>5</v>
      </c>
      <c r="G505">
        <f t="shared" si="131"/>
        <v>1</v>
      </c>
      <c r="H505">
        <f t="shared" si="132"/>
        <v>0</v>
      </c>
      <c r="I505">
        <f t="shared" si="135"/>
        <v>1</v>
      </c>
      <c r="J505">
        <f t="shared" si="136"/>
        <v>0</v>
      </c>
      <c r="K505">
        <f t="shared" si="133"/>
        <v>6</v>
      </c>
      <c r="L505" s="179">
        <f>'Aztec Metered Load'!C509</f>
        <v>3.3620000000000001</v>
      </c>
    </row>
    <row r="506" spans="1:12" x14ac:dyDescent="0.3">
      <c r="A506" s="19">
        <f t="shared" si="137"/>
        <v>45768</v>
      </c>
      <c r="B506">
        <f t="shared" si="138"/>
        <v>24</v>
      </c>
      <c r="C506" s="16">
        <f>IFERROR(MATCH(A507,NERCHolidays!$B$2:$B$121,0),0)</f>
        <v>0</v>
      </c>
      <c r="D506">
        <f t="shared" si="134"/>
        <v>0</v>
      </c>
      <c r="E506" t="str">
        <f t="shared" si="129"/>
        <v>OP</v>
      </c>
      <c r="F506">
        <f t="shared" si="130"/>
        <v>5</v>
      </c>
      <c r="G506">
        <f t="shared" si="131"/>
        <v>0</v>
      </c>
      <c r="H506">
        <f t="shared" si="132"/>
        <v>0</v>
      </c>
      <c r="I506">
        <f t="shared" si="135"/>
        <v>1</v>
      </c>
      <c r="J506">
        <f t="shared" si="136"/>
        <v>0</v>
      </c>
      <c r="K506">
        <f t="shared" si="133"/>
        <v>5</v>
      </c>
      <c r="L506" s="179">
        <f>'Aztec Metered Load'!C510</f>
        <v>3.2250000000000001</v>
      </c>
    </row>
    <row r="507" spans="1:12" x14ac:dyDescent="0.3">
      <c r="A507" s="19">
        <f t="shared" si="137"/>
        <v>45769</v>
      </c>
      <c r="B507">
        <f t="shared" si="138"/>
        <v>1</v>
      </c>
      <c r="C507" s="16">
        <f>IFERROR(MATCH(A508,NERCHolidays!$B$2:$B$121,0),0)</f>
        <v>0</v>
      </c>
      <c r="D507">
        <f t="shared" si="134"/>
        <v>0</v>
      </c>
      <c r="E507" t="str">
        <f t="shared" si="129"/>
        <v>OP</v>
      </c>
      <c r="F507">
        <f t="shared" si="130"/>
        <v>5</v>
      </c>
      <c r="G507">
        <f t="shared" si="131"/>
        <v>1</v>
      </c>
      <c r="H507">
        <f t="shared" si="132"/>
        <v>0</v>
      </c>
      <c r="I507">
        <f t="shared" si="135"/>
        <v>1</v>
      </c>
      <c r="J507">
        <f t="shared" si="136"/>
        <v>0</v>
      </c>
      <c r="K507">
        <f t="shared" si="133"/>
        <v>6</v>
      </c>
      <c r="L507" s="179">
        <f>'Aztec Metered Load'!C511</f>
        <v>3.157</v>
      </c>
    </row>
    <row r="508" spans="1:12" x14ac:dyDescent="0.3">
      <c r="A508" s="19">
        <f t="shared" si="137"/>
        <v>45769</v>
      </c>
      <c r="B508">
        <f t="shared" si="138"/>
        <v>2</v>
      </c>
      <c r="C508" s="16">
        <f>IFERROR(MATCH(A509,NERCHolidays!$B$2:$B$121,0),0)</f>
        <v>0</v>
      </c>
      <c r="D508">
        <f t="shared" si="134"/>
        <v>0</v>
      </c>
      <c r="E508" t="str">
        <f t="shared" si="129"/>
        <v>OP</v>
      </c>
      <c r="F508">
        <f t="shared" si="130"/>
        <v>5</v>
      </c>
      <c r="G508">
        <f t="shared" si="131"/>
        <v>1</v>
      </c>
      <c r="H508">
        <f t="shared" si="132"/>
        <v>0</v>
      </c>
      <c r="I508">
        <f t="shared" si="135"/>
        <v>1</v>
      </c>
      <c r="J508">
        <f t="shared" si="136"/>
        <v>0</v>
      </c>
      <c r="K508">
        <f t="shared" si="133"/>
        <v>6</v>
      </c>
      <c r="L508" s="179">
        <f>'Aztec Metered Load'!C512</f>
        <v>3.157</v>
      </c>
    </row>
    <row r="509" spans="1:12" x14ac:dyDescent="0.3">
      <c r="A509" s="19">
        <f t="shared" si="137"/>
        <v>45769</v>
      </c>
      <c r="B509">
        <f t="shared" si="138"/>
        <v>3</v>
      </c>
      <c r="C509" s="16">
        <f>IFERROR(MATCH(A510,NERCHolidays!$B$2:$B$121,0),0)</f>
        <v>0</v>
      </c>
      <c r="D509">
        <f t="shared" si="134"/>
        <v>0</v>
      </c>
      <c r="E509" t="str">
        <f t="shared" si="129"/>
        <v>OP</v>
      </c>
      <c r="F509">
        <f t="shared" si="130"/>
        <v>5</v>
      </c>
      <c r="G509">
        <f t="shared" si="131"/>
        <v>1</v>
      </c>
      <c r="H509">
        <f t="shared" si="132"/>
        <v>0</v>
      </c>
      <c r="I509">
        <f t="shared" si="135"/>
        <v>1</v>
      </c>
      <c r="J509">
        <f t="shared" si="136"/>
        <v>0</v>
      </c>
      <c r="K509">
        <f t="shared" si="133"/>
        <v>6</v>
      </c>
      <c r="L509" s="179">
        <f>'Aztec Metered Load'!C513</f>
        <v>3.262</v>
      </c>
    </row>
    <row r="510" spans="1:12" x14ac:dyDescent="0.3">
      <c r="A510" s="19">
        <f t="shared" si="137"/>
        <v>45769</v>
      </c>
      <c r="B510">
        <f t="shared" si="138"/>
        <v>4</v>
      </c>
      <c r="C510" s="16">
        <f>IFERROR(MATCH(A511,NERCHolidays!$B$2:$B$121,0),0)</f>
        <v>0</v>
      </c>
      <c r="D510">
        <f t="shared" si="134"/>
        <v>0</v>
      </c>
      <c r="E510" t="str">
        <f t="shared" si="129"/>
        <v>OP</v>
      </c>
      <c r="F510">
        <f t="shared" si="130"/>
        <v>5</v>
      </c>
      <c r="G510">
        <f t="shared" si="131"/>
        <v>1</v>
      </c>
      <c r="H510">
        <f t="shared" si="132"/>
        <v>0</v>
      </c>
      <c r="I510">
        <f t="shared" si="135"/>
        <v>2</v>
      </c>
      <c r="J510">
        <f t="shared" si="136"/>
        <v>0</v>
      </c>
      <c r="K510">
        <f t="shared" si="133"/>
        <v>6</v>
      </c>
      <c r="L510" s="179">
        <f>'Aztec Metered Load'!C514</f>
        <v>3.4470000000000001</v>
      </c>
    </row>
    <row r="511" spans="1:12" x14ac:dyDescent="0.3">
      <c r="A511" s="19">
        <f t="shared" si="137"/>
        <v>45769</v>
      </c>
      <c r="B511">
        <f t="shared" si="138"/>
        <v>5</v>
      </c>
      <c r="C511" s="16">
        <f>IFERROR(MATCH(A512,NERCHolidays!$B$2:$B$121,0),0)</f>
        <v>0</v>
      </c>
      <c r="D511">
        <f t="shared" si="134"/>
        <v>0</v>
      </c>
      <c r="E511" t="str">
        <f t="shared" si="129"/>
        <v>OP</v>
      </c>
      <c r="F511">
        <f t="shared" si="130"/>
        <v>5</v>
      </c>
      <c r="G511">
        <f t="shared" si="131"/>
        <v>1</v>
      </c>
      <c r="H511">
        <f t="shared" si="132"/>
        <v>0</v>
      </c>
      <c r="I511">
        <f t="shared" si="135"/>
        <v>2</v>
      </c>
      <c r="J511">
        <f t="shared" si="136"/>
        <v>0</v>
      </c>
      <c r="K511">
        <f t="shared" si="133"/>
        <v>6</v>
      </c>
      <c r="L511" s="179">
        <f>'Aztec Metered Load'!C515</f>
        <v>3.702</v>
      </c>
    </row>
    <row r="512" spans="1:12" x14ac:dyDescent="0.3">
      <c r="A512" s="19">
        <f t="shared" si="137"/>
        <v>45769</v>
      </c>
      <c r="B512">
        <f t="shared" si="138"/>
        <v>6</v>
      </c>
      <c r="C512" s="16">
        <f>IFERROR(MATCH(A513,NERCHolidays!$B$2:$B$121,0),0)</f>
        <v>0</v>
      </c>
      <c r="D512">
        <f t="shared" si="134"/>
        <v>0</v>
      </c>
      <c r="E512" t="str">
        <f t="shared" si="129"/>
        <v>OP</v>
      </c>
      <c r="F512">
        <f t="shared" si="130"/>
        <v>5</v>
      </c>
      <c r="G512">
        <f t="shared" si="131"/>
        <v>1</v>
      </c>
      <c r="H512">
        <f t="shared" si="132"/>
        <v>0</v>
      </c>
      <c r="I512">
        <f t="shared" si="135"/>
        <v>1</v>
      </c>
      <c r="J512">
        <f t="shared" si="136"/>
        <v>0</v>
      </c>
      <c r="K512">
        <f t="shared" si="133"/>
        <v>6</v>
      </c>
      <c r="L512" s="179">
        <f>'Aztec Metered Load'!C516</f>
        <v>4.2039999999999997</v>
      </c>
    </row>
    <row r="513" spans="1:12" x14ac:dyDescent="0.3">
      <c r="A513" s="19">
        <f t="shared" si="137"/>
        <v>45769</v>
      </c>
      <c r="B513">
        <f t="shared" si="138"/>
        <v>7</v>
      </c>
      <c r="C513" s="16">
        <f>IFERROR(MATCH(A514,NERCHolidays!$B$2:$B$121,0),0)</f>
        <v>0</v>
      </c>
      <c r="D513">
        <f t="shared" si="134"/>
        <v>0</v>
      </c>
      <c r="E513" t="str">
        <f t="shared" si="129"/>
        <v>OP</v>
      </c>
      <c r="F513">
        <f t="shared" si="130"/>
        <v>5</v>
      </c>
      <c r="G513">
        <f t="shared" si="131"/>
        <v>1</v>
      </c>
      <c r="H513">
        <f t="shared" si="132"/>
        <v>0</v>
      </c>
      <c r="I513">
        <f t="shared" si="135"/>
        <v>1</v>
      </c>
      <c r="J513">
        <f t="shared" si="136"/>
        <v>0</v>
      </c>
      <c r="K513">
        <f t="shared" si="133"/>
        <v>6</v>
      </c>
      <c r="L513" s="179">
        <f>'Aztec Metered Load'!C517</f>
        <v>4.4560000000000004</v>
      </c>
    </row>
    <row r="514" spans="1:12" x14ac:dyDescent="0.3">
      <c r="A514" s="19">
        <f t="shared" si="137"/>
        <v>45769</v>
      </c>
      <c r="B514">
        <f t="shared" si="138"/>
        <v>8</v>
      </c>
      <c r="C514" s="16">
        <f>IFERROR(MATCH(A515,NERCHolidays!$B$2:$B$121,0),0)</f>
        <v>0</v>
      </c>
      <c r="D514">
        <f t="shared" si="134"/>
        <v>1</v>
      </c>
      <c r="E514" t="str">
        <f t="shared" si="129"/>
        <v>PK</v>
      </c>
      <c r="F514">
        <f t="shared" si="130"/>
        <v>5</v>
      </c>
      <c r="G514">
        <f t="shared" si="131"/>
        <v>1</v>
      </c>
      <c r="H514">
        <f t="shared" si="132"/>
        <v>0</v>
      </c>
      <c r="I514">
        <f t="shared" si="135"/>
        <v>1</v>
      </c>
      <c r="J514">
        <f t="shared" si="136"/>
        <v>0</v>
      </c>
      <c r="K514">
        <f t="shared" si="133"/>
        <v>6</v>
      </c>
      <c r="L514" s="179">
        <f>'Aztec Metered Load'!C518</f>
        <v>4.28</v>
      </c>
    </row>
    <row r="515" spans="1:12" x14ac:dyDescent="0.3">
      <c r="A515" s="19">
        <f t="shared" si="137"/>
        <v>45769</v>
      </c>
      <c r="B515">
        <f t="shared" si="138"/>
        <v>9</v>
      </c>
      <c r="C515" s="16">
        <f>IFERROR(MATCH(A516,NERCHolidays!$B$2:$B$121,0),0)</f>
        <v>0</v>
      </c>
      <c r="D515">
        <f t="shared" si="134"/>
        <v>1</v>
      </c>
      <c r="E515" t="str">
        <f t="shared" ref="E515:E578" si="139">IF(OR(WEEKDAY(A515)=1,C515&lt;&gt;0),"OP",IF(D515=0,"OP","PK"))</f>
        <v>PK</v>
      </c>
      <c r="F515">
        <f t="shared" ref="F515:F578" si="140">VLOOKUP(A515,$O$3:$AN$34,B515+2,FALSE)</f>
        <v>5</v>
      </c>
      <c r="G515">
        <f t="shared" ref="G515:G578" si="141">VLOOKUP(A515,$O$107:$AM$138,B515+1,FALSE)</f>
        <v>0</v>
      </c>
      <c r="H515">
        <f t="shared" ref="H515:H578" si="142">VLOOKUP(A515,$O$142:$AM$173,B515+1,FALSE)</f>
        <v>0</v>
      </c>
      <c r="I515">
        <f t="shared" si="135"/>
        <v>1</v>
      </c>
      <c r="J515">
        <f t="shared" si="136"/>
        <v>0</v>
      </c>
      <c r="K515">
        <f t="shared" ref="K515:K578" si="143">VLOOKUP(A515,$O$175:$AM$206,B515+1,FALSE)</f>
        <v>5</v>
      </c>
      <c r="L515" s="179">
        <f>'Aztec Metered Load'!C519</f>
        <v>4.1319999999999997</v>
      </c>
    </row>
    <row r="516" spans="1:12" x14ac:dyDescent="0.3">
      <c r="A516" s="19">
        <f t="shared" si="137"/>
        <v>45769</v>
      </c>
      <c r="B516">
        <f t="shared" si="138"/>
        <v>10</v>
      </c>
      <c r="C516" s="16">
        <f>IFERROR(MATCH(A517,NERCHolidays!$B$2:$B$121,0),0)</f>
        <v>0</v>
      </c>
      <c r="D516">
        <f t="shared" ref="D516:D579" si="144">IF(AND(B516&gt;=8,B516&lt;=23),1,0)</f>
        <v>1</v>
      </c>
      <c r="E516" t="str">
        <f t="shared" si="139"/>
        <v>PK</v>
      </c>
      <c r="F516">
        <f t="shared" si="140"/>
        <v>5</v>
      </c>
      <c r="G516">
        <f t="shared" si="141"/>
        <v>0</v>
      </c>
      <c r="H516">
        <f t="shared" si="142"/>
        <v>0</v>
      </c>
      <c r="I516">
        <f t="shared" ref="I516:I579" si="145">VLOOKUP(A516,$O$40:$AN$70,B516+2,FALSE)</f>
        <v>1</v>
      </c>
      <c r="J516">
        <f t="shared" ref="J516:J579" si="146">VLOOKUP(A516,$O$73:$AN$104,B516+2,FALSE)</f>
        <v>0</v>
      </c>
      <c r="K516">
        <f t="shared" si="143"/>
        <v>5</v>
      </c>
      <c r="L516" s="179">
        <f>'Aztec Metered Load'!C520</f>
        <v>3.9729999999999999</v>
      </c>
    </row>
    <row r="517" spans="1:12" x14ac:dyDescent="0.3">
      <c r="A517" s="19">
        <f t="shared" ref="A517:A580" si="147">IF(B516=24,A516+1,A516)</f>
        <v>45769</v>
      </c>
      <c r="B517">
        <f t="shared" ref="B517:B580" si="148">IF(B516=24,1,B516+1)</f>
        <v>11</v>
      </c>
      <c r="C517" s="16">
        <f>IFERROR(MATCH(A518,NERCHolidays!$B$2:$B$121,0),0)</f>
        <v>0</v>
      </c>
      <c r="D517">
        <f t="shared" si="144"/>
        <v>1</v>
      </c>
      <c r="E517" t="str">
        <f t="shared" si="139"/>
        <v>PK</v>
      </c>
      <c r="F517">
        <f t="shared" si="140"/>
        <v>5</v>
      </c>
      <c r="G517">
        <f t="shared" si="141"/>
        <v>0</v>
      </c>
      <c r="H517">
        <f t="shared" si="142"/>
        <v>0</v>
      </c>
      <c r="I517">
        <f t="shared" si="145"/>
        <v>1</v>
      </c>
      <c r="J517">
        <f t="shared" si="146"/>
        <v>0</v>
      </c>
      <c r="K517">
        <f t="shared" si="143"/>
        <v>5</v>
      </c>
      <c r="L517" s="179">
        <f>'Aztec Metered Load'!C521</f>
        <v>3.9</v>
      </c>
    </row>
    <row r="518" spans="1:12" x14ac:dyDescent="0.3">
      <c r="A518" s="19">
        <f t="shared" si="147"/>
        <v>45769</v>
      </c>
      <c r="B518">
        <f t="shared" si="148"/>
        <v>12</v>
      </c>
      <c r="C518" s="16">
        <f>IFERROR(MATCH(A519,NERCHolidays!$B$2:$B$121,0),0)</f>
        <v>0</v>
      </c>
      <c r="D518">
        <f t="shared" si="144"/>
        <v>1</v>
      </c>
      <c r="E518" t="str">
        <f t="shared" si="139"/>
        <v>PK</v>
      </c>
      <c r="F518">
        <f t="shared" si="140"/>
        <v>5</v>
      </c>
      <c r="G518">
        <f t="shared" si="141"/>
        <v>0</v>
      </c>
      <c r="H518">
        <f t="shared" si="142"/>
        <v>0</v>
      </c>
      <c r="I518">
        <f t="shared" si="145"/>
        <v>1</v>
      </c>
      <c r="J518">
        <f t="shared" si="146"/>
        <v>0</v>
      </c>
      <c r="K518">
        <f t="shared" si="143"/>
        <v>5</v>
      </c>
      <c r="L518" s="179">
        <f>'Aztec Metered Load'!C522</f>
        <v>3.8140000000000001</v>
      </c>
    </row>
    <row r="519" spans="1:12" x14ac:dyDescent="0.3">
      <c r="A519" s="19">
        <f t="shared" si="147"/>
        <v>45769</v>
      </c>
      <c r="B519">
        <f t="shared" si="148"/>
        <v>13</v>
      </c>
      <c r="C519" s="16">
        <f>IFERROR(MATCH(A520,NERCHolidays!$B$2:$B$121,0),0)</f>
        <v>0</v>
      </c>
      <c r="D519">
        <f t="shared" si="144"/>
        <v>1</v>
      </c>
      <c r="E519" t="str">
        <f t="shared" si="139"/>
        <v>PK</v>
      </c>
      <c r="F519">
        <f t="shared" si="140"/>
        <v>5</v>
      </c>
      <c r="G519">
        <f t="shared" si="141"/>
        <v>0</v>
      </c>
      <c r="H519">
        <f t="shared" si="142"/>
        <v>0</v>
      </c>
      <c r="I519">
        <f t="shared" si="145"/>
        <v>1</v>
      </c>
      <c r="J519">
        <f t="shared" si="146"/>
        <v>0</v>
      </c>
      <c r="K519">
        <f t="shared" si="143"/>
        <v>5</v>
      </c>
      <c r="L519" s="179">
        <f>'Aztec Metered Load'!C523</f>
        <v>3.8610000000000002</v>
      </c>
    </row>
    <row r="520" spans="1:12" x14ac:dyDescent="0.3">
      <c r="A520" s="19">
        <f t="shared" si="147"/>
        <v>45769</v>
      </c>
      <c r="B520">
        <f t="shared" si="148"/>
        <v>14</v>
      </c>
      <c r="C520" s="16">
        <f>IFERROR(MATCH(A521,NERCHolidays!$B$2:$B$121,0),0)</f>
        <v>0</v>
      </c>
      <c r="D520">
        <f t="shared" si="144"/>
        <v>1</v>
      </c>
      <c r="E520" t="str">
        <f t="shared" si="139"/>
        <v>PK</v>
      </c>
      <c r="F520">
        <f t="shared" si="140"/>
        <v>5</v>
      </c>
      <c r="G520">
        <f t="shared" si="141"/>
        <v>0</v>
      </c>
      <c r="H520">
        <f t="shared" si="142"/>
        <v>0</v>
      </c>
      <c r="I520">
        <f t="shared" si="145"/>
        <v>1</v>
      </c>
      <c r="J520">
        <f t="shared" si="146"/>
        <v>0</v>
      </c>
      <c r="K520">
        <f t="shared" si="143"/>
        <v>5</v>
      </c>
      <c r="L520" s="179">
        <f>'Aztec Metered Load'!C524</f>
        <v>4.0110000000000001</v>
      </c>
    </row>
    <row r="521" spans="1:12" x14ac:dyDescent="0.3">
      <c r="A521" s="19">
        <f t="shared" si="147"/>
        <v>45769</v>
      </c>
      <c r="B521">
        <f t="shared" si="148"/>
        <v>15</v>
      </c>
      <c r="C521" s="16">
        <f>IFERROR(MATCH(A522,NERCHolidays!$B$2:$B$121,0),0)</f>
        <v>0</v>
      </c>
      <c r="D521">
        <f t="shared" si="144"/>
        <v>1</v>
      </c>
      <c r="E521" t="str">
        <f t="shared" si="139"/>
        <v>PK</v>
      </c>
      <c r="F521">
        <f t="shared" si="140"/>
        <v>5</v>
      </c>
      <c r="G521">
        <f t="shared" si="141"/>
        <v>0</v>
      </c>
      <c r="H521">
        <f t="shared" si="142"/>
        <v>0</v>
      </c>
      <c r="I521">
        <f t="shared" si="145"/>
        <v>1</v>
      </c>
      <c r="J521">
        <f t="shared" si="146"/>
        <v>0</v>
      </c>
      <c r="K521">
        <f t="shared" si="143"/>
        <v>5</v>
      </c>
      <c r="L521" s="179">
        <f>'Aztec Metered Load'!C525</f>
        <v>4.0819999999999999</v>
      </c>
    </row>
    <row r="522" spans="1:12" x14ac:dyDescent="0.3">
      <c r="A522" s="19">
        <f t="shared" si="147"/>
        <v>45769</v>
      </c>
      <c r="B522">
        <f t="shared" si="148"/>
        <v>16</v>
      </c>
      <c r="C522" s="16">
        <f>IFERROR(MATCH(A523,NERCHolidays!$B$2:$B$121,0),0)</f>
        <v>0</v>
      </c>
      <c r="D522">
        <f t="shared" si="144"/>
        <v>1</v>
      </c>
      <c r="E522" t="str">
        <f t="shared" si="139"/>
        <v>PK</v>
      </c>
      <c r="F522">
        <f t="shared" si="140"/>
        <v>5</v>
      </c>
      <c r="G522">
        <f t="shared" si="141"/>
        <v>0</v>
      </c>
      <c r="H522">
        <f t="shared" si="142"/>
        <v>0</v>
      </c>
      <c r="I522">
        <f t="shared" si="145"/>
        <v>1</v>
      </c>
      <c r="J522">
        <f t="shared" si="146"/>
        <v>0</v>
      </c>
      <c r="K522">
        <f t="shared" si="143"/>
        <v>5</v>
      </c>
      <c r="L522" s="179">
        <f>'Aztec Metered Load'!C526</f>
        <v>4.2149999999999999</v>
      </c>
    </row>
    <row r="523" spans="1:12" x14ac:dyDescent="0.3">
      <c r="A523" s="19">
        <f t="shared" si="147"/>
        <v>45769</v>
      </c>
      <c r="B523">
        <f t="shared" si="148"/>
        <v>17</v>
      </c>
      <c r="C523" s="16">
        <f>IFERROR(MATCH(A524,NERCHolidays!$B$2:$B$121,0),0)</f>
        <v>0</v>
      </c>
      <c r="D523">
        <f t="shared" si="144"/>
        <v>1</v>
      </c>
      <c r="E523" t="str">
        <f t="shared" si="139"/>
        <v>PK</v>
      </c>
      <c r="F523">
        <f t="shared" si="140"/>
        <v>0</v>
      </c>
      <c r="G523">
        <f t="shared" si="141"/>
        <v>0</v>
      </c>
      <c r="H523">
        <f t="shared" si="142"/>
        <v>0</v>
      </c>
      <c r="I523">
        <f t="shared" si="145"/>
        <v>1</v>
      </c>
      <c r="J523">
        <f t="shared" si="146"/>
        <v>0</v>
      </c>
      <c r="K523">
        <f t="shared" si="143"/>
        <v>0</v>
      </c>
      <c r="L523" s="179">
        <f>'Aztec Metered Load'!C527</f>
        <v>4.2830000000000004</v>
      </c>
    </row>
    <row r="524" spans="1:12" x14ac:dyDescent="0.3">
      <c r="A524" s="19">
        <f t="shared" si="147"/>
        <v>45769</v>
      </c>
      <c r="B524">
        <f t="shared" si="148"/>
        <v>18</v>
      </c>
      <c r="C524" s="16">
        <f>IFERROR(MATCH(A525,NERCHolidays!$B$2:$B$121,0),0)</f>
        <v>0</v>
      </c>
      <c r="D524">
        <f t="shared" si="144"/>
        <v>1</v>
      </c>
      <c r="E524" t="str">
        <f t="shared" si="139"/>
        <v>PK</v>
      </c>
      <c r="F524">
        <f t="shared" si="140"/>
        <v>5</v>
      </c>
      <c r="G524">
        <f t="shared" si="141"/>
        <v>0</v>
      </c>
      <c r="H524">
        <f t="shared" si="142"/>
        <v>0</v>
      </c>
      <c r="I524">
        <f t="shared" si="145"/>
        <v>1</v>
      </c>
      <c r="J524">
        <f t="shared" si="146"/>
        <v>0</v>
      </c>
      <c r="K524">
        <f t="shared" si="143"/>
        <v>5</v>
      </c>
      <c r="L524" s="179">
        <f>'Aztec Metered Load'!C528</f>
        <v>4.351</v>
      </c>
    </row>
    <row r="525" spans="1:12" x14ac:dyDescent="0.3">
      <c r="A525" s="19">
        <f t="shared" si="147"/>
        <v>45769</v>
      </c>
      <c r="B525">
        <f t="shared" si="148"/>
        <v>19</v>
      </c>
      <c r="C525" s="16">
        <f>IFERROR(MATCH(A526,NERCHolidays!$B$2:$B$121,0),0)</f>
        <v>0</v>
      </c>
      <c r="D525">
        <f t="shared" si="144"/>
        <v>1</v>
      </c>
      <c r="E525" t="str">
        <f t="shared" si="139"/>
        <v>PK</v>
      </c>
      <c r="F525">
        <f t="shared" si="140"/>
        <v>5</v>
      </c>
      <c r="G525">
        <f t="shared" si="141"/>
        <v>1</v>
      </c>
      <c r="H525">
        <f t="shared" si="142"/>
        <v>0</v>
      </c>
      <c r="I525">
        <f t="shared" si="145"/>
        <v>1</v>
      </c>
      <c r="J525">
        <f t="shared" si="146"/>
        <v>0</v>
      </c>
      <c r="K525">
        <f t="shared" si="143"/>
        <v>6</v>
      </c>
      <c r="L525" s="179">
        <f>'Aztec Metered Load'!C529</f>
        <v>4.3979999999999997</v>
      </c>
    </row>
    <row r="526" spans="1:12" x14ac:dyDescent="0.3">
      <c r="A526" s="19">
        <f t="shared" si="147"/>
        <v>45769</v>
      </c>
      <c r="B526">
        <f t="shared" si="148"/>
        <v>20</v>
      </c>
      <c r="C526" s="16">
        <f>IFERROR(MATCH(A527,NERCHolidays!$B$2:$B$121,0),0)</f>
        <v>0</v>
      </c>
      <c r="D526">
        <f t="shared" si="144"/>
        <v>1</v>
      </c>
      <c r="E526" t="str">
        <f t="shared" si="139"/>
        <v>PK</v>
      </c>
      <c r="F526">
        <f t="shared" si="140"/>
        <v>5</v>
      </c>
      <c r="G526">
        <f t="shared" si="141"/>
        <v>1</v>
      </c>
      <c r="H526">
        <f t="shared" si="142"/>
        <v>0</v>
      </c>
      <c r="I526">
        <f t="shared" si="145"/>
        <v>1</v>
      </c>
      <c r="J526">
        <f t="shared" si="146"/>
        <v>0</v>
      </c>
      <c r="K526">
        <f t="shared" si="143"/>
        <v>6</v>
      </c>
      <c r="L526" s="179">
        <f>'Aztec Metered Load'!C530</f>
        <v>4.4210000000000003</v>
      </c>
    </row>
    <row r="527" spans="1:12" x14ac:dyDescent="0.3">
      <c r="A527" s="19">
        <f t="shared" si="147"/>
        <v>45769</v>
      </c>
      <c r="B527">
        <f t="shared" si="148"/>
        <v>21</v>
      </c>
      <c r="C527" s="16">
        <f>IFERROR(MATCH(A528,NERCHolidays!$B$2:$B$121,0),0)</f>
        <v>0</v>
      </c>
      <c r="D527">
        <f t="shared" si="144"/>
        <v>1</v>
      </c>
      <c r="E527" t="str">
        <f t="shared" si="139"/>
        <v>PK</v>
      </c>
      <c r="F527">
        <f t="shared" si="140"/>
        <v>5</v>
      </c>
      <c r="G527">
        <f t="shared" si="141"/>
        <v>1</v>
      </c>
      <c r="H527">
        <f t="shared" si="142"/>
        <v>0</v>
      </c>
      <c r="I527">
        <f t="shared" si="145"/>
        <v>1</v>
      </c>
      <c r="J527">
        <f t="shared" si="146"/>
        <v>0</v>
      </c>
      <c r="K527">
        <f t="shared" si="143"/>
        <v>6</v>
      </c>
      <c r="L527" s="179">
        <f>'Aztec Metered Load'!C531</f>
        <v>4.1689999999999996</v>
      </c>
    </row>
    <row r="528" spans="1:12" x14ac:dyDescent="0.3">
      <c r="A528" s="19">
        <f t="shared" si="147"/>
        <v>45769</v>
      </c>
      <c r="B528">
        <f t="shared" si="148"/>
        <v>22</v>
      </c>
      <c r="C528" s="16">
        <f>IFERROR(MATCH(A529,NERCHolidays!$B$2:$B$121,0),0)</f>
        <v>0</v>
      </c>
      <c r="D528">
        <f t="shared" si="144"/>
        <v>1</v>
      </c>
      <c r="E528" t="str">
        <f t="shared" si="139"/>
        <v>PK</v>
      </c>
      <c r="F528">
        <f t="shared" si="140"/>
        <v>5</v>
      </c>
      <c r="G528">
        <f t="shared" si="141"/>
        <v>1</v>
      </c>
      <c r="H528">
        <f t="shared" si="142"/>
        <v>0</v>
      </c>
      <c r="I528">
        <f t="shared" si="145"/>
        <v>1</v>
      </c>
      <c r="J528">
        <f t="shared" si="146"/>
        <v>0</v>
      </c>
      <c r="K528">
        <f t="shared" si="143"/>
        <v>6</v>
      </c>
      <c r="L528" s="179">
        <f>'Aztec Metered Load'!C532</f>
        <v>3.698</v>
      </c>
    </row>
    <row r="529" spans="1:12" x14ac:dyDescent="0.3">
      <c r="A529" s="19">
        <f t="shared" si="147"/>
        <v>45769</v>
      </c>
      <c r="B529">
        <f t="shared" si="148"/>
        <v>23</v>
      </c>
      <c r="C529" s="16">
        <f>IFERROR(MATCH(A530,NERCHolidays!$B$2:$B$121,0),0)</f>
        <v>0</v>
      </c>
      <c r="D529">
        <f t="shared" si="144"/>
        <v>1</v>
      </c>
      <c r="E529" t="str">
        <f t="shared" si="139"/>
        <v>PK</v>
      </c>
      <c r="F529">
        <f t="shared" si="140"/>
        <v>5</v>
      </c>
      <c r="G529">
        <f t="shared" si="141"/>
        <v>1</v>
      </c>
      <c r="H529">
        <f t="shared" si="142"/>
        <v>0</v>
      </c>
      <c r="I529">
        <f t="shared" si="145"/>
        <v>1</v>
      </c>
      <c r="J529">
        <f t="shared" si="146"/>
        <v>0</v>
      </c>
      <c r="K529">
        <f t="shared" si="143"/>
        <v>6</v>
      </c>
      <c r="L529" s="179">
        <f>'Aztec Metered Load'!C533</f>
        <v>3.3570000000000002</v>
      </c>
    </row>
    <row r="530" spans="1:12" x14ac:dyDescent="0.3">
      <c r="A530" s="19">
        <f t="shared" si="147"/>
        <v>45769</v>
      </c>
      <c r="B530">
        <f t="shared" si="148"/>
        <v>24</v>
      </c>
      <c r="C530" s="16">
        <f>IFERROR(MATCH(A531,NERCHolidays!$B$2:$B$121,0),0)</f>
        <v>0</v>
      </c>
      <c r="D530">
        <f t="shared" si="144"/>
        <v>0</v>
      </c>
      <c r="E530" t="str">
        <f t="shared" si="139"/>
        <v>OP</v>
      </c>
      <c r="F530">
        <f t="shared" si="140"/>
        <v>5</v>
      </c>
      <c r="G530">
        <f t="shared" si="141"/>
        <v>0</v>
      </c>
      <c r="H530">
        <f t="shared" si="142"/>
        <v>0</v>
      </c>
      <c r="I530">
        <f t="shared" si="145"/>
        <v>1</v>
      </c>
      <c r="J530">
        <f t="shared" si="146"/>
        <v>0</v>
      </c>
      <c r="K530">
        <f t="shared" si="143"/>
        <v>5</v>
      </c>
      <c r="L530" s="179">
        <f>'Aztec Metered Load'!C534</f>
        <v>3.1709999999999998</v>
      </c>
    </row>
    <row r="531" spans="1:12" x14ac:dyDescent="0.3">
      <c r="A531" s="19">
        <f t="shared" si="147"/>
        <v>45770</v>
      </c>
      <c r="B531">
        <f t="shared" si="148"/>
        <v>1</v>
      </c>
      <c r="C531" s="16">
        <f>IFERROR(MATCH(A532,NERCHolidays!$B$2:$B$121,0),0)</f>
        <v>0</v>
      </c>
      <c r="D531">
        <f t="shared" si="144"/>
        <v>0</v>
      </c>
      <c r="E531" t="str">
        <f t="shared" si="139"/>
        <v>OP</v>
      </c>
      <c r="F531">
        <f t="shared" si="140"/>
        <v>5</v>
      </c>
      <c r="G531">
        <f t="shared" si="141"/>
        <v>1</v>
      </c>
      <c r="H531">
        <f t="shared" si="142"/>
        <v>0</v>
      </c>
      <c r="I531">
        <f t="shared" si="145"/>
        <v>1</v>
      </c>
      <c r="J531">
        <f t="shared" si="146"/>
        <v>0</v>
      </c>
      <c r="K531">
        <f t="shared" si="143"/>
        <v>6</v>
      </c>
      <c r="L531" s="179">
        <f>'Aztec Metered Load'!C535</f>
        <v>3.0819999999999999</v>
      </c>
    </row>
    <row r="532" spans="1:12" x14ac:dyDescent="0.3">
      <c r="A532" s="19">
        <f t="shared" si="147"/>
        <v>45770</v>
      </c>
      <c r="B532">
        <f t="shared" si="148"/>
        <v>2</v>
      </c>
      <c r="C532" s="16">
        <f>IFERROR(MATCH(A533,NERCHolidays!$B$2:$B$121,0),0)</f>
        <v>0</v>
      </c>
      <c r="D532">
        <f t="shared" si="144"/>
        <v>0</v>
      </c>
      <c r="E532" t="str">
        <f t="shared" si="139"/>
        <v>OP</v>
      </c>
      <c r="F532">
        <f t="shared" si="140"/>
        <v>5</v>
      </c>
      <c r="G532">
        <f t="shared" si="141"/>
        <v>1</v>
      </c>
      <c r="H532">
        <f t="shared" si="142"/>
        <v>0</v>
      </c>
      <c r="I532">
        <f t="shared" si="145"/>
        <v>1</v>
      </c>
      <c r="J532">
        <f t="shared" si="146"/>
        <v>0</v>
      </c>
      <c r="K532">
        <f t="shared" si="143"/>
        <v>6</v>
      </c>
      <c r="L532" s="179">
        <f>'Aztec Metered Load'!C536</f>
        <v>3.089</v>
      </c>
    </row>
    <row r="533" spans="1:12" x14ac:dyDescent="0.3">
      <c r="A533" s="19">
        <f t="shared" si="147"/>
        <v>45770</v>
      </c>
      <c r="B533">
        <f t="shared" si="148"/>
        <v>3</v>
      </c>
      <c r="C533" s="16">
        <f>IFERROR(MATCH(A534,NERCHolidays!$B$2:$B$121,0),0)</f>
        <v>0</v>
      </c>
      <c r="D533">
        <f t="shared" si="144"/>
        <v>0</v>
      </c>
      <c r="E533" t="str">
        <f t="shared" si="139"/>
        <v>OP</v>
      </c>
      <c r="F533">
        <f t="shared" si="140"/>
        <v>5</v>
      </c>
      <c r="G533">
        <f t="shared" si="141"/>
        <v>1</v>
      </c>
      <c r="H533">
        <f t="shared" si="142"/>
        <v>0</v>
      </c>
      <c r="I533">
        <f t="shared" si="145"/>
        <v>1</v>
      </c>
      <c r="J533">
        <f t="shared" si="146"/>
        <v>0</v>
      </c>
      <c r="K533">
        <f t="shared" si="143"/>
        <v>6</v>
      </c>
      <c r="L533" s="179">
        <f>'Aztec Metered Load'!C537</f>
        <v>3.1970000000000001</v>
      </c>
    </row>
    <row r="534" spans="1:12" x14ac:dyDescent="0.3">
      <c r="A534" s="19">
        <f t="shared" si="147"/>
        <v>45770</v>
      </c>
      <c r="B534">
        <f t="shared" si="148"/>
        <v>4</v>
      </c>
      <c r="C534" s="16">
        <f>IFERROR(MATCH(A535,NERCHolidays!$B$2:$B$121,0),0)</f>
        <v>0</v>
      </c>
      <c r="D534">
        <f t="shared" si="144"/>
        <v>0</v>
      </c>
      <c r="E534" t="str">
        <f t="shared" si="139"/>
        <v>OP</v>
      </c>
      <c r="F534">
        <f t="shared" si="140"/>
        <v>5</v>
      </c>
      <c r="G534">
        <f t="shared" si="141"/>
        <v>1</v>
      </c>
      <c r="H534">
        <f t="shared" si="142"/>
        <v>0</v>
      </c>
      <c r="I534">
        <f t="shared" si="145"/>
        <v>2</v>
      </c>
      <c r="J534">
        <f t="shared" si="146"/>
        <v>0</v>
      </c>
      <c r="K534">
        <f t="shared" si="143"/>
        <v>6</v>
      </c>
      <c r="L534" s="179">
        <f>'Aztec Metered Load'!C538</f>
        <v>3.4009999999999998</v>
      </c>
    </row>
    <row r="535" spans="1:12" x14ac:dyDescent="0.3">
      <c r="A535" s="19">
        <f t="shared" si="147"/>
        <v>45770</v>
      </c>
      <c r="B535">
        <f t="shared" si="148"/>
        <v>5</v>
      </c>
      <c r="C535" s="16">
        <f>IFERROR(MATCH(A536,NERCHolidays!$B$2:$B$121,0),0)</f>
        <v>0</v>
      </c>
      <c r="D535">
        <f t="shared" si="144"/>
        <v>0</v>
      </c>
      <c r="E535" t="str">
        <f t="shared" si="139"/>
        <v>OP</v>
      </c>
      <c r="F535">
        <f t="shared" si="140"/>
        <v>5</v>
      </c>
      <c r="G535">
        <f t="shared" si="141"/>
        <v>1</v>
      </c>
      <c r="H535">
        <f t="shared" si="142"/>
        <v>0</v>
      </c>
      <c r="I535">
        <f t="shared" si="145"/>
        <v>2</v>
      </c>
      <c r="J535">
        <f t="shared" si="146"/>
        <v>0</v>
      </c>
      <c r="K535">
        <f t="shared" si="143"/>
        <v>6</v>
      </c>
      <c r="L535" s="179">
        <f>'Aztec Metered Load'!C539</f>
        <v>3.6440000000000001</v>
      </c>
    </row>
    <row r="536" spans="1:12" x14ac:dyDescent="0.3">
      <c r="A536" s="19">
        <f t="shared" si="147"/>
        <v>45770</v>
      </c>
      <c r="B536">
        <f t="shared" si="148"/>
        <v>6</v>
      </c>
      <c r="C536" s="16">
        <f>IFERROR(MATCH(A537,NERCHolidays!$B$2:$B$121,0),0)</f>
        <v>0</v>
      </c>
      <c r="D536">
        <f t="shared" si="144"/>
        <v>0</v>
      </c>
      <c r="E536" t="str">
        <f t="shared" si="139"/>
        <v>OP</v>
      </c>
      <c r="F536">
        <f t="shared" si="140"/>
        <v>5</v>
      </c>
      <c r="G536">
        <f t="shared" si="141"/>
        <v>1</v>
      </c>
      <c r="H536">
        <f t="shared" si="142"/>
        <v>0</v>
      </c>
      <c r="I536">
        <f t="shared" si="145"/>
        <v>1</v>
      </c>
      <c r="J536">
        <f t="shared" si="146"/>
        <v>0</v>
      </c>
      <c r="K536">
        <f t="shared" si="143"/>
        <v>6</v>
      </c>
      <c r="L536" s="179">
        <f>'Aztec Metered Load'!C540</f>
        <v>4.1740000000000004</v>
      </c>
    </row>
    <row r="537" spans="1:12" x14ac:dyDescent="0.3">
      <c r="A537" s="19">
        <f t="shared" si="147"/>
        <v>45770</v>
      </c>
      <c r="B537">
        <f t="shared" si="148"/>
        <v>7</v>
      </c>
      <c r="C537" s="16">
        <f>IFERROR(MATCH(A538,NERCHolidays!$B$2:$B$121,0),0)</f>
        <v>0</v>
      </c>
      <c r="D537">
        <f t="shared" si="144"/>
        <v>0</v>
      </c>
      <c r="E537" t="str">
        <f t="shared" si="139"/>
        <v>OP</v>
      </c>
      <c r="F537">
        <f t="shared" si="140"/>
        <v>5</v>
      </c>
      <c r="G537">
        <f t="shared" si="141"/>
        <v>1</v>
      </c>
      <c r="H537">
        <f t="shared" si="142"/>
        <v>0</v>
      </c>
      <c r="I537">
        <f t="shared" si="145"/>
        <v>1</v>
      </c>
      <c r="J537">
        <f t="shared" si="146"/>
        <v>0</v>
      </c>
      <c r="K537">
        <f t="shared" si="143"/>
        <v>6</v>
      </c>
      <c r="L537" s="179">
        <f>'Aztec Metered Load'!C541</f>
        <v>4.4429999999999996</v>
      </c>
    </row>
    <row r="538" spans="1:12" x14ac:dyDescent="0.3">
      <c r="A538" s="19">
        <f t="shared" si="147"/>
        <v>45770</v>
      </c>
      <c r="B538">
        <f t="shared" si="148"/>
        <v>8</v>
      </c>
      <c r="C538" s="16">
        <f>IFERROR(MATCH(A539,NERCHolidays!$B$2:$B$121,0),0)</f>
        <v>0</v>
      </c>
      <c r="D538">
        <f t="shared" si="144"/>
        <v>1</v>
      </c>
      <c r="E538" t="str">
        <f t="shared" si="139"/>
        <v>PK</v>
      </c>
      <c r="F538">
        <f t="shared" si="140"/>
        <v>5</v>
      </c>
      <c r="G538">
        <f t="shared" si="141"/>
        <v>1</v>
      </c>
      <c r="H538">
        <f t="shared" si="142"/>
        <v>0</v>
      </c>
      <c r="I538">
        <f t="shared" si="145"/>
        <v>1</v>
      </c>
      <c r="J538">
        <f t="shared" si="146"/>
        <v>0</v>
      </c>
      <c r="K538">
        <f t="shared" si="143"/>
        <v>6</v>
      </c>
      <c r="L538" s="179">
        <f>'Aztec Metered Load'!C542</f>
        <v>4.3280000000000003</v>
      </c>
    </row>
    <row r="539" spans="1:12" x14ac:dyDescent="0.3">
      <c r="A539" s="19">
        <f t="shared" si="147"/>
        <v>45770</v>
      </c>
      <c r="B539">
        <f t="shared" si="148"/>
        <v>9</v>
      </c>
      <c r="C539" s="16">
        <f>IFERROR(MATCH(A540,NERCHolidays!$B$2:$B$121,0),0)</f>
        <v>0</v>
      </c>
      <c r="D539">
        <f t="shared" si="144"/>
        <v>1</v>
      </c>
      <c r="E539" t="str">
        <f t="shared" si="139"/>
        <v>PK</v>
      </c>
      <c r="F539">
        <f t="shared" si="140"/>
        <v>5</v>
      </c>
      <c r="G539">
        <f t="shared" si="141"/>
        <v>0</v>
      </c>
      <c r="H539">
        <f t="shared" si="142"/>
        <v>0</v>
      </c>
      <c r="I539">
        <f t="shared" si="145"/>
        <v>1</v>
      </c>
      <c r="J539">
        <f t="shared" si="146"/>
        <v>0</v>
      </c>
      <c r="K539">
        <f t="shared" si="143"/>
        <v>5</v>
      </c>
      <c r="L539" s="179">
        <f>'Aztec Metered Load'!C543</f>
        <v>4</v>
      </c>
    </row>
    <row r="540" spans="1:12" x14ac:dyDescent="0.3">
      <c r="A540" s="19">
        <f t="shared" si="147"/>
        <v>45770</v>
      </c>
      <c r="B540">
        <f t="shared" si="148"/>
        <v>10</v>
      </c>
      <c r="C540" s="16">
        <f>IFERROR(MATCH(A541,NERCHolidays!$B$2:$B$121,0),0)</f>
        <v>0</v>
      </c>
      <c r="D540">
        <f t="shared" si="144"/>
        <v>1</v>
      </c>
      <c r="E540" t="str">
        <f t="shared" si="139"/>
        <v>PK</v>
      </c>
      <c r="F540">
        <f t="shared" si="140"/>
        <v>5</v>
      </c>
      <c r="G540">
        <f t="shared" si="141"/>
        <v>0</v>
      </c>
      <c r="H540">
        <f t="shared" si="142"/>
        <v>0</v>
      </c>
      <c r="I540">
        <f t="shared" si="145"/>
        <v>1</v>
      </c>
      <c r="J540">
        <f t="shared" si="146"/>
        <v>0</v>
      </c>
      <c r="K540">
        <f t="shared" si="143"/>
        <v>5</v>
      </c>
      <c r="L540" s="179">
        <f>'Aztec Metered Load'!C544</f>
        <v>3.7839999999999998</v>
      </c>
    </row>
    <row r="541" spans="1:12" x14ac:dyDescent="0.3">
      <c r="A541" s="19">
        <f t="shared" si="147"/>
        <v>45770</v>
      </c>
      <c r="B541">
        <f t="shared" si="148"/>
        <v>11</v>
      </c>
      <c r="C541" s="16">
        <f>IFERROR(MATCH(A542,NERCHolidays!$B$2:$B$121,0),0)</f>
        <v>0</v>
      </c>
      <c r="D541">
        <f t="shared" si="144"/>
        <v>1</v>
      </c>
      <c r="E541" t="str">
        <f t="shared" si="139"/>
        <v>PK</v>
      </c>
      <c r="F541">
        <f t="shared" si="140"/>
        <v>5</v>
      </c>
      <c r="G541">
        <f t="shared" si="141"/>
        <v>0</v>
      </c>
      <c r="H541">
        <f t="shared" si="142"/>
        <v>0</v>
      </c>
      <c r="I541">
        <f t="shared" si="145"/>
        <v>1</v>
      </c>
      <c r="J541">
        <f t="shared" si="146"/>
        <v>0</v>
      </c>
      <c r="K541">
        <f t="shared" si="143"/>
        <v>5</v>
      </c>
      <c r="L541" s="179">
        <f>'Aztec Metered Load'!C545</f>
        <v>3.738</v>
      </c>
    </row>
    <row r="542" spans="1:12" x14ac:dyDescent="0.3">
      <c r="A542" s="19">
        <f t="shared" si="147"/>
        <v>45770</v>
      </c>
      <c r="B542">
        <f t="shared" si="148"/>
        <v>12</v>
      </c>
      <c r="C542" s="16">
        <f>IFERROR(MATCH(A543,NERCHolidays!$B$2:$B$121,0),0)</f>
        <v>0</v>
      </c>
      <c r="D542">
        <f t="shared" si="144"/>
        <v>1</v>
      </c>
      <c r="E542" t="str">
        <f t="shared" si="139"/>
        <v>PK</v>
      </c>
      <c r="F542">
        <f t="shared" si="140"/>
        <v>5</v>
      </c>
      <c r="G542">
        <f t="shared" si="141"/>
        <v>0</v>
      </c>
      <c r="H542">
        <f t="shared" si="142"/>
        <v>0</v>
      </c>
      <c r="I542">
        <f t="shared" si="145"/>
        <v>1</v>
      </c>
      <c r="J542">
        <f t="shared" si="146"/>
        <v>0</v>
      </c>
      <c r="K542">
        <f t="shared" si="143"/>
        <v>5</v>
      </c>
      <c r="L542" s="179">
        <f>'Aztec Metered Load'!C546</f>
        <v>3.7890000000000001</v>
      </c>
    </row>
    <row r="543" spans="1:12" x14ac:dyDescent="0.3">
      <c r="A543" s="19">
        <f t="shared" si="147"/>
        <v>45770</v>
      </c>
      <c r="B543">
        <f t="shared" si="148"/>
        <v>13</v>
      </c>
      <c r="C543" s="16">
        <f>IFERROR(MATCH(A544,NERCHolidays!$B$2:$B$121,0),0)</f>
        <v>0</v>
      </c>
      <c r="D543">
        <f t="shared" si="144"/>
        <v>1</v>
      </c>
      <c r="E543" t="str">
        <f t="shared" si="139"/>
        <v>PK</v>
      </c>
      <c r="F543">
        <f t="shared" si="140"/>
        <v>5</v>
      </c>
      <c r="G543">
        <f t="shared" si="141"/>
        <v>0</v>
      </c>
      <c r="H543">
        <f t="shared" si="142"/>
        <v>0</v>
      </c>
      <c r="I543">
        <f t="shared" si="145"/>
        <v>1</v>
      </c>
      <c r="J543">
        <f t="shared" si="146"/>
        <v>0</v>
      </c>
      <c r="K543">
        <f t="shared" si="143"/>
        <v>5</v>
      </c>
      <c r="L543" s="179">
        <f>'Aztec Metered Load'!C547</f>
        <v>3.9039999999999999</v>
      </c>
    </row>
    <row r="544" spans="1:12" x14ac:dyDescent="0.3">
      <c r="A544" s="19">
        <f t="shared" si="147"/>
        <v>45770</v>
      </c>
      <c r="B544">
        <f t="shared" si="148"/>
        <v>14</v>
      </c>
      <c r="C544" s="16">
        <f>IFERROR(MATCH(A545,NERCHolidays!$B$2:$B$121,0),0)</f>
        <v>0</v>
      </c>
      <c r="D544">
        <f t="shared" si="144"/>
        <v>1</v>
      </c>
      <c r="E544" t="str">
        <f t="shared" si="139"/>
        <v>PK</v>
      </c>
      <c r="F544">
        <f t="shared" si="140"/>
        <v>5</v>
      </c>
      <c r="G544">
        <f t="shared" si="141"/>
        <v>0</v>
      </c>
      <c r="H544">
        <f t="shared" si="142"/>
        <v>0</v>
      </c>
      <c r="I544">
        <f t="shared" si="145"/>
        <v>1</v>
      </c>
      <c r="J544">
        <f t="shared" si="146"/>
        <v>0</v>
      </c>
      <c r="K544">
        <f t="shared" si="143"/>
        <v>5</v>
      </c>
      <c r="L544" s="179">
        <f>'Aztec Metered Load'!C548</f>
        <v>3.8730000000000002</v>
      </c>
    </row>
    <row r="545" spans="1:12" x14ac:dyDescent="0.3">
      <c r="A545" s="19">
        <f t="shared" si="147"/>
        <v>45770</v>
      </c>
      <c r="B545">
        <f t="shared" si="148"/>
        <v>15</v>
      </c>
      <c r="C545" s="16">
        <f>IFERROR(MATCH(A546,NERCHolidays!$B$2:$B$121,0),0)</f>
        <v>0</v>
      </c>
      <c r="D545">
        <f t="shared" si="144"/>
        <v>1</v>
      </c>
      <c r="E545" t="str">
        <f t="shared" si="139"/>
        <v>PK</v>
      </c>
      <c r="F545">
        <f t="shared" si="140"/>
        <v>5</v>
      </c>
      <c r="G545">
        <f t="shared" si="141"/>
        <v>0</v>
      </c>
      <c r="H545">
        <f t="shared" si="142"/>
        <v>0</v>
      </c>
      <c r="I545">
        <f t="shared" si="145"/>
        <v>1</v>
      </c>
      <c r="J545">
        <f t="shared" si="146"/>
        <v>0</v>
      </c>
      <c r="K545">
        <f t="shared" si="143"/>
        <v>5</v>
      </c>
      <c r="L545" s="179">
        <f>'Aztec Metered Load'!C549</f>
        <v>4</v>
      </c>
    </row>
    <row r="546" spans="1:12" x14ac:dyDescent="0.3">
      <c r="A546" s="19">
        <f t="shared" si="147"/>
        <v>45770</v>
      </c>
      <c r="B546">
        <f t="shared" si="148"/>
        <v>16</v>
      </c>
      <c r="C546" s="16">
        <f>IFERROR(MATCH(A547,NERCHolidays!$B$2:$B$121,0),0)</f>
        <v>0</v>
      </c>
      <c r="D546">
        <f t="shared" si="144"/>
        <v>1</v>
      </c>
      <c r="E546" t="str">
        <f t="shared" si="139"/>
        <v>PK</v>
      </c>
      <c r="F546">
        <f t="shared" si="140"/>
        <v>5</v>
      </c>
      <c r="G546">
        <f t="shared" si="141"/>
        <v>0</v>
      </c>
      <c r="H546">
        <f t="shared" si="142"/>
        <v>0</v>
      </c>
      <c r="I546">
        <f t="shared" si="145"/>
        <v>1</v>
      </c>
      <c r="J546">
        <f t="shared" si="146"/>
        <v>0</v>
      </c>
      <c r="K546">
        <f t="shared" si="143"/>
        <v>5</v>
      </c>
      <c r="L546" s="179">
        <f>'Aztec Metered Load'!C550</f>
        <v>4.1310000000000002</v>
      </c>
    </row>
    <row r="547" spans="1:12" x14ac:dyDescent="0.3">
      <c r="A547" s="19">
        <f t="shared" si="147"/>
        <v>45770</v>
      </c>
      <c r="B547">
        <f t="shared" si="148"/>
        <v>17</v>
      </c>
      <c r="C547" s="16">
        <f>IFERROR(MATCH(A548,NERCHolidays!$B$2:$B$121,0),0)</f>
        <v>0</v>
      </c>
      <c r="D547">
        <f t="shared" si="144"/>
        <v>1</v>
      </c>
      <c r="E547" t="str">
        <f t="shared" si="139"/>
        <v>PK</v>
      </c>
      <c r="F547">
        <f t="shared" si="140"/>
        <v>5</v>
      </c>
      <c r="G547">
        <f t="shared" si="141"/>
        <v>0</v>
      </c>
      <c r="H547">
        <f t="shared" si="142"/>
        <v>0</v>
      </c>
      <c r="I547">
        <f t="shared" si="145"/>
        <v>1</v>
      </c>
      <c r="J547">
        <f t="shared" si="146"/>
        <v>0</v>
      </c>
      <c r="K547">
        <f t="shared" si="143"/>
        <v>5</v>
      </c>
      <c r="L547" s="179">
        <f>'Aztec Metered Load'!C551</f>
        <v>4.1890000000000001</v>
      </c>
    </row>
    <row r="548" spans="1:12" x14ac:dyDescent="0.3">
      <c r="A548" s="19">
        <f t="shared" si="147"/>
        <v>45770</v>
      </c>
      <c r="B548">
        <f t="shared" si="148"/>
        <v>18</v>
      </c>
      <c r="C548" s="16">
        <f>IFERROR(MATCH(A549,NERCHolidays!$B$2:$B$121,0),0)</f>
        <v>0</v>
      </c>
      <c r="D548">
        <f t="shared" si="144"/>
        <v>1</v>
      </c>
      <c r="E548" t="str">
        <f t="shared" si="139"/>
        <v>PK</v>
      </c>
      <c r="F548">
        <f t="shared" si="140"/>
        <v>5</v>
      </c>
      <c r="G548">
        <f t="shared" si="141"/>
        <v>0</v>
      </c>
      <c r="H548">
        <f t="shared" si="142"/>
        <v>0</v>
      </c>
      <c r="I548">
        <f t="shared" si="145"/>
        <v>1</v>
      </c>
      <c r="J548">
        <f t="shared" si="146"/>
        <v>0</v>
      </c>
      <c r="K548">
        <f t="shared" si="143"/>
        <v>5</v>
      </c>
      <c r="L548" s="179">
        <f>'Aztec Metered Load'!C552</f>
        <v>4.3490000000000002</v>
      </c>
    </row>
    <row r="549" spans="1:12" x14ac:dyDescent="0.3">
      <c r="A549" s="19">
        <f t="shared" si="147"/>
        <v>45770</v>
      </c>
      <c r="B549">
        <f t="shared" si="148"/>
        <v>19</v>
      </c>
      <c r="C549" s="16">
        <f>IFERROR(MATCH(A550,NERCHolidays!$B$2:$B$121,0),0)</f>
        <v>0</v>
      </c>
      <c r="D549">
        <f t="shared" si="144"/>
        <v>1</v>
      </c>
      <c r="E549" t="str">
        <f t="shared" si="139"/>
        <v>PK</v>
      </c>
      <c r="F549">
        <f t="shared" si="140"/>
        <v>5</v>
      </c>
      <c r="G549">
        <f t="shared" si="141"/>
        <v>1</v>
      </c>
      <c r="H549">
        <f t="shared" si="142"/>
        <v>0</v>
      </c>
      <c r="I549">
        <f t="shared" si="145"/>
        <v>1</v>
      </c>
      <c r="J549">
        <f t="shared" si="146"/>
        <v>0</v>
      </c>
      <c r="K549">
        <f t="shared" si="143"/>
        <v>6</v>
      </c>
      <c r="L549" s="179">
        <f>'Aztec Metered Load'!C553</f>
        <v>4.3280000000000003</v>
      </c>
    </row>
    <row r="550" spans="1:12" x14ac:dyDescent="0.3">
      <c r="A550" s="19">
        <f t="shared" si="147"/>
        <v>45770</v>
      </c>
      <c r="B550">
        <f t="shared" si="148"/>
        <v>20</v>
      </c>
      <c r="C550" s="16">
        <f>IFERROR(MATCH(A551,NERCHolidays!$B$2:$B$121,0),0)</f>
        <v>0</v>
      </c>
      <c r="D550">
        <f t="shared" si="144"/>
        <v>1</v>
      </c>
      <c r="E550" t="str">
        <f t="shared" si="139"/>
        <v>PK</v>
      </c>
      <c r="F550">
        <f t="shared" si="140"/>
        <v>0</v>
      </c>
      <c r="G550">
        <f t="shared" si="141"/>
        <v>0</v>
      </c>
      <c r="H550">
        <f t="shared" si="142"/>
        <v>0</v>
      </c>
      <c r="I550">
        <f t="shared" si="145"/>
        <v>1</v>
      </c>
      <c r="J550">
        <f t="shared" si="146"/>
        <v>0</v>
      </c>
      <c r="K550">
        <f t="shared" si="143"/>
        <v>0</v>
      </c>
      <c r="L550" s="179">
        <f>'Aztec Metered Load'!C554</f>
        <v>4.5250000000000004</v>
      </c>
    </row>
    <row r="551" spans="1:12" x14ac:dyDescent="0.3">
      <c r="A551" s="19">
        <f t="shared" si="147"/>
        <v>45770</v>
      </c>
      <c r="B551">
        <f t="shared" si="148"/>
        <v>21</v>
      </c>
      <c r="C551" s="16">
        <f>IFERROR(MATCH(A552,NERCHolidays!$B$2:$B$121,0),0)</f>
        <v>0</v>
      </c>
      <c r="D551">
        <f t="shared" si="144"/>
        <v>1</v>
      </c>
      <c r="E551" t="str">
        <f t="shared" si="139"/>
        <v>PK</v>
      </c>
      <c r="F551">
        <f t="shared" si="140"/>
        <v>10</v>
      </c>
      <c r="G551">
        <f t="shared" si="141"/>
        <v>1</v>
      </c>
      <c r="H551">
        <f t="shared" si="142"/>
        <v>0</v>
      </c>
      <c r="I551">
        <f t="shared" si="145"/>
        <v>1</v>
      </c>
      <c r="J551">
        <f t="shared" si="146"/>
        <v>0</v>
      </c>
      <c r="K551">
        <f t="shared" si="143"/>
        <v>11</v>
      </c>
      <c r="L551" s="179">
        <f>'Aztec Metered Load'!C555</f>
        <v>4.1840000000000002</v>
      </c>
    </row>
    <row r="552" spans="1:12" x14ac:dyDescent="0.3">
      <c r="A552" s="19">
        <f t="shared" si="147"/>
        <v>45770</v>
      </c>
      <c r="B552">
        <f t="shared" si="148"/>
        <v>22</v>
      </c>
      <c r="C552" s="16">
        <f>IFERROR(MATCH(A553,NERCHolidays!$B$2:$B$121,0),0)</f>
        <v>0</v>
      </c>
      <c r="D552">
        <f t="shared" si="144"/>
        <v>1</v>
      </c>
      <c r="E552" t="str">
        <f t="shared" si="139"/>
        <v>PK</v>
      </c>
      <c r="F552">
        <f t="shared" si="140"/>
        <v>5</v>
      </c>
      <c r="G552">
        <f t="shared" si="141"/>
        <v>1</v>
      </c>
      <c r="H552">
        <f t="shared" si="142"/>
        <v>0</v>
      </c>
      <c r="I552">
        <f t="shared" si="145"/>
        <v>1</v>
      </c>
      <c r="J552">
        <f t="shared" si="146"/>
        <v>0</v>
      </c>
      <c r="K552">
        <f t="shared" si="143"/>
        <v>6</v>
      </c>
      <c r="L552" s="179">
        <f>'Aztec Metered Load'!C556</f>
        <v>3.698</v>
      </c>
    </row>
    <row r="553" spans="1:12" x14ac:dyDescent="0.3">
      <c r="A553" s="19">
        <f t="shared" si="147"/>
        <v>45770</v>
      </c>
      <c r="B553">
        <f t="shared" si="148"/>
        <v>23</v>
      </c>
      <c r="C553" s="16">
        <f>IFERROR(MATCH(A554,NERCHolidays!$B$2:$B$121,0),0)</f>
        <v>0</v>
      </c>
      <c r="D553">
        <f t="shared" si="144"/>
        <v>1</v>
      </c>
      <c r="E553" t="str">
        <f t="shared" si="139"/>
        <v>PK</v>
      </c>
      <c r="F553">
        <f t="shared" si="140"/>
        <v>5</v>
      </c>
      <c r="G553">
        <f t="shared" si="141"/>
        <v>1</v>
      </c>
      <c r="H553">
        <f t="shared" si="142"/>
        <v>0</v>
      </c>
      <c r="I553">
        <f t="shared" si="145"/>
        <v>1</v>
      </c>
      <c r="J553">
        <f t="shared" si="146"/>
        <v>0</v>
      </c>
      <c r="K553">
        <f t="shared" si="143"/>
        <v>6</v>
      </c>
      <c r="L553" s="179">
        <f>'Aztec Metered Load'!C557</f>
        <v>3.3479999999999999</v>
      </c>
    </row>
    <row r="554" spans="1:12" x14ac:dyDescent="0.3">
      <c r="A554" s="19">
        <f t="shared" si="147"/>
        <v>45770</v>
      </c>
      <c r="B554">
        <f t="shared" si="148"/>
        <v>24</v>
      </c>
      <c r="C554" s="16">
        <f>IFERROR(MATCH(A555,NERCHolidays!$B$2:$B$121,0),0)</f>
        <v>0</v>
      </c>
      <c r="D554">
        <f t="shared" si="144"/>
        <v>0</v>
      </c>
      <c r="E554" t="str">
        <f t="shared" si="139"/>
        <v>OP</v>
      </c>
      <c r="F554">
        <f t="shared" si="140"/>
        <v>5</v>
      </c>
      <c r="G554">
        <f t="shared" si="141"/>
        <v>0</v>
      </c>
      <c r="H554">
        <f t="shared" si="142"/>
        <v>0</v>
      </c>
      <c r="I554">
        <f t="shared" si="145"/>
        <v>1</v>
      </c>
      <c r="J554">
        <f t="shared" si="146"/>
        <v>0</v>
      </c>
      <c r="K554">
        <f t="shared" si="143"/>
        <v>5</v>
      </c>
      <c r="L554" s="179">
        <f>'Aztec Metered Load'!C558</f>
        <v>3.1640000000000001</v>
      </c>
    </row>
    <row r="555" spans="1:12" x14ac:dyDescent="0.3">
      <c r="A555" s="19">
        <f t="shared" si="147"/>
        <v>45771</v>
      </c>
      <c r="B555">
        <f t="shared" si="148"/>
        <v>1</v>
      </c>
      <c r="C555" s="16">
        <f>IFERROR(MATCH(A556,NERCHolidays!$B$2:$B$121,0),0)</f>
        <v>0</v>
      </c>
      <c r="D555">
        <f t="shared" si="144"/>
        <v>0</v>
      </c>
      <c r="E555" t="str">
        <f t="shared" si="139"/>
        <v>OP</v>
      </c>
      <c r="F555">
        <f t="shared" si="140"/>
        <v>5</v>
      </c>
      <c r="G555">
        <f t="shared" si="141"/>
        <v>1</v>
      </c>
      <c r="H555">
        <f t="shared" si="142"/>
        <v>0</v>
      </c>
      <c r="I555">
        <f t="shared" si="145"/>
        <v>1</v>
      </c>
      <c r="J555">
        <f t="shared" si="146"/>
        <v>0</v>
      </c>
      <c r="K555">
        <f t="shared" si="143"/>
        <v>6</v>
      </c>
      <c r="L555" s="179">
        <f>'Aztec Metered Load'!C559</f>
        <v>3.1040000000000001</v>
      </c>
    </row>
    <row r="556" spans="1:12" x14ac:dyDescent="0.3">
      <c r="A556" s="19">
        <f t="shared" si="147"/>
        <v>45771</v>
      </c>
      <c r="B556">
        <f t="shared" si="148"/>
        <v>2</v>
      </c>
      <c r="C556" s="16">
        <f>IFERROR(MATCH(A557,NERCHolidays!$B$2:$B$121,0),0)</f>
        <v>0</v>
      </c>
      <c r="D556">
        <f t="shared" si="144"/>
        <v>0</v>
      </c>
      <c r="E556" t="str">
        <f t="shared" si="139"/>
        <v>OP</v>
      </c>
      <c r="F556">
        <f t="shared" si="140"/>
        <v>5</v>
      </c>
      <c r="G556">
        <f t="shared" si="141"/>
        <v>1</v>
      </c>
      <c r="H556">
        <f t="shared" si="142"/>
        <v>0</v>
      </c>
      <c r="I556">
        <f t="shared" si="145"/>
        <v>1</v>
      </c>
      <c r="J556">
        <f t="shared" si="146"/>
        <v>0</v>
      </c>
      <c r="K556">
        <f t="shared" si="143"/>
        <v>6</v>
      </c>
      <c r="L556" s="179">
        <f>'Aztec Metered Load'!C560</f>
        <v>3.1669999999999998</v>
      </c>
    </row>
    <row r="557" spans="1:12" x14ac:dyDescent="0.3">
      <c r="A557" s="19">
        <f t="shared" si="147"/>
        <v>45771</v>
      </c>
      <c r="B557">
        <f t="shared" si="148"/>
        <v>3</v>
      </c>
      <c r="C557" s="16">
        <f>IFERROR(MATCH(A558,NERCHolidays!$B$2:$B$121,0),0)</f>
        <v>0</v>
      </c>
      <c r="D557">
        <f t="shared" si="144"/>
        <v>0</v>
      </c>
      <c r="E557" t="str">
        <f t="shared" si="139"/>
        <v>OP</v>
      </c>
      <c r="F557">
        <f t="shared" si="140"/>
        <v>5</v>
      </c>
      <c r="G557">
        <f t="shared" si="141"/>
        <v>1</v>
      </c>
      <c r="H557">
        <f t="shared" si="142"/>
        <v>0</v>
      </c>
      <c r="I557">
        <f t="shared" si="145"/>
        <v>1</v>
      </c>
      <c r="J557">
        <f t="shared" si="146"/>
        <v>0</v>
      </c>
      <c r="K557">
        <f t="shared" si="143"/>
        <v>6</v>
      </c>
      <c r="L557" s="179">
        <f>'Aztec Metered Load'!C561</f>
        <v>3.2469999999999999</v>
      </c>
    </row>
    <row r="558" spans="1:12" x14ac:dyDescent="0.3">
      <c r="A558" s="19">
        <f t="shared" si="147"/>
        <v>45771</v>
      </c>
      <c r="B558">
        <f t="shared" si="148"/>
        <v>4</v>
      </c>
      <c r="C558" s="16">
        <f>IFERROR(MATCH(A559,NERCHolidays!$B$2:$B$121,0),0)</f>
        <v>0</v>
      </c>
      <c r="D558">
        <f t="shared" si="144"/>
        <v>0</v>
      </c>
      <c r="E558" t="str">
        <f t="shared" si="139"/>
        <v>OP</v>
      </c>
      <c r="F558">
        <f t="shared" si="140"/>
        <v>5</v>
      </c>
      <c r="G558">
        <f t="shared" si="141"/>
        <v>1</v>
      </c>
      <c r="H558">
        <f t="shared" si="142"/>
        <v>0</v>
      </c>
      <c r="I558">
        <f t="shared" si="145"/>
        <v>2</v>
      </c>
      <c r="J558">
        <f t="shared" si="146"/>
        <v>0</v>
      </c>
      <c r="K558">
        <f t="shared" si="143"/>
        <v>6</v>
      </c>
      <c r="L558" s="179">
        <f>'Aztec Metered Load'!C562</f>
        <v>3.4350000000000001</v>
      </c>
    </row>
    <row r="559" spans="1:12" x14ac:dyDescent="0.3">
      <c r="A559" s="19">
        <f t="shared" si="147"/>
        <v>45771</v>
      </c>
      <c r="B559">
        <f t="shared" si="148"/>
        <v>5</v>
      </c>
      <c r="C559" s="16">
        <f>IFERROR(MATCH(A560,NERCHolidays!$B$2:$B$121,0),0)</f>
        <v>0</v>
      </c>
      <c r="D559">
        <f t="shared" si="144"/>
        <v>0</v>
      </c>
      <c r="E559" t="str">
        <f t="shared" si="139"/>
        <v>OP</v>
      </c>
      <c r="F559">
        <f t="shared" si="140"/>
        <v>5</v>
      </c>
      <c r="G559">
        <f t="shared" si="141"/>
        <v>1</v>
      </c>
      <c r="H559">
        <f t="shared" si="142"/>
        <v>0</v>
      </c>
      <c r="I559">
        <f t="shared" si="145"/>
        <v>2</v>
      </c>
      <c r="J559">
        <f t="shared" si="146"/>
        <v>0</v>
      </c>
      <c r="K559">
        <f t="shared" si="143"/>
        <v>6</v>
      </c>
      <c r="L559" s="179">
        <f>'Aztec Metered Load'!C563</f>
        <v>3.7570000000000001</v>
      </c>
    </row>
    <row r="560" spans="1:12" x14ac:dyDescent="0.3">
      <c r="A560" s="19">
        <f t="shared" si="147"/>
        <v>45771</v>
      </c>
      <c r="B560">
        <f t="shared" si="148"/>
        <v>6</v>
      </c>
      <c r="C560" s="16">
        <f>IFERROR(MATCH(A561,NERCHolidays!$B$2:$B$121,0),0)</f>
        <v>0</v>
      </c>
      <c r="D560">
        <f t="shared" si="144"/>
        <v>0</v>
      </c>
      <c r="E560" t="str">
        <f t="shared" si="139"/>
        <v>OP</v>
      </c>
      <c r="F560">
        <f t="shared" si="140"/>
        <v>5</v>
      </c>
      <c r="G560">
        <f t="shared" si="141"/>
        <v>1</v>
      </c>
      <c r="H560">
        <f t="shared" si="142"/>
        <v>0</v>
      </c>
      <c r="I560">
        <f t="shared" si="145"/>
        <v>1</v>
      </c>
      <c r="J560">
        <f t="shared" si="146"/>
        <v>0</v>
      </c>
      <c r="K560">
        <f t="shared" si="143"/>
        <v>6</v>
      </c>
      <c r="L560" s="179">
        <f>'Aztec Metered Load'!C564</f>
        <v>4.0960000000000001</v>
      </c>
    </row>
    <row r="561" spans="1:12" x14ac:dyDescent="0.3">
      <c r="A561" s="19">
        <f t="shared" si="147"/>
        <v>45771</v>
      </c>
      <c r="B561">
        <f t="shared" si="148"/>
        <v>7</v>
      </c>
      <c r="C561" s="16">
        <f>IFERROR(MATCH(A562,NERCHolidays!$B$2:$B$121,0),0)</f>
        <v>0</v>
      </c>
      <c r="D561">
        <f t="shared" si="144"/>
        <v>0</v>
      </c>
      <c r="E561" t="str">
        <f t="shared" si="139"/>
        <v>OP</v>
      </c>
      <c r="F561">
        <f t="shared" si="140"/>
        <v>5</v>
      </c>
      <c r="G561">
        <f t="shared" si="141"/>
        <v>1</v>
      </c>
      <c r="H561">
        <f t="shared" si="142"/>
        <v>0</v>
      </c>
      <c r="I561">
        <f t="shared" si="145"/>
        <v>1</v>
      </c>
      <c r="J561">
        <f t="shared" si="146"/>
        <v>0</v>
      </c>
      <c r="K561">
        <f t="shared" si="143"/>
        <v>6</v>
      </c>
      <c r="L561" s="179">
        <f>'Aztec Metered Load'!C565</f>
        <v>4.319</v>
      </c>
    </row>
    <row r="562" spans="1:12" x14ac:dyDescent="0.3">
      <c r="A562" s="19">
        <f t="shared" si="147"/>
        <v>45771</v>
      </c>
      <c r="B562">
        <f t="shared" si="148"/>
        <v>8</v>
      </c>
      <c r="C562" s="16">
        <f>IFERROR(MATCH(A563,NERCHolidays!$B$2:$B$121,0),0)</f>
        <v>0</v>
      </c>
      <c r="D562">
        <f t="shared" si="144"/>
        <v>1</v>
      </c>
      <c r="E562" t="str">
        <f t="shared" si="139"/>
        <v>PK</v>
      </c>
      <c r="F562">
        <f t="shared" si="140"/>
        <v>5</v>
      </c>
      <c r="G562">
        <f t="shared" si="141"/>
        <v>1</v>
      </c>
      <c r="H562">
        <f t="shared" si="142"/>
        <v>0</v>
      </c>
      <c r="I562">
        <f t="shared" si="145"/>
        <v>1</v>
      </c>
      <c r="J562">
        <f t="shared" si="146"/>
        <v>0</v>
      </c>
      <c r="K562">
        <f t="shared" si="143"/>
        <v>6</v>
      </c>
      <c r="L562" s="179">
        <f>'Aztec Metered Load'!C566</f>
        <v>4.17</v>
      </c>
    </row>
    <row r="563" spans="1:12" x14ac:dyDescent="0.3">
      <c r="A563" s="19">
        <f t="shared" si="147"/>
        <v>45771</v>
      </c>
      <c r="B563">
        <f t="shared" si="148"/>
        <v>9</v>
      </c>
      <c r="C563" s="16">
        <f>IFERROR(MATCH(A564,NERCHolidays!$B$2:$B$121,0),0)</f>
        <v>0</v>
      </c>
      <c r="D563">
        <f t="shared" si="144"/>
        <v>1</v>
      </c>
      <c r="E563" t="str">
        <f t="shared" si="139"/>
        <v>PK</v>
      </c>
      <c r="F563">
        <f t="shared" si="140"/>
        <v>5</v>
      </c>
      <c r="G563">
        <f t="shared" si="141"/>
        <v>0</v>
      </c>
      <c r="H563">
        <f t="shared" si="142"/>
        <v>0</v>
      </c>
      <c r="I563">
        <f t="shared" si="145"/>
        <v>1</v>
      </c>
      <c r="J563">
        <f t="shared" si="146"/>
        <v>0</v>
      </c>
      <c r="K563">
        <f t="shared" si="143"/>
        <v>5</v>
      </c>
      <c r="L563" s="179">
        <f>'Aztec Metered Load'!C567</f>
        <v>3.952</v>
      </c>
    </row>
    <row r="564" spans="1:12" x14ac:dyDescent="0.3">
      <c r="A564" s="19">
        <f t="shared" si="147"/>
        <v>45771</v>
      </c>
      <c r="B564">
        <f t="shared" si="148"/>
        <v>10</v>
      </c>
      <c r="C564" s="16">
        <f>IFERROR(MATCH(A565,NERCHolidays!$B$2:$B$121,0),0)</f>
        <v>0</v>
      </c>
      <c r="D564">
        <f t="shared" si="144"/>
        <v>1</v>
      </c>
      <c r="E564" t="str">
        <f t="shared" si="139"/>
        <v>PK</v>
      </c>
      <c r="F564">
        <f t="shared" si="140"/>
        <v>5</v>
      </c>
      <c r="G564">
        <f t="shared" si="141"/>
        <v>0</v>
      </c>
      <c r="H564">
        <f t="shared" si="142"/>
        <v>0</v>
      </c>
      <c r="I564">
        <f t="shared" si="145"/>
        <v>1</v>
      </c>
      <c r="J564">
        <f t="shared" si="146"/>
        <v>0</v>
      </c>
      <c r="K564">
        <f t="shared" si="143"/>
        <v>5</v>
      </c>
      <c r="L564" s="179">
        <f>'Aztec Metered Load'!C568</f>
        <v>3.726</v>
      </c>
    </row>
    <row r="565" spans="1:12" x14ac:dyDescent="0.3">
      <c r="A565" s="19">
        <f t="shared" si="147"/>
        <v>45771</v>
      </c>
      <c r="B565">
        <f t="shared" si="148"/>
        <v>11</v>
      </c>
      <c r="C565" s="16">
        <f>IFERROR(MATCH(A566,NERCHolidays!$B$2:$B$121,0),0)</f>
        <v>0</v>
      </c>
      <c r="D565">
        <f t="shared" si="144"/>
        <v>1</v>
      </c>
      <c r="E565" t="str">
        <f t="shared" si="139"/>
        <v>PK</v>
      </c>
      <c r="F565">
        <f t="shared" si="140"/>
        <v>5</v>
      </c>
      <c r="G565">
        <f t="shared" si="141"/>
        <v>0</v>
      </c>
      <c r="H565">
        <f t="shared" si="142"/>
        <v>0</v>
      </c>
      <c r="I565">
        <f t="shared" si="145"/>
        <v>1</v>
      </c>
      <c r="J565">
        <f t="shared" si="146"/>
        <v>0</v>
      </c>
      <c r="K565">
        <f t="shared" si="143"/>
        <v>5</v>
      </c>
      <c r="L565" s="179">
        <f>'Aztec Metered Load'!C569</f>
        <v>3.7589999999999999</v>
      </c>
    </row>
    <row r="566" spans="1:12" x14ac:dyDescent="0.3">
      <c r="A566" s="19">
        <f t="shared" si="147"/>
        <v>45771</v>
      </c>
      <c r="B566">
        <f t="shared" si="148"/>
        <v>12</v>
      </c>
      <c r="C566" s="16">
        <f>IFERROR(MATCH(A567,NERCHolidays!$B$2:$B$121,0),0)</f>
        <v>0</v>
      </c>
      <c r="D566">
        <f t="shared" si="144"/>
        <v>1</v>
      </c>
      <c r="E566" t="str">
        <f t="shared" si="139"/>
        <v>PK</v>
      </c>
      <c r="F566">
        <f t="shared" si="140"/>
        <v>5</v>
      </c>
      <c r="G566">
        <f t="shared" si="141"/>
        <v>0</v>
      </c>
      <c r="H566">
        <f t="shared" si="142"/>
        <v>0</v>
      </c>
      <c r="I566">
        <f t="shared" si="145"/>
        <v>1</v>
      </c>
      <c r="J566">
        <f t="shared" si="146"/>
        <v>0</v>
      </c>
      <c r="K566">
        <f t="shared" si="143"/>
        <v>5</v>
      </c>
      <c r="L566" s="179">
        <f>'Aztec Metered Load'!C570</f>
        <v>3.7120000000000002</v>
      </c>
    </row>
    <row r="567" spans="1:12" x14ac:dyDescent="0.3">
      <c r="A567" s="19">
        <f t="shared" si="147"/>
        <v>45771</v>
      </c>
      <c r="B567">
        <f t="shared" si="148"/>
        <v>13</v>
      </c>
      <c r="C567" s="16">
        <f>IFERROR(MATCH(A568,NERCHolidays!$B$2:$B$121,0),0)</f>
        <v>0</v>
      </c>
      <c r="D567">
        <f t="shared" si="144"/>
        <v>1</v>
      </c>
      <c r="E567" t="str">
        <f t="shared" si="139"/>
        <v>PK</v>
      </c>
      <c r="F567">
        <f t="shared" si="140"/>
        <v>5</v>
      </c>
      <c r="G567">
        <f t="shared" si="141"/>
        <v>0</v>
      </c>
      <c r="H567">
        <f t="shared" si="142"/>
        <v>0</v>
      </c>
      <c r="I567">
        <f t="shared" si="145"/>
        <v>1</v>
      </c>
      <c r="J567">
        <f t="shared" si="146"/>
        <v>0</v>
      </c>
      <c r="K567">
        <f t="shared" si="143"/>
        <v>5</v>
      </c>
      <c r="L567" s="179">
        <f>'Aztec Metered Load'!C571</f>
        <v>3.8079999999999998</v>
      </c>
    </row>
    <row r="568" spans="1:12" x14ac:dyDescent="0.3">
      <c r="A568" s="19">
        <f t="shared" si="147"/>
        <v>45771</v>
      </c>
      <c r="B568">
        <f t="shared" si="148"/>
        <v>14</v>
      </c>
      <c r="C568" s="16">
        <f>IFERROR(MATCH(A569,NERCHolidays!$B$2:$B$121,0),0)</f>
        <v>0</v>
      </c>
      <c r="D568">
        <f t="shared" si="144"/>
        <v>1</v>
      </c>
      <c r="E568" t="str">
        <f t="shared" si="139"/>
        <v>PK</v>
      </c>
      <c r="F568">
        <f t="shared" si="140"/>
        <v>0</v>
      </c>
      <c r="G568">
        <f t="shared" si="141"/>
        <v>0</v>
      </c>
      <c r="H568">
        <f t="shared" si="142"/>
        <v>0</v>
      </c>
      <c r="I568">
        <f t="shared" si="145"/>
        <v>1</v>
      </c>
      <c r="J568">
        <f t="shared" si="146"/>
        <v>0</v>
      </c>
      <c r="K568">
        <f t="shared" si="143"/>
        <v>0</v>
      </c>
      <c r="L568" s="179">
        <f>'Aztec Metered Load'!C572</f>
        <v>3.6869999999999998</v>
      </c>
    </row>
    <row r="569" spans="1:12" x14ac:dyDescent="0.3">
      <c r="A569" s="19">
        <f t="shared" si="147"/>
        <v>45771</v>
      </c>
      <c r="B569">
        <f t="shared" si="148"/>
        <v>15</v>
      </c>
      <c r="C569" s="16">
        <f>IFERROR(MATCH(A570,NERCHolidays!$B$2:$B$121,0),0)</f>
        <v>0</v>
      </c>
      <c r="D569">
        <f t="shared" si="144"/>
        <v>1</v>
      </c>
      <c r="E569" t="str">
        <f t="shared" si="139"/>
        <v>PK</v>
      </c>
      <c r="F569">
        <f t="shared" si="140"/>
        <v>5</v>
      </c>
      <c r="G569">
        <f t="shared" si="141"/>
        <v>0</v>
      </c>
      <c r="H569">
        <f t="shared" si="142"/>
        <v>0</v>
      </c>
      <c r="I569">
        <f t="shared" si="145"/>
        <v>1</v>
      </c>
      <c r="J569">
        <f t="shared" si="146"/>
        <v>0</v>
      </c>
      <c r="K569">
        <f t="shared" si="143"/>
        <v>5</v>
      </c>
      <c r="L569" s="179">
        <f>'Aztec Metered Load'!C573</f>
        <v>3.9169999999999998</v>
      </c>
    </row>
    <row r="570" spans="1:12" x14ac:dyDescent="0.3">
      <c r="A570" s="19">
        <f t="shared" si="147"/>
        <v>45771</v>
      </c>
      <c r="B570">
        <f t="shared" si="148"/>
        <v>16</v>
      </c>
      <c r="C570" s="16">
        <f>IFERROR(MATCH(A571,NERCHolidays!$B$2:$B$121,0),0)</f>
        <v>0</v>
      </c>
      <c r="D570">
        <f t="shared" si="144"/>
        <v>1</v>
      </c>
      <c r="E570" t="str">
        <f t="shared" si="139"/>
        <v>PK</v>
      </c>
      <c r="F570">
        <f t="shared" si="140"/>
        <v>5</v>
      </c>
      <c r="G570">
        <f t="shared" si="141"/>
        <v>0</v>
      </c>
      <c r="H570">
        <f t="shared" si="142"/>
        <v>0</v>
      </c>
      <c r="I570">
        <f t="shared" si="145"/>
        <v>1</v>
      </c>
      <c r="J570">
        <f t="shared" si="146"/>
        <v>0</v>
      </c>
      <c r="K570">
        <f t="shared" si="143"/>
        <v>5</v>
      </c>
      <c r="L570" s="179">
        <f>'Aztec Metered Load'!C574</f>
        <v>4.0330000000000004</v>
      </c>
    </row>
    <row r="571" spans="1:12" x14ac:dyDescent="0.3">
      <c r="A571" s="19">
        <f t="shared" si="147"/>
        <v>45771</v>
      </c>
      <c r="B571">
        <f t="shared" si="148"/>
        <v>17</v>
      </c>
      <c r="C571" s="16">
        <f>IFERROR(MATCH(A572,NERCHolidays!$B$2:$B$121,0),0)</f>
        <v>0</v>
      </c>
      <c r="D571">
        <f t="shared" si="144"/>
        <v>1</v>
      </c>
      <c r="E571" t="str">
        <f t="shared" si="139"/>
        <v>PK</v>
      </c>
      <c r="F571">
        <f t="shared" si="140"/>
        <v>5</v>
      </c>
      <c r="G571">
        <f t="shared" si="141"/>
        <v>0</v>
      </c>
      <c r="H571">
        <f t="shared" si="142"/>
        <v>0</v>
      </c>
      <c r="I571">
        <f t="shared" si="145"/>
        <v>1</v>
      </c>
      <c r="J571">
        <f t="shared" si="146"/>
        <v>0</v>
      </c>
      <c r="K571">
        <f t="shared" si="143"/>
        <v>5</v>
      </c>
      <c r="L571" s="179">
        <f>'Aztec Metered Load'!C575</f>
        <v>4.0190000000000001</v>
      </c>
    </row>
    <row r="572" spans="1:12" x14ac:dyDescent="0.3">
      <c r="A572" s="19">
        <f t="shared" si="147"/>
        <v>45771</v>
      </c>
      <c r="B572">
        <f t="shared" si="148"/>
        <v>18</v>
      </c>
      <c r="C572" s="16">
        <f>IFERROR(MATCH(A573,NERCHolidays!$B$2:$B$121,0),0)</f>
        <v>0</v>
      </c>
      <c r="D572">
        <f t="shared" si="144"/>
        <v>1</v>
      </c>
      <c r="E572" t="str">
        <f t="shared" si="139"/>
        <v>PK</v>
      </c>
      <c r="F572">
        <f t="shared" si="140"/>
        <v>5</v>
      </c>
      <c r="G572">
        <f t="shared" si="141"/>
        <v>0</v>
      </c>
      <c r="H572">
        <f t="shared" si="142"/>
        <v>0</v>
      </c>
      <c r="I572">
        <f t="shared" si="145"/>
        <v>1</v>
      </c>
      <c r="J572">
        <f t="shared" si="146"/>
        <v>0</v>
      </c>
      <c r="K572">
        <f t="shared" si="143"/>
        <v>5</v>
      </c>
      <c r="L572" s="179">
        <f>'Aztec Metered Load'!C576</f>
        <v>4.1749999999999998</v>
      </c>
    </row>
    <row r="573" spans="1:12" x14ac:dyDescent="0.3">
      <c r="A573" s="19">
        <f t="shared" si="147"/>
        <v>45771</v>
      </c>
      <c r="B573">
        <f t="shared" si="148"/>
        <v>19</v>
      </c>
      <c r="C573" s="16">
        <f>IFERROR(MATCH(A574,NERCHolidays!$B$2:$B$121,0),0)</f>
        <v>0</v>
      </c>
      <c r="D573">
        <f t="shared" si="144"/>
        <v>1</v>
      </c>
      <c r="E573" t="str">
        <f t="shared" si="139"/>
        <v>PK</v>
      </c>
      <c r="F573">
        <f t="shared" si="140"/>
        <v>5</v>
      </c>
      <c r="G573">
        <f t="shared" si="141"/>
        <v>1</v>
      </c>
      <c r="H573">
        <f t="shared" si="142"/>
        <v>0</v>
      </c>
      <c r="I573">
        <f t="shared" si="145"/>
        <v>1</v>
      </c>
      <c r="J573">
        <f t="shared" si="146"/>
        <v>0</v>
      </c>
      <c r="K573">
        <f t="shared" si="143"/>
        <v>6</v>
      </c>
      <c r="L573" s="179">
        <f>'Aztec Metered Load'!C577</f>
        <v>4.335</v>
      </c>
    </row>
    <row r="574" spans="1:12" x14ac:dyDescent="0.3">
      <c r="A574" s="19">
        <f t="shared" si="147"/>
        <v>45771</v>
      </c>
      <c r="B574">
        <f t="shared" si="148"/>
        <v>20</v>
      </c>
      <c r="C574" s="16">
        <f>IFERROR(MATCH(A575,NERCHolidays!$B$2:$B$121,0),0)</f>
        <v>0</v>
      </c>
      <c r="D574">
        <f t="shared" si="144"/>
        <v>1</v>
      </c>
      <c r="E574" t="str">
        <f t="shared" si="139"/>
        <v>PK</v>
      </c>
      <c r="F574">
        <f t="shared" si="140"/>
        <v>5</v>
      </c>
      <c r="G574">
        <f t="shared" si="141"/>
        <v>1</v>
      </c>
      <c r="H574">
        <f t="shared" si="142"/>
        <v>0</v>
      </c>
      <c r="I574">
        <f t="shared" si="145"/>
        <v>1</v>
      </c>
      <c r="J574">
        <f t="shared" si="146"/>
        <v>0</v>
      </c>
      <c r="K574">
        <f t="shared" si="143"/>
        <v>6</v>
      </c>
      <c r="L574" s="179">
        <f>'Aztec Metered Load'!C578</f>
        <v>4.5149999999999997</v>
      </c>
    </row>
    <row r="575" spans="1:12" x14ac:dyDescent="0.3">
      <c r="A575" s="19">
        <f t="shared" si="147"/>
        <v>45771</v>
      </c>
      <c r="B575">
        <f t="shared" si="148"/>
        <v>21</v>
      </c>
      <c r="C575" s="16">
        <f>IFERROR(MATCH(A576,NERCHolidays!$B$2:$B$121,0),0)</f>
        <v>0</v>
      </c>
      <c r="D575">
        <f t="shared" si="144"/>
        <v>1</v>
      </c>
      <c r="E575" t="str">
        <f t="shared" si="139"/>
        <v>PK</v>
      </c>
      <c r="F575">
        <f t="shared" si="140"/>
        <v>5</v>
      </c>
      <c r="G575">
        <f t="shared" si="141"/>
        <v>1</v>
      </c>
      <c r="H575">
        <f t="shared" si="142"/>
        <v>0</v>
      </c>
      <c r="I575">
        <f t="shared" si="145"/>
        <v>1</v>
      </c>
      <c r="J575">
        <f t="shared" si="146"/>
        <v>0</v>
      </c>
      <c r="K575">
        <f t="shared" si="143"/>
        <v>6</v>
      </c>
      <c r="L575" s="179">
        <f>'Aztec Metered Load'!C579</f>
        <v>4.1609999999999996</v>
      </c>
    </row>
    <row r="576" spans="1:12" x14ac:dyDescent="0.3">
      <c r="A576" s="19">
        <f t="shared" si="147"/>
        <v>45771</v>
      </c>
      <c r="B576">
        <f t="shared" si="148"/>
        <v>22</v>
      </c>
      <c r="C576" s="16">
        <f>IFERROR(MATCH(A577,NERCHolidays!$B$2:$B$121,0),0)</f>
        <v>0</v>
      </c>
      <c r="D576">
        <f t="shared" si="144"/>
        <v>1</v>
      </c>
      <c r="E576" t="str">
        <f t="shared" si="139"/>
        <v>PK</v>
      </c>
      <c r="F576">
        <f t="shared" si="140"/>
        <v>5</v>
      </c>
      <c r="G576">
        <f t="shared" si="141"/>
        <v>1</v>
      </c>
      <c r="H576">
        <f t="shared" si="142"/>
        <v>0</v>
      </c>
      <c r="I576">
        <f t="shared" si="145"/>
        <v>1</v>
      </c>
      <c r="J576">
        <f t="shared" si="146"/>
        <v>0</v>
      </c>
      <c r="K576">
        <f t="shared" si="143"/>
        <v>6</v>
      </c>
      <c r="L576" s="179">
        <f>'Aztec Metered Load'!C580</f>
        <v>3.6480000000000001</v>
      </c>
    </row>
    <row r="577" spans="1:12" x14ac:dyDescent="0.3">
      <c r="A577" s="19">
        <f t="shared" si="147"/>
        <v>45771</v>
      </c>
      <c r="B577">
        <f t="shared" si="148"/>
        <v>23</v>
      </c>
      <c r="C577" s="16">
        <f>IFERROR(MATCH(A578,NERCHolidays!$B$2:$B$121,0),0)</f>
        <v>0</v>
      </c>
      <c r="D577">
        <f t="shared" si="144"/>
        <v>1</v>
      </c>
      <c r="E577" t="str">
        <f t="shared" si="139"/>
        <v>PK</v>
      </c>
      <c r="F577">
        <f t="shared" si="140"/>
        <v>5</v>
      </c>
      <c r="G577">
        <f t="shared" si="141"/>
        <v>1</v>
      </c>
      <c r="H577">
        <f t="shared" si="142"/>
        <v>0</v>
      </c>
      <c r="I577">
        <f t="shared" si="145"/>
        <v>1</v>
      </c>
      <c r="J577">
        <f t="shared" si="146"/>
        <v>0</v>
      </c>
      <c r="K577">
        <f t="shared" si="143"/>
        <v>6</v>
      </c>
      <c r="L577" s="179">
        <f>'Aztec Metered Load'!C581</f>
        <v>3.3660000000000001</v>
      </c>
    </row>
    <row r="578" spans="1:12" x14ac:dyDescent="0.3">
      <c r="A578" s="19">
        <f t="shared" si="147"/>
        <v>45771</v>
      </c>
      <c r="B578">
        <f t="shared" si="148"/>
        <v>24</v>
      </c>
      <c r="C578" s="16">
        <f>IFERROR(MATCH(A579,NERCHolidays!$B$2:$B$121,0),0)</f>
        <v>0</v>
      </c>
      <c r="D578">
        <f t="shared" si="144"/>
        <v>0</v>
      </c>
      <c r="E578" t="str">
        <f t="shared" si="139"/>
        <v>OP</v>
      </c>
      <c r="F578">
        <f t="shared" si="140"/>
        <v>5</v>
      </c>
      <c r="G578">
        <f t="shared" si="141"/>
        <v>0</v>
      </c>
      <c r="H578">
        <f t="shared" si="142"/>
        <v>0</v>
      </c>
      <c r="I578">
        <f t="shared" si="145"/>
        <v>1</v>
      </c>
      <c r="J578">
        <f t="shared" si="146"/>
        <v>0</v>
      </c>
      <c r="K578">
        <f t="shared" si="143"/>
        <v>5</v>
      </c>
      <c r="L578" s="179">
        <f>'Aztec Metered Load'!C582</f>
        <v>3.137</v>
      </c>
    </row>
    <row r="579" spans="1:12" x14ac:dyDescent="0.3">
      <c r="A579" s="19">
        <f t="shared" si="147"/>
        <v>45772</v>
      </c>
      <c r="B579">
        <f t="shared" si="148"/>
        <v>1</v>
      </c>
      <c r="C579" s="16">
        <f>IFERROR(MATCH(A580,NERCHolidays!$B$2:$B$121,0),0)</f>
        <v>0</v>
      </c>
      <c r="D579">
        <f t="shared" si="144"/>
        <v>0</v>
      </c>
      <c r="E579" t="str">
        <f t="shared" ref="E579:E642" si="149">IF(OR(WEEKDAY(A579)=1,C579&lt;&gt;0),"OP",IF(D579=0,"OP","PK"))</f>
        <v>OP</v>
      </c>
      <c r="F579">
        <f t="shared" ref="F579:F642" si="150">VLOOKUP(A579,$O$3:$AN$34,B579+2,FALSE)</f>
        <v>5</v>
      </c>
      <c r="G579">
        <f t="shared" ref="G579:G642" si="151">VLOOKUP(A579,$O$107:$AM$138,B579+1,FALSE)</f>
        <v>1</v>
      </c>
      <c r="H579">
        <f t="shared" ref="H579:H642" si="152">VLOOKUP(A579,$O$142:$AM$173,B579+1,FALSE)</f>
        <v>0</v>
      </c>
      <c r="I579">
        <f t="shared" si="145"/>
        <v>1</v>
      </c>
      <c r="J579">
        <f t="shared" si="146"/>
        <v>0</v>
      </c>
      <c r="K579">
        <f t="shared" ref="K579:K642" si="153">VLOOKUP(A579,$O$175:$AM$206,B579+1,FALSE)</f>
        <v>6</v>
      </c>
      <c r="L579" s="179">
        <f>'Aztec Metered Load'!C583</f>
        <v>3.032</v>
      </c>
    </row>
    <row r="580" spans="1:12" x14ac:dyDescent="0.3">
      <c r="A580" s="19">
        <f t="shared" si="147"/>
        <v>45772</v>
      </c>
      <c r="B580">
        <f t="shared" si="148"/>
        <v>2</v>
      </c>
      <c r="C580" s="16">
        <f>IFERROR(MATCH(A581,NERCHolidays!$B$2:$B$121,0),0)</f>
        <v>0</v>
      </c>
      <c r="D580">
        <f t="shared" ref="D580:D643" si="154">IF(AND(B580&gt;=8,B580&lt;=23),1,0)</f>
        <v>0</v>
      </c>
      <c r="E580" t="str">
        <f t="shared" si="149"/>
        <v>OP</v>
      </c>
      <c r="F580">
        <f t="shared" si="150"/>
        <v>5</v>
      </c>
      <c r="G580">
        <f t="shared" si="151"/>
        <v>1</v>
      </c>
      <c r="H580">
        <f t="shared" si="152"/>
        <v>0</v>
      </c>
      <c r="I580">
        <f t="shared" ref="I580:I643" si="155">VLOOKUP(A580,$O$40:$AN$70,B580+2,FALSE)</f>
        <v>1</v>
      </c>
      <c r="J580">
        <f t="shared" ref="J580:J643" si="156">VLOOKUP(A580,$O$73:$AN$104,B580+2,FALSE)</f>
        <v>0</v>
      </c>
      <c r="K580">
        <f t="shared" si="153"/>
        <v>6</v>
      </c>
      <c r="L580" s="179">
        <f>'Aztec Metered Load'!C584</f>
        <v>3.0390000000000001</v>
      </c>
    </row>
    <row r="581" spans="1:12" x14ac:dyDescent="0.3">
      <c r="A581" s="19">
        <f t="shared" ref="A581:A644" si="157">IF(B580=24,A580+1,A580)</f>
        <v>45772</v>
      </c>
      <c r="B581">
        <f t="shared" ref="B581:B644" si="158">IF(B580=24,1,B580+1)</f>
        <v>3</v>
      </c>
      <c r="C581" s="16">
        <f>IFERROR(MATCH(A582,NERCHolidays!$B$2:$B$121,0),0)</f>
        <v>0</v>
      </c>
      <c r="D581">
        <f t="shared" si="154"/>
        <v>0</v>
      </c>
      <c r="E581" t="str">
        <f t="shared" si="149"/>
        <v>OP</v>
      </c>
      <c r="F581">
        <f t="shared" si="150"/>
        <v>5</v>
      </c>
      <c r="G581">
        <f t="shared" si="151"/>
        <v>1</v>
      </c>
      <c r="H581">
        <f t="shared" si="152"/>
        <v>0</v>
      </c>
      <c r="I581">
        <f t="shared" si="155"/>
        <v>1</v>
      </c>
      <c r="J581">
        <f t="shared" si="156"/>
        <v>0</v>
      </c>
      <c r="K581">
        <f t="shared" si="153"/>
        <v>6</v>
      </c>
      <c r="L581" s="179">
        <f>'Aztec Metered Load'!C585</f>
        <v>3.1110000000000002</v>
      </c>
    </row>
    <row r="582" spans="1:12" x14ac:dyDescent="0.3">
      <c r="A582" s="19">
        <f t="shared" si="157"/>
        <v>45772</v>
      </c>
      <c r="B582">
        <f t="shared" si="158"/>
        <v>4</v>
      </c>
      <c r="C582" s="16">
        <f>IFERROR(MATCH(A583,NERCHolidays!$B$2:$B$121,0),0)</f>
        <v>0</v>
      </c>
      <c r="D582">
        <f t="shared" si="154"/>
        <v>0</v>
      </c>
      <c r="E582" t="str">
        <f t="shared" si="149"/>
        <v>OP</v>
      </c>
      <c r="F582">
        <f t="shared" si="150"/>
        <v>5</v>
      </c>
      <c r="G582">
        <f t="shared" si="151"/>
        <v>1</v>
      </c>
      <c r="H582">
        <f t="shared" si="152"/>
        <v>0</v>
      </c>
      <c r="I582">
        <f t="shared" si="155"/>
        <v>2</v>
      </c>
      <c r="J582">
        <f t="shared" si="156"/>
        <v>0</v>
      </c>
      <c r="K582">
        <f t="shared" si="153"/>
        <v>6</v>
      </c>
      <c r="L582" s="179">
        <f>'Aztec Metered Load'!C586</f>
        <v>3.3220000000000001</v>
      </c>
    </row>
    <row r="583" spans="1:12" x14ac:dyDescent="0.3">
      <c r="A583" s="19">
        <f t="shared" si="157"/>
        <v>45772</v>
      </c>
      <c r="B583">
        <f t="shared" si="158"/>
        <v>5</v>
      </c>
      <c r="C583" s="16">
        <f>IFERROR(MATCH(A584,NERCHolidays!$B$2:$B$121,0),0)</f>
        <v>0</v>
      </c>
      <c r="D583">
        <f t="shared" si="154"/>
        <v>0</v>
      </c>
      <c r="E583" t="str">
        <f t="shared" si="149"/>
        <v>OP</v>
      </c>
      <c r="F583">
        <f t="shared" si="150"/>
        <v>5</v>
      </c>
      <c r="G583">
        <f t="shared" si="151"/>
        <v>1</v>
      </c>
      <c r="H583">
        <f t="shared" si="152"/>
        <v>0</v>
      </c>
      <c r="I583">
        <f t="shared" si="155"/>
        <v>2</v>
      </c>
      <c r="J583">
        <f t="shared" si="156"/>
        <v>0</v>
      </c>
      <c r="K583">
        <f t="shared" si="153"/>
        <v>6</v>
      </c>
      <c r="L583" s="179">
        <f>'Aztec Metered Load'!C587</f>
        <v>3.544</v>
      </c>
    </row>
    <row r="584" spans="1:12" x14ac:dyDescent="0.3">
      <c r="A584" s="19">
        <f t="shared" si="157"/>
        <v>45772</v>
      </c>
      <c r="B584">
        <f t="shared" si="158"/>
        <v>6</v>
      </c>
      <c r="C584" s="16">
        <f>IFERROR(MATCH(A585,NERCHolidays!$B$2:$B$121,0),0)</f>
        <v>0</v>
      </c>
      <c r="D584">
        <f t="shared" si="154"/>
        <v>0</v>
      </c>
      <c r="E584" t="str">
        <f t="shared" si="149"/>
        <v>OP</v>
      </c>
      <c r="F584">
        <f t="shared" si="150"/>
        <v>5</v>
      </c>
      <c r="G584">
        <f t="shared" si="151"/>
        <v>1</v>
      </c>
      <c r="H584">
        <f t="shared" si="152"/>
        <v>0</v>
      </c>
      <c r="I584">
        <f t="shared" si="155"/>
        <v>1</v>
      </c>
      <c r="J584">
        <f t="shared" si="156"/>
        <v>0</v>
      </c>
      <c r="K584">
        <f t="shared" si="153"/>
        <v>6</v>
      </c>
      <c r="L584" s="179">
        <f>'Aztec Metered Load'!C588</f>
        <v>4.0019999999999998</v>
      </c>
    </row>
    <row r="585" spans="1:12" x14ac:dyDescent="0.3">
      <c r="A585" s="19">
        <f t="shared" si="157"/>
        <v>45772</v>
      </c>
      <c r="B585">
        <f t="shared" si="158"/>
        <v>7</v>
      </c>
      <c r="C585" s="16">
        <f>IFERROR(MATCH(A586,NERCHolidays!$B$2:$B$121,0),0)</f>
        <v>0</v>
      </c>
      <c r="D585">
        <f t="shared" si="154"/>
        <v>0</v>
      </c>
      <c r="E585" t="str">
        <f t="shared" si="149"/>
        <v>OP</v>
      </c>
      <c r="F585">
        <f t="shared" si="150"/>
        <v>5</v>
      </c>
      <c r="G585">
        <f t="shared" si="151"/>
        <v>1</v>
      </c>
      <c r="H585">
        <f t="shared" si="152"/>
        <v>0</v>
      </c>
      <c r="I585">
        <f t="shared" si="155"/>
        <v>1</v>
      </c>
      <c r="J585">
        <f t="shared" si="156"/>
        <v>0</v>
      </c>
      <c r="K585">
        <f t="shared" si="153"/>
        <v>6</v>
      </c>
      <c r="L585" s="179">
        <f>'Aztec Metered Load'!C589</f>
        <v>4.2190000000000003</v>
      </c>
    </row>
    <row r="586" spans="1:12" x14ac:dyDescent="0.3">
      <c r="A586" s="19">
        <f t="shared" si="157"/>
        <v>45772</v>
      </c>
      <c r="B586">
        <f t="shared" si="158"/>
        <v>8</v>
      </c>
      <c r="C586" s="16">
        <f>IFERROR(MATCH(A587,NERCHolidays!$B$2:$B$121,0),0)</f>
        <v>0</v>
      </c>
      <c r="D586">
        <f t="shared" si="154"/>
        <v>1</v>
      </c>
      <c r="E586" t="str">
        <f t="shared" si="149"/>
        <v>PK</v>
      </c>
      <c r="F586">
        <f t="shared" si="150"/>
        <v>5</v>
      </c>
      <c r="G586">
        <f t="shared" si="151"/>
        <v>1</v>
      </c>
      <c r="H586">
        <f t="shared" si="152"/>
        <v>0</v>
      </c>
      <c r="I586">
        <f t="shared" si="155"/>
        <v>1</v>
      </c>
      <c r="J586">
        <f t="shared" si="156"/>
        <v>0</v>
      </c>
      <c r="K586">
        <f t="shared" si="153"/>
        <v>6</v>
      </c>
      <c r="L586" s="179">
        <f>'Aztec Metered Load'!C590</f>
        <v>4.2489999999999997</v>
      </c>
    </row>
    <row r="587" spans="1:12" x14ac:dyDescent="0.3">
      <c r="A587" s="19">
        <f t="shared" si="157"/>
        <v>45772</v>
      </c>
      <c r="B587">
        <f t="shared" si="158"/>
        <v>9</v>
      </c>
      <c r="C587" s="16">
        <f>IFERROR(MATCH(A588,NERCHolidays!$B$2:$B$121,0),0)</f>
        <v>0</v>
      </c>
      <c r="D587">
        <f t="shared" si="154"/>
        <v>1</v>
      </c>
      <c r="E587" t="str">
        <f t="shared" si="149"/>
        <v>PK</v>
      </c>
      <c r="F587">
        <f t="shared" si="150"/>
        <v>5</v>
      </c>
      <c r="G587">
        <f t="shared" si="151"/>
        <v>0</v>
      </c>
      <c r="H587">
        <f t="shared" si="152"/>
        <v>0</v>
      </c>
      <c r="I587">
        <f t="shared" si="155"/>
        <v>1</v>
      </c>
      <c r="J587">
        <f t="shared" si="156"/>
        <v>0</v>
      </c>
      <c r="K587">
        <f t="shared" si="153"/>
        <v>5</v>
      </c>
      <c r="L587" s="179">
        <f>'Aztec Metered Load'!C591</f>
        <v>4.0220000000000002</v>
      </c>
    </row>
    <row r="588" spans="1:12" x14ac:dyDescent="0.3">
      <c r="A588" s="19">
        <f t="shared" si="157"/>
        <v>45772</v>
      </c>
      <c r="B588">
        <f t="shared" si="158"/>
        <v>10</v>
      </c>
      <c r="C588" s="16">
        <f>IFERROR(MATCH(A589,NERCHolidays!$B$2:$B$121,0),0)</f>
        <v>0</v>
      </c>
      <c r="D588">
        <f t="shared" si="154"/>
        <v>1</v>
      </c>
      <c r="E588" t="str">
        <f t="shared" si="149"/>
        <v>PK</v>
      </c>
      <c r="F588">
        <f t="shared" si="150"/>
        <v>5</v>
      </c>
      <c r="G588">
        <f t="shared" si="151"/>
        <v>0</v>
      </c>
      <c r="H588">
        <f t="shared" si="152"/>
        <v>0</v>
      </c>
      <c r="I588">
        <f t="shared" si="155"/>
        <v>1</v>
      </c>
      <c r="J588">
        <f t="shared" si="156"/>
        <v>0</v>
      </c>
      <c r="K588">
        <f t="shared" si="153"/>
        <v>5</v>
      </c>
      <c r="L588" s="179">
        <f>'Aztec Metered Load'!C592</f>
        <v>3.7770000000000001</v>
      </c>
    </row>
    <row r="589" spans="1:12" x14ac:dyDescent="0.3">
      <c r="A589" s="19">
        <f t="shared" si="157"/>
        <v>45772</v>
      </c>
      <c r="B589">
        <f t="shared" si="158"/>
        <v>11</v>
      </c>
      <c r="C589" s="16">
        <f>IFERROR(MATCH(A590,NERCHolidays!$B$2:$B$121,0),0)</f>
        <v>0</v>
      </c>
      <c r="D589">
        <f t="shared" si="154"/>
        <v>1</v>
      </c>
      <c r="E589" t="str">
        <f t="shared" si="149"/>
        <v>PK</v>
      </c>
      <c r="F589">
        <f t="shared" si="150"/>
        <v>5</v>
      </c>
      <c r="G589">
        <f t="shared" si="151"/>
        <v>0</v>
      </c>
      <c r="H589">
        <f t="shared" si="152"/>
        <v>0</v>
      </c>
      <c r="I589">
        <f t="shared" si="155"/>
        <v>1</v>
      </c>
      <c r="J589">
        <f t="shared" si="156"/>
        <v>0</v>
      </c>
      <c r="K589">
        <f t="shared" si="153"/>
        <v>5</v>
      </c>
      <c r="L589" s="179">
        <f>'Aztec Metered Load'!C593</f>
        <v>3.5920000000000001</v>
      </c>
    </row>
    <row r="590" spans="1:12" x14ac:dyDescent="0.3">
      <c r="A590" s="19">
        <f t="shared" si="157"/>
        <v>45772</v>
      </c>
      <c r="B590">
        <f t="shared" si="158"/>
        <v>12</v>
      </c>
      <c r="C590" s="16">
        <f>IFERROR(MATCH(A591,NERCHolidays!$B$2:$B$121,0),0)</f>
        <v>0</v>
      </c>
      <c r="D590">
        <f t="shared" si="154"/>
        <v>1</v>
      </c>
      <c r="E590" t="str">
        <f t="shared" si="149"/>
        <v>PK</v>
      </c>
      <c r="F590">
        <f t="shared" si="150"/>
        <v>5</v>
      </c>
      <c r="G590">
        <f t="shared" si="151"/>
        <v>0</v>
      </c>
      <c r="H590">
        <f t="shared" si="152"/>
        <v>0</v>
      </c>
      <c r="I590">
        <f t="shared" si="155"/>
        <v>1</v>
      </c>
      <c r="J590">
        <f t="shared" si="156"/>
        <v>0</v>
      </c>
      <c r="K590">
        <f t="shared" si="153"/>
        <v>5</v>
      </c>
      <c r="L590" s="179">
        <f>'Aztec Metered Load'!C594</f>
        <v>3.54</v>
      </c>
    </row>
    <row r="591" spans="1:12" x14ac:dyDescent="0.3">
      <c r="A591" s="19">
        <f t="shared" si="157"/>
        <v>45772</v>
      </c>
      <c r="B591">
        <f t="shared" si="158"/>
        <v>13</v>
      </c>
      <c r="C591" s="16">
        <f>IFERROR(MATCH(A592,NERCHolidays!$B$2:$B$121,0),0)</f>
        <v>0</v>
      </c>
      <c r="D591">
        <f t="shared" si="154"/>
        <v>1</v>
      </c>
      <c r="E591" t="str">
        <f t="shared" si="149"/>
        <v>PK</v>
      </c>
      <c r="F591">
        <f t="shared" si="150"/>
        <v>5</v>
      </c>
      <c r="G591">
        <f t="shared" si="151"/>
        <v>0</v>
      </c>
      <c r="H591">
        <f t="shared" si="152"/>
        <v>0</v>
      </c>
      <c r="I591">
        <f t="shared" si="155"/>
        <v>1</v>
      </c>
      <c r="J591">
        <f t="shared" si="156"/>
        <v>0</v>
      </c>
      <c r="K591">
        <f t="shared" si="153"/>
        <v>5</v>
      </c>
      <c r="L591" s="179">
        <f>'Aztec Metered Load'!C595</f>
        <v>3.548</v>
      </c>
    </row>
    <row r="592" spans="1:12" x14ac:dyDescent="0.3">
      <c r="A592" s="19">
        <f t="shared" si="157"/>
        <v>45772</v>
      </c>
      <c r="B592">
        <f t="shared" si="158"/>
        <v>14</v>
      </c>
      <c r="C592" s="16">
        <f>IFERROR(MATCH(A593,NERCHolidays!$B$2:$B$121,0),0)</f>
        <v>0</v>
      </c>
      <c r="D592">
        <f t="shared" si="154"/>
        <v>1</v>
      </c>
      <c r="E592" t="str">
        <f t="shared" si="149"/>
        <v>PK</v>
      </c>
      <c r="F592">
        <f t="shared" si="150"/>
        <v>5</v>
      </c>
      <c r="G592">
        <f t="shared" si="151"/>
        <v>0</v>
      </c>
      <c r="H592">
        <f t="shared" si="152"/>
        <v>0</v>
      </c>
      <c r="I592">
        <f t="shared" si="155"/>
        <v>1</v>
      </c>
      <c r="J592">
        <f t="shared" si="156"/>
        <v>0</v>
      </c>
      <c r="K592">
        <f t="shared" si="153"/>
        <v>5</v>
      </c>
      <c r="L592" s="179">
        <f>'Aztec Metered Load'!C596</f>
        <v>3.6469999999999998</v>
      </c>
    </row>
    <row r="593" spans="1:12" x14ac:dyDescent="0.3">
      <c r="A593" s="19">
        <f t="shared" si="157"/>
        <v>45772</v>
      </c>
      <c r="B593">
        <f t="shared" si="158"/>
        <v>15</v>
      </c>
      <c r="C593" s="16">
        <f>IFERROR(MATCH(A594,NERCHolidays!$B$2:$B$121,0),0)</f>
        <v>0</v>
      </c>
      <c r="D593">
        <f t="shared" si="154"/>
        <v>1</v>
      </c>
      <c r="E593" t="str">
        <f t="shared" si="149"/>
        <v>PK</v>
      </c>
      <c r="F593">
        <f t="shared" si="150"/>
        <v>5</v>
      </c>
      <c r="G593">
        <f t="shared" si="151"/>
        <v>0</v>
      </c>
      <c r="H593">
        <f t="shared" si="152"/>
        <v>0</v>
      </c>
      <c r="I593">
        <f t="shared" si="155"/>
        <v>1</v>
      </c>
      <c r="J593">
        <f t="shared" si="156"/>
        <v>0</v>
      </c>
      <c r="K593">
        <f t="shared" si="153"/>
        <v>5</v>
      </c>
      <c r="L593" s="179">
        <f>'Aztec Metered Load'!C597</f>
        <v>3.6040000000000001</v>
      </c>
    </row>
    <row r="594" spans="1:12" x14ac:dyDescent="0.3">
      <c r="A594" s="19">
        <f t="shared" si="157"/>
        <v>45772</v>
      </c>
      <c r="B594">
        <f t="shared" si="158"/>
        <v>16</v>
      </c>
      <c r="C594" s="16">
        <f>IFERROR(MATCH(A595,NERCHolidays!$B$2:$B$121,0),0)</f>
        <v>0</v>
      </c>
      <c r="D594">
        <f t="shared" si="154"/>
        <v>1</v>
      </c>
      <c r="E594" t="str">
        <f t="shared" si="149"/>
        <v>PK</v>
      </c>
      <c r="F594">
        <f t="shared" si="150"/>
        <v>5</v>
      </c>
      <c r="G594">
        <f t="shared" si="151"/>
        <v>0</v>
      </c>
      <c r="H594">
        <f t="shared" si="152"/>
        <v>0</v>
      </c>
      <c r="I594">
        <f t="shared" si="155"/>
        <v>1</v>
      </c>
      <c r="J594">
        <f t="shared" si="156"/>
        <v>0</v>
      </c>
      <c r="K594">
        <f t="shared" si="153"/>
        <v>5</v>
      </c>
      <c r="L594" s="179">
        <f>'Aztec Metered Load'!C598</f>
        <v>3.7250000000000001</v>
      </c>
    </row>
    <row r="595" spans="1:12" x14ac:dyDescent="0.3">
      <c r="A595" s="19">
        <f t="shared" si="157"/>
        <v>45772</v>
      </c>
      <c r="B595">
        <f t="shared" si="158"/>
        <v>17</v>
      </c>
      <c r="C595" s="16">
        <f>IFERROR(MATCH(A596,NERCHolidays!$B$2:$B$121,0),0)</f>
        <v>0</v>
      </c>
      <c r="D595">
        <f t="shared" si="154"/>
        <v>1</v>
      </c>
      <c r="E595" t="str">
        <f t="shared" si="149"/>
        <v>PK</v>
      </c>
      <c r="F595">
        <f t="shared" si="150"/>
        <v>5</v>
      </c>
      <c r="G595">
        <f t="shared" si="151"/>
        <v>0</v>
      </c>
      <c r="H595">
        <f t="shared" si="152"/>
        <v>0</v>
      </c>
      <c r="I595">
        <f t="shared" si="155"/>
        <v>1</v>
      </c>
      <c r="J595">
        <f t="shared" si="156"/>
        <v>0</v>
      </c>
      <c r="K595">
        <f t="shared" si="153"/>
        <v>5</v>
      </c>
      <c r="L595" s="179">
        <f>'Aztec Metered Load'!C599</f>
        <v>3.887</v>
      </c>
    </row>
    <row r="596" spans="1:12" x14ac:dyDescent="0.3">
      <c r="A596" s="19">
        <f t="shared" si="157"/>
        <v>45772</v>
      </c>
      <c r="B596">
        <f t="shared" si="158"/>
        <v>18</v>
      </c>
      <c r="C596" s="16">
        <f>IFERROR(MATCH(A597,NERCHolidays!$B$2:$B$121,0),0)</f>
        <v>0</v>
      </c>
      <c r="D596">
        <f t="shared" si="154"/>
        <v>1</v>
      </c>
      <c r="E596" t="str">
        <f t="shared" si="149"/>
        <v>PK</v>
      </c>
      <c r="F596">
        <f t="shared" si="150"/>
        <v>5</v>
      </c>
      <c r="G596">
        <f t="shared" si="151"/>
        <v>0</v>
      </c>
      <c r="H596">
        <f t="shared" si="152"/>
        <v>0</v>
      </c>
      <c r="I596">
        <f t="shared" si="155"/>
        <v>1</v>
      </c>
      <c r="J596">
        <f t="shared" si="156"/>
        <v>0</v>
      </c>
      <c r="K596">
        <f t="shared" si="153"/>
        <v>5</v>
      </c>
      <c r="L596" s="179">
        <f>'Aztec Metered Load'!C600</f>
        <v>4.101</v>
      </c>
    </row>
    <row r="597" spans="1:12" x14ac:dyDescent="0.3">
      <c r="A597" s="19">
        <f t="shared" si="157"/>
        <v>45772</v>
      </c>
      <c r="B597">
        <f t="shared" si="158"/>
        <v>19</v>
      </c>
      <c r="C597" s="16">
        <f>IFERROR(MATCH(A598,NERCHolidays!$B$2:$B$121,0),0)</f>
        <v>0</v>
      </c>
      <c r="D597">
        <f t="shared" si="154"/>
        <v>1</v>
      </c>
      <c r="E597" t="str">
        <f t="shared" si="149"/>
        <v>PK</v>
      </c>
      <c r="F597">
        <f t="shared" si="150"/>
        <v>5</v>
      </c>
      <c r="G597">
        <f t="shared" si="151"/>
        <v>1</v>
      </c>
      <c r="H597">
        <f t="shared" si="152"/>
        <v>0</v>
      </c>
      <c r="I597">
        <f t="shared" si="155"/>
        <v>1</v>
      </c>
      <c r="J597">
        <f t="shared" si="156"/>
        <v>0</v>
      </c>
      <c r="K597">
        <f t="shared" si="153"/>
        <v>6</v>
      </c>
      <c r="L597" s="179">
        <f>'Aztec Metered Load'!C601</f>
        <v>4.1379999999999999</v>
      </c>
    </row>
    <row r="598" spans="1:12" x14ac:dyDescent="0.3">
      <c r="A598" s="19">
        <f t="shared" si="157"/>
        <v>45772</v>
      </c>
      <c r="B598">
        <f t="shared" si="158"/>
        <v>20</v>
      </c>
      <c r="C598" s="16">
        <f>IFERROR(MATCH(A599,NERCHolidays!$B$2:$B$121,0),0)</f>
        <v>0</v>
      </c>
      <c r="D598">
        <f t="shared" si="154"/>
        <v>1</v>
      </c>
      <c r="E598" t="str">
        <f t="shared" si="149"/>
        <v>PK</v>
      </c>
      <c r="F598">
        <f t="shared" si="150"/>
        <v>5</v>
      </c>
      <c r="G598">
        <f t="shared" si="151"/>
        <v>1</v>
      </c>
      <c r="H598">
        <f t="shared" si="152"/>
        <v>0</v>
      </c>
      <c r="I598">
        <f t="shared" si="155"/>
        <v>1</v>
      </c>
      <c r="J598">
        <f t="shared" si="156"/>
        <v>0</v>
      </c>
      <c r="K598">
        <f t="shared" si="153"/>
        <v>6</v>
      </c>
      <c r="L598" s="179">
        <f>'Aztec Metered Load'!C602</f>
        <v>4.3899999999999997</v>
      </c>
    </row>
    <row r="599" spans="1:12" x14ac:dyDescent="0.3">
      <c r="A599" s="19">
        <f t="shared" si="157"/>
        <v>45772</v>
      </c>
      <c r="B599">
        <f t="shared" si="158"/>
        <v>21</v>
      </c>
      <c r="C599" s="16">
        <f>IFERROR(MATCH(A600,NERCHolidays!$B$2:$B$121,0),0)</f>
        <v>0</v>
      </c>
      <c r="D599">
        <f t="shared" si="154"/>
        <v>1</v>
      </c>
      <c r="E599" t="str">
        <f t="shared" si="149"/>
        <v>PK</v>
      </c>
      <c r="F599">
        <f t="shared" si="150"/>
        <v>0</v>
      </c>
      <c r="G599">
        <f t="shared" si="151"/>
        <v>0</v>
      </c>
      <c r="H599">
        <f t="shared" si="152"/>
        <v>0</v>
      </c>
      <c r="I599">
        <f t="shared" si="155"/>
        <v>1</v>
      </c>
      <c r="J599">
        <f t="shared" si="156"/>
        <v>0</v>
      </c>
      <c r="K599">
        <f t="shared" si="153"/>
        <v>0</v>
      </c>
      <c r="L599" s="179">
        <f>'Aztec Metered Load'!C603</f>
        <v>4.0789999999999997</v>
      </c>
    </row>
    <row r="600" spans="1:12" x14ac:dyDescent="0.3">
      <c r="A600" s="19">
        <f t="shared" si="157"/>
        <v>45772</v>
      </c>
      <c r="B600">
        <f t="shared" si="158"/>
        <v>22</v>
      </c>
      <c r="C600" s="16">
        <f>IFERROR(MATCH(A601,NERCHolidays!$B$2:$B$121,0),0)</f>
        <v>0</v>
      </c>
      <c r="D600">
        <f t="shared" si="154"/>
        <v>1</v>
      </c>
      <c r="E600" t="str">
        <f t="shared" si="149"/>
        <v>PK</v>
      </c>
      <c r="F600">
        <f t="shared" si="150"/>
        <v>10</v>
      </c>
      <c r="G600">
        <f t="shared" si="151"/>
        <v>1</v>
      </c>
      <c r="H600">
        <f t="shared" si="152"/>
        <v>0</v>
      </c>
      <c r="I600">
        <f t="shared" si="155"/>
        <v>1</v>
      </c>
      <c r="J600">
        <f t="shared" si="156"/>
        <v>0</v>
      </c>
      <c r="K600">
        <f t="shared" si="153"/>
        <v>11</v>
      </c>
      <c r="L600" s="179">
        <f>'Aztec Metered Load'!C604</f>
        <v>3.702</v>
      </c>
    </row>
    <row r="601" spans="1:12" x14ac:dyDescent="0.3">
      <c r="A601" s="19">
        <f t="shared" si="157"/>
        <v>45772</v>
      </c>
      <c r="B601">
        <f t="shared" si="158"/>
        <v>23</v>
      </c>
      <c r="C601" s="16">
        <f>IFERROR(MATCH(A602,NERCHolidays!$B$2:$B$121,0),0)</f>
        <v>0</v>
      </c>
      <c r="D601">
        <f t="shared" si="154"/>
        <v>1</v>
      </c>
      <c r="E601" t="str">
        <f t="shared" si="149"/>
        <v>PK</v>
      </c>
      <c r="F601">
        <f t="shared" si="150"/>
        <v>5</v>
      </c>
      <c r="G601">
        <f t="shared" si="151"/>
        <v>1</v>
      </c>
      <c r="H601">
        <f t="shared" si="152"/>
        <v>0</v>
      </c>
      <c r="I601">
        <f t="shared" si="155"/>
        <v>1</v>
      </c>
      <c r="J601">
        <f t="shared" si="156"/>
        <v>0</v>
      </c>
      <c r="K601">
        <f t="shared" si="153"/>
        <v>6</v>
      </c>
      <c r="L601" s="179">
        <f>'Aztec Metered Load'!C605</f>
        <v>3.34</v>
      </c>
    </row>
    <row r="602" spans="1:12" x14ac:dyDescent="0.3">
      <c r="A602" s="19">
        <f t="shared" si="157"/>
        <v>45772</v>
      </c>
      <c r="B602">
        <f t="shared" si="158"/>
        <v>24</v>
      </c>
      <c r="C602" s="16">
        <f>IFERROR(MATCH(A603,NERCHolidays!$B$2:$B$121,0),0)</f>
        <v>0</v>
      </c>
      <c r="D602">
        <f t="shared" si="154"/>
        <v>0</v>
      </c>
      <c r="E602" t="str">
        <f t="shared" si="149"/>
        <v>OP</v>
      </c>
      <c r="F602">
        <f t="shared" si="150"/>
        <v>2</v>
      </c>
      <c r="G602">
        <f t="shared" si="151"/>
        <v>0</v>
      </c>
      <c r="H602">
        <f t="shared" si="152"/>
        <v>0</v>
      </c>
      <c r="I602">
        <f t="shared" si="155"/>
        <v>1</v>
      </c>
      <c r="J602">
        <f t="shared" si="156"/>
        <v>0</v>
      </c>
      <c r="K602">
        <f t="shared" si="153"/>
        <v>2</v>
      </c>
      <c r="L602" s="179">
        <f>'Aztec Metered Load'!C606</f>
        <v>3.1349999999999998</v>
      </c>
    </row>
    <row r="603" spans="1:12" x14ac:dyDescent="0.3">
      <c r="A603" s="19">
        <f t="shared" si="157"/>
        <v>45773</v>
      </c>
      <c r="B603">
        <f t="shared" si="158"/>
        <v>1</v>
      </c>
      <c r="C603" s="16">
        <f>IFERROR(MATCH(A604,NERCHolidays!$B$2:$B$121,0),0)</f>
        <v>0</v>
      </c>
      <c r="D603">
        <f t="shared" si="154"/>
        <v>0</v>
      </c>
      <c r="E603" t="str">
        <f t="shared" si="149"/>
        <v>OP</v>
      </c>
      <c r="F603">
        <f t="shared" si="150"/>
        <v>5</v>
      </c>
      <c r="G603">
        <f t="shared" si="151"/>
        <v>1</v>
      </c>
      <c r="H603">
        <f t="shared" si="152"/>
        <v>0</v>
      </c>
      <c r="I603">
        <f t="shared" si="155"/>
        <v>1</v>
      </c>
      <c r="J603">
        <f t="shared" si="156"/>
        <v>0</v>
      </c>
      <c r="K603">
        <f t="shared" si="153"/>
        <v>6</v>
      </c>
      <c r="L603" s="179">
        <f>'Aztec Metered Load'!C607</f>
        <v>3.0419999999999998</v>
      </c>
    </row>
    <row r="604" spans="1:12" x14ac:dyDescent="0.3">
      <c r="A604" s="19">
        <f t="shared" si="157"/>
        <v>45773</v>
      </c>
      <c r="B604">
        <f t="shared" si="158"/>
        <v>2</v>
      </c>
      <c r="C604" s="16">
        <f>IFERROR(MATCH(A605,NERCHolidays!$B$2:$B$121,0),0)</f>
        <v>0</v>
      </c>
      <c r="D604">
        <f t="shared" si="154"/>
        <v>0</v>
      </c>
      <c r="E604" t="str">
        <f t="shared" si="149"/>
        <v>OP</v>
      </c>
      <c r="F604">
        <f t="shared" si="150"/>
        <v>5</v>
      </c>
      <c r="G604">
        <f t="shared" si="151"/>
        <v>0</v>
      </c>
      <c r="H604">
        <f t="shared" si="152"/>
        <v>0</v>
      </c>
      <c r="I604">
        <f t="shared" si="155"/>
        <v>1</v>
      </c>
      <c r="J604">
        <f t="shared" si="156"/>
        <v>0</v>
      </c>
      <c r="K604">
        <f t="shared" si="153"/>
        <v>5</v>
      </c>
      <c r="L604" s="179">
        <f>'Aztec Metered Load'!C608</f>
        <v>3.0030000000000001</v>
      </c>
    </row>
    <row r="605" spans="1:12" x14ac:dyDescent="0.3">
      <c r="A605" s="19">
        <f t="shared" si="157"/>
        <v>45773</v>
      </c>
      <c r="B605">
        <f t="shared" si="158"/>
        <v>3</v>
      </c>
      <c r="C605" s="16">
        <f>IFERROR(MATCH(A606,NERCHolidays!$B$2:$B$121,0),0)</f>
        <v>0</v>
      </c>
      <c r="D605">
        <f t="shared" si="154"/>
        <v>0</v>
      </c>
      <c r="E605" t="str">
        <f t="shared" si="149"/>
        <v>OP</v>
      </c>
      <c r="F605">
        <f t="shared" si="150"/>
        <v>5</v>
      </c>
      <c r="G605">
        <f t="shared" si="151"/>
        <v>0</v>
      </c>
      <c r="H605">
        <f t="shared" si="152"/>
        <v>0</v>
      </c>
      <c r="I605">
        <f t="shared" si="155"/>
        <v>1</v>
      </c>
      <c r="J605">
        <f t="shared" si="156"/>
        <v>0</v>
      </c>
      <c r="K605">
        <f t="shared" si="153"/>
        <v>5</v>
      </c>
      <c r="L605" s="179">
        <f>'Aztec Metered Load'!C609</f>
        <v>3.0230000000000001</v>
      </c>
    </row>
    <row r="606" spans="1:12" x14ac:dyDescent="0.3">
      <c r="A606" s="19">
        <f t="shared" si="157"/>
        <v>45773</v>
      </c>
      <c r="B606">
        <f t="shared" si="158"/>
        <v>4</v>
      </c>
      <c r="C606" s="16">
        <f>IFERROR(MATCH(A607,NERCHolidays!$B$2:$B$121,0),0)</f>
        <v>0</v>
      </c>
      <c r="D606">
        <f t="shared" si="154"/>
        <v>0</v>
      </c>
      <c r="E606" t="str">
        <f t="shared" si="149"/>
        <v>OP</v>
      </c>
      <c r="F606">
        <f t="shared" si="150"/>
        <v>5</v>
      </c>
      <c r="G606">
        <f t="shared" si="151"/>
        <v>0</v>
      </c>
      <c r="H606">
        <f t="shared" si="152"/>
        <v>0</v>
      </c>
      <c r="I606">
        <f t="shared" si="155"/>
        <v>2</v>
      </c>
      <c r="J606">
        <f t="shared" si="156"/>
        <v>0</v>
      </c>
      <c r="K606">
        <f t="shared" si="153"/>
        <v>5</v>
      </c>
      <c r="L606" s="179">
        <f>'Aztec Metered Load'!C610</f>
        <v>3.0939999999999999</v>
      </c>
    </row>
    <row r="607" spans="1:12" x14ac:dyDescent="0.3">
      <c r="A607" s="19">
        <f t="shared" si="157"/>
        <v>45773</v>
      </c>
      <c r="B607">
        <f t="shared" si="158"/>
        <v>5</v>
      </c>
      <c r="C607" s="16">
        <f>IFERROR(MATCH(A608,NERCHolidays!$B$2:$B$121,0),0)</f>
        <v>0</v>
      </c>
      <c r="D607">
        <f t="shared" si="154"/>
        <v>0</v>
      </c>
      <c r="E607" t="str">
        <f t="shared" si="149"/>
        <v>OP</v>
      </c>
      <c r="F607">
        <f t="shared" si="150"/>
        <v>10</v>
      </c>
      <c r="G607">
        <f t="shared" si="151"/>
        <v>1</v>
      </c>
      <c r="H607">
        <f t="shared" si="152"/>
        <v>0</v>
      </c>
      <c r="I607">
        <f t="shared" si="155"/>
        <v>2</v>
      </c>
      <c r="J607">
        <f t="shared" si="156"/>
        <v>0</v>
      </c>
      <c r="K607">
        <f t="shared" si="153"/>
        <v>11</v>
      </c>
      <c r="L607" s="179">
        <f>'Aztec Metered Load'!C611</f>
        <v>3.2709999999999999</v>
      </c>
    </row>
    <row r="608" spans="1:12" x14ac:dyDescent="0.3">
      <c r="A608" s="19">
        <f t="shared" si="157"/>
        <v>45773</v>
      </c>
      <c r="B608">
        <f t="shared" si="158"/>
        <v>6</v>
      </c>
      <c r="C608" s="16">
        <f>IFERROR(MATCH(A609,NERCHolidays!$B$2:$B$121,0),0)</f>
        <v>0</v>
      </c>
      <c r="D608">
        <f t="shared" si="154"/>
        <v>0</v>
      </c>
      <c r="E608" t="str">
        <f t="shared" si="149"/>
        <v>OP</v>
      </c>
      <c r="F608">
        <f t="shared" si="150"/>
        <v>5</v>
      </c>
      <c r="G608">
        <f t="shared" si="151"/>
        <v>1</v>
      </c>
      <c r="H608">
        <f t="shared" si="152"/>
        <v>0</v>
      </c>
      <c r="I608">
        <f t="shared" si="155"/>
        <v>1</v>
      </c>
      <c r="J608">
        <f t="shared" si="156"/>
        <v>0</v>
      </c>
      <c r="K608">
        <f t="shared" si="153"/>
        <v>6</v>
      </c>
      <c r="L608" s="179">
        <f>'Aztec Metered Load'!C612</f>
        <v>3.4729999999999999</v>
      </c>
    </row>
    <row r="609" spans="1:12" x14ac:dyDescent="0.3">
      <c r="A609" s="19">
        <f t="shared" si="157"/>
        <v>45773</v>
      </c>
      <c r="B609">
        <f t="shared" si="158"/>
        <v>7</v>
      </c>
      <c r="C609" s="16">
        <f>IFERROR(MATCH(A610,NERCHolidays!$B$2:$B$121,0),0)</f>
        <v>0</v>
      </c>
      <c r="D609">
        <f t="shared" si="154"/>
        <v>0</v>
      </c>
      <c r="E609" t="str">
        <f t="shared" si="149"/>
        <v>OP</v>
      </c>
      <c r="F609">
        <f t="shared" si="150"/>
        <v>5</v>
      </c>
      <c r="G609">
        <f t="shared" si="151"/>
        <v>1</v>
      </c>
      <c r="H609">
        <f t="shared" si="152"/>
        <v>0</v>
      </c>
      <c r="I609">
        <f t="shared" si="155"/>
        <v>1</v>
      </c>
      <c r="J609">
        <f t="shared" si="156"/>
        <v>0</v>
      </c>
      <c r="K609">
        <f t="shared" si="153"/>
        <v>6</v>
      </c>
      <c r="L609" s="179">
        <f>'Aztec Metered Load'!C613</f>
        <v>3.532</v>
      </c>
    </row>
    <row r="610" spans="1:12" x14ac:dyDescent="0.3">
      <c r="A610" s="19">
        <f t="shared" si="157"/>
        <v>45773</v>
      </c>
      <c r="B610">
        <f t="shared" si="158"/>
        <v>8</v>
      </c>
      <c r="C610" s="16">
        <f>IFERROR(MATCH(A611,NERCHolidays!$B$2:$B$121,0),0)</f>
        <v>0</v>
      </c>
      <c r="D610">
        <f t="shared" si="154"/>
        <v>1</v>
      </c>
      <c r="E610" t="str">
        <f t="shared" si="149"/>
        <v>PK</v>
      </c>
      <c r="F610">
        <f t="shared" si="150"/>
        <v>5</v>
      </c>
      <c r="G610">
        <f t="shared" si="151"/>
        <v>1</v>
      </c>
      <c r="H610">
        <f t="shared" si="152"/>
        <v>0</v>
      </c>
      <c r="I610">
        <f t="shared" si="155"/>
        <v>1</v>
      </c>
      <c r="J610">
        <f t="shared" si="156"/>
        <v>0</v>
      </c>
      <c r="K610">
        <f t="shared" si="153"/>
        <v>6</v>
      </c>
      <c r="L610" s="179">
        <f>'Aztec Metered Load'!C614</f>
        <v>3.2989999999999999</v>
      </c>
    </row>
    <row r="611" spans="1:12" x14ac:dyDescent="0.3">
      <c r="A611" s="19">
        <f t="shared" si="157"/>
        <v>45773</v>
      </c>
      <c r="B611">
        <f t="shared" si="158"/>
        <v>9</v>
      </c>
      <c r="C611" s="16">
        <f>IFERROR(MATCH(A612,NERCHolidays!$B$2:$B$121,0),0)</f>
        <v>0</v>
      </c>
      <c r="D611">
        <f t="shared" si="154"/>
        <v>1</v>
      </c>
      <c r="E611" t="str">
        <f t="shared" si="149"/>
        <v>PK</v>
      </c>
      <c r="F611">
        <f t="shared" si="150"/>
        <v>5</v>
      </c>
      <c r="G611">
        <f t="shared" si="151"/>
        <v>0</v>
      </c>
      <c r="H611">
        <f t="shared" si="152"/>
        <v>0</v>
      </c>
      <c r="I611">
        <f t="shared" si="155"/>
        <v>1</v>
      </c>
      <c r="J611">
        <f t="shared" si="156"/>
        <v>0</v>
      </c>
      <c r="K611">
        <f t="shared" si="153"/>
        <v>5</v>
      </c>
      <c r="L611" s="179">
        <f>'Aztec Metered Load'!C615</f>
        <v>3.23</v>
      </c>
    </row>
    <row r="612" spans="1:12" x14ac:dyDescent="0.3">
      <c r="A612" s="19">
        <f t="shared" si="157"/>
        <v>45773</v>
      </c>
      <c r="B612">
        <f t="shared" si="158"/>
        <v>10</v>
      </c>
      <c r="C612" s="16">
        <f>IFERROR(MATCH(A613,NERCHolidays!$B$2:$B$121,0),0)</f>
        <v>0</v>
      </c>
      <c r="D612">
        <f t="shared" si="154"/>
        <v>1</v>
      </c>
      <c r="E612" t="str">
        <f t="shared" si="149"/>
        <v>PK</v>
      </c>
      <c r="F612">
        <f t="shared" si="150"/>
        <v>5</v>
      </c>
      <c r="G612">
        <f t="shared" si="151"/>
        <v>0</v>
      </c>
      <c r="H612">
        <f t="shared" si="152"/>
        <v>0</v>
      </c>
      <c r="I612">
        <f t="shared" si="155"/>
        <v>1</v>
      </c>
      <c r="J612">
        <f t="shared" si="156"/>
        <v>0</v>
      </c>
      <c r="K612">
        <f t="shared" si="153"/>
        <v>5</v>
      </c>
      <c r="L612" s="179">
        <f>'Aztec Metered Load'!C616</f>
        <v>3.2069999999999999</v>
      </c>
    </row>
    <row r="613" spans="1:12" x14ac:dyDescent="0.3">
      <c r="A613" s="19">
        <f t="shared" si="157"/>
        <v>45773</v>
      </c>
      <c r="B613">
        <f t="shared" si="158"/>
        <v>11</v>
      </c>
      <c r="C613" s="16">
        <f>IFERROR(MATCH(A614,NERCHolidays!$B$2:$B$121,0),0)</f>
        <v>0</v>
      </c>
      <c r="D613">
        <f t="shared" si="154"/>
        <v>1</v>
      </c>
      <c r="E613" t="str">
        <f t="shared" si="149"/>
        <v>PK</v>
      </c>
      <c r="F613">
        <f t="shared" si="150"/>
        <v>5</v>
      </c>
      <c r="G613">
        <f t="shared" si="151"/>
        <v>0</v>
      </c>
      <c r="H613">
        <f t="shared" si="152"/>
        <v>0</v>
      </c>
      <c r="I613">
        <f t="shared" si="155"/>
        <v>1</v>
      </c>
      <c r="J613">
        <f t="shared" si="156"/>
        <v>0</v>
      </c>
      <c r="K613">
        <f t="shared" si="153"/>
        <v>5</v>
      </c>
      <c r="L613" s="179">
        <f>'Aztec Metered Load'!C617</f>
        <v>2.976</v>
      </c>
    </row>
    <row r="614" spans="1:12" x14ac:dyDescent="0.3">
      <c r="A614" s="19">
        <f t="shared" si="157"/>
        <v>45773</v>
      </c>
      <c r="B614">
        <f t="shared" si="158"/>
        <v>12</v>
      </c>
      <c r="C614" s="16">
        <f>IFERROR(MATCH(A615,NERCHolidays!$B$2:$B$121,0),0)</f>
        <v>0</v>
      </c>
      <c r="D614">
        <f t="shared" si="154"/>
        <v>1</v>
      </c>
      <c r="E614" t="str">
        <f t="shared" si="149"/>
        <v>PK</v>
      </c>
      <c r="F614">
        <f t="shared" si="150"/>
        <v>5</v>
      </c>
      <c r="G614">
        <f t="shared" si="151"/>
        <v>0</v>
      </c>
      <c r="H614">
        <f t="shared" si="152"/>
        <v>0</v>
      </c>
      <c r="I614">
        <f t="shared" si="155"/>
        <v>1</v>
      </c>
      <c r="J614">
        <f t="shared" si="156"/>
        <v>0</v>
      </c>
      <c r="K614">
        <f t="shared" si="153"/>
        <v>5</v>
      </c>
      <c r="L614" s="179">
        <f>'Aztec Metered Load'!C618</f>
        <v>3.03</v>
      </c>
    </row>
    <row r="615" spans="1:12" x14ac:dyDescent="0.3">
      <c r="A615" s="19">
        <f t="shared" si="157"/>
        <v>45773</v>
      </c>
      <c r="B615">
        <f t="shared" si="158"/>
        <v>13</v>
      </c>
      <c r="C615" s="16">
        <f>IFERROR(MATCH(A616,NERCHolidays!$B$2:$B$121,0),0)</f>
        <v>0</v>
      </c>
      <c r="D615">
        <f t="shared" si="154"/>
        <v>1</v>
      </c>
      <c r="E615" t="str">
        <f t="shared" si="149"/>
        <v>PK</v>
      </c>
      <c r="F615">
        <f t="shared" si="150"/>
        <v>5</v>
      </c>
      <c r="G615">
        <f t="shared" si="151"/>
        <v>0</v>
      </c>
      <c r="H615">
        <f t="shared" si="152"/>
        <v>0</v>
      </c>
      <c r="I615">
        <f t="shared" si="155"/>
        <v>1</v>
      </c>
      <c r="J615">
        <f t="shared" si="156"/>
        <v>0</v>
      </c>
      <c r="K615">
        <f t="shared" si="153"/>
        <v>5</v>
      </c>
      <c r="L615" s="179">
        <f>'Aztec Metered Load'!C619</f>
        <v>3.1440000000000001</v>
      </c>
    </row>
    <row r="616" spans="1:12" x14ac:dyDescent="0.3">
      <c r="A616" s="19">
        <f t="shared" si="157"/>
        <v>45773</v>
      </c>
      <c r="B616">
        <f t="shared" si="158"/>
        <v>14</v>
      </c>
      <c r="C616" s="16">
        <f>IFERROR(MATCH(A617,NERCHolidays!$B$2:$B$121,0),0)</f>
        <v>0</v>
      </c>
      <c r="D616">
        <f t="shared" si="154"/>
        <v>1</v>
      </c>
      <c r="E616" t="str">
        <f t="shared" si="149"/>
        <v>PK</v>
      </c>
      <c r="F616">
        <f t="shared" si="150"/>
        <v>5</v>
      </c>
      <c r="G616">
        <f t="shared" si="151"/>
        <v>0</v>
      </c>
      <c r="H616">
        <f t="shared" si="152"/>
        <v>0</v>
      </c>
      <c r="I616">
        <f t="shared" si="155"/>
        <v>1</v>
      </c>
      <c r="J616">
        <f t="shared" si="156"/>
        <v>0</v>
      </c>
      <c r="K616">
        <f t="shared" si="153"/>
        <v>5</v>
      </c>
      <c r="L616" s="179">
        <f>'Aztec Metered Load'!C620</f>
        <v>3.246</v>
      </c>
    </row>
    <row r="617" spans="1:12" x14ac:dyDescent="0.3">
      <c r="A617" s="19">
        <f t="shared" si="157"/>
        <v>45773</v>
      </c>
      <c r="B617">
        <f t="shared" si="158"/>
        <v>15</v>
      </c>
      <c r="C617" s="16">
        <f>IFERROR(MATCH(A618,NERCHolidays!$B$2:$B$121,0),0)</f>
        <v>0</v>
      </c>
      <c r="D617">
        <f t="shared" si="154"/>
        <v>1</v>
      </c>
      <c r="E617" t="str">
        <f t="shared" si="149"/>
        <v>PK</v>
      </c>
      <c r="F617">
        <f t="shared" si="150"/>
        <v>5</v>
      </c>
      <c r="G617">
        <f t="shared" si="151"/>
        <v>0</v>
      </c>
      <c r="H617">
        <f t="shared" si="152"/>
        <v>0</v>
      </c>
      <c r="I617">
        <f t="shared" si="155"/>
        <v>1</v>
      </c>
      <c r="J617">
        <f t="shared" si="156"/>
        <v>0</v>
      </c>
      <c r="K617">
        <f t="shared" si="153"/>
        <v>5</v>
      </c>
      <c r="L617" s="179">
        <f>'Aztec Metered Load'!C621</f>
        <v>3.3130000000000002</v>
      </c>
    </row>
    <row r="618" spans="1:12" x14ac:dyDescent="0.3">
      <c r="A618" s="19">
        <f t="shared" si="157"/>
        <v>45773</v>
      </c>
      <c r="B618">
        <f t="shared" si="158"/>
        <v>16</v>
      </c>
      <c r="C618" s="16">
        <f>IFERROR(MATCH(A619,NERCHolidays!$B$2:$B$121,0),0)</f>
        <v>0</v>
      </c>
      <c r="D618">
        <f t="shared" si="154"/>
        <v>1</v>
      </c>
      <c r="E618" t="str">
        <f t="shared" si="149"/>
        <v>PK</v>
      </c>
      <c r="F618">
        <f t="shared" si="150"/>
        <v>5</v>
      </c>
      <c r="G618">
        <f t="shared" si="151"/>
        <v>0</v>
      </c>
      <c r="H618">
        <f t="shared" si="152"/>
        <v>0</v>
      </c>
      <c r="I618">
        <f t="shared" si="155"/>
        <v>1</v>
      </c>
      <c r="J618">
        <f t="shared" si="156"/>
        <v>0</v>
      </c>
      <c r="K618">
        <f t="shared" si="153"/>
        <v>5</v>
      </c>
      <c r="L618" s="179">
        <f>'Aztec Metered Load'!C622</f>
        <v>3.3639999999999999</v>
      </c>
    </row>
    <row r="619" spans="1:12" x14ac:dyDescent="0.3">
      <c r="A619" s="19">
        <f t="shared" si="157"/>
        <v>45773</v>
      </c>
      <c r="B619">
        <f t="shared" si="158"/>
        <v>17</v>
      </c>
      <c r="C619" s="16">
        <f>IFERROR(MATCH(A620,NERCHolidays!$B$2:$B$121,0),0)</f>
        <v>0</v>
      </c>
      <c r="D619">
        <f t="shared" si="154"/>
        <v>1</v>
      </c>
      <c r="E619" t="str">
        <f t="shared" si="149"/>
        <v>PK</v>
      </c>
      <c r="F619">
        <f t="shared" si="150"/>
        <v>5</v>
      </c>
      <c r="G619">
        <f t="shared" si="151"/>
        <v>0</v>
      </c>
      <c r="H619">
        <f t="shared" si="152"/>
        <v>0</v>
      </c>
      <c r="I619">
        <f t="shared" si="155"/>
        <v>1</v>
      </c>
      <c r="J619">
        <f t="shared" si="156"/>
        <v>0</v>
      </c>
      <c r="K619">
        <f t="shared" si="153"/>
        <v>5</v>
      </c>
      <c r="L619" s="179">
        <f>'Aztec Metered Load'!C623</f>
        <v>3.673</v>
      </c>
    </row>
    <row r="620" spans="1:12" x14ac:dyDescent="0.3">
      <c r="A620" s="19">
        <f t="shared" si="157"/>
        <v>45773</v>
      </c>
      <c r="B620">
        <f t="shared" si="158"/>
        <v>18</v>
      </c>
      <c r="C620" s="16">
        <f>IFERROR(MATCH(A621,NERCHolidays!$B$2:$B$121,0),0)</f>
        <v>0</v>
      </c>
      <c r="D620">
        <f t="shared" si="154"/>
        <v>1</v>
      </c>
      <c r="E620" t="str">
        <f t="shared" si="149"/>
        <v>PK</v>
      </c>
      <c r="F620">
        <f t="shared" si="150"/>
        <v>5</v>
      </c>
      <c r="G620">
        <f t="shared" si="151"/>
        <v>0</v>
      </c>
      <c r="H620">
        <f t="shared" si="152"/>
        <v>0</v>
      </c>
      <c r="I620">
        <f t="shared" si="155"/>
        <v>1</v>
      </c>
      <c r="J620">
        <f t="shared" si="156"/>
        <v>0</v>
      </c>
      <c r="K620">
        <f t="shared" si="153"/>
        <v>5</v>
      </c>
      <c r="L620" s="179">
        <f>'Aztec Metered Load'!C624</f>
        <v>4.0339999999999998</v>
      </c>
    </row>
    <row r="621" spans="1:12" x14ac:dyDescent="0.3">
      <c r="A621" s="19">
        <f t="shared" si="157"/>
        <v>45773</v>
      </c>
      <c r="B621">
        <f t="shared" si="158"/>
        <v>19</v>
      </c>
      <c r="C621" s="16">
        <f>IFERROR(MATCH(A622,NERCHolidays!$B$2:$B$121,0),0)</f>
        <v>0</v>
      </c>
      <c r="D621">
        <f t="shared" si="154"/>
        <v>1</v>
      </c>
      <c r="E621" t="str">
        <f t="shared" si="149"/>
        <v>PK</v>
      </c>
      <c r="F621">
        <f t="shared" si="150"/>
        <v>5</v>
      </c>
      <c r="G621">
        <f t="shared" si="151"/>
        <v>1</v>
      </c>
      <c r="H621">
        <f t="shared" si="152"/>
        <v>0</v>
      </c>
      <c r="I621">
        <f t="shared" si="155"/>
        <v>1</v>
      </c>
      <c r="J621">
        <f t="shared" si="156"/>
        <v>0</v>
      </c>
      <c r="K621">
        <f t="shared" si="153"/>
        <v>6</v>
      </c>
      <c r="L621" s="179">
        <f>'Aztec Metered Load'!C625</f>
        <v>4.1260000000000003</v>
      </c>
    </row>
    <row r="622" spans="1:12" x14ac:dyDescent="0.3">
      <c r="A622" s="19">
        <f t="shared" si="157"/>
        <v>45773</v>
      </c>
      <c r="B622">
        <f t="shared" si="158"/>
        <v>20</v>
      </c>
      <c r="C622" s="16">
        <f>IFERROR(MATCH(A623,NERCHolidays!$B$2:$B$121,0),0)</f>
        <v>0</v>
      </c>
      <c r="D622">
        <f t="shared" si="154"/>
        <v>1</v>
      </c>
      <c r="E622" t="str">
        <f t="shared" si="149"/>
        <v>PK</v>
      </c>
      <c r="F622">
        <f t="shared" si="150"/>
        <v>5</v>
      </c>
      <c r="G622">
        <f t="shared" si="151"/>
        <v>1</v>
      </c>
      <c r="H622">
        <f t="shared" si="152"/>
        <v>0</v>
      </c>
      <c r="I622">
        <f t="shared" si="155"/>
        <v>1</v>
      </c>
      <c r="J622">
        <f t="shared" si="156"/>
        <v>0</v>
      </c>
      <c r="K622">
        <f t="shared" si="153"/>
        <v>6</v>
      </c>
      <c r="L622" s="179">
        <f>'Aztec Metered Load'!C626</f>
        <v>4.2610000000000001</v>
      </c>
    </row>
    <row r="623" spans="1:12" x14ac:dyDescent="0.3">
      <c r="A623" s="19">
        <f t="shared" si="157"/>
        <v>45773</v>
      </c>
      <c r="B623">
        <f t="shared" si="158"/>
        <v>21</v>
      </c>
      <c r="C623" s="16">
        <f>IFERROR(MATCH(A624,NERCHolidays!$B$2:$B$121,0),0)</f>
        <v>0</v>
      </c>
      <c r="D623">
        <f t="shared" si="154"/>
        <v>1</v>
      </c>
      <c r="E623" t="str">
        <f t="shared" si="149"/>
        <v>PK</v>
      </c>
      <c r="F623">
        <f t="shared" si="150"/>
        <v>5</v>
      </c>
      <c r="G623">
        <f t="shared" si="151"/>
        <v>1</v>
      </c>
      <c r="H623">
        <f t="shared" si="152"/>
        <v>0</v>
      </c>
      <c r="I623">
        <f t="shared" si="155"/>
        <v>1</v>
      </c>
      <c r="J623">
        <f t="shared" si="156"/>
        <v>0</v>
      </c>
      <c r="K623">
        <f t="shared" si="153"/>
        <v>6</v>
      </c>
      <c r="L623" s="179">
        <f>'Aztec Metered Load'!C627</f>
        <v>4.0179999999999998</v>
      </c>
    </row>
    <row r="624" spans="1:12" x14ac:dyDescent="0.3">
      <c r="A624" s="19">
        <f t="shared" si="157"/>
        <v>45773</v>
      </c>
      <c r="B624">
        <f t="shared" si="158"/>
        <v>22</v>
      </c>
      <c r="C624" s="16">
        <f>IFERROR(MATCH(A625,NERCHolidays!$B$2:$B$121,0),0)</f>
        <v>0</v>
      </c>
      <c r="D624">
        <f t="shared" si="154"/>
        <v>1</v>
      </c>
      <c r="E624" t="str">
        <f t="shared" si="149"/>
        <v>PK</v>
      </c>
      <c r="F624">
        <f t="shared" si="150"/>
        <v>10</v>
      </c>
      <c r="G624">
        <f t="shared" si="151"/>
        <v>1</v>
      </c>
      <c r="H624">
        <f t="shared" si="152"/>
        <v>0</v>
      </c>
      <c r="I624">
        <f t="shared" si="155"/>
        <v>1</v>
      </c>
      <c r="J624">
        <f t="shared" si="156"/>
        <v>0</v>
      </c>
      <c r="K624">
        <f t="shared" si="153"/>
        <v>11</v>
      </c>
      <c r="L624" s="179">
        <f>'Aztec Metered Load'!C628</f>
        <v>3.589</v>
      </c>
    </row>
    <row r="625" spans="1:12" x14ac:dyDescent="0.3">
      <c r="A625" s="19">
        <f t="shared" si="157"/>
        <v>45773</v>
      </c>
      <c r="B625">
        <f t="shared" si="158"/>
        <v>23</v>
      </c>
      <c r="C625" s="16">
        <f>IFERROR(MATCH(A626,NERCHolidays!$B$2:$B$121,0),0)</f>
        <v>0</v>
      </c>
      <c r="D625">
        <f t="shared" si="154"/>
        <v>1</v>
      </c>
      <c r="E625" t="str">
        <f t="shared" si="149"/>
        <v>PK</v>
      </c>
      <c r="F625">
        <f t="shared" si="150"/>
        <v>10</v>
      </c>
      <c r="G625">
        <f t="shared" si="151"/>
        <v>1</v>
      </c>
      <c r="H625">
        <f t="shared" si="152"/>
        <v>0</v>
      </c>
      <c r="I625">
        <f t="shared" si="155"/>
        <v>1</v>
      </c>
      <c r="J625">
        <f t="shared" si="156"/>
        <v>0</v>
      </c>
      <c r="K625">
        <f t="shared" si="153"/>
        <v>11</v>
      </c>
      <c r="L625" s="179">
        <f>'Aztec Metered Load'!C629</f>
        <v>3.2029999999999998</v>
      </c>
    </row>
    <row r="626" spans="1:12" x14ac:dyDescent="0.3">
      <c r="A626" s="19">
        <f t="shared" si="157"/>
        <v>45773</v>
      </c>
      <c r="B626">
        <f t="shared" si="158"/>
        <v>24</v>
      </c>
      <c r="C626" s="16">
        <f>IFERROR(MATCH(A627,NERCHolidays!$B$2:$B$121,0),0)</f>
        <v>0</v>
      </c>
      <c r="D626">
        <f t="shared" si="154"/>
        <v>0</v>
      </c>
      <c r="E626" t="str">
        <f t="shared" si="149"/>
        <v>OP</v>
      </c>
      <c r="F626">
        <f t="shared" si="150"/>
        <v>5</v>
      </c>
      <c r="G626">
        <f t="shared" si="151"/>
        <v>0</v>
      </c>
      <c r="H626">
        <f t="shared" si="152"/>
        <v>0</v>
      </c>
      <c r="I626">
        <f t="shared" si="155"/>
        <v>1</v>
      </c>
      <c r="J626">
        <f t="shared" si="156"/>
        <v>0</v>
      </c>
      <c r="K626">
        <f t="shared" si="153"/>
        <v>5</v>
      </c>
      <c r="L626" s="179">
        <f>'Aztec Metered Load'!C630</f>
        <v>3.04</v>
      </c>
    </row>
    <row r="627" spans="1:12" x14ac:dyDescent="0.3">
      <c r="A627" s="19">
        <f t="shared" si="157"/>
        <v>45774</v>
      </c>
      <c r="B627">
        <f t="shared" si="158"/>
        <v>1</v>
      </c>
      <c r="C627" s="16">
        <f>IFERROR(MATCH(A628,NERCHolidays!$B$2:$B$121,0),0)</f>
        <v>0</v>
      </c>
      <c r="D627">
        <f t="shared" si="154"/>
        <v>0</v>
      </c>
      <c r="E627" t="str">
        <f t="shared" si="149"/>
        <v>OP</v>
      </c>
      <c r="F627">
        <f t="shared" si="150"/>
        <v>4</v>
      </c>
      <c r="G627">
        <f t="shared" si="151"/>
        <v>1</v>
      </c>
      <c r="H627">
        <f t="shared" si="152"/>
        <v>0</v>
      </c>
      <c r="I627">
        <f t="shared" si="155"/>
        <v>1</v>
      </c>
      <c r="J627">
        <f t="shared" si="156"/>
        <v>0</v>
      </c>
      <c r="K627">
        <f t="shared" si="153"/>
        <v>5</v>
      </c>
      <c r="L627" s="179">
        <f>'Aztec Metered Load'!C631</f>
        <v>2.9729999999999999</v>
      </c>
    </row>
    <row r="628" spans="1:12" x14ac:dyDescent="0.3">
      <c r="A628" s="19">
        <f t="shared" si="157"/>
        <v>45774</v>
      </c>
      <c r="B628">
        <f t="shared" si="158"/>
        <v>2</v>
      </c>
      <c r="C628" s="16">
        <f>IFERROR(MATCH(A629,NERCHolidays!$B$2:$B$121,0),0)</f>
        <v>0</v>
      </c>
      <c r="D628">
        <f t="shared" si="154"/>
        <v>0</v>
      </c>
      <c r="E628" t="str">
        <f t="shared" si="149"/>
        <v>OP</v>
      </c>
      <c r="F628">
        <f t="shared" si="150"/>
        <v>4</v>
      </c>
      <c r="G628">
        <f t="shared" si="151"/>
        <v>1</v>
      </c>
      <c r="H628">
        <f t="shared" si="152"/>
        <v>0</v>
      </c>
      <c r="I628">
        <f t="shared" si="155"/>
        <v>1</v>
      </c>
      <c r="J628">
        <f t="shared" si="156"/>
        <v>0</v>
      </c>
      <c r="K628">
        <f t="shared" si="153"/>
        <v>5</v>
      </c>
      <c r="L628" s="179">
        <f>'Aztec Metered Load'!C632</f>
        <v>2.9319999999999999</v>
      </c>
    </row>
    <row r="629" spans="1:12" x14ac:dyDescent="0.3">
      <c r="A629" s="19">
        <f t="shared" si="157"/>
        <v>45774</v>
      </c>
      <c r="B629">
        <f t="shared" si="158"/>
        <v>3</v>
      </c>
      <c r="C629" s="16">
        <f>IFERROR(MATCH(A630,NERCHolidays!$B$2:$B$121,0),0)</f>
        <v>0</v>
      </c>
      <c r="D629">
        <f t="shared" si="154"/>
        <v>0</v>
      </c>
      <c r="E629" t="str">
        <f t="shared" si="149"/>
        <v>OP</v>
      </c>
      <c r="F629">
        <f t="shared" si="150"/>
        <v>5</v>
      </c>
      <c r="G629">
        <f t="shared" si="151"/>
        <v>1</v>
      </c>
      <c r="H629">
        <f t="shared" si="152"/>
        <v>0</v>
      </c>
      <c r="I629">
        <f t="shared" si="155"/>
        <v>1</v>
      </c>
      <c r="J629">
        <f t="shared" si="156"/>
        <v>0</v>
      </c>
      <c r="K629">
        <f t="shared" si="153"/>
        <v>6</v>
      </c>
      <c r="L629" s="179">
        <f>'Aztec Metered Load'!C633</f>
        <v>2.9039999999999999</v>
      </c>
    </row>
    <row r="630" spans="1:12" x14ac:dyDescent="0.3">
      <c r="A630" s="19">
        <f t="shared" si="157"/>
        <v>45774</v>
      </c>
      <c r="B630">
        <f t="shared" si="158"/>
        <v>4</v>
      </c>
      <c r="C630" s="16">
        <f>IFERROR(MATCH(A631,NERCHolidays!$B$2:$B$121,0),0)</f>
        <v>0</v>
      </c>
      <c r="D630">
        <f t="shared" si="154"/>
        <v>0</v>
      </c>
      <c r="E630" t="str">
        <f t="shared" si="149"/>
        <v>OP</v>
      </c>
      <c r="F630">
        <f t="shared" si="150"/>
        <v>5</v>
      </c>
      <c r="G630">
        <f t="shared" si="151"/>
        <v>1</v>
      </c>
      <c r="H630">
        <f t="shared" si="152"/>
        <v>0</v>
      </c>
      <c r="I630">
        <f t="shared" si="155"/>
        <v>2</v>
      </c>
      <c r="J630">
        <f t="shared" si="156"/>
        <v>0</v>
      </c>
      <c r="K630">
        <f t="shared" si="153"/>
        <v>6</v>
      </c>
      <c r="L630" s="179">
        <f>'Aztec Metered Load'!C634</f>
        <v>2.9980000000000002</v>
      </c>
    </row>
    <row r="631" spans="1:12" x14ac:dyDescent="0.3">
      <c r="A631" s="19">
        <f t="shared" si="157"/>
        <v>45774</v>
      </c>
      <c r="B631">
        <f t="shared" si="158"/>
        <v>5</v>
      </c>
      <c r="C631" s="16">
        <f>IFERROR(MATCH(A632,NERCHolidays!$B$2:$B$121,0),0)</f>
        <v>0</v>
      </c>
      <c r="D631">
        <f t="shared" si="154"/>
        <v>0</v>
      </c>
      <c r="E631" t="str">
        <f t="shared" si="149"/>
        <v>OP</v>
      </c>
      <c r="F631">
        <f t="shared" si="150"/>
        <v>4</v>
      </c>
      <c r="G631">
        <f t="shared" si="151"/>
        <v>1</v>
      </c>
      <c r="H631">
        <f t="shared" si="152"/>
        <v>0</v>
      </c>
      <c r="I631">
        <f t="shared" si="155"/>
        <v>2</v>
      </c>
      <c r="J631">
        <f t="shared" si="156"/>
        <v>0</v>
      </c>
      <c r="K631">
        <f t="shared" si="153"/>
        <v>5</v>
      </c>
      <c r="L631" s="179">
        <f>'Aztec Metered Load'!C635</f>
        <v>3.2320000000000002</v>
      </c>
    </row>
    <row r="632" spans="1:12" x14ac:dyDescent="0.3">
      <c r="A632" s="19">
        <f t="shared" si="157"/>
        <v>45774</v>
      </c>
      <c r="B632">
        <f t="shared" si="158"/>
        <v>6</v>
      </c>
      <c r="C632" s="16">
        <f>IFERROR(MATCH(A633,NERCHolidays!$B$2:$B$121,0),0)</f>
        <v>0</v>
      </c>
      <c r="D632">
        <f t="shared" si="154"/>
        <v>0</v>
      </c>
      <c r="E632" t="str">
        <f t="shared" si="149"/>
        <v>OP</v>
      </c>
      <c r="F632">
        <f t="shared" si="150"/>
        <v>4</v>
      </c>
      <c r="G632">
        <f t="shared" si="151"/>
        <v>1</v>
      </c>
      <c r="H632">
        <f t="shared" si="152"/>
        <v>0</v>
      </c>
      <c r="I632">
        <f t="shared" si="155"/>
        <v>1</v>
      </c>
      <c r="J632">
        <f t="shared" si="156"/>
        <v>0</v>
      </c>
      <c r="K632">
        <f t="shared" si="153"/>
        <v>5</v>
      </c>
      <c r="L632" s="179">
        <f>'Aztec Metered Load'!C636</f>
        <v>3.415</v>
      </c>
    </row>
    <row r="633" spans="1:12" x14ac:dyDescent="0.3">
      <c r="A633" s="19">
        <f t="shared" si="157"/>
        <v>45774</v>
      </c>
      <c r="B633">
        <f t="shared" si="158"/>
        <v>7</v>
      </c>
      <c r="C633" s="16">
        <f>IFERROR(MATCH(A634,NERCHolidays!$B$2:$B$121,0),0)</f>
        <v>0</v>
      </c>
      <c r="D633">
        <f t="shared" si="154"/>
        <v>0</v>
      </c>
      <c r="E633" t="str">
        <f t="shared" si="149"/>
        <v>OP</v>
      </c>
      <c r="F633">
        <f t="shared" si="150"/>
        <v>5</v>
      </c>
      <c r="G633">
        <f t="shared" si="151"/>
        <v>1</v>
      </c>
      <c r="H633">
        <f t="shared" si="152"/>
        <v>0</v>
      </c>
      <c r="I633">
        <f t="shared" si="155"/>
        <v>1</v>
      </c>
      <c r="J633">
        <f t="shared" si="156"/>
        <v>0</v>
      </c>
      <c r="K633">
        <f t="shared" si="153"/>
        <v>6</v>
      </c>
      <c r="L633" s="179">
        <f>'Aztec Metered Load'!C637</f>
        <v>3.3370000000000002</v>
      </c>
    </row>
    <row r="634" spans="1:12" x14ac:dyDescent="0.3">
      <c r="A634" s="19">
        <f t="shared" si="157"/>
        <v>45774</v>
      </c>
      <c r="B634">
        <f t="shared" si="158"/>
        <v>8</v>
      </c>
      <c r="C634" s="16">
        <f>IFERROR(MATCH(A635,NERCHolidays!$B$2:$B$121,0),0)</f>
        <v>0</v>
      </c>
      <c r="D634">
        <f t="shared" si="154"/>
        <v>1</v>
      </c>
      <c r="E634" t="str">
        <f t="shared" si="149"/>
        <v>OP</v>
      </c>
      <c r="F634">
        <f t="shared" si="150"/>
        <v>5</v>
      </c>
      <c r="G634">
        <f t="shared" si="151"/>
        <v>1</v>
      </c>
      <c r="H634">
        <f t="shared" si="152"/>
        <v>0</v>
      </c>
      <c r="I634">
        <f t="shared" si="155"/>
        <v>1</v>
      </c>
      <c r="J634">
        <f t="shared" si="156"/>
        <v>0</v>
      </c>
      <c r="K634">
        <f t="shared" si="153"/>
        <v>6</v>
      </c>
      <c r="L634" s="179">
        <f>'Aztec Metered Load'!C638</f>
        <v>3.1960000000000002</v>
      </c>
    </row>
    <row r="635" spans="1:12" x14ac:dyDescent="0.3">
      <c r="A635" s="19">
        <f t="shared" si="157"/>
        <v>45774</v>
      </c>
      <c r="B635">
        <f t="shared" si="158"/>
        <v>9</v>
      </c>
      <c r="C635" s="16">
        <f>IFERROR(MATCH(A636,NERCHolidays!$B$2:$B$121,0),0)</f>
        <v>0</v>
      </c>
      <c r="D635">
        <f t="shared" si="154"/>
        <v>1</v>
      </c>
      <c r="E635" t="str">
        <f t="shared" si="149"/>
        <v>OP</v>
      </c>
      <c r="F635">
        <f t="shared" si="150"/>
        <v>5</v>
      </c>
      <c r="G635">
        <f t="shared" si="151"/>
        <v>0</v>
      </c>
      <c r="H635">
        <f t="shared" si="152"/>
        <v>0</v>
      </c>
      <c r="I635">
        <f t="shared" si="155"/>
        <v>1</v>
      </c>
      <c r="J635">
        <f t="shared" si="156"/>
        <v>0</v>
      </c>
      <c r="K635">
        <f t="shared" si="153"/>
        <v>5</v>
      </c>
      <c r="L635" s="179">
        <f>'Aztec Metered Load'!C639</f>
        <v>3.105</v>
      </c>
    </row>
    <row r="636" spans="1:12" x14ac:dyDescent="0.3">
      <c r="A636" s="19">
        <f t="shared" si="157"/>
        <v>45774</v>
      </c>
      <c r="B636">
        <f t="shared" si="158"/>
        <v>10</v>
      </c>
      <c r="C636" s="16">
        <f>IFERROR(MATCH(A637,NERCHolidays!$B$2:$B$121,0),0)</f>
        <v>0</v>
      </c>
      <c r="D636">
        <f t="shared" si="154"/>
        <v>1</v>
      </c>
      <c r="E636" t="str">
        <f t="shared" si="149"/>
        <v>OP</v>
      </c>
      <c r="F636">
        <f t="shared" si="150"/>
        <v>5</v>
      </c>
      <c r="G636">
        <f t="shared" si="151"/>
        <v>0</v>
      </c>
      <c r="H636">
        <f t="shared" si="152"/>
        <v>0</v>
      </c>
      <c r="I636">
        <f t="shared" si="155"/>
        <v>1</v>
      </c>
      <c r="J636">
        <f t="shared" si="156"/>
        <v>0</v>
      </c>
      <c r="K636">
        <f t="shared" si="153"/>
        <v>5</v>
      </c>
      <c r="L636" s="179">
        <f>'Aztec Metered Load'!C640</f>
        <v>2.996</v>
      </c>
    </row>
    <row r="637" spans="1:12" x14ac:dyDescent="0.3">
      <c r="A637" s="19">
        <f t="shared" si="157"/>
        <v>45774</v>
      </c>
      <c r="B637">
        <f t="shared" si="158"/>
        <v>11</v>
      </c>
      <c r="C637" s="16">
        <f>IFERROR(MATCH(A638,NERCHolidays!$B$2:$B$121,0),0)</f>
        <v>0</v>
      </c>
      <c r="D637">
        <f t="shared" si="154"/>
        <v>1</v>
      </c>
      <c r="E637" t="str">
        <f t="shared" si="149"/>
        <v>OP</v>
      </c>
      <c r="F637">
        <f t="shared" si="150"/>
        <v>5</v>
      </c>
      <c r="G637">
        <f t="shared" si="151"/>
        <v>0</v>
      </c>
      <c r="H637">
        <f t="shared" si="152"/>
        <v>0</v>
      </c>
      <c r="I637">
        <f t="shared" si="155"/>
        <v>1</v>
      </c>
      <c r="J637">
        <f t="shared" si="156"/>
        <v>0</v>
      </c>
      <c r="K637">
        <f t="shared" si="153"/>
        <v>5</v>
      </c>
      <c r="L637" s="179">
        <f>'Aztec Metered Load'!C641</f>
        <v>2.84</v>
      </c>
    </row>
    <row r="638" spans="1:12" x14ac:dyDescent="0.3">
      <c r="A638" s="19">
        <f t="shared" si="157"/>
        <v>45774</v>
      </c>
      <c r="B638">
        <f t="shared" si="158"/>
        <v>12</v>
      </c>
      <c r="C638" s="16">
        <f>IFERROR(MATCH(A639,NERCHolidays!$B$2:$B$121,0),0)</f>
        <v>0</v>
      </c>
      <c r="D638">
        <f t="shared" si="154"/>
        <v>1</v>
      </c>
      <c r="E638" t="str">
        <f t="shared" si="149"/>
        <v>OP</v>
      </c>
      <c r="F638">
        <f t="shared" si="150"/>
        <v>5</v>
      </c>
      <c r="G638">
        <f t="shared" si="151"/>
        <v>0</v>
      </c>
      <c r="H638">
        <f t="shared" si="152"/>
        <v>0</v>
      </c>
      <c r="I638">
        <f t="shared" si="155"/>
        <v>1</v>
      </c>
      <c r="J638">
        <f t="shared" si="156"/>
        <v>0</v>
      </c>
      <c r="K638">
        <f t="shared" si="153"/>
        <v>5</v>
      </c>
      <c r="L638" s="179">
        <f>'Aztec Metered Load'!C642</f>
        <v>2.9750000000000001</v>
      </c>
    </row>
    <row r="639" spans="1:12" x14ac:dyDescent="0.3">
      <c r="A639" s="19">
        <f t="shared" si="157"/>
        <v>45774</v>
      </c>
      <c r="B639">
        <f t="shared" si="158"/>
        <v>13</v>
      </c>
      <c r="C639" s="16">
        <f>IFERROR(MATCH(A640,NERCHolidays!$B$2:$B$121,0),0)</f>
        <v>0</v>
      </c>
      <c r="D639">
        <f t="shared" si="154"/>
        <v>1</v>
      </c>
      <c r="E639" t="str">
        <f t="shared" si="149"/>
        <v>OP</v>
      </c>
      <c r="F639">
        <f t="shared" si="150"/>
        <v>5</v>
      </c>
      <c r="G639">
        <f t="shared" si="151"/>
        <v>0</v>
      </c>
      <c r="H639">
        <f t="shared" si="152"/>
        <v>0</v>
      </c>
      <c r="I639">
        <f t="shared" si="155"/>
        <v>1</v>
      </c>
      <c r="J639">
        <f t="shared" si="156"/>
        <v>0</v>
      </c>
      <c r="K639">
        <f t="shared" si="153"/>
        <v>5</v>
      </c>
      <c r="L639" s="179">
        <f>'Aztec Metered Load'!C643</f>
        <v>3.0819999999999999</v>
      </c>
    </row>
    <row r="640" spans="1:12" x14ac:dyDescent="0.3">
      <c r="A640" s="19">
        <f t="shared" si="157"/>
        <v>45774</v>
      </c>
      <c r="B640">
        <f t="shared" si="158"/>
        <v>14</v>
      </c>
      <c r="C640" s="16">
        <f>IFERROR(MATCH(A641,NERCHolidays!$B$2:$B$121,0),0)</f>
        <v>0</v>
      </c>
      <c r="D640">
        <f t="shared" si="154"/>
        <v>1</v>
      </c>
      <c r="E640" t="str">
        <f t="shared" si="149"/>
        <v>OP</v>
      </c>
      <c r="F640">
        <f t="shared" si="150"/>
        <v>5</v>
      </c>
      <c r="G640">
        <f t="shared" si="151"/>
        <v>0</v>
      </c>
      <c r="H640">
        <f t="shared" si="152"/>
        <v>0</v>
      </c>
      <c r="I640">
        <f t="shared" si="155"/>
        <v>1</v>
      </c>
      <c r="J640">
        <f t="shared" si="156"/>
        <v>0</v>
      </c>
      <c r="K640">
        <f t="shared" si="153"/>
        <v>5</v>
      </c>
      <c r="L640" s="179">
        <f>'Aztec Metered Load'!C644</f>
        <v>3.609</v>
      </c>
    </row>
    <row r="641" spans="1:12" x14ac:dyDescent="0.3">
      <c r="A641" s="19">
        <f t="shared" si="157"/>
        <v>45774</v>
      </c>
      <c r="B641">
        <f t="shared" si="158"/>
        <v>15</v>
      </c>
      <c r="C641" s="16">
        <f>IFERROR(MATCH(A642,NERCHolidays!$B$2:$B$121,0),0)</f>
        <v>0</v>
      </c>
      <c r="D641">
        <f t="shared" si="154"/>
        <v>1</v>
      </c>
      <c r="E641" t="str">
        <f t="shared" si="149"/>
        <v>OP</v>
      </c>
      <c r="F641">
        <f t="shared" si="150"/>
        <v>5</v>
      </c>
      <c r="G641">
        <f t="shared" si="151"/>
        <v>0</v>
      </c>
      <c r="H641">
        <f t="shared" si="152"/>
        <v>0</v>
      </c>
      <c r="I641">
        <f t="shared" si="155"/>
        <v>1</v>
      </c>
      <c r="J641">
        <f t="shared" si="156"/>
        <v>0</v>
      </c>
      <c r="K641">
        <f t="shared" si="153"/>
        <v>5</v>
      </c>
      <c r="L641" s="179">
        <f>'Aztec Metered Load'!C645</f>
        <v>3.6560000000000001</v>
      </c>
    </row>
    <row r="642" spans="1:12" x14ac:dyDescent="0.3">
      <c r="A642" s="19">
        <f t="shared" si="157"/>
        <v>45774</v>
      </c>
      <c r="B642">
        <f t="shared" si="158"/>
        <v>16</v>
      </c>
      <c r="C642" s="16">
        <f>IFERROR(MATCH(A643,NERCHolidays!$B$2:$B$121,0),0)</f>
        <v>0</v>
      </c>
      <c r="D642">
        <f t="shared" si="154"/>
        <v>1</v>
      </c>
      <c r="E642" t="str">
        <f t="shared" si="149"/>
        <v>OP</v>
      </c>
      <c r="F642">
        <f t="shared" si="150"/>
        <v>5</v>
      </c>
      <c r="G642">
        <f t="shared" si="151"/>
        <v>0</v>
      </c>
      <c r="H642">
        <f t="shared" si="152"/>
        <v>0</v>
      </c>
      <c r="I642">
        <f t="shared" si="155"/>
        <v>1</v>
      </c>
      <c r="J642">
        <f t="shared" si="156"/>
        <v>0</v>
      </c>
      <c r="K642">
        <f t="shared" si="153"/>
        <v>5</v>
      </c>
      <c r="L642" s="179">
        <f>'Aztec Metered Load'!C646</f>
        <v>3.4889999999999999</v>
      </c>
    </row>
    <row r="643" spans="1:12" x14ac:dyDescent="0.3">
      <c r="A643" s="19">
        <f t="shared" si="157"/>
        <v>45774</v>
      </c>
      <c r="B643">
        <f t="shared" si="158"/>
        <v>17</v>
      </c>
      <c r="C643" s="16">
        <f>IFERROR(MATCH(A644,NERCHolidays!$B$2:$B$121,0),0)</f>
        <v>0</v>
      </c>
      <c r="D643">
        <f t="shared" si="154"/>
        <v>1</v>
      </c>
      <c r="E643" t="str">
        <f t="shared" ref="E643:E674" si="159">IF(OR(WEEKDAY(A643)=1,C643&lt;&gt;0),"OP",IF(D643=0,"OP","PK"))</f>
        <v>OP</v>
      </c>
      <c r="F643">
        <f t="shared" ref="F643:F674" si="160">VLOOKUP(A643,$O$3:$AN$34,B643+2,FALSE)</f>
        <v>5</v>
      </c>
      <c r="G643">
        <f t="shared" ref="G643:G674" si="161">VLOOKUP(A643,$O$107:$AM$138,B643+1,FALSE)</f>
        <v>0</v>
      </c>
      <c r="H643">
        <f t="shared" ref="H643:H674" si="162">VLOOKUP(A643,$O$142:$AM$173,B643+1,FALSE)</f>
        <v>0</v>
      </c>
      <c r="I643">
        <f t="shared" si="155"/>
        <v>1</v>
      </c>
      <c r="J643">
        <f t="shared" si="156"/>
        <v>0</v>
      </c>
      <c r="K643">
        <f t="shared" ref="K643:K674" si="163">VLOOKUP(A643,$O$175:$AM$206,B643+1,FALSE)</f>
        <v>5</v>
      </c>
      <c r="L643" s="179">
        <f>'Aztec Metered Load'!C647</f>
        <v>3.6179999999999999</v>
      </c>
    </row>
    <row r="644" spans="1:12" x14ac:dyDescent="0.3">
      <c r="A644" s="19">
        <f t="shared" si="157"/>
        <v>45774</v>
      </c>
      <c r="B644">
        <f t="shared" si="158"/>
        <v>18</v>
      </c>
      <c r="C644" s="16">
        <f>IFERROR(MATCH(A645,NERCHolidays!$B$2:$B$121,0),0)</f>
        <v>0</v>
      </c>
      <c r="D644">
        <f t="shared" ref="D644:D674" si="164">IF(AND(B644&gt;=8,B644&lt;=23),1,0)</f>
        <v>1</v>
      </c>
      <c r="E644" t="str">
        <f t="shared" si="159"/>
        <v>OP</v>
      </c>
      <c r="F644">
        <f t="shared" si="160"/>
        <v>5</v>
      </c>
      <c r="G644">
        <f t="shared" si="161"/>
        <v>0</v>
      </c>
      <c r="H644">
        <f t="shared" si="162"/>
        <v>0</v>
      </c>
      <c r="I644">
        <f t="shared" ref="I644:I674" si="165">VLOOKUP(A644,$O$40:$AN$70,B644+2,FALSE)</f>
        <v>1</v>
      </c>
      <c r="J644">
        <f t="shared" ref="J644:J674" si="166">VLOOKUP(A644,$O$73:$AN$104,B644+2,FALSE)</f>
        <v>0</v>
      </c>
      <c r="K644">
        <f t="shared" si="163"/>
        <v>5</v>
      </c>
      <c r="L644" s="179">
        <f>'Aztec Metered Load'!C648</f>
        <v>3.7160000000000002</v>
      </c>
    </row>
    <row r="645" spans="1:12" x14ac:dyDescent="0.3">
      <c r="A645" s="19">
        <f t="shared" ref="A645:A674" si="167">IF(B644=24,A644+1,A644)</f>
        <v>45774</v>
      </c>
      <c r="B645">
        <f t="shared" ref="B645:B708" si="168">IF(B644=24,1,B644+1)</f>
        <v>19</v>
      </c>
      <c r="C645" s="16">
        <f>IFERROR(MATCH(A646,NERCHolidays!$B$2:$B$121,0),0)</f>
        <v>0</v>
      </c>
      <c r="D645">
        <f t="shared" si="164"/>
        <v>1</v>
      </c>
      <c r="E645" t="str">
        <f t="shared" si="159"/>
        <v>OP</v>
      </c>
      <c r="F645">
        <f t="shared" si="160"/>
        <v>5</v>
      </c>
      <c r="G645">
        <f t="shared" si="161"/>
        <v>1</v>
      </c>
      <c r="H645">
        <f t="shared" si="162"/>
        <v>0</v>
      </c>
      <c r="I645">
        <f t="shared" si="165"/>
        <v>1</v>
      </c>
      <c r="J645">
        <f t="shared" si="166"/>
        <v>0</v>
      </c>
      <c r="K645">
        <f t="shared" si="163"/>
        <v>6</v>
      </c>
      <c r="L645" s="179">
        <f>'Aztec Metered Load'!C649</f>
        <v>3.879</v>
      </c>
    </row>
    <row r="646" spans="1:12" x14ac:dyDescent="0.3">
      <c r="A646" s="19">
        <f t="shared" si="167"/>
        <v>45774</v>
      </c>
      <c r="B646">
        <f t="shared" si="168"/>
        <v>20</v>
      </c>
      <c r="C646" s="16">
        <f>IFERROR(MATCH(A647,NERCHolidays!$B$2:$B$121,0),0)</f>
        <v>0</v>
      </c>
      <c r="D646">
        <f t="shared" si="164"/>
        <v>1</v>
      </c>
      <c r="E646" t="str">
        <f t="shared" si="159"/>
        <v>OP</v>
      </c>
      <c r="F646">
        <f t="shared" si="160"/>
        <v>5</v>
      </c>
      <c r="G646">
        <f t="shared" si="161"/>
        <v>1</v>
      </c>
      <c r="H646">
        <f t="shared" si="162"/>
        <v>0</v>
      </c>
      <c r="I646">
        <f t="shared" si="165"/>
        <v>1</v>
      </c>
      <c r="J646">
        <f t="shared" si="166"/>
        <v>0</v>
      </c>
      <c r="K646">
        <f t="shared" si="163"/>
        <v>6</v>
      </c>
      <c r="L646" s="179">
        <f>'Aztec Metered Load'!C650</f>
        <v>4.1260000000000003</v>
      </c>
    </row>
    <row r="647" spans="1:12" x14ac:dyDescent="0.3">
      <c r="A647" s="19">
        <f t="shared" si="167"/>
        <v>45774</v>
      </c>
      <c r="B647">
        <f t="shared" si="168"/>
        <v>21</v>
      </c>
      <c r="C647" s="16">
        <f>IFERROR(MATCH(A648,NERCHolidays!$B$2:$B$121,0),0)</f>
        <v>0</v>
      </c>
      <c r="D647">
        <f t="shared" si="164"/>
        <v>1</v>
      </c>
      <c r="E647" t="str">
        <f t="shared" si="159"/>
        <v>OP</v>
      </c>
      <c r="F647">
        <f t="shared" si="160"/>
        <v>5</v>
      </c>
      <c r="G647">
        <f t="shared" si="161"/>
        <v>1</v>
      </c>
      <c r="H647">
        <f t="shared" si="162"/>
        <v>0</v>
      </c>
      <c r="I647">
        <f t="shared" si="165"/>
        <v>1</v>
      </c>
      <c r="J647">
        <f t="shared" si="166"/>
        <v>0</v>
      </c>
      <c r="K647">
        <f t="shared" si="163"/>
        <v>6</v>
      </c>
      <c r="L647" s="179">
        <f>'Aztec Metered Load'!C651</f>
        <v>3.9630000000000001</v>
      </c>
    </row>
    <row r="648" spans="1:12" x14ac:dyDescent="0.3">
      <c r="A648" s="19">
        <f t="shared" si="167"/>
        <v>45774</v>
      </c>
      <c r="B648">
        <f t="shared" si="168"/>
        <v>22</v>
      </c>
      <c r="C648" s="16">
        <f>IFERROR(MATCH(A649,NERCHolidays!$B$2:$B$121,0),0)</f>
        <v>0</v>
      </c>
      <c r="D648">
        <f t="shared" si="164"/>
        <v>1</v>
      </c>
      <c r="E648" t="str">
        <f t="shared" si="159"/>
        <v>OP</v>
      </c>
      <c r="F648">
        <f t="shared" si="160"/>
        <v>5</v>
      </c>
      <c r="G648">
        <f t="shared" si="161"/>
        <v>1</v>
      </c>
      <c r="H648">
        <f t="shared" si="162"/>
        <v>0</v>
      </c>
      <c r="I648">
        <f t="shared" si="165"/>
        <v>1</v>
      </c>
      <c r="J648">
        <f t="shared" si="166"/>
        <v>0</v>
      </c>
      <c r="K648">
        <f t="shared" si="163"/>
        <v>6</v>
      </c>
      <c r="L648" s="179">
        <f>'Aztec Metered Load'!C652</f>
        <v>3.56</v>
      </c>
    </row>
    <row r="649" spans="1:12" x14ac:dyDescent="0.3">
      <c r="A649" s="19">
        <f t="shared" si="167"/>
        <v>45774</v>
      </c>
      <c r="B649">
        <f t="shared" si="168"/>
        <v>23</v>
      </c>
      <c r="C649" s="16">
        <f>IFERROR(MATCH(A650,NERCHolidays!$B$2:$B$121,0),0)</f>
        <v>0</v>
      </c>
      <c r="D649">
        <f t="shared" si="164"/>
        <v>1</v>
      </c>
      <c r="E649" t="str">
        <f t="shared" si="159"/>
        <v>OP</v>
      </c>
      <c r="F649">
        <f t="shared" si="160"/>
        <v>5</v>
      </c>
      <c r="G649">
        <f t="shared" si="161"/>
        <v>1</v>
      </c>
      <c r="H649">
        <f t="shared" si="162"/>
        <v>0</v>
      </c>
      <c r="I649">
        <f t="shared" si="165"/>
        <v>1</v>
      </c>
      <c r="J649">
        <f t="shared" si="166"/>
        <v>0</v>
      </c>
      <c r="K649">
        <f t="shared" si="163"/>
        <v>6</v>
      </c>
      <c r="L649" s="179">
        <f>'Aztec Metered Load'!C653</f>
        <v>3.234</v>
      </c>
    </row>
    <row r="650" spans="1:12" x14ac:dyDescent="0.3">
      <c r="A650" s="19">
        <f t="shared" si="167"/>
        <v>45774</v>
      </c>
      <c r="B650">
        <f t="shared" si="168"/>
        <v>24</v>
      </c>
      <c r="C650" s="16">
        <f>IFERROR(MATCH(A651,NERCHolidays!$B$2:$B$121,0),0)</f>
        <v>0</v>
      </c>
      <c r="D650">
        <f t="shared" si="164"/>
        <v>0</v>
      </c>
      <c r="E650" t="str">
        <f t="shared" si="159"/>
        <v>OP</v>
      </c>
      <c r="F650">
        <f t="shared" si="160"/>
        <v>2</v>
      </c>
      <c r="G650">
        <f t="shared" si="161"/>
        <v>0</v>
      </c>
      <c r="H650">
        <f t="shared" si="162"/>
        <v>0</v>
      </c>
      <c r="I650">
        <f t="shared" si="165"/>
        <v>1</v>
      </c>
      <c r="J650">
        <f t="shared" si="166"/>
        <v>0</v>
      </c>
      <c r="K650">
        <f t="shared" si="163"/>
        <v>2</v>
      </c>
      <c r="L650" s="179">
        <f>'Aztec Metered Load'!C654</f>
        <v>3.093</v>
      </c>
    </row>
    <row r="651" spans="1:12" x14ac:dyDescent="0.3">
      <c r="A651" s="19">
        <f t="shared" si="167"/>
        <v>45775</v>
      </c>
      <c r="B651">
        <f t="shared" si="168"/>
        <v>1</v>
      </c>
      <c r="C651" s="16">
        <f>IFERROR(MATCH(A652,NERCHolidays!$B$2:$B$121,0),0)</f>
        <v>0</v>
      </c>
      <c r="D651">
        <f t="shared" si="164"/>
        <v>0</v>
      </c>
      <c r="E651" t="str">
        <f t="shared" si="159"/>
        <v>OP</v>
      </c>
      <c r="F651">
        <f t="shared" si="160"/>
        <v>7</v>
      </c>
      <c r="G651">
        <f t="shared" si="161"/>
        <v>1</v>
      </c>
      <c r="H651">
        <f t="shared" si="162"/>
        <v>0</v>
      </c>
      <c r="I651">
        <f t="shared" si="165"/>
        <v>1</v>
      </c>
      <c r="J651">
        <f t="shared" si="166"/>
        <v>0</v>
      </c>
      <c r="K651">
        <f t="shared" si="163"/>
        <v>8</v>
      </c>
      <c r="L651" s="179">
        <f>'Aztec Metered Load'!C655</f>
        <v>3.0680000000000001</v>
      </c>
    </row>
    <row r="652" spans="1:12" x14ac:dyDescent="0.3">
      <c r="A652" s="19">
        <f t="shared" si="167"/>
        <v>45775</v>
      </c>
      <c r="B652">
        <f t="shared" si="168"/>
        <v>2</v>
      </c>
      <c r="C652" s="16">
        <f>IFERROR(MATCH(A653,NERCHolidays!$B$2:$B$121,0),0)</f>
        <v>0</v>
      </c>
      <c r="D652">
        <f t="shared" si="164"/>
        <v>0</v>
      </c>
      <c r="E652" t="str">
        <f t="shared" si="159"/>
        <v>OP</v>
      </c>
      <c r="F652">
        <f t="shared" si="160"/>
        <v>8</v>
      </c>
      <c r="G652">
        <f t="shared" si="161"/>
        <v>1</v>
      </c>
      <c r="H652">
        <f t="shared" si="162"/>
        <v>0</v>
      </c>
      <c r="I652">
        <f t="shared" si="165"/>
        <v>1</v>
      </c>
      <c r="J652">
        <f t="shared" si="166"/>
        <v>0</v>
      </c>
      <c r="K652">
        <f t="shared" si="163"/>
        <v>9</v>
      </c>
      <c r="L652" s="179">
        <f>'Aztec Metered Load'!C656</f>
        <v>3.093</v>
      </c>
    </row>
    <row r="653" spans="1:12" x14ac:dyDescent="0.3">
      <c r="A653" s="19">
        <f t="shared" si="167"/>
        <v>45775</v>
      </c>
      <c r="B653">
        <f t="shared" si="168"/>
        <v>3</v>
      </c>
      <c r="C653" s="16">
        <f>IFERROR(MATCH(A654,NERCHolidays!$B$2:$B$121,0),0)</f>
        <v>0</v>
      </c>
      <c r="D653">
        <f t="shared" si="164"/>
        <v>0</v>
      </c>
      <c r="E653" t="str">
        <f t="shared" si="159"/>
        <v>OP</v>
      </c>
      <c r="F653">
        <f t="shared" si="160"/>
        <v>9</v>
      </c>
      <c r="G653">
        <f t="shared" si="161"/>
        <v>1</v>
      </c>
      <c r="H653">
        <f t="shared" si="162"/>
        <v>0</v>
      </c>
      <c r="I653">
        <f t="shared" si="165"/>
        <v>1</v>
      </c>
      <c r="J653">
        <f t="shared" si="166"/>
        <v>0</v>
      </c>
      <c r="K653">
        <f t="shared" si="163"/>
        <v>10</v>
      </c>
      <c r="L653" s="179">
        <f>'Aztec Metered Load'!C657</f>
        <v>3.1880000000000002</v>
      </c>
    </row>
    <row r="654" spans="1:12" x14ac:dyDescent="0.3">
      <c r="A654" s="19">
        <f t="shared" si="167"/>
        <v>45775</v>
      </c>
      <c r="B654">
        <f t="shared" si="168"/>
        <v>4</v>
      </c>
      <c r="C654" s="16">
        <f>IFERROR(MATCH(A655,NERCHolidays!$B$2:$B$121,0),0)</f>
        <v>0</v>
      </c>
      <c r="D654">
        <f t="shared" si="164"/>
        <v>0</v>
      </c>
      <c r="E654" t="str">
        <f t="shared" si="159"/>
        <v>OP</v>
      </c>
      <c r="F654">
        <f t="shared" si="160"/>
        <v>3</v>
      </c>
      <c r="G654">
        <f t="shared" si="161"/>
        <v>1</v>
      </c>
      <c r="H654">
        <f t="shared" si="162"/>
        <v>0</v>
      </c>
      <c r="I654">
        <f t="shared" si="165"/>
        <v>2</v>
      </c>
      <c r="J654">
        <f t="shared" si="166"/>
        <v>0</v>
      </c>
      <c r="K654">
        <f t="shared" si="163"/>
        <v>4</v>
      </c>
      <c r="L654" s="179">
        <f>'Aztec Metered Load'!C658</f>
        <v>3.431</v>
      </c>
    </row>
    <row r="655" spans="1:12" x14ac:dyDescent="0.3">
      <c r="A655" s="19">
        <f t="shared" si="167"/>
        <v>45775</v>
      </c>
      <c r="B655">
        <f t="shared" si="168"/>
        <v>5</v>
      </c>
      <c r="C655" s="16">
        <f>IFERROR(MATCH(A656,NERCHolidays!$B$2:$B$121,0),0)</f>
        <v>0</v>
      </c>
      <c r="D655">
        <f t="shared" si="164"/>
        <v>0</v>
      </c>
      <c r="E655" t="str">
        <f t="shared" si="159"/>
        <v>OP</v>
      </c>
      <c r="F655">
        <f t="shared" si="160"/>
        <v>8</v>
      </c>
      <c r="G655">
        <f t="shared" si="161"/>
        <v>1</v>
      </c>
      <c r="H655">
        <f t="shared" si="162"/>
        <v>0</v>
      </c>
      <c r="I655">
        <f t="shared" si="165"/>
        <v>2</v>
      </c>
      <c r="J655">
        <f t="shared" si="166"/>
        <v>0</v>
      </c>
      <c r="K655">
        <f t="shared" si="163"/>
        <v>9</v>
      </c>
      <c r="L655" s="179">
        <f>'Aztec Metered Load'!C659</f>
        <v>3.7629999999999999</v>
      </c>
    </row>
    <row r="656" spans="1:12" x14ac:dyDescent="0.3">
      <c r="A656" s="19">
        <f t="shared" si="167"/>
        <v>45775</v>
      </c>
      <c r="B656">
        <f t="shared" si="168"/>
        <v>6</v>
      </c>
      <c r="C656" s="16">
        <f>IFERROR(MATCH(A657,NERCHolidays!$B$2:$B$121,0),0)</f>
        <v>0</v>
      </c>
      <c r="D656">
        <f t="shared" si="164"/>
        <v>0</v>
      </c>
      <c r="E656" t="str">
        <f t="shared" si="159"/>
        <v>OP</v>
      </c>
      <c r="F656">
        <f t="shared" si="160"/>
        <v>3</v>
      </c>
      <c r="G656">
        <f t="shared" si="161"/>
        <v>1</v>
      </c>
      <c r="H656">
        <f t="shared" si="162"/>
        <v>0</v>
      </c>
      <c r="I656">
        <f t="shared" si="165"/>
        <v>1</v>
      </c>
      <c r="J656">
        <f t="shared" si="166"/>
        <v>0</v>
      </c>
      <c r="K656">
        <f t="shared" si="163"/>
        <v>4</v>
      </c>
      <c r="L656" s="179">
        <f>'Aztec Metered Load'!C660</f>
        <v>4.2270000000000003</v>
      </c>
    </row>
    <row r="657" spans="1:12" x14ac:dyDescent="0.3">
      <c r="A657" s="19">
        <f t="shared" si="167"/>
        <v>45775</v>
      </c>
      <c r="B657">
        <f t="shared" si="168"/>
        <v>7</v>
      </c>
      <c r="C657" s="16">
        <f>IFERROR(MATCH(A658,NERCHolidays!$B$2:$B$121,0),0)</f>
        <v>0</v>
      </c>
      <c r="D657">
        <f t="shared" si="164"/>
        <v>0</v>
      </c>
      <c r="E657" t="str">
        <f t="shared" si="159"/>
        <v>OP</v>
      </c>
      <c r="F657">
        <f t="shared" si="160"/>
        <v>3</v>
      </c>
      <c r="G657">
        <f t="shared" si="161"/>
        <v>1</v>
      </c>
      <c r="H657">
        <f t="shared" si="162"/>
        <v>0</v>
      </c>
      <c r="I657">
        <f t="shared" si="165"/>
        <v>1</v>
      </c>
      <c r="J657">
        <f t="shared" si="166"/>
        <v>0</v>
      </c>
      <c r="K657">
        <f t="shared" si="163"/>
        <v>4</v>
      </c>
      <c r="L657" s="179">
        <f>'Aztec Metered Load'!C661</f>
        <v>4.3019999999999996</v>
      </c>
    </row>
    <row r="658" spans="1:12" x14ac:dyDescent="0.3">
      <c r="A658" s="19">
        <f t="shared" si="167"/>
        <v>45775</v>
      </c>
      <c r="B658">
        <f t="shared" si="168"/>
        <v>8</v>
      </c>
      <c r="C658" s="16">
        <f>IFERROR(MATCH(A659,NERCHolidays!$B$2:$B$121,0),0)</f>
        <v>0</v>
      </c>
      <c r="D658">
        <f t="shared" si="164"/>
        <v>1</v>
      </c>
      <c r="E658" t="str">
        <f t="shared" si="159"/>
        <v>PK</v>
      </c>
      <c r="F658">
        <f t="shared" si="160"/>
        <v>5</v>
      </c>
      <c r="G658">
        <f t="shared" si="161"/>
        <v>1</v>
      </c>
      <c r="H658">
        <f t="shared" si="162"/>
        <v>0</v>
      </c>
      <c r="I658">
        <f t="shared" si="165"/>
        <v>1</v>
      </c>
      <c r="J658">
        <f t="shared" si="166"/>
        <v>0</v>
      </c>
      <c r="K658">
        <f t="shared" si="163"/>
        <v>6</v>
      </c>
      <c r="L658" s="179">
        <f>'Aztec Metered Load'!C662</f>
        <v>4.1230000000000002</v>
      </c>
    </row>
    <row r="659" spans="1:12" x14ac:dyDescent="0.3">
      <c r="A659" s="19">
        <f t="shared" si="167"/>
        <v>45775</v>
      </c>
      <c r="B659">
        <f t="shared" si="168"/>
        <v>9</v>
      </c>
      <c r="C659" s="16">
        <f>IFERROR(MATCH(A660,NERCHolidays!$B$2:$B$121,0),0)</f>
        <v>0</v>
      </c>
      <c r="D659">
        <f t="shared" si="164"/>
        <v>1</v>
      </c>
      <c r="E659" t="str">
        <f t="shared" si="159"/>
        <v>PK</v>
      </c>
      <c r="F659">
        <f t="shared" si="160"/>
        <v>5</v>
      </c>
      <c r="G659">
        <f t="shared" si="161"/>
        <v>0</v>
      </c>
      <c r="H659">
        <f t="shared" si="162"/>
        <v>0</v>
      </c>
      <c r="I659">
        <f t="shared" si="165"/>
        <v>1</v>
      </c>
      <c r="J659">
        <f t="shared" si="166"/>
        <v>0</v>
      </c>
      <c r="K659">
        <f t="shared" si="163"/>
        <v>5</v>
      </c>
      <c r="L659" s="179">
        <f>'Aztec Metered Load'!C663</f>
        <v>3.9390000000000001</v>
      </c>
    </row>
    <row r="660" spans="1:12" x14ac:dyDescent="0.3">
      <c r="A660" s="19">
        <f t="shared" si="167"/>
        <v>45775</v>
      </c>
      <c r="B660">
        <f t="shared" si="168"/>
        <v>10</v>
      </c>
      <c r="C660" s="16">
        <f>IFERROR(MATCH(A661,NERCHolidays!$B$2:$B$121,0),0)</f>
        <v>0</v>
      </c>
      <c r="D660">
        <f t="shared" si="164"/>
        <v>1</v>
      </c>
      <c r="E660" t="str">
        <f t="shared" si="159"/>
        <v>PK</v>
      </c>
      <c r="F660">
        <f t="shared" si="160"/>
        <v>5</v>
      </c>
      <c r="G660">
        <f t="shared" si="161"/>
        <v>0</v>
      </c>
      <c r="H660">
        <f t="shared" si="162"/>
        <v>0</v>
      </c>
      <c r="I660">
        <f t="shared" si="165"/>
        <v>1</v>
      </c>
      <c r="J660">
        <f t="shared" si="166"/>
        <v>0</v>
      </c>
      <c r="K660">
        <f t="shared" si="163"/>
        <v>5</v>
      </c>
      <c r="L660" s="179">
        <f>'Aztec Metered Load'!C664</f>
        <v>3.6320000000000001</v>
      </c>
    </row>
    <row r="661" spans="1:12" x14ac:dyDescent="0.3">
      <c r="A661" s="19">
        <f t="shared" si="167"/>
        <v>45775</v>
      </c>
      <c r="B661">
        <f t="shared" si="168"/>
        <v>11</v>
      </c>
      <c r="C661" s="16">
        <f>IFERROR(MATCH(A662,NERCHolidays!$B$2:$B$121,0),0)</f>
        <v>0</v>
      </c>
      <c r="D661">
        <f t="shared" si="164"/>
        <v>1</v>
      </c>
      <c r="E661" t="str">
        <f t="shared" si="159"/>
        <v>PK</v>
      </c>
      <c r="F661">
        <f t="shared" si="160"/>
        <v>5</v>
      </c>
      <c r="G661">
        <f t="shared" si="161"/>
        <v>0</v>
      </c>
      <c r="H661">
        <f t="shared" si="162"/>
        <v>0</v>
      </c>
      <c r="I661">
        <f t="shared" si="165"/>
        <v>1</v>
      </c>
      <c r="J661">
        <f t="shared" si="166"/>
        <v>0</v>
      </c>
      <c r="K661">
        <f t="shared" si="163"/>
        <v>5</v>
      </c>
      <c r="L661" s="179">
        <f>'Aztec Metered Load'!C665</f>
        <v>3.528</v>
      </c>
    </row>
    <row r="662" spans="1:12" x14ac:dyDescent="0.3">
      <c r="A662" s="19">
        <f t="shared" si="167"/>
        <v>45775</v>
      </c>
      <c r="B662">
        <f t="shared" si="168"/>
        <v>12</v>
      </c>
      <c r="C662" s="16">
        <f>IFERROR(MATCH(A663,NERCHolidays!$B$2:$B$121,0),0)</f>
        <v>0</v>
      </c>
      <c r="D662">
        <f t="shared" si="164"/>
        <v>1</v>
      </c>
      <c r="E662" t="str">
        <f t="shared" si="159"/>
        <v>PK</v>
      </c>
      <c r="F662">
        <f t="shared" si="160"/>
        <v>5</v>
      </c>
      <c r="G662">
        <f t="shared" si="161"/>
        <v>0</v>
      </c>
      <c r="H662">
        <f t="shared" si="162"/>
        <v>0</v>
      </c>
      <c r="I662">
        <f t="shared" si="165"/>
        <v>1</v>
      </c>
      <c r="J662">
        <f t="shared" si="166"/>
        <v>0</v>
      </c>
      <c r="K662">
        <f t="shared" si="163"/>
        <v>5</v>
      </c>
      <c r="L662" s="179">
        <f>'Aztec Metered Load'!C666</f>
        <v>3.3969999999999998</v>
      </c>
    </row>
    <row r="663" spans="1:12" x14ac:dyDescent="0.3">
      <c r="A663" s="19">
        <f t="shared" si="167"/>
        <v>45775</v>
      </c>
      <c r="B663">
        <f t="shared" si="168"/>
        <v>13</v>
      </c>
      <c r="C663" s="16">
        <f>IFERROR(MATCH(A664,NERCHolidays!$B$2:$B$121,0),0)</f>
        <v>0</v>
      </c>
      <c r="D663">
        <f t="shared" si="164"/>
        <v>1</v>
      </c>
      <c r="E663" t="str">
        <f t="shared" si="159"/>
        <v>PK</v>
      </c>
      <c r="F663">
        <f t="shared" si="160"/>
        <v>5</v>
      </c>
      <c r="G663">
        <f t="shared" si="161"/>
        <v>0</v>
      </c>
      <c r="H663">
        <f t="shared" si="162"/>
        <v>0</v>
      </c>
      <c r="I663">
        <f t="shared" si="165"/>
        <v>1</v>
      </c>
      <c r="J663">
        <f t="shared" si="166"/>
        <v>0</v>
      </c>
      <c r="K663">
        <f t="shared" si="163"/>
        <v>5</v>
      </c>
      <c r="L663" s="179">
        <f>'Aztec Metered Load'!C667</f>
        <v>3.44</v>
      </c>
    </row>
    <row r="664" spans="1:12" x14ac:dyDescent="0.3">
      <c r="A664" s="19">
        <f t="shared" si="167"/>
        <v>45775</v>
      </c>
      <c r="B664">
        <f t="shared" si="168"/>
        <v>14</v>
      </c>
      <c r="C664" s="16">
        <f>IFERROR(MATCH(A665,NERCHolidays!$B$2:$B$121,0),0)</f>
        <v>0</v>
      </c>
      <c r="D664">
        <f t="shared" si="164"/>
        <v>1</v>
      </c>
      <c r="E664" t="str">
        <f t="shared" si="159"/>
        <v>PK</v>
      </c>
      <c r="F664">
        <f t="shared" si="160"/>
        <v>5</v>
      </c>
      <c r="G664">
        <f t="shared" si="161"/>
        <v>0</v>
      </c>
      <c r="H664">
        <f t="shared" si="162"/>
        <v>0</v>
      </c>
      <c r="I664">
        <f t="shared" si="165"/>
        <v>1</v>
      </c>
      <c r="J664">
        <f t="shared" si="166"/>
        <v>0</v>
      </c>
      <c r="K664">
        <f t="shared" si="163"/>
        <v>5</v>
      </c>
      <c r="L664" s="179">
        <f>'Aztec Metered Load'!C668</f>
        <v>3.452</v>
      </c>
    </row>
    <row r="665" spans="1:12" x14ac:dyDescent="0.3">
      <c r="A665" s="19">
        <f t="shared" si="167"/>
        <v>45775</v>
      </c>
      <c r="B665">
        <f t="shared" si="168"/>
        <v>15</v>
      </c>
      <c r="C665" s="16">
        <f>IFERROR(MATCH(A666,NERCHolidays!$B$2:$B$121,0),0)</f>
        <v>0</v>
      </c>
      <c r="D665">
        <f t="shared" si="164"/>
        <v>1</v>
      </c>
      <c r="E665" t="str">
        <f t="shared" si="159"/>
        <v>PK</v>
      </c>
      <c r="F665">
        <f t="shared" si="160"/>
        <v>5</v>
      </c>
      <c r="G665">
        <f t="shared" si="161"/>
        <v>0</v>
      </c>
      <c r="H665">
        <f t="shared" si="162"/>
        <v>0</v>
      </c>
      <c r="I665">
        <f t="shared" si="165"/>
        <v>1</v>
      </c>
      <c r="J665">
        <f t="shared" si="166"/>
        <v>0</v>
      </c>
      <c r="K665">
        <f t="shared" si="163"/>
        <v>5</v>
      </c>
      <c r="L665" s="179">
        <f>'Aztec Metered Load'!C669</f>
        <v>3.4529999999999998</v>
      </c>
    </row>
    <row r="666" spans="1:12" x14ac:dyDescent="0.3">
      <c r="A666" s="19">
        <f t="shared" si="167"/>
        <v>45775</v>
      </c>
      <c r="B666">
        <f t="shared" si="168"/>
        <v>16</v>
      </c>
      <c r="C666" s="16">
        <f>IFERROR(MATCH(A667,NERCHolidays!$B$2:$B$121,0),0)</f>
        <v>0</v>
      </c>
      <c r="D666">
        <f t="shared" si="164"/>
        <v>1</v>
      </c>
      <c r="E666" t="str">
        <f t="shared" si="159"/>
        <v>PK</v>
      </c>
      <c r="F666">
        <f t="shared" si="160"/>
        <v>5</v>
      </c>
      <c r="G666">
        <f t="shared" si="161"/>
        <v>0</v>
      </c>
      <c r="H666">
        <f t="shared" si="162"/>
        <v>0</v>
      </c>
      <c r="I666">
        <f t="shared" si="165"/>
        <v>1</v>
      </c>
      <c r="J666">
        <f t="shared" si="166"/>
        <v>0</v>
      </c>
      <c r="K666">
        <f t="shared" si="163"/>
        <v>5</v>
      </c>
      <c r="L666" s="179">
        <f>'Aztec Metered Load'!C670</f>
        <v>3.5259999999999998</v>
      </c>
    </row>
    <row r="667" spans="1:12" x14ac:dyDescent="0.3">
      <c r="A667" s="19">
        <f t="shared" si="167"/>
        <v>45775</v>
      </c>
      <c r="B667">
        <f t="shared" si="168"/>
        <v>17</v>
      </c>
      <c r="C667" s="16">
        <f>IFERROR(MATCH(A668,NERCHolidays!$B$2:$B$121,0),0)</f>
        <v>0</v>
      </c>
      <c r="D667">
        <f t="shared" si="164"/>
        <v>1</v>
      </c>
      <c r="E667" t="str">
        <f t="shared" si="159"/>
        <v>PK</v>
      </c>
      <c r="F667">
        <f t="shared" si="160"/>
        <v>5</v>
      </c>
      <c r="G667">
        <f t="shared" si="161"/>
        <v>0</v>
      </c>
      <c r="H667">
        <f t="shared" si="162"/>
        <v>0</v>
      </c>
      <c r="I667">
        <f t="shared" si="165"/>
        <v>1</v>
      </c>
      <c r="J667">
        <f t="shared" si="166"/>
        <v>0</v>
      </c>
      <c r="K667">
        <f t="shared" si="163"/>
        <v>5</v>
      </c>
      <c r="L667" s="179">
        <f>'Aztec Metered Load'!C671</f>
        <v>3.7050000000000001</v>
      </c>
    </row>
    <row r="668" spans="1:12" x14ac:dyDescent="0.3">
      <c r="A668" s="19">
        <f t="shared" si="167"/>
        <v>45775</v>
      </c>
      <c r="B668">
        <f t="shared" si="168"/>
        <v>18</v>
      </c>
      <c r="C668" s="16">
        <f>IFERROR(MATCH(A669,NERCHolidays!$B$2:$B$121,0),0)</f>
        <v>0</v>
      </c>
      <c r="D668">
        <f t="shared" si="164"/>
        <v>1</v>
      </c>
      <c r="E668" t="str">
        <f t="shared" si="159"/>
        <v>PK</v>
      </c>
      <c r="F668">
        <f t="shared" si="160"/>
        <v>5</v>
      </c>
      <c r="G668">
        <f t="shared" si="161"/>
        <v>0</v>
      </c>
      <c r="H668">
        <f t="shared" si="162"/>
        <v>0</v>
      </c>
      <c r="I668">
        <f t="shared" si="165"/>
        <v>1</v>
      </c>
      <c r="J668">
        <f t="shared" si="166"/>
        <v>0</v>
      </c>
      <c r="K668">
        <f t="shared" si="163"/>
        <v>5</v>
      </c>
      <c r="L668" s="179">
        <f>'Aztec Metered Load'!C672</f>
        <v>3.903</v>
      </c>
    </row>
    <row r="669" spans="1:12" x14ac:dyDescent="0.3">
      <c r="A669" s="19">
        <f t="shared" si="167"/>
        <v>45775</v>
      </c>
      <c r="B669">
        <f t="shared" si="168"/>
        <v>19</v>
      </c>
      <c r="C669" s="16">
        <f>IFERROR(MATCH(A670,NERCHolidays!$B$2:$B$121,0),0)</f>
        <v>0</v>
      </c>
      <c r="D669">
        <f t="shared" si="164"/>
        <v>1</v>
      </c>
      <c r="E669" t="str">
        <f t="shared" si="159"/>
        <v>PK</v>
      </c>
      <c r="F669">
        <f t="shared" si="160"/>
        <v>5</v>
      </c>
      <c r="G669">
        <f t="shared" si="161"/>
        <v>1</v>
      </c>
      <c r="H669">
        <f t="shared" si="162"/>
        <v>0</v>
      </c>
      <c r="I669">
        <f t="shared" si="165"/>
        <v>1</v>
      </c>
      <c r="J669">
        <f t="shared" si="166"/>
        <v>0</v>
      </c>
      <c r="K669">
        <f t="shared" si="163"/>
        <v>6</v>
      </c>
      <c r="L669" s="179">
        <f>'Aztec Metered Load'!C673</f>
        <v>3.9239999999999999</v>
      </c>
    </row>
    <row r="670" spans="1:12" x14ac:dyDescent="0.3">
      <c r="A670" s="19">
        <f t="shared" si="167"/>
        <v>45775</v>
      </c>
      <c r="B670">
        <f t="shared" si="168"/>
        <v>20</v>
      </c>
      <c r="C670" s="16">
        <f>IFERROR(MATCH(A671,NERCHolidays!$B$2:$B$121,0),0)</f>
        <v>0</v>
      </c>
      <c r="D670">
        <f t="shared" si="164"/>
        <v>1</v>
      </c>
      <c r="E670" t="str">
        <f t="shared" si="159"/>
        <v>PK</v>
      </c>
      <c r="F670">
        <f t="shared" si="160"/>
        <v>4</v>
      </c>
      <c r="G670">
        <f t="shared" si="161"/>
        <v>1</v>
      </c>
      <c r="H670">
        <f t="shared" si="162"/>
        <v>0</v>
      </c>
      <c r="I670">
        <f t="shared" si="165"/>
        <v>1</v>
      </c>
      <c r="J670">
        <f t="shared" si="166"/>
        <v>0</v>
      </c>
      <c r="K670">
        <f t="shared" si="163"/>
        <v>5</v>
      </c>
      <c r="L670" s="179">
        <f>'Aztec Metered Load'!C674</f>
        <v>4.0659999999999998</v>
      </c>
    </row>
    <row r="671" spans="1:12" x14ac:dyDescent="0.3">
      <c r="A671" s="19">
        <f t="shared" si="167"/>
        <v>45775</v>
      </c>
      <c r="B671">
        <f t="shared" si="168"/>
        <v>21</v>
      </c>
      <c r="C671" s="16">
        <f>IFERROR(MATCH(A672,NERCHolidays!$B$2:$B$121,0),0)</f>
        <v>0</v>
      </c>
      <c r="D671">
        <f t="shared" si="164"/>
        <v>1</v>
      </c>
      <c r="E671" t="str">
        <f t="shared" si="159"/>
        <v>PK</v>
      </c>
      <c r="F671">
        <f t="shared" si="160"/>
        <v>4</v>
      </c>
      <c r="G671">
        <f t="shared" si="161"/>
        <v>1</v>
      </c>
      <c r="H671">
        <f t="shared" si="162"/>
        <v>0</v>
      </c>
      <c r="I671">
        <f t="shared" si="165"/>
        <v>1</v>
      </c>
      <c r="J671">
        <f t="shared" si="166"/>
        <v>0</v>
      </c>
      <c r="K671">
        <f t="shared" si="163"/>
        <v>5</v>
      </c>
      <c r="L671" s="179">
        <f>'Aztec Metered Load'!C675</f>
        <v>3.964</v>
      </c>
    </row>
    <row r="672" spans="1:12" x14ac:dyDescent="0.3">
      <c r="A672" s="19">
        <f t="shared" si="167"/>
        <v>45775</v>
      </c>
      <c r="B672">
        <f t="shared" si="168"/>
        <v>22</v>
      </c>
      <c r="C672" s="16">
        <f>IFERROR(MATCH(A673,NERCHolidays!$B$2:$B$121,0),0)</f>
        <v>0</v>
      </c>
      <c r="D672">
        <f t="shared" si="164"/>
        <v>1</v>
      </c>
      <c r="E672" t="str">
        <f t="shared" si="159"/>
        <v>PK</v>
      </c>
      <c r="F672">
        <f t="shared" si="160"/>
        <v>5</v>
      </c>
      <c r="G672">
        <f t="shared" si="161"/>
        <v>1</v>
      </c>
      <c r="H672">
        <f t="shared" si="162"/>
        <v>0</v>
      </c>
      <c r="I672">
        <f t="shared" si="165"/>
        <v>1</v>
      </c>
      <c r="J672">
        <f t="shared" si="166"/>
        <v>0</v>
      </c>
      <c r="K672">
        <f t="shared" si="163"/>
        <v>6</v>
      </c>
      <c r="L672" s="179">
        <f>'Aztec Metered Load'!C676</f>
        <v>3.67</v>
      </c>
    </row>
    <row r="673" spans="1:12" x14ac:dyDescent="0.3">
      <c r="A673" s="19">
        <f t="shared" si="167"/>
        <v>45775</v>
      </c>
      <c r="B673">
        <f t="shared" si="168"/>
        <v>23</v>
      </c>
      <c r="C673" s="16">
        <f>IFERROR(MATCH(A674,NERCHolidays!$B$2:$B$121,0),0)</f>
        <v>0</v>
      </c>
      <c r="D673">
        <f t="shared" si="164"/>
        <v>1</v>
      </c>
      <c r="E673" t="str">
        <f t="shared" si="159"/>
        <v>PK</v>
      </c>
      <c r="F673">
        <f t="shared" si="160"/>
        <v>5</v>
      </c>
      <c r="G673">
        <f t="shared" si="161"/>
        <v>1</v>
      </c>
      <c r="H673">
        <f t="shared" si="162"/>
        <v>0</v>
      </c>
      <c r="I673">
        <f t="shared" si="165"/>
        <v>1</v>
      </c>
      <c r="J673">
        <f t="shared" si="166"/>
        <v>0</v>
      </c>
      <c r="K673">
        <f t="shared" si="163"/>
        <v>6</v>
      </c>
      <c r="L673" s="179">
        <f>'Aztec Metered Load'!C677</f>
        <v>3.3740000000000001</v>
      </c>
    </row>
    <row r="674" spans="1:12" x14ac:dyDescent="0.3">
      <c r="A674" s="19">
        <f t="shared" si="167"/>
        <v>45775</v>
      </c>
      <c r="B674">
        <f t="shared" si="168"/>
        <v>24</v>
      </c>
      <c r="C674" s="16">
        <f>IFERROR(MATCH(#REF!,NERCHolidays!$B$2:$B$121,0),0)</f>
        <v>0</v>
      </c>
      <c r="D674">
        <f t="shared" si="164"/>
        <v>0</v>
      </c>
      <c r="E674" t="str">
        <f t="shared" si="159"/>
        <v>OP</v>
      </c>
      <c r="F674">
        <f t="shared" si="160"/>
        <v>5</v>
      </c>
      <c r="G674">
        <f t="shared" si="161"/>
        <v>0</v>
      </c>
      <c r="H674">
        <f t="shared" si="162"/>
        <v>0</v>
      </c>
      <c r="I674">
        <f t="shared" si="165"/>
        <v>1</v>
      </c>
      <c r="J674">
        <f t="shared" si="166"/>
        <v>0</v>
      </c>
      <c r="K674">
        <f t="shared" si="163"/>
        <v>5</v>
      </c>
      <c r="L674" s="179">
        <f>'Aztec Metered Load'!C678</f>
        <v>3.2229999999999999</v>
      </c>
    </row>
    <row r="675" spans="1:12" x14ac:dyDescent="0.3">
      <c r="A675" s="19">
        <f t="shared" ref="A675:A718" si="169">IF(B674=24,A674+1,A674)</f>
        <v>45776</v>
      </c>
      <c r="B675">
        <f t="shared" si="168"/>
        <v>1</v>
      </c>
      <c r="C675" s="16">
        <f>IFERROR(MATCH(#REF!,NERCHolidays!$B$2:$B$121,0),0)</f>
        <v>0</v>
      </c>
      <c r="D675">
        <f t="shared" ref="D675:D718" si="170">IF(AND(B675&gt;=8,B675&lt;=23),1,0)</f>
        <v>0</v>
      </c>
      <c r="E675" t="str">
        <f t="shared" ref="E675:E718" si="171">IF(OR(WEEKDAY(A675)=1,C675&lt;&gt;0),"OP",IF(D675=0,"OP","PK"))</f>
        <v>OP</v>
      </c>
      <c r="F675">
        <f t="shared" ref="F675:F718" si="172">VLOOKUP(A675,$O$3:$AN$34,B675+2,FALSE)</f>
        <v>5</v>
      </c>
      <c r="G675">
        <f t="shared" ref="G675:G718" si="173">VLOOKUP(A675,$O$107:$AM$138,B675+1,FALSE)</f>
        <v>1</v>
      </c>
      <c r="H675">
        <f t="shared" ref="H675:H718" si="174">VLOOKUP(A675,$O$142:$AM$173,B675+1,FALSE)</f>
        <v>0</v>
      </c>
      <c r="I675">
        <f t="shared" ref="I675:I718" si="175">VLOOKUP(A675,$O$40:$AN$70,B675+2,FALSE)</f>
        <v>1</v>
      </c>
      <c r="J675">
        <f t="shared" ref="J675:J718" si="176">VLOOKUP(A675,$O$73:$AN$104,B675+2,FALSE)</f>
        <v>0</v>
      </c>
      <c r="K675">
        <f t="shared" ref="K675:K718" si="177">VLOOKUP(A675,$O$175:$AM$206,B675+1,FALSE)</f>
        <v>6</v>
      </c>
      <c r="L675" s="179">
        <f>'Aztec Metered Load'!C679</f>
        <v>3.2160000000000002</v>
      </c>
    </row>
    <row r="676" spans="1:12" x14ac:dyDescent="0.3">
      <c r="A676" s="19">
        <f t="shared" si="169"/>
        <v>45776</v>
      </c>
      <c r="B676">
        <f t="shared" si="168"/>
        <v>2</v>
      </c>
      <c r="C676" s="16">
        <f>IFERROR(MATCH(#REF!,NERCHolidays!$B$2:$B$121,0),0)</f>
        <v>0</v>
      </c>
      <c r="D676">
        <f t="shared" si="170"/>
        <v>0</v>
      </c>
      <c r="E676" t="str">
        <f t="shared" si="171"/>
        <v>OP</v>
      </c>
      <c r="F676">
        <f t="shared" si="172"/>
        <v>5</v>
      </c>
      <c r="G676">
        <f t="shared" si="173"/>
        <v>1</v>
      </c>
      <c r="H676">
        <f t="shared" si="174"/>
        <v>0</v>
      </c>
      <c r="I676">
        <f t="shared" si="175"/>
        <v>1</v>
      </c>
      <c r="J676">
        <f t="shared" si="176"/>
        <v>0</v>
      </c>
      <c r="K676">
        <f t="shared" si="177"/>
        <v>6</v>
      </c>
      <c r="L676" s="179">
        <f>'Aztec Metered Load'!C680</f>
        <v>3.1720000000000002</v>
      </c>
    </row>
    <row r="677" spans="1:12" x14ac:dyDescent="0.3">
      <c r="A677" s="19">
        <f t="shared" si="169"/>
        <v>45776</v>
      </c>
      <c r="B677">
        <f t="shared" si="168"/>
        <v>3</v>
      </c>
      <c r="C677" s="16">
        <f>IFERROR(MATCH(#REF!,NERCHolidays!$B$2:$B$121,0),0)</f>
        <v>0</v>
      </c>
      <c r="D677">
        <f t="shared" si="170"/>
        <v>0</v>
      </c>
      <c r="E677" t="str">
        <f t="shared" si="171"/>
        <v>OP</v>
      </c>
      <c r="F677">
        <f t="shared" si="172"/>
        <v>5</v>
      </c>
      <c r="G677">
        <f t="shared" si="173"/>
        <v>1</v>
      </c>
      <c r="H677">
        <f t="shared" si="174"/>
        <v>0</v>
      </c>
      <c r="I677">
        <f t="shared" si="175"/>
        <v>1</v>
      </c>
      <c r="J677">
        <f t="shared" si="176"/>
        <v>0</v>
      </c>
      <c r="K677">
        <f t="shared" si="177"/>
        <v>6</v>
      </c>
      <c r="L677" s="179">
        <f>'Aztec Metered Load'!C681</f>
        <v>3.2320000000000002</v>
      </c>
    </row>
    <row r="678" spans="1:12" x14ac:dyDescent="0.3">
      <c r="A678" s="19">
        <f t="shared" si="169"/>
        <v>45776</v>
      </c>
      <c r="B678">
        <f t="shared" si="168"/>
        <v>4</v>
      </c>
      <c r="C678" s="16">
        <f>IFERROR(MATCH(#REF!,NERCHolidays!$B$2:$B$121,0),0)</f>
        <v>0</v>
      </c>
      <c r="D678">
        <f t="shared" si="170"/>
        <v>0</v>
      </c>
      <c r="E678" t="str">
        <f t="shared" si="171"/>
        <v>OP</v>
      </c>
      <c r="F678">
        <f t="shared" si="172"/>
        <v>5</v>
      </c>
      <c r="G678">
        <f t="shared" si="173"/>
        <v>1</v>
      </c>
      <c r="H678">
        <f t="shared" si="174"/>
        <v>0</v>
      </c>
      <c r="I678">
        <f t="shared" si="175"/>
        <v>2</v>
      </c>
      <c r="J678">
        <f t="shared" si="176"/>
        <v>0</v>
      </c>
      <c r="K678">
        <f t="shared" si="177"/>
        <v>6</v>
      </c>
      <c r="L678" s="179">
        <f>'Aztec Metered Load'!C682</f>
        <v>3.5049999999999999</v>
      </c>
    </row>
    <row r="679" spans="1:12" x14ac:dyDescent="0.3">
      <c r="A679" s="19">
        <f t="shared" si="169"/>
        <v>45776</v>
      </c>
      <c r="B679">
        <f t="shared" si="168"/>
        <v>5</v>
      </c>
      <c r="C679" s="16">
        <f>IFERROR(MATCH(#REF!,NERCHolidays!$B$2:$B$121,0),0)</f>
        <v>0</v>
      </c>
      <c r="D679">
        <f t="shared" si="170"/>
        <v>0</v>
      </c>
      <c r="E679" t="str">
        <f t="shared" si="171"/>
        <v>OP</v>
      </c>
      <c r="F679">
        <f t="shared" si="172"/>
        <v>5</v>
      </c>
      <c r="G679">
        <f t="shared" si="173"/>
        <v>1</v>
      </c>
      <c r="H679">
        <f t="shared" si="174"/>
        <v>0</v>
      </c>
      <c r="I679">
        <f t="shared" si="175"/>
        <v>2</v>
      </c>
      <c r="J679">
        <f t="shared" si="176"/>
        <v>0</v>
      </c>
      <c r="K679">
        <f t="shared" si="177"/>
        <v>6</v>
      </c>
      <c r="L679" s="179">
        <f>'Aztec Metered Load'!C683</f>
        <v>3.81</v>
      </c>
    </row>
    <row r="680" spans="1:12" x14ac:dyDescent="0.3">
      <c r="A680" s="19">
        <f t="shared" si="169"/>
        <v>45776</v>
      </c>
      <c r="B680">
        <f t="shared" si="168"/>
        <v>6</v>
      </c>
      <c r="C680" s="16">
        <f>IFERROR(MATCH(#REF!,NERCHolidays!$B$2:$B$121,0),0)</f>
        <v>0</v>
      </c>
      <c r="D680">
        <f t="shared" si="170"/>
        <v>0</v>
      </c>
      <c r="E680" t="str">
        <f t="shared" si="171"/>
        <v>OP</v>
      </c>
      <c r="F680">
        <f t="shared" si="172"/>
        <v>5</v>
      </c>
      <c r="G680">
        <f t="shared" si="173"/>
        <v>1</v>
      </c>
      <c r="H680">
        <f t="shared" si="174"/>
        <v>0</v>
      </c>
      <c r="I680">
        <f t="shared" si="175"/>
        <v>1</v>
      </c>
      <c r="J680">
        <f t="shared" si="176"/>
        <v>0</v>
      </c>
      <c r="K680">
        <f t="shared" si="177"/>
        <v>6</v>
      </c>
      <c r="L680" s="179">
        <f>'Aztec Metered Load'!C684</f>
        <v>4.274</v>
      </c>
    </row>
    <row r="681" spans="1:12" x14ac:dyDescent="0.3">
      <c r="A681" s="19">
        <f t="shared" si="169"/>
        <v>45776</v>
      </c>
      <c r="B681">
        <f t="shared" si="168"/>
        <v>7</v>
      </c>
      <c r="C681" s="16">
        <f>IFERROR(MATCH(#REF!,NERCHolidays!$B$2:$B$121,0),0)</f>
        <v>0</v>
      </c>
      <c r="D681">
        <f t="shared" si="170"/>
        <v>0</v>
      </c>
      <c r="E681" t="str">
        <f t="shared" si="171"/>
        <v>OP</v>
      </c>
      <c r="F681">
        <f t="shared" si="172"/>
        <v>5</v>
      </c>
      <c r="G681">
        <f t="shared" si="173"/>
        <v>1</v>
      </c>
      <c r="H681">
        <f t="shared" si="174"/>
        <v>0</v>
      </c>
      <c r="I681">
        <f t="shared" si="175"/>
        <v>1</v>
      </c>
      <c r="J681">
        <f t="shared" si="176"/>
        <v>0</v>
      </c>
      <c r="K681">
        <f t="shared" si="177"/>
        <v>6</v>
      </c>
      <c r="L681" s="179">
        <f>'Aztec Metered Load'!C685</f>
        <v>4.6180000000000003</v>
      </c>
    </row>
    <row r="682" spans="1:12" x14ac:dyDescent="0.3">
      <c r="A682" s="19">
        <f t="shared" si="169"/>
        <v>45776</v>
      </c>
      <c r="B682">
        <f t="shared" si="168"/>
        <v>8</v>
      </c>
      <c r="C682" s="16">
        <f>IFERROR(MATCH(#REF!,NERCHolidays!$B$2:$B$121,0),0)</f>
        <v>0</v>
      </c>
      <c r="D682">
        <f t="shared" si="170"/>
        <v>1</v>
      </c>
      <c r="E682" t="str">
        <f t="shared" si="171"/>
        <v>PK</v>
      </c>
      <c r="F682">
        <f t="shared" si="172"/>
        <v>5</v>
      </c>
      <c r="G682">
        <f t="shared" si="173"/>
        <v>1</v>
      </c>
      <c r="H682">
        <f t="shared" si="174"/>
        <v>0</v>
      </c>
      <c r="I682">
        <f t="shared" si="175"/>
        <v>1</v>
      </c>
      <c r="J682">
        <f t="shared" si="176"/>
        <v>0</v>
      </c>
      <c r="K682">
        <f t="shared" si="177"/>
        <v>6</v>
      </c>
      <c r="L682" s="179">
        <f>'Aztec Metered Load'!C686</f>
        <v>4.407</v>
      </c>
    </row>
    <row r="683" spans="1:12" x14ac:dyDescent="0.3">
      <c r="A683" s="19">
        <f t="shared" si="169"/>
        <v>45776</v>
      </c>
      <c r="B683">
        <f t="shared" si="168"/>
        <v>9</v>
      </c>
      <c r="C683" s="16">
        <f>IFERROR(MATCH(#REF!,NERCHolidays!$B$2:$B$121,0),0)</f>
        <v>0</v>
      </c>
      <c r="D683">
        <f t="shared" si="170"/>
        <v>1</v>
      </c>
      <c r="E683" t="str">
        <f t="shared" si="171"/>
        <v>PK</v>
      </c>
      <c r="F683">
        <f t="shared" si="172"/>
        <v>5</v>
      </c>
      <c r="G683">
        <f t="shared" si="173"/>
        <v>0</v>
      </c>
      <c r="H683">
        <f t="shared" si="174"/>
        <v>0</v>
      </c>
      <c r="I683">
        <f t="shared" si="175"/>
        <v>1</v>
      </c>
      <c r="J683">
        <f t="shared" si="176"/>
        <v>0</v>
      </c>
      <c r="K683">
        <f t="shared" si="177"/>
        <v>5</v>
      </c>
      <c r="L683" s="179">
        <f>'Aztec Metered Load'!C687</f>
        <v>3.992</v>
      </c>
    </row>
    <row r="684" spans="1:12" x14ac:dyDescent="0.3">
      <c r="A684" s="19">
        <f t="shared" si="169"/>
        <v>45776</v>
      </c>
      <c r="B684">
        <f t="shared" si="168"/>
        <v>10</v>
      </c>
      <c r="C684" s="16">
        <f>IFERROR(MATCH(#REF!,NERCHolidays!$B$2:$B$121,0),0)</f>
        <v>0</v>
      </c>
      <c r="D684">
        <f t="shared" si="170"/>
        <v>1</v>
      </c>
      <c r="E684" t="str">
        <f t="shared" si="171"/>
        <v>PK</v>
      </c>
      <c r="F684">
        <f t="shared" si="172"/>
        <v>5</v>
      </c>
      <c r="G684">
        <f t="shared" si="173"/>
        <v>0</v>
      </c>
      <c r="H684">
        <f t="shared" si="174"/>
        <v>0</v>
      </c>
      <c r="I684">
        <f t="shared" si="175"/>
        <v>1</v>
      </c>
      <c r="J684">
        <f t="shared" si="176"/>
        <v>0</v>
      </c>
      <c r="K684">
        <f t="shared" si="177"/>
        <v>5</v>
      </c>
      <c r="L684" s="179">
        <f>'Aztec Metered Load'!C688</f>
        <v>3.851</v>
      </c>
    </row>
    <row r="685" spans="1:12" x14ac:dyDescent="0.3">
      <c r="A685" s="19">
        <f t="shared" si="169"/>
        <v>45776</v>
      </c>
      <c r="B685">
        <f t="shared" si="168"/>
        <v>11</v>
      </c>
      <c r="C685" s="16">
        <f>IFERROR(MATCH(#REF!,NERCHolidays!$B$2:$B$121,0),0)</f>
        <v>0</v>
      </c>
      <c r="D685">
        <f t="shared" si="170"/>
        <v>1</v>
      </c>
      <c r="E685" t="str">
        <f t="shared" si="171"/>
        <v>PK</v>
      </c>
      <c r="F685">
        <f t="shared" si="172"/>
        <v>5</v>
      </c>
      <c r="G685">
        <f t="shared" si="173"/>
        <v>0</v>
      </c>
      <c r="H685">
        <f t="shared" si="174"/>
        <v>0</v>
      </c>
      <c r="I685">
        <f t="shared" si="175"/>
        <v>1</v>
      </c>
      <c r="J685">
        <f t="shared" si="176"/>
        <v>0</v>
      </c>
      <c r="K685">
        <f t="shared" si="177"/>
        <v>5</v>
      </c>
      <c r="L685" s="179">
        <f>'Aztec Metered Load'!C689</f>
        <v>3.6070000000000002</v>
      </c>
    </row>
    <row r="686" spans="1:12" x14ac:dyDescent="0.3">
      <c r="A686" s="19">
        <f t="shared" si="169"/>
        <v>45776</v>
      </c>
      <c r="B686">
        <f t="shared" si="168"/>
        <v>12</v>
      </c>
      <c r="C686" s="16">
        <f>IFERROR(MATCH(#REF!,NERCHolidays!$B$2:$B$121,0),0)</f>
        <v>0</v>
      </c>
      <c r="D686">
        <f t="shared" si="170"/>
        <v>1</v>
      </c>
      <c r="E686" t="str">
        <f t="shared" si="171"/>
        <v>PK</v>
      </c>
      <c r="F686">
        <f t="shared" si="172"/>
        <v>5</v>
      </c>
      <c r="G686">
        <f t="shared" si="173"/>
        <v>0</v>
      </c>
      <c r="H686">
        <f t="shared" si="174"/>
        <v>0</v>
      </c>
      <c r="I686">
        <f t="shared" si="175"/>
        <v>1</v>
      </c>
      <c r="J686">
        <f t="shared" si="176"/>
        <v>0</v>
      </c>
      <c r="K686">
        <f t="shared" si="177"/>
        <v>5</v>
      </c>
      <c r="L686" s="179">
        <f>'Aztec Metered Load'!C690</f>
        <v>3.5840000000000001</v>
      </c>
    </row>
    <row r="687" spans="1:12" x14ac:dyDescent="0.3">
      <c r="A687" s="19">
        <f t="shared" si="169"/>
        <v>45776</v>
      </c>
      <c r="B687">
        <f t="shared" si="168"/>
        <v>13</v>
      </c>
      <c r="C687" s="16">
        <f>IFERROR(MATCH(#REF!,NERCHolidays!$B$2:$B$121,0),0)</f>
        <v>0</v>
      </c>
      <c r="D687">
        <f t="shared" si="170"/>
        <v>1</v>
      </c>
      <c r="E687" t="str">
        <f t="shared" si="171"/>
        <v>PK</v>
      </c>
      <c r="F687">
        <f t="shared" si="172"/>
        <v>5</v>
      </c>
      <c r="G687">
        <f t="shared" si="173"/>
        <v>0</v>
      </c>
      <c r="H687">
        <f t="shared" si="174"/>
        <v>0</v>
      </c>
      <c r="I687">
        <f t="shared" si="175"/>
        <v>1</v>
      </c>
      <c r="J687">
        <f t="shared" si="176"/>
        <v>0</v>
      </c>
      <c r="K687">
        <f t="shared" si="177"/>
        <v>5</v>
      </c>
      <c r="L687" s="179">
        <f>'Aztec Metered Load'!C691</f>
        <v>3.9580000000000002</v>
      </c>
    </row>
    <row r="688" spans="1:12" x14ac:dyDescent="0.3">
      <c r="A688" s="19">
        <f t="shared" si="169"/>
        <v>45776</v>
      </c>
      <c r="B688">
        <f t="shared" si="168"/>
        <v>14</v>
      </c>
      <c r="C688" s="16">
        <f>IFERROR(MATCH(#REF!,NERCHolidays!$B$2:$B$121,0),0)</f>
        <v>0</v>
      </c>
      <c r="D688">
        <f t="shared" si="170"/>
        <v>1</v>
      </c>
      <c r="E688" t="str">
        <f t="shared" si="171"/>
        <v>PK</v>
      </c>
      <c r="F688">
        <f t="shared" si="172"/>
        <v>5</v>
      </c>
      <c r="G688">
        <f t="shared" si="173"/>
        <v>0</v>
      </c>
      <c r="H688">
        <f t="shared" si="174"/>
        <v>0</v>
      </c>
      <c r="I688">
        <f t="shared" si="175"/>
        <v>1</v>
      </c>
      <c r="J688">
        <f t="shared" si="176"/>
        <v>0</v>
      </c>
      <c r="K688">
        <f t="shared" si="177"/>
        <v>5</v>
      </c>
      <c r="L688" s="179">
        <f>'Aztec Metered Load'!C692</f>
        <v>3.9319999999999999</v>
      </c>
    </row>
    <row r="689" spans="1:12" x14ac:dyDescent="0.3">
      <c r="A689" s="19">
        <f t="shared" si="169"/>
        <v>45776</v>
      </c>
      <c r="B689">
        <f t="shared" si="168"/>
        <v>15</v>
      </c>
      <c r="C689" s="16">
        <f>IFERROR(MATCH(#REF!,NERCHolidays!$B$2:$B$121,0),0)</f>
        <v>0</v>
      </c>
      <c r="D689">
        <f t="shared" si="170"/>
        <v>1</v>
      </c>
      <c r="E689" t="str">
        <f t="shared" si="171"/>
        <v>PK</v>
      </c>
      <c r="F689">
        <f t="shared" si="172"/>
        <v>5</v>
      </c>
      <c r="G689">
        <f t="shared" si="173"/>
        <v>0</v>
      </c>
      <c r="H689">
        <f t="shared" si="174"/>
        <v>0</v>
      </c>
      <c r="I689">
        <f t="shared" si="175"/>
        <v>1</v>
      </c>
      <c r="J689">
        <f t="shared" si="176"/>
        <v>0</v>
      </c>
      <c r="K689">
        <f t="shared" si="177"/>
        <v>5</v>
      </c>
      <c r="L689" s="179">
        <f>'Aztec Metered Load'!C693</f>
        <v>3.9550000000000001</v>
      </c>
    </row>
    <row r="690" spans="1:12" x14ac:dyDescent="0.3">
      <c r="A690" s="19">
        <f t="shared" si="169"/>
        <v>45776</v>
      </c>
      <c r="B690">
        <f t="shared" si="168"/>
        <v>16</v>
      </c>
      <c r="C690" s="16">
        <f>IFERROR(MATCH(#REF!,NERCHolidays!$B$2:$B$121,0),0)</f>
        <v>0</v>
      </c>
      <c r="D690">
        <f t="shared" si="170"/>
        <v>1</v>
      </c>
      <c r="E690" t="str">
        <f t="shared" si="171"/>
        <v>PK</v>
      </c>
      <c r="F690">
        <f t="shared" si="172"/>
        <v>5</v>
      </c>
      <c r="G690">
        <f t="shared" si="173"/>
        <v>0</v>
      </c>
      <c r="H690">
        <f t="shared" si="174"/>
        <v>0</v>
      </c>
      <c r="I690">
        <f t="shared" si="175"/>
        <v>1</v>
      </c>
      <c r="J690">
        <f t="shared" si="176"/>
        <v>0</v>
      </c>
      <c r="K690">
        <f t="shared" si="177"/>
        <v>5</v>
      </c>
      <c r="L690" s="179">
        <f>'Aztec Metered Load'!C694</f>
        <v>4.133</v>
      </c>
    </row>
    <row r="691" spans="1:12" x14ac:dyDescent="0.3">
      <c r="A691" s="19">
        <f t="shared" si="169"/>
        <v>45776</v>
      </c>
      <c r="B691">
        <f t="shared" si="168"/>
        <v>17</v>
      </c>
      <c r="C691" s="16">
        <f>IFERROR(MATCH(#REF!,NERCHolidays!$B$2:$B$121,0),0)</f>
        <v>0</v>
      </c>
      <c r="D691">
        <f t="shared" si="170"/>
        <v>1</v>
      </c>
      <c r="E691" t="str">
        <f t="shared" si="171"/>
        <v>PK</v>
      </c>
      <c r="F691">
        <f t="shared" si="172"/>
        <v>5</v>
      </c>
      <c r="G691">
        <f t="shared" si="173"/>
        <v>0</v>
      </c>
      <c r="H691">
        <f t="shared" si="174"/>
        <v>0</v>
      </c>
      <c r="I691">
        <f t="shared" si="175"/>
        <v>1</v>
      </c>
      <c r="J691">
        <f t="shared" si="176"/>
        <v>0</v>
      </c>
      <c r="K691">
        <f t="shared" si="177"/>
        <v>5</v>
      </c>
      <c r="L691" s="179">
        <f>'Aztec Metered Load'!C695</f>
        <v>4.3460000000000001</v>
      </c>
    </row>
    <row r="692" spans="1:12" x14ac:dyDescent="0.3">
      <c r="A692" s="19">
        <f t="shared" si="169"/>
        <v>45776</v>
      </c>
      <c r="B692">
        <f t="shared" si="168"/>
        <v>18</v>
      </c>
      <c r="C692" s="16">
        <f>IFERROR(MATCH(#REF!,NERCHolidays!$B$2:$B$121,0),0)</f>
        <v>0</v>
      </c>
      <c r="D692">
        <f t="shared" si="170"/>
        <v>1</v>
      </c>
      <c r="E692" t="str">
        <f t="shared" si="171"/>
        <v>PK</v>
      </c>
      <c r="F692">
        <f t="shared" si="172"/>
        <v>5</v>
      </c>
      <c r="G692">
        <f t="shared" si="173"/>
        <v>0</v>
      </c>
      <c r="H692">
        <f t="shared" si="174"/>
        <v>0</v>
      </c>
      <c r="I692">
        <f t="shared" si="175"/>
        <v>1</v>
      </c>
      <c r="J692">
        <f t="shared" si="176"/>
        <v>0</v>
      </c>
      <c r="K692">
        <f t="shared" si="177"/>
        <v>5</v>
      </c>
      <c r="L692" s="179">
        <f>'Aztec Metered Load'!C696</f>
        <v>4.335</v>
      </c>
    </row>
    <row r="693" spans="1:12" x14ac:dyDescent="0.3">
      <c r="A693" s="19">
        <f t="shared" si="169"/>
        <v>45776</v>
      </c>
      <c r="B693">
        <f t="shared" si="168"/>
        <v>19</v>
      </c>
      <c r="C693" s="16">
        <f>IFERROR(MATCH(#REF!,NERCHolidays!$B$2:$B$121,0),0)</f>
        <v>0</v>
      </c>
      <c r="D693">
        <f t="shared" si="170"/>
        <v>1</v>
      </c>
      <c r="E693" t="str">
        <f t="shared" si="171"/>
        <v>PK</v>
      </c>
      <c r="F693">
        <f t="shared" si="172"/>
        <v>5</v>
      </c>
      <c r="G693">
        <f t="shared" si="173"/>
        <v>1</v>
      </c>
      <c r="H693">
        <f t="shared" si="174"/>
        <v>0</v>
      </c>
      <c r="I693">
        <f t="shared" si="175"/>
        <v>1</v>
      </c>
      <c r="J693">
        <f t="shared" si="176"/>
        <v>0</v>
      </c>
      <c r="K693">
        <f t="shared" si="177"/>
        <v>6</v>
      </c>
      <c r="L693" s="179">
        <f>'Aztec Metered Load'!C697</f>
        <v>4.2489999999999997</v>
      </c>
    </row>
    <row r="694" spans="1:12" x14ac:dyDescent="0.3">
      <c r="A694" s="19">
        <f t="shared" si="169"/>
        <v>45776</v>
      </c>
      <c r="B694">
        <f t="shared" si="168"/>
        <v>20</v>
      </c>
      <c r="C694" s="16">
        <f>IFERROR(MATCH(#REF!,NERCHolidays!$B$2:$B$121,0),0)</f>
        <v>0</v>
      </c>
      <c r="D694">
        <f t="shared" si="170"/>
        <v>1</v>
      </c>
      <c r="E694" t="str">
        <f t="shared" si="171"/>
        <v>PK</v>
      </c>
      <c r="F694">
        <f t="shared" si="172"/>
        <v>5</v>
      </c>
      <c r="G694">
        <f t="shared" si="173"/>
        <v>1</v>
      </c>
      <c r="H694">
        <f t="shared" si="174"/>
        <v>0</v>
      </c>
      <c r="I694">
        <f t="shared" si="175"/>
        <v>1</v>
      </c>
      <c r="J694">
        <f t="shared" si="176"/>
        <v>0</v>
      </c>
      <c r="K694">
        <f t="shared" si="177"/>
        <v>6</v>
      </c>
      <c r="L694" s="179">
        <f>'Aztec Metered Load'!C698</f>
        <v>4.359</v>
      </c>
    </row>
    <row r="695" spans="1:12" x14ac:dyDescent="0.3">
      <c r="A695" s="19">
        <f t="shared" si="169"/>
        <v>45776</v>
      </c>
      <c r="B695">
        <f t="shared" si="168"/>
        <v>21</v>
      </c>
      <c r="C695" s="16">
        <f>IFERROR(MATCH(#REF!,NERCHolidays!$B$2:$B$121,0),0)</f>
        <v>0</v>
      </c>
      <c r="D695">
        <f t="shared" si="170"/>
        <v>1</v>
      </c>
      <c r="E695" t="str">
        <f t="shared" si="171"/>
        <v>PK</v>
      </c>
      <c r="F695">
        <f t="shared" si="172"/>
        <v>5</v>
      </c>
      <c r="G695">
        <f t="shared" si="173"/>
        <v>1</v>
      </c>
      <c r="H695">
        <f t="shared" si="174"/>
        <v>0</v>
      </c>
      <c r="I695">
        <f t="shared" si="175"/>
        <v>1</v>
      </c>
      <c r="J695">
        <f t="shared" si="176"/>
        <v>0</v>
      </c>
      <c r="K695">
        <f t="shared" si="177"/>
        <v>6</v>
      </c>
      <c r="L695" s="179">
        <f>'Aztec Metered Load'!C699</f>
        <v>4.2919999999999998</v>
      </c>
    </row>
    <row r="696" spans="1:12" x14ac:dyDescent="0.3">
      <c r="A696" s="19">
        <f t="shared" si="169"/>
        <v>45776</v>
      </c>
      <c r="B696">
        <f t="shared" si="168"/>
        <v>22</v>
      </c>
      <c r="C696" s="16">
        <f>IFERROR(MATCH(#REF!,NERCHolidays!$B$2:$B$121,0),0)</f>
        <v>0</v>
      </c>
      <c r="D696">
        <f t="shared" si="170"/>
        <v>1</v>
      </c>
      <c r="E696" t="str">
        <f t="shared" si="171"/>
        <v>PK</v>
      </c>
      <c r="F696">
        <f t="shared" si="172"/>
        <v>5</v>
      </c>
      <c r="G696">
        <f t="shared" si="173"/>
        <v>1</v>
      </c>
      <c r="H696">
        <f t="shared" si="174"/>
        <v>0</v>
      </c>
      <c r="I696">
        <f t="shared" si="175"/>
        <v>1</v>
      </c>
      <c r="J696">
        <f t="shared" si="176"/>
        <v>0</v>
      </c>
      <c r="K696">
        <f t="shared" si="177"/>
        <v>6</v>
      </c>
      <c r="L696" s="179">
        <f>'Aztec Metered Load'!C700</f>
        <v>3.831</v>
      </c>
    </row>
    <row r="697" spans="1:12" x14ac:dyDescent="0.3">
      <c r="A697" s="19">
        <f t="shared" si="169"/>
        <v>45776</v>
      </c>
      <c r="B697">
        <f t="shared" si="168"/>
        <v>23</v>
      </c>
      <c r="C697" s="16">
        <f>IFERROR(MATCH(#REF!,NERCHolidays!$B$2:$B$121,0),0)</f>
        <v>0</v>
      </c>
      <c r="D697">
        <f t="shared" si="170"/>
        <v>1</v>
      </c>
      <c r="E697" t="str">
        <f t="shared" si="171"/>
        <v>PK</v>
      </c>
      <c r="F697">
        <f t="shared" si="172"/>
        <v>5</v>
      </c>
      <c r="G697">
        <f t="shared" si="173"/>
        <v>1</v>
      </c>
      <c r="H697">
        <f t="shared" si="174"/>
        <v>0</v>
      </c>
      <c r="I697">
        <f t="shared" si="175"/>
        <v>1</v>
      </c>
      <c r="J697">
        <f t="shared" si="176"/>
        <v>0</v>
      </c>
      <c r="K697">
        <f t="shared" si="177"/>
        <v>6</v>
      </c>
      <c r="L697" s="179">
        <f>'Aztec Metered Load'!C701</f>
        <v>3.4390000000000001</v>
      </c>
    </row>
    <row r="698" spans="1:12" x14ac:dyDescent="0.3">
      <c r="A698" s="19">
        <f t="shared" si="169"/>
        <v>45776</v>
      </c>
      <c r="B698">
        <f t="shared" si="168"/>
        <v>24</v>
      </c>
      <c r="C698" s="16">
        <f>IFERROR(MATCH(#REF!,NERCHolidays!$B$2:$B$121,0),0)</f>
        <v>0</v>
      </c>
      <c r="D698">
        <f t="shared" si="170"/>
        <v>0</v>
      </c>
      <c r="E698" t="str">
        <f t="shared" si="171"/>
        <v>OP</v>
      </c>
      <c r="F698">
        <f t="shared" si="172"/>
        <v>5</v>
      </c>
      <c r="G698">
        <f t="shared" si="173"/>
        <v>0</v>
      </c>
      <c r="H698">
        <f t="shared" si="174"/>
        <v>0</v>
      </c>
      <c r="I698">
        <f t="shared" si="175"/>
        <v>1</v>
      </c>
      <c r="J698">
        <f t="shared" si="176"/>
        <v>0</v>
      </c>
      <c r="K698">
        <f t="shared" si="177"/>
        <v>5</v>
      </c>
      <c r="L698" s="179">
        <f>'Aztec Metered Load'!C702</f>
        <v>3.2730000000000001</v>
      </c>
    </row>
    <row r="699" spans="1:12" x14ac:dyDescent="0.3">
      <c r="A699" s="19">
        <f t="shared" si="169"/>
        <v>45777</v>
      </c>
      <c r="B699">
        <f t="shared" si="168"/>
        <v>1</v>
      </c>
      <c r="C699" s="16">
        <f>IFERROR(MATCH(#REF!,NERCHolidays!$B$2:$B$121,0),0)</f>
        <v>0</v>
      </c>
      <c r="D699">
        <f t="shared" si="170"/>
        <v>0</v>
      </c>
      <c r="E699" t="str">
        <f t="shared" si="171"/>
        <v>OP</v>
      </c>
      <c r="F699">
        <f t="shared" si="172"/>
        <v>4</v>
      </c>
      <c r="G699">
        <f t="shared" si="173"/>
        <v>1</v>
      </c>
      <c r="H699">
        <f t="shared" si="174"/>
        <v>0</v>
      </c>
      <c r="I699">
        <f t="shared" si="175"/>
        <v>1</v>
      </c>
      <c r="J699">
        <f t="shared" si="176"/>
        <v>0</v>
      </c>
      <c r="K699">
        <f t="shared" si="177"/>
        <v>5</v>
      </c>
      <c r="L699" s="179">
        <f>'Aztec Metered Load'!C703</f>
        <v>3.1680000000000001</v>
      </c>
    </row>
    <row r="700" spans="1:12" x14ac:dyDescent="0.3">
      <c r="A700" s="19">
        <f t="shared" si="169"/>
        <v>45777</v>
      </c>
      <c r="B700">
        <f t="shared" si="168"/>
        <v>2</v>
      </c>
      <c r="C700" s="16">
        <f>IFERROR(MATCH(#REF!,NERCHolidays!$B$2:$B$121,0),0)</f>
        <v>0</v>
      </c>
      <c r="D700">
        <f t="shared" si="170"/>
        <v>0</v>
      </c>
      <c r="E700" t="str">
        <f t="shared" si="171"/>
        <v>OP</v>
      </c>
      <c r="F700">
        <f t="shared" si="172"/>
        <v>4</v>
      </c>
      <c r="G700">
        <f t="shared" si="173"/>
        <v>1</v>
      </c>
      <c r="H700">
        <f t="shared" si="174"/>
        <v>0</v>
      </c>
      <c r="I700">
        <f t="shared" si="175"/>
        <v>1</v>
      </c>
      <c r="J700">
        <f t="shared" si="176"/>
        <v>0</v>
      </c>
      <c r="K700">
        <f t="shared" si="177"/>
        <v>5</v>
      </c>
      <c r="L700" s="179">
        <f>'Aztec Metered Load'!C704</f>
        <v>3.1680000000000001</v>
      </c>
    </row>
    <row r="701" spans="1:12" x14ac:dyDescent="0.3">
      <c r="A701" s="19">
        <f t="shared" si="169"/>
        <v>45777</v>
      </c>
      <c r="B701">
        <f t="shared" si="168"/>
        <v>3</v>
      </c>
      <c r="C701" s="16">
        <f>IFERROR(MATCH(#REF!,NERCHolidays!$B$2:$B$121,0),0)</f>
        <v>0</v>
      </c>
      <c r="D701">
        <f t="shared" si="170"/>
        <v>0</v>
      </c>
      <c r="E701" t="str">
        <f t="shared" si="171"/>
        <v>OP</v>
      </c>
      <c r="F701">
        <f t="shared" si="172"/>
        <v>4</v>
      </c>
      <c r="G701">
        <f t="shared" si="173"/>
        <v>1</v>
      </c>
      <c r="H701">
        <f t="shared" si="174"/>
        <v>0</v>
      </c>
      <c r="I701">
        <f t="shared" si="175"/>
        <v>1</v>
      </c>
      <c r="J701">
        <f t="shared" si="176"/>
        <v>0</v>
      </c>
      <c r="K701">
        <f t="shared" si="177"/>
        <v>5</v>
      </c>
      <c r="L701" s="179">
        <f>'Aztec Metered Load'!C705</f>
        <v>3.26</v>
      </c>
    </row>
    <row r="702" spans="1:12" x14ac:dyDescent="0.3">
      <c r="A702" s="19">
        <f t="shared" si="169"/>
        <v>45777</v>
      </c>
      <c r="B702">
        <f t="shared" si="168"/>
        <v>4</v>
      </c>
      <c r="C702" s="16">
        <f>IFERROR(MATCH(#REF!,NERCHolidays!$B$2:$B$121,0),0)</f>
        <v>0</v>
      </c>
      <c r="D702">
        <f t="shared" si="170"/>
        <v>0</v>
      </c>
      <c r="E702" t="str">
        <f t="shared" si="171"/>
        <v>OP</v>
      </c>
      <c r="F702">
        <f t="shared" si="172"/>
        <v>4</v>
      </c>
      <c r="G702">
        <f t="shared" si="173"/>
        <v>1</v>
      </c>
      <c r="H702">
        <f t="shared" si="174"/>
        <v>0</v>
      </c>
      <c r="I702">
        <f t="shared" si="175"/>
        <v>2</v>
      </c>
      <c r="J702">
        <f t="shared" si="176"/>
        <v>0</v>
      </c>
      <c r="K702">
        <f t="shared" si="177"/>
        <v>5</v>
      </c>
      <c r="L702" s="179">
        <f>'Aztec Metered Load'!C706</f>
        <v>3.5</v>
      </c>
    </row>
    <row r="703" spans="1:12" x14ac:dyDescent="0.3">
      <c r="A703" s="19">
        <f t="shared" si="169"/>
        <v>45777</v>
      </c>
      <c r="B703">
        <f t="shared" si="168"/>
        <v>5</v>
      </c>
      <c r="C703" s="16">
        <f>IFERROR(MATCH(#REF!,NERCHolidays!$B$2:$B$121,0),0)</f>
        <v>0</v>
      </c>
      <c r="D703">
        <f t="shared" si="170"/>
        <v>0</v>
      </c>
      <c r="E703" t="str">
        <f t="shared" si="171"/>
        <v>OP</v>
      </c>
      <c r="F703">
        <f t="shared" si="172"/>
        <v>4</v>
      </c>
      <c r="G703">
        <f t="shared" si="173"/>
        <v>1</v>
      </c>
      <c r="H703">
        <f t="shared" si="174"/>
        <v>0</v>
      </c>
      <c r="I703">
        <f t="shared" si="175"/>
        <v>2</v>
      </c>
      <c r="J703">
        <f t="shared" si="176"/>
        <v>0</v>
      </c>
      <c r="K703">
        <f t="shared" si="177"/>
        <v>5</v>
      </c>
      <c r="L703" s="179">
        <f>'Aztec Metered Load'!C707</f>
        <v>3.9239999999999999</v>
      </c>
    </row>
    <row r="704" spans="1:12" x14ac:dyDescent="0.3">
      <c r="A704" s="19">
        <f t="shared" si="169"/>
        <v>45777</v>
      </c>
      <c r="B704">
        <f t="shared" si="168"/>
        <v>6</v>
      </c>
      <c r="C704" s="16">
        <f>IFERROR(MATCH(#REF!,NERCHolidays!$B$2:$B$121,0),0)</f>
        <v>0</v>
      </c>
      <c r="D704">
        <f t="shared" si="170"/>
        <v>0</v>
      </c>
      <c r="E704" t="str">
        <f t="shared" si="171"/>
        <v>OP</v>
      </c>
      <c r="F704">
        <f t="shared" si="172"/>
        <v>4</v>
      </c>
      <c r="G704">
        <f t="shared" si="173"/>
        <v>1</v>
      </c>
      <c r="H704">
        <f t="shared" si="174"/>
        <v>0</v>
      </c>
      <c r="I704">
        <f t="shared" si="175"/>
        <v>1</v>
      </c>
      <c r="J704">
        <f t="shared" si="176"/>
        <v>0</v>
      </c>
      <c r="K704">
        <f t="shared" si="177"/>
        <v>5</v>
      </c>
      <c r="L704" s="179">
        <f>'Aztec Metered Load'!C708</f>
        <v>4.3319999999999999</v>
      </c>
    </row>
    <row r="705" spans="1:12" x14ac:dyDescent="0.3">
      <c r="A705" s="19">
        <f t="shared" si="169"/>
        <v>45777</v>
      </c>
      <c r="B705">
        <f t="shared" si="168"/>
        <v>7</v>
      </c>
      <c r="C705" s="16">
        <f>IFERROR(MATCH(#REF!,NERCHolidays!$B$2:$B$121,0),0)</f>
        <v>0</v>
      </c>
      <c r="D705">
        <f t="shared" si="170"/>
        <v>0</v>
      </c>
      <c r="E705" t="str">
        <f t="shared" si="171"/>
        <v>OP</v>
      </c>
      <c r="F705">
        <f t="shared" si="172"/>
        <v>5</v>
      </c>
      <c r="G705">
        <f t="shared" si="173"/>
        <v>1</v>
      </c>
      <c r="H705">
        <f t="shared" si="174"/>
        <v>0</v>
      </c>
      <c r="I705">
        <f t="shared" si="175"/>
        <v>1</v>
      </c>
      <c r="J705">
        <f t="shared" si="176"/>
        <v>0</v>
      </c>
      <c r="K705">
        <f t="shared" si="177"/>
        <v>6</v>
      </c>
      <c r="L705" s="179">
        <f>'Aztec Metered Load'!C709</f>
        <v>4.4139999999999997</v>
      </c>
    </row>
    <row r="706" spans="1:12" x14ac:dyDescent="0.3">
      <c r="A706" s="19">
        <f t="shared" si="169"/>
        <v>45777</v>
      </c>
      <c r="B706">
        <f t="shared" si="168"/>
        <v>8</v>
      </c>
      <c r="C706" s="16">
        <f>IFERROR(MATCH(#REF!,NERCHolidays!$B$2:$B$121,0),0)</f>
        <v>0</v>
      </c>
      <c r="D706">
        <f t="shared" si="170"/>
        <v>1</v>
      </c>
      <c r="E706" t="str">
        <f t="shared" si="171"/>
        <v>PK</v>
      </c>
      <c r="F706">
        <f t="shared" si="172"/>
        <v>5</v>
      </c>
      <c r="G706">
        <f t="shared" si="173"/>
        <v>1</v>
      </c>
      <c r="H706">
        <f t="shared" si="174"/>
        <v>0</v>
      </c>
      <c r="I706">
        <f t="shared" si="175"/>
        <v>1</v>
      </c>
      <c r="J706">
        <f t="shared" si="176"/>
        <v>0</v>
      </c>
      <c r="K706">
        <f t="shared" si="177"/>
        <v>6</v>
      </c>
      <c r="L706" s="179">
        <f>'Aztec Metered Load'!C710</f>
        <v>4.2640000000000002</v>
      </c>
    </row>
    <row r="707" spans="1:12" x14ac:dyDescent="0.3">
      <c r="A707" s="19">
        <f t="shared" si="169"/>
        <v>45777</v>
      </c>
      <c r="B707">
        <f t="shared" si="168"/>
        <v>9</v>
      </c>
      <c r="C707" s="16">
        <f>IFERROR(MATCH(#REF!,NERCHolidays!$B$2:$B$121,0),0)</f>
        <v>0</v>
      </c>
      <c r="D707">
        <f t="shared" si="170"/>
        <v>1</v>
      </c>
      <c r="E707" t="str">
        <f t="shared" si="171"/>
        <v>PK</v>
      </c>
      <c r="F707">
        <f t="shared" si="172"/>
        <v>5</v>
      </c>
      <c r="G707">
        <f t="shared" si="173"/>
        <v>0</v>
      </c>
      <c r="H707">
        <f t="shared" si="174"/>
        <v>0</v>
      </c>
      <c r="I707">
        <f t="shared" si="175"/>
        <v>1</v>
      </c>
      <c r="J707">
        <f t="shared" si="176"/>
        <v>0</v>
      </c>
      <c r="K707">
        <f t="shared" si="177"/>
        <v>5</v>
      </c>
      <c r="L707" s="179">
        <f>'Aztec Metered Load'!C711</f>
        <v>3.8610000000000002</v>
      </c>
    </row>
    <row r="708" spans="1:12" x14ac:dyDescent="0.3">
      <c r="A708" s="19">
        <f t="shared" si="169"/>
        <v>45777</v>
      </c>
      <c r="B708">
        <f t="shared" si="168"/>
        <v>10</v>
      </c>
      <c r="C708" s="16">
        <f>IFERROR(MATCH(#REF!,NERCHolidays!$B$2:$B$121,0),0)</f>
        <v>0</v>
      </c>
      <c r="D708">
        <f t="shared" si="170"/>
        <v>1</v>
      </c>
      <c r="E708" t="str">
        <f t="shared" si="171"/>
        <v>PK</v>
      </c>
      <c r="F708">
        <f t="shared" si="172"/>
        <v>5</v>
      </c>
      <c r="G708">
        <f t="shared" si="173"/>
        <v>0</v>
      </c>
      <c r="H708">
        <f t="shared" si="174"/>
        <v>0</v>
      </c>
      <c r="I708">
        <f t="shared" si="175"/>
        <v>1</v>
      </c>
      <c r="J708">
        <f t="shared" si="176"/>
        <v>0</v>
      </c>
      <c r="K708">
        <f t="shared" si="177"/>
        <v>5</v>
      </c>
      <c r="L708" s="179">
        <f>'Aztec Metered Load'!C712</f>
        <v>3.7170000000000001</v>
      </c>
    </row>
    <row r="709" spans="1:12" x14ac:dyDescent="0.3">
      <c r="A709" s="19">
        <f t="shared" si="169"/>
        <v>45777</v>
      </c>
      <c r="B709">
        <f t="shared" ref="B709:B722" si="178">IF(B708=24,1,B708+1)</f>
        <v>11</v>
      </c>
      <c r="C709" s="16">
        <f>IFERROR(MATCH(#REF!,NERCHolidays!$B$2:$B$121,0),0)</f>
        <v>0</v>
      </c>
      <c r="D709">
        <f t="shared" si="170"/>
        <v>1</v>
      </c>
      <c r="E709" t="str">
        <f t="shared" si="171"/>
        <v>PK</v>
      </c>
      <c r="F709">
        <f t="shared" si="172"/>
        <v>5</v>
      </c>
      <c r="G709">
        <f t="shared" si="173"/>
        <v>0</v>
      </c>
      <c r="H709">
        <f t="shared" si="174"/>
        <v>0</v>
      </c>
      <c r="I709">
        <f t="shared" si="175"/>
        <v>1</v>
      </c>
      <c r="J709">
        <f t="shared" si="176"/>
        <v>0</v>
      </c>
      <c r="K709">
        <f t="shared" si="177"/>
        <v>5</v>
      </c>
      <c r="L709" s="179">
        <f>'Aztec Metered Load'!C713</f>
        <v>3.609</v>
      </c>
    </row>
    <row r="710" spans="1:12" x14ac:dyDescent="0.3">
      <c r="A710" s="19">
        <f t="shared" si="169"/>
        <v>45777</v>
      </c>
      <c r="B710">
        <f t="shared" si="178"/>
        <v>12</v>
      </c>
      <c r="C710" s="16">
        <f>IFERROR(MATCH(#REF!,NERCHolidays!$B$2:$B$121,0),0)</f>
        <v>0</v>
      </c>
      <c r="D710">
        <f t="shared" si="170"/>
        <v>1</v>
      </c>
      <c r="E710" t="str">
        <f t="shared" si="171"/>
        <v>PK</v>
      </c>
      <c r="F710">
        <f t="shared" si="172"/>
        <v>5</v>
      </c>
      <c r="G710">
        <f t="shared" si="173"/>
        <v>0</v>
      </c>
      <c r="H710">
        <f t="shared" si="174"/>
        <v>0</v>
      </c>
      <c r="I710">
        <f t="shared" si="175"/>
        <v>1</v>
      </c>
      <c r="J710">
        <f t="shared" si="176"/>
        <v>0</v>
      </c>
      <c r="K710">
        <f t="shared" si="177"/>
        <v>5</v>
      </c>
      <c r="L710" s="179">
        <f>'Aztec Metered Load'!C714</f>
        <v>3.633</v>
      </c>
    </row>
    <row r="711" spans="1:12" x14ac:dyDescent="0.3">
      <c r="A711" s="19">
        <f t="shared" si="169"/>
        <v>45777</v>
      </c>
      <c r="B711">
        <f t="shared" si="178"/>
        <v>13</v>
      </c>
      <c r="C711" s="16">
        <f>IFERROR(MATCH(#REF!,NERCHolidays!$B$2:$B$121,0),0)</f>
        <v>0</v>
      </c>
      <c r="D711">
        <f t="shared" si="170"/>
        <v>1</v>
      </c>
      <c r="E711" t="str">
        <f t="shared" si="171"/>
        <v>PK</v>
      </c>
      <c r="F711">
        <f t="shared" si="172"/>
        <v>5</v>
      </c>
      <c r="G711">
        <f t="shared" si="173"/>
        <v>0</v>
      </c>
      <c r="H711">
        <f t="shared" si="174"/>
        <v>0</v>
      </c>
      <c r="I711">
        <f t="shared" si="175"/>
        <v>1</v>
      </c>
      <c r="J711">
        <f t="shared" si="176"/>
        <v>0</v>
      </c>
      <c r="K711">
        <f t="shared" si="177"/>
        <v>5</v>
      </c>
      <c r="L711" s="179">
        <f>'Aztec Metered Load'!C715</f>
        <v>3.633</v>
      </c>
    </row>
    <row r="712" spans="1:12" x14ac:dyDescent="0.3">
      <c r="A712" s="19">
        <f t="shared" si="169"/>
        <v>45777</v>
      </c>
      <c r="B712">
        <f t="shared" si="178"/>
        <v>14</v>
      </c>
      <c r="C712" s="16">
        <f>IFERROR(MATCH(#REF!,NERCHolidays!$B$2:$B$121,0),0)</f>
        <v>0</v>
      </c>
      <c r="D712">
        <f t="shared" si="170"/>
        <v>1</v>
      </c>
      <c r="E712" t="str">
        <f t="shared" si="171"/>
        <v>PK</v>
      </c>
      <c r="F712">
        <f t="shared" si="172"/>
        <v>5</v>
      </c>
      <c r="G712">
        <f t="shared" si="173"/>
        <v>0</v>
      </c>
      <c r="H712">
        <f t="shared" si="174"/>
        <v>0</v>
      </c>
      <c r="I712">
        <f t="shared" si="175"/>
        <v>1</v>
      </c>
      <c r="J712">
        <f t="shared" si="176"/>
        <v>0</v>
      </c>
      <c r="K712">
        <f t="shared" si="177"/>
        <v>5</v>
      </c>
      <c r="L712" s="179">
        <f>'Aztec Metered Load'!C716</f>
        <v>3.5630000000000002</v>
      </c>
    </row>
    <row r="713" spans="1:12" x14ac:dyDescent="0.3">
      <c r="A713" s="19">
        <f t="shared" si="169"/>
        <v>45777</v>
      </c>
      <c r="B713">
        <f t="shared" si="178"/>
        <v>15</v>
      </c>
      <c r="C713" s="16">
        <f>IFERROR(MATCH(#REF!,NERCHolidays!$B$2:$B$121,0),0)</f>
        <v>0</v>
      </c>
      <c r="D713">
        <f t="shared" si="170"/>
        <v>1</v>
      </c>
      <c r="E713" t="str">
        <f t="shared" si="171"/>
        <v>PK</v>
      </c>
      <c r="F713">
        <f t="shared" si="172"/>
        <v>5</v>
      </c>
      <c r="G713">
        <f t="shared" si="173"/>
        <v>0</v>
      </c>
      <c r="H713">
        <f t="shared" si="174"/>
        <v>0</v>
      </c>
      <c r="I713">
        <f t="shared" si="175"/>
        <v>1</v>
      </c>
      <c r="J713">
        <f t="shared" si="176"/>
        <v>0</v>
      </c>
      <c r="K713">
        <f t="shared" si="177"/>
        <v>5</v>
      </c>
      <c r="L713" s="179">
        <f>'Aztec Metered Load'!C717</f>
        <v>3.7679999999999998</v>
      </c>
    </row>
    <row r="714" spans="1:12" x14ac:dyDescent="0.3">
      <c r="A714" s="19">
        <f t="shared" si="169"/>
        <v>45777</v>
      </c>
      <c r="B714">
        <f t="shared" si="178"/>
        <v>16</v>
      </c>
      <c r="C714" s="16">
        <f>IFERROR(MATCH(#REF!,NERCHolidays!$B$2:$B$121,0),0)</f>
        <v>0</v>
      </c>
      <c r="D714">
        <f t="shared" si="170"/>
        <v>1</v>
      </c>
      <c r="E714" t="str">
        <f t="shared" si="171"/>
        <v>PK</v>
      </c>
      <c r="F714">
        <f t="shared" si="172"/>
        <v>5</v>
      </c>
      <c r="G714">
        <f t="shared" si="173"/>
        <v>0</v>
      </c>
      <c r="H714">
        <f t="shared" si="174"/>
        <v>0</v>
      </c>
      <c r="I714">
        <f t="shared" si="175"/>
        <v>1</v>
      </c>
      <c r="J714">
        <f t="shared" si="176"/>
        <v>0</v>
      </c>
      <c r="K714">
        <f t="shared" si="177"/>
        <v>5</v>
      </c>
      <c r="L714" s="179">
        <f>'Aztec Metered Load'!C718</f>
        <v>3.9670000000000001</v>
      </c>
    </row>
    <row r="715" spans="1:12" x14ac:dyDescent="0.3">
      <c r="A715" s="19">
        <f t="shared" si="169"/>
        <v>45777</v>
      </c>
      <c r="B715">
        <f t="shared" si="178"/>
        <v>17</v>
      </c>
      <c r="C715" s="16">
        <f>IFERROR(MATCH(#REF!,NERCHolidays!$B$2:$B$121,0),0)</f>
        <v>0</v>
      </c>
      <c r="D715">
        <f t="shared" si="170"/>
        <v>1</v>
      </c>
      <c r="E715" t="str">
        <f t="shared" si="171"/>
        <v>PK</v>
      </c>
      <c r="F715">
        <f t="shared" si="172"/>
        <v>5</v>
      </c>
      <c r="G715">
        <f t="shared" si="173"/>
        <v>0</v>
      </c>
      <c r="H715">
        <f t="shared" si="174"/>
        <v>0</v>
      </c>
      <c r="I715">
        <f t="shared" si="175"/>
        <v>1</v>
      </c>
      <c r="J715">
        <f t="shared" si="176"/>
        <v>0</v>
      </c>
      <c r="K715">
        <f t="shared" si="177"/>
        <v>5</v>
      </c>
      <c r="L715" s="179">
        <f>'Aztec Metered Load'!C719</f>
        <v>3.9489999999999998</v>
      </c>
    </row>
    <row r="716" spans="1:12" x14ac:dyDescent="0.3">
      <c r="A716" s="19">
        <f t="shared" si="169"/>
        <v>45777</v>
      </c>
      <c r="B716">
        <f t="shared" si="178"/>
        <v>18</v>
      </c>
      <c r="C716" s="16">
        <f>IFERROR(MATCH(#REF!,NERCHolidays!$B$2:$B$121,0),0)</f>
        <v>0</v>
      </c>
      <c r="D716">
        <f t="shared" si="170"/>
        <v>1</v>
      </c>
      <c r="E716" t="str">
        <f t="shared" si="171"/>
        <v>PK</v>
      </c>
      <c r="F716">
        <f t="shared" si="172"/>
        <v>5</v>
      </c>
      <c r="G716">
        <f t="shared" si="173"/>
        <v>0</v>
      </c>
      <c r="H716">
        <f t="shared" si="174"/>
        <v>0</v>
      </c>
      <c r="I716">
        <f t="shared" si="175"/>
        <v>1</v>
      </c>
      <c r="J716">
        <f t="shared" si="176"/>
        <v>0</v>
      </c>
      <c r="K716">
        <f t="shared" si="177"/>
        <v>5</v>
      </c>
      <c r="L716" s="179">
        <f>'Aztec Metered Load'!C720</f>
        <v>4.1340000000000003</v>
      </c>
    </row>
    <row r="717" spans="1:12" x14ac:dyDescent="0.3">
      <c r="A717" s="19">
        <f t="shared" si="169"/>
        <v>45777</v>
      </c>
      <c r="B717">
        <f t="shared" si="178"/>
        <v>19</v>
      </c>
      <c r="C717" s="16">
        <f>IFERROR(MATCH(#REF!,NERCHolidays!$B$2:$B$121,0),0)</f>
        <v>0</v>
      </c>
      <c r="D717">
        <f t="shared" si="170"/>
        <v>1</v>
      </c>
      <c r="E717" t="str">
        <f t="shared" si="171"/>
        <v>PK</v>
      </c>
      <c r="F717">
        <f t="shared" si="172"/>
        <v>5</v>
      </c>
      <c r="G717">
        <f t="shared" si="173"/>
        <v>1</v>
      </c>
      <c r="H717">
        <f t="shared" si="174"/>
        <v>0</v>
      </c>
      <c r="I717">
        <f t="shared" si="175"/>
        <v>1</v>
      </c>
      <c r="J717">
        <f t="shared" si="176"/>
        <v>0</v>
      </c>
      <c r="K717">
        <f t="shared" si="177"/>
        <v>6</v>
      </c>
      <c r="L717" s="179">
        <f>'Aztec Metered Load'!C721</f>
        <v>4.16</v>
      </c>
    </row>
    <row r="718" spans="1:12" x14ac:dyDescent="0.3">
      <c r="A718" s="19">
        <f t="shared" si="169"/>
        <v>45777</v>
      </c>
      <c r="B718">
        <f t="shared" si="178"/>
        <v>20</v>
      </c>
      <c r="C718" s="16">
        <f>IFERROR(MATCH(#REF!,NERCHolidays!$B$2:$B$121,0),0)</f>
        <v>0</v>
      </c>
      <c r="D718">
        <f t="shared" si="170"/>
        <v>1</v>
      </c>
      <c r="E718" t="str">
        <f t="shared" si="171"/>
        <v>PK</v>
      </c>
      <c r="F718">
        <f t="shared" si="172"/>
        <v>5</v>
      </c>
      <c r="G718">
        <f t="shared" si="173"/>
        <v>1</v>
      </c>
      <c r="H718">
        <f t="shared" si="174"/>
        <v>0</v>
      </c>
      <c r="I718">
        <f t="shared" si="175"/>
        <v>1</v>
      </c>
      <c r="J718">
        <f t="shared" si="176"/>
        <v>0</v>
      </c>
      <c r="K718">
        <f t="shared" si="177"/>
        <v>6</v>
      </c>
      <c r="L718" s="179">
        <f>'Aztec Metered Load'!C722</f>
        <v>4.33</v>
      </c>
    </row>
    <row r="719" spans="1:12" x14ac:dyDescent="0.3">
      <c r="A719" s="19">
        <f t="shared" ref="A719:A722" si="179">IF(B718=24,A718+1,A718)</f>
        <v>45777</v>
      </c>
      <c r="B719">
        <f t="shared" si="178"/>
        <v>21</v>
      </c>
      <c r="C719" s="16">
        <f>IFERROR(MATCH(#REF!,NERCHolidays!$B$2:$B$121,0),0)</f>
        <v>0</v>
      </c>
      <c r="D719">
        <f t="shared" ref="D719:D722" si="180">IF(AND(B719&gt;=8,B719&lt;=23),1,0)</f>
        <v>1</v>
      </c>
      <c r="E719" t="str">
        <f t="shared" ref="E719:E722" si="181">IF(OR(WEEKDAY(A719)=1,C719&lt;&gt;0),"OP",IF(D719=0,"OP","PK"))</f>
        <v>PK</v>
      </c>
      <c r="F719">
        <f t="shared" ref="F719:F722" si="182">VLOOKUP(A719,$O$3:$AN$34,B719+2,FALSE)</f>
        <v>5</v>
      </c>
      <c r="G719">
        <f t="shared" ref="G719:G722" si="183">VLOOKUP(A719,$O$107:$AM$138,B719+1,FALSE)</f>
        <v>1</v>
      </c>
      <c r="H719">
        <f t="shared" ref="H719:H722" si="184">VLOOKUP(A719,$O$142:$AM$173,B719+1,FALSE)</f>
        <v>0</v>
      </c>
      <c r="I719">
        <f t="shared" ref="I719:I722" si="185">VLOOKUP(A719,$O$40:$AN$70,B719+2,FALSE)</f>
        <v>1</v>
      </c>
      <c r="J719">
        <f t="shared" ref="J719:J722" si="186">VLOOKUP(A719,$O$73:$AN$104,B719+2,FALSE)</f>
        <v>0</v>
      </c>
      <c r="K719">
        <f t="shared" ref="K719:K722" si="187">VLOOKUP(A719,$O$175:$AM$206,B719+1,FALSE)</f>
        <v>6</v>
      </c>
      <c r="L719" s="179">
        <f>'Aztec Metered Load'!C723</f>
        <v>4.0629999999999997</v>
      </c>
    </row>
    <row r="720" spans="1:12" x14ac:dyDescent="0.3">
      <c r="A720" s="19">
        <f t="shared" si="179"/>
        <v>45777</v>
      </c>
      <c r="B720">
        <f t="shared" si="178"/>
        <v>22</v>
      </c>
      <c r="C720" s="16">
        <f>IFERROR(MATCH(#REF!,NERCHolidays!$B$2:$B$121,0),0)</f>
        <v>0</v>
      </c>
      <c r="D720">
        <f t="shared" si="180"/>
        <v>1</v>
      </c>
      <c r="E720" t="str">
        <f t="shared" si="181"/>
        <v>PK</v>
      </c>
      <c r="F720">
        <f t="shared" si="182"/>
        <v>5</v>
      </c>
      <c r="G720">
        <f t="shared" si="183"/>
        <v>1</v>
      </c>
      <c r="H720">
        <f t="shared" si="184"/>
        <v>0</v>
      </c>
      <c r="I720">
        <f t="shared" si="185"/>
        <v>1</v>
      </c>
      <c r="J720">
        <f t="shared" si="186"/>
        <v>0</v>
      </c>
      <c r="K720">
        <f t="shared" si="187"/>
        <v>6</v>
      </c>
      <c r="L720" s="179">
        <f>'Aztec Metered Load'!C724</f>
        <v>3.589</v>
      </c>
    </row>
    <row r="721" spans="1:12" x14ac:dyDescent="0.3">
      <c r="A721" s="19">
        <f t="shared" si="179"/>
        <v>45777</v>
      </c>
      <c r="B721">
        <f t="shared" si="178"/>
        <v>23</v>
      </c>
      <c r="C721" s="16">
        <f>IFERROR(MATCH(#REF!,NERCHolidays!$B$2:$B$121,0),0)</f>
        <v>0</v>
      </c>
      <c r="D721">
        <f t="shared" si="180"/>
        <v>1</v>
      </c>
      <c r="E721" t="str">
        <f t="shared" si="181"/>
        <v>PK</v>
      </c>
      <c r="F721">
        <f t="shared" si="182"/>
        <v>4</v>
      </c>
      <c r="G721">
        <f t="shared" si="183"/>
        <v>1</v>
      </c>
      <c r="H721">
        <f t="shared" si="184"/>
        <v>0</v>
      </c>
      <c r="I721">
        <f t="shared" si="185"/>
        <v>1</v>
      </c>
      <c r="J721">
        <f t="shared" si="186"/>
        <v>0</v>
      </c>
      <c r="K721">
        <f t="shared" si="187"/>
        <v>5</v>
      </c>
      <c r="L721" s="179">
        <f>'Aztec Metered Load'!C725</f>
        <v>3.36</v>
      </c>
    </row>
    <row r="722" spans="1:12" x14ac:dyDescent="0.3">
      <c r="A722" s="19">
        <f t="shared" si="179"/>
        <v>45777</v>
      </c>
      <c r="B722">
        <f t="shared" si="178"/>
        <v>24</v>
      </c>
      <c r="C722" s="16">
        <f>IFERROR(MATCH(#REF!,NERCHolidays!$B$2:$B$121,0),0)</f>
        <v>0</v>
      </c>
      <c r="D722">
        <f t="shared" si="180"/>
        <v>0</v>
      </c>
      <c r="E722" t="str">
        <f t="shared" si="181"/>
        <v>OP</v>
      </c>
      <c r="F722">
        <f t="shared" si="182"/>
        <v>4</v>
      </c>
      <c r="G722">
        <f t="shared" si="183"/>
        <v>0</v>
      </c>
      <c r="H722">
        <f t="shared" si="184"/>
        <v>0</v>
      </c>
      <c r="I722">
        <f t="shared" si="185"/>
        <v>1</v>
      </c>
      <c r="J722">
        <f t="shared" si="186"/>
        <v>0</v>
      </c>
      <c r="K722">
        <f t="shared" si="187"/>
        <v>4</v>
      </c>
      <c r="L722" s="179">
        <f>'Aztec Metered Load'!C726</f>
        <v>3.2080000000000002</v>
      </c>
    </row>
    <row r="723" spans="1:12" x14ac:dyDescent="0.3">
      <c r="C723" s="16"/>
    </row>
    <row r="724" spans="1:12" x14ac:dyDescent="0.3">
      <c r="C724" s="16"/>
    </row>
    <row r="725" spans="1:12" x14ac:dyDescent="0.3">
      <c r="C725" s="16"/>
    </row>
    <row r="726" spans="1:12" x14ac:dyDescent="0.3">
      <c r="C726" s="16"/>
    </row>
    <row r="727" spans="1:12" x14ac:dyDescent="0.3">
      <c r="C727" s="16"/>
    </row>
    <row r="728" spans="1:12" x14ac:dyDescent="0.3">
      <c r="C728" s="16"/>
    </row>
    <row r="729" spans="1:12" x14ac:dyDescent="0.3">
      <c r="C729" s="16"/>
    </row>
    <row r="730" spans="1:12" x14ac:dyDescent="0.3">
      <c r="C730" s="16"/>
    </row>
    <row r="731" spans="1:12" x14ac:dyDescent="0.3">
      <c r="C731" s="16"/>
    </row>
    <row r="732" spans="1:12" x14ac:dyDescent="0.3">
      <c r="C732" s="16"/>
    </row>
    <row r="733" spans="1:12" x14ac:dyDescent="0.3">
      <c r="C733" s="16"/>
    </row>
    <row r="734" spans="1:12" x14ac:dyDescent="0.3">
      <c r="C734" s="16"/>
    </row>
    <row r="735" spans="1:12" x14ac:dyDescent="0.3">
      <c r="C735" s="16"/>
    </row>
    <row r="736" spans="1:12" x14ac:dyDescent="0.3">
      <c r="C736" s="16"/>
    </row>
    <row r="737" spans="3:3" x14ac:dyDescent="0.3">
      <c r="C737" s="16"/>
    </row>
    <row r="738" spans="3:3" x14ac:dyDescent="0.3">
      <c r="C738" s="16"/>
    </row>
    <row r="739" spans="3:3" x14ac:dyDescent="0.3">
      <c r="C739" s="16"/>
    </row>
    <row r="740" spans="3:3" x14ac:dyDescent="0.3">
      <c r="C740" s="16"/>
    </row>
    <row r="741" spans="3:3" x14ac:dyDescent="0.3">
      <c r="C741" s="16"/>
    </row>
    <row r="742" spans="3:3" x14ac:dyDescent="0.3">
      <c r="C742" s="16"/>
    </row>
    <row r="743" spans="3:3" x14ac:dyDescent="0.3">
      <c r="C743" s="16"/>
    </row>
    <row r="744" spans="3:3" x14ac:dyDescent="0.3">
      <c r="C744" s="16"/>
    </row>
    <row r="745" spans="3:3" x14ac:dyDescent="0.3">
      <c r="C745" s="16"/>
    </row>
    <row r="746" spans="3:3" x14ac:dyDescent="0.3">
      <c r="C746" s="16"/>
    </row>
    <row r="747" spans="3:3" x14ac:dyDescent="0.3">
      <c r="C747" s="16"/>
    </row>
    <row r="748" spans="3:3" x14ac:dyDescent="0.3">
      <c r="C748" s="16"/>
    </row>
    <row r="749" spans="3:3" x14ac:dyDescent="0.3">
      <c r="C749" s="16"/>
    </row>
    <row r="750" spans="3:3" x14ac:dyDescent="0.3">
      <c r="C750" s="16"/>
    </row>
    <row r="751" spans="3:3" x14ac:dyDescent="0.3">
      <c r="C751" s="16"/>
    </row>
    <row r="752" spans="3:3" x14ac:dyDescent="0.3">
      <c r="C752" s="16"/>
    </row>
    <row r="753" spans="3:3" x14ac:dyDescent="0.3">
      <c r="C753" s="16"/>
    </row>
    <row r="754" spans="3:3" x14ac:dyDescent="0.3">
      <c r="C754" s="16"/>
    </row>
    <row r="755" spans="3:3" x14ac:dyDescent="0.3">
      <c r="C755" s="16"/>
    </row>
    <row r="756" spans="3:3" x14ac:dyDescent="0.3">
      <c r="C756" s="16"/>
    </row>
    <row r="757" spans="3:3" x14ac:dyDescent="0.3">
      <c r="C757" s="16"/>
    </row>
    <row r="758" spans="3:3" x14ac:dyDescent="0.3">
      <c r="C758" s="16"/>
    </row>
    <row r="759" spans="3:3" x14ac:dyDescent="0.3">
      <c r="C759" s="16"/>
    </row>
    <row r="760" spans="3:3" x14ac:dyDescent="0.3">
      <c r="C760" s="16"/>
    </row>
    <row r="761" spans="3:3" x14ac:dyDescent="0.3">
      <c r="C761" s="16"/>
    </row>
    <row r="762" spans="3:3" x14ac:dyDescent="0.3">
      <c r="C762" s="16"/>
    </row>
    <row r="763" spans="3:3" x14ac:dyDescent="0.3">
      <c r="C763" s="16"/>
    </row>
    <row r="764" spans="3:3" x14ac:dyDescent="0.3">
      <c r="C764" s="16"/>
    </row>
    <row r="765" spans="3:3" x14ac:dyDescent="0.3">
      <c r="C765" s="16"/>
    </row>
    <row r="766" spans="3:3" x14ac:dyDescent="0.3">
      <c r="C766" s="16"/>
    </row>
    <row r="767" spans="3:3" x14ac:dyDescent="0.3">
      <c r="C767" s="16"/>
    </row>
    <row r="768" spans="3:3" x14ac:dyDescent="0.3">
      <c r="C768" s="16"/>
    </row>
    <row r="769" spans="3:3" x14ac:dyDescent="0.3">
      <c r="C769" s="16"/>
    </row>
    <row r="770" spans="3:3" x14ac:dyDescent="0.3">
      <c r="C770" s="16"/>
    </row>
    <row r="771" spans="3:3" x14ac:dyDescent="0.3">
      <c r="C771" s="16"/>
    </row>
    <row r="772" spans="3:3" x14ac:dyDescent="0.3">
      <c r="C772" s="16"/>
    </row>
    <row r="773" spans="3:3" x14ac:dyDescent="0.3">
      <c r="C773" s="16"/>
    </row>
    <row r="774" spans="3:3" x14ac:dyDescent="0.3">
      <c r="C774" s="16"/>
    </row>
    <row r="775" spans="3:3" x14ac:dyDescent="0.3">
      <c r="C775" s="16"/>
    </row>
    <row r="776" spans="3:3" x14ac:dyDescent="0.3">
      <c r="C776" s="16"/>
    </row>
    <row r="777" spans="3:3" x14ac:dyDescent="0.3">
      <c r="C777" s="16"/>
    </row>
    <row r="778" spans="3:3" x14ac:dyDescent="0.3">
      <c r="C778" s="16"/>
    </row>
    <row r="779" spans="3:3" x14ac:dyDescent="0.3">
      <c r="C779" s="16"/>
    </row>
  </sheetData>
  <mergeCells count="1">
    <mergeCell ref="O2:P2"/>
  </mergeCells>
  <phoneticPr fontId="99" type="noConversion"/>
  <conditionalFormatting sqref="AN207">
    <cfRule type="cellIs" dxfId="0" priority="1" operator="equal">
      <formula>SUM($AO$38,$AN$139,$AN$173,$AN$174)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35"/>
  <sheetViews>
    <sheetView workbookViewId="0">
      <selection activeCell="H6" sqref="H6"/>
    </sheetView>
  </sheetViews>
  <sheetFormatPr defaultRowHeight="14.4" x14ac:dyDescent="0.3"/>
  <cols>
    <col min="1" max="1" width="13" bestFit="1" customWidth="1"/>
    <col min="2" max="2" width="11.33203125" bestFit="1" customWidth="1"/>
    <col min="3" max="3" width="11.88671875" bestFit="1" customWidth="1"/>
    <col min="4" max="4" width="12" bestFit="1" customWidth="1"/>
  </cols>
  <sheetData>
    <row r="3" spans="1:4" x14ac:dyDescent="0.3">
      <c r="A3" s="127" t="s">
        <v>62</v>
      </c>
      <c r="B3" t="s">
        <v>63</v>
      </c>
      <c r="C3" t="s">
        <v>64</v>
      </c>
      <c r="D3" t="s">
        <v>65</v>
      </c>
    </row>
    <row r="4" spans="1:4" x14ac:dyDescent="0.3">
      <c r="A4" s="20">
        <v>42644</v>
      </c>
      <c r="B4">
        <v>25</v>
      </c>
      <c r="C4">
        <v>0</v>
      </c>
      <c r="D4">
        <v>78</v>
      </c>
    </row>
    <row r="5" spans="1:4" x14ac:dyDescent="0.3">
      <c r="A5" s="20">
        <v>42645</v>
      </c>
      <c r="B5">
        <v>24</v>
      </c>
      <c r="C5">
        <v>0</v>
      </c>
      <c r="D5">
        <v>77</v>
      </c>
    </row>
    <row r="6" spans="1:4" x14ac:dyDescent="0.3">
      <c r="A6" s="20">
        <v>42646</v>
      </c>
      <c r="B6">
        <v>25</v>
      </c>
      <c r="C6">
        <v>0</v>
      </c>
      <c r="D6">
        <v>89</v>
      </c>
    </row>
    <row r="7" spans="1:4" x14ac:dyDescent="0.3">
      <c r="A7" s="20">
        <v>42647</v>
      </c>
      <c r="B7">
        <v>24</v>
      </c>
      <c r="C7">
        <v>0</v>
      </c>
      <c r="D7">
        <v>87</v>
      </c>
    </row>
    <row r="8" spans="1:4" x14ac:dyDescent="0.3">
      <c r="A8" s="20">
        <v>42648</v>
      </c>
      <c r="B8">
        <v>24</v>
      </c>
      <c r="C8">
        <v>0</v>
      </c>
      <c r="D8">
        <v>86</v>
      </c>
    </row>
    <row r="9" spans="1:4" x14ac:dyDescent="0.3">
      <c r="A9" s="20">
        <v>42649</v>
      </c>
      <c r="B9">
        <v>24</v>
      </c>
      <c r="C9">
        <v>0</v>
      </c>
      <c r="D9">
        <v>86</v>
      </c>
    </row>
    <row r="10" spans="1:4" x14ac:dyDescent="0.3">
      <c r="A10" s="20">
        <v>42650</v>
      </c>
      <c r="B10">
        <v>24</v>
      </c>
      <c r="C10">
        <v>0</v>
      </c>
      <c r="D10">
        <v>77</v>
      </c>
    </row>
    <row r="11" spans="1:4" x14ac:dyDescent="0.3">
      <c r="A11" s="20">
        <v>42651</v>
      </c>
      <c r="B11">
        <v>24</v>
      </c>
      <c r="C11">
        <v>0</v>
      </c>
      <c r="D11">
        <v>76</v>
      </c>
    </row>
    <row r="12" spans="1:4" x14ac:dyDescent="0.3">
      <c r="A12" s="20">
        <v>42652</v>
      </c>
      <c r="B12">
        <v>24</v>
      </c>
      <c r="C12">
        <v>0</v>
      </c>
      <c r="D12">
        <v>77</v>
      </c>
    </row>
    <row r="13" spans="1:4" x14ac:dyDescent="0.3">
      <c r="A13" s="20">
        <v>42653</v>
      </c>
      <c r="B13">
        <v>24</v>
      </c>
      <c r="C13">
        <v>0</v>
      </c>
      <c r="D13">
        <v>75</v>
      </c>
    </row>
    <row r="14" spans="1:4" x14ac:dyDescent="0.3">
      <c r="A14" s="20">
        <v>42654</v>
      </c>
      <c r="B14">
        <v>24</v>
      </c>
      <c r="C14">
        <v>0</v>
      </c>
      <c r="D14">
        <v>75</v>
      </c>
    </row>
    <row r="15" spans="1:4" x14ac:dyDescent="0.3">
      <c r="A15" s="20">
        <v>42655</v>
      </c>
      <c r="B15">
        <v>24</v>
      </c>
      <c r="C15">
        <v>0</v>
      </c>
      <c r="D15">
        <v>102</v>
      </c>
    </row>
    <row r="16" spans="1:4" x14ac:dyDescent="0.3">
      <c r="A16" s="20">
        <v>42656</v>
      </c>
      <c r="B16">
        <v>24</v>
      </c>
      <c r="C16">
        <v>0</v>
      </c>
      <c r="D16">
        <v>101</v>
      </c>
    </row>
    <row r="17" spans="1:4" x14ac:dyDescent="0.3">
      <c r="A17" s="20">
        <v>42657</v>
      </c>
      <c r="B17">
        <v>24</v>
      </c>
      <c r="C17">
        <v>0</v>
      </c>
      <c r="D17">
        <v>98</v>
      </c>
    </row>
    <row r="18" spans="1:4" x14ac:dyDescent="0.3">
      <c r="A18" s="20">
        <v>42658</v>
      </c>
      <c r="B18">
        <v>24</v>
      </c>
      <c r="C18">
        <v>0</v>
      </c>
      <c r="D18">
        <v>92</v>
      </c>
    </row>
    <row r="19" spans="1:4" x14ac:dyDescent="0.3">
      <c r="A19" s="20">
        <v>42659</v>
      </c>
      <c r="B19">
        <v>24</v>
      </c>
      <c r="C19">
        <v>0</v>
      </c>
      <c r="D19">
        <v>93</v>
      </c>
    </row>
    <row r="20" spans="1:4" x14ac:dyDescent="0.3">
      <c r="A20" s="20">
        <v>42660</v>
      </c>
      <c r="B20">
        <v>24</v>
      </c>
      <c r="C20">
        <v>0</v>
      </c>
      <c r="D20">
        <v>102</v>
      </c>
    </row>
    <row r="21" spans="1:4" x14ac:dyDescent="0.3">
      <c r="A21" s="20">
        <v>42661</v>
      </c>
      <c r="B21">
        <v>24</v>
      </c>
      <c r="C21">
        <v>0</v>
      </c>
      <c r="D21">
        <v>111</v>
      </c>
    </row>
    <row r="22" spans="1:4" x14ac:dyDescent="0.3">
      <c r="A22" s="20">
        <v>42662</v>
      </c>
      <c r="B22">
        <v>24</v>
      </c>
      <c r="C22">
        <v>0</v>
      </c>
      <c r="D22">
        <v>94</v>
      </c>
    </row>
    <row r="23" spans="1:4" x14ac:dyDescent="0.3">
      <c r="A23" s="20">
        <v>42663</v>
      </c>
      <c r="B23">
        <v>24</v>
      </c>
      <c r="C23">
        <v>0</v>
      </c>
      <c r="D23">
        <v>99</v>
      </c>
    </row>
    <row r="24" spans="1:4" x14ac:dyDescent="0.3">
      <c r="A24" s="20">
        <v>42664</v>
      </c>
      <c r="B24">
        <v>24</v>
      </c>
      <c r="C24">
        <v>0</v>
      </c>
      <c r="D24">
        <v>98</v>
      </c>
    </row>
    <row r="25" spans="1:4" x14ac:dyDescent="0.3">
      <c r="A25" s="20">
        <v>42665</v>
      </c>
      <c r="B25">
        <v>24</v>
      </c>
      <c r="C25">
        <v>0</v>
      </c>
      <c r="D25">
        <v>94</v>
      </c>
    </row>
    <row r="26" spans="1:4" x14ac:dyDescent="0.3">
      <c r="A26" s="20">
        <v>42666</v>
      </c>
      <c r="B26">
        <v>24</v>
      </c>
      <c r="C26">
        <v>0</v>
      </c>
      <c r="D26">
        <v>90</v>
      </c>
    </row>
    <row r="27" spans="1:4" x14ac:dyDescent="0.3">
      <c r="A27" s="20">
        <v>42667</v>
      </c>
      <c r="B27">
        <v>24</v>
      </c>
      <c r="C27">
        <v>0</v>
      </c>
      <c r="D27">
        <v>96</v>
      </c>
    </row>
    <row r="28" spans="1:4" x14ac:dyDescent="0.3">
      <c r="A28" s="20">
        <v>42668</v>
      </c>
      <c r="B28">
        <v>24</v>
      </c>
      <c r="C28">
        <v>0</v>
      </c>
      <c r="D28">
        <v>94</v>
      </c>
    </row>
    <row r="29" spans="1:4" x14ac:dyDescent="0.3">
      <c r="A29" s="20">
        <v>42669</v>
      </c>
      <c r="B29">
        <v>24</v>
      </c>
      <c r="C29">
        <v>0</v>
      </c>
      <c r="D29">
        <v>96</v>
      </c>
    </row>
    <row r="30" spans="1:4" x14ac:dyDescent="0.3">
      <c r="A30" s="20">
        <v>42670</v>
      </c>
      <c r="B30">
        <v>24</v>
      </c>
      <c r="C30">
        <v>0</v>
      </c>
      <c r="D30">
        <v>96</v>
      </c>
    </row>
    <row r="31" spans="1:4" x14ac:dyDescent="0.3">
      <c r="A31" s="20">
        <v>42671</v>
      </c>
      <c r="B31">
        <v>24</v>
      </c>
      <c r="C31">
        <v>0</v>
      </c>
      <c r="D31">
        <v>93</v>
      </c>
    </row>
    <row r="32" spans="1:4" x14ac:dyDescent="0.3">
      <c r="A32" s="20">
        <v>42672</v>
      </c>
      <c r="B32">
        <v>24</v>
      </c>
      <c r="C32">
        <v>0</v>
      </c>
      <c r="D32">
        <v>88</v>
      </c>
    </row>
    <row r="33" spans="1:4" x14ac:dyDescent="0.3">
      <c r="A33" s="20">
        <v>42673</v>
      </c>
      <c r="B33">
        <v>24</v>
      </c>
      <c r="C33">
        <v>0</v>
      </c>
      <c r="D33">
        <v>87</v>
      </c>
    </row>
    <row r="34" spans="1:4" x14ac:dyDescent="0.3">
      <c r="A34" s="20">
        <v>42674</v>
      </c>
      <c r="B34">
        <v>24</v>
      </c>
      <c r="C34">
        <v>0</v>
      </c>
      <c r="D34">
        <v>93</v>
      </c>
    </row>
    <row r="35" spans="1:4" x14ac:dyDescent="0.3">
      <c r="A35" s="128" t="s">
        <v>61</v>
      </c>
      <c r="B35">
        <v>746</v>
      </c>
      <c r="C35">
        <v>0</v>
      </c>
      <c r="D35">
        <v>2800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1"/>
  <sheetViews>
    <sheetView topLeftCell="A34" workbookViewId="0">
      <selection activeCell="A50" sqref="A50:XFD50"/>
    </sheetView>
  </sheetViews>
  <sheetFormatPr defaultRowHeight="14.4" x14ac:dyDescent="0.3"/>
  <cols>
    <col min="1" max="1" width="17.88671875" bestFit="1" customWidth="1"/>
    <col min="2" max="2" width="10.6640625" bestFit="1" customWidth="1"/>
    <col min="3" max="3" width="9.33203125" bestFit="1" customWidth="1"/>
  </cols>
  <sheetData>
    <row r="1" spans="1:3" x14ac:dyDescent="0.3">
      <c r="A1" t="s">
        <v>66</v>
      </c>
      <c r="B1" t="s">
        <v>11</v>
      </c>
      <c r="C1" t="s">
        <v>67</v>
      </c>
    </row>
    <row r="2" spans="1:3" x14ac:dyDescent="0.3">
      <c r="A2" t="s">
        <v>68</v>
      </c>
      <c r="B2" s="19">
        <v>40544</v>
      </c>
      <c r="C2" t="s">
        <v>69</v>
      </c>
    </row>
    <row r="3" spans="1:3" x14ac:dyDescent="0.3">
      <c r="A3" t="s">
        <v>70</v>
      </c>
      <c r="B3" s="19">
        <v>40693</v>
      </c>
      <c r="C3" t="s">
        <v>71</v>
      </c>
    </row>
    <row r="4" spans="1:3" x14ac:dyDescent="0.3">
      <c r="A4" t="s">
        <v>72</v>
      </c>
      <c r="B4" s="19">
        <v>40728</v>
      </c>
      <c r="C4" t="s">
        <v>71</v>
      </c>
    </row>
    <row r="5" spans="1:3" x14ac:dyDescent="0.3">
      <c r="A5" t="s">
        <v>73</v>
      </c>
      <c r="B5" s="19">
        <v>40791</v>
      </c>
      <c r="C5" t="s">
        <v>71</v>
      </c>
    </row>
    <row r="6" spans="1:3" x14ac:dyDescent="0.3">
      <c r="A6" t="s">
        <v>74</v>
      </c>
      <c r="B6" s="19">
        <v>40871</v>
      </c>
      <c r="C6" t="s">
        <v>75</v>
      </c>
    </row>
    <row r="7" spans="1:3" x14ac:dyDescent="0.3">
      <c r="A7" t="s">
        <v>76</v>
      </c>
      <c r="B7" s="19">
        <v>40903</v>
      </c>
      <c r="C7" t="s">
        <v>71</v>
      </c>
    </row>
    <row r="8" spans="1:3" x14ac:dyDescent="0.3">
      <c r="A8" t="s">
        <v>68</v>
      </c>
      <c r="B8" s="19">
        <v>40910</v>
      </c>
      <c r="C8" t="s">
        <v>71</v>
      </c>
    </row>
    <row r="9" spans="1:3" x14ac:dyDescent="0.3">
      <c r="A9" t="s">
        <v>70</v>
      </c>
      <c r="B9" s="19">
        <v>41057</v>
      </c>
      <c r="C9" t="s">
        <v>71</v>
      </c>
    </row>
    <row r="10" spans="1:3" x14ac:dyDescent="0.3">
      <c r="A10" t="s">
        <v>72</v>
      </c>
      <c r="B10" s="19">
        <v>41094</v>
      </c>
      <c r="C10" t="s">
        <v>77</v>
      </c>
    </row>
    <row r="11" spans="1:3" x14ac:dyDescent="0.3">
      <c r="A11" t="s">
        <v>73</v>
      </c>
      <c r="B11" s="19">
        <v>41155</v>
      </c>
      <c r="C11" t="s">
        <v>71</v>
      </c>
    </row>
    <row r="12" spans="1:3" x14ac:dyDescent="0.3">
      <c r="A12" t="s">
        <v>74</v>
      </c>
      <c r="B12" s="19">
        <v>41235</v>
      </c>
      <c r="C12" t="s">
        <v>75</v>
      </c>
    </row>
    <row r="13" spans="1:3" x14ac:dyDescent="0.3">
      <c r="A13" t="s">
        <v>76</v>
      </c>
      <c r="B13" s="19">
        <v>41268</v>
      </c>
      <c r="C13" t="s">
        <v>78</v>
      </c>
    </row>
    <row r="14" spans="1:3" x14ac:dyDescent="0.3">
      <c r="A14" t="s">
        <v>68</v>
      </c>
      <c r="B14" s="19">
        <v>41275</v>
      </c>
      <c r="C14" t="s">
        <v>78</v>
      </c>
    </row>
    <row r="15" spans="1:3" x14ac:dyDescent="0.3">
      <c r="A15" t="s">
        <v>70</v>
      </c>
      <c r="B15" s="19">
        <v>41421</v>
      </c>
      <c r="C15" t="s">
        <v>71</v>
      </c>
    </row>
    <row r="16" spans="1:3" x14ac:dyDescent="0.3">
      <c r="A16" t="s">
        <v>72</v>
      </c>
      <c r="B16" s="19">
        <v>41459</v>
      </c>
      <c r="C16" t="s">
        <v>75</v>
      </c>
    </row>
    <row r="17" spans="1:3" x14ac:dyDescent="0.3">
      <c r="A17" t="s">
        <v>73</v>
      </c>
      <c r="B17" s="19">
        <v>41519</v>
      </c>
      <c r="C17" t="s">
        <v>71</v>
      </c>
    </row>
    <row r="18" spans="1:3" x14ac:dyDescent="0.3">
      <c r="A18" t="s">
        <v>74</v>
      </c>
      <c r="B18" s="19">
        <v>41606</v>
      </c>
      <c r="C18" t="s">
        <v>75</v>
      </c>
    </row>
    <row r="19" spans="1:3" x14ac:dyDescent="0.3">
      <c r="A19" t="s">
        <v>76</v>
      </c>
      <c r="B19" s="19">
        <v>41633</v>
      </c>
      <c r="C19" t="s">
        <v>77</v>
      </c>
    </row>
    <row r="20" spans="1:3" x14ac:dyDescent="0.3">
      <c r="A20" t="s">
        <v>68</v>
      </c>
      <c r="B20" s="19">
        <v>41640</v>
      </c>
      <c r="C20" t="s">
        <v>77</v>
      </c>
    </row>
    <row r="21" spans="1:3" x14ac:dyDescent="0.3">
      <c r="A21" t="s">
        <v>70</v>
      </c>
      <c r="B21" s="19">
        <v>41785</v>
      </c>
      <c r="C21" t="s">
        <v>71</v>
      </c>
    </row>
    <row r="22" spans="1:3" x14ac:dyDescent="0.3">
      <c r="A22" t="s">
        <v>72</v>
      </c>
      <c r="B22" s="19">
        <v>41824</v>
      </c>
      <c r="C22" t="s">
        <v>79</v>
      </c>
    </row>
    <row r="23" spans="1:3" x14ac:dyDescent="0.3">
      <c r="A23" t="s">
        <v>73</v>
      </c>
      <c r="B23" s="19">
        <v>41883</v>
      </c>
      <c r="C23" t="s">
        <v>71</v>
      </c>
    </row>
    <row r="24" spans="1:3" x14ac:dyDescent="0.3">
      <c r="A24" t="s">
        <v>74</v>
      </c>
      <c r="B24" s="19">
        <v>41970</v>
      </c>
      <c r="C24" t="s">
        <v>75</v>
      </c>
    </row>
    <row r="25" spans="1:3" x14ac:dyDescent="0.3">
      <c r="A25" t="s">
        <v>76</v>
      </c>
      <c r="B25" s="19">
        <v>41998</v>
      </c>
      <c r="C25" t="s">
        <v>75</v>
      </c>
    </row>
    <row r="26" spans="1:3" x14ac:dyDescent="0.3">
      <c r="A26" t="s">
        <v>68</v>
      </c>
      <c r="B26" s="19">
        <v>42005</v>
      </c>
      <c r="C26" t="s">
        <v>75</v>
      </c>
    </row>
    <row r="27" spans="1:3" x14ac:dyDescent="0.3">
      <c r="A27" t="s">
        <v>70</v>
      </c>
      <c r="B27" s="19">
        <v>42149</v>
      </c>
      <c r="C27" t="s">
        <v>71</v>
      </c>
    </row>
    <row r="28" spans="1:3" x14ac:dyDescent="0.3">
      <c r="A28" t="s">
        <v>72</v>
      </c>
      <c r="B28" s="19">
        <v>42189</v>
      </c>
      <c r="C28" t="s">
        <v>69</v>
      </c>
    </row>
    <row r="29" spans="1:3" x14ac:dyDescent="0.3">
      <c r="A29" t="s">
        <v>73</v>
      </c>
      <c r="B29" s="19">
        <v>42254</v>
      </c>
      <c r="C29" t="s">
        <v>71</v>
      </c>
    </row>
    <row r="30" spans="1:3" x14ac:dyDescent="0.3">
      <c r="A30" t="s">
        <v>74</v>
      </c>
      <c r="B30" s="19">
        <v>42334</v>
      </c>
      <c r="C30" t="s">
        <v>75</v>
      </c>
    </row>
    <row r="31" spans="1:3" x14ac:dyDescent="0.3">
      <c r="A31" t="s">
        <v>76</v>
      </c>
      <c r="B31" s="19">
        <v>42363</v>
      </c>
      <c r="C31" t="s">
        <v>79</v>
      </c>
    </row>
    <row r="32" spans="1:3" x14ac:dyDescent="0.3">
      <c r="A32" t="s">
        <v>68</v>
      </c>
      <c r="B32" s="19">
        <v>42370</v>
      </c>
      <c r="C32" t="s">
        <v>79</v>
      </c>
    </row>
    <row r="33" spans="1:3" x14ac:dyDescent="0.3">
      <c r="A33" t="s">
        <v>70</v>
      </c>
      <c r="B33" s="19">
        <v>42520</v>
      </c>
      <c r="C33" t="s">
        <v>71</v>
      </c>
    </row>
    <row r="34" spans="1:3" x14ac:dyDescent="0.3">
      <c r="A34" t="s">
        <v>72</v>
      </c>
      <c r="B34" s="19">
        <v>42555</v>
      </c>
      <c r="C34" t="s">
        <v>71</v>
      </c>
    </row>
    <row r="35" spans="1:3" x14ac:dyDescent="0.3">
      <c r="A35" t="s">
        <v>73</v>
      </c>
      <c r="B35" s="19">
        <v>42618</v>
      </c>
      <c r="C35" t="s">
        <v>71</v>
      </c>
    </row>
    <row r="36" spans="1:3" x14ac:dyDescent="0.3">
      <c r="A36" t="s">
        <v>74</v>
      </c>
      <c r="B36" s="19">
        <v>42698</v>
      </c>
      <c r="C36" t="s">
        <v>75</v>
      </c>
    </row>
    <row r="37" spans="1:3" x14ac:dyDescent="0.3">
      <c r="A37" t="s">
        <v>76</v>
      </c>
      <c r="B37" s="19">
        <v>42730</v>
      </c>
      <c r="C37" t="s">
        <v>71</v>
      </c>
    </row>
    <row r="38" spans="1:3" x14ac:dyDescent="0.3">
      <c r="A38" t="s">
        <v>68</v>
      </c>
      <c r="B38" s="19">
        <v>42737</v>
      </c>
      <c r="C38" t="s">
        <v>71</v>
      </c>
    </row>
    <row r="39" spans="1:3" x14ac:dyDescent="0.3">
      <c r="A39" t="s">
        <v>70</v>
      </c>
      <c r="B39" s="19">
        <v>42884</v>
      </c>
      <c r="C39" t="s">
        <v>71</v>
      </c>
    </row>
    <row r="40" spans="1:3" x14ac:dyDescent="0.3">
      <c r="A40" t="s">
        <v>72</v>
      </c>
      <c r="B40" s="19">
        <v>42920</v>
      </c>
      <c r="C40" t="s">
        <v>78</v>
      </c>
    </row>
    <row r="41" spans="1:3" x14ac:dyDescent="0.3">
      <c r="A41" t="s">
        <v>73</v>
      </c>
      <c r="B41" s="19">
        <v>42982</v>
      </c>
      <c r="C41" t="s">
        <v>71</v>
      </c>
    </row>
    <row r="42" spans="1:3" x14ac:dyDescent="0.3">
      <c r="A42" t="s">
        <v>74</v>
      </c>
      <c r="B42" s="19">
        <v>43062</v>
      </c>
      <c r="C42" t="s">
        <v>75</v>
      </c>
    </row>
    <row r="43" spans="1:3" x14ac:dyDescent="0.3">
      <c r="A43" t="s">
        <v>76</v>
      </c>
      <c r="B43" s="19">
        <v>43094</v>
      </c>
      <c r="C43" t="s">
        <v>71</v>
      </c>
    </row>
    <row r="44" spans="1:3" x14ac:dyDescent="0.3">
      <c r="A44" t="s">
        <v>68</v>
      </c>
      <c r="B44" s="19">
        <v>43101</v>
      </c>
      <c r="C44" t="s">
        <v>71</v>
      </c>
    </row>
    <row r="45" spans="1:3" x14ac:dyDescent="0.3">
      <c r="A45" t="s">
        <v>70</v>
      </c>
      <c r="B45" s="19">
        <v>43248</v>
      </c>
      <c r="C45" t="s">
        <v>71</v>
      </c>
    </row>
    <row r="46" spans="1:3" x14ac:dyDescent="0.3">
      <c r="A46" t="s">
        <v>72</v>
      </c>
      <c r="B46" s="19">
        <v>43285</v>
      </c>
      <c r="C46" t="s">
        <v>77</v>
      </c>
    </row>
    <row r="47" spans="1:3" x14ac:dyDescent="0.3">
      <c r="A47" t="s">
        <v>73</v>
      </c>
      <c r="B47" s="19">
        <v>43346</v>
      </c>
      <c r="C47" t="s">
        <v>71</v>
      </c>
    </row>
    <row r="48" spans="1:3" x14ac:dyDescent="0.3">
      <c r="A48" t="s">
        <v>74</v>
      </c>
      <c r="B48" s="19">
        <v>43426</v>
      </c>
      <c r="C48" t="s">
        <v>75</v>
      </c>
    </row>
    <row r="49" spans="1:3" x14ac:dyDescent="0.3">
      <c r="A49" t="s">
        <v>76</v>
      </c>
      <c r="B49" s="19">
        <v>43459</v>
      </c>
      <c r="C49" t="s">
        <v>78</v>
      </c>
    </row>
    <row r="50" spans="1:3" x14ac:dyDescent="0.3">
      <c r="A50" t="s">
        <v>68</v>
      </c>
      <c r="B50" s="19">
        <v>43466</v>
      </c>
      <c r="C50" t="s">
        <v>78</v>
      </c>
    </row>
    <row r="51" spans="1:3" x14ac:dyDescent="0.3">
      <c r="A51" t="s">
        <v>70</v>
      </c>
      <c r="B51" s="19">
        <v>43612</v>
      </c>
      <c r="C51" t="s">
        <v>71</v>
      </c>
    </row>
    <row r="52" spans="1:3" x14ac:dyDescent="0.3">
      <c r="A52" t="s">
        <v>72</v>
      </c>
      <c r="B52" s="19">
        <v>43650</v>
      </c>
      <c r="C52" t="s">
        <v>75</v>
      </c>
    </row>
    <row r="53" spans="1:3" x14ac:dyDescent="0.3">
      <c r="A53" t="s">
        <v>73</v>
      </c>
      <c r="B53" s="19">
        <v>43710</v>
      </c>
      <c r="C53" t="s">
        <v>71</v>
      </c>
    </row>
    <row r="54" spans="1:3" x14ac:dyDescent="0.3">
      <c r="A54" t="s">
        <v>74</v>
      </c>
      <c r="B54" s="19">
        <v>43797</v>
      </c>
      <c r="C54" t="s">
        <v>75</v>
      </c>
    </row>
    <row r="55" spans="1:3" x14ac:dyDescent="0.3">
      <c r="A55" t="s">
        <v>76</v>
      </c>
      <c r="B55" s="19">
        <v>43824</v>
      </c>
      <c r="C55" t="s">
        <v>77</v>
      </c>
    </row>
    <row r="56" spans="1:3" x14ac:dyDescent="0.3">
      <c r="A56" t="s">
        <v>68</v>
      </c>
      <c r="B56" s="19">
        <v>43831</v>
      </c>
      <c r="C56" t="s">
        <v>77</v>
      </c>
    </row>
    <row r="57" spans="1:3" x14ac:dyDescent="0.3">
      <c r="A57" t="s">
        <v>70</v>
      </c>
      <c r="B57" s="19">
        <v>43976</v>
      </c>
      <c r="C57" t="s">
        <v>71</v>
      </c>
    </row>
    <row r="58" spans="1:3" x14ac:dyDescent="0.3">
      <c r="A58" t="s">
        <v>72</v>
      </c>
      <c r="B58" s="19">
        <v>44016</v>
      </c>
      <c r="C58" t="s">
        <v>69</v>
      </c>
    </row>
    <row r="59" spans="1:3" x14ac:dyDescent="0.3">
      <c r="A59" t="s">
        <v>73</v>
      </c>
      <c r="B59" s="19">
        <v>44081</v>
      </c>
      <c r="C59" t="s">
        <v>71</v>
      </c>
    </row>
    <row r="60" spans="1:3" x14ac:dyDescent="0.3">
      <c r="A60" t="s">
        <v>74</v>
      </c>
      <c r="B60" s="19">
        <v>44161</v>
      </c>
      <c r="C60" t="s">
        <v>75</v>
      </c>
    </row>
    <row r="61" spans="1:3" x14ac:dyDescent="0.3">
      <c r="A61" t="s">
        <v>76</v>
      </c>
      <c r="B61" s="19">
        <v>44190</v>
      </c>
      <c r="C61" t="s">
        <v>79</v>
      </c>
    </row>
    <row r="62" spans="1:3" x14ac:dyDescent="0.3">
      <c r="A62" t="s">
        <v>68</v>
      </c>
      <c r="B62" s="19">
        <v>44197</v>
      </c>
      <c r="C62" t="s">
        <v>79</v>
      </c>
    </row>
    <row r="63" spans="1:3" x14ac:dyDescent="0.3">
      <c r="A63" t="s">
        <v>70</v>
      </c>
      <c r="B63" s="19">
        <v>44347</v>
      </c>
      <c r="C63" t="s">
        <v>71</v>
      </c>
    </row>
    <row r="64" spans="1:3" x14ac:dyDescent="0.3">
      <c r="A64" t="s">
        <v>72</v>
      </c>
      <c r="B64" s="19">
        <v>44382</v>
      </c>
      <c r="C64" t="s">
        <v>71</v>
      </c>
    </row>
    <row r="65" spans="1:3" x14ac:dyDescent="0.3">
      <c r="A65" t="s">
        <v>73</v>
      </c>
      <c r="B65" s="19">
        <v>44445</v>
      </c>
      <c r="C65" t="s">
        <v>71</v>
      </c>
    </row>
    <row r="66" spans="1:3" x14ac:dyDescent="0.3">
      <c r="A66" t="s">
        <v>74</v>
      </c>
      <c r="B66" s="19">
        <v>44525</v>
      </c>
      <c r="C66" t="s">
        <v>75</v>
      </c>
    </row>
    <row r="67" spans="1:3" x14ac:dyDescent="0.3">
      <c r="A67" t="s">
        <v>76</v>
      </c>
      <c r="B67" s="19">
        <v>44555</v>
      </c>
      <c r="C67" t="s">
        <v>69</v>
      </c>
    </row>
    <row r="68" spans="1:3" x14ac:dyDescent="0.3">
      <c r="A68" t="s">
        <v>68</v>
      </c>
      <c r="B68" s="19">
        <v>44562</v>
      </c>
      <c r="C68" t="s">
        <v>69</v>
      </c>
    </row>
    <row r="69" spans="1:3" x14ac:dyDescent="0.3">
      <c r="A69" t="s">
        <v>70</v>
      </c>
      <c r="B69" s="19">
        <v>44711</v>
      </c>
      <c r="C69" t="s">
        <v>71</v>
      </c>
    </row>
    <row r="70" spans="1:3" x14ac:dyDescent="0.3">
      <c r="A70" t="s">
        <v>72</v>
      </c>
      <c r="B70" s="19">
        <v>44746</v>
      </c>
      <c r="C70" t="s">
        <v>71</v>
      </c>
    </row>
    <row r="71" spans="1:3" x14ac:dyDescent="0.3">
      <c r="A71" t="s">
        <v>73</v>
      </c>
      <c r="B71" s="19">
        <v>44809</v>
      </c>
      <c r="C71" t="s">
        <v>71</v>
      </c>
    </row>
    <row r="72" spans="1:3" x14ac:dyDescent="0.3">
      <c r="A72" t="s">
        <v>74</v>
      </c>
      <c r="B72" s="19">
        <v>44889</v>
      </c>
      <c r="C72" t="s">
        <v>75</v>
      </c>
    </row>
    <row r="73" spans="1:3" x14ac:dyDescent="0.3">
      <c r="A73" t="s">
        <v>76</v>
      </c>
      <c r="B73" s="19">
        <v>44921</v>
      </c>
      <c r="C73" t="s">
        <v>71</v>
      </c>
    </row>
    <row r="74" spans="1:3" x14ac:dyDescent="0.3">
      <c r="A74" t="s">
        <v>68</v>
      </c>
      <c r="B74" s="19">
        <v>44928</v>
      </c>
      <c r="C74" t="s">
        <v>71</v>
      </c>
    </row>
    <row r="75" spans="1:3" x14ac:dyDescent="0.3">
      <c r="A75" t="s">
        <v>70</v>
      </c>
      <c r="B75" s="19">
        <v>45075</v>
      </c>
      <c r="C75" t="s">
        <v>71</v>
      </c>
    </row>
    <row r="76" spans="1:3" x14ac:dyDescent="0.3">
      <c r="A76" t="s">
        <v>72</v>
      </c>
      <c r="B76" s="19">
        <v>45111</v>
      </c>
      <c r="C76" t="s">
        <v>78</v>
      </c>
    </row>
    <row r="77" spans="1:3" x14ac:dyDescent="0.3">
      <c r="A77" t="s">
        <v>73</v>
      </c>
      <c r="B77" s="19">
        <v>45173</v>
      </c>
      <c r="C77" t="s">
        <v>71</v>
      </c>
    </row>
    <row r="78" spans="1:3" x14ac:dyDescent="0.3">
      <c r="A78" t="s">
        <v>74</v>
      </c>
      <c r="B78" s="19">
        <v>45253</v>
      </c>
      <c r="C78" t="s">
        <v>75</v>
      </c>
    </row>
    <row r="79" spans="1:3" x14ac:dyDescent="0.3">
      <c r="A79" t="s">
        <v>76</v>
      </c>
      <c r="B79" s="19">
        <v>45285</v>
      </c>
      <c r="C79" t="s">
        <v>71</v>
      </c>
    </row>
    <row r="80" spans="1:3" x14ac:dyDescent="0.3">
      <c r="A80" t="s">
        <v>68</v>
      </c>
      <c r="B80" s="19">
        <v>45292</v>
      </c>
      <c r="C80" t="s">
        <v>71</v>
      </c>
    </row>
    <row r="81" spans="1:3" x14ac:dyDescent="0.3">
      <c r="A81" t="s">
        <v>70</v>
      </c>
      <c r="B81" s="19">
        <v>45439</v>
      </c>
      <c r="C81" t="s">
        <v>71</v>
      </c>
    </row>
    <row r="82" spans="1:3" x14ac:dyDescent="0.3">
      <c r="A82" t="s">
        <v>72</v>
      </c>
      <c r="B82" s="19">
        <v>45477</v>
      </c>
      <c r="C82" t="s">
        <v>75</v>
      </c>
    </row>
    <row r="83" spans="1:3" x14ac:dyDescent="0.3">
      <c r="A83" t="s">
        <v>73</v>
      </c>
      <c r="B83" s="19">
        <v>45537</v>
      </c>
      <c r="C83" t="s">
        <v>71</v>
      </c>
    </row>
    <row r="84" spans="1:3" x14ac:dyDescent="0.3">
      <c r="A84" t="s">
        <v>74</v>
      </c>
      <c r="B84" s="19">
        <v>45624</v>
      </c>
      <c r="C84" t="s">
        <v>75</v>
      </c>
    </row>
    <row r="85" spans="1:3" x14ac:dyDescent="0.3">
      <c r="A85" t="s">
        <v>76</v>
      </c>
      <c r="B85" s="19">
        <v>45651</v>
      </c>
      <c r="C85" t="s">
        <v>77</v>
      </c>
    </row>
    <row r="86" spans="1:3" x14ac:dyDescent="0.3">
      <c r="A86" t="s">
        <v>68</v>
      </c>
      <c r="B86" s="19">
        <v>45658</v>
      </c>
      <c r="C86" t="s">
        <v>77</v>
      </c>
    </row>
    <row r="87" spans="1:3" x14ac:dyDescent="0.3">
      <c r="A87" t="s">
        <v>70</v>
      </c>
      <c r="B87" s="19">
        <v>45803</v>
      </c>
      <c r="C87" t="s">
        <v>71</v>
      </c>
    </row>
    <row r="88" spans="1:3" x14ac:dyDescent="0.3">
      <c r="A88" t="s">
        <v>72</v>
      </c>
      <c r="B88" s="19">
        <v>45842</v>
      </c>
      <c r="C88" t="s">
        <v>79</v>
      </c>
    </row>
    <row r="89" spans="1:3" x14ac:dyDescent="0.3">
      <c r="A89" t="s">
        <v>73</v>
      </c>
      <c r="B89" s="19">
        <v>45901</v>
      </c>
      <c r="C89" t="s">
        <v>71</v>
      </c>
    </row>
    <row r="90" spans="1:3" x14ac:dyDescent="0.3">
      <c r="A90" t="s">
        <v>74</v>
      </c>
      <c r="B90" s="19">
        <v>45988</v>
      </c>
      <c r="C90" t="s">
        <v>75</v>
      </c>
    </row>
    <row r="91" spans="1:3" x14ac:dyDescent="0.3">
      <c r="A91" t="s">
        <v>76</v>
      </c>
      <c r="B91" s="19">
        <v>46016</v>
      </c>
      <c r="C91" t="s">
        <v>75</v>
      </c>
    </row>
    <row r="92" spans="1:3" x14ac:dyDescent="0.3">
      <c r="A92" t="s">
        <v>68</v>
      </c>
      <c r="B92" s="19">
        <v>46023</v>
      </c>
      <c r="C92" t="s">
        <v>75</v>
      </c>
    </row>
    <row r="93" spans="1:3" x14ac:dyDescent="0.3">
      <c r="A93" t="s">
        <v>70</v>
      </c>
      <c r="B93" s="19">
        <v>46167</v>
      </c>
      <c r="C93" t="s">
        <v>71</v>
      </c>
    </row>
    <row r="94" spans="1:3" x14ac:dyDescent="0.3">
      <c r="A94" t="s">
        <v>72</v>
      </c>
      <c r="B94" s="19">
        <v>46206</v>
      </c>
      <c r="C94" t="s">
        <v>79</v>
      </c>
    </row>
    <row r="95" spans="1:3" x14ac:dyDescent="0.3">
      <c r="A95" t="s">
        <v>73</v>
      </c>
      <c r="B95" s="19">
        <v>46272</v>
      </c>
      <c r="C95" t="s">
        <v>71</v>
      </c>
    </row>
    <row r="96" spans="1:3" x14ac:dyDescent="0.3">
      <c r="A96" t="s">
        <v>74</v>
      </c>
      <c r="B96" s="19">
        <v>46352</v>
      </c>
      <c r="C96" t="s">
        <v>75</v>
      </c>
    </row>
    <row r="97" spans="1:3" x14ac:dyDescent="0.3">
      <c r="A97" t="s">
        <v>76</v>
      </c>
      <c r="B97" s="19">
        <v>46381</v>
      </c>
      <c r="C97" t="s">
        <v>79</v>
      </c>
    </row>
    <row r="98" spans="1:3" x14ac:dyDescent="0.3">
      <c r="A98" t="s">
        <v>68</v>
      </c>
      <c r="B98" s="19">
        <v>46388</v>
      </c>
      <c r="C98" t="s">
        <v>79</v>
      </c>
    </row>
    <row r="99" spans="1:3" x14ac:dyDescent="0.3">
      <c r="A99" t="s">
        <v>70</v>
      </c>
      <c r="B99" s="19">
        <v>46538</v>
      </c>
      <c r="C99" t="s">
        <v>71</v>
      </c>
    </row>
    <row r="100" spans="1:3" x14ac:dyDescent="0.3">
      <c r="A100" t="s">
        <v>72</v>
      </c>
      <c r="B100" s="19">
        <v>46572</v>
      </c>
      <c r="C100" t="s">
        <v>80</v>
      </c>
    </row>
    <row r="101" spans="1:3" x14ac:dyDescent="0.3">
      <c r="A101" t="s">
        <v>73</v>
      </c>
      <c r="B101" s="19">
        <v>46636</v>
      </c>
      <c r="C101" t="s">
        <v>71</v>
      </c>
    </row>
    <row r="102" spans="1:3" x14ac:dyDescent="0.3">
      <c r="A102" t="s">
        <v>74</v>
      </c>
      <c r="B102" s="19">
        <v>46716</v>
      </c>
      <c r="C102" t="s">
        <v>75</v>
      </c>
    </row>
    <row r="103" spans="1:3" x14ac:dyDescent="0.3">
      <c r="A103" t="s">
        <v>76</v>
      </c>
      <c r="B103" s="19">
        <v>46746</v>
      </c>
      <c r="C103" t="s">
        <v>69</v>
      </c>
    </row>
    <row r="104" spans="1:3" x14ac:dyDescent="0.3">
      <c r="A104" t="s">
        <v>68</v>
      </c>
      <c r="B104" s="19">
        <v>46755</v>
      </c>
      <c r="C104" t="s">
        <v>71</v>
      </c>
    </row>
    <row r="105" spans="1:3" x14ac:dyDescent="0.3">
      <c r="A105" t="s">
        <v>70</v>
      </c>
      <c r="B105" s="19">
        <v>46902</v>
      </c>
      <c r="C105" t="s">
        <v>71</v>
      </c>
    </row>
    <row r="106" spans="1:3" x14ac:dyDescent="0.3">
      <c r="A106" t="s">
        <v>72</v>
      </c>
      <c r="B106" s="19">
        <v>46938</v>
      </c>
      <c r="C106" t="s">
        <v>78</v>
      </c>
    </row>
    <row r="107" spans="1:3" x14ac:dyDescent="0.3">
      <c r="A107" t="s">
        <v>73</v>
      </c>
      <c r="B107" s="19">
        <v>47000</v>
      </c>
      <c r="C107" t="s">
        <v>71</v>
      </c>
    </row>
    <row r="108" spans="1:3" x14ac:dyDescent="0.3">
      <c r="A108" t="s">
        <v>74</v>
      </c>
      <c r="B108" s="19">
        <v>47080</v>
      </c>
      <c r="C108" t="s">
        <v>75</v>
      </c>
    </row>
    <row r="109" spans="1:3" x14ac:dyDescent="0.3">
      <c r="A109" t="s">
        <v>76</v>
      </c>
      <c r="B109" s="19">
        <v>47112</v>
      </c>
      <c r="C109" t="s">
        <v>71</v>
      </c>
    </row>
    <row r="110" spans="1:3" x14ac:dyDescent="0.3">
      <c r="A110" t="s">
        <v>68</v>
      </c>
      <c r="B110" s="19">
        <v>47119</v>
      </c>
      <c r="C110" t="s">
        <v>71</v>
      </c>
    </row>
    <row r="111" spans="1:3" x14ac:dyDescent="0.3">
      <c r="A111" t="s">
        <v>70</v>
      </c>
      <c r="B111" s="19">
        <v>47266</v>
      </c>
      <c r="C111" t="s">
        <v>71</v>
      </c>
    </row>
    <row r="112" spans="1:3" x14ac:dyDescent="0.3">
      <c r="A112" t="s">
        <v>72</v>
      </c>
      <c r="B112" s="19">
        <v>47303</v>
      </c>
      <c r="C112" t="s">
        <v>77</v>
      </c>
    </row>
    <row r="113" spans="1:3" x14ac:dyDescent="0.3">
      <c r="A113" t="s">
        <v>73</v>
      </c>
      <c r="B113" s="19">
        <v>47364</v>
      </c>
      <c r="C113" t="s">
        <v>71</v>
      </c>
    </row>
    <row r="114" spans="1:3" x14ac:dyDescent="0.3">
      <c r="A114" t="s">
        <v>74</v>
      </c>
      <c r="B114" s="19">
        <v>47444</v>
      </c>
      <c r="C114" t="s">
        <v>75</v>
      </c>
    </row>
    <row r="115" spans="1:3" x14ac:dyDescent="0.3">
      <c r="A115" t="s">
        <v>76</v>
      </c>
      <c r="B115" s="19">
        <v>47477</v>
      </c>
      <c r="C115" t="s">
        <v>78</v>
      </c>
    </row>
    <row r="116" spans="1:3" x14ac:dyDescent="0.3">
      <c r="A116" t="s">
        <v>68</v>
      </c>
      <c r="B116" s="19">
        <v>47484</v>
      </c>
      <c r="C116" t="s">
        <v>78</v>
      </c>
    </row>
    <row r="117" spans="1:3" x14ac:dyDescent="0.3">
      <c r="A117" t="s">
        <v>70</v>
      </c>
      <c r="B117" s="19">
        <v>47630</v>
      </c>
      <c r="C117" t="s">
        <v>71</v>
      </c>
    </row>
    <row r="118" spans="1:3" x14ac:dyDescent="0.3">
      <c r="A118" t="s">
        <v>72</v>
      </c>
      <c r="B118" s="19">
        <v>47668</v>
      </c>
      <c r="C118" t="s">
        <v>75</v>
      </c>
    </row>
    <row r="119" spans="1:3" x14ac:dyDescent="0.3">
      <c r="A119" t="s">
        <v>73</v>
      </c>
      <c r="B119" s="19">
        <v>47728</v>
      </c>
      <c r="C119" t="s">
        <v>71</v>
      </c>
    </row>
    <row r="120" spans="1:3" x14ac:dyDescent="0.3">
      <c r="A120" t="s">
        <v>74</v>
      </c>
      <c r="B120" s="19">
        <v>47815</v>
      </c>
      <c r="C120" t="s">
        <v>75</v>
      </c>
    </row>
    <row r="121" spans="1:3" x14ac:dyDescent="0.3">
      <c r="A121" t="s">
        <v>76</v>
      </c>
      <c r="B121" s="19">
        <v>47842</v>
      </c>
      <c r="C121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P7"/>
  <sheetViews>
    <sheetView workbookViewId="0">
      <selection activeCell="J27" sqref="J27"/>
    </sheetView>
  </sheetViews>
  <sheetFormatPr defaultRowHeight="14.4" x14ac:dyDescent="0.3"/>
  <cols>
    <col min="2" max="2" width="9.6640625" bestFit="1" customWidth="1"/>
    <col min="6" max="6" width="9.88671875" bestFit="1" customWidth="1"/>
    <col min="7" max="7" width="10" bestFit="1" customWidth="1"/>
    <col min="8" max="8" width="8.88671875" bestFit="1" customWidth="1"/>
    <col min="10" max="10" width="13.109375" bestFit="1" customWidth="1"/>
    <col min="11" max="11" width="13.44140625" bestFit="1" customWidth="1"/>
    <col min="12" max="12" width="18.5546875" bestFit="1" customWidth="1"/>
    <col min="14" max="16" width="11.5546875" bestFit="1" customWidth="1"/>
  </cols>
  <sheetData>
    <row r="2" spans="2:16" x14ac:dyDescent="0.3">
      <c r="B2" s="23" t="s">
        <v>81</v>
      </c>
      <c r="C2" s="23" t="s">
        <v>82</v>
      </c>
      <c r="D2" s="23" t="s">
        <v>83</v>
      </c>
      <c r="E2" s="23" t="s">
        <v>84</v>
      </c>
      <c r="F2" s="23" t="s">
        <v>85</v>
      </c>
      <c r="G2" s="23" t="s">
        <v>86</v>
      </c>
      <c r="H2" s="23" t="s">
        <v>87</v>
      </c>
      <c r="I2" s="23" t="s">
        <v>88</v>
      </c>
      <c r="J2" s="23" t="s">
        <v>89</v>
      </c>
      <c r="K2" s="23" t="s">
        <v>90</v>
      </c>
      <c r="L2" s="23" t="s">
        <v>91</v>
      </c>
    </row>
    <row r="3" spans="2:16" x14ac:dyDescent="0.3">
      <c r="B3" s="24">
        <v>42522</v>
      </c>
      <c r="C3" s="25">
        <f>SUMPRODUCT(D3:E3,H3:I3)/G3</f>
        <v>34.218444444444444</v>
      </c>
      <c r="D3" s="26">
        <v>35.92</v>
      </c>
      <c r="E3" s="26">
        <v>31.89</v>
      </c>
      <c r="F3" t="s">
        <v>92</v>
      </c>
      <c r="G3">
        <v>720</v>
      </c>
      <c r="H3">
        <v>416</v>
      </c>
      <c r="I3">
        <v>304</v>
      </c>
      <c r="L3" s="27"/>
    </row>
    <row r="4" spans="2:16" x14ac:dyDescent="0.3">
      <c r="B4" s="24">
        <v>42552</v>
      </c>
      <c r="C4" s="25">
        <f>SUMPRODUCT(D4:E4,H4:I4)/G4</f>
        <v>36.675161290322578</v>
      </c>
      <c r="D4" s="26">
        <v>42.39</v>
      </c>
      <c r="E4" s="26">
        <v>30.03</v>
      </c>
      <c r="F4" t="s">
        <v>92</v>
      </c>
      <c r="G4">
        <v>744</v>
      </c>
      <c r="H4">
        <v>400</v>
      </c>
      <c r="I4">
        <v>344</v>
      </c>
      <c r="L4" s="28"/>
      <c r="N4" s="22"/>
      <c r="O4" s="22"/>
      <c r="P4" s="22"/>
    </row>
    <row r="5" spans="2:16" x14ac:dyDescent="0.3">
      <c r="B5" s="24">
        <v>42583</v>
      </c>
      <c r="C5" s="25">
        <f>SUMPRODUCT(D5:E5,H5:I5)/G5</f>
        <v>32.910000000000004</v>
      </c>
      <c r="D5" s="26">
        <v>37.46</v>
      </c>
      <c r="E5" s="26">
        <v>26.61</v>
      </c>
      <c r="F5" t="s">
        <v>93</v>
      </c>
      <c r="G5">
        <v>744</v>
      </c>
      <c r="H5">
        <v>432</v>
      </c>
      <c r="I5">
        <v>312</v>
      </c>
      <c r="L5" s="28"/>
    </row>
    <row r="6" spans="2:16" x14ac:dyDescent="0.3">
      <c r="B6" s="24">
        <v>42614</v>
      </c>
      <c r="C6" s="25">
        <f>SUMPRODUCT(D6:E6,H6:I6)/G6</f>
        <v>31.677777777777777</v>
      </c>
      <c r="D6" s="26">
        <v>38.299999999999997</v>
      </c>
      <c r="E6" s="26">
        <v>23.4</v>
      </c>
      <c r="F6" t="s">
        <v>93</v>
      </c>
      <c r="G6">
        <v>720</v>
      </c>
      <c r="H6">
        <v>400</v>
      </c>
      <c r="I6">
        <v>320</v>
      </c>
      <c r="L6" s="28"/>
    </row>
    <row r="7" spans="2:16" x14ac:dyDescent="0.3">
      <c r="B7" s="24">
        <v>42644</v>
      </c>
      <c r="C7" s="25"/>
      <c r="D7" s="25"/>
      <c r="E7" s="25"/>
      <c r="F7" t="s">
        <v>93</v>
      </c>
      <c r="G7">
        <v>744</v>
      </c>
      <c r="H7">
        <v>416</v>
      </c>
      <c r="I7">
        <v>328</v>
      </c>
      <c r="L7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-0.249977111117893"/>
    <pageSetUpPr fitToPage="1"/>
  </sheetPr>
  <dimension ref="A1:F747"/>
  <sheetViews>
    <sheetView zoomScale="80" zoomScaleNormal="80" workbookViewId="0">
      <selection activeCell="C4" sqref="C4"/>
    </sheetView>
  </sheetViews>
  <sheetFormatPr defaultColWidth="9.109375" defaultRowHeight="13.2" x14ac:dyDescent="0.25"/>
  <cols>
    <col min="1" max="1" width="5.33203125" style="4" customWidth="1"/>
    <col min="2" max="2" width="73.88671875" style="4" customWidth="1"/>
    <col min="3" max="3" width="11.6640625" style="4" bestFit="1" customWidth="1"/>
    <col min="4" max="4" width="17.44140625" style="4" bestFit="1" customWidth="1"/>
    <col min="5" max="5" width="7.5546875" style="4" customWidth="1"/>
    <col min="6" max="6" width="15.6640625" style="4" bestFit="1" customWidth="1"/>
    <col min="7" max="16384" width="9.109375" style="4"/>
  </cols>
  <sheetData>
    <row r="1" spans="1:6" ht="15.6" x14ac:dyDescent="0.3">
      <c r="A1" s="31" t="s">
        <v>94</v>
      </c>
    </row>
    <row r="2" spans="1:6" ht="13.8" thickBot="1" x14ac:dyDescent="0.3">
      <c r="F2" s="33"/>
    </row>
    <row r="3" spans="1:6" ht="15.6" x14ac:dyDescent="0.3">
      <c r="B3" s="74" t="s">
        <v>95</v>
      </c>
      <c r="C3" s="160">
        <v>44409</v>
      </c>
      <c r="D3" s="75">
        <f>(DATE(YEAR(C3), MONTH(C3)+1,1)-DATE(YEAR(C3), MONTH(C3), 1))*24</f>
        <v>744</v>
      </c>
      <c r="F3" s="29"/>
    </row>
    <row r="4" spans="1:6" ht="15.6" x14ac:dyDescent="0.3">
      <c r="B4" s="76" t="s">
        <v>96</v>
      </c>
      <c r="C4" s="77"/>
      <c r="D4" s="78" t="s">
        <v>97</v>
      </c>
      <c r="F4" s="59"/>
    </row>
    <row r="5" spans="1:6" ht="16.2" thickBot="1" x14ac:dyDescent="0.35">
      <c r="B5" s="79" t="s">
        <v>98</v>
      </c>
      <c r="C5" s="80"/>
      <c r="D5" s="81">
        <v>4.4999999999999998E-2</v>
      </c>
      <c r="F5" s="59"/>
    </row>
    <row r="6" spans="1:6" ht="15.6" thickBot="1" x14ac:dyDescent="0.3">
      <c r="B6" s="82"/>
      <c r="C6" s="83"/>
      <c r="D6" s="83"/>
      <c r="F6" s="59"/>
    </row>
    <row r="7" spans="1:6" ht="15.6" x14ac:dyDescent="0.3">
      <c r="B7" s="84" t="s">
        <v>99</v>
      </c>
      <c r="C7" s="85"/>
      <c r="D7" s="75"/>
      <c r="F7" s="59"/>
    </row>
    <row r="8" spans="1:6" ht="15.6" x14ac:dyDescent="0.3">
      <c r="B8" s="86" t="s">
        <v>100</v>
      </c>
      <c r="C8" s="87"/>
      <c r="D8" s="88">
        <v>1.4999999999999999E-2</v>
      </c>
      <c r="F8" s="59"/>
    </row>
    <row r="9" spans="1:6" ht="18" customHeight="1" x14ac:dyDescent="0.25">
      <c r="B9" s="86" t="s">
        <v>101</v>
      </c>
      <c r="C9" s="89">
        <v>4</v>
      </c>
      <c r="D9" s="90"/>
      <c r="F9" s="59"/>
    </row>
    <row r="10" spans="1:6" ht="15" x14ac:dyDescent="0.25">
      <c r="B10" s="86" t="s">
        <v>102</v>
      </c>
      <c r="C10" s="87"/>
      <c r="D10" s="91">
        <v>1</v>
      </c>
      <c r="F10" s="59"/>
    </row>
    <row r="11" spans="1:6" ht="15.6" thickBot="1" x14ac:dyDescent="0.3">
      <c r="B11" s="92" t="s">
        <v>103</v>
      </c>
      <c r="C11" s="93"/>
      <c r="D11" s="94">
        <v>1</v>
      </c>
      <c r="F11" s="59"/>
    </row>
    <row r="12" spans="1:6" ht="15.6" thickBot="1" x14ac:dyDescent="0.3">
      <c r="B12" s="82"/>
      <c r="C12" s="30"/>
      <c r="D12" s="95"/>
      <c r="F12" s="59"/>
    </row>
    <row r="13" spans="1:6" ht="15.6" x14ac:dyDescent="0.3">
      <c r="B13" s="84" t="s">
        <v>104</v>
      </c>
      <c r="C13" s="85"/>
      <c r="D13" s="96"/>
      <c r="F13" s="59"/>
    </row>
    <row r="14" spans="1:6" ht="15.6" x14ac:dyDescent="0.3">
      <c r="B14" s="86" t="s">
        <v>105</v>
      </c>
      <c r="C14" s="97">
        <v>1.4999999999999999E-2</v>
      </c>
      <c r="D14" s="88">
        <v>7.4999999999999997E-2</v>
      </c>
      <c r="F14" s="59"/>
    </row>
    <row r="15" spans="1:6" ht="15" x14ac:dyDescent="0.25">
      <c r="B15" s="86" t="s">
        <v>106</v>
      </c>
      <c r="C15" s="87">
        <v>4</v>
      </c>
      <c r="D15" s="90">
        <v>10</v>
      </c>
      <c r="F15" s="59"/>
    </row>
    <row r="16" spans="1:6" ht="15.6" x14ac:dyDescent="0.3">
      <c r="B16" s="86" t="s">
        <v>107</v>
      </c>
      <c r="C16" s="87"/>
      <c r="D16" s="98">
        <v>0.9</v>
      </c>
      <c r="F16" s="59"/>
    </row>
    <row r="17" spans="2:6" ht="16.2" thickBot="1" x14ac:dyDescent="0.35">
      <c r="B17" s="92" t="s">
        <v>108</v>
      </c>
      <c r="C17" s="93"/>
      <c r="D17" s="99">
        <v>1.1000000000000001</v>
      </c>
      <c r="F17" s="59"/>
    </row>
    <row r="18" spans="2:6" ht="15.6" thickBot="1" x14ac:dyDescent="0.3">
      <c r="B18" s="82"/>
      <c r="C18" s="30"/>
      <c r="D18" s="95"/>
      <c r="F18" s="59"/>
    </row>
    <row r="19" spans="2:6" ht="15.6" x14ac:dyDescent="0.3">
      <c r="B19" s="84" t="s">
        <v>109</v>
      </c>
      <c r="C19" s="100"/>
      <c r="D19" s="75"/>
      <c r="F19" s="59"/>
    </row>
    <row r="20" spans="2:6" ht="15.6" x14ac:dyDescent="0.3">
      <c r="B20" s="86" t="s">
        <v>110</v>
      </c>
      <c r="C20" s="97">
        <v>7.4999999999999997E-2</v>
      </c>
      <c r="D20" s="101"/>
      <c r="F20" s="59"/>
    </row>
    <row r="21" spans="2:6" ht="15" x14ac:dyDescent="0.25">
      <c r="B21" s="86" t="s">
        <v>111</v>
      </c>
      <c r="C21" s="77"/>
      <c r="D21" s="90">
        <v>10</v>
      </c>
      <c r="F21" s="59"/>
    </row>
    <row r="22" spans="2:6" ht="15.6" x14ac:dyDescent="0.3">
      <c r="B22" s="86" t="s">
        <v>107</v>
      </c>
      <c r="C22" s="77"/>
      <c r="D22" s="98">
        <v>0.75</v>
      </c>
      <c r="F22" s="59"/>
    </row>
    <row r="23" spans="2:6" ht="16.2" thickBot="1" x14ac:dyDescent="0.35">
      <c r="B23" s="92" t="s">
        <v>108</v>
      </c>
      <c r="C23" s="80"/>
      <c r="D23" s="99">
        <v>1.25</v>
      </c>
      <c r="F23" s="59"/>
    </row>
    <row r="24" spans="2:6" ht="17.399999999999999" x14ac:dyDescent="0.3">
      <c r="B24" s="82"/>
      <c r="C24" s="102"/>
      <c r="D24" s="103"/>
      <c r="F24" s="59"/>
    </row>
    <row r="25" spans="2:6" ht="24.75" customHeight="1" x14ac:dyDescent="0.25">
      <c r="B25" s="184" t="s">
        <v>112</v>
      </c>
      <c r="C25" s="185"/>
      <c r="D25" s="185"/>
      <c r="F25" s="59"/>
    </row>
    <row r="26" spans="2:6" x14ac:dyDescent="0.25">
      <c r="B26" s="104"/>
      <c r="F26" s="59"/>
    </row>
    <row r="27" spans="2:6" x14ac:dyDescent="0.25">
      <c r="C27" s="104"/>
      <c r="F27" s="59"/>
    </row>
    <row r="28" spans="2:6" x14ac:dyDescent="0.25">
      <c r="C28" s="104"/>
      <c r="F28" s="59"/>
    </row>
    <row r="29" spans="2:6" x14ac:dyDescent="0.25">
      <c r="C29" s="104"/>
      <c r="F29" s="59"/>
    </row>
    <row r="30" spans="2:6" x14ac:dyDescent="0.25">
      <c r="C30" s="104"/>
      <c r="F30" s="59"/>
    </row>
    <row r="31" spans="2:6" x14ac:dyDescent="0.25">
      <c r="C31" s="104"/>
      <c r="F31" s="59"/>
    </row>
    <row r="32" spans="2:6" x14ac:dyDescent="0.25">
      <c r="C32" s="104"/>
      <c r="F32" s="59"/>
    </row>
    <row r="33" spans="3:6" x14ac:dyDescent="0.25">
      <c r="C33" s="104"/>
      <c r="F33" s="59"/>
    </row>
    <row r="34" spans="3:6" x14ac:dyDescent="0.25">
      <c r="C34" s="104"/>
      <c r="F34" s="59"/>
    </row>
    <row r="35" spans="3:6" x14ac:dyDescent="0.25">
      <c r="C35" s="104"/>
      <c r="F35" s="59"/>
    </row>
    <row r="36" spans="3:6" x14ac:dyDescent="0.25">
      <c r="C36" s="104"/>
      <c r="F36" s="59"/>
    </row>
    <row r="37" spans="3:6" x14ac:dyDescent="0.25">
      <c r="C37" s="104"/>
      <c r="F37" s="59"/>
    </row>
    <row r="38" spans="3:6" x14ac:dyDescent="0.25">
      <c r="C38" s="104"/>
      <c r="F38" s="59"/>
    </row>
    <row r="39" spans="3:6" x14ac:dyDescent="0.25">
      <c r="C39" s="104"/>
      <c r="F39" s="59"/>
    </row>
    <row r="40" spans="3:6" x14ac:dyDescent="0.25">
      <c r="C40" s="104"/>
      <c r="F40" s="59"/>
    </row>
    <row r="41" spans="3:6" x14ac:dyDescent="0.25">
      <c r="C41" s="104"/>
      <c r="F41" s="59"/>
    </row>
    <row r="42" spans="3:6" x14ac:dyDescent="0.25">
      <c r="C42" s="104"/>
      <c r="F42" s="59"/>
    </row>
    <row r="43" spans="3:6" x14ac:dyDescent="0.25">
      <c r="C43" s="104"/>
      <c r="F43" s="59"/>
    </row>
    <row r="44" spans="3:6" x14ac:dyDescent="0.25">
      <c r="C44" s="104"/>
      <c r="F44" s="59"/>
    </row>
    <row r="45" spans="3:6" x14ac:dyDescent="0.25">
      <c r="C45" s="104"/>
      <c r="F45" s="59"/>
    </row>
    <row r="46" spans="3:6" x14ac:dyDescent="0.25">
      <c r="C46" s="104"/>
      <c r="F46" s="59"/>
    </row>
    <row r="47" spans="3:6" x14ac:dyDescent="0.25">
      <c r="C47" s="104"/>
      <c r="F47" s="59"/>
    </row>
    <row r="48" spans="3:6" x14ac:dyDescent="0.25">
      <c r="C48" s="104"/>
      <c r="F48" s="59"/>
    </row>
    <row r="49" spans="3:6" x14ac:dyDescent="0.25">
      <c r="C49" s="104"/>
      <c r="F49" s="59"/>
    </row>
    <row r="50" spans="3:6" x14ac:dyDescent="0.25">
      <c r="C50" s="104"/>
      <c r="F50" s="59"/>
    </row>
    <row r="51" spans="3:6" x14ac:dyDescent="0.25">
      <c r="C51" s="104"/>
      <c r="F51" s="59"/>
    </row>
    <row r="52" spans="3:6" x14ac:dyDescent="0.25">
      <c r="C52" s="104"/>
      <c r="F52" s="59"/>
    </row>
    <row r="53" spans="3:6" x14ac:dyDescent="0.25">
      <c r="C53" s="104"/>
      <c r="F53" s="59"/>
    </row>
    <row r="54" spans="3:6" x14ac:dyDescent="0.25">
      <c r="C54" s="104"/>
      <c r="F54" s="59"/>
    </row>
    <row r="55" spans="3:6" x14ac:dyDescent="0.25">
      <c r="C55" s="104"/>
      <c r="F55" s="59"/>
    </row>
    <row r="56" spans="3:6" x14ac:dyDescent="0.25">
      <c r="C56" s="104"/>
      <c r="F56" s="59"/>
    </row>
    <row r="57" spans="3:6" x14ac:dyDescent="0.25">
      <c r="C57" s="104"/>
      <c r="F57" s="59"/>
    </row>
    <row r="58" spans="3:6" x14ac:dyDescent="0.25">
      <c r="C58" s="104"/>
      <c r="F58" s="59"/>
    </row>
    <row r="59" spans="3:6" x14ac:dyDescent="0.25">
      <c r="C59" s="104"/>
      <c r="F59" s="59"/>
    </row>
    <row r="60" spans="3:6" x14ac:dyDescent="0.25">
      <c r="C60" s="104"/>
      <c r="F60" s="59"/>
    </row>
    <row r="61" spans="3:6" x14ac:dyDescent="0.25">
      <c r="C61" s="104"/>
      <c r="F61" s="59"/>
    </row>
    <row r="62" spans="3:6" x14ac:dyDescent="0.25">
      <c r="C62" s="104"/>
      <c r="F62" s="59"/>
    </row>
    <row r="63" spans="3:6" x14ac:dyDescent="0.25">
      <c r="C63" s="104"/>
      <c r="F63" s="59"/>
    </row>
    <row r="64" spans="3:6" x14ac:dyDescent="0.25">
      <c r="C64" s="104"/>
      <c r="F64" s="59"/>
    </row>
    <row r="65" spans="3:6" x14ac:dyDescent="0.25">
      <c r="C65" s="104"/>
      <c r="F65" s="59"/>
    </row>
    <row r="66" spans="3:6" x14ac:dyDescent="0.25">
      <c r="C66" s="104"/>
      <c r="F66" s="59"/>
    </row>
    <row r="67" spans="3:6" x14ac:dyDescent="0.25">
      <c r="C67" s="104"/>
      <c r="F67" s="59"/>
    </row>
    <row r="68" spans="3:6" x14ac:dyDescent="0.25">
      <c r="C68" s="104"/>
      <c r="F68" s="59"/>
    </row>
    <row r="69" spans="3:6" x14ac:dyDescent="0.25">
      <c r="C69" s="104"/>
      <c r="F69" s="59"/>
    </row>
    <row r="70" spans="3:6" x14ac:dyDescent="0.25">
      <c r="C70" s="104"/>
      <c r="F70" s="59"/>
    </row>
    <row r="71" spans="3:6" x14ac:dyDescent="0.25">
      <c r="C71" s="104"/>
      <c r="F71" s="59"/>
    </row>
    <row r="72" spans="3:6" x14ac:dyDescent="0.25">
      <c r="C72" s="104"/>
      <c r="F72" s="59"/>
    </row>
    <row r="73" spans="3:6" x14ac:dyDescent="0.25">
      <c r="C73" s="104"/>
      <c r="F73" s="59"/>
    </row>
    <row r="74" spans="3:6" x14ac:dyDescent="0.25">
      <c r="C74" s="104"/>
      <c r="F74" s="59"/>
    </row>
    <row r="75" spans="3:6" x14ac:dyDescent="0.25">
      <c r="C75" s="104"/>
      <c r="F75" s="59"/>
    </row>
    <row r="76" spans="3:6" x14ac:dyDescent="0.25">
      <c r="C76" s="104"/>
      <c r="F76" s="59"/>
    </row>
    <row r="77" spans="3:6" x14ac:dyDescent="0.25">
      <c r="C77" s="104"/>
      <c r="F77" s="59"/>
    </row>
    <row r="78" spans="3:6" x14ac:dyDescent="0.25">
      <c r="C78" s="104"/>
      <c r="F78" s="59"/>
    </row>
    <row r="79" spans="3:6" x14ac:dyDescent="0.25">
      <c r="C79" s="104"/>
      <c r="F79" s="59"/>
    </row>
    <row r="80" spans="3:6" x14ac:dyDescent="0.25">
      <c r="C80" s="104"/>
      <c r="F80" s="59"/>
    </row>
    <row r="81" spans="3:6" x14ac:dyDescent="0.25">
      <c r="C81" s="104"/>
      <c r="F81" s="59"/>
    </row>
    <row r="82" spans="3:6" x14ac:dyDescent="0.25">
      <c r="C82" s="104"/>
      <c r="F82" s="59"/>
    </row>
    <row r="83" spans="3:6" x14ac:dyDescent="0.25">
      <c r="C83" s="104"/>
      <c r="F83" s="59"/>
    </row>
    <row r="84" spans="3:6" x14ac:dyDescent="0.25">
      <c r="C84" s="104"/>
      <c r="F84" s="59"/>
    </row>
    <row r="85" spans="3:6" x14ac:dyDescent="0.25">
      <c r="C85" s="104"/>
      <c r="F85" s="59"/>
    </row>
    <row r="86" spans="3:6" x14ac:dyDescent="0.25">
      <c r="C86" s="104"/>
      <c r="F86" s="59"/>
    </row>
    <row r="87" spans="3:6" x14ac:dyDescent="0.25">
      <c r="C87" s="104"/>
      <c r="F87" s="59"/>
    </row>
    <row r="88" spans="3:6" x14ac:dyDescent="0.25">
      <c r="C88" s="104"/>
      <c r="F88" s="59"/>
    </row>
    <row r="89" spans="3:6" x14ac:dyDescent="0.25">
      <c r="C89" s="104"/>
      <c r="F89" s="59"/>
    </row>
    <row r="90" spans="3:6" x14ac:dyDescent="0.25">
      <c r="C90" s="104"/>
      <c r="F90" s="59"/>
    </row>
    <row r="91" spans="3:6" x14ac:dyDescent="0.25">
      <c r="C91" s="104"/>
      <c r="F91" s="59"/>
    </row>
    <row r="92" spans="3:6" x14ac:dyDescent="0.25">
      <c r="C92" s="104"/>
      <c r="F92" s="59"/>
    </row>
    <row r="93" spans="3:6" x14ac:dyDescent="0.25">
      <c r="C93" s="104"/>
      <c r="F93" s="59"/>
    </row>
    <row r="94" spans="3:6" x14ac:dyDescent="0.25">
      <c r="C94" s="104"/>
      <c r="F94" s="59"/>
    </row>
    <row r="95" spans="3:6" x14ac:dyDescent="0.25">
      <c r="C95" s="104"/>
      <c r="F95" s="59"/>
    </row>
    <row r="96" spans="3:6" x14ac:dyDescent="0.25">
      <c r="C96" s="104"/>
      <c r="F96" s="59"/>
    </row>
    <row r="97" spans="3:6" x14ac:dyDescent="0.25">
      <c r="C97" s="104"/>
      <c r="F97" s="59"/>
    </row>
    <row r="98" spans="3:6" x14ac:dyDescent="0.25">
      <c r="C98" s="104"/>
      <c r="F98" s="59"/>
    </row>
    <row r="99" spans="3:6" x14ac:dyDescent="0.25">
      <c r="C99" s="104"/>
      <c r="F99" s="59"/>
    </row>
    <row r="100" spans="3:6" x14ac:dyDescent="0.25">
      <c r="C100" s="104"/>
      <c r="F100" s="59"/>
    </row>
    <row r="101" spans="3:6" x14ac:dyDescent="0.25">
      <c r="C101" s="104"/>
      <c r="F101" s="59"/>
    </row>
    <row r="102" spans="3:6" x14ac:dyDescent="0.25">
      <c r="C102" s="104"/>
      <c r="F102" s="59"/>
    </row>
    <row r="103" spans="3:6" x14ac:dyDescent="0.25">
      <c r="C103" s="104"/>
      <c r="F103" s="59"/>
    </row>
    <row r="104" spans="3:6" x14ac:dyDescent="0.25">
      <c r="C104" s="104"/>
      <c r="F104" s="59"/>
    </row>
    <row r="105" spans="3:6" x14ac:dyDescent="0.25">
      <c r="C105" s="104"/>
      <c r="F105" s="59"/>
    </row>
    <row r="106" spans="3:6" x14ac:dyDescent="0.25">
      <c r="C106" s="104"/>
      <c r="F106" s="59"/>
    </row>
    <row r="107" spans="3:6" x14ac:dyDescent="0.25">
      <c r="C107" s="104"/>
      <c r="F107" s="59"/>
    </row>
    <row r="108" spans="3:6" x14ac:dyDescent="0.25">
      <c r="C108" s="104"/>
      <c r="F108" s="59"/>
    </row>
    <row r="109" spans="3:6" x14ac:dyDescent="0.25">
      <c r="C109" s="104"/>
      <c r="F109" s="59"/>
    </row>
    <row r="110" spans="3:6" x14ac:dyDescent="0.25">
      <c r="C110" s="104"/>
      <c r="F110" s="59"/>
    </row>
    <row r="111" spans="3:6" x14ac:dyDescent="0.25">
      <c r="C111" s="104"/>
      <c r="F111" s="59"/>
    </row>
    <row r="112" spans="3:6" x14ac:dyDescent="0.25">
      <c r="C112" s="104"/>
      <c r="F112" s="59"/>
    </row>
    <row r="113" spans="3:6" x14ac:dyDescent="0.25">
      <c r="C113" s="104"/>
      <c r="F113" s="59"/>
    </row>
    <row r="114" spans="3:6" x14ac:dyDescent="0.25">
      <c r="C114" s="104"/>
      <c r="F114" s="59"/>
    </row>
    <row r="115" spans="3:6" x14ac:dyDescent="0.25">
      <c r="C115" s="104"/>
      <c r="F115" s="59"/>
    </row>
    <row r="116" spans="3:6" x14ac:dyDescent="0.25">
      <c r="C116" s="104"/>
      <c r="F116" s="59"/>
    </row>
    <row r="117" spans="3:6" x14ac:dyDescent="0.25">
      <c r="C117" s="104"/>
      <c r="F117" s="59"/>
    </row>
    <row r="118" spans="3:6" x14ac:dyDescent="0.25">
      <c r="C118" s="104"/>
      <c r="F118" s="59"/>
    </row>
    <row r="119" spans="3:6" x14ac:dyDescent="0.25">
      <c r="C119" s="104"/>
      <c r="F119" s="59"/>
    </row>
    <row r="120" spans="3:6" x14ac:dyDescent="0.25">
      <c r="C120" s="104"/>
      <c r="F120" s="59"/>
    </row>
    <row r="121" spans="3:6" x14ac:dyDescent="0.25">
      <c r="C121" s="104"/>
      <c r="F121" s="59"/>
    </row>
    <row r="122" spans="3:6" x14ac:dyDescent="0.25">
      <c r="C122" s="104"/>
      <c r="F122" s="59"/>
    </row>
    <row r="123" spans="3:6" x14ac:dyDescent="0.25">
      <c r="C123" s="104"/>
      <c r="F123" s="59"/>
    </row>
    <row r="124" spans="3:6" x14ac:dyDescent="0.25">
      <c r="C124" s="104"/>
      <c r="F124" s="59"/>
    </row>
    <row r="125" spans="3:6" x14ac:dyDescent="0.25">
      <c r="C125" s="104"/>
      <c r="F125" s="59"/>
    </row>
    <row r="126" spans="3:6" x14ac:dyDescent="0.25">
      <c r="C126" s="104"/>
      <c r="F126" s="59"/>
    </row>
    <row r="127" spans="3:6" x14ac:dyDescent="0.25">
      <c r="C127" s="104"/>
      <c r="F127" s="59"/>
    </row>
    <row r="128" spans="3:6" x14ac:dyDescent="0.25">
      <c r="C128" s="104"/>
      <c r="F128" s="59"/>
    </row>
    <row r="129" spans="3:6" x14ac:dyDescent="0.25">
      <c r="C129" s="104"/>
      <c r="F129" s="59"/>
    </row>
    <row r="130" spans="3:6" x14ac:dyDescent="0.25">
      <c r="C130" s="104"/>
      <c r="F130" s="59"/>
    </row>
    <row r="131" spans="3:6" x14ac:dyDescent="0.25">
      <c r="C131" s="104"/>
      <c r="F131" s="59"/>
    </row>
    <row r="132" spans="3:6" x14ac:dyDescent="0.25">
      <c r="C132" s="104"/>
      <c r="F132" s="59"/>
    </row>
    <row r="133" spans="3:6" x14ac:dyDescent="0.25">
      <c r="C133" s="104"/>
      <c r="F133" s="59"/>
    </row>
    <row r="134" spans="3:6" x14ac:dyDescent="0.25">
      <c r="C134" s="104"/>
      <c r="F134" s="59"/>
    </row>
    <row r="135" spans="3:6" x14ac:dyDescent="0.25">
      <c r="C135" s="104"/>
      <c r="F135" s="59"/>
    </row>
    <row r="136" spans="3:6" x14ac:dyDescent="0.25">
      <c r="C136" s="104"/>
      <c r="F136" s="59"/>
    </row>
    <row r="137" spans="3:6" x14ac:dyDescent="0.25">
      <c r="C137" s="104"/>
      <c r="F137" s="59"/>
    </row>
    <row r="138" spans="3:6" x14ac:dyDescent="0.25">
      <c r="C138" s="104"/>
      <c r="F138" s="59"/>
    </row>
    <row r="139" spans="3:6" x14ac:dyDescent="0.25">
      <c r="C139" s="104"/>
      <c r="F139" s="59"/>
    </row>
    <row r="140" spans="3:6" x14ac:dyDescent="0.25">
      <c r="C140" s="104"/>
      <c r="F140" s="59"/>
    </row>
    <row r="141" spans="3:6" x14ac:dyDescent="0.25">
      <c r="C141" s="104"/>
      <c r="F141" s="59"/>
    </row>
    <row r="142" spans="3:6" x14ac:dyDescent="0.25">
      <c r="C142" s="104"/>
      <c r="F142" s="59"/>
    </row>
    <row r="143" spans="3:6" x14ac:dyDescent="0.25">
      <c r="C143" s="104"/>
      <c r="F143" s="59"/>
    </row>
    <row r="144" spans="3:6" x14ac:dyDescent="0.25">
      <c r="C144" s="104"/>
      <c r="F144" s="59"/>
    </row>
    <row r="145" spans="3:6" x14ac:dyDescent="0.25">
      <c r="C145" s="104"/>
      <c r="F145" s="59"/>
    </row>
    <row r="146" spans="3:6" x14ac:dyDescent="0.25">
      <c r="C146" s="104"/>
      <c r="F146" s="59"/>
    </row>
    <row r="147" spans="3:6" x14ac:dyDescent="0.25">
      <c r="C147" s="104"/>
      <c r="F147" s="59"/>
    </row>
    <row r="148" spans="3:6" x14ac:dyDescent="0.25">
      <c r="C148" s="104"/>
      <c r="F148" s="59"/>
    </row>
    <row r="149" spans="3:6" x14ac:dyDescent="0.25">
      <c r="C149" s="104"/>
      <c r="F149" s="59"/>
    </row>
    <row r="150" spans="3:6" x14ac:dyDescent="0.25">
      <c r="C150" s="104"/>
      <c r="F150" s="59"/>
    </row>
    <row r="151" spans="3:6" x14ac:dyDescent="0.25">
      <c r="C151" s="104"/>
      <c r="F151" s="59"/>
    </row>
    <row r="152" spans="3:6" x14ac:dyDescent="0.25">
      <c r="C152" s="104"/>
      <c r="F152" s="59"/>
    </row>
    <row r="153" spans="3:6" x14ac:dyDescent="0.25">
      <c r="C153" s="104"/>
      <c r="F153" s="59"/>
    </row>
    <row r="154" spans="3:6" x14ac:dyDescent="0.25">
      <c r="C154" s="104"/>
      <c r="F154" s="59"/>
    </row>
    <row r="155" spans="3:6" x14ac:dyDescent="0.25">
      <c r="C155" s="104"/>
      <c r="F155" s="59"/>
    </row>
    <row r="156" spans="3:6" x14ac:dyDescent="0.25">
      <c r="C156" s="104"/>
      <c r="F156" s="59"/>
    </row>
    <row r="157" spans="3:6" x14ac:dyDescent="0.25">
      <c r="C157" s="104"/>
      <c r="F157" s="59"/>
    </row>
    <row r="158" spans="3:6" x14ac:dyDescent="0.25">
      <c r="C158" s="104"/>
      <c r="F158" s="59"/>
    </row>
    <row r="159" spans="3:6" x14ac:dyDescent="0.25">
      <c r="C159" s="104"/>
      <c r="F159" s="59"/>
    </row>
    <row r="160" spans="3:6" x14ac:dyDescent="0.25">
      <c r="C160" s="104"/>
      <c r="F160" s="59"/>
    </row>
    <row r="161" spans="3:6" x14ac:dyDescent="0.25">
      <c r="C161" s="104"/>
      <c r="F161" s="59"/>
    </row>
    <row r="162" spans="3:6" x14ac:dyDescent="0.25">
      <c r="C162" s="104"/>
      <c r="F162" s="59"/>
    </row>
    <row r="163" spans="3:6" x14ac:dyDescent="0.25">
      <c r="C163" s="104"/>
      <c r="F163" s="59"/>
    </row>
    <row r="164" spans="3:6" x14ac:dyDescent="0.25">
      <c r="C164" s="104"/>
      <c r="F164" s="59"/>
    </row>
    <row r="165" spans="3:6" x14ac:dyDescent="0.25">
      <c r="C165" s="104"/>
      <c r="F165" s="59"/>
    </row>
    <row r="166" spans="3:6" x14ac:dyDescent="0.25">
      <c r="C166" s="104"/>
      <c r="F166" s="59"/>
    </row>
    <row r="167" spans="3:6" x14ac:dyDescent="0.25">
      <c r="C167" s="104"/>
      <c r="F167" s="59"/>
    </row>
    <row r="168" spans="3:6" x14ac:dyDescent="0.25">
      <c r="C168" s="104"/>
      <c r="F168" s="59"/>
    </row>
    <row r="169" spans="3:6" x14ac:dyDescent="0.25">
      <c r="C169" s="104"/>
      <c r="F169" s="59"/>
    </row>
    <row r="170" spans="3:6" x14ac:dyDescent="0.25">
      <c r="C170" s="104"/>
      <c r="F170" s="59"/>
    </row>
    <row r="171" spans="3:6" x14ac:dyDescent="0.25">
      <c r="C171" s="104"/>
      <c r="F171" s="59"/>
    </row>
    <row r="172" spans="3:6" x14ac:dyDescent="0.25">
      <c r="C172" s="104"/>
      <c r="F172" s="59"/>
    </row>
    <row r="173" spans="3:6" x14ac:dyDescent="0.25">
      <c r="C173" s="104"/>
      <c r="F173" s="59"/>
    </row>
    <row r="174" spans="3:6" x14ac:dyDescent="0.25">
      <c r="C174" s="104"/>
      <c r="F174" s="59"/>
    </row>
    <row r="175" spans="3:6" x14ac:dyDescent="0.25">
      <c r="C175" s="104"/>
      <c r="F175" s="59"/>
    </row>
    <row r="176" spans="3:6" x14ac:dyDescent="0.25">
      <c r="C176" s="104"/>
      <c r="F176" s="59"/>
    </row>
    <row r="177" spans="3:6" x14ac:dyDescent="0.25">
      <c r="C177" s="104"/>
      <c r="F177" s="59"/>
    </row>
    <row r="178" spans="3:6" x14ac:dyDescent="0.25">
      <c r="C178" s="104"/>
      <c r="F178" s="59"/>
    </row>
    <row r="179" spans="3:6" x14ac:dyDescent="0.25">
      <c r="C179" s="104"/>
      <c r="F179" s="59"/>
    </row>
    <row r="180" spans="3:6" x14ac:dyDescent="0.25">
      <c r="C180" s="104"/>
      <c r="F180" s="59"/>
    </row>
    <row r="181" spans="3:6" x14ac:dyDescent="0.25">
      <c r="C181" s="104"/>
      <c r="F181" s="59"/>
    </row>
    <row r="182" spans="3:6" x14ac:dyDescent="0.25">
      <c r="C182" s="104"/>
      <c r="F182" s="59"/>
    </row>
    <row r="183" spans="3:6" x14ac:dyDescent="0.25">
      <c r="C183" s="104"/>
      <c r="F183" s="59"/>
    </row>
    <row r="184" spans="3:6" x14ac:dyDescent="0.25">
      <c r="C184" s="104"/>
      <c r="F184" s="59"/>
    </row>
    <row r="185" spans="3:6" x14ac:dyDescent="0.25">
      <c r="C185" s="104"/>
      <c r="F185" s="59"/>
    </row>
    <row r="186" spans="3:6" x14ac:dyDescent="0.25">
      <c r="C186" s="104"/>
      <c r="F186" s="59"/>
    </row>
    <row r="187" spans="3:6" x14ac:dyDescent="0.25">
      <c r="C187" s="104"/>
      <c r="F187" s="59"/>
    </row>
    <row r="188" spans="3:6" x14ac:dyDescent="0.25">
      <c r="C188" s="104"/>
      <c r="F188" s="59"/>
    </row>
    <row r="189" spans="3:6" x14ac:dyDescent="0.25">
      <c r="C189" s="104"/>
      <c r="F189" s="59"/>
    </row>
    <row r="190" spans="3:6" x14ac:dyDescent="0.25">
      <c r="C190" s="104"/>
      <c r="F190" s="59"/>
    </row>
    <row r="191" spans="3:6" x14ac:dyDescent="0.25">
      <c r="C191" s="104"/>
      <c r="F191" s="59"/>
    </row>
    <row r="192" spans="3:6" x14ac:dyDescent="0.25">
      <c r="C192" s="104"/>
      <c r="F192" s="59"/>
    </row>
    <row r="193" spans="3:6" x14ac:dyDescent="0.25">
      <c r="C193" s="104"/>
      <c r="F193" s="59"/>
    </row>
    <row r="194" spans="3:6" x14ac:dyDescent="0.25">
      <c r="C194" s="104"/>
      <c r="F194" s="59"/>
    </row>
    <row r="195" spans="3:6" x14ac:dyDescent="0.25">
      <c r="C195" s="104"/>
      <c r="F195" s="59"/>
    </row>
    <row r="196" spans="3:6" x14ac:dyDescent="0.25">
      <c r="C196" s="104"/>
      <c r="F196" s="59"/>
    </row>
    <row r="197" spans="3:6" x14ac:dyDescent="0.25">
      <c r="C197" s="104"/>
      <c r="F197" s="59"/>
    </row>
    <row r="198" spans="3:6" x14ac:dyDescent="0.25">
      <c r="C198" s="104"/>
      <c r="F198" s="59"/>
    </row>
    <row r="199" spans="3:6" x14ac:dyDescent="0.25">
      <c r="C199" s="104"/>
      <c r="F199" s="59"/>
    </row>
    <row r="200" spans="3:6" x14ac:dyDescent="0.25">
      <c r="C200" s="104"/>
      <c r="F200" s="59"/>
    </row>
    <row r="201" spans="3:6" x14ac:dyDescent="0.25">
      <c r="C201" s="104"/>
      <c r="F201" s="59"/>
    </row>
    <row r="202" spans="3:6" x14ac:dyDescent="0.25">
      <c r="C202" s="104"/>
      <c r="F202" s="59"/>
    </row>
    <row r="203" spans="3:6" x14ac:dyDescent="0.25">
      <c r="C203" s="104"/>
      <c r="F203" s="59"/>
    </row>
    <row r="204" spans="3:6" x14ac:dyDescent="0.25">
      <c r="C204" s="104"/>
      <c r="F204" s="59"/>
    </row>
    <row r="205" spans="3:6" x14ac:dyDescent="0.25">
      <c r="C205" s="104"/>
      <c r="F205" s="59"/>
    </row>
    <row r="206" spans="3:6" x14ac:dyDescent="0.25">
      <c r="C206" s="104"/>
      <c r="F206" s="59"/>
    </row>
    <row r="207" spans="3:6" x14ac:dyDescent="0.25">
      <c r="C207" s="104"/>
      <c r="F207" s="59"/>
    </row>
    <row r="208" spans="3:6" x14ac:dyDescent="0.25">
      <c r="C208" s="104"/>
      <c r="F208" s="59"/>
    </row>
    <row r="209" spans="3:6" x14ac:dyDescent="0.25">
      <c r="C209" s="104"/>
      <c r="F209" s="59"/>
    </row>
    <row r="210" spans="3:6" x14ac:dyDescent="0.25">
      <c r="C210" s="104"/>
      <c r="F210" s="59"/>
    </row>
    <row r="211" spans="3:6" x14ac:dyDescent="0.25">
      <c r="C211" s="104"/>
      <c r="F211" s="59"/>
    </row>
    <row r="212" spans="3:6" x14ac:dyDescent="0.25">
      <c r="C212" s="104"/>
      <c r="F212" s="59"/>
    </row>
    <row r="213" spans="3:6" x14ac:dyDescent="0.25">
      <c r="C213" s="104"/>
      <c r="F213" s="59"/>
    </row>
    <row r="214" spans="3:6" x14ac:dyDescent="0.25">
      <c r="C214" s="104"/>
      <c r="F214" s="59"/>
    </row>
    <row r="215" spans="3:6" x14ac:dyDescent="0.25">
      <c r="C215" s="104"/>
      <c r="F215" s="59"/>
    </row>
    <row r="216" spans="3:6" x14ac:dyDescent="0.25">
      <c r="C216" s="104"/>
      <c r="F216" s="59"/>
    </row>
    <row r="217" spans="3:6" x14ac:dyDescent="0.25">
      <c r="C217" s="104"/>
      <c r="F217" s="59"/>
    </row>
    <row r="218" spans="3:6" x14ac:dyDescent="0.25">
      <c r="C218" s="104"/>
      <c r="F218" s="59"/>
    </row>
    <row r="219" spans="3:6" x14ac:dyDescent="0.25">
      <c r="C219" s="104"/>
      <c r="F219" s="59"/>
    </row>
    <row r="220" spans="3:6" x14ac:dyDescent="0.25">
      <c r="C220" s="104"/>
      <c r="F220" s="59"/>
    </row>
    <row r="221" spans="3:6" x14ac:dyDescent="0.25">
      <c r="C221" s="104"/>
      <c r="F221" s="59"/>
    </row>
    <row r="222" spans="3:6" x14ac:dyDescent="0.25">
      <c r="C222" s="104"/>
      <c r="F222" s="59"/>
    </row>
    <row r="223" spans="3:6" x14ac:dyDescent="0.25">
      <c r="C223" s="104"/>
      <c r="F223" s="59"/>
    </row>
    <row r="224" spans="3:6" x14ac:dyDescent="0.25">
      <c r="C224" s="104"/>
      <c r="F224" s="59"/>
    </row>
    <row r="225" spans="3:6" x14ac:dyDescent="0.25">
      <c r="C225" s="104"/>
      <c r="F225" s="59"/>
    </row>
    <row r="226" spans="3:6" x14ac:dyDescent="0.25">
      <c r="C226" s="104"/>
      <c r="F226" s="59"/>
    </row>
    <row r="227" spans="3:6" x14ac:dyDescent="0.25">
      <c r="C227" s="104"/>
      <c r="F227" s="59"/>
    </row>
    <row r="228" spans="3:6" x14ac:dyDescent="0.25">
      <c r="C228" s="104"/>
      <c r="F228" s="59"/>
    </row>
    <row r="229" spans="3:6" x14ac:dyDescent="0.25">
      <c r="C229" s="104"/>
      <c r="F229" s="59"/>
    </row>
    <row r="230" spans="3:6" x14ac:dyDescent="0.25">
      <c r="C230" s="104"/>
      <c r="F230" s="59"/>
    </row>
    <row r="231" spans="3:6" x14ac:dyDescent="0.25">
      <c r="C231" s="104"/>
      <c r="F231" s="59"/>
    </row>
    <row r="232" spans="3:6" x14ac:dyDescent="0.25">
      <c r="C232" s="104"/>
      <c r="F232" s="59"/>
    </row>
    <row r="233" spans="3:6" x14ac:dyDescent="0.25">
      <c r="C233" s="104"/>
      <c r="F233" s="59"/>
    </row>
    <row r="234" spans="3:6" x14ac:dyDescent="0.25">
      <c r="C234" s="104"/>
      <c r="F234" s="59"/>
    </row>
    <row r="235" spans="3:6" x14ac:dyDescent="0.25">
      <c r="C235" s="104"/>
      <c r="F235" s="59"/>
    </row>
    <row r="236" spans="3:6" x14ac:dyDescent="0.25">
      <c r="C236" s="104"/>
      <c r="F236" s="59"/>
    </row>
    <row r="237" spans="3:6" x14ac:dyDescent="0.25">
      <c r="C237" s="104"/>
      <c r="F237" s="59"/>
    </row>
    <row r="238" spans="3:6" x14ac:dyDescent="0.25">
      <c r="C238" s="104"/>
      <c r="F238" s="59"/>
    </row>
    <row r="239" spans="3:6" x14ac:dyDescent="0.25">
      <c r="C239" s="104"/>
      <c r="F239" s="59"/>
    </row>
    <row r="240" spans="3:6" x14ac:dyDescent="0.25">
      <c r="C240" s="104"/>
      <c r="F240" s="59"/>
    </row>
    <row r="241" spans="3:6" x14ac:dyDescent="0.25">
      <c r="C241" s="104"/>
      <c r="F241" s="59"/>
    </row>
    <row r="242" spans="3:6" x14ac:dyDescent="0.25">
      <c r="C242" s="104"/>
      <c r="F242" s="59"/>
    </row>
    <row r="243" spans="3:6" x14ac:dyDescent="0.25">
      <c r="C243" s="104"/>
      <c r="F243" s="59"/>
    </row>
    <row r="244" spans="3:6" x14ac:dyDescent="0.25">
      <c r="C244" s="104"/>
      <c r="F244" s="59"/>
    </row>
    <row r="245" spans="3:6" x14ac:dyDescent="0.25">
      <c r="C245" s="104"/>
      <c r="F245" s="59"/>
    </row>
    <row r="246" spans="3:6" x14ac:dyDescent="0.25">
      <c r="C246" s="104"/>
      <c r="F246" s="59"/>
    </row>
    <row r="247" spans="3:6" x14ac:dyDescent="0.25">
      <c r="C247" s="104"/>
      <c r="F247" s="59"/>
    </row>
    <row r="248" spans="3:6" x14ac:dyDescent="0.25">
      <c r="C248" s="104"/>
      <c r="F248" s="59"/>
    </row>
    <row r="249" spans="3:6" x14ac:dyDescent="0.25">
      <c r="C249" s="104"/>
      <c r="F249" s="59"/>
    </row>
    <row r="250" spans="3:6" x14ac:dyDescent="0.25">
      <c r="C250" s="104"/>
      <c r="F250" s="59"/>
    </row>
    <row r="251" spans="3:6" x14ac:dyDescent="0.25">
      <c r="C251" s="104"/>
      <c r="F251" s="59"/>
    </row>
    <row r="252" spans="3:6" x14ac:dyDescent="0.25">
      <c r="C252" s="104"/>
      <c r="F252" s="59"/>
    </row>
    <row r="253" spans="3:6" x14ac:dyDescent="0.25">
      <c r="C253" s="104"/>
      <c r="F253" s="59"/>
    </row>
    <row r="254" spans="3:6" x14ac:dyDescent="0.25">
      <c r="C254" s="104"/>
      <c r="F254" s="59"/>
    </row>
    <row r="255" spans="3:6" x14ac:dyDescent="0.25">
      <c r="C255" s="104"/>
      <c r="F255" s="59"/>
    </row>
    <row r="256" spans="3:6" x14ac:dyDescent="0.25">
      <c r="C256" s="104"/>
      <c r="F256" s="59"/>
    </row>
    <row r="257" spans="3:6" x14ac:dyDescent="0.25">
      <c r="C257" s="104"/>
      <c r="F257" s="59"/>
    </row>
    <row r="258" spans="3:6" x14ac:dyDescent="0.25">
      <c r="C258" s="104"/>
      <c r="F258" s="59"/>
    </row>
    <row r="259" spans="3:6" x14ac:dyDescent="0.25">
      <c r="C259" s="104"/>
      <c r="F259" s="59"/>
    </row>
    <row r="260" spans="3:6" x14ac:dyDescent="0.25">
      <c r="C260" s="104"/>
      <c r="F260" s="59"/>
    </row>
    <row r="261" spans="3:6" x14ac:dyDescent="0.25">
      <c r="C261" s="104"/>
      <c r="F261" s="59"/>
    </row>
    <row r="262" spans="3:6" x14ac:dyDescent="0.25">
      <c r="C262" s="104"/>
      <c r="F262" s="59"/>
    </row>
    <row r="263" spans="3:6" x14ac:dyDescent="0.25">
      <c r="C263" s="104"/>
      <c r="F263" s="59"/>
    </row>
    <row r="264" spans="3:6" x14ac:dyDescent="0.25">
      <c r="C264" s="104"/>
      <c r="F264" s="59"/>
    </row>
    <row r="265" spans="3:6" x14ac:dyDescent="0.25">
      <c r="C265" s="104"/>
      <c r="F265" s="59"/>
    </row>
    <row r="266" spans="3:6" x14ac:dyDescent="0.25">
      <c r="C266" s="104"/>
      <c r="F266" s="59"/>
    </row>
    <row r="267" spans="3:6" x14ac:dyDescent="0.25">
      <c r="C267" s="104"/>
      <c r="F267" s="59"/>
    </row>
    <row r="268" spans="3:6" x14ac:dyDescent="0.25">
      <c r="C268" s="104"/>
      <c r="F268" s="59"/>
    </row>
    <row r="269" spans="3:6" x14ac:dyDescent="0.25">
      <c r="C269" s="104"/>
      <c r="F269" s="59"/>
    </row>
    <row r="270" spans="3:6" x14ac:dyDescent="0.25">
      <c r="C270" s="104"/>
      <c r="F270" s="59"/>
    </row>
    <row r="271" spans="3:6" x14ac:dyDescent="0.25">
      <c r="C271" s="104"/>
      <c r="F271" s="59"/>
    </row>
    <row r="272" spans="3:6" x14ac:dyDescent="0.25">
      <c r="C272" s="104"/>
      <c r="F272" s="59"/>
    </row>
    <row r="273" spans="3:6" x14ac:dyDescent="0.25">
      <c r="C273" s="104"/>
      <c r="F273" s="59"/>
    </row>
    <row r="274" spans="3:6" x14ac:dyDescent="0.25">
      <c r="C274" s="104"/>
      <c r="F274" s="59"/>
    </row>
    <row r="275" spans="3:6" x14ac:dyDescent="0.25">
      <c r="C275" s="104"/>
      <c r="F275" s="59"/>
    </row>
    <row r="276" spans="3:6" x14ac:dyDescent="0.25">
      <c r="C276" s="104"/>
      <c r="F276" s="59"/>
    </row>
    <row r="277" spans="3:6" x14ac:dyDescent="0.25">
      <c r="C277" s="104"/>
      <c r="F277" s="59"/>
    </row>
    <row r="278" spans="3:6" x14ac:dyDescent="0.25">
      <c r="C278" s="104"/>
      <c r="F278" s="59"/>
    </row>
    <row r="279" spans="3:6" x14ac:dyDescent="0.25">
      <c r="C279" s="104"/>
      <c r="F279" s="59"/>
    </row>
    <row r="280" spans="3:6" x14ac:dyDescent="0.25">
      <c r="C280" s="104"/>
      <c r="F280" s="59"/>
    </row>
    <row r="281" spans="3:6" x14ac:dyDescent="0.25">
      <c r="C281" s="104"/>
      <c r="F281" s="59"/>
    </row>
    <row r="282" spans="3:6" x14ac:dyDescent="0.25">
      <c r="C282" s="104"/>
      <c r="F282" s="59"/>
    </row>
    <row r="283" spans="3:6" x14ac:dyDescent="0.25">
      <c r="C283" s="104"/>
      <c r="F283" s="59"/>
    </row>
    <row r="284" spans="3:6" x14ac:dyDescent="0.25">
      <c r="C284" s="104"/>
      <c r="F284" s="59"/>
    </row>
    <row r="285" spans="3:6" x14ac:dyDescent="0.25">
      <c r="C285" s="104"/>
      <c r="F285" s="59"/>
    </row>
    <row r="286" spans="3:6" x14ac:dyDescent="0.25">
      <c r="C286" s="104"/>
      <c r="F286" s="59"/>
    </row>
    <row r="287" spans="3:6" x14ac:dyDescent="0.25">
      <c r="C287" s="104"/>
      <c r="F287" s="59"/>
    </row>
    <row r="288" spans="3:6" x14ac:dyDescent="0.25">
      <c r="C288" s="104"/>
      <c r="F288" s="59"/>
    </row>
    <row r="289" spans="3:6" x14ac:dyDescent="0.25">
      <c r="C289" s="104"/>
      <c r="F289" s="59"/>
    </row>
    <row r="290" spans="3:6" x14ac:dyDescent="0.25">
      <c r="C290" s="104"/>
      <c r="F290" s="59"/>
    </row>
    <row r="291" spans="3:6" x14ac:dyDescent="0.25">
      <c r="C291" s="104"/>
      <c r="F291" s="59"/>
    </row>
    <row r="292" spans="3:6" x14ac:dyDescent="0.25">
      <c r="C292" s="104"/>
      <c r="F292" s="59"/>
    </row>
    <row r="293" spans="3:6" x14ac:dyDescent="0.25">
      <c r="C293" s="104"/>
      <c r="F293" s="59"/>
    </row>
    <row r="294" spans="3:6" x14ac:dyDescent="0.25">
      <c r="C294" s="104"/>
      <c r="F294" s="59"/>
    </row>
    <row r="295" spans="3:6" x14ac:dyDescent="0.25">
      <c r="C295" s="104"/>
      <c r="F295" s="59"/>
    </row>
    <row r="296" spans="3:6" x14ac:dyDescent="0.25">
      <c r="C296" s="104"/>
      <c r="F296" s="59"/>
    </row>
    <row r="297" spans="3:6" x14ac:dyDescent="0.25">
      <c r="C297" s="104"/>
      <c r="F297" s="59"/>
    </row>
    <row r="298" spans="3:6" x14ac:dyDescent="0.25">
      <c r="C298" s="104"/>
      <c r="F298" s="59"/>
    </row>
    <row r="299" spans="3:6" x14ac:dyDescent="0.25">
      <c r="C299" s="104"/>
      <c r="F299" s="59"/>
    </row>
    <row r="300" spans="3:6" x14ac:dyDescent="0.25">
      <c r="C300" s="104"/>
      <c r="F300" s="59"/>
    </row>
    <row r="301" spans="3:6" x14ac:dyDescent="0.25">
      <c r="C301" s="104"/>
      <c r="F301" s="59"/>
    </row>
    <row r="302" spans="3:6" x14ac:dyDescent="0.25">
      <c r="C302" s="104"/>
      <c r="F302" s="59"/>
    </row>
    <row r="303" spans="3:6" x14ac:dyDescent="0.25">
      <c r="C303" s="104"/>
      <c r="F303" s="59"/>
    </row>
    <row r="304" spans="3:6" x14ac:dyDescent="0.25">
      <c r="C304" s="104"/>
      <c r="F304" s="59"/>
    </row>
    <row r="305" spans="3:6" x14ac:dyDescent="0.25">
      <c r="C305" s="104"/>
      <c r="F305" s="59"/>
    </row>
    <row r="306" spans="3:6" x14ac:dyDescent="0.25">
      <c r="C306" s="104"/>
      <c r="F306" s="59"/>
    </row>
    <row r="307" spans="3:6" x14ac:dyDescent="0.25">
      <c r="C307" s="104"/>
      <c r="F307" s="59"/>
    </row>
    <row r="308" spans="3:6" x14ac:dyDescent="0.25">
      <c r="C308" s="104"/>
      <c r="F308" s="59"/>
    </row>
    <row r="309" spans="3:6" x14ac:dyDescent="0.25">
      <c r="C309" s="104"/>
      <c r="F309" s="59"/>
    </row>
    <row r="310" spans="3:6" x14ac:dyDescent="0.25">
      <c r="C310" s="104"/>
      <c r="F310" s="59"/>
    </row>
    <row r="311" spans="3:6" x14ac:dyDescent="0.25">
      <c r="C311" s="104"/>
      <c r="F311" s="59"/>
    </row>
    <row r="312" spans="3:6" x14ac:dyDescent="0.25">
      <c r="C312" s="104"/>
      <c r="F312" s="59"/>
    </row>
    <row r="313" spans="3:6" x14ac:dyDescent="0.25">
      <c r="C313" s="104"/>
      <c r="F313" s="59"/>
    </row>
    <row r="314" spans="3:6" x14ac:dyDescent="0.25">
      <c r="C314" s="104"/>
      <c r="F314" s="59"/>
    </row>
    <row r="315" spans="3:6" x14ac:dyDescent="0.25">
      <c r="C315" s="104"/>
      <c r="F315" s="59"/>
    </row>
    <row r="316" spans="3:6" x14ac:dyDescent="0.25">
      <c r="C316" s="104"/>
      <c r="F316" s="59"/>
    </row>
    <row r="317" spans="3:6" x14ac:dyDescent="0.25">
      <c r="C317" s="104"/>
      <c r="F317" s="59"/>
    </row>
    <row r="318" spans="3:6" x14ac:dyDescent="0.25">
      <c r="C318" s="104"/>
      <c r="F318" s="59"/>
    </row>
    <row r="319" spans="3:6" x14ac:dyDescent="0.25">
      <c r="C319" s="104"/>
      <c r="F319" s="59"/>
    </row>
    <row r="320" spans="3:6" x14ac:dyDescent="0.25">
      <c r="C320" s="104"/>
      <c r="F320" s="59"/>
    </row>
    <row r="321" spans="3:6" x14ac:dyDescent="0.25">
      <c r="C321" s="104"/>
      <c r="F321" s="59"/>
    </row>
    <row r="322" spans="3:6" x14ac:dyDescent="0.25">
      <c r="C322" s="104"/>
      <c r="F322" s="59"/>
    </row>
    <row r="323" spans="3:6" x14ac:dyDescent="0.25">
      <c r="C323" s="104"/>
      <c r="F323" s="59"/>
    </row>
    <row r="324" spans="3:6" x14ac:dyDescent="0.25">
      <c r="C324" s="104"/>
      <c r="F324" s="59"/>
    </row>
    <row r="325" spans="3:6" x14ac:dyDescent="0.25">
      <c r="C325" s="104"/>
      <c r="F325" s="59"/>
    </row>
    <row r="326" spans="3:6" x14ac:dyDescent="0.25">
      <c r="C326" s="104"/>
      <c r="F326" s="59"/>
    </row>
    <row r="327" spans="3:6" x14ac:dyDescent="0.25">
      <c r="C327" s="104"/>
      <c r="F327" s="59"/>
    </row>
    <row r="328" spans="3:6" x14ac:dyDescent="0.25">
      <c r="C328" s="104"/>
      <c r="F328" s="59"/>
    </row>
    <row r="329" spans="3:6" x14ac:dyDescent="0.25">
      <c r="C329" s="104"/>
      <c r="F329" s="59"/>
    </row>
    <row r="330" spans="3:6" x14ac:dyDescent="0.25">
      <c r="C330" s="104"/>
      <c r="F330" s="59"/>
    </row>
    <row r="331" spans="3:6" x14ac:dyDescent="0.25">
      <c r="C331" s="104"/>
      <c r="F331" s="59"/>
    </row>
    <row r="332" spans="3:6" x14ac:dyDescent="0.25">
      <c r="C332" s="104"/>
      <c r="F332" s="59"/>
    </row>
    <row r="333" spans="3:6" x14ac:dyDescent="0.25">
      <c r="C333" s="104"/>
      <c r="F333" s="59"/>
    </row>
    <row r="334" spans="3:6" x14ac:dyDescent="0.25">
      <c r="C334" s="104"/>
      <c r="F334" s="59"/>
    </row>
    <row r="335" spans="3:6" x14ac:dyDescent="0.25">
      <c r="C335" s="104"/>
      <c r="F335" s="59"/>
    </row>
    <row r="336" spans="3:6" x14ac:dyDescent="0.25">
      <c r="C336" s="104"/>
      <c r="F336" s="59"/>
    </row>
    <row r="337" spans="3:6" x14ac:dyDescent="0.25">
      <c r="C337" s="104"/>
      <c r="F337" s="59"/>
    </row>
    <row r="338" spans="3:6" x14ac:dyDescent="0.25">
      <c r="C338" s="104"/>
      <c r="F338" s="59"/>
    </row>
    <row r="339" spans="3:6" x14ac:dyDescent="0.25">
      <c r="C339" s="104"/>
      <c r="F339" s="59"/>
    </row>
    <row r="340" spans="3:6" x14ac:dyDescent="0.25">
      <c r="C340" s="104"/>
      <c r="F340" s="59"/>
    </row>
    <row r="341" spans="3:6" x14ac:dyDescent="0.25">
      <c r="C341" s="104"/>
      <c r="F341" s="59"/>
    </row>
    <row r="342" spans="3:6" x14ac:dyDescent="0.25">
      <c r="C342" s="104"/>
      <c r="F342" s="59"/>
    </row>
    <row r="343" spans="3:6" x14ac:dyDescent="0.25">
      <c r="C343" s="104"/>
      <c r="F343" s="59"/>
    </row>
    <row r="344" spans="3:6" x14ac:dyDescent="0.25">
      <c r="C344" s="104"/>
      <c r="F344" s="59"/>
    </row>
    <row r="345" spans="3:6" x14ac:dyDescent="0.25">
      <c r="C345" s="104"/>
      <c r="F345" s="59"/>
    </row>
    <row r="346" spans="3:6" x14ac:dyDescent="0.25">
      <c r="C346" s="104"/>
      <c r="F346" s="59"/>
    </row>
    <row r="347" spans="3:6" x14ac:dyDescent="0.25">
      <c r="C347" s="104"/>
      <c r="F347" s="59"/>
    </row>
    <row r="348" spans="3:6" x14ac:dyDescent="0.25">
      <c r="C348" s="104"/>
      <c r="F348" s="59"/>
    </row>
    <row r="349" spans="3:6" x14ac:dyDescent="0.25">
      <c r="C349" s="104"/>
      <c r="F349" s="59"/>
    </row>
    <row r="350" spans="3:6" x14ac:dyDescent="0.25">
      <c r="C350" s="104"/>
      <c r="F350" s="59"/>
    </row>
    <row r="351" spans="3:6" x14ac:dyDescent="0.25">
      <c r="C351" s="104"/>
      <c r="F351" s="59"/>
    </row>
    <row r="352" spans="3:6" x14ac:dyDescent="0.25">
      <c r="C352" s="104"/>
      <c r="F352" s="59"/>
    </row>
    <row r="353" spans="3:6" x14ac:dyDescent="0.25">
      <c r="C353" s="104"/>
      <c r="F353" s="59"/>
    </row>
    <row r="354" spans="3:6" x14ac:dyDescent="0.25">
      <c r="C354" s="104"/>
      <c r="F354" s="59"/>
    </row>
    <row r="355" spans="3:6" x14ac:dyDescent="0.25">
      <c r="C355" s="104"/>
      <c r="F355" s="59"/>
    </row>
    <row r="356" spans="3:6" x14ac:dyDescent="0.25">
      <c r="C356" s="104"/>
      <c r="F356" s="59"/>
    </row>
    <row r="357" spans="3:6" x14ac:dyDescent="0.25">
      <c r="C357" s="104"/>
      <c r="F357" s="59"/>
    </row>
    <row r="358" spans="3:6" x14ac:dyDescent="0.25">
      <c r="C358" s="104"/>
      <c r="F358" s="59"/>
    </row>
    <row r="359" spans="3:6" x14ac:dyDescent="0.25">
      <c r="C359" s="104"/>
      <c r="F359" s="59"/>
    </row>
    <row r="360" spans="3:6" x14ac:dyDescent="0.25">
      <c r="C360" s="104"/>
      <c r="F360" s="59"/>
    </row>
    <row r="361" spans="3:6" x14ac:dyDescent="0.25">
      <c r="C361" s="104"/>
      <c r="F361" s="59"/>
    </row>
    <row r="362" spans="3:6" x14ac:dyDescent="0.25">
      <c r="C362" s="104"/>
      <c r="F362" s="59"/>
    </row>
    <row r="363" spans="3:6" x14ac:dyDescent="0.25">
      <c r="C363" s="104"/>
      <c r="F363" s="59"/>
    </row>
    <row r="364" spans="3:6" x14ac:dyDescent="0.25">
      <c r="C364" s="104"/>
      <c r="F364" s="59"/>
    </row>
    <row r="365" spans="3:6" x14ac:dyDescent="0.25">
      <c r="C365" s="104"/>
      <c r="F365" s="59"/>
    </row>
    <row r="366" spans="3:6" x14ac:dyDescent="0.25">
      <c r="C366" s="104"/>
      <c r="F366" s="59"/>
    </row>
    <row r="367" spans="3:6" x14ac:dyDescent="0.25">
      <c r="C367" s="104"/>
      <c r="F367" s="59"/>
    </row>
    <row r="368" spans="3:6" x14ac:dyDescent="0.25">
      <c r="C368" s="104"/>
      <c r="F368" s="59"/>
    </row>
    <row r="369" spans="3:6" x14ac:dyDescent="0.25">
      <c r="C369" s="104"/>
      <c r="F369" s="59"/>
    </row>
    <row r="370" spans="3:6" x14ac:dyDescent="0.25">
      <c r="C370" s="104"/>
      <c r="F370" s="59"/>
    </row>
    <row r="371" spans="3:6" x14ac:dyDescent="0.25">
      <c r="C371" s="104"/>
      <c r="F371" s="59"/>
    </row>
    <row r="372" spans="3:6" x14ac:dyDescent="0.25">
      <c r="C372" s="104"/>
      <c r="F372" s="59"/>
    </row>
    <row r="373" spans="3:6" x14ac:dyDescent="0.25">
      <c r="C373" s="104"/>
      <c r="F373" s="59"/>
    </row>
    <row r="374" spans="3:6" x14ac:dyDescent="0.25">
      <c r="C374" s="104"/>
      <c r="F374" s="59"/>
    </row>
    <row r="375" spans="3:6" x14ac:dyDescent="0.25">
      <c r="C375" s="104"/>
      <c r="F375" s="59"/>
    </row>
    <row r="376" spans="3:6" x14ac:dyDescent="0.25">
      <c r="C376" s="104"/>
      <c r="F376" s="59"/>
    </row>
    <row r="377" spans="3:6" x14ac:dyDescent="0.25">
      <c r="C377" s="104"/>
      <c r="F377" s="59"/>
    </row>
    <row r="378" spans="3:6" x14ac:dyDescent="0.25">
      <c r="C378" s="104"/>
      <c r="F378" s="59"/>
    </row>
    <row r="379" spans="3:6" x14ac:dyDescent="0.25">
      <c r="C379" s="104"/>
      <c r="F379" s="59"/>
    </row>
    <row r="380" spans="3:6" x14ac:dyDescent="0.25">
      <c r="C380" s="104"/>
      <c r="F380" s="59"/>
    </row>
    <row r="381" spans="3:6" x14ac:dyDescent="0.25">
      <c r="C381" s="104"/>
      <c r="F381" s="59"/>
    </row>
    <row r="382" spans="3:6" x14ac:dyDescent="0.25">
      <c r="C382" s="104"/>
      <c r="F382" s="59"/>
    </row>
    <row r="383" spans="3:6" x14ac:dyDescent="0.25">
      <c r="C383" s="104"/>
      <c r="F383" s="59"/>
    </row>
    <row r="384" spans="3:6" x14ac:dyDescent="0.25">
      <c r="C384" s="104"/>
      <c r="F384" s="59"/>
    </row>
    <row r="385" spans="3:6" x14ac:dyDescent="0.25">
      <c r="C385" s="104"/>
      <c r="F385" s="59"/>
    </row>
    <row r="386" spans="3:6" x14ac:dyDescent="0.25">
      <c r="C386" s="104"/>
      <c r="F386" s="59"/>
    </row>
    <row r="387" spans="3:6" x14ac:dyDescent="0.25">
      <c r="C387" s="104"/>
      <c r="F387" s="59"/>
    </row>
    <row r="388" spans="3:6" x14ac:dyDescent="0.25">
      <c r="C388" s="104"/>
      <c r="F388" s="59"/>
    </row>
    <row r="389" spans="3:6" x14ac:dyDescent="0.25">
      <c r="C389" s="104"/>
      <c r="F389" s="59"/>
    </row>
    <row r="390" spans="3:6" x14ac:dyDescent="0.25">
      <c r="C390" s="104"/>
      <c r="F390" s="59"/>
    </row>
    <row r="391" spans="3:6" x14ac:dyDescent="0.25">
      <c r="C391" s="104"/>
      <c r="F391" s="59"/>
    </row>
    <row r="392" spans="3:6" x14ac:dyDescent="0.25">
      <c r="C392" s="104"/>
      <c r="F392" s="59"/>
    </row>
    <row r="393" spans="3:6" x14ac:dyDescent="0.25">
      <c r="C393" s="104"/>
      <c r="F393" s="59"/>
    </row>
    <row r="394" spans="3:6" x14ac:dyDescent="0.25">
      <c r="C394" s="104"/>
      <c r="F394" s="59"/>
    </row>
    <row r="395" spans="3:6" x14ac:dyDescent="0.25">
      <c r="C395" s="104"/>
      <c r="F395" s="59"/>
    </row>
    <row r="396" spans="3:6" x14ac:dyDescent="0.25">
      <c r="C396" s="104"/>
      <c r="F396" s="59"/>
    </row>
    <row r="397" spans="3:6" x14ac:dyDescent="0.25">
      <c r="C397" s="104"/>
      <c r="F397" s="59"/>
    </row>
    <row r="398" spans="3:6" x14ac:dyDescent="0.25">
      <c r="C398" s="104"/>
      <c r="F398" s="59"/>
    </row>
    <row r="399" spans="3:6" x14ac:dyDescent="0.25">
      <c r="C399" s="104"/>
      <c r="F399" s="59"/>
    </row>
    <row r="400" spans="3:6" x14ac:dyDescent="0.25">
      <c r="C400" s="104"/>
      <c r="F400" s="59"/>
    </row>
    <row r="401" spans="3:6" x14ac:dyDescent="0.25">
      <c r="C401" s="104"/>
      <c r="F401" s="59"/>
    </row>
    <row r="402" spans="3:6" x14ac:dyDescent="0.25">
      <c r="C402" s="104"/>
      <c r="F402" s="59"/>
    </row>
    <row r="403" spans="3:6" x14ac:dyDescent="0.25">
      <c r="C403" s="104"/>
      <c r="F403" s="59"/>
    </row>
    <row r="404" spans="3:6" x14ac:dyDescent="0.25">
      <c r="C404" s="104"/>
      <c r="F404" s="59"/>
    </row>
    <row r="405" spans="3:6" x14ac:dyDescent="0.25">
      <c r="C405" s="104"/>
      <c r="F405" s="59"/>
    </row>
    <row r="406" spans="3:6" x14ac:dyDescent="0.25">
      <c r="C406" s="104"/>
      <c r="F406" s="59"/>
    </row>
    <row r="407" spans="3:6" x14ac:dyDescent="0.25">
      <c r="C407" s="104"/>
      <c r="F407" s="59"/>
    </row>
    <row r="408" spans="3:6" x14ac:dyDescent="0.25">
      <c r="C408" s="104"/>
      <c r="F408" s="59"/>
    </row>
    <row r="409" spans="3:6" x14ac:dyDescent="0.25">
      <c r="C409" s="104"/>
      <c r="F409" s="59"/>
    </row>
    <row r="410" spans="3:6" x14ac:dyDescent="0.25">
      <c r="C410" s="104"/>
      <c r="F410" s="59"/>
    </row>
    <row r="411" spans="3:6" x14ac:dyDescent="0.25">
      <c r="C411" s="104"/>
      <c r="F411" s="59"/>
    </row>
    <row r="412" spans="3:6" x14ac:dyDescent="0.25">
      <c r="C412" s="104"/>
      <c r="F412" s="59"/>
    </row>
    <row r="413" spans="3:6" x14ac:dyDescent="0.25">
      <c r="C413" s="104"/>
      <c r="F413" s="59"/>
    </row>
    <row r="414" spans="3:6" x14ac:dyDescent="0.25">
      <c r="C414" s="104"/>
      <c r="F414" s="59"/>
    </row>
    <row r="415" spans="3:6" x14ac:dyDescent="0.25">
      <c r="C415" s="104"/>
      <c r="F415" s="59"/>
    </row>
    <row r="416" spans="3:6" x14ac:dyDescent="0.25">
      <c r="C416" s="104"/>
      <c r="F416" s="59"/>
    </row>
    <row r="417" spans="3:6" x14ac:dyDescent="0.25">
      <c r="C417" s="104"/>
      <c r="F417" s="59"/>
    </row>
    <row r="418" spans="3:6" x14ac:dyDescent="0.25">
      <c r="C418" s="104"/>
      <c r="F418" s="59"/>
    </row>
    <row r="419" spans="3:6" x14ac:dyDescent="0.25">
      <c r="C419" s="104"/>
      <c r="F419" s="59"/>
    </row>
    <row r="420" spans="3:6" x14ac:dyDescent="0.25">
      <c r="C420" s="104"/>
      <c r="F420" s="59"/>
    </row>
    <row r="421" spans="3:6" x14ac:dyDescent="0.25">
      <c r="C421" s="104"/>
      <c r="F421" s="59"/>
    </row>
    <row r="422" spans="3:6" x14ac:dyDescent="0.25">
      <c r="C422" s="104"/>
      <c r="F422" s="59"/>
    </row>
    <row r="423" spans="3:6" x14ac:dyDescent="0.25">
      <c r="C423" s="104"/>
      <c r="F423" s="59"/>
    </row>
    <row r="424" spans="3:6" x14ac:dyDescent="0.25">
      <c r="C424" s="104"/>
      <c r="F424" s="59"/>
    </row>
    <row r="425" spans="3:6" x14ac:dyDescent="0.25">
      <c r="C425" s="104"/>
      <c r="F425" s="59"/>
    </row>
    <row r="426" spans="3:6" x14ac:dyDescent="0.25">
      <c r="C426" s="104"/>
      <c r="F426" s="59"/>
    </row>
    <row r="427" spans="3:6" x14ac:dyDescent="0.25">
      <c r="C427" s="104"/>
      <c r="F427" s="59"/>
    </row>
    <row r="428" spans="3:6" x14ac:dyDescent="0.25">
      <c r="C428" s="104"/>
      <c r="F428" s="59"/>
    </row>
    <row r="429" spans="3:6" x14ac:dyDescent="0.25">
      <c r="C429" s="104"/>
      <c r="F429" s="59"/>
    </row>
    <row r="430" spans="3:6" x14ac:dyDescent="0.25">
      <c r="C430" s="104"/>
      <c r="F430" s="59"/>
    </row>
    <row r="431" spans="3:6" x14ac:dyDescent="0.25">
      <c r="C431" s="104"/>
      <c r="F431" s="59"/>
    </row>
    <row r="432" spans="3:6" x14ac:dyDescent="0.25">
      <c r="C432" s="104"/>
      <c r="F432" s="59"/>
    </row>
    <row r="433" spans="3:6" x14ac:dyDescent="0.25">
      <c r="C433" s="104"/>
      <c r="F433" s="59"/>
    </row>
    <row r="434" spans="3:6" x14ac:dyDescent="0.25">
      <c r="C434" s="104"/>
      <c r="F434" s="59"/>
    </row>
    <row r="435" spans="3:6" x14ac:dyDescent="0.25">
      <c r="C435" s="104"/>
      <c r="F435" s="59"/>
    </row>
    <row r="436" spans="3:6" x14ac:dyDescent="0.25">
      <c r="C436" s="104"/>
      <c r="F436" s="59"/>
    </row>
    <row r="437" spans="3:6" x14ac:dyDescent="0.25">
      <c r="C437" s="104"/>
      <c r="F437" s="59"/>
    </row>
    <row r="438" spans="3:6" x14ac:dyDescent="0.25">
      <c r="C438" s="104"/>
      <c r="F438" s="59"/>
    </row>
    <row r="439" spans="3:6" x14ac:dyDescent="0.25">
      <c r="C439" s="104"/>
      <c r="F439" s="59"/>
    </row>
    <row r="440" spans="3:6" x14ac:dyDescent="0.25">
      <c r="C440" s="104"/>
      <c r="F440" s="59"/>
    </row>
    <row r="441" spans="3:6" x14ac:dyDescent="0.25">
      <c r="C441" s="104"/>
      <c r="F441" s="59"/>
    </row>
    <row r="442" spans="3:6" x14ac:dyDescent="0.25">
      <c r="C442" s="104"/>
      <c r="F442" s="59"/>
    </row>
    <row r="443" spans="3:6" x14ac:dyDescent="0.25">
      <c r="C443" s="104"/>
      <c r="F443" s="59"/>
    </row>
    <row r="444" spans="3:6" x14ac:dyDescent="0.25">
      <c r="C444" s="104"/>
      <c r="F444" s="59"/>
    </row>
    <row r="445" spans="3:6" x14ac:dyDescent="0.25">
      <c r="C445" s="104"/>
      <c r="F445" s="59"/>
    </row>
    <row r="446" spans="3:6" x14ac:dyDescent="0.25">
      <c r="C446" s="104"/>
      <c r="F446" s="59"/>
    </row>
    <row r="447" spans="3:6" x14ac:dyDescent="0.25">
      <c r="C447" s="104"/>
      <c r="F447" s="59"/>
    </row>
    <row r="448" spans="3:6" x14ac:dyDescent="0.25">
      <c r="C448" s="104"/>
      <c r="F448" s="59"/>
    </row>
    <row r="449" spans="3:6" x14ac:dyDescent="0.25">
      <c r="C449" s="104"/>
      <c r="F449" s="59"/>
    </row>
    <row r="450" spans="3:6" x14ac:dyDescent="0.25">
      <c r="C450" s="104"/>
      <c r="F450" s="59"/>
    </row>
    <row r="451" spans="3:6" x14ac:dyDescent="0.25">
      <c r="C451" s="104"/>
      <c r="F451" s="59"/>
    </row>
    <row r="452" spans="3:6" x14ac:dyDescent="0.25">
      <c r="C452" s="104"/>
      <c r="F452" s="59"/>
    </row>
    <row r="453" spans="3:6" x14ac:dyDescent="0.25">
      <c r="C453" s="104"/>
      <c r="F453" s="59"/>
    </row>
    <row r="454" spans="3:6" x14ac:dyDescent="0.25">
      <c r="C454" s="104"/>
      <c r="F454" s="59"/>
    </row>
    <row r="455" spans="3:6" x14ac:dyDescent="0.25">
      <c r="C455" s="104"/>
      <c r="F455" s="59"/>
    </row>
    <row r="456" spans="3:6" x14ac:dyDescent="0.25">
      <c r="C456" s="104"/>
      <c r="F456" s="59"/>
    </row>
    <row r="457" spans="3:6" x14ac:dyDescent="0.25">
      <c r="C457" s="104"/>
      <c r="F457" s="59"/>
    </row>
    <row r="458" spans="3:6" x14ac:dyDescent="0.25">
      <c r="C458" s="104"/>
      <c r="F458" s="59"/>
    </row>
    <row r="459" spans="3:6" x14ac:dyDescent="0.25">
      <c r="C459" s="104"/>
      <c r="F459" s="59"/>
    </row>
    <row r="460" spans="3:6" x14ac:dyDescent="0.25">
      <c r="C460" s="104"/>
      <c r="F460" s="59"/>
    </row>
    <row r="461" spans="3:6" x14ac:dyDescent="0.25">
      <c r="C461" s="104"/>
      <c r="F461" s="59"/>
    </row>
    <row r="462" spans="3:6" x14ac:dyDescent="0.25">
      <c r="C462" s="104"/>
      <c r="F462" s="59"/>
    </row>
    <row r="463" spans="3:6" x14ac:dyDescent="0.25">
      <c r="C463" s="104"/>
      <c r="F463" s="59"/>
    </row>
    <row r="464" spans="3:6" x14ac:dyDescent="0.25">
      <c r="C464" s="104"/>
      <c r="F464" s="59"/>
    </row>
    <row r="465" spans="3:6" x14ac:dyDescent="0.25">
      <c r="C465" s="104"/>
      <c r="F465" s="59"/>
    </row>
    <row r="466" spans="3:6" x14ac:dyDescent="0.25">
      <c r="C466" s="104"/>
      <c r="F466" s="59"/>
    </row>
    <row r="467" spans="3:6" x14ac:dyDescent="0.25">
      <c r="C467" s="104"/>
      <c r="F467" s="59"/>
    </row>
    <row r="468" spans="3:6" x14ac:dyDescent="0.25">
      <c r="C468" s="104"/>
      <c r="F468" s="59"/>
    </row>
    <row r="469" spans="3:6" x14ac:dyDescent="0.25">
      <c r="C469" s="104"/>
      <c r="F469" s="59"/>
    </row>
    <row r="470" spans="3:6" x14ac:dyDescent="0.25">
      <c r="C470" s="104"/>
      <c r="F470" s="59"/>
    </row>
    <row r="471" spans="3:6" x14ac:dyDescent="0.25">
      <c r="C471" s="104"/>
      <c r="F471" s="59"/>
    </row>
    <row r="472" spans="3:6" x14ac:dyDescent="0.25">
      <c r="C472" s="104"/>
      <c r="F472" s="59"/>
    </row>
    <row r="473" spans="3:6" x14ac:dyDescent="0.25">
      <c r="C473" s="104"/>
      <c r="F473" s="59"/>
    </row>
    <row r="474" spans="3:6" x14ac:dyDescent="0.25">
      <c r="C474" s="104"/>
      <c r="F474" s="59"/>
    </row>
    <row r="475" spans="3:6" x14ac:dyDescent="0.25">
      <c r="C475" s="104"/>
      <c r="F475" s="59"/>
    </row>
    <row r="476" spans="3:6" x14ac:dyDescent="0.25">
      <c r="C476" s="104"/>
      <c r="F476" s="59"/>
    </row>
    <row r="477" spans="3:6" x14ac:dyDescent="0.25">
      <c r="C477" s="104"/>
      <c r="F477" s="59"/>
    </row>
    <row r="478" spans="3:6" x14ac:dyDescent="0.25">
      <c r="C478" s="104"/>
      <c r="F478" s="59"/>
    </row>
    <row r="479" spans="3:6" x14ac:dyDescent="0.25">
      <c r="C479" s="104"/>
      <c r="F479" s="59"/>
    </row>
    <row r="480" spans="3:6" x14ac:dyDescent="0.25">
      <c r="C480" s="104"/>
      <c r="F480" s="59"/>
    </row>
    <row r="481" spans="3:6" x14ac:dyDescent="0.25">
      <c r="C481" s="104"/>
      <c r="F481" s="59"/>
    </row>
    <row r="482" spans="3:6" x14ac:dyDescent="0.25">
      <c r="C482" s="104"/>
      <c r="F482" s="59"/>
    </row>
    <row r="483" spans="3:6" x14ac:dyDescent="0.25">
      <c r="C483" s="104"/>
      <c r="F483" s="59"/>
    </row>
    <row r="484" spans="3:6" x14ac:dyDescent="0.25">
      <c r="C484" s="104"/>
      <c r="F484" s="59"/>
    </row>
    <row r="485" spans="3:6" x14ac:dyDescent="0.25">
      <c r="C485" s="104"/>
      <c r="F485" s="59"/>
    </row>
    <row r="486" spans="3:6" x14ac:dyDescent="0.25">
      <c r="C486" s="104"/>
      <c r="F486" s="59"/>
    </row>
    <row r="487" spans="3:6" x14ac:dyDescent="0.25">
      <c r="C487" s="104"/>
      <c r="F487" s="59"/>
    </row>
    <row r="488" spans="3:6" x14ac:dyDescent="0.25">
      <c r="C488" s="104"/>
      <c r="F488" s="59"/>
    </row>
    <row r="489" spans="3:6" x14ac:dyDescent="0.25">
      <c r="C489" s="104"/>
      <c r="F489" s="59"/>
    </row>
    <row r="490" spans="3:6" x14ac:dyDescent="0.25">
      <c r="C490" s="104"/>
      <c r="F490" s="59"/>
    </row>
    <row r="491" spans="3:6" x14ac:dyDescent="0.25">
      <c r="C491" s="104"/>
      <c r="F491" s="59"/>
    </row>
    <row r="492" spans="3:6" x14ac:dyDescent="0.25">
      <c r="C492" s="104"/>
      <c r="F492" s="59"/>
    </row>
    <row r="493" spans="3:6" x14ac:dyDescent="0.25">
      <c r="C493" s="104"/>
      <c r="F493" s="59"/>
    </row>
    <row r="494" spans="3:6" x14ac:dyDescent="0.25">
      <c r="C494" s="104"/>
      <c r="F494" s="59"/>
    </row>
    <row r="495" spans="3:6" x14ac:dyDescent="0.25">
      <c r="C495" s="104"/>
      <c r="F495" s="59"/>
    </row>
    <row r="496" spans="3:6" x14ac:dyDescent="0.25">
      <c r="C496" s="104"/>
      <c r="F496" s="59"/>
    </row>
    <row r="497" spans="3:6" x14ac:dyDescent="0.25">
      <c r="C497" s="104"/>
      <c r="F497" s="59"/>
    </row>
    <row r="498" spans="3:6" x14ac:dyDescent="0.25">
      <c r="C498" s="104"/>
      <c r="F498" s="59"/>
    </row>
    <row r="499" spans="3:6" x14ac:dyDescent="0.25">
      <c r="C499" s="104"/>
      <c r="F499" s="59"/>
    </row>
    <row r="500" spans="3:6" x14ac:dyDescent="0.25">
      <c r="C500" s="104"/>
      <c r="F500" s="59"/>
    </row>
    <row r="501" spans="3:6" x14ac:dyDescent="0.25">
      <c r="C501" s="104"/>
      <c r="F501" s="59"/>
    </row>
    <row r="502" spans="3:6" x14ac:dyDescent="0.25">
      <c r="C502" s="104"/>
      <c r="F502" s="59"/>
    </row>
    <row r="503" spans="3:6" x14ac:dyDescent="0.25">
      <c r="C503" s="104"/>
      <c r="F503" s="59"/>
    </row>
    <row r="504" spans="3:6" x14ac:dyDescent="0.25">
      <c r="C504" s="104"/>
      <c r="F504" s="59"/>
    </row>
    <row r="505" spans="3:6" x14ac:dyDescent="0.25">
      <c r="C505" s="104"/>
      <c r="F505" s="59"/>
    </row>
    <row r="506" spans="3:6" x14ac:dyDescent="0.25">
      <c r="C506" s="104"/>
      <c r="F506" s="59"/>
    </row>
    <row r="507" spans="3:6" x14ac:dyDescent="0.25">
      <c r="C507" s="104"/>
      <c r="F507" s="59"/>
    </row>
    <row r="508" spans="3:6" x14ac:dyDescent="0.25">
      <c r="C508" s="104"/>
      <c r="F508" s="59"/>
    </row>
    <row r="509" spans="3:6" x14ac:dyDescent="0.25">
      <c r="C509" s="104"/>
      <c r="F509" s="59"/>
    </row>
    <row r="510" spans="3:6" x14ac:dyDescent="0.25">
      <c r="C510" s="104"/>
      <c r="F510" s="59"/>
    </row>
    <row r="511" spans="3:6" x14ac:dyDescent="0.25">
      <c r="C511" s="104"/>
      <c r="F511" s="59"/>
    </row>
    <row r="512" spans="3:6" x14ac:dyDescent="0.25">
      <c r="C512" s="104"/>
      <c r="F512" s="59"/>
    </row>
    <row r="513" spans="3:6" x14ac:dyDescent="0.25">
      <c r="C513" s="104"/>
      <c r="F513" s="59"/>
    </row>
    <row r="514" spans="3:6" x14ac:dyDescent="0.25">
      <c r="C514" s="104"/>
      <c r="F514" s="59"/>
    </row>
    <row r="515" spans="3:6" x14ac:dyDescent="0.25">
      <c r="C515" s="104"/>
      <c r="F515" s="59"/>
    </row>
    <row r="516" spans="3:6" x14ac:dyDescent="0.25">
      <c r="C516" s="104"/>
      <c r="F516" s="59"/>
    </row>
    <row r="517" spans="3:6" x14ac:dyDescent="0.25">
      <c r="C517" s="104"/>
      <c r="F517" s="59"/>
    </row>
    <row r="518" spans="3:6" x14ac:dyDescent="0.25">
      <c r="C518" s="104"/>
      <c r="F518" s="59"/>
    </row>
    <row r="519" spans="3:6" x14ac:dyDescent="0.25">
      <c r="C519" s="104"/>
      <c r="F519" s="59"/>
    </row>
    <row r="520" spans="3:6" x14ac:dyDescent="0.25">
      <c r="C520" s="104"/>
      <c r="F520" s="59"/>
    </row>
    <row r="521" spans="3:6" x14ac:dyDescent="0.25">
      <c r="C521" s="104"/>
      <c r="F521" s="59"/>
    </row>
    <row r="522" spans="3:6" x14ac:dyDescent="0.25">
      <c r="C522" s="104"/>
      <c r="F522" s="59"/>
    </row>
    <row r="523" spans="3:6" x14ac:dyDescent="0.25">
      <c r="C523" s="104"/>
      <c r="F523" s="59"/>
    </row>
    <row r="524" spans="3:6" x14ac:dyDescent="0.25">
      <c r="C524" s="104"/>
      <c r="F524" s="59"/>
    </row>
    <row r="525" spans="3:6" x14ac:dyDescent="0.25">
      <c r="C525" s="104"/>
      <c r="F525" s="59"/>
    </row>
    <row r="526" spans="3:6" x14ac:dyDescent="0.25">
      <c r="C526" s="104"/>
      <c r="F526" s="59"/>
    </row>
    <row r="527" spans="3:6" x14ac:dyDescent="0.25">
      <c r="C527" s="104"/>
      <c r="F527" s="59"/>
    </row>
    <row r="528" spans="3:6" x14ac:dyDescent="0.25">
      <c r="C528" s="104"/>
      <c r="F528" s="59"/>
    </row>
    <row r="529" spans="3:6" x14ac:dyDescent="0.25">
      <c r="C529" s="104"/>
      <c r="F529" s="59"/>
    </row>
    <row r="530" spans="3:6" x14ac:dyDescent="0.25">
      <c r="C530" s="104"/>
      <c r="F530" s="59"/>
    </row>
    <row r="531" spans="3:6" x14ac:dyDescent="0.25">
      <c r="C531" s="104"/>
      <c r="F531" s="59"/>
    </row>
    <row r="532" spans="3:6" x14ac:dyDescent="0.25">
      <c r="C532" s="104"/>
      <c r="F532" s="59"/>
    </row>
    <row r="533" spans="3:6" x14ac:dyDescent="0.25">
      <c r="C533" s="104"/>
      <c r="F533" s="59"/>
    </row>
    <row r="534" spans="3:6" x14ac:dyDescent="0.25">
      <c r="C534" s="104"/>
      <c r="F534" s="59"/>
    </row>
    <row r="535" spans="3:6" x14ac:dyDescent="0.25">
      <c r="C535" s="104"/>
      <c r="F535" s="59"/>
    </row>
    <row r="536" spans="3:6" x14ac:dyDescent="0.25">
      <c r="C536" s="104"/>
      <c r="F536" s="59"/>
    </row>
    <row r="537" spans="3:6" x14ac:dyDescent="0.25">
      <c r="C537" s="104"/>
      <c r="F537" s="59"/>
    </row>
    <row r="538" spans="3:6" x14ac:dyDescent="0.25">
      <c r="C538" s="104"/>
      <c r="F538" s="59"/>
    </row>
    <row r="539" spans="3:6" x14ac:dyDescent="0.25">
      <c r="C539" s="104"/>
      <c r="F539" s="59"/>
    </row>
    <row r="540" spans="3:6" x14ac:dyDescent="0.25">
      <c r="C540" s="104"/>
      <c r="F540" s="59"/>
    </row>
    <row r="541" spans="3:6" x14ac:dyDescent="0.25">
      <c r="C541" s="104"/>
      <c r="F541" s="59"/>
    </row>
    <row r="542" spans="3:6" x14ac:dyDescent="0.25">
      <c r="C542" s="104"/>
      <c r="F542" s="59"/>
    </row>
    <row r="543" spans="3:6" x14ac:dyDescent="0.25">
      <c r="C543" s="104"/>
      <c r="F543" s="59"/>
    </row>
    <row r="544" spans="3:6" x14ac:dyDescent="0.25">
      <c r="C544" s="104"/>
      <c r="F544" s="59"/>
    </row>
    <row r="545" spans="3:6" x14ac:dyDescent="0.25">
      <c r="C545" s="104"/>
      <c r="F545" s="59"/>
    </row>
    <row r="546" spans="3:6" x14ac:dyDescent="0.25">
      <c r="C546" s="104"/>
      <c r="F546" s="59"/>
    </row>
    <row r="547" spans="3:6" x14ac:dyDescent="0.25">
      <c r="C547" s="104"/>
      <c r="F547" s="59"/>
    </row>
    <row r="548" spans="3:6" x14ac:dyDescent="0.25">
      <c r="C548" s="104"/>
      <c r="F548" s="59"/>
    </row>
    <row r="549" spans="3:6" x14ac:dyDescent="0.25">
      <c r="C549" s="104"/>
      <c r="F549" s="59"/>
    </row>
    <row r="550" spans="3:6" x14ac:dyDescent="0.25">
      <c r="C550" s="104"/>
      <c r="F550" s="59"/>
    </row>
    <row r="551" spans="3:6" x14ac:dyDescent="0.25">
      <c r="C551" s="104"/>
      <c r="F551" s="59"/>
    </row>
    <row r="552" spans="3:6" x14ac:dyDescent="0.25">
      <c r="C552" s="104"/>
      <c r="F552" s="59"/>
    </row>
    <row r="553" spans="3:6" x14ac:dyDescent="0.25">
      <c r="C553" s="104"/>
      <c r="F553" s="59"/>
    </row>
    <row r="554" spans="3:6" x14ac:dyDescent="0.25">
      <c r="C554" s="104"/>
      <c r="F554" s="59"/>
    </row>
    <row r="555" spans="3:6" x14ac:dyDescent="0.25">
      <c r="C555" s="104"/>
      <c r="F555" s="59"/>
    </row>
    <row r="556" spans="3:6" x14ac:dyDescent="0.25">
      <c r="C556" s="104"/>
      <c r="F556" s="59"/>
    </row>
    <row r="557" spans="3:6" x14ac:dyDescent="0.25">
      <c r="C557" s="104"/>
      <c r="F557" s="59"/>
    </row>
    <row r="558" spans="3:6" x14ac:dyDescent="0.25">
      <c r="C558" s="104"/>
      <c r="F558" s="59"/>
    </row>
    <row r="559" spans="3:6" x14ac:dyDescent="0.25">
      <c r="C559" s="104"/>
      <c r="F559" s="59"/>
    </row>
    <row r="560" spans="3:6" x14ac:dyDescent="0.25">
      <c r="C560" s="104"/>
      <c r="F560" s="59"/>
    </row>
    <row r="561" spans="3:6" x14ac:dyDescent="0.25">
      <c r="C561" s="104"/>
      <c r="F561" s="59"/>
    </row>
    <row r="562" spans="3:6" x14ac:dyDescent="0.25">
      <c r="C562" s="104"/>
      <c r="F562" s="59"/>
    </row>
    <row r="563" spans="3:6" x14ac:dyDescent="0.25">
      <c r="C563" s="104"/>
      <c r="F563" s="59"/>
    </row>
    <row r="564" spans="3:6" x14ac:dyDescent="0.25">
      <c r="C564" s="104"/>
      <c r="F564" s="59"/>
    </row>
    <row r="565" spans="3:6" x14ac:dyDescent="0.25">
      <c r="C565" s="104"/>
      <c r="F565" s="59"/>
    </row>
    <row r="566" spans="3:6" x14ac:dyDescent="0.25">
      <c r="C566" s="104"/>
      <c r="F566" s="59"/>
    </row>
    <row r="567" spans="3:6" x14ac:dyDescent="0.25">
      <c r="C567" s="104"/>
      <c r="F567" s="59"/>
    </row>
    <row r="568" spans="3:6" x14ac:dyDescent="0.25">
      <c r="C568" s="104"/>
      <c r="F568" s="59"/>
    </row>
    <row r="569" spans="3:6" x14ac:dyDescent="0.25">
      <c r="C569" s="104"/>
      <c r="F569" s="59"/>
    </row>
    <row r="570" spans="3:6" x14ac:dyDescent="0.25">
      <c r="C570" s="104"/>
      <c r="F570" s="59"/>
    </row>
    <row r="571" spans="3:6" x14ac:dyDescent="0.25">
      <c r="C571" s="104"/>
      <c r="F571" s="59"/>
    </row>
    <row r="572" spans="3:6" x14ac:dyDescent="0.25">
      <c r="C572" s="104"/>
      <c r="F572" s="59"/>
    </row>
    <row r="573" spans="3:6" x14ac:dyDescent="0.25">
      <c r="C573" s="104"/>
      <c r="F573" s="59"/>
    </row>
    <row r="574" spans="3:6" x14ac:dyDescent="0.25">
      <c r="C574" s="104"/>
      <c r="F574" s="59"/>
    </row>
    <row r="575" spans="3:6" x14ac:dyDescent="0.25">
      <c r="C575" s="104"/>
      <c r="F575" s="59"/>
    </row>
    <row r="576" spans="3:6" x14ac:dyDescent="0.25">
      <c r="C576" s="104"/>
      <c r="F576" s="59"/>
    </row>
    <row r="577" spans="3:6" x14ac:dyDescent="0.25">
      <c r="C577" s="104"/>
      <c r="F577" s="59"/>
    </row>
    <row r="578" spans="3:6" x14ac:dyDescent="0.25">
      <c r="C578" s="104"/>
      <c r="F578" s="59"/>
    </row>
    <row r="579" spans="3:6" x14ac:dyDescent="0.25">
      <c r="C579" s="104"/>
      <c r="F579" s="59"/>
    </row>
    <row r="580" spans="3:6" x14ac:dyDescent="0.25">
      <c r="C580" s="104"/>
      <c r="F580" s="59"/>
    </row>
    <row r="581" spans="3:6" x14ac:dyDescent="0.25">
      <c r="C581" s="104"/>
      <c r="F581" s="59"/>
    </row>
    <row r="582" spans="3:6" x14ac:dyDescent="0.25">
      <c r="C582" s="104"/>
      <c r="F582" s="59"/>
    </row>
    <row r="583" spans="3:6" x14ac:dyDescent="0.25">
      <c r="C583" s="104"/>
      <c r="F583" s="59"/>
    </row>
    <row r="584" spans="3:6" x14ac:dyDescent="0.25">
      <c r="C584" s="104"/>
      <c r="F584" s="59"/>
    </row>
    <row r="585" spans="3:6" x14ac:dyDescent="0.25">
      <c r="C585" s="104"/>
      <c r="F585" s="59"/>
    </row>
    <row r="586" spans="3:6" x14ac:dyDescent="0.25">
      <c r="C586" s="104"/>
      <c r="F586" s="59"/>
    </row>
    <row r="587" spans="3:6" x14ac:dyDescent="0.25">
      <c r="C587" s="104"/>
      <c r="F587" s="59"/>
    </row>
    <row r="588" spans="3:6" x14ac:dyDescent="0.25">
      <c r="C588" s="104"/>
      <c r="F588" s="59"/>
    </row>
    <row r="589" spans="3:6" x14ac:dyDescent="0.25">
      <c r="C589" s="104"/>
      <c r="F589" s="59"/>
    </row>
    <row r="590" spans="3:6" x14ac:dyDescent="0.25">
      <c r="C590" s="104"/>
      <c r="F590" s="59"/>
    </row>
    <row r="591" spans="3:6" x14ac:dyDescent="0.25">
      <c r="C591" s="104"/>
      <c r="F591" s="59"/>
    </row>
    <row r="592" spans="3:6" x14ac:dyDescent="0.25">
      <c r="C592" s="104"/>
      <c r="F592" s="59"/>
    </row>
    <row r="593" spans="3:6" x14ac:dyDescent="0.25">
      <c r="C593" s="104"/>
      <c r="F593" s="59"/>
    </row>
    <row r="594" spans="3:6" x14ac:dyDescent="0.25">
      <c r="C594" s="104"/>
      <c r="F594" s="59"/>
    </row>
    <row r="595" spans="3:6" x14ac:dyDescent="0.25">
      <c r="C595" s="104"/>
      <c r="F595" s="59"/>
    </row>
    <row r="596" spans="3:6" x14ac:dyDescent="0.25">
      <c r="C596" s="104"/>
      <c r="F596" s="59"/>
    </row>
    <row r="597" spans="3:6" x14ac:dyDescent="0.25">
      <c r="C597" s="104"/>
      <c r="F597" s="59"/>
    </row>
    <row r="598" spans="3:6" x14ac:dyDescent="0.25">
      <c r="C598" s="104"/>
      <c r="F598" s="59"/>
    </row>
    <row r="599" spans="3:6" x14ac:dyDescent="0.25">
      <c r="C599" s="104"/>
      <c r="F599" s="59"/>
    </row>
    <row r="600" spans="3:6" x14ac:dyDescent="0.25">
      <c r="C600" s="104"/>
      <c r="F600" s="59"/>
    </row>
    <row r="601" spans="3:6" x14ac:dyDescent="0.25">
      <c r="C601" s="104"/>
      <c r="F601" s="59"/>
    </row>
    <row r="602" spans="3:6" x14ac:dyDescent="0.25">
      <c r="C602" s="104"/>
      <c r="F602" s="59"/>
    </row>
    <row r="603" spans="3:6" x14ac:dyDescent="0.25">
      <c r="C603" s="104"/>
      <c r="F603" s="59"/>
    </row>
    <row r="604" spans="3:6" x14ac:dyDescent="0.25">
      <c r="C604" s="104"/>
      <c r="F604" s="59"/>
    </row>
    <row r="605" spans="3:6" x14ac:dyDescent="0.25">
      <c r="C605" s="104"/>
      <c r="F605" s="59"/>
    </row>
    <row r="606" spans="3:6" x14ac:dyDescent="0.25">
      <c r="C606" s="104"/>
      <c r="F606" s="59"/>
    </row>
    <row r="607" spans="3:6" x14ac:dyDescent="0.25">
      <c r="C607" s="104"/>
      <c r="F607" s="59"/>
    </row>
    <row r="608" spans="3:6" x14ac:dyDescent="0.25">
      <c r="C608" s="104"/>
      <c r="F608" s="59"/>
    </row>
    <row r="609" spans="3:6" x14ac:dyDescent="0.25">
      <c r="C609" s="104"/>
      <c r="F609" s="59"/>
    </row>
    <row r="610" spans="3:6" x14ac:dyDescent="0.25">
      <c r="C610" s="104"/>
      <c r="F610" s="59"/>
    </row>
    <row r="611" spans="3:6" x14ac:dyDescent="0.25">
      <c r="C611" s="104"/>
      <c r="F611" s="59"/>
    </row>
    <row r="612" spans="3:6" x14ac:dyDescent="0.25">
      <c r="C612" s="104"/>
      <c r="F612" s="59"/>
    </row>
    <row r="613" spans="3:6" x14ac:dyDescent="0.25">
      <c r="C613" s="104"/>
      <c r="F613" s="59"/>
    </row>
    <row r="614" spans="3:6" x14ac:dyDescent="0.25">
      <c r="C614" s="104"/>
      <c r="F614" s="59"/>
    </row>
    <row r="615" spans="3:6" x14ac:dyDescent="0.25">
      <c r="C615" s="104"/>
      <c r="F615" s="59"/>
    </row>
    <row r="616" spans="3:6" x14ac:dyDescent="0.25">
      <c r="C616" s="104"/>
      <c r="F616" s="59"/>
    </row>
    <row r="617" spans="3:6" x14ac:dyDescent="0.25">
      <c r="C617" s="104"/>
      <c r="F617" s="59"/>
    </row>
    <row r="618" spans="3:6" x14ac:dyDescent="0.25">
      <c r="C618" s="104"/>
      <c r="F618" s="59"/>
    </row>
    <row r="619" spans="3:6" x14ac:dyDescent="0.25">
      <c r="C619" s="104"/>
      <c r="F619" s="59"/>
    </row>
    <row r="620" spans="3:6" x14ac:dyDescent="0.25">
      <c r="C620" s="104"/>
      <c r="F620" s="59"/>
    </row>
    <row r="621" spans="3:6" x14ac:dyDescent="0.25">
      <c r="C621" s="104"/>
      <c r="F621" s="59"/>
    </row>
    <row r="622" spans="3:6" x14ac:dyDescent="0.25">
      <c r="C622" s="104"/>
      <c r="F622" s="59"/>
    </row>
    <row r="623" spans="3:6" x14ac:dyDescent="0.25">
      <c r="C623" s="104"/>
      <c r="F623" s="59"/>
    </row>
    <row r="624" spans="3:6" x14ac:dyDescent="0.25">
      <c r="C624" s="104"/>
      <c r="F624" s="59"/>
    </row>
    <row r="625" spans="3:6" x14ac:dyDescent="0.25">
      <c r="C625" s="104"/>
      <c r="F625" s="59"/>
    </row>
    <row r="626" spans="3:6" x14ac:dyDescent="0.25">
      <c r="C626" s="104"/>
      <c r="F626" s="59"/>
    </row>
    <row r="627" spans="3:6" x14ac:dyDescent="0.25">
      <c r="C627" s="104"/>
      <c r="F627" s="59"/>
    </row>
    <row r="628" spans="3:6" x14ac:dyDescent="0.25">
      <c r="C628" s="104"/>
      <c r="F628" s="59"/>
    </row>
    <row r="629" spans="3:6" x14ac:dyDescent="0.25">
      <c r="C629" s="104"/>
      <c r="F629" s="59"/>
    </row>
    <row r="630" spans="3:6" x14ac:dyDescent="0.25">
      <c r="C630" s="104"/>
      <c r="F630" s="59"/>
    </row>
    <row r="631" spans="3:6" x14ac:dyDescent="0.25">
      <c r="C631" s="104"/>
      <c r="F631" s="59"/>
    </row>
    <row r="632" spans="3:6" x14ac:dyDescent="0.25">
      <c r="C632" s="104"/>
      <c r="F632" s="59"/>
    </row>
    <row r="633" spans="3:6" x14ac:dyDescent="0.25">
      <c r="C633" s="104"/>
      <c r="F633" s="59"/>
    </row>
    <row r="634" spans="3:6" x14ac:dyDescent="0.25">
      <c r="C634" s="104"/>
      <c r="F634" s="59"/>
    </row>
    <row r="635" spans="3:6" x14ac:dyDescent="0.25">
      <c r="C635" s="104"/>
      <c r="F635" s="59"/>
    </row>
    <row r="636" spans="3:6" x14ac:dyDescent="0.25">
      <c r="C636" s="104"/>
      <c r="F636" s="59"/>
    </row>
    <row r="637" spans="3:6" x14ac:dyDescent="0.25">
      <c r="C637" s="104"/>
      <c r="F637" s="59"/>
    </row>
    <row r="638" spans="3:6" x14ac:dyDescent="0.25">
      <c r="C638" s="104"/>
      <c r="F638" s="59"/>
    </row>
    <row r="639" spans="3:6" x14ac:dyDescent="0.25">
      <c r="C639" s="104"/>
      <c r="F639" s="59"/>
    </row>
    <row r="640" spans="3:6" x14ac:dyDescent="0.25">
      <c r="C640" s="104"/>
      <c r="F640" s="59"/>
    </row>
    <row r="641" spans="3:6" x14ac:dyDescent="0.25">
      <c r="C641" s="104"/>
      <c r="F641" s="59"/>
    </row>
    <row r="642" spans="3:6" x14ac:dyDescent="0.25">
      <c r="C642" s="104"/>
      <c r="F642" s="59"/>
    </row>
    <row r="643" spans="3:6" x14ac:dyDescent="0.25">
      <c r="C643" s="104"/>
      <c r="F643" s="59"/>
    </row>
    <row r="644" spans="3:6" x14ac:dyDescent="0.25">
      <c r="C644" s="104"/>
      <c r="F644" s="59"/>
    </row>
    <row r="645" spans="3:6" x14ac:dyDescent="0.25">
      <c r="C645" s="104"/>
      <c r="F645" s="59"/>
    </row>
    <row r="646" spans="3:6" x14ac:dyDescent="0.25">
      <c r="C646" s="104"/>
      <c r="F646" s="59"/>
    </row>
    <row r="647" spans="3:6" x14ac:dyDescent="0.25">
      <c r="C647" s="104"/>
      <c r="F647" s="59"/>
    </row>
    <row r="648" spans="3:6" x14ac:dyDescent="0.25">
      <c r="C648" s="104"/>
      <c r="F648" s="59"/>
    </row>
    <row r="649" spans="3:6" x14ac:dyDescent="0.25">
      <c r="C649" s="104"/>
      <c r="F649" s="59"/>
    </row>
    <row r="650" spans="3:6" x14ac:dyDescent="0.25">
      <c r="C650" s="104"/>
      <c r="F650" s="59"/>
    </row>
    <row r="651" spans="3:6" x14ac:dyDescent="0.25">
      <c r="C651" s="104"/>
      <c r="F651" s="59"/>
    </row>
    <row r="652" spans="3:6" x14ac:dyDescent="0.25">
      <c r="C652" s="104"/>
      <c r="F652" s="59"/>
    </row>
    <row r="653" spans="3:6" x14ac:dyDescent="0.25">
      <c r="C653" s="104"/>
      <c r="F653" s="59"/>
    </row>
    <row r="654" spans="3:6" x14ac:dyDescent="0.25">
      <c r="C654" s="104"/>
      <c r="F654" s="59"/>
    </row>
    <row r="655" spans="3:6" x14ac:dyDescent="0.25">
      <c r="C655" s="104"/>
      <c r="F655" s="59"/>
    </row>
    <row r="656" spans="3:6" x14ac:dyDescent="0.25">
      <c r="C656" s="104"/>
      <c r="F656" s="59"/>
    </row>
    <row r="657" spans="3:6" x14ac:dyDescent="0.25">
      <c r="C657" s="104"/>
      <c r="F657" s="59"/>
    </row>
    <row r="658" spans="3:6" x14ac:dyDescent="0.25">
      <c r="C658" s="104"/>
      <c r="F658" s="59"/>
    </row>
    <row r="659" spans="3:6" x14ac:dyDescent="0.25">
      <c r="C659" s="104"/>
      <c r="F659" s="59"/>
    </row>
    <row r="660" spans="3:6" x14ac:dyDescent="0.25">
      <c r="C660" s="104"/>
      <c r="F660" s="59"/>
    </row>
    <row r="661" spans="3:6" x14ac:dyDescent="0.25">
      <c r="C661" s="104"/>
      <c r="F661" s="59"/>
    </row>
    <row r="662" spans="3:6" x14ac:dyDescent="0.25">
      <c r="C662" s="104"/>
      <c r="F662" s="59"/>
    </row>
    <row r="663" spans="3:6" x14ac:dyDescent="0.25">
      <c r="C663" s="104"/>
      <c r="F663" s="59"/>
    </row>
    <row r="664" spans="3:6" x14ac:dyDescent="0.25">
      <c r="C664" s="104"/>
      <c r="F664" s="59"/>
    </row>
    <row r="665" spans="3:6" x14ac:dyDescent="0.25">
      <c r="C665" s="104"/>
      <c r="F665" s="59"/>
    </row>
    <row r="666" spans="3:6" x14ac:dyDescent="0.25">
      <c r="C666" s="104"/>
      <c r="F666" s="59"/>
    </row>
    <row r="667" spans="3:6" x14ac:dyDescent="0.25">
      <c r="C667" s="104"/>
      <c r="F667" s="59"/>
    </row>
    <row r="668" spans="3:6" x14ac:dyDescent="0.25">
      <c r="C668" s="104"/>
      <c r="F668" s="59"/>
    </row>
    <row r="669" spans="3:6" x14ac:dyDescent="0.25">
      <c r="C669" s="104"/>
      <c r="F669" s="59"/>
    </row>
    <row r="670" spans="3:6" x14ac:dyDescent="0.25">
      <c r="C670" s="104"/>
      <c r="F670" s="59"/>
    </row>
    <row r="671" spans="3:6" x14ac:dyDescent="0.25">
      <c r="C671" s="104"/>
      <c r="F671" s="59"/>
    </row>
    <row r="672" spans="3:6" x14ac:dyDescent="0.25">
      <c r="C672" s="104"/>
      <c r="F672" s="59"/>
    </row>
    <row r="673" spans="3:6" x14ac:dyDescent="0.25">
      <c r="C673" s="104"/>
      <c r="F673" s="59"/>
    </row>
    <row r="674" spans="3:6" x14ac:dyDescent="0.25">
      <c r="C674" s="104"/>
      <c r="F674" s="59"/>
    </row>
    <row r="675" spans="3:6" x14ac:dyDescent="0.25">
      <c r="C675" s="104"/>
      <c r="F675" s="59"/>
    </row>
    <row r="676" spans="3:6" x14ac:dyDescent="0.25">
      <c r="C676" s="104"/>
      <c r="F676" s="59"/>
    </row>
    <row r="677" spans="3:6" x14ac:dyDescent="0.25">
      <c r="C677" s="104"/>
      <c r="F677" s="59"/>
    </row>
    <row r="678" spans="3:6" x14ac:dyDescent="0.25">
      <c r="C678" s="104"/>
      <c r="F678" s="59"/>
    </row>
    <row r="679" spans="3:6" x14ac:dyDescent="0.25">
      <c r="C679" s="104"/>
      <c r="F679" s="59"/>
    </row>
    <row r="680" spans="3:6" x14ac:dyDescent="0.25">
      <c r="C680" s="104"/>
      <c r="F680" s="59"/>
    </row>
    <row r="681" spans="3:6" x14ac:dyDescent="0.25">
      <c r="C681" s="104"/>
      <c r="F681" s="59"/>
    </row>
    <row r="682" spans="3:6" x14ac:dyDescent="0.25">
      <c r="C682" s="104"/>
      <c r="F682" s="59"/>
    </row>
    <row r="683" spans="3:6" x14ac:dyDescent="0.25">
      <c r="C683" s="104"/>
      <c r="F683" s="59"/>
    </row>
    <row r="684" spans="3:6" x14ac:dyDescent="0.25">
      <c r="C684" s="104"/>
      <c r="F684" s="59"/>
    </row>
    <row r="685" spans="3:6" x14ac:dyDescent="0.25">
      <c r="C685" s="104"/>
      <c r="F685" s="59"/>
    </row>
    <row r="686" spans="3:6" x14ac:dyDescent="0.25">
      <c r="C686" s="104"/>
      <c r="F686" s="59"/>
    </row>
    <row r="687" spans="3:6" x14ac:dyDescent="0.25">
      <c r="C687" s="104"/>
      <c r="F687" s="59"/>
    </row>
    <row r="688" spans="3:6" x14ac:dyDescent="0.25">
      <c r="C688" s="104"/>
      <c r="F688" s="59"/>
    </row>
    <row r="689" spans="3:6" x14ac:dyDescent="0.25">
      <c r="C689" s="104"/>
      <c r="F689" s="59"/>
    </row>
    <row r="690" spans="3:6" x14ac:dyDescent="0.25">
      <c r="C690" s="104"/>
      <c r="F690" s="59"/>
    </row>
    <row r="691" spans="3:6" x14ac:dyDescent="0.25">
      <c r="C691" s="104"/>
      <c r="F691" s="59"/>
    </row>
    <row r="692" spans="3:6" x14ac:dyDescent="0.25">
      <c r="C692" s="104"/>
      <c r="F692" s="59"/>
    </row>
    <row r="693" spans="3:6" x14ac:dyDescent="0.25">
      <c r="C693" s="104"/>
      <c r="F693" s="59"/>
    </row>
    <row r="694" spans="3:6" x14ac:dyDescent="0.25">
      <c r="C694" s="104"/>
      <c r="F694" s="59"/>
    </row>
    <row r="695" spans="3:6" x14ac:dyDescent="0.25">
      <c r="C695" s="104"/>
      <c r="F695" s="59"/>
    </row>
    <row r="696" spans="3:6" x14ac:dyDescent="0.25">
      <c r="C696" s="104"/>
      <c r="F696" s="59"/>
    </row>
    <row r="697" spans="3:6" x14ac:dyDescent="0.25">
      <c r="C697" s="104"/>
      <c r="F697" s="59"/>
    </row>
    <row r="698" spans="3:6" x14ac:dyDescent="0.25">
      <c r="C698" s="104"/>
      <c r="F698" s="59"/>
    </row>
    <row r="699" spans="3:6" x14ac:dyDescent="0.25">
      <c r="C699" s="104"/>
      <c r="F699" s="59"/>
    </row>
    <row r="700" spans="3:6" x14ac:dyDescent="0.25">
      <c r="C700" s="104"/>
      <c r="F700" s="59"/>
    </row>
    <row r="701" spans="3:6" x14ac:dyDescent="0.25">
      <c r="C701" s="104"/>
      <c r="F701" s="59"/>
    </row>
    <row r="702" spans="3:6" x14ac:dyDescent="0.25">
      <c r="C702" s="104"/>
      <c r="F702" s="59"/>
    </row>
    <row r="703" spans="3:6" x14ac:dyDescent="0.25">
      <c r="C703" s="104"/>
      <c r="F703" s="59"/>
    </row>
    <row r="704" spans="3:6" x14ac:dyDescent="0.25">
      <c r="C704" s="104"/>
      <c r="F704" s="59"/>
    </row>
    <row r="705" spans="3:6" x14ac:dyDescent="0.25">
      <c r="C705" s="104"/>
      <c r="F705" s="59"/>
    </row>
    <row r="706" spans="3:6" x14ac:dyDescent="0.25">
      <c r="C706" s="104"/>
      <c r="F706" s="59"/>
    </row>
    <row r="707" spans="3:6" x14ac:dyDescent="0.25">
      <c r="F707" s="59"/>
    </row>
    <row r="708" spans="3:6" x14ac:dyDescent="0.25">
      <c r="F708" s="59"/>
    </row>
    <row r="709" spans="3:6" x14ac:dyDescent="0.25">
      <c r="F709" s="59"/>
    </row>
    <row r="710" spans="3:6" x14ac:dyDescent="0.25">
      <c r="F710" s="59"/>
    </row>
    <row r="711" spans="3:6" x14ac:dyDescent="0.25">
      <c r="F711" s="59"/>
    </row>
    <row r="712" spans="3:6" x14ac:dyDescent="0.25">
      <c r="F712" s="59"/>
    </row>
    <row r="713" spans="3:6" x14ac:dyDescent="0.25">
      <c r="F713" s="59"/>
    </row>
    <row r="714" spans="3:6" x14ac:dyDescent="0.25">
      <c r="F714" s="59"/>
    </row>
    <row r="715" spans="3:6" x14ac:dyDescent="0.25">
      <c r="F715" s="59"/>
    </row>
    <row r="716" spans="3:6" x14ac:dyDescent="0.25">
      <c r="F716" s="59"/>
    </row>
    <row r="717" spans="3:6" x14ac:dyDescent="0.25">
      <c r="F717" s="59"/>
    </row>
    <row r="718" spans="3:6" x14ac:dyDescent="0.25">
      <c r="F718" s="59"/>
    </row>
    <row r="719" spans="3:6" x14ac:dyDescent="0.25">
      <c r="F719" s="59"/>
    </row>
    <row r="720" spans="3:6" x14ac:dyDescent="0.25">
      <c r="F720" s="59"/>
    </row>
    <row r="721" spans="6:6" x14ac:dyDescent="0.25">
      <c r="F721" s="59"/>
    </row>
    <row r="722" spans="6:6" x14ac:dyDescent="0.25">
      <c r="F722" s="59"/>
    </row>
    <row r="723" spans="6:6" x14ac:dyDescent="0.25">
      <c r="F723" s="59"/>
    </row>
    <row r="724" spans="6:6" x14ac:dyDescent="0.25">
      <c r="F724" s="59"/>
    </row>
    <row r="725" spans="6:6" x14ac:dyDescent="0.25">
      <c r="F725" s="59"/>
    </row>
    <row r="726" spans="6:6" x14ac:dyDescent="0.25">
      <c r="F726" s="59"/>
    </row>
    <row r="727" spans="6:6" x14ac:dyDescent="0.25">
      <c r="F727" s="59"/>
    </row>
    <row r="728" spans="6:6" x14ac:dyDescent="0.25">
      <c r="F728" s="59"/>
    </row>
    <row r="729" spans="6:6" x14ac:dyDescent="0.25">
      <c r="F729" s="59"/>
    </row>
    <row r="730" spans="6:6" x14ac:dyDescent="0.25">
      <c r="F730" s="59"/>
    </row>
    <row r="731" spans="6:6" x14ac:dyDescent="0.25">
      <c r="F731" s="59"/>
    </row>
    <row r="732" spans="6:6" x14ac:dyDescent="0.25">
      <c r="F732" s="59"/>
    </row>
    <row r="733" spans="6:6" x14ac:dyDescent="0.25">
      <c r="F733" s="59"/>
    </row>
    <row r="734" spans="6:6" x14ac:dyDescent="0.25">
      <c r="F734" s="59"/>
    </row>
    <row r="735" spans="6:6" x14ac:dyDescent="0.25">
      <c r="F735" s="59"/>
    </row>
    <row r="736" spans="6:6" x14ac:dyDescent="0.25">
      <c r="F736" s="59"/>
    </row>
    <row r="737" spans="6:6" x14ac:dyDescent="0.25">
      <c r="F737" s="59"/>
    </row>
    <row r="738" spans="6:6" x14ac:dyDescent="0.25">
      <c r="F738" s="59"/>
    </row>
    <row r="739" spans="6:6" x14ac:dyDescent="0.25">
      <c r="F739" s="59"/>
    </row>
    <row r="740" spans="6:6" x14ac:dyDescent="0.25">
      <c r="F740" s="59"/>
    </row>
    <row r="741" spans="6:6" x14ac:dyDescent="0.25">
      <c r="F741" s="59"/>
    </row>
    <row r="742" spans="6:6" x14ac:dyDescent="0.25">
      <c r="F742" s="59"/>
    </row>
    <row r="743" spans="6:6" x14ac:dyDescent="0.25">
      <c r="F743" s="59"/>
    </row>
    <row r="744" spans="6:6" x14ac:dyDescent="0.25">
      <c r="F744" s="59"/>
    </row>
    <row r="745" spans="6:6" x14ac:dyDescent="0.25">
      <c r="F745" s="59"/>
    </row>
    <row r="746" spans="6:6" x14ac:dyDescent="0.25">
      <c r="F746" s="59"/>
    </row>
    <row r="747" spans="6:6" x14ac:dyDescent="0.25">
      <c r="F747" s="59"/>
    </row>
  </sheetData>
  <mergeCells count="1">
    <mergeCell ref="B25:D25"/>
  </mergeCells>
  <pageMargins left="0.75" right="0.75" top="1" bottom="1" header="0.5" footer="0.5"/>
  <pageSetup scale="8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DC757"/>
  <sheetViews>
    <sheetView topLeftCell="A712" zoomScale="80" zoomScaleNormal="80" workbookViewId="0">
      <selection activeCell="A726" sqref="A726:T750"/>
    </sheetView>
  </sheetViews>
  <sheetFormatPr defaultColWidth="8.88671875" defaultRowHeight="13.2" x14ac:dyDescent="0.25"/>
  <cols>
    <col min="1" max="1" width="14.109375" style="4" customWidth="1"/>
    <col min="2" max="2" width="13.88671875" style="4" customWidth="1"/>
    <col min="3" max="3" width="16.44140625" style="4" customWidth="1"/>
    <col min="4" max="4" width="21" style="4" customWidth="1"/>
    <col min="5" max="5" width="8.33203125" style="4" bestFit="1" customWidth="1"/>
    <col min="6" max="27" width="4.44140625" style="4" bestFit="1" customWidth="1"/>
    <col min="28" max="28" width="5" style="4" customWidth="1"/>
    <col min="29" max="29" width="7.44140625" style="4" bestFit="1" customWidth="1"/>
    <col min="30" max="30" width="5.5546875" style="4" customWidth="1"/>
    <col min="31" max="31" width="6.44140625" style="4" bestFit="1" customWidth="1"/>
    <col min="32" max="53" width="4.44140625" style="4" bestFit="1" customWidth="1"/>
    <col min="54" max="54" width="5" style="4" customWidth="1"/>
    <col min="55" max="55" width="6.6640625" style="4" bestFit="1" customWidth="1"/>
    <col min="56" max="56" width="5.5546875" style="4" customWidth="1"/>
    <col min="57" max="57" width="6.44140625" style="4" bestFit="1" customWidth="1"/>
    <col min="58" max="79" width="4.44140625" style="4" bestFit="1" customWidth="1"/>
    <col min="80" max="80" width="5" style="4" customWidth="1"/>
    <col min="81" max="81" width="11.33203125" style="4" bestFit="1" customWidth="1"/>
    <col min="82" max="82" width="5.5546875" style="4" customWidth="1"/>
    <col min="83" max="83" width="6.44140625" style="4" bestFit="1" customWidth="1"/>
    <col min="84" max="105" width="4.44140625" style="4" bestFit="1" customWidth="1"/>
    <col min="106" max="106" width="5" style="4" customWidth="1"/>
    <col min="107" max="107" width="11.33203125" style="4" bestFit="1" customWidth="1"/>
    <col min="108" max="16384" width="8.88671875" style="4"/>
  </cols>
  <sheetData>
    <row r="1" spans="1:106" x14ac:dyDescent="0.25">
      <c r="A1" s="4" t="s">
        <v>113</v>
      </c>
    </row>
    <row r="2" spans="1:106" x14ac:dyDescent="0.25">
      <c r="C2" s="29"/>
      <c r="D2" s="29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</row>
    <row r="3" spans="1:106" x14ac:dyDescent="0.25">
      <c r="C3" s="29"/>
      <c r="D3" s="29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</row>
    <row r="4" spans="1:106" x14ac:dyDescent="0.25">
      <c r="C4" s="29"/>
      <c r="D4" s="29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</row>
    <row r="5" spans="1:106" ht="39.6" x14ac:dyDescent="0.25">
      <c r="A5" s="105" t="s">
        <v>5</v>
      </c>
      <c r="B5" s="105" t="s">
        <v>6</v>
      </c>
      <c r="C5" s="107" t="s">
        <v>114</v>
      </c>
      <c r="D5" s="107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D5" s="111"/>
      <c r="AE5" s="109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D5" s="111"/>
      <c r="BE5" s="109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D5" s="111"/>
      <c r="CE5" s="109"/>
      <c r="CF5" s="110"/>
      <c r="CG5" s="110"/>
      <c r="CH5" s="110"/>
      <c r="CI5" s="110"/>
      <c r="CJ5" s="110"/>
      <c r="CK5" s="110"/>
      <c r="CL5" s="110"/>
      <c r="CM5" s="110"/>
      <c r="CN5" s="110"/>
      <c r="CO5" s="110"/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110"/>
      <c r="DB5" s="110"/>
    </row>
    <row r="6" spans="1:106" ht="13.8" thickBot="1" x14ac:dyDescent="0.3">
      <c r="C6" s="29"/>
      <c r="D6" s="29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</row>
    <row r="7" spans="1:106" ht="13.35" customHeight="1" x14ac:dyDescent="0.25">
      <c r="A7" s="58">
        <v>44531</v>
      </c>
      <c r="B7" s="58">
        <f>$A7+1/24</f>
        <v>44531.041666666664</v>
      </c>
      <c r="C7" s="110">
        <f>GEServed!K3</f>
        <v>6</v>
      </c>
      <c r="D7" s="110"/>
      <c r="E7" s="112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4"/>
      <c r="AC7" s="115"/>
      <c r="AD7" s="116"/>
      <c r="AE7" s="110"/>
      <c r="AF7" s="112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4"/>
      <c r="BD7" s="110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D7" s="110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</row>
    <row r="8" spans="1:106" ht="13.35" customHeight="1" x14ac:dyDescent="0.25">
      <c r="A8" s="58">
        <f>$A7+1/24</f>
        <v>44531.041666666664</v>
      </c>
      <c r="B8" s="58">
        <f t="shared" ref="B8:B71" si="0">$A8+1/24</f>
        <v>44531.083333333328</v>
      </c>
      <c r="C8" s="110">
        <f>GEServed!K4</f>
        <v>6</v>
      </c>
      <c r="D8" s="110"/>
      <c r="E8" s="118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9"/>
      <c r="AC8" s="115"/>
      <c r="AD8" s="110"/>
      <c r="AE8" s="110"/>
      <c r="AF8" s="118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9"/>
      <c r="BD8" s="110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D8" s="110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</row>
    <row r="9" spans="1:106" ht="13.35" customHeight="1" x14ac:dyDescent="0.25">
      <c r="A9" s="58">
        <f t="shared" ref="A9:A72" si="1">$A8+1/24</f>
        <v>44531.083333333328</v>
      </c>
      <c r="B9" s="58">
        <f t="shared" si="0"/>
        <v>44531.124999999993</v>
      </c>
      <c r="C9" s="110">
        <f>GEServed!K5</f>
        <v>1</v>
      </c>
      <c r="D9" s="110"/>
      <c r="E9" s="118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9"/>
      <c r="AC9" s="115"/>
      <c r="AD9" s="110"/>
      <c r="AE9" s="110"/>
      <c r="AF9" s="118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9"/>
      <c r="BD9" s="110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D9" s="110"/>
      <c r="CE9" s="117"/>
      <c r="CF9" s="117"/>
      <c r="CG9" s="117"/>
      <c r="CH9" s="117"/>
      <c r="CI9" s="117"/>
      <c r="CJ9" s="117"/>
      <c r="CK9" s="117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</row>
    <row r="10" spans="1:106" ht="13.35" customHeight="1" x14ac:dyDescent="0.25">
      <c r="A10" s="58">
        <f t="shared" si="1"/>
        <v>44531.124999999993</v>
      </c>
      <c r="B10" s="58">
        <f t="shared" si="0"/>
        <v>44531.166666666657</v>
      </c>
      <c r="C10" s="110">
        <f>GEServed!K6</f>
        <v>6</v>
      </c>
      <c r="D10" s="110"/>
      <c r="E10" s="118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9"/>
      <c r="AC10" s="115"/>
      <c r="AD10" s="110"/>
      <c r="AE10" s="110"/>
      <c r="AF10" s="118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9"/>
      <c r="BD10" s="110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D10" s="110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</row>
    <row r="11" spans="1:106" ht="13.35" customHeight="1" x14ac:dyDescent="0.25">
      <c r="A11" s="58">
        <f t="shared" si="1"/>
        <v>44531.166666666657</v>
      </c>
      <c r="B11" s="58">
        <f t="shared" si="0"/>
        <v>44531.208333333321</v>
      </c>
      <c r="C11" s="110">
        <f>GEServed!K7</f>
        <v>6</v>
      </c>
      <c r="D11" s="110"/>
      <c r="E11" s="118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9"/>
      <c r="AC11" s="115"/>
      <c r="AD11" s="110"/>
      <c r="AE11" s="110"/>
      <c r="AF11" s="118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9"/>
      <c r="BD11" s="110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D11" s="110"/>
      <c r="CE11" s="117"/>
      <c r="CF11" s="117"/>
      <c r="CG11" s="117"/>
      <c r="CH11" s="117"/>
      <c r="CI11" s="117"/>
      <c r="CJ11" s="117"/>
      <c r="CK11" s="117"/>
      <c r="CL11" s="117"/>
      <c r="CM11" s="117"/>
      <c r="CN11" s="117"/>
      <c r="CO11" s="117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7"/>
      <c r="DA11" s="117"/>
      <c r="DB11" s="117"/>
    </row>
    <row r="12" spans="1:106" ht="13.35" customHeight="1" x14ac:dyDescent="0.25">
      <c r="A12" s="58">
        <f t="shared" si="1"/>
        <v>44531.208333333321</v>
      </c>
      <c r="B12" s="58">
        <f t="shared" si="0"/>
        <v>44531.249999999985</v>
      </c>
      <c r="C12" s="110">
        <f>GEServed!K8</f>
        <v>6</v>
      </c>
      <c r="D12" s="110"/>
      <c r="E12" s="118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9"/>
      <c r="AC12" s="115"/>
      <c r="AD12" s="110"/>
      <c r="AE12" s="110"/>
      <c r="AF12" s="118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9"/>
      <c r="BD12" s="110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D12" s="110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</row>
    <row r="13" spans="1:106" ht="13.35" customHeight="1" x14ac:dyDescent="0.25">
      <c r="A13" s="58">
        <f t="shared" si="1"/>
        <v>44531.249999999985</v>
      </c>
      <c r="B13" s="58">
        <f t="shared" si="0"/>
        <v>44531.29166666665</v>
      </c>
      <c r="C13" s="110">
        <f>GEServed!K9</f>
        <v>6</v>
      </c>
      <c r="D13" s="110"/>
      <c r="E13" s="118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9"/>
      <c r="AC13" s="115"/>
      <c r="AD13" s="110"/>
      <c r="AE13" s="110"/>
      <c r="AF13" s="118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9"/>
      <c r="BD13" s="110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D13" s="110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</row>
    <row r="14" spans="1:106" ht="13.35" customHeight="1" x14ac:dyDescent="0.25">
      <c r="A14" s="58">
        <f t="shared" si="1"/>
        <v>44531.29166666665</v>
      </c>
      <c r="B14" s="58">
        <f t="shared" si="0"/>
        <v>44531.333333333314</v>
      </c>
      <c r="C14" s="110">
        <f>GEServed!K10</f>
        <v>6</v>
      </c>
      <c r="D14" s="110"/>
      <c r="E14" s="118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9"/>
      <c r="AC14" s="115"/>
      <c r="AD14" s="110"/>
      <c r="AE14" s="110"/>
      <c r="AF14" s="118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9"/>
      <c r="BD14" s="110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D14" s="110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</row>
    <row r="15" spans="1:106" ht="13.35" customHeight="1" x14ac:dyDescent="0.25">
      <c r="A15" s="58">
        <f t="shared" si="1"/>
        <v>44531.333333333314</v>
      </c>
      <c r="B15" s="58">
        <f t="shared" si="0"/>
        <v>44531.374999999978</v>
      </c>
      <c r="C15" s="110">
        <f>GEServed!K11</f>
        <v>6</v>
      </c>
      <c r="D15" s="110"/>
      <c r="E15" s="118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9"/>
      <c r="AC15" s="115"/>
      <c r="AD15" s="110"/>
      <c r="AE15" s="110"/>
      <c r="AF15" s="118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9"/>
      <c r="BD15" s="110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  <c r="CD15" s="110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</row>
    <row r="16" spans="1:106" ht="13.35" customHeight="1" x14ac:dyDescent="0.25">
      <c r="A16" s="58">
        <f t="shared" si="1"/>
        <v>44531.374999999978</v>
      </c>
      <c r="B16" s="58">
        <f t="shared" si="0"/>
        <v>44531.416666666642</v>
      </c>
      <c r="C16" s="110">
        <f>GEServed!K12</f>
        <v>5</v>
      </c>
      <c r="D16" s="110"/>
      <c r="E16" s="118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9"/>
      <c r="AC16" s="115"/>
      <c r="AD16" s="110"/>
      <c r="AE16" s="110"/>
      <c r="AF16" s="118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9"/>
      <c r="BD16" s="110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D16" s="110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</row>
    <row r="17" spans="1:106" ht="13.35" customHeight="1" x14ac:dyDescent="0.25">
      <c r="A17" s="58">
        <f t="shared" si="1"/>
        <v>44531.416666666642</v>
      </c>
      <c r="B17" s="58">
        <f t="shared" si="0"/>
        <v>44531.458333333307</v>
      </c>
      <c r="C17" s="110">
        <f>GEServed!K13</f>
        <v>5</v>
      </c>
      <c r="D17" s="110"/>
      <c r="E17" s="118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9"/>
      <c r="AC17" s="115"/>
      <c r="AD17" s="110"/>
      <c r="AE17" s="110"/>
      <c r="AF17" s="118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9"/>
      <c r="BD17" s="110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D17" s="110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</row>
    <row r="18" spans="1:106" ht="13.35" customHeight="1" x14ac:dyDescent="0.25">
      <c r="A18" s="58">
        <f t="shared" si="1"/>
        <v>44531.458333333307</v>
      </c>
      <c r="B18" s="58">
        <f t="shared" si="0"/>
        <v>44531.499999999971</v>
      </c>
      <c r="C18" s="110">
        <f>GEServed!K14</f>
        <v>5</v>
      </c>
      <c r="D18" s="110"/>
      <c r="E18" s="118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9"/>
      <c r="AC18" s="115"/>
      <c r="AD18" s="110"/>
      <c r="AE18" s="110"/>
      <c r="AF18" s="118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9"/>
      <c r="BD18" s="110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D18" s="110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</row>
    <row r="19" spans="1:106" ht="13.35" customHeight="1" x14ac:dyDescent="0.25">
      <c r="A19" s="58">
        <f t="shared" si="1"/>
        <v>44531.499999999971</v>
      </c>
      <c r="B19" s="58">
        <f t="shared" si="0"/>
        <v>44531.541666666635</v>
      </c>
      <c r="C19" s="110">
        <f>GEServed!K15</f>
        <v>5</v>
      </c>
      <c r="D19" s="110"/>
      <c r="E19" s="118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9"/>
      <c r="AC19" s="115"/>
      <c r="AD19" s="110"/>
      <c r="AE19" s="110"/>
      <c r="AF19" s="118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9"/>
      <c r="BD19" s="110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D19" s="110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</row>
    <row r="20" spans="1:106" ht="13.35" customHeight="1" x14ac:dyDescent="0.25">
      <c r="A20" s="58">
        <f t="shared" si="1"/>
        <v>44531.541666666635</v>
      </c>
      <c r="B20" s="58">
        <f t="shared" si="0"/>
        <v>44531.583333333299</v>
      </c>
      <c r="C20" s="110">
        <f>GEServed!K16</f>
        <v>5</v>
      </c>
      <c r="D20" s="110"/>
      <c r="E20" s="118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9"/>
      <c r="AC20" s="115"/>
      <c r="AD20" s="110"/>
      <c r="AE20" s="110"/>
      <c r="AF20" s="118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9"/>
      <c r="BD20" s="110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D20" s="110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</row>
    <row r="21" spans="1:106" ht="13.35" customHeight="1" x14ac:dyDescent="0.25">
      <c r="A21" s="58">
        <f t="shared" si="1"/>
        <v>44531.583333333299</v>
      </c>
      <c r="B21" s="58">
        <f t="shared" si="0"/>
        <v>44531.624999999964</v>
      </c>
      <c r="C21" s="110">
        <f>GEServed!K17</f>
        <v>5</v>
      </c>
      <c r="D21" s="110"/>
      <c r="E21" s="118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9"/>
      <c r="AC21" s="115"/>
      <c r="AD21" s="110"/>
      <c r="AE21" s="110"/>
      <c r="AF21" s="118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9"/>
      <c r="BD21" s="110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D21" s="110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</row>
    <row r="22" spans="1:106" ht="13.35" customHeight="1" x14ac:dyDescent="0.25">
      <c r="A22" s="58">
        <f t="shared" si="1"/>
        <v>44531.624999999964</v>
      </c>
      <c r="B22" s="58">
        <f t="shared" si="0"/>
        <v>44531.666666666628</v>
      </c>
      <c r="C22" s="110">
        <f>GEServed!K18</f>
        <v>5</v>
      </c>
      <c r="D22" s="110"/>
      <c r="E22" s="118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9"/>
      <c r="AC22" s="115"/>
      <c r="AD22" s="110"/>
      <c r="AE22" s="110"/>
      <c r="AF22" s="118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9"/>
      <c r="BD22" s="110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/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D22" s="110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</row>
    <row r="23" spans="1:106" ht="13.35" customHeight="1" x14ac:dyDescent="0.25">
      <c r="A23" s="58">
        <f t="shared" si="1"/>
        <v>44531.666666666628</v>
      </c>
      <c r="B23" s="58">
        <f t="shared" si="0"/>
        <v>44531.708333333292</v>
      </c>
      <c r="C23" s="110">
        <f>GEServed!K19</f>
        <v>5</v>
      </c>
      <c r="D23" s="110"/>
      <c r="E23" s="118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9"/>
      <c r="AC23" s="115"/>
      <c r="AD23" s="110"/>
      <c r="AE23" s="110"/>
      <c r="AF23" s="118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9"/>
      <c r="BD23" s="110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D23" s="110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</row>
    <row r="24" spans="1:106" ht="13.35" customHeight="1" x14ac:dyDescent="0.25">
      <c r="A24" s="58">
        <f t="shared" si="1"/>
        <v>44531.708333333292</v>
      </c>
      <c r="B24" s="58">
        <f t="shared" si="0"/>
        <v>44531.749999999956</v>
      </c>
      <c r="C24" s="110">
        <f>GEServed!K20</f>
        <v>5</v>
      </c>
      <c r="D24" s="110"/>
      <c r="E24" s="118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9"/>
      <c r="AC24" s="115"/>
      <c r="AD24" s="110"/>
      <c r="AE24" s="110"/>
      <c r="AF24" s="118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9"/>
      <c r="BD24" s="110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D24" s="110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</row>
    <row r="25" spans="1:106" ht="13.35" customHeight="1" x14ac:dyDescent="0.25">
      <c r="A25" s="58">
        <f t="shared" si="1"/>
        <v>44531.749999999956</v>
      </c>
      <c r="B25" s="58">
        <f t="shared" si="0"/>
        <v>44531.791666666621</v>
      </c>
      <c r="C25" s="110">
        <f>GEServed!K21</f>
        <v>6</v>
      </c>
      <c r="D25" s="110"/>
      <c r="E25" s="118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9"/>
      <c r="AC25" s="115"/>
      <c r="AD25" s="110"/>
      <c r="AE25" s="110"/>
      <c r="AF25" s="118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9"/>
      <c r="BD25" s="110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D25" s="110"/>
      <c r="CE25" s="117"/>
      <c r="CF25" s="117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</row>
    <row r="26" spans="1:106" ht="13.35" customHeight="1" x14ac:dyDescent="0.25">
      <c r="A26" s="58">
        <f t="shared" si="1"/>
        <v>44531.791666666621</v>
      </c>
      <c r="B26" s="58">
        <f t="shared" si="0"/>
        <v>44531.833333333285</v>
      </c>
      <c r="C26" s="110">
        <f>GEServed!K22</f>
        <v>6</v>
      </c>
      <c r="D26" s="110"/>
      <c r="E26" s="118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9"/>
      <c r="AC26" s="115"/>
      <c r="AD26" s="110"/>
      <c r="AE26" s="110"/>
      <c r="AF26" s="118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9"/>
      <c r="BD26" s="110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D26" s="110"/>
      <c r="CE26" s="117"/>
      <c r="CF26" s="117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</row>
    <row r="27" spans="1:106" ht="13.35" customHeight="1" x14ac:dyDescent="0.25">
      <c r="A27" s="58">
        <f t="shared" si="1"/>
        <v>44531.833333333285</v>
      </c>
      <c r="B27" s="58">
        <f t="shared" si="0"/>
        <v>44531.874999999949</v>
      </c>
      <c r="C27" s="110">
        <f>GEServed!K23</f>
        <v>6</v>
      </c>
      <c r="D27" s="110"/>
      <c r="E27" s="118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9"/>
      <c r="AC27" s="115"/>
      <c r="AD27" s="110"/>
      <c r="AE27" s="110"/>
      <c r="AF27" s="118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9"/>
      <c r="BD27" s="110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D27" s="110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</row>
    <row r="28" spans="1:106" ht="13.35" customHeight="1" x14ac:dyDescent="0.25">
      <c r="A28" s="58">
        <f t="shared" si="1"/>
        <v>44531.874999999949</v>
      </c>
      <c r="B28" s="58">
        <f t="shared" si="0"/>
        <v>44531.916666666613</v>
      </c>
      <c r="C28" s="110">
        <f>GEServed!K24</f>
        <v>6</v>
      </c>
      <c r="D28" s="110"/>
      <c r="E28" s="118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9"/>
      <c r="AC28" s="115"/>
      <c r="AD28" s="110"/>
      <c r="AE28" s="110"/>
      <c r="AF28" s="118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9"/>
      <c r="BD28" s="110"/>
      <c r="BE28" s="117"/>
      <c r="BF28" s="11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D28" s="110"/>
      <c r="CE28" s="117"/>
      <c r="CF28" s="117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</row>
    <row r="29" spans="1:106" ht="13.35" customHeight="1" x14ac:dyDescent="0.25">
      <c r="A29" s="58">
        <f t="shared" si="1"/>
        <v>44531.916666666613</v>
      </c>
      <c r="B29" s="58">
        <f t="shared" si="0"/>
        <v>44531.958333333278</v>
      </c>
      <c r="C29" s="110">
        <f>GEServed!K25</f>
        <v>6</v>
      </c>
      <c r="D29" s="110"/>
      <c r="E29" s="118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9"/>
      <c r="AC29" s="115"/>
      <c r="AD29" s="110"/>
      <c r="AE29" s="110"/>
      <c r="AF29" s="118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9"/>
      <c r="BD29" s="110"/>
      <c r="BE29" s="117"/>
      <c r="BF29" s="11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BW29" s="117"/>
      <c r="BX29" s="117"/>
      <c r="BY29" s="117"/>
      <c r="BZ29" s="117"/>
      <c r="CA29" s="117"/>
      <c r="CB29" s="117"/>
      <c r="CD29" s="110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</row>
    <row r="30" spans="1:106" ht="13.35" customHeight="1" x14ac:dyDescent="0.25">
      <c r="A30" s="58">
        <f t="shared" si="1"/>
        <v>44531.958333333278</v>
      </c>
      <c r="B30" s="58">
        <f t="shared" si="0"/>
        <v>44531.999999999942</v>
      </c>
      <c r="C30" s="110">
        <f>GEServed!K26</f>
        <v>5</v>
      </c>
      <c r="D30" s="110"/>
      <c r="E30" s="118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9"/>
      <c r="AC30" s="115"/>
      <c r="AD30" s="110"/>
      <c r="AE30" s="110"/>
      <c r="AF30" s="118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9"/>
      <c r="BD30" s="110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D30" s="110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</row>
    <row r="31" spans="1:106" ht="13.35" customHeight="1" x14ac:dyDescent="0.25">
      <c r="A31" s="58">
        <f t="shared" si="1"/>
        <v>44531.999999999942</v>
      </c>
      <c r="B31" s="58">
        <f t="shared" si="0"/>
        <v>44532.041666666606</v>
      </c>
      <c r="C31" s="110">
        <f>GEServed!K27</f>
        <v>6</v>
      </c>
      <c r="D31" s="110"/>
      <c r="E31" s="118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9"/>
      <c r="AC31" s="115"/>
      <c r="AD31" s="110"/>
      <c r="AE31" s="110"/>
      <c r="AF31" s="118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9"/>
      <c r="BD31" s="110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D31" s="110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</row>
    <row r="32" spans="1:106" ht="13.35" customHeight="1" x14ac:dyDescent="0.25">
      <c r="A32" s="58">
        <f t="shared" si="1"/>
        <v>44532.041666666606</v>
      </c>
      <c r="B32" s="58">
        <f t="shared" si="0"/>
        <v>44532.08333333327</v>
      </c>
      <c r="C32" s="110">
        <f>GEServed!K28</f>
        <v>6</v>
      </c>
      <c r="D32" s="110"/>
      <c r="E32" s="118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9"/>
      <c r="AC32" s="115"/>
      <c r="AD32" s="110"/>
      <c r="AE32" s="110"/>
      <c r="AF32" s="118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9"/>
      <c r="BD32" s="110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D32" s="110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</row>
    <row r="33" spans="1:107" ht="13.35" customHeight="1" x14ac:dyDescent="0.25">
      <c r="A33" s="58">
        <f t="shared" si="1"/>
        <v>44532.08333333327</v>
      </c>
      <c r="B33" s="58">
        <f t="shared" si="0"/>
        <v>44532.124999999935</v>
      </c>
      <c r="C33" s="110">
        <f>GEServed!K29</f>
        <v>6</v>
      </c>
      <c r="D33" s="110"/>
      <c r="E33" s="118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9"/>
      <c r="AC33" s="115"/>
      <c r="AD33" s="110"/>
      <c r="AE33" s="110"/>
      <c r="AF33" s="118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9"/>
      <c r="BD33" s="110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D33" s="110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</row>
    <row r="34" spans="1:107" ht="13.35" customHeight="1" x14ac:dyDescent="0.25">
      <c r="A34" s="58">
        <f t="shared" si="1"/>
        <v>44532.124999999935</v>
      </c>
      <c r="B34" s="58">
        <f t="shared" si="0"/>
        <v>44532.166666666599</v>
      </c>
      <c r="C34" s="110">
        <f>GEServed!K30</f>
        <v>6</v>
      </c>
      <c r="D34" s="110"/>
      <c r="E34" s="118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9"/>
      <c r="AC34" s="115"/>
      <c r="AD34" s="110"/>
      <c r="AE34" s="110"/>
      <c r="AF34" s="118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9"/>
      <c r="BD34" s="110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D34" s="110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</row>
    <row r="35" spans="1:107" ht="13.35" customHeight="1" x14ac:dyDescent="0.25">
      <c r="A35" s="58">
        <f t="shared" si="1"/>
        <v>44532.166666666599</v>
      </c>
      <c r="B35" s="58">
        <f t="shared" si="0"/>
        <v>44532.208333333263</v>
      </c>
      <c r="C35" s="110">
        <f>GEServed!K31</f>
        <v>6</v>
      </c>
      <c r="D35" s="110"/>
      <c r="E35" s="118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9"/>
      <c r="AC35" s="115"/>
      <c r="AD35" s="110"/>
      <c r="AE35" s="110"/>
      <c r="AF35" s="118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9"/>
      <c r="BD35" s="110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D35" s="110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</row>
    <row r="36" spans="1:107" ht="13.35" customHeight="1" x14ac:dyDescent="0.25">
      <c r="A36" s="58">
        <f t="shared" si="1"/>
        <v>44532.208333333263</v>
      </c>
      <c r="B36" s="58">
        <f t="shared" si="0"/>
        <v>44532.249999999927</v>
      </c>
      <c r="C36" s="110">
        <f>GEServed!K32</f>
        <v>6</v>
      </c>
      <c r="D36" s="110"/>
      <c r="E36" s="118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9"/>
      <c r="AC36" s="115"/>
      <c r="AD36" s="110"/>
      <c r="AE36" s="110"/>
      <c r="AF36" s="118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9"/>
      <c r="BD36" s="110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D36" s="110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</row>
    <row r="37" spans="1:107" ht="13.35" customHeight="1" thickBot="1" x14ac:dyDescent="0.3">
      <c r="A37" s="58">
        <f t="shared" si="1"/>
        <v>44532.249999999927</v>
      </c>
      <c r="B37" s="58">
        <f t="shared" si="0"/>
        <v>44532.291666666591</v>
      </c>
      <c r="C37" s="110">
        <f>GEServed!K33</f>
        <v>6</v>
      </c>
      <c r="D37" s="110"/>
      <c r="E37" s="120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2"/>
      <c r="AC37" s="115"/>
      <c r="AD37" s="110"/>
      <c r="AE37" s="110"/>
      <c r="AF37" s="120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2"/>
      <c r="BD37" s="110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D37" s="110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</row>
    <row r="38" spans="1:107" ht="13.35" customHeight="1" x14ac:dyDescent="0.25">
      <c r="A38" s="58">
        <f t="shared" si="1"/>
        <v>44532.291666666591</v>
      </c>
      <c r="B38" s="58">
        <f t="shared" si="0"/>
        <v>44532.333333333256</v>
      </c>
      <c r="C38" s="110">
        <f>GEServed!K34</f>
        <v>6</v>
      </c>
      <c r="D38" s="110"/>
      <c r="AC38" s="123"/>
      <c r="BC38" s="123"/>
      <c r="BD38" s="123"/>
      <c r="CC38" s="123"/>
      <c r="DC38" s="123"/>
    </row>
    <row r="39" spans="1:107" ht="13.35" customHeight="1" thickBot="1" x14ac:dyDescent="0.3">
      <c r="A39" s="58">
        <f t="shared" si="1"/>
        <v>44532.333333333256</v>
      </c>
      <c r="B39" s="58">
        <f t="shared" si="0"/>
        <v>44532.37499999992</v>
      </c>
      <c r="C39" s="110">
        <f>GEServed!K35</f>
        <v>6</v>
      </c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</row>
    <row r="40" spans="1:107" ht="13.35" customHeight="1" x14ac:dyDescent="0.25">
      <c r="A40" s="58">
        <f t="shared" si="1"/>
        <v>44532.37499999992</v>
      </c>
      <c r="B40" s="58">
        <f t="shared" si="0"/>
        <v>44532.416666666584</v>
      </c>
      <c r="C40" s="110">
        <f>GEServed!K36</f>
        <v>5</v>
      </c>
      <c r="D40" s="110"/>
      <c r="E40" s="112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4"/>
      <c r="AC40" s="115"/>
    </row>
    <row r="41" spans="1:107" ht="13.35" customHeight="1" x14ac:dyDescent="0.25">
      <c r="A41" s="58">
        <f t="shared" si="1"/>
        <v>44532.416666666584</v>
      </c>
      <c r="B41" s="58">
        <f t="shared" si="0"/>
        <v>44532.458333333248</v>
      </c>
      <c r="C41" s="110">
        <f>GEServed!K37</f>
        <v>5</v>
      </c>
      <c r="D41" s="110"/>
      <c r="E41" s="118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9"/>
      <c r="AC41" s="115"/>
    </row>
    <row r="42" spans="1:107" ht="13.35" customHeight="1" x14ac:dyDescent="0.25">
      <c r="A42" s="58">
        <f t="shared" si="1"/>
        <v>44532.458333333248</v>
      </c>
      <c r="B42" s="58">
        <f t="shared" si="0"/>
        <v>44532.499999999913</v>
      </c>
      <c r="C42" s="110">
        <f>GEServed!K38</f>
        <v>5</v>
      </c>
      <c r="D42" s="110"/>
      <c r="E42" s="118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9"/>
      <c r="AC42" s="115"/>
    </row>
    <row r="43" spans="1:107" ht="13.35" customHeight="1" x14ac:dyDescent="0.25">
      <c r="A43" s="58">
        <f t="shared" si="1"/>
        <v>44532.499999999913</v>
      </c>
      <c r="B43" s="58">
        <f t="shared" si="0"/>
        <v>44532.541666666577</v>
      </c>
      <c r="C43" s="110">
        <f>GEServed!K39</f>
        <v>5</v>
      </c>
      <c r="D43" s="110"/>
      <c r="E43" s="118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9"/>
      <c r="AC43" s="115"/>
    </row>
    <row r="44" spans="1:107" ht="13.35" customHeight="1" x14ac:dyDescent="0.25">
      <c r="A44" s="58">
        <f t="shared" si="1"/>
        <v>44532.541666666577</v>
      </c>
      <c r="B44" s="58">
        <f t="shared" si="0"/>
        <v>44532.583333333241</v>
      </c>
      <c r="C44" s="110">
        <f>GEServed!K40</f>
        <v>5</v>
      </c>
      <c r="D44" s="110"/>
      <c r="E44" s="118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9"/>
      <c r="AC44" s="115"/>
    </row>
    <row r="45" spans="1:107" ht="13.35" customHeight="1" x14ac:dyDescent="0.25">
      <c r="A45" s="58">
        <f t="shared" si="1"/>
        <v>44532.583333333241</v>
      </c>
      <c r="B45" s="58">
        <f t="shared" si="0"/>
        <v>44532.624999999905</v>
      </c>
      <c r="C45" s="110">
        <f>GEServed!K41</f>
        <v>5</v>
      </c>
      <c r="D45" s="110"/>
      <c r="E45" s="118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9"/>
      <c r="AC45" s="115"/>
    </row>
    <row r="46" spans="1:107" ht="13.35" customHeight="1" x14ac:dyDescent="0.25">
      <c r="A46" s="58">
        <f t="shared" si="1"/>
        <v>44532.624999999905</v>
      </c>
      <c r="B46" s="58">
        <f t="shared" si="0"/>
        <v>44532.66666666657</v>
      </c>
      <c r="C46" s="110">
        <f>GEServed!K42</f>
        <v>5</v>
      </c>
      <c r="D46" s="110"/>
      <c r="E46" s="118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9"/>
      <c r="AC46" s="115"/>
    </row>
    <row r="47" spans="1:107" ht="13.35" customHeight="1" x14ac:dyDescent="0.25">
      <c r="A47" s="58">
        <f t="shared" si="1"/>
        <v>44532.66666666657</v>
      </c>
      <c r="B47" s="58">
        <f t="shared" si="0"/>
        <v>44532.708333333234</v>
      </c>
      <c r="C47" s="110">
        <f>GEServed!K43</f>
        <v>5</v>
      </c>
      <c r="D47" s="110"/>
      <c r="E47" s="118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9"/>
      <c r="AC47" s="115"/>
    </row>
    <row r="48" spans="1:107" ht="13.35" customHeight="1" x14ac:dyDescent="0.25">
      <c r="A48" s="58">
        <f t="shared" si="1"/>
        <v>44532.708333333234</v>
      </c>
      <c r="B48" s="58">
        <f t="shared" si="0"/>
        <v>44532.749999999898</v>
      </c>
      <c r="C48" s="110">
        <f>GEServed!K44</f>
        <v>5</v>
      </c>
      <c r="D48" s="110"/>
      <c r="E48" s="118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9"/>
      <c r="AC48" s="115"/>
    </row>
    <row r="49" spans="1:29" x14ac:dyDescent="0.25">
      <c r="A49" s="58">
        <f t="shared" si="1"/>
        <v>44532.749999999898</v>
      </c>
      <c r="B49" s="58">
        <f t="shared" si="0"/>
        <v>44532.791666666562</v>
      </c>
      <c r="C49" s="110">
        <f>GEServed!K45</f>
        <v>6</v>
      </c>
      <c r="D49" s="110"/>
      <c r="E49" s="118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9"/>
      <c r="AC49" s="115"/>
    </row>
    <row r="50" spans="1:29" x14ac:dyDescent="0.25">
      <c r="A50" s="58">
        <f t="shared" si="1"/>
        <v>44532.791666666562</v>
      </c>
      <c r="B50" s="58">
        <f t="shared" si="0"/>
        <v>44532.833333333227</v>
      </c>
      <c r="C50" s="110">
        <f>GEServed!K46</f>
        <v>6</v>
      </c>
      <c r="D50" s="110"/>
      <c r="E50" s="118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9"/>
      <c r="AC50" s="115"/>
    </row>
    <row r="51" spans="1:29" x14ac:dyDescent="0.25">
      <c r="A51" s="58">
        <f t="shared" si="1"/>
        <v>44532.833333333227</v>
      </c>
      <c r="B51" s="58">
        <f t="shared" si="0"/>
        <v>44532.874999999891</v>
      </c>
      <c r="C51" s="110">
        <f>GEServed!K47</f>
        <v>6</v>
      </c>
      <c r="D51" s="110"/>
      <c r="E51" s="118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9"/>
      <c r="AC51" s="115"/>
    </row>
    <row r="52" spans="1:29" x14ac:dyDescent="0.25">
      <c r="A52" s="58">
        <f t="shared" si="1"/>
        <v>44532.874999999891</v>
      </c>
      <c r="B52" s="58">
        <f t="shared" si="0"/>
        <v>44532.916666666555</v>
      </c>
      <c r="C52" s="110">
        <f>GEServed!K48</f>
        <v>6</v>
      </c>
      <c r="D52" s="110"/>
      <c r="E52" s="118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9"/>
      <c r="AC52" s="115"/>
    </row>
    <row r="53" spans="1:29" x14ac:dyDescent="0.25">
      <c r="A53" s="58">
        <f t="shared" si="1"/>
        <v>44532.916666666555</v>
      </c>
      <c r="B53" s="58">
        <f t="shared" si="0"/>
        <v>44532.958333333219</v>
      </c>
      <c r="C53" s="110">
        <f>GEServed!K49</f>
        <v>6</v>
      </c>
      <c r="D53" s="110"/>
      <c r="E53" s="118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9"/>
      <c r="AC53" s="115"/>
    </row>
    <row r="54" spans="1:29" x14ac:dyDescent="0.25">
      <c r="A54" s="58">
        <f t="shared" si="1"/>
        <v>44532.958333333219</v>
      </c>
      <c r="B54" s="58">
        <f t="shared" si="0"/>
        <v>44532.999999999884</v>
      </c>
      <c r="C54" s="110">
        <f>GEServed!K50</f>
        <v>5</v>
      </c>
      <c r="D54" s="110"/>
      <c r="E54" s="118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9"/>
      <c r="AC54" s="115"/>
    </row>
    <row r="55" spans="1:29" x14ac:dyDescent="0.25">
      <c r="A55" s="58">
        <f t="shared" si="1"/>
        <v>44532.999999999884</v>
      </c>
      <c r="B55" s="58">
        <f t="shared" si="0"/>
        <v>44533.041666666548</v>
      </c>
      <c r="C55" s="110">
        <f>GEServed!K51</f>
        <v>6</v>
      </c>
      <c r="D55" s="110"/>
      <c r="E55" s="118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9"/>
      <c r="AC55" s="115"/>
    </row>
    <row r="56" spans="1:29" x14ac:dyDescent="0.25">
      <c r="A56" s="58">
        <f t="shared" si="1"/>
        <v>44533.041666666548</v>
      </c>
      <c r="B56" s="58">
        <f t="shared" si="0"/>
        <v>44533.083333333212</v>
      </c>
      <c r="C56" s="110">
        <f>GEServed!K52</f>
        <v>6</v>
      </c>
      <c r="D56" s="110"/>
      <c r="E56" s="118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9"/>
      <c r="AC56" s="115"/>
    </row>
    <row r="57" spans="1:29" x14ac:dyDescent="0.25">
      <c r="A57" s="58">
        <f t="shared" si="1"/>
        <v>44533.083333333212</v>
      </c>
      <c r="B57" s="58">
        <f t="shared" si="0"/>
        <v>44533.124999999876</v>
      </c>
      <c r="C57" s="110">
        <f>GEServed!K53</f>
        <v>6</v>
      </c>
      <c r="D57" s="110"/>
      <c r="E57" s="118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9"/>
      <c r="AC57" s="115"/>
    </row>
    <row r="58" spans="1:29" x14ac:dyDescent="0.25">
      <c r="A58" s="58">
        <f t="shared" si="1"/>
        <v>44533.124999999876</v>
      </c>
      <c r="B58" s="58">
        <f t="shared" si="0"/>
        <v>44533.166666666541</v>
      </c>
      <c r="C58" s="110">
        <f>GEServed!K54</f>
        <v>6</v>
      </c>
      <c r="D58" s="110"/>
      <c r="E58" s="118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9"/>
      <c r="AC58" s="115"/>
    </row>
    <row r="59" spans="1:29" x14ac:dyDescent="0.25">
      <c r="A59" s="58">
        <f t="shared" si="1"/>
        <v>44533.166666666541</v>
      </c>
      <c r="B59" s="58">
        <f t="shared" si="0"/>
        <v>44533.208333333205</v>
      </c>
      <c r="C59" s="110">
        <f>GEServed!K55</f>
        <v>6</v>
      </c>
      <c r="D59" s="110"/>
      <c r="E59" s="118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9"/>
      <c r="AC59" s="115"/>
    </row>
    <row r="60" spans="1:29" x14ac:dyDescent="0.25">
      <c r="A60" s="58">
        <f t="shared" si="1"/>
        <v>44533.208333333205</v>
      </c>
      <c r="B60" s="58">
        <f t="shared" si="0"/>
        <v>44533.249999999869</v>
      </c>
      <c r="C60" s="110">
        <f>GEServed!K56</f>
        <v>6</v>
      </c>
      <c r="D60" s="110"/>
      <c r="E60" s="118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9"/>
      <c r="AC60" s="115"/>
    </row>
    <row r="61" spans="1:29" x14ac:dyDescent="0.25">
      <c r="A61" s="58">
        <f t="shared" si="1"/>
        <v>44533.249999999869</v>
      </c>
      <c r="B61" s="58">
        <f t="shared" si="0"/>
        <v>44533.291666666533</v>
      </c>
      <c r="C61" s="110">
        <f>GEServed!K57</f>
        <v>6</v>
      </c>
      <c r="D61" s="110"/>
      <c r="E61" s="118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9"/>
      <c r="AC61" s="115"/>
    </row>
    <row r="62" spans="1:29" x14ac:dyDescent="0.25">
      <c r="A62" s="58">
        <f t="shared" si="1"/>
        <v>44533.291666666533</v>
      </c>
      <c r="B62" s="58">
        <f t="shared" si="0"/>
        <v>44533.333333333198</v>
      </c>
      <c r="C62" s="110">
        <f>GEServed!K58</f>
        <v>2</v>
      </c>
      <c r="D62" s="110"/>
      <c r="E62" s="118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9"/>
      <c r="AC62" s="115"/>
    </row>
    <row r="63" spans="1:29" x14ac:dyDescent="0.25">
      <c r="A63" s="58">
        <f t="shared" si="1"/>
        <v>44533.333333333198</v>
      </c>
      <c r="B63" s="58">
        <f t="shared" si="0"/>
        <v>44533.374999999862</v>
      </c>
      <c r="C63" s="110">
        <f>GEServed!K59</f>
        <v>2</v>
      </c>
      <c r="D63" s="110"/>
      <c r="E63" s="118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9"/>
      <c r="AC63" s="115"/>
    </row>
    <row r="64" spans="1:29" x14ac:dyDescent="0.25">
      <c r="A64" s="58">
        <f t="shared" si="1"/>
        <v>44533.374999999862</v>
      </c>
      <c r="B64" s="58">
        <f t="shared" si="0"/>
        <v>44533.416666666526</v>
      </c>
      <c r="C64" s="110">
        <f>GEServed!K60</f>
        <v>5</v>
      </c>
      <c r="D64" s="110"/>
      <c r="E64" s="118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9"/>
      <c r="AC64" s="115"/>
    </row>
    <row r="65" spans="1:29" x14ac:dyDescent="0.25">
      <c r="A65" s="58">
        <f t="shared" si="1"/>
        <v>44533.416666666526</v>
      </c>
      <c r="B65" s="58">
        <f t="shared" si="0"/>
        <v>44533.45833333319</v>
      </c>
      <c r="C65" s="110">
        <f>GEServed!K61</f>
        <v>5</v>
      </c>
      <c r="D65" s="110"/>
      <c r="E65" s="118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9"/>
      <c r="AC65" s="115"/>
    </row>
    <row r="66" spans="1:29" x14ac:dyDescent="0.25">
      <c r="A66" s="58">
        <f t="shared" si="1"/>
        <v>44533.45833333319</v>
      </c>
      <c r="B66" s="58">
        <f t="shared" si="0"/>
        <v>44533.499999999854</v>
      </c>
      <c r="C66" s="110">
        <f>GEServed!K62</f>
        <v>5</v>
      </c>
      <c r="D66" s="110"/>
      <c r="E66" s="118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9"/>
      <c r="AC66" s="115"/>
    </row>
    <row r="67" spans="1:29" x14ac:dyDescent="0.25">
      <c r="A67" s="58">
        <f t="shared" si="1"/>
        <v>44533.499999999854</v>
      </c>
      <c r="B67" s="58">
        <f t="shared" si="0"/>
        <v>44533.541666666519</v>
      </c>
      <c r="C67" s="110">
        <f>GEServed!K63</f>
        <v>5</v>
      </c>
      <c r="D67" s="110"/>
      <c r="E67" s="118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9"/>
      <c r="AC67" s="115"/>
    </row>
    <row r="68" spans="1:29" x14ac:dyDescent="0.25">
      <c r="A68" s="58">
        <f t="shared" si="1"/>
        <v>44533.541666666519</v>
      </c>
      <c r="B68" s="58">
        <f t="shared" si="0"/>
        <v>44533.583333333183</v>
      </c>
      <c r="C68" s="110">
        <f>GEServed!K64</f>
        <v>5</v>
      </c>
      <c r="D68" s="110"/>
      <c r="E68" s="118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9"/>
      <c r="AC68" s="115"/>
    </row>
    <row r="69" spans="1:29" x14ac:dyDescent="0.25">
      <c r="A69" s="58">
        <f t="shared" si="1"/>
        <v>44533.583333333183</v>
      </c>
      <c r="B69" s="58">
        <f t="shared" si="0"/>
        <v>44533.624999999847</v>
      </c>
      <c r="C69" s="110">
        <f>GEServed!K65</f>
        <v>5</v>
      </c>
      <c r="D69" s="110"/>
      <c r="E69" s="118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9"/>
      <c r="AC69" s="115"/>
    </row>
    <row r="70" spans="1:29" ht="13.8" thickBot="1" x14ac:dyDescent="0.3">
      <c r="A70" s="58">
        <f t="shared" si="1"/>
        <v>44533.624999999847</v>
      </c>
      <c r="B70" s="58">
        <f t="shared" si="0"/>
        <v>44533.666666666511</v>
      </c>
      <c r="C70" s="110">
        <f>GEServed!K66</f>
        <v>5</v>
      </c>
      <c r="D70" s="110"/>
      <c r="E70" s="120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2"/>
      <c r="AC70" s="115"/>
    </row>
    <row r="71" spans="1:29" x14ac:dyDescent="0.25">
      <c r="A71" s="58">
        <f t="shared" si="1"/>
        <v>44533.666666666511</v>
      </c>
      <c r="B71" s="58">
        <f t="shared" si="0"/>
        <v>44533.708333333176</v>
      </c>
      <c r="C71" s="110">
        <f>GEServed!K67</f>
        <v>5</v>
      </c>
      <c r="D71" s="110"/>
      <c r="AC71" s="123"/>
    </row>
    <row r="72" spans="1:29" x14ac:dyDescent="0.25">
      <c r="A72" s="58">
        <f t="shared" si="1"/>
        <v>44533.708333333176</v>
      </c>
      <c r="B72" s="58">
        <f t="shared" ref="B72:B135" si="2">$A72+1/24</f>
        <v>44533.74999999984</v>
      </c>
      <c r="C72" s="110">
        <f>GEServed!K68</f>
        <v>0</v>
      </c>
      <c r="D72" s="110"/>
    </row>
    <row r="73" spans="1:29" x14ac:dyDescent="0.25">
      <c r="A73" s="58">
        <f t="shared" ref="A73:A136" si="3">$A72+1/24</f>
        <v>44533.74999999984</v>
      </c>
      <c r="B73" s="58">
        <f t="shared" si="2"/>
        <v>44533.791666666504</v>
      </c>
      <c r="C73" s="110">
        <f>GEServed!K69</f>
        <v>6</v>
      </c>
      <c r="D73" s="110"/>
    </row>
    <row r="74" spans="1:29" x14ac:dyDescent="0.25">
      <c r="A74" s="58">
        <f t="shared" si="3"/>
        <v>44533.791666666504</v>
      </c>
      <c r="B74" s="58">
        <f t="shared" si="2"/>
        <v>44533.833333333168</v>
      </c>
      <c r="C74" s="110">
        <f>GEServed!K70</f>
        <v>6</v>
      </c>
      <c r="D74" s="110"/>
    </row>
    <row r="75" spans="1:29" x14ac:dyDescent="0.25">
      <c r="A75" s="58">
        <f t="shared" si="3"/>
        <v>44533.833333333168</v>
      </c>
      <c r="B75" s="58">
        <f t="shared" si="2"/>
        <v>44533.874999999833</v>
      </c>
      <c r="C75" s="110">
        <f>GEServed!K71</f>
        <v>6</v>
      </c>
      <c r="D75" s="110"/>
    </row>
    <row r="76" spans="1:29" x14ac:dyDescent="0.25">
      <c r="A76" s="58">
        <f t="shared" si="3"/>
        <v>44533.874999999833</v>
      </c>
      <c r="B76" s="58">
        <f t="shared" si="2"/>
        <v>44533.916666666497</v>
      </c>
      <c r="C76" s="110">
        <f>GEServed!K72</f>
        <v>6</v>
      </c>
      <c r="D76" s="110"/>
    </row>
    <row r="77" spans="1:29" x14ac:dyDescent="0.25">
      <c r="A77" s="58">
        <f t="shared" si="3"/>
        <v>44533.916666666497</v>
      </c>
      <c r="B77" s="58">
        <f t="shared" si="2"/>
        <v>44533.958333333161</v>
      </c>
      <c r="C77" s="110">
        <f>GEServed!K73</f>
        <v>6</v>
      </c>
      <c r="D77" s="110"/>
    </row>
    <row r="78" spans="1:29" x14ac:dyDescent="0.25">
      <c r="A78" s="58">
        <f t="shared" si="3"/>
        <v>44533.958333333161</v>
      </c>
      <c r="B78" s="58">
        <f t="shared" si="2"/>
        <v>44533.999999999825</v>
      </c>
      <c r="C78" s="110">
        <f>GEServed!K74</f>
        <v>5</v>
      </c>
      <c r="D78" s="110"/>
    </row>
    <row r="79" spans="1:29" x14ac:dyDescent="0.25">
      <c r="A79" s="58">
        <f t="shared" si="3"/>
        <v>44533.999999999825</v>
      </c>
      <c r="B79" s="58">
        <f t="shared" si="2"/>
        <v>44534.04166666649</v>
      </c>
      <c r="C79" s="110">
        <f>GEServed!K75</f>
        <v>6</v>
      </c>
      <c r="D79" s="110"/>
    </row>
    <row r="80" spans="1:29" x14ac:dyDescent="0.25">
      <c r="A80" s="58">
        <f t="shared" si="3"/>
        <v>44534.04166666649</v>
      </c>
      <c r="B80" s="58">
        <f t="shared" si="2"/>
        <v>44534.083333333154</v>
      </c>
      <c r="C80" s="110">
        <f>GEServed!K76</f>
        <v>6</v>
      </c>
      <c r="D80" s="110"/>
    </row>
    <row r="81" spans="1:4" x14ac:dyDescent="0.25">
      <c r="A81" s="58">
        <f t="shared" si="3"/>
        <v>44534.083333333154</v>
      </c>
      <c r="B81" s="58">
        <f t="shared" si="2"/>
        <v>44534.124999999818</v>
      </c>
      <c r="C81" s="110">
        <f>GEServed!K77</f>
        <v>6</v>
      </c>
      <c r="D81" s="110"/>
    </row>
    <row r="82" spans="1:4" x14ac:dyDescent="0.25">
      <c r="A82" s="58">
        <f t="shared" si="3"/>
        <v>44534.124999999818</v>
      </c>
      <c r="B82" s="58">
        <f t="shared" si="2"/>
        <v>44534.166666666482</v>
      </c>
      <c r="C82" s="110">
        <f>GEServed!K78</f>
        <v>6</v>
      </c>
      <c r="D82" s="110"/>
    </row>
    <row r="83" spans="1:4" x14ac:dyDescent="0.25">
      <c r="A83" s="58">
        <f t="shared" si="3"/>
        <v>44534.166666666482</v>
      </c>
      <c r="B83" s="58">
        <f t="shared" si="2"/>
        <v>44534.208333333147</v>
      </c>
      <c r="C83" s="110">
        <f>GEServed!K79</f>
        <v>1</v>
      </c>
      <c r="D83" s="110"/>
    </row>
    <row r="84" spans="1:4" x14ac:dyDescent="0.25">
      <c r="A84" s="58">
        <f t="shared" si="3"/>
        <v>44534.208333333147</v>
      </c>
      <c r="B84" s="58">
        <f t="shared" si="2"/>
        <v>44534.249999999811</v>
      </c>
      <c r="C84" s="110">
        <f>GEServed!K80</f>
        <v>1</v>
      </c>
      <c r="D84" s="110"/>
    </row>
    <row r="85" spans="1:4" x14ac:dyDescent="0.25">
      <c r="A85" s="58">
        <f t="shared" si="3"/>
        <v>44534.249999999811</v>
      </c>
      <c r="B85" s="58">
        <f t="shared" si="2"/>
        <v>44534.291666666475</v>
      </c>
      <c r="C85" s="110">
        <f>GEServed!K81</f>
        <v>6</v>
      </c>
      <c r="D85" s="110"/>
    </row>
    <row r="86" spans="1:4" x14ac:dyDescent="0.25">
      <c r="A86" s="58">
        <f t="shared" si="3"/>
        <v>44534.291666666475</v>
      </c>
      <c r="B86" s="58">
        <f t="shared" si="2"/>
        <v>44534.333333333139</v>
      </c>
      <c r="C86" s="110">
        <f>GEServed!K82</f>
        <v>6</v>
      </c>
      <c r="D86" s="110"/>
    </row>
    <row r="87" spans="1:4" x14ac:dyDescent="0.25">
      <c r="A87" s="58">
        <f t="shared" si="3"/>
        <v>44534.333333333139</v>
      </c>
      <c r="B87" s="58">
        <f t="shared" si="2"/>
        <v>44534.374999999804</v>
      </c>
      <c r="C87" s="110">
        <f>GEServed!K83</f>
        <v>6</v>
      </c>
      <c r="D87" s="110"/>
    </row>
    <row r="88" spans="1:4" x14ac:dyDescent="0.25">
      <c r="A88" s="58">
        <f t="shared" si="3"/>
        <v>44534.374999999804</v>
      </c>
      <c r="B88" s="58">
        <f t="shared" si="2"/>
        <v>44534.416666666468</v>
      </c>
      <c r="C88" s="110">
        <f>GEServed!K84</f>
        <v>5</v>
      </c>
      <c r="D88" s="110"/>
    </row>
    <row r="89" spans="1:4" x14ac:dyDescent="0.25">
      <c r="A89" s="58">
        <f t="shared" si="3"/>
        <v>44534.416666666468</v>
      </c>
      <c r="B89" s="58">
        <f t="shared" si="2"/>
        <v>44534.458333333132</v>
      </c>
      <c r="C89" s="110">
        <f>GEServed!K85</f>
        <v>5</v>
      </c>
      <c r="D89" s="110"/>
    </row>
    <row r="90" spans="1:4" x14ac:dyDescent="0.25">
      <c r="A90" s="58">
        <f t="shared" si="3"/>
        <v>44534.458333333132</v>
      </c>
      <c r="B90" s="58">
        <f t="shared" si="2"/>
        <v>44534.499999999796</v>
      </c>
      <c r="C90" s="110">
        <f>GEServed!K86</f>
        <v>5</v>
      </c>
      <c r="D90" s="110"/>
    </row>
    <row r="91" spans="1:4" x14ac:dyDescent="0.25">
      <c r="A91" s="58">
        <f t="shared" si="3"/>
        <v>44534.499999999796</v>
      </c>
      <c r="B91" s="58">
        <f t="shared" si="2"/>
        <v>44534.541666666461</v>
      </c>
      <c r="C91" s="110">
        <f>GEServed!K87</f>
        <v>5</v>
      </c>
      <c r="D91" s="110"/>
    </row>
    <row r="92" spans="1:4" x14ac:dyDescent="0.25">
      <c r="A92" s="58">
        <f t="shared" si="3"/>
        <v>44534.541666666461</v>
      </c>
      <c r="B92" s="58">
        <f t="shared" si="2"/>
        <v>44534.583333333125</v>
      </c>
      <c r="C92" s="110">
        <f>GEServed!K88</f>
        <v>5</v>
      </c>
      <c r="D92" s="110"/>
    </row>
    <row r="93" spans="1:4" x14ac:dyDescent="0.25">
      <c r="A93" s="58">
        <f t="shared" si="3"/>
        <v>44534.583333333125</v>
      </c>
      <c r="B93" s="58">
        <f t="shared" si="2"/>
        <v>44534.624999999789</v>
      </c>
      <c r="C93" s="110">
        <f>GEServed!K89</f>
        <v>5</v>
      </c>
      <c r="D93" s="110"/>
    </row>
    <row r="94" spans="1:4" x14ac:dyDescent="0.25">
      <c r="A94" s="58">
        <f t="shared" si="3"/>
        <v>44534.624999999789</v>
      </c>
      <c r="B94" s="58">
        <f t="shared" si="2"/>
        <v>44534.666666666453</v>
      </c>
      <c r="C94" s="110">
        <f>GEServed!K90</f>
        <v>5</v>
      </c>
      <c r="D94" s="110"/>
    </row>
    <row r="95" spans="1:4" x14ac:dyDescent="0.25">
      <c r="A95" s="58">
        <f t="shared" si="3"/>
        <v>44534.666666666453</v>
      </c>
      <c r="B95" s="58">
        <f t="shared" si="2"/>
        <v>44534.708333333117</v>
      </c>
      <c r="C95" s="110">
        <f>GEServed!K91</f>
        <v>5</v>
      </c>
      <c r="D95" s="110"/>
    </row>
    <row r="96" spans="1:4" x14ac:dyDescent="0.25">
      <c r="A96" s="58">
        <f t="shared" si="3"/>
        <v>44534.708333333117</v>
      </c>
      <c r="B96" s="58">
        <f t="shared" si="2"/>
        <v>44534.749999999782</v>
      </c>
      <c r="C96" s="110">
        <f>GEServed!K92</f>
        <v>5</v>
      </c>
      <c r="D96" s="110"/>
    </row>
    <row r="97" spans="1:4" x14ac:dyDescent="0.25">
      <c r="A97" s="58">
        <f t="shared" si="3"/>
        <v>44534.749999999782</v>
      </c>
      <c r="B97" s="58">
        <f t="shared" si="2"/>
        <v>44534.791666666446</v>
      </c>
      <c r="C97" s="110">
        <f>GEServed!K93</f>
        <v>6</v>
      </c>
      <c r="D97" s="110"/>
    </row>
    <row r="98" spans="1:4" x14ac:dyDescent="0.25">
      <c r="A98" s="58">
        <f t="shared" si="3"/>
        <v>44534.791666666446</v>
      </c>
      <c r="B98" s="58">
        <f t="shared" si="2"/>
        <v>44534.83333333311</v>
      </c>
      <c r="C98" s="110">
        <f>GEServed!K94</f>
        <v>6</v>
      </c>
      <c r="D98" s="110"/>
    </row>
    <row r="99" spans="1:4" x14ac:dyDescent="0.25">
      <c r="A99" s="58">
        <f t="shared" si="3"/>
        <v>44534.83333333311</v>
      </c>
      <c r="B99" s="58">
        <f t="shared" si="2"/>
        <v>44534.874999999774</v>
      </c>
      <c r="C99" s="110">
        <f>GEServed!K95</f>
        <v>6</v>
      </c>
      <c r="D99" s="110"/>
    </row>
    <row r="100" spans="1:4" x14ac:dyDescent="0.25">
      <c r="A100" s="58">
        <f t="shared" si="3"/>
        <v>44534.874999999774</v>
      </c>
      <c r="B100" s="58">
        <f t="shared" si="2"/>
        <v>44534.916666666439</v>
      </c>
      <c r="C100" s="110">
        <f>GEServed!K96</f>
        <v>6</v>
      </c>
      <c r="D100" s="110"/>
    </row>
    <row r="101" spans="1:4" x14ac:dyDescent="0.25">
      <c r="A101" s="58">
        <f t="shared" si="3"/>
        <v>44534.916666666439</v>
      </c>
      <c r="B101" s="58">
        <f t="shared" si="2"/>
        <v>44534.958333333103</v>
      </c>
      <c r="C101" s="110">
        <f>GEServed!K97</f>
        <v>6</v>
      </c>
      <c r="D101" s="110"/>
    </row>
    <row r="102" spans="1:4" x14ac:dyDescent="0.25">
      <c r="A102" s="58">
        <f t="shared" si="3"/>
        <v>44534.958333333103</v>
      </c>
      <c r="B102" s="58">
        <f t="shared" si="2"/>
        <v>44534.999999999767</v>
      </c>
      <c r="C102" s="110">
        <f>GEServed!K98</f>
        <v>5</v>
      </c>
      <c r="D102" s="110"/>
    </row>
    <row r="103" spans="1:4" x14ac:dyDescent="0.25">
      <c r="A103" s="58">
        <f t="shared" si="3"/>
        <v>44534.999999999767</v>
      </c>
      <c r="B103" s="58">
        <f t="shared" si="2"/>
        <v>44535.041666666431</v>
      </c>
      <c r="C103" s="110">
        <f>GEServed!K99</f>
        <v>6</v>
      </c>
      <c r="D103" s="110"/>
    </row>
    <row r="104" spans="1:4" x14ac:dyDescent="0.25">
      <c r="A104" s="58">
        <f t="shared" si="3"/>
        <v>44535.041666666431</v>
      </c>
      <c r="B104" s="58">
        <f t="shared" si="2"/>
        <v>44535.083333333096</v>
      </c>
      <c r="C104" s="110">
        <f>GEServed!K100</f>
        <v>6</v>
      </c>
      <c r="D104" s="110"/>
    </row>
    <row r="105" spans="1:4" x14ac:dyDescent="0.25">
      <c r="A105" s="58">
        <f t="shared" si="3"/>
        <v>44535.083333333096</v>
      </c>
      <c r="B105" s="58">
        <f t="shared" si="2"/>
        <v>44535.12499999976</v>
      </c>
      <c r="C105" s="110">
        <f>GEServed!K101</f>
        <v>6</v>
      </c>
      <c r="D105" s="110"/>
    </row>
    <row r="106" spans="1:4" x14ac:dyDescent="0.25">
      <c r="A106" s="58">
        <f t="shared" si="3"/>
        <v>44535.12499999976</v>
      </c>
      <c r="B106" s="58">
        <f t="shared" si="2"/>
        <v>44535.166666666424</v>
      </c>
      <c r="C106" s="110">
        <f>GEServed!K102</f>
        <v>6</v>
      </c>
      <c r="D106" s="110"/>
    </row>
    <row r="107" spans="1:4" x14ac:dyDescent="0.25">
      <c r="A107" s="58">
        <f t="shared" si="3"/>
        <v>44535.166666666424</v>
      </c>
      <c r="B107" s="58">
        <f t="shared" si="2"/>
        <v>44535.208333333088</v>
      </c>
      <c r="C107" s="110">
        <f>GEServed!K103</f>
        <v>6</v>
      </c>
      <c r="D107" s="110"/>
    </row>
    <row r="108" spans="1:4" x14ac:dyDescent="0.25">
      <c r="A108" s="58">
        <f t="shared" si="3"/>
        <v>44535.208333333088</v>
      </c>
      <c r="B108" s="58">
        <f t="shared" si="2"/>
        <v>44535.249999999753</v>
      </c>
      <c r="C108" s="110">
        <f>GEServed!K104</f>
        <v>6</v>
      </c>
      <c r="D108" s="110"/>
    </row>
    <row r="109" spans="1:4" x14ac:dyDescent="0.25">
      <c r="A109" s="58">
        <f t="shared" si="3"/>
        <v>44535.249999999753</v>
      </c>
      <c r="B109" s="58">
        <f t="shared" si="2"/>
        <v>44535.291666666417</v>
      </c>
      <c r="C109" s="110">
        <f>GEServed!K105</f>
        <v>6</v>
      </c>
      <c r="D109" s="110"/>
    </row>
    <row r="110" spans="1:4" x14ac:dyDescent="0.25">
      <c r="A110" s="58">
        <f t="shared" si="3"/>
        <v>44535.291666666417</v>
      </c>
      <c r="B110" s="58">
        <f t="shared" si="2"/>
        <v>44535.333333333081</v>
      </c>
      <c r="C110" s="110">
        <f>GEServed!K106</f>
        <v>6</v>
      </c>
      <c r="D110" s="110"/>
    </row>
    <row r="111" spans="1:4" x14ac:dyDescent="0.25">
      <c r="A111" s="58">
        <f t="shared" si="3"/>
        <v>44535.333333333081</v>
      </c>
      <c r="B111" s="58">
        <f t="shared" si="2"/>
        <v>44535.374999999745</v>
      </c>
      <c r="C111" s="110">
        <f>GEServed!K107</f>
        <v>6</v>
      </c>
      <c r="D111" s="110"/>
    </row>
    <row r="112" spans="1:4" x14ac:dyDescent="0.25">
      <c r="A112" s="58">
        <f t="shared" si="3"/>
        <v>44535.374999999745</v>
      </c>
      <c r="B112" s="58">
        <f t="shared" si="2"/>
        <v>44535.41666666641</v>
      </c>
      <c r="C112" s="110">
        <f>GEServed!K108</f>
        <v>5</v>
      </c>
      <c r="D112" s="110"/>
    </row>
    <row r="113" spans="1:4" x14ac:dyDescent="0.25">
      <c r="A113" s="58">
        <f t="shared" si="3"/>
        <v>44535.41666666641</v>
      </c>
      <c r="B113" s="58">
        <f t="shared" si="2"/>
        <v>44535.458333333074</v>
      </c>
      <c r="C113" s="110">
        <f>GEServed!K109</f>
        <v>5</v>
      </c>
      <c r="D113" s="110"/>
    </row>
    <row r="114" spans="1:4" x14ac:dyDescent="0.25">
      <c r="A114" s="58">
        <f t="shared" si="3"/>
        <v>44535.458333333074</v>
      </c>
      <c r="B114" s="58">
        <f t="shared" si="2"/>
        <v>44535.499999999738</v>
      </c>
      <c r="C114" s="110">
        <f>GEServed!K110</f>
        <v>5</v>
      </c>
      <c r="D114" s="110"/>
    </row>
    <row r="115" spans="1:4" x14ac:dyDescent="0.25">
      <c r="A115" s="58">
        <f t="shared" si="3"/>
        <v>44535.499999999738</v>
      </c>
      <c r="B115" s="58">
        <f t="shared" si="2"/>
        <v>44535.541666666402</v>
      </c>
      <c r="C115" s="110">
        <f>GEServed!K111</f>
        <v>5</v>
      </c>
      <c r="D115" s="110"/>
    </row>
    <row r="116" spans="1:4" x14ac:dyDescent="0.25">
      <c r="A116" s="58">
        <f t="shared" si="3"/>
        <v>44535.541666666402</v>
      </c>
      <c r="B116" s="58">
        <f t="shared" si="2"/>
        <v>44535.583333333067</v>
      </c>
      <c r="C116" s="110">
        <f>GEServed!K112</f>
        <v>5</v>
      </c>
      <c r="D116" s="110"/>
    </row>
    <row r="117" spans="1:4" x14ac:dyDescent="0.25">
      <c r="A117" s="58">
        <f t="shared" si="3"/>
        <v>44535.583333333067</v>
      </c>
      <c r="B117" s="58">
        <f t="shared" si="2"/>
        <v>44535.624999999731</v>
      </c>
      <c r="C117" s="110">
        <f>GEServed!K113</f>
        <v>5</v>
      </c>
      <c r="D117" s="110"/>
    </row>
    <row r="118" spans="1:4" x14ac:dyDescent="0.25">
      <c r="A118" s="58">
        <f t="shared" si="3"/>
        <v>44535.624999999731</v>
      </c>
      <c r="B118" s="58">
        <f t="shared" si="2"/>
        <v>44535.666666666395</v>
      </c>
      <c r="C118" s="110">
        <f>GEServed!K114</f>
        <v>5</v>
      </c>
      <c r="D118" s="110"/>
    </row>
    <row r="119" spans="1:4" x14ac:dyDescent="0.25">
      <c r="A119" s="58">
        <f t="shared" si="3"/>
        <v>44535.666666666395</v>
      </c>
      <c r="B119" s="58">
        <f t="shared" si="2"/>
        <v>44535.708333333059</v>
      </c>
      <c r="C119" s="110">
        <f>GEServed!K115</f>
        <v>5</v>
      </c>
      <c r="D119" s="110"/>
    </row>
    <row r="120" spans="1:4" x14ac:dyDescent="0.25">
      <c r="A120" s="58">
        <f t="shared" si="3"/>
        <v>44535.708333333059</v>
      </c>
      <c r="B120" s="58">
        <f t="shared" si="2"/>
        <v>44535.749999999724</v>
      </c>
      <c r="C120" s="110">
        <f>GEServed!K116</f>
        <v>5</v>
      </c>
      <c r="D120" s="110"/>
    </row>
    <row r="121" spans="1:4" x14ac:dyDescent="0.25">
      <c r="A121" s="58">
        <f t="shared" si="3"/>
        <v>44535.749999999724</v>
      </c>
      <c r="B121" s="58">
        <f t="shared" si="2"/>
        <v>44535.791666666388</v>
      </c>
      <c r="C121" s="110">
        <f>GEServed!K117</f>
        <v>6</v>
      </c>
      <c r="D121" s="110"/>
    </row>
    <row r="122" spans="1:4" x14ac:dyDescent="0.25">
      <c r="A122" s="58">
        <f t="shared" si="3"/>
        <v>44535.791666666388</v>
      </c>
      <c r="B122" s="58">
        <f t="shared" si="2"/>
        <v>44535.833333333052</v>
      </c>
      <c r="C122" s="110">
        <f>GEServed!K118</f>
        <v>6</v>
      </c>
      <c r="D122" s="110"/>
    </row>
    <row r="123" spans="1:4" x14ac:dyDescent="0.25">
      <c r="A123" s="58">
        <f t="shared" si="3"/>
        <v>44535.833333333052</v>
      </c>
      <c r="B123" s="58">
        <f t="shared" si="2"/>
        <v>44535.874999999716</v>
      </c>
      <c r="C123" s="110">
        <f>GEServed!K119</f>
        <v>6</v>
      </c>
      <c r="D123" s="110"/>
    </row>
    <row r="124" spans="1:4" x14ac:dyDescent="0.25">
      <c r="A124" s="58">
        <f t="shared" si="3"/>
        <v>44535.874999999716</v>
      </c>
      <c r="B124" s="58">
        <f t="shared" si="2"/>
        <v>44535.91666666638</v>
      </c>
      <c r="C124" s="110">
        <f>GEServed!K120</f>
        <v>6</v>
      </c>
      <c r="D124" s="110"/>
    </row>
    <row r="125" spans="1:4" x14ac:dyDescent="0.25">
      <c r="A125" s="58">
        <f t="shared" si="3"/>
        <v>44535.91666666638</v>
      </c>
      <c r="B125" s="58">
        <f t="shared" si="2"/>
        <v>44535.958333333045</v>
      </c>
      <c r="C125" s="110">
        <f>GEServed!K121</f>
        <v>6</v>
      </c>
      <c r="D125" s="110"/>
    </row>
    <row r="126" spans="1:4" x14ac:dyDescent="0.25">
      <c r="A126" s="58">
        <f t="shared" si="3"/>
        <v>44535.958333333045</v>
      </c>
      <c r="B126" s="58">
        <f t="shared" si="2"/>
        <v>44535.999999999709</v>
      </c>
      <c r="C126" s="110">
        <f>GEServed!K122</f>
        <v>5</v>
      </c>
      <c r="D126" s="110"/>
    </row>
    <row r="127" spans="1:4" x14ac:dyDescent="0.25">
      <c r="A127" s="58">
        <f t="shared" si="3"/>
        <v>44535.999999999709</v>
      </c>
      <c r="B127" s="58">
        <f t="shared" si="2"/>
        <v>44536.041666666373</v>
      </c>
      <c r="C127" s="110">
        <f>GEServed!K123</f>
        <v>6</v>
      </c>
      <c r="D127" s="110"/>
    </row>
    <row r="128" spans="1:4" x14ac:dyDescent="0.25">
      <c r="A128" s="58">
        <f t="shared" si="3"/>
        <v>44536.041666666373</v>
      </c>
      <c r="B128" s="58">
        <f t="shared" si="2"/>
        <v>44536.083333333037</v>
      </c>
      <c r="C128" s="110">
        <f>GEServed!K124</f>
        <v>6</v>
      </c>
      <c r="D128" s="110"/>
    </row>
    <row r="129" spans="1:4" x14ac:dyDescent="0.25">
      <c r="A129" s="58">
        <f t="shared" si="3"/>
        <v>44536.083333333037</v>
      </c>
      <c r="B129" s="58">
        <f t="shared" si="2"/>
        <v>44536.124999999702</v>
      </c>
      <c r="C129" s="110">
        <f>GEServed!K125</f>
        <v>6</v>
      </c>
      <c r="D129" s="110"/>
    </row>
    <row r="130" spans="1:4" x14ac:dyDescent="0.25">
      <c r="A130" s="58">
        <f t="shared" si="3"/>
        <v>44536.124999999702</v>
      </c>
      <c r="B130" s="58">
        <f t="shared" si="2"/>
        <v>44536.166666666366</v>
      </c>
      <c r="C130" s="110">
        <f>GEServed!K126</f>
        <v>6</v>
      </c>
      <c r="D130" s="110"/>
    </row>
    <row r="131" spans="1:4" x14ac:dyDescent="0.25">
      <c r="A131" s="58">
        <f t="shared" si="3"/>
        <v>44536.166666666366</v>
      </c>
      <c r="B131" s="58">
        <f t="shared" si="2"/>
        <v>44536.20833333303</v>
      </c>
      <c r="C131" s="110">
        <f>GEServed!K127</f>
        <v>6</v>
      </c>
      <c r="D131" s="110"/>
    </row>
    <row r="132" spans="1:4" x14ac:dyDescent="0.25">
      <c r="A132" s="58">
        <f t="shared" si="3"/>
        <v>44536.20833333303</v>
      </c>
      <c r="B132" s="58">
        <f t="shared" si="2"/>
        <v>44536.249999999694</v>
      </c>
      <c r="C132" s="110">
        <f>GEServed!K128</f>
        <v>6</v>
      </c>
      <c r="D132" s="110"/>
    </row>
    <row r="133" spans="1:4" x14ac:dyDescent="0.25">
      <c r="A133" s="58">
        <f t="shared" si="3"/>
        <v>44536.249999999694</v>
      </c>
      <c r="B133" s="58">
        <f t="shared" si="2"/>
        <v>44536.291666666359</v>
      </c>
      <c r="C133" s="110">
        <f>GEServed!K129</f>
        <v>6</v>
      </c>
      <c r="D133" s="110"/>
    </row>
    <row r="134" spans="1:4" x14ac:dyDescent="0.25">
      <c r="A134" s="58">
        <f t="shared" si="3"/>
        <v>44536.291666666359</v>
      </c>
      <c r="B134" s="58">
        <f t="shared" si="2"/>
        <v>44536.333333333023</v>
      </c>
      <c r="C134" s="110">
        <f>GEServed!K130</f>
        <v>6</v>
      </c>
      <c r="D134" s="110"/>
    </row>
    <row r="135" spans="1:4" x14ac:dyDescent="0.25">
      <c r="A135" s="58">
        <f t="shared" si="3"/>
        <v>44536.333333333023</v>
      </c>
      <c r="B135" s="58">
        <f t="shared" si="2"/>
        <v>44536.374999999687</v>
      </c>
      <c r="C135" s="110">
        <f>GEServed!K131</f>
        <v>6</v>
      </c>
      <c r="D135" s="110"/>
    </row>
    <row r="136" spans="1:4" x14ac:dyDescent="0.25">
      <c r="A136" s="58">
        <f t="shared" si="3"/>
        <v>44536.374999999687</v>
      </c>
      <c r="B136" s="58">
        <f t="shared" ref="B136:B199" si="4">$A136+1/24</f>
        <v>44536.416666666351</v>
      </c>
      <c r="C136" s="110">
        <f>GEServed!K132</f>
        <v>5</v>
      </c>
      <c r="D136" s="110"/>
    </row>
    <row r="137" spans="1:4" x14ac:dyDescent="0.25">
      <c r="A137" s="58">
        <f t="shared" ref="A137:A200" si="5">$A136+1/24</f>
        <v>44536.416666666351</v>
      </c>
      <c r="B137" s="58">
        <f t="shared" si="4"/>
        <v>44536.458333333016</v>
      </c>
      <c r="C137" s="110">
        <f>GEServed!K133</f>
        <v>5</v>
      </c>
      <c r="D137" s="110"/>
    </row>
    <row r="138" spans="1:4" x14ac:dyDescent="0.25">
      <c r="A138" s="58">
        <f t="shared" si="5"/>
        <v>44536.458333333016</v>
      </c>
      <c r="B138" s="58">
        <f t="shared" si="4"/>
        <v>44536.49999999968</v>
      </c>
      <c r="C138" s="110">
        <f>GEServed!K134</f>
        <v>5</v>
      </c>
      <c r="D138" s="110"/>
    </row>
    <row r="139" spans="1:4" x14ac:dyDescent="0.25">
      <c r="A139" s="58">
        <f t="shared" si="5"/>
        <v>44536.49999999968</v>
      </c>
      <c r="B139" s="58">
        <f t="shared" si="4"/>
        <v>44536.541666666344</v>
      </c>
      <c r="C139" s="110">
        <f>GEServed!K135</f>
        <v>5</v>
      </c>
      <c r="D139" s="110"/>
    </row>
    <row r="140" spans="1:4" x14ac:dyDescent="0.25">
      <c r="A140" s="58">
        <f t="shared" si="5"/>
        <v>44536.541666666344</v>
      </c>
      <c r="B140" s="58">
        <f t="shared" si="4"/>
        <v>44536.583333333008</v>
      </c>
      <c r="C140" s="110">
        <f>GEServed!K136</f>
        <v>5</v>
      </c>
      <c r="D140" s="110"/>
    </row>
    <row r="141" spans="1:4" x14ac:dyDescent="0.25">
      <c r="A141" s="58">
        <f t="shared" si="5"/>
        <v>44536.583333333008</v>
      </c>
      <c r="B141" s="58">
        <f t="shared" si="4"/>
        <v>44536.624999999673</v>
      </c>
      <c r="C141" s="110">
        <f>GEServed!K137</f>
        <v>5</v>
      </c>
      <c r="D141" s="110"/>
    </row>
    <row r="142" spans="1:4" x14ac:dyDescent="0.25">
      <c r="A142" s="58">
        <f t="shared" si="5"/>
        <v>44536.624999999673</v>
      </c>
      <c r="B142" s="58">
        <f t="shared" si="4"/>
        <v>44536.666666666337</v>
      </c>
      <c r="C142" s="110">
        <f>GEServed!K138</f>
        <v>5</v>
      </c>
      <c r="D142" s="110"/>
    </row>
    <row r="143" spans="1:4" x14ac:dyDescent="0.25">
      <c r="A143" s="58">
        <f t="shared" si="5"/>
        <v>44536.666666666337</v>
      </c>
      <c r="B143" s="58">
        <f t="shared" si="4"/>
        <v>44536.708333333001</v>
      </c>
      <c r="C143" s="110">
        <f>GEServed!K139</f>
        <v>5</v>
      </c>
      <c r="D143" s="110"/>
    </row>
    <row r="144" spans="1:4" x14ac:dyDescent="0.25">
      <c r="A144" s="58">
        <f t="shared" si="5"/>
        <v>44536.708333333001</v>
      </c>
      <c r="B144" s="58">
        <f t="shared" si="4"/>
        <v>44536.749999999665</v>
      </c>
      <c r="C144" s="110">
        <f>GEServed!K140</f>
        <v>5</v>
      </c>
      <c r="D144" s="110"/>
    </row>
    <row r="145" spans="1:4" x14ac:dyDescent="0.25">
      <c r="A145" s="58">
        <f t="shared" si="5"/>
        <v>44536.749999999665</v>
      </c>
      <c r="B145" s="58">
        <f t="shared" si="4"/>
        <v>44536.79166666633</v>
      </c>
      <c r="C145" s="110">
        <f>GEServed!K141</f>
        <v>6</v>
      </c>
      <c r="D145" s="110"/>
    </row>
    <row r="146" spans="1:4" x14ac:dyDescent="0.25">
      <c r="A146" s="58">
        <f t="shared" si="5"/>
        <v>44536.79166666633</v>
      </c>
      <c r="B146" s="58">
        <f t="shared" si="4"/>
        <v>44536.833333332994</v>
      </c>
      <c r="C146" s="110">
        <f>GEServed!K142</f>
        <v>6</v>
      </c>
      <c r="D146" s="110"/>
    </row>
    <row r="147" spans="1:4" x14ac:dyDescent="0.25">
      <c r="A147" s="58">
        <f t="shared" si="5"/>
        <v>44536.833333332994</v>
      </c>
      <c r="B147" s="58">
        <f t="shared" si="4"/>
        <v>44536.874999999658</v>
      </c>
      <c r="C147" s="110">
        <f>GEServed!K143</f>
        <v>6</v>
      </c>
      <c r="D147" s="110"/>
    </row>
    <row r="148" spans="1:4" x14ac:dyDescent="0.25">
      <c r="A148" s="58">
        <f t="shared" si="5"/>
        <v>44536.874999999658</v>
      </c>
      <c r="B148" s="58">
        <f t="shared" si="4"/>
        <v>44536.916666666322</v>
      </c>
      <c r="C148" s="110">
        <f>GEServed!K144</f>
        <v>6</v>
      </c>
      <c r="D148" s="110"/>
    </row>
    <row r="149" spans="1:4" x14ac:dyDescent="0.25">
      <c r="A149" s="58">
        <f t="shared" si="5"/>
        <v>44536.916666666322</v>
      </c>
      <c r="B149" s="58">
        <f t="shared" si="4"/>
        <v>44536.958333332987</v>
      </c>
      <c r="C149" s="110">
        <f>GEServed!K145</f>
        <v>6</v>
      </c>
      <c r="D149" s="110"/>
    </row>
    <row r="150" spans="1:4" x14ac:dyDescent="0.25">
      <c r="A150" s="58">
        <f t="shared" si="5"/>
        <v>44536.958333332987</v>
      </c>
      <c r="B150" s="58">
        <f t="shared" si="4"/>
        <v>44536.999999999651</v>
      </c>
      <c r="C150" s="110">
        <f>GEServed!K146</f>
        <v>5</v>
      </c>
      <c r="D150" s="110"/>
    </row>
    <row r="151" spans="1:4" x14ac:dyDescent="0.25">
      <c r="A151" s="58">
        <f t="shared" si="5"/>
        <v>44536.999999999651</v>
      </c>
      <c r="B151" s="58">
        <f t="shared" si="4"/>
        <v>44537.041666666315</v>
      </c>
      <c r="C151" s="110">
        <f>GEServed!K147</f>
        <v>6</v>
      </c>
      <c r="D151" s="110"/>
    </row>
    <row r="152" spans="1:4" x14ac:dyDescent="0.25">
      <c r="A152" s="58">
        <f t="shared" si="5"/>
        <v>44537.041666666315</v>
      </c>
      <c r="B152" s="58">
        <f t="shared" si="4"/>
        <v>44537.083333332979</v>
      </c>
      <c r="C152" s="110">
        <f>GEServed!K148</f>
        <v>6</v>
      </c>
      <c r="D152" s="110"/>
    </row>
    <row r="153" spans="1:4" x14ac:dyDescent="0.25">
      <c r="A153" s="58">
        <f t="shared" si="5"/>
        <v>44537.083333332979</v>
      </c>
      <c r="B153" s="58">
        <f t="shared" si="4"/>
        <v>44537.124999999643</v>
      </c>
      <c r="C153" s="110">
        <f>GEServed!K149</f>
        <v>6</v>
      </c>
      <c r="D153" s="110"/>
    </row>
    <row r="154" spans="1:4" x14ac:dyDescent="0.25">
      <c r="A154" s="58">
        <f t="shared" si="5"/>
        <v>44537.124999999643</v>
      </c>
      <c r="B154" s="58">
        <f t="shared" si="4"/>
        <v>44537.166666666308</v>
      </c>
      <c r="C154" s="110">
        <f>GEServed!K150</f>
        <v>6</v>
      </c>
      <c r="D154" s="110"/>
    </row>
    <row r="155" spans="1:4" x14ac:dyDescent="0.25">
      <c r="A155" s="58">
        <f t="shared" si="5"/>
        <v>44537.166666666308</v>
      </c>
      <c r="B155" s="58">
        <f t="shared" si="4"/>
        <v>44537.208333332972</v>
      </c>
      <c r="C155" s="110">
        <f>GEServed!K151</f>
        <v>6</v>
      </c>
      <c r="D155" s="110"/>
    </row>
    <row r="156" spans="1:4" x14ac:dyDescent="0.25">
      <c r="A156" s="58">
        <f t="shared" si="5"/>
        <v>44537.208333332972</v>
      </c>
      <c r="B156" s="58">
        <f t="shared" si="4"/>
        <v>44537.249999999636</v>
      </c>
      <c r="C156" s="110">
        <f>GEServed!K152</f>
        <v>6</v>
      </c>
      <c r="D156" s="110"/>
    </row>
    <row r="157" spans="1:4" x14ac:dyDescent="0.25">
      <c r="A157" s="58">
        <f t="shared" si="5"/>
        <v>44537.249999999636</v>
      </c>
      <c r="B157" s="58">
        <f t="shared" si="4"/>
        <v>44537.2916666663</v>
      </c>
      <c r="C157" s="110">
        <f>GEServed!K153</f>
        <v>6</v>
      </c>
      <c r="D157" s="110"/>
    </row>
    <row r="158" spans="1:4" x14ac:dyDescent="0.25">
      <c r="A158" s="58">
        <f t="shared" si="5"/>
        <v>44537.2916666663</v>
      </c>
      <c r="B158" s="58">
        <f t="shared" si="4"/>
        <v>44537.333333332965</v>
      </c>
      <c r="C158" s="110">
        <f>GEServed!K154</f>
        <v>6</v>
      </c>
      <c r="D158" s="110"/>
    </row>
    <row r="159" spans="1:4" x14ac:dyDescent="0.25">
      <c r="A159" s="58">
        <f t="shared" si="5"/>
        <v>44537.333333332965</v>
      </c>
      <c r="B159" s="58">
        <f t="shared" si="4"/>
        <v>44537.374999999629</v>
      </c>
      <c r="C159" s="110">
        <f>GEServed!K155</f>
        <v>6</v>
      </c>
      <c r="D159" s="110"/>
    </row>
    <row r="160" spans="1:4" x14ac:dyDescent="0.25">
      <c r="A160" s="58">
        <f t="shared" si="5"/>
        <v>44537.374999999629</v>
      </c>
      <c r="B160" s="58">
        <f t="shared" si="4"/>
        <v>44537.416666666293</v>
      </c>
      <c r="C160" s="110">
        <f>GEServed!K156</f>
        <v>5</v>
      </c>
      <c r="D160" s="110"/>
    </row>
    <row r="161" spans="1:4" x14ac:dyDescent="0.25">
      <c r="A161" s="58">
        <f t="shared" si="5"/>
        <v>44537.416666666293</v>
      </c>
      <c r="B161" s="58">
        <f t="shared" si="4"/>
        <v>44537.458333332957</v>
      </c>
      <c r="C161" s="110">
        <f>GEServed!K157</f>
        <v>5</v>
      </c>
      <c r="D161" s="110"/>
    </row>
    <row r="162" spans="1:4" x14ac:dyDescent="0.25">
      <c r="A162" s="58">
        <f t="shared" si="5"/>
        <v>44537.458333332957</v>
      </c>
      <c r="B162" s="58">
        <f t="shared" si="4"/>
        <v>44537.499999999622</v>
      </c>
      <c r="C162" s="110">
        <f>GEServed!K158</f>
        <v>5</v>
      </c>
      <c r="D162" s="110"/>
    </row>
    <row r="163" spans="1:4" x14ac:dyDescent="0.25">
      <c r="A163" s="58">
        <f t="shared" si="5"/>
        <v>44537.499999999622</v>
      </c>
      <c r="B163" s="58">
        <f t="shared" si="4"/>
        <v>44537.541666666286</v>
      </c>
      <c r="C163" s="110">
        <f>GEServed!K159</f>
        <v>5</v>
      </c>
      <c r="D163" s="110"/>
    </row>
    <row r="164" spans="1:4" x14ac:dyDescent="0.25">
      <c r="A164" s="58">
        <f t="shared" si="5"/>
        <v>44537.541666666286</v>
      </c>
      <c r="B164" s="58">
        <f t="shared" si="4"/>
        <v>44537.58333333295</v>
      </c>
      <c r="C164" s="110">
        <f>GEServed!K160</f>
        <v>5</v>
      </c>
      <c r="D164" s="110"/>
    </row>
    <row r="165" spans="1:4" x14ac:dyDescent="0.25">
      <c r="A165" s="58">
        <f t="shared" si="5"/>
        <v>44537.58333333295</v>
      </c>
      <c r="B165" s="58">
        <f t="shared" si="4"/>
        <v>44537.624999999614</v>
      </c>
      <c r="C165" s="110">
        <f>GEServed!K161</f>
        <v>5</v>
      </c>
      <c r="D165" s="110"/>
    </row>
    <row r="166" spans="1:4" x14ac:dyDescent="0.25">
      <c r="A166" s="58">
        <f t="shared" si="5"/>
        <v>44537.624999999614</v>
      </c>
      <c r="B166" s="58">
        <f t="shared" si="4"/>
        <v>44537.666666666279</v>
      </c>
      <c r="C166" s="110">
        <f>GEServed!K162</f>
        <v>5</v>
      </c>
      <c r="D166" s="110"/>
    </row>
    <row r="167" spans="1:4" x14ac:dyDescent="0.25">
      <c r="A167" s="58">
        <f t="shared" si="5"/>
        <v>44537.666666666279</v>
      </c>
      <c r="B167" s="58">
        <f t="shared" si="4"/>
        <v>44537.708333332943</v>
      </c>
      <c r="C167" s="110">
        <f>GEServed!K163</f>
        <v>5</v>
      </c>
      <c r="D167" s="110"/>
    </row>
    <row r="168" spans="1:4" x14ac:dyDescent="0.25">
      <c r="A168" s="58">
        <f t="shared" si="5"/>
        <v>44537.708333332943</v>
      </c>
      <c r="B168" s="58">
        <f t="shared" si="4"/>
        <v>44537.749999999607</v>
      </c>
      <c r="C168" s="110">
        <f>GEServed!K164</f>
        <v>5</v>
      </c>
      <c r="D168" s="110"/>
    </row>
    <row r="169" spans="1:4" x14ac:dyDescent="0.25">
      <c r="A169" s="58">
        <f t="shared" si="5"/>
        <v>44537.749999999607</v>
      </c>
      <c r="B169" s="58">
        <f t="shared" si="4"/>
        <v>44537.791666666271</v>
      </c>
      <c r="C169" s="110">
        <f>GEServed!K165</f>
        <v>6</v>
      </c>
      <c r="D169" s="110"/>
    </row>
    <row r="170" spans="1:4" x14ac:dyDescent="0.25">
      <c r="A170" s="58">
        <f t="shared" si="5"/>
        <v>44537.791666666271</v>
      </c>
      <c r="B170" s="58">
        <f t="shared" si="4"/>
        <v>44537.833333332936</v>
      </c>
      <c r="C170" s="110">
        <f>GEServed!K166</f>
        <v>6</v>
      </c>
      <c r="D170" s="110"/>
    </row>
    <row r="171" spans="1:4" x14ac:dyDescent="0.25">
      <c r="A171" s="58">
        <f t="shared" si="5"/>
        <v>44537.833333332936</v>
      </c>
      <c r="B171" s="58">
        <f t="shared" si="4"/>
        <v>44537.8749999996</v>
      </c>
      <c r="C171" s="110">
        <f>GEServed!K167</f>
        <v>6</v>
      </c>
      <c r="D171" s="110"/>
    </row>
    <row r="172" spans="1:4" x14ac:dyDescent="0.25">
      <c r="A172" s="58">
        <f t="shared" si="5"/>
        <v>44537.8749999996</v>
      </c>
      <c r="B172" s="58">
        <f t="shared" si="4"/>
        <v>44537.916666666264</v>
      </c>
      <c r="C172" s="110">
        <f>GEServed!K168</f>
        <v>6</v>
      </c>
      <c r="D172" s="110"/>
    </row>
    <row r="173" spans="1:4" x14ac:dyDescent="0.25">
      <c r="A173" s="58">
        <f t="shared" si="5"/>
        <v>44537.916666666264</v>
      </c>
      <c r="B173" s="58">
        <f t="shared" si="4"/>
        <v>44537.958333332928</v>
      </c>
      <c r="C173" s="110">
        <f>GEServed!K169</f>
        <v>6</v>
      </c>
      <c r="D173" s="110"/>
    </row>
    <row r="174" spans="1:4" x14ac:dyDescent="0.25">
      <c r="A174" s="58">
        <f t="shared" si="5"/>
        <v>44537.958333332928</v>
      </c>
      <c r="B174" s="58">
        <f t="shared" si="4"/>
        <v>44537.999999999593</v>
      </c>
      <c r="C174" s="110">
        <f>GEServed!K170</f>
        <v>5</v>
      </c>
      <c r="D174" s="110"/>
    </row>
    <row r="175" spans="1:4" x14ac:dyDescent="0.25">
      <c r="A175" s="58">
        <f t="shared" si="5"/>
        <v>44537.999999999593</v>
      </c>
      <c r="B175" s="58">
        <f t="shared" si="4"/>
        <v>44538.041666666257</v>
      </c>
      <c r="C175" s="110">
        <f>GEServed!K171</f>
        <v>6</v>
      </c>
      <c r="D175" s="110"/>
    </row>
    <row r="176" spans="1:4" x14ac:dyDescent="0.25">
      <c r="A176" s="58">
        <f t="shared" si="5"/>
        <v>44538.041666666257</v>
      </c>
      <c r="B176" s="58">
        <f t="shared" si="4"/>
        <v>44538.083333332921</v>
      </c>
      <c r="C176" s="110">
        <f>GEServed!K172</f>
        <v>6</v>
      </c>
      <c r="D176" s="110"/>
    </row>
    <row r="177" spans="1:4" x14ac:dyDescent="0.25">
      <c r="A177" s="58">
        <f t="shared" si="5"/>
        <v>44538.083333332921</v>
      </c>
      <c r="B177" s="58">
        <f t="shared" si="4"/>
        <v>44538.124999999585</v>
      </c>
      <c r="C177" s="110">
        <f>GEServed!K173</f>
        <v>6</v>
      </c>
      <c r="D177" s="110"/>
    </row>
    <row r="178" spans="1:4" x14ac:dyDescent="0.25">
      <c r="A178" s="58">
        <f t="shared" si="5"/>
        <v>44538.124999999585</v>
      </c>
      <c r="B178" s="58">
        <f t="shared" si="4"/>
        <v>44538.16666666625</v>
      </c>
      <c r="C178" s="110">
        <f>GEServed!K174</f>
        <v>6</v>
      </c>
      <c r="D178" s="110"/>
    </row>
    <row r="179" spans="1:4" x14ac:dyDescent="0.25">
      <c r="A179" s="58">
        <f t="shared" si="5"/>
        <v>44538.16666666625</v>
      </c>
      <c r="B179" s="58">
        <f t="shared" si="4"/>
        <v>44538.208333332914</v>
      </c>
      <c r="C179" s="110">
        <f>GEServed!K175</f>
        <v>6</v>
      </c>
      <c r="D179" s="110"/>
    </row>
    <row r="180" spans="1:4" x14ac:dyDescent="0.25">
      <c r="A180" s="58">
        <f t="shared" si="5"/>
        <v>44538.208333332914</v>
      </c>
      <c r="B180" s="58">
        <f t="shared" si="4"/>
        <v>44538.249999999578</v>
      </c>
      <c r="C180" s="110">
        <f>GEServed!K176</f>
        <v>6</v>
      </c>
      <c r="D180" s="110"/>
    </row>
    <row r="181" spans="1:4" x14ac:dyDescent="0.25">
      <c r="A181" s="58">
        <f t="shared" si="5"/>
        <v>44538.249999999578</v>
      </c>
      <c r="B181" s="58">
        <f t="shared" si="4"/>
        <v>44538.291666666242</v>
      </c>
      <c r="C181" s="110">
        <f>GEServed!K177</f>
        <v>6</v>
      </c>
      <c r="D181" s="110"/>
    </row>
    <row r="182" spans="1:4" x14ac:dyDescent="0.25">
      <c r="A182" s="58">
        <f t="shared" si="5"/>
        <v>44538.291666666242</v>
      </c>
      <c r="B182" s="58">
        <f t="shared" si="4"/>
        <v>44538.333333332906</v>
      </c>
      <c r="C182" s="110">
        <f>GEServed!K178</f>
        <v>6</v>
      </c>
      <c r="D182" s="110"/>
    </row>
    <row r="183" spans="1:4" x14ac:dyDescent="0.25">
      <c r="A183" s="58">
        <f t="shared" si="5"/>
        <v>44538.333333332906</v>
      </c>
      <c r="B183" s="58">
        <f t="shared" si="4"/>
        <v>44538.374999999571</v>
      </c>
      <c r="C183" s="110">
        <f>GEServed!K179</f>
        <v>6</v>
      </c>
      <c r="D183" s="110"/>
    </row>
    <row r="184" spans="1:4" x14ac:dyDescent="0.25">
      <c r="A184" s="58">
        <f t="shared" si="5"/>
        <v>44538.374999999571</v>
      </c>
      <c r="B184" s="58">
        <f t="shared" si="4"/>
        <v>44538.416666666235</v>
      </c>
      <c r="C184" s="110">
        <f>GEServed!K180</f>
        <v>5</v>
      </c>
      <c r="D184" s="110"/>
    </row>
    <row r="185" spans="1:4" x14ac:dyDescent="0.25">
      <c r="A185" s="58">
        <f t="shared" si="5"/>
        <v>44538.416666666235</v>
      </c>
      <c r="B185" s="58">
        <f t="shared" si="4"/>
        <v>44538.458333332899</v>
      </c>
      <c r="C185" s="110">
        <f>GEServed!K181</f>
        <v>5</v>
      </c>
      <c r="D185" s="110"/>
    </row>
    <row r="186" spans="1:4" x14ac:dyDescent="0.25">
      <c r="A186" s="58">
        <f t="shared" si="5"/>
        <v>44538.458333332899</v>
      </c>
      <c r="B186" s="58">
        <f t="shared" si="4"/>
        <v>44538.499999999563</v>
      </c>
      <c r="C186" s="110">
        <f>GEServed!K182</f>
        <v>5</v>
      </c>
      <c r="D186" s="110"/>
    </row>
    <row r="187" spans="1:4" x14ac:dyDescent="0.25">
      <c r="A187" s="58">
        <f t="shared" si="5"/>
        <v>44538.499999999563</v>
      </c>
      <c r="B187" s="58">
        <f t="shared" si="4"/>
        <v>44538.541666666228</v>
      </c>
      <c r="C187" s="110">
        <f>GEServed!K183</f>
        <v>5</v>
      </c>
      <c r="D187" s="110"/>
    </row>
    <row r="188" spans="1:4" x14ac:dyDescent="0.25">
      <c r="A188" s="58">
        <f t="shared" si="5"/>
        <v>44538.541666666228</v>
      </c>
      <c r="B188" s="58">
        <f t="shared" si="4"/>
        <v>44538.583333332892</v>
      </c>
      <c r="C188" s="110">
        <f>GEServed!K184</f>
        <v>5</v>
      </c>
      <c r="D188" s="110"/>
    </row>
    <row r="189" spans="1:4" x14ac:dyDescent="0.25">
      <c r="A189" s="58">
        <f t="shared" si="5"/>
        <v>44538.583333332892</v>
      </c>
      <c r="B189" s="58">
        <f t="shared" si="4"/>
        <v>44538.624999999556</v>
      </c>
      <c r="C189" s="110">
        <f>GEServed!K185</f>
        <v>5</v>
      </c>
      <c r="D189" s="110"/>
    </row>
    <row r="190" spans="1:4" x14ac:dyDescent="0.25">
      <c r="A190" s="58">
        <f t="shared" si="5"/>
        <v>44538.624999999556</v>
      </c>
      <c r="B190" s="58">
        <f t="shared" si="4"/>
        <v>44538.66666666622</v>
      </c>
      <c r="C190" s="110">
        <f>GEServed!K186</f>
        <v>5</v>
      </c>
      <c r="D190" s="110"/>
    </row>
    <row r="191" spans="1:4" x14ac:dyDescent="0.25">
      <c r="A191" s="58">
        <f t="shared" si="5"/>
        <v>44538.66666666622</v>
      </c>
      <c r="B191" s="58">
        <f t="shared" si="4"/>
        <v>44538.708333332885</v>
      </c>
      <c r="C191" s="110">
        <f>GEServed!K187</f>
        <v>5</v>
      </c>
      <c r="D191" s="110"/>
    </row>
    <row r="192" spans="1:4" x14ac:dyDescent="0.25">
      <c r="A192" s="58">
        <f t="shared" si="5"/>
        <v>44538.708333332885</v>
      </c>
      <c r="B192" s="58">
        <f t="shared" si="4"/>
        <v>44538.749999999549</v>
      </c>
      <c r="C192" s="110">
        <f>GEServed!K188</f>
        <v>5</v>
      </c>
      <c r="D192" s="110"/>
    </row>
    <row r="193" spans="1:4" x14ac:dyDescent="0.25">
      <c r="A193" s="58">
        <f t="shared" si="5"/>
        <v>44538.749999999549</v>
      </c>
      <c r="B193" s="58">
        <f t="shared" si="4"/>
        <v>44538.791666666213</v>
      </c>
      <c r="C193" s="110">
        <f>GEServed!K189</f>
        <v>6</v>
      </c>
      <c r="D193" s="110"/>
    </row>
    <row r="194" spans="1:4" x14ac:dyDescent="0.25">
      <c r="A194" s="58">
        <f t="shared" si="5"/>
        <v>44538.791666666213</v>
      </c>
      <c r="B194" s="58">
        <f t="shared" si="4"/>
        <v>44538.833333332877</v>
      </c>
      <c r="C194" s="110">
        <f>GEServed!K190</f>
        <v>6</v>
      </c>
      <c r="D194" s="110"/>
    </row>
    <row r="195" spans="1:4" x14ac:dyDescent="0.25">
      <c r="A195" s="58">
        <f t="shared" si="5"/>
        <v>44538.833333332877</v>
      </c>
      <c r="B195" s="58">
        <f t="shared" si="4"/>
        <v>44538.874999999542</v>
      </c>
      <c r="C195" s="110">
        <f>GEServed!K191</f>
        <v>6</v>
      </c>
      <c r="D195" s="110"/>
    </row>
    <row r="196" spans="1:4" x14ac:dyDescent="0.25">
      <c r="A196" s="58">
        <f t="shared" si="5"/>
        <v>44538.874999999542</v>
      </c>
      <c r="B196" s="58">
        <f t="shared" si="4"/>
        <v>44538.916666666206</v>
      </c>
      <c r="C196" s="110">
        <f>GEServed!K192</f>
        <v>6</v>
      </c>
      <c r="D196" s="110"/>
    </row>
    <row r="197" spans="1:4" x14ac:dyDescent="0.25">
      <c r="A197" s="58">
        <f t="shared" si="5"/>
        <v>44538.916666666206</v>
      </c>
      <c r="B197" s="58">
        <f t="shared" si="4"/>
        <v>44538.95833333287</v>
      </c>
      <c r="C197" s="110">
        <f>GEServed!K193</f>
        <v>6</v>
      </c>
      <c r="D197" s="110"/>
    </row>
    <row r="198" spans="1:4" x14ac:dyDescent="0.25">
      <c r="A198" s="58">
        <f t="shared" si="5"/>
        <v>44538.95833333287</v>
      </c>
      <c r="B198" s="58">
        <f t="shared" si="4"/>
        <v>44538.999999999534</v>
      </c>
      <c r="C198" s="110">
        <f>GEServed!K194</f>
        <v>5</v>
      </c>
      <c r="D198" s="110"/>
    </row>
    <row r="199" spans="1:4" x14ac:dyDescent="0.25">
      <c r="A199" s="58">
        <f t="shared" si="5"/>
        <v>44538.999999999534</v>
      </c>
      <c r="B199" s="58">
        <f t="shared" si="4"/>
        <v>44539.041666666199</v>
      </c>
      <c r="C199" s="110">
        <f>GEServed!K195</f>
        <v>6</v>
      </c>
      <c r="D199" s="110"/>
    </row>
    <row r="200" spans="1:4" x14ac:dyDescent="0.25">
      <c r="A200" s="58">
        <f t="shared" si="5"/>
        <v>44539.041666666199</v>
      </c>
      <c r="B200" s="58">
        <f t="shared" ref="B200:B263" si="6">$A200+1/24</f>
        <v>44539.083333332863</v>
      </c>
      <c r="C200" s="110">
        <f>GEServed!K196</f>
        <v>6</v>
      </c>
      <c r="D200" s="110"/>
    </row>
    <row r="201" spans="1:4" x14ac:dyDescent="0.25">
      <c r="A201" s="58">
        <f t="shared" ref="A201:A264" si="7">$A200+1/24</f>
        <v>44539.083333332863</v>
      </c>
      <c r="B201" s="58">
        <f t="shared" si="6"/>
        <v>44539.124999999527</v>
      </c>
      <c r="C201" s="110">
        <f>GEServed!K197</f>
        <v>6</v>
      </c>
      <c r="D201" s="110"/>
    </row>
    <row r="202" spans="1:4" x14ac:dyDescent="0.25">
      <c r="A202" s="58">
        <f t="shared" si="7"/>
        <v>44539.124999999527</v>
      </c>
      <c r="B202" s="58">
        <f t="shared" si="6"/>
        <v>44539.166666666191</v>
      </c>
      <c r="C202" s="110">
        <f>GEServed!K198</f>
        <v>6</v>
      </c>
      <c r="D202" s="110"/>
    </row>
    <row r="203" spans="1:4" x14ac:dyDescent="0.25">
      <c r="A203" s="58">
        <f t="shared" si="7"/>
        <v>44539.166666666191</v>
      </c>
      <c r="B203" s="58">
        <f t="shared" si="6"/>
        <v>44539.208333332856</v>
      </c>
      <c r="C203" s="110">
        <f>GEServed!K199</f>
        <v>6</v>
      </c>
      <c r="D203" s="110"/>
    </row>
    <row r="204" spans="1:4" x14ac:dyDescent="0.25">
      <c r="A204" s="58">
        <f t="shared" si="7"/>
        <v>44539.208333332856</v>
      </c>
      <c r="B204" s="58">
        <f t="shared" si="6"/>
        <v>44539.24999999952</v>
      </c>
      <c r="C204" s="110">
        <f>GEServed!K200</f>
        <v>6</v>
      </c>
      <c r="D204" s="110"/>
    </row>
    <row r="205" spans="1:4" x14ac:dyDescent="0.25">
      <c r="A205" s="58">
        <f t="shared" si="7"/>
        <v>44539.24999999952</v>
      </c>
      <c r="B205" s="58">
        <f t="shared" si="6"/>
        <v>44539.291666666184</v>
      </c>
      <c r="C205" s="110">
        <f>GEServed!K201</f>
        <v>6</v>
      </c>
      <c r="D205" s="110"/>
    </row>
    <row r="206" spans="1:4" x14ac:dyDescent="0.25">
      <c r="A206" s="58">
        <f t="shared" si="7"/>
        <v>44539.291666666184</v>
      </c>
      <c r="B206" s="58">
        <f t="shared" si="6"/>
        <v>44539.333333332848</v>
      </c>
      <c r="C206" s="110">
        <f>GEServed!K202</f>
        <v>6</v>
      </c>
      <c r="D206" s="110"/>
    </row>
    <row r="207" spans="1:4" x14ac:dyDescent="0.25">
      <c r="A207" s="58">
        <f t="shared" si="7"/>
        <v>44539.333333332848</v>
      </c>
      <c r="B207" s="58">
        <f t="shared" si="6"/>
        <v>44539.374999999513</v>
      </c>
      <c r="C207" s="110">
        <f>GEServed!K203</f>
        <v>6</v>
      </c>
      <c r="D207" s="110"/>
    </row>
    <row r="208" spans="1:4" x14ac:dyDescent="0.25">
      <c r="A208" s="58">
        <f t="shared" si="7"/>
        <v>44539.374999999513</v>
      </c>
      <c r="B208" s="58">
        <f t="shared" si="6"/>
        <v>44539.416666666177</v>
      </c>
      <c r="C208" s="110">
        <f>GEServed!K204</f>
        <v>5</v>
      </c>
      <c r="D208" s="110"/>
    </row>
    <row r="209" spans="1:4" x14ac:dyDescent="0.25">
      <c r="A209" s="58">
        <f t="shared" si="7"/>
        <v>44539.416666666177</v>
      </c>
      <c r="B209" s="58">
        <f t="shared" si="6"/>
        <v>44539.458333332841</v>
      </c>
      <c r="C209" s="110">
        <f>GEServed!K205</f>
        <v>5</v>
      </c>
      <c r="D209" s="110"/>
    </row>
    <row r="210" spans="1:4" x14ac:dyDescent="0.25">
      <c r="A210" s="58">
        <f t="shared" si="7"/>
        <v>44539.458333332841</v>
      </c>
      <c r="B210" s="58">
        <f t="shared" si="6"/>
        <v>44539.499999999505</v>
      </c>
      <c r="C210" s="110">
        <f>GEServed!K206</f>
        <v>5</v>
      </c>
      <c r="D210" s="110"/>
    </row>
    <row r="211" spans="1:4" x14ac:dyDescent="0.25">
      <c r="A211" s="58">
        <f t="shared" si="7"/>
        <v>44539.499999999505</v>
      </c>
      <c r="B211" s="58">
        <f t="shared" si="6"/>
        <v>44539.541666666169</v>
      </c>
      <c r="C211" s="110">
        <f>GEServed!K207</f>
        <v>5</v>
      </c>
      <c r="D211" s="110"/>
    </row>
    <row r="212" spans="1:4" x14ac:dyDescent="0.25">
      <c r="A212" s="58">
        <f t="shared" si="7"/>
        <v>44539.541666666169</v>
      </c>
      <c r="B212" s="58">
        <f t="shared" si="6"/>
        <v>44539.583333332834</v>
      </c>
      <c r="C212" s="110">
        <f>GEServed!K208</f>
        <v>5</v>
      </c>
      <c r="D212" s="110"/>
    </row>
    <row r="213" spans="1:4" x14ac:dyDescent="0.25">
      <c r="A213" s="58">
        <f t="shared" si="7"/>
        <v>44539.583333332834</v>
      </c>
      <c r="B213" s="58">
        <f t="shared" si="6"/>
        <v>44539.624999999498</v>
      </c>
      <c r="C213" s="110">
        <f>GEServed!K209</f>
        <v>5</v>
      </c>
      <c r="D213" s="110"/>
    </row>
    <row r="214" spans="1:4" x14ac:dyDescent="0.25">
      <c r="A214" s="58">
        <f t="shared" si="7"/>
        <v>44539.624999999498</v>
      </c>
      <c r="B214" s="58">
        <f t="shared" si="6"/>
        <v>44539.666666666162</v>
      </c>
      <c r="C214" s="110">
        <f>GEServed!K210</f>
        <v>5</v>
      </c>
      <c r="D214" s="110"/>
    </row>
    <row r="215" spans="1:4" x14ac:dyDescent="0.25">
      <c r="A215" s="58">
        <f t="shared" si="7"/>
        <v>44539.666666666162</v>
      </c>
      <c r="B215" s="58">
        <f t="shared" si="6"/>
        <v>44539.708333332826</v>
      </c>
      <c r="C215" s="110">
        <f>GEServed!K211</f>
        <v>5</v>
      </c>
      <c r="D215" s="110"/>
    </row>
    <row r="216" spans="1:4" x14ac:dyDescent="0.25">
      <c r="A216" s="58">
        <f t="shared" si="7"/>
        <v>44539.708333332826</v>
      </c>
      <c r="B216" s="58">
        <f t="shared" si="6"/>
        <v>44539.749999999491</v>
      </c>
      <c r="C216" s="110">
        <f>GEServed!K212</f>
        <v>5</v>
      </c>
      <c r="D216" s="110"/>
    </row>
    <row r="217" spans="1:4" x14ac:dyDescent="0.25">
      <c r="A217" s="58">
        <f t="shared" si="7"/>
        <v>44539.749999999491</v>
      </c>
      <c r="B217" s="58">
        <f t="shared" si="6"/>
        <v>44539.791666666155</v>
      </c>
      <c r="C217" s="110">
        <f>GEServed!K213</f>
        <v>6</v>
      </c>
      <c r="D217" s="110"/>
    </row>
    <row r="218" spans="1:4" x14ac:dyDescent="0.25">
      <c r="A218" s="58">
        <f t="shared" si="7"/>
        <v>44539.791666666155</v>
      </c>
      <c r="B218" s="58">
        <f t="shared" si="6"/>
        <v>44539.833333332819</v>
      </c>
      <c r="C218" s="110">
        <f>GEServed!K214</f>
        <v>6</v>
      </c>
      <c r="D218" s="110"/>
    </row>
    <row r="219" spans="1:4" x14ac:dyDescent="0.25">
      <c r="A219" s="58">
        <f t="shared" si="7"/>
        <v>44539.833333332819</v>
      </c>
      <c r="B219" s="58">
        <f t="shared" si="6"/>
        <v>44539.874999999483</v>
      </c>
      <c r="C219" s="110">
        <f>GEServed!K215</f>
        <v>6</v>
      </c>
      <c r="D219" s="110"/>
    </row>
    <row r="220" spans="1:4" x14ac:dyDescent="0.25">
      <c r="A220" s="58">
        <f t="shared" si="7"/>
        <v>44539.874999999483</v>
      </c>
      <c r="B220" s="58">
        <f t="shared" si="6"/>
        <v>44539.916666666148</v>
      </c>
      <c r="C220" s="110">
        <f>GEServed!K216</f>
        <v>6</v>
      </c>
      <c r="D220" s="110"/>
    </row>
    <row r="221" spans="1:4" x14ac:dyDescent="0.25">
      <c r="A221" s="58">
        <f t="shared" si="7"/>
        <v>44539.916666666148</v>
      </c>
      <c r="B221" s="58">
        <f t="shared" si="6"/>
        <v>44539.958333332812</v>
      </c>
      <c r="C221" s="110">
        <f>GEServed!K217</f>
        <v>6</v>
      </c>
      <c r="D221" s="110"/>
    </row>
    <row r="222" spans="1:4" x14ac:dyDescent="0.25">
      <c r="A222" s="58">
        <f t="shared" si="7"/>
        <v>44539.958333332812</v>
      </c>
      <c r="B222" s="58">
        <f t="shared" si="6"/>
        <v>44539.999999999476</v>
      </c>
      <c r="C222" s="110">
        <f>GEServed!K218</f>
        <v>5</v>
      </c>
      <c r="D222" s="110"/>
    </row>
    <row r="223" spans="1:4" x14ac:dyDescent="0.25">
      <c r="A223" s="58">
        <f t="shared" si="7"/>
        <v>44539.999999999476</v>
      </c>
      <c r="B223" s="58">
        <f t="shared" si="6"/>
        <v>44540.04166666614</v>
      </c>
      <c r="C223" s="110">
        <f>GEServed!K219</f>
        <v>6</v>
      </c>
      <c r="D223" s="110"/>
    </row>
    <row r="224" spans="1:4" x14ac:dyDescent="0.25">
      <c r="A224" s="58">
        <f t="shared" si="7"/>
        <v>44540.04166666614</v>
      </c>
      <c r="B224" s="58">
        <f t="shared" si="6"/>
        <v>44540.083333332805</v>
      </c>
      <c r="C224" s="110">
        <f>GEServed!K220</f>
        <v>6</v>
      </c>
      <c r="D224" s="110"/>
    </row>
    <row r="225" spans="1:4" x14ac:dyDescent="0.25">
      <c r="A225" s="58">
        <f t="shared" si="7"/>
        <v>44540.083333332805</v>
      </c>
      <c r="B225" s="58">
        <f t="shared" si="6"/>
        <v>44540.124999999469</v>
      </c>
      <c r="C225" s="110">
        <f>GEServed!K221</f>
        <v>6</v>
      </c>
      <c r="D225" s="110"/>
    </row>
    <row r="226" spans="1:4" x14ac:dyDescent="0.25">
      <c r="A226" s="58">
        <f t="shared" si="7"/>
        <v>44540.124999999469</v>
      </c>
      <c r="B226" s="58">
        <f t="shared" si="6"/>
        <v>44540.166666666133</v>
      </c>
      <c r="C226" s="110">
        <f>GEServed!K222</f>
        <v>6</v>
      </c>
      <c r="D226" s="110"/>
    </row>
    <row r="227" spans="1:4" x14ac:dyDescent="0.25">
      <c r="A227" s="58">
        <f t="shared" si="7"/>
        <v>44540.166666666133</v>
      </c>
      <c r="B227" s="58">
        <f t="shared" si="6"/>
        <v>44540.208333332797</v>
      </c>
      <c r="C227" s="110">
        <f>GEServed!K223</f>
        <v>6</v>
      </c>
      <c r="D227" s="110"/>
    </row>
    <row r="228" spans="1:4" x14ac:dyDescent="0.25">
      <c r="A228" s="58">
        <f t="shared" si="7"/>
        <v>44540.208333332797</v>
      </c>
      <c r="B228" s="58">
        <f t="shared" si="6"/>
        <v>44540.249999999462</v>
      </c>
      <c r="C228" s="110">
        <f>GEServed!K224</f>
        <v>6</v>
      </c>
      <c r="D228" s="110"/>
    </row>
    <row r="229" spans="1:4" x14ac:dyDescent="0.25">
      <c r="A229" s="58">
        <f t="shared" si="7"/>
        <v>44540.249999999462</v>
      </c>
      <c r="B229" s="58">
        <f t="shared" si="6"/>
        <v>44540.291666666126</v>
      </c>
      <c r="C229" s="110">
        <f>GEServed!K225</f>
        <v>6</v>
      </c>
      <c r="D229" s="110"/>
    </row>
    <row r="230" spans="1:4" x14ac:dyDescent="0.25">
      <c r="A230" s="58">
        <f t="shared" si="7"/>
        <v>44540.291666666126</v>
      </c>
      <c r="B230" s="58">
        <f t="shared" si="6"/>
        <v>44540.33333333279</v>
      </c>
      <c r="C230" s="110">
        <f>GEServed!K226</f>
        <v>6</v>
      </c>
      <c r="D230" s="110"/>
    </row>
    <row r="231" spans="1:4" x14ac:dyDescent="0.25">
      <c r="A231" s="58">
        <f t="shared" si="7"/>
        <v>44540.33333333279</v>
      </c>
      <c r="B231" s="58">
        <f t="shared" si="6"/>
        <v>44540.374999999454</v>
      </c>
      <c r="C231" s="110">
        <f>GEServed!K227</f>
        <v>6</v>
      </c>
      <c r="D231" s="110"/>
    </row>
    <row r="232" spans="1:4" x14ac:dyDescent="0.25">
      <c r="A232" s="58">
        <f t="shared" si="7"/>
        <v>44540.374999999454</v>
      </c>
      <c r="B232" s="58">
        <f t="shared" si="6"/>
        <v>44540.416666666119</v>
      </c>
      <c r="C232" s="110">
        <f>GEServed!K228</f>
        <v>5</v>
      </c>
      <c r="D232" s="110"/>
    </row>
    <row r="233" spans="1:4" x14ac:dyDescent="0.25">
      <c r="A233" s="58">
        <f t="shared" si="7"/>
        <v>44540.416666666119</v>
      </c>
      <c r="B233" s="58">
        <f t="shared" si="6"/>
        <v>44540.458333332783</v>
      </c>
      <c r="C233" s="110">
        <f>GEServed!K229</f>
        <v>5</v>
      </c>
      <c r="D233" s="110"/>
    </row>
    <row r="234" spans="1:4" x14ac:dyDescent="0.25">
      <c r="A234" s="58">
        <f t="shared" si="7"/>
        <v>44540.458333332783</v>
      </c>
      <c r="B234" s="58">
        <f t="shared" si="6"/>
        <v>44540.499999999447</v>
      </c>
      <c r="C234" s="110">
        <f>GEServed!K230</f>
        <v>5</v>
      </c>
      <c r="D234" s="110"/>
    </row>
    <row r="235" spans="1:4" x14ac:dyDescent="0.25">
      <c r="A235" s="58">
        <f t="shared" si="7"/>
        <v>44540.499999999447</v>
      </c>
      <c r="B235" s="58">
        <f t="shared" si="6"/>
        <v>44540.541666666111</v>
      </c>
      <c r="C235" s="110">
        <f>GEServed!K231</f>
        <v>5</v>
      </c>
      <c r="D235" s="110"/>
    </row>
    <row r="236" spans="1:4" x14ac:dyDescent="0.25">
      <c r="A236" s="58">
        <f t="shared" si="7"/>
        <v>44540.541666666111</v>
      </c>
      <c r="B236" s="58">
        <f t="shared" si="6"/>
        <v>44540.583333332776</v>
      </c>
      <c r="C236" s="110">
        <f>GEServed!K232</f>
        <v>5</v>
      </c>
      <c r="D236" s="110"/>
    </row>
    <row r="237" spans="1:4" x14ac:dyDescent="0.25">
      <c r="A237" s="58">
        <f t="shared" si="7"/>
        <v>44540.583333332776</v>
      </c>
      <c r="B237" s="58">
        <f t="shared" si="6"/>
        <v>44540.62499999944</v>
      </c>
      <c r="C237" s="110">
        <f>GEServed!K233</f>
        <v>5</v>
      </c>
      <c r="D237" s="110"/>
    </row>
    <row r="238" spans="1:4" x14ac:dyDescent="0.25">
      <c r="A238" s="58">
        <f t="shared" si="7"/>
        <v>44540.62499999944</v>
      </c>
      <c r="B238" s="58">
        <f t="shared" si="6"/>
        <v>44540.666666666104</v>
      </c>
      <c r="C238" s="110">
        <f>GEServed!K234</f>
        <v>5</v>
      </c>
      <c r="D238" s="110"/>
    </row>
    <row r="239" spans="1:4" x14ac:dyDescent="0.25">
      <c r="A239" s="58">
        <f t="shared" si="7"/>
        <v>44540.666666666104</v>
      </c>
      <c r="B239" s="58">
        <f t="shared" si="6"/>
        <v>44540.708333332768</v>
      </c>
      <c r="C239" s="110">
        <f>GEServed!K235</f>
        <v>5</v>
      </c>
      <c r="D239" s="110"/>
    </row>
    <row r="240" spans="1:4" x14ac:dyDescent="0.25">
      <c r="A240" s="58">
        <f t="shared" si="7"/>
        <v>44540.708333332768</v>
      </c>
      <c r="B240" s="58">
        <f t="shared" si="6"/>
        <v>44540.749999999432</v>
      </c>
      <c r="C240" s="110">
        <f>GEServed!K236</f>
        <v>5</v>
      </c>
      <c r="D240" s="110"/>
    </row>
    <row r="241" spans="1:4" x14ac:dyDescent="0.25">
      <c r="A241" s="58">
        <f t="shared" si="7"/>
        <v>44540.749999999432</v>
      </c>
      <c r="B241" s="58">
        <f t="shared" si="6"/>
        <v>44540.791666666097</v>
      </c>
      <c r="C241" s="110">
        <f>GEServed!K237</f>
        <v>6</v>
      </c>
      <c r="D241" s="110"/>
    </row>
    <row r="242" spans="1:4" x14ac:dyDescent="0.25">
      <c r="A242" s="58">
        <f t="shared" si="7"/>
        <v>44540.791666666097</v>
      </c>
      <c r="B242" s="58">
        <f t="shared" si="6"/>
        <v>44540.833333332761</v>
      </c>
      <c r="C242" s="110">
        <f>GEServed!K238</f>
        <v>6</v>
      </c>
      <c r="D242" s="110"/>
    </row>
    <row r="243" spans="1:4" x14ac:dyDescent="0.25">
      <c r="A243" s="58">
        <f t="shared" si="7"/>
        <v>44540.833333332761</v>
      </c>
      <c r="B243" s="58">
        <f t="shared" si="6"/>
        <v>44540.874999999425</v>
      </c>
      <c r="C243" s="110">
        <f>GEServed!K239</f>
        <v>6</v>
      </c>
      <c r="D243" s="110"/>
    </row>
    <row r="244" spans="1:4" x14ac:dyDescent="0.25">
      <c r="A244" s="58">
        <f t="shared" si="7"/>
        <v>44540.874999999425</v>
      </c>
      <c r="B244" s="58">
        <f t="shared" si="6"/>
        <v>44540.916666666089</v>
      </c>
      <c r="C244" s="110">
        <f>GEServed!K240</f>
        <v>6</v>
      </c>
      <c r="D244" s="110"/>
    </row>
    <row r="245" spans="1:4" x14ac:dyDescent="0.25">
      <c r="A245" s="58">
        <f t="shared" si="7"/>
        <v>44540.916666666089</v>
      </c>
      <c r="B245" s="58">
        <f t="shared" si="6"/>
        <v>44540.958333332754</v>
      </c>
      <c r="C245" s="110">
        <f>GEServed!K241</f>
        <v>6</v>
      </c>
      <c r="D245" s="110"/>
    </row>
    <row r="246" spans="1:4" x14ac:dyDescent="0.25">
      <c r="A246" s="58">
        <f t="shared" si="7"/>
        <v>44540.958333332754</v>
      </c>
      <c r="B246" s="58">
        <f t="shared" si="6"/>
        <v>44540.999999999418</v>
      </c>
      <c r="C246" s="110">
        <f>GEServed!K242</f>
        <v>5</v>
      </c>
      <c r="D246" s="110"/>
    </row>
    <row r="247" spans="1:4" x14ac:dyDescent="0.25">
      <c r="A247" s="58">
        <f t="shared" si="7"/>
        <v>44540.999999999418</v>
      </c>
      <c r="B247" s="58">
        <f t="shared" si="6"/>
        <v>44541.041666666082</v>
      </c>
      <c r="C247" s="110">
        <f>GEServed!K243</f>
        <v>6</v>
      </c>
      <c r="D247" s="110"/>
    </row>
    <row r="248" spans="1:4" x14ac:dyDescent="0.25">
      <c r="A248" s="58">
        <f t="shared" si="7"/>
        <v>44541.041666666082</v>
      </c>
      <c r="B248" s="58">
        <f t="shared" si="6"/>
        <v>44541.083333332746</v>
      </c>
      <c r="C248" s="110">
        <f>GEServed!K244</f>
        <v>6</v>
      </c>
      <c r="D248" s="110"/>
    </row>
    <row r="249" spans="1:4" x14ac:dyDescent="0.25">
      <c r="A249" s="58">
        <f t="shared" si="7"/>
        <v>44541.083333332746</v>
      </c>
      <c r="B249" s="58">
        <f t="shared" si="6"/>
        <v>44541.124999999411</v>
      </c>
      <c r="C249" s="110">
        <f>GEServed!K245</f>
        <v>6</v>
      </c>
      <c r="D249" s="110"/>
    </row>
    <row r="250" spans="1:4" x14ac:dyDescent="0.25">
      <c r="A250" s="58">
        <f t="shared" si="7"/>
        <v>44541.124999999411</v>
      </c>
      <c r="B250" s="58">
        <f t="shared" si="6"/>
        <v>44541.166666666075</v>
      </c>
      <c r="C250" s="110">
        <f>GEServed!K246</f>
        <v>6</v>
      </c>
      <c r="D250" s="110"/>
    </row>
    <row r="251" spans="1:4" x14ac:dyDescent="0.25">
      <c r="A251" s="58">
        <f t="shared" si="7"/>
        <v>44541.166666666075</v>
      </c>
      <c r="B251" s="58">
        <f t="shared" si="6"/>
        <v>44541.208333332739</v>
      </c>
      <c r="C251" s="110">
        <f>GEServed!K247</f>
        <v>6</v>
      </c>
      <c r="D251" s="110"/>
    </row>
    <row r="252" spans="1:4" x14ac:dyDescent="0.25">
      <c r="A252" s="58">
        <f t="shared" si="7"/>
        <v>44541.208333332739</v>
      </c>
      <c r="B252" s="58">
        <f t="shared" si="6"/>
        <v>44541.249999999403</v>
      </c>
      <c r="C252" s="110">
        <f>GEServed!K248</f>
        <v>6</v>
      </c>
      <c r="D252" s="110"/>
    </row>
    <row r="253" spans="1:4" x14ac:dyDescent="0.25">
      <c r="A253" s="58">
        <f t="shared" si="7"/>
        <v>44541.249999999403</v>
      </c>
      <c r="B253" s="58">
        <f t="shared" si="6"/>
        <v>44541.291666666068</v>
      </c>
      <c r="C253" s="110">
        <f>GEServed!K249</f>
        <v>6</v>
      </c>
      <c r="D253" s="110"/>
    </row>
    <row r="254" spans="1:4" x14ac:dyDescent="0.25">
      <c r="A254" s="58">
        <f t="shared" si="7"/>
        <v>44541.291666666068</v>
      </c>
      <c r="B254" s="58">
        <f t="shared" si="6"/>
        <v>44541.333333332732</v>
      </c>
      <c r="C254" s="110">
        <f>GEServed!K250</f>
        <v>6</v>
      </c>
      <c r="D254" s="110"/>
    </row>
    <row r="255" spans="1:4" x14ac:dyDescent="0.25">
      <c r="A255" s="58">
        <f t="shared" si="7"/>
        <v>44541.333333332732</v>
      </c>
      <c r="B255" s="58">
        <f t="shared" si="6"/>
        <v>44541.374999999396</v>
      </c>
      <c r="C255" s="110">
        <f>GEServed!K251</f>
        <v>6</v>
      </c>
      <c r="D255" s="110"/>
    </row>
    <row r="256" spans="1:4" x14ac:dyDescent="0.25">
      <c r="A256" s="58">
        <f t="shared" si="7"/>
        <v>44541.374999999396</v>
      </c>
      <c r="B256" s="58">
        <f t="shared" si="6"/>
        <v>44541.41666666606</v>
      </c>
      <c r="C256" s="110">
        <f>GEServed!K252</f>
        <v>5</v>
      </c>
      <c r="D256" s="110"/>
    </row>
    <row r="257" spans="1:4" x14ac:dyDescent="0.25">
      <c r="A257" s="58">
        <f t="shared" si="7"/>
        <v>44541.41666666606</v>
      </c>
      <c r="B257" s="58">
        <f t="shared" si="6"/>
        <v>44541.458333332725</v>
      </c>
      <c r="C257" s="110">
        <f>GEServed!K253</f>
        <v>5</v>
      </c>
      <c r="D257" s="110"/>
    </row>
    <row r="258" spans="1:4" x14ac:dyDescent="0.25">
      <c r="A258" s="58">
        <f t="shared" si="7"/>
        <v>44541.458333332725</v>
      </c>
      <c r="B258" s="58">
        <f t="shared" si="6"/>
        <v>44541.499999999389</v>
      </c>
      <c r="C258" s="110">
        <f>GEServed!K254</f>
        <v>5</v>
      </c>
      <c r="D258" s="110"/>
    </row>
    <row r="259" spans="1:4" x14ac:dyDescent="0.25">
      <c r="A259" s="58">
        <f t="shared" si="7"/>
        <v>44541.499999999389</v>
      </c>
      <c r="B259" s="58">
        <f t="shared" si="6"/>
        <v>44541.541666666053</v>
      </c>
      <c r="C259" s="110">
        <f>GEServed!K255</f>
        <v>5</v>
      </c>
      <c r="D259" s="110"/>
    </row>
    <row r="260" spans="1:4" x14ac:dyDescent="0.25">
      <c r="A260" s="58">
        <f t="shared" si="7"/>
        <v>44541.541666666053</v>
      </c>
      <c r="B260" s="58">
        <f t="shared" si="6"/>
        <v>44541.583333332717</v>
      </c>
      <c r="C260" s="110">
        <f>GEServed!K256</f>
        <v>5</v>
      </c>
      <c r="D260" s="110"/>
    </row>
    <row r="261" spans="1:4" x14ac:dyDescent="0.25">
      <c r="A261" s="58">
        <f t="shared" si="7"/>
        <v>44541.583333332717</v>
      </c>
      <c r="B261" s="58">
        <f t="shared" si="6"/>
        <v>44541.624999999382</v>
      </c>
      <c r="C261" s="110">
        <f>GEServed!K257</f>
        <v>5</v>
      </c>
      <c r="D261" s="110"/>
    </row>
    <row r="262" spans="1:4" x14ac:dyDescent="0.25">
      <c r="A262" s="58">
        <f t="shared" si="7"/>
        <v>44541.624999999382</v>
      </c>
      <c r="B262" s="58">
        <f t="shared" si="6"/>
        <v>44541.666666666046</v>
      </c>
      <c r="C262" s="110">
        <f>GEServed!K258</f>
        <v>5</v>
      </c>
      <c r="D262" s="110"/>
    </row>
    <row r="263" spans="1:4" x14ac:dyDescent="0.25">
      <c r="A263" s="58">
        <f t="shared" si="7"/>
        <v>44541.666666666046</v>
      </c>
      <c r="B263" s="58">
        <f t="shared" si="6"/>
        <v>44541.70833333271</v>
      </c>
      <c r="C263" s="110">
        <f>GEServed!K259</f>
        <v>5</v>
      </c>
      <c r="D263" s="110"/>
    </row>
    <row r="264" spans="1:4" x14ac:dyDescent="0.25">
      <c r="A264" s="58">
        <f t="shared" si="7"/>
        <v>44541.70833333271</v>
      </c>
      <c r="B264" s="58">
        <f t="shared" ref="B264:B327" si="8">$A264+1/24</f>
        <v>44541.749999999374</v>
      </c>
      <c r="C264" s="110">
        <f>GEServed!K260</f>
        <v>5</v>
      </c>
      <c r="D264" s="110"/>
    </row>
    <row r="265" spans="1:4" x14ac:dyDescent="0.25">
      <c r="A265" s="58">
        <f t="shared" ref="A265:A328" si="9">$A264+1/24</f>
        <v>44541.749999999374</v>
      </c>
      <c r="B265" s="58">
        <f t="shared" si="8"/>
        <v>44541.791666666039</v>
      </c>
      <c r="C265" s="110">
        <f>GEServed!K261</f>
        <v>6</v>
      </c>
      <c r="D265" s="110"/>
    </row>
    <row r="266" spans="1:4" x14ac:dyDescent="0.25">
      <c r="A266" s="58">
        <f t="shared" si="9"/>
        <v>44541.791666666039</v>
      </c>
      <c r="B266" s="58">
        <f t="shared" si="8"/>
        <v>44541.833333332703</v>
      </c>
      <c r="C266" s="110">
        <f>GEServed!K262</f>
        <v>6</v>
      </c>
      <c r="D266" s="110"/>
    </row>
    <row r="267" spans="1:4" x14ac:dyDescent="0.25">
      <c r="A267" s="58">
        <f t="shared" si="9"/>
        <v>44541.833333332703</v>
      </c>
      <c r="B267" s="58">
        <f t="shared" si="8"/>
        <v>44541.874999999367</v>
      </c>
      <c r="C267" s="110">
        <f>GEServed!K263</f>
        <v>6</v>
      </c>
      <c r="D267" s="110"/>
    </row>
    <row r="268" spans="1:4" x14ac:dyDescent="0.25">
      <c r="A268" s="58">
        <f t="shared" si="9"/>
        <v>44541.874999999367</v>
      </c>
      <c r="B268" s="58">
        <f t="shared" si="8"/>
        <v>44541.916666666031</v>
      </c>
      <c r="C268" s="110">
        <f>GEServed!K264</f>
        <v>6</v>
      </c>
      <c r="D268" s="110"/>
    </row>
    <row r="269" spans="1:4" x14ac:dyDescent="0.25">
      <c r="A269" s="58">
        <f t="shared" si="9"/>
        <v>44541.916666666031</v>
      </c>
      <c r="B269" s="58">
        <f t="shared" si="8"/>
        <v>44541.958333332695</v>
      </c>
      <c r="C269" s="110">
        <f>GEServed!K265</f>
        <v>6</v>
      </c>
      <c r="D269" s="110"/>
    </row>
    <row r="270" spans="1:4" x14ac:dyDescent="0.25">
      <c r="A270" s="58">
        <f t="shared" si="9"/>
        <v>44541.958333332695</v>
      </c>
      <c r="B270" s="58">
        <f t="shared" si="8"/>
        <v>44541.99999999936</v>
      </c>
      <c r="C270" s="110">
        <f>GEServed!K266</f>
        <v>5</v>
      </c>
      <c r="D270" s="110"/>
    </row>
    <row r="271" spans="1:4" x14ac:dyDescent="0.25">
      <c r="A271" s="58">
        <f t="shared" si="9"/>
        <v>44541.99999999936</v>
      </c>
      <c r="B271" s="58">
        <f t="shared" si="8"/>
        <v>44542.041666666024</v>
      </c>
      <c r="C271" s="110">
        <f>GEServed!K267</f>
        <v>6</v>
      </c>
      <c r="D271" s="110"/>
    </row>
    <row r="272" spans="1:4" x14ac:dyDescent="0.25">
      <c r="A272" s="58">
        <f t="shared" si="9"/>
        <v>44542.041666666024</v>
      </c>
      <c r="B272" s="58">
        <f t="shared" si="8"/>
        <v>44542.083333332688</v>
      </c>
      <c r="C272" s="110">
        <f>GEServed!K268</f>
        <v>6</v>
      </c>
      <c r="D272" s="110"/>
    </row>
    <row r="273" spans="1:4" x14ac:dyDescent="0.25">
      <c r="A273" s="58">
        <f t="shared" si="9"/>
        <v>44542.083333332688</v>
      </c>
      <c r="B273" s="58">
        <f t="shared" si="8"/>
        <v>44542.124999999352</v>
      </c>
      <c r="C273" s="110">
        <f>GEServed!K269</f>
        <v>6</v>
      </c>
      <c r="D273" s="110"/>
    </row>
    <row r="274" spans="1:4" x14ac:dyDescent="0.25">
      <c r="A274" s="58">
        <f t="shared" si="9"/>
        <v>44542.124999999352</v>
      </c>
      <c r="B274" s="58">
        <f t="shared" si="8"/>
        <v>44542.166666666017</v>
      </c>
      <c r="C274" s="110">
        <f>GEServed!K270</f>
        <v>6</v>
      </c>
      <c r="D274" s="110"/>
    </row>
    <row r="275" spans="1:4" x14ac:dyDescent="0.25">
      <c r="A275" s="58">
        <f t="shared" si="9"/>
        <v>44542.166666666017</v>
      </c>
      <c r="B275" s="58">
        <f t="shared" si="8"/>
        <v>44542.208333332681</v>
      </c>
      <c r="C275" s="110">
        <f>GEServed!K271</f>
        <v>6</v>
      </c>
      <c r="D275" s="110"/>
    </row>
    <row r="276" spans="1:4" x14ac:dyDescent="0.25">
      <c r="A276" s="58">
        <f t="shared" si="9"/>
        <v>44542.208333332681</v>
      </c>
      <c r="B276" s="58">
        <f t="shared" si="8"/>
        <v>44542.249999999345</v>
      </c>
      <c r="C276" s="110">
        <f>GEServed!K272</f>
        <v>6</v>
      </c>
      <c r="D276" s="110"/>
    </row>
    <row r="277" spans="1:4" x14ac:dyDescent="0.25">
      <c r="A277" s="58">
        <f t="shared" si="9"/>
        <v>44542.249999999345</v>
      </c>
      <c r="B277" s="58">
        <f t="shared" si="8"/>
        <v>44542.291666666009</v>
      </c>
      <c r="C277" s="110">
        <f>GEServed!K273</f>
        <v>6</v>
      </c>
      <c r="D277" s="110"/>
    </row>
    <row r="278" spans="1:4" x14ac:dyDescent="0.25">
      <c r="A278" s="58">
        <f t="shared" si="9"/>
        <v>44542.291666666009</v>
      </c>
      <c r="B278" s="58">
        <f t="shared" si="8"/>
        <v>44542.333333332674</v>
      </c>
      <c r="C278" s="110">
        <f>GEServed!K274</f>
        <v>6</v>
      </c>
      <c r="D278" s="110"/>
    </row>
    <row r="279" spans="1:4" x14ac:dyDescent="0.25">
      <c r="A279" s="58">
        <f t="shared" si="9"/>
        <v>44542.333333332674</v>
      </c>
      <c r="B279" s="58">
        <f t="shared" si="8"/>
        <v>44542.374999999338</v>
      </c>
      <c r="C279" s="110">
        <f>GEServed!K275</f>
        <v>6</v>
      </c>
      <c r="D279" s="110"/>
    </row>
    <row r="280" spans="1:4" x14ac:dyDescent="0.25">
      <c r="A280" s="58">
        <f t="shared" si="9"/>
        <v>44542.374999999338</v>
      </c>
      <c r="B280" s="58">
        <f t="shared" si="8"/>
        <v>44542.416666666002</v>
      </c>
      <c r="C280" s="110">
        <f>GEServed!K276</f>
        <v>5</v>
      </c>
      <c r="D280" s="110"/>
    </row>
    <row r="281" spans="1:4" x14ac:dyDescent="0.25">
      <c r="A281" s="58">
        <f t="shared" si="9"/>
        <v>44542.416666666002</v>
      </c>
      <c r="B281" s="58">
        <f t="shared" si="8"/>
        <v>44542.458333332666</v>
      </c>
      <c r="C281" s="110">
        <f>GEServed!K277</f>
        <v>5</v>
      </c>
      <c r="D281" s="110"/>
    </row>
    <row r="282" spans="1:4" x14ac:dyDescent="0.25">
      <c r="A282" s="58">
        <f t="shared" si="9"/>
        <v>44542.458333332666</v>
      </c>
      <c r="B282" s="58">
        <f t="shared" si="8"/>
        <v>44542.499999999331</v>
      </c>
      <c r="C282" s="110">
        <f>GEServed!K278</f>
        <v>5</v>
      </c>
      <c r="D282" s="110"/>
    </row>
    <row r="283" spans="1:4" x14ac:dyDescent="0.25">
      <c r="A283" s="58">
        <f t="shared" si="9"/>
        <v>44542.499999999331</v>
      </c>
      <c r="B283" s="58">
        <f t="shared" si="8"/>
        <v>44542.541666665995</v>
      </c>
      <c r="C283" s="110">
        <f>GEServed!K279</f>
        <v>5</v>
      </c>
      <c r="D283" s="110"/>
    </row>
    <row r="284" spans="1:4" x14ac:dyDescent="0.25">
      <c r="A284" s="58">
        <f t="shared" si="9"/>
        <v>44542.541666665995</v>
      </c>
      <c r="B284" s="58">
        <f t="shared" si="8"/>
        <v>44542.583333332659</v>
      </c>
      <c r="C284" s="110">
        <f>GEServed!K280</f>
        <v>5</v>
      </c>
      <c r="D284" s="110"/>
    </row>
    <row r="285" spans="1:4" x14ac:dyDescent="0.25">
      <c r="A285" s="58">
        <f t="shared" si="9"/>
        <v>44542.583333332659</v>
      </c>
      <c r="B285" s="58">
        <f t="shared" si="8"/>
        <v>44542.624999999323</v>
      </c>
      <c r="C285" s="110">
        <f>GEServed!K281</f>
        <v>5</v>
      </c>
      <c r="D285" s="110"/>
    </row>
    <row r="286" spans="1:4" x14ac:dyDescent="0.25">
      <c r="A286" s="58">
        <f t="shared" si="9"/>
        <v>44542.624999999323</v>
      </c>
      <c r="B286" s="58">
        <f t="shared" si="8"/>
        <v>44542.666666665988</v>
      </c>
      <c r="C286" s="110">
        <f>GEServed!K282</f>
        <v>5</v>
      </c>
      <c r="D286" s="110"/>
    </row>
    <row r="287" spans="1:4" x14ac:dyDescent="0.25">
      <c r="A287" s="58">
        <f t="shared" si="9"/>
        <v>44542.666666665988</v>
      </c>
      <c r="B287" s="58">
        <f t="shared" si="8"/>
        <v>44542.708333332652</v>
      </c>
      <c r="C287" s="110">
        <f>GEServed!K283</f>
        <v>5</v>
      </c>
      <c r="D287" s="110"/>
    </row>
    <row r="288" spans="1:4" x14ac:dyDescent="0.25">
      <c r="A288" s="58">
        <f t="shared" si="9"/>
        <v>44542.708333332652</v>
      </c>
      <c r="B288" s="58">
        <f t="shared" si="8"/>
        <v>44542.749999999316</v>
      </c>
      <c r="C288" s="110">
        <f>GEServed!K284</f>
        <v>5</v>
      </c>
      <c r="D288" s="110"/>
    </row>
    <row r="289" spans="1:4" x14ac:dyDescent="0.25">
      <c r="A289" s="58">
        <f t="shared" si="9"/>
        <v>44542.749999999316</v>
      </c>
      <c r="B289" s="58">
        <f t="shared" si="8"/>
        <v>44542.79166666598</v>
      </c>
      <c r="C289" s="110">
        <f>GEServed!K285</f>
        <v>6</v>
      </c>
      <c r="D289" s="110"/>
    </row>
    <row r="290" spans="1:4" x14ac:dyDescent="0.25">
      <c r="A290" s="58">
        <f t="shared" si="9"/>
        <v>44542.79166666598</v>
      </c>
      <c r="B290" s="58">
        <f t="shared" si="8"/>
        <v>44542.833333332645</v>
      </c>
      <c r="C290" s="110">
        <f>GEServed!K286</f>
        <v>6</v>
      </c>
      <c r="D290" s="110"/>
    </row>
    <row r="291" spans="1:4" x14ac:dyDescent="0.25">
      <c r="A291" s="58">
        <f t="shared" si="9"/>
        <v>44542.833333332645</v>
      </c>
      <c r="B291" s="58">
        <f t="shared" si="8"/>
        <v>44542.874999999309</v>
      </c>
      <c r="C291" s="110">
        <f>GEServed!K287</f>
        <v>6</v>
      </c>
      <c r="D291" s="110"/>
    </row>
    <row r="292" spans="1:4" x14ac:dyDescent="0.25">
      <c r="A292" s="58">
        <f t="shared" si="9"/>
        <v>44542.874999999309</v>
      </c>
      <c r="B292" s="58">
        <f t="shared" si="8"/>
        <v>44542.916666665973</v>
      </c>
      <c r="C292" s="110">
        <f>GEServed!K288</f>
        <v>6</v>
      </c>
      <c r="D292" s="110"/>
    </row>
    <row r="293" spans="1:4" x14ac:dyDescent="0.25">
      <c r="A293" s="58">
        <f t="shared" si="9"/>
        <v>44542.916666665973</v>
      </c>
      <c r="B293" s="58">
        <f t="shared" si="8"/>
        <v>44542.958333332637</v>
      </c>
      <c r="C293" s="110">
        <f>GEServed!K289</f>
        <v>6</v>
      </c>
      <c r="D293" s="110"/>
    </row>
    <row r="294" spans="1:4" x14ac:dyDescent="0.25">
      <c r="A294" s="58">
        <f t="shared" si="9"/>
        <v>44542.958333332637</v>
      </c>
      <c r="B294" s="58">
        <f t="shared" si="8"/>
        <v>44542.999999999302</v>
      </c>
      <c r="C294" s="110">
        <f>GEServed!K290</f>
        <v>5</v>
      </c>
      <c r="D294" s="110"/>
    </row>
    <row r="295" spans="1:4" x14ac:dyDescent="0.25">
      <c r="A295" s="58">
        <f t="shared" si="9"/>
        <v>44542.999999999302</v>
      </c>
      <c r="B295" s="58">
        <f t="shared" si="8"/>
        <v>44543.041666665966</v>
      </c>
      <c r="C295" s="110">
        <f>GEServed!K291</f>
        <v>6</v>
      </c>
      <c r="D295" s="110"/>
    </row>
    <row r="296" spans="1:4" x14ac:dyDescent="0.25">
      <c r="A296" s="58">
        <f t="shared" si="9"/>
        <v>44543.041666665966</v>
      </c>
      <c r="B296" s="58">
        <f t="shared" si="8"/>
        <v>44543.08333333263</v>
      </c>
      <c r="C296" s="110">
        <f>GEServed!K292</f>
        <v>6</v>
      </c>
      <c r="D296" s="110"/>
    </row>
    <row r="297" spans="1:4" x14ac:dyDescent="0.25">
      <c r="A297" s="58">
        <f t="shared" si="9"/>
        <v>44543.08333333263</v>
      </c>
      <c r="B297" s="58">
        <f t="shared" si="8"/>
        <v>44543.124999999294</v>
      </c>
      <c r="C297" s="110">
        <f>GEServed!K293</f>
        <v>6</v>
      </c>
      <c r="D297" s="110"/>
    </row>
    <row r="298" spans="1:4" x14ac:dyDescent="0.25">
      <c r="A298" s="58">
        <f t="shared" si="9"/>
        <v>44543.124999999294</v>
      </c>
      <c r="B298" s="58">
        <f t="shared" si="8"/>
        <v>44543.166666665958</v>
      </c>
      <c r="C298" s="110">
        <f>GEServed!K294</f>
        <v>6</v>
      </c>
      <c r="D298" s="110"/>
    </row>
    <row r="299" spans="1:4" x14ac:dyDescent="0.25">
      <c r="A299" s="58">
        <f t="shared" si="9"/>
        <v>44543.166666665958</v>
      </c>
      <c r="B299" s="58">
        <f t="shared" si="8"/>
        <v>44543.208333332623</v>
      </c>
      <c r="C299" s="110">
        <f>GEServed!K295</f>
        <v>6</v>
      </c>
      <c r="D299" s="110"/>
    </row>
    <row r="300" spans="1:4" x14ac:dyDescent="0.25">
      <c r="A300" s="58">
        <f t="shared" si="9"/>
        <v>44543.208333332623</v>
      </c>
      <c r="B300" s="58">
        <f t="shared" si="8"/>
        <v>44543.249999999287</v>
      </c>
      <c r="C300" s="110">
        <f>GEServed!K296</f>
        <v>6</v>
      </c>
      <c r="D300" s="110"/>
    </row>
    <row r="301" spans="1:4" x14ac:dyDescent="0.25">
      <c r="A301" s="58">
        <f t="shared" si="9"/>
        <v>44543.249999999287</v>
      </c>
      <c r="B301" s="58">
        <f t="shared" si="8"/>
        <v>44543.291666665951</v>
      </c>
      <c r="C301" s="110">
        <f>GEServed!K297</f>
        <v>6</v>
      </c>
      <c r="D301" s="110"/>
    </row>
    <row r="302" spans="1:4" x14ac:dyDescent="0.25">
      <c r="A302" s="58">
        <f t="shared" si="9"/>
        <v>44543.291666665951</v>
      </c>
      <c r="B302" s="58">
        <f t="shared" si="8"/>
        <v>44543.333333332615</v>
      </c>
      <c r="C302" s="110">
        <f>GEServed!K298</f>
        <v>6</v>
      </c>
      <c r="D302" s="110"/>
    </row>
    <row r="303" spans="1:4" x14ac:dyDescent="0.25">
      <c r="A303" s="58">
        <f t="shared" si="9"/>
        <v>44543.333333332615</v>
      </c>
      <c r="B303" s="58">
        <f t="shared" si="8"/>
        <v>44543.37499999928</v>
      </c>
      <c r="C303" s="110">
        <f>GEServed!K299</f>
        <v>6</v>
      </c>
      <c r="D303" s="110"/>
    </row>
    <row r="304" spans="1:4" x14ac:dyDescent="0.25">
      <c r="A304" s="58">
        <f t="shared" si="9"/>
        <v>44543.37499999928</v>
      </c>
      <c r="B304" s="58">
        <f t="shared" si="8"/>
        <v>44543.416666665944</v>
      </c>
      <c r="C304" s="110">
        <f>GEServed!K300</f>
        <v>5</v>
      </c>
      <c r="D304" s="110"/>
    </row>
    <row r="305" spans="1:4" x14ac:dyDescent="0.25">
      <c r="A305" s="58">
        <f t="shared" si="9"/>
        <v>44543.416666665944</v>
      </c>
      <c r="B305" s="58">
        <f t="shared" si="8"/>
        <v>44543.458333332608</v>
      </c>
      <c r="C305" s="110">
        <f>GEServed!K301</f>
        <v>5</v>
      </c>
      <c r="D305" s="110"/>
    </row>
    <row r="306" spans="1:4" x14ac:dyDescent="0.25">
      <c r="A306" s="58">
        <f t="shared" si="9"/>
        <v>44543.458333332608</v>
      </c>
      <c r="B306" s="58">
        <f t="shared" si="8"/>
        <v>44543.499999999272</v>
      </c>
      <c r="C306" s="110">
        <f>GEServed!K302</f>
        <v>5</v>
      </c>
      <c r="D306" s="110"/>
    </row>
    <row r="307" spans="1:4" x14ac:dyDescent="0.25">
      <c r="A307" s="58">
        <f t="shared" si="9"/>
        <v>44543.499999999272</v>
      </c>
      <c r="B307" s="58">
        <f t="shared" si="8"/>
        <v>44543.541666665937</v>
      </c>
      <c r="C307" s="110">
        <f>GEServed!K303</f>
        <v>5</v>
      </c>
      <c r="D307" s="110"/>
    </row>
    <row r="308" spans="1:4" x14ac:dyDescent="0.25">
      <c r="A308" s="58">
        <f t="shared" si="9"/>
        <v>44543.541666665937</v>
      </c>
      <c r="B308" s="58">
        <f t="shared" si="8"/>
        <v>44543.583333332601</v>
      </c>
      <c r="C308" s="110">
        <f>GEServed!K304</f>
        <v>5</v>
      </c>
      <c r="D308" s="110"/>
    </row>
    <row r="309" spans="1:4" x14ac:dyDescent="0.25">
      <c r="A309" s="58">
        <f t="shared" si="9"/>
        <v>44543.583333332601</v>
      </c>
      <c r="B309" s="58">
        <f t="shared" si="8"/>
        <v>44543.624999999265</v>
      </c>
      <c r="C309" s="110">
        <f>GEServed!K305</f>
        <v>5</v>
      </c>
      <c r="D309" s="110"/>
    </row>
    <row r="310" spans="1:4" x14ac:dyDescent="0.25">
      <c r="A310" s="58">
        <f t="shared" si="9"/>
        <v>44543.624999999265</v>
      </c>
      <c r="B310" s="58">
        <f t="shared" si="8"/>
        <v>44543.666666665929</v>
      </c>
      <c r="C310" s="110">
        <f>GEServed!K306</f>
        <v>5</v>
      </c>
      <c r="D310" s="110"/>
    </row>
    <row r="311" spans="1:4" x14ac:dyDescent="0.25">
      <c r="A311" s="58">
        <f t="shared" si="9"/>
        <v>44543.666666665929</v>
      </c>
      <c r="B311" s="58">
        <f t="shared" si="8"/>
        <v>44543.708333332594</v>
      </c>
      <c r="C311" s="110">
        <f>GEServed!K307</f>
        <v>5</v>
      </c>
      <c r="D311" s="110"/>
    </row>
    <row r="312" spans="1:4" x14ac:dyDescent="0.25">
      <c r="A312" s="58">
        <f t="shared" si="9"/>
        <v>44543.708333332594</v>
      </c>
      <c r="B312" s="58">
        <f t="shared" si="8"/>
        <v>44543.749999999258</v>
      </c>
      <c r="C312" s="110">
        <f>GEServed!K308</f>
        <v>5</v>
      </c>
      <c r="D312" s="110"/>
    </row>
    <row r="313" spans="1:4" x14ac:dyDescent="0.25">
      <c r="A313" s="58">
        <f t="shared" si="9"/>
        <v>44543.749999999258</v>
      </c>
      <c r="B313" s="58">
        <f t="shared" si="8"/>
        <v>44543.791666665922</v>
      </c>
      <c r="C313" s="110">
        <f>GEServed!K309</f>
        <v>6</v>
      </c>
      <c r="D313" s="110"/>
    </row>
    <row r="314" spans="1:4" x14ac:dyDescent="0.25">
      <c r="A314" s="58">
        <f t="shared" si="9"/>
        <v>44543.791666665922</v>
      </c>
      <c r="B314" s="58">
        <f t="shared" si="8"/>
        <v>44543.833333332586</v>
      </c>
      <c r="C314" s="110">
        <f>GEServed!K310</f>
        <v>6</v>
      </c>
      <c r="D314" s="110"/>
    </row>
    <row r="315" spans="1:4" x14ac:dyDescent="0.25">
      <c r="A315" s="58">
        <f t="shared" si="9"/>
        <v>44543.833333332586</v>
      </c>
      <c r="B315" s="58">
        <f t="shared" si="8"/>
        <v>44543.874999999251</v>
      </c>
      <c r="C315" s="110">
        <f>GEServed!K311</f>
        <v>6</v>
      </c>
      <c r="D315" s="110"/>
    </row>
    <row r="316" spans="1:4" x14ac:dyDescent="0.25">
      <c r="A316" s="58">
        <f t="shared" si="9"/>
        <v>44543.874999999251</v>
      </c>
      <c r="B316" s="58">
        <f t="shared" si="8"/>
        <v>44543.916666665915</v>
      </c>
      <c r="C316" s="110">
        <f>GEServed!K312</f>
        <v>6</v>
      </c>
      <c r="D316" s="110"/>
    </row>
    <row r="317" spans="1:4" x14ac:dyDescent="0.25">
      <c r="A317" s="58">
        <f t="shared" si="9"/>
        <v>44543.916666665915</v>
      </c>
      <c r="B317" s="58">
        <f t="shared" si="8"/>
        <v>44543.958333332579</v>
      </c>
      <c r="C317" s="110">
        <f>GEServed!K313</f>
        <v>6</v>
      </c>
      <c r="D317" s="110"/>
    </row>
    <row r="318" spans="1:4" x14ac:dyDescent="0.25">
      <c r="A318" s="58">
        <f t="shared" si="9"/>
        <v>44543.958333332579</v>
      </c>
      <c r="B318" s="58">
        <f t="shared" si="8"/>
        <v>44543.999999999243</v>
      </c>
      <c r="C318" s="110">
        <f>GEServed!K314</f>
        <v>5</v>
      </c>
      <c r="D318" s="110"/>
    </row>
    <row r="319" spans="1:4" x14ac:dyDescent="0.25">
      <c r="A319" s="58">
        <f t="shared" si="9"/>
        <v>44543.999999999243</v>
      </c>
      <c r="B319" s="58">
        <f t="shared" si="8"/>
        <v>44544.041666665908</v>
      </c>
      <c r="C319" s="110">
        <f>GEServed!K315</f>
        <v>6</v>
      </c>
      <c r="D319" s="110"/>
    </row>
    <row r="320" spans="1:4" x14ac:dyDescent="0.25">
      <c r="A320" s="58">
        <f t="shared" si="9"/>
        <v>44544.041666665908</v>
      </c>
      <c r="B320" s="58">
        <f t="shared" si="8"/>
        <v>44544.083333332572</v>
      </c>
      <c r="C320" s="110">
        <f>GEServed!K316</f>
        <v>6</v>
      </c>
      <c r="D320" s="110"/>
    </row>
    <row r="321" spans="1:4" x14ac:dyDescent="0.25">
      <c r="A321" s="58">
        <f t="shared" si="9"/>
        <v>44544.083333332572</v>
      </c>
      <c r="B321" s="58">
        <f t="shared" si="8"/>
        <v>44544.124999999236</v>
      </c>
      <c r="C321" s="110">
        <f>GEServed!K317</f>
        <v>6</v>
      </c>
      <c r="D321" s="110"/>
    </row>
    <row r="322" spans="1:4" x14ac:dyDescent="0.25">
      <c r="A322" s="58">
        <f t="shared" si="9"/>
        <v>44544.124999999236</v>
      </c>
      <c r="B322" s="58">
        <f t="shared" si="8"/>
        <v>44544.1666666659</v>
      </c>
      <c r="C322" s="110">
        <f>GEServed!K318</f>
        <v>6</v>
      </c>
      <c r="D322" s="110"/>
    </row>
    <row r="323" spans="1:4" x14ac:dyDescent="0.25">
      <c r="A323" s="58">
        <f t="shared" si="9"/>
        <v>44544.1666666659</v>
      </c>
      <c r="B323" s="58">
        <f t="shared" si="8"/>
        <v>44544.208333332565</v>
      </c>
      <c r="C323" s="110">
        <f>GEServed!K319</f>
        <v>6</v>
      </c>
      <c r="D323" s="110"/>
    </row>
    <row r="324" spans="1:4" x14ac:dyDescent="0.25">
      <c r="A324" s="58">
        <f t="shared" si="9"/>
        <v>44544.208333332565</v>
      </c>
      <c r="B324" s="58">
        <f t="shared" si="8"/>
        <v>44544.249999999229</v>
      </c>
      <c r="C324" s="110">
        <f>GEServed!K320</f>
        <v>6</v>
      </c>
      <c r="D324" s="110"/>
    </row>
    <row r="325" spans="1:4" x14ac:dyDescent="0.25">
      <c r="A325" s="58">
        <f t="shared" si="9"/>
        <v>44544.249999999229</v>
      </c>
      <c r="B325" s="58">
        <f t="shared" si="8"/>
        <v>44544.291666665893</v>
      </c>
      <c r="C325" s="110">
        <f>GEServed!K321</f>
        <v>6</v>
      </c>
      <c r="D325" s="110"/>
    </row>
    <row r="326" spans="1:4" x14ac:dyDescent="0.25">
      <c r="A326" s="58">
        <f t="shared" si="9"/>
        <v>44544.291666665893</v>
      </c>
      <c r="B326" s="58">
        <f t="shared" si="8"/>
        <v>44544.333333332557</v>
      </c>
      <c r="C326" s="110">
        <f>GEServed!K322</f>
        <v>4</v>
      </c>
      <c r="D326" s="110"/>
    </row>
    <row r="327" spans="1:4" x14ac:dyDescent="0.25">
      <c r="A327" s="58">
        <f t="shared" si="9"/>
        <v>44544.333333332557</v>
      </c>
      <c r="B327" s="58">
        <f t="shared" si="8"/>
        <v>44544.374999999221</v>
      </c>
      <c r="C327" s="110">
        <f>GEServed!K323</f>
        <v>6</v>
      </c>
      <c r="D327" s="110"/>
    </row>
    <row r="328" spans="1:4" x14ac:dyDescent="0.25">
      <c r="A328" s="58">
        <f t="shared" si="9"/>
        <v>44544.374999999221</v>
      </c>
      <c r="B328" s="58">
        <f t="shared" ref="B328:B391" si="10">$A328+1/24</f>
        <v>44544.416666665886</v>
      </c>
      <c r="C328" s="110">
        <f>GEServed!K324</f>
        <v>5</v>
      </c>
      <c r="D328" s="110"/>
    </row>
    <row r="329" spans="1:4" x14ac:dyDescent="0.25">
      <c r="A329" s="58">
        <f t="shared" ref="A329:A392" si="11">$A328+1/24</f>
        <v>44544.416666665886</v>
      </c>
      <c r="B329" s="58">
        <f t="shared" si="10"/>
        <v>44544.45833333255</v>
      </c>
      <c r="C329" s="110">
        <f>GEServed!K325</f>
        <v>5</v>
      </c>
      <c r="D329" s="110"/>
    </row>
    <row r="330" spans="1:4" x14ac:dyDescent="0.25">
      <c r="A330" s="58">
        <f t="shared" si="11"/>
        <v>44544.45833333255</v>
      </c>
      <c r="B330" s="58">
        <f t="shared" si="10"/>
        <v>44544.499999999214</v>
      </c>
      <c r="C330" s="110">
        <f>GEServed!K326</f>
        <v>5</v>
      </c>
      <c r="D330" s="110"/>
    </row>
    <row r="331" spans="1:4" x14ac:dyDescent="0.25">
      <c r="A331" s="58">
        <f t="shared" si="11"/>
        <v>44544.499999999214</v>
      </c>
      <c r="B331" s="58">
        <f t="shared" si="10"/>
        <v>44544.541666665878</v>
      </c>
      <c r="C331" s="110">
        <f>GEServed!K327</f>
        <v>5</v>
      </c>
      <c r="D331" s="110"/>
    </row>
    <row r="332" spans="1:4" x14ac:dyDescent="0.25">
      <c r="A332" s="58">
        <f t="shared" si="11"/>
        <v>44544.541666665878</v>
      </c>
      <c r="B332" s="58">
        <f t="shared" si="10"/>
        <v>44544.583333332543</v>
      </c>
      <c r="C332" s="110">
        <f>GEServed!K328</f>
        <v>5</v>
      </c>
      <c r="D332" s="110"/>
    </row>
    <row r="333" spans="1:4" x14ac:dyDescent="0.25">
      <c r="A333" s="58">
        <f t="shared" si="11"/>
        <v>44544.583333332543</v>
      </c>
      <c r="B333" s="58">
        <f t="shared" si="10"/>
        <v>44544.624999999207</v>
      </c>
      <c r="C333" s="110">
        <f>GEServed!K329</f>
        <v>5</v>
      </c>
      <c r="D333" s="110"/>
    </row>
    <row r="334" spans="1:4" x14ac:dyDescent="0.25">
      <c r="A334" s="58">
        <f t="shared" si="11"/>
        <v>44544.624999999207</v>
      </c>
      <c r="B334" s="58">
        <f t="shared" si="10"/>
        <v>44544.666666665871</v>
      </c>
      <c r="C334" s="110">
        <f>GEServed!K330</f>
        <v>5</v>
      </c>
      <c r="D334" s="110"/>
    </row>
    <row r="335" spans="1:4" x14ac:dyDescent="0.25">
      <c r="A335" s="58">
        <f t="shared" si="11"/>
        <v>44544.666666665871</v>
      </c>
      <c r="B335" s="58">
        <f t="shared" si="10"/>
        <v>44544.708333332535</v>
      </c>
      <c r="C335" s="110">
        <f>GEServed!K331</f>
        <v>5</v>
      </c>
      <c r="D335" s="110"/>
    </row>
    <row r="336" spans="1:4" x14ac:dyDescent="0.25">
      <c r="A336" s="58">
        <f t="shared" si="11"/>
        <v>44544.708333332535</v>
      </c>
      <c r="B336" s="58">
        <f t="shared" si="10"/>
        <v>44544.7499999992</v>
      </c>
      <c r="C336" s="110">
        <f>GEServed!K332</f>
        <v>5</v>
      </c>
      <c r="D336" s="110"/>
    </row>
    <row r="337" spans="1:4" x14ac:dyDescent="0.25">
      <c r="A337" s="58">
        <f t="shared" si="11"/>
        <v>44544.7499999992</v>
      </c>
      <c r="B337" s="58">
        <f t="shared" si="10"/>
        <v>44544.791666665864</v>
      </c>
      <c r="C337" s="110">
        <f>GEServed!K333</f>
        <v>6</v>
      </c>
      <c r="D337" s="110"/>
    </row>
    <row r="338" spans="1:4" x14ac:dyDescent="0.25">
      <c r="A338" s="58">
        <f t="shared" si="11"/>
        <v>44544.791666665864</v>
      </c>
      <c r="B338" s="58">
        <f t="shared" si="10"/>
        <v>44544.833333332528</v>
      </c>
      <c r="C338" s="110">
        <f>GEServed!K334</f>
        <v>6</v>
      </c>
      <c r="D338" s="110"/>
    </row>
    <row r="339" spans="1:4" x14ac:dyDescent="0.25">
      <c r="A339" s="58">
        <f t="shared" si="11"/>
        <v>44544.833333332528</v>
      </c>
      <c r="B339" s="58">
        <f t="shared" si="10"/>
        <v>44544.874999999192</v>
      </c>
      <c r="C339" s="110">
        <f>GEServed!K335</f>
        <v>6</v>
      </c>
      <c r="D339" s="110"/>
    </row>
    <row r="340" spans="1:4" x14ac:dyDescent="0.25">
      <c r="A340" s="58">
        <f t="shared" si="11"/>
        <v>44544.874999999192</v>
      </c>
      <c r="B340" s="58">
        <f t="shared" si="10"/>
        <v>44544.916666665857</v>
      </c>
      <c r="C340" s="110">
        <f>GEServed!K336</f>
        <v>6</v>
      </c>
      <c r="D340" s="110"/>
    </row>
    <row r="341" spans="1:4" x14ac:dyDescent="0.25">
      <c r="A341" s="58">
        <f t="shared" si="11"/>
        <v>44544.916666665857</v>
      </c>
      <c r="B341" s="58">
        <f t="shared" si="10"/>
        <v>44544.958333332521</v>
      </c>
      <c r="C341" s="110">
        <f>GEServed!K337</f>
        <v>6</v>
      </c>
      <c r="D341" s="110"/>
    </row>
    <row r="342" spans="1:4" x14ac:dyDescent="0.25">
      <c r="A342" s="58">
        <f t="shared" si="11"/>
        <v>44544.958333332521</v>
      </c>
      <c r="B342" s="58">
        <f t="shared" si="10"/>
        <v>44544.999999999185</v>
      </c>
      <c r="C342" s="110">
        <f>GEServed!K338</f>
        <v>5</v>
      </c>
      <c r="D342" s="110"/>
    </row>
    <row r="343" spans="1:4" x14ac:dyDescent="0.25">
      <c r="A343" s="58">
        <f t="shared" si="11"/>
        <v>44544.999999999185</v>
      </c>
      <c r="B343" s="58">
        <f t="shared" si="10"/>
        <v>44545.041666665849</v>
      </c>
      <c r="C343" s="110">
        <f>GEServed!K339</f>
        <v>6</v>
      </c>
      <c r="D343" s="110"/>
    </row>
    <row r="344" spans="1:4" x14ac:dyDescent="0.25">
      <c r="A344" s="58">
        <f t="shared" si="11"/>
        <v>44545.041666665849</v>
      </c>
      <c r="B344" s="58">
        <f t="shared" si="10"/>
        <v>44545.083333332514</v>
      </c>
      <c r="C344" s="110">
        <f>GEServed!K340</f>
        <v>6</v>
      </c>
      <c r="D344" s="110"/>
    </row>
    <row r="345" spans="1:4" x14ac:dyDescent="0.25">
      <c r="A345" s="58">
        <f t="shared" si="11"/>
        <v>44545.083333332514</v>
      </c>
      <c r="B345" s="58">
        <f t="shared" si="10"/>
        <v>44545.124999999178</v>
      </c>
      <c r="C345" s="110">
        <f>GEServed!K341</f>
        <v>6</v>
      </c>
      <c r="D345" s="110"/>
    </row>
    <row r="346" spans="1:4" x14ac:dyDescent="0.25">
      <c r="A346" s="58">
        <f t="shared" si="11"/>
        <v>44545.124999999178</v>
      </c>
      <c r="B346" s="58">
        <f t="shared" si="10"/>
        <v>44545.166666665842</v>
      </c>
      <c r="C346" s="110">
        <f>GEServed!K342</f>
        <v>5</v>
      </c>
      <c r="D346" s="110"/>
    </row>
    <row r="347" spans="1:4" x14ac:dyDescent="0.25">
      <c r="A347" s="58">
        <f t="shared" si="11"/>
        <v>44545.166666665842</v>
      </c>
      <c r="B347" s="58">
        <f t="shared" si="10"/>
        <v>44545.208333332506</v>
      </c>
      <c r="C347" s="110">
        <f>GEServed!K343</f>
        <v>5</v>
      </c>
      <c r="D347" s="110"/>
    </row>
    <row r="348" spans="1:4" x14ac:dyDescent="0.25">
      <c r="A348" s="58">
        <f t="shared" si="11"/>
        <v>44545.208333332506</v>
      </c>
      <c r="B348" s="58">
        <f t="shared" si="10"/>
        <v>44545.249999999171</v>
      </c>
      <c r="C348" s="110">
        <f>GEServed!K344</f>
        <v>5</v>
      </c>
      <c r="D348" s="110"/>
    </row>
    <row r="349" spans="1:4" x14ac:dyDescent="0.25">
      <c r="A349" s="58">
        <f t="shared" si="11"/>
        <v>44545.249999999171</v>
      </c>
      <c r="B349" s="58">
        <f t="shared" si="10"/>
        <v>44545.291666665835</v>
      </c>
      <c r="C349" s="110">
        <f>GEServed!K345</f>
        <v>5</v>
      </c>
      <c r="D349" s="110"/>
    </row>
    <row r="350" spans="1:4" x14ac:dyDescent="0.25">
      <c r="A350" s="58">
        <f t="shared" si="11"/>
        <v>44545.291666665835</v>
      </c>
      <c r="B350" s="58">
        <f t="shared" si="10"/>
        <v>44545.333333332499</v>
      </c>
      <c r="C350" s="110">
        <f>GEServed!K346</f>
        <v>5</v>
      </c>
      <c r="D350" s="110"/>
    </row>
    <row r="351" spans="1:4" x14ac:dyDescent="0.25">
      <c r="A351" s="58">
        <f t="shared" si="11"/>
        <v>44545.333333332499</v>
      </c>
      <c r="B351" s="58">
        <f t="shared" si="10"/>
        <v>44545.374999999163</v>
      </c>
      <c r="C351" s="110">
        <f>GEServed!K347</f>
        <v>6</v>
      </c>
      <c r="D351" s="110"/>
    </row>
    <row r="352" spans="1:4" x14ac:dyDescent="0.25">
      <c r="A352" s="58">
        <f t="shared" si="11"/>
        <v>44545.374999999163</v>
      </c>
      <c r="B352" s="58">
        <f t="shared" si="10"/>
        <v>44545.416666665828</v>
      </c>
      <c r="C352" s="110">
        <f>GEServed!K348</f>
        <v>5</v>
      </c>
      <c r="D352" s="110"/>
    </row>
    <row r="353" spans="1:4" x14ac:dyDescent="0.25">
      <c r="A353" s="58">
        <f t="shared" si="11"/>
        <v>44545.416666665828</v>
      </c>
      <c r="B353" s="58">
        <f t="shared" si="10"/>
        <v>44545.458333332492</v>
      </c>
      <c r="C353" s="110">
        <f>GEServed!K349</f>
        <v>5</v>
      </c>
      <c r="D353" s="110"/>
    </row>
    <row r="354" spans="1:4" x14ac:dyDescent="0.25">
      <c r="A354" s="58">
        <f t="shared" si="11"/>
        <v>44545.458333332492</v>
      </c>
      <c r="B354" s="58">
        <f t="shared" si="10"/>
        <v>44545.499999999156</v>
      </c>
      <c r="C354" s="110">
        <f>GEServed!K350</f>
        <v>5</v>
      </c>
      <c r="D354" s="110"/>
    </row>
    <row r="355" spans="1:4" x14ac:dyDescent="0.25">
      <c r="A355" s="58">
        <f t="shared" si="11"/>
        <v>44545.499999999156</v>
      </c>
      <c r="B355" s="58">
        <f t="shared" si="10"/>
        <v>44545.54166666582</v>
      </c>
      <c r="C355" s="110">
        <f>GEServed!K351</f>
        <v>5</v>
      </c>
      <c r="D355" s="110"/>
    </row>
    <row r="356" spans="1:4" x14ac:dyDescent="0.25">
      <c r="A356" s="58">
        <f t="shared" si="11"/>
        <v>44545.54166666582</v>
      </c>
      <c r="B356" s="58">
        <f t="shared" si="10"/>
        <v>44545.583333332484</v>
      </c>
      <c r="C356" s="110">
        <f>GEServed!K352</f>
        <v>5</v>
      </c>
      <c r="D356" s="110"/>
    </row>
    <row r="357" spans="1:4" x14ac:dyDescent="0.25">
      <c r="A357" s="58">
        <f t="shared" si="11"/>
        <v>44545.583333332484</v>
      </c>
      <c r="B357" s="58">
        <f t="shared" si="10"/>
        <v>44545.624999999149</v>
      </c>
      <c r="C357" s="110">
        <f>GEServed!K353</f>
        <v>5</v>
      </c>
      <c r="D357" s="110"/>
    </row>
    <row r="358" spans="1:4" x14ac:dyDescent="0.25">
      <c r="A358" s="58">
        <f t="shared" si="11"/>
        <v>44545.624999999149</v>
      </c>
      <c r="B358" s="58">
        <f t="shared" si="10"/>
        <v>44545.666666665813</v>
      </c>
      <c r="C358" s="110">
        <f>GEServed!K354</f>
        <v>5</v>
      </c>
      <c r="D358" s="110"/>
    </row>
    <row r="359" spans="1:4" x14ac:dyDescent="0.25">
      <c r="A359" s="58">
        <f t="shared" si="11"/>
        <v>44545.666666665813</v>
      </c>
      <c r="B359" s="58">
        <f t="shared" si="10"/>
        <v>44545.708333332477</v>
      </c>
      <c r="C359" s="110">
        <f>GEServed!K355</f>
        <v>5</v>
      </c>
      <c r="D359" s="110"/>
    </row>
    <row r="360" spans="1:4" x14ac:dyDescent="0.25">
      <c r="A360" s="58">
        <f t="shared" si="11"/>
        <v>44545.708333332477</v>
      </c>
      <c r="B360" s="58">
        <f t="shared" si="10"/>
        <v>44545.749999999141</v>
      </c>
      <c r="C360" s="110">
        <f>GEServed!K356</f>
        <v>5</v>
      </c>
      <c r="D360" s="110"/>
    </row>
    <row r="361" spans="1:4" x14ac:dyDescent="0.25">
      <c r="A361" s="58">
        <f t="shared" si="11"/>
        <v>44545.749999999141</v>
      </c>
      <c r="B361" s="58">
        <f t="shared" si="10"/>
        <v>44545.791666665806</v>
      </c>
      <c r="C361" s="110">
        <f>GEServed!K357</f>
        <v>6</v>
      </c>
      <c r="D361" s="110"/>
    </row>
    <row r="362" spans="1:4" x14ac:dyDescent="0.25">
      <c r="A362" s="58">
        <f t="shared" si="11"/>
        <v>44545.791666665806</v>
      </c>
      <c r="B362" s="58">
        <f t="shared" si="10"/>
        <v>44545.83333333247</v>
      </c>
      <c r="C362" s="110">
        <f>GEServed!K358</f>
        <v>6</v>
      </c>
      <c r="D362" s="110"/>
    </row>
    <row r="363" spans="1:4" x14ac:dyDescent="0.25">
      <c r="A363" s="58">
        <f t="shared" si="11"/>
        <v>44545.83333333247</v>
      </c>
      <c r="B363" s="58">
        <f t="shared" si="10"/>
        <v>44545.874999999134</v>
      </c>
      <c r="C363" s="110">
        <f>GEServed!K359</f>
        <v>6</v>
      </c>
      <c r="D363" s="110"/>
    </row>
    <row r="364" spans="1:4" x14ac:dyDescent="0.25">
      <c r="A364" s="58">
        <f t="shared" si="11"/>
        <v>44545.874999999134</v>
      </c>
      <c r="B364" s="58">
        <f t="shared" si="10"/>
        <v>44545.916666665798</v>
      </c>
      <c r="C364" s="110">
        <f>GEServed!K360</f>
        <v>6</v>
      </c>
      <c r="D364" s="110"/>
    </row>
    <row r="365" spans="1:4" x14ac:dyDescent="0.25">
      <c r="A365" s="58">
        <f t="shared" si="11"/>
        <v>44545.916666665798</v>
      </c>
      <c r="B365" s="58">
        <f t="shared" si="10"/>
        <v>44545.958333332463</v>
      </c>
      <c r="C365" s="110">
        <f>GEServed!K361</f>
        <v>6</v>
      </c>
      <c r="D365" s="110"/>
    </row>
    <row r="366" spans="1:4" x14ac:dyDescent="0.25">
      <c r="A366" s="58">
        <f t="shared" si="11"/>
        <v>44545.958333332463</v>
      </c>
      <c r="B366" s="58">
        <f t="shared" si="10"/>
        <v>44545.999999999127</v>
      </c>
      <c r="C366" s="110">
        <f>GEServed!K362</f>
        <v>5</v>
      </c>
      <c r="D366" s="110"/>
    </row>
    <row r="367" spans="1:4" x14ac:dyDescent="0.25">
      <c r="A367" s="58">
        <f t="shared" si="11"/>
        <v>44545.999999999127</v>
      </c>
      <c r="B367" s="58">
        <f t="shared" si="10"/>
        <v>44546.041666665791</v>
      </c>
      <c r="C367" s="110">
        <f>GEServed!K363</f>
        <v>6</v>
      </c>
      <c r="D367" s="110"/>
    </row>
    <row r="368" spans="1:4" x14ac:dyDescent="0.25">
      <c r="A368" s="58">
        <f t="shared" si="11"/>
        <v>44546.041666665791</v>
      </c>
      <c r="B368" s="58">
        <f t="shared" si="10"/>
        <v>44546.083333332455</v>
      </c>
      <c r="C368" s="110">
        <f>GEServed!K364</f>
        <v>6</v>
      </c>
      <c r="D368" s="110"/>
    </row>
    <row r="369" spans="1:4" x14ac:dyDescent="0.25">
      <c r="A369" s="58">
        <f t="shared" si="11"/>
        <v>44546.083333332455</v>
      </c>
      <c r="B369" s="58">
        <f t="shared" si="10"/>
        <v>44546.12499999912</v>
      </c>
      <c r="C369" s="110">
        <f>GEServed!K365</f>
        <v>6</v>
      </c>
      <c r="D369" s="110"/>
    </row>
    <row r="370" spans="1:4" x14ac:dyDescent="0.25">
      <c r="A370" s="58">
        <f t="shared" si="11"/>
        <v>44546.12499999912</v>
      </c>
      <c r="B370" s="58">
        <f t="shared" si="10"/>
        <v>44546.166666665784</v>
      </c>
      <c r="C370" s="110">
        <f>GEServed!K366</f>
        <v>6</v>
      </c>
      <c r="D370" s="110"/>
    </row>
    <row r="371" spans="1:4" x14ac:dyDescent="0.25">
      <c r="A371" s="58">
        <f t="shared" si="11"/>
        <v>44546.166666665784</v>
      </c>
      <c r="B371" s="58">
        <f t="shared" si="10"/>
        <v>44546.208333332448</v>
      </c>
      <c r="C371" s="110">
        <f>GEServed!K367</f>
        <v>6</v>
      </c>
      <c r="D371" s="110"/>
    </row>
    <row r="372" spans="1:4" x14ac:dyDescent="0.25">
      <c r="A372" s="58">
        <f t="shared" si="11"/>
        <v>44546.208333332448</v>
      </c>
      <c r="B372" s="58">
        <f t="shared" si="10"/>
        <v>44546.249999999112</v>
      </c>
      <c r="C372" s="110">
        <f>GEServed!K368</f>
        <v>6</v>
      </c>
      <c r="D372" s="110"/>
    </row>
    <row r="373" spans="1:4" x14ac:dyDescent="0.25">
      <c r="A373" s="58">
        <f t="shared" si="11"/>
        <v>44546.249999999112</v>
      </c>
      <c r="B373" s="58">
        <f t="shared" si="10"/>
        <v>44546.291666665777</v>
      </c>
      <c r="C373" s="110">
        <f>GEServed!K369</f>
        <v>6</v>
      </c>
      <c r="D373" s="110"/>
    </row>
    <row r="374" spans="1:4" x14ac:dyDescent="0.25">
      <c r="A374" s="58">
        <f t="shared" si="11"/>
        <v>44546.291666665777</v>
      </c>
      <c r="B374" s="58">
        <f t="shared" si="10"/>
        <v>44546.333333332441</v>
      </c>
      <c r="C374" s="110">
        <f>GEServed!K370</f>
        <v>6</v>
      </c>
      <c r="D374" s="110"/>
    </row>
    <row r="375" spans="1:4" x14ac:dyDescent="0.25">
      <c r="A375" s="58">
        <f t="shared" si="11"/>
        <v>44546.333333332441</v>
      </c>
      <c r="B375" s="58">
        <f t="shared" si="10"/>
        <v>44546.374999999105</v>
      </c>
      <c r="C375" s="110">
        <f>GEServed!K371</f>
        <v>5</v>
      </c>
      <c r="D375" s="110"/>
    </row>
    <row r="376" spans="1:4" x14ac:dyDescent="0.25">
      <c r="A376" s="58">
        <f t="shared" si="11"/>
        <v>44546.374999999105</v>
      </c>
      <c r="B376" s="58">
        <f t="shared" si="10"/>
        <v>44546.416666665769</v>
      </c>
      <c r="C376" s="110">
        <f>GEServed!K372</f>
        <v>5</v>
      </c>
      <c r="D376" s="110"/>
    </row>
    <row r="377" spans="1:4" x14ac:dyDescent="0.25">
      <c r="A377" s="58">
        <f t="shared" si="11"/>
        <v>44546.416666665769</v>
      </c>
      <c r="B377" s="58">
        <f t="shared" si="10"/>
        <v>44546.458333332434</v>
      </c>
      <c r="C377" s="110">
        <f>GEServed!K373</f>
        <v>5</v>
      </c>
      <c r="D377" s="110"/>
    </row>
    <row r="378" spans="1:4" x14ac:dyDescent="0.25">
      <c r="A378" s="58">
        <f t="shared" si="11"/>
        <v>44546.458333332434</v>
      </c>
      <c r="B378" s="58">
        <f t="shared" si="10"/>
        <v>44546.499999999098</v>
      </c>
      <c r="C378" s="110">
        <f>GEServed!K374</f>
        <v>5</v>
      </c>
      <c r="D378" s="110"/>
    </row>
    <row r="379" spans="1:4" x14ac:dyDescent="0.25">
      <c r="A379" s="58">
        <f t="shared" si="11"/>
        <v>44546.499999999098</v>
      </c>
      <c r="B379" s="58">
        <f t="shared" si="10"/>
        <v>44546.541666665762</v>
      </c>
      <c r="C379" s="110">
        <f>GEServed!K375</f>
        <v>5</v>
      </c>
      <c r="D379" s="110"/>
    </row>
    <row r="380" spans="1:4" x14ac:dyDescent="0.25">
      <c r="A380" s="58">
        <f t="shared" si="11"/>
        <v>44546.541666665762</v>
      </c>
      <c r="B380" s="58">
        <f t="shared" si="10"/>
        <v>44546.583333332426</v>
      </c>
      <c r="C380" s="110">
        <f>GEServed!K376</f>
        <v>5</v>
      </c>
      <c r="D380" s="110"/>
    </row>
    <row r="381" spans="1:4" x14ac:dyDescent="0.25">
      <c r="A381" s="58">
        <f t="shared" si="11"/>
        <v>44546.583333332426</v>
      </c>
      <c r="B381" s="58">
        <f t="shared" si="10"/>
        <v>44546.624999999091</v>
      </c>
      <c r="C381" s="110">
        <f>GEServed!K377</f>
        <v>5</v>
      </c>
      <c r="D381" s="110"/>
    </row>
    <row r="382" spans="1:4" x14ac:dyDescent="0.25">
      <c r="A382" s="58">
        <f t="shared" si="11"/>
        <v>44546.624999999091</v>
      </c>
      <c r="B382" s="58">
        <f t="shared" si="10"/>
        <v>44546.666666665755</v>
      </c>
      <c r="C382" s="110">
        <f>GEServed!K378</f>
        <v>5</v>
      </c>
      <c r="D382" s="110"/>
    </row>
    <row r="383" spans="1:4" x14ac:dyDescent="0.25">
      <c r="A383" s="58">
        <f t="shared" si="11"/>
        <v>44546.666666665755</v>
      </c>
      <c r="B383" s="58">
        <f t="shared" si="10"/>
        <v>44546.708333332419</v>
      </c>
      <c r="C383" s="110">
        <f>GEServed!K379</f>
        <v>5</v>
      </c>
      <c r="D383" s="110"/>
    </row>
    <row r="384" spans="1:4" x14ac:dyDescent="0.25">
      <c r="A384" s="58">
        <f t="shared" si="11"/>
        <v>44546.708333332419</v>
      </c>
      <c r="B384" s="58">
        <f t="shared" si="10"/>
        <v>44546.749999999083</v>
      </c>
      <c r="C384" s="110">
        <f>GEServed!K380</f>
        <v>5</v>
      </c>
      <c r="D384" s="110"/>
    </row>
    <row r="385" spans="1:4" x14ac:dyDescent="0.25">
      <c r="A385" s="58">
        <f t="shared" si="11"/>
        <v>44546.749999999083</v>
      </c>
      <c r="B385" s="58">
        <f t="shared" si="10"/>
        <v>44546.791666665747</v>
      </c>
      <c r="C385" s="110">
        <f>GEServed!K381</f>
        <v>6</v>
      </c>
      <c r="D385" s="110"/>
    </row>
    <row r="386" spans="1:4" x14ac:dyDescent="0.25">
      <c r="A386" s="58">
        <f t="shared" si="11"/>
        <v>44546.791666665747</v>
      </c>
      <c r="B386" s="58">
        <f t="shared" si="10"/>
        <v>44546.833333332412</v>
      </c>
      <c r="C386" s="110">
        <f>GEServed!K382</f>
        <v>6</v>
      </c>
      <c r="D386" s="110"/>
    </row>
    <row r="387" spans="1:4" x14ac:dyDescent="0.25">
      <c r="A387" s="58">
        <f t="shared" si="11"/>
        <v>44546.833333332412</v>
      </c>
      <c r="B387" s="58">
        <f t="shared" si="10"/>
        <v>44546.874999999076</v>
      </c>
      <c r="C387" s="110">
        <f>GEServed!K383</f>
        <v>6</v>
      </c>
      <c r="D387" s="110"/>
    </row>
    <row r="388" spans="1:4" x14ac:dyDescent="0.25">
      <c r="A388" s="58">
        <f t="shared" si="11"/>
        <v>44546.874999999076</v>
      </c>
      <c r="B388" s="58">
        <f t="shared" si="10"/>
        <v>44546.91666666574</v>
      </c>
      <c r="C388" s="110">
        <f>GEServed!K384</f>
        <v>6</v>
      </c>
      <c r="D388" s="110"/>
    </row>
    <row r="389" spans="1:4" x14ac:dyDescent="0.25">
      <c r="A389" s="58">
        <f t="shared" si="11"/>
        <v>44546.91666666574</v>
      </c>
      <c r="B389" s="58">
        <f t="shared" si="10"/>
        <v>44546.958333332404</v>
      </c>
      <c r="C389" s="110">
        <f>GEServed!K385</f>
        <v>6</v>
      </c>
      <c r="D389" s="110"/>
    </row>
    <row r="390" spans="1:4" x14ac:dyDescent="0.25">
      <c r="A390" s="58">
        <f t="shared" si="11"/>
        <v>44546.958333332404</v>
      </c>
      <c r="B390" s="58">
        <f t="shared" si="10"/>
        <v>44546.999999999069</v>
      </c>
      <c r="C390" s="110">
        <f>GEServed!K386</f>
        <v>5</v>
      </c>
      <c r="D390" s="110"/>
    </row>
    <row r="391" spans="1:4" x14ac:dyDescent="0.25">
      <c r="A391" s="58">
        <f t="shared" si="11"/>
        <v>44546.999999999069</v>
      </c>
      <c r="B391" s="58">
        <f t="shared" si="10"/>
        <v>44547.041666665733</v>
      </c>
      <c r="C391" s="110">
        <f>GEServed!K387</f>
        <v>6</v>
      </c>
      <c r="D391" s="110"/>
    </row>
    <row r="392" spans="1:4" x14ac:dyDescent="0.25">
      <c r="A392" s="58">
        <f t="shared" si="11"/>
        <v>44547.041666665733</v>
      </c>
      <c r="B392" s="58">
        <f t="shared" ref="B392:B455" si="12">$A392+1/24</f>
        <v>44547.083333332397</v>
      </c>
      <c r="C392" s="110">
        <f>GEServed!K388</f>
        <v>6</v>
      </c>
      <c r="D392" s="110"/>
    </row>
    <row r="393" spans="1:4" x14ac:dyDescent="0.25">
      <c r="A393" s="58">
        <f t="shared" ref="A393:A456" si="13">$A392+1/24</f>
        <v>44547.083333332397</v>
      </c>
      <c r="B393" s="58">
        <f t="shared" si="12"/>
        <v>44547.124999999061</v>
      </c>
      <c r="C393" s="110">
        <f>GEServed!K389</f>
        <v>6</v>
      </c>
      <c r="D393" s="110"/>
    </row>
    <row r="394" spans="1:4" x14ac:dyDescent="0.25">
      <c r="A394" s="58">
        <f t="shared" si="13"/>
        <v>44547.124999999061</v>
      </c>
      <c r="B394" s="58">
        <f t="shared" si="12"/>
        <v>44547.166666665726</v>
      </c>
      <c r="C394" s="110">
        <f>GEServed!K390</f>
        <v>6</v>
      </c>
      <c r="D394" s="110"/>
    </row>
    <row r="395" spans="1:4" x14ac:dyDescent="0.25">
      <c r="A395" s="58">
        <f t="shared" si="13"/>
        <v>44547.166666665726</v>
      </c>
      <c r="B395" s="58">
        <f t="shared" si="12"/>
        <v>44547.20833333239</v>
      </c>
      <c r="C395" s="110">
        <f>GEServed!K391</f>
        <v>6</v>
      </c>
      <c r="D395" s="110"/>
    </row>
    <row r="396" spans="1:4" x14ac:dyDescent="0.25">
      <c r="A396" s="58">
        <f t="shared" si="13"/>
        <v>44547.20833333239</v>
      </c>
      <c r="B396" s="58">
        <f t="shared" si="12"/>
        <v>44547.249999999054</v>
      </c>
      <c r="C396" s="110">
        <f>GEServed!K392</f>
        <v>6</v>
      </c>
      <c r="D396" s="110"/>
    </row>
    <row r="397" spans="1:4" x14ac:dyDescent="0.25">
      <c r="A397" s="58">
        <f t="shared" si="13"/>
        <v>44547.249999999054</v>
      </c>
      <c r="B397" s="58">
        <f t="shared" si="12"/>
        <v>44547.291666665718</v>
      </c>
      <c r="C397" s="110">
        <f>GEServed!K393</f>
        <v>6</v>
      </c>
      <c r="D397" s="110"/>
    </row>
    <row r="398" spans="1:4" x14ac:dyDescent="0.25">
      <c r="A398" s="58">
        <f t="shared" si="13"/>
        <v>44547.291666665718</v>
      </c>
      <c r="B398" s="58">
        <f t="shared" si="12"/>
        <v>44547.333333332383</v>
      </c>
      <c r="C398" s="110">
        <f>GEServed!K394</f>
        <v>6</v>
      </c>
      <c r="D398" s="110"/>
    </row>
    <row r="399" spans="1:4" x14ac:dyDescent="0.25">
      <c r="A399" s="58">
        <f t="shared" si="13"/>
        <v>44547.333333332383</v>
      </c>
      <c r="B399" s="58">
        <f t="shared" si="12"/>
        <v>44547.374999999047</v>
      </c>
      <c r="C399" s="110">
        <f>GEServed!K395</f>
        <v>5</v>
      </c>
      <c r="D399" s="110"/>
    </row>
    <row r="400" spans="1:4" x14ac:dyDescent="0.25">
      <c r="A400" s="58">
        <f t="shared" si="13"/>
        <v>44547.374999999047</v>
      </c>
      <c r="B400" s="58">
        <f t="shared" si="12"/>
        <v>44547.416666665711</v>
      </c>
      <c r="C400" s="110">
        <f>GEServed!K396</f>
        <v>5</v>
      </c>
      <c r="D400" s="110"/>
    </row>
    <row r="401" spans="1:4" x14ac:dyDescent="0.25">
      <c r="A401" s="58">
        <f t="shared" si="13"/>
        <v>44547.416666665711</v>
      </c>
      <c r="B401" s="58">
        <f t="shared" si="12"/>
        <v>44547.458333332375</v>
      </c>
      <c r="C401" s="110">
        <f>GEServed!K397</f>
        <v>5</v>
      </c>
      <c r="D401" s="110"/>
    </row>
    <row r="402" spans="1:4" x14ac:dyDescent="0.25">
      <c r="A402" s="58">
        <f t="shared" si="13"/>
        <v>44547.458333332375</v>
      </c>
      <c r="B402" s="58">
        <f t="shared" si="12"/>
        <v>44547.49999999904</v>
      </c>
      <c r="C402" s="110">
        <f>GEServed!K398</f>
        <v>5</v>
      </c>
      <c r="D402" s="110"/>
    </row>
    <row r="403" spans="1:4" x14ac:dyDescent="0.25">
      <c r="A403" s="58">
        <f t="shared" si="13"/>
        <v>44547.49999999904</v>
      </c>
      <c r="B403" s="58">
        <f t="shared" si="12"/>
        <v>44547.541666665704</v>
      </c>
      <c r="C403" s="110">
        <f>GEServed!K399</f>
        <v>5</v>
      </c>
      <c r="D403" s="110"/>
    </row>
    <row r="404" spans="1:4" x14ac:dyDescent="0.25">
      <c r="A404" s="58">
        <f t="shared" si="13"/>
        <v>44547.541666665704</v>
      </c>
      <c r="B404" s="58">
        <f t="shared" si="12"/>
        <v>44547.583333332368</v>
      </c>
      <c r="C404" s="110">
        <f>GEServed!K400</f>
        <v>5</v>
      </c>
      <c r="D404" s="110"/>
    </row>
    <row r="405" spans="1:4" x14ac:dyDescent="0.25">
      <c r="A405" s="58">
        <f t="shared" si="13"/>
        <v>44547.583333332368</v>
      </c>
      <c r="B405" s="58">
        <f t="shared" si="12"/>
        <v>44547.624999999032</v>
      </c>
      <c r="C405" s="110">
        <f>GEServed!K401</f>
        <v>5</v>
      </c>
      <c r="D405" s="110"/>
    </row>
    <row r="406" spans="1:4" x14ac:dyDescent="0.25">
      <c r="A406" s="58">
        <f t="shared" si="13"/>
        <v>44547.624999999032</v>
      </c>
      <c r="B406" s="58">
        <f t="shared" si="12"/>
        <v>44547.666666665697</v>
      </c>
      <c r="C406" s="110">
        <f>GEServed!K402</f>
        <v>5</v>
      </c>
      <c r="D406" s="110"/>
    </row>
    <row r="407" spans="1:4" x14ac:dyDescent="0.25">
      <c r="A407" s="58">
        <f t="shared" si="13"/>
        <v>44547.666666665697</v>
      </c>
      <c r="B407" s="58">
        <f t="shared" si="12"/>
        <v>44547.708333332361</v>
      </c>
      <c r="C407" s="110">
        <f>GEServed!K403</f>
        <v>5</v>
      </c>
      <c r="D407" s="110"/>
    </row>
    <row r="408" spans="1:4" x14ac:dyDescent="0.25">
      <c r="A408" s="58">
        <f t="shared" si="13"/>
        <v>44547.708333332361</v>
      </c>
      <c r="B408" s="58">
        <f t="shared" si="12"/>
        <v>44547.749999999025</v>
      </c>
      <c r="C408" s="110">
        <f>GEServed!K404</f>
        <v>5</v>
      </c>
      <c r="D408" s="110"/>
    </row>
    <row r="409" spans="1:4" x14ac:dyDescent="0.25">
      <c r="A409" s="58">
        <f t="shared" si="13"/>
        <v>44547.749999999025</v>
      </c>
      <c r="B409" s="58">
        <f t="shared" si="12"/>
        <v>44547.791666665689</v>
      </c>
      <c r="C409" s="110">
        <f>GEServed!K405</f>
        <v>6</v>
      </c>
      <c r="D409" s="110"/>
    </row>
    <row r="410" spans="1:4" x14ac:dyDescent="0.25">
      <c r="A410" s="58">
        <f t="shared" si="13"/>
        <v>44547.791666665689</v>
      </c>
      <c r="B410" s="58">
        <f t="shared" si="12"/>
        <v>44547.833333332354</v>
      </c>
      <c r="C410" s="110">
        <f>GEServed!K406</f>
        <v>6</v>
      </c>
      <c r="D410" s="110"/>
    </row>
    <row r="411" spans="1:4" x14ac:dyDescent="0.25">
      <c r="A411" s="58">
        <f t="shared" si="13"/>
        <v>44547.833333332354</v>
      </c>
      <c r="B411" s="58">
        <f t="shared" si="12"/>
        <v>44547.874999999018</v>
      </c>
      <c r="C411" s="110">
        <f>GEServed!K407</f>
        <v>6</v>
      </c>
      <c r="D411" s="110"/>
    </row>
    <row r="412" spans="1:4" x14ac:dyDescent="0.25">
      <c r="A412" s="58">
        <f t="shared" si="13"/>
        <v>44547.874999999018</v>
      </c>
      <c r="B412" s="58">
        <f t="shared" si="12"/>
        <v>44547.916666665682</v>
      </c>
      <c r="C412" s="110">
        <f>GEServed!K408</f>
        <v>6</v>
      </c>
      <c r="D412" s="110"/>
    </row>
    <row r="413" spans="1:4" x14ac:dyDescent="0.25">
      <c r="A413" s="58">
        <f t="shared" si="13"/>
        <v>44547.916666665682</v>
      </c>
      <c r="B413" s="58">
        <f t="shared" si="12"/>
        <v>44547.958333332346</v>
      </c>
      <c r="C413" s="110">
        <f>GEServed!K409</f>
        <v>6</v>
      </c>
      <c r="D413" s="110"/>
    </row>
    <row r="414" spans="1:4" x14ac:dyDescent="0.25">
      <c r="A414" s="58">
        <f t="shared" si="13"/>
        <v>44547.958333332346</v>
      </c>
      <c r="B414" s="58">
        <f t="shared" si="12"/>
        <v>44547.99999999901</v>
      </c>
      <c r="C414" s="110">
        <f>GEServed!K410</f>
        <v>5</v>
      </c>
      <c r="D414" s="110"/>
    </row>
    <row r="415" spans="1:4" x14ac:dyDescent="0.25">
      <c r="A415" s="58">
        <f t="shared" si="13"/>
        <v>44547.99999999901</v>
      </c>
      <c r="B415" s="58">
        <f t="shared" si="12"/>
        <v>44548.041666665675</v>
      </c>
      <c r="C415" s="110">
        <f>GEServed!K411</f>
        <v>6</v>
      </c>
      <c r="D415" s="110"/>
    </row>
    <row r="416" spans="1:4" x14ac:dyDescent="0.25">
      <c r="A416" s="58">
        <f t="shared" si="13"/>
        <v>44548.041666665675</v>
      </c>
      <c r="B416" s="58">
        <f t="shared" si="12"/>
        <v>44548.083333332339</v>
      </c>
      <c r="C416" s="110">
        <f>GEServed!K412</f>
        <v>6</v>
      </c>
      <c r="D416" s="110"/>
    </row>
    <row r="417" spans="1:4" x14ac:dyDescent="0.25">
      <c r="A417" s="58">
        <f t="shared" si="13"/>
        <v>44548.083333332339</v>
      </c>
      <c r="B417" s="58">
        <f t="shared" si="12"/>
        <v>44548.124999999003</v>
      </c>
      <c r="C417" s="110">
        <f>GEServed!K413</f>
        <v>6</v>
      </c>
      <c r="D417" s="110"/>
    </row>
    <row r="418" spans="1:4" x14ac:dyDescent="0.25">
      <c r="A418" s="58">
        <f t="shared" si="13"/>
        <v>44548.124999999003</v>
      </c>
      <c r="B418" s="58">
        <f t="shared" si="12"/>
        <v>44548.166666665667</v>
      </c>
      <c r="C418" s="110">
        <f>GEServed!K414</f>
        <v>6</v>
      </c>
      <c r="D418" s="110"/>
    </row>
    <row r="419" spans="1:4" x14ac:dyDescent="0.25">
      <c r="A419" s="58">
        <f t="shared" si="13"/>
        <v>44548.166666665667</v>
      </c>
      <c r="B419" s="58">
        <f t="shared" si="12"/>
        <v>44548.208333332332</v>
      </c>
      <c r="C419" s="110">
        <f>GEServed!K415</f>
        <v>6</v>
      </c>
      <c r="D419" s="110"/>
    </row>
    <row r="420" spans="1:4" x14ac:dyDescent="0.25">
      <c r="A420" s="58">
        <f t="shared" si="13"/>
        <v>44548.208333332332</v>
      </c>
      <c r="B420" s="58">
        <f t="shared" si="12"/>
        <v>44548.249999998996</v>
      </c>
      <c r="C420" s="110">
        <f>GEServed!K416</f>
        <v>6</v>
      </c>
      <c r="D420" s="110"/>
    </row>
    <row r="421" spans="1:4" x14ac:dyDescent="0.25">
      <c r="A421" s="58">
        <f t="shared" si="13"/>
        <v>44548.249999998996</v>
      </c>
      <c r="B421" s="58">
        <f t="shared" si="12"/>
        <v>44548.29166666566</v>
      </c>
      <c r="C421" s="110">
        <f>GEServed!K417</f>
        <v>6</v>
      </c>
      <c r="D421" s="110"/>
    </row>
    <row r="422" spans="1:4" x14ac:dyDescent="0.25">
      <c r="A422" s="58">
        <f t="shared" si="13"/>
        <v>44548.29166666566</v>
      </c>
      <c r="B422" s="58">
        <f t="shared" si="12"/>
        <v>44548.333333332324</v>
      </c>
      <c r="C422" s="110">
        <f>GEServed!K418</f>
        <v>6</v>
      </c>
      <c r="D422" s="110"/>
    </row>
    <row r="423" spans="1:4" x14ac:dyDescent="0.25">
      <c r="A423" s="58">
        <f t="shared" si="13"/>
        <v>44548.333333332324</v>
      </c>
      <c r="B423" s="58">
        <f t="shared" si="12"/>
        <v>44548.374999998989</v>
      </c>
      <c r="C423" s="110">
        <f>GEServed!K419</f>
        <v>5</v>
      </c>
      <c r="D423" s="110"/>
    </row>
    <row r="424" spans="1:4" x14ac:dyDescent="0.25">
      <c r="A424" s="58">
        <f t="shared" si="13"/>
        <v>44548.374999998989</v>
      </c>
      <c r="B424" s="58">
        <f t="shared" si="12"/>
        <v>44548.416666665653</v>
      </c>
      <c r="C424" s="110">
        <f>GEServed!K420</f>
        <v>5</v>
      </c>
      <c r="D424" s="110"/>
    </row>
    <row r="425" spans="1:4" x14ac:dyDescent="0.25">
      <c r="A425" s="58">
        <f t="shared" si="13"/>
        <v>44548.416666665653</v>
      </c>
      <c r="B425" s="58">
        <f t="shared" si="12"/>
        <v>44548.458333332317</v>
      </c>
      <c r="C425" s="110">
        <f>GEServed!K421</f>
        <v>5</v>
      </c>
      <c r="D425" s="110"/>
    </row>
    <row r="426" spans="1:4" x14ac:dyDescent="0.25">
      <c r="A426" s="58">
        <f t="shared" si="13"/>
        <v>44548.458333332317</v>
      </c>
      <c r="B426" s="58">
        <f t="shared" si="12"/>
        <v>44548.499999998981</v>
      </c>
      <c r="C426" s="110">
        <f>GEServed!K422</f>
        <v>5</v>
      </c>
      <c r="D426" s="110"/>
    </row>
    <row r="427" spans="1:4" x14ac:dyDescent="0.25">
      <c r="A427" s="58">
        <f t="shared" si="13"/>
        <v>44548.499999998981</v>
      </c>
      <c r="B427" s="58">
        <f t="shared" si="12"/>
        <v>44548.541666665646</v>
      </c>
      <c r="C427" s="110">
        <f>GEServed!K423</f>
        <v>5</v>
      </c>
      <c r="D427" s="110"/>
    </row>
    <row r="428" spans="1:4" x14ac:dyDescent="0.25">
      <c r="A428" s="58">
        <f t="shared" si="13"/>
        <v>44548.541666665646</v>
      </c>
      <c r="B428" s="58">
        <f t="shared" si="12"/>
        <v>44548.58333333231</v>
      </c>
      <c r="C428" s="110">
        <f>GEServed!K424</f>
        <v>5</v>
      </c>
      <c r="D428" s="110"/>
    </row>
    <row r="429" spans="1:4" x14ac:dyDescent="0.25">
      <c r="A429" s="58">
        <f t="shared" si="13"/>
        <v>44548.58333333231</v>
      </c>
      <c r="B429" s="58">
        <f t="shared" si="12"/>
        <v>44548.624999998974</v>
      </c>
      <c r="C429" s="110">
        <f>GEServed!K425</f>
        <v>5</v>
      </c>
      <c r="D429" s="110"/>
    </row>
    <row r="430" spans="1:4" x14ac:dyDescent="0.25">
      <c r="A430" s="58">
        <f t="shared" si="13"/>
        <v>44548.624999998974</v>
      </c>
      <c r="B430" s="58">
        <f t="shared" si="12"/>
        <v>44548.666666665638</v>
      </c>
      <c r="C430" s="110">
        <f>GEServed!K426</f>
        <v>5</v>
      </c>
      <c r="D430" s="110"/>
    </row>
    <row r="431" spans="1:4" x14ac:dyDescent="0.25">
      <c r="A431" s="58">
        <f t="shared" si="13"/>
        <v>44548.666666665638</v>
      </c>
      <c r="B431" s="58">
        <f t="shared" si="12"/>
        <v>44548.708333332303</v>
      </c>
      <c r="C431" s="110">
        <f>GEServed!K427</f>
        <v>5</v>
      </c>
      <c r="D431" s="110"/>
    </row>
    <row r="432" spans="1:4" x14ac:dyDescent="0.25">
      <c r="A432" s="58">
        <f t="shared" si="13"/>
        <v>44548.708333332303</v>
      </c>
      <c r="B432" s="58">
        <f t="shared" si="12"/>
        <v>44548.749999998967</v>
      </c>
      <c r="C432" s="110">
        <f>GEServed!K428</f>
        <v>5</v>
      </c>
      <c r="D432" s="110"/>
    </row>
    <row r="433" spans="1:4" x14ac:dyDescent="0.25">
      <c r="A433" s="58">
        <f t="shared" si="13"/>
        <v>44548.749999998967</v>
      </c>
      <c r="B433" s="58">
        <f t="shared" si="12"/>
        <v>44548.791666665631</v>
      </c>
      <c r="C433" s="110">
        <f>GEServed!K429</f>
        <v>6</v>
      </c>
      <c r="D433" s="110"/>
    </row>
    <row r="434" spans="1:4" x14ac:dyDescent="0.25">
      <c r="A434" s="58">
        <f t="shared" si="13"/>
        <v>44548.791666665631</v>
      </c>
      <c r="B434" s="58">
        <f t="shared" si="12"/>
        <v>44548.833333332295</v>
      </c>
      <c r="C434" s="110">
        <f>GEServed!K430</f>
        <v>6</v>
      </c>
      <c r="D434" s="110"/>
    </row>
    <row r="435" spans="1:4" x14ac:dyDescent="0.25">
      <c r="A435" s="58">
        <f t="shared" si="13"/>
        <v>44548.833333332295</v>
      </c>
      <c r="B435" s="58">
        <f t="shared" si="12"/>
        <v>44548.87499999896</v>
      </c>
      <c r="C435" s="110">
        <f>GEServed!K431</f>
        <v>6</v>
      </c>
      <c r="D435" s="110"/>
    </row>
    <row r="436" spans="1:4" x14ac:dyDescent="0.25">
      <c r="A436" s="58">
        <f t="shared" si="13"/>
        <v>44548.87499999896</v>
      </c>
      <c r="B436" s="58">
        <f t="shared" si="12"/>
        <v>44548.916666665624</v>
      </c>
      <c r="C436" s="110">
        <f>GEServed!K432</f>
        <v>6</v>
      </c>
      <c r="D436" s="110"/>
    </row>
    <row r="437" spans="1:4" x14ac:dyDescent="0.25">
      <c r="A437" s="58">
        <f t="shared" si="13"/>
        <v>44548.916666665624</v>
      </c>
      <c r="B437" s="58">
        <f t="shared" si="12"/>
        <v>44548.958333332288</v>
      </c>
      <c r="C437" s="110">
        <f>GEServed!K433</f>
        <v>6</v>
      </c>
      <c r="D437" s="110"/>
    </row>
    <row r="438" spans="1:4" x14ac:dyDescent="0.25">
      <c r="A438" s="58">
        <f t="shared" si="13"/>
        <v>44548.958333332288</v>
      </c>
      <c r="B438" s="58">
        <f t="shared" si="12"/>
        <v>44548.999999998952</v>
      </c>
      <c r="C438" s="110">
        <f>GEServed!K434</f>
        <v>5</v>
      </c>
      <c r="D438" s="110"/>
    </row>
    <row r="439" spans="1:4" x14ac:dyDescent="0.25">
      <c r="A439" s="58">
        <f t="shared" si="13"/>
        <v>44548.999999998952</v>
      </c>
      <c r="B439" s="58">
        <f t="shared" si="12"/>
        <v>44549.041666665617</v>
      </c>
      <c r="C439" s="110">
        <f>GEServed!K435</f>
        <v>6</v>
      </c>
      <c r="D439" s="110"/>
    </row>
    <row r="440" spans="1:4" x14ac:dyDescent="0.25">
      <c r="A440" s="58">
        <f t="shared" si="13"/>
        <v>44549.041666665617</v>
      </c>
      <c r="B440" s="58">
        <f t="shared" si="12"/>
        <v>44549.083333332281</v>
      </c>
      <c r="C440" s="110">
        <f>GEServed!K436</f>
        <v>1</v>
      </c>
      <c r="D440" s="110"/>
    </row>
    <row r="441" spans="1:4" x14ac:dyDescent="0.25">
      <c r="A441" s="58">
        <f t="shared" si="13"/>
        <v>44549.083333332281</v>
      </c>
      <c r="B441" s="58">
        <f t="shared" si="12"/>
        <v>44549.124999998945</v>
      </c>
      <c r="C441" s="110">
        <f>GEServed!K437</f>
        <v>5</v>
      </c>
      <c r="D441" s="110"/>
    </row>
    <row r="442" spans="1:4" x14ac:dyDescent="0.25">
      <c r="A442" s="58">
        <f t="shared" si="13"/>
        <v>44549.124999998945</v>
      </c>
      <c r="B442" s="58">
        <f t="shared" si="12"/>
        <v>44549.166666665609</v>
      </c>
      <c r="C442" s="110">
        <f>GEServed!K438</f>
        <v>6</v>
      </c>
      <c r="D442" s="110"/>
    </row>
    <row r="443" spans="1:4" x14ac:dyDescent="0.25">
      <c r="A443" s="58">
        <f t="shared" si="13"/>
        <v>44549.166666665609</v>
      </c>
      <c r="B443" s="58">
        <f t="shared" si="12"/>
        <v>44549.208333332273</v>
      </c>
      <c r="C443" s="110">
        <f>GEServed!K439</f>
        <v>6</v>
      </c>
      <c r="D443" s="110"/>
    </row>
    <row r="444" spans="1:4" x14ac:dyDescent="0.25">
      <c r="A444" s="58">
        <f t="shared" si="13"/>
        <v>44549.208333332273</v>
      </c>
      <c r="B444" s="58">
        <f t="shared" si="12"/>
        <v>44549.249999998938</v>
      </c>
      <c r="C444" s="110">
        <f>GEServed!K440</f>
        <v>6</v>
      </c>
      <c r="D444" s="110"/>
    </row>
    <row r="445" spans="1:4" x14ac:dyDescent="0.25">
      <c r="A445" s="58">
        <f t="shared" si="13"/>
        <v>44549.249999998938</v>
      </c>
      <c r="B445" s="58">
        <f t="shared" si="12"/>
        <v>44549.291666665602</v>
      </c>
      <c r="C445" s="110">
        <f>GEServed!K441</f>
        <v>6</v>
      </c>
      <c r="D445" s="110"/>
    </row>
    <row r="446" spans="1:4" x14ac:dyDescent="0.25">
      <c r="A446" s="58">
        <f t="shared" si="13"/>
        <v>44549.291666665602</v>
      </c>
      <c r="B446" s="58">
        <f t="shared" si="12"/>
        <v>44549.333333332266</v>
      </c>
      <c r="C446" s="110">
        <f>GEServed!K442</f>
        <v>6</v>
      </c>
      <c r="D446" s="110"/>
    </row>
    <row r="447" spans="1:4" x14ac:dyDescent="0.25">
      <c r="A447" s="58">
        <f t="shared" si="13"/>
        <v>44549.333333332266</v>
      </c>
      <c r="B447" s="58">
        <f t="shared" si="12"/>
        <v>44549.37499999893</v>
      </c>
      <c r="C447" s="110">
        <f>GEServed!K443</f>
        <v>0</v>
      </c>
      <c r="D447" s="110"/>
    </row>
    <row r="448" spans="1:4" x14ac:dyDescent="0.25">
      <c r="A448" s="58">
        <f t="shared" si="13"/>
        <v>44549.37499999893</v>
      </c>
      <c r="B448" s="58">
        <f t="shared" si="12"/>
        <v>44549.416666665595</v>
      </c>
      <c r="C448" s="110">
        <f>GEServed!K444</f>
        <v>5</v>
      </c>
      <c r="D448" s="110"/>
    </row>
    <row r="449" spans="1:4" x14ac:dyDescent="0.25">
      <c r="A449" s="58">
        <f t="shared" si="13"/>
        <v>44549.416666665595</v>
      </c>
      <c r="B449" s="58">
        <f t="shared" si="12"/>
        <v>44549.458333332259</v>
      </c>
      <c r="C449" s="110">
        <f>GEServed!K445</f>
        <v>5</v>
      </c>
      <c r="D449" s="110"/>
    </row>
    <row r="450" spans="1:4" x14ac:dyDescent="0.25">
      <c r="A450" s="58">
        <f t="shared" si="13"/>
        <v>44549.458333332259</v>
      </c>
      <c r="B450" s="58">
        <f t="shared" si="12"/>
        <v>44549.499999998923</v>
      </c>
      <c r="C450" s="110">
        <f>GEServed!K446</f>
        <v>5</v>
      </c>
      <c r="D450" s="110"/>
    </row>
    <row r="451" spans="1:4" x14ac:dyDescent="0.25">
      <c r="A451" s="58">
        <f t="shared" si="13"/>
        <v>44549.499999998923</v>
      </c>
      <c r="B451" s="58">
        <f t="shared" si="12"/>
        <v>44549.541666665587</v>
      </c>
      <c r="C451" s="110">
        <f>GEServed!K447</f>
        <v>5</v>
      </c>
      <c r="D451" s="110"/>
    </row>
    <row r="452" spans="1:4" x14ac:dyDescent="0.25">
      <c r="A452" s="58">
        <f t="shared" si="13"/>
        <v>44549.541666665587</v>
      </c>
      <c r="B452" s="58">
        <f t="shared" si="12"/>
        <v>44549.583333332252</v>
      </c>
      <c r="C452" s="110">
        <f>GEServed!K448</f>
        <v>5</v>
      </c>
      <c r="D452" s="110"/>
    </row>
    <row r="453" spans="1:4" x14ac:dyDescent="0.25">
      <c r="A453" s="58">
        <f t="shared" si="13"/>
        <v>44549.583333332252</v>
      </c>
      <c r="B453" s="58">
        <f t="shared" si="12"/>
        <v>44549.624999998916</v>
      </c>
      <c r="C453" s="110">
        <f>GEServed!K449</f>
        <v>5</v>
      </c>
      <c r="D453" s="110"/>
    </row>
    <row r="454" spans="1:4" x14ac:dyDescent="0.25">
      <c r="A454" s="58">
        <f t="shared" si="13"/>
        <v>44549.624999998916</v>
      </c>
      <c r="B454" s="58">
        <f t="shared" si="12"/>
        <v>44549.66666666558</v>
      </c>
      <c r="C454" s="110">
        <f>GEServed!K450</f>
        <v>5</v>
      </c>
      <c r="D454" s="110"/>
    </row>
    <row r="455" spans="1:4" x14ac:dyDescent="0.25">
      <c r="A455" s="58">
        <f t="shared" si="13"/>
        <v>44549.66666666558</v>
      </c>
      <c r="B455" s="58">
        <f t="shared" si="12"/>
        <v>44549.708333332244</v>
      </c>
      <c r="C455" s="110">
        <f>GEServed!K451</f>
        <v>5</v>
      </c>
      <c r="D455" s="110"/>
    </row>
    <row r="456" spans="1:4" x14ac:dyDescent="0.25">
      <c r="A456" s="58">
        <f t="shared" si="13"/>
        <v>44549.708333332244</v>
      </c>
      <c r="B456" s="58">
        <f t="shared" ref="B456:B519" si="14">$A456+1/24</f>
        <v>44549.749999998909</v>
      </c>
      <c r="C456" s="110">
        <f>GEServed!K452</f>
        <v>0</v>
      </c>
      <c r="D456" s="110"/>
    </row>
    <row r="457" spans="1:4" x14ac:dyDescent="0.25">
      <c r="A457" s="58">
        <f t="shared" ref="A457:A520" si="15">$A456+1/24</f>
        <v>44549.749999998909</v>
      </c>
      <c r="B457" s="58">
        <f t="shared" si="14"/>
        <v>44549.791666665573</v>
      </c>
      <c r="C457" s="110">
        <f>GEServed!K453</f>
        <v>6</v>
      </c>
      <c r="D457" s="110"/>
    </row>
    <row r="458" spans="1:4" x14ac:dyDescent="0.25">
      <c r="A458" s="58">
        <f t="shared" si="15"/>
        <v>44549.791666665573</v>
      </c>
      <c r="B458" s="58">
        <f t="shared" si="14"/>
        <v>44549.833333332237</v>
      </c>
      <c r="C458" s="110">
        <f>GEServed!K454</f>
        <v>6</v>
      </c>
      <c r="D458" s="110"/>
    </row>
    <row r="459" spans="1:4" x14ac:dyDescent="0.25">
      <c r="A459" s="58">
        <f t="shared" si="15"/>
        <v>44549.833333332237</v>
      </c>
      <c r="B459" s="58">
        <f t="shared" si="14"/>
        <v>44549.874999998901</v>
      </c>
      <c r="C459" s="110">
        <f>GEServed!K455</f>
        <v>6</v>
      </c>
      <c r="D459" s="110"/>
    </row>
    <row r="460" spans="1:4" x14ac:dyDescent="0.25">
      <c r="A460" s="58">
        <f t="shared" si="15"/>
        <v>44549.874999998901</v>
      </c>
      <c r="B460" s="58">
        <f t="shared" si="14"/>
        <v>44549.916666665566</v>
      </c>
      <c r="C460" s="110">
        <f>GEServed!K456</f>
        <v>6</v>
      </c>
      <c r="D460" s="110"/>
    </row>
    <row r="461" spans="1:4" x14ac:dyDescent="0.25">
      <c r="A461" s="58">
        <f t="shared" si="15"/>
        <v>44549.916666665566</v>
      </c>
      <c r="B461" s="58">
        <f t="shared" si="14"/>
        <v>44549.95833333223</v>
      </c>
      <c r="C461" s="110">
        <f>GEServed!K457</f>
        <v>6</v>
      </c>
      <c r="D461" s="110"/>
    </row>
    <row r="462" spans="1:4" x14ac:dyDescent="0.25">
      <c r="A462" s="58">
        <f t="shared" si="15"/>
        <v>44549.95833333223</v>
      </c>
      <c r="B462" s="58">
        <f t="shared" si="14"/>
        <v>44549.999999998894</v>
      </c>
      <c r="C462" s="110">
        <f>GEServed!K458</f>
        <v>5</v>
      </c>
      <c r="D462" s="110"/>
    </row>
    <row r="463" spans="1:4" x14ac:dyDescent="0.25">
      <c r="A463" s="58">
        <f t="shared" si="15"/>
        <v>44549.999999998894</v>
      </c>
      <c r="B463" s="58">
        <f t="shared" si="14"/>
        <v>44550.041666665558</v>
      </c>
      <c r="C463" s="110">
        <f>GEServed!K459</f>
        <v>1</v>
      </c>
      <c r="D463" s="110"/>
    </row>
    <row r="464" spans="1:4" x14ac:dyDescent="0.25">
      <c r="A464" s="58">
        <f t="shared" si="15"/>
        <v>44550.041666665558</v>
      </c>
      <c r="B464" s="58">
        <f t="shared" si="14"/>
        <v>44550.083333332223</v>
      </c>
      <c r="C464" s="110">
        <f>GEServed!K460</f>
        <v>6</v>
      </c>
      <c r="D464" s="110"/>
    </row>
    <row r="465" spans="1:4" x14ac:dyDescent="0.25">
      <c r="A465" s="58">
        <f t="shared" si="15"/>
        <v>44550.083333332223</v>
      </c>
      <c r="B465" s="58">
        <f t="shared" si="14"/>
        <v>44550.124999998887</v>
      </c>
      <c r="C465" s="110">
        <f>GEServed!K461</f>
        <v>6</v>
      </c>
      <c r="D465" s="110"/>
    </row>
    <row r="466" spans="1:4" x14ac:dyDescent="0.25">
      <c r="A466" s="58">
        <f t="shared" si="15"/>
        <v>44550.124999998887</v>
      </c>
      <c r="B466" s="58">
        <f t="shared" si="14"/>
        <v>44550.166666665551</v>
      </c>
      <c r="C466" s="110">
        <f>GEServed!K462</f>
        <v>6</v>
      </c>
      <c r="D466" s="110"/>
    </row>
    <row r="467" spans="1:4" x14ac:dyDescent="0.25">
      <c r="A467" s="58">
        <f t="shared" si="15"/>
        <v>44550.166666665551</v>
      </c>
      <c r="B467" s="58">
        <f t="shared" si="14"/>
        <v>44550.208333332215</v>
      </c>
      <c r="C467" s="110">
        <f>GEServed!K463</f>
        <v>6</v>
      </c>
      <c r="D467" s="110"/>
    </row>
    <row r="468" spans="1:4" x14ac:dyDescent="0.25">
      <c r="A468" s="58">
        <f t="shared" si="15"/>
        <v>44550.208333332215</v>
      </c>
      <c r="B468" s="58">
        <f t="shared" si="14"/>
        <v>44550.24999999888</v>
      </c>
      <c r="C468" s="110">
        <f>GEServed!K464</f>
        <v>6</v>
      </c>
      <c r="D468" s="110"/>
    </row>
    <row r="469" spans="1:4" x14ac:dyDescent="0.25">
      <c r="A469" s="58">
        <f t="shared" si="15"/>
        <v>44550.24999999888</v>
      </c>
      <c r="B469" s="58">
        <f t="shared" si="14"/>
        <v>44550.291666665544</v>
      </c>
      <c r="C469" s="110">
        <f>GEServed!K465</f>
        <v>6</v>
      </c>
      <c r="D469" s="110"/>
    </row>
    <row r="470" spans="1:4" x14ac:dyDescent="0.25">
      <c r="A470" s="58">
        <f t="shared" si="15"/>
        <v>44550.291666665544</v>
      </c>
      <c r="B470" s="58">
        <f t="shared" si="14"/>
        <v>44550.333333332208</v>
      </c>
      <c r="C470" s="110">
        <f>GEServed!K466</f>
        <v>6</v>
      </c>
      <c r="D470" s="110"/>
    </row>
    <row r="471" spans="1:4" x14ac:dyDescent="0.25">
      <c r="A471" s="58">
        <f t="shared" si="15"/>
        <v>44550.333333332208</v>
      </c>
      <c r="B471" s="58">
        <f t="shared" si="14"/>
        <v>44550.374999998872</v>
      </c>
      <c r="C471" s="110">
        <f>GEServed!K467</f>
        <v>5</v>
      </c>
      <c r="D471" s="110"/>
    </row>
    <row r="472" spans="1:4" x14ac:dyDescent="0.25">
      <c r="A472" s="58">
        <f t="shared" si="15"/>
        <v>44550.374999998872</v>
      </c>
      <c r="B472" s="58">
        <f t="shared" si="14"/>
        <v>44550.416666665536</v>
      </c>
      <c r="C472" s="110">
        <f>GEServed!K468</f>
        <v>5</v>
      </c>
      <c r="D472" s="110"/>
    </row>
    <row r="473" spans="1:4" x14ac:dyDescent="0.25">
      <c r="A473" s="58">
        <f t="shared" si="15"/>
        <v>44550.416666665536</v>
      </c>
      <c r="B473" s="58">
        <f t="shared" si="14"/>
        <v>44550.458333332201</v>
      </c>
      <c r="C473" s="110">
        <f>GEServed!K469</f>
        <v>5</v>
      </c>
      <c r="D473" s="110"/>
    </row>
    <row r="474" spans="1:4" x14ac:dyDescent="0.25">
      <c r="A474" s="58">
        <f t="shared" si="15"/>
        <v>44550.458333332201</v>
      </c>
      <c r="B474" s="58">
        <f t="shared" si="14"/>
        <v>44550.499999998865</v>
      </c>
      <c r="C474" s="110">
        <f>GEServed!K470</f>
        <v>5</v>
      </c>
      <c r="D474" s="110"/>
    </row>
    <row r="475" spans="1:4" x14ac:dyDescent="0.25">
      <c r="A475" s="58">
        <f t="shared" si="15"/>
        <v>44550.499999998865</v>
      </c>
      <c r="B475" s="58">
        <f t="shared" si="14"/>
        <v>44550.541666665529</v>
      </c>
      <c r="C475" s="110">
        <f>GEServed!K471</f>
        <v>5</v>
      </c>
      <c r="D475" s="110"/>
    </row>
    <row r="476" spans="1:4" x14ac:dyDescent="0.25">
      <c r="A476" s="58">
        <f t="shared" si="15"/>
        <v>44550.541666665529</v>
      </c>
      <c r="B476" s="58">
        <f t="shared" si="14"/>
        <v>44550.583333332193</v>
      </c>
      <c r="C476" s="110">
        <f>GEServed!K472</f>
        <v>5</v>
      </c>
      <c r="D476" s="110"/>
    </row>
    <row r="477" spans="1:4" x14ac:dyDescent="0.25">
      <c r="A477" s="58">
        <f t="shared" si="15"/>
        <v>44550.583333332193</v>
      </c>
      <c r="B477" s="58">
        <f t="shared" si="14"/>
        <v>44550.624999998858</v>
      </c>
      <c r="C477" s="110">
        <f>GEServed!K473</f>
        <v>5</v>
      </c>
      <c r="D477" s="110"/>
    </row>
    <row r="478" spans="1:4" x14ac:dyDescent="0.25">
      <c r="A478" s="58">
        <f t="shared" si="15"/>
        <v>44550.624999998858</v>
      </c>
      <c r="B478" s="58">
        <f t="shared" si="14"/>
        <v>44550.666666665522</v>
      </c>
      <c r="C478" s="110">
        <f>GEServed!K474</f>
        <v>5</v>
      </c>
      <c r="D478" s="110"/>
    </row>
    <row r="479" spans="1:4" x14ac:dyDescent="0.25">
      <c r="A479" s="58">
        <f t="shared" si="15"/>
        <v>44550.666666665522</v>
      </c>
      <c r="B479" s="58">
        <f t="shared" si="14"/>
        <v>44550.708333332186</v>
      </c>
      <c r="C479" s="110">
        <f>GEServed!K475</f>
        <v>5</v>
      </c>
      <c r="D479" s="110"/>
    </row>
    <row r="480" spans="1:4" x14ac:dyDescent="0.25">
      <c r="A480" s="58">
        <f t="shared" si="15"/>
        <v>44550.708333332186</v>
      </c>
      <c r="B480" s="58">
        <f t="shared" si="14"/>
        <v>44550.74999999885</v>
      </c>
      <c r="C480" s="110">
        <f>GEServed!K476</f>
        <v>5</v>
      </c>
      <c r="D480" s="110"/>
    </row>
    <row r="481" spans="1:4" x14ac:dyDescent="0.25">
      <c r="A481" s="58">
        <f t="shared" si="15"/>
        <v>44550.74999999885</v>
      </c>
      <c r="B481" s="58">
        <f t="shared" si="14"/>
        <v>44550.791666665515</v>
      </c>
      <c r="C481" s="110">
        <f>GEServed!K477</f>
        <v>6</v>
      </c>
      <c r="D481" s="110"/>
    </row>
    <row r="482" spans="1:4" x14ac:dyDescent="0.25">
      <c r="A482" s="58">
        <f t="shared" si="15"/>
        <v>44550.791666665515</v>
      </c>
      <c r="B482" s="58">
        <f t="shared" si="14"/>
        <v>44550.833333332179</v>
      </c>
      <c r="C482" s="110">
        <f>GEServed!K478</f>
        <v>6</v>
      </c>
      <c r="D482" s="110"/>
    </row>
    <row r="483" spans="1:4" x14ac:dyDescent="0.25">
      <c r="A483" s="58">
        <f t="shared" si="15"/>
        <v>44550.833333332179</v>
      </c>
      <c r="B483" s="58">
        <f t="shared" si="14"/>
        <v>44550.874999998843</v>
      </c>
      <c r="C483" s="110">
        <f>GEServed!K479</f>
        <v>6</v>
      </c>
      <c r="D483" s="110"/>
    </row>
    <row r="484" spans="1:4" x14ac:dyDescent="0.25">
      <c r="A484" s="58">
        <f t="shared" si="15"/>
        <v>44550.874999998843</v>
      </c>
      <c r="B484" s="58">
        <f t="shared" si="14"/>
        <v>44550.916666665507</v>
      </c>
      <c r="C484" s="110">
        <f>GEServed!K480</f>
        <v>6</v>
      </c>
      <c r="D484" s="110"/>
    </row>
    <row r="485" spans="1:4" x14ac:dyDescent="0.25">
      <c r="A485" s="58">
        <f t="shared" si="15"/>
        <v>44550.916666665507</v>
      </c>
      <c r="B485" s="58">
        <f t="shared" si="14"/>
        <v>44550.958333332172</v>
      </c>
      <c r="C485" s="110">
        <f>GEServed!K481</f>
        <v>6</v>
      </c>
      <c r="D485" s="110"/>
    </row>
    <row r="486" spans="1:4" ht="13.5" customHeight="1" x14ac:dyDescent="0.25">
      <c r="A486" s="58">
        <f t="shared" si="15"/>
        <v>44550.958333332172</v>
      </c>
      <c r="B486" s="58">
        <f t="shared" si="14"/>
        <v>44550.999999998836</v>
      </c>
      <c r="C486" s="110">
        <f>GEServed!K482</f>
        <v>5</v>
      </c>
      <c r="D486" s="110"/>
    </row>
    <row r="487" spans="1:4" x14ac:dyDescent="0.25">
      <c r="A487" s="58">
        <f t="shared" si="15"/>
        <v>44550.999999998836</v>
      </c>
      <c r="B487" s="58">
        <f t="shared" si="14"/>
        <v>44551.0416666655</v>
      </c>
      <c r="C487" s="110">
        <f>GEServed!K483</f>
        <v>6</v>
      </c>
      <c r="D487" s="110"/>
    </row>
    <row r="488" spans="1:4" x14ac:dyDescent="0.25">
      <c r="A488" s="58">
        <f t="shared" si="15"/>
        <v>44551.0416666655</v>
      </c>
      <c r="B488" s="58">
        <f t="shared" si="14"/>
        <v>44551.083333332164</v>
      </c>
      <c r="C488" s="110">
        <f>GEServed!K484</f>
        <v>6</v>
      </c>
      <c r="D488" s="110"/>
    </row>
    <row r="489" spans="1:4" x14ac:dyDescent="0.25">
      <c r="A489" s="58">
        <f t="shared" si="15"/>
        <v>44551.083333332164</v>
      </c>
      <c r="B489" s="58">
        <f t="shared" si="14"/>
        <v>44551.124999998829</v>
      </c>
      <c r="C489" s="110">
        <f>GEServed!K485</f>
        <v>6</v>
      </c>
      <c r="D489" s="110"/>
    </row>
    <row r="490" spans="1:4" x14ac:dyDescent="0.25">
      <c r="A490" s="58">
        <f t="shared" si="15"/>
        <v>44551.124999998829</v>
      </c>
      <c r="B490" s="58">
        <f t="shared" si="14"/>
        <v>44551.166666665493</v>
      </c>
      <c r="C490" s="110">
        <f>GEServed!K486</f>
        <v>6</v>
      </c>
      <c r="D490" s="110"/>
    </row>
    <row r="491" spans="1:4" x14ac:dyDescent="0.25">
      <c r="A491" s="58">
        <f t="shared" si="15"/>
        <v>44551.166666665493</v>
      </c>
      <c r="B491" s="58">
        <f t="shared" si="14"/>
        <v>44551.208333332157</v>
      </c>
      <c r="C491" s="110">
        <f>GEServed!K487</f>
        <v>6</v>
      </c>
      <c r="D491" s="110"/>
    </row>
    <row r="492" spans="1:4" x14ac:dyDescent="0.25">
      <c r="A492" s="58">
        <f t="shared" si="15"/>
        <v>44551.208333332157</v>
      </c>
      <c r="B492" s="58">
        <f t="shared" si="14"/>
        <v>44551.249999998821</v>
      </c>
      <c r="C492" s="110">
        <f>GEServed!K488</f>
        <v>6</v>
      </c>
      <c r="D492" s="110"/>
    </row>
    <row r="493" spans="1:4" x14ac:dyDescent="0.25">
      <c r="A493" s="58">
        <f t="shared" si="15"/>
        <v>44551.249999998821</v>
      </c>
      <c r="B493" s="58">
        <f t="shared" si="14"/>
        <v>44551.291666665486</v>
      </c>
      <c r="C493" s="110">
        <f>GEServed!K489</f>
        <v>6</v>
      </c>
      <c r="D493" s="110"/>
    </row>
    <row r="494" spans="1:4" x14ac:dyDescent="0.25">
      <c r="A494" s="58">
        <f t="shared" si="15"/>
        <v>44551.291666665486</v>
      </c>
      <c r="B494" s="58">
        <f t="shared" si="14"/>
        <v>44551.33333333215</v>
      </c>
      <c r="C494" s="110">
        <f>GEServed!K490</f>
        <v>6</v>
      </c>
      <c r="D494" s="110"/>
    </row>
    <row r="495" spans="1:4" x14ac:dyDescent="0.25">
      <c r="A495" s="58">
        <f t="shared" si="15"/>
        <v>44551.33333333215</v>
      </c>
      <c r="B495" s="58">
        <f t="shared" si="14"/>
        <v>44551.374999998814</v>
      </c>
      <c r="C495" s="110">
        <f>GEServed!K491</f>
        <v>5</v>
      </c>
      <c r="D495" s="110"/>
    </row>
    <row r="496" spans="1:4" x14ac:dyDescent="0.25">
      <c r="A496" s="58">
        <f t="shared" si="15"/>
        <v>44551.374999998814</v>
      </c>
      <c r="B496" s="58">
        <f t="shared" si="14"/>
        <v>44551.416666665478</v>
      </c>
      <c r="C496" s="110">
        <f>GEServed!K492</f>
        <v>5</v>
      </c>
      <c r="D496" s="110"/>
    </row>
    <row r="497" spans="1:4" x14ac:dyDescent="0.25">
      <c r="A497" s="58">
        <f t="shared" si="15"/>
        <v>44551.416666665478</v>
      </c>
      <c r="B497" s="58">
        <f t="shared" si="14"/>
        <v>44551.458333332143</v>
      </c>
      <c r="C497" s="110">
        <f>GEServed!K493</f>
        <v>5</v>
      </c>
      <c r="D497" s="110"/>
    </row>
    <row r="498" spans="1:4" x14ac:dyDescent="0.25">
      <c r="A498" s="58">
        <f t="shared" si="15"/>
        <v>44551.458333332143</v>
      </c>
      <c r="B498" s="58">
        <f t="shared" si="14"/>
        <v>44551.499999998807</v>
      </c>
      <c r="C498" s="110">
        <f>GEServed!K494</f>
        <v>5</v>
      </c>
      <c r="D498" s="110"/>
    </row>
    <row r="499" spans="1:4" x14ac:dyDescent="0.25">
      <c r="A499" s="58">
        <f t="shared" si="15"/>
        <v>44551.499999998807</v>
      </c>
      <c r="B499" s="58">
        <f t="shared" si="14"/>
        <v>44551.541666665471</v>
      </c>
      <c r="C499" s="110">
        <f>GEServed!K495</f>
        <v>5</v>
      </c>
      <c r="D499" s="110"/>
    </row>
    <row r="500" spans="1:4" x14ac:dyDescent="0.25">
      <c r="A500" s="58">
        <f t="shared" si="15"/>
        <v>44551.541666665471</v>
      </c>
      <c r="B500" s="58">
        <f t="shared" si="14"/>
        <v>44551.583333332135</v>
      </c>
      <c r="C500" s="110">
        <f>GEServed!K496</f>
        <v>5</v>
      </c>
      <c r="D500" s="110"/>
    </row>
    <row r="501" spans="1:4" x14ac:dyDescent="0.25">
      <c r="A501" s="58">
        <f t="shared" si="15"/>
        <v>44551.583333332135</v>
      </c>
      <c r="B501" s="58">
        <f t="shared" si="14"/>
        <v>44551.624999998799</v>
      </c>
      <c r="C501" s="110">
        <f>GEServed!K497</f>
        <v>5</v>
      </c>
      <c r="D501" s="110"/>
    </row>
    <row r="502" spans="1:4" x14ac:dyDescent="0.25">
      <c r="A502" s="58">
        <f t="shared" si="15"/>
        <v>44551.624999998799</v>
      </c>
      <c r="B502" s="58">
        <f t="shared" si="14"/>
        <v>44551.666666665464</v>
      </c>
      <c r="C502" s="110">
        <f>GEServed!K498</f>
        <v>5</v>
      </c>
      <c r="D502" s="110"/>
    </row>
    <row r="503" spans="1:4" x14ac:dyDescent="0.25">
      <c r="A503" s="58">
        <f t="shared" si="15"/>
        <v>44551.666666665464</v>
      </c>
      <c r="B503" s="58">
        <f t="shared" si="14"/>
        <v>44551.708333332128</v>
      </c>
      <c r="C503" s="110">
        <f>GEServed!K499</f>
        <v>5</v>
      </c>
      <c r="D503" s="110"/>
    </row>
    <row r="504" spans="1:4" x14ac:dyDescent="0.25">
      <c r="A504" s="58">
        <f t="shared" si="15"/>
        <v>44551.708333332128</v>
      </c>
      <c r="B504" s="58">
        <f t="shared" si="14"/>
        <v>44551.749999998792</v>
      </c>
      <c r="C504" s="110">
        <f>GEServed!K500</f>
        <v>5</v>
      </c>
      <c r="D504" s="110"/>
    </row>
    <row r="505" spans="1:4" x14ac:dyDescent="0.25">
      <c r="A505" s="58">
        <f t="shared" si="15"/>
        <v>44551.749999998792</v>
      </c>
      <c r="B505" s="58">
        <f t="shared" si="14"/>
        <v>44551.791666665456</v>
      </c>
      <c r="C505" s="110">
        <f>GEServed!K501</f>
        <v>6</v>
      </c>
      <c r="D505" s="110"/>
    </row>
    <row r="506" spans="1:4" x14ac:dyDescent="0.25">
      <c r="A506" s="58">
        <f t="shared" si="15"/>
        <v>44551.791666665456</v>
      </c>
      <c r="B506" s="58">
        <f t="shared" si="14"/>
        <v>44551.833333332121</v>
      </c>
      <c r="C506" s="110">
        <f>GEServed!K502</f>
        <v>6</v>
      </c>
      <c r="D506" s="110"/>
    </row>
    <row r="507" spans="1:4" x14ac:dyDescent="0.25">
      <c r="A507" s="58">
        <f t="shared" si="15"/>
        <v>44551.833333332121</v>
      </c>
      <c r="B507" s="58">
        <f t="shared" si="14"/>
        <v>44551.874999998785</v>
      </c>
      <c r="C507" s="110">
        <f>GEServed!K503</f>
        <v>6</v>
      </c>
      <c r="D507" s="110"/>
    </row>
    <row r="508" spans="1:4" x14ac:dyDescent="0.25">
      <c r="A508" s="58">
        <f t="shared" si="15"/>
        <v>44551.874999998785</v>
      </c>
      <c r="B508" s="58">
        <f t="shared" si="14"/>
        <v>44551.916666665449</v>
      </c>
      <c r="C508" s="110">
        <f>GEServed!K504</f>
        <v>6</v>
      </c>
      <c r="D508" s="110"/>
    </row>
    <row r="509" spans="1:4" x14ac:dyDescent="0.25">
      <c r="A509" s="58">
        <f t="shared" si="15"/>
        <v>44551.916666665449</v>
      </c>
      <c r="B509" s="58">
        <f t="shared" si="14"/>
        <v>44551.958333332113</v>
      </c>
      <c r="C509" s="110">
        <f>GEServed!K505</f>
        <v>6</v>
      </c>
      <c r="D509" s="110"/>
    </row>
    <row r="510" spans="1:4" x14ac:dyDescent="0.25">
      <c r="A510" s="58">
        <f t="shared" si="15"/>
        <v>44551.958333332113</v>
      </c>
      <c r="B510" s="58">
        <f t="shared" si="14"/>
        <v>44551.999999998778</v>
      </c>
      <c r="C510" s="110">
        <f>GEServed!K506</f>
        <v>5</v>
      </c>
      <c r="D510" s="110"/>
    </row>
    <row r="511" spans="1:4" x14ac:dyDescent="0.25">
      <c r="A511" s="58">
        <f t="shared" si="15"/>
        <v>44551.999999998778</v>
      </c>
      <c r="B511" s="58">
        <f t="shared" si="14"/>
        <v>44552.041666665442</v>
      </c>
      <c r="C511" s="110">
        <f>GEServed!K507</f>
        <v>6</v>
      </c>
      <c r="D511" s="110"/>
    </row>
    <row r="512" spans="1:4" x14ac:dyDescent="0.25">
      <c r="A512" s="58">
        <f t="shared" si="15"/>
        <v>44552.041666665442</v>
      </c>
      <c r="B512" s="58">
        <f t="shared" si="14"/>
        <v>44552.083333332106</v>
      </c>
      <c r="C512" s="110">
        <f>GEServed!K508</f>
        <v>6</v>
      </c>
      <c r="D512" s="110"/>
    </row>
    <row r="513" spans="1:4" x14ac:dyDescent="0.25">
      <c r="A513" s="58">
        <f t="shared" si="15"/>
        <v>44552.083333332106</v>
      </c>
      <c r="B513" s="58">
        <f t="shared" si="14"/>
        <v>44552.12499999877</v>
      </c>
      <c r="C513" s="110">
        <f>GEServed!K509</f>
        <v>6</v>
      </c>
      <c r="D513" s="110"/>
    </row>
    <row r="514" spans="1:4" x14ac:dyDescent="0.25">
      <c r="A514" s="58">
        <f t="shared" si="15"/>
        <v>44552.12499999877</v>
      </c>
      <c r="B514" s="58">
        <f t="shared" si="14"/>
        <v>44552.166666665435</v>
      </c>
      <c r="C514" s="110">
        <f>GEServed!K510</f>
        <v>6</v>
      </c>
      <c r="D514" s="110"/>
    </row>
    <row r="515" spans="1:4" x14ac:dyDescent="0.25">
      <c r="A515" s="58">
        <f t="shared" si="15"/>
        <v>44552.166666665435</v>
      </c>
      <c r="B515" s="58">
        <f t="shared" si="14"/>
        <v>44552.208333332099</v>
      </c>
      <c r="C515" s="110">
        <f>GEServed!K511</f>
        <v>6</v>
      </c>
      <c r="D515" s="110"/>
    </row>
    <row r="516" spans="1:4" x14ac:dyDescent="0.25">
      <c r="A516" s="58">
        <f t="shared" si="15"/>
        <v>44552.208333332099</v>
      </c>
      <c r="B516" s="58">
        <f t="shared" si="14"/>
        <v>44552.249999998763</v>
      </c>
      <c r="C516" s="110">
        <f>GEServed!K512</f>
        <v>6</v>
      </c>
      <c r="D516" s="110"/>
    </row>
    <row r="517" spans="1:4" x14ac:dyDescent="0.25">
      <c r="A517" s="58">
        <f t="shared" si="15"/>
        <v>44552.249999998763</v>
      </c>
      <c r="B517" s="58">
        <f t="shared" si="14"/>
        <v>44552.291666665427</v>
      </c>
      <c r="C517" s="110">
        <f>GEServed!K513</f>
        <v>6</v>
      </c>
      <c r="D517" s="110"/>
    </row>
    <row r="518" spans="1:4" x14ac:dyDescent="0.25">
      <c r="A518" s="58">
        <f t="shared" si="15"/>
        <v>44552.291666665427</v>
      </c>
      <c r="B518" s="58">
        <f t="shared" si="14"/>
        <v>44552.333333332092</v>
      </c>
      <c r="C518" s="110">
        <f>GEServed!K514</f>
        <v>6</v>
      </c>
      <c r="D518" s="110"/>
    </row>
    <row r="519" spans="1:4" x14ac:dyDescent="0.25">
      <c r="A519" s="58">
        <f t="shared" si="15"/>
        <v>44552.333333332092</v>
      </c>
      <c r="B519" s="58">
        <f t="shared" si="14"/>
        <v>44552.374999998756</v>
      </c>
      <c r="C519" s="110">
        <f>GEServed!K515</f>
        <v>5</v>
      </c>
      <c r="D519" s="110"/>
    </row>
    <row r="520" spans="1:4" x14ac:dyDescent="0.25">
      <c r="A520" s="58">
        <f t="shared" si="15"/>
        <v>44552.374999998756</v>
      </c>
      <c r="B520" s="58">
        <f t="shared" ref="B520:B583" si="16">$A520+1/24</f>
        <v>44552.41666666542</v>
      </c>
      <c r="C520" s="110">
        <f>GEServed!K516</f>
        <v>5</v>
      </c>
      <c r="D520" s="110"/>
    </row>
    <row r="521" spans="1:4" x14ac:dyDescent="0.25">
      <c r="A521" s="58">
        <f t="shared" ref="A521:A584" si="17">$A520+1/24</f>
        <v>44552.41666666542</v>
      </c>
      <c r="B521" s="58">
        <f t="shared" si="16"/>
        <v>44552.458333332084</v>
      </c>
      <c r="C521" s="110">
        <f>GEServed!K517</f>
        <v>5</v>
      </c>
      <c r="D521" s="110"/>
    </row>
    <row r="522" spans="1:4" x14ac:dyDescent="0.25">
      <c r="A522" s="58">
        <f t="shared" si="17"/>
        <v>44552.458333332084</v>
      </c>
      <c r="B522" s="58">
        <f t="shared" si="16"/>
        <v>44552.499999998749</v>
      </c>
      <c r="C522" s="110">
        <f>GEServed!K518</f>
        <v>5</v>
      </c>
      <c r="D522" s="110"/>
    </row>
    <row r="523" spans="1:4" x14ac:dyDescent="0.25">
      <c r="A523" s="58">
        <f t="shared" si="17"/>
        <v>44552.499999998749</v>
      </c>
      <c r="B523" s="58">
        <f t="shared" si="16"/>
        <v>44552.541666665413</v>
      </c>
      <c r="C523" s="110">
        <f>GEServed!K519</f>
        <v>5</v>
      </c>
      <c r="D523" s="110"/>
    </row>
    <row r="524" spans="1:4" x14ac:dyDescent="0.25">
      <c r="A524" s="58">
        <f t="shared" si="17"/>
        <v>44552.541666665413</v>
      </c>
      <c r="B524" s="58">
        <f t="shared" si="16"/>
        <v>44552.583333332077</v>
      </c>
      <c r="C524" s="110">
        <f>GEServed!K520</f>
        <v>5</v>
      </c>
      <c r="D524" s="110"/>
    </row>
    <row r="525" spans="1:4" x14ac:dyDescent="0.25">
      <c r="A525" s="58">
        <f t="shared" si="17"/>
        <v>44552.583333332077</v>
      </c>
      <c r="B525" s="58">
        <f t="shared" si="16"/>
        <v>44552.624999998741</v>
      </c>
      <c r="C525" s="110">
        <f>GEServed!K521</f>
        <v>5</v>
      </c>
      <c r="D525" s="110"/>
    </row>
    <row r="526" spans="1:4" x14ac:dyDescent="0.25">
      <c r="A526" s="58">
        <f t="shared" si="17"/>
        <v>44552.624999998741</v>
      </c>
      <c r="B526" s="58">
        <f t="shared" si="16"/>
        <v>44552.666666665406</v>
      </c>
      <c r="C526" s="110">
        <f>GEServed!K522</f>
        <v>5</v>
      </c>
      <c r="D526" s="110"/>
    </row>
    <row r="527" spans="1:4" x14ac:dyDescent="0.25">
      <c r="A527" s="58">
        <f t="shared" si="17"/>
        <v>44552.666666665406</v>
      </c>
      <c r="B527" s="58">
        <f t="shared" si="16"/>
        <v>44552.70833333207</v>
      </c>
      <c r="C527" s="110">
        <f>GEServed!K523</f>
        <v>0</v>
      </c>
      <c r="D527" s="110"/>
    </row>
    <row r="528" spans="1:4" x14ac:dyDescent="0.25">
      <c r="A528" s="58">
        <f t="shared" si="17"/>
        <v>44552.70833333207</v>
      </c>
      <c r="B528" s="58">
        <f t="shared" si="16"/>
        <v>44552.749999998734</v>
      </c>
      <c r="C528" s="110">
        <f>GEServed!K524</f>
        <v>5</v>
      </c>
      <c r="D528" s="110"/>
    </row>
    <row r="529" spans="1:4" x14ac:dyDescent="0.25">
      <c r="A529" s="58">
        <f t="shared" si="17"/>
        <v>44552.749999998734</v>
      </c>
      <c r="B529" s="58">
        <f t="shared" si="16"/>
        <v>44552.791666665398</v>
      </c>
      <c r="C529" s="110">
        <f>GEServed!K525</f>
        <v>6</v>
      </c>
      <c r="D529" s="110"/>
    </row>
    <row r="530" spans="1:4" x14ac:dyDescent="0.25">
      <c r="A530" s="58">
        <f t="shared" si="17"/>
        <v>44552.791666665398</v>
      </c>
      <c r="B530" s="58">
        <f t="shared" si="16"/>
        <v>44552.833333332062</v>
      </c>
      <c r="C530" s="110">
        <f>GEServed!K526</f>
        <v>6</v>
      </c>
      <c r="D530" s="110"/>
    </row>
    <row r="531" spans="1:4" x14ac:dyDescent="0.25">
      <c r="A531" s="58">
        <f t="shared" si="17"/>
        <v>44552.833333332062</v>
      </c>
      <c r="B531" s="58">
        <f t="shared" si="16"/>
        <v>44552.874999998727</v>
      </c>
      <c r="C531" s="110">
        <f>GEServed!K527</f>
        <v>6</v>
      </c>
      <c r="D531" s="110"/>
    </row>
    <row r="532" spans="1:4" x14ac:dyDescent="0.25">
      <c r="A532" s="58">
        <f t="shared" si="17"/>
        <v>44552.874999998727</v>
      </c>
      <c r="B532" s="58">
        <f t="shared" si="16"/>
        <v>44552.916666665391</v>
      </c>
      <c r="C532" s="110">
        <f>GEServed!K528</f>
        <v>6</v>
      </c>
      <c r="D532" s="110"/>
    </row>
    <row r="533" spans="1:4" x14ac:dyDescent="0.25">
      <c r="A533" s="58">
        <f t="shared" si="17"/>
        <v>44552.916666665391</v>
      </c>
      <c r="B533" s="58">
        <f t="shared" si="16"/>
        <v>44552.958333332055</v>
      </c>
      <c r="C533" s="110">
        <f>GEServed!K529</f>
        <v>6</v>
      </c>
      <c r="D533" s="110"/>
    </row>
    <row r="534" spans="1:4" x14ac:dyDescent="0.25">
      <c r="A534" s="58">
        <f t="shared" si="17"/>
        <v>44552.958333332055</v>
      </c>
      <c r="B534" s="58">
        <f t="shared" si="16"/>
        <v>44552.999999998719</v>
      </c>
      <c r="C534" s="110">
        <f>GEServed!K530</f>
        <v>5</v>
      </c>
      <c r="D534" s="110"/>
    </row>
    <row r="535" spans="1:4" x14ac:dyDescent="0.25">
      <c r="A535" s="58">
        <f t="shared" si="17"/>
        <v>44552.999999998719</v>
      </c>
      <c r="B535" s="58">
        <f t="shared" si="16"/>
        <v>44553.041666665384</v>
      </c>
      <c r="C535" s="110">
        <f>GEServed!K531</f>
        <v>6</v>
      </c>
      <c r="D535" s="110"/>
    </row>
    <row r="536" spans="1:4" x14ac:dyDescent="0.25">
      <c r="A536" s="58">
        <f t="shared" si="17"/>
        <v>44553.041666665384</v>
      </c>
      <c r="B536" s="58">
        <f t="shared" si="16"/>
        <v>44553.083333332048</v>
      </c>
      <c r="C536" s="110">
        <f>GEServed!K532</f>
        <v>6</v>
      </c>
      <c r="D536" s="110"/>
    </row>
    <row r="537" spans="1:4" x14ac:dyDescent="0.25">
      <c r="A537" s="58">
        <f t="shared" si="17"/>
        <v>44553.083333332048</v>
      </c>
      <c r="B537" s="58">
        <f t="shared" si="16"/>
        <v>44553.124999998712</v>
      </c>
      <c r="C537" s="110">
        <f>GEServed!K533</f>
        <v>6</v>
      </c>
      <c r="D537" s="110"/>
    </row>
    <row r="538" spans="1:4" x14ac:dyDescent="0.25">
      <c r="A538" s="58">
        <f t="shared" si="17"/>
        <v>44553.124999998712</v>
      </c>
      <c r="B538" s="58">
        <f t="shared" si="16"/>
        <v>44553.166666665376</v>
      </c>
      <c r="C538" s="110">
        <f>GEServed!K534</f>
        <v>6</v>
      </c>
      <c r="D538" s="110"/>
    </row>
    <row r="539" spans="1:4" x14ac:dyDescent="0.25">
      <c r="A539" s="58">
        <f t="shared" si="17"/>
        <v>44553.166666665376</v>
      </c>
      <c r="B539" s="58">
        <f t="shared" si="16"/>
        <v>44553.208333332041</v>
      </c>
      <c r="C539" s="110">
        <f>GEServed!K535</f>
        <v>6</v>
      </c>
      <c r="D539" s="110"/>
    </row>
    <row r="540" spans="1:4" x14ac:dyDescent="0.25">
      <c r="A540" s="58">
        <f t="shared" si="17"/>
        <v>44553.208333332041</v>
      </c>
      <c r="B540" s="58">
        <f t="shared" si="16"/>
        <v>44553.249999998705</v>
      </c>
      <c r="C540" s="110">
        <f>GEServed!K536</f>
        <v>6</v>
      </c>
      <c r="D540" s="110"/>
    </row>
    <row r="541" spans="1:4" x14ac:dyDescent="0.25">
      <c r="A541" s="58">
        <f t="shared" si="17"/>
        <v>44553.249999998705</v>
      </c>
      <c r="B541" s="58">
        <f t="shared" si="16"/>
        <v>44553.291666665369</v>
      </c>
      <c r="C541" s="110">
        <f>GEServed!K537</f>
        <v>6</v>
      </c>
      <c r="D541" s="110"/>
    </row>
    <row r="542" spans="1:4" x14ac:dyDescent="0.25">
      <c r="A542" s="58">
        <f t="shared" si="17"/>
        <v>44553.291666665369</v>
      </c>
      <c r="B542" s="58">
        <f t="shared" si="16"/>
        <v>44553.333333332033</v>
      </c>
      <c r="C542" s="110">
        <f>GEServed!K538</f>
        <v>6</v>
      </c>
      <c r="D542" s="110"/>
    </row>
    <row r="543" spans="1:4" x14ac:dyDescent="0.25">
      <c r="A543" s="58">
        <f t="shared" si="17"/>
        <v>44553.333333332033</v>
      </c>
      <c r="B543" s="58">
        <f t="shared" si="16"/>
        <v>44553.374999998698</v>
      </c>
      <c r="C543" s="110">
        <f>GEServed!K539</f>
        <v>5</v>
      </c>
      <c r="D543" s="110"/>
    </row>
    <row r="544" spans="1:4" x14ac:dyDescent="0.25">
      <c r="A544" s="58">
        <f t="shared" si="17"/>
        <v>44553.374999998698</v>
      </c>
      <c r="B544" s="58">
        <f t="shared" si="16"/>
        <v>44553.416666665362</v>
      </c>
      <c r="C544" s="110">
        <f>GEServed!K540</f>
        <v>5</v>
      </c>
      <c r="D544" s="110"/>
    </row>
    <row r="545" spans="1:4" x14ac:dyDescent="0.25">
      <c r="A545" s="58">
        <f t="shared" si="17"/>
        <v>44553.416666665362</v>
      </c>
      <c r="B545" s="58">
        <f t="shared" si="16"/>
        <v>44553.458333332026</v>
      </c>
      <c r="C545" s="110">
        <f>GEServed!K541</f>
        <v>5</v>
      </c>
      <c r="D545" s="110"/>
    </row>
    <row r="546" spans="1:4" x14ac:dyDescent="0.25">
      <c r="A546" s="58">
        <f t="shared" si="17"/>
        <v>44553.458333332026</v>
      </c>
      <c r="B546" s="58">
        <f t="shared" si="16"/>
        <v>44553.49999999869</v>
      </c>
      <c r="C546" s="110">
        <f>GEServed!K542</f>
        <v>5</v>
      </c>
      <c r="D546" s="110"/>
    </row>
    <row r="547" spans="1:4" x14ac:dyDescent="0.25">
      <c r="A547" s="58">
        <f t="shared" si="17"/>
        <v>44553.49999999869</v>
      </c>
      <c r="B547" s="58">
        <f t="shared" si="16"/>
        <v>44553.541666665355</v>
      </c>
      <c r="C547" s="110">
        <f>GEServed!K543</f>
        <v>5</v>
      </c>
      <c r="D547" s="110"/>
    </row>
    <row r="548" spans="1:4" x14ac:dyDescent="0.25">
      <c r="A548" s="58">
        <f t="shared" si="17"/>
        <v>44553.541666665355</v>
      </c>
      <c r="B548" s="58">
        <f t="shared" si="16"/>
        <v>44553.583333332019</v>
      </c>
      <c r="C548" s="110">
        <f>GEServed!K544</f>
        <v>5</v>
      </c>
      <c r="D548" s="110"/>
    </row>
    <row r="549" spans="1:4" x14ac:dyDescent="0.25">
      <c r="A549" s="58">
        <f t="shared" si="17"/>
        <v>44553.583333332019</v>
      </c>
      <c r="B549" s="58">
        <f t="shared" si="16"/>
        <v>44553.624999998683</v>
      </c>
      <c r="C549" s="110">
        <f>GEServed!K545</f>
        <v>5</v>
      </c>
      <c r="D549" s="110"/>
    </row>
    <row r="550" spans="1:4" x14ac:dyDescent="0.25">
      <c r="A550" s="58">
        <f t="shared" si="17"/>
        <v>44553.624999998683</v>
      </c>
      <c r="B550" s="58">
        <f t="shared" si="16"/>
        <v>44553.666666665347</v>
      </c>
      <c r="C550" s="110">
        <f>GEServed!K546</f>
        <v>5</v>
      </c>
      <c r="D550" s="110"/>
    </row>
    <row r="551" spans="1:4" x14ac:dyDescent="0.25">
      <c r="A551" s="58">
        <f t="shared" si="17"/>
        <v>44553.666666665347</v>
      </c>
      <c r="B551" s="58">
        <f t="shared" si="16"/>
        <v>44553.708333332012</v>
      </c>
      <c r="C551" s="110">
        <f>GEServed!K547</f>
        <v>5</v>
      </c>
      <c r="D551" s="110"/>
    </row>
    <row r="552" spans="1:4" x14ac:dyDescent="0.25">
      <c r="A552" s="58">
        <f t="shared" si="17"/>
        <v>44553.708333332012</v>
      </c>
      <c r="B552" s="58">
        <f t="shared" si="16"/>
        <v>44553.749999998676</v>
      </c>
      <c r="C552" s="110">
        <f>GEServed!K548</f>
        <v>5</v>
      </c>
      <c r="D552" s="110"/>
    </row>
    <row r="553" spans="1:4" x14ac:dyDescent="0.25">
      <c r="A553" s="58">
        <f t="shared" si="17"/>
        <v>44553.749999998676</v>
      </c>
      <c r="B553" s="58">
        <f t="shared" si="16"/>
        <v>44553.79166666534</v>
      </c>
      <c r="C553" s="110">
        <f>GEServed!K549</f>
        <v>6</v>
      </c>
      <c r="D553" s="110"/>
    </row>
    <row r="554" spans="1:4" x14ac:dyDescent="0.25">
      <c r="A554" s="58">
        <f t="shared" si="17"/>
        <v>44553.79166666534</v>
      </c>
      <c r="B554" s="58">
        <f t="shared" si="16"/>
        <v>44553.833333332004</v>
      </c>
      <c r="C554" s="110">
        <f>GEServed!K550</f>
        <v>0</v>
      </c>
      <c r="D554" s="110"/>
    </row>
    <row r="555" spans="1:4" x14ac:dyDescent="0.25">
      <c r="A555" s="58">
        <f t="shared" si="17"/>
        <v>44553.833333332004</v>
      </c>
      <c r="B555" s="58">
        <f t="shared" si="16"/>
        <v>44553.874999998668</v>
      </c>
      <c r="C555" s="110">
        <f>GEServed!K551</f>
        <v>11</v>
      </c>
      <c r="D555" s="110"/>
    </row>
    <row r="556" spans="1:4" x14ac:dyDescent="0.25">
      <c r="A556" s="58">
        <f t="shared" si="17"/>
        <v>44553.874999998668</v>
      </c>
      <c r="B556" s="58">
        <f t="shared" si="16"/>
        <v>44553.916666665333</v>
      </c>
      <c r="C556" s="110">
        <f>GEServed!K552</f>
        <v>6</v>
      </c>
      <c r="D556" s="110"/>
    </row>
    <row r="557" spans="1:4" x14ac:dyDescent="0.25">
      <c r="A557" s="58">
        <f t="shared" si="17"/>
        <v>44553.916666665333</v>
      </c>
      <c r="B557" s="58">
        <f t="shared" si="16"/>
        <v>44553.958333331997</v>
      </c>
      <c r="C557" s="110">
        <f>GEServed!K553</f>
        <v>6</v>
      </c>
      <c r="D557" s="110"/>
    </row>
    <row r="558" spans="1:4" x14ac:dyDescent="0.25">
      <c r="A558" s="58">
        <f t="shared" si="17"/>
        <v>44553.958333331997</v>
      </c>
      <c r="B558" s="58">
        <f t="shared" si="16"/>
        <v>44553.999999998661</v>
      </c>
      <c r="C558" s="110">
        <f>GEServed!K554</f>
        <v>5</v>
      </c>
      <c r="D558" s="110"/>
    </row>
    <row r="559" spans="1:4" x14ac:dyDescent="0.25">
      <c r="A559" s="58">
        <f t="shared" si="17"/>
        <v>44553.999999998661</v>
      </c>
      <c r="B559" s="58">
        <f t="shared" si="16"/>
        <v>44554.041666665325</v>
      </c>
      <c r="C559" s="110">
        <f>GEServed!K555</f>
        <v>6</v>
      </c>
      <c r="D559" s="110"/>
    </row>
    <row r="560" spans="1:4" x14ac:dyDescent="0.25">
      <c r="A560" s="58">
        <f t="shared" si="17"/>
        <v>44554.041666665325</v>
      </c>
      <c r="B560" s="58">
        <f t="shared" si="16"/>
        <v>44554.08333333199</v>
      </c>
      <c r="C560" s="110">
        <f>GEServed!K556</f>
        <v>6</v>
      </c>
      <c r="D560" s="110"/>
    </row>
    <row r="561" spans="1:4" x14ac:dyDescent="0.25">
      <c r="A561" s="58">
        <f t="shared" si="17"/>
        <v>44554.08333333199</v>
      </c>
      <c r="B561" s="58">
        <f t="shared" si="16"/>
        <v>44554.124999998654</v>
      </c>
      <c r="C561" s="110">
        <f>GEServed!K557</f>
        <v>6</v>
      </c>
      <c r="D561" s="110"/>
    </row>
    <row r="562" spans="1:4" x14ac:dyDescent="0.25">
      <c r="A562" s="58">
        <f t="shared" si="17"/>
        <v>44554.124999998654</v>
      </c>
      <c r="B562" s="58">
        <f t="shared" si="16"/>
        <v>44554.166666665318</v>
      </c>
      <c r="C562" s="110">
        <f>GEServed!K558</f>
        <v>6</v>
      </c>
      <c r="D562" s="110"/>
    </row>
    <row r="563" spans="1:4" x14ac:dyDescent="0.25">
      <c r="A563" s="58">
        <f t="shared" si="17"/>
        <v>44554.166666665318</v>
      </c>
      <c r="B563" s="58">
        <f t="shared" si="16"/>
        <v>44554.208333331982</v>
      </c>
      <c r="C563" s="110">
        <f>GEServed!K559</f>
        <v>6</v>
      </c>
      <c r="D563" s="110"/>
    </row>
    <row r="564" spans="1:4" x14ac:dyDescent="0.25">
      <c r="A564" s="58">
        <f t="shared" si="17"/>
        <v>44554.208333331982</v>
      </c>
      <c r="B564" s="58">
        <f t="shared" si="16"/>
        <v>44554.249999998647</v>
      </c>
      <c r="C564" s="110">
        <f>GEServed!K560</f>
        <v>6</v>
      </c>
      <c r="D564" s="110"/>
    </row>
    <row r="565" spans="1:4" x14ac:dyDescent="0.25">
      <c r="A565" s="58">
        <f t="shared" si="17"/>
        <v>44554.249999998647</v>
      </c>
      <c r="B565" s="58">
        <f t="shared" si="16"/>
        <v>44554.291666665311</v>
      </c>
      <c r="C565" s="110">
        <f>GEServed!K561</f>
        <v>6</v>
      </c>
      <c r="D565" s="110"/>
    </row>
    <row r="566" spans="1:4" x14ac:dyDescent="0.25">
      <c r="A566" s="58">
        <f t="shared" si="17"/>
        <v>44554.291666665311</v>
      </c>
      <c r="B566" s="58">
        <f t="shared" si="16"/>
        <v>44554.333333331975</v>
      </c>
      <c r="C566" s="110">
        <f>GEServed!K562</f>
        <v>6</v>
      </c>
      <c r="D566" s="110"/>
    </row>
    <row r="567" spans="1:4" x14ac:dyDescent="0.25">
      <c r="A567" s="58">
        <f t="shared" si="17"/>
        <v>44554.333333331975</v>
      </c>
      <c r="B567" s="58">
        <f t="shared" si="16"/>
        <v>44554.374999998639</v>
      </c>
      <c r="C567" s="110">
        <f>GEServed!K563</f>
        <v>5</v>
      </c>
      <c r="D567" s="110"/>
    </row>
    <row r="568" spans="1:4" x14ac:dyDescent="0.25">
      <c r="A568" s="58">
        <f t="shared" si="17"/>
        <v>44554.374999998639</v>
      </c>
      <c r="B568" s="58">
        <f t="shared" si="16"/>
        <v>44554.416666665304</v>
      </c>
      <c r="C568" s="110">
        <f>GEServed!K564</f>
        <v>5</v>
      </c>
      <c r="D568" s="110"/>
    </row>
    <row r="569" spans="1:4" x14ac:dyDescent="0.25">
      <c r="A569" s="58">
        <f t="shared" si="17"/>
        <v>44554.416666665304</v>
      </c>
      <c r="B569" s="58">
        <f t="shared" si="16"/>
        <v>44554.458333331968</v>
      </c>
      <c r="C569" s="110">
        <f>GEServed!K565</f>
        <v>5</v>
      </c>
      <c r="D569" s="110"/>
    </row>
    <row r="570" spans="1:4" x14ac:dyDescent="0.25">
      <c r="A570" s="58">
        <f t="shared" si="17"/>
        <v>44554.458333331968</v>
      </c>
      <c r="B570" s="58">
        <f t="shared" si="16"/>
        <v>44554.499999998632</v>
      </c>
      <c r="C570" s="110">
        <f>GEServed!K566</f>
        <v>5</v>
      </c>
      <c r="D570" s="110"/>
    </row>
    <row r="571" spans="1:4" x14ac:dyDescent="0.25">
      <c r="A571" s="58">
        <f t="shared" si="17"/>
        <v>44554.499999998632</v>
      </c>
      <c r="B571" s="58">
        <f t="shared" si="16"/>
        <v>44554.541666665296</v>
      </c>
      <c r="C571" s="110">
        <f>GEServed!K567</f>
        <v>5</v>
      </c>
      <c r="D571" s="110"/>
    </row>
    <row r="572" spans="1:4" x14ac:dyDescent="0.25">
      <c r="A572" s="58">
        <f t="shared" si="17"/>
        <v>44554.541666665296</v>
      </c>
      <c r="B572" s="58">
        <f t="shared" si="16"/>
        <v>44554.583333331961</v>
      </c>
      <c r="C572" s="110">
        <f>GEServed!K568</f>
        <v>0</v>
      </c>
      <c r="D572" s="110"/>
    </row>
    <row r="573" spans="1:4" x14ac:dyDescent="0.25">
      <c r="A573" s="58">
        <f t="shared" si="17"/>
        <v>44554.583333331961</v>
      </c>
      <c r="B573" s="58">
        <f t="shared" si="16"/>
        <v>44554.624999998625</v>
      </c>
      <c r="C573" s="110">
        <f>GEServed!K569</f>
        <v>5</v>
      </c>
      <c r="D573" s="110"/>
    </row>
    <row r="574" spans="1:4" x14ac:dyDescent="0.25">
      <c r="A574" s="58">
        <f t="shared" si="17"/>
        <v>44554.624999998625</v>
      </c>
      <c r="B574" s="58">
        <f t="shared" si="16"/>
        <v>44554.666666665289</v>
      </c>
      <c r="C574" s="110">
        <f>GEServed!K570</f>
        <v>5</v>
      </c>
      <c r="D574" s="110"/>
    </row>
    <row r="575" spans="1:4" x14ac:dyDescent="0.25">
      <c r="A575" s="58">
        <f t="shared" si="17"/>
        <v>44554.666666665289</v>
      </c>
      <c r="B575" s="58">
        <f t="shared" si="16"/>
        <v>44554.708333331953</v>
      </c>
      <c r="C575" s="110">
        <f>GEServed!K571</f>
        <v>5</v>
      </c>
      <c r="D575" s="110"/>
    </row>
    <row r="576" spans="1:4" x14ac:dyDescent="0.25">
      <c r="A576" s="58">
        <f t="shared" si="17"/>
        <v>44554.708333331953</v>
      </c>
      <c r="B576" s="58">
        <f t="shared" si="16"/>
        <v>44554.749999998618</v>
      </c>
      <c r="C576" s="110">
        <f>GEServed!K572</f>
        <v>5</v>
      </c>
      <c r="D576" s="110"/>
    </row>
    <row r="577" spans="1:4" x14ac:dyDescent="0.25">
      <c r="A577" s="58">
        <f t="shared" si="17"/>
        <v>44554.749999998618</v>
      </c>
      <c r="B577" s="58">
        <f t="shared" si="16"/>
        <v>44554.791666665282</v>
      </c>
      <c r="C577" s="110">
        <f>GEServed!K573</f>
        <v>6</v>
      </c>
      <c r="D577" s="110"/>
    </row>
    <row r="578" spans="1:4" x14ac:dyDescent="0.25">
      <c r="A578" s="58">
        <f t="shared" si="17"/>
        <v>44554.791666665282</v>
      </c>
      <c r="B578" s="58">
        <f t="shared" si="16"/>
        <v>44554.833333331946</v>
      </c>
      <c r="C578" s="110">
        <f>GEServed!K574</f>
        <v>6</v>
      </c>
      <c r="D578" s="110"/>
    </row>
    <row r="579" spans="1:4" x14ac:dyDescent="0.25">
      <c r="A579" s="58">
        <f t="shared" si="17"/>
        <v>44554.833333331946</v>
      </c>
      <c r="B579" s="58">
        <f t="shared" si="16"/>
        <v>44554.87499999861</v>
      </c>
      <c r="C579" s="110">
        <f>GEServed!K575</f>
        <v>6</v>
      </c>
      <c r="D579" s="110"/>
    </row>
    <row r="580" spans="1:4" x14ac:dyDescent="0.25">
      <c r="A580" s="58">
        <f t="shared" si="17"/>
        <v>44554.87499999861</v>
      </c>
      <c r="B580" s="58">
        <f t="shared" si="16"/>
        <v>44554.916666665275</v>
      </c>
      <c r="C580" s="110">
        <f>GEServed!K576</f>
        <v>6</v>
      </c>
      <c r="D580" s="110"/>
    </row>
    <row r="581" spans="1:4" x14ac:dyDescent="0.25">
      <c r="A581" s="58">
        <f t="shared" si="17"/>
        <v>44554.916666665275</v>
      </c>
      <c r="B581" s="58">
        <f t="shared" si="16"/>
        <v>44554.958333331939</v>
      </c>
      <c r="C581" s="110">
        <f>GEServed!K577</f>
        <v>6</v>
      </c>
      <c r="D581" s="110"/>
    </row>
    <row r="582" spans="1:4" x14ac:dyDescent="0.25">
      <c r="A582" s="58">
        <f t="shared" si="17"/>
        <v>44554.958333331939</v>
      </c>
      <c r="B582" s="58">
        <f t="shared" si="16"/>
        <v>44554.999999998603</v>
      </c>
      <c r="C582" s="110">
        <f>GEServed!K578</f>
        <v>5</v>
      </c>
      <c r="D582" s="110"/>
    </row>
    <row r="583" spans="1:4" x14ac:dyDescent="0.25">
      <c r="A583" s="58">
        <f t="shared" si="17"/>
        <v>44554.999999998603</v>
      </c>
      <c r="B583" s="58">
        <f t="shared" si="16"/>
        <v>44555.041666665267</v>
      </c>
      <c r="C583" s="110">
        <f>GEServed!K579</f>
        <v>6</v>
      </c>
      <c r="D583" s="110"/>
    </row>
    <row r="584" spans="1:4" x14ac:dyDescent="0.25">
      <c r="A584" s="58">
        <f t="shared" si="17"/>
        <v>44555.041666665267</v>
      </c>
      <c r="B584" s="58">
        <f t="shared" ref="B584:B647" si="18">$A584+1/24</f>
        <v>44555.083333331931</v>
      </c>
      <c r="C584" s="110">
        <f>GEServed!K580</f>
        <v>6</v>
      </c>
      <c r="D584" s="110"/>
    </row>
    <row r="585" spans="1:4" x14ac:dyDescent="0.25">
      <c r="A585" s="58">
        <f t="shared" ref="A585:A648" si="19">$A584+1/24</f>
        <v>44555.083333331931</v>
      </c>
      <c r="B585" s="58">
        <f t="shared" si="18"/>
        <v>44555.124999998596</v>
      </c>
      <c r="C585" s="110">
        <f>GEServed!K581</f>
        <v>6</v>
      </c>
      <c r="D585" s="110"/>
    </row>
    <row r="586" spans="1:4" x14ac:dyDescent="0.25">
      <c r="A586" s="58">
        <f t="shared" si="19"/>
        <v>44555.124999998596</v>
      </c>
      <c r="B586" s="58">
        <f t="shared" si="18"/>
        <v>44555.16666666526</v>
      </c>
      <c r="C586" s="110">
        <f>GEServed!K582</f>
        <v>6</v>
      </c>
      <c r="D586" s="110"/>
    </row>
    <row r="587" spans="1:4" x14ac:dyDescent="0.25">
      <c r="A587" s="58">
        <f t="shared" si="19"/>
        <v>44555.16666666526</v>
      </c>
      <c r="B587" s="58">
        <f t="shared" si="18"/>
        <v>44555.208333331924</v>
      </c>
      <c r="C587" s="110">
        <f>GEServed!K583</f>
        <v>6</v>
      </c>
      <c r="D587" s="110"/>
    </row>
    <row r="588" spans="1:4" x14ac:dyDescent="0.25">
      <c r="A588" s="58">
        <f t="shared" si="19"/>
        <v>44555.208333331924</v>
      </c>
      <c r="B588" s="58">
        <f t="shared" si="18"/>
        <v>44555.249999998588</v>
      </c>
      <c r="C588" s="110">
        <f>GEServed!K584</f>
        <v>6</v>
      </c>
      <c r="D588" s="110"/>
    </row>
    <row r="589" spans="1:4" x14ac:dyDescent="0.25">
      <c r="A589" s="58">
        <f t="shared" si="19"/>
        <v>44555.249999998588</v>
      </c>
      <c r="B589" s="58">
        <f t="shared" si="18"/>
        <v>44555.291666665253</v>
      </c>
      <c r="C589" s="110">
        <f>GEServed!K585</f>
        <v>6</v>
      </c>
      <c r="D589" s="110"/>
    </row>
    <row r="590" spans="1:4" x14ac:dyDescent="0.25">
      <c r="A590" s="58">
        <f t="shared" si="19"/>
        <v>44555.291666665253</v>
      </c>
      <c r="B590" s="58">
        <f t="shared" si="18"/>
        <v>44555.333333331917</v>
      </c>
      <c r="C590" s="110">
        <f>GEServed!K586</f>
        <v>6</v>
      </c>
      <c r="D590" s="110"/>
    </row>
    <row r="591" spans="1:4" x14ac:dyDescent="0.25">
      <c r="A591" s="58">
        <f t="shared" si="19"/>
        <v>44555.333333331917</v>
      </c>
      <c r="B591" s="58">
        <f t="shared" si="18"/>
        <v>44555.374999998581</v>
      </c>
      <c r="C591" s="110">
        <f>GEServed!K587</f>
        <v>5</v>
      </c>
      <c r="D591" s="110"/>
    </row>
    <row r="592" spans="1:4" x14ac:dyDescent="0.25">
      <c r="A592" s="58">
        <f t="shared" si="19"/>
        <v>44555.374999998581</v>
      </c>
      <c r="B592" s="58">
        <f t="shared" si="18"/>
        <v>44555.416666665245</v>
      </c>
      <c r="C592" s="110">
        <f>GEServed!K588</f>
        <v>5</v>
      </c>
      <c r="D592" s="110"/>
    </row>
    <row r="593" spans="1:4" x14ac:dyDescent="0.25">
      <c r="A593" s="58">
        <f t="shared" si="19"/>
        <v>44555.416666665245</v>
      </c>
      <c r="B593" s="58">
        <f t="shared" si="18"/>
        <v>44555.45833333191</v>
      </c>
      <c r="C593" s="110">
        <f>GEServed!K589</f>
        <v>5</v>
      </c>
      <c r="D593" s="110"/>
    </row>
    <row r="594" spans="1:4" x14ac:dyDescent="0.25">
      <c r="A594" s="58">
        <f t="shared" si="19"/>
        <v>44555.45833333191</v>
      </c>
      <c r="B594" s="58">
        <f t="shared" si="18"/>
        <v>44555.499999998574</v>
      </c>
      <c r="C594" s="110">
        <f>GEServed!K590</f>
        <v>5</v>
      </c>
      <c r="D594" s="110"/>
    </row>
    <row r="595" spans="1:4" x14ac:dyDescent="0.25">
      <c r="A595" s="58">
        <f t="shared" si="19"/>
        <v>44555.499999998574</v>
      </c>
      <c r="B595" s="58">
        <f t="shared" si="18"/>
        <v>44555.541666665238</v>
      </c>
      <c r="C595" s="110">
        <f>GEServed!K591</f>
        <v>5</v>
      </c>
      <c r="D595" s="110"/>
    </row>
    <row r="596" spans="1:4" x14ac:dyDescent="0.25">
      <c r="A596" s="58">
        <f t="shared" si="19"/>
        <v>44555.541666665238</v>
      </c>
      <c r="B596" s="58">
        <f t="shared" si="18"/>
        <v>44555.583333331902</v>
      </c>
      <c r="C596" s="110">
        <f>GEServed!K592</f>
        <v>5</v>
      </c>
      <c r="D596" s="110"/>
    </row>
    <row r="597" spans="1:4" x14ac:dyDescent="0.25">
      <c r="A597" s="58">
        <f t="shared" si="19"/>
        <v>44555.583333331902</v>
      </c>
      <c r="B597" s="58">
        <f t="shared" si="18"/>
        <v>44555.624999998567</v>
      </c>
      <c r="C597" s="110">
        <f>GEServed!K593</f>
        <v>5</v>
      </c>
      <c r="D597" s="110"/>
    </row>
    <row r="598" spans="1:4" x14ac:dyDescent="0.25">
      <c r="A598" s="58">
        <f t="shared" si="19"/>
        <v>44555.624999998567</v>
      </c>
      <c r="B598" s="58">
        <f t="shared" si="18"/>
        <v>44555.666666665231</v>
      </c>
      <c r="C598" s="110">
        <f>GEServed!K594</f>
        <v>5</v>
      </c>
      <c r="D598" s="110"/>
    </row>
    <row r="599" spans="1:4" x14ac:dyDescent="0.25">
      <c r="A599" s="58">
        <f t="shared" si="19"/>
        <v>44555.666666665231</v>
      </c>
      <c r="B599" s="58">
        <f t="shared" si="18"/>
        <v>44555.708333331895</v>
      </c>
      <c r="C599" s="110">
        <f>GEServed!K595</f>
        <v>5</v>
      </c>
      <c r="D599" s="110"/>
    </row>
    <row r="600" spans="1:4" x14ac:dyDescent="0.25">
      <c r="A600" s="58">
        <f t="shared" si="19"/>
        <v>44555.708333331895</v>
      </c>
      <c r="B600" s="58">
        <f t="shared" si="18"/>
        <v>44555.749999998559</v>
      </c>
      <c r="C600" s="110">
        <f>GEServed!K596</f>
        <v>5</v>
      </c>
      <c r="D600" s="110"/>
    </row>
    <row r="601" spans="1:4" x14ac:dyDescent="0.25">
      <c r="A601" s="58">
        <f t="shared" si="19"/>
        <v>44555.749999998559</v>
      </c>
      <c r="B601" s="58">
        <f t="shared" si="18"/>
        <v>44555.791666665224</v>
      </c>
      <c r="C601" s="110">
        <f>GEServed!K597</f>
        <v>6</v>
      </c>
      <c r="D601" s="110"/>
    </row>
    <row r="602" spans="1:4" x14ac:dyDescent="0.25">
      <c r="A602" s="58">
        <f t="shared" si="19"/>
        <v>44555.791666665224</v>
      </c>
      <c r="B602" s="58">
        <f t="shared" si="18"/>
        <v>44555.833333331888</v>
      </c>
      <c r="C602" s="110">
        <f>GEServed!K598</f>
        <v>6</v>
      </c>
      <c r="D602" s="110"/>
    </row>
    <row r="603" spans="1:4" x14ac:dyDescent="0.25">
      <c r="A603" s="58">
        <f t="shared" si="19"/>
        <v>44555.833333331888</v>
      </c>
      <c r="B603" s="58">
        <f t="shared" si="18"/>
        <v>44555.874999998552</v>
      </c>
      <c r="C603" s="110">
        <f>GEServed!K599</f>
        <v>0</v>
      </c>
      <c r="D603" s="110"/>
    </row>
    <row r="604" spans="1:4" x14ac:dyDescent="0.25">
      <c r="A604" s="58">
        <f t="shared" si="19"/>
        <v>44555.874999998552</v>
      </c>
      <c r="B604" s="58">
        <f t="shared" si="18"/>
        <v>44555.916666665216</v>
      </c>
      <c r="C604" s="110">
        <f>GEServed!K600</f>
        <v>11</v>
      </c>
      <c r="D604" s="110"/>
    </row>
    <row r="605" spans="1:4" x14ac:dyDescent="0.25">
      <c r="A605" s="58">
        <f t="shared" si="19"/>
        <v>44555.916666665216</v>
      </c>
      <c r="B605" s="58">
        <f t="shared" si="18"/>
        <v>44555.958333331881</v>
      </c>
      <c r="C605" s="110">
        <f>GEServed!K601</f>
        <v>6</v>
      </c>
      <c r="D605" s="110"/>
    </row>
    <row r="606" spans="1:4" x14ac:dyDescent="0.25">
      <c r="A606" s="58">
        <f t="shared" si="19"/>
        <v>44555.958333331881</v>
      </c>
      <c r="B606" s="58">
        <f t="shared" si="18"/>
        <v>44555.999999998545</v>
      </c>
      <c r="C606" s="110">
        <f>GEServed!K602</f>
        <v>2</v>
      </c>
      <c r="D606" s="110"/>
    </row>
    <row r="607" spans="1:4" x14ac:dyDescent="0.25">
      <c r="A607" s="58">
        <f t="shared" si="19"/>
        <v>44555.999999998545</v>
      </c>
      <c r="B607" s="58">
        <f t="shared" si="18"/>
        <v>44556.041666665209</v>
      </c>
      <c r="C607" s="110">
        <f>GEServed!K603</f>
        <v>6</v>
      </c>
      <c r="D607" s="110"/>
    </row>
    <row r="608" spans="1:4" x14ac:dyDescent="0.25">
      <c r="A608" s="58">
        <f t="shared" si="19"/>
        <v>44556.041666665209</v>
      </c>
      <c r="B608" s="58">
        <f t="shared" si="18"/>
        <v>44556.083333331873</v>
      </c>
      <c r="C608" s="110">
        <f>GEServed!K604</f>
        <v>5</v>
      </c>
      <c r="D608" s="110"/>
    </row>
    <row r="609" spans="1:4" x14ac:dyDescent="0.25">
      <c r="A609" s="58">
        <f t="shared" si="19"/>
        <v>44556.083333331873</v>
      </c>
      <c r="B609" s="58">
        <f t="shared" si="18"/>
        <v>44556.124999998538</v>
      </c>
      <c r="C609" s="110">
        <f>GEServed!K605</f>
        <v>5</v>
      </c>
      <c r="D609" s="110"/>
    </row>
    <row r="610" spans="1:4" x14ac:dyDescent="0.25">
      <c r="A610" s="58">
        <f t="shared" si="19"/>
        <v>44556.124999998538</v>
      </c>
      <c r="B610" s="58">
        <f t="shared" si="18"/>
        <v>44556.166666665202</v>
      </c>
      <c r="C610" s="110">
        <f>GEServed!K606</f>
        <v>5</v>
      </c>
      <c r="D610" s="110"/>
    </row>
    <row r="611" spans="1:4" x14ac:dyDescent="0.25">
      <c r="A611" s="58">
        <f t="shared" si="19"/>
        <v>44556.166666665202</v>
      </c>
      <c r="B611" s="58">
        <f t="shared" si="18"/>
        <v>44556.208333331866</v>
      </c>
      <c r="C611" s="110">
        <f>GEServed!K607</f>
        <v>11</v>
      </c>
      <c r="D611" s="110"/>
    </row>
    <row r="612" spans="1:4" x14ac:dyDescent="0.25">
      <c r="A612" s="58">
        <f t="shared" si="19"/>
        <v>44556.208333331866</v>
      </c>
      <c r="B612" s="58">
        <f t="shared" si="18"/>
        <v>44556.24999999853</v>
      </c>
      <c r="C612" s="110">
        <f>GEServed!K608</f>
        <v>6</v>
      </c>
      <c r="D612" s="110"/>
    </row>
    <row r="613" spans="1:4" x14ac:dyDescent="0.25">
      <c r="A613" s="58">
        <f t="shared" si="19"/>
        <v>44556.24999999853</v>
      </c>
      <c r="B613" s="58">
        <f t="shared" si="18"/>
        <v>44556.291666665194</v>
      </c>
      <c r="C613" s="110">
        <f>GEServed!K609</f>
        <v>6</v>
      </c>
      <c r="D613" s="110"/>
    </row>
    <row r="614" spans="1:4" x14ac:dyDescent="0.25">
      <c r="A614" s="58">
        <f t="shared" si="19"/>
        <v>44556.291666665194</v>
      </c>
      <c r="B614" s="58">
        <f t="shared" si="18"/>
        <v>44556.333333331859</v>
      </c>
      <c r="C614" s="110">
        <f>GEServed!K610</f>
        <v>6</v>
      </c>
      <c r="D614" s="110"/>
    </row>
    <row r="615" spans="1:4" x14ac:dyDescent="0.25">
      <c r="A615" s="58">
        <f t="shared" si="19"/>
        <v>44556.333333331859</v>
      </c>
      <c r="B615" s="58">
        <f t="shared" si="18"/>
        <v>44556.374999998523</v>
      </c>
      <c r="C615" s="110">
        <f>GEServed!K611</f>
        <v>5</v>
      </c>
      <c r="D615" s="110"/>
    </row>
    <row r="616" spans="1:4" x14ac:dyDescent="0.25">
      <c r="A616" s="58">
        <f t="shared" si="19"/>
        <v>44556.374999998523</v>
      </c>
      <c r="B616" s="58">
        <f t="shared" si="18"/>
        <v>44556.416666665187</v>
      </c>
      <c r="C616" s="110">
        <f>GEServed!K612</f>
        <v>5</v>
      </c>
      <c r="D616" s="110"/>
    </row>
    <row r="617" spans="1:4" x14ac:dyDescent="0.25">
      <c r="A617" s="58">
        <f t="shared" si="19"/>
        <v>44556.416666665187</v>
      </c>
      <c r="B617" s="58">
        <f t="shared" si="18"/>
        <v>44556.458333331851</v>
      </c>
      <c r="C617" s="110">
        <f>GEServed!K613</f>
        <v>5</v>
      </c>
      <c r="D617" s="110"/>
    </row>
    <row r="618" spans="1:4" x14ac:dyDescent="0.25">
      <c r="A618" s="58">
        <f t="shared" si="19"/>
        <v>44556.458333331851</v>
      </c>
      <c r="B618" s="58">
        <f t="shared" si="18"/>
        <v>44556.499999998516</v>
      </c>
      <c r="C618" s="110">
        <f>GEServed!K614</f>
        <v>5</v>
      </c>
      <c r="D618" s="110"/>
    </row>
    <row r="619" spans="1:4" x14ac:dyDescent="0.25">
      <c r="A619" s="58">
        <f t="shared" si="19"/>
        <v>44556.499999998516</v>
      </c>
      <c r="B619" s="58">
        <f t="shared" si="18"/>
        <v>44556.54166666518</v>
      </c>
      <c r="C619" s="110">
        <f>GEServed!K615</f>
        <v>5</v>
      </c>
      <c r="D619" s="110"/>
    </row>
    <row r="620" spans="1:4" x14ac:dyDescent="0.25">
      <c r="A620" s="58">
        <f t="shared" si="19"/>
        <v>44556.54166666518</v>
      </c>
      <c r="B620" s="58">
        <f t="shared" si="18"/>
        <v>44556.583333331844</v>
      </c>
      <c r="C620" s="110">
        <f>GEServed!K616</f>
        <v>5</v>
      </c>
      <c r="D620" s="110"/>
    </row>
    <row r="621" spans="1:4" x14ac:dyDescent="0.25">
      <c r="A621" s="58">
        <f t="shared" si="19"/>
        <v>44556.583333331844</v>
      </c>
      <c r="B621" s="58">
        <f t="shared" si="18"/>
        <v>44556.624999998508</v>
      </c>
      <c r="C621" s="110">
        <f>GEServed!K617</f>
        <v>5</v>
      </c>
      <c r="D621" s="110"/>
    </row>
    <row r="622" spans="1:4" x14ac:dyDescent="0.25">
      <c r="A622" s="58">
        <f t="shared" si="19"/>
        <v>44556.624999998508</v>
      </c>
      <c r="B622" s="58">
        <f t="shared" si="18"/>
        <v>44556.666666665173</v>
      </c>
      <c r="C622" s="110">
        <f>GEServed!K618</f>
        <v>5</v>
      </c>
      <c r="D622" s="110"/>
    </row>
    <row r="623" spans="1:4" x14ac:dyDescent="0.25">
      <c r="A623" s="58">
        <f t="shared" si="19"/>
        <v>44556.666666665173</v>
      </c>
      <c r="B623" s="58">
        <f t="shared" si="18"/>
        <v>44556.708333331837</v>
      </c>
      <c r="C623" s="110">
        <f>GEServed!K619</f>
        <v>5</v>
      </c>
      <c r="D623" s="110"/>
    </row>
    <row r="624" spans="1:4" x14ac:dyDescent="0.25">
      <c r="A624" s="58">
        <f t="shared" si="19"/>
        <v>44556.708333331837</v>
      </c>
      <c r="B624" s="58">
        <f t="shared" si="18"/>
        <v>44556.749999998501</v>
      </c>
      <c r="C624" s="110">
        <f>GEServed!K620</f>
        <v>5</v>
      </c>
      <c r="D624" s="110"/>
    </row>
    <row r="625" spans="1:4" x14ac:dyDescent="0.25">
      <c r="A625" s="58">
        <f t="shared" si="19"/>
        <v>44556.749999998501</v>
      </c>
      <c r="B625" s="58">
        <f t="shared" si="18"/>
        <v>44556.791666665165</v>
      </c>
      <c r="C625" s="110">
        <f>GEServed!K621</f>
        <v>6</v>
      </c>
      <c r="D625" s="110"/>
    </row>
    <row r="626" spans="1:4" x14ac:dyDescent="0.25">
      <c r="A626" s="58">
        <f t="shared" si="19"/>
        <v>44556.791666665165</v>
      </c>
      <c r="B626" s="58">
        <f t="shared" si="18"/>
        <v>44556.83333333183</v>
      </c>
      <c r="C626" s="110">
        <f>GEServed!K622</f>
        <v>6</v>
      </c>
      <c r="D626" s="110"/>
    </row>
    <row r="627" spans="1:4" x14ac:dyDescent="0.25">
      <c r="A627" s="58">
        <f t="shared" si="19"/>
        <v>44556.83333333183</v>
      </c>
      <c r="B627" s="58">
        <f t="shared" si="18"/>
        <v>44556.874999998494</v>
      </c>
      <c r="C627" s="110">
        <f>GEServed!K623</f>
        <v>6</v>
      </c>
      <c r="D627" s="110"/>
    </row>
    <row r="628" spans="1:4" x14ac:dyDescent="0.25">
      <c r="A628" s="58">
        <f t="shared" si="19"/>
        <v>44556.874999998494</v>
      </c>
      <c r="B628" s="58">
        <f t="shared" si="18"/>
        <v>44556.916666665158</v>
      </c>
      <c r="C628" s="110">
        <f>GEServed!K624</f>
        <v>11</v>
      </c>
      <c r="D628" s="110"/>
    </row>
    <row r="629" spans="1:4" x14ac:dyDescent="0.25">
      <c r="A629" s="58">
        <f t="shared" si="19"/>
        <v>44556.916666665158</v>
      </c>
      <c r="B629" s="58">
        <f t="shared" si="18"/>
        <v>44556.958333331822</v>
      </c>
      <c r="C629" s="110">
        <f>GEServed!K625</f>
        <v>11</v>
      </c>
      <c r="D629" s="110"/>
    </row>
    <row r="630" spans="1:4" x14ac:dyDescent="0.25">
      <c r="A630" s="58">
        <f t="shared" si="19"/>
        <v>44556.958333331822</v>
      </c>
      <c r="B630" s="58">
        <f t="shared" si="18"/>
        <v>44556.999999998487</v>
      </c>
      <c r="C630" s="110">
        <f>GEServed!K626</f>
        <v>5</v>
      </c>
      <c r="D630" s="110"/>
    </row>
    <row r="631" spans="1:4" x14ac:dyDescent="0.25">
      <c r="A631" s="58">
        <f t="shared" si="19"/>
        <v>44556.999999998487</v>
      </c>
      <c r="B631" s="58">
        <f t="shared" si="18"/>
        <v>44557.041666665151</v>
      </c>
      <c r="C631" s="110">
        <f>GEServed!K627</f>
        <v>5</v>
      </c>
      <c r="D631" s="110"/>
    </row>
    <row r="632" spans="1:4" x14ac:dyDescent="0.25">
      <c r="A632" s="58">
        <f t="shared" si="19"/>
        <v>44557.041666665151</v>
      </c>
      <c r="B632" s="58">
        <f t="shared" si="18"/>
        <v>44557.083333331815</v>
      </c>
      <c r="C632" s="110">
        <f>GEServed!K628</f>
        <v>5</v>
      </c>
      <c r="D632" s="110"/>
    </row>
    <row r="633" spans="1:4" x14ac:dyDescent="0.25">
      <c r="A633" s="58">
        <f t="shared" si="19"/>
        <v>44557.083333331815</v>
      </c>
      <c r="B633" s="58">
        <f t="shared" si="18"/>
        <v>44557.124999998479</v>
      </c>
      <c r="C633" s="110">
        <f>GEServed!K629</f>
        <v>6</v>
      </c>
      <c r="D633" s="110"/>
    </row>
    <row r="634" spans="1:4" x14ac:dyDescent="0.25">
      <c r="A634" s="58">
        <f t="shared" si="19"/>
        <v>44557.124999998479</v>
      </c>
      <c r="B634" s="58">
        <f t="shared" si="18"/>
        <v>44557.166666665144</v>
      </c>
      <c r="C634" s="110">
        <f>GEServed!K630</f>
        <v>6</v>
      </c>
      <c r="D634" s="110"/>
    </row>
    <row r="635" spans="1:4" x14ac:dyDescent="0.25">
      <c r="A635" s="58">
        <f t="shared" si="19"/>
        <v>44557.166666665144</v>
      </c>
      <c r="B635" s="58">
        <f t="shared" si="18"/>
        <v>44557.208333331808</v>
      </c>
      <c r="C635" s="110">
        <f>GEServed!K631</f>
        <v>5</v>
      </c>
      <c r="D635" s="110"/>
    </row>
    <row r="636" spans="1:4" x14ac:dyDescent="0.25">
      <c r="A636" s="58">
        <f t="shared" si="19"/>
        <v>44557.208333331808</v>
      </c>
      <c r="B636" s="58">
        <f t="shared" si="18"/>
        <v>44557.249999998472</v>
      </c>
      <c r="C636" s="110">
        <f>GEServed!K632</f>
        <v>5</v>
      </c>
      <c r="D636" s="110"/>
    </row>
    <row r="637" spans="1:4" x14ac:dyDescent="0.25">
      <c r="A637" s="58">
        <f t="shared" si="19"/>
        <v>44557.249999998472</v>
      </c>
      <c r="B637" s="58">
        <f t="shared" si="18"/>
        <v>44557.291666665136</v>
      </c>
      <c r="C637" s="110">
        <f>GEServed!K633</f>
        <v>6</v>
      </c>
      <c r="D637" s="110"/>
    </row>
    <row r="638" spans="1:4" x14ac:dyDescent="0.25">
      <c r="A638" s="58">
        <f t="shared" si="19"/>
        <v>44557.291666665136</v>
      </c>
      <c r="B638" s="58">
        <f t="shared" si="18"/>
        <v>44557.333333331801</v>
      </c>
      <c r="C638" s="110">
        <f>GEServed!K634</f>
        <v>6</v>
      </c>
      <c r="D638" s="110"/>
    </row>
    <row r="639" spans="1:4" x14ac:dyDescent="0.25">
      <c r="A639" s="58">
        <f t="shared" si="19"/>
        <v>44557.333333331801</v>
      </c>
      <c r="B639" s="58">
        <f t="shared" si="18"/>
        <v>44557.374999998465</v>
      </c>
      <c r="C639" s="110">
        <f>GEServed!K635</f>
        <v>5</v>
      </c>
      <c r="D639" s="110"/>
    </row>
    <row r="640" spans="1:4" x14ac:dyDescent="0.25">
      <c r="A640" s="58">
        <f t="shared" si="19"/>
        <v>44557.374999998465</v>
      </c>
      <c r="B640" s="58">
        <f t="shared" si="18"/>
        <v>44557.416666665129</v>
      </c>
      <c r="C640" s="110">
        <f>GEServed!K636</f>
        <v>5</v>
      </c>
      <c r="D640" s="110"/>
    </row>
    <row r="641" spans="1:4" x14ac:dyDescent="0.25">
      <c r="A641" s="58">
        <f t="shared" si="19"/>
        <v>44557.416666665129</v>
      </c>
      <c r="B641" s="58">
        <f t="shared" si="18"/>
        <v>44557.458333331793</v>
      </c>
      <c r="C641" s="110">
        <f>GEServed!K637</f>
        <v>5</v>
      </c>
      <c r="D641" s="110"/>
    </row>
    <row r="642" spans="1:4" x14ac:dyDescent="0.25">
      <c r="A642" s="58">
        <f t="shared" si="19"/>
        <v>44557.458333331793</v>
      </c>
      <c r="B642" s="58">
        <f t="shared" si="18"/>
        <v>44557.499999998457</v>
      </c>
      <c r="C642" s="110">
        <f>GEServed!K638</f>
        <v>5</v>
      </c>
      <c r="D642" s="110"/>
    </row>
    <row r="643" spans="1:4" x14ac:dyDescent="0.25">
      <c r="A643" s="58">
        <f t="shared" si="19"/>
        <v>44557.499999998457</v>
      </c>
      <c r="B643" s="58">
        <f t="shared" si="18"/>
        <v>44557.541666665122</v>
      </c>
      <c r="C643" s="110">
        <f>GEServed!K639</f>
        <v>5</v>
      </c>
      <c r="D643" s="110"/>
    </row>
    <row r="644" spans="1:4" x14ac:dyDescent="0.25">
      <c r="A644" s="58">
        <f t="shared" si="19"/>
        <v>44557.541666665122</v>
      </c>
      <c r="B644" s="58">
        <f t="shared" si="18"/>
        <v>44557.583333331786</v>
      </c>
      <c r="C644" s="110">
        <f>GEServed!K640</f>
        <v>5</v>
      </c>
      <c r="D644" s="110"/>
    </row>
    <row r="645" spans="1:4" x14ac:dyDescent="0.25">
      <c r="A645" s="58">
        <f t="shared" si="19"/>
        <v>44557.583333331786</v>
      </c>
      <c r="B645" s="58">
        <f t="shared" si="18"/>
        <v>44557.62499999845</v>
      </c>
      <c r="C645" s="110">
        <f>GEServed!K641</f>
        <v>5</v>
      </c>
      <c r="D645" s="110"/>
    </row>
    <row r="646" spans="1:4" x14ac:dyDescent="0.25">
      <c r="A646" s="58">
        <f t="shared" si="19"/>
        <v>44557.62499999845</v>
      </c>
      <c r="B646" s="58">
        <f t="shared" si="18"/>
        <v>44557.666666665114</v>
      </c>
      <c r="C646" s="110">
        <f>GEServed!K642</f>
        <v>5</v>
      </c>
      <c r="D646" s="110"/>
    </row>
    <row r="647" spans="1:4" x14ac:dyDescent="0.25">
      <c r="A647" s="58">
        <f t="shared" si="19"/>
        <v>44557.666666665114</v>
      </c>
      <c r="B647" s="58">
        <f t="shared" si="18"/>
        <v>44557.708333331779</v>
      </c>
      <c r="C647" s="110">
        <f>GEServed!K643</f>
        <v>5</v>
      </c>
      <c r="D647" s="110"/>
    </row>
    <row r="648" spans="1:4" x14ac:dyDescent="0.25">
      <c r="A648" s="58">
        <f t="shared" si="19"/>
        <v>44557.708333331779</v>
      </c>
      <c r="B648" s="58">
        <f t="shared" ref="B648:B711" si="20">$A648+1/24</f>
        <v>44557.749999998443</v>
      </c>
      <c r="C648" s="110">
        <f>GEServed!K644</f>
        <v>5</v>
      </c>
      <c r="D648" s="110"/>
    </row>
    <row r="649" spans="1:4" x14ac:dyDescent="0.25">
      <c r="A649" s="58">
        <f t="shared" ref="A649:A712" si="21">$A648+1/24</f>
        <v>44557.749999998443</v>
      </c>
      <c r="B649" s="58">
        <f t="shared" si="20"/>
        <v>44557.791666665107</v>
      </c>
      <c r="C649" s="110">
        <f>GEServed!K645</f>
        <v>6</v>
      </c>
      <c r="D649" s="110"/>
    </row>
    <row r="650" spans="1:4" x14ac:dyDescent="0.25">
      <c r="A650" s="58">
        <f t="shared" si="21"/>
        <v>44557.791666665107</v>
      </c>
      <c r="B650" s="58">
        <f t="shared" si="20"/>
        <v>44557.833333331771</v>
      </c>
      <c r="C650" s="110">
        <f>GEServed!K646</f>
        <v>6</v>
      </c>
      <c r="D650" s="110"/>
    </row>
    <row r="651" spans="1:4" x14ac:dyDescent="0.25">
      <c r="A651" s="58">
        <f t="shared" si="21"/>
        <v>44557.833333331771</v>
      </c>
      <c r="B651" s="58">
        <f t="shared" si="20"/>
        <v>44557.874999998436</v>
      </c>
      <c r="C651" s="110">
        <f>GEServed!K647</f>
        <v>6</v>
      </c>
      <c r="D651" s="110"/>
    </row>
    <row r="652" spans="1:4" x14ac:dyDescent="0.25">
      <c r="A652" s="58">
        <f t="shared" si="21"/>
        <v>44557.874999998436</v>
      </c>
      <c r="B652" s="58">
        <f t="shared" si="20"/>
        <v>44557.9166666651</v>
      </c>
      <c r="C652" s="110">
        <f>GEServed!K648</f>
        <v>6</v>
      </c>
      <c r="D652" s="110"/>
    </row>
    <row r="653" spans="1:4" x14ac:dyDescent="0.25">
      <c r="A653" s="58">
        <f t="shared" si="21"/>
        <v>44557.9166666651</v>
      </c>
      <c r="B653" s="58">
        <f t="shared" si="20"/>
        <v>44557.958333331764</v>
      </c>
      <c r="C653" s="110">
        <f>GEServed!K649</f>
        <v>6</v>
      </c>
      <c r="D653" s="110"/>
    </row>
    <row r="654" spans="1:4" x14ac:dyDescent="0.25">
      <c r="A654" s="58">
        <f t="shared" si="21"/>
        <v>44557.958333331764</v>
      </c>
      <c r="B654" s="58">
        <f t="shared" si="20"/>
        <v>44557.999999998428</v>
      </c>
      <c r="C654" s="110">
        <f>GEServed!K650</f>
        <v>2</v>
      </c>
      <c r="D654" s="110"/>
    </row>
    <row r="655" spans="1:4" x14ac:dyDescent="0.25">
      <c r="A655" s="58">
        <f t="shared" si="21"/>
        <v>44557.999999998428</v>
      </c>
      <c r="B655" s="58">
        <f t="shared" si="20"/>
        <v>44558.041666665093</v>
      </c>
      <c r="C655" s="110">
        <f>GEServed!K651</f>
        <v>8</v>
      </c>
      <c r="D655" s="110"/>
    </row>
    <row r="656" spans="1:4" x14ac:dyDescent="0.25">
      <c r="A656" s="58">
        <f t="shared" si="21"/>
        <v>44558.041666665093</v>
      </c>
      <c r="B656" s="58">
        <f t="shared" si="20"/>
        <v>44558.083333331757</v>
      </c>
      <c r="C656" s="110">
        <f>GEServed!K652</f>
        <v>9</v>
      </c>
      <c r="D656" s="110"/>
    </row>
    <row r="657" spans="1:4" x14ac:dyDescent="0.25">
      <c r="A657" s="58">
        <f t="shared" si="21"/>
        <v>44558.083333331757</v>
      </c>
      <c r="B657" s="58">
        <f t="shared" si="20"/>
        <v>44558.124999998421</v>
      </c>
      <c r="C657" s="110">
        <f>GEServed!K653</f>
        <v>10</v>
      </c>
      <c r="D657" s="110"/>
    </row>
    <row r="658" spans="1:4" x14ac:dyDescent="0.25">
      <c r="A658" s="58">
        <f t="shared" si="21"/>
        <v>44558.124999998421</v>
      </c>
      <c r="B658" s="58">
        <f t="shared" si="20"/>
        <v>44558.166666665085</v>
      </c>
      <c r="C658" s="110">
        <f>GEServed!K654</f>
        <v>4</v>
      </c>
      <c r="D658" s="110"/>
    </row>
    <row r="659" spans="1:4" x14ac:dyDescent="0.25">
      <c r="A659" s="58">
        <f t="shared" si="21"/>
        <v>44558.166666665085</v>
      </c>
      <c r="B659" s="58">
        <f t="shared" si="20"/>
        <v>44558.20833333175</v>
      </c>
      <c r="C659" s="110">
        <f>GEServed!K655</f>
        <v>9</v>
      </c>
      <c r="D659" s="110"/>
    </row>
    <row r="660" spans="1:4" x14ac:dyDescent="0.25">
      <c r="A660" s="58">
        <f t="shared" si="21"/>
        <v>44558.20833333175</v>
      </c>
      <c r="B660" s="58">
        <f t="shared" si="20"/>
        <v>44558.249999998414</v>
      </c>
      <c r="C660" s="110">
        <f>GEServed!K656</f>
        <v>4</v>
      </c>
      <c r="D660" s="110"/>
    </row>
    <row r="661" spans="1:4" x14ac:dyDescent="0.25">
      <c r="A661" s="58">
        <f t="shared" si="21"/>
        <v>44558.249999998414</v>
      </c>
      <c r="B661" s="58">
        <f t="shared" si="20"/>
        <v>44558.291666665078</v>
      </c>
      <c r="C661" s="110">
        <f>GEServed!K657</f>
        <v>4</v>
      </c>
      <c r="D661" s="110"/>
    </row>
    <row r="662" spans="1:4" x14ac:dyDescent="0.25">
      <c r="A662" s="58">
        <f t="shared" si="21"/>
        <v>44558.291666665078</v>
      </c>
      <c r="B662" s="58">
        <f t="shared" si="20"/>
        <v>44558.333333331742</v>
      </c>
      <c r="C662" s="110">
        <f>GEServed!K658</f>
        <v>6</v>
      </c>
      <c r="D662" s="110"/>
    </row>
    <row r="663" spans="1:4" x14ac:dyDescent="0.25">
      <c r="A663" s="58">
        <f t="shared" si="21"/>
        <v>44558.333333331742</v>
      </c>
      <c r="B663" s="58">
        <f t="shared" si="20"/>
        <v>44558.374999998407</v>
      </c>
      <c r="C663" s="110">
        <f>GEServed!K659</f>
        <v>5</v>
      </c>
      <c r="D663" s="110"/>
    </row>
    <row r="664" spans="1:4" x14ac:dyDescent="0.25">
      <c r="A664" s="58">
        <f t="shared" si="21"/>
        <v>44558.374999998407</v>
      </c>
      <c r="B664" s="58">
        <f t="shared" si="20"/>
        <v>44558.416666665071</v>
      </c>
      <c r="C664" s="110">
        <f>GEServed!K660</f>
        <v>5</v>
      </c>
      <c r="D664" s="110"/>
    </row>
    <row r="665" spans="1:4" x14ac:dyDescent="0.25">
      <c r="A665" s="58">
        <f t="shared" si="21"/>
        <v>44558.416666665071</v>
      </c>
      <c r="B665" s="58">
        <f t="shared" si="20"/>
        <v>44558.458333331735</v>
      </c>
      <c r="C665" s="110">
        <f>GEServed!K661</f>
        <v>5</v>
      </c>
      <c r="D665" s="110"/>
    </row>
    <row r="666" spans="1:4" x14ac:dyDescent="0.25">
      <c r="A666" s="58">
        <f t="shared" si="21"/>
        <v>44558.458333331735</v>
      </c>
      <c r="B666" s="58">
        <f t="shared" si="20"/>
        <v>44558.499999998399</v>
      </c>
      <c r="C666" s="110">
        <f>GEServed!K662</f>
        <v>5</v>
      </c>
      <c r="D666" s="110"/>
    </row>
    <row r="667" spans="1:4" x14ac:dyDescent="0.25">
      <c r="A667" s="58">
        <f t="shared" si="21"/>
        <v>44558.499999998399</v>
      </c>
      <c r="B667" s="58">
        <f t="shared" si="20"/>
        <v>44558.541666665064</v>
      </c>
      <c r="C667" s="110">
        <f>GEServed!K663</f>
        <v>5</v>
      </c>
      <c r="D667" s="110"/>
    </row>
    <row r="668" spans="1:4" x14ac:dyDescent="0.25">
      <c r="A668" s="58">
        <f t="shared" si="21"/>
        <v>44558.541666665064</v>
      </c>
      <c r="B668" s="58">
        <f t="shared" si="20"/>
        <v>44558.583333331728</v>
      </c>
      <c r="C668" s="110">
        <f>GEServed!K664</f>
        <v>5</v>
      </c>
      <c r="D668" s="110"/>
    </row>
    <row r="669" spans="1:4" x14ac:dyDescent="0.25">
      <c r="A669" s="58">
        <f t="shared" si="21"/>
        <v>44558.583333331728</v>
      </c>
      <c r="B669" s="58">
        <f t="shared" si="20"/>
        <v>44558.624999998392</v>
      </c>
      <c r="C669" s="110">
        <f>GEServed!K665</f>
        <v>5</v>
      </c>
      <c r="D669" s="110"/>
    </row>
    <row r="670" spans="1:4" x14ac:dyDescent="0.25">
      <c r="A670" s="58">
        <f t="shared" si="21"/>
        <v>44558.624999998392</v>
      </c>
      <c r="B670" s="58">
        <f t="shared" si="20"/>
        <v>44558.666666665056</v>
      </c>
      <c r="C670" s="110">
        <f>GEServed!K666</f>
        <v>5</v>
      </c>
      <c r="D670" s="110"/>
    </row>
    <row r="671" spans="1:4" x14ac:dyDescent="0.25">
      <c r="A671" s="58">
        <f t="shared" si="21"/>
        <v>44558.666666665056</v>
      </c>
      <c r="B671" s="58">
        <f t="shared" si="20"/>
        <v>44558.70833333172</v>
      </c>
      <c r="C671" s="110">
        <f>GEServed!K667</f>
        <v>5</v>
      </c>
      <c r="D671" s="110"/>
    </row>
    <row r="672" spans="1:4" x14ac:dyDescent="0.25">
      <c r="A672" s="58">
        <f t="shared" si="21"/>
        <v>44558.70833333172</v>
      </c>
      <c r="B672" s="58">
        <f t="shared" si="20"/>
        <v>44558.749999998385</v>
      </c>
      <c r="C672" s="110">
        <f>GEServed!K668</f>
        <v>5</v>
      </c>
      <c r="D672" s="110"/>
    </row>
    <row r="673" spans="1:4" x14ac:dyDescent="0.25">
      <c r="A673" s="58">
        <f t="shared" si="21"/>
        <v>44558.749999998385</v>
      </c>
      <c r="B673" s="58">
        <f t="shared" si="20"/>
        <v>44558.791666665049</v>
      </c>
      <c r="C673" s="110">
        <f>GEServed!K669</f>
        <v>6</v>
      </c>
      <c r="D673" s="110"/>
    </row>
    <row r="674" spans="1:4" x14ac:dyDescent="0.25">
      <c r="A674" s="58">
        <f t="shared" si="21"/>
        <v>44558.791666665049</v>
      </c>
      <c r="B674" s="58">
        <f t="shared" si="20"/>
        <v>44558.833333331713</v>
      </c>
      <c r="C674" s="110">
        <f>GEServed!K670</f>
        <v>5</v>
      </c>
      <c r="D674" s="110"/>
    </row>
    <row r="675" spans="1:4" x14ac:dyDescent="0.25">
      <c r="A675" s="58">
        <f t="shared" si="21"/>
        <v>44558.833333331713</v>
      </c>
      <c r="B675" s="58">
        <f t="shared" si="20"/>
        <v>44558.874999998377</v>
      </c>
      <c r="C675" s="110">
        <f>GEServed!K671</f>
        <v>5</v>
      </c>
      <c r="D675" s="110"/>
    </row>
    <row r="676" spans="1:4" x14ac:dyDescent="0.25">
      <c r="A676" s="58">
        <f t="shared" si="21"/>
        <v>44558.874999998377</v>
      </c>
      <c r="B676" s="58">
        <f t="shared" si="20"/>
        <v>44558.916666665042</v>
      </c>
      <c r="C676" s="110">
        <f>GEServed!K672</f>
        <v>6</v>
      </c>
      <c r="D676" s="110"/>
    </row>
    <row r="677" spans="1:4" x14ac:dyDescent="0.25">
      <c r="A677" s="58">
        <f t="shared" si="21"/>
        <v>44558.916666665042</v>
      </c>
      <c r="B677" s="58">
        <f t="shared" si="20"/>
        <v>44558.958333331706</v>
      </c>
      <c r="C677" s="110">
        <f>GEServed!K673</f>
        <v>6</v>
      </c>
      <c r="D677" s="110"/>
    </row>
    <row r="678" spans="1:4" x14ac:dyDescent="0.25">
      <c r="A678" s="58">
        <f t="shared" si="21"/>
        <v>44558.958333331706</v>
      </c>
      <c r="B678" s="58">
        <f t="shared" si="20"/>
        <v>44558.99999999837</v>
      </c>
      <c r="C678" s="110">
        <f>GEServed!K674</f>
        <v>5</v>
      </c>
      <c r="D678" s="110"/>
    </row>
    <row r="679" spans="1:4" x14ac:dyDescent="0.25">
      <c r="A679" s="58">
        <f t="shared" si="21"/>
        <v>44558.99999999837</v>
      </c>
      <c r="B679" s="58">
        <f t="shared" si="20"/>
        <v>44559.041666665034</v>
      </c>
      <c r="C679" s="110">
        <f>GEServed!K675</f>
        <v>6</v>
      </c>
      <c r="D679" s="110"/>
    </row>
    <row r="680" spans="1:4" x14ac:dyDescent="0.25">
      <c r="A680" s="58">
        <f t="shared" si="21"/>
        <v>44559.041666665034</v>
      </c>
      <c r="B680" s="58">
        <f t="shared" si="20"/>
        <v>44559.083333331699</v>
      </c>
      <c r="C680" s="110">
        <f>GEServed!K676</f>
        <v>6</v>
      </c>
      <c r="D680" s="110"/>
    </row>
    <row r="681" spans="1:4" x14ac:dyDescent="0.25">
      <c r="A681" s="58">
        <f t="shared" si="21"/>
        <v>44559.083333331699</v>
      </c>
      <c r="B681" s="58">
        <f t="shared" si="20"/>
        <v>44559.124999998363</v>
      </c>
      <c r="C681" s="110">
        <f>GEServed!K677</f>
        <v>6</v>
      </c>
      <c r="D681" s="110"/>
    </row>
    <row r="682" spans="1:4" x14ac:dyDescent="0.25">
      <c r="A682" s="58">
        <f t="shared" si="21"/>
        <v>44559.124999998363</v>
      </c>
      <c r="B682" s="58">
        <f t="shared" si="20"/>
        <v>44559.166666665027</v>
      </c>
      <c r="C682" s="110">
        <f>GEServed!K678</f>
        <v>6</v>
      </c>
      <c r="D682" s="110"/>
    </row>
    <row r="683" spans="1:4" x14ac:dyDescent="0.25">
      <c r="A683" s="58">
        <f t="shared" si="21"/>
        <v>44559.166666665027</v>
      </c>
      <c r="B683" s="58">
        <f t="shared" si="20"/>
        <v>44559.208333331691</v>
      </c>
      <c r="C683" s="110">
        <f>GEServed!K679</f>
        <v>6</v>
      </c>
      <c r="D683" s="110"/>
    </row>
    <row r="684" spans="1:4" x14ac:dyDescent="0.25">
      <c r="A684" s="58">
        <f t="shared" si="21"/>
        <v>44559.208333331691</v>
      </c>
      <c r="B684" s="58">
        <f t="shared" si="20"/>
        <v>44559.249999998356</v>
      </c>
      <c r="C684" s="110">
        <f>GEServed!K680</f>
        <v>6</v>
      </c>
      <c r="D684" s="110"/>
    </row>
    <row r="685" spans="1:4" x14ac:dyDescent="0.25">
      <c r="A685" s="58">
        <f t="shared" si="21"/>
        <v>44559.249999998356</v>
      </c>
      <c r="B685" s="58">
        <f t="shared" si="20"/>
        <v>44559.29166666502</v>
      </c>
      <c r="C685" s="110">
        <f>GEServed!K681</f>
        <v>6</v>
      </c>
      <c r="D685" s="110"/>
    </row>
    <row r="686" spans="1:4" x14ac:dyDescent="0.25">
      <c r="A686" s="58">
        <f t="shared" si="21"/>
        <v>44559.29166666502</v>
      </c>
      <c r="B686" s="58">
        <f t="shared" si="20"/>
        <v>44559.333333331684</v>
      </c>
      <c r="C686" s="110">
        <f>GEServed!K682</f>
        <v>6</v>
      </c>
      <c r="D686" s="110"/>
    </row>
    <row r="687" spans="1:4" x14ac:dyDescent="0.25">
      <c r="A687" s="58">
        <f t="shared" si="21"/>
        <v>44559.333333331684</v>
      </c>
      <c r="B687" s="58">
        <f t="shared" si="20"/>
        <v>44559.374999998348</v>
      </c>
      <c r="C687" s="110">
        <f>GEServed!K683</f>
        <v>5</v>
      </c>
      <c r="D687" s="110"/>
    </row>
    <row r="688" spans="1:4" x14ac:dyDescent="0.25">
      <c r="A688" s="58">
        <f t="shared" si="21"/>
        <v>44559.374999998348</v>
      </c>
      <c r="B688" s="58">
        <f t="shared" si="20"/>
        <v>44559.416666665013</v>
      </c>
      <c r="C688" s="110">
        <f>GEServed!K684</f>
        <v>5</v>
      </c>
      <c r="D688" s="110"/>
    </row>
    <row r="689" spans="1:4" x14ac:dyDescent="0.25">
      <c r="A689" s="58">
        <f t="shared" si="21"/>
        <v>44559.416666665013</v>
      </c>
      <c r="B689" s="58">
        <f t="shared" si="20"/>
        <v>44559.458333331677</v>
      </c>
      <c r="C689" s="110">
        <f>GEServed!K685</f>
        <v>5</v>
      </c>
      <c r="D689" s="110"/>
    </row>
    <row r="690" spans="1:4" x14ac:dyDescent="0.25">
      <c r="A690" s="58">
        <f t="shared" si="21"/>
        <v>44559.458333331677</v>
      </c>
      <c r="B690" s="58">
        <f t="shared" si="20"/>
        <v>44559.499999998341</v>
      </c>
      <c r="C690" s="110">
        <f>GEServed!K686</f>
        <v>5</v>
      </c>
      <c r="D690" s="110"/>
    </row>
    <row r="691" spans="1:4" x14ac:dyDescent="0.25">
      <c r="A691" s="58">
        <f t="shared" si="21"/>
        <v>44559.499999998341</v>
      </c>
      <c r="B691" s="58">
        <f t="shared" si="20"/>
        <v>44559.541666665005</v>
      </c>
      <c r="C691" s="110">
        <f>GEServed!K687</f>
        <v>5</v>
      </c>
      <c r="D691" s="110"/>
    </row>
    <row r="692" spans="1:4" x14ac:dyDescent="0.25">
      <c r="A692" s="58">
        <f t="shared" si="21"/>
        <v>44559.541666665005</v>
      </c>
      <c r="B692" s="58">
        <f t="shared" si="20"/>
        <v>44559.58333333167</v>
      </c>
      <c r="C692" s="110">
        <f>GEServed!K688</f>
        <v>5</v>
      </c>
      <c r="D692" s="110"/>
    </row>
    <row r="693" spans="1:4" x14ac:dyDescent="0.25">
      <c r="A693" s="58">
        <f t="shared" si="21"/>
        <v>44559.58333333167</v>
      </c>
      <c r="B693" s="58">
        <f t="shared" si="20"/>
        <v>44559.624999998334</v>
      </c>
      <c r="C693" s="110">
        <f>GEServed!K689</f>
        <v>5</v>
      </c>
      <c r="D693" s="110"/>
    </row>
    <row r="694" spans="1:4" x14ac:dyDescent="0.25">
      <c r="A694" s="58">
        <f t="shared" si="21"/>
        <v>44559.624999998334</v>
      </c>
      <c r="B694" s="58">
        <f t="shared" si="20"/>
        <v>44559.666666664998</v>
      </c>
      <c r="C694" s="110">
        <f>GEServed!K690</f>
        <v>5</v>
      </c>
      <c r="D694" s="110"/>
    </row>
    <row r="695" spans="1:4" x14ac:dyDescent="0.25">
      <c r="A695" s="58">
        <f t="shared" si="21"/>
        <v>44559.666666664998</v>
      </c>
      <c r="B695" s="58">
        <f t="shared" si="20"/>
        <v>44559.708333331662</v>
      </c>
      <c r="C695" s="110">
        <f>GEServed!K691</f>
        <v>5</v>
      </c>
      <c r="D695" s="110"/>
    </row>
    <row r="696" spans="1:4" x14ac:dyDescent="0.25">
      <c r="A696" s="58">
        <f t="shared" si="21"/>
        <v>44559.708333331662</v>
      </c>
      <c r="B696" s="58">
        <f t="shared" si="20"/>
        <v>44559.749999998327</v>
      </c>
      <c r="C696" s="110">
        <f>GEServed!K692</f>
        <v>5</v>
      </c>
      <c r="D696" s="110"/>
    </row>
    <row r="697" spans="1:4" x14ac:dyDescent="0.25">
      <c r="A697" s="58">
        <f t="shared" si="21"/>
        <v>44559.749999998327</v>
      </c>
      <c r="B697" s="58">
        <f t="shared" si="20"/>
        <v>44559.791666664991</v>
      </c>
      <c r="C697" s="110">
        <f>GEServed!K693</f>
        <v>6</v>
      </c>
      <c r="D697" s="110"/>
    </row>
    <row r="698" spans="1:4" x14ac:dyDescent="0.25">
      <c r="A698" s="58">
        <f t="shared" si="21"/>
        <v>44559.791666664991</v>
      </c>
      <c r="B698" s="58">
        <f t="shared" si="20"/>
        <v>44559.833333331655</v>
      </c>
      <c r="C698" s="110">
        <f>GEServed!K694</f>
        <v>6</v>
      </c>
      <c r="D698" s="110"/>
    </row>
    <row r="699" spans="1:4" x14ac:dyDescent="0.25">
      <c r="A699" s="58">
        <f t="shared" si="21"/>
        <v>44559.833333331655</v>
      </c>
      <c r="B699" s="58">
        <f t="shared" si="20"/>
        <v>44559.874999998319</v>
      </c>
      <c r="C699" s="110">
        <f>GEServed!K695</f>
        <v>6</v>
      </c>
      <c r="D699" s="110"/>
    </row>
    <row r="700" spans="1:4" x14ac:dyDescent="0.25">
      <c r="A700" s="58">
        <f t="shared" si="21"/>
        <v>44559.874999998319</v>
      </c>
      <c r="B700" s="58">
        <f t="shared" si="20"/>
        <v>44559.916666664983</v>
      </c>
      <c r="C700" s="110">
        <f>GEServed!K696</f>
        <v>6</v>
      </c>
      <c r="D700" s="110"/>
    </row>
    <row r="701" spans="1:4" x14ac:dyDescent="0.25">
      <c r="A701" s="58">
        <f t="shared" si="21"/>
        <v>44559.916666664983</v>
      </c>
      <c r="B701" s="58">
        <f t="shared" si="20"/>
        <v>44559.958333331648</v>
      </c>
      <c r="C701" s="110">
        <f>GEServed!K697</f>
        <v>6</v>
      </c>
      <c r="D701" s="110"/>
    </row>
    <row r="702" spans="1:4" x14ac:dyDescent="0.25">
      <c r="A702" s="58">
        <f t="shared" si="21"/>
        <v>44559.958333331648</v>
      </c>
      <c r="B702" s="58">
        <f t="shared" si="20"/>
        <v>44559.999999998312</v>
      </c>
      <c r="C702" s="110">
        <f>GEServed!K698</f>
        <v>5</v>
      </c>
      <c r="D702" s="110"/>
    </row>
    <row r="703" spans="1:4" x14ac:dyDescent="0.25">
      <c r="A703" s="58">
        <f t="shared" si="21"/>
        <v>44559.999999998312</v>
      </c>
      <c r="B703" s="58">
        <f t="shared" si="20"/>
        <v>44560.041666664976</v>
      </c>
      <c r="C703" s="110">
        <f>GEServed!K699</f>
        <v>5</v>
      </c>
      <c r="D703" s="110"/>
    </row>
    <row r="704" spans="1:4" x14ac:dyDescent="0.25">
      <c r="A704" s="58">
        <f t="shared" si="21"/>
        <v>44560.041666664976</v>
      </c>
      <c r="B704" s="58">
        <f t="shared" si="20"/>
        <v>44560.08333333164</v>
      </c>
      <c r="C704" s="110">
        <f>GEServed!K700</f>
        <v>5</v>
      </c>
      <c r="D704" s="110"/>
    </row>
    <row r="705" spans="1:4" x14ac:dyDescent="0.25">
      <c r="A705" s="58">
        <f t="shared" si="21"/>
        <v>44560.08333333164</v>
      </c>
      <c r="B705" s="58">
        <f t="shared" si="20"/>
        <v>44560.124999998305</v>
      </c>
      <c r="C705" s="110">
        <f>GEServed!K701</f>
        <v>5</v>
      </c>
      <c r="D705" s="110"/>
    </row>
    <row r="706" spans="1:4" x14ac:dyDescent="0.25">
      <c r="A706" s="58">
        <f t="shared" si="21"/>
        <v>44560.124999998305</v>
      </c>
      <c r="B706" s="58">
        <f t="shared" si="20"/>
        <v>44560.166666664969</v>
      </c>
      <c r="C706" s="110">
        <f>GEServed!K702</f>
        <v>5</v>
      </c>
      <c r="D706" s="110"/>
    </row>
    <row r="707" spans="1:4" x14ac:dyDescent="0.25">
      <c r="A707" s="58">
        <f t="shared" si="21"/>
        <v>44560.166666664969</v>
      </c>
      <c r="B707" s="58">
        <f t="shared" si="20"/>
        <v>44560.208333331633</v>
      </c>
      <c r="C707" s="110">
        <f>GEServed!K703</f>
        <v>5</v>
      </c>
      <c r="D707" s="110"/>
    </row>
    <row r="708" spans="1:4" x14ac:dyDescent="0.25">
      <c r="A708" s="58">
        <f t="shared" si="21"/>
        <v>44560.208333331633</v>
      </c>
      <c r="B708" s="58">
        <f t="shared" si="20"/>
        <v>44560.249999998297</v>
      </c>
      <c r="C708" s="110">
        <f>GEServed!K704</f>
        <v>5</v>
      </c>
      <c r="D708" s="110"/>
    </row>
    <row r="709" spans="1:4" x14ac:dyDescent="0.25">
      <c r="A709" s="58">
        <f t="shared" si="21"/>
        <v>44560.249999998297</v>
      </c>
      <c r="B709" s="58">
        <f t="shared" si="20"/>
        <v>44560.291666664962</v>
      </c>
      <c r="C709" s="110">
        <f>GEServed!K705</f>
        <v>6</v>
      </c>
      <c r="D709" s="110"/>
    </row>
    <row r="710" spans="1:4" x14ac:dyDescent="0.25">
      <c r="A710" s="58">
        <f t="shared" si="21"/>
        <v>44560.291666664962</v>
      </c>
      <c r="B710" s="58">
        <f t="shared" si="20"/>
        <v>44560.333333331626</v>
      </c>
      <c r="C710" s="110">
        <f>GEServed!K706</f>
        <v>6</v>
      </c>
      <c r="D710" s="110"/>
    </row>
    <row r="711" spans="1:4" x14ac:dyDescent="0.25">
      <c r="A711" s="58">
        <f t="shared" si="21"/>
        <v>44560.333333331626</v>
      </c>
      <c r="B711" s="58">
        <f t="shared" si="20"/>
        <v>44560.37499999829</v>
      </c>
      <c r="C711" s="110">
        <f>GEServed!K707</f>
        <v>5</v>
      </c>
      <c r="D711" s="110"/>
    </row>
    <row r="712" spans="1:4" x14ac:dyDescent="0.25">
      <c r="A712" s="58">
        <f t="shared" si="21"/>
        <v>44560.37499999829</v>
      </c>
      <c r="B712" s="58">
        <f t="shared" ref="B712:B750" si="22">$A712+1/24</f>
        <v>44560.416666664954</v>
      </c>
      <c r="C712" s="110">
        <f>GEServed!K708</f>
        <v>5</v>
      </c>
      <c r="D712" s="110"/>
    </row>
    <row r="713" spans="1:4" x14ac:dyDescent="0.25">
      <c r="A713" s="58">
        <f t="shared" ref="A713:A750" si="23">$A712+1/24</f>
        <v>44560.416666664954</v>
      </c>
      <c r="B713" s="58">
        <f t="shared" si="22"/>
        <v>44560.458333331619</v>
      </c>
      <c r="C713" s="110">
        <f>GEServed!K709</f>
        <v>5</v>
      </c>
      <c r="D713" s="110"/>
    </row>
    <row r="714" spans="1:4" x14ac:dyDescent="0.25">
      <c r="A714" s="58">
        <f t="shared" si="23"/>
        <v>44560.458333331619</v>
      </c>
      <c r="B714" s="58">
        <f t="shared" si="22"/>
        <v>44560.499999998283</v>
      </c>
      <c r="C714" s="110">
        <f>GEServed!K710</f>
        <v>5</v>
      </c>
      <c r="D714" s="110"/>
    </row>
    <row r="715" spans="1:4" x14ac:dyDescent="0.25">
      <c r="A715" s="58">
        <f t="shared" si="23"/>
        <v>44560.499999998283</v>
      </c>
      <c r="B715" s="58">
        <f t="shared" si="22"/>
        <v>44560.541666664947</v>
      </c>
      <c r="C715" s="110">
        <f>GEServed!K711</f>
        <v>5</v>
      </c>
      <c r="D715" s="110"/>
    </row>
    <row r="716" spans="1:4" x14ac:dyDescent="0.25">
      <c r="A716" s="58">
        <f t="shared" si="23"/>
        <v>44560.541666664947</v>
      </c>
      <c r="B716" s="58">
        <f t="shared" si="22"/>
        <v>44560.583333331611</v>
      </c>
      <c r="C716" s="110">
        <f>GEServed!K712</f>
        <v>5</v>
      </c>
      <c r="D716" s="110"/>
    </row>
    <row r="717" spans="1:4" x14ac:dyDescent="0.25">
      <c r="A717" s="58">
        <f t="shared" si="23"/>
        <v>44560.583333331611</v>
      </c>
      <c r="B717" s="58">
        <f t="shared" si="22"/>
        <v>44560.624999998276</v>
      </c>
      <c r="C717" s="110">
        <f>GEServed!K713</f>
        <v>5</v>
      </c>
      <c r="D717" s="110"/>
    </row>
    <row r="718" spans="1:4" x14ac:dyDescent="0.25">
      <c r="A718" s="58">
        <f t="shared" si="23"/>
        <v>44560.624999998276</v>
      </c>
      <c r="B718" s="58">
        <f t="shared" si="22"/>
        <v>44560.66666666494</v>
      </c>
      <c r="C718" s="110">
        <f>GEServed!K714</f>
        <v>5</v>
      </c>
      <c r="D718" s="110"/>
    </row>
    <row r="719" spans="1:4" x14ac:dyDescent="0.25">
      <c r="A719" s="58">
        <f t="shared" si="23"/>
        <v>44560.66666666494</v>
      </c>
      <c r="B719" s="58">
        <f t="shared" si="22"/>
        <v>44560.708333331604</v>
      </c>
      <c r="C719" s="110">
        <f>GEServed!K715</f>
        <v>5</v>
      </c>
      <c r="D719" s="110"/>
    </row>
    <row r="720" spans="1:4" x14ac:dyDescent="0.25">
      <c r="A720" s="58">
        <f t="shared" si="23"/>
        <v>44560.708333331604</v>
      </c>
      <c r="B720" s="58">
        <f t="shared" si="22"/>
        <v>44560.749999998268</v>
      </c>
      <c r="C720" s="110">
        <f>GEServed!K716</f>
        <v>5</v>
      </c>
      <c r="D720" s="110"/>
    </row>
    <row r="721" spans="1:4" x14ac:dyDescent="0.25">
      <c r="A721" s="58">
        <f t="shared" si="23"/>
        <v>44560.749999998268</v>
      </c>
      <c r="B721" s="58">
        <f t="shared" si="22"/>
        <v>44560.791666664933</v>
      </c>
      <c r="C721" s="110">
        <f>GEServed!K717</f>
        <v>6</v>
      </c>
      <c r="D721" s="110"/>
    </row>
    <row r="722" spans="1:4" x14ac:dyDescent="0.25">
      <c r="A722" s="58">
        <f t="shared" si="23"/>
        <v>44560.791666664933</v>
      </c>
      <c r="B722" s="58">
        <f t="shared" si="22"/>
        <v>44560.833333331597</v>
      </c>
      <c r="C722" s="110">
        <f>GEServed!K718</f>
        <v>6</v>
      </c>
      <c r="D722" s="110"/>
    </row>
    <row r="723" spans="1:4" x14ac:dyDescent="0.25">
      <c r="A723" s="58">
        <f t="shared" si="23"/>
        <v>44560.833333331597</v>
      </c>
      <c r="B723" s="58">
        <f t="shared" si="22"/>
        <v>44560.874999998261</v>
      </c>
      <c r="C723" s="110">
        <f>GEServed!K719</f>
        <v>6</v>
      </c>
      <c r="D723" s="110"/>
    </row>
    <row r="724" spans="1:4" x14ac:dyDescent="0.25">
      <c r="A724" s="58">
        <f t="shared" si="23"/>
        <v>44560.874999998261</v>
      </c>
      <c r="B724" s="58">
        <f t="shared" si="22"/>
        <v>44560.916666664925</v>
      </c>
      <c r="C724" s="110">
        <f>GEServed!K720</f>
        <v>6</v>
      </c>
      <c r="D724" s="110"/>
    </row>
    <row r="725" spans="1:4" x14ac:dyDescent="0.25">
      <c r="A725" s="58">
        <f t="shared" si="23"/>
        <v>44560.916666664925</v>
      </c>
      <c r="B725" s="58">
        <f t="shared" si="22"/>
        <v>44560.95833333159</v>
      </c>
      <c r="C725" s="110">
        <f>GEServed!K721</f>
        <v>5</v>
      </c>
      <c r="D725" s="110"/>
    </row>
    <row r="726" spans="1:4" x14ac:dyDescent="0.25">
      <c r="A726" s="58">
        <f t="shared" si="23"/>
        <v>44560.95833333159</v>
      </c>
      <c r="B726" s="58">
        <f t="shared" si="22"/>
        <v>44560.999999998254</v>
      </c>
      <c r="C726" s="110">
        <f>GEServed!K722</f>
        <v>4</v>
      </c>
      <c r="D726" s="110"/>
    </row>
    <row r="727" spans="1:4" x14ac:dyDescent="0.25">
      <c r="A727" s="58">
        <f t="shared" si="23"/>
        <v>44560.999999998254</v>
      </c>
      <c r="B727" s="58">
        <f t="shared" si="22"/>
        <v>44561.041666664918</v>
      </c>
      <c r="C727" s="110" t="e">
        <f>GEServed!#REF!</f>
        <v>#REF!</v>
      </c>
    </row>
    <row r="728" spans="1:4" x14ac:dyDescent="0.25">
      <c r="A728" s="58">
        <f t="shared" si="23"/>
        <v>44561.041666664918</v>
      </c>
      <c r="B728" s="58">
        <f t="shared" si="22"/>
        <v>44561.083333331582</v>
      </c>
      <c r="C728" s="110" t="e">
        <f>GEServed!#REF!</f>
        <v>#REF!</v>
      </c>
    </row>
    <row r="729" spans="1:4" x14ac:dyDescent="0.25">
      <c r="A729" s="58">
        <f t="shared" si="23"/>
        <v>44561.083333331582</v>
      </c>
      <c r="B729" s="58">
        <f t="shared" si="22"/>
        <v>44561.124999998246</v>
      </c>
      <c r="C729" s="110" t="e">
        <f>GEServed!#REF!</f>
        <v>#REF!</v>
      </c>
    </row>
    <row r="730" spans="1:4" x14ac:dyDescent="0.25">
      <c r="A730" s="58">
        <f t="shared" si="23"/>
        <v>44561.124999998246</v>
      </c>
      <c r="B730" s="58">
        <f t="shared" si="22"/>
        <v>44561.166666664911</v>
      </c>
      <c r="C730" s="110" t="e">
        <f>GEServed!#REF!</f>
        <v>#REF!</v>
      </c>
    </row>
    <row r="731" spans="1:4" x14ac:dyDescent="0.25">
      <c r="A731" s="58">
        <f t="shared" si="23"/>
        <v>44561.166666664911</v>
      </c>
      <c r="B731" s="58">
        <f t="shared" si="22"/>
        <v>44561.208333331575</v>
      </c>
      <c r="C731" s="110" t="e">
        <f>GEServed!#REF!</f>
        <v>#REF!</v>
      </c>
    </row>
    <row r="732" spans="1:4" x14ac:dyDescent="0.25">
      <c r="A732" s="58">
        <f t="shared" si="23"/>
        <v>44561.208333331575</v>
      </c>
      <c r="B732" s="58">
        <f t="shared" si="22"/>
        <v>44561.249999998239</v>
      </c>
      <c r="C732" s="110" t="e">
        <f>GEServed!#REF!</f>
        <v>#REF!</v>
      </c>
    </row>
    <row r="733" spans="1:4" x14ac:dyDescent="0.25">
      <c r="A733" s="58">
        <f t="shared" si="23"/>
        <v>44561.249999998239</v>
      </c>
      <c r="B733" s="58">
        <f t="shared" si="22"/>
        <v>44561.291666664903</v>
      </c>
      <c r="C733" s="110" t="e">
        <f>GEServed!#REF!</f>
        <v>#REF!</v>
      </c>
    </row>
    <row r="734" spans="1:4" x14ac:dyDescent="0.25">
      <c r="A734" s="58">
        <f t="shared" si="23"/>
        <v>44561.291666664903</v>
      </c>
      <c r="B734" s="58">
        <f t="shared" si="22"/>
        <v>44561.333333331568</v>
      </c>
      <c r="C734" s="110" t="e">
        <f>GEServed!#REF!</f>
        <v>#REF!</v>
      </c>
    </row>
    <row r="735" spans="1:4" x14ac:dyDescent="0.25">
      <c r="A735" s="58">
        <f t="shared" si="23"/>
        <v>44561.333333331568</v>
      </c>
      <c r="B735" s="58">
        <f t="shared" si="22"/>
        <v>44561.374999998232</v>
      </c>
      <c r="C735" s="110" t="e">
        <f>GEServed!#REF!</f>
        <v>#REF!</v>
      </c>
    </row>
    <row r="736" spans="1:4" x14ac:dyDescent="0.25">
      <c r="A736" s="58">
        <f t="shared" si="23"/>
        <v>44561.374999998232</v>
      </c>
      <c r="B736" s="58">
        <f t="shared" si="22"/>
        <v>44561.416666664896</v>
      </c>
      <c r="C736" s="110" t="e">
        <f>GEServed!#REF!</f>
        <v>#REF!</v>
      </c>
    </row>
    <row r="737" spans="1:3" x14ac:dyDescent="0.25">
      <c r="A737" s="58">
        <f t="shared" si="23"/>
        <v>44561.416666664896</v>
      </c>
      <c r="B737" s="58">
        <f t="shared" si="22"/>
        <v>44561.45833333156</v>
      </c>
      <c r="C737" s="110" t="e">
        <f>GEServed!#REF!</f>
        <v>#REF!</v>
      </c>
    </row>
    <row r="738" spans="1:3" x14ac:dyDescent="0.25">
      <c r="A738" s="58">
        <f t="shared" si="23"/>
        <v>44561.45833333156</v>
      </c>
      <c r="B738" s="58">
        <f t="shared" si="22"/>
        <v>44561.499999998225</v>
      </c>
      <c r="C738" s="110" t="e">
        <f>GEServed!#REF!</f>
        <v>#REF!</v>
      </c>
    </row>
    <row r="739" spans="1:3" x14ac:dyDescent="0.25">
      <c r="A739" s="58">
        <f t="shared" si="23"/>
        <v>44561.499999998225</v>
      </c>
      <c r="B739" s="58">
        <f t="shared" si="22"/>
        <v>44561.541666664889</v>
      </c>
      <c r="C739" s="110" t="e">
        <f>GEServed!#REF!</f>
        <v>#REF!</v>
      </c>
    </row>
    <row r="740" spans="1:3" x14ac:dyDescent="0.25">
      <c r="A740" s="58">
        <f t="shared" si="23"/>
        <v>44561.541666664889</v>
      </c>
      <c r="B740" s="58">
        <f t="shared" si="22"/>
        <v>44561.583333331553</v>
      </c>
      <c r="C740" s="110" t="e">
        <f>GEServed!#REF!</f>
        <v>#REF!</v>
      </c>
    </row>
    <row r="741" spans="1:3" x14ac:dyDescent="0.25">
      <c r="A741" s="58">
        <f t="shared" si="23"/>
        <v>44561.583333331553</v>
      </c>
      <c r="B741" s="58">
        <f t="shared" si="22"/>
        <v>44561.624999998217</v>
      </c>
      <c r="C741" s="110" t="e">
        <f>GEServed!#REF!</f>
        <v>#REF!</v>
      </c>
    </row>
    <row r="742" spans="1:3" x14ac:dyDescent="0.25">
      <c r="A742" s="58">
        <f t="shared" si="23"/>
        <v>44561.624999998217</v>
      </c>
      <c r="B742" s="58">
        <f t="shared" si="22"/>
        <v>44561.666666664882</v>
      </c>
      <c r="C742" s="110" t="e">
        <f>GEServed!#REF!</f>
        <v>#REF!</v>
      </c>
    </row>
    <row r="743" spans="1:3" x14ac:dyDescent="0.25">
      <c r="A743" s="58">
        <f t="shared" si="23"/>
        <v>44561.666666664882</v>
      </c>
      <c r="B743" s="58">
        <f t="shared" si="22"/>
        <v>44561.708333331546</v>
      </c>
      <c r="C743" s="110" t="e">
        <f>GEServed!#REF!</f>
        <v>#REF!</v>
      </c>
    </row>
    <row r="744" spans="1:3" x14ac:dyDescent="0.25">
      <c r="A744" s="58">
        <f t="shared" si="23"/>
        <v>44561.708333331546</v>
      </c>
      <c r="B744" s="58">
        <f t="shared" si="22"/>
        <v>44561.74999999821</v>
      </c>
      <c r="C744" s="110" t="e">
        <f>GEServed!#REF!</f>
        <v>#REF!</v>
      </c>
    </row>
    <row r="745" spans="1:3" x14ac:dyDescent="0.25">
      <c r="A745" s="58">
        <f t="shared" si="23"/>
        <v>44561.74999999821</v>
      </c>
      <c r="B745" s="58">
        <f t="shared" si="22"/>
        <v>44561.791666664874</v>
      </c>
      <c r="C745" s="110" t="e">
        <f>GEServed!#REF!</f>
        <v>#REF!</v>
      </c>
    </row>
    <row r="746" spans="1:3" x14ac:dyDescent="0.25">
      <c r="A746" s="58">
        <f t="shared" si="23"/>
        <v>44561.791666664874</v>
      </c>
      <c r="B746" s="58">
        <f t="shared" si="22"/>
        <v>44561.833333331539</v>
      </c>
      <c r="C746" s="110" t="e">
        <f>GEServed!#REF!</f>
        <v>#REF!</v>
      </c>
    </row>
    <row r="747" spans="1:3" x14ac:dyDescent="0.25">
      <c r="A747" s="58">
        <f t="shared" si="23"/>
        <v>44561.833333331539</v>
      </c>
      <c r="B747" s="58">
        <f t="shared" si="22"/>
        <v>44561.874999998203</v>
      </c>
      <c r="C747" s="110" t="e">
        <f>GEServed!#REF!</f>
        <v>#REF!</v>
      </c>
    </row>
    <row r="748" spans="1:3" x14ac:dyDescent="0.25">
      <c r="A748" s="58">
        <f t="shared" si="23"/>
        <v>44561.874999998203</v>
      </c>
      <c r="B748" s="58">
        <f t="shared" si="22"/>
        <v>44561.916666664867</v>
      </c>
      <c r="C748" s="110" t="e">
        <f>GEServed!#REF!</f>
        <v>#REF!</v>
      </c>
    </row>
    <row r="749" spans="1:3" x14ac:dyDescent="0.25">
      <c r="A749" s="58">
        <f t="shared" si="23"/>
        <v>44561.916666664867</v>
      </c>
      <c r="B749" s="58">
        <f t="shared" si="22"/>
        <v>44561.958333331531</v>
      </c>
      <c r="C749" s="110" t="e">
        <f>GEServed!#REF!</f>
        <v>#REF!</v>
      </c>
    </row>
    <row r="750" spans="1:3" x14ac:dyDescent="0.25">
      <c r="A750" s="58">
        <f t="shared" si="23"/>
        <v>44561.958333331531</v>
      </c>
      <c r="B750" s="58">
        <f t="shared" si="22"/>
        <v>44561.999999998196</v>
      </c>
      <c r="C750" s="110" t="e">
        <f>GEServed!#REF!</f>
        <v>#REF!</v>
      </c>
    </row>
    <row r="751" spans="1:3" x14ac:dyDescent="0.25">
      <c r="A751" s="58"/>
      <c r="B751" s="58"/>
      <c r="C751" s="110"/>
    </row>
    <row r="752" spans="1:3" x14ac:dyDescent="0.25">
      <c r="A752" s="58"/>
      <c r="B752" s="58"/>
      <c r="C752" s="110"/>
    </row>
    <row r="753" spans="1:3" x14ac:dyDescent="0.25">
      <c r="A753" s="58"/>
      <c r="B753" s="58"/>
      <c r="C753" s="110"/>
    </row>
    <row r="754" spans="1:3" x14ac:dyDescent="0.25">
      <c r="A754" s="58"/>
      <c r="B754" s="58"/>
      <c r="C754" s="110"/>
    </row>
    <row r="755" spans="1:3" x14ac:dyDescent="0.25">
      <c r="A755" s="58"/>
      <c r="B755" s="58"/>
      <c r="C755" s="110"/>
    </row>
    <row r="756" spans="1:3" x14ac:dyDescent="0.25">
      <c r="A756" s="58"/>
      <c r="B756" s="58"/>
      <c r="C756" s="110"/>
    </row>
    <row r="757" spans="1:3" x14ac:dyDescent="0.25">
      <c r="A757" s="58"/>
      <c r="B757" s="58"/>
      <c r="C757" s="1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-0.249977111117893"/>
  </sheetPr>
  <dimension ref="A1:AI752"/>
  <sheetViews>
    <sheetView zoomScale="80" zoomScaleNormal="80" workbookViewId="0">
      <selection activeCell="A726" sqref="A726:T750"/>
    </sheetView>
  </sheetViews>
  <sheetFormatPr defaultColWidth="9.109375" defaultRowHeight="13.2" x14ac:dyDescent="0.25"/>
  <cols>
    <col min="1" max="1" width="10.88671875" style="4" bestFit="1" customWidth="1"/>
    <col min="2" max="2" width="7.44140625" style="4" bestFit="1" customWidth="1"/>
    <col min="3" max="3" width="21.5546875" style="4" bestFit="1" customWidth="1"/>
    <col min="4" max="4" width="14.33203125" style="29" bestFit="1" customWidth="1"/>
    <col min="5" max="5" width="11.5546875" style="4" customWidth="1"/>
    <col min="6" max="10" width="9.109375" style="4"/>
    <col min="11" max="11" width="10.33203125" style="4" bestFit="1" customWidth="1"/>
    <col min="12" max="16384" width="9.109375" style="4"/>
  </cols>
  <sheetData>
    <row r="1" spans="1:35" x14ac:dyDescent="0.25">
      <c r="C1" s="18" t="s">
        <v>115</v>
      </c>
      <c r="D1" s="4"/>
    </row>
    <row r="2" spans="1:35" x14ac:dyDescent="0.25">
      <c r="C2" s="18"/>
      <c r="D2" s="4"/>
    </row>
    <row r="3" spans="1:35" x14ac:dyDescent="0.25">
      <c r="C3" s="18"/>
      <c r="D3" s="4"/>
    </row>
    <row r="4" spans="1:35" x14ac:dyDescent="0.25">
      <c r="C4" s="18"/>
      <c r="D4" s="4"/>
      <c r="K4" s="4" t="s">
        <v>116</v>
      </c>
    </row>
    <row r="5" spans="1:35" ht="25.5" customHeight="1" x14ac:dyDescent="0.25">
      <c r="C5" s="105" t="s">
        <v>5</v>
      </c>
      <c r="D5" s="105" t="s">
        <v>6</v>
      </c>
      <c r="E5" s="105" t="s">
        <v>117</v>
      </c>
    </row>
    <row r="6" spans="1:35" x14ac:dyDescent="0.25">
      <c r="A6" s="4" t="s">
        <v>11</v>
      </c>
      <c r="B6" s="4" t="s">
        <v>12</v>
      </c>
      <c r="K6" s="139">
        <f>A7</f>
        <v>44531</v>
      </c>
      <c r="L6" s="140">
        <v>25</v>
      </c>
      <c r="M6" s="140">
        <v>25</v>
      </c>
      <c r="N6" s="140">
        <v>25</v>
      </c>
      <c r="O6" s="140">
        <v>25</v>
      </c>
      <c r="P6" s="140">
        <v>25</v>
      </c>
      <c r="Q6" s="140">
        <v>25</v>
      </c>
      <c r="R6" s="140">
        <v>25</v>
      </c>
      <c r="S6" s="140">
        <v>25</v>
      </c>
      <c r="T6" s="140">
        <v>25</v>
      </c>
      <c r="U6" s="140">
        <v>25</v>
      </c>
      <c r="V6" s="140">
        <v>25</v>
      </c>
      <c r="W6" s="140">
        <v>25</v>
      </c>
      <c r="X6" s="140">
        <v>25</v>
      </c>
      <c r="Y6" s="140">
        <v>25</v>
      </c>
      <c r="Z6" s="140">
        <v>25</v>
      </c>
      <c r="AA6" s="140">
        <v>25</v>
      </c>
      <c r="AB6" s="140">
        <v>25</v>
      </c>
      <c r="AC6" s="140">
        <v>25</v>
      </c>
      <c r="AD6" s="140">
        <v>25</v>
      </c>
      <c r="AE6" s="140">
        <v>25</v>
      </c>
      <c r="AF6" s="140">
        <v>25</v>
      </c>
      <c r="AG6" s="140">
        <v>25</v>
      </c>
      <c r="AH6" s="140">
        <v>25</v>
      </c>
      <c r="AI6" s="141">
        <v>25</v>
      </c>
    </row>
    <row r="7" spans="1:35" x14ac:dyDescent="0.25">
      <c r="A7" s="17">
        <v>44531</v>
      </c>
      <c r="B7" s="126">
        <f>HOUR(C7)+1</f>
        <v>1</v>
      </c>
      <c r="C7" s="58">
        <v>44531</v>
      </c>
      <c r="D7" s="58">
        <f>$C7+1/24</f>
        <v>44531.041666666664</v>
      </c>
      <c r="E7" s="106">
        <f>VLOOKUP(A7,$K$6:$AI$36,B7+1,FALSE)</f>
        <v>25</v>
      </c>
      <c r="K7" s="142">
        <f>K6+1</f>
        <v>44532</v>
      </c>
      <c r="L7" s="138">
        <v>25.29</v>
      </c>
      <c r="M7" s="138">
        <v>25.29</v>
      </c>
      <c r="N7" s="138">
        <v>25.29</v>
      </c>
      <c r="O7" s="138">
        <v>25.29</v>
      </c>
      <c r="P7" s="138">
        <v>20</v>
      </c>
      <c r="Q7" s="138">
        <v>25</v>
      </c>
      <c r="R7" s="138">
        <v>30</v>
      </c>
      <c r="S7" s="138">
        <v>35</v>
      </c>
      <c r="T7" s="138">
        <v>27.36</v>
      </c>
      <c r="U7" s="138">
        <v>27.36</v>
      </c>
      <c r="V7" s="138">
        <v>24</v>
      </c>
      <c r="W7" s="138">
        <v>27.36</v>
      </c>
      <c r="X7" s="138">
        <v>27.36</v>
      </c>
      <c r="Y7" s="138">
        <v>27.36</v>
      </c>
      <c r="Z7" s="138">
        <v>27.36</v>
      </c>
      <c r="AA7" s="138">
        <v>27.36</v>
      </c>
      <c r="AB7" s="138">
        <v>25</v>
      </c>
      <c r="AC7" s="138">
        <v>27.36</v>
      </c>
      <c r="AD7" s="138">
        <v>27.36</v>
      </c>
      <c r="AE7" s="138">
        <v>27.36</v>
      </c>
      <c r="AF7" s="138">
        <v>27.36</v>
      </c>
      <c r="AG7" s="138">
        <v>27.36</v>
      </c>
      <c r="AH7" s="138">
        <v>27.36</v>
      </c>
      <c r="AI7" s="143">
        <v>25.29</v>
      </c>
    </row>
    <row r="8" spans="1:35" x14ac:dyDescent="0.25">
      <c r="A8" s="17">
        <f t="shared" ref="A8:A71" si="0">DATE(YEAR(C8),MONTH(C8),DAY(C8))</f>
        <v>44531</v>
      </c>
      <c r="B8" s="126">
        <f t="shared" ref="B8:B71" si="1">HOUR(C8)+1</f>
        <v>2</v>
      </c>
      <c r="C8" s="58">
        <f>$C7+1/24</f>
        <v>44531.041666666664</v>
      </c>
      <c r="D8" s="58">
        <f t="shared" ref="D8:D71" si="2">$C8+1/24</f>
        <v>44531.083333333328</v>
      </c>
      <c r="E8" s="106">
        <f t="shared" ref="E8:E71" si="3">VLOOKUP(A8,$K$6:$AI$36,B8+1,FALSE)</f>
        <v>25</v>
      </c>
      <c r="K8" s="142">
        <f>K7+1</f>
        <v>44533</v>
      </c>
      <c r="L8" s="138">
        <v>29.58</v>
      </c>
      <c r="M8" s="138">
        <v>29.58</v>
      </c>
      <c r="N8" s="138">
        <v>29.58</v>
      </c>
      <c r="O8" s="138">
        <v>29.58</v>
      </c>
      <c r="P8" s="138">
        <v>29.58</v>
      </c>
      <c r="Q8" s="138">
        <v>29.58</v>
      </c>
      <c r="R8" s="138">
        <v>18</v>
      </c>
      <c r="S8" s="138">
        <v>18</v>
      </c>
      <c r="T8" s="138">
        <v>25.4</v>
      </c>
      <c r="U8" s="138">
        <v>35</v>
      </c>
      <c r="V8" s="138">
        <v>35</v>
      </c>
      <c r="W8" s="138">
        <v>29.58</v>
      </c>
      <c r="X8" s="138">
        <v>29.58</v>
      </c>
      <c r="Y8" s="138">
        <v>29.58</v>
      </c>
      <c r="Z8" s="138">
        <v>35</v>
      </c>
      <c r="AA8" s="138">
        <v>29.58</v>
      </c>
      <c r="AB8" s="138">
        <v>45</v>
      </c>
      <c r="AC8" s="138">
        <v>29.58</v>
      </c>
      <c r="AD8" s="138">
        <v>29.58</v>
      </c>
      <c r="AE8" s="138">
        <v>29.58</v>
      </c>
      <c r="AF8" s="138">
        <v>29.58</v>
      </c>
      <c r="AG8" s="138">
        <v>29.58</v>
      </c>
      <c r="AH8" s="138">
        <v>29.58</v>
      </c>
      <c r="AI8" s="143">
        <v>29.58</v>
      </c>
    </row>
    <row r="9" spans="1:35" x14ac:dyDescent="0.25">
      <c r="A9" s="17">
        <f t="shared" si="0"/>
        <v>44531</v>
      </c>
      <c r="B9" s="126">
        <f t="shared" si="1"/>
        <v>3</v>
      </c>
      <c r="C9" s="58">
        <f t="shared" ref="C9:C72" si="4">$C8+1/24</f>
        <v>44531.083333333328</v>
      </c>
      <c r="D9" s="58">
        <f t="shared" si="2"/>
        <v>44531.124999999993</v>
      </c>
      <c r="E9" s="106">
        <f t="shared" si="3"/>
        <v>25</v>
      </c>
      <c r="K9" s="142">
        <f t="shared" ref="K9:K36" si="5">K8+1</f>
        <v>44534</v>
      </c>
      <c r="L9" s="138">
        <v>30</v>
      </c>
      <c r="M9" s="138">
        <v>30</v>
      </c>
      <c r="N9" s="138">
        <v>30</v>
      </c>
      <c r="O9" s="138">
        <v>30</v>
      </c>
      <c r="P9" s="138">
        <v>30</v>
      </c>
      <c r="Q9" s="138">
        <v>30</v>
      </c>
      <c r="R9" s="138">
        <v>30</v>
      </c>
      <c r="S9" s="138">
        <v>30</v>
      </c>
      <c r="T9" s="138">
        <v>30</v>
      </c>
      <c r="U9" s="138">
        <v>30</v>
      </c>
      <c r="V9" s="138">
        <v>30</v>
      </c>
      <c r="W9" s="138">
        <v>30</v>
      </c>
      <c r="X9" s="138">
        <v>30</v>
      </c>
      <c r="Y9" s="138">
        <v>30</v>
      </c>
      <c r="Z9" s="138">
        <v>30</v>
      </c>
      <c r="AA9" s="138">
        <v>30</v>
      </c>
      <c r="AB9" s="138">
        <v>30</v>
      </c>
      <c r="AC9" s="138">
        <v>30</v>
      </c>
      <c r="AD9" s="138">
        <v>30</v>
      </c>
      <c r="AE9" s="138">
        <v>30</v>
      </c>
      <c r="AF9" s="138">
        <v>30</v>
      </c>
      <c r="AG9" s="138">
        <v>30</v>
      </c>
      <c r="AH9" s="138">
        <v>30</v>
      </c>
      <c r="AI9" s="143">
        <v>30</v>
      </c>
    </row>
    <row r="10" spans="1:35" x14ac:dyDescent="0.25">
      <c r="A10" s="17">
        <f t="shared" si="0"/>
        <v>44531</v>
      </c>
      <c r="B10" s="126">
        <f t="shared" si="1"/>
        <v>4</v>
      </c>
      <c r="C10" s="58">
        <f t="shared" si="4"/>
        <v>44531.124999999993</v>
      </c>
      <c r="D10" s="58">
        <f t="shared" si="2"/>
        <v>44531.166666666657</v>
      </c>
      <c r="E10" s="106">
        <f t="shared" si="3"/>
        <v>25</v>
      </c>
      <c r="K10" s="142">
        <f t="shared" si="5"/>
        <v>44535</v>
      </c>
      <c r="L10" s="138">
        <v>30.21</v>
      </c>
      <c r="M10" s="138">
        <v>30.21</v>
      </c>
      <c r="N10" s="138">
        <v>30.21</v>
      </c>
      <c r="O10" s="138">
        <v>30.21</v>
      </c>
      <c r="P10" s="138">
        <v>30.21</v>
      </c>
      <c r="Q10" s="138">
        <v>30.21</v>
      </c>
      <c r="R10" s="138">
        <v>30.21</v>
      </c>
      <c r="S10" s="138">
        <v>30</v>
      </c>
      <c r="T10" s="138">
        <v>30</v>
      </c>
      <c r="U10" s="138">
        <v>30</v>
      </c>
      <c r="V10" s="138">
        <v>30</v>
      </c>
      <c r="W10" s="138">
        <v>30</v>
      </c>
      <c r="X10" s="138">
        <v>30</v>
      </c>
      <c r="Y10" s="138">
        <v>30</v>
      </c>
      <c r="Z10" s="138">
        <v>30</v>
      </c>
      <c r="AA10" s="138">
        <v>30</v>
      </c>
      <c r="AB10" s="138">
        <v>30</v>
      </c>
      <c r="AC10" s="138">
        <v>30</v>
      </c>
      <c r="AD10" s="138">
        <v>30</v>
      </c>
      <c r="AE10" s="138">
        <v>30</v>
      </c>
      <c r="AF10" s="138">
        <v>30</v>
      </c>
      <c r="AG10" s="138">
        <v>30</v>
      </c>
      <c r="AH10" s="138">
        <v>30</v>
      </c>
      <c r="AI10" s="143">
        <v>30.21</v>
      </c>
    </row>
    <row r="11" spans="1:35" x14ac:dyDescent="0.25">
      <c r="A11" s="17">
        <f t="shared" si="0"/>
        <v>44531</v>
      </c>
      <c r="B11" s="126">
        <f t="shared" si="1"/>
        <v>5</v>
      </c>
      <c r="C11" s="58">
        <f t="shared" si="4"/>
        <v>44531.166666666657</v>
      </c>
      <c r="D11" s="58">
        <f t="shared" si="2"/>
        <v>44531.208333333321</v>
      </c>
      <c r="E11" s="106">
        <f t="shared" si="3"/>
        <v>25</v>
      </c>
      <c r="K11" s="142">
        <f t="shared" si="5"/>
        <v>44536</v>
      </c>
      <c r="L11" s="138">
        <v>21.13</v>
      </c>
      <c r="M11" s="138">
        <v>21.13</v>
      </c>
      <c r="N11" s="138">
        <v>21.13</v>
      </c>
      <c r="O11" s="138">
        <v>21.13</v>
      </c>
      <c r="P11" s="138">
        <v>18</v>
      </c>
      <c r="Q11" s="138">
        <v>22</v>
      </c>
      <c r="R11" s="138">
        <v>22</v>
      </c>
      <c r="S11" s="138">
        <v>22</v>
      </c>
      <c r="T11" s="138">
        <v>20</v>
      </c>
      <c r="U11" s="138">
        <v>20</v>
      </c>
      <c r="V11" s="138">
        <v>20</v>
      </c>
      <c r="W11" s="138">
        <v>20</v>
      </c>
      <c r="X11" s="138">
        <v>20.62</v>
      </c>
      <c r="Y11" s="138">
        <v>20.62</v>
      </c>
      <c r="Z11" s="138">
        <v>20.62</v>
      </c>
      <c r="AA11" s="138">
        <v>20</v>
      </c>
      <c r="AB11" s="138">
        <v>20.62</v>
      </c>
      <c r="AC11" s="138">
        <v>24</v>
      </c>
      <c r="AD11" s="138">
        <v>20.62</v>
      </c>
      <c r="AE11" s="138">
        <v>20.62</v>
      </c>
      <c r="AF11" s="138">
        <v>20.62</v>
      </c>
      <c r="AG11" s="138">
        <v>20.62</v>
      </c>
      <c r="AH11" s="138">
        <v>20.62</v>
      </c>
      <c r="AI11" s="143">
        <v>21.13</v>
      </c>
    </row>
    <row r="12" spans="1:35" x14ac:dyDescent="0.25">
      <c r="A12" s="17">
        <f t="shared" si="0"/>
        <v>44531</v>
      </c>
      <c r="B12" s="126">
        <f t="shared" si="1"/>
        <v>6</v>
      </c>
      <c r="C12" s="58">
        <f t="shared" si="4"/>
        <v>44531.208333333321</v>
      </c>
      <c r="D12" s="58">
        <f t="shared" si="2"/>
        <v>44531.249999999985</v>
      </c>
      <c r="E12" s="106">
        <f t="shared" si="3"/>
        <v>25</v>
      </c>
      <c r="K12" s="142">
        <f t="shared" si="5"/>
        <v>44537</v>
      </c>
      <c r="L12" s="138">
        <v>50.35</v>
      </c>
      <c r="M12" s="138">
        <v>50.35</v>
      </c>
      <c r="N12" s="138">
        <v>26</v>
      </c>
      <c r="O12" s="138">
        <v>50.35</v>
      </c>
      <c r="P12" s="138">
        <v>28</v>
      </c>
      <c r="Q12" s="138">
        <v>45</v>
      </c>
      <c r="R12" s="138">
        <v>75</v>
      </c>
      <c r="S12" s="138">
        <v>75</v>
      </c>
      <c r="T12" s="138">
        <v>39.380000000000003</v>
      </c>
      <c r="U12" s="138">
        <v>35</v>
      </c>
      <c r="V12" s="138">
        <v>75</v>
      </c>
      <c r="W12" s="138">
        <v>54.6</v>
      </c>
      <c r="X12" s="138">
        <v>30</v>
      </c>
      <c r="Y12" s="138">
        <v>54</v>
      </c>
      <c r="Z12" s="138">
        <v>54</v>
      </c>
      <c r="AA12" s="138">
        <v>54</v>
      </c>
      <c r="AB12" s="138">
        <v>44.43</v>
      </c>
      <c r="AC12" s="138">
        <v>50</v>
      </c>
      <c r="AD12" s="138">
        <v>54</v>
      </c>
      <c r="AE12" s="138">
        <v>54</v>
      </c>
      <c r="AF12" s="138">
        <v>54</v>
      </c>
      <c r="AG12" s="138">
        <v>54</v>
      </c>
      <c r="AH12" s="138">
        <v>54</v>
      </c>
      <c r="AI12" s="143">
        <v>50.35</v>
      </c>
    </row>
    <row r="13" spans="1:35" x14ac:dyDescent="0.25">
      <c r="A13" s="17">
        <f t="shared" si="0"/>
        <v>44531</v>
      </c>
      <c r="B13" s="126">
        <f t="shared" si="1"/>
        <v>7</v>
      </c>
      <c r="C13" s="58">
        <f t="shared" si="4"/>
        <v>44531.249999999985</v>
      </c>
      <c r="D13" s="58">
        <f t="shared" si="2"/>
        <v>44531.29166666665</v>
      </c>
      <c r="E13" s="106">
        <f t="shared" si="3"/>
        <v>25</v>
      </c>
      <c r="K13" s="142">
        <f t="shared" si="5"/>
        <v>44538</v>
      </c>
      <c r="L13" s="138">
        <v>30</v>
      </c>
      <c r="M13" s="138">
        <v>30</v>
      </c>
      <c r="N13" s="138">
        <v>30</v>
      </c>
      <c r="O13" s="138">
        <v>30</v>
      </c>
      <c r="P13" s="138">
        <v>30</v>
      </c>
      <c r="Q13" s="138">
        <v>30</v>
      </c>
      <c r="R13" s="138">
        <v>30</v>
      </c>
      <c r="S13" s="138">
        <v>33.5</v>
      </c>
      <c r="T13" s="138">
        <v>33.5</v>
      </c>
      <c r="U13" s="138">
        <v>33.5</v>
      </c>
      <c r="V13" s="138">
        <v>33.5</v>
      </c>
      <c r="W13" s="138">
        <v>33.5</v>
      </c>
      <c r="X13" s="138">
        <v>33.5</v>
      </c>
      <c r="Y13" s="138">
        <v>33.5</v>
      </c>
      <c r="Z13" s="138">
        <v>33.5</v>
      </c>
      <c r="AA13" s="138">
        <v>33.5</v>
      </c>
      <c r="AB13" s="138">
        <v>33.5</v>
      </c>
      <c r="AC13" s="138">
        <v>33.5</v>
      </c>
      <c r="AD13" s="138">
        <v>33.5</v>
      </c>
      <c r="AE13" s="138">
        <v>33.5</v>
      </c>
      <c r="AF13" s="138">
        <v>33.5</v>
      </c>
      <c r="AG13" s="138">
        <v>33.5</v>
      </c>
      <c r="AH13" s="138">
        <v>33.5</v>
      </c>
      <c r="AI13" s="143">
        <v>30</v>
      </c>
    </row>
    <row r="14" spans="1:35" x14ac:dyDescent="0.25">
      <c r="A14" s="17">
        <f t="shared" si="0"/>
        <v>44531</v>
      </c>
      <c r="B14" s="126">
        <f t="shared" si="1"/>
        <v>8</v>
      </c>
      <c r="C14" s="58">
        <f t="shared" si="4"/>
        <v>44531.29166666665</v>
      </c>
      <c r="D14" s="58">
        <f t="shared" si="2"/>
        <v>44531.333333333314</v>
      </c>
      <c r="E14" s="106">
        <f t="shared" si="3"/>
        <v>25</v>
      </c>
      <c r="K14" s="142">
        <f t="shared" si="5"/>
        <v>44539</v>
      </c>
      <c r="L14" s="138">
        <v>34</v>
      </c>
      <c r="M14" s="138">
        <v>34</v>
      </c>
      <c r="N14" s="138">
        <v>34</v>
      </c>
      <c r="O14" s="138">
        <v>34</v>
      </c>
      <c r="P14" s="138">
        <v>30</v>
      </c>
      <c r="Q14" s="138">
        <v>30</v>
      </c>
      <c r="R14" s="138">
        <v>38</v>
      </c>
      <c r="S14" s="138">
        <v>35</v>
      </c>
      <c r="T14" s="138">
        <v>35</v>
      </c>
      <c r="U14" s="138">
        <v>30</v>
      </c>
      <c r="V14" s="138">
        <v>45.21</v>
      </c>
      <c r="W14" s="138">
        <v>45.21</v>
      </c>
      <c r="X14" s="138">
        <v>45.21</v>
      </c>
      <c r="Y14" s="138">
        <v>45.21</v>
      </c>
      <c r="Z14" s="138">
        <v>45.21</v>
      </c>
      <c r="AA14" s="138">
        <v>50</v>
      </c>
      <c r="AB14" s="138">
        <v>34</v>
      </c>
      <c r="AC14" s="138">
        <v>50</v>
      </c>
      <c r="AD14" s="138">
        <v>52.5</v>
      </c>
      <c r="AE14" s="138">
        <v>60</v>
      </c>
      <c r="AF14" s="138">
        <v>45.21</v>
      </c>
      <c r="AG14" s="138">
        <v>45.21</v>
      </c>
      <c r="AH14" s="138">
        <v>45.21</v>
      </c>
      <c r="AI14" s="143">
        <v>34</v>
      </c>
    </row>
    <row r="15" spans="1:35" x14ac:dyDescent="0.25">
      <c r="A15" s="17">
        <f t="shared" si="0"/>
        <v>44531</v>
      </c>
      <c r="B15" s="126">
        <f t="shared" si="1"/>
        <v>9</v>
      </c>
      <c r="C15" s="58">
        <f t="shared" si="4"/>
        <v>44531.333333333314</v>
      </c>
      <c r="D15" s="58">
        <f t="shared" si="2"/>
        <v>44531.374999999978</v>
      </c>
      <c r="E15" s="106">
        <f t="shared" si="3"/>
        <v>25</v>
      </c>
      <c r="K15" s="142">
        <f t="shared" si="5"/>
        <v>44540</v>
      </c>
      <c r="L15" s="138">
        <v>37.979999999999997</v>
      </c>
      <c r="M15" s="138">
        <v>37.979999999999997</v>
      </c>
      <c r="N15" s="138">
        <v>37.979999999999997</v>
      </c>
      <c r="O15" s="138">
        <v>37.979999999999997</v>
      </c>
      <c r="P15" s="138">
        <v>28</v>
      </c>
      <c r="Q15" s="138">
        <v>28</v>
      </c>
      <c r="R15" s="138">
        <v>30</v>
      </c>
      <c r="S15" s="138">
        <v>35</v>
      </c>
      <c r="T15" s="138">
        <v>35.33</v>
      </c>
      <c r="U15" s="138">
        <v>35.33</v>
      </c>
      <c r="V15" s="138">
        <v>32</v>
      </c>
      <c r="W15" s="138">
        <v>37.979999999999997</v>
      </c>
      <c r="X15" s="138">
        <v>37.979999999999997</v>
      </c>
      <c r="Y15" s="138">
        <v>37.979999999999997</v>
      </c>
      <c r="Z15" s="138">
        <v>37.979999999999997</v>
      </c>
      <c r="AA15" s="138">
        <v>37.979999999999997</v>
      </c>
      <c r="AB15" s="138">
        <v>36</v>
      </c>
      <c r="AC15" s="138">
        <v>43.2</v>
      </c>
      <c r="AD15" s="138">
        <v>48.67</v>
      </c>
      <c r="AE15" s="138">
        <v>55</v>
      </c>
      <c r="AF15" s="138">
        <v>37.979999999999997</v>
      </c>
      <c r="AG15" s="138">
        <v>37.979999999999997</v>
      </c>
      <c r="AH15" s="138">
        <v>37.979999999999997</v>
      </c>
      <c r="AI15" s="143">
        <v>37.979999999999997</v>
      </c>
    </row>
    <row r="16" spans="1:35" x14ac:dyDescent="0.25">
      <c r="A16" s="17">
        <f t="shared" si="0"/>
        <v>44531</v>
      </c>
      <c r="B16" s="126">
        <f t="shared" si="1"/>
        <v>10</v>
      </c>
      <c r="C16" s="58">
        <f t="shared" si="4"/>
        <v>44531.374999999978</v>
      </c>
      <c r="D16" s="58">
        <f t="shared" si="2"/>
        <v>44531.416666666642</v>
      </c>
      <c r="E16" s="106">
        <f t="shared" si="3"/>
        <v>25</v>
      </c>
      <c r="K16" s="142">
        <f t="shared" si="5"/>
        <v>44541</v>
      </c>
      <c r="L16" s="138">
        <v>30.83</v>
      </c>
      <c r="M16" s="138">
        <v>30.83</v>
      </c>
      <c r="N16" s="138">
        <v>30.83</v>
      </c>
      <c r="O16" s="138">
        <v>30.83</v>
      </c>
      <c r="P16" s="138">
        <v>30.83</v>
      </c>
      <c r="Q16" s="138">
        <v>28</v>
      </c>
      <c r="R16" s="138">
        <v>32.25</v>
      </c>
      <c r="S16" s="138">
        <v>30</v>
      </c>
      <c r="T16" s="138">
        <v>30</v>
      </c>
      <c r="U16" s="138">
        <v>26</v>
      </c>
      <c r="V16" s="138">
        <v>41.71</v>
      </c>
      <c r="W16" s="138">
        <v>41.71</v>
      </c>
      <c r="X16" s="138">
        <v>41.71</v>
      </c>
      <c r="Y16" s="138">
        <v>41.71</v>
      </c>
      <c r="Z16" s="138">
        <v>41.71</v>
      </c>
      <c r="AA16" s="138">
        <v>41.71</v>
      </c>
      <c r="AB16" s="138">
        <v>26</v>
      </c>
      <c r="AC16" s="138">
        <v>72</v>
      </c>
      <c r="AD16" s="138">
        <v>52.22</v>
      </c>
      <c r="AE16" s="138">
        <v>45</v>
      </c>
      <c r="AF16" s="138">
        <v>41.71</v>
      </c>
      <c r="AG16" s="138">
        <v>41.71</v>
      </c>
      <c r="AH16" s="138">
        <v>41.71</v>
      </c>
      <c r="AI16" s="143">
        <v>30.83</v>
      </c>
    </row>
    <row r="17" spans="1:35" x14ac:dyDescent="0.25">
      <c r="A17" s="17">
        <f t="shared" si="0"/>
        <v>44531</v>
      </c>
      <c r="B17" s="126">
        <f t="shared" si="1"/>
        <v>11</v>
      </c>
      <c r="C17" s="58">
        <f t="shared" si="4"/>
        <v>44531.416666666642</v>
      </c>
      <c r="D17" s="58">
        <f t="shared" si="2"/>
        <v>44531.458333333307</v>
      </c>
      <c r="E17" s="106">
        <f t="shared" si="3"/>
        <v>25</v>
      </c>
      <c r="K17" s="142">
        <f t="shared" si="5"/>
        <v>44542</v>
      </c>
      <c r="L17" s="138">
        <v>30.14</v>
      </c>
      <c r="M17" s="138">
        <v>30.14</v>
      </c>
      <c r="N17" s="138">
        <v>30.14</v>
      </c>
      <c r="O17" s="138">
        <v>25</v>
      </c>
      <c r="P17" s="138">
        <v>28</v>
      </c>
      <c r="Q17" s="138">
        <v>30</v>
      </c>
      <c r="R17" s="138">
        <v>35</v>
      </c>
      <c r="S17" s="138">
        <v>35</v>
      </c>
      <c r="T17" s="138">
        <v>35.82</v>
      </c>
      <c r="U17" s="138">
        <v>35.82</v>
      </c>
      <c r="V17" s="138">
        <v>35.82</v>
      </c>
      <c r="W17" s="138">
        <v>36</v>
      </c>
      <c r="X17" s="138">
        <v>36</v>
      </c>
      <c r="Y17" s="138">
        <v>36</v>
      </c>
      <c r="Z17" s="138">
        <v>35.82</v>
      </c>
      <c r="AA17" s="138">
        <v>36</v>
      </c>
      <c r="AB17" s="138">
        <v>36</v>
      </c>
      <c r="AC17" s="138">
        <v>35.82</v>
      </c>
      <c r="AD17" s="138">
        <v>35.82</v>
      </c>
      <c r="AE17" s="138">
        <v>35.82</v>
      </c>
      <c r="AF17" s="138">
        <v>35.82</v>
      </c>
      <c r="AG17" s="138">
        <v>35.82</v>
      </c>
      <c r="AH17" s="138">
        <v>35.82</v>
      </c>
      <c r="AI17" s="143">
        <v>30.14</v>
      </c>
    </row>
    <row r="18" spans="1:35" x14ac:dyDescent="0.25">
      <c r="A18" s="17">
        <f t="shared" si="0"/>
        <v>44531</v>
      </c>
      <c r="B18" s="126">
        <f t="shared" si="1"/>
        <v>12</v>
      </c>
      <c r="C18" s="58">
        <f t="shared" si="4"/>
        <v>44531.458333333307</v>
      </c>
      <c r="D18" s="58">
        <f t="shared" si="2"/>
        <v>44531.499999999971</v>
      </c>
      <c r="E18" s="106">
        <f t="shared" si="3"/>
        <v>25</v>
      </c>
      <c r="K18" s="142">
        <f t="shared" si="5"/>
        <v>44543</v>
      </c>
      <c r="L18" s="138">
        <v>25.29</v>
      </c>
      <c r="M18" s="138">
        <v>25.29</v>
      </c>
      <c r="N18" s="138">
        <v>25.29</v>
      </c>
      <c r="O18" s="138">
        <v>19</v>
      </c>
      <c r="P18" s="138">
        <v>22</v>
      </c>
      <c r="Q18" s="138">
        <v>29</v>
      </c>
      <c r="R18" s="138">
        <v>31.71</v>
      </c>
      <c r="S18" s="138">
        <v>31.5</v>
      </c>
      <c r="T18" s="138">
        <v>36.29</v>
      </c>
      <c r="U18" s="138">
        <v>38</v>
      </c>
      <c r="V18" s="138">
        <v>35</v>
      </c>
      <c r="W18" s="138">
        <v>37</v>
      </c>
      <c r="X18" s="138">
        <v>35</v>
      </c>
      <c r="Y18" s="138">
        <v>36.29</v>
      </c>
      <c r="Z18" s="138">
        <v>36.29</v>
      </c>
      <c r="AA18" s="138">
        <v>36.29</v>
      </c>
      <c r="AB18" s="138">
        <v>40</v>
      </c>
      <c r="AC18" s="138">
        <v>40</v>
      </c>
      <c r="AD18" s="138">
        <v>36.29</v>
      </c>
      <c r="AE18" s="138">
        <v>36.29</v>
      </c>
      <c r="AF18" s="138">
        <v>36.29</v>
      </c>
      <c r="AG18" s="138">
        <v>36.29</v>
      </c>
      <c r="AH18" s="138">
        <v>36.29</v>
      </c>
      <c r="AI18" s="143">
        <v>14</v>
      </c>
    </row>
    <row r="19" spans="1:35" x14ac:dyDescent="0.25">
      <c r="A19" s="17">
        <f t="shared" si="0"/>
        <v>44531</v>
      </c>
      <c r="B19" s="126">
        <f t="shared" si="1"/>
        <v>13</v>
      </c>
      <c r="C19" s="58">
        <f t="shared" si="4"/>
        <v>44531.499999999971</v>
      </c>
      <c r="D19" s="58">
        <f t="shared" si="2"/>
        <v>44531.541666666635</v>
      </c>
      <c r="E19" s="106">
        <f t="shared" si="3"/>
        <v>25</v>
      </c>
      <c r="K19" s="142">
        <f t="shared" si="5"/>
        <v>44544</v>
      </c>
      <c r="L19" s="138">
        <v>14</v>
      </c>
      <c r="M19" s="138">
        <v>14</v>
      </c>
      <c r="N19" s="138">
        <v>15.21</v>
      </c>
      <c r="O19" s="138">
        <v>14</v>
      </c>
      <c r="P19" s="138">
        <v>14</v>
      </c>
      <c r="Q19" s="138">
        <v>14</v>
      </c>
      <c r="R19" s="138">
        <v>20</v>
      </c>
      <c r="S19" s="138">
        <v>20</v>
      </c>
      <c r="T19" s="138">
        <v>18</v>
      </c>
      <c r="U19" s="138">
        <v>18</v>
      </c>
      <c r="V19" s="138">
        <v>17</v>
      </c>
      <c r="W19" s="138">
        <v>17.23</v>
      </c>
      <c r="X19" s="138">
        <v>17.23</v>
      </c>
      <c r="Y19" s="138">
        <v>17.23</v>
      </c>
      <c r="Z19" s="138">
        <v>9</v>
      </c>
      <c r="AA19" s="138">
        <v>9</v>
      </c>
      <c r="AB19" s="138">
        <v>20</v>
      </c>
      <c r="AC19" s="138">
        <v>20</v>
      </c>
      <c r="AD19" s="138">
        <v>18.399999999999999</v>
      </c>
      <c r="AE19" s="138">
        <v>18</v>
      </c>
      <c r="AF19" s="138">
        <v>17.23</v>
      </c>
      <c r="AG19" s="138">
        <v>18</v>
      </c>
      <c r="AH19" s="138">
        <v>18</v>
      </c>
      <c r="AI19" s="143">
        <v>18</v>
      </c>
    </row>
    <row r="20" spans="1:35" x14ac:dyDescent="0.25">
      <c r="A20" s="17">
        <f t="shared" si="0"/>
        <v>44531</v>
      </c>
      <c r="B20" s="126">
        <f t="shared" si="1"/>
        <v>14</v>
      </c>
      <c r="C20" s="58">
        <f t="shared" si="4"/>
        <v>44531.541666666635</v>
      </c>
      <c r="D20" s="58">
        <f t="shared" si="2"/>
        <v>44531.583333333299</v>
      </c>
      <c r="E20" s="106">
        <f t="shared" si="3"/>
        <v>25</v>
      </c>
      <c r="K20" s="142">
        <f t="shared" si="5"/>
        <v>44545</v>
      </c>
      <c r="L20" s="138">
        <v>16</v>
      </c>
      <c r="M20" s="138">
        <v>16</v>
      </c>
      <c r="N20" s="138">
        <v>16</v>
      </c>
      <c r="O20" s="138">
        <v>16</v>
      </c>
      <c r="P20" s="138">
        <v>16</v>
      </c>
      <c r="Q20" s="138">
        <v>18</v>
      </c>
      <c r="R20" s="138">
        <v>18</v>
      </c>
      <c r="S20" s="138">
        <v>18</v>
      </c>
      <c r="T20" s="138">
        <v>18</v>
      </c>
      <c r="U20" s="138">
        <v>18</v>
      </c>
      <c r="V20" s="138">
        <v>18</v>
      </c>
      <c r="W20" s="138">
        <v>20</v>
      </c>
      <c r="X20" s="138">
        <v>20</v>
      </c>
      <c r="Y20" s="138">
        <v>20</v>
      </c>
      <c r="Z20" s="138">
        <v>18.68</v>
      </c>
      <c r="AA20" s="138">
        <v>18.68</v>
      </c>
      <c r="AB20" s="138">
        <v>18.68</v>
      </c>
      <c r="AC20" s="138">
        <v>18.68</v>
      </c>
      <c r="AD20" s="138">
        <v>18.68</v>
      </c>
      <c r="AE20" s="138">
        <v>18.68</v>
      </c>
      <c r="AF20" s="138">
        <v>18.68</v>
      </c>
      <c r="AG20" s="138">
        <v>18.68</v>
      </c>
      <c r="AH20" s="138">
        <v>18.68</v>
      </c>
      <c r="AI20" s="143">
        <v>16.64</v>
      </c>
    </row>
    <row r="21" spans="1:35" x14ac:dyDescent="0.25">
      <c r="A21" s="17">
        <f t="shared" si="0"/>
        <v>44531</v>
      </c>
      <c r="B21" s="126">
        <f t="shared" si="1"/>
        <v>15</v>
      </c>
      <c r="C21" s="58">
        <f t="shared" si="4"/>
        <v>44531.583333333299</v>
      </c>
      <c r="D21" s="58">
        <f t="shared" si="2"/>
        <v>44531.624999999964</v>
      </c>
      <c r="E21" s="106">
        <f t="shared" si="3"/>
        <v>25</v>
      </c>
      <c r="K21" s="142">
        <f t="shared" si="5"/>
        <v>44546</v>
      </c>
      <c r="L21" s="138">
        <v>30.21</v>
      </c>
      <c r="M21" s="138">
        <v>30.21</v>
      </c>
      <c r="N21" s="138">
        <v>30.21</v>
      </c>
      <c r="O21" s="138">
        <v>30.21</v>
      </c>
      <c r="P21" s="138">
        <v>30.21</v>
      </c>
      <c r="Q21" s="138">
        <v>30.21</v>
      </c>
      <c r="R21" s="138">
        <v>30.21</v>
      </c>
      <c r="S21" s="138">
        <v>18</v>
      </c>
      <c r="T21" s="138">
        <v>18</v>
      </c>
      <c r="U21" s="138">
        <v>18</v>
      </c>
      <c r="V21" s="138">
        <v>18</v>
      </c>
      <c r="W21" s="138">
        <v>18</v>
      </c>
      <c r="X21" s="138">
        <v>18</v>
      </c>
      <c r="Y21" s="138">
        <v>18</v>
      </c>
      <c r="Z21" s="138">
        <v>18</v>
      </c>
      <c r="AA21" s="138">
        <v>18</v>
      </c>
      <c r="AB21" s="138">
        <v>18</v>
      </c>
      <c r="AC21" s="138">
        <v>18</v>
      </c>
      <c r="AD21" s="138">
        <v>18</v>
      </c>
      <c r="AE21" s="138">
        <v>18</v>
      </c>
      <c r="AF21" s="138">
        <v>18</v>
      </c>
      <c r="AG21" s="138">
        <v>18</v>
      </c>
      <c r="AH21" s="138">
        <v>18</v>
      </c>
      <c r="AI21" s="143">
        <v>30.21</v>
      </c>
    </row>
    <row r="22" spans="1:35" x14ac:dyDescent="0.25">
      <c r="A22" s="17">
        <f t="shared" si="0"/>
        <v>44531</v>
      </c>
      <c r="B22" s="126">
        <f t="shared" si="1"/>
        <v>16</v>
      </c>
      <c r="C22" s="58">
        <f t="shared" si="4"/>
        <v>44531.624999999964</v>
      </c>
      <c r="D22" s="58">
        <f t="shared" si="2"/>
        <v>44531.666666666628</v>
      </c>
      <c r="E22" s="106">
        <f t="shared" si="3"/>
        <v>25</v>
      </c>
      <c r="K22" s="142">
        <f t="shared" si="5"/>
        <v>44547</v>
      </c>
      <c r="L22" s="138">
        <v>18.87</v>
      </c>
      <c r="M22" s="138">
        <v>18.87</v>
      </c>
      <c r="N22" s="138">
        <v>15</v>
      </c>
      <c r="O22" s="138">
        <v>18.87</v>
      </c>
      <c r="P22" s="138">
        <v>18.87</v>
      </c>
      <c r="Q22" s="138">
        <v>18.87</v>
      </c>
      <c r="R22" s="138">
        <v>18.87</v>
      </c>
      <c r="S22" s="138">
        <v>18.87</v>
      </c>
      <c r="T22" s="138">
        <v>18.87</v>
      </c>
      <c r="U22" s="138">
        <v>18.87</v>
      </c>
      <c r="V22" s="138">
        <v>18.87</v>
      </c>
      <c r="W22" s="138">
        <v>18.87</v>
      </c>
      <c r="X22" s="138">
        <v>18.87</v>
      </c>
      <c r="Y22" s="138">
        <v>18.87</v>
      </c>
      <c r="Z22" s="138">
        <v>18.87</v>
      </c>
      <c r="AA22" s="138">
        <v>20</v>
      </c>
      <c r="AB22" s="138">
        <v>22</v>
      </c>
      <c r="AC22" s="138">
        <v>18.87</v>
      </c>
      <c r="AD22" s="138">
        <v>18.87</v>
      </c>
      <c r="AE22" s="138">
        <v>18.87</v>
      </c>
      <c r="AF22" s="138">
        <v>18.87</v>
      </c>
      <c r="AG22" s="138">
        <v>18.87</v>
      </c>
      <c r="AH22" s="138">
        <v>18.87</v>
      </c>
      <c r="AI22" s="143">
        <v>18.87</v>
      </c>
    </row>
    <row r="23" spans="1:35" x14ac:dyDescent="0.25">
      <c r="A23" s="17">
        <f t="shared" si="0"/>
        <v>44531</v>
      </c>
      <c r="B23" s="126">
        <f t="shared" si="1"/>
        <v>17</v>
      </c>
      <c r="C23" s="58">
        <f t="shared" si="4"/>
        <v>44531.666666666628</v>
      </c>
      <c r="D23" s="58">
        <f t="shared" si="2"/>
        <v>44531.708333333292</v>
      </c>
      <c r="E23" s="106">
        <f t="shared" si="3"/>
        <v>25</v>
      </c>
      <c r="K23" s="142">
        <f t="shared" si="5"/>
        <v>44548</v>
      </c>
      <c r="L23" s="138">
        <v>30.21</v>
      </c>
      <c r="M23" s="138">
        <v>30.21</v>
      </c>
      <c r="N23" s="138">
        <v>30.21</v>
      </c>
      <c r="O23" s="138">
        <v>30.21</v>
      </c>
      <c r="P23" s="138">
        <v>30.21</v>
      </c>
      <c r="Q23" s="138">
        <v>30.21</v>
      </c>
      <c r="R23" s="138">
        <v>30.21</v>
      </c>
      <c r="S23" s="138">
        <v>25</v>
      </c>
      <c r="T23" s="138">
        <v>22</v>
      </c>
      <c r="U23" s="138">
        <v>22</v>
      </c>
      <c r="V23" s="138">
        <v>27.94</v>
      </c>
      <c r="W23" s="138">
        <v>27.94</v>
      </c>
      <c r="X23" s="138">
        <v>27.94</v>
      </c>
      <c r="Y23" s="138">
        <v>27.94</v>
      </c>
      <c r="Z23" s="138">
        <v>27.94</v>
      </c>
      <c r="AA23" s="138">
        <v>27.94</v>
      </c>
      <c r="AB23" s="138">
        <v>26</v>
      </c>
      <c r="AC23" s="138">
        <v>31.67</v>
      </c>
      <c r="AD23" s="138">
        <v>31.67</v>
      </c>
      <c r="AE23" s="138">
        <v>33.6</v>
      </c>
      <c r="AF23" s="138">
        <v>27.94</v>
      </c>
      <c r="AG23" s="138">
        <v>27.94</v>
      </c>
      <c r="AH23" s="138">
        <v>27.94</v>
      </c>
      <c r="AI23" s="143">
        <v>30.21</v>
      </c>
    </row>
    <row r="24" spans="1:35" x14ac:dyDescent="0.25">
      <c r="A24" s="17">
        <f t="shared" si="0"/>
        <v>44531</v>
      </c>
      <c r="B24" s="126">
        <f t="shared" si="1"/>
        <v>18</v>
      </c>
      <c r="C24" s="58">
        <f t="shared" si="4"/>
        <v>44531.708333333292</v>
      </c>
      <c r="D24" s="58">
        <f t="shared" si="2"/>
        <v>44531.749999999956</v>
      </c>
      <c r="E24" s="106">
        <f t="shared" si="3"/>
        <v>25</v>
      </c>
      <c r="K24" s="142">
        <f t="shared" si="5"/>
        <v>44549</v>
      </c>
      <c r="L24" s="138">
        <v>30.21</v>
      </c>
      <c r="M24" s="138">
        <v>30.21</v>
      </c>
      <c r="N24" s="138">
        <v>30.21</v>
      </c>
      <c r="O24" s="138">
        <v>30.21</v>
      </c>
      <c r="P24" s="138">
        <v>30.21</v>
      </c>
      <c r="Q24" s="138">
        <v>30.21</v>
      </c>
      <c r="R24" s="138">
        <v>30.21</v>
      </c>
      <c r="S24" s="138">
        <v>35.11</v>
      </c>
      <c r="T24" s="138">
        <v>35.11</v>
      </c>
      <c r="U24" s="138">
        <v>35.11</v>
      </c>
      <c r="V24" s="138">
        <v>35.11</v>
      </c>
      <c r="W24" s="138">
        <v>35.11</v>
      </c>
      <c r="X24" s="138">
        <v>35.11</v>
      </c>
      <c r="Y24" s="138">
        <v>35.11</v>
      </c>
      <c r="Z24" s="138">
        <v>35.11</v>
      </c>
      <c r="AA24" s="138">
        <v>28</v>
      </c>
      <c r="AB24" s="138">
        <v>29.6</v>
      </c>
      <c r="AC24" s="138">
        <v>40</v>
      </c>
      <c r="AD24" s="138">
        <v>40</v>
      </c>
      <c r="AE24" s="138">
        <v>40</v>
      </c>
      <c r="AF24" s="138">
        <v>35.11</v>
      </c>
      <c r="AG24" s="138">
        <v>35.11</v>
      </c>
      <c r="AH24" s="138">
        <v>35.11</v>
      </c>
      <c r="AI24" s="143">
        <v>30.21</v>
      </c>
    </row>
    <row r="25" spans="1:35" x14ac:dyDescent="0.25">
      <c r="A25" s="17">
        <f t="shared" si="0"/>
        <v>44531</v>
      </c>
      <c r="B25" s="126">
        <f t="shared" si="1"/>
        <v>19</v>
      </c>
      <c r="C25" s="58">
        <f t="shared" si="4"/>
        <v>44531.749999999956</v>
      </c>
      <c r="D25" s="58">
        <f t="shared" si="2"/>
        <v>44531.791666666621</v>
      </c>
      <c r="E25" s="106">
        <f t="shared" si="3"/>
        <v>25</v>
      </c>
      <c r="K25" s="142">
        <f t="shared" si="5"/>
        <v>44550</v>
      </c>
      <c r="L25" s="138">
        <v>30</v>
      </c>
      <c r="M25" s="138">
        <v>30</v>
      </c>
      <c r="N25" s="138">
        <v>30</v>
      </c>
      <c r="O25" s="138">
        <v>30</v>
      </c>
      <c r="P25" s="138">
        <v>30</v>
      </c>
      <c r="Q25" s="138">
        <v>30</v>
      </c>
      <c r="R25" s="138">
        <v>30</v>
      </c>
      <c r="S25" s="138">
        <v>30</v>
      </c>
      <c r="T25" s="138">
        <v>30</v>
      </c>
      <c r="U25" s="138">
        <v>25.2</v>
      </c>
      <c r="V25" s="138">
        <v>22</v>
      </c>
      <c r="W25" s="138">
        <v>26.57</v>
      </c>
      <c r="X25" s="138">
        <v>26.57</v>
      </c>
      <c r="Y25" s="138">
        <v>26.57</v>
      </c>
      <c r="Z25" s="138">
        <v>26.57</v>
      </c>
      <c r="AA25" s="138">
        <v>26.57</v>
      </c>
      <c r="AB25" s="138">
        <v>26.57</v>
      </c>
      <c r="AC25" s="138">
        <v>26.57</v>
      </c>
      <c r="AD25" s="138">
        <v>26.57</v>
      </c>
      <c r="AE25" s="138">
        <v>26.57</v>
      </c>
      <c r="AF25" s="138">
        <v>26.57</v>
      </c>
      <c r="AG25" s="138">
        <v>26.57</v>
      </c>
      <c r="AH25" s="138">
        <v>26.57</v>
      </c>
      <c r="AI25" s="143">
        <v>30</v>
      </c>
    </row>
    <row r="26" spans="1:35" x14ac:dyDescent="0.25">
      <c r="A26" s="17">
        <f t="shared" si="0"/>
        <v>44531</v>
      </c>
      <c r="B26" s="126">
        <f t="shared" si="1"/>
        <v>20</v>
      </c>
      <c r="C26" s="58">
        <f t="shared" si="4"/>
        <v>44531.791666666621</v>
      </c>
      <c r="D26" s="58">
        <f t="shared" si="2"/>
        <v>44531.833333333285</v>
      </c>
      <c r="E26" s="106">
        <f t="shared" si="3"/>
        <v>25</v>
      </c>
      <c r="K26" s="142">
        <f t="shared" si="5"/>
        <v>44551</v>
      </c>
      <c r="L26" s="138">
        <v>24</v>
      </c>
      <c r="M26" s="138">
        <v>24</v>
      </c>
      <c r="N26" s="138">
        <v>24</v>
      </c>
      <c r="O26" s="138">
        <v>24</v>
      </c>
      <c r="P26" s="138">
        <v>22</v>
      </c>
      <c r="Q26" s="138">
        <v>25</v>
      </c>
      <c r="R26" s="138">
        <v>24</v>
      </c>
      <c r="S26" s="138">
        <v>38.659999999999997</v>
      </c>
      <c r="T26" s="138">
        <v>38.659999999999997</v>
      </c>
      <c r="U26" s="138">
        <v>38.659999999999997</v>
      </c>
      <c r="V26" s="138">
        <v>38.659999999999997</v>
      </c>
      <c r="W26" s="138">
        <v>38.659999999999997</v>
      </c>
      <c r="X26" s="138">
        <v>38.659999999999997</v>
      </c>
      <c r="Y26" s="138">
        <v>38.659999999999997</v>
      </c>
      <c r="Z26" s="138">
        <v>38.659999999999997</v>
      </c>
      <c r="AA26" s="138">
        <v>38.659999999999997</v>
      </c>
      <c r="AB26" s="138">
        <v>38.659999999999997</v>
      </c>
      <c r="AC26" s="138">
        <v>38.659999999999997</v>
      </c>
      <c r="AD26" s="138">
        <v>38.659999999999997</v>
      </c>
      <c r="AE26" s="138">
        <v>38.659999999999997</v>
      </c>
      <c r="AF26" s="138">
        <v>38.659999999999997</v>
      </c>
      <c r="AG26" s="138">
        <v>38.659999999999997</v>
      </c>
      <c r="AH26" s="138">
        <v>38.659999999999997</v>
      </c>
      <c r="AI26" s="143">
        <v>24</v>
      </c>
    </row>
    <row r="27" spans="1:35" x14ac:dyDescent="0.25">
      <c r="A27" s="17">
        <f t="shared" si="0"/>
        <v>44531</v>
      </c>
      <c r="B27" s="126">
        <f t="shared" si="1"/>
        <v>21</v>
      </c>
      <c r="C27" s="58">
        <f t="shared" si="4"/>
        <v>44531.833333333285</v>
      </c>
      <c r="D27" s="58">
        <f t="shared" si="2"/>
        <v>44531.874999999949</v>
      </c>
      <c r="E27" s="106">
        <f t="shared" si="3"/>
        <v>25</v>
      </c>
      <c r="K27" s="142">
        <f t="shared" si="5"/>
        <v>44552</v>
      </c>
      <c r="L27" s="138">
        <v>30.21</v>
      </c>
      <c r="M27" s="138">
        <v>30.21</v>
      </c>
      <c r="N27" s="138">
        <v>30.21</v>
      </c>
      <c r="O27" s="138">
        <v>30.21</v>
      </c>
      <c r="P27" s="138">
        <v>30.21</v>
      </c>
      <c r="Q27" s="138">
        <v>30.21</v>
      </c>
      <c r="R27" s="138">
        <v>30.21</v>
      </c>
      <c r="S27" s="138">
        <v>38.659999999999997</v>
      </c>
      <c r="T27" s="138">
        <v>38.659999999999997</v>
      </c>
      <c r="U27" s="138">
        <v>38.659999999999997</v>
      </c>
      <c r="V27" s="138">
        <v>38.659999999999997</v>
      </c>
      <c r="W27" s="138">
        <v>38.659999999999997</v>
      </c>
      <c r="X27" s="138">
        <v>38.659999999999997</v>
      </c>
      <c r="Y27" s="138">
        <v>38.659999999999997</v>
      </c>
      <c r="Z27" s="138">
        <v>38.659999999999997</v>
      </c>
      <c r="AA27" s="138">
        <v>38.659999999999997</v>
      </c>
      <c r="AB27" s="138">
        <v>38.659999999999997</v>
      </c>
      <c r="AC27" s="138">
        <v>38.659999999999997</v>
      </c>
      <c r="AD27" s="138">
        <v>38.659999999999997</v>
      </c>
      <c r="AE27" s="138">
        <v>38.659999999999997</v>
      </c>
      <c r="AF27" s="138">
        <v>38.659999999999997</v>
      </c>
      <c r="AG27" s="138">
        <v>38.659999999999997</v>
      </c>
      <c r="AH27" s="138">
        <v>38.659999999999997</v>
      </c>
      <c r="AI27" s="143">
        <v>30.21</v>
      </c>
    </row>
    <row r="28" spans="1:35" x14ac:dyDescent="0.25">
      <c r="A28" s="17">
        <f t="shared" si="0"/>
        <v>44531</v>
      </c>
      <c r="B28" s="126">
        <f t="shared" si="1"/>
        <v>22</v>
      </c>
      <c r="C28" s="58">
        <f t="shared" si="4"/>
        <v>44531.874999999949</v>
      </c>
      <c r="D28" s="58">
        <f t="shared" si="2"/>
        <v>44531.916666666613</v>
      </c>
      <c r="E28" s="106">
        <f t="shared" si="3"/>
        <v>25</v>
      </c>
      <c r="K28" s="142">
        <f t="shared" si="5"/>
        <v>44553</v>
      </c>
      <c r="L28" s="138">
        <v>29.5</v>
      </c>
      <c r="M28" s="138">
        <v>29.5</v>
      </c>
      <c r="N28" s="138">
        <v>29.5</v>
      </c>
      <c r="O28" s="138">
        <v>29.5</v>
      </c>
      <c r="P28" s="138">
        <v>29.5</v>
      </c>
      <c r="Q28" s="138">
        <v>29.5</v>
      </c>
      <c r="R28" s="138">
        <v>27</v>
      </c>
      <c r="S28" s="138">
        <v>34</v>
      </c>
      <c r="T28" s="138">
        <v>29.6</v>
      </c>
      <c r="U28" s="138">
        <v>30</v>
      </c>
      <c r="V28" s="138">
        <v>26</v>
      </c>
      <c r="W28" s="138">
        <v>24</v>
      </c>
      <c r="X28" s="138">
        <v>29.6</v>
      </c>
      <c r="Y28" s="138">
        <v>29.6</v>
      </c>
      <c r="Z28" s="138">
        <v>29.6</v>
      </c>
      <c r="AA28" s="138">
        <v>29.6</v>
      </c>
      <c r="AB28" s="138">
        <v>29.6</v>
      </c>
      <c r="AC28" s="138">
        <v>29.6</v>
      </c>
      <c r="AD28" s="138">
        <v>29.6</v>
      </c>
      <c r="AE28" s="138">
        <v>29.6</v>
      </c>
      <c r="AF28" s="138">
        <v>29.6</v>
      </c>
      <c r="AG28" s="138">
        <v>29.6</v>
      </c>
      <c r="AH28" s="138">
        <v>29.6</v>
      </c>
      <c r="AI28" s="143">
        <v>32</v>
      </c>
    </row>
    <row r="29" spans="1:35" x14ac:dyDescent="0.25">
      <c r="A29" s="17">
        <f t="shared" si="0"/>
        <v>44531</v>
      </c>
      <c r="B29" s="126">
        <f t="shared" si="1"/>
        <v>23</v>
      </c>
      <c r="C29" s="58">
        <f t="shared" si="4"/>
        <v>44531.916666666613</v>
      </c>
      <c r="D29" s="58">
        <f t="shared" si="2"/>
        <v>44531.958333333278</v>
      </c>
      <c r="E29" s="106">
        <f t="shared" si="3"/>
        <v>25</v>
      </c>
      <c r="K29" s="142">
        <f t="shared" si="5"/>
        <v>44554</v>
      </c>
      <c r="L29" s="138">
        <v>27.24</v>
      </c>
      <c r="M29" s="138">
        <v>18</v>
      </c>
      <c r="N29" s="138">
        <v>38.090000000000003</v>
      </c>
      <c r="O29" s="138">
        <v>38.090000000000003</v>
      </c>
      <c r="P29" s="138">
        <v>38.090000000000003</v>
      </c>
      <c r="Q29" s="138">
        <v>38.090000000000003</v>
      </c>
      <c r="R29" s="138">
        <v>38.090000000000003</v>
      </c>
      <c r="S29" s="138">
        <v>38.090000000000003</v>
      </c>
      <c r="T29" s="138">
        <v>38.090000000000003</v>
      </c>
      <c r="U29" s="138">
        <v>38.090000000000003</v>
      </c>
      <c r="V29" s="138">
        <v>39.06</v>
      </c>
      <c r="W29" s="138">
        <v>40</v>
      </c>
      <c r="X29" s="138">
        <v>36</v>
      </c>
      <c r="Y29" s="138">
        <v>38.090000000000003</v>
      </c>
      <c r="Z29" s="138">
        <v>38.090000000000003</v>
      </c>
      <c r="AA29" s="138">
        <v>38.090000000000003</v>
      </c>
      <c r="AB29" s="138">
        <v>38</v>
      </c>
      <c r="AC29" s="138">
        <v>38</v>
      </c>
      <c r="AD29" s="138">
        <v>49</v>
      </c>
      <c r="AE29" s="138">
        <v>45</v>
      </c>
      <c r="AF29" s="138">
        <v>40</v>
      </c>
      <c r="AG29" s="138">
        <v>38.090000000000003</v>
      </c>
      <c r="AH29" s="138">
        <v>38.090000000000003</v>
      </c>
      <c r="AI29" s="143">
        <v>38.090000000000003</v>
      </c>
    </row>
    <row r="30" spans="1:35" x14ac:dyDescent="0.25">
      <c r="A30" s="17">
        <f t="shared" si="0"/>
        <v>44531</v>
      </c>
      <c r="B30" s="126">
        <f t="shared" si="1"/>
        <v>24</v>
      </c>
      <c r="C30" s="58">
        <f t="shared" si="4"/>
        <v>44531.958333333278</v>
      </c>
      <c r="D30" s="58">
        <f t="shared" si="2"/>
        <v>44531.999999999942</v>
      </c>
      <c r="E30" s="106">
        <f t="shared" si="3"/>
        <v>25</v>
      </c>
      <c r="K30" s="142">
        <f t="shared" si="5"/>
        <v>44555</v>
      </c>
      <c r="L30" s="138">
        <v>36.67</v>
      </c>
      <c r="M30" s="138">
        <v>36.67</v>
      </c>
      <c r="N30" s="138">
        <v>36.67</v>
      </c>
      <c r="O30" s="138">
        <v>36.67</v>
      </c>
      <c r="P30" s="138">
        <v>40</v>
      </c>
      <c r="Q30" s="138">
        <v>30</v>
      </c>
      <c r="R30" s="138">
        <v>40</v>
      </c>
      <c r="S30" s="138">
        <v>40</v>
      </c>
      <c r="T30" s="138">
        <v>40</v>
      </c>
      <c r="U30" s="138">
        <v>50</v>
      </c>
      <c r="V30" s="138">
        <v>45</v>
      </c>
      <c r="W30" s="138">
        <v>35</v>
      </c>
      <c r="X30" s="138">
        <v>35</v>
      </c>
      <c r="Y30" s="138">
        <v>35</v>
      </c>
      <c r="Z30" s="138">
        <v>51.61</v>
      </c>
      <c r="AA30" s="138">
        <v>45</v>
      </c>
      <c r="AB30" s="138">
        <v>45</v>
      </c>
      <c r="AC30" s="138">
        <v>68.569999999999993</v>
      </c>
      <c r="AD30" s="138">
        <v>75</v>
      </c>
      <c r="AE30" s="138">
        <v>75</v>
      </c>
      <c r="AF30" s="138">
        <v>51.61</v>
      </c>
      <c r="AG30" s="138">
        <v>51.61</v>
      </c>
      <c r="AH30" s="138">
        <v>51.61</v>
      </c>
      <c r="AI30" s="143">
        <v>36.67</v>
      </c>
    </row>
    <row r="31" spans="1:35" x14ac:dyDescent="0.25">
      <c r="A31" s="17">
        <f t="shared" si="0"/>
        <v>44532</v>
      </c>
      <c r="B31" s="126">
        <f t="shared" si="1"/>
        <v>1</v>
      </c>
      <c r="C31" s="58">
        <f t="shared" si="4"/>
        <v>44531.999999999942</v>
      </c>
      <c r="D31" s="58">
        <f t="shared" si="2"/>
        <v>44532.041666666606</v>
      </c>
      <c r="E31" s="106">
        <f t="shared" si="3"/>
        <v>25.29</v>
      </c>
      <c r="K31" s="142">
        <f t="shared" si="5"/>
        <v>44556</v>
      </c>
      <c r="L31" s="138">
        <v>43.67</v>
      </c>
      <c r="M31" s="138">
        <v>43.67</v>
      </c>
      <c r="N31" s="138">
        <v>43.67</v>
      </c>
      <c r="O31" s="138">
        <v>36</v>
      </c>
      <c r="P31" s="138">
        <v>40</v>
      </c>
      <c r="Q31" s="138">
        <v>45</v>
      </c>
      <c r="R31" s="138">
        <v>48.21</v>
      </c>
      <c r="S31" s="138">
        <v>71.67</v>
      </c>
      <c r="T31" s="138">
        <v>57.86</v>
      </c>
      <c r="U31" s="138">
        <v>75</v>
      </c>
      <c r="V31" s="138">
        <v>65</v>
      </c>
      <c r="W31" s="138">
        <v>65</v>
      </c>
      <c r="X31" s="138">
        <v>50</v>
      </c>
      <c r="Y31" s="138">
        <v>68.25</v>
      </c>
      <c r="Z31" s="138">
        <v>68.25</v>
      </c>
      <c r="AA31" s="138">
        <v>68.25</v>
      </c>
      <c r="AB31" s="138">
        <v>75</v>
      </c>
      <c r="AC31" s="138">
        <v>75</v>
      </c>
      <c r="AD31" s="138">
        <v>67.5</v>
      </c>
      <c r="AE31" s="138">
        <v>75</v>
      </c>
      <c r="AF31" s="138">
        <v>68.25</v>
      </c>
      <c r="AG31" s="138">
        <v>68.25</v>
      </c>
      <c r="AH31" s="138">
        <v>68.25</v>
      </c>
      <c r="AI31" s="143">
        <v>43.67</v>
      </c>
    </row>
    <row r="32" spans="1:35" x14ac:dyDescent="0.25">
      <c r="A32" s="17">
        <f t="shared" si="0"/>
        <v>44532</v>
      </c>
      <c r="B32" s="126">
        <f t="shared" si="1"/>
        <v>2</v>
      </c>
      <c r="C32" s="58">
        <f t="shared" si="4"/>
        <v>44532.041666666606</v>
      </c>
      <c r="D32" s="58">
        <f t="shared" si="2"/>
        <v>44532.08333333327</v>
      </c>
      <c r="E32" s="106">
        <f t="shared" si="3"/>
        <v>25.29</v>
      </c>
      <c r="K32" s="142">
        <f t="shared" si="5"/>
        <v>44557</v>
      </c>
      <c r="L32" s="138">
        <v>50.67</v>
      </c>
      <c r="M32" s="138">
        <v>50.67</v>
      </c>
      <c r="N32" s="138">
        <v>50.67</v>
      </c>
      <c r="O32" s="138">
        <v>50.67</v>
      </c>
      <c r="P32" s="138">
        <v>38</v>
      </c>
      <c r="Q32" s="138">
        <v>40</v>
      </c>
      <c r="R32" s="138">
        <v>61.29</v>
      </c>
      <c r="S32" s="138">
        <v>55</v>
      </c>
      <c r="T32" s="138">
        <v>51.88</v>
      </c>
      <c r="U32" s="138">
        <v>50</v>
      </c>
      <c r="V32" s="138">
        <v>46.67</v>
      </c>
      <c r="W32" s="138">
        <v>52.17</v>
      </c>
      <c r="X32" s="138">
        <v>52.17</v>
      </c>
      <c r="Y32" s="138">
        <v>52.17</v>
      </c>
      <c r="Z32" s="138">
        <v>52.17</v>
      </c>
      <c r="AA32" s="138">
        <v>52.17</v>
      </c>
      <c r="AB32" s="138">
        <v>52.17</v>
      </c>
      <c r="AC32" s="138">
        <v>52.17</v>
      </c>
      <c r="AD32" s="138">
        <v>52.17</v>
      </c>
      <c r="AE32" s="138">
        <v>52.17</v>
      </c>
      <c r="AF32" s="138">
        <v>52.17</v>
      </c>
      <c r="AG32" s="138">
        <v>52.17</v>
      </c>
      <c r="AH32" s="138">
        <v>52.17</v>
      </c>
      <c r="AI32" s="143">
        <v>50.67</v>
      </c>
    </row>
    <row r="33" spans="1:35" x14ac:dyDescent="0.25">
      <c r="A33" s="17">
        <f t="shared" si="0"/>
        <v>44532</v>
      </c>
      <c r="B33" s="126">
        <f t="shared" si="1"/>
        <v>3</v>
      </c>
      <c r="C33" s="58">
        <f t="shared" si="4"/>
        <v>44532.08333333327</v>
      </c>
      <c r="D33" s="58">
        <f t="shared" si="2"/>
        <v>44532.124999999935</v>
      </c>
      <c r="E33" s="106">
        <f t="shared" si="3"/>
        <v>25.29</v>
      </c>
      <c r="K33" s="142">
        <f t="shared" si="5"/>
        <v>44558</v>
      </c>
      <c r="L33" s="138">
        <v>30</v>
      </c>
      <c r="M33" s="138">
        <v>30</v>
      </c>
      <c r="N33" s="138">
        <v>30</v>
      </c>
      <c r="O33" s="138">
        <v>30</v>
      </c>
      <c r="P33" s="138">
        <v>30</v>
      </c>
      <c r="Q33" s="138">
        <v>25</v>
      </c>
      <c r="R33" s="138">
        <v>32</v>
      </c>
      <c r="S33" s="138">
        <v>55</v>
      </c>
      <c r="T33" s="138">
        <v>70</v>
      </c>
      <c r="U33" s="138">
        <v>61.25</v>
      </c>
      <c r="V33" s="138">
        <v>61.25</v>
      </c>
      <c r="W33" s="138">
        <v>61.25</v>
      </c>
      <c r="X33" s="138">
        <v>61.25</v>
      </c>
      <c r="Y33" s="138">
        <v>61.25</v>
      </c>
      <c r="Z33" s="138">
        <v>61.25</v>
      </c>
      <c r="AA33" s="138">
        <v>61.25</v>
      </c>
      <c r="AB33" s="138">
        <v>61.25</v>
      </c>
      <c r="AC33" s="138">
        <v>61.25</v>
      </c>
      <c r="AD33" s="138">
        <v>61.25</v>
      </c>
      <c r="AE33" s="138">
        <v>61.25</v>
      </c>
      <c r="AF33" s="138">
        <v>61.25</v>
      </c>
      <c r="AG33" s="138">
        <v>61.25</v>
      </c>
      <c r="AH33" s="138">
        <v>61.25</v>
      </c>
      <c r="AI33" s="143">
        <v>30</v>
      </c>
    </row>
    <row r="34" spans="1:35" x14ac:dyDescent="0.25">
      <c r="A34" s="17">
        <f t="shared" si="0"/>
        <v>44532</v>
      </c>
      <c r="B34" s="126">
        <f t="shared" si="1"/>
        <v>4</v>
      </c>
      <c r="C34" s="58">
        <f t="shared" si="4"/>
        <v>44532.124999999935</v>
      </c>
      <c r="D34" s="58">
        <f t="shared" si="2"/>
        <v>44532.166666666599</v>
      </c>
      <c r="E34" s="106">
        <f t="shared" si="3"/>
        <v>25.29</v>
      </c>
      <c r="K34" s="142">
        <f t="shared" si="5"/>
        <v>44559</v>
      </c>
      <c r="L34" s="138">
        <v>21.89</v>
      </c>
      <c r="M34" s="138">
        <v>21.89</v>
      </c>
      <c r="N34" s="138">
        <v>21.89</v>
      </c>
      <c r="O34" s="138">
        <v>18</v>
      </c>
      <c r="P34" s="138">
        <v>18</v>
      </c>
      <c r="Q34" s="138">
        <v>25</v>
      </c>
      <c r="R34" s="138">
        <v>25</v>
      </c>
      <c r="S34" s="138">
        <v>38.659999999999997</v>
      </c>
      <c r="T34" s="138">
        <v>38.659999999999997</v>
      </c>
      <c r="U34" s="138">
        <v>38.659999999999997</v>
      </c>
      <c r="V34" s="138">
        <v>38.659999999999997</v>
      </c>
      <c r="W34" s="138">
        <v>38.659999999999997</v>
      </c>
      <c r="X34" s="138">
        <v>38.659999999999997</v>
      </c>
      <c r="Y34" s="138">
        <v>38.659999999999997</v>
      </c>
      <c r="Z34" s="138">
        <v>38.659999999999997</v>
      </c>
      <c r="AA34" s="138">
        <v>38.659999999999997</v>
      </c>
      <c r="AB34" s="138">
        <v>38.659999999999997</v>
      </c>
      <c r="AC34" s="138">
        <v>38.659999999999997</v>
      </c>
      <c r="AD34" s="138">
        <v>38.659999999999997</v>
      </c>
      <c r="AE34" s="138">
        <v>38.659999999999997</v>
      </c>
      <c r="AF34" s="138">
        <v>38.659999999999997</v>
      </c>
      <c r="AG34" s="138">
        <v>38.659999999999997</v>
      </c>
      <c r="AH34" s="138">
        <v>38.659999999999997</v>
      </c>
      <c r="AI34" s="143">
        <v>21.89</v>
      </c>
    </row>
    <row r="35" spans="1:35" x14ac:dyDescent="0.25">
      <c r="A35" s="17">
        <f t="shared" si="0"/>
        <v>44532</v>
      </c>
      <c r="B35" s="126">
        <f t="shared" si="1"/>
        <v>5</v>
      </c>
      <c r="C35" s="58">
        <f t="shared" si="4"/>
        <v>44532.166666666599</v>
      </c>
      <c r="D35" s="58">
        <f t="shared" si="2"/>
        <v>44532.208333333263</v>
      </c>
      <c r="E35" s="106">
        <f t="shared" si="3"/>
        <v>20</v>
      </c>
      <c r="K35" s="142">
        <f t="shared" si="5"/>
        <v>44560</v>
      </c>
      <c r="L35" s="138">
        <v>30.21</v>
      </c>
      <c r="M35" s="138">
        <v>30.21</v>
      </c>
      <c r="N35" s="138">
        <v>30.21</v>
      </c>
      <c r="O35" s="138">
        <v>30.21</v>
      </c>
      <c r="P35" s="138">
        <v>30.21</v>
      </c>
      <c r="Q35" s="138">
        <v>30.21</v>
      </c>
      <c r="R35" s="138">
        <v>30.21</v>
      </c>
      <c r="S35" s="138">
        <v>38.659999999999997</v>
      </c>
      <c r="T35" s="138">
        <v>38.659999999999997</v>
      </c>
      <c r="U35" s="138">
        <v>38.659999999999997</v>
      </c>
      <c r="V35" s="138">
        <v>38.659999999999997</v>
      </c>
      <c r="W35" s="138">
        <v>38.659999999999997</v>
      </c>
      <c r="X35" s="138">
        <v>38.659999999999997</v>
      </c>
      <c r="Y35" s="138">
        <v>38.659999999999997</v>
      </c>
      <c r="Z35" s="138">
        <v>38.659999999999997</v>
      </c>
      <c r="AA35" s="138">
        <v>38.659999999999997</v>
      </c>
      <c r="AB35" s="138">
        <v>38.659999999999997</v>
      </c>
      <c r="AC35" s="138">
        <v>38.659999999999997</v>
      </c>
      <c r="AD35" s="138">
        <v>38.659999999999997</v>
      </c>
      <c r="AE35" s="138">
        <v>38.659999999999997</v>
      </c>
      <c r="AF35" s="138">
        <v>38.659999999999997</v>
      </c>
      <c r="AG35" s="138">
        <v>38.659999999999997</v>
      </c>
      <c r="AH35" s="138">
        <v>38.659999999999997</v>
      </c>
      <c r="AI35" s="143">
        <v>30.21</v>
      </c>
    </row>
    <row r="36" spans="1:35" x14ac:dyDescent="0.25">
      <c r="A36" s="17">
        <f t="shared" si="0"/>
        <v>44532</v>
      </c>
      <c r="B36" s="126">
        <f t="shared" si="1"/>
        <v>6</v>
      </c>
      <c r="C36" s="58">
        <f t="shared" si="4"/>
        <v>44532.208333333263</v>
      </c>
      <c r="D36" s="58">
        <f t="shared" si="2"/>
        <v>44532.249999999927</v>
      </c>
      <c r="E36" s="106">
        <f t="shared" si="3"/>
        <v>25</v>
      </c>
      <c r="K36" s="142">
        <f t="shared" si="5"/>
        <v>44561</v>
      </c>
      <c r="L36" s="138">
        <v>30.21</v>
      </c>
      <c r="M36" s="138">
        <v>30.21</v>
      </c>
      <c r="N36" s="138">
        <v>30.21</v>
      </c>
      <c r="O36" s="138">
        <v>30.21</v>
      </c>
      <c r="P36" s="138">
        <v>30.21</v>
      </c>
      <c r="Q36" s="138">
        <v>30.21</v>
      </c>
      <c r="R36" s="138">
        <v>30.21</v>
      </c>
      <c r="S36" s="138">
        <v>38.659999999999997</v>
      </c>
      <c r="T36" s="138">
        <v>38.659999999999997</v>
      </c>
      <c r="U36" s="138">
        <v>38.659999999999997</v>
      </c>
      <c r="V36" s="138">
        <v>38.659999999999997</v>
      </c>
      <c r="W36" s="138">
        <v>38.659999999999997</v>
      </c>
      <c r="X36" s="138">
        <v>38.659999999999997</v>
      </c>
      <c r="Y36" s="138">
        <v>38.659999999999997</v>
      </c>
      <c r="Z36" s="138">
        <v>38.659999999999997</v>
      </c>
      <c r="AA36" s="138">
        <v>38.659999999999997</v>
      </c>
      <c r="AB36" s="138">
        <v>38.659999999999997</v>
      </c>
      <c r="AC36" s="138">
        <v>38.659999999999997</v>
      </c>
      <c r="AD36" s="138">
        <v>38.659999999999997</v>
      </c>
      <c r="AE36" s="138">
        <v>38.659999999999997</v>
      </c>
      <c r="AF36" s="138">
        <v>38.659999999999997</v>
      </c>
      <c r="AG36" s="138">
        <v>38.659999999999997</v>
      </c>
      <c r="AH36" s="138">
        <v>38.659999999999997</v>
      </c>
      <c r="AI36" s="143">
        <v>30.21</v>
      </c>
    </row>
    <row r="37" spans="1:35" x14ac:dyDescent="0.25">
      <c r="A37" s="17">
        <f t="shared" si="0"/>
        <v>44532</v>
      </c>
      <c r="B37" s="126">
        <f t="shared" si="1"/>
        <v>7</v>
      </c>
      <c r="C37" s="58">
        <f t="shared" si="4"/>
        <v>44532.249999999927</v>
      </c>
      <c r="D37" s="58">
        <f t="shared" si="2"/>
        <v>44532.291666666591</v>
      </c>
      <c r="E37" s="106">
        <f t="shared" si="3"/>
        <v>30</v>
      </c>
      <c r="K37" s="142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43"/>
    </row>
    <row r="38" spans="1:35" x14ac:dyDescent="0.25">
      <c r="A38" s="17">
        <f t="shared" si="0"/>
        <v>44532</v>
      </c>
      <c r="B38" s="126">
        <f t="shared" si="1"/>
        <v>8</v>
      </c>
      <c r="C38" s="58">
        <f t="shared" si="4"/>
        <v>44532.291666666591</v>
      </c>
      <c r="D38" s="58">
        <f t="shared" si="2"/>
        <v>44532.333333333256</v>
      </c>
      <c r="E38" s="106">
        <f t="shared" si="3"/>
        <v>35</v>
      </c>
    </row>
    <row r="39" spans="1:35" x14ac:dyDescent="0.25">
      <c r="A39" s="17">
        <f t="shared" si="0"/>
        <v>44532</v>
      </c>
      <c r="B39" s="126">
        <f t="shared" si="1"/>
        <v>9</v>
      </c>
      <c r="C39" s="58">
        <f t="shared" si="4"/>
        <v>44532.333333333256</v>
      </c>
      <c r="D39" s="58">
        <f t="shared" si="2"/>
        <v>44532.37499999992</v>
      </c>
      <c r="E39" s="106">
        <f t="shared" si="3"/>
        <v>27.36</v>
      </c>
    </row>
    <row r="40" spans="1:35" x14ac:dyDescent="0.25">
      <c r="A40" s="17">
        <f t="shared" si="0"/>
        <v>44532</v>
      </c>
      <c r="B40" s="126">
        <f t="shared" si="1"/>
        <v>10</v>
      </c>
      <c r="C40" s="58">
        <f t="shared" si="4"/>
        <v>44532.37499999992</v>
      </c>
      <c r="D40" s="58">
        <f t="shared" si="2"/>
        <v>44532.416666666584</v>
      </c>
      <c r="E40" s="106">
        <f t="shared" si="3"/>
        <v>27.36</v>
      </c>
    </row>
    <row r="41" spans="1:35" x14ac:dyDescent="0.25">
      <c r="A41" s="17">
        <f t="shared" si="0"/>
        <v>44532</v>
      </c>
      <c r="B41" s="126">
        <f t="shared" si="1"/>
        <v>11</v>
      </c>
      <c r="C41" s="58">
        <f t="shared" si="4"/>
        <v>44532.416666666584</v>
      </c>
      <c r="D41" s="58">
        <f t="shared" si="2"/>
        <v>44532.458333333248</v>
      </c>
      <c r="E41" s="106">
        <f t="shared" si="3"/>
        <v>24</v>
      </c>
    </row>
    <row r="42" spans="1:35" x14ac:dyDescent="0.25">
      <c r="A42" s="17">
        <f t="shared" si="0"/>
        <v>44532</v>
      </c>
      <c r="B42" s="126">
        <f t="shared" si="1"/>
        <v>12</v>
      </c>
      <c r="C42" s="58">
        <f t="shared" si="4"/>
        <v>44532.458333333248</v>
      </c>
      <c r="D42" s="58">
        <f t="shared" si="2"/>
        <v>44532.499999999913</v>
      </c>
      <c r="E42" s="106">
        <f t="shared" si="3"/>
        <v>27.36</v>
      </c>
    </row>
    <row r="43" spans="1:35" x14ac:dyDescent="0.25">
      <c r="A43" s="17">
        <f t="shared" si="0"/>
        <v>44532</v>
      </c>
      <c r="B43" s="126">
        <f t="shared" si="1"/>
        <v>13</v>
      </c>
      <c r="C43" s="58">
        <f t="shared" si="4"/>
        <v>44532.499999999913</v>
      </c>
      <c r="D43" s="58">
        <f t="shared" si="2"/>
        <v>44532.541666666577</v>
      </c>
      <c r="E43" s="106">
        <f t="shared" si="3"/>
        <v>27.36</v>
      </c>
    </row>
    <row r="44" spans="1:35" x14ac:dyDescent="0.25">
      <c r="A44" s="17">
        <f t="shared" si="0"/>
        <v>44532</v>
      </c>
      <c r="B44" s="126">
        <f t="shared" si="1"/>
        <v>14</v>
      </c>
      <c r="C44" s="58">
        <f t="shared" si="4"/>
        <v>44532.541666666577</v>
      </c>
      <c r="D44" s="58">
        <f t="shared" si="2"/>
        <v>44532.583333333241</v>
      </c>
      <c r="E44" s="106">
        <f t="shared" si="3"/>
        <v>27.36</v>
      </c>
    </row>
    <row r="45" spans="1:35" x14ac:dyDescent="0.25">
      <c r="A45" s="17">
        <f t="shared" si="0"/>
        <v>44532</v>
      </c>
      <c r="B45" s="126">
        <f t="shared" si="1"/>
        <v>15</v>
      </c>
      <c r="C45" s="58">
        <f t="shared" si="4"/>
        <v>44532.583333333241</v>
      </c>
      <c r="D45" s="58">
        <f t="shared" si="2"/>
        <v>44532.624999999905</v>
      </c>
      <c r="E45" s="106">
        <f t="shared" si="3"/>
        <v>27.36</v>
      </c>
    </row>
    <row r="46" spans="1:35" x14ac:dyDescent="0.25">
      <c r="A46" s="17">
        <f t="shared" si="0"/>
        <v>44532</v>
      </c>
      <c r="B46" s="126">
        <f t="shared" si="1"/>
        <v>16</v>
      </c>
      <c r="C46" s="58">
        <f t="shared" si="4"/>
        <v>44532.624999999905</v>
      </c>
      <c r="D46" s="58">
        <f t="shared" si="2"/>
        <v>44532.66666666657</v>
      </c>
      <c r="E46" s="106">
        <f t="shared" si="3"/>
        <v>27.36</v>
      </c>
    </row>
    <row r="47" spans="1:35" x14ac:dyDescent="0.25">
      <c r="A47" s="17">
        <f t="shared" si="0"/>
        <v>44532</v>
      </c>
      <c r="B47" s="126">
        <f t="shared" si="1"/>
        <v>17</v>
      </c>
      <c r="C47" s="58">
        <f t="shared" si="4"/>
        <v>44532.66666666657</v>
      </c>
      <c r="D47" s="58">
        <f t="shared" si="2"/>
        <v>44532.708333333234</v>
      </c>
      <c r="E47" s="106">
        <f t="shared" si="3"/>
        <v>25</v>
      </c>
    </row>
    <row r="48" spans="1:35" x14ac:dyDescent="0.25">
      <c r="A48" s="17">
        <f t="shared" si="0"/>
        <v>44532</v>
      </c>
      <c r="B48" s="126">
        <f t="shared" si="1"/>
        <v>18</v>
      </c>
      <c r="C48" s="58">
        <f t="shared" si="4"/>
        <v>44532.708333333234</v>
      </c>
      <c r="D48" s="58">
        <f t="shared" si="2"/>
        <v>44532.749999999898</v>
      </c>
      <c r="E48" s="106">
        <f t="shared" si="3"/>
        <v>27.36</v>
      </c>
    </row>
    <row r="49" spans="1:5" x14ac:dyDescent="0.25">
      <c r="A49" s="17">
        <f t="shared" si="0"/>
        <v>44532</v>
      </c>
      <c r="B49" s="126">
        <f t="shared" si="1"/>
        <v>19</v>
      </c>
      <c r="C49" s="58">
        <f t="shared" si="4"/>
        <v>44532.749999999898</v>
      </c>
      <c r="D49" s="58">
        <f t="shared" si="2"/>
        <v>44532.791666666562</v>
      </c>
      <c r="E49" s="106">
        <f t="shared" si="3"/>
        <v>27.36</v>
      </c>
    </row>
    <row r="50" spans="1:5" x14ac:dyDescent="0.25">
      <c r="A50" s="17">
        <f t="shared" si="0"/>
        <v>44532</v>
      </c>
      <c r="B50" s="126">
        <f t="shared" si="1"/>
        <v>20</v>
      </c>
      <c r="C50" s="58">
        <f t="shared" si="4"/>
        <v>44532.791666666562</v>
      </c>
      <c r="D50" s="58">
        <f t="shared" si="2"/>
        <v>44532.833333333227</v>
      </c>
      <c r="E50" s="106">
        <f t="shared" si="3"/>
        <v>27.36</v>
      </c>
    </row>
    <row r="51" spans="1:5" x14ac:dyDescent="0.25">
      <c r="A51" s="17">
        <f t="shared" si="0"/>
        <v>44532</v>
      </c>
      <c r="B51" s="126">
        <f t="shared" si="1"/>
        <v>21</v>
      </c>
      <c r="C51" s="58">
        <f t="shared" si="4"/>
        <v>44532.833333333227</v>
      </c>
      <c r="D51" s="58">
        <f t="shared" si="2"/>
        <v>44532.874999999891</v>
      </c>
      <c r="E51" s="106">
        <f t="shared" si="3"/>
        <v>27.36</v>
      </c>
    </row>
    <row r="52" spans="1:5" x14ac:dyDescent="0.25">
      <c r="A52" s="17">
        <f t="shared" si="0"/>
        <v>44532</v>
      </c>
      <c r="B52" s="126">
        <f t="shared" si="1"/>
        <v>22</v>
      </c>
      <c r="C52" s="58">
        <f t="shared" si="4"/>
        <v>44532.874999999891</v>
      </c>
      <c r="D52" s="58">
        <f t="shared" si="2"/>
        <v>44532.916666666555</v>
      </c>
      <c r="E52" s="106">
        <f t="shared" si="3"/>
        <v>27.36</v>
      </c>
    </row>
    <row r="53" spans="1:5" x14ac:dyDescent="0.25">
      <c r="A53" s="17">
        <f t="shared" si="0"/>
        <v>44532</v>
      </c>
      <c r="B53" s="126">
        <f t="shared" si="1"/>
        <v>23</v>
      </c>
      <c r="C53" s="58">
        <f t="shared" si="4"/>
        <v>44532.916666666555</v>
      </c>
      <c r="D53" s="58">
        <f t="shared" si="2"/>
        <v>44532.958333333219</v>
      </c>
      <c r="E53" s="106">
        <f t="shared" si="3"/>
        <v>27.36</v>
      </c>
    </row>
    <row r="54" spans="1:5" x14ac:dyDescent="0.25">
      <c r="A54" s="17">
        <f t="shared" si="0"/>
        <v>44532</v>
      </c>
      <c r="B54" s="126">
        <f t="shared" si="1"/>
        <v>24</v>
      </c>
      <c r="C54" s="58">
        <f t="shared" si="4"/>
        <v>44532.958333333219</v>
      </c>
      <c r="D54" s="58">
        <f t="shared" si="2"/>
        <v>44532.999999999884</v>
      </c>
      <c r="E54" s="106">
        <f t="shared" si="3"/>
        <v>25.29</v>
      </c>
    </row>
    <row r="55" spans="1:5" x14ac:dyDescent="0.25">
      <c r="A55" s="17">
        <f t="shared" si="0"/>
        <v>44533</v>
      </c>
      <c r="B55" s="126">
        <f t="shared" si="1"/>
        <v>1</v>
      </c>
      <c r="C55" s="58">
        <f t="shared" si="4"/>
        <v>44532.999999999884</v>
      </c>
      <c r="D55" s="58">
        <f t="shared" si="2"/>
        <v>44533.041666666548</v>
      </c>
      <c r="E55" s="106">
        <f t="shared" si="3"/>
        <v>29.58</v>
      </c>
    </row>
    <row r="56" spans="1:5" x14ac:dyDescent="0.25">
      <c r="A56" s="17">
        <f t="shared" si="0"/>
        <v>44533</v>
      </c>
      <c r="B56" s="126">
        <f t="shared" si="1"/>
        <v>2</v>
      </c>
      <c r="C56" s="58">
        <f t="shared" si="4"/>
        <v>44533.041666666548</v>
      </c>
      <c r="D56" s="58">
        <f t="shared" si="2"/>
        <v>44533.083333333212</v>
      </c>
      <c r="E56" s="106">
        <f t="shared" si="3"/>
        <v>29.58</v>
      </c>
    </row>
    <row r="57" spans="1:5" x14ac:dyDescent="0.25">
      <c r="A57" s="17">
        <f t="shared" si="0"/>
        <v>44533</v>
      </c>
      <c r="B57" s="126">
        <f t="shared" si="1"/>
        <v>3</v>
      </c>
      <c r="C57" s="58">
        <f t="shared" si="4"/>
        <v>44533.083333333212</v>
      </c>
      <c r="D57" s="58">
        <f t="shared" si="2"/>
        <v>44533.124999999876</v>
      </c>
      <c r="E57" s="106">
        <f t="shared" si="3"/>
        <v>29.58</v>
      </c>
    </row>
    <row r="58" spans="1:5" x14ac:dyDescent="0.25">
      <c r="A58" s="17">
        <f t="shared" si="0"/>
        <v>44533</v>
      </c>
      <c r="B58" s="126">
        <f t="shared" si="1"/>
        <v>4</v>
      </c>
      <c r="C58" s="58">
        <f t="shared" si="4"/>
        <v>44533.124999999876</v>
      </c>
      <c r="D58" s="58">
        <f t="shared" si="2"/>
        <v>44533.166666666541</v>
      </c>
      <c r="E58" s="106">
        <f t="shared" si="3"/>
        <v>29.58</v>
      </c>
    </row>
    <row r="59" spans="1:5" x14ac:dyDescent="0.25">
      <c r="A59" s="17">
        <f t="shared" si="0"/>
        <v>44533</v>
      </c>
      <c r="B59" s="126">
        <f t="shared" si="1"/>
        <v>5</v>
      </c>
      <c r="C59" s="58">
        <f t="shared" si="4"/>
        <v>44533.166666666541</v>
      </c>
      <c r="D59" s="58">
        <f t="shared" si="2"/>
        <v>44533.208333333205</v>
      </c>
      <c r="E59" s="106">
        <f t="shared" si="3"/>
        <v>29.58</v>
      </c>
    </row>
    <row r="60" spans="1:5" x14ac:dyDescent="0.25">
      <c r="A60" s="17">
        <f t="shared" si="0"/>
        <v>44533</v>
      </c>
      <c r="B60" s="126">
        <f t="shared" si="1"/>
        <v>6</v>
      </c>
      <c r="C60" s="58">
        <f t="shared" si="4"/>
        <v>44533.208333333205</v>
      </c>
      <c r="D60" s="58">
        <f t="shared" si="2"/>
        <v>44533.249999999869</v>
      </c>
      <c r="E60" s="106">
        <f t="shared" si="3"/>
        <v>29.58</v>
      </c>
    </row>
    <row r="61" spans="1:5" x14ac:dyDescent="0.25">
      <c r="A61" s="17">
        <f t="shared" si="0"/>
        <v>44533</v>
      </c>
      <c r="B61" s="126">
        <f t="shared" si="1"/>
        <v>7</v>
      </c>
      <c r="C61" s="58">
        <f t="shared" si="4"/>
        <v>44533.249999999869</v>
      </c>
      <c r="D61" s="58">
        <f t="shared" si="2"/>
        <v>44533.291666666533</v>
      </c>
      <c r="E61" s="106">
        <f t="shared" si="3"/>
        <v>18</v>
      </c>
    </row>
    <row r="62" spans="1:5" x14ac:dyDescent="0.25">
      <c r="A62" s="17">
        <f t="shared" si="0"/>
        <v>44533</v>
      </c>
      <c r="B62" s="126">
        <f t="shared" si="1"/>
        <v>8</v>
      </c>
      <c r="C62" s="58">
        <f t="shared" si="4"/>
        <v>44533.291666666533</v>
      </c>
      <c r="D62" s="58">
        <f t="shared" si="2"/>
        <v>44533.333333333198</v>
      </c>
      <c r="E62" s="106">
        <f t="shared" si="3"/>
        <v>18</v>
      </c>
    </row>
    <row r="63" spans="1:5" x14ac:dyDescent="0.25">
      <c r="A63" s="17">
        <f t="shared" si="0"/>
        <v>44533</v>
      </c>
      <c r="B63" s="126">
        <f t="shared" si="1"/>
        <v>9</v>
      </c>
      <c r="C63" s="58">
        <f t="shared" si="4"/>
        <v>44533.333333333198</v>
      </c>
      <c r="D63" s="58">
        <f t="shared" si="2"/>
        <v>44533.374999999862</v>
      </c>
      <c r="E63" s="106">
        <f t="shared" si="3"/>
        <v>25.4</v>
      </c>
    </row>
    <row r="64" spans="1:5" x14ac:dyDescent="0.25">
      <c r="A64" s="17">
        <f t="shared" si="0"/>
        <v>44533</v>
      </c>
      <c r="B64" s="126">
        <f t="shared" si="1"/>
        <v>10</v>
      </c>
      <c r="C64" s="58">
        <f t="shared" si="4"/>
        <v>44533.374999999862</v>
      </c>
      <c r="D64" s="58">
        <f t="shared" si="2"/>
        <v>44533.416666666526</v>
      </c>
      <c r="E64" s="106">
        <f t="shared" si="3"/>
        <v>35</v>
      </c>
    </row>
    <row r="65" spans="1:5" x14ac:dyDescent="0.25">
      <c r="A65" s="17">
        <f t="shared" si="0"/>
        <v>44533</v>
      </c>
      <c r="B65" s="126">
        <f t="shared" si="1"/>
        <v>11</v>
      </c>
      <c r="C65" s="58">
        <f t="shared" si="4"/>
        <v>44533.416666666526</v>
      </c>
      <c r="D65" s="58">
        <f t="shared" si="2"/>
        <v>44533.45833333319</v>
      </c>
      <c r="E65" s="106">
        <f t="shared" si="3"/>
        <v>35</v>
      </c>
    </row>
    <row r="66" spans="1:5" x14ac:dyDescent="0.25">
      <c r="A66" s="17">
        <f t="shared" si="0"/>
        <v>44533</v>
      </c>
      <c r="B66" s="126">
        <f t="shared" si="1"/>
        <v>12</v>
      </c>
      <c r="C66" s="58">
        <f t="shared" si="4"/>
        <v>44533.45833333319</v>
      </c>
      <c r="D66" s="58">
        <f t="shared" si="2"/>
        <v>44533.499999999854</v>
      </c>
      <c r="E66" s="106">
        <f t="shared" si="3"/>
        <v>29.58</v>
      </c>
    </row>
    <row r="67" spans="1:5" x14ac:dyDescent="0.25">
      <c r="A67" s="17">
        <f t="shared" si="0"/>
        <v>44533</v>
      </c>
      <c r="B67" s="126">
        <f t="shared" si="1"/>
        <v>13</v>
      </c>
      <c r="C67" s="58">
        <f t="shared" si="4"/>
        <v>44533.499999999854</v>
      </c>
      <c r="D67" s="58">
        <f t="shared" si="2"/>
        <v>44533.541666666519</v>
      </c>
      <c r="E67" s="106">
        <f t="shared" si="3"/>
        <v>29.58</v>
      </c>
    </row>
    <row r="68" spans="1:5" x14ac:dyDescent="0.25">
      <c r="A68" s="17">
        <f t="shared" si="0"/>
        <v>44533</v>
      </c>
      <c r="B68" s="126">
        <f t="shared" si="1"/>
        <v>14</v>
      </c>
      <c r="C68" s="58">
        <f t="shared" si="4"/>
        <v>44533.541666666519</v>
      </c>
      <c r="D68" s="58">
        <f t="shared" si="2"/>
        <v>44533.583333333183</v>
      </c>
      <c r="E68" s="106">
        <f t="shared" si="3"/>
        <v>29.58</v>
      </c>
    </row>
    <row r="69" spans="1:5" x14ac:dyDescent="0.25">
      <c r="A69" s="17">
        <f t="shared" si="0"/>
        <v>44533</v>
      </c>
      <c r="B69" s="126">
        <f t="shared" si="1"/>
        <v>15</v>
      </c>
      <c r="C69" s="58">
        <f t="shared" si="4"/>
        <v>44533.583333333183</v>
      </c>
      <c r="D69" s="58">
        <f t="shared" si="2"/>
        <v>44533.624999999847</v>
      </c>
      <c r="E69" s="106">
        <f t="shared" si="3"/>
        <v>35</v>
      </c>
    </row>
    <row r="70" spans="1:5" x14ac:dyDescent="0.25">
      <c r="A70" s="17">
        <f t="shared" si="0"/>
        <v>44533</v>
      </c>
      <c r="B70" s="126">
        <f t="shared" si="1"/>
        <v>16</v>
      </c>
      <c r="C70" s="58">
        <f t="shared" si="4"/>
        <v>44533.624999999847</v>
      </c>
      <c r="D70" s="58">
        <f t="shared" si="2"/>
        <v>44533.666666666511</v>
      </c>
      <c r="E70" s="106">
        <f t="shared" si="3"/>
        <v>29.58</v>
      </c>
    </row>
    <row r="71" spans="1:5" x14ac:dyDescent="0.25">
      <c r="A71" s="17">
        <f t="shared" si="0"/>
        <v>44533</v>
      </c>
      <c r="B71" s="126">
        <f t="shared" si="1"/>
        <v>17</v>
      </c>
      <c r="C71" s="58">
        <f t="shared" si="4"/>
        <v>44533.666666666511</v>
      </c>
      <c r="D71" s="58">
        <f t="shared" si="2"/>
        <v>44533.708333333176</v>
      </c>
      <c r="E71" s="106">
        <f t="shared" si="3"/>
        <v>45</v>
      </c>
    </row>
    <row r="72" spans="1:5" x14ac:dyDescent="0.25">
      <c r="A72" s="17">
        <f t="shared" ref="A72:A135" si="6">DATE(YEAR(C72),MONTH(C72),DAY(C72))</f>
        <v>44533</v>
      </c>
      <c r="B72" s="126">
        <f t="shared" ref="B72:B135" si="7">HOUR(C72)+1</f>
        <v>18</v>
      </c>
      <c r="C72" s="58">
        <f t="shared" si="4"/>
        <v>44533.708333333176</v>
      </c>
      <c r="D72" s="58">
        <f t="shared" ref="D72:D135" si="8">$C72+1/24</f>
        <v>44533.74999999984</v>
      </c>
      <c r="E72" s="106">
        <f t="shared" ref="E72:E135" si="9">VLOOKUP(A72,$K$6:$AI$36,B72+1,FALSE)</f>
        <v>29.58</v>
      </c>
    </row>
    <row r="73" spans="1:5" x14ac:dyDescent="0.25">
      <c r="A73" s="17">
        <f t="shared" si="6"/>
        <v>44533</v>
      </c>
      <c r="B73" s="126">
        <f t="shared" si="7"/>
        <v>19</v>
      </c>
      <c r="C73" s="58">
        <f t="shared" ref="C73:C136" si="10">$C72+1/24</f>
        <v>44533.74999999984</v>
      </c>
      <c r="D73" s="58">
        <f t="shared" si="8"/>
        <v>44533.791666666504</v>
      </c>
      <c r="E73" s="106">
        <f t="shared" si="9"/>
        <v>29.58</v>
      </c>
    </row>
    <row r="74" spans="1:5" x14ac:dyDescent="0.25">
      <c r="A74" s="17">
        <f t="shared" si="6"/>
        <v>44533</v>
      </c>
      <c r="B74" s="126">
        <f t="shared" si="7"/>
        <v>20</v>
      </c>
      <c r="C74" s="58">
        <f t="shared" si="10"/>
        <v>44533.791666666504</v>
      </c>
      <c r="D74" s="58">
        <f t="shared" si="8"/>
        <v>44533.833333333168</v>
      </c>
      <c r="E74" s="106">
        <f t="shared" si="9"/>
        <v>29.58</v>
      </c>
    </row>
    <row r="75" spans="1:5" x14ac:dyDescent="0.25">
      <c r="A75" s="17">
        <f t="shared" si="6"/>
        <v>44533</v>
      </c>
      <c r="B75" s="126">
        <f t="shared" si="7"/>
        <v>21</v>
      </c>
      <c r="C75" s="58">
        <f t="shared" si="10"/>
        <v>44533.833333333168</v>
      </c>
      <c r="D75" s="58">
        <f t="shared" si="8"/>
        <v>44533.874999999833</v>
      </c>
      <c r="E75" s="106">
        <f t="shared" si="9"/>
        <v>29.58</v>
      </c>
    </row>
    <row r="76" spans="1:5" x14ac:dyDescent="0.25">
      <c r="A76" s="17">
        <f t="shared" si="6"/>
        <v>44533</v>
      </c>
      <c r="B76" s="126">
        <f t="shared" si="7"/>
        <v>22</v>
      </c>
      <c r="C76" s="58">
        <f t="shared" si="10"/>
        <v>44533.874999999833</v>
      </c>
      <c r="D76" s="58">
        <f t="shared" si="8"/>
        <v>44533.916666666497</v>
      </c>
      <c r="E76" s="106">
        <f t="shared" si="9"/>
        <v>29.58</v>
      </c>
    </row>
    <row r="77" spans="1:5" x14ac:dyDescent="0.25">
      <c r="A77" s="17">
        <f t="shared" si="6"/>
        <v>44533</v>
      </c>
      <c r="B77" s="126">
        <f t="shared" si="7"/>
        <v>23</v>
      </c>
      <c r="C77" s="58">
        <f t="shared" si="10"/>
        <v>44533.916666666497</v>
      </c>
      <c r="D77" s="58">
        <f t="shared" si="8"/>
        <v>44533.958333333161</v>
      </c>
      <c r="E77" s="106">
        <f t="shared" si="9"/>
        <v>29.58</v>
      </c>
    </row>
    <row r="78" spans="1:5" x14ac:dyDescent="0.25">
      <c r="A78" s="17">
        <f t="shared" si="6"/>
        <v>44533</v>
      </c>
      <c r="B78" s="126">
        <f t="shared" si="7"/>
        <v>24</v>
      </c>
      <c r="C78" s="58">
        <f t="shared" si="10"/>
        <v>44533.958333333161</v>
      </c>
      <c r="D78" s="58">
        <f t="shared" si="8"/>
        <v>44533.999999999825</v>
      </c>
      <c r="E78" s="106">
        <f t="shared" si="9"/>
        <v>29.58</v>
      </c>
    </row>
    <row r="79" spans="1:5" x14ac:dyDescent="0.25">
      <c r="A79" s="17">
        <f t="shared" si="6"/>
        <v>44534</v>
      </c>
      <c r="B79" s="126">
        <f t="shared" si="7"/>
        <v>1</v>
      </c>
      <c r="C79" s="58">
        <f t="shared" si="10"/>
        <v>44533.999999999825</v>
      </c>
      <c r="D79" s="58">
        <f t="shared" si="8"/>
        <v>44534.04166666649</v>
      </c>
      <c r="E79" s="106">
        <f t="shared" si="9"/>
        <v>30</v>
      </c>
    </row>
    <row r="80" spans="1:5" x14ac:dyDescent="0.25">
      <c r="A80" s="17">
        <f t="shared" si="6"/>
        <v>44534</v>
      </c>
      <c r="B80" s="126">
        <f t="shared" si="7"/>
        <v>2</v>
      </c>
      <c r="C80" s="58">
        <f t="shared" si="10"/>
        <v>44534.04166666649</v>
      </c>
      <c r="D80" s="58">
        <f t="shared" si="8"/>
        <v>44534.083333333154</v>
      </c>
      <c r="E80" s="106">
        <f t="shared" si="9"/>
        <v>30</v>
      </c>
    </row>
    <row r="81" spans="1:5" x14ac:dyDescent="0.25">
      <c r="A81" s="17">
        <f t="shared" si="6"/>
        <v>44534</v>
      </c>
      <c r="B81" s="126">
        <f t="shared" si="7"/>
        <v>3</v>
      </c>
      <c r="C81" s="58">
        <f t="shared" si="10"/>
        <v>44534.083333333154</v>
      </c>
      <c r="D81" s="58">
        <f t="shared" si="8"/>
        <v>44534.124999999818</v>
      </c>
      <c r="E81" s="106">
        <f t="shared" si="9"/>
        <v>30</v>
      </c>
    </row>
    <row r="82" spans="1:5" x14ac:dyDescent="0.25">
      <c r="A82" s="17">
        <f t="shared" si="6"/>
        <v>44534</v>
      </c>
      <c r="B82" s="126">
        <f t="shared" si="7"/>
        <v>4</v>
      </c>
      <c r="C82" s="58">
        <f t="shared" si="10"/>
        <v>44534.124999999818</v>
      </c>
      <c r="D82" s="58">
        <f t="shared" si="8"/>
        <v>44534.166666666482</v>
      </c>
      <c r="E82" s="106">
        <f t="shared" si="9"/>
        <v>30</v>
      </c>
    </row>
    <row r="83" spans="1:5" x14ac:dyDescent="0.25">
      <c r="A83" s="17">
        <f t="shared" si="6"/>
        <v>44534</v>
      </c>
      <c r="B83" s="126">
        <f t="shared" si="7"/>
        <v>5</v>
      </c>
      <c r="C83" s="58">
        <f t="shared" si="10"/>
        <v>44534.166666666482</v>
      </c>
      <c r="D83" s="58">
        <f t="shared" si="8"/>
        <v>44534.208333333147</v>
      </c>
      <c r="E83" s="106">
        <f t="shared" si="9"/>
        <v>30</v>
      </c>
    </row>
    <row r="84" spans="1:5" x14ac:dyDescent="0.25">
      <c r="A84" s="17">
        <f t="shared" si="6"/>
        <v>44534</v>
      </c>
      <c r="B84" s="126">
        <f t="shared" si="7"/>
        <v>6</v>
      </c>
      <c r="C84" s="58">
        <f t="shared" si="10"/>
        <v>44534.208333333147</v>
      </c>
      <c r="D84" s="58">
        <f t="shared" si="8"/>
        <v>44534.249999999811</v>
      </c>
      <c r="E84" s="106">
        <f t="shared" si="9"/>
        <v>30</v>
      </c>
    </row>
    <row r="85" spans="1:5" x14ac:dyDescent="0.25">
      <c r="A85" s="17">
        <f t="shared" si="6"/>
        <v>44534</v>
      </c>
      <c r="B85" s="126">
        <f t="shared" si="7"/>
        <v>7</v>
      </c>
      <c r="C85" s="58">
        <f t="shared" si="10"/>
        <v>44534.249999999811</v>
      </c>
      <c r="D85" s="58">
        <f t="shared" si="8"/>
        <v>44534.291666666475</v>
      </c>
      <c r="E85" s="106">
        <f t="shared" si="9"/>
        <v>30</v>
      </c>
    </row>
    <row r="86" spans="1:5" x14ac:dyDescent="0.25">
      <c r="A86" s="17">
        <f t="shared" si="6"/>
        <v>44534</v>
      </c>
      <c r="B86" s="126">
        <f t="shared" si="7"/>
        <v>8</v>
      </c>
      <c r="C86" s="58">
        <f t="shared" si="10"/>
        <v>44534.291666666475</v>
      </c>
      <c r="D86" s="58">
        <f t="shared" si="8"/>
        <v>44534.333333333139</v>
      </c>
      <c r="E86" s="106">
        <f t="shared" si="9"/>
        <v>30</v>
      </c>
    </row>
    <row r="87" spans="1:5" x14ac:dyDescent="0.25">
      <c r="A87" s="17">
        <f t="shared" si="6"/>
        <v>44534</v>
      </c>
      <c r="B87" s="126">
        <f t="shared" si="7"/>
        <v>9</v>
      </c>
      <c r="C87" s="58">
        <f t="shared" si="10"/>
        <v>44534.333333333139</v>
      </c>
      <c r="D87" s="58">
        <f t="shared" si="8"/>
        <v>44534.374999999804</v>
      </c>
      <c r="E87" s="106">
        <f t="shared" si="9"/>
        <v>30</v>
      </c>
    </row>
    <row r="88" spans="1:5" x14ac:dyDescent="0.25">
      <c r="A88" s="17">
        <f t="shared" si="6"/>
        <v>44534</v>
      </c>
      <c r="B88" s="126">
        <f t="shared" si="7"/>
        <v>10</v>
      </c>
      <c r="C88" s="58">
        <f t="shared" si="10"/>
        <v>44534.374999999804</v>
      </c>
      <c r="D88" s="58">
        <f t="shared" si="8"/>
        <v>44534.416666666468</v>
      </c>
      <c r="E88" s="106">
        <f t="shared" si="9"/>
        <v>30</v>
      </c>
    </row>
    <row r="89" spans="1:5" x14ac:dyDescent="0.25">
      <c r="A89" s="17">
        <f t="shared" si="6"/>
        <v>44534</v>
      </c>
      <c r="B89" s="126">
        <f t="shared" si="7"/>
        <v>11</v>
      </c>
      <c r="C89" s="58">
        <f t="shared" si="10"/>
        <v>44534.416666666468</v>
      </c>
      <c r="D89" s="58">
        <f t="shared" si="8"/>
        <v>44534.458333333132</v>
      </c>
      <c r="E89" s="106">
        <f t="shared" si="9"/>
        <v>30</v>
      </c>
    </row>
    <row r="90" spans="1:5" x14ac:dyDescent="0.25">
      <c r="A90" s="17">
        <f t="shared" si="6"/>
        <v>44534</v>
      </c>
      <c r="B90" s="126">
        <f t="shared" si="7"/>
        <v>12</v>
      </c>
      <c r="C90" s="58">
        <f t="shared" si="10"/>
        <v>44534.458333333132</v>
      </c>
      <c r="D90" s="58">
        <f t="shared" si="8"/>
        <v>44534.499999999796</v>
      </c>
      <c r="E90" s="106">
        <f t="shared" si="9"/>
        <v>30</v>
      </c>
    </row>
    <row r="91" spans="1:5" x14ac:dyDescent="0.25">
      <c r="A91" s="17">
        <f t="shared" si="6"/>
        <v>44534</v>
      </c>
      <c r="B91" s="126">
        <f t="shared" si="7"/>
        <v>13</v>
      </c>
      <c r="C91" s="58">
        <f t="shared" si="10"/>
        <v>44534.499999999796</v>
      </c>
      <c r="D91" s="58">
        <f t="shared" si="8"/>
        <v>44534.541666666461</v>
      </c>
      <c r="E91" s="106">
        <f t="shared" si="9"/>
        <v>30</v>
      </c>
    </row>
    <row r="92" spans="1:5" x14ac:dyDescent="0.25">
      <c r="A92" s="17">
        <f t="shared" si="6"/>
        <v>44534</v>
      </c>
      <c r="B92" s="126">
        <f t="shared" si="7"/>
        <v>14</v>
      </c>
      <c r="C92" s="58">
        <f t="shared" si="10"/>
        <v>44534.541666666461</v>
      </c>
      <c r="D92" s="58">
        <f t="shared" si="8"/>
        <v>44534.583333333125</v>
      </c>
      <c r="E92" s="106">
        <f t="shared" si="9"/>
        <v>30</v>
      </c>
    </row>
    <row r="93" spans="1:5" x14ac:dyDescent="0.25">
      <c r="A93" s="17">
        <f t="shared" si="6"/>
        <v>44534</v>
      </c>
      <c r="B93" s="126">
        <f t="shared" si="7"/>
        <v>15</v>
      </c>
      <c r="C93" s="58">
        <f t="shared" si="10"/>
        <v>44534.583333333125</v>
      </c>
      <c r="D93" s="58">
        <f t="shared" si="8"/>
        <v>44534.624999999789</v>
      </c>
      <c r="E93" s="106">
        <f t="shared" si="9"/>
        <v>30</v>
      </c>
    </row>
    <row r="94" spans="1:5" x14ac:dyDescent="0.25">
      <c r="A94" s="17">
        <f t="shared" si="6"/>
        <v>44534</v>
      </c>
      <c r="B94" s="126">
        <f t="shared" si="7"/>
        <v>16</v>
      </c>
      <c r="C94" s="58">
        <f t="shared" si="10"/>
        <v>44534.624999999789</v>
      </c>
      <c r="D94" s="58">
        <f t="shared" si="8"/>
        <v>44534.666666666453</v>
      </c>
      <c r="E94" s="106">
        <f t="shared" si="9"/>
        <v>30</v>
      </c>
    </row>
    <row r="95" spans="1:5" x14ac:dyDescent="0.25">
      <c r="A95" s="17">
        <f t="shared" si="6"/>
        <v>44534</v>
      </c>
      <c r="B95" s="126">
        <f t="shared" si="7"/>
        <v>17</v>
      </c>
      <c r="C95" s="58">
        <f t="shared" si="10"/>
        <v>44534.666666666453</v>
      </c>
      <c r="D95" s="58">
        <f t="shared" si="8"/>
        <v>44534.708333333117</v>
      </c>
      <c r="E95" s="106">
        <f t="shared" si="9"/>
        <v>30</v>
      </c>
    </row>
    <row r="96" spans="1:5" x14ac:dyDescent="0.25">
      <c r="A96" s="17">
        <f t="shared" si="6"/>
        <v>44534</v>
      </c>
      <c r="B96" s="126">
        <f t="shared" si="7"/>
        <v>18</v>
      </c>
      <c r="C96" s="58">
        <f t="shared" si="10"/>
        <v>44534.708333333117</v>
      </c>
      <c r="D96" s="58">
        <f t="shared" si="8"/>
        <v>44534.749999999782</v>
      </c>
      <c r="E96" s="106">
        <f t="shared" si="9"/>
        <v>30</v>
      </c>
    </row>
    <row r="97" spans="1:5" x14ac:dyDescent="0.25">
      <c r="A97" s="17">
        <f t="shared" si="6"/>
        <v>44534</v>
      </c>
      <c r="B97" s="126">
        <f t="shared" si="7"/>
        <v>19</v>
      </c>
      <c r="C97" s="58">
        <f t="shared" si="10"/>
        <v>44534.749999999782</v>
      </c>
      <c r="D97" s="58">
        <f t="shared" si="8"/>
        <v>44534.791666666446</v>
      </c>
      <c r="E97" s="106">
        <f t="shared" si="9"/>
        <v>30</v>
      </c>
    </row>
    <row r="98" spans="1:5" x14ac:dyDescent="0.25">
      <c r="A98" s="17">
        <f t="shared" si="6"/>
        <v>44534</v>
      </c>
      <c r="B98" s="126">
        <f t="shared" si="7"/>
        <v>20</v>
      </c>
      <c r="C98" s="58">
        <f t="shared" si="10"/>
        <v>44534.791666666446</v>
      </c>
      <c r="D98" s="58">
        <f t="shared" si="8"/>
        <v>44534.83333333311</v>
      </c>
      <c r="E98" s="106">
        <f t="shared" si="9"/>
        <v>30</v>
      </c>
    </row>
    <row r="99" spans="1:5" x14ac:dyDescent="0.25">
      <c r="A99" s="17">
        <f t="shared" si="6"/>
        <v>44534</v>
      </c>
      <c r="B99" s="126">
        <f t="shared" si="7"/>
        <v>21</v>
      </c>
      <c r="C99" s="58">
        <f t="shared" si="10"/>
        <v>44534.83333333311</v>
      </c>
      <c r="D99" s="58">
        <f t="shared" si="8"/>
        <v>44534.874999999774</v>
      </c>
      <c r="E99" s="106">
        <f t="shared" si="9"/>
        <v>30</v>
      </c>
    </row>
    <row r="100" spans="1:5" x14ac:dyDescent="0.25">
      <c r="A100" s="17">
        <f t="shared" si="6"/>
        <v>44534</v>
      </c>
      <c r="B100" s="126">
        <f t="shared" si="7"/>
        <v>22</v>
      </c>
      <c r="C100" s="58">
        <f t="shared" si="10"/>
        <v>44534.874999999774</v>
      </c>
      <c r="D100" s="58">
        <f t="shared" si="8"/>
        <v>44534.916666666439</v>
      </c>
      <c r="E100" s="106">
        <f t="shared" si="9"/>
        <v>30</v>
      </c>
    </row>
    <row r="101" spans="1:5" x14ac:dyDescent="0.25">
      <c r="A101" s="17">
        <f t="shared" si="6"/>
        <v>44534</v>
      </c>
      <c r="B101" s="126">
        <f t="shared" si="7"/>
        <v>23</v>
      </c>
      <c r="C101" s="58">
        <f t="shared" si="10"/>
        <v>44534.916666666439</v>
      </c>
      <c r="D101" s="58">
        <f t="shared" si="8"/>
        <v>44534.958333333103</v>
      </c>
      <c r="E101" s="106">
        <f t="shared" si="9"/>
        <v>30</v>
      </c>
    </row>
    <row r="102" spans="1:5" x14ac:dyDescent="0.25">
      <c r="A102" s="17">
        <f t="shared" si="6"/>
        <v>44534</v>
      </c>
      <c r="B102" s="126">
        <f t="shared" si="7"/>
        <v>24</v>
      </c>
      <c r="C102" s="58">
        <f t="shared" si="10"/>
        <v>44534.958333333103</v>
      </c>
      <c r="D102" s="58">
        <f t="shared" si="8"/>
        <v>44534.999999999767</v>
      </c>
      <c r="E102" s="106">
        <f t="shared" si="9"/>
        <v>30</v>
      </c>
    </row>
    <row r="103" spans="1:5" x14ac:dyDescent="0.25">
      <c r="A103" s="17">
        <f t="shared" si="6"/>
        <v>44535</v>
      </c>
      <c r="B103" s="126">
        <f t="shared" si="7"/>
        <v>1</v>
      </c>
      <c r="C103" s="58">
        <f t="shared" si="10"/>
        <v>44534.999999999767</v>
      </c>
      <c r="D103" s="58">
        <f t="shared" si="8"/>
        <v>44535.041666666431</v>
      </c>
      <c r="E103" s="106">
        <f t="shared" si="9"/>
        <v>30.21</v>
      </c>
    </row>
    <row r="104" spans="1:5" x14ac:dyDescent="0.25">
      <c r="A104" s="17">
        <f t="shared" si="6"/>
        <v>44535</v>
      </c>
      <c r="B104" s="126">
        <f t="shared" si="7"/>
        <v>2</v>
      </c>
      <c r="C104" s="58">
        <f t="shared" si="10"/>
        <v>44535.041666666431</v>
      </c>
      <c r="D104" s="58">
        <f t="shared" si="8"/>
        <v>44535.083333333096</v>
      </c>
      <c r="E104" s="106">
        <f t="shared" si="9"/>
        <v>30.21</v>
      </c>
    </row>
    <row r="105" spans="1:5" x14ac:dyDescent="0.25">
      <c r="A105" s="17">
        <f t="shared" si="6"/>
        <v>44535</v>
      </c>
      <c r="B105" s="126">
        <f t="shared" si="7"/>
        <v>3</v>
      </c>
      <c r="C105" s="58">
        <f t="shared" si="10"/>
        <v>44535.083333333096</v>
      </c>
      <c r="D105" s="58">
        <f t="shared" si="8"/>
        <v>44535.12499999976</v>
      </c>
      <c r="E105" s="106">
        <f t="shared" si="9"/>
        <v>30.21</v>
      </c>
    </row>
    <row r="106" spans="1:5" x14ac:dyDescent="0.25">
      <c r="A106" s="17">
        <f t="shared" si="6"/>
        <v>44535</v>
      </c>
      <c r="B106" s="126">
        <f t="shared" si="7"/>
        <v>4</v>
      </c>
      <c r="C106" s="58">
        <f t="shared" si="10"/>
        <v>44535.12499999976</v>
      </c>
      <c r="D106" s="58">
        <f t="shared" si="8"/>
        <v>44535.166666666424</v>
      </c>
      <c r="E106" s="106">
        <f t="shared" si="9"/>
        <v>30.21</v>
      </c>
    </row>
    <row r="107" spans="1:5" x14ac:dyDescent="0.25">
      <c r="A107" s="17">
        <f t="shared" si="6"/>
        <v>44535</v>
      </c>
      <c r="B107" s="126">
        <f t="shared" si="7"/>
        <v>5</v>
      </c>
      <c r="C107" s="58">
        <f t="shared" si="10"/>
        <v>44535.166666666424</v>
      </c>
      <c r="D107" s="58">
        <f t="shared" si="8"/>
        <v>44535.208333333088</v>
      </c>
      <c r="E107" s="106">
        <f t="shared" si="9"/>
        <v>30.21</v>
      </c>
    </row>
    <row r="108" spans="1:5" x14ac:dyDescent="0.25">
      <c r="A108" s="17">
        <f t="shared" si="6"/>
        <v>44535</v>
      </c>
      <c r="B108" s="126">
        <f t="shared" si="7"/>
        <v>6</v>
      </c>
      <c r="C108" s="58">
        <f t="shared" si="10"/>
        <v>44535.208333333088</v>
      </c>
      <c r="D108" s="58">
        <f t="shared" si="8"/>
        <v>44535.249999999753</v>
      </c>
      <c r="E108" s="106">
        <f t="shared" si="9"/>
        <v>30.21</v>
      </c>
    </row>
    <row r="109" spans="1:5" x14ac:dyDescent="0.25">
      <c r="A109" s="17">
        <f t="shared" si="6"/>
        <v>44535</v>
      </c>
      <c r="B109" s="126">
        <f t="shared" si="7"/>
        <v>7</v>
      </c>
      <c r="C109" s="58">
        <f t="shared" si="10"/>
        <v>44535.249999999753</v>
      </c>
      <c r="D109" s="58">
        <f t="shared" si="8"/>
        <v>44535.291666666417</v>
      </c>
      <c r="E109" s="106">
        <f t="shared" si="9"/>
        <v>30.21</v>
      </c>
    </row>
    <row r="110" spans="1:5" x14ac:dyDescent="0.25">
      <c r="A110" s="17">
        <f t="shared" si="6"/>
        <v>44535</v>
      </c>
      <c r="B110" s="126">
        <f t="shared" si="7"/>
        <v>8</v>
      </c>
      <c r="C110" s="58">
        <f t="shared" si="10"/>
        <v>44535.291666666417</v>
      </c>
      <c r="D110" s="58">
        <f t="shared" si="8"/>
        <v>44535.333333333081</v>
      </c>
      <c r="E110" s="106">
        <f t="shared" si="9"/>
        <v>30</v>
      </c>
    </row>
    <row r="111" spans="1:5" x14ac:dyDescent="0.25">
      <c r="A111" s="17">
        <f t="shared" si="6"/>
        <v>44535</v>
      </c>
      <c r="B111" s="126">
        <f t="shared" si="7"/>
        <v>9</v>
      </c>
      <c r="C111" s="58">
        <f t="shared" si="10"/>
        <v>44535.333333333081</v>
      </c>
      <c r="D111" s="58">
        <f t="shared" si="8"/>
        <v>44535.374999999745</v>
      </c>
      <c r="E111" s="106">
        <f t="shared" si="9"/>
        <v>30</v>
      </c>
    </row>
    <row r="112" spans="1:5" x14ac:dyDescent="0.25">
      <c r="A112" s="17">
        <f t="shared" si="6"/>
        <v>44535</v>
      </c>
      <c r="B112" s="126">
        <f t="shared" si="7"/>
        <v>10</v>
      </c>
      <c r="C112" s="58">
        <f t="shared" si="10"/>
        <v>44535.374999999745</v>
      </c>
      <c r="D112" s="58">
        <f t="shared" si="8"/>
        <v>44535.41666666641</v>
      </c>
      <c r="E112" s="106">
        <f t="shared" si="9"/>
        <v>30</v>
      </c>
    </row>
    <row r="113" spans="1:5" x14ac:dyDescent="0.25">
      <c r="A113" s="17">
        <f t="shared" si="6"/>
        <v>44535</v>
      </c>
      <c r="B113" s="126">
        <f t="shared" si="7"/>
        <v>11</v>
      </c>
      <c r="C113" s="58">
        <f t="shared" si="10"/>
        <v>44535.41666666641</v>
      </c>
      <c r="D113" s="58">
        <f t="shared" si="8"/>
        <v>44535.458333333074</v>
      </c>
      <c r="E113" s="106">
        <f t="shared" si="9"/>
        <v>30</v>
      </c>
    </row>
    <row r="114" spans="1:5" x14ac:dyDescent="0.25">
      <c r="A114" s="17">
        <f t="shared" si="6"/>
        <v>44535</v>
      </c>
      <c r="B114" s="126">
        <f t="shared" si="7"/>
        <v>12</v>
      </c>
      <c r="C114" s="58">
        <f t="shared" si="10"/>
        <v>44535.458333333074</v>
      </c>
      <c r="D114" s="58">
        <f t="shared" si="8"/>
        <v>44535.499999999738</v>
      </c>
      <c r="E114" s="106">
        <f t="shared" si="9"/>
        <v>30</v>
      </c>
    </row>
    <row r="115" spans="1:5" x14ac:dyDescent="0.25">
      <c r="A115" s="17">
        <f t="shared" si="6"/>
        <v>44535</v>
      </c>
      <c r="B115" s="126">
        <f t="shared" si="7"/>
        <v>13</v>
      </c>
      <c r="C115" s="58">
        <f t="shared" si="10"/>
        <v>44535.499999999738</v>
      </c>
      <c r="D115" s="58">
        <f t="shared" si="8"/>
        <v>44535.541666666402</v>
      </c>
      <c r="E115" s="106">
        <f t="shared" si="9"/>
        <v>30</v>
      </c>
    </row>
    <row r="116" spans="1:5" x14ac:dyDescent="0.25">
      <c r="A116" s="17">
        <f t="shared" si="6"/>
        <v>44535</v>
      </c>
      <c r="B116" s="126">
        <f t="shared" si="7"/>
        <v>14</v>
      </c>
      <c r="C116" s="58">
        <f t="shared" si="10"/>
        <v>44535.541666666402</v>
      </c>
      <c r="D116" s="58">
        <f t="shared" si="8"/>
        <v>44535.583333333067</v>
      </c>
      <c r="E116" s="106">
        <f t="shared" si="9"/>
        <v>30</v>
      </c>
    </row>
    <row r="117" spans="1:5" x14ac:dyDescent="0.25">
      <c r="A117" s="17">
        <f t="shared" si="6"/>
        <v>44535</v>
      </c>
      <c r="B117" s="126">
        <f t="shared" si="7"/>
        <v>15</v>
      </c>
      <c r="C117" s="58">
        <f t="shared" si="10"/>
        <v>44535.583333333067</v>
      </c>
      <c r="D117" s="58">
        <f t="shared" si="8"/>
        <v>44535.624999999731</v>
      </c>
      <c r="E117" s="106">
        <f t="shared" si="9"/>
        <v>30</v>
      </c>
    </row>
    <row r="118" spans="1:5" x14ac:dyDescent="0.25">
      <c r="A118" s="17">
        <f t="shared" si="6"/>
        <v>44535</v>
      </c>
      <c r="B118" s="126">
        <f t="shared" si="7"/>
        <v>16</v>
      </c>
      <c r="C118" s="58">
        <f t="shared" si="10"/>
        <v>44535.624999999731</v>
      </c>
      <c r="D118" s="58">
        <f t="shared" si="8"/>
        <v>44535.666666666395</v>
      </c>
      <c r="E118" s="106">
        <f t="shared" si="9"/>
        <v>30</v>
      </c>
    </row>
    <row r="119" spans="1:5" x14ac:dyDescent="0.25">
      <c r="A119" s="17">
        <f t="shared" si="6"/>
        <v>44535</v>
      </c>
      <c r="B119" s="126">
        <f t="shared" si="7"/>
        <v>17</v>
      </c>
      <c r="C119" s="58">
        <f t="shared" si="10"/>
        <v>44535.666666666395</v>
      </c>
      <c r="D119" s="58">
        <f t="shared" si="8"/>
        <v>44535.708333333059</v>
      </c>
      <c r="E119" s="106">
        <f t="shared" si="9"/>
        <v>30</v>
      </c>
    </row>
    <row r="120" spans="1:5" x14ac:dyDescent="0.25">
      <c r="A120" s="17">
        <f t="shared" si="6"/>
        <v>44535</v>
      </c>
      <c r="B120" s="126">
        <f t="shared" si="7"/>
        <v>18</v>
      </c>
      <c r="C120" s="58">
        <f t="shared" si="10"/>
        <v>44535.708333333059</v>
      </c>
      <c r="D120" s="58">
        <f t="shared" si="8"/>
        <v>44535.749999999724</v>
      </c>
      <c r="E120" s="106">
        <f t="shared" si="9"/>
        <v>30</v>
      </c>
    </row>
    <row r="121" spans="1:5" x14ac:dyDescent="0.25">
      <c r="A121" s="17">
        <f t="shared" si="6"/>
        <v>44535</v>
      </c>
      <c r="B121" s="126">
        <f t="shared" si="7"/>
        <v>19</v>
      </c>
      <c r="C121" s="58">
        <f t="shared" si="10"/>
        <v>44535.749999999724</v>
      </c>
      <c r="D121" s="58">
        <f t="shared" si="8"/>
        <v>44535.791666666388</v>
      </c>
      <c r="E121" s="106">
        <f t="shared" si="9"/>
        <v>30</v>
      </c>
    </row>
    <row r="122" spans="1:5" x14ac:dyDescent="0.25">
      <c r="A122" s="17">
        <f t="shared" si="6"/>
        <v>44535</v>
      </c>
      <c r="B122" s="126">
        <f t="shared" si="7"/>
        <v>20</v>
      </c>
      <c r="C122" s="58">
        <f t="shared" si="10"/>
        <v>44535.791666666388</v>
      </c>
      <c r="D122" s="58">
        <f t="shared" si="8"/>
        <v>44535.833333333052</v>
      </c>
      <c r="E122" s="106">
        <f t="shared" si="9"/>
        <v>30</v>
      </c>
    </row>
    <row r="123" spans="1:5" x14ac:dyDescent="0.25">
      <c r="A123" s="17">
        <f t="shared" si="6"/>
        <v>44535</v>
      </c>
      <c r="B123" s="126">
        <f t="shared" si="7"/>
        <v>21</v>
      </c>
      <c r="C123" s="58">
        <f t="shared" si="10"/>
        <v>44535.833333333052</v>
      </c>
      <c r="D123" s="58">
        <f t="shared" si="8"/>
        <v>44535.874999999716</v>
      </c>
      <c r="E123" s="106">
        <f t="shared" si="9"/>
        <v>30</v>
      </c>
    </row>
    <row r="124" spans="1:5" x14ac:dyDescent="0.25">
      <c r="A124" s="17">
        <f t="shared" si="6"/>
        <v>44535</v>
      </c>
      <c r="B124" s="126">
        <f t="shared" si="7"/>
        <v>22</v>
      </c>
      <c r="C124" s="58">
        <f t="shared" si="10"/>
        <v>44535.874999999716</v>
      </c>
      <c r="D124" s="58">
        <f t="shared" si="8"/>
        <v>44535.91666666638</v>
      </c>
      <c r="E124" s="106">
        <f t="shared" si="9"/>
        <v>30</v>
      </c>
    </row>
    <row r="125" spans="1:5" x14ac:dyDescent="0.25">
      <c r="A125" s="17">
        <f t="shared" si="6"/>
        <v>44535</v>
      </c>
      <c r="B125" s="126">
        <f t="shared" si="7"/>
        <v>23</v>
      </c>
      <c r="C125" s="58">
        <f t="shared" si="10"/>
        <v>44535.91666666638</v>
      </c>
      <c r="D125" s="58">
        <f t="shared" si="8"/>
        <v>44535.958333333045</v>
      </c>
      <c r="E125" s="106">
        <f t="shared" si="9"/>
        <v>30</v>
      </c>
    </row>
    <row r="126" spans="1:5" x14ac:dyDescent="0.25">
      <c r="A126" s="17">
        <f t="shared" si="6"/>
        <v>44535</v>
      </c>
      <c r="B126" s="126">
        <f t="shared" si="7"/>
        <v>24</v>
      </c>
      <c r="C126" s="58">
        <f t="shared" si="10"/>
        <v>44535.958333333045</v>
      </c>
      <c r="D126" s="58">
        <f t="shared" si="8"/>
        <v>44535.999999999709</v>
      </c>
      <c r="E126" s="106">
        <f t="shared" si="9"/>
        <v>30.21</v>
      </c>
    </row>
    <row r="127" spans="1:5" x14ac:dyDescent="0.25">
      <c r="A127" s="17">
        <f t="shared" si="6"/>
        <v>44536</v>
      </c>
      <c r="B127" s="126">
        <f t="shared" si="7"/>
        <v>1</v>
      </c>
      <c r="C127" s="58">
        <f t="shared" si="10"/>
        <v>44535.999999999709</v>
      </c>
      <c r="D127" s="58">
        <f t="shared" si="8"/>
        <v>44536.041666666373</v>
      </c>
      <c r="E127" s="106">
        <f t="shared" si="9"/>
        <v>21.13</v>
      </c>
    </row>
    <row r="128" spans="1:5" x14ac:dyDescent="0.25">
      <c r="A128" s="17">
        <f t="shared" si="6"/>
        <v>44536</v>
      </c>
      <c r="B128" s="126">
        <f t="shared" si="7"/>
        <v>2</v>
      </c>
      <c r="C128" s="58">
        <f t="shared" si="10"/>
        <v>44536.041666666373</v>
      </c>
      <c r="D128" s="58">
        <f t="shared" si="8"/>
        <v>44536.083333333037</v>
      </c>
      <c r="E128" s="106">
        <f t="shared" si="9"/>
        <v>21.13</v>
      </c>
    </row>
    <row r="129" spans="1:5" x14ac:dyDescent="0.25">
      <c r="A129" s="17">
        <f t="shared" si="6"/>
        <v>44536</v>
      </c>
      <c r="B129" s="126">
        <f t="shared" si="7"/>
        <v>3</v>
      </c>
      <c r="C129" s="58">
        <f t="shared" si="10"/>
        <v>44536.083333333037</v>
      </c>
      <c r="D129" s="58">
        <f t="shared" si="8"/>
        <v>44536.124999999702</v>
      </c>
      <c r="E129" s="106">
        <f t="shared" si="9"/>
        <v>21.13</v>
      </c>
    </row>
    <row r="130" spans="1:5" x14ac:dyDescent="0.25">
      <c r="A130" s="17">
        <f t="shared" si="6"/>
        <v>44536</v>
      </c>
      <c r="B130" s="126">
        <f t="shared" si="7"/>
        <v>4</v>
      </c>
      <c r="C130" s="58">
        <f t="shared" si="10"/>
        <v>44536.124999999702</v>
      </c>
      <c r="D130" s="58">
        <f t="shared" si="8"/>
        <v>44536.166666666366</v>
      </c>
      <c r="E130" s="106">
        <f t="shared" si="9"/>
        <v>21.13</v>
      </c>
    </row>
    <row r="131" spans="1:5" x14ac:dyDescent="0.25">
      <c r="A131" s="17">
        <f t="shared" si="6"/>
        <v>44536</v>
      </c>
      <c r="B131" s="126">
        <f t="shared" si="7"/>
        <v>5</v>
      </c>
      <c r="C131" s="58">
        <f t="shared" si="10"/>
        <v>44536.166666666366</v>
      </c>
      <c r="D131" s="58">
        <f t="shared" si="8"/>
        <v>44536.20833333303</v>
      </c>
      <c r="E131" s="106">
        <f t="shared" si="9"/>
        <v>18</v>
      </c>
    </row>
    <row r="132" spans="1:5" x14ac:dyDescent="0.25">
      <c r="A132" s="17">
        <f t="shared" si="6"/>
        <v>44536</v>
      </c>
      <c r="B132" s="126">
        <f t="shared" si="7"/>
        <v>6</v>
      </c>
      <c r="C132" s="58">
        <f t="shared" si="10"/>
        <v>44536.20833333303</v>
      </c>
      <c r="D132" s="58">
        <f t="shared" si="8"/>
        <v>44536.249999999694</v>
      </c>
      <c r="E132" s="106">
        <f t="shared" si="9"/>
        <v>22</v>
      </c>
    </row>
    <row r="133" spans="1:5" x14ac:dyDescent="0.25">
      <c r="A133" s="17">
        <f t="shared" si="6"/>
        <v>44536</v>
      </c>
      <c r="B133" s="126">
        <f t="shared" si="7"/>
        <v>7</v>
      </c>
      <c r="C133" s="58">
        <f t="shared" si="10"/>
        <v>44536.249999999694</v>
      </c>
      <c r="D133" s="58">
        <f t="shared" si="8"/>
        <v>44536.291666666359</v>
      </c>
      <c r="E133" s="106">
        <f t="shared" si="9"/>
        <v>22</v>
      </c>
    </row>
    <row r="134" spans="1:5" x14ac:dyDescent="0.25">
      <c r="A134" s="17">
        <f t="shared" si="6"/>
        <v>44536</v>
      </c>
      <c r="B134" s="126">
        <f t="shared" si="7"/>
        <v>8</v>
      </c>
      <c r="C134" s="58">
        <f t="shared" si="10"/>
        <v>44536.291666666359</v>
      </c>
      <c r="D134" s="58">
        <f t="shared" si="8"/>
        <v>44536.333333333023</v>
      </c>
      <c r="E134" s="106">
        <f t="shared" si="9"/>
        <v>22</v>
      </c>
    </row>
    <row r="135" spans="1:5" x14ac:dyDescent="0.25">
      <c r="A135" s="17">
        <f t="shared" si="6"/>
        <v>44536</v>
      </c>
      <c r="B135" s="126">
        <f t="shared" si="7"/>
        <v>9</v>
      </c>
      <c r="C135" s="58">
        <f t="shared" si="10"/>
        <v>44536.333333333023</v>
      </c>
      <c r="D135" s="58">
        <f t="shared" si="8"/>
        <v>44536.374999999687</v>
      </c>
      <c r="E135" s="106">
        <f t="shared" si="9"/>
        <v>20</v>
      </c>
    </row>
    <row r="136" spans="1:5" x14ac:dyDescent="0.25">
      <c r="A136" s="17">
        <f t="shared" ref="A136:A199" si="11">DATE(YEAR(C136),MONTH(C136),DAY(C136))</f>
        <v>44536</v>
      </c>
      <c r="B136" s="126">
        <f t="shared" ref="B136:B199" si="12">HOUR(C136)+1</f>
        <v>10</v>
      </c>
      <c r="C136" s="58">
        <f t="shared" si="10"/>
        <v>44536.374999999687</v>
      </c>
      <c r="D136" s="58">
        <f t="shared" ref="D136:D199" si="13">$C136+1/24</f>
        <v>44536.416666666351</v>
      </c>
      <c r="E136" s="106">
        <f t="shared" ref="E136:E199" si="14">VLOOKUP(A136,$K$6:$AI$36,B136+1,FALSE)</f>
        <v>20</v>
      </c>
    </row>
    <row r="137" spans="1:5" x14ac:dyDescent="0.25">
      <c r="A137" s="17">
        <f t="shared" si="11"/>
        <v>44536</v>
      </c>
      <c r="B137" s="126">
        <f t="shared" si="12"/>
        <v>11</v>
      </c>
      <c r="C137" s="58">
        <f t="shared" ref="C137:C200" si="15">$C136+1/24</f>
        <v>44536.416666666351</v>
      </c>
      <c r="D137" s="58">
        <f t="shared" si="13"/>
        <v>44536.458333333016</v>
      </c>
      <c r="E137" s="106">
        <f t="shared" si="14"/>
        <v>20</v>
      </c>
    </row>
    <row r="138" spans="1:5" x14ac:dyDescent="0.25">
      <c r="A138" s="17">
        <f t="shared" si="11"/>
        <v>44536</v>
      </c>
      <c r="B138" s="126">
        <f t="shared" si="12"/>
        <v>12</v>
      </c>
      <c r="C138" s="58">
        <f t="shared" si="15"/>
        <v>44536.458333333016</v>
      </c>
      <c r="D138" s="58">
        <f t="shared" si="13"/>
        <v>44536.49999999968</v>
      </c>
      <c r="E138" s="106">
        <f t="shared" si="14"/>
        <v>20</v>
      </c>
    </row>
    <row r="139" spans="1:5" x14ac:dyDescent="0.25">
      <c r="A139" s="17">
        <f t="shared" si="11"/>
        <v>44536</v>
      </c>
      <c r="B139" s="126">
        <f t="shared" si="12"/>
        <v>13</v>
      </c>
      <c r="C139" s="58">
        <f t="shared" si="15"/>
        <v>44536.49999999968</v>
      </c>
      <c r="D139" s="58">
        <f t="shared" si="13"/>
        <v>44536.541666666344</v>
      </c>
      <c r="E139" s="106">
        <f t="shared" si="14"/>
        <v>20.62</v>
      </c>
    </row>
    <row r="140" spans="1:5" x14ac:dyDescent="0.25">
      <c r="A140" s="17">
        <f t="shared" si="11"/>
        <v>44536</v>
      </c>
      <c r="B140" s="126">
        <f t="shared" si="12"/>
        <v>14</v>
      </c>
      <c r="C140" s="58">
        <f t="shared" si="15"/>
        <v>44536.541666666344</v>
      </c>
      <c r="D140" s="58">
        <f t="shared" si="13"/>
        <v>44536.583333333008</v>
      </c>
      <c r="E140" s="106">
        <f t="shared" si="14"/>
        <v>20.62</v>
      </c>
    </row>
    <row r="141" spans="1:5" x14ac:dyDescent="0.25">
      <c r="A141" s="17">
        <f t="shared" si="11"/>
        <v>44536</v>
      </c>
      <c r="B141" s="126">
        <f t="shared" si="12"/>
        <v>15</v>
      </c>
      <c r="C141" s="58">
        <f t="shared" si="15"/>
        <v>44536.583333333008</v>
      </c>
      <c r="D141" s="58">
        <f t="shared" si="13"/>
        <v>44536.624999999673</v>
      </c>
      <c r="E141" s="106">
        <f t="shared" si="14"/>
        <v>20.62</v>
      </c>
    </row>
    <row r="142" spans="1:5" x14ac:dyDescent="0.25">
      <c r="A142" s="17">
        <f t="shared" si="11"/>
        <v>44536</v>
      </c>
      <c r="B142" s="126">
        <f t="shared" si="12"/>
        <v>16</v>
      </c>
      <c r="C142" s="58">
        <f t="shared" si="15"/>
        <v>44536.624999999673</v>
      </c>
      <c r="D142" s="58">
        <f t="shared" si="13"/>
        <v>44536.666666666337</v>
      </c>
      <c r="E142" s="106">
        <f t="shared" si="14"/>
        <v>20</v>
      </c>
    </row>
    <row r="143" spans="1:5" x14ac:dyDescent="0.25">
      <c r="A143" s="17">
        <f t="shared" si="11"/>
        <v>44536</v>
      </c>
      <c r="B143" s="126">
        <f t="shared" si="12"/>
        <v>17</v>
      </c>
      <c r="C143" s="58">
        <f t="shared" si="15"/>
        <v>44536.666666666337</v>
      </c>
      <c r="D143" s="58">
        <f t="shared" si="13"/>
        <v>44536.708333333001</v>
      </c>
      <c r="E143" s="106">
        <f t="shared" si="14"/>
        <v>20.62</v>
      </c>
    </row>
    <row r="144" spans="1:5" x14ac:dyDescent="0.25">
      <c r="A144" s="17">
        <f t="shared" si="11"/>
        <v>44536</v>
      </c>
      <c r="B144" s="126">
        <f t="shared" si="12"/>
        <v>18</v>
      </c>
      <c r="C144" s="58">
        <f t="shared" si="15"/>
        <v>44536.708333333001</v>
      </c>
      <c r="D144" s="58">
        <f t="shared" si="13"/>
        <v>44536.749999999665</v>
      </c>
      <c r="E144" s="106">
        <f t="shared" si="14"/>
        <v>24</v>
      </c>
    </row>
    <row r="145" spans="1:5" x14ac:dyDescent="0.25">
      <c r="A145" s="17">
        <f t="shared" si="11"/>
        <v>44536</v>
      </c>
      <c r="B145" s="126">
        <f t="shared" si="12"/>
        <v>19</v>
      </c>
      <c r="C145" s="58">
        <f t="shared" si="15"/>
        <v>44536.749999999665</v>
      </c>
      <c r="D145" s="58">
        <f t="shared" si="13"/>
        <v>44536.79166666633</v>
      </c>
      <c r="E145" s="106">
        <f t="shared" si="14"/>
        <v>20.62</v>
      </c>
    </row>
    <row r="146" spans="1:5" x14ac:dyDescent="0.25">
      <c r="A146" s="17">
        <f t="shared" si="11"/>
        <v>44536</v>
      </c>
      <c r="B146" s="126">
        <f t="shared" si="12"/>
        <v>20</v>
      </c>
      <c r="C146" s="58">
        <f t="shared" si="15"/>
        <v>44536.79166666633</v>
      </c>
      <c r="D146" s="58">
        <f t="shared" si="13"/>
        <v>44536.833333332994</v>
      </c>
      <c r="E146" s="106">
        <f t="shared" si="14"/>
        <v>20.62</v>
      </c>
    </row>
    <row r="147" spans="1:5" x14ac:dyDescent="0.25">
      <c r="A147" s="17">
        <f t="shared" si="11"/>
        <v>44536</v>
      </c>
      <c r="B147" s="126">
        <f t="shared" si="12"/>
        <v>21</v>
      </c>
      <c r="C147" s="58">
        <f t="shared" si="15"/>
        <v>44536.833333332994</v>
      </c>
      <c r="D147" s="58">
        <f t="shared" si="13"/>
        <v>44536.874999999658</v>
      </c>
      <c r="E147" s="106">
        <f t="shared" si="14"/>
        <v>20.62</v>
      </c>
    </row>
    <row r="148" spans="1:5" x14ac:dyDescent="0.25">
      <c r="A148" s="17">
        <f t="shared" si="11"/>
        <v>44536</v>
      </c>
      <c r="B148" s="126">
        <f t="shared" si="12"/>
        <v>22</v>
      </c>
      <c r="C148" s="58">
        <f t="shared" si="15"/>
        <v>44536.874999999658</v>
      </c>
      <c r="D148" s="58">
        <f t="shared" si="13"/>
        <v>44536.916666666322</v>
      </c>
      <c r="E148" s="106">
        <f t="shared" si="14"/>
        <v>20.62</v>
      </c>
    </row>
    <row r="149" spans="1:5" x14ac:dyDescent="0.25">
      <c r="A149" s="17">
        <f t="shared" si="11"/>
        <v>44536</v>
      </c>
      <c r="B149" s="126">
        <f t="shared" si="12"/>
        <v>23</v>
      </c>
      <c r="C149" s="58">
        <f t="shared" si="15"/>
        <v>44536.916666666322</v>
      </c>
      <c r="D149" s="58">
        <f t="shared" si="13"/>
        <v>44536.958333332987</v>
      </c>
      <c r="E149" s="106">
        <f t="shared" si="14"/>
        <v>20.62</v>
      </c>
    </row>
    <row r="150" spans="1:5" x14ac:dyDescent="0.25">
      <c r="A150" s="17">
        <f t="shared" si="11"/>
        <v>44536</v>
      </c>
      <c r="B150" s="126">
        <f t="shared" si="12"/>
        <v>24</v>
      </c>
      <c r="C150" s="58">
        <f t="shared" si="15"/>
        <v>44536.958333332987</v>
      </c>
      <c r="D150" s="58">
        <f t="shared" si="13"/>
        <v>44536.999999999651</v>
      </c>
      <c r="E150" s="106">
        <f t="shared" si="14"/>
        <v>21.13</v>
      </c>
    </row>
    <row r="151" spans="1:5" x14ac:dyDescent="0.25">
      <c r="A151" s="17">
        <f t="shared" si="11"/>
        <v>44537</v>
      </c>
      <c r="B151" s="126">
        <f t="shared" si="12"/>
        <v>1</v>
      </c>
      <c r="C151" s="58">
        <f t="shared" si="15"/>
        <v>44536.999999999651</v>
      </c>
      <c r="D151" s="58">
        <f t="shared" si="13"/>
        <v>44537.041666666315</v>
      </c>
      <c r="E151" s="106">
        <f t="shared" si="14"/>
        <v>50.35</v>
      </c>
    </row>
    <row r="152" spans="1:5" x14ac:dyDescent="0.25">
      <c r="A152" s="17">
        <f t="shared" si="11"/>
        <v>44537</v>
      </c>
      <c r="B152" s="126">
        <f t="shared" si="12"/>
        <v>2</v>
      </c>
      <c r="C152" s="58">
        <f t="shared" si="15"/>
        <v>44537.041666666315</v>
      </c>
      <c r="D152" s="58">
        <f t="shared" si="13"/>
        <v>44537.083333332979</v>
      </c>
      <c r="E152" s="106">
        <f t="shared" si="14"/>
        <v>50.35</v>
      </c>
    </row>
    <row r="153" spans="1:5" x14ac:dyDescent="0.25">
      <c r="A153" s="17">
        <f t="shared" si="11"/>
        <v>44537</v>
      </c>
      <c r="B153" s="126">
        <f t="shared" si="12"/>
        <v>3</v>
      </c>
      <c r="C153" s="58">
        <f t="shared" si="15"/>
        <v>44537.083333332979</v>
      </c>
      <c r="D153" s="58">
        <f t="shared" si="13"/>
        <v>44537.124999999643</v>
      </c>
      <c r="E153" s="106">
        <f t="shared" si="14"/>
        <v>26</v>
      </c>
    </row>
    <row r="154" spans="1:5" x14ac:dyDescent="0.25">
      <c r="A154" s="17">
        <f t="shared" si="11"/>
        <v>44537</v>
      </c>
      <c r="B154" s="126">
        <f t="shared" si="12"/>
        <v>4</v>
      </c>
      <c r="C154" s="58">
        <f t="shared" si="15"/>
        <v>44537.124999999643</v>
      </c>
      <c r="D154" s="58">
        <f t="shared" si="13"/>
        <v>44537.166666666308</v>
      </c>
      <c r="E154" s="106">
        <f t="shared" si="14"/>
        <v>50.35</v>
      </c>
    </row>
    <row r="155" spans="1:5" x14ac:dyDescent="0.25">
      <c r="A155" s="17">
        <f t="shared" si="11"/>
        <v>44537</v>
      </c>
      <c r="B155" s="126">
        <f t="shared" si="12"/>
        <v>5</v>
      </c>
      <c r="C155" s="58">
        <f t="shared" si="15"/>
        <v>44537.166666666308</v>
      </c>
      <c r="D155" s="58">
        <f t="shared" si="13"/>
        <v>44537.208333332972</v>
      </c>
      <c r="E155" s="106">
        <f t="shared" si="14"/>
        <v>28</v>
      </c>
    </row>
    <row r="156" spans="1:5" x14ac:dyDescent="0.25">
      <c r="A156" s="17">
        <f t="shared" si="11"/>
        <v>44537</v>
      </c>
      <c r="B156" s="126">
        <f t="shared" si="12"/>
        <v>6</v>
      </c>
      <c r="C156" s="58">
        <f t="shared" si="15"/>
        <v>44537.208333332972</v>
      </c>
      <c r="D156" s="58">
        <f t="shared" si="13"/>
        <v>44537.249999999636</v>
      </c>
      <c r="E156" s="106">
        <f t="shared" si="14"/>
        <v>45</v>
      </c>
    </row>
    <row r="157" spans="1:5" x14ac:dyDescent="0.25">
      <c r="A157" s="17">
        <f t="shared" si="11"/>
        <v>44537</v>
      </c>
      <c r="B157" s="126">
        <f t="shared" si="12"/>
        <v>7</v>
      </c>
      <c r="C157" s="58">
        <f t="shared" si="15"/>
        <v>44537.249999999636</v>
      </c>
      <c r="D157" s="58">
        <f t="shared" si="13"/>
        <v>44537.2916666663</v>
      </c>
      <c r="E157" s="106">
        <f t="shared" si="14"/>
        <v>75</v>
      </c>
    </row>
    <row r="158" spans="1:5" x14ac:dyDescent="0.25">
      <c r="A158" s="17">
        <f t="shared" si="11"/>
        <v>44537</v>
      </c>
      <c r="B158" s="126">
        <f t="shared" si="12"/>
        <v>8</v>
      </c>
      <c r="C158" s="58">
        <f t="shared" si="15"/>
        <v>44537.2916666663</v>
      </c>
      <c r="D158" s="58">
        <f t="shared" si="13"/>
        <v>44537.333333332965</v>
      </c>
      <c r="E158" s="106">
        <f t="shared" si="14"/>
        <v>75</v>
      </c>
    </row>
    <row r="159" spans="1:5" x14ac:dyDescent="0.25">
      <c r="A159" s="17">
        <f t="shared" si="11"/>
        <v>44537</v>
      </c>
      <c r="B159" s="126">
        <f t="shared" si="12"/>
        <v>9</v>
      </c>
      <c r="C159" s="58">
        <f t="shared" si="15"/>
        <v>44537.333333332965</v>
      </c>
      <c r="D159" s="58">
        <f t="shared" si="13"/>
        <v>44537.374999999629</v>
      </c>
      <c r="E159" s="106">
        <f t="shared" si="14"/>
        <v>39.380000000000003</v>
      </c>
    </row>
    <row r="160" spans="1:5" x14ac:dyDescent="0.25">
      <c r="A160" s="17">
        <f t="shared" si="11"/>
        <v>44537</v>
      </c>
      <c r="B160" s="126">
        <f t="shared" si="12"/>
        <v>10</v>
      </c>
      <c r="C160" s="58">
        <f t="shared" si="15"/>
        <v>44537.374999999629</v>
      </c>
      <c r="D160" s="58">
        <f t="shared" si="13"/>
        <v>44537.416666666293</v>
      </c>
      <c r="E160" s="106">
        <f t="shared" si="14"/>
        <v>35</v>
      </c>
    </row>
    <row r="161" spans="1:5" x14ac:dyDescent="0.25">
      <c r="A161" s="17">
        <f t="shared" si="11"/>
        <v>44537</v>
      </c>
      <c r="B161" s="126">
        <f t="shared" si="12"/>
        <v>11</v>
      </c>
      <c r="C161" s="58">
        <f t="shared" si="15"/>
        <v>44537.416666666293</v>
      </c>
      <c r="D161" s="58">
        <f t="shared" si="13"/>
        <v>44537.458333332957</v>
      </c>
      <c r="E161" s="106">
        <f t="shared" si="14"/>
        <v>75</v>
      </c>
    </row>
    <row r="162" spans="1:5" x14ac:dyDescent="0.25">
      <c r="A162" s="17">
        <f t="shared" si="11"/>
        <v>44537</v>
      </c>
      <c r="B162" s="126">
        <f t="shared" si="12"/>
        <v>12</v>
      </c>
      <c r="C162" s="58">
        <f t="shared" si="15"/>
        <v>44537.458333332957</v>
      </c>
      <c r="D162" s="58">
        <f t="shared" si="13"/>
        <v>44537.499999999622</v>
      </c>
      <c r="E162" s="106">
        <f t="shared" si="14"/>
        <v>54.6</v>
      </c>
    </row>
    <row r="163" spans="1:5" x14ac:dyDescent="0.25">
      <c r="A163" s="17">
        <f t="shared" si="11"/>
        <v>44537</v>
      </c>
      <c r="B163" s="126">
        <f t="shared" si="12"/>
        <v>13</v>
      </c>
      <c r="C163" s="58">
        <f t="shared" si="15"/>
        <v>44537.499999999622</v>
      </c>
      <c r="D163" s="58">
        <f t="shared" si="13"/>
        <v>44537.541666666286</v>
      </c>
      <c r="E163" s="106">
        <f t="shared" si="14"/>
        <v>30</v>
      </c>
    </row>
    <row r="164" spans="1:5" x14ac:dyDescent="0.25">
      <c r="A164" s="17">
        <f t="shared" si="11"/>
        <v>44537</v>
      </c>
      <c r="B164" s="126">
        <f t="shared" si="12"/>
        <v>14</v>
      </c>
      <c r="C164" s="58">
        <f t="shared" si="15"/>
        <v>44537.541666666286</v>
      </c>
      <c r="D164" s="58">
        <f t="shared" si="13"/>
        <v>44537.58333333295</v>
      </c>
      <c r="E164" s="106">
        <f t="shared" si="14"/>
        <v>54</v>
      </c>
    </row>
    <row r="165" spans="1:5" x14ac:dyDescent="0.25">
      <c r="A165" s="17">
        <f t="shared" si="11"/>
        <v>44537</v>
      </c>
      <c r="B165" s="126">
        <f t="shared" si="12"/>
        <v>15</v>
      </c>
      <c r="C165" s="58">
        <f t="shared" si="15"/>
        <v>44537.58333333295</v>
      </c>
      <c r="D165" s="58">
        <f t="shared" si="13"/>
        <v>44537.624999999614</v>
      </c>
      <c r="E165" s="106">
        <f t="shared" si="14"/>
        <v>54</v>
      </c>
    </row>
    <row r="166" spans="1:5" x14ac:dyDescent="0.25">
      <c r="A166" s="17">
        <f t="shared" si="11"/>
        <v>44537</v>
      </c>
      <c r="B166" s="126">
        <f t="shared" si="12"/>
        <v>16</v>
      </c>
      <c r="C166" s="58">
        <f t="shared" si="15"/>
        <v>44537.624999999614</v>
      </c>
      <c r="D166" s="58">
        <f t="shared" si="13"/>
        <v>44537.666666666279</v>
      </c>
      <c r="E166" s="106">
        <f t="shared" si="14"/>
        <v>54</v>
      </c>
    </row>
    <row r="167" spans="1:5" x14ac:dyDescent="0.25">
      <c r="A167" s="17">
        <f t="shared" si="11"/>
        <v>44537</v>
      </c>
      <c r="B167" s="126">
        <f t="shared" si="12"/>
        <v>17</v>
      </c>
      <c r="C167" s="58">
        <f t="shared" si="15"/>
        <v>44537.666666666279</v>
      </c>
      <c r="D167" s="58">
        <f t="shared" si="13"/>
        <v>44537.708333332943</v>
      </c>
      <c r="E167" s="106">
        <f t="shared" si="14"/>
        <v>44.43</v>
      </c>
    </row>
    <row r="168" spans="1:5" x14ac:dyDescent="0.25">
      <c r="A168" s="17">
        <f t="shared" si="11"/>
        <v>44537</v>
      </c>
      <c r="B168" s="126">
        <f t="shared" si="12"/>
        <v>18</v>
      </c>
      <c r="C168" s="58">
        <f t="shared" si="15"/>
        <v>44537.708333332943</v>
      </c>
      <c r="D168" s="58">
        <f t="shared" si="13"/>
        <v>44537.749999999607</v>
      </c>
      <c r="E168" s="106">
        <f t="shared" si="14"/>
        <v>50</v>
      </c>
    </row>
    <row r="169" spans="1:5" x14ac:dyDescent="0.25">
      <c r="A169" s="17">
        <f t="shared" si="11"/>
        <v>44537</v>
      </c>
      <c r="B169" s="126">
        <f t="shared" si="12"/>
        <v>19</v>
      </c>
      <c r="C169" s="58">
        <f t="shared" si="15"/>
        <v>44537.749999999607</v>
      </c>
      <c r="D169" s="58">
        <f t="shared" si="13"/>
        <v>44537.791666666271</v>
      </c>
      <c r="E169" s="106">
        <f t="shared" si="14"/>
        <v>54</v>
      </c>
    </row>
    <row r="170" spans="1:5" x14ac:dyDescent="0.25">
      <c r="A170" s="17">
        <f t="shared" si="11"/>
        <v>44537</v>
      </c>
      <c r="B170" s="126">
        <f t="shared" si="12"/>
        <v>20</v>
      </c>
      <c r="C170" s="58">
        <f t="shared" si="15"/>
        <v>44537.791666666271</v>
      </c>
      <c r="D170" s="58">
        <f t="shared" si="13"/>
        <v>44537.833333332936</v>
      </c>
      <c r="E170" s="106">
        <f t="shared" si="14"/>
        <v>54</v>
      </c>
    </row>
    <row r="171" spans="1:5" x14ac:dyDescent="0.25">
      <c r="A171" s="17">
        <f t="shared" si="11"/>
        <v>44537</v>
      </c>
      <c r="B171" s="126">
        <f t="shared" si="12"/>
        <v>21</v>
      </c>
      <c r="C171" s="58">
        <f t="shared" si="15"/>
        <v>44537.833333332936</v>
      </c>
      <c r="D171" s="58">
        <f t="shared" si="13"/>
        <v>44537.8749999996</v>
      </c>
      <c r="E171" s="106">
        <f t="shared" si="14"/>
        <v>54</v>
      </c>
    </row>
    <row r="172" spans="1:5" x14ac:dyDescent="0.25">
      <c r="A172" s="17">
        <f t="shared" si="11"/>
        <v>44537</v>
      </c>
      <c r="B172" s="126">
        <f t="shared" si="12"/>
        <v>22</v>
      </c>
      <c r="C172" s="58">
        <f t="shared" si="15"/>
        <v>44537.8749999996</v>
      </c>
      <c r="D172" s="58">
        <f t="shared" si="13"/>
        <v>44537.916666666264</v>
      </c>
      <c r="E172" s="106">
        <f t="shared" si="14"/>
        <v>54</v>
      </c>
    </row>
    <row r="173" spans="1:5" x14ac:dyDescent="0.25">
      <c r="A173" s="17">
        <f t="shared" si="11"/>
        <v>44537</v>
      </c>
      <c r="B173" s="126">
        <f t="shared" si="12"/>
        <v>23</v>
      </c>
      <c r="C173" s="58">
        <f t="shared" si="15"/>
        <v>44537.916666666264</v>
      </c>
      <c r="D173" s="58">
        <f t="shared" si="13"/>
        <v>44537.958333332928</v>
      </c>
      <c r="E173" s="106">
        <f t="shared" si="14"/>
        <v>54</v>
      </c>
    </row>
    <row r="174" spans="1:5" x14ac:dyDescent="0.25">
      <c r="A174" s="17">
        <f t="shared" si="11"/>
        <v>44537</v>
      </c>
      <c r="B174" s="126">
        <f t="shared" si="12"/>
        <v>24</v>
      </c>
      <c r="C174" s="58">
        <f t="shared" si="15"/>
        <v>44537.958333332928</v>
      </c>
      <c r="D174" s="58">
        <f t="shared" si="13"/>
        <v>44537.999999999593</v>
      </c>
      <c r="E174" s="106">
        <f t="shared" si="14"/>
        <v>50.35</v>
      </c>
    </row>
    <row r="175" spans="1:5" x14ac:dyDescent="0.25">
      <c r="A175" s="17">
        <f t="shared" si="11"/>
        <v>44538</v>
      </c>
      <c r="B175" s="126">
        <f t="shared" si="12"/>
        <v>1</v>
      </c>
      <c r="C175" s="58">
        <f t="shared" si="15"/>
        <v>44537.999999999593</v>
      </c>
      <c r="D175" s="58">
        <f t="shared" si="13"/>
        <v>44538.041666666257</v>
      </c>
      <c r="E175" s="106">
        <f t="shared" si="14"/>
        <v>30</v>
      </c>
    </row>
    <row r="176" spans="1:5" x14ac:dyDescent="0.25">
      <c r="A176" s="17">
        <f t="shared" si="11"/>
        <v>44538</v>
      </c>
      <c r="B176" s="126">
        <f t="shared" si="12"/>
        <v>2</v>
      </c>
      <c r="C176" s="58">
        <f t="shared" si="15"/>
        <v>44538.041666666257</v>
      </c>
      <c r="D176" s="58">
        <f t="shared" si="13"/>
        <v>44538.083333332921</v>
      </c>
      <c r="E176" s="106">
        <f t="shared" si="14"/>
        <v>30</v>
      </c>
    </row>
    <row r="177" spans="1:5" x14ac:dyDescent="0.25">
      <c r="A177" s="17">
        <f t="shared" si="11"/>
        <v>44538</v>
      </c>
      <c r="B177" s="126">
        <f t="shared" si="12"/>
        <v>3</v>
      </c>
      <c r="C177" s="58">
        <f t="shared" si="15"/>
        <v>44538.083333332921</v>
      </c>
      <c r="D177" s="58">
        <f t="shared" si="13"/>
        <v>44538.124999999585</v>
      </c>
      <c r="E177" s="106">
        <f t="shared" si="14"/>
        <v>30</v>
      </c>
    </row>
    <row r="178" spans="1:5" x14ac:dyDescent="0.25">
      <c r="A178" s="17">
        <f t="shared" si="11"/>
        <v>44538</v>
      </c>
      <c r="B178" s="126">
        <f t="shared" si="12"/>
        <v>4</v>
      </c>
      <c r="C178" s="58">
        <f t="shared" si="15"/>
        <v>44538.124999999585</v>
      </c>
      <c r="D178" s="58">
        <f t="shared" si="13"/>
        <v>44538.16666666625</v>
      </c>
      <c r="E178" s="106">
        <f t="shared" si="14"/>
        <v>30</v>
      </c>
    </row>
    <row r="179" spans="1:5" x14ac:dyDescent="0.25">
      <c r="A179" s="17">
        <f t="shared" si="11"/>
        <v>44538</v>
      </c>
      <c r="B179" s="126">
        <f t="shared" si="12"/>
        <v>5</v>
      </c>
      <c r="C179" s="58">
        <f t="shared" si="15"/>
        <v>44538.16666666625</v>
      </c>
      <c r="D179" s="58">
        <f t="shared" si="13"/>
        <v>44538.208333332914</v>
      </c>
      <c r="E179" s="106">
        <f t="shared" si="14"/>
        <v>30</v>
      </c>
    </row>
    <row r="180" spans="1:5" x14ac:dyDescent="0.25">
      <c r="A180" s="17">
        <f t="shared" si="11"/>
        <v>44538</v>
      </c>
      <c r="B180" s="126">
        <f t="shared" si="12"/>
        <v>6</v>
      </c>
      <c r="C180" s="58">
        <f t="shared" si="15"/>
        <v>44538.208333332914</v>
      </c>
      <c r="D180" s="58">
        <f t="shared" si="13"/>
        <v>44538.249999999578</v>
      </c>
      <c r="E180" s="106">
        <f t="shared" si="14"/>
        <v>30</v>
      </c>
    </row>
    <row r="181" spans="1:5" x14ac:dyDescent="0.25">
      <c r="A181" s="17">
        <f t="shared" si="11"/>
        <v>44538</v>
      </c>
      <c r="B181" s="126">
        <f t="shared" si="12"/>
        <v>7</v>
      </c>
      <c r="C181" s="58">
        <f t="shared" si="15"/>
        <v>44538.249999999578</v>
      </c>
      <c r="D181" s="58">
        <f t="shared" si="13"/>
        <v>44538.291666666242</v>
      </c>
      <c r="E181" s="106">
        <f t="shared" si="14"/>
        <v>30</v>
      </c>
    </row>
    <row r="182" spans="1:5" x14ac:dyDescent="0.25">
      <c r="A182" s="17">
        <f t="shared" si="11"/>
        <v>44538</v>
      </c>
      <c r="B182" s="126">
        <f t="shared" si="12"/>
        <v>8</v>
      </c>
      <c r="C182" s="58">
        <f t="shared" si="15"/>
        <v>44538.291666666242</v>
      </c>
      <c r="D182" s="58">
        <f t="shared" si="13"/>
        <v>44538.333333332906</v>
      </c>
      <c r="E182" s="106">
        <f t="shared" si="14"/>
        <v>33.5</v>
      </c>
    </row>
    <row r="183" spans="1:5" x14ac:dyDescent="0.25">
      <c r="A183" s="17">
        <f t="shared" si="11"/>
        <v>44538</v>
      </c>
      <c r="B183" s="126">
        <f t="shared" si="12"/>
        <v>9</v>
      </c>
      <c r="C183" s="58">
        <f t="shared" si="15"/>
        <v>44538.333333332906</v>
      </c>
      <c r="D183" s="58">
        <f t="shared" si="13"/>
        <v>44538.374999999571</v>
      </c>
      <c r="E183" s="106">
        <f t="shared" si="14"/>
        <v>33.5</v>
      </c>
    </row>
    <row r="184" spans="1:5" x14ac:dyDescent="0.25">
      <c r="A184" s="17">
        <f t="shared" si="11"/>
        <v>44538</v>
      </c>
      <c r="B184" s="126">
        <f t="shared" si="12"/>
        <v>10</v>
      </c>
      <c r="C184" s="58">
        <f t="shared" si="15"/>
        <v>44538.374999999571</v>
      </c>
      <c r="D184" s="58">
        <f t="shared" si="13"/>
        <v>44538.416666666235</v>
      </c>
      <c r="E184" s="106">
        <f t="shared" si="14"/>
        <v>33.5</v>
      </c>
    </row>
    <row r="185" spans="1:5" x14ac:dyDescent="0.25">
      <c r="A185" s="17">
        <f t="shared" si="11"/>
        <v>44538</v>
      </c>
      <c r="B185" s="126">
        <f t="shared" si="12"/>
        <v>11</v>
      </c>
      <c r="C185" s="58">
        <f t="shared" si="15"/>
        <v>44538.416666666235</v>
      </c>
      <c r="D185" s="58">
        <f t="shared" si="13"/>
        <v>44538.458333332899</v>
      </c>
      <c r="E185" s="106">
        <f t="shared" si="14"/>
        <v>33.5</v>
      </c>
    </row>
    <row r="186" spans="1:5" x14ac:dyDescent="0.25">
      <c r="A186" s="17">
        <f t="shared" si="11"/>
        <v>44538</v>
      </c>
      <c r="B186" s="126">
        <f t="shared" si="12"/>
        <v>12</v>
      </c>
      <c r="C186" s="58">
        <f t="shared" si="15"/>
        <v>44538.458333332899</v>
      </c>
      <c r="D186" s="58">
        <f t="shared" si="13"/>
        <v>44538.499999999563</v>
      </c>
      <c r="E186" s="106">
        <f t="shared" si="14"/>
        <v>33.5</v>
      </c>
    </row>
    <row r="187" spans="1:5" x14ac:dyDescent="0.25">
      <c r="A187" s="17">
        <f t="shared" si="11"/>
        <v>44538</v>
      </c>
      <c r="B187" s="126">
        <f t="shared" si="12"/>
        <v>13</v>
      </c>
      <c r="C187" s="58">
        <f t="shared" si="15"/>
        <v>44538.499999999563</v>
      </c>
      <c r="D187" s="58">
        <f t="shared" si="13"/>
        <v>44538.541666666228</v>
      </c>
      <c r="E187" s="106">
        <f t="shared" si="14"/>
        <v>33.5</v>
      </c>
    </row>
    <row r="188" spans="1:5" x14ac:dyDescent="0.25">
      <c r="A188" s="17">
        <f t="shared" si="11"/>
        <v>44538</v>
      </c>
      <c r="B188" s="126">
        <f t="shared" si="12"/>
        <v>14</v>
      </c>
      <c r="C188" s="58">
        <f t="shared" si="15"/>
        <v>44538.541666666228</v>
      </c>
      <c r="D188" s="58">
        <f t="shared" si="13"/>
        <v>44538.583333332892</v>
      </c>
      <c r="E188" s="106">
        <f t="shared" si="14"/>
        <v>33.5</v>
      </c>
    </row>
    <row r="189" spans="1:5" x14ac:dyDescent="0.25">
      <c r="A189" s="17">
        <f t="shared" si="11"/>
        <v>44538</v>
      </c>
      <c r="B189" s="126">
        <f t="shared" si="12"/>
        <v>15</v>
      </c>
      <c r="C189" s="58">
        <f t="shared" si="15"/>
        <v>44538.583333332892</v>
      </c>
      <c r="D189" s="58">
        <f t="shared" si="13"/>
        <v>44538.624999999556</v>
      </c>
      <c r="E189" s="106">
        <f t="shared" si="14"/>
        <v>33.5</v>
      </c>
    </row>
    <row r="190" spans="1:5" x14ac:dyDescent="0.25">
      <c r="A190" s="17">
        <f t="shared" si="11"/>
        <v>44538</v>
      </c>
      <c r="B190" s="126">
        <f t="shared" si="12"/>
        <v>16</v>
      </c>
      <c r="C190" s="58">
        <f t="shared" si="15"/>
        <v>44538.624999999556</v>
      </c>
      <c r="D190" s="58">
        <f t="shared" si="13"/>
        <v>44538.66666666622</v>
      </c>
      <c r="E190" s="106">
        <f t="shared" si="14"/>
        <v>33.5</v>
      </c>
    </row>
    <row r="191" spans="1:5" x14ac:dyDescent="0.25">
      <c r="A191" s="17">
        <f t="shared" si="11"/>
        <v>44538</v>
      </c>
      <c r="B191" s="126">
        <f t="shared" si="12"/>
        <v>17</v>
      </c>
      <c r="C191" s="58">
        <f t="shared" si="15"/>
        <v>44538.66666666622</v>
      </c>
      <c r="D191" s="58">
        <f t="shared" si="13"/>
        <v>44538.708333332885</v>
      </c>
      <c r="E191" s="106">
        <f t="shared" si="14"/>
        <v>33.5</v>
      </c>
    </row>
    <row r="192" spans="1:5" x14ac:dyDescent="0.25">
      <c r="A192" s="17">
        <f t="shared" si="11"/>
        <v>44538</v>
      </c>
      <c r="B192" s="126">
        <f t="shared" si="12"/>
        <v>18</v>
      </c>
      <c r="C192" s="58">
        <f t="shared" si="15"/>
        <v>44538.708333332885</v>
      </c>
      <c r="D192" s="58">
        <f t="shared" si="13"/>
        <v>44538.749999999549</v>
      </c>
      <c r="E192" s="106">
        <f t="shared" si="14"/>
        <v>33.5</v>
      </c>
    </row>
    <row r="193" spans="1:5" x14ac:dyDescent="0.25">
      <c r="A193" s="17">
        <f t="shared" si="11"/>
        <v>44538</v>
      </c>
      <c r="B193" s="126">
        <f t="shared" si="12"/>
        <v>19</v>
      </c>
      <c r="C193" s="58">
        <f t="shared" si="15"/>
        <v>44538.749999999549</v>
      </c>
      <c r="D193" s="58">
        <f t="shared" si="13"/>
        <v>44538.791666666213</v>
      </c>
      <c r="E193" s="106">
        <f t="shared" si="14"/>
        <v>33.5</v>
      </c>
    </row>
    <row r="194" spans="1:5" x14ac:dyDescent="0.25">
      <c r="A194" s="17">
        <f t="shared" si="11"/>
        <v>44538</v>
      </c>
      <c r="B194" s="126">
        <f t="shared" si="12"/>
        <v>20</v>
      </c>
      <c r="C194" s="58">
        <f t="shared" si="15"/>
        <v>44538.791666666213</v>
      </c>
      <c r="D194" s="58">
        <f t="shared" si="13"/>
        <v>44538.833333332877</v>
      </c>
      <c r="E194" s="106">
        <f t="shared" si="14"/>
        <v>33.5</v>
      </c>
    </row>
    <row r="195" spans="1:5" x14ac:dyDescent="0.25">
      <c r="A195" s="17">
        <f t="shared" si="11"/>
        <v>44538</v>
      </c>
      <c r="B195" s="126">
        <f t="shared" si="12"/>
        <v>21</v>
      </c>
      <c r="C195" s="58">
        <f t="shared" si="15"/>
        <v>44538.833333332877</v>
      </c>
      <c r="D195" s="58">
        <f t="shared" si="13"/>
        <v>44538.874999999542</v>
      </c>
      <c r="E195" s="106">
        <f t="shared" si="14"/>
        <v>33.5</v>
      </c>
    </row>
    <row r="196" spans="1:5" x14ac:dyDescent="0.25">
      <c r="A196" s="17">
        <f t="shared" si="11"/>
        <v>44538</v>
      </c>
      <c r="B196" s="126">
        <f t="shared" si="12"/>
        <v>22</v>
      </c>
      <c r="C196" s="58">
        <f t="shared" si="15"/>
        <v>44538.874999999542</v>
      </c>
      <c r="D196" s="58">
        <f t="shared" si="13"/>
        <v>44538.916666666206</v>
      </c>
      <c r="E196" s="106">
        <f t="shared" si="14"/>
        <v>33.5</v>
      </c>
    </row>
    <row r="197" spans="1:5" x14ac:dyDescent="0.25">
      <c r="A197" s="17">
        <f t="shared" si="11"/>
        <v>44538</v>
      </c>
      <c r="B197" s="126">
        <f t="shared" si="12"/>
        <v>23</v>
      </c>
      <c r="C197" s="58">
        <f t="shared" si="15"/>
        <v>44538.916666666206</v>
      </c>
      <c r="D197" s="58">
        <f t="shared" si="13"/>
        <v>44538.95833333287</v>
      </c>
      <c r="E197" s="106">
        <f t="shared" si="14"/>
        <v>33.5</v>
      </c>
    </row>
    <row r="198" spans="1:5" x14ac:dyDescent="0.25">
      <c r="A198" s="17">
        <f t="shared" si="11"/>
        <v>44538</v>
      </c>
      <c r="B198" s="126">
        <f t="shared" si="12"/>
        <v>24</v>
      </c>
      <c r="C198" s="58">
        <f t="shared" si="15"/>
        <v>44538.95833333287</v>
      </c>
      <c r="D198" s="58">
        <f t="shared" si="13"/>
        <v>44538.999999999534</v>
      </c>
      <c r="E198" s="106">
        <f t="shared" si="14"/>
        <v>30</v>
      </c>
    </row>
    <row r="199" spans="1:5" x14ac:dyDescent="0.25">
      <c r="A199" s="17">
        <f t="shared" si="11"/>
        <v>44539</v>
      </c>
      <c r="B199" s="126">
        <f t="shared" si="12"/>
        <v>1</v>
      </c>
      <c r="C199" s="58">
        <f t="shared" si="15"/>
        <v>44538.999999999534</v>
      </c>
      <c r="D199" s="58">
        <f t="shared" si="13"/>
        <v>44539.041666666199</v>
      </c>
      <c r="E199" s="106">
        <f t="shared" si="14"/>
        <v>34</v>
      </c>
    </row>
    <row r="200" spans="1:5" x14ac:dyDescent="0.25">
      <c r="A200" s="17">
        <f t="shared" ref="A200:A263" si="16">DATE(YEAR(C200),MONTH(C200),DAY(C200))</f>
        <v>44539</v>
      </c>
      <c r="B200" s="126">
        <f t="shared" ref="B200:B263" si="17">HOUR(C200)+1</f>
        <v>2</v>
      </c>
      <c r="C200" s="58">
        <f t="shared" si="15"/>
        <v>44539.041666666199</v>
      </c>
      <c r="D200" s="58">
        <f t="shared" ref="D200:D263" si="18">$C200+1/24</f>
        <v>44539.083333332863</v>
      </c>
      <c r="E200" s="106">
        <f t="shared" ref="E200:E263" si="19">VLOOKUP(A200,$K$6:$AI$36,B200+1,FALSE)</f>
        <v>34</v>
      </c>
    </row>
    <row r="201" spans="1:5" x14ac:dyDescent="0.25">
      <c r="A201" s="17">
        <f t="shared" si="16"/>
        <v>44539</v>
      </c>
      <c r="B201" s="126">
        <f t="shared" si="17"/>
        <v>3</v>
      </c>
      <c r="C201" s="58">
        <f t="shared" ref="C201:C264" si="20">$C200+1/24</f>
        <v>44539.083333332863</v>
      </c>
      <c r="D201" s="58">
        <f t="shared" si="18"/>
        <v>44539.124999999527</v>
      </c>
      <c r="E201" s="106">
        <f t="shared" si="19"/>
        <v>34</v>
      </c>
    </row>
    <row r="202" spans="1:5" x14ac:dyDescent="0.25">
      <c r="A202" s="17">
        <f t="shared" si="16"/>
        <v>44539</v>
      </c>
      <c r="B202" s="126">
        <f t="shared" si="17"/>
        <v>4</v>
      </c>
      <c r="C202" s="58">
        <f t="shared" si="20"/>
        <v>44539.124999999527</v>
      </c>
      <c r="D202" s="58">
        <f t="shared" si="18"/>
        <v>44539.166666666191</v>
      </c>
      <c r="E202" s="106">
        <f t="shared" si="19"/>
        <v>34</v>
      </c>
    </row>
    <row r="203" spans="1:5" x14ac:dyDescent="0.25">
      <c r="A203" s="17">
        <f t="shared" si="16"/>
        <v>44539</v>
      </c>
      <c r="B203" s="126">
        <f t="shared" si="17"/>
        <v>5</v>
      </c>
      <c r="C203" s="58">
        <f t="shared" si="20"/>
        <v>44539.166666666191</v>
      </c>
      <c r="D203" s="58">
        <f t="shared" si="18"/>
        <v>44539.208333332856</v>
      </c>
      <c r="E203" s="106">
        <f t="shared" si="19"/>
        <v>30</v>
      </c>
    </row>
    <row r="204" spans="1:5" x14ac:dyDescent="0.25">
      <c r="A204" s="17">
        <f t="shared" si="16"/>
        <v>44539</v>
      </c>
      <c r="B204" s="126">
        <f t="shared" si="17"/>
        <v>6</v>
      </c>
      <c r="C204" s="58">
        <f t="shared" si="20"/>
        <v>44539.208333332856</v>
      </c>
      <c r="D204" s="58">
        <f t="shared" si="18"/>
        <v>44539.24999999952</v>
      </c>
      <c r="E204" s="106">
        <f t="shared" si="19"/>
        <v>30</v>
      </c>
    </row>
    <row r="205" spans="1:5" x14ac:dyDescent="0.25">
      <c r="A205" s="17">
        <f t="shared" si="16"/>
        <v>44539</v>
      </c>
      <c r="B205" s="126">
        <f t="shared" si="17"/>
        <v>7</v>
      </c>
      <c r="C205" s="58">
        <f t="shared" si="20"/>
        <v>44539.24999999952</v>
      </c>
      <c r="D205" s="58">
        <f t="shared" si="18"/>
        <v>44539.291666666184</v>
      </c>
      <c r="E205" s="106">
        <f t="shared" si="19"/>
        <v>38</v>
      </c>
    </row>
    <row r="206" spans="1:5" x14ac:dyDescent="0.25">
      <c r="A206" s="17">
        <f t="shared" si="16"/>
        <v>44539</v>
      </c>
      <c r="B206" s="126">
        <f t="shared" si="17"/>
        <v>8</v>
      </c>
      <c r="C206" s="58">
        <f t="shared" si="20"/>
        <v>44539.291666666184</v>
      </c>
      <c r="D206" s="58">
        <f t="shared" si="18"/>
        <v>44539.333333332848</v>
      </c>
      <c r="E206" s="106">
        <f t="shared" si="19"/>
        <v>35</v>
      </c>
    </row>
    <row r="207" spans="1:5" x14ac:dyDescent="0.25">
      <c r="A207" s="17">
        <f t="shared" si="16"/>
        <v>44539</v>
      </c>
      <c r="B207" s="126">
        <f t="shared" si="17"/>
        <v>9</v>
      </c>
      <c r="C207" s="58">
        <f t="shared" si="20"/>
        <v>44539.333333332848</v>
      </c>
      <c r="D207" s="58">
        <f t="shared" si="18"/>
        <v>44539.374999999513</v>
      </c>
      <c r="E207" s="106">
        <f t="shared" si="19"/>
        <v>35</v>
      </c>
    </row>
    <row r="208" spans="1:5" x14ac:dyDescent="0.25">
      <c r="A208" s="17">
        <f t="shared" si="16"/>
        <v>44539</v>
      </c>
      <c r="B208" s="126">
        <f t="shared" si="17"/>
        <v>10</v>
      </c>
      <c r="C208" s="58">
        <f t="shared" si="20"/>
        <v>44539.374999999513</v>
      </c>
      <c r="D208" s="58">
        <f t="shared" si="18"/>
        <v>44539.416666666177</v>
      </c>
      <c r="E208" s="106">
        <f t="shared" si="19"/>
        <v>30</v>
      </c>
    </row>
    <row r="209" spans="1:5" x14ac:dyDescent="0.25">
      <c r="A209" s="17">
        <f t="shared" si="16"/>
        <v>44539</v>
      </c>
      <c r="B209" s="126">
        <f t="shared" si="17"/>
        <v>11</v>
      </c>
      <c r="C209" s="58">
        <f t="shared" si="20"/>
        <v>44539.416666666177</v>
      </c>
      <c r="D209" s="58">
        <f t="shared" si="18"/>
        <v>44539.458333332841</v>
      </c>
      <c r="E209" s="106">
        <f t="shared" si="19"/>
        <v>45.21</v>
      </c>
    </row>
    <row r="210" spans="1:5" x14ac:dyDescent="0.25">
      <c r="A210" s="17">
        <f t="shared" si="16"/>
        <v>44539</v>
      </c>
      <c r="B210" s="126">
        <f t="shared" si="17"/>
        <v>12</v>
      </c>
      <c r="C210" s="58">
        <f t="shared" si="20"/>
        <v>44539.458333332841</v>
      </c>
      <c r="D210" s="58">
        <f t="shared" si="18"/>
        <v>44539.499999999505</v>
      </c>
      <c r="E210" s="106">
        <f t="shared" si="19"/>
        <v>45.21</v>
      </c>
    </row>
    <row r="211" spans="1:5" x14ac:dyDescent="0.25">
      <c r="A211" s="17">
        <f t="shared" si="16"/>
        <v>44539</v>
      </c>
      <c r="B211" s="126">
        <f t="shared" si="17"/>
        <v>13</v>
      </c>
      <c r="C211" s="58">
        <f t="shared" si="20"/>
        <v>44539.499999999505</v>
      </c>
      <c r="D211" s="58">
        <f t="shared" si="18"/>
        <v>44539.541666666169</v>
      </c>
      <c r="E211" s="106">
        <f t="shared" si="19"/>
        <v>45.21</v>
      </c>
    </row>
    <row r="212" spans="1:5" x14ac:dyDescent="0.25">
      <c r="A212" s="17">
        <f t="shared" si="16"/>
        <v>44539</v>
      </c>
      <c r="B212" s="126">
        <f t="shared" si="17"/>
        <v>14</v>
      </c>
      <c r="C212" s="58">
        <f t="shared" si="20"/>
        <v>44539.541666666169</v>
      </c>
      <c r="D212" s="58">
        <f t="shared" si="18"/>
        <v>44539.583333332834</v>
      </c>
      <c r="E212" s="106">
        <f t="shared" si="19"/>
        <v>45.21</v>
      </c>
    </row>
    <row r="213" spans="1:5" x14ac:dyDescent="0.25">
      <c r="A213" s="17">
        <f t="shared" si="16"/>
        <v>44539</v>
      </c>
      <c r="B213" s="126">
        <f t="shared" si="17"/>
        <v>15</v>
      </c>
      <c r="C213" s="58">
        <f t="shared" si="20"/>
        <v>44539.583333332834</v>
      </c>
      <c r="D213" s="58">
        <f t="shared" si="18"/>
        <v>44539.624999999498</v>
      </c>
      <c r="E213" s="106">
        <f t="shared" si="19"/>
        <v>45.21</v>
      </c>
    </row>
    <row r="214" spans="1:5" x14ac:dyDescent="0.25">
      <c r="A214" s="17">
        <f t="shared" si="16"/>
        <v>44539</v>
      </c>
      <c r="B214" s="126">
        <f t="shared" si="17"/>
        <v>16</v>
      </c>
      <c r="C214" s="58">
        <f t="shared" si="20"/>
        <v>44539.624999999498</v>
      </c>
      <c r="D214" s="58">
        <f t="shared" si="18"/>
        <v>44539.666666666162</v>
      </c>
      <c r="E214" s="106">
        <f t="shared" si="19"/>
        <v>50</v>
      </c>
    </row>
    <row r="215" spans="1:5" x14ac:dyDescent="0.25">
      <c r="A215" s="17">
        <f t="shared" si="16"/>
        <v>44539</v>
      </c>
      <c r="B215" s="126">
        <f t="shared" si="17"/>
        <v>17</v>
      </c>
      <c r="C215" s="58">
        <f t="shared" si="20"/>
        <v>44539.666666666162</v>
      </c>
      <c r="D215" s="58">
        <f t="shared" si="18"/>
        <v>44539.708333332826</v>
      </c>
      <c r="E215" s="106">
        <f t="shared" si="19"/>
        <v>34</v>
      </c>
    </row>
    <row r="216" spans="1:5" x14ac:dyDescent="0.25">
      <c r="A216" s="17">
        <f t="shared" si="16"/>
        <v>44539</v>
      </c>
      <c r="B216" s="126">
        <f t="shared" si="17"/>
        <v>18</v>
      </c>
      <c r="C216" s="58">
        <f t="shared" si="20"/>
        <v>44539.708333332826</v>
      </c>
      <c r="D216" s="58">
        <f t="shared" si="18"/>
        <v>44539.749999999491</v>
      </c>
      <c r="E216" s="106">
        <f t="shared" si="19"/>
        <v>50</v>
      </c>
    </row>
    <row r="217" spans="1:5" x14ac:dyDescent="0.25">
      <c r="A217" s="17">
        <f t="shared" si="16"/>
        <v>44539</v>
      </c>
      <c r="B217" s="126">
        <f t="shared" si="17"/>
        <v>19</v>
      </c>
      <c r="C217" s="58">
        <f t="shared" si="20"/>
        <v>44539.749999999491</v>
      </c>
      <c r="D217" s="58">
        <f t="shared" si="18"/>
        <v>44539.791666666155</v>
      </c>
      <c r="E217" s="106">
        <f t="shared" si="19"/>
        <v>52.5</v>
      </c>
    </row>
    <row r="218" spans="1:5" x14ac:dyDescent="0.25">
      <c r="A218" s="17">
        <f t="shared" si="16"/>
        <v>44539</v>
      </c>
      <c r="B218" s="126">
        <f t="shared" si="17"/>
        <v>20</v>
      </c>
      <c r="C218" s="58">
        <f t="shared" si="20"/>
        <v>44539.791666666155</v>
      </c>
      <c r="D218" s="58">
        <f t="shared" si="18"/>
        <v>44539.833333332819</v>
      </c>
      <c r="E218" s="106">
        <f t="shared" si="19"/>
        <v>60</v>
      </c>
    </row>
    <row r="219" spans="1:5" x14ac:dyDescent="0.25">
      <c r="A219" s="17">
        <f t="shared" si="16"/>
        <v>44539</v>
      </c>
      <c r="B219" s="126">
        <f t="shared" si="17"/>
        <v>21</v>
      </c>
      <c r="C219" s="58">
        <f t="shared" si="20"/>
        <v>44539.833333332819</v>
      </c>
      <c r="D219" s="58">
        <f t="shared" si="18"/>
        <v>44539.874999999483</v>
      </c>
      <c r="E219" s="106">
        <f t="shared" si="19"/>
        <v>45.21</v>
      </c>
    </row>
    <row r="220" spans="1:5" x14ac:dyDescent="0.25">
      <c r="A220" s="17">
        <f t="shared" si="16"/>
        <v>44539</v>
      </c>
      <c r="B220" s="126">
        <f t="shared" si="17"/>
        <v>22</v>
      </c>
      <c r="C220" s="58">
        <f t="shared" si="20"/>
        <v>44539.874999999483</v>
      </c>
      <c r="D220" s="58">
        <f t="shared" si="18"/>
        <v>44539.916666666148</v>
      </c>
      <c r="E220" s="106">
        <f t="shared" si="19"/>
        <v>45.21</v>
      </c>
    </row>
    <row r="221" spans="1:5" x14ac:dyDescent="0.25">
      <c r="A221" s="17">
        <f t="shared" si="16"/>
        <v>44539</v>
      </c>
      <c r="B221" s="126">
        <f t="shared" si="17"/>
        <v>23</v>
      </c>
      <c r="C221" s="58">
        <f t="shared" si="20"/>
        <v>44539.916666666148</v>
      </c>
      <c r="D221" s="58">
        <f t="shared" si="18"/>
        <v>44539.958333332812</v>
      </c>
      <c r="E221" s="106">
        <f t="shared" si="19"/>
        <v>45.21</v>
      </c>
    </row>
    <row r="222" spans="1:5" x14ac:dyDescent="0.25">
      <c r="A222" s="17">
        <f t="shared" si="16"/>
        <v>44539</v>
      </c>
      <c r="B222" s="126">
        <f t="shared" si="17"/>
        <v>24</v>
      </c>
      <c r="C222" s="58">
        <f t="shared" si="20"/>
        <v>44539.958333332812</v>
      </c>
      <c r="D222" s="58">
        <f t="shared" si="18"/>
        <v>44539.999999999476</v>
      </c>
      <c r="E222" s="106">
        <f t="shared" si="19"/>
        <v>34</v>
      </c>
    </row>
    <row r="223" spans="1:5" x14ac:dyDescent="0.25">
      <c r="A223" s="17">
        <f t="shared" si="16"/>
        <v>44540</v>
      </c>
      <c r="B223" s="126">
        <f t="shared" si="17"/>
        <v>1</v>
      </c>
      <c r="C223" s="58">
        <f t="shared" si="20"/>
        <v>44539.999999999476</v>
      </c>
      <c r="D223" s="58">
        <f t="shared" si="18"/>
        <v>44540.04166666614</v>
      </c>
      <c r="E223" s="106">
        <f t="shared" si="19"/>
        <v>37.979999999999997</v>
      </c>
    </row>
    <row r="224" spans="1:5" x14ac:dyDescent="0.25">
      <c r="A224" s="17">
        <f t="shared" si="16"/>
        <v>44540</v>
      </c>
      <c r="B224" s="126">
        <f t="shared" si="17"/>
        <v>2</v>
      </c>
      <c r="C224" s="58">
        <f t="shared" si="20"/>
        <v>44540.04166666614</v>
      </c>
      <c r="D224" s="58">
        <f t="shared" si="18"/>
        <v>44540.083333332805</v>
      </c>
      <c r="E224" s="106">
        <f t="shared" si="19"/>
        <v>37.979999999999997</v>
      </c>
    </row>
    <row r="225" spans="1:5" x14ac:dyDescent="0.25">
      <c r="A225" s="17">
        <f t="shared" si="16"/>
        <v>44540</v>
      </c>
      <c r="B225" s="126">
        <f t="shared" si="17"/>
        <v>3</v>
      </c>
      <c r="C225" s="58">
        <f t="shared" si="20"/>
        <v>44540.083333332805</v>
      </c>
      <c r="D225" s="58">
        <f t="shared" si="18"/>
        <v>44540.124999999469</v>
      </c>
      <c r="E225" s="106">
        <f t="shared" si="19"/>
        <v>37.979999999999997</v>
      </c>
    </row>
    <row r="226" spans="1:5" x14ac:dyDescent="0.25">
      <c r="A226" s="17">
        <f t="shared" si="16"/>
        <v>44540</v>
      </c>
      <c r="B226" s="126">
        <f t="shared" si="17"/>
        <v>4</v>
      </c>
      <c r="C226" s="58">
        <f t="shared" si="20"/>
        <v>44540.124999999469</v>
      </c>
      <c r="D226" s="58">
        <f t="shared" si="18"/>
        <v>44540.166666666133</v>
      </c>
      <c r="E226" s="106">
        <f t="shared" si="19"/>
        <v>37.979999999999997</v>
      </c>
    </row>
    <row r="227" spans="1:5" x14ac:dyDescent="0.25">
      <c r="A227" s="17">
        <f t="shared" si="16"/>
        <v>44540</v>
      </c>
      <c r="B227" s="126">
        <f t="shared" si="17"/>
        <v>5</v>
      </c>
      <c r="C227" s="58">
        <f t="shared" si="20"/>
        <v>44540.166666666133</v>
      </c>
      <c r="D227" s="58">
        <f t="shared" si="18"/>
        <v>44540.208333332797</v>
      </c>
      <c r="E227" s="106">
        <f t="shared" si="19"/>
        <v>28</v>
      </c>
    </row>
    <row r="228" spans="1:5" x14ac:dyDescent="0.25">
      <c r="A228" s="17">
        <f t="shared" si="16"/>
        <v>44540</v>
      </c>
      <c r="B228" s="126">
        <f t="shared" si="17"/>
        <v>6</v>
      </c>
      <c r="C228" s="58">
        <f t="shared" si="20"/>
        <v>44540.208333332797</v>
      </c>
      <c r="D228" s="58">
        <f t="shared" si="18"/>
        <v>44540.249999999462</v>
      </c>
      <c r="E228" s="106">
        <f t="shared" si="19"/>
        <v>28</v>
      </c>
    </row>
    <row r="229" spans="1:5" x14ac:dyDescent="0.25">
      <c r="A229" s="17">
        <f t="shared" si="16"/>
        <v>44540</v>
      </c>
      <c r="B229" s="126">
        <f t="shared" si="17"/>
        <v>7</v>
      </c>
      <c r="C229" s="58">
        <f t="shared" si="20"/>
        <v>44540.249999999462</v>
      </c>
      <c r="D229" s="58">
        <f t="shared" si="18"/>
        <v>44540.291666666126</v>
      </c>
      <c r="E229" s="106">
        <f t="shared" si="19"/>
        <v>30</v>
      </c>
    </row>
    <row r="230" spans="1:5" x14ac:dyDescent="0.25">
      <c r="A230" s="17">
        <f t="shared" si="16"/>
        <v>44540</v>
      </c>
      <c r="B230" s="126">
        <f t="shared" si="17"/>
        <v>8</v>
      </c>
      <c r="C230" s="58">
        <f t="shared" si="20"/>
        <v>44540.291666666126</v>
      </c>
      <c r="D230" s="58">
        <f t="shared" si="18"/>
        <v>44540.33333333279</v>
      </c>
      <c r="E230" s="106">
        <f t="shared" si="19"/>
        <v>35</v>
      </c>
    </row>
    <row r="231" spans="1:5" x14ac:dyDescent="0.25">
      <c r="A231" s="17">
        <f t="shared" si="16"/>
        <v>44540</v>
      </c>
      <c r="B231" s="126">
        <f t="shared" si="17"/>
        <v>9</v>
      </c>
      <c r="C231" s="58">
        <f t="shared" si="20"/>
        <v>44540.33333333279</v>
      </c>
      <c r="D231" s="58">
        <f t="shared" si="18"/>
        <v>44540.374999999454</v>
      </c>
      <c r="E231" s="106">
        <f t="shared" si="19"/>
        <v>35.33</v>
      </c>
    </row>
    <row r="232" spans="1:5" x14ac:dyDescent="0.25">
      <c r="A232" s="17">
        <f t="shared" si="16"/>
        <v>44540</v>
      </c>
      <c r="B232" s="126">
        <f t="shared" si="17"/>
        <v>10</v>
      </c>
      <c r="C232" s="58">
        <f t="shared" si="20"/>
        <v>44540.374999999454</v>
      </c>
      <c r="D232" s="58">
        <f t="shared" si="18"/>
        <v>44540.416666666119</v>
      </c>
      <c r="E232" s="106">
        <f t="shared" si="19"/>
        <v>35.33</v>
      </c>
    </row>
    <row r="233" spans="1:5" x14ac:dyDescent="0.25">
      <c r="A233" s="17">
        <f t="shared" si="16"/>
        <v>44540</v>
      </c>
      <c r="B233" s="126">
        <f t="shared" si="17"/>
        <v>11</v>
      </c>
      <c r="C233" s="58">
        <f t="shared" si="20"/>
        <v>44540.416666666119</v>
      </c>
      <c r="D233" s="58">
        <f t="shared" si="18"/>
        <v>44540.458333332783</v>
      </c>
      <c r="E233" s="106">
        <f t="shared" si="19"/>
        <v>32</v>
      </c>
    </row>
    <row r="234" spans="1:5" x14ac:dyDescent="0.25">
      <c r="A234" s="17">
        <f t="shared" si="16"/>
        <v>44540</v>
      </c>
      <c r="B234" s="126">
        <f t="shared" si="17"/>
        <v>12</v>
      </c>
      <c r="C234" s="58">
        <f t="shared" si="20"/>
        <v>44540.458333332783</v>
      </c>
      <c r="D234" s="58">
        <f t="shared" si="18"/>
        <v>44540.499999999447</v>
      </c>
      <c r="E234" s="106">
        <f t="shared" si="19"/>
        <v>37.979999999999997</v>
      </c>
    </row>
    <row r="235" spans="1:5" x14ac:dyDescent="0.25">
      <c r="A235" s="17">
        <f t="shared" si="16"/>
        <v>44540</v>
      </c>
      <c r="B235" s="126">
        <f t="shared" si="17"/>
        <v>13</v>
      </c>
      <c r="C235" s="58">
        <f t="shared" si="20"/>
        <v>44540.499999999447</v>
      </c>
      <c r="D235" s="58">
        <f t="shared" si="18"/>
        <v>44540.541666666111</v>
      </c>
      <c r="E235" s="106">
        <f t="shared" si="19"/>
        <v>37.979999999999997</v>
      </c>
    </row>
    <row r="236" spans="1:5" x14ac:dyDescent="0.25">
      <c r="A236" s="17">
        <f t="shared" si="16"/>
        <v>44540</v>
      </c>
      <c r="B236" s="126">
        <f t="shared" si="17"/>
        <v>14</v>
      </c>
      <c r="C236" s="58">
        <f t="shared" si="20"/>
        <v>44540.541666666111</v>
      </c>
      <c r="D236" s="58">
        <f t="shared" si="18"/>
        <v>44540.583333332776</v>
      </c>
      <c r="E236" s="106">
        <f t="shared" si="19"/>
        <v>37.979999999999997</v>
      </c>
    </row>
    <row r="237" spans="1:5" x14ac:dyDescent="0.25">
      <c r="A237" s="17">
        <f t="shared" si="16"/>
        <v>44540</v>
      </c>
      <c r="B237" s="126">
        <f t="shared" si="17"/>
        <v>15</v>
      </c>
      <c r="C237" s="58">
        <f t="shared" si="20"/>
        <v>44540.583333332776</v>
      </c>
      <c r="D237" s="58">
        <f t="shared" si="18"/>
        <v>44540.62499999944</v>
      </c>
      <c r="E237" s="106">
        <f t="shared" si="19"/>
        <v>37.979999999999997</v>
      </c>
    </row>
    <row r="238" spans="1:5" x14ac:dyDescent="0.25">
      <c r="A238" s="17">
        <f t="shared" si="16"/>
        <v>44540</v>
      </c>
      <c r="B238" s="126">
        <f t="shared" si="17"/>
        <v>16</v>
      </c>
      <c r="C238" s="58">
        <f t="shared" si="20"/>
        <v>44540.62499999944</v>
      </c>
      <c r="D238" s="58">
        <f t="shared" si="18"/>
        <v>44540.666666666104</v>
      </c>
      <c r="E238" s="106">
        <f t="shared" si="19"/>
        <v>37.979999999999997</v>
      </c>
    </row>
    <row r="239" spans="1:5" x14ac:dyDescent="0.25">
      <c r="A239" s="17">
        <f t="shared" si="16"/>
        <v>44540</v>
      </c>
      <c r="B239" s="126">
        <f t="shared" si="17"/>
        <v>17</v>
      </c>
      <c r="C239" s="58">
        <f t="shared" si="20"/>
        <v>44540.666666666104</v>
      </c>
      <c r="D239" s="58">
        <f t="shared" si="18"/>
        <v>44540.708333332768</v>
      </c>
      <c r="E239" s="106">
        <f t="shared" si="19"/>
        <v>36</v>
      </c>
    </row>
    <row r="240" spans="1:5" x14ac:dyDescent="0.25">
      <c r="A240" s="17">
        <f t="shared" si="16"/>
        <v>44540</v>
      </c>
      <c r="B240" s="126">
        <f t="shared" si="17"/>
        <v>18</v>
      </c>
      <c r="C240" s="58">
        <f t="shared" si="20"/>
        <v>44540.708333332768</v>
      </c>
      <c r="D240" s="58">
        <f t="shared" si="18"/>
        <v>44540.749999999432</v>
      </c>
      <c r="E240" s="106">
        <f t="shared" si="19"/>
        <v>43.2</v>
      </c>
    </row>
    <row r="241" spans="1:5" x14ac:dyDescent="0.25">
      <c r="A241" s="17">
        <f t="shared" si="16"/>
        <v>44540</v>
      </c>
      <c r="B241" s="126">
        <f t="shared" si="17"/>
        <v>19</v>
      </c>
      <c r="C241" s="58">
        <f t="shared" si="20"/>
        <v>44540.749999999432</v>
      </c>
      <c r="D241" s="58">
        <f t="shared" si="18"/>
        <v>44540.791666666097</v>
      </c>
      <c r="E241" s="106">
        <f t="shared" si="19"/>
        <v>48.67</v>
      </c>
    </row>
    <row r="242" spans="1:5" x14ac:dyDescent="0.25">
      <c r="A242" s="17">
        <f t="shared" si="16"/>
        <v>44540</v>
      </c>
      <c r="B242" s="126">
        <f t="shared" si="17"/>
        <v>20</v>
      </c>
      <c r="C242" s="58">
        <f t="shared" si="20"/>
        <v>44540.791666666097</v>
      </c>
      <c r="D242" s="58">
        <f t="shared" si="18"/>
        <v>44540.833333332761</v>
      </c>
      <c r="E242" s="106">
        <f t="shared" si="19"/>
        <v>55</v>
      </c>
    </row>
    <row r="243" spans="1:5" x14ac:dyDescent="0.25">
      <c r="A243" s="17">
        <f t="shared" si="16"/>
        <v>44540</v>
      </c>
      <c r="B243" s="126">
        <f t="shared" si="17"/>
        <v>21</v>
      </c>
      <c r="C243" s="58">
        <f t="shared" si="20"/>
        <v>44540.833333332761</v>
      </c>
      <c r="D243" s="58">
        <f t="shared" si="18"/>
        <v>44540.874999999425</v>
      </c>
      <c r="E243" s="106">
        <f t="shared" si="19"/>
        <v>37.979999999999997</v>
      </c>
    </row>
    <row r="244" spans="1:5" x14ac:dyDescent="0.25">
      <c r="A244" s="17">
        <f t="shared" si="16"/>
        <v>44540</v>
      </c>
      <c r="B244" s="126">
        <f t="shared" si="17"/>
        <v>22</v>
      </c>
      <c r="C244" s="58">
        <f t="shared" si="20"/>
        <v>44540.874999999425</v>
      </c>
      <c r="D244" s="58">
        <f t="shared" si="18"/>
        <v>44540.916666666089</v>
      </c>
      <c r="E244" s="106">
        <f t="shared" si="19"/>
        <v>37.979999999999997</v>
      </c>
    </row>
    <row r="245" spans="1:5" x14ac:dyDescent="0.25">
      <c r="A245" s="17">
        <f t="shared" si="16"/>
        <v>44540</v>
      </c>
      <c r="B245" s="126">
        <f t="shared" si="17"/>
        <v>23</v>
      </c>
      <c r="C245" s="58">
        <f t="shared" si="20"/>
        <v>44540.916666666089</v>
      </c>
      <c r="D245" s="58">
        <f t="shared" si="18"/>
        <v>44540.958333332754</v>
      </c>
      <c r="E245" s="106">
        <f t="shared" si="19"/>
        <v>37.979999999999997</v>
      </c>
    </row>
    <row r="246" spans="1:5" x14ac:dyDescent="0.25">
      <c r="A246" s="17">
        <f t="shared" si="16"/>
        <v>44540</v>
      </c>
      <c r="B246" s="126">
        <f t="shared" si="17"/>
        <v>24</v>
      </c>
      <c r="C246" s="58">
        <f t="shared" si="20"/>
        <v>44540.958333332754</v>
      </c>
      <c r="D246" s="58">
        <f t="shared" si="18"/>
        <v>44540.999999999418</v>
      </c>
      <c r="E246" s="106">
        <f t="shared" si="19"/>
        <v>37.979999999999997</v>
      </c>
    </row>
    <row r="247" spans="1:5" x14ac:dyDescent="0.25">
      <c r="A247" s="17">
        <f t="shared" si="16"/>
        <v>44541</v>
      </c>
      <c r="B247" s="126">
        <f t="shared" si="17"/>
        <v>1</v>
      </c>
      <c r="C247" s="58">
        <f t="shared" si="20"/>
        <v>44540.999999999418</v>
      </c>
      <c r="D247" s="58">
        <f t="shared" si="18"/>
        <v>44541.041666666082</v>
      </c>
      <c r="E247" s="106">
        <f t="shared" si="19"/>
        <v>30.83</v>
      </c>
    </row>
    <row r="248" spans="1:5" x14ac:dyDescent="0.25">
      <c r="A248" s="17">
        <f t="shared" si="16"/>
        <v>44541</v>
      </c>
      <c r="B248" s="126">
        <f t="shared" si="17"/>
        <v>2</v>
      </c>
      <c r="C248" s="58">
        <f t="shared" si="20"/>
        <v>44541.041666666082</v>
      </c>
      <c r="D248" s="58">
        <f t="shared" si="18"/>
        <v>44541.083333332746</v>
      </c>
      <c r="E248" s="106">
        <f t="shared" si="19"/>
        <v>30.83</v>
      </c>
    </row>
    <row r="249" spans="1:5" x14ac:dyDescent="0.25">
      <c r="A249" s="17">
        <f t="shared" si="16"/>
        <v>44541</v>
      </c>
      <c r="B249" s="126">
        <f t="shared" si="17"/>
        <v>3</v>
      </c>
      <c r="C249" s="58">
        <f t="shared" si="20"/>
        <v>44541.083333332746</v>
      </c>
      <c r="D249" s="58">
        <f t="shared" si="18"/>
        <v>44541.124999999411</v>
      </c>
      <c r="E249" s="106">
        <f t="shared" si="19"/>
        <v>30.83</v>
      </c>
    </row>
    <row r="250" spans="1:5" x14ac:dyDescent="0.25">
      <c r="A250" s="17">
        <f t="shared" si="16"/>
        <v>44541</v>
      </c>
      <c r="B250" s="126">
        <f t="shared" si="17"/>
        <v>4</v>
      </c>
      <c r="C250" s="58">
        <f t="shared" si="20"/>
        <v>44541.124999999411</v>
      </c>
      <c r="D250" s="58">
        <f t="shared" si="18"/>
        <v>44541.166666666075</v>
      </c>
      <c r="E250" s="106">
        <f t="shared" si="19"/>
        <v>30.83</v>
      </c>
    </row>
    <row r="251" spans="1:5" x14ac:dyDescent="0.25">
      <c r="A251" s="17">
        <f t="shared" si="16"/>
        <v>44541</v>
      </c>
      <c r="B251" s="126">
        <f t="shared" si="17"/>
        <v>5</v>
      </c>
      <c r="C251" s="58">
        <f t="shared" si="20"/>
        <v>44541.166666666075</v>
      </c>
      <c r="D251" s="58">
        <f t="shared" si="18"/>
        <v>44541.208333332739</v>
      </c>
      <c r="E251" s="106">
        <f t="shared" si="19"/>
        <v>30.83</v>
      </c>
    </row>
    <row r="252" spans="1:5" x14ac:dyDescent="0.25">
      <c r="A252" s="17">
        <f t="shared" si="16"/>
        <v>44541</v>
      </c>
      <c r="B252" s="126">
        <f t="shared" si="17"/>
        <v>6</v>
      </c>
      <c r="C252" s="58">
        <f t="shared" si="20"/>
        <v>44541.208333332739</v>
      </c>
      <c r="D252" s="58">
        <f t="shared" si="18"/>
        <v>44541.249999999403</v>
      </c>
      <c r="E252" s="106">
        <f t="shared" si="19"/>
        <v>28</v>
      </c>
    </row>
    <row r="253" spans="1:5" x14ac:dyDescent="0.25">
      <c r="A253" s="17">
        <f t="shared" si="16"/>
        <v>44541</v>
      </c>
      <c r="B253" s="126">
        <f t="shared" si="17"/>
        <v>7</v>
      </c>
      <c r="C253" s="58">
        <f t="shared" si="20"/>
        <v>44541.249999999403</v>
      </c>
      <c r="D253" s="58">
        <f t="shared" si="18"/>
        <v>44541.291666666068</v>
      </c>
      <c r="E253" s="106">
        <f t="shared" si="19"/>
        <v>32.25</v>
      </c>
    </row>
    <row r="254" spans="1:5" x14ac:dyDescent="0.25">
      <c r="A254" s="17">
        <f t="shared" si="16"/>
        <v>44541</v>
      </c>
      <c r="B254" s="126">
        <f t="shared" si="17"/>
        <v>8</v>
      </c>
      <c r="C254" s="58">
        <f t="shared" si="20"/>
        <v>44541.291666666068</v>
      </c>
      <c r="D254" s="58">
        <f t="shared" si="18"/>
        <v>44541.333333332732</v>
      </c>
      <c r="E254" s="106">
        <f t="shared" si="19"/>
        <v>30</v>
      </c>
    </row>
    <row r="255" spans="1:5" x14ac:dyDescent="0.25">
      <c r="A255" s="17">
        <f t="shared" si="16"/>
        <v>44541</v>
      </c>
      <c r="B255" s="126">
        <f t="shared" si="17"/>
        <v>9</v>
      </c>
      <c r="C255" s="58">
        <f t="shared" si="20"/>
        <v>44541.333333332732</v>
      </c>
      <c r="D255" s="58">
        <f t="shared" si="18"/>
        <v>44541.374999999396</v>
      </c>
      <c r="E255" s="106">
        <f t="shared" si="19"/>
        <v>30</v>
      </c>
    </row>
    <row r="256" spans="1:5" x14ac:dyDescent="0.25">
      <c r="A256" s="17">
        <f t="shared" si="16"/>
        <v>44541</v>
      </c>
      <c r="B256" s="126">
        <f t="shared" si="17"/>
        <v>10</v>
      </c>
      <c r="C256" s="58">
        <f t="shared" si="20"/>
        <v>44541.374999999396</v>
      </c>
      <c r="D256" s="58">
        <f t="shared" si="18"/>
        <v>44541.41666666606</v>
      </c>
      <c r="E256" s="106">
        <f t="shared" si="19"/>
        <v>26</v>
      </c>
    </row>
    <row r="257" spans="1:5" x14ac:dyDescent="0.25">
      <c r="A257" s="17">
        <f t="shared" si="16"/>
        <v>44541</v>
      </c>
      <c r="B257" s="126">
        <f t="shared" si="17"/>
        <v>11</v>
      </c>
      <c r="C257" s="58">
        <f t="shared" si="20"/>
        <v>44541.41666666606</v>
      </c>
      <c r="D257" s="58">
        <f t="shared" si="18"/>
        <v>44541.458333332725</v>
      </c>
      <c r="E257" s="106">
        <f t="shared" si="19"/>
        <v>41.71</v>
      </c>
    </row>
    <row r="258" spans="1:5" x14ac:dyDescent="0.25">
      <c r="A258" s="17">
        <f t="shared" si="16"/>
        <v>44541</v>
      </c>
      <c r="B258" s="126">
        <f t="shared" si="17"/>
        <v>12</v>
      </c>
      <c r="C258" s="58">
        <f t="shared" si="20"/>
        <v>44541.458333332725</v>
      </c>
      <c r="D258" s="58">
        <f t="shared" si="18"/>
        <v>44541.499999999389</v>
      </c>
      <c r="E258" s="106">
        <f t="shared" si="19"/>
        <v>41.71</v>
      </c>
    </row>
    <row r="259" spans="1:5" x14ac:dyDescent="0.25">
      <c r="A259" s="17">
        <f t="shared" si="16"/>
        <v>44541</v>
      </c>
      <c r="B259" s="126">
        <f t="shared" si="17"/>
        <v>13</v>
      </c>
      <c r="C259" s="58">
        <f t="shared" si="20"/>
        <v>44541.499999999389</v>
      </c>
      <c r="D259" s="58">
        <f t="shared" si="18"/>
        <v>44541.541666666053</v>
      </c>
      <c r="E259" s="106">
        <f t="shared" si="19"/>
        <v>41.71</v>
      </c>
    </row>
    <row r="260" spans="1:5" x14ac:dyDescent="0.25">
      <c r="A260" s="17">
        <f t="shared" si="16"/>
        <v>44541</v>
      </c>
      <c r="B260" s="126">
        <f t="shared" si="17"/>
        <v>14</v>
      </c>
      <c r="C260" s="58">
        <f t="shared" si="20"/>
        <v>44541.541666666053</v>
      </c>
      <c r="D260" s="58">
        <f t="shared" si="18"/>
        <v>44541.583333332717</v>
      </c>
      <c r="E260" s="106">
        <f t="shared" si="19"/>
        <v>41.71</v>
      </c>
    </row>
    <row r="261" spans="1:5" x14ac:dyDescent="0.25">
      <c r="A261" s="17">
        <f t="shared" si="16"/>
        <v>44541</v>
      </c>
      <c r="B261" s="126">
        <f t="shared" si="17"/>
        <v>15</v>
      </c>
      <c r="C261" s="58">
        <f t="shared" si="20"/>
        <v>44541.583333332717</v>
      </c>
      <c r="D261" s="58">
        <f t="shared" si="18"/>
        <v>44541.624999999382</v>
      </c>
      <c r="E261" s="106">
        <f t="shared" si="19"/>
        <v>41.71</v>
      </c>
    </row>
    <row r="262" spans="1:5" x14ac:dyDescent="0.25">
      <c r="A262" s="17">
        <f t="shared" si="16"/>
        <v>44541</v>
      </c>
      <c r="B262" s="126">
        <f t="shared" si="17"/>
        <v>16</v>
      </c>
      <c r="C262" s="58">
        <f t="shared" si="20"/>
        <v>44541.624999999382</v>
      </c>
      <c r="D262" s="58">
        <f t="shared" si="18"/>
        <v>44541.666666666046</v>
      </c>
      <c r="E262" s="106">
        <f t="shared" si="19"/>
        <v>41.71</v>
      </c>
    </row>
    <row r="263" spans="1:5" x14ac:dyDescent="0.25">
      <c r="A263" s="17">
        <f t="shared" si="16"/>
        <v>44541</v>
      </c>
      <c r="B263" s="126">
        <f t="shared" si="17"/>
        <v>17</v>
      </c>
      <c r="C263" s="58">
        <f t="shared" si="20"/>
        <v>44541.666666666046</v>
      </c>
      <c r="D263" s="58">
        <f t="shared" si="18"/>
        <v>44541.70833333271</v>
      </c>
      <c r="E263" s="106">
        <f t="shared" si="19"/>
        <v>26</v>
      </c>
    </row>
    <row r="264" spans="1:5" x14ac:dyDescent="0.25">
      <c r="A264" s="17">
        <f t="shared" ref="A264:A327" si="21">DATE(YEAR(C264),MONTH(C264),DAY(C264))</f>
        <v>44541</v>
      </c>
      <c r="B264" s="126">
        <f t="shared" ref="B264:B327" si="22">HOUR(C264)+1</f>
        <v>18</v>
      </c>
      <c r="C264" s="58">
        <f t="shared" si="20"/>
        <v>44541.70833333271</v>
      </c>
      <c r="D264" s="58">
        <f t="shared" ref="D264:D327" si="23">$C264+1/24</f>
        <v>44541.749999999374</v>
      </c>
      <c r="E264" s="106">
        <f t="shared" ref="E264:E327" si="24">VLOOKUP(A264,$K$6:$AI$36,B264+1,FALSE)</f>
        <v>72</v>
      </c>
    </row>
    <row r="265" spans="1:5" x14ac:dyDescent="0.25">
      <c r="A265" s="17">
        <f t="shared" si="21"/>
        <v>44541</v>
      </c>
      <c r="B265" s="126">
        <f t="shared" si="22"/>
        <v>19</v>
      </c>
      <c r="C265" s="58">
        <f t="shared" ref="C265:C328" si="25">$C264+1/24</f>
        <v>44541.749999999374</v>
      </c>
      <c r="D265" s="58">
        <f t="shared" si="23"/>
        <v>44541.791666666039</v>
      </c>
      <c r="E265" s="106">
        <f t="shared" si="24"/>
        <v>52.22</v>
      </c>
    </row>
    <row r="266" spans="1:5" x14ac:dyDescent="0.25">
      <c r="A266" s="17">
        <f t="shared" si="21"/>
        <v>44541</v>
      </c>
      <c r="B266" s="126">
        <f t="shared" si="22"/>
        <v>20</v>
      </c>
      <c r="C266" s="58">
        <f t="shared" si="25"/>
        <v>44541.791666666039</v>
      </c>
      <c r="D266" s="58">
        <f t="shared" si="23"/>
        <v>44541.833333332703</v>
      </c>
      <c r="E266" s="106">
        <f t="shared" si="24"/>
        <v>45</v>
      </c>
    </row>
    <row r="267" spans="1:5" x14ac:dyDescent="0.25">
      <c r="A267" s="17">
        <f t="shared" si="21"/>
        <v>44541</v>
      </c>
      <c r="B267" s="126">
        <f t="shared" si="22"/>
        <v>21</v>
      </c>
      <c r="C267" s="58">
        <f t="shared" si="25"/>
        <v>44541.833333332703</v>
      </c>
      <c r="D267" s="58">
        <f t="shared" si="23"/>
        <v>44541.874999999367</v>
      </c>
      <c r="E267" s="106">
        <f t="shared" si="24"/>
        <v>41.71</v>
      </c>
    </row>
    <row r="268" spans="1:5" x14ac:dyDescent="0.25">
      <c r="A268" s="17">
        <f t="shared" si="21"/>
        <v>44541</v>
      </c>
      <c r="B268" s="126">
        <f t="shared" si="22"/>
        <v>22</v>
      </c>
      <c r="C268" s="58">
        <f t="shared" si="25"/>
        <v>44541.874999999367</v>
      </c>
      <c r="D268" s="58">
        <f t="shared" si="23"/>
        <v>44541.916666666031</v>
      </c>
      <c r="E268" s="106">
        <f t="shared" si="24"/>
        <v>41.71</v>
      </c>
    </row>
    <row r="269" spans="1:5" x14ac:dyDescent="0.25">
      <c r="A269" s="17">
        <f t="shared" si="21"/>
        <v>44541</v>
      </c>
      <c r="B269" s="126">
        <f t="shared" si="22"/>
        <v>23</v>
      </c>
      <c r="C269" s="58">
        <f t="shared" si="25"/>
        <v>44541.916666666031</v>
      </c>
      <c r="D269" s="58">
        <f t="shared" si="23"/>
        <v>44541.958333332695</v>
      </c>
      <c r="E269" s="106">
        <f t="shared" si="24"/>
        <v>41.71</v>
      </c>
    </row>
    <row r="270" spans="1:5" x14ac:dyDescent="0.25">
      <c r="A270" s="17">
        <f t="shared" si="21"/>
        <v>44541</v>
      </c>
      <c r="B270" s="126">
        <f t="shared" si="22"/>
        <v>24</v>
      </c>
      <c r="C270" s="58">
        <f t="shared" si="25"/>
        <v>44541.958333332695</v>
      </c>
      <c r="D270" s="58">
        <f t="shared" si="23"/>
        <v>44541.99999999936</v>
      </c>
      <c r="E270" s="106">
        <f t="shared" si="24"/>
        <v>30.83</v>
      </c>
    </row>
    <row r="271" spans="1:5" x14ac:dyDescent="0.25">
      <c r="A271" s="17">
        <f t="shared" si="21"/>
        <v>44542</v>
      </c>
      <c r="B271" s="126">
        <f t="shared" si="22"/>
        <v>1</v>
      </c>
      <c r="C271" s="58">
        <f t="shared" si="25"/>
        <v>44541.99999999936</v>
      </c>
      <c r="D271" s="58">
        <f t="shared" si="23"/>
        <v>44542.041666666024</v>
      </c>
      <c r="E271" s="106">
        <f t="shared" si="24"/>
        <v>30.14</v>
      </c>
    </row>
    <row r="272" spans="1:5" x14ac:dyDescent="0.25">
      <c r="A272" s="17">
        <f t="shared" si="21"/>
        <v>44542</v>
      </c>
      <c r="B272" s="126">
        <f t="shared" si="22"/>
        <v>2</v>
      </c>
      <c r="C272" s="58">
        <f t="shared" si="25"/>
        <v>44542.041666666024</v>
      </c>
      <c r="D272" s="58">
        <f t="shared" si="23"/>
        <v>44542.083333332688</v>
      </c>
      <c r="E272" s="106">
        <f t="shared" si="24"/>
        <v>30.14</v>
      </c>
    </row>
    <row r="273" spans="1:5" x14ac:dyDescent="0.25">
      <c r="A273" s="17">
        <f t="shared" si="21"/>
        <v>44542</v>
      </c>
      <c r="B273" s="126">
        <f t="shared" si="22"/>
        <v>3</v>
      </c>
      <c r="C273" s="58">
        <f t="shared" si="25"/>
        <v>44542.083333332688</v>
      </c>
      <c r="D273" s="58">
        <f t="shared" si="23"/>
        <v>44542.124999999352</v>
      </c>
      <c r="E273" s="106">
        <f t="shared" si="24"/>
        <v>30.14</v>
      </c>
    </row>
    <row r="274" spans="1:5" x14ac:dyDescent="0.25">
      <c r="A274" s="17">
        <f t="shared" si="21"/>
        <v>44542</v>
      </c>
      <c r="B274" s="126">
        <f t="shared" si="22"/>
        <v>4</v>
      </c>
      <c r="C274" s="58">
        <f t="shared" si="25"/>
        <v>44542.124999999352</v>
      </c>
      <c r="D274" s="58">
        <f t="shared" si="23"/>
        <v>44542.166666666017</v>
      </c>
      <c r="E274" s="106">
        <f t="shared" si="24"/>
        <v>25</v>
      </c>
    </row>
    <row r="275" spans="1:5" x14ac:dyDescent="0.25">
      <c r="A275" s="17">
        <f t="shared" si="21"/>
        <v>44542</v>
      </c>
      <c r="B275" s="126">
        <f t="shared" si="22"/>
        <v>5</v>
      </c>
      <c r="C275" s="58">
        <f t="shared" si="25"/>
        <v>44542.166666666017</v>
      </c>
      <c r="D275" s="58">
        <f t="shared" si="23"/>
        <v>44542.208333332681</v>
      </c>
      <c r="E275" s="106">
        <f t="shared" si="24"/>
        <v>28</v>
      </c>
    </row>
    <row r="276" spans="1:5" x14ac:dyDescent="0.25">
      <c r="A276" s="17">
        <f t="shared" si="21"/>
        <v>44542</v>
      </c>
      <c r="B276" s="126">
        <f t="shared" si="22"/>
        <v>6</v>
      </c>
      <c r="C276" s="58">
        <f t="shared" si="25"/>
        <v>44542.208333332681</v>
      </c>
      <c r="D276" s="58">
        <f t="shared" si="23"/>
        <v>44542.249999999345</v>
      </c>
      <c r="E276" s="106">
        <f t="shared" si="24"/>
        <v>30</v>
      </c>
    </row>
    <row r="277" spans="1:5" x14ac:dyDescent="0.25">
      <c r="A277" s="17">
        <f t="shared" si="21"/>
        <v>44542</v>
      </c>
      <c r="B277" s="126">
        <f t="shared" si="22"/>
        <v>7</v>
      </c>
      <c r="C277" s="58">
        <f t="shared" si="25"/>
        <v>44542.249999999345</v>
      </c>
      <c r="D277" s="58">
        <f t="shared" si="23"/>
        <v>44542.291666666009</v>
      </c>
      <c r="E277" s="106">
        <f t="shared" si="24"/>
        <v>35</v>
      </c>
    </row>
    <row r="278" spans="1:5" x14ac:dyDescent="0.25">
      <c r="A278" s="17">
        <f t="shared" si="21"/>
        <v>44542</v>
      </c>
      <c r="B278" s="126">
        <f t="shared" si="22"/>
        <v>8</v>
      </c>
      <c r="C278" s="58">
        <f t="shared" si="25"/>
        <v>44542.291666666009</v>
      </c>
      <c r="D278" s="58">
        <f t="shared" si="23"/>
        <v>44542.333333332674</v>
      </c>
      <c r="E278" s="106">
        <f t="shared" si="24"/>
        <v>35</v>
      </c>
    </row>
    <row r="279" spans="1:5" x14ac:dyDescent="0.25">
      <c r="A279" s="17">
        <f t="shared" si="21"/>
        <v>44542</v>
      </c>
      <c r="B279" s="126">
        <f t="shared" si="22"/>
        <v>9</v>
      </c>
      <c r="C279" s="58">
        <f t="shared" si="25"/>
        <v>44542.333333332674</v>
      </c>
      <c r="D279" s="58">
        <f t="shared" si="23"/>
        <v>44542.374999999338</v>
      </c>
      <c r="E279" s="106">
        <f t="shared" si="24"/>
        <v>35.82</v>
      </c>
    </row>
    <row r="280" spans="1:5" x14ac:dyDescent="0.25">
      <c r="A280" s="17">
        <f t="shared" si="21"/>
        <v>44542</v>
      </c>
      <c r="B280" s="126">
        <f t="shared" si="22"/>
        <v>10</v>
      </c>
      <c r="C280" s="58">
        <f t="shared" si="25"/>
        <v>44542.374999999338</v>
      </c>
      <c r="D280" s="58">
        <f t="shared" si="23"/>
        <v>44542.416666666002</v>
      </c>
      <c r="E280" s="106">
        <f t="shared" si="24"/>
        <v>35.82</v>
      </c>
    </row>
    <row r="281" spans="1:5" x14ac:dyDescent="0.25">
      <c r="A281" s="17">
        <f t="shared" si="21"/>
        <v>44542</v>
      </c>
      <c r="B281" s="126">
        <f t="shared" si="22"/>
        <v>11</v>
      </c>
      <c r="C281" s="58">
        <f t="shared" si="25"/>
        <v>44542.416666666002</v>
      </c>
      <c r="D281" s="58">
        <f t="shared" si="23"/>
        <v>44542.458333332666</v>
      </c>
      <c r="E281" s="106">
        <f t="shared" si="24"/>
        <v>35.82</v>
      </c>
    </row>
    <row r="282" spans="1:5" x14ac:dyDescent="0.25">
      <c r="A282" s="17">
        <f t="shared" si="21"/>
        <v>44542</v>
      </c>
      <c r="B282" s="126">
        <f t="shared" si="22"/>
        <v>12</v>
      </c>
      <c r="C282" s="58">
        <f t="shared" si="25"/>
        <v>44542.458333332666</v>
      </c>
      <c r="D282" s="58">
        <f t="shared" si="23"/>
        <v>44542.499999999331</v>
      </c>
      <c r="E282" s="106">
        <f t="shared" si="24"/>
        <v>36</v>
      </c>
    </row>
    <row r="283" spans="1:5" x14ac:dyDescent="0.25">
      <c r="A283" s="17">
        <f t="shared" si="21"/>
        <v>44542</v>
      </c>
      <c r="B283" s="126">
        <f t="shared" si="22"/>
        <v>13</v>
      </c>
      <c r="C283" s="58">
        <f t="shared" si="25"/>
        <v>44542.499999999331</v>
      </c>
      <c r="D283" s="58">
        <f t="shared" si="23"/>
        <v>44542.541666665995</v>
      </c>
      <c r="E283" s="106">
        <f t="shared" si="24"/>
        <v>36</v>
      </c>
    </row>
    <row r="284" spans="1:5" x14ac:dyDescent="0.25">
      <c r="A284" s="17">
        <f t="shared" si="21"/>
        <v>44542</v>
      </c>
      <c r="B284" s="126">
        <f t="shared" si="22"/>
        <v>14</v>
      </c>
      <c r="C284" s="58">
        <f t="shared" si="25"/>
        <v>44542.541666665995</v>
      </c>
      <c r="D284" s="58">
        <f t="shared" si="23"/>
        <v>44542.583333332659</v>
      </c>
      <c r="E284" s="106">
        <f t="shared" si="24"/>
        <v>36</v>
      </c>
    </row>
    <row r="285" spans="1:5" x14ac:dyDescent="0.25">
      <c r="A285" s="17">
        <f t="shared" si="21"/>
        <v>44542</v>
      </c>
      <c r="B285" s="126">
        <f t="shared" si="22"/>
        <v>15</v>
      </c>
      <c r="C285" s="58">
        <f t="shared" si="25"/>
        <v>44542.583333332659</v>
      </c>
      <c r="D285" s="58">
        <f t="shared" si="23"/>
        <v>44542.624999999323</v>
      </c>
      <c r="E285" s="106">
        <f t="shared" si="24"/>
        <v>35.82</v>
      </c>
    </row>
    <row r="286" spans="1:5" x14ac:dyDescent="0.25">
      <c r="A286" s="17">
        <f t="shared" si="21"/>
        <v>44542</v>
      </c>
      <c r="B286" s="126">
        <f t="shared" si="22"/>
        <v>16</v>
      </c>
      <c r="C286" s="58">
        <f t="shared" si="25"/>
        <v>44542.624999999323</v>
      </c>
      <c r="D286" s="58">
        <f t="shared" si="23"/>
        <v>44542.666666665988</v>
      </c>
      <c r="E286" s="106">
        <f t="shared" si="24"/>
        <v>36</v>
      </c>
    </row>
    <row r="287" spans="1:5" x14ac:dyDescent="0.25">
      <c r="A287" s="17">
        <f t="shared" si="21"/>
        <v>44542</v>
      </c>
      <c r="B287" s="126">
        <f t="shared" si="22"/>
        <v>17</v>
      </c>
      <c r="C287" s="58">
        <f t="shared" si="25"/>
        <v>44542.666666665988</v>
      </c>
      <c r="D287" s="58">
        <f t="shared" si="23"/>
        <v>44542.708333332652</v>
      </c>
      <c r="E287" s="106">
        <f t="shared" si="24"/>
        <v>36</v>
      </c>
    </row>
    <row r="288" spans="1:5" x14ac:dyDescent="0.25">
      <c r="A288" s="17">
        <f t="shared" si="21"/>
        <v>44542</v>
      </c>
      <c r="B288" s="126">
        <f t="shared" si="22"/>
        <v>18</v>
      </c>
      <c r="C288" s="58">
        <f t="shared" si="25"/>
        <v>44542.708333332652</v>
      </c>
      <c r="D288" s="58">
        <f t="shared" si="23"/>
        <v>44542.749999999316</v>
      </c>
      <c r="E288" s="106">
        <f t="shared" si="24"/>
        <v>35.82</v>
      </c>
    </row>
    <row r="289" spans="1:5" x14ac:dyDescent="0.25">
      <c r="A289" s="17">
        <f t="shared" si="21"/>
        <v>44542</v>
      </c>
      <c r="B289" s="126">
        <f t="shared" si="22"/>
        <v>19</v>
      </c>
      <c r="C289" s="58">
        <f t="shared" si="25"/>
        <v>44542.749999999316</v>
      </c>
      <c r="D289" s="58">
        <f t="shared" si="23"/>
        <v>44542.79166666598</v>
      </c>
      <c r="E289" s="106">
        <f t="shared" si="24"/>
        <v>35.82</v>
      </c>
    </row>
    <row r="290" spans="1:5" x14ac:dyDescent="0.25">
      <c r="A290" s="17">
        <f t="shared" si="21"/>
        <v>44542</v>
      </c>
      <c r="B290" s="126">
        <f t="shared" si="22"/>
        <v>20</v>
      </c>
      <c r="C290" s="58">
        <f t="shared" si="25"/>
        <v>44542.79166666598</v>
      </c>
      <c r="D290" s="58">
        <f t="shared" si="23"/>
        <v>44542.833333332645</v>
      </c>
      <c r="E290" s="106">
        <f t="shared" si="24"/>
        <v>35.82</v>
      </c>
    </row>
    <row r="291" spans="1:5" x14ac:dyDescent="0.25">
      <c r="A291" s="17">
        <f t="shared" si="21"/>
        <v>44542</v>
      </c>
      <c r="B291" s="126">
        <f t="shared" si="22"/>
        <v>21</v>
      </c>
      <c r="C291" s="58">
        <f t="shared" si="25"/>
        <v>44542.833333332645</v>
      </c>
      <c r="D291" s="58">
        <f t="shared" si="23"/>
        <v>44542.874999999309</v>
      </c>
      <c r="E291" s="106">
        <f t="shared" si="24"/>
        <v>35.82</v>
      </c>
    </row>
    <row r="292" spans="1:5" x14ac:dyDescent="0.25">
      <c r="A292" s="17">
        <f t="shared" si="21"/>
        <v>44542</v>
      </c>
      <c r="B292" s="126">
        <f t="shared" si="22"/>
        <v>22</v>
      </c>
      <c r="C292" s="58">
        <f t="shared" si="25"/>
        <v>44542.874999999309</v>
      </c>
      <c r="D292" s="58">
        <f t="shared" si="23"/>
        <v>44542.916666665973</v>
      </c>
      <c r="E292" s="106">
        <f t="shared" si="24"/>
        <v>35.82</v>
      </c>
    </row>
    <row r="293" spans="1:5" x14ac:dyDescent="0.25">
      <c r="A293" s="17">
        <f t="shared" si="21"/>
        <v>44542</v>
      </c>
      <c r="B293" s="126">
        <f t="shared" si="22"/>
        <v>23</v>
      </c>
      <c r="C293" s="58">
        <f t="shared" si="25"/>
        <v>44542.916666665973</v>
      </c>
      <c r="D293" s="58">
        <f t="shared" si="23"/>
        <v>44542.958333332637</v>
      </c>
      <c r="E293" s="106">
        <f t="shared" si="24"/>
        <v>35.82</v>
      </c>
    </row>
    <row r="294" spans="1:5" x14ac:dyDescent="0.25">
      <c r="A294" s="17">
        <f t="shared" si="21"/>
        <v>44542</v>
      </c>
      <c r="B294" s="126">
        <f t="shared" si="22"/>
        <v>24</v>
      </c>
      <c r="C294" s="58">
        <f t="shared" si="25"/>
        <v>44542.958333332637</v>
      </c>
      <c r="D294" s="58">
        <f t="shared" si="23"/>
        <v>44542.999999999302</v>
      </c>
      <c r="E294" s="106">
        <f t="shared" si="24"/>
        <v>30.14</v>
      </c>
    </row>
    <row r="295" spans="1:5" x14ac:dyDescent="0.25">
      <c r="A295" s="17">
        <f t="shared" si="21"/>
        <v>44543</v>
      </c>
      <c r="B295" s="126">
        <f t="shared" si="22"/>
        <v>1</v>
      </c>
      <c r="C295" s="58">
        <f t="shared" si="25"/>
        <v>44542.999999999302</v>
      </c>
      <c r="D295" s="58">
        <f t="shared" si="23"/>
        <v>44543.041666665966</v>
      </c>
      <c r="E295" s="106">
        <f t="shared" si="24"/>
        <v>25.29</v>
      </c>
    </row>
    <row r="296" spans="1:5" x14ac:dyDescent="0.25">
      <c r="A296" s="17">
        <f t="shared" si="21"/>
        <v>44543</v>
      </c>
      <c r="B296" s="126">
        <f t="shared" si="22"/>
        <v>2</v>
      </c>
      <c r="C296" s="58">
        <f t="shared" si="25"/>
        <v>44543.041666665966</v>
      </c>
      <c r="D296" s="58">
        <f t="shared" si="23"/>
        <v>44543.08333333263</v>
      </c>
      <c r="E296" s="106">
        <f t="shared" si="24"/>
        <v>25.29</v>
      </c>
    </row>
    <row r="297" spans="1:5" x14ac:dyDescent="0.25">
      <c r="A297" s="17">
        <f t="shared" si="21"/>
        <v>44543</v>
      </c>
      <c r="B297" s="126">
        <f t="shared" si="22"/>
        <v>3</v>
      </c>
      <c r="C297" s="58">
        <f t="shared" si="25"/>
        <v>44543.08333333263</v>
      </c>
      <c r="D297" s="58">
        <f t="shared" si="23"/>
        <v>44543.124999999294</v>
      </c>
      <c r="E297" s="106">
        <f t="shared" si="24"/>
        <v>25.29</v>
      </c>
    </row>
    <row r="298" spans="1:5" x14ac:dyDescent="0.25">
      <c r="A298" s="17">
        <f t="shared" si="21"/>
        <v>44543</v>
      </c>
      <c r="B298" s="126">
        <f t="shared" si="22"/>
        <v>4</v>
      </c>
      <c r="C298" s="58">
        <f t="shared" si="25"/>
        <v>44543.124999999294</v>
      </c>
      <c r="D298" s="58">
        <f t="shared" si="23"/>
        <v>44543.166666665958</v>
      </c>
      <c r="E298" s="106">
        <f t="shared" si="24"/>
        <v>19</v>
      </c>
    </row>
    <row r="299" spans="1:5" x14ac:dyDescent="0.25">
      <c r="A299" s="17">
        <f t="shared" si="21"/>
        <v>44543</v>
      </c>
      <c r="B299" s="126">
        <f t="shared" si="22"/>
        <v>5</v>
      </c>
      <c r="C299" s="58">
        <f t="shared" si="25"/>
        <v>44543.166666665958</v>
      </c>
      <c r="D299" s="58">
        <f t="shared" si="23"/>
        <v>44543.208333332623</v>
      </c>
      <c r="E299" s="106">
        <f t="shared" si="24"/>
        <v>22</v>
      </c>
    </row>
    <row r="300" spans="1:5" x14ac:dyDescent="0.25">
      <c r="A300" s="17">
        <f t="shared" si="21"/>
        <v>44543</v>
      </c>
      <c r="B300" s="126">
        <f t="shared" si="22"/>
        <v>6</v>
      </c>
      <c r="C300" s="58">
        <f t="shared" si="25"/>
        <v>44543.208333332623</v>
      </c>
      <c r="D300" s="58">
        <f t="shared" si="23"/>
        <v>44543.249999999287</v>
      </c>
      <c r="E300" s="106">
        <f t="shared" si="24"/>
        <v>29</v>
      </c>
    </row>
    <row r="301" spans="1:5" x14ac:dyDescent="0.25">
      <c r="A301" s="17">
        <f t="shared" si="21"/>
        <v>44543</v>
      </c>
      <c r="B301" s="126">
        <f t="shared" si="22"/>
        <v>7</v>
      </c>
      <c r="C301" s="58">
        <f t="shared" si="25"/>
        <v>44543.249999999287</v>
      </c>
      <c r="D301" s="58">
        <f t="shared" si="23"/>
        <v>44543.291666665951</v>
      </c>
      <c r="E301" s="106">
        <f t="shared" si="24"/>
        <v>31.71</v>
      </c>
    </row>
    <row r="302" spans="1:5" x14ac:dyDescent="0.25">
      <c r="A302" s="17">
        <f t="shared" si="21"/>
        <v>44543</v>
      </c>
      <c r="B302" s="126">
        <f t="shared" si="22"/>
        <v>8</v>
      </c>
      <c r="C302" s="58">
        <f t="shared" si="25"/>
        <v>44543.291666665951</v>
      </c>
      <c r="D302" s="58">
        <f t="shared" si="23"/>
        <v>44543.333333332615</v>
      </c>
      <c r="E302" s="106">
        <f t="shared" si="24"/>
        <v>31.5</v>
      </c>
    </row>
    <row r="303" spans="1:5" x14ac:dyDescent="0.25">
      <c r="A303" s="17">
        <f t="shared" si="21"/>
        <v>44543</v>
      </c>
      <c r="B303" s="126">
        <f t="shared" si="22"/>
        <v>9</v>
      </c>
      <c r="C303" s="58">
        <f t="shared" si="25"/>
        <v>44543.333333332615</v>
      </c>
      <c r="D303" s="58">
        <f t="shared" si="23"/>
        <v>44543.37499999928</v>
      </c>
      <c r="E303" s="106">
        <f t="shared" si="24"/>
        <v>36.29</v>
      </c>
    </row>
    <row r="304" spans="1:5" x14ac:dyDescent="0.25">
      <c r="A304" s="17">
        <f t="shared" si="21"/>
        <v>44543</v>
      </c>
      <c r="B304" s="126">
        <f t="shared" si="22"/>
        <v>10</v>
      </c>
      <c r="C304" s="58">
        <f t="shared" si="25"/>
        <v>44543.37499999928</v>
      </c>
      <c r="D304" s="58">
        <f t="shared" si="23"/>
        <v>44543.416666665944</v>
      </c>
      <c r="E304" s="106">
        <f t="shared" si="24"/>
        <v>38</v>
      </c>
    </row>
    <row r="305" spans="1:5" x14ac:dyDescent="0.25">
      <c r="A305" s="17">
        <f t="shared" si="21"/>
        <v>44543</v>
      </c>
      <c r="B305" s="126">
        <f t="shared" si="22"/>
        <v>11</v>
      </c>
      <c r="C305" s="58">
        <f t="shared" si="25"/>
        <v>44543.416666665944</v>
      </c>
      <c r="D305" s="58">
        <f t="shared" si="23"/>
        <v>44543.458333332608</v>
      </c>
      <c r="E305" s="106">
        <f t="shared" si="24"/>
        <v>35</v>
      </c>
    </row>
    <row r="306" spans="1:5" x14ac:dyDescent="0.25">
      <c r="A306" s="17">
        <f t="shared" si="21"/>
        <v>44543</v>
      </c>
      <c r="B306" s="126">
        <f t="shared" si="22"/>
        <v>12</v>
      </c>
      <c r="C306" s="58">
        <f t="shared" si="25"/>
        <v>44543.458333332608</v>
      </c>
      <c r="D306" s="58">
        <f t="shared" si="23"/>
        <v>44543.499999999272</v>
      </c>
      <c r="E306" s="106">
        <f t="shared" si="24"/>
        <v>37</v>
      </c>
    </row>
    <row r="307" spans="1:5" x14ac:dyDescent="0.25">
      <c r="A307" s="17">
        <f t="shared" si="21"/>
        <v>44543</v>
      </c>
      <c r="B307" s="126">
        <f t="shared" si="22"/>
        <v>13</v>
      </c>
      <c r="C307" s="58">
        <f t="shared" si="25"/>
        <v>44543.499999999272</v>
      </c>
      <c r="D307" s="58">
        <f t="shared" si="23"/>
        <v>44543.541666665937</v>
      </c>
      <c r="E307" s="106">
        <f t="shared" si="24"/>
        <v>35</v>
      </c>
    </row>
    <row r="308" spans="1:5" x14ac:dyDescent="0.25">
      <c r="A308" s="17">
        <f t="shared" si="21"/>
        <v>44543</v>
      </c>
      <c r="B308" s="126">
        <f t="shared" si="22"/>
        <v>14</v>
      </c>
      <c r="C308" s="58">
        <f t="shared" si="25"/>
        <v>44543.541666665937</v>
      </c>
      <c r="D308" s="58">
        <f t="shared" si="23"/>
        <v>44543.583333332601</v>
      </c>
      <c r="E308" s="106">
        <f t="shared" si="24"/>
        <v>36.29</v>
      </c>
    </row>
    <row r="309" spans="1:5" x14ac:dyDescent="0.25">
      <c r="A309" s="17">
        <f t="shared" si="21"/>
        <v>44543</v>
      </c>
      <c r="B309" s="126">
        <f t="shared" si="22"/>
        <v>15</v>
      </c>
      <c r="C309" s="58">
        <f t="shared" si="25"/>
        <v>44543.583333332601</v>
      </c>
      <c r="D309" s="58">
        <f t="shared" si="23"/>
        <v>44543.624999999265</v>
      </c>
      <c r="E309" s="106">
        <f t="shared" si="24"/>
        <v>36.29</v>
      </c>
    </row>
    <row r="310" spans="1:5" x14ac:dyDescent="0.25">
      <c r="A310" s="17">
        <f t="shared" si="21"/>
        <v>44543</v>
      </c>
      <c r="B310" s="126">
        <f t="shared" si="22"/>
        <v>16</v>
      </c>
      <c r="C310" s="58">
        <f t="shared" si="25"/>
        <v>44543.624999999265</v>
      </c>
      <c r="D310" s="58">
        <f t="shared" si="23"/>
        <v>44543.666666665929</v>
      </c>
      <c r="E310" s="106">
        <f t="shared" si="24"/>
        <v>36.29</v>
      </c>
    </row>
    <row r="311" spans="1:5" x14ac:dyDescent="0.25">
      <c r="A311" s="17">
        <f t="shared" si="21"/>
        <v>44543</v>
      </c>
      <c r="B311" s="126">
        <f t="shared" si="22"/>
        <v>17</v>
      </c>
      <c r="C311" s="58">
        <f t="shared" si="25"/>
        <v>44543.666666665929</v>
      </c>
      <c r="D311" s="58">
        <f t="shared" si="23"/>
        <v>44543.708333332594</v>
      </c>
      <c r="E311" s="106">
        <f t="shared" si="24"/>
        <v>40</v>
      </c>
    </row>
    <row r="312" spans="1:5" x14ac:dyDescent="0.25">
      <c r="A312" s="17">
        <f t="shared" si="21"/>
        <v>44543</v>
      </c>
      <c r="B312" s="126">
        <f t="shared" si="22"/>
        <v>18</v>
      </c>
      <c r="C312" s="58">
        <f t="shared" si="25"/>
        <v>44543.708333332594</v>
      </c>
      <c r="D312" s="58">
        <f t="shared" si="23"/>
        <v>44543.749999999258</v>
      </c>
      <c r="E312" s="106">
        <f t="shared" si="24"/>
        <v>40</v>
      </c>
    </row>
    <row r="313" spans="1:5" x14ac:dyDescent="0.25">
      <c r="A313" s="17">
        <f t="shared" si="21"/>
        <v>44543</v>
      </c>
      <c r="B313" s="126">
        <f t="shared" si="22"/>
        <v>19</v>
      </c>
      <c r="C313" s="58">
        <f t="shared" si="25"/>
        <v>44543.749999999258</v>
      </c>
      <c r="D313" s="58">
        <f t="shared" si="23"/>
        <v>44543.791666665922</v>
      </c>
      <c r="E313" s="106">
        <f t="shared" si="24"/>
        <v>36.29</v>
      </c>
    </row>
    <row r="314" spans="1:5" x14ac:dyDescent="0.25">
      <c r="A314" s="17">
        <f t="shared" si="21"/>
        <v>44543</v>
      </c>
      <c r="B314" s="126">
        <f t="shared" si="22"/>
        <v>20</v>
      </c>
      <c r="C314" s="58">
        <f t="shared" si="25"/>
        <v>44543.791666665922</v>
      </c>
      <c r="D314" s="58">
        <f t="shared" si="23"/>
        <v>44543.833333332586</v>
      </c>
      <c r="E314" s="106">
        <f t="shared" si="24"/>
        <v>36.29</v>
      </c>
    </row>
    <row r="315" spans="1:5" x14ac:dyDescent="0.25">
      <c r="A315" s="17">
        <f t="shared" si="21"/>
        <v>44543</v>
      </c>
      <c r="B315" s="126">
        <f t="shared" si="22"/>
        <v>21</v>
      </c>
      <c r="C315" s="58">
        <f t="shared" si="25"/>
        <v>44543.833333332586</v>
      </c>
      <c r="D315" s="58">
        <f t="shared" si="23"/>
        <v>44543.874999999251</v>
      </c>
      <c r="E315" s="106">
        <f t="shared" si="24"/>
        <v>36.29</v>
      </c>
    </row>
    <row r="316" spans="1:5" x14ac:dyDescent="0.25">
      <c r="A316" s="17">
        <f t="shared" si="21"/>
        <v>44543</v>
      </c>
      <c r="B316" s="126">
        <f t="shared" si="22"/>
        <v>22</v>
      </c>
      <c r="C316" s="58">
        <f t="shared" si="25"/>
        <v>44543.874999999251</v>
      </c>
      <c r="D316" s="58">
        <f t="shared" si="23"/>
        <v>44543.916666665915</v>
      </c>
      <c r="E316" s="106">
        <f t="shared" si="24"/>
        <v>36.29</v>
      </c>
    </row>
    <row r="317" spans="1:5" x14ac:dyDescent="0.25">
      <c r="A317" s="17">
        <f t="shared" si="21"/>
        <v>44543</v>
      </c>
      <c r="B317" s="126">
        <f t="shared" si="22"/>
        <v>23</v>
      </c>
      <c r="C317" s="58">
        <f t="shared" si="25"/>
        <v>44543.916666665915</v>
      </c>
      <c r="D317" s="58">
        <f t="shared" si="23"/>
        <v>44543.958333332579</v>
      </c>
      <c r="E317" s="106">
        <f t="shared" si="24"/>
        <v>36.29</v>
      </c>
    </row>
    <row r="318" spans="1:5" x14ac:dyDescent="0.25">
      <c r="A318" s="17">
        <f t="shared" si="21"/>
        <v>44543</v>
      </c>
      <c r="B318" s="126">
        <f t="shared" si="22"/>
        <v>24</v>
      </c>
      <c r="C318" s="58">
        <f t="shared" si="25"/>
        <v>44543.958333332579</v>
      </c>
      <c r="D318" s="58">
        <f t="shared" si="23"/>
        <v>44543.999999999243</v>
      </c>
      <c r="E318" s="106">
        <f t="shared" si="24"/>
        <v>14</v>
      </c>
    </row>
    <row r="319" spans="1:5" x14ac:dyDescent="0.25">
      <c r="A319" s="17">
        <f t="shared" si="21"/>
        <v>44544</v>
      </c>
      <c r="B319" s="126">
        <f t="shared" si="22"/>
        <v>1</v>
      </c>
      <c r="C319" s="58">
        <f t="shared" si="25"/>
        <v>44543.999999999243</v>
      </c>
      <c r="D319" s="58">
        <f t="shared" si="23"/>
        <v>44544.041666665908</v>
      </c>
      <c r="E319" s="106">
        <f t="shared" si="24"/>
        <v>14</v>
      </c>
    </row>
    <row r="320" spans="1:5" x14ac:dyDescent="0.25">
      <c r="A320" s="17">
        <f t="shared" si="21"/>
        <v>44544</v>
      </c>
      <c r="B320" s="126">
        <f t="shared" si="22"/>
        <v>2</v>
      </c>
      <c r="C320" s="58">
        <f t="shared" si="25"/>
        <v>44544.041666665908</v>
      </c>
      <c r="D320" s="58">
        <f t="shared" si="23"/>
        <v>44544.083333332572</v>
      </c>
      <c r="E320" s="106">
        <f t="shared" si="24"/>
        <v>14</v>
      </c>
    </row>
    <row r="321" spans="1:5" x14ac:dyDescent="0.25">
      <c r="A321" s="17">
        <f t="shared" si="21"/>
        <v>44544</v>
      </c>
      <c r="B321" s="126">
        <f t="shared" si="22"/>
        <v>3</v>
      </c>
      <c r="C321" s="58">
        <f t="shared" si="25"/>
        <v>44544.083333332572</v>
      </c>
      <c r="D321" s="58">
        <f t="shared" si="23"/>
        <v>44544.124999999236</v>
      </c>
      <c r="E321" s="106">
        <f t="shared" si="24"/>
        <v>15.21</v>
      </c>
    </row>
    <row r="322" spans="1:5" x14ac:dyDescent="0.25">
      <c r="A322" s="17">
        <f t="shared" si="21"/>
        <v>44544</v>
      </c>
      <c r="B322" s="126">
        <f t="shared" si="22"/>
        <v>4</v>
      </c>
      <c r="C322" s="58">
        <f t="shared" si="25"/>
        <v>44544.124999999236</v>
      </c>
      <c r="D322" s="58">
        <f t="shared" si="23"/>
        <v>44544.1666666659</v>
      </c>
      <c r="E322" s="106">
        <f t="shared" si="24"/>
        <v>14</v>
      </c>
    </row>
    <row r="323" spans="1:5" x14ac:dyDescent="0.25">
      <c r="A323" s="17">
        <f t="shared" si="21"/>
        <v>44544</v>
      </c>
      <c r="B323" s="126">
        <f t="shared" si="22"/>
        <v>5</v>
      </c>
      <c r="C323" s="58">
        <f t="shared" si="25"/>
        <v>44544.1666666659</v>
      </c>
      <c r="D323" s="58">
        <f t="shared" si="23"/>
        <v>44544.208333332565</v>
      </c>
      <c r="E323" s="106">
        <f t="shared" si="24"/>
        <v>14</v>
      </c>
    </row>
    <row r="324" spans="1:5" x14ac:dyDescent="0.25">
      <c r="A324" s="17">
        <f t="shared" si="21"/>
        <v>44544</v>
      </c>
      <c r="B324" s="126">
        <f t="shared" si="22"/>
        <v>6</v>
      </c>
      <c r="C324" s="58">
        <f t="shared" si="25"/>
        <v>44544.208333332565</v>
      </c>
      <c r="D324" s="58">
        <f t="shared" si="23"/>
        <v>44544.249999999229</v>
      </c>
      <c r="E324" s="106">
        <f t="shared" si="24"/>
        <v>14</v>
      </c>
    </row>
    <row r="325" spans="1:5" x14ac:dyDescent="0.25">
      <c r="A325" s="17">
        <f t="shared" si="21"/>
        <v>44544</v>
      </c>
      <c r="B325" s="126">
        <f t="shared" si="22"/>
        <v>7</v>
      </c>
      <c r="C325" s="58">
        <f t="shared" si="25"/>
        <v>44544.249999999229</v>
      </c>
      <c r="D325" s="58">
        <f t="shared" si="23"/>
        <v>44544.291666665893</v>
      </c>
      <c r="E325" s="106">
        <f t="shared" si="24"/>
        <v>20</v>
      </c>
    </row>
    <row r="326" spans="1:5" x14ac:dyDescent="0.25">
      <c r="A326" s="17">
        <f t="shared" si="21"/>
        <v>44544</v>
      </c>
      <c r="B326" s="126">
        <f t="shared" si="22"/>
        <v>8</v>
      </c>
      <c r="C326" s="58">
        <f t="shared" si="25"/>
        <v>44544.291666665893</v>
      </c>
      <c r="D326" s="58">
        <f t="shared" si="23"/>
        <v>44544.333333332557</v>
      </c>
      <c r="E326" s="106">
        <f t="shared" si="24"/>
        <v>20</v>
      </c>
    </row>
    <row r="327" spans="1:5" x14ac:dyDescent="0.25">
      <c r="A327" s="17">
        <f t="shared" si="21"/>
        <v>44544</v>
      </c>
      <c r="B327" s="126">
        <f t="shared" si="22"/>
        <v>9</v>
      </c>
      <c r="C327" s="58">
        <f t="shared" si="25"/>
        <v>44544.333333332557</v>
      </c>
      <c r="D327" s="58">
        <f t="shared" si="23"/>
        <v>44544.374999999221</v>
      </c>
      <c r="E327" s="106">
        <f t="shared" si="24"/>
        <v>18</v>
      </c>
    </row>
    <row r="328" spans="1:5" x14ac:dyDescent="0.25">
      <c r="A328" s="17">
        <f t="shared" ref="A328:A391" si="26">DATE(YEAR(C328),MONTH(C328),DAY(C328))</f>
        <v>44544</v>
      </c>
      <c r="B328" s="126">
        <f t="shared" ref="B328:B391" si="27">HOUR(C328)+1</f>
        <v>10</v>
      </c>
      <c r="C328" s="58">
        <f t="shared" si="25"/>
        <v>44544.374999999221</v>
      </c>
      <c r="D328" s="58">
        <f t="shared" ref="D328:D391" si="28">$C328+1/24</f>
        <v>44544.416666665886</v>
      </c>
      <c r="E328" s="106">
        <f t="shared" ref="E328:E391" si="29">VLOOKUP(A328,$K$6:$AI$36,B328+1,FALSE)</f>
        <v>18</v>
      </c>
    </row>
    <row r="329" spans="1:5" x14ac:dyDescent="0.25">
      <c r="A329" s="17">
        <f t="shared" si="26"/>
        <v>44544</v>
      </c>
      <c r="B329" s="126">
        <f t="shared" si="27"/>
        <v>11</v>
      </c>
      <c r="C329" s="58">
        <f t="shared" ref="C329:C392" si="30">$C328+1/24</f>
        <v>44544.416666665886</v>
      </c>
      <c r="D329" s="58">
        <f t="shared" si="28"/>
        <v>44544.45833333255</v>
      </c>
      <c r="E329" s="106">
        <f t="shared" si="29"/>
        <v>17</v>
      </c>
    </row>
    <row r="330" spans="1:5" x14ac:dyDescent="0.25">
      <c r="A330" s="17">
        <f t="shared" si="26"/>
        <v>44544</v>
      </c>
      <c r="B330" s="126">
        <f t="shared" si="27"/>
        <v>12</v>
      </c>
      <c r="C330" s="58">
        <f t="shared" si="30"/>
        <v>44544.45833333255</v>
      </c>
      <c r="D330" s="58">
        <f t="shared" si="28"/>
        <v>44544.499999999214</v>
      </c>
      <c r="E330" s="106">
        <f t="shared" si="29"/>
        <v>17.23</v>
      </c>
    </row>
    <row r="331" spans="1:5" x14ac:dyDescent="0.25">
      <c r="A331" s="17">
        <f t="shared" si="26"/>
        <v>44544</v>
      </c>
      <c r="B331" s="126">
        <f t="shared" si="27"/>
        <v>13</v>
      </c>
      <c r="C331" s="58">
        <f t="shared" si="30"/>
        <v>44544.499999999214</v>
      </c>
      <c r="D331" s="58">
        <f t="shared" si="28"/>
        <v>44544.541666665878</v>
      </c>
      <c r="E331" s="106">
        <f t="shared" si="29"/>
        <v>17.23</v>
      </c>
    </row>
    <row r="332" spans="1:5" x14ac:dyDescent="0.25">
      <c r="A332" s="17">
        <f t="shared" si="26"/>
        <v>44544</v>
      </c>
      <c r="B332" s="126">
        <f t="shared" si="27"/>
        <v>14</v>
      </c>
      <c r="C332" s="58">
        <f t="shared" si="30"/>
        <v>44544.541666665878</v>
      </c>
      <c r="D332" s="58">
        <f t="shared" si="28"/>
        <v>44544.583333332543</v>
      </c>
      <c r="E332" s="106">
        <f t="shared" si="29"/>
        <v>17.23</v>
      </c>
    </row>
    <row r="333" spans="1:5" x14ac:dyDescent="0.25">
      <c r="A333" s="17">
        <f t="shared" si="26"/>
        <v>44544</v>
      </c>
      <c r="B333" s="126">
        <f t="shared" si="27"/>
        <v>15</v>
      </c>
      <c r="C333" s="58">
        <f t="shared" si="30"/>
        <v>44544.583333332543</v>
      </c>
      <c r="D333" s="58">
        <f t="shared" si="28"/>
        <v>44544.624999999207</v>
      </c>
      <c r="E333" s="106">
        <f t="shared" si="29"/>
        <v>9</v>
      </c>
    </row>
    <row r="334" spans="1:5" x14ac:dyDescent="0.25">
      <c r="A334" s="17">
        <f t="shared" si="26"/>
        <v>44544</v>
      </c>
      <c r="B334" s="126">
        <f t="shared" si="27"/>
        <v>16</v>
      </c>
      <c r="C334" s="58">
        <f t="shared" si="30"/>
        <v>44544.624999999207</v>
      </c>
      <c r="D334" s="58">
        <f t="shared" si="28"/>
        <v>44544.666666665871</v>
      </c>
      <c r="E334" s="106">
        <f t="shared" si="29"/>
        <v>9</v>
      </c>
    </row>
    <row r="335" spans="1:5" x14ac:dyDescent="0.25">
      <c r="A335" s="17">
        <f t="shared" si="26"/>
        <v>44544</v>
      </c>
      <c r="B335" s="126">
        <f t="shared" si="27"/>
        <v>17</v>
      </c>
      <c r="C335" s="58">
        <f t="shared" si="30"/>
        <v>44544.666666665871</v>
      </c>
      <c r="D335" s="58">
        <f t="shared" si="28"/>
        <v>44544.708333332535</v>
      </c>
      <c r="E335" s="106">
        <f t="shared" si="29"/>
        <v>20</v>
      </c>
    </row>
    <row r="336" spans="1:5" x14ac:dyDescent="0.25">
      <c r="A336" s="17">
        <f t="shared" si="26"/>
        <v>44544</v>
      </c>
      <c r="B336" s="126">
        <f t="shared" si="27"/>
        <v>18</v>
      </c>
      <c r="C336" s="58">
        <f t="shared" si="30"/>
        <v>44544.708333332535</v>
      </c>
      <c r="D336" s="58">
        <f t="shared" si="28"/>
        <v>44544.7499999992</v>
      </c>
      <c r="E336" s="106">
        <f t="shared" si="29"/>
        <v>20</v>
      </c>
    </row>
    <row r="337" spans="1:5" x14ac:dyDescent="0.25">
      <c r="A337" s="17">
        <f t="shared" si="26"/>
        <v>44544</v>
      </c>
      <c r="B337" s="126">
        <f t="shared" si="27"/>
        <v>19</v>
      </c>
      <c r="C337" s="58">
        <f t="shared" si="30"/>
        <v>44544.7499999992</v>
      </c>
      <c r="D337" s="58">
        <f t="shared" si="28"/>
        <v>44544.791666665864</v>
      </c>
      <c r="E337" s="106">
        <f t="shared" si="29"/>
        <v>18.399999999999999</v>
      </c>
    </row>
    <row r="338" spans="1:5" x14ac:dyDescent="0.25">
      <c r="A338" s="17">
        <f t="shared" si="26"/>
        <v>44544</v>
      </c>
      <c r="B338" s="126">
        <f t="shared" si="27"/>
        <v>20</v>
      </c>
      <c r="C338" s="58">
        <f t="shared" si="30"/>
        <v>44544.791666665864</v>
      </c>
      <c r="D338" s="58">
        <f t="shared" si="28"/>
        <v>44544.833333332528</v>
      </c>
      <c r="E338" s="106">
        <f t="shared" si="29"/>
        <v>18</v>
      </c>
    </row>
    <row r="339" spans="1:5" x14ac:dyDescent="0.25">
      <c r="A339" s="17">
        <f t="shared" si="26"/>
        <v>44544</v>
      </c>
      <c r="B339" s="126">
        <f t="shared" si="27"/>
        <v>21</v>
      </c>
      <c r="C339" s="58">
        <f t="shared" si="30"/>
        <v>44544.833333332528</v>
      </c>
      <c r="D339" s="58">
        <f t="shared" si="28"/>
        <v>44544.874999999192</v>
      </c>
      <c r="E339" s="106">
        <f t="shared" si="29"/>
        <v>17.23</v>
      </c>
    </row>
    <row r="340" spans="1:5" x14ac:dyDescent="0.25">
      <c r="A340" s="17">
        <f t="shared" si="26"/>
        <v>44544</v>
      </c>
      <c r="B340" s="126">
        <f t="shared" si="27"/>
        <v>22</v>
      </c>
      <c r="C340" s="58">
        <f t="shared" si="30"/>
        <v>44544.874999999192</v>
      </c>
      <c r="D340" s="58">
        <f t="shared" si="28"/>
        <v>44544.916666665857</v>
      </c>
      <c r="E340" s="106">
        <f t="shared" si="29"/>
        <v>18</v>
      </c>
    </row>
    <row r="341" spans="1:5" x14ac:dyDescent="0.25">
      <c r="A341" s="17">
        <f t="shared" si="26"/>
        <v>44544</v>
      </c>
      <c r="B341" s="126">
        <f t="shared" si="27"/>
        <v>23</v>
      </c>
      <c r="C341" s="58">
        <f t="shared" si="30"/>
        <v>44544.916666665857</v>
      </c>
      <c r="D341" s="58">
        <f t="shared" si="28"/>
        <v>44544.958333332521</v>
      </c>
      <c r="E341" s="106">
        <f t="shared" si="29"/>
        <v>18</v>
      </c>
    </row>
    <row r="342" spans="1:5" x14ac:dyDescent="0.25">
      <c r="A342" s="17">
        <f t="shared" si="26"/>
        <v>44544</v>
      </c>
      <c r="B342" s="126">
        <f t="shared" si="27"/>
        <v>24</v>
      </c>
      <c r="C342" s="58">
        <f t="shared" si="30"/>
        <v>44544.958333332521</v>
      </c>
      <c r="D342" s="58">
        <f t="shared" si="28"/>
        <v>44544.999999999185</v>
      </c>
      <c r="E342" s="106">
        <f t="shared" si="29"/>
        <v>18</v>
      </c>
    </row>
    <row r="343" spans="1:5" x14ac:dyDescent="0.25">
      <c r="A343" s="17">
        <f t="shared" si="26"/>
        <v>44545</v>
      </c>
      <c r="B343" s="126">
        <f t="shared" si="27"/>
        <v>1</v>
      </c>
      <c r="C343" s="58">
        <f t="shared" si="30"/>
        <v>44544.999999999185</v>
      </c>
      <c r="D343" s="58">
        <f t="shared" si="28"/>
        <v>44545.041666665849</v>
      </c>
      <c r="E343" s="106">
        <f t="shared" si="29"/>
        <v>16</v>
      </c>
    </row>
    <row r="344" spans="1:5" x14ac:dyDescent="0.25">
      <c r="A344" s="17">
        <f t="shared" si="26"/>
        <v>44545</v>
      </c>
      <c r="B344" s="126">
        <f t="shared" si="27"/>
        <v>2</v>
      </c>
      <c r="C344" s="58">
        <f t="shared" si="30"/>
        <v>44545.041666665849</v>
      </c>
      <c r="D344" s="58">
        <f t="shared" si="28"/>
        <v>44545.083333332514</v>
      </c>
      <c r="E344" s="106">
        <f t="shared" si="29"/>
        <v>16</v>
      </c>
    </row>
    <row r="345" spans="1:5" x14ac:dyDescent="0.25">
      <c r="A345" s="17">
        <f t="shared" si="26"/>
        <v>44545</v>
      </c>
      <c r="B345" s="126">
        <f t="shared" si="27"/>
        <v>3</v>
      </c>
      <c r="C345" s="58">
        <f t="shared" si="30"/>
        <v>44545.083333332514</v>
      </c>
      <c r="D345" s="58">
        <f t="shared" si="28"/>
        <v>44545.124999999178</v>
      </c>
      <c r="E345" s="106">
        <f t="shared" si="29"/>
        <v>16</v>
      </c>
    </row>
    <row r="346" spans="1:5" x14ac:dyDescent="0.25">
      <c r="A346" s="17">
        <f t="shared" si="26"/>
        <v>44545</v>
      </c>
      <c r="B346" s="126">
        <f t="shared" si="27"/>
        <v>4</v>
      </c>
      <c r="C346" s="58">
        <f t="shared" si="30"/>
        <v>44545.124999999178</v>
      </c>
      <c r="D346" s="58">
        <f t="shared" si="28"/>
        <v>44545.166666665842</v>
      </c>
      <c r="E346" s="106">
        <f t="shared" si="29"/>
        <v>16</v>
      </c>
    </row>
    <row r="347" spans="1:5" x14ac:dyDescent="0.25">
      <c r="A347" s="17">
        <f t="shared" si="26"/>
        <v>44545</v>
      </c>
      <c r="B347" s="126">
        <f t="shared" si="27"/>
        <v>5</v>
      </c>
      <c r="C347" s="58">
        <f t="shared" si="30"/>
        <v>44545.166666665842</v>
      </c>
      <c r="D347" s="58">
        <f t="shared" si="28"/>
        <v>44545.208333332506</v>
      </c>
      <c r="E347" s="106">
        <f t="shared" si="29"/>
        <v>16</v>
      </c>
    </row>
    <row r="348" spans="1:5" x14ac:dyDescent="0.25">
      <c r="A348" s="17">
        <f t="shared" si="26"/>
        <v>44545</v>
      </c>
      <c r="B348" s="126">
        <f t="shared" si="27"/>
        <v>6</v>
      </c>
      <c r="C348" s="58">
        <f t="shared" si="30"/>
        <v>44545.208333332506</v>
      </c>
      <c r="D348" s="58">
        <f t="shared" si="28"/>
        <v>44545.249999999171</v>
      </c>
      <c r="E348" s="106">
        <f t="shared" si="29"/>
        <v>18</v>
      </c>
    </row>
    <row r="349" spans="1:5" x14ac:dyDescent="0.25">
      <c r="A349" s="17">
        <f t="shared" si="26"/>
        <v>44545</v>
      </c>
      <c r="B349" s="126">
        <f t="shared" si="27"/>
        <v>7</v>
      </c>
      <c r="C349" s="58">
        <f t="shared" si="30"/>
        <v>44545.249999999171</v>
      </c>
      <c r="D349" s="58">
        <f t="shared" si="28"/>
        <v>44545.291666665835</v>
      </c>
      <c r="E349" s="106">
        <f t="shared" si="29"/>
        <v>18</v>
      </c>
    </row>
    <row r="350" spans="1:5" x14ac:dyDescent="0.25">
      <c r="A350" s="17">
        <f t="shared" si="26"/>
        <v>44545</v>
      </c>
      <c r="B350" s="126">
        <f t="shared" si="27"/>
        <v>8</v>
      </c>
      <c r="C350" s="58">
        <f t="shared" si="30"/>
        <v>44545.291666665835</v>
      </c>
      <c r="D350" s="58">
        <f t="shared" si="28"/>
        <v>44545.333333332499</v>
      </c>
      <c r="E350" s="106">
        <f t="shared" si="29"/>
        <v>18</v>
      </c>
    </row>
    <row r="351" spans="1:5" x14ac:dyDescent="0.25">
      <c r="A351" s="17">
        <f t="shared" si="26"/>
        <v>44545</v>
      </c>
      <c r="B351" s="126">
        <f t="shared" si="27"/>
        <v>9</v>
      </c>
      <c r="C351" s="58">
        <f t="shared" si="30"/>
        <v>44545.333333332499</v>
      </c>
      <c r="D351" s="58">
        <f t="shared" si="28"/>
        <v>44545.374999999163</v>
      </c>
      <c r="E351" s="106">
        <f t="shared" si="29"/>
        <v>18</v>
      </c>
    </row>
    <row r="352" spans="1:5" x14ac:dyDescent="0.25">
      <c r="A352" s="17">
        <f t="shared" si="26"/>
        <v>44545</v>
      </c>
      <c r="B352" s="126">
        <f t="shared" si="27"/>
        <v>10</v>
      </c>
      <c r="C352" s="58">
        <f t="shared" si="30"/>
        <v>44545.374999999163</v>
      </c>
      <c r="D352" s="58">
        <f t="shared" si="28"/>
        <v>44545.416666665828</v>
      </c>
      <c r="E352" s="106">
        <f t="shared" si="29"/>
        <v>18</v>
      </c>
    </row>
    <row r="353" spans="1:5" x14ac:dyDescent="0.25">
      <c r="A353" s="17">
        <f t="shared" si="26"/>
        <v>44545</v>
      </c>
      <c r="B353" s="126">
        <f t="shared" si="27"/>
        <v>11</v>
      </c>
      <c r="C353" s="58">
        <f t="shared" si="30"/>
        <v>44545.416666665828</v>
      </c>
      <c r="D353" s="58">
        <f t="shared" si="28"/>
        <v>44545.458333332492</v>
      </c>
      <c r="E353" s="106">
        <f t="shared" si="29"/>
        <v>18</v>
      </c>
    </row>
    <row r="354" spans="1:5" x14ac:dyDescent="0.25">
      <c r="A354" s="17">
        <f t="shared" si="26"/>
        <v>44545</v>
      </c>
      <c r="B354" s="126">
        <f t="shared" si="27"/>
        <v>12</v>
      </c>
      <c r="C354" s="58">
        <f t="shared" si="30"/>
        <v>44545.458333332492</v>
      </c>
      <c r="D354" s="58">
        <f t="shared" si="28"/>
        <v>44545.499999999156</v>
      </c>
      <c r="E354" s="106">
        <f t="shared" si="29"/>
        <v>20</v>
      </c>
    </row>
    <row r="355" spans="1:5" x14ac:dyDescent="0.25">
      <c r="A355" s="17">
        <f t="shared" si="26"/>
        <v>44545</v>
      </c>
      <c r="B355" s="126">
        <f t="shared" si="27"/>
        <v>13</v>
      </c>
      <c r="C355" s="58">
        <f t="shared" si="30"/>
        <v>44545.499999999156</v>
      </c>
      <c r="D355" s="58">
        <f t="shared" si="28"/>
        <v>44545.54166666582</v>
      </c>
      <c r="E355" s="106">
        <f t="shared" si="29"/>
        <v>20</v>
      </c>
    </row>
    <row r="356" spans="1:5" x14ac:dyDescent="0.25">
      <c r="A356" s="17">
        <f t="shared" si="26"/>
        <v>44545</v>
      </c>
      <c r="B356" s="126">
        <f t="shared" si="27"/>
        <v>14</v>
      </c>
      <c r="C356" s="58">
        <f t="shared" si="30"/>
        <v>44545.54166666582</v>
      </c>
      <c r="D356" s="58">
        <f t="shared" si="28"/>
        <v>44545.583333332484</v>
      </c>
      <c r="E356" s="106">
        <f t="shared" si="29"/>
        <v>20</v>
      </c>
    </row>
    <row r="357" spans="1:5" x14ac:dyDescent="0.25">
      <c r="A357" s="17">
        <f t="shared" si="26"/>
        <v>44545</v>
      </c>
      <c r="B357" s="126">
        <f t="shared" si="27"/>
        <v>15</v>
      </c>
      <c r="C357" s="58">
        <f t="shared" si="30"/>
        <v>44545.583333332484</v>
      </c>
      <c r="D357" s="58">
        <f t="shared" si="28"/>
        <v>44545.624999999149</v>
      </c>
      <c r="E357" s="106">
        <f t="shared" si="29"/>
        <v>18.68</v>
      </c>
    </row>
    <row r="358" spans="1:5" x14ac:dyDescent="0.25">
      <c r="A358" s="17">
        <f t="shared" si="26"/>
        <v>44545</v>
      </c>
      <c r="B358" s="126">
        <f t="shared" si="27"/>
        <v>16</v>
      </c>
      <c r="C358" s="58">
        <f t="shared" si="30"/>
        <v>44545.624999999149</v>
      </c>
      <c r="D358" s="58">
        <f t="shared" si="28"/>
        <v>44545.666666665813</v>
      </c>
      <c r="E358" s="106">
        <f t="shared" si="29"/>
        <v>18.68</v>
      </c>
    </row>
    <row r="359" spans="1:5" x14ac:dyDescent="0.25">
      <c r="A359" s="17">
        <f t="shared" si="26"/>
        <v>44545</v>
      </c>
      <c r="B359" s="126">
        <f t="shared" si="27"/>
        <v>17</v>
      </c>
      <c r="C359" s="58">
        <f t="shared" si="30"/>
        <v>44545.666666665813</v>
      </c>
      <c r="D359" s="58">
        <f t="shared" si="28"/>
        <v>44545.708333332477</v>
      </c>
      <c r="E359" s="106">
        <f t="shared" si="29"/>
        <v>18.68</v>
      </c>
    </row>
    <row r="360" spans="1:5" x14ac:dyDescent="0.25">
      <c r="A360" s="17">
        <f t="shared" si="26"/>
        <v>44545</v>
      </c>
      <c r="B360" s="126">
        <f t="shared" si="27"/>
        <v>18</v>
      </c>
      <c r="C360" s="58">
        <f t="shared" si="30"/>
        <v>44545.708333332477</v>
      </c>
      <c r="D360" s="58">
        <f t="shared" si="28"/>
        <v>44545.749999999141</v>
      </c>
      <c r="E360" s="106">
        <f t="shared" si="29"/>
        <v>18.68</v>
      </c>
    </row>
    <row r="361" spans="1:5" x14ac:dyDescent="0.25">
      <c r="A361" s="17">
        <f t="shared" si="26"/>
        <v>44545</v>
      </c>
      <c r="B361" s="126">
        <f t="shared" si="27"/>
        <v>19</v>
      </c>
      <c r="C361" s="58">
        <f t="shared" si="30"/>
        <v>44545.749999999141</v>
      </c>
      <c r="D361" s="58">
        <f t="shared" si="28"/>
        <v>44545.791666665806</v>
      </c>
      <c r="E361" s="106">
        <f t="shared" si="29"/>
        <v>18.68</v>
      </c>
    </row>
    <row r="362" spans="1:5" x14ac:dyDescent="0.25">
      <c r="A362" s="17">
        <f t="shared" si="26"/>
        <v>44545</v>
      </c>
      <c r="B362" s="126">
        <f t="shared" si="27"/>
        <v>20</v>
      </c>
      <c r="C362" s="58">
        <f t="shared" si="30"/>
        <v>44545.791666665806</v>
      </c>
      <c r="D362" s="58">
        <f t="shared" si="28"/>
        <v>44545.83333333247</v>
      </c>
      <c r="E362" s="106">
        <f t="shared" si="29"/>
        <v>18.68</v>
      </c>
    </row>
    <row r="363" spans="1:5" x14ac:dyDescent="0.25">
      <c r="A363" s="17">
        <f t="shared" si="26"/>
        <v>44545</v>
      </c>
      <c r="B363" s="126">
        <f t="shared" si="27"/>
        <v>21</v>
      </c>
      <c r="C363" s="58">
        <f t="shared" si="30"/>
        <v>44545.83333333247</v>
      </c>
      <c r="D363" s="58">
        <f t="shared" si="28"/>
        <v>44545.874999999134</v>
      </c>
      <c r="E363" s="106">
        <f t="shared" si="29"/>
        <v>18.68</v>
      </c>
    </row>
    <row r="364" spans="1:5" x14ac:dyDescent="0.25">
      <c r="A364" s="17">
        <f t="shared" si="26"/>
        <v>44545</v>
      </c>
      <c r="B364" s="126">
        <f t="shared" si="27"/>
        <v>22</v>
      </c>
      <c r="C364" s="58">
        <f t="shared" si="30"/>
        <v>44545.874999999134</v>
      </c>
      <c r="D364" s="58">
        <f t="shared" si="28"/>
        <v>44545.916666665798</v>
      </c>
      <c r="E364" s="106">
        <f t="shared" si="29"/>
        <v>18.68</v>
      </c>
    </row>
    <row r="365" spans="1:5" x14ac:dyDescent="0.25">
      <c r="A365" s="17">
        <f t="shared" si="26"/>
        <v>44545</v>
      </c>
      <c r="B365" s="126">
        <f t="shared" si="27"/>
        <v>23</v>
      </c>
      <c r="C365" s="58">
        <f t="shared" si="30"/>
        <v>44545.916666665798</v>
      </c>
      <c r="D365" s="58">
        <f t="shared" si="28"/>
        <v>44545.958333332463</v>
      </c>
      <c r="E365" s="106">
        <f t="shared" si="29"/>
        <v>18.68</v>
      </c>
    </row>
    <row r="366" spans="1:5" x14ac:dyDescent="0.25">
      <c r="A366" s="17">
        <f t="shared" si="26"/>
        <v>44545</v>
      </c>
      <c r="B366" s="126">
        <f t="shared" si="27"/>
        <v>24</v>
      </c>
      <c r="C366" s="58">
        <f t="shared" si="30"/>
        <v>44545.958333332463</v>
      </c>
      <c r="D366" s="58">
        <f t="shared" si="28"/>
        <v>44545.999999999127</v>
      </c>
      <c r="E366" s="106">
        <f t="shared" si="29"/>
        <v>16.64</v>
      </c>
    </row>
    <row r="367" spans="1:5" x14ac:dyDescent="0.25">
      <c r="A367" s="17">
        <f t="shared" si="26"/>
        <v>44546</v>
      </c>
      <c r="B367" s="126">
        <f t="shared" si="27"/>
        <v>1</v>
      </c>
      <c r="C367" s="58">
        <f t="shared" si="30"/>
        <v>44545.999999999127</v>
      </c>
      <c r="D367" s="58">
        <f t="shared" si="28"/>
        <v>44546.041666665791</v>
      </c>
      <c r="E367" s="106">
        <f t="shared" si="29"/>
        <v>30.21</v>
      </c>
    </row>
    <row r="368" spans="1:5" x14ac:dyDescent="0.25">
      <c r="A368" s="17">
        <f t="shared" si="26"/>
        <v>44546</v>
      </c>
      <c r="B368" s="126">
        <f t="shared" si="27"/>
        <v>2</v>
      </c>
      <c r="C368" s="58">
        <f t="shared" si="30"/>
        <v>44546.041666665791</v>
      </c>
      <c r="D368" s="58">
        <f t="shared" si="28"/>
        <v>44546.083333332455</v>
      </c>
      <c r="E368" s="106">
        <f t="shared" si="29"/>
        <v>30.21</v>
      </c>
    </row>
    <row r="369" spans="1:5" x14ac:dyDescent="0.25">
      <c r="A369" s="17">
        <f t="shared" si="26"/>
        <v>44546</v>
      </c>
      <c r="B369" s="126">
        <f t="shared" si="27"/>
        <v>3</v>
      </c>
      <c r="C369" s="58">
        <f t="shared" si="30"/>
        <v>44546.083333332455</v>
      </c>
      <c r="D369" s="58">
        <f t="shared" si="28"/>
        <v>44546.12499999912</v>
      </c>
      <c r="E369" s="106">
        <f t="shared" si="29"/>
        <v>30.21</v>
      </c>
    </row>
    <row r="370" spans="1:5" x14ac:dyDescent="0.25">
      <c r="A370" s="17">
        <f t="shared" si="26"/>
        <v>44546</v>
      </c>
      <c r="B370" s="126">
        <f t="shared" si="27"/>
        <v>4</v>
      </c>
      <c r="C370" s="58">
        <f t="shared" si="30"/>
        <v>44546.12499999912</v>
      </c>
      <c r="D370" s="58">
        <f t="shared" si="28"/>
        <v>44546.166666665784</v>
      </c>
      <c r="E370" s="106">
        <f t="shared" si="29"/>
        <v>30.21</v>
      </c>
    </row>
    <row r="371" spans="1:5" x14ac:dyDescent="0.25">
      <c r="A371" s="17">
        <f t="shared" si="26"/>
        <v>44546</v>
      </c>
      <c r="B371" s="126">
        <f t="shared" si="27"/>
        <v>5</v>
      </c>
      <c r="C371" s="58">
        <f t="shared" si="30"/>
        <v>44546.166666665784</v>
      </c>
      <c r="D371" s="58">
        <f t="shared" si="28"/>
        <v>44546.208333332448</v>
      </c>
      <c r="E371" s="106">
        <f t="shared" si="29"/>
        <v>30.21</v>
      </c>
    </row>
    <row r="372" spans="1:5" x14ac:dyDescent="0.25">
      <c r="A372" s="17">
        <f t="shared" si="26"/>
        <v>44546</v>
      </c>
      <c r="B372" s="126">
        <f t="shared" si="27"/>
        <v>6</v>
      </c>
      <c r="C372" s="58">
        <f t="shared" si="30"/>
        <v>44546.208333332448</v>
      </c>
      <c r="D372" s="58">
        <f t="shared" si="28"/>
        <v>44546.249999999112</v>
      </c>
      <c r="E372" s="106">
        <f t="shared" si="29"/>
        <v>30.21</v>
      </c>
    </row>
    <row r="373" spans="1:5" x14ac:dyDescent="0.25">
      <c r="A373" s="17">
        <f t="shared" si="26"/>
        <v>44546</v>
      </c>
      <c r="B373" s="126">
        <f t="shared" si="27"/>
        <v>7</v>
      </c>
      <c r="C373" s="58">
        <f t="shared" si="30"/>
        <v>44546.249999999112</v>
      </c>
      <c r="D373" s="58">
        <f t="shared" si="28"/>
        <v>44546.291666665777</v>
      </c>
      <c r="E373" s="106">
        <f t="shared" si="29"/>
        <v>30.21</v>
      </c>
    </row>
    <row r="374" spans="1:5" x14ac:dyDescent="0.25">
      <c r="A374" s="17">
        <f t="shared" si="26"/>
        <v>44546</v>
      </c>
      <c r="B374" s="126">
        <f t="shared" si="27"/>
        <v>8</v>
      </c>
      <c r="C374" s="58">
        <f t="shared" si="30"/>
        <v>44546.291666665777</v>
      </c>
      <c r="D374" s="58">
        <f t="shared" si="28"/>
        <v>44546.333333332441</v>
      </c>
      <c r="E374" s="106">
        <f t="shared" si="29"/>
        <v>18</v>
      </c>
    </row>
    <row r="375" spans="1:5" x14ac:dyDescent="0.25">
      <c r="A375" s="17">
        <f t="shared" si="26"/>
        <v>44546</v>
      </c>
      <c r="B375" s="126">
        <f t="shared" si="27"/>
        <v>9</v>
      </c>
      <c r="C375" s="58">
        <f t="shared" si="30"/>
        <v>44546.333333332441</v>
      </c>
      <c r="D375" s="58">
        <f t="shared" si="28"/>
        <v>44546.374999999105</v>
      </c>
      <c r="E375" s="106">
        <f t="shared" si="29"/>
        <v>18</v>
      </c>
    </row>
    <row r="376" spans="1:5" x14ac:dyDescent="0.25">
      <c r="A376" s="17">
        <f t="shared" si="26"/>
        <v>44546</v>
      </c>
      <c r="B376" s="126">
        <f t="shared" si="27"/>
        <v>10</v>
      </c>
      <c r="C376" s="58">
        <f t="shared" si="30"/>
        <v>44546.374999999105</v>
      </c>
      <c r="D376" s="58">
        <f t="shared" si="28"/>
        <v>44546.416666665769</v>
      </c>
      <c r="E376" s="106">
        <f t="shared" si="29"/>
        <v>18</v>
      </c>
    </row>
    <row r="377" spans="1:5" x14ac:dyDescent="0.25">
      <c r="A377" s="17">
        <f t="shared" si="26"/>
        <v>44546</v>
      </c>
      <c r="B377" s="126">
        <f t="shared" si="27"/>
        <v>11</v>
      </c>
      <c r="C377" s="58">
        <f t="shared" si="30"/>
        <v>44546.416666665769</v>
      </c>
      <c r="D377" s="58">
        <f t="shared" si="28"/>
        <v>44546.458333332434</v>
      </c>
      <c r="E377" s="106">
        <f t="shared" si="29"/>
        <v>18</v>
      </c>
    </row>
    <row r="378" spans="1:5" x14ac:dyDescent="0.25">
      <c r="A378" s="17">
        <f t="shared" si="26"/>
        <v>44546</v>
      </c>
      <c r="B378" s="126">
        <f t="shared" si="27"/>
        <v>12</v>
      </c>
      <c r="C378" s="58">
        <f t="shared" si="30"/>
        <v>44546.458333332434</v>
      </c>
      <c r="D378" s="58">
        <f t="shared" si="28"/>
        <v>44546.499999999098</v>
      </c>
      <c r="E378" s="106">
        <f t="shared" si="29"/>
        <v>18</v>
      </c>
    </row>
    <row r="379" spans="1:5" x14ac:dyDescent="0.25">
      <c r="A379" s="17">
        <f t="shared" si="26"/>
        <v>44546</v>
      </c>
      <c r="B379" s="126">
        <f t="shared" si="27"/>
        <v>13</v>
      </c>
      <c r="C379" s="58">
        <f t="shared" si="30"/>
        <v>44546.499999999098</v>
      </c>
      <c r="D379" s="58">
        <f t="shared" si="28"/>
        <v>44546.541666665762</v>
      </c>
      <c r="E379" s="106">
        <f t="shared" si="29"/>
        <v>18</v>
      </c>
    </row>
    <row r="380" spans="1:5" x14ac:dyDescent="0.25">
      <c r="A380" s="17">
        <f t="shared" si="26"/>
        <v>44546</v>
      </c>
      <c r="B380" s="126">
        <f t="shared" si="27"/>
        <v>14</v>
      </c>
      <c r="C380" s="58">
        <f t="shared" si="30"/>
        <v>44546.541666665762</v>
      </c>
      <c r="D380" s="58">
        <f t="shared" si="28"/>
        <v>44546.583333332426</v>
      </c>
      <c r="E380" s="106">
        <f t="shared" si="29"/>
        <v>18</v>
      </c>
    </row>
    <row r="381" spans="1:5" x14ac:dyDescent="0.25">
      <c r="A381" s="17">
        <f t="shared" si="26"/>
        <v>44546</v>
      </c>
      <c r="B381" s="126">
        <f t="shared" si="27"/>
        <v>15</v>
      </c>
      <c r="C381" s="58">
        <f t="shared" si="30"/>
        <v>44546.583333332426</v>
      </c>
      <c r="D381" s="58">
        <f t="shared" si="28"/>
        <v>44546.624999999091</v>
      </c>
      <c r="E381" s="106">
        <f t="shared" si="29"/>
        <v>18</v>
      </c>
    </row>
    <row r="382" spans="1:5" x14ac:dyDescent="0.25">
      <c r="A382" s="17">
        <f t="shared" si="26"/>
        <v>44546</v>
      </c>
      <c r="B382" s="126">
        <f t="shared" si="27"/>
        <v>16</v>
      </c>
      <c r="C382" s="58">
        <f t="shared" si="30"/>
        <v>44546.624999999091</v>
      </c>
      <c r="D382" s="58">
        <f t="shared" si="28"/>
        <v>44546.666666665755</v>
      </c>
      <c r="E382" s="106">
        <f t="shared" si="29"/>
        <v>18</v>
      </c>
    </row>
    <row r="383" spans="1:5" x14ac:dyDescent="0.25">
      <c r="A383" s="17">
        <f t="shared" si="26"/>
        <v>44546</v>
      </c>
      <c r="B383" s="126">
        <f t="shared" si="27"/>
        <v>17</v>
      </c>
      <c r="C383" s="58">
        <f t="shared" si="30"/>
        <v>44546.666666665755</v>
      </c>
      <c r="D383" s="58">
        <f t="shared" si="28"/>
        <v>44546.708333332419</v>
      </c>
      <c r="E383" s="106">
        <f t="shared" si="29"/>
        <v>18</v>
      </c>
    </row>
    <row r="384" spans="1:5" x14ac:dyDescent="0.25">
      <c r="A384" s="17">
        <f t="shared" si="26"/>
        <v>44546</v>
      </c>
      <c r="B384" s="126">
        <f t="shared" si="27"/>
        <v>18</v>
      </c>
      <c r="C384" s="58">
        <f t="shared" si="30"/>
        <v>44546.708333332419</v>
      </c>
      <c r="D384" s="58">
        <f t="shared" si="28"/>
        <v>44546.749999999083</v>
      </c>
      <c r="E384" s="106">
        <f t="shared" si="29"/>
        <v>18</v>
      </c>
    </row>
    <row r="385" spans="1:5" x14ac:dyDescent="0.25">
      <c r="A385" s="17">
        <f t="shared" si="26"/>
        <v>44546</v>
      </c>
      <c r="B385" s="126">
        <f t="shared" si="27"/>
        <v>19</v>
      </c>
      <c r="C385" s="58">
        <f t="shared" si="30"/>
        <v>44546.749999999083</v>
      </c>
      <c r="D385" s="58">
        <f t="shared" si="28"/>
        <v>44546.791666665747</v>
      </c>
      <c r="E385" s="106">
        <f t="shared" si="29"/>
        <v>18</v>
      </c>
    </row>
    <row r="386" spans="1:5" x14ac:dyDescent="0.25">
      <c r="A386" s="17">
        <f t="shared" si="26"/>
        <v>44546</v>
      </c>
      <c r="B386" s="126">
        <f t="shared" si="27"/>
        <v>20</v>
      </c>
      <c r="C386" s="58">
        <f t="shared" si="30"/>
        <v>44546.791666665747</v>
      </c>
      <c r="D386" s="58">
        <f t="shared" si="28"/>
        <v>44546.833333332412</v>
      </c>
      <c r="E386" s="106">
        <f t="shared" si="29"/>
        <v>18</v>
      </c>
    </row>
    <row r="387" spans="1:5" x14ac:dyDescent="0.25">
      <c r="A387" s="17">
        <f t="shared" si="26"/>
        <v>44546</v>
      </c>
      <c r="B387" s="126">
        <f t="shared" si="27"/>
        <v>21</v>
      </c>
      <c r="C387" s="58">
        <f t="shared" si="30"/>
        <v>44546.833333332412</v>
      </c>
      <c r="D387" s="58">
        <f t="shared" si="28"/>
        <v>44546.874999999076</v>
      </c>
      <c r="E387" s="106">
        <f t="shared" si="29"/>
        <v>18</v>
      </c>
    </row>
    <row r="388" spans="1:5" x14ac:dyDescent="0.25">
      <c r="A388" s="17">
        <f t="shared" si="26"/>
        <v>44546</v>
      </c>
      <c r="B388" s="126">
        <f t="shared" si="27"/>
        <v>22</v>
      </c>
      <c r="C388" s="58">
        <f t="shared" si="30"/>
        <v>44546.874999999076</v>
      </c>
      <c r="D388" s="58">
        <f t="shared" si="28"/>
        <v>44546.91666666574</v>
      </c>
      <c r="E388" s="106">
        <f t="shared" si="29"/>
        <v>18</v>
      </c>
    </row>
    <row r="389" spans="1:5" x14ac:dyDescent="0.25">
      <c r="A389" s="17">
        <f t="shared" si="26"/>
        <v>44546</v>
      </c>
      <c r="B389" s="126">
        <f t="shared" si="27"/>
        <v>23</v>
      </c>
      <c r="C389" s="58">
        <f t="shared" si="30"/>
        <v>44546.91666666574</v>
      </c>
      <c r="D389" s="58">
        <f t="shared" si="28"/>
        <v>44546.958333332404</v>
      </c>
      <c r="E389" s="106">
        <f t="shared" si="29"/>
        <v>18</v>
      </c>
    </row>
    <row r="390" spans="1:5" x14ac:dyDescent="0.25">
      <c r="A390" s="17">
        <f t="shared" si="26"/>
        <v>44546</v>
      </c>
      <c r="B390" s="126">
        <f t="shared" si="27"/>
        <v>24</v>
      </c>
      <c r="C390" s="58">
        <f t="shared" si="30"/>
        <v>44546.958333332404</v>
      </c>
      <c r="D390" s="58">
        <f t="shared" si="28"/>
        <v>44546.999999999069</v>
      </c>
      <c r="E390" s="106">
        <f t="shared" si="29"/>
        <v>30.21</v>
      </c>
    </row>
    <row r="391" spans="1:5" x14ac:dyDescent="0.25">
      <c r="A391" s="17">
        <f t="shared" si="26"/>
        <v>44547</v>
      </c>
      <c r="B391" s="126">
        <f t="shared" si="27"/>
        <v>1</v>
      </c>
      <c r="C391" s="58">
        <f t="shared" si="30"/>
        <v>44546.999999999069</v>
      </c>
      <c r="D391" s="58">
        <f t="shared" si="28"/>
        <v>44547.041666665733</v>
      </c>
      <c r="E391" s="106">
        <f t="shared" si="29"/>
        <v>18.87</v>
      </c>
    </row>
    <row r="392" spans="1:5" x14ac:dyDescent="0.25">
      <c r="A392" s="17">
        <f t="shared" ref="A392:A455" si="31">DATE(YEAR(C392),MONTH(C392),DAY(C392))</f>
        <v>44547</v>
      </c>
      <c r="B392" s="126">
        <f t="shared" ref="B392:B455" si="32">HOUR(C392)+1</f>
        <v>2</v>
      </c>
      <c r="C392" s="58">
        <f t="shared" si="30"/>
        <v>44547.041666665733</v>
      </c>
      <c r="D392" s="58">
        <f t="shared" ref="D392:D455" si="33">$C392+1/24</f>
        <v>44547.083333332397</v>
      </c>
      <c r="E392" s="106">
        <f t="shared" ref="E392:E455" si="34">VLOOKUP(A392,$K$6:$AI$36,B392+1,FALSE)</f>
        <v>18.87</v>
      </c>
    </row>
    <row r="393" spans="1:5" x14ac:dyDescent="0.25">
      <c r="A393" s="17">
        <f t="shared" si="31"/>
        <v>44547</v>
      </c>
      <c r="B393" s="126">
        <f t="shared" si="32"/>
        <v>3</v>
      </c>
      <c r="C393" s="58">
        <f t="shared" ref="C393:C456" si="35">$C392+1/24</f>
        <v>44547.083333332397</v>
      </c>
      <c r="D393" s="58">
        <f t="shared" si="33"/>
        <v>44547.124999999061</v>
      </c>
      <c r="E393" s="106">
        <f t="shared" si="34"/>
        <v>15</v>
      </c>
    </row>
    <row r="394" spans="1:5" x14ac:dyDescent="0.25">
      <c r="A394" s="17">
        <f t="shared" si="31"/>
        <v>44547</v>
      </c>
      <c r="B394" s="126">
        <f t="shared" si="32"/>
        <v>4</v>
      </c>
      <c r="C394" s="58">
        <f t="shared" si="35"/>
        <v>44547.124999999061</v>
      </c>
      <c r="D394" s="58">
        <f t="shared" si="33"/>
        <v>44547.166666665726</v>
      </c>
      <c r="E394" s="106">
        <f t="shared" si="34"/>
        <v>18.87</v>
      </c>
    </row>
    <row r="395" spans="1:5" x14ac:dyDescent="0.25">
      <c r="A395" s="17">
        <f t="shared" si="31"/>
        <v>44547</v>
      </c>
      <c r="B395" s="126">
        <f t="shared" si="32"/>
        <v>5</v>
      </c>
      <c r="C395" s="58">
        <f t="shared" si="35"/>
        <v>44547.166666665726</v>
      </c>
      <c r="D395" s="58">
        <f t="shared" si="33"/>
        <v>44547.20833333239</v>
      </c>
      <c r="E395" s="106">
        <f t="shared" si="34"/>
        <v>18.87</v>
      </c>
    </row>
    <row r="396" spans="1:5" x14ac:dyDescent="0.25">
      <c r="A396" s="17">
        <f t="shared" si="31"/>
        <v>44547</v>
      </c>
      <c r="B396" s="126">
        <f t="shared" si="32"/>
        <v>6</v>
      </c>
      <c r="C396" s="58">
        <f t="shared" si="35"/>
        <v>44547.20833333239</v>
      </c>
      <c r="D396" s="58">
        <f t="shared" si="33"/>
        <v>44547.249999999054</v>
      </c>
      <c r="E396" s="106">
        <f t="shared" si="34"/>
        <v>18.87</v>
      </c>
    </row>
    <row r="397" spans="1:5" x14ac:dyDescent="0.25">
      <c r="A397" s="17">
        <f t="shared" si="31"/>
        <v>44547</v>
      </c>
      <c r="B397" s="126">
        <f t="shared" si="32"/>
        <v>7</v>
      </c>
      <c r="C397" s="58">
        <f t="shared" si="35"/>
        <v>44547.249999999054</v>
      </c>
      <c r="D397" s="58">
        <f t="shared" si="33"/>
        <v>44547.291666665718</v>
      </c>
      <c r="E397" s="106">
        <f t="shared" si="34"/>
        <v>18.87</v>
      </c>
    </row>
    <row r="398" spans="1:5" x14ac:dyDescent="0.25">
      <c r="A398" s="17">
        <f t="shared" si="31"/>
        <v>44547</v>
      </c>
      <c r="B398" s="126">
        <f t="shared" si="32"/>
        <v>8</v>
      </c>
      <c r="C398" s="58">
        <f t="shared" si="35"/>
        <v>44547.291666665718</v>
      </c>
      <c r="D398" s="58">
        <f t="shared" si="33"/>
        <v>44547.333333332383</v>
      </c>
      <c r="E398" s="106">
        <f t="shared" si="34"/>
        <v>18.87</v>
      </c>
    </row>
    <row r="399" spans="1:5" x14ac:dyDescent="0.25">
      <c r="A399" s="17">
        <f t="shared" si="31"/>
        <v>44547</v>
      </c>
      <c r="B399" s="126">
        <f t="shared" si="32"/>
        <v>9</v>
      </c>
      <c r="C399" s="58">
        <f t="shared" si="35"/>
        <v>44547.333333332383</v>
      </c>
      <c r="D399" s="58">
        <f t="shared" si="33"/>
        <v>44547.374999999047</v>
      </c>
      <c r="E399" s="106">
        <f t="shared" si="34"/>
        <v>18.87</v>
      </c>
    </row>
    <row r="400" spans="1:5" x14ac:dyDescent="0.25">
      <c r="A400" s="17">
        <f t="shared" si="31"/>
        <v>44547</v>
      </c>
      <c r="B400" s="126">
        <f t="shared" si="32"/>
        <v>10</v>
      </c>
      <c r="C400" s="58">
        <f t="shared" si="35"/>
        <v>44547.374999999047</v>
      </c>
      <c r="D400" s="58">
        <f t="shared" si="33"/>
        <v>44547.416666665711</v>
      </c>
      <c r="E400" s="106">
        <f t="shared" si="34"/>
        <v>18.87</v>
      </c>
    </row>
    <row r="401" spans="1:5" x14ac:dyDescent="0.25">
      <c r="A401" s="17">
        <f t="shared" si="31"/>
        <v>44547</v>
      </c>
      <c r="B401" s="126">
        <f t="shared" si="32"/>
        <v>11</v>
      </c>
      <c r="C401" s="58">
        <f t="shared" si="35"/>
        <v>44547.416666665711</v>
      </c>
      <c r="D401" s="58">
        <f t="shared" si="33"/>
        <v>44547.458333332375</v>
      </c>
      <c r="E401" s="106">
        <f t="shared" si="34"/>
        <v>18.87</v>
      </c>
    </row>
    <row r="402" spans="1:5" x14ac:dyDescent="0.25">
      <c r="A402" s="17">
        <f t="shared" si="31"/>
        <v>44547</v>
      </c>
      <c r="B402" s="126">
        <f t="shared" si="32"/>
        <v>12</v>
      </c>
      <c r="C402" s="58">
        <f t="shared" si="35"/>
        <v>44547.458333332375</v>
      </c>
      <c r="D402" s="58">
        <f t="shared" si="33"/>
        <v>44547.49999999904</v>
      </c>
      <c r="E402" s="106">
        <f t="shared" si="34"/>
        <v>18.87</v>
      </c>
    </row>
    <row r="403" spans="1:5" x14ac:dyDescent="0.25">
      <c r="A403" s="17">
        <f t="shared" si="31"/>
        <v>44547</v>
      </c>
      <c r="B403" s="126">
        <f t="shared" si="32"/>
        <v>13</v>
      </c>
      <c r="C403" s="58">
        <f t="shared" si="35"/>
        <v>44547.49999999904</v>
      </c>
      <c r="D403" s="58">
        <f t="shared" si="33"/>
        <v>44547.541666665704</v>
      </c>
      <c r="E403" s="106">
        <f t="shared" si="34"/>
        <v>18.87</v>
      </c>
    </row>
    <row r="404" spans="1:5" x14ac:dyDescent="0.25">
      <c r="A404" s="17">
        <f t="shared" si="31"/>
        <v>44547</v>
      </c>
      <c r="B404" s="126">
        <f t="shared" si="32"/>
        <v>14</v>
      </c>
      <c r="C404" s="58">
        <f t="shared" si="35"/>
        <v>44547.541666665704</v>
      </c>
      <c r="D404" s="58">
        <f t="shared" si="33"/>
        <v>44547.583333332368</v>
      </c>
      <c r="E404" s="106">
        <f t="shared" si="34"/>
        <v>18.87</v>
      </c>
    </row>
    <row r="405" spans="1:5" x14ac:dyDescent="0.25">
      <c r="A405" s="17">
        <f t="shared" si="31"/>
        <v>44547</v>
      </c>
      <c r="B405" s="126">
        <f t="shared" si="32"/>
        <v>15</v>
      </c>
      <c r="C405" s="58">
        <f t="shared" si="35"/>
        <v>44547.583333332368</v>
      </c>
      <c r="D405" s="58">
        <f t="shared" si="33"/>
        <v>44547.624999999032</v>
      </c>
      <c r="E405" s="106">
        <f t="shared" si="34"/>
        <v>18.87</v>
      </c>
    </row>
    <row r="406" spans="1:5" x14ac:dyDescent="0.25">
      <c r="A406" s="17">
        <f t="shared" si="31"/>
        <v>44547</v>
      </c>
      <c r="B406" s="126">
        <f t="shared" si="32"/>
        <v>16</v>
      </c>
      <c r="C406" s="58">
        <f t="shared" si="35"/>
        <v>44547.624999999032</v>
      </c>
      <c r="D406" s="58">
        <f t="shared" si="33"/>
        <v>44547.666666665697</v>
      </c>
      <c r="E406" s="106">
        <f t="shared" si="34"/>
        <v>20</v>
      </c>
    </row>
    <row r="407" spans="1:5" x14ac:dyDescent="0.25">
      <c r="A407" s="17">
        <f t="shared" si="31"/>
        <v>44547</v>
      </c>
      <c r="B407" s="126">
        <f t="shared" si="32"/>
        <v>17</v>
      </c>
      <c r="C407" s="58">
        <f t="shared" si="35"/>
        <v>44547.666666665697</v>
      </c>
      <c r="D407" s="58">
        <f t="shared" si="33"/>
        <v>44547.708333332361</v>
      </c>
      <c r="E407" s="106">
        <f t="shared" si="34"/>
        <v>22</v>
      </c>
    </row>
    <row r="408" spans="1:5" x14ac:dyDescent="0.25">
      <c r="A408" s="17">
        <f t="shared" si="31"/>
        <v>44547</v>
      </c>
      <c r="B408" s="126">
        <f t="shared" si="32"/>
        <v>18</v>
      </c>
      <c r="C408" s="58">
        <f t="shared" si="35"/>
        <v>44547.708333332361</v>
      </c>
      <c r="D408" s="58">
        <f t="shared" si="33"/>
        <v>44547.749999999025</v>
      </c>
      <c r="E408" s="106">
        <f t="shared" si="34"/>
        <v>18.87</v>
      </c>
    </row>
    <row r="409" spans="1:5" x14ac:dyDescent="0.25">
      <c r="A409" s="17">
        <f t="shared" si="31"/>
        <v>44547</v>
      </c>
      <c r="B409" s="126">
        <f t="shared" si="32"/>
        <v>19</v>
      </c>
      <c r="C409" s="58">
        <f t="shared" si="35"/>
        <v>44547.749999999025</v>
      </c>
      <c r="D409" s="58">
        <f t="shared" si="33"/>
        <v>44547.791666665689</v>
      </c>
      <c r="E409" s="106">
        <f t="shared" si="34"/>
        <v>18.87</v>
      </c>
    </row>
    <row r="410" spans="1:5" x14ac:dyDescent="0.25">
      <c r="A410" s="17">
        <f t="shared" si="31"/>
        <v>44547</v>
      </c>
      <c r="B410" s="126">
        <f t="shared" si="32"/>
        <v>20</v>
      </c>
      <c r="C410" s="58">
        <f t="shared" si="35"/>
        <v>44547.791666665689</v>
      </c>
      <c r="D410" s="58">
        <f t="shared" si="33"/>
        <v>44547.833333332354</v>
      </c>
      <c r="E410" s="106">
        <f t="shared" si="34"/>
        <v>18.87</v>
      </c>
    </row>
    <row r="411" spans="1:5" x14ac:dyDescent="0.25">
      <c r="A411" s="17">
        <f t="shared" si="31"/>
        <v>44547</v>
      </c>
      <c r="B411" s="126">
        <f t="shared" si="32"/>
        <v>21</v>
      </c>
      <c r="C411" s="58">
        <f t="shared" si="35"/>
        <v>44547.833333332354</v>
      </c>
      <c r="D411" s="58">
        <f t="shared" si="33"/>
        <v>44547.874999999018</v>
      </c>
      <c r="E411" s="106">
        <f t="shared" si="34"/>
        <v>18.87</v>
      </c>
    </row>
    <row r="412" spans="1:5" x14ac:dyDescent="0.25">
      <c r="A412" s="17">
        <f t="shared" si="31"/>
        <v>44547</v>
      </c>
      <c r="B412" s="126">
        <f t="shared" si="32"/>
        <v>22</v>
      </c>
      <c r="C412" s="58">
        <f t="shared" si="35"/>
        <v>44547.874999999018</v>
      </c>
      <c r="D412" s="58">
        <f t="shared" si="33"/>
        <v>44547.916666665682</v>
      </c>
      <c r="E412" s="106">
        <f t="shared" si="34"/>
        <v>18.87</v>
      </c>
    </row>
    <row r="413" spans="1:5" x14ac:dyDescent="0.25">
      <c r="A413" s="17">
        <f t="shared" si="31"/>
        <v>44547</v>
      </c>
      <c r="B413" s="126">
        <f t="shared" si="32"/>
        <v>23</v>
      </c>
      <c r="C413" s="58">
        <f t="shared" si="35"/>
        <v>44547.916666665682</v>
      </c>
      <c r="D413" s="58">
        <f t="shared" si="33"/>
        <v>44547.958333332346</v>
      </c>
      <c r="E413" s="106">
        <f t="shared" si="34"/>
        <v>18.87</v>
      </c>
    </row>
    <row r="414" spans="1:5" x14ac:dyDescent="0.25">
      <c r="A414" s="17">
        <f t="shared" si="31"/>
        <v>44547</v>
      </c>
      <c r="B414" s="126">
        <f t="shared" si="32"/>
        <v>24</v>
      </c>
      <c r="C414" s="58">
        <f t="shared" si="35"/>
        <v>44547.958333332346</v>
      </c>
      <c r="D414" s="58">
        <f t="shared" si="33"/>
        <v>44547.99999999901</v>
      </c>
      <c r="E414" s="106">
        <f t="shared" si="34"/>
        <v>18.87</v>
      </c>
    </row>
    <row r="415" spans="1:5" x14ac:dyDescent="0.25">
      <c r="A415" s="17">
        <f t="shared" si="31"/>
        <v>44548</v>
      </c>
      <c r="B415" s="126">
        <f t="shared" si="32"/>
        <v>1</v>
      </c>
      <c r="C415" s="58">
        <f t="shared" si="35"/>
        <v>44547.99999999901</v>
      </c>
      <c r="D415" s="58">
        <f t="shared" si="33"/>
        <v>44548.041666665675</v>
      </c>
      <c r="E415" s="106">
        <f t="shared" si="34"/>
        <v>30.21</v>
      </c>
    </row>
    <row r="416" spans="1:5" x14ac:dyDescent="0.25">
      <c r="A416" s="17">
        <f t="shared" si="31"/>
        <v>44548</v>
      </c>
      <c r="B416" s="126">
        <f t="shared" si="32"/>
        <v>2</v>
      </c>
      <c r="C416" s="58">
        <f t="shared" si="35"/>
        <v>44548.041666665675</v>
      </c>
      <c r="D416" s="58">
        <f t="shared" si="33"/>
        <v>44548.083333332339</v>
      </c>
      <c r="E416" s="106">
        <f t="shared" si="34"/>
        <v>30.21</v>
      </c>
    </row>
    <row r="417" spans="1:5" x14ac:dyDescent="0.25">
      <c r="A417" s="17">
        <f t="shared" si="31"/>
        <v>44548</v>
      </c>
      <c r="B417" s="126">
        <f t="shared" si="32"/>
        <v>3</v>
      </c>
      <c r="C417" s="58">
        <f t="shared" si="35"/>
        <v>44548.083333332339</v>
      </c>
      <c r="D417" s="58">
        <f t="shared" si="33"/>
        <v>44548.124999999003</v>
      </c>
      <c r="E417" s="106">
        <f t="shared" si="34"/>
        <v>30.21</v>
      </c>
    </row>
    <row r="418" spans="1:5" x14ac:dyDescent="0.25">
      <c r="A418" s="17">
        <f t="shared" si="31"/>
        <v>44548</v>
      </c>
      <c r="B418" s="126">
        <f t="shared" si="32"/>
        <v>4</v>
      </c>
      <c r="C418" s="58">
        <f t="shared" si="35"/>
        <v>44548.124999999003</v>
      </c>
      <c r="D418" s="58">
        <f t="shared" si="33"/>
        <v>44548.166666665667</v>
      </c>
      <c r="E418" s="106">
        <f t="shared" si="34"/>
        <v>30.21</v>
      </c>
    </row>
    <row r="419" spans="1:5" x14ac:dyDescent="0.25">
      <c r="A419" s="17">
        <f t="shared" si="31"/>
        <v>44548</v>
      </c>
      <c r="B419" s="126">
        <f t="shared" si="32"/>
        <v>5</v>
      </c>
      <c r="C419" s="58">
        <f t="shared" si="35"/>
        <v>44548.166666665667</v>
      </c>
      <c r="D419" s="58">
        <f t="shared" si="33"/>
        <v>44548.208333332332</v>
      </c>
      <c r="E419" s="106">
        <f t="shared" si="34"/>
        <v>30.21</v>
      </c>
    </row>
    <row r="420" spans="1:5" x14ac:dyDescent="0.25">
      <c r="A420" s="17">
        <f t="shared" si="31"/>
        <v>44548</v>
      </c>
      <c r="B420" s="126">
        <f t="shared" si="32"/>
        <v>6</v>
      </c>
      <c r="C420" s="58">
        <f t="shared" si="35"/>
        <v>44548.208333332332</v>
      </c>
      <c r="D420" s="58">
        <f t="shared" si="33"/>
        <v>44548.249999998996</v>
      </c>
      <c r="E420" s="106">
        <f t="shared" si="34"/>
        <v>30.21</v>
      </c>
    </row>
    <row r="421" spans="1:5" x14ac:dyDescent="0.25">
      <c r="A421" s="17">
        <f t="shared" si="31"/>
        <v>44548</v>
      </c>
      <c r="B421" s="126">
        <f t="shared" si="32"/>
        <v>7</v>
      </c>
      <c r="C421" s="58">
        <f t="shared" si="35"/>
        <v>44548.249999998996</v>
      </c>
      <c r="D421" s="58">
        <f t="shared" si="33"/>
        <v>44548.29166666566</v>
      </c>
      <c r="E421" s="106">
        <f t="shared" si="34"/>
        <v>30.21</v>
      </c>
    </row>
    <row r="422" spans="1:5" x14ac:dyDescent="0.25">
      <c r="A422" s="17">
        <f t="shared" si="31"/>
        <v>44548</v>
      </c>
      <c r="B422" s="126">
        <f t="shared" si="32"/>
        <v>8</v>
      </c>
      <c r="C422" s="58">
        <f t="shared" si="35"/>
        <v>44548.29166666566</v>
      </c>
      <c r="D422" s="58">
        <f t="shared" si="33"/>
        <v>44548.333333332324</v>
      </c>
      <c r="E422" s="106">
        <f t="shared" si="34"/>
        <v>25</v>
      </c>
    </row>
    <row r="423" spans="1:5" x14ac:dyDescent="0.25">
      <c r="A423" s="17">
        <f t="shared" si="31"/>
        <v>44548</v>
      </c>
      <c r="B423" s="126">
        <f t="shared" si="32"/>
        <v>9</v>
      </c>
      <c r="C423" s="58">
        <f t="shared" si="35"/>
        <v>44548.333333332324</v>
      </c>
      <c r="D423" s="58">
        <f t="shared" si="33"/>
        <v>44548.374999998989</v>
      </c>
      <c r="E423" s="106">
        <f t="shared" si="34"/>
        <v>22</v>
      </c>
    </row>
    <row r="424" spans="1:5" x14ac:dyDescent="0.25">
      <c r="A424" s="17">
        <f t="shared" si="31"/>
        <v>44548</v>
      </c>
      <c r="B424" s="126">
        <f t="shared" si="32"/>
        <v>10</v>
      </c>
      <c r="C424" s="58">
        <f t="shared" si="35"/>
        <v>44548.374999998989</v>
      </c>
      <c r="D424" s="58">
        <f t="shared" si="33"/>
        <v>44548.416666665653</v>
      </c>
      <c r="E424" s="106">
        <f t="shared" si="34"/>
        <v>22</v>
      </c>
    </row>
    <row r="425" spans="1:5" x14ac:dyDescent="0.25">
      <c r="A425" s="17">
        <f t="shared" si="31"/>
        <v>44548</v>
      </c>
      <c r="B425" s="126">
        <f t="shared" si="32"/>
        <v>11</v>
      </c>
      <c r="C425" s="58">
        <f t="shared" si="35"/>
        <v>44548.416666665653</v>
      </c>
      <c r="D425" s="58">
        <f t="shared" si="33"/>
        <v>44548.458333332317</v>
      </c>
      <c r="E425" s="106">
        <f t="shared" si="34"/>
        <v>27.94</v>
      </c>
    </row>
    <row r="426" spans="1:5" x14ac:dyDescent="0.25">
      <c r="A426" s="17">
        <f t="shared" si="31"/>
        <v>44548</v>
      </c>
      <c r="B426" s="126">
        <f t="shared" si="32"/>
        <v>12</v>
      </c>
      <c r="C426" s="58">
        <f t="shared" si="35"/>
        <v>44548.458333332317</v>
      </c>
      <c r="D426" s="58">
        <f t="shared" si="33"/>
        <v>44548.499999998981</v>
      </c>
      <c r="E426" s="106">
        <f t="shared" si="34"/>
        <v>27.94</v>
      </c>
    </row>
    <row r="427" spans="1:5" x14ac:dyDescent="0.25">
      <c r="A427" s="17">
        <f t="shared" si="31"/>
        <v>44548</v>
      </c>
      <c r="B427" s="126">
        <f t="shared" si="32"/>
        <v>13</v>
      </c>
      <c r="C427" s="58">
        <f t="shared" si="35"/>
        <v>44548.499999998981</v>
      </c>
      <c r="D427" s="58">
        <f t="shared" si="33"/>
        <v>44548.541666665646</v>
      </c>
      <c r="E427" s="106">
        <f t="shared" si="34"/>
        <v>27.94</v>
      </c>
    </row>
    <row r="428" spans="1:5" x14ac:dyDescent="0.25">
      <c r="A428" s="17">
        <f t="shared" si="31"/>
        <v>44548</v>
      </c>
      <c r="B428" s="126">
        <f t="shared" si="32"/>
        <v>14</v>
      </c>
      <c r="C428" s="58">
        <f t="shared" si="35"/>
        <v>44548.541666665646</v>
      </c>
      <c r="D428" s="58">
        <f t="shared" si="33"/>
        <v>44548.58333333231</v>
      </c>
      <c r="E428" s="106">
        <f t="shared" si="34"/>
        <v>27.94</v>
      </c>
    </row>
    <row r="429" spans="1:5" x14ac:dyDescent="0.25">
      <c r="A429" s="17">
        <f t="shared" si="31"/>
        <v>44548</v>
      </c>
      <c r="B429" s="126">
        <f t="shared" si="32"/>
        <v>15</v>
      </c>
      <c r="C429" s="58">
        <f t="shared" si="35"/>
        <v>44548.58333333231</v>
      </c>
      <c r="D429" s="58">
        <f t="shared" si="33"/>
        <v>44548.624999998974</v>
      </c>
      <c r="E429" s="106">
        <f t="shared" si="34"/>
        <v>27.94</v>
      </c>
    </row>
    <row r="430" spans="1:5" x14ac:dyDescent="0.25">
      <c r="A430" s="17">
        <f t="shared" si="31"/>
        <v>44548</v>
      </c>
      <c r="B430" s="126">
        <f t="shared" si="32"/>
        <v>16</v>
      </c>
      <c r="C430" s="58">
        <f t="shared" si="35"/>
        <v>44548.624999998974</v>
      </c>
      <c r="D430" s="58">
        <f t="shared" si="33"/>
        <v>44548.666666665638</v>
      </c>
      <c r="E430" s="106">
        <f t="shared" si="34"/>
        <v>27.94</v>
      </c>
    </row>
    <row r="431" spans="1:5" x14ac:dyDescent="0.25">
      <c r="A431" s="17">
        <f t="shared" si="31"/>
        <v>44548</v>
      </c>
      <c r="B431" s="126">
        <f t="shared" si="32"/>
        <v>17</v>
      </c>
      <c r="C431" s="58">
        <f t="shared" si="35"/>
        <v>44548.666666665638</v>
      </c>
      <c r="D431" s="58">
        <f t="shared" si="33"/>
        <v>44548.708333332303</v>
      </c>
      <c r="E431" s="106">
        <f t="shared" si="34"/>
        <v>26</v>
      </c>
    </row>
    <row r="432" spans="1:5" x14ac:dyDescent="0.25">
      <c r="A432" s="17">
        <f t="shared" si="31"/>
        <v>44548</v>
      </c>
      <c r="B432" s="126">
        <f t="shared" si="32"/>
        <v>18</v>
      </c>
      <c r="C432" s="58">
        <f t="shared" si="35"/>
        <v>44548.708333332303</v>
      </c>
      <c r="D432" s="58">
        <f t="shared" si="33"/>
        <v>44548.749999998967</v>
      </c>
      <c r="E432" s="106">
        <f t="shared" si="34"/>
        <v>31.67</v>
      </c>
    </row>
    <row r="433" spans="1:5" x14ac:dyDescent="0.25">
      <c r="A433" s="17">
        <f t="shared" si="31"/>
        <v>44548</v>
      </c>
      <c r="B433" s="126">
        <f t="shared" si="32"/>
        <v>19</v>
      </c>
      <c r="C433" s="58">
        <f t="shared" si="35"/>
        <v>44548.749999998967</v>
      </c>
      <c r="D433" s="58">
        <f t="shared" si="33"/>
        <v>44548.791666665631</v>
      </c>
      <c r="E433" s="106">
        <f t="shared" si="34"/>
        <v>31.67</v>
      </c>
    </row>
    <row r="434" spans="1:5" x14ac:dyDescent="0.25">
      <c r="A434" s="17">
        <f t="shared" si="31"/>
        <v>44548</v>
      </c>
      <c r="B434" s="126">
        <f t="shared" si="32"/>
        <v>20</v>
      </c>
      <c r="C434" s="58">
        <f t="shared" si="35"/>
        <v>44548.791666665631</v>
      </c>
      <c r="D434" s="58">
        <f t="shared" si="33"/>
        <v>44548.833333332295</v>
      </c>
      <c r="E434" s="106">
        <f t="shared" si="34"/>
        <v>33.6</v>
      </c>
    </row>
    <row r="435" spans="1:5" x14ac:dyDescent="0.25">
      <c r="A435" s="17">
        <f t="shared" si="31"/>
        <v>44548</v>
      </c>
      <c r="B435" s="126">
        <f t="shared" si="32"/>
        <v>21</v>
      </c>
      <c r="C435" s="58">
        <f t="shared" si="35"/>
        <v>44548.833333332295</v>
      </c>
      <c r="D435" s="58">
        <f t="shared" si="33"/>
        <v>44548.87499999896</v>
      </c>
      <c r="E435" s="106">
        <f t="shared" si="34"/>
        <v>27.94</v>
      </c>
    </row>
    <row r="436" spans="1:5" x14ac:dyDescent="0.25">
      <c r="A436" s="17">
        <f t="shared" si="31"/>
        <v>44548</v>
      </c>
      <c r="B436" s="126">
        <f t="shared" si="32"/>
        <v>22</v>
      </c>
      <c r="C436" s="58">
        <f t="shared" si="35"/>
        <v>44548.87499999896</v>
      </c>
      <c r="D436" s="58">
        <f t="shared" si="33"/>
        <v>44548.916666665624</v>
      </c>
      <c r="E436" s="106">
        <f t="shared" si="34"/>
        <v>27.94</v>
      </c>
    </row>
    <row r="437" spans="1:5" x14ac:dyDescent="0.25">
      <c r="A437" s="17">
        <f t="shared" si="31"/>
        <v>44548</v>
      </c>
      <c r="B437" s="126">
        <f t="shared" si="32"/>
        <v>23</v>
      </c>
      <c r="C437" s="58">
        <f t="shared" si="35"/>
        <v>44548.916666665624</v>
      </c>
      <c r="D437" s="58">
        <f t="shared" si="33"/>
        <v>44548.958333332288</v>
      </c>
      <c r="E437" s="106">
        <f t="shared" si="34"/>
        <v>27.94</v>
      </c>
    </row>
    <row r="438" spans="1:5" x14ac:dyDescent="0.25">
      <c r="A438" s="17">
        <f t="shared" si="31"/>
        <v>44548</v>
      </c>
      <c r="B438" s="126">
        <f t="shared" si="32"/>
        <v>24</v>
      </c>
      <c r="C438" s="58">
        <f t="shared" si="35"/>
        <v>44548.958333332288</v>
      </c>
      <c r="D438" s="58">
        <f t="shared" si="33"/>
        <v>44548.999999998952</v>
      </c>
      <c r="E438" s="106">
        <f t="shared" si="34"/>
        <v>30.21</v>
      </c>
    </row>
    <row r="439" spans="1:5" x14ac:dyDescent="0.25">
      <c r="A439" s="17">
        <f t="shared" si="31"/>
        <v>44549</v>
      </c>
      <c r="B439" s="126">
        <f t="shared" si="32"/>
        <v>1</v>
      </c>
      <c r="C439" s="58">
        <f t="shared" si="35"/>
        <v>44548.999999998952</v>
      </c>
      <c r="D439" s="58">
        <f t="shared" si="33"/>
        <v>44549.041666665617</v>
      </c>
      <c r="E439" s="106">
        <f t="shared" si="34"/>
        <v>30.21</v>
      </c>
    </row>
    <row r="440" spans="1:5" x14ac:dyDescent="0.25">
      <c r="A440" s="17">
        <f t="shared" si="31"/>
        <v>44549</v>
      </c>
      <c r="B440" s="126">
        <f t="shared" si="32"/>
        <v>2</v>
      </c>
      <c r="C440" s="58">
        <f t="shared" si="35"/>
        <v>44549.041666665617</v>
      </c>
      <c r="D440" s="58">
        <f t="shared" si="33"/>
        <v>44549.083333332281</v>
      </c>
      <c r="E440" s="106">
        <f t="shared" si="34"/>
        <v>30.21</v>
      </c>
    </row>
    <row r="441" spans="1:5" x14ac:dyDescent="0.25">
      <c r="A441" s="17">
        <f t="shared" si="31"/>
        <v>44549</v>
      </c>
      <c r="B441" s="126">
        <f t="shared" si="32"/>
        <v>3</v>
      </c>
      <c r="C441" s="58">
        <f t="shared" si="35"/>
        <v>44549.083333332281</v>
      </c>
      <c r="D441" s="58">
        <f t="shared" si="33"/>
        <v>44549.124999998945</v>
      </c>
      <c r="E441" s="106">
        <f t="shared" si="34"/>
        <v>30.21</v>
      </c>
    </row>
    <row r="442" spans="1:5" x14ac:dyDescent="0.25">
      <c r="A442" s="17">
        <f t="shared" si="31"/>
        <v>44549</v>
      </c>
      <c r="B442" s="126">
        <f t="shared" si="32"/>
        <v>4</v>
      </c>
      <c r="C442" s="58">
        <f t="shared" si="35"/>
        <v>44549.124999998945</v>
      </c>
      <c r="D442" s="58">
        <f t="shared" si="33"/>
        <v>44549.166666665609</v>
      </c>
      <c r="E442" s="106">
        <f t="shared" si="34"/>
        <v>30.21</v>
      </c>
    </row>
    <row r="443" spans="1:5" x14ac:dyDescent="0.25">
      <c r="A443" s="17">
        <f t="shared" si="31"/>
        <v>44549</v>
      </c>
      <c r="B443" s="126">
        <f t="shared" si="32"/>
        <v>5</v>
      </c>
      <c r="C443" s="58">
        <f t="shared" si="35"/>
        <v>44549.166666665609</v>
      </c>
      <c r="D443" s="58">
        <f t="shared" si="33"/>
        <v>44549.208333332273</v>
      </c>
      <c r="E443" s="106">
        <f t="shared" si="34"/>
        <v>30.21</v>
      </c>
    </row>
    <row r="444" spans="1:5" x14ac:dyDescent="0.25">
      <c r="A444" s="17">
        <f t="shared" si="31"/>
        <v>44549</v>
      </c>
      <c r="B444" s="126">
        <f t="shared" si="32"/>
        <v>6</v>
      </c>
      <c r="C444" s="58">
        <f t="shared" si="35"/>
        <v>44549.208333332273</v>
      </c>
      <c r="D444" s="58">
        <f t="shared" si="33"/>
        <v>44549.249999998938</v>
      </c>
      <c r="E444" s="106">
        <f t="shared" si="34"/>
        <v>30.21</v>
      </c>
    </row>
    <row r="445" spans="1:5" x14ac:dyDescent="0.25">
      <c r="A445" s="17">
        <f t="shared" si="31"/>
        <v>44549</v>
      </c>
      <c r="B445" s="126">
        <f t="shared" si="32"/>
        <v>7</v>
      </c>
      <c r="C445" s="58">
        <f t="shared" si="35"/>
        <v>44549.249999998938</v>
      </c>
      <c r="D445" s="58">
        <f t="shared" si="33"/>
        <v>44549.291666665602</v>
      </c>
      <c r="E445" s="106">
        <f t="shared" si="34"/>
        <v>30.21</v>
      </c>
    </row>
    <row r="446" spans="1:5" x14ac:dyDescent="0.25">
      <c r="A446" s="17">
        <f t="shared" si="31"/>
        <v>44549</v>
      </c>
      <c r="B446" s="126">
        <f t="shared" si="32"/>
        <v>8</v>
      </c>
      <c r="C446" s="58">
        <f t="shared" si="35"/>
        <v>44549.291666665602</v>
      </c>
      <c r="D446" s="58">
        <f t="shared" si="33"/>
        <v>44549.333333332266</v>
      </c>
      <c r="E446" s="106">
        <f t="shared" si="34"/>
        <v>35.11</v>
      </c>
    </row>
    <row r="447" spans="1:5" x14ac:dyDescent="0.25">
      <c r="A447" s="17">
        <f t="shared" si="31"/>
        <v>44549</v>
      </c>
      <c r="B447" s="126">
        <f t="shared" si="32"/>
        <v>9</v>
      </c>
      <c r="C447" s="58">
        <f t="shared" si="35"/>
        <v>44549.333333332266</v>
      </c>
      <c r="D447" s="58">
        <f t="shared" si="33"/>
        <v>44549.37499999893</v>
      </c>
      <c r="E447" s="106">
        <f t="shared" si="34"/>
        <v>35.11</v>
      </c>
    </row>
    <row r="448" spans="1:5" x14ac:dyDescent="0.25">
      <c r="A448" s="17">
        <f t="shared" si="31"/>
        <v>44549</v>
      </c>
      <c r="B448" s="126">
        <f t="shared" si="32"/>
        <v>10</v>
      </c>
      <c r="C448" s="58">
        <f t="shared" si="35"/>
        <v>44549.37499999893</v>
      </c>
      <c r="D448" s="58">
        <f t="shared" si="33"/>
        <v>44549.416666665595</v>
      </c>
      <c r="E448" s="106">
        <f t="shared" si="34"/>
        <v>35.11</v>
      </c>
    </row>
    <row r="449" spans="1:5" x14ac:dyDescent="0.25">
      <c r="A449" s="17">
        <f t="shared" si="31"/>
        <v>44549</v>
      </c>
      <c r="B449" s="126">
        <f t="shared" si="32"/>
        <v>11</v>
      </c>
      <c r="C449" s="58">
        <f t="shared" si="35"/>
        <v>44549.416666665595</v>
      </c>
      <c r="D449" s="58">
        <f t="shared" si="33"/>
        <v>44549.458333332259</v>
      </c>
      <c r="E449" s="106">
        <f t="shared" si="34"/>
        <v>35.11</v>
      </c>
    </row>
    <row r="450" spans="1:5" x14ac:dyDescent="0.25">
      <c r="A450" s="17">
        <f t="shared" si="31"/>
        <v>44549</v>
      </c>
      <c r="B450" s="126">
        <f t="shared" si="32"/>
        <v>12</v>
      </c>
      <c r="C450" s="58">
        <f t="shared" si="35"/>
        <v>44549.458333332259</v>
      </c>
      <c r="D450" s="58">
        <f t="shared" si="33"/>
        <v>44549.499999998923</v>
      </c>
      <c r="E450" s="106">
        <f t="shared" si="34"/>
        <v>35.11</v>
      </c>
    </row>
    <row r="451" spans="1:5" x14ac:dyDescent="0.25">
      <c r="A451" s="17">
        <f t="shared" si="31"/>
        <v>44549</v>
      </c>
      <c r="B451" s="126">
        <f t="shared" si="32"/>
        <v>13</v>
      </c>
      <c r="C451" s="58">
        <f t="shared" si="35"/>
        <v>44549.499999998923</v>
      </c>
      <c r="D451" s="58">
        <f t="shared" si="33"/>
        <v>44549.541666665587</v>
      </c>
      <c r="E451" s="106">
        <f t="shared" si="34"/>
        <v>35.11</v>
      </c>
    </row>
    <row r="452" spans="1:5" x14ac:dyDescent="0.25">
      <c r="A452" s="17">
        <f t="shared" si="31"/>
        <v>44549</v>
      </c>
      <c r="B452" s="126">
        <f t="shared" si="32"/>
        <v>14</v>
      </c>
      <c r="C452" s="58">
        <f t="shared" si="35"/>
        <v>44549.541666665587</v>
      </c>
      <c r="D452" s="58">
        <f t="shared" si="33"/>
        <v>44549.583333332252</v>
      </c>
      <c r="E452" s="106">
        <f t="shared" si="34"/>
        <v>35.11</v>
      </c>
    </row>
    <row r="453" spans="1:5" x14ac:dyDescent="0.25">
      <c r="A453" s="17">
        <f t="shared" si="31"/>
        <v>44549</v>
      </c>
      <c r="B453" s="126">
        <f t="shared" si="32"/>
        <v>15</v>
      </c>
      <c r="C453" s="58">
        <f t="shared" si="35"/>
        <v>44549.583333332252</v>
      </c>
      <c r="D453" s="58">
        <f t="shared" si="33"/>
        <v>44549.624999998916</v>
      </c>
      <c r="E453" s="106">
        <f t="shared" si="34"/>
        <v>35.11</v>
      </c>
    </row>
    <row r="454" spans="1:5" x14ac:dyDescent="0.25">
      <c r="A454" s="17">
        <f t="shared" si="31"/>
        <v>44549</v>
      </c>
      <c r="B454" s="126">
        <f t="shared" si="32"/>
        <v>16</v>
      </c>
      <c r="C454" s="58">
        <f t="shared" si="35"/>
        <v>44549.624999998916</v>
      </c>
      <c r="D454" s="58">
        <f t="shared" si="33"/>
        <v>44549.66666666558</v>
      </c>
      <c r="E454" s="106">
        <f t="shared" si="34"/>
        <v>28</v>
      </c>
    </row>
    <row r="455" spans="1:5" x14ac:dyDescent="0.25">
      <c r="A455" s="17">
        <f t="shared" si="31"/>
        <v>44549</v>
      </c>
      <c r="B455" s="126">
        <f t="shared" si="32"/>
        <v>17</v>
      </c>
      <c r="C455" s="58">
        <f t="shared" si="35"/>
        <v>44549.66666666558</v>
      </c>
      <c r="D455" s="58">
        <f t="shared" si="33"/>
        <v>44549.708333332244</v>
      </c>
      <c r="E455" s="106">
        <f t="shared" si="34"/>
        <v>29.6</v>
      </c>
    </row>
    <row r="456" spans="1:5" x14ac:dyDescent="0.25">
      <c r="A456" s="17">
        <f t="shared" ref="A456:A519" si="36">DATE(YEAR(C456),MONTH(C456),DAY(C456))</f>
        <v>44549</v>
      </c>
      <c r="B456" s="126">
        <f t="shared" ref="B456:B519" si="37">HOUR(C456)+1</f>
        <v>18</v>
      </c>
      <c r="C456" s="58">
        <f t="shared" si="35"/>
        <v>44549.708333332244</v>
      </c>
      <c r="D456" s="58">
        <f t="shared" ref="D456:D519" si="38">$C456+1/24</f>
        <v>44549.749999998909</v>
      </c>
      <c r="E456" s="106">
        <f t="shared" ref="E456:E519" si="39">VLOOKUP(A456,$K$6:$AI$36,B456+1,FALSE)</f>
        <v>40</v>
      </c>
    </row>
    <row r="457" spans="1:5" x14ac:dyDescent="0.25">
      <c r="A457" s="17">
        <f t="shared" si="36"/>
        <v>44549</v>
      </c>
      <c r="B457" s="126">
        <f t="shared" si="37"/>
        <v>19</v>
      </c>
      <c r="C457" s="58">
        <f t="shared" ref="C457:C520" si="40">$C456+1/24</f>
        <v>44549.749999998909</v>
      </c>
      <c r="D457" s="58">
        <f t="shared" si="38"/>
        <v>44549.791666665573</v>
      </c>
      <c r="E457" s="106">
        <f t="shared" si="39"/>
        <v>40</v>
      </c>
    </row>
    <row r="458" spans="1:5" x14ac:dyDescent="0.25">
      <c r="A458" s="17">
        <f t="shared" si="36"/>
        <v>44549</v>
      </c>
      <c r="B458" s="126">
        <f t="shared" si="37"/>
        <v>20</v>
      </c>
      <c r="C458" s="58">
        <f t="shared" si="40"/>
        <v>44549.791666665573</v>
      </c>
      <c r="D458" s="58">
        <f t="shared" si="38"/>
        <v>44549.833333332237</v>
      </c>
      <c r="E458" s="106">
        <f t="shared" si="39"/>
        <v>40</v>
      </c>
    </row>
    <row r="459" spans="1:5" x14ac:dyDescent="0.25">
      <c r="A459" s="17">
        <f t="shared" si="36"/>
        <v>44549</v>
      </c>
      <c r="B459" s="126">
        <f t="shared" si="37"/>
        <v>21</v>
      </c>
      <c r="C459" s="58">
        <f t="shared" si="40"/>
        <v>44549.833333332237</v>
      </c>
      <c r="D459" s="58">
        <f t="shared" si="38"/>
        <v>44549.874999998901</v>
      </c>
      <c r="E459" s="106">
        <f t="shared" si="39"/>
        <v>35.11</v>
      </c>
    </row>
    <row r="460" spans="1:5" x14ac:dyDescent="0.25">
      <c r="A460" s="17">
        <f t="shared" si="36"/>
        <v>44549</v>
      </c>
      <c r="B460" s="126">
        <f t="shared" si="37"/>
        <v>22</v>
      </c>
      <c r="C460" s="58">
        <f t="shared" si="40"/>
        <v>44549.874999998901</v>
      </c>
      <c r="D460" s="58">
        <f t="shared" si="38"/>
        <v>44549.916666665566</v>
      </c>
      <c r="E460" s="106">
        <f t="shared" si="39"/>
        <v>35.11</v>
      </c>
    </row>
    <row r="461" spans="1:5" x14ac:dyDescent="0.25">
      <c r="A461" s="17">
        <f t="shared" si="36"/>
        <v>44549</v>
      </c>
      <c r="B461" s="126">
        <f t="shared" si="37"/>
        <v>23</v>
      </c>
      <c r="C461" s="58">
        <f t="shared" si="40"/>
        <v>44549.916666665566</v>
      </c>
      <c r="D461" s="58">
        <f t="shared" si="38"/>
        <v>44549.95833333223</v>
      </c>
      <c r="E461" s="106">
        <f t="shared" si="39"/>
        <v>35.11</v>
      </c>
    </row>
    <row r="462" spans="1:5" x14ac:dyDescent="0.25">
      <c r="A462" s="17">
        <f t="shared" si="36"/>
        <v>44549</v>
      </c>
      <c r="B462" s="126">
        <f t="shared" si="37"/>
        <v>24</v>
      </c>
      <c r="C462" s="58">
        <f t="shared" si="40"/>
        <v>44549.95833333223</v>
      </c>
      <c r="D462" s="58">
        <f t="shared" si="38"/>
        <v>44549.999999998894</v>
      </c>
      <c r="E462" s="106">
        <f t="shared" si="39"/>
        <v>30.21</v>
      </c>
    </row>
    <row r="463" spans="1:5" x14ac:dyDescent="0.25">
      <c r="A463" s="17">
        <f t="shared" si="36"/>
        <v>44550</v>
      </c>
      <c r="B463" s="126">
        <f t="shared" si="37"/>
        <v>1</v>
      </c>
      <c r="C463" s="58">
        <f t="shared" si="40"/>
        <v>44549.999999998894</v>
      </c>
      <c r="D463" s="58">
        <f t="shared" si="38"/>
        <v>44550.041666665558</v>
      </c>
      <c r="E463" s="106">
        <f t="shared" si="39"/>
        <v>30</v>
      </c>
    </row>
    <row r="464" spans="1:5" x14ac:dyDescent="0.25">
      <c r="A464" s="17">
        <f t="shared" si="36"/>
        <v>44550</v>
      </c>
      <c r="B464" s="126">
        <f t="shared" si="37"/>
        <v>2</v>
      </c>
      <c r="C464" s="58">
        <f t="shared" si="40"/>
        <v>44550.041666665558</v>
      </c>
      <c r="D464" s="58">
        <f t="shared" si="38"/>
        <v>44550.083333332223</v>
      </c>
      <c r="E464" s="106">
        <f t="shared" si="39"/>
        <v>30</v>
      </c>
    </row>
    <row r="465" spans="1:5" x14ac:dyDescent="0.25">
      <c r="A465" s="17">
        <f t="shared" si="36"/>
        <v>44550</v>
      </c>
      <c r="B465" s="126">
        <f t="shared" si="37"/>
        <v>3</v>
      </c>
      <c r="C465" s="58">
        <f t="shared" si="40"/>
        <v>44550.083333332223</v>
      </c>
      <c r="D465" s="58">
        <f t="shared" si="38"/>
        <v>44550.124999998887</v>
      </c>
      <c r="E465" s="106">
        <f t="shared" si="39"/>
        <v>30</v>
      </c>
    </row>
    <row r="466" spans="1:5" x14ac:dyDescent="0.25">
      <c r="A466" s="17">
        <f t="shared" si="36"/>
        <v>44550</v>
      </c>
      <c r="B466" s="126">
        <f t="shared" si="37"/>
        <v>4</v>
      </c>
      <c r="C466" s="58">
        <f t="shared" si="40"/>
        <v>44550.124999998887</v>
      </c>
      <c r="D466" s="58">
        <f t="shared" si="38"/>
        <v>44550.166666665551</v>
      </c>
      <c r="E466" s="106">
        <f t="shared" si="39"/>
        <v>30</v>
      </c>
    </row>
    <row r="467" spans="1:5" x14ac:dyDescent="0.25">
      <c r="A467" s="17">
        <f t="shared" si="36"/>
        <v>44550</v>
      </c>
      <c r="B467" s="126">
        <f t="shared" si="37"/>
        <v>5</v>
      </c>
      <c r="C467" s="58">
        <f t="shared" si="40"/>
        <v>44550.166666665551</v>
      </c>
      <c r="D467" s="58">
        <f t="shared" si="38"/>
        <v>44550.208333332215</v>
      </c>
      <c r="E467" s="106">
        <f t="shared" si="39"/>
        <v>30</v>
      </c>
    </row>
    <row r="468" spans="1:5" x14ac:dyDescent="0.25">
      <c r="A468" s="17">
        <f t="shared" si="36"/>
        <v>44550</v>
      </c>
      <c r="B468" s="126">
        <f t="shared" si="37"/>
        <v>6</v>
      </c>
      <c r="C468" s="58">
        <f t="shared" si="40"/>
        <v>44550.208333332215</v>
      </c>
      <c r="D468" s="58">
        <f t="shared" si="38"/>
        <v>44550.24999999888</v>
      </c>
      <c r="E468" s="106">
        <f t="shared" si="39"/>
        <v>30</v>
      </c>
    </row>
    <row r="469" spans="1:5" x14ac:dyDescent="0.25">
      <c r="A469" s="17">
        <f t="shared" si="36"/>
        <v>44550</v>
      </c>
      <c r="B469" s="126">
        <f t="shared" si="37"/>
        <v>7</v>
      </c>
      <c r="C469" s="58">
        <f t="shared" si="40"/>
        <v>44550.24999999888</v>
      </c>
      <c r="D469" s="58">
        <f t="shared" si="38"/>
        <v>44550.291666665544</v>
      </c>
      <c r="E469" s="106">
        <f t="shared" si="39"/>
        <v>30</v>
      </c>
    </row>
    <row r="470" spans="1:5" x14ac:dyDescent="0.25">
      <c r="A470" s="17">
        <f t="shared" si="36"/>
        <v>44550</v>
      </c>
      <c r="B470" s="126">
        <f t="shared" si="37"/>
        <v>8</v>
      </c>
      <c r="C470" s="58">
        <f t="shared" si="40"/>
        <v>44550.291666665544</v>
      </c>
      <c r="D470" s="58">
        <f t="shared" si="38"/>
        <v>44550.333333332208</v>
      </c>
      <c r="E470" s="106">
        <f t="shared" si="39"/>
        <v>30</v>
      </c>
    </row>
    <row r="471" spans="1:5" x14ac:dyDescent="0.25">
      <c r="A471" s="17">
        <f t="shared" si="36"/>
        <v>44550</v>
      </c>
      <c r="B471" s="126">
        <f t="shared" si="37"/>
        <v>9</v>
      </c>
      <c r="C471" s="58">
        <f t="shared" si="40"/>
        <v>44550.333333332208</v>
      </c>
      <c r="D471" s="58">
        <f t="shared" si="38"/>
        <v>44550.374999998872</v>
      </c>
      <c r="E471" s="106">
        <f t="shared" si="39"/>
        <v>30</v>
      </c>
    </row>
    <row r="472" spans="1:5" x14ac:dyDescent="0.25">
      <c r="A472" s="17">
        <f t="shared" si="36"/>
        <v>44550</v>
      </c>
      <c r="B472" s="126">
        <f t="shared" si="37"/>
        <v>10</v>
      </c>
      <c r="C472" s="58">
        <f t="shared" si="40"/>
        <v>44550.374999998872</v>
      </c>
      <c r="D472" s="58">
        <f t="shared" si="38"/>
        <v>44550.416666665536</v>
      </c>
      <c r="E472" s="106">
        <f t="shared" si="39"/>
        <v>25.2</v>
      </c>
    </row>
    <row r="473" spans="1:5" x14ac:dyDescent="0.25">
      <c r="A473" s="17">
        <f t="shared" si="36"/>
        <v>44550</v>
      </c>
      <c r="B473" s="126">
        <f t="shared" si="37"/>
        <v>11</v>
      </c>
      <c r="C473" s="58">
        <f t="shared" si="40"/>
        <v>44550.416666665536</v>
      </c>
      <c r="D473" s="58">
        <f t="shared" si="38"/>
        <v>44550.458333332201</v>
      </c>
      <c r="E473" s="106">
        <f t="shared" si="39"/>
        <v>22</v>
      </c>
    </row>
    <row r="474" spans="1:5" x14ac:dyDescent="0.25">
      <c r="A474" s="17">
        <f t="shared" si="36"/>
        <v>44550</v>
      </c>
      <c r="B474" s="126">
        <f t="shared" si="37"/>
        <v>12</v>
      </c>
      <c r="C474" s="58">
        <f t="shared" si="40"/>
        <v>44550.458333332201</v>
      </c>
      <c r="D474" s="58">
        <f t="shared" si="38"/>
        <v>44550.499999998865</v>
      </c>
      <c r="E474" s="106">
        <f t="shared" si="39"/>
        <v>26.57</v>
      </c>
    </row>
    <row r="475" spans="1:5" x14ac:dyDescent="0.25">
      <c r="A475" s="17">
        <f t="shared" si="36"/>
        <v>44550</v>
      </c>
      <c r="B475" s="126">
        <f t="shared" si="37"/>
        <v>13</v>
      </c>
      <c r="C475" s="58">
        <f t="shared" si="40"/>
        <v>44550.499999998865</v>
      </c>
      <c r="D475" s="58">
        <f t="shared" si="38"/>
        <v>44550.541666665529</v>
      </c>
      <c r="E475" s="106">
        <f t="shared" si="39"/>
        <v>26.57</v>
      </c>
    </row>
    <row r="476" spans="1:5" x14ac:dyDescent="0.25">
      <c r="A476" s="17">
        <f t="shared" si="36"/>
        <v>44550</v>
      </c>
      <c r="B476" s="126">
        <f t="shared" si="37"/>
        <v>14</v>
      </c>
      <c r="C476" s="58">
        <f t="shared" si="40"/>
        <v>44550.541666665529</v>
      </c>
      <c r="D476" s="58">
        <f t="shared" si="38"/>
        <v>44550.583333332193</v>
      </c>
      <c r="E476" s="106">
        <f t="shared" si="39"/>
        <v>26.57</v>
      </c>
    </row>
    <row r="477" spans="1:5" x14ac:dyDescent="0.25">
      <c r="A477" s="17">
        <f t="shared" si="36"/>
        <v>44550</v>
      </c>
      <c r="B477" s="126">
        <f t="shared" si="37"/>
        <v>15</v>
      </c>
      <c r="C477" s="58">
        <f t="shared" si="40"/>
        <v>44550.583333332193</v>
      </c>
      <c r="D477" s="58">
        <f t="shared" si="38"/>
        <v>44550.624999998858</v>
      </c>
      <c r="E477" s="106">
        <f t="shared" si="39"/>
        <v>26.57</v>
      </c>
    </row>
    <row r="478" spans="1:5" x14ac:dyDescent="0.25">
      <c r="A478" s="17">
        <f t="shared" si="36"/>
        <v>44550</v>
      </c>
      <c r="B478" s="126">
        <f t="shared" si="37"/>
        <v>16</v>
      </c>
      <c r="C478" s="58">
        <f t="shared" si="40"/>
        <v>44550.624999998858</v>
      </c>
      <c r="D478" s="58">
        <f t="shared" si="38"/>
        <v>44550.666666665522</v>
      </c>
      <c r="E478" s="106">
        <f t="shared" si="39"/>
        <v>26.57</v>
      </c>
    </row>
    <row r="479" spans="1:5" x14ac:dyDescent="0.25">
      <c r="A479" s="17">
        <f t="shared" si="36"/>
        <v>44550</v>
      </c>
      <c r="B479" s="126">
        <f t="shared" si="37"/>
        <v>17</v>
      </c>
      <c r="C479" s="58">
        <f t="shared" si="40"/>
        <v>44550.666666665522</v>
      </c>
      <c r="D479" s="58">
        <f t="shared" si="38"/>
        <v>44550.708333332186</v>
      </c>
      <c r="E479" s="106">
        <f t="shared" si="39"/>
        <v>26.57</v>
      </c>
    </row>
    <row r="480" spans="1:5" x14ac:dyDescent="0.25">
      <c r="A480" s="17">
        <f t="shared" si="36"/>
        <v>44550</v>
      </c>
      <c r="B480" s="126">
        <f t="shared" si="37"/>
        <v>18</v>
      </c>
      <c r="C480" s="58">
        <f t="shared" si="40"/>
        <v>44550.708333332186</v>
      </c>
      <c r="D480" s="58">
        <f t="shared" si="38"/>
        <v>44550.74999999885</v>
      </c>
      <c r="E480" s="106">
        <f t="shared" si="39"/>
        <v>26.57</v>
      </c>
    </row>
    <row r="481" spans="1:5" x14ac:dyDescent="0.25">
      <c r="A481" s="17">
        <f t="shared" si="36"/>
        <v>44550</v>
      </c>
      <c r="B481" s="126">
        <f t="shared" si="37"/>
        <v>19</v>
      </c>
      <c r="C481" s="58">
        <f t="shared" si="40"/>
        <v>44550.74999999885</v>
      </c>
      <c r="D481" s="58">
        <f t="shared" si="38"/>
        <v>44550.791666665515</v>
      </c>
      <c r="E481" s="106">
        <f t="shared" si="39"/>
        <v>26.57</v>
      </c>
    </row>
    <row r="482" spans="1:5" x14ac:dyDescent="0.25">
      <c r="A482" s="17">
        <f t="shared" si="36"/>
        <v>44550</v>
      </c>
      <c r="B482" s="126">
        <f t="shared" si="37"/>
        <v>20</v>
      </c>
      <c r="C482" s="58">
        <f t="shared" si="40"/>
        <v>44550.791666665515</v>
      </c>
      <c r="D482" s="58">
        <f t="shared" si="38"/>
        <v>44550.833333332179</v>
      </c>
      <c r="E482" s="106">
        <f t="shared" si="39"/>
        <v>26.57</v>
      </c>
    </row>
    <row r="483" spans="1:5" x14ac:dyDescent="0.25">
      <c r="A483" s="17">
        <f t="shared" si="36"/>
        <v>44550</v>
      </c>
      <c r="B483" s="126">
        <f t="shared" si="37"/>
        <v>21</v>
      </c>
      <c r="C483" s="58">
        <f t="shared" si="40"/>
        <v>44550.833333332179</v>
      </c>
      <c r="D483" s="58">
        <f t="shared" si="38"/>
        <v>44550.874999998843</v>
      </c>
      <c r="E483" s="106">
        <f t="shared" si="39"/>
        <v>26.57</v>
      </c>
    </row>
    <row r="484" spans="1:5" x14ac:dyDescent="0.25">
      <c r="A484" s="17">
        <f t="shared" si="36"/>
        <v>44550</v>
      </c>
      <c r="B484" s="126">
        <f t="shared" si="37"/>
        <v>22</v>
      </c>
      <c r="C484" s="58">
        <f t="shared" si="40"/>
        <v>44550.874999998843</v>
      </c>
      <c r="D484" s="58">
        <f t="shared" si="38"/>
        <v>44550.916666665507</v>
      </c>
      <c r="E484" s="106">
        <f t="shared" si="39"/>
        <v>26.57</v>
      </c>
    </row>
    <row r="485" spans="1:5" x14ac:dyDescent="0.25">
      <c r="A485" s="17">
        <f t="shared" si="36"/>
        <v>44550</v>
      </c>
      <c r="B485" s="126">
        <f t="shared" si="37"/>
        <v>23</v>
      </c>
      <c r="C485" s="58">
        <f t="shared" si="40"/>
        <v>44550.916666665507</v>
      </c>
      <c r="D485" s="58">
        <f t="shared" si="38"/>
        <v>44550.958333332172</v>
      </c>
      <c r="E485" s="106">
        <f t="shared" si="39"/>
        <v>26.57</v>
      </c>
    </row>
    <row r="486" spans="1:5" x14ac:dyDescent="0.25">
      <c r="A486" s="17">
        <f t="shared" si="36"/>
        <v>44550</v>
      </c>
      <c r="B486" s="126">
        <f t="shared" si="37"/>
        <v>24</v>
      </c>
      <c r="C486" s="58">
        <f t="shared" si="40"/>
        <v>44550.958333332172</v>
      </c>
      <c r="D486" s="58">
        <f t="shared" si="38"/>
        <v>44550.999999998836</v>
      </c>
      <c r="E486" s="106">
        <f t="shared" si="39"/>
        <v>30</v>
      </c>
    </row>
    <row r="487" spans="1:5" x14ac:dyDescent="0.25">
      <c r="A487" s="17">
        <f t="shared" si="36"/>
        <v>44551</v>
      </c>
      <c r="B487" s="126">
        <f t="shared" si="37"/>
        <v>1</v>
      </c>
      <c r="C487" s="58">
        <f t="shared" si="40"/>
        <v>44550.999999998836</v>
      </c>
      <c r="D487" s="58">
        <f t="shared" si="38"/>
        <v>44551.0416666655</v>
      </c>
      <c r="E487" s="106">
        <f t="shared" si="39"/>
        <v>24</v>
      </c>
    </row>
    <row r="488" spans="1:5" x14ac:dyDescent="0.25">
      <c r="A488" s="17">
        <f t="shared" si="36"/>
        <v>44551</v>
      </c>
      <c r="B488" s="126">
        <f t="shared" si="37"/>
        <v>2</v>
      </c>
      <c r="C488" s="58">
        <f t="shared" si="40"/>
        <v>44551.0416666655</v>
      </c>
      <c r="D488" s="58">
        <f t="shared" si="38"/>
        <v>44551.083333332164</v>
      </c>
      <c r="E488" s="106">
        <f t="shared" si="39"/>
        <v>24</v>
      </c>
    </row>
    <row r="489" spans="1:5" x14ac:dyDescent="0.25">
      <c r="A489" s="17">
        <f t="shared" si="36"/>
        <v>44551</v>
      </c>
      <c r="B489" s="126">
        <f t="shared" si="37"/>
        <v>3</v>
      </c>
      <c r="C489" s="58">
        <f t="shared" si="40"/>
        <v>44551.083333332164</v>
      </c>
      <c r="D489" s="58">
        <f t="shared" si="38"/>
        <v>44551.124999998829</v>
      </c>
      <c r="E489" s="106">
        <f t="shared" si="39"/>
        <v>24</v>
      </c>
    </row>
    <row r="490" spans="1:5" x14ac:dyDescent="0.25">
      <c r="A490" s="17">
        <f t="shared" si="36"/>
        <v>44551</v>
      </c>
      <c r="B490" s="126">
        <f t="shared" si="37"/>
        <v>4</v>
      </c>
      <c r="C490" s="58">
        <f t="shared" si="40"/>
        <v>44551.124999998829</v>
      </c>
      <c r="D490" s="58">
        <f t="shared" si="38"/>
        <v>44551.166666665493</v>
      </c>
      <c r="E490" s="106">
        <f t="shared" si="39"/>
        <v>24</v>
      </c>
    </row>
    <row r="491" spans="1:5" x14ac:dyDescent="0.25">
      <c r="A491" s="17">
        <f t="shared" si="36"/>
        <v>44551</v>
      </c>
      <c r="B491" s="126">
        <f t="shared" si="37"/>
        <v>5</v>
      </c>
      <c r="C491" s="58">
        <f t="shared" si="40"/>
        <v>44551.166666665493</v>
      </c>
      <c r="D491" s="58">
        <f t="shared" si="38"/>
        <v>44551.208333332157</v>
      </c>
      <c r="E491" s="106">
        <f t="shared" si="39"/>
        <v>22</v>
      </c>
    </row>
    <row r="492" spans="1:5" x14ac:dyDescent="0.25">
      <c r="A492" s="17">
        <f t="shared" si="36"/>
        <v>44551</v>
      </c>
      <c r="B492" s="126">
        <f t="shared" si="37"/>
        <v>6</v>
      </c>
      <c r="C492" s="58">
        <f t="shared" si="40"/>
        <v>44551.208333332157</v>
      </c>
      <c r="D492" s="58">
        <f t="shared" si="38"/>
        <v>44551.249999998821</v>
      </c>
      <c r="E492" s="106">
        <f t="shared" si="39"/>
        <v>25</v>
      </c>
    </row>
    <row r="493" spans="1:5" x14ac:dyDescent="0.25">
      <c r="A493" s="17">
        <f t="shared" si="36"/>
        <v>44551</v>
      </c>
      <c r="B493" s="126">
        <f t="shared" si="37"/>
        <v>7</v>
      </c>
      <c r="C493" s="58">
        <f t="shared" si="40"/>
        <v>44551.249999998821</v>
      </c>
      <c r="D493" s="58">
        <f t="shared" si="38"/>
        <v>44551.291666665486</v>
      </c>
      <c r="E493" s="106">
        <f t="shared" si="39"/>
        <v>24</v>
      </c>
    </row>
    <row r="494" spans="1:5" x14ac:dyDescent="0.25">
      <c r="A494" s="17">
        <f t="shared" si="36"/>
        <v>44551</v>
      </c>
      <c r="B494" s="126">
        <f t="shared" si="37"/>
        <v>8</v>
      </c>
      <c r="C494" s="58">
        <f t="shared" si="40"/>
        <v>44551.291666665486</v>
      </c>
      <c r="D494" s="58">
        <f t="shared" si="38"/>
        <v>44551.33333333215</v>
      </c>
      <c r="E494" s="106">
        <f t="shared" si="39"/>
        <v>38.659999999999997</v>
      </c>
    </row>
    <row r="495" spans="1:5" x14ac:dyDescent="0.25">
      <c r="A495" s="17">
        <f t="shared" si="36"/>
        <v>44551</v>
      </c>
      <c r="B495" s="126">
        <f t="shared" si="37"/>
        <v>9</v>
      </c>
      <c r="C495" s="58">
        <f t="shared" si="40"/>
        <v>44551.33333333215</v>
      </c>
      <c r="D495" s="58">
        <f t="shared" si="38"/>
        <v>44551.374999998814</v>
      </c>
      <c r="E495" s="106">
        <f t="shared" si="39"/>
        <v>38.659999999999997</v>
      </c>
    </row>
    <row r="496" spans="1:5" x14ac:dyDescent="0.25">
      <c r="A496" s="17">
        <f t="shared" si="36"/>
        <v>44551</v>
      </c>
      <c r="B496" s="126">
        <f t="shared" si="37"/>
        <v>10</v>
      </c>
      <c r="C496" s="58">
        <f t="shared" si="40"/>
        <v>44551.374999998814</v>
      </c>
      <c r="D496" s="58">
        <f t="shared" si="38"/>
        <v>44551.416666665478</v>
      </c>
      <c r="E496" s="106">
        <f t="shared" si="39"/>
        <v>38.659999999999997</v>
      </c>
    </row>
    <row r="497" spans="1:5" x14ac:dyDescent="0.25">
      <c r="A497" s="17">
        <f t="shared" si="36"/>
        <v>44551</v>
      </c>
      <c r="B497" s="126">
        <f t="shared" si="37"/>
        <v>11</v>
      </c>
      <c r="C497" s="58">
        <f t="shared" si="40"/>
        <v>44551.416666665478</v>
      </c>
      <c r="D497" s="58">
        <f t="shared" si="38"/>
        <v>44551.458333332143</v>
      </c>
      <c r="E497" s="106">
        <f t="shared" si="39"/>
        <v>38.659999999999997</v>
      </c>
    </row>
    <row r="498" spans="1:5" x14ac:dyDescent="0.25">
      <c r="A498" s="17">
        <f t="shared" si="36"/>
        <v>44551</v>
      </c>
      <c r="B498" s="126">
        <f t="shared" si="37"/>
        <v>12</v>
      </c>
      <c r="C498" s="58">
        <f t="shared" si="40"/>
        <v>44551.458333332143</v>
      </c>
      <c r="D498" s="58">
        <f t="shared" si="38"/>
        <v>44551.499999998807</v>
      </c>
      <c r="E498" s="106">
        <f t="shared" si="39"/>
        <v>38.659999999999997</v>
      </c>
    </row>
    <row r="499" spans="1:5" x14ac:dyDescent="0.25">
      <c r="A499" s="17">
        <f t="shared" si="36"/>
        <v>44551</v>
      </c>
      <c r="B499" s="126">
        <f t="shared" si="37"/>
        <v>13</v>
      </c>
      <c r="C499" s="58">
        <f t="shared" si="40"/>
        <v>44551.499999998807</v>
      </c>
      <c r="D499" s="58">
        <f t="shared" si="38"/>
        <v>44551.541666665471</v>
      </c>
      <c r="E499" s="106">
        <f t="shared" si="39"/>
        <v>38.659999999999997</v>
      </c>
    </row>
    <row r="500" spans="1:5" x14ac:dyDescent="0.25">
      <c r="A500" s="17">
        <f t="shared" si="36"/>
        <v>44551</v>
      </c>
      <c r="B500" s="126">
        <f t="shared" si="37"/>
        <v>14</v>
      </c>
      <c r="C500" s="58">
        <f t="shared" si="40"/>
        <v>44551.541666665471</v>
      </c>
      <c r="D500" s="58">
        <f t="shared" si="38"/>
        <v>44551.583333332135</v>
      </c>
      <c r="E500" s="106">
        <f t="shared" si="39"/>
        <v>38.659999999999997</v>
      </c>
    </row>
    <row r="501" spans="1:5" x14ac:dyDescent="0.25">
      <c r="A501" s="17">
        <f t="shared" si="36"/>
        <v>44551</v>
      </c>
      <c r="B501" s="126">
        <f t="shared" si="37"/>
        <v>15</v>
      </c>
      <c r="C501" s="58">
        <f t="shared" si="40"/>
        <v>44551.583333332135</v>
      </c>
      <c r="D501" s="58">
        <f t="shared" si="38"/>
        <v>44551.624999998799</v>
      </c>
      <c r="E501" s="106">
        <f t="shared" si="39"/>
        <v>38.659999999999997</v>
      </c>
    </row>
    <row r="502" spans="1:5" x14ac:dyDescent="0.25">
      <c r="A502" s="17">
        <f t="shared" si="36"/>
        <v>44551</v>
      </c>
      <c r="B502" s="126">
        <f t="shared" si="37"/>
        <v>16</v>
      </c>
      <c r="C502" s="58">
        <f t="shared" si="40"/>
        <v>44551.624999998799</v>
      </c>
      <c r="D502" s="58">
        <f t="shared" si="38"/>
        <v>44551.666666665464</v>
      </c>
      <c r="E502" s="106">
        <f t="shared" si="39"/>
        <v>38.659999999999997</v>
      </c>
    </row>
    <row r="503" spans="1:5" x14ac:dyDescent="0.25">
      <c r="A503" s="17">
        <f t="shared" si="36"/>
        <v>44551</v>
      </c>
      <c r="B503" s="126">
        <f t="shared" si="37"/>
        <v>17</v>
      </c>
      <c r="C503" s="58">
        <f t="shared" si="40"/>
        <v>44551.666666665464</v>
      </c>
      <c r="D503" s="58">
        <f t="shared" si="38"/>
        <v>44551.708333332128</v>
      </c>
      <c r="E503" s="106">
        <f t="shared" si="39"/>
        <v>38.659999999999997</v>
      </c>
    </row>
    <row r="504" spans="1:5" x14ac:dyDescent="0.25">
      <c r="A504" s="17">
        <f t="shared" si="36"/>
        <v>44551</v>
      </c>
      <c r="B504" s="126">
        <f t="shared" si="37"/>
        <v>18</v>
      </c>
      <c r="C504" s="58">
        <f t="shared" si="40"/>
        <v>44551.708333332128</v>
      </c>
      <c r="D504" s="58">
        <f t="shared" si="38"/>
        <v>44551.749999998792</v>
      </c>
      <c r="E504" s="106">
        <f t="shared" si="39"/>
        <v>38.659999999999997</v>
      </c>
    </row>
    <row r="505" spans="1:5" x14ac:dyDescent="0.25">
      <c r="A505" s="17">
        <f t="shared" si="36"/>
        <v>44551</v>
      </c>
      <c r="B505" s="126">
        <f t="shared" si="37"/>
        <v>19</v>
      </c>
      <c r="C505" s="58">
        <f t="shared" si="40"/>
        <v>44551.749999998792</v>
      </c>
      <c r="D505" s="58">
        <f t="shared" si="38"/>
        <v>44551.791666665456</v>
      </c>
      <c r="E505" s="106">
        <f t="shared" si="39"/>
        <v>38.659999999999997</v>
      </c>
    </row>
    <row r="506" spans="1:5" x14ac:dyDescent="0.25">
      <c r="A506" s="17">
        <f t="shared" si="36"/>
        <v>44551</v>
      </c>
      <c r="B506" s="126">
        <f t="shared" si="37"/>
        <v>20</v>
      </c>
      <c r="C506" s="58">
        <f t="shared" si="40"/>
        <v>44551.791666665456</v>
      </c>
      <c r="D506" s="58">
        <f t="shared" si="38"/>
        <v>44551.833333332121</v>
      </c>
      <c r="E506" s="106">
        <f t="shared" si="39"/>
        <v>38.659999999999997</v>
      </c>
    </row>
    <row r="507" spans="1:5" x14ac:dyDescent="0.25">
      <c r="A507" s="17">
        <f t="shared" si="36"/>
        <v>44551</v>
      </c>
      <c r="B507" s="126">
        <f t="shared" si="37"/>
        <v>21</v>
      </c>
      <c r="C507" s="58">
        <f t="shared" si="40"/>
        <v>44551.833333332121</v>
      </c>
      <c r="D507" s="58">
        <f t="shared" si="38"/>
        <v>44551.874999998785</v>
      </c>
      <c r="E507" s="106">
        <f t="shared" si="39"/>
        <v>38.659999999999997</v>
      </c>
    </row>
    <row r="508" spans="1:5" x14ac:dyDescent="0.25">
      <c r="A508" s="17">
        <f t="shared" si="36"/>
        <v>44551</v>
      </c>
      <c r="B508" s="126">
        <f t="shared" si="37"/>
        <v>22</v>
      </c>
      <c r="C508" s="58">
        <f t="shared" si="40"/>
        <v>44551.874999998785</v>
      </c>
      <c r="D508" s="58">
        <f t="shared" si="38"/>
        <v>44551.916666665449</v>
      </c>
      <c r="E508" s="106">
        <f t="shared" si="39"/>
        <v>38.659999999999997</v>
      </c>
    </row>
    <row r="509" spans="1:5" x14ac:dyDescent="0.25">
      <c r="A509" s="17">
        <f t="shared" si="36"/>
        <v>44551</v>
      </c>
      <c r="B509" s="126">
        <f t="shared" si="37"/>
        <v>23</v>
      </c>
      <c r="C509" s="58">
        <f t="shared" si="40"/>
        <v>44551.916666665449</v>
      </c>
      <c r="D509" s="58">
        <f t="shared" si="38"/>
        <v>44551.958333332113</v>
      </c>
      <c r="E509" s="106">
        <f t="shared" si="39"/>
        <v>38.659999999999997</v>
      </c>
    </row>
    <row r="510" spans="1:5" x14ac:dyDescent="0.25">
      <c r="A510" s="17">
        <f t="shared" si="36"/>
        <v>44551</v>
      </c>
      <c r="B510" s="126">
        <f t="shared" si="37"/>
        <v>24</v>
      </c>
      <c r="C510" s="58">
        <f t="shared" si="40"/>
        <v>44551.958333332113</v>
      </c>
      <c r="D510" s="58">
        <f t="shared" si="38"/>
        <v>44551.999999998778</v>
      </c>
      <c r="E510" s="106">
        <f t="shared" si="39"/>
        <v>24</v>
      </c>
    </row>
    <row r="511" spans="1:5" x14ac:dyDescent="0.25">
      <c r="A511" s="17">
        <f t="shared" si="36"/>
        <v>44552</v>
      </c>
      <c r="B511" s="126">
        <f t="shared" si="37"/>
        <v>1</v>
      </c>
      <c r="C511" s="58">
        <f t="shared" si="40"/>
        <v>44551.999999998778</v>
      </c>
      <c r="D511" s="58">
        <f t="shared" si="38"/>
        <v>44552.041666665442</v>
      </c>
      <c r="E511" s="106">
        <f t="shared" si="39"/>
        <v>30.21</v>
      </c>
    </row>
    <row r="512" spans="1:5" x14ac:dyDescent="0.25">
      <c r="A512" s="17">
        <f t="shared" si="36"/>
        <v>44552</v>
      </c>
      <c r="B512" s="126">
        <f t="shared" si="37"/>
        <v>2</v>
      </c>
      <c r="C512" s="58">
        <f t="shared" si="40"/>
        <v>44552.041666665442</v>
      </c>
      <c r="D512" s="58">
        <f t="shared" si="38"/>
        <v>44552.083333332106</v>
      </c>
      <c r="E512" s="106">
        <f t="shared" si="39"/>
        <v>30.21</v>
      </c>
    </row>
    <row r="513" spans="1:5" x14ac:dyDescent="0.25">
      <c r="A513" s="17">
        <f t="shared" si="36"/>
        <v>44552</v>
      </c>
      <c r="B513" s="126">
        <f t="shared" si="37"/>
        <v>3</v>
      </c>
      <c r="C513" s="58">
        <f t="shared" si="40"/>
        <v>44552.083333332106</v>
      </c>
      <c r="D513" s="58">
        <f t="shared" si="38"/>
        <v>44552.12499999877</v>
      </c>
      <c r="E513" s="106">
        <f t="shared" si="39"/>
        <v>30.21</v>
      </c>
    </row>
    <row r="514" spans="1:5" x14ac:dyDescent="0.25">
      <c r="A514" s="17">
        <f t="shared" si="36"/>
        <v>44552</v>
      </c>
      <c r="B514" s="126">
        <f t="shared" si="37"/>
        <v>4</v>
      </c>
      <c r="C514" s="58">
        <f t="shared" si="40"/>
        <v>44552.12499999877</v>
      </c>
      <c r="D514" s="58">
        <f t="shared" si="38"/>
        <v>44552.166666665435</v>
      </c>
      <c r="E514" s="106">
        <f t="shared" si="39"/>
        <v>30.21</v>
      </c>
    </row>
    <row r="515" spans="1:5" x14ac:dyDescent="0.25">
      <c r="A515" s="17">
        <f t="shared" si="36"/>
        <v>44552</v>
      </c>
      <c r="B515" s="126">
        <f t="shared" si="37"/>
        <v>5</v>
      </c>
      <c r="C515" s="58">
        <f t="shared" si="40"/>
        <v>44552.166666665435</v>
      </c>
      <c r="D515" s="58">
        <f t="shared" si="38"/>
        <v>44552.208333332099</v>
      </c>
      <c r="E515" s="106">
        <f t="shared" si="39"/>
        <v>30.21</v>
      </c>
    </row>
    <row r="516" spans="1:5" x14ac:dyDescent="0.25">
      <c r="A516" s="17">
        <f t="shared" si="36"/>
        <v>44552</v>
      </c>
      <c r="B516" s="126">
        <f t="shared" si="37"/>
        <v>6</v>
      </c>
      <c r="C516" s="58">
        <f t="shared" si="40"/>
        <v>44552.208333332099</v>
      </c>
      <c r="D516" s="58">
        <f t="shared" si="38"/>
        <v>44552.249999998763</v>
      </c>
      <c r="E516" s="106">
        <f t="shared" si="39"/>
        <v>30.21</v>
      </c>
    </row>
    <row r="517" spans="1:5" x14ac:dyDescent="0.25">
      <c r="A517" s="17">
        <f t="shared" si="36"/>
        <v>44552</v>
      </c>
      <c r="B517" s="126">
        <f t="shared" si="37"/>
        <v>7</v>
      </c>
      <c r="C517" s="58">
        <f t="shared" si="40"/>
        <v>44552.249999998763</v>
      </c>
      <c r="D517" s="58">
        <f t="shared" si="38"/>
        <v>44552.291666665427</v>
      </c>
      <c r="E517" s="106">
        <f t="shared" si="39"/>
        <v>30.21</v>
      </c>
    </row>
    <row r="518" spans="1:5" x14ac:dyDescent="0.25">
      <c r="A518" s="17">
        <f t="shared" si="36"/>
        <v>44552</v>
      </c>
      <c r="B518" s="126">
        <f t="shared" si="37"/>
        <v>8</v>
      </c>
      <c r="C518" s="58">
        <f t="shared" si="40"/>
        <v>44552.291666665427</v>
      </c>
      <c r="D518" s="58">
        <f t="shared" si="38"/>
        <v>44552.333333332092</v>
      </c>
      <c r="E518" s="106">
        <f t="shared" si="39"/>
        <v>38.659999999999997</v>
      </c>
    </row>
    <row r="519" spans="1:5" x14ac:dyDescent="0.25">
      <c r="A519" s="17">
        <f t="shared" si="36"/>
        <v>44552</v>
      </c>
      <c r="B519" s="126">
        <f t="shared" si="37"/>
        <v>9</v>
      </c>
      <c r="C519" s="58">
        <f t="shared" si="40"/>
        <v>44552.333333332092</v>
      </c>
      <c r="D519" s="58">
        <f t="shared" si="38"/>
        <v>44552.374999998756</v>
      </c>
      <c r="E519" s="106">
        <f t="shared" si="39"/>
        <v>38.659999999999997</v>
      </c>
    </row>
    <row r="520" spans="1:5" x14ac:dyDescent="0.25">
      <c r="A520" s="17">
        <f t="shared" ref="A520:A583" si="41">DATE(YEAR(C520),MONTH(C520),DAY(C520))</f>
        <v>44552</v>
      </c>
      <c r="B520" s="126">
        <f t="shared" ref="B520:B583" si="42">HOUR(C520)+1</f>
        <v>10</v>
      </c>
      <c r="C520" s="58">
        <f t="shared" si="40"/>
        <v>44552.374999998756</v>
      </c>
      <c r="D520" s="58">
        <f t="shared" ref="D520:D583" si="43">$C520+1/24</f>
        <v>44552.41666666542</v>
      </c>
      <c r="E520" s="106">
        <f t="shared" ref="E520:E583" si="44">VLOOKUP(A520,$K$6:$AI$36,B520+1,FALSE)</f>
        <v>38.659999999999997</v>
      </c>
    </row>
    <row r="521" spans="1:5" x14ac:dyDescent="0.25">
      <c r="A521" s="17">
        <f t="shared" si="41"/>
        <v>44552</v>
      </c>
      <c r="B521" s="126">
        <f t="shared" si="42"/>
        <v>11</v>
      </c>
      <c r="C521" s="58">
        <f t="shared" ref="C521:C584" si="45">$C520+1/24</f>
        <v>44552.41666666542</v>
      </c>
      <c r="D521" s="58">
        <f t="shared" si="43"/>
        <v>44552.458333332084</v>
      </c>
      <c r="E521" s="106">
        <f t="shared" si="44"/>
        <v>38.659999999999997</v>
      </c>
    </row>
    <row r="522" spans="1:5" x14ac:dyDescent="0.25">
      <c r="A522" s="17">
        <f t="shared" si="41"/>
        <v>44552</v>
      </c>
      <c r="B522" s="126">
        <f t="shared" si="42"/>
        <v>12</v>
      </c>
      <c r="C522" s="58">
        <f t="shared" si="45"/>
        <v>44552.458333332084</v>
      </c>
      <c r="D522" s="58">
        <f t="shared" si="43"/>
        <v>44552.499999998749</v>
      </c>
      <c r="E522" s="106">
        <f t="shared" si="44"/>
        <v>38.659999999999997</v>
      </c>
    </row>
    <row r="523" spans="1:5" x14ac:dyDescent="0.25">
      <c r="A523" s="17">
        <f t="shared" si="41"/>
        <v>44552</v>
      </c>
      <c r="B523" s="126">
        <f t="shared" si="42"/>
        <v>13</v>
      </c>
      <c r="C523" s="58">
        <f t="shared" si="45"/>
        <v>44552.499999998749</v>
      </c>
      <c r="D523" s="58">
        <f t="shared" si="43"/>
        <v>44552.541666665413</v>
      </c>
      <c r="E523" s="106">
        <f t="shared" si="44"/>
        <v>38.659999999999997</v>
      </c>
    </row>
    <row r="524" spans="1:5" x14ac:dyDescent="0.25">
      <c r="A524" s="17">
        <f t="shared" si="41"/>
        <v>44552</v>
      </c>
      <c r="B524" s="126">
        <f t="shared" si="42"/>
        <v>14</v>
      </c>
      <c r="C524" s="58">
        <f t="shared" si="45"/>
        <v>44552.541666665413</v>
      </c>
      <c r="D524" s="58">
        <f t="shared" si="43"/>
        <v>44552.583333332077</v>
      </c>
      <c r="E524" s="106">
        <f t="shared" si="44"/>
        <v>38.659999999999997</v>
      </c>
    </row>
    <row r="525" spans="1:5" x14ac:dyDescent="0.25">
      <c r="A525" s="17">
        <f t="shared" si="41"/>
        <v>44552</v>
      </c>
      <c r="B525" s="126">
        <f t="shared" si="42"/>
        <v>15</v>
      </c>
      <c r="C525" s="58">
        <f t="shared" si="45"/>
        <v>44552.583333332077</v>
      </c>
      <c r="D525" s="58">
        <f t="shared" si="43"/>
        <v>44552.624999998741</v>
      </c>
      <c r="E525" s="106">
        <f t="shared" si="44"/>
        <v>38.659999999999997</v>
      </c>
    </row>
    <row r="526" spans="1:5" x14ac:dyDescent="0.25">
      <c r="A526" s="17">
        <f t="shared" si="41"/>
        <v>44552</v>
      </c>
      <c r="B526" s="126">
        <f t="shared" si="42"/>
        <v>16</v>
      </c>
      <c r="C526" s="58">
        <f t="shared" si="45"/>
        <v>44552.624999998741</v>
      </c>
      <c r="D526" s="58">
        <f t="shared" si="43"/>
        <v>44552.666666665406</v>
      </c>
      <c r="E526" s="106">
        <f t="shared" si="44"/>
        <v>38.659999999999997</v>
      </c>
    </row>
    <row r="527" spans="1:5" x14ac:dyDescent="0.25">
      <c r="A527" s="17">
        <f t="shared" si="41"/>
        <v>44552</v>
      </c>
      <c r="B527" s="126">
        <f t="shared" si="42"/>
        <v>17</v>
      </c>
      <c r="C527" s="58">
        <f t="shared" si="45"/>
        <v>44552.666666665406</v>
      </c>
      <c r="D527" s="58">
        <f t="shared" si="43"/>
        <v>44552.70833333207</v>
      </c>
      <c r="E527" s="106">
        <f t="shared" si="44"/>
        <v>38.659999999999997</v>
      </c>
    </row>
    <row r="528" spans="1:5" x14ac:dyDescent="0.25">
      <c r="A528" s="17">
        <f t="shared" si="41"/>
        <v>44552</v>
      </c>
      <c r="B528" s="126">
        <f t="shared" si="42"/>
        <v>18</v>
      </c>
      <c r="C528" s="58">
        <f t="shared" si="45"/>
        <v>44552.70833333207</v>
      </c>
      <c r="D528" s="58">
        <f t="shared" si="43"/>
        <v>44552.749999998734</v>
      </c>
      <c r="E528" s="106">
        <f t="shared" si="44"/>
        <v>38.659999999999997</v>
      </c>
    </row>
    <row r="529" spans="1:5" x14ac:dyDescent="0.25">
      <c r="A529" s="17">
        <f t="shared" si="41"/>
        <v>44552</v>
      </c>
      <c r="B529" s="126">
        <f t="shared" si="42"/>
        <v>19</v>
      </c>
      <c r="C529" s="58">
        <f t="shared" si="45"/>
        <v>44552.749999998734</v>
      </c>
      <c r="D529" s="58">
        <f t="shared" si="43"/>
        <v>44552.791666665398</v>
      </c>
      <c r="E529" s="106">
        <f t="shared" si="44"/>
        <v>38.659999999999997</v>
      </c>
    </row>
    <row r="530" spans="1:5" x14ac:dyDescent="0.25">
      <c r="A530" s="17">
        <f t="shared" si="41"/>
        <v>44552</v>
      </c>
      <c r="B530" s="126">
        <f t="shared" si="42"/>
        <v>20</v>
      </c>
      <c r="C530" s="58">
        <f t="shared" si="45"/>
        <v>44552.791666665398</v>
      </c>
      <c r="D530" s="58">
        <f t="shared" si="43"/>
        <v>44552.833333332062</v>
      </c>
      <c r="E530" s="106">
        <f t="shared" si="44"/>
        <v>38.659999999999997</v>
      </c>
    </row>
    <row r="531" spans="1:5" x14ac:dyDescent="0.25">
      <c r="A531" s="17">
        <f t="shared" si="41"/>
        <v>44552</v>
      </c>
      <c r="B531" s="126">
        <f t="shared" si="42"/>
        <v>21</v>
      </c>
      <c r="C531" s="58">
        <f t="shared" si="45"/>
        <v>44552.833333332062</v>
      </c>
      <c r="D531" s="58">
        <f t="shared" si="43"/>
        <v>44552.874999998727</v>
      </c>
      <c r="E531" s="106">
        <f t="shared" si="44"/>
        <v>38.659999999999997</v>
      </c>
    </row>
    <row r="532" spans="1:5" x14ac:dyDescent="0.25">
      <c r="A532" s="17">
        <f t="shared" si="41"/>
        <v>44552</v>
      </c>
      <c r="B532" s="126">
        <f t="shared" si="42"/>
        <v>22</v>
      </c>
      <c r="C532" s="58">
        <f t="shared" si="45"/>
        <v>44552.874999998727</v>
      </c>
      <c r="D532" s="58">
        <f t="shared" si="43"/>
        <v>44552.916666665391</v>
      </c>
      <c r="E532" s="106">
        <f t="shared" si="44"/>
        <v>38.659999999999997</v>
      </c>
    </row>
    <row r="533" spans="1:5" x14ac:dyDescent="0.25">
      <c r="A533" s="17">
        <f t="shared" si="41"/>
        <v>44552</v>
      </c>
      <c r="B533" s="126">
        <f t="shared" si="42"/>
        <v>23</v>
      </c>
      <c r="C533" s="58">
        <f t="shared" si="45"/>
        <v>44552.916666665391</v>
      </c>
      <c r="D533" s="58">
        <f t="shared" si="43"/>
        <v>44552.958333332055</v>
      </c>
      <c r="E533" s="106">
        <f t="shared" si="44"/>
        <v>38.659999999999997</v>
      </c>
    </row>
    <row r="534" spans="1:5" x14ac:dyDescent="0.25">
      <c r="A534" s="17">
        <f t="shared" si="41"/>
        <v>44552</v>
      </c>
      <c r="B534" s="126">
        <f t="shared" si="42"/>
        <v>24</v>
      </c>
      <c r="C534" s="58">
        <f t="shared" si="45"/>
        <v>44552.958333332055</v>
      </c>
      <c r="D534" s="58">
        <f t="shared" si="43"/>
        <v>44552.999999998719</v>
      </c>
      <c r="E534" s="106">
        <f t="shared" si="44"/>
        <v>30.21</v>
      </c>
    </row>
    <row r="535" spans="1:5" x14ac:dyDescent="0.25">
      <c r="A535" s="17">
        <f t="shared" si="41"/>
        <v>44553</v>
      </c>
      <c r="B535" s="126">
        <f t="shared" si="42"/>
        <v>1</v>
      </c>
      <c r="C535" s="58">
        <f t="shared" si="45"/>
        <v>44552.999999998719</v>
      </c>
      <c r="D535" s="58">
        <f t="shared" si="43"/>
        <v>44553.041666665384</v>
      </c>
      <c r="E535" s="106">
        <f t="shared" si="44"/>
        <v>29.5</v>
      </c>
    </row>
    <row r="536" spans="1:5" x14ac:dyDescent="0.25">
      <c r="A536" s="17">
        <f t="shared" si="41"/>
        <v>44553</v>
      </c>
      <c r="B536" s="126">
        <f t="shared" si="42"/>
        <v>2</v>
      </c>
      <c r="C536" s="58">
        <f t="shared" si="45"/>
        <v>44553.041666665384</v>
      </c>
      <c r="D536" s="58">
        <f t="shared" si="43"/>
        <v>44553.083333332048</v>
      </c>
      <c r="E536" s="106">
        <f t="shared" si="44"/>
        <v>29.5</v>
      </c>
    </row>
    <row r="537" spans="1:5" x14ac:dyDescent="0.25">
      <c r="A537" s="17">
        <f t="shared" si="41"/>
        <v>44553</v>
      </c>
      <c r="B537" s="126">
        <f t="shared" si="42"/>
        <v>3</v>
      </c>
      <c r="C537" s="58">
        <f t="shared" si="45"/>
        <v>44553.083333332048</v>
      </c>
      <c r="D537" s="58">
        <f t="shared" si="43"/>
        <v>44553.124999998712</v>
      </c>
      <c r="E537" s="106">
        <f t="shared" si="44"/>
        <v>29.5</v>
      </c>
    </row>
    <row r="538" spans="1:5" x14ac:dyDescent="0.25">
      <c r="A538" s="17">
        <f t="shared" si="41"/>
        <v>44553</v>
      </c>
      <c r="B538" s="126">
        <f t="shared" si="42"/>
        <v>4</v>
      </c>
      <c r="C538" s="58">
        <f t="shared" si="45"/>
        <v>44553.124999998712</v>
      </c>
      <c r="D538" s="58">
        <f t="shared" si="43"/>
        <v>44553.166666665376</v>
      </c>
      <c r="E538" s="106">
        <f t="shared" si="44"/>
        <v>29.5</v>
      </c>
    </row>
    <row r="539" spans="1:5" x14ac:dyDescent="0.25">
      <c r="A539" s="17">
        <f t="shared" si="41"/>
        <v>44553</v>
      </c>
      <c r="B539" s="126">
        <f t="shared" si="42"/>
        <v>5</v>
      </c>
      <c r="C539" s="58">
        <f t="shared" si="45"/>
        <v>44553.166666665376</v>
      </c>
      <c r="D539" s="58">
        <f t="shared" si="43"/>
        <v>44553.208333332041</v>
      </c>
      <c r="E539" s="106">
        <f t="shared" si="44"/>
        <v>29.5</v>
      </c>
    </row>
    <row r="540" spans="1:5" x14ac:dyDescent="0.25">
      <c r="A540" s="17">
        <f t="shared" si="41"/>
        <v>44553</v>
      </c>
      <c r="B540" s="126">
        <f t="shared" si="42"/>
        <v>6</v>
      </c>
      <c r="C540" s="58">
        <f t="shared" si="45"/>
        <v>44553.208333332041</v>
      </c>
      <c r="D540" s="58">
        <f t="shared" si="43"/>
        <v>44553.249999998705</v>
      </c>
      <c r="E540" s="106">
        <f t="shared" si="44"/>
        <v>29.5</v>
      </c>
    </row>
    <row r="541" spans="1:5" x14ac:dyDescent="0.25">
      <c r="A541" s="17">
        <f t="shared" si="41"/>
        <v>44553</v>
      </c>
      <c r="B541" s="126">
        <f t="shared" si="42"/>
        <v>7</v>
      </c>
      <c r="C541" s="58">
        <f t="shared" si="45"/>
        <v>44553.249999998705</v>
      </c>
      <c r="D541" s="58">
        <f t="shared" si="43"/>
        <v>44553.291666665369</v>
      </c>
      <c r="E541" s="106">
        <f t="shared" si="44"/>
        <v>27</v>
      </c>
    </row>
    <row r="542" spans="1:5" x14ac:dyDescent="0.25">
      <c r="A542" s="17">
        <f t="shared" si="41"/>
        <v>44553</v>
      </c>
      <c r="B542" s="126">
        <f t="shared" si="42"/>
        <v>8</v>
      </c>
      <c r="C542" s="58">
        <f t="shared" si="45"/>
        <v>44553.291666665369</v>
      </c>
      <c r="D542" s="58">
        <f t="shared" si="43"/>
        <v>44553.333333332033</v>
      </c>
      <c r="E542" s="106">
        <f t="shared" si="44"/>
        <v>34</v>
      </c>
    </row>
    <row r="543" spans="1:5" x14ac:dyDescent="0.25">
      <c r="A543" s="17">
        <f t="shared" si="41"/>
        <v>44553</v>
      </c>
      <c r="B543" s="126">
        <f t="shared" si="42"/>
        <v>9</v>
      </c>
      <c r="C543" s="58">
        <f t="shared" si="45"/>
        <v>44553.333333332033</v>
      </c>
      <c r="D543" s="58">
        <f t="shared" si="43"/>
        <v>44553.374999998698</v>
      </c>
      <c r="E543" s="106">
        <f t="shared" si="44"/>
        <v>29.6</v>
      </c>
    </row>
    <row r="544" spans="1:5" x14ac:dyDescent="0.25">
      <c r="A544" s="17">
        <f t="shared" si="41"/>
        <v>44553</v>
      </c>
      <c r="B544" s="126">
        <f t="shared" si="42"/>
        <v>10</v>
      </c>
      <c r="C544" s="58">
        <f t="shared" si="45"/>
        <v>44553.374999998698</v>
      </c>
      <c r="D544" s="58">
        <f t="shared" si="43"/>
        <v>44553.416666665362</v>
      </c>
      <c r="E544" s="106">
        <f t="shared" si="44"/>
        <v>30</v>
      </c>
    </row>
    <row r="545" spans="1:5" x14ac:dyDescent="0.25">
      <c r="A545" s="17">
        <f t="shared" si="41"/>
        <v>44553</v>
      </c>
      <c r="B545" s="126">
        <f t="shared" si="42"/>
        <v>11</v>
      </c>
      <c r="C545" s="58">
        <f t="shared" si="45"/>
        <v>44553.416666665362</v>
      </c>
      <c r="D545" s="58">
        <f t="shared" si="43"/>
        <v>44553.458333332026</v>
      </c>
      <c r="E545" s="106">
        <f t="shared" si="44"/>
        <v>26</v>
      </c>
    </row>
    <row r="546" spans="1:5" x14ac:dyDescent="0.25">
      <c r="A546" s="17">
        <f t="shared" si="41"/>
        <v>44553</v>
      </c>
      <c r="B546" s="126">
        <f t="shared" si="42"/>
        <v>12</v>
      </c>
      <c r="C546" s="58">
        <f t="shared" si="45"/>
        <v>44553.458333332026</v>
      </c>
      <c r="D546" s="58">
        <f t="shared" si="43"/>
        <v>44553.49999999869</v>
      </c>
      <c r="E546" s="106">
        <f t="shared" si="44"/>
        <v>24</v>
      </c>
    </row>
    <row r="547" spans="1:5" x14ac:dyDescent="0.25">
      <c r="A547" s="17">
        <f t="shared" si="41"/>
        <v>44553</v>
      </c>
      <c r="B547" s="126">
        <f t="shared" si="42"/>
        <v>13</v>
      </c>
      <c r="C547" s="58">
        <f t="shared" si="45"/>
        <v>44553.49999999869</v>
      </c>
      <c r="D547" s="58">
        <f t="shared" si="43"/>
        <v>44553.541666665355</v>
      </c>
      <c r="E547" s="106">
        <f t="shared" si="44"/>
        <v>29.6</v>
      </c>
    </row>
    <row r="548" spans="1:5" x14ac:dyDescent="0.25">
      <c r="A548" s="17">
        <f t="shared" si="41"/>
        <v>44553</v>
      </c>
      <c r="B548" s="126">
        <f t="shared" si="42"/>
        <v>14</v>
      </c>
      <c r="C548" s="58">
        <f t="shared" si="45"/>
        <v>44553.541666665355</v>
      </c>
      <c r="D548" s="58">
        <f t="shared" si="43"/>
        <v>44553.583333332019</v>
      </c>
      <c r="E548" s="106">
        <f t="shared" si="44"/>
        <v>29.6</v>
      </c>
    </row>
    <row r="549" spans="1:5" x14ac:dyDescent="0.25">
      <c r="A549" s="17">
        <f t="shared" si="41"/>
        <v>44553</v>
      </c>
      <c r="B549" s="126">
        <f t="shared" si="42"/>
        <v>15</v>
      </c>
      <c r="C549" s="58">
        <f t="shared" si="45"/>
        <v>44553.583333332019</v>
      </c>
      <c r="D549" s="58">
        <f t="shared" si="43"/>
        <v>44553.624999998683</v>
      </c>
      <c r="E549" s="106">
        <f t="shared" si="44"/>
        <v>29.6</v>
      </c>
    </row>
    <row r="550" spans="1:5" x14ac:dyDescent="0.25">
      <c r="A550" s="17">
        <f t="shared" si="41"/>
        <v>44553</v>
      </c>
      <c r="B550" s="126">
        <f t="shared" si="42"/>
        <v>16</v>
      </c>
      <c r="C550" s="58">
        <f t="shared" si="45"/>
        <v>44553.624999998683</v>
      </c>
      <c r="D550" s="58">
        <f t="shared" si="43"/>
        <v>44553.666666665347</v>
      </c>
      <c r="E550" s="106">
        <f t="shared" si="44"/>
        <v>29.6</v>
      </c>
    </row>
    <row r="551" spans="1:5" x14ac:dyDescent="0.25">
      <c r="A551" s="17">
        <f t="shared" si="41"/>
        <v>44553</v>
      </c>
      <c r="B551" s="126">
        <f t="shared" si="42"/>
        <v>17</v>
      </c>
      <c r="C551" s="58">
        <f t="shared" si="45"/>
        <v>44553.666666665347</v>
      </c>
      <c r="D551" s="58">
        <f t="shared" si="43"/>
        <v>44553.708333332012</v>
      </c>
      <c r="E551" s="106">
        <f t="shared" si="44"/>
        <v>29.6</v>
      </c>
    </row>
    <row r="552" spans="1:5" x14ac:dyDescent="0.25">
      <c r="A552" s="17">
        <f t="shared" si="41"/>
        <v>44553</v>
      </c>
      <c r="B552" s="126">
        <f t="shared" si="42"/>
        <v>18</v>
      </c>
      <c r="C552" s="58">
        <f t="shared" si="45"/>
        <v>44553.708333332012</v>
      </c>
      <c r="D552" s="58">
        <f t="shared" si="43"/>
        <v>44553.749999998676</v>
      </c>
      <c r="E552" s="106">
        <f t="shared" si="44"/>
        <v>29.6</v>
      </c>
    </row>
    <row r="553" spans="1:5" x14ac:dyDescent="0.25">
      <c r="A553" s="17">
        <f t="shared" si="41"/>
        <v>44553</v>
      </c>
      <c r="B553" s="126">
        <f t="shared" si="42"/>
        <v>19</v>
      </c>
      <c r="C553" s="58">
        <f t="shared" si="45"/>
        <v>44553.749999998676</v>
      </c>
      <c r="D553" s="58">
        <f t="shared" si="43"/>
        <v>44553.79166666534</v>
      </c>
      <c r="E553" s="106">
        <f t="shared" si="44"/>
        <v>29.6</v>
      </c>
    </row>
    <row r="554" spans="1:5" x14ac:dyDescent="0.25">
      <c r="A554" s="17">
        <f t="shared" si="41"/>
        <v>44553</v>
      </c>
      <c r="B554" s="126">
        <f t="shared" si="42"/>
        <v>20</v>
      </c>
      <c r="C554" s="58">
        <f t="shared" si="45"/>
        <v>44553.79166666534</v>
      </c>
      <c r="D554" s="58">
        <f t="shared" si="43"/>
        <v>44553.833333332004</v>
      </c>
      <c r="E554" s="106">
        <f t="shared" si="44"/>
        <v>29.6</v>
      </c>
    </row>
    <row r="555" spans="1:5" x14ac:dyDescent="0.25">
      <c r="A555" s="17">
        <f t="shared" si="41"/>
        <v>44553</v>
      </c>
      <c r="B555" s="126">
        <f t="shared" si="42"/>
        <v>21</v>
      </c>
      <c r="C555" s="58">
        <f t="shared" si="45"/>
        <v>44553.833333332004</v>
      </c>
      <c r="D555" s="58">
        <f t="shared" si="43"/>
        <v>44553.874999998668</v>
      </c>
      <c r="E555" s="106">
        <f t="shared" si="44"/>
        <v>29.6</v>
      </c>
    </row>
    <row r="556" spans="1:5" x14ac:dyDescent="0.25">
      <c r="A556" s="17">
        <f t="shared" si="41"/>
        <v>44553</v>
      </c>
      <c r="B556" s="126">
        <f t="shared" si="42"/>
        <v>22</v>
      </c>
      <c r="C556" s="58">
        <f t="shared" si="45"/>
        <v>44553.874999998668</v>
      </c>
      <c r="D556" s="58">
        <f t="shared" si="43"/>
        <v>44553.916666665333</v>
      </c>
      <c r="E556" s="106">
        <f t="shared" si="44"/>
        <v>29.6</v>
      </c>
    </row>
    <row r="557" spans="1:5" x14ac:dyDescent="0.25">
      <c r="A557" s="17">
        <f t="shared" si="41"/>
        <v>44553</v>
      </c>
      <c r="B557" s="126">
        <f t="shared" si="42"/>
        <v>23</v>
      </c>
      <c r="C557" s="58">
        <f t="shared" si="45"/>
        <v>44553.916666665333</v>
      </c>
      <c r="D557" s="58">
        <f t="shared" si="43"/>
        <v>44553.958333331997</v>
      </c>
      <c r="E557" s="106">
        <f t="shared" si="44"/>
        <v>29.6</v>
      </c>
    </row>
    <row r="558" spans="1:5" x14ac:dyDescent="0.25">
      <c r="A558" s="17">
        <f t="shared" si="41"/>
        <v>44553</v>
      </c>
      <c r="B558" s="126">
        <f t="shared" si="42"/>
        <v>24</v>
      </c>
      <c r="C558" s="58">
        <f t="shared" si="45"/>
        <v>44553.958333331997</v>
      </c>
      <c r="D558" s="58">
        <f t="shared" si="43"/>
        <v>44553.999999998661</v>
      </c>
      <c r="E558" s="106">
        <f t="shared" si="44"/>
        <v>32</v>
      </c>
    </row>
    <row r="559" spans="1:5" x14ac:dyDescent="0.25">
      <c r="A559" s="17">
        <f t="shared" si="41"/>
        <v>44554</v>
      </c>
      <c r="B559" s="126">
        <f t="shared" si="42"/>
        <v>1</v>
      </c>
      <c r="C559" s="58">
        <f t="shared" si="45"/>
        <v>44553.999999998661</v>
      </c>
      <c r="D559" s="58">
        <f t="shared" si="43"/>
        <v>44554.041666665325</v>
      </c>
      <c r="E559" s="106">
        <f t="shared" si="44"/>
        <v>27.24</v>
      </c>
    </row>
    <row r="560" spans="1:5" x14ac:dyDescent="0.25">
      <c r="A560" s="17">
        <f t="shared" si="41"/>
        <v>44554</v>
      </c>
      <c r="B560" s="126">
        <f t="shared" si="42"/>
        <v>2</v>
      </c>
      <c r="C560" s="58">
        <f t="shared" si="45"/>
        <v>44554.041666665325</v>
      </c>
      <c r="D560" s="58">
        <f t="shared" si="43"/>
        <v>44554.08333333199</v>
      </c>
      <c r="E560" s="106">
        <f t="shared" si="44"/>
        <v>18</v>
      </c>
    </row>
    <row r="561" spans="1:5" x14ac:dyDescent="0.25">
      <c r="A561" s="17">
        <f t="shared" si="41"/>
        <v>44554</v>
      </c>
      <c r="B561" s="126">
        <f t="shared" si="42"/>
        <v>3</v>
      </c>
      <c r="C561" s="58">
        <f t="shared" si="45"/>
        <v>44554.08333333199</v>
      </c>
      <c r="D561" s="58">
        <f t="shared" si="43"/>
        <v>44554.124999998654</v>
      </c>
      <c r="E561" s="106">
        <f t="shared" si="44"/>
        <v>38.090000000000003</v>
      </c>
    </row>
    <row r="562" spans="1:5" x14ac:dyDescent="0.25">
      <c r="A562" s="17">
        <f t="shared" si="41"/>
        <v>44554</v>
      </c>
      <c r="B562" s="126">
        <f t="shared" si="42"/>
        <v>4</v>
      </c>
      <c r="C562" s="58">
        <f t="shared" si="45"/>
        <v>44554.124999998654</v>
      </c>
      <c r="D562" s="58">
        <f t="shared" si="43"/>
        <v>44554.166666665318</v>
      </c>
      <c r="E562" s="106">
        <f t="shared" si="44"/>
        <v>38.090000000000003</v>
      </c>
    </row>
    <row r="563" spans="1:5" x14ac:dyDescent="0.25">
      <c r="A563" s="17">
        <f t="shared" si="41"/>
        <v>44554</v>
      </c>
      <c r="B563" s="126">
        <f t="shared" si="42"/>
        <v>5</v>
      </c>
      <c r="C563" s="58">
        <f t="shared" si="45"/>
        <v>44554.166666665318</v>
      </c>
      <c r="D563" s="58">
        <f t="shared" si="43"/>
        <v>44554.208333331982</v>
      </c>
      <c r="E563" s="106">
        <f t="shared" si="44"/>
        <v>38.090000000000003</v>
      </c>
    </row>
    <row r="564" spans="1:5" x14ac:dyDescent="0.25">
      <c r="A564" s="17">
        <f t="shared" si="41"/>
        <v>44554</v>
      </c>
      <c r="B564" s="126">
        <f t="shared" si="42"/>
        <v>6</v>
      </c>
      <c r="C564" s="58">
        <f t="shared" si="45"/>
        <v>44554.208333331982</v>
      </c>
      <c r="D564" s="58">
        <f t="shared" si="43"/>
        <v>44554.249999998647</v>
      </c>
      <c r="E564" s="106">
        <f t="shared" si="44"/>
        <v>38.090000000000003</v>
      </c>
    </row>
    <row r="565" spans="1:5" x14ac:dyDescent="0.25">
      <c r="A565" s="17">
        <f t="shared" si="41"/>
        <v>44554</v>
      </c>
      <c r="B565" s="126">
        <f t="shared" si="42"/>
        <v>7</v>
      </c>
      <c r="C565" s="58">
        <f t="shared" si="45"/>
        <v>44554.249999998647</v>
      </c>
      <c r="D565" s="58">
        <f t="shared" si="43"/>
        <v>44554.291666665311</v>
      </c>
      <c r="E565" s="106">
        <f t="shared" si="44"/>
        <v>38.090000000000003</v>
      </c>
    </row>
    <row r="566" spans="1:5" x14ac:dyDescent="0.25">
      <c r="A566" s="17">
        <f t="shared" si="41"/>
        <v>44554</v>
      </c>
      <c r="B566" s="126">
        <f t="shared" si="42"/>
        <v>8</v>
      </c>
      <c r="C566" s="58">
        <f t="shared" si="45"/>
        <v>44554.291666665311</v>
      </c>
      <c r="D566" s="58">
        <f t="shared" si="43"/>
        <v>44554.333333331975</v>
      </c>
      <c r="E566" s="106">
        <f t="shared" si="44"/>
        <v>38.090000000000003</v>
      </c>
    </row>
    <row r="567" spans="1:5" x14ac:dyDescent="0.25">
      <c r="A567" s="17">
        <f t="shared" si="41"/>
        <v>44554</v>
      </c>
      <c r="B567" s="126">
        <f t="shared" si="42"/>
        <v>9</v>
      </c>
      <c r="C567" s="58">
        <f t="shared" si="45"/>
        <v>44554.333333331975</v>
      </c>
      <c r="D567" s="58">
        <f t="shared" si="43"/>
        <v>44554.374999998639</v>
      </c>
      <c r="E567" s="106">
        <f t="shared" si="44"/>
        <v>38.090000000000003</v>
      </c>
    </row>
    <row r="568" spans="1:5" x14ac:dyDescent="0.25">
      <c r="A568" s="17">
        <f t="shared" si="41"/>
        <v>44554</v>
      </c>
      <c r="B568" s="126">
        <f t="shared" si="42"/>
        <v>10</v>
      </c>
      <c r="C568" s="58">
        <f t="shared" si="45"/>
        <v>44554.374999998639</v>
      </c>
      <c r="D568" s="58">
        <f t="shared" si="43"/>
        <v>44554.416666665304</v>
      </c>
      <c r="E568" s="106">
        <f t="shared" si="44"/>
        <v>38.090000000000003</v>
      </c>
    </row>
    <row r="569" spans="1:5" x14ac:dyDescent="0.25">
      <c r="A569" s="17">
        <f t="shared" si="41"/>
        <v>44554</v>
      </c>
      <c r="B569" s="126">
        <f t="shared" si="42"/>
        <v>11</v>
      </c>
      <c r="C569" s="58">
        <f t="shared" si="45"/>
        <v>44554.416666665304</v>
      </c>
      <c r="D569" s="58">
        <f t="shared" si="43"/>
        <v>44554.458333331968</v>
      </c>
      <c r="E569" s="106">
        <f t="shared" si="44"/>
        <v>39.06</v>
      </c>
    </row>
    <row r="570" spans="1:5" x14ac:dyDescent="0.25">
      <c r="A570" s="17">
        <f t="shared" si="41"/>
        <v>44554</v>
      </c>
      <c r="B570" s="126">
        <f t="shared" si="42"/>
        <v>12</v>
      </c>
      <c r="C570" s="58">
        <f t="shared" si="45"/>
        <v>44554.458333331968</v>
      </c>
      <c r="D570" s="58">
        <f t="shared" si="43"/>
        <v>44554.499999998632</v>
      </c>
      <c r="E570" s="106">
        <f t="shared" si="44"/>
        <v>40</v>
      </c>
    </row>
    <row r="571" spans="1:5" x14ac:dyDescent="0.25">
      <c r="A571" s="17">
        <f t="shared" si="41"/>
        <v>44554</v>
      </c>
      <c r="B571" s="126">
        <f t="shared" si="42"/>
        <v>13</v>
      </c>
      <c r="C571" s="58">
        <f t="shared" si="45"/>
        <v>44554.499999998632</v>
      </c>
      <c r="D571" s="58">
        <f t="shared" si="43"/>
        <v>44554.541666665296</v>
      </c>
      <c r="E571" s="106">
        <f t="shared" si="44"/>
        <v>36</v>
      </c>
    </row>
    <row r="572" spans="1:5" x14ac:dyDescent="0.25">
      <c r="A572" s="17">
        <f t="shared" si="41"/>
        <v>44554</v>
      </c>
      <c r="B572" s="126">
        <f t="shared" si="42"/>
        <v>14</v>
      </c>
      <c r="C572" s="58">
        <f t="shared" si="45"/>
        <v>44554.541666665296</v>
      </c>
      <c r="D572" s="58">
        <f t="shared" si="43"/>
        <v>44554.583333331961</v>
      </c>
      <c r="E572" s="106">
        <f t="shared" si="44"/>
        <v>38.090000000000003</v>
      </c>
    </row>
    <row r="573" spans="1:5" x14ac:dyDescent="0.25">
      <c r="A573" s="17">
        <f t="shared" si="41"/>
        <v>44554</v>
      </c>
      <c r="B573" s="126">
        <f t="shared" si="42"/>
        <v>15</v>
      </c>
      <c r="C573" s="58">
        <f t="shared" si="45"/>
        <v>44554.583333331961</v>
      </c>
      <c r="D573" s="58">
        <f t="shared" si="43"/>
        <v>44554.624999998625</v>
      </c>
      <c r="E573" s="106">
        <f t="shared" si="44"/>
        <v>38.090000000000003</v>
      </c>
    </row>
    <row r="574" spans="1:5" x14ac:dyDescent="0.25">
      <c r="A574" s="17">
        <f t="shared" si="41"/>
        <v>44554</v>
      </c>
      <c r="B574" s="126">
        <f t="shared" si="42"/>
        <v>16</v>
      </c>
      <c r="C574" s="58">
        <f t="shared" si="45"/>
        <v>44554.624999998625</v>
      </c>
      <c r="D574" s="58">
        <f t="shared" si="43"/>
        <v>44554.666666665289</v>
      </c>
      <c r="E574" s="106">
        <f t="shared" si="44"/>
        <v>38.090000000000003</v>
      </c>
    </row>
    <row r="575" spans="1:5" x14ac:dyDescent="0.25">
      <c r="A575" s="17">
        <f t="shared" si="41"/>
        <v>44554</v>
      </c>
      <c r="B575" s="126">
        <f t="shared" si="42"/>
        <v>17</v>
      </c>
      <c r="C575" s="58">
        <f t="shared" si="45"/>
        <v>44554.666666665289</v>
      </c>
      <c r="D575" s="58">
        <f t="shared" si="43"/>
        <v>44554.708333331953</v>
      </c>
      <c r="E575" s="106">
        <f t="shared" si="44"/>
        <v>38</v>
      </c>
    </row>
    <row r="576" spans="1:5" x14ac:dyDescent="0.25">
      <c r="A576" s="17">
        <f t="shared" si="41"/>
        <v>44554</v>
      </c>
      <c r="B576" s="126">
        <f t="shared" si="42"/>
        <v>18</v>
      </c>
      <c r="C576" s="58">
        <f t="shared" si="45"/>
        <v>44554.708333331953</v>
      </c>
      <c r="D576" s="58">
        <f t="shared" si="43"/>
        <v>44554.749999998618</v>
      </c>
      <c r="E576" s="106">
        <f t="shared" si="44"/>
        <v>38</v>
      </c>
    </row>
    <row r="577" spans="1:5" x14ac:dyDescent="0.25">
      <c r="A577" s="17">
        <f t="shared" si="41"/>
        <v>44554</v>
      </c>
      <c r="B577" s="126">
        <f t="shared" si="42"/>
        <v>19</v>
      </c>
      <c r="C577" s="58">
        <f t="shared" si="45"/>
        <v>44554.749999998618</v>
      </c>
      <c r="D577" s="58">
        <f t="shared" si="43"/>
        <v>44554.791666665282</v>
      </c>
      <c r="E577" s="106">
        <f t="shared" si="44"/>
        <v>49</v>
      </c>
    </row>
    <row r="578" spans="1:5" x14ac:dyDescent="0.25">
      <c r="A578" s="17">
        <f t="shared" si="41"/>
        <v>44554</v>
      </c>
      <c r="B578" s="126">
        <f t="shared" si="42"/>
        <v>20</v>
      </c>
      <c r="C578" s="58">
        <f t="shared" si="45"/>
        <v>44554.791666665282</v>
      </c>
      <c r="D578" s="58">
        <f t="shared" si="43"/>
        <v>44554.833333331946</v>
      </c>
      <c r="E578" s="106">
        <f t="shared" si="44"/>
        <v>45</v>
      </c>
    </row>
    <row r="579" spans="1:5" x14ac:dyDescent="0.25">
      <c r="A579" s="17">
        <f t="shared" si="41"/>
        <v>44554</v>
      </c>
      <c r="B579" s="126">
        <f t="shared" si="42"/>
        <v>21</v>
      </c>
      <c r="C579" s="58">
        <f t="shared" si="45"/>
        <v>44554.833333331946</v>
      </c>
      <c r="D579" s="58">
        <f t="shared" si="43"/>
        <v>44554.87499999861</v>
      </c>
      <c r="E579" s="106">
        <f t="shared" si="44"/>
        <v>40</v>
      </c>
    </row>
    <row r="580" spans="1:5" x14ac:dyDescent="0.25">
      <c r="A580" s="17">
        <f t="shared" si="41"/>
        <v>44554</v>
      </c>
      <c r="B580" s="126">
        <f t="shared" si="42"/>
        <v>22</v>
      </c>
      <c r="C580" s="58">
        <f t="shared" si="45"/>
        <v>44554.87499999861</v>
      </c>
      <c r="D580" s="58">
        <f t="shared" si="43"/>
        <v>44554.916666665275</v>
      </c>
      <c r="E580" s="106">
        <f t="shared" si="44"/>
        <v>38.090000000000003</v>
      </c>
    </row>
    <row r="581" spans="1:5" x14ac:dyDescent="0.25">
      <c r="A581" s="17">
        <f t="shared" si="41"/>
        <v>44554</v>
      </c>
      <c r="B581" s="126">
        <f t="shared" si="42"/>
        <v>23</v>
      </c>
      <c r="C581" s="58">
        <f t="shared" si="45"/>
        <v>44554.916666665275</v>
      </c>
      <c r="D581" s="58">
        <f t="shared" si="43"/>
        <v>44554.958333331939</v>
      </c>
      <c r="E581" s="106">
        <f t="shared" si="44"/>
        <v>38.090000000000003</v>
      </c>
    </row>
    <row r="582" spans="1:5" x14ac:dyDescent="0.25">
      <c r="A582" s="17">
        <f t="shared" si="41"/>
        <v>44554</v>
      </c>
      <c r="B582" s="126">
        <f t="shared" si="42"/>
        <v>24</v>
      </c>
      <c r="C582" s="58">
        <f t="shared" si="45"/>
        <v>44554.958333331939</v>
      </c>
      <c r="D582" s="58">
        <f t="shared" si="43"/>
        <v>44554.999999998603</v>
      </c>
      <c r="E582" s="106">
        <f t="shared" si="44"/>
        <v>38.090000000000003</v>
      </c>
    </row>
    <row r="583" spans="1:5" x14ac:dyDescent="0.25">
      <c r="A583" s="17">
        <f t="shared" si="41"/>
        <v>44555</v>
      </c>
      <c r="B583" s="126">
        <f t="shared" si="42"/>
        <v>1</v>
      </c>
      <c r="C583" s="58">
        <f t="shared" si="45"/>
        <v>44554.999999998603</v>
      </c>
      <c r="D583" s="58">
        <f t="shared" si="43"/>
        <v>44555.041666665267</v>
      </c>
      <c r="E583" s="106">
        <f t="shared" si="44"/>
        <v>36.67</v>
      </c>
    </row>
    <row r="584" spans="1:5" x14ac:dyDescent="0.25">
      <c r="A584" s="17">
        <f t="shared" ref="A584:A647" si="46">DATE(YEAR(C584),MONTH(C584),DAY(C584))</f>
        <v>44555</v>
      </c>
      <c r="B584" s="126">
        <f t="shared" ref="B584:B647" si="47">HOUR(C584)+1</f>
        <v>2</v>
      </c>
      <c r="C584" s="58">
        <f t="shared" si="45"/>
        <v>44555.041666665267</v>
      </c>
      <c r="D584" s="58">
        <f t="shared" ref="D584:D647" si="48">$C584+1/24</f>
        <v>44555.083333331931</v>
      </c>
      <c r="E584" s="106">
        <f t="shared" ref="E584:E647" si="49">VLOOKUP(A584,$K$6:$AI$36,B584+1,FALSE)</f>
        <v>36.67</v>
      </c>
    </row>
    <row r="585" spans="1:5" x14ac:dyDescent="0.25">
      <c r="A585" s="17">
        <f t="shared" si="46"/>
        <v>44555</v>
      </c>
      <c r="B585" s="126">
        <f t="shared" si="47"/>
        <v>3</v>
      </c>
      <c r="C585" s="58">
        <f t="shared" ref="C585:C648" si="50">$C584+1/24</f>
        <v>44555.083333331931</v>
      </c>
      <c r="D585" s="58">
        <f t="shared" si="48"/>
        <v>44555.124999998596</v>
      </c>
      <c r="E585" s="106">
        <f t="shared" si="49"/>
        <v>36.67</v>
      </c>
    </row>
    <row r="586" spans="1:5" x14ac:dyDescent="0.25">
      <c r="A586" s="17">
        <f t="shared" si="46"/>
        <v>44555</v>
      </c>
      <c r="B586" s="126">
        <f t="shared" si="47"/>
        <v>4</v>
      </c>
      <c r="C586" s="58">
        <f t="shared" si="50"/>
        <v>44555.124999998596</v>
      </c>
      <c r="D586" s="58">
        <f t="shared" si="48"/>
        <v>44555.16666666526</v>
      </c>
      <c r="E586" s="106">
        <f t="shared" si="49"/>
        <v>36.67</v>
      </c>
    </row>
    <row r="587" spans="1:5" x14ac:dyDescent="0.25">
      <c r="A587" s="17">
        <f t="shared" si="46"/>
        <v>44555</v>
      </c>
      <c r="B587" s="126">
        <f t="shared" si="47"/>
        <v>5</v>
      </c>
      <c r="C587" s="58">
        <f t="shared" si="50"/>
        <v>44555.16666666526</v>
      </c>
      <c r="D587" s="58">
        <f t="shared" si="48"/>
        <v>44555.208333331924</v>
      </c>
      <c r="E587" s="106">
        <f t="shared" si="49"/>
        <v>40</v>
      </c>
    </row>
    <row r="588" spans="1:5" x14ac:dyDescent="0.25">
      <c r="A588" s="17">
        <f t="shared" si="46"/>
        <v>44555</v>
      </c>
      <c r="B588" s="126">
        <f t="shared" si="47"/>
        <v>6</v>
      </c>
      <c r="C588" s="58">
        <f t="shared" si="50"/>
        <v>44555.208333331924</v>
      </c>
      <c r="D588" s="58">
        <f t="shared" si="48"/>
        <v>44555.249999998588</v>
      </c>
      <c r="E588" s="106">
        <f t="shared" si="49"/>
        <v>30</v>
      </c>
    </row>
    <row r="589" spans="1:5" x14ac:dyDescent="0.25">
      <c r="A589" s="17">
        <f t="shared" si="46"/>
        <v>44555</v>
      </c>
      <c r="B589" s="126">
        <f t="shared" si="47"/>
        <v>7</v>
      </c>
      <c r="C589" s="58">
        <f t="shared" si="50"/>
        <v>44555.249999998588</v>
      </c>
      <c r="D589" s="58">
        <f t="shared" si="48"/>
        <v>44555.291666665253</v>
      </c>
      <c r="E589" s="106">
        <f t="shared" si="49"/>
        <v>40</v>
      </c>
    </row>
    <row r="590" spans="1:5" x14ac:dyDescent="0.25">
      <c r="A590" s="17">
        <f t="shared" si="46"/>
        <v>44555</v>
      </c>
      <c r="B590" s="126">
        <f t="shared" si="47"/>
        <v>8</v>
      </c>
      <c r="C590" s="58">
        <f t="shared" si="50"/>
        <v>44555.291666665253</v>
      </c>
      <c r="D590" s="58">
        <f t="shared" si="48"/>
        <v>44555.333333331917</v>
      </c>
      <c r="E590" s="106">
        <f t="shared" si="49"/>
        <v>40</v>
      </c>
    </row>
    <row r="591" spans="1:5" x14ac:dyDescent="0.25">
      <c r="A591" s="17">
        <f t="shared" si="46"/>
        <v>44555</v>
      </c>
      <c r="B591" s="126">
        <f t="shared" si="47"/>
        <v>9</v>
      </c>
      <c r="C591" s="58">
        <f t="shared" si="50"/>
        <v>44555.333333331917</v>
      </c>
      <c r="D591" s="58">
        <f t="shared" si="48"/>
        <v>44555.374999998581</v>
      </c>
      <c r="E591" s="106">
        <f t="shared" si="49"/>
        <v>40</v>
      </c>
    </row>
    <row r="592" spans="1:5" x14ac:dyDescent="0.25">
      <c r="A592" s="17">
        <f t="shared" si="46"/>
        <v>44555</v>
      </c>
      <c r="B592" s="126">
        <f t="shared" si="47"/>
        <v>10</v>
      </c>
      <c r="C592" s="58">
        <f t="shared" si="50"/>
        <v>44555.374999998581</v>
      </c>
      <c r="D592" s="58">
        <f t="shared" si="48"/>
        <v>44555.416666665245</v>
      </c>
      <c r="E592" s="106">
        <f t="shared" si="49"/>
        <v>50</v>
      </c>
    </row>
    <row r="593" spans="1:5" x14ac:dyDescent="0.25">
      <c r="A593" s="17">
        <f t="shared" si="46"/>
        <v>44555</v>
      </c>
      <c r="B593" s="126">
        <f t="shared" si="47"/>
        <v>11</v>
      </c>
      <c r="C593" s="58">
        <f t="shared" si="50"/>
        <v>44555.416666665245</v>
      </c>
      <c r="D593" s="58">
        <f t="shared" si="48"/>
        <v>44555.45833333191</v>
      </c>
      <c r="E593" s="106">
        <f t="shared" si="49"/>
        <v>45</v>
      </c>
    </row>
    <row r="594" spans="1:5" x14ac:dyDescent="0.25">
      <c r="A594" s="17">
        <f t="shared" si="46"/>
        <v>44555</v>
      </c>
      <c r="B594" s="126">
        <f t="shared" si="47"/>
        <v>12</v>
      </c>
      <c r="C594" s="58">
        <f t="shared" si="50"/>
        <v>44555.45833333191</v>
      </c>
      <c r="D594" s="58">
        <f t="shared" si="48"/>
        <v>44555.499999998574</v>
      </c>
      <c r="E594" s="106">
        <f t="shared" si="49"/>
        <v>35</v>
      </c>
    </row>
    <row r="595" spans="1:5" x14ac:dyDescent="0.25">
      <c r="A595" s="17">
        <f t="shared" si="46"/>
        <v>44555</v>
      </c>
      <c r="B595" s="126">
        <f t="shared" si="47"/>
        <v>13</v>
      </c>
      <c r="C595" s="58">
        <f t="shared" si="50"/>
        <v>44555.499999998574</v>
      </c>
      <c r="D595" s="58">
        <f t="shared" si="48"/>
        <v>44555.541666665238</v>
      </c>
      <c r="E595" s="106">
        <f t="shared" si="49"/>
        <v>35</v>
      </c>
    </row>
    <row r="596" spans="1:5" x14ac:dyDescent="0.25">
      <c r="A596" s="17">
        <f t="shared" si="46"/>
        <v>44555</v>
      </c>
      <c r="B596" s="126">
        <f t="shared" si="47"/>
        <v>14</v>
      </c>
      <c r="C596" s="58">
        <f t="shared" si="50"/>
        <v>44555.541666665238</v>
      </c>
      <c r="D596" s="58">
        <f t="shared" si="48"/>
        <v>44555.583333331902</v>
      </c>
      <c r="E596" s="106">
        <f t="shared" si="49"/>
        <v>35</v>
      </c>
    </row>
    <row r="597" spans="1:5" x14ac:dyDescent="0.25">
      <c r="A597" s="17">
        <f t="shared" si="46"/>
        <v>44555</v>
      </c>
      <c r="B597" s="126">
        <f t="shared" si="47"/>
        <v>15</v>
      </c>
      <c r="C597" s="58">
        <f t="shared" si="50"/>
        <v>44555.583333331902</v>
      </c>
      <c r="D597" s="58">
        <f t="shared" si="48"/>
        <v>44555.624999998567</v>
      </c>
      <c r="E597" s="106">
        <f t="shared" si="49"/>
        <v>51.61</v>
      </c>
    </row>
    <row r="598" spans="1:5" x14ac:dyDescent="0.25">
      <c r="A598" s="17">
        <f t="shared" si="46"/>
        <v>44555</v>
      </c>
      <c r="B598" s="126">
        <f t="shared" si="47"/>
        <v>16</v>
      </c>
      <c r="C598" s="58">
        <f t="shared" si="50"/>
        <v>44555.624999998567</v>
      </c>
      <c r="D598" s="58">
        <f t="shared" si="48"/>
        <v>44555.666666665231</v>
      </c>
      <c r="E598" s="106">
        <f t="shared" si="49"/>
        <v>45</v>
      </c>
    </row>
    <row r="599" spans="1:5" x14ac:dyDescent="0.25">
      <c r="A599" s="17">
        <f t="shared" si="46"/>
        <v>44555</v>
      </c>
      <c r="B599" s="126">
        <f t="shared" si="47"/>
        <v>17</v>
      </c>
      <c r="C599" s="58">
        <f t="shared" si="50"/>
        <v>44555.666666665231</v>
      </c>
      <c r="D599" s="58">
        <f t="shared" si="48"/>
        <v>44555.708333331895</v>
      </c>
      <c r="E599" s="106">
        <f t="shared" si="49"/>
        <v>45</v>
      </c>
    </row>
    <row r="600" spans="1:5" x14ac:dyDescent="0.25">
      <c r="A600" s="17">
        <f t="shared" si="46"/>
        <v>44555</v>
      </c>
      <c r="B600" s="126">
        <f t="shared" si="47"/>
        <v>18</v>
      </c>
      <c r="C600" s="58">
        <f t="shared" si="50"/>
        <v>44555.708333331895</v>
      </c>
      <c r="D600" s="58">
        <f t="shared" si="48"/>
        <v>44555.749999998559</v>
      </c>
      <c r="E600" s="106">
        <f t="shared" si="49"/>
        <v>68.569999999999993</v>
      </c>
    </row>
    <row r="601" spans="1:5" x14ac:dyDescent="0.25">
      <c r="A601" s="17">
        <f t="shared" si="46"/>
        <v>44555</v>
      </c>
      <c r="B601" s="126">
        <f t="shared" si="47"/>
        <v>19</v>
      </c>
      <c r="C601" s="58">
        <f t="shared" si="50"/>
        <v>44555.749999998559</v>
      </c>
      <c r="D601" s="58">
        <f t="shared" si="48"/>
        <v>44555.791666665224</v>
      </c>
      <c r="E601" s="106">
        <f t="shared" si="49"/>
        <v>75</v>
      </c>
    </row>
    <row r="602" spans="1:5" x14ac:dyDescent="0.25">
      <c r="A602" s="17">
        <f t="shared" si="46"/>
        <v>44555</v>
      </c>
      <c r="B602" s="126">
        <f t="shared" si="47"/>
        <v>20</v>
      </c>
      <c r="C602" s="58">
        <f t="shared" si="50"/>
        <v>44555.791666665224</v>
      </c>
      <c r="D602" s="58">
        <f t="shared" si="48"/>
        <v>44555.833333331888</v>
      </c>
      <c r="E602" s="106">
        <f t="shared" si="49"/>
        <v>75</v>
      </c>
    </row>
    <row r="603" spans="1:5" x14ac:dyDescent="0.25">
      <c r="A603" s="17">
        <f t="shared" si="46"/>
        <v>44555</v>
      </c>
      <c r="B603" s="126">
        <f t="shared" si="47"/>
        <v>21</v>
      </c>
      <c r="C603" s="58">
        <f t="shared" si="50"/>
        <v>44555.833333331888</v>
      </c>
      <c r="D603" s="58">
        <f t="shared" si="48"/>
        <v>44555.874999998552</v>
      </c>
      <c r="E603" s="106">
        <f t="shared" si="49"/>
        <v>51.61</v>
      </c>
    </row>
    <row r="604" spans="1:5" x14ac:dyDescent="0.25">
      <c r="A604" s="17">
        <f t="shared" si="46"/>
        <v>44555</v>
      </c>
      <c r="B604" s="126">
        <f t="shared" si="47"/>
        <v>22</v>
      </c>
      <c r="C604" s="58">
        <f t="shared" si="50"/>
        <v>44555.874999998552</v>
      </c>
      <c r="D604" s="58">
        <f t="shared" si="48"/>
        <v>44555.916666665216</v>
      </c>
      <c r="E604" s="106">
        <f t="shared" si="49"/>
        <v>51.61</v>
      </c>
    </row>
    <row r="605" spans="1:5" x14ac:dyDescent="0.25">
      <c r="A605" s="17">
        <f t="shared" si="46"/>
        <v>44555</v>
      </c>
      <c r="B605" s="126">
        <f t="shared" si="47"/>
        <v>23</v>
      </c>
      <c r="C605" s="58">
        <f t="shared" si="50"/>
        <v>44555.916666665216</v>
      </c>
      <c r="D605" s="58">
        <f t="shared" si="48"/>
        <v>44555.958333331881</v>
      </c>
      <c r="E605" s="106">
        <f t="shared" si="49"/>
        <v>51.61</v>
      </c>
    </row>
    <row r="606" spans="1:5" x14ac:dyDescent="0.25">
      <c r="A606" s="17">
        <f t="shared" si="46"/>
        <v>44555</v>
      </c>
      <c r="B606" s="126">
        <f t="shared" si="47"/>
        <v>24</v>
      </c>
      <c r="C606" s="58">
        <f t="shared" si="50"/>
        <v>44555.958333331881</v>
      </c>
      <c r="D606" s="58">
        <f t="shared" si="48"/>
        <v>44555.999999998545</v>
      </c>
      <c r="E606" s="106">
        <f t="shared" si="49"/>
        <v>36.67</v>
      </c>
    </row>
    <row r="607" spans="1:5" x14ac:dyDescent="0.25">
      <c r="A607" s="17">
        <f t="shared" si="46"/>
        <v>44556</v>
      </c>
      <c r="B607" s="126">
        <f t="shared" si="47"/>
        <v>1</v>
      </c>
      <c r="C607" s="58">
        <f t="shared" si="50"/>
        <v>44555.999999998545</v>
      </c>
      <c r="D607" s="58">
        <f t="shared" si="48"/>
        <v>44556.041666665209</v>
      </c>
      <c r="E607" s="106">
        <f t="shared" si="49"/>
        <v>43.67</v>
      </c>
    </row>
    <row r="608" spans="1:5" x14ac:dyDescent="0.25">
      <c r="A608" s="17">
        <f t="shared" si="46"/>
        <v>44556</v>
      </c>
      <c r="B608" s="126">
        <f t="shared" si="47"/>
        <v>2</v>
      </c>
      <c r="C608" s="58">
        <f t="shared" si="50"/>
        <v>44556.041666665209</v>
      </c>
      <c r="D608" s="58">
        <f t="shared" si="48"/>
        <v>44556.083333331873</v>
      </c>
      <c r="E608" s="106">
        <f t="shared" si="49"/>
        <v>43.67</v>
      </c>
    </row>
    <row r="609" spans="1:5" x14ac:dyDescent="0.25">
      <c r="A609" s="17">
        <f t="shared" si="46"/>
        <v>44556</v>
      </c>
      <c r="B609" s="126">
        <f t="shared" si="47"/>
        <v>3</v>
      </c>
      <c r="C609" s="58">
        <f t="shared" si="50"/>
        <v>44556.083333331873</v>
      </c>
      <c r="D609" s="58">
        <f t="shared" si="48"/>
        <v>44556.124999998538</v>
      </c>
      <c r="E609" s="106">
        <f t="shared" si="49"/>
        <v>43.67</v>
      </c>
    </row>
    <row r="610" spans="1:5" x14ac:dyDescent="0.25">
      <c r="A610" s="17">
        <f t="shared" si="46"/>
        <v>44556</v>
      </c>
      <c r="B610" s="126">
        <f t="shared" si="47"/>
        <v>4</v>
      </c>
      <c r="C610" s="58">
        <f t="shared" si="50"/>
        <v>44556.124999998538</v>
      </c>
      <c r="D610" s="58">
        <f t="shared" si="48"/>
        <v>44556.166666665202</v>
      </c>
      <c r="E610" s="106">
        <f t="shared" si="49"/>
        <v>36</v>
      </c>
    </row>
    <row r="611" spans="1:5" x14ac:dyDescent="0.25">
      <c r="A611" s="17">
        <f t="shared" si="46"/>
        <v>44556</v>
      </c>
      <c r="B611" s="126">
        <f t="shared" si="47"/>
        <v>5</v>
      </c>
      <c r="C611" s="58">
        <f t="shared" si="50"/>
        <v>44556.166666665202</v>
      </c>
      <c r="D611" s="58">
        <f t="shared" si="48"/>
        <v>44556.208333331866</v>
      </c>
      <c r="E611" s="106">
        <f t="shared" si="49"/>
        <v>40</v>
      </c>
    </row>
    <row r="612" spans="1:5" x14ac:dyDescent="0.25">
      <c r="A612" s="17">
        <f t="shared" si="46"/>
        <v>44556</v>
      </c>
      <c r="B612" s="126">
        <f t="shared" si="47"/>
        <v>6</v>
      </c>
      <c r="C612" s="58">
        <f t="shared" si="50"/>
        <v>44556.208333331866</v>
      </c>
      <c r="D612" s="58">
        <f t="shared" si="48"/>
        <v>44556.24999999853</v>
      </c>
      <c r="E612" s="106">
        <f t="shared" si="49"/>
        <v>45</v>
      </c>
    </row>
    <row r="613" spans="1:5" x14ac:dyDescent="0.25">
      <c r="A613" s="17">
        <f t="shared" si="46"/>
        <v>44556</v>
      </c>
      <c r="B613" s="126">
        <f t="shared" si="47"/>
        <v>7</v>
      </c>
      <c r="C613" s="58">
        <f t="shared" si="50"/>
        <v>44556.24999999853</v>
      </c>
      <c r="D613" s="58">
        <f t="shared" si="48"/>
        <v>44556.291666665194</v>
      </c>
      <c r="E613" s="106">
        <f t="shared" si="49"/>
        <v>48.21</v>
      </c>
    </row>
    <row r="614" spans="1:5" x14ac:dyDescent="0.25">
      <c r="A614" s="17">
        <f t="shared" si="46"/>
        <v>44556</v>
      </c>
      <c r="B614" s="126">
        <f t="shared" si="47"/>
        <v>8</v>
      </c>
      <c r="C614" s="58">
        <f t="shared" si="50"/>
        <v>44556.291666665194</v>
      </c>
      <c r="D614" s="58">
        <f t="shared" si="48"/>
        <v>44556.333333331859</v>
      </c>
      <c r="E614" s="106">
        <f t="shared" si="49"/>
        <v>71.67</v>
      </c>
    </row>
    <row r="615" spans="1:5" x14ac:dyDescent="0.25">
      <c r="A615" s="17">
        <f t="shared" si="46"/>
        <v>44556</v>
      </c>
      <c r="B615" s="126">
        <f t="shared" si="47"/>
        <v>9</v>
      </c>
      <c r="C615" s="58">
        <f t="shared" si="50"/>
        <v>44556.333333331859</v>
      </c>
      <c r="D615" s="58">
        <f t="shared" si="48"/>
        <v>44556.374999998523</v>
      </c>
      <c r="E615" s="106">
        <f t="shared" si="49"/>
        <v>57.86</v>
      </c>
    </row>
    <row r="616" spans="1:5" x14ac:dyDescent="0.25">
      <c r="A616" s="17">
        <f t="shared" si="46"/>
        <v>44556</v>
      </c>
      <c r="B616" s="126">
        <f t="shared" si="47"/>
        <v>10</v>
      </c>
      <c r="C616" s="58">
        <f t="shared" si="50"/>
        <v>44556.374999998523</v>
      </c>
      <c r="D616" s="58">
        <f t="shared" si="48"/>
        <v>44556.416666665187</v>
      </c>
      <c r="E616" s="106">
        <f t="shared" si="49"/>
        <v>75</v>
      </c>
    </row>
    <row r="617" spans="1:5" x14ac:dyDescent="0.25">
      <c r="A617" s="17">
        <f t="shared" si="46"/>
        <v>44556</v>
      </c>
      <c r="B617" s="126">
        <f t="shared" si="47"/>
        <v>11</v>
      </c>
      <c r="C617" s="58">
        <f t="shared" si="50"/>
        <v>44556.416666665187</v>
      </c>
      <c r="D617" s="58">
        <f t="shared" si="48"/>
        <v>44556.458333331851</v>
      </c>
      <c r="E617" s="106">
        <f t="shared" si="49"/>
        <v>65</v>
      </c>
    </row>
    <row r="618" spans="1:5" x14ac:dyDescent="0.25">
      <c r="A618" s="17">
        <f t="shared" si="46"/>
        <v>44556</v>
      </c>
      <c r="B618" s="126">
        <f t="shared" si="47"/>
        <v>12</v>
      </c>
      <c r="C618" s="58">
        <f t="shared" si="50"/>
        <v>44556.458333331851</v>
      </c>
      <c r="D618" s="58">
        <f t="shared" si="48"/>
        <v>44556.499999998516</v>
      </c>
      <c r="E618" s="106">
        <f t="shared" si="49"/>
        <v>65</v>
      </c>
    </row>
    <row r="619" spans="1:5" x14ac:dyDescent="0.25">
      <c r="A619" s="17">
        <f t="shared" si="46"/>
        <v>44556</v>
      </c>
      <c r="B619" s="126">
        <f t="shared" si="47"/>
        <v>13</v>
      </c>
      <c r="C619" s="58">
        <f t="shared" si="50"/>
        <v>44556.499999998516</v>
      </c>
      <c r="D619" s="58">
        <f t="shared" si="48"/>
        <v>44556.54166666518</v>
      </c>
      <c r="E619" s="106">
        <f t="shared" si="49"/>
        <v>50</v>
      </c>
    </row>
    <row r="620" spans="1:5" x14ac:dyDescent="0.25">
      <c r="A620" s="17">
        <f t="shared" si="46"/>
        <v>44556</v>
      </c>
      <c r="B620" s="126">
        <f t="shared" si="47"/>
        <v>14</v>
      </c>
      <c r="C620" s="58">
        <f t="shared" si="50"/>
        <v>44556.54166666518</v>
      </c>
      <c r="D620" s="58">
        <f t="shared" si="48"/>
        <v>44556.583333331844</v>
      </c>
      <c r="E620" s="106">
        <f t="shared" si="49"/>
        <v>68.25</v>
      </c>
    </row>
    <row r="621" spans="1:5" x14ac:dyDescent="0.25">
      <c r="A621" s="17">
        <f t="shared" si="46"/>
        <v>44556</v>
      </c>
      <c r="B621" s="126">
        <f t="shared" si="47"/>
        <v>15</v>
      </c>
      <c r="C621" s="58">
        <f t="shared" si="50"/>
        <v>44556.583333331844</v>
      </c>
      <c r="D621" s="58">
        <f t="shared" si="48"/>
        <v>44556.624999998508</v>
      </c>
      <c r="E621" s="106">
        <f t="shared" si="49"/>
        <v>68.25</v>
      </c>
    </row>
    <row r="622" spans="1:5" x14ac:dyDescent="0.25">
      <c r="A622" s="17">
        <f t="shared" si="46"/>
        <v>44556</v>
      </c>
      <c r="B622" s="126">
        <f t="shared" si="47"/>
        <v>16</v>
      </c>
      <c r="C622" s="58">
        <f t="shared" si="50"/>
        <v>44556.624999998508</v>
      </c>
      <c r="D622" s="58">
        <f t="shared" si="48"/>
        <v>44556.666666665173</v>
      </c>
      <c r="E622" s="106">
        <f t="shared" si="49"/>
        <v>68.25</v>
      </c>
    </row>
    <row r="623" spans="1:5" x14ac:dyDescent="0.25">
      <c r="A623" s="17">
        <f t="shared" si="46"/>
        <v>44556</v>
      </c>
      <c r="B623" s="126">
        <f t="shared" si="47"/>
        <v>17</v>
      </c>
      <c r="C623" s="58">
        <f t="shared" si="50"/>
        <v>44556.666666665173</v>
      </c>
      <c r="D623" s="58">
        <f t="shared" si="48"/>
        <v>44556.708333331837</v>
      </c>
      <c r="E623" s="106">
        <f t="shared" si="49"/>
        <v>75</v>
      </c>
    </row>
    <row r="624" spans="1:5" x14ac:dyDescent="0.25">
      <c r="A624" s="17">
        <f t="shared" si="46"/>
        <v>44556</v>
      </c>
      <c r="B624" s="126">
        <f t="shared" si="47"/>
        <v>18</v>
      </c>
      <c r="C624" s="58">
        <f t="shared" si="50"/>
        <v>44556.708333331837</v>
      </c>
      <c r="D624" s="58">
        <f t="shared" si="48"/>
        <v>44556.749999998501</v>
      </c>
      <c r="E624" s="106">
        <f t="shared" si="49"/>
        <v>75</v>
      </c>
    </row>
    <row r="625" spans="1:5" x14ac:dyDescent="0.25">
      <c r="A625" s="17">
        <f t="shared" si="46"/>
        <v>44556</v>
      </c>
      <c r="B625" s="126">
        <f t="shared" si="47"/>
        <v>19</v>
      </c>
      <c r="C625" s="58">
        <f t="shared" si="50"/>
        <v>44556.749999998501</v>
      </c>
      <c r="D625" s="58">
        <f t="shared" si="48"/>
        <v>44556.791666665165</v>
      </c>
      <c r="E625" s="106">
        <f t="shared" si="49"/>
        <v>67.5</v>
      </c>
    </row>
    <row r="626" spans="1:5" x14ac:dyDescent="0.25">
      <c r="A626" s="17">
        <f t="shared" si="46"/>
        <v>44556</v>
      </c>
      <c r="B626" s="126">
        <f t="shared" si="47"/>
        <v>20</v>
      </c>
      <c r="C626" s="58">
        <f t="shared" si="50"/>
        <v>44556.791666665165</v>
      </c>
      <c r="D626" s="58">
        <f t="shared" si="48"/>
        <v>44556.83333333183</v>
      </c>
      <c r="E626" s="106">
        <f t="shared" si="49"/>
        <v>75</v>
      </c>
    </row>
    <row r="627" spans="1:5" x14ac:dyDescent="0.25">
      <c r="A627" s="17">
        <f t="shared" si="46"/>
        <v>44556</v>
      </c>
      <c r="B627" s="126">
        <f t="shared" si="47"/>
        <v>21</v>
      </c>
      <c r="C627" s="58">
        <f t="shared" si="50"/>
        <v>44556.83333333183</v>
      </c>
      <c r="D627" s="58">
        <f t="shared" si="48"/>
        <v>44556.874999998494</v>
      </c>
      <c r="E627" s="106">
        <f t="shared" si="49"/>
        <v>68.25</v>
      </c>
    </row>
    <row r="628" spans="1:5" x14ac:dyDescent="0.25">
      <c r="A628" s="17">
        <f t="shared" si="46"/>
        <v>44556</v>
      </c>
      <c r="B628" s="126">
        <f t="shared" si="47"/>
        <v>22</v>
      </c>
      <c r="C628" s="58">
        <f t="shared" si="50"/>
        <v>44556.874999998494</v>
      </c>
      <c r="D628" s="58">
        <f t="shared" si="48"/>
        <v>44556.916666665158</v>
      </c>
      <c r="E628" s="106">
        <f t="shared" si="49"/>
        <v>68.25</v>
      </c>
    </row>
    <row r="629" spans="1:5" x14ac:dyDescent="0.25">
      <c r="A629" s="17">
        <f t="shared" si="46"/>
        <v>44556</v>
      </c>
      <c r="B629" s="126">
        <f t="shared" si="47"/>
        <v>23</v>
      </c>
      <c r="C629" s="58">
        <f t="shared" si="50"/>
        <v>44556.916666665158</v>
      </c>
      <c r="D629" s="58">
        <f t="shared" si="48"/>
        <v>44556.958333331822</v>
      </c>
      <c r="E629" s="106">
        <f t="shared" si="49"/>
        <v>68.25</v>
      </c>
    </row>
    <row r="630" spans="1:5" x14ac:dyDescent="0.25">
      <c r="A630" s="17">
        <f t="shared" si="46"/>
        <v>44556</v>
      </c>
      <c r="B630" s="126">
        <f t="shared" si="47"/>
        <v>24</v>
      </c>
      <c r="C630" s="58">
        <f t="shared" si="50"/>
        <v>44556.958333331822</v>
      </c>
      <c r="D630" s="58">
        <f t="shared" si="48"/>
        <v>44556.999999998487</v>
      </c>
      <c r="E630" s="106">
        <f t="shared" si="49"/>
        <v>43.67</v>
      </c>
    </row>
    <row r="631" spans="1:5" x14ac:dyDescent="0.25">
      <c r="A631" s="17">
        <f t="shared" si="46"/>
        <v>44557</v>
      </c>
      <c r="B631" s="126">
        <f t="shared" si="47"/>
        <v>1</v>
      </c>
      <c r="C631" s="58">
        <f t="shared" si="50"/>
        <v>44556.999999998487</v>
      </c>
      <c r="D631" s="58">
        <f t="shared" si="48"/>
        <v>44557.041666665151</v>
      </c>
      <c r="E631" s="106">
        <f t="shared" si="49"/>
        <v>50.67</v>
      </c>
    </row>
    <row r="632" spans="1:5" x14ac:dyDescent="0.25">
      <c r="A632" s="17">
        <f t="shared" si="46"/>
        <v>44557</v>
      </c>
      <c r="B632" s="126">
        <f t="shared" si="47"/>
        <v>2</v>
      </c>
      <c r="C632" s="58">
        <f t="shared" si="50"/>
        <v>44557.041666665151</v>
      </c>
      <c r="D632" s="58">
        <f t="shared" si="48"/>
        <v>44557.083333331815</v>
      </c>
      <c r="E632" s="106">
        <f t="shared" si="49"/>
        <v>50.67</v>
      </c>
    </row>
    <row r="633" spans="1:5" x14ac:dyDescent="0.25">
      <c r="A633" s="17">
        <f t="shared" si="46"/>
        <v>44557</v>
      </c>
      <c r="B633" s="126">
        <f t="shared" si="47"/>
        <v>3</v>
      </c>
      <c r="C633" s="58">
        <f t="shared" si="50"/>
        <v>44557.083333331815</v>
      </c>
      <c r="D633" s="58">
        <f t="shared" si="48"/>
        <v>44557.124999998479</v>
      </c>
      <c r="E633" s="106">
        <f t="shared" si="49"/>
        <v>50.67</v>
      </c>
    </row>
    <row r="634" spans="1:5" x14ac:dyDescent="0.25">
      <c r="A634" s="17">
        <f t="shared" si="46"/>
        <v>44557</v>
      </c>
      <c r="B634" s="126">
        <f t="shared" si="47"/>
        <v>4</v>
      </c>
      <c r="C634" s="58">
        <f t="shared" si="50"/>
        <v>44557.124999998479</v>
      </c>
      <c r="D634" s="58">
        <f t="shared" si="48"/>
        <v>44557.166666665144</v>
      </c>
      <c r="E634" s="106">
        <f t="shared" si="49"/>
        <v>50.67</v>
      </c>
    </row>
    <row r="635" spans="1:5" x14ac:dyDescent="0.25">
      <c r="A635" s="17">
        <f t="shared" si="46"/>
        <v>44557</v>
      </c>
      <c r="B635" s="126">
        <f t="shared" si="47"/>
        <v>5</v>
      </c>
      <c r="C635" s="58">
        <f t="shared" si="50"/>
        <v>44557.166666665144</v>
      </c>
      <c r="D635" s="58">
        <f t="shared" si="48"/>
        <v>44557.208333331808</v>
      </c>
      <c r="E635" s="106">
        <f t="shared" si="49"/>
        <v>38</v>
      </c>
    </row>
    <row r="636" spans="1:5" x14ac:dyDescent="0.25">
      <c r="A636" s="17">
        <f t="shared" si="46"/>
        <v>44557</v>
      </c>
      <c r="B636" s="126">
        <f t="shared" si="47"/>
        <v>6</v>
      </c>
      <c r="C636" s="58">
        <f t="shared" si="50"/>
        <v>44557.208333331808</v>
      </c>
      <c r="D636" s="58">
        <f t="shared" si="48"/>
        <v>44557.249999998472</v>
      </c>
      <c r="E636" s="106">
        <f t="shared" si="49"/>
        <v>40</v>
      </c>
    </row>
    <row r="637" spans="1:5" x14ac:dyDescent="0.25">
      <c r="A637" s="17">
        <f t="shared" si="46"/>
        <v>44557</v>
      </c>
      <c r="B637" s="126">
        <f t="shared" si="47"/>
        <v>7</v>
      </c>
      <c r="C637" s="58">
        <f t="shared" si="50"/>
        <v>44557.249999998472</v>
      </c>
      <c r="D637" s="58">
        <f t="shared" si="48"/>
        <v>44557.291666665136</v>
      </c>
      <c r="E637" s="106">
        <f t="shared" si="49"/>
        <v>61.29</v>
      </c>
    </row>
    <row r="638" spans="1:5" x14ac:dyDescent="0.25">
      <c r="A638" s="17">
        <f t="shared" si="46"/>
        <v>44557</v>
      </c>
      <c r="B638" s="126">
        <f t="shared" si="47"/>
        <v>8</v>
      </c>
      <c r="C638" s="58">
        <f t="shared" si="50"/>
        <v>44557.291666665136</v>
      </c>
      <c r="D638" s="58">
        <f t="shared" si="48"/>
        <v>44557.333333331801</v>
      </c>
      <c r="E638" s="106">
        <f t="shared" si="49"/>
        <v>55</v>
      </c>
    </row>
    <row r="639" spans="1:5" x14ac:dyDescent="0.25">
      <c r="A639" s="17">
        <f t="shared" si="46"/>
        <v>44557</v>
      </c>
      <c r="B639" s="126">
        <f t="shared" si="47"/>
        <v>9</v>
      </c>
      <c r="C639" s="58">
        <f t="shared" si="50"/>
        <v>44557.333333331801</v>
      </c>
      <c r="D639" s="58">
        <f t="shared" si="48"/>
        <v>44557.374999998465</v>
      </c>
      <c r="E639" s="106">
        <f t="shared" si="49"/>
        <v>51.88</v>
      </c>
    </row>
    <row r="640" spans="1:5" x14ac:dyDescent="0.25">
      <c r="A640" s="17">
        <f t="shared" si="46"/>
        <v>44557</v>
      </c>
      <c r="B640" s="126">
        <f t="shared" si="47"/>
        <v>10</v>
      </c>
      <c r="C640" s="58">
        <f t="shared" si="50"/>
        <v>44557.374999998465</v>
      </c>
      <c r="D640" s="58">
        <f t="shared" si="48"/>
        <v>44557.416666665129</v>
      </c>
      <c r="E640" s="106">
        <f t="shared" si="49"/>
        <v>50</v>
      </c>
    </row>
    <row r="641" spans="1:5" x14ac:dyDescent="0.25">
      <c r="A641" s="17">
        <f t="shared" si="46"/>
        <v>44557</v>
      </c>
      <c r="B641" s="126">
        <f t="shared" si="47"/>
        <v>11</v>
      </c>
      <c r="C641" s="58">
        <f t="shared" si="50"/>
        <v>44557.416666665129</v>
      </c>
      <c r="D641" s="58">
        <f t="shared" si="48"/>
        <v>44557.458333331793</v>
      </c>
      <c r="E641" s="106">
        <f t="shared" si="49"/>
        <v>46.67</v>
      </c>
    </row>
    <row r="642" spans="1:5" x14ac:dyDescent="0.25">
      <c r="A642" s="17">
        <f t="shared" si="46"/>
        <v>44557</v>
      </c>
      <c r="B642" s="126">
        <f t="shared" si="47"/>
        <v>12</v>
      </c>
      <c r="C642" s="58">
        <f t="shared" si="50"/>
        <v>44557.458333331793</v>
      </c>
      <c r="D642" s="58">
        <f t="shared" si="48"/>
        <v>44557.499999998457</v>
      </c>
      <c r="E642" s="106">
        <f t="shared" si="49"/>
        <v>52.17</v>
      </c>
    </row>
    <row r="643" spans="1:5" x14ac:dyDescent="0.25">
      <c r="A643" s="17">
        <f t="shared" si="46"/>
        <v>44557</v>
      </c>
      <c r="B643" s="126">
        <f t="shared" si="47"/>
        <v>13</v>
      </c>
      <c r="C643" s="58">
        <f t="shared" si="50"/>
        <v>44557.499999998457</v>
      </c>
      <c r="D643" s="58">
        <f t="shared" si="48"/>
        <v>44557.541666665122</v>
      </c>
      <c r="E643" s="106">
        <f t="shared" si="49"/>
        <v>52.17</v>
      </c>
    </row>
    <row r="644" spans="1:5" x14ac:dyDescent="0.25">
      <c r="A644" s="17">
        <f t="shared" si="46"/>
        <v>44557</v>
      </c>
      <c r="B644" s="126">
        <f t="shared" si="47"/>
        <v>14</v>
      </c>
      <c r="C644" s="58">
        <f t="shared" si="50"/>
        <v>44557.541666665122</v>
      </c>
      <c r="D644" s="58">
        <f t="shared" si="48"/>
        <v>44557.583333331786</v>
      </c>
      <c r="E644" s="106">
        <f t="shared" si="49"/>
        <v>52.17</v>
      </c>
    </row>
    <row r="645" spans="1:5" x14ac:dyDescent="0.25">
      <c r="A645" s="17">
        <f t="shared" si="46"/>
        <v>44557</v>
      </c>
      <c r="B645" s="126">
        <f t="shared" si="47"/>
        <v>15</v>
      </c>
      <c r="C645" s="58">
        <f t="shared" si="50"/>
        <v>44557.583333331786</v>
      </c>
      <c r="D645" s="58">
        <f t="shared" si="48"/>
        <v>44557.62499999845</v>
      </c>
      <c r="E645" s="106">
        <f t="shared" si="49"/>
        <v>52.17</v>
      </c>
    </row>
    <row r="646" spans="1:5" x14ac:dyDescent="0.25">
      <c r="A646" s="17">
        <f t="shared" si="46"/>
        <v>44557</v>
      </c>
      <c r="B646" s="126">
        <f t="shared" si="47"/>
        <v>16</v>
      </c>
      <c r="C646" s="58">
        <f t="shared" si="50"/>
        <v>44557.62499999845</v>
      </c>
      <c r="D646" s="58">
        <f t="shared" si="48"/>
        <v>44557.666666665114</v>
      </c>
      <c r="E646" s="106">
        <f t="shared" si="49"/>
        <v>52.17</v>
      </c>
    </row>
    <row r="647" spans="1:5" x14ac:dyDescent="0.25">
      <c r="A647" s="17">
        <f t="shared" si="46"/>
        <v>44557</v>
      </c>
      <c r="B647" s="126">
        <f t="shared" si="47"/>
        <v>17</v>
      </c>
      <c r="C647" s="58">
        <f t="shared" si="50"/>
        <v>44557.666666665114</v>
      </c>
      <c r="D647" s="58">
        <f t="shared" si="48"/>
        <v>44557.708333331779</v>
      </c>
      <c r="E647" s="106">
        <f t="shared" si="49"/>
        <v>52.17</v>
      </c>
    </row>
    <row r="648" spans="1:5" x14ac:dyDescent="0.25">
      <c r="A648" s="17">
        <f t="shared" ref="A648:A678" si="51">DATE(YEAR(C648),MONTH(C648),DAY(C648))</f>
        <v>44557</v>
      </c>
      <c r="B648" s="126">
        <f t="shared" ref="B648:B678" si="52">HOUR(C648)+1</f>
        <v>18</v>
      </c>
      <c r="C648" s="58">
        <f t="shared" si="50"/>
        <v>44557.708333331779</v>
      </c>
      <c r="D648" s="58">
        <f t="shared" ref="D648:D711" si="53">$C648+1/24</f>
        <v>44557.749999998443</v>
      </c>
      <c r="E648" s="106">
        <f t="shared" ref="E648:E678" si="54">VLOOKUP(A648,$K$6:$AI$36,B648+1,FALSE)</f>
        <v>52.17</v>
      </c>
    </row>
    <row r="649" spans="1:5" x14ac:dyDescent="0.25">
      <c r="A649" s="17">
        <f t="shared" si="51"/>
        <v>44557</v>
      </c>
      <c r="B649" s="126">
        <f t="shared" si="52"/>
        <v>19</v>
      </c>
      <c r="C649" s="58">
        <f t="shared" ref="C649:C712" si="55">$C648+1/24</f>
        <v>44557.749999998443</v>
      </c>
      <c r="D649" s="58">
        <f t="shared" si="53"/>
        <v>44557.791666665107</v>
      </c>
      <c r="E649" s="106">
        <f t="shared" si="54"/>
        <v>52.17</v>
      </c>
    </row>
    <row r="650" spans="1:5" x14ac:dyDescent="0.25">
      <c r="A650" s="17">
        <f t="shared" si="51"/>
        <v>44557</v>
      </c>
      <c r="B650" s="126">
        <f t="shared" si="52"/>
        <v>20</v>
      </c>
      <c r="C650" s="58">
        <f t="shared" si="55"/>
        <v>44557.791666665107</v>
      </c>
      <c r="D650" s="58">
        <f t="shared" si="53"/>
        <v>44557.833333331771</v>
      </c>
      <c r="E650" s="106">
        <f t="shared" si="54"/>
        <v>52.17</v>
      </c>
    </row>
    <row r="651" spans="1:5" x14ac:dyDescent="0.25">
      <c r="A651" s="17">
        <f t="shared" si="51"/>
        <v>44557</v>
      </c>
      <c r="B651" s="126">
        <f t="shared" si="52"/>
        <v>21</v>
      </c>
      <c r="C651" s="58">
        <f t="shared" si="55"/>
        <v>44557.833333331771</v>
      </c>
      <c r="D651" s="58">
        <f t="shared" si="53"/>
        <v>44557.874999998436</v>
      </c>
      <c r="E651" s="106">
        <f t="shared" si="54"/>
        <v>52.17</v>
      </c>
    </row>
    <row r="652" spans="1:5" x14ac:dyDescent="0.25">
      <c r="A652" s="17">
        <f t="shared" si="51"/>
        <v>44557</v>
      </c>
      <c r="B652" s="126">
        <f t="shared" si="52"/>
        <v>22</v>
      </c>
      <c r="C652" s="58">
        <f t="shared" si="55"/>
        <v>44557.874999998436</v>
      </c>
      <c r="D652" s="58">
        <f t="shared" si="53"/>
        <v>44557.9166666651</v>
      </c>
      <c r="E652" s="106">
        <f t="shared" si="54"/>
        <v>52.17</v>
      </c>
    </row>
    <row r="653" spans="1:5" x14ac:dyDescent="0.25">
      <c r="A653" s="17">
        <f t="shared" si="51"/>
        <v>44557</v>
      </c>
      <c r="B653" s="126">
        <f t="shared" si="52"/>
        <v>23</v>
      </c>
      <c r="C653" s="58">
        <f t="shared" si="55"/>
        <v>44557.9166666651</v>
      </c>
      <c r="D653" s="58">
        <f t="shared" si="53"/>
        <v>44557.958333331764</v>
      </c>
      <c r="E653" s="106">
        <f t="shared" si="54"/>
        <v>52.17</v>
      </c>
    </row>
    <row r="654" spans="1:5" x14ac:dyDescent="0.25">
      <c r="A654" s="17">
        <f t="shared" si="51"/>
        <v>44557</v>
      </c>
      <c r="B654" s="126">
        <f t="shared" si="52"/>
        <v>24</v>
      </c>
      <c r="C654" s="58">
        <f t="shared" si="55"/>
        <v>44557.958333331764</v>
      </c>
      <c r="D654" s="58">
        <f t="shared" si="53"/>
        <v>44557.999999998428</v>
      </c>
      <c r="E654" s="106">
        <f t="shared" si="54"/>
        <v>50.67</v>
      </c>
    </row>
    <row r="655" spans="1:5" x14ac:dyDescent="0.25">
      <c r="A655" s="17">
        <f t="shared" si="51"/>
        <v>44558</v>
      </c>
      <c r="B655" s="126">
        <f t="shared" si="52"/>
        <v>1</v>
      </c>
      <c r="C655" s="58">
        <f t="shared" si="55"/>
        <v>44557.999999998428</v>
      </c>
      <c r="D655" s="58">
        <f t="shared" si="53"/>
        <v>44558.041666665093</v>
      </c>
      <c r="E655" s="106">
        <f t="shared" si="54"/>
        <v>30</v>
      </c>
    </row>
    <row r="656" spans="1:5" x14ac:dyDescent="0.25">
      <c r="A656" s="17">
        <f t="shared" si="51"/>
        <v>44558</v>
      </c>
      <c r="B656" s="126">
        <f t="shared" si="52"/>
        <v>2</v>
      </c>
      <c r="C656" s="58">
        <f t="shared" si="55"/>
        <v>44558.041666665093</v>
      </c>
      <c r="D656" s="58">
        <f t="shared" si="53"/>
        <v>44558.083333331757</v>
      </c>
      <c r="E656" s="106">
        <f t="shared" si="54"/>
        <v>30</v>
      </c>
    </row>
    <row r="657" spans="1:5" x14ac:dyDescent="0.25">
      <c r="A657" s="17">
        <f t="shared" si="51"/>
        <v>44558</v>
      </c>
      <c r="B657" s="126">
        <f t="shared" si="52"/>
        <v>3</v>
      </c>
      <c r="C657" s="58">
        <f t="shared" si="55"/>
        <v>44558.083333331757</v>
      </c>
      <c r="D657" s="58">
        <f t="shared" si="53"/>
        <v>44558.124999998421</v>
      </c>
      <c r="E657" s="106">
        <f t="shared" si="54"/>
        <v>30</v>
      </c>
    </row>
    <row r="658" spans="1:5" x14ac:dyDescent="0.25">
      <c r="A658" s="17">
        <f t="shared" si="51"/>
        <v>44558</v>
      </c>
      <c r="B658" s="126">
        <f t="shared" si="52"/>
        <v>4</v>
      </c>
      <c r="C658" s="58">
        <f t="shared" si="55"/>
        <v>44558.124999998421</v>
      </c>
      <c r="D658" s="58">
        <f t="shared" si="53"/>
        <v>44558.166666665085</v>
      </c>
      <c r="E658" s="106">
        <f t="shared" si="54"/>
        <v>30</v>
      </c>
    </row>
    <row r="659" spans="1:5" x14ac:dyDescent="0.25">
      <c r="A659" s="17">
        <f t="shared" si="51"/>
        <v>44558</v>
      </c>
      <c r="B659" s="126">
        <f t="shared" si="52"/>
        <v>5</v>
      </c>
      <c r="C659" s="58">
        <f t="shared" si="55"/>
        <v>44558.166666665085</v>
      </c>
      <c r="D659" s="58">
        <f t="shared" si="53"/>
        <v>44558.20833333175</v>
      </c>
      <c r="E659" s="106">
        <f t="shared" si="54"/>
        <v>30</v>
      </c>
    </row>
    <row r="660" spans="1:5" x14ac:dyDescent="0.25">
      <c r="A660" s="17">
        <f t="shared" si="51"/>
        <v>44558</v>
      </c>
      <c r="B660" s="126">
        <f t="shared" si="52"/>
        <v>6</v>
      </c>
      <c r="C660" s="58">
        <f t="shared" si="55"/>
        <v>44558.20833333175</v>
      </c>
      <c r="D660" s="58">
        <f t="shared" si="53"/>
        <v>44558.249999998414</v>
      </c>
      <c r="E660" s="106">
        <f t="shared" si="54"/>
        <v>25</v>
      </c>
    </row>
    <row r="661" spans="1:5" x14ac:dyDescent="0.25">
      <c r="A661" s="17">
        <f t="shared" si="51"/>
        <v>44558</v>
      </c>
      <c r="B661" s="126">
        <f t="shared" si="52"/>
        <v>7</v>
      </c>
      <c r="C661" s="58">
        <f t="shared" si="55"/>
        <v>44558.249999998414</v>
      </c>
      <c r="D661" s="58">
        <f t="shared" si="53"/>
        <v>44558.291666665078</v>
      </c>
      <c r="E661" s="106">
        <f t="shared" si="54"/>
        <v>32</v>
      </c>
    </row>
    <row r="662" spans="1:5" x14ac:dyDescent="0.25">
      <c r="A662" s="17">
        <f t="shared" si="51"/>
        <v>44558</v>
      </c>
      <c r="B662" s="126">
        <f t="shared" si="52"/>
        <v>8</v>
      </c>
      <c r="C662" s="58">
        <f t="shared" si="55"/>
        <v>44558.291666665078</v>
      </c>
      <c r="D662" s="58">
        <f t="shared" si="53"/>
        <v>44558.333333331742</v>
      </c>
      <c r="E662" s="106">
        <f t="shared" si="54"/>
        <v>55</v>
      </c>
    </row>
    <row r="663" spans="1:5" x14ac:dyDescent="0.25">
      <c r="A663" s="17">
        <f t="shared" si="51"/>
        <v>44558</v>
      </c>
      <c r="B663" s="126">
        <f t="shared" si="52"/>
        <v>9</v>
      </c>
      <c r="C663" s="58">
        <f t="shared" si="55"/>
        <v>44558.333333331742</v>
      </c>
      <c r="D663" s="58">
        <f t="shared" si="53"/>
        <v>44558.374999998407</v>
      </c>
      <c r="E663" s="106">
        <f t="shared" si="54"/>
        <v>70</v>
      </c>
    </row>
    <row r="664" spans="1:5" x14ac:dyDescent="0.25">
      <c r="A664" s="17">
        <f t="shared" si="51"/>
        <v>44558</v>
      </c>
      <c r="B664" s="126">
        <f t="shared" si="52"/>
        <v>10</v>
      </c>
      <c r="C664" s="58">
        <f t="shared" si="55"/>
        <v>44558.374999998407</v>
      </c>
      <c r="D664" s="58">
        <f t="shared" si="53"/>
        <v>44558.416666665071</v>
      </c>
      <c r="E664" s="106">
        <f t="shared" si="54"/>
        <v>61.25</v>
      </c>
    </row>
    <row r="665" spans="1:5" x14ac:dyDescent="0.25">
      <c r="A665" s="17">
        <f t="shared" si="51"/>
        <v>44558</v>
      </c>
      <c r="B665" s="126">
        <f t="shared" si="52"/>
        <v>11</v>
      </c>
      <c r="C665" s="58">
        <f t="shared" si="55"/>
        <v>44558.416666665071</v>
      </c>
      <c r="D665" s="58">
        <f t="shared" si="53"/>
        <v>44558.458333331735</v>
      </c>
      <c r="E665" s="106">
        <f t="shared" si="54"/>
        <v>61.25</v>
      </c>
    </row>
    <row r="666" spans="1:5" x14ac:dyDescent="0.25">
      <c r="A666" s="17">
        <f t="shared" si="51"/>
        <v>44558</v>
      </c>
      <c r="B666" s="126">
        <f t="shared" si="52"/>
        <v>12</v>
      </c>
      <c r="C666" s="58">
        <f t="shared" si="55"/>
        <v>44558.458333331735</v>
      </c>
      <c r="D666" s="58">
        <f t="shared" si="53"/>
        <v>44558.499999998399</v>
      </c>
      <c r="E666" s="106">
        <f t="shared" si="54"/>
        <v>61.25</v>
      </c>
    </row>
    <row r="667" spans="1:5" x14ac:dyDescent="0.25">
      <c r="A667" s="17">
        <f t="shared" si="51"/>
        <v>44558</v>
      </c>
      <c r="B667" s="126">
        <f t="shared" si="52"/>
        <v>13</v>
      </c>
      <c r="C667" s="58">
        <f t="shared" si="55"/>
        <v>44558.499999998399</v>
      </c>
      <c r="D667" s="58">
        <f t="shared" si="53"/>
        <v>44558.541666665064</v>
      </c>
      <c r="E667" s="106">
        <f t="shared" si="54"/>
        <v>61.25</v>
      </c>
    </row>
    <row r="668" spans="1:5" x14ac:dyDescent="0.25">
      <c r="A668" s="17">
        <f t="shared" si="51"/>
        <v>44558</v>
      </c>
      <c r="B668" s="126">
        <f t="shared" si="52"/>
        <v>14</v>
      </c>
      <c r="C668" s="58">
        <f t="shared" si="55"/>
        <v>44558.541666665064</v>
      </c>
      <c r="D668" s="58">
        <f t="shared" si="53"/>
        <v>44558.583333331728</v>
      </c>
      <c r="E668" s="106">
        <f t="shared" si="54"/>
        <v>61.25</v>
      </c>
    </row>
    <row r="669" spans="1:5" x14ac:dyDescent="0.25">
      <c r="A669" s="17">
        <f t="shared" si="51"/>
        <v>44558</v>
      </c>
      <c r="B669" s="126">
        <f t="shared" si="52"/>
        <v>15</v>
      </c>
      <c r="C669" s="58">
        <f t="shared" si="55"/>
        <v>44558.583333331728</v>
      </c>
      <c r="D669" s="58">
        <f t="shared" si="53"/>
        <v>44558.624999998392</v>
      </c>
      <c r="E669" s="106">
        <f t="shared" si="54"/>
        <v>61.25</v>
      </c>
    </row>
    <row r="670" spans="1:5" x14ac:dyDescent="0.25">
      <c r="A670" s="17">
        <f t="shared" si="51"/>
        <v>44558</v>
      </c>
      <c r="B670" s="126">
        <f t="shared" si="52"/>
        <v>16</v>
      </c>
      <c r="C670" s="58">
        <f t="shared" si="55"/>
        <v>44558.624999998392</v>
      </c>
      <c r="D670" s="58">
        <f t="shared" si="53"/>
        <v>44558.666666665056</v>
      </c>
      <c r="E670" s="106">
        <f t="shared" si="54"/>
        <v>61.25</v>
      </c>
    </row>
    <row r="671" spans="1:5" x14ac:dyDescent="0.25">
      <c r="A671" s="17">
        <f t="shared" si="51"/>
        <v>44558</v>
      </c>
      <c r="B671" s="126">
        <f t="shared" si="52"/>
        <v>17</v>
      </c>
      <c r="C671" s="58">
        <f t="shared" si="55"/>
        <v>44558.666666665056</v>
      </c>
      <c r="D671" s="58">
        <f t="shared" si="53"/>
        <v>44558.70833333172</v>
      </c>
      <c r="E671" s="106">
        <f t="shared" si="54"/>
        <v>61.25</v>
      </c>
    </row>
    <row r="672" spans="1:5" x14ac:dyDescent="0.25">
      <c r="A672" s="17">
        <f t="shared" si="51"/>
        <v>44558</v>
      </c>
      <c r="B672" s="126">
        <f t="shared" si="52"/>
        <v>18</v>
      </c>
      <c r="C672" s="58">
        <f t="shared" si="55"/>
        <v>44558.70833333172</v>
      </c>
      <c r="D672" s="58">
        <f t="shared" si="53"/>
        <v>44558.749999998385</v>
      </c>
      <c r="E672" s="106">
        <f t="shared" si="54"/>
        <v>61.25</v>
      </c>
    </row>
    <row r="673" spans="1:5" x14ac:dyDescent="0.25">
      <c r="A673" s="17">
        <f t="shared" si="51"/>
        <v>44558</v>
      </c>
      <c r="B673" s="126">
        <f t="shared" si="52"/>
        <v>19</v>
      </c>
      <c r="C673" s="58">
        <f t="shared" si="55"/>
        <v>44558.749999998385</v>
      </c>
      <c r="D673" s="58">
        <f t="shared" si="53"/>
        <v>44558.791666665049</v>
      </c>
      <c r="E673" s="106">
        <f t="shared" si="54"/>
        <v>61.25</v>
      </c>
    </row>
    <row r="674" spans="1:5" x14ac:dyDescent="0.25">
      <c r="A674" s="17">
        <f t="shared" si="51"/>
        <v>44558</v>
      </c>
      <c r="B674" s="126">
        <f t="shared" si="52"/>
        <v>20</v>
      </c>
      <c r="C674" s="58">
        <f t="shared" si="55"/>
        <v>44558.791666665049</v>
      </c>
      <c r="D674" s="58">
        <f t="shared" si="53"/>
        <v>44558.833333331713</v>
      </c>
      <c r="E674" s="106">
        <f t="shared" si="54"/>
        <v>61.25</v>
      </c>
    </row>
    <row r="675" spans="1:5" x14ac:dyDescent="0.25">
      <c r="A675" s="17">
        <f t="shared" si="51"/>
        <v>44558</v>
      </c>
      <c r="B675" s="126">
        <f t="shared" si="52"/>
        <v>21</v>
      </c>
      <c r="C675" s="58">
        <f t="shared" si="55"/>
        <v>44558.833333331713</v>
      </c>
      <c r="D675" s="58">
        <f t="shared" si="53"/>
        <v>44558.874999998377</v>
      </c>
      <c r="E675" s="106">
        <f t="shared" si="54"/>
        <v>61.25</v>
      </c>
    </row>
    <row r="676" spans="1:5" x14ac:dyDescent="0.25">
      <c r="A676" s="17">
        <f t="shared" si="51"/>
        <v>44558</v>
      </c>
      <c r="B676" s="126">
        <f t="shared" si="52"/>
        <v>22</v>
      </c>
      <c r="C676" s="58">
        <f t="shared" si="55"/>
        <v>44558.874999998377</v>
      </c>
      <c r="D676" s="58">
        <f t="shared" si="53"/>
        <v>44558.916666665042</v>
      </c>
      <c r="E676" s="106">
        <f t="shared" si="54"/>
        <v>61.25</v>
      </c>
    </row>
    <row r="677" spans="1:5" x14ac:dyDescent="0.25">
      <c r="A677" s="17">
        <f t="shared" si="51"/>
        <v>44558</v>
      </c>
      <c r="B677" s="126">
        <f t="shared" si="52"/>
        <v>23</v>
      </c>
      <c r="C677" s="58">
        <f t="shared" si="55"/>
        <v>44558.916666665042</v>
      </c>
      <c r="D677" s="58">
        <f t="shared" si="53"/>
        <v>44558.958333331706</v>
      </c>
      <c r="E677" s="106">
        <f t="shared" si="54"/>
        <v>61.25</v>
      </c>
    </row>
    <row r="678" spans="1:5" x14ac:dyDescent="0.25">
      <c r="A678" s="17">
        <f t="shared" si="51"/>
        <v>44558</v>
      </c>
      <c r="B678" s="126">
        <f t="shared" si="52"/>
        <v>24</v>
      </c>
      <c r="C678" s="58">
        <f t="shared" si="55"/>
        <v>44558.958333331706</v>
      </c>
      <c r="D678" s="58">
        <f t="shared" si="53"/>
        <v>44558.99999999837</v>
      </c>
      <c r="E678" s="106">
        <f t="shared" si="54"/>
        <v>30</v>
      </c>
    </row>
    <row r="679" spans="1:5" x14ac:dyDescent="0.25">
      <c r="A679" s="17">
        <f t="shared" ref="A679:A726" si="56">DATE(YEAR(C679),MONTH(C679),DAY(C679))</f>
        <v>44559</v>
      </c>
      <c r="B679" s="126">
        <f t="shared" ref="B679:B726" si="57">HOUR(C679)+1</f>
        <v>1</v>
      </c>
      <c r="C679" s="58">
        <f t="shared" si="55"/>
        <v>44558.99999999837</v>
      </c>
      <c r="D679" s="58">
        <f t="shared" si="53"/>
        <v>44559.041666665034</v>
      </c>
      <c r="E679" s="106">
        <f t="shared" ref="E679:E726" si="58">VLOOKUP(A679,$K$6:$AI$36,B679+1,FALSE)</f>
        <v>21.89</v>
      </c>
    </row>
    <row r="680" spans="1:5" x14ac:dyDescent="0.25">
      <c r="A680" s="17">
        <f t="shared" si="56"/>
        <v>44559</v>
      </c>
      <c r="B680" s="126">
        <f t="shared" si="57"/>
        <v>2</v>
      </c>
      <c r="C680" s="58">
        <f t="shared" si="55"/>
        <v>44559.041666665034</v>
      </c>
      <c r="D680" s="58">
        <f t="shared" si="53"/>
        <v>44559.083333331699</v>
      </c>
      <c r="E680" s="106">
        <f t="shared" si="58"/>
        <v>21.89</v>
      </c>
    </row>
    <row r="681" spans="1:5" x14ac:dyDescent="0.25">
      <c r="A681" s="17">
        <f t="shared" si="56"/>
        <v>44559</v>
      </c>
      <c r="B681" s="126">
        <f t="shared" si="57"/>
        <v>3</v>
      </c>
      <c r="C681" s="58">
        <f t="shared" si="55"/>
        <v>44559.083333331699</v>
      </c>
      <c r="D681" s="58">
        <f t="shared" si="53"/>
        <v>44559.124999998363</v>
      </c>
      <c r="E681" s="106">
        <f t="shared" si="58"/>
        <v>21.89</v>
      </c>
    </row>
    <row r="682" spans="1:5" x14ac:dyDescent="0.25">
      <c r="A682" s="17">
        <f t="shared" si="56"/>
        <v>44559</v>
      </c>
      <c r="B682" s="126">
        <f t="shared" si="57"/>
        <v>4</v>
      </c>
      <c r="C682" s="58">
        <f t="shared" si="55"/>
        <v>44559.124999998363</v>
      </c>
      <c r="D682" s="58">
        <f t="shared" si="53"/>
        <v>44559.166666665027</v>
      </c>
      <c r="E682" s="106">
        <f t="shared" si="58"/>
        <v>18</v>
      </c>
    </row>
    <row r="683" spans="1:5" x14ac:dyDescent="0.25">
      <c r="A683" s="17">
        <f t="shared" si="56"/>
        <v>44559</v>
      </c>
      <c r="B683" s="126">
        <f t="shared" si="57"/>
        <v>5</v>
      </c>
      <c r="C683" s="58">
        <f t="shared" si="55"/>
        <v>44559.166666665027</v>
      </c>
      <c r="D683" s="58">
        <f t="shared" si="53"/>
        <v>44559.208333331691</v>
      </c>
      <c r="E683" s="106">
        <f t="shared" si="58"/>
        <v>18</v>
      </c>
    </row>
    <row r="684" spans="1:5" x14ac:dyDescent="0.25">
      <c r="A684" s="17">
        <f t="shared" si="56"/>
        <v>44559</v>
      </c>
      <c r="B684" s="126">
        <f t="shared" si="57"/>
        <v>6</v>
      </c>
      <c r="C684" s="58">
        <f t="shared" si="55"/>
        <v>44559.208333331691</v>
      </c>
      <c r="D684" s="58">
        <f t="shared" si="53"/>
        <v>44559.249999998356</v>
      </c>
      <c r="E684" s="106">
        <f t="shared" si="58"/>
        <v>25</v>
      </c>
    </row>
    <row r="685" spans="1:5" x14ac:dyDescent="0.25">
      <c r="A685" s="17">
        <f t="shared" si="56"/>
        <v>44559</v>
      </c>
      <c r="B685" s="126">
        <f t="shared" si="57"/>
        <v>7</v>
      </c>
      <c r="C685" s="58">
        <f t="shared" si="55"/>
        <v>44559.249999998356</v>
      </c>
      <c r="D685" s="58">
        <f t="shared" si="53"/>
        <v>44559.29166666502</v>
      </c>
      <c r="E685" s="106">
        <f t="shared" si="58"/>
        <v>25</v>
      </c>
    </row>
    <row r="686" spans="1:5" x14ac:dyDescent="0.25">
      <c r="A686" s="17">
        <f t="shared" si="56"/>
        <v>44559</v>
      </c>
      <c r="B686" s="126">
        <f t="shared" si="57"/>
        <v>8</v>
      </c>
      <c r="C686" s="58">
        <f t="shared" si="55"/>
        <v>44559.29166666502</v>
      </c>
      <c r="D686" s="58">
        <f t="shared" si="53"/>
        <v>44559.333333331684</v>
      </c>
      <c r="E686" s="106">
        <f t="shared" si="58"/>
        <v>38.659999999999997</v>
      </c>
    </row>
    <row r="687" spans="1:5" x14ac:dyDescent="0.25">
      <c r="A687" s="17">
        <f t="shared" si="56"/>
        <v>44559</v>
      </c>
      <c r="B687" s="126">
        <f t="shared" si="57"/>
        <v>9</v>
      </c>
      <c r="C687" s="58">
        <f t="shared" si="55"/>
        <v>44559.333333331684</v>
      </c>
      <c r="D687" s="58">
        <f t="shared" si="53"/>
        <v>44559.374999998348</v>
      </c>
      <c r="E687" s="106">
        <f t="shared" si="58"/>
        <v>38.659999999999997</v>
      </c>
    </row>
    <row r="688" spans="1:5" x14ac:dyDescent="0.25">
      <c r="A688" s="17">
        <f t="shared" si="56"/>
        <v>44559</v>
      </c>
      <c r="B688" s="126">
        <f t="shared" si="57"/>
        <v>10</v>
      </c>
      <c r="C688" s="58">
        <f t="shared" si="55"/>
        <v>44559.374999998348</v>
      </c>
      <c r="D688" s="58">
        <f t="shared" si="53"/>
        <v>44559.416666665013</v>
      </c>
      <c r="E688" s="106">
        <f t="shared" si="58"/>
        <v>38.659999999999997</v>
      </c>
    </row>
    <row r="689" spans="1:5" x14ac:dyDescent="0.25">
      <c r="A689" s="17">
        <f t="shared" si="56"/>
        <v>44559</v>
      </c>
      <c r="B689" s="126">
        <f t="shared" si="57"/>
        <v>11</v>
      </c>
      <c r="C689" s="58">
        <f t="shared" si="55"/>
        <v>44559.416666665013</v>
      </c>
      <c r="D689" s="58">
        <f t="shared" si="53"/>
        <v>44559.458333331677</v>
      </c>
      <c r="E689" s="106">
        <f t="shared" si="58"/>
        <v>38.659999999999997</v>
      </c>
    </row>
    <row r="690" spans="1:5" x14ac:dyDescent="0.25">
      <c r="A690" s="17">
        <f t="shared" si="56"/>
        <v>44559</v>
      </c>
      <c r="B690" s="126">
        <f t="shared" si="57"/>
        <v>12</v>
      </c>
      <c r="C690" s="58">
        <f t="shared" si="55"/>
        <v>44559.458333331677</v>
      </c>
      <c r="D690" s="58">
        <f t="shared" si="53"/>
        <v>44559.499999998341</v>
      </c>
      <c r="E690" s="106">
        <f t="shared" si="58"/>
        <v>38.659999999999997</v>
      </c>
    </row>
    <row r="691" spans="1:5" x14ac:dyDescent="0.25">
      <c r="A691" s="17">
        <f t="shared" si="56"/>
        <v>44559</v>
      </c>
      <c r="B691" s="126">
        <f t="shared" si="57"/>
        <v>13</v>
      </c>
      <c r="C691" s="58">
        <f t="shared" si="55"/>
        <v>44559.499999998341</v>
      </c>
      <c r="D691" s="58">
        <f t="shared" si="53"/>
        <v>44559.541666665005</v>
      </c>
      <c r="E691" s="106">
        <f t="shared" si="58"/>
        <v>38.659999999999997</v>
      </c>
    </row>
    <row r="692" spans="1:5" x14ac:dyDescent="0.25">
      <c r="A692" s="17">
        <f t="shared" si="56"/>
        <v>44559</v>
      </c>
      <c r="B692" s="126">
        <f t="shared" si="57"/>
        <v>14</v>
      </c>
      <c r="C692" s="58">
        <f t="shared" si="55"/>
        <v>44559.541666665005</v>
      </c>
      <c r="D692" s="58">
        <f t="shared" si="53"/>
        <v>44559.58333333167</v>
      </c>
      <c r="E692" s="106">
        <f t="shared" si="58"/>
        <v>38.659999999999997</v>
      </c>
    </row>
    <row r="693" spans="1:5" x14ac:dyDescent="0.25">
      <c r="A693" s="17">
        <f t="shared" si="56"/>
        <v>44559</v>
      </c>
      <c r="B693" s="126">
        <f t="shared" si="57"/>
        <v>15</v>
      </c>
      <c r="C693" s="58">
        <f t="shared" si="55"/>
        <v>44559.58333333167</v>
      </c>
      <c r="D693" s="58">
        <f t="shared" si="53"/>
        <v>44559.624999998334</v>
      </c>
      <c r="E693" s="106">
        <f t="shared" si="58"/>
        <v>38.659999999999997</v>
      </c>
    </row>
    <row r="694" spans="1:5" x14ac:dyDescent="0.25">
      <c r="A694" s="17">
        <f t="shared" si="56"/>
        <v>44559</v>
      </c>
      <c r="B694" s="126">
        <f t="shared" si="57"/>
        <v>16</v>
      </c>
      <c r="C694" s="58">
        <f t="shared" si="55"/>
        <v>44559.624999998334</v>
      </c>
      <c r="D694" s="58">
        <f t="shared" si="53"/>
        <v>44559.666666664998</v>
      </c>
      <c r="E694" s="106">
        <f t="shared" si="58"/>
        <v>38.659999999999997</v>
      </c>
    </row>
    <row r="695" spans="1:5" x14ac:dyDescent="0.25">
      <c r="A695" s="17">
        <f t="shared" si="56"/>
        <v>44559</v>
      </c>
      <c r="B695" s="126">
        <f t="shared" si="57"/>
        <v>17</v>
      </c>
      <c r="C695" s="58">
        <f t="shared" si="55"/>
        <v>44559.666666664998</v>
      </c>
      <c r="D695" s="58">
        <f t="shared" si="53"/>
        <v>44559.708333331662</v>
      </c>
      <c r="E695" s="106">
        <f t="shared" si="58"/>
        <v>38.659999999999997</v>
      </c>
    </row>
    <row r="696" spans="1:5" x14ac:dyDescent="0.25">
      <c r="A696" s="17">
        <f t="shared" si="56"/>
        <v>44559</v>
      </c>
      <c r="B696" s="126">
        <f t="shared" si="57"/>
        <v>18</v>
      </c>
      <c r="C696" s="58">
        <f t="shared" si="55"/>
        <v>44559.708333331662</v>
      </c>
      <c r="D696" s="58">
        <f t="shared" si="53"/>
        <v>44559.749999998327</v>
      </c>
      <c r="E696" s="106">
        <f t="shared" si="58"/>
        <v>38.659999999999997</v>
      </c>
    </row>
    <row r="697" spans="1:5" x14ac:dyDescent="0.25">
      <c r="A697" s="17">
        <f t="shared" si="56"/>
        <v>44559</v>
      </c>
      <c r="B697" s="126">
        <f t="shared" si="57"/>
        <v>19</v>
      </c>
      <c r="C697" s="58">
        <f t="shared" si="55"/>
        <v>44559.749999998327</v>
      </c>
      <c r="D697" s="58">
        <f t="shared" si="53"/>
        <v>44559.791666664991</v>
      </c>
      <c r="E697" s="106">
        <f t="shared" si="58"/>
        <v>38.659999999999997</v>
      </c>
    </row>
    <row r="698" spans="1:5" x14ac:dyDescent="0.25">
      <c r="A698" s="17">
        <f t="shared" si="56"/>
        <v>44559</v>
      </c>
      <c r="B698" s="126">
        <f t="shared" si="57"/>
        <v>20</v>
      </c>
      <c r="C698" s="58">
        <f t="shared" si="55"/>
        <v>44559.791666664991</v>
      </c>
      <c r="D698" s="58">
        <f t="shared" si="53"/>
        <v>44559.833333331655</v>
      </c>
      <c r="E698" s="106">
        <f t="shared" si="58"/>
        <v>38.659999999999997</v>
      </c>
    </row>
    <row r="699" spans="1:5" x14ac:dyDescent="0.25">
      <c r="A699" s="17">
        <f t="shared" si="56"/>
        <v>44559</v>
      </c>
      <c r="B699" s="126">
        <f t="shared" si="57"/>
        <v>21</v>
      </c>
      <c r="C699" s="58">
        <f t="shared" si="55"/>
        <v>44559.833333331655</v>
      </c>
      <c r="D699" s="58">
        <f t="shared" si="53"/>
        <v>44559.874999998319</v>
      </c>
      <c r="E699" s="106">
        <f t="shared" si="58"/>
        <v>38.659999999999997</v>
      </c>
    </row>
    <row r="700" spans="1:5" x14ac:dyDescent="0.25">
      <c r="A700" s="17">
        <f t="shared" si="56"/>
        <v>44559</v>
      </c>
      <c r="B700" s="126">
        <f t="shared" si="57"/>
        <v>22</v>
      </c>
      <c r="C700" s="58">
        <f t="shared" si="55"/>
        <v>44559.874999998319</v>
      </c>
      <c r="D700" s="58">
        <f t="shared" si="53"/>
        <v>44559.916666664983</v>
      </c>
      <c r="E700" s="106">
        <f t="shared" si="58"/>
        <v>38.659999999999997</v>
      </c>
    </row>
    <row r="701" spans="1:5" x14ac:dyDescent="0.25">
      <c r="A701" s="17">
        <f t="shared" si="56"/>
        <v>44559</v>
      </c>
      <c r="B701" s="126">
        <f t="shared" si="57"/>
        <v>23</v>
      </c>
      <c r="C701" s="58">
        <f t="shared" si="55"/>
        <v>44559.916666664983</v>
      </c>
      <c r="D701" s="58">
        <f t="shared" si="53"/>
        <v>44559.958333331648</v>
      </c>
      <c r="E701" s="106">
        <f t="shared" si="58"/>
        <v>38.659999999999997</v>
      </c>
    </row>
    <row r="702" spans="1:5" x14ac:dyDescent="0.25">
      <c r="A702" s="17">
        <f t="shared" si="56"/>
        <v>44559</v>
      </c>
      <c r="B702" s="126">
        <f t="shared" si="57"/>
        <v>24</v>
      </c>
      <c r="C702" s="58">
        <f t="shared" si="55"/>
        <v>44559.958333331648</v>
      </c>
      <c r="D702" s="58">
        <f t="shared" si="53"/>
        <v>44559.999999998312</v>
      </c>
      <c r="E702" s="106">
        <f t="shared" si="58"/>
        <v>21.89</v>
      </c>
    </row>
    <row r="703" spans="1:5" x14ac:dyDescent="0.25">
      <c r="A703" s="17">
        <f t="shared" si="56"/>
        <v>44560</v>
      </c>
      <c r="B703" s="126">
        <f t="shared" si="57"/>
        <v>1</v>
      </c>
      <c r="C703" s="58">
        <f t="shared" si="55"/>
        <v>44559.999999998312</v>
      </c>
      <c r="D703" s="58">
        <f t="shared" si="53"/>
        <v>44560.041666664976</v>
      </c>
      <c r="E703" s="106">
        <f t="shared" si="58"/>
        <v>30.21</v>
      </c>
    </row>
    <row r="704" spans="1:5" x14ac:dyDescent="0.25">
      <c r="A704" s="17">
        <f t="shared" si="56"/>
        <v>44560</v>
      </c>
      <c r="B704" s="126">
        <f t="shared" si="57"/>
        <v>2</v>
      </c>
      <c r="C704" s="58">
        <f t="shared" si="55"/>
        <v>44560.041666664976</v>
      </c>
      <c r="D704" s="58">
        <f t="shared" si="53"/>
        <v>44560.08333333164</v>
      </c>
      <c r="E704" s="106">
        <f t="shared" si="58"/>
        <v>30.21</v>
      </c>
    </row>
    <row r="705" spans="1:5" x14ac:dyDescent="0.25">
      <c r="A705" s="17">
        <f t="shared" si="56"/>
        <v>44560</v>
      </c>
      <c r="B705" s="126">
        <f t="shared" si="57"/>
        <v>3</v>
      </c>
      <c r="C705" s="58">
        <f t="shared" si="55"/>
        <v>44560.08333333164</v>
      </c>
      <c r="D705" s="58">
        <f t="shared" si="53"/>
        <v>44560.124999998305</v>
      </c>
      <c r="E705" s="106">
        <f t="shared" si="58"/>
        <v>30.21</v>
      </c>
    </row>
    <row r="706" spans="1:5" x14ac:dyDescent="0.25">
      <c r="A706" s="17">
        <f t="shared" si="56"/>
        <v>44560</v>
      </c>
      <c r="B706" s="126">
        <f t="shared" si="57"/>
        <v>4</v>
      </c>
      <c r="C706" s="58">
        <f t="shared" si="55"/>
        <v>44560.124999998305</v>
      </c>
      <c r="D706" s="58">
        <f t="shared" si="53"/>
        <v>44560.166666664969</v>
      </c>
      <c r="E706" s="106">
        <f t="shared" si="58"/>
        <v>30.21</v>
      </c>
    </row>
    <row r="707" spans="1:5" x14ac:dyDescent="0.25">
      <c r="A707" s="17">
        <f t="shared" si="56"/>
        <v>44560</v>
      </c>
      <c r="B707" s="126">
        <f t="shared" si="57"/>
        <v>5</v>
      </c>
      <c r="C707" s="58">
        <f t="shared" si="55"/>
        <v>44560.166666664969</v>
      </c>
      <c r="D707" s="58">
        <f t="shared" si="53"/>
        <v>44560.208333331633</v>
      </c>
      <c r="E707" s="106">
        <f t="shared" si="58"/>
        <v>30.21</v>
      </c>
    </row>
    <row r="708" spans="1:5" x14ac:dyDescent="0.25">
      <c r="A708" s="17">
        <f t="shared" si="56"/>
        <v>44560</v>
      </c>
      <c r="B708" s="126">
        <f t="shared" si="57"/>
        <v>6</v>
      </c>
      <c r="C708" s="58">
        <f t="shared" si="55"/>
        <v>44560.208333331633</v>
      </c>
      <c r="D708" s="58">
        <f t="shared" si="53"/>
        <v>44560.249999998297</v>
      </c>
      <c r="E708" s="106">
        <f t="shared" si="58"/>
        <v>30.21</v>
      </c>
    </row>
    <row r="709" spans="1:5" x14ac:dyDescent="0.25">
      <c r="A709" s="17">
        <f t="shared" si="56"/>
        <v>44560</v>
      </c>
      <c r="B709" s="126">
        <f t="shared" si="57"/>
        <v>7</v>
      </c>
      <c r="C709" s="58">
        <f t="shared" si="55"/>
        <v>44560.249999998297</v>
      </c>
      <c r="D709" s="58">
        <f t="shared" si="53"/>
        <v>44560.291666664962</v>
      </c>
      <c r="E709" s="106">
        <f t="shared" si="58"/>
        <v>30.21</v>
      </c>
    </row>
    <row r="710" spans="1:5" x14ac:dyDescent="0.25">
      <c r="A710" s="17">
        <f t="shared" si="56"/>
        <v>44560</v>
      </c>
      <c r="B710" s="126">
        <f t="shared" si="57"/>
        <v>8</v>
      </c>
      <c r="C710" s="58">
        <f t="shared" si="55"/>
        <v>44560.291666664962</v>
      </c>
      <c r="D710" s="58">
        <f t="shared" si="53"/>
        <v>44560.333333331626</v>
      </c>
      <c r="E710" s="106">
        <f t="shared" si="58"/>
        <v>38.659999999999997</v>
      </c>
    </row>
    <row r="711" spans="1:5" x14ac:dyDescent="0.25">
      <c r="A711" s="17">
        <f t="shared" si="56"/>
        <v>44560</v>
      </c>
      <c r="B711" s="126">
        <f t="shared" si="57"/>
        <v>9</v>
      </c>
      <c r="C711" s="58">
        <f t="shared" si="55"/>
        <v>44560.333333331626</v>
      </c>
      <c r="D711" s="58">
        <f t="shared" si="53"/>
        <v>44560.37499999829</v>
      </c>
      <c r="E711" s="106">
        <f t="shared" si="58"/>
        <v>38.659999999999997</v>
      </c>
    </row>
    <row r="712" spans="1:5" x14ac:dyDescent="0.25">
      <c r="A712" s="17">
        <f t="shared" si="56"/>
        <v>44560</v>
      </c>
      <c r="B712" s="126">
        <f t="shared" si="57"/>
        <v>10</v>
      </c>
      <c r="C712" s="58">
        <f t="shared" si="55"/>
        <v>44560.37499999829</v>
      </c>
      <c r="D712" s="58">
        <f t="shared" ref="D712:D750" si="59">$C712+1/24</f>
        <v>44560.416666664954</v>
      </c>
      <c r="E712" s="106">
        <f t="shared" si="58"/>
        <v>38.659999999999997</v>
      </c>
    </row>
    <row r="713" spans="1:5" x14ac:dyDescent="0.25">
      <c r="A713" s="17">
        <f t="shared" si="56"/>
        <v>44560</v>
      </c>
      <c r="B713" s="126">
        <f t="shared" si="57"/>
        <v>11</v>
      </c>
      <c r="C713" s="58">
        <f t="shared" ref="C713:C750" si="60">$C712+1/24</f>
        <v>44560.416666664954</v>
      </c>
      <c r="D713" s="58">
        <f t="shared" si="59"/>
        <v>44560.458333331619</v>
      </c>
      <c r="E713" s="106">
        <f t="shared" si="58"/>
        <v>38.659999999999997</v>
      </c>
    </row>
    <row r="714" spans="1:5" x14ac:dyDescent="0.25">
      <c r="A714" s="17">
        <f t="shared" si="56"/>
        <v>44560</v>
      </c>
      <c r="B714" s="126">
        <f t="shared" si="57"/>
        <v>12</v>
      </c>
      <c r="C714" s="58">
        <f t="shared" si="60"/>
        <v>44560.458333331619</v>
      </c>
      <c r="D714" s="58">
        <f t="shared" si="59"/>
        <v>44560.499999998283</v>
      </c>
      <c r="E714" s="106">
        <f t="shared" si="58"/>
        <v>38.659999999999997</v>
      </c>
    </row>
    <row r="715" spans="1:5" x14ac:dyDescent="0.25">
      <c r="A715" s="17">
        <f t="shared" si="56"/>
        <v>44560</v>
      </c>
      <c r="B715" s="126">
        <f t="shared" si="57"/>
        <v>13</v>
      </c>
      <c r="C715" s="58">
        <f t="shared" si="60"/>
        <v>44560.499999998283</v>
      </c>
      <c r="D715" s="58">
        <f t="shared" si="59"/>
        <v>44560.541666664947</v>
      </c>
      <c r="E715" s="106">
        <f t="shared" si="58"/>
        <v>38.659999999999997</v>
      </c>
    </row>
    <row r="716" spans="1:5" x14ac:dyDescent="0.25">
      <c r="A716" s="17">
        <f t="shared" si="56"/>
        <v>44560</v>
      </c>
      <c r="B716" s="126">
        <f t="shared" si="57"/>
        <v>14</v>
      </c>
      <c r="C716" s="58">
        <f t="shared" si="60"/>
        <v>44560.541666664947</v>
      </c>
      <c r="D716" s="58">
        <f t="shared" si="59"/>
        <v>44560.583333331611</v>
      </c>
      <c r="E716" s="106">
        <f t="shared" si="58"/>
        <v>38.659999999999997</v>
      </c>
    </row>
    <row r="717" spans="1:5" x14ac:dyDescent="0.25">
      <c r="A717" s="17">
        <f t="shared" si="56"/>
        <v>44560</v>
      </c>
      <c r="B717" s="126">
        <f t="shared" si="57"/>
        <v>15</v>
      </c>
      <c r="C717" s="58">
        <f t="shared" si="60"/>
        <v>44560.583333331611</v>
      </c>
      <c r="D717" s="58">
        <f t="shared" si="59"/>
        <v>44560.624999998276</v>
      </c>
      <c r="E717" s="106">
        <f t="shared" si="58"/>
        <v>38.659999999999997</v>
      </c>
    </row>
    <row r="718" spans="1:5" x14ac:dyDescent="0.25">
      <c r="A718" s="17">
        <f t="shared" si="56"/>
        <v>44560</v>
      </c>
      <c r="B718" s="126">
        <f t="shared" si="57"/>
        <v>16</v>
      </c>
      <c r="C718" s="58">
        <f t="shared" si="60"/>
        <v>44560.624999998276</v>
      </c>
      <c r="D718" s="58">
        <f t="shared" si="59"/>
        <v>44560.66666666494</v>
      </c>
      <c r="E718" s="106">
        <f t="shared" si="58"/>
        <v>38.659999999999997</v>
      </c>
    </row>
    <row r="719" spans="1:5" x14ac:dyDescent="0.25">
      <c r="A719" s="17">
        <f t="shared" si="56"/>
        <v>44560</v>
      </c>
      <c r="B719" s="126">
        <f t="shared" si="57"/>
        <v>17</v>
      </c>
      <c r="C719" s="58">
        <f t="shared" si="60"/>
        <v>44560.66666666494</v>
      </c>
      <c r="D719" s="58">
        <f t="shared" si="59"/>
        <v>44560.708333331604</v>
      </c>
      <c r="E719" s="106">
        <f t="shared" si="58"/>
        <v>38.659999999999997</v>
      </c>
    </row>
    <row r="720" spans="1:5" x14ac:dyDescent="0.25">
      <c r="A720" s="17">
        <f t="shared" si="56"/>
        <v>44560</v>
      </c>
      <c r="B720" s="126">
        <f t="shared" si="57"/>
        <v>18</v>
      </c>
      <c r="C720" s="58">
        <f t="shared" si="60"/>
        <v>44560.708333331604</v>
      </c>
      <c r="D720" s="58">
        <f t="shared" si="59"/>
        <v>44560.749999998268</v>
      </c>
      <c r="E720" s="106">
        <f t="shared" si="58"/>
        <v>38.659999999999997</v>
      </c>
    </row>
    <row r="721" spans="1:5" x14ac:dyDescent="0.25">
      <c r="A721" s="17">
        <f t="shared" si="56"/>
        <v>44560</v>
      </c>
      <c r="B721" s="126">
        <f t="shared" si="57"/>
        <v>19</v>
      </c>
      <c r="C721" s="58">
        <f t="shared" si="60"/>
        <v>44560.749999998268</v>
      </c>
      <c r="D721" s="58">
        <f t="shared" si="59"/>
        <v>44560.791666664933</v>
      </c>
      <c r="E721" s="106">
        <f t="shared" si="58"/>
        <v>38.659999999999997</v>
      </c>
    </row>
    <row r="722" spans="1:5" x14ac:dyDescent="0.25">
      <c r="A722" s="17">
        <f t="shared" si="56"/>
        <v>44560</v>
      </c>
      <c r="B722" s="126">
        <f t="shared" si="57"/>
        <v>20</v>
      </c>
      <c r="C722" s="58">
        <f t="shared" si="60"/>
        <v>44560.791666664933</v>
      </c>
      <c r="D722" s="58">
        <f t="shared" si="59"/>
        <v>44560.833333331597</v>
      </c>
      <c r="E722" s="106">
        <f t="shared" si="58"/>
        <v>38.659999999999997</v>
      </c>
    </row>
    <row r="723" spans="1:5" x14ac:dyDescent="0.25">
      <c r="A723" s="17">
        <f t="shared" si="56"/>
        <v>44560</v>
      </c>
      <c r="B723" s="126">
        <f t="shared" si="57"/>
        <v>21</v>
      </c>
      <c r="C723" s="58">
        <f t="shared" si="60"/>
        <v>44560.833333331597</v>
      </c>
      <c r="D723" s="58">
        <f t="shared" si="59"/>
        <v>44560.874999998261</v>
      </c>
      <c r="E723" s="106">
        <f t="shared" si="58"/>
        <v>38.659999999999997</v>
      </c>
    </row>
    <row r="724" spans="1:5" x14ac:dyDescent="0.25">
      <c r="A724" s="17">
        <f t="shared" si="56"/>
        <v>44560</v>
      </c>
      <c r="B724" s="126">
        <f t="shared" si="57"/>
        <v>22</v>
      </c>
      <c r="C724" s="58">
        <f t="shared" si="60"/>
        <v>44560.874999998261</v>
      </c>
      <c r="D724" s="58">
        <f t="shared" si="59"/>
        <v>44560.916666664925</v>
      </c>
      <c r="E724" s="106">
        <f t="shared" si="58"/>
        <v>38.659999999999997</v>
      </c>
    </row>
    <row r="725" spans="1:5" x14ac:dyDescent="0.25">
      <c r="A725" s="17">
        <f t="shared" si="56"/>
        <v>44560</v>
      </c>
      <c r="B725" s="126">
        <f t="shared" si="57"/>
        <v>23</v>
      </c>
      <c r="C725" s="58">
        <f t="shared" si="60"/>
        <v>44560.916666664925</v>
      </c>
      <c r="D725" s="58">
        <f t="shared" si="59"/>
        <v>44560.95833333159</v>
      </c>
      <c r="E725" s="106">
        <f t="shared" si="58"/>
        <v>38.659999999999997</v>
      </c>
    </row>
    <row r="726" spans="1:5" x14ac:dyDescent="0.25">
      <c r="A726" s="17">
        <f t="shared" si="56"/>
        <v>44560</v>
      </c>
      <c r="B726" s="126">
        <f t="shared" si="57"/>
        <v>24</v>
      </c>
      <c r="C726" s="58">
        <f t="shared" si="60"/>
        <v>44560.95833333159</v>
      </c>
      <c r="D726" s="58">
        <f t="shared" si="59"/>
        <v>44560.999999998254</v>
      </c>
      <c r="E726" s="106">
        <f t="shared" si="58"/>
        <v>30.21</v>
      </c>
    </row>
    <row r="727" spans="1:5" x14ac:dyDescent="0.25">
      <c r="A727" s="17">
        <f t="shared" ref="A727:A750" si="61">DATE(YEAR(C727),MONTH(C727),DAY(C727))</f>
        <v>44561</v>
      </c>
      <c r="B727" s="126">
        <f t="shared" ref="B727:B750" si="62">HOUR(C727)+1</f>
        <v>1</v>
      </c>
      <c r="C727" s="58">
        <f t="shared" si="60"/>
        <v>44560.999999998254</v>
      </c>
      <c r="D727" s="58">
        <f t="shared" si="59"/>
        <v>44561.041666664918</v>
      </c>
      <c r="E727" s="106">
        <f t="shared" ref="E727:E750" si="63">VLOOKUP(A727,$K$6:$AI$36,B727+1,FALSE)</f>
        <v>30.21</v>
      </c>
    </row>
    <row r="728" spans="1:5" x14ac:dyDescent="0.25">
      <c r="A728" s="17">
        <f t="shared" si="61"/>
        <v>44561</v>
      </c>
      <c r="B728" s="126">
        <f t="shared" si="62"/>
        <v>2</v>
      </c>
      <c r="C728" s="58">
        <f t="shared" si="60"/>
        <v>44561.041666664918</v>
      </c>
      <c r="D728" s="58">
        <f t="shared" si="59"/>
        <v>44561.083333331582</v>
      </c>
      <c r="E728" s="106">
        <f t="shared" si="63"/>
        <v>30.21</v>
      </c>
    </row>
    <row r="729" spans="1:5" x14ac:dyDescent="0.25">
      <c r="A729" s="17">
        <f t="shared" si="61"/>
        <v>44561</v>
      </c>
      <c r="B729" s="126">
        <f t="shared" si="62"/>
        <v>3</v>
      </c>
      <c r="C729" s="58">
        <f t="shared" si="60"/>
        <v>44561.083333331582</v>
      </c>
      <c r="D729" s="58">
        <f t="shared" si="59"/>
        <v>44561.124999998246</v>
      </c>
      <c r="E729" s="106">
        <f t="shared" si="63"/>
        <v>30.21</v>
      </c>
    </row>
    <row r="730" spans="1:5" x14ac:dyDescent="0.25">
      <c r="A730" s="17">
        <f t="shared" si="61"/>
        <v>44561</v>
      </c>
      <c r="B730" s="126">
        <f t="shared" si="62"/>
        <v>4</v>
      </c>
      <c r="C730" s="58">
        <f t="shared" si="60"/>
        <v>44561.124999998246</v>
      </c>
      <c r="D730" s="58">
        <f t="shared" si="59"/>
        <v>44561.166666664911</v>
      </c>
      <c r="E730" s="106">
        <f t="shared" si="63"/>
        <v>30.21</v>
      </c>
    </row>
    <row r="731" spans="1:5" x14ac:dyDescent="0.25">
      <c r="A731" s="17">
        <f t="shared" si="61"/>
        <v>44561</v>
      </c>
      <c r="B731" s="126">
        <f t="shared" si="62"/>
        <v>5</v>
      </c>
      <c r="C731" s="58">
        <f t="shared" si="60"/>
        <v>44561.166666664911</v>
      </c>
      <c r="D731" s="58">
        <f t="shared" si="59"/>
        <v>44561.208333331575</v>
      </c>
      <c r="E731" s="106">
        <f t="shared" si="63"/>
        <v>30.21</v>
      </c>
    </row>
    <row r="732" spans="1:5" x14ac:dyDescent="0.25">
      <c r="A732" s="17">
        <f t="shared" si="61"/>
        <v>44561</v>
      </c>
      <c r="B732" s="126">
        <f t="shared" si="62"/>
        <v>6</v>
      </c>
      <c r="C732" s="58">
        <f t="shared" si="60"/>
        <v>44561.208333331575</v>
      </c>
      <c r="D732" s="58">
        <f t="shared" si="59"/>
        <v>44561.249999998239</v>
      </c>
      <c r="E732" s="106">
        <f t="shared" si="63"/>
        <v>30.21</v>
      </c>
    </row>
    <row r="733" spans="1:5" x14ac:dyDescent="0.25">
      <c r="A733" s="17">
        <f t="shared" si="61"/>
        <v>44561</v>
      </c>
      <c r="B733" s="126">
        <f t="shared" si="62"/>
        <v>7</v>
      </c>
      <c r="C733" s="58">
        <f t="shared" si="60"/>
        <v>44561.249999998239</v>
      </c>
      <c r="D733" s="58">
        <f t="shared" si="59"/>
        <v>44561.291666664903</v>
      </c>
      <c r="E733" s="106">
        <f t="shared" si="63"/>
        <v>30.21</v>
      </c>
    </row>
    <row r="734" spans="1:5" x14ac:dyDescent="0.25">
      <c r="A734" s="17">
        <f t="shared" si="61"/>
        <v>44561</v>
      </c>
      <c r="B734" s="126">
        <f t="shared" si="62"/>
        <v>8</v>
      </c>
      <c r="C734" s="58">
        <f t="shared" si="60"/>
        <v>44561.291666664903</v>
      </c>
      <c r="D734" s="58">
        <f t="shared" si="59"/>
        <v>44561.333333331568</v>
      </c>
      <c r="E734" s="106">
        <f t="shared" si="63"/>
        <v>38.659999999999997</v>
      </c>
    </row>
    <row r="735" spans="1:5" x14ac:dyDescent="0.25">
      <c r="A735" s="17">
        <f t="shared" si="61"/>
        <v>44561</v>
      </c>
      <c r="B735" s="126">
        <f t="shared" si="62"/>
        <v>9</v>
      </c>
      <c r="C735" s="58">
        <f t="shared" si="60"/>
        <v>44561.333333331568</v>
      </c>
      <c r="D735" s="58">
        <f t="shared" si="59"/>
        <v>44561.374999998232</v>
      </c>
      <c r="E735" s="106">
        <f t="shared" si="63"/>
        <v>38.659999999999997</v>
      </c>
    </row>
    <row r="736" spans="1:5" x14ac:dyDescent="0.25">
      <c r="A736" s="17">
        <f t="shared" si="61"/>
        <v>44561</v>
      </c>
      <c r="B736" s="126">
        <f t="shared" si="62"/>
        <v>10</v>
      </c>
      <c r="C736" s="58">
        <f t="shared" si="60"/>
        <v>44561.374999998232</v>
      </c>
      <c r="D736" s="58">
        <f t="shared" si="59"/>
        <v>44561.416666664896</v>
      </c>
      <c r="E736" s="106">
        <f t="shared" si="63"/>
        <v>38.659999999999997</v>
      </c>
    </row>
    <row r="737" spans="1:5" x14ac:dyDescent="0.25">
      <c r="A737" s="17">
        <f t="shared" si="61"/>
        <v>44561</v>
      </c>
      <c r="B737" s="126">
        <f t="shared" si="62"/>
        <v>11</v>
      </c>
      <c r="C737" s="58">
        <f t="shared" si="60"/>
        <v>44561.416666664896</v>
      </c>
      <c r="D737" s="58">
        <f t="shared" si="59"/>
        <v>44561.45833333156</v>
      </c>
      <c r="E737" s="106">
        <f t="shared" si="63"/>
        <v>38.659999999999997</v>
      </c>
    </row>
    <row r="738" spans="1:5" x14ac:dyDescent="0.25">
      <c r="A738" s="17">
        <f t="shared" si="61"/>
        <v>44561</v>
      </c>
      <c r="B738" s="126">
        <f t="shared" si="62"/>
        <v>12</v>
      </c>
      <c r="C738" s="58">
        <f t="shared" si="60"/>
        <v>44561.45833333156</v>
      </c>
      <c r="D738" s="58">
        <f t="shared" si="59"/>
        <v>44561.499999998225</v>
      </c>
      <c r="E738" s="106">
        <f t="shared" si="63"/>
        <v>38.659999999999997</v>
      </c>
    </row>
    <row r="739" spans="1:5" x14ac:dyDescent="0.25">
      <c r="A739" s="17">
        <f t="shared" si="61"/>
        <v>44561</v>
      </c>
      <c r="B739" s="126">
        <f t="shared" si="62"/>
        <v>13</v>
      </c>
      <c r="C739" s="58">
        <f t="shared" si="60"/>
        <v>44561.499999998225</v>
      </c>
      <c r="D739" s="58">
        <f t="shared" si="59"/>
        <v>44561.541666664889</v>
      </c>
      <c r="E739" s="106">
        <f t="shared" si="63"/>
        <v>38.659999999999997</v>
      </c>
    </row>
    <row r="740" spans="1:5" x14ac:dyDescent="0.25">
      <c r="A740" s="17">
        <f t="shared" si="61"/>
        <v>44561</v>
      </c>
      <c r="B740" s="126">
        <f t="shared" si="62"/>
        <v>14</v>
      </c>
      <c r="C740" s="58">
        <f t="shared" si="60"/>
        <v>44561.541666664889</v>
      </c>
      <c r="D740" s="58">
        <f t="shared" si="59"/>
        <v>44561.583333331553</v>
      </c>
      <c r="E740" s="106">
        <f t="shared" si="63"/>
        <v>38.659999999999997</v>
      </c>
    </row>
    <row r="741" spans="1:5" x14ac:dyDescent="0.25">
      <c r="A741" s="17">
        <f t="shared" si="61"/>
        <v>44561</v>
      </c>
      <c r="B741" s="126">
        <f t="shared" si="62"/>
        <v>15</v>
      </c>
      <c r="C741" s="58">
        <f t="shared" si="60"/>
        <v>44561.583333331553</v>
      </c>
      <c r="D741" s="58">
        <f t="shared" si="59"/>
        <v>44561.624999998217</v>
      </c>
      <c r="E741" s="106">
        <f t="shared" si="63"/>
        <v>38.659999999999997</v>
      </c>
    </row>
    <row r="742" spans="1:5" x14ac:dyDescent="0.25">
      <c r="A742" s="17">
        <f t="shared" si="61"/>
        <v>44561</v>
      </c>
      <c r="B742" s="126">
        <f t="shared" si="62"/>
        <v>16</v>
      </c>
      <c r="C742" s="58">
        <f t="shared" si="60"/>
        <v>44561.624999998217</v>
      </c>
      <c r="D742" s="58">
        <f t="shared" si="59"/>
        <v>44561.666666664882</v>
      </c>
      <c r="E742" s="106">
        <f t="shared" si="63"/>
        <v>38.659999999999997</v>
      </c>
    </row>
    <row r="743" spans="1:5" x14ac:dyDescent="0.25">
      <c r="A743" s="17">
        <f t="shared" si="61"/>
        <v>44561</v>
      </c>
      <c r="B743" s="126">
        <f t="shared" si="62"/>
        <v>17</v>
      </c>
      <c r="C743" s="58">
        <f t="shared" si="60"/>
        <v>44561.666666664882</v>
      </c>
      <c r="D743" s="58">
        <f t="shared" si="59"/>
        <v>44561.708333331546</v>
      </c>
      <c r="E743" s="106">
        <f t="shared" si="63"/>
        <v>38.659999999999997</v>
      </c>
    </row>
    <row r="744" spans="1:5" x14ac:dyDescent="0.25">
      <c r="A744" s="17">
        <f t="shared" si="61"/>
        <v>44561</v>
      </c>
      <c r="B744" s="126">
        <f t="shared" si="62"/>
        <v>18</v>
      </c>
      <c r="C744" s="58">
        <f t="shared" si="60"/>
        <v>44561.708333331546</v>
      </c>
      <c r="D744" s="58">
        <f t="shared" si="59"/>
        <v>44561.74999999821</v>
      </c>
      <c r="E744" s="106">
        <f t="shared" si="63"/>
        <v>38.659999999999997</v>
      </c>
    </row>
    <row r="745" spans="1:5" x14ac:dyDescent="0.25">
      <c r="A745" s="17">
        <f t="shared" si="61"/>
        <v>44561</v>
      </c>
      <c r="B745" s="126">
        <f t="shared" si="62"/>
        <v>19</v>
      </c>
      <c r="C745" s="58">
        <f t="shared" si="60"/>
        <v>44561.74999999821</v>
      </c>
      <c r="D745" s="58">
        <f t="shared" si="59"/>
        <v>44561.791666664874</v>
      </c>
      <c r="E745" s="106">
        <f t="shared" si="63"/>
        <v>38.659999999999997</v>
      </c>
    </row>
    <row r="746" spans="1:5" x14ac:dyDescent="0.25">
      <c r="A746" s="17">
        <f t="shared" si="61"/>
        <v>44561</v>
      </c>
      <c r="B746" s="126">
        <f t="shared" si="62"/>
        <v>20</v>
      </c>
      <c r="C746" s="58">
        <f t="shared" si="60"/>
        <v>44561.791666664874</v>
      </c>
      <c r="D746" s="58">
        <f t="shared" si="59"/>
        <v>44561.833333331539</v>
      </c>
      <c r="E746" s="106">
        <f t="shared" si="63"/>
        <v>38.659999999999997</v>
      </c>
    </row>
    <row r="747" spans="1:5" x14ac:dyDescent="0.25">
      <c r="A747" s="17">
        <f t="shared" si="61"/>
        <v>44561</v>
      </c>
      <c r="B747" s="126">
        <f t="shared" si="62"/>
        <v>21</v>
      </c>
      <c r="C747" s="58">
        <f t="shared" si="60"/>
        <v>44561.833333331539</v>
      </c>
      <c r="D747" s="58">
        <f t="shared" si="59"/>
        <v>44561.874999998203</v>
      </c>
      <c r="E747" s="106">
        <f t="shared" si="63"/>
        <v>38.659999999999997</v>
      </c>
    </row>
    <row r="748" spans="1:5" x14ac:dyDescent="0.25">
      <c r="A748" s="17">
        <f t="shared" si="61"/>
        <v>44561</v>
      </c>
      <c r="B748" s="126">
        <f t="shared" si="62"/>
        <v>22</v>
      </c>
      <c r="C748" s="58">
        <f t="shared" si="60"/>
        <v>44561.874999998203</v>
      </c>
      <c r="D748" s="58">
        <f t="shared" si="59"/>
        <v>44561.916666664867</v>
      </c>
      <c r="E748" s="106">
        <f t="shared" si="63"/>
        <v>38.659999999999997</v>
      </c>
    </row>
    <row r="749" spans="1:5" x14ac:dyDescent="0.25">
      <c r="A749" s="17">
        <f t="shared" si="61"/>
        <v>44561</v>
      </c>
      <c r="B749" s="126">
        <f t="shared" si="62"/>
        <v>23</v>
      </c>
      <c r="C749" s="58">
        <f t="shared" si="60"/>
        <v>44561.916666664867</v>
      </c>
      <c r="D749" s="58">
        <f t="shared" si="59"/>
        <v>44561.958333331531</v>
      </c>
      <c r="E749" s="106">
        <f t="shared" si="63"/>
        <v>38.659999999999997</v>
      </c>
    </row>
    <row r="750" spans="1:5" x14ac:dyDescent="0.25">
      <c r="A750" s="17">
        <f t="shared" si="61"/>
        <v>44561</v>
      </c>
      <c r="B750" s="126">
        <f t="shared" si="62"/>
        <v>24</v>
      </c>
      <c r="C750" s="58">
        <f t="shared" si="60"/>
        <v>44561.958333331531</v>
      </c>
      <c r="D750" s="58">
        <f t="shared" si="59"/>
        <v>44561.999999998196</v>
      </c>
      <c r="E750" s="106">
        <f t="shared" si="63"/>
        <v>30.21</v>
      </c>
    </row>
    <row r="751" spans="1:5" x14ac:dyDescent="0.25">
      <c r="A751" s="17"/>
      <c r="B751" s="126"/>
      <c r="C751" s="58"/>
      <c r="D751" s="58"/>
      <c r="E751" s="106"/>
    </row>
    <row r="752" spans="1:5" x14ac:dyDescent="0.25">
      <c r="A752" s="17"/>
      <c r="B752" s="126"/>
      <c r="C752" s="58"/>
      <c r="D752" s="58"/>
      <c r="E752" s="106"/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59999389629810485"/>
  </sheetPr>
  <dimension ref="A1:T756"/>
  <sheetViews>
    <sheetView zoomScale="80" zoomScaleNormal="80" workbookViewId="0">
      <pane xSplit="2" ySplit="6" topLeftCell="C713" activePane="bottomRight" state="frozen"/>
      <selection pane="topRight" activeCell="A726" sqref="A726:T750"/>
      <selection pane="bottomLeft" activeCell="A726" sqref="A726:T750"/>
      <selection pane="bottomRight" activeCell="A726" sqref="A726:T750"/>
    </sheetView>
  </sheetViews>
  <sheetFormatPr defaultColWidth="9.109375" defaultRowHeight="13.2" x14ac:dyDescent="0.25"/>
  <cols>
    <col min="1" max="1" width="15.33203125" style="4" customWidth="1"/>
    <col min="2" max="2" width="15.88671875" style="4" customWidth="1"/>
    <col min="3" max="3" width="15.88671875" style="29" customWidth="1"/>
    <col min="4" max="4" width="15.5546875" style="4" customWidth="1"/>
    <col min="5" max="5" width="11.5546875" style="4" bestFit="1" customWidth="1"/>
    <col min="6" max="6" width="7.88671875" style="29" bestFit="1" customWidth="1"/>
    <col min="7" max="7" width="16.5546875" style="4" customWidth="1"/>
    <col min="8" max="8" width="10.5546875" style="4" bestFit="1" customWidth="1"/>
    <col min="9" max="9" width="10" style="33" bestFit="1" customWidth="1"/>
    <col min="10" max="10" width="10.6640625" style="4" bestFit="1" customWidth="1"/>
    <col min="11" max="11" width="11.5546875" style="4" bestFit="1" customWidth="1"/>
    <col min="12" max="12" width="10.6640625" style="29" bestFit="1" customWidth="1"/>
    <col min="13" max="13" width="12" style="4" bestFit="1" customWidth="1"/>
    <col min="14" max="14" width="12.33203125" style="4" bestFit="1" customWidth="1"/>
    <col min="15" max="15" width="9.5546875" style="29" bestFit="1" customWidth="1"/>
    <col min="16" max="16" width="12" style="4" bestFit="1" customWidth="1"/>
    <col min="17" max="17" width="12.33203125" style="4" bestFit="1" customWidth="1"/>
    <col min="18" max="18" width="10.109375" style="29" bestFit="1" customWidth="1"/>
    <col min="19" max="19" width="16.6640625" style="4" customWidth="1"/>
    <col min="20" max="20" width="12.33203125" style="4" bestFit="1" customWidth="1"/>
    <col min="21" max="16384" width="9.109375" style="4"/>
  </cols>
  <sheetData>
    <row r="1" spans="1:20" ht="15.6" x14ac:dyDescent="0.3">
      <c r="A1" s="31" t="s">
        <v>118</v>
      </c>
    </row>
    <row r="2" spans="1:20" ht="15.6" x14ac:dyDescent="0.3">
      <c r="A2" s="31"/>
    </row>
    <row r="3" spans="1:20" ht="15.6" x14ac:dyDescent="0.3">
      <c r="B3" s="31"/>
    </row>
    <row r="4" spans="1:20" ht="26.25" customHeight="1" thickBot="1" x14ac:dyDescent="0.3">
      <c r="C4" s="186" t="s">
        <v>119</v>
      </c>
      <c r="D4" s="186"/>
      <c r="E4" s="186"/>
      <c r="F4" s="186"/>
      <c r="G4" s="186"/>
      <c r="H4" s="186"/>
      <c r="I4" s="186"/>
      <c r="J4" s="186"/>
      <c r="K4" s="186"/>
      <c r="L4" s="187" t="s">
        <v>120</v>
      </c>
      <c r="M4" s="188"/>
      <c r="N4" s="188"/>
      <c r="O4" s="188"/>
      <c r="P4" s="188"/>
      <c r="Q4" s="188"/>
      <c r="R4" s="188"/>
      <c r="S4" s="188"/>
      <c r="T4" s="188"/>
    </row>
    <row r="5" spans="1:20" ht="38.25" customHeight="1" x14ac:dyDescent="0.25">
      <c r="A5" s="189" t="s">
        <v>5</v>
      </c>
      <c r="B5" s="191" t="s">
        <v>6</v>
      </c>
      <c r="C5" s="193" t="s">
        <v>121</v>
      </c>
      <c r="D5" s="194"/>
      <c r="E5" s="34">
        <f>Global!$D$22</f>
        <v>0.75</v>
      </c>
      <c r="F5" s="195" t="s">
        <v>122</v>
      </c>
      <c r="G5" s="196"/>
      <c r="H5" s="35">
        <f>Global!$D$16</f>
        <v>0.9</v>
      </c>
      <c r="I5" s="197" t="s">
        <v>123</v>
      </c>
      <c r="J5" s="198"/>
      <c r="K5" s="36">
        <f>Global!$D$10</f>
        <v>1</v>
      </c>
      <c r="L5" s="199" t="s">
        <v>124</v>
      </c>
      <c r="M5" s="200"/>
      <c r="N5" s="37">
        <f>Global!$D$11</f>
        <v>1</v>
      </c>
      <c r="O5" s="201" t="s">
        <v>125</v>
      </c>
      <c r="P5" s="202"/>
      <c r="Q5" s="38">
        <f>Global!$D$17</f>
        <v>1.1000000000000001</v>
      </c>
      <c r="R5" s="203" t="s">
        <v>126</v>
      </c>
      <c r="S5" s="204"/>
      <c r="T5" s="39">
        <f>Global!$D$23</f>
        <v>1.25</v>
      </c>
    </row>
    <row r="6" spans="1:20" ht="20.25" customHeight="1" thickBot="1" x14ac:dyDescent="0.3">
      <c r="A6" s="190"/>
      <c r="B6" s="192"/>
      <c r="C6" s="40" t="s">
        <v>60</v>
      </c>
      <c r="D6" s="41" t="s">
        <v>127</v>
      </c>
      <c r="E6" s="42" t="s">
        <v>128</v>
      </c>
      <c r="F6" s="43" t="s">
        <v>60</v>
      </c>
      <c r="G6" s="44" t="s">
        <v>127</v>
      </c>
      <c r="H6" s="45" t="s">
        <v>128</v>
      </c>
      <c r="I6" s="46" t="s">
        <v>60</v>
      </c>
      <c r="J6" s="47" t="s">
        <v>127</v>
      </c>
      <c r="K6" s="48" t="s">
        <v>128</v>
      </c>
      <c r="L6" s="49" t="s">
        <v>60</v>
      </c>
      <c r="M6" s="50" t="s">
        <v>129</v>
      </c>
      <c r="N6" s="51" t="s">
        <v>128</v>
      </c>
      <c r="O6" s="52" t="s">
        <v>60</v>
      </c>
      <c r="P6" s="53" t="s">
        <v>129</v>
      </c>
      <c r="Q6" s="54" t="s">
        <v>128</v>
      </c>
      <c r="R6" s="55" t="s">
        <v>60</v>
      </c>
      <c r="S6" s="56" t="s">
        <v>129</v>
      </c>
      <c r="T6" s="57" t="s">
        <v>128</v>
      </c>
    </row>
    <row r="7" spans="1:20" x14ac:dyDescent="0.25">
      <c r="A7" s="58">
        <v>44531</v>
      </c>
      <c r="B7" s="59">
        <f>$A7+1/24</f>
        <v>44531.041666666664</v>
      </c>
      <c r="C7" s="60" t="e">
        <f>#REF!</f>
        <v>#REF!</v>
      </c>
      <c r="D7" s="61" t="e">
        <f>IF(C7&gt;0,Pricing!E7*$E$5,0)</f>
        <v>#REF!</v>
      </c>
      <c r="E7" s="61" t="e">
        <f>C7*D7</f>
        <v>#REF!</v>
      </c>
      <c r="F7" s="60" t="e">
        <f>#REF!</f>
        <v>#REF!</v>
      </c>
      <c r="G7" s="61" t="e">
        <f>IF(F7&gt;0,Pricing!E7*$H$5,0)</f>
        <v>#REF!</v>
      </c>
      <c r="H7" s="61" t="e">
        <f>F7*G7</f>
        <v>#REF!</v>
      </c>
      <c r="I7" s="62" t="e">
        <f>#REF!</f>
        <v>#REF!</v>
      </c>
      <c r="J7" s="61" t="e">
        <f>IF(I7&gt;0,Pricing!E7*$K$5,0)</f>
        <v>#REF!</v>
      </c>
      <c r="K7" s="63" t="e">
        <f>I7*J7</f>
        <v>#REF!</v>
      </c>
      <c r="L7" s="64" t="e">
        <f>#REF!</f>
        <v>#REF!</v>
      </c>
      <c r="M7" s="61" t="e">
        <f>IF(L7&lt;0,Pricing!E7*$N$5,0)</f>
        <v>#REF!</v>
      </c>
      <c r="N7" s="61" t="e">
        <f>L7*M7</f>
        <v>#REF!</v>
      </c>
      <c r="O7" s="60" t="e">
        <f>#REF!</f>
        <v>#REF!</v>
      </c>
      <c r="P7" s="61" t="e">
        <f>IF(O7&lt;0,Pricing!E7*$Q$5,0)</f>
        <v>#REF!</v>
      </c>
      <c r="Q7" s="61" t="e">
        <f>O7*P7</f>
        <v>#REF!</v>
      </c>
      <c r="R7" s="60" t="e">
        <f>#REF!</f>
        <v>#REF!</v>
      </c>
      <c r="S7" s="61" t="e">
        <f>IF(R7&lt;0,Pricing!E7*$T$5,0)</f>
        <v>#REF!</v>
      </c>
      <c r="T7" s="61" t="e">
        <f>R7*S7</f>
        <v>#REF!</v>
      </c>
    </row>
    <row r="8" spans="1:20" x14ac:dyDescent="0.25">
      <c r="A8" s="58">
        <f>$A7+1/24</f>
        <v>44531.041666666664</v>
      </c>
      <c r="B8" s="59">
        <f>B7+1/24</f>
        <v>44531.083333333328</v>
      </c>
      <c r="C8" s="60" t="e">
        <f>#REF!</f>
        <v>#REF!</v>
      </c>
      <c r="D8" s="61" t="e">
        <f>IF(C8&gt;0,Pricing!E8*$E$5,0)</f>
        <v>#REF!</v>
      </c>
      <c r="E8" s="61" t="e">
        <f t="shared" ref="E8:E71" si="0">C8*D8</f>
        <v>#REF!</v>
      </c>
      <c r="F8" s="60" t="e">
        <f>#REF!</f>
        <v>#REF!</v>
      </c>
      <c r="G8" s="61" t="e">
        <f>IF(F8&gt;0,Pricing!E8*$H$5,0)</f>
        <v>#REF!</v>
      </c>
      <c r="H8" s="61" t="e">
        <f t="shared" ref="H8:H71" si="1">F8*G8</f>
        <v>#REF!</v>
      </c>
      <c r="I8" s="62" t="e">
        <f>#REF!</f>
        <v>#REF!</v>
      </c>
      <c r="J8" s="61" t="e">
        <f>IF(I8&gt;0,Pricing!E8*$K$5,0)</f>
        <v>#REF!</v>
      </c>
      <c r="K8" s="63" t="e">
        <f t="shared" ref="K8:K71" si="2">I8*J8</f>
        <v>#REF!</v>
      </c>
      <c r="L8" s="64" t="e">
        <f>#REF!</f>
        <v>#REF!</v>
      </c>
      <c r="M8" s="61" t="e">
        <f>IF(L8&lt;0,Pricing!E8*$N$5,0)</f>
        <v>#REF!</v>
      </c>
      <c r="N8" s="61" t="e">
        <f t="shared" ref="N8:N71" si="3">L8*M8</f>
        <v>#REF!</v>
      </c>
      <c r="O8" s="60" t="e">
        <f>#REF!</f>
        <v>#REF!</v>
      </c>
      <c r="P8" s="61" t="e">
        <f>IF(O8&lt;0,Pricing!E8*$Q$5,0)</f>
        <v>#REF!</v>
      </c>
      <c r="Q8" s="61" t="e">
        <f t="shared" ref="Q8:Q71" si="4">O8*P8</f>
        <v>#REF!</v>
      </c>
      <c r="R8" s="60" t="e">
        <f>#REF!</f>
        <v>#REF!</v>
      </c>
      <c r="S8" s="61" t="e">
        <f>IF(R8&lt;0,Pricing!E8*$T$5,0)</f>
        <v>#REF!</v>
      </c>
      <c r="T8" s="61" t="e">
        <f t="shared" ref="T8:T71" si="5">R8*S8</f>
        <v>#REF!</v>
      </c>
    </row>
    <row r="9" spans="1:20" x14ac:dyDescent="0.25">
      <c r="A9" s="58">
        <f t="shared" ref="A9:A72" si="6">$A8+1/24</f>
        <v>44531.083333333328</v>
      </c>
      <c r="B9" s="59">
        <f t="shared" ref="B9:B72" si="7">B8+1/24</f>
        <v>44531.124999999993</v>
      </c>
      <c r="C9" s="60" t="e">
        <f>#REF!</f>
        <v>#REF!</v>
      </c>
      <c r="D9" s="61" t="e">
        <f>IF(C9&gt;0,Pricing!E9*$E$5,0)</f>
        <v>#REF!</v>
      </c>
      <c r="E9" s="61" t="e">
        <f t="shared" si="0"/>
        <v>#REF!</v>
      </c>
      <c r="F9" s="60" t="e">
        <f>#REF!</f>
        <v>#REF!</v>
      </c>
      <c r="G9" s="61" t="e">
        <f>IF(F9&gt;0,Pricing!E9*$H$5,0)</f>
        <v>#REF!</v>
      </c>
      <c r="H9" s="61" t="e">
        <f t="shared" si="1"/>
        <v>#REF!</v>
      </c>
      <c r="I9" s="62" t="e">
        <f>#REF!</f>
        <v>#REF!</v>
      </c>
      <c r="J9" s="61" t="e">
        <f>IF(I9&gt;0,Pricing!E9*$K$5,0)</f>
        <v>#REF!</v>
      </c>
      <c r="K9" s="63" t="e">
        <f t="shared" si="2"/>
        <v>#REF!</v>
      </c>
      <c r="L9" s="64" t="e">
        <f>#REF!</f>
        <v>#REF!</v>
      </c>
      <c r="M9" s="61" t="e">
        <f>IF(L9&lt;0,Pricing!E9*$N$5,0)</f>
        <v>#REF!</v>
      </c>
      <c r="N9" s="61" t="e">
        <f t="shared" si="3"/>
        <v>#REF!</v>
      </c>
      <c r="O9" s="60" t="e">
        <f>#REF!</f>
        <v>#REF!</v>
      </c>
      <c r="P9" s="61" t="e">
        <f>IF(O9&lt;0,Pricing!E9*$Q$5,0)</f>
        <v>#REF!</v>
      </c>
      <c r="Q9" s="61" t="e">
        <f t="shared" si="4"/>
        <v>#REF!</v>
      </c>
      <c r="R9" s="60" t="e">
        <f>#REF!</f>
        <v>#REF!</v>
      </c>
      <c r="S9" s="61" t="e">
        <f>IF(R9&lt;0,Pricing!E9*$T$5,0)</f>
        <v>#REF!</v>
      </c>
      <c r="T9" s="61" t="e">
        <f t="shared" si="5"/>
        <v>#REF!</v>
      </c>
    </row>
    <row r="10" spans="1:20" x14ac:dyDescent="0.25">
      <c r="A10" s="58">
        <f t="shared" si="6"/>
        <v>44531.124999999993</v>
      </c>
      <c r="B10" s="59">
        <f t="shared" si="7"/>
        <v>44531.166666666657</v>
      </c>
      <c r="C10" s="60" t="e">
        <f>#REF!</f>
        <v>#REF!</v>
      </c>
      <c r="D10" s="61" t="e">
        <f>IF(C10&gt;0,Pricing!E10*$E$5,0)</f>
        <v>#REF!</v>
      </c>
      <c r="E10" s="61" t="e">
        <f t="shared" si="0"/>
        <v>#REF!</v>
      </c>
      <c r="F10" s="60" t="e">
        <f>#REF!</f>
        <v>#REF!</v>
      </c>
      <c r="G10" s="61" t="e">
        <f>IF(F10&gt;0,Pricing!E10*$H$5,0)</f>
        <v>#REF!</v>
      </c>
      <c r="H10" s="61" t="e">
        <f t="shared" si="1"/>
        <v>#REF!</v>
      </c>
      <c r="I10" s="62" t="e">
        <f>#REF!</f>
        <v>#REF!</v>
      </c>
      <c r="J10" s="61" t="e">
        <f>IF(I10&gt;0,Pricing!E10*$K$5,0)</f>
        <v>#REF!</v>
      </c>
      <c r="K10" s="63" t="e">
        <f t="shared" si="2"/>
        <v>#REF!</v>
      </c>
      <c r="L10" s="64" t="e">
        <f>#REF!</f>
        <v>#REF!</v>
      </c>
      <c r="M10" s="61" t="e">
        <f>IF(L10&lt;0,Pricing!E10*$N$5,0)</f>
        <v>#REF!</v>
      </c>
      <c r="N10" s="61" t="e">
        <f t="shared" si="3"/>
        <v>#REF!</v>
      </c>
      <c r="O10" s="60" t="e">
        <f>#REF!</f>
        <v>#REF!</v>
      </c>
      <c r="P10" s="61" t="e">
        <f>IF(O10&lt;0,Pricing!E10*$Q$5,0)</f>
        <v>#REF!</v>
      </c>
      <c r="Q10" s="61" t="e">
        <f t="shared" si="4"/>
        <v>#REF!</v>
      </c>
      <c r="R10" s="60" t="e">
        <f>#REF!</f>
        <v>#REF!</v>
      </c>
      <c r="S10" s="61" t="e">
        <f>IF(R10&lt;0,Pricing!E10*$T$5,0)</f>
        <v>#REF!</v>
      </c>
      <c r="T10" s="61" t="e">
        <f t="shared" si="5"/>
        <v>#REF!</v>
      </c>
    </row>
    <row r="11" spans="1:20" x14ac:dyDescent="0.25">
      <c r="A11" s="58">
        <f t="shared" si="6"/>
        <v>44531.166666666657</v>
      </c>
      <c r="B11" s="59">
        <f t="shared" si="7"/>
        <v>44531.208333333321</v>
      </c>
      <c r="C11" s="60" t="e">
        <f>#REF!</f>
        <v>#REF!</v>
      </c>
      <c r="D11" s="61" t="e">
        <f>IF(C11&gt;0,Pricing!E11*$E$5,0)</f>
        <v>#REF!</v>
      </c>
      <c r="E11" s="61" t="e">
        <f t="shared" si="0"/>
        <v>#REF!</v>
      </c>
      <c r="F11" s="60" t="e">
        <f>#REF!</f>
        <v>#REF!</v>
      </c>
      <c r="G11" s="61" t="e">
        <f>IF(F11&gt;0,Pricing!E11*$H$5,0)</f>
        <v>#REF!</v>
      </c>
      <c r="H11" s="61" t="e">
        <f t="shared" si="1"/>
        <v>#REF!</v>
      </c>
      <c r="I11" s="62" t="e">
        <f>#REF!</f>
        <v>#REF!</v>
      </c>
      <c r="J11" s="61" t="e">
        <f>IF(I11&gt;0,Pricing!E11*$K$5,0)</f>
        <v>#REF!</v>
      </c>
      <c r="K11" s="63" t="e">
        <f t="shared" si="2"/>
        <v>#REF!</v>
      </c>
      <c r="L11" s="64" t="e">
        <f>#REF!</f>
        <v>#REF!</v>
      </c>
      <c r="M11" s="61" t="e">
        <f>IF(L11&lt;0,Pricing!E11*$N$5,0)</f>
        <v>#REF!</v>
      </c>
      <c r="N11" s="61" t="e">
        <f t="shared" si="3"/>
        <v>#REF!</v>
      </c>
      <c r="O11" s="60" t="e">
        <f>#REF!</f>
        <v>#REF!</v>
      </c>
      <c r="P11" s="61" t="e">
        <f>IF(O11&lt;0,Pricing!E11*$Q$5,0)</f>
        <v>#REF!</v>
      </c>
      <c r="Q11" s="61" t="e">
        <f t="shared" si="4"/>
        <v>#REF!</v>
      </c>
      <c r="R11" s="60" t="e">
        <f>#REF!</f>
        <v>#REF!</v>
      </c>
      <c r="S11" s="61" t="e">
        <f>IF(R11&lt;0,Pricing!E11*$T$5,0)</f>
        <v>#REF!</v>
      </c>
      <c r="T11" s="61" t="e">
        <f t="shared" si="5"/>
        <v>#REF!</v>
      </c>
    </row>
    <row r="12" spans="1:20" x14ac:dyDescent="0.25">
      <c r="A12" s="58">
        <f t="shared" si="6"/>
        <v>44531.208333333321</v>
      </c>
      <c r="B12" s="59">
        <f t="shared" si="7"/>
        <v>44531.249999999985</v>
      </c>
      <c r="C12" s="60" t="e">
        <f>#REF!</f>
        <v>#REF!</v>
      </c>
      <c r="D12" s="61" t="e">
        <f>IF(C12&gt;0,Pricing!E12*$E$5,0)</f>
        <v>#REF!</v>
      </c>
      <c r="E12" s="61" t="e">
        <f t="shared" si="0"/>
        <v>#REF!</v>
      </c>
      <c r="F12" s="60" t="e">
        <f>#REF!</f>
        <v>#REF!</v>
      </c>
      <c r="G12" s="61" t="e">
        <f>IF(F12&gt;0,Pricing!E12*$H$5,0)</f>
        <v>#REF!</v>
      </c>
      <c r="H12" s="61" t="e">
        <f t="shared" si="1"/>
        <v>#REF!</v>
      </c>
      <c r="I12" s="62" t="e">
        <f>#REF!</f>
        <v>#REF!</v>
      </c>
      <c r="J12" s="61" t="e">
        <f>IF(I12&gt;0,Pricing!E12*$K$5,0)</f>
        <v>#REF!</v>
      </c>
      <c r="K12" s="63" t="e">
        <f t="shared" si="2"/>
        <v>#REF!</v>
      </c>
      <c r="L12" s="64" t="e">
        <f>#REF!</f>
        <v>#REF!</v>
      </c>
      <c r="M12" s="61" t="e">
        <f>IF(L12&lt;0,Pricing!E12*$N$5,0)</f>
        <v>#REF!</v>
      </c>
      <c r="N12" s="61" t="e">
        <f t="shared" si="3"/>
        <v>#REF!</v>
      </c>
      <c r="O12" s="60" t="e">
        <f>#REF!</f>
        <v>#REF!</v>
      </c>
      <c r="P12" s="61" t="e">
        <f>IF(O12&lt;0,Pricing!E12*$Q$5,0)</f>
        <v>#REF!</v>
      </c>
      <c r="Q12" s="61" t="e">
        <f t="shared" si="4"/>
        <v>#REF!</v>
      </c>
      <c r="R12" s="60" t="e">
        <f>#REF!</f>
        <v>#REF!</v>
      </c>
      <c r="S12" s="61" t="e">
        <f>IF(R12&lt;0,Pricing!E12*$T$5,0)</f>
        <v>#REF!</v>
      </c>
      <c r="T12" s="61" t="e">
        <f t="shared" si="5"/>
        <v>#REF!</v>
      </c>
    </row>
    <row r="13" spans="1:20" x14ac:dyDescent="0.25">
      <c r="A13" s="58">
        <f t="shared" si="6"/>
        <v>44531.249999999985</v>
      </c>
      <c r="B13" s="59">
        <f t="shared" si="7"/>
        <v>44531.29166666665</v>
      </c>
      <c r="C13" s="60" t="e">
        <f>#REF!</f>
        <v>#REF!</v>
      </c>
      <c r="D13" s="61" t="e">
        <f>IF(C13&gt;0,Pricing!E13*$E$5,0)</f>
        <v>#REF!</v>
      </c>
      <c r="E13" s="61" t="e">
        <f t="shared" si="0"/>
        <v>#REF!</v>
      </c>
      <c r="F13" s="60" t="e">
        <f>#REF!</f>
        <v>#REF!</v>
      </c>
      <c r="G13" s="61" t="e">
        <f>IF(F13&gt;0,Pricing!E13*$H$5,0)</f>
        <v>#REF!</v>
      </c>
      <c r="H13" s="61" t="e">
        <f t="shared" si="1"/>
        <v>#REF!</v>
      </c>
      <c r="I13" s="62" t="e">
        <f>#REF!</f>
        <v>#REF!</v>
      </c>
      <c r="J13" s="61" t="e">
        <f>IF(I13&gt;0,Pricing!E13*$K$5,0)</f>
        <v>#REF!</v>
      </c>
      <c r="K13" s="63" t="e">
        <f t="shared" si="2"/>
        <v>#REF!</v>
      </c>
      <c r="L13" s="64" t="e">
        <f>#REF!</f>
        <v>#REF!</v>
      </c>
      <c r="M13" s="61" t="e">
        <f>IF(L13&lt;0,Pricing!E13*$N$5,0)</f>
        <v>#REF!</v>
      </c>
      <c r="N13" s="61" t="e">
        <f t="shared" si="3"/>
        <v>#REF!</v>
      </c>
      <c r="O13" s="60" t="e">
        <f>#REF!</f>
        <v>#REF!</v>
      </c>
      <c r="P13" s="61" t="e">
        <f>IF(O13&lt;0,Pricing!E13*$Q$5,0)</f>
        <v>#REF!</v>
      </c>
      <c r="Q13" s="61" t="e">
        <f t="shared" si="4"/>
        <v>#REF!</v>
      </c>
      <c r="R13" s="60" t="e">
        <f>#REF!</f>
        <v>#REF!</v>
      </c>
      <c r="S13" s="61" t="e">
        <f>IF(R13&lt;0,Pricing!E13*$T$5,0)</f>
        <v>#REF!</v>
      </c>
      <c r="T13" s="61" t="e">
        <f t="shared" si="5"/>
        <v>#REF!</v>
      </c>
    </row>
    <row r="14" spans="1:20" x14ac:dyDescent="0.25">
      <c r="A14" s="58">
        <f t="shared" si="6"/>
        <v>44531.29166666665</v>
      </c>
      <c r="B14" s="59">
        <f t="shared" si="7"/>
        <v>44531.333333333314</v>
      </c>
      <c r="C14" s="60" t="e">
        <f>#REF!</f>
        <v>#REF!</v>
      </c>
      <c r="D14" s="61" t="e">
        <f>IF(C14&gt;0,Pricing!E14*$E$5,0)</f>
        <v>#REF!</v>
      </c>
      <c r="E14" s="61" t="e">
        <f t="shared" si="0"/>
        <v>#REF!</v>
      </c>
      <c r="F14" s="60" t="e">
        <f>#REF!</f>
        <v>#REF!</v>
      </c>
      <c r="G14" s="61" t="e">
        <f>IF(F14&gt;0,Pricing!E14*$H$5,0)</f>
        <v>#REF!</v>
      </c>
      <c r="H14" s="61" t="e">
        <f t="shared" si="1"/>
        <v>#REF!</v>
      </c>
      <c r="I14" s="62" t="e">
        <f>#REF!</f>
        <v>#REF!</v>
      </c>
      <c r="J14" s="61" t="e">
        <f>IF(I14&gt;0,Pricing!E14*$K$5,0)</f>
        <v>#REF!</v>
      </c>
      <c r="K14" s="63" t="e">
        <f t="shared" si="2"/>
        <v>#REF!</v>
      </c>
      <c r="L14" s="64" t="e">
        <f>#REF!</f>
        <v>#REF!</v>
      </c>
      <c r="M14" s="61" t="e">
        <f>IF(L14&lt;0,Pricing!E14*$N$5,0)</f>
        <v>#REF!</v>
      </c>
      <c r="N14" s="61" t="e">
        <f t="shared" si="3"/>
        <v>#REF!</v>
      </c>
      <c r="O14" s="60" t="e">
        <f>#REF!</f>
        <v>#REF!</v>
      </c>
      <c r="P14" s="61" t="e">
        <f>IF(O14&lt;0,Pricing!E14*$Q$5,0)</f>
        <v>#REF!</v>
      </c>
      <c r="Q14" s="61" t="e">
        <f t="shared" si="4"/>
        <v>#REF!</v>
      </c>
      <c r="R14" s="60" t="e">
        <f>#REF!</f>
        <v>#REF!</v>
      </c>
      <c r="S14" s="61" t="e">
        <f>IF(R14&lt;0,Pricing!E14*$T$5,0)</f>
        <v>#REF!</v>
      </c>
      <c r="T14" s="61" t="e">
        <f t="shared" si="5"/>
        <v>#REF!</v>
      </c>
    </row>
    <row r="15" spans="1:20" x14ac:dyDescent="0.25">
      <c r="A15" s="58">
        <f t="shared" si="6"/>
        <v>44531.333333333314</v>
      </c>
      <c r="B15" s="59">
        <f t="shared" si="7"/>
        <v>44531.374999999978</v>
      </c>
      <c r="C15" s="60" t="e">
        <f>#REF!</f>
        <v>#REF!</v>
      </c>
      <c r="D15" s="61" t="e">
        <f>IF(C15&gt;0,Pricing!E15*$E$5,0)</f>
        <v>#REF!</v>
      </c>
      <c r="E15" s="61" t="e">
        <f t="shared" si="0"/>
        <v>#REF!</v>
      </c>
      <c r="F15" s="60" t="e">
        <f>#REF!</f>
        <v>#REF!</v>
      </c>
      <c r="G15" s="61" t="e">
        <f>IF(F15&gt;0,Pricing!E15*$H$5,0)</f>
        <v>#REF!</v>
      </c>
      <c r="H15" s="61" t="e">
        <f t="shared" si="1"/>
        <v>#REF!</v>
      </c>
      <c r="I15" s="62" t="e">
        <f>#REF!</f>
        <v>#REF!</v>
      </c>
      <c r="J15" s="61" t="e">
        <f>IF(I15&gt;0,Pricing!E15*$K$5,0)</f>
        <v>#REF!</v>
      </c>
      <c r="K15" s="63" t="e">
        <f t="shared" si="2"/>
        <v>#REF!</v>
      </c>
      <c r="L15" s="64" t="e">
        <f>#REF!</f>
        <v>#REF!</v>
      </c>
      <c r="M15" s="61" t="e">
        <f>IF(L15&lt;0,Pricing!E15*$N$5,0)</f>
        <v>#REF!</v>
      </c>
      <c r="N15" s="61" t="e">
        <f t="shared" si="3"/>
        <v>#REF!</v>
      </c>
      <c r="O15" s="60" t="e">
        <f>#REF!</f>
        <v>#REF!</v>
      </c>
      <c r="P15" s="61" t="e">
        <f>IF(O15&lt;0,Pricing!E15*$Q$5,0)</f>
        <v>#REF!</v>
      </c>
      <c r="Q15" s="61" t="e">
        <f t="shared" si="4"/>
        <v>#REF!</v>
      </c>
      <c r="R15" s="60" t="e">
        <f>#REF!</f>
        <v>#REF!</v>
      </c>
      <c r="S15" s="61" t="e">
        <f>IF(R15&lt;0,Pricing!E15*$T$5,0)</f>
        <v>#REF!</v>
      </c>
      <c r="T15" s="61" t="e">
        <f t="shared" si="5"/>
        <v>#REF!</v>
      </c>
    </row>
    <row r="16" spans="1:20" x14ac:dyDescent="0.25">
      <c r="A16" s="58">
        <f t="shared" si="6"/>
        <v>44531.374999999978</v>
      </c>
      <c r="B16" s="59">
        <f t="shared" si="7"/>
        <v>44531.416666666642</v>
      </c>
      <c r="C16" s="60" t="e">
        <f>#REF!</f>
        <v>#REF!</v>
      </c>
      <c r="D16" s="61" t="e">
        <f>IF(C16&gt;0,Pricing!E16*$E$5,0)</f>
        <v>#REF!</v>
      </c>
      <c r="E16" s="61" t="e">
        <f t="shared" si="0"/>
        <v>#REF!</v>
      </c>
      <c r="F16" s="60" t="e">
        <f>#REF!</f>
        <v>#REF!</v>
      </c>
      <c r="G16" s="61" t="e">
        <f>IF(F16&gt;0,Pricing!E16*$H$5,0)</f>
        <v>#REF!</v>
      </c>
      <c r="H16" s="61" t="e">
        <f t="shared" si="1"/>
        <v>#REF!</v>
      </c>
      <c r="I16" s="62" t="e">
        <f>#REF!</f>
        <v>#REF!</v>
      </c>
      <c r="J16" s="61" t="e">
        <f>IF(I16&gt;0,Pricing!E16*$K$5,0)</f>
        <v>#REF!</v>
      </c>
      <c r="K16" s="63" t="e">
        <f t="shared" si="2"/>
        <v>#REF!</v>
      </c>
      <c r="L16" s="64" t="e">
        <f>#REF!</f>
        <v>#REF!</v>
      </c>
      <c r="M16" s="61" t="e">
        <f>IF(L16&lt;0,Pricing!E16*$N$5,0)</f>
        <v>#REF!</v>
      </c>
      <c r="N16" s="61" t="e">
        <f t="shared" si="3"/>
        <v>#REF!</v>
      </c>
      <c r="O16" s="60" t="e">
        <f>#REF!</f>
        <v>#REF!</v>
      </c>
      <c r="P16" s="61" t="e">
        <f>IF(O16&lt;0,Pricing!E16*$Q$5,0)</f>
        <v>#REF!</v>
      </c>
      <c r="Q16" s="61" t="e">
        <f t="shared" si="4"/>
        <v>#REF!</v>
      </c>
      <c r="R16" s="60" t="e">
        <f>#REF!</f>
        <v>#REF!</v>
      </c>
      <c r="S16" s="61" t="e">
        <f>IF(R16&lt;0,Pricing!E16*$T$5,0)</f>
        <v>#REF!</v>
      </c>
      <c r="T16" s="61" t="e">
        <f t="shared" si="5"/>
        <v>#REF!</v>
      </c>
    </row>
    <row r="17" spans="1:20" x14ac:dyDescent="0.25">
      <c r="A17" s="58">
        <f t="shared" si="6"/>
        <v>44531.416666666642</v>
      </c>
      <c r="B17" s="59">
        <f t="shared" si="7"/>
        <v>44531.458333333307</v>
      </c>
      <c r="C17" s="60" t="e">
        <f>#REF!</f>
        <v>#REF!</v>
      </c>
      <c r="D17" s="61" t="e">
        <f>IF(C17&gt;0,Pricing!E17*$E$5,0)</f>
        <v>#REF!</v>
      </c>
      <c r="E17" s="61" t="e">
        <f t="shared" si="0"/>
        <v>#REF!</v>
      </c>
      <c r="F17" s="60" t="e">
        <f>#REF!</f>
        <v>#REF!</v>
      </c>
      <c r="G17" s="61" t="e">
        <f>IF(F17&gt;0,Pricing!E17*$H$5,0)</f>
        <v>#REF!</v>
      </c>
      <c r="H17" s="61" t="e">
        <f t="shared" si="1"/>
        <v>#REF!</v>
      </c>
      <c r="I17" s="62" t="e">
        <f>#REF!</f>
        <v>#REF!</v>
      </c>
      <c r="J17" s="61" t="e">
        <f>IF(I17&gt;0,Pricing!E17*$K$5,0)</f>
        <v>#REF!</v>
      </c>
      <c r="K17" s="63" t="e">
        <f t="shared" si="2"/>
        <v>#REF!</v>
      </c>
      <c r="L17" s="64" t="e">
        <f>#REF!</f>
        <v>#REF!</v>
      </c>
      <c r="M17" s="61" t="e">
        <f>IF(L17&lt;0,Pricing!E17*$N$5,0)</f>
        <v>#REF!</v>
      </c>
      <c r="N17" s="61" t="e">
        <f t="shared" si="3"/>
        <v>#REF!</v>
      </c>
      <c r="O17" s="60" t="e">
        <f>#REF!</f>
        <v>#REF!</v>
      </c>
      <c r="P17" s="61" t="e">
        <f>IF(O17&lt;0,Pricing!E17*$Q$5,0)</f>
        <v>#REF!</v>
      </c>
      <c r="Q17" s="61" t="e">
        <f t="shared" si="4"/>
        <v>#REF!</v>
      </c>
      <c r="R17" s="60" t="e">
        <f>#REF!</f>
        <v>#REF!</v>
      </c>
      <c r="S17" s="61" t="e">
        <f>IF(R17&lt;0,Pricing!E17*$T$5,0)</f>
        <v>#REF!</v>
      </c>
      <c r="T17" s="61" t="e">
        <f t="shared" si="5"/>
        <v>#REF!</v>
      </c>
    </row>
    <row r="18" spans="1:20" x14ac:dyDescent="0.25">
      <c r="A18" s="58">
        <f t="shared" si="6"/>
        <v>44531.458333333307</v>
      </c>
      <c r="B18" s="59">
        <f t="shared" si="7"/>
        <v>44531.499999999971</v>
      </c>
      <c r="C18" s="60" t="e">
        <f>#REF!</f>
        <v>#REF!</v>
      </c>
      <c r="D18" s="61" t="e">
        <f>IF(C18&gt;0,Pricing!E18*$E$5,0)</f>
        <v>#REF!</v>
      </c>
      <c r="E18" s="61" t="e">
        <f t="shared" si="0"/>
        <v>#REF!</v>
      </c>
      <c r="F18" s="60" t="e">
        <f>#REF!</f>
        <v>#REF!</v>
      </c>
      <c r="G18" s="61" t="e">
        <f>IF(F18&gt;0,Pricing!E18*$H$5,0)</f>
        <v>#REF!</v>
      </c>
      <c r="H18" s="61" t="e">
        <f t="shared" si="1"/>
        <v>#REF!</v>
      </c>
      <c r="I18" s="62" t="e">
        <f>#REF!</f>
        <v>#REF!</v>
      </c>
      <c r="J18" s="61" t="e">
        <f>IF(I18&gt;0,Pricing!E18*$K$5,0)</f>
        <v>#REF!</v>
      </c>
      <c r="K18" s="63" t="e">
        <f t="shared" si="2"/>
        <v>#REF!</v>
      </c>
      <c r="L18" s="64" t="e">
        <f>#REF!</f>
        <v>#REF!</v>
      </c>
      <c r="M18" s="61" t="e">
        <f>IF(L18&lt;0,Pricing!E18*$N$5,0)</f>
        <v>#REF!</v>
      </c>
      <c r="N18" s="61" t="e">
        <f t="shared" si="3"/>
        <v>#REF!</v>
      </c>
      <c r="O18" s="60" t="e">
        <f>#REF!</f>
        <v>#REF!</v>
      </c>
      <c r="P18" s="61" t="e">
        <f>IF(O18&lt;0,Pricing!E18*$Q$5,0)</f>
        <v>#REF!</v>
      </c>
      <c r="Q18" s="61" t="e">
        <f t="shared" si="4"/>
        <v>#REF!</v>
      </c>
      <c r="R18" s="60" t="e">
        <f>#REF!</f>
        <v>#REF!</v>
      </c>
      <c r="S18" s="61" t="e">
        <f>IF(R18&lt;0,Pricing!E18*$T$5,0)</f>
        <v>#REF!</v>
      </c>
      <c r="T18" s="61" t="e">
        <f t="shared" si="5"/>
        <v>#REF!</v>
      </c>
    </row>
    <row r="19" spans="1:20" x14ac:dyDescent="0.25">
      <c r="A19" s="58">
        <f t="shared" si="6"/>
        <v>44531.499999999971</v>
      </c>
      <c r="B19" s="59">
        <f t="shared" si="7"/>
        <v>44531.541666666635</v>
      </c>
      <c r="C19" s="60" t="e">
        <f>#REF!</f>
        <v>#REF!</v>
      </c>
      <c r="D19" s="61" t="e">
        <f>IF(C19&gt;0,Pricing!E19*$E$5,0)</f>
        <v>#REF!</v>
      </c>
      <c r="E19" s="61" t="e">
        <f t="shared" si="0"/>
        <v>#REF!</v>
      </c>
      <c r="F19" s="60" t="e">
        <f>#REF!</f>
        <v>#REF!</v>
      </c>
      <c r="G19" s="61" t="e">
        <f>IF(F19&gt;0,Pricing!E19*$H$5,0)</f>
        <v>#REF!</v>
      </c>
      <c r="H19" s="61" t="e">
        <f t="shared" si="1"/>
        <v>#REF!</v>
      </c>
      <c r="I19" s="62" t="e">
        <f>#REF!</f>
        <v>#REF!</v>
      </c>
      <c r="J19" s="61" t="e">
        <f>IF(I19&gt;0,Pricing!E19*$K$5,0)</f>
        <v>#REF!</v>
      </c>
      <c r="K19" s="63" t="e">
        <f t="shared" si="2"/>
        <v>#REF!</v>
      </c>
      <c r="L19" s="64" t="e">
        <f>#REF!</f>
        <v>#REF!</v>
      </c>
      <c r="M19" s="61" t="e">
        <f>IF(L19&lt;0,Pricing!E19*$N$5,0)</f>
        <v>#REF!</v>
      </c>
      <c r="N19" s="61" t="e">
        <f t="shared" si="3"/>
        <v>#REF!</v>
      </c>
      <c r="O19" s="60" t="e">
        <f>#REF!</f>
        <v>#REF!</v>
      </c>
      <c r="P19" s="61" t="e">
        <f>IF(O19&lt;0,Pricing!E19*$Q$5,0)</f>
        <v>#REF!</v>
      </c>
      <c r="Q19" s="61" t="e">
        <f t="shared" si="4"/>
        <v>#REF!</v>
      </c>
      <c r="R19" s="60" t="e">
        <f>#REF!</f>
        <v>#REF!</v>
      </c>
      <c r="S19" s="61" t="e">
        <f>IF(R19&lt;0,Pricing!E19*$T$5,0)</f>
        <v>#REF!</v>
      </c>
      <c r="T19" s="61" t="e">
        <f t="shared" si="5"/>
        <v>#REF!</v>
      </c>
    </row>
    <row r="20" spans="1:20" x14ac:dyDescent="0.25">
      <c r="A20" s="58">
        <f t="shared" si="6"/>
        <v>44531.541666666635</v>
      </c>
      <c r="B20" s="59">
        <f t="shared" si="7"/>
        <v>44531.583333333299</v>
      </c>
      <c r="C20" s="60" t="e">
        <f>#REF!</f>
        <v>#REF!</v>
      </c>
      <c r="D20" s="61" t="e">
        <f>IF(C20&gt;0,Pricing!E20*$E$5,0)</f>
        <v>#REF!</v>
      </c>
      <c r="E20" s="61" t="e">
        <f t="shared" si="0"/>
        <v>#REF!</v>
      </c>
      <c r="F20" s="60" t="e">
        <f>#REF!</f>
        <v>#REF!</v>
      </c>
      <c r="G20" s="61" t="e">
        <f>IF(F20&gt;0,Pricing!E20*$H$5,0)</f>
        <v>#REF!</v>
      </c>
      <c r="H20" s="61" t="e">
        <f t="shared" si="1"/>
        <v>#REF!</v>
      </c>
      <c r="I20" s="62" t="e">
        <f>#REF!</f>
        <v>#REF!</v>
      </c>
      <c r="J20" s="61" t="e">
        <f>IF(I20&gt;0,Pricing!E20*$K$5,0)</f>
        <v>#REF!</v>
      </c>
      <c r="K20" s="63" t="e">
        <f t="shared" si="2"/>
        <v>#REF!</v>
      </c>
      <c r="L20" s="64" t="e">
        <f>#REF!</f>
        <v>#REF!</v>
      </c>
      <c r="M20" s="61" t="e">
        <f>IF(L20&lt;0,Pricing!E20*$N$5,0)</f>
        <v>#REF!</v>
      </c>
      <c r="N20" s="61" t="e">
        <f t="shared" si="3"/>
        <v>#REF!</v>
      </c>
      <c r="O20" s="60" t="e">
        <f>#REF!</f>
        <v>#REF!</v>
      </c>
      <c r="P20" s="61" t="e">
        <f>IF(O20&lt;0,Pricing!E20*$Q$5,0)</f>
        <v>#REF!</v>
      </c>
      <c r="Q20" s="61" t="e">
        <f t="shared" si="4"/>
        <v>#REF!</v>
      </c>
      <c r="R20" s="60" t="e">
        <f>#REF!</f>
        <v>#REF!</v>
      </c>
      <c r="S20" s="61" t="e">
        <f>IF(R20&lt;0,Pricing!E20*$T$5,0)</f>
        <v>#REF!</v>
      </c>
      <c r="T20" s="61" t="e">
        <f t="shared" si="5"/>
        <v>#REF!</v>
      </c>
    </row>
    <row r="21" spans="1:20" x14ac:dyDescent="0.25">
      <c r="A21" s="58">
        <f t="shared" si="6"/>
        <v>44531.583333333299</v>
      </c>
      <c r="B21" s="59">
        <f t="shared" si="7"/>
        <v>44531.624999999964</v>
      </c>
      <c r="C21" s="60" t="e">
        <f>#REF!</f>
        <v>#REF!</v>
      </c>
      <c r="D21" s="61" t="e">
        <f>IF(C21&gt;0,Pricing!E21*$E$5,0)</f>
        <v>#REF!</v>
      </c>
      <c r="E21" s="61" t="e">
        <f t="shared" si="0"/>
        <v>#REF!</v>
      </c>
      <c r="F21" s="60" t="e">
        <f>#REF!</f>
        <v>#REF!</v>
      </c>
      <c r="G21" s="61" t="e">
        <f>IF(F21&gt;0,Pricing!E21*$H$5,0)</f>
        <v>#REF!</v>
      </c>
      <c r="H21" s="61" t="e">
        <f t="shared" si="1"/>
        <v>#REF!</v>
      </c>
      <c r="I21" s="62" t="e">
        <f>#REF!</f>
        <v>#REF!</v>
      </c>
      <c r="J21" s="61" t="e">
        <f>IF(I21&gt;0,Pricing!E21*$K$5,0)</f>
        <v>#REF!</v>
      </c>
      <c r="K21" s="63" t="e">
        <f t="shared" si="2"/>
        <v>#REF!</v>
      </c>
      <c r="L21" s="64" t="e">
        <f>#REF!</f>
        <v>#REF!</v>
      </c>
      <c r="M21" s="61" t="e">
        <f>IF(L21&lt;0,Pricing!E21*$N$5,0)</f>
        <v>#REF!</v>
      </c>
      <c r="N21" s="61" t="e">
        <f t="shared" si="3"/>
        <v>#REF!</v>
      </c>
      <c r="O21" s="60" t="e">
        <f>#REF!</f>
        <v>#REF!</v>
      </c>
      <c r="P21" s="61" t="e">
        <f>IF(O21&lt;0,Pricing!E21*$Q$5,0)</f>
        <v>#REF!</v>
      </c>
      <c r="Q21" s="61" t="e">
        <f t="shared" si="4"/>
        <v>#REF!</v>
      </c>
      <c r="R21" s="60" t="e">
        <f>#REF!</f>
        <v>#REF!</v>
      </c>
      <c r="S21" s="61" t="e">
        <f>IF(R21&lt;0,Pricing!E21*$T$5,0)</f>
        <v>#REF!</v>
      </c>
      <c r="T21" s="61" t="e">
        <f t="shared" si="5"/>
        <v>#REF!</v>
      </c>
    </row>
    <row r="22" spans="1:20" x14ac:dyDescent="0.25">
      <c r="A22" s="58">
        <f t="shared" si="6"/>
        <v>44531.624999999964</v>
      </c>
      <c r="B22" s="59">
        <f t="shared" si="7"/>
        <v>44531.666666666628</v>
      </c>
      <c r="C22" s="60" t="e">
        <f>#REF!</f>
        <v>#REF!</v>
      </c>
      <c r="D22" s="61" t="e">
        <f>IF(C22&gt;0,Pricing!E22*$E$5,0)</f>
        <v>#REF!</v>
      </c>
      <c r="E22" s="61" t="e">
        <f t="shared" si="0"/>
        <v>#REF!</v>
      </c>
      <c r="F22" s="60" t="e">
        <f>#REF!</f>
        <v>#REF!</v>
      </c>
      <c r="G22" s="61" t="e">
        <f>IF(F22&gt;0,Pricing!E22*$H$5,0)</f>
        <v>#REF!</v>
      </c>
      <c r="H22" s="61" t="e">
        <f t="shared" si="1"/>
        <v>#REF!</v>
      </c>
      <c r="I22" s="62" t="e">
        <f>#REF!</f>
        <v>#REF!</v>
      </c>
      <c r="J22" s="61" t="e">
        <f>IF(I22&gt;0,Pricing!E22*$K$5,0)</f>
        <v>#REF!</v>
      </c>
      <c r="K22" s="63" t="e">
        <f t="shared" si="2"/>
        <v>#REF!</v>
      </c>
      <c r="L22" s="64" t="e">
        <f>#REF!</f>
        <v>#REF!</v>
      </c>
      <c r="M22" s="61" t="e">
        <f>IF(L22&lt;0,Pricing!E22*$N$5,0)</f>
        <v>#REF!</v>
      </c>
      <c r="N22" s="61" t="e">
        <f t="shared" si="3"/>
        <v>#REF!</v>
      </c>
      <c r="O22" s="60" t="e">
        <f>#REF!</f>
        <v>#REF!</v>
      </c>
      <c r="P22" s="61" t="e">
        <f>IF(O22&lt;0,Pricing!E22*$Q$5,0)</f>
        <v>#REF!</v>
      </c>
      <c r="Q22" s="61" t="e">
        <f t="shared" si="4"/>
        <v>#REF!</v>
      </c>
      <c r="R22" s="60" t="e">
        <f>#REF!</f>
        <v>#REF!</v>
      </c>
      <c r="S22" s="61" t="e">
        <f>IF(R22&lt;0,Pricing!E22*$T$5,0)</f>
        <v>#REF!</v>
      </c>
      <c r="T22" s="61" t="e">
        <f t="shared" si="5"/>
        <v>#REF!</v>
      </c>
    </row>
    <row r="23" spans="1:20" x14ac:dyDescent="0.25">
      <c r="A23" s="58">
        <f t="shared" si="6"/>
        <v>44531.666666666628</v>
      </c>
      <c r="B23" s="59">
        <f t="shared" si="7"/>
        <v>44531.708333333292</v>
      </c>
      <c r="C23" s="60" t="e">
        <f>#REF!</f>
        <v>#REF!</v>
      </c>
      <c r="D23" s="61" t="e">
        <f>IF(C23&gt;0,Pricing!E23*$E$5,0)</f>
        <v>#REF!</v>
      </c>
      <c r="E23" s="61" t="e">
        <f t="shared" si="0"/>
        <v>#REF!</v>
      </c>
      <c r="F23" s="60" t="e">
        <f>#REF!</f>
        <v>#REF!</v>
      </c>
      <c r="G23" s="61" t="e">
        <f>IF(F23&gt;0,Pricing!E23*$H$5,0)</f>
        <v>#REF!</v>
      </c>
      <c r="H23" s="61" t="e">
        <f t="shared" si="1"/>
        <v>#REF!</v>
      </c>
      <c r="I23" s="62" t="e">
        <f>#REF!</f>
        <v>#REF!</v>
      </c>
      <c r="J23" s="61" t="e">
        <f>IF(I23&gt;0,Pricing!E23*$K$5,0)</f>
        <v>#REF!</v>
      </c>
      <c r="K23" s="63" t="e">
        <f t="shared" si="2"/>
        <v>#REF!</v>
      </c>
      <c r="L23" s="64" t="e">
        <f>#REF!</f>
        <v>#REF!</v>
      </c>
      <c r="M23" s="61" t="e">
        <f>IF(L23&lt;0,Pricing!E23*$N$5,0)</f>
        <v>#REF!</v>
      </c>
      <c r="N23" s="61" t="e">
        <f t="shared" si="3"/>
        <v>#REF!</v>
      </c>
      <c r="O23" s="60" t="e">
        <f>#REF!</f>
        <v>#REF!</v>
      </c>
      <c r="P23" s="61" t="e">
        <f>IF(O23&lt;0,Pricing!E23*$Q$5,0)</f>
        <v>#REF!</v>
      </c>
      <c r="Q23" s="61" t="e">
        <f t="shared" si="4"/>
        <v>#REF!</v>
      </c>
      <c r="R23" s="60" t="e">
        <f>#REF!</f>
        <v>#REF!</v>
      </c>
      <c r="S23" s="61" t="e">
        <f>IF(R23&lt;0,Pricing!E23*$T$5,0)</f>
        <v>#REF!</v>
      </c>
      <c r="T23" s="61" t="e">
        <f t="shared" si="5"/>
        <v>#REF!</v>
      </c>
    </row>
    <row r="24" spans="1:20" x14ac:dyDescent="0.25">
      <c r="A24" s="58">
        <f t="shared" si="6"/>
        <v>44531.708333333292</v>
      </c>
      <c r="B24" s="59">
        <f t="shared" si="7"/>
        <v>44531.749999999956</v>
      </c>
      <c r="C24" s="60" t="e">
        <f>#REF!</f>
        <v>#REF!</v>
      </c>
      <c r="D24" s="61" t="e">
        <f>IF(C24&gt;0,Pricing!E24*$E$5,0)</f>
        <v>#REF!</v>
      </c>
      <c r="E24" s="61" t="e">
        <f t="shared" si="0"/>
        <v>#REF!</v>
      </c>
      <c r="F24" s="60" t="e">
        <f>#REF!</f>
        <v>#REF!</v>
      </c>
      <c r="G24" s="61" t="e">
        <f>IF(F24&gt;0,Pricing!E24*$H$5,0)</f>
        <v>#REF!</v>
      </c>
      <c r="H24" s="61" t="e">
        <f t="shared" si="1"/>
        <v>#REF!</v>
      </c>
      <c r="I24" s="62" t="e">
        <f>#REF!</f>
        <v>#REF!</v>
      </c>
      <c r="J24" s="61" t="e">
        <f>IF(I24&gt;0,Pricing!E24*$K$5,0)</f>
        <v>#REF!</v>
      </c>
      <c r="K24" s="63" t="e">
        <f t="shared" si="2"/>
        <v>#REF!</v>
      </c>
      <c r="L24" s="64" t="e">
        <f>#REF!</f>
        <v>#REF!</v>
      </c>
      <c r="M24" s="61" t="e">
        <f>IF(L24&lt;0,Pricing!E24*$N$5,0)</f>
        <v>#REF!</v>
      </c>
      <c r="N24" s="61" t="e">
        <f t="shared" si="3"/>
        <v>#REF!</v>
      </c>
      <c r="O24" s="60" t="e">
        <f>#REF!</f>
        <v>#REF!</v>
      </c>
      <c r="P24" s="61" t="e">
        <f>IF(O24&lt;0,Pricing!E24*$Q$5,0)</f>
        <v>#REF!</v>
      </c>
      <c r="Q24" s="61" t="e">
        <f t="shared" si="4"/>
        <v>#REF!</v>
      </c>
      <c r="R24" s="60" t="e">
        <f>#REF!</f>
        <v>#REF!</v>
      </c>
      <c r="S24" s="61" t="e">
        <f>IF(R24&lt;0,Pricing!E24*$T$5,0)</f>
        <v>#REF!</v>
      </c>
      <c r="T24" s="61" t="e">
        <f t="shared" si="5"/>
        <v>#REF!</v>
      </c>
    </row>
    <row r="25" spans="1:20" x14ac:dyDescent="0.25">
      <c r="A25" s="58">
        <f t="shared" si="6"/>
        <v>44531.749999999956</v>
      </c>
      <c r="B25" s="59">
        <f t="shared" si="7"/>
        <v>44531.791666666621</v>
      </c>
      <c r="C25" s="60" t="e">
        <f>#REF!</f>
        <v>#REF!</v>
      </c>
      <c r="D25" s="61" t="e">
        <f>IF(C25&gt;0,Pricing!E25*$E$5,0)</f>
        <v>#REF!</v>
      </c>
      <c r="E25" s="61" t="e">
        <f t="shared" si="0"/>
        <v>#REF!</v>
      </c>
      <c r="F25" s="60" t="e">
        <f>#REF!</f>
        <v>#REF!</v>
      </c>
      <c r="G25" s="61" t="e">
        <f>IF(F25&gt;0,Pricing!E25*$H$5,0)</f>
        <v>#REF!</v>
      </c>
      <c r="H25" s="61" t="e">
        <f t="shared" si="1"/>
        <v>#REF!</v>
      </c>
      <c r="I25" s="62" t="e">
        <f>#REF!</f>
        <v>#REF!</v>
      </c>
      <c r="J25" s="61" t="e">
        <f>IF(I25&gt;0,Pricing!E25*$K$5,0)</f>
        <v>#REF!</v>
      </c>
      <c r="K25" s="63" t="e">
        <f t="shared" si="2"/>
        <v>#REF!</v>
      </c>
      <c r="L25" s="64" t="e">
        <f>#REF!</f>
        <v>#REF!</v>
      </c>
      <c r="M25" s="61" t="e">
        <f>IF(L25&lt;0,Pricing!E25*$N$5,0)</f>
        <v>#REF!</v>
      </c>
      <c r="N25" s="61" t="e">
        <f t="shared" si="3"/>
        <v>#REF!</v>
      </c>
      <c r="O25" s="60" t="e">
        <f>#REF!</f>
        <v>#REF!</v>
      </c>
      <c r="P25" s="61" t="e">
        <f>IF(O25&lt;0,Pricing!E25*$Q$5,0)</f>
        <v>#REF!</v>
      </c>
      <c r="Q25" s="61" t="e">
        <f t="shared" si="4"/>
        <v>#REF!</v>
      </c>
      <c r="R25" s="60" t="e">
        <f>#REF!</f>
        <v>#REF!</v>
      </c>
      <c r="S25" s="61" t="e">
        <f>IF(R25&lt;0,Pricing!E25*$T$5,0)</f>
        <v>#REF!</v>
      </c>
      <c r="T25" s="61" t="e">
        <f t="shared" si="5"/>
        <v>#REF!</v>
      </c>
    </row>
    <row r="26" spans="1:20" x14ac:dyDescent="0.25">
      <c r="A26" s="58">
        <f t="shared" si="6"/>
        <v>44531.791666666621</v>
      </c>
      <c r="B26" s="59">
        <f t="shared" si="7"/>
        <v>44531.833333333285</v>
      </c>
      <c r="C26" s="60" t="e">
        <f>#REF!</f>
        <v>#REF!</v>
      </c>
      <c r="D26" s="61" t="e">
        <f>IF(C26&gt;0,Pricing!E26*$E$5,0)</f>
        <v>#REF!</v>
      </c>
      <c r="E26" s="61" t="e">
        <f t="shared" si="0"/>
        <v>#REF!</v>
      </c>
      <c r="F26" s="60" t="e">
        <f>#REF!</f>
        <v>#REF!</v>
      </c>
      <c r="G26" s="61" t="e">
        <f>IF(F26&gt;0,Pricing!E26*$H$5,0)</f>
        <v>#REF!</v>
      </c>
      <c r="H26" s="61" t="e">
        <f t="shared" si="1"/>
        <v>#REF!</v>
      </c>
      <c r="I26" s="62" t="e">
        <f>#REF!</f>
        <v>#REF!</v>
      </c>
      <c r="J26" s="61" t="e">
        <f>IF(I26&gt;0,Pricing!E26*$K$5,0)</f>
        <v>#REF!</v>
      </c>
      <c r="K26" s="63" t="e">
        <f t="shared" si="2"/>
        <v>#REF!</v>
      </c>
      <c r="L26" s="64" t="e">
        <f>#REF!</f>
        <v>#REF!</v>
      </c>
      <c r="M26" s="61" t="e">
        <f>IF(L26&lt;0,Pricing!E26*$N$5,0)</f>
        <v>#REF!</v>
      </c>
      <c r="N26" s="61" t="e">
        <f t="shared" si="3"/>
        <v>#REF!</v>
      </c>
      <c r="O26" s="60" t="e">
        <f>#REF!</f>
        <v>#REF!</v>
      </c>
      <c r="P26" s="61" t="e">
        <f>IF(O26&lt;0,Pricing!E26*$Q$5,0)</f>
        <v>#REF!</v>
      </c>
      <c r="Q26" s="61" t="e">
        <f t="shared" si="4"/>
        <v>#REF!</v>
      </c>
      <c r="R26" s="60" t="e">
        <f>#REF!</f>
        <v>#REF!</v>
      </c>
      <c r="S26" s="61" t="e">
        <f>IF(R26&lt;0,Pricing!E26*$T$5,0)</f>
        <v>#REF!</v>
      </c>
      <c r="T26" s="61" t="e">
        <f t="shared" si="5"/>
        <v>#REF!</v>
      </c>
    </row>
    <row r="27" spans="1:20" x14ac:dyDescent="0.25">
      <c r="A27" s="58">
        <f t="shared" si="6"/>
        <v>44531.833333333285</v>
      </c>
      <c r="B27" s="59">
        <f t="shared" si="7"/>
        <v>44531.874999999949</v>
      </c>
      <c r="C27" s="60" t="e">
        <f>#REF!</f>
        <v>#REF!</v>
      </c>
      <c r="D27" s="61" t="e">
        <f>IF(C27&gt;0,Pricing!E27*$E$5,0)</f>
        <v>#REF!</v>
      </c>
      <c r="E27" s="61" t="e">
        <f t="shared" si="0"/>
        <v>#REF!</v>
      </c>
      <c r="F27" s="60" t="e">
        <f>#REF!</f>
        <v>#REF!</v>
      </c>
      <c r="G27" s="61" t="e">
        <f>IF(F27&gt;0,Pricing!E27*$H$5,0)</f>
        <v>#REF!</v>
      </c>
      <c r="H27" s="61" t="e">
        <f t="shared" si="1"/>
        <v>#REF!</v>
      </c>
      <c r="I27" s="62" t="e">
        <f>#REF!</f>
        <v>#REF!</v>
      </c>
      <c r="J27" s="61" t="e">
        <f>IF(I27&gt;0,Pricing!E27*$K$5,0)</f>
        <v>#REF!</v>
      </c>
      <c r="K27" s="63" t="e">
        <f t="shared" si="2"/>
        <v>#REF!</v>
      </c>
      <c r="L27" s="64" t="e">
        <f>#REF!</f>
        <v>#REF!</v>
      </c>
      <c r="M27" s="61" t="e">
        <f>IF(L27&lt;0,Pricing!E27*$N$5,0)</f>
        <v>#REF!</v>
      </c>
      <c r="N27" s="61" t="e">
        <f t="shared" si="3"/>
        <v>#REF!</v>
      </c>
      <c r="O27" s="60" t="e">
        <f>#REF!</f>
        <v>#REF!</v>
      </c>
      <c r="P27" s="61" t="e">
        <f>IF(O27&lt;0,Pricing!E27*$Q$5,0)</f>
        <v>#REF!</v>
      </c>
      <c r="Q27" s="61" t="e">
        <f t="shared" si="4"/>
        <v>#REF!</v>
      </c>
      <c r="R27" s="60" t="e">
        <f>#REF!</f>
        <v>#REF!</v>
      </c>
      <c r="S27" s="61" t="e">
        <f>IF(R27&lt;0,Pricing!E27*$T$5,0)</f>
        <v>#REF!</v>
      </c>
      <c r="T27" s="61" t="e">
        <f t="shared" si="5"/>
        <v>#REF!</v>
      </c>
    </row>
    <row r="28" spans="1:20" x14ac:dyDescent="0.25">
      <c r="A28" s="58">
        <f t="shared" si="6"/>
        <v>44531.874999999949</v>
      </c>
      <c r="B28" s="59">
        <f t="shared" si="7"/>
        <v>44531.916666666613</v>
      </c>
      <c r="C28" s="60" t="e">
        <f>#REF!</f>
        <v>#REF!</v>
      </c>
      <c r="D28" s="61" t="e">
        <f>IF(C28&gt;0,Pricing!E28*$E$5,0)</f>
        <v>#REF!</v>
      </c>
      <c r="E28" s="61" t="e">
        <f t="shared" si="0"/>
        <v>#REF!</v>
      </c>
      <c r="F28" s="60" t="e">
        <f>#REF!</f>
        <v>#REF!</v>
      </c>
      <c r="G28" s="61" t="e">
        <f>IF(F28&gt;0,Pricing!E28*$H$5,0)</f>
        <v>#REF!</v>
      </c>
      <c r="H28" s="61" t="e">
        <f t="shared" si="1"/>
        <v>#REF!</v>
      </c>
      <c r="I28" s="62" t="e">
        <f>#REF!</f>
        <v>#REF!</v>
      </c>
      <c r="J28" s="61" t="e">
        <f>IF(I28&gt;0,Pricing!E28*$K$5,0)</f>
        <v>#REF!</v>
      </c>
      <c r="K28" s="63" t="e">
        <f t="shared" si="2"/>
        <v>#REF!</v>
      </c>
      <c r="L28" s="64" t="e">
        <f>#REF!</f>
        <v>#REF!</v>
      </c>
      <c r="M28" s="61" t="e">
        <f>IF(L28&lt;0,Pricing!E28*$N$5,0)</f>
        <v>#REF!</v>
      </c>
      <c r="N28" s="61" t="e">
        <f t="shared" si="3"/>
        <v>#REF!</v>
      </c>
      <c r="O28" s="60" t="e">
        <f>#REF!</f>
        <v>#REF!</v>
      </c>
      <c r="P28" s="61" t="e">
        <f>IF(O28&lt;0,Pricing!E28*$Q$5,0)</f>
        <v>#REF!</v>
      </c>
      <c r="Q28" s="61" t="e">
        <f t="shared" si="4"/>
        <v>#REF!</v>
      </c>
      <c r="R28" s="60" t="e">
        <f>#REF!</f>
        <v>#REF!</v>
      </c>
      <c r="S28" s="61" t="e">
        <f>IF(R28&lt;0,Pricing!E28*$T$5,0)</f>
        <v>#REF!</v>
      </c>
      <c r="T28" s="61" t="e">
        <f t="shared" si="5"/>
        <v>#REF!</v>
      </c>
    </row>
    <row r="29" spans="1:20" x14ac:dyDescent="0.25">
      <c r="A29" s="58">
        <f t="shared" si="6"/>
        <v>44531.916666666613</v>
      </c>
      <c r="B29" s="59">
        <f t="shared" si="7"/>
        <v>44531.958333333278</v>
      </c>
      <c r="C29" s="60" t="e">
        <f>#REF!</f>
        <v>#REF!</v>
      </c>
      <c r="D29" s="61" t="e">
        <f>IF(C29&gt;0,Pricing!E29*$E$5,0)</f>
        <v>#REF!</v>
      </c>
      <c r="E29" s="61" t="e">
        <f t="shared" si="0"/>
        <v>#REF!</v>
      </c>
      <c r="F29" s="60" t="e">
        <f>#REF!</f>
        <v>#REF!</v>
      </c>
      <c r="G29" s="61" t="e">
        <f>IF(F29&gt;0,Pricing!E29*$H$5,0)</f>
        <v>#REF!</v>
      </c>
      <c r="H29" s="61" t="e">
        <f t="shared" si="1"/>
        <v>#REF!</v>
      </c>
      <c r="I29" s="62" t="e">
        <f>#REF!</f>
        <v>#REF!</v>
      </c>
      <c r="J29" s="61" t="e">
        <f>IF(I29&gt;0,Pricing!E29*$K$5,0)</f>
        <v>#REF!</v>
      </c>
      <c r="K29" s="63" t="e">
        <f t="shared" si="2"/>
        <v>#REF!</v>
      </c>
      <c r="L29" s="64" t="e">
        <f>#REF!</f>
        <v>#REF!</v>
      </c>
      <c r="M29" s="61" t="e">
        <f>IF(L29&lt;0,Pricing!E29*$N$5,0)</f>
        <v>#REF!</v>
      </c>
      <c r="N29" s="61" t="e">
        <f t="shared" si="3"/>
        <v>#REF!</v>
      </c>
      <c r="O29" s="60" t="e">
        <f>#REF!</f>
        <v>#REF!</v>
      </c>
      <c r="P29" s="61" t="e">
        <f>IF(O29&lt;0,Pricing!E29*$Q$5,0)</f>
        <v>#REF!</v>
      </c>
      <c r="Q29" s="61" t="e">
        <f t="shared" si="4"/>
        <v>#REF!</v>
      </c>
      <c r="R29" s="60" t="e">
        <f>#REF!</f>
        <v>#REF!</v>
      </c>
      <c r="S29" s="61" t="e">
        <f>IF(R29&lt;0,Pricing!E29*$T$5,0)</f>
        <v>#REF!</v>
      </c>
      <c r="T29" s="61" t="e">
        <f t="shared" si="5"/>
        <v>#REF!</v>
      </c>
    </row>
    <row r="30" spans="1:20" x14ac:dyDescent="0.25">
      <c r="A30" s="58">
        <f t="shared" si="6"/>
        <v>44531.958333333278</v>
      </c>
      <c r="B30" s="59">
        <f t="shared" si="7"/>
        <v>44531.999999999942</v>
      </c>
      <c r="C30" s="60" t="e">
        <f>#REF!</f>
        <v>#REF!</v>
      </c>
      <c r="D30" s="61" t="e">
        <f>IF(C30&gt;0,Pricing!E30*$E$5,0)</f>
        <v>#REF!</v>
      </c>
      <c r="E30" s="61" t="e">
        <f t="shared" si="0"/>
        <v>#REF!</v>
      </c>
      <c r="F30" s="60" t="e">
        <f>#REF!</f>
        <v>#REF!</v>
      </c>
      <c r="G30" s="61" t="e">
        <f>IF(F30&gt;0,Pricing!E30*$H$5,0)</f>
        <v>#REF!</v>
      </c>
      <c r="H30" s="61" t="e">
        <f t="shared" si="1"/>
        <v>#REF!</v>
      </c>
      <c r="I30" s="62" t="e">
        <f>#REF!</f>
        <v>#REF!</v>
      </c>
      <c r="J30" s="61" t="e">
        <f>IF(I30&gt;0,Pricing!E30*$K$5,0)</f>
        <v>#REF!</v>
      </c>
      <c r="K30" s="63" t="e">
        <f t="shared" si="2"/>
        <v>#REF!</v>
      </c>
      <c r="L30" s="64" t="e">
        <f>#REF!</f>
        <v>#REF!</v>
      </c>
      <c r="M30" s="61" t="e">
        <f>IF(L30&lt;0,Pricing!E30*$N$5,0)</f>
        <v>#REF!</v>
      </c>
      <c r="N30" s="61" t="e">
        <f t="shared" si="3"/>
        <v>#REF!</v>
      </c>
      <c r="O30" s="60" t="e">
        <f>#REF!</f>
        <v>#REF!</v>
      </c>
      <c r="P30" s="61" t="e">
        <f>IF(O30&lt;0,Pricing!E30*$Q$5,0)</f>
        <v>#REF!</v>
      </c>
      <c r="Q30" s="61" t="e">
        <f t="shared" si="4"/>
        <v>#REF!</v>
      </c>
      <c r="R30" s="60" t="e">
        <f>#REF!</f>
        <v>#REF!</v>
      </c>
      <c r="S30" s="61" t="e">
        <f>IF(R30&lt;0,Pricing!E30*$T$5,0)</f>
        <v>#REF!</v>
      </c>
      <c r="T30" s="61" t="e">
        <f t="shared" si="5"/>
        <v>#REF!</v>
      </c>
    </row>
    <row r="31" spans="1:20" x14ac:dyDescent="0.25">
      <c r="A31" s="58">
        <f t="shared" si="6"/>
        <v>44531.999999999942</v>
      </c>
      <c r="B31" s="59">
        <f t="shared" si="7"/>
        <v>44532.041666666606</v>
      </c>
      <c r="C31" s="60" t="e">
        <f>#REF!</f>
        <v>#REF!</v>
      </c>
      <c r="D31" s="61" t="e">
        <f>IF(C31&gt;0,Pricing!E31*$E$5,0)</f>
        <v>#REF!</v>
      </c>
      <c r="E31" s="61" t="e">
        <f t="shared" si="0"/>
        <v>#REF!</v>
      </c>
      <c r="F31" s="60" t="e">
        <f>#REF!</f>
        <v>#REF!</v>
      </c>
      <c r="G31" s="61" t="e">
        <f>IF(F31&gt;0,Pricing!E31*$H$5,0)</f>
        <v>#REF!</v>
      </c>
      <c r="H31" s="61" t="e">
        <f t="shared" si="1"/>
        <v>#REF!</v>
      </c>
      <c r="I31" s="62" t="e">
        <f>#REF!</f>
        <v>#REF!</v>
      </c>
      <c r="J31" s="61" t="e">
        <f>IF(I31&gt;0,Pricing!E31*$K$5,0)</f>
        <v>#REF!</v>
      </c>
      <c r="K31" s="63" t="e">
        <f t="shared" si="2"/>
        <v>#REF!</v>
      </c>
      <c r="L31" s="64" t="e">
        <f>#REF!</f>
        <v>#REF!</v>
      </c>
      <c r="M31" s="61" t="e">
        <f>IF(L31&lt;0,Pricing!E31*$N$5,0)</f>
        <v>#REF!</v>
      </c>
      <c r="N31" s="61" t="e">
        <f t="shared" si="3"/>
        <v>#REF!</v>
      </c>
      <c r="O31" s="60" t="e">
        <f>#REF!</f>
        <v>#REF!</v>
      </c>
      <c r="P31" s="61" t="e">
        <f>IF(O31&lt;0,Pricing!E31*$Q$5,0)</f>
        <v>#REF!</v>
      </c>
      <c r="Q31" s="61" t="e">
        <f t="shared" si="4"/>
        <v>#REF!</v>
      </c>
      <c r="R31" s="60" t="e">
        <f>#REF!</f>
        <v>#REF!</v>
      </c>
      <c r="S31" s="61" t="e">
        <f>IF(R31&lt;0,Pricing!E31*$T$5,0)</f>
        <v>#REF!</v>
      </c>
      <c r="T31" s="61" t="e">
        <f t="shared" si="5"/>
        <v>#REF!</v>
      </c>
    </row>
    <row r="32" spans="1:20" x14ac:dyDescent="0.25">
      <c r="A32" s="58">
        <f t="shared" si="6"/>
        <v>44532.041666666606</v>
      </c>
      <c r="B32" s="59">
        <f t="shared" si="7"/>
        <v>44532.08333333327</v>
      </c>
      <c r="C32" s="60" t="e">
        <f>#REF!</f>
        <v>#REF!</v>
      </c>
      <c r="D32" s="61" t="e">
        <f>IF(C32&gt;0,Pricing!E32*$E$5,0)</f>
        <v>#REF!</v>
      </c>
      <c r="E32" s="61" t="e">
        <f t="shared" si="0"/>
        <v>#REF!</v>
      </c>
      <c r="F32" s="60" t="e">
        <f>#REF!</f>
        <v>#REF!</v>
      </c>
      <c r="G32" s="61" t="e">
        <f>IF(F32&gt;0,Pricing!E32*$H$5,0)</f>
        <v>#REF!</v>
      </c>
      <c r="H32" s="61" t="e">
        <f t="shared" si="1"/>
        <v>#REF!</v>
      </c>
      <c r="I32" s="62" t="e">
        <f>#REF!</f>
        <v>#REF!</v>
      </c>
      <c r="J32" s="61" t="e">
        <f>IF(I32&gt;0,Pricing!E32*$K$5,0)</f>
        <v>#REF!</v>
      </c>
      <c r="K32" s="63" t="e">
        <f t="shared" si="2"/>
        <v>#REF!</v>
      </c>
      <c r="L32" s="64" t="e">
        <f>#REF!</f>
        <v>#REF!</v>
      </c>
      <c r="M32" s="61" t="e">
        <f>IF(L32&lt;0,Pricing!E32*$N$5,0)</f>
        <v>#REF!</v>
      </c>
      <c r="N32" s="61" t="e">
        <f t="shared" si="3"/>
        <v>#REF!</v>
      </c>
      <c r="O32" s="60" t="e">
        <f>#REF!</f>
        <v>#REF!</v>
      </c>
      <c r="P32" s="61" t="e">
        <f>IF(O32&lt;0,Pricing!E32*$Q$5,0)</f>
        <v>#REF!</v>
      </c>
      <c r="Q32" s="61" t="e">
        <f t="shared" si="4"/>
        <v>#REF!</v>
      </c>
      <c r="R32" s="60" t="e">
        <f>#REF!</f>
        <v>#REF!</v>
      </c>
      <c r="S32" s="61" t="e">
        <f>IF(R32&lt;0,Pricing!E32*$T$5,0)</f>
        <v>#REF!</v>
      </c>
      <c r="T32" s="61" t="e">
        <f t="shared" si="5"/>
        <v>#REF!</v>
      </c>
    </row>
    <row r="33" spans="1:20" x14ac:dyDescent="0.25">
      <c r="A33" s="58">
        <f t="shared" si="6"/>
        <v>44532.08333333327</v>
      </c>
      <c r="B33" s="59">
        <f t="shared" si="7"/>
        <v>44532.124999999935</v>
      </c>
      <c r="C33" s="60" t="e">
        <f>#REF!</f>
        <v>#REF!</v>
      </c>
      <c r="D33" s="61" t="e">
        <f>IF(C33&gt;0,Pricing!E33*$E$5,0)</f>
        <v>#REF!</v>
      </c>
      <c r="E33" s="61" t="e">
        <f t="shared" si="0"/>
        <v>#REF!</v>
      </c>
      <c r="F33" s="60" t="e">
        <f>#REF!</f>
        <v>#REF!</v>
      </c>
      <c r="G33" s="61" t="e">
        <f>IF(F33&gt;0,Pricing!E33*$H$5,0)</f>
        <v>#REF!</v>
      </c>
      <c r="H33" s="61" t="e">
        <f t="shared" si="1"/>
        <v>#REF!</v>
      </c>
      <c r="I33" s="62" t="e">
        <f>#REF!</f>
        <v>#REF!</v>
      </c>
      <c r="J33" s="61" t="e">
        <f>IF(I33&gt;0,Pricing!E33*$K$5,0)</f>
        <v>#REF!</v>
      </c>
      <c r="K33" s="63" t="e">
        <f t="shared" si="2"/>
        <v>#REF!</v>
      </c>
      <c r="L33" s="64" t="e">
        <f>#REF!</f>
        <v>#REF!</v>
      </c>
      <c r="M33" s="61" t="e">
        <f>IF(L33&lt;0,Pricing!E33*$N$5,0)</f>
        <v>#REF!</v>
      </c>
      <c r="N33" s="61" t="e">
        <f t="shared" si="3"/>
        <v>#REF!</v>
      </c>
      <c r="O33" s="60" t="e">
        <f>#REF!</f>
        <v>#REF!</v>
      </c>
      <c r="P33" s="61" t="e">
        <f>IF(O33&lt;0,Pricing!E33*$Q$5,0)</f>
        <v>#REF!</v>
      </c>
      <c r="Q33" s="61" t="e">
        <f t="shared" si="4"/>
        <v>#REF!</v>
      </c>
      <c r="R33" s="60" t="e">
        <f>#REF!</f>
        <v>#REF!</v>
      </c>
      <c r="S33" s="61" t="e">
        <f>IF(R33&lt;0,Pricing!E33*$T$5,0)</f>
        <v>#REF!</v>
      </c>
      <c r="T33" s="61" t="e">
        <f t="shared" si="5"/>
        <v>#REF!</v>
      </c>
    </row>
    <row r="34" spans="1:20" x14ac:dyDescent="0.25">
      <c r="A34" s="58">
        <f t="shared" si="6"/>
        <v>44532.124999999935</v>
      </c>
      <c r="B34" s="59">
        <f t="shared" si="7"/>
        <v>44532.166666666599</v>
      </c>
      <c r="C34" s="60" t="e">
        <f>#REF!</f>
        <v>#REF!</v>
      </c>
      <c r="D34" s="61" t="e">
        <f>IF(C34&gt;0,Pricing!E34*$E$5,0)</f>
        <v>#REF!</v>
      </c>
      <c r="E34" s="61" t="e">
        <f t="shared" si="0"/>
        <v>#REF!</v>
      </c>
      <c r="F34" s="60" t="e">
        <f>#REF!</f>
        <v>#REF!</v>
      </c>
      <c r="G34" s="61" t="e">
        <f>IF(F34&gt;0,Pricing!E34*$H$5,0)</f>
        <v>#REF!</v>
      </c>
      <c r="H34" s="61" t="e">
        <f t="shared" si="1"/>
        <v>#REF!</v>
      </c>
      <c r="I34" s="62" t="e">
        <f>#REF!</f>
        <v>#REF!</v>
      </c>
      <c r="J34" s="61" t="e">
        <f>IF(I34&gt;0,Pricing!E34*$K$5,0)</f>
        <v>#REF!</v>
      </c>
      <c r="K34" s="63" t="e">
        <f t="shared" si="2"/>
        <v>#REF!</v>
      </c>
      <c r="L34" s="64" t="e">
        <f>#REF!</f>
        <v>#REF!</v>
      </c>
      <c r="M34" s="61" t="e">
        <f>IF(L34&lt;0,Pricing!E34*$N$5,0)</f>
        <v>#REF!</v>
      </c>
      <c r="N34" s="61" t="e">
        <f t="shared" si="3"/>
        <v>#REF!</v>
      </c>
      <c r="O34" s="60" t="e">
        <f>#REF!</f>
        <v>#REF!</v>
      </c>
      <c r="P34" s="61" t="e">
        <f>IF(O34&lt;0,Pricing!E34*$Q$5,0)</f>
        <v>#REF!</v>
      </c>
      <c r="Q34" s="61" t="e">
        <f t="shared" si="4"/>
        <v>#REF!</v>
      </c>
      <c r="R34" s="60" t="e">
        <f>#REF!</f>
        <v>#REF!</v>
      </c>
      <c r="S34" s="61" t="e">
        <f>IF(R34&lt;0,Pricing!E34*$T$5,0)</f>
        <v>#REF!</v>
      </c>
      <c r="T34" s="61" t="e">
        <f t="shared" si="5"/>
        <v>#REF!</v>
      </c>
    </row>
    <row r="35" spans="1:20" x14ac:dyDescent="0.25">
      <c r="A35" s="58">
        <f t="shared" si="6"/>
        <v>44532.166666666599</v>
      </c>
      <c r="B35" s="59">
        <f t="shared" si="7"/>
        <v>44532.208333333263</v>
      </c>
      <c r="C35" s="60" t="e">
        <f>#REF!</f>
        <v>#REF!</v>
      </c>
      <c r="D35" s="61" t="e">
        <f>IF(C35&gt;0,Pricing!E35*$E$5,0)</f>
        <v>#REF!</v>
      </c>
      <c r="E35" s="61" t="e">
        <f t="shared" si="0"/>
        <v>#REF!</v>
      </c>
      <c r="F35" s="60" t="e">
        <f>#REF!</f>
        <v>#REF!</v>
      </c>
      <c r="G35" s="61" t="e">
        <f>IF(F35&gt;0,Pricing!E35*$H$5,0)</f>
        <v>#REF!</v>
      </c>
      <c r="H35" s="61" t="e">
        <f t="shared" si="1"/>
        <v>#REF!</v>
      </c>
      <c r="I35" s="62" t="e">
        <f>#REF!</f>
        <v>#REF!</v>
      </c>
      <c r="J35" s="61" t="e">
        <f>IF(I35&gt;0,Pricing!E35*$K$5,0)</f>
        <v>#REF!</v>
      </c>
      <c r="K35" s="63" t="e">
        <f t="shared" si="2"/>
        <v>#REF!</v>
      </c>
      <c r="L35" s="64" t="e">
        <f>#REF!</f>
        <v>#REF!</v>
      </c>
      <c r="M35" s="61" t="e">
        <f>IF(L35&lt;0,Pricing!E35*$N$5,0)</f>
        <v>#REF!</v>
      </c>
      <c r="N35" s="61" t="e">
        <f t="shared" si="3"/>
        <v>#REF!</v>
      </c>
      <c r="O35" s="60" t="e">
        <f>#REF!</f>
        <v>#REF!</v>
      </c>
      <c r="P35" s="61" t="e">
        <f>IF(O35&lt;0,Pricing!E35*$Q$5,0)</f>
        <v>#REF!</v>
      </c>
      <c r="Q35" s="61" t="e">
        <f t="shared" si="4"/>
        <v>#REF!</v>
      </c>
      <c r="R35" s="60" t="e">
        <f>#REF!</f>
        <v>#REF!</v>
      </c>
      <c r="S35" s="61" t="e">
        <f>IF(R35&lt;0,Pricing!E35*$T$5,0)</f>
        <v>#REF!</v>
      </c>
      <c r="T35" s="61" t="e">
        <f t="shared" si="5"/>
        <v>#REF!</v>
      </c>
    </row>
    <row r="36" spans="1:20" x14ac:dyDescent="0.25">
      <c r="A36" s="58">
        <f t="shared" si="6"/>
        <v>44532.208333333263</v>
      </c>
      <c r="B36" s="59">
        <f t="shared" si="7"/>
        <v>44532.249999999927</v>
      </c>
      <c r="C36" s="60" t="e">
        <f>#REF!</f>
        <v>#REF!</v>
      </c>
      <c r="D36" s="61" t="e">
        <f>IF(C36&gt;0,Pricing!E36*$E$5,0)</f>
        <v>#REF!</v>
      </c>
      <c r="E36" s="61" t="e">
        <f t="shared" si="0"/>
        <v>#REF!</v>
      </c>
      <c r="F36" s="60" t="e">
        <f>#REF!</f>
        <v>#REF!</v>
      </c>
      <c r="G36" s="61" t="e">
        <f>IF(F36&gt;0,Pricing!E36*$H$5,0)</f>
        <v>#REF!</v>
      </c>
      <c r="H36" s="61" t="e">
        <f t="shared" si="1"/>
        <v>#REF!</v>
      </c>
      <c r="I36" s="62" t="e">
        <f>#REF!</f>
        <v>#REF!</v>
      </c>
      <c r="J36" s="61" t="e">
        <f>IF(I36&gt;0,Pricing!E36*$K$5,0)</f>
        <v>#REF!</v>
      </c>
      <c r="K36" s="63" t="e">
        <f t="shared" si="2"/>
        <v>#REF!</v>
      </c>
      <c r="L36" s="64" t="e">
        <f>#REF!</f>
        <v>#REF!</v>
      </c>
      <c r="M36" s="61" t="e">
        <f>IF(L36&lt;0,Pricing!E36*$N$5,0)</f>
        <v>#REF!</v>
      </c>
      <c r="N36" s="61" t="e">
        <f t="shared" si="3"/>
        <v>#REF!</v>
      </c>
      <c r="O36" s="60" t="e">
        <f>#REF!</f>
        <v>#REF!</v>
      </c>
      <c r="P36" s="61" t="e">
        <f>IF(O36&lt;0,Pricing!E36*$Q$5,0)</f>
        <v>#REF!</v>
      </c>
      <c r="Q36" s="61" t="e">
        <f t="shared" si="4"/>
        <v>#REF!</v>
      </c>
      <c r="R36" s="60" t="e">
        <f>#REF!</f>
        <v>#REF!</v>
      </c>
      <c r="S36" s="61" t="e">
        <f>IF(R36&lt;0,Pricing!E36*$T$5,0)</f>
        <v>#REF!</v>
      </c>
      <c r="T36" s="61" t="e">
        <f t="shared" si="5"/>
        <v>#REF!</v>
      </c>
    </row>
    <row r="37" spans="1:20" x14ac:dyDescent="0.25">
      <c r="A37" s="58">
        <f t="shared" si="6"/>
        <v>44532.249999999927</v>
      </c>
      <c r="B37" s="59">
        <f t="shared" si="7"/>
        <v>44532.291666666591</v>
      </c>
      <c r="C37" s="60" t="e">
        <f>#REF!</f>
        <v>#REF!</v>
      </c>
      <c r="D37" s="61" t="e">
        <f>IF(C37&gt;0,Pricing!E37*$E$5,0)</f>
        <v>#REF!</v>
      </c>
      <c r="E37" s="61" t="e">
        <f t="shared" si="0"/>
        <v>#REF!</v>
      </c>
      <c r="F37" s="60" t="e">
        <f>#REF!</f>
        <v>#REF!</v>
      </c>
      <c r="G37" s="61" t="e">
        <f>IF(F37&gt;0,Pricing!E37*$H$5,0)</f>
        <v>#REF!</v>
      </c>
      <c r="H37" s="61" t="e">
        <f t="shared" si="1"/>
        <v>#REF!</v>
      </c>
      <c r="I37" s="62" t="e">
        <f>#REF!</f>
        <v>#REF!</v>
      </c>
      <c r="J37" s="61" t="e">
        <f>IF(I37&gt;0,Pricing!E37*$K$5,0)</f>
        <v>#REF!</v>
      </c>
      <c r="K37" s="63" t="e">
        <f t="shared" si="2"/>
        <v>#REF!</v>
      </c>
      <c r="L37" s="64" t="e">
        <f>#REF!</f>
        <v>#REF!</v>
      </c>
      <c r="M37" s="61" t="e">
        <f>IF(L37&lt;0,Pricing!E37*$N$5,0)</f>
        <v>#REF!</v>
      </c>
      <c r="N37" s="61" t="e">
        <f t="shared" si="3"/>
        <v>#REF!</v>
      </c>
      <c r="O37" s="60" t="e">
        <f>#REF!</f>
        <v>#REF!</v>
      </c>
      <c r="P37" s="61" t="e">
        <f>IF(O37&lt;0,Pricing!E37*$Q$5,0)</f>
        <v>#REF!</v>
      </c>
      <c r="Q37" s="61" t="e">
        <f t="shared" si="4"/>
        <v>#REF!</v>
      </c>
      <c r="R37" s="60" t="e">
        <f>#REF!</f>
        <v>#REF!</v>
      </c>
      <c r="S37" s="61" t="e">
        <f>IF(R37&lt;0,Pricing!E37*$T$5,0)</f>
        <v>#REF!</v>
      </c>
      <c r="T37" s="61" t="e">
        <f t="shared" si="5"/>
        <v>#REF!</v>
      </c>
    </row>
    <row r="38" spans="1:20" x14ac:dyDescent="0.25">
      <c r="A38" s="58">
        <f t="shared" si="6"/>
        <v>44532.291666666591</v>
      </c>
      <c r="B38" s="59">
        <f t="shared" si="7"/>
        <v>44532.333333333256</v>
      </c>
      <c r="C38" s="60" t="e">
        <f>#REF!</f>
        <v>#REF!</v>
      </c>
      <c r="D38" s="61" t="e">
        <f>IF(C38&gt;0,Pricing!E38*$E$5,0)</f>
        <v>#REF!</v>
      </c>
      <c r="E38" s="61" t="e">
        <f t="shared" si="0"/>
        <v>#REF!</v>
      </c>
      <c r="F38" s="60" t="e">
        <f>#REF!</f>
        <v>#REF!</v>
      </c>
      <c r="G38" s="61" t="e">
        <f>IF(F38&gt;0,Pricing!E38*$H$5,0)</f>
        <v>#REF!</v>
      </c>
      <c r="H38" s="61" t="e">
        <f t="shared" si="1"/>
        <v>#REF!</v>
      </c>
      <c r="I38" s="62" t="e">
        <f>#REF!</f>
        <v>#REF!</v>
      </c>
      <c r="J38" s="61" t="e">
        <f>IF(I38&gt;0,Pricing!E38*$K$5,0)</f>
        <v>#REF!</v>
      </c>
      <c r="K38" s="63" t="e">
        <f t="shared" si="2"/>
        <v>#REF!</v>
      </c>
      <c r="L38" s="64" t="e">
        <f>#REF!</f>
        <v>#REF!</v>
      </c>
      <c r="M38" s="61" t="e">
        <f>IF(L38&lt;0,Pricing!E38*$N$5,0)</f>
        <v>#REF!</v>
      </c>
      <c r="N38" s="61" t="e">
        <f t="shared" si="3"/>
        <v>#REF!</v>
      </c>
      <c r="O38" s="60" t="e">
        <f>#REF!</f>
        <v>#REF!</v>
      </c>
      <c r="P38" s="61" t="e">
        <f>IF(O38&lt;0,Pricing!E38*$Q$5,0)</f>
        <v>#REF!</v>
      </c>
      <c r="Q38" s="61" t="e">
        <f t="shared" si="4"/>
        <v>#REF!</v>
      </c>
      <c r="R38" s="60" t="e">
        <f>#REF!</f>
        <v>#REF!</v>
      </c>
      <c r="S38" s="61" t="e">
        <f>IF(R38&lt;0,Pricing!E38*$T$5,0)</f>
        <v>#REF!</v>
      </c>
      <c r="T38" s="61" t="e">
        <f t="shared" si="5"/>
        <v>#REF!</v>
      </c>
    </row>
    <row r="39" spans="1:20" x14ac:dyDescent="0.25">
      <c r="A39" s="58">
        <f t="shared" si="6"/>
        <v>44532.333333333256</v>
      </c>
      <c r="B39" s="59">
        <f t="shared" si="7"/>
        <v>44532.37499999992</v>
      </c>
      <c r="C39" s="60" t="e">
        <f>#REF!</f>
        <v>#REF!</v>
      </c>
      <c r="D39" s="61" t="e">
        <f>IF(C39&gt;0,Pricing!E39*$E$5,0)</f>
        <v>#REF!</v>
      </c>
      <c r="E39" s="61" t="e">
        <f t="shared" si="0"/>
        <v>#REF!</v>
      </c>
      <c r="F39" s="60" t="e">
        <f>#REF!</f>
        <v>#REF!</v>
      </c>
      <c r="G39" s="61" t="e">
        <f>IF(F39&gt;0,Pricing!E39*$H$5,0)</f>
        <v>#REF!</v>
      </c>
      <c r="H39" s="61" t="e">
        <f t="shared" si="1"/>
        <v>#REF!</v>
      </c>
      <c r="I39" s="62" t="e">
        <f>#REF!</f>
        <v>#REF!</v>
      </c>
      <c r="J39" s="61" t="e">
        <f>IF(I39&gt;0,Pricing!E39*$K$5,0)</f>
        <v>#REF!</v>
      </c>
      <c r="K39" s="63" t="e">
        <f t="shared" si="2"/>
        <v>#REF!</v>
      </c>
      <c r="L39" s="64" t="e">
        <f>#REF!</f>
        <v>#REF!</v>
      </c>
      <c r="M39" s="61" t="e">
        <f>IF(L39&lt;0,Pricing!E39*$N$5,0)</f>
        <v>#REF!</v>
      </c>
      <c r="N39" s="61" t="e">
        <f t="shared" si="3"/>
        <v>#REF!</v>
      </c>
      <c r="O39" s="60" t="e">
        <f>#REF!</f>
        <v>#REF!</v>
      </c>
      <c r="P39" s="61" t="e">
        <f>IF(O39&lt;0,Pricing!E39*$Q$5,0)</f>
        <v>#REF!</v>
      </c>
      <c r="Q39" s="61" t="e">
        <f t="shared" si="4"/>
        <v>#REF!</v>
      </c>
      <c r="R39" s="60" t="e">
        <f>#REF!</f>
        <v>#REF!</v>
      </c>
      <c r="S39" s="61" t="e">
        <f>IF(R39&lt;0,Pricing!E39*$T$5,0)</f>
        <v>#REF!</v>
      </c>
      <c r="T39" s="61" t="e">
        <f t="shared" si="5"/>
        <v>#REF!</v>
      </c>
    </row>
    <row r="40" spans="1:20" x14ac:dyDescent="0.25">
      <c r="A40" s="58">
        <f t="shared" si="6"/>
        <v>44532.37499999992</v>
      </c>
      <c r="B40" s="59">
        <f t="shared" si="7"/>
        <v>44532.416666666584</v>
      </c>
      <c r="C40" s="60" t="e">
        <f>#REF!</f>
        <v>#REF!</v>
      </c>
      <c r="D40" s="61" t="e">
        <f>IF(C40&gt;0,Pricing!E40*$E$5,0)</f>
        <v>#REF!</v>
      </c>
      <c r="E40" s="61" t="e">
        <f t="shared" si="0"/>
        <v>#REF!</v>
      </c>
      <c r="F40" s="60" t="e">
        <f>#REF!</f>
        <v>#REF!</v>
      </c>
      <c r="G40" s="61" t="e">
        <f>IF(F40&gt;0,Pricing!E40*$H$5,0)</f>
        <v>#REF!</v>
      </c>
      <c r="H40" s="61" t="e">
        <f t="shared" si="1"/>
        <v>#REF!</v>
      </c>
      <c r="I40" s="62" t="e">
        <f>#REF!</f>
        <v>#REF!</v>
      </c>
      <c r="J40" s="61" t="e">
        <f>IF(I40&gt;0,Pricing!E40*$K$5,0)</f>
        <v>#REF!</v>
      </c>
      <c r="K40" s="63" t="e">
        <f t="shared" si="2"/>
        <v>#REF!</v>
      </c>
      <c r="L40" s="64" t="e">
        <f>#REF!</f>
        <v>#REF!</v>
      </c>
      <c r="M40" s="61" t="e">
        <f>IF(L40&lt;0,Pricing!E40*$N$5,0)</f>
        <v>#REF!</v>
      </c>
      <c r="N40" s="61" t="e">
        <f t="shared" si="3"/>
        <v>#REF!</v>
      </c>
      <c r="O40" s="60" t="e">
        <f>#REF!</f>
        <v>#REF!</v>
      </c>
      <c r="P40" s="61" t="e">
        <f>IF(O40&lt;0,Pricing!E40*$Q$5,0)</f>
        <v>#REF!</v>
      </c>
      <c r="Q40" s="61" t="e">
        <f t="shared" si="4"/>
        <v>#REF!</v>
      </c>
      <c r="R40" s="60" t="e">
        <f>#REF!</f>
        <v>#REF!</v>
      </c>
      <c r="S40" s="61" t="e">
        <f>IF(R40&lt;0,Pricing!E40*$T$5,0)</f>
        <v>#REF!</v>
      </c>
      <c r="T40" s="61" t="e">
        <f t="shared" si="5"/>
        <v>#REF!</v>
      </c>
    </row>
    <row r="41" spans="1:20" x14ac:dyDescent="0.25">
      <c r="A41" s="58">
        <f t="shared" si="6"/>
        <v>44532.416666666584</v>
      </c>
      <c r="B41" s="59">
        <f t="shared" si="7"/>
        <v>44532.458333333248</v>
      </c>
      <c r="C41" s="60" t="e">
        <f>#REF!</f>
        <v>#REF!</v>
      </c>
      <c r="D41" s="61" t="e">
        <f>IF(C41&gt;0,Pricing!E41*$E$5,0)</f>
        <v>#REF!</v>
      </c>
      <c r="E41" s="61" t="e">
        <f t="shared" si="0"/>
        <v>#REF!</v>
      </c>
      <c r="F41" s="60" t="e">
        <f>#REF!</f>
        <v>#REF!</v>
      </c>
      <c r="G41" s="61" t="e">
        <f>IF(F41&gt;0,Pricing!E41*$H$5,0)</f>
        <v>#REF!</v>
      </c>
      <c r="H41" s="61" t="e">
        <f t="shared" si="1"/>
        <v>#REF!</v>
      </c>
      <c r="I41" s="62" t="e">
        <f>#REF!</f>
        <v>#REF!</v>
      </c>
      <c r="J41" s="61" t="e">
        <f>IF(I41&gt;0,Pricing!E41*$K$5,0)</f>
        <v>#REF!</v>
      </c>
      <c r="K41" s="63" t="e">
        <f t="shared" si="2"/>
        <v>#REF!</v>
      </c>
      <c r="L41" s="64" t="e">
        <f>#REF!</f>
        <v>#REF!</v>
      </c>
      <c r="M41" s="61" t="e">
        <f>IF(L41&lt;0,Pricing!E41*$N$5,0)</f>
        <v>#REF!</v>
      </c>
      <c r="N41" s="61" t="e">
        <f t="shared" si="3"/>
        <v>#REF!</v>
      </c>
      <c r="O41" s="60" t="e">
        <f>#REF!</f>
        <v>#REF!</v>
      </c>
      <c r="P41" s="61" t="e">
        <f>IF(O41&lt;0,Pricing!E41*$Q$5,0)</f>
        <v>#REF!</v>
      </c>
      <c r="Q41" s="61" t="e">
        <f t="shared" si="4"/>
        <v>#REF!</v>
      </c>
      <c r="R41" s="60" t="e">
        <f>#REF!</f>
        <v>#REF!</v>
      </c>
      <c r="S41" s="61" t="e">
        <f>IF(R41&lt;0,Pricing!E41*$T$5,0)</f>
        <v>#REF!</v>
      </c>
      <c r="T41" s="61" t="e">
        <f t="shared" si="5"/>
        <v>#REF!</v>
      </c>
    </row>
    <row r="42" spans="1:20" x14ac:dyDescent="0.25">
      <c r="A42" s="58">
        <f t="shared" si="6"/>
        <v>44532.458333333248</v>
      </c>
      <c r="B42" s="59">
        <f t="shared" si="7"/>
        <v>44532.499999999913</v>
      </c>
      <c r="C42" s="60" t="e">
        <f>#REF!</f>
        <v>#REF!</v>
      </c>
      <c r="D42" s="61" t="e">
        <f>IF(C42&gt;0,Pricing!E42*$E$5,0)</f>
        <v>#REF!</v>
      </c>
      <c r="E42" s="61" t="e">
        <f t="shared" si="0"/>
        <v>#REF!</v>
      </c>
      <c r="F42" s="60" t="e">
        <f>#REF!</f>
        <v>#REF!</v>
      </c>
      <c r="G42" s="61" t="e">
        <f>IF(F42&gt;0,Pricing!E42*$H$5,0)</f>
        <v>#REF!</v>
      </c>
      <c r="H42" s="61" t="e">
        <f t="shared" si="1"/>
        <v>#REF!</v>
      </c>
      <c r="I42" s="62" t="e">
        <f>#REF!</f>
        <v>#REF!</v>
      </c>
      <c r="J42" s="61" t="e">
        <f>IF(I42&gt;0,Pricing!E42*$K$5,0)</f>
        <v>#REF!</v>
      </c>
      <c r="K42" s="63" t="e">
        <f t="shared" si="2"/>
        <v>#REF!</v>
      </c>
      <c r="L42" s="64" t="e">
        <f>#REF!</f>
        <v>#REF!</v>
      </c>
      <c r="M42" s="61" t="e">
        <f>IF(L42&lt;0,Pricing!E42*$N$5,0)</f>
        <v>#REF!</v>
      </c>
      <c r="N42" s="61" t="e">
        <f t="shared" si="3"/>
        <v>#REF!</v>
      </c>
      <c r="O42" s="60" t="e">
        <f>#REF!</f>
        <v>#REF!</v>
      </c>
      <c r="P42" s="61" t="e">
        <f>IF(O42&lt;0,Pricing!E42*$Q$5,0)</f>
        <v>#REF!</v>
      </c>
      <c r="Q42" s="61" t="e">
        <f t="shared" si="4"/>
        <v>#REF!</v>
      </c>
      <c r="R42" s="60" t="e">
        <f>#REF!</f>
        <v>#REF!</v>
      </c>
      <c r="S42" s="61" t="e">
        <f>IF(R42&lt;0,Pricing!E42*$T$5,0)</f>
        <v>#REF!</v>
      </c>
      <c r="T42" s="61" t="e">
        <f t="shared" si="5"/>
        <v>#REF!</v>
      </c>
    </row>
    <row r="43" spans="1:20" x14ac:dyDescent="0.25">
      <c r="A43" s="58">
        <f t="shared" si="6"/>
        <v>44532.499999999913</v>
      </c>
      <c r="B43" s="59">
        <f t="shared" si="7"/>
        <v>44532.541666666577</v>
      </c>
      <c r="C43" s="60" t="e">
        <f>#REF!</f>
        <v>#REF!</v>
      </c>
      <c r="D43" s="61" t="e">
        <f>IF(C43&gt;0,Pricing!E43*$E$5,0)</f>
        <v>#REF!</v>
      </c>
      <c r="E43" s="61" t="e">
        <f t="shared" si="0"/>
        <v>#REF!</v>
      </c>
      <c r="F43" s="60" t="e">
        <f>#REF!</f>
        <v>#REF!</v>
      </c>
      <c r="G43" s="61" t="e">
        <f>IF(F43&gt;0,Pricing!E43*$H$5,0)</f>
        <v>#REF!</v>
      </c>
      <c r="H43" s="61" t="e">
        <f t="shared" si="1"/>
        <v>#REF!</v>
      </c>
      <c r="I43" s="62" t="e">
        <f>#REF!</f>
        <v>#REF!</v>
      </c>
      <c r="J43" s="61" t="e">
        <f>IF(I43&gt;0,Pricing!E43*$K$5,0)</f>
        <v>#REF!</v>
      </c>
      <c r="K43" s="63" t="e">
        <f t="shared" si="2"/>
        <v>#REF!</v>
      </c>
      <c r="L43" s="64" t="e">
        <f>#REF!</f>
        <v>#REF!</v>
      </c>
      <c r="M43" s="61" t="e">
        <f>IF(L43&lt;0,Pricing!E43*$N$5,0)</f>
        <v>#REF!</v>
      </c>
      <c r="N43" s="61" t="e">
        <f t="shared" si="3"/>
        <v>#REF!</v>
      </c>
      <c r="O43" s="60" t="e">
        <f>#REF!</f>
        <v>#REF!</v>
      </c>
      <c r="P43" s="61" t="e">
        <f>IF(O43&lt;0,Pricing!E43*$Q$5,0)</f>
        <v>#REF!</v>
      </c>
      <c r="Q43" s="61" t="e">
        <f t="shared" si="4"/>
        <v>#REF!</v>
      </c>
      <c r="R43" s="60" t="e">
        <f>#REF!</f>
        <v>#REF!</v>
      </c>
      <c r="S43" s="61" t="e">
        <f>IF(R43&lt;0,Pricing!E43*$T$5,0)</f>
        <v>#REF!</v>
      </c>
      <c r="T43" s="61" t="e">
        <f t="shared" si="5"/>
        <v>#REF!</v>
      </c>
    </row>
    <row r="44" spans="1:20" x14ac:dyDescent="0.25">
      <c r="A44" s="58">
        <f t="shared" si="6"/>
        <v>44532.541666666577</v>
      </c>
      <c r="B44" s="59">
        <f t="shared" si="7"/>
        <v>44532.583333333241</v>
      </c>
      <c r="C44" s="60" t="e">
        <f>#REF!</f>
        <v>#REF!</v>
      </c>
      <c r="D44" s="61" t="e">
        <f>IF(C44&gt;0,Pricing!E44*$E$5,0)</f>
        <v>#REF!</v>
      </c>
      <c r="E44" s="61" t="e">
        <f t="shared" si="0"/>
        <v>#REF!</v>
      </c>
      <c r="F44" s="60" t="e">
        <f>#REF!</f>
        <v>#REF!</v>
      </c>
      <c r="G44" s="61" t="e">
        <f>IF(F44&gt;0,Pricing!E44*$H$5,0)</f>
        <v>#REF!</v>
      </c>
      <c r="H44" s="61" t="e">
        <f t="shared" si="1"/>
        <v>#REF!</v>
      </c>
      <c r="I44" s="62" t="e">
        <f>#REF!</f>
        <v>#REF!</v>
      </c>
      <c r="J44" s="61" t="e">
        <f>IF(I44&gt;0,Pricing!E44*$K$5,0)</f>
        <v>#REF!</v>
      </c>
      <c r="K44" s="63" t="e">
        <f t="shared" si="2"/>
        <v>#REF!</v>
      </c>
      <c r="L44" s="64" t="e">
        <f>#REF!</f>
        <v>#REF!</v>
      </c>
      <c r="M44" s="61" t="e">
        <f>IF(L44&lt;0,Pricing!E44*$N$5,0)</f>
        <v>#REF!</v>
      </c>
      <c r="N44" s="61" t="e">
        <f t="shared" si="3"/>
        <v>#REF!</v>
      </c>
      <c r="O44" s="60" t="e">
        <f>#REF!</f>
        <v>#REF!</v>
      </c>
      <c r="P44" s="61" t="e">
        <f>IF(O44&lt;0,Pricing!E44*$Q$5,0)</f>
        <v>#REF!</v>
      </c>
      <c r="Q44" s="61" t="e">
        <f t="shared" si="4"/>
        <v>#REF!</v>
      </c>
      <c r="R44" s="60" t="e">
        <f>#REF!</f>
        <v>#REF!</v>
      </c>
      <c r="S44" s="61" t="e">
        <f>IF(R44&lt;0,Pricing!E44*$T$5,0)</f>
        <v>#REF!</v>
      </c>
      <c r="T44" s="61" t="e">
        <f t="shared" si="5"/>
        <v>#REF!</v>
      </c>
    </row>
    <row r="45" spans="1:20" x14ac:dyDescent="0.25">
      <c r="A45" s="58">
        <f t="shared" si="6"/>
        <v>44532.583333333241</v>
      </c>
      <c r="B45" s="59">
        <f t="shared" si="7"/>
        <v>44532.624999999905</v>
      </c>
      <c r="C45" s="60" t="e">
        <f>#REF!</f>
        <v>#REF!</v>
      </c>
      <c r="D45" s="61" t="e">
        <f>IF(C45&gt;0,Pricing!E45*$E$5,0)</f>
        <v>#REF!</v>
      </c>
      <c r="E45" s="61" t="e">
        <f t="shared" si="0"/>
        <v>#REF!</v>
      </c>
      <c r="F45" s="60" t="e">
        <f>#REF!</f>
        <v>#REF!</v>
      </c>
      <c r="G45" s="61" t="e">
        <f>IF(F45&gt;0,Pricing!E45*$H$5,0)</f>
        <v>#REF!</v>
      </c>
      <c r="H45" s="61" t="e">
        <f t="shared" si="1"/>
        <v>#REF!</v>
      </c>
      <c r="I45" s="62" t="e">
        <f>#REF!</f>
        <v>#REF!</v>
      </c>
      <c r="J45" s="61" t="e">
        <f>IF(I45&gt;0,Pricing!E45*$K$5,0)</f>
        <v>#REF!</v>
      </c>
      <c r="K45" s="63" t="e">
        <f t="shared" si="2"/>
        <v>#REF!</v>
      </c>
      <c r="L45" s="64" t="e">
        <f>#REF!</f>
        <v>#REF!</v>
      </c>
      <c r="M45" s="61" t="e">
        <f>IF(L45&lt;0,Pricing!E45*$N$5,0)</f>
        <v>#REF!</v>
      </c>
      <c r="N45" s="61" t="e">
        <f t="shared" si="3"/>
        <v>#REF!</v>
      </c>
      <c r="O45" s="60" t="e">
        <f>#REF!</f>
        <v>#REF!</v>
      </c>
      <c r="P45" s="61" t="e">
        <f>IF(O45&lt;0,Pricing!E45*$Q$5,0)</f>
        <v>#REF!</v>
      </c>
      <c r="Q45" s="61" t="e">
        <f t="shared" si="4"/>
        <v>#REF!</v>
      </c>
      <c r="R45" s="60" t="e">
        <f>#REF!</f>
        <v>#REF!</v>
      </c>
      <c r="S45" s="61" t="e">
        <f>IF(R45&lt;0,Pricing!E45*$T$5,0)</f>
        <v>#REF!</v>
      </c>
      <c r="T45" s="61" t="e">
        <f t="shared" si="5"/>
        <v>#REF!</v>
      </c>
    </row>
    <row r="46" spans="1:20" x14ac:dyDescent="0.25">
      <c r="A46" s="58">
        <f t="shared" si="6"/>
        <v>44532.624999999905</v>
      </c>
      <c r="B46" s="59">
        <f t="shared" si="7"/>
        <v>44532.66666666657</v>
      </c>
      <c r="C46" s="60" t="e">
        <f>#REF!</f>
        <v>#REF!</v>
      </c>
      <c r="D46" s="61" t="e">
        <f>IF(C46&gt;0,Pricing!E46*$E$5,0)</f>
        <v>#REF!</v>
      </c>
      <c r="E46" s="61" t="e">
        <f t="shared" si="0"/>
        <v>#REF!</v>
      </c>
      <c r="F46" s="60" t="e">
        <f>#REF!</f>
        <v>#REF!</v>
      </c>
      <c r="G46" s="61" t="e">
        <f>IF(F46&gt;0,Pricing!E46*$H$5,0)</f>
        <v>#REF!</v>
      </c>
      <c r="H46" s="61" t="e">
        <f t="shared" si="1"/>
        <v>#REF!</v>
      </c>
      <c r="I46" s="62" t="e">
        <f>#REF!</f>
        <v>#REF!</v>
      </c>
      <c r="J46" s="61" t="e">
        <f>IF(I46&gt;0,Pricing!E46*$K$5,0)</f>
        <v>#REF!</v>
      </c>
      <c r="K46" s="63" t="e">
        <f t="shared" si="2"/>
        <v>#REF!</v>
      </c>
      <c r="L46" s="64" t="e">
        <f>#REF!</f>
        <v>#REF!</v>
      </c>
      <c r="M46" s="61" t="e">
        <f>IF(L46&lt;0,Pricing!E46*$N$5,0)</f>
        <v>#REF!</v>
      </c>
      <c r="N46" s="61" t="e">
        <f t="shared" si="3"/>
        <v>#REF!</v>
      </c>
      <c r="O46" s="60" t="e">
        <f>#REF!</f>
        <v>#REF!</v>
      </c>
      <c r="P46" s="61" t="e">
        <f>IF(O46&lt;0,Pricing!E46*$Q$5,0)</f>
        <v>#REF!</v>
      </c>
      <c r="Q46" s="61" t="e">
        <f t="shared" si="4"/>
        <v>#REF!</v>
      </c>
      <c r="R46" s="60" t="e">
        <f>#REF!</f>
        <v>#REF!</v>
      </c>
      <c r="S46" s="61" t="e">
        <f>IF(R46&lt;0,Pricing!E46*$T$5,0)</f>
        <v>#REF!</v>
      </c>
      <c r="T46" s="61" t="e">
        <f t="shared" si="5"/>
        <v>#REF!</v>
      </c>
    </row>
    <row r="47" spans="1:20" x14ac:dyDescent="0.25">
      <c r="A47" s="58">
        <f t="shared" si="6"/>
        <v>44532.66666666657</v>
      </c>
      <c r="B47" s="59">
        <f t="shared" si="7"/>
        <v>44532.708333333234</v>
      </c>
      <c r="C47" s="60" t="e">
        <f>#REF!</f>
        <v>#REF!</v>
      </c>
      <c r="D47" s="61" t="e">
        <f>IF(C47&gt;0,Pricing!E47*$E$5,0)</f>
        <v>#REF!</v>
      </c>
      <c r="E47" s="61" t="e">
        <f t="shared" si="0"/>
        <v>#REF!</v>
      </c>
      <c r="F47" s="60" t="e">
        <f>#REF!</f>
        <v>#REF!</v>
      </c>
      <c r="G47" s="61" t="e">
        <f>IF(F47&gt;0,Pricing!E47*$H$5,0)</f>
        <v>#REF!</v>
      </c>
      <c r="H47" s="61" t="e">
        <f t="shared" si="1"/>
        <v>#REF!</v>
      </c>
      <c r="I47" s="62" t="e">
        <f>#REF!</f>
        <v>#REF!</v>
      </c>
      <c r="J47" s="61" t="e">
        <f>IF(I47&gt;0,Pricing!E47*$K$5,0)</f>
        <v>#REF!</v>
      </c>
      <c r="K47" s="63" t="e">
        <f t="shared" si="2"/>
        <v>#REF!</v>
      </c>
      <c r="L47" s="64" t="e">
        <f>#REF!</f>
        <v>#REF!</v>
      </c>
      <c r="M47" s="61" t="e">
        <f>IF(L47&lt;0,Pricing!E47*$N$5,0)</f>
        <v>#REF!</v>
      </c>
      <c r="N47" s="61" t="e">
        <f t="shared" si="3"/>
        <v>#REF!</v>
      </c>
      <c r="O47" s="60" t="e">
        <f>#REF!</f>
        <v>#REF!</v>
      </c>
      <c r="P47" s="61" t="e">
        <f>IF(O47&lt;0,Pricing!E47*$Q$5,0)</f>
        <v>#REF!</v>
      </c>
      <c r="Q47" s="61" t="e">
        <f t="shared" si="4"/>
        <v>#REF!</v>
      </c>
      <c r="R47" s="60" t="e">
        <f>#REF!</f>
        <v>#REF!</v>
      </c>
      <c r="S47" s="61" t="e">
        <f>IF(R47&lt;0,Pricing!E47*$T$5,0)</f>
        <v>#REF!</v>
      </c>
      <c r="T47" s="61" t="e">
        <f t="shared" si="5"/>
        <v>#REF!</v>
      </c>
    </row>
    <row r="48" spans="1:20" x14ac:dyDescent="0.25">
      <c r="A48" s="58">
        <f t="shared" si="6"/>
        <v>44532.708333333234</v>
      </c>
      <c r="B48" s="59">
        <f t="shared" si="7"/>
        <v>44532.749999999898</v>
      </c>
      <c r="C48" s="60" t="e">
        <f>#REF!</f>
        <v>#REF!</v>
      </c>
      <c r="D48" s="61" t="e">
        <f>IF(C48&gt;0,Pricing!E48*$E$5,0)</f>
        <v>#REF!</v>
      </c>
      <c r="E48" s="61" t="e">
        <f t="shared" si="0"/>
        <v>#REF!</v>
      </c>
      <c r="F48" s="60" t="e">
        <f>#REF!</f>
        <v>#REF!</v>
      </c>
      <c r="G48" s="61" t="e">
        <f>IF(F48&gt;0,Pricing!E48*$H$5,0)</f>
        <v>#REF!</v>
      </c>
      <c r="H48" s="61" t="e">
        <f t="shared" si="1"/>
        <v>#REF!</v>
      </c>
      <c r="I48" s="62" t="e">
        <f>#REF!</f>
        <v>#REF!</v>
      </c>
      <c r="J48" s="61" t="e">
        <f>IF(I48&gt;0,Pricing!E48*$K$5,0)</f>
        <v>#REF!</v>
      </c>
      <c r="K48" s="63" t="e">
        <f t="shared" si="2"/>
        <v>#REF!</v>
      </c>
      <c r="L48" s="64" t="e">
        <f>#REF!</f>
        <v>#REF!</v>
      </c>
      <c r="M48" s="61" t="e">
        <f>IF(L48&lt;0,Pricing!E48*$N$5,0)</f>
        <v>#REF!</v>
      </c>
      <c r="N48" s="61" t="e">
        <f t="shared" si="3"/>
        <v>#REF!</v>
      </c>
      <c r="O48" s="60" t="e">
        <f>#REF!</f>
        <v>#REF!</v>
      </c>
      <c r="P48" s="61" t="e">
        <f>IF(O48&lt;0,Pricing!E48*$Q$5,0)</f>
        <v>#REF!</v>
      </c>
      <c r="Q48" s="61" t="e">
        <f t="shared" si="4"/>
        <v>#REF!</v>
      </c>
      <c r="R48" s="60" t="e">
        <f>#REF!</f>
        <v>#REF!</v>
      </c>
      <c r="S48" s="61" t="e">
        <f>IF(R48&lt;0,Pricing!E48*$T$5,0)</f>
        <v>#REF!</v>
      </c>
      <c r="T48" s="61" t="e">
        <f t="shared" si="5"/>
        <v>#REF!</v>
      </c>
    </row>
    <row r="49" spans="1:20" x14ac:dyDescent="0.25">
      <c r="A49" s="58">
        <f t="shared" si="6"/>
        <v>44532.749999999898</v>
      </c>
      <c r="B49" s="59">
        <f t="shared" si="7"/>
        <v>44532.791666666562</v>
      </c>
      <c r="C49" s="60" t="e">
        <f>#REF!</f>
        <v>#REF!</v>
      </c>
      <c r="D49" s="61" t="e">
        <f>IF(C49&gt;0,Pricing!E49*$E$5,0)</f>
        <v>#REF!</v>
      </c>
      <c r="E49" s="61" t="e">
        <f t="shared" si="0"/>
        <v>#REF!</v>
      </c>
      <c r="F49" s="60" t="e">
        <f>#REF!</f>
        <v>#REF!</v>
      </c>
      <c r="G49" s="61" t="e">
        <f>IF(F49&gt;0,Pricing!E49*$H$5,0)</f>
        <v>#REF!</v>
      </c>
      <c r="H49" s="61" t="e">
        <f t="shared" si="1"/>
        <v>#REF!</v>
      </c>
      <c r="I49" s="62" t="e">
        <f>#REF!</f>
        <v>#REF!</v>
      </c>
      <c r="J49" s="61" t="e">
        <f>IF(I49&gt;0,Pricing!E49*$K$5,0)</f>
        <v>#REF!</v>
      </c>
      <c r="K49" s="63" t="e">
        <f t="shared" si="2"/>
        <v>#REF!</v>
      </c>
      <c r="L49" s="64" t="e">
        <f>#REF!</f>
        <v>#REF!</v>
      </c>
      <c r="M49" s="61" t="e">
        <f>IF(L49&lt;0,Pricing!E49*$N$5,0)</f>
        <v>#REF!</v>
      </c>
      <c r="N49" s="61" t="e">
        <f t="shared" si="3"/>
        <v>#REF!</v>
      </c>
      <c r="O49" s="60" t="e">
        <f>#REF!</f>
        <v>#REF!</v>
      </c>
      <c r="P49" s="61" t="e">
        <f>IF(O49&lt;0,Pricing!E49*$Q$5,0)</f>
        <v>#REF!</v>
      </c>
      <c r="Q49" s="61" t="e">
        <f t="shared" si="4"/>
        <v>#REF!</v>
      </c>
      <c r="R49" s="60" t="e">
        <f>#REF!</f>
        <v>#REF!</v>
      </c>
      <c r="S49" s="61" t="e">
        <f>IF(R49&lt;0,Pricing!E49*$T$5,0)</f>
        <v>#REF!</v>
      </c>
      <c r="T49" s="61" t="e">
        <f t="shared" si="5"/>
        <v>#REF!</v>
      </c>
    </row>
    <row r="50" spans="1:20" x14ac:dyDescent="0.25">
      <c r="A50" s="58">
        <f t="shared" si="6"/>
        <v>44532.791666666562</v>
      </c>
      <c r="B50" s="59">
        <f t="shared" si="7"/>
        <v>44532.833333333227</v>
      </c>
      <c r="C50" s="60" t="e">
        <f>#REF!</f>
        <v>#REF!</v>
      </c>
      <c r="D50" s="61" t="e">
        <f>IF(C50&gt;0,Pricing!E50*$E$5,0)</f>
        <v>#REF!</v>
      </c>
      <c r="E50" s="61" t="e">
        <f t="shared" si="0"/>
        <v>#REF!</v>
      </c>
      <c r="F50" s="60" t="e">
        <f>#REF!</f>
        <v>#REF!</v>
      </c>
      <c r="G50" s="61" t="e">
        <f>IF(F50&gt;0,Pricing!E50*$H$5,0)</f>
        <v>#REF!</v>
      </c>
      <c r="H50" s="61" t="e">
        <f t="shared" si="1"/>
        <v>#REF!</v>
      </c>
      <c r="I50" s="62" t="e">
        <f>#REF!</f>
        <v>#REF!</v>
      </c>
      <c r="J50" s="61" t="e">
        <f>IF(I50&gt;0,Pricing!E50*$K$5,0)</f>
        <v>#REF!</v>
      </c>
      <c r="K50" s="63" t="e">
        <f t="shared" si="2"/>
        <v>#REF!</v>
      </c>
      <c r="L50" s="64" t="e">
        <f>#REF!</f>
        <v>#REF!</v>
      </c>
      <c r="M50" s="61" t="e">
        <f>IF(L50&lt;0,Pricing!E50*$N$5,0)</f>
        <v>#REF!</v>
      </c>
      <c r="N50" s="61" t="e">
        <f t="shared" si="3"/>
        <v>#REF!</v>
      </c>
      <c r="O50" s="60" t="e">
        <f>#REF!</f>
        <v>#REF!</v>
      </c>
      <c r="P50" s="61" t="e">
        <f>IF(O50&lt;0,Pricing!E50*$Q$5,0)</f>
        <v>#REF!</v>
      </c>
      <c r="Q50" s="61" t="e">
        <f t="shared" si="4"/>
        <v>#REF!</v>
      </c>
      <c r="R50" s="60" t="e">
        <f>#REF!</f>
        <v>#REF!</v>
      </c>
      <c r="S50" s="61" t="e">
        <f>IF(R50&lt;0,Pricing!E50*$T$5,0)</f>
        <v>#REF!</v>
      </c>
      <c r="T50" s="61" t="e">
        <f t="shared" si="5"/>
        <v>#REF!</v>
      </c>
    </row>
    <row r="51" spans="1:20" x14ac:dyDescent="0.25">
      <c r="A51" s="58">
        <f t="shared" si="6"/>
        <v>44532.833333333227</v>
      </c>
      <c r="B51" s="59">
        <f t="shared" si="7"/>
        <v>44532.874999999891</v>
      </c>
      <c r="C51" s="60" t="e">
        <f>#REF!</f>
        <v>#REF!</v>
      </c>
      <c r="D51" s="61" t="e">
        <f>IF(C51&gt;0,Pricing!E51*$E$5,0)</f>
        <v>#REF!</v>
      </c>
      <c r="E51" s="61" t="e">
        <f t="shared" si="0"/>
        <v>#REF!</v>
      </c>
      <c r="F51" s="60" t="e">
        <f>#REF!</f>
        <v>#REF!</v>
      </c>
      <c r="G51" s="61" t="e">
        <f>IF(F51&gt;0,Pricing!E51*$H$5,0)</f>
        <v>#REF!</v>
      </c>
      <c r="H51" s="61" t="e">
        <f t="shared" si="1"/>
        <v>#REF!</v>
      </c>
      <c r="I51" s="62" t="e">
        <f>#REF!</f>
        <v>#REF!</v>
      </c>
      <c r="J51" s="61" t="e">
        <f>IF(I51&gt;0,Pricing!E51*$K$5,0)</f>
        <v>#REF!</v>
      </c>
      <c r="K51" s="63" t="e">
        <f t="shared" si="2"/>
        <v>#REF!</v>
      </c>
      <c r="L51" s="64" t="e">
        <f>#REF!</f>
        <v>#REF!</v>
      </c>
      <c r="M51" s="61" t="e">
        <f>IF(L51&lt;0,Pricing!E51*$N$5,0)</f>
        <v>#REF!</v>
      </c>
      <c r="N51" s="61" t="e">
        <f t="shared" si="3"/>
        <v>#REF!</v>
      </c>
      <c r="O51" s="60" t="e">
        <f>#REF!</f>
        <v>#REF!</v>
      </c>
      <c r="P51" s="61" t="e">
        <f>IF(O51&lt;0,Pricing!E51*$Q$5,0)</f>
        <v>#REF!</v>
      </c>
      <c r="Q51" s="61" t="e">
        <f t="shared" si="4"/>
        <v>#REF!</v>
      </c>
      <c r="R51" s="60" t="e">
        <f>#REF!</f>
        <v>#REF!</v>
      </c>
      <c r="S51" s="61" t="e">
        <f>IF(R51&lt;0,Pricing!E51*$T$5,0)</f>
        <v>#REF!</v>
      </c>
      <c r="T51" s="61" t="e">
        <f t="shared" si="5"/>
        <v>#REF!</v>
      </c>
    </row>
    <row r="52" spans="1:20" x14ac:dyDescent="0.25">
      <c r="A52" s="58">
        <f t="shared" si="6"/>
        <v>44532.874999999891</v>
      </c>
      <c r="B52" s="59">
        <f t="shared" si="7"/>
        <v>44532.916666666555</v>
      </c>
      <c r="C52" s="60" t="e">
        <f>#REF!</f>
        <v>#REF!</v>
      </c>
      <c r="D52" s="61" t="e">
        <f>IF(C52&gt;0,Pricing!E52*$E$5,0)</f>
        <v>#REF!</v>
      </c>
      <c r="E52" s="61" t="e">
        <f t="shared" si="0"/>
        <v>#REF!</v>
      </c>
      <c r="F52" s="60" t="e">
        <f>#REF!</f>
        <v>#REF!</v>
      </c>
      <c r="G52" s="61" t="e">
        <f>IF(F52&gt;0,Pricing!E52*$H$5,0)</f>
        <v>#REF!</v>
      </c>
      <c r="H52" s="61" t="e">
        <f t="shared" si="1"/>
        <v>#REF!</v>
      </c>
      <c r="I52" s="62" t="e">
        <f>#REF!</f>
        <v>#REF!</v>
      </c>
      <c r="J52" s="61" t="e">
        <f>IF(I52&gt;0,Pricing!E52*$K$5,0)</f>
        <v>#REF!</v>
      </c>
      <c r="K52" s="63" t="e">
        <f t="shared" si="2"/>
        <v>#REF!</v>
      </c>
      <c r="L52" s="64" t="e">
        <f>#REF!</f>
        <v>#REF!</v>
      </c>
      <c r="M52" s="61" t="e">
        <f>IF(L52&lt;0,Pricing!E52*$N$5,0)</f>
        <v>#REF!</v>
      </c>
      <c r="N52" s="61" t="e">
        <f t="shared" si="3"/>
        <v>#REF!</v>
      </c>
      <c r="O52" s="60" t="e">
        <f>#REF!</f>
        <v>#REF!</v>
      </c>
      <c r="P52" s="61" t="e">
        <f>IF(O52&lt;0,Pricing!E52*$Q$5,0)</f>
        <v>#REF!</v>
      </c>
      <c r="Q52" s="61" t="e">
        <f t="shared" si="4"/>
        <v>#REF!</v>
      </c>
      <c r="R52" s="60" t="e">
        <f>#REF!</f>
        <v>#REF!</v>
      </c>
      <c r="S52" s="61" t="e">
        <f>IF(R52&lt;0,Pricing!E52*$T$5,0)</f>
        <v>#REF!</v>
      </c>
      <c r="T52" s="61" t="e">
        <f t="shared" si="5"/>
        <v>#REF!</v>
      </c>
    </row>
    <row r="53" spans="1:20" x14ac:dyDescent="0.25">
      <c r="A53" s="58">
        <f t="shared" si="6"/>
        <v>44532.916666666555</v>
      </c>
      <c r="B53" s="59">
        <f t="shared" si="7"/>
        <v>44532.958333333219</v>
      </c>
      <c r="C53" s="60" t="e">
        <f>#REF!</f>
        <v>#REF!</v>
      </c>
      <c r="D53" s="61" t="e">
        <f>IF(C53&gt;0,Pricing!E53*$E$5,0)</f>
        <v>#REF!</v>
      </c>
      <c r="E53" s="61" t="e">
        <f t="shared" si="0"/>
        <v>#REF!</v>
      </c>
      <c r="F53" s="60" t="e">
        <f>#REF!</f>
        <v>#REF!</v>
      </c>
      <c r="G53" s="61" t="e">
        <f>IF(F53&gt;0,Pricing!E53*$H$5,0)</f>
        <v>#REF!</v>
      </c>
      <c r="H53" s="61" t="e">
        <f t="shared" si="1"/>
        <v>#REF!</v>
      </c>
      <c r="I53" s="62" t="e">
        <f>#REF!</f>
        <v>#REF!</v>
      </c>
      <c r="J53" s="61" t="e">
        <f>IF(I53&gt;0,Pricing!E53*$K$5,0)</f>
        <v>#REF!</v>
      </c>
      <c r="K53" s="63" t="e">
        <f t="shared" si="2"/>
        <v>#REF!</v>
      </c>
      <c r="L53" s="64" t="e">
        <f>#REF!</f>
        <v>#REF!</v>
      </c>
      <c r="M53" s="61" t="e">
        <f>IF(L53&lt;0,Pricing!E53*$N$5,0)</f>
        <v>#REF!</v>
      </c>
      <c r="N53" s="61" t="e">
        <f t="shared" si="3"/>
        <v>#REF!</v>
      </c>
      <c r="O53" s="60" t="e">
        <f>#REF!</f>
        <v>#REF!</v>
      </c>
      <c r="P53" s="61" t="e">
        <f>IF(O53&lt;0,Pricing!E53*$Q$5,0)</f>
        <v>#REF!</v>
      </c>
      <c r="Q53" s="61" t="e">
        <f t="shared" si="4"/>
        <v>#REF!</v>
      </c>
      <c r="R53" s="60" t="e">
        <f>#REF!</f>
        <v>#REF!</v>
      </c>
      <c r="S53" s="61" t="e">
        <f>IF(R53&lt;0,Pricing!E53*$T$5,0)</f>
        <v>#REF!</v>
      </c>
      <c r="T53" s="61" t="e">
        <f t="shared" si="5"/>
        <v>#REF!</v>
      </c>
    </row>
    <row r="54" spans="1:20" x14ac:dyDescent="0.25">
      <c r="A54" s="58">
        <f t="shared" si="6"/>
        <v>44532.958333333219</v>
      </c>
      <c r="B54" s="59">
        <f t="shared" si="7"/>
        <v>44532.999999999884</v>
      </c>
      <c r="C54" s="60" t="e">
        <f>#REF!</f>
        <v>#REF!</v>
      </c>
      <c r="D54" s="61" t="e">
        <f>IF(C54&gt;0,Pricing!E54*$E$5,0)</f>
        <v>#REF!</v>
      </c>
      <c r="E54" s="61" t="e">
        <f t="shared" si="0"/>
        <v>#REF!</v>
      </c>
      <c r="F54" s="60" t="e">
        <f>#REF!</f>
        <v>#REF!</v>
      </c>
      <c r="G54" s="61" t="e">
        <f>IF(F54&gt;0,Pricing!E54*$H$5,0)</f>
        <v>#REF!</v>
      </c>
      <c r="H54" s="61" t="e">
        <f t="shared" si="1"/>
        <v>#REF!</v>
      </c>
      <c r="I54" s="62" t="e">
        <f>#REF!</f>
        <v>#REF!</v>
      </c>
      <c r="J54" s="61" t="e">
        <f>IF(I54&gt;0,Pricing!E54*$K$5,0)</f>
        <v>#REF!</v>
      </c>
      <c r="K54" s="63" t="e">
        <f t="shared" si="2"/>
        <v>#REF!</v>
      </c>
      <c r="L54" s="64" t="e">
        <f>#REF!</f>
        <v>#REF!</v>
      </c>
      <c r="M54" s="61" t="e">
        <f>IF(L54&lt;0,Pricing!E54*$N$5,0)</f>
        <v>#REF!</v>
      </c>
      <c r="N54" s="61" t="e">
        <f t="shared" si="3"/>
        <v>#REF!</v>
      </c>
      <c r="O54" s="60" t="e">
        <f>#REF!</f>
        <v>#REF!</v>
      </c>
      <c r="P54" s="61" t="e">
        <f>IF(O54&lt;0,Pricing!E54*$Q$5,0)</f>
        <v>#REF!</v>
      </c>
      <c r="Q54" s="61" t="e">
        <f t="shared" si="4"/>
        <v>#REF!</v>
      </c>
      <c r="R54" s="60" t="e">
        <f>#REF!</f>
        <v>#REF!</v>
      </c>
      <c r="S54" s="61" t="e">
        <f>IF(R54&lt;0,Pricing!E54*$T$5,0)</f>
        <v>#REF!</v>
      </c>
      <c r="T54" s="61" t="e">
        <f t="shared" si="5"/>
        <v>#REF!</v>
      </c>
    </row>
    <row r="55" spans="1:20" x14ac:dyDescent="0.25">
      <c r="A55" s="58">
        <f t="shared" si="6"/>
        <v>44532.999999999884</v>
      </c>
      <c r="B55" s="59">
        <f t="shared" si="7"/>
        <v>44533.041666666548</v>
      </c>
      <c r="C55" s="60" t="e">
        <f>#REF!</f>
        <v>#REF!</v>
      </c>
      <c r="D55" s="61" t="e">
        <f>IF(C55&gt;0,Pricing!E55*$E$5,0)</f>
        <v>#REF!</v>
      </c>
      <c r="E55" s="61" t="e">
        <f t="shared" si="0"/>
        <v>#REF!</v>
      </c>
      <c r="F55" s="60" t="e">
        <f>#REF!</f>
        <v>#REF!</v>
      </c>
      <c r="G55" s="61" t="e">
        <f>IF(F55&gt;0,Pricing!E55*$H$5,0)</f>
        <v>#REF!</v>
      </c>
      <c r="H55" s="61" t="e">
        <f t="shared" si="1"/>
        <v>#REF!</v>
      </c>
      <c r="I55" s="62" t="e">
        <f>#REF!</f>
        <v>#REF!</v>
      </c>
      <c r="J55" s="61" t="e">
        <f>IF(I55&gt;0,Pricing!E55*$K$5,0)</f>
        <v>#REF!</v>
      </c>
      <c r="K55" s="63" t="e">
        <f t="shared" si="2"/>
        <v>#REF!</v>
      </c>
      <c r="L55" s="64" t="e">
        <f>#REF!</f>
        <v>#REF!</v>
      </c>
      <c r="M55" s="61" t="e">
        <f>IF(L55&lt;0,Pricing!E55*$N$5,0)</f>
        <v>#REF!</v>
      </c>
      <c r="N55" s="61" t="e">
        <f t="shared" si="3"/>
        <v>#REF!</v>
      </c>
      <c r="O55" s="60" t="e">
        <f>#REF!</f>
        <v>#REF!</v>
      </c>
      <c r="P55" s="61" t="e">
        <f>IF(O55&lt;0,Pricing!E55*$Q$5,0)</f>
        <v>#REF!</v>
      </c>
      <c r="Q55" s="61" t="e">
        <f t="shared" si="4"/>
        <v>#REF!</v>
      </c>
      <c r="R55" s="60" t="e">
        <f>#REF!</f>
        <v>#REF!</v>
      </c>
      <c r="S55" s="61" t="e">
        <f>IF(R55&lt;0,Pricing!E55*$T$5,0)</f>
        <v>#REF!</v>
      </c>
      <c r="T55" s="61" t="e">
        <f t="shared" si="5"/>
        <v>#REF!</v>
      </c>
    </row>
    <row r="56" spans="1:20" x14ac:dyDescent="0.25">
      <c r="A56" s="58">
        <f t="shared" si="6"/>
        <v>44533.041666666548</v>
      </c>
      <c r="B56" s="59">
        <f t="shared" si="7"/>
        <v>44533.083333333212</v>
      </c>
      <c r="C56" s="60" t="e">
        <f>#REF!</f>
        <v>#REF!</v>
      </c>
      <c r="D56" s="61" t="e">
        <f>IF(C56&gt;0,Pricing!E56*$E$5,0)</f>
        <v>#REF!</v>
      </c>
      <c r="E56" s="61" t="e">
        <f t="shared" si="0"/>
        <v>#REF!</v>
      </c>
      <c r="F56" s="60" t="e">
        <f>#REF!</f>
        <v>#REF!</v>
      </c>
      <c r="G56" s="61" t="e">
        <f>IF(F56&gt;0,Pricing!E56*$H$5,0)</f>
        <v>#REF!</v>
      </c>
      <c r="H56" s="61" t="e">
        <f t="shared" si="1"/>
        <v>#REF!</v>
      </c>
      <c r="I56" s="62" t="e">
        <f>#REF!</f>
        <v>#REF!</v>
      </c>
      <c r="J56" s="61" t="e">
        <f>IF(I56&gt;0,Pricing!E56*$K$5,0)</f>
        <v>#REF!</v>
      </c>
      <c r="K56" s="63" t="e">
        <f t="shared" si="2"/>
        <v>#REF!</v>
      </c>
      <c r="L56" s="64" t="e">
        <f>#REF!</f>
        <v>#REF!</v>
      </c>
      <c r="M56" s="61" t="e">
        <f>IF(L56&lt;0,Pricing!E56*$N$5,0)</f>
        <v>#REF!</v>
      </c>
      <c r="N56" s="61" t="e">
        <f t="shared" si="3"/>
        <v>#REF!</v>
      </c>
      <c r="O56" s="60" t="e">
        <f>#REF!</f>
        <v>#REF!</v>
      </c>
      <c r="P56" s="61" t="e">
        <f>IF(O56&lt;0,Pricing!E56*$Q$5,0)</f>
        <v>#REF!</v>
      </c>
      <c r="Q56" s="61" t="e">
        <f t="shared" si="4"/>
        <v>#REF!</v>
      </c>
      <c r="R56" s="60" t="e">
        <f>#REF!</f>
        <v>#REF!</v>
      </c>
      <c r="S56" s="61" t="e">
        <f>IF(R56&lt;0,Pricing!E56*$T$5,0)</f>
        <v>#REF!</v>
      </c>
      <c r="T56" s="61" t="e">
        <f t="shared" si="5"/>
        <v>#REF!</v>
      </c>
    </row>
    <row r="57" spans="1:20" x14ac:dyDescent="0.25">
      <c r="A57" s="58">
        <f t="shared" si="6"/>
        <v>44533.083333333212</v>
      </c>
      <c r="B57" s="59">
        <f t="shared" si="7"/>
        <v>44533.124999999876</v>
      </c>
      <c r="C57" s="60" t="e">
        <f>#REF!</f>
        <v>#REF!</v>
      </c>
      <c r="D57" s="61" t="e">
        <f>IF(C57&gt;0,Pricing!E57*$E$5,0)</f>
        <v>#REF!</v>
      </c>
      <c r="E57" s="61" t="e">
        <f t="shared" si="0"/>
        <v>#REF!</v>
      </c>
      <c r="F57" s="60" t="e">
        <f>#REF!</f>
        <v>#REF!</v>
      </c>
      <c r="G57" s="61" t="e">
        <f>IF(F57&gt;0,Pricing!E57*$H$5,0)</f>
        <v>#REF!</v>
      </c>
      <c r="H57" s="61" t="e">
        <f t="shared" si="1"/>
        <v>#REF!</v>
      </c>
      <c r="I57" s="62" t="e">
        <f>#REF!</f>
        <v>#REF!</v>
      </c>
      <c r="J57" s="61" t="e">
        <f>IF(I57&gt;0,Pricing!E57*$K$5,0)</f>
        <v>#REF!</v>
      </c>
      <c r="K57" s="63" t="e">
        <f t="shared" si="2"/>
        <v>#REF!</v>
      </c>
      <c r="L57" s="64" t="e">
        <f>#REF!</f>
        <v>#REF!</v>
      </c>
      <c r="M57" s="61" t="e">
        <f>IF(L57&lt;0,Pricing!E57*$N$5,0)</f>
        <v>#REF!</v>
      </c>
      <c r="N57" s="61" t="e">
        <f t="shared" si="3"/>
        <v>#REF!</v>
      </c>
      <c r="O57" s="60" t="e">
        <f>#REF!</f>
        <v>#REF!</v>
      </c>
      <c r="P57" s="61" t="e">
        <f>IF(O57&lt;0,Pricing!E57*$Q$5,0)</f>
        <v>#REF!</v>
      </c>
      <c r="Q57" s="61" t="e">
        <f t="shared" si="4"/>
        <v>#REF!</v>
      </c>
      <c r="R57" s="60" t="e">
        <f>#REF!</f>
        <v>#REF!</v>
      </c>
      <c r="S57" s="61" t="e">
        <f>IF(R57&lt;0,Pricing!E57*$T$5,0)</f>
        <v>#REF!</v>
      </c>
      <c r="T57" s="61" t="e">
        <f t="shared" si="5"/>
        <v>#REF!</v>
      </c>
    </row>
    <row r="58" spans="1:20" x14ac:dyDescent="0.25">
      <c r="A58" s="58">
        <f t="shared" si="6"/>
        <v>44533.124999999876</v>
      </c>
      <c r="B58" s="59">
        <f t="shared" si="7"/>
        <v>44533.166666666541</v>
      </c>
      <c r="C58" s="60" t="e">
        <f>#REF!</f>
        <v>#REF!</v>
      </c>
      <c r="D58" s="61" t="e">
        <f>IF(C58&gt;0,Pricing!E58*$E$5,0)</f>
        <v>#REF!</v>
      </c>
      <c r="E58" s="61" t="e">
        <f t="shared" si="0"/>
        <v>#REF!</v>
      </c>
      <c r="F58" s="60" t="e">
        <f>#REF!</f>
        <v>#REF!</v>
      </c>
      <c r="G58" s="61" t="e">
        <f>IF(F58&gt;0,Pricing!E58*$H$5,0)</f>
        <v>#REF!</v>
      </c>
      <c r="H58" s="61" t="e">
        <f t="shared" si="1"/>
        <v>#REF!</v>
      </c>
      <c r="I58" s="62" t="e">
        <f>#REF!</f>
        <v>#REF!</v>
      </c>
      <c r="J58" s="61" t="e">
        <f>IF(I58&gt;0,Pricing!E58*$K$5,0)</f>
        <v>#REF!</v>
      </c>
      <c r="K58" s="63" t="e">
        <f t="shared" si="2"/>
        <v>#REF!</v>
      </c>
      <c r="L58" s="64" t="e">
        <f>#REF!</f>
        <v>#REF!</v>
      </c>
      <c r="M58" s="61" t="e">
        <f>IF(L58&lt;0,Pricing!E58*$N$5,0)</f>
        <v>#REF!</v>
      </c>
      <c r="N58" s="61" t="e">
        <f t="shared" si="3"/>
        <v>#REF!</v>
      </c>
      <c r="O58" s="60" t="e">
        <f>#REF!</f>
        <v>#REF!</v>
      </c>
      <c r="P58" s="61" t="e">
        <f>IF(O58&lt;0,Pricing!E58*$Q$5,0)</f>
        <v>#REF!</v>
      </c>
      <c r="Q58" s="61" t="e">
        <f t="shared" si="4"/>
        <v>#REF!</v>
      </c>
      <c r="R58" s="60" t="e">
        <f>#REF!</f>
        <v>#REF!</v>
      </c>
      <c r="S58" s="61" t="e">
        <f>IF(R58&lt;0,Pricing!E58*$T$5,0)</f>
        <v>#REF!</v>
      </c>
      <c r="T58" s="61" t="e">
        <f t="shared" si="5"/>
        <v>#REF!</v>
      </c>
    </row>
    <row r="59" spans="1:20" x14ac:dyDescent="0.25">
      <c r="A59" s="58">
        <f t="shared" si="6"/>
        <v>44533.166666666541</v>
      </c>
      <c r="B59" s="59">
        <f t="shared" si="7"/>
        <v>44533.208333333205</v>
      </c>
      <c r="C59" s="60" t="e">
        <f>#REF!</f>
        <v>#REF!</v>
      </c>
      <c r="D59" s="61" t="e">
        <f>IF(C59&gt;0,Pricing!E59*$E$5,0)</f>
        <v>#REF!</v>
      </c>
      <c r="E59" s="61" t="e">
        <f t="shared" si="0"/>
        <v>#REF!</v>
      </c>
      <c r="F59" s="60" t="e">
        <f>#REF!</f>
        <v>#REF!</v>
      </c>
      <c r="G59" s="61" t="e">
        <f>IF(F59&gt;0,Pricing!E59*$H$5,0)</f>
        <v>#REF!</v>
      </c>
      <c r="H59" s="61" t="e">
        <f t="shared" si="1"/>
        <v>#REF!</v>
      </c>
      <c r="I59" s="62" t="e">
        <f>#REF!</f>
        <v>#REF!</v>
      </c>
      <c r="J59" s="61" t="e">
        <f>IF(I59&gt;0,Pricing!E59*$K$5,0)</f>
        <v>#REF!</v>
      </c>
      <c r="K59" s="63" t="e">
        <f t="shared" si="2"/>
        <v>#REF!</v>
      </c>
      <c r="L59" s="64" t="e">
        <f>#REF!</f>
        <v>#REF!</v>
      </c>
      <c r="M59" s="61" t="e">
        <f>IF(L59&lt;0,Pricing!E59*$N$5,0)</f>
        <v>#REF!</v>
      </c>
      <c r="N59" s="61" t="e">
        <f t="shared" si="3"/>
        <v>#REF!</v>
      </c>
      <c r="O59" s="60" t="e">
        <f>#REF!</f>
        <v>#REF!</v>
      </c>
      <c r="P59" s="61" t="e">
        <f>IF(O59&lt;0,Pricing!E59*$Q$5,0)</f>
        <v>#REF!</v>
      </c>
      <c r="Q59" s="61" t="e">
        <f t="shared" si="4"/>
        <v>#REF!</v>
      </c>
      <c r="R59" s="60" t="e">
        <f>#REF!</f>
        <v>#REF!</v>
      </c>
      <c r="S59" s="61" t="e">
        <f>IF(R59&lt;0,Pricing!E59*$T$5,0)</f>
        <v>#REF!</v>
      </c>
      <c r="T59" s="61" t="e">
        <f t="shared" si="5"/>
        <v>#REF!</v>
      </c>
    </row>
    <row r="60" spans="1:20" x14ac:dyDescent="0.25">
      <c r="A60" s="58">
        <f t="shared" si="6"/>
        <v>44533.208333333205</v>
      </c>
      <c r="B60" s="59">
        <f t="shared" si="7"/>
        <v>44533.249999999869</v>
      </c>
      <c r="C60" s="60" t="e">
        <f>#REF!</f>
        <v>#REF!</v>
      </c>
      <c r="D60" s="61" t="e">
        <f>IF(C60&gt;0,Pricing!E60*$E$5,0)</f>
        <v>#REF!</v>
      </c>
      <c r="E60" s="61" t="e">
        <f t="shared" si="0"/>
        <v>#REF!</v>
      </c>
      <c r="F60" s="60" t="e">
        <f>#REF!</f>
        <v>#REF!</v>
      </c>
      <c r="G60" s="61" t="e">
        <f>IF(F60&gt;0,Pricing!E60*$H$5,0)</f>
        <v>#REF!</v>
      </c>
      <c r="H60" s="61" t="e">
        <f t="shared" si="1"/>
        <v>#REF!</v>
      </c>
      <c r="I60" s="62" t="e">
        <f>#REF!</f>
        <v>#REF!</v>
      </c>
      <c r="J60" s="61" t="e">
        <f>IF(I60&gt;0,Pricing!E60*$K$5,0)</f>
        <v>#REF!</v>
      </c>
      <c r="K60" s="63" t="e">
        <f t="shared" si="2"/>
        <v>#REF!</v>
      </c>
      <c r="L60" s="64" t="e">
        <f>#REF!</f>
        <v>#REF!</v>
      </c>
      <c r="M60" s="61" t="e">
        <f>IF(L60&lt;0,Pricing!E60*$N$5,0)</f>
        <v>#REF!</v>
      </c>
      <c r="N60" s="61" t="e">
        <f t="shared" si="3"/>
        <v>#REF!</v>
      </c>
      <c r="O60" s="60" t="e">
        <f>#REF!</f>
        <v>#REF!</v>
      </c>
      <c r="P60" s="61" t="e">
        <f>IF(O60&lt;0,Pricing!E60*$Q$5,0)</f>
        <v>#REF!</v>
      </c>
      <c r="Q60" s="61" t="e">
        <f t="shared" si="4"/>
        <v>#REF!</v>
      </c>
      <c r="R60" s="60" t="e">
        <f>#REF!</f>
        <v>#REF!</v>
      </c>
      <c r="S60" s="61" t="e">
        <f>IF(R60&lt;0,Pricing!E60*$T$5,0)</f>
        <v>#REF!</v>
      </c>
      <c r="T60" s="61" t="e">
        <f t="shared" si="5"/>
        <v>#REF!</v>
      </c>
    </row>
    <row r="61" spans="1:20" x14ac:dyDescent="0.25">
      <c r="A61" s="58">
        <f t="shared" si="6"/>
        <v>44533.249999999869</v>
      </c>
      <c r="B61" s="59">
        <f t="shared" si="7"/>
        <v>44533.291666666533</v>
      </c>
      <c r="C61" s="60" t="e">
        <f>#REF!</f>
        <v>#REF!</v>
      </c>
      <c r="D61" s="61" t="e">
        <f>IF(C61&gt;0,Pricing!E61*$E$5,0)</f>
        <v>#REF!</v>
      </c>
      <c r="E61" s="61" t="e">
        <f t="shared" si="0"/>
        <v>#REF!</v>
      </c>
      <c r="F61" s="60" t="e">
        <f>#REF!</f>
        <v>#REF!</v>
      </c>
      <c r="G61" s="61" t="e">
        <f>IF(F61&gt;0,Pricing!E61*$H$5,0)</f>
        <v>#REF!</v>
      </c>
      <c r="H61" s="61" t="e">
        <f t="shared" si="1"/>
        <v>#REF!</v>
      </c>
      <c r="I61" s="62" t="e">
        <f>#REF!</f>
        <v>#REF!</v>
      </c>
      <c r="J61" s="61" t="e">
        <f>IF(I61&gt;0,Pricing!E61*$K$5,0)</f>
        <v>#REF!</v>
      </c>
      <c r="K61" s="63" t="e">
        <f t="shared" si="2"/>
        <v>#REF!</v>
      </c>
      <c r="L61" s="64" t="e">
        <f>#REF!</f>
        <v>#REF!</v>
      </c>
      <c r="M61" s="61" t="e">
        <f>IF(L61&lt;0,Pricing!E61*$N$5,0)</f>
        <v>#REF!</v>
      </c>
      <c r="N61" s="61" t="e">
        <f t="shared" si="3"/>
        <v>#REF!</v>
      </c>
      <c r="O61" s="60" t="e">
        <f>#REF!</f>
        <v>#REF!</v>
      </c>
      <c r="P61" s="61" t="e">
        <f>IF(O61&lt;0,Pricing!E61*$Q$5,0)</f>
        <v>#REF!</v>
      </c>
      <c r="Q61" s="61" t="e">
        <f t="shared" si="4"/>
        <v>#REF!</v>
      </c>
      <c r="R61" s="60" t="e">
        <f>#REF!</f>
        <v>#REF!</v>
      </c>
      <c r="S61" s="61" t="e">
        <f>IF(R61&lt;0,Pricing!E61*$T$5,0)</f>
        <v>#REF!</v>
      </c>
      <c r="T61" s="61" t="e">
        <f t="shared" si="5"/>
        <v>#REF!</v>
      </c>
    </row>
    <row r="62" spans="1:20" x14ac:dyDescent="0.25">
      <c r="A62" s="58">
        <f t="shared" si="6"/>
        <v>44533.291666666533</v>
      </c>
      <c r="B62" s="59">
        <f t="shared" si="7"/>
        <v>44533.333333333198</v>
      </c>
      <c r="C62" s="60" t="e">
        <f>#REF!</f>
        <v>#REF!</v>
      </c>
      <c r="D62" s="61" t="e">
        <f>IF(C62&gt;0,Pricing!E62*$E$5,0)</f>
        <v>#REF!</v>
      </c>
      <c r="E62" s="61" t="e">
        <f t="shared" si="0"/>
        <v>#REF!</v>
      </c>
      <c r="F62" s="60" t="e">
        <f>#REF!</f>
        <v>#REF!</v>
      </c>
      <c r="G62" s="61" t="e">
        <f>IF(F62&gt;0,Pricing!E62*$H$5,0)</f>
        <v>#REF!</v>
      </c>
      <c r="H62" s="61" t="e">
        <f t="shared" si="1"/>
        <v>#REF!</v>
      </c>
      <c r="I62" s="62" t="e">
        <f>#REF!</f>
        <v>#REF!</v>
      </c>
      <c r="J62" s="61" t="e">
        <f>IF(I62&gt;0,Pricing!E62*$K$5,0)</f>
        <v>#REF!</v>
      </c>
      <c r="K62" s="63" t="e">
        <f t="shared" si="2"/>
        <v>#REF!</v>
      </c>
      <c r="L62" s="64" t="e">
        <f>#REF!</f>
        <v>#REF!</v>
      </c>
      <c r="M62" s="61" t="e">
        <f>IF(L62&lt;0,Pricing!E62*$N$5,0)</f>
        <v>#REF!</v>
      </c>
      <c r="N62" s="61" t="e">
        <f t="shared" si="3"/>
        <v>#REF!</v>
      </c>
      <c r="O62" s="60" t="e">
        <f>#REF!</f>
        <v>#REF!</v>
      </c>
      <c r="P62" s="61" t="e">
        <f>IF(O62&lt;0,Pricing!E62*$Q$5,0)</f>
        <v>#REF!</v>
      </c>
      <c r="Q62" s="61" t="e">
        <f t="shared" si="4"/>
        <v>#REF!</v>
      </c>
      <c r="R62" s="60" t="e">
        <f>#REF!</f>
        <v>#REF!</v>
      </c>
      <c r="S62" s="61" t="e">
        <f>IF(R62&lt;0,Pricing!E62*$T$5,0)</f>
        <v>#REF!</v>
      </c>
      <c r="T62" s="61" t="e">
        <f t="shared" si="5"/>
        <v>#REF!</v>
      </c>
    </row>
    <row r="63" spans="1:20" x14ac:dyDescent="0.25">
      <c r="A63" s="58">
        <f t="shared" si="6"/>
        <v>44533.333333333198</v>
      </c>
      <c r="B63" s="59">
        <f t="shared" si="7"/>
        <v>44533.374999999862</v>
      </c>
      <c r="C63" s="60" t="e">
        <f>#REF!</f>
        <v>#REF!</v>
      </c>
      <c r="D63" s="61" t="e">
        <f>IF(C63&gt;0,Pricing!E63*$E$5,0)</f>
        <v>#REF!</v>
      </c>
      <c r="E63" s="61" t="e">
        <f t="shared" si="0"/>
        <v>#REF!</v>
      </c>
      <c r="F63" s="60" t="e">
        <f>#REF!</f>
        <v>#REF!</v>
      </c>
      <c r="G63" s="61" t="e">
        <f>IF(F63&gt;0,Pricing!E63*$H$5,0)</f>
        <v>#REF!</v>
      </c>
      <c r="H63" s="61" t="e">
        <f t="shared" si="1"/>
        <v>#REF!</v>
      </c>
      <c r="I63" s="62" t="e">
        <f>#REF!</f>
        <v>#REF!</v>
      </c>
      <c r="J63" s="61" t="e">
        <f>IF(I63&gt;0,Pricing!E63*$K$5,0)</f>
        <v>#REF!</v>
      </c>
      <c r="K63" s="63" t="e">
        <f t="shared" si="2"/>
        <v>#REF!</v>
      </c>
      <c r="L63" s="64" t="e">
        <f>#REF!</f>
        <v>#REF!</v>
      </c>
      <c r="M63" s="61" t="e">
        <f>IF(L63&lt;0,Pricing!E63*$N$5,0)</f>
        <v>#REF!</v>
      </c>
      <c r="N63" s="61" t="e">
        <f t="shared" si="3"/>
        <v>#REF!</v>
      </c>
      <c r="O63" s="60" t="e">
        <f>#REF!</f>
        <v>#REF!</v>
      </c>
      <c r="P63" s="61" t="e">
        <f>IF(O63&lt;0,Pricing!E63*$Q$5,0)</f>
        <v>#REF!</v>
      </c>
      <c r="Q63" s="61" t="e">
        <f t="shared" si="4"/>
        <v>#REF!</v>
      </c>
      <c r="R63" s="60" t="e">
        <f>#REF!</f>
        <v>#REF!</v>
      </c>
      <c r="S63" s="61" t="e">
        <f>IF(R63&lt;0,Pricing!E63*$T$5,0)</f>
        <v>#REF!</v>
      </c>
      <c r="T63" s="61" t="e">
        <f t="shared" si="5"/>
        <v>#REF!</v>
      </c>
    </row>
    <row r="64" spans="1:20" x14ac:dyDescent="0.25">
      <c r="A64" s="58">
        <f t="shared" si="6"/>
        <v>44533.374999999862</v>
      </c>
      <c r="B64" s="59">
        <f t="shared" si="7"/>
        <v>44533.416666666526</v>
      </c>
      <c r="C64" s="60" t="e">
        <f>#REF!</f>
        <v>#REF!</v>
      </c>
      <c r="D64" s="61" t="e">
        <f>IF(C64&gt;0,Pricing!E64*$E$5,0)</f>
        <v>#REF!</v>
      </c>
      <c r="E64" s="61" t="e">
        <f t="shared" si="0"/>
        <v>#REF!</v>
      </c>
      <c r="F64" s="60" t="e">
        <f>#REF!</f>
        <v>#REF!</v>
      </c>
      <c r="G64" s="61" t="e">
        <f>IF(F64&gt;0,Pricing!E64*$H$5,0)</f>
        <v>#REF!</v>
      </c>
      <c r="H64" s="61" t="e">
        <f t="shared" si="1"/>
        <v>#REF!</v>
      </c>
      <c r="I64" s="62" t="e">
        <f>#REF!</f>
        <v>#REF!</v>
      </c>
      <c r="J64" s="61" t="e">
        <f>IF(I64&gt;0,Pricing!E64*$K$5,0)</f>
        <v>#REF!</v>
      </c>
      <c r="K64" s="63" t="e">
        <f t="shared" si="2"/>
        <v>#REF!</v>
      </c>
      <c r="L64" s="64" t="e">
        <f>#REF!</f>
        <v>#REF!</v>
      </c>
      <c r="M64" s="61" t="e">
        <f>IF(L64&lt;0,Pricing!E64*$N$5,0)</f>
        <v>#REF!</v>
      </c>
      <c r="N64" s="61" t="e">
        <f t="shared" si="3"/>
        <v>#REF!</v>
      </c>
      <c r="O64" s="60" t="e">
        <f>#REF!</f>
        <v>#REF!</v>
      </c>
      <c r="P64" s="61" t="e">
        <f>IF(O64&lt;0,Pricing!E64*$Q$5,0)</f>
        <v>#REF!</v>
      </c>
      <c r="Q64" s="61" t="e">
        <f t="shared" si="4"/>
        <v>#REF!</v>
      </c>
      <c r="R64" s="60" t="e">
        <f>#REF!</f>
        <v>#REF!</v>
      </c>
      <c r="S64" s="61" t="e">
        <f>IF(R64&lt;0,Pricing!E64*$T$5,0)</f>
        <v>#REF!</v>
      </c>
      <c r="T64" s="61" t="e">
        <f t="shared" si="5"/>
        <v>#REF!</v>
      </c>
    </row>
    <row r="65" spans="1:20" x14ac:dyDescent="0.25">
      <c r="A65" s="58">
        <f t="shared" si="6"/>
        <v>44533.416666666526</v>
      </c>
      <c r="B65" s="59">
        <f t="shared" si="7"/>
        <v>44533.45833333319</v>
      </c>
      <c r="C65" s="60" t="e">
        <f>#REF!</f>
        <v>#REF!</v>
      </c>
      <c r="D65" s="61" t="e">
        <f>IF(C65&gt;0,Pricing!E65*$E$5,0)</f>
        <v>#REF!</v>
      </c>
      <c r="E65" s="61" t="e">
        <f t="shared" si="0"/>
        <v>#REF!</v>
      </c>
      <c r="F65" s="60" t="e">
        <f>#REF!</f>
        <v>#REF!</v>
      </c>
      <c r="G65" s="61" t="e">
        <f>IF(F65&gt;0,Pricing!E65*$H$5,0)</f>
        <v>#REF!</v>
      </c>
      <c r="H65" s="61" t="e">
        <f t="shared" si="1"/>
        <v>#REF!</v>
      </c>
      <c r="I65" s="62" t="e">
        <f>#REF!</f>
        <v>#REF!</v>
      </c>
      <c r="J65" s="61" t="e">
        <f>IF(I65&gt;0,Pricing!E65*$K$5,0)</f>
        <v>#REF!</v>
      </c>
      <c r="K65" s="63" t="e">
        <f t="shared" si="2"/>
        <v>#REF!</v>
      </c>
      <c r="L65" s="64" t="e">
        <f>#REF!</f>
        <v>#REF!</v>
      </c>
      <c r="M65" s="61" t="e">
        <f>IF(L65&lt;0,Pricing!E65*$N$5,0)</f>
        <v>#REF!</v>
      </c>
      <c r="N65" s="61" t="e">
        <f t="shared" si="3"/>
        <v>#REF!</v>
      </c>
      <c r="O65" s="60" t="e">
        <f>#REF!</f>
        <v>#REF!</v>
      </c>
      <c r="P65" s="61" t="e">
        <f>IF(O65&lt;0,Pricing!E65*$Q$5,0)</f>
        <v>#REF!</v>
      </c>
      <c r="Q65" s="61" t="e">
        <f t="shared" si="4"/>
        <v>#REF!</v>
      </c>
      <c r="R65" s="60" t="e">
        <f>#REF!</f>
        <v>#REF!</v>
      </c>
      <c r="S65" s="61" t="e">
        <f>IF(R65&lt;0,Pricing!E65*$T$5,0)</f>
        <v>#REF!</v>
      </c>
      <c r="T65" s="61" t="e">
        <f t="shared" si="5"/>
        <v>#REF!</v>
      </c>
    </row>
    <row r="66" spans="1:20" x14ac:dyDescent="0.25">
      <c r="A66" s="58">
        <f t="shared" si="6"/>
        <v>44533.45833333319</v>
      </c>
      <c r="B66" s="59">
        <f t="shared" si="7"/>
        <v>44533.499999999854</v>
      </c>
      <c r="C66" s="60" t="e">
        <f>#REF!</f>
        <v>#REF!</v>
      </c>
      <c r="D66" s="61" t="e">
        <f>IF(C66&gt;0,Pricing!E66*$E$5,0)</f>
        <v>#REF!</v>
      </c>
      <c r="E66" s="61" t="e">
        <f t="shared" si="0"/>
        <v>#REF!</v>
      </c>
      <c r="F66" s="60" t="e">
        <f>#REF!</f>
        <v>#REF!</v>
      </c>
      <c r="G66" s="61" t="e">
        <f>IF(F66&gt;0,Pricing!E66*$H$5,0)</f>
        <v>#REF!</v>
      </c>
      <c r="H66" s="61" t="e">
        <f t="shared" si="1"/>
        <v>#REF!</v>
      </c>
      <c r="I66" s="62" t="e">
        <f>#REF!</f>
        <v>#REF!</v>
      </c>
      <c r="J66" s="61" t="e">
        <f>IF(I66&gt;0,Pricing!E66*$K$5,0)</f>
        <v>#REF!</v>
      </c>
      <c r="K66" s="63" t="e">
        <f t="shared" si="2"/>
        <v>#REF!</v>
      </c>
      <c r="L66" s="64" t="e">
        <f>#REF!</f>
        <v>#REF!</v>
      </c>
      <c r="M66" s="61" t="e">
        <f>IF(L66&lt;0,Pricing!E66*$N$5,0)</f>
        <v>#REF!</v>
      </c>
      <c r="N66" s="61" t="e">
        <f t="shared" si="3"/>
        <v>#REF!</v>
      </c>
      <c r="O66" s="60" t="e">
        <f>#REF!</f>
        <v>#REF!</v>
      </c>
      <c r="P66" s="61" t="e">
        <f>IF(O66&lt;0,Pricing!E66*$Q$5,0)</f>
        <v>#REF!</v>
      </c>
      <c r="Q66" s="61" t="e">
        <f t="shared" si="4"/>
        <v>#REF!</v>
      </c>
      <c r="R66" s="60" t="e">
        <f>#REF!</f>
        <v>#REF!</v>
      </c>
      <c r="S66" s="61" t="e">
        <f>IF(R66&lt;0,Pricing!E66*$T$5,0)</f>
        <v>#REF!</v>
      </c>
      <c r="T66" s="61" t="e">
        <f t="shared" si="5"/>
        <v>#REF!</v>
      </c>
    </row>
    <row r="67" spans="1:20" x14ac:dyDescent="0.25">
      <c r="A67" s="58">
        <f t="shared" si="6"/>
        <v>44533.499999999854</v>
      </c>
      <c r="B67" s="59">
        <f t="shared" si="7"/>
        <v>44533.541666666519</v>
      </c>
      <c r="C67" s="60" t="e">
        <f>#REF!</f>
        <v>#REF!</v>
      </c>
      <c r="D67" s="61" t="e">
        <f>IF(C67&gt;0,Pricing!E67*$E$5,0)</f>
        <v>#REF!</v>
      </c>
      <c r="E67" s="61" t="e">
        <f t="shared" si="0"/>
        <v>#REF!</v>
      </c>
      <c r="F67" s="60" t="e">
        <f>#REF!</f>
        <v>#REF!</v>
      </c>
      <c r="G67" s="61" t="e">
        <f>IF(F67&gt;0,Pricing!E67*$H$5,0)</f>
        <v>#REF!</v>
      </c>
      <c r="H67" s="61" t="e">
        <f t="shared" si="1"/>
        <v>#REF!</v>
      </c>
      <c r="I67" s="62" t="e">
        <f>#REF!</f>
        <v>#REF!</v>
      </c>
      <c r="J67" s="61" t="e">
        <f>IF(I67&gt;0,Pricing!E67*$K$5,0)</f>
        <v>#REF!</v>
      </c>
      <c r="K67" s="63" t="e">
        <f t="shared" si="2"/>
        <v>#REF!</v>
      </c>
      <c r="L67" s="64" t="e">
        <f>#REF!</f>
        <v>#REF!</v>
      </c>
      <c r="M67" s="61" t="e">
        <f>IF(L67&lt;0,Pricing!E67*$N$5,0)</f>
        <v>#REF!</v>
      </c>
      <c r="N67" s="61" t="e">
        <f t="shared" si="3"/>
        <v>#REF!</v>
      </c>
      <c r="O67" s="60" t="e">
        <f>#REF!</f>
        <v>#REF!</v>
      </c>
      <c r="P67" s="61" t="e">
        <f>IF(O67&lt;0,Pricing!E67*$Q$5,0)</f>
        <v>#REF!</v>
      </c>
      <c r="Q67" s="61" t="e">
        <f t="shared" si="4"/>
        <v>#REF!</v>
      </c>
      <c r="R67" s="60" t="e">
        <f>#REF!</f>
        <v>#REF!</v>
      </c>
      <c r="S67" s="61" t="e">
        <f>IF(R67&lt;0,Pricing!E67*$T$5,0)</f>
        <v>#REF!</v>
      </c>
      <c r="T67" s="61" t="e">
        <f t="shared" si="5"/>
        <v>#REF!</v>
      </c>
    </row>
    <row r="68" spans="1:20" x14ac:dyDescent="0.25">
      <c r="A68" s="58">
        <f t="shared" si="6"/>
        <v>44533.541666666519</v>
      </c>
      <c r="B68" s="59">
        <f t="shared" si="7"/>
        <v>44533.583333333183</v>
      </c>
      <c r="C68" s="60" t="e">
        <f>#REF!</f>
        <v>#REF!</v>
      </c>
      <c r="D68" s="61" t="e">
        <f>IF(C68&gt;0,Pricing!E68*$E$5,0)</f>
        <v>#REF!</v>
      </c>
      <c r="E68" s="61" t="e">
        <f t="shared" si="0"/>
        <v>#REF!</v>
      </c>
      <c r="F68" s="60" t="e">
        <f>#REF!</f>
        <v>#REF!</v>
      </c>
      <c r="G68" s="61" t="e">
        <f>IF(F68&gt;0,Pricing!E68*$H$5,0)</f>
        <v>#REF!</v>
      </c>
      <c r="H68" s="61" t="e">
        <f t="shared" si="1"/>
        <v>#REF!</v>
      </c>
      <c r="I68" s="62" t="e">
        <f>#REF!</f>
        <v>#REF!</v>
      </c>
      <c r="J68" s="61" t="e">
        <f>IF(I68&gt;0,Pricing!E68*$K$5,0)</f>
        <v>#REF!</v>
      </c>
      <c r="K68" s="63" t="e">
        <f t="shared" si="2"/>
        <v>#REF!</v>
      </c>
      <c r="L68" s="64" t="e">
        <f>#REF!</f>
        <v>#REF!</v>
      </c>
      <c r="M68" s="61" t="e">
        <f>IF(L68&lt;0,Pricing!E68*$N$5,0)</f>
        <v>#REF!</v>
      </c>
      <c r="N68" s="61" t="e">
        <f t="shared" si="3"/>
        <v>#REF!</v>
      </c>
      <c r="O68" s="60" t="e">
        <f>#REF!</f>
        <v>#REF!</v>
      </c>
      <c r="P68" s="61" t="e">
        <f>IF(O68&lt;0,Pricing!E68*$Q$5,0)</f>
        <v>#REF!</v>
      </c>
      <c r="Q68" s="61" t="e">
        <f t="shared" si="4"/>
        <v>#REF!</v>
      </c>
      <c r="R68" s="60" t="e">
        <f>#REF!</f>
        <v>#REF!</v>
      </c>
      <c r="S68" s="61" t="e">
        <f>IF(R68&lt;0,Pricing!E68*$T$5,0)</f>
        <v>#REF!</v>
      </c>
      <c r="T68" s="61" t="e">
        <f t="shared" si="5"/>
        <v>#REF!</v>
      </c>
    </row>
    <row r="69" spans="1:20" x14ac:dyDescent="0.25">
      <c r="A69" s="58">
        <f t="shared" si="6"/>
        <v>44533.583333333183</v>
      </c>
      <c r="B69" s="59">
        <f t="shared" si="7"/>
        <v>44533.624999999847</v>
      </c>
      <c r="C69" s="60" t="e">
        <f>#REF!</f>
        <v>#REF!</v>
      </c>
      <c r="D69" s="61" t="e">
        <f>IF(C69&gt;0,Pricing!E69*$E$5,0)</f>
        <v>#REF!</v>
      </c>
      <c r="E69" s="61" t="e">
        <f t="shared" si="0"/>
        <v>#REF!</v>
      </c>
      <c r="F69" s="60" t="e">
        <f>#REF!</f>
        <v>#REF!</v>
      </c>
      <c r="G69" s="61" t="e">
        <f>IF(F69&gt;0,Pricing!E69*$H$5,0)</f>
        <v>#REF!</v>
      </c>
      <c r="H69" s="61" t="e">
        <f t="shared" si="1"/>
        <v>#REF!</v>
      </c>
      <c r="I69" s="62" t="e">
        <f>#REF!</f>
        <v>#REF!</v>
      </c>
      <c r="J69" s="61" t="e">
        <f>IF(I69&gt;0,Pricing!E69*$K$5,0)</f>
        <v>#REF!</v>
      </c>
      <c r="K69" s="63" t="e">
        <f t="shared" si="2"/>
        <v>#REF!</v>
      </c>
      <c r="L69" s="64" t="e">
        <f>#REF!</f>
        <v>#REF!</v>
      </c>
      <c r="M69" s="61" t="e">
        <f>IF(L69&lt;0,Pricing!E69*$N$5,0)</f>
        <v>#REF!</v>
      </c>
      <c r="N69" s="61" t="e">
        <f t="shared" si="3"/>
        <v>#REF!</v>
      </c>
      <c r="O69" s="60" t="e">
        <f>#REF!</f>
        <v>#REF!</v>
      </c>
      <c r="P69" s="61" t="e">
        <f>IF(O69&lt;0,Pricing!E69*$Q$5,0)</f>
        <v>#REF!</v>
      </c>
      <c r="Q69" s="61" t="e">
        <f t="shared" si="4"/>
        <v>#REF!</v>
      </c>
      <c r="R69" s="60" t="e">
        <f>#REF!</f>
        <v>#REF!</v>
      </c>
      <c r="S69" s="61" t="e">
        <f>IF(R69&lt;0,Pricing!E69*$T$5,0)</f>
        <v>#REF!</v>
      </c>
      <c r="T69" s="61" t="e">
        <f t="shared" si="5"/>
        <v>#REF!</v>
      </c>
    </row>
    <row r="70" spans="1:20" x14ac:dyDescent="0.25">
      <c r="A70" s="58">
        <f t="shared" si="6"/>
        <v>44533.624999999847</v>
      </c>
      <c r="B70" s="59">
        <f t="shared" si="7"/>
        <v>44533.666666666511</v>
      </c>
      <c r="C70" s="60" t="e">
        <f>#REF!</f>
        <v>#REF!</v>
      </c>
      <c r="D70" s="61" t="e">
        <f>IF(C70&gt;0,Pricing!E70*$E$5,0)</f>
        <v>#REF!</v>
      </c>
      <c r="E70" s="61" t="e">
        <f t="shared" si="0"/>
        <v>#REF!</v>
      </c>
      <c r="F70" s="60" t="e">
        <f>#REF!</f>
        <v>#REF!</v>
      </c>
      <c r="G70" s="61" t="e">
        <f>IF(F70&gt;0,Pricing!E70*$H$5,0)</f>
        <v>#REF!</v>
      </c>
      <c r="H70" s="61" t="e">
        <f t="shared" si="1"/>
        <v>#REF!</v>
      </c>
      <c r="I70" s="62" t="e">
        <f>#REF!</f>
        <v>#REF!</v>
      </c>
      <c r="J70" s="61" t="e">
        <f>IF(I70&gt;0,Pricing!E70*$K$5,0)</f>
        <v>#REF!</v>
      </c>
      <c r="K70" s="63" t="e">
        <f t="shared" si="2"/>
        <v>#REF!</v>
      </c>
      <c r="L70" s="64" t="e">
        <f>#REF!</f>
        <v>#REF!</v>
      </c>
      <c r="M70" s="61" t="e">
        <f>IF(L70&lt;0,Pricing!E70*$N$5,0)</f>
        <v>#REF!</v>
      </c>
      <c r="N70" s="61" t="e">
        <f t="shared" si="3"/>
        <v>#REF!</v>
      </c>
      <c r="O70" s="60" t="e">
        <f>#REF!</f>
        <v>#REF!</v>
      </c>
      <c r="P70" s="61" t="e">
        <f>IF(O70&lt;0,Pricing!E70*$Q$5,0)</f>
        <v>#REF!</v>
      </c>
      <c r="Q70" s="61" t="e">
        <f t="shared" si="4"/>
        <v>#REF!</v>
      </c>
      <c r="R70" s="60" t="e">
        <f>#REF!</f>
        <v>#REF!</v>
      </c>
      <c r="S70" s="61" t="e">
        <f>IF(R70&lt;0,Pricing!E70*$T$5,0)</f>
        <v>#REF!</v>
      </c>
      <c r="T70" s="61" t="e">
        <f t="shared" si="5"/>
        <v>#REF!</v>
      </c>
    </row>
    <row r="71" spans="1:20" x14ac:dyDescent="0.25">
      <c r="A71" s="58">
        <f t="shared" si="6"/>
        <v>44533.666666666511</v>
      </c>
      <c r="B71" s="59">
        <f t="shared" si="7"/>
        <v>44533.708333333176</v>
      </c>
      <c r="C71" s="60" t="e">
        <f>#REF!</f>
        <v>#REF!</v>
      </c>
      <c r="D71" s="61" t="e">
        <f>IF(C71&gt;0,Pricing!E71*$E$5,0)</f>
        <v>#REF!</v>
      </c>
      <c r="E71" s="61" t="e">
        <f t="shared" si="0"/>
        <v>#REF!</v>
      </c>
      <c r="F71" s="60" t="e">
        <f>#REF!</f>
        <v>#REF!</v>
      </c>
      <c r="G71" s="61" t="e">
        <f>IF(F71&gt;0,Pricing!E71*$H$5,0)</f>
        <v>#REF!</v>
      </c>
      <c r="H71" s="61" t="e">
        <f t="shared" si="1"/>
        <v>#REF!</v>
      </c>
      <c r="I71" s="62" t="e">
        <f>#REF!</f>
        <v>#REF!</v>
      </c>
      <c r="J71" s="61" t="e">
        <f>IF(I71&gt;0,Pricing!E71*$K$5,0)</f>
        <v>#REF!</v>
      </c>
      <c r="K71" s="63" t="e">
        <f t="shared" si="2"/>
        <v>#REF!</v>
      </c>
      <c r="L71" s="64" t="e">
        <f>#REF!</f>
        <v>#REF!</v>
      </c>
      <c r="M71" s="61" t="e">
        <f>IF(L71&lt;0,Pricing!E71*$N$5,0)</f>
        <v>#REF!</v>
      </c>
      <c r="N71" s="61" t="e">
        <f t="shared" si="3"/>
        <v>#REF!</v>
      </c>
      <c r="O71" s="60" t="e">
        <f>#REF!</f>
        <v>#REF!</v>
      </c>
      <c r="P71" s="61" t="e">
        <f>IF(O71&lt;0,Pricing!E71*$Q$5,0)</f>
        <v>#REF!</v>
      </c>
      <c r="Q71" s="61" t="e">
        <f t="shared" si="4"/>
        <v>#REF!</v>
      </c>
      <c r="R71" s="60" t="e">
        <f>#REF!</f>
        <v>#REF!</v>
      </c>
      <c r="S71" s="61" t="e">
        <f>IF(R71&lt;0,Pricing!E71*$T$5,0)</f>
        <v>#REF!</v>
      </c>
      <c r="T71" s="61" t="e">
        <f t="shared" si="5"/>
        <v>#REF!</v>
      </c>
    </row>
    <row r="72" spans="1:20" x14ac:dyDescent="0.25">
      <c r="A72" s="58">
        <f t="shared" si="6"/>
        <v>44533.708333333176</v>
      </c>
      <c r="B72" s="59">
        <f t="shared" si="7"/>
        <v>44533.74999999984</v>
      </c>
      <c r="C72" s="60" t="e">
        <f>#REF!</f>
        <v>#REF!</v>
      </c>
      <c r="D72" s="61" t="e">
        <f>IF(C72&gt;0,Pricing!E72*$E$5,0)</f>
        <v>#REF!</v>
      </c>
      <c r="E72" s="61" t="e">
        <f t="shared" ref="E72:E135" si="8">C72*D72</f>
        <v>#REF!</v>
      </c>
      <c r="F72" s="60" t="e">
        <f>#REF!</f>
        <v>#REF!</v>
      </c>
      <c r="G72" s="61" t="e">
        <f>IF(F72&gt;0,Pricing!E72*$H$5,0)</f>
        <v>#REF!</v>
      </c>
      <c r="H72" s="61" t="e">
        <f t="shared" ref="H72:H135" si="9">F72*G72</f>
        <v>#REF!</v>
      </c>
      <c r="I72" s="62" t="e">
        <f>#REF!</f>
        <v>#REF!</v>
      </c>
      <c r="J72" s="61" t="e">
        <f>IF(I72&gt;0,Pricing!E72*$K$5,0)</f>
        <v>#REF!</v>
      </c>
      <c r="K72" s="63" t="e">
        <f t="shared" ref="K72:K135" si="10">I72*J72</f>
        <v>#REF!</v>
      </c>
      <c r="L72" s="64" t="e">
        <f>#REF!</f>
        <v>#REF!</v>
      </c>
      <c r="M72" s="61" t="e">
        <f>IF(L72&lt;0,Pricing!E72*$N$5,0)</f>
        <v>#REF!</v>
      </c>
      <c r="N72" s="61" t="e">
        <f t="shared" ref="N72:N135" si="11">L72*M72</f>
        <v>#REF!</v>
      </c>
      <c r="O72" s="60" t="e">
        <f>#REF!</f>
        <v>#REF!</v>
      </c>
      <c r="P72" s="61" t="e">
        <f>IF(O72&lt;0,Pricing!E72*$Q$5,0)</f>
        <v>#REF!</v>
      </c>
      <c r="Q72" s="61" t="e">
        <f t="shared" ref="Q72:Q135" si="12">O72*P72</f>
        <v>#REF!</v>
      </c>
      <c r="R72" s="60" t="e">
        <f>#REF!</f>
        <v>#REF!</v>
      </c>
      <c r="S72" s="61" t="e">
        <f>IF(R72&lt;0,Pricing!E72*$T$5,0)</f>
        <v>#REF!</v>
      </c>
      <c r="T72" s="61" t="e">
        <f t="shared" ref="T72:T135" si="13">R72*S72</f>
        <v>#REF!</v>
      </c>
    </row>
    <row r="73" spans="1:20" x14ac:dyDescent="0.25">
      <c r="A73" s="58">
        <f t="shared" ref="A73:A136" si="14">$A72+1/24</f>
        <v>44533.74999999984</v>
      </c>
      <c r="B73" s="59">
        <f t="shared" ref="B73:B136" si="15">B72+1/24</f>
        <v>44533.791666666504</v>
      </c>
      <c r="C73" s="60" t="e">
        <f>#REF!</f>
        <v>#REF!</v>
      </c>
      <c r="D73" s="61" t="e">
        <f>IF(C73&gt;0,Pricing!E73*$E$5,0)</f>
        <v>#REF!</v>
      </c>
      <c r="E73" s="61" t="e">
        <f t="shared" si="8"/>
        <v>#REF!</v>
      </c>
      <c r="F73" s="60" t="e">
        <f>#REF!</f>
        <v>#REF!</v>
      </c>
      <c r="G73" s="61" t="e">
        <f>IF(F73&gt;0,Pricing!E73*$H$5,0)</f>
        <v>#REF!</v>
      </c>
      <c r="H73" s="61" t="e">
        <f t="shared" si="9"/>
        <v>#REF!</v>
      </c>
      <c r="I73" s="62" t="e">
        <f>#REF!</f>
        <v>#REF!</v>
      </c>
      <c r="J73" s="61" t="e">
        <f>IF(I73&gt;0,Pricing!E73*$K$5,0)</f>
        <v>#REF!</v>
      </c>
      <c r="K73" s="63" t="e">
        <f t="shared" si="10"/>
        <v>#REF!</v>
      </c>
      <c r="L73" s="64" t="e">
        <f>#REF!</f>
        <v>#REF!</v>
      </c>
      <c r="M73" s="61" t="e">
        <f>IF(L73&lt;0,Pricing!E73*$N$5,0)</f>
        <v>#REF!</v>
      </c>
      <c r="N73" s="61" t="e">
        <f t="shared" si="11"/>
        <v>#REF!</v>
      </c>
      <c r="O73" s="60" t="e">
        <f>#REF!</f>
        <v>#REF!</v>
      </c>
      <c r="P73" s="61" t="e">
        <f>IF(O73&lt;0,Pricing!E73*$Q$5,0)</f>
        <v>#REF!</v>
      </c>
      <c r="Q73" s="61" t="e">
        <f t="shared" si="12"/>
        <v>#REF!</v>
      </c>
      <c r="R73" s="60" t="e">
        <f>#REF!</f>
        <v>#REF!</v>
      </c>
      <c r="S73" s="61" t="e">
        <f>IF(R73&lt;0,Pricing!E73*$T$5,0)</f>
        <v>#REF!</v>
      </c>
      <c r="T73" s="61" t="e">
        <f t="shared" si="13"/>
        <v>#REF!</v>
      </c>
    </row>
    <row r="74" spans="1:20" x14ac:dyDescent="0.25">
      <c r="A74" s="58">
        <f t="shared" si="14"/>
        <v>44533.791666666504</v>
      </c>
      <c r="B74" s="59">
        <f t="shared" si="15"/>
        <v>44533.833333333168</v>
      </c>
      <c r="C74" s="60" t="e">
        <f>#REF!</f>
        <v>#REF!</v>
      </c>
      <c r="D74" s="61" t="e">
        <f>IF(C74&gt;0,Pricing!E74*$E$5,0)</f>
        <v>#REF!</v>
      </c>
      <c r="E74" s="61" t="e">
        <f t="shared" si="8"/>
        <v>#REF!</v>
      </c>
      <c r="F74" s="60" t="e">
        <f>#REF!</f>
        <v>#REF!</v>
      </c>
      <c r="G74" s="61" t="e">
        <f>IF(F74&gt;0,Pricing!E74*$H$5,0)</f>
        <v>#REF!</v>
      </c>
      <c r="H74" s="61" t="e">
        <f t="shared" si="9"/>
        <v>#REF!</v>
      </c>
      <c r="I74" s="62" t="e">
        <f>#REF!</f>
        <v>#REF!</v>
      </c>
      <c r="J74" s="61" t="e">
        <f>IF(I74&gt;0,Pricing!E74*$K$5,0)</f>
        <v>#REF!</v>
      </c>
      <c r="K74" s="63" t="e">
        <f t="shared" si="10"/>
        <v>#REF!</v>
      </c>
      <c r="L74" s="64" t="e">
        <f>#REF!</f>
        <v>#REF!</v>
      </c>
      <c r="M74" s="61" t="e">
        <f>IF(L74&lt;0,Pricing!E74*$N$5,0)</f>
        <v>#REF!</v>
      </c>
      <c r="N74" s="61" t="e">
        <f t="shared" si="11"/>
        <v>#REF!</v>
      </c>
      <c r="O74" s="60" t="e">
        <f>#REF!</f>
        <v>#REF!</v>
      </c>
      <c r="P74" s="61" t="e">
        <f>IF(O74&lt;0,Pricing!E74*$Q$5,0)</f>
        <v>#REF!</v>
      </c>
      <c r="Q74" s="61" t="e">
        <f t="shared" si="12"/>
        <v>#REF!</v>
      </c>
      <c r="R74" s="60" t="e">
        <f>#REF!</f>
        <v>#REF!</v>
      </c>
      <c r="S74" s="61" t="e">
        <f>IF(R74&lt;0,Pricing!E74*$T$5,0)</f>
        <v>#REF!</v>
      </c>
      <c r="T74" s="61" t="e">
        <f t="shared" si="13"/>
        <v>#REF!</v>
      </c>
    </row>
    <row r="75" spans="1:20" x14ac:dyDescent="0.25">
      <c r="A75" s="58">
        <f t="shared" si="14"/>
        <v>44533.833333333168</v>
      </c>
      <c r="B75" s="59">
        <f t="shared" si="15"/>
        <v>44533.874999999833</v>
      </c>
      <c r="C75" s="60" t="e">
        <f>#REF!</f>
        <v>#REF!</v>
      </c>
      <c r="D75" s="61" t="e">
        <f>IF(C75&gt;0,Pricing!E75*$E$5,0)</f>
        <v>#REF!</v>
      </c>
      <c r="E75" s="61" t="e">
        <f t="shared" si="8"/>
        <v>#REF!</v>
      </c>
      <c r="F75" s="60" t="e">
        <f>#REF!</f>
        <v>#REF!</v>
      </c>
      <c r="G75" s="61" t="e">
        <f>IF(F75&gt;0,Pricing!E75*$H$5,0)</f>
        <v>#REF!</v>
      </c>
      <c r="H75" s="61" t="e">
        <f t="shared" si="9"/>
        <v>#REF!</v>
      </c>
      <c r="I75" s="62" t="e">
        <f>#REF!</f>
        <v>#REF!</v>
      </c>
      <c r="J75" s="61" t="e">
        <f>IF(I75&gt;0,Pricing!E75*$K$5,0)</f>
        <v>#REF!</v>
      </c>
      <c r="K75" s="63" t="e">
        <f t="shared" si="10"/>
        <v>#REF!</v>
      </c>
      <c r="L75" s="64" t="e">
        <f>#REF!</f>
        <v>#REF!</v>
      </c>
      <c r="M75" s="61" t="e">
        <f>IF(L75&lt;0,Pricing!E75*$N$5,0)</f>
        <v>#REF!</v>
      </c>
      <c r="N75" s="61" t="e">
        <f t="shared" si="11"/>
        <v>#REF!</v>
      </c>
      <c r="O75" s="60" t="e">
        <f>#REF!</f>
        <v>#REF!</v>
      </c>
      <c r="P75" s="61" t="e">
        <f>IF(O75&lt;0,Pricing!E75*$Q$5,0)</f>
        <v>#REF!</v>
      </c>
      <c r="Q75" s="61" t="e">
        <f t="shared" si="12"/>
        <v>#REF!</v>
      </c>
      <c r="R75" s="60" t="e">
        <f>#REF!</f>
        <v>#REF!</v>
      </c>
      <c r="S75" s="61" t="e">
        <f>IF(R75&lt;0,Pricing!E75*$T$5,0)</f>
        <v>#REF!</v>
      </c>
      <c r="T75" s="61" t="e">
        <f t="shared" si="13"/>
        <v>#REF!</v>
      </c>
    </row>
    <row r="76" spans="1:20" x14ac:dyDescent="0.25">
      <c r="A76" s="58">
        <f t="shared" si="14"/>
        <v>44533.874999999833</v>
      </c>
      <c r="B76" s="59">
        <f t="shared" si="15"/>
        <v>44533.916666666497</v>
      </c>
      <c r="C76" s="60" t="e">
        <f>#REF!</f>
        <v>#REF!</v>
      </c>
      <c r="D76" s="61" t="e">
        <f>IF(C76&gt;0,Pricing!E76*$E$5,0)</f>
        <v>#REF!</v>
      </c>
      <c r="E76" s="61" t="e">
        <f t="shared" si="8"/>
        <v>#REF!</v>
      </c>
      <c r="F76" s="60" t="e">
        <f>#REF!</f>
        <v>#REF!</v>
      </c>
      <c r="G76" s="61" t="e">
        <f>IF(F76&gt;0,Pricing!E76*$H$5,0)</f>
        <v>#REF!</v>
      </c>
      <c r="H76" s="61" t="e">
        <f t="shared" si="9"/>
        <v>#REF!</v>
      </c>
      <c r="I76" s="62" t="e">
        <f>#REF!</f>
        <v>#REF!</v>
      </c>
      <c r="J76" s="61" t="e">
        <f>IF(I76&gt;0,Pricing!E76*$K$5,0)</f>
        <v>#REF!</v>
      </c>
      <c r="K76" s="63" t="e">
        <f t="shared" si="10"/>
        <v>#REF!</v>
      </c>
      <c r="L76" s="64" t="e">
        <f>#REF!</f>
        <v>#REF!</v>
      </c>
      <c r="M76" s="61" t="e">
        <f>IF(L76&lt;0,Pricing!E76*$N$5,0)</f>
        <v>#REF!</v>
      </c>
      <c r="N76" s="61" t="e">
        <f t="shared" si="11"/>
        <v>#REF!</v>
      </c>
      <c r="O76" s="60" t="e">
        <f>#REF!</f>
        <v>#REF!</v>
      </c>
      <c r="P76" s="61" t="e">
        <f>IF(O76&lt;0,Pricing!E76*$Q$5,0)</f>
        <v>#REF!</v>
      </c>
      <c r="Q76" s="61" t="e">
        <f t="shared" si="12"/>
        <v>#REF!</v>
      </c>
      <c r="R76" s="60" t="e">
        <f>#REF!</f>
        <v>#REF!</v>
      </c>
      <c r="S76" s="61" t="e">
        <f>IF(R76&lt;0,Pricing!E76*$T$5,0)</f>
        <v>#REF!</v>
      </c>
      <c r="T76" s="61" t="e">
        <f t="shared" si="13"/>
        <v>#REF!</v>
      </c>
    </row>
    <row r="77" spans="1:20" x14ac:dyDescent="0.25">
      <c r="A77" s="58">
        <f t="shared" si="14"/>
        <v>44533.916666666497</v>
      </c>
      <c r="B77" s="59">
        <f t="shared" si="15"/>
        <v>44533.958333333161</v>
      </c>
      <c r="C77" s="60" t="e">
        <f>#REF!</f>
        <v>#REF!</v>
      </c>
      <c r="D77" s="61" t="e">
        <f>IF(C77&gt;0,Pricing!E77*$E$5,0)</f>
        <v>#REF!</v>
      </c>
      <c r="E77" s="61" t="e">
        <f t="shared" si="8"/>
        <v>#REF!</v>
      </c>
      <c r="F77" s="60" t="e">
        <f>#REF!</f>
        <v>#REF!</v>
      </c>
      <c r="G77" s="61" t="e">
        <f>IF(F77&gt;0,Pricing!E77*$H$5,0)</f>
        <v>#REF!</v>
      </c>
      <c r="H77" s="61" t="e">
        <f t="shared" si="9"/>
        <v>#REF!</v>
      </c>
      <c r="I77" s="62" t="e">
        <f>#REF!</f>
        <v>#REF!</v>
      </c>
      <c r="J77" s="61" t="e">
        <f>IF(I77&gt;0,Pricing!E77*$K$5,0)</f>
        <v>#REF!</v>
      </c>
      <c r="K77" s="63" t="e">
        <f t="shared" si="10"/>
        <v>#REF!</v>
      </c>
      <c r="L77" s="64" t="e">
        <f>#REF!</f>
        <v>#REF!</v>
      </c>
      <c r="M77" s="61" t="e">
        <f>IF(L77&lt;0,Pricing!E77*$N$5,0)</f>
        <v>#REF!</v>
      </c>
      <c r="N77" s="61" t="e">
        <f t="shared" si="11"/>
        <v>#REF!</v>
      </c>
      <c r="O77" s="60" t="e">
        <f>#REF!</f>
        <v>#REF!</v>
      </c>
      <c r="P77" s="61" t="e">
        <f>IF(O77&lt;0,Pricing!E77*$Q$5,0)</f>
        <v>#REF!</v>
      </c>
      <c r="Q77" s="61" t="e">
        <f t="shared" si="12"/>
        <v>#REF!</v>
      </c>
      <c r="R77" s="60" t="e">
        <f>#REF!</f>
        <v>#REF!</v>
      </c>
      <c r="S77" s="61" t="e">
        <f>IF(R77&lt;0,Pricing!E77*$T$5,0)</f>
        <v>#REF!</v>
      </c>
      <c r="T77" s="61" t="e">
        <f t="shared" si="13"/>
        <v>#REF!</v>
      </c>
    </row>
    <row r="78" spans="1:20" x14ac:dyDescent="0.25">
      <c r="A78" s="58">
        <f t="shared" si="14"/>
        <v>44533.958333333161</v>
      </c>
      <c r="B78" s="59">
        <f t="shared" si="15"/>
        <v>44533.999999999825</v>
      </c>
      <c r="C78" s="60" t="e">
        <f>#REF!</f>
        <v>#REF!</v>
      </c>
      <c r="D78" s="61" t="e">
        <f>IF(C78&gt;0,Pricing!E78*$E$5,0)</f>
        <v>#REF!</v>
      </c>
      <c r="E78" s="61" t="e">
        <f t="shared" si="8"/>
        <v>#REF!</v>
      </c>
      <c r="F78" s="60" t="e">
        <f>#REF!</f>
        <v>#REF!</v>
      </c>
      <c r="G78" s="61" t="e">
        <f>IF(F78&gt;0,Pricing!E78*$H$5,0)</f>
        <v>#REF!</v>
      </c>
      <c r="H78" s="61" t="e">
        <f t="shared" si="9"/>
        <v>#REF!</v>
      </c>
      <c r="I78" s="62" t="e">
        <f>#REF!</f>
        <v>#REF!</v>
      </c>
      <c r="J78" s="61" t="e">
        <f>IF(I78&gt;0,Pricing!E78*$K$5,0)</f>
        <v>#REF!</v>
      </c>
      <c r="K78" s="63" t="e">
        <f t="shared" si="10"/>
        <v>#REF!</v>
      </c>
      <c r="L78" s="64" t="e">
        <f>#REF!</f>
        <v>#REF!</v>
      </c>
      <c r="M78" s="61" t="e">
        <f>IF(L78&lt;0,Pricing!E78*$N$5,0)</f>
        <v>#REF!</v>
      </c>
      <c r="N78" s="61" t="e">
        <f t="shared" si="11"/>
        <v>#REF!</v>
      </c>
      <c r="O78" s="60" t="e">
        <f>#REF!</f>
        <v>#REF!</v>
      </c>
      <c r="P78" s="61" t="e">
        <f>IF(O78&lt;0,Pricing!E78*$Q$5,0)</f>
        <v>#REF!</v>
      </c>
      <c r="Q78" s="61" t="e">
        <f t="shared" si="12"/>
        <v>#REF!</v>
      </c>
      <c r="R78" s="60" t="e">
        <f>#REF!</f>
        <v>#REF!</v>
      </c>
      <c r="S78" s="61" t="e">
        <f>IF(R78&lt;0,Pricing!E78*$T$5,0)</f>
        <v>#REF!</v>
      </c>
      <c r="T78" s="61" t="e">
        <f t="shared" si="13"/>
        <v>#REF!</v>
      </c>
    </row>
    <row r="79" spans="1:20" x14ac:dyDescent="0.25">
      <c r="A79" s="58">
        <f t="shared" si="14"/>
        <v>44533.999999999825</v>
      </c>
      <c r="B79" s="59">
        <f t="shared" si="15"/>
        <v>44534.04166666649</v>
      </c>
      <c r="C79" s="60" t="e">
        <f>#REF!</f>
        <v>#REF!</v>
      </c>
      <c r="D79" s="61" t="e">
        <f>IF(C79&gt;0,Pricing!E79*$E$5,0)</f>
        <v>#REF!</v>
      </c>
      <c r="E79" s="61" t="e">
        <f t="shared" si="8"/>
        <v>#REF!</v>
      </c>
      <c r="F79" s="60" t="e">
        <f>#REF!</f>
        <v>#REF!</v>
      </c>
      <c r="G79" s="61" t="e">
        <f>IF(F79&gt;0,Pricing!E79*$H$5,0)</f>
        <v>#REF!</v>
      </c>
      <c r="H79" s="61" t="e">
        <f t="shared" si="9"/>
        <v>#REF!</v>
      </c>
      <c r="I79" s="62" t="e">
        <f>#REF!</f>
        <v>#REF!</v>
      </c>
      <c r="J79" s="61" t="e">
        <f>IF(I79&gt;0,Pricing!E79*$K$5,0)</f>
        <v>#REF!</v>
      </c>
      <c r="K79" s="63" t="e">
        <f t="shared" si="10"/>
        <v>#REF!</v>
      </c>
      <c r="L79" s="64" t="e">
        <f>#REF!</f>
        <v>#REF!</v>
      </c>
      <c r="M79" s="61" t="e">
        <f>IF(L79&lt;0,Pricing!E79*$N$5,0)</f>
        <v>#REF!</v>
      </c>
      <c r="N79" s="61" t="e">
        <f t="shared" si="11"/>
        <v>#REF!</v>
      </c>
      <c r="O79" s="60" t="e">
        <f>#REF!</f>
        <v>#REF!</v>
      </c>
      <c r="P79" s="61" t="e">
        <f>IF(O79&lt;0,Pricing!E79*$Q$5,0)</f>
        <v>#REF!</v>
      </c>
      <c r="Q79" s="61" t="e">
        <f t="shared" si="12"/>
        <v>#REF!</v>
      </c>
      <c r="R79" s="60" t="e">
        <f>#REF!</f>
        <v>#REF!</v>
      </c>
      <c r="S79" s="61" t="e">
        <f>IF(R79&lt;0,Pricing!E79*$T$5,0)</f>
        <v>#REF!</v>
      </c>
      <c r="T79" s="61" t="e">
        <f t="shared" si="13"/>
        <v>#REF!</v>
      </c>
    </row>
    <row r="80" spans="1:20" x14ac:dyDescent="0.25">
      <c r="A80" s="58">
        <f t="shared" si="14"/>
        <v>44534.04166666649</v>
      </c>
      <c r="B80" s="59">
        <f t="shared" si="15"/>
        <v>44534.083333333154</v>
      </c>
      <c r="C80" s="60" t="e">
        <f>#REF!</f>
        <v>#REF!</v>
      </c>
      <c r="D80" s="61" t="e">
        <f>IF(C80&gt;0,Pricing!E80*$E$5,0)</f>
        <v>#REF!</v>
      </c>
      <c r="E80" s="61" t="e">
        <f t="shared" si="8"/>
        <v>#REF!</v>
      </c>
      <c r="F80" s="60" t="e">
        <f>#REF!</f>
        <v>#REF!</v>
      </c>
      <c r="G80" s="61" t="e">
        <f>IF(F80&gt;0,Pricing!E80*$H$5,0)</f>
        <v>#REF!</v>
      </c>
      <c r="H80" s="61" t="e">
        <f t="shared" si="9"/>
        <v>#REF!</v>
      </c>
      <c r="I80" s="62" t="e">
        <f>#REF!</f>
        <v>#REF!</v>
      </c>
      <c r="J80" s="61" t="e">
        <f>IF(I80&gt;0,Pricing!E80*$K$5,0)</f>
        <v>#REF!</v>
      </c>
      <c r="K80" s="63" t="e">
        <f t="shared" si="10"/>
        <v>#REF!</v>
      </c>
      <c r="L80" s="64" t="e">
        <f>#REF!</f>
        <v>#REF!</v>
      </c>
      <c r="M80" s="61" t="e">
        <f>IF(L80&lt;0,Pricing!E80*$N$5,0)</f>
        <v>#REF!</v>
      </c>
      <c r="N80" s="61" t="e">
        <f t="shared" si="11"/>
        <v>#REF!</v>
      </c>
      <c r="O80" s="60" t="e">
        <f>#REF!</f>
        <v>#REF!</v>
      </c>
      <c r="P80" s="61" t="e">
        <f>IF(O80&lt;0,Pricing!E80*$Q$5,0)</f>
        <v>#REF!</v>
      </c>
      <c r="Q80" s="61" t="e">
        <f t="shared" si="12"/>
        <v>#REF!</v>
      </c>
      <c r="R80" s="60" t="e">
        <f>#REF!</f>
        <v>#REF!</v>
      </c>
      <c r="S80" s="61" t="e">
        <f>IF(R80&lt;0,Pricing!E80*$T$5,0)</f>
        <v>#REF!</v>
      </c>
      <c r="T80" s="61" t="e">
        <f t="shared" si="13"/>
        <v>#REF!</v>
      </c>
    </row>
    <row r="81" spans="1:20" x14ac:dyDescent="0.25">
      <c r="A81" s="58">
        <f t="shared" si="14"/>
        <v>44534.083333333154</v>
      </c>
      <c r="B81" s="59">
        <f t="shared" si="15"/>
        <v>44534.124999999818</v>
      </c>
      <c r="C81" s="60" t="e">
        <f>#REF!</f>
        <v>#REF!</v>
      </c>
      <c r="D81" s="61" t="e">
        <f>IF(C81&gt;0,Pricing!E81*$E$5,0)</f>
        <v>#REF!</v>
      </c>
      <c r="E81" s="61" t="e">
        <f t="shared" si="8"/>
        <v>#REF!</v>
      </c>
      <c r="F81" s="60" t="e">
        <f>#REF!</f>
        <v>#REF!</v>
      </c>
      <c r="G81" s="61" t="e">
        <f>IF(F81&gt;0,Pricing!E81*$H$5,0)</f>
        <v>#REF!</v>
      </c>
      <c r="H81" s="61" t="e">
        <f t="shared" si="9"/>
        <v>#REF!</v>
      </c>
      <c r="I81" s="62" t="e">
        <f>#REF!</f>
        <v>#REF!</v>
      </c>
      <c r="J81" s="61" t="e">
        <f>IF(I81&gt;0,Pricing!E81*$K$5,0)</f>
        <v>#REF!</v>
      </c>
      <c r="K81" s="63" t="e">
        <f t="shared" si="10"/>
        <v>#REF!</v>
      </c>
      <c r="L81" s="64" t="e">
        <f>#REF!</f>
        <v>#REF!</v>
      </c>
      <c r="M81" s="61" t="e">
        <f>IF(L81&lt;0,Pricing!E81*$N$5,0)</f>
        <v>#REF!</v>
      </c>
      <c r="N81" s="61" t="e">
        <f t="shared" si="11"/>
        <v>#REF!</v>
      </c>
      <c r="O81" s="60" t="e">
        <f>#REF!</f>
        <v>#REF!</v>
      </c>
      <c r="P81" s="61" t="e">
        <f>IF(O81&lt;0,Pricing!E81*$Q$5,0)</f>
        <v>#REF!</v>
      </c>
      <c r="Q81" s="61" t="e">
        <f t="shared" si="12"/>
        <v>#REF!</v>
      </c>
      <c r="R81" s="60" t="e">
        <f>#REF!</f>
        <v>#REF!</v>
      </c>
      <c r="S81" s="61" t="e">
        <f>IF(R81&lt;0,Pricing!E81*$T$5,0)</f>
        <v>#REF!</v>
      </c>
      <c r="T81" s="61" t="e">
        <f t="shared" si="13"/>
        <v>#REF!</v>
      </c>
    </row>
    <row r="82" spans="1:20" x14ac:dyDescent="0.25">
      <c r="A82" s="58">
        <f t="shared" si="14"/>
        <v>44534.124999999818</v>
      </c>
      <c r="B82" s="59">
        <f t="shared" si="15"/>
        <v>44534.166666666482</v>
      </c>
      <c r="C82" s="60" t="e">
        <f>#REF!</f>
        <v>#REF!</v>
      </c>
      <c r="D82" s="61" t="e">
        <f>IF(C82&gt;0,Pricing!E82*$E$5,0)</f>
        <v>#REF!</v>
      </c>
      <c r="E82" s="61" t="e">
        <f t="shared" si="8"/>
        <v>#REF!</v>
      </c>
      <c r="F82" s="60" t="e">
        <f>#REF!</f>
        <v>#REF!</v>
      </c>
      <c r="G82" s="61" t="e">
        <f>IF(F82&gt;0,Pricing!E82*$H$5,0)</f>
        <v>#REF!</v>
      </c>
      <c r="H82" s="61" t="e">
        <f t="shared" si="9"/>
        <v>#REF!</v>
      </c>
      <c r="I82" s="62" t="e">
        <f>#REF!</f>
        <v>#REF!</v>
      </c>
      <c r="J82" s="61" t="e">
        <f>IF(I82&gt;0,Pricing!E82*$K$5,0)</f>
        <v>#REF!</v>
      </c>
      <c r="K82" s="63" t="e">
        <f t="shared" si="10"/>
        <v>#REF!</v>
      </c>
      <c r="L82" s="64" t="e">
        <f>#REF!</f>
        <v>#REF!</v>
      </c>
      <c r="M82" s="61" t="e">
        <f>IF(L82&lt;0,Pricing!E82*$N$5,0)</f>
        <v>#REF!</v>
      </c>
      <c r="N82" s="61" t="e">
        <f t="shared" si="11"/>
        <v>#REF!</v>
      </c>
      <c r="O82" s="60" t="e">
        <f>#REF!</f>
        <v>#REF!</v>
      </c>
      <c r="P82" s="61" t="e">
        <f>IF(O82&lt;0,Pricing!E82*$Q$5,0)</f>
        <v>#REF!</v>
      </c>
      <c r="Q82" s="61" t="e">
        <f t="shared" si="12"/>
        <v>#REF!</v>
      </c>
      <c r="R82" s="60" t="e">
        <f>#REF!</f>
        <v>#REF!</v>
      </c>
      <c r="S82" s="61" t="e">
        <f>IF(R82&lt;0,Pricing!E82*$T$5,0)</f>
        <v>#REF!</v>
      </c>
      <c r="T82" s="61" t="e">
        <f t="shared" si="13"/>
        <v>#REF!</v>
      </c>
    </row>
    <row r="83" spans="1:20" x14ac:dyDescent="0.25">
      <c r="A83" s="58">
        <f t="shared" si="14"/>
        <v>44534.166666666482</v>
      </c>
      <c r="B83" s="59">
        <f t="shared" si="15"/>
        <v>44534.208333333147</v>
      </c>
      <c r="C83" s="60" t="e">
        <f>#REF!</f>
        <v>#REF!</v>
      </c>
      <c r="D83" s="61" t="e">
        <f>IF(C83&gt;0,Pricing!E83*$E$5,0)</f>
        <v>#REF!</v>
      </c>
      <c r="E83" s="61" t="e">
        <f t="shared" si="8"/>
        <v>#REF!</v>
      </c>
      <c r="F83" s="60" t="e">
        <f>#REF!</f>
        <v>#REF!</v>
      </c>
      <c r="G83" s="61" t="e">
        <f>IF(F83&gt;0,Pricing!E83*$H$5,0)</f>
        <v>#REF!</v>
      </c>
      <c r="H83" s="61" t="e">
        <f t="shared" si="9"/>
        <v>#REF!</v>
      </c>
      <c r="I83" s="62" t="e">
        <f>#REF!</f>
        <v>#REF!</v>
      </c>
      <c r="J83" s="61" t="e">
        <f>IF(I83&gt;0,Pricing!E83*$K$5,0)</f>
        <v>#REF!</v>
      </c>
      <c r="K83" s="63" t="e">
        <f t="shared" si="10"/>
        <v>#REF!</v>
      </c>
      <c r="L83" s="64" t="e">
        <f>#REF!</f>
        <v>#REF!</v>
      </c>
      <c r="M83" s="61" t="e">
        <f>IF(L83&lt;0,Pricing!E83*$N$5,0)</f>
        <v>#REF!</v>
      </c>
      <c r="N83" s="61" t="e">
        <f t="shared" si="11"/>
        <v>#REF!</v>
      </c>
      <c r="O83" s="60" t="e">
        <f>#REF!</f>
        <v>#REF!</v>
      </c>
      <c r="P83" s="61" t="e">
        <f>IF(O83&lt;0,Pricing!E83*$Q$5,0)</f>
        <v>#REF!</v>
      </c>
      <c r="Q83" s="61" t="e">
        <f t="shared" si="12"/>
        <v>#REF!</v>
      </c>
      <c r="R83" s="60" t="e">
        <f>#REF!</f>
        <v>#REF!</v>
      </c>
      <c r="S83" s="61" t="e">
        <f>IF(R83&lt;0,Pricing!E83*$T$5,0)</f>
        <v>#REF!</v>
      </c>
      <c r="T83" s="61" t="e">
        <f t="shared" si="13"/>
        <v>#REF!</v>
      </c>
    </row>
    <row r="84" spans="1:20" x14ac:dyDescent="0.25">
      <c r="A84" s="58">
        <f t="shared" si="14"/>
        <v>44534.208333333147</v>
      </c>
      <c r="B84" s="59">
        <f t="shared" si="15"/>
        <v>44534.249999999811</v>
      </c>
      <c r="C84" s="60" t="e">
        <f>#REF!</f>
        <v>#REF!</v>
      </c>
      <c r="D84" s="61" t="e">
        <f>IF(C84&gt;0,Pricing!E84*$E$5,0)</f>
        <v>#REF!</v>
      </c>
      <c r="E84" s="61" t="e">
        <f t="shared" si="8"/>
        <v>#REF!</v>
      </c>
      <c r="F84" s="60" t="e">
        <f>#REF!</f>
        <v>#REF!</v>
      </c>
      <c r="G84" s="61" t="e">
        <f>IF(F84&gt;0,Pricing!E84*$H$5,0)</f>
        <v>#REF!</v>
      </c>
      <c r="H84" s="61" t="e">
        <f t="shared" si="9"/>
        <v>#REF!</v>
      </c>
      <c r="I84" s="62" t="e">
        <f>#REF!</f>
        <v>#REF!</v>
      </c>
      <c r="J84" s="61" t="e">
        <f>IF(I84&gt;0,Pricing!E84*$K$5,0)</f>
        <v>#REF!</v>
      </c>
      <c r="K84" s="63" t="e">
        <f t="shared" si="10"/>
        <v>#REF!</v>
      </c>
      <c r="L84" s="64" t="e">
        <f>#REF!</f>
        <v>#REF!</v>
      </c>
      <c r="M84" s="61" t="e">
        <f>IF(L84&lt;0,Pricing!E84*$N$5,0)</f>
        <v>#REF!</v>
      </c>
      <c r="N84" s="61" t="e">
        <f t="shared" si="11"/>
        <v>#REF!</v>
      </c>
      <c r="O84" s="60" t="e">
        <f>#REF!</f>
        <v>#REF!</v>
      </c>
      <c r="P84" s="61" t="e">
        <f>IF(O84&lt;0,Pricing!E84*$Q$5,0)</f>
        <v>#REF!</v>
      </c>
      <c r="Q84" s="61" t="e">
        <f t="shared" si="12"/>
        <v>#REF!</v>
      </c>
      <c r="R84" s="60" t="e">
        <f>#REF!</f>
        <v>#REF!</v>
      </c>
      <c r="S84" s="61" t="e">
        <f>IF(R84&lt;0,Pricing!E84*$T$5,0)</f>
        <v>#REF!</v>
      </c>
      <c r="T84" s="61" t="e">
        <f t="shared" si="13"/>
        <v>#REF!</v>
      </c>
    </row>
    <row r="85" spans="1:20" x14ac:dyDescent="0.25">
      <c r="A85" s="58">
        <f t="shared" si="14"/>
        <v>44534.249999999811</v>
      </c>
      <c r="B85" s="59">
        <f t="shared" si="15"/>
        <v>44534.291666666475</v>
      </c>
      <c r="C85" s="60" t="e">
        <f>#REF!</f>
        <v>#REF!</v>
      </c>
      <c r="D85" s="61" t="e">
        <f>IF(C85&gt;0,Pricing!E85*$E$5,0)</f>
        <v>#REF!</v>
      </c>
      <c r="E85" s="61" t="e">
        <f t="shared" si="8"/>
        <v>#REF!</v>
      </c>
      <c r="F85" s="60" t="e">
        <f>#REF!</f>
        <v>#REF!</v>
      </c>
      <c r="G85" s="61" t="e">
        <f>IF(F85&gt;0,Pricing!E85*$H$5,0)</f>
        <v>#REF!</v>
      </c>
      <c r="H85" s="61" t="e">
        <f t="shared" si="9"/>
        <v>#REF!</v>
      </c>
      <c r="I85" s="62" t="e">
        <f>#REF!</f>
        <v>#REF!</v>
      </c>
      <c r="J85" s="61" t="e">
        <f>IF(I85&gt;0,Pricing!E85*$K$5,0)</f>
        <v>#REF!</v>
      </c>
      <c r="K85" s="63" t="e">
        <f t="shared" si="10"/>
        <v>#REF!</v>
      </c>
      <c r="L85" s="64" t="e">
        <f>#REF!</f>
        <v>#REF!</v>
      </c>
      <c r="M85" s="61" t="e">
        <f>IF(L85&lt;0,Pricing!E85*$N$5,0)</f>
        <v>#REF!</v>
      </c>
      <c r="N85" s="61" t="e">
        <f t="shared" si="11"/>
        <v>#REF!</v>
      </c>
      <c r="O85" s="60" t="e">
        <f>#REF!</f>
        <v>#REF!</v>
      </c>
      <c r="P85" s="61" t="e">
        <f>IF(O85&lt;0,Pricing!E85*$Q$5,0)</f>
        <v>#REF!</v>
      </c>
      <c r="Q85" s="61" t="e">
        <f t="shared" si="12"/>
        <v>#REF!</v>
      </c>
      <c r="R85" s="60" t="e">
        <f>#REF!</f>
        <v>#REF!</v>
      </c>
      <c r="S85" s="61" t="e">
        <f>IF(R85&lt;0,Pricing!E85*$T$5,0)</f>
        <v>#REF!</v>
      </c>
      <c r="T85" s="61" t="e">
        <f t="shared" si="13"/>
        <v>#REF!</v>
      </c>
    </row>
    <row r="86" spans="1:20" x14ac:dyDescent="0.25">
      <c r="A86" s="58">
        <f t="shared" si="14"/>
        <v>44534.291666666475</v>
      </c>
      <c r="B86" s="59">
        <f t="shared" si="15"/>
        <v>44534.333333333139</v>
      </c>
      <c r="C86" s="60" t="e">
        <f>#REF!</f>
        <v>#REF!</v>
      </c>
      <c r="D86" s="61" t="e">
        <f>IF(C86&gt;0,Pricing!E86*$E$5,0)</f>
        <v>#REF!</v>
      </c>
      <c r="E86" s="61" t="e">
        <f t="shared" si="8"/>
        <v>#REF!</v>
      </c>
      <c r="F86" s="60" t="e">
        <f>#REF!</f>
        <v>#REF!</v>
      </c>
      <c r="G86" s="61" t="e">
        <f>IF(F86&gt;0,Pricing!E86*$H$5,0)</f>
        <v>#REF!</v>
      </c>
      <c r="H86" s="61" t="e">
        <f t="shared" si="9"/>
        <v>#REF!</v>
      </c>
      <c r="I86" s="62" t="e">
        <f>#REF!</f>
        <v>#REF!</v>
      </c>
      <c r="J86" s="61" t="e">
        <f>IF(I86&gt;0,Pricing!E86*$K$5,0)</f>
        <v>#REF!</v>
      </c>
      <c r="K86" s="63" t="e">
        <f t="shared" si="10"/>
        <v>#REF!</v>
      </c>
      <c r="L86" s="64" t="e">
        <f>#REF!</f>
        <v>#REF!</v>
      </c>
      <c r="M86" s="61" t="e">
        <f>IF(L86&lt;0,Pricing!E86*$N$5,0)</f>
        <v>#REF!</v>
      </c>
      <c r="N86" s="61" t="e">
        <f t="shared" si="11"/>
        <v>#REF!</v>
      </c>
      <c r="O86" s="60" t="e">
        <f>#REF!</f>
        <v>#REF!</v>
      </c>
      <c r="P86" s="61" t="e">
        <f>IF(O86&lt;0,Pricing!E86*$Q$5,0)</f>
        <v>#REF!</v>
      </c>
      <c r="Q86" s="61" t="e">
        <f t="shared" si="12"/>
        <v>#REF!</v>
      </c>
      <c r="R86" s="60" t="e">
        <f>#REF!</f>
        <v>#REF!</v>
      </c>
      <c r="S86" s="61" t="e">
        <f>IF(R86&lt;0,Pricing!E86*$T$5,0)</f>
        <v>#REF!</v>
      </c>
      <c r="T86" s="61" t="e">
        <f t="shared" si="13"/>
        <v>#REF!</v>
      </c>
    </row>
    <row r="87" spans="1:20" x14ac:dyDescent="0.25">
      <c r="A87" s="58">
        <f t="shared" si="14"/>
        <v>44534.333333333139</v>
      </c>
      <c r="B87" s="59">
        <f t="shared" si="15"/>
        <v>44534.374999999804</v>
      </c>
      <c r="C87" s="60" t="e">
        <f>#REF!</f>
        <v>#REF!</v>
      </c>
      <c r="D87" s="61" t="e">
        <f>IF(C87&gt;0,Pricing!E87*$E$5,0)</f>
        <v>#REF!</v>
      </c>
      <c r="E87" s="61" t="e">
        <f t="shared" si="8"/>
        <v>#REF!</v>
      </c>
      <c r="F87" s="60" t="e">
        <f>#REF!</f>
        <v>#REF!</v>
      </c>
      <c r="G87" s="61" t="e">
        <f>IF(F87&gt;0,Pricing!E87*$H$5,0)</f>
        <v>#REF!</v>
      </c>
      <c r="H87" s="61" t="e">
        <f t="shared" si="9"/>
        <v>#REF!</v>
      </c>
      <c r="I87" s="62" t="e">
        <f>#REF!</f>
        <v>#REF!</v>
      </c>
      <c r="J87" s="61" t="e">
        <f>IF(I87&gt;0,Pricing!E87*$K$5,0)</f>
        <v>#REF!</v>
      </c>
      <c r="K87" s="63" t="e">
        <f t="shared" si="10"/>
        <v>#REF!</v>
      </c>
      <c r="L87" s="64" t="e">
        <f>#REF!</f>
        <v>#REF!</v>
      </c>
      <c r="M87" s="61" t="e">
        <f>IF(L87&lt;0,Pricing!E87*$N$5,0)</f>
        <v>#REF!</v>
      </c>
      <c r="N87" s="61" t="e">
        <f t="shared" si="11"/>
        <v>#REF!</v>
      </c>
      <c r="O87" s="60" t="e">
        <f>#REF!</f>
        <v>#REF!</v>
      </c>
      <c r="P87" s="61" t="e">
        <f>IF(O87&lt;0,Pricing!E87*$Q$5,0)</f>
        <v>#REF!</v>
      </c>
      <c r="Q87" s="61" t="e">
        <f t="shared" si="12"/>
        <v>#REF!</v>
      </c>
      <c r="R87" s="60" t="e">
        <f>#REF!</f>
        <v>#REF!</v>
      </c>
      <c r="S87" s="61" t="e">
        <f>IF(R87&lt;0,Pricing!E87*$T$5,0)</f>
        <v>#REF!</v>
      </c>
      <c r="T87" s="61" t="e">
        <f t="shared" si="13"/>
        <v>#REF!</v>
      </c>
    </row>
    <row r="88" spans="1:20" x14ac:dyDescent="0.25">
      <c r="A88" s="58">
        <f t="shared" si="14"/>
        <v>44534.374999999804</v>
      </c>
      <c r="B88" s="59">
        <f t="shared" si="15"/>
        <v>44534.416666666468</v>
      </c>
      <c r="C88" s="60" t="e">
        <f>#REF!</f>
        <v>#REF!</v>
      </c>
      <c r="D88" s="61" t="e">
        <f>IF(C88&gt;0,Pricing!E88*$E$5,0)</f>
        <v>#REF!</v>
      </c>
      <c r="E88" s="61" t="e">
        <f t="shared" si="8"/>
        <v>#REF!</v>
      </c>
      <c r="F88" s="60" t="e">
        <f>#REF!</f>
        <v>#REF!</v>
      </c>
      <c r="G88" s="61" t="e">
        <f>IF(F88&gt;0,Pricing!E88*$H$5,0)</f>
        <v>#REF!</v>
      </c>
      <c r="H88" s="61" t="e">
        <f t="shared" si="9"/>
        <v>#REF!</v>
      </c>
      <c r="I88" s="62" t="e">
        <f>#REF!</f>
        <v>#REF!</v>
      </c>
      <c r="J88" s="61" t="e">
        <f>IF(I88&gt;0,Pricing!E88*$K$5,0)</f>
        <v>#REF!</v>
      </c>
      <c r="K88" s="63" t="e">
        <f t="shared" si="10"/>
        <v>#REF!</v>
      </c>
      <c r="L88" s="64" t="e">
        <f>#REF!</f>
        <v>#REF!</v>
      </c>
      <c r="M88" s="61" t="e">
        <f>IF(L88&lt;0,Pricing!E88*$N$5,0)</f>
        <v>#REF!</v>
      </c>
      <c r="N88" s="61" t="e">
        <f t="shared" si="11"/>
        <v>#REF!</v>
      </c>
      <c r="O88" s="60" t="e">
        <f>#REF!</f>
        <v>#REF!</v>
      </c>
      <c r="P88" s="61" t="e">
        <f>IF(O88&lt;0,Pricing!E88*$Q$5,0)</f>
        <v>#REF!</v>
      </c>
      <c r="Q88" s="61" t="e">
        <f t="shared" si="12"/>
        <v>#REF!</v>
      </c>
      <c r="R88" s="60" t="e">
        <f>#REF!</f>
        <v>#REF!</v>
      </c>
      <c r="S88" s="61" t="e">
        <f>IF(R88&lt;0,Pricing!E88*$T$5,0)</f>
        <v>#REF!</v>
      </c>
      <c r="T88" s="61" t="e">
        <f t="shared" si="13"/>
        <v>#REF!</v>
      </c>
    </row>
    <row r="89" spans="1:20" x14ac:dyDescent="0.25">
      <c r="A89" s="58">
        <f t="shared" si="14"/>
        <v>44534.416666666468</v>
      </c>
      <c r="B89" s="59">
        <f t="shared" si="15"/>
        <v>44534.458333333132</v>
      </c>
      <c r="C89" s="60" t="e">
        <f>#REF!</f>
        <v>#REF!</v>
      </c>
      <c r="D89" s="61" t="e">
        <f>IF(C89&gt;0,Pricing!E89*$E$5,0)</f>
        <v>#REF!</v>
      </c>
      <c r="E89" s="61" t="e">
        <f t="shared" si="8"/>
        <v>#REF!</v>
      </c>
      <c r="F89" s="60" t="e">
        <f>#REF!</f>
        <v>#REF!</v>
      </c>
      <c r="G89" s="61" t="e">
        <f>IF(F89&gt;0,Pricing!E89*$H$5,0)</f>
        <v>#REF!</v>
      </c>
      <c r="H89" s="61" t="e">
        <f t="shared" si="9"/>
        <v>#REF!</v>
      </c>
      <c r="I89" s="62" t="e">
        <f>#REF!</f>
        <v>#REF!</v>
      </c>
      <c r="J89" s="61" t="e">
        <f>IF(I89&gt;0,Pricing!E89*$K$5,0)</f>
        <v>#REF!</v>
      </c>
      <c r="K89" s="63" t="e">
        <f t="shared" si="10"/>
        <v>#REF!</v>
      </c>
      <c r="L89" s="64" t="e">
        <f>#REF!</f>
        <v>#REF!</v>
      </c>
      <c r="M89" s="61" t="e">
        <f>IF(L89&lt;0,Pricing!E89*$N$5,0)</f>
        <v>#REF!</v>
      </c>
      <c r="N89" s="61" t="e">
        <f t="shared" si="11"/>
        <v>#REF!</v>
      </c>
      <c r="O89" s="60" t="e">
        <f>#REF!</f>
        <v>#REF!</v>
      </c>
      <c r="P89" s="61" t="e">
        <f>IF(O89&lt;0,Pricing!E89*$Q$5,0)</f>
        <v>#REF!</v>
      </c>
      <c r="Q89" s="61" t="e">
        <f t="shared" si="12"/>
        <v>#REF!</v>
      </c>
      <c r="R89" s="60" t="e">
        <f>#REF!</f>
        <v>#REF!</v>
      </c>
      <c r="S89" s="61" t="e">
        <f>IF(R89&lt;0,Pricing!E89*$T$5,0)</f>
        <v>#REF!</v>
      </c>
      <c r="T89" s="61" t="e">
        <f t="shared" si="13"/>
        <v>#REF!</v>
      </c>
    </row>
    <row r="90" spans="1:20" x14ac:dyDescent="0.25">
      <c r="A90" s="58">
        <f t="shared" si="14"/>
        <v>44534.458333333132</v>
      </c>
      <c r="B90" s="59">
        <f t="shared" si="15"/>
        <v>44534.499999999796</v>
      </c>
      <c r="C90" s="60" t="e">
        <f>#REF!</f>
        <v>#REF!</v>
      </c>
      <c r="D90" s="61" t="e">
        <f>IF(C90&gt;0,Pricing!E90*$E$5,0)</f>
        <v>#REF!</v>
      </c>
      <c r="E90" s="61" t="e">
        <f t="shared" si="8"/>
        <v>#REF!</v>
      </c>
      <c r="F90" s="60" t="e">
        <f>#REF!</f>
        <v>#REF!</v>
      </c>
      <c r="G90" s="61" t="e">
        <f>IF(F90&gt;0,Pricing!E90*$H$5,0)</f>
        <v>#REF!</v>
      </c>
      <c r="H90" s="61" t="e">
        <f t="shared" si="9"/>
        <v>#REF!</v>
      </c>
      <c r="I90" s="62" t="e">
        <f>#REF!</f>
        <v>#REF!</v>
      </c>
      <c r="J90" s="61" t="e">
        <f>IF(I90&gt;0,Pricing!E90*$K$5,0)</f>
        <v>#REF!</v>
      </c>
      <c r="K90" s="63" t="e">
        <f t="shared" si="10"/>
        <v>#REF!</v>
      </c>
      <c r="L90" s="64" t="e">
        <f>#REF!</f>
        <v>#REF!</v>
      </c>
      <c r="M90" s="61" t="e">
        <f>IF(L90&lt;0,Pricing!E90*$N$5,0)</f>
        <v>#REF!</v>
      </c>
      <c r="N90" s="61" t="e">
        <f t="shared" si="11"/>
        <v>#REF!</v>
      </c>
      <c r="O90" s="60" t="e">
        <f>#REF!</f>
        <v>#REF!</v>
      </c>
      <c r="P90" s="61" t="e">
        <f>IF(O90&lt;0,Pricing!E90*$Q$5,0)</f>
        <v>#REF!</v>
      </c>
      <c r="Q90" s="61" t="e">
        <f t="shared" si="12"/>
        <v>#REF!</v>
      </c>
      <c r="R90" s="60" t="e">
        <f>#REF!</f>
        <v>#REF!</v>
      </c>
      <c r="S90" s="61" t="e">
        <f>IF(R90&lt;0,Pricing!E90*$T$5,0)</f>
        <v>#REF!</v>
      </c>
      <c r="T90" s="61" t="e">
        <f t="shared" si="13"/>
        <v>#REF!</v>
      </c>
    </row>
    <row r="91" spans="1:20" x14ac:dyDescent="0.25">
      <c r="A91" s="58">
        <f t="shared" si="14"/>
        <v>44534.499999999796</v>
      </c>
      <c r="B91" s="59">
        <f t="shared" si="15"/>
        <v>44534.541666666461</v>
      </c>
      <c r="C91" s="60" t="e">
        <f>#REF!</f>
        <v>#REF!</v>
      </c>
      <c r="D91" s="61" t="e">
        <f>IF(C91&gt;0,Pricing!E91*$E$5,0)</f>
        <v>#REF!</v>
      </c>
      <c r="E91" s="61" t="e">
        <f t="shared" si="8"/>
        <v>#REF!</v>
      </c>
      <c r="F91" s="60" t="e">
        <f>#REF!</f>
        <v>#REF!</v>
      </c>
      <c r="G91" s="61" t="e">
        <f>IF(F91&gt;0,Pricing!E91*$H$5,0)</f>
        <v>#REF!</v>
      </c>
      <c r="H91" s="61" t="e">
        <f t="shared" si="9"/>
        <v>#REF!</v>
      </c>
      <c r="I91" s="62" t="e">
        <f>#REF!</f>
        <v>#REF!</v>
      </c>
      <c r="J91" s="61" t="e">
        <f>IF(I91&gt;0,Pricing!E91*$K$5,0)</f>
        <v>#REF!</v>
      </c>
      <c r="K91" s="63" t="e">
        <f t="shared" si="10"/>
        <v>#REF!</v>
      </c>
      <c r="L91" s="64" t="e">
        <f>#REF!</f>
        <v>#REF!</v>
      </c>
      <c r="M91" s="61" t="e">
        <f>IF(L91&lt;0,Pricing!E91*$N$5,0)</f>
        <v>#REF!</v>
      </c>
      <c r="N91" s="61" t="e">
        <f t="shared" si="11"/>
        <v>#REF!</v>
      </c>
      <c r="O91" s="60" t="e">
        <f>#REF!</f>
        <v>#REF!</v>
      </c>
      <c r="P91" s="61" t="e">
        <f>IF(O91&lt;0,Pricing!E91*$Q$5,0)</f>
        <v>#REF!</v>
      </c>
      <c r="Q91" s="61" t="e">
        <f t="shared" si="12"/>
        <v>#REF!</v>
      </c>
      <c r="R91" s="60" t="e">
        <f>#REF!</f>
        <v>#REF!</v>
      </c>
      <c r="S91" s="61" t="e">
        <f>IF(R91&lt;0,Pricing!E91*$T$5,0)</f>
        <v>#REF!</v>
      </c>
      <c r="T91" s="61" t="e">
        <f t="shared" si="13"/>
        <v>#REF!</v>
      </c>
    </row>
    <row r="92" spans="1:20" x14ac:dyDescent="0.25">
      <c r="A92" s="58">
        <f t="shared" si="14"/>
        <v>44534.541666666461</v>
      </c>
      <c r="B92" s="59">
        <f t="shared" si="15"/>
        <v>44534.583333333125</v>
      </c>
      <c r="C92" s="60" t="e">
        <f>#REF!</f>
        <v>#REF!</v>
      </c>
      <c r="D92" s="61" t="e">
        <f>IF(C92&gt;0,Pricing!E92*$E$5,0)</f>
        <v>#REF!</v>
      </c>
      <c r="E92" s="61" t="e">
        <f t="shared" si="8"/>
        <v>#REF!</v>
      </c>
      <c r="F92" s="60" t="e">
        <f>#REF!</f>
        <v>#REF!</v>
      </c>
      <c r="G92" s="61" t="e">
        <f>IF(F92&gt;0,Pricing!E92*$H$5,0)</f>
        <v>#REF!</v>
      </c>
      <c r="H92" s="61" t="e">
        <f t="shared" si="9"/>
        <v>#REF!</v>
      </c>
      <c r="I92" s="62" t="e">
        <f>#REF!</f>
        <v>#REF!</v>
      </c>
      <c r="J92" s="61" t="e">
        <f>IF(I92&gt;0,Pricing!E92*$K$5,0)</f>
        <v>#REF!</v>
      </c>
      <c r="K92" s="63" t="e">
        <f t="shared" si="10"/>
        <v>#REF!</v>
      </c>
      <c r="L92" s="64" t="e">
        <f>#REF!</f>
        <v>#REF!</v>
      </c>
      <c r="M92" s="61" t="e">
        <f>IF(L92&lt;0,Pricing!E92*$N$5,0)</f>
        <v>#REF!</v>
      </c>
      <c r="N92" s="61" t="e">
        <f t="shared" si="11"/>
        <v>#REF!</v>
      </c>
      <c r="O92" s="60" t="e">
        <f>#REF!</f>
        <v>#REF!</v>
      </c>
      <c r="P92" s="61" t="e">
        <f>IF(O92&lt;0,Pricing!E92*$Q$5,0)</f>
        <v>#REF!</v>
      </c>
      <c r="Q92" s="61" t="e">
        <f t="shared" si="12"/>
        <v>#REF!</v>
      </c>
      <c r="R92" s="60" t="e">
        <f>#REF!</f>
        <v>#REF!</v>
      </c>
      <c r="S92" s="61" t="e">
        <f>IF(R92&lt;0,Pricing!E92*$T$5,0)</f>
        <v>#REF!</v>
      </c>
      <c r="T92" s="61" t="e">
        <f t="shared" si="13"/>
        <v>#REF!</v>
      </c>
    </row>
    <row r="93" spans="1:20" x14ac:dyDescent="0.25">
      <c r="A93" s="58">
        <f t="shared" si="14"/>
        <v>44534.583333333125</v>
      </c>
      <c r="B93" s="59">
        <f t="shared" si="15"/>
        <v>44534.624999999789</v>
      </c>
      <c r="C93" s="60" t="e">
        <f>#REF!</f>
        <v>#REF!</v>
      </c>
      <c r="D93" s="61" t="e">
        <f>IF(C93&gt;0,Pricing!E93*$E$5,0)</f>
        <v>#REF!</v>
      </c>
      <c r="E93" s="61" t="e">
        <f t="shared" si="8"/>
        <v>#REF!</v>
      </c>
      <c r="F93" s="60" t="e">
        <f>#REF!</f>
        <v>#REF!</v>
      </c>
      <c r="G93" s="61" t="e">
        <f>IF(F93&gt;0,Pricing!E93*$H$5,0)</f>
        <v>#REF!</v>
      </c>
      <c r="H93" s="61" t="e">
        <f t="shared" si="9"/>
        <v>#REF!</v>
      </c>
      <c r="I93" s="62" t="e">
        <f>#REF!</f>
        <v>#REF!</v>
      </c>
      <c r="J93" s="61" t="e">
        <f>IF(I93&gt;0,Pricing!E93*$K$5,0)</f>
        <v>#REF!</v>
      </c>
      <c r="K93" s="63" t="e">
        <f t="shared" si="10"/>
        <v>#REF!</v>
      </c>
      <c r="L93" s="64" t="e">
        <f>#REF!</f>
        <v>#REF!</v>
      </c>
      <c r="M93" s="61" t="e">
        <f>IF(L93&lt;0,Pricing!E93*$N$5,0)</f>
        <v>#REF!</v>
      </c>
      <c r="N93" s="61" t="e">
        <f t="shared" si="11"/>
        <v>#REF!</v>
      </c>
      <c r="O93" s="60" t="e">
        <f>#REF!</f>
        <v>#REF!</v>
      </c>
      <c r="P93" s="61" t="e">
        <f>IF(O93&lt;0,Pricing!E93*$Q$5,0)</f>
        <v>#REF!</v>
      </c>
      <c r="Q93" s="61" t="e">
        <f t="shared" si="12"/>
        <v>#REF!</v>
      </c>
      <c r="R93" s="60" t="e">
        <f>#REF!</f>
        <v>#REF!</v>
      </c>
      <c r="S93" s="61" t="e">
        <f>IF(R93&lt;0,Pricing!E93*$T$5,0)</f>
        <v>#REF!</v>
      </c>
      <c r="T93" s="61" t="e">
        <f t="shared" si="13"/>
        <v>#REF!</v>
      </c>
    </row>
    <row r="94" spans="1:20" x14ac:dyDescent="0.25">
      <c r="A94" s="58">
        <f t="shared" si="14"/>
        <v>44534.624999999789</v>
      </c>
      <c r="B94" s="59">
        <f t="shared" si="15"/>
        <v>44534.666666666453</v>
      </c>
      <c r="C94" s="60" t="e">
        <f>#REF!</f>
        <v>#REF!</v>
      </c>
      <c r="D94" s="61" t="e">
        <f>IF(C94&gt;0,Pricing!E94*$E$5,0)</f>
        <v>#REF!</v>
      </c>
      <c r="E94" s="61" t="e">
        <f t="shared" si="8"/>
        <v>#REF!</v>
      </c>
      <c r="F94" s="60" t="e">
        <f>#REF!</f>
        <v>#REF!</v>
      </c>
      <c r="G94" s="61" t="e">
        <f>IF(F94&gt;0,Pricing!E94*$H$5,0)</f>
        <v>#REF!</v>
      </c>
      <c r="H94" s="61" t="e">
        <f t="shared" si="9"/>
        <v>#REF!</v>
      </c>
      <c r="I94" s="62" t="e">
        <f>#REF!</f>
        <v>#REF!</v>
      </c>
      <c r="J94" s="61" t="e">
        <f>IF(I94&gt;0,Pricing!E94*$K$5,0)</f>
        <v>#REF!</v>
      </c>
      <c r="K94" s="63" t="e">
        <f t="shared" si="10"/>
        <v>#REF!</v>
      </c>
      <c r="L94" s="64" t="e">
        <f>#REF!</f>
        <v>#REF!</v>
      </c>
      <c r="M94" s="61" t="e">
        <f>IF(L94&lt;0,Pricing!E94*$N$5,0)</f>
        <v>#REF!</v>
      </c>
      <c r="N94" s="61" t="e">
        <f t="shared" si="11"/>
        <v>#REF!</v>
      </c>
      <c r="O94" s="60" t="e">
        <f>#REF!</f>
        <v>#REF!</v>
      </c>
      <c r="P94" s="61" t="e">
        <f>IF(O94&lt;0,Pricing!E94*$Q$5,0)</f>
        <v>#REF!</v>
      </c>
      <c r="Q94" s="61" t="e">
        <f t="shared" si="12"/>
        <v>#REF!</v>
      </c>
      <c r="R94" s="60" t="e">
        <f>#REF!</f>
        <v>#REF!</v>
      </c>
      <c r="S94" s="61" t="e">
        <f>IF(R94&lt;0,Pricing!E94*$T$5,0)</f>
        <v>#REF!</v>
      </c>
      <c r="T94" s="61" t="e">
        <f t="shared" si="13"/>
        <v>#REF!</v>
      </c>
    </row>
    <row r="95" spans="1:20" x14ac:dyDescent="0.25">
      <c r="A95" s="58">
        <f t="shared" si="14"/>
        <v>44534.666666666453</v>
      </c>
      <c r="B95" s="59">
        <f t="shared" si="15"/>
        <v>44534.708333333117</v>
      </c>
      <c r="C95" s="60" t="e">
        <f>#REF!</f>
        <v>#REF!</v>
      </c>
      <c r="D95" s="61" t="e">
        <f>IF(C95&gt;0,Pricing!E95*$E$5,0)</f>
        <v>#REF!</v>
      </c>
      <c r="E95" s="61" t="e">
        <f t="shared" si="8"/>
        <v>#REF!</v>
      </c>
      <c r="F95" s="60" t="e">
        <f>#REF!</f>
        <v>#REF!</v>
      </c>
      <c r="G95" s="61" t="e">
        <f>IF(F95&gt;0,Pricing!E95*$H$5,0)</f>
        <v>#REF!</v>
      </c>
      <c r="H95" s="61" t="e">
        <f t="shared" si="9"/>
        <v>#REF!</v>
      </c>
      <c r="I95" s="62" t="e">
        <f>#REF!</f>
        <v>#REF!</v>
      </c>
      <c r="J95" s="61" t="e">
        <f>IF(I95&gt;0,Pricing!E95*$K$5,0)</f>
        <v>#REF!</v>
      </c>
      <c r="K95" s="63" t="e">
        <f t="shared" si="10"/>
        <v>#REF!</v>
      </c>
      <c r="L95" s="64" t="e">
        <f>#REF!</f>
        <v>#REF!</v>
      </c>
      <c r="M95" s="61" t="e">
        <f>IF(L95&lt;0,Pricing!E95*$N$5,0)</f>
        <v>#REF!</v>
      </c>
      <c r="N95" s="61" t="e">
        <f t="shared" si="11"/>
        <v>#REF!</v>
      </c>
      <c r="O95" s="60" t="e">
        <f>#REF!</f>
        <v>#REF!</v>
      </c>
      <c r="P95" s="61" t="e">
        <f>IF(O95&lt;0,Pricing!E95*$Q$5,0)</f>
        <v>#REF!</v>
      </c>
      <c r="Q95" s="61" t="e">
        <f t="shared" si="12"/>
        <v>#REF!</v>
      </c>
      <c r="R95" s="60" t="e">
        <f>#REF!</f>
        <v>#REF!</v>
      </c>
      <c r="S95" s="61" t="e">
        <f>IF(R95&lt;0,Pricing!E95*$T$5,0)</f>
        <v>#REF!</v>
      </c>
      <c r="T95" s="61" t="e">
        <f t="shared" si="13"/>
        <v>#REF!</v>
      </c>
    </row>
    <row r="96" spans="1:20" x14ac:dyDescent="0.25">
      <c r="A96" s="58">
        <f t="shared" si="14"/>
        <v>44534.708333333117</v>
      </c>
      <c r="B96" s="59">
        <f t="shared" si="15"/>
        <v>44534.749999999782</v>
      </c>
      <c r="C96" s="60" t="e">
        <f>#REF!</f>
        <v>#REF!</v>
      </c>
      <c r="D96" s="61" t="e">
        <f>IF(C96&gt;0,Pricing!E96*$E$5,0)</f>
        <v>#REF!</v>
      </c>
      <c r="E96" s="61" t="e">
        <f t="shared" si="8"/>
        <v>#REF!</v>
      </c>
      <c r="F96" s="60" t="e">
        <f>#REF!</f>
        <v>#REF!</v>
      </c>
      <c r="G96" s="61" t="e">
        <f>IF(F96&gt;0,Pricing!E96*$H$5,0)</f>
        <v>#REF!</v>
      </c>
      <c r="H96" s="61" t="e">
        <f t="shared" si="9"/>
        <v>#REF!</v>
      </c>
      <c r="I96" s="62" t="e">
        <f>#REF!</f>
        <v>#REF!</v>
      </c>
      <c r="J96" s="61" t="e">
        <f>IF(I96&gt;0,Pricing!E96*$K$5,0)</f>
        <v>#REF!</v>
      </c>
      <c r="K96" s="63" t="e">
        <f t="shared" si="10"/>
        <v>#REF!</v>
      </c>
      <c r="L96" s="64" t="e">
        <f>#REF!</f>
        <v>#REF!</v>
      </c>
      <c r="M96" s="61" t="e">
        <f>IF(L96&lt;0,Pricing!E96*$N$5,0)</f>
        <v>#REF!</v>
      </c>
      <c r="N96" s="61" t="e">
        <f t="shared" si="11"/>
        <v>#REF!</v>
      </c>
      <c r="O96" s="60" t="e">
        <f>#REF!</f>
        <v>#REF!</v>
      </c>
      <c r="P96" s="61" t="e">
        <f>IF(O96&lt;0,Pricing!E96*$Q$5,0)</f>
        <v>#REF!</v>
      </c>
      <c r="Q96" s="61" t="e">
        <f t="shared" si="12"/>
        <v>#REF!</v>
      </c>
      <c r="R96" s="60" t="e">
        <f>#REF!</f>
        <v>#REF!</v>
      </c>
      <c r="S96" s="61" t="e">
        <f>IF(R96&lt;0,Pricing!E96*$T$5,0)</f>
        <v>#REF!</v>
      </c>
      <c r="T96" s="61" t="e">
        <f t="shared" si="13"/>
        <v>#REF!</v>
      </c>
    </row>
    <row r="97" spans="1:20" x14ac:dyDescent="0.25">
      <c r="A97" s="58">
        <f t="shared" si="14"/>
        <v>44534.749999999782</v>
      </c>
      <c r="B97" s="59">
        <f t="shared" si="15"/>
        <v>44534.791666666446</v>
      </c>
      <c r="C97" s="60" t="e">
        <f>#REF!</f>
        <v>#REF!</v>
      </c>
      <c r="D97" s="61" t="e">
        <f>IF(C97&gt;0,Pricing!E97*$E$5,0)</f>
        <v>#REF!</v>
      </c>
      <c r="E97" s="61" t="e">
        <f t="shared" si="8"/>
        <v>#REF!</v>
      </c>
      <c r="F97" s="60" t="e">
        <f>#REF!</f>
        <v>#REF!</v>
      </c>
      <c r="G97" s="61" t="e">
        <f>IF(F97&gt;0,Pricing!E97*$H$5,0)</f>
        <v>#REF!</v>
      </c>
      <c r="H97" s="61" t="e">
        <f t="shared" si="9"/>
        <v>#REF!</v>
      </c>
      <c r="I97" s="62" t="e">
        <f>#REF!</f>
        <v>#REF!</v>
      </c>
      <c r="J97" s="61" t="e">
        <f>IF(I97&gt;0,Pricing!E97*$K$5,0)</f>
        <v>#REF!</v>
      </c>
      <c r="K97" s="63" t="e">
        <f t="shared" si="10"/>
        <v>#REF!</v>
      </c>
      <c r="L97" s="64" t="e">
        <f>#REF!</f>
        <v>#REF!</v>
      </c>
      <c r="M97" s="61" t="e">
        <f>IF(L97&lt;0,Pricing!E97*$N$5,0)</f>
        <v>#REF!</v>
      </c>
      <c r="N97" s="61" t="e">
        <f t="shared" si="11"/>
        <v>#REF!</v>
      </c>
      <c r="O97" s="60" t="e">
        <f>#REF!</f>
        <v>#REF!</v>
      </c>
      <c r="P97" s="61" t="e">
        <f>IF(O97&lt;0,Pricing!E97*$Q$5,0)</f>
        <v>#REF!</v>
      </c>
      <c r="Q97" s="61" t="e">
        <f t="shared" si="12"/>
        <v>#REF!</v>
      </c>
      <c r="R97" s="60" t="e">
        <f>#REF!</f>
        <v>#REF!</v>
      </c>
      <c r="S97" s="61" t="e">
        <f>IF(R97&lt;0,Pricing!E97*$T$5,0)</f>
        <v>#REF!</v>
      </c>
      <c r="T97" s="61" t="e">
        <f t="shared" si="13"/>
        <v>#REF!</v>
      </c>
    </row>
    <row r="98" spans="1:20" x14ac:dyDescent="0.25">
      <c r="A98" s="58">
        <f t="shared" si="14"/>
        <v>44534.791666666446</v>
      </c>
      <c r="B98" s="59">
        <f t="shared" si="15"/>
        <v>44534.83333333311</v>
      </c>
      <c r="C98" s="60" t="e">
        <f>#REF!</f>
        <v>#REF!</v>
      </c>
      <c r="D98" s="61" t="e">
        <f>IF(C98&gt;0,Pricing!E98*$E$5,0)</f>
        <v>#REF!</v>
      </c>
      <c r="E98" s="61" t="e">
        <f t="shared" si="8"/>
        <v>#REF!</v>
      </c>
      <c r="F98" s="60" t="e">
        <f>#REF!</f>
        <v>#REF!</v>
      </c>
      <c r="G98" s="61" t="e">
        <f>IF(F98&gt;0,Pricing!E98*$H$5,0)</f>
        <v>#REF!</v>
      </c>
      <c r="H98" s="61" t="e">
        <f t="shared" si="9"/>
        <v>#REF!</v>
      </c>
      <c r="I98" s="62" t="e">
        <f>#REF!</f>
        <v>#REF!</v>
      </c>
      <c r="J98" s="61" t="e">
        <f>IF(I98&gt;0,Pricing!E98*$K$5,0)</f>
        <v>#REF!</v>
      </c>
      <c r="K98" s="63" t="e">
        <f t="shared" si="10"/>
        <v>#REF!</v>
      </c>
      <c r="L98" s="64" t="e">
        <f>#REF!</f>
        <v>#REF!</v>
      </c>
      <c r="M98" s="61" t="e">
        <f>IF(L98&lt;0,Pricing!E98*$N$5,0)</f>
        <v>#REF!</v>
      </c>
      <c r="N98" s="61" t="e">
        <f t="shared" si="11"/>
        <v>#REF!</v>
      </c>
      <c r="O98" s="60" t="e">
        <f>#REF!</f>
        <v>#REF!</v>
      </c>
      <c r="P98" s="61" t="e">
        <f>IF(O98&lt;0,Pricing!E98*$Q$5,0)</f>
        <v>#REF!</v>
      </c>
      <c r="Q98" s="61" t="e">
        <f t="shared" si="12"/>
        <v>#REF!</v>
      </c>
      <c r="R98" s="60" t="e">
        <f>#REF!</f>
        <v>#REF!</v>
      </c>
      <c r="S98" s="61" t="e">
        <f>IF(R98&lt;0,Pricing!E98*$T$5,0)</f>
        <v>#REF!</v>
      </c>
      <c r="T98" s="61" t="e">
        <f t="shared" si="13"/>
        <v>#REF!</v>
      </c>
    </row>
    <row r="99" spans="1:20" x14ac:dyDescent="0.25">
      <c r="A99" s="58">
        <f t="shared" si="14"/>
        <v>44534.83333333311</v>
      </c>
      <c r="B99" s="59">
        <f t="shared" si="15"/>
        <v>44534.874999999774</v>
      </c>
      <c r="C99" s="60" t="e">
        <f>#REF!</f>
        <v>#REF!</v>
      </c>
      <c r="D99" s="61" t="e">
        <f>IF(C99&gt;0,Pricing!E99*$E$5,0)</f>
        <v>#REF!</v>
      </c>
      <c r="E99" s="61" t="e">
        <f t="shared" si="8"/>
        <v>#REF!</v>
      </c>
      <c r="F99" s="60" t="e">
        <f>#REF!</f>
        <v>#REF!</v>
      </c>
      <c r="G99" s="61" t="e">
        <f>IF(F99&gt;0,Pricing!E99*$H$5,0)</f>
        <v>#REF!</v>
      </c>
      <c r="H99" s="61" t="e">
        <f t="shared" si="9"/>
        <v>#REF!</v>
      </c>
      <c r="I99" s="62" t="e">
        <f>#REF!</f>
        <v>#REF!</v>
      </c>
      <c r="J99" s="61" t="e">
        <f>IF(I99&gt;0,Pricing!E99*$K$5,0)</f>
        <v>#REF!</v>
      </c>
      <c r="K99" s="63" t="e">
        <f t="shared" si="10"/>
        <v>#REF!</v>
      </c>
      <c r="L99" s="64" t="e">
        <f>#REF!</f>
        <v>#REF!</v>
      </c>
      <c r="M99" s="61" t="e">
        <f>IF(L99&lt;0,Pricing!E99*$N$5,0)</f>
        <v>#REF!</v>
      </c>
      <c r="N99" s="61" t="e">
        <f t="shared" si="11"/>
        <v>#REF!</v>
      </c>
      <c r="O99" s="60" t="e">
        <f>#REF!</f>
        <v>#REF!</v>
      </c>
      <c r="P99" s="61" t="e">
        <f>IF(O99&lt;0,Pricing!E99*$Q$5,0)</f>
        <v>#REF!</v>
      </c>
      <c r="Q99" s="61" t="e">
        <f t="shared" si="12"/>
        <v>#REF!</v>
      </c>
      <c r="R99" s="60" t="e">
        <f>#REF!</f>
        <v>#REF!</v>
      </c>
      <c r="S99" s="61" t="e">
        <f>IF(R99&lt;0,Pricing!E99*$T$5,0)</f>
        <v>#REF!</v>
      </c>
      <c r="T99" s="61" t="e">
        <f t="shared" si="13"/>
        <v>#REF!</v>
      </c>
    </row>
    <row r="100" spans="1:20" x14ac:dyDescent="0.25">
      <c r="A100" s="58">
        <f t="shared" si="14"/>
        <v>44534.874999999774</v>
      </c>
      <c r="B100" s="59">
        <f t="shared" si="15"/>
        <v>44534.916666666439</v>
      </c>
      <c r="C100" s="60" t="e">
        <f>#REF!</f>
        <v>#REF!</v>
      </c>
      <c r="D100" s="61" t="e">
        <f>IF(C100&gt;0,Pricing!E100*$E$5,0)</f>
        <v>#REF!</v>
      </c>
      <c r="E100" s="61" t="e">
        <f t="shared" si="8"/>
        <v>#REF!</v>
      </c>
      <c r="F100" s="60" t="e">
        <f>#REF!</f>
        <v>#REF!</v>
      </c>
      <c r="G100" s="61" t="e">
        <f>IF(F100&gt;0,Pricing!E100*$H$5,0)</f>
        <v>#REF!</v>
      </c>
      <c r="H100" s="61" t="e">
        <f t="shared" si="9"/>
        <v>#REF!</v>
      </c>
      <c r="I100" s="62" t="e">
        <f>#REF!</f>
        <v>#REF!</v>
      </c>
      <c r="J100" s="61" t="e">
        <f>IF(I100&gt;0,Pricing!E100*$K$5,0)</f>
        <v>#REF!</v>
      </c>
      <c r="K100" s="63" t="e">
        <f t="shared" si="10"/>
        <v>#REF!</v>
      </c>
      <c r="L100" s="64" t="e">
        <f>#REF!</f>
        <v>#REF!</v>
      </c>
      <c r="M100" s="61" t="e">
        <f>IF(L100&lt;0,Pricing!E100*$N$5,0)</f>
        <v>#REF!</v>
      </c>
      <c r="N100" s="61" t="e">
        <f t="shared" si="11"/>
        <v>#REF!</v>
      </c>
      <c r="O100" s="60" t="e">
        <f>#REF!</f>
        <v>#REF!</v>
      </c>
      <c r="P100" s="61" t="e">
        <f>IF(O100&lt;0,Pricing!E100*$Q$5,0)</f>
        <v>#REF!</v>
      </c>
      <c r="Q100" s="61" t="e">
        <f t="shared" si="12"/>
        <v>#REF!</v>
      </c>
      <c r="R100" s="60" t="e">
        <f>#REF!</f>
        <v>#REF!</v>
      </c>
      <c r="S100" s="61" t="e">
        <f>IF(R100&lt;0,Pricing!E100*$T$5,0)</f>
        <v>#REF!</v>
      </c>
      <c r="T100" s="61" t="e">
        <f t="shared" si="13"/>
        <v>#REF!</v>
      </c>
    </row>
    <row r="101" spans="1:20" x14ac:dyDescent="0.25">
      <c r="A101" s="58">
        <f t="shared" si="14"/>
        <v>44534.916666666439</v>
      </c>
      <c r="B101" s="59">
        <f t="shared" si="15"/>
        <v>44534.958333333103</v>
      </c>
      <c r="C101" s="60" t="e">
        <f>#REF!</f>
        <v>#REF!</v>
      </c>
      <c r="D101" s="61" t="e">
        <f>IF(C101&gt;0,Pricing!E101*$E$5,0)</f>
        <v>#REF!</v>
      </c>
      <c r="E101" s="61" t="e">
        <f t="shared" si="8"/>
        <v>#REF!</v>
      </c>
      <c r="F101" s="60" t="e">
        <f>#REF!</f>
        <v>#REF!</v>
      </c>
      <c r="G101" s="61" t="e">
        <f>IF(F101&gt;0,Pricing!E101*$H$5,0)</f>
        <v>#REF!</v>
      </c>
      <c r="H101" s="61" t="e">
        <f t="shared" si="9"/>
        <v>#REF!</v>
      </c>
      <c r="I101" s="62" t="e">
        <f>#REF!</f>
        <v>#REF!</v>
      </c>
      <c r="J101" s="61" t="e">
        <f>IF(I101&gt;0,Pricing!E101*$K$5,0)</f>
        <v>#REF!</v>
      </c>
      <c r="K101" s="63" t="e">
        <f t="shared" si="10"/>
        <v>#REF!</v>
      </c>
      <c r="L101" s="64" t="e">
        <f>#REF!</f>
        <v>#REF!</v>
      </c>
      <c r="M101" s="61" t="e">
        <f>IF(L101&lt;0,Pricing!E101*$N$5,0)</f>
        <v>#REF!</v>
      </c>
      <c r="N101" s="61" t="e">
        <f t="shared" si="11"/>
        <v>#REF!</v>
      </c>
      <c r="O101" s="60" t="e">
        <f>#REF!</f>
        <v>#REF!</v>
      </c>
      <c r="P101" s="61" t="e">
        <f>IF(O101&lt;0,Pricing!E101*$Q$5,0)</f>
        <v>#REF!</v>
      </c>
      <c r="Q101" s="61" t="e">
        <f t="shared" si="12"/>
        <v>#REF!</v>
      </c>
      <c r="R101" s="60" t="e">
        <f>#REF!</f>
        <v>#REF!</v>
      </c>
      <c r="S101" s="61" t="e">
        <f>IF(R101&lt;0,Pricing!E101*$T$5,0)</f>
        <v>#REF!</v>
      </c>
      <c r="T101" s="61" t="e">
        <f t="shared" si="13"/>
        <v>#REF!</v>
      </c>
    </row>
    <row r="102" spans="1:20" x14ac:dyDescent="0.25">
      <c r="A102" s="58">
        <f t="shared" si="14"/>
        <v>44534.958333333103</v>
      </c>
      <c r="B102" s="59">
        <f t="shared" si="15"/>
        <v>44534.999999999767</v>
      </c>
      <c r="C102" s="60" t="e">
        <f>#REF!</f>
        <v>#REF!</v>
      </c>
      <c r="D102" s="61" t="e">
        <f>IF(C102&gt;0,Pricing!E102*$E$5,0)</f>
        <v>#REF!</v>
      </c>
      <c r="E102" s="61" t="e">
        <f t="shared" si="8"/>
        <v>#REF!</v>
      </c>
      <c r="F102" s="60" t="e">
        <f>#REF!</f>
        <v>#REF!</v>
      </c>
      <c r="G102" s="61" t="e">
        <f>IF(F102&gt;0,Pricing!E102*$H$5,0)</f>
        <v>#REF!</v>
      </c>
      <c r="H102" s="61" t="e">
        <f t="shared" si="9"/>
        <v>#REF!</v>
      </c>
      <c r="I102" s="62" t="e">
        <f>#REF!</f>
        <v>#REF!</v>
      </c>
      <c r="J102" s="61" t="e">
        <f>IF(I102&gt;0,Pricing!E102*$K$5,0)</f>
        <v>#REF!</v>
      </c>
      <c r="K102" s="63" t="e">
        <f t="shared" si="10"/>
        <v>#REF!</v>
      </c>
      <c r="L102" s="64" t="e">
        <f>#REF!</f>
        <v>#REF!</v>
      </c>
      <c r="M102" s="61" t="e">
        <f>IF(L102&lt;0,Pricing!E102*$N$5,0)</f>
        <v>#REF!</v>
      </c>
      <c r="N102" s="61" t="e">
        <f t="shared" si="11"/>
        <v>#REF!</v>
      </c>
      <c r="O102" s="60" t="e">
        <f>#REF!</f>
        <v>#REF!</v>
      </c>
      <c r="P102" s="61" t="e">
        <f>IF(O102&lt;0,Pricing!E102*$Q$5,0)</f>
        <v>#REF!</v>
      </c>
      <c r="Q102" s="61" t="e">
        <f t="shared" si="12"/>
        <v>#REF!</v>
      </c>
      <c r="R102" s="60" t="e">
        <f>#REF!</f>
        <v>#REF!</v>
      </c>
      <c r="S102" s="61" t="e">
        <f>IF(R102&lt;0,Pricing!E102*$T$5,0)</f>
        <v>#REF!</v>
      </c>
      <c r="T102" s="61" t="e">
        <f t="shared" si="13"/>
        <v>#REF!</v>
      </c>
    </row>
    <row r="103" spans="1:20" x14ac:dyDescent="0.25">
      <c r="A103" s="58">
        <f t="shared" si="14"/>
        <v>44534.999999999767</v>
      </c>
      <c r="B103" s="59">
        <f t="shared" si="15"/>
        <v>44535.041666666431</v>
      </c>
      <c r="C103" s="60" t="e">
        <f>#REF!</f>
        <v>#REF!</v>
      </c>
      <c r="D103" s="61" t="e">
        <f>IF(C103&gt;0,Pricing!E103*$E$5,0)</f>
        <v>#REF!</v>
      </c>
      <c r="E103" s="61" t="e">
        <f t="shared" si="8"/>
        <v>#REF!</v>
      </c>
      <c r="F103" s="60" t="e">
        <f>#REF!</f>
        <v>#REF!</v>
      </c>
      <c r="G103" s="61" t="e">
        <f>IF(F103&gt;0,Pricing!E103*$H$5,0)</f>
        <v>#REF!</v>
      </c>
      <c r="H103" s="61" t="e">
        <f t="shared" si="9"/>
        <v>#REF!</v>
      </c>
      <c r="I103" s="62" t="e">
        <f>#REF!</f>
        <v>#REF!</v>
      </c>
      <c r="J103" s="61" t="e">
        <f>IF(I103&gt;0,Pricing!E103*$K$5,0)</f>
        <v>#REF!</v>
      </c>
      <c r="K103" s="63" t="e">
        <f t="shared" si="10"/>
        <v>#REF!</v>
      </c>
      <c r="L103" s="64" t="e">
        <f>#REF!</f>
        <v>#REF!</v>
      </c>
      <c r="M103" s="61" t="e">
        <f>IF(L103&lt;0,Pricing!E103*$N$5,0)</f>
        <v>#REF!</v>
      </c>
      <c r="N103" s="61" t="e">
        <f t="shared" si="11"/>
        <v>#REF!</v>
      </c>
      <c r="O103" s="60" t="e">
        <f>#REF!</f>
        <v>#REF!</v>
      </c>
      <c r="P103" s="61" t="e">
        <f>IF(O103&lt;0,Pricing!E103*$Q$5,0)</f>
        <v>#REF!</v>
      </c>
      <c r="Q103" s="61" t="e">
        <f t="shared" si="12"/>
        <v>#REF!</v>
      </c>
      <c r="R103" s="60" t="e">
        <f>#REF!</f>
        <v>#REF!</v>
      </c>
      <c r="S103" s="61" t="e">
        <f>IF(R103&lt;0,Pricing!E103*$T$5,0)</f>
        <v>#REF!</v>
      </c>
      <c r="T103" s="61" t="e">
        <f t="shared" si="13"/>
        <v>#REF!</v>
      </c>
    </row>
    <row r="104" spans="1:20" x14ac:dyDescent="0.25">
      <c r="A104" s="58">
        <f t="shared" si="14"/>
        <v>44535.041666666431</v>
      </c>
      <c r="B104" s="59">
        <f t="shared" si="15"/>
        <v>44535.083333333096</v>
      </c>
      <c r="C104" s="60" t="e">
        <f>#REF!</f>
        <v>#REF!</v>
      </c>
      <c r="D104" s="61" t="e">
        <f>IF(C104&gt;0,Pricing!E104*$E$5,0)</f>
        <v>#REF!</v>
      </c>
      <c r="E104" s="61" t="e">
        <f t="shared" si="8"/>
        <v>#REF!</v>
      </c>
      <c r="F104" s="60" t="e">
        <f>#REF!</f>
        <v>#REF!</v>
      </c>
      <c r="G104" s="61" t="e">
        <f>IF(F104&gt;0,Pricing!E104*$H$5,0)</f>
        <v>#REF!</v>
      </c>
      <c r="H104" s="61" t="e">
        <f t="shared" si="9"/>
        <v>#REF!</v>
      </c>
      <c r="I104" s="62" t="e">
        <f>#REF!</f>
        <v>#REF!</v>
      </c>
      <c r="J104" s="61" t="e">
        <f>IF(I104&gt;0,Pricing!E104*$K$5,0)</f>
        <v>#REF!</v>
      </c>
      <c r="K104" s="63" t="e">
        <f t="shared" si="10"/>
        <v>#REF!</v>
      </c>
      <c r="L104" s="64" t="e">
        <f>#REF!</f>
        <v>#REF!</v>
      </c>
      <c r="M104" s="61" t="e">
        <f>IF(L104&lt;0,Pricing!E104*$N$5,0)</f>
        <v>#REF!</v>
      </c>
      <c r="N104" s="61" t="e">
        <f t="shared" si="11"/>
        <v>#REF!</v>
      </c>
      <c r="O104" s="60" t="e">
        <f>#REF!</f>
        <v>#REF!</v>
      </c>
      <c r="P104" s="61" t="e">
        <f>IF(O104&lt;0,Pricing!E104*$Q$5,0)</f>
        <v>#REF!</v>
      </c>
      <c r="Q104" s="61" t="e">
        <f t="shared" si="12"/>
        <v>#REF!</v>
      </c>
      <c r="R104" s="60" t="e">
        <f>#REF!</f>
        <v>#REF!</v>
      </c>
      <c r="S104" s="61" t="e">
        <f>IF(R104&lt;0,Pricing!E104*$T$5,0)</f>
        <v>#REF!</v>
      </c>
      <c r="T104" s="61" t="e">
        <f t="shared" si="13"/>
        <v>#REF!</v>
      </c>
    </row>
    <row r="105" spans="1:20" x14ac:dyDescent="0.25">
      <c r="A105" s="58">
        <f t="shared" si="14"/>
        <v>44535.083333333096</v>
      </c>
      <c r="B105" s="59">
        <f t="shared" si="15"/>
        <v>44535.12499999976</v>
      </c>
      <c r="C105" s="60" t="e">
        <f>#REF!</f>
        <v>#REF!</v>
      </c>
      <c r="D105" s="61" t="e">
        <f>IF(C105&gt;0,Pricing!E105*$E$5,0)</f>
        <v>#REF!</v>
      </c>
      <c r="E105" s="61" t="e">
        <f t="shared" si="8"/>
        <v>#REF!</v>
      </c>
      <c r="F105" s="60" t="e">
        <f>#REF!</f>
        <v>#REF!</v>
      </c>
      <c r="G105" s="61" t="e">
        <f>IF(F105&gt;0,Pricing!E105*$H$5,0)</f>
        <v>#REF!</v>
      </c>
      <c r="H105" s="61" t="e">
        <f t="shared" si="9"/>
        <v>#REF!</v>
      </c>
      <c r="I105" s="62" t="e">
        <f>#REF!</f>
        <v>#REF!</v>
      </c>
      <c r="J105" s="61" t="e">
        <f>IF(I105&gt;0,Pricing!E105*$K$5,0)</f>
        <v>#REF!</v>
      </c>
      <c r="K105" s="63" t="e">
        <f t="shared" si="10"/>
        <v>#REF!</v>
      </c>
      <c r="L105" s="64" t="e">
        <f>#REF!</f>
        <v>#REF!</v>
      </c>
      <c r="M105" s="61" t="e">
        <f>IF(L105&lt;0,Pricing!E105*$N$5,0)</f>
        <v>#REF!</v>
      </c>
      <c r="N105" s="61" t="e">
        <f t="shared" si="11"/>
        <v>#REF!</v>
      </c>
      <c r="O105" s="60" t="e">
        <f>#REF!</f>
        <v>#REF!</v>
      </c>
      <c r="P105" s="61" t="e">
        <f>IF(O105&lt;0,Pricing!E105*$Q$5,0)</f>
        <v>#REF!</v>
      </c>
      <c r="Q105" s="61" t="e">
        <f t="shared" si="12"/>
        <v>#REF!</v>
      </c>
      <c r="R105" s="60" t="e">
        <f>#REF!</f>
        <v>#REF!</v>
      </c>
      <c r="S105" s="61" t="e">
        <f>IF(R105&lt;0,Pricing!E105*$T$5,0)</f>
        <v>#REF!</v>
      </c>
      <c r="T105" s="61" t="e">
        <f t="shared" si="13"/>
        <v>#REF!</v>
      </c>
    </row>
    <row r="106" spans="1:20" x14ac:dyDescent="0.25">
      <c r="A106" s="58">
        <f t="shared" si="14"/>
        <v>44535.12499999976</v>
      </c>
      <c r="B106" s="59">
        <f t="shared" si="15"/>
        <v>44535.166666666424</v>
      </c>
      <c r="C106" s="60" t="e">
        <f>#REF!</f>
        <v>#REF!</v>
      </c>
      <c r="D106" s="61" t="e">
        <f>IF(C106&gt;0,Pricing!E106*$E$5,0)</f>
        <v>#REF!</v>
      </c>
      <c r="E106" s="61" t="e">
        <f t="shared" si="8"/>
        <v>#REF!</v>
      </c>
      <c r="F106" s="60" t="e">
        <f>#REF!</f>
        <v>#REF!</v>
      </c>
      <c r="G106" s="61" t="e">
        <f>IF(F106&gt;0,Pricing!E106*$H$5,0)</f>
        <v>#REF!</v>
      </c>
      <c r="H106" s="61" t="e">
        <f t="shared" si="9"/>
        <v>#REF!</v>
      </c>
      <c r="I106" s="62" t="e">
        <f>#REF!</f>
        <v>#REF!</v>
      </c>
      <c r="J106" s="61" t="e">
        <f>IF(I106&gt;0,Pricing!E106*$K$5,0)</f>
        <v>#REF!</v>
      </c>
      <c r="K106" s="63" t="e">
        <f t="shared" si="10"/>
        <v>#REF!</v>
      </c>
      <c r="L106" s="64" t="e">
        <f>#REF!</f>
        <v>#REF!</v>
      </c>
      <c r="M106" s="61" t="e">
        <f>IF(L106&lt;0,Pricing!E106*$N$5,0)</f>
        <v>#REF!</v>
      </c>
      <c r="N106" s="61" t="e">
        <f t="shared" si="11"/>
        <v>#REF!</v>
      </c>
      <c r="O106" s="60" t="e">
        <f>#REF!</f>
        <v>#REF!</v>
      </c>
      <c r="P106" s="61" t="e">
        <f>IF(O106&lt;0,Pricing!E106*$Q$5,0)</f>
        <v>#REF!</v>
      </c>
      <c r="Q106" s="61" t="e">
        <f t="shared" si="12"/>
        <v>#REF!</v>
      </c>
      <c r="R106" s="60" t="e">
        <f>#REF!</f>
        <v>#REF!</v>
      </c>
      <c r="S106" s="61" t="e">
        <f>IF(R106&lt;0,Pricing!E106*$T$5,0)</f>
        <v>#REF!</v>
      </c>
      <c r="T106" s="61" t="e">
        <f t="shared" si="13"/>
        <v>#REF!</v>
      </c>
    </row>
    <row r="107" spans="1:20" x14ac:dyDescent="0.25">
      <c r="A107" s="58">
        <f t="shared" si="14"/>
        <v>44535.166666666424</v>
      </c>
      <c r="B107" s="59">
        <f t="shared" si="15"/>
        <v>44535.208333333088</v>
      </c>
      <c r="C107" s="60" t="e">
        <f>#REF!</f>
        <v>#REF!</v>
      </c>
      <c r="D107" s="61" t="e">
        <f>IF(C107&gt;0,Pricing!E107*$E$5,0)</f>
        <v>#REF!</v>
      </c>
      <c r="E107" s="61" t="e">
        <f t="shared" si="8"/>
        <v>#REF!</v>
      </c>
      <c r="F107" s="60" t="e">
        <f>#REF!</f>
        <v>#REF!</v>
      </c>
      <c r="G107" s="61" t="e">
        <f>IF(F107&gt;0,Pricing!E107*$H$5,0)</f>
        <v>#REF!</v>
      </c>
      <c r="H107" s="61" t="e">
        <f t="shared" si="9"/>
        <v>#REF!</v>
      </c>
      <c r="I107" s="62" t="e">
        <f>#REF!</f>
        <v>#REF!</v>
      </c>
      <c r="J107" s="61" t="e">
        <f>IF(I107&gt;0,Pricing!E107*$K$5,0)</f>
        <v>#REF!</v>
      </c>
      <c r="K107" s="63" t="e">
        <f t="shared" si="10"/>
        <v>#REF!</v>
      </c>
      <c r="L107" s="64" t="e">
        <f>#REF!</f>
        <v>#REF!</v>
      </c>
      <c r="M107" s="61" t="e">
        <f>IF(L107&lt;0,Pricing!E107*$N$5,0)</f>
        <v>#REF!</v>
      </c>
      <c r="N107" s="61" t="e">
        <f t="shared" si="11"/>
        <v>#REF!</v>
      </c>
      <c r="O107" s="60" t="e">
        <f>#REF!</f>
        <v>#REF!</v>
      </c>
      <c r="P107" s="61" t="e">
        <f>IF(O107&lt;0,Pricing!E107*$Q$5,0)</f>
        <v>#REF!</v>
      </c>
      <c r="Q107" s="61" t="e">
        <f t="shared" si="12"/>
        <v>#REF!</v>
      </c>
      <c r="R107" s="60" t="e">
        <f>#REF!</f>
        <v>#REF!</v>
      </c>
      <c r="S107" s="61" t="e">
        <f>IF(R107&lt;0,Pricing!E107*$T$5,0)</f>
        <v>#REF!</v>
      </c>
      <c r="T107" s="61" t="e">
        <f t="shared" si="13"/>
        <v>#REF!</v>
      </c>
    </row>
    <row r="108" spans="1:20" x14ac:dyDescent="0.25">
      <c r="A108" s="58">
        <f t="shared" si="14"/>
        <v>44535.208333333088</v>
      </c>
      <c r="B108" s="59">
        <f t="shared" si="15"/>
        <v>44535.249999999753</v>
      </c>
      <c r="C108" s="60" t="e">
        <f>#REF!</f>
        <v>#REF!</v>
      </c>
      <c r="D108" s="61" t="e">
        <f>IF(C108&gt;0,Pricing!E108*$E$5,0)</f>
        <v>#REF!</v>
      </c>
      <c r="E108" s="61" t="e">
        <f t="shared" si="8"/>
        <v>#REF!</v>
      </c>
      <c r="F108" s="60" t="e">
        <f>#REF!</f>
        <v>#REF!</v>
      </c>
      <c r="G108" s="61" t="e">
        <f>IF(F108&gt;0,Pricing!E108*$H$5,0)</f>
        <v>#REF!</v>
      </c>
      <c r="H108" s="61" t="e">
        <f t="shared" si="9"/>
        <v>#REF!</v>
      </c>
      <c r="I108" s="62" t="e">
        <f>#REF!</f>
        <v>#REF!</v>
      </c>
      <c r="J108" s="61" t="e">
        <f>IF(I108&gt;0,Pricing!E108*$K$5,0)</f>
        <v>#REF!</v>
      </c>
      <c r="K108" s="63" t="e">
        <f t="shared" si="10"/>
        <v>#REF!</v>
      </c>
      <c r="L108" s="64" t="e">
        <f>#REF!</f>
        <v>#REF!</v>
      </c>
      <c r="M108" s="61" t="e">
        <f>IF(L108&lt;0,Pricing!E108*$N$5,0)</f>
        <v>#REF!</v>
      </c>
      <c r="N108" s="61" t="e">
        <f t="shared" si="11"/>
        <v>#REF!</v>
      </c>
      <c r="O108" s="60" t="e">
        <f>#REF!</f>
        <v>#REF!</v>
      </c>
      <c r="P108" s="61" t="e">
        <f>IF(O108&lt;0,Pricing!E108*$Q$5,0)</f>
        <v>#REF!</v>
      </c>
      <c r="Q108" s="61" t="e">
        <f t="shared" si="12"/>
        <v>#REF!</v>
      </c>
      <c r="R108" s="60" t="e">
        <f>#REF!</f>
        <v>#REF!</v>
      </c>
      <c r="S108" s="61" t="e">
        <f>IF(R108&lt;0,Pricing!E108*$T$5,0)</f>
        <v>#REF!</v>
      </c>
      <c r="T108" s="61" t="e">
        <f t="shared" si="13"/>
        <v>#REF!</v>
      </c>
    </row>
    <row r="109" spans="1:20" x14ac:dyDescent="0.25">
      <c r="A109" s="58">
        <f t="shared" si="14"/>
        <v>44535.249999999753</v>
      </c>
      <c r="B109" s="59">
        <f t="shared" si="15"/>
        <v>44535.291666666417</v>
      </c>
      <c r="C109" s="60" t="e">
        <f>#REF!</f>
        <v>#REF!</v>
      </c>
      <c r="D109" s="61" t="e">
        <f>IF(C109&gt;0,Pricing!E109*$E$5,0)</f>
        <v>#REF!</v>
      </c>
      <c r="E109" s="61" t="e">
        <f t="shared" si="8"/>
        <v>#REF!</v>
      </c>
      <c r="F109" s="60" t="e">
        <f>#REF!</f>
        <v>#REF!</v>
      </c>
      <c r="G109" s="61" t="e">
        <f>IF(F109&gt;0,Pricing!E109*$H$5,0)</f>
        <v>#REF!</v>
      </c>
      <c r="H109" s="61" t="e">
        <f t="shared" si="9"/>
        <v>#REF!</v>
      </c>
      <c r="I109" s="62" t="e">
        <f>#REF!</f>
        <v>#REF!</v>
      </c>
      <c r="J109" s="61" t="e">
        <f>IF(I109&gt;0,Pricing!E109*$K$5,0)</f>
        <v>#REF!</v>
      </c>
      <c r="K109" s="63" t="e">
        <f t="shared" si="10"/>
        <v>#REF!</v>
      </c>
      <c r="L109" s="64" t="e">
        <f>#REF!</f>
        <v>#REF!</v>
      </c>
      <c r="M109" s="61" t="e">
        <f>IF(L109&lt;0,Pricing!E109*$N$5,0)</f>
        <v>#REF!</v>
      </c>
      <c r="N109" s="61" t="e">
        <f t="shared" si="11"/>
        <v>#REF!</v>
      </c>
      <c r="O109" s="60" t="e">
        <f>#REF!</f>
        <v>#REF!</v>
      </c>
      <c r="P109" s="61" t="e">
        <f>IF(O109&lt;0,Pricing!E109*$Q$5,0)</f>
        <v>#REF!</v>
      </c>
      <c r="Q109" s="61" t="e">
        <f t="shared" si="12"/>
        <v>#REF!</v>
      </c>
      <c r="R109" s="60" t="e">
        <f>#REF!</f>
        <v>#REF!</v>
      </c>
      <c r="S109" s="61" t="e">
        <f>IF(R109&lt;0,Pricing!E109*$T$5,0)</f>
        <v>#REF!</v>
      </c>
      <c r="T109" s="61" t="e">
        <f t="shared" si="13"/>
        <v>#REF!</v>
      </c>
    </row>
    <row r="110" spans="1:20" x14ac:dyDescent="0.25">
      <c r="A110" s="58">
        <f t="shared" si="14"/>
        <v>44535.291666666417</v>
      </c>
      <c r="B110" s="59">
        <f t="shared" si="15"/>
        <v>44535.333333333081</v>
      </c>
      <c r="C110" s="60" t="e">
        <f>#REF!</f>
        <v>#REF!</v>
      </c>
      <c r="D110" s="61" t="e">
        <f>IF(C110&gt;0,Pricing!E110*$E$5,0)</f>
        <v>#REF!</v>
      </c>
      <c r="E110" s="61" t="e">
        <f t="shared" si="8"/>
        <v>#REF!</v>
      </c>
      <c r="F110" s="60" t="e">
        <f>#REF!</f>
        <v>#REF!</v>
      </c>
      <c r="G110" s="61" t="e">
        <f>IF(F110&gt;0,Pricing!E110*$H$5,0)</f>
        <v>#REF!</v>
      </c>
      <c r="H110" s="61" t="e">
        <f t="shared" si="9"/>
        <v>#REF!</v>
      </c>
      <c r="I110" s="62" t="e">
        <f>#REF!</f>
        <v>#REF!</v>
      </c>
      <c r="J110" s="61" t="e">
        <f>IF(I110&gt;0,Pricing!E110*$K$5,0)</f>
        <v>#REF!</v>
      </c>
      <c r="K110" s="63" t="e">
        <f t="shared" si="10"/>
        <v>#REF!</v>
      </c>
      <c r="L110" s="64" t="e">
        <f>#REF!</f>
        <v>#REF!</v>
      </c>
      <c r="M110" s="61" t="e">
        <f>IF(L110&lt;0,Pricing!E110*$N$5,0)</f>
        <v>#REF!</v>
      </c>
      <c r="N110" s="61" t="e">
        <f t="shared" si="11"/>
        <v>#REF!</v>
      </c>
      <c r="O110" s="60" t="e">
        <f>#REF!</f>
        <v>#REF!</v>
      </c>
      <c r="P110" s="61" t="e">
        <f>IF(O110&lt;0,Pricing!E110*$Q$5,0)</f>
        <v>#REF!</v>
      </c>
      <c r="Q110" s="61" t="e">
        <f t="shared" si="12"/>
        <v>#REF!</v>
      </c>
      <c r="R110" s="60" t="e">
        <f>#REF!</f>
        <v>#REF!</v>
      </c>
      <c r="S110" s="61" t="e">
        <f>IF(R110&lt;0,Pricing!E110*$T$5,0)</f>
        <v>#REF!</v>
      </c>
      <c r="T110" s="61" t="e">
        <f t="shared" si="13"/>
        <v>#REF!</v>
      </c>
    </row>
    <row r="111" spans="1:20" x14ac:dyDescent="0.25">
      <c r="A111" s="58">
        <f t="shared" si="14"/>
        <v>44535.333333333081</v>
      </c>
      <c r="B111" s="59">
        <f t="shared" si="15"/>
        <v>44535.374999999745</v>
      </c>
      <c r="C111" s="60" t="e">
        <f>#REF!</f>
        <v>#REF!</v>
      </c>
      <c r="D111" s="61" t="e">
        <f>IF(C111&gt;0,Pricing!E111*$E$5,0)</f>
        <v>#REF!</v>
      </c>
      <c r="E111" s="61" t="e">
        <f t="shared" si="8"/>
        <v>#REF!</v>
      </c>
      <c r="F111" s="60" t="e">
        <f>#REF!</f>
        <v>#REF!</v>
      </c>
      <c r="G111" s="61" t="e">
        <f>IF(F111&gt;0,Pricing!E111*$H$5,0)</f>
        <v>#REF!</v>
      </c>
      <c r="H111" s="61" t="e">
        <f t="shared" si="9"/>
        <v>#REF!</v>
      </c>
      <c r="I111" s="62" t="e">
        <f>#REF!</f>
        <v>#REF!</v>
      </c>
      <c r="J111" s="61" t="e">
        <f>IF(I111&gt;0,Pricing!E111*$K$5,0)</f>
        <v>#REF!</v>
      </c>
      <c r="K111" s="63" t="e">
        <f t="shared" si="10"/>
        <v>#REF!</v>
      </c>
      <c r="L111" s="64" t="e">
        <f>#REF!</f>
        <v>#REF!</v>
      </c>
      <c r="M111" s="61" t="e">
        <f>IF(L111&lt;0,Pricing!E111*$N$5,0)</f>
        <v>#REF!</v>
      </c>
      <c r="N111" s="61" t="e">
        <f t="shared" si="11"/>
        <v>#REF!</v>
      </c>
      <c r="O111" s="60" t="e">
        <f>#REF!</f>
        <v>#REF!</v>
      </c>
      <c r="P111" s="61" t="e">
        <f>IF(O111&lt;0,Pricing!E111*$Q$5,0)</f>
        <v>#REF!</v>
      </c>
      <c r="Q111" s="61" t="e">
        <f t="shared" si="12"/>
        <v>#REF!</v>
      </c>
      <c r="R111" s="60" t="e">
        <f>#REF!</f>
        <v>#REF!</v>
      </c>
      <c r="S111" s="61" t="e">
        <f>IF(R111&lt;0,Pricing!E111*$T$5,0)</f>
        <v>#REF!</v>
      </c>
      <c r="T111" s="61" t="e">
        <f t="shared" si="13"/>
        <v>#REF!</v>
      </c>
    </row>
    <row r="112" spans="1:20" x14ac:dyDescent="0.25">
      <c r="A112" s="58">
        <f t="shared" si="14"/>
        <v>44535.374999999745</v>
      </c>
      <c r="B112" s="59">
        <f t="shared" si="15"/>
        <v>44535.41666666641</v>
      </c>
      <c r="C112" s="60" t="e">
        <f>#REF!</f>
        <v>#REF!</v>
      </c>
      <c r="D112" s="61" t="e">
        <f>IF(C112&gt;0,Pricing!E112*$E$5,0)</f>
        <v>#REF!</v>
      </c>
      <c r="E112" s="61" t="e">
        <f t="shared" si="8"/>
        <v>#REF!</v>
      </c>
      <c r="F112" s="60" t="e">
        <f>#REF!</f>
        <v>#REF!</v>
      </c>
      <c r="G112" s="61" t="e">
        <f>IF(F112&gt;0,Pricing!E112*$H$5,0)</f>
        <v>#REF!</v>
      </c>
      <c r="H112" s="61" t="e">
        <f t="shared" si="9"/>
        <v>#REF!</v>
      </c>
      <c r="I112" s="62" t="e">
        <f>#REF!</f>
        <v>#REF!</v>
      </c>
      <c r="J112" s="61" t="e">
        <f>IF(I112&gt;0,Pricing!E112*$K$5,0)</f>
        <v>#REF!</v>
      </c>
      <c r="K112" s="63" t="e">
        <f>I112*J112</f>
        <v>#REF!</v>
      </c>
      <c r="L112" s="64" t="e">
        <f>#REF!</f>
        <v>#REF!</v>
      </c>
      <c r="M112" s="61" t="e">
        <f>IF(L112&lt;0,Pricing!E112*$N$5,0)</f>
        <v>#REF!</v>
      </c>
      <c r="N112" s="61" t="e">
        <f t="shared" si="11"/>
        <v>#REF!</v>
      </c>
      <c r="O112" s="60" t="e">
        <f>#REF!</f>
        <v>#REF!</v>
      </c>
      <c r="P112" s="61" t="e">
        <f>IF(O112&lt;0,Pricing!E112*$Q$5,0)</f>
        <v>#REF!</v>
      </c>
      <c r="Q112" s="61" t="e">
        <f t="shared" si="12"/>
        <v>#REF!</v>
      </c>
      <c r="R112" s="60" t="e">
        <f>#REF!</f>
        <v>#REF!</v>
      </c>
      <c r="S112" s="61" t="e">
        <f>IF(R112&lt;0,Pricing!E112*$T$5,0)</f>
        <v>#REF!</v>
      </c>
      <c r="T112" s="61" t="e">
        <f t="shared" si="13"/>
        <v>#REF!</v>
      </c>
    </row>
    <row r="113" spans="1:20" x14ac:dyDescent="0.25">
      <c r="A113" s="58">
        <f t="shared" si="14"/>
        <v>44535.41666666641</v>
      </c>
      <c r="B113" s="59">
        <f t="shared" si="15"/>
        <v>44535.458333333074</v>
      </c>
      <c r="C113" s="60" t="e">
        <f>#REF!</f>
        <v>#REF!</v>
      </c>
      <c r="D113" s="61" t="e">
        <f>IF(C113&gt;0,Pricing!E113*$E$5,0)</f>
        <v>#REF!</v>
      </c>
      <c r="E113" s="61" t="e">
        <f t="shared" si="8"/>
        <v>#REF!</v>
      </c>
      <c r="F113" s="60" t="e">
        <f>#REF!</f>
        <v>#REF!</v>
      </c>
      <c r="G113" s="61" t="e">
        <f>IF(F113&gt;0,Pricing!E113*$H$5,0)</f>
        <v>#REF!</v>
      </c>
      <c r="H113" s="61" t="e">
        <f t="shared" si="9"/>
        <v>#REF!</v>
      </c>
      <c r="I113" s="62" t="e">
        <f>#REF!</f>
        <v>#REF!</v>
      </c>
      <c r="J113" s="61" t="e">
        <f>IF(I113&gt;0,Pricing!E113*$K$5,0)</f>
        <v>#REF!</v>
      </c>
      <c r="K113" s="63" t="e">
        <f t="shared" si="10"/>
        <v>#REF!</v>
      </c>
      <c r="L113" s="64" t="e">
        <f>#REF!</f>
        <v>#REF!</v>
      </c>
      <c r="M113" s="61" t="e">
        <f>IF(L113&lt;0,Pricing!E113*$N$5,0)</f>
        <v>#REF!</v>
      </c>
      <c r="N113" s="61" t="e">
        <f t="shared" si="11"/>
        <v>#REF!</v>
      </c>
      <c r="O113" s="60" t="e">
        <f>#REF!</f>
        <v>#REF!</v>
      </c>
      <c r="P113" s="61" t="e">
        <f>IF(O113&lt;0,Pricing!E113*$Q$5,0)</f>
        <v>#REF!</v>
      </c>
      <c r="Q113" s="61" t="e">
        <f t="shared" si="12"/>
        <v>#REF!</v>
      </c>
      <c r="R113" s="60" t="e">
        <f>#REF!</f>
        <v>#REF!</v>
      </c>
      <c r="S113" s="61" t="e">
        <f>IF(R113&lt;0,Pricing!E113*$T$5,0)</f>
        <v>#REF!</v>
      </c>
      <c r="T113" s="61" t="e">
        <f t="shared" si="13"/>
        <v>#REF!</v>
      </c>
    </row>
    <row r="114" spans="1:20" x14ac:dyDescent="0.25">
      <c r="A114" s="58">
        <f t="shared" si="14"/>
        <v>44535.458333333074</v>
      </c>
      <c r="B114" s="59">
        <f t="shared" si="15"/>
        <v>44535.499999999738</v>
      </c>
      <c r="C114" s="60" t="e">
        <f>#REF!</f>
        <v>#REF!</v>
      </c>
      <c r="D114" s="61" t="e">
        <f>IF(C114&gt;0,Pricing!E114*$E$5,0)</f>
        <v>#REF!</v>
      </c>
      <c r="E114" s="61" t="e">
        <f t="shared" si="8"/>
        <v>#REF!</v>
      </c>
      <c r="F114" s="60" t="e">
        <f>#REF!</f>
        <v>#REF!</v>
      </c>
      <c r="G114" s="61" t="e">
        <f>IF(F114&gt;0,Pricing!E114*$H$5,0)</f>
        <v>#REF!</v>
      </c>
      <c r="H114" s="61" t="e">
        <f t="shared" si="9"/>
        <v>#REF!</v>
      </c>
      <c r="I114" s="62" t="e">
        <f>#REF!</f>
        <v>#REF!</v>
      </c>
      <c r="J114" s="61" t="e">
        <f>IF(I114&gt;0,Pricing!E114*$K$5,0)</f>
        <v>#REF!</v>
      </c>
      <c r="K114" s="63" t="e">
        <f t="shared" si="10"/>
        <v>#REF!</v>
      </c>
      <c r="L114" s="64" t="e">
        <f>#REF!</f>
        <v>#REF!</v>
      </c>
      <c r="M114" s="61" t="e">
        <f>IF(L114&lt;0,Pricing!E114*$N$5,0)</f>
        <v>#REF!</v>
      </c>
      <c r="N114" s="61" t="e">
        <f t="shared" si="11"/>
        <v>#REF!</v>
      </c>
      <c r="O114" s="60" t="e">
        <f>#REF!</f>
        <v>#REF!</v>
      </c>
      <c r="P114" s="61" t="e">
        <f>IF(O114&lt;0,Pricing!E114*$Q$5,0)</f>
        <v>#REF!</v>
      </c>
      <c r="Q114" s="61" t="e">
        <f t="shared" si="12"/>
        <v>#REF!</v>
      </c>
      <c r="R114" s="60" t="e">
        <f>#REF!</f>
        <v>#REF!</v>
      </c>
      <c r="S114" s="61" t="e">
        <f>IF(R114&lt;0,Pricing!E114*$T$5,0)</f>
        <v>#REF!</v>
      </c>
      <c r="T114" s="61" t="e">
        <f t="shared" si="13"/>
        <v>#REF!</v>
      </c>
    </row>
    <row r="115" spans="1:20" x14ac:dyDescent="0.25">
      <c r="A115" s="58">
        <f t="shared" si="14"/>
        <v>44535.499999999738</v>
      </c>
      <c r="B115" s="59">
        <f t="shared" si="15"/>
        <v>44535.541666666402</v>
      </c>
      <c r="C115" s="60" t="e">
        <f>#REF!</f>
        <v>#REF!</v>
      </c>
      <c r="D115" s="61" t="e">
        <f>IF(C115&gt;0,Pricing!E115*$E$5,0)</f>
        <v>#REF!</v>
      </c>
      <c r="E115" s="61" t="e">
        <f t="shared" si="8"/>
        <v>#REF!</v>
      </c>
      <c r="F115" s="60" t="e">
        <f>#REF!</f>
        <v>#REF!</v>
      </c>
      <c r="G115" s="61" t="e">
        <f>IF(F115&gt;0,Pricing!E115*$H$5,0)</f>
        <v>#REF!</v>
      </c>
      <c r="H115" s="61" t="e">
        <f t="shared" si="9"/>
        <v>#REF!</v>
      </c>
      <c r="I115" s="62" t="e">
        <f>#REF!</f>
        <v>#REF!</v>
      </c>
      <c r="J115" s="61" t="e">
        <f>IF(I115&gt;0,Pricing!E115*$K$5,0)</f>
        <v>#REF!</v>
      </c>
      <c r="K115" s="63" t="e">
        <f t="shared" si="10"/>
        <v>#REF!</v>
      </c>
      <c r="L115" s="64" t="e">
        <f>#REF!</f>
        <v>#REF!</v>
      </c>
      <c r="M115" s="61" t="e">
        <f>IF(L115&lt;0,Pricing!E115*$N$5,0)</f>
        <v>#REF!</v>
      </c>
      <c r="N115" s="61" t="e">
        <f t="shared" si="11"/>
        <v>#REF!</v>
      </c>
      <c r="O115" s="60" t="e">
        <f>#REF!</f>
        <v>#REF!</v>
      </c>
      <c r="P115" s="61" t="e">
        <f>IF(O115&lt;0,Pricing!E115*$Q$5,0)</f>
        <v>#REF!</v>
      </c>
      <c r="Q115" s="61" t="e">
        <f t="shared" si="12"/>
        <v>#REF!</v>
      </c>
      <c r="R115" s="60" t="e">
        <f>#REF!</f>
        <v>#REF!</v>
      </c>
      <c r="S115" s="61" t="e">
        <f>IF(R115&lt;0,Pricing!E115*$T$5,0)</f>
        <v>#REF!</v>
      </c>
      <c r="T115" s="61" t="e">
        <f t="shared" si="13"/>
        <v>#REF!</v>
      </c>
    </row>
    <row r="116" spans="1:20" x14ac:dyDescent="0.25">
      <c r="A116" s="58">
        <f t="shared" si="14"/>
        <v>44535.541666666402</v>
      </c>
      <c r="B116" s="59">
        <f t="shared" si="15"/>
        <v>44535.583333333067</v>
      </c>
      <c r="C116" s="60" t="e">
        <f>#REF!</f>
        <v>#REF!</v>
      </c>
      <c r="D116" s="61" t="e">
        <f>IF(C116&gt;0,Pricing!E116*$E$5,0)</f>
        <v>#REF!</v>
      </c>
      <c r="E116" s="61" t="e">
        <f t="shared" si="8"/>
        <v>#REF!</v>
      </c>
      <c r="F116" s="60" t="e">
        <f>#REF!</f>
        <v>#REF!</v>
      </c>
      <c r="G116" s="61" t="e">
        <f>IF(F116&gt;0,Pricing!E116*$H$5,0)</f>
        <v>#REF!</v>
      </c>
      <c r="H116" s="61" t="e">
        <f t="shared" si="9"/>
        <v>#REF!</v>
      </c>
      <c r="I116" s="62" t="e">
        <f>#REF!</f>
        <v>#REF!</v>
      </c>
      <c r="J116" s="61" t="e">
        <f>IF(I116&gt;0,Pricing!E116*$K$5,0)</f>
        <v>#REF!</v>
      </c>
      <c r="K116" s="63" t="e">
        <f t="shared" si="10"/>
        <v>#REF!</v>
      </c>
      <c r="L116" s="64" t="e">
        <f>#REF!</f>
        <v>#REF!</v>
      </c>
      <c r="M116" s="61" t="e">
        <f>IF(L116&lt;0,Pricing!E116*$N$5,0)</f>
        <v>#REF!</v>
      </c>
      <c r="N116" s="61" t="e">
        <f t="shared" si="11"/>
        <v>#REF!</v>
      </c>
      <c r="O116" s="60" t="e">
        <f>#REF!</f>
        <v>#REF!</v>
      </c>
      <c r="P116" s="61" t="e">
        <f>IF(O116&lt;0,Pricing!E116*$Q$5,0)</f>
        <v>#REF!</v>
      </c>
      <c r="Q116" s="61" t="e">
        <f t="shared" si="12"/>
        <v>#REF!</v>
      </c>
      <c r="R116" s="60" t="e">
        <f>#REF!</f>
        <v>#REF!</v>
      </c>
      <c r="S116" s="61" t="e">
        <f>IF(R116&lt;0,Pricing!E116*$T$5,0)</f>
        <v>#REF!</v>
      </c>
      <c r="T116" s="61" t="e">
        <f t="shared" si="13"/>
        <v>#REF!</v>
      </c>
    </row>
    <row r="117" spans="1:20" x14ac:dyDescent="0.25">
      <c r="A117" s="58">
        <f t="shared" si="14"/>
        <v>44535.583333333067</v>
      </c>
      <c r="B117" s="59">
        <f t="shared" si="15"/>
        <v>44535.624999999731</v>
      </c>
      <c r="C117" s="60" t="e">
        <f>#REF!</f>
        <v>#REF!</v>
      </c>
      <c r="D117" s="61" t="e">
        <f>IF(C117&gt;0,Pricing!E117*$E$5,0)</f>
        <v>#REF!</v>
      </c>
      <c r="E117" s="61" t="e">
        <f t="shared" si="8"/>
        <v>#REF!</v>
      </c>
      <c r="F117" s="60" t="e">
        <f>#REF!</f>
        <v>#REF!</v>
      </c>
      <c r="G117" s="61" t="e">
        <f>IF(F117&gt;0,Pricing!E117*$H$5,0)</f>
        <v>#REF!</v>
      </c>
      <c r="H117" s="61" t="e">
        <f t="shared" si="9"/>
        <v>#REF!</v>
      </c>
      <c r="I117" s="62" t="e">
        <f>#REF!</f>
        <v>#REF!</v>
      </c>
      <c r="J117" s="61" t="e">
        <f>IF(I117&gt;0,Pricing!E117*$K$5,0)</f>
        <v>#REF!</v>
      </c>
      <c r="K117" s="63" t="e">
        <f t="shared" si="10"/>
        <v>#REF!</v>
      </c>
      <c r="L117" s="64" t="e">
        <f>#REF!</f>
        <v>#REF!</v>
      </c>
      <c r="M117" s="61" t="e">
        <f>IF(L117&lt;0,Pricing!E117*$N$5,0)</f>
        <v>#REF!</v>
      </c>
      <c r="N117" s="61" t="e">
        <f t="shared" si="11"/>
        <v>#REF!</v>
      </c>
      <c r="O117" s="60" t="e">
        <f>#REF!</f>
        <v>#REF!</v>
      </c>
      <c r="P117" s="61" t="e">
        <f>IF(O117&lt;0,Pricing!E117*$Q$5,0)</f>
        <v>#REF!</v>
      </c>
      <c r="Q117" s="61" t="e">
        <f t="shared" si="12"/>
        <v>#REF!</v>
      </c>
      <c r="R117" s="60" t="e">
        <f>#REF!</f>
        <v>#REF!</v>
      </c>
      <c r="S117" s="61" t="e">
        <f>IF(R117&lt;0,Pricing!E117*$T$5,0)</f>
        <v>#REF!</v>
      </c>
      <c r="T117" s="61" t="e">
        <f t="shared" si="13"/>
        <v>#REF!</v>
      </c>
    </row>
    <row r="118" spans="1:20" x14ac:dyDescent="0.25">
      <c r="A118" s="58">
        <f t="shared" si="14"/>
        <v>44535.624999999731</v>
      </c>
      <c r="B118" s="59">
        <f t="shared" si="15"/>
        <v>44535.666666666395</v>
      </c>
      <c r="C118" s="60" t="e">
        <f>#REF!</f>
        <v>#REF!</v>
      </c>
      <c r="D118" s="61" t="e">
        <f>IF(C118&gt;0,Pricing!E118*$E$5,0)</f>
        <v>#REF!</v>
      </c>
      <c r="E118" s="61" t="e">
        <f t="shared" si="8"/>
        <v>#REF!</v>
      </c>
      <c r="F118" s="60" t="e">
        <f>#REF!</f>
        <v>#REF!</v>
      </c>
      <c r="G118" s="61" t="e">
        <f>IF(F118&gt;0,Pricing!E118*$H$5,0)</f>
        <v>#REF!</v>
      </c>
      <c r="H118" s="61" t="e">
        <f t="shared" si="9"/>
        <v>#REF!</v>
      </c>
      <c r="I118" s="62" t="e">
        <f>#REF!</f>
        <v>#REF!</v>
      </c>
      <c r="J118" s="61" t="e">
        <f>IF(I118&gt;0,Pricing!E118*$K$5,0)</f>
        <v>#REF!</v>
      </c>
      <c r="K118" s="63" t="e">
        <f t="shared" si="10"/>
        <v>#REF!</v>
      </c>
      <c r="L118" s="64" t="e">
        <f>#REF!</f>
        <v>#REF!</v>
      </c>
      <c r="M118" s="61" t="e">
        <f>IF(L118&lt;0,Pricing!E118*$N$5,0)</f>
        <v>#REF!</v>
      </c>
      <c r="N118" s="61" t="e">
        <f t="shared" si="11"/>
        <v>#REF!</v>
      </c>
      <c r="O118" s="60" t="e">
        <f>#REF!</f>
        <v>#REF!</v>
      </c>
      <c r="P118" s="61" t="e">
        <f>IF(O118&lt;0,Pricing!E118*$Q$5,0)</f>
        <v>#REF!</v>
      </c>
      <c r="Q118" s="61" t="e">
        <f t="shared" si="12"/>
        <v>#REF!</v>
      </c>
      <c r="R118" s="60" t="e">
        <f>#REF!</f>
        <v>#REF!</v>
      </c>
      <c r="S118" s="61" t="e">
        <f>IF(R118&lt;0,Pricing!E118*$T$5,0)</f>
        <v>#REF!</v>
      </c>
      <c r="T118" s="61" t="e">
        <f t="shared" si="13"/>
        <v>#REF!</v>
      </c>
    </row>
    <row r="119" spans="1:20" x14ac:dyDescent="0.25">
      <c r="A119" s="58">
        <f t="shared" si="14"/>
        <v>44535.666666666395</v>
      </c>
      <c r="B119" s="59">
        <f t="shared" si="15"/>
        <v>44535.708333333059</v>
      </c>
      <c r="C119" s="60" t="e">
        <f>#REF!</f>
        <v>#REF!</v>
      </c>
      <c r="D119" s="61" t="e">
        <f>IF(C119&gt;0,Pricing!E119*$E$5,0)</f>
        <v>#REF!</v>
      </c>
      <c r="E119" s="61" t="e">
        <f t="shared" si="8"/>
        <v>#REF!</v>
      </c>
      <c r="F119" s="60" t="e">
        <f>#REF!</f>
        <v>#REF!</v>
      </c>
      <c r="G119" s="61" t="e">
        <f>IF(F119&gt;0,Pricing!E119*$H$5,0)</f>
        <v>#REF!</v>
      </c>
      <c r="H119" s="61" t="e">
        <f t="shared" si="9"/>
        <v>#REF!</v>
      </c>
      <c r="I119" s="62" t="e">
        <f>#REF!</f>
        <v>#REF!</v>
      </c>
      <c r="J119" s="61" t="e">
        <f>IF(I119&gt;0,Pricing!E119*$K$5,0)</f>
        <v>#REF!</v>
      </c>
      <c r="K119" s="63" t="e">
        <f t="shared" si="10"/>
        <v>#REF!</v>
      </c>
      <c r="L119" s="64" t="e">
        <f>#REF!</f>
        <v>#REF!</v>
      </c>
      <c r="M119" s="61" t="e">
        <f>IF(L119&lt;0,Pricing!E119*$N$5,0)</f>
        <v>#REF!</v>
      </c>
      <c r="N119" s="61" t="e">
        <f t="shared" si="11"/>
        <v>#REF!</v>
      </c>
      <c r="O119" s="60" t="e">
        <f>#REF!</f>
        <v>#REF!</v>
      </c>
      <c r="P119" s="61" t="e">
        <f>IF(O119&lt;0,Pricing!E119*$Q$5,0)</f>
        <v>#REF!</v>
      </c>
      <c r="Q119" s="61" t="e">
        <f t="shared" si="12"/>
        <v>#REF!</v>
      </c>
      <c r="R119" s="60" t="e">
        <f>#REF!</f>
        <v>#REF!</v>
      </c>
      <c r="S119" s="61" t="e">
        <f>IF(R119&lt;0,Pricing!E119*$T$5,0)</f>
        <v>#REF!</v>
      </c>
      <c r="T119" s="61" t="e">
        <f t="shared" si="13"/>
        <v>#REF!</v>
      </c>
    </row>
    <row r="120" spans="1:20" x14ac:dyDescent="0.25">
      <c r="A120" s="58">
        <f t="shared" si="14"/>
        <v>44535.708333333059</v>
      </c>
      <c r="B120" s="59">
        <f t="shared" si="15"/>
        <v>44535.749999999724</v>
      </c>
      <c r="C120" s="60" t="e">
        <f>#REF!</f>
        <v>#REF!</v>
      </c>
      <c r="D120" s="61" t="e">
        <f>IF(C120&gt;0,Pricing!E120*$E$5,0)</f>
        <v>#REF!</v>
      </c>
      <c r="E120" s="61" t="e">
        <f t="shared" si="8"/>
        <v>#REF!</v>
      </c>
      <c r="F120" s="60" t="e">
        <f>#REF!</f>
        <v>#REF!</v>
      </c>
      <c r="G120" s="61" t="e">
        <f>IF(F120&gt;0,Pricing!E120*$H$5,0)</f>
        <v>#REF!</v>
      </c>
      <c r="H120" s="61" t="e">
        <f t="shared" si="9"/>
        <v>#REF!</v>
      </c>
      <c r="I120" s="62" t="e">
        <f>#REF!</f>
        <v>#REF!</v>
      </c>
      <c r="J120" s="61" t="e">
        <f>IF(I120&gt;0,Pricing!E120*$K$5,0)</f>
        <v>#REF!</v>
      </c>
      <c r="K120" s="63" t="e">
        <f t="shared" si="10"/>
        <v>#REF!</v>
      </c>
      <c r="L120" s="64" t="e">
        <f>#REF!</f>
        <v>#REF!</v>
      </c>
      <c r="M120" s="61" t="e">
        <f>IF(L120&lt;0,Pricing!E120*$N$5,0)</f>
        <v>#REF!</v>
      </c>
      <c r="N120" s="61" t="e">
        <f t="shared" si="11"/>
        <v>#REF!</v>
      </c>
      <c r="O120" s="60" t="e">
        <f>#REF!</f>
        <v>#REF!</v>
      </c>
      <c r="P120" s="61" t="e">
        <f>IF(O120&lt;0,Pricing!E120*$Q$5,0)</f>
        <v>#REF!</v>
      </c>
      <c r="Q120" s="61" t="e">
        <f t="shared" si="12"/>
        <v>#REF!</v>
      </c>
      <c r="R120" s="60" t="e">
        <f>#REF!</f>
        <v>#REF!</v>
      </c>
      <c r="S120" s="61" t="e">
        <f>IF(R120&lt;0,Pricing!E120*$T$5,0)</f>
        <v>#REF!</v>
      </c>
      <c r="T120" s="61" t="e">
        <f t="shared" si="13"/>
        <v>#REF!</v>
      </c>
    </row>
    <row r="121" spans="1:20" x14ac:dyDescent="0.25">
      <c r="A121" s="58">
        <f t="shared" si="14"/>
        <v>44535.749999999724</v>
      </c>
      <c r="B121" s="59">
        <f t="shared" si="15"/>
        <v>44535.791666666388</v>
      </c>
      <c r="C121" s="60" t="e">
        <f>#REF!</f>
        <v>#REF!</v>
      </c>
      <c r="D121" s="61" t="e">
        <f>IF(C121&gt;0,Pricing!E121*$E$5,0)</f>
        <v>#REF!</v>
      </c>
      <c r="E121" s="61" t="e">
        <f t="shared" si="8"/>
        <v>#REF!</v>
      </c>
      <c r="F121" s="60" t="e">
        <f>#REF!</f>
        <v>#REF!</v>
      </c>
      <c r="G121" s="61" t="e">
        <f>IF(F121&gt;0,Pricing!E121*$H$5,0)</f>
        <v>#REF!</v>
      </c>
      <c r="H121" s="61" t="e">
        <f t="shared" si="9"/>
        <v>#REF!</v>
      </c>
      <c r="I121" s="62" t="e">
        <f>#REF!</f>
        <v>#REF!</v>
      </c>
      <c r="J121" s="61" t="e">
        <f>IF(I121&gt;0,Pricing!E121*$K$5,0)</f>
        <v>#REF!</v>
      </c>
      <c r="K121" s="63" t="e">
        <f t="shared" si="10"/>
        <v>#REF!</v>
      </c>
      <c r="L121" s="64" t="e">
        <f>#REF!</f>
        <v>#REF!</v>
      </c>
      <c r="M121" s="61" t="e">
        <f>IF(L121&lt;0,Pricing!E121*$N$5,0)</f>
        <v>#REF!</v>
      </c>
      <c r="N121" s="61" t="e">
        <f t="shared" si="11"/>
        <v>#REF!</v>
      </c>
      <c r="O121" s="60" t="e">
        <f>#REF!</f>
        <v>#REF!</v>
      </c>
      <c r="P121" s="61" t="e">
        <f>IF(O121&lt;0,Pricing!E121*$Q$5,0)</f>
        <v>#REF!</v>
      </c>
      <c r="Q121" s="61" t="e">
        <f t="shared" si="12"/>
        <v>#REF!</v>
      </c>
      <c r="R121" s="60" t="e">
        <f>#REF!</f>
        <v>#REF!</v>
      </c>
      <c r="S121" s="61" t="e">
        <f>IF(R121&lt;0,Pricing!E121*$T$5,0)</f>
        <v>#REF!</v>
      </c>
      <c r="T121" s="61" t="e">
        <f t="shared" si="13"/>
        <v>#REF!</v>
      </c>
    </row>
    <row r="122" spans="1:20" x14ac:dyDescent="0.25">
      <c r="A122" s="58">
        <f t="shared" si="14"/>
        <v>44535.791666666388</v>
      </c>
      <c r="B122" s="59">
        <f t="shared" si="15"/>
        <v>44535.833333333052</v>
      </c>
      <c r="C122" s="60" t="e">
        <f>#REF!</f>
        <v>#REF!</v>
      </c>
      <c r="D122" s="61" t="e">
        <f>IF(C122&gt;0,Pricing!E122*$E$5,0)</f>
        <v>#REF!</v>
      </c>
      <c r="E122" s="61" t="e">
        <f t="shared" si="8"/>
        <v>#REF!</v>
      </c>
      <c r="F122" s="60" t="e">
        <f>#REF!</f>
        <v>#REF!</v>
      </c>
      <c r="G122" s="61" t="e">
        <f>IF(F122&gt;0,Pricing!E122*$H$5,0)</f>
        <v>#REF!</v>
      </c>
      <c r="H122" s="61" t="e">
        <f t="shared" si="9"/>
        <v>#REF!</v>
      </c>
      <c r="I122" s="62" t="e">
        <f>#REF!</f>
        <v>#REF!</v>
      </c>
      <c r="J122" s="61" t="e">
        <f>IF(I122&gt;0,Pricing!E122*$K$5,0)</f>
        <v>#REF!</v>
      </c>
      <c r="K122" s="63" t="e">
        <f t="shared" si="10"/>
        <v>#REF!</v>
      </c>
      <c r="L122" s="64" t="e">
        <f>#REF!</f>
        <v>#REF!</v>
      </c>
      <c r="M122" s="61" t="e">
        <f>IF(L122&lt;0,Pricing!E122*$N$5,0)</f>
        <v>#REF!</v>
      </c>
      <c r="N122" s="61" t="e">
        <f t="shared" si="11"/>
        <v>#REF!</v>
      </c>
      <c r="O122" s="60" t="e">
        <f>#REF!</f>
        <v>#REF!</v>
      </c>
      <c r="P122" s="61" t="e">
        <f>IF(O122&lt;0,Pricing!E122*$Q$5,0)</f>
        <v>#REF!</v>
      </c>
      <c r="Q122" s="61" t="e">
        <f t="shared" si="12"/>
        <v>#REF!</v>
      </c>
      <c r="R122" s="60" t="e">
        <f>#REF!</f>
        <v>#REF!</v>
      </c>
      <c r="S122" s="61" t="e">
        <f>IF(R122&lt;0,Pricing!E122*$T$5,0)</f>
        <v>#REF!</v>
      </c>
      <c r="T122" s="61" t="e">
        <f t="shared" si="13"/>
        <v>#REF!</v>
      </c>
    </row>
    <row r="123" spans="1:20" x14ac:dyDescent="0.25">
      <c r="A123" s="58">
        <f t="shared" si="14"/>
        <v>44535.833333333052</v>
      </c>
      <c r="B123" s="59">
        <f t="shared" si="15"/>
        <v>44535.874999999716</v>
      </c>
      <c r="C123" s="60" t="e">
        <f>#REF!</f>
        <v>#REF!</v>
      </c>
      <c r="D123" s="61" t="e">
        <f>IF(C123&gt;0,Pricing!E123*$E$5,0)</f>
        <v>#REF!</v>
      </c>
      <c r="E123" s="61" t="e">
        <f t="shared" si="8"/>
        <v>#REF!</v>
      </c>
      <c r="F123" s="60" t="e">
        <f>#REF!</f>
        <v>#REF!</v>
      </c>
      <c r="G123" s="61" t="e">
        <f>IF(F123&gt;0,Pricing!E123*$H$5,0)</f>
        <v>#REF!</v>
      </c>
      <c r="H123" s="61" t="e">
        <f t="shared" si="9"/>
        <v>#REF!</v>
      </c>
      <c r="I123" s="62" t="e">
        <f>#REF!</f>
        <v>#REF!</v>
      </c>
      <c r="J123" s="61" t="e">
        <f>IF(I123&gt;0,Pricing!E123*$K$5,0)</f>
        <v>#REF!</v>
      </c>
      <c r="K123" s="63" t="e">
        <f t="shared" si="10"/>
        <v>#REF!</v>
      </c>
      <c r="L123" s="64" t="e">
        <f>#REF!</f>
        <v>#REF!</v>
      </c>
      <c r="M123" s="61" t="e">
        <f>IF(L123&lt;0,Pricing!E123*$N$5,0)</f>
        <v>#REF!</v>
      </c>
      <c r="N123" s="61" t="e">
        <f t="shared" si="11"/>
        <v>#REF!</v>
      </c>
      <c r="O123" s="60" t="e">
        <f>#REF!</f>
        <v>#REF!</v>
      </c>
      <c r="P123" s="61" t="e">
        <f>IF(O123&lt;0,Pricing!E123*$Q$5,0)</f>
        <v>#REF!</v>
      </c>
      <c r="Q123" s="61" t="e">
        <f t="shared" si="12"/>
        <v>#REF!</v>
      </c>
      <c r="R123" s="60" t="e">
        <f>#REF!</f>
        <v>#REF!</v>
      </c>
      <c r="S123" s="61" t="e">
        <f>IF(R123&lt;0,Pricing!E123*$T$5,0)</f>
        <v>#REF!</v>
      </c>
      <c r="T123" s="61" t="e">
        <f t="shared" si="13"/>
        <v>#REF!</v>
      </c>
    </row>
    <row r="124" spans="1:20" x14ac:dyDescent="0.25">
      <c r="A124" s="58">
        <f t="shared" si="14"/>
        <v>44535.874999999716</v>
      </c>
      <c r="B124" s="59">
        <f t="shared" si="15"/>
        <v>44535.91666666638</v>
      </c>
      <c r="C124" s="60" t="e">
        <f>#REF!</f>
        <v>#REF!</v>
      </c>
      <c r="D124" s="61" t="e">
        <f>IF(C124&gt;0,Pricing!E124*$E$5,0)</f>
        <v>#REF!</v>
      </c>
      <c r="E124" s="61" t="e">
        <f t="shared" si="8"/>
        <v>#REF!</v>
      </c>
      <c r="F124" s="60" t="e">
        <f>#REF!</f>
        <v>#REF!</v>
      </c>
      <c r="G124" s="61" t="e">
        <f>IF(F124&gt;0,Pricing!E124*$H$5,0)</f>
        <v>#REF!</v>
      </c>
      <c r="H124" s="61" t="e">
        <f t="shared" si="9"/>
        <v>#REF!</v>
      </c>
      <c r="I124" s="62" t="e">
        <f>#REF!</f>
        <v>#REF!</v>
      </c>
      <c r="J124" s="61" t="e">
        <f>IF(I124&gt;0,Pricing!E124*$K$5,0)</f>
        <v>#REF!</v>
      </c>
      <c r="K124" s="63" t="e">
        <f t="shared" si="10"/>
        <v>#REF!</v>
      </c>
      <c r="L124" s="64" t="e">
        <f>#REF!</f>
        <v>#REF!</v>
      </c>
      <c r="M124" s="61" t="e">
        <f>IF(L124&lt;0,Pricing!E124*$N$5,0)</f>
        <v>#REF!</v>
      </c>
      <c r="N124" s="61" t="e">
        <f t="shared" si="11"/>
        <v>#REF!</v>
      </c>
      <c r="O124" s="60" t="e">
        <f>#REF!</f>
        <v>#REF!</v>
      </c>
      <c r="P124" s="61" t="e">
        <f>IF(O124&lt;0,Pricing!E124*$Q$5,0)</f>
        <v>#REF!</v>
      </c>
      <c r="Q124" s="61" t="e">
        <f t="shared" si="12"/>
        <v>#REF!</v>
      </c>
      <c r="R124" s="60" t="e">
        <f>#REF!</f>
        <v>#REF!</v>
      </c>
      <c r="S124" s="61" t="e">
        <f>IF(R124&lt;0,Pricing!E124*$T$5,0)</f>
        <v>#REF!</v>
      </c>
      <c r="T124" s="61" t="e">
        <f t="shared" si="13"/>
        <v>#REF!</v>
      </c>
    </row>
    <row r="125" spans="1:20" x14ac:dyDescent="0.25">
      <c r="A125" s="58">
        <f t="shared" si="14"/>
        <v>44535.91666666638</v>
      </c>
      <c r="B125" s="59">
        <f t="shared" si="15"/>
        <v>44535.958333333045</v>
      </c>
      <c r="C125" s="60" t="e">
        <f>#REF!</f>
        <v>#REF!</v>
      </c>
      <c r="D125" s="61" t="e">
        <f>IF(C125&gt;0,Pricing!E125*$E$5,0)</f>
        <v>#REF!</v>
      </c>
      <c r="E125" s="61" t="e">
        <f t="shared" si="8"/>
        <v>#REF!</v>
      </c>
      <c r="F125" s="60" t="e">
        <f>#REF!</f>
        <v>#REF!</v>
      </c>
      <c r="G125" s="61" t="e">
        <f>IF(F125&gt;0,Pricing!E125*$H$5,0)</f>
        <v>#REF!</v>
      </c>
      <c r="H125" s="61" t="e">
        <f t="shared" si="9"/>
        <v>#REF!</v>
      </c>
      <c r="I125" s="62" t="e">
        <f>#REF!</f>
        <v>#REF!</v>
      </c>
      <c r="J125" s="61" t="e">
        <f>IF(I125&gt;0,Pricing!E125*$K$5,0)</f>
        <v>#REF!</v>
      </c>
      <c r="K125" s="63" t="e">
        <f t="shared" si="10"/>
        <v>#REF!</v>
      </c>
      <c r="L125" s="64" t="e">
        <f>#REF!</f>
        <v>#REF!</v>
      </c>
      <c r="M125" s="61" t="e">
        <f>IF(L125&lt;0,Pricing!E125*$N$5,0)</f>
        <v>#REF!</v>
      </c>
      <c r="N125" s="61" t="e">
        <f t="shared" si="11"/>
        <v>#REF!</v>
      </c>
      <c r="O125" s="60" t="e">
        <f>#REF!</f>
        <v>#REF!</v>
      </c>
      <c r="P125" s="61" t="e">
        <f>IF(O125&lt;0,Pricing!E125*$Q$5,0)</f>
        <v>#REF!</v>
      </c>
      <c r="Q125" s="61" t="e">
        <f t="shared" si="12"/>
        <v>#REF!</v>
      </c>
      <c r="R125" s="60" t="e">
        <f>#REF!</f>
        <v>#REF!</v>
      </c>
      <c r="S125" s="61" t="e">
        <f>IF(R125&lt;0,Pricing!E125*$T$5,0)</f>
        <v>#REF!</v>
      </c>
      <c r="T125" s="61" t="e">
        <f t="shared" si="13"/>
        <v>#REF!</v>
      </c>
    </row>
    <row r="126" spans="1:20" x14ac:dyDescent="0.25">
      <c r="A126" s="58">
        <f t="shared" si="14"/>
        <v>44535.958333333045</v>
      </c>
      <c r="B126" s="59">
        <f t="shared" si="15"/>
        <v>44535.999999999709</v>
      </c>
      <c r="C126" s="60" t="e">
        <f>#REF!</f>
        <v>#REF!</v>
      </c>
      <c r="D126" s="61" t="e">
        <f>IF(C126&gt;0,Pricing!E126*$E$5,0)</f>
        <v>#REF!</v>
      </c>
      <c r="E126" s="61" t="e">
        <f t="shared" si="8"/>
        <v>#REF!</v>
      </c>
      <c r="F126" s="60" t="e">
        <f>#REF!</f>
        <v>#REF!</v>
      </c>
      <c r="G126" s="61" t="e">
        <f>IF(F126&gt;0,Pricing!E126*$H$5,0)</f>
        <v>#REF!</v>
      </c>
      <c r="H126" s="61" t="e">
        <f t="shared" si="9"/>
        <v>#REF!</v>
      </c>
      <c r="I126" s="62" t="e">
        <f>#REF!</f>
        <v>#REF!</v>
      </c>
      <c r="J126" s="61" t="e">
        <f>IF(I126&gt;0,Pricing!E126*$K$5,0)</f>
        <v>#REF!</v>
      </c>
      <c r="K126" s="63" t="e">
        <f t="shared" si="10"/>
        <v>#REF!</v>
      </c>
      <c r="L126" s="64" t="e">
        <f>#REF!</f>
        <v>#REF!</v>
      </c>
      <c r="M126" s="61" t="e">
        <f>IF(L126&lt;0,Pricing!E126*$N$5,0)</f>
        <v>#REF!</v>
      </c>
      <c r="N126" s="61" t="e">
        <f t="shared" si="11"/>
        <v>#REF!</v>
      </c>
      <c r="O126" s="60" t="e">
        <f>#REF!</f>
        <v>#REF!</v>
      </c>
      <c r="P126" s="61" t="e">
        <f>IF(O126&lt;0,Pricing!E126*$Q$5,0)</f>
        <v>#REF!</v>
      </c>
      <c r="Q126" s="61" t="e">
        <f t="shared" si="12"/>
        <v>#REF!</v>
      </c>
      <c r="R126" s="60" t="e">
        <f>#REF!</f>
        <v>#REF!</v>
      </c>
      <c r="S126" s="61" t="e">
        <f>IF(R126&lt;0,Pricing!E126*$T$5,0)</f>
        <v>#REF!</v>
      </c>
      <c r="T126" s="61" t="e">
        <f t="shared" si="13"/>
        <v>#REF!</v>
      </c>
    </row>
    <row r="127" spans="1:20" x14ac:dyDescent="0.25">
      <c r="A127" s="58">
        <f t="shared" si="14"/>
        <v>44535.999999999709</v>
      </c>
      <c r="B127" s="59">
        <f t="shared" si="15"/>
        <v>44536.041666666373</v>
      </c>
      <c r="C127" s="60" t="e">
        <f>#REF!</f>
        <v>#REF!</v>
      </c>
      <c r="D127" s="61" t="e">
        <f>IF(C127&gt;0,Pricing!E127*$E$5,0)</f>
        <v>#REF!</v>
      </c>
      <c r="E127" s="61" t="e">
        <f t="shared" si="8"/>
        <v>#REF!</v>
      </c>
      <c r="F127" s="60" t="e">
        <f>#REF!</f>
        <v>#REF!</v>
      </c>
      <c r="G127" s="61" t="e">
        <f>IF(F127&gt;0,Pricing!E127*$H$5,0)</f>
        <v>#REF!</v>
      </c>
      <c r="H127" s="61" t="e">
        <f t="shared" si="9"/>
        <v>#REF!</v>
      </c>
      <c r="I127" s="62" t="e">
        <f>#REF!</f>
        <v>#REF!</v>
      </c>
      <c r="J127" s="61" t="e">
        <f>IF(I127&gt;0,Pricing!E127*$K$5,0)</f>
        <v>#REF!</v>
      </c>
      <c r="K127" s="63" t="e">
        <f t="shared" si="10"/>
        <v>#REF!</v>
      </c>
      <c r="L127" s="64" t="e">
        <f>#REF!</f>
        <v>#REF!</v>
      </c>
      <c r="M127" s="61" t="e">
        <f>IF(L127&lt;0,Pricing!E127*$N$5,0)</f>
        <v>#REF!</v>
      </c>
      <c r="N127" s="61" t="e">
        <f t="shared" si="11"/>
        <v>#REF!</v>
      </c>
      <c r="O127" s="60" t="e">
        <f>#REF!</f>
        <v>#REF!</v>
      </c>
      <c r="P127" s="61" t="e">
        <f>IF(O127&lt;0,Pricing!E127*$Q$5,0)</f>
        <v>#REF!</v>
      </c>
      <c r="Q127" s="61" t="e">
        <f t="shared" si="12"/>
        <v>#REF!</v>
      </c>
      <c r="R127" s="60" t="e">
        <f>#REF!</f>
        <v>#REF!</v>
      </c>
      <c r="S127" s="61" t="e">
        <f>IF(R127&lt;0,Pricing!E127*$T$5,0)</f>
        <v>#REF!</v>
      </c>
      <c r="T127" s="61" t="e">
        <f t="shared" si="13"/>
        <v>#REF!</v>
      </c>
    </row>
    <row r="128" spans="1:20" x14ac:dyDescent="0.25">
      <c r="A128" s="58">
        <f t="shared" si="14"/>
        <v>44536.041666666373</v>
      </c>
      <c r="B128" s="59">
        <f t="shared" si="15"/>
        <v>44536.083333333037</v>
      </c>
      <c r="C128" s="60" t="e">
        <f>#REF!</f>
        <v>#REF!</v>
      </c>
      <c r="D128" s="61" t="e">
        <f>IF(C128&gt;0,Pricing!E128*$E$5,0)</f>
        <v>#REF!</v>
      </c>
      <c r="E128" s="61" t="e">
        <f t="shared" si="8"/>
        <v>#REF!</v>
      </c>
      <c r="F128" s="60" t="e">
        <f>#REF!</f>
        <v>#REF!</v>
      </c>
      <c r="G128" s="61" t="e">
        <f>IF(F128&gt;0,Pricing!E128*$H$5,0)</f>
        <v>#REF!</v>
      </c>
      <c r="H128" s="61" t="e">
        <f t="shared" si="9"/>
        <v>#REF!</v>
      </c>
      <c r="I128" s="62" t="e">
        <f>#REF!</f>
        <v>#REF!</v>
      </c>
      <c r="J128" s="61" t="e">
        <f>IF(I128&gt;0,Pricing!E128*$K$5,0)</f>
        <v>#REF!</v>
      </c>
      <c r="K128" s="63" t="e">
        <f t="shared" si="10"/>
        <v>#REF!</v>
      </c>
      <c r="L128" s="64" t="e">
        <f>#REF!</f>
        <v>#REF!</v>
      </c>
      <c r="M128" s="61" t="e">
        <f>IF(L128&lt;0,Pricing!E128*$N$5,0)</f>
        <v>#REF!</v>
      </c>
      <c r="N128" s="61" t="e">
        <f t="shared" si="11"/>
        <v>#REF!</v>
      </c>
      <c r="O128" s="60" t="e">
        <f>#REF!</f>
        <v>#REF!</v>
      </c>
      <c r="P128" s="61" t="e">
        <f>IF(O128&lt;0,Pricing!E128*$Q$5,0)</f>
        <v>#REF!</v>
      </c>
      <c r="Q128" s="61" t="e">
        <f t="shared" si="12"/>
        <v>#REF!</v>
      </c>
      <c r="R128" s="60" t="e">
        <f>#REF!</f>
        <v>#REF!</v>
      </c>
      <c r="S128" s="61" t="e">
        <f>IF(R128&lt;0,Pricing!E128*$T$5,0)</f>
        <v>#REF!</v>
      </c>
      <c r="T128" s="61" t="e">
        <f t="shared" si="13"/>
        <v>#REF!</v>
      </c>
    </row>
    <row r="129" spans="1:20" x14ac:dyDescent="0.25">
      <c r="A129" s="58">
        <f t="shared" si="14"/>
        <v>44536.083333333037</v>
      </c>
      <c r="B129" s="59">
        <f t="shared" si="15"/>
        <v>44536.124999999702</v>
      </c>
      <c r="C129" s="60" t="e">
        <f>#REF!</f>
        <v>#REF!</v>
      </c>
      <c r="D129" s="61" t="e">
        <f>IF(C129&gt;0,Pricing!E129*$E$5,0)</f>
        <v>#REF!</v>
      </c>
      <c r="E129" s="61" t="e">
        <f t="shared" si="8"/>
        <v>#REF!</v>
      </c>
      <c r="F129" s="60" t="e">
        <f>#REF!</f>
        <v>#REF!</v>
      </c>
      <c r="G129" s="61" t="e">
        <f>IF(F129&gt;0,Pricing!E129*$H$5,0)</f>
        <v>#REF!</v>
      </c>
      <c r="H129" s="61" t="e">
        <f t="shared" si="9"/>
        <v>#REF!</v>
      </c>
      <c r="I129" s="62" t="e">
        <f>#REF!</f>
        <v>#REF!</v>
      </c>
      <c r="J129" s="61" t="e">
        <f>IF(I129&gt;0,Pricing!E129*$K$5,0)</f>
        <v>#REF!</v>
      </c>
      <c r="K129" s="63" t="e">
        <f t="shared" si="10"/>
        <v>#REF!</v>
      </c>
      <c r="L129" s="64" t="e">
        <f>#REF!</f>
        <v>#REF!</v>
      </c>
      <c r="M129" s="61" t="e">
        <f>IF(L129&lt;0,Pricing!E129*$N$5,0)</f>
        <v>#REF!</v>
      </c>
      <c r="N129" s="61" t="e">
        <f t="shared" si="11"/>
        <v>#REF!</v>
      </c>
      <c r="O129" s="60" t="e">
        <f>#REF!</f>
        <v>#REF!</v>
      </c>
      <c r="P129" s="61" t="e">
        <f>IF(O129&lt;0,Pricing!E129*$Q$5,0)</f>
        <v>#REF!</v>
      </c>
      <c r="Q129" s="61" t="e">
        <f t="shared" si="12"/>
        <v>#REF!</v>
      </c>
      <c r="R129" s="60" t="e">
        <f>#REF!</f>
        <v>#REF!</v>
      </c>
      <c r="S129" s="61" t="e">
        <f>IF(R129&lt;0,Pricing!E129*$T$5,0)</f>
        <v>#REF!</v>
      </c>
      <c r="T129" s="61" t="e">
        <f t="shared" si="13"/>
        <v>#REF!</v>
      </c>
    </row>
    <row r="130" spans="1:20" x14ac:dyDescent="0.25">
      <c r="A130" s="58">
        <f t="shared" si="14"/>
        <v>44536.124999999702</v>
      </c>
      <c r="B130" s="59">
        <f t="shared" si="15"/>
        <v>44536.166666666366</v>
      </c>
      <c r="C130" s="60" t="e">
        <f>#REF!</f>
        <v>#REF!</v>
      </c>
      <c r="D130" s="61" t="e">
        <f>IF(C130&gt;0,Pricing!E130*$E$5,0)</f>
        <v>#REF!</v>
      </c>
      <c r="E130" s="61" t="e">
        <f t="shared" si="8"/>
        <v>#REF!</v>
      </c>
      <c r="F130" s="60" t="e">
        <f>#REF!</f>
        <v>#REF!</v>
      </c>
      <c r="G130" s="61" t="e">
        <f>IF(F130&gt;0,Pricing!E130*$H$5,0)</f>
        <v>#REF!</v>
      </c>
      <c r="H130" s="61" t="e">
        <f t="shared" si="9"/>
        <v>#REF!</v>
      </c>
      <c r="I130" s="62" t="e">
        <f>#REF!</f>
        <v>#REF!</v>
      </c>
      <c r="J130" s="61" t="e">
        <f>IF(I130&gt;0,Pricing!E130*$K$5,0)</f>
        <v>#REF!</v>
      </c>
      <c r="K130" s="63" t="e">
        <f t="shared" si="10"/>
        <v>#REF!</v>
      </c>
      <c r="L130" s="64" t="e">
        <f>#REF!</f>
        <v>#REF!</v>
      </c>
      <c r="M130" s="61" t="e">
        <f>IF(L130&lt;0,Pricing!E130*$N$5,0)</f>
        <v>#REF!</v>
      </c>
      <c r="N130" s="61" t="e">
        <f t="shared" si="11"/>
        <v>#REF!</v>
      </c>
      <c r="O130" s="60" t="e">
        <f>#REF!</f>
        <v>#REF!</v>
      </c>
      <c r="P130" s="61" t="e">
        <f>IF(O130&lt;0,Pricing!E130*$Q$5,0)</f>
        <v>#REF!</v>
      </c>
      <c r="Q130" s="61" t="e">
        <f t="shared" si="12"/>
        <v>#REF!</v>
      </c>
      <c r="R130" s="60" t="e">
        <f>#REF!</f>
        <v>#REF!</v>
      </c>
      <c r="S130" s="61" t="e">
        <f>IF(R130&lt;0,Pricing!E130*$T$5,0)</f>
        <v>#REF!</v>
      </c>
      <c r="T130" s="61" t="e">
        <f t="shared" si="13"/>
        <v>#REF!</v>
      </c>
    </row>
    <row r="131" spans="1:20" x14ac:dyDescent="0.25">
      <c r="A131" s="58">
        <f t="shared" si="14"/>
        <v>44536.166666666366</v>
      </c>
      <c r="B131" s="59">
        <f t="shared" si="15"/>
        <v>44536.20833333303</v>
      </c>
      <c r="C131" s="60" t="e">
        <f>#REF!</f>
        <v>#REF!</v>
      </c>
      <c r="D131" s="61" t="e">
        <f>IF(C131&gt;0,Pricing!E131*$E$5,0)</f>
        <v>#REF!</v>
      </c>
      <c r="E131" s="61" t="e">
        <f t="shared" si="8"/>
        <v>#REF!</v>
      </c>
      <c r="F131" s="60" t="e">
        <f>#REF!</f>
        <v>#REF!</v>
      </c>
      <c r="G131" s="61" t="e">
        <f>IF(F131&gt;0,Pricing!E131*$H$5,0)</f>
        <v>#REF!</v>
      </c>
      <c r="H131" s="61" t="e">
        <f t="shared" si="9"/>
        <v>#REF!</v>
      </c>
      <c r="I131" s="62" t="e">
        <f>#REF!</f>
        <v>#REF!</v>
      </c>
      <c r="J131" s="61" t="e">
        <f>IF(I131&gt;0,Pricing!E131*$K$5,0)</f>
        <v>#REF!</v>
      </c>
      <c r="K131" s="63" t="e">
        <f t="shared" si="10"/>
        <v>#REF!</v>
      </c>
      <c r="L131" s="64" t="e">
        <f>#REF!</f>
        <v>#REF!</v>
      </c>
      <c r="M131" s="61" t="e">
        <f>IF(L131&lt;0,Pricing!E131*$N$5,0)</f>
        <v>#REF!</v>
      </c>
      <c r="N131" s="61" t="e">
        <f t="shared" si="11"/>
        <v>#REF!</v>
      </c>
      <c r="O131" s="60" t="e">
        <f>#REF!</f>
        <v>#REF!</v>
      </c>
      <c r="P131" s="61" t="e">
        <f>IF(O131&lt;0,Pricing!E131*$Q$5,0)</f>
        <v>#REF!</v>
      </c>
      <c r="Q131" s="61" t="e">
        <f t="shared" si="12"/>
        <v>#REF!</v>
      </c>
      <c r="R131" s="60" t="e">
        <f>#REF!</f>
        <v>#REF!</v>
      </c>
      <c r="S131" s="61" t="e">
        <f>IF(R131&lt;0,Pricing!E131*$T$5,0)</f>
        <v>#REF!</v>
      </c>
      <c r="T131" s="61" t="e">
        <f t="shared" si="13"/>
        <v>#REF!</v>
      </c>
    </row>
    <row r="132" spans="1:20" x14ac:dyDescent="0.25">
      <c r="A132" s="58">
        <f t="shared" si="14"/>
        <v>44536.20833333303</v>
      </c>
      <c r="B132" s="59">
        <f t="shared" si="15"/>
        <v>44536.249999999694</v>
      </c>
      <c r="C132" s="60" t="e">
        <f>#REF!</f>
        <v>#REF!</v>
      </c>
      <c r="D132" s="61" t="e">
        <f>IF(C132&gt;0,Pricing!E132*$E$5,0)</f>
        <v>#REF!</v>
      </c>
      <c r="E132" s="61" t="e">
        <f t="shared" si="8"/>
        <v>#REF!</v>
      </c>
      <c r="F132" s="60" t="e">
        <f>#REF!</f>
        <v>#REF!</v>
      </c>
      <c r="G132" s="61" t="e">
        <f>IF(F132&gt;0,Pricing!E132*$H$5,0)</f>
        <v>#REF!</v>
      </c>
      <c r="H132" s="61" t="e">
        <f t="shared" si="9"/>
        <v>#REF!</v>
      </c>
      <c r="I132" s="62" t="e">
        <f>#REF!</f>
        <v>#REF!</v>
      </c>
      <c r="J132" s="61" t="e">
        <f>IF(I132&gt;0,Pricing!E132*$K$5,0)</f>
        <v>#REF!</v>
      </c>
      <c r="K132" s="63" t="e">
        <f t="shared" si="10"/>
        <v>#REF!</v>
      </c>
      <c r="L132" s="64" t="e">
        <f>#REF!</f>
        <v>#REF!</v>
      </c>
      <c r="M132" s="61" t="e">
        <f>IF(L132&lt;0,Pricing!E132*$N$5,0)</f>
        <v>#REF!</v>
      </c>
      <c r="N132" s="61" t="e">
        <f t="shared" si="11"/>
        <v>#REF!</v>
      </c>
      <c r="O132" s="60" t="e">
        <f>#REF!</f>
        <v>#REF!</v>
      </c>
      <c r="P132" s="61" t="e">
        <f>IF(O132&lt;0,Pricing!E132*$Q$5,0)</f>
        <v>#REF!</v>
      </c>
      <c r="Q132" s="61" t="e">
        <f t="shared" si="12"/>
        <v>#REF!</v>
      </c>
      <c r="R132" s="60" t="e">
        <f>#REF!</f>
        <v>#REF!</v>
      </c>
      <c r="S132" s="61" t="e">
        <f>IF(R132&lt;0,Pricing!E132*$T$5,0)</f>
        <v>#REF!</v>
      </c>
      <c r="T132" s="61" t="e">
        <f t="shared" si="13"/>
        <v>#REF!</v>
      </c>
    </row>
    <row r="133" spans="1:20" x14ac:dyDescent="0.25">
      <c r="A133" s="58">
        <f t="shared" si="14"/>
        <v>44536.249999999694</v>
      </c>
      <c r="B133" s="59">
        <f t="shared" si="15"/>
        <v>44536.291666666359</v>
      </c>
      <c r="C133" s="60" t="e">
        <f>#REF!</f>
        <v>#REF!</v>
      </c>
      <c r="D133" s="61" t="e">
        <f>IF(C133&gt;0,Pricing!E133*$E$5,0)</f>
        <v>#REF!</v>
      </c>
      <c r="E133" s="61" t="e">
        <f t="shared" si="8"/>
        <v>#REF!</v>
      </c>
      <c r="F133" s="60" t="e">
        <f>#REF!</f>
        <v>#REF!</v>
      </c>
      <c r="G133" s="61" t="e">
        <f>IF(F133&gt;0,Pricing!E133*$H$5,0)</f>
        <v>#REF!</v>
      </c>
      <c r="H133" s="61" t="e">
        <f t="shared" si="9"/>
        <v>#REF!</v>
      </c>
      <c r="I133" s="62" t="e">
        <f>#REF!</f>
        <v>#REF!</v>
      </c>
      <c r="J133" s="61" t="e">
        <f>IF(I133&gt;0,Pricing!E133*$K$5,0)</f>
        <v>#REF!</v>
      </c>
      <c r="K133" s="63" t="e">
        <f t="shared" si="10"/>
        <v>#REF!</v>
      </c>
      <c r="L133" s="64" t="e">
        <f>#REF!</f>
        <v>#REF!</v>
      </c>
      <c r="M133" s="61" t="e">
        <f>IF(L133&lt;0,Pricing!E133*$N$5,0)</f>
        <v>#REF!</v>
      </c>
      <c r="N133" s="61" t="e">
        <f t="shared" si="11"/>
        <v>#REF!</v>
      </c>
      <c r="O133" s="60" t="e">
        <f>#REF!</f>
        <v>#REF!</v>
      </c>
      <c r="P133" s="61" t="e">
        <f>IF(O133&lt;0,Pricing!E133*$Q$5,0)</f>
        <v>#REF!</v>
      </c>
      <c r="Q133" s="61" t="e">
        <f t="shared" si="12"/>
        <v>#REF!</v>
      </c>
      <c r="R133" s="60" t="e">
        <f>#REF!</f>
        <v>#REF!</v>
      </c>
      <c r="S133" s="61" t="e">
        <f>IF(R133&lt;0,Pricing!E133*$T$5,0)</f>
        <v>#REF!</v>
      </c>
      <c r="T133" s="61" t="e">
        <f t="shared" si="13"/>
        <v>#REF!</v>
      </c>
    </row>
    <row r="134" spans="1:20" x14ac:dyDescent="0.25">
      <c r="A134" s="58">
        <f t="shared" si="14"/>
        <v>44536.291666666359</v>
      </c>
      <c r="B134" s="59">
        <f t="shared" si="15"/>
        <v>44536.333333333023</v>
      </c>
      <c r="C134" s="60" t="e">
        <f>#REF!</f>
        <v>#REF!</v>
      </c>
      <c r="D134" s="61" t="e">
        <f>IF(C134&gt;0,Pricing!E134*$E$5,0)</f>
        <v>#REF!</v>
      </c>
      <c r="E134" s="61" t="e">
        <f t="shared" si="8"/>
        <v>#REF!</v>
      </c>
      <c r="F134" s="60" t="e">
        <f>#REF!</f>
        <v>#REF!</v>
      </c>
      <c r="G134" s="61" t="e">
        <f>IF(F134&gt;0,Pricing!E134*$H$5,0)</f>
        <v>#REF!</v>
      </c>
      <c r="H134" s="61" t="e">
        <f t="shared" si="9"/>
        <v>#REF!</v>
      </c>
      <c r="I134" s="62" t="e">
        <f>#REF!</f>
        <v>#REF!</v>
      </c>
      <c r="J134" s="61" t="e">
        <f>IF(I134&gt;0,Pricing!E134*$K$5,0)</f>
        <v>#REF!</v>
      </c>
      <c r="K134" s="63" t="e">
        <f t="shared" si="10"/>
        <v>#REF!</v>
      </c>
      <c r="L134" s="64" t="e">
        <f>#REF!</f>
        <v>#REF!</v>
      </c>
      <c r="M134" s="61" t="e">
        <f>IF(L134&lt;0,Pricing!E134*$N$5,0)</f>
        <v>#REF!</v>
      </c>
      <c r="N134" s="61" t="e">
        <f t="shared" si="11"/>
        <v>#REF!</v>
      </c>
      <c r="O134" s="60" t="e">
        <f>#REF!</f>
        <v>#REF!</v>
      </c>
      <c r="P134" s="61" t="e">
        <f>IF(O134&lt;0,Pricing!E134*$Q$5,0)</f>
        <v>#REF!</v>
      </c>
      <c r="Q134" s="61" t="e">
        <f t="shared" si="12"/>
        <v>#REF!</v>
      </c>
      <c r="R134" s="60" t="e">
        <f>#REF!</f>
        <v>#REF!</v>
      </c>
      <c r="S134" s="61" t="e">
        <f>IF(R134&lt;0,Pricing!E134*$T$5,0)</f>
        <v>#REF!</v>
      </c>
      <c r="T134" s="61" t="e">
        <f t="shared" si="13"/>
        <v>#REF!</v>
      </c>
    </row>
    <row r="135" spans="1:20" x14ac:dyDescent="0.25">
      <c r="A135" s="58">
        <f t="shared" si="14"/>
        <v>44536.333333333023</v>
      </c>
      <c r="B135" s="59">
        <f t="shared" si="15"/>
        <v>44536.374999999687</v>
      </c>
      <c r="C135" s="60" t="e">
        <f>#REF!</f>
        <v>#REF!</v>
      </c>
      <c r="D135" s="61" t="e">
        <f>IF(C135&gt;0,Pricing!E135*$E$5,0)</f>
        <v>#REF!</v>
      </c>
      <c r="E135" s="61" t="e">
        <f t="shared" si="8"/>
        <v>#REF!</v>
      </c>
      <c r="F135" s="60" t="e">
        <f>#REF!</f>
        <v>#REF!</v>
      </c>
      <c r="G135" s="61" t="e">
        <f>IF(F135&gt;0,Pricing!E135*$H$5,0)</f>
        <v>#REF!</v>
      </c>
      <c r="H135" s="61" t="e">
        <f t="shared" si="9"/>
        <v>#REF!</v>
      </c>
      <c r="I135" s="62" t="e">
        <f>#REF!</f>
        <v>#REF!</v>
      </c>
      <c r="J135" s="61" t="e">
        <f>IF(I135&gt;0,Pricing!E135*$K$5,0)</f>
        <v>#REF!</v>
      </c>
      <c r="K135" s="63" t="e">
        <f t="shared" si="10"/>
        <v>#REF!</v>
      </c>
      <c r="L135" s="64" t="e">
        <f>#REF!</f>
        <v>#REF!</v>
      </c>
      <c r="M135" s="61" t="e">
        <f>IF(L135&lt;0,Pricing!E135*$N$5,0)</f>
        <v>#REF!</v>
      </c>
      <c r="N135" s="61" t="e">
        <f t="shared" si="11"/>
        <v>#REF!</v>
      </c>
      <c r="O135" s="60" t="e">
        <f>#REF!</f>
        <v>#REF!</v>
      </c>
      <c r="P135" s="61" t="e">
        <f>IF(O135&lt;0,Pricing!E135*$Q$5,0)</f>
        <v>#REF!</v>
      </c>
      <c r="Q135" s="61" t="e">
        <f t="shared" si="12"/>
        <v>#REF!</v>
      </c>
      <c r="R135" s="60" t="e">
        <f>#REF!</f>
        <v>#REF!</v>
      </c>
      <c r="S135" s="61" t="e">
        <f>IF(R135&lt;0,Pricing!E135*$T$5,0)</f>
        <v>#REF!</v>
      </c>
      <c r="T135" s="61" t="e">
        <f t="shared" si="13"/>
        <v>#REF!</v>
      </c>
    </row>
    <row r="136" spans="1:20" x14ac:dyDescent="0.25">
      <c r="A136" s="58">
        <f t="shared" si="14"/>
        <v>44536.374999999687</v>
      </c>
      <c r="B136" s="59">
        <f t="shared" si="15"/>
        <v>44536.416666666351</v>
      </c>
      <c r="C136" s="60" t="e">
        <f>#REF!</f>
        <v>#REF!</v>
      </c>
      <c r="D136" s="61" t="e">
        <f>IF(C136&gt;0,Pricing!E136*$E$5,0)</f>
        <v>#REF!</v>
      </c>
      <c r="E136" s="61" t="e">
        <f t="shared" ref="E136:E199" si="16">C136*D136</f>
        <v>#REF!</v>
      </c>
      <c r="F136" s="60" t="e">
        <f>#REF!</f>
        <v>#REF!</v>
      </c>
      <c r="G136" s="61" t="e">
        <f>IF(F136&gt;0,Pricing!E136*$H$5,0)</f>
        <v>#REF!</v>
      </c>
      <c r="H136" s="61" t="e">
        <f t="shared" ref="H136:H199" si="17">F136*G136</f>
        <v>#REF!</v>
      </c>
      <c r="I136" s="62" t="e">
        <f>#REF!</f>
        <v>#REF!</v>
      </c>
      <c r="J136" s="61" t="e">
        <f>IF(I136&gt;0,Pricing!E136*$K$5,0)</f>
        <v>#REF!</v>
      </c>
      <c r="K136" s="63" t="e">
        <f t="shared" ref="K136:K199" si="18">I136*J136</f>
        <v>#REF!</v>
      </c>
      <c r="L136" s="64" t="e">
        <f>#REF!</f>
        <v>#REF!</v>
      </c>
      <c r="M136" s="61" t="e">
        <f>IF(L136&lt;0,Pricing!E136*$N$5,0)</f>
        <v>#REF!</v>
      </c>
      <c r="N136" s="61" t="e">
        <f t="shared" ref="N136:N199" si="19">L136*M136</f>
        <v>#REF!</v>
      </c>
      <c r="O136" s="60" t="e">
        <f>#REF!</f>
        <v>#REF!</v>
      </c>
      <c r="P136" s="61" t="e">
        <f>IF(O136&lt;0,Pricing!E136*$Q$5,0)</f>
        <v>#REF!</v>
      </c>
      <c r="Q136" s="61" t="e">
        <f t="shared" ref="Q136:Q199" si="20">O136*P136</f>
        <v>#REF!</v>
      </c>
      <c r="R136" s="60" t="e">
        <f>#REF!</f>
        <v>#REF!</v>
      </c>
      <c r="S136" s="61" t="e">
        <f>IF(R136&lt;0,Pricing!E136*$T$5,0)</f>
        <v>#REF!</v>
      </c>
      <c r="T136" s="61" t="e">
        <f t="shared" ref="T136:T199" si="21">R136*S136</f>
        <v>#REF!</v>
      </c>
    </row>
    <row r="137" spans="1:20" x14ac:dyDescent="0.25">
      <c r="A137" s="58">
        <f t="shared" ref="A137:A200" si="22">$A136+1/24</f>
        <v>44536.416666666351</v>
      </c>
      <c r="B137" s="59">
        <f t="shared" ref="B137:B200" si="23">B136+1/24</f>
        <v>44536.458333333016</v>
      </c>
      <c r="C137" s="60" t="e">
        <f>#REF!</f>
        <v>#REF!</v>
      </c>
      <c r="D137" s="61" t="e">
        <f>IF(C137&gt;0,Pricing!E137*$E$5,0)</f>
        <v>#REF!</v>
      </c>
      <c r="E137" s="61" t="e">
        <f t="shared" si="16"/>
        <v>#REF!</v>
      </c>
      <c r="F137" s="60" t="e">
        <f>#REF!</f>
        <v>#REF!</v>
      </c>
      <c r="G137" s="61" t="e">
        <f>IF(F137&gt;0,Pricing!E137*$H$5,0)</f>
        <v>#REF!</v>
      </c>
      <c r="H137" s="61" t="e">
        <f t="shared" si="17"/>
        <v>#REF!</v>
      </c>
      <c r="I137" s="62" t="e">
        <f>#REF!</f>
        <v>#REF!</v>
      </c>
      <c r="J137" s="61" t="e">
        <f>IF(I137&gt;0,Pricing!E137*$K$5,0)</f>
        <v>#REF!</v>
      </c>
      <c r="K137" s="63" t="e">
        <f t="shared" si="18"/>
        <v>#REF!</v>
      </c>
      <c r="L137" s="64" t="e">
        <f>#REF!</f>
        <v>#REF!</v>
      </c>
      <c r="M137" s="61" t="e">
        <f>IF(L137&lt;0,Pricing!E137*$N$5,0)</f>
        <v>#REF!</v>
      </c>
      <c r="N137" s="61" t="e">
        <f t="shared" si="19"/>
        <v>#REF!</v>
      </c>
      <c r="O137" s="60" t="e">
        <f>#REF!</f>
        <v>#REF!</v>
      </c>
      <c r="P137" s="61" t="e">
        <f>IF(O137&lt;0,Pricing!E137*$Q$5,0)</f>
        <v>#REF!</v>
      </c>
      <c r="Q137" s="61" t="e">
        <f t="shared" si="20"/>
        <v>#REF!</v>
      </c>
      <c r="R137" s="60" t="e">
        <f>#REF!</f>
        <v>#REF!</v>
      </c>
      <c r="S137" s="61" t="e">
        <f>IF(R137&lt;0,Pricing!E137*$T$5,0)</f>
        <v>#REF!</v>
      </c>
      <c r="T137" s="61" t="e">
        <f t="shared" si="21"/>
        <v>#REF!</v>
      </c>
    </row>
    <row r="138" spans="1:20" x14ac:dyDescent="0.25">
      <c r="A138" s="58">
        <f t="shared" si="22"/>
        <v>44536.458333333016</v>
      </c>
      <c r="B138" s="59">
        <f t="shared" si="23"/>
        <v>44536.49999999968</v>
      </c>
      <c r="C138" s="60" t="e">
        <f>#REF!</f>
        <v>#REF!</v>
      </c>
      <c r="D138" s="61" t="e">
        <f>IF(C138&gt;0,Pricing!E138*$E$5,0)</f>
        <v>#REF!</v>
      </c>
      <c r="E138" s="61" t="e">
        <f t="shared" si="16"/>
        <v>#REF!</v>
      </c>
      <c r="F138" s="60" t="e">
        <f>#REF!</f>
        <v>#REF!</v>
      </c>
      <c r="G138" s="61" t="e">
        <f>IF(F138&gt;0,Pricing!E138*$H$5,0)</f>
        <v>#REF!</v>
      </c>
      <c r="H138" s="61" t="e">
        <f t="shared" si="17"/>
        <v>#REF!</v>
      </c>
      <c r="I138" s="62" t="e">
        <f>#REF!</f>
        <v>#REF!</v>
      </c>
      <c r="J138" s="61" t="e">
        <f>IF(I138&gt;0,Pricing!E138*$K$5,0)</f>
        <v>#REF!</v>
      </c>
      <c r="K138" s="63" t="e">
        <f t="shared" si="18"/>
        <v>#REF!</v>
      </c>
      <c r="L138" s="64" t="e">
        <f>#REF!</f>
        <v>#REF!</v>
      </c>
      <c r="M138" s="61" t="e">
        <f>IF(L138&lt;0,Pricing!E138*$N$5,0)</f>
        <v>#REF!</v>
      </c>
      <c r="N138" s="61" t="e">
        <f t="shared" si="19"/>
        <v>#REF!</v>
      </c>
      <c r="O138" s="60" t="e">
        <f>#REF!</f>
        <v>#REF!</v>
      </c>
      <c r="P138" s="61" t="e">
        <f>IF(O138&lt;0,Pricing!E138*$Q$5,0)</f>
        <v>#REF!</v>
      </c>
      <c r="Q138" s="61" t="e">
        <f t="shared" si="20"/>
        <v>#REF!</v>
      </c>
      <c r="R138" s="60" t="e">
        <f>#REF!</f>
        <v>#REF!</v>
      </c>
      <c r="S138" s="61" t="e">
        <f>IF(R138&lt;0,Pricing!E138*$T$5,0)</f>
        <v>#REF!</v>
      </c>
      <c r="T138" s="61" t="e">
        <f t="shared" si="21"/>
        <v>#REF!</v>
      </c>
    </row>
    <row r="139" spans="1:20" x14ac:dyDescent="0.25">
      <c r="A139" s="58">
        <f t="shared" si="22"/>
        <v>44536.49999999968</v>
      </c>
      <c r="B139" s="59">
        <f t="shared" si="23"/>
        <v>44536.541666666344</v>
      </c>
      <c r="C139" s="60" t="e">
        <f>#REF!</f>
        <v>#REF!</v>
      </c>
      <c r="D139" s="61" t="e">
        <f>IF(C139&gt;0,Pricing!E139*$E$5,0)</f>
        <v>#REF!</v>
      </c>
      <c r="E139" s="61" t="e">
        <f t="shared" si="16"/>
        <v>#REF!</v>
      </c>
      <c r="F139" s="60" t="e">
        <f>#REF!</f>
        <v>#REF!</v>
      </c>
      <c r="G139" s="61" t="e">
        <f>IF(F139&gt;0,Pricing!E139*$H$5,0)</f>
        <v>#REF!</v>
      </c>
      <c r="H139" s="61" t="e">
        <f t="shared" si="17"/>
        <v>#REF!</v>
      </c>
      <c r="I139" s="62" t="e">
        <f>#REF!</f>
        <v>#REF!</v>
      </c>
      <c r="J139" s="61" t="e">
        <f>IF(I139&gt;0,Pricing!E139*$K$5,0)</f>
        <v>#REF!</v>
      </c>
      <c r="K139" s="63" t="e">
        <f t="shared" si="18"/>
        <v>#REF!</v>
      </c>
      <c r="L139" s="64" t="e">
        <f>#REF!</f>
        <v>#REF!</v>
      </c>
      <c r="M139" s="61" t="e">
        <f>IF(L139&lt;0,Pricing!E139*$N$5,0)</f>
        <v>#REF!</v>
      </c>
      <c r="N139" s="61" t="e">
        <f t="shared" si="19"/>
        <v>#REF!</v>
      </c>
      <c r="O139" s="60" t="e">
        <f>#REF!</f>
        <v>#REF!</v>
      </c>
      <c r="P139" s="61" t="e">
        <f>IF(O139&lt;0,Pricing!E139*$Q$5,0)</f>
        <v>#REF!</v>
      </c>
      <c r="Q139" s="61" t="e">
        <f t="shared" si="20"/>
        <v>#REF!</v>
      </c>
      <c r="R139" s="60" t="e">
        <f>#REF!</f>
        <v>#REF!</v>
      </c>
      <c r="S139" s="61" t="e">
        <f>IF(R139&lt;0,Pricing!E139*$T$5,0)</f>
        <v>#REF!</v>
      </c>
      <c r="T139" s="61" t="e">
        <f t="shared" si="21"/>
        <v>#REF!</v>
      </c>
    </row>
    <row r="140" spans="1:20" x14ac:dyDescent="0.25">
      <c r="A140" s="58">
        <f t="shared" si="22"/>
        <v>44536.541666666344</v>
      </c>
      <c r="B140" s="59">
        <f t="shared" si="23"/>
        <v>44536.583333333008</v>
      </c>
      <c r="C140" s="60" t="e">
        <f>#REF!</f>
        <v>#REF!</v>
      </c>
      <c r="D140" s="61" t="e">
        <f>IF(C140&gt;0,Pricing!E140*$E$5,0)</f>
        <v>#REF!</v>
      </c>
      <c r="E140" s="61" t="e">
        <f t="shared" si="16"/>
        <v>#REF!</v>
      </c>
      <c r="F140" s="60" t="e">
        <f>#REF!</f>
        <v>#REF!</v>
      </c>
      <c r="G140" s="61" t="e">
        <f>IF(F140&gt;0,Pricing!E140*$H$5,0)</f>
        <v>#REF!</v>
      </c>
      <c r="H140" s="61" t="e">
        <f t="shared" si="17"/>
        <v>#REF!</v>
      </c>
      <c r="I140" s="62" t="e">
        <f>#REF!</f>
        <v>#REF!</v>
      </c>
      <c r="J140" s="61" t="e">
        <f>IF(I140&gt;0,Pricing!E140*$K$5,0)</f>
        <v>#REF!</v>
      </c>
      <c r="K140" s="63" t="e">
        <f t="shared" si="18"/>
        <v>#REF!</v>
      </c>
      <c r="L140" s="64" t="e">
        <f>#REF!</f>
        <v>#REF!</v>
      </c>
      <c r="M140" s="61" t="e">
        <f>IF(L140&lt;0,Pricing!E140*$N$5,0)</f>
        <v>#REF!</v>
      </c>
      <c r="N140" s="61" t="e">
        <f t="shared" si="19"/>
        <v>#REF!</v>
      </c>
      <c r="O140" s="60" t="e">
        <f>#REF!</f>
        <v>#REF!</v>
      </c>
      <c r="P140" s="61" t="e">
        <f>IF(O140&lt;0,Pricing!E140*$Q$5,0)</f>
        <v>#REF!</v>
      </c>
      <c r="Q140" s="61" t="e">
        <f t="shared" si="20"/>
        <v>#REF!</v>
      </c>
      <c r="R140" s="60" t="e">
        <f>#REF!</f>
        <v>#REF!</v>
      </c>
      <c r="S140" s="61" t="e">
        <f>IF(R140&lt;0,Pricing!E140*$T$5,0)</f>
        <v>#REF!</v>
      </c>
      <c r="T140" s="61" t="e">
        <f t="shared" si="21"/>
        <v>#REF!</v>
      </c>
    </row>
    <row r="141" spans="1:20" x14ac:dyDescent="0.25">
      <c r="A141" s="58">
        <f t="shared" si="22"/>
        <v>44536.583333333008</v>
      </c>
      <c r="B141" s="59">
        <f t="shared" si="23"/>
        <v>44536.624999999673</v>
      </c>
      <c r="C141" s="60" t="e">
        <f>#REF!</f>
        <v>#REF!</v>
      </c>
      <c r="D141" s="61" t="e">
        <f>IF(C141&gt;0,Pricing!E141*$E$5,0)</f>
        <v>#REF!</v>
      </c>
      <c r="E141" s="61" t="e">
        <f t="shared" si="16"/>
        <v>#REF!</v>
      </c>
      <c r="F141" s="60" t="e">
        <f>#REF!</f>
        <v>#REF!</v>
      </c>
      <c r="G141" s="61" t="e">
        <f>IF(F141&gt;0,Pricing!E141*$H$5,0)</f>
        <v>#REF!</v>
      </c>
      <c r="H141" s="61" t="e">
        <f t="shared" si="17"/>
        <v>#REF!</v>
      </c>
      <c r="I141" s="62" t="e">
        <f>#REF!</f>
        <v>#REF!</v>
      </c>
      <c r="J141" s="61" t="e">
        <f>IF(I141&gt;0,Pricing!E141*$K$5,0)</f>
        <v>#REF!</v>
      </c>
      <c r="K141" s="63" t="e">
        <f t="shared" si="18"/>
        <v>#REF!</v>
      </c>
      <c r="L141" s="64" t="e">
        <f>#REF!</f>
        <v>#REF!</v>
      </c>
      <c r="M141" s="61" t="e">
        <f>IF(L141&lt;0,Pricing!E141*$N$5,0)</f>
        <v>#REF!</v>
      </c>
      <c r="N141" s="61" t="e">
        <f t="shared" si="19"/>
        <v>#REF!</v>
      </c>
      <c r="O141" s="60" t="e">
        <f>#REF!</f>
        <v>#REF!</v>
      </c>
      <c r="P141" s="61" t="e">
        <f>IF(O141&lt;0,Pricing!E141*$Q$5,0)</f>
        <v>#REF!</v>
      </c>
      <c r="Q141" s="61" t="e">
        <f t="shared" si="20"/>
        <v>#REF!</v>
      </c>
      <c r="R141" s="60" t="e">
        <f>#REF!</f>
        <v>#REF!</v>
      </c>
      <c r="S141" s="61" t="e">
        <f>IF(R141&lt;0,Pricing!E141*$T$5,0)</f>
        <v>#REF!</v>
      </c>
      <c r="T141" s="61" t="e">
        <f t="shared" si="21"/>
        <v>#REF!</v>
      </c>
    </row>
    <row r="142" spans="1:20" x14ac:dyDescent="0.25">
      <c r="A142" s="58">
        <f t="shared" si="22"/>
        <v>44536.624999999673</v>
      </c>
      <c r="B142" s="59">
        <f t="shared" si="23"/>
        <v>44536.666666666337</v>
      </c>
      <c r="C142" s="60" t="e">
        <f>#REF!</f>
        <v>#REF!</v>
      </c>
      <c r="D142" s="61" t="e">
        <f>IF(C142&gt;0,Pricing!E142*$E$5,0)</f>
        <v>#REF!</v>
      </c>
      <c r="E142" s="61" t="e">
        <f t="shared" si="16"/>
        <v>#REF!</v>
      </c>
      <c r="F142" s="60" t="e">
        <f>#REF!</f>
        <v>#REF!</v>
      </c>
      <c r="G142" s="61" t="e">
        <f>IF(F142&gt;0,Pricing!E142*$H$5,0)</f>
        <v>#REF!</v>
      </c>
      <c r="H142" s="61" t="e">
        <f t="shared" si="17"/>
        <v>#REF!</v>
      </c>
      <c r="I142" s="62" t="e">
        <f>#REF!</f>
        <v>#REF!</v>
      </c>
      <c r="J142" s="61" t="e">
        <f>IF(I142&gt;0,Pricing!E142*$K$5,0)</f>
        <v>#REF!</v>
      </c>
      <c r="K142" s="63" t="e">
        <f t="shared" si="18"/>
        <v>#REF!</v>
      </c>
      <c r="L142" s="64" t="e">
        <f>#REF!</f>
        <v>#REF!</v>
      </c>
      <c r="M142" s="61" t="e">
        <f>IF(L142&lt;0,Pricing!E142*$N$5,0)</f>
        <v>#REF!</v>
      </c>
      <c r="N142" s="61" t="e">
        <f t="shared" si="19"/>
        <v>#REF!</v>
      </c>
      <c r="O142" s="60" t="e">
        <f>#REF!</f>
        <v>#REF!</v>
      </c>
      <c r="P142" s="61" t="e">
        <f>IF(O142&lt;0,Pricing!E142*$Q$5,0)</f>
        <v>#REF!</v>
      </c>
      <c r="Q142" s="61" t="e">
        <f t="shared" si="20"/>
        <v>#REF!</v>
      </c>
      <c r="R142" s="60" t="e">
        <f>#REF!</f>
        <v>#REF!</v>
      </c>
      <c r="S142" s="61" t="e">
        <f>IF(R142&lt;0,Pricing!E142*$T$5,0)</f>
        <v>#REF!</v>
      </c>
      <c r="T142" s="61" t="e">
        <f t="shared" si="21"/>
        <v>#REF!</v>
      </c>
    </row>
    <row r="143" spans="1:20" x14ac:dyDescent="0.25">
      <c r="A143" s="58">
        <f t="shared" si="22"/>
        <v>44536.666666666337</v>
      </c>
      <c r="B143" s="59">
        <f t="shared" si="23"/>
        <v>44536.708333333001</v>
      </c>
      <c r="C143" s="60" t="e">
        <f>#REF!</f>
        <v>#REF!</v>
      </c>
      <c r="D143" s="61" t="e">
        <f>IF(C143&gt;0,Pricing!E143*$E$5,0)</f>
        <v>#REF!</v>
      </c>
      <c r="E143" s="61" t="e">
        <f t="shared" si="16"/>
        <v>#REF!</v>
      </c>
      <c r="F143" s="60" t="e">
        <f>#REF!</f>
        <v>#REF!</v>
      </c>
      <c r="G143" s="61" t="e">
        <f>IF(F143&gt;0,Pricing!E143*$H$5,0)</f>
        <v>#REF!</v>
      </c>
      <c r="H143" s="61" t="e">
        <f t="shared" si="17"/>
        <v>#REF!</v>
      </c>
      <c r="I143" s="62" t="e">
        <f>#REF!</f>
        <v>#REF!</v>
      </c>
      <c r="J143" s="61" t="e">
        <f>IF(I143&gt;0,Pricing!E143*$K$5,0)</f>
        <v>#REF!</v>
      </c>
      <c r="K143" s="63" t="e">
        <f t="shared" si="18"/>
        <v>#REF!</v>
      </c>
      <c r="L143" s="64" t="e">
        <f>#REF!</f>
        <v>#REF!</v>
      </c>
      <c r="M143" s="61" t="e">
        <f>IF(L143&lt;0,Pricing!E143*$N$5,0)</f>
        <v>#REF!</v>
      </c>
      <c r="N143" s="61" t="e">
        <f t="shared" si="19"/>
        <v>#REF!</v>
      </c>
      <c r="O143" s="60" t="e">
        <f>#REF!</f>
        <v>#REF!</v>
      </c>
      <c r="P143" s="61" t="e">
        <f>IF(O143&lt;0,Pricing!E143*$Q$5,0)</f>
        <v>#REF!</v>
      </c>
      <c r="Q143" s="61" t="e">
        <f t="shared" si="20"/>
        <v>#REF!</v>
      </c>
      <c r="R143" s="60" t="e">
        <f>#REF!</f>
        <v>#REF!</v>
      </c>
      <c r="S143" s="61" t="e">
        <f>IF(R143&lt;0,Pricing!E143*$T$5,0)</f>
        <v>#REF!</v>
      </c>
      <c r="T143" s="61" t="e">
        <f t="shared" si="21"/>
        <v>#REF!</v>
      </c>
    </row>
    <row r="144" spans="1:20" x14ac:dyDescent="0.25">
      <c r="A144" s="58">
        <f t="shared" si="22"/>
        <v>44536.708333333001</v>
      </c>
      <c r="B144" s="59">
        <f t="shared" si="23"/>
        <v>44536.749999999665</v>
      </c>
      <c r="C144" s="60" t="e">
        <f>#REF!</f>
        <v>#REF!</v>
      </c>
      <c r="D144" s="61" t="e">
        <f>IF(C144&gt;0,Pricing!E144*$E$5,0)</f>
        <v>#REF!</v>
      </c>
      <c r="E144" s="61" t="e">
        <f t="shared" si="16"/>
        <v>#REF!</v>
      </c>
      <c r="F144" s="60" t="e">
        <f>#REF!</f>
        <v>#REF!</v>
      </c>
      <c r="G144" s="61" t="e">
        <f>IF(F144&gt;0,Pricing!E144*$H$5,0)</f>
        <v>#REF!</v>
      </c>
      <c r="H144" s="61" t="e">
        <f t="shared" si="17"/>
        <v>#REF!</v>
      </c>
      <c r="I144" s="62" t="e">
        <f>#REF!</f>
        <v>#REF!</v>
      </c>
      <c r="J144" s="61" t="e">
        <f>IF(I144&gt;0,Pricing!E144*$K$5,0)</f>
        <v>#REF!</v>
      </c>
      <c r="K144" s="63" t="e">
        <f t="shared" si="18"/>
        <v>#REF!</v>
      </c>
      <c r="L144" s="64" t="e">
        <f>#REF!</f>
        <v>#REF!</v>
      </c>
      <c r="M144" s="61" t="e">
        <f>IF(L144&lt;0,Pricing!E144*$N$5,0)</f>
        <v>#REF!</v>
      </c>
      <c r="N144" s="61" t="e">
        <f t="shared" si="19"/>
        <v>#REF!</v>
      </c>
      <c r="O144" s="60" t="e">
        <f>#REF!</f>
        <v>#REF!</v>
      </c>
      <c r="P144" s="61" t="e">
        <f>IF(O144&lt;0,Pricing!E144*$Q$5,0)</f>
        <v>#REF!</v>
      </c>
      <c r="Q144" s="61" t="e">
        <f t="shared" si="20"/>
        <v>#REF!</v>
      </c>
      <c r="R144" s="60" t="e">
        <f>#REF!</f>
        <v>#REF!</v>
      </c>
      <c r="S144" s="61" t="e">
        <f>IF(R144&lt;0,Pricing!E144*$T$5,0)</f>
        <v>#REF!</v>
      </c>
      <c r="T144" s="61" t="e">
        <f t="shared" si="21"/>
        <v>#REF!</v>
      </c>
    </row>
    <row r="145" spans="1:20" x14ac:dyDescent="0.25">
      <c r="A145" s="58">
        <f t="shared" si="22"/>
        <v>44536.749999999665</v>
      </c>
      <c r="B145" s="59">
        <f t="shared" si="23"/>
        <v>44536.79166666633</v>
      </c>
      <c r="C145" s="60" t="e">
        <f>#REF!</f>
        <v>#REF!</v>
      </c>
      <c r="D145" s="61" t="e">
        <f>IF(C145&gt;0,Pricing!E145*$E$5,0)</f>
        <v>#REF!</v>
      </c>
      <c r="E145" s="61" t="e">
        <f t="shared" si="16"/>
        <v>#REF!</v>
      </c>
      <c r="F145" s="60" t="e">
        <f>#REF!</f>
        <v>#REF!</v>
      </c>
      <c r="G145" s="61" t="e">
        <f>IF(F145&gt;0,Pricing!E145*$H$5,0)</f>
        <v>#REF!</v>
      </c>
      <c r="H145" s="61" t="e">
        <f t="shared" si="17"/>
        <v>#REF!</v>
      </c>
      <c r="I145" s="62" t="e">
        <f>#REF!</f>
        <v>#REF!</v>
      </c>
      <c r="J145" s="61" t="e">
        <f>IF(I145&gt;0,Pricing!E145*$K$5,0)</f>
        <v>#REF!</v>
      </c>
      <c r="K145" s="63" t="e">
        <f t="shared" si="18"/>
        <v>#REF!</v>
      </c>
      <c r="L145" s="64" t="e">
        <f>#REF!</f>
        <v>#REF!</v>
      </c>
      <c r="M145" s="61" t="e">
        <f>IF(L145&lt;0,Pricing!E145*$N$5,0)</f>
        <v>#REF!</v>
      </c>
      <c r="N145" s="61" t="e">
        <f t="shared" si="19"/>
        <v>#REF!</v>
      </c>
      <c r="O145" s="60" t="e">
        <f>#REF!</f>
        <v>#REF!</v>
      </c>
      <c r="P145" s="61" t="e">
        <f>IF(O145&lt;0,Pricing!E145*$Q$5,0)</f>
        <v>#REF!</v>
      </c>
      <c r="Q145" s="61" t="e">
        <f t="shared" si="20"/>
        <v>#REF!</v>
      </c>
      <c r="R145" s="60" t="e">
        <f>#REF!</f>
        <v>#REF!</v>
      </c>
      <c r="S145" s="61" t="e">
        <f>IF(R145&lt;0,Pricing!E145*$T$5,0)</f>
        <v>#REF!</v>
      </c>
      <c r="T145" s="61" t="e">
        <f t="shared" si="21"/>
        <v>#REF!</v>
      </c>
    </row>
    <row r="146" spans="1:20" x14ac:dyDescent="0.25">
      <c r="A146" s="58">
        <f t="shared" si="22"/>
        <v>44536.79166666633</v>
      </c>
      <c r="B146" s="59">
        <f t="shared" si="23"/>
        <v>44536.833333332994</v>
      </c>
      <c r="C146" s="60" t="e">
        <f>#REF!</f>
        <v>#REF!</v>
      </c>
      <c r="D146" s="61" t="e">
        <f>IF(C146&gt;0,Pricing!E146*$E$5,0)</f>
        <v>#REF!</v>
      </c>
      <c r="E146" s="61" t="e">
        <f t="shared" si="16"/>
        <v>#REF!</v>
      </c>
      <c r="F146" s="60" t="e">
        <f>#REF!</f>
        <v>#REF!</v>
      </c>
      <c r="G146" s="61" t="e">
        <f>IF(F146&gt;0,Pricing!E146*$H$5,0)</f>
        <v>#REF!</v>
      </c>
      <c r="H146" s="61" t="e">
        <f t="shared" si="17"/>
        <v>#REF!</v>
      </c>
      <c r="I146" s="62" t="e">
        <f>#REF!</f>
        <v>#REF!</v>
      </c>
      <c r="J146" s="61" t="e">
        <f>IF(I146&gt;0,Pricing!E146*$K$5,0)</f>
        <v>#REF!</v>
      </c>
      <c r="K146" s="63" t="e">
        <f t="shared" si="18"/>
        <v>#REF!</v>
      </c>
      <c r="L146" s="64" t="e">
        <f>#REF!</f>
        <v>#REF!</v>
      </c>
      <c r="M146" s="61" t="e">
        <f>IF(L146&lt;0,Pricing!E146*$N$5,0)</f>
        <v>#REF!</v>
      </c>
      <c r="N146" s="61" t="e">
        <f t="shared" si="19"/>
        <v>#REF!</v>
      </c>
      <c r="O146" s="60" t="e">
        <f>#REF!</f>
        <v>#REF!</v>
      </c>
      <c r="P146" s="61" t="e">
        <f>IF(O146&lt;0,Pricing!E146*$Q$5,0)</f>
        <v>#REF!</v>
      </c>
      <c r="Q146" s="61" t="e">
        <f t="shared" si="20"/>
        <v>#REF!</v>
      </c>
      <c r="R146" s="60" t="e">
        <f>#REF!</f>
        <v>#REF!</v>
      </c>
      <c r="S146" s="61" t="e">
        <f>IF(R146&lt;0,Pricing!E146*$T$5,0)</f>
        <v>#REF!</v>
      </c>
      <c r="T146" s="61" t="e">
        <f t="shared" si="21"/>
        <v>#REF!</v>
      </c>
    </row>
    <row r="147" spans="1:20" x14ac:dyDescent="0.25">
      <c r="A147" s="58">
        <f t="shared" si="22"/>
        <v>44536.833333332994</v>
      </c>
      <c r="B147" s="59">
        <f t="shared" si="23"/>
        <v>44536.874999999658</v>
      </c>
      <c r="C147" s="60" t="e">
        <f>#REF!</f>
        <v>#REF!</v>
      </c>
      <c r="D147" s="61" t="e">
        <f>IF(C147&gt;0,Pricing!E147*$E$5,0)</f>
        <v>#REF!</v>
      </c>
      <c r="E147" s="61" t="e">
        <f t="shared" si="16"/>
        <v>#REF!</v>
      </c>
      <c r="F147" s="60" t="e">
        <f>#REF!</f>
        <v>#REF!</v>
      </c>
      <c r="G147" s="61" t="e">
        <f>IF(F147&gt;0,Pricing!E147*$H$5,0)</f>
        <v>#REF!</v>
      </c>
      <c r="H147" s="61" t="e">
        <f t="shared" si="17"/>
        <v>#REF!</v>
      </c>
      <c r="I147" s="62" t="e">
        <f>#REF!</f>
        <v>#REF!</v>
      </c>
      <c r="J147" s="61" t="e">
        <f>IF(I147&gt;0,Pricing!E147*$K$5,0)</f>
        <v>#REF!</v>
      </c>
      <c r="K147" s="63" t="e">
        <f t="shared" si="18"/>
        <v>#REF!</v>
      </c>
      <c r="L147" s="64" t="e">
        <f>#REF!</f>
        <v>#REF!</v>
      </c>
      <c r="M147" s="61" t="e">
        <f>IF(L147&lt;0,Pricing!E147*$N$5,0)</f>
        <v>#REF!</v>
      </c>
      <c r="N147" s="61" t="e">
        <f t="shared" si="19"/>
        <v>#REF!</v>
      </c>
      <c r="O147" s="60" t="e">
        <f>#REF!</f>
        <v>#REF!</v>
      </c>
      <c r="P147" s="61" t="e">
        <f>IF(O147&lt;0,Pricing!E147*$Q$5,0)</f>
        <v>#REF!</v>
      </c>
      <c r="Q147" s="61" t="e">
        <f t="shared" si="20"/>
        <v>#REF!</v>
      </c>
      <c r="R147" s="60" t="e">
        <f>#REF!</f>
        <v>#REF!</v>
      </c>
      <c r="S147" s="61" t="e">
        <f>IF(R147&lt;0,Pricing!E147*$T$5,0)</f>
        <v>#REF!</v>
      </c>
      <c r="T147" s="61" t="e">
        <f t="shared" si="21"/>
        <v>#REF!</v>
      </c>
    </row>
    <row r="148" spans="1:20" x14ac:dyDescent="0.25">
      <c r="A148" s="58">
        <f t="shared" si="22"/>
        <v>44536.874999999658</v>
      </c>
      <c r="B148" s="59">
        <f t="shared" si="23"/>
        <v>44536.916666666322</v>
      </c>
      <c r="C148" s="60" t="e">
        <f>#REF!</f>
        <v>#REF!</v>
      </c>
      <c r="D148" s="61" t="e">
        <f>IF(C148&gt;0,Pricing!E148*$E$5,0)</f>
        <v>#REF!</v>
      </c>
      <c r="E148" s="61" t="e">
        <f t="shared" si="16"/>
        <v>#REF!</v>
      </c>
      <c r="F148" s="60" t="e">
        <f>#REF!</f>
        <v>#REF!</v>
      </c>
      <c r="G148" s="61" t="e">
        <f>IF(F148&gt;0,Pricing!E148*$H$5,0)</f>
        <v>#REF!</v>
      </c>
      <c r="H148" s="61" t="e">
        <f t="shared" si="17"/>
        <v>#REF!</v>
      </c>
      <c r="I148" s="62" t="e">
        <f>#REF!</f>
        <v>#REF!</v>
      </c>
      <c r="J148" s="61" t="e">
        <f>IF(I148&gt;0,Pricing!E148*$K$5,0)</f>
        <v>#REF!</v>
      </c>
      <c r="K148" s="63" t="e">
        <f t="shared" si="18"/>
        <v>#REF!</v>
      </c>
      <c r="L148" s="64" t="e">
        <f>#REF!</f>
        <v>#REF!</v>
      </c>
      <c r="M148" s="61" t="e">
        <f>IF(L148&lt;0,Pricing!E148*$N$5,0)</f>
        <v>#REF!</v>
      </c>
      <c r="N148" s="61" t="e">
        <f t="shared" si="19"/>
        <v>#REF!</v>
      </c>
      <c r="O148" s="60" t="e">
        <f>#REF!</f>
        <v>#REF!</v>
      </c>
      <c r="P148" s="61" t="e">
        <f>IF(O148&lt;0,Pricing!E148*$Q$5,0)</f>
        <v>#REF!</v>
      </c>
      <c r="Q148" s="61" t="e">
        <f t="shared" si="20"/>
        <v>#REF!</v>
      </c>
      <c r="R148" s="60" t="e">
        <f>#REF!</f>
        <v>#REF!</v>
      </c>
      <c r="S148" s="61" t="e">
        <f>IF(R148&lt;0,Pricing!E148*$T$5,0)</f>
        <v>#REF!</v>
      </c>
      <c r="T148" s="61" t="e">
        <f t="shared" si="21"/>
        <v>#REF!</v>
      </c>
    </row>
    <row r="149" spans="1:20" x14ac:dyDescent="0.25">
      <c r="A149" s="58">
        <f t="shared" si="22"/>
        <v>44536.916666666322</v>
      </c>
      <c r="B149" s="59">
        <f t="shared" si="23"/>
        <v>44536.958333332987</v>
      </c>
      <c r="C149" s="60" t="e">
        <f>#REF!</f>
        <v>#REF!</v>
      </c>
      <c r="D149" s="61" t="e">
        <f>IF(C149&gt;0,Pricing!E149*$E$5,0)</f>
        <v>#REF!</v>
      </c>
      <c r="E149" s="61" t="e">
        <f t="shared" si="16"/>
        <v>#REF!</v>
      </c>
      <c r="F149" s="60" t="e">
        <f>#REF!</f>
        <v>#REF!</v>
      </c>
      <c r="G149" s="61" t="e">
        <f>IF(F149&gt;0,Pricing!E149*$H$5,0)</f>
        <v>#REF!</v>
      </c>
      <c r="H149" s="61" t="e">
        <f t="shared" si="17"/>
        <v>#REF!</v>
      </c>
      <c r="I149" s="62" t="e">
        <f>#REF!</f>
        <v>#REF!</v>
      </c>
      <c r="J149" s="61" t="e">
        <f>IF(I149&gt;0,Pricing!E149*$K$5,0)</f>
        <v>#REF!</v>
      </c>
      <c r="K149" s="63" t="e">
        <f t="shared" si="18"/>
        <v>#REF!</v>
      </c>
      <c r="L149" s="64" t="e">
        <f>#REF!</f>
        <v>#REF!</v>
      </c>
      <c r="M149" s="61" t="e">
        <f>IF(L149&lt;0,Pricing!E149*$N$5,0)</f>
        <v>#REF!</v>
      </c>
      <c r="N149" s="61" t="e">
        <f t="shared" si="19"/>
        <v>#REF!</v>
      </c>
      <c r="O149" s="60" t="e">
        <f>#REF!</f>
        <v>#REF!</v>
      </c>
      <c r="P149" s="61" t="e">
        <f>IF(O149&lt;0,Pricing!E149*$Q$5,0)</f>
        <v>#REF!</v>
      </c>
      <c r="Q149" s="61" t="e">
        <f t="shared" si="20"/>
        <v>#REF!</v>
      </c>
      <c r="R149" s="60" t="e">
        <f>#REF!</f>
        <v>#REF!</v>
      </c>
      <c r="S149" s="61" t="e">
        <f>IF(R149&lt;0,Pricing!E149*$T$5,0)</f>
        <v>#REF!</v>
      </c>
      <c r="T149" s="61" t="e">
        <f t="shared" si="21"/>
        <v>#REF!</v>
      </c>
    </row>
    <row r="150" spans="1:20" x14ac:dyDescent="0.25">
      <c r="A150" s="58">
        <f t="shared" si="22"/>
        <v>44536.958333332987</v>
      </c>
      <c r="B150" s="59">
        <f t="shared" si="23"/>
        <v>44536.999999999651</v>
      </c>
      <c r="C150" s="60" t="e">
        <f>#REF!</f>
        <v>#REF!</v>
      </c>
      <c r="D150" s="61" t="e">
        <f>IF(C150&gt;0,Pricing!E150*$E$5,0)</f>
        <v>#REF!</v>
      </c>
      <c r="E150" s="61" t="e">
        <f t="shared" si="16"/>
        <v>#REF!</v>
      </c>
      <c r="F150" s="60" t="e">
        <f>#REF!</f>
        <v>#REF!</v>
      </c>
      <c r="G150" s="61" t="e">
        <f>IF(F150&gt;0,Pricing!E150*$H$5,0)</f>
        <v>#REF!</v>
      </c>
      <c r="H150" s="61" t="e">
        <f t="shared" si="17"/>
        <v>#REF!</v>
      </c>
      <c r="I150" s="62" t="e">
        <f>#REF!</f>
        <v>#REF!</v>
      </c>
      <c r="J150" s="61" t="e">
        <f>IF(I150&gt;0,Pricing!E150*$K$5,0)</f>
        <v>#REF!</v>
      </c>
      <c r="K150" s="63" t="e">
        <f t="shared" si="18"/>
        <v>#REF!</v>
      </c>
      <c r="L150" s="64" t="e">
        <f>#REF!</f>
        <v>#REF!</v>
      </c>
      <c r="M150" s="61" t="e">
        <f>IF(L150&lt;0,Pricing!E150*$N$5,0)</f>
        <v>#REF!</v>
      </c>
      <c r="N150" s="61" t="e">
        <f t="shared" si="19"/>
        <v>#REF!</v>
      </c>
      <c r="O150" s="60" t="e">
        <f>#REF!</f>
        <v>#REF!</v>
      </c>
      <c r="P150" s="61" t="e">
        <f>IF(O150&lt;0,Pricing!E150*$Q$5,0)</f>
        <v>#REF!</v>
      </c>
      <c r="Q150" s="61" t="e">
        <f t="shared" si="20"/>
        <v>#REF!</v>
      </c>
      <c r="R150" s="60" t="e">
        <f>#REF!</f>
        <v>#REF!</v>
      </c>
      <c r="S150" s="61" t="e">
        <f>IF(R150&lt;0,Pricing!E150*$T$5,0)</f>
        <v>#REF!</v>
      </c>
      <c r="T150" s="61" t="e">
        <f t="shared" si="21"/>
        <v>#REF!</v>
      </c>
    </row>
    <row r="151" spans="1:20" x14ac:dyDescent="0.25">
      <c r="A151" s="58">
        <f t="shared" si="22"/>
        <v>44536.999999999651</v>
      </c>
      <c r="B151" s="59">
        <f t="shared" si="23"/>
        <v>44537.041666666315</v>
      </c>
      <c r="C151" s="60" t="e">
        <f>#REF!</f>
        <v>#REF!</v>
      </c>
      <c r="D151" s="61" t="e">
        <f>IF(C151&gt;0,Pricing!E151*$E$5,0)</f>
        <v>#REF!</v>
      </c>
      <c r="E151" s="61" t="e">
        <f t="shared" si="16"/>
        <v>#REF!</v>
      </c>
      <c r="F151" s="60" t="e">
        <f>#REF!</f>
        <v>#REF!</v>
      </c>
      <c r="G151" s="61" t="e">
        <f>IF(F151&gt;0,Pricing!E151*$H$5,0)</f>
        <v>#REF!</v>
      </c>
      <c r="H151" s="61" t="e">
        <f t="shared" si="17"/>
        <v>#REF!</v>
      </c>
      <c r="I151" s="62" t="e">
        <f>#REF!</f>
        <v>#REF!</v>
      </c>
      <c r="J151" s="61" t="e">
        <f>IF(I151&gt;0,Pricing!E151*$K$5,0)</f>
        <v>#REF!</v>
      </c>
      <c r="K151" s="63" t="e">
        <f t="shared" si="18"/>
        <v>#REF!</v>
      </c>
      <c r="L151" s="64" t="e">
        <f>#REF!</f>
        <v>#REF!</v>
      </c>
      <c r="M151" s="61" t="e">
        <f>IF(L151&lt;0,Pricing!E151*$N$5,0)</f>
        <v>#REF!</v>
      </c>
      <c r="N151" s="61" t="e">
        <f t="shared" si="19"/>
        <v>#REF!</v>
      </c>
      <c r="O151" s="60" t="e">
        <f>#REF!</f>
        <v>#REF!</v>
      </c>
      <c r="P151" s="61" t="e">
        <f>IF(O151&lt;0,Pricing!E151*$Q$5,0)</f>
        <v>#REF!</v>
      </c>
      <c r="Q151" s="61" t="e">
        <f t="shared" si="20"/>
        <v>#REF!</v>
      </c>
      <c r="R151" s="60" t="e">
        <f>#REF!</f>
        <v>#REF!</v>
      </c>
      <c r="S151" s="61" t="e">
        <f>IF(R151&lt;0,Pricing!E151*$T$5,0)</f>
        <v>#REF!</v>
      </c>
      <c r="T151" s="61" t="e">
        <f t="shared" si="21"/>
        <v>#REF!</v>
      </c>
    </row>
    <row r="152" spans="1:20" x14ac:dyDescent="0.25">
      <c r="A152" s="58">
        <f t="shared" si="22"/>
        <v>44537.041666666315</v>
      </c>
      <c r="B152" s="59">
        <f t="shared" si="23"/>
        <v>44537.083333332979</v>
      </c>
      <c r="C152" s="60" t="e">
        <f>#REF!</f>
        <v>#REF!</v>
      </c>
      <c r="D152" s="61" t="e">
        <f>IF(C152&gt;0,Pricing!E152*$E$5,0)</f>
        <v>#REF!</v>
      </c>
      <c r="E152" s="61" t="e">
        <f t="shared" si="16"/>
        <v>#REF!</v>
      </c>
      <c r="F152" s="60" t="e">
        <f>#REF!</f>
        <v>#REF!</v>
      </c>
      <c r="G152" s="61" t="e">
        <f>IF(F152&gt;0,Pricing!E152*$H$5,0)</f>
        <v>#REF!</v>
      </c>
      <c r="H152" s="61" t="e">
        <f t="shared" si="17"/>
        <v>#REF!</v>
      </c>
      <c r="I152" s="62" t="e">
        <f>#REF!</f>
        <v>#REF!</v>
      </c>
      <c r="J152" s="61" t="e">
        <f>IF(I152&gt;0,Pricing!E152*$K$5,0)</f>
        <v>#REF!</v>
      </c>
      <c r="K152" s="63" t="e">
        <f t="shared" si="18"/>
        <v>#REF!</v>
      </c>
      <c r="L152" s="64" t="e">
        <f>#REF!</f>
        <v>#REF!</v>
      </c>
      <c r="M152" s="61" t="e">
        <f>IF(L152&lt;0,Pricing!E152*$N$5,0)</f>
        <v>#REF!</v>
      </c>
      <c r="N152" s="61" t="e">
        <f t="shared" si="19"/>
        <v>#REF!</v>
      </c>
      <c r="O152" s="60" t="e">
        <f>#REF!</f>
        <v>#REF!</v>
      </c>
      <c r="P152" s="61" t="e">
        <f>IF(O152&lt;0,Pricing!E152*$Q$5,0)</f>
        <v>#REF!</v>
      </c>
      <c r="Q152" s="61" t="e">
        <f t="shared" si="20"/>
        <v>#REF!</v>
      </c>
      <c r="R152" s="60" t="e">
        <f>#REF!</f>
        <v>#REF!</v>
      </c>
      <c r="S152" s="61" t="e">
        <f>IF(R152&lt;0,Pricing!E152*$T$5,0)</f>
        <v>#REF!</v>
      </c>
      <c r="T152" s="61" t="e">
        <f t="shared" si="21"/>
        <v>#REF!</v>
      </c>
    </row>
    <row r="153" spans="1:20" x14ac:dyDescent="0.25">
      <c r="A153" s="58">
        <f t="shared" si="22"/>
        <v>44537.083333332979</v>
      </c>
      <c r="B153" s="59">
        <f t="shared" si="23"/>
        <v>44537.124999999643</v>
      </c>
      <c r="C153" s="60" t="e">
        <f>#REF!</f>
        <v>#REF!</v>
      </c>
      <c r="D153" s="61" t="e">
        <f>IF(C153&gt;0,Pricing!E153*$E$5,0)</f>
        <v>#REF!</v>
      </c>
      <c r="E153" s="61" t="e">
        <f t="shared" si="16"/>
        <v>#REF!</v>
      </c>
      <c r="F153" s="60" t="e">
        <f>#REF!</f>
        <v>#REF!</v>
      </c>
      <c r="G153" s="61" t="e">
        <f>IF(F153&gt;0,Pricing!E153*$H$5,0)</f>
        <v>#REF!</v>
      </c>
      <c r="H153" s="61" t="e">
        <f t="shared" si="17"/>
        <v>#REF!</v>
      </c>
      <c r="I153" s="62" t="e">
        <f>#REF!</f>
        <v>#REF!</v>
      </c>
      <c r="J153" s="61" t="e">
        <f>IF(I153&gt;0,Pricing!E153*$K$5,0)</f>
        <v>#REF!</v>
      </c>
      <c r="K153" s="63" t="e">
        <f t="shared" si="18"/>
        <v>#REF!</v>
      </c>
      <c r="L153" s="64" t="e">
        <f>#REF!</f>
        <v>#REF!</v>
      </c>
      <c r="M153" s="61" t="e">
        <f>IF(L153&lt;0,Pricing!E153*$N$5,0)</f>
        <v>#REF!</v>
      </c>
      <c r="N153" s="61" t="e">
        <f t="shared" si="19"/>
        <v>#REF!</v>
      </c>
      <c r="O153" s="60" t="e">
        <f>#REF!</f>
        <v>#REF!</v>
      </c>
      <c r="P153" s="61" t="e">
        <f>IF(O153&lt;0,Pricing!E153*$Q$5,0)</f>
        <v>#REF!</v>
      </c>
      <c r="Q153" s="61" t="e">
        <f t="shared" si="20"/>
        <v>#REF!</v>
      </c>
      <c r="R153" s="60" t="e">
        <f>#REF!</f>
        <v>#REF!</v>
      </c>
      <c r="S153" s="61" t="e">
        <f>IF(R153&lt;0,Pricing!E153*$T$5,0)</f>
        <v>#REF!</v>
      </c>
      <c r="T153" s="61" t="e">
        <f t="shared" si="21"/>
        <v>#REF!</v>
      </c>
    </row>
    <row r="154" spans="1:20" x14ac:dyDescent="0.25">
      <c r="A154" s="58">
        <f t="shared" si="22"/>
        <v>44537.124999999643</v>
      </c>
      <c r="B154" s="59">
        <f t="shared" si="23"/>
        <v>44537.166666666308</v>
      </c>
      <c r="C154" s="60" t="e">
        <f>#REF!</f>
        <v>#REF!</v>
      </c>
      <c r="D154" s="61" t="e">
        <f>IF(C154&gt;0,Pricing!E154*$E$5,0)</f>
        <v>#REF!</v>
      </c>
      <c r="E154" s="61" t="e">
        <f t="shared" si="16"/>
        <v>#REF!</v>
      </c>
      <c r="F154" s="60" t="e">
        <f>#REF!</f>
        <v>#REF!</v>
      </c>
      <c r="G154" s="61" t="e">
        <f>IF(F154&gt;0,Pricing!E154*$H$5,0)</f>
        <v>#REF!</v>
      </c>
      <c r="H154" s="61" t="e">
        <f t="shared" si="17"/>
        <v>#REF!</v>
      </c>
      <c r="I154" s="62" t="e">
        <f>#REF!</f>
        <v>#REF!</v>
      </c>
      <c r="J154" s="61" t="e">
        <f>IF(I154&gt;0,Pricing!E154*$K$5,0)</f>
        <v>#REF!</v>
      </c>
      <c r="K154" s="63" t="e">
        <f t="shared" si="18"/>
        <v>#REF!</v>
      </c>
      <c r="L154" s="64" t="e">
        <f>#REF!</f>
        <v>#REF!</v>
      </c>
      <c r="M154" s="61" t="e">
        <f>IF(L154&lt;0,Pricing!E154*$N$5,0)</f>
        <v>#REF!</v>
      </c>
      <c r="N154" s="61" t="e">
        <f t="shared" si="19"/>
        <v>#REF!</v>
      </c>
      <c r="O154" s="60" t="e">
        <f>#REF!</f>
        <v>#REF!</v>
      </c>
      <c r="P154" s="61" t="e">
        <f>IF(O154&lt;0,Pricing!E154*$Q$5,0)</f>
        <v>#REF!</v>
      </c>
      <c r="Q154" s="61" t="e">
        <f t="shared" si="20"/>
        <v>#REF!</v>
      </c>
      <c r="R154" s="60" t="e">
        <f>#REF!</f>
        <v>#REF!</v>
      </c>
      <c r="S154" s="61" t="e">
        <f>IF(R154&lt;0,Pricing!E154*$T$5,0)</f>
        <v>#REF!</v>
      </c>
      <c r="T154" s="61" t="e">
        <f t="shared" si="21"/>
        <v>#REF!</v>
      </c>
    </row>
    <row r="155" spans="1:20" x14ac:dyDescent="0.25">
      <c r="A155" s="58">
        <f t="shared" si="22"/>
        <v>44537.166666666308</v>
      </c>
      <c r="B155" s="59">
        <f t="shared" si="23"/>
        <v>44537.208333332972</v>
      </c>
      <c r="C155" s="60" t="e">
        <f>#REF!</f>
        <v>#REF!</v>
      </c>
      <c r="D155" s="61" t="e">
        <f>IF(C155&gt;0,Pricing!E155*$E$5,0)</f>
        <v>#REF!</v>
      </c>
      <c r="E155" s="61" t="e">
        <f t="shared" si="16"/>
        <v>#REF!</v>
      </c>
      <c r="F155" s="60" t="e">
        <f>#REF!</f>
        <v>#REF!</v>
      </c>
      <c r="G155" s="61" t="e">
        <f>IF(F155&gt;0,Pricing!E155*$H$5,0)</f>
        <v>#REF!</v>
      </c>
      <c r="H155" s="61" t="e">
        <f t="shared" si="17"/>
        <v>#REF!</v>
      </c>
      <c r="I155" s="62" t="e">
        <f>#REF!</f>
        <v>#REF!</v>
      </c>
      <c r="J155" s="61" t="e">
        <f>IF(I155&gt;0,Pricing!E155*$K$5,0)</f>
        <v>#REF!</v>
      </c>
      <c r="K155" s="63" t="e">
        <f t="shared" si="18"/>
        <v>#REF!</v>
      </c>
      <c r="L155" s="64" t="e">
        <f>#REF!</f>
        <v>#REF!</v>
      </c>
      <c r="M155" s="61" t="e">
        <f>IF(L155&lt;0,Pricing!E155*$N$5,0)</f>
        <v>#REF!</v>
      </c>
      <c r="N155" s="61" t="e">
        <f t="shared" si="19"/>
        <v>#REF!</v>
      </c>
      <c r="O155" s="60" t="e">
        <f>#REF!</f>
        <v>#REF!</v>
      </c>
      <c r="P155" s="61" t="e">
        <f>IF(O155&lt;0,Pricing!E155*$Q$5,0)</f>
        <v>#REF!</v>
      </c>
      <c r="Q155" s="61" t="e">
        <f t="shared" si="20"/>
        <v>#REF!</v>
      </c>
      <c r="R155" s="60" t="e">
        <f>#REF!</f>
        <v>#REF!</v>
      </c>
      <c r="S155" s="61" t="e">
        <f>IF(R155&lt;0,Pricing!E155*$T$5,0)</f>
        <v>#REF!</v>
      </c>
      <c r="T155" s="61" t="e">
        <f t="shared" si="21"/>
        <v>#REF!</v>
      </c>
    </row>
    <row r="156" spans="1:20" x14ac:dyDescent="0.25">
      <c r="A156" s="58">
        <f t="shared" si="22"/>
        <v>44537.208333332972</v>
      </c>
      <c r="B156" s="59">
        <f t="shared" si="23"/>
        <v>44537.249999999636</v>
      </c>
      <c r="C156" s="60" t="e">
        <f>#REF!</f>
        <v>#REF!</v>
      </c>
      <c r="D156" s="61" t="e">
        <f>IF(C156&gt;0,Pricing!E156*$E$5,0)</f>
        <v>#REF!</v>
      </c>
      <c r="E156" s="61" t="e">
        <f t="shared" si="16"/>
        <v>#REF!</v>
      </c>
      <c r="F156" s="60" t="e">
        <f>#REF!</f>
        <v>#REF!</v>
      </c>
      <c r="G156" s="61" t="e">
        <f>IF(F156&gt;0,Pricing!E156*$H$5,0)</f>
        <v>#REF!</v>
      </c>
      <c r="H156" s="61" t="e">
        <f t="shared" si="17"/>
        <v>#REF!</v>
      </c>
      <c r="I156" s="62" t="e">
        <f>#REF!</f>
        <v>#REF!</v>
      </c>
      <c r="J156" s="61" t="e">
        <f>IF(I156&gt;0,Pricing!E156*$K$5,0)</f>
        <v>#REF!</v>
      </c>
      <c r="K156" s="63" t="e">
        <f t="shared" si="18"/>
        <v>#REF!</v>
      </c>
      <c r="L156" s="64" t="e">
        <f>#REF!</f>
        <v>#REF!</v>
      </c>
      <c r="M156" s="61" t="e">
        <f>IF(L156&lt;0,Pricing!E156*$N$5,0)</f>
        <v>#REF!</v>
      </c>
      <c r="N156" s="61" t="e">
        <f t="shared" si="19"/>
        <v>#REF!</v>
      </c>
      <c r="O156" s="60" t="e">
        <f>#REF!</f>
        <v>#REF!</v>
      </c>
      <c r="P156" s="61" t="e">
        <f>IF(O156&lt;0,Pricing!E156*$Q$5,0)</f>
        <v>#REF!</v>
      </c>
      <c r="Q156" s="61" t="e">
        <f t="shared" si="20"/>
        <v>#REF!</v>
      </c>
      <c r="R156" s="60" t="e">
        <f>#REF!</f>
        <v>#REF!</v>
      </c>
      <c r="S156" s="61" t="e">
        <f>IF(R156&lt;0,Pricing!E156*$T$5,0)</f>
        <v>#REF!</v>
      </c>
      <c r="T156" s="61" t="e">
        <f t="shared" si="21"/>
        <v>#REF!</v>
      </c>
    </row>
    <row r="157" spans="1:20" x14ac:dyDescent="0.25">
      <c r="A157" s="58">
        <f t="shared" si="22"/>
        <v>44537.249999999636</v>
      </c>
      <c r="B157" s="59">
        <f t="shared" si="23"/>
        <v>44537.2916666663</v>
      </c>
      <c r="C157" s="60" t="e">
        <f>#REF!</f>
        <v>#REF!</v>
      </c>
      <c r="D157" s="61" t="e">
        <f>IF(C157&gt;0,Pricing!E157*$E$5,0)</f>
        <v>#REF!</v>
      </c>
      <c r="E157" s="61" t="e">
        <f t="shared" si="16"/>
        <v>#REF!</v>
      </c>
      <c r="F157" s="60" t="e">
        <f>#REF!</f>
        <v>#REF!</v>
      </c>
      <c r="G157" s="61" t="e">
        <f>IF(F157&gt;0,Pricing!E157*$H$5,0)</f>
        <v>#REF!</v>
      </c>
      <c r="H157" s="61" t="e">
        <f t="shared" si="17"/>
        <v>#REF!</v>
      </c>
      <c r="I157" s="62" t="e">
        <f>#REF!</f>
        <v>#REF!</v>
      </c>
      <c r="J157" s="61" t="e">
        <f>IF(I157&gt;0,Pricing!E157*$K$5,0)</f>
        <v>#REF!</v>
      </c>
      <c r="K157" s="63" t="e">
        <f t="shared" si="18"/>
        <v>#REF!</v>
      </c>
      <c r="L157" s="64" t="e">
        <f>#REF!</f>
        <v>#REF!</v>
      </c>
      <c r="M157" s="61" t="e">
        <f>IF(L157&lt;0,Pricing!E157*$N$5,0)</f>
        <v>#REF!</v>
      </c>
      <c r="N157" s="61" t="e">
        <f t="shared" si="19"/>
        <v>#REF!</v>
      </c>
      <c r="O157" s="60" t="e">
        <f>#REF!</f>
        <v>#REF!</v>
      </c>
      <c r="P157" s="61" t="e">
        <f>IF(O157&lt;0,Pricing!E157*$Q$5,0)</f>
        <v>#REF!</v>
      </c>
      <c r="Q157" s="61" t="e">
        <f t="shared" si="20"/>
        <v>#REF!</v>
      </c>
      <c r="R157" s="60" t="e">
        <f>#REF!</f>
        <v>#REF!</v>
      </c>
      <c r="S157" s="61" t="e">
        <f>IF(R157&lt;0,Pricing!E157*$T$5,0)</f>
        <v>#REF!</v>
      </c>
      <c r="T157" s="61" t="e">
        <f t="shared" si="21"/>
        <v>#REF!</v>
      </c>
    </row>
    <row r="158" spans="1:20" x14ac:dyDescent="0.25">
      <c r="A158" s="58">
        <f t="shared" si="22"/>
        <v>44537.2916666663</v>
      </c>
      <c r="B158" s="59">
        <f t="shared" si="23"/>
        <v>44537.333333332965</v>
      </c>
      <c r="C158" s="60" t="e">
        <f>#REF!</f>
        <v>#REF!</v>
      </c>
      <c r="D158" s="61" t="e">
        <f>IF(C158&gt;0,Pricing!E158*$E$5,0)</f>
        <v>#REF!</v>
      </c>
      <c r="E158" s="61" t="e">
        <f t="shared" si="16"/>
        <v>#REF!</v>
      </c>
      <c r="F158" s="60" t="e">
        <f>#REF!</f>
        <v>#REF!</v>
      </c>
      <c r="G158" s="61" t="e">
        <f>IF(F158&gt;0,Pricing!E158*$H$5,0)</f>
        <v>#REF!</v>
      </c>
      <c r="H158" s="61" t="e">
        <f t="shared" si="17"/>
        <v>#REF!</v>
      </c>
      <c r="I158" s="62" t="e">
        <f>#REF!</f>
        <v>#REF!</v>
      </c>
      <c r="J158" s="61" t="e">
        <f>IF(I158&gt;0,Pricing!E158*$K$5,0)</f>
        <v>#REF!</v>
      </c>
      <c r="K158" s="63" t="e">
        <f t="shared" si="18"/>
        <v>#REF!</v>
      </c>
      <c r="L158" s="64" t="e">
        <f>#REF!</f>
        <v>#REF!</v>
      </c>
      <c r="M158" s="61" t="e">
        <f>IF(L158&lt;0,Pricing!E158*$N$5,0)</f>
        <v>#REF!</v>
      </c>
      <c r="N158" s="61" t="e">
        <f t="shared" si="19"/>
        <v>#REF!</v>
      </c>
      <c r="O158" s="60" t="e">
        <f>#REF!</f>
        <v>#REF!</v>
      </c>
      <c r="P158" s="61" t="e">
        <f>IF(O158&lt;0,Pricing!E158*$Q$5,0)</f>
        <v>#REF!</v>
      </c>
      <c r="Q158" s="61" t="e">
        <f t="shared" si="20"/>
        <v>#REF!</v>
      </c>
      <c r="R158" s="60" t="e">
        <f>#REF!</f>
        <v>#REF!</v>
      </c>
      <c r="S158" s="61" t="e">
        <f>IF(R158&lt;0,Pricing!E158*$T$5,0)</f>
        <v>#REF!</v>
      </c>
      <c r="T158" s="61" t="e">
        <f t="shared" si="21"/>
        <v>#REF!</v>
      </c>
    </row>
    <row r="159" spans="1:20" x14ac:dyDescent="0.25">
      <c r="A159" s="58">
        <f t="shared" si="22"/>
        <v>44537.333333332965</v>
      </c>
      <c r="B159" s="59">
        <f t="shared" si="23"/>
        <v>44537.374999999629</v>
      </c>
      <c r="C159" s="60" t="e">
        <f>#REF!</f>
        <v>#REF!</v>
      </c>
      <c r="D159" s="61" t="e">
        <f>IF(C159&gt;0,Pricing!E159*$E$5,0)</f>
        <v>#REF!</v>
      </c>
      <c r="E159" s="61" t="e">
        <f t="shared" si="16"/>
        <v>#REF!</v>
      </c>
      <c r="F159" s="60" t="e">
        <f>#REF!</f>
        <v>#REF!</v>
      </c>
      <c r="G159" s="61" t="e">
        <f>IF(F159&gt;0,Pricing!E159*$H$5,0)</f>
        <v>#REF!</v>
      </c>
      <c r="H159" s="61" t="e">
        <f t="shared" si="17"/>
        <v>#REF!</v>
      </c>
      <c r="I159" s="62" t="e">
        <f>#REF!</f>
        <v>#REF!</v>
      </c>
      <c r="J159" s="61" t="e">
        <f>IF(I159&gt;0,Pricing!E159*$K$5,0)</f>
        <v>#REF!</v>
      </c>
      <c r="K159" s="63" t="e">
        <f t="shared" si="18"/>
        <v>#REF!</v>
      </c>
      <c r="L159" s="64" t="e">
        <f>#REF!</f>
        <v>#REF!</v>
      </c>
      <c r="M159" s="61" t="e">
        <f>IF(L159&lt;0,Pricing!E159*$N$5,0)</f>
        <v>#REF!</v>
      </c>
      <c r="N159" s="61" t="e">
        <f t="shared" si="19"/>
        <v>#REF!</v>
      </c>
      <c r="O159" s="60" t="e">
        <f>#REF!</f>
        <v>#REF!</v>
      </c>
      <c r="P159" s="61" t="e">
        <f>IF(O159&lt;0,Pricing!E159*$Q$5,0)</f>
        <v>#REF!</v>
      </c>
      <c r="Q159" s="61" t="e">
        <f t="shared" si="20"/>
        <v>#REF!</v>
      </c>
      <c r="R159" s="60" t="e">
        <f>#REF!</f>
        <v>#REF!</v>
      </c>
      <c r="S159" s="61" t="e">
        <f>IF(R159&lt;0,Pricing!E159*$T$5,0)</f>
        <v>#REF!</v>
      </c>
      <c r="T159" s="61" t="e">
        <f t="shared" si="21"/>
        <v>#REF!</v>
      </c>
    </row>
    <row r="160" spans="1:20" x14ac:dyDescent="0.25">
      <c r="A160" s="58">
        <f t="shared" si="22"/>
        <v>44537.374999999629</v>
      </c>
      <c r="B160" s="59">
        <f t="shared" si="23"/>
        <v>44537.416666666293</v>
      </c>
      <c r="C160" s="60" t="e">
        <f>#REF!</f>
        <v>#REF!</v>
      </c>
      <c r="D160" s="61" t="e">
        <f>IF(C160&gt;0,Pricing!E160*$E$5,0)</f>
        <v>#REF!</v>
      </c>
      <c r="E160" s="61" t="e">
        <f t="shared" si="16"/>
        <v>#REF!</v>
      </c>
      <c r="F160" s="60" t="e">
        <f>#REF!</f>
        <v>#REF!</v>
      </c>
      <c r="G160" s="61" t="e">
        <f>IF(F160&gt;0,Pricing!E160*$H$5,0)</f>
        <v>#REF!</v>
      </c>
      <c r="H160" s="61" t="e">
        <f t="shared" si="17"/>
        <v>#REF!</v>
      </c>
      <c r="I160" s="62" t="e">
        <f>#REF!</f>
        <v>#REF!</v>
      </c>
      <c r="J160" s="61" t="e">
        <f>IF(I160&gt;0,Pricing!E160*$K$5,0)</f>
        <v>#REF!</v>
      </c>
      <c r="K160" s="63" t="e">
        <f t="shared" si="18"/>
        <v>#REF!</v>
      </c>
      <c r="L160" s="64" t="e">
        <f>#REF!</f>
        <v>#REF!</v>
      </c>
      <c r="M160" s="61" t="e">
        <f>IF(L160&lt;0,Pricing!E160*$N$5,0)</f>
        <v>#REF!</v>
      </c>
      <c r="N160" s="61" t="e">
        <f t="shared" si="19"/>
        <v>#REF!</v>
      </c>
      <c r="O160" s="60" t="e">
        <f>#REF!</f>
        <v>#REF!</v>
      </c>
      <c r="P160" s="61" t="e">
        <f>IF(O160&lt;0,Pricing!E160*$Q$5,0)</f>
        <v>#REF!</v>
      </c>
      <c r="Q160" s="61" t="e">
        <f t="shared" si="20"/>
        <v>#REF!</v>
      </c>
      <c r="R160" s="60" t="e">
        <f>#REF!</f>
        <v>#REF!</v>
      </c>
      <c r="S160" s="61" t="e">
        <f>IF(R160&lt;0,Pricing!E160*$T$5,0)</f>
        <v>#REF!</v>
      </c>
      <c r="T160" s="61" t="e">
        <f t="shared" si="21"/>
        <v>#REF!</v>
      </c>
    </row>
    <row r="161" spans="1:20" x14ac:dyDescent="0.25">
      <c r="A161" s="58">
        <f t="shared" si="22"/>
        <v>44537.416666666293</v>
      </c>
      <c r="B161" s="59">
        <f t="shared" si="23"/>
        <v>44537.458333332957</v>
      </c>
      <c r="C161" s="60" t="e">
        <f>#REF!</f>
        <v>#REF!</v>
      </c>
      <c r="D161" s="61" t="e">
        <f>IF(C161&gt;0,Pricing!E161*$E$5,0)</f>
        <v>#REF!</v>
      </c>
      <c r="E161" s="61" t="e">
        <f t="shared" si="16"/>
        <v>#REF!</v>
      </c>
      <c r="F161" s="60" t="e">
        <f>#REF!</f>
        <v>#REF!</v>
      </c>
      <c r="G161" s="61" t="e">
        <f>IF(F161&gt;0,Pricing!E161*$H$5,0)</f>
        <v>#REF!</v>
      </c>
      <c r="H161" s="61" t="e">
        <f t="shared" si="17"/>
        <v>#REF!</v>
      </c>
      <c r="I161" s="62" t="e">
        <f>#REF!</f>
        <v>#REF!</v>
      </c>
      <c r="J161" s="61" t="e">
        <f>IF(I161&gt;0,Pricing!E161*$K$5,0)</f>
        <v>#REF!</v>
      </c>
      <c r="K161" s="63" t="e">
        <f t="shared" si="18"/>
        <v>#REF!</v>
      </c>
      <c r="L161" s="64" t="e">
        <f>#REF!</f>
        <v>#REF!</v>
      </c>
      <c r="M161" s="61" t="e">
        <f>IF(L161&lt;0,Pricing!E161*$N$5,0)</f>
        <v>#REF!</v>
      </c>
      <c r="N161" s="61" t="e">
        <f t="shared" si="19"/>
        <v>#REF!</v>
      </c>
      <c r="O161" s="60" t="e">
        <f>#REF!</f>
        <v>#REF!</v>
      </c>
      <c r="P161" s="61" t="e">
        <f>IF(O161&lt;0,Pricing!E161*$Q$5,0)</f>
        <v>#REF!</v>
      </c>
      <c r="Q161" s="61" t="e">
        <f t="shared" si="20"/>
        <v>#REF!</v>
      </c>
      <c r="R161" s="60" t="e">
        <f>#REF!</f>
        <v>#REF!</v>
      </c>
      <c r="S161" s="61" t="e">
        <f>IF(R161&lt;0,Pricing!E161*$T$5,0)</f>
        <v>#REF!</v>
      </c>
      <c r="T161" s="61" t="e">
        <f t="shared" si="21"/>
        <v>#REF!</v>
      </c>
    </row>
    <row r="162" spans="1:20" x14ac:dyDescent="0.25">
      <c r="A162" s="58">
        <f t="shared" si="22"/>
        <v>44537.458333332957</v>
      </c>
      <c r="B162" s="59">
        <f t="shared" si="23"/>
        <v>44537.499999999622</v>
      </c>
      <c r="C162" s="60" t="e">
        <f>#REF!</f>
        <v>#REF!</v>
      </c>
      <c r="D162" s="61" t="e">
        <f>IF(C162&gt;0,Pricing!E162*$E$5,0)</f>
        <v>#REF!</v>
      </c>
      <c r="E162" s="61" t="e">
        <f t="shared" si="16"/>
        <v>#REF!</v>
      </c>
      <c r="F162" s="60" t="e">
        <f>#REF!</f>
        <v>#REF!</v>
      </c>
      <c r="G162" s="61" t="e">
        <f>IF(F162&gt;0,Pricing!E162*$H$5,0)</f>
        <v>#REF!</v>
      </c>
      <c r="H162" s="61" t="e">
        <f t="shared" si="17"/>
        <v>#REF!</v>
      </c>
      <c r="I162" s="62" t="e">
        <f>#REF!</f>
        <v>#REF!</v>
      </c>
      <c r="J162" s="61" t="e">
        <f>IF(I162&gt;0,Pricing!E162*$K$5,0)</f>
        <v>#REF!</v>
      </c>
      <c r="K162" s="63" t="e">
        <f t="shared" si="18"/>
        <v>#REF!</v>
      </c>
      <c r="L162" s="64" t="e">
        <f>#REF!</f>
        <v>#REF!</v>
      </c>
      <c r="M162" s="61" t="e">
        <f>IF(L162&lt;0,Pricing!E162*$N$5,0)</f>
        <v>#REF!</v>
      </c>
      <c r="N162" s="61" t="e">
        <f t="shared" si="19"/>
        <v>#REF!</v>
      </c>
      <c r="O162" s="60" t="e">
        <f>#REF!</f>
        <v>#REF!</v>
      </c>
      <c r="P162" s="61" t="e">
        <f>IF(O162&lt;0,Pricing!E162*$Q$5,0)</f>
        <v>#REF!</v>
      </c>
      <c r="Q162" s="61" t="e">
        <f t="shared" si="20"/>
        <v>#REF!</v>
      </c>
      <c r="R162" s="60" t="e">
        <f>#REF!</f>
        <v>#REF!</v>
      </c>
      <c r="S162" s="61" t="e">
        <f>IF(R162&lt;0,Pricing!E162*$T$5,0)</f>
        <v>#REF!</v>
      </c>
      <c r="T162" s="61" t="e">
        <f t="shared" si="21"/>
        <v>#REF!</v>
      </c>
    </row>
    <row r="163" spans="1:20" x14ac:dyDescent="0.25">
      <c r="A163" s="58">
        <f t="shared" si="22"/>
        <v>44537.499999999622</v>
      </c>
      <c r="B163" s="59">
        <f t="shared" si="23"/>
        <v>44537.541666666286</v>
      </c>
      <c r="C163" s="60" t="e">
        <f>#REF!</f>
        <v>#REF!</v>
      </c>
      <c r="D163" s="61" t="e">
        <f>IF(C163&gt;0,Pricing!E163*$E$5,0)</f>
        <v>#REF!</v>
      </c>
      <c r="E163" s="61" t="e">
        <f t="shared" si="16"/>
        <v>#REF!</v>
      </c>
      <c r="F163" s="60" t="e">
        <f>#REF!</f>
        <v>#REF!</v>
      </c>
      <c r="G163" s="61" t="e">
        <f>IF(F163&gt;0,Pricing!E163*$H$5,0)</f>
        <v>#REF!</v>
      </c>
      <c r="H163" s="61" t="e">
        <f t="shared" si="17"/>
        <v>#REF!</v>
      </c>
      <c r="I163" s="62" t="e">
        <f>#REF!</f>
        <v>#REF!</v>
      </c>
      <c r="J163" s="61" t="e">
        <f>IF(I163&gt;0,Pricing!E163*$K$5,0)</f>
        <v>#REF!</v>
      </c>
      <c r="K163" s="63" t="e">
        <f t="shared" si="18"/>
        <v>#REF!</v>
      </c>
      <c r="L163" s="64" t="e">
        <f>#REF!</f>
        <v>#REF!</v>
      </c>
      <c r="M163" s="61" t="e">
        <f>IF(L163&lt;0,Pricing!E163*$N$5,0)</f>
        <v>#REF!</v>
      </c>
      <c r="N163" s="61" t="e">
        <f t="shared" si="19"/>
        <v>#REF!</v>
      </c>
      <c r="O163" s="60" t="e">
        <f>#REF!</f>
        <v>#REF!</v>
      </c>
      <c r="P163" s="61" t="e">
        <f>IF(O163&lt;0,Pricing!E163*$Q$5,0)</f>
        <v>#REF!</v>
      </c>
      <c r="Q163" s="61" t="e">
        <f t="shared" si="20"/>
        <v>#REF!</v>
      </c>
      <c r="R163" s="60" t="e">
        <f>#REF!</f>
        <v>#REF!</v>
      </c>
      <c r="S163" s="61" t="e">
        <f>IF(R163&lt;0,Pricing!E163*$T$5,0)</f>
        <v>#REF!</v>
      </c>
      <c r="T163" s="61" t="e">
        <f t="shared" si="21"/>
        <v>#REF!</v>
      </c>
    </row>
    <row r="164" spans="1:20" x14ac:dyDescent="0.25">
      <c r="A164" s="58">
        <f t="shared" si="22"/>
        <v>44537.541666666286</v>
      </c>
      <c r="B164" s="59">
        <f t="shared" si="23"/>
        <v>44537.58333333295</v>
      </c>
      <c r="C164" s="60" t="e">
        <f>#REF!</f>
        <v>#REF!</v>
      </c>
      <c r="D164" s="61" t="e">
        <f>IF(C164&gt;0,Pricing!E164*$E$5,0)</f>
        <v>#REF!</v>
      </c>
      <c r="E164" s="61" t="e">
        <f t="shared" si="16"/>
        <v>#REF!</v>
      </c>
      <c r="F164" s="60" t="e">
        <f>#REF!</f>
        <v>#REF!</v>
      </c>
      <c r="G164" s="61" t="e">
        <f>IF(F164&gt;0,Pricing!E164*$H$5,0)</f>
        <v>#REF!</v>
      </c>
      <c r="H164" s="61" t="e">
        <f t="shared" si="17"/>
        <v>#REF!</v>
      </c>
      <c r="I164" s="62" t="e">
        <f>#REF!</f>
        <v>#REF!</v>
      </c>
      <c r="J164" s="61" t="e">
        <f>IF(I164&gt;0,Pricing!E164*$K$5,0)</f>
        <v>#REF!</v>
      </c>
      <c r="K164" s="63" t="e">
        <f t="shared" si="18"/>
        <v>#REF!</v>
      </c>
      <c r="L164" s="64" t="e">
        <f>#REF!</f>
        <v>#REF!</v>
      </c>
      <c r="M164" s="61" t="e">
        <f>IF(L164&lt;0,Pricing!E164*$N$5,0)</f>
        <v>#REF!</v>
      </c>
      <c r="N164" s="61" t="e">
        <f t="shared" si="19"/>
        <v>#REF!</v>
      </c>
      <c r="O164" s="60" t="e">
        <f>#REF!</f>
        <v>#REF!</v>
      </c>
      <c r="P164" s="61" t="e">
        <f>IF(O164&lt;0,Pricing!E164*$Q$5,0)</f>
        <v>#REF!</v>
      </c>
      <c r="Q164" s="61" t="e">
        <f t="shared" si="20"/>
        <v>#REF!</v>
      </c>
      <c r="R164" s="60" t="e">
        <f>#REF!</f>
        <v>#REF!</v>
      </c>
      <c r="S164" s="61" t="e">
        <f>IF(R164&lt;0,Pricing!E164*$T$5,0)</f>
        <v>#REF!</v>
      </c>
      <c r="T164" s="61" t="e">
        <f t="shared" si="21"/>
        <v>#REF!</v>
      </c>
    </row>
    <row r="165" spans="1:20" x14ac:dyDescent="0.25">
      <c r="A165" s="58">
        <f t="shared" si="22"/>
        <v>44537.58333333295</v>
      </c>
      <c r="B165" s="59">
        <f t="shared" si="23"/>
        <v>44537.624999999614</v>
      </c>
      <c r="C165" s="60" t="e">
        <f>#REF!</f>
        <v>#REF!</v>
      </c>
      <c r="D165" s="61" t="e">
        <f>IF(C165&gt;0,Pricing!E165*$E$5,0)</f>
        <v>#REF!</v>
      </c>
      <c r="E165" s="61" t="e">
        <f t="shared" si="16"/>
        <v>#REF!</v>
      </c>
      <c r="F165" s="60" t="e">
        <f>#REF!</f>
        <v>#REF!</v>
      </c>
      <c r="G165" s="61" t="e">
        <f>IF(F165&gt;0,Pricing!E165*$H$5,0)</f>
        <v>#REF!</v>
      </c>
      <c r="H165" s="61" t="e">
        <f t="shared" si="17"/>
        <v>#REF!</v>
      </c>
      <c r="I165" s="62" t="e">
        <f>#REF!</f>
        <v>#REF!</v>
      </c>
      <c r="J165" s="61" t="e">
        <f>IF(I165&gt;0,Pricing!E165*$K$5,0)</f>
        <v>#REF!</v>
      </c>
      <c r="K165" s="63" t="e">
        <f t="shared" si="18"/>
        <v>#REF!</v>
      </c>
      <c r="L165" s="64" t="e">
        <f>#REF!</f>
        <v>#REF!</v>
      </c>
      <c r="M165" s="61" t="e">
        <f>IF(L165&lt;0,Pricing!E165*$N$5,0)</f>
        <v>#REF!</v>
      </c>
      <c r="N165" s="61" t="e">
        <f t="shared" si="19"/>
        <v>#REF!</v>
      </c>
      <c r="O165" s="60" t="e">
        <f>#REF!</f>
        <v>#REF!</v>
      </c>
      <c r="P165" s="61" t="e">
        <f>IF(O165&lt;0,Pricing!E165*$Q$5,0)</f>
        <v>#REF!</v>
      </c>
      <c r="Q165" s="61" t="e">
        <f t="shared" si="20"/>
        <v>#REF!</v>
      </c>
      <c r="R165" s="60" t="e">
        <f>#REF!</f>
        <v>#REF!</v>
      </c>
      <c r="S165" s="61" t="e">
        <f>IF(R165&lt;0,Pricing!E165*$T$5,0)</f>
        <v>#REF!</v>
      </c>
      <c r="T165" s="61" t="e">
        <f t="shared" si="21"/>
        <v>#REF!</v>
      </c>
    </row>
    <row r="166" spans="1:20" x14ac:dyDescent="0.25">
      <c r="A166" s="58">
        <f t="shared" si="22"/>
        <v>44537.624999999614</v>
      </c>
      <c r="B166" s="59">
        <f t="shared" si="23"/>
        <v>44537.666666666279</v>
      </c>
      <c r="C166" s="60" t="e">
        <f>#REF!</f>
        <v>#REF!</v>
      </c>
      <c r="D166" s="61" t="e">
        <f>IF(C166&gt;0,Pricing!E166*$E$5,0)</f>
        <v>#REF!</v>
      </c>
      <c r="E166" s="61" t="e">
        <f t="shared" si="16"/>
        <v>#REF!</v>
      </c>
      <c r="F166" s="60" t="e">
        <f>#REF!</f>
        <v>#REF!</v>
      </c>
      <c r="G166" s="61" t="e">
        <f>IF(F166&gt;0,Pricing!E166*$H$5,0)</f>
        <v>#REF!</v>
      </c>
      <c r="H166" s="61" t="e">
        <f t="shared" si="17"/>
        <v>#REF!</v>
      </c>
      <c r="I166" s="62" t="e">
        <f>#REF!</f>
        <v>#REF!</v>
      </c>
      <c r="J166" s="61" t="e">
        <f>IF(I166&gt;0,Pricing!E166*$K$5,0)</f>
        <v>#REF!</v>
      </c>
      <c r="K166" s="63" t="e">
        <f t="shared" si="18"/>
        <v>#REF!</v>
      </c>
      <c r="L166" s="64" t="e">
        <f>#REF!</f>
        <v>#REF!</v>
      </c>
      <c r="M166" s="61" t="e">
        <f>IF(L166&lt;0,Pricing!E166*$N$5,0)</f>
        <v>#REF!</v>
      </c>
      <c r="N166" s="61" t="e">
        <f t="shared" si="19"/>
        <v>#REF!</v>
      </c>
      <c r="O166" s="60" t="e">
        <f>#REF!</f>
        <v>#REF!</v>
      </c>
      <c r="P166" s="61" t="e">
        <f>IF(O166&lt;0,Pricing!E166*$Q$5,0)</f>
        <v>#REF!</v>
      </c>
      <c r="Q166" s="61" t="e">
        <f t="shared" si="20"/>
        <v>#REF!</v>
      </c>
      <c r="R166" s="60" t="e">
        <f>#REF!</f>
        <v>#REF!</v>
      </c>
      <c r="S166" s="61" t="e">
        <f>IF(R166&lt;0,Pricing!E166*$T$5,0)</f>
        <v>#REF!</v>
      </c>
      <c r="T166" s="61" t="e">
        <f t="shared" si="21"/>
        <v>#REF!</v>
      </c>
    </row>
    <row r="167" spans="1:20" x14ac:dyDescent="0.25">
      <c r="A167" s="58">
        <f t="shared" si="22"/>
        <v>44537.666666666279</v>
      </c>
      <c r="B167" s="59">
        <f t="shared" si="23"/>
        <v>44537.708333332943</v>
      </c>
      <c r="C167" s="60" t="e">
        <f>#REF!</f>
        <v>#REF!</v>
      </c>
      <c r="D167" s="61" t="e">
        <f>IF(C167&gt;0,Pricing!E167*$E$5,0)</f>
        <v>#REF!</v>
      </c>
      <c r="E167" s="61" t="e">
        <f t="shared" si="16"/>
        <v>#REF!</v>
      </c>
      <c r="F167" s="60" t="e">
        <f>#REF!</f>
        <v>#REF!</v>
      </c>
      <c r="G167" s="61" t="e">
        <f>IF(F167&gt;0,Pricing!E167*$H$5,0)</f>
        <v>#REF!</v>
      </c>
      <c r="H167" s="61" t="e">
        <f t="shared" si="17"/>
        <v>#REF!</v>
      </c>
      <c r="I167" s="62" t="e">
        <f>#REF!</f>
        <v>#REF!</v>
      </c>
      <c r="J167" s="61" t="e">
        <f>IF(I167&gt;0,Pricing!E167*$K$5,0)</f>
        <v>#REF!</v>
      </c>
      <c r="K167" s="63" t="e">
        <f t="shared" si="18"/>
        <v>#REF!</v>
      </c>
      <c r="L167" s="64" t="e">
        <f>#REF!</f>
        <v>#REF!</v>
      </c>
      <c r="M167" s="61" t="e">
        <f>IF(L167&lt;0,Pricing!E167*$N$5,0)</f>
        <v>#REF!</v>
      </c>
      <c r="N167" s="61" t="e">
        <f t="shared" si="19"/>
        <v>#REF!</v>
      </c>
      <c r="O167" s="60" t="e">
        <f>#REF!</f>
        <v>#REF!</v>
      </c>
      <c r="P167" s="61" t="e">
        <f>IF(O167&lt;0,Pricing!E167*$Q$5,0)</f>
        <v>#REF!</v>
      </c>
      <c r="Q167" s="61" t="e">
        <f t="shared" si="20"/>
        <v>#REF!</v>
      </c>
      <c r="R167" s="60" t="e">
        <f>#REF!</f>
        <v>#REF!</v>
      </c>
      <c r="S167" s="61" t="e">
        <f>IF(R167&lt;0,Pricing!E167*$T$5,0)</f>
        <v>#REF!</v>
      </c>
      <c r="T167" s="61" t="e">
        <f t="shared" si="21"/>
        <v>#REF!</v>
      </c>
    </row>
    <row r="168" spans="1:20" x14ac:dyDescent="0.25">
      <c r="A168" s="58">
        <f t="shared" si="22"/>
        <v>44537.708333332943</v>
      </c>
      <c r="B168" s="59">
        <f t="shared" si="23"/>
        <v>44537.749999999607</v>
      </c>
      <c r="C168" s="60" t="e">
        <f>#REF!</f>
        <v>#REF!</v>
      </c>
      <c r="D168" s="61" t="e">
        <f>IF(C168&gt;0,Pricing!E168*$E$5,0)</f>
        <v>#REF!</v>
      </c>
      <c r="E168" s="61" t="e">
        <f t="shared" si="16"/>
        <v>#REF!</v>
      </c>
      <c r="F168" s="60" t="e">
        <f>#REF!</f>
        <v>#REF!</v>
      </c>
      <c r="G168" s="61" t="e">
        <f>IF(F168&gt;0,Pricing!E168*$H$5,0)</f>
        <v>#REF!</v>
      </c>
      <c r="H168" s="61" t="e">
        <f t="shared" si="17"/>
        <v>#REF!</v>
      </c>
      <c r="I168" s="62" t="e">
        <f>#REF!</f>
        <v>#REF!</v>
      </c>
      <c r="J168" s="61" t="e">
        <f>IF(I168&gt;0,Pricing!E168*$K$5,0)</f>
        <v>#REF!</v>
      </c>
      <c r="K168" s="63" t="e">
        <f t="shared" si="18"/>
        <v>#REF!</v>
      </c>
      <c r="L168" s="64" t="e">
        <f>#REF!</f>
        <v>#REF!</v>
      </c>
      <c r="M168" s="61" t="e">
        <f>IF(L168&lt;0,Pricing!E168*$N$5,0)</f>
        <v>#REF!</v>
      </c>
      <c r="N168" s="61" t="e">
        <f t="shared" si="19"/>
        <v>#REF!</v>
      </c>
      <c r="O168" s="60" t="e">
        <f>#REF!</f>
        <v>#REF!</v>
      </c>
      <c r="P168" s="61" t="e">
        <f>IF(O168&lt;0,Pricing!E168*$Q$5,0)</f>
        <v>#REF!</v>
      </c>
      <c r="Q168" s="61" t="e">
        <f t="shared" si="20"/>
        <v>#REF!</v>
      </c>
      <c r="R168" s="60" t="e">
        <f>#REF!</f>
        <v>#REF!</v>
      </c>
      <c r="S168" s="61" t="e">
        <f>IF(R168&lt;0,Pricing!E168*$T$5,0)</f>
        <v>#REF!</v>
      </c>
      <c r="T168" s="61" t="e">
        <f t="shared" si="21"/>
        <v>#REF!</v>
      </c>
    </row>
    <row r="169" spans="1:20" x14ac:dyDescent="0.25">
      <c r="A169" s="58">
        <f t="shared" si="22"/>
        <v>44537.749999999607</v>
      </c>
      <c r="B169" s="59">
        <f t="shared" si="23"/>
        <v>44537.791666666271</v>
      </c>
      <c r="C169" s="60" t="e">
        <f>#REF!</f>
        <v>#REF!</v>
      </c>
      <c r="D169" s="61" t="e">
        <f>IF(C169&gt;0,Pricing!E169*$E$5,0)</f>
        <v>#REF!</v>
      </c>
      <c r="E169" s="61" t="e">
        <f t="shared" si="16"/>
        <v>#REF!</v>
      </c>
      <c r="F169" s="60" t="e">
        <f>#REF!</f>
        <v>#REF!</v>
      </c>
      <c r="G169" s="61" t="e">
        <f>IF(F169&gt;0,Pricing!E169*$H$5,0)</f>
        <v>#REF!</v>
      </c>
      <c r="H169" s="61" t="e">
        <f t="shared" si="17"/>
        <v>#REF!</v>
      </c>
      <c r="I169" s="62" t="e">
        <f>#REF!</f>
        <v>#REF!</v>
      </c>
      <c r="J169" s="61" t="e">
        <f>IF(I169&gt;0,Pricing!E169*$K$5,0)</f>
        <v>#REF!</v>
      </c>
      <c r="K169" s="63" t="e">
        <f t="shared" si="18"/>
        <v>#REF!</v>
      </c>
      <c r="L169" s="64" t="e">
        <f>#REF!</f>
        <v>#REF!</v>
      </c>
      <c r="M169" s="61" t="e">
        <f>IF(L169&lt;0,Pricing!E169*$N$5,0)</f>
        <v>#REF!</v>
      </c>
      <c r="N169" s="61" t="e">
        <f t="shared" si="19"/>
        <v>#REF!</v>
      </c>
      <c r="O169" s="60" t="e">
        <f>#REF!</f>
        <v>#REF!</v>
      </c>
      <c r="P169" s="61" t="e">
        <f>IF(O169&lt;0,Pricing!E169*$Q$5,0)</f>
        <v>#REF!</v>
      </c>
      <c r="Q169" s="61" t="e">
        <f t="shared" si="20"/>
        <v>#REF!</v>
      </c>
      <c r="R169" s="60" t="e">
        <f>#REF!</f>
        <v>#REF!</v>
      </c>
      <c r="S169" s="61" t="e">
        <f>IF(R169&lt;0,Pricing!E169*$T$5,0)</f>
        <v>#REF!</v>
      </c>
      <c r="T169" s="61" t="e">
        <f t="shared" si="21"/>
        <v>#REF!</v>
      </c>
    </row>
    <row r="170" spans="1:20" x14ac:dyDescent="0.25">
      <c r="A170" s="58">
        <f t="shared" si="22"/>
        <v>44537.791666666271</v>
      </c>
      <c r="B170" s="59">
        <f t="shared" si="23"/>
        <v>44537.833333332936</v>
      </c>
      <c r="C170" s="60" t="e">
        <f>#REF!</f>
        <v>#REF!</v>
      </c>
      <c r="D170" s="61" t="e">
        <f>IF(C170&gt;0,Pricing!E170*$E$5,0)</f>
        <v>#REF!</v>
      </c>
      <c r="E170" s="61" t="e">
        <f t="shared" si="16"/>
        <v>#REF!</v>
      </c>
      <c r="F170" s="60" t="e">
        <f>#REF!</f>
        <v>#REF!</v>
      </c>
      <c r="G170" s="61" t="e">
        <f>IF(F170&gt;0,Pricing!E170*$H$5,0)</f>
        <v>#REF!</v>
      </c>
      <c r="H170" s="61" t="e">
        <f t="shared" si="17"/>
        <v>#REF!</v>
      </c>
      <c r="I170" s="62" t="e">
        <f>#REF!</f>
        <v>#REF!</v>
      </c>
      <c r="J170" s="61" t="e">
        <f>IF(I170&gt;0,Pricing!E170*$K$5,0)</f>
        <v>#REF!</v>
      </c>
      <c r="K170" s="63" t="e">
        <f t="shared" si="18"/>
        <v>#REF!</v>
      </c>
      <c r="L170" s="64" t="e">
        <f>#REF!</f>
        <v>#REF!</v>
      </c>
      <c r="M170" s="61" t="e">
        <f>IF(L170&lt;0,Pricing!E170*$N$5,0)</f>
        <v>#REF!</v>
      </c>
      <c r="N170" s="61" t="e">
        <f t="shared" si="19"/>
        <v>#REF!</v>
      </c>
      <c r="O170" s="60" t="e">
        <f>#REF!</f>
        <v>#REF!</v>
      </c>
      <c r="P170" s="61" t="e">
        <f>IF(O170&lt;0,Pricing!E170*$Q$5,0)</f>
        <v>#REF!</v>
      </c>
      <c r="Q170" s="61" t="e">
        <f t="shared" si="20"/>
        <v>#REF!</v>
      </c>
      <c r="R170" s="60" t="e">
        <f>#REF!</f>
        <v>#REF!</v>
      </c>
      <c r="S170" s="61" t="e">
        <f>IF(R170&lt;0,Pricing!E170*$T$5,0)</f>
        <v>#REF!</v>
      </c>
      <c r="T170" s="61" t="e">
        <f t="shared" si="21"/>
        <v>#REF!</v>
      </c>
    </row>
    <row r="171" spans="1:20" x14ac:dyDescent="0.25">
      <c r="A171" s="58">
        <f t="shared" si="22"/>
        <v>44537.833333332936</v>
      </c>
      <c r="B171" s="59">
        <f t="shared" si="23"/>
        <v>44537.8749999996</v>
      </c>
      <c r="C171" s="60" t="e">
        <f>#REF!</f>
        <v>#REF!</v>
      </c>
      <c r="D171" s="61" t="e">
        <f>IF(C171&gt;0,Pricing!E171*$E$5,0)</f>
        <v>#REF!</v>
      </c>
      <c r="E171" s="61" t="e">
        <f t="shared" si="16"/>
        <v>#REF!</v>
      </c>
      <c r="F171" s="60" t="e">
        <f>#REF!</f>
        <v>#REF!</v>
      </c>
      <c r="G171" s="61" t="e">
        <f>IF(F171&gt;0,Pricing!E171*$H$5,0)</f>
        <v>#REF!</v>
      </c>
      <c r="H171" s="61" t="e">
        <f t="shared" si="17"/>
        <v>#REF!</v>
      </c>
      <c r="I171" s="62" t="e">
        <f>#REF!</f>
        <v>#REF!</v>
      </c>
      <c r="J171" s="61" t="e">
        <f>IF(I171&gt;0,Pricing!E171*$K$5,0)</f>
        <v>#REF!</v>
      </c>
      <c r="K171" s="63" t="e">
        <f t="shared" si="18"/>
        <v>#REF!</v>
      </c>
      <c r="L171" s="64" t="e">
        <f>#REF!</f>
        <v>#REF!</v>
      </c>
      <c r="M171" s="61" t="e">
        <f>IF(L171&lt;0,Pricing!E171*$N$5,0)</f>
        <v>#REF!</v>
      </c>
      <c r="N171" s="61" t="e">
        <f t="shared" si="19"/>
        <v>#REF!</v>
      </c>
      <c r="O171" s="60" t="e">
        <f>#REF!</f>
        <v>#REF!</v>
      </c>
      <c r="P171" s="61" t="e">
        <f>IF(O171&lt;0,Pricing!E171*$Q$5,0)</f>
        <v>#REF!</v>
      </c>
      <c r="Q171" s="61" t="e">
        <f t="shared" si="20"/>
        <v>#REF!</v>
      </c>
      <c r="R171" s="60" t="e">
        <f>#REF!</f>
        <v>#REF!</v>
      </c>
      <c r="S171" s="61" t="e">
        <f>IF(R171&lt;0,Pricing!E171*$T$5,0)</f>
        <v>#REF!</v>
      </c>
      <c r="T171" s="61" t="e">
        <f t="shared" si="21"/>
        <v>#REF!</v>
      </c>
    </row>
    <row r="172" spans="1:20" x14ac:dyDescent="0.25">
      <c r="A172" s="58">
        <f t="shared" si="22"/>
        <v>44537.8749999996</v>
      </c>
      <c r="B172" s="59">
        <f t="shared" si="23"/>
        <v>44537.916666666264</v>
      </c>
      <c r="C172" s="60" t="e">
        <f>#REF!</f>
        <v>#REF!</v>
      </c>
      <c r="D172" s="61" t="e">
        <f>IF(C172&gt;0,Pricing!E172*$E$5,0)</f>
        <v>#REF!</v>
      </c>
      <c r="E172" s="61" t="e">
        <f t="shared" si="16"/>
        <v>#REF!</v>
      </c>
      <c r="F172" s="60" t="e">
        <f>#REF!</f>
        <v>#REF!</v>
      </c>
      <c r="G172" s="61" t="e">
        <f>IF(F172&gt;0,Pricing!E172*$H$5,0)</f>
        <v>#REF!</v>
      </c>
      <c r="H172" s="61" t="e">
        <f t="shared" si="17"/>
        <v>#REF!</v>
      </c>
      <c r="I172" s="62" t="e">
        <f>#REF!</f>
        <v>#REF!</v>
      </c>
      <c r="J172" s="61" t="e">
        <f>IF(I172&gt;0,Pricing!E172*$K$5,0)</f>
        <v>#REF!</v>
      </c>
      <c r="K172" s="63" t="e">
        <f t="shared" si="18"/>
        <v>#REF!</v>
      </c>
      <c r="L172" s="64" t="e">
        <f>#REF!</f>
        <v>#REF!</v>
      </c>
      <c r="M172" s="61" t="e">
        <f>IF(L172&lt;0,Pricing!E172*$N$5,0)</f>
        <v>#REF!</v>
      </c>
      <c r="N172" s="61" t="e">
        <f t="shared" si="19"/>
        <v>#REF!</v>
      </c>
      <c r="O172" s="60" t="e">
        <f>#REF!</f>
        <v>#REF!</v>
      </c>
      <c r="P172" s="61" t="e">
        <f>IF(O172&lt;0,Pricing!E172*$Q$5,0)</f>
        <v>#REF!</v>
      </c>
      <c r="Q172" s="61" t="e">
        <f t="shared" si="20"/>
        <v>#REF!</v>
      </c>
      <c r="R172" s="60" t="e">
        <f>#REF!</f>
        <v>#REF!</v>
      </c>
      <c r="S172" s="61" t="e">
        <f>IF(R172&lt;0,Pricing!E172*$T$5,0)</f>
        <v>#REF!</v>
      </c>
      <c r="T172" s="61" t="e">
        <f t="shared" si="21"/>
        <v>#REF!</v>
      </c>
    </row>
    <row r="173" spans="1:20" x14ac:dyDescent="0.25">
      <c r="A173" s="58">
        <f t="shared" si="22"/>
        <v>44537.916666666264</v>
      </c>
      <c r="B173" s="59">
        <f t="shared" si="23"/>
        <v>44537.958333332928</v>
      </c>
      <c r="C173" s="60" t="e">
        <f>#REF!</f>
        <v>#REF!</v>
      </c>
      <c r="D173" s="61" t="e">
        <f>IF(C173&gt;0,Pricing!E173*$E$5,0)</f>
        <v>#REF!</v>
      </c>
      <c r="E173" s="61" t="e">
        <f t="shared" si="16"/>
        <v>#REF!</v>
      </c>
      <c r="F173" s="60" t="e">
        <f>#REF!</f>
        <v>#REF!</v>
      </c>
      <c r="G173" s="61" t="e">
        <f>IF(F173&gt;0,Pricing!E173*$H$5,0)</f>
        <v>#REF!</v>
      </c>
      <c r="H173" s="61" t="e">
        <f t="shared" si="17"/>
        <v>#REF!</v>
      </c>
      <c r="I173" s="62" t="e">
        <f>#REF!</f>
        <v>#REF!</v>
      </c>
      <c r="J173" s="61" t="e">
        <f>IF(I173&gt;0,Pricing!E173*$K$5,0)</f>
        <v>#REF!</v>
      </c>
      <c r="K173" s="63" t="e">
        <f t="shared" si="18"/>
        <v>#REF!</v>
      </c>
      <c r="L173" s="64" t="e">
        <f>#REF!</f>
        <v>#REF!</v>
      </c>
      <c r="M173" s="61" t="e">
        <f>IF(L173&lt;0,Pricing!E173*$N$5,0)</f>
        <v>#REF!</v>
      </c>
      <c r="N173" s="61" t="e">
        <f t="shared" si="19"/>
        <v>#REF!</v>
      </c>
      <c r="O173" s="60" t="e">
        <f>#REF!</f>
        <v>#REF!</v>
      </c>
      <c r="P173" s="61" t="e">
        <f>IF(O173&lt;0,Pricing!E173*$Q$5,0)</f>
        <v>#REF!</v>
      </c>
      <c r="Q173" s="61" t="e">
        <f t="shared" si="20"/>
        <v>#REF!</v>
      </c>
      <c r="R173" s="60" t="e">
        <f>#REF!</f>
        <v>#REF!</v>
      </c>
      <c r="S173" s="61" t="e">
        <f>IF(R173&lt;0,Pricing!E173*$T$5,0)</f>
        <v>#REF!</v>
      </c>
      <c r="T173" s="61" t="e">
        <f t="shared" si="21"/>
        <v>#REF!</v>
      </c>
    </row>
    <row r="174" spans="1:20" x14ac:dyDescent="0.25">
      <c r="A174" s="58">
        <f t="shared" si="22"/>
        <v>44537.958333332928</v>
      </c>
      <c r="B174" s="59">
        <f t="shared" si="23"/>
        <v>44537.999999999593</v>
      </c>
      <c r="C174" s="60" t="e">
        <f>#REF!</f>
        <v>#REF!</v>
      </c>
      <c r="D174" s="61" t="e">
        <f>IF(C174&gt;0,Pricing!E174*$E$5,0)</f>
        <v>#REF!</v>
      </c>
      <c r="E174" s="61" t="e">
        <f t="shared" si="16"/>
        <v>#REF!</v>
      </c>
      <c r="F174" s="60" t="e">
        <f>#REF!</f>
        <v>#REF!</v>
      </c>
      <c r="G174" s="61" t="e">
        <f>IF(F174&gt;0,Pricing!E174*$H$5,0)</f>
        <v>#REF!</v>
      </c>
      <c r="H174" s="61" t="e">
        <f t="shared" si="17"/>
        <v>#REF!</v>
      </c>
      <c r="I174" s="62" t="e">
        <f>#REF!</f>
        <v>#REF!</v>
      </c>
      <c r="J174" s="61" t="e">
        <f>IF(I174&gt;0,Pricing!E174*$K$5,0)</f>
        <v>#REF!</v>
      </c>
      <c r="K174" s="63" t="e">
        <f t="shared" si="18"/>
        <v>#REF!</v>
      </c>
      <c r="L174" s="64" t="e">
        <f>#REF!</f>
        <v>#REF!</v>
      </c>
      <c r="M174" s="61" t="e">
        <f>IF(L174&lt;0,Pricing!E174*$N$5,0)</f>
        <v>#REF!</v>
      </c>
      <c r="N174" s="61" t="e">
        <f t="shared" si="19"/>
        <v>#REF!</v>
      </c>
      <c r="O174" s="60" t="e">
        <f>#REF!</f>
        <v>#REF!</v>
      </c>
      <c r="P174" s="61" t="e">
        <f>IF(O174&lt;0,Pricing!E174*$Q$5,0)</f>
        <v>#REF!</v>
      </c>
      <c r="Q174" s="61" t="e">
        <f t="shared" si="20"/>
        <v>#REF!</v>
      </c>
      <c r="R174" s="60" t="e">
        <f>#REF!</f>
        <v>#REF!</v>
      </c>
      <c r="S174" s="61" t="e">
        <f>IF(R174&lt;0,Pricing!E174*$T$5,0)</f>
        <v>#REF!</v>
      </c>
      <c r="T174" s="61" t="e">
        <f t="shared" si="21"/>
        <v>#REF!</v>
      </c>
    </row>
    <row r="175" spans="1:20" x14ac:dyDescent="0.25">
      <c r="A175" s="58">
        <f t="shared" si="22"/>
        <v>44537.999999999593</v>
      </c>
      <c r="B175" s="59">
        <f t="shared" si="23"/>
        <v>44538.041666666257</v>
      </c>
      <c r="C175" s="60" t="e">
        <f>#REF!</f>
        <v>#REF!</v>
      </c>
      <c r="D175" s="61" t="e">
        <f>IF(C175&gt;0,Pricing!E175*$E$5,0)</f>
        <v>#REF!</v>
      </c>
      <c r="E175" s="61" t="e">
        <f t="shared" si="16"/>
        <v>#REF!</v>
      </c>
      <c r="F175" s="60" t="e">
        <f>#REF!</f>
        <v>#REF!</v>
      </c>
      <c r="G175" s="61" t="e">
        <f>IF(F175&gt;0,Pricing!E175*$H$5,0)</f>
        <v>#REF!</v>
      </c>
      <c r="H175" s="61" t="e">
        <f t="shared" si="17"/>
        <v>#REF!</v>
      </c>
      <c r="I175" s="62" t="e">
        <f>#REF!</f>
        <v>#REF!</v>
      </c>
      <c r="J175" s="61" t="e">
        <f>IF(I175&gt;0,Pricing!E175*$K$5,0)</f>
        <v>#REF!</v>
      </c>
      <c r="K175" s="63" t="e">
        <f t="shared" si="18"/>
        <v>#REF!</v>
      </c>
      <c r="L175" s="64" t="e">
        <f>#REF!</f>
        <v>#REF!</v>
      </c>
      <c r="M175" s="61" t="e">
        <f>IF(L175&lt;0,Pricing!E175*$N$5,0)</f>
        <v>#REF!</v>
      </c>
      <c r="N175" s="61" t="e">
        <f t="shared" si="19"/>
        <v>#REF!</v>
      </c>
      <c r="O175" s="60" t="e">
        <f>#REF!</f>
        <v>#REF!</v>
      </c>
      <c r="P175" s="61" t="e">
        <f>IF(O175&lt;0,Pricing!E175*$Q$5,0)</f>
        <v>#REF!</v>
      </c>
      <c r="Q175" s="61" t="e">
        <f t="shared" si="20"/>
        <v>#REF!</v>
      </c>
      <c r="R175" s="60" t="e">
        <f>#REF!</f>
        <v>#REF!</v>
      </c>
      <c r="S175" s="61" t="e">
        <f>IF(R175&lt;0,Pricing!E175*$T$5,0)</f>
        <v>#REF!</v>
      </c>
      <c r="T175" s="61" t="e">
        <f t="shared" si="21"/>
        <v>#REF!</v>
      </c>
    </row>
    <row r="176" spans="1:20" x14ac:dyDescent="0.25">
      <c r="A176" s="58">
        <f t="shared" si="22"/>
        <v>44538.041666666257</v>
      </c>
      <c r="B176" s="59">
        <f t="shared" si="23"/>
        <v>44538.083333332921</v>
      </c>
      <c r="C176" s="60" t="e">
        <f>#REF!</f>
        <v>#REF!</v>
      </c>
      <c r="D176" s="61" t="e">
        <f>IF(C176&gt;0,Pricing!E176*$E$5,0)</f>
        <v>#REF!</v>
      </c>
      <c r="E176" s="61" t="e">
        <f t="shared" si="16"/>
        <v>#REF!</v>
      </c>
      <c r="F176" s="60" t="e">
        <f>#REF!</f>
        <v>#REF!</v>
      </c>
      <c r="G176" s="61" t="e">
        <f>IF(F176&gt;0,Pricing!E176*$H$5,0)</f>
        <v>#REF!</v>
      </c>
      <c r="H176" s="61" t="e">
        <f t="shared" si="17"/>
        <v>#REF!</v>
      </c>
      <c r="I176" s="62" t="e">
        <f>#REF!</f>
        <v>#REF!</v>
      </c>
      <c r="J176" s="61" t="e">
        <f>IF(I176&gt;0,Pricing!E176*$K$5,0)</f>
        <v>#REF!</v>
      </c>
      <c r="K176" s="63" t="e">
        <f t="shared" si="18"/>
        <v>#REF!</v>
      </c>
      <c r="L176" s="64" t="e">
        <f>#REF!</f>
        <v>#REF!</v>
      </c>
      <c r="M176" s="61" t="e">
        <f>IF(L176&lt;0,Pricing!E176*$N$5,0)</f>
        <v>#REF!</v>
      </c>
      <c r="N176" s="61" t="e">
        <f t="shared" si="19"/>
        <v>#REF!</v>
      </c>
      <c r="O176" s="60" t="e">
        <f>#REF!</f>
        <v>#REF!</v>
      </c>
      <c r="P176" s="61" t="e">
        <f>IF(O176&lt;0,Pricing!E176*$Q$5,0)</f>
        <v>#REF!</v>
      </c>
      <c r="Q176" s="61" t="e">
        <f t="shared" si="20"/>
        <v>#REF!</v>
      </c>
      <c r="R176" s="60" t="e">
        <f>#REF!</f>
        <v>#REF!</v>
      </c>
      <c r="S176" s="61" t="e">
        <f>IF(R176&lt;0,Pricing!E176*$T$5,0)</f>
        <v>#REF!</v>
      </c>
      <c r="T176" s="61" t="e">
        <f t="shared" si="21"/>
        <v>#REF!</v>
      </c>
    </row>
    <row r="177" spans="1:20" x14ac:dyDescent="0.25">
      <c r="A177" s="58">
        <f t="shared" si="22"/>
        <v>44538.083333332921</v>
      </c>
      <c r="B177" s="59">
        <f t="shared" si="23"/>
        <v>44538.124999999585</v>
      </c>
      <c r="C177" s="60" t="e">
        <f>#REF!</f>
        <v>#REF!</v>
      </c>
      <c r="D177" s="61" t="e">
        <f>IF(C177&gt;0,Pricing!E177*$E$5,0)</f>
        <v>#REF!</v>
      </c>
      <c r="E177" s="61" t="e">
        <f t="shared" si="16"/>
        <v>#REF!</v>
      </c>
      <c r="F177" s="60" t="e">
        <f>#REF!</f>
        <v>#REF!</v>
      </c>
      <c r="G177" s="61" t="e">
        <f>IF(F177&gt;0,Pricing!E177*$H$5,0)</f>
        <v>#REF!</v>
      </c>
      <c r="H177" s="61" t="e">
        <f t="shared" si="17"/>
        <v>#REF!</v>
      </c>
      <c r="I177" s="62" t="e">
        <f>#REF!</f>
        <v>#REF!</v>
      </c>
      <c r="J177" s="61" t="e">
        <f>IF(I177&gt;0,Pricing!E177*$K$5,0)</f>
        <v>#REF!</v>
      </c>
      <c r="K177" s="63" t="e">
        <f t="shared" si="18"/>
        <v>#REF!</v>
      </c>
      <c r="L177" s="64" t="e">
        <f>#REF!</f>
        <v>#REF!</v>
      </c>
      <c r="M177" s="61" t="e">
        <f>IF(L177&lt;0,Pricing!E177*$N$5,0)</f>
        <v>#REF!</v>
      </c>
      <c r="N177" s="61" t="e">
        <f t="shared" si="19"/>
        <v>#REF!</v>
      </c>
      <c r="O177" s="60" t="e">
        <f>#REF!</f>
        <v>#REF!</v>
      </c>
      <c r="P177" s="61" t="e">
        <f>IF(O177&lt;0,Pricing!E177*$Q$5,0)</f>
        <v>#REF!</v>
      </c>
      <c r="Q177" s="61" t="e">
        <f t="shared" si="20"/>
        <v>#REF!</v>
      </c>
      <c r="R177" s="60" t="e">
        <f>#REF!</f>
        <v>#REF!</v>
      </c>
      <c r="S177" s="61" t="e">
        <f>IF(R177&lt;0,Pricing!E177*$T$5,0)</f>
        <v>#REF!</v>
      </c>
      <c r="T177" s="61" t="e">
        <f t="shared" si="21"/>
        <v>#REF!</v>
      </c>
    </row>
    <row r="178" spans="1:20" x14ac:dyDescent="0.25">
      <c r="A178" s="58">
        <f t="shared" si="22"/>
        <v>44538.124999999585</v>
      </c>
      <c r="B178" s="59">
        <f t="shared" si="23"/>
        <v>44538.16666666625</v>
      </c>
      <c r="C178" s="60" t="e">
        <f>#REF!</f>
        <v>#REF!</v>
      </c>
      <c r="D178" s="61" t="e">
        <f>IF(C178&gt;0,Pricing!E178*$E$5,0)</f>
        <v>#REF!</v>
      </c>
      <c r="E178" s="61" t="e">
        <f t="shared" si="16"/>
        <v>#REF!</v>
      </c>
      <c r="F178" s="60" t="e">
        <f>#REF!</f>
        <v>#REF!</v>
      </c>
      <c r="G178" s="61" t="e">
        <f>IF(F178&gt;0,Pricing!E178*$H$5,0)</f>
        <v>#REF!</v>
      </c>
      <c r="H178" s="61" t="e">
        <f t="shared" si="17"/>
        <v>#REF!</v>
      </c>
      <c r="I178" s="62" t="e">
        <f>#REF!</f>
        <v>#REF!</v>
      </c>
      <c r="J178" s="61" t="e">
        <f>IF(I178&gt;0,Pricing!E178*$K$5,0)</f>
        <v>#REF!</v>
      </c>
      <c r="K178" s="63" t="e">
        <f t="shared" si="18"/>
        <v>#REF!</v>
      </c>
      <c r="L178" s="64" t="e">
        <f>#REF!</f>
        <v>#REF!</v>
      </c>
      <c r="M178" s="61" t="e">
        <f>IF(L178&lt;0,Pricing!E178*$N$5,0)</f>
        <v>#REF!</v>
      </c>
      <c r="N178" s="61" t="e">
        <f t="shared" si="19"/>
        <v>#REF!</v>
      </c>
      <c r="O178" s="60" t="e">
        <f>#REF!</f>
        <v>#REF!</v>
      </c>
      <c r="P178" s="61" t="e">
        <f>IF(O178&lt;0,Pricing!E178*$Q$5,0)</f>
        <v>#REF!</v>
      </c>
      <c r="Q178" s="61" t="e">
        <f t="shared" si="20"/>
        <v>#REF!</v>
      </c>
      <c r="R178" s="60" t="e">
        <f>#REF!</f>
        <v>#REF!</v>
      </c>
      <c r="S178" s="61" t="e">
        <f>IF(R178&lt;0,Pricing!E178*$T$5,0)</f>
        <v>#REF!</v>
      </c>
      <c r="T178" s="61" t="e">
        <f t="shared" si="21"/>
        <v>#REF!</v>
      </c>
    </row>
    <row r="179" spans="1:20" x14ac:dyDescent="0.25">
      <c r="A179" s="58">
        <f t="shared" si="22"/>
        <v>44538.16666666625</v>
      </c>
      <c r="B179" s="59">
        <f t="shared" si="23"/>
        <v>44538.208333332914</v>
      </c>
      <c r="C179" s="60" t="e">
        <f>#REF!</f>
        <v>#REF!</v>
      </c>
      <c r="D179" s="61" t="e">
        <f>IF(C179&gt;0,Pricing!E179*$E$5,0)</f>
        <v>#REF!</v>
      </c>
      <c r="E179" s="61" t="e">
        <f t="shared" si="16"/>
        <v>#REF!</v>
      </c>
      <c r="F179" s="60" t="e">
        <f>#REF!</f>
        <v>#REF!</v>
      </c>
      <c r="G179" s="61" t="e">
        <f>IF(F179&gt;0,Pricing!E179*$H$5,0)</f>
        <v>#REF!</v>
      </c>
      <c r="H179" s="61" t="e">
        <f t="shared" si="17"/>
        <v>#REF!</v>
      </c>
      <c r="I179" s="62" t="e">
        <f>#REF!</f>
        <v>#REF!</v>
      </c>
      <c r="J179" s="61" t="e">
        <f>IF(I179&gt;0,Pricing!E179*$K$5,0)</f>
        <v>#REF!</v>
      </c>
      <c r="K179" s="63" t="e">
        <f t="shared" si="18"/>
        <v>#REF!</v>
      </c>
      <c r="L179" s="64" t="e">
        <f>#REF!</f>
        <v>#REF!</v>
      </c>
      <c r="M179" s="61" t="e">
        <f>IF(L179&lt;0,Pricing!E179*$N$5,0)</f>
        <v>#REF!</v>
      </c>
      <c r="N179" s="61" t="e">
        <f t="shared" si="19"/>
        <v>#REF!</v>
      </c>
      <c r="O179" s="60" t="e">
        <f>#REF!</f>
        <v>#REF!</v>
      </c>
      <c r="P179" s="61" t="e">
        <f>IF(O179&lt;0,Pricing!E179*$Q$5,0)</f>
        <v>#REF!</v>
      </c>
      <c r="Q179" s="61" t="e">
        <f t="shared" si="20"/>
        <v>#REF!</v>
      </c>
      <c r="R179" s="60" t="e">
        <f>#REF!</f>
        <v>#REF!</v>
      </c>
      <c r="S179" s="61" t="e">
        <f>IF(R179&lt;0,Pricing!E179*$T$5,0)</f>
        <v>#REF!</v>
      </c>
      <c r="T179" s="61" t="e">
        <f t="shared" si="21"/>
        <v>#REF!</v>
      </c>
    </row>
    <row r="180" spans="1:20" x14ac:dyDescent="0.25">
      <c r="A180" s="58">
        <f t="shared" si="22"/>
        <v>44538.208333332914</v>
      </c>
      <c r="B180" s="59">
        <f t="shared" si="23"/>
        <v>44538.249999999578</v>
      </c>
      <c r="C180" s="60" t="e">
        <f>#REF!</f>
        <v>#REF!</v>
      </c>
      <c r="D180" s="61" t="e">
        <f>IF(C180&gt;0,Pricing!E180*$E$5,0)</f>
        <v>#REF!</v>
      </c>
      <c r="E180" s="61" t="e">
        <f t="shared" si="16"/>
        <v>#REF!</v>
      </c>
      <c r="F180" s="60" t="e">
        <f>#REF!</f>
        <v>#REF!</v>
      </c>
      <c r="G180" s="61" t="e">
        <f>IF(F180&gt;0,Pricing!E180*$H$5,0)</f>
        <v>#REF!</v>
      </c>
      <c r="H180" s="61" t="e">
        <f t="shared" si="17"/>
        <v>#REF!</v>
      </c>
      <c r="I180" s="62" t="e">
        <f>#REF!</f>
        <v>#REF!</v>
      </c>
      <c r="J180" s="61" t="e">
        <f>IF(I180&gt;0,Pricing!E180*$K$5,0)</f>
        <v>#REF!</v>
      </c>
      <c r="K180" s="63" t="e">
        <f t="shared" si="18"/>
        <v>#REF!</v>
      </c>
      <c r="L180" s="64" t="e">
        <f>#REF!</f>
        <v>#REF!</v>
      </c>
      <c r="M180" s="61" t="e">
        <f>IF(L180&lt;0,Pricing!E180*$N$5,0)</f>
        <v>#REF!</v>
      </c>
      <c r="N180" s="61" t="e">
        <f t="shared" si="19"/>
        <v>#REF!</v>
      </c>
      <c r="O180" s="60" t="e">
        <f>#REF!</f>
        <v>#REF!</v>
      </c>
      <c r="P180" s="61" t="e">
        <f>IF(O180&lt;0,Pricing!E180*$Q$5,0)</f>
        <v>#REF!</v>
      </c>
      <c r="Q180" s="61" t="e">
        <f t="shared" si="20"/>
        <v>#REF!</v>
      </c>
      <c r="R180" s="60" t="e">
        <f>#REF!</f>
        <v>#REF!</v>
      </c>
      <c r="S180" s="61" t="e">
        <f>IF(R180&lt;0,Pricing!E180*$T$5,0)</f>
        <v>#REF!</v>
      </c>
      <c r="T180" s="61" t="e">
        <f t="shared" si="21"/>
        <v>#REF!</v>
      </c>
    </row>
    <row r="181" spans="1:20" x14ac:dyDescent="0.25">
      <c r="A181" s="58">
        <f t="shared" si="22"/>
        <v>44538.249999999578</v>
      </c>
      <c r="B181" s="59">
        <f t="shared" si="23"/>
        <v>44538.291666666242</v>
      </c>
      <c r="C181" s="60" t="e">
        <f>#REF!</f>
        <v>#REF!</v>
      </c>
      <c r="D181" s="61" t="e">
        <f>IF(C181&gt;0,Pricing!E181*$E$5,0)</f>
        <v>#REF!</v>
      </c>
      <c r="E181" s="61" t="e">
        <f t="shared" si="16"/>
        <v>#REF!</v>
      </c>
      <c r="F181" s="60" t="e">
        <f>#REF!</f>
        <v>#REF!</v>
      </c>
      <c r="G181" s="61" t="e">
        <f>IF(F181&gt;0,Pricing!E181*$H$5,0)</f>
        <v>#REF!</v>
      </c>
      <c r="H181" s="61" t="e">
        <f t="shared" si="17"/>
        <v>#REF!</v>
      </c>
      <c r="I181" s="62" t="e">
        <f>#REF!</f>
        <v>#REF!</v>
      </c>
      <c r="J181" s="61" t="e">
        <f>IF(I181&gt;0,Pricing!E181*$K$5,0)</f>
        <v>#REF!</v>
      </c>
      <c r="K181" s="63" t="e">
        <f t="shared" si="18"/>
        <v>#REF!</v>
      </c>
      <c r="L181" s="64" t="e">
        <f>#REF!</f>
        <v>#REF!</v>
      </c>
      <c r="M181" s="61" t="e">
        <f>IF(L181&lt;0,Pricing!E181*$N$5,0)</f>
        <v>#REF!</v>
      </c>
      <c r="N181" s="61" t="e">
        <f t="shared" si="19"/>
        <v>#REF!</v>
      </c>
      <c r="O181" s="60" t="e">
        <f>#REF!</f>
        <v>#REF!</v>
      </c>
      <c r="P181" s="61" t="e">
        <f>IF(O181&lt;0,Pricing!E181*$Q$5,0)</f>
        <v>#REF!</v>
      </c>
      <c r="Q181" s="61" t="e">
        <f t="shared" si="20"/>
        <v>#REF!</v>
      </c>
      <c r="R181" s="60" t="e">
        <f>#REF!</f>
        <v>#REF!</v>
      </c>
      <c r="S181" s="61" t="e">
        <f>IF(R181&lt;0,Pricing!E181*$T$5,0)</f>
        <v>#REF!</v>
      </c>
      <c r="T181" s="61" t="e">
        <f t="shared" si="21"/>
        <v>#REF!</v>
      </c>
    </row>
    <row r="182" spans="1:20" x14ac:dyDescent="0.25">
      <c r="A182" s="58">
        <f t="shared" si="22"/>
        <v>44538.291666666242</v>
      </c>
      <c r="B182" s="59">
        <f t="shared" si="23"/>
        <v>44538.333333332906</v>
      </c>
      <c r="C182" s="60" t="e">
        <f>#REF!</f>
        <v>#REF!</v>
      </c>
      <c r="D182" s="61" t="e">
        <f>IF(C182&gt;0,Pricing!E182*$E$5,0)</f>
        <v>#REF!</v>
      </c>
      <c r="E182" s="61" t="e">
        <f t="shared" si="16"/>
        <v>#REF!</v>
      </c>
      <c r="F182" s="60" t="e">
        <f>#REF!</f>
        <v>#REF!</v>
      </c>
      <c r="G182" s="61" t="e">
        <f>IF(F182&gt;0,Pricing!E182*$H$5,0)</f>
        <v>#REF!</v>
      </c>
      <c r="H182" s="61" t="e">
        <f t="shared" si="17"/>
        <v>#REF!</v>
      </c>
      <c r="I182" s="62" t="e">
        <f>#REF!</f>
        <v>#REF!</v>
      </c>
      <c r="J182" s="61" t="e">
        <f>IF(I182&gt;0,Pricing!E182*$K$5,0)</f>
        <v>#REF!</v>
      </c>
      <c r="K182" s="63" t="e">
        <f t="shared" si="18"/>
        <v>#REF!</v>
      </c>
      <c r="L182" s="64" t="e">
        <f>#REF!</f>
        <v>#REF!</v>
      </c>
      <c r="M182" s="61" t="e">
        <f>IF(L182&lt;0,Pricing!E182*$N$5,0)</f>
        <v>#REF!</v>
      </c>
      <c r="N182" s="61" t="e">
        <f t="shared" si="19"/>
        <v>#REF!</v>
      </c>
      <c r="O182" s="60" t="e">
        <f>#REF!</f>
        <v>#REF!</v>
      </c>
      <c r="P182" s="61" t="e">
        <f>IF(O182&lt;0,Pricing!E182*$Q$5,0)</f>
        <v>#REF!</v>
      </c>
      <c r="Q182" s="61" t="e">
        <f t="shared" si="20"/>
        <v>#REF!</v>
      </c>
      <c r="R182" s="60" t="e">
        <f>#REF!</f>
        <v>#REF!</v>
      </c>
      <c r="S182" s="61" t="e">
        <f>IF(R182&lt;0,Pricing!E182*$T$5,0)</f>
        <v>#REF!</v>
      </c>
      <c r="T182" s="61" t="e">
        <f t="shared" si="21"/>
        <v>#REF!</v>
      </c>
    </row>
    <row r="183" spans="1:20" x14ac:dyDescent="0.25">
      <c r="A183" s="58">
        <f t="shared" si="22"/>
        <v>44538.333333332906</v>
      </c>
      <c r="B183" s="59">
        <f t="shared" si="23"/>
        <v>44538.374999999571</v>
      </c>
      <c r="C183" s="60" t="e">
        <f>#REF!</f>
        <v>#REF!</v>
      </c>
      <c r="D183" s="61" t="e">
        <f>IF(C183&gt;0,Pricing!E183*$E$5,0)</f>
        <v>#REF!</v>
      </c>
      <c r="E183" s="61" t="e">
        <f t="shared" si="16"/>
        <v>#REF!</v>
      </c>
      <c r="F183" s="60" t="e">
        <f>#REF!</f>
        <v>#REF!</v>
      </c>
      <c r="G183" s="61" t="e">
        <f>IF(F183&gt;0,Pricing!E183*$H$5,0)</f>
        <v>#REF!</v>
      </c>
      <c r="H183" s="61" t="e">
        <f t="shared" si="17"/>
        <v>#REF!</v>
      </c>
      <c r="I183" s="62" t="e">
        <f>#REF!</f>
        <v>#REF!</v>
      </c>
      <c r="J183" s="61" t="e">
        <f>IF(I183&gt;0,Pricing!E183*$K$5,0)</f>
        <v>#REF!</v>
      </c>
      <c r="K183" s="63" t="e">
        <f t="shared" si="18"/>
        <v>#REF!</v>
      </c>
      <c r="L183" s="64" t="e">
        <f>#REF!</f>
        <v>#REF!</v>
      </c>
      <c r="M183" s="61" t="e">
        <f>IF(L183&lt;0,Pricing!E183*$N$5,0)</f>
        <v>#REF!</v>
      </c>
      <c r="N183" s="61" t="e">
        <f t="shared" si="19"/>
        <v>#REF!</v>
      </c>
      <c r="O183" s="60" t="e">
        <f>#REF!</f>
        <v>#REF!</v>
      </c>
      <c r="P183" s="61" t="e">
        <f>IF(O183&lt;0,Pricing!E183*$Q$5,0)</f>
        <v>#REF!</v>
      </c>
      <c r="Q183" s="61" t="e">
        <f t="shared" si="20"/>
        <v>#REF!</v>
      </c>
      <c r="R183" s="60" t="e">
        <f>#REF!</f>
        <v>#REF!</v>
      </c>
      <c r="S183" s="61" t="e">
        <f>IF(R183&lt;0,Pricing!E183*$T$5,0)</f>
        <v>#REF!</v>
      </c>
      <c r="T183" s="61" t="e">
        <f t="shared" si="21"/>
        <v>#REF!</v>
      </c>
    </row>
    <row r="184" spans="1:20" x14ac:dyDescent="0.25">
      <c r="A184" s="58">
        <f t="shared" si="22"/>
        <v>44538.374999999571</v>
      </c>
      <c r="B184" s="59">
        <f t="shared" si="23"/>
        <v>44538.416666666235</v>
      </c>
      <c r="C184" s="60" t="e">
        <f>#REF!</f>
        <v>#REF!</v>
      </c>
      <c r="D184" s="61" t="e">
        <f>IF(C184&gt;0,Pricing!E184*$E$5,0)</f>
        <v>#REF!</v>
      </c>
      <c r="E184" s="61" t="e">
        <f t="shared" si="16"/>
        <v>#REF!</v>
      </c>
      <c r="F184" s="60" t="e">
        <f>#REF!</f>
        <v>#REF!</v>
      </c>
      <c r="G184" s="61" t="e">
        <f>IF(F184&gt;0,Pricing!E184*$H$5,0)</f>
        <v>#REF!</v>
      </c>
      <c r="H184" s="61" t="e">
        <f t="shared" si="17"/>
        <v>#REF!</v>
      </c>
      <c r="I184" s="62" t="e">
        <f>#REF!</f>
        <v>#REF!</v>
      </c>
      <c r="J184" s="61" t="e">
        <f>IF(I184&gt;0,Pricing!E184*$K$5,0)</f>
        <v>#REF!</v>
      </c>
      <c r="K184" s="63" t="e">
        <f t="shared" si="18"/>
        <v>#REF!</v>
      </c>
      <c r="L184" s="64" t="e">
        <f>#REF!</f>
        <v>#REF!</v>
      </c>
      <c r="M184" s="61" t="e">
        <f>IF(L184&lt;0,Pricing!E184*$N$5,0)</f>
        <v>#REF!</v>
      </c>
      <c r="N184" s="61" t="e">
        <f t="shared" si="19"/>
        <v>#REF!</v>
      </c>
      <c r="O184" s="60" t="e">
        <f>#REF!</f>
        <v>#REF!</v>
      </c>
      <c r="P184" s="61" t="e">
        <f>IF(O184&lt;0,Pricing!E184*$Q$5,0)</f>
        <v>#REF!</v>
      </c>
      <c r="Q184" s="61" t="e">
        <f t="shared" si="20"/>
        <v>#REF!</v>
      </c>
      <c r="R184" s="60" t="e">
        <f>#REF!</f>
        <v>#REF!</v>
      </c>
      <c r="S184" s="61" t="e">
        <f>IF(R184&lt;0,Pricing!E184*$T$5,0)</f>
        <v>#REF!</v>
      </c>
      <c r="T184" s="61" t="e">
        <f t="shared" si="21"/>
        <v>#REF!</v>
      </c>
    </row>
    <row r="185" spans="1:20" x14ac:dyDescent="0.25">
      <c r="A185" s="58">
        <f t="shared" si="22"/>
        <v>44538.416666666235</v>
      </c>
      <c r="B185" s="59">
        <f t="shared" si="23"/>
        <v>44538.458333332899</v>
      </c>
      <c r="C185" s="60" t="e">
        <f>#REF!</f>
        <v>#REF!</v>
      </c>
      <c r="D185" s="61" t="e">
        <f>IF(C185&gt;0,Pricing!E185*$E$5,0)</f>
        <v>#REF!</v>
      </c>
      <c r="E185" s="61" t="e">
        <f t="shared" si="16"/>
        <v>#REF!</v>
      </c>
      <c r="F185" s="60" t="e">
        <f>#REF!</f>
        <v>#REF!</v>
      </c>
      <c r="G185" s="61" t="e">
        <f>IF(F185&gt;0,Pricing!E185*$H$5,0)</f>
        <v>#REF!</v>
      </c>
      <c r="H185" s="61" t="e">
        <f t="shared" si="17"/>
        <v>#REF!</v>
      </c>
      <c r="I185" s="62" t="e">
        <f>#REF!</f>
        <v>#REF!</v>
      </c>
      <c r="J185" s="61" t="e">
        <f>IF(I185&gt;0,Pricing!E185*$K$5,0)</f>
        <v>#REF!</v>
      </c>
      <c r="K185" s="63" t="e">
        <f t="shared" si="18"/>
        <v>#REF!</v>
      </c>
      <c r="L185" s="64" t="e">
        <f>#REF!</f>
        <v>#REF!</v>
      </c>
      <c r="M185" s="61" t="e">
        <f>IF(L185&lt;0,Pricing!E185*$N$5,0)</f>
        <v>#REF!</v>
      </c>
      <c r="N185" s="61" t="e">
        <f t="shared" si="19"/>
        <v>#REF!</v>
      </c>
      <c r="O185" s="60" t="e">
        <f>#REF!</f>
        <v>#REF!</v>
      </c>
      <c r="P185" s="61" t="e">
        <f>IF(O185&lt;0,Pricing!E185*$Q$5,0)</f>
        <v>#REF!</v>
      </c>
      <c r="Q185" s="61" t="e">
        <f t="shared" si="20"/>
        <v>#REF!</v>
      </c>
      <c r="R185" s="60" t="e">
        <f>#REF!</f>
        <v>#REF!</v>
      </c>
      <c r="S185" s="61" t="e">
        <f>IF(R185&lt;0,Pricing!E185*$T$5,0)</f>
        <v>#REF!</v>
      </c>
      <c r="T185" s="61" t="e">
        <f t="shared" si="21"/>
        <v>#REF!</v>
      </c>
    </row>
    <row r="186" spans="1:20" x14ac:dyDescent="0.25">
      <c r="A186" s="58">
        <f t="shared" si="22"/>
        <v>44538.458333332899</v>
      </c>
      <c r="B186" s="59">
        <f t="shared" si="23"/>
        <v>44538.499999999563</v>
      </c>
      <c r="C186" s="60" t="e">
        <f>#REF!</f>
        <v>#REF!</v>
      </c>
      <c r="D186" s="61" t="e">
        <f>IF(C186&gt;0,Pricing!E186*$E$5,0)</f>
        <v>#REF!</v>
      </c>
      <c r="E186" s="61" t="e">
        <f t="shared" si="16"/>
        <v>#REF!</v>
      </c>
      <c r="F186" s="60" t="e">
        <f>#REF!</f>
        <v>#REF!</v>
      </c>
      <c r="G186" s="61" t="e">
        <f>IF(F186&gt;0,Pricing!E186*$H$5,0)</f>
        <v>#REF!</v>
      </c>
      <c r="H186" s="61" t="e">
        <f t="shared" si="17"/>
        <v>#REF!</v>
      </c>
      <c r="I186" s="62" t="e">
        <f>#REF!</f>
        <v>#REF!</v>
      </c>
      <c r="J186" s="61" t="e">
        <f>IF(I186&gt;0,Pricing!E186*$K$5,0)</f>
        <v>#REF!</v>
      </c>
      <c r="K186" s="63" t="e">
        <f t="shared" si="18"/>
        <v>#REF!</v>
      </c>
      <c r="L186" s="64" t="e">
        <f>#REF!</f>
        <v>#REF!</v>
      </c>
      <c r="M186" s="61" t="e">
        <f>IF(L186&lt;0,Pricing!E186*$N$5,0)</f>
        <v>#REF!</v>
      </c>
      <c r="N186" s="61" t="e">
        <f t="shared" si="19"/>
        <v>#REF!</v>
      </c>
      <c r="O186" s="60" t="e">
        <f>#REF!</f>
        <v>#REF!</v>
      </c>
      <c r="P186" s="61" t="e">
        <f>IF(O186&lt;0,Pricing!E186*$Q$5,0)</f>
        <v>#REF!</v>
      </c>
      <c r="Q186" s="61" t="e">
        <f t="shared" si="20"/>
        <v>#REF!</v>
      </c>
      <c r="R186" s="60" t="e">
        <f>#REF!</f>
        <v>#REF!</v>
      </c>
      <c r="S186" s="61" t="e">
        <f>IF(R186&lt;0,Pricing!E186*$T$5,0)</f>
        <v>#REF!</v>
      </c>
      <c r="T186" s="61" t="e">
        <f t="shared" si="21"/>
        <v>#REF!</v>
      </c>
    </row>
    <row r="187" spans="1:20" x14ac:dyDescent="0.25">
      <c r="A187" s="58">
        <f t="shared" si="22"/>
        <v>44538.499999999563</v>
      </c>
      <c r="B187" s="59">
        <f t="shared" si="23"/>
        <v>44538.541666666228</v>
      </c>
      <c r="C187" s="60" t="e">
        <f>#REF!</f>
        <v>#REF!</v>
      </c>
      <c r="D187" s="61" t="e">
        <f>IF(C187&gt;0,Pricing!E187*$E$5,0)</f>
        <v>#REF!</v>
      </c>
      <c r="E187" s="61" t="e">
        <f t="shared" si="16"/>
        <v>#REF!</v>
      </c>
      <c r="F187" s="60" t="e">
        <f>#REF!</f>
        <v>#REF!</v>
      </c>
      <c r="G187" s="61" t="e">
        <f>IF(F187&gt;0,Pricing!E187*$H$5,0)</f>
        <v>#REF!</v>
      </c>
      <c r="H187" s="61" t="e">
        <f t="shared" si="17"/>
        <v>#REF!</v>
      </c>
      <c r="I187" s="62" t="e">
        <f>#REF!</f>
        <v>#REF!</v>
      </c>
      <c r="J187" s="61" t="e">
        <f>IF(I187&gt;0,Pricing!E187*$K$5,0)</f>
        <v>#REF!</v>
      </c>
      <c r="K187" s="63" t="e">
        <f t="shared" si="18"/>
        <v>#REF!</v>
      </c>
      <c r="L187" s="64" t="e">
        <f>#REF!</f>
        <v>#REF!</v>
      </c>
      <c r="M187" s="61" t="e">
        <f>IF(L187&lt;0,Pricing!E187*$N$5,0)</f>
        <v>#REF!</v>
      </c>
      <c r="N187" s="61" t="e">
        <f t="shared" si="19"/>
        <v>#REF!</v>
      </c>
      <c r="O187" s="60" t="e">
        <f>#REF!</f>
        <v>#REF!</v>
      </c>
      <c r="P187" s="61" t="e">
        <f>IF(O187&lt;0,Pricing!E187*$Q$5,0)</f>
        <v>#REF!</v>
      </c>
      <c r="Q187" s="61" t="e">
        <f t="shared" si="20"/>
        <v>#REF!</v>
      </c>
      <c r="R187" s="60" t="e">
        <f>#REF!</f>
        <v>#REF!</v>
      </c>
      <c r="S187" s="61" t="e">
        <f>IF(R187&lt;0,Pricing!E187*$T$5,0)</f>
        <v>#REF!</v>
      </c>
      <c r="T187" s="61" t="e">
        <f t="shared" si="21"/>
        <v>#REF!</v>
      </c>
    </row>
    <row r="188" spans="1:20" x14ac:dyDescent="0.25">
      <c r="A188" s="58">
        <f t="shared" si="22"/>
        <v>44538.541666666228</v>
      </c>
      <c r="B188" s="59">
        <f t="shared" si="23"/>
        <v>44538.583333332892</v>
      </c>
      <c r="C188" s="60" t="e">
        <f>#REF!</f>
        <v>#REF!</v>
      </c>
      <c r="D188" s="61" t="e">
        <f>IF(C188&gt;0,Pricing!E188*$E$5,0)</f>
        <v>#REF!</v>
      </c>
      <c r="E188" s="61" t="e">
        <f t="shared" si="16"/>
        <v>#REF!</v>
      </c>
      <c r="F188" s="60" t="e">
        <f>#REF!</f>
        <v>#REF!</v>
      </c>
      <c r="G188" s="61" t="e">
        <f>IF(F188&gt;0,Pricing!E188*$H$5,0)</f>
        <v>#REF!</v>
      </c>
      <c r="H188" s="61" t="e">
        <f t="shared" si="17"/>
        <v>#REF!</v>
      </c>
      <c r="I188" s="62" t="e">
        <f>#REF!</f>
        <v>#REF!</v>
      </c>
      <c r="J188" s="61" t="e">
        <f>IF(I188&gt;0,Pricing!E188*$K$5,0)</f>
        <v>#REF!</v>
      </c>
      <c r="K188" s="63" t="e">
        <f t="shared" si="18"/>
        <v>#REF!</v>
      </c>
      <c r="L188" s="64" t="e">
        <f>#REF!</f>
        <v>#REF!</v>
      </c>
      <c r="M188" s="61" t="e">
        <f>IF(L188&lt;0,Pricing!E188*$N$5,0)</f>
        <v>#REF!</v>
      </c>
      <c r="N188" s="61" t="e">
        <f t="shared" si="19"/>
        <v>#REF!</v>
      </c>
      <c r="O188" s="60" t="e">
        <f>#REF!</f>
        <v>#REF!</v>
      </c>
      <c r="P188" s="61" t="e">
        <f>IF(O188&lt;0,Pricing!E188*$Q$5,0)</f>
        <v>#REF!</v>
      </c>
      <c r="Q188" s="61" t="e">
        <f t="shared" si="20"/>
        <v>#REF!</v>
      </c>
      <c r="R188" s="60" t="e">
        <f>#REF!</f>
        <v>#REF!</v>
      </c>
      <c r="S188" s="61" t="e">
        <f>IF(R188&lt;0,Pricing!E188*$T$5,0)</f>
        <v>#REF!</v>
      </c>
      <c r="T188" s="61" t="e">
        <f t="shared" si="21"/>
        <v>#REF!</v>
      </c>
    </row>
    <row r="189" spans="1:20" x14ac:dyDescent="0.25">
      <c r="A189" s="58">
        <f t="shared" si="22"/>
        <v>44538.583333332892</v>
      </c>
      <c r="B189" s="59">
        <f t="shared" si="23"/>
        <v>44538.624999999556</v>
      </c>
      <c r="C189" s="60" t="e">
        <f>#REF!</f>
        <v>#REF!</v>
      </c>
      <c r="D189" s="61" t="e">
        <f>IF(C189&gt;0,Pricing!E189*$E$5,0)</f>
        <v>#REF!</v>
      </c>
      <c r="E189" s="61" t="e">
        <f t="shared" si="16"/>
        <v>#REF!</v>
      </c>
      <c r="F189" s="60" t="e">
        <f>#REF!</f>
        <v>#REF!</v>
      </c>
      <c r="G189" s="61" t="e">
        <f>IF(F189&gt;0,Pricing!E189*$H$5,0)</f>
        <v>#REF!</v>
      </c>
      <c r="H189" s="61" t="e">
        <f t="shared" si="17"/>
        <v>#REF!</v>
      </c>
      <c r="I189" s="62" t="e">
        <f>#REF!</f>
        <v>#REF!</v>
      </c>
      <c r="J189" s="61" t="e">
        <f>IF(I189&gt;0,Pricing!E189*$K$5,0)</f>
        <v>#REF!</v>
      </c>
      <c r="K189" s="63" t="e">
        <f t="shared" si="18"/>
        <v>#REF!</v>
      </c>
      <c r="L189" s="64" t="e">
        <f>#REF!</f>
        <v>#REF!</v>
      </c>
      <c r="M189" s="61" t="e">
        <f>IF(L189&lt;0,Pricing!E189*$N$5,0)</f>
        <v>#REF!</v>
      </c>
      <c r="N189" s="61" t="e">
        <f t="shared" si="19"/>
        <v>#REF!</v>
      </c>
      <c r="O189" s="60" t="e">
        <f>#REF!</f>
        <v>#REF!</v>
      </c>
      <c r="P189" s="61" t="e">
        <f>IF(O189&lt;0,Pricing!E189*$Q$5,0)</f>
        <v>#REF!</v>
      </c>
      <c r="Q189" s="61" t="e">
        <f t="shared" si="20"/>
        <v>#REF!</v>
      </c>
      <c r="R189" s="60" t="e">
        <f>#REF!</f>
        <v>#REF!</v>
      </c>
      <c r="S189" s="61" t="e">
        <f>IF(R189&lt;0,Pricing!E189*$T$5,0)</f>
        <v>#REF!</v>
      </c>
      <c r="T189" s="61" t="e">
        <f t="shared" si="21"/>
        <v>#REF!</v>
      </c>
    </row>
    <row r="190" spans="1:20" x14ac:dyDescent="0.25">
      <c r="A190" s="58">
        <f t="shared" si="22"/>
        <v>44538.624999999556</v>
      </c>
      <c r="B190" s="59">
        <f t="shared" si="23"/>
        <v>44538.66666666622</v>
      </c>
      <c r="C190" s="60" t="e">
        <f>#REF!</f>
        <v>#REF!</v>
      </c>
      <c r="D190" s="61" t="e">
        <f>IF(C190&gt;0,Pricing!E190*$E$5,0)</f>
        <v>#REF!</v>
      </c>
      <c r="E190" s="61" t="e">
        <f t="shared" si="16"/>
        <v>#REF!</v>
      </c>
      <c r="F190" s="60" t="e">
        <f>#REF!</f>
        <v>#REF!</v>
      </c>
      <c r="G190" s="61" t="e">
        <f>IF(F190&gt;0,Pricing!E190*$H$5,0)</f>
        <v>#REF!</v>
      </c>
      <c r="H190" s="61" t="e">
        <f t="shared" si="17"/>
        <v>#REF!</v>
      </c>
      <c r="I190" s="62" t="e">
        <f>#REF!</f>
        <v>#REF!</v>
      </c>
      <c r="J190" s="61" t="e">
        <f>IF(I190&gt;0,Pricing!E190*$K$5,0)</f>
        <v>#REF!</v>
      </c>
      <c r="K190" s="63" t="e">
        <f t="shared" si="18"/>
        <v>#REF!</v>
      </c>
      <c r="L190" s="64" t="e">
        <f>#REF!</f>
        <v>#REF!</v>
      </c>
      <c r="M190" s="61" t="e">
        <f>IF(L190&lt;0,Pricing!E190*$N$5,0)</f>
        <v>#REF!</v>
      </c>
      <c r="N190" s="61" t="e">
        <f t="shared" si="19"/>
        <v>#REF!</v>
      </c>
      <c r="O190" s="60" t="e">
        <f>#REF!</f>
        <v>#REF!</v>
      </c>
      <c r="P190" s="61" t="e">
        <f>IF(O190&lt;0,Pricing!E190*$Q$5,0)</f>
        <v>#REF!</v>
      </c>
      <c r="Q190" s="61" t="e">
        <f t="shared" si="20"/>
        <v>#REF!</v>
      </c>
      <c r="R190" s="60" t="e">
        <f>#REF!</f>
        <v>#REF!</v>
      </c>
      <c r="S190" s="61" t="e">
        <f>IF(R190&lt;0,Pricing!E190*$T$5,0)</f>
        <v>#REF!</v>
      </c>
      <c r="T190" s="61" t="e">
        <f t="shared" si="21"/>
        <v>#REF!</v>
      </c>
    </row>
    <row r="191" spans="1:20" x14ac:dyDescent="0.25">
      <c r="A191" s="58">
        <f t="shared" si="22"/>
        <v>44538.66666666622</v>
      </c>
      <c r="B191" s="59">
        <f t="shared" si="23"/>
        <v>44538.708333332885</v>
      </c>
      <c r="C191" s="60" t="e">
        <f>#REF!</f>
        <v>#REF!</v>
      </c>
      <c r="D191" s="61" t="e">
        <f>IF(C191&gt;0,Pricing!E191*$E$5,0)</f>
        <v>#REF!</v>
      </c>
      <c r="E191" s="61" t="e">
        <f t="shared" si="16"/>
        <v>#REF!</v>
      </c>
      <c r="F191" s="60" t="e">
        <f>#REF!</f>
        <v>#REF!</v>
      </c>
      <c r="G191" s="61" t="e">
        <f>IF(F191&gt;0,Pricing!E191*$H$5,0)</f>
        <v>#REF!</v>
      </c>
      <c r="H191" s="61" t="e">
        <f t="shared" si="17"/>
        <v>#REF!</v>
      </c>
      <c r="I191" s="62" t="e">
        <f>#REF!</f>
        <v>#REF!</v>
      </c>
      <c r="J191" s="61" t="e">
        <f>IF(I191&gt;0,Pricing!E191*$K$5,0)</f>
        <v>#REF!</v>
      </c>
      <c r="K191" s="63" t="e">
        <f t="shared" si="18"/>
        <v>#REF!</v>
      </c>
      <c r="L191" s="64" t="e">
        <f>#REF!</f>
        <v>#REF!</v>
      </c>
      <c r="M191" s="61" t="e">
        <f>IF(L191&lt;0,Pricing!E191*$N$5,0)</f>
        <v>#REF!</v>
      </c>
      <c r="N191" s="61" t="e">
        <f t="shared" si="19"/>
        <v>#REF!</v>
      </c>
      <c r="O191" s="60" t="e">
        <f>#REF!</f>
        <v>#REF!</v>
      </c>
      <c r="P191" s="61" t="e">
        <f>IF(O191&lt;0,Pricing!E191*$Q$5,0)</f>
        <v>#REF!</v>
      </c>
      <c r="Q191" s="61" t="e">
        <f t="shared" si="20"/>
        <v>#REF!</v>
      </c>
      <c r="R191" s="60" t="e">
        <f>#REF!</f>
        <v>#REF!</v>
      </c>
      <c r="S191" s="61" t="e">
        <f>IF(R191&lt;0,Pricing!E191*$T$5,0)</f>
        <v>#REF!</v>
      </c>
      <c r="T191" s="61" t="e">
        <f t="shared" si="21"/>
        <v>#REF!</v>
      </c>
    </row>
    <row r="192" spans="1:20" x14ac:dyDescent="0.25">
      <c r="A192" s="58">
        <f t="shared" si="22"/>
        <v>44538.708333332885</v>
      </c>
      <c r="B192" s="59">
        <f t="shared" si="23"/>
        <v>44538.749999999549</v>
      </c>
      <c r="C192" s="60" t="e">
        <f>#REF!</f>
        <v>#REF!</v>
      </c>
      <c r="D192" s="61" t="e">
        <f>IF(C192&gt;0,Pricing!E192*$E$5,0)</f>
        <v>#REF!</v>
      </c>
      <c r="E192" s="61" t="e">
        <f t="shared" si="16"/>
        <v>#REF!</v>
      </c>
      <c r="F192" s="60" t="e">
        <f>#REF!</f>
        <v>#REF!</v>
      </c>
      <c r="G192" s="61" t="e">
        <f>IF(F192&gt;0,Pricing!E192*$H$5,0)</f>
        <v>#REF!</v>
      </c>
      <c r="H192" s="61" t="e">
        <f t="shared" si="17"/>
        <v>#REF!</v>
      </c>
      <c r="I192" s="62" t="e">
        <f>#REF!</f>
        <v>#REF!</v>
      </c>
      <c r="J192" s="61" t="e">
        <f>IF(I192&gt;0,Pricing!E192*$K$5,0)</f>
        <v>#REF!</v>
      </c>
      <c r="K192" s="63" t="e">
        <f t="shared" si="18"/>
        <v>#REF!</v>
      </c>
      <c r="L192" s="64" t="e">
        <f>#REF!</f>
        <v>#REF!</v>
      </c>
      <c r="M192" s="61" t="e">
        <f>IF(L192&lt;0,Pricing!E192*$N$5,0)</f>
        <v>#REF!</v>
      </c>
      <c r="N192" s="61" t="e">
        <f t="shared" si="19"/>
        <v>#REF!</v>
      </c>
      <c r="O192" s="60" t="e">
        <f>#REF!</f>
        <v>#REF!</v>
      </c>
      <c r="P192" s="61" t="e">
        <f>IF(O192&lt;0,Pricing!E192*$Q$5,0)</f>
        <v>#REF!</v>
      </c>
      <c r="Q192" s="61" t="e">
        <f t="shared" si="20"/>
        <v>#REF!</v>
      </c>
      <c r="R192" s="60" t="e">
        <f>#REF!</f>
        <v>#REF!</v>
      </c>
      <c r="S192" s="61" t="e">
        <f>IF(R192&lt;0,Pricing!E192*$T$5,0)</f>
        <v>#REF!</v>
      </c>
      <c r="T192" s="61" t="e">
        <f t="shared" si="21"/>
        <v>#REF!</v>
      </c>
    </row>
    <row r="193" spans="1:20" x14ac:dyDescent="0.25">
      <c r="A193" s="58">
        <f t="shared" si="22"/>
        <v>44538.749999999549</v>
      </c>
      <c r="B193" s="59">
        <f t="shared" si="23"/>
        <v>44538.791666666213</v>
      </c>
      <c r="C193" s="60" t="e">
        <f>#REF!</f>
        <v>#REF!</v>
      </c>
      <c r="D193" s="61" t="e">
        <f>IF(C193&gt;0,Pricing!E193*$E$5,0)</f>
        <v>#REF!</v>
      </c>
      <c r="E193" s="61" t="e">
        <f t="shared" si="16"/>
        <v>#REF!</v>
      </c>
      <c r="F193" s="60" t="e">
        <f>#REF!</f>
        <v>#REF!</v>
      </c>
      <c r="G193" s="61" t="e">
        <f>IF(F193&gt;0,Pricing!E193*$H$5,0)</f>
        <v>#REF!</v>
      </c>
      <c r="H193" s="61" t="e">
        <f t="shared" si="17"/>
        <v>#REF!</v>
      </c>
      <c r="I193" s="62" t="e">
        <f>#REF!</f>
        <v>#REF!</v>
      </c>
      <c r="J193" s="61" t="e">
        <f>IF(I193&gt;0,Pricing!E193*$K$5,0)</f>
        <v>#REF!</v>
      </c>
      <c r="K193" s="63" t="e">
        <f t="shared" si="18"/>
        <v>#REF!</v>
      </c>
      <c r="L193" s="64" t="e">
        <f>#REF!</f>
        <v>#REF!</v>
      </c>
      <c r="M193" s="61" t="e">
        <f>IF(L193&lt;0,Pricing!E193*$N$5,0)</f>
        <v>#REF!</v>
      </c>
      <c r="N193" s="61" t="e">
        <f t="shared" si="19"/>
        <v>#REF!</v>
      </c>
      <c r="O193" s="60" t="e">
        <f>#REF!</f>
        <v>#REF!</v>
      </c>
      <c r="P193" s="61" t="e">
        <f>IF(O193&lt;0,Pricing!E193*$Q$5,0)</f>
        <v>#REF!</v>
      </c>
      <c r="Q193" s="61" t="e">
        <f t="shared" si="20"/>
        <v>#REF!</v>
      </c>
      <c r="R193" s="60" t="e">
        <f>#REF!</f>
        <v>#REF!</v>
      </c>
      <c r="S193" s="61" t="e">
        <f>IF(R193&lt;0,Pricing!E193*$T$5,0)</f>
        <v>#REF!</v>
      </c>
      <c r="T193" s="61" t="e">
        <f t="shared" si="21"/>
        <v>#REF!</v>
      </c>
    </row>
    <row r="194" spans="1:20" x14ac:dyDescent="0.25">
      <c r="A194" s="58">
        <f t="shared" si="22"/>
        <v>44538.791666666213</v>
      </c>
      <c r="B194" s="59">
        <f t="shared" si="23"/>
        <v>44538.833333332877</v>
      </c>
      <c r="C194" s="60" t="e">
        <f>#REF!</f>
        <v>#REF!</v>
      </c>
      <c r="D194" s="61" t="e">
        <f>IF(C194&gt;0,Pricing!E194*$E$5,0)</f>
        <v>#REF!</v>
      </c>
      <c r="E194" s="61" t="e">
        <f t="shared" si="16"/>
        <v>#REF!</v>
      </c>
      <c r="F194" s="60" t="e">
        <f>#REF!</f>
        <v>#REF!</v>
      </c>
      <c r="G194" s="61" t="e">
        <f>IF(F194&gt;0,Pricing!E194*$H$5,0)</f>
        <v>#REF!</v>
      </c>
      <c r="H194" s="61" t="e">
        <f t="shared" si="17"/>
        <v>#REF!</v>
      </c>
      <c r="I194" s="62" t="e">
        <f>#REF!</f>
        <v>#REF!</v>
      </c>
      <c r="J194" s="61" t="e">
        <f>IF(I194&gt;0,Pricing!E194*$K$5,0)</f>
        <v>#REF!</v>
      </c>
      <c r="K194" s="63" t="e">
        <f t="shared" si="18"/>
        <v>#REF!</v>
      </c>
      <c r="L194" s="64" t="e">
        <f>#REF!</f>
        <v>#REF!</v>
      </c>
      <c r="M194" s="61" t="e">
        <f>IF(L194&lt;0,Pricing!E194*$N$5,0)</f>
        <v>#REF!</v>
      </c>
      <c r="N194" s="61" t="e">
        <f t="shared" si="19"/>
        <v>#REF!</v>
      </c>
      <c r="O194" s="60" t="e">
        <f>#REF!</f>
        <v>#REF!</v>
      </c>
      <c r="P194" s="61" t="e">
        <f>IF(O194&lt;0,Pricing!E194*$Q$5,0)</f>
        <v>#REF!</v>
      </c>
      <c r="Q194" s="61" t="e">
        <f t="shared" si="20"/>
        <v>#REF!</v>
      </c>
      <c r="R194" s="60" t="e">
        <f>#REF!</f>
        <v>#REF!</v>
      </c>
      <c r="S194" s="61" t="e">
        <f>IF(R194&lt;0,Pricing!E194*$T$5,0)</f>
        <v>#REF!</v>
      </c>
      <c r="T194" s="61" t="e">
        <f t="shared" si="21"/>
        <v>#REF!</v>
      </c>
    </row>
    <row r="195" spans="1:20" x14ac:dyDescent="0.25">
      <c r="A195" s="58">
        <f t="shared" si="22"/>
        <v>44538.833333332877</v>
      </c>
      <c r="B195" s="59">
        <f t="shared" si="23"/>
        <v>44538.874999999542</v>
      </c>
      <c r="C195" s="60" t="e">
        <f>#REF!</f>
        <v>#REF!</v>
      </c>
      <c r="D195" s="61" t="e">
        <f>IF(C195&gt;0,Pricing!E195*$E$5,0)</f>
        <v>#REF!</v>
      </c>
      <c r="E195" s="61" t="e">
        <f t="shared" si="16"/>
        <v>#REF!</v>
      </c>
      <c r="F195" s="60" t="e">
        <f>#REF!</f>
        <v>#REF!</v>
      </c>
      <c r="G195" s="61" t="e">
        <f>IF(F195&gt;0,Pricing!E195*$H$5,0)</f>
        <v>#REF!</v>
      </c>
      <c r="H195" s="61" t="e">
        <f t="shared" si="17"/>
        <v>#REF!</v>
      </c>
      <c r="I195" s="62" t="e">
        <f>#REF!</f>
        <v>#REF!</v>
      </c>
      <c r="J195" s="61" t="e">
        <f>IF(I195&gt;0,Pricing!E195*$K$5,0)</f>
        <v>#REF!</v>
      </c>
      <c r="K195" s="63" t="e">
        <f t="shared" si="18"/>
        <v>#REF!</v>
      </c>
      <c r="L195" s="64" t="e">
        <f>#REF!</f>
        <v>#REF!</v>
      </c>
      <c r="M195" s="61" t="e">
        <f>IF(L195&lt;0,Pricing!E195*$N$5,0)</f>
        <v>#REF!</v>
      </c>
      <c r="N195" s="61" t="e">
        <f t="shared" si="19"/>
        <v>#REF!</v>
      </c>
      <c r="O195" s="60" t="e">
        <f>#REF!</f>
        <v>#REF!</v>
      </c>
      <c r="P195" s="61" t="e">
        <f>IF(O195&lt;0,Pricing!E195*$Q$5,0)</f>
        <v>#REF!</v>
      </c>
      <c r="Q195" s="61" t="e">
        <f t="shared" si="20"/>
        <v>#REF!</v>
      </c>
      <c r="R195" s="60" t="e">
        <f>#REF!</f>
        <v>#REF!</v>
      </c>
      <c r="S195" s="61" t="e">
        <f>IF(R195&lt;0,Pricing!E195*$T$5,0)</f>
        <v>#REF!</v>
      </c>
      <c r="T195" s="61" t="e">
        <f t="shared" si="21"/>
        <v>#REF!</v>
      </c>
    </row>
    <row r="196" spans="1:20" x14ac:dyDescent="0.25">
      <c r="A196" s="58">
        <f t="shared" si="22"/>
        <v>44538.874999999542</v>
      </c>
      <c r="B196" s="59">
        <f t="shared" si="23"/>
        <v>44538.916666666206</v>
      </c>
      <c r="C196" s="60" t="e">
        <f>#REF!</f>
        <v>#REF!</v>
      </c>
      <c r="D196" s="61" t="e">
        <f>IF(C196&gt;0,Pricing!E196*$E$5,0)</f>
        <v>#REF!</v>
      </c>
      <c r="E196" s="61" t="e">
        <f t="shared" si="16"/>
        <v>#REF!</v>
      </c>
      <c r="F196" s="60" t="e">
        <f>#REF!</f>
        <v>#REF!</v>
      </c>
      <c r="G196" s="61" t="e">
        <f>IF(F196&gt;0,Pricing!E196*$H$5,0)</f>
        <v>#REF!</v>
      </c>
      <c r="H196" s="61" t="e">
        <f t="shared" si="17"/>
        <v>#REF!</v>
      </c>
      <c r="I196" s="62" t="e">
        <f>#REF!</f>
        <v>#REF!</v>
      </c>
      <c r="J196" s="61" t="e">
        <f>IF(I196&gt;0,Pricing!E196*$K$5,0)</f>
        <v>#REF!</v>
      </c>
      <c r="K196" s="63" t="e">
        <f t="shared" si="18"/>
        <v>#REF!</v>
      </c>
      <c r="L196" s="64" t="e">
        <f>#REF!</f>
        <v>#REF!</v>
      </c>
      <c r="M196" s="61" t="e">
        <f>IF(L196&lt;0,Pricing!E196*$N$5,0)</f>
        <v>#REF!</v>
      </c>
      <c r="N196" s="61" t="e">
        <f t="shared" si="19"/>
        <v>#REF!</v>
      </c>
      <c r="O196" s="60" t="e">
        <f>#REF!</f>
        <v>#REF!</v>
      </c>
      <c r="P196" s="61" t="e">
        <f>IF(O196&lt;0,Pricing!E196*$Q$5,0)</f>
        <v>#REF!</v>
      </c>
      <c r="Q196" s="61" t="e">
        <f t="shared" si="20"/>
        <v>#REF!</v>
      </c>
      <c r="R196" s="60" t="e">
        <f>#REF!</f>
        <v>#REF!</v>
      </c>
      <c r="S196" s="61" t="e">
        <f>IF(R196&lt;0,Pricing!E196*$T$5,0)</f>
        <v>#REF!</v>
      </c>
      <c r="T196" s="61" t="e">
        <f t="shared" si="21"/>
        <v>#REF!</v>
      </c>
    </row>
    <row r="197" spans="1:20" x14ac:dyDescent="0.25">
      <c r="A197" s="58">
        <f t="shared" si="22"/>
        <v>44538.916666666206</v>
      </c>
      <c r="B197" s="59">
        <f t="shared" si="23"/>
        <v>44538.95833333287</v>
      </c>
      <c r="C197" s="60" t="e">
        <f>#REF!</f>
        <v>#REF!</v>
      </c>
      <c r="D197" s="61" t="e">
        <f>IF(C197&gt;0,Pricing!E197*$E$5,0)</f>
        <v>#REF!</v>
      </c>
      <c r="E197" s="61" t="e">
        <f t="shared" si="16"/>
        <v>#REF!</v>
      </c>
      <c r="F197" s="60" t="e">
        <f>#REF!</f>
        <v>#REF!</v>
      </c>
      <c r="G197" s="61" t="e">
        <f>IF(F197&gt;0,Pricing!E197*$H$5,0)</f>
        <v>#REF!</v>
      </c>
      <c r="H197" s="61" t="e">
        <f t="shared" si="17"/>
        <v>#REF!</v>
      </c>
      <c r="I197" s="62" t="e">
        <f>#REF!</f>
        <v>#REF!</v>
      </c>
      <c r="J197" s="61" t="e">
        <f>IF(I197&gt;0,Pricing!E197*$K$5,0)</f>
        <v>#REF!</v>
      </c>
      <c r="K197" s="63" t="e">
        <f t="shared" si="18"/>
        <v>#REF!</v>
      </c>
      <c r="L197" s="64" t="e">
        <f>#REF!</f>
        <v>#REF!</v>
      </c>
      <c r="M197" s="61" t="e">
        <f>IF(L197&lt;0,Pricing!E197*$N$5,0)</f>
        <v>#REF!</v>
      </c>
      <c r="N197" s="61" t="e">
        <f t="shared" si="19"/>
        <v>#REF!</v>
      </c>
      <c r="O197" s="60" t="e">
        <f>#REF!</f>
        <v>#REF!</v>
      </c>
      <c r="P197" s="61" t="e">
        <f>IF(O197&lt;0,Pricing!E197*$Q$5,0)</f>
        <v>#REF!</v>
      </c>
      <c r="Q197" s="61" t="e">
        <f t="shared" si="20"/>
        <v>#REF!</v>
      </c>
      <c r="R197" s="60" t="e">
        <f>#REF!</f>
        <v>#REF!</v>
      </c>
      <c r="S197" s="61" t="e">
        <f>IF(R197&lt;0,Pricing!E197*$T$5,0)</f>
        <v>#REF!</v>
      </c>
      <c r="T197" s="61" t="e">
        <f t="shared" si="21"/>
        <v>#REF!</v>
      </c>
    </row>
    <row r="198" spans="1:20" x14ac:dyDescent="0.25">
      <c r="A198" s="58">
        <f t="shared" si="22"/>
        <v>44538.95833333287</v>
      </c>
      <c r="B198" s="59">
        <f t="shared" si="23"/>
        <v>44538.999999999534</v>
      </c>
      <c r="C198" s="60" t="e">
        <f>#REF!</f>
        <v>#REF!</v>
      </c>
      <c r="D198" s="61" t="e">
        <f>IF(C198&gt;0,Pricing!E198*$E$5,0)</f>
        <v>#REF!</v>
      </c>
      <c r="E198" s="61" t="e">
        <f t="shared" si="16"/>
        <v>#REF!</v>
      </c>
      <c r="F198" s="60" t="e">
        <f>#REF!</f>
        <v>#REF!</v>
      </c>
      <c r="G198" s="61" t="e">
        <f>IF(F198&gt;0,Pricing!E198*$H$5,0)</f>
        <v>#REF!</v>
      </c>
      <c r="H198" s="61" t="e">
        <f t="shared" si="17"/>
        <v>#REF!</v>
      </c>
      <c r="I198" s="62" t="e">
        <f>#REF!</f>
        <v>#REF!</v>
      </c>
      <c r="J198" s="61" t="e">
        <f>IF(I198&gt;0,Pricing!E198*$K$5,0)</f>
        <v>#REF!</v>
      </c>
      <c r="K198" s="63" t="e">
        <f t="shared" si="18"/>
        <v>#REF!</v>
      </c>
      <c r="L198" s="64" t="e">
        <f>#REF!</f>
        <v>#REF!</v>
      </c>
      <c r="M198" s="61" t="e">
        <f>IF(L198&lt;0,Pricing!E198*$N$5,0)</f>
        <v>#REF!</v>
      </c>
      <c r="N198" s="61" t="e">
        <f t="shared" si="19"/>
        <v>#REF!</v>
      </c>
      <c r="O198" s="60" t="e">
        <f>#REF!</f>
        <v>#REF!</v>
      </c>
      <c r="P198" s="61" t="e">
        <f>IF(O198&lt;0,Pricing!E198*$Q$5,0)</f>
        <v>#REF!</v>
      </c>
      <c r="Q198" s="61" t="e">
        <f t="shared" si="20"/>
        <v>#REF!</v>
      </c>
      <c r="R198" s="60" t="e">
        <f>#REF!</f>
        <v>#REF!</v>
      </c>
      <c r="S198" s="61" t="e">
        <f>IF(R198&lt;0,Pricing!E198*$T$5,0)</f>
        <v>#REF!</v>
      </c>
      <c r="T198" s="61" t="e">
        <f t="shared" si="21"/>
        <v>#REF!</v>
      </c>
    </row>
    <row r="199" spans="1:20" x14ac:dyDescent="0.25">
      <c r="A199" s="58">
        <f t="shared" si="22"/>
        <v>44538.999999999534</v>
      </c>
      <c r="B199" s="59">
        <f t="shared" si="23"/>
        <v>44539.041666666199</v>
      </c>
      <c r="C199" s="60" t="e">
        <f>#REF!</f>
        <v>#REF!</v>
      </c>
      <c r="D199" s="61" t="e">
        <f>IF(C199&gt;0,Pricing!E199*$E$5,0)</f>
        <v>#REF!</v>
      </c>
      <c r="E199" s="61" t="e">
        <f t="shared" si="16"/>
        <v>#REF!</v>
      </c>
      <c r="F199" s="60" t="e">
        <f>#REF!</f>
        <v>#REF!</v>
      </c>
      <c r="G199" s="61" t="e">
        <f>IF(F199&gt;0,Pricing!E199*$H$5,0)</f>
        <v>#REF!</v>
      </c>
      <c r="H199" s="61" t="e">
        <f t="shared" si="17"/>
        <v>#REF!</v>
      </c>
      <c r="I199" s="62" t="e">
        <f>#REF!</f>
        <v>#REF!</v>
      </c>
      <c r="J199" s="61" t="e">
        <f>IF(I199&gt;0,Pricing!E199*$K$5,0)</f>
        <v>#REF!</v>
      </c>
      <c r="K199" s="63" t="e">
        <f t="shared" si="18"/>
        <v>#REF!</v>
      </c>
      <c r="L199" s="64" t="e">
        <f>#REF!</f>
        <v>#REF!</v>
      </c>
      <c r="M199" s="61" t="e">
        <f>IF(L199&lt;0,Pricing!E199*$N$5,0)</f>
        <v>#REF!</v>
      </c>
      <c r="N199" s="61" t="e">
        <f t="shared" si="19"/>
        <v>#REF!</v>
      </c>
      <c r="O199" s="60" t="e">
        <f>#REF!</f>
        <v>#REF!</v>
      </c>
      <c r="P199" s="61" t="e">
        <f>IF(O199&lt;0,Pricing!E199*$Q$5,0)</f>
        <v>#REF!</v>
      </c>
      <c r="Q199" s="61" t="e">
        <f t="shared" si="20"/>
        <v>#REF!</v>
      </c>
      <c r="R199" s="60" t="e">
        <f>#REF!</f>
        <v>#REF!</v>
      </c>
      <c r="S199" s="61" t="e">
        <f>IF(R199&lt;0,Pricing!E199*$T$5,0)</f>
        <v>#REF!</v>
      </c>
      <c r="T199" s="61" t="e">
        <f t="shared" si="21"/>
        <v>#REF!</v>
      </c>
    </row>
    <row r="200" spans="1:20" x14ac:dyDescent="0.25">
      <c r="A200" s="58">
        <f t="shared" si="22"/>
        <v>44539.041666666199</v>
      </c>
      <c r="B200" s="59">
        <f t="shared" si="23"/>
        <v>44539.083333332863</v>
      </c>
      <c r="C200" s="60" t="e">
        <f>#REF!</f>
        <v>#REF!</v>
      </c>
      <c r="D200" s="61" t="e">
        <f>IF(C200&gt;0,Pricing!E200*$E$5,0)</f>
        <v>#REF!</v>
      </c>
      <c r="E200" s="61" t="e">
        <f t="shared" ref="E200:E263" si="24">C200*D200</f>
        <v>#REF!</v>
      </c>
      <c r="F200" s="60" t="e">
        <f>#REF!</f>
        <v>#REF!</v>
      </c>
      <c r="G200" s="61" t="e">
        <f>IF(F200&gt;0,Pricing!E200*$H$5,0)</f>
        <v>#REF!</v>
      </c>
      <c r="H200" s="61" t="e">
        <f t="shared" ref="H200:H263" si="25">F200*G200</f>
        <v>#REF!</v>
      </c>
      <c r="I200" s="62" t="e">
        <f>#REF!</f>
        <v>#REF!</v>
      </c>
      <c r="J200" s="61" t="e">
        <f>IF(I200&gt;0,Pricing!E200*$K$5,0)</f>
        <v>#REF!</v>
      </c>
      <c r="K200" s="63" t="e">
        <f t="shared" ref="K200:K263" si="26">I200*J200</f>
        <v>#REF!</v>
      </c>
      <c r="L200" s="64" t="e">
        <f>#REF!</f>
        <v>#REF!</v>
      </c>
      <c r="M200" s="61" t="e">
        <f>IF(L200&lt;0,Pricing!E200*$N$5,0)</f>
        <v>#REF!</v>
      </c>
      <c r="N200" s="61" t="e">
        <f t="shared" ref="N200:N263" si="27">L200*M200</f>
        <v>#REF!</v>
      </c>
      <c r="O200" s="60" t="e">
        <f>#REF!</f>
        <v>#REF!</v>
      </c>
      <c r="P200" s="61" t="e">
        <f>IF(O200&lt;0,Pricing!E200*$Q$5,0)</f>
        <v>#REF!</v>
      </c>
      <c r="Q200" s="61" t="e">
        <f t="shared" ref="Q200:Q263" si="28">O200*P200</f>
        <v>#REF!</v>
      </c>
      <c r="R200" s="60" t="e">
        <f>#REF!</f>
        <v>#REF!</v>
      </c>
      <c r="S200" s="61" t="e">
        <f>IF(R200&lt;0,Pricing!E200*$T$5,0)</f>
        <v>#REF!</v>
      </c>
      <c r="T200" s="61" t="e">
        <f t="shared" ref="T200:T263" si="29">R200*S200</f>
        <v>#REF!</v>
      </c>
    </row>
    <row r="201" spans="1:20" x14ac:dyDescent="0.25">
      <c r="A201" s="58">
        <f t="shared" ref="A201:A264" si="30">$A200+1/24</f>
        <v>44539.083333332863</v>
      </c>
      <c r="B201" s="59">
        <f t="shared" ref="B201:B264" si="31">B200+1/24</f>
        <v>44539.124999999527</v>
      </c>
      <c r="C201" s="60" t="e">
        <f>#REF!</f>
        <v>#REF!</v>
      </c>
      <c r="D201" s="61" t="e">
        <f>IF(C201&gt;0,Pricing!E201*$E$5,0)</f>
        <v>#REF!</v>
      </c>
      <c r="E201" s="61" t="e">
        <f t="shared" si="24"/>
        <v>#REF!</v>
      </c>
      <c r="F201" s="60" t="e">
        <f>#REF!</f>
        <v>#REF!</v>
      </c>
      <c r="G201" s="61" t="e">
        <f>IF(F201&gt;0,Pricing!E201*$H$5,0)</f>
        <v>#REF!</v>
      </c>
      <c r="H201" s="61" t="e">
        <f t="shared" si="25"/>
        <v>#REF!</v>
      </c>
      <c r="I201" s="62" t="e">
        <f>#REF!</f>
        <v>#REF!</v>
      </c>
      <c r="J201" s="61" t="e">
        <f>IF(I201&gt;0,Pricing!E201*$K$5,0)</f>
        <v>#REF!</v>
      </c>
      <c r="K201" s="63" t="e">
        <f t="shared" si="26"/>
        <v>#REF!</v>
      </c>
      <c r="L201" s="64" t="e">
        <f>#REF!</f>
        <v>#REF!</v>
      </c>
      <c r="M201" s="61" t="e">
        <f>IF(L201&lt;0,Pricing!E201*$N$5,0)</f>
        <v>#REF!</v>
      </c>
      <c r="N201" s="61" t="e">
        <f t="shared" si="27"/>
        <v>#REF!</v>
      </c>
      <c r="O201" s="60" t="e">
        <f>#REF!</f>
        <v>#REF!</v>
      </c>
      <c r="P201" s="61" t="e">
        <f>IF(O201&lt;0,Pricing!E201*$Q$5,0)</f>
        <v>#REF!</v>
      </c>
      <c r="Q201" s="61" t="e">
        <f t="shared" si="28"/>
        <v>#REF!</v>
      </c>
      <c r="R201" s="60" t="e">
        <f>#REF!</f>
        <v>#REF!</v>
      </c>
      <c r="S201" s="61" t="e">
        <f>IF(R201&lt;0,Pricing!E201*$T$5,0)</f>
        <v>#REF!</v>
      </c>
      <c r="T201" s="61" t="e">
        <f t="shared" si="29"/>
        <v>#REF!</v>
      </c>
    </row>
    <row r="202" spans="1:20" x14ac:dyDescent="0.25">
      <c r="A202" s="58">
        <f t="shared" si="30"/>
        <v>44539.124999999527</v>
      </c>
      <c r="B202" s="59">
        <f t="shared" si="31"/>
        <v>44539.166666666191</v>
      </c>
      <c r="C202" s="60" t="e">
        <f>#REF!</f>
        <v>#REF!</v>
      </c>
      <c r="D202" s="61" t="e">
        <f>IF(C202&gt;0,Pricing!E202*$E$5,0)</f>
        <v>#REF!</v>
      </c>
      <c r="E202" s="61" t="e">
        <f t="shared" si="24"/>
        <v>#REF!</v>
      </c>
      <c r="F202" s="60" t="e">
        <f>#REF!</f>
        <v>#REF!</v>
      </c>
      <c r="G202" s="61" t="e">
        <f>IF(F202&gt;0,Pricing!E202*$H$5,0)</f>
        <v>#REF!</v>
      </c>
      <c r="H202" s="61" t="e">
        <f t="shared" si="25"/>
        <v>#REF!</v>
      </c>
      <c r="I202" s="62" t="e">
        <f>#REF!</f>
        <v>#REF!</v>
      </c>
      <c r="J202" s="61" t="e">
        <f>IF(I202&gt;0,Pricing!E202*$K$5,0)</f>
        <v>#REF!</v>
      </c>
      <c r="K202" s="63" t="e">
        <f t="shared" si="26"/>
        <v>#REF!</v>
      </c>
      <c r="L202" s="64" t="e">
        <f>#REF!</f>
        <v>#REF!</v>
      </c>
      <c r="M202" s="61" t="e">
        <f>IF(L202&lt;0,Pricing!E202*$N$5,0)</f>
        <v>#REF!</v>
      </c>
      <c r="N202" s="61" t="e">
        <f t="shared" si="27"/>
        <v>#REF!</v>
      </c>
      <c r="O202" s="60" t="e">
        <f>#REF!</f>
        <v>#REF!</v>
      </c>
      <c r="P202" s="61" t="e">
        <f>IF(O202&lt;0,Pricing!E202*$Q$5,0)</f>
        <v>#REF!</v>
      </c>
      <c r="Q202" s="61" t="e">
        <f t="shared" si="28"/>
        <v>#REF!</v>
      </c>
      <c r="R202" s="60" t="e">
        <f>#REF!</f>
        <v>#REF!</v>
      </c>
      <c r="S202" s="61" t="e">
        <f>IF(R202&lt;0,Pricing!E202*$T$5,0)</f>
        <v>#REF!</v>
      </c>
      <c r="T202" s="61" t="e">
        <f t="shared" si="29"/>
        <v>#REF!</v>
      </c>
    </row>
    <row r="203" spans="1:20" x14ac:dyDescent="0.25">
      <c r="A203" s="58">
        <f t="shared" si="30"/>
        <v>44539.166666666191</v>
      </c>
      <c r="B203" s="59">
        <f t="shared" si="31"/>
        <v>44539.208333332856</v>
      </c>
      <c r="C203" s="60" t="e">
        <f>#REF!</f>
        <v>#REF!</v>
      </c>
      <c r="D203" s="61" t="e">
        <f>IF(C203&gt;0,Pricing!E203*$E$5,0)</f>
        <v>#REF!</v>
      </c>
      <c r="E203" s="61" t="e">
        <f t="shared" si="24"/>
        <v>#REF!</v>
      </c>
      <c r="F203" s="60" t="e">
        <f>#REF!</f>
        <v>#REF!</v>
      </c>
      <c r="G203" s="61" t="e">
        <f>IF(F203&gt;0,Pricing!E203*$H$5,0)</f>
        <v>#REF!</v>
      </c>
      <c r="H203" s="61" t="e">
        <f t="shared" si="25"/>
        <v>#REF!</v>
      </c>
      <c r="I203" s="62" t="e">
        <f>#REF!</f>
        <v>#REF!</v>
      </c>
      <c r="J203" s="61" t="e">
        <f>IF(I203&gt;0,Pricing!E203*$K$5,0)</f>
        <v>#REF!</v>
      </c>
      <c r="K203" s="63" t="e">
        <f t="shared" si="26"/>
        <v>#REF!</v>
      </c>
      <c r="L203" s="64" t="e">
        <f>#REF!</f>
        <v>#REF!</v>
      </c>
      <c r="M203" s="61" t="e">
        <f>IF(L203&lt;0,Pricing!E203*$N$5,0)</f>
        <v>#REF!</v>
      </c>
      <c r="N203" s="61" t="e">
        <f t="shared" si="27"/>
        <v>#REF!</v>
      </c>
      <c r="O203" s="60" t="e">
        <f>#REF!</f>
        <v>#REF!</v>
      </c>
      <c r="P203" s="61" t="e">
        <f>IF(O203&lt;0,Pricing!E203*$Q$5,0)</f>
        <v>#REF!</v>
      </c>
      <c r="Q203" s="61" t="e">
        <f t="shared" si="28"/>
        <v>#REF!</v>
      </c>
      <c r="R203" s="60" t="e">
        <f>#REF!</f>
        <v>#REF!</v>
      </c>
      <c r="S203" s="61" t="e">
        <f>IF(R203&lt;0,Pricing!E203*$T$5,0)</f>
        <v>#REF!</v>
      </c>
      <c r="T203" s="61" t="e">
        <f t="shared" si="29"/>
        <v>#REF!</v>
      </c>
    </row>
    <row r="204" spans="1:20" x14ac:dyDescent="0.25">
      <c r="A204" s="58">
        <f t="shared" si="30"/>
        <v>44539.208333332856</v>
      </c>
      <c r="B204" s="59">
        <f t="shared" si="31"/>
        <v>44539.24999999952</v>
      </c>
      <c r="C204" s="60" t="e">
        <f>#REF!</f>
        <v>#REF!</v>
      </c>
      <c r="D204" s="61" t="e">
        <f>IF(C204&gt;0,Pricing!E204*$E$5,0)</f>
        <v>#REF!</v>
      </c>
      <c r="E204" s="61" t="e">
        <f t="shared" si="24"/>
        <v>#REF!</v>
      </c>
      <c r="F204" s="60" t="e">
        <f>#REF!</f>
        <v>#REF!</v>
      </c>
      <c r="G204" s="61" t="e">
        <f>IF(F204&gt;0,Pricing!E204*$H$5,0)</f>
        <v>#REF!</v>
      </c>
      <c r="H204" s="61" t="e">
        <f t="shared" si="25"/>
        <v>#REF!</v>
      </c>
      <c r="I204" s="62" t="e">
        <f>#REF!</f>
        <v>#REF!</v>
      </c>
      <c r="J204" s="61" t="e">
        <f>IF(I204&gt;0,Pricing!E204*$K$5,0)</f>
        <v>#REF!</v>
      </c>
      <c r="K204" s="63" t="e">
        <f t="shared" si="26"/>
        <v>#REF!</v>
      </c>
      <c r="L204" s="64" t="e">
        <f>#REF!</f>
        <v>#REF!</v>
      </c>
      <c r="M204" s="61" t="e">
        <f>IF(L204&lt;0,Pricing!E204*$N$5,0)</f>
        <v>#REF!</v>
      </c>
      <c r="N204" s="61" t="e">
        <f t="shared" si="27"/>
        <v>#REF!</v>
      </c>
      <c r="O204" s="60" t="e">
        <f>#REF!</f>
        <v>#REF!</v>
      </c>
      <c r="P204" s="61" t="e">
        <f>IF(O204&lt;0,Pricing!E204*$Q$5,0)</f>
        <v>#REF!</v>
      </c>
      <c r="Q204" s="61" t="e">
        <f t="shared" si="28"/>
        <v>#REF!</v>
      </c>
      <c r="R204" s="60" t="e">
        <f>#REF!</f>
        <v>#REF!</v>
      </c>
      <c r="S204" s="61" t="e">
        <f>IF(R204&lt;0,Pricing!E204*$T$5,0)</f>
        <v>#REF!</v>
      </c>
      <c r="T204" s="61" t="e">
        <f t="shared" si="29"/>
        <v>#REF!</v>
      </c>
    </row>
    <row r="205" spans="1:20" x14ac:dyDescent="0.25">
      <c r="A205" s="58">
        <f t="shared" si="30"/>
        <v>44539.24999999952</v>
      </c>
      <c r="B205" s="59">
        <f t="shared" si="31"/>
        <v>44539.291666666184</v>
      </c>
      <c r="C205" s="60" t="e">
        <f>#REF!</f>
        <v>#REF!</v>
      </c>
      <c r="D205" s="61" t="e">
        <f>IF(C205&gt;0,Pricing!E205*$E$5,0)</f>
        <v>#REF!</v>
      </c>
      <c r="E205" s="61" t="e">
        <f t="shared" si="24"/>
        <v>#REF!</v>
      </c>
      <c r="F205" s="60" t="e">
        <f>#REF!</f>
        <v>#REF!</v>
      </c>
      <c r="G205" s="61" t="e">
        <f>IF(F205&gt;0,Pricing!E205*$H$5,0)</f>
        <v>#REF!</v>
      </c>
      <c r="H205" s="61" t="e">
        <f t="shared" si="25"/>
        <v>#REF!</v>
      </c>
      <c r="I205" s="62" t="e">
        <f>#REF!</f>
        <v>#REF!</v>
      </c>
      <c r="J205" s="61" t="e">
        <f>IF(I205&gt;0,Pricing!E205*$K$5,0)</f>
        <v>#REF!</v>
      </c>
      <c r="K205" s="63" t="e">
        <f t="shared" si="26"/>
        <v>#REF!</v>
      </c>
      <c r="L205" s="64" t="e">
        <f>#REF!</f>
        <v>#REF!</v>
      </c>
      <c r="M205" s="61" t="e">
        <f>IF(L205&lt;0,Pricing!E205*$N$5,0)</f>
        <v>#REF!</v>
      </c>
      <c r="N205" s="61" t="e">
        <f t="shared" si="27"/>
        <v>#REF!</v>
      </c>
      <c r="O205" s="60" t="e">
        <f>#REF!</f>
        <v>#REF!</v>
      </c>
      <c r="P205" s="61" t="e">
        <f>IF(O205&lt;0,Pricing!E205*$Q$5,0)</f>
        <v>#REF!</v>
      </c>
      <c r="Q205" s="61" t="e">
        <f t="shared" si="28"/>
        <v>#REF!</v>
      </c>
      <c r="R205" s="60" t="e">
        <f>#REF!</f>
        <v>#REF!</v>
      </c>
      <c r="S205" s="61" t="e">
        <f>IF(R205&lt;0,Pricing!E205*$T$5,0)</f>
        <v>#REF!</v>
      </c>
      <c r="T205" s="61" t="e">
        <f t="shared" si="29"/>
        <v>#REF!</v>
      </c>
    </row>
    <row r="206" spans="1:20" x14ac:dyDescent="0.25">
      <c r="A206" s="58">
        <f t="shared" si="30"/>
        <v>44539.291666666184</v>
      </c>
      <c r="B206" s="59">
        <f t="shared" si="31"/>
        <v>44539.333333332848</v>
      </c>
      <c r="C206" s="60" t="e">
        <f>#REF!</f>
        <v>#REF!</v>
      </c>
      <c r="D206" s="61" t="e">
        <f>IF(C206&gt;0,Pricing!E206*$E$5,0)</f>
        <v>#REF!</v>
      </c>
      <c r="E206" s="61" t="e">
        <f t="shared" si="24"/>
        <v>#REF!</v>
      </c>
      <c r="F206" s="60" t="e">
        <f>#REF!</f>
        <v>#REF!</v>
      </c>
      <c r="G206" s="61" t="e">
        <f>IF(F206&gt;0,Pricing!E206*$H$5,0)</f>
        <v>#REF!</v>
      </c>
      <c r="H206" s="61" t="e">
        <f t="shared" si="25"/>
        <v>#REF!</v>
      </c>
      <c r="I206" s="62" t="e">
        <f>#REF!</f>
        <v>#REF!</v>
      </c>
      <c r="J206" s="61" t="e">
        <f>IF(I206&gt;0,Pricing!E206*$K$5,0)</f>
        <v>#REF!</v>
      </c>
      <c r="K206" s="63" t="e">
        <f t="shared" si="26"/>
        <v>#REF!</v>
      </c>
      <c r="L206" s="64" t="e">
        <f>#REF!</f>
        <v>#REF!</v>
      </c>
      <c r="M206" s="61" t="e">
        <f>IF(L206&lt;0,Pricing!E206*$N$5,0)</f>
        <v>#REF!</v>
      </c>
      <c r="N206" s="61" t="e">
        <f t="shared" si="27"/>
        <v>#REF!</v>
      </c>
      <c r="O206" s="60" t="e">
        <f>#REF!</f>
        <v>#REF!</v>
      </c>
      <c r="P206" s="61" t="e">
        <f>IF(O206&lt;0,Pricing!E206*$Q$5,0)</f>
        <v>#REF!</v>
      </c>
      <c r="Q206" s="61" t="e">
        <f t="shared" si="28"/>
        <v>#REF!</v>
      </c>
      <c r="R206" s="60" t="e">
        <f>#REF!</f>
        <v>#REF!</v>
      </c>
      <c r="S206" s="61" t="e">
        <f>IF(R206&lt;0,Pricing!E206*$T$5,0)</f>
        <v>#REF!</v>
      </c>
      <c r="T206" s="61" t="e">
        <f t="shared" si="29"/>
        <v>#REF!</v>
      </c>
    </row>
    <row r="207" spans="1:20" x14ac:dyDescent="0.25">
      <c r="A207" s="58">
        <f t="shared" si="30"/>
        <v>44539.333333332848</v>
      </c>
      <c r="B207" s="59">
        <f t="shared" si="31"/>
        <v>44539.374999999513</v>
      </c>
      <c r="C207" s="60" t="e">
        <f>#REF!</f>
        <v>#REF!</v>
      </c>
      <c r="D207" s="61" t="e">
        <f>IF(C207&gt;0,Pricing!E207*$E$5,0)</f>
        <v>#REF!</v>
      </c>
      <c r="E207" s="61" t="e">
        <f t="shared" si="24"/>
        <v>#REF!</v>
      </c>
      <c r="F207" s="60" t="e">
        <f>#REF!</f>
        <v>#REF!</v>
      </c>
      <c r="G207" s="61" t="e">
        <f>IF(F207&gt;0,Pricing!E207*$H$5,0)</f>
        <v>#REF!</v>
      </c>
      <c r="H207" s="61" t="e">
        <f t="shared" si="25"/>
        <v>#REF!</v>
      </c>
      <c r="I207" s="62" t="e">
        <f>#REF!</f>
        <v>#REF!</v>
      </c>
      <c r="J207" s="61" t="e">
        <f>IF(I207&gt;0,Pricing!E207*$K$5,0)</f>
        <v>#REF!</v>
      </c>
      <c r="K207" s="63" t="e">
        <f t="shared" si="26"/>
        <v>#REF!</v>
      </c>
      <c r="L207" s="64" t="e">
        <f>#REF!</f>
        <v>#REF!</v>
      </c>
      <c r="M207" s="61" t="e">
        <f>IF(L207&lt;0,Pricing!E207*$N$5,0)</f>
        <v>#REF!</v>
      </c>
      <c r="N207" s="61" t="e">
        <f t="shared" si="27"/>
        <v>#REF!</v>
      </c>
      <c r="O207" s="60" t="e">
        <f>#REF!</f>
        <v>#REF!</v>
      </c>
      <c r="P207" s="61" t="e">
        <f>IF(O207&lt;0,Pricing!E207*$Q$5,0)</f>
        <v>#REF!</v>
      </c>
      <c r="Q207" s="61" t="e">
        <f t="shared" si="28"/>
        <v>#REF!</v>
      </c>
      <c r="R207" s="60" t="e">
        <f>#REF!</f>
        <v>#REF!</v>
      </c>
      <c r="S207" s="61" t="e">
        <f>IF(R207&lt;0,Pricing!E207*$T$5,0)</f>
        <v>#REF!</v>
      </c>
      <c r="T207" s="61" t="e">
        <f t="shared" si="29"/>
        <v>#REF!</v>
      </c>
    </row>
    <row r="208" spans="1:20" x14ac:dyDescent="0.25">
      <c r="A208" s="58">
        <f t="shared" si="30"/>
        <v>44539.374999999513</v>
      </c>
      <c r="B208" s="59">
        <f t="shared" si="31"/>
        <v>44539.416666666177</v>
      </c>
      <c r="C208" s="60" t="e">
        <f>#REF!</f>
        <v>#REF!</v>
      </c>
      <c r="D208" s="61" t="e">
        <f>IF(C208&gt;0,Pricing!E208*$E$5,0)</f>
        <v>#REF!</v>
      </c>
      <c r="E208" s="61" t="e">
        <f t="shared" si="24"/>
        <v>#REF!</v>
      </c>
      <c r="F208" s="60" t="e">
        <f>#REF!</f>
        <v>#REF!</v>
      </c>
      <c r="G208" s="61" t="e">
        <f>IF(F208&gt;0,Pricing!E208*$H$5,0)</f>
        <v>#REF!</v>
      </c>
      <c r="H208" s="61" t="e">
        <f t="shared" si="25"/>
        <v>#REF!</v>
      </c>
      <c r="I208" s="62" t="e">
        <f>#REF!</f>
        <v>#REF!</v>
      </c>
      <c r="J208" s="61" t="e">
        <f>IF(I208&gt;0,Pricing!E208*$K$5,0)</f>
        <v>#REF!</v>
      </c>
      <c r="K208" s="63" t="e">
        <f t="shared" si="26"/>
        <v>#REF!</v>
      </c>
      <c r="L208" s="64" t="e">
        <f>#REF!</f>
        <v>#REF!</v>
      </c>
      <c r="M208" s="61" t="e">
        <f>IF(L208&lt;0,Pricing!E208*$N$5,0)</f>
        <v>#REF!</v>
      </c>
      <c r="N208" s="61" t="e">
        <f t="shared" si="27"/>
        <v>#REF!</v>
      </c>
      <c r="O208" s="60" t="e">
        <f>#REF!</f>
        <v>#REF!</v>
      </c>
      <c r="P208" s="61" t="e">
        <f>IF(O208&lt;0,Pricing!E208*$Q$5,0)</f>
        <v>#REF!</v>
      </c>
      <c r="Q208" s="61" t="e">
        <f t="shared" si="28"/>
        <v>#REF!</v>
      </c>
      <c r="R208" s="60" t="e">
        <f>#REF!</f>
        <v>#REF!</v>
      </c>
      <c r="S208" s="61" t="e">
        <f>IF(R208&lt;0,Pricing!E208*$T$5,0)</f>
        <v>#REF!</v>
      </c>
      <c r="T208" s="61" t="e">
        <f t="shared" si="29"/>
        <v>#REF!</v>
      </c>
    </row>
    <row r="209" spans="1:20" x14ac:dyDescent="0.25">
      <c r="A209" s="58">
        <f t="shared" si="30"/>
        <v>44539.416666666177</v>
      </c>
      <c r="B209" s="59">
        <f t="shared" si="31"/>
        <v>44539.458333332841</v>
      </c>
      <c r="C209" s="60" t="e">
        <f>#REF!</f>
        <v>#REF!</v>
      </c>
      <c r="D209" s="61" t="e">
        <f>IF(C209&gt;0,Pricing!E209*$E$5,0)</f>
        <v>#REF!</v>
      </c>
      <c r="E209" s="61" t="e">
        <f t="shared" si="24"/>
        <v>#REF!</v>
      </c>
      <c r="F209" s="60" t="e">
        <f>#REF!</f>
        <v>#REF!</v>
      </c>
      <c r="G209" s="61" t="e">
        <f>IF(F209&gt;0,Pricing!E209*$H$5,0)</f>
        <v>#REF!</v>
      </c>
      <c r="H209" s="61" t="e">
        <f t="shared" si="25"/>
        <v>#REF!</v>
      </c>
      <c r="I209" s="62" t="e">
        <f>#REF!</f>
        <v>#REF!</v>
      </c>
      <c r="J209" s="61" t="e">
        <f>IF(I209&gt;0,Pricing!E209*$K$5,0)</f>
        <v>#REF!</v>
      </c>
      <c r="K209" s="63" t="e">
        <f t="shared" si="26"/>
        <v>#REF!</v>
      </c>
      <c r="L209" s="64" t="e">
        <f>#REF!</f>
        <v>#REF!</v>
      </c>
      <c r="M209" s="61" t="e">
        <f>IF(L209&lt;0,Pricing!E209*$N$5,0)</f>
        <v>#REF!</v>
      </c>
      <c r="N209" s="61" t="e">
        <f t="shared" si="27"/>
        <v>#REF!</v>
      </c>
      <c r="O209" s="60" t="e">
        <f>#REF!</f>
        <v>#REF!</v>
      </c>
      <c r="P209" s="61" t="e">
        <f>IF(O209&lt;0,Pricing!E209*$Q$5,0)</f>
        <v>#REF!</v>
      </c>
      <c r="Q209" s="61" t="e">
        <f t="shared" si="28"/>
        <v>#REF!</v>
      </c>
      <c r="R209" s="60" t="e">
        <f>#REF!</f>
        <v>#REF!</v>
      </c>
      <c r="S209" s="61" t="e">
        <f>IF(R209&lt;0,Pricing!E209*$T$5,0)</f>
        <v>#REF!</v>
      </c>
      <c r="T209" s="61" t="e">
        <f t="shared" si="29"/>
        <v>#REF!</v>
      </c>
    </row>
    <row r="210" spans="1:20" x14ac:dyDescent="0.25">
      <c r="A210" s="58">
        <f t="shared" si="30"/>
        <v>44539.458333332841</v>
      </c>
      <c r="B210" s="59">
        <f t="shared" si="31"/>
        <v>44539.499999999505</v>
      </c>
      <c r="C210" s="60" t="e">
        <f>#REF!</f>
        <v>#REF!</v>
      </c>
      <c r="D210" s="61" t="e">
        <f>IF(C210&gt;0,Pricing!E210*$E$5,0)</f>
        <v>#REF!</v>
      </c>
      <c r="E210" s="61" t="e">
        <f t="shared" si="24"/>
        <v>#REF!</v>
      </c>
      <c r="F210" s="60" t="e">
        <f>#REF!</f>
        <v>#REF!</v>
      </c>
      <c r="G210" s="61" t="e">
        <f>IF(F210&gt;0,Pricing!E210*$H$5,0)</f>
        <v>#REF!</v>
      </c>
      <c r="H210" s="61" t="e">
        <f t="shared" si="25"/>
        <v>#REF!</v>
      </c>
      <c r="I210" s="62" t="e">
        <f>#REF!</f>
        <v>#REF!</v>
      </c>
      <c r="J210" s="61" t="e">
        <f>IF(I210&gt;0,Pricing!E210*$K$5,0)</f>
        <v>#REF!</v>
      </c>
      <c r="K210" s="63" t="e">
        <f t="shared" si="26"/>
        <v>#REF!</v>
      </c>
      <c r="L210" s="64" t="e">
        <f>#REF!</f>
        <v>#REF!</v>
      </c>
      <c r="M210" s="61" t="e">
        <f>IF(L210&lt;0,Pricing!E210*$N$5,0)</f>
        <v>#REF!</v>
      </c>
      <c r="N210" s="61" t="e">
        <f t="shared" si="27"/>
        <v>#REF!</v>
      </c>
      <c r="O210" s="60" t="e">
        <f>#REF!</f>
        <v>#REF!</v>
      </c>
      <c r="P210" s="61" t="e">
        <f>IF(O210&lt;0,Pricing!E210*$Q$5,0)</f>
        <v>#REF!</v>
      </c>
      <c r="Q210" s="61" t="e">
        <f t="shared" si="28"/>
        <v>#REF!</v>
      </c>
      <c r="R210" s="60" t="e">
        <f>#REF!</f>
        <v>#REF!</v>
      </c>
      <c r="S210" s="61" t="e">
        <f>IF(R210&lt;0,Pricing!E210*$T$5,0)</f>
        <v>#REF!</v>
      </c>
      <c r="T210" s="61" t="e">
        <f t="shared" si="29"/>
        <v>#REF!</v>
      </c>
    </row>
    <row r="211" spans="1:20" x14ac:dyDescent="0.25">
      <c r="A211" s="58">
        <f t="shared" si="30"/>
        <v>44539.499999999505</v>
      </c>
      <c r="B211" s="59">
        <f t="shared" si="31"/>
        <v>44539.541666666169</v>
      </c>
      <c r="C211" s="60" t="e">
        <f>#REF!</f>
        <v>#REF!</v>
      </c>
      <c r="D211" s="61" t="e">
        <f>IF(C211&gt;0,Pricing!E211*$E$5,0)</f>
        <v>#REF!</v>
      </c>
      <c r="E211" s="61" t="e">
        <f t="shared" si="24"/>
        <v>#REF!</v>
      </c>
      <c r="F211" s="60" t="e">
        <f>#REF!</f>
        <v>#REF!</v>
      </c>
      <c r="G211" s="61" t="e">
        <f>IF(F211&gt;0,Pricing!E211*$H$5,0)</f>
        <v>#REF!</v>
      </c>
      <c r="H211" s="61" t="e">
        <f t="shared" si="25"/>
        <v>#REF!</v>
      </c>
      <c r="I211" s="62" t="e">
        <f>#REF!</f>
        <v>#REF!</v>
      </c>
      <c r="J211" s="61" t="e">
        <f>IF(I211&gt;0,Pricing!E211*$K$5,0)</f>
        <v>#REF!</v>
      </c>
      <c r="K211" s="63" t="e">
        <f t="shared" si="26"/>
        <v>#REF!</v>
      </c>
      <c r="L211" s="64" t="e">
        <f>#REF!</f>
        <v>#REF!</v>
      </c>
      <c r="M211" s="61" t="e">
        <f>IF(L211&lt;0,Pricing!E211*$N$5,0)</f>
        <v>#REF!</v>
      </c>
      <c r="N211" s="61" t="e">
        <f t="shared" si="27"/>
        <v>#REF!</v>
      </c>
      <c r="O211" s="60" t="e">
        <f>#REF!</f>
        <v>#REF!</v>
      </c>
      <c r="P211" s="61" t="e">
        <f>IF(O211&lt;0,Pricing!E211*$Q$5,0)</f>
        <v>#REF!</v>
      </c>
      <c r="Q211" s="61" t="e">
        <f t="shared" si="28"/>
        <v>#REF!</v>
      </c>
      <c r="R211" s="60" t="e">
        <f>#REF!</f>
        <v>#REF!</v>
      </c>
      <c r="S211" s="61" t="e">
        <f>IF(R211&lt;0,Pricing!E211*$T$5,0)</f>
        <v>#REF!</v>
      </c>
      <c r="T211" s="61" t="e">
        <f t="shared" si="29"/>
        <v>#REF!</v>
      </c>
    </row>
    <row r="212" spans="1:20" x14ac:dyDescent="0.25">
      <c r="A212" s="58">
        <f t="shared" si="30"/>
        <v>44539.541666666169</v>
      </c>
      <c r="B212" s="59">
        <f t="shared" si="31"/>
        <v>44539.583333332834</v>
      </c>
      <c r="C212" s="60" t="e">
        <f>#REF!</f>
        <v>#REF!</v>
      </c>
      <c r="D212" s="61" t="e">
        <f>IF(C212&gt;0,Pricing!E212*$E$5,0)</f>
        <v>#REF!</v>
      </c>
      <c r="E212" s="61" t="e">
        <f t="shared" si="24"/>
        <v>#REF!</v>
      </c>
      <c r="F212" s="60" t="e">
        <f>#REF!</f>
        <v>#REF!</v>
      </c>
      <c r="G212" s="61" t="e">
        <f>IF(F212&gt;0,Pricing!E212*$H$5,0)</f>
        <v>#REF!</v>
      </c>
      <c r="H212" s="61" t="e">
        <f t="shared" si="25"/>
        <v>#REF!</v>
      </c>
      <c r="I212" s="62" t="e">
        <f>#REF!</f>
        <v>#REF!</v>
      </c>
      <c r="J212" s="61" t="e">
        <f>IF(I212&gt;0,Pricing!E212*$K$5,0)</f>
        <v>#REF!</v>
      </c>
      <c r="K212" s="63" t="e">
        <f t="shared" si="26"/>
        <v>#REF!</v>
      </c>
      <c r="L212" s="64" t="e">
        <f>#REF!</f>
        <v>#REF!</v>
      </c>
      <c r="M212" s="61" t="e">
        <f>IF(L212&lt;0,Pricing!E212*$N$5,0)</f>
        <v>#REF!</v>
      </c>
      <c r="N212" s="61" t="e">
        <f t="shared" si="27"/>
        <v>#REF!</v>
      </c>
      <c r="O212" s="60" t="e">
        <f>#REF!</f>
        <v>#REF!</v>
      </c>
      <c r="P212" s="61" t="e">
        <f>IF(O212&lt;0,Pricing!E212*$Q$5,0)</f>
        <v>#REF!</v>
      </c>
      <c r="Q212" s="61" t="e">
        <f t="shared" si="28"/>
        <v>#REF!</v>
      </c>
      <c r="R212" s="60" t="e">
        <f>#REF!</f>
        <v>#REF!</v>
      </c>
      <c r="S212" s="61" t="e">
        <f>IF(R212&lt;0,Pricing!E212*$T$5,0)</f>
        <v>#REF!</v>
      </c>
      <c r="T212" s="61" t="e">
        <f t="shared" si="29"/>
        <v>#REF!</v>
      </c>
    </row>
    <row r="213" spans="1:20" x14ac:dyDescent="0.25">
      <c r="A213" s="58">
        <f t="shared" si="30"/>
        <v>44539.583333332834</v>
      </c>
      <c r="B213" s="59">
        <f t="shared" si="31"/>
        <v>44539.624999999498</v>
      </c>
      <c r="C213" s="60" t="e">
        <f>#REF!</f>
        <v>#REF!</v>
      </c>
      <c r="D213" s="61" t="e">
        <f>IF(C213&gt;0,Pricing!E213*$E$5,0)</f>
        <v>#REF!</v>
      </c>
      <c r="E213" s="61" t="e">
        <f t="shared" si="24"/>
        <v>#REF!</v>
      </c>
      <c r="F213" s="60" t="e">
        <f>#REF!</f>
        <v>#REF!</v>
      </c>
      <c r="G213" s="61" t="e">
        <f>IF(F213&gt;0,Pricing!E213*$H$5,0)</f>
        <v>#REF!</v>
      </c>
      <c r="H213" s="61" t="e">
        <f t="shared" si="25"/>
        <v>#REF!</v>
      </c>
      <c r="I213" s="62" t="e">
        <f>#REF!</f>
        <v>#REF!</v>
      </c>
      <c r="J213" s="61" t="e">
        <f>IF(I213&gt;0,Pricing!E213*$K$5,0)</f>
        <v>#REF!</v>
      </c>
      <c r="K213" s="63" t="e">
        <f t="shared" si="26"/>
        <v>#REF!</v>
      </c>
      <c r="L213" s="64" t="e">
        <f>#REF!</f>
        <v>#REF!</v>
      </c>
      <c r="M213" s="61" t="e">
        <f>IF(L213&lt;0,Pricing!E213*$N$5,0)</f>
        <v>#REF!</v>
      </c>
      <c r="N213" s="61" t="e">
        <f t="shared" si="27"/>
        <v>#REF!</v>
      </c>
      <c r="O213" s="60" t="e">
        <f>#REF!</f>
        <v>#REF!</v>
      </c>
      <c r="P213" s="61" t="e">
        <f>IF(O213&lt;0,Pricing!E213*$Q$5,0)</f>
        <v>#REF!</v>
      </c>
      <c r="Q213" s="61" t="e">
        <f t="shared" si="28"/>
        <v>#REF!</v>
      </c>
      <c r="R213" s="60" t="e">
        <f>#REF!</f>
        <v>#REF!</v>
      </c>
      <c r="S213" s="61" t="e">
        <f>IF(R213&lt;0,Pricing!E213*$T$5,0)</f>
        <v>#REF!</v>
      </c>
      <c r="T213" s="61" t="e">
        <f t="shared" si="29"/>
        <v>#REF!</v>
      </c>
    </row>
    <row r="214" spans="1:20" x14ac:dyDescent="0.25">
      <c r="A214" s="58">
        <f t="shared" si="30"/>
        <v>44539.624999999498</v>
      </c>
      <c r="B214" s="59">
        <f t="shared" si="31"/>
        <v>44539.666666666162</v>
      </c>
      <c r="C214" s="60" t="e">
        <f>#REF!</f>
        <v>#REF!</v>
      </c>
      <c r="D214" s="61" t="e">
        <f>IF(C214&gt;0,Pricing!E214*$E$5,0)</f>
        <v>#REF!</v>
      </c>
      <c r="E214" s="61" t="e">
        <f t="shared" si="24"/>
        <v>#REF!</v>
      </c>
      <c r="F214" s="60" t="e">
        <f>#REF!</f>
        <v>#REF!</v>
      </c>
      <c r="G214" s="61" t="e">
        <f>IF(F214&gt;0,Pricing!E214*$H$5,0)</f>
        <v>#REF!</v>
      </c>
      <c r="H214" s="61" t="e">
        <f t="shared" si="25"/>
        <v>#REF!</v>
      </c>
      <c r="I214" s="62" t="e">
        <f>#REF!</f>
        <v>#REF!</v>
      </c>
      <c r="J214" s="61" t="e">
        <f>IF(I214&gt;0,Pricing!E214*$K$5,0)</f>
        <v>#REF!</v>
      </c>
      <c r="K214" s="63" t="e">
        <f t="shared" si="26"/>
        <v>#REF!</v>
      </c>
      <c r="L214" s="64" t="e">
        <f>#REF!</f>
        <v>#REF!</v>
      </c>
      <c r="M214" s="61" t="e">
        <f>IF(L214&lt;0,Pricing!E214*$N$5,0)</f>
        <v>#REF!</v>
      </c>
      <c r="N214" s="61" t="e">
        <f t="shared" si="27"/>
        <v>#REF!</v>
      </c>
      <c r="O214" s="60" t="e">
        <f>#REF!</f>
        <v>#REF!</v>
      </c>
      <c r="P214" s="61" t="e">
        <f>IF(O214&lt;0,Pricing!E214*$Q$5,0)</f>
        <v>#REF!</v>
      </c>
      <c r="Q214" s="61" t="e">
        <f t="shared" si="28"/>
        <v>#REF!</v>
      </c>
      <c r="R214" s="60" t="e">
        <f>#REF!</f>
        <v>#REF!</v>
      </c>
      <c r="S214" s="61" t="e">
        <f>IF(R214&lt;0,Pricing!E214*$T$5,0)</f>
        <v>#REF!</v>
      </c>
      <c r="T214" s="61" t="e">
        <f t="shared" si="29"/>
        <v>#REF!</v>
      </c>
    </row>
    <row r="215" spans="1:20" x14ac:dyDescent="0.25">
      <c r="A215" s="58">
        <f t="shared" si="30"/>
        <v>44539.666666666162</v>
      </c>
      <c r="B215" s="59">
        <f t="shared" si="31"/>
        <v>44539.708333332826</v>
      </c>
      <c r="C215" s="60" t="e">
        <f>#REF!</f>
        <v>#REF!</v>
      </c>
      <c r="D215" s="61" t="e">
        <f>IF(C215&gt;0,Pricing!E215*$E$5,0)</f>
        <v>#REF!</v>
      </c>
      <c r="E215" s="61" t="e">
        <f t="shared" si="24"/>
        <v>#REF!</v>
      </c>
      <c r="F215" s="60" t="e">
        <f>#REF!</f>
        <v>#REF!</v>
      </c>
      <c r="G215" s="61" t="e">
        <f>IF(F215&gt;0,Pricing!E215*$H$5,0)</f>
        <v>#REF!</v>
      </c>
      <c r="H215" s="61" t="e">
        <f t="shared" si="25"/>
        <v>#REF!</v>
      </c>
      <c r="I215" s="62" t="e">
        <f>#REF!</f>
        <v>#REF!</v>
      </c>
      <c r="J215" s="61" t="e">
        <f>IF(I215&gt;0,Pricing!E215*$K$5,0)</f>
        <v>#REF!</v>
      </c>
      <c r="K215" s="63" t="e">
        <f t="shared" si="26"/>
        <v>#REF!</v>
      </c>
      <c r="L215" s="64" t="e">
        <f>#REF!</f>
        <v>#REF!</v>
      </c>
      <c r="M215" s="61" t="e">
        <f>IF(L215&lt;0,Pricing!E215*$N$5,0)</f>
        <v>#REF!</v>
      </c>
      <c r="N215" s="61" t="e">
        <f t="shared" si="27"/>
        <v>#REF!</v>
      </c>
      <c r="O215" s="60" t="e">
        <f>#REF!</f>
        <v>#REF!</v>
      </c>
      <c r="P215" s="61" t="e">
        <f>IF(O215&lt;0,Pricing!E215*$Q$5,0)</f>
        <v>#REF!</v>
      </c>
      <c r="Q215" s="61" t="e">
        <f t="shared" si="28"/>
        <v>#REF!</v>
      </c>
      <c r="R215" s="60" t="e">
        <f>#REF!</f>
        <v>#REF!</v>
      </c>
      <c r="S215" s="61" t="e">
        <f>IF(R215&lt;0,Pricing!E215*$T$5,0)</f>
        <v>#REF!</v>
      </c>
      <c r="T215" s="61" t="e">
        <f t="shared" si="29"/>
        <v>#REF!</v>
      </c>
    </row>
    <row r="216" spans="1:20" x14ac:dyDescent="0.25">
      <c r="A216" s="58">
        <f t="shared" si="30"/>
        <v>44539.708333332826</v>
      </c>
      <c r="B216" s="59">
        <f t="shared" si="31"/>
        <v>44539.749999999491</v>
      </c>
      <c r="C216" s="60" t="e">
        <f>#REF!</f>
        <v>#REF!</v>
      </c>
      <c r="D216" s="61" t="e">
        <f>IF(C216&gt;0,Pricing!E216*$E$5,0)</f>
        <v>#REF!</v>
      </c>
      <c r="E216" s="61" t="e">
        <f t="shared" si="24"/>
        <v>#REF!</v>
      </c>
      <c r="F216" s="60" t="e">
        <f>#REF!</f>
        <v>#REF!</v>
      </c>
      <c r="G216" s="61" t="e">
        <f>IF(F216&gt;0,Pricing!E216*$H$5,0)</f>
        <v>#REF!</v>
      </c>
      <c r="H216" s="61" t="e">
        <f t="shared" si="25"/>
        <v>#REF!</v>
      </c>
      <c r="I216" s="62" t="e">
        <f>#REF!</f>
        <v>#REF!</v>
      </c>
      <c r="J216" s="61" t="e">
        <f>IF(I216&gt;0,Pricing!E216*$K$5,0)</f>
        <v>#REF!</v>
      </c>
      <c r="K216" s="63" t="e">
        <f t="shared" si="26"/>
        <v>#REF!</v>
      </c>
      <c r="L216" s="64" t="e">
        <f>#REF!</f>
        <v>#REF!</v>
      </c>
      <c r="M216" s="61" t="e">
        <f>IF(L216&lt;0,Pricing!E216*$N$5,0)</f>
        <v>#REF!</v>
      </c>
      <c r="N216" s="61" t="e">
        <f t="shared" si="27"/>
        <v>#REF!</v>
      </c>
      <c r="O216" s="60" t="e">
        <f>#REF!</f>
        <v>#REF!</v>
      </c>
      <c r="P216" s="61" t="e">
        <f>IF(O216&lt;0,Pricing!E216*$Q$5,0)</f>
        <v>#REF!</v>
      </c>
      <c r="Q216" s="61" t="e">
        <f t="shared" si="28"/>
        <v>#REF!</v>
      </c>
      <c r="R216" s="60" t="e">
        <f>#REF!</f>
        <v>#REF!</v>
      </c>
      <c r="S216" s="61" t="e">
        <f>IF(R216&lt;0,Pricing!E216*$T$5,0)</f>
        <v>#REF!</v>
      </c>
      <c r="T216" s="61" t="e">
        <f t="shared" si="29"/>
        <v>#REF!</v>
      </c>
    </row>
    <row r="217" spans="1:20" x14ac:dyDescent="0.25">
      <c r="A217" s="58">
        <f t="shared" si="30"/>
        <v>44539.749999999491</v>
      </c>
      <c r="B217" s="59">
        <f t="shared" si="31"/>
        <v>44539.791666666155</v>
      </c>
      <c r="C217" s="60" t="e">
        <f>#REF!</f>
        <v>#REF!</v>
      </c>
      <c r="D217" s="61" t="e">
        <f>IF(C217&gt;0,Pricing!E217*$E$5,0)</f>
        <v>#REF!</v>
      </c>
      <c r="E217" s="61" t="e">
        <f t="shared" si="24"/>
        <v>#REF!</v>
      </c>
      <c r="F217" s="60" t="e">
        <f>#REF!</f>
        <v>#REF!</v>
      </c>
      <c r="G217" s="61" t="e">
        <f>IF(F217&gt;0,Pricing!E217*$H$5,0)</f>
        <v>#REF!</v>
      </c>
      <c r="H217" s="61" t="e">
        <f t="shared" si="25"/>
        <v>#REF!</v>
      </c>
      <c r="I217" s="62" t="e">
        <f>#REF!</f>
        <v>#REF!</v>
      </c>
      <c r="J217" s="61" t="e">
        <f>IF(I217&gt;0,Pricing!E217*$K$5,0)</f>
        <v>#REF!</v>
      </c>
      <c r="K217" s="63" t="e">
        <f t="shared" si="26"/>
        <v>#REF!</v>
      </c>
      <c r="L217" s="64" t="e">
        <f>#REF!</f>
        <v>#REF!</v>
      </c>
      <c r="M217" s="61" t="e">
        <f>IF(L217&lt;0,Pricing!E217*$N$5,0)</f>
        <v>#REF!</v>
      </c>
      <c r="N217" s="61" t="e">
        <f t="shared" si="27"/>
        <v>#REF!</v>
      </c>
      <c r="O217" s="60" t="e">
        <f>#REF!</f>
        <v>#REF!</v>
      </c>
      <c r="P217" s="61" t="e">
        <f>IF(O217&lt;0,Pricing!E217*$Q$5,0)</f>
        <v>#REF!</v>
      </c>
      <c r="Q217" s="61" t="e">
        <f t="shared" si="28"/>
        <v>#REF!</v>
      </c>
      <c r="R217" s="60" t="e">
        <f>#REF!</f>
        <v>#REF!</v>
      </c>
      <c r="S217" s="61" t="e">
        <f>IF(R217&lt;0,Pricing!E217*$T$5,0)</f>
        <v>#REF!</v>
      </c>
      <c r="T217" s="61" t="e">
        <f t="shared" si="29"/>
        <v>#REF!</v>
      </c>
    </row>
    <row r="218" spans="1:20" x14ac:dyDescent="0.25">
      <c r="A218" s="58">
        <f t="shared" si="30"/>
        <v>44539.791666666155</v>
      </c>
      <c r="B218" s="59">
        <f t="shared" si="31"/>
        <v>44539.833333332819</v>
      </c>
      <c r="C218" s="60" t="e">
        <f>#REF!</f>
        <v>#REF!</v>
      </c>
      <c r="D218" s="61" t="e">
        <f>IF(C218&gt;0,Pricing!E218*$E$5,0)</f>
        <v>#REF!</v>
      </c>
      <c r="E218" s="61" t="e">
        <f t="shared" si="24"/>
        <v>#REF!</v>
      </c>
      <c r="F218" s="60" t="e">
        <f>#REF!</f>
        <v>#REF!</v>
      </c>
      <c r="G218" s="61" t="e">
        <f>IF(F218&gt;0,Pricing!E218*$H$5,0)</f>
        <v>#REF!</v>
      </c>
      <c r="H218" s="61" t="e">
        <f t="shared" si="25"/>
        <v>#REF!</v>
      </c>
      <c r="I218" s="62" t="e">
        <f>#REF!</f>
        <v>#REF!</v>
      </c>
      <c r="J218" s="61" t="e">
        <f>IF(I218&gt;0,Pricing!E218*$K$5,0)</f>
        <v>#REF!</v>
      </c>
      <c r="K218" s="63" t="e">
        <f t="shared" si="26"/>
        <v>#REF!</v>
      </c>
      <c r="L218" s="64" t="e">
        <f>#REF!</f>
        <v>#REF!</v>
      </c>
      <c r="M218" s="61" t="e">
        <f>IF(L218&lt;0,Pricing!E218*$N$5,0)</f>
        <v>#REF!</v>
      </c>
      <c r="N218" s="61" t="e">
        <f t="shared" si="27"/>
        <v>#REF!</v>
      </c>
      <c r="O218" s="60" t="e">
        <f>#REF!</f>
        <v>#REF!</v>
      </c>
      <c r="P218" s="61" t="e">
        <f>IF(O218&lt;0,Pricing!E218*$Q$5,0)</f>
        <v>#REF!</v>
      </c>
      <c r="Q218" s="61" t="e">
        <f t="shared" si="28"/>
        <v>#REF!</v>
      </c>
      <c r="R218" s="60" t="e">
        <f>#REF!</f>
        <v>#REF!</v>
      </c>
      <c r="S218" s="61" t="e">
        <f>IF(R218&lt;0,Pricing!E218*$T$5,0)</f>
        <v>#REF!</v>
      </c>
      <c r="T218" s="61" t="e">
        <f t="shared" si="29"/>
        <v>#REF!</v>
      </c>
    </row>
    <row r="219" spans="1:20" x14ac:dyDescent="0.25">
      <c r="A219" s="58">
        <f t="shared" si="30"/>
        <v>44539.833333332819</v>
      </c>
      <c r="B219" s="59">
        <f t="shared" si="31"/>
        <v>44539.874999999483</v>
      </c>
      <c r="C219" s="60" t="e">
        <f>#REF!</f>
        <v>#REF!</v>
      </c>
      <c r="D219" s="61" t="e">
        <f>IF(C219&gt;0,Pricing!E219*$E$5,0)</f>
        <v>#REF!</v>
      </c>
      <c r="E219" s="61" t="e">
        <f t="shared" si="24"/>
        <v>#REF!</v>
      </c>
      <c r="F219" s="60" t="e">
        <f>#REF!</f>
        <v>#REF!</v>
      </c>
      <c r="G219" s="61" t="e">
        <f>IF(F219&gt;0,Pricing!E219*$H$5,0)</f>
        <v>#REF!</v>
      </c>
      <c r="H219" s="61" t="e">
        <f t="shared" si="25"/>
        <v>#REF!</v>
      </c>
      <c r="I219" s="62" t="e">
        <f>#REF!</f>
        <v>#REF!</v>
      </c>
      <c r="J219" s="61" t="e">
        <f>IF(I219&gt;0,Pricing!E219*$K$5,0)</f>
        <v>#REF!</v>
      </c>
      <c r="K219" s="63" t="e">
        <f t="shared" si="26"/>
        <v>#REF!</v>
      </c>
      <c r="L219" s="64" t="e">
        <f>#REF!</f>
        <v>#REF!</v>
      </c>
      <c r="M219" s="61" t="e">
        <f>IF(L219&lt;0,Pricing!E219*$N$5,0)</f>
        <v>#REF!</v>
      </c>
      <c r="N219" s="61" t="e">
        <f t="shared" si="27"/>
        <v>#REF!</v>
      </c>
      <c r="O219" s="60" t="e">
        <f>#REF!</f>
        <v>#REF!</v>
      </c>
      <c r="P219" s="61" t="e">
        <f>IF(O219&lt;0,Pricing!E219*$Q$5,0)</f>
        <v>#REF!</v>
      </c>
      <c r="Q219" s="61" t="e">
        <f t="shared" si="28"/>
        <v>#REF!</v>
      </c>
      <c r="R219" s="60" t="e">
        <f>#REF!</f>
        <v>#REF!</v>
      </c>
      <c r="S219" s="61" t="e">
        <f>IF(R219&lt;0,Pricing!E219*$T$5,0)</f>
        <v>#REF!</v>
      </c>
      <c r="T219" s="61" t="e">
        <f t="shared" si="29"/>
        <v>#REF!</v>
      </c>
    </row>
    <row r="220" spans="1:20" x14ac:dyDescent="0.25">
      <c r="A220" s="58">
        <f t="shared" si="30"/>
        <v>44539.874999999483</v>
      </c>
      <c r="B220" s="59">
        <f t="shared" si="31"/>
        <v>44539.916666666148</v>
      </c>
      <c r="C220" s="60" t="e">
        <f>#REF!</f>
        <v>#REF!</v>
      </c>
      <c r="D220" s="61" t="e">
        <f>IF(C220&gt;0,Pricing!E220*$E$5,0)</f>
        <v>#REF!</v>
      </c>
      <c r="E220" s="61" t="e">
        <f t="shared" si="24"/>
        <v>#REF!</v>
      </c>
      <c r="F220" s="60" t="e">
        <f>#REF!</f>
        <v>#REF!</v>
      </c>
      <c r="G220" s="61" t="e">
        <f>IF(F220&gt;0,Pricing!E220*$H$5,0)</f>
        <v>#REF!</v>
      </c>
      <c r="H220" s="61" t="e">
        <f t="shared" si="25"/>
        <v>#REF!</v>
      </c>
      <c r="I220" s="62" t="e">
        <f>#REF!</f>
        <v>#REF!</v>
      </c>
      <c r="J220" s="61" t="e">
        <f>IF(I220&gt;0,Pricing!E220*$K$5,0)</f>
        <v>#REF!</v>
      </c>
      <c r="K220" s="63" t="e">
        <f t="shared" si="26"/>
        <v>#REF!</v>
      </c>
      <c r="L220" s="64" t="e">
        <f>#REF!</f>
        <v>#REF!</v>
      </c>
      <c r="M220" s="61" t="e">
        <f>IF(L220&lt;0,Pricing!E220*$N$5,0)</f>
        <v>#REF!</v>
      </c>
      <c r="N220" s="61" t="e">
        <f t="shared" si="27"/>
        <v>#REF!</v>
      </c>
      <c r="O220" s="60" t="e">
        <f>#REF!</f>
        <v>#REF!</v>
      </c>
      <c r="P220" s="61" t="e">
        <f>IF(O220&lt;0,Pricing!E220*$Q$5,0)</f>
        <v>#REF!</v>
      </c>
      <c r="Q220" s="61" t="e">
        <f t="shared" si="28"/>
        <v>#REF!</v>
      </c>
      <c r="R220" s="60" t="e">
        <f>#REF!</f>
        <v>#REF!</v>
      </c>
      <c r="S220" s="61" t="e">
        <f>IF(R220&lt;0,Pricing!E220*$T$5,0)</f>
        <v>#REF!</v>
      </c>
      <c r="T220" s="61" t="e">
        <f t="shared" si="29"/>
        <v>#REF!</v>
      </c>
    </row>
    <row r="221" spans="1:20" x14ac:dyDescent="0.25">
      <c r="A221" s="58">
        <f t="shared" si="30"/>
        <v>44539.916666666148</v>
      </c>
      <c r="B221" s="59">
        <f t="shared" si="31"/>
        <v>44539.958333332812</v>
      </c>
      <c r="C221" s="60" t="e">
        <f>#REF!</f>
        <v>#REF!</v>
      </c>
      <c r="D221" s="61" t="e">
        <f>IF(C221&gt;0,Pricing!E221*$E$5,0)</f>
        <v>#REF!</v>
      </c>
      <c r="E221" s="61" t="e">
        <f t="shared" si="24"/>
        <v>#REF!</v>
      </c>
      <c r="F221" s="60" t="e">
        <f>#REF!</f>
        <v>#REF!</v>
      </c>
      <c r="G221" s="61" t="e">
        <f>IF(F221&gt;0,Pricing!E221*$H$5,0)</f>
        <v>#REF!</v>
      </c>
      <c r="H221" s="61" t="e">
        <f t="shared" si="25"/>
        <v>#REF!</v>
      </c>
      <c r="I221" s="62" t="e">
        <f>#REF!</f>
        <v>#REF!</v>
      </c>
      <c r="J221" s="61" t="e">
        <f>IF(I221&gt;0,Pricing!E221*$K$5,0)</f>
        <v>#REF!</v>
      </c>
      <c r="K221" s="63" t="e">
        <f t="shared" si="26"/>
        <v>#REF!</v>
      </c>
      <c r="L221" s="64" t="e">
        <f>#REF!</f>
        <v>#REF!</v>
      </c>
      <c r="M221" s="61" t="e">
        <f>IF(L221&lt;0,Pricing!E221*$N$5,0)</f>
        <v>#REF!</v>
      </c>
      <c r="N221" s="61" t="e">
        <f t="shared" si="27"/>
        <v>#REF!</v>
      </c>
      <c r="O221" s="60" t="e">
        <f>#REF!</f>
        <v>#REF!</v>
      </c>
      <c r="P221" s="61" t="e">
        <f>IF(O221&lt;0,Pricing!E221*$Q$5,0)</f>
        <v>#REF!</v>
      </c>
      <c r="Q221" s="61" t="e">
        <f t="shared" si="28"/>
        <v>#REF!</v>
      </c>
      <c r="R221" s="60" t="e">
        <f>#REF!</f>
        <v>#REF!</v>
      </c>
      <c r="S221" s="61" t="e">
        <f>IF(R221&lt;0,Pricing!E221*$T$5,0)</f>
        <v>#REF!</v>
      </c>
      <c r="T221" s="61" t="e">
        <f t="shared" si="29"/>
        <v>#REF!</v>
      </c>
    </row>
    <row r="222" spans="1:20" x14ac:dyDescent="0.25">
      <c r="A222" s="58">
        <f t="shared" si="30"/>
        <v>44539.958333332812</v>
      </c>
      <c r="B222" s="59">
        <f t="shared" si="31"/>
        <v>44539.999999999476</v>
      </c>
      <c r="C222" s="60" t="e">
        <f>#REF!</f>
        <v>#REF!</v>
      </c>
      <c r="D222" s="61" t="e">
        <f>IF(C222&gt;0,Pricing!E222*$E$5,0)</f>
        <v>#REF!</v>
      </c>
      <c r="E222" s="61" t="e">
        <f t="shared" si="24"/>
        <v>#REF!</v>
      </c>
      <c r="F222" s="60" t="e">
        <f>#REF!</f>
        <v>#REF!</v>
      </c>
      <c r="G222" s="61" t="e">
        <f>IF(F222&gt;0,Pricing!E222*$H$5,0)</f>
        <v>#REF!</v>
      </c>
      <c r="H222" s="61" t="e">
        <f t="shared" si="25"/>
        <v>#REF!</v>
      </c>
      <c r="I222" s="62" t="e">
        <f>#REF!</f>
        <v>#REF!</v>
      </c>
      <c r="J222" s="61" t="e">
        <f>IF(I222&gt;0,Pricing!E222*$K$5,0)</f>
        <v>#REF!</v>
      </c>
      <c r="K222" s="63" t="e">
        <f t="shared" si="26"/>
        <v>#REF!</v>
      </c>
      <c r="L222" s="64" t="e">
        <f>#REF!</f>
        <v>#REF!</v>
      </c>
      <c r="M222" s="61" t="e">
        <f>IF(L222&lt;0,Pricing!E222*$N$5,0)</f>
        <v>#REF!</v>
      </c>
      <c r="N222" s="61" t="e">
        <f t="shared" si="27"/>
        <v>#REF!</v>
      </c>
      <c r="O222" s="60" t="e">
        <f>#REF!</f>
        <v>#REF!</v>
      </c>
      <c r="P222" s="61" t="e">
        <f>IF(O222&lt;0,Pricing!E222*$Q$5,0)</f>
        <v>#REF!</v>
      </c>
      <c r="Q222" s="61" t="e">
        <f t="shared" si="28"/>
        <v>#REF!</v>
      </c>
      <c r="R222" s="60" t="e">
        <f>#REF!</f>
        <v>#REF!</v>
      </c>
      <c r="S222" s="61" t="e">
        <f>IF(R222&lt;0,Pricing!E222*$T$5,0)</f>
        <v>#REF!</v>
      </c>
      <c r="T222" s="61" t="e">
        <f t="shared" si="29"/>
        <v>#REF!</v>
      </c>
    </row>
    <row r="223" spans="1:20" x14ac:dyDescent="0.25">
      <c r="A223" s="58">
        <f t="shared" si="30"/>
        <v>44539.999999999476</v>
      </c>
      <c r="B223" s="59">
        <f t="shared" si="31"/>
        <v>44540.04166666614</v>
      </c>
      <c r="C223" s="60" t="e">
        <f>#REF!</f>
        <v>#REF!</v>
      </c>
      <c r="D223" s="61" t="e">
        <f>IF(C223&gt;0,Pricing!E223*$E$5,0)</f>
        <v>#REF!</v>
      </c>
      <c r="E223" s="61" t="e">
        <f t="shared" si="24"/>
        <v>#REF!</v>
      </c>
      <c r="F223" s="60" t="e">
        <f>#REF!</f>
        <v>#REF!</v>
      </c>
      <c r="G223" s="61" t="e">
        <f>IF(F223&gt;0,Pricing!E223*$H$5,0)</f>
        <v>#REF!</v>
      </c>
      <c r="H223" s="61" t="e">
        <f t="shared" si="25"/>
        <v>#REF!</v>
      </c>
      <c r="I223" s="62" t="e">
        <f>#REF!</f>
        <v>#REF!</v>
      </c>
      <c r="J223" s="61" t="e">
        <f>IF(I223&gt;0,Pricing!E223*$K$5,0)</f>
        <v>#REF!</v>
      </c>
      <c r="K223" s="63" t="e">
        <f t="shared" si="26"/>
        <v>#REF!</v>
      </c>
      <c r="L223" s="64" t="e">
        <f>#REF!</f>
        <v>#REF!</v>
      </c>
      <c r="M223" s="61" t="e">
        <f>IF(L223&lt;0,Pricing!E223*$N$5,0)</f>
        <v>#REF!</v>
      </c>
      <c r="N223" s="61" t="e">
        <f t="shared" si="27"/>
        <v>#REF!</v>
      </c>
      <c r="O223" s="60" t="e">
        <f>#REF!</f>
        <v>#REF!</v>
      </c>
      <c r="P223" s="61" t="e">
        <f>IF(O223&lt;0,Pricing!E223*$Q$5,0)</f>
        <v>#REF!</v>
      </c>
      <c r="Q223" s="61" t="e">
        <f t="shared" si="28"/>
        <v>#REF!</v>
      </c>
      <c r="R223" s="60" t="e">
        <f>#REF!</f>
        <v>#REF!</v>
      </c>
      <c r="S223" s="61" t="e">
        <f>IF(R223&lt;0,Pricing!E223*$T$5,0)</f>
        <v>#REF!</v>
      </c>
      <c r="T223" s="61" t="e">
        <f t="shared" si="29"/>
        <v>#REF!</v>
      </c>
    </row>
    <row r="224" spans="1:20" x14ac:dyDescent="0.25">
      <c r="A224" s="58">
        <f t="shared" si="30"/>
        <v>44540.04166666614</v>
      </c>
      <c r="B224" s="59">
        <f t="shared" si="31"/>
        <v>44540.083333332805</v>
      </c>
      <c r="C224" s="60" t="e">
        <f>#REF!</f>
        <v>#REF!</v>
      </c>
      <c r="D224" s="61" t="e">
        <f>IF(C224&gt;0,Pricing!E224*$E$5,0)</f>
        <v>#REF!</v>
      </c>
      <c r="E224" s="61" t="e">
        <f t="shared" si="24"/>
        <v>#REF!</v>
      </c>
      <c r="F224" s="60" t="e">
        <f>#REF!</f>
        <v>#REF!</v>
      </c>
      <c r="G224" s="61" t="e">
        <f>IF(F224&gt;0,Pricing!E224*$H$5,0)</f>
        <v>#REF!</v>
      </c>
      <c r="H224" s="61" t="e">
        <f t="shared" si="25"/>
        <v>#REF!</v>
      </c>
      <c r="I224" s="62" t="e">
        <f>#REF!</f>
        <v>#REF!</v>
      </c>
      <c r="J224" s="61" t="e">
        <f>IF(I224&gt;0,Pricing!E224*$K$5,0)</f>
        <v>#REF!</v>
      </c>
      <c r="K224" s="63" t="e">
        <f t="shared" si="26"/>
        <v>#REF!</v>
      </c>
      <c r="L224" s="64" t="e">
        <f>#REF!</f>
        <v>#REF!</v>
      </c>
      <c r="M224" s="61" t="e">
        <f>IF(L224&lt;0,Pricing!E224*$N$5,0)</f>
        <v>#REF!</v>
      </c>
      <c r="N224" s="61" t="e">
        <f t="shared" si="27"/>
        <v>#REF!</v>
      </c>
      <c r="O224" s="60" t="e">
        <f>#REF!</f>
        <v>#REF!</v>
      </c>
      <c r="P224" s="61" t="e">
        <f>IF(O224&lt;0,Pricing!E224*$Q$5,0)</f>
        <v>#REF!</v>
      </c>
      <c r="Q224" s="61" t="e">
        <f t="shared" si="28"/>
        <v>#REF!</v>
      </c>
      <c r="R224" s="60" t="e">
        <f>#REF!</f>
        <v>#REF!</v>
      </c>
      <c r="S224" s="61" t="e">
        <f>IF(R224&lt;0,Pricing!E224*$T$5,0)</f>
        <v>#REF!</v>
      </c>
      <c r="T224" s="61" t="e">
        <f t="shared" si="29"/>
        <v>#REF!</v>
      </c>
    </row>
    <row r="225" spans="1:20" x14ac:dyDescent="0.25">
      <c r="A225" s="58">
        <f t="shared" si="30"/>
        <v>44540.083333332805</v>
      </c>
      <c r="B225" s="59">
        <f t="shared" si="31"/>
        <v>44540.124999999469</v>
      </c>
      <c r="C225" s="60" t="e">
        <f>#REF!</f>
        <v>#REF!</v>
      </c>
      <c r="D225" s="61" t="e">
        <f>IF(C225&gt;0,Pricing!E225*$E$5,0)</f>
        <v>#REF!</v>
      </c>
      <c r="E225" s="61" t="e">
        <f t="shared" si="24"/>
        <v>#REF!</v>
      </c>
      <c r="F225" s="60" t="e">
        <f>#REF!</f>
        <v>#REF!</v>
      </c>
      <c r="G225" s="61" t="e">
        <f>IF(F225&gt;0,Pricing!E225*$H$5,0)</f>
        <v>#REF!</v>
      </c>
      <c r="H225" s="61" t="e">
        <f t="shared" si="25"/>
        <v>#REF!</v>
      </c>
      <c r="I225" s="62" t="e">
        <f>#REF!</f>
        <v>#REF!</v>
      </c>
      <c r="J225" s="61" t="e">
        <f>IF(I225&gt;0,Pricing!E225*$K$5,0)</f>
        <v>#REF!</v>
      </c>
      <c r="K225" s="63" t="e">
        <f t="shared" si="26"/>
        <v>#REF!</v>
      </c>
      <c r="L225" s="64" t="e">
        <f>#REF!</f>
        <v>#REF!</v>
      </c>
      <c r="M225" s="61" t="e">
        <f>IF(L225&lt;0,Pricing!E225*$N$5,0)</f>
        <v>#REF!</v>
      </c>
      <c r="N225" s="61" t="e">
        <f t="shared" si="27"/>
        <v>#REF!</v>
      </c>
      <c r="O225" s="60" t="e">
        <f>#REF!</f>
        <v>#REF!</v>
      </c>
      <c r="P225" s="61" t="e">
        <f>IF(O225&lt;0,Pricing!E225*$Q$5,0)</f>
        <v>#REF!</v>
      </c>
      <c r="Q225" s="61" t="e">
        <f t="shared" si="28"/>
        <v>#REF!</v>
      </c>
      <c r="R225" s="60" t="e">
        <f>#REF!</f>
        <v>#REF!</v>
      </c>
      <c r="S225" s="61" t="e">
        <f>IF(R225&lt;0,Pricing!E225*$T$5,0)</f>
        <v>#REF!</v>
      </c>
      <c r="T225" s="61" t="e">
        <f t="shared" si="29"/>
        <v>#REF!</v>
      </c>
    </row>
    <row r="226" spans="1:20" x14ac:dyDescent="0.25">
      <c r="A226" s="58">
        <f t="shared" si="30"/>
        <v>44540.124999999469</v>
      </c>
      <c r="B226" s="59">
        <f t="shared" si="31"/>
        <v>44540.166666666133</v>
      </c>
      <c r="C226" s="60" t="e">
        <f>#REF!</f>
        <v>#REF!</v>
      </c>
      <c r="D226" s="61" t="e">
        <f>IF(C226&gt;0,Pricing!E226*$E$5,0)</f>
        <v>#REF!</v>
      </c>
      <c r="E226" s="61" t="e">
        <f t="shared" si="24"/>
        <v>#REF!</v>
      </c>
      <c r="F226" s="60" t="e">
        <f>#REF!</f>
        <v>#REF!</v>
      </c>
      <c r="G226" s="61" t="e">
        <f>IF(F226&gt;0,Pricing!E226*$H$5,0)</f>
        <v>#REF!</v>
      </c>
      <c r="H226" s="61" t="e">
        <f t="shared" si="25"/>
        <v>#REF!</v>
      </c>
      <c r="I226" s="62" t="e">
        <f>#REF!</f>
        <v>#REF!</v>
      </c>
      <c r="J226" s="61" t="e">
        <f>IF(I226&gt;0,Pricing!E226*$K$5,0)</f>
        <v>#REF!</v>
      </c>
      <c r="K226" s="63" t="e">
        <f t="shared" si="26"/>
        <v>#REF!</v>
      </c>
      <c r="L226" s="64" t="e">
        <f>#REF!</f>
        <v>#REF!</v>
      </c>
      <c r="M226" s="61" t="e">
        <f>IF(L226&lt;0,Pricing!E226*$N$5,0)</f>
        <v>#REF!</v>
      </c>
      <c r="N226" s="61" t="e">
        <f t="shared" si="27"/>
        <v>#REF!</v>
      </c>
      <c r="O226" s="60" t="e">
        <f>#REF!</f>
        <v>#REF!</v>
      </c>
      <c r="P226" s="61" t="e">
        <f>IF(O226&lt;0,Pricing!E226*$Q$5,0)</f>
        <v>#REF!</v>
      </c>
      <c r="Q226" s="61" t="e">
        <f t="shared" si="28"/>
        <v>#REF!</v>
      </c>
      <c r="R226" s="60" t="e">
        <f>#REF!</f>
        <v>#REF!</v>
      </c>
      <c r="S226" s="61" t="e">
        <f>IF(R226&lt;0,Pricing!E226*$T$5,0)</f>
        <v>#REF!</v>
      </c>
      <c r="T226" s="61" t="e">
        <f t="shared" si="29"/>
        <v>#REF!</v>
      </c>
    </row>
    <row r="227" spans="1:20" x14ac:dyDescent="0.25">
      <c r="A227" s="58">
        <f t="shared" si="30"/>
        <v>44540.166666666133</v>
      </c>
      <c r="B227" s="59">
        <f t="shared" si="31"/>
        <v>44540.208333332797</v>
      </c>
      <c r="C227" s="60" t="e">
        <f>#REF!</f>
        <v>#REF!</v>
      </c>
      <c r="D227" s="61" t="e">
        <f>IF(C227&gt;0,Pricing!E227*$E$5,0)</f>
        <v>#REF!</v>
      </c>
      <c r="E227" s="61" t="e">
        <f t="shared" si="24"/>
        <v>#REF!</v>
      </c>
      <c r="F227" s="60" t="e">
        <f>#REF!</f>
        <v>#REF!</v>
      </c>
      <c r="G227" s="61" t="e">
        <f>IF(F227&gt;0,Pricing!E227*$H$5,0)</f>
        <v>#REF!</v>
      </c>
      <c r="H227" s="61" t="e">
        <f t="shared" si="25"/>
        <v>#REF!</v>
      </c>
      <c r="I227" s="62" t="e">
        <f>#REF!</f>
        <v>#REF!</v>
      </c>
      <c r="J227" s="61" t="e">
        <f>IF(I227&gt;0,Pricing!E227*$K$5,0)</f>
        <v>#REF!</v>
      </c>
      <c r="K227" s="63" t="e">
        <f t="shared" si="26"/>
        <v>#REF!</v>
      </c>
      <c r="L227" s="64" t="e">
        <f>#REF!</f>
        <v>#REF!</v>
      </c>
      <c r="M227" s="61" t="e">
        <f>IF(L227&lt;0,Pricing!E227*$N$5,0)</f>
        <v>#REF!</v>
      </c>
      <c r="N227" s="61" t="e">
        <f t="shared" si="27"/>
        <v>#REF!</v>
      </c>
      <c r="O227" s="60" t="e">
        <f>#REF!</f>
        <v>#REF!</v>
      </c>
      <c r="P227" s="61" t="e">
        <f>IF(O227&lt;0,Pricing!E227*$Q$5,0)</f>
        <v>#REF!</v>
      </c>
      <c r="Q227" s="61" t="e">
        <f t="shared" si="28"/>
        <v>#REF!</v>
      </c>
      <c r="R227" s="60" t="e">
        <f>#REF!</f>
        <v>#REF!</v>
      </c>
      <c r="S227" s="61" t="e">
        <f>IF(R227&lt;0,Pricing!E227*$T$5,0)</f>
        <v>#REF!</v>
      </c>
      <c r="T227" s="61" t="e">
        <f t="shared" si="29"/>
        <v>#REF!</v>
      </c>
    </row>
    <row r="228" spans="1:20" x14ac:dyDescent="0.25">
      <c r="A228" s="58">
        <f t="shared" si="30"/>
        <v>44540.208333332797</v>
      </c>
      <c r="B228" s="59">
        <f t="shared" si="31"/>
        <v>44540.249999999462</v>
      </c>
      <c r="C228" s="60" t="e">
        <f>#REF!</f>
        <v>#REF!</v>
      </c>
      <c r="D228" s="61" t="e">
        <f>IF(C228&gt;0,Pricing!E228*$E$5,0)</f>
        <v>#REF!</v>
      </c>
      <c r="E228" s="61" t="e">
        <f t="shared" si="24"/>
        <v>#REF!</v>
      </c>
      <c r="F228" s="60" t="e">
        <f>#REF!</f>
        <v>#REF!</v>
      </c>
      <c r="G228" s="61" t="e">
        <f>IF(F228&gt;0,Pricing!E228*$H$5,0)</f>
        <v>#REF!</v>
      </c>
      <c r="H228" s="61" t="e">
        <f t="shared" si="25"/>
        <v>#REF!</v>
      </c>
      <c r="I228" s="62" t="e">
        <f>#REF!</f>
        <v>#REF!</v>
      </c>
      <c r="J228" s="61" t="e">
        <f>IF(I228&gt;0,Pricing!E228*$K$5,0)</f>
        <v>#REF!</v>
      </c>
      <c r="K228" s="63" t="e">
        <f t="shared" si="26"/>
        <v>#REF!</v>
      </c>
      <c r="L228" s="64" t="e">
        <f>#REF!</f>
        <v>#REF!</v>
      </c>
      <c r="M228" s="61" t="e">
        <f>IF(L228&lt;0,Pricing!E228*$N$5,0)</f>
        <v>#REF!</v>
      </c>
      <c r="N228" s="61" t="e">
        <f t="shared" si="27"/>
        <v>#REF!</v>
      </c>
      <c r="O228" s="60" t="e">
        <f>#REF!</f>
        <v>#REF!</v>
      </c>
      <c r="P228" s="61" t="e">
        <f>IF(O228&lt;0,Pricing!E228*$Q$5,0)</f>
        <v>#REF!</v>
      </c>
      <c r="Q228" s="61" t="e">
        <f t="shared" si="28"/>
        <v>#REF!</v>
      </c>
      <c r="R228" s="60" t="e">
        <f>#REF!</f>
        <v>#REF!</v>
      </c>
      <c r="S228" s="61" t="e">
        <f>IF(R228&lt;0,Pricing!E228*$T$5,0)</f>
        <v>#REF!</v>
      </c>
      <c r="T228" s="61" t="e">
        <f t="shared" si="29"/>
        <v>#REF!</v>
      </c>
    </row>
    <row r="229" spans="1:20" x14ac:dyDescent="0.25">
      <c r="A229" s="58">
        <f t="shared" si="30"/>
        <v>44540.249999999462</v>
      </c>
      <c r="B229" s="59">
        <f t="shared" si="31"/>
        <v>44540.291666666126</v>
      </c>
      <c r="C229" s="60" t="e">
        <f>#REF!</f>
        <v>#REF!</v>
      </c>
      <c r="D229" s="61" t="e">
        <f>IF(C229&gt;0,Pricing!E229*$E$5,0)</f>
        <v>#REF!</v>
      </c>
      <c r="E229" s="61" t="e">
        <f t="shared" si="24"/>
        <v>#REF!</v>
      </c>
      <c r="F229" s="60" t="e">
        <f>#REF!</f>
        <v>#REF!</v>
      </c>
      <c r="G229" s="61" t="e">
        <f>IF(F229&gt;0,Pricing!E229*$H$5,0)</f>
        <v>#REF!</v>
      </c>
      <c r="H229" s="61" t="e">
        <f t="shared" si="25"/>
        <v>#REF!</v>
      </c>
      <c r="I229" s="62" t="e">
        <f>#REF!</f>
        <v>#REF!</v>
      </c>
      <c r="J229" s="61" t="e">
        <f>IF(I229&gt;0,Pricing!E229*$K$5,0)</f>
        <v>#REF!</v>
      </c>
      <c r="K229" s="63" t="e">
        <f t="shared" si="26"/>
        <v>#REF!</v>
      </c>
      <c r="L229" s="64" t="e">
        <f>#REF!</f>
        <v>#REF!</v>
      </c>
      <c r="M229" s="61" t="e">
        <f>IF(L229&lt;0,Pricing!E229*$N$5,0)</f>
        <v>#REF!</v>
      </c>
      <c r="N229" s="61" t="e">
        <f t="shared" si="27"/>
        <v>#REF!</v>
      </c>
      <c r="O229" s="60" t="e">
        <f>#REF!</f>
        <v>#REF!</v>
      </c>
      <c r="P229" s="61" t="e">
        <f>IF(O229&lt;0,Pricing!E229*$Q$5,0)</f>
        <v>#REF!</v>
      </c>
      <c r="Q229" s="61" t="e">
        <f t="shared" si="28"/>
        <v>#REF!</v>
      </c>
      <c r="R229" s="60" t="e">
        <f>#REF!</f>
        <v>#REF!</v>
      </c>
      <c r="S229" s="61" t="e">
        <f>IF(R229&lt;0,Pricing!E229*$T$5,0)</f>
        <v>#REF!</v>
      </c>
      <c r="T229" s="61" t="e">
        <f t="shared" si="29"/>
        <v>#REF!</v>
      </c>
    </row>
    <row r="230" spans="1:20" x14ac:dyDescent="0.25">
      <c r="A230" s="58">
        <f t="shared" si="30"/>
        <v>44540.291666666126</v>
      </c>
      <c r="B230" s="59">
        <f t="shared" si="31"/>
        <v>44540.33333333279</v>
      </c>
      <c r="C230" s="60" t="e">
        <f>#REF!</f>
        <v>#REF!</v>
      </c>
      <c r="D230" s="61" t="e">
        <f>IF(C230&gt;0,Pricing!E230*$E$5,0)</f>
        <v>#REF!</v>
      </c>
      <c r="E230" s="61" t="e">
        <f t="shared" si="24"/>
        <v>#REF!</v>
      </c>
      <c r="F230" s="60" t="e">
        <f>#REF!</f>
        <v>#REF!</v>
      </c>
      <c r="G230" s="61" t="e">
        <f>IF(F230&gt;0,Pricing!E230*$H$5,0)</f>
        <v>#REF!</v>
      </c>
      <c r="H230" s="61" t="e">
        <f t="shared" si="25"/>
        <v>#REF!</v>
      </c>
      <c r="I230" s="62" t="e">
        <f>#REF!</f>
        <v>#REF!</v>
      </c>
      <c r="J230" s="61" t="e">
        <f>IF(I230&gt;0,Pricing!E230*$K$5,0)</f>
        <v>#REF!</v>
      </c>
      <c r="K230" s="63" t="e">
        <f t="shared" si="26"/>
        <v>#REF!</v>
      </c>
      <c r="L230" s="64" t="e">
        <f>#REF!</f>
        <v>#REF!</v>
      </c>
      <c r="M230" s="61" t="e">
        <f>IF(L230&lt;0,Pricing!E230*$N$5,0)</f>
        <v>#REF!</v>
      </c>
      <c r="N230" s="61" t="e">
        <f t="shared" si="27"/>
        <v>#REF!</v>
      </c>
      <c r="O230" s="60" t="e">
        <f>#REF!</f>
        <v>#REF!</v>
      </c>
      <c r="P230" s="61" t="e">
        <f>IF(O230&lt;0,Pricing!E230*$Q$5,0)</f>
        <v>#REF!</v>
      </c>
      <c r="Q230" s="61" t="e">
        <f t="shared" si="28"/>
        <v>#REF!</v>
      </c>
      <c r="R230" s="60" t="e">
        <f>#REF!</f>
        <v>#REF!</v>
      </c>
      <c r="S230" s="61" t="e">
        <f>IF(R230&lt;0,Pricing!E230*$T$5,0)</f>
        <v>#REF!</v>
      </c>
      <c r="T230" s="61" t="e">
        <f t="shared" si="29"/>
        <v>#REF!</v>
      </c>
    </row>
    <row r="231" spans="1:20" x14ac:dyDescent="0.25">
      <c r="A231" s="58">
        <f t="shared" si="30"/>
        <v>44540.33333333279</v>
      </c>
      <c r="B231" s="59">
        <f t="shared" si="31"/>
        <v>44540.374999999454</v>
      </c>
      <c r="C231" s="60" t="e">
        <f>#REF!</f>
        <v>#REF!</v>
      </c>
      <c r="D231" s="61" t="e">
        <f>IF(C231&gt;0,Pricing!E231*$E$5,0)</f>
        <v>#REF!</v>
      </c>
      <c r="E231" s="61" t="e">
        <f t="shared" si="24"/>
        <v>#REF!</v>
      </c>
      <c r="F231" s="60" t="e">
        <f>#REF!</f>
        <v>#REF!</v>
      </c>
      <c r="G231" s="61" t="e">
        <f>IF(F231&gt;0,Pricing!E231*$H$5,0)</f>
        <v>#REF!</v>
      </c>
      <c r="H231" s="61" t="e">
        <f t="shared" si="25"/>
        <v>#REF!</v>
      </c>
      <c r="I231" s="62" t="e">
        <f>#REF!</f>
        <v>#REF!</v>
      </c>
      <c r="J231" s="61" t="e">
        <f>IF(I231&gt;0,Pricing!E231*$K$5,0)</f>
        <v>#REF!</v>
      </c>
      <c r="K231" s="63" t="e">
        <f t="shared" si="26"/>
        <v>#REF!</v>
      </c>
      <c r="L231" s="64" t="e">
        <f>#REF!</f>
        <v>#REF!</v>
      </c>
      <c r="M231" s="61" t="e">
        <f>IF(L231&lt;0,Pricing!E231*$N$5,0)</f>
        <v>#REF!</v>
      </c>
      <c r="N231" s="61" t="e">
        <f t="shared" si="27"/>
        <v>#REF!</v>
      </c>
      <c r="O231" s="60" t="e">
        <f>#REF!</f>
        <v>#REF!</v>
      </c>
      <c r="P231" s="61" t="e">
        <f>IF(O231&lt;0,Pricing!E231*$Q$5,0)</f>
        <v>#REF!</v>
      </c>
      <c r="Q231" s="61" t="e">
        <f t="shared" si="28"/>
        <v>#REF!</v>
      </c>
      <c r="R231" s="60" t="e">
        <f>#REF!</f>
        <v>#REF!</v>
      </c>
      <c r="S231" s="61" t="e">
        <f>IF(R231&lt;0,Pricing!E231*$T$5,0)</f>
        <v>#REF!</v>
      </c>
      <c r="T231" s="61" t="e">
        <f t="shared" si="29"/>
        <v>#REF!</v>
      </c>
    </row>
    <row r="232" spans="1:20" x14ac:dyDescent="0.25">
      <c r="A232" s="58">
        <f t="shared" si="30"/>
        <v>44540.374999999454</v>
      </c>
      <c r="B232" s="59">
        <f t="shared" si="31"/>
        <v>44540.416666666119</v>
      </c>
      <c r="C232" s="60" t="e">
        <f>#REF!</f>
        <v>#REF!</v>
      </c>
      <c r="D232" s="61" t="e">
        <f>IF(C232&gt;0,Pricing!E232*$E$5,0)</f>
        <v>#REF!</v>
      </c>
      <c r="E232" s="61" t="e">
        <f t="shared" si="24"/>
        <v>#REF!</v>
      </c>
      <c r="F232" s="60" t="e">
        <f>#REF!</f>
        <v>#REF!</v>
      </c>
      <c r="G232" s="61" t="e">
        <f>IF(F232&gt;0,Pricing!E232*$H$5,0)</f>
        <v>#REF!</v>
      </c>
      <c r="H232" s="61" t="e">
        <f t="shared" si="25"/>
        <v>#REF!</v>
      </c>
      <c r="I232" s="62" t="e">
        <f>#REF!</f>
        <v>#REF!</v>
      </c>
      <c r="J232" s="61" t="e">
        <f>IF(I232&gt;0,Pricing!E232*$K$5,0)</f>
        <v>#REF!</v>
      </c>
      <c r="K232" s="63" t="e">
        <f t="shared" si="26"/>
        <v>#REF!</v>
      </c>
      <c r="L232" s="64" t="e">
        <f>#REF!</f>
        <v>#REF!</v>
      </c>
      <c r="M232" s="61" t="e">
        <f>IF(L232&lt;0,Pricing!E232*$N$5,0)</f>
        <v>#REF!</v>
      </c>
      <c r="N232" s="61" t="e">
        <f t="shared" si="27"/>
        <v>#REF!</v>
      </c>
      <c r="O232" s="60" t="e">
        <f>#REF!</f>
        <v>#REF!</v>
      </c>
      <c r="P232" s="61" t="e">
        <f>IF(O232&lt;0,Pricing!E232*$Q$5,0)</f>
        <v>#REF!</v>
      </c>
      <c r="Q232" s="61" t="e">
        <f t="shared" si="28"/>
        <v>#REF!</v>
      </c>
      <c r="R232" s="60" t="e">
        <f>#REF!</f>
        <v>#REF!</v>
      </c>
      <c r="S232" s="61" t="e">
        <f>IF(R232&lt;0,Pricing!E232*$T$5,0)</f>
        <v>#REF!</v>
      </c>
      <c r="T232" s="61" t="e">
        <f t="shared" si="29"/>
        <v>#REF!</v>
      </c>
    </row>
    <row r="233" spans="1:20" x14ac:dyDescent="0.25">
      <c r="A233" s="58">
        <f t="shared" si="30"/>
        <v>44540.416666666119</v>
      </c>
      <c r="B233" s="59">
        <f t="shared" si="31"/>
        <v>44540.458333332783</v>
      </c>
      <c r="C233" s="60" t="e">
        <f>#REF!</f>
        <v>#REF!</v>
      </c>
      <c r="D233" s="61" t="e">
        <f>IF(C233&gt;0,Pricing!E233*$E$5,0)</f>
        <v>#REF!</v>
      </c>
      <c r="E233" s="61" t="e">
        <f t="shared" si="24"/>
        <v>#REF!</v>
      </c>
      <c r="F233" s="60" t="e">
        <f>#REF!</f>
        <v>#REF!</v>
      </c>
      <c r="G233" s="61" t="e">
        <f>IF(F233&gt;0,Pricing!E233*$H$5,0)</f>
        <v>#REF!</v>
      </c>
      <c r="H233" s="61" t="e">
        <f t="shared" si="25"/>
        <v>#REF!</v>
      </c>
      <c r="I233" s="62" t="e">
        <f>#REF!</f>
        <v>#REF!</v>
      </c>
      <c r="J233" s="61" t="e">
        <f>IF(I233&gt;0,Pricing!E233*$K$5,0)</f>
        <v>#REF!</v>
      </c>
      <c r="K233" s="63" t="e">
        <f t="shared" si="26"/>
        <v>#REF!</v>
      </c>
      <c r="L233" s="64" t="e">
        <f>#REF!</f>
        <v>#REF!</v>
      </c>
      <c r="M233" s="61" t="e">
        <f>IF(L233&lt;0,Pricing!E233*$N$5,0)</f>
        <v>#REF!</v>
      </c>
      <c r="N233" s="61" t="e">
        <f t="shared" si="27"/>
        <v>#REF!</v>
      </c>
      <c r="O233" s="60" t="e">
        <f>#REF!</f>
        <v>#REF!</v>
      </c>
      <c r="P233" s="61" t="e">
        <f>IF(O233&lt;0,Pricing!E233*$Q$5,0)</f>
        <v>#REF!</v>
      </c>
      <c r="Q233" s="61" t="e">
        <f t="shared" si="28"/>
        <v>#REF!</v>
      </c>
      <c r="R233" s="60" t="e">
        <f>#REF!</f>
        <v>#REF!</v>
      </c>
      <c r="S233" s="61" t="e">
        <f>IF(R233&lt;0,Pricing!E233*$T$5,0)</f>
        <v>#REF!</v>
      </c>
      <c r="T233" s="61" t="e">
        <f t="shared" si="29"/>
        <v>#REF!</v>
      </c>
    </row>
    <row r="234" spans="1:20" x14ac:dyDescent="0.25">
      <c r="A234" s="58">
        <f t="shared" si="30"/>
        <v>44540.458333332783</v>
      </c>
      <c r="B234" s="59">
        <f t="shared" si="31"/>
        <v>44540.499999999447</v>
      </c>
      <c r="C234" s="60" t="e">
        <f>#REF!</f>
        <v>#REF!</v>
      </c>
      <c r="D234" s="61" t="e">
        <f>IF(C234&gt;0,Pricing!E234*$E$5,0)</f>
        <v>#REF!</v>
      </c>
      <c r="E234" s="61" t="e">
        <f t="shared" si="24"/>
        <v>#REF!</v>
      </c>
      <c r="F234" s="60" t="e">
        <f>#REF!</f>
        <v>#REF!</v>
      </c>
      <c r="G234" s="61" t="e">
        <f>IF(F234&gt;0,Pricing!E234*$H$5,0)</f>
        <v>#REF!</v>
      </c>
      <c r="H234" s="61" t="e">
        <f t="shared" si="25"/>
        <v>#REF!</v>
      </c>
      <c r="I234" s="62" t="e">
        <f>#REF!</f>
        <v>#REF!</v>
      </c>
      <c r="J234" s="61" t="e">
        <f>IF(I234&gt;0,Pricing!E234*$K$5,0)</f>
        <v>#REF!</v>
      </c>
      <c r="K234" s="63" t="e">
        <f t="shared" si="26"/>
        <v>#REF!</v>
      </c>
      <c r="L234" s="64" t="e">
        <f>#REF!</f>
        <v>#REF!</v>
      </c>
      <c r="M234" s="61" t="e">
        <f>IF(L234&lt;0,Pricing!E234*$N$5,0)</f>
        <v>#REF!</v>
      </c>
      <c r="N234" s="61" t="e">
        <f t="shared" si="27"/>
        <v>#REF!</v>
      </c>
      <c r="O234" s="60" t="e">
        <f>#REF!</f>
        <v>#REF!</v>
      </c>
      <c r="P234" s="61" t="e">
        <f>IF(O234&lt;0,Pricing!E234*$Q$5,0)</f>
        <v>#REF!</v>
      </c>
      <c r="Q234" s="61" t="e">
        <f t="shared" si="28"/>
        <v>#REF!</v>
      </c>
      <c r="R234" s="60" t="e">
        <f>#REF!</f>
        <v>#REF!</v>
      </c>
      <c r="S234" s="61" t="e">
        <f>IF(R234&lt;0,Pricing!E234*$T$5,0)</f>
        <v>#REF!</v>
      </c>
      <c r="T234" s="61" t="e">
        <f t="shared" si="29"/>
        <v>#REF!</v>
      </c>
    </row>
    <row r="235" spans="1:20" x14ac:dyDescent="0.25">
      <c r="A235" s="58">
        <f t="shared" si="30"/>
        <v>44540.499999999447</v>
      </c>
      <c r="B235" s="59">
        <f t="shared" si="31"/>
        <v>44540.541666666111</v>
      </c>
      <c r="C235" s="60" t="e">
        <f>#REF!</f>
        <v>#REF!</v>
      </c>
      <c r="D235" s="61" t="e">
        <f>IF(C235&gt;0,Pricing!E235*$E$5,0)</f>
        <v>#REF!</v>
      </c>
      <c r="E235" s="61" t="e">
        <f t="shared" si="24"/>
        <v>#REF!</v>
      </c>
      <c r="F235" s="60" t="e">
        <f>#REF!</f>
        <v>#REF!</v>
      </c>
      <c r="G235" s="61" t="e">
        <f>IF(F235&gt;0,Pricing!E235*$H$5,0)</f>
        <v>#REF!</v>
      </c>
      <c r="H235" s="61" t="e">
        <f t="shared" si="25"/>
        <v>#REF!</v>
      </c>
      <c r="I235" s="62" t="e">
        <f>#REF!</f>
        <v>#REF!</v>
      </c>
      <c r="J235" s="61" t="e">
        <f>IF(I235&gt;0,Pricing!E235*$K$5,0)</f>
        <v>#REF!</v>
      </c>
      <c r="K235" s="63" t="e">
        <f t="shared" si="26"/>
        <v>#REF!</v>
      </c>
      <c r="L235" s="64" t="e">
        <f>#REF!</f>
        <v>#REF!</v>
      </c>
      <c r="M235" s="61" t="e">
        <f>IF(L235&lt;0,Pricing!E235*$N$5,0)</f>
        <v>#REF!</v>
      </c>
      <c r="N235" s="61" t="e">
        <f t="shared" si="27"/>
        <v>#REF!</v>
      </c>
      <c r="O235" s="60" t="e">
        <f>#REF!</f>
        <v>#REF!</v>
      </c>
      <c r="P235" s="61" t="e">
        <f>IF(O235&lt;0,Pricing!E235*$Q$5,0)</f>
        <v>#REF!</v>
      </c>
      <c r="Q235" s="61" t="e">
        <f t="shared" si="28"/>
        <v>#REF!</v>
      </c>
      <c r="R235" s="60" t="e">
        <f>#REF!</f>
        <v>#REF!</v>
      </c>
      <c r="S235" s="61" t="e">
        <f>IF(R235&lt;0,Pricing!E235*$T$5,0)</f>
        <v>#REF!</v>
      </c>
      <c r="T235" s="61" t="e">
        <f t="shared" si="29"/>
        <v>#REF!</v>
      </c>
    </row>
    <row r="236" spans="1:20" x14ac:dyDescent="0.25">
      <c r="A236" s="58">
        <f t="shared" si="30"/>
        <v>44540.541666666111</v>
      </c>
      <c r="B236" s="59">
        <f t="shared" si="31"/>
        <v>44540.583333332776</v>
      </c>
      <c r="C236" s="60" t="e">
        <f>#REF!</f>
        <v>#REF!</v>
      </c>
      <c r="D236" s="61" t="e">
        <f>IF(C236&gt;0,Pricing!E236*$E$5,0)</f>
        <v>#REF!</v>
      </c>
      <c r="E236" s="61" t="e">
        <f t="shared" si="24"/>
        <v>#REF!</v>
      </c>
      <c r="F236" s="60" t="e">
        <f>#REF!</f>
        <v>#REF!</v>
      </c>
      <c r="G236" s="61" t="e">
        <f>IF(F236&gt;0,Pricing!E236*$H$5,0)</f>
        <v>#REF!</v>
      </c>
      <c r="H236" s="61" t="e">
        <f t="shared" si="25"/>
        <v>#REF!</v>
      </c>
      <c r="I236" s="62" t="e">
        <f>#REF!</f>
        <v>#REF!</v>
      </c>
      <c r="J236" s="61" t="e">
        <f>IF(I236&gt;0,Pricing!E236*$K$5,0)</f>
        <v>#REF!</v>
      </c>
      <c r="K236" s="63" t="e">
        <f t="shared" si="26"/>
        <v>#REF!</v>
      </c>
      <c r="L236" s="64" t="e">
        <f>#REF!</f>
        <v>#REF!</v>
      </c>
      <c r="M236" s="61" t="e">
        <f>IF(L236&lt;0,Pricing!E236*$N$5,0)</f>
        <v>#REF!</v>
      </c>
      <c r="N236" s="61" t="e">
        <f t="shared" si="27"/>
        <v>#REF!</v>
      </c>
      <c r="O236" s="60" t="e">
        <f>#REF!</f>
        <v>#REF!</v>
      </c>
      <c r="P236" s="61" t="e">
        <f>IF(O236&lt;0,Pricing!E236*$Q$5,0)</f>
        <v>#REF!</v>
      </c>
      <c r="Q236" s="61" t="e">
        <f t="shared" si="28"/>
        <v>#REF!</v>
      </c>
      <c r="R236" s="60" t="e">
        <f>#REF!</f>
        <v>#REF!</v>
      </c>
      <c r="S236" s="61" t="e">
        <f>IF(R236&lt;0,Pricing!E236*$T$5,0)</f>
        <v>#REF!</v>
      </c>
      <c r="T236" s="61" t="e">
        <f t="shared" si="29"/>
        <v>#REF!</v>
      </c>
    </row>
    <row r="237" spans="1:20" x14ac:dyDescent="0.25">
      <c r="A237" s="58">
        <f t="shared" si="30"/>
        <v>44540.583333332776</v>
      </c>
      <c r="B237" s="59">
        <f t="shared" si="31"/>
        <v>44540.62499999944</v>
      </c>
      <c r="C237" s="60" t="e">
        <f>#REF!</f>
        <v>#REF!</v>
      </c>
      <c r="D237" s="61" t="e">
        <f>IF(C237&gt;0,Pricing!E237*$E$5,0)</f>
        <v>#REF!</v>
      </c>
      <c r="E237" s="61" t="e">
        <f t="shared" si="24"/>
        <v>#REF!</v>
      </c>
      <c r="F237" s="60" t="e">
        <f>#REF!</f>
        <v>#REF!</v>
      </c>
      <c r="G237" s="61" t="e">
        <f>IF(F237&gt;0,Pricing!E237*$H$5,0)</f>
        <v>#REF!</v>
      </c>
      <c r="H237" s="61" t="e">
        <f t="shared" si="25"/>
        <v>#REF!</v>
      </c>
      <c r="I237" s="62" t="e">
        <f>#REF!</f>
        <v>#REF!</v>
      </c>
      <c r="J237" s="61" t="e">
        <f>IF(I237&gt;0,Pricing!E237*$K$5,0)</f>
        <v>#REF!</v>
      </c>
      <c r="K237" s="63" t="e">
        <f t="shared" si="26"/>
        <v>#REF!</v>
      </c>
      <c r="L237" s="64" t="e">
        <f>#REF!</f>
        <v>#REF!</v>
      </c>
      <c r="M237" s="61" t="e">
        <f>IF(L237&lt;0,Pricing!E237*$N$5,0)</f>
        <v>#REF!</v>
      </c>
      <c r="N237" s="61" t="e">
        <f t="shared" si="27"/>
        <v>#REF!</v>
      </c>
      <c r="O237" s="60" t="e">
        <f>#REF!</f>
        <v>#REF!</v>
      </c>
      <c r="P237" s="61" t="e">
        <f>IF(O237&lt;0,Pricing!E237*$Q$5,0)</f>
        <v>#REF!</v>
      </c>
      <c r="Q237" s="61" t="e">
        <f t="shared" si="28"/>
        <v>#REF!</v>
      </c>
      <c r="R237" s="60" t="e">
        <f>#REF!</f>
        <v>#REF!</v>
      </c>
      <c r="S237" s="61" t="e">
        <f>IF(R237&lt;0,Pricing!E237*$T$5,0)</f>
        <v>#REF!</v>
      </c>
      <c r="T237" s="61" t="e">
        <f t="shared" si="29"/>
        <v>#REF!</v>
      </c>
    </row>
    <row r="238" spans="1:20" x14ac:dyDescent="0.25">
      <c r="A238" s="58">
        <f t="shared" si="30"/>
        <v>44540.62499999944</v>
      </c>
      <c r="B238" s="59">
        <f t="shared" si="31"/>
        <v>44540.666666666104</v>
      </c>
      <c r="C238" s="60" t="e">
        <f>#REF!</f>
        <v>#REF!</v>
      </c>
      <c r="D238" s="61" t="e">
        <f>IF(C238&gt;0,Pricing!E238*$E$5,0)</f>
        <v>#REF!</v>
      </c>
      <c r="E238" s="61" t="e">
        <f t="shared" si="24"/>
        <v>#REF!</v>
      </c>
      <c r="F238" s="60" t="e">
        <f>#REF!</f>
        <v>#REF!</v>
      </c>
      <c r="G238" s="61" t="e">
        <f>IF(F238&gt;0,Pricing!E238*$H$5,0)</f>
        <v>#REF!</v>
      </c>
      <c r="H238" s="61" t="e">
        <f t="shared" si="25"/>
        <v>#REF!</v>
      </c>
      <c r="I238" s="62" t="e">
        <f>#REF!</f>
        <v>#REF!</v>
      </c>
      <c r="J238" s="61" t="e">
        <f>IF(I238&gt;0,Pricing!E238*$K$5,0)</f>
        <v>#REF!</v>
      </c>
      <c r="K238" s="63" t="e">
        <f t="shared" si="26"/>
        <v>#REF!</v>
      </c>
      <c r="L238" s="64" t="e">
        <f>#REF!</f>
        <v>#REF!</v>
      </c>
      <c r="M238" s="61" t="e">
        <f>IF(L238&lt;0,Pricing!E238*$N$5,0)</f>
        <v>#REF!</v>
      </c>
      <c r="N238" s="61" t="e">
        <f t="shared" si="27"/>
        <v>#REF!</v>
      </c>
      <c r="O238" s="60" t="e">
        <f>#REF!</f>
        <v>#REF!</v>
      </c>
      <c r="P238" s="61" t="e">
        <f>IF(O238&lt;0,Pricing!E238*$Q$5,0)</f>
        <v>#REF!</v>
      </c>
      <c r="Q238" s="61" t="e">
        <f t="shared" si="28"/>
        <v>#REF!</v>
      </c>
      <c r="R238" s="60" t="e">
        <f>#REF!</f>
        <v>#REF!</v>
      </c>
      <c r="S238" s="61" t="e">
        <f>IF(R238&lt;0,Pricing!E238*$T$5,0)</f>
        <v>#REF!</v>
      </c>
      <c r="T238" s="61" t="e">
        <f t="shared" si="29"/>
        <v>#REF!</v>
      </c>
    </row>
    <row r="239" spans="1:20" x14ac:dyDescent="0.25">
      <c r="A239" s="58">
        <f t="shared" si="30"/>
        <v>44540.666666666104</v>
      </c>
      <c r="B239" s="59">
        <f t="shared" si="31"/>
        <v>44540.708333332768</v>
      </c>
      <c r="C239" s="60" t="e">
        <f>#REF!</f>
        <v>#REF!</v>
      </c>
      <c r="D239" s="61" t="e">
        <f>IF(C239&gt;0,Pricing!E239*$E$5,0)</f>
        <v>#REF!</v>
      </c>
      <c r="E239" s="61" t="e">
        <f t="shared" si="24"/>
        <v>#REF!</v>
      </c>
      <c r="F239" s="60" t="e">
        <f>#REF!</f>
        <v>#REF!</v>
      </c>
      <c r="G239" s="61" t="e">
        <f>IF(F239&gt;0,Pricing!E239*$H$5,0)</f>
        <v>#REF!</v>
      </c>
      <c r="H239" s="61" t="e">
        <f t="shared" si="25"/>
        <v>#REF!</v>
      </c>
      <c r="I239" s="62" t="e">
        <f>#REF!</f>
        <v>#REF!</v>
      </c>
      <c r="J239" s="61" t="e">
        <f>IF(I239&gt;0,Pricing!E239*$K$5,0)</f>
        <v>#REF!</v>
      </c>
      <c r="K239" s="63" t="e">
        <f t="shared" si="26"/>
        <v>#REF!</v>
      </c>
      <c r="L239" s="64" t="e">
        <f>#REF!</f>
        <v>#REF!</v>
      </c>
      <c r="M239" s="61" t="e">
        <f>IF(L239&lt;0,Pricing!E239*$N$5,0)</f>
        <v>#REF!</v>
      </c>
      <c r="N239" s="61" t="e">
        <f t="shared" si="27"/>
        <v>#REF!</v>
      </c>
      <c r="O239" s="60" t="e">
        <f>#REF!</f>
        <v>#REF!</v>
      </c>
      <c r="P239" s="61" t="e">
        <f>IF(O239&lt;0,Pricing!E239*$Q$5,0)</f>
        <v>#REF!</v>
      </c>
      <c r="Q239" s="61" t="e">
        <f t="shared" si="28"/>
        <v>#REF!</v>
      </c>
      <c r="R239" s="60" t="e">
        <f>#REF!</f>
        <v>#REF!</v>
      </c>
      <c r="S239" s="61" t="e">
        <f>IF(R239&lt;0,Pricing!E239*$T$5,0)</f>
        <v>#REF!</v>
      </c>
      <c r="T239" s="61" t="e">
        <f t="shared" si="29"/>
        <v>#REF!</v>
      </c>
    </row>
    <row r="240" spans="1:20" x14ac:dyDescent="0.25">
      <c r="A240" s="58">
        <f t="shared" si="30"/>
        <v>44540.708333332768</v>
      </c>
      <c r="B240" s="59">
        <f t="shared" si="31"/>
        <v>44540.749999999432</v>
      </c>
      <c r="C240" s="60" t="e">
        <f>#REF!</f>
        <v>#REF!</v>
      </c>
      <c r="D240" s="61" t="e">
        <f>IF(C240&gt;0,Pricing!E240*$E$5,0)</f>
        <v>#REF!</v>
      </c>
      <c r="E240" s="61" t="e">
        <f t="shared" si="24"/>
        <v>#REF!</v>
      </c>
      <c r="F240" s="60" t="e">
        <f>#REF!</f>
        <v>#REF!</v>
      </c>
      <c r="G240" s="61" t="e">
        <f>IF(F240&gt;0,Pricing!E240*$H$5,0)</f>
        <v>#REF!</v>
      </c>
      <c r="H240" s="61" t="e">
        <f t="shared" si="25"/>
        <v>#REF!</v>
      </c>
      <c r="I240" s="62" t="e">
        <f>#REF!</f>
        <v>#REF!</v>
      </c>
      <c r="J240" s="61" t="e">
        <f>IF(I240&gt;0,Pricing!E240*$K$5,0)</f>
        <v>#REF!</v>
      </c>
      <c r="K240" s="63" t="e">
        <f t="shared" si="26"/>
        <v>#REF!</v>
      </c>
      <c r="L240" s="64" t="e">
        <f>#REF!</f>
        <v>#REF!</v>
      </c>
      <c r="M240" s="61" t="e">
        <f>IF(L240&lt;0,Pricing!E240*$N$5,0)</f>
        <v>#REF!</v>
      </c>
      <c r="N240" s="61" t="e">
        <f t="shared" si="27"/>
        <v>#REF!</v>
      </c>
      <c r="O240" s="60" t="e">
        <f>#REF!</f>
        <v>#REF!</v>
      </c>
      <c r="P240" s="61" t="e">
        <f>IF(O240&lt;0,Pricing!E240*$Q$5,0)</f>
        <v>#REF!</v>
      </c>
      <c r="Q240" s="61" t="e">
        <f t="shared" si="28"/>
        <v>#REF!</v>
      </c>
      <c r="R240" s="60" t="e">
        <f>#REF!</f>
        <v>#REF!</v>
      </c>
      <c r="S240" s="61" t="e">
        <f>IF(R240&lt;0,Pricing!E240*$T$5,0)</f>
        <v>#REF!</v>
      </c>
      <c r="T240" s="61" t="e">
        <f t="shared" si="29"/>
        <v>#REF!</v>
      </c>
    </row>
    <row r="241" spans="1:20" x14ac:dyDescent="0.25">
      <c r="A241" s="58">
        <f t="shared" si="30"/>
        <v>44540.749999999432</v>
      </c>
      <c r="B241" s="59">
        <f t="shared" si="31"/>
        <v>44540.791666666097</v>
      </c>
      <c r="C241" s="60" t="e">
        <f>#REF!</f>
        <v>#REF!</v>
      </c>
      <c r="D241" s="61" t="e">
        <f>IF(C241&gt;0,Pricing!E241*$E$5,0)</f>
        <v>#REF!</v>
      </c>
      <c r="E241" s="61" t="e">
        <f t="shared" si="24"/>
        <v>#REF!</v>
      </c>
      <c r="F241" s="60" t="e">
        <f>#REF!</f>
        <v>#REF!</v>
      </c>
      <c r="G241" s="61" t="e">
        <f>IF(F241&gt;0,Pricing!E241*$H$5,0)</f>
        <v>#REF!</v>
      </c>
      <c r="H241" s="61" t="e">
        <f t="shared" si="25"/>
        <v>#REF!</v>
      </c>
      <c r="I241" s="62" t="e">
        <f>#REF!</f>
        <v>#REF!</v>
      </c>
      <c r="J241" s="61" t="e">
        <f>IF(I241&gt;0,Pricing!E241*$K$5,0)</f>
        <v>#REF!</v>
      </c>
      <c r="K241" s="63" t="e">
        <f t="shared" si="26"/>
        <v>#REF!</v>
      </c>
      <c r="L241" s="64" t="e">
        <f>#REF!</f>
        <v>#REF!</v>
      </c>
      <c r="M241" s="61" t="e">
        <f>IF(L241&lt;0,Pricing!E241*$N$5,0)</f>
        <v>#REF!</v>
      </c>
      <c r="N241" s="61" t="e">
        <f t="shared" si="27"/>
        <v>#REF!</v>
      </c>
      <c r="O241" s="60" t="e">
        <f>#REF!</f>
        <v>#REF!</v>
      </c>
      <c r="P241" s="61" t="e">
        <f>IF(O241&lt;0,Pricing!E241*$Q$5,0)</f>
        <v>#REF!</v>
      </c>
      <c r="Q241" s="61" t="e">
        <f t="shared" si="28"/>
        <v>#REF!</v>
      </c>
      <c r="R241" s="60" t="e">
        <f>#REF!</f>
        <v>#REF!</v>
      </c>
      <c r="S241" s="61" t="e">
        <f>IF(R241&lt;0,Pricing!E241*$T$5,0)</f>
        <v>#REF!</v>
      </c>
      <c r="T241" s="61" t="e">
        <f t="shared" si="29"/>
        <v>#REF!</v>
      </c>
    </row>
    <row r="242" spans="1:20" x14ac:dyDescent="0.25">
      <c r="A242" s="58">
        <f t="shared" si="30"/>
        <v>44540.791666666097</v>
      </c>
      <c r="B242" s="59">
        <f t="shared" si="31"/>
        <v>44540.833333332761</v>
      </c>
      <c r="C242" s="60" t="e">
        <f>#REF!</f>
        <v>#REF!</v>
      </c>
      <c r="D242" s="61" t="e">
        <f>IF(C242&gt;0,Pricing!E242*$E$5,0)</f>
        <v>#REF!</v>
      </c>
      <c r="E242" s="61" t="e">
        <f t="shared" si="24"/>
        <v>#REF!</v>
      </c>
      <c r="F242" s="60" t="e">
        <f>#REF!</f>
        <v>#REF!</v>
      </c>
      <c r="G242" s="61" t="e">
        <f>IF(F242&gt;0,Pricing!E242*$H$5,0)</f>
        <v>#REF!</v>
      </c>
      <c r="H242" s="61" t="e">
        <f t="shared" si="25"/>
        <v>#REF!</v>
      </c>
      <c r="I242" s="62" t="e">
        <f>#REF!</f>
        <v>#REF!</v>
      </c>
      <c r="J242" s="61" t="e">
        <f>IF(I242&gt;0,Pricing!E242*$K$5,0)</f>
        <v>#REF!</v>
      </c>
      <c r="K242" s="63" t="e">
        <f t="shared" si="26"/>
        <v>#REF!</v>
      </c>
      <c r="L242" s="64" t="e">
        <f>#REF!</f>
        <v>#REF!</v>
      </c>
      <c r="M242" s="61" t="e">
        <f>IF(L242&lt;0,Pricing!E242*$N$5,0)</f>
        <v>#REF!</v>
      </c>
      <c r="N242" s="61" t="e">
        <f t="shared" si="27"/>
        <v>#REF!</v>
      </c>
      <c r="O242" s="60" t="e">
        <f>#REF!</f>
        <v>#REF!</v>
      </c>
      <c r="P242" s="61" t="e">
        <f>IF(O242&lt;0,Pricing!E242*$Q$5,0)</f>
        <v>#REF!</v>
      </c>
      <c r="Q242" s="61" t="e">
        <f t="shared" si="28"/>
        <v>#REF!</v>
      </c>
      <c r="R242" s="60" t="e">
        <f>#REF!</f>
        <v>#REF!</v>
      </c>
      <c r="S242" s="61" t="e">
        <f>IF(R242&lt;0,Pricing!E242*$T$5,0)</f>
        <v>#REF!</v>
      </c>
      <c r="T242" s="61" t="e">
        <f t="shared" si="29"/>
        <v>#REF!</v>
      </c>
    </row>
    <row r="243" spans="1:20" x14ac:dyDescent="0.25">
      <c r="A243" s="58">
        <f t="shared" si="30"/>
        <v>44540.833333332761</v>
      </c>
      <c r="B243" s="59">
        <f t="shared" si="31"/>
        <v>44540.874999999425</v>
      </c>
      <c r="C243" s="60" t="e">
        <f>#REF!</f>
        <v>#REF!</v>
      </c>
      <c r="D243" s="61" t="e">
        <f>IF(C243&gt;0,Pricing!E243*$E$5,0)</f>
        <v>#REF!</v>
      </c>
      <c r="E243" s="61" t="e">
        <f t="shared" si="24"/>
        <v>#REF!</v>
      </c>
      <c r="F243" s="60" t="e">
        <f>#REF!</f>
        <v>#REF!</v>
      </c>
      <c r="G243" s="61" t="e">
        <f>IF(F243&gt;0,Pricing!E243*$H$5,0)</f>
        <v>#REF!</v>
      </c>
      <c r="H243" s="61" t="e">
        <f t="shared" si="25"/>
        <v>#REF!</v>
      </c>
      <c r="I243" s="62" t="e">
        <f>#REF!</f>
        <v>#REF!</v>
      </c>
      <c r="J243" s="61" t="e">
        <f>IF(I243&gt;0,Pricing!E243*$K$5,0)</f>
        <v>#REF!</v>
      </c>
      <c r="K243" s="63" t="e">
        <f t="shared" si="26"/>
        <v>#REF!</v>
      </c>
      <c r="L243" s="64" t="e">
        <f>#REF!</f>
        <v>#REF!</v>
      </c>
      <c r="M243" s="61" t="e">
        <f>IF(L243&lt;0,Pricing!E243*$N$5,0)</f>
        <v>#REF!</v>
      </c>
      <c r="N243" s="61" t="e">
        <f t="shared" si="27"/>
        <v>#REF!</v>
      </c>
      <c r="O243" s="60" t="e">
        <f>#REF!</f>
        <v>#REF!</v>
      </c>
      <c r="P243" s="61" t="e">
        <f>IF(O243&lt;0,Pricing!E243*$Q$5,0)</f>
        <v>#REF!</v>
      </c>
      <c r="Q243" s="61" t="e">
        <f t="shared" si="28"/>
        <v>#REF!</v>
      </c>
      <c r="R243" s="60" t="e">
        <f>#REF!</f>
        <v>#REF!</v>
      </c>
      <c r="S243" s="61" t="e">
        <f>IF(R243&lt;0,Pricing!E243*$T$5,0)</f>
        <v>#REF!</v>
      </c>
      <c r="T243" s="61" t="e">
        <f t="shared" si="29"/>
        <v>#REF!</v>
      </c>
    </row>
    <row r="244" spans="1:20" x14ac:dyDescent="0.25">
      <c r="A244" s="58">
        <f t="shared" si="30"/>
        <v>44540.874999999425</v>
      </c>
      <c r="B244" s="59">
        <f t="shared" si="31"/>
        <v>44540.916666666089</v>
      </c>
      <c r="C244" s="60" t="e">
        <f>#REF!</f>
        <v>#REF!</v>
      </c>
      <c r="D244" s="61" t="e">
        <f>IF(C244&gt;0,Pricing!E244*$E$5,0)</f>
        <v>#REF!</v>
      </c>
      <c r="E244" s="61" t="e">
        <f t="shared" si="24"/>
        <v>#REF!</v>
      </c>
      <c r="F244" s="60" t="e">
        <f>#REF!</f>
        <v>#REF!</v>
      </c>
      <c r="G244" s="61" t="e">
        <f>IF(F244&gt;0,Pricing!E244*$H$5,0)</f>
        <v>#REF!</v>
      </c>
      <c r="H244" s="61" t="e">
        <f t="shared" si="25"/>
        <v>#REF!</v>
      </c>
      <c r="I244" s="62" t="e">
        <f>#REF!</f>
        <v>#REF!</v>
      </c>
      <c r="J244" s="61" t="e">
        <f>IF(I244&gt;0,Pricing!E244*$K$5,0)</f>
        <v>#REF!</v>
      </c>
      <c r="K244" s="63" t="e">
        <f t="shared" si="26"/>
        <v>#REF!</v>
      </c>
      <c r="L244" s="64" t="e">
        <f>#REF!</f>
        <v>#REF!</v>
      </c>
      <c r="M244" s="61" t="e">
        <f>IF(L244&lt;0,Pricing!E244*$N$5,0)</f>
        <v>#REF!</v>
      </c>
      <c r="N244" s="61" t="e">
        <f t="shared" si="27"/>
        <v>#REF!</v>
      </c>
      <c r="O244" s="60" t="e">
        <f>#REF!</f>
        <v>#REF!</v>
      </c>
      <c r="P244" s="61" t="e">
        <f>IF(O244&lt;0,Pricing!E244*$Q$5,0)</f>
        <v>#REF!</v>
      </c>
      <c r="Q244" s="61" t="e">
        <f t="shared" si="28"/>
        <v>#REF!</v>
      </c>
      <c r="R244" s="60" t="e">
        <f>#REF!</f>
        <v>#REF!</v>
      </c>
      <c r="S244" s="61" t="e">
        <f>IF(R244&lt;0,Pricing!E244*$T$5,0)</f>
        <v>#REF!</v>
      </c>
      <c r="T244" s="61" t="e">
        <f t="shared" si="29"/>
        <v>#REF!</v>
      </c>
    </row>
    <row r="245" spans="1:20" x14ac:dyDescent="0.25">
      <c r="A245" s="58">
        <f t="shared" si="30"/>
        <v>44540.916666666089</v>
      </c>
      <c r="B245" s="59">
        <f t="shared" si="31"/>
        <v>44540.958333332754</v>
      </c>
      <c r="C245" s="60" t="e">
        <f>#REF!</f>
        <v>#REF!</v>
      </c>
      <c r="D245" s="61" t="e">
        <f>IF(C245&gt;0,Pricing!E245*$E$5,0)</f>
        <v>#REF!</v>
      </c>
      <c r="E245" s="61" t="e">
        <f t="shared" si="24"/>
        <v>#REF!</v>
      </c>
      <c r="F245" s="60" t="e">
        <f>#REF!</f>
        <v>#REF!</v>
      </c>
      <c r="G245" s="61" t="e">
        <f>IF(F245&gt;0,Pricing!E245*$H$5,0)</f>
        <v>#REF!</v>
      </c>
      <c r="H245" s="61" t="e">
        <f t="shared" si="25"/>
        <v>#REF!</v>
      </c>
      <c r="I245" s="62" t="e">
        <f>#REF!</f>
        <v>#REF!</v>
      </c>
      <c r="J245" s="61" t="e">
        <f>IF(I245&gt;0,Pricing!E245*$K$5,0)</f>
        <v>#REF!</v>
      </c>
      <c r="K245" s="63" t="e">
        <f t="shared" si="26"/>
        <v>#REF!</v>
      </c>
      <c r="L245" s="64" t="e">
        <f>#REF!</f>
        <v>#REF!</v>
      </c>
      <c r="M245" s="61" t="e">
        <f>IF(L245&lt;0,Pricing!E245*$N$5,0)</f>
        <v>#REF!</v>
      </c>
      <c r="N245" s="61" t="e">
        <f t="shared" si="27"/>
        <v>#REF!</v>
      </c>
      <c r="O245" s="60" t="e">
        <f>#REF!</f>
        <v>#REF!</v>
      </c>
      <c r="P245" s="61" t="e">
        <f>IF(O245&lt;0,Pricing!E245*$Q$5,0)</f>
        <v>#REF!</v>
      </c>
      <c r="Q245" s="61" t="e">
        <f t="shared" si="28"/>
        <v>#REF!</v>
      </c>
      <c r="R245" s="60" t="e">
        <f>#REF!</f>
        <v>#REF!</v>
      </c>
      <c r="S245" s="61" t="e">
        <f>IF(R245&lt;0,Pricing!E245*$T$5,0)</f>
        <v>#REF!</v>
      </c>
      <c r="T245" s="61" t="e">
        <f t="shared" si="29"/>
        <v>#REF!</v>
      </c>
    </row>
    <row r="246" spans="1:20" x14ac:dyDescent="0.25">
      <c r="A246" s="58">
        <f t="shared" si="30"/>
        <v>44540.958333332754</v>
      </c>
      <c r="B246" s="59">
        <f t="shared" si="31"/>
        <v>44540.999999999418</v>
      </c>
      <c r="C246" s="60" t="e">
        <f>#REF!</f>
        <v>#REF!</v>
      </c>
      <c r="D246" s="61" t="e">
        <f>IF(C246&gt;0,Pricing!E246*$E$5,0)</f>
        <v>#REF!</v>
      </c>
      <c r="E246" s="61" t="e">
        <f t="shared" si="24"/>
        <v>#REF!</v>
      </c>
      <c r="F246" s="60" t="e">
        <f>#REF!</f>
        <v>#REF!</v>
      </c>
      <c r="G246" s="61" t="e">
        <f>IF(F246&gt;0,Pricing!E246*$H$5,0)</f>
        <v>#REF!</v>
      </c>
      <c r="H246" s="61" t="e">
        <f t="shared" si="25"/>
        <v>#REF!</v>
      </c>
      <c r="I246" s="62" t="e">
        <f>#REF!</f>
        <v>#REF!</v>
      </c>
      <c r="J246" s="61" t="e">
        <f>IF(I246&gt;0,Pricing!E246*$K$5,0)</f>
        <v>#REF!</v>
      </c>
      <c r="K246" s="63" t="e">
        <f t="shared" si="26"/>
        <v>#REF!</v>
      </c>
      <c r="L246" s="64" t="e">
        <f>#REF!</f>
        <v>#REF!</v>
      </c>
      <c r="M246" s="61" t="e">
        <f>IF(L246&lt;0,Pricing!E246*$N$5,0)</f>
        <v>#REF!</v>
      </c>
      <c r="N246" s="61" t="e">
        <f t="shared" si="27"/>
        <v>#REF!</v>
      </c>
      <c r="O246" s="60" t="e">
        <f>#REF!</f>
        <v>#REF!</v>
      </c>
      <c r="P246" s="61" t="e">
        <f>IF(O246&lt;0,Pricing!E246*$Q$5,0)</f>
        <v>#REF!</v>
      </c>
      <c r="Q246" s="61" t="e">
        <f t="shared" si="28"/>
        <v>#REF!</v>
      </c>
      <c r="R246" s="60" t="e">
        <f>#REF!</f>
        <v>#REF!</v>
      </c>
      <c r="S246" s="61" t="e">
        <f>IF(R246&lt;0,Pricing!E246*$T$5,0)</f>
        <v>#REF!</v>
      </c>
      <c r="T246" s="61" t="e">
        <f t="shared" si="29"/>
        <v>#REF!</v>
      </c>
    </row>
    <row r="247" spans="1:20" x14ac:dyDescent="0.25">
      <c r="A247" s="58">
        <f t="shared" si="30"/>
        <v>44540.999999999418</v>
      </c>
      <c r="B247" s="59">
        <f t="shared" si="31"/>
        <v>44541.041666666082</v>
      </c>
      <c r="C247" s="60" t="e">
        <f>#REF!</f>
        <v>#REF!</v>
      </c>
      <c r="D247" s="61" t="e">
        <f>IF(C247&gt;0,Pricing!E247*$E$5,0)</f>
        <v>#REF!</v>
      </c>
      <c r="E247" s="61" t="e">
        <f t="shared" si="24"/>
        <v>#REF!</v>
      </c>
      <c r="F247" s="60" t="e">
        <f>#REF!</f>
        <v>#REF!</v>
      </c>
      <c r="G247" s="61" t="e">
        <f>IF(F247&gt;0,Pricing!E247*$H$5,0)</f>
        <v>#REF!</v>
      </c>
      <c r="H247" s="61" t="e">
        <f t="shared" si="25"/>
        <v>#REF!</v>
      </c>
      <c r="I247" s="62" t="e">
        <f>#REF!</f>
        <v>#REF!</v>
      </c>
      <c r="J247" s="61" t="e">
        <f>IF(I247&gt;0,Pricing!E247*$K$5,0)</f>
        <v>#REF!</v>
      </c>
      <c r="K247" s="63" t="e">
        <f t="shared" si="26"/>
        <v>#REF!</v>
      </c>
      <c r="L247" s="64" t="e">
        <f>#REF!</f>
        <v>#REF!</v>
      </c>
      <c r="M247" s="61" t="e">
        <f>IF(L247&lt;0,Pricing!E247*$N$5,0)</f>
        <v>#REF!</v>
      </c>
      <c r="N247" s="61" t="e">
        <f t="shared" si="27"/>
        <v>#REF!</v>
      </c>
      <c r="O247" s="60" t="e">
        <f>#REF!</f>
        <v>#REF!</v>
      </c>
      <c r="P247" s="61" t="e">
        <f>IF(O247&lt;0,Pricing!E247*$Q$5,0)</f>
        <v>#REF!</v>
      </c>
      <c r="Q247" s="61" t="e">
        <f t="shared" si="28"/>
        <v>#REF!</v>
      </c>
      <c r="R247" s="60" t="e">
        <f>#REF!</f>
        <v>#REF!</v>
      </c>
      <c r="S247" s="61" t="e">
        <f>IF(R247&lt;0,Pricing!E247*$T$5,0)</f>
        <v>#REF!</v>
      </c>
      <c r="T247" s="61" t="e">
        <f t="shared" si="29"/>
        <v>#REF!</v>
      </c>
    </row>
    <row r="248" spans="1:20" x14ac:dyDescent="0.25">
      <c r="A248" s="58">
        <f t="shared" si="30"/>
        <v>44541.041666666082</v>
      </c>
      <c r="B248" s="59">
        <f t="shared" si="31"/>
        <v>44541.083333332746</v>
      </c>
      <c r="C248" s="60" t="e">
        <f>#REF!</f>
        <v>#REF!</v>
      </c>
      <c r="D248" s="61" t="e">
        <f>IF(C248&gt;0,Pricing!E248*$E$5,0)</f>
        <v>#REF!</v>
      </c>
      <c r="E248" s="61" t="e">
        <f t="shared" si="24"/>
        <v>#REF!</v>
      </c>
      <c r="F248" s="60" t="e">
        <f>#REF!</f>
        <v>#REF!</v>
      </c>
      <c r="G248" s="61" t="e">
        <f>IF(F248&gt;0,Pricing!E248*$H$5,0)</f>
        <v>#REF!</v>
      </c>
      <c r="H248" s="61" t="e">
        <f t="shared" si="25"/>
        <v>#REF!</v>
      </c>
      <c r="I248" s="62" t="e">
        <f>#REF!</f>
        <v>#REF!</v>
      </c>
      <c r="J248" s="61" t="e">
        <f>IF(I248&gt;0,Pricing!E248*$K$5,0)</f>
        <v>#REF!</v>
      </c>
      <c r="K248" s="63" t="e">
        <f t="shared" si="26"/>
        <v>#REF!</v>
      </c>
      <c r="L248" s="64" t="e">
        <f>#REF!</f>
        <v>#REF!</v>
      </c>
      <c r="M248" s="61" t="e">
        <f>IF(L248&lt;0,Pricing!E248*$N$5,0)</f>
        <v>#REF!</v>
      </c>
      <c r="N248" s="61" t="e">
        <f t="shared" si="27"/>
        <v>#REF!</v>
      </c>
      <c r="O248" s="60" t="e">
        <f>#REF!</f>
        <v>#REF!</v>
      </c>
      <c r="P248" s="61" t="e">
        <f>IF(O248&lt;0,Pricing!E248*$Q$5,0)</f>
        <v>#REF!</v>
      </c>
      <c r="Q248" s="61" t="e">
        <f t="shared" si="28"/>
        <v>#REF!</v>
      </c>
      <c r="R248" s="60" t="e">
        <f>#REF!</f>
        <v>#REF!</v>
      </c>
      <c r="S248" s="61" t="e">
        <f>IF(R248&lt;0,Pricing!E248*$T$5,0)</f>
        <v>#REF!</v>
      </c>
      <c r="T248" s="61" t="e">
        <f t="shared" si="29"/>
        <v>#REF!</v>
      </c>
    </row>
    <row r="249" spans="1:20" x14ac:dyDescent="0.25">
      <c r="A249" s="58">
        <f t="shared" si="30"/>
        <v>44541.083333332746</v>
      </c>
      <c r="B249" s="59">
        <f t="shared" si="31"/>
        <v>44541.124999999411</v>
      </c>
      <c r="C249" s="60" t="e">
        <f>#REF!</f>
        <v>#REF!</v>
      </c>
      <c r="D249" s="61" t="e">
        <f>IF(C249&gt;0,Pricing!E249*$E$5,0)</f>
        <v>#REF!</v>
      </c>
      <c r="E249" s="61" t="e">
        <f t="shared" si="24"/>
        <v>#REF!</v>
      </c>
      <c r="F249" s="60" t="e">
        <f>#REF!</f>
        <v>#REF!</v>
      </c>
      <c r="G249" s="61" t="e">
        <f>IF(F249&gt;0,Pricing!E249*$H$5,0)</f>
        <v>#REF!</v>
      </c>
      <c r="H249" s="61" t="e">
        <f t="shared" si="25"/>
        <v>#REF!</v>
      </c>
      <c r="I249" s="62" t="e">
        <f>#REF!</f>
        <v>#REF!</v>
      </c>
      <c r="J249" s="61" t="e">
        <f>IF(I249&gt;0,Pricing!E249*$K$5,0)</f>
        <v>#REF!</v>
      </c>
      <c r="K249" s="63" t="e">
        <f t="shared" si="26"/>
        <v>#REF!</v>
      </c>
      <c r="L249" s="64" t="e">
        <f>#REF!</f>
        <v>#REF!</v>
      </c>
      <c r="M249" s="61" t="e">
        <f>IF(L249&lt;0,Pricing!E249*$N$5,0)</f>
        <v>#REF!</v>
      </c>
      <c r="N249" s="61" t="e">
        <f t="shared" si="27"/>
        <v>#REF!</v>
      </c>
      <c r="O249" s="60" t="e">
        <f>#REF!</f>
        <v>#REF!</v>
      </c>
      <c r="P249" s="61" t="e">
        <f>IF(O249&lt;0,Pricing!E249*$Q$5,0)</f>
        <v>#REF!</v>
      </c>
      <c r="Q249" s="61" t="e">
        <f t="shared" si="28"/>
        <v>#REF!</v>
      </c>
      <c r="R249" s="60" t="e">
        <f>#REF!</f>
        <v>#REF!</v>
      </c>
      <c r="S249" s="61" t="e">
        <f>IF(R249&lt;0,Pricing!E249*$T$5,0)</f>
        <v>#REF!</v>
      </c>
      <c r="T249" s="61" t="e">
        <f t="shared" si="29"/>
        <v>#REF!</v>
      </c>
    </row>
    <row r="250" spans="1:20" x14ac:dyDescent="0.25">
      <c r="A250" s="58">
        <f t="shared" si="30"/>
        <v>44541.124999999411</v>
      </c>
      <c r="B250" s="59">
        <f t="shared" si="31"/>
        <v>44541.166666666075</v>
      </c>
      <c r="C250" s="60" t="e">
        <f>#REF!</f>
        <v>#REF!</v>
      </c>
      <c r="D250" s="61" t="e">
        <f>IF(C250&gt;0,Pricing!E250*$E$5,0)</f>
        <v>#REF!</v>
      </c>
      <c r="E250" s="61" t="e">
        <f t="shared" si="24"/>
        <v>#REF!</v>
      </c>
      <c r="F250" s="60" t="e">
        <f>#REF!</f>
        <v>#REF!</v>
      </c>
      <c r="G250" s="61" t="e">
        <f>IF(F250&gt;0,Pricing!E250*$H$5,0)</f>
        <v>#REF!</v>
      </c>
      <c r="H250" s="61" t="e">
        <f t="shared" si="25"/>
        <v>#REF!</v>
      </c>
      <c r="I250" s="62" t="e">
        <f>#REF!</f>
        <v>#REF!</v>
      </c>
      <c r="J250" s="61" t="e">
        <f>IF(I250&gt;0,Pricing!E250*$K$5,0)</f>
        <v>#REF!</v>
      </c>
      <c r="K250" s="63" t="e">
        <f t="shared" si="26"/>
        <v>#REF!</v>
      </c>
      <c r="L250" s="64" t="e">
        <f>#REF!</f>
        <v>#REF!</v>
      </c>
      <c r="M250" s="61" t="e">
        <f>IF(L250&lt;0,Pricing!E250*$N$5,0)</f>
        <v>#REF!</v>
      </c>
      <c r="N250" s="61" t="e">
        <f t="shared" si="27"/>
        <v>#REF!</v>
      </c>
      <c r="O250" s="60" t="e">
        <f>#REF!</f>
        <v>#REF!</v>
      </c>
      <c r="P250" s="61" t="e">
        <f>IF(O250&lt;0,Pricing!E250*$Q$5,0)</f>
        <v>#REF!</v>
      </c>
      <c r="Q250" s="61" t="e">
        <f t="shared" si="28"/>
        <v>#REF!</v>
      </c>
      <c r="R250" s="60" t="e">
        <f>#REF!</f>
        <v>#REF!</v>
      </c>
      <c r="S250" s="61" t="e">
        <f>IF(R250&lt;0,Pricing!E250*$T$5,0)</f>
        <v>#REF!</v>
      </c>
      <c r="T250" s="61" t="e">
        <f t="shared" si="29"/>
        <v>#REF!</v>
      </c>
    </row>
    <row r="251" spans="1:20" x14ac:dyDescent="0.25">
      <c r="A251" s="58">
        <f t="shared" si="30"/>
        <v>44541.166666666075</v>
      </c>
      <c r="B251" s="59">
        <f t="shared" si="31"/>
        <v>44541.208333332739</v>
      </c>
      <c r="C251" s="60" t="e">
        <f>#REF!</f>
        <v>#REF!</v>
      </c>
      <c r="D251" s="61" t="e">
        <f>IF(C251&gt;0,Pricing!E251*$E$5,0)</f>
        <v>#REF!</v>
      </c>
      <c r="E251" s="61" t="e">
        <f t="shared" si="24"/>
        <v>#REF!</v>
      </c>
      <c r="F251" s="60" t="e">
        <f>#REF!</f>
        <v>#REF!</v>
      </c>
      <c r="G251" s="61" t="e">
        <f>IF(F251&gt;0,Pricing!E251*$H$5,0)</f>
        <v>#REF!</v>
      </c>
      <c r="H251" s="61" t="e">
        <f t="shared" si="25"/>
        <v>#REF!</v>
      </c>
      <c r="I251" s="62" t="e">
        <f>#REF!</f>
        <v>#REF!</v>
      </c>
      <c r="J251" s="61" t="e">
        <f>IF(I251&gt;0,Pricing!E251*$K$5,0)</f>
        <v>#REF!</v>
      </c>
      <c r="K251" s="63" t="e">
        <f t="shared" si="26"/>
        <v>#REF!</v>
      </c>
      <c r="L251" s="64" t="e">
        <f>#REF!</f>
        <v>#REF!</v>
      </c>
      <c r="M251" s="61" t="e">
        <f>IF(L251&lt;0,Pricing!E251*$N$5,0)</f>
        <v>#REF!</v>
      </c>
      <c r="N251" s="61" t="e">
        <f t="shared" si="27"/>
        <v>#REF!</v>
      </c>
      <c r="O251" s="60" t="e">
        <f>#REF!</f>
        <v>#REF!</v>
      </c>
      <c r="P251" s="61" t="e">
        <f>IF(O251&lt;0,Pricing!E251*$Q$5,0)</f>
        <v>#REF!</v>
      </c>
      <c r="Q251" s="61" t="e">
        <f t="shared" si="28"/>
        <v>#REF!</v>
      </c>
      <c r="R251" s="60" t="e">
        <f>#REF!</f>
        <v>#REF!</v>
      </c>
      <c r="S251" s="61" t="e">
        <f>IF(R251&lt;0,Pricing!E251*$T$5,0)</f>
        <v>#REF!</v>
      </c>
      <c r="T251" s="61" t="e">
        <f t="shared" si="29"/>
        <v>#REF!</v>
      </c>
    </row>
    <row r="252" spans="1:20" x14ac:dyDescent="0.25">
      <c r="A252" s="58">
        <f t="shared" si="30"/>
        <v>44541.208333332739</v>
      </c>
      <c r="B252" s="59">
        <f t="shared" si="31"/>
        <v>44541.249999999403</v>
      </c>
      <c r="C252" s="60" t="e">
        <f>#REF!</f>
        <v>#REF!</v>
      </c>
      <c r="D252" s="61" t="e">
        <f>IF(C252&gt;0,Pricing!E252*$E$5,0)</f>
        <v>#REF!</v>
      </c>
      <c r="E252" s="61" t="e">
        <f t="shared" si="24"/>
        <v>#REF!</v>
      </c>
      <c r="F252" s="60" t="e">
        <f>#REF!</f>
        <v>#REF!</v>
      </c>
      <c r="G252" s="61" t="e">
        <f>IF(F252&gt;0,Pricing!E252*$H$5,0)</f>
        <v>#REF!</v>
      </c>
      <c r="H252" s="61" t="e">
        <f t="shared" si="25"/>
        <v>#REF!</v>
      </c>
      <c r="I252" s="62" t="e">
        <f>#REF!</f>
        <v>#REF!</v>
      </c>
      <c r="J252" s="61" t="e">
        <f>IF(I252&gt;0,Pricing!E252*$K$5,0)</f>
        <v>#REF!</v>
      </c>
      <c r="K252" s="63" t="e">
        <f t="shared" si="26"/>
        <v>#REF!</v>
      </c>
      <c r="L252" s="64" t="e">
        <f>#REF!</f>
        <v>#REF!</v>
      </c>
      <c r="M252" s="61" t="e">
        <f>IF(L252&lt;0,Pricing!E252*$N$5,0)</f>
        <v>#REF!</v>
      </c>
      <c r="N252" s="61" t="e">
        <f t="shared" si="27"/>
        <v>#REF!</v>
      </c>
      <c r="O252" s="60" t="e">
        <f>#REF!</f>
        <v>#REF!</v>
      </c>
      <c r="P252" s="61" t="e">
        <f>IF(O252&lt;0,Pricing!E252*$Q$5,0)</f>
        <v>#REF!</v>
      </c>
      <c r="Q252" s="61" t="e">
        <f t="shared" si="28"/>
        <v>#REF!</v>
      </c>
      <c r="R252" s="60" t="e">
        <f>#REF!</f>
        <v>#REF!</v>
      </c>
      <c r="S252" s="61" t="e">
        <f>IF(R252&lt;0,Pricing!E252*$T$5,0)</f>
        <v>#REF!</v>
      </c>
      <c r="T252" s="61" t="e">
        <f t="shared" si="29"/>
        <v>#REF!</v>
      </c>
    </row>
    <row r="253" spans="1:20" x14ac:dyDescent="0.25">
      <c r="A253" s="58">
        <f t="shared" si="30"/>
        <v>44541.249999999403</v>
      </c>
      <c r="B253" s="59">
        <f t="shared" si="31"/>
        <v>44541.291666666068</v>
      </c>
      <c r="C253" s="60" t="e">
        <f>#REF!</f>
        <v>#REF!</v>
      </c>
      <c r="D253" s="61" t="e">
        <f>IF(C253&gt;0,Pricing!E253*$E$5,0)</f>
        <v>#REF!</v>
      </c>
      <c r="E253" s="61" t="e">
        <f t="shared" si="24"/>
        <v>#REF!</v>
      </c>
      <c r="F253" s="60" t="e">
        <f>#REF!</f>
        <v>#REF!</v>
      </c>
      <c r="G253" s="61" t="e">
        <f>IF(F253&gt;0,Pricing!E253*$H$5,0)</f>
        <v>#REF!</v>
      </c>
      <c r="H253" s="61" t="e">
        <f t="shared" si="25"/>
        <v>#REF!</v>
      </c>
      <c r="I253" s="62" t="e">
        <f>#REF!</f>
        <v>#REF!</v>
      </c>
      <c r="J253" s="61" t="e">
        <f>IF(I253&gt;0,Pricing!E253*$K$5,0)</f>
        <v>#REF!</v>
      </c>
      <c r="K253" s="63" t="e">
        <f t="shared" si="26"/>
        <v>#REF!</v>
      </c>
      <c r="L253" s="64" t="e">
        <f>#REF!</f>
        <v>#REF!</v>
      </c>
      <c r="M253" s="61" t="e">
        <f>IF(L253&lt;0,Pricing!E253*$N$5,0)</f>
        <v>#REF!</v>
      </c>
      <c r="N253" s="61" t="e">
        <f t="shared" si="27"/>
        <v>#REF!</v>
      </c>
      <c r="O253" s="60" t="e">
        <f>#REF!</f>
        <v>#REF!</v>
      </c>
      <c r="P253" s="61" t="e">
        <f>IF(O253&lt;0,Pricing!E253*$Q$5,0)</f>
        <v>#REF!</v>
      </c>
      <c r="Q253" s="61" t="e">
        <f t="shared" si="28"/>
        <v>#REF!</v>
      </c>
      <c r="R253" s="60" t="e">
        <f>#REF!</f>
        <v>#REF!</v>
      </c>
      <c r="S253" s="61" t="e">
        <f>IF(R253&lt;0,Pricing!E253*$T$5,0)</f>
        <v>#REF!</v>
      </c>
      <c r="T253" s="61" t="e">
        <f t="shared" si="29"/>
        <v>#REF!</v>
      </c>
    </row>
    <row r="254" spans="1:20" x14ac:dyDescent="0.25">
      <c r="A254" s="58">
        <f t="shared" si="30"/>
        <v>44541.291666666068</v>
      </c>
      <c r="B254" s="59">
        <f t="shared" si="31"/>
        <v>44541.333333332732</v>
      </c>
      <c r="C254" s="60" t="e">
        <f>#REF!</f>
        <v>#REF!</v>
      </c>
      <c r="D254" s="61" t="e">
        <f>IF(C254&gt;0,Pricing!E254*$E$5,0)</f>
        <v>#REF!</v>
      </c>
      <c r="E254" s="61" t="e">
        <f t="shared" si="24"/>
        <v>#REF!</v>
      </c>
      <c r="F254" s="60" t="e">
        <f>#REF!</f>
        <v>#REF!</v>
      </c>
      <c r="G254" s="61" t="e">
        <f>IF(F254&gt;0,Pricing!E254*$H$5,0)</f>
        <v>#REF!</v>
      </c>
      <c r="H254" s="61" t="e">
        <f t="shared" si="25"/>
        <v>#REF!</v>
      </c>
      <c r="I254" s="62" t="e">
        <f>#REF!</f>
        <v>#REF!</v>
      </c>
      <c r="J254" s="61" t="e">
        <f>IF(I254&gt;0,Pricing!E254*$K$5,0)</f>
        <v>#REF!</v>
      </c>
      <c r="K254" s="63" t="e">
        <f t="shared" si="26"/>
        <v>#REF!</v>
      </c>
      <c r="L254" s="64" t="e">
        <f>#REF!</f>
        <v>#REF!</v>
      </c>
      <c r="M254" s="61" t="e">
        <f>IF(L254&lt;0,Pricing!E254*$N$5,0)</f>
        <v>#REF!</v>
      </c>
      <c r="N254" s="61" t="e">
        <f t="shared" si="27"/>
        <v>#REF!</v>
      </c>
      <c r="O254" s="60" t="e">
        <f>#REF!</f>
        <v>#REF!</v>
      </c>
      <c r="P254" s="61" t="e">
        <f>IF(O254&lt;0,Pricing!E254*$Q$5,0)</f>
        <v>#REF!</v>
      </c>
      <c r="Q254" s="61" t="e">
        <f t="shared" si="28"/>
        <v>#REF!</v>
      </c>
      <c r="R254" s="60" t="e">
        <f>#REF!</f>
        <v>#REF!</v>
      </c>
      <c r="S254" s="61" t="e">
        <f>IF(R254&lt;0,Pricing!E254*$T$5,0)</f>
        <v>#REF!</v>
      </c>
      <c r="T254" s="61" t="e">
        <f t="shared" si="29"/>
        <v>#REF!</v>
      </c>
    </row>
    <row r="255" spans="1:20" x14ac:dyDescent="0.25">
      <c r="A255" s="58">
        <f t="shared" si="30"/>
        <v>44541.333333332732</v>
      </c>
      <c r="B255" s="59">
        <f t="shared" si="31"/>
        <v>44541.374999999396</v>
      </c>
      <c r="C255" s="60" t="e">
        <f>#REF!</f>
        <v>#REF!</v>
      </c>
      <c r="D255" s="61" t="e">
        <f>IF(C255&gt;0,Pricing!E255*$E$5,0)</f>
        <v>#REF!</v>
      </c>
      <c r="E255" s="61" t="e">
        <f t="shared" si="24"/>
        <v>#REF!</v>
      </c>
      <c r="F255" s="60" t="e">
        <f>#REF!</f>
        <v>#REF!</v>
      </c>
      <c r="G255" s="61" t="e">
        <f>IF(F255&gt;0,Pricing!E255*$H$5,0)</f>
        <v>#REF!</v>
      </c>
      <c r="H255" s="61" t="e">
        <f t="shared" si="25"/>
        <v>#REF!</v>
      </c>
      <c r="I255" s="62" t="e">
        <f>#REF!</f>
        <v>#REF!</v>
      </c>
      <c r="J255" s="61" t="e">
        <f>IF(I255&gt;0,Pricing!E255*$K$5,0)</f>
        <v>#REF!</v>
      </c>
      <c r="K255" s="63" t="e">
        <f t="shared" si="26"/>
        <v>#REF!</v>
      </c>
      <c r="L255" s="64" t="e">
        <f>#REF!</f>
        <v>#REF!</v>
      </c>
      <c r="M255" s="61" t="e">
        <f>IF(L255&lt;0,Pricing!E255*$N$5,0)</f>
        <v>#REF!</v>
      </c>
      <c r="N255" s="61" t="e">
        <f t="shared" si="27"/>
        <v>#REF!</v>
      </c>
      <c r="O255" s="60" t="e">
        <f>#REF!</f>
        <v>#REF!</v>
      </c>
      <c r="P255" s="61" t="e">
        <f>IF(O255&lt;0,Pricing!E255*$Q$5,0)</f>
        <v>#REF!</v>
      </c>
      <c r="Q255" s="61" t="e">
        <f t="shared" si="28"/>
        <v>#REF!</v>
      </c>
      <c r="R255" s="60" t="e">
        <f>#REF!</f>
        <v>#REF!</v>
      </c>
      <c r="S255" s="61" t="e">
        <f>IF(R255&lt;0,Pricing!E255*$T$5,0)</f>
        <v>#REF!</v>
      </c>
      <c r="T255" s="61" t="e">
        <f t="shared" si="29"/>
        <v>#REF!</v>
      </c>
    </row>
    <row r="256" spans="1:20" x14ac:dyDescent="0.25">
      <c r="A256" s="58">
        <f t="shared" si="30"/>
        <v>44541.374999999396</v>
      </c>
      <c r="B256" s="59">
        <f t="shared" si="31"/>
        <v>44541.41666666606</v>
      </c>
      <c r="C256" s="60" t="e">
        <f>#REF!</f>
        <v>#REF!</v>
      </c>
      <c r="D256" s="61" t="e">
        <f>IF(C256&gt;0,Pricing!E256*$E$5,0)</f>
        <v>#REF!</v>
      </c>
      <c r="E256" s="61" t="e">
        <f t="shared" si="24"/>
        <v>#REF!</v>
      </c>
      <c r="F256" s="60" t="e">
        <f>#REF!</f>
        <v>#REF!</v>
      </c>
      <c r="G256" s="61" t="e">
        <f>IF(F256&gt;0,Pricing!E256*$H$5,0)</f>
        <v>#REF!</v>
      </c>
      <c r="H256" s="61" t="e">
        <f t="shared" si="25"/>
        <v>#REF!</v>
      </c>
      <c r="I256" s="62" t="e">
        <f>#REF!</f>
        <v>#REF!</v>
      </c>
      <c r="J256" s="61" t="e">
        <f>IF(I256&gt;0,Pricing!E256*$K$5,0)</f>
        <v>#REF!</v>
      </c>
      <c r="K256" s="63" t="e">
        <f t="shared" si="26"/>
        <v>#REF!</v>
      </c>
      <c r="L256" s="64" t="e">
        <f>#REF!</f>
        <v>#REF!</v>
      </c>
      <c r="M256" s="61" t="e">
        <f>IF(L256&lt;0,Pricing!E256*$N$5,0)</f>
        <v>#REF!</v>
      </c>
      <c r="N256" s="61" t="e">
        <f t="shared" si="27"/>
        <v>#REF!</v>
      </c>
      <c r="O256" s="60" t="e">
        <f>#REF!</f>
        <v>#REF!</v>
      </c>
      <c r="P256" s="61" t="e">
        <f>IF(O256&lt;0,Pricing!E256*$Q$5,0)</f>
        <v>#REF!</v>
      </c>
      <c r="Q256" s="61" t="e">
        <f t="shared" si="28"/>
        <v>#REF!</v>
      </c>
      <c r="R256" s="60" t="e">
        <f>#REF!</f>
        <v>#REF!</v>
      </c>
      <c r="S256" s="61" t="e">
        <f>IF(R256&lt;0,Pricing!E256*$T$5,0)</f>
        <v>#REF!</v>
      </c>
      <c r="T256" s="61" t="e">
        <f t="shared" si="29"/>
        <v>#REF!</v>
      </c>
    </row>
    <row r="257" spans="1:20" x14ac:dyDescent="0.25">
      <c r="A257" s="58">
        <f t="shared" si="30"/>
        <v>44541.41666666606</v>
      </c>
      <c r="B257" s="59">
        <f t="shared" si="31"/>
        <v>44541.458333332725</v>
      </c>
      <c r="C257" s="60" t="e">
        <f>#REF!</f>
        <v>#REF!</v>
      </c>
      <c r="D257" s="61" t="e">
        <f>IF(C257&gt;0,Pricing!E257*$E$5,0)</f>
        <v>#REF!</v>
      </c>
      <c r="E257" s="61" t="e">
        <f t="shared" si="24"/>
        <v>#REF!</v>
      </c>
      <c r="F257" s="60" t="e">
        <f>#REF!</f>
        <v>#REF!</v>
      </c>
      <c r="G257" s="61" t="e">
        <f>IF(F257&gt;0,Pricing!E257*$H$5,0)</f>
        <v>#REF!</v>
      </c>
      <c r="H257" s="61" t="e">
        <f t="shared" si="25"/>
        <v>#REF!</v>
      </c>
      <c r="I257" s="62" t="e">
        <f>#REF!</f>
        <v>#REF!</v>
      </c>
      <c r="J257" s="61" t="e">
        <f>IF(I257&gt;0,Pricing!E257*$K$5,0)</f>
        <v>#REF!</v>
      </c>
      <c r="K257" s="63" t="e">
        <f t="shared" si="26"/>
        <v>#REF!</v>
      </c>
      <c r="L257" s="64" t="e">
        <f>#REF!</f>
        <v>#REF!</v>
      </c>
      <c r="M257" s="61" t="e">
        <f>IF(L257&lt;0,Pricing!E257*$N$5,0)</f>
        <v>#REF!</v>
      </c>
      <c r="N257" s="61" t="e">
        <f t="shared" si="27"/>
        <v>#REF!</v>
      </c>
      <c r="O257" s="60" t="e">
        <f>#REF!</f>
        <v>#REF!</v>
      </c>
      <c r="P257" s="61" t="e">
        <f>IF(O257&lt;0,Pricing!E257*$Q$5,0)</f>
        <v>#REF!</v>
      </c>
      <c r="Q257" s="61" t="e">
        <f t="shared" si="28"/>
        <v>#REF!</v>
      </c>
      <c r="R257" s="60" t="e">
        <f>#REF!</f>
        <v>#REF!</v>
      </c>
      <c r="S257" s="61" t="e">
        <f>IF(R257&lt;0,Pricing!E257*$T$5,0)</f>
        <v>#REF!</v>
      </c>
      <c r="T257" s="61" t="e">
        <f t="shared" si="29"/>
        <v>#REF!</v>
      </c>
    </row>
    <row r="258" spans="1:20" x14ac:dyDescent="0.25">
      <c r="A258" s="58">
        <f t="shared" si="30"/>
        <v>44541.458333332725</v>
      </c>
      <c r="B258" s="59">
        <f t="shared" si="31"/>
        <v>44541.499999999389</v>
      </c>
      <c r="C258" s="60" t="e">
        <f>#REF!</f>
        <v>#REF!</v>
      </c>
      <c r="D258" s="61" t="e">
        <f>IF(C258&gt;0,Pricing!E258*$E$5,0)</f>
        <v>#REF!</v>
      </c>
      <c r="E258" s="61" t="e">
        <f t="shared" si="24"/>
        <v>#REF!</v>
      </c>
      <c r="F258" s="60" t="e">
        <f>#REF!</f>
        <v>#REF!</v>
      </c>
      <c r="G258" s="61" t="e">
        <f>IF(F258&gt;0,Pricing!E258*$H$5,0)</f>
        <v>#REF!</v>
      </c>
      <c r="H258" s="61" t="e">
        <f t="shared" si="25"/>
        <v>#REF!</v>
      </c>
      <c r="I258" s="62" t="e">
        <f>#REF!</f>
        <v>#REF!</v>
      </c>
      <c r="J258" s="61" t="e">
        <f>IF(I258&gt;0,Pricing!E258*$K$5,0)</f>
        <v>#REF!</v>
      </c>
      <c r="K258" s="63" t="e">
        <f t="shared" si="26"/>
        <v>#REF!</v>
      </c>
      <c r="L258" s="64" t="e">
        <f>#REF!</f>
        <v>#REF!</v>
      </c>
      <c r="M258" s="61" t="e">
        <f>IF(L258&lt;0,Pricing!E258*$N$5,0)</f>
        <v>#REF!</v>
      </c>
      <c r="N258" s="61" t="e">
        <f t="shared" si="27"/>
        <v>#REF!</v>
      </c>
      <c r="O258" s="60" t="e">
        <f>#REF!</f>
        <v>#REF!</v>
      </c>
      <c r="P258" s="61" t="e">
        <f>IF(O258&lt;0,Pricing!E258*$Q$5,0)</f>
        <v>#REF!</v>
      </c>
      <c r="Q258" s="61" t="e">
        <f t="shared" si="28"/>
        <v>#REF!</v>
      </c>
      <c r="R258" s="60" t="e">
        <f>#REF!</f>
        <v>#REF!</v>
      </c>
      <c r="S258" s="61" t="e">
        <f>IF(R258&lt;0,Pricing!E258*$T$5,0)</f>
        <v>#REF!</v>
      </c>
      <c r="T258" s="61" t="e">
        <f t="shared" si="29"/>
        <v>#REF!</v>
      </c>
    </row>
    <row r="259" spans="1:20" x14ac:dyDescent="0.25">
      <c r="A259" s="58">
        <f t="shared" si="30"/>
        <v>44541.499999999389</v>
      </c>
      <c r="B259" s="59">
        <f t="shared" si="31"/>
        <v>44541.541666666053</v>
      </c>
      <c r="C259" s="60" t="e">
        <f>#REF!</f>
        <v>#REF!</v>
      </c>
      <c r="D259" s="61" t="e">
        <f>IF(C259&gt;0,Pricing!E259*$E$5,0)</f>
        <v>#REF!</v>
      </c>
      <c r="E259" s="61" t="e">
        <f t="shared" si="24"/>
        <v>#REF!</v>
      </c>
      <c r="F259" s="60" t="e">
        <f>#REF!</f>
        <v>#REF!</v>
      </c>
      <c r="G259" s="61" t="e">
        <f>IF(F259&gt;0,Pricing!E259*$H$5,0)</f>
        <v>#REF!</v>
      </c>
      <c r="H259" s="61" t="e">
        <f t="shared" si="25"/>
        <v>#REF!</v>
      </c>
      <c r="I259" s="62" t="e">
        <f>#REF!</f>
        <v>#REF!</v>
      </c>
      <c r="J259" s="61" t="e">
        <f>IF(I259&gt;0,Pricing!E259*$K$5,0)</f>
        <v>#REF!</v>
      </c>
      <c r="K259" s="63" t="e">
        <f t="shared" si="26"/>
        <v>#REF!</v>
      </c>
      <c r="L259" s="64" t="e">
        <f>#REF!</f>
        <v>#REF!</v>
      </c>
      <c r="M259" s="61" t="e">
        <f>IF(L259&lt;0,Pricing!E259*$N$5,0)</f>
        <v>#REF!</v>
      </c>
      <c r="N259" s="61" t="e">
        <f t="shared" si="27"/>
        <v>#REF!</v>
      </c>
      <c r="O259" s="60" t="e">
        <f>#REF!</f>
        <v>#REF!</v>
      </c>
      <c r="P259" s="61" t="e">
        <f>IF(O259&lt;0,Pricing!E259*$Q$5,0)</f>
        <v>#REF!</v>
      </c>
      <c r="Q259" s="61" t="e">
        <f t="shared" si="28"/>
        <v>#REF!</v>
      </c>
      <c r="R259" s="60" t="e">
        <f>#REF!</f>
        <v>#REF!</v>
      </c>
      <c r="S259" s="61" t="e">
        <f>IF(R259&lt;0,Pricing!E259*$T$5,0)</f>
        <v>#REF!</v>
      </c>
      <c r="T259" s="61" t="e">
        <f t="shared" si="29"/>
        <v>#REF!</v>
      </c>
    </row>
    <row r="260" spans="1:20" x14ac:dyDescent="0.25">
      <c r="A260" s="58">
        <f t="shared" si="30"/>
        <v>44541.541666666053</v>
      </c>
      <c r="B260" s="59">
        <f t="shared" si="31"/>
        <v>44541.583333332717</v>
      </c>
      <c r="C260" s="60" t="e">
        <f>#REF!</f>
        <v>#REF!</v>
      </c>
      <c r="D260" s="61" t="e">
        <f>IF(C260&gt;0,Pricing!E260*$E$5,0)</f>
        <v>#REF!</v>
      </c>
      <c r="E260" s="61" t="e">
        <f t="shared" si="24"/>
        <v>#REF!</v>
      </c>
      <c r="F260" s="60" t="e">
        <f>#REF!</f>
        <v>#REF!</v>
      </c>
      <c r="G260" s="61" t="e">
        <f>IF(F260&gt;0,Pricing!E260*$H$5,0)</f>
        <v>#REF!</v>
      </c>
      <c r="H260" s="61" t="e">
        <f t="shared" si="25"/>
        <v>#REF!</v>
      </c>
      <c r="I260" s="62" t="e">
        <f>#REF!</f>
        <v>#REF!</v>
      </c>
      <c r="J260" s="61" t="e">
        <f>IF(I260&gt;0,Pricing!E260*$K$5,0)</f>
        <v>#REF!</v>
      </c>
      <c r="K260" s="63" t="e">
        <f t="shared" si="26"/>
        <v>#REF!</v>
      </c>
      <c r="L260" s="64" t="e">
        <f>#REF!</f>
        <v>#REF!</v>
      </c>
      <c r="M260" s="61" t="e">
        <f>IF(L260&lt;0,Pricing!E260*$N$5,0)</f>
        <v>#REF!</v>
      </c>
      <c r="N260" s="61" t="e">
        <f t="shared" si="27"/>
        <v>#REF!</v>
      </c>
      <c r="O260" s="60" t="e">
        <f>#REF!</f>
        <v>#REF!</v>
      </c>
      <c r="P260" s="61" t="e">
        <f>IF(O260&lt;0,Pricing!E260*$Q$5,0)</f>
        <v>#REF!</v>
      </c>
      <c r="Q260" s="61" t="e">
        <f t="shared" si="28"/>
        <v>#REF!</v>
      </c>
      <c r="R260" s="60" t="e">
        <f>#REF!</f>
        <v>#REF!</v>
      </c>
      <c r="S260" s="61" t="e">
        <f>IF(R260&lt;0,Pricing!E260*$T$5,0)</f>
        <v>#REF!</v>
      </c>
      <c r="T260" s="61" t="e">
        <f t="shared" si="29"/>
        <v>#REF!</v>
      </c>
    </row>
    <row r="261" spans="1:20" x14ac:dyDescent="0.25">
      <c r="A261" s="58">
        <f t="shared" si="30"/>
        <v>44541.583333332717</v>
      </c>
      <c r="B261" s="59">
        <f t="shared" si="31"/>
        <v>44541.624999999382</v>
      </c>
      <c r="C261" s="60" t="e">
        <f>#REF!</f>
        <v>#REF!</v>
      </c>
      <c r="D261" s="61" t="e">
        <f>IF(C261&gt;0,Pricing!E261*$E$5,0)</f>
        <v>#REF!</v>
      </c>
      <c r="E261" s="61" t="e">
        <f t="shared" si="24"/>
        <v>#REF!</v>
      </c>
      <c r="F261" s="60" t="e">
        <f>#REF!</f>
        <v>#REF!</v>
      </c>
      <c r="G261" s="61" t="e">
        <f>IF(F261&gt;0,Pricing!E261*$H$5,0)</f>
        <v>#REF!</v>
      </c>
      <c r="H261" s="61" t="e">
        <f t="shared" si="25"/>
        <v>#REF!</v>
      </c>
      <c r="I261" s="62" t="e">
        <f>#REF!</f>
        <v>#REF!</v>
      </c>
      <c r="J261" s="61" t="e">
        <f>IF(I261&gt;0,Pricing!E261*$K$5,0)</f>
        <v>#REF!</v>
      </c>
      <c r="K261" s="63" t="e">
        <f t="shared" si="26"/>
        <v>#REF!</v>
      </c>
      <c r="L261" s="64" t="e">
        <f>#REF!</f>
        <v>#REF!</v>
      </c>
      <c r="M261" s="61" t="e">
        <f>IF(L261&lt;0,Pricing!E261*$N$5,0)</f>
        <v>#REF!</v>
      </c>
      <c r="N261" s="61" t="e">
        <f t="shared" si="27"/>
        <v>#REF!</v>
      </c>
      <c r="O261" s="60" t="e">
        <f>#REF!</f>
        <v>#REF!</v>
      </c>
      <c r="P261" s="61" t="e">
        <f>IF(O261&lt;0,Pricing!E261*$Q$5,0)</f>
        <v>#REF!</v>
      </c>
      <c r="Q261" s="61" t="e">
        <f t="shared" si="28"/>
        <v>#REF!</v>
      </c>
      <c r="R261" s="60" t="e">
        <f>#REF!</f>
        <v>#REF!</v>
      </c>
      <c r="S261" s="61" t="e">
        <f>IF(R261&lt;0,Pricing!E261*$T$5,0)</f>
        <v>#REF!</v>
      </c>
      <c r="T261" s="61" t="e">
        <f t="shared" si="29"/>
        <v>#REF!</v>
      </c>
    </row>
    <row r="262" spans="1:20" x14ac:dyDescent="0.25">
      <c r="A262" s="58">
        <f t="shared" si="30"/>
        <v>44541.624999999382</v>
      </c>
      <c r="B262" s="59">
        <f t="shared" si="31"/>
        <v>44541.666666666046</v>
      </c>
      <c r="C262" s="60" t="e">
        <f>#REF!</f>
        <v>#REF!</v>
      </c>
      <c r="D262" s="61" t="e">
        <f>IF(C262&gt;0,Pricing!E262*$E$5,0)</f>
        <v>#REF!</v>
      </c>
      <c r="E262" s="61" t="e">
        <f t="shared" si="24"/>
        <v>#REF!</v>
      </c>
      <c r="F262" s="60" t="e">
        <f>#REF!</f>
        <v>#REF!</v>
      </c>
      <c r="G262" s="61" t="e">
        <f>IF(F262&gt;0,Pricing!E262*$H$5,0)</f>
        <v>#REF!</v>
      </c>
      <c r="H262" s="61" t="e">
        <f t="shared" si="25"/>
        <v>#REF!</v>
      </c>
      <c r="I262" s="62" t="e">
        <f>#REF!</f>
        <v>#REF!</v>
      </c>
      <c r="J262" s="61" t="e">
        <f>IF(I262&gt;0,Pricing!E262*$K$5,0)</f>
        <v>#REF!</v>
      </c>
      <c r="K262" s="63" t="e">
        <f t="shared" si="26"/>
        <v>#REF!</v>
      </c>
      <c r="L262" s="64" t="e">
        <f>#REF!</f>
        <v>#REF!</v>
      </c>
      <c r="M262" s="61" t="e">
        <f>IF(L262&lt;0,Pricing!E262*$N$5,0)</f>
        <v>#REF!</v>
      </c>
      <c r="N262" s="61" t="e">
        <f t="shared" si="27"/>
        <v>#REF!</v>
      </c>
      <c r="O262" s="60" t="e">
        <f>#REF!</f>
        <v>#REF!</v>
      </c>
      <c r="P262" s="61" t="e">
        <f>IF(O262&lt;0,Pricing!E262*$Q$5,0)</f>
        <v>#REF!</v>
      </c>
      <c r="Q262" s="61" t="e">
        <f t="shared" si="28"/>
        <v>#REF!</v>
      </c>
      <c r="R262" s="60" t="e">
        <f>#REF!</f>
        <v>#REF!</v>
      </c>
      <c r="S262" s="61" t="e">
        <f>IF(R262&lt;0,Pricing!E262*$T$5,0)</f>
        <v>#REF!</v>
      </c>
      <c r="T262" s="61" t="e">
        <f t="shared" si="29"/>
        <v>#REF!</v>
      </c>
    </row>
    <row r="263" spans="1:20" x14ac:dyDescent="0.25">
      <c r="A263" s="58">
        <f t="shared" si="30"/>
        <v>44541.666666666046</v>
      </c>
      <c r="B263" s="59">
        <f t="shared" si="31"/>
        <v>44541.70833333271</v>
      </c>
      <c r="C263" s="60" t="e">
        <f>#REF!</f>
        <v>#REF!</v>
      </c>
      <c r="D263" s="61" t="e">
        <f>IF(C263&gt;0,Pricing!E263*$E$5,0)</f>
        <v>#REF!</v>
      </c>
      <c r="E263" s="61" t="e">
        <f t="shared" si="24"/>
        <v>#REF!</v>
      </c>
      <c r="F263" s="60" t="e">
        <f>#REF!</f>
        <v>#REF!</v>
      </c>
      <c r="G263" s="61" t="e">
        <f>IF(F263&gt;0,Pricing!E263*$H$5,0)</f>
        <v>#REF!</v>
      </c>
      <c r="H263" s="61" t="e">
        <f t="shared" si="25"/>
        <v>#REF!</v>
      </c>
      <c r="I263" s="62" t="e">
        <f>#REF!</f>
        <v>#REF!</v>
      </c>
      <c r="J263" s="61" t="e">
        <f>IF(I263&gt;0,Pricing!E263*$K$5,0)</f>
        <v>#REF!</v>
      </c>
      <c r="K263" s="63" t="e">
        <f t="shared" si="26"/>
        <v>#REF!</v>
      </c>
      <c r="L263" s="64" t="e">
        <f>#REF!</f>
        <v>#REF!</v>
      </c>
      <c r="M263" s="61" t="e">
        <f>IF(L263&lt;0,Pricing!E263*$N$5,0)</f>
        <v>#REF!</v>
      </c>
      <c r="N263" s="61" t="e">
        <f t="shared" si="27"/>
        <v>#REF!</v>
      </c>
      <c r="O263" s="60" t="e">
        <f>#REF!</f>
        <v>#REF!</v>
      </c>
      <c r="P263" s="61" t="e">
        <f>IF(O263&lt;0,Pricing!E263*$Q$5,0)</f>
        <v>#REF!</v>
      </c>
      <c r="Q263" s="61" t="e">
        <f t="shared" si="28"/>
        <v>#REF!</v>
      </c>
      <c r="R263" s="60" t="e">
        <f>#REF!</f>
        <v>#REF!</v>
      </c>
      <c r="S263" s="61" t="e">
        <f>IF(R263&lt;0,Pricing!E263*$T$5,0)</f>
        <v>#REF!</v>
      </c>
      <c r="T263" s="61" t="e">
        <f t="shared" si="29"/>
        <v>#REF!</v>
      </c>
    </row>
    <row r="264" spans="1:20" x14ac:dyDescent="0.25">
      <c r="A264" s="58">
        <f t="shared" si="30"/>
        <v>44541.70833333271</v>
      </c>
      <c r="B264" s="59">
        <f t="shared" si="31"/>
        <v>44541.749999999374</v>
      </c>
      <c r="C264" s="60" t="e">
        <f>#REF!</f>
        <v>#REF!</v>
      </c>
      <c r="D264" s="61" t="e">
        <f>IF(C264&gt;0,Pricing!E264*$E$5,0)</f>
        <v>#REF!</v>
      </c>
      <c r="E264" s="61" t="e">
        <f t="shared" ref="E264:E327" si="32">C264*D264</f>
        <v>#REF!</v>
      </c>
      <c r="F264" s="60" t="e">
        <f>#REF!</f>
        <v>#REF!</v>
      </c>
      <c r="G264" s="61" t="e">
        <f>IF(F264&gt;0,Pricing!E264*$H$5,0)</f>
        <v>#REF!</v>
      </c>
      <c r="H264" s="61" t="e">
        <f t="shared" ref="H264:H327" si="33">F264*G264</f>
        <v>#REF!</v>
      </c>
      <c r="I264" s="62" t="e">
        <f>#REF!</f>
        <v>#REF!</v>
      </c>
      <c r="J264" s="61" t="e">
        <f>IF(I264&gt;0,Pricing!E264*$K$5,0)</f>
        <v>#REF!</v>
      </c>
      <c r="K264" s="63" t="e">
        <f t="shared" ref="K264:K327" si="34">I264*J264</f>
        <v>#REF!</v>
      </c>
      <c r="L264" s="64" t="e">
        <f>#REF!</f>
        <v>#REF!</v>
      </c>
      <c r="M264" s="61" t="e">
        <f>IF(L264&lt;0,Pricing!E264*$N$5,0)</f>
        <v>#REF!</v>
      </c>
      <c r="N264" s="61" t="e">
        <f t="shared" ref="N264:N327" si="35">L264*M264</f>
        <v>#REF!</v>
      </c>
      <c r="O264" s="60" t="e">
        <f>#REF!</f>
        <v>#REF!</v>
      </c>
      <c r="P264" s="61" t="e">
        <f>IF(O264&lt;0,Pricing!E264*$Q$5,0)</f>
        <v>#REF!</v>
      </c>
      <c r="Q264" s="61" t="e">
        <f t="shared" ref="Q264:Q327" si="36">O264*P264</f>
        <v>#REF!</v>
      </c>
      <c r="R264" s="60" t="e">
        <f>#REF!</f>
        <v>#REF!</v>
      </c>
      <c r="S264" s="61" t="e">
        <f>IF(R264&lt;0,Pricing!E264*$T$5,0)</f>
        <v>#REF!</v>
      </c>
      <c r="T264" s="61" t="e">
        <f t="shared" ref="T264:T327" si="37">R264*S264</f>
        <v>#REF!</v>
      </c>
    </row>
    <row r="265" spans="1:20" x14ac:dyDescent="0.25">
      <c r="A265" s="58">
        <f t="shared" ref="A265:A328" si="38">$A264+1/24</f>
        <v>44541.749999999374</v>
      </c>
      <c r="B265" s="59">
        <f t="shared" ref="B265:B328" si="39">B264+1/24</f>
        <v>44541.791666666039</v>
      </c>
      <c r="C265" s="60" t="e">
        <f>#REF!</f>
        <v>#REF!</v>
      </c>
      <c r="D265" s="61" t="e">
        <f>IF(C265&gt;0,Pricing!E265*$E$5,0)</f>
        <v>#REF!</v>
      </c>
      <c r="E265" s="61" t="e">
        <f t="shared" si="32"/>
        <v>#REF!</v>
      </c>
      <c r="F265" s="60" t="e">
        <f>#REF!</f>
        <v>#REF!</v>
      </c>
      <c r="G265" s="61" t="e">
        <f>IF(F265&gt;0,Pricing!E265*$H$5,0)</f>
        <v>#REF!</v>
      </c>
      <c r="H265" s="61" t="e">
        <f t="shared" si="33"/>
        <v>#REF!</v>
      </c>
      <c r="I265" s="62" t="e">
        <f>#REF!</f>
        <v>#REF!</v>
      </c>
      <c r="J265" s="61" t="e">
        <f>IF(I265&gt;0,Pricing!E265*$K$5,0)</f>
        <v>#REF!</v>
      </c>
      <c r="K265" s="63" t="e">
        <f t="shared" si="34"/>
        <v>#REF!</v>
      </c>
      <c r="L265" s="64" t="e">
        <f>#REF!</f>
        <v>#REF!</v>
      </c>
      <c r="M265" s="61" t="e">
        <f>IF(L265&lt;0,Pricing!E265*$N$5,0)</f>
        <v>#REF!</v>
      </c>
      <c r="N265" s="61" t="e">
        <f t="shared" si="35"/>
        <v>#REF!</v>
      </c>
      <c r="O265" s="60" t="e">
        <f>#REF!</f>
        <v>#REF!</v>
      </c>
      <c r="P265" s="61" t="e">
        <f>IF(O265&lt;0,Pricing!E265*$Q$5,0)</f>
        <v>#REF!</v>
      </c>
      <c r="Q265" s="61" t="e">
        <f t="shared" si="36"/>
        <v>#REF!</v>
      </c>
      <c r="R265" s="60" t="e">
        <f>#REF!</f>
        <v>#REF!</v>
      </c>
      <c r="S265" s="61" t="e">
        <f>IF(R265&lt;0,Pricing!E265*$T$5,0)</f>
        <v>#REF!</v>
      </c>
      <c r="T265" s="61" t="e">
        <f t="shared" si="37"/>
        <v>#REF!</v>
      </c>
    </row>
    <row r="266" spans="1:20" x14ac:dyDescent="0.25">
      <c r="A266" s="58">
        <f t="shared" si="38"/>
        <v>44541.791666666039</v>
      </c>
      <c r="B266" s="59">
        <f t="shared" si="39"/>
        <v>44541.833333332703</v>
      </c>
      <c r="C266" s="60" t="e">
        <f>#REF!</f>
        <v>#REF!</v>
      </c>
      <c r="D266" s="61" t="e">
        <f>IF(C266&gt;0,Pricing!E266*$E$5,0)</f>
        <v>#REF!</v>
      </c>
      <c r="E266" s="61" t="e">
        <f t="shared" si="32"/>
        <v>#REF!</v>
      </c>
      <c r="F266" s="60" t="e">
        <f>#REF!</f>
        <v>#REF!</v>
      </c>
      <c r="G266" s="61" t="e">
        <f>IF(F266&gt;0,Pricing!E266*$H$5,0)</f>
        <v>#REF!</v>
      </c>
      <c r="H266" s="61" t="e">
        <f t="shared" si="33"/>
        <v>#REF!</v>
      </c>
      <c r="I266" s="62" t="e">
        <f>#REF!</f>
        <v>#REF!</v>
      </c>
      <c r="J266" s="61" t="e">
        <f>IF(I266&gt;0,Pricing!E266*$K$5,0)</f>
        <v>#REF!</v>
      </c>
      <c r="K266" s="63" t="e">
        <f t="shared" si="34"/>
        <v>#REF!</v>
      </c>
      <c r="L266" s="64" t="e">
        <f>#REF!</f>
        <v>#REF!</v>
      </c>
      <c r="M266" s="61" t="e">
        <f>IF(L266&lt;0,Pricing!E266*$N$5,0)</f>
        <v>#REF!</v>
      </c>
      <c r="N266" s="61" t="e">
        <f t="shared" si="35"/>
        <v>#REF!</v>
      </c>
      <c r="O266" s="60" t="e">
        <f>#REF!</f>
        <v>#REF!</v>
      </c>
      <c r="P266" s="61" t="e">
        <f>IF(O266&lt;0,Pricing!E266*$Q$5,0)</f>
        <v>#REF!</v>
      </c>
      <c r="Q266" s="61" t="e">
        <f t="shared" si="36"/>
        <v>#REF!</v>
      </c>
      <c r="R266" s="60" t="e">
        <f>#REF!</f>
        <v>#REF!</v>
      </c>
      <c r="S266" s="61" t="e">
        <f>IF(R266&lt;0,Pricing!E266*$T$5,0)</f>
        <v>#REF!</v>
      </c>
      <c r="T266" s="61" t="e">
        <f t="shared" si="37"/>
        <v>#REF!</v>
      </c>
    </row>
    <row r="267" spans="1:20" x14ac:dyDescent="0.25">
      <c r="A267" s="58">
        <f t="shared" si="38"/>
        <v>44541.833333332703</v>
      </c>
      <c r="B267" s="59">
        <f t="shared" si="39"/>
        <v>44541.874999999367</v>
      </c>
      <c r="C267" s="60" t="e">
        <f>#REF!</f>
        <v>#REF!</v>
      </c>
      <c r="D267" s="61" t="e">
        <f>IF(C267&gt;0,Pricing!E267*$E$5,0)</f>
        <v>#REF!</v>
      </c>
      <c r="E267" s="61" t="e">
        <f t="shared" si="32"/>
        <v>#REF!</v>
      </c>
      <c r="F267" s="60" t="e">
        <f>#REF!</f>
        <v>#REF!</v>
      </c>
      <c r="G267" s="61" t="e">
        <f>IF(F267&gt;0,Pricing!E267*$H$5,0)</f>
        <v>#REF!</v>
      </c>
      <c r="H267" s="61" t="e">
        <f t="shared" si="33"/>
        <v>#REF!</v>
      </c>
      <c r="I267" s="62" t="e">
        <f>#REF!</f>
        <v>#REF!</v>
      </c>
      <c r="J267" s="61" t="e">
        <f>IF(I267&gt;0,Pricing!E267*$K$5,0)</f>
        <v>#REF!</v>
      </c>
      <c r="K267" s="63" t="e">
        <f t="shared" si="34"/>
        <v>#REF!</v>
      </c>
      <c r="L267" s="64" t="e">
        <f>#REF!</f>
        <v>#REF!</v>
      </c>
      <c r="M267" s="61" t="e">
        <f>IF(L267&lt;0,Pricing!E267*$N$5,0)</f>
        <v>#REF!</v>
      </c>
      <c r="N267" s="61" t="e">
        <f t="shared" si="35"/>
        <v>#REF!</v>
      </c>
      <c r="O267" s="60" t="e">
        <f>#REF!</f>
        <v>#REF!</v>
      </c>
      <c r="P267" s="61" t="e">
        <f>IF(O267&lt;0,Pricing!E267*$Q$5,0)</f>
        <v>#REF!</v>
      </c>
      <c r="Q267" s="61" t="e">
        <f t="shared" si="36"/>
        <v>#REF!</v>
      </c>
      <c r="R267" s="60" t="e">
        <f>#REF!</f>
        <v>#REF!</v>
      </c>
      <c r="S267" s="61" t="e">
        <f>IF(R267&lt;0,Pricing!E267*$T$5,0)</f>
        <v>#REF!</v>
      </c>
      <c r="T267" s="61" t="e">
        <f t="shared" si="37"/>
        <v>#REF!</v>
      </c>
    </row>
    <row r="268" spans="1:20" x14ac:dyDescent="0.25">
      <c r="A268" s="58">
        <f t="shared" si="38"/>
        <v>44541.874999999367</v>
      </c>
      <c r="B268" s="59">
        <f t="shared" si="39"/>
        <v>44541.916666666031</v>
      </c>
      <c r="C268" s="60" t="e">
        <f>#REF!</f>
        <v>#REF!</v>
      </c>
      <c r="D268" s="61" t="e">
        <f>IF(C268&gt;0,Pricing!E268*$E$5,0)</f>
        <v>#REF!</v>
      </c>
      <c r="E268" s="61" t="e">
        <f t="shared" si="32"/>
        <v>#REF!</v>
      </c>
      <c r="F268" s="60" t="e">
        <f>#REF!</f>
        <v>#REF!</v>
      </c>
      <c r="G268" s="61" t="e">
        <f>IF(F268&gt;0,Pricing!E268*$H$5,0)</f>
        <v>#REF!</v>
      </c>
      <c r="H268" s="61" t="e">
        <f t="shared" si="33"/>
        <v>#REF!</v>
      </c>
      <c r="I268" s="62" t="e">
        <f>#REF!</f>
        <v>#REF!</v>
      </c>
      <c r="J268" s="61" t="e">
        <f>IF(I268&gt;0,Pricing!E268*$K$5,0)</f>
        <v>#REF!</v>
      </c>
      <c r="K268" s="63" t="e">
        <f t="shared" si="34"/>
        <v>#REF!</v>
      </c>
      <c r="L268" s="64" t="e">
        <f>#REF!</f>
        <v>#REF!</v>
      </c>
      <c r="M268" s="61" t="e">
        <f>IF(L268&lt;0,Pricing!E268*$N$5,0)</f>
        <v>#REF!</v>
      </c>
      <c r="N268" s="61" t="e">
        <f t="shared" si="35"/>
        <v>#REF!</v>
      </c>
      <c r="O268" s="60" t="e">
        <f>#REF!</f>
        <v>#REF!</v>
      </c>
      <c r="P268" s="61" t="e">
        <f>IF(O268&lt;0,Pricing!E268*$Q$5,0)</f>
        <v>#REF!</v>
      </c>
      <c r="Q268" s="61" t="e">
        <f t="shared" si="36"/>
        <v>#REF!</v>
      </c>
      <c r="R268" s="60" t="e">
        <f>#REF!</f>
        <v>#REF!</v>
      </c>
      <c r="S268" s="61" t="e">
        <f>IF(R268&lt;0,Pricing!E268*$T$5,0)</f>
        <v>#REF!</v>
      </c>
      <c r="T268" s="61" t="e">
        <f t="shared" si="37"/>
        <v>#REF!</v>
      </c>
    </row>
    <row r="269" spans="1:20" x14ac:dyDescent="0.25">
      <c r="A269" s="58">
        <f t="shared" si="38"/>
        <v>44541.916666666031</v>
      </c>
      <c r="B269" s="59">
        <f t="shared" si="39"/>
        <v>44541.958333332695</v>
      </c>
      <c r="C269" s="60" t="e">
        <f>#REF!</f>
        <v>#REF!</v>
      </c>
      <c r="D269" s="61" t="e">
        <f>IF(C269&gt;0,Pricing!E269*$E$5,0)</f>
        <v>#REF!</v>
      </c>
      <c r="E269" s="61" t="e">
        <f t="shared" si="32"/>
        <v>#REF!</v>
      </c>
      <c r="F269" s="60" t="e">
        <f>#REF!</f>
        <v>#REF!</v>
      </c>
      <c r="G269" s="61" t="e">
        <f>IF(F269&gt;0,Pricing!E269*$H$5,0)</f>
        <v>#REF!</v>
      </c>
      <c r="H269" s="61" t="e">
        <f t="shared" si="33"/>
        <v>#REF!</v>
      </c>
      <c r="I269" s="62" t="e">
        <f>#REF!</f>
        <v>#REF!</v>
      </c>
      <c r="J269" s="61" t="e">
        <f>IF(I269&gt;0,Pricing!E269*$K$5,0)</f>
        <v>#REF!</v>
      </c>
      <c r="K269" s="63" t="e">
        <f t="shared" si="34"/>
        <v>#REF!</v>
      </c>
      <c r="L269" s="64" t="e">
        <f>#REF!</f>
        <v>#REF!</v>
      </c>
      <c r="M269" s="61" t="e">
        <f>IF(L269&lt;0,Pricing!E269*$N$5,0)</f>
        <v>#REF!</v>
      </c>
      <c r="N269" s="61" t="e">
        <f t="shared" si="35"/>
        <v>#REF!</v>
      </c>
      <c r="O269" s="60" t="e">
        <f>#REF!</f>
        <v>#REF!</v>
      </c>
      <c r="P269" s="61" t="e">
        <f>IF(O269&lt;0,Pricing!E269*$Q$5,0)</f>
        <v>#REF!</v>
      </c>
      <c r="Q269" s="61" t="e">
        <f t="shared" si="36"/>
        <v>#REF!</v>
      </c>
      <c r="R269" s="60" t="e">
        <f>#REF!</f>
        <v>#REF!</v>
      </c>
      <c r="S269" s="61" t="e">
        <f>IF(R269&lt;0,Pricing!E269*$T$5,0)</f>
        <v>#REF!</v>
      </c>
      <c r="T269" s="61" t="e">
        <f t="shared" si="37"/>
        <v>#REF!</v>
      </c>
    </row>
    <row r="270" spans="1:20" x14ac:dyDescent="0.25">
      <c r="A270" s="58">
        <f t="shared" si="38"/>
        <v>44541.958333332695</v>
      </c>
      <c r="B270" s="59">
        <f t="shared" si="39"/>
        <v>44541.99999999936</v>
      </c>
      <c r="C270" s="60" t="e">
        <f>#REF!</f>
        <v>#REF!</v>
      </c>
      <c r="D270" s="61" t="e">
        <f>IF(C270&gt;0,Pricing!E270*$E$5,0)</f>
        <v>#REF!</v>
      </c>
      <c r="E270" s="61" t="e">
        <f t="shared" si="32"/>
        <v>#REF!</v>
      </c>
      <c r="F270" s="60" t="e">
        <f>#REF!</f>
        <v>#REF!</v>
      </c>
      <c r="G270" s="61" t="e">
        <f>IF(F270&gt;0,Pricing!E270*$H$5,0)</f>
        <v>#REF!</v>
      </c>
      <c r="H270" s="61" t="e">
        <f t="shared" si="33"/>
        <v>#REF!</v>
      </c>
      <c r="I270" s="62" t="e">
        <f>#REF!</f>
        <v>#REF!</v>
      </c>
      <c r="J270" s="61" t="e">
        <f>IF(I270&gt;0,Pricing!E270*$K$5,0)</f>
        <v>#REF!</v>
      </c>
      <c r="K270" s="63" t="e">
        <f t="shared" si="34"/>
        <v>#REF!</v>
      </c>
      <c r="L270" s="64" t="e">
        <f>#REF!</f>
        <v>#REF!</v>
      </c>
      <c r="M270" s="61" t="e">
        <f>IF(L270&lt;0,Pricing!E270*$N$5,0)</f>
        <v>#REF!</v>
      </c>
      <c r="N270" s="61" t="e">
        <f t="shared" si="35"/>
        <v>#REF!</v>
      </c>
      <c r="O270" s="60" t="e">
        <f>#REF!</f>
        <v>#REF!</v>
      </c>
      <c r="P270" s="61" t="e">
        <f>IF(O270&lt;0,Pricing!E270*$Q$5,0)</f>
        <v>#REF!</v>
      </c>
      <c r="Q270" s="61" t="e">
        <f t="shared" si="36"/>
        <v>#REF!</v>
      </c>
      <c r="R270" s="60" t="e">
        <f>#REF!</f>
        <v>#REF!</v>
      </c>
      <c r="S270" s="61" t="e">
        <f>IF(R270&lt;0,Pricing!E270*$T$5,0)</f>
        <v>#REF!</v>
      </c>
      <c r="T270" s="61" t="e">
        <f t="shared" si="37"/>
        <v>#REF!</v>
      </c>
    </row>
    <row r="271" spans="1:20" x14ac:dyDescent="0.25">
      <c r="A271" s="58">
        <f t="shared" si="38"/>
        <v>44541.99999999936</v>
      </c>
      <c r="B271" s="59">
        <f t="shared" si="39"/>
        <v>44542.041666666024</v>
      </c>
      <c r="C271" s="60" t="e">
        <f>#REF!</f>
        <v>#REF!</v>
      </c>
      <c r="D271" s="61" t="e">
        <f>IF(C271&gt;0,Pricing!E271*$E$5,0)</f>
        <v>#REF!</v>
      </c>
      <c r="E271" s="61" t="e">
        <f t="shared" si="32"/>
        <v>#REF!</v>
      </c>
      <c r="F271" s="60" t="e">
        <f>#REF!</f>
        <v>#REF!</v>
      </c>
      <c r="G271" s="61" t="e">
        <f>IF(F271&gt;0,Pricing!E271*$H$5,0)</f>
        <v>#REF!</v>
      </c>
      <c r="H271" s="61" t="e">
        <f t="shared" si="33"/>
        <v>#REF!</v>
      </c>
      <c r="I271" s="62" t="e">
        <f>#REF!</f>
        <v>#REF!</v>
      </c>
      <c r="J271" s="61" t="e">
        <f>IF(I271&gt;0,Pricing!E271*$K$5,0)</f>
        <v>#REF!</v>
      </c>
      <c r="K271" s="63" t="e">
        <f t="shared" si="34"/>
        <v>#REF!</v>
      </c>
      <c r="L271" s="64" t="e">
        <f>#REF!</f>
        <v>#REF!</v>
      </c>
      <c r="M271" s="61" t="e">
        <f>IF(L271&lt;0,Pricing!E271*$N$5,0)</f>
        <v>#REF!</v>
      </c>
      <c r="N271" s="61" t="e">
        <f t="shared" si="35"/>
        <v>#REF!</v>
      </c>
      <c r="O271" s="60" t="e">
        <f>#REF!</f>
        <v>#REF!</v>
      </c>
      <c r="P271" s="61" t="e">
        <f>IF(O271&lt;0,Pricing!E271*$Q$5,0)</f>
        <v>#REF!</v>
      </c>
      <c r="Q271" s="61" t="e">
        <f t="shared" si="36"/>
        <v>#REF!</v>
      </c>
      <c r="R271" s="60" t="e">
        <f>#REF!</f>
        <v>#REF!</v>
      </c>
      <c r="S271" s="61" t="e">
        <f>IF(R271&lt;0,Pricing!E271*$T$5,0)</f>
        <v>#REF!</v>
      </c>
      <c r="T271" s="61" t="e">
        <f t="shared" si="37"/>
        <v>#REF!</v>
      </c>
    </row>
    <row r="272" spans="1:20" x14ac:dyDescent="0.25">
      <c r="A272" s="58">
        <f t="shared" si="38"/>
        <v>44542.041666666024</v>
      </c>
      <c r="B272" s="59">
        <f t="shared" si="39"/>
        <v>44542.083333332688</v>
      </c>
      <c r="C272" s="60" t="e">
        <f>#REF!</f>
        <v>#REF!</v>
      </c>
      <c r="D272" s="61" t="e">
        <f>IF(C272&gt;0,Pricing!E272*$E$5,0)</f>
        <v>#REF!</v>
      </c>
      <c r="E272" s="61" t="e">
        <f t="shared" si="32"/>
        <v>#REF!</v>
      </c>
      <c r="F272" s="60" t="e">
        <f>#REF!</f>
        <v>#REF!</v>
      </c>
      <c r="G272" s="61" t="e">
        <f>IF(F272&gt;0,Pricing!E272*$H$5,0)</f>
        <v>#REF!</v>
      </c>
      <c r="H272" s="61" t="e">
        <f t="shared" si="33"/>
        <v>#REF!</v>
      </c>
      <c r="I272" s="62" t="e">
        <f>#REF!</f>
        <v>#REF!</v>
      </c>
      <c r="J272" s="61" t="e">
        <f>IF(I272&gt;0,Pricing!E272*$K$5,0)</f>
        <v>#REF!</v>
      </c>
      <c r="K272" s="63" t="e">
        <f t="shared" si="34"/>
        <v>#REF!</v>
      </c>
      <c r="L272" s="64" t="e">
        <f>#REF!</f>
        <v>#REF!</v>
      </c>
      <c r="M272" s="61" t="e">
        <f>IF(L272&lt;0,Pricing!E272*$N$5,0)</f>
        <v>#REF!</v>
      </c>
      <c r="N272" s="61" t="e">
        <f t="shared" si="35"/>
        <v>#REF!</v>
      </c>
      <c r="O272" s="60" t="e">
        <f>#REF!</f>
        <v>#REF!</v>
      </c>
      <c r="P272" s="61" t="e">
        <f>IF(O272&lt;0,Pricing!E272*$Q$5,0)</f>
        <v>#REF!</v>
      </c>
      <c r="Q272" s="61" t="e">
        <f t="shared" si="36"/>
        <v>#REF!</v>
      </c>
      <c r="R272" s="60" t="e">
        <f>#REF!</f>
        <v>#REF!</v>
      </c>
      <c r="S272" s="61" t="e">
        <f>IF(R272&lt;0,Pricing!E272*$T$5,0)</f>
        <v>#REF!</v>
      </c>
      <c r="T272" s="61" t="e">
        <f t="shared" si="37"/>
        <v>#REF!</v>
      </c>
    </row>
    <row r="273" spans="1:20" x14ac:dyDescent="0.25">
      <c r="A273" s="58">
        <f t="shared" si="38"/>
        <v>44542.083333332688</v>
      </c>
      <c r="B273" s="59">
        <f t="shared" si="39"/>
        <v>44542.124999999352</v>
      </c>
      <c r="C273" s="60" t="e">
        <f>#REF!</f>
        <v>#REF!</v>
      </c>
      <c r="D273" s="61" t="e">
        <f>IF(C273&gt;0,Pricing!E273*$E$5,0)</f>
        <v>#REF!</v>
      </c>
      <c r="E273" s="61" t="e">
        <f t="shared" si="32"/>
        <v>#REF!</v>
      </c>
      <c r="F273" s="60" t="e">
        <f>#REF!</f>
        <v>#REF!</v>
      </c>
      <c r="G273" s="61" t="e">
        <f>IF(F273&gt;0,Pricing!E273*$H$5,0)</f>
        <v>#REF!</v>
      </c>
      <c r="H273" s="61" t="e">
        <f t="shared" si="33"/>
        <v>#REF!</v>
      </c>
      <c r="I273" s="62" t="e">
        <f>#REF!</f>
        <v>#REF!</v>
      </c>
      <c r="J273" s="61" t="e">
        <f>IF(I273&gt;0,Pricing!E273*$K$5,0)</f>
        <v>#REF!</v>
      </c>
      <c r="K273" s="63" t="e">
        <f t="shared" si="34"/>
        <v>#REF!</v>
      </c>
      <c r="L273" s="64" t="e">
        <f>#REF!</f>
        <v>#REF!</v>
      </c>
      <c r="M273" s="61" t="e">
        <f>IF(L273&lt;0,Pricing!E273*$N$5,0)</f>
        <v>#REF!</v>
      </c>
      <c r="N273" s="61" t="e">
        <f t="shared" si="35"/>
        <v>#REF!</v>
      </c>
      <c r="O273" s="60" t="e">
        <f>#REF!</f>
        <v>#REF!</v>
      </c>
      <c r="P273" s="61" t="e">
        <f>IF(O273&lt;0,Pricing!E273*$Q$5,0)</f>
        <v>#REF!</v>
      </c>
      <c r="Q273" s="61" t="e">
        <f t="shared" si="36"/>
        <v>#REF!</v>
      </c>
      <c r="R273" s="60" t="e">
        <f>#REF!</f>
        <v>#REF!</v>
      </c>
      <c r="S273" s="61" t="e">
        <f>IF(R273&lt;0,Pricing!E273*$T$5,0)</f>
        <v>#REF!</v>
      </c>
      <c r="T273" s="61" t="e">
        <f t="shared" si="37"/>
        <v>#REF!</v>
      </c>
    </row>
    <row r="274" spans="1:20" x14ac:dyDescent="0.25">
      <c r="A274" s="58">
        <f t="shared" si="38"/>
        <v>44542.124999999352</v>
      </c>
      <c r="B274" s="59">
        <f t="shared" si="39"/>
        <v>44542.166666666017</v>
      </c>
      <c r="C274" s="60" t="e">
        <f>#REF!</f>
        <v>#REF!</v>
      </c>
      <c r="D274" s="61" t="e">
        <f>IF(C274&gt;0,Pricing!E274*$E$5,0)</f>
        <v>#REF!</v>
      </c>
      <c r="E274" s="61" t="e">
        <f t="shared" si="32"/>
        <v>#REF!</v>
      </c>
      <c r="F274" s="60" t="e">
        <f>#REF!</f>
        <v>#REF!</v>
      </c>
      <c r="G274" s="61" t="e">
        <f>IF(F274&gt;0,Pricing!E274*$H$5,0)</f>
        <v>#REF!</v>
      </c>
      <c r="H274" s="61" t="e">
        <f t="shared" si="33"/>
        <v>#REF!</v>
      </c>
      <c r="I274" s="62" t="e">
        <f>#REF!</f>
        <v>#REF!</v>
      </c>
      <c r="J274" s="61" t="e">
        <f>IF(I274&gt;0,Pricing!E274*$K$5,0)</f>
        <v>#REF!</v>
      </c>
      <c r="K274" s="63" t="e">
        <f t="shared" si="34"/>
        <v>#REF!</v>
      </c>
      <c r="L274" s="64" t="e">
        <f>#REF!</f>
        <v>#REF!</v>
      </c>
      <c r="M274" s="61" t="e">
        <f>IF(L274&lt;0,Pricing!E274*$N$5,0)</f>
        <v>#REF!</v>
      </c>
      <c r="N274" s="61" t="e">
        <f t="shared" si="35"/>
        <v>#REF!</v>
      </c>
      <c r="O274" s="60" t="e">
        <f>#REF!</f>
        <v>#REF!</v>
      </c>
      <c r="P274" s="61" t="e">
        <f>IF(O274&lt;0,Pricing!E274*$Q$5,0)</f>
        <v>#REF!</v>
      </c>
      <c r="Q274" s="61" t="e">
        <f t="shared" si="36"/>
        <v>#REF!</v>
      </c>
      <c r="R274" s="60" t="e">
        <f>#REF!</f>
        <v>#REF!</v>
      </c>
      <c r="S274" s="61" t="e">
        <f>IF(R274&lt;0,Pricing!E274*$T$5,0)</f>
        <v>#REF!</v>
      </c>
      <c r="T274" s="61" t="e">
        <f t="shared" si="37"/>
        <v>#REF!</v>
      </c>
    </row>
    <row r="275" spans="1:20" x14ac:dyDescent="0.25">
      <c r="A275" s="58">
        <f t="shared" si="38"/>
        <v>44542.166666666017</v>
      </c>
      <c r="B275" s="59">
        <f t="shared" si="39"/>
        <v>44542.208333332681</v>
      </c>
      <c r="C275" s="60" t="e">
        <f>#REF!</f>
        <v>#REF!</v>
      </c>
      <c r="D275" s="61" t="e">
        <f>IF(C275&gt;0,Pricing!E275*$E$5,0)</f>
        <v>#REF!</v>
      </c>
      <c r="E275" s="61" t="e">
        <f t="shared" si="32"/>
        <v>#REF!</v>
      </c>
      <c r="F275" s="60" t="e">
        <f>#REF!</f>
        <v>#REF!</v>
      </c>
      <c r="G275" s="61" t="e">
        <f>IF(F275&gt;0,Pricing!E275*$H$5,0)</f>
        <v>#REF!</v>
      </c>
      <c r="H275" s="61" t="e">
        <f t="shared" si="33"/>
        <v>#REF!</v>
      </c>
      <c r="I275" s="62" t="e">
        <f>#REF!</f>
        <v>#REF!</v>
      </c>
      <c r="J275" s="61" t="e">
        <f>IF(I275&gt;0,Pricing!E275*$K$5,0)</f>
        <v>#REF!</v>
      </c>
      <c r="K275" s="63" t="e">
        <f t="shared" si="34"/>
        <v>#REF!</v>
      </c>
      <c r="L275" s="64" t="e">
        <f>#REF!</f>
        <v>#REF!</v>
      </c>
      <c r="M275" s="61" t="e">
        <f>IF(L275&lt;0,Pricing!E275*$N$5,0)</f>
        <v>#REF!</v>
      </c>
      <c r="N275" s="61" t="e">
        <f t="shared" si="35"/>
        <v>#REF!</v>
      </c>
      <c r="O275" s="60" t="e">
        <f>#REF!</f>
        <v>#REF!</v>
      </c>
      <c r="P275" s="61" t="e">
        <f>IF(O275&lt;0,Pricing!E275*$Q$5,0)</f>
        <v>#REF!</v>
      </c>
      <c r="Q275" s="61" t="e">
        <f t="shared" si="36"/>
        <v>#REF!</v>
      </c>
      <c r="R275" s="60" t="e">
        <f>#REF!</f>
        <v>#REF!</v>
      </c>
      <c r="S275" s="61" t="e">
        <f>IF(R275&lt;0,Pricing!E275*$T$5,0)</f>
        <v>#REF!</v>
      </c>
      <c r="T275" s="61" t="e">
        <f t="shared" si="37"/>
        <v>#REF!</v>
      </c>
    </row>
    <row r="276" spans="1:20" x14ac:dyDescent="0.25">
      <c r="A276" s="58">
        <f t="shared" si="38"/>
        <v>44542.208333332681</v>
      </c>
      <c r="B276" s="59">
        <f t="shared" si="39"/>
        <v>44542.249999999345</v>
      </c>
      <c r="C276" s="60" t="e">
        <f>#REF!</f>
        <v>#REF!</v>
      </c>
      <c r="D276" s="61" t="e">
        <f>IF(C276&gt;0,Pricing!E276*$E$5,0)</f>
        <v>#REF!</v>
      </c>
      <c r="E276" s="61" t="e">
        <f t="shared" si="32"/>
        <v>#REF!</v>
      </c>
      <c r="F276" s="60" t="e">
        <f>#REF!</f>
        <v>#REF!</v>
      </c>
      <c r="G276" s="61" t="e">
        <f>IF(F276&gt;0,Pricing!E276*$H$5,0)</f>
        <v>#REF!</v>
      </c>
      <c r="H276" s="61" t="e">
        <f t="shared" si="33"/>
        <v>#REF!</v>
      </c>
      <c r="I276" s="62" t="e">
        <f>#REF!</f>
        <v>#REF!</v>
      </c>
      <c r="J276" s="61" t="e">
        <f>IF(I276&gt;0,Pricing!E276*$K$5,0)</f>
        <v>#REF!</v>
      </c>
      <c r="K276" s="63" t="e">
        <f t="shared" si="34"/>
        <v>#REF!</v>
      </c>
      <c r="L276" s="64" t="e">
        <f>#REF!</f>
        <v>#REF!</v>
      </c>
      <c r="M276" s="61" t="e">
        <f>IF(L276&lt;0,Pricing!E276*$N$5,0)</f>
        <v>#REF!</v>
      </c>
      <c r="N276" s="61" t="e">
        <f t="shared" si="35"/>
        <v>#REF!</v>
      </c>
      <c r="O276" s="60" t="e">
        <f>#REF!</f>
        <v>#REF!</v>
      </c>
      <c r="P276" s="61" t="e">
        <f>IF(O276&lt;0,Pricing!E276*$Q$5,0)</f>
        <v>#REF!</v>
      </c>
      <c r="Q276" s="61" t="e">
        <f t="shared" si="36"/>
        <v>#REF!</v>
      </c>
      <c r="R276" s="60" t="e">
        <f>#REF!</f>
        <v>#REF!</v>
      </c>
      <c r="S276" s="61" t="e">
        <f>IF(R276&lt;0,Pricing!E276*$T$5,0)</f>
        <v>#REF!</v>
      </c>
      <c r="T276" s="61" t="e">
        <f t="shared" si="37"/>
        <v>#REF!</v>
      </c>
    </row>
    <row r="277" spans="1:20" x14ac:dyDescent="0.25">
      <c r="A277" s="58">
        <f t="shared" si="38"/>
        <v>44542.249999999345</v>
      </c>
      <c r="B277" s="59">
        <f t="shared" si="39"/>
        <v>44542.291666666009</v>
      </c>
      <c r="C277" s="60" t="e">
        <f>#REF!</f>
        <v>#REF!</v>
      </c>
      <c r="D277" s="61" t="e">
        <f>IF(C277&gt;0,Pricing!E277*$E$5,0)</f>
        <v>#REF!</v>
      </c>
      <c r="E277" s="61" t="e">
        <f t="shared" si="32"/>
        <v>#REF!</v>
      </c>
      <c r="F277" s="60" t="e">
        <f>#REF!</f>
        <v>#REF!</v>
      </c>
      <c r="G277" s="61" t="e">
        <f>IF(F277&gt;0,Pricing!E277*$H$5,0)</f>
        <v>#REF!</v>
      </c>
      <c r="H277" s="61" t="e">
        <f t="shared" si="33"/>
        <v>#REF!</v>
      </c>
      <c r="I277" s="62" t="e">
        <f>#REF!</f>
        <v>#REF!</v>
      </c>
      <c r="J277" s="61" t="e">
        <f>IF(I277&gt;0,Pricing!E277*$K$5,0)</f>
        <v>#REF!</v>
      </c>
      <c r="K277" s="63" t="e">
        <f t="shared" si="34"/>
        <v>#REF!</v>
      </c>
      <c r="L277" s="64" t="e">
        <f>#REF!</f>
        <v>#REF!</v>
      </c>
      <c r="M277" s="61" t="e">
        <f>IF(L277&lt;0,Pricing!E277*$N$5,0)</f>
        <v>#REF!</v>
      </c>
      <c r="N277" s="61" t="e">
        <f t="shared" si="35"/>
        <v>#REF!</v>
      </c>
      <c r="O277" s="60" t="e">
        <f>#REF!</f>
        <v>#REF!</v>
      </c>
      <c r="P277" s="61" t="e">
        <f>IF(O277&lt;0,Pricing!E277*$Q$5,0)</f>
        <v>#REF!</v>
      </c>
      <c r="Q277" s="61" t="e">
        <f t="shared" si="36"/>
        <v>#REF!</v>
      </c>
      <c r="R277" s="60" t="e">
        <f>#REF!</f>
        <v>#REF!</v>
      </c>
      <c r="S277" s="61" t="e">
        <f>IF(R277&lt;0,Pricing!E277*$T$5,0)</f>
        <v>#REF!</v>
      </c>
      <c r="T277" s="61" t="e">
        <f t="shared" si="37"/>
        <v>#REF!</v>
      </c>
    </row>
    <row r="278" spans="1:20" x14ac:dyDescent="0.25">
      <c r="A278" s="58">
        <f t="shared" si="38"/>
        <v>44542.291666666009</v>
      </c>
      <c r="B278" s="59">
        <f t="shared" si="39"/>
        <v>44542.333333332674</v>
      </c>
      <c r="C278" s="60" t="e">
        <f>#REF!</f>
        <v>#REF!</v>
      </c>
      <c r="D278" s="61" t="e">
        <f>IF(C278&gt;0,Pricing!E278*$E$5,0)</f>
        <v>#REF!</v>
      </c>
      <c r="E278" s="61" t="e">
        <f t="shared" si="32"/>
        <v>#REF!</v>
      </c>
      <c r="F278" s="60" t="e">
        <f>#REF!</f>
        <v>#REF!</v>
      </c>
      <c r="G278" s="61" t="e">
        <f>IF(F278&gt;0,Pricing!E278*$H$5,0)</f>
        <v>#REF!</v>
      </c>
      <c r="H278" s="61" t="e">
        <f t="shared" si="33"/>
        <v>#REF!</v>
      </c>
      <c r="I278" s="62" t="e">
        <f>#REF!</f>
        <v>#REF!</v>
      </c>
      <c r="J278" s="61" t="e">
        <f>IF(I278&gt;0,Pricing!E278*$K$5,0)</f>
        <v>#REF!</v>
      </c>
      <c r="K278" s="63" t="e">
        <f t="shared" si="34"/>
        <v>#REF!</v>
      </c>
      <c r="L278" s="64" t="e">
        <f>#REF!</f>
        <v>#REF!</v>
      </c>
      <c r="M278" s="61" t="e">
        <f>IF(L278&lt;0,Pricing!E278*$N$5,0)</f>
        <v>#REF!</v>
      </c>
      <c r="N278" s="61" t="e">
        <f t="shared" si="35"/>
        <v>#REF!</v>
      </c>
      <c r="O278" s="60" t="e">
        <f>#REF!</f>
        <v>#REF!</v>
      </c>
      <c r="P278" s="61" t="e">
        <f>IF(O278&lt;0,Pricing!E278*$Q$5,0)</f>
        <v>#REF!</v>
      </c>
      <c r="Q278" s="61" t="e">
        <f t="shared" si="36"/>
        <v>#REF!</v>
      </c>
      <c r="R278" s="60" t="e">
        <f>#REF!</f>
        <v>#REF!</v>
      </c>
      <c r="S278" s="61" t="e">
        <f>IF(R278&lt;0,Pricing!E278*$T$5,0)</f>
        <v>#REF!</v>
      </c>
      <c r="T278" s="61" t="e">
        <f t="shared" si="37"/>
        <v>#REF!</v>
      </c>
    </row>
    <row r="279" spans="1:20" x14ac:dyDescent="0.25">
      <c r="A279" s="58">
        <f t="shared" si="38"/>
        <v>44542.333333332674</v>
      </c>
      <c r="B279" s="59">
        <f t="shared" si="39"/>
        <v>44542.374999999338</v>
      </c>
      <c r="C279" s="60" t="e">
        <f>#REF!</f>
        <v>#REF!</v>
      </c>
      <c r="D279" s="61" t="e">
        <f>IF(C279&gt;0,Pricing!E279*$E$5,0)</f>
        <v>#REF!</v>
      </c>
      <c r="E279" s="61" t="e">
        <f t="shared" si="32"/>
        <v>#REF!</v>
      </c>
      <c r="F279" s="60" t="e">
        <f>#REF!</f>
        <v>#REF!</v>
      </c>
      <c r="G279" s="61" t="e">
        <f>IF(F279&gt;0,Pricing!E279*$H$5,0)</f>
        <v>#REF!</v>
      </c>
      <c r="H279" s="61" t="e">
        <f t="shared" si="33"/>
        <v>#REF!</v>
      </c>
      <c r="I279" s="62" t="e">
        <f>#REF!</f>
        <v>#REF!</v>
      </c>
      <c r="J279" s="61" t="e">
        <f>IF(I279&gt;0,Pricing!E279*$K$5,0)</f>
        <v>#REF!</v>
      </c>
      <c r="K279" s="63" t="e">
        <f t="shared" si="34"/>
        <v>#REF!</v>
      </c>
      <c r="L279" s="64" t="e">
        <f>#REF!</f>
        <v>#REF!</v>
      </c>
      <c r="M279" s="61" t="e">
        <f>IF(L279&lt;0,Pricing!E279*$N$5,0)</f>
        <v>#REF!</v>
      </c>
      <c r="N279" s="61" t="e">
        <f t="shared" si="35"/>
        <v>#REF!</v>
      </c>
      <c r="O279" s="60" t="e">
        <f>#REF!</f>
        <v>#REF!</v>
      </c>
      <c r="P279" s="61" t="e">
        <f>IF(O279&lt;0,Pricing!E279*$Q$5,0)</f>
        <v>#REF!</v>
      </c>
      <c r="Q279" s="61" t="e">
        <f t="shared" si="36"/>
        <v>#REF!</v>
      </c>
      <c r="R279" s="60" t="e">
        <f>#REF!</f>
        <v>#REF!</v>
      </c>
      <c r="S279" s="61" t="e">
        <f>IF(R279&lt;0,Pricing!E279*$T$5,0)</f>
        <v>#REF!</v>
      </c>
      <c r="T279" s="61" t="e">
        <f t="shared" si="37"/>
        <v>#REF!</v>
      </c>
    </row>
    <row r="280" spans="1:20" x14ac:dyDescent="0.25">
      <c r="A280" s="58">
        <f t="shared" si="38"/>
        <v>44542.374999999338</v>
      </c>
      <c r="B280" s="59">
        <f t="shared" si="39"/>
        <v>44542.416666666002</v>
      </c>
      <c r="C280" s="60" t="e">
        <f>#REF!</f>
        <v>#REF!</v>
      </c>
      <c r="D280" s="61" t="e">
        <f>IF(C280&gt;0,Pricing!E280*$E$5,0)</f>
        <v>#REF!</v>
      </c>
      <c r="E280" s="61" t="e">
        <f t="shared" si="32"/>
        <v>#REF!</v>
      </c>
      <c r="F280" s="60" t="e">
        <f>#REF!</f>
        <v>#REF!</v>
      </c>
      <c r="G280" s="61" t="e">
        <f>IF(F280&gt;0,Pricing!E280*$H$5,0)</f>
        <v>#REF!</v>
      </c>
      <c r="H280" s="61" t="e">
        <f t="shared" si="33"/>
        <v>#REF!</v>
      </c>
      <c r="I280" s="62" t="e">
        <f>#REF!</f>
        <v>#REF!</v>
      </c>
      <c r="J280" s="61" t="e">
        <f>IF(I280&gt;0,Pricing!E280*$K$5,0)</f>
        <v>#REF!</v>
      </c>
      <c r="K280" s="63" t="e">
        <f t="shared" si="34"/>
        <v>#REF!</v>
      </c>
      <c r="L280" s="64" t="e">
        <f>#REF!</f>
        <v>#REF!</v>
      </c>
      <c r="M280" s="61" t="e">
        <f>IF(L280&lt;0,Pricing!E280*$N$5,0)</f>
        <v>#REF!</v>
      </c>
      <c r="N280" s="61" t="e">
        <f t="shared" si="35"/>
        <v>#REF!</v>
      </c>
      <c r="O280" s="60" t="e">
        <f>#REF!</f>
        <v>#REF!</v>
      </c>
      <c r="P280" s="61" t="e">
        <f>IF(O280&lt;0,Pricing!E280*$Q$5,0)</f>
        <v>#REF!</v>
      </c>
      <c r="Q280" s="61" t="e">
        <f t="shared" si="36"/>
        <v>#REF!</v>
      </c>
      <c r="R280" s="60" t="e">
        <f>#REF!</f>
        <v>#REF!</v>
      </c>
      <c r="S280" s="61" t="e">
        <f>IF(R280&lt;0,Pricing!E280*$T$5,0)</f>
        <v>#REF!</v>
      </c>
      <c r="T280" s="61" t="e">
        <f t="shared" si="37"/>
        <v>#REF!</v>
      </c>
    </row>
    <row r="281" spans="1:20" x14ac:dyDescent="0.25">
      <c r="A281" s="58">
        <f t="shared" si="38"/>
        <v>44542.416666666002</v>
      </c>
      <c r="B281" s="59">
        <f t="shared" si="39"/>
        <v>44542.458333332666</v>
      </c>
      <c r="C281" s="60" t="e">
        <f>#REF!</f>
        <v>#REF!</v>
      </c>
      <c r="D281" s="61" t="e">
        <f>IF(C281&gt;0,Pricing!E281*$E$5,0)</f>
        <v>#REF!</v>
      </c>
      <c r="E281" s="61" t="e">
        <f t="shared" si="32"/>
        <v>#REF!</v>
      </c>
      <c r="F281" s="60" t="e">
        <f>#REF!</f>
        <v>#REF!</v>
      </c>
      <c r="G281" s="61" t="e">
        <f>IF(F281&gt;0,Pricing!E281*$H$5,0)</f>
        <v>#REF!</v>
      </c>
      <c r="H281" s="61" t="e">
        <f t="shared" si="33"/>
        <v>#REF!</v>
      </c>
      <c r="I281" s="62" t="e">
        <f>#REF!</f>
        <v>#REF!</v>
      </c>
      <c r="J281" s="61" t="e">
        <f>IF(I281&gt;0,Pricing!E281*$K$5,0)</f>
        <v>#REF!</v>
      </c>
      <c r="K281" s="63" t="e">
        <f t="shared" si="34"/>
        <v>#REF!</v>
      </c>
      <c r="L281" s="64" t="e">
        <f>#REF!</f>
        <v>#REF!</v>
      </c>
      <c r="M281" s="61" t="e">
        <f>IF(L281&lt;0,Pricing!E281*$N$5,0)</f>
        <v>#REF!</v>
      </c>
      <c r="N281" s="61" t="e">
        <f t="shared" si="35"/>
        <v>#REF!</v>
      </c>
      <c r="O281" s="60" t="e">
        <f>#REF!</f>
        <v>#REF!</v>
      </c>
      <c r="P281" s="61" t="e">
        <f>IF(O281&lt;0,Pricing!E281*$Q$5,0)</f>
        <v>#REF!</v>
      </c>
      <c r="Q281" s="61" t="e">
        <f t="shared" si="36"/>
        <v>#REF!</v>
      </c>
      <c r="R281" s="60" t="e">
        <f>#REF!</f>
        <v>#REF!</v>
      </c>
      <c r="S281" s="61" t="e">
        <f>IF(R281&lt;0,Pricing!E281*$T$5,0)</f>
        <v>#REF!</v>
      </c>
      <c r="T281" s="61" t="e">
        <f t="shared" si="37"/>
        <v>#REF!</v>
      </c>
    </row>
    <row r="282" spans="1:20" x14ac:dyDescent="0.25">
      <c r="A282" s="58">
        <f t="shared" si="38"/>
        <v>44542.458333332666</v>
      </c>
      <c r="B282" s="59">
        <f t="shared" si="39"/>
        <v>44542.499999999331</v>
      </c>
      <c r="C282" s="60" t="e">
        <f>#REF!</f>
        <v>#REF!</v>
      </c>
      <c r="D282" s="61" t="e">
        <f>IF(C282&gt;0,Pricing!E282*$E$5,0)</f>
        <v>#REF!</v>
      </c>
      <c r="E282" s="61" t="e">
        <f t="shared" si="32"/>
        <v>#REF!</v>
      </c>
      <c r="F282" s="60" t="e">
        <f>#REF!</f>
        <v>#REF!</v>
      </c>
      <c r="G282" s="61" t="e">
        <f>IF(F282&gt;0,Pricing!E282*$H$5,0)</f>
        <v>#REF!</v>
      </c>
      <c r="H282" s="61" t="e">
        <f t="shared" si="33"/>
        <v>#REF!</v>
      </c>
      <c r="I282" s="62" t="e">
        <f>#REF!</f>
        <v>#REF!</v>
      </c>
      <c r="J282" s="61" t="e">
        <f>IF(I282&gt;0,Pricing!E282*$K$5,0)</f>
        <v>#REF!</v>
      </c>
      <c r="K282" s="63" t="e">
        <f t="shared" si="34"/>
        <v>#REF!</v>
      </c>
      <c r="L282" s="64" t="e">
        <f>#REF!</f>
        <v>#REF!</v>
      </c>
      <c r="M282" s="61" t="e">
        <f>IF(L282&lt;0,Pricing!E282*$N$5,0)</f>
        <v>#REF!</v>
      </c>
      <c r="N282" s="61" t="e">
        <f t="shared" si="35"/>
        <v>#REF!</v>
      </c>
      <c r="O282" s="60" t="e">
        <f>#REF!</f>
        <v>#REF!</v>
      </c>
      <c r="P282" s="61" t="e">
        <f>IF(O282&lt;0,Pricing!E282*$Q$5,0)</f>
        <v>#REF!</v>
      </c>
      <c r="Q282" s="61" t="e">
        <f t="shared" si="36"/>
        <v>#REF!</v>
      </c>
      <c r="R282" s="60" t="e">
        <f>#REF!</f>
        <v>#REF!</v>
      </c>
      <c r="S282" s="61" t="e">
        <f>IF(R282&lt;0,Pricing!E282*$T$5,0)</f>
        <v>#REF!</v>
      </c>
      <c r="T282" s="61" t="e">
        <f t="shared" si="37"/>
        <v>#REF!</v>
      </c>
    </row>
    <row r="283" spans="1:20" x14ac:dyDescent="0.25">
      <c r="A283" s="58">
        <f t="shared" si="38"/>
        <v>44542.499999999331</v>
      </c>
      <c r="B283" s="59">
        <f t="shared" si="39"/>
        <v>44542.541666665995</v>
      </c>
      <c r="C283" s="60" t="e">
        <f>#REF!</f>
        <v>#REF!</v>
      </c>
      <c r="D283" s="61" t="e">
        <f>IF(C283&gt;0,Pricing!E283*$E$5,0)</f>
        <v>#REF!</v>
      </c>
      <c r="E283" s="61" t="e">
        <f t="shared" si="32"/>
        <v>#REF!</v>
      </c>
      <c r="F283" s="60" t="e">
        <f>#REF!</f>
        <v>#REF!</v>
      </c>
      <c r="G283" s="61" t="e">
        <f>IF(F283&gt;0,Pricing!E283*$H$5,0)</f>
        <v>#REF!</v>
      </c>
      <c r="H283" s="61" t="e">
        <f t="shared" si="33"/>
        <v>#REF!</v>
      </c>
      <c r="I283" s="62" t="e">
        <f>#REF!</f>
        <v>#REF!</v>
      </c>
      <c r="J283" s="61" t="e">
        <f>IF(I283&gt;0,Pricing!E283*$K$5,0)</f>
        <v>#REF!</v>
      </c>
      <c r="K283" s="63" t="e">
        <f t="shared" si="34"/>
        <v>#REF!</v>
      </c>
      <c r="L283" s="64" t="e">
        <f>#REF!</f>
        <v>#REF!</v>
      </c>
      <c r="M283" s="61" t="e">
        <f>IF(L283&lt;0,Pricing!E283*$N$5,0)</f>
        <v>#REF!</v>
      </c>
      <c r="N283" s="61" t="e">
        <f t="shared" si="35"/>
        <v>#REF!</v>
      </c>
      <c r="O283" s="60" t="e">
        <f>#REF!</f>
        <v>#REF!</v>
      </c>
      <c r="P283" s="61" t="e">
        <f>IF(O283&lt;0,Pricing!E283*$Q$5,0)</f>
        <v>#REF!</v>
      </c>
      <c r="Q283" s="61" t="e">
        <f t="shared" si="36"/>
        <v>#REF!</v>
      </c>
      <c r="R283" s="60" t="e">
        <f>#REF!</f>
        <v>#REF!</v>
      </c>
      <c r="S283" s="61" t="e">
        <f>IF(R283&lt;0,Pricing!E283*$T$5,0)</f>
        <v>#REF!</v>
      </c>
      <c r="T283" s="61" t="e">
        <f t="shared" si="37"/>
        <v>#REF!</v>
      </c>
    </row>
    <row r="284" spans="1:20" x14ac:dyDescent="0.25">
      <c r="A284" s="58">
        <f t="shared" si="38"/>
        <v>44542.541666665995</v>
      </c>
      <c r="B284" s="59">
        <f t="shared" si="39"/>
        <v>44542.583333332659</v>
      </c>
      <c r="C284" s="60" t="e">
        <f>#REF!</f>
        <v>#REF!</v>
      </c>
      <c r="D284" s="61" t="e">
        <f>IF(C284&gt;0,Pricing!E284*$E$5,0)</f>
        <v>#REF!</v>
      </c>
      <c r="E284" s="61" t="e">
        <f t="shared" si="32"/>
        <v>#REF!</v>
      </c>
      <c r="F284" s="60" t="e">
        <f>#REF!</f>
        <v>#REF!</v>
      </c>
      <c r="G284" s="61" t="e">
        <f>IF(F284&gt;0,Pricing!E284*$H$5,0)</f>
        <v>#REF!</v>
      </c>
      <c r="H284" s="61" t="e">
        <f t="shared" si="33"/>
        <v>#REF!</v>
      </c>
      <c r="I284" s="62" t="e">
        <f>#REF!</f>
        <v>#REF!</v>
      </c>
      <c r="J284" s="61" t="e">
        <f>IF(I284&gt;0,Pricing!E284*$K$5,0)</f>
        <v>#REF!</v>
      </c>
      <c r="K284" s="63" t="e">
        <f t="shared" si="34"/>
        <v>#REF!</v>
      </c>
      <c r="L284" s="64" t="e">
        <f>#REF!</f>
        <v>#REF!</v>
      </c>
      <c r="M284" s="61" t="e">
        <f>IF(L284&lt;0,Pricing!E284*$N$5,0)</f>
        <v>#REF!</v>
      </c>
      <c r="N284" s="61" t="e">
        <f t="shared" si="35"/>
        <v>#REF!</v>
      </c>
      <c r="O284" s="60" t="e">
        <f>#REF!</f>
        <v>#REF!</v>
      </c>
      <c r="P284" s="61" t="e">
        <f>IF(O284&lt;0,Pricing!E284*$Q$5,0)</f>
        <v>#REF!</v>
      </c>
      <c r="Q284" s="61" t="e">
        <f t="shared" si="36"/>
        <v>#REF!</v>
      </c>
      <c r="R284" s="60" t="e">
        <f>#REF!</f>
        <v>#REF!</v>
      </c>
      <c r="S284" s="61" t="e">
        <f>IF(R284&lt;0,Pricing!E284*$T$5,0)</f>
        <v>#REF!</v>
      </c>
      <c r="T284" s="61" t="e">
        <f t="shared" si="37"/>
        <v>#REF!</v>
      </c>
    </row>
    <row r="285" spans="1:20" x14ac:dyDescent="0.25">
      <c r="A285" s="58">
        <f t="shared" si="38"/>
        <v>44542.583333332659</v>
      </c>
      <c r="B285" s="59">
        <f t="shared" si="39"/>
        <v>44542.624999999323</v>
      </c>
      <c r="C285" s="60" t="e">
        <f>#REF!</f>
        <v>#REF!</v>
      </c>
      <c r="D285" s="61" t="e">
        <f>IF(C285&gt;0,Pricing!E285*$E$5,0)</f>
        <v>#REF!</v>
      </c>
      <c r="E285" s="61" t="e">
        <f t="shared" si="32"/>
        <v>#REF!</v>
      </c>
      <c r="F285" s="60" t="e">
        <f>#REF!</f>
        <v>#REF!</v>
      </c>
      <c r="G285" s="61" t="e">
        <f>IF(F285&gt;0,Pricing!E285*$H$5,0)</f>
        <v>#REF!</v>
      </c>
      <c r="H285" s="61" t="e">
        <f t="shared" si="33"/>
        <v>#REF!</v>
      </c>
      <c r="I285" s="62" t="e">
        <f>#REF!</f>
        <v>#REF!</v>
      </c>
      <c r="J285" s="61" t="e">
        <f>IF(I285&gt;0,Pricing!E285*$K$5,0)</f>
        <v>#REF!</v>
      </c>
      <c r="K285" s="63" t="e">
        <f t="shared" si="34"/>
        <v>#REF!</v>
      </c>
      <c r="L285" s="64" t="e">
        <f>#REF!</f>
        <v>#REF!</v>
      </c>
      <c r="M285" s="61" t="e">
        <f>IF(L285&lt;0,Pricing!E285*$N$5,0)</f>
        <v>#REF!</v>
      </c>
      <c r="N285" s="61" t="e">
        <f t="shared" si="35"/>
        <v>#REF!</v>
      </c>
      <c r="O285" s="60" t="e">
        <f>#REF!</f>
        <v>#REF!</v>
      </c>
      <c r="P285" s="61" t="e">
        <f>IF(O285&lt;0,Pricing!E285*$Q$5,0)</f>
        <v>#REF!</v>
      </c>
      <c r="Q285" s="61" t="e">
        <f t="shared" si="36"/>
        <v>#REF!</v>
      </c>
      <c r="R285" s="60" t="e">
        <f>#REF!</f>
        <v>#REF!</v>
      </c>
      <c r="S285" s="61" t="e">
        <f>IF(R285&lt;0,Pricing!E285*$T$5,0)</f>
        <v>#REF!</v>
      </c>
      <c r="T285" s="61" t="e">
        <f t="shared" si="37"/>
        <v>#REF!</v>
      </c>
    </row>
    <row r="286" spans="1:20" x14ac:dyDescent="0.25">
      <c r="A286" s="58">
        <f t="shared" si="38"/>
        <v>44542.624999999323</v>
      </c>
      <c r="B286" s="59">
        <f t="shared" si="39"/>
        <v>44542.666666665988</v>
      </c>
      <c r="C286" s="60" t="e">
        <f>#REF!</f>
        <v>#REF!</v>
      </c>
      <c r="D286" s="61" t="e">
        <f>IF(C286&gt;0,Pricing!E286*$E$5,0)</f>
        <v>#REF!</v>
      </c>
      <c r="E286" s="61" t="e">
        <f t="shared" si="32"/>
        <v>#REF!</v>
      </c>
      <c r="F286" s="60" t="e">
        <f>#REF!</f>
        <v>#REF!</v>
      </c>
      <c r="G286" s="61" t="e">
        <f>IF(F286&gt;0,Pricing!E286*$H$5,0)</f>
        <v>#REF!</v>
      </c>
      <c r="H286" s="61" t="e">
        <f t="shared" si="33"/>
        <v>#REF!</v>
      </c>
      <c r="I286" s="62" t="e">
        <f>#REF!</f>
        <v>#REF!</v>
      </c>
      <c r="J286" s="61" t="e">
        <f>IF(I286&gt;0,Pricing!E286*$K$5,0)</f>
        <v>#REF!</v>
      </c>
      <c r="K286" s="63" t="e">
        <f t="shared" si="34"/>
        <v>#REF!</v>
      </c>
      <c r="L286" s="64" t="e">
        <f>#REF!</f>
        <v>#REF!</v>
      </c>
      <c r="M286" s="61" t="e">
        <f>IF(L286&lt;0,Pricing!E286*$N$5,0)</f>
        <v>#REF!</v>
      </c>
      <c r="N286" s="61" t="e">
        <f t="shared" si="35"/>
        <v>#REF!</v>
      </c>
      <c r="O286" s="60" t="e">
        <f>#REF!</f>
        <v>#REF!</v>
      </c>
      <c r="P286" s="61" t="e">
        <f>IF(O286&lt;0,Pricing!E286*$Q$5,0)</f>
        <v>#REF!</v>
      </c>
      <c r="Q286" s="61" t="e">
        <f t="shared" si="36"/>
        <v>#REF!</v>
      </c>
      <c r="R286" s="60" t="e">
        <f>#REF!</f>
        <v>#REF!</v>
      </c>
      <c r="S286" s="61" t="e">
        <f>IF(R286&lt;0,Pricing!E286*$T$5,0)</f>
        <v>#REF!</v>
      </c>
      <c r="T286" s="61" t="e">
        <f t="shared" si="37"/>
        <v>#REF!</v>
      </c>
    </row>
    <row r="287" spans="1:20" x14ac:dyDescent="0.25">
      <c r="A287" s="58">
        <f t="shared" si="38"/>
        <v>44542.666666665988</v>
      </c>
      <c r="B287" s="59">
        <f t="shared" si="39"/>
        <v>44542.708333332652</v>
      </c>
      <c r="C287" s="60" t="e">
        <f>#REF!</f>
        <v>#REF!</v>
      </c>
      <c r="D287" s="61" t="e">
        <f>IF(C287&gt;0,Pricing!E287*$E$5,0)</f>
        <v>#REF!</v>
      </c>
      <c r="E287" s="61" t="e">
        <f t="shared" si="32"/>
        <v>#REF!</v>
      </c>
      <c r="F287" s="60" t="e">
        <f>#REF!</f>
        <v>#REF!</v>
      </c>
      <c r="G287" s="61" t="e">
        <f>IF(F287&gt;0,Pricing!E287*$H$5,0)</f>
        <v>#REF!</v>
      </c>
      <c r="H287" s="61" t="e">
        <f t="shared" si="33"/>
        <v>#REF!</v>
      </c>
      <c r="I287" s="62" t="e">
        <f>#REF!</f>
        <v>#REF!</v>
      </c>
      <c r="J287" s="61" t="e">
        <f>IF(I287&gt;0,Pricing!E287*$K$5,0)</f>
        <v>#REF!</v>
      </c>
      <c r="K287" s="63" t="e">
        <f t="shared" si="34"/>
        <v>#REF!</v>
      </c>
      <c r="L287" s="64" t="e">
        <f>#REF!</f>
        <v>#REF!</v>
      </c>
      <c r="M287" s="61" t="e">
        <f>IF(L287&lt;0,Pricing!E287*$N$5,0)</f>
        <v>#REF!</v>
      </c>
      <c r="N287" s="61" t="e">
        <f t="shared" si="35"/>
        <v>#REF!</v>
      </c>
      <c r="O287" s="60" t="e">
        <f>#REF!</f>
        <v>#REF!</v>
      </c>
      <c r="P287" s="61" t="e">
        <f>IF(O287&lt;0,Pricing!E287*$Q$5,0)</f>
        <v>#REF!</v>
      </c>
      <c r="Q287" s="61" t="e">
        <f t="shared" si="36"/>
        <v>#REF!</v>
      </c>
      <c r="R287" s="60" t="e">
        <f>#REF!</f>
        <v>#REF!</v>
      </c>
      <c r="S287" s="61" t="e">
        <f>IF(R287&lt;0,Pricing!E287*$T$5,0)</f>
        <v>#REF!</v>
      </c>
      <c r="T287" s="61" t="e">
        <f t="shared" si="37"/>
        <v>#REF!</v>
      </c>
    </row>
    <row r="288" spans="1:20" x14ac:dyDescent="0.25">
      <c r="A288" s="58">
        <f t="shared" si="38"/>
        <v>44542.708333332652</v>
      </c>
      <c r="B288" s="59">
        <f t="shared" si="39"/>
        <v>44542.749999999316</v>
      </c>
      <c r="C288" s="60" t="e">
        <f>#REF!</f>
        <v>#REF!</v>
      </c>
      <c r="D288" s="61" t="e">
        <f>IF(C288&gt;0,Pricing!E288*$E$5,0)</f>
        <v>#REF!</v>
      </c>
      <c r="E288" s="61" t="e">
        <f t="shared" si="32"/>
        <v>#REF!</v>
      </c>
      <c r="F288" s="60" t="e">
        <f>#REF!</f>
        <v>#REF!</v>
      </c>
      <c r="G288" s="61" t="e">
        <f>IF(F288&gt;0,Pricing!E288*$H$5,0)</f>
        <v>#REF!</v>
      </c>
      <c r="H288" s="61" t="e">
        <f t="shared" si="33"/>
        <v>#REF!</v>
      </c>
      <c r="I288" s="62" t="e">
        <f>#REF!</f>
        <v>#REF!</v>
      </c>
      <c r="J288" s="61" t="e">
        <f>IF(I288&gt;0,Pricing!E288*$K$5,0)</f>
        <v>#REF!</v>
      </c>
      <c r="K288" s="63" t="e">
        <f t="shared" si="34"/>
        <v>#REF!</v>
      </c>
      <c r="L288" s="64" t="e">
        <f>#REF!</f>
        <v>#REF!</v>
      </c>
      <c r="M288" s="61" t="e">
        <f>IF(L288&lt;0,Pricing!E288*$N$5,0)</f>
        <v>#REF!</v>
      </c>
      <c r="N288" s="61" t="e">
        <f t="shared" si="35"/>
        <v>#REF!</v>
      </c>
      <c r="O288" s="60" t="e">
        <f>#REF!</f>
        <v>#REF!</v>
      </c>
      <c r="P288" s="61" t="e">
        <f>IF(O288&lt;0,Pricing!E288*$Q$5,0)</f>
        <v>#REF!</v>
      </c>
      <c r="Q288" s="61" t="e">
        <f t="shared" si="36"/>
        <v>#REF!</v>
      </c>
      <c r="R288" s="60" t="e">
        <f>#REF!</f>
        <v>#REF!</v>
      </c>
      <c r="S288" s="61" t="e">
        <f>IF(R288&lt;0,Pricing!E288*$T$5,0)</f>
        <v>#REF!</v>
      </c>
      <c r="T288" s="61" t="e">
        <f t="shared" si="37"/>
        <v>#REF!</v>
      </c>
    </row>
    <row r="289" spans="1:20" x14ac:dyDescent="0.25">
      <c r="A289" s="58">
        <f t="shared" si="38"/>
        <v>44542.749999999316</v>
      </c>
      <c r="B289" s="59">
        <f t="shared" si="39"/>
        <v>44542.79166666598</v>
      </c>
      <c r="C289" s="60" t="e">
        <f>#REF!</f>
        <v>#REF!</v>
      </c>
      <c r="D289" s="61" t="e">
        <f>IF(C289&gt;0,Pricing!E289*$E$5,0)</f>
        <v>#REF!</v>
      </c>
      <c r="E289" s="61" t="e">
        <f t="shared" si="32"/>
        <v>#REF!</v>
      </c>
      <c r="F289" s="60" t="e">
        <f>#REF!</f>
        <v>#REF!</v>
      </c>
      <c r="G289" s="61" t="e">
        <f>IF(F289&gt;0,Pricing!E289*$H$5,0)</f>
        <v>#REF!</v>
      </c>
      <c r="H289" s="61" t="e">
        <f t="shared" si="33"/>
        <v>#REF!</v>
      </c>
      <c r="I289" s="62" t="e">
        <f>#REF!</f>
        <v>#REF!</v>
      </c>
      <c r="J289" s="61" t="e">
        <f>IF(I289&gt;0,Pricing!E289*$K$5,0)</f>
        <v>#REF!</v>
      </c>
      <c r="K289" s="63" t="e">
        <f t="shared" si="34"/>
        <v>#REF!</v>
      </c>
      <c r="L289" s="64" t="e">
        <f>#REF!</f>
        <v>#REF!</v>
      </c>
      <c r="M289" s="61" t="e">
        <f>IF(L289&lt;0,Pricing!E289*$N$5,0)</f>
        <v>#REF!</v>
      </c>
      <c r="N289" s="61" t="e">
        <f t="shared" si="35"/>
        <v>#REF!</v>
      </c>
      <c r="O289" s="60" t="e">
        <f>#REF!</f>
        <v>#REF!</v>
      </c>
      <c r="P289" s="61" t="e">
        <f>IF(O289&lt;0,Pricing!E289*$Q$5,0)</f>
        <v>#REF!</v>
      </c>
      <c r="Q289" s="61" t="e">
        <f t="shared" si="36"/>
        <v>#REF!</v>
      </c>
      <c r="R289" s="60" t="e">
        <f>#REF!</f>
        <v>#REF!</v>
      </c>
      <c r="S289" s="61" t="e">
        <f>IF(R289&lt;0,Pricing!E289*$T$5,0)</f>
        <v>#REF!</v>
      </c>
      <c r="T289" s="61" t="e">
        <f t="shared" si="37"/>
        <v>#REF!</v>
      </c>
    </row>
    <row r="290" spans="1:20" x14ac:dyDescent="0.25">
      <c r="A290" s="58">
        <f t="shared" si="38"/>
        <v>44542.79166666598</v>
      </c>
      <c r="B290" s="59">
        <f t="shared" si="39"/>
        <v>44542.833333332645</v>
      </c>
      <c r="C290" s="60" t="e">
        <f>#REF!</f>
        <v>#REF!</v>
      </c>
      <c r="D290" s="61" t="e">
        <f>IF(C290&gt;0,Pricing!E290*$E$5,0)</f>
        <v>#REF!</v>
      </c>
      <c r="E290" s="61" t="e">
        <f t="shared" si="32"/>
        <v>#REF!</v>
      </c>
      <c r="F290" s="60" t="e">
        <f>#REF!</f>
        <v>#REF!</v>
      </c>
      <c r="G290" s="61" t="e">
        <f>IF(F290&gt;0,Pricing!E290*$H$5,0)</f>
        <v>#REF!</v>
      </c>
      <c r="H290" s="61" t="e">
        <f t="shared" si="33"/>
        <v>#REF!</v>
      </c>
      <c r="I290" s="62" t="e">
        <f>#REF!</f>
        <v>#REF!</v>
      </c>
      <c r="J290" s="61" t="e">
        <f>IF(I290&gt;0,Pricing!E290*$K$5,0)</f>
        <v>#REF!</v>
      </c>
      <c r="K290" s="63" t="e">
        <f t="shared" si="34"/>
        <v>#REF!</v>
      </c>
      <c r="L290" s="64" t="e">
        <f>#REF!</f>
        <v>#REF!</v>
      </c>
      <c r="M290" s="61" t="e">
        <f>IF(L290&lt;0,Pricing!E290*$N$5,0)</f>
        <v>#REF!</v>
      </c>
      <c r="N290" s="61" t="e">
        <f t="shared" si="35"/>
        <v>#REF!</v>
      </c>
      <c r="O290" s="60" t="e">
        <f>#REF!</f>
        <v>#REF!</v>
      </c>
      <c r="P290" s="61" t="e">
        <f>IF(O290&lt;0,Pricing!E290*$Q$5,0)</f>
        <v>#REF!</v>
      </c>
      <c r="Q290" s="61" t="e">
        <f t="shared" si="36"/>
        <v>#REF!</v>
      </c>
      <c r="R290" s="60" t="e">
        <f>#REF!</f>
        <v>#REF!</v>
      </c>
      <c r="S290" s="61" t="e">
        <f>IF(R290&lt;0,Pricing!E290*$T$5,0)</f>
        <v>#REF!</v>
      </c>
      <c r="T290" s="61" t="e">
        <f t="shared" si="37"/>
        <v>#REF!</v>
      </c>
    </row>
    <row r="291" spans="1:20" x14ac:dyDescent="0.25">
      <c r="A291" s="58">
        <f t="shared" si="38"/>
        <v>44542.833333332645</v>
      </c>
      <c r="B291" s="59">
        <f t="shared" si="39"/>
        <v>44542.874999999309</v>
      </c>
      <c r="C291" s="60" t="e">
        <f>#REF!</f>
        <v>#REF!</v>
      </c>
      <c r="D291" s="61" t="e">
        <f>IF(C291&gt;0,Pricing!E291*$E$5,0)</f>
        <v>#REF!</v>
      </c>
      <c r="E291" s="61" t="e">
        <f t="shared" si="32"/>
        <v>#REF!</v>
      </c>
      <c r="F291" s="60" t="e">
        <f>#REF!</f>
        <v>#REF!</v>
      </c>
      <c r="G291" s="61" t="e">
        <f>IF(F291&gt;0,Pricing!E291*$H$5,0)</f>
        <v>#REF!</v>
      </c>
      <c r="H291" s="61" t="e">
        <f t="shared" si="33"/>
        <v>#REF!</v>
      </c>
      <c r="I291" s="62" t="e">
        <f>#REF!</f>
        <v>#REF!</v>
      </c>
      <c r="J291" s="61" t="e">
        <f>IF(I291&gt;0,Pricing!E291*$K$5,0)</f>
        <v>#REF!</v>
      </c>
      <c r="K291" s="63" t="e">
        <f t="shared" si="34"/>
        <v>#REF!</v>
      </c>
      <c r="L291" s="64" t="e">
        <f>#REF!</f>
        <v>#REF!</v>
      </c>
      <c r="M291" s="61" t="e">
        <f>IF(L291&lt;0,Pricing!E291*$N$5,0)</f>
        <v>#REF!</v>
      </c>
      <c r="N291" s="61" t="e">
        <f t="shared" si="35"/>
        <v>#REF!</v>
      </c>
      <c r="O291" s="60" t="e">
        <f>#REF!</f>
        <v>#REF!</v>
      </c>
      <c r="P291" s="61" t="e">
        <f>IF(O291&lt;0,Pricing!E291*$Q$5,0)</f>
        <v>#REF!</v>
      </c>
      <c r="Q291" s="61" t="e">
        <f t="shared" si="36"/>
        <v>#REF!</v>
      </c>
      <c r="R291" s="60" t="e">
        <f>#REF!</f>
        <v>#REF!</v>
      </c>
      <c r="S291" s="61" t="e">
        <f>IF(R291&lt;0,Pricing!E291*$T$5,0)</f>
        <v>#REF!</v>
      </c>
      <c r="T291" s="61" t="e">
        <f t="shared" si="37"/>
        <v>#REF!</v>
      </c>
    </row>
    <row r="292" spans="1:20" x14ac:dyDescent="0.25">
      <c r="A292" s="58">
        <f t="shared" si="38"/>
        <v>44542.874999999309</v>
      </c>
      <c r="B292" s="59">
        <f t="shared" si="39"/>
        <v>44542.916666665973</v>
      </c>
      <c r="C292" s="60" t="e">
        <f>#REF!</f>
        <v>#REF!</v>
      </c>
      <c r="D292" s="61" t="e">
        <f>IF(C292&gt;0,Pricing!E292*$E$5,0)</f>
        <v>#REF!</v>
      </c>
      <c r="E292" s="61" t="e">
        <f t="shared" si="32"/>
        <v>#REF!</v>
      </c>
      <c r="F292" s="60" t="e">
        <f>#REF!</f>
        <v>#REF!</v>
      </c>
      <c r="G292" s="61" t="e">
        <f>IF(F292&gt;0,Pricing!E292*$H$5,0)</f>
        <v>#REF!</v>
      </c>
      <c r="H292" s="61" t="e">
        <f t="shared" si="33"/>
        <v>#REF!</v>
      </c>
      <c r="I292" s="62" t="e">
        <f>#REF!</f>
        <v>#REF!</v>
      </c>
      <c r="J292" s="61" t="e">
        <f>IF(I292&gt;0,Pricing!E292*$K$5,0)</f>
        <v>#REF!</v>
      </c>
      <c r="K292" s="63" t="e">
        <f t="shared" si="34"/>
        <v>#REF!</v>
      </c>
      <c r="L292" s="64" t="e">
        <f>#REF!</f>
        <v>#REF!</v>
      </c>
      <c r="M292" s="61" t="e">
        <f>IF(L292&lt;0,Pricing!E292*$N$5,0)</f>
        <v>#REF!</v>
      </c>
      <c r="N292" s="61" t="e">
        <f t="shared" si="35"/>
        <v>#REF!</v>
      </c>
      <c r="O292" s="60" t="e">
        <f>#REF!</f>
        <v>#REF!</v>
      </c>
      <c r="P292" s="61" t="e">
        <f>IF(O292&lt;0,Pricing!E292*$Q$5,0)</f>
        <v>#REF!</v>
      </c>
      <c r="Q292" s="61" t="e">
        <f t="shared" si="36"/>
        <v>#REF!</v>
      </c>
      <c r="R292" s="60" t="e">
        <f>#REF!</f>
        <v>#REF!</v>
      </c>
      <c r="S292" s="61" t="e">
        <f>IF(R292&lt;0,Pricing!E292*$T$5,0)</f>
        <v>#REF!</v>
      </c>
      <c r="T292" s="61" t="e">
        <f t="shared" si="37"/>
        <v>#REF!</v>
      </c>
    </row>
    <row r="293" spans="1:20" x14ac:dyDescent="0.25">
      <c r="A293" s="58">
        <f t="shared" si="38"/>
        <v>44542.916666665973</v>
      </c>
      <c r="B293" s="59">
        <f t="shared" si="39"/>
        <v>44542.958333332637</v>
      </c>
      <c r="C293" s="60" t="e">
        <f>#REF!</f>
        <v>#REF!</v>
      </c>
      <c r="D293" s="61" t="e">
        <f>IF(C293&gt;0,Pricing!E293*$E$5,0)</f>
        <v>#REF!</v>
      </c>
      <c r="E293" s="61" t="e">
        <f t="shared" si="32"/>
        <v>#REF!</v>
      </c>
      <c r="F293" s="60" t="e">
        <f>#REF!</f>
        <v>#REF!</v>
      </c>
      <c r="G293" s="61" t="e">
        <f>IF(F293&gt;0,Pricing!E293*$H$5,0)</f>
        <v>#REF!</v>
      </c>
      <c r="H293" s="61" t="e">
        <f t="shared" si="33"/>
        <v>#REF!</v>
      </c>
      <c r="I293" s="62" t="e">
        <f>#REF!</f>
        <v>#REF!</v>
      </c>
      <c r="J293" s="61" t="e">
        <f>IF(I293&gt;0,Pricing!E293*$K$5,0)</f>
        <v>#REF!</v>
      </c>
      <c r="K293" s="63" t="e">
        <f t="shared" si="34"/>
        <v>#REF!</v>
      </c>
      <c r="L293" s="64" t="e">
        <f>#REF!</f>
        <v>#REF!</v>
      </c>
      <c r="M293" s="61" t="e">
        <f>IF(L293&lt;0,Pricing!E293*$N$5,0)</f>
        <v>#REF!</v>
      </c>
      <c r="N293" s="61" t="e">
        <f t="shared" si="35"/>
        <v>#REF!</v>
      </c>
      <c r="O293" s="60" t="e">
        <f>#REF!</f>
        <v>#REF!</v>
      </c>
      <c r="P293" s="61" t="e">
        <f>IF(O293&lt;0,Pricing!E293*$Q$5,0)</f>
        <v>#REF!</v>
      </c>
      <c r="Q293" s="61" t="e">
        <f t="shared" si="36"/>
        <v>#REF!</v>
      </c>
      <c r="R293" s="60" t="e">
        <f>#REF!</f>
        <v>#REF!</v>
      </c>
      <c r="S293" s="61" t="e">
        <f>IF(R293&lt;0,Pricing!E293*$T$5,0)</f>
        <v>#REF!</v>
      </c>
      <c r="T293" s="61" t="e">
        <f t="shared" si="37"/>
        <v>#REF!</v>
      </c>
    </row>
    <row r="294" spans="1:20" x14ac:dyDescent="0.25">
      <c r="A294" s="58">
        <f t="shared" si="38"/>
        <v>44542.958333332637</v>
      </c>
      <c r="B294" s="59">
        <f t="shared" si="39"/>
        <v>44542.999999999302</v>
      </c>
      <c r="C294" s="60" t="e">
        <f>#REF!</f>
        <v>#REF!</v>
      </c>
      <c r="D294" s="61" t="e">
        <f>IF(C294&gt;0,Pricing!E294*$E$5,0)</f>
        <v>#REF!</v>
      </c>
      <c r="E294" s="61" t="e">
        <f t="shared" si="32"/>
        <v>#REF!</v>
      </c>
      <c r="F294" s="60" t="e">
        <f>#REF!</f>
        <v>#REF!</v>
      </c>
      <c r="G294" s="61" t="e">
        <f>IF(F294&gt;0,Pricing!E294*$H$5,0)</f>
        <v>#REF!</v>
      </c>
      <c r="H294" s="61" t="e">
        <f t="shared" si="33"/>
        <v>#REF!</v>
      </c>
      <c r="I294" s="62" t="e">
        <f>#REF!</f>
        <v>#REF!</v>
      </c>
      <c r="J294" s="61" t="e">
        <f>IF(I294&gt;0,Pricing!E294*$K$5,0)</f>
        <v>#REF!</v>
      </c>
      <c r="K294" s="63" t="e">
        <f t="shared" si="34"/>
        <v>#REF!</v>
      </c>
      <c r="L294" s="64" t="e">
        <f>#REF!</f>
        <v>#REF!</v>
      </c>
      <c r="M294" s="61" t="e">
        <f>IF(L294&lt;0,Pricing!E294*$N$5,0)</f>
        <v>#REF!</v>
      </c>
      <c r="N294" s="61" t="e">
        <f t="shared" si="35"/>
        <v>#REF!</v>
      </c>
      <c r="O294" s="60" t="e">
        <f>#REF!</f>
        <v>#REF!</v>
      </c>
      <c r="P294" s="61" t="e">
        <f>IF(O294&lt;0,Pricing!E294*$Q$5,0)</f>
        <v>#REF!</v>
      </c>
      <c r="Q294" s="61" t="e">
        <f t="shared" si="36"/>
        <v>#REF!</v>
      </c>
      <c r="R294" s="60" t="e">
        <f>#REF!</f>
        <v>#REF!</v>
      </c>
      <c r="S294" s="61" t="e">
        <f>IF(R294&lt;0,Pricing!E294*$T$5,0)</f>
        <v>#REF!</v>
      </c>
      <c r="T294" s="61" t="e">
        <f t="shared" si="37"/>
        <v>#REF!</v>
      </c>
    </row>
    <row r="295" spans="1:20" x14ac:dyDescent="0.25">
      <c r="A295" s="58">
        <f t="shared" si="38"/>
        <v>44542.999999999302</v>
      </c>
      <c r="B295" s="59">
        <f t="shared" si="39"/>
        <v>44543.041666665966</v>
      </c>
      <c r="C295" s="60" t="e">
        <f>#REF!</f>
        <v>#REF!</v>
      </c>
      <c r="D295" s="61" t="e">
        <f>IF(C295&gt;0,Pricing!E295*$E$5,0)</f>
        <v>#REF!</v>
      </c>
      <c r="E295" s="61" t="e">
        <f t="shared" si="32"/>
        <v>#REF!</v>
      </c>
      <c r="F295" s="60" t="e">
        <f>#REF!</f>
        <v>#REF!</v>
      </c>
      <c r="G295" s="61" t="e">
        <f>IF(F295&gt;0,Pricing!E295*$H$5,0)</f>
        <v>#REF!</v>
      </c>
      <c r="H295" s="61" t="e">
        <f t="shared" si="33"/>
        <v>#REF!</v>
      </c>
      <c r="I295" s="62" t="e">
        <f>#REF!</f>
        <v>#REF!</v>
      </c>
      <c r="J295" s="61" t="e">
        <f>IF(I295&gt;0,Pricing!E295*$K$5,0)</f>
        <v>#REF!</v>
      </c>
      <c r="K295" s="63" t="e">
        <f t="shared" si="34"/>
        <v>#REF!</v>
      </c>
      <c r="L295" s="64" t="e">
        <f>#REF!</f>
        <v>#REF!</v>
      </c>
      <c r="M295" s="61" t="e">
        <f>IF(L295&lt;0,Pricing!E295*$N$5,0)</f>
        <v>#REF!</v>
      </c>
      <c r="N295" s="61" t="e">
        <f t="shared" si="35"/>
        <v>#REF!</v>
      </c>
      <c r="O295" s="60" t="e">
        <f>#REF!</f>
        <v>#REF!</v>
      </c>
      <c r="P295" s="61" t="e">
        <f>IF(O295&lt;0,Pricing!E295*$Q$5,0)</f>
        <v>#REF!</v>
      </c>
      <c r="Q295" s="61" t="e">
        <f t="shared" si="36"/>
        <v>#REF!</v>
      </c>
      <c r="R295" s="60" t="e">
        <f>#REF!</f>
        <v>#REF!</v>
      </c>
      <c r="S295" s="61" t="e">
        <f>IF(R295&lt;0,Pricing!E295*$T$5,0)</f>
        <v>#REF!</v>
      </c>
      <c r="T295" s="61" t="e">
        <f t="shared" si="37"/>
        <v>#REF!</v>
      </c>
    </row>
    <row r="296" spans="1:20" x14ac:dyDescent="0.25">
      <c r="A296" s="58">
        <f t="shared" si="38"/>
        <v>44543.041666665966</v>
      </c>
      <c r="B296" s="59">
        <f t="shared" si="39"/>
        <v>44543.08333333263</v>
      </c>
      <c r="C296" s="60" t="e">
        <f>#REF!</f>
        <v>#REF!</v>
      </c>
      <c r="D296" s="61" t="e">
        <f>IF(C296&gt;0,Pricing!E296*$E$5,0)</f>
        <v>#REF!</v>
      </c>
      <c r="E296" s="61" t="e">
        <f t="shared" si="32"/>
        <v>#REF!</v>
      </c>
      <c r="F296" s="60" t="e">
        <f>#REF!</f>
        <v>#REF!</v>
      </c>
      <c r="G296" s="61" t="e">
        <f>IF(F296&gt;0,Pricing!E296*$H$5,0)</f>
        <v>#REF!</v>
      </c>
      <c r="H296" s="61" t="e">
        <f t="shared" si="33"/>
        <v>#REF!</v>
      </c>
      <c r="I296" s="62" t="e">
        <f>#REF!</f>
        <v>#REF!</v>
      </c>
      <c r="J296" s="61" t="e">
        <f>IF(I296&gt;0,Pricing!E296*$K$5,0)</f>
        <v>#REF!</v>
      </c>
      <c r="K296" s="63" t="e">
        <f t="shared" si="34"/>
        <v>#REF!</v>
      </c>
      <c r="L296" s="64" t="e">
        <f>#REF!</f>
        <v>#REF!</v>
      </c>
      <c r="M296" s="61" t="e">
        <f>IF(L296&lt;0,Pricing!E296*$N$5,0)</f>
        <v>#REF!</v>
      </c>
      <c r="N296" s="61" t="e">
        <f t="shared" si="35"/>
        <v>#REF!</v>
      </c>
      <c r="O296" s="60" t="e">
        <f>#REF!</f>
        <v>#REF!</v>
      </c>
      <c r="P296" s="61" t="e">
        <f>IF(O296&lt;0,Pricing!E296*$Q$5,0)</f>
        <v>#REF!</v>
      </c>
      <c r="Q296" s="61" t="e">
        <f t="shared" si="36"/>
        <v>#REF!</v>
      </c>
      <c r="R296" s="60" t="e">
        <f>#REF!</f>
        <v>#REF!</v>
      </c>
      <c r="S296" s="61" t="e">
        <f>IF(R296&lt;0,Pricing!E296*$T$5,0)</f>
        <v>#REF!</v>
      </c>
      <c r="T296" s="61" t="e">
        <f t="shared" si="37"/>
        <v>#REF!</v>
      </c>
    </row>
    <row r="297" spans="1:20" x14ac:dyDescent="0.25">
      <c r="A297" s="58">
        <f t="shared" si="38"/>
        <v>44543.08333333263</v>
      </c>
      <c r="B297" s="59">
        <f t="shared" si="39"/>
        <v>44543.124999999294</v>
      </c>
      <c r="C297" s="60" t="e">
        <f>#REF!</f>
        <v>#REF!</v>
      </c>
      <c r="D297" s="61" t="e">
        <f>IF(C297&gt;0,Pricing!E297*$E$5,0)</f>
        <v>#REF!</v>
      </c>
      <c r="E297" s="61" t="e">
        <f t="shared" si="32"/>
        <v>#REF!</v>
      </c>
      <c r="F297" s="60" t="e">
        <f>#REF!</f>
        <v>#REF!</v>
      </c>
      <c r="G297" s="61" t="e">
        <f>IF(F297&gt;0,Pricing!E297*$H$5,0)</f>
        <v>#REF!</v>
      </c>
      <c r="H297" s="61" t="e">
        <f t="shared" si="33"/>
        <v>#REF!</v>
      </c>
      <c r="I297" s="62" t="e">
        <f>#REF!</f>
        <v>#REF!</v>
      </c>
      <c r="J297" s="61" t="e">
        <f>IF(I297&gt;0,Pricing!E297*$K$5,0)</f>
        <v>#REF!</v>
      </c>
      <c r="K297" s="63" t="e">
        <f t="shared" si="34"/>
        <v>#REF!</v>
      </c>
      <c r="L297" s="64" t="e">
        <f>#REF!</f>
        <v>#REF!</v>
      </c>
      <c r="M297" s="61" t="e">
        <f>IF(L297&lt;0,Pricing!E297*$N$5,0)</f>
        <v>#REF!</v>
      </c>
      <c r="N297" s="61" t="e">
        <f t="shared" si="35"/>
        <v>#REF!</v>
      </c>
      <c r="O297" s="60" t="e">
        <f>#REF!</f>
        <v>#REF!</v>
      </c>
      <c r="P297" s="61" t="e">
        <f>IF(O297&lt;0,Pricing!E297*$Q$5,0)</f>
        <v>#REF!</v>
      </c>
      <c r="Q297" s="61" t="e">
        <f t="shared" si="36"/>
        <v>#REF!</v>
      </c>
      <c r="R297" s="60" t="e">
        <f>#REF!</f>
        <v>#REF!</v>
      </c>
      <c r="S297" s="61" t="e">
        <f>IF(R297&lt;0,Pricing!E297*$T$5,0)</f>
        <v>#REF!</v>
      </c>
      <c r="T297" s="61" t="e">
        <f t="shared" si="37"/>
        <v>#REF!</v>
      </c>
    </row>
    <row r="298" spans="1:20" x14ac:dyDescent="0.25">
      <c r="A298" s="58">
        <f t="shared" si="38"/>
        <v>44543.124999999294</v>
      </c>
      <c r="B298" s="59">
        <f t="shared" si="39"/>
        <v>44543.166666665958</v>
      </c>
      <c r="C298" s="60" t="e">
        <f>#REF!</f>
        <v>#REF!</v>
      </c>
      <c r="D298" s="61" t="e">
        <f>IF(C298&gt;0,Pricing!E298*$E$5,0)</f>
        <v>#REF!</v>
      </c>
      <c r="E298" s="61" t="e">
        <f t="shared" si="32"/>
        <v>#REF!</v>
      </c>
      <c r="F298" s="60" t="e">
        <f>#REF!</f>
        <v>#REF!</v>
      </c>
      <c r="G298" s="61" t="e">
        <f>IF(F298&gt;0,Pricing!E298*$H$5,0)</f>
        <v>#REF!</v>
      </c>
      <c r="H298" s="61" t="e">
        <f t="shared" si="33"/>
        <v>#REF!</v>
      </c>
      <c r="I298" s="62" t="e">
        <f>#REF!</f>
        <v>#REF!</v>
      </c>
      <c r="J298" s="61" t="e">
        <f>IF(I298&gt;0,Pricing!E298*$K$5,0)</f>
        <v>#REF!</v>
      </c>
      <c r="K298" s="63" t="e">
        <f t="shared" si="34"/>
        <v>#REF!</v>
      </c>
      <c r="L298" s="64" t="e">
        <f>#REF!</f>
        <v>#REF!</v>
      </c>
      <c r="M298" s="61" t="e">
        <f>IF(L298&lt;0,Pricing!E298*$N$5,0)</f>
        <v>#REF!</v>
      </c>
      <c r="N298" s="61" t="e">
        <f t="shared" si="35"/>
        <v>#REF!</v>
      </c>
      <c r="O298" s="60" t="e">
        <f>#REF!</f>
        <v>#REF!</v>
      </c>
      <c r="P298" s="61" t="e">
        <f>IF(O298&lt;0,Pricing!E298*$Q$5,0)</f>
        <v>#REF!</v>
      </c>
      <c r="Q298" s="61" t="e">
        <f t="shared" si="36"/>
        <v>#REF!</v>
      </c>
      <c r="R298" s="60" t="e">
        <f>#REF!</f>
        <v>#REF!</v>
      </c>
      <c r="S298" s="61" t="e">
        <f>IF(R298&lt;0,Pricing!E298*$T$5,0)</f>
        <v>#REF!</v>
      </c>
      <c r="T298" s="61" t="e">
        <f t="shared" si="37"/>
        <v>#REF!</v>
      </c>
    </row>
    <row r="299" spans="1:20" x14ac:dyDescent="0.25">
      <c r="A299" s="58">
        <f t="shared" si="38"/>
        <v>44543.166666665958</v>
      </c>
      <c r="B299" s="59">
        <f t="shared" si="39"/>
        <v>44543.208333332623</v>
      </c>
      <c r="C299" s="60" t="e">
        <f>#REF!</f>
        <v>#REF!</v>
      </c>
      <c r="D299" s="61" t="e">
        <f>IF(C299&gt;0,Pricing!E299*$E$5,0)</f>
        <v>#REF!</v>
      </c>
      <c r="E299" s="61" t="e">
        <f t="shared" si="32"/>
        <v>#REF!</v>
      </c>
      <c r="F299" s="60" t="e">
        <f>#REF!</f>
        <v>#REF!</v>
      </c>
      <c r="G299" s="61" t="e">
        <f>IF(F299&gt;0,Pricing!E299*$H$5,0)</f>
        <v>#REF!</v>
      </c>
      <c r="H299" s="61" t="e">
        <f t="shared" si="33"/>
        <v>#REF!</v>
      </c>
      <c r="I299" s="62" t="e">
        <f>#REF!</f>
        <v>#REF!</v>
      </c>
      <c r="J299" s="61" t="e">
        <f>IF(I299&gt;0,Pricing!E299*$K$5,0)</f>
        <v>#REF!</v>
      </c>
      <c r="K299" s="63" t="e">
        <f t="shared" si="34"/>
        <v>#REF!</v>
      </c>
      <c r="L299" s="64" t="e">
        <f>#REF!</f>
        <v>#REF!</v>
      </c>
      <c r="M299" s="61" t="e">
        <f>IF(L299&lt;0,Pricing!E299*$N$5,0)</f>
        <v>#REF!</v>
      </c>
      <c r="N299" s="61" t="e">
        <f t="shared" si="35"/>
        <v>#REF!</v>
      </c>
      <c r="O299" s="60" t="e">
        <f>#REF!</f>
        <v>#REF!</v>
      </c>
      <c r="P299" s="61" t="e">
        <f>IF(O299&lt;0,Pricing!E299*$Q$5,0)</f>
        <v>#REF!</v>
      </c>
      <c r="Q299" s="61" t="e">
        <f t="shared" si="36"/>
        <v>#REF!</v>
      </c>
      <c r="R299" s="60" t="e">
        <f>#REF!</f>
        <v>#REF!</v>
      </c>
      <c r="S299" s="61" t="e">
        <f>IF(R299&lt;0,Pricing!E299*$T$5,0)</f>
        <v>#REF!</v>
      </c>
      <c r="T299" s="61" t="e">
        <f t="shared" si="37"/>
        <v>#REF!</v>
      </c>
    </row>
    <row r="300" spans="1:20" x14ac:dyDescent="0.25">
      <c r="A300" s="58">
        <f t="shared" si="38"/>
        <v>44543.208333332623</v>
      </c>
      <c r="B300" s="59">
        <f t="shared" si="39"/>
        <v>44543.249999999287</v>
      </c>
      <c r="C300" s="60" t="e">
        <f>#REF!</f>
        <v>#REF!</v>
      </c>
      <c r="D300" s="61" t="e">
        <f>IF(C300&gt;0,Pricing!E300*$E$5,0)</f>
        <v>#REF!</v>
      </c>
      <c r="E300" s="61" t="e">
        <f t="shared" si="32"/>
        <v>#REF!</v>
      </c>
      <c r="F300" s="60" t="e">
        <f>#REF!</f>
        <v>#REF!</v>
      </c>
      <c r="G300" s="61" t="e">
        <f>IF(F300&gt;0,Pricing!E300*$H$5,0)</f>
        <v>#REF!</v>
      </c>
      <c r="H300" s="61" t="e">
        <f t="shared" si="33"/>
        <v>#REF!</v>
      </c>
      <c r="I300" s="62" t="e">
        <f>#REF!</f>
        <v>#REF!</v>
      </c>
      <c r="J300" s="61" t="e">
        <f>IF(I300&gt;0,Pricing!E300*$K$5,0)</f>
        <v>#REF!</v>
      </c>
      <c r="K300" s="63" t="e">
        <f t="shared" si="34"/>
        <v>#REF!</v>
      </c>
      <c r="L300" s="64" t="e">
        <f>#REF!</f>
        <v>#REF!</v>
      </c>
      <c r="M300" s="61" t="e">
        <f>IF(L300&lt;0,Pricing!E300*$N$5,0)</f>
        <v>#REF!</v>
      </c>
      <c r="N300" s="61" t="e">
        <f t="shared" si="35"/>
        <v>#REF!</v>
      </c>
      <c r="O300" s="60" t="e">
        <f>#REF!</f>
        <v>#REF!</v>
      </c>
      <c r="P300" s="61" t="e">
        <f>IF(O300&lt;0,Pricing!E300*$Q$5,0)</f>
        <v>#REF!</v>
      </c>
      <c r="Q300" s="61" t="e">
        <f t="shared" si="36"/>
        <v>#REF!</v>
      </c>
      <c r="R300" s="60" t="e">
        <f>#REF!</f>
        <v>#REF!</v>
      </c>
      <c r="S300" s="61" t="e">
        <f>IF(R300&lt;0,Pricing!E300*$T$5,0)</f>
        <v>#REF!</v>
      </c>
      <c r="T300" s="61" t="e">
        <f t="shared" si="37"/>
        <v>#REF!</v>
      </c>
    </row>
    <row r="301" spans="1:20" x14ac:dyDescent="0.25">
      <c r="A301" s="58">
        <f t="shared" si="38"/>
        <v>44543.249999999287</v>
      </c>
      <c r="B301" s="59">
        <f t="shared" si="39"/>
        <v>44543.291666665951</v>
      </c>
      <c r="C301" s="60" t="e">
        <f>#REF!</f>
        <v>#REF!</v>
      </c>
      <c r="D301" s="61" t="e">
        <f>IF(C301&gt;0,Pricing!E301*$E$5,0)</f>
        <v>#REF!</v>
      </c>
      <c r="E301" s="61" t="e">
        <f t="shared" si="32"/>
        <v>#REF!</v>
      </c>
      <c r="F301" s="60" t="e">
        <f>#REF!</f>
        <v>#REF!</v>
      </c>
      <c r="G301" s="61" t="e">
        <f>IF(F301&gt;0,Pricing!E301*$H$5,0)</f>
        <v>#REF!</v>
      </c>
      <c r="H301" s="61" t="e">
        <f t="shared" si="33"/>
        <v>#REF!</v>
      </c>
      <c r="I301" s="62" t="e">
        <f>#REF!</f>
        <v>#REF!</v>
      </c>
      <c r="J301" s="61" t="e">
        <f>IF(I301&gt;0,Pricing!E301*$K$5,0)</f>
        <v>#REF!</v>
      </c>
      <c r="K301" s="63" t="e">
        <f t="shared" si="34"/>
        <v>#REF!</v>
      </c>
      <c r="L301" s="64" t="e">
        <f>#REF!</f>
        <v>#REF!</v>
      </c>
      <c r="M301" s="61" t="e">
        <f>IF(L301&lt;0,Pricing!E301*$N$5,0)</f>
        <v>#REF!</v>
      </c>
      <c r="N301" s="61" t="e">
        <f t="shared" si="35"/>
        <v>#REF!</v>
      </c>
      <c r="O301" s="60" t="e">
        <f>#REF!</f>
        <v>#REF!</v>
      </c>
      <c r="P301" s="61" t="e">
        <f>IF(O301&lt;0,Pricing!E301*$Q$5,0)</f>
        <v>#REF!</v>
      </c>
      <c r="Q301" s="61" t="e">
        <f t="shared" si="36"/>
        <v>#REF!</v>
      </c>
      <c r="R301" s="60" t="e">
        <f>#REF!</f>
        <v>#REF!</v>
      </c>
      <c r="S301" s="61" t="e">
        <f>IF(R301&lt;0,Pricing!E301*$T$5,0)</f>
        <v>#REF!</v>
      </c>
      <c r="T301" s="61" t="e">
        <f t="shared" si="37"/>
        <v>#REF!</v>
      </c>
    </row>
    <row r="302" spans="1:20" x14ac:dyDescent="0.25">
      <c r="A302" s="58">
        <f t="shared" si="38"/>
        <v>44543.291666665951</v>
      </c>
      <c r="B302" s="59">
        <f t="shared" si="39"/>
        <v>44543.333333332615</v>
      </c>
      <c r="C302" s="60" t="e">
        <f>#REF!</f>
        <v>#REF!</v>
      </c>
      <c r="D302" s="61" t="e">
        <f>IF(C302&gt;0,Pricing!E302*$E$5,0)</f>
        <v>#REF!</v>
      </c>
      <c r="E302" s="61" t="e">
        <f t="shared" si="32"/>
        <v>#REF!</v>
      </c>
      <c r="F302" s="60" t="e">
        <f>#REF!</f>
        <v>#REF!</v>
      </c>
      <c r="G302" s="61" t="e">
        <f>IF(F302&gt;0,Pricing!E302*$H$5,0)</f>
        <v>#REF!</v>
      </c>
      <c r="H302" s="61" t="e">
        <f t="shared" si="33"/>
        <v>#REF!</v>
      </c>
      <c r="I302" s="62" t="e">
        <f>#REF!</f>
        <v>#REF!</v>
      </c>
      <c r="J302" s="61" t="e">
        <f>IF(I302&gt;0,Pricing!E302*$K$5,0)</f>
        <v>#REF!</v>
      </c>
      <c r="K302" s="63" t="e">
        <f t="shared" si="34"/>
        <v>#REF!</v>
      </c>
      <c r="L302" s="64" t="e">
        <f>#REF!</f>
        <v>#REF!</v>
      </c>
      <c r="M302" s="61" t="e">
        <f>IF(L302&lt;0,Pricing!E302*$N$5,0)</f>
        <v>#REF!</v>
      </c>
      <c r="N302" s="61" t="e">
        <f t="shared" si="35"/>
        <v>#REF!</v>
      </c>
      <c r="O302" s="60" t="e">
        <f>#REF!</f>
        <v>#REF!</v>
      </c>
      <c r="P302" s="61" t="e">
        <f>IF(O302&lt;0,Pricing!E302*$Q$5,0)</f>
        <v>#REF!</v>
      </c>
      <c r="Q302" s="61" t="e">
        <f t="shared" si="36"/>
        <v>#REF!</v>
      </c>
      <c r="R302" s="60" t="e">
        <f>#REF!</f>
        <v>#REF!</v>
      </c>
      <c r="S302" s="61" t="e">
        <f>IF(R302&lt;0,Pricing!E302*$T$5,0)</f>
        <v>#REF!</v>
      </c>
      <c r="T302" s="61" t="e">
        <f t="shared" si="37"/>
        <v>#REF!</v>
      </c>
    </row>
    <row r="303" spans="1:20" x14ac:dyDescent="0.25">
      <c r="A303" s="58">
        <f t="shared" si="38"/>
        <v>44543.333333332615</v>
      </c>
      <c r="B303" s="59">
        <f t="shared" si="39"/>
        <v>44543.37499999928</v>
      </c>
      <c r="C303" s="60" t="e">
        <f>#REF!</f>
        <v>#REF!</v>
      </c>
      <c r="D303" s="61" t="e">
        <f>IF(C303&gt;0,Pricing!E303*$E$5,0)</f>
        <v>#REF!</v>
      </c>
      <c r="E303" s="61" t="e">
        <f t="shared" si="32"/>
        <v>#REF!</v>
      </c>
      <c r="F303" s="60" t="e">
        <f>#REF!</f>
        <v>#REF!</v>
      </c>
      <c r="G303" s="61" t="e">
        <f>IF(F303&gt;0,Pricing!E303*$H$5,0)</f>
        <v>#REF!</v>
      </c>
      <c r="H303" s="61" t="e">
        <f t="shared" si="33"/>
        <v>#REF!</v>
      </c>
      <c r="I303" s="62" t="e">
        <f>#REF!</f>
        <v>#REF!</v>
      </c>
      <c r="J303" s="61" t="e">
        <f>IF(I303&gt;0,Pricing!E303*$K$5,0)</f>
        <v>#REF!</v>
      </c>
      <c r="K303" s="63" t="e">
        <f t="shared" si="34"/>
        <v>#REF!</v>
      </c>
      <c r="L303" s="64" t="e">
        <f>#REF!</f>
        <v>#REF!</v>
      </c>
      <c r="M303" s="61" t="e">
        <f>IF(L303&lt;0,Pricing!E303*$N$5,0)</f>
        <v>#REF!</v>
      </c>
      <c r="N303" s="61" t="e">
        <f t="shared" si="35"/>
        <v>#REF!</v>
      </c>
      <c r="O303" s="60" t="e">
        <f>#REF!</f>
        <v>#REF!</v>
      </c>
      <c r="P303" s="61" t="e">
        <f>IF(O303&lt;0,Pricing!E303*$Q$5,0)</f>
        <v>#REF!</v>
      </c>
      <c r="Q303" s="61" t="e">
        <f t="shared" si="36"/>
        <v>#REF!</v>
      </c>
      <c r="R303" s="60" t="e">
        <f>#REF!</f>
        <v>#REF!</v>
      </c>
      <c r="S303" s="61" t="e">
        <f>IF(R303&lt;0,Pricing!E303*$T$5,0)</f>
        <v>#REF!</v>
      </c>
      <c r="T303" s="61" t="e">
        <f t="shared" si="37"/>
        <v>#REF!</v>
      </c>
    </row>
    <row r="304" spans="1:20" x14ac:dyDescent="0.25">
      <c r="A304" s="58">
        <f t="shared" si="38"/>
        <v>44543.37499999928</v>
      </c>
      <c r="B304" s="59">
        <f t="shared" si="39"/>
        <v>44543.416666665944</v>
      </c>
      <c r="C304" s="60" t="e">
        <f>#REF!</f>
        <v>#REF!</v>
      </c>
      <c r="D304" s="61" t="e">
        <f>IF(C304&gt;0,Pricing!E304*$E$5,0)</f>
        <v>#REF!</v>
      </c>
      <c r="E304" s="61" t="e">
        <f t="shared" si="32"/>
        <v>#REF!</v>
      </c>
      <c r="F304" s="60" t="e">
        <f>#REF!</f>
        <v>#REF!</v>
      </c>
      <c r="G304" s="61" t="e">
        <f>IF(F304&gt;0,Pricing!E304*$H$5,0)</f>
        <v>#REF!</v>
      </c>
      <c r="H304" s="61" t="e">
        <f t="shared" si="33"/>
        <v>#REF!</v>
      </c>
      <c r="I304" s="62" t="e">
        <f>#REF!</f>
        <v>#REF!</v>
      </c>
      <c r="J304" s="61" t="e">
        <f>IF(I304&gt;0,Pricing!E304*$K$5,0)</f>
        <v>#REF!</v>
      </c>
      <c r="K304" s="63" t="e">
        <f t="shared" si="34"/>
        <v>#REF!</v>
      </c>
      <c r="L304" s="64" t="e">
        <f>#REF!</f>
        <v>#REF!</v>
      </c>
      <c r="M304" s="61" t="e">
        <f>IF(L304&lt;0,Pricing!E304*$N$5,0)</f>
        <v>#REF!</v>
      </c>
      <c r="N304" s="61" t="e">
        <f t="shared" si="35"/>
        <v>#REF!</v>
      </c>
      <c r="O304" s="60" t="e">
        <f>#REF!</f>
        <v>#REF!</v>
      </c>
      <c r="P304" s="61" t="e">
        <f>IF(O304&lt;0,Pricing!E304*$Q$5,0)</f>
        <v>#REF!</v>
      </c>
      <c r="Q304" s="61" t="e">
        <f t="shared" si="36"/>
        <v>#REF!</v>
      </c>
      <c r="R304" s="60" t="e">
        <f>#REF!</f>
        <v>#REF!</v>
      </c>
      <c r="S304" s="61" t="e">
        <f>IF(R304&lt;0,Pricing!E304*$T$5,0)</f>
        <v>#REF!</v>
      </c>
      <c r="T304" s="61" t="e">
        <f t="shared" si="37"/>
        <v>#REF!</v>
      </c>
    </row>
    <row r="305" spans="1:20" x14ac:dyDescent="0.25">
      <c r="A305" s="58">
        <f t="shared" si="38"/>
        <v>44543.416666665944</v>
      </c>
      <c r="B305" s="59">
        <f t="shared" si="39"/>
        <v>44543.458333332608</v>
      </c>
      <c r="C305" s="60" t="e">
        <f>#REF!</f>
        <v>#REF!</v>
      </c>
      <c r="D305" s="61" t="e">
        <f>IF(C305&gt;0,Pricing!E305*$E$5,0)</f>
        <v>#REF!</v>
      </c>
      <c r="E305" s="61" t="e">
        <f t="shared" si="32"/>
        <v>#REF!</v>
      </c>
      <c r="F305" s="60" t="e">
        <f>#REF!</f>
        <v>#REF!</v>
      </c>
      <c r="G305" s="61" t="e">
        <f>IF(F305&gt;0,Pricing!E305*$H$5,0)</f>
        <v>#REF!</v>
      </c>
      <c r="H305" s="61" t="e">
        <f t="shared" si="33"/>
        <v>#REF!</v>
      </c>
      <c r="I305" s="62" t="e">
        <f>#REF!</f>
        <v>#REF!</v>
      </c>
      <c r="J305" s="61" t="e">
        <f>IF(I305&gt;0,Pricing!E305*$K$5,0)</f>
        <v>#REF!</v>
      </c>
      <c r="K305" s="63" t="e">
        <f t="shared" si="34"/>
        <v>#REF!</v>
      </c>
      <c r="L305" s="64" t="e">
        <f>#REF!</f>
        <v>#REF!</v>
      </c>
      <c r="M305" s="61" t="e">
        <f>IF(L305&lt;0,Pricing!E305*$N$5,0)</f>
        <v>#REF!</v>
      </c>
      <c r="N305" s="61" t="e">
        <f t="shared" si="35"/>
        <v>#REF!</v>
      </c>
      <c r="O305" s="60" t="e">
        <f>#REF!</f>
        <v>#REF!</v>
      </c>
      <c r="P305" s="61" t="e">
        <f>IF(O305&lt;0,Pricing!E305*$Q$5,0)</f>
        <v>#REF!</v>
      </c>
      <c r="Q305" s="61" t="e">
        <f t="shared" si="36"/>
        <v>#REF!</v>
      </c>
      <c r="R305" s="60" t="e">
        <f>#REF!</f>
        <v>#REF!</v>
      </c>
      <c r="S305" s="61" t="e">
        <f>IF(R305&lt;0,Pricing!E305*$T$5,0)</f>
        <v>#REF!</v>
      </c>
      <c r="T305" s="61" t="e">
        <f t="shared" si="37"/>
        <v>#REF!</v>
      </c>
    </row>
    <row r="306" spans="1:20" x14ac:dyDescent="0.25">
      <c r="A306" s="58">
        <f t="shared" si="38"/>
        <v>44543.458333332608</v>
      </c>
      <c r="B306" s="59">
        <f t="shared" si="39"/>
        <v>44543.499999999272</v>
      </c>
      <c r="C306" s="60" t="e">
        <f>#REF!</f>
        <v>#REF!</v>
      </c>
      <c r="D306" s="61" t="e">
        <f>IF(C306&gt;0,Pricing!E306*$E$5,0)</f>
        <v>#REF!</v>
      </c>
      <c r="E306" s="61" t="e">
        <f t="shared" si="32"/>
        <v>#REF!</v>
      </c>
      <c r="F306" s="60" t="e">
        <f>#REF!</f>
        <v>#REF!</v>
      </c>
      <c r="G306" s="61" t="e">
        <f>IF(F306&gt;0,Pricing!E306*$H$5,0)</f>
        <v>#REF!</v>
      </c>
      <c r="H306" s="61" t="e">
        <f t="shared" si="33"/>
        <v>#REF!</v>
      </c>
      <c r="I306" s="62" t="e">
        <f>#REF!</f>
        <v>#REF!</v>
      </c>
      <c r="J306" s="61" t="e">
        <f>IF(I306&gt;0,Pricing!E306*$K$5,0)</f>
        <v>#REF!</v>
      </c>
      <c r="K306" s="63" t="e">
        <f t="shared" si="34"/>
        <v>#REF!</v>
      </c>
      <c r="L306" s="64" t="e">
        <f>#REF!</f>
        <v>#REF!</v>
      </c>
      <c r="M306" s="61" t="e">
        <f>IF(L306&lt;0,Pricing!E306*$N$5,0)</f>
        <v>#REF!</v>
      </c>
      <c r="N306" s="61" t="e">
        <f t="shared" si="35"/>
        <v>#REF!</v>
      </c>
      <c r="O306" s="60" t="e">
        <f>#REF!</f>
        <v>#REF!</v>
      </c>
      <c r="P306" s="61" t="e">
        <f>IF(O306&lt;0,Pricing!E306*$Q$5,0)</f>
        <v>#REF!</v>
      </c>
      <c r="Q306" s="61" t="e">
        <f t="shared" si="36"/>
        <v>#REF!</v>
      </c>
      <c r="R306" s="60" t="e">
        <f>#REF!</f>
        <v>#REF!</v>
      </c>
      <c r="S306" s="61" t="e">
        <f>IF(R306&lt;0,Pricing!E306*$T$5,0)</f>
        <v>#REF!</v>
      </c>
      <c r="T306" s="61" t="e">
        <f t="shared" si="37"/>
        <v>#REF!</v>
      </c>
    </row>
    <row r="307" spans="1:20" x14ac:dyDescent="0.25">
      <c r="A307" s="58">
        <f t="shared" si="38"/>
        <v>44543.499999999272</v>
      </c>
      <c r="B307" s="59">
        <f t="shared" si="39"/>
        <v>44543.541666665937</v>
      </c>
      <c r="C307" s="60" t="e">
        <f>#REF!</f>
        <v>#REF!</v>
      </c>
      <c r="D307" s="61" t="e">
        <f>IF(C307&gt;0,Pricing!E307*$E$5,0)</f>
        <v>#REF!</v>
      </c>
      <c r="E307" s="61" t="e">
        <f t="shared" si="32"/>
        <v>#REF!</v>
      </c>
      <c r="F307" s="60" t="e">
        <f>#REF!</f>
        <v>#REF!</v>
      </c>
      <c r="G307" s="61" t="e">
        <f>IF(F307&gt;0,Pricing!E307*$H$5,0)</f>
        <v>#REF!</v>
      </c>
      <c r="H307" s="61" t="e">
        <f t="shared" si="33"/>
        <v>#REF!</v>
      </c>
      <c r="I307" s="62" t="e">
        <f>#REF!</f>
        <v>#REF!</v>
      </c>
      <c r="J307" s="61" t="e">
        <f>IF(I307&gt;0,Pricing!E307*$K$5,0)</f>
        <v>#REF!</v>
      </c>
      <c r="K307" s="63" t="e">
        <f t="shared" si="34"/>
        <v>#REF!</v>
      </c>
      <c r="L307" s="64" t="e">
        <f>#REF!</f>
        <v>#REF!</v>
      </c>
      <c r="M307" s="61" t="e">
        <f>IF(L307&lt;0,Pricing!E307*$N$5,0)</f>
        <v>#REF!</v>
      </c>
      <c r="N307" s="61" t="e">
        <f t="shared" si="35"/>
        <v>#REF!</v>
      </c>
      <c r="O307" s="60" t="e">
        <f>#REF!</f>
        <v>#REF!</v>
      </c>
      <c r="P307" s="61" t="e">
        <f>IF(O307&lt;0,Pricing!E307*$Q$5,0)</f>
        <v>#REF!</v>
      </c>
      <c r="Q307" s="61" t="e">
        <f t="shared" si="36"/>
        <v>#REF!</v>
      </c>
      <c r="R307" s="60" t="e">
        <f>#REF!</f>
        <v>#REF!</v>
      </c>
      <c r="S307" s="61" t="e">
        <f>IF(R307&lt;0,Pricing!E307*$T$5,0)</f>
        <v>#REF!</v>
      </c>
      <c r="T307" s="61" t="e">
        <f t="shared" si="37"/>
        <v>#REF!</v>
      </c>
    </row>
    <row r="308" spans="1:20" x14ac:dyDescent="0.25">
      <c r="A308" s="58">
        <f t="shared" si="38"/>
        <v>44543.541666665937</v>
      </c>
      <c r="B308" s="59">
        <f t="shared" si="39"/>
        <v>44543.583333332601</v>
      </c>
      <c r="C308" s="60" t="e">
        <f>#REF!</f>
        <v>#REF!</v>
      </c>
      <c r="D308" s="61" t="e">
        <f>IF(C308&gt;0,Pricing!E308*$E$5,0)</f>
        <v>#REF!</v>
      </c>
      <c r="E308" s="61" t="e">
        <f t="shared" si="32"/>
        <v>#REF!</v>
      </c>
      <c r="F308" s="60" t="e">
        <f>#REF!</f>
        <v>#REF!</v>
      </c>
      <c r="G308" s="61" t="e">
        <f>IF(F308&gt;0,Pricing!E308*$H$5,0)</f>
        <v>#REF!</v>
      </c>
      <c r="H308" s="61" t="e">
        <f t="shared" si="33"/>
        <v>#REF!</v>
      </c>
      <c r="I308" s="62" t="e">
        <f>#REF!</f>
        <v>#REF!</v>
      </c>
      <c r="J308" s="61" t="e">
        <f>IF(I308&gt;0,Pricing!E308*$K$5,0)</f>
        <v>#REF!</v>
      </c>
      <c r="K308" s="63" t="e">
        <f t="shared" si="34"/>
        <v>#REF!</v>
      </c>
      <c r="L308" s="64" t="e">
        <f>#REF!</f>
        <v>#REF!</v>
      </c>
      <c r="M308" s="61" t="e">
        <f>IF(L308&lt;0,Pricing!E308*$N$5,0)</f>
        <v>#REF!</v>
      </c>
      <c r="N308" s="61" t="e">
        <f t="shared" si="35"/>
        <v>#REF!</v>
      </c>
      <c r="O308" s="60" t="e">
        <f>#REF!</f>
        <v>#REF!</v>
      </c>
      <c r="P308" s="61" t="e">
        <f>IF(O308&lt;0,Pricing!E308*$Q$5,0)</f>
        <v>#REF!</v>
      </c>
      <c r="Q308" s="61" t="e">
        <f t="shared" si="36"/>
        <v>#REF!</v>
      </c>
      <c r="R308" s="60" t="e">
        <f>#REF!</f>
        <v>#REF!</v>
      </c>
      <c r="S308" s="61" t="e">
        <f>IF(R308&lt;0,Pricing!E308*$T$5,0)</f>
        <v>#REF!</v>
      </c>
      <c r="T308" s="61" t="e">
        <f t="shared" si="37"/>
        <v>#REF!</v>
      </c>
    </row>
    <row r="309" spans="1:20" x14ac:dyDescent="0.25">
      <c r="A309" s="58">
        <f t="shared" si="38"/>
        <v>44543.583333332601</v>
      </c>
      <c r="B309" s="59">
        <f t="shared" si="39"/>
        <v>44543.624999999265</v>
      </c>
      <c r="C309" s="60" t="e">
        <f>#REF!</f>
        <v>#REF!</v>
      </c>
      <c r="D309" s="61" t="e">
        <f>IF(C309&gt;0,Pricing!E309*$E$5,0)</f>
        <v>#REF!</v>
      </c>
      <c r="E309" s="61" t="e">
        <f t="shared" si="32"/>
        <v>#REF!</v>
      </c>
      <c r="F309" s="60" t="e">
        <f>#REF!</f>
        <v>#REF!</v>
      </c>
      <c r="G309" s="61" t="e">
        <f>IF(F309&gt;0,Pricing!E309*$H$5,0)</f>
        <v>#REF!</v>
      </c>
      <c r="H309" s="61" t="e">
        <f t="shared" si="33"/>
        <v>#REF!</v>
      </c>
      <c r="I309" s="62" t="e">
        <f>#REF!</f>
        <v>#REF!</v>
      </c>
      <c r="J309" s="61" t="e">
        <f>IF(I309&gt;0,Pricing!E309*$K$5,0)</f>
        <v>#REF!</v>
      </c>
      <c r="K309" s="63" t="e">
        <f t="shared" si="34"/>
        <v>#REF!</v>
      </c>
      <c r="L309" s="64" t="e">
        <f>#REF!</f>
        <v>#REF!</v>
      </c>
      <c r="M309" s="61" t="e">
        <f>IF(L309&lt;0,Pricing!E309*$N$5,0)</f>
        <v>#REF!</v>
      </c>
      <c r="N309" s="61" t="e">
        <f t="shared" si="35"/>
        <v>#REF!</v>
      </c>
      <c r="O309" s="60" t="e">
        <f>#REF!</f>
        <v>#REF!</v>
      </c>
      <c r="P309" s="61" t="e">
        <f>IF(O309&lt;0,Pricing!E309*$Q$5,0)</f>
        <v>#REF!</v>
      </c>
      <c r="Q309" s="61" t="e">
        <f t="shared" si="36"/>
        <v>#REF!</v>
      </c>
      <c r="R309" s="60" t="e">
        <f>#REF!</f>
        <v>#REF!</v>
      </c>
      <c r="S309" s="61" t="e">
        <f>IF(R309&lt;0,Pricing!E309*$T$5,0)</f>
        <v>#REF!</v>
      </c>
      <c r="T309" s="61" t="e">
        <f t="shared" si="37"/>
        <v>#REF!</v>
      </c>
    </row>
    <row r="310" spans="1:20" x14ac:dyDescent="0.25">
      <c r="A310" s="58">
        <f t="shared" si="38"/>
        <v>44543.624999999265</v>
      </c>
      <c r="B310" s="59">
        <f t="shared" si="39"/>
        <v>44543.666666665929</v>
      </c>
      <c r="C310" s="60" t="e">
        <f>#REF!</f>
        <v>#REF!</v>
      </c>
      <c r="D310" s="61" t="e">
        <f>IF(C310&gt;0,Pricing!E310*$E$5,0)</f>
        <v>#REF!</v>
      </c>
      <c r="E310" s="61" t="e">
        <f t="shared" si="32"/>
        <v>#REF!</v>
      </c>
      <c r="F310" s="60" t="e">
        <f>#REF!</f>
        <v>#REF!</v>
      </c>
      <c r="G310" s="61" t="e">
        <f>IF(F310&gt;0,Pricing!E310*$H$5,0)</f>
        <v>#REF!</v>
      </c>
      <c r="H310" s="61" t="e">
        <f t="shared" si="33"/>
        <v>#REF!</v>
      </c>
      <c r="I310" s="62" t="e">
        <f>#REF!</f>
        <v>#REF!</v>
      </c>
      <c r="J310" s="61" t="e">
        <f>IF(I310&gt;0,Pricing!E310*$K$5,0)</f>
        <v>#REF!</v>
      </c>
      <c r="K310" s="63" t="e">
        <f t="shared" si="34"/>
        <v>#REF!</v>
      </c>
      <c r="L310" s="64" t="e">
        <f>#REF!</f>
        <v>#REF!</v>
      </c>
      <c r="M310" s="61" t="e">
        <f>IF(L310&lt;0,Pricing!E310*$N$5,0)</f>
        <v>#REF!</v>
      </c>
      <c r="N310" s="61" t="e">
        <f t="shared" si="35"/>
        <v>#REF!</v>
      </c>
      <c r="O310" s="60" t="e">
        <f>#REF!</f>
        <v>#REF!</v>
      </c>
      <c r="P310" s="61" t="e">
        <f>IF(O310&lt;0,Pricing!E310*$Q$5,0)</f>
        <v>#REF!</v>
      </c>
      <c r="Q310" s="61" t="e">
        <f t="shared" si="36"/>
        <v>#REF!</v>
      </c>
      <c r="R310" s="60" t="e">
        <f>#REF!</f>
        <v>#REF!</v>
      </c>
      <c r="S310" s="61" t="e">
        <f>IF(R310&lt;0,Pricing!E310*$T$5,0)</f>
        <v>#REF!</v>
      </c>
      <c r="T310" s="61" t="e">
        <f t="shared" si="37"/>
        <v>#REF!</v>
      </c>
    </row>
    <row r="311" spans="1:20" x14ac:dyDescent="0.25">
      <c r="A311" s="58">
        <f t="shared" si="38"/>
        <v>44543.666666665929</v>
      </c>
      <c r="B311" s="59">
        <f t="shared" si="39"/>
        <v>44543.708333332594</v>
      </c>
      <c r="C311" s="60" t="e">
        <f>#REF!</f>
        <v>#REF!</v>
      </c>
      <c r="D311" s="61" t="e">
        <f>IF(C311&gt;0,Pricing!E311*$E$5,0)</f>
        <v>#REF!</v>
      </c>
      <c r="E311" s="61" t="e">
        <f t="shared" si="32"/>
        <v>#REF!</v>
      </c>
      <c r="F311" s="60" t="e">
        <f>#REF!</f>
        <v>#REF!</v>
      </c>
      <c r="G311" s="61" t="e">
        <f>IF(F311&gt;0,Pricing!E311*$H$5,0)</f>
        <v>#REF!</v>
      </c>
      <c r="H311" s="61" t="e">
        <f t="shared" si="33"/>
        <v>#REF!</v>
      </c>
      <c r="I311" s="62" t="e">
        <f>#REF!</f>
        <v>#REF!</v>
      </c>
      <c r="J311" s="61" t="e">
        <f>IF(I311&gt;0,Pricing!E311*$K$5,0)</f>
        <v>#REF!</v>
      </c>
      <c r="K311" s="63" t="e">
        <f t="shared" si="34"/>
        <v>#REF!</v>
      </c>
      <c r="L311" s="64" t="e">
        <f>#REF!</f>
        <v>#REF!</v>
      </c>
      <c r="M311" s="61" t="e">
        <f>IF(L311&lt;0,Pricing!E311*$N$5,0)</f>
        <v>#REF!</v>
      </c>
      <c r="N311" s="61" t="e">
        <f t="shared" si="35"/>
        <v>#REF!</v>
      </c>
      <c r="O311" s="60" t="e">
        <f>#REF!</f>
        <v>#REF!</v>
      </c>
      <c r="P311" s="61" t="e">
        <f>IF(O311&lt;0,Pricing!E311*$Q$5,0)</f>
        <v>#REF!</v>
      </c>
      <c r="Q311" s="61" t="e">
        <f t="shared" si="36"/>
        <v>#REF!</v>
      </c>
      <c r="R311" s="60" t="e">
        <f>#REF!</f>
        <v>#REF!</v>
      </c>
      <c r="S311" s="61" t="e">
        <f>IF(R311&lt;0,Pricing!E311*$T$5,0)</f>
        <v>#REF!</v>
      </c>
      <c r="T311" s="61" t="e">
        <f t="shared" si="37"/>
        <v>#REF!</v>
      </c>
    </row>
    <row r="312" spans="1:20" x14ac:dyDescent="0.25">
      <c r="A312" s="58">
        <f t="shared" si="38"/>
        <v>44543.708333332594</v>
      </c>
      <c r="B312" s="59">
        <f t="shared" si="39"/>
        <v>44543.749999999258</v>
      </c>
      <c r="C312" s="60" t="e">
        <f>#REF!</f>
        <v>#REF!</v>
      </c>
      <c r="D312" s="61" t="e">
        <f>IF(C312&gt;0,Pricing!E312*$E$5,0)</f>
        <v>#REF!</v>
      </c>
      <c r="E312" s="61" t="e">
        <f t="shared" si="32"/>
        <v>#REF!</v>
      </c>
      <c r="F312" s="60" t="e">
        <f>#REF!</f>
        <v>#REF!</v>
      </c>
      <c r="G312" s="61" t="e">
        <f>IF(F312&gt;0,Pricing!E312*$H$5,0)</f>
        <v>#REF!</v>
      </c>
      <c r="H312" s="61" t="e">
        <f t="shared" si="33"/>
        <v>#REF!</v>
      </c>
      <c r="I312" s="62" t="e">
        <f>#REF!</f>
        <v>#REF!</v>
      </c>
      <c r="J312" s="61" t="e">
        <f>IF(I312&gt;0,Pricing!E312*$K$5,0)</f>
        <v>#REF!</v>
      </c>
      <c r="K312" s="63" t="e">
        <f t="shared" si="34"/>
        <v>#REF!</v>
      </c>
      <c r="L312" s="64" t="e">
        <f>#REF!</f>
        <v>#REF!</v>
      </c>
      <c r="M312" s="61" t="e">
        <f>IF(L312&lt;0,Pricing!E312*$N$5,0)</f>
        <v>#REF!</v>
      </c>
      <c r="N312" s="61" t="e">
        <f t="shared" si="35"/>
        <v>#REF!</v>
      </c>
      <c r="O312" s="60" t="e">
        <f>#REF!</f>
        <v>#REF!</v>
      </c>
      <c r="P312" s="61" t="e">
        <f>IF(O312&lt;0,Pricing!E312*$Q$5,0)</f>
        <v>#REF!</v>
      </c>
      <c r="Q312" s="61" t="e">
        <f t="shared" si="36"/>
        <v>#REF!</v>
      </c>
      <c r="R312" s="60" t="e">
        <f>#REF!</f>
        <v>#REF!</v>
      </c>
      <c r="S312" s="61" t="e">
        <f>IF(R312&lt;0,Pricing!E312*$T$5,0)</f>
        <v>#REF!</v>
      </c>
      <c r="T312" s="61" t="e">
        <f t="shared" si="37"/>
        <v>#REF!</v>
      </c>
    </row>
    <row r="313" spans="1:20" x14ac:dyDescent="0.25">
      <c r="A313" s="58">
        <f t="shared" si="38"/>
        <v>44543.749999999258</v>
      </c>
      <c r="B313" s="59">
        <f t="shared" si="39"/>
        <v>44543.791666665922</v>
      </c>
      <c r="C313" s="60" t="e">
        <f>#REF!</f>
        <v>#REF!</v>
      </c>
      <c r="D313" s="61" t="e">
        <f>IF(C313&gt;0,Pricing!E313*$E$5,0)</f>
        <v>#REF!</v>
      </c>
      <c r="E313" s="61" t="e">
        <f t="shared" si="32"/>
        <v>#REF!</v>
      </c>
      <c r="F313" s="60" t="e">
        <f>#REF!</f>
        <v>#REF!</v>
      </c>
      <c r="G313" s="61" t="e">
        <f>IF(F313&gt;0,Pricing!E313*$H$5,0)</f>
        <v>#REF!</v>
      </c>
      <c r="H313" s="61" t="e">
        <f t="shared" si="33"/>
        <v>#REF!</v>
      </c>
      <c r="I313" s="62" t="e">
        <f>#REF!</f>
        <v>#REF!</v>
      </c>
      <c r="J313" s="61" t="e">
        <f>IF(I313&gt;0,Pricing!E313*$K$5,0)</f>
        <v>#REF!</v>
      </c>
      <c r="K313" s="63" t="e">
        <f t="shared" si="34"/>
        <v>#REF!</v>
      </c>
      <c r="L313" s="64" t="e">
        <f>#REF!</f>
        <v>#REF!</v>
      </c>
      <c r="M313" s="61" t="e">
        <f>IF(L313&lt;0,Pricing!E313*$N$5,0)</f>
        <v>#REF!</v>
      </c>
      <c r="N313" s="61" t="e">
        <f t="shared" si="35"/>
        <v>#REF!</v>
      </c>
      <c r="O313" s="60" t="e">
        <f>#REF!</f>
        <v>#REF!</v>
      </c>
      <c r="P313" s="61" t="e">
        <f>IF(O313&lt;0,Pricing!E313*$Q$5,0)</f>
        <v>#REF!</v>
      </c>
      <c r="Q313" s="61" t="e">
        <f t="shared" si="36"/>
        <v>#REF!</v>
      </c>
      <c r="R313" s="60" t="e">
        <f>#REF!</f>
        <v>#REF!</v>
      </c>
      <c r="S313" s="61" t="e">
        <f>IF(R313&lt;0,Pricing!E313*$T$5,0)</f>
        <v>#REF!</v>
      </c>
      <c r="T313" s="61" t="e">
        <f t="shared" si="37"/>
        <v>#REF!</v>
      </c>
    </row>
    <row r="314" spans="1:20" x14ac:dyDescent="0.25">
      <c r="A314" s="58">
        <f t="shared" si="38"/>
        <v>44543.791666665922</v>
      </c>
      <c r="B314" s="59">
        <f t="shared" si="39"/>
        <v>44543.833333332586</v>
      </c>
      <c r="C314" s="60" t="e">
        <f>#REF!</f>
        <v>#REF!</v>
      </c>
      <c r="D314" s="61" t="e">
        <f>IF(C314&gt;0,Pricing!E314*$E$5,0)</f>
        <v>#REF!</v>
      </c>
      <c r="E314" s="61" t="e">
        <f t="shared" si="32"/>
        <v>#REF!</v>
      </c>
      <c r="F314" s="60" t="e">
        <f>#REF!</f>
        <v>#REF!</v>
      </c>
      <c r="G314" s="61" t="e">
        <f>IF(F314&gt;0,Pricing!E314*$H$5,0)</f>
        <v>#REF!</v>
      </c>
      <c r="H314" s="61" t="e">
        <f t="shared" si="33"/>
        <v>#REF!</v>
      </c>
      <c r="I314" s="62" t="e">
        <f>#REF!</f>
        <v>#REF!</v>
      </c>
      <c r="J314" s="61" t="e">
        <f>IF(I314&gt;0,Pricing!E314*$K$5,0)</f>
        <v>#REF!</v>
      </c>
      <c r="K314" s="63" t="e">
        <f t="shared" si="34"/>
        <v>#REF!</v>
      </c>
      <c r="L314" s="64" t="e">
        <f>#REF!</f>
        <v>#REF!</v>
      </c>
      <c r="M314" s="61" t="e">
        <f>IF(L314&lt;0,Pricing!E314*$N$5,0)</f>
        <v>#REF!</v>
      </c>
      <c r="N314" s="61" t="e">
        <f t="shared" si="35"/>
        <v>#REF!</v>
      </c>
      <c r="O314" s="60" t="e">
        <f>#REF!</f>
        <v>#REF!</v>
      </c>
      <c r="P314" s="61" t="e">
        <f>IF(O314&lt;0,Pricing!E314*$Q$5,0)</f>
        <v>#REF!</v>
      </c>
      <c r="Q314" s="61" t="e">
        <f t="shared" si="36"/>
        <v>#REF!</v>
      </c>
      <c r="R314" s="60" t="e">
        <f>#REF!</f>
        <v>#REF!</v>
      </c>
      <c r="S314" s="61" t="e">
        <f>IF(R314&lt;0,Pricing!E314*$T$5,0)</f>
        <v>#REF!</v>
      </c>
      <c r="T314" s="61" t="e">
        <f t="shared" si="37"/>
        <v>#REF!</v>
      </c>
    </row>
    <row r="315" spans="1:20" x14ac:dyDescent="0.25">
      <c r="A315" s="58">
        <f t="shared" si="38"/>
        <v>44543.833333332586</v>
      </c>
      <c r="B315" s="59">
        <f t="shared" si="39"/>
        <v>44543.874999999251</v>
      </c>
      <c r="C315" s="60" t="e">
        <f>#REF!</f>
        <v>#REF!</v>
      </c>
      <c r="D315" s="61" t="e">
        <f>IF(C315&gt;0,Pricing!E315*$E$5,0)</f>
        <v>#REF!</v>
      </c>
      <c r="E315" s="61" t="e">
        <f t="shared" si="32"/>
        <v>#REF!</v>
      </c>
      <c r="F315" s="60" t="e">
        <f>#REF!</f>
        <v>#REF!</v>
      </c>
      <c r="G315" s="61" t="e">
        <f>IF(F315&gt;0,Pricing!E315*$H$5,0)</f>
        <v>#REF!</v>
      </c>
      <c r="H315" s="61" t="e">
        <f t="shared" si="33"/>
        <v>#REF!</v>
      </c>
      <c r="I315" s="62" t="e">
        <f>#REF!</f>
        <v>#REF!</v>
      </c>
      <c r="J315" s="61" t="e">
        <f>IF(I315&gt;0,Pricing!E315*$K$5,0)</f>
        <v>#REF!</v>
      </c>
      <c r="K315" s="63" t="e">
        <f t="shared" si="34"/>
        <v>#REF!</v>
      </c>
      <c r="L315" s="64" t="e">
        <f>#REF!</f>
        <v>#REF!</v>
      </c>
      <c r="M315" s="61" t="e">
        <f>IF(L315&lt;0,Pricing!E315*$N$5,0)</f>
        <v>#REF!</v>
      </c>
      <c r="N315" s="61" t="e">
        <f t="shared" si="35"/>
        <v>#REF!</v>
      </c>
      <c r="O315" s="60" t="e">
        <f>#REF!</f>
        <v>#REF!</v>
      </c>
      <c r="P315" s="61" t="e">
        <f>IF(O315&lt;0,Pricing!E315*$Q$5,0)</f>
        <v>#REF!</v>
      </c>
      <c r="Q315" s="61" t="e">
        <f t="shared" si="36"/>
        <v>#REF!</v>
      </c>
      <c r="R315" s="60" t="e">
        <f>#REF!</f>
        <v>#REF!</v>
      </c>
      <c r="S315" s="61" t="e">
        <f>IF(R315&lt;0,Pricing!E315*$T$5,0)</f>
        <v>#REF!</v>
      </c>
      <c r="T315" s="61" t="e">
        <f t="shared" si="37"/>
        <v>#REF!</v>
      </c>
    </row>
    <row r="316" spans="1:20" x14ac:dyDescent="0.25">
      <c r="A316" s="58">
        <f t="shared" si="38"/>
        <v>44543.874999999251</v>
      </c>
      <c r="B316" s="59">
        <f t="shared" si="39"/>
        <v>44543.916666665915</v>
      </c>
      <c r="C316" s="60" t="e">
        <f>#REF!</f>
        <v>#REF!</v>
      </c>
      <c r="D316" s="61" t="e">
        <f>IF(C316&gt;0,Pricing!E316*$E$5,0)</f>
        <v>#REF!</v>
      </c>
      <c r="E316" s="61" t="e">
        <f t="shared" si="32"/>
        <v>#REF!</v>
      </c>
      <c r="F316" s="60" t="e">
        <f>#REF!</f>
        <v>#REF!</v>
      </c>
      <c r="G316" s="61" t="e">
        <f>IF(F316&gt;0,Pricing!E316*$H$5,0)</f>
        <v>#REF!</v>
      </c>
      <c r="H316" s="61" t="e">
        <f t="shared" si="33"/>
        <v>#REF!</v>
      </c>
      <c r="I316" s="62" t="e">
        <f>#REF!</f>
        <v>#REF!</v>
      </c>
      <c r="J316" s="61" t="e">
        <f>IF(I316&gt;0,Pricing!E316*$K$5,0)</f>
        <v>#REF!</v>
      </c>
      <c r="K316" s="63" t="e">
        <f t="shared" si="34"/>
        <v>#REF!</v>
      </c>
      <c r="L316" s="64" t="e">
        <f>#REF!</f>
        <v>#REF!</v>
      </c>
      <c r="M316" s="61" t="e">
        <f>IF(L316&lt;0,Pricing!E316*$N$5,0)</f>
        <v>#REF!</v>
      </c>
      <c r="N316" s="61" t="e">
        <f t="shared" si="35"/>
        <v>#REF!</v>
      </c>
      <c r="O316" s="60" t="e">
        <f>#REF!</f>
        <v>#REF!</v>
      </c>
      <c r="P316" s="61" t="e">
        <f>IF(O316&lt;0,Pricing!E316*$Q$5,0)</f>
        <v>#REF!</v>
      </c>
      <c r="Q316" s="61" t="e">
        <f t="shared" si="36"/>
        <v>#REF!</v>
      </c>
      <c r="R316" s="60" t="e">
        <f>#REF!</f>
        <v>#REF!</v>
      </c>
      <c r="S316" s="61" t="e">
        <f>IF(R316&lt;0,Pricing!E316*$T$5,0)</f>
        <v>#REF!</v>
      </c>
      <c r="T316" s="61" t="e">
        <f t="shared" si="37"/>
        <v>#REF!</v>
      </c>
    </row>
    <row r="317" spans="1:20" x14ac:dyDescent="0.25">
      <c r="A317" s="58">
        <f t="shared" si="38"/>
        <v>44543.916666665915</v>
      </c>
      <c r="B317" s="59">
        <f t="shared" si="39"/>
        <v>44543.958333332579</v>
      </c>
      <c r="C317" s="60" t="e">
        <f>#REF!</f>
        <v>#REF!</v>
      </c>
      <c r="D317" s="61" t="e">
        <f>IF(C317&gt;0,Pricing!E317*$E$5,0)</f>
        <v>#REF!</v>
      </c>
      <c r="E317" s="61" t="e">
        <f t="shared" si="32"/>
        <v>#REF!</v>
      </c>
      <c r="F317" s="60" t="e">
        <f>#REF!</f>
        <v>#REF!</v>
      </c>
      <c r="G317" s="61" t="e">
        <f>IF(F317&gt;0,Pricing!E317*$H$5,0)</f>
        <v>#REF!</v>
      </c>
      <c r="H317" s="61" t="e">
        <f t="shared" si="33"/>
        <v>#REF!</v>
      </c>
      <c r="I317" s="62" t="e">
        <f>#REF!</f>
        <v>#REF!</v>
      </c>
      <c r="J317" s="61" t="e">
        <f>IF(I317&gt;0,Pricing!E317*$K$5,0)</f>
        <v>#REF!</v>
      </c>
      <c r="K317" s="63" t="e">
        <f t="shared" si="34"/>
        <v>#REF!</v>
      </c>
      <c r="L317" s="64" t="e">
        <f>#REF!</f>
        <v>#REF!</v>
      </c>
      <c r="M317" s="61" t="e">
        <f>IF(L317&lt;0,Pricing!E317*$N$5,0)</f>
        <v>#REF!</v>
      </c>
      <c r="N317" s="61" t="e">
        <f t="shared" si="35"/>
        <v>#REF!</v>
      </c>
      <c r="O317" s="60" t="e">
        <f>#REF!</f>
        <v>#REF!</v>
      </c>
      <c r="P317" s="61" t="e">
        <f>IF(O317&lt;0,Pricing!E317*$Q$5,0)</f>
        <v>#REF!</v>
      </c>
      <c r="Q317" s="61" t="e">
        <f t="shared" si="36"/>
        <v>#REF!</v>
      </c>
      <c r="R317" s="60" t="e">
        <f>#REF!</f>
        <v>#REF!</v>
      </c>
      <c r="S317" s="61" t="e">
        <f>IF(R317&lt;0,Pricing!E317*$T$5,0)</f>
        <v>#REF!</v>
      </c>
      <c r="T317" s="61" t="e">
        <f t="shared" si="37"/>
        <v>#REF!</v>
      </c>
    </row>
    <row r="318" spans="1:20" x14ac:dyDescent="0.25">
      <c r="A318" s="58">
        <f t="shared" si="38"/>
        <v>44543.958333332579</v>
      </c>
      <c r="B318" s="59">
        <f t="shared" si="39"/>
        <v>44543.999999999243</v>
      </c>
      <c r="C318" s="60" t="e">
        <f>#REF!</f>
        <v>#REF!</v>
      </c>
      <c r="D318" s="61" t="e">
        <f>IF(C318&gt;0,Pricing!E318*$E$5,0)</f>
        <v>#REF!</v>
      </c>
      <c r="E318" s="61" t="e">
        <f t="shared" si="32"/>
        <v>#REF!</v>
      </c>
      <c r="F318" s="60" t="e">
        <f>#REF!</f>
        <v>#REF!</v>
      </c>
      <c r="G318" s="61" t="e">
        <f>IF(F318&gt;0,Pricing!E318*$H$5,0)</f>
        <v>#REF!</v>
      </c>
      <c r="H318" s="61" t="e">
        <f t="shared" si="33"/>
        <v>#REF!</v>
      </c>
      <c r="I318" s="62" t="e">
        <f>#REF!</f>
        <v>#REF!</v>
      </c>
      <c r="J318" s="61" t="e">
        <f>IF(I318&gt;0,Pricing!E318*$K$5,0)</f>
        <v>#REF!</v>
      </c>
      <c r="K318" s="63" t="e">
        <f t="shared" si="34"/>
        <v>#REF!</v>
      </c>
      <c r="L318" s="64" t="e">
        <f>#REF!</f>
        <v>#REF!</v>
      </c>
      <c r="M318" s="61" t="e">
        <f>IF(L318&lt;0,Pricing!E318*$N$5,0)</f>
        <v>#REF!</v>
      </c>
      <c r="N318" s="61" t="e">
        <f t="shared" si="35"/>
        <v>#REF!</v>
      </c>
      <c r="O318" s="60" t="e">
        <f>#REF!</f>
        <v>#REF!</v>
      </c>
      <c r="P318" s="61" t="e">
        <f>IF(O318&lt;0,Pricing!E318*$Q$5,0)</f>
        <v>#REF!</v>
      </c>
      <c r="Q318" s="61" t="e">
        <f t="shared" si="36"/>
        <v>#REF!</v>
      </c>
      <c r="R318" s="60" t="e">
        <f>#REF!</f>
        <v>#REF!</v>
      </c>
      <c r="S318" s="61" t="e">
        <f>IF(R318&lt;0,Pricing!E318*$T$5,0)</f>
        <v>#REF!</v>
      </c>
      <c r="T318" s="61" t="e">
        <f t="shared" si="37"/>
        <v>#REF!</v>
      </c>
    </row>
    <row r="319" spans="1:20" x14ac:dyDescent="0.25">
      <c r="A319" s="58">
        <f t="shared" si="38"/>
        <v>44543.999999999243</v>
      </c>
      <c r="B319" s="59">
        <f t="shared" si="39"/>
        <v>44544.041666665908</v>
      </c>
      <c r="C319" s="60" t="e">
        <f>#REF!</f>
        <v>#REF!</v>
      </c>
      <c r="D319" s="61" t="e">
        <f>IF(C319&gt;0,Pricing!E319*$E$5,0)</f>
        <v>#REF!</v>
      </c>
      <c r="E319" s="61" t="e">
        <f t="shared" si="32"/>
        <v>#REF!</v>
      </c>
      <c r="F319" s="60" t="e">
        <f>#REF!</f>
        <v>#REF!</v>
      </c>
      <c r="G319" s="61" t="e">
        <f>IF(F319&gt;0,Pricing!E319*$H$5,0)</f>
        <v>#REF!</v>
      </c>
      <c r="H319" s="61" t="e">
        <f t="shared" si="33"/>
        <v>#REF!</v>
      </c>
      <c r="I319" s="62" t="e">
        <f>#REF!</f>
        <v>#REF!</v>
      </c>
      <c r="J319" s="61" t="e">
        <f>IF(I319&gt;0,Pricing!E319*$K$5,0)</f>
        <v>#REF!</v>
      </c>
      <c r="K319" s="63" t="e">
        <f t="shared" si="34"/>
        <v>#REF!</v>
      </c>
      <c r="L319" s="64" t="e">
        <f>#REF!</f>
        <v>#REF!</v>
      </c>
      <c r="M319" s="61" t="e">
        <f>IF(L319&lt;0,Pricing!E319*$N$5,0)</f>
        <v>#REF!</v>
      </c>
      <c r="N319" s="61" t="e">
        <f t="shared" si="35"/>
        <v>#REF!</v>
      </c>
      <c r="O319" s="60" t="e">
        <f>#REF!</f>
        <v>#REF!</v>
      </c>
      <c r="P319" s="61" t="e">
        <f>IF(O319&lt;0,Pricing!E319*$Q$5,0)</f>
        <v>#REF!</v>
      </c>
      <c r="Q319" s="61" t="e">
        <f t="shared" si="36"/>
        <v>#REF!</v>
      </c>
      <c r="R319" s="60" t="e">
        <f>#REF!</f>
        <v>#REF!</v>
      </c>
      <c r="S319" s="61" t="e">
        <f>IF(R319&lt;0,Pricing!E319*$T$5,0)</f>
        <v>#REF!</v>
      </c>
      <c r="T319" s="61" t="e">
        <f t="shared" si="37"/>
        <v>#REF!</v>
      </c>
    </row>
    <row r="320" spans="1:20" x14ac:dyDescent="0.25">
      <c r="A320" s="58">
        <f t="shared" si="38"/>
        <v>44544.041666665908</v>
      </c>
      <c r="B320" s="59">
        <f t="shared" si="39"/>
        <v>44544.083333332572</v>
      </c>
      <c r="C320" s="60" t="e">
        <f>#REF!</f>
        <v>#REF!</v>
      </c>
      <c r="D320" s="61" t="e">
        <f>IF(C320&gt;0,Pricing!E320*$E$5,0)</f>
        <v>#REF!</v>
      </c>
      <c r="E320" s="61" t="e">
        <f t="shared" si="32"/>
        <v>#REF!</v>
      </c>
      <c r="F320" s="60" t="e">
        <f>#REF!</f>
        <v>#REF!</v>
      </c>
      <c r="G320" s="61" t="e">
        <f>IF(F320&gt;0,Pricing!E320*$H$5,0)</f>
        <v>#REF!</v>
      </c>
      <c r="H320" s="61" t="e">
        <f t="shared" si="33"/>
        <v>#REF!</v>
      </c>
      <c r="I320" s="62" t="e">
        <f>#REF!</f>
        <v>#REF!</v>
      </c>
      <c r="J320" s="61" t="e">
        <f>IF(I320&gt;0,Pricing!E320*$K$5,0)</f>
        <v>#REF!</v>
      </c>
      <c r="K320" s="63" t="e">
        <f t="shared" si="34"/>
        <v>#REF!</v>
      </c>
      <c r="L320" s="64" t="e">
        <f>#REF!</f>
        <v>#REF!</v>
      </c>
      <c r="M320" s="61" t="e">
        <f>IF(L320&lt;0,Pricing!E320*$N$5,0)</f>
        <v>#REF!</v>
      </c>
      <c r="N320" s="61" t="e">
        <f t="shared" si="35"/>
        <v>#REF!</v>
      </c>
      <c r="O320" s="60" t="e">
        <f>#REF!</f>
        <v>#REF!</v>
      </c>
      <c r="P320" s="61" t="e">
        <f>IF(O320&lt;0,Pricing!E320*$Q$5,0)</f>
        <v>#REF!</v>
      </c>
      <c r="Q320" s="61" t="e">
        <f t="shared" si="36"/>
        <v>#REF!</v>
      </c>
      <c r="R320" s="60" t="e">
        <f>#REF!</f>
        <v>#REF!</v>
      </c>
      <c r="S320" s="61" t="e">
        <f>IF(R320&lt;0,Pricing!E320*$T$5,0)</f>
        <v>#REF!</v>
      </c>
      <c r="T320" s="61" t="e">
        <f t="shared" si="37"/>
        <v>#REF!</v>
      </c>
    </row>
    <row r="321" spans="1:20" x14ac:dyDescent="0.25">
      <c r="A321" s="58">
        <f t="shared" si="38"/>
        <v>44544.083333332572</v>
      </c>
      <c r="B321" s="59">
        <f t="shared" si="39"/>
        <v>44544.124999999236</v>
      </c>
      <c r="C321" s="60" t="e">
        <f>#REF!</f>
        <v>#REF!</v>
      </c>
      <c r="D321" s="61" t="e">
        <f>IF(C321&gt;0,Pricing!E321*$E$5,0)</f>
        <v>#REF!</v>
      </c>
      <c r="E321" s="61" t="e">
        <f t="shared" si="32"/>
        <v>#REF!</v>
      </c>
      <c r="F321" s="60" t="e">
        <f>#REF!</f>
        <v>#REF!</v>
      </c>
      <c r="G321" s="61" t="e">
        <f>IF(F321&gt;0,Pricing!E321*$H$5,0)</f>
        <v>#REF!</v>
      </c>
      <c r="H321" s="61" t="e">
        <f t="shared" si="33"/>
        <v>#REF!</v>
      </c>
      <c r="I321" s="62" t="e">
        <f>#REF!</f>
        <v>#REF!</v>
      </c>
      <c r="J321" s="61" t="e">
        <f>IF(I321&gt;0,Pricing!E321*$K$5,0)</f>
        <v>#REF!</v>
      </c>
      <c r="K321" s="63" t="e">
        <f t="shared" si="34"/>
        <v>#REF!</v>
      </c>
      <c r="L321" s="64" t="e">
        <f>#REF!</f>
        <v>#REF!</v>
      </c>
      <c r="M321" s="61" t="e">
        <f>IF(L321&lt;0,Pricing!E321*$N$5,0)</f>
        <v>#REF!</v>
      </c>
      <c r="N321" s="61" t="e">
        <f t="shared" si="35"/>
        <v>#REF!</v>
      </c>
      <c r="O321" s="60" t="e">
        <f>#REF!</f>
        <v>#REF!</v>
      </c>
      <c r="P321" s="61" t="e">
        <f>IF(O321&lt;0,Pricing!E321*$Q$5,0)</f>
        <v>#REF!</v>
      </c>
      <c r="Q321" s="61" t="e">
        <f t="shared" si="36"/>
        <v>#REF!</v>
      </c>
      <c r="R321" s="60" t="e">
        <f>#REF!</f>
        <v>#REF!</v>
      </c>
      <c r="S321" s="61" t="e">
        <f>IF(R321&lt;0,Pricing!E321*$T$5,0)</f>
        <v>#REF!</v>
      </c>
      <c r="T321" s="61" t="e">
        <f t="shared" si="37"/>
        <v>#REF!</v>
      </c>
    </row>
    <row r="322" spans="1:20" x14ac:dyDescent="0.25">
      <c r="A322" s="58">
        <f t="shared" si="38"/>
        <v>44544.124999999236</v>
      </c>
      <c r="B322" s="59">
        <f t="shared" si="39"/>
        <v>44544.1666666659</v>
      </c>
      <c r="C322" s="60" t="e">
        <f>#REF!</f>
        <v>#REF!</v>
      </c>
      <c r="D322" s="61" t="e">
        <f>IF(C322&gt;0,Pricing!E322*$E$5,0)</f>
        <v>#REF!</v>
      </c>
      <c r="E322" s="61" t="e">
        <f t="shared" si="32"/>
        <v>#REF!</v>
      </c>
      <c r="F322" s="60" t="e">
        <f>#REF!</f>
        <v>#REF!</v>
      </c>
      <c r="G322" s="61" t="e">
        <f>IF(F322&gt;0,Pricing!E322*$H$5,0)</f>
        <v>#REF!</v>
      </c>
      <c r="H322" s="61" t="e">
        <f t="shared" si="33"/>
        <v>#REF!</v>
      </c>
      <c r="I322" s="62" t="e">
        <f>#REF!</f>
        <v>#REF!</v>
      </c>
      <c r="J322" s="61" t="e">
        <f>IF(I322&gt;0,Pricing!E322*$K$5,0)</f>
        <v>#REF!</v>
      </c>
      <c r="K322" s="63" t="e">
        <f t="shared" si="34"/>
        <v>#REF!</v>
      </c>
      <c r="L322" s="64" t="e">
        <f>#REF!</f>
        <v>#REF!</v>
      </c>
      <c r="M322" s="61" t="e">
        <f>IF(L322&lt;0,Pricing!E322*$N$5,0)</f>
        <v>#REF!</v>
      </c>
      <c r="N322" s="61" t="e">
        <f t="shared" si="35"/>
        <v>#REF!</v>
      </c>
      <c r="O322" s="60" t="e">
        <f>#REF!</f>
        <v>#REF!</v>
      </c>
      <c r="P322" s="61" t="e">
        <f>IF(O322&lt;0,Pricing!E322*$Q$5,0)</f>
        <v>#REF!</v>
      </c>
      <c r="Q322" s="61" t="e">
        <f t="shared" si="36"/>
        <v>#REF!</v>
      </c>
      <c r="R322" s="60" t="e">
        <f>#REF!</f>
        <v>#REF!</v>
      </c>
      <c r="S322" s="61" t="e">
        <f>IF(R322&lt;0,Pricing!E322*$T$5,0)</f>
        <v>#REF!</v>
      </c>
      <c r="T322" s="61" t="e">
        <f t="shared" si="37"/>
        <v>#REF!</v>
      </c>
    </row>
    <row r="323" spans="1:20" x14ac:dyDescent="0.25">
      <c r="A323" s="58">
        <f t="shared" si="38"/>
        <v>44544.1666666659</v>
      </c>
      <c r="B323" s="59">
        <f t="shared" si="39"/>
        <v>44544.208333332565</v>
      </c>
      <c r="C323" s="60" t="e">
        <f>#REF!</f>
        <v>#REF!</v>
      </c>
      <c r="D323" s="61" t="e">
        <f>IF(C323&gt;0,Pricing!E323*$E$5,0)</f>
        <v>#REF!</v>
      </c>
      <c r="E323" s="61" t="e">
        <f t="shared" si="32"/>
        <v>#REF!</v>
      </c>
      <c r="F323" s="60" t="e">
        <f>#REF!</f>
        <v>#REF!</v>
      </c>
      <c r="G323" s="61" t="e">
        <f>IF(F323&gt;0,Pricing!E323*$H$5,0)</f>
        <v>#REF!</v>
      </c>
      <c r="H323" s="61" t="e">
        <f t="shared" si="33"/>
        <v>#REF!</v>
      </c>
      <c r="I323" s="62" t="e">
        <f>#REF!</f>
        <v>#REF!</v>
      </c>
      <c r="J323" s="61" t="e">
        <f>IF(I323&gt;0,Pricing!E323*$K$5,0)</f>
        <v>#REF!</v>
      </c>
      <c r="K323" s="63" t="e">
        <f t="shared" si="34"/>
        <v>#REF!</v>
      </c>
      <c r="L323" s="64" t="e">
        <f>#REF!</f>
        <v>#REF!</v>
      </c>
      <c r="M323" s="61" t="e">
        <f>IF(L323&lt;0,Pricing!E323*$N$5,0)</f>
        <v>#REF!</v>
      </c>
      <c r="N323" s="61" t="e">
        <f t="shared" si="35"/>
        <v>#REF!</v>
      </c>
      <c r="O323" s="60" t="e">
        <f>#REF!</f>
        <v>#REF!</v>
      </c>
      <c r="P323" s="61" t="e">
        <f>IF(O323&lt;0,Pricing!E323*$Q$5,0)</f>
        <v>#REF!</v>
      </c>
      <c r="Q323" s="61" t="e">
        <f t="shared" si="36"/>
        <v>#REF!</v>
      </c>
      <c r="R323" s="60" t="e">
        <f>#REF!</f>
        <v>#REF!</v>
      </c>
      <c r="S323" s="61" t="e">
        <f>IF(R323&lt;0,Pricing!E323*$T$5,0)</f>
        <v>#REF!</v>
      </c>
      <c r="T323" s="61" t="e">
        <f t="shared" si="37"/>
        <v>#REF!</v>
      </c>
    </row>
    <row r="324" spans="1:20" x14ac:dyDescent="0.25">
      <c r="A324" s="58">
        <f t="shared" si="38"/>
        <v>44544.208333332565</v>
      </c>
      <c r="B324" s="59">
        <f t="shared" si="39"/>
        <v>44544.249999999229</v>
      </c>
      <c r="C324" s="60" t="e">
        <f>#REF!</f>
        <v>#REF!</v>
      </c>
      <c r="D324" s="61" t="e">
        <f>IF(C324&gt;0,Pricing!E324*$E$5,0)</f>
        <v>#REF!</v>
      </c>
      <c r="E324" s="61" t="e">
        <f t="shared" si="32"/>
        <v>#REF!</v>
      </c>
      <c r="F324" s="60" t="e">
        <f>#REF!</f>
        <v>#REF!</v>
      </c>
      <c r="G324" s="61" t="e">
        <f>IF(F324&gt;0,Pricing!E324*$H$5,0)</f>
        <v>#REF!</v>
      </c>
      <c r="H324" s="61" t="e">
        <f t="shared" si="33"/>
        <v>#REF!</v>
      </c>
      <c r="I324" s="62" t="e">
        <f>#REF!</f>
        <v>#REF!</v>
      </c>
      <c r="J324" s="61" t="e">
        <f>IF(I324&gt;0,Pricing!E324*$K$5,0)</f>
        <v>#REF!</v>
      </c>
      <c r="K324" s="63" t="e">
        <f t="shared" si="34"/>
        <v>#REF!</v>
      </c>
      <c r="L324" s="64" t="e">
        <f>#REF!</f>
        <v>#REF!</v>
      </c>
      <c r="M324" s="61" t="e">
        <f>IF(L324&lt;0,Pricing!E324*$N$5,0)</f>
        <v>#REF!</v>
      </c>
      <c r="N324" s="61" t="e">
        <f t="shared" si="35"/>
        <v>#REF!</v>
      </c>
      <c r="O324" s="60" t="e">
        <f>#REF!</f>
        <v>#REF!</v>
      </c>
      <c r="P324" s="61" t="e">
        <f>IF(O324&lt;0,Pricing!E324*$Q$5,0)</f>
        <v>#REF!</v>
      </c>
      <c r="Q324" s="61" t="e">
        <f t="shared" si="36"/>
        <v>#REF!</v>
      </c>
      <c r="R324" s="60" t="e">
        <f>#REF!</f>
        <v>#REF!</v>
      </c>
      <c r="S324" s="61" t="e">
        <f>IF(R324&lt;0,Pricing!E324*$T$5,0)</f>
        <v>#REF!</v>
      </c>
      <c r="T324" s="61" t="e">
        <f t="shared" si="37"/>
        <v>#REF!</v>
      </c>
    </row>
    <row r="325" spans="1:20" x14ac:dyDescent="0.25">
      <c r="A325" s="58">
        <f t="shared" si="38"/>
        <v>44544.249999999229</v>
      </c>
      <c r="B325" s="59">
        <f t="shared" si="39"/>
        <v>44544.291666665893</v>
      </c>
      <c r="C325" s="60" t="e">
        <f>#REF!</f>
        <v>#REF!</v>
      </c>
      <c r="D325" s="61" t="e">
        <f>IF(C325&gt;0,Pricing!E325*$E$5,0)</f>
        <v>#REF!</v>
      </c>
      <c r="E325" s="61" t="e">
        <f t="shared" si="32"/>
        <v>#REF!</v>
      </c>
      <c r="F325" s="60" t="e">
        <f>#REF!</f>
        <v>#REF!</v>
      </c>
      <c r="G325" s="61" t="e">
        <f>IF(F325&gt;0,Pricing!E325*$H$5,0)</f>
        <v>#REF!</v>
      </c>
      <c r="H325" s="61" t="e">
        <f t="shared" si="33"/>
        <v>#REF!</v>
      </c>
      <c r="I325" s="62" t="e">
        <f>#REF!</f>
        <v>#REF!</v>
      </c>
      <c r="J325" s="61" t="e">
        <f>IF(I325&gt;0,Pricing!E325*$K$5,0)</f>
        <v>#REF!</v>
      </c>
      <c r="K325" s="63" t="e">
        <f t="shared" si="34"/>
        <v>#REF!</v>
      </c>
      <c r="L325" s="64" t="e">
        <f>#REF!</f>
        <v>#REF!</v>
      </c>
      <c r="M325" s="61" t="e">
        <f>IF(L325&lt;0,Pricing!E325*$N$5,0)</f>
        <v>#REF!</v>
      </c>
      <c r="N325" s="61" t="e">
        <f t="shared" si="35"/>
        <v>#REF!</v>
      </c>
      <c r="O325" s="60" t="e">
        <f>#REF!</f>
        <v>#REF!</v>
      </c>
      <c r="P325" s="61" t="e">
        <f>IF(O325&lt;0,Pricing!E325*$Q$5,0)</f>
        <v>#REF!</v>
      </c>
      <c r="Q325" s="61" t="e">
        <f t="shared" si="36"/>
        <v>#REF!</v>
      </c>
      <c r="R325" s="60" t="e">
        <f>#REF!</f>
        <v>#REF!</v>
      </c>
      <c r="S325" s="61" t="e">
        <f>IF(R325&lt;0,Pricing!E325*$T$5,0)</f>
        <v>#REF!</v>
      </c>
      <c r="T325" s="61" t="e">
        <f t="shared" si="37"/>
        <v>#REF!</v>
      </c>
    </row>
    <row r="326" spans="1:20" x14ac:dyDescent="0.25">
      <c r="A326" s="58">
        <f t="shared" si="38"/>
        <v>44544.291666665893</v>
      </c>
      <c r="B326" s="59">
        <f t="shared" si="39"/>
        <v>44544.333333332557</v>
      </c>
      <c r="C326" s="60" t="e">
        <f>#REF!</f>
        <v>#REF!</v>
      </c>
      <c r="D326" s="61" t="e">
        <f>IF(C326&gt;0,Pricing!E326*$E$5,0)</f>
        <v>#REF!</v>
      </c>
      <c r="E326" s="61" t="e">
        <f t="shared" si="32"/>
        <v>#REF!</v>
      </c>
      <c r="F326" s="60" t="e">
        <f>#REF!</f>
        <v>#REF!</v>
      </c>
      <c r="G326" s="61" t="e">
        <f>IF(F326&gt;0,Pricing!E326*$H$5,0)</f>
        <v>#REF!</v>
      </c>
      <c r="H326" s="61" t="e">
        <f t="shared" si="33"/>
        <v>#REF!</v>
      </c>
      <c r="I326" s="62" t="e">
        <f>#REF!</f>
        <v>#REF!</v>
      </c>
      <c r="J326" s="61" t="e">
        <f>IF(I326&gt;0,Pricing!E326*$K$5,0)</f>
        <v>#REF!</v>
      </c>
      <c r="K326" s="63" t="e">
        <f t="shared" si="34"/>
        <v>#REF!</v>
      </c>
      <c r="L326" s="64" t="e">
        <f>#REF!</f>
        <v>#REF!</v>
      </c>
      <c r="M326" s="61" t="e">
        <f>IF(L326&lt;0,Pricing!E326*$N$5,0)</f>
        <v>#REF!</v>
      </c>
      <c r="N326" s="61" t="e">
        <f t="shared" si="35"/>
        <v>#REF!</v>
      </c>
      <c r="O326" s="60" t="e">
        <f>#REF!</f>
        <v>#REF!</v>
      </c>
      <c r="P326" s="61" t="e">
        <f>IF(O326&lt;0,Pricing!E326*$Q$5,0)</f>
        <v>#REF!</v>
      </c>
      <c r="Q326" s="61" t="e">
        <f t="shared" si="36"/>
        <v>#REF!</v>
      </c>
      <c r="R326" s="60" t="e">
        <f>#REF!</f>
        <v>#REF!</v>
      </c>
      <c r="S326" s="61" t="e">
        <f>IF(R326&lt;0,Pricing!E326*$T$5,0)</f>
        <v>#REF!</v>
      </c>
      <c r="T326" s="61" t="e">
        <f t="shared" si="37"/>
        <v>#REF!</v>
      </c>
    </row>
    <row r="327" spans="1:20" x14ac:dyDescent="0.25">
      <c r="A327" s="58">
        <f t="shared" si="38"/>
        <v>44544.333333332557</v>
      </c>
      <c r="B327" s="59">
        <f t="shared" si="39"/>
        <v>44544.374999999221</v>
      </c>
      <c r="C327" s="60" t="e">
        <f>#REF!</f>
        <v>#REF!</v>
      </c>
      <c r="D327" s="61" t="e">
        <f>IF(C327&gt;0,Pricing!E327*$E$5,0)</f>
        <v>#REF!</v>
      </c>
      <c r="E327" s="61" t="e">
        <f t="shared" si="32"/>
        <v>#REF!</v>
      </c>
      <c r="F327" s="60" t="e">
        <f>#REF!</f>
        <v>#REF!</v>
      </c>
      <c r="G327" s="61" t="e">
        <f>IF(F327&gt;0,Pricing!E327*$H$5,0)</f>
        <v>#REF!</v>
      </c>
      <c r="H327" s="61" t="e">
        <f t="shared" si="33"/>
        <v>#REF!</v>
      </c>
      <c r="I327" s="62" t="e">
        <f>#REF!</f>
        <v>#REF!</v>
      </c>
      <c r="J327" s="61" t="e">
        <f>IF(I327&gt;0,Pricing!E327*$K$5,0)</f>
        <v>#REF!</v>
      </c>
      <c r="K327" s="63" t="e">
        <f t="shared" si="34"/>
        <v>#REF!</v>
      </c>
      <c r="L327" s="64" t="e">
        <f>#REF!</f>
        <v>#REF!</v>
      </c>
      <c r="M327" s="61" t="e">
        <f>IF(L327&lt;0,Pricing!E327*$N$5,0)</f>
        <v>#REF!</v>
      </c>
      <c r="N327" s="61" t="e">
        <f t="shared" si="35"/>
        <v>#REF!</v>
      </c>
      <c r="O327" s="60" t="e">
        <f>#REF!</f>
        <v>#REF!</v>
      </c>
      <c r="P327" s="61" t="e">
        <f>IF(O327&lt;0,Pricing!E327*$Q$5,0)</f>
        <v>#REF!</v>
      </c>
      <c r="Q327" s="61" t="e">
        <f t="shared" si="36"/>
        <v>#REF!</v>
      </c>
      <c r="R327" s="60" t="e">
        <f>#REF!</f>
        <v>#REF!</v>
      </c>
      <c r="S327" s="61" t="e">
        <f>IF(R327&lt;0,Pricing!E327*$T$5,0)</f>
        <v>#REF!</v>
      </c>
      <c r="T327" s="61" t="e">
        <f t="shared" si="37"/>
        <v>#REF!</v>
      </c>
    </row>
    <row r="328" spans="1:20" x14ac:dyDescent="0.25">
      <c r="A328" s="58">
        <f t="shared" si="38"/>
        <v>44544.374999999221</v>
      </c>
      <c r="B328" s="59">
        <f t="shared" si="39"/>
        <v>44544.416666665886</v>
      </c>
      <c r="C328" s="60" t="e">
        <f>#REF!</f>
        <v>#REF!</v>
      </c>
      <c r="D328" s="61" t="e">
        <f>IF(C328&gt;0,Pricing!E328*$E$5,0)</f>
        <v>#REF!</v>
      </c>
      <c r="E328" s="61" t="e">
        <f t="shared" ref="E328:E391" si="40">C328*D328</f>
        <v>#REF!</v>
      </c>
      <c r="F328" s="60" t="e">
        <f>#REF!</f>
        <v>#REF!</v>
      </c>
      <c r="G328" s="61" t="e">
        <f>IF(F328&gt;0,Pricing!E328*$H$5,0)</f>
        <v>#REF!</v>
      </c>
      <c r="H328" s="61" t="e">
        <f t="shared" ref="H328:H391" si="41">F328*G328</f>
        <v>#REF!</v>
      </c>
      <c r="I328" s="62" t="e">
        <f>#REF!</f>
        <v>#REF!</v>
      </c>
      <c r="J328" s="61" t="e">
        <f>IF(I328&gt;0,Pricing!E328*$K$5,0)</f>
        <v>#REF!</v>
      </c>
      <c r="K328" s="63" t="e">
        <f t="shared" ref="K328:K391" si="42">I328*J328</f>
        <v>#REF!</v>
      </c>
      <c r="L328" s="64" t="e">
        <f>#REF!</f>
        <v>#REF!</v>
      </c>
      <c r="M328" s="61" t="e">
        <f>IF(L328&lt;0,Pricing!E328*$N$5,0)</f>
        <v>#REF!</v>
      </c>
      <c r="N328" s="61" t="e">
        <f t="shared" ref="N328:N391" si="43">L328*M328</f>
        <v>#REF!</v>
      </c>
      <c r="O328" s="60" t="e">
        <f>#REF!</f>
        <v>#REF!</v>
      </c>
      <c r="P328" s="61" t="e">
        <f>IF(O328&lt;0,Pricing!E328*$Q$5,0)</f>
        <v>#REF!</v>
      </c>
      <c r="Q328" s="61" t="e">
        <f t="shared" ref="Q328:Q391" si="44">O328*P328</f>
        <v>#REF!</v>
      </c>
      <c r="R328" s="60" t="e">
        <f>#REF!</f>
        <v>#REF!</v>
      </c>
      <c r="S328" s="61" t="e">
        <f>IF(R328&lt;0,Pricing!E328*$T$5,0)</f>
        <v>#REF!</v>
      </c>
      <c r="T328" s="61" t="e">
        <f t="shared" ref="T328:T391" si="45">R328*S328</f>
        <v>#REF!</v>
      </c>
    </row>
    <row r="329" spans="1:20" x14ac:dyDescent="0.25">
      <c r="A329" s="58">
        <f t="shared" ref="A329:A392" si="46">$A328+1/24</f>
        <v>44544.416666665886</v>
      </c>
      <c r="B329" s="59">
        <f t="shared" ref="B329:B392" si="47">B328+1/24</f>
        <v>44544.45833333255</v>
      </c>
      <c r="C329" s="60" t="e">
        <f>#REF!</f>
        <v>#REF!</v>
      </c>
      <c r="D329" s="61" t="e">
        <f>IF(C329&gt;0,Pricing!E329*$E$5,0)</f>
        <v>#REF!</v>
      </c>
      <c r="E329" s="61" t="e">
        <f t="shared" si="40"/>
        <v>#REF!</v>
      </c>
      <c r="F329" s="60" t="e">
        <f>#REF!</f>
        <v>#REF!</v>
      </c>
      <c r="G329" s="61" t="e">
        <f>IF(F329&gt;0,Pricing!E329*$H$5,0)</f>
        <v>#REF!</v>
      </c>
      <c r="H329" s="61" t="e">
        <f t="shared" si="41"/>
        <v>#REF!</v>
      </c>
      <c r="I329" s="62" t="e">
        <f>#REF!</f>
        <v>#REF!</v>
      </c>
      <c r="J329" s="61" t="e">
        <f>IF(I329&gt;0,Pricing!E329*$K$5,0)</f>
        <v>#REF!</v>
      </c>
      <c r="K329" s="63" t="e">
        <f t="shared" si="42"/>
        <v>#REF!</v>
      </c>
      <c r="L329" s="64" t="e">
        <f>#REF!</f>
        <v>#REF!</v>
      </c>
      <c r="M329" s="61" t="e">
        <f>IF(L329&lt;0,Pricing!E329*$N$5,0)</f>
        <v>#REF!</v>
      </c>
      <c r="N329" s="61" t="e">
        <f t="shared" si="43"/>
        <v>#REF!</v>
      </c>
      <c r="O329" s="60" t="e">
        <f>#REF!</f>
        <v>#REF!</v>
      </c>
      <c r="P329" s="61" t="e">
        <f>IF(O329&lt;0,Pricing!E329*$Q$5,0)</f>
        <v>#REF!</v>
      </c>
      <c r="Q329" s="61" t="e">
        <f t="shared" si="44"/>
        <v>#REF!</v>
      </c>
      <c r="R329" s="60" t="e">
        <f>#REF!</f>
        <v>#REF!</v>
      </c>
      <c r="S329" s="61" t="e">
        <f>IF(R329&lt;0,Pricing!E329*$T$5,0)</f>
        <v>#REF!</v>
      </c>
      <c r="T329" s="61" t="e">
        <f t="shared" si="45"/>
        <v>#REF!</v>
      </c>
    </row>
    <row r="330" spans="1:20" x14ac:dyDescent="0.25">
      <c r="A330" s="58">
        <f t="shared" si="46"/>
        <v>44544.45833333255</v>
      </c>
      <c r="B330" s="59">
        <f t="shared" si="47"/>
        <v>44544.499999999214</v>
      </c>
      <c r="C330" s="60" t="e">
        <f>#REF!</f>
        <v>#REF!</v>
      </c>
      <c r="D330" s="61" t="e">
        <f>IF(C330&gt;0,Pricing!E330*$E$5,0)</f>
        <v>#REF!</v>
      </c>
      <c r="E330" s="61" t="e">
        <f t="shared" si="40"/>
        <v>#REF!</v>
      </c>
      <c r="F330" s="60" t="e">
        <f>#REF!</f>
        <v>#REF!</v>
      </c>
      <c r="G330" s="61" t="e">
        <f>IF(F330&gt;0,Pricing!E330*$H$5,0)</f>
        <v>#REF!</v>
      </c>
      <c r="H330" s="61" t="e">
        <f t="shared" si="41"/>
        <v>#REF!</v>
      </c>
      <c r="I330" s="62" t="e">
        <f>#REF!</f>
        <v>#REF!</v>
      </c>
      <c r="J330" s="61" t="e">
        <f>IF(I330&gt;0,Pricing!E330*$K$5,0)</f>
        <v>#REF!</v>
      </c>
      <c r="K330" s="63" t="e">
        <f t="shared" si="42"/>
        <v>#REF!</v>
      </c>
      <c r="L330" s="64" t="e">
        <f>#REF!</f>
        <v>#REF!</v>
      </c>
      <c r="M330" s="61" t="e">
        <f>IF(L330&lt;0,Pricing!E330*$N$5,0)</f>
        <v>#REF!</v>
      </c>
      <c r="N330" s="61" t="e">
        <f t="shared" si="43"/>
        <v>#REF!</v>
      </c>
      <c r="O330" s="60" t="e">
        <f>#REF!</f>
        <v>#REF!</v>
      </c>
      <c r="P330" s="61" t="e">
        <f>IF(O330&lt;0,Pricing!E330*$Q$5,0)</f>
        <v>#REF!</v>
      </c>
      <c r="Q330" s="61" t="e">
        <f t="shared" si="44"/>
        <v>#REF!</v>
      </c>
      <c r="R330" s="60" t="e">
        <f>#REF!</f>
        <v>#REF!</v>
      </c>
      <c r="S330" s="61" t="e">
        <f>IF(R330&lt;0,Pricing!E330*$T$5,0)</f>
        <v>#REF!</v>
      </c>
      <c r="T330" s="61" t="e">
        <f t="shared" si="45"/>
        <v>#REF!</v>
      </c>
    </row>
    <row r="331" spans="1:20" x14ac:dyDescent="0.25">
      <c r="A331" s="58">
        <f t="shared" si="46"/>
        <v>44544.499999999214</v>
      </c>
      <c r="B331" s="59">
        <f t="shared" si="47"/>
        <v>44544.541666665878</v>
      </c>
      <c r="C331" s="60" t="e">
        <f>#REF!</f>
        <v>#REF!</v>
      </c>
      <c r="D331" s="61" t="e">
        <f>IF(C331&gt;0,Pricing!E331*$E$5,0)</f>
        <v>#REF!</v>
      </c>
      <c r="E331" s="61" t="e">
        <f t="shared" si="40"/>
        <v>#REF!</v>
      </c>
      <c r="F331" s="60" t="e">
        <f>#REF!</f>
        <v>#REF!</v>
      </c>
      <c r="G331" s="61" t="e">
        <f>IF(F331&gt;0,Pricing!E331*$H$5,0)</f>
        <v>#REF!</v>
      </c>
      <c r="H331" s="61" t="e">
        <f t="shared" si="41"/>
        <v>#REF!</v>
      </c>
      <c r="I331" s="62" t="e">
        <f>#REF!</f>
        <v>#REF!</v>
      </c>
      <c r="J331" s="61" t="e">
        <f>IF(I331&gt;0,Pricing!E331*$K$5,0)</f>
        <v>#REF!</v>
      </c>
      <c r="K331" s="63" t="e">
        <f t="shared" si="42"/>
        <v>#REF!</v>
      </c>
      <c r="L331" s="64" t="e">
        <f>#REF!</f>
        <v>#REF!</v>
      </c>
      <c r="M331" s="61" t="e">
        <f>IF(L331&lt;0,Pricing!E331*$N$5,0)</f>
        <v>#REF!</v>
      </c>
      <c r="N331" s="61" t="e">
        <f t="shared" si="43"/>
        <v>#REF!</v>
      </c>
      <c r="O331" s="60" t="e">
        <f>#REF!</f>
        <v>#REF!</v>
      </c>
      <c r="P331" s="61" t="e">
        <f>IF(O331&lt;0,Pricing!E331*$Q$5,0)</f>
        <v>#REF!</v>
      </c>
      <c r="Q331" s="61" t="e">
        <f t="shared" si="44"/>
        <v>#REF!</v>
      </c>
      <c r="R331" s="60" t="e">
        <f>#REF!</f>
        <v>#REF!</v>
      </c>
      <c r="S331" s="61" t="e">
        <f>IF(R331&lt;0,Pricing!E331*$T$5,0)</f>
        <v>#REF!</v>
      </c>
      <c r="T331" s="61" t="e">
        <f t="shared" si="45"/>
        <v>#REF!</v>
      </c>
    </row>
    <row r="332" spans="1:20" x14ac:dyDescent="0.25">
      <c r="A332" s="58">
        <f t="shared" si="46"/>
        <v>44544.541666665878</v>
      </c>
      <c r="B332" s="59">
        <f t="shared" si="47"/>
        <v>44544.583333332543</v>
      </c>
      <c r="C332" s="60" t="e">
        <f>#REF!</f>
        <v>#REF!</v>
      </c>
      <c r="D332" s="61" t="e">
        <f>IF(C332&gt;0,Pricing!E332*$E$5,0)</f>
        <v>#REF!</v>
      </c>
      <c r="E332" s="61" t="e">
        <f t="shared" si="40"/>
        <v>#REF!</v>
      </c>
      <c r="F332" s="60" t="e">
        <f>#REF!</f>
        <v>#REF!</v>
      </c>
      <c r="G332" s="61" t="e">
        <f>IF(F332&gt;0,Pricing!E332*$H$5,0)</f>
        <v>#REF!</v>
      </c>
      <c r="H332" s="61" t="e">
        <f t="shared" si="41"/>
        <v>#REF!</v>
      </c>
      <c r="I332" s="62" t="e">
        <f>#REF!</f>
        <v>#REF!</v>
      </c>
      <c r="J332" s="61" t="e">
        <f>IF(I332&gt;0,Pricing!E332*$K$5,0)</f>
        <v>#REF!</v>
      </c>
      <c r="K332" s="63" t="e">
        <f t="shared" si="42"/>
        <v>#REF!</v>
      </c>
      <c r="L332" s="64" t="e">
        <f>#REF!</f>
        <v>#REF!</v>
      </c>
      <c r="M332" s="61" t="e">
        <f>IF(L332&lt;0,Pricing!E332*$N$5,0)</f>
        <v>#REF!</v>
      </c>
      <c r="N332" s="61" t="e">
        <f t="shared" si="43"/>
        <v>#REF!</v>
      </c>
      <c r="O332" s="60" t="e">
        <f>#REF!</f>
        <v>#REF!</v>
      </c>
      <c r="P332" s="61" t="e">
        <f>IF(O332&lt;0,Pricing!E332*$Q$5,0)</f>
        <v>#REF!</v>
      </c>
      <c r="Q332" s="61" t="e">
        <f t="shared" si="44"/>
        <v>#REF!</v>
      </c>
      <c r="R332" s="60" t="e">
        <f>#REF!</f>
        <v>#REF!</v>
      </c>
      <c r="S332" s="61" t="e">
        <f>IF(R332&lt;0,Pricing!E332*$T$5,0)</f>
        <v>#REF!</v>
      </c>
      <c r="T332" s="61" t="e">
        <f t="shared" si="45"/>
        <v>#REF!</v>
      </c>
    </row>
    <row r="333" spans="1:20" x14ac:dyDescent="0.25">
      <c r="A333" s="58">
        <f t="shared" si="46"/>
        <v>44544.583333332543</v>
      </c>
      <c r="B333" s="59">
        <f t="shared" si="47"/>
        <v>44544.624999999207</v>
      </c>
      <c r="C333" s="60" t="e">
        <f>#REF!</f>
        <v>#REF!</v>
      </c>
      <c r="D333" s="61" t="e">
        <f>IF(C333&gt;0,Pricing!E333*$E$5,0)</f>
        <v>#REF!</v>
      </c>
      <c r="E333" s="61" t="e">
        <f t="shared" si="40"/>
        <v>#REF!</v>
      </c>
      <c r="F333" s="60" t="e">
        <f>#REF!</f>
        <v>#REF!</v>
      </c>
      <c r="G333" s="61" t="e">
        <f>IF(F333&gt;0,Pricing!E333*$H$5,0)</f>
        <v>#REF!</v>
      </c>
      <c r="H333" s="61" t="e">
        <f t="shared" si="41"/>
        <v>#REF!</v>
      </c>
      <c r="I333" s="62" t="e">
        <f>#REF!</f>
        <v>#REF!</v>
      </c>
      <c r="J333" s="61" t="e">
        <f>IF(I333&gt;0,Pricing!E333*$K$5,0)</f>
        <v>#REF!</v>
      </c>
      <c r="K333" s="63" t="e">
        <f t="shared" si="42"/>
        <v>#REF!</v>
      </c>
      <c r="L333" s="64" t="e">
        <f>#REF!</f>
        <v>#REF!</v>
      </c>
      <c r="M333" s="61" t="e">
        <f>IF(L333&lt;0,Pricing!E333*$N$5,0)</f>
        <v>#REF!</v>
      </c>
      <c r="N333" s="61" t="e">
        <f t="shared" si="43"/>
        <v>#REF!</v>
      </c>
      <c r="O333" s="60" t="e">
        <f>#REF!</f>
        <v>#REF!</v>
      </c>
      <c r="P333" s="61" t="e">
        <f>IF(O333&lt;0,Pricing!E333*$Q$5,0)</f>
        <v>#REF!</v>
      </c>
      <c r="Q333" s="61" t="e">
        <f t="shared" si="44"/>
        <v>#REF!</v>
      </c>
      <c r="R333" s="60" t="e">
        <f>#REF!</f>
        <v>#REF!</v>
      </c>
      <c r="S333" s="61" t="e">
        <f>IF(R333&lt;0,Pricing!E333*$T$5,0)</f>
        <v>#REF!</v>
      </c>
      <c r="T333" s="61" t="e">
        <f t="shared" si="45"/>
        <v>#REF!</v>
      </c>
    </row>
    <row r="334" spans="1:20" x14ac:dyDescent="0.25">
      <c r="A334" s="58">
        <f t="shared" si="46"/>
        <v>44544.624999999207</v>
      </c>
      <c r="B334" s="59">
        <f t="shared" si="47"/>
        <v>44544.666666665871</v>
      </c>
      <c r="C334" s="60" t="e">
        <f>#REF!</f>
        <v>#REF!</v>
      </c>
      <c r="D334" s="61" t="e">
        <f>IF(C334&gt;0,Pricing!E334*$E$5,0)</f>
        <v>#REF!</v>
      </c>
      <c r="E334" s="61" t="e">
        <f t="shared" si="40"/>
        <v>#REF!</v>
      </c>
      <c r="F334" s="60" t="e">
        <f>#REF!</f>
        <v>#REF!</v>
      </c>
      <c r="G334" s="61" t="e">
        <f>IF(F334&gt;0,Pricing!E334*$H$5,0)</f>
        <v>#REF!</v>
      </c>
      <c r="H334" s="61" t="e">
        <f t="shared" si="41"/>
        <v>#REF!</v>
      </c>
      <c r="I334" s="62" t="e">
        <f>#REF!</f>
        <v>#REF!</v>
      </c>
      <c r="J334" s="61" t="e">
        <f>IF(I334&gt;0,Pricing!E334*$K$5,0)</f>
        <v>#REF!</v>
      </c>
      <c r="K334" s="63" t="e">
        <f t="shared" si="42"/>
        <v>#REF!</v>
      </c>
      <c r="L334" s="64" t="e">
        <f>#REF!</f>
        <v>#REF!</v>
      </c>
      <c r="M334" s="61" t="e">
        <f>IF(L334&lt;0,Pricing!E334*$N$5,0)</f>
        <v>#REF!</v>
      </c>
      <c r="N334" s="61" t="e">
        <f t="shared" si="43"/>
        <v>#REF!</v>
      </c>
      <c r="O334" s="60" t="e">
        <f>#REF!</f>
        <v>#REF!</v>
      </c>
      <c r="P334" s="61" t="e">
        <f>IF(O334&lt;0,Pricing!E334*$Q$5,0)</f>
        <v>#REF!</v>
      </c>
      <c r="Q334" s="61" t="e">
        <f t="shared" si="44"/>
        <v>#REF!</v>
      </c>
      <c r="R334" s="60" t="e">
        <f>#REF!</f>
        <v>#REF!</v>
      </c>
      <c r="S334" s="61" t="e">
        <f>IF(R334&lt;0,Pricing!E334*$T$5,0)</f>
        <v>#REF!</v>
      </c>
      <c r="T334" s="61" t="e">
        <f t="shared" si="45"/>
        <v>#REF!</v>
      </c>
    </row>
    <row r="335" spans="1:20" x14ac:dyDescent="0.25">
      <c r="A335" s="58">
        <f t="shared" si="46"/>
        <v>44544.666666665871</v>
      </c>
      <c r="B335" s="59">
        <f t="shared" si="47"/>
        <v>44544.708333332535</v>
      </c>
      <c r="C335" s="60" t="e">
        <f>#REF!</f>
        <v>#REF!</v>
      </c>
      <c r="D335" s="61" t="e">
        <f>IF(C335&gt;0,Pricing!E335*$E$5,0)</f>
        <v>#REF!</v>
      </c>
      <c r="E335" s="61" t="e">
        <f t="shared" si="40"/>
        <v>#REF!</v>
      </c>
      <c r="F335" s="60" t="e">
        <f>#REF!</f>
        <v>#REF!</v>
      </c>
      <c r="G335" s="61" t="e">
        <f>IF(F335&gt;0,Pricing!E335*$H$5,0)</f>
        <v>#REF!</v>
      </c>
      <c r="H335" s="61" t="e">
        <f t="shared" si="41"/>
        <v>#REF!</v>
      </c>
      <c r="I335" s="62" t="e">
        <f>#REF!</f>
        <v>#REF!</v>
      </c>
      <c r="J335" s="61" t="e">
        <f>IF(I335&gt;0,Pricing!E335*$K$5,0)</f>
        <v>#REF!</v>
      </c>
      <c r="K335" s="63" t="e">
        <f t="shared" si="42"/>
        <v>#REF!</v>
      </c>
      <c r="L335" s="64" t="e">
        <f>#REF!</f>
        <v>#REF!</v>
      </c>
      <c r="M335" s="61" t="e">
        <f>IF(L335&lt;0,Pricing!E335*$N$5,0)</f>
        <v>#REF!</v>
      </c>
      <c r="N335" s="61" t="e">
        <f t="shared" si="43"/>
        <v>#REF!</v>
      </c>
      <c r="O335" s="60" t="e">
        <f>#REF!</f>
        <v>#REF!</v>
      </c>
      <c r="P335" s="61" t="e">
        <f>IF(O335&lt;0,Pricing!E335*$Q$5,0)</f>
        <v>#REF!</v>
      </c>
      <c r="Q335" s="61" t="e">
        <f t="shared" si="44"/>
        <v>#REF!</v>
      </c>
      <c r="R335" s="60" t="e">
        <f>#REF!</f>
        <v>#REF!</v>
      </c>
      <c r="S335" s="61" t="e">
        <f>IF(R335&lt;0,Pricing!E335*$T$5,0)</f>
        <v>#REF!</v>
      </c>
      <c r="T335" s="61" t="e">
        <f t="shared" si="45"/>
        <v>#REF!</v>
      </c>
    </row>
    <row r="336" spans="1:20" x14ac:dyDescent="0.25">
      <c r="A336" s="58">
        <f t="shared" si="46"/>
        <v>44544.708333332535</v>
      </c>
      <c r="B336" s="59">
        <f t="shared" si="47"/>
        <v>44544.7499999992</v>
      </c>
      <c r="C336" s="60" t="e">
        <f>#REF!</f>
        <v>#REF!</v>
      </c>
      <c r="D336" s="61" t="e">
        <f>IF(C336&gt;0,Pricing!E336*$E$5,0)</f>
        <v>#REF!</v>
      </c>
      <c r="E336" s="61" t="e">
        <f t="shared" si="40"/>
        <v>#REF!</v>
      </c>
      <c r="F336" s="60" t="e">
        <f>#REF!</f>
        <v>#REF!</v>
      </c>
      <c r="G336" s="61" t="e">
        <f>IF(F336&gt;0,Pricing!E336*$H$5,0)</f>
        <v>#REF!</v>
      </c>
      <c r="H336" s="61" t="e">
        <f t="shared" si="41"/>
        <v>#REF!</v>
      </c>
      <c r="I336" s="62" t="e">
        <f>#REF!</f>
        <v>#REF!</v>
      </c>
      <c r="J336" s="61" t="e">
        <f>IF(I336&gt;0,Pricing!E336*$K$5,0)</f>
        <v>#REF!</v>
      </c>
      <c r="K336" s="63" t="e">
        <f t="shared" si="42"/>
        <v>#REF!</v>
      </c>
      <c r="L336" s="64" t="e">
        <f>#REF!</f>
        <v>#REF!</v>
      </c>
      <c r="M336" s="61" t="e">
        <f>IF(L336&lt;0,Pricing!E336*$N$5,0)</f>
        <v>#REF!</v>
      </c>
      <c r="N336" s="61" t="e">
        <f t="shared" si="43"/>
        <v>#REF!</v>
      </c>
      <c r="O336" s="60" t="e">
        <f>#REF!</f>
        <v>#REF!</v>
      </c>
      <c r="P336" s="61" t="e">
        <f>IF(O336&lt;0,Pricing!E336*$Q$5,0)</f>
        <v>#REF!</v>
      </c>
      <c r="Q336" s="61" t="e">
        <f t="shared" si="44"/>
        <v>#REF!</v>
      </c>
      <c r="R336" s="60" t="e">
        <f>#REF!</f>
        <v>#REF!</v>
      </c>
      <c r="S336" s="61" t="e">
        <f>IF(R336&lt;0,Pricing!E336*$T$5,0)</f>
        <v>#REF!</v>
      </c>
      <c r="T336" s="61" t="e">
        <f t="shared" si="45"/>
        <v>#REF!</v>
      </c>
    </row>
    <row r="337" spans="1:20" x14ac:dyDescent="0.25">
      <c r="A337" s="58">
        <f t="shared" si="46"/>
        <v>44544.7499999992</v>
      </c>
      <c r="B337" s="59">
        <f t="shared" si="47"/>
        <v>44544.791666665864</v>
      </c>
      <c r="C337" s="60" t="e">
        <f>#REF!</f>
        <v>#REF!</v>
      </c>
      <c r="D337" s="61" t="e">
        <f>IF(C337&gt;0,Pricing!E337*$E$5,0)</f>
        <v>#REF!</v>
      </c>
      <c r="E337" s="61" t="e">
        <f t="shared" si="40"/>
        <v>#REF!</v>
      </c>
      <c r="F337" s="60" t="e">
        <f>#REF!</f>
        <v>#REF!</v>
      </c>
      <c r="G337" s="61" t="e">
        <f>IF(F337&gt;0,Pricing!E337*$H$5,0)</f>
        <v>#REF!</v>
      </c>
      <c r="H337" s="61" t="e">
        <f t="shared" si="41"/>
        <v>#REF!</v>
      </c>
      <c r="I337" s="62" t="e">
        <f>#REF!</f>
        <v>#REF!</v>
      </c>
      <c r="J337" s="61" t="e">
        <f>IF(I337&gt;0,Pricing!E337*$K$5,0)</f>
        <v>#REF!</v>
      </c>
      <c r="K337" s="63" t="e">
        <f t="shared" si="42"/>
        <v>#REF!</v>
      </c>
      <c r="L337" s="64" t="e">
        <f>#REF!</f>
        <v>#REF!</v>
      </c>
      <c r="M337" s="61" t="e">
        <f>IF(L337&lt;0,Pricing!E337*$N$5,0)</f>
        <v>#REF!</v>
      </c>
      <c r="N337" s="61" t="e">
        <f t="shared" si="43"/>
        <v>#REF!</v>
      </c>
      <c r="O337" s="60" t="e">
        <f>#REF!</f>
        <v>#REF!</v>
      </c>
      <c r="P337" s="61" t="e">
        <f>IF(O337&lt;0,Pricing!E337*$Q$5,0)</f>
        <v>#REF!</v>
      </c>
      <c r="Q337" s="61" t="e">
        <f t="shared" si="44"/>
        <v>#REF!</v>
      </c>
      <c r="R337" s="60" t="e">
        <f>#REF!</f>
        <v>#REF!</v>
      </c>
      <c r="S337" s="61" t="e">
        <f>IF(R337&lt;0,Pricing!E337*$T$5,0)</f>
        <v>#REF!</v>
      </c>
      <c r="T337" s="61" t="e">
        <f t="shared" si="45"/>
        <v>#REF!</v>
      </c>
    </row>
    <row r="338" spans="1:20" x14ac:dyDescent="0.25">
      <c r="A338" s="58">
        <f t="shared" si="46"/>
        <v>44544.791666665864</v>
      </c>
      <c r="B338" s="59">
        <f t="shared" si="47"/>
        <v>44544.833333332528</v>
      </c>
      <c r="C338" s="60" t="e">
        <f>#REF!</f>
        <v>#REF!</v>
      </c>
      <c r="D338" s="61" t="e">
        <f>IF(C338&gt;0,Pricing!E338*$E$5,0)</f>
        <v>#REF!</v>
      </c>
      <c r="E338" s="61" t="e">
        <f t="shared" si="40"/>
        <v>#REF!</v>
      </c>
      <c r="F338" s="60" t="e">
        <f>#REF!</f>
        <v>#REF!</v>
      </c>
      <c r="G338" s="61" t="e">
        <f>IF(F338&gt;0,Pricing!E338*$H$5,0)</f>
        <v>#REF!</v>
      </c>
      <c r="H338" s="61" t="e">
        <f t="shared" si="41"/>
        <v>#REF!</v>
      </c>
      <c r="I338" s="62" t="e">
        <f>#REF!</f>
        <v>#REF!</v>
      </c>
      <c r="J338" s="61" t="e">
        <f>IF(I338&gt;0,Pricing!E338*$K$5,0)</f>
        <v>#REF!</v>
      </c>
      <c r="K338" s="63" t="e">
        <f t="shared" si="42"/>
        <v>#REF!</v>
      </c>
      <c r="L338" s="64" t="e">
        <f>#REF!</f>
        <v>#REF!</v>
      </c>
      <c r="M338" s="61" t="e">
        <f>IF(L338&lt;0,Pricing!E338*$N$5,0)</f>
        <v>#REF!</v>
      </c>
      <c r="N338" s="61" t="e">
        <f t="shared" si="43"/>
        <v>#REF!</v>
      </c>
      <c r="O338" s="60" t="e">
        <f>#REF!</f>
        <v>#REF!</v>
      </c>
      <c r="P338" s="61" t="e">
        <f>IF(O338&lt;0,Pricing!E338*$Q$5,0)</f>
        <v>#REF!</v>
      </c>
      <c r="Q338" s="61" t="e">
        <f t="shared" si="44"/>
        <v>#REF!</v>
      </c>
      <c r="R338" s="60" t="e">
        <f>#REF!</f>
        <v>#REF!</v>
      </c>
      <c r="S338" s="61" t="e">
        <f>IF(R338&lt;0,Pricing!E338*$T$5,0)</f>
        <v>#REF!</v>
      </c>
      <c r="T338" s="61" t="e">
        <f t="shared" si="45"/>
        <v>#REF!</v>
      </c>
    </row>
    <row r="339" spans="1:20" x14ac:dyDescent="0.25">
      <c r="A339" s="58">
        <f t="shared" si="46"/>
        <v>44544.833333332528</v>
      </c>
      <c r="B339" s="59">
        <f t="shared" si="47"/>
        <v>44544.874999999192</v>
      </c>
      <c r="C339" s="60" t="e">
        <f>#REF!</f>
        <v>#REF!</v>
      </c>
      <c r="D339" s="61" t="e">
        <f>IF(C339&gt;0,Pricing!E339*$E$5,0)</f>
        <v>#REF!</v>
      </c>
      <c r="E339" s="61" t="e">
        <f t="shared" si="40"/>
        <v>#REF!</v>
      </c>
      <c r="F339" s="60" t="e">
        <f>#REF!</f>
        <v>#REF!</v>
      </c>
      <c r="G339" s="61" t="e">
        <f>IF(F339&gt;0,Pricing!E339*$H$5,0)</f>
        <v>#REF!</v>
      </c>
      <c r="H339" s="61" t="e">
        <f t="shared" si="41"/>
        <v>#REF!</v>
      </c>
      <c r="I339" s="62" t="e">
        <f>#REF!</f>
        <v>#REF!</v>
      </c>
      <c r="J339" s="61" t="e">
        <f>IF(I339&gt;0,Pricing!E339*$K$5,0)</f>
        <v>#REF!</v>
      </c>
      <c r="K339" s="63" t="e">
        <f t="shared" si="42"/>
        <v>#REF!</v>
      </c>
      <c r="L339" s="64" t="e">
        <f>#REF!</f>
        <v>#REF!</v>
      </c>
      <c r="M339" s="61" t="e">
        <f>IF(L339&lt;0,Pricing!E339*$N$5,0)</f>
        <v>#REF!</v>
      </c>
      <c r="N339" s="61" t="e">
        <f t="shared" si="43"/>
        <v>#REF!</v>
      </c>
      <c r="O339" s="60" t="e">
        <f>#REF!</f>
        <v>#REF!</v>
      </c>
      <c r="P339" s="61" t="e">
        <f>IF(O339&lt;0,Pricing!E339*$Q$5,0)</f>
        <v>#REF!</v>
      </c>
      <c r="Q339" s="61" t="e">
        <f t="shared" si="44"/>
        <v>#REF!</v>
      </c>
      <c r="R339" s="60" t="e">
        <f>#REF!</f>
        <v>#REF!</v>
      </c>
      <c r="S339" s="61" t="e">
        <f>IF(R339&lt;0,Pricing!E339*$T$5,0)</f>
        <v>#REF!</v>
      </c>
      <c r="T339" s="61" t="e">
        <f t="shared" si="45"/>
        <v>#REF!</v>
      </c>
    </row>
    <row r="340" spans="1:20" x14ac:dyDescent="0.25">
      <c r="A340" s="58">
        <f t="shared" si="46"/>
        <v>44544.874999999192</v>
      </c>
      <c r="B340" s="59">
        <f t="shared" si="47"/>
        <v>44544.916666665857</v>
      </c>
      <c r="C340" s="60" t="e">
        <f>#REF!</f>
        <v>#REF!</v>
      </c>
      <c r="D340" s="61" t="e">
        <f>IF(C340&gt;0,Pricing!E340*$E$5,0)</f>
        <v>#REF!</v>
      </c>
      <c r="E340" s="61" t="e">
        <f t="shared" si="40"/>
        <v>#REF!</v>
      </c>
      <c r="F340" s="60" t="e">
        <f>#REF!</f>
        <v>#REF!</v>
      </c>
      <c r="G340" s="61" t="e">
        <f>IF(F340&gt;0,Pricing!E340*$H$5,0)</f>
        <v>#REF!</v>
      </c>
      <c r="H340" s="61" t="e">
        <f t="shared" si="41"/>
        <v>#REF!</v>
      </c>
      <c r="I340" s="62" t="e">
        <f>#REF!</f>
        <v>#REF!</v>
      </c>
      <c r="J340" s="61" t="e">
        <f>IF(I340&gt;0,Pricing!E340*$K$5,0)</f>
        <v>#REF!</v>
      </c>
      <c r="K340" s="63" t="e">
        <f t="shared" si="42"/>
        <v>#REF!</v>
      </c>
      <c r="L340" s="64" t="e">
        <f>#REF!</f>
        <v>#REF!</v>
      </c>
      <c r="M340" s="61" t="e">
        <f>IF(L340&lt;0,Pricing!E340*$N$5,0)</f>
        <v>#REF!</v>
      </c>
      <c r="N340" s="61" t="e">
        <f t="shared" si="43"/>
        <v>#REF!</v>
      </c>
      <c r="O340" s="60" t="e">
        <f>#REF!</f>
        <v>#REF!</v>
      </c>
      <c r="P340" s="61" t="e">
        <f>IF(O340&lt;0,Pricing!E340*$Q$5,0)</f>
        <v>#REF!</v>
      </c>
      <c r="Q340" s="61" t="e">
        <f t="shared" si="44"/>
        <v>#REF!</v>
      </c>
      <c r="R340" s="60" t="e">
        <f>#REF!</f>
        <v>#REF!</v>
      </c>
      <c r="S340" s="61" t="e">
        <f>IF(R340&lt;0,Pricing!E340*$T$5,0)</f>
        <v>#REF!</v>
      </c>
      <c r="T340" s="61" t="e">
        <f t="shared" si="45"/>
        <v>#REF!</v>
      </c>
    </row>
    <row r="341" spans="1:20" x14ac:dyDescent="0.25">
      <c r="A341" s="58">
        <f t="shared" si="46"/>
        <v>44544.916666665857</v>
      </c>
      <c r="B341" s="59">
        <f t="shared" si="47"/>
        <v>44544.958333332521</v>
      </c>
      <c r="C341" s="60" t="e">
        <f>#REF!</f>
        <v>#REF!</v>
      </c>
      <c r="D341" s="61" t="e">
        <f>IF(C341&gt;0,Pricing!E341*$E$5,0)</f>
        <v>#REF!</v>
      </c>
      <c r="E341" s="61" t="e">
        <f t="shared" si="40"/>
        <v>#REF!</v>
      </c>
      <c r="F341" s="60" t="e">
        <f>#REF!</f>
        <v>#REF!</v>
      </c>
      <c r="G341" s="61" t="e">
        <f>IF(F341&gt;0,Pricing!E341*$H$5,0)</f>
        <v>#REF!</v>
      </c>
      <c r="H341" s="61" t="e">
        <f t="shared" si="41"/>
        <v>#REF!</v>
      </c>
      <c r="I341" s="62" t="e">
        <f>#REF!</f>
        <v>#REF!</v>
      </c>
      <c r="J341" s="61" t="e">
        <f>IF(I341&gt;0,Pricing!E341*$K$5,0)</f>
        <v>#REF!</v>
      </c>
      <c r="K341" s="63" t="e">
        <f t="shared" si="42"/>
        <v>#REF!</v>
      </c>
      <c r="L341" s="64" t="e">
        <f>#REF!</f>
        <v>#REF!</v>
      </c>
      <c r="M341" s="61" t="e">
        <f>IF(L341&lt;0,Pricing!E341*$N$5,0)</f>
        <v>#REF!</v>
      </c>
      <c r="N341" s="61" t="e">
        <f t="shared" si="43"/>
        <v>#REF!</v>
      </c>
      <c r="O341" s="60" t="e">
        <f>#REF!</f>
        <v>#REF!</v>
      </c>
      <c r="P341" s="61" t="e">
        <f>IF(O341&lt;0,Pricing!E341*$Q$5,0)</f>
        <v>#REF!</v>
      </c>
      <c r="Q341" s="61" t="e">
        <f t="shared" si="44"/>
        <v>#REF!</v>
      </c>
      <c r="R341" s="60" t="e">
        <f>#REF!</f>
        <v>#REF!</v>
      </c>
      <c r="S341" s="61" t="e">
        <f>IF(R341&lt;0,Pricing!E341*$T$5,0)</f>
        <v>#REF!</v>
      </c>
      <c r="T341" s="61" t="e">
        <f t="shared" si="45"/>
        <v>#REF!</v>
      </c>
    </row>
    <row r="342" spans="1:20" x14ac:dyDescent="0.25">
      <c r="A342" s="58">
        <f t="shared" si="46"/>
        <v>44544.958333332521</v>
      </c>
      <c r="B342" s="59">
        <f t="shared" si="47"/>
        <v>44544.999999999185</v>
      </c>
      <c r="C342" s="60" t="e">
        <f>#REF!</f>
        <v>#REF!</v>
      </c>
      <c r="D342" s="61" t="e">
        <f>IF(C342&gt;0,Pricing!E342*$E$5,0)</f>
        <v>#REF!</v>
      </c>
      <c r="E342" s="61" t="e">
        <f t="shared" si="40"/>
        <v>#REF!</v>
      </c>
      <c r="F342" s="60" t="e">
        <f>#REF!</f>
        <v>#REF!</v>
      </c>
      <c r="G342" s="61" t="e">
        <f>IF(F342&gt;0,Pricing!E342*$H$5,0)</f>
        <v>#REF!</v>
      </c>
      <c r="H342" s="61" t="e">
        <f t="shared" si="41"/>
        <v>#REF!</v>
      </c>
      <c r="I342" s="62" t="e">
        <f>#REF!</f>
        <v>#REF!</v>
      </c>
      <c r="J342" s="61" t="e">
        <f>IF(I342&gt;0,Pricing!E342*$K$5,0)</f>
        <v>#REF!</v>
      </c>
      <c r="K342" s="63" t="e">
        <f t="shared" si="42"/>
        <v>#REF!</v>
      </c>
      <c r="L342" s="64" t="e">
        <f>#REF!</f>
        <v>#REF!</v>
      </c>
      <c r="M342" s="61" t="e">
        <f>IF(L342&lt;0,Pricing!E342*$N$5,0)</f>
        <v>#REF!</v>
      </c>
      <c r="N342" s="61" t="e">
        <f t="shared" si="43"/>
        <v>#REF!</v>
      </c>
      <c r="O342" s="60" t="e">
        <f>#REF!</f>
        <v>#REF!</v>
      </c>
      <c r="P342" s="61" t="e">
        <f>IF(O342&lt;0,Pricing!E342*$Q$5,0)</f>
        <v>#REF!</v>
      </c>
      <c r="Q342" s="61" t="e">
        <f t="shared" si="44"/>
        <v>#REF!</v>
      </c>
      <c r="R342" s="60" t="e">
        <f>#REF!</f>
        <v>#REF!</v>
      </c>
      <c r="S342" s="61" t="e">
        <f>IF(R342&lt;0,Pricing!E342*$T$5,0)</f>
        <v>#REF!</v>
      </c>
      <c r="T342" s="61" t="e">
        <f t="shared" si="45"/>
        <v>#REF!</v>
      </c>
    </row>
    <row r="343" spans="1:20" x14ac:dyDescent="0.25">
      <c r="A343" s="58">
        <f t="shared" si="46"/>
        <v>44544.999999999185</v>
      </c>
      <c r="B343" s="59">
        <f t="shared" si="47"/>
        <v>44545.041666665849</v>
      </c>
      <c r="C343" s="60" t="e">
        <f>#REF!</f>
        <v>#REF!</v>
      </c>
      <c r="D343" s="61" t="e">
        <f>IF(C343&gt;0,Pricing!E343*$E$5,0)</f>
        <v>#REF!</v>
      </c>
      <c r="E343" s="61" t="e">
        <f t="shared" si="40"/>
        <v>#REF!</v>
      </c>
      <c r="F343" s="60" t="e">
        <f>#REF!</f>
        <v>#REF!</v>
      </c>
      <c r="G343" s="61" t="e">
        <f>IF(F343&gt;0,Pricing!E343*$H$5,0)</f>
        <v>#REF!</v>
      </c>
      <c r="H343" s="61" t="e">
        <f t="shared" si="41"/>
        <v>#REF!</v>
      </c>
      <c r="I343" s="62" t="e">
        <f>#REF!</f>
        <v>#REF!</v>
      </c>
      <c r="J343" s="61" t="e">
        <f>IF(I343&gt;0,Pricing!E343*$K$5,0)</f>
        <v>#REF!</v>
      </c>
      <c r="K343" s="63" t="e">
        <f t="shared" si="42"/>
        <v>#REF!</v>
      </c>
      <c r="L343" s="64" t="e">
        <f>#REF!</f>
        <v>#REF!</v>
      </c>
      <c r="M343" s="61" t="e">
        <f>IF(L343&lt;0,Pricing!E343*$N$5,0)</f>
        <v>#REF!</v>
      </c>
      <c r="N343" s="61" t="e">
        <f t="shared" si="43"/>
        <v>#REF!</v>
      </c>
      <c r="O343" s="60" t="e">
        <f>#REF!</f>
        <v>#REF!</v>
      </c>
      <c r="P343" s="61" t="e">
        <f>IF(O343&lt;0,Pricing!E343*$Q$5,0)</f>
        <v>#REF!</v>
      </c>
      <c r="Q343" s="61" t="e">
        <f t="shared" si="44"/>
        <v>#REF!</v>
      </c>
      <c r="R343" s="60" t="e">
        <f>#REF!</f>
        <v>#REF!</v>
      </c>
      <c r="S343" s="61" t="e">
        <f>IF(R343&lt;0,Pricing!E343*$T$5,0)</f>
        <v>#REF!</v>
      </c>
      <c r="T343" s="61" t="e">
        <f t="shared" si="45"/>
        <v>#REF!</v>
      </c>
    </row>
    <row r="344" spans="1:20" x14ac:dyDescent="0.25">
      <c r="A344" s="58">
        <f t="shared" si="46"/>
        <v>44545.041666665849</v>
      </c>
      <c r="B344" s="59">
        <f t="shared" si="47"/>
        <v>44545.083333332514</v>
      </c>
      <c r="C344" s="60" t="e">
        <f>#REF!</f>
        <v>#REF!</v>
      </c>
      <c r="D344" s="61" t="e">
        <f>IF(C344&gt;0,Pricing!E344*$E$5,0)</f>
        <v>#REF!</v>
      </c>
      <c r="E344" s="61" t="e">
        <f t="shared" si="40"/>
        <v>#REF!</v>
      </c>
      <c r="F344" s="60" t="e">
        <f>#REF!</f>
        <v>#REF!</v>
      </c>
      <c r="G344" s="61" t="e">
        <f>IF(F344&gt;0,Pricing!E344*$H$5,0)</f>
        <v>#REF!</v>
      </c>
      <c r="H344" s="61" t="e">
        <f t="shared" si="41"/>
        <v>#REF!</v>
      </c>
      <c r="I344" s="62" t="e">
        <f>#REF!</f>
        <v>#REF!</v>
      </c>
      <c r="J344" s="61" t="e">
        <f>IF(I344&gt;0,Pricing!E344*$K$5,0)</f>
        <v>#REF!</v>
      </c>
      <c r="K344" s="63" t="e">
        <f t="shared" si="42"/>
        <v>#REF!</v>
      </c>
      <c r="L344" s="64" t="e">
        <f>#REF!</f>
        <v>#REF!</v>
      </c>
      <c r="M344" s="61" t="e">
        <f>IF(L344&lt;0,Pricing!E344*$N$5,0)</f>
        <v>#REF!</v>
      </c>
      <c r="N344" s="61" t="e">
        <f t="shared" si="43"/>
        <v>#REF!</v>
      </c>
      <c r="O344" s="60" t="e">
        <f>#REF!</f>
        <v>#REF!</v>
      </c>
      <c r="P344" s="61" t="e">
        <f>IF(O344&lt;0,Pricing!E344*$Q$5,0)</f>
        <v>#REF!</v>
      </c>
      <c r="Q344" s="61" t="e">
        <f t="shared" si="44"/>
        <v>#REF!</v>
      </c>
      <c r="R344" s="60" t="e">
        <f>#REF!</f>
        <v>#REF!</v>
      </c>
      <c r="S344" s="61" t="e">
        <f>IF(R344&lt;0,Pricing!E344*$T$5,0)</f>
        <v>#REF!</v>
      </c>
      <c r="T344" s="61" t="e">
        <f t="shared" si="45"/>
        <v>#REF!</v>
      </c>
    </row>
    <row r="345" spans="1:20" x14ac:dyDescent="0.25">
      <c r="A345" s="58">
        <f t="shared" si="46"/>
        <v>44545.083333332514</v>
      </c>
      <c r="B345" s="59">
        <f t="shared" si="47"/>
        <v>44545.124999999178</v>
      </c>
      <c r="C345" s="60" t="e">
        <f>#REF!</f>
        <v>#REF!</v>
      </c>
      <c r="D345" s="61" t="e">
        <f>IF(C345&gt;0,Pricing!E345*$E$5,0)</f>
        <v>#REF!</v>
      </c>
      <c r="E345" s="61" t="e">
        <f t="shared" si="40"/>
        <v>#REF!</v>
      </c>
      <c r="F345" s="60" t="e">
        <f>#REF!</f>
        <v>#REF!</v>
      </c>
      <c r="G345" s="61" t="e">
        <f>IF(F345&gt;0,Pricing!E345*$H$5,0)</f>
        <v>#REF!</v>
      </c>
      <c r="H345" s="61" t="e">
        <f t="shared" si="41"/>
        <v>#REF!</v>
      </c>
      <c r="I345" s="62" t="e">
        <f>#REF!</f>
        <v>#REF!</v>
      </c>
      <c r="J345" s="61" t="e">
        <f>IF(I345&gt;0,Pricing!E345*$K$5,0)</f>
        <v>#REF!</v>
      </c>
      <c r="K345" s="63" t="e">
        <f t="shared" si="42"/>
        <v>#REF!</v>
      </c>
      <c r="L345" s="64" t="e">
        <f>#REF!</f>
        <v>#REF!</v>
      </c>
      <c r="M345" s="61" t="e">
        <f>IF(L345&lt;0,Pricing!E345*$N$5,0)</f>
        <v>#REF!</v>
      </c>
      <c r="N345" s="61" t="e">
        <f t="shared" si="43"/>
        <v>#REF!</v>
      </c>
      <c r="O345" s="60" t="e">
        <f>#REF!</f>
        <v>#REF!</v>
      </c>
      <c r="P345" s="61" t="e">
        <f>IF(O345&lt;0,Pricing!E345*$Q$5,0)</f>
        <v>#REF!</v>
      </c>
      <c r="Q345" s="61" t="e">
        <f t="shared" si="44"/>
        <v>#REF!</v>
      </c>
      <c r="R345" s="60" t="e">
        <f>#REF!</f>
        <v>#REF!</v>
      </c>
      <c r="S345" s="61" t="e">
        <f>IF(R345&lt;0,Pricing!E345*$T$5,0)</f>
        <v>#REF!</v>
      </c>
      <c r="T345" s="61" t="e">
        <f t="shared" si="45"/>
        <v>#REF!</v>
      </c>
    </row>
    <row r="346" spans="1:20" x14ac:dyDescent="0.25">
      <c r="A346" s="58">
        <f t="shared" si="46"/>
        <v>44545.124999999178</v>
      </c>
      <c r="B346" s="59">
        <f t="shared" si="47"/>
        <v>44545.166666665842</v>
      </c>
      <c r="C346" s="60" t="e">
        <f>#REF!</f>
        <v>#REF!</v>
      </c>
      <c r="D346" s="61" t="e">
        <f>IF(C346&gt;0,Pricing!E346*$E$5,0)</f>
        <v>#REF!</v>
      </c>
      <c r="E346" s="61" t="e">
        <f t="shared" si="40"/>
        <v>#REF!</v>
      </c>
      <c r="F346" s="60" t="e">
        <f>#REF!</f>
        <v>#REF!</v>
      </c>
      <c r="G346" s="61" t="e">
        <f>IF(F346&gt;0,Pricing!E346*$H$5,0)</f>
        <v>#REF!</v>
      </c>
      <c r="H346" s="61" t="e">
        <f t="shared" si="41"/>
        <v>#REF!</v>
      </c>
      <c r="I346" s="62" t="e">
        <f>#REF!</f>
        <v>#REF!</v>
      </c>
      <c r="J346" s="61" t="e">
        <f>IF(I346&gt;0,Pricing!E346*$K$5,0)</f>
        <v>#REF!</v>
      </c>
      <c r="K346" s="63" t="e">
        <f t="shared" si="42"/>
        <v>#REF!</v>
      </c>
      <c r="L346" s="64" t="e">
        <f>#REF!</f>
        <v>#REF!</v>
      </c>
      <c r="M346" s="61" t="e">
        <f>IF(L346&lt;0,Pricing!E346*$N$5,0)</f>
        <v>#REF!</v>
      </c>
      <c r="N346" s="61" t="e">
        <f t="shared" si="43"/>
        <v>#REF!</v>
      </c>
      <c r="O346" s="60" t="e">
        <f>#REF!</f>
        <v>#REF!</v>
      </c>
      <c r="P346" s="61" t="e">
        <f>IF(O346&lt;0,Pricing!E346*$Q$5,0)</f>
        <v>#REF!</v>
      </c>
      <c r="Q346" s="61" t="e">
        <f t="shared" si="44"/>
        <v>#REF!</v>
      </c>
      <c r="R346" s="60" t="e">
        <f>#REF!</f>
        <v>#REF!</v>
      </c>
      <c r="S346" s="61" t="e">
        <f>IF(R346&lt;0,Pricing!E346*$T$5,0)</f>
        <v>#REF!</v>
      </c>
      <c r="T346" s="61" t="e">
        <f t="shared" si="45"/>
        <v>#REF!</v>
      </c>
    </row>
    <row r="347" spans="1:20" x14ac:dyDescent="0.25">
      <c r="A347" s="58">
        <f t="shared" si="46"/>
        <v>44545.166666665842</v>
      </c>
      <c r="B347" s="59">
        <f t="shared" si="47"/>
        <v>44545.208333332506</v>
      </c>
      <c r="C347" s="60" t="e">
        <f>#REF!</f>
        <v>#REF!</v>
      </c>
      <c r="D347" s="61" t="e">
        <f>IF(C347&gt;0,Pricing!E347*$E$5,0)</f>
        <v>#REF!</v>
      </c>
      <c r="E347" s="61" t="e">
        <f t="shared" si="40"/>
        <v>#REF!</v>
      </c>
      <c r="F347" s="60" t="e">
        <f>#REF!</f>
        <v>#REF!</v>
      </c>
      <c r="G347" s="61" t="e">
        <f>IF(F347&gt;0,Pricing!E347*$H$5,0)</f>
        <v>#REF!</v>
      </c>
      <c r="H347" s="61" t="e">
        <f t="shared" si="41"/>
        <v>#REF!</v>
      </c>
      <c r="I347" s="62" t="e">
        <f>#REF!</f>
        <v>#REF!</v>
      </c>
      <c r="J347" s="61" t="e">
        <f>IF(I347&gt;0,Pricing!E347*$K$5,0)</f>
        <v>#REF!</v>
      </c>
      <c r="K347" s="63" t="e">
        <f t="shared" si="42"/>
        <v>#REF!</v>
      </c>
      <c r="L347" s="64" t="e">
        <f>#REF!</f>
        <v>#REF!</v>
      </c>
      <c r="M347" s="61" t="e">
        <f>IF(L347&lt;0,Pricing!E347*$N$5,0)</f>
        <v>#REF!</v>
      </c>
      <c r="N347" s="61" t="e">
        <f t="shared" si="43"/>
        <v>#REF!</v>
      </c>
      <c r="O347" s="60" t="e">
        <f>#REF!</f>
        <v>#REF!</v>
      </c>
      <c r="P347" s="61" t="e">
        <f>IF(O347&lt;0,Pricing!E347*$Q$5,0)</f>
        <v>#REF!</v>
      </c>
      <c r="Q347" s="61" t="e">
        <f t="shared" si="44"/>
        <v>#REF!</v>
      </c>
      <c r="R347" s="60" t="e">
        <f>#REF!</f>
        <v>#REF!</v>
      </c>
      <c r="S347" s="61" t="e">
        <f>IF(R347&lt;0,Pricing!E347*$T$5,0)</f>
        <v>#REF!</v>
      </c>
      <c r="T347" s="61" t="e">
        <f t="shared" si="45"/>
        <v>#REF!</v>
      </c>
    </row>
    <row r="348" spans="1:20" x14ac:dyDescent="0.25">
      <c r="A348" s="58">
        <f t="shared" si="46"/>
        <v>44545.208333332506</v>
      </c>
      <c r="B348" s="59">
        <f t="shared" si="47"/>
        <v>44545.249999999171</v>
      </c>
      <c r="C348" s="60" t="e">
        <f>#REF!</f>
        <v>#REF!</v>
      </c>
      <c r="D348" s="61" t="e">
        <f>IF(C348&gt;0,Pricing!E348*$E$5,0)</f>
        <v>#REF!</v>
      </c>
      <c r="E348" s="61" t="e">
        <f t="shared" si="40"/>
        <v>#REF!</v>
      </c>
      <c r="F348" s="60" t="e">
        <f>#REF!</f>
        <v>#REF!</v>
      </c>
      <c r="G348" s="61" t="e">
        <f>IF(F348&gt;0,Pricing!E348*$H$5,0)</f>
        <v>#REF!</v>
      </c>
      <c r="H348" s="61" t="e">
        <f t="shared" si="41"/>
        <v>#REF!</v>
      </c>
      <c r="I348" s="62" t="e">
        <f>#REF!</f>
        <v>#REF!</v>
      </c>
      <c r="J348" s="61" t="e">
        <f>IF(I348&gt;0,Pricing!E348*$K$5,0)</f>
        <v>#REF!</v>
      </c>
      <c r="K348" s="63" t="e">
        <f t="shared" si="42"/>
        <v>#REF!</v>
      </c>
      <c r="L348" s="64" t="e">
        <f>#REF!</f>
        <v>#REF!</v>
      </c>
      <c r="M348" s="61" t="e">
        <f>IF(L348&lt;0,Pricing!E348*$N$5,0)</f>
        <v>#REF!</v>
      </c>
      <c r="N348" s="61" t="e">
        <f t="shared" si="43"/>
        <v>#REF!</v>
      </c>
      <c r="O348" s="60" t="e">
        <f>#REF!</f>
        <v>#REF!</v>
      </c>
      <c r="P348" s="61" t="e">
        <f>IF(O348&lt;0,Pricing!E348*$Q$5,0)</f>
        <v>#REF!</v>
      </c>
      <c r="Q348" s="61" t="e">
        <f t="shared" si="44"/>
        <v>#REF!</v>
      </c>
      <c r="R348" s="60" t="e">
        <f>#REF!</f>
        <v>#REF!</v>
      </c>
      <c r="S348" s="61" t="e">
        <f>IF(R348&lt;0,Pricing!E348*$T$5,0)</f>
        <v>#REF!</v>
      </c>
      <c r="T348" s="61" t="e">
        <f t="shared" si="45"/>
        <v>#REF!</v>
      </c>
    </row>
    <row r="349" spans="1:20" x14ac:dyDescent="0.25">
      <c r="A349" s="58">
        <f t="shared" si="46"/>
        <v>44545.249999999171</v>
      </c>
      <c r="B349" s="59">
        <f t="shared" si="47"/>
        <v>44545.291666665835</v>
      </c>
      <c r="C349" s="60" t="e">
        <f>#REF!</f>
        <v>#REF!</v>
      </c>
      <c r="D349" s="61" t="e">
        <f>IF(C349&gt;0,Pricing!E349*$E$5,0)</f>
        <v>#REF!</v>
      </c>
      <c r="E349" s="61" t="e">
        <f t="shared" si="40"/>
        <v>#REF!</v>
      </c>
      <c r="F349" s="60" t="e">
        <f>#REF!</f>
        <v>#REF!</v>
      </c>
      <c r="G349" s="61" t="e">
        <f>IF(F349&gt;0,Pricing!E349*$H$5,0)</f>
        <v>#REF!</v>
      </c>
      <c r="H349" s="61" t="e">
        <f t="shared" si="41"/>
        <v>#REF!</v>
      </c>
      <c r="I349" s="62" t="e">
        <f>#REF!</f>
        <v>#REF!</v>
      </c>
      <c r="J349" s="61" t="e">
        <f>IF(I349&gt;0,Pricing!E349*$K$5,0)</f>
        <v>#REF!</v>
      </c>
      <c r="K349" s="63" t="e">
        <f t="shared" si="42"/>
        <v>#REF!</v>
      </c>
      <c r="L349" s="64" t="e">
        <f>#REF!</f>
        <v>#REF!</v>
      </c>
      <c r="M349" s="61" t="e">
        <f>IF(L349&lt;0,Pricing!E349*$N$5,0)</f>
        <v>#REF!</v>
      </c>
      <c r="N349" s="61" t="e">
        <f t="shared" si="43"/>
        <v>#REF!</v>
      </c>
      <c r="O349" s="60" t="e">
        <f>#REF!</f>
        <v>#REF!</v>
      </c>
      <c r="P349" s="61" t="e">
        <f>IF(O349&lt;0,Pricing!E349*$Q$5,0)</f>
        <v>#REF!</v>
      </c>
      <c r="Q349" s="61" t="e">
        <f t="shared" si="44"/>
        <v>#REF!</v>
      </c>
      <c r="R349" s="60" t="e">
        <f>#REF!</f>
        <v>#REF!</v>
      </c>
      <c r="S349" s="61" t="e">
        <f>IF(R349&lt;0,Pricing!E349*$T$5,0)</f>
        <v>#REF!</v>
      </c>
      <c r="T349" s="61" t="e">
        <f t="shared" si="45"/>
        <v>#REF!</v>
      </c>
    </row>
    <row r="350" spans="1:20" x14ac:dyDescent="0.25">
      <c r="A350" s="58">
        <f t="shared" si="46"/>
        <v>44545.291666665835</v>
      </c>
      <c r="B350" s="59">
        <f t="shared" si="47"/>
        <v>44545.333333332499</v>
      </c>
      <c r="C350" s="60" t="e">
        <f>#REF!</f>
        <v>#REF!</v>
      </c>
      <c r="D350" s="61" t="e">
        <f>IF(C350&gt;0,Pricing!E350*$E$5,0)</f>
        <v>#REF!</v>
      </c>
      <c r="E350" s="61" t="e">
        <f t="shared" si="40"/>
        <v>#REF!</v>
      </c>
      <c r="F350" s="60" t="e">
        <f>#REF!</f>
        <v>#REF!</v>
      </c>
      <c r="G350" s="61" t="e">
        <f>IF(F350&gt;0,Pricing!E350*$H$5,0)</f>
        <v>#REF!</v>
      </c>
      <c r="H350" s="61" t="e">
        <f t="shared" si="41"/>
        <v>#REF!</v>
      </c>
      <c r="I350" s="62" t="e">
        <f>#REF!</f>
        <v>#REF!</v>
      </c>
      <c r="J350" s="61" t="e">
        <f>IF(I350&gt;0,Pricing!E350*$K$5,0)</f>
        <v>#REF!</v>
      </c>
      <c r="K350" s="63" t="e">
        <f t="shared" si="42"/>
        <v>#REF!</v>
      </c>
      <c r="L350" s="64" t="e">
        <f>#REF!</f>
        <v>#REF!</v>
      </c>
      <c r="M350" s="61" t="e">
        <f>IF(L350&lt;0,Pricing!E350*$N$5,0)</f>
        <v>#REF!</v>
      </c>
      <c r="N350" s="61" t="e">
        <f t="shared" si="43"/>
        <v>#REF!</v>
      </c>
      <c r="O350" s="60" t="e">
        <f>#REF!</f>
        <v>#REF!</v>
      </c>
      <c r="P350" s="61" t="e">
        <f>IF(O350&lt;0,Pricing!E350*$Q$5,0)</f>
        <v>#REF!</v>
      </c>
      <c r="Q350" s="61" t="e">
        <f t="shared" si="44"/>
        <v>#REF!</v>
      </c>
      <c r="R350" s="60" t="e">
        <f>#REF!</f>
        <v>#REF!</v>
      </c>
      <c r="S350" s="61" t="e">
        <f>IF(R350&lt;0,Pricing!E350*$T$5,0)</f>
        <v>#REF!</v>
      </c>
      <c r="T350" s="61" t="e">
        <f t="shared" si="45"/>
        <v>#REF!</v>
      </c>
    </row>
    <row r="351" spans="1:20" x14ac:dyDescent="0.25">
      <c r="A351" s="58">
        <f t="shared" si="46"/>
        <v>44545.333333332499</v>
      </c>
      <c r="B351" s="59">
        <f t="shared" si="47"/>
        <v>44545.374999999163</v>
      </c>
      <c r="C351" s="60" t="e">
        <f>#REF!</f>
        <v>#REF!</v>
      </c>
      <c r="D351" s="61" t="e">
        <f>IF(C351&gt;0,Pricing!E351*$E$5,0)</f>
        <v>#REF!</v>
      </c>
      <c r="E351" s="61" t="e">
        <f t="shared" si="40"/>
        <v>#REF!</v>
      </c>
      <c r="F351" s="60" t="e">
        <f>#REF!</f>
        <v>#REF!</v>
      </c>
      <c r="G351" s="61" t="e">
        <f>IF(F351&gt;0,Pricing!E351*$H$5,0)</f>
        <v>#REF!</v>
      </c>
      <c r="H351" s="61" t="e">
        <f t="shared" si="41"/>
        <v>#REF!</v>
      </c>
      <c r="I351" s="62" t="e">
        <f>#REF!</f>
        <v>#REF!</v>
      </c>
      <c r="J351" s="61" t="e">
        <f>IF(I351&gt;0,Pricing!E351*$K$5,0)</f>
        <v>#REF!</v>
      </c>
      <c r="K351" s="63" t="e">
        <f t="shared" si="42"/>
        <v>#REF!</v>
      </c>
      <c r="L351" s="64" t="e">
        <f>#REF!</f>
        <v>#REF!</v>
      </c>
      <c r="M351" s="61" t="e">
        <f>IF(L351&lt;0,Pricing!E351*$N$5,0)</f>
        <v>#REF!</v>
      </c>
      <c r="N351" s="61" t="e">
        <f t="shared" si="43"/>
        <v>#REF!</v>
      </c>
      <c r="O351" s="60" t="e">
        <f>#REF!</f>
        <v>#REF!</v>
      </c>
      <c r="P351" s="61" t="e">
        <f>IF(O351&lt;0,Pricing!E351*$Q$5,0)</f>
        <v>#REF!</v>
      </c>
      <c r="Q351" s="61" t="e">
        <f t="shared" si="44"/>
        <v>#REF!</v>
      </c>
      <c r="R351" s="60" t="e">
        <f>#REF!</f>
        <v>#REF!</v>
      </c>
      <c r="S351" s="61" t="e">
        <f>IF(R351&lt;0,Pricing!E351*$T$5,0)</f>
        <v>#REF!</v>
      </c>
      <c r="T351" s="61" t="e">
        <f t="shared" si="45"/>
        <v>#REF!</v>
      </c>
    </row>
    <row r="352" spans="1:20" x14ac:dyDescent="0.25">
      <c r="A352" s="58">
        <f t="shared" si="46"/>
        <v>44545.374999999163</v>
      </c>
      <c r="B352" s="59">
        <f t="shared" si="47"/>
        <v>44545.416666665828</v>
      </c>
      <c r="C352" s="60" t="e">
        <f>#REF!</f>
        <v>#REF!</v>
      </c>
      <c r="D352" s="61" t="e">
        <f>IF(C352&gt;0,Pricing!E352*$E$5,0)</f>
        <v>#REF!</v>
      </c>
      <c r="E352" s="61" t="e">
        <f t="shared" si="40"/>
        <v>#REF!</v>
      </c>
      <c r="F352" s="60" t="e">
        <f>#REF!</f>
        <v>#REF!</v>
      </c>
      <c r="G352" s="61" t="e">
        <f>IF(F352&gt;0,Pricing!E352*$H$5,0)</f>
        <v>#REF!</v>
      </c>
      <c r="H352" s="61" t="e">
        <f t="shared" si="41"/>
        <v>#REF!</v>
      </c>
      <c r="I352" s="62" t="e">
        <f>#REF!</f>
        <v>#REF!</v>
      </c>
      <c r="J352" s="61" t="e">
        <f>IF(I352&gt;0,Pricing!E352*$K$5,0)</f>
        <v>#REF!</v>
      </c>
      <c r="K352" s="63" t="e">
        <f t="shared" si="42"/>
        <v>#REF!</v>
      </c>
      <c r="L352" s="64" t="e">
        <f>#REF!</f>
        <v>#REF!</v>
      </c>
      <c r="M352" s="61" t="e">
        <f>IF(L352&lt;0,Pricing!E352*$N$5,0)</f>
        <v>#REF!</v>
      </c>
      <c r="N352" s="61" t="e">
        <f t="shared" si="43"/>
        <v>#REF!</v>
      </c>
      <c r="O352" s="60" t="e">
        <f>#REF!</f>
        <v>#REF!</v>
      </c>
      <c r="P352" s="61" t="e">
        <f>IF(O352&lt;0,Pricing!E352*$Q$5,0)</f>
        <v>#REF!</v>
      </c>
      <c r="Q352" s="61" t="e">
        <f t="shared" si="44"/>
        <v>#REF!</v>
      </c>
      <c r="R352" s="60" t="e">
        <f>#REF!</f>
        <v>#REF!</v>
      </c>
      <c r="S352" s="61" t="e">
        <f>IF(R352&lt;0,Pricing!E352*$T$5,0)</f>
        <v>#REF!</v>
      </c>
      <c r="T352" s="61" t="e">
        <f t="shared" si="45"/>
        <v>#REF!</v>
      </c>
    </row>
    <row r="353" spans="1:20" x14ac:dyDescent="0.25">
      <c r="A353" s="58">
        <f t="shared" si="46"/>
        <v>44545.416666665828</v>
      </c>
      <c r="B353" s="59">
        <f t="shared" si="47"/>
        <v>44545.458333332492</v>
      </c>
      <c r="C353" s="60" t="e">
        <f>#REF!</f>
        <v>#REF!</v>
      </c>
      <c r="D353" s="61" t="e">
        <f>IF(C353&gt;0,Pricing!E353*$E$5,0)</f>
        <v>#REF!</v>
      </c>
      <c r="E353" s="61" t="e">
        <f t="shared" si="40"/>
        <v>#REF!</v>
      </c>
      <c r="F353" s="60" t="e">
        <f>#REF!</f>
        <v>#REF!</v>
      </c>
      <c r="G353" s="61" t="e">
        <f>IF(F353&gt;0,Pricing!E353*$H$5,0)</f>
        <v>#REF!</v>
      </c>
      <c r="H353" s="61" t="e">
        <f t="shared" si="41"/>
        <v>#REF!</v>
      </c>
      <c r="I353" s="62" t="e">
        <f>#REF!</f>
        <v>#REF!</v>
      </c>
      <c r="J353" s="61" t="e">
        <f>IF(I353&gt;0,Pricing!E353*$K$5,0)</f>
        <v>#REF!</v>
      </c>
      <c r="K353" s="63" t="e">
        <f t="shared" si="42"/>
        <v>#REF!</v>
      </c>
      <c r="L353" s="64" t="e">
        <f>#REF!</f>
        <v>#REF!</v>
      </c>
      <c r="M353" s="61" t="e">
        <f>IF(L353&lt;0,Pricing!E353*$N$5,0)</f>
        <v>#REF!</v>
      </c>
      <c r="N353" s="61" t="e">
        <f t="shared" si="43"/>
        <v>#REF!</v>
      </c>
      <c r="O353" s="60" t="e">
        <f>#REF!</f>
        <v>#REF!</v>
      </c>
      <c r="P353" s="61" t="e">
        <f>IF(O353&lt;0,Pricing!E353*$Q$5,0)</f>
        <v>#REF!</v>
      </c>
      <c r="Q353" s="61" t="e">
        <f t="shared" si="44"/>
        <v>#REF!</v>
      </c>
      <c r="R353" s="60" t="e">
        <f>#REF!</f>
        <v>#REF!</v>
      </c>
      <c r="S353" s="61" t="e">
        <f>IF(R353&lt;0,Pricing!E353*$T$5,0)</f>
        <v>#REF!</v>
      </c>
      <c r="T353" s="61" t="e">
        <f t="shared" si="45"/>
        <v>#REF!</v>
      </c>
    </row>
    <row r="354" spans="1:20" x14ac:dyDescent="0.25">
      <c r="A354" s="58">
        <f t="shared" si="46"/>
        <v>44545.458333332492</v>
      </c>
      <c r="B354" s="59">
        <f t="shared" si="47"/>
        <v>44545.499999999156</v>
      </c>
      <c r="C354" s="60" t="e">
        <f>#REF!</f>
        <v>#REF!</v>
      </c>
      <c r="D354" s="61" t="e">
        <f>IF(C354&gt;0,Pricing!E354*$E$5,0)</f>
        <v>#REF!</v>
      </c>
      <c r="E354" s="61" t="e">
        <f t="shared" si="40"/>
        <v>#REF!</v>
      </c>
      <c r="F354" s="60" t="e">
        <f>#REF!</f>
        <v>#REF!</v>
      </c>
      <c r="G354" s="61" t="e">
        <f>IF(F354&gt;0,Pricing!E354*$H$5,0)</f>
        <v>#REF!</v>
      </c>
      <c r="H354" s="61" t="e">
        <f t="shared" si="41"/>
        <v>#REF!</v>
      </c>
      <c r="I354" s="62" t="e">
        <f>#REF!</f>
        <v>#REF!</v>
      </c>
      <c r="J354" s="61" t="e">
        <f>IF(I354&gt;0,Pricing!E354*$K$5,0)</f>
        <v>#REF!</v>
      </c>
      <c r="K354" s="63" t="e">
        <f t="shared" si="42"/>
        <v>#REF!</v>
      </c>
      <c r="L354" s="64" t="e">
        <f>#REF!</f>
        <v>#REF!</v>
      </c>
      <c r="M354" s="61" t="e">
        <f>IF(L354&lt;0,Pricing!E354*$N$5,0)</f>
        <v>#REF!</v>
      </c>
      <c r="N354" s="61" t="e">
        <f t="shared" si="43"/>
        <v>#REF!</v>
      </c>
      <c r="O354" s="60" t="e">
        <f>#REF!</f>
        <v>#REF!</v>
      </c>
      <c r="P354" s="61" t="e">
        <f>IF(O354&lt;0,Pricing!E354*$Q$5,0)</f>
        <v>#REF!</v>
      </c>
      <c r="Q354" s="61" t="e">
        <f t="shared" si="44"/>
        <v>#REF!</v>
      </c>
      <c r="R354" s="60" t="e">
        <f>#REF!</f>
        <v>#REF!</v>
      </c>
      <c r="S354" s="61" t="e">
        <f>IF(R354&lt;0,Pricing!E354*$T$5,0)</f>
        <v>#REF!</v>
      </c>
      <c r="T354" s="61" t="e">
        <f t="shared" si="45"/>
        <v>#REF!</v>
      </c>
    </row>
    <row r="355" spans="1:20" x14ac:dyDescent="0.25">
      <c r="A355" s="58">
        <f t="shared" si="46"/>
        <v>44545.499999999156</v>
      </c>
      <c r="B355" s="59">
        <f t="shared" si="47"/>
        <v>44545.54166666582</v>
      </c>
      <c r="C355" s="60" t="e">
        <f>#REF!</f>
        <v>#REF!</v>
      </c>
      <c r="D355" s="61" t="e">
        <f>IF(C355&gt;0,Pricing!E355*$E$5,0)</f>
        <v>#REF!</v>
      </c>
      <c r="E355" s="61" t="e">
        <f t="shared" si="40"/>
        <v>#REF!</v>
      </c>
      <c r="F355" s="60" t="e">
        <f>#REF!</f>
        <v>#REF!</v>
      </c>
      <c r="G355" s="61" t="e">
        <f>IF(F355&gt;0,Pricing!E355*$H$5,0)</f>
        <v>#REF!</v>
      </c>
      <c r="H355" s="61" t="e">
        <f t="shared" si="41"/>
        <v>#REF!</v>
      </c>
      <c r="I355" s="62" t="e">
        <f>#REF!</f>
        <v>#REF!</v>
      </c>
      <c r="J355" s="61" t="e">
        <f>IF(I355&gt;0,Pricing!E355*$K$5,0)</f>
        <v>#REF!</v>
      </c>
      <c r="K355" s="63" t="e">
        <f t="shared" si="42"/>
        <v>#REF!</v>
      </c>
      <c r="L355" s="64" t="e">
        <f>#REF!</f>
        <v>#REF!</v>
      </c>
      <c r="M355" s="61" t="e">
        <f>IF(L355&lt;0,Pricing!E355*$N$5,0)</f>
        <v>#REF!</v>
      </c>
      <c r="N355" s="61" t="e">
        <f t="shared" si="43"/>
        <v>#REF!</v>
      </c>
      <c r="O355" s="60" t="e">
        <f>#REF!</f>
        <v>#REF!</v>
      </c>
      <c r="P355" s="61" t="e">
        <f>IF(O355&lt;0,Pricing!E355*$Q$5,0)</f>
        <v>#REF!</v>
      </c>
      <c r="Q355" s="61" t="e">
        <f t="shared" si="44"/>
        <v>#REF!</v>
      </c>
      <c r="R355" s="60" t="e">
        <f>#REF!</f>
        <v>#REF!</v>
      </c>
      <c r="S355" s="61" t="e">
        <f>IF(R355&lt;0,Pricing!E355*$T$5,0)</f>
        <v>#REF!</v>
      </c>
      <c r="T355" s="61" t="e">
        <f t="shared" si="45"/>
        <v>#REF!</v>
      </c>
    </row>
    <row r="356" spans="1:20" x14ac:dyDescent="0.25">
      <c r="A356" s="58">
        <f t="shared" si="46"/>
        <v>44545.54166666582</v>
      </c>
      <c r="B356" s="59">
        <f t="shared" si="47"/>
        <v>44545.583333332484</v>
      </c>
      <c r="C356" s="60" t="e">
        <f>#REF!</f>
        <v>#REF!</v>
      </c>
      <c r="D356" s="61" t="e">
        <f>IF(C356&gt;0,Pricing!E356*$E$5,0)</f>
        <v>#REF!</v>
      </c>
      <c r="E356" s="61" t="e">
        <f t="shared" si="40"/>
        <v>#REF!</v>
      </c>
      <c r="F356" s="60" t="e">
        <f>#REF!</f>
        <v>#REF!</v>
      </c>
      <c r="G356" s="61" t="e">
        <f>IF(F356&gt;0,Pricing!E356*$H$5,0)</f>
        <v>#REF!</v>
      </c>
      <c r="H356" s="61" t="e">
        <f t="shared" si="41"/>
        <v>#REF!</v>
      </c>
      <c r="I356" s="62" t="e">
        <f>#REF!</f>
        <v>#REF!</v>
      </c>
      <c r="J356" s="61" t="e">
        <f>IF(I356&gt;0,Pricing!E356*$K$5,0)</f>
        <v>#REF!</v>
      </c>
      <c r="K356" s="63" t="e">
        <f t="shared" si="42"/>
        <v>#REF!</v>
      </c>
      <c r="L356" s="64" t="e">
        <f>#REF!</f>
        <v>#REF!</v>
      </c>
      <c r="M356" s="61" t="e">
        <f>IF(L356&lt;0,Pricing!E356*$N$5,0)</f>
        <v>#REF!</v>
      </c>
      <c r="N356" s="61" t="e">
        <f t="shared" si="43"/>
        <v>#REF!</v>
      </c>
      <c r="O356" s="60" t="e">
        <f>#REF!</f>
        <v>#REF!</v>
      </c>
      <c r="P356" s="61" t="e">
        <f>IF(O356&lt;0,Pricing!E356*$Q$5,0)</f>
        <v>#REF!</v>
      </c>
      <c r="Q356" s="61" t="e">
        <f t="shared" si="44"/>
        <v>#REF!</v>
      </c>
      <c r="R356" s="60" t="e">
        <f>#REF!</f>
        <v>#REF!</v>
      </c>
      <c r="S356" s="61" t="e">
        <f>IF(R356&lt;0,Pricing!E356*$T$5,0)</f>
        <v>#REF!</v>
      </c>
      <c r="T356" s="61" t="e">
        <f t="shared" si="45"/>
        <v>#REF!</v>
      </c>
    </row>
    <row r="357" spans="1:20" x14ac:dyDescent="0.25">
      <c r="A357" s="58">
        <f t="shared" si="46"/>
        <v>44545.583333332484</v>
      </c>
      <c r="B357" s="59">
        <f t="shared" si="47"/>
        <v>44545.624999999149</v>
      </c>
      <c r="C357" s="60" t="e">
        <f>#REF!</f>
        <v>#REF!</v>
      </c>
      <c r="D357" s="61" t="e">
        <f>IF(C357&gt;0,Pricing!E357*$E$5,0)</f>
        <v>#REF!</v>
      </c>
      <c r="E357" s="61" t="e">
        <f t="shared" si="40"/>
        <v>#REF!</v>
      </c>
      <c r="F357" s="60" t="e">
        <f>#REF!</f>
        <v>#REF!</v>
      </c>
      <c r="G357" s="61" t="e">
        <f>IF(F357&gt;0,Pricing!E357*$H$5,0)</f>
        <v>#REF!</v>
      </c>
      <c r="H357" s="61" t="e">
        <f t="shared" si="41"/>
        <v>#REF!</v>
      </c>
      <c r="I357" s="62" t="e">
        <f>#REF!</f>
        <v>#REF!</v>
      </c>
      <c r="J357" s="61" t="e">
        <f>IF(I357&gt;0,Pricing!E357*$K$5,0)</f>
        <v>#REF!</v>
      </c>
      <c r="K357" s="63" t="e">
        <f t="shared" si="42"/>
        <v>#REF!</v>
      </c>
      <c r="L357" s="64" t="e">
        <f>#REF!</f>
        <v>#REF!</v>
      </c>
      <c r="M357" s="61" t="e">
        <f>IF(L357&lt;0,Pricing!E357*$N$5,0)</f>
        <v>#REF!</v>
      </c>
      <c r="N357" s="61" t="e">
        <f t="shared" si="43"/>
        <v>#REF!</v>
      </c>
      <c r="O357" s="60" t="e">
        <f>#REF!</f>
        <v>#REF!</v>
      </c>
      <c r="P357" s="61" t="e">
        <f>IF(O357&lt;0,Pricing!E357*$Q$5,0)</f>
        <v>#REF!</v>
      </c>
      <c r="Q357" s="61" t="e">
        <f t="shared" si="44"/>
        <v>#REF!</v>
      </c>
      <c r="R357" s="60" t="e">
        <f>#REF!</f>
        <v>#REF!</v>
      </c>
      <c r="S357" s="61" t="e">
        <f>IF(R357&lt;0,Pricing!E357*$T$5,0)</f>
        <v>#REF!</v>
      </c>
      <c r="T357" s="61" t="e">
        <f t="shared" si="45"/>
        <v>#REF!</v>
      </c>
    </row>
    <row r="358" spans="1:20" x14ac:dyDescent="0.25">
      <c r="A358" s="58">
        <f t="shared" si="46"/>
        <v>44545.624999999149</v>
      </c>
      <c r="B358" s="59">
        <f t="shared" si="47"/>
        <v>44545.666666665813</v>
      </c>
      <c r="C358" s="60" t="e">
        <f>#REF!</f>
        <v>#REF!</v>
      </c>
      <c r="D358" s="61" t="e">
        <f>IF(C358&gt;0,Pricing!E358*$E$5,0)</f>
        <v>#REF!</v>
      </c>
      <c r="E358" s="61" t="e">
        <f t="shared" si="40"/>
        <v>#REF!</v>
      </c>
      <c r="F358" s="60" t="e">
        <f>#REF!</f>
        <v>#REF!</v>
      </c>
      <c r="G358" s="61" t="e">
        <f>IF(F358&gt;0,Pricing!E358*$H$5,0)</f>
        <v>#REF!</v>
      </c>
      <c r="H358" s="61" t="e">
        <f t="shared" si="41"/>
        <v>#REF!</v>
      </c>
      <c r="I358" s="62" t="e">
        <f>#REF!</f>
        <v>#REF!</v>
      </c>
      <c r="J358" s="61" t="e">
        <f>IF(I358&gt;0,Pricing!E358*$K$5,0)</f>
        <v>#REF!</v>
      </c>
      <c r="K358" s="63" t="e">
        <f t="shared" si="42"/>
        <v>#REF!</v>
      </c>
      <c r="L358" s="64" t="e">
        <f>#REF!</f>
        <v>#REF!</v>
      </c>
      <c r="M358" s="61" t="e">
        <f>IF(L358&lt;0,Pricing!E358*$N$5,0)</f>
        <v>#REF!</v>
      </c>
      <c r="N358" s="61" t="e">
        <f t="shared" si="43"/>
        <v>#REF!</v>
      </c>
      <c r="O358" s="60" t="e">
        <f>#REF!</f>
        <v>#REF!</v>
      </c>
      <c r="P358" s="61" t="e">
        <f>IF(O358&lt;0,Pricing!E358*$Q$5,0)</f>
        <v>#REF!</v>
      </c>
      <c r="Q358" s="61" t="e">
        <f t="shared" si="44"/>
        <v>#REF!</v>
      </c>
      <c r="R358" s="60" t="e">
        <f>#REF!</f>
        <v>#REF!</v>
      </c>
      <c r="S358" s="61" t="e">
        <f>IF(R358&lt;0,Pricing!E358*$T$5,0)</f>
        <v>#REF!</v>
      </c>
      <c r="T358" s="61" t="e">
        <f t="shared" si="45"/>
        <v>#REF!</v>
      </c>
    </row>
    <row r="359" spans="1:20" x14ac:dyDescent="0.25">
      <c r="A359" s="58">
        <f t="shared" si="46"/>
        <v>44545.666666665813</v>
      </c>
      <c r="B359" s="59">
        <f t="shared" si="47"/>
        <v>44545.708333332477</v>
      </c>
      <c r="C359" s="60" t="e">
        <f>#REF!</f>
        <v>#REF!</v>
      </c>
      <c r="D359" s="61" t="e">
        <f>IF(C359&gt;0,Pricing!E359*$E$5,0)</f>
        <v>#REF!</v>
      </c>
      <c r="E359" s="61" t="e">
        <f t="shared" si="40"/>
        <v>#REF!</v>
      </c>
      <c r="F359" s="60" t="e">
        <f>#REF!</f>
        <v>#REF!</v>
      </c>
      <c r="G359" s="61" t="e">
        <f>IF(F359&gt;0,Pricing!E359*$H$5,0)</f>
        <v>#REF!</v>
      </c>
      <c r="H359" s="61" t="e">
        <f t="shared" si="41"/>
        <v>#REF!</v>
      </c>
      <c r="I359" s="62" t="e">
        <f>#REF!</f>
        <v>#REF!</v>
      </c>
      <c r="J359" s="61" t="e">
        <f>IF(I359&gt;0,Pricing!E359*$K$5,0)</f>
        <v>#REF!</v>
      </c>
      <c r="K359" s="63" t="e">
        <f t="shared" si="42"/>
        <v>#REF!</v>
      </c>
      <c r="L359" s="64" t="e">
        <f>#REF!</f>
        <v>#REF!</v>
      </c>
      <c r="M359" s="61" t="e">
        <f>IF(L359&lt;0,Pricing!E359*$N$5,0)</f>
        <v>#REF!</v>
      </c>
      <c r="N359" s="61" t="e">
        <f t="shared" si="43"/>
        <v>#REF!</v>
      </c>
      <c r="O359" s="60" t="e">
        <f>#REF!</f>
        <v>#REF!</v>
      </c>
      <c r="P359" s="61" t="e">
        <f>IF(O359&lt;0,Pricing!E359*$Q$5,0)</f>
        <v>#REF!</v>
      </c>
      <c r="Q359" s="61" t="e">
        <f t="shared" si="44"/>
        <v>#REF!</v>
      </c>
      <c r="R359" s="60" t="e">
        <f>#REF!</f>
        <v>#REF!</v>
      </c>
      <c r="S359" s="61" t="e">
        <f>IF(R359&lt;0,Pricing!E359*$T$5,0)</f>
        <v>#REF!</v>
      </c>
      <c r="T359" s="61" t="e">
        <f t="shared" si="45"/>
        <v>#REF!</v>
      </c>
    </row>
    <row r="360" spans="1:20" x14ac:dyDescent="0.25">
      <c r="A360" s="58">
        <f t="shared" si="46"/>
        <v>44545.708333332477</v>
      </c>
      <c r="B360" s="59">
        <f t="shared" si="47"/>
        <v>44545.749999999141</v>
      </c>
      <c r="C360" s="60" t="e">
        <f>#REF!</f>
        <v>#REF!</v>
      </c>
      <c r="D360" s="61" t="e">
        <f>IF(C360&gt;0,Pricing!E360*$E$5,0)</f>
        <v>#REF!</v>
      </c>
      <c r="E360" s="61" t="e">
        <f t="shared" si="40"/>
        <v>#REF!</v>
      </c>
      <c r="F360" s="60" t="e">
        <f>#REF!</f>
        <v>#REF!</v>
      </c>
      <c r="G360" s="61" t="e">
        <f>IF(F360&gt;0,Pricing!E360*$H$5,0)</f>
        <v>#REF!</v>
      </c>
      <c r="H360" s="61" t="e">
        <f t="shared" si="41"/>
        <v>#REF!</v>
      </c>
      <c r="I360" s="62" t="e">
        <f>#REF!</f>
        <v>#REF!</v>
      </c>
      <c r="J360" s="61" t="e">
        <f>IF(I360&gt;0,Pricing!E360*$K$5,0)</f>
        <v>#REF!</v>
      </c>
      <c r="K360" s="63" t="e">
        <f t="shared" si="42"/>
        <v>#REF!</v>
      </c>
      <c r="L360" s="64" t="e">
        <f>#REF!</f>
        <v>#REF!</v>
      </c>
      <c r="M360" s="61" t="e">
        <f>IF(L360&lt;0,Pricing!E360*$N$5,0)</f>
        <v>#REF!</v>
      </c>
      <c r="N360" s="61" t="e">
        <f t="shared" si="43"/>
        <v>#REF!</v>
      </c>
      <c r="O360" s="60" t="e">
        <f>#REF!</f>
        <v>#REF!</v>
      </c>
      <c r="P360" s="61" t="e">
        <f>IF(O360&lt;0,Pricing!E360*$Q$5,0)</f>
        <v>#REF!</v>
      </c>
      <c r="Q360" s="61" t="e">
        <f t="shared" si="44"/>
        <v>#REF!</v>
      </c>
      <c r="R360" s="60" t="e">
        <f>#REF!</f>
        <v>#REF!</v>
      </c>
      <c r="S360" s="61" t="e">
        <f>IF(R360&lt;0,Pricing!E360*$T$5,0)</f>
        <v>#REF!</v>
      </c>
      <c r="T360" s="61" t="e">
        <f t="shared" si="45"/>
        <v>#REF!</v>
      </c>
    </row>
    <row r="361" spans="1:20" x14ac:dyDescent="0.25">
      <c r="A361" s="58">
        <f t="shared" si="46"/>
        <v>44545.749999999141</v>
      </c>
      <c r="B361" s="59">
        <f t="shared" si="47"/>
        <v>44545.791666665806</v>
      </c>
      <c r="C361" s="60" t="e">
        <f>#REF!</f>
        <v>#REF!</v>
      </c>
      <c r="D361" s="61" t="e">
        <f>IF(C361&gt;0,Pricing!E361*$E$5,0)</f>
        <v>#REF!</v>
      </c>
      <c r="E361" s="61" t="e">
        <f t="shared" si="40"/>
        <v>#REF!</v>
      </c>
      <c r="F361" s="60" t="e">
        <f>#REF!</f>
        <v>#REF!</v>
      </c>
      <c r="G361" s="61" t="e">
        <f>IF(F361&gt;0,Pricing!E361*$H$5,0)</f>
        <v>#REF!</v>
      </c>
      <c r="H361" s="61" t="e">
        <f t="shared" si="41"/>
        <v>#REF!</v>
      </c>
      <c r="I361" s="62" t="e">
        <f>#REF!</f>
        <v>#REF!</v>
      </c>
      <c r="J361" s="61" t="e">
        <f>IF(I361&gt;0,Pricing!E361*$K$5,0)</f>
        <v>#REF!</v>
      </c>
      <c r="K361" s="63" t="e">
        <f t="shared" si="42"/>
        <v>#REF!</v>
      </c>
      <c r="L361" s="64" t="e">
        <f>#REF!</f>
        <v>#REF!</v>
      </c>
      <c r="M361" s="61" t="e">
        <f>IF(L361&lt;0,Pricing!E361*$N$5,0)</f>
        <v>#REF!</v>
      </c>
      <c r="N361" s="61" t="e">
        <f t="shared" si="43"/>
        <v>#REF!</v>
      </c>
      <c r="O361" s="60" t="e">
        <f>#REF!</f>
        <v>#REF!</v>
      </c>
      <c r="P361" s="61" t="e">
        <f>IF(O361&lt;0,Pricing!E361*$Q$5,0)</f>
        <v>#REF!</v>
      </c>
      <c r="Q361" s="61" t="e">
        <f t="shared" si="44"/>
        <v>#REF!</v>
      </c>
      <c r="R361" s="60" t="e">
        <f>#REF!</f>
        <v>#REF!</v>
      </c>
      <c r="S361" s="61" t="e">
        <f>IF(R361&lt;0,Pricing!E361*$T$5,0)</f>
        <v>#REF!</v>
      </c>
      <c r="T361" s="61" t="e">
        <f t="shared" si="45"/>
        <v>#REF!</v>
      </c>
    </row>
    <row r="362" spans="1:20" x14ac:dyDescent="0.25">
      <c r="A362" s="58">
        <f t="shared" si="46"/>
        <v>44545.791666665806</v>
      </c>
      <c r="B362" s="59">
        <f t="shared" si="47"/>
        <v>44545.83333333247</v>
      </c>
      <c r="C362" s="60" t="e">
        <f>#REF!</f>
        <v>#REF!</v>
      </c>
      <c r="D362" s="61" t="e">
        <f>IF(C362&gt;0,Pricing!E362*$E$5,0)</f>
        <v>#REF!</v>
      </c>
      <c r="E362" s="61" t="e">
        <f t="shared" si="40"/>
        <v>#REF!</v>
      </c>
      <c r="F362" s="60" t="e">
        <f>#REF!</f>
        <v>#REF!</v>
      </c>
      <c r="G362" s="61" t="e">
        <f>IF(F362&gt;0,Pricing!E362*$H$5,0)</f>
        <v>#REF!</v>
      </c>
      <c r="H362" s="61" t="e">
        <f t="shared" si="41"/>
        <v>#REF!</v>
      </c>
      <c r="I362" s="62" t="e">
        <f>#REF!</f>
        <v>#REF!</v>
      </c>
      <c r="J362" s="61" t="e">
        <f>IF(I362&gt;0,Pricing!E362*$K$5,0)</f>
        <v>#REF!</v>
      </c>
      <c r="K362" s="63" t="e">
        <f t="shared" si="42"/>
        <v>#REF!</v>
      </c>
      <c r="L362" s="64" t="e">
        <f>#REF!</f>
        <v>#REF!</v>
      </c>
      <c r="M362" s="61" t="e">
        <f>IF(L362&lt;0,Pricing!E362*$N$5,0)</f>
        <v>#REF!</v>
      </c>
      <c r="N362" s="61" t="e">
        <f t="shared" si="43"/>
        <v>#REF!</v>
      </c>
      <c r="O362" s="60" t="e">
        <f>#REF!</f>
        <v>#REF!</v>
      </c>
      <c r="P362" s="61" t="e">
        <f>IF(O362&lt;0,Pricing!E362*$Q$5,0)</f>
        <v>#REF!</v>
      </c>
      <c r="Q362" s="61" t="e">
        <f t="shared" si="44"/>
        <v>#REF!</v>
      </c>
      <c r="R362" s="60" t="e">
        <f>#REF!</f>
        <v>#REF!</v>
      </c>
      <c r="S362" s="61" t="e">
        <f>IF(R362&lt;0,Pricing!E362*$T$5,0)</f>
        <v>#REF!</v>
      </c>
      <c r="T362" s="61" t="e">
        <f t="shared" si="45"/>
        <v>#REF!</v>
      </c>
    </row>
    <row r="363" spans="1:20" x14ac:dyDescent="0.25">
      <c r="A363" s="58">
        <f t="shared" si="46"/>
        <v>44545.83333333247</v>
      </c>
      <c r="B363" s="59">
        <f t="shared" si="47"/>
        <v>44545.874999999134</v>
      </c>
      <c r="C363" s="60" t="e">
        <f>#REF!</f>
        <v>#REF!</v>
      </c>
      <c r="D363" s="61" t="e">
        <f>IF(C363&gt;0,Pricing!E363*$E$5,0)</f>
        <v>#REF!</v>
      </c>
      <c r="E363" s="61" t="e">
        <f t="shared" si="40"/>
        <v>#REF!</v>
      </c>
      <c r="F363" s="60" t="e">
        <f>#REF!</f>
        <v>#REF!</v>
      </c>
      <c r="G363" s="61" t="e">
        <f>IF(F363&gt;0,Pricing!E363*$H$5,0)</f>
        <v>#REF!</v>
      </c>
      <c r="H363" s="61" t="e">
        <f t="shared" si="41"/>
        <v>#REF!</v>
      </c>
      <c r="I363" s="62" t="e">
        <f>#REF!</f>
        <v>#REF!</v>
      </c>
      <c r="J363" s="61" t="e">
        <f>IF(I363&gt;0,Pricing!E363*$K$5,0)</f>
        <v>#REF!</v>
      </c>
      <c r="K363" s="63" t="e">
        <f t="shared" si="42"/>
        <v>#REF!</v>
      </c>
      <c r="L363" s="64" t="e">
        <f>#REF!</f>
        <v>#REF!</v>
      </c>
      <c r="M363" s="61" t="e">
        <f>IF(L363&lt;0,Pricing!E363*$N$5,0)</f>
        <v>#REF!</v>
      </c>
      <c r="N363" s="61" t="e">
        <f t="shared" si="43"/>
        <v>#REF!</v>
      </c>
      <c r="O363" s="60" t="e">
        <f>#REF!</f>
        <v>#REF!</v>
      </c>
      <c r="P363" s="61" t="e">
        <f>IF(O363&lt;0,Pricing!E363*$Q$5,0)</f>
        <v>#REF!</v>
      </c>
      <c r="Q363" s="61" t="e">
        <f t="shared" si="44"/>
        <v>#REF!</v>
      </c>
      <c r="R363" s="60" t="e">
        <f>#REF!</f>
        <v>#REF!</v>
      </c>
      <c r="S363" s="61" t="e">
        <f>IF(R363&lt;0,Pricing!E363*$T$5,0)</f>
        <v>#REF!</v>
      </c>
      <c r="T363" s="61" t="e">
        <f t="shared" si="45"/>
        <v>#REF!</v>
      </c>
    </row>
    <row r="364" spans="1:20" x14ac:dyDescent="0.25">
      <c r="A364" s="58">
        <f t="shared" si="46"/>
        <v>44545.874999999134</v>
      </c>
      <c r="B364" s="59">
        <f t="shared" si="47"/>
        <v>44545.916666665798</v>
      </c>
      <c r="C364" s="60" t="e">
        <f>#REF!</f>
        <v>#REF!</v>
      </c>
      <c r="D364" s="61" t="e">
        <f>IF(C364&gt;0,Pricing!E364*$E$5,0)</f>
        <v>#REF!</v>
      </c>
      <c r="E364" s="61" t="e">
        <f t="shared" si="40"/>
        <v>#REF!</v>
      </c>
      <c r="F364" s="60" t="e">
        <f>#REF!</f>
        <v>#REF!</v>
      </c>
      <c r="G364" s="61" t="e">
        <f>IF(F364&gt;0,Pricing!E364*$H$5,0)</f>
        <v>#REF!</v>
      </c>
      <c r="H364" s="61" t="e">
        <f t="shared" si="41"/>
        <v>#REF!</v>
      </c>
      <c r="I364" s="62" t="e">
        <f>#REF!</f>
        <v>#REF!</v>
      </c>
      <c r="J364" s="61" t="e">
        <f>IF(I364&gt;0,Pricing!E364*$K$5,0)</f>
        <v>#REF!</v>
      </c>
      <c r="K364" s="63" t="e">
        <f t="shared" si="42"/>
        <v>#REF!</v>
      </c>
      <c r="L364" s="64" t="e">
        <f>#REF!</f>
        <v>#REF!</v>
      </c>
      <c r="M364" s="61" t="e">
        <f>IF(L364&lt;0,Pricing!E364*$N$5,0)</f>
        <v>#REF!</v>
      </c>
      <c r="N364" s="61" t="e">
        <f t="shared" si="43"/>
        <v>#REF!</v>
      </c>
      <c r="O364" s="60" t="e">
        <f>#REF!</f>
        <v>#REF!</v>
      </c>
      <c r="P364" s="61" t="e">
        <f>IF(O364&lt;0,Pricing!E364*$Q$5,0)</f>
        <v>#REF!</v>
      </c>
      <c r="Q364" s="61" t="e">
        <f t="shared" si="44"/>
        <v>#REF!</v>
      </c>
      <c r="R364" s="60" t="e">
        <f>#REF!</f>
        <v>#REF!</v>
      </c>
      <c r="S364" s="61" t="e">
        <f>IF(R364&lt;0,Pricing!E364*$T$5,0)</f>
        <v>#REF!</v>
      </c>
      <c r="T364" s="61" t="e">
        <f t="shared" si="45"/>
        <v>#REF!</v>
      </c>
    </row>
    <row r="365" spans="1:20" x14ac:dyDescent="0.25">
      <c r="A365" s="58">
        <f t="shared" si="46"/>
        <v>44545.916666665798</v>
      </c>
      <c r="B365" s="59">
        <f t="shared" si="47"/>
        <v>44545.958333332463</v>
      </c>
      <c r="C365" s="60" t="e">
        <f>#REF!</f>
        <v>#REF!</v>
      </c>
      <c r="D365" s="61" t="e">
        <f>IF(C365&gt;0,Pricing!E365*$E$5,0)</f>
        <v>#REF!</v>
      </c>
      <c r="E365" s="61" t="e">
        <f t="shared" si="40"/>
        <v>#REF!</v>
      </c>
      <c r="F365" s="60" t="e">
        <f>#REF!</f>
        <v>#REF!</v>
      </c>
      <c r="G365" s="61" t="e">
        <f>IF(F365&gt;0,Pricing!E365*$H$5,0)</f>
        <v>#REF!</v>
      </c>
      <c r="H365" s="61" t="e">
        <f t="shared" si="41"/>
        <v>#REF!</v>
      </c>
      <c r="I365" s="62" t="e">
        <f>#REF!</f>
        <v>#REF!</v>
      </c>
      <c r="J365" s="61" t="e">
        <f>IF(I365&gt;0,Pricing!E365*$K$5,0)</f>
        <v>#REF!</v>
      </c>
      <c r="K365" s="63" t="e">
        <f t="shared" si="42"/>
        <v>#REF!</v>
      </c>
      <c r="L365" s="64" t="e">
        <f>#REF!</f>
        <v>#REF!</v>
      </c>
      <c r="M365" s="61" t="e">
        <f>IF(L365&lt;0,Pricing!E365*$N$5,0)</f>
        <v>#REF!</v>
      </c>
      <c r="N365" s="61" t="e">
        <f t="shared" si="43"/>
        <v>#REF!</v>
      </c>
      <c r="O365" s="60" t="e">
        <f>#REF!</f>
        <v>#REF!</v>
      </c>
      <c r="P365" s="61" t="e">
        <f>IF(O365&lt;0,Pricing!E365*$Q$5,0)</f>
        <v>#REF!</v>
      </c>
      <c r="Q365" s="61" t="e">
        <f t="shared" si="44"/>
        <v>#REF!</v>
      </c>
      <c r="R365" s="60" t="e">
        <f>#REF!</f>
        <v>#REF!</v>
      </c>
      <c r="S365" s="61" t="e">
        <f>IF(R365&lt;0,Pricing!E365*$T$5,0)</f>
        <v>#REF!</v>
      </c>
      <c r="T365" s="61" t="e">
        <f t="shared" si="45"/>
        <v>#REF!</v>
      </c>
    </row>
    <row r="366" spans="1:20" x14ac:dyDescent="0.25">
      <c r="A366" s="58">
        <f t="shared" si="46"/>
        <v>44545.958333332463</v>
      </c>
      <c r="B366" s="59">
        <f t="shared" si="47"/>
        <v>44545.999999999127</v>
      </c>
      <c r="C366" s="60" t="e">
        <f>#REF!</f>
        <v>#REF!</v>
      </c>
      <c r="D366" s="61" t="e">
        <f>IF(C366&gt;0,Pricing!E366*$E$5,0)</f>
        <v>#REF!</v>
      </c>
      <c r="E366" s="61" t="e">
        <f t="shared" si="40"/>
        <v>#REF!</v>
      </c>
      <c r="F366" s="60" t="e">
        <f>#REF!</f>
        <v>#REF!</v>
      </c>
      <c r="G366" s="61" t="e">
        <f>IF(F366&gt;0,Pricing!E366*$H$5,0)</f>
        <v>#REF!</v>
      </c>
      <c r="H366" s="61" t="e">
        <f t="shared" si="41"/>
        <v>#REF!</v>
      </c>
      <c r="I366" s="62" t="e">
        <f>#REF!</f>
        <v>#REF!</v>
      </c>
      <c r="J366" s="61" t="e">
        <f>IF(I366&gt;0,Pricing!E366*$K$5,0)</f>
        <v>#REF!</v>
      </c>
      <c r="K366" s="63" t="e">
        <f t="shared" si="42"/>
        <v>#REF!</v>
      </c>
      <c r="L366" s="64" t="e">
        <f>#REF!</f>
        <v>#REF!</v>
      </c>
      <c r="M366" s="61" t="e">
        <f>IF(L366&lt;0,Pricing!E366*$N$5,0)</f>
        <v>#REF!</v>
      </c>
      <c r="N366" s="61" t="e">
        <f t="shared" si="43"/>
        <v>#REF!</v>
      </c>
      <c r="O366" s="60" t="e">
        <f>#REF!</f>
        <v>#REF!</v>
      </c>
      <c r="P366" s="61" t="e">
        <f>IF(O366&lt;0,Pricing!E366*$Q$5,0)</f>
        <v>#REF!</v>
      </c>
      <c r="Q366" s="61" t="e">
        <f t="shared" si="44"/>
        <v>#REF!</v>
      </c>
      <c r="R366" s="60" t="e">
        <f>#REF!</f>
        <v>#REF!</v>
      </c>
      <c r="S366" s="61" t="e">
        <f>IF(R366&lt;0,Pricing!E366*$T$5,0)</f>
        <v>#REF!</v>
      </c>
      <c r="T366" s="61" t="e">
        <f t="shared" si="45"/>
        <v>#REF!</v>
      </c>
    </row>
    <row r="367" spans="1:20" x14ac:dyDescent="0.25">
      <c r="A367" s="58">
        <f t="shared" si="46"/>
        <v>44545.999999999127</v>
      </c>
      <c r="B367" s="59">
        <f t="shared" si="47"/>
        <v>44546.041666665791</v>
      </c>
      <c r="C367" s="60" t="e">
        <f>#REF!</f>
        <v>#REF!</v>
      </c>
      <c r="D367" s="61" t="e">
        <f>IF(C367&gt;0,Pricing!E367*$E$5,0)</f>
        <v>#REF!</v>
      </c>
      <c r="E367" s="61" t="e">
        <f t="shared" si="40"/>
        <v>#REF!</v>
      </c>
      <c r="F367" s="60" t="e">
        <f>#REF!</f>
        <v>#REF!</v>
      </c>
      <c r="G367" s="61" t="e">
        <f>IF(F367&gt;0,Pricing!E367*$H$5,0)</f>
        <v>#REF!</v>
      </c>
      <c r="H367" s="61" t="e">
        <f t="shared" si="41"/>
        <v>#REF!</v>
      </c>
      <c r="I367" s="62" t="e">
        <f>#REF!</f>
        <v>#REF!</v>
      </c>
      <c r="J367" s="61" t="e">
        <f>IF(I367&gt;0,Pricing!E367*$K$5,0)</f>
        <v>#REF!</v>
      </c>
      <c r="K367" s="63" t="e">
        <f t="shared" si="42"/>
        <v>#REF!</v>
      </c>
      <c r="L367" s="64" t="e">
        <f>#REF!</f>
        <v>#REF!</v>
      </c>
      <c r="M367" s="61" t="e">
        <f>IF(L367&lt;0,Pricing!E367*$N$5,0)</f>
        <v>#REF!</v>
      </c>
      <c r="N367" s="61" t="e">
        <f t="shared" si="43"/>
        <v>#REF!</v>
      </c>
      <c r="O367" s="60" t="e">
        <f>#REF!</f>
        <v>#REF!</v>
      </c>
      <c r="P367" s="61" t="e">
        <f>IF(O367&lt;0,Pricing!E367*$Q$5,0)</f>
        <v>#REF!</v>
      </c>
      <c r="Q367" s="61" t="e">
        <f t="shared" si="44"/>
        <v>#REF!</v>
      </c>
      <c r="R367" s="60" t="e">
        <f>#REF!</f>
        <v>#REF!</v>
      </c>
      <c r="S367" s="61" t="e">
        <f>IF(R367&lt;0,Pricing!E367*$T$5,0)</f>
        <v>#REF!</v>
      </c>
      <c r="T367" s="61" t="e">
        <f t="shared" si="45"/>
        <v>#REF!</v>
      </c>
    </row>
    <row r="368" spans="1:20" x14ac:dyDescent="0.25">
      <c r="A368" s="58">
        <f t="shared" si="46"/>
        <v>44546.041666665791</v>
      </c>
      <c r="B368" s="59">
        <f t="shared" si="47"/>
        <v>44546.083333332455</v>
      </c>
      <c r="C368" s="60" t="e">
        <f>#REF!</f>
        <v>#REF!</v>
      </c>
      <c r="D368" s="61" t="e">
        <f>IF(C368&gt;0,Pricing!E368*$E$5,0)</f>
        <v>#REF!</v>
      </c>
      <c r="E368" s="61" t="e">
        <f t="shared" si="40"/>
        <v>#REF!</v>
      </c>
      <c r="F368" s="60" t="e">
        <f>#REF!</f>
        <v>#REF!</v>
      </c>
      <c r="G368" s="61" t="e">
        <f>IF(F368&gt;0,Pricing!E368*$H$5,0)</f>
        <v>#REF!</v>
      </c>
      <c r="H368" s="61" t="e">
        <f t="shared" si="41"/>
        <v>#REF!</v>
      </c>
      <c r="I368" s="62" t="e">
        <f>#REF!</f>
        <v>#REF!</v>
      </c>
      <c r="J368" s="61" t="e">
        <f>IF(I368&gt;0,Pricing!E368*$K$5,0)</f>
        <v>#REF!</v>
      </c>
      <c r="K368" s="63" t="e">
        <f t="shared" si="42"/>
        <v>#REF!</v>
      </c>
      <c r="L368" s="64" t="e">
        <f>#REF!</f>
        <v>#REF!</v>
      </c>
      <c r="M368" s="61" t="e">
        <f>IF(L368&lt;0,Pricing!E368*$N$5,0)</f>
        <v>#REF!</v>
      </c>
      <c r="N368" s="61" t="e">
        <f t="shared" si="43"/>
        <v>#REF!</v>
      </c>
      <c r="O368" s="60" t="e">
        <f>#REF!</f>
        <v>#REF!</v>
      </c>
      <c r="P368" s="61" t="e">
        <f>IF(O368&lt;0,Pricing!E368*$Q$5,0)</f>
        <v>#REF!</v>
      </c>
      <c r="Q368" s="61" t="e">
        <f t="shared" si="44"/>
        <v>#REF!</v>
      </c>
      <c r="R368" s="60" t="e">
        <f>#REF!</f>
        <v>#REF!</v>
      </c>
      <c r="S368" s="61" t="e">
        <f>IF(R368&lt;0,Pricing!E368*$T$5,0)</f>
        <v>#REF!</v>
      </c>
      <c r="T368" s="61" t="e">
        <f t="shared" si="45"/>
        <v>#REF!</v>
      </c>
    </row>
    <row r="369" spans="1:20" x14ac:dyDescent="0.25">
      <c r="A369" s="58">
        <f t="shared" si="46"/>
        <v>44546.083333332455</v>
      </c>
      <c r="B369" s="59">
        <f t="shared" si="47"/>
        <v>44546.12499999912</v>
      </c>
      <c r="C369" s="60" t="e">
        <f>#REF!</f>
        <v>#REF!</v>
      </c>
      <c r="D369" s="61" t="e">
        <f>IF(C369&gt;0,Pricing!E369*$E$5,0)</f>
        <v>#REF!</v>
      </c>
      <c r="E369" s="61" t="e">
        <f t="shared" si="40"/>
        <v>#REF!</v>
      </c>
      <c r="F369" s="60" t="e">
        <f>#REF!</f>
        <v>#REF!</v>
      </c>
      <c r="G369" s="61" t="e">
        <f>IF(F369&gt;0,Pricing!E369*$H$5,0)</f>
        <v>#REF!</v>
      </c>
      <c r="H369" s="61" t="e">
        <f t="shared" si="41"/>
        <v>#REF!</v>
      </c>
      <c r="I369" s="62" t="e">
        <f>#REF!</f>
        <v>#REF!</v>
      </c>
      <c r="J369" s="61" t="e">
        <f>IF(I369&gt;0,Pricing!E369*$K$5,0)</f>
        <v>#REF!</v>
      </c>
      <c r="K369" s="63" t="e">
        <f t="shared" si="42"/>
        <v>#REF!</v>
      </c>
      <c r="L369" s="64" t="e">
        <f>#REF!</f>
        <v>#REF!</v>
      </c>
      <c r="M369" s="61" t="e">
        <f>IF(L369&lt;0,Pricing!E369*$N$5,0)</f>
        <v>#REF!</v>
      </c>
      <c r="N369" s="61" t="e">
        <f t="shared" si="43"/>
        <v>#REF!</v>
      </c>
      <c r="O369" s="60" t="e">
        <f>#REF!</f>
        <v>#REF!</v>
      </c>
      <c r="P369" s="61" t="e">
        <f>IF(O369&lt;0,Pricing!E369*$Q$5,0)</f>
        <v>#REF!</v>
      </c>
      <c r="Q369" s="61" t="e">
        <f t="shared" si="44"/>
        <v>#REF!</v>
      </c>
      <c r="R369" s="60" t="e">
        <f>#REF!</f>
        <v>#REF!</v>
      </c>
      <c r="S369" s="61" t="e">
        <f>IF(R369&lt;0,Pricing!E369*$T$5,0)</f>
        <v>#REF!</v>
      </c>
      <c r="T369" s="61" t="e">
        <f t="shared" si="45"/>
        <v>#REF!</v>
      </c>
    </row>
    <row r="370" spans="1:20" x14ac:dyDescent="0.25">
      <c r="A370" s="58">
        <f t="shared" si="46"/>
        <v>44546.12499999912</v>
      </c>
      <c r="B370" s="59">
        <f t="shared" si="47"/>
        <v>44546.166666665784</v>
      </c>
      <c r="C370" s="60" t="e">
        <f>#REF!</f>
        <v>#REF!</v>
      </c>
      <c r="D370" s="61" t="e">
        <f>IF(C370&gt;0,Pricing!E370*$E$5,0)</f>
        <v>#REF!</v>
      </c>
      <c r="E370" s="61" t="e">
        <f t="shared" si="40"/>
        <v>#REF!</v>
      </c>
      <c r="F370" s="60" t="e">
        <f>#REF!</f>
        <v>#REF!</v>
      </c>
      <c r="G370" s="61" t="e">
        <f>IF(F370&gt;0,Pricing!E370*$H$5,0)</f>
        <v>#REF!</v>
      </c>
      <c r="H370" s="61" t="e">
        <f t="shared" si="41"/>
        <v>#REF!</v>
      </c>
      <c r="I370" s="62" t="e">
        <f>#REF!</f>
        <v>#REF!</v>
      </c>
      <c r="J370" s="61" t="e">
        <f>IF(I370&gt;0,Pricing!E370*$K$5,0)</f>
        <v>#REF!</v>
      </c>
      <c r="K370" s="63" t="e">
        <f t="shared" si="42"/>
        <v>#REF!</v>
      </c>
      <c r="L370" s="64" t="e">
        <f>#REF!</f>
        <v>#REF!</v>
      </c>
      <c r="M370" s="61" t="e">
        <f>IF(L370&lt;0,Pricing!E370*$N$5,0)</f>
        <v>#REF!</v>
      </c>
      <c r="N370" s="61" t="e">
        <f t="shared" si="43"/>
        <v>#REF!</v>
      </c>
      <c r="O370" s="60" t="e">
        <f>#REF!</f>
        <v>#REF!</v>
      </c>
      <c r="P370" s="61" t="e">
        <f>IF(O370&lt;0,Pricing!E370*$Q$5,0)</f>
        <v>#REF!</v>
      </c>
      <c r="Q370" s="61" t="e">
        <f t="shared" si="44"/>
        <v>#REF!</v>
      </c>
      <c r="R370" s="60" t="e">
        <f>#REF!</f>
        <v>#REF!</v>
      </c>
      <c r="S370" s="61" t="e">
        <f>IF(R370&lt;0,Pricing!E370*$T$5,0)</f>
        <v>#REF!</v>
      </c>
      <c r="T370" s="61" t="e">
        <f t="shared" si="45"/>
        <v>#REF!</v>
      </c>
    </row>
    <row r="371" spans="1:20" x14ac:dyDescent="0.25">
      <c r="A371" s="58">
        <f t="shared" si="46"/>
        <v>44546.166666665784</v>
      </c>
      <c r="B371" s="59">
        <f t="shared" si="47"/>
        <v>44546.208333332448</v>
      </c>
      <c r="C371" s="60" t="e">
        <f>#REF!</f>
        <v>#REF!</v>
      </c>
      <c r="D371" s="61" t="e">
        <f>IF(C371&gt;0,Pricing!E371*$E$5,0)</f>
        <v>#REF!</v>
      </c>
      <c r="E371" s="61" t="e">
        <f t="shared" si="40"/>
        <v>#REF!</v>
      </c>
      <c r="F371" s="60" t="e">
        <f>#REF!</f>
        <v>#REF!</v>
      </c>
      <c r="G371" s="61" t="e">
        <f>IF(F371&gt;0,Pricing!E371*$H$5,0)</f>
        <v>#REF!</v>
      </c>
      <c r="H371" s="61" t="e">
        <f t="shared" si="41"/>
        <v>#REF!</v>
      </c>
      <c r="I371" s="62" t="e">
        <f>#REF!</f>
        <v>#REF!</v>
      </c>
      <c r="J371" s="61" t="e">
        <f>IF(I371&gt;0,Pricing!E371*$K$5,0)</f>
        <v>#REF!</v>
      </c>
      <c r="K371" s="63" t="e">
        <f t="shared" si="42"/>
        <v>#REF!</v>
      </c>
      <c r="L371" s="64" t="e">
        <f>#REF!</f>
        <v>#REF!</v>
      </c>
      <c r="M371" s="61" t="e">
        <f>IF(L371&lt;0,Pricing!E371*$N$5,0)</f>
        <v>#REF!</v>
      </c>
      <c r="N371" s="61" t="e">
        <f t="shared" si="43"/>
        <v>#REF!</v>
      </c>
      <c r="O371" s="60" t="e">
        <f>#REF!</f>
        <v>#REF!</v>
      </c>
      <c r="P371" s="61" t="e">
        <f>IF(O371&lt;0,Pricing!E371*$Q$5,0)</f>
        <v>#REF!</v>
      </c>
      <c r="Q371" s="61" t="e">
        <f t="shared" si="44"/>
        <v>#REF!</v>
      </c>
      <c r="R371" s="60" t="e">
        <f>#REF!</f>
        <v>#REF!</v>
      </c>
      <c r="S371" s="61" t="e">
        <f>IF(R371&lt;0,Pricing!E371*$T$5,0)</f>
        <v>#REF!</v>
      </c>
      <c r="T371" s="61" t="e">
        <f t="shared" si="45"/>
        <v>#REF!</v>
      </c>
    </row>
    <row r="372" spans="1:20" x14ac:dyDescent="0.25">
      <c r="A372" s="58">
        <f t="shared" si="46"/>
        <v>44546.208333332448</v>
      </c>
      <c r="B372" s="59">
        <f t="shared" si="47"/>
        <v>44546.249999999112</v>
      </c>
      <c r="C372" s="60" t="e">
        <f>#REF!</f>
        <v>#REF!</v>
      </c>
      <c r="D372" s="61" t="e">
        <f>IF(C372&gt;0,Pricing!E372*$E$5,0)</f>
        <v>#REF!</v>
      </c>
      <c r="E372" s="61" t="e">
        <f t="shared" si="40"/>
        <v>#REF!</v>
      </c>
      <c r="F372" s="60" t="e">
        <f>#REF!</f>
        <v>#REF!</v>
      </c>
      <c r="G372" s="61" t="e">
        <f>IF(F372&gt;0,Pricing!E372*$H$5,0)</f>
        <v>#REF!</v>
      </c>
      <c r="H372" s="61" t="e">
        <f t="shared" si="41"/>
        <v>#REF!</v>
      </c>
      <c r="I372" s="62" t="e">
        <f>#REF!</f>
        <v>#REF!</v>
      </c>
      <c r="J372" s="61" t="e">
        <f>IF(I372&gt;0,Pricing!E372*$K$5,0)</f>
        <v>#REF!</v>
      </c>
      <c r="K372" s="63" t="e">
        <f t="shared" si="42"/>
        <v>#REF!</v>
      </c>
      <c r="L372" s="64" t="e">
        <f>#REF!</f>
        <v>#REF!</v>
      </c>
      <c r="M372" s="61" t="e">
        <f>IF(L372&lt;0,Pricing!E372*$N$5,0)</f>
        <v>#REF!</v>
      </c>
      <c r="N372" s="61" t="e">
        <f t="shared" si="43"/>
        <v>#REF!</v>
      </c>
      <c r="O372" s="60" t="e">
        <f>#REF!</f>
        <v>#REF!</v>
      </c>
      <c r="P372" s="61" t="e">
        <f>IF(O372&lt;0,Pricing!E372*$Q$5,0)</f>
        <v>#REF!</v>
      </c>
      <c r="Q372" s="61" t="e">
        <f t="shared" si="44"/>
        <v>#REF!</v>
      </c>
      <c r="R372" s="60" t="e">
        <f>#REF!</f>
        <v>#REF!</v>
      </c>
      <c r="S372" s="61" t="e">
        <f>IF(R372&lt;0,Pricing!E372*$T$5,0)</f>
        <v>#REF!</v>
      </c>
      <c r="T372" s="61" t="e">
        <f t="shared" si="45"/>
        <v>#REF!</v>
      </c>
    </row>
    <row r="373" spans="1:20" x14ac:dyDescent="0.25">
      <c r="A373" s="58">
        <f t="shared" si="46"/>
        <v>44546.249999999112</v>
      </c>
      <c r="B373" s="59">
        <f t="shared" si="47"/>
        <v>44546.291666665777</v>
      </c>
      <c r="C373" s="60" t="e">
        <f>#REF!</f>
        <v>#REF!</v>
      </c>
      <c r="D373" s="61" t="e">
        <f>IF(C373&gt;0,Pricing!E373*$E$5,0)</f>
        <v>#REF!</v>
      </c>
      <c r="E373" s="61" t="e">
        <f t="shared" si="40"/>
        <v>#REF!</v>
      </c>
      <c r="F373" s="60" t="e">
        <f>#REF!</f>
        <v>#REF!</v>
      </c>
      <c r="G373" s="61" t="e">
        <f>IF(F373&gt;0,Pricing!E373*$H$5,0)</f>
        <v>#REF!</v>
      </c>
      <c r="H373" s="61" t="e">
        <f t="shared" si="41"/>
        <v>#REF!</v>
      </c>
      <c r="I373" s="62" t="e">
        <f>#REF!</f>
        <v>#REF!</v>
      </c>
      <c r="J373" s="61" t="e">
        <f>IF(I373&gt;0,Pricing!E373*$K$5,0)</f>
        <v>#REF!</v>
      </c>
      <c r="K373" s="63" t="e">
        <f t="shared" si="42"/>
        <v>#REF!</v>
      </c>
      <c r="L373" s="64" t="e">
        <f>#REF!</f>
        <v>#REF!</v>
      </c>
      <c r="M373" s="61" t="e">
        <f>IF(L373&lt;0,Pricing!E373*$N$5,0)</f>
        <v>#REF!</v>
      </c>
      <c r="N373" s="61" t="e">
        <f t="shared" si="43"/>
        <v>#REF!</v>
      </c>
      <c r="O373" s="60" t="e">
        <f>#REF!</f>
        <v>#REF!</v>
      </c>
      <c r="P373" s="61" t="e">
        <f>IF(O373&lt;0,Pricing!E373*$Q$5,0)</f>
        <v>#REF!</v>
      </c>
      <c r="Q373" s="61" t="e">
        <f t="shared" si="44"/>
        <v>#REF!</v>
      </c>
      <c r="R373" s="60" t="e">
        <f>#REF!</f>
        <v>#REF!</v>
      </c>
      <c r="S373" s="61" t="e">
        <f>IF(R373&lt;0,Pricing!E373*$T$5,0)</f>
        <v>#REF!</v>
      </c>
      <c r="T373" s="61" t="e">
        <f t="shared" si="45"/>
        <v>#REF!</v>
      </c>
    </row>
    <row r="374" spans="1:20" x14ac:dyDescent="0.25">
      <c r="A374" s="58">
        <f t="shared" si="46"/>
        <v>44546.291666665777</v>
      </c>
      <c r="B374" s="59">
        <f t="shared" si="47"/>
        <v>44546.333333332441</v>
      </c>
      <c r="C374" s="60" t="e">
        <f>#REF!</f>
        <v>#REF!</v>
      </c>
      <c r="D374" s="61" t="e">
        <f>IF(C374&gt;0,Pricing!E374*$E$5,0)</f>
        <v>#REF!</v>
      </c>
      <c r="E374" s="61" t="e">
        <f t="shared" si="40"/>
        <v>#REF!</v>
      </c>
      <c r="F374" s="60" t="e">
        <f>#REF!</f>
        <v>#REF!</v>
      </c>
      <c r="G374" s="61" t="e">
        <f>IF(F374&gt;0,Pricing!E374*$H$5,0)</f>
        <v>#REF!</v>
      </c>
      <c r="H374" s="61" t="e">
        <f t="shared" si="41"/>
        <v>#REF!</v>
      </c>
      <c r="I374" s="62" t="e">
        <f>#REF!</f>
        <v>#REF!</v>
      </c>
      <c r="J374" s="61" t="e">
        <f>IF(I374&gt;0,Pricing!E374*$K$5,0)</f>
        <v>#REF!</v>
      </c>
      <c r="K374" s="63" t="e">
        <f t="shared" si="42"/>
        <v>#REF!</v>
      </c>
      <c r="L374" s="64" t="e">
        <f>#REF!</f>
        <v>#REF!</v>
      </c>
      <c r="M374" s="61" t="e">
        <f>IF(L374&lt;0,Pricing!E374*$N$5,0)</f>
        <v>#REF!</v>
      </c>
      <c r="N374" s="61" t="e">
        <f t="shared" si="43"/>
        <v>#REF!</v>
      </c>
      <c r="O374" s="60" t="e">
        <f>#REF!</f>
        <v>#REF!</v>
      </c>
      <c r="P374" s="61" t="e">
        <f>IF(O374&lt;0,Pricing!E374*$Q$5,0)</f>
        <v>#REF!</v>
      </c>
      <c r="Q374" s="61" t="e">
        <f t="shared" si="44"/>
        <v>#REF!</v>
      </c>
      <c r="R374" s="60" t="e">
        <f>#REF!</f>
        <v>#REF!</v>
      </c>
      <c r="S374" s="61" t="e">
        <f>IF(R374&lt;0,Pricing!E374*$T$5,0)</f>
        <v>#REF!</v>
      </c>
      <c r="T374" s="61" t="e">
        <f t="shared" si="45"/>
        <v>#REF!</v>
      </c>
    </row>
    <row r="375" spans="1:20" x14ac:dyDescent="0.25">
      <c r="A375" s="58">
        <f t="shared" si="46"/>
        <v>44546.333333332441</v>
      </c>
      <c r="B375" s="59">
        <f t="shared" si="47"/>
        <v>44546.374999999105</v>
      </c>
      <c r="C375" s="60" t="e">
        <f>#REF!</f>
        <v>#REF!</v>
      </c>
      <c r="D375" s="61" t="e">
        <f>IF(C375&gt;0,Pricing!E375*$E$5,0)</f>
        <v>#REF!</v>
      </c>
      <c r="E375" s="61" t="e">
        <f t="shared" si="40"/>
        <v>#REF!</v>
      </c>
      <c r="F375" s="60" t="e">
        <f>#REF!</f>
        <v>#REF!</v>
      </c>
      <c r="G375" s="61" t="e">
        <f>IF(F375&gt;0,Pricing!E375*$H$5,0)</f>
        <v>#REF!</v>
      </c>
      <c r="H375" s="61" t="e">
        <f t="shared" si="41"/>
        <v>#REF!</v>
      </c>
      <c r="I375" s="62" t="e">
        <f>#REF!</f>
        <v>#REF!</v>
      </c>
      <c r="J375" s="61" t="e">
        <f>IF(I375&gt;0,Pricing!E375*$K$5,0)</f>
        <v>#REF!</v>
      </c>
      <c r="K375" s="63" t="e">
        <f t="shared" si="42"/>
        <v>#REF!</v>
      </c>
      <c r="L375" s="64" t="e">
        <f>#REF!</f>
        <v>#REF!</v>
      </c>
      <c r="M375" s="61" t="e">
        <f>IF(L375&lt;0,Pricing!E375*$N$5,0)</f>
        <v>#REF!</v>
      </c>
      <c r="N375" s="61" t="e">
        <f t="shared" si="43"/>
        <v>#REF!</v>
      </c>
      <c r="O375" s="60" t="e">
        <f>#REF!</f>
        <v>#REF!</v>
      </c>
      <c r="P375" s="61" t="e">
        <f>IF(O375&lt;0,Pricing!E375*$Q$5,0)</f>
        <v>#REF!</v>
      </c>
      <c r="Q375" s="61" t="e">
        <f t="shared" si="44"/>
        <v>#REF!</v>
      </c>
      <c r="R375" s="60" t="e">
        <f>#REF!</f>
        <v>#REF!</v>
      </c>
      <c r="S375" s="61" t="e">
        <f>IF(R375&lt;0,Pricing!E375*$T$5,0)</f>
        <v>#REF!</v>
      </c>
      <c r="T375" s="61" t="e">
        <f t="shared" si="45"/>
        <v>#REF!</v>
      </c>
    </row>
    <row r="376" spans="1:20" x14ac:dyDescent="0.25">
      <c r="A376" s="58">
        <f t="shared" si="46"/>
        <v>44546.374999999105</v>
      </c>
      <c r="B376" s="59">
        <f t="shared" si="47"/>
        <v>44546.416666665769</v>
      </c>
      <c r="C376" s="60" t="e">
        <f>#REF!</f>
        <v>#REF!</v>
      </c>
      <c r="D376" s="61" t="e">
        <f>IF(C376&gt;0,Pricing!E376*$E$5,0)</f>
        <v>#REF!</v>
      </c>
      <c r="E376" s="61" t="e">
        <f t="shared" si="40"/>
        <v>#REF!</v>
      </c>
      <c r="F376" s="60" t="e">
        <f>#REF!</f>
        <v>#REF!</v>
      </c>
      <c r="G376" s="61" t="e">
        <f>IF(F376&gt;0,Pricing!E376*$H$5,0)</f>
        <v>#REF!</v>
      </c>
      <c r="H376" s="61" t="e">
        <f t="shared" si="41"/>
        <v>#REF!</v>
      </c>
      <c r="I376" s="62" t="e">
        <f>#REF!</f>
        <v>#REF!</v>
      </c>
      <c r="J376" s="61" t="e">
        <f>IF(I376&gt;0,Pricing!E376*$K$5,0)</f>
        <v>#REF!</v>
      </c>
      <c r="K376" s="63" t="e">
        <f t="shared" si="42"/>
        <v>#REF!</v>
      </c>
      <c r="L376" s="64" t="e">
        <f>#REF!</f>
        <v>#REF!</v>
      </c>
      <c r="M376" s="61" t="e">
        <f>IF(L376&lt;0,Pricing!E376*$N$5,0)</f>
        <v>#REF!</v>
      </c>
      <c r="N376" s="61" t="e">
        <f t="shared" si="43"/>
        <v>#REF!</v>
      </c>
      <c r="O376" s="60" t="e">
        <f>#REF!</f>
        <v>#REF!</v>
      </c>
      <c r="P376" s="61" t="e">
        <f>IF(O376&lt;0,Pricing!E376*$Q$5,0)</f>
        <v>#REF!</v>
      </c>
      <c r="Q376" s="61" t="e">
        <f t="shared" si="44"/>
        <v>#REF!</v>
      </c>
      <c r="R376" s="60" t="e">
        <f>#REF!</f>
        <v>#REF!</v>
      </c>
      <c r="S376" s="61" t="e">
        <f>IF(R376&lt;0,Pricing!E376*$T$5,0)</f>
        <v>#REF!</v>
      </c>
      <c r="T376" s="61" t="e">
        <f t="shared" si="45"/>
        <v>#REF!</v>
      </c>
    </row>
    <row r="377" spans="1:20" x14ac:dyDescent="0.25">
      <c r="A377" s="58">
        <f t="shared" si="46"/>
        <v>44546.416666665769</v>
      </c>
      <c r="B377" s="59">
        <f t="shared" si="47"/>
        <v>44546.458333332434</v>
      </c>
      <c r="C377" s="60" t="e">
        <f>#REF!</f>
        <v>#REF!</v>
      </c>
      <c r="D377" s="61" t="e">
        <f>IF(C377&gt;0,Pricing!E377*$E$5,0)</f>
        <v>#REF!</v>
      </c>
      <c r="E377" s="61" t="e">
        <f t="shared" si="40"/>
        <v>#REF!</v>
      </c>
      <c r="F377" s="60" t="e">
        <f>#REF!</f>
        <v>#REF!</v>
      </c>
      <c r="G377" s="61" t="e">
        <f>IF(F377&gt;0,Pricing!E377*$H$5,0)</f>
        <v>#REF!</v>
      </c>
      <c r="H377" s="61" t="e">
        <f t="shared" si="41"/>
        <v>#REF!</v>
      </c>
      <c r="I377" s="62" t="e">
        <f>#REF!</f>
        <v>#REF!</v>
      </c>
      <c r="J377" s="61" t="e">
        <f>IF(I377&gt;0,Pricing!E377*$K$5,0)</f>
        <v>#REF!</v>
      </c>
      <c r="K377" s="63" t="e">
        <f t="shared" si="42"/>
        <v>#REF!</v>
      </c>
      <c r="L377" s="64" t="e">
        <f>#REF!</f>
        <v>#REF!</v>
      </c>
      <c r="M377" s="61" t="e">
        <f>IF(L377&lt;0,Pricing!E377*$N$5,0)</f>
        <v>#REF!</v>
      </c>
      <c r="N377" s="61" t="e">
        <f t="shared" si="43"/>
        <v>#REF!</v>
      </c>
      <c r="O377" s="60" t="e">
        <f>#REF!</f>
        <v>#REF!</v>
      </c>
      <c r="P377" s="61" t="e">
        <f>IF(O377&lt;0,Pricing!E377*$Q$5,0)</f>
        <v>#REF!</v>
      </c>
      <c r="Q377" s="61" t="e">
        <f t="shared" si="44"/>
        <v>#REF!</v>
      </c>
      <c r="R377" s="60" t="e">
        <f>#REF!</f>
        <v>#REF!</v>
      </c>
      <c r="S377" s="61" t="e">
        <f>IF(R377&lt;0,Pricing!E377*$T$5,0)</f>
        <v>#REF!</v>
      </c>
      <c r="T377" s="61" t="e">
        <f t="shared" si="45"/>
        <v>#REF!</v>
      </c>
    </row>
    <row r="378" spans="1:20" x14ac:dyDescent="0.25">
      <c r="A378" s="58">
        <f t="shared" si="46"/>
        <v>44546.458333332434</v>
      </c>
      <c r="B378" s="59">
        <f t="shared" si="47"/>
        <v>44546.499999999098</v>
      </c>
      <c r="C378" s="60" t="e">
        <f>#REF!</f>
        <v>#REF!</v>
      </c>
      <c r="D378" s="61" t="e">
        <f>IF(C378&gt;0,Pricing!E378*$E$5,0)</f>
        <v>#REF!</v>
      </c>
      <c r="E378" s="61" t="e">
        <f t="shared" si="40"/>
        <v>#REF!</v>
      </c>
      <c r="F378" s="60" t="e">
        <f>#REF!</f>
        <v>#REF!</v>
      </c>
      <c r="G378" s="61" t="e">
        <f>IF(F378&gt;0,Pricing!E378*$H$5,0)</f>
        <v>#REF!</v>
      </c>
      <c r="H378" s="61" t="e">
        <f t="shared" si="41"/>
        <v>#REF!</v>
      </c>
      <c r="I378" s="62" t="e">
        <f>#REF!</f>
        <v>#REF!</v>
      </c>
      <c r="J378" s="61" t="e">
        <f>IF(I378&gt;0,Pricing!E378*$K$5,0)</f>
        <v>#REF!</v>
      </c>
      <c r="K378" s="63" t="e">
        <f t="shared" si="42"/>
        <v>#REF!</v>
      </c>
      <c r="L378" s="64" t="e">
        <f>#REF!</f>
        <v>#REF!</v>
      </c>
      <c r="M378" s="61" t="e">
        <f>IF(L378&lt;0,Pricing!E378*$N$5,0)</f>
        <v>#REF!</v>
      </c>
      <c r="N378" s="61" t="e">
        <f t="shared" si="43"/>
        <v>#REF!</v>
      </c>
      <c r="O378" s="60" t="e">
        <f>#REF!</f>
        <v>#REF!</v>
      </c>
      <c r="P378" s="61" t="e">
        <f>IF(O378&lt;0,Pricing!E378*$Q$5,0)</f>
        <v>#REF!</v>
      </c>
      <c r="Q378" s="61" t="e">
        <f t="shared" si="44"/>
        <v>#REF!</v>
      </c>
      <c r="R378" s="60" t="e">
        <f>#REF!</f>
        <v>#REF!</v>
      </c>
      <c r="S378" s="61" t="e">
        <f>IF(R378&lt;0,Pricing!E378*$T$5,0)</f>
        <v>#REF!</v>
      </c>
      <c r="T378" s="61" t="e">
        <f t="shared" si="45"/>
        <v>#REF!</v>
      </c>
    </row>
    <row r="379" spans="1:20" x14ac:dyDescent="0.25">
      <c r="A379" s="58">
        <f t="shared" si="46"/>
        <v>44546.499999999098</v>
      </c>
      <c r="B379" s="59">
        <f t="shared" si="47"/>
        <v>44546.541666665762</v>
      </c>
      <c r="C379" s="60" t="e">
        <f>#REF!</f>
        <v>#REF!</v>
      </c>
      <c r="D379" s="61" t="e">
        <f>IF(C379&gt;0,Pricing!E379*$E$5,0)</f>
        <v>#REF!</v>
      </c>
      <c r="E379" s="61" t="e">
        <f t="shared" si="40"/>
        <v>#REF!</v>
      </c>
      <c r="F379" s="60" t="e">
        <f>#REF!</f>
        <v>#REF!</v>
      </c>
      <c r="G379" s="61" t="e">
        <f>IF(F379&gt;0,Pricing!E379*$H$5,0)</f>
        <v>#REF!</v>
      </c>
      <c r="H379" s="61" t="e">
        <f t="shared" si="41"/>
        <v>#REF!</v>
      </c>
      <c r="I379" s="62" t="e">
        <f>#REF!</f>
        <v>#REF!</v>
      </c>
      <c r="J379" s="61" t="e">
        <f>IF(I379&gt;0,Pricing!E379*$K$5,0)</f>
        <v>#REF!</v>
      </c>
      <c r="K379" s="63" t="e">
        <f t="shared" si="42"/>
        <v>#REF!</v>
      </c>
      <c r="L379" s="64" t="e">
        <f>#REF!</f>
        <v>#REF!</v>
      </c>
      <c r="M379" s="61" t="e">
        <f>IF(L379&lt;0,Pricing!E379*$N$5,0)</f>
        <v>#REF!</v>
      </c>
      <c r="N379" s="61" t="e">
        <f t="shared" si="43"/>
        <v>#REF!</v>
      </c>
      <c r="O379" s="60" t="e">
        <f>#REF!</f>
        <v>#REF!</v>
      </c>
      <c r="P379" s="61" t="e">
        <f>IF(O379&lt;0,Pricing!E379*$Q$5,0)</f>
        <v>#REF!</v>
      </c>
      <c r="Q379" s="61" t="e">
        <f t="shared" si="44"/>
        <v>#REF!</v>
      </c>
      <c r="R379" s="60" t="e">
        <f>#REF!</f>
        <v>#REF!</v>
      </c>
      <c r="S379" s="61" t="e">
        <f>IF(R379&lt;0,Pricing!E379*$T$5,0)</f>
        <v>#REF!</v>
      </c>
      <c r="T379" s="61" t="e">
        <f t="shared" si="45"/>
        <v>#REF!</v>
      </c>
    </row>
    <row r="380" spans="1:20" x14ac:dyDescent="0.25">
      <c r="A380" s="58">
        <f t="shared" si="46"/>
        <v>44546.541666665762</v>
      </c>
      <c r="B380" s="59">
        <f t="shared" si="47"/>
        <v>44546.583333332426</v>
      </c>
      <c r="C380" s="60" t="e">
        <f>#REF!</f>
        <v>#REF!</v>
      </c>
      <c r="D380" s="61" t="e">
        <f>IF(C380&gt;0,Pricing!E380*$E$5,0)</f>
        <v>#REF!</v>
      </c>
      <c r="E380" s="61" t="e">
        <f t="shared" si="40"/>
        <v>#REF!</v>
      </c>
      <c r="F380" s="60" t="e">
        <f>#REF!</f>
        <v>#REF!</v>
      </c>
      <c r="G380" s="61" t="e">
        <f>IF(F380&gt;0,Pricing!E380*$H$5,0)</f>
        <v>#REF!</v>
      </c>
      <c r="H380" s="61" t="e">
        <f t="shared" si="41"/>
        <v>#REF!</v>
      </c>
      <c r="I380" s="62" t="e">
        <f>#REF!</f>
        <v>#REF!</v>
      </c>
      <c r="J380" s="61" t="e">
        <f>IF(I380&gt;0,Pricing!E380*$K$5,0)</f>
        <v>#REF!</v>
      </c>
      <c r="K380" s="63" t="e">
        <f t="shared" si="42"/>
        <v>#REF!</v>
      </c>
      <c r="L380" s="64" t="e">
        <f>#REF!</f>
        <v>#REF!</v>
      </c>
      <c r="M380" s="61" t="e">
        <f>IF(L380&lt;0,Pricing!E380*$N$5,0)</f>
        <v>#REF!</v>
      </c>
      <c r="N380" s="61" t="e">
        <f t="shared" si="43"/>
        <v>#REF!</v>
      </c>
      <c r="O380" s="60" t="e">
        <f>#REF!</f>
        <v>#REF!</v>
      </c>
      <c r="P380" s="61" t="e">
        <f>IF(O380&lt;0,Pricing!E380*$Q$5,0)</f>
        <v>#REF!</v>
      </c>
      <c r="Q380" s="61" t="e">
        <f t="shared" si="44"/>
        <v>#REF!</v>
      </c>
      <c r="R380" s="60" t="e">
        <f>#REF!</f>
        <v>#REF!</v>
      </c>
      <c r="S380" s="61" t="e">
        <f>IF(R380&lt;0,Pricing!E380*$T$5,0)</f>
        <v>#REF!</v>
      </c>
      <c r="T380" s="61" t="e">
        <f t="shared" si="45"/>
        <v>#REF!</v>
      </c>
    </row>
    <row r="381" spans="1:20" x14ac:dyDescent="0.25">
      <c r="A381" s="58">
        <f t="shared" si="46"/>
        <v>44546.583333332426</v>
      </c>
      <c r="B381" s="59">
        <f t="shared" si="47"/>
        <v>44546.624999999091</v>
      </c>
      <c r="C381" s="60" t="e">
        <f>#REF!</f>
        <v>#REF!</v>
      </c>
      <c r="D381" s="61" t="e">
        <f>IF(C381&gt;0,Pricing!E381*$E$5,0)</f>
        <v>#REF!</v>
      </c>
      <c r="E381" s="61" t="e">
        <f t="shared" si="40"/>
        <v>#REF!</v>
      </c>
      <c r="F381" s="60" t="e">
        <f>#REF!</f>
        <v>#REF!</v>
      </c>
      <c r="G381" s="61" t="e">
        <f>IF(F381&gt;0,Pricing!E381*$H$5,0)</f>
        <v>#REF!</v>
      </c>
      <c r="H381" s="61" t="e">
        <f t="shared" si="41"/>
        <v>#REF!</v>
      </c>
      <c r="I381" s="62" t="e">
        <f>#REF!</f>
        <v>#REF!</v>
      </c>
      <c r="J381" s="61" t="e">
        <f>IF(I381&gt;0,Pricing!E381*$K$5,0)</f>
        <v>#REF!</v>
      </c>
      <c r="K381" s="63" t="e">
        <f t="shared" si="42"/>
        <v>#REF!</v>
      </c>
      <c r="L381" s="64" t="e">
        <f>#REF!</f>
        <v>#REF!</v>
      </c>
      <c r="M381" s="61" t="e">
        <f>IF(L381&lt;0,Pricing!E381*$N$5,0)</f>
        <v>#REF!</v>
      </c>
      <c r="N381" s="61" t="e">
        <f t="shared" si="43"/>
        <v>#REF!</v>
      </c>
      <c r="O381" s="60" t="e">
        <f>#REF!</f>
        <v>#REF!</v>
      </c>
      <c r="P381" s="61" t="e">
        <f>IF(O381&lt;0,Pricing!E381*$Q$5,0)</f>
        <v>#REF!</v>
      </c>
      <c r="Q381" s="61" t="e">
        <f t="shared" si="44"/>
        <v>#REF!</v>
      </c>
      <c r="R381" s="60" t="e">
        <f>#REF!</f>
        <v>#REF!</v>
      </c>
      <c r="S381" s="61" t="e">
        <f>IF(R381&lt;0,Pricing!E381*$T$5,0)</f>
        <v>#REF!</v>
      </c>
      <c r="T381" s="61" t="e">
        <f t="shared" si="45"/>
        <v>#REF!</v>
      </c>
    </row>
    <row r="382" spans="1:20" x14ac:dyDescent="0.25">
      <c r="A382" s="58">
        <f t="shared" si="46"/>
        <v>44546.624999999091</v>
      </c>
      <c r="B382" s="59">
        <f t="shared" si="47"/>
        <v>44546.666666665755</v>
      </c>
      <c r="C382" s="60" t="e">
        <f>#REF!</f>
        <v>#REF!</v>
      </c>
      <c r="D382" s="61" t="e">
        <f>IF(C382&gt;0,Pricing!E382*$E$5,0)</f>
        <v>#REF!</v>
      </c>
      <c r="E382" s="61" t="e">
        <f t="shared" si="40"/>
        <v>#REF!</v>
      </c>
      <c r="F382" s="60" t="e">
        <f>#REF!</f>
        <v>#REF!</v>
      </c>
      <c r="G382" s="61" t="e">
        <f>IF(F382&gt;0,Pricing!E382*$H$5,0)</f>
        <v>#REF!</v>
      </c>
      <c r="H382" s="61" t="e">
        <f t="shared" si="41"/>
        <v>#REF!</v>
      </c>
      <c r="I382" s="62" t="e">
        <f>#REF!</f>
        <v>#REF!</v>
      </c>
      <c r="J382" s="61" t="e">
        <f>IF(I382&gt;0,Pricing!E382*$K$5,0)</f>
        <v>#REF!</v>
      </c>
      <c r="K382" s="63" t="e">
        <f t="shared" si="42"/>
        <v>#REF!</v>
      </c>
      <c r="L382" s="64" t="e">
        <f>#REF!</f>
        <v>#REF!</v>
      </c>
      <c r="M382" s="61" t="e">
        <f>IF(L382&lt;0,Pricing!E382*$N$5,0)</f>
        <v>#REF!</v>
      </c>
      <c r="N382" s="61" t="e">
        <f t="shared" si="43"/>
        <v>#REF!</v>
      </c>
      <c r="O382" s="60" t="e">
        <f>#REF!</f>
        <v>#REF!</v>
      </c>
      <c r="P382" s="61" t="e">
        <f>IF(O382&lt;0,Pricing!E382*$Q$5,0)</f>
        <v>#REF!</v>
      </c>
      <c r="Q382" s="61" t="e">
        <f t="shared" si="44"/>
        <v>#REF!</v>
      </c>
      <c r="R382" s="60" t="e">
        <f>#REF!</f>
        <v>#REF!</v>
      </c>
      <c r="S382" s="61" t="e">
        <f>IF(R382&lt;0,Pricing!E382*$T$5,0)</f>
        <v>#REF!</v>
      </c>
      <c r="T382" s="61" t="e">
        <f t="shared" si="45"/>
        <v>#REF!</v>
      </c>
    </row>
    <row r="383" spans="1:20" x14ac:dyDescent="0.25">
      <c r="A383" s="58">
        <f t="shared" si="46"/>
        <v>44546.666666665755</v>
      </c>
      <c r="B383" s="59">
        <f t="shared" si="47"/>
        <v>44546.708333332419</v>
      </c>
      <c r="C383" s="60" t="e">
        <f>#REF!</f>
        <v>#REF!</v>
      </c>
      <c r="D383" s="61" t="e">
        <f>IF(C383&gt;0,Pricing!E383*$E$5,0)</f>
        <v>#REF!</v>
      </c>
      <c r="E383" s="61" t="e">
        <f t="shared" si="40"/>
        <v>#REF!</v>
      </c>
      <c r="F383" s="60" t="e">
        <f>#REF!</f>
        <v>#REF!</v>
      </c>
      <c r="G383" s="61" t="e">
        <f>IF(F383&gt;0,Pricing!E383*$H$5,0)</f>
        <v>#REF!</v>
      </c>
      <c r="H383" s="61" t="e">
        <f t="shared" si="41"/>
        <v>#REF!</v>
      </c>
      <c r="I383" s="62" t="e">
        <f>#REF!</f>
        <v>#REF!</v>
      </c>
      <c r="J383" s="61" t="e">
        <f>IF(I383&gt;0,Pricing!E383*$K$5,0)</f>
        <v>#REF!</v>
      </c>
      <c r="K383" s="63" t="e">
        <f t="shared" si="42"/>
        <v>#REF!</v>
      </c>
      <c r="L383" s="64" t="e">
        <f>#REF!</f>
        <v>#REF!</v>
      </c>
      <c r="M383" s="61" t="e">
        <f>IF(L383&lt;0,Pricing!E383*$N$5,0)</f>
        <v>#REF!</v>
      </c>
      <c r="N383" s="61" t="e">
        <f t="shared" si="43"/>
        <v>#REF!</v>
      </c>
      <c r="O383" s="60" t="e">
        <f>#REF!</f>
        <v>#REF!</v>
      </c>
      <c r="P383" s="61" t="e">
        <f>IF(O383&lt;0,Pricing!E383*$Q$5,0)</f>
        <v>#REF!</v>
      </c>
      <c r="Q383" s="61" t="e">
        <f t="shared" si="44"/>
        <v>#REF!</v>
      </c>
      <c r="R383" s="60" t="e">
        <f>#REF!</f>
        <v>#REF!</v>
      </c>
      <c r="S383" s="61" t="e">
        <f>IF(R383&lt;0,Pricing!E383*$T$5,0)</f>
        <v>#REF!</v>
      </c>
      <c r="T383" s="61" t="e">
        <f t="shared" si="45"/>
        <v>#REF!</v>
      </c>
    </row>
    <row r="384" spans="1:20" x14ac:dyDescent="0.25">
      <c r="A384" s="58">
        <f t="shared" si="46"/>
        <v>44546.708333332419</v>
      </c>
      <c r="B384" s="59">
        <f t="shared" si="47"/>
        <v>44546.749999999083</v>
      </c>
      <c r="C384" s="60" t="e">
        <f>#REF!</f>
        <v>#REF!</v>
      </c>
      <c r="D384" s="61" t="e">
        <f>IF(C384&gt;0,Pricing!E384*$E$5,0)</f>
        <v>#REF!</v>
      </c>
      <c r="E384" s="61" t="e">
        <f t="shared" si="40"/>
        <v>#REF!</v>
      </c>
      <c r="F384" s="60" t="e">
        <f>#REF!</f>
        <v>#REF!</v>
      </c>
      <c r="G384" s="61" t="e">
        <f>IF(F384&gt;0,Pricing!E384*$H$5,0)</f>
        <v>#REF!</v>
      </c>
      <c r="H384" s="61" t="e">
        <f t="shared" si="41"/>
        <v>#REF!</v>
      </c>
      <c r="I384" s="62" t="e">
        <f>#REF!</f>
        <v>#REF!</v>
      </c>
      <c r="J384" s="61" t="e">
        <f>IF(I384&gt;0,Pricing!E384*$K$5,0)</f>
        <v>#REF!</v>
      </c>
      <c r="K384" s="63" t="e">
        <f t="shared" si="42"/>
        <v>#REF!</v>
      </c>
      <c r="L384" s="64" t="e">
        <f>#REF!</f>
        <v>#REF!</v>
      </c>
      <c r="M384" s="61" t="e">
        <f>IF(L384&lt;0,Pricing!E384*$N$5,0)</f>
        <v>#REF!</v>
      </c>
      <c r="N384" s="61" t="e">
        <f t="shared" si="43"/>
        <v>#REF!</v>
      </c>
      <c r="O384" s="60" t="e">
        <f>#REF!</f>
        <v>#REF!</v>
      </c>
      <c r="P384" s="61" t="e">
        <f>IF(O384&lt;0,Pricing!E384*$Q$5,0)</f>
        <v>#REF!</v>
      </c>
      <c r="Q384" s="61" t="e">
        <f t="shared" si="44"/>
        <v>#REF!</v>
      </c>
      <c r="R384" s="60" t="e">
        <f>#REF!</f>
        <v>#REF!</v>
      </c>
      <c r="S384" s="61" t="e">
        <f>IF(R384&lt;0,Pricing!E384*$T$5,0)</f>
        <v>#REF!</v>
      </c>
      <c r="T384" s="61" t="e">
        <f t="shared" si="45"/>
        <v>#REF!</v>
      </c>
    </row>
    <row r="385" spans="1:20" x14ac:dyDescent="0.25">
      <c r="A385" s="58">
        <f t="shared" si="46"/>
        <v>44546.749999999083</v>
      </c>
      <c r="B385" s="59">
        <f t="shared" si="47"/>
        <v>44546.791666665747</v>
      </c>
      <c r="C385" s="60" t="e">
        <f>#REF!</f>
        <v>#REF!</v>
      </c>
      <c r="D385" s="61" t="e">
        <f>IF(C385&gt;0,Pricing!E385*$E$5,0)</f>
        <v>#REF!</v>
      </c>
      <c r="E385" s="61" t="e">
        <f t="shared" si="40"/>
        <v>#REF!</v>
      </c>
      <c r="F385" s="60" t="e">
        <f>#REF!</f>
        <v>#REF!</v>
      </c>
      <c r="G385" s="61" t="e">
        <f>IF(F385&gt;0,Pricing!E385*$H$5,0)</f>
        <v>#REF!</v>
      </c>
      <c r="H385" s="61" t="e">
        <f t="shared" si="41"/>
        <v>#REF!</v>
      </c>
      <c r="I385" s="62" t="e">
        <f>#REF!</f>
        <v>#REF!</v>
      </c>
      <c r="J385" s="61" t="e">
        <f>IF(I385&gt;0,Pricing!E385*$K$5,0)</f>
        <v>#REF!</v>
      </c>
      <c r="K385" s="63" t="e">
        <f t="shared" si="42"/>
        <v>#REF!</v>
      </c>
      <c r="L385" s="64" t="e">
        <f>#REF!</f>
        <v>#REF!</v>
      </c>
      <c r="M385" s="61" t="e">
        <f>IF(L385&lt;0,Pricing!E385*$N$5,0)</f>
        <v>#REF!</v>
      </c>
      <c r="N385" s="61" t="e">
        <f t="shared" si="43"/>
        <v>#REF!</v>
      </c>
      <c r="O385" s="60" t="e">
        <f>#REF!</f>
        <v>#REF!</v>
      </c>
      <c r="P385" s="61" t="e">
        <f>IF(O385&lt;0,Pricing!E385*$Q$5,0)</f>
        <v>#REF!</v>
      </c>
      <c r="Q385" s="61" t="e">
        <f t="shared" si="44"/>
        <v>#REF!</v>
      </c>
      <c r="R385" s="60" t="e">
        <f>#REF!</f>
        <v>#REF!</v>
      </c>
      <c r="S385" s="61" t="e">
        <f>IF(R385&lt;0,Pricing!E385*$T$5,0)</f>
        <v>#REF!</v>
      </c>
      <c r="T385" s="61" t="e">
        <f t="shared" si="45"/>
        <v>#REF!</v>
      </c>
    </row>
    <row r="386" spans="1:20" x14ac:dyDescent="0.25">
      <c r="A386" s="58">
        <f t="shared" si="46"/>
        <v>44546.791666665747</v>
      </c>
      <c r="B386" s="59">
        <f t="shared" si="47"/>
        <v>44546.833333332412</v>
      </c>
      <c r="C386" s="60" t="e">
        <f>#REF!</f>
        <v>#REF!</v>
      </c>
      <c r="D386" s="61" t="e">
        <f>IF(C386&gt;0,Pricing!E386*$E$5,0)</f>
        <v>#REF!</v>
      </c>
      <c r="E386" s="61" t="e">
        <f t="shared" si="40"/>
        <v>#REF!</v>
      </c>
      <c r="F386" s="60" t="e">
        <f>#REF!</f>
        <v>#REF!</v>
      </c>
      <c r="G386" s="61" t="e">
        <f>IF(F386&gt;0,Pricing!E386*$H$5,0)</f>
        <v>#REF!</v>
      </c>
      <c r="H386" s="61" t="e">
        <f t="shared" si="41"/>
        <v>#REF!</v>
      </c>
      <c r="I386" s="62" t="e">
        <f>#REF!</f>
        <v>#REF!</v>
      </c>
      <c r="J386" s="61" t="e">
        <f>IF(I386&gt;0,Pricing!E386*$K$5,0)</f>
        <v>#REF!</v>
      </c>
      <c r="K386" s="63" t="e">
        <f t="shared" si="42"/>
        <v>#REF!</v>
      </c>
      <c r="L386" s="64" t="e">
        <f>#REF!</f>
        <v>#REF!</v>
      </c>
      <c r="M386" s="61" t="e">
        <f>IF(L386&lt;0,Pricing!E386*$N$5,0)</f>
        <v>#REF!</v>
      </c>
      <c r="N386" s="61" t="e">
        <f t="shared" si="43"/>
        <v>#REF!</v>
      </c>
      <c r="O386" s="60" t="e">
        <f>#REF!</f>
        <v>#REF!</v>
      </c>
      <c r="P386" s="61" t="e">
        <f>IF(O386&lt;0,Pricing!E386*$Q$5,0)</f>
        <v>#REF!</v>
      </c>
      <c r="Q386" s="61" t="e">
        <f t="shared" si="44"/>
        <v>#REF!</v>
      </c>
      <c r="R386" s="60" t="e">
        <f>#REF!</f>
        <v>#REF!</v>
      </c>
      <c r="S386" s="61" t="e">
        <f>IF(R386&lt;0,Pricing!E386*$T$5,0)</f>
        <v>#REF!</v>
      </c>
      <c r="T386" s="61" t="e">
        <f t="shared" si="45"/>
        <v>#REF!</v>
      </c>
    </row>
    <row r="387" spans="1:20" x14ac:dyDescent="0.25">
      <c r="A387" s="58">
        <f t="shared" si="46"/>
        <v>44546.833333332412</v>
      </c>
      <c r="B387" s="59">
        <f t="shared" si="47"/>
        <v>44546.874999999076</v>
      </c>
      <c r="C387" s="60" t="e">
        <f>#REF!</f>
        <v>#REF!</v>
      </c>
      <c r="D387" s="61" t="e">
        <f>IF(C387&gt;0,Pricing!E387*$E$5,0)</f>
        <v>#REF!</v>
      </c>
      <c r="E387" s="61" t="e">
        <f t="shared" si="40"/>
        <v>#REF!</v>
      </c>
      <c r="F387" s="60" t="e">
        <f>#REF!</f>
        <v>#REF!</v>
      </c>
      <c r="G387" s="61" t="e">
        <f>IF(F387&gt;0,Pricing!E387*$H$5,0)</f>
        <v>#REF!</v>
      </c>
      <c r="H387" s="61" t="e">
        <f t="shared" si="41"/>
        <v>#REF!</v>
      </c>
      <c r="I387" s="62" t="e">
        <f>#REF!</f>
        <v>#REF!</v>
      </c>
      <c r="J387" s="61" t="e">
        <f>IF(I387&gt;0,Pricing!E387*$K$5,0)</f>
        <v>#REF!</v>
      </c>
      <c r="K387" s="63" t="e">
        <f t="shared" si="42"/>
        <v>#REF!</v>
      </c>
      <c r="L387" s="64" t="e">
        <f>#REF!</f>
        <v>#REF!</v>
      </c>
      <c r="M387" s="61" t="e">
        <f>IF(L387&lt;0,Pricing!E387*$N$5,0)</f>
        <v>#REF!</v>
      </c>
      <c r="N387" s="61" t="e">
        <f t="shared" si="43"/>
        <v>#REF!</v>
      </c>
      <c r="O387" s="60" t="e">
        <f>#REF!</f>
        <v>#REF!</v>
      </c>
      <c r="P387" s="61" t="e">
        <f>IF(O387&lt;0,Pricing!E387*$Q$5,0)</f>
        <v>#REF!</v>
      </c>
      <c r="Q387" s="61" t="e">
        <f t="shared" si="44"/>
        <v>#REF!</v>
      </c>
      <c r="R387" s="60" t="e">
        <f>#REF!</f>
        <v>#REF!</v>
      </c>
      <c r="S387" s="61" t="e">
        <f>IF(R387&lt;0,Pricing!E387*$T$5,0)</f>
        <v>#REF!</v>
      </c>
      <c r="T387" s="61" t="e">
        <f t="shared" si="45"/>
        <v>#REF!</v>
      </c>
    </row>
    <row r="388" spans="1:20" x14ac:dyDescent="0.25">
      <c r="A388" s="58">
        <f t="shared" si="46"/>
        <v>44546.874999999076</v>
      </c>
      <c r="B388" s="59">
        <f t="shared" si="47"/>
        <v>44546.91666666574</v>
      </c>
      <c r="C388" s="60" t="e">
        <f>#REF!</f>
        <v>#REF!</v>
      </c>
      <c r="D388" s="61" t="e">
        <f>IF(C388&gt;0,Pricing!E388*$E$5,0)</f>
        <v>#REF!</v>
      </c>
      <c r="E388" s="61" t="e">
        <f t="shared" si="40"/>
        <v>#REF!</v>
      </c>
      <c r="F388" s="60" t="e">
        <f>#REF!</f>
        <v>#REF!</v>
      </c>
      <c r="G388" s="61" t="e">
        <f>IF(F388&gt;0,Pricing!E388*$H$5,0)</f>
        <v>#REF!</v>
      </c>
      <c r="H388" s="61" t="e">
        <f t="shared" si="41"/>
        <v>#REF!</v>
      </c>
      <c r="I388" s="62" t="e">
        <f>#REF!</f>
        <v>#REF!</v>
      </c>
      <c r="J388" s="61" t="e">
        <f>IF(I388&gt;0,Pricing!E388*$K$5,0)</f>
        <v>#REF!</v>
      </c>
      <c r="K388" s="63" t="e">
        <f t="shared" si="42"/>
        <v>#REF!</v>
      </c>
      <c r="L388" s="64" t="e">
        <f>#REF!</f>
        <v>#REF!</v>
      </c>
      <c r="M388" s="61" t="e">
        <f>IF(L388&lt;0,Pricing!E388*$N$5,0)</f>
        <v>#REF!</v>
      </c>
      <c r="N388" s="61" t="e">
        <f t="shared" si="43"/>
        <v>#REF!</v>
      </c>
      <c r="O388" s="60" t="e">
        <f>#REF!</f>
        <v>#REF!</v>
      </c>
      <c r="P388" s="61" t="e">
        <f>IF(O388&lt;0,Pricing!E388*$Q$5,0)</f>
        <v>#REF!</v>
      </c>
      <c r="Q388" s="61" t="e">
        <f t="shared" si="44"/>
        <v>#REF!</v>
      </c>
      <c r="R388" s="60" t="e">
        <f>#REF!</f>
        <v>#REF!</v>
      </c>
      <c r="S388" s="61" t="e">
        <f>IF(R388&lt;0,Pricing!E388*$T$5,0)</f>
        <v>#REF!</v>
      </c>
      <c r="T388" s="61" t="e">
        <f t="shared" si="45"/>
        <v>#REF!</v>
      </c>
    </row>
    <row r="389" spans="1:20" x14ac:dyDescent="0.25">
      <c r="A389" s="58">
        <f t="shared" si="46"/>
        <v>44546.91666666574</v>
      </c>
      <c r="B389" s="59">
        <f t="shared" si="47"/>
        <v>44546.958333332404</v>
      </c>
      <c r="C389" s="60" t="e">
        <f>#REF!</f>
        <v>#REF!</v>
      </c>
      <c r="D389" s="61" t="e">
        <f>IF(C389&gt;0,Pricing!E389*$E$5,0)</f>
        <v>#REF!</v>
      </c>
      <c r="E389" s="61" t="e">
        <f t="shared" si="40"/>
        <v>#REF!</v>
      </c>
      <c r="F389" s="60" t="e">
        <f>#REF!</f>
        <v>#REF!</v>
      </c>
      <c r="G389" s="61" t="e">
        <f>IF(F389&gt;0,Pricing!E389*$H$5,0)</f>
        <v>#REF!</v>
      </c>
      <c r="H389" s="61" t="e">
        <f t="shared" si="41"/>
        <v>#REF!</v>
      </c>
      <c r="I389" s="62" t="e">
        <f>#REF!</f>
        <v>#REF!</v>
      </c>
      <c r="J389" s="61" t="e">
        <f>IF(I389&gt;0,Pricing!E389*$K$5,0)</f>
        <v>#REF!</v>
      </c>
      <c r="K389" s="63" t="e">
        <f t="shared" si="42"/>
        <v>#REF!</v>
      </c>
      <c r="L389" s="64" t="e">
        <f>#REF!</f>
        <v>#REF!</v>
      </c>
      <c r="M389" s="61" t="e">
        <f>IF(L389&lt;0,Pricing!E389*$N$5,0)</f>
        <v>#REF!</v>
      </c>
      <c r="N389" s="61" t="e">
        <f t="shared" si="43"/>
        <v>#REF!</v>
      </c>
      <c r="O389" s="60" t="e">
        <f>#REF!</f>
        <v>#REF!</v>
      </c>
      <c r="P389" s="61" t="e">
        <f>IF(O389&lt;0,Pricing!E389*$Q$5,0)</f>
        <v>#REF!</v>
      </c>
      <c r="Q389" s="61" t="e">
        <f t="shared" si="44"/>
        <v>#REF!</v>
      </c>
      <c r="R389" s="60" t="e">
        <f>#REF!</f>
        <v>#REF!</v>
      </c>
      <c r="S389" s="61" t="e">
        <f>IF(R389&lt;0,Pricing!E389*$T$5,0)</f>
        <v>#REF!</v>
      </c>
      <c r="T389" s="61" t="e">
        <f t="shared" si="45"/>
        <v>#REF!</v>
      </c>
    </row>
    <row r="390" spans="1:20" x14ac:dyDescent="0.25">
      <c r="A390" s="58">
        <f t="shared" si="46"/>
        <v>44546.958333332404</v>
      </c>
      <c r="B390" s="59">
        <f t="shared" si="47"/>
        <v>44546.999999999069</v>
      </c>
      <c r="C390" s="60" t="e">
        <f>#REF!</f>
        <v>#REF!</v>
      </c>
      <c r="D390" s="61" t="e">
        <f>IF(C390&gt;0,Pricing!E390*$E$5,0)</f>
        <v>#REF!</v>
      </c>
      <c r="E390" s="61" t="e">
        <f t="shared" si="40"/>
        <v>#REF!</v>
      </c>
      <c r="F390" s="60" t="e">
        <f>#REF!</f>
        <v>#REF!</v>
      </c>
      <c r="G390" s="61" t="e">
        <f>IF(F390&gt;0,Pricing!E390*$H$5,0)</f>
        <v>#REF!</v>
      </c>
      <c r="H390" s="61" t="e">
        <f t="shared" si="41"/>
        <v>#REF!</v>
      </c>
      <c r="I390" s="62" t="e">
        <f>#REF!</f>
        <v>#REF!</v>
      </c>
      <c r="J390" s="61" t="e">
        <f>IF(I390&gt;0,Pricing!E390*$K$5,0)</f>
        <v>#REF!</v>
      </c>
      <c r="K390" s="63" t="e">
        <f t="shared" si="42"/>
        <v>#REF!</v>
      </c>
      <c r="L390" s="64" t="e">
        <f>#REF!</f>
        <v>#REF!</v>
      </c>
      <c r="M390" s="61" t="e">
        <f>IF(L390&lt;0,Pricing!E390*$N$5,0)</f>
        <v>#REF!</v>
      </c>
      <c r="N390" s="61" t="e">
        <f t="shared" si="43"/>
        <v>#REF!</v>
      </c>
      <c r="O390" s="60" t="e">
        <f>#REF!</f>
        <v>#REF!</v>
      </c>
      <c r="P390" s="61" t="e">
        <f>IF(O390&lt;0,Pricing!E390*$Q$5,0)</f>
        <v>#REF!</v>
      </c>
      <c r="Q390" s="61" t="e">
        <f t="shared" si="44"/>
        <v>#REF!</v>
      </c>
      <c r="R390" s="60" t="e">
        <f>#REF!</f>
        <v>#REF!</v>
      </c>
      <c r="S390" s="61" t="e">
        <f>IF(R390&lt;0,Pricing!E390*$T$5,0)</f>
        <v>#REF!</v>
      </c>
      <c r="T390" s="61" t="e">
        <f t="shared" si="45"/>
        <v>#REF!</v>
      </c>
    </row>
    <row r="391" spans="1:20" x14ac:dyDescent="0.25">
      <c r="A391" s="58">
        <f t="shared" si="46"/>
        <v>44546.999999999069</v>
      </c>
      <c r="B391" s="59">
        <f t="shared" si="47"/>
        <v>44547.041666665733</v>
      </c>
      <c r="C391" s="60" t="e">
        <f>#REF!</f>
        <v>#REF!</v>
      </c>
      <c r="D391" s="61" t="e">
        <f>IF(C391&gt;0,Pricing!E391*$E$5,0)</f>
        <v>#REF!</v>
      </c>
      <c r="E391" s="61" t="e">
        <f t="shared" si="40"/>
        <v>#REF!</v>
      </c>
      <c r="F391" s="60" t="e">
        <f>#REF!</f>
        <v>#REF!</v>
      </c>
      <c r="G391" s="61" t="e">
        <f>IF(F391&gt;0,Pricing!E391*$H$5,0)</f>
        <v>#REF!</v>
      </c>
      <c r="H391" s="61" t="e">
        <f t="shared" si="41"/>
        <v>#REF!</v>
      </c>
      <c r="I391" s="62" t="e">
        <f>#REF!</f>
        <v>#REF!</v>
      </c>
      <c r="J391" s="61" t="e">
        <f>IF(I391&gt;0,Pricing!E391*$K$5,0)</f>
        <v>#REF!</v>
      </c>
      <c r="K391" s="63" t="e">
        <f t="shared" si="42"/>
        <v>#REF!</v>
      </c>
      <c r="L391" s="64" t="e">
        <f>#REF!</f>
        <v>#REF!</v>
      </c>
      <c r="M391" s="61" t="e">
        <f>IF(L391&lt;0,Pricing!E391*$N$5,0)</f>
        <v>#REF!</v>
      </c>
      <c r="N391" s="61" t="e">
        <f t="shared" si="43"/>
        <v>#REF!</v>
      </c>
      <c r="O391" s="60" t="e">
        <f>#REF!</f>
        <v>#REF!</v>
      </c>
      <c r="P391" s="61" t="e">
        <f>IF(O391&lt;0,Pricing!E391*$Q$5,0)</f>
        <v>#REF!</v>
      </c>
      <c r="Q391" s="61" t="e">
        <f t="shared" si="44"/>
        <v>#REF!</v>
      </c>
      <c r="R391" s="60" t="e">
        <f>#REF!</f>
        <v>#REF!</v>
      </c>
      <c r="S391" s="61" t="e">
        <f>IF(R391&lt;0,Pricing!E391*$T$5,0)</f>
        <v>#REF!</v>
      </c>
      <c r="T391" s="61" t="e">
        <f t="shared" si="45"/>
        <v>#REF!</v>
      </c>
    </row>
    <row r="392" spans="1:20" x14ac:dyDescent="0.25">
      <c r="A392" s="58">
        <f t="shared" si="46"/>
        <v>44547.041666665733</v>
      </c>
      <c r="B392" s="59">
        <f t="shared" si="47"/>
        <v>44547.083333332397</v>
      </c>
      <c r="C392" s="60" t="e">
        <f>#REF!</f>
        <v>#REF!</v>
      </c>
      <c r="D392" s="61" t="e">
        <f>IF(C392&gt;0,Pricing!E392*$E$5,0)</f>
        <v>#REF!</v>
      </c>
      <c r="E392" s="61" t="e">
        <f t="shared" ref="E392:E455" si="48">C392*D392</f>
        <v>#REF!</v>
      </c>
      <c r="F392" s="60" t="e">
        <f>#REF!</f>
        <v>#REF!</v>
      </c>
      <c r="G392" s="61" t="e">
        <f>IF(F392&gt;0,Pricing!E392*$H$5,0)</f>
        <v>#REF!</v>
      </c>
      <c r="H392" s="61" t="e">
        <f t="shared" ref="H392:H455" si="49">F392*G392</f>
        <v>#REF!</v>
      </c>
      <c r="I392" s="62" t="e">
        <f>#REF!</f>
        <v>#REF!</v>
      </c>
      <c r="J392" s="61" t="e">
        <f>IF(I392&gt;0,Pricing!E392*$K$5,0)</f>
        <v>#REF!</v>
      </c>
      <c r="K392" s="63" t="e">
        <f t="shared" ref="K392:K455" si="50">I392*J392</f>
        <v>#REF!</v>
      </c>
      <c r="L392" s="64" t="e">
        <f>#REF!</f>
        <v>#REF!</v>
      </c>
      <c r="M392" s="61" t="e">
        <f>IF(L392&lt;0,Pricing!E392*$N$5,0)</f>
        <v>#REF!</v>
      </c>
      <c r="N392" s="61" t="e">
        <f t="shared" ref="N392:N455" si="51">L392*M392</f>
        <v>#REF!</v>
      </c>
      <c r="O392" s="60" t="e">
        <f>#REF!</f>
        <v>#REF!</v>
      </c>
      <c r="P392" s="61" t="e">
        <f>IF(O392&lt;0,Pricing!E392*$Q$5,0)</f>
        <v>#REF!</v>
      </c>
      <c r="Q392" s="61" t="e">
        <f t="shared" ref="Q392:Q455" si="52">O392*P392</f>
        <v>#REF!</v>
      </c>
      <c r="R392" s="60" t="e">
        <f>#REF!</f>
        <v>#REF!</v>
      </c>
      <c r="S392" s="61" t="e">
        <f>IF(R392&lt;0,Pricing!E392*$T$5,0)</f>
        <v>#REF!</v>
      </c>
      <c r="T392" s="61" t="e">
        <f t="shared" ref="T392:T455" si="53">R392*S392</f>
        <v>#REF!</v>
      </c>
    </row>
    <row r="393" spans="1:20" x14ac:dyDescent="0.25">
      <c r="A393" s="58">
        <f t="shared" ref="A393:A456" si="54">$A392+1/24</f>
        <v>44547.083333332397</v>
      </c>
      <c r="B393" s="59">
        <f t="shared" ref="B393:B456" si="55">B392+1/24</f>
        <v>44547.124999999061</v>
      </c>
      <c r="C393" s="60" t="e">
        <f>#REF!</f>
        <v>#REF!</v>
      </c>
      <c r="D393" s="61" t="e">
        <f>IF(C393&gt;0,Pricing!E393*$E$5,0)</f>
        <v>#REF!</v>
      </c>
      <c r="E393" s="61" t="e">
        <f t="shared" si="48"/>
        <v>#REF!</v>
      </c>
      <c r="F393" s="60" t="e">
        <f>#REF!</f>
        <v>#REF!</v>
      </c>
      <c r="G393" s="61" t="e">
        <f>IF(F393&gt;0,Pricing!E393*$H$5,0)</f>
        <v>#REF!</v>
      </c>
      <c r="H393" s="61" t="e">
        <f t="shared" si="49"/>
        <v>#REF!</v>
      </c>
      <c r="I393" s="62" t="e">
        <f>#REF!</f>
        <v>#REF!</v>
      </c>
      <c r="J393" s="61" t="e">
        <f>IF(I393&gt;0,Pricing!E393*$K$5,0)</f>
        <v>#REF!</v>
      </c>
      <c r="K393" s="63" t="e">
        <f t="shared" si="50"/>
        <v>#REF!</v>
      </c>
      <c r="L393" s="64" t="e">
        <f>#REF!</f>
        <v>#REF!</v>
      </c>
      <c r="M393" s="61" t="e">
        <f>IF(L393&lt;0,Pricing!E393*$N$5,0)</f>
        <v>#REF!</v>
      </c>
      <c r="N393" s="61" t="e">
        <f t="shared" si="51"/>
        <v>#REF!</v>
      </c>
      <c r="O393" s="60" t="e">
        <f>#REF!</f>
        <v>#REF!</v>
      </c>
      <c r="P393" s="61" t="e">
        <f>IF(O393&lt;0,Pricing!E393*$Q$5,0)</f>
        <v>#REF!</v>
      </c>
      <c r="Q393" s="61" t="e">
        <f t="shared" si="52"/>
        <v>#REF!</v>
      </c>
      <c r="R393" s="60" t="e">
        <f>#REF!</f>
        <v>#REF!</v>
      </c>
      <c r="S393" s="61" t="e">
        <f>IF(R393&lt;0,Pricing!E393*$T$5,0)</f>
        <v>#REF!</v>
      </c>
      <c r="T393" s="61" t="e">
        <f t="shared" si="53"/>
        <v>#REF!</v>
      </c>
    </row>
    <row r="394" spans="1:20" x14ac:dyDescent="0.25">
      <c r="A394" s="58">
        <f t="shared" si="54"/>
        <v>44547.124999999061</v>
      </c>
      <c r="B394" s="59">
        <f t="shared" si="55"/>
        <v>44547.166666665726</v>
      </c>
      <c r="C394" s="60" t="e">
        <f>#REF!</f>
        <v>#REF!</v>
      </c>
      <c r="D394" s="61" t="e">
        <f>IF(C394&gt;0,Pricing!E394*$E$5,0)</f>
        <v>#REF!</v>
      </c>
      <c r="E394" s="61" t="e">
        <f t="shared" si="48"/>
        <v>#REF!</v>
      </c>
      <c r="F394" s="60" t="e">
        <f>#REF!</f>
        <v>#REF!</v>
      </c>
      <c r="G394" s="61" t="e">
        <f>IF(F394&gt;0,Pricing!E394*$H$5,0)</f>
        <v>#REF!</v>
      </c>
      <c r="H394" s="61" t="e">
        <f t="shared" si="49"/>
        <v>#REF!</v>
      </c>
      <c r="I394" s="62" t="e">
        <f>#REF!</f>
        <v>#REF!</v>
      </c>
      <c r="J394" s="61" t="e">
        <f>IF(I394&gt;0,Pricing!E394*$K$5,0)</f>
        <v>#REF!</v>
      </c>
      <c r="K394" s="63" t="e">
        <f t="shared" si="50"/>
        <v>#REF!</v>
      </c>
      <c r="L394" s="64" t="e">
        <f>#REF!</f>
        <v>#REF!</v>
      </c>
      <c r="M394" s="61" t="e">
        <f>IF(L394&lt;0,Pricing!E394*$N$5,0)</f>
        <v>#REF!</v>
      </c>
      <c r="N394" s="61" t="e">
        <f t="shared" si="51"/>
        <v>#REF!</v>
      </c>
      <c r="O394" s="60" t="e">
        <f>#REF!</f>
        <v>#REF!</v>
      </c>
      <c r="P394" s="61" t="e">
        <f>IF(O394&lt;0,Pricing!E394*$Q$5,0)</f>
        <v>#REF!</v>
      </c>
      <c r="Q394" s="61" t="e">
        <f t="shared" si="52"/>
        <v>#REF!</v>
      </c>
      <c r="R394" s="60" t="e">
        <f>#REF!</f>
        <v>#REF!</v>
      </c>
      <c r="S394" s="61" t="e">
        <f>IF(R394&lt;0,Pricing!E394*$T$5,0)</f>
        <v>#REF!</v>
      </c>
      <c r="T394" s="61" t="e">
        <f t="shared" si="53"/>
        <v>#REF!</v>
      </c>
    </row>
    <row r="395" spans="1:20" x14ac:dyDescent="0.25">
      <c r="A395" s="58">
        <f t="shared" si="54"/>
        <v>44547.166666665726</v>
      </c>
      <c r="B395" s="59">
        <f t="shared" si="55"/>
        <v>44547.20833333239</v>
      </c>
      <c r="C395" s="60" t="e">
        <f>#REF!</f>
        <v>#REF!</v>
      </c>
      <c r="D395" s="61" t="e">
        <f>IF(C395&gt;0,Pricing!E395*$E$5,0)</f>
        <v>#REF!</v>
      </c>
      <c r="E395" s="61" t="e">
        <f t="shared" si="48"/>
        <v>#REF!</v>
      </c>
      <c r="F395" s="60" t="e">
        <f>#REF!</f>
        <v>#REF!</v>
      </c>
      <c r="G395" s="61" t="e">
        <f>IF(F395&gt;0,Pricing!E395*$H$5,0)</f>
        <v>#REF!</v>
      </c>
      <c r="H395" s="61" t="e">
        <f t="shared" si="49"/>
        <v>#REF!</v>
      </c>
      <c r="I395" s="62" t="e">
        <f>#REF!</f>
        <v>#REF!</v>
      </c>
      <c r="J395" s="61" t="e">
        <f>IF(I395&gt;0,Pricing!E395*$K$5,0)</f>
        <v>#REF!</v>
      </c>
      <c r="K395" s="63" t="e">
        <f t="shared" si="50"/>
        <v>#REF!</v>
      </c>
      <c r="L395" s="64" t="e">
        <f>#REF!</f>
        <v>#REF!</v>
      </c>
      <c r="M395" s="61" t="e">
        <f>IF(L395&lt;0,Pricing!E395*$N$5,0)</f>
        <v>#REF!</v>
      </c>
      <c r="N395" s="61" t="e">
        <f t="shared" si="51"/>
        <v>#REF!</v>
      </c>
      <c r="O395" s="60" t="e">
        <f>#REF!</f>
        <v>#REF!</v>
      </c>
      <c r="P395" s="61" t="e">
        <f>IF(O395&lt;0,Pricing!E395*$Q$5,0)</f>
        <v>#REF!</v>
      </c>
      <c r="Q395" s="61" t="e">
        <f t="shared" si="52"/>
        <v>#REF!</v>
      </c>
      <c r="R395" s="60" t="e">
        <f>#REF!</f>
        <v>#REF!</v>
      </c>
      <c r="S395" s="61" t="e">
        <f>IF(R395&lt;0,Pricing!E395*$T$5,0)</f>
        <v>#REF!</v>
      </c>
      <c r="T395" s="61" t="e">
        <f t="shared" si="53"/>
        <v>#REF!</v>
      </c>
    </row>
    <row r="396" spans="1:20" x14ac:dyDescent="0.25">
      <c r="A396" s="58">
        <f t="shared" si="54"/>
        <v>44547.20833333239</v>
      </c>
      <c r="B396" s="59">
        <f t="shared" si="55"/>
        <v>44547.249999999054</v>
      </c>
      <c r="C396" s="60" t="e">
        <f>#REF!</f>
        <v>#REF!</v>
      </c>
      <c r="D396" s="61" t="e">
        <f>IF(C396&gt;0,Pricing!E396*$E$5,0)</f>
        <v>#REF!</v>
      </c>
      <c r="E396" s="61" t="e">
        <f t="shared" si="48"/>
        <v>#REF!</v>
      </c>
      <c r="F396" s="60" t="e">
        <f>#REF!</f>
        <v>#REF!</v>
      </c>
      <c r="G396" s="61" t="e">
        <f>IF(F396&gt;0,Pricing!E396*$H$5,0)</f>
        <v>#REF!</v>
      </c>
      <c r="H396" s="61" t="e">
        <f t="shared" si="49"/>
        <v>#REF!</v>
      </c>
      <c r="I396" s="62" t="e">
        <f>#REF!</f>
        <v>#REF!</v>
      </c>
      <c r="J396" s="61" t="e">
        <f>IF(I396&gt;0,Pricing!E396*$K$5,0)</f>
        <v>#REF!</v>
      </c>
      <c r="K396" s="63" t="e">
        <f t="shared" si="50"/>
        <v>#REF!</v>
      </c>
      <c r="L396" s="64" t="e">
        <f>#REF!</f>
        <v>#REF!</v>
      </c>
      <c r="M396" s="61" t="e">
        <f>IF(L396&lt;0,Pricing!E396*$N$5,0)</f>
        <v>#REF!</v>
      </c>
      <c r="N396" s="61" t="e">
        <f t="shared" si="51"/>
        <v>#REF!</v>
      </c>
      <c r="O396" s="60" t="e">
        <f>#REF!</f>
        <v>#REF!</v>
      </c>
      <c r="P396" s="61" t="e">
        <f>IF(O396&lt;0,Pricing!E396*$Q$5,0)</f>
        <v>#REF!</v>
      </c>
      <c r="Q396" s="61" t="e">
        <f t="shared" si="52"/>
        <v>#REF!</v>
      </c>
      <c r="R396" s="60" t="e">
        <f>#REF!</f>
        <v>#REF!</v>
      </c>
      <c r="S396" s="61" t="e">
        <f>IF(R396&lt;0,Pricing!E396*$T$5,0)</f>
        <v>#REF!</v>
      </c>
      <c r="T396" s="61" t="e">
        <f t="shared" si="53"/>
        <v>#REF!</v>
      </c>
    </row>
    <row r="397" spans="1:20" x14ac:dyDescent="0.25">
      <c r="A397" s="58">
        <f t="shared" si="54"/>
        <v>44547.249999999054</v>
      </c>
      <c r="B397" s="59">
        <f t="shared" si="55"/>
        <v>44547.291666665718</v>
      </c>
      <c r="C397" s="60" t="e">
        <f>#REF!</f>
        <v>#REF!</v>
      </c>
      <c r="D397" s="61" t="e">
        <f>IF(C397&gt;0,Pricing!E397*$E$5,0)</f>
        <v>#REF!</v>
      </c>
      <c r="E397" s="61" t="e">
        <f t="shared" si="48"/>
        <v>#REF!</v>
      </c>
      <c r="F397" s="60" t="e">
        <f>#REF!</f>
        <v>#REF!</v>
      </c>
      <c r="G397" s="61" t="e">
        <f>IF(F397&gt;0,Pricing!E397*$H$5,0)</f>
        <v>#REF!</v>
      </c>
      <c r="H397" s="61" t="e">
        <f t="shared" si="49"/>
        <v>#REF!</v>
      </c>
      <c r="I397" s="62" t="e">
        <f>#REF!</f>
        <v>#REF!</v>
      </c>
      <c r="J397" s="61" t="e">
        <f>IF(I397&gt;0,Pricing!E397*$K$5,0)</f>
        <v>#REF!</v>
      </c>
      <c r="K397" s="63" t="e">
        <f t="shared" si="50"/>
        <v>#REF!</v>
      </c>
      <c r="L397" s="64" t="e">
        <f>#REF!</f>
        <v>#REF!</v>
      </c>
      <c r="M397" s="61" t="e">
        <f>IF(L397&lt;0,Pricing!E397*$N$5,0)</f>
        <v>#REF!</v>
      </c>
      <c r="N397" s="61" t="e">
        <f t="shared" si="51"/>
        <v>#REF!</v>
      </c>
      <c r="O397" s="60" t="e">
        <f>#REF!</f>
        <v>#REF!</v>
      </c>
      <c r="P397" s="61" t="e">
        <f>IF(O397&lt;0,Pricing!E397*$Q$5,0)</f>
        <v>#REF!</v>
      </c>
      <c r="Q397" s="61" t="e">
        <f t="shared" si="52"/>
        <v>#REF!</v>
      </c>
      <c r="R397" s="60" t="e">
        <f>#REF!</f>
        <v>#REF!</v>
      </c>
      <c r="S397" s="61" t="e">
        <f>IF(R397&lt;0,Pricing!E397*$T$5,0)</f>
        <v>#REF!</v>
      </c>
      <c r="T397" s="61" t="e">
        <f t="shared" si="53"/>
        <v>#REF!</v>
      </c>
    </row>
    <row r="398" spans="1:20" x14ac:dyDescent="0.25">
      <c r="A398" s="58">
        <f t="shared" si="54"/>
        <v>44547.291666665718</v>
      </c>
      <c r="B398" s="59">
        <f t="shared" si="55"/>
        <v>44547.333333332383</v>
      </c>
      <c r="C398" s="60" t="e">
        <f>#REF!</f>
        <v>#REF!</v>
      </c>
      <c r="D398" s="61" t="e">
        <f>IF(C398&gt;0,Pricing!E398*$E$5,0)</f>
        <v>#REF!</v>
      </c>
      <c r="E398" s="61" t="e">
        <f t="shared" si="48"/>
        <v>#REF!</v>
      </c>
      <c r="F398" s="60" t="e">
        <f>#REF!</f>
        <v>#REF!</v>
      </c>
      <c r="G398" s="61" t="e">
        <f>IF(F398&gt;0,Pricing!E398*$H$5,0)</f>
        <v>#REF!</v>
      </c>
      <c r="H398" s="61" t="e">
        <f t="shared" si="49"/>
        <v>#REF!</v>
      </c>
      <c r="I398" s="62" t="e">
        <f>#REF!</f>
        <v>#REF!</v>
      </c>
      <c r="J398" s="61" t="e">
        <f>IF(I398&gt;0,Pricing!E398*$K$5,0)</f>
        <v>#REF!</v>
      </c>
      <c r="K398" s="63" t="e">
        <f t="shared" si="50"/>
        <v>#REF!</v>
      </c>
      <c r="L398" s="64" t="e">
        <f>#REF!</f>
        <v>#REF!</v>
      </c>
      <c r="M398" s="61" t="e">
        <f>IF(L398&lt;0,Pricing!E398*$N$5,0)</f>
        <v>#REF!</v>
      </c>
      <c r="N398" s="61" t="e">
        <f t="shared" si="51"/>
        <v>#REF!</v>
      </c>
      <c r="O398" s="60" t="e">
        <f>#REF!</f>
        <v>#REF!</v>
      </c>
      <c r="P398" s="61" t="e">
        <f>IF(O398&lt;0,Pricing!E398*$Q$5,0)</f>
        <v>#REF!</v>
      </c>
      <c r="Q398" s="61" t="e">
        <f t="shared" si="52"/>
        <v>#REF!</v>
      </c>
      <c r="R398" s="60" t="e">
        <f>#REF!</f>
        <v>#REF!</v>
      </c>
      <c r="S398" s="61" t="e">
        <f>IF(R398&lt;0,Pricing!E398*$T$5,0)</f>
        <v>#REF!</v>
      </c>
      <c r="T398" s="61" t="e">
        <f t="shared" si="53"/>
        <v>#REF!</v>
      </c>
    </row>
    <row r="399" spans="1:20" x14ac:dyDescent="0.25">
      <c r="A399" s="58">
        <f t="shared" si="54"/>
        <v>44547.333333332383</v>
      </c>
      <c r="B399" s="59">
        <f t="shared" si="55"/>
        <v>44547.374999999047</v>
      </c>
      <c r="C399" s="60" t="e">
        <f>#REF!</f>
        <v>#REF!</v>
      </c>
      <c r="D399" s="61" t="e">
        <f>IF(C399&gt;0,Pricing!E399*$E$5,0)</f>
        <v>#REF!</v>
      </c>
      <c r="E399" s="61" t="e">
        <f t="shared" si="48"/>
        <v>#REF!</v>
      </c>
      <c r="F399" s="60" t="e">
        <f>#REF!</f>
        <v>#REF!</v>
      </c>
      <c r="G399" s="61" t="e">
        <f>IF(F399&gt;0,Pricing!E399*$H$5,0)</f>
        <v>#REF!</v>
      </c>
      <c r="H399" s="61" t="e">
        <f t="shared" si="49"/>
        <v>#REF!</v>
      </c>
      <c r="I399" s="62" t="e">
        <f>#REF!</f>
        <v>#REF!</v>
      </c>
      <c r="J399" s="61" t="e">
        <f>IF(I399&gt;0,Pricing!E399*$K$5,0)</f>
        <v>#REF!</v>
      </c>
      <c r="K399" s="63" t="e">
        <f t="shared" si="50"/>
        <v>#REF!</v>
      </c>
      <c r="L399" s="64" t="e">
        <f>#REF!</f>
        <v>#REF!</v>
      </c>
      <c r="M399" s="61" t="e">
        <f>IF(L399&lt;0,Pricing!E399*$N$5,0)</f>
        <v>#REF!</v>
      </c>
      <c r="N399" s="61" t="e">
        <f t="shared" si="51"/>
        <v>#REF!</v>
      </c>
      <c r="O399" s="60" t="e">
        <f>#REF!</f>
        <v>#REF!</v>
      </c>
      <c r="P399" s="61" t="e">
        <f>IF(O399&lt;0,Pricing!E399*$Q$5,0)</f>
        <v>#REF!</v>
      </c>
      <c r="Q399" s="61" t="e">
        <f t="shared" si="52"/>
        <v>#REF!</v>
      </c>
      <c r="R399" s="60" t="e">
        <f>#REF!</f>
        <v>#REF!</v>
      </c>
      <c r="S399" s="61" t="e">
        <f>IF(R399&lt;0,Pricing!E399*$T$5,0)</f>
        <v>#REF!</v>
      </c>
      <c r="T399" s="61" t="e">
        <f t="shared" si="53"/>
        <v>#REF!</v>
      </c>
    </row>
    <row r="400" spans="1:20" x14ac:dyDescent="0.25">
      <c r="A400" s="58">
        <f t="shared" si="54"/>
        <v>44547.374999999047</v>
      </c>
      <c r="B400" s="59">
        <f t="shared" si="55"/>
        <v>44547.416666665711</v>
      </c>
      <c r="C400" s="60" t="e">
        <f>#REF!</f>
        <v>#REF!</v>
      </c>
      <c r="D400" s="61" t="e">
        <f>IF(C400&gt;0,Pricing!E400*$E$5,0)</f>
        <v>#REF!</v>
      </c>
      <c r="E400" s="61" t="e">
        <f t="shared" si="48"/>
        <v>#REF!</v>
      </c>
      <c r="F400" s="60" t="e">
        <f>#REF!</f>
        <v>#REF!</v>
      </c>
      <c r="G400" s="61" t="e">
        <f>IF(F400&gt;0,Pricing!E400*$H$5,0)</f>
        <v>#REF!</v>
      </c>
      <c r="H400" s="61" t="e">
        <f t="shared" si="49"/>
        <v>#REF!</v>
      </c>
      <c r="I400" s="62" t="e">
        <f>#REF!</f>
        <v>#REF!</v>
      </c>
      <c r="J400" s="61" t="e">
        <f>IF(I400&gt;0,Pricing!E400*$K$5,0)</f>
        <v>#REF!</v>
      </c>
      <c r="K400" s="63" t="e">
        <f t="shared" si="50"/>
        <v>#REF!</v>
      </c>
      <c r="L400" s="64" t="e">
        <f>#REF!</f>
        <v>#REF!</v>
      </c>
      <c r="M400" s="61" t="e">
        <f>IF(L400&lt;0,Pricing!E400*$N$5,0)</f>
        <v>#REF!</v>
      </c>
      <c r="N400" s="61" t="e">
        <f t="shared" si="51"/>
        <v>#REF!</v>
      </c>
      <c r="O400" s="60" t="e">
        <f>#REF!</f>
        <v>#REF!</v>
      </c>
      <c r="P400" s="61" t="e">
        <f>IF(O400&lt;0,Pricing!E400*$Q$5,0)</f>
        <v>#REF!</v>
      </c>
      <c r="Q400" s="61" t="e">
        <f t="shared" si="52"/>
        <v>#REF!</v>
      </c>
      <c r="R400" s="60" t="e">
        <f>#REF!</f>
        <v>#REF!</v>
      </c>
      <c r="S400" s="61" t="e">
        <f>IF(R400&lt;0,Pricing!E400*$T$5,0)</f>
        <v>#REF!</v>
      </c>
      <c r="T400" s="61" t="e">
        <f t="shared" si="53"/>
        <v>#REF!</v>
      </c>
    </row>
    <row r="401" spans="1:20" x14ac:dyDescent="0.25">
      <c r="A401" s="58">
        <f t="shared" si="54"/>
        <v>44547.416666665711</v>
      </c>
      <c r="B401" s="59">
        <f t="shared" si="55"/>
        <v>44547.458333332375</v>
      </c>
      <c r="C401" s="60" t="e">
        <f>#REF!</f>
        <v>#REF!</v>
      </c>
      <c r="D401" s="61" t="e">
        <f>IF(C401&gt;0,Pricing!E401*$E$5,0)</f>
        <v>#REF!</v>
      </c>
      <c r="E401" s="61" t="e">
        <f t="shared" si="48"/>
        <v>#REF!</v>
      </c>
      <c r="F401" s="60" t="e">
        <f>#REF!</f>
        <v>#REF!</v>
      </c>
      <c r="G401" s="61" t="e">
        <f>IF(F401&gt;0,Pricing!E401*$H$5,0)</f>
        <v>#REF!</v>
      </c>
      <c r="H401" s="61" t="e">
        <f t="shared" si="49"/>
        <v>#REF!</v>
      </c>
      <c r="I401" s="62" t="e">
        <f>#REF!</f>
        <v>#REF!</v>
      </c>
      <c r="J401" s="61" t="e">
        <f>IF(I401&gt;0,Pricing!E401*$K$5,0)</f>
        <v>#REF!</v>
      </c>
      <c r="K401" s="63" t="e">
        <f t="shared" si="50"/>
        <v>#REF!</v>
      </c>
      <c r="L401" s="64" t="e">
        <f>#REF!</f>
        <v>#REF!</v>
      </c>
      <c r="M401" s="61" t="e">
        <f>IF(L401&lt;0,Pricing!E401*$N$5,0)</f>
        <v>#REF!</v>
      </c>
      <c r="N401" s="61" t="e">
        <f t="shared" si="51"/>
        <v>#REF!</v>
      </c>
      <c r="O401" s="60" t="e">
        <f>#REF!</f>
        <v>#REF!</v>
      </c>
      <c r="P401" s="61" t="e">
        <f>IF(O401&lt;0,Pricing!E401*$Q$5,0)</f>
        <v>#REF!</v>
      </c>
      <c r="Q401" s="61" t="e">
        <f t="shared" si="52"/>
        <v>#REF!</v>
      </c>
      <c r="R401" s="60" t="e">
        <f>#REF!</f>
        <v>#REF!</v>
      </c>
      <c r="S401" s="61" t="e">
        <f>IF(R401&lt;0,Pricing!E401*$T$5,0)</f>
        <v>#REF!</v>
      </c>
      <c r="T401" s="61" t="e">
        <f t="shared" si="53"/>
        <v>#REF!</v>
      </c>
    </row>
    <row r="402" spans="1:20" x14ac:dyDescent="0.25">
      <c r="A402" s="58">
        <f t="shared" si="54"/>
        <v>44547.458333332375</v>
      </c>
      <c r="B402" s="59">
        <f t="shared" si="55"/>
        <v>44547.49999999904</v>
      </c>
      <c r="C402" s="60" t="e">
        <f>#REF!</f>
        <v>#REF!</v>
      </c>
      <c r="D402" s="61" t="e">
        <f>IF(C402&gt;0,Pricing!E402*$E$5,0)</f>
        <v>#REF!</v>
      </c>
      <c r="E402" s="61" t="e">
        <f t="shared" si="48"/>
        <v>#REF!</v>
      </c>
      <c r="F402" s="60" t="e">
        <f>#REF!</f>
        <v>#REF!</v>
      </c>
      <c r="G402" s="61" t="e">
        <f>IF(F402&gt;0,Pricing!E402*$H$5,0)</f>
        <v>#REF!</v>
      </c>
      <c r="H402" s="61" t="e">
        <f t="shared" si="49"/>
        <v>#REF!</v>
      </c>
      <c r="I402" s="62" t="e">
        <f>#REF!</f>
        <v>#REF!</v>
      </c>
      <c r="J402" s="61" t="e">
        <f>IF(I402&gt;0,Pricing!E402*$K$5,0)</f>
        <v>#REF!</v>
      </c>
      <c r="K402" s="63" t="e">
        <f t="shared" si="50"/>
        <v>#REF!</v>
      </c>
      <c r="L402" s="64" t="e">
        <f>#REF!</f>
        <v>#REF!</v>
      </c>
      <c r="M402" s="61" t="e">
        <f>IF(L402&lt;0,Pricing!E402*$N$5,0)</f>
        <v>#REF!</v>
      </c>
      <c r="N402" s="61" t="e">
        <f t="shared" si="51"/>
        <v>#REF!</v>
      </c>
      <c r="O402" s="60" t="e">
        <f>#REF!</f>
        <v>#REF!</v>
      </c>
      <c r="P402" s="61" t="e">
        <f>IF(O402&lt;0,Pricing!E402*$Q$5,0)</f>
        <v>#REF!</v>
      </c>
      <c r="Q402" s="61" t="e">
        <f t="shared" si="52"/>
        <v>#REF!</v>
      </c>
      <c r="R402" s="60" t="e">
        <f>#REF!</f>
        <v>#REF!</v>
      </c>
      <c r="S402" s="61" t="e">
        <f>IF(R402&lt;0,Pricing!E402*$T$5,0)</f>
        <v>#REF!</v>
      </c>
      <c r="T402" s="61" t="e">
        <f t="shared" si="53"/>
        <v>#REF!</v>
      </c>
    </row>
    <row r="403" spans="1:20" x14ac:dyDescent="0.25">
      <c r="A403" s="58">
        <f t="shared" si="54"/>
        <v>44547.49999999904</v>
      </c>
      <c r="B403" s="59">
        <f t="shared" si="55"/>
        <v>44547.541666665704</v>
      </c>
      <c r="C403" s="60" t="e">
        <f>#REF!</f>
        <v>#REF!</v>
      </c>
      <c r="D403" s="61" t="e">
        <f>IF(C403&gt;0,Pricing!E403*$E$5,0)</f>
        <v>#REF!</v>
      </c>
      <c r="E403" s="61" t="e">
        <f t="shared" si="48"/>
        <v>#REF!</v>
      </c>
      <c r="F403" s="60" t="e">
        <f>#REF!</f>
        <v>#REF!</v>
      </c>
      <c r="G403" s="61" t="e">
        <f>IF(F403&gt;0,Pricing!E403*$H$5,0)</f>
        <v>#REF!</v>
      </c>
      <c r="H403" s="61" t="e">
        <f t="shared" si="49"/>
        <v>#REF!</v>
      </c>
      <c r="I403" s="62" t="e">
        <f>#REF!</f>
        <v>#REF!</v>
      </c>
      <c r="J403" s="61" t="e">
        <f>IF(I403&gt;0,Pricing!E403*$K$5,0)</f>
        <v>#REF!</v>
      </c>
      <c r="K403" s="63" t="e">
        <f t="shared" si="50"/>
        <v>#REF!</v>
      </c>
      <c r="L403" s="64" t="e">
        <f>#REF!</f>
        <v>#REF!</v>
      </c>
      <c r="M403" s="61" t="e">
        <f>IF(L403&lt;0,Pricing!E403*$N$5,0)</f>
        <v>#REF!</v>
      </c>
      <c r="N403" s="61" t="e">
        <f t="shared" si="51"/>
        <v>#REF!</v>
      </c>
      <c r="O403" s="60" t="e">
        <f>#REF!</f>
        <v>#REF!</v>
      </c>
      <c r="P403" s="61" t="e">
        <f>IF(O403&lt;0,Pricing!E403*$Q$5,0)</f>
        <v>#REF!</v>
      </c>
      <c r="Q403" s="61" t="e">
        <f t="shared" si="52"/>
        <v>#REF!</v>
      </c>
      <c r="R403" s="60" t="e">
        <f>#REF!</f>
        <v>#REF!</v>
      </c>
      <c r="S403" s="61" t="e">
        <f>IF(R403&lt;0,Pricing!E403*$T$5,0)</f>
        <v>#REF!</v>
      </c>
      <c r="T403" s="61" t="e">
        <f t="shared" si="53"/>
        <v>#REF!</v>
      </c>
    </row>
    <row r="404" spans="1:20" x14ac:dyDescent="0.25">
      <c r="A404" s="58">
        <f t="shared" si="54"/>
        <v>44547.541666665704</v>
      </c>
      <c r="B404" s="59">
        <f t="shared" si="55"/>
        <v>44547.583333332368</v>
      </c>
      <c r="C404" s="60" t="e">
        <f>#REF!</f>
        <v>#REF!</v>
      </c>
      <c r="D404" s="61" t="e">
        <f>IF(C404&gt;0,Pricing!E404*$E$5,0)</f>
        <v>#REF!</v>
      </c>
      <c r="E404" s="61" t="e">
        <f t="shared" si="48"/>
        <v>#REF!</v>
      </c>
      <c r="F404" s="60" t="e">
        <f>#REF!</f>
        <v>#REF!</v>
      </c>
      <c r="G404" s="61" t="e">
        <f>IF(F404&gt;0,Pricing!E404*$H$5,0)</f>
        <v>#REF!</v>
      </c>
      <c r="H404" s="61" t="e">
        <f t="shared" si="49"/>
        <v>#REF!</v>
      </c>
      <c r="I404" s="62" t="e">
        <f>#REF!</f>
        <v>#REF!</v>
      </c>
      <c r="J404" s="61" t="e">
        <f>IF(I404&gt;0,Pricing!E404*$K$5,0)</f>
        <v>#REF!</v>
      </c>
      <c r="K404" s="63" t="e">
        <f t="shared" si="50"/>
        <v>#REF!</v>
      </c>
      <c r="L404" s="64" t="e">
        <f>#REF!</f>
        <v>#REF!</v>
      </c>
      <c r="M404" s="61" t="e">
        <f>IF(L404&lt;0,Pricing!E404*$N$5,0)</f>
        <v>#REF!</v>
      </c>
      <c r="N404" s="61" t="e">
        <f t="shared" si="51"/>
        <v>#REF!</v>
      </c>
      <c r="O404" s="60" t="e">
        <f>#REF!</f>
        <v>#REF!</v>
      </c>
      <c r="P404" s="61" t="e">
        <f>IF(O404&lt;0,Pricing!E404*$Q$5,0)</f>
        <v>#REF!</v>
      </c>
      <c r="Q404" s="61" t="e">
        <f t="shared" si="52"/>
        <v>#REF!</v>
      </c>
      <c r="R404" s="60" t="e">
        <f>#REF!</f>
        <v>#REF!</v>
      </c>
      <c r="S404" s="61" t="e">
        <f>IF(R404&lt;0,Pricing!E404*$T$5,0)</f>
        <v>#REF!</v>
      </c>
      <c r="T404" s="61" t="e">
        <f t="shared" si="53"/>
        <v>#REF!</v>
      </c>
    </row>
    <row r="405" spans="1:20" x14ac:dyDescent="0.25">
      <c r="A405" s="58">
        <f t="shared" si="54"/>
        <v>44547.583333332368</v>
      </c>
      <c r="B405" s="59">
        <f t="shared" si="55"/>
        <v>44547.624999999032</v>
      </c>
      <c r="C405" s="60" t="e">
        <f>#REF!</f>
        <v>#REF!</v>
      </c>
      <c r="D405" s="61" t="e">
        <f>IF(C405&gt;0,Pricing!E405*$E$5,0)</f>
        <v>#REF!</v>
      </c>
      <c r="E405" s="61" t="e">
        <f t="shared" si="48"/>
        <v>#REF!</v>
      </c>
      <c r="F405" s="60" t="e">
        <f>#REF!</f>
        <v>#REF!</v>
      </c>
      <c r="G405" s="61" t="e">
        <f>IF(F405&gt;0,Pricing!E405*$H$5,0)</f>
        <v>#REF!</v>
      </c>
      <c r="H405" s="61" t="e">
        <f t="shared" si="49"/>
        <v>#REF!</v>
      </c>
      <c r="I405" s="62" t="e">
        <f>#REF!</f>
        <v>#REF!</v>
      </c>
      <c r="J405" s="61" t="e">
        <f>IF(I405&gt;0,Pricing!E405*$K$5,0)</f>
        <v>#REF!</v>
      </c>
      <c r="K405" s="63" t="e">
        <f t="shared" si="50"/>
        <v>#REF!</v>
      </c>
      <c r="L405" s="64" t="e">
        <f>#REF!</f>
        <v>#REF!</v>
      </c>
      <c r="M405" s="61" t="e">
        <f>IF(L405&lt;0,Pricing!E405*$N$5,0)</f>
        <v>#REF!</v>
      </c>
      <c r="N405" s="61" t="e">
        <f t="shared" si="51"/>
        <v>#REF!</v>
      </c>
      <c r="O405" s="60" t="e">
        <f>#REF!</f>
        <v>#REF!</v>
      </c>
      <c r="P405" s="61" t="e">
        <f>IF(O405&lt;0,Pricing!E405*$Q$5,0)</f>
        <v>#REF!</v>
      </c>
      <c r="Q405" s="61" t="e">
        <f t="shared" si="52"/>
        <v>#REF!</v>
      </c>
      <c r="R405" s="60" t="e">
        <f>#REF!</f>
        <v>#REF!</v>
      </c>
      <c r="S405" s="61" t="e">
        <f>IF(R405&lt;0,Pricing!E405*$T$5,0)</f>
        <v>#REF!</v>
      </c>
      <c r="T405" s="61" t="e">
        <f t="shared" si="53"/>
        <v>#REF!</v>
      </c>
    </row>
    <row r="406" spans="1:20" x14ac:dyDescent="0.25">
      <c r="A406" s="58">
        <f t="shared" si="54"/>
        <v>44547.624999999032</v>
      </c>
      <c r="B406" s="59">
        <f t="shared" si="55"/>
        <v>44547.666666665697</v>
      </c>
      <c r="C406" s="60" t="e">
        <f>#REF!</f>
        <v>#REF!</v>
      </c>
      <c r="D406" s="61" t="e">
        <f>IF(C406&gt;0,Pricing!E406*$E$5,0)</f>
        <v>#REF!</v>
      </c>
      <c r="E406" s="61" t="e">
        <f t="shared" si="48"/>
        <v>#REF!</v>
      </c>
      <c r="F406" s="60" t="e">
        <f>#REF!</f>
        <v>#REF!</v>
      </c>
      <c r="G406" s="61" t="e">
        <f>IF(F406&gt;0,Pricing!E406*$H$5,0)</f>
        <v>#REF!</v>
      </c>
      <c r="H406" s="61" t="e">
        <f t="shared" si="49"/>
        <v>#REF!</v>
      </c>
      <c r="I406" s="62" t="e">
        <f>#REF!</f>
        <v>#REF!</v>
      </c>
      <c r="J406" s="61" t="e">
        <f>IF(I406&gt;0,Pricing!E406*$K$5,0)</f>
        <v>#REF!</v>
      </c>
      <c r="K406" s="63" t="e">
        <f t="shared" si="50"/>
        <v>#REF!</v>
      </c>
      <c r="L406" s="64" t="e">
        <f>#REF!</f>
        <v>#REF!</v>
      </c>
      <c r="M406" s="61" t="e">
        <f>IF(L406&lt;0,Pricing!E406*$N$5,0)</f>
        <v>#REF!</v>
      </c>
      <c r="N406" s="61" t="e">
        <f t="shared" si="51"/>
        <v>#REF!</v>
      </c>
      <c r="O406" s="60" t="e">
        <f>#REF!</f>
        <v>#REF!</v>
      </c>
      <c r="P406" s="61" t="e">
        <f>IF(O406&lt;0,Pricing!E406*$Q$5,0)</f>
        <v>#REF!</v>
      </c>
      <c r="Q406" s="61" t="e">
        <f t="shared" si="52"/>
        <v>#REF!</v>
      </c>
      <c r="R406" s="60" t="e">
        <f>#REF!</f>
        <v>#REF!</v>
      </c>
      <c r="S406" s="61" t="e">
        <f>IF(R406&lt;0,Pricing!E406*$T$5,0)</f>
        <v>#REF!</v>
      </c>
      <c r="T406" s="61" t="e">
        <f t="shared" si="53"/>
        <v>#REF!</v>
      </c>
    </row>
    <row r="407" spans="1:20" x14ac:dyDescent="0.25">
      <c r="A407" s="58">
        <f t="shared" si="54"/>
        <v>44547.666666665697</v>
      </c>
      <c r="B407" s="59">
        <f t="shared" si="55"/>
        <v>44547.708333332361</v>
      </c>
      <c r="C407" s="60" t="e">
        <f>#REF!</f>
        <v>#REF!</v>
      </c>
      <c r="D407" s="61" t="e">
        <f>IF(C407&gt;0,Pricing!E407*$E$5,0)</f>
        <v>#REF!</v>
      </c>
      <c r="E407" s="61" t="e">
        <f t="shared" si="48"/>
        <v>#REF!</v>
      </c>
      <c r="F407" s="60" t="e">
        <f>#REF!</f>
        <v>#REF!</v>
      </c>
      <c r="G407" s="61" t="e">
        <f>IF(F407&gt;0,Pricing!E407*$H$5,0)</f>
        <v>#REF!</v>
      </c>
      <c r="H407" s="61" t="e">
        <f t="shared" si="49"/>
        <v>#REF!</v>
      </c>
      <c r="I407" s="62" t="e">
        <f>#REF!</f>
        <v>#REF!</v>
      </c>
      <c r="J407" s="61" t="e">
        <f>IF(I407&gt;0,Pricing!E407*$K$5,0)</f>
        <v>#REF!</v>
      </c>
      <c r="K407" s="63" t="e">
        <f t="shared" si="50"/>
        <v>#REF!</v>
      </c>
      <c r="L407" s="64" t="e">
        <f>#REF!</f>
        <v>#REF!</v>
      </c>
      <c r="M407" s="61" t="e">
        <f>IF(L407&lt;0,Pricing!E407*$N$5,0)</f>
        <v>#REF!</v>
      </c>
      <c r="N407" s="61" t="e">
        <f t="shared" si="51"/>
        <v>#REF!</v>
      </c>
      <c r="O407" s="60" t="e">
        <f>#REF!</f>
        <v>#REF!</v>
      </c>
      <c r="P407" s="61" t="e">
        <f>IF(O407&lt;0,Pricing!E407*$Q$5,0)</f>
        <v>#REF!</v>
      </c>
      <c r="Q407" s="61" t="e">
        <f t="shared" si="52"/>
        <v>#REF!</v>
      </c>
      <c r="R407" s="60" t="e">
        <f>#REF!</f>
        <v>#REF!</v>
      </c>
      <c r="S407" s="61" t="e">
        <f>IF(R407&lt;0,Pricing!E407*$T$5,0)</f>
        <v>#REF!</v>
      </c>
      <c r="T407" s="61" t="e">
        <f t="shared" si="53"/>
        <v>#REF!</v>
      </c>
    </row>
    <row r="408" spans="1:20" x14ac:dyDescent="0.25">
      <c r="A408" s="58">
        <f t="shared" si="54"/>
        <v>44547.708333332361</v>
      </c>
      <c r="B408" s="59">
        <f t="shared" si="55"/>
        <v>44547.749999999025</v>
      </c>
      <c r="C408" s="60" t="e">
        <f>#REF!</f>
        <v>#REF!</v>
      </c>
      <c r="D408" s="61" t="e">
        <f>IF(C408&gt;0,Pricing!E408*$E$5,0)</f>
        <v>#REF!</v>
      </c>
      <c r="E408" s="61" t="e">
        <f t="shared" si="48"/>
        <v>#REF!</v>
      </c>
      <c r="F408" s="60" t="e">
        <f>#REF!</f>
        <v>#REF!</v>
      </c>
      <c r="G408" s="61" t="e">
        <f>IF(F408&gt;0,Pricing!E408*$H$5,0)</f>
        <v>#REF!</v>
      </c>
      <c r="H408" s="61" t="e">
        <f t="shared" si="49"/>
        <v>#REF!</v>
      </c>
      <c r="I408" s="62" t="e">
        <f>#REF!</f>
        <v>#REF!</v>
      </c>
      <c r="J408" s="61" t="e">
        <f>IF(I408&gt;0,Pricing!E408*$K$5,0)</f>
        <v>#REF!</v>
      </c>
      <c r="K408" s="63" t="e">
        <f t="shared" si="50"/>
        <v>#REF!</v>
      </c>
      <c r="L408" s="64" t="e">
        <f>#REF!</f>
        <v>#REF!</v>
      </c>
      <c r="M408" s="61" t="e">
        <f>IF(L408&lt;0,Pricing!E408*$N$5,0)</f>
        <v>#REF!</v>
      </c>
      <c r="N408" s="61" t="e">
        <f t="shared" si="51"/>
        <v>#REF!</v>
      </c>
      <c r="O408" s="60" t="e">
        <f>#REF!</f>
        <v>#REF!</v>
      </c>
      <c r="P408" s="61" t="e">
        <f>IF(O408&lt;0,Pricing!E408*$Q$5,0)</f>
        <v>#REF!</v>
      </c>
      <c r="Q408" s="61" t="e">
        <f t="shared" si="52"/>
        <v>#REF!</v>
      </c>
      <c r="R408" s="60" t="e">
        <f>#REF!</f>
        <v>#REF!</v>
      </c>
      <c r="S408" s="61" t="e">
        <f>IF(R408&lt;0,Pricing!E408*$T$5,0)</f>
        <v>#REF!</v>
      </c>
      <c r="T408" s="61" t="e">
        <f t="shared" si="53"/>
        <v>#REF!</v>
      </c>
    </row>
    <row r="409" spans="1:20" x14ac:dyDescent="0.25">
      <c r="A409" s="58">
        <f t="shared" si="54"/>
        <v>44547.749999999025</v>
      </c>
      <c r="B409" s="59">
        <f t="shared" si="55"/>
        <v>44547.791666665689</v>
      </c>
      <c r="C409" s="60" t="e">
        <f>#REF!</f>
        <v>#REF!</v>
      </c>
      <c r="D409" s="61" t="e">
        <f>IF(C409&gt;0,Pricing!E409*$E$5,0)</f>
        <v>#REF!</v>
      </c>
      <c r="E409" s="61" t="e">
        <f t="shared" si="48"/>
        <v>#REF!</v>
      </c>
      <c r="F409" s="60" t="e">
        <f>#REF!</f>
        <v>#REF!</v>
      </c>
      <c r="G409" s="61" t="e">
        <f>IF(F409&gt;0,Pricing!E409*$H$5,0)</f>
        <v>#REF!</v>
      </c>
      <c r="H409" s="61" t="e">
        <f t="shared" si="49"/>
        <v>#REF!</v>
      </c>
      <c r="I409" s="62" t="e">
        <f>#REF!</f>
        <v>#REF!</v>
      </c>
      <c r="J409" s="61" t="e">
        <f>IF(I409&gt;0,Pricing!E409*$K$5,0)</f>
        <v>#REF!</v>
      </c>
      <c r="K409" s="63" t="e">
        <f t="shared" si="50"/>
        <v>#REF!</v>
      </c>
      <c r="L409" s="64" t="e">
        <f>#REF!</f>
        <v>#REF!</v>
      </c>
      <c r="M409" s="61" t="e">
        <f>IF(L409&lt;0,Pricing!E409*$N$5,0)</f>
        <v>#REF!</v>
      </c>
      <c r="N409" s="61" t="e">
        <f t="shared" si="51"/>
        <v>#REF!</v>
      </c>
      <c r="O409" s="60" t="e">
        <f>#REF!</f>
        <v>#REF!</v>
      </c>
      <c r="P409" s="61" t="e">
        <f>IF(O409&lt;0,Pricing!E409*$Q$5,0)</f>
        <v>#REF!</v>
      </c>
      <c r="Q409" s="61" t="e">
        <f t="shared" si="52"/>
        <v>#REF!</v>
      </c>
      <c r="R409" s="60" t="e">
        <f>#REF!</f>
        <v>#REF!</v>
      </c>
      <c r="S409" s="61" t="e">
        <f>IF(R409&lt;0,Pricing!E409*$T$5,0)</f>
        <v>#REF!</v>
      </c>
      <c r="T409" s="61" t="e">
        <f t="shared" si="53"/>
        <v>#REF!</v>
      </c>
    </row>
    <row r="410" spans="1:20" x14ac:dyDescent="0.25">
      <c r="A410" s="58">
        <f t="shared" si="54"/>
        <v>44547.791666665689</v>
      </c>
      <c r="B410" s="59">
        <f t="shared" si="55"/>
        <v>44547.833333332354</v>
      </c>
      <c r="C410" s="60" t="e">
        <f>#REF!</f>
        <v>#REF!</v>
      </c>
      <c r="D410" s="61" t="e">
        <f>IF(C410&gt;0,Pricing!E410*$E$5,0)</f>
        <v>#REF!</v>
      </c>
      <c r="E410" s="61" t="e">
        <f t="shared" si="48"/>
        <v>#REF!</v>
      </c>
      <c r="F410" s="60" t="e">
        <f>#REF!</f>
        <v>#REF!</v>
      </c>
      <c r="G410" s="61" t="e">
        <f>IF(F410&gt;0,Pricing!E410*$H$5,0)</f>
        <v>#REF!</v>
      </c>
      <c r="H410" s="61" t="e">
        <f t="shared" si="49"/>
        <v>#REF!</v>
      </c>
      <c r="I410" s="62" t="e">
        <f>#REF!</f>
        <v>#REF!</v>
      </c>
      <c r="J410" s="61" t="e">
        <f>IF(I410&gt;0,Pricing!E410*$K$5,0)</f>
        <v>#REF!</v>
      </c>
      <c r="K410" s="63" t="e">
        <f t="shared" si="50"/>
        <v>#REF!</v>
      </c>
      <c r="L410" s="64" t="e">
        <f>#REF!</f>
        <v>#REF!</v>
      </c>
      <c r="M410" s="61" t="e">
        <f>IF(L410&lt;0,Pricing!E410*$N$5,0)</f>
        <v>#REF!</v>
      </c>
      <c r="N410" s="61" t="e">
        <f t="shared" si="51"/>
        <v>#REF!</v>
      </c>
      <c r="O410" s="60" t="e">
        <f>#REF!</f>
        <v>#REF!</v>
      </c>
      <c r="P410" s="61" t="e">
        <f>IF(O410&lt;0,Pricing!E410*$Q$5,0)</f>
        <v>#REF!</v>
      </c>
      <c r="Q410" s="61" t="e">
        <f t="shared" si="52"/>
        <v>#REF!</v>
      </c>
      <c r="R410" s="60" t="e">
        <f>#REF!</f>
        <v>#REF!</v>
      </c>
      <c r="S410" s="61" t="e">
        <f>IF(R410&lt;0,Pricing!E410*$T$5,0)</f>
        <v>#REF!</v>
      </c>
      <c r="T410" s="61" t="e">
        <f t="shared" si="53"/>
        <v>#REF!</v>
      </c>
    </row>
    <row r="411" spans="1:20" x14ac:dyDescent="0.25">
      <c r="A411" s="58">
        <f t="shared" si="54"/>
        <v>44547.833333332354</v>
      </c>
      <c r="B411" s="59">
        <f t="shared" si="55"/>
        <v>44547.874999999018</v>
      </c>
      <c r="C411" s="60" t="e">
        <f>#REF!</f>
        <v>#REF!</v>
      </c>
      <c r="D411" s="61" t="e">
        <f>IF(C411&gt;0,Pricing!E411*$E$5,0)</f>
        <v>#REF!</v>
      </c>
      <c r="E411" s="61" t="e">
        <f t="shared" si="48"/>
        <v>#REF!</v>
      </c>
      <c r="F411" s="60" t="e">
        <f>#REF!</f>
        <v>#REF!</v>
      </c>
      <c r="G411" s="61" t="e">
        <f>IF(F411&gt;0,Pricing!E411*$H$5,0)</f>
        <v>#REF!</v>
      </c>
      <c r="H411" s="61" t="e">
        <f t="shared" si="49"/>
        <v>#REF!</v>
      </c>
      <c r="I411" s="62" t="e">
        <f>#REF!</f>
        <v>#REF!</v>
      </c>
      <c r="J411" s="61" t="e">
        <f>IF(I411&gt;0,Pricing!E411*$K$5,0)</f>
        <v>#REF!</v>
      </c>
      <c r="K411" s="63" t="e">
        <f t="shared" si="50"/>
        <v>#REF!</v>
      </c>
      <c r="L411" s="64" t="e">
        <f>#REF!</f>
        <v>#REF!</v>
      </c>
      <c r="M411" s="61" t="e">
        <f>IF(L411&lt;0,Pricing!E411*$N$5,0)</f>
        <v>#REF!</v>
      </c>
      <c r="N411" s="61" t="e">
        <f t="shared" si="51"/>
        <v>#REF!</v>
      </c>
      <c r="O411" s="60" t="e">
        <f>#REF!</f>
        <v>#REF!</v>
      </c>
      <c r="P411" s="61" t="e">
        <f>IF(O411&lt;0,Pricing!E411*$Q$5,0)</f>
        <v>#REF!</v>
      </c>
      <c r="Q411" s="61" t="e">
        <f t="shared" si="52"/>
        <v>#REF!</v>
      </c>
      <c r="R411" s="60" t="e">
        <f>#REF!</f>
        <v>#REF!</v>
      </c>
      <c r="S411" s="61" t="e">
        <f>IF(R411&lt;0,Pricing!E411*$T$5,0)</f>
        <v>#REF!</v>
      </c>
      <c r="T411" s="61" t="e">
        <f t="shared" si="53"/>
        <v>#REF!</v>
      </c>
    </row>
    <row r="412" spans="1:20" x14ac:dyDescent="0.25">
      <c r="A412" s="58">
        <f t="shared" si="54"/>
        <v>44547.874999999018</v>
      </c>
      <c r="B412" s="59">
        <f t="shared" si="55"/>
        <v>44547.916666665682</v>
      </c>
      <c r="C412" s="60" t="e">
        <f>#REF!</f>
        <v>#REF!</v>
      </c>
      <c r="D412" s="61" t="e">
        <f>IF(C412&gt;0,Pricing!E412*$E$5,0)</f>
        <v>#REF!</v>
      </c>
      <c r="E412" s="61" t="e">
        <f t="shared" si="48"/>
        <v>#REF!</v>
      </c>
      <c r="F412" s="60" t="e">
        <f>#REF!</f>
        <v>#REF!</v>
      </c>
      <c r="G412" s="61" t="e">
        <f>IF(F412&gt;0,Pricing!E412*$H$5,0)</f>
        <v>#REF!</v>
      </c>
      <c r="H412" s="61" t="e">
        <f t="shared" si="49"/>
        <v>#REF!</v>
      </c>
      <c r="I412" s="62" t="e">
        <f>#REF!</f>
        <v>#REF!</v>
      </c>
      <c r="J412" s="61" t="e">
        <f>IF(I412&gt;0,Pricing!E412*$K$5,0)</f>
        <v>#REF!</v>
      </c>
      <c r="K412" s="63" t="e">
        <f t="shared" si="50"/>
        <v>#REF!</v>
      </c>
      <c r="L412" s="64" t="e">
        <f>#REF!</f>
        <v>#REF!</v>
      </c>
      <c r="M412" s="61" t="e">
        <f>IF(L412&lt;0,Pricing!E412*$N$5,0)</f>
        <v>#REF!</v>
      </c>
      <c r="N412" s="61" t="e">
        <f t="shared" si="51"/>
        <v>#REF!</v>
      </c>
      <c r="O412" s="60" t="e">
        <f>#REF!</f>
        <v>#REF!</v>
      </c>
      <c r="P412" s="61" t="e">
        <f>IF(O412&lt;0,Pricing!E412*$Q$5,0)</f>
        <v>#REF!</v>
      </c>
      <c r="Q412" s="61" t="e">
        <f t="shared" si="52"/>
        <v>#REF!</v>
      </c>
      <c r="R412" s="60" t="e">
        <f>#REF!</f>
        <v>#REF!</v>
      </c>
      <c r="S412" s="61" t="e">
        <f>IF(R412&lt;0,Pricing!E412*$T$5,0)</f>
        <v>#REF!</v>
      </c>
      <c r="T412" s="61" t="e">
        <f t="shared" si="53"/>
        <v>#REF!</v>
      </c>
    </row>
    <row r="413" spans="1:20" x14ac:dyDescent="0.25">
      <c r="A413" s="58">
        <f t="shared" si="54"/>
        <v>44547.916666665682</v>
      </c>
      <c r="B413" s="59">
        <f t="shared" si="55"/>
        <v>44547.958333332346</v>
      </c>
      <c r="C413" s="60" t="e">
        <f>#REF!</f>
        <v>#REF!</v>
      </c>
      <c r="D413" s="61" t="e">
        <f>IF(C413&gt;0,Pricing!E413*$E$5,0)</f>
        <v>#REF!</v>
      </c>
      <c r="E413" s="61" t="e">
        <f t="shared" si="48"/>
        <v>#REF!</v>
      </c>
      <c r="F413" s="60" t="e">
        <f>#REF!</f>
        <v>#REF!</v>
      </c>
      <c r="G413" s="61" t="e">
        <f>IF(F413&gt;0,Pricing!E413*$H$5,0)</f>
        <v>#REF!</v>
      </c>
      <c r="H413" s="61" t="e">
        <f t="shared" si="49"/>
        <v>#REF!</v>
      </c>
      <c r="I413" s="62" t="e">
        <f>#REF!</f>
        <v>#REF!</v>
      </c>
      <c r="J413" s="61" t="e">
        <f>IF(I413&gt;0,Pricing!E413*$K$5,0)</f>
        <v>#REF!</v>
      </c>
      <c r="K413" s="63" t="e">
        <f t="shared" si="50"/>
        <v>#REF!</v>
      </c>
      <c r="L413" s="64" t="e">
        <f>#REF!</f>
        <v>#REF!</v>
      </c>
      <c r="M413" s="61" t="e">
        <f>IF(L413&lt;0,Pricing!E413*$N$5,0)</f>
        <v>#REF!</v>
      </c>
      <c r="N413" s="61" t="e">
        <f t="shared" si="51"/>
        <v>#REF!</v>
      </c>
      <c r="O413" s="60" t="e">
        <f>#REF!</f>
        <v>#REF!</v>
      </c>
      <c r="P413" s="61" t="e">
        <f>IF(O413&lt;0,Pricing!E413*$Q$5,0)</f>
        <v>#REF!</v>
      </c>
      <c r="Q413" s="61" t="e">
        <f t="shared" si="52"/>
        <v>#REF!</v>
      </c>
      <c r="R413" s="60" t="e">
        <f>#REF!</f>
        <v>#REF!</v>
      </c>
      <c r="S413" s="61" t="e">
        <f>IF(R413&lt;0,Pricing!E413*$T$5,0)</f>
        <v>#REF!</v>
      </c>
      <c r="T413" s="61" t="e">
        <f t="shared" si="53"/>
        <v>#REF!</v>
      </c>
    </row>
    <row r="414" spans="1:20" x14ac:dyDescent="0.25">
      <c r="A414" s="58">
        <f t="shared" si="54"/>
        <v>44547.958333332346</v>
      </c>
      <c r="B414" s="59">
        <f t="shared" si="55"/>
        <v>44547.99999999901</v>
      </c>
      <c r="C414" s="60" t="e">
        <f>#REF!</f>
        <v>#REF!</v>
      </c>
      <c r="D414" s="61" t="e">
        <f>IF(C414&gt;0,Pricing!E414*$E$5,0)</f>
        <v>#REF!</v>
      </c>
      <c r="E414" s="61" t="e">
        <f t="shared" si="48"/>
        <v>#REF!</v>
      </c>
      <c r="F414" s="60" t="e">
        <f>#REF!</f>
        <v>#REF!</v>
      </c>
      <c r="G414" s="61" t="e">
        <f>IF(F414&gt;0,Pricing!E414*$H$5,0)</f>
        <v>#REF!</v>
      </c>
      <c r="H414" s="61" t="e">
        <f t="shared" si="49"/>
        <v>#REF!</v>
      </c>
      <c r="I414" s="62" t="e">
        <f>#REF!</f>
        <v>#REF!</v>
      </c>
      <c r="J414" s="61" t="e">
        <f>IF(I414&gt;0,Pricing!E414*$K$5,0)</f>
        <v>#REF!</v>
      </c>
      <c r="K414" s="63" t="e">
        <f t="shared" si="50"/>
        <v>#REF!</v>
      </c>
      <c r="L414" s="64" t="e">
        <f>#REF!</f>
        <v>#REF!</v>
      </c>
      <c r="M414" s="61" t="e">
        <f>IF(L414&lt;0,Pricing!E414*$N$5,0)</f>
        <v>#REF!</v>
      </c>
      <c r="N414" s="61" t="e">
        <f t="shared" si="51"/>
        <v>#REF!</v>
      </c>
      <c r="O414" s="60" t="e">
        <f>#REF!</f>
        <v>#REF!</v>
      </c>
      <c r="P414" s="61" t="e">
        <f>IF(O414&lt;0,Pricing!E414*$Q$5,0)</f>
        <v>#REF!</v>
      </c>
      <c r="Q414" s="61" t="e">
        <f t="shared" si="52"/>
        <v>#REF!</v>
      </c>
      <c r="R414" s="60" t="e">
        <f>#REF!</f>
        <v>#REF!</v>
      </c>
      <c r="S414" s="61" t="e">
        <f>IF(R414&lt;0,Pricing!E414*$T$5,0)</f>
        <v>#REF!</v>
      </c>
      <c r="T414" s="61" t="e">
        <f t="shared" si="53"/>
        <v>#REF!</v>
      </c>
    </row>
    <row r="415" spans="1:20" x14ac:dyDescent="0.25">
      <c r="A415" s="58">
        <f t="shared" si="54"/>
        <v>44547.99999999901</v>
      </c>
      <c r="B415" s="59">
        <f t="shared" si="55"/>
        <v>44548.041666665675</v>
      </c>
      <c r="C415" s="60" t="e">
        <f>#REF!</f>
        <v>#REF!</v>
      </c>
      <c r="D415" s="61" t="e">
        <f>IF(C415&gt;0,Pricing!E415*$E$5,0)</f>
        <v>#REF!</v>
      </c>
      <c r="E415" s="61" t="e">
        <f t="shared" si="48"/>
        <v>#REF!</v>
      </c>
      <c r="F415" s="60" t="e">
        <f>#REF!</f>
        <v>#REF!</v>
      </c>
      <c r="G415" s="61" t="e">
        <f>IF(F415&gt;0,Pricing!E415*$H$5,0)</f>
        <v>#REF!</v>
      </c>
      <c r="H415" s="61" t="e">
        <f t="shared" si="49"/>
        <v>#REF!</v>
      </c>
      <c r="I415" s="62" t="e">
        <f>#REF!</f>
        <v>#REF!</v>
      </c>
      <c r="J415" s="61" t="e">
        <f>IF(I415&gt;0,Pricing!E415*$K$5,0)</f>
        <v>#REF!</v>
      </c>
      <c r="K415" s="63" t="e">
        <f t="shared" si="50"/>
        <v>#REF!</v>
      </c>
      <c r="L415" s="64" t="e">
        <f>#REF!</f>
        <v>#REF!</v>
      </c>
      <c r="M415" s="61" t="e">
        <f>IF(L415&lt;0,Pricing!E415*$N$5,0)</f>
        <v>#REF!</v>
      </c>
      <c r="N415" s="61" t="e">
        <f t="shared" si="51"/>
        <v>#REF!</v>
      </c>
      <c r="O415" s="60" t="e">
        <f>#REF!</f>
        <v>#REF!</v>
      </c>
      <c r="P415" s="61" t="e">
        <f>IF(O415&lt;0,Pricing!E415*$Q$5,0)</f>
        <v>#REF!</v>
      </c>
      <c r="Q415" s="61" t="e">
        <f t="shared" si="52"/>
        <v>#REF!</v>
      </c>
      <c r="R415" s="60" t="e">
        <f>#REF!</f>
        <v>#REF!</v>
      </c>
      <c r="S415" s="61" t="e">
        <f>IF(R415&lt;0,Pricing!E415*$T$5,0)</f>
        <v>#REF!</v>
      </c>
      <c r="T415" s="61" t="e">
        <f t="shared" si="53"/>
        <v>#REF!</v>
      </c>
    </row>
    <row r="416" spans="1:20" x14ac:dyDescent="0.25">
      <c r="A416" s="58">
        <f t="shared" si="54"/>
        <v>44548.041666665675</v>
      </c>
      <c r="B416" s="59">
        <f t="shared" si="55"/>
        <v>44548.083333332339</v>
      </c>
      <c r="C416" s="60" t="e">
        <f>#REF!</f>
        <v>#REF!</v>
      </c>
      <c r="D416" s="61" t="e">
        <f>IF(C416&gt;0,Pricing!E416*$E$5,0)</f>
        <v>#REF!</v>
      </c>
      <c r="E416" s="61" t="e">
        <f t="shared" si="48"/>
        <v>#REF!</v>
      </c>
      <c r="F416" s="60" t="e">
        <f>#REF!</f>
        <v>#REF!</v>
      </c>
      <c r="G416" s="61" t="e">
        <f>IF(F416&gt;0,Pricing!E416*$H$5,0)</f>
        <v>#REF!</v>
      </c>
      <c r="H416" s="61" t="e">
        <f t="shared" si="49"/>
        <v>#REF!</v>
      </c>
      <c r="I416" s="62" t="e">
        <f>#REF!</f>
        <v>#REF!</v>
      </c>
      <c r="J416" s="61" t="e">
        <f>IF(I416&gt;0,Pricing!E416*$K$5,0)</f>
        <v>#REF!</v>
      </c>
      <c r="K416" s="63" t="e">
        <f t="shared" si="50"/>
        <v>#REF!</v>
      </c>
      <c r="L416" s="64" t="e">
        <f>#REF!</f>
        <v>#REF!</v>
      </c>
      <c r="M416" s="61" t="e">
        <f>IF(L416&lt;0,Pricing!E416*$N$5,0)</f>
        <v>#REF!</v>
      </c>
      <c r="N416" s="61" t="e">
        <f t="shared" si="51"/>
        <v>#REF!</v>
      </c>
      <c r="O416" s="60" t="e">
        <f>#REF!</f>
        <v>#REF!</v>
      </c>
      <c r="P416" s="61" t="e">
        <f>IF(O416&lt;0,Pricing!E416*$Q$5,0)</f>
        <v>#REF!</v>
      </c>
      <c r="Q416" s="61" t="e">
        <f t="shared" si="52"/>
        <v>#REF!</v>
      </c>
      <c r="R416" s="60" t="e">
        <f>#REF!</f>
        <v>#REF!</v>
      </c>
      <c r="S416" s="61" t="e">
        <f>IF(R416&lt;0,Pricing!E416*$T$5,0)</f>
        <v>#REF!</v>
      </c>
      <c r="T416" s="61" t="e">
        <f t="shared" si="53"/>
        <v>#REF!</v>
      </c>
    </row>
    <row r="417" spans="1:20" x14ac:dyDescent="0.25">
      <c r="A417" s="58">
        <f t="shared" si="54"/>
        <v>44548.083333332339</v>
      </c>
      <c r="B417" s="59">
        <f t="shared" si="55"/>
        <v>44548.124999999003</v>
      </c>
      <c r="C417" s="60" t="e">
        <f>#REF!</f>
        <v>#REF!</v>
      </c>
      <c r="D417" s="61" t="e">
        <f>IF(C417&gt;0,Pricing!E417*$E$5,0)</f>
        <v>#REF!</v>
      </c>
      <c r="E417" s="61" t="e">
        <f t="shared" si="48"/>
        <v>#REF!</v>
      </c>
      <c r="F417" s="60" t="e">
        <f>#REF!</f>
        <v>#REF!</v>
      </c>
      <c r="G417" s="61" t="e">
        <f>IF(F417&gt;0,Pricing!E417*$H$5,0)</f>
        <v>#REF!</v>
      </c>
      <c r="H417" s="61" t="e">
        <f t="shared" si="49"/>
        <v>#REF!</v>
      </c>
      <c r="I417" s="62" t="e">
        <f>#REF!</f>
        <v>#REF!</v>
      </c>
      <c r="J417" s="61" t="e">
        <f>IF(I417&gt;0,Pricing!E417*$K$5,0)</f>
        <v>#REF!</v>
      </c>
      <c r="K417" s="63" t="e">
        <f t="shared" si="50"/>
        <v>#REF!</v>
      </c>
      <c r="L417" s="64" t="e">
        <f>#REF!</f>
        <v>#REF!</v>
      </c>
      <c r="M417" s="61" t="e">
        <f>IF(L417&lt;0,Pricing!E417*$N$5,0)</f>
        <v>#REF!</v>
      </c>
      <c r="N417" s="61" t="e">
        <f t="shared" si="51"/>
        <v>#REF!</v>
      </c>
      <c r="O417" s="60" t="e">
        <f>#REF!</f>
        <v>#REF!</v>
      </c>
      <c r="P417" s="61" t="e">
        <f>IF(O417&lt;0,Pricing!E417*$Q$5,0)</f>
        <v>#REF!</v>
      </c>
      <c r="Q417" s="61" t="e">
        <f t="shared" si="52"/>
        <v>#REF!</v>
      </c>
      <c r="R417" s="60" t="e">
        <f>#REF!</f>
        <v>#REF!</v>
      </c>
      <c r="S417" s="61" t="e">
        <f>IF(R417&lt;0,Pricing!E417*$T$5,0)</f>
        <v>#REF!</v>
      </c>
      <c r="T417" s="61" t="e">
        <f t="shared" si="53"/>
        <v>#REF!</v>
      </c>
    </row>
    <row r="418" spans="1:20" x14ac:dyDescent="0.25">
      <c r="A418" s="58">
        <f t="shared" si="54"/>
        <v>44548.124999999003</v>
      </c>
      <c r="B418" s="59">
        <f t="shared" si="55"/>
        <v>44548.166666665667</v>
      </c>
      <c r="C418" s="60" t="e">
        <f>#REF!</f>
        <v>#REF!</v>
      </c>
      <c r="D418" s="61" t="e">
        <f>IF(C418&gt;0,Pricing!E418*$E$5,0)</f>
        <v>#REF!</v>
      </c>
      <c r="E418" s="61" t="e">
        <f t="shared" si="48"/>
        <v>#REF!</v>
      </c>
      <c r="F418" s="60" t="e">
        <f>#REF!</f>
        <v>#REF!</v>
      </c>
      <c r="G418" s="61" t="e">
        <f>IF(F418&gt;0,Pricing!E418*$H$5,0)</f>
        <v>#REF!</v>
      </c>
      <c r="H418" s="61" t="e">
        <f t="shared" si="49"/>
        <v>#REF!</v>
      </c>
      <c r="I418" s="62" t="e">
        <f>#REF!</f>
        <v>#REF!</v>
      </c>
      <c r="J418" s="61" t="e">
        <f>IF(I418&gt;0,Pricing!E418*$K$5,0)</f>
        <v>#REF!</v>
      </c>
      <c r="K418" s="63" t="e">
        <f t="shared" si="50"/>
        <v>#REF!</v>
      </c>
      <c r="L418" s="64" t="e">
        <f>#REF!</f>
        <v>#REF!</v>
      </c>
      <c r="M418" s="61" t="e">
        <f>IF(L418&lt;0,Pricing!E418*$N$5,0)</f>
        <v>#REF!</v>
      </c>
      <c r="N418" s="61" t="e">
        <f t="shared" si="51"/>
        <v>#REF!</v>
      </c>
      <c r="O418" s="60" t="e">
        <f>#REF!</f>
        <v>#REF!</v>
      </c>
      <c r="P418" s="61" t="e">
        <f>IF(O418&lt;0,Pricing!E418*$Q$5,0)</f>
        <v>#REF!</v>
      </c>
      <c r="Q418" s="61" t="e">
        <f t="shared" si="52"/>
        <v>#REF!</v>
      </c>
      <c r="R418" s="60" t="e">
        <f>#REF!</f>
        <v>#REF!</v>
      </c>
      <c r="S418" s="61" t="e">
        <f>IF(R418&lt;0,Pricing!E418*$T$5,0)</f>
        <v>#REF!</v>
      </c>
      <c r="T418" s="61" t="e">
        <f t="shared" si="53"/>
        <v>#REF!</v>
      </c>
    </row>
    <row r="419" spans="1:20" x14ac:dyDescent="0.25">
      <c r="A419" s="58">
        <f t="shared" si="54"/>
        <v>44548.166666665667</v>
      </c>
      <c r="B419" s="59">
        <f t="shared" si="55"/>
        <v>44548.208333332332</v>
      </c>
      <c r="C419" s="60" t="e">
        <f>#REF!</f>
        <v>#REF!</v>
      </c>
      <c r="D419" s="61" t="e">
        <f>IF(C419&gt;0,Pricing!E419*$E$5,0)</f>
        <v>#REF!</v>
      </c>
      <c r="E419" s="61" t="e">
        <f t="shared" si="48"/>
        <v>#REF!</v>
      </c>
      <c r="F419" s="60" t="e">
        <f>#REF!</f>
        <v>#REF!</v>
      </c>
      <c r="G419" s="61" t="e">
        <f>IF(F419&gt;0,Pricing!E419*$H$5,0)</f>
        <v>#REF!</v>
      </c>
      <c r="H419" s="61" t="e">
        <f t="shared" si="49"/>
        <v>#REF!</v>
      </c>
      <c r="I419" s="62" t="e">
        <f>#REF!</f>
        <v>#REF!</v>
      </c>
      <c r="J419" s="61" t="e">
        <f>IF(I419&gt;0,Pricing!E419*$K$5,0)</f>
        <v>#REF!</v>
      </c>
      <c r="K419" s="63" t="e">
        <f t="shared" si="50"/>
        <v>#REF!</v>
      </c>
      <c r="L419" s="64" t="e">
        <f>#REF!</f>
        <v>#REF!</v>
      </c>
      <c r="M419" s="61" t="e">
        <f>IF(L419&lt;0,Pricing!E419*$N$5,0)</f>
        <v>#REF!</v>
      </c>
      <c r="N419" s="61" t="e">
        <f t="shared" si="51"/>
        <v>#REF!</v>
      </c>
      <c r="O419" s="60" t="e">
        <f>#REF!</f>
        <v>#REF!</v>
      </c>
      <c r="P419" s="61" t="e">
        <f>IF(O419&lt;0,Pricing!E419*$Q$5,0)</f>
        <v>#REF!</v>
      </c>
      <c r="Q419" s="61" t="e">
        <f t="shared" si="52"/>
        <v>#REF!</v>
      </c>
      <c r="R419" s="60" t="e">
        <f>#REF!</f>
        <v>#REF!</v>
      </c>
      <c r="S419" s="61" t="e">
        <f>IF(R419&lt;0,Pricing!E419*$T$5,0)</f>
        <v>#REF!</v>
      </c>
      <c r="T419" s="61" t="e">
        <f t="shared" si="53"/>
        <v>#REF!</v>
      </c>
    </row>
    <row r="420" spans="1:20" x14ac:dyDescent="0.25">
      <c r="A420" s="58">
        <f t="shared" si="54"/>
        <v>44548.208333332332</v>
      </c>
      <c r="B420" s="59">
        <f t="shared" si="55"/>
        <v>44548.249999998996</v>
      </c>
      <c r="C420" s="60" t="e">
        <f>#REF!</f>
        <v>#REF!</v>
      </c>
      <c r="D420" s="61" t="e">
        <f>IF(C420&gt;0,Pricing!E420*$E$5,0)</f>
        <v>#REF!</v>
      </c>
      <c r="E420" s="61" t="e">
        <f t="shared" si="48"/>
        <v>#REF!</v>
      </c>
      <c r="F420" s="60" t="e">
        <f>#REF!</f>
        <v>#REF!</v>
      </c>
      <c r="G420" s="61" t="e">
        <f>IF(F420&gt;0,Pricing!E420*$H$5,0)</f>
        <v>#REF!</v>
      </c>
      <c r="H420" s="61" t="e">
        <f t="shared" si="49"/>
        <v>#REF!</v>
      </c>
      <c r="I420" s="62" t="e">
        <f>#REF!</f>
        <v>#REF!</v>
      </c>
      <c r="J420" s="61" t="e">
        <f>IF(I420&gt;0,Pricing!E420*$K$5,0)</f>
        <v>#REF!</v>
      </c>
      <c r="K420" s="63" t="e">
        <f t="shared" si="50"/>
        <v>#REF!</v>
      </c>
      <c r="L420" s="64" t="e">
        <f>#REF!</f>
        <v>#REF!</v>
      </c>
      <c r="M420" s="61" t="e">
        <f>IF(L420&lt;0,Pricing!E420*$N$5,0)</f>
        <v>#REF!</v>
      </c>
      <c r="N420" s="61" t="e">
        <f t="shared" si="51"/>
        <v>#REF!</v>
      </c>
      <c r="O420" s="60" t="e">
        <f>#REF!</f>
        <v>#REF!</v>
      </c>
      <c r="P420" s="61" t="e">
        <f>IF(O420&lt;0,Pricing!E420*$Q$5,0)</f>
        <v>#REF!</v>
      </c>
      <c r="Q420" s="61" t="e">
        <f t="shared" si="52"/>
        <v>#REF!</v>
      </c>
      <c r="R420" s="60" t="e">
        <f>#REF!</f>
        <v>#REF!</v>
      </c>
      <c r="S420" s="61" t="e">
        <f>IF(R420&lt;0,Pricing!E420*$T$5,0)</f>
        <v>#REF!</v>
      </c>
      <c r="T420" s="61" t="e">
        <f t="shared" si="53"/>
        <v>#REF!</v>
      </c>
    </row>
    <row r="421" spans="1:20" x14ac:dyDescent="0.25">
      <c r="A421" s="58">
        <f t="shared" si="54"/>
        <v>44548.249999998996</v>
      </c>
      <c r="B421" s="59">
        <f t="shared" si="55"/>
        <v>44548.29166666566</v>
      </c>
      <c r="C421" s="60" t="e">
        <f>#REF!</f>
        <v>#REF!</v>
      </c>
      <c r="D421" s="61" t="e">
        <f>IF(C421&gt;0,Pricing!E421*$E$5,0)</f>
        <v>#REF!</v>
      </c>
      <c r="E421" s="61" t="e">
        <f t="shared" si="48"/>
        <v>#REF!</v>
      </c>
      <c r="F421" s="60" t="e">
        <f>#REF!</f>
        <v>#REF!</v>
      </c>
      <c r="G421" s="61" t="e">
        <f>IF(F421&gt;0,Pricing!E421*$H$5,0)</f>
        <v>#REF!</v>
      </c>
      <c r="H421" s="61" t="e">
        <f t="shared" si="49"/>
        <v>#REF!</v>
      </c>
      <c r="I421" s="62" t="e">
        <f>#REF!</f>
        <v>#REF!</v>
      </c>
      <c r="J421" s="61" t="e">
        <f>IF(I421&gt;0,Pricing!E421*$K$5,0)</f>
        <v>#REF!</v>
      </c>
      <c r="K421" s="63" t="e">
        <f t="shared" si="50"/>
        <v>#REF!</v>
      </c>
      <c r="L421" s="64" t="e">
        <f>#REF!</f>
        <v>#REF!</v>
      </c>
      <c r="M421" s="61" t="e">
        <f>IF(L421&lt;0,Pricing!E421*$N$5,0)</f>
        <v>#REF!</v>
      </c>
      <c r="N421" s="61" t="e">
        <f t="shared" si="51"/>
        <v>#REF!</v>
      </c>
      <c r="O421" s="60" t="e">
        <f>#REF!</f>
        <v>#REF!</v>
      </c>
      <c r="P421" s="61" t="e">
        <f>IF(O421&lt;0,Pricing!E421*$Q$5,0)</f>
        <v>#REF!</v>
      </c>
      <c r="Q421" s="61" t="e">
        <f t="shared" si="52"/>
        <v>#REF!</v>
      </c>
      <c r="R421" s="60" t="e">
        <f>#REF!</f>
        <v>#REF!</v>
      </c>
      <c r="S421" s="61" t="e">
        <f>IF(R421&lt;0,Pricing!E421*$T$5,0)</f>
        <v>#REF!</v>
      </c>
      <c r="T421" s="61" t="e">
        <f t="shared" si="53"/>
        <v>#REF!</v>
      </c>
    </row>
    <row r="422" spans="1:20" x14ac:dyDescent="0.25">
      <c r="A422" s="58">
        <f t="shared" si="54"/>
        <v>44548.29166666566</v>
      </c>
      <c r="B422" s="59">
        <f t="shared" si="55"/>
        <v>44548.333333332324</v>
      </c>
      <c r="C422" s="60" t="e">
        <f>#REF!</f>
        <v>#REF!</v>
      </c>
      <c r="D422" s="61" t="e">
        <f>IF(C422&gt;0,Pricing!E422*$E$5,0)</f>
        <v>#REF!</v>
      </c>
      <c r="E422" s="61" t="e">
        <f t="shared" si="48"/>
        <v>#REF!</v>
      </c>
      <c r="F422" s="60" t="e">
        <f>#REF!</f>
        <v>#REF!</v>
      </c>
      <c r="G422" s="61" t="e">
        <f>IF(F422&gt;0,Pricing!E422*$H$5,0)</f>
        <v>#REF!</v>
      </c>
      <c r="H422" s="61" t="e">
        <f t="shared" si="49"/>
        <v>#REF!</v>
      </c>
      <c r="I422" s="62" t="e">
        <f>#REF!</f>
        <v>#REF!</v>
      </c>
      <c r="J422" s="61" t="e">
        <f>IF(I422&gt;0,Pricing!E422*$K$5,0)</f>
        <v>#REF!</v>
      </c>
      <c r="K422" s="63" t="e">
        <f t="shared" si="50"/>
        <v>#REF!</v>
      </c>
      <c r="L422" s="64" t="e">
        <f>#REF!</f>
        <v>#REF!</v>
      </c>
      <c r="M422" s="61" t="e">
        <f>IF(L422&lt;0,Pricing!E422*$N$5,0)</f>
        <v>#REF!</v>
      </c>
      <c r="N422" s="61" t="e">
        <f t="shared" si="51"/>
        <v>#REF!</v>
      </c>
      <c r="O422" s="60" t="e">
        <f>#REF!</f>
        <v>#REF!</v>
      </c>
      <c r="P422" s="61" t="e">
        <f>IF(O422&lt;0,Pricing!E422*$Q$5,0)</f>
        <v>#REF!</v>
      </c>
      <c r="Q422" s="61" t="e">
        <f t="shared" si="52"/>
        <v>#REF!</v>
      </c>
      <c r="R422" s="60" t="e">
        <f>#REF!</f>
        <v>#REF!</v>
      </c>
      <c r="S422" s="61" t="e">
        <f>IF(R422&lt;0,Pricing!E422*$T$5,0)</f>
        <v>#REF!</v>
      </c>
      <c r="T422" s="61" t="e">
        <f t="shared" si="53"/>
        <v>#REF!</v>
      </c>
    </row>
    <row r="423" spans="1:20" x14ac:dyDescent="0.25">
      <c r="A423" s="58">
        <f t="shared" si="54"/>
        <v>44548.333333332324</v>
      </c>
      <c r="B423" s="59">
        <f t="shared" si="55"/>
        <v>44548.374999998989</v>
      </c>
      <c r="C423" s="60" t="e">
        <f>#REF!</f>
        <v>#REF!</v>
      </c>
      <c r="D423" s="61" t="e">
        <f>IF(C423&gt;0,Pricing!E423*$E$5,0)</f>
        <v>#REF!</v>
      </c>
      <c r="E423" s="61" t="e">
        <f t="shared" si="48"/>
        <v>#REF!</v>
      </c>
      <c r="F423" s="60" t="e">
        <f>#REF!</f>
        <v>#REF!</v>
      </c>
      <c r="G423" s="61" t="e">
        <f>IF(F423&gt;0,Pricing!E423*$H$5,0)</f>
        <v>#REF!</v>
      </c>
      <c r="H423" s="61" t="e">
        <f t="shared" si="49"/>
        <v>#REF!</v>
      </c>
      <c r="I423" s="62" t="e">
        <f>#REF!</f>
        <v>#REF!</v>
      </c>
      <c r="J423" s="61" t="e">
        <f>IF(I423&gt;0,Pricing!E423*$K$5,0)</f>
        <v>#REF!</v>
      </c>
      <c r="K423" s="63" t="e">
        <f t="shared" si="50"/>
        <v>#REF!</v>
      </c>
      <c r="L423" s="64" t="e">
        <f>#REF!</f>
        <v>#REF!</v>
      </c>
      <c r="M423" s="61" t="e">
        <f>IF(L423&lt;0,Pricing!E423*$N$5,0)</f>
        <v>#REF!</v>
      </c>
      <c r="N423" s="61" t="e">
        <f t="shared" si="51"/>
        <v>#REF!</v>
      </c>
      <c r="O423" s="60" t="e">
        <f>#REF!</f>
        <v>#REF!</v>
      </c>
      <c r="P423" s="61" t="e">
        <f>IF(O423&lt;0,Pricing!E423*$Q$5,0)</f>
        <v>#REF!</v>
      </c>
      <c r="Q423" s="61" t="e">
        <f t="shared" si="52"/>
        <v>#REF!</v>
      </c>
      <c r="R423" s="60" t="e">
        <f>#REF!</f>
        <v>#REF!</v>
      </c>
      <c r="S423" s="61" t="e">
        <f>IF(R423&lt;0,Pricing!E423*$T$5,0)</f>
        <v>#REF!</v>
      </c>
      <c r="T423" s="61" t="e">
        <f t="shared" si="53"/>
        <v>#REF!</v>
      </c>
    </row>
    <row r="424" spans="1:20" x14ac:dyDescent="0.25">
      <c r="A424" s="58">
        <f t="shared" si="54"/>
        <v>44548.374999998989</v>
      </c>
      <c r="B424" s="59">
        <f t="shared" si="55"/>
        <v>44548.416666665653</v>
      </c>
      <c r="C424" s="60" t="e">
        <f>#REF!</f>
        <v>#REF!</v>
      </c>
      <c r="D424" s="61" t="e">
        <f>IF(C424&gt;0,Pricing!E424*$E$5,0)</f>
        <v>#REF!</v>
      </c>
      <c r="E424" s="61" t="e">
        <f t="shared" si="48"/>
        <v>#REF!</v>
      </c>
      <c r="F424" s="60" t="e">
        <f>#REF!</f>
        <v>#REF!</v>
      </c>
      <c r="G424" s="61" t="e">
        <f>IF(F424&gt;0,Pricing!E424*$H$5,0)</f>
        <v>#REF!</v>
      </c>
      <c r="H424" s="61" t="e">
        <f t="shared" si="49"/>
        <v>#REF!</v>
      </c>
      <c r="I424" s="62" t="e">
        <f>#REF!</f>
        <v>#REF!</v>
      </c>
      <c r="J424" s="61" t="e">
        <f>IF(I424&gt;0,Pricing!E424*$K$5,0)</f>
        <v>#REF!</v>
      </c>
      <c r="K424" s="63" t="e">
        <f t="shared" si="50"/>
        <v>#REF!</v>
      </c>
      <c r="L424" s="64" t="e">
        <f>#REF!</f>
        <v>#REF!</v>
      </c>
      <c r="M424" s="61" t="e">
        <f>IF(L424&lt;0,Pricing!E424*$N$5,0)</f>
        <v>#REF!</v>
      </c>
      <c r="N424" s="61" t="e">
        <f t="shared" si="51"/>
        <v>#REF!</v>
      </c>
      <c r="O424" s="60" t="e">
        <f>#REF!</f>
        <v>#REF!</v>
      </c>
      <c r="P424" s="61" t="e">
        <f>IF(O424&lt;0,Pricing!E424*$Q$5,0)</f>
        <v>#REF!</v>
      </c>
      <c r="Q424" s="61" t="e">
        <f t="shared" si="52"/>
        <v>#REF!</v>
      </c>
      <c r="R424" s="60" t="e">
        <f>#REF!</f>
        <v>#REF!</v>
      </c>
      <c r="S424" s="61" t="e">
        <f>IF(R424&lt;0,Pricing!E424*$T$5,0)</f>
        <v>#REF!</v>
      </c>
      <c r="T424" s="61" t="e">
        <f t="shared" si="53"/>
        <v>#REF!</v>
      </c>
    </row>
    <row r="425" spans="1:20" x14ac:dyDescent="0.25">
      <c r="A425" s="58">
        <f t="shared" si="54"/>
        <v>44548.416666665653</v>
      </c>
      <c r="B425" s="59">
        <f t="shared" si="55"/>
        <v>44548.458333332317</v>
      </c>
      <c r="C425" s="60" t="e">
        <f>#REF!</f>
        <v>#REF!</v>
      </c>
      <c r="D425" s="61" t="e">
        <f>IF(C425&gt;0,Pricing!E425*$E$5,0)</f>
        <v>#REF!</v>
      </c>
      <c r="E425" s="61" t="e">
        <f t="shared" si="48"/>
        <v>#REF!</v>
      </c>
      <c r="F425" s="60" t="e">
        <f>#REF!</f>
        <v>#REF!</v>
      </c>
      <c r="G425" s="61" t="e">
        <f>IF(F425&gt;0,Pricing!E425*$H$5,0)</f>
        <v>#REF!</v>
      </c>
      <c r="H425" s="61" t="e">
        <f t="shared" si="49"/>
        <v>#REF!</v>
      </c>
      <c r="I425" s="62" t="e">
        <f>#REF!</f>
        <v>#REF!</v>
      </c>
      <c r="J425" s="61" t="e">
        <f>IF(I425&gt;0,Pricing!E425*$K$5,0)</f>
        <v>#REF!</v>
      </c>
      <c r="K425" s="63" t="e">
        <f t="shared" si="50"/>
        <v>#REF!</v>
      </c>
      <c r="L425" s="64" t="e">
        <f>#REF!</f>
        <v>#REF!</v>
      </c>
      <c r="M425" s="61" t="e">
        <f>IF(L425&lt;0,Pricing!E425*$N$5,0)</f>
        <v>#REF!</v>
      </c>
      <c r="N425" s="61" t="e">
        <f t="shared" si="51"/>
        <v>#REF!</v>
      </c>
      <c r="O425" s="60" t="e">
        <f>#REF!</f>
        <v>#REF!</v>
      </c>
      <c r="P425" s="61" t="e">
        <f>IF(O425&lt;0,Pricing!E425*$Q$5,0)</f>
        <v>#REF!</v>
      </c>
      <c r="Q425" s="61" t="e">
        <f t="shared" si="52"/>
        <v>#REF!</v>
      </c>
      <c r="R425" s="60" t="e">
        <f>#REF!</f>
        <v>#REF!</v>
      </c>
      <c r="S425" s="61" t="e">
        <f>IF(R425&lt;0,Pricing!E425*$T$5,0)</f>
        <v>#REF!</v>
      </c>
      <c r="T425" s="61" t="e">
        <f t="shared" si="53"/>
        <v>#REF!</v>
      </c>
    </row>
    <row r="426" spans="1:20" x14ac:dyDescent="0.25">
      <c r="A426" s="58">
        <f t="shared" si="54"/>
        <v>44548.458333332317</v>
      </c>
      <c r="B426" s="59">
        <f t="shared" si="55"/>
        <v>44548.499999998981</v>
      </c>
      <c r="C426" s="60" t="e">
        <f>#REF!</f>
        <v>#REF!</v>
      </c>
      <c r="D426" s="61" t="e">
        <f>IF(C426&gt;0,Pricing!E426*$E$5,0)</f>
        <v>#REF!</v>
      </c>
      <c r="E426" s="61" t="e">
        <f t="shared" si="48"/>
        <v>#REF!</v>
      </c>
      <c r="F426" s="60" t="e">
        <f>#REF!</f>
        <v>#REF!</v>
      </c>
      <c r="G426" s="61" t="e">
        <f>IF(F426&gt;0,Pricing!E426*$H$5,0)</f>
        <v>#REF!</v>
      </c>
      <c r="H426" s="61" t="e">
        <f t="shared" si="49"/>
        <v>#REF!</v>
      </c>
      <c r="I426" s="62" t="e">
        <f>#REF!</f>
        <v>#REF!</v>
      </c>
      <c r="J426" s="61" t="e">
        <f>IF(I426&gt;0,Pricing!E426*$K$5,0)</f>
        <v>#REF!</v>
      </c>
      <c r="K426" s="63" t="e">
        <f t="shared" si="50"/>
        <v>#REF!</v>
      </c>
      <c r="L426" s="64" t="e">
        <f>#REF!</f>
        <v>#REF!</v>
      </c>
      <c r="M426" s="61" t="e">
        <f>IF(L426&lt;0,Pricing!E426*$N$5,0)</f>
        <v>#REF!</v>
      </c>
      <c r="N426" s="61" t="e">
        <f t="shared" si="51"/>
        <v>#REF!</v>
      </c>
      <c r="O426" s="60" t="e">
        <f>#REF!</f>
        <v>#REF!</v>
      </c>
      <c r="P426" s="61" t="e">
        <f>IF(O426&lt;0,Pricing!E426*$Q$5,0)</f>
        <v>#REF!</v>
      </c>
      <c r="Q426" s="61" t="e">
        <f t="shared" si="52"/>
        <v>#REF!</v>
      </c>
      <c r="R426" s="60" t="e">
        <f>#REF!</f>
        <v>#REF!</v>
      </c>
      <c r="S426" s="61" t="e">
        <f>IF(R426&lt;0,Pricing!E426*$T$5,0)</f>
        <v>#REF!</v>
      </c>
      <c r="T426" s="61" t="e">
        <f t="shared" si="53"/>
        <v>#REF!</v>
      </c>
    </row>
    <row r="427" spans="1:20" x14ac:dyDescent="0.25">
      <c r="A427" s="58">
        <f t="shared" si="54"/>
        <v>44548.499999998981</v>
      </c>
      <c r="B427" s="59">
        <f t="shared" si="55"/>
        <v>44548.541666665646</v>
      </c>
      <c r="C427" s="60" t="e">
        <f>#REF!</f>
        <v>#REF!</v>
      </c>
      <c r="D427" s="61" t="e">
        <f>IF(C427&gt;0,Pricing!E427*$E$5,0)</f>
        <v>#REF!</v>
      </c>
      <c r="E427" s="61" t="e">
        <f t="shared" si="48"/>
        <v>#REF!</v>
      </c>
      <c r="F427" s="60" t="e">
        <f>#REF!</f>
        <v>#REF!</v>
      </c>
      <c r="G427" s="61" t="e">
        <f>IF(F427&gt;0,Pricing!E427*$H$5,0)</f>
        <v>#REF!</v>
      </c>
      <c r="H427" s="61" t="e">
        <f t="shared" si="49"/>
        <v>#REF!</v>
      </c>
      <c r="I427" s="62" t="e">
        <f>#REF!</f>
        <v>#REF!</v>
      </c>
      <c r="J427" s="61" t="e">
        <f>IF(I427&gt;0,Pricing!E427*$K$5,0)</f>
        <v>#REF!</v>
      </c>
      <c r="K427" s="63" t="e">
        <f t="shared" si="50"/>
        <v>#REF!</v>
      </c>
      <c r="L427" s="64" t="e">
        <f>#REF!</f>
        <v>#REF!</v>
      </c>
      <c r="M427" s="61" t="e">
        <f>IF(L427&lt;0,Pricing!E427*$N$5,0)</f>
        <v>#REF!</v>
      </c>
      <c r="N427" s="61" t="e">
        <f t="shared" si="51"/>
        <v>#REF!</v>
      </c>
      <c r="O427" s="60" t="e">
        <f>#REF!</f>
        <v>#REF!</v>
      </c>
      <c r="P427" s="61" t="e">
        <f>IF(O427&lt;0,Pricing!E427*$Q$5,0)</f>
        <v>#REF!</v>
      </c>
      <c r="Q427" s="61" t="e">
        <f t="shared" si="52"/>
        <v>#REF!</v>
      </c>
      <c r="R427" s="60" t="e">
        <f>#REF!</f>
        <v>#REF!</v>
      </c>
      <c r="S427" s="61" t="e">
        <f>IF(R427&lt;0,Pricing!E427*$T$5,0)</f>
        <v>#REF!</v>
      </c>
      <c r="T427" s="61" t="e">
        <f t="shared" si="53"/>
        <v>#REF!</v>
      </c>
    </row>
    <row r="428" spans="1:20" x14ac:dyDescent="0.25">
      <c r="A428" s="58">
        <f t="shared" si="54"/>
        <v>44548.541666665646</v>
      </c>
      <c r="B428" s="59">
        <f t="shared" si="55"/>
        <v>44548.58333333231</v>
      </c>
      <c r="C428" s="60" t="e">
        <f>#REF!</f>
        <v>#REF!</v>
      </c>
      <c r="D428" s="61" t="e">
        <f>IF(C428&gt;0,Pricing!E428*$E$5,0)</f>
        <v>#REF!</v>
      </c>
      <c r="E428" s="61" t="e">
        <f t="shared" si="48"/>
        <v>#REF!</v>
      </c>
      <c r="F428" s="60" t="e">
        <f>#REF!</f>
        <v>#REF!</v>
      </c>
      <c r="G428" s="61" t="e">
        <f>IF(F428&gt;0,Pricing!E428*$H$5,0)</f>
        <v>#REF!</v>
      </c>
      <c r="H428" s="61" t="e">
        <f t="shared" si="49"/>
        <v>#REF!</v>
      </c>
      <c r="I428" s="62" t="e">
        <f>#REF!</f>
        <v>#REF!</v>
      </c>
      <c r="J428" s="61" t="e">
        <f>IF(I428&gt;0,Pricing!E428*$K$5,0)</f>
        <v>#REF!</v>
      </c>
      <c r="K428" s="63" t="e">
        <f t="shared" si="50"/>
        <v>#REF!</v>
      </c>
      <c r="L428" s="64" t="e">
        <f>#REF!</f>
        <v>#REF!</v>
      </c>
      <c r="M428" s="61" t="e">
        <f>IF(L428&lt;0,Pricing!E428*$N$5,0)</f>
        <v>#REF!</v>
      </c>
      <c r="N428" s="61" t="e">
        <f t="shared" si="51"/>
        <v>#REF!</v>
      </c>
      <c r="O428" s="60" t="e">
        <f>#REF!</f>
        <v>#REF!</v>
      </c>
      <c r="P428" s="61" t="e">
        <f>IF(O428&lt;0,Pricing!E428*$Q$5,0)</f>
        <v>#REF!</v>
      </c>
      <c r="Q428" s="61" t="e">
        <f t="shared" si="52"/>
        <v>#REF!</v>
      </c>
      <c r="R428" s="60" t="e">
        <f>#REF!</f>
        <v>#REF!</v>
      </c>
      <c r="S428" s="61" t="e">
        <f>IF(R428&lt;0,Pricing!E428*$T$5,0)</f>
        <v>#REF!</v>
      </c>
      <c r="T428" s="61" t="e">
        <f t="shared" si="53"/>
        <v>#REF!</v>
      </c>
    </row>
    <row r="429" spans="1:20" x14ac:dyDescent="0.25">
      <c r="A429" s="58">
        <f t="shared" si="54"/>
        <v>44548.58333333231</v>
      </c>
      <c r="B429" s="59">
        <f t="shared" si="55"/>
        <v>44548.624999998974</v>
      </c>
      <c r="C429" s="60" t="e">
        <f>#REF!</f>
        <v>#REF!</v>
      </c>
      <c r="D429" s="61" t="e">
        <f>IF(C429&gt;0,Pricing!E429*$E$5,0)</f>
        <v>#REF!</v>
      </c>
      <c r="E429" s="61" t="e">
        <f t="shared" si="48"/>
        <v>#REF!</v>
      </c>
      <c r="F429" s="60" t="e">
        <f>#REF!</f>
        <v>#REF!</v>
      </c>
      <c r="G429" s="61" t="e">
        <f>IF(F429&gt;0,Pricing!E429*$H$5,0)</f>
        <v>#REF!</v>
      </c>
      <c r="H429" s="61" t="e">
        <f t="shared" si="49"/>
        <v>#REF!</v>
      </c>
      <c r="I429" s="62" t="e">
        <f>#REF!</f>
        <v>#REF!</v>
      </c>
      <c r="J429" s="61" t="e">
        <f>IF(I429&gt;0,Pricing!E429*$K$5,0)</f>
        <v>#REF!</v>
      </c>
      <c r="K429" s="63" t="e">
        <f t="shared" si="50"/>
        <v>#REF!</v>
      </c>
      <c r="L429" s="64" t="e">
        <f>#REF!</f>
        <v>#REF!</v>
      </c>
      <c r="M429" s="61" t="e">
        <f>IF(L429&lt;0,Pricing!E429*$N$5,0)</f>
        <v>#REF!</v>
      </c>
      <c r="N429" s="61" t="e">
        <f t="shared" si="51"/>
        <v>#REF!</v>
      </c>
      <c r="O429" s="60" t="e">
        <f>#REF!</f>
        <v>#REF!</v>
      </c>
      <c r="P429" s="61" t="e">
        <f>IF(O429&lt;0,Pricing!E429*$Q$5,0)</f>
        <v>#REF!</v>
      </c>
      <c r="Q429" s="61" t="e">
        <f t="shared" si="52"/>
        <v>#REF!</v>
      </c>
      <c r="R429" s="60" t="e">
        <f>#REF!</f>
        <v>#REF!</v>
      </c>
      <c r="S429" s="61" t="e">
        <f>IF(R429&lt;0,Pricing!E429*$T$5,0)</f>
        <v>#REF!</v>
      </c>
      <c r="T429" s="61" t="e">
        <f t="shared" si="53"/>
        <v>#REF!</v>
      </c>
    </row>
    <row r="430" spans="1:20" x14ac:dyDescent="0.25">
      <c r="A430" s="58">
        <f t="shared" si="54"/>
        <v>44548.624999998974</v>
      </c>
      <c r="B430" s="59">
        <f t="shared" si="55"/>
        <v>44548.666666665638</v>
      </c>
      <c r="C430" s="60" t="e">
        <f>#REF!</f>
        <v>#REF!</v>
      </c>
      <c r="D430" s="61" t="e">
        <f>IF(C430&gt;0,Pricing!E430*$E$5,0)</f>
        <v>#REF!</v>
      </c>
      <c r="E430" s="61" t="e">
        <f t="shared" si="48"/>
        <v>#REF!</v>
      </c>
      <c r="F430" s="60" t="e">
        <f>#REF!</f>
        <v>#REF!</v>
      </c>
      <c r="G430" s="61" t="e">
        <f>IF(F430&gt;0,Pricing!E430*$H$5,0)</f>
        <v>#REF!</v>
      </c>
      <c r="H430" s="61" t="e">
        <f t="shared" si="49"/>
        <v>#REF!</v>
      </c>
      <c r="I430" s="62" t="e">
        <f>#REF!</f>
        <v>#REF!</v>
      </c>
      <c r="J430" s="61" t="e">
        <f>IF(I430&gt;0,Pricing!E430*$K$5,0)</f>
        <v>#REF!</v>
      </c>
      <c r="K430" s="63" t="e">
        <f t="shared" si="50"/>
        <v>#REF!</v>
      </c>
      <c r="L430" s="64" t="e">
        <f>#REF!</f>
        <v>#REF!</v>
      </c>
      <c r="M430" s="61" t="e">
        <f>IF(L430&lt;0,Pricing!E430*$N$5,0)</f>
        <v>#REF!</v>
      </c>
      <c r="N430" s="61" t="e">
        <f t="shared" si="51"/>
        <v>#REF!</v>
      </c>
      <c r="O430" s="60" t="e">
        <f>#REF!</f>
        <v>#REF!</v>
      </c>
      <c r="P430" s="61" t="e">
        <f>IF(O430&lt;0,Pricing!E430*$Q$5,0)</f>
        <v>#REF!</v>
      </c>
      <c r="Q430" s="61" t="e">
        <f t="shared" si="52"/>
        <v>#REF!</v>
      </c>
      <c r="R430" s="60" t="e">
        <f>#REF!</f>
        <v>#REF!</v>
      </c>
      <c r="S430" s="61" t="e">
        <f>IF(R430&lt;0,Pricing!E430*$T$5,0)</f>
        <v>#REF!</v>
      </c>
      <c r="T430" s="61" t="e">
        <f t="shared" si="53"/>
        <v>#REF!</v>
      </c>
    </row>
    <row r="431" spans="1:20" x14ac:dyDescent="0.25">
      <c r="A431" s="58">
        <f t="shared" si="54"/>
        <v>44548.666666665638</v>
      </c>
      <c r="B431" s="59">
        <f t="shared" si="55"/>
        <v>44548.708333332303</v>
      </c>
      <c r="C431" s="60" t="e">
        <f>#REF!</f>
        <v>#REF!</v>
      </c>
      <c r="D431" s="61" t="e">
        <f>IF(C431&gt;0,Pricing!E431*$E$5,0)</f>
        <v>#REF!</v>
      </c>
      <c r="E431" s="61" t="e">
        <f t="shared" si="48"/>
        <v>#REF!</v>
      </c>
      <c r="F431" s="60" t="e">
        <f>#REF!</f>
        <v>#REF!</v>
      </c>
      <c r="G431" s="61" t="e">
        <f>IF(F431&gt;0,Pricing!E431*$H$5,0)</f>
        <v>#REF!</v>
      </c>
      <c r="H431" s="61" t="e">
        <f t="shared" si="49"/>
        <v>#REF!</v>
      </c>
      <c r="I431" s="62" t="e">
        <f>#REF!</f>
        <v>#REF!</v>
      </c>
      <c r="J431" s="61" t="e">
        <f>IF(I431&gt;0,Pricing!E431*$K$5,0)</f>
        <v>#REF!</v>
      </c>
      <c r="K431" s="63" t="e">
        <f t="shared" si="50"/>
        <v>#REF!</v>
      </c>
      <c r="L431" s="64" t="e">
        <f>#REF!</f>
        <v>#REF!</v>
      </c>
      <c r="M431" s="61" t="e">
        <f>IF(L431&lt;0,Pricing!E431*$N$5,0)</f>
        <v>#REF!</v>
      </c>
      <c r="N431" s="61" t="e">
        <f t="shared" si="51"/>
        <v>#REF!</v>
      </c>
      <c r="O431" s="60" t="e">
        <f>#REF!</f>
        <v>#REF!</v>
      </c>
      <c r="P431" s="61" t="e">
        <f>IF(O431&lt;0,Pricing!E431*$Q$5,0)</f>
        <v>#REF!</v>
      </c>
      <c r="Q431" s="61" t="e">
        <f t="shared" si="52"/>
        <v>#REF!</v>
      </c>
      <c r="R431" s="60" t="e">
        <f>#REF!</f>
        <v>#REF!</v>
      </c>
      <c r="S431" s="61" t="e">
        <f>IF(R431&lt;0,Pricing!E431*$T$5,0)</f>
        <v>#REF!</v>
      </c>
      <c r="T431" s="61" t="e">
        <f t="shared" si="53"/>
        <v>#REF!</v>
      </c>
    </row>
    <row r="432" spans="1:20" x14ac:dyDescent="0.25">
      <c r="A432" s="58">
        <f t="shared" si="54"/>
        <v>44548.708333332303</v>
      </c>
      <c r="B432" s="59">
        <f t="shared" si="55"/>
        <v>44548.749999998967</v>
      </c>
      <c r="C432" s="60" t="e">
        <f>#REF!</f>
        <v>#REF!</v>
      </c>
      <c r="D432" s="61" t="e">
        <f>IF(C432&gt;0,Pricing!E432*$E$5,0)</f>
        <v>#REF!</v>
      </c>
      <c r="E432" s="61" t="e">
        <f t="shared" si="48"/>
        <v>#REF!</v>
      </c>
      <c r="F432" s="60" t="e">
        <f>#REF!</f>
        <v>#REF!</v>
      </c>
      <c r="G432" s="61" t="e">
        <f>IF(F432&gt;0,Pricing!E432*$H$5,0)</f>
        <v>#REF!</v>
      </c>
      <c r="H432" s="61" t="e">
        <f t="shared" si="49"/>
        <v>#REF!</v>
      </c>
      <c r="I432" s="62" t="e">
        <f>#REF!</f>
        <v>#REF!</v>
      </c>
      <c r="J432" s="61" t="e">
        <f>IF(I432&gt;0,Pricing!E432*$K$5,0)</f>
        <v>#REF!</v>
      </c>
      <c r="K432" s="63" t="e">
        <f t="shared" si="50"/>
        <v>#REF!</v>
      </c>
      <c r="L432" s="64" t="e">
        <f>#REF!</f>
        <v>#REF!</v>
      </c>
      <c r="M432" s="61" t="e">
        <f>IF(L432&lt;0,Pricing!E432*$N$5,0)</f>
        <v>#REF!</v>
      </c>
      <c r="N432" s="61" t="e">
        <f t="shared" si="51"/>
        <v>#REF!</v>
      </c>
      <c r="O432" s="60" t="e">
        <f>#REF!</f>
        <v>#REF!</v>
      </c>
      <c r="P432" s="61" t="e">
        <f>IF(O432&lt;0,Pricing!E432*$Q$5,0)</f>
        <v>#REF!</v>
      </c>
      <c r="Q432" s="61" t="e">
        <f t="shared" si="52"/>
        <v>#REF!</v>
      </c>
      <c r="R432" s="60" t="e">
        <f>#REF!</f>
        <v>#REF!</v>
      </c>
      <c r="S432" s="61" t="e">
        <f>IF(R432&lt;0,Pricing!E432*$T$5,0)</f>
        <v>#REF!</v>
      </c>
      <c r="T432" s="61" t="e">
        <f t="shared" si="53"/>
        <v>#REF!</v>
      </c>
    </row>
    <row r="433" spans="1:20" x14ac:dyDescent="0.25">
      <c r="A433" s="58">
        <f t="shared" si="54"/>
        <v>44548.749999998967</v>
      </c>
      <c r="B433" s="59">
        <f t="shared" si="55"/>
        <v>44548.791666665631</v>
      </c>
      <c r="C433" s="60" t="e">
        <f>#REF!</f>
        <v>#REF!</v>
      </c>
      <c r="D433" s="61" t="e">
        <f>IF(C433&gt;0,Pricing!E433*$E$5,0)</f>
        <v>#REF!</v>
      </c>
      <c r="E433" s="61" t="e">
        <f t="shared" si="48"/>
        <v>#REF!</v>
      </c>
      <c r="F433" s="60" t="e">
        <f>#REF!</f>
        <v>#REF!</v>
      </c>
      <c r="G433" s="61" t="e">
        <f>IF(F433&gt;0,Pricing!E433*$H$5,0)</f>
        <v>#REF!</v>
      </c>
      <c r="H433" s="61" t="e">
        <f t="shared" si="49"/>
        <v>#REF!</v>
      </c>
      <c r="I433" s="62" t="e">
        <f>#REF!</f>
        <v>#REF!</v>
      </c>
      <c r="J433" s="61" t="e">
        <f>IF(I433&gt;0,Pricing!E433*$K$5,0)</f>
        <v>#REF!</v>
      </c>
      <c r="K433" s="63" t="e">
        <f t="shared" si="50"/>
        <v>#REF!</v>
      </c>
      <c r="L433" s="64" t="e">
        <f>#REF!</f>
        <v>#REF!</v>
      </c>
      <c r="M433" s="61" t="e">
        <f>IF(L433&lt;0,Pricing!E433*$N$5,0)</f>
        <v>#REF!</v>
      </c>
      <c r="N433" s="61" t="e">
        <f t="shared" si="51"/>
        <v>#REF!</v>
      </c>
      <c r="O433" s="60" t="e">
        <f>#REF!</f>
        <v>#REF!</v>
      </c>
      <c r="P433" s="61" t="e">
        <f>IF(O433&lt;0,Pricing!E433*$Q$5,0)</f>
        <v>#REF!</v>
      </c>
      <c r="Q433" s="61" t="e">
        <f t="shared" si="52"/>
        <v>#REF!</v>
      </c>
      <c r="R433" s="60" t="e">
        <f>#REF!</f>
        <v>#REF!</v>
      </c>
      <c r="S433" s="61" t="e">
        <f>IF(R433&lt;0,Pricing!E433*$T$5,0)</f>
        <v>#REF!</v>
      </c>
      <c r="T433" s="61" t="e">
        <f t="shared" si="53"/>
        <v>#REF!</v>
      </c>
    </row>
    <row r="434" spans="1:20" x14ac:dyDescent="0.25">
      <c r="A434" s="58">
        <f t="shared" si="54"/>
        <v>44548.791666665631</v>
      </c>
      <c r="B434" s="59">
        <f t="shared" si="55"/>
        <v>44548.833333332295</v>
      </c>
      <c r="C434" s="60" t="e">
        <f>#REF!</f>
        <v>#REF!</v>
      </c>
      <c r="D434" s="61" t="e">
        <f>IF(C434&gt;0,Pricing!E434*$E$5,0)</f>
        <v>#REF!</v>
      </c>
      <c r="E434" s="61" t="e">
        <f t="shared" si="48"/>
        <v>#REF!</v>
      </c>
      <c r="F434" s="60" t="e">
        <f>#REF!</f>
        <v>#REF!</v>
      </c>
      <c r="G434" s="61" t="e">
        <f>IF(F434&gt;0,Pricing!E434*$H$5,0)</f>
        <v>#REF!</v>
      </c>
      <c r="H434" s="61" t="e">
        <f t="shared" si="49"/>
        <v>#REF!</v>
      </c>
      <c r="I434" s="62" t="e">
        <f>#REF!</f>
        <v>#REF!</v>
      </c>
      <c r="J434" s="61" t="e">
        <f>IF(I434&gt;0,Pricing!E434*$K$5,0)</f>
        <v>#REF!</v>
      </c>
      <c r="K434" s="63" t="e">
        <f t="shared" si="50"/>
        <v>#REF!</v>
      </c>
      <c r="L434" s="64" t="e">
        <f>#REF!</f>
        <v>#REF!</v>
      </c>
      <c r="M434" s="61" t="e">
        <f>IF(L434&lt;0,Pricing!E434*$N$5,0)</f>
        <v>#REF!</v>
      </c>
      <c r="N434" s="61" t="e">
        <f t="shared" si="51"/>
        <v>#REF!</v>
      </c>
      <c r="O434" s="60" t="e">
        <f>#REF!</f>
        <v>#REF!</v>
      </c>
      <c r="P434" s="61" t="e">
        <f>IF(O434&lt;0,Pricing!E434*$Q$5,0)</f>
        <v>#REF!</v>
      </c>
      <c r="Q434" s="61" t="e">
        <f t="shared" si="52"/>
        <v>#REF!</v>
      </c>
      <c r="R434" s="60" t="e">
        <f>#REF!</f>
        <v>#REF!</v>
      </c>
      <c r="S434" s="61" t="e">
        <f>IF(R434&lt;0,Pricing!E434*$T$5,0)</f>
        <v>#REF!</v>
      </c>
      <c r="T434" s="61" t="e">
        <f t="shared" si="53"/>
        <v>#REF!</v>
      </c>
    </row>
    <row r="435" spans="1:20" x14ac:dyDescent="0.25">
      <c r="A435" s="58">
        <f t="shared" si="54"/>
        <v>44548.833333332295</v>
      </c>
      <c r="B435" s="59">
        <f t="shared" si="55"/>
        <v>44548.87499999896</v>
      </c>
      <c r="C435" s="60" t="e">
        <f>#REF!</f>
        <v>#REF!</v>
      </c>
      <c r="D435" s="61" t="e">
        <f>IF(C435&gt;0,Pricing!E435*$E$5,0)</f>
        <v>#REF!</v>
      </c>
      <c r="E435" s="61" t="e">
        <f t="shared" si="48"/>
        <v>#REF!</v>
      </c>
      <c r="F435" s="60" t="e">
        <f>#REF!</f>
        <v>#REF!</v>
      </c>
      <c r="G435" s="61" t="e">
        <f>IF(F435&gt;0,Pricing!E435*$H$5,0)</f>
        <v>#REF!</v>
      </c>
      <c r="H435" s="61" t="e">
        <f t="shared" si="49"/>
        <v>#REF!</v>
      </c>
      <c r="I435" s="62" t="e">
        <f>#REF!</f>
        <v>#REF!</v>
      </c>
      <c r="J435" s="61" t="e">
        <f>IF(I435&gt;0,Pricing!E435*$K$5,0)</f>
        <v>#REF!</v>
      </c>
      <c r="K435" s="63" t="e">
        <f t="shared" si="50"/>
        <v>#REF!</v>
      </c>
      <c r="L435" s="64" t="e">
        <f>#REF!</f>
        <v>#REF!</v>
      </c>
      <c r="M435" s="61" t="e">
        <f>IF(L435&lt;0,Pricing!E435*$N$5,0)</f>
        <v>#REF!</v>
      </c>
      <c r="N435" s="61" t="e">
        <f t="shared" si="51"/>
        <v>#REF!</v>
      </c>
      <c r="O435" s="60" t="e">
        <f>#REF!</f>
        <v>#REF!</v>
      </c>
      <c r="P435" s="61" t="e">
        <f>IF(O435&lt;0,Pricing!E435*$Q$5,0)</f>
        <v>#REF!</v>
      </c>
      <c r="Q435" s="61" t="e">
        <f t="shared" si="52"/>
        <v>#REF!</v>
      </c>
      <c r="R435" s="60" t="e">
        <f>#REF!</f>
        <v>#REF!</v>
      </c>
      <c r="S435" s="61" t="e">
        <f>IF(R435&lt;0,Pricing!E435*$T$5,0)</f>
        <v>#REF!</v>
      </c>
      <c r="T435" s="61" t="e">
        <f t="shared" si="53"/>
        <v>#REF!</v>
      </c>
    </row>
    <row r="436" spans="1:20" x14ac:dyDescent="0.25">
      <c r="A436" s="58">
        <f t="shared" si="54"/>
        <v>44548.87499999896</v>
      </c>
      <c r="B436" s="59">
        <f t="shared" si="55"/>
        <v>44548.916666665624</v>
      </c>
      <c r="C436" s="60" t="e">
        <f>#REF!</f>
        <v>#REF!</v>
      </c>
      <c r="D436" s="61" t="e">
        <f>IF(C436&gt;0,Pricing!E436*$E$5,0)</f>
        <v>#REF!</v>
      </c>
      <c r="E436" s="61" t="e">
        <f t="shared" si="48"/>
        <v>#REF!</v>
      </c>
      <c r="F436" s="60" t="e">
        <f>#REF!</f>
        <v>#REF!</v>
      </c>
      <c r="G436" s="61" t="e">
        <f>IF(F436&gt;0,Pricing!E436*$H$5,0)</f>
        <v>#REF!</v>
      </c>
      <c r="H436" s="61" t="e">
        <f t="shared" si="49"/>
        <v>#REF!</v>
      </c>
      <c r="I436" s="62" t="e">
        <f>#REF!</f>
        <v>#REF!</v>
      </c>
      <c r="J436" s="61" t="e">
        <f>IF(I436&gt;0,Pricing!E436*$K$5,0)</f>
        <v>#REF!</v>
      </c>
      <c r="K436" s="63" t="e">
        <f t="shared" si="50"/>
        <v>#REF!</v>
      </c>
      <c r="L436" s="64" t="e">
        <f>#REF!</f>
        <v>#REF!</v>
      </c>
      <c r="M436" s="61" t="e">
        <f>IF(L436&lt;0,Pricing!E436*$N$5,0)</f>
        <v>#REF!</v>
      </c>
      <c r="N436" s="61" t="e">
        <f t="shared" si="51"/>
        <v>#REF!</v>
      </c>
      <c r="O436" s="60" t="e">
        <f>#REF!</f>
        <v>#REF!</v>
      </c>
      <c r="P436" s="61" t="e">
        <f>IF(O436&lt;0,Pricing!E436*$Q$5,0)</f>
        <v>#REF!</v>
      </c>
      <c r="Q436" s="61" t="e">
        <f t="shared" si="52"/>
        <v>#REF!</v>
      </c>
      <c r="R436" s="60" t="e">
        <f>#REF!</f>
        <v>#REF!</v>
      </c>
      <c r="S436" s="61" t="e">
        <f>IF(R436&lt;0,Pricing!E436*$T$5,0)</f>
        <v>#REF!</v>
      </c>
      <c r="T436" s="61" t="e">
        <f t="shared" si="53"/>
        <v>#REF!</v>
      </c>
    </row>
    <row r="437" spans="1:20" x14ac:dyDescent="0.25">
      <c r="A437" s="58">
        <f t="shared" si="54"/>
        <v>44548.916666665624</v>
      </c>
      <c r="B437" s="59">
        <f t="shared" si="55"/>
        <v>44548.958333332288</v>
      </c>
      <c r="C437" s="60" t="e">
        <f>#REF!</f>
        <v>#REF!</v>
      </c>
      <c r="D437" s="61" t="e">
        <f>IF(C437&gt;0,Pricing!E437*$E$5,0)</f>
        <v>#REF!</v>
      </c>
      <c r="E437" s="61" t="e">
        <f t="shared" si="48"/>
        <v>#REF!</v>
      </c>
      <c r="F437" s="60" t="e">
        <f>#REF!</f>
        <v>#REF!</v>
      </c>
      <c r="G437" s="61" t="e">
        <f>IF(F437&gt;0,Pricing!E437*$H$5,0)</f>
        <v>#REF!</v>
      </c>
      <c r="H437" s="61" t="e">
        <f t="shared" si="49"/>
        <v>#REF!</v>
      </c>
      <c r="I437" s="62" t="e">
        <f>#REF!</f>
        <v>#REF!</v>
      </c>
      <c r="J437" s="61" t="e">
        <f>IF(I437&gt;0,Pricing!E437*$K$5,0)</f>
        <v>#REF!</v>
      </c>
      <c r="K437" s="63" t="e">
        <f t="shared" si="50"/>
        <v>#REF!</v>
      </c>
      <c r="L437" s="64" t="e">
        <f>#REF!</f>
        <v>#REF!</v>
      </c>
      <c r="M437" s="61" t="e">
        <f>IF(L437&lt;0,Pricing!E437*$N$5,0)</f>
        <v>#REF!</v>
      </c>
      <c r="N437" s="61" t="e">
        <f t="shared" si="51"/>
        <v>#REF!</v>
      </c>
      <c r="O437" s="60" t="e">
        <f>#REF!</f>
        <v>#REF!</v>
      </c>
      <c r="P437" s="61" t="e">
        <f>IF(O437&lt;0,Pricing!E437*$Q$5,0)</f>
        <v>#REF!</v>
      </c>
      <c r="Q437" s="61" t="e">
        <f t="shared" si="52"/>
        <v>#REF!</v>
      </c>
      <c r="R437" s="60" t="e">
        <f>#REF!</f>
        <v>#REF!</v>
      </c>
      <c r="S437" s="61" t="e">
        <f>IF(R437&lt;0,Pricing!E437*$T$5,0)</f>
        <v>#REF!</v>
      </c>
      <c r="T437" s="61" t="e">
        <f t="shared" si="53"/>
        <v>#REF!</v>
      </c>
    </row>
    <row r="438" spans="1:20" x14ac:dyDescent="0.25">
      <c r="A438" s="58">
        <f t="shared" si="54"/>
        <v>44548.958333332288</v>
      </c>
      <c r="B438" s="59">
        <f t="shared" si="55"/>
        <v>44548.999999998952</v>
      </c>
      <c r="C438" s="60" t="e">
        <f>#REF!</f>
        <v>#REF!</v>
      </c>
      <c r="D438" s="61" t="e">
        <f>IF(C438&gt;0,Pricing!E438*$E$5,0)</f>
        <v>#REF!</v>
      </c>
      <c r="E438" s="61" t="e">
        <f t="shared" si="48"/>
        <v>#REF!</v>
      </c>
      <c r="F438" s="60" t="e">
        <f>#REF!</f>
        <v>#REF!</v>
      </c>
      <c r="G438" s="61" t="e">
        <f>IF(F438&gt;0,Pricing!E438*$H$5,0)</f>
        <v>#REF!</v>
      </c>
      <c r="H438" s="61" t="e">
        <f t="shared" si="49"/>
        <v>#REF!</v>
      </c>
      <c r="I438" s="62" t="e">
        <f>#REF!</f>
        <v>#REF!</v>
      </c>
      <c r="J438" s="61" t="e">
        <f>IF(I438&gt;0,Pricing!E438*$K$5,0)</f>
        <v>#REF!</v>
      </c>
      <c r="K438" s="63" t="e">
        <f t="shared" si="50"/>
        <v>#REF!</v>
      </c>
      <c r="L438" s="64" t="e">
        <f>#REF!</f>
        <v>#REF!</v>
      </c>
      <c r="M438" s="61" t="e">
        <f>IF(L438&lt;0,Pricing!E438*$N$5,0)</f>
        <v>#REF!</v>
      </c>
      <c r="N438" s="61" t="e">
        <f t="shared" si="51"/>
        <v>#REF!</v>
      </c>
      <c r="O438" s="60" t="e">
        <f>#REF!</f>
        <v>#REF!</v>
      </c>
      <c r="P438" s="61" t="e">
        <f>IF(O438&lt;0,Pricing!E438*$Q$5,0)</f>
        <v>#REF!</v>
      </c>
      <c r="Q438" s="61" t="e">
        <f t="shared" si="52"/>
        <v>#REF!</v>
      </c>
      <c r="R438" s="60" t="e">
        <f>#REF!</f>
        <v>#REF!</v>
      </c>
      <c r="S438" s="61" t="e">
        <f>IF(R438&lt;0,Pricing!E438*$T$5,0)</f>
        <v>#REF!</v>
      </c>
      <c r="T438" s="61" t="e">
        <f t="shared" si="53"/>
        <v>#REF!</v>
      </c>
    </row>
    <row r="439" spans="1:20" x14ac:dyDescent="0.25">
      <c r="A439" s="58">
        <f t="shared" si="54"/>
        <v>44548.999999998952</v>
      </c>
      <c r="B439" s="59">
        <f t="shared" si="55"/>
        <v>44549.041666665617</v>
      </c>
      <c r="C439" s="60" t="e">
        <f>#REF!</f>
        <v>#REF!</v>
      </c>
      <c r="D439" s="61" t="e">
        <f>IF(C439&gt;0,Pricing!E439*$E$5,0)</f>
        <v>#REF!</v>
      </c>
      <c r="E439" s="61" t="e">
        <f t="shared" si="48"/>
        <v>#REF!</v>
      </c>
      <c r="F439" s="60" t="e">
        <f>#REF!</f>
        <v>#REF!</v>
      </c>
      <c r="G439" s="61" t="e">
        <f>IF(F439&gt;0,Pricing!E439*$H$5,0)</f>
        <v>#REF!</v>
      </c>
      <c r="H439" s="61" t="e">
        <f t="shared" si="49"/>
        <v>#REF!</v>
      </c>
      <c r="I439" s="62" t="e">
        <f>#REF!</f>
        <v>#REF!</v>
      </c>
      <c r="J439" s="61" t="e">
        <f>IF(I439&gt;0,Pricing!E439*$K$5,0)</f>
        <v>#REF!</v>
      </c>
      <c r="K439" s="63" t="e">
        <f t="shared" si="50"/>
        <v>#REF!</v>
      </c>
      <c r="L439" s="64" t="e">
        <f>#REF!</f>
        <v>#REF!</v>
      </c>
      <c r="M439" s="61" t="e">
        <f>IF(L439&lt;0,Pricing!E439*$N$5,0)</f>
        <v>#REF!</v>
      </c>
      <c r="N439" s="61" t="e">
        <f t="shared" si="51"/>
        <v>#REF!</v>
      </c>
      <c r="O439" s="60" t="e">
        <f>#REF!</f>
        <v>#REF!</v>
      </c>
      <c r="P439" s="61" t="e">
        <f>IF(O439&lt;0,Pricing!E439*$Q$5,0)</f>
        <v>#REF!</v>
      </c>
      <c r="Q439" s="61" t="e">
        <f t="shared" si="52"/>
        <v>#REF!</v>
      </c>
      <c r="R439" s="60" t="e">
        <f>#REF!</f>
        <v>#REF!</v>
      </c>
      <c r="S439" s="61" t="e">
        <f>IF(R439&lt;0,Pricing!E439*$T$5,0)</f>
        <v>#REF!</v>
      </c>
      <c r="T439" s="61" t="e">
        <f t="shared" si="53"/>
        <v>#REF!</v>
      </c>
    </row>
    <row r="440" spans="1:20" x14ac:dyDescent="0.25">
      <c r="A440" s="58">
        <f t="shared" si="54"/>
        <v>44549.041666665617</v>
      </c>
      <c r="B440" s="59">
        <f t="shared" si="55"/>
        <v>44549.083333332281</v>
      </c>
      <c r="C440" s="60" t="e">
        <f>#REF!</f>
        <v>#REF!</v>
      </c>
      <c r="D440" s="61" t="e">
        <f>IF(C440&gt;0,Pricing!E440*$E$5,0)</f>
        <v>#REF!</v>
      </c>
      <c r="E440" s="61" t="e">
        <f t="shared" si="48"/>
        <v>#REF!</v>
      </c>
      <c r="F440" s="60" t="e">
        <f>#REF!</f>
        <v>#REF!</v>
      </c>
      <c r="G440" s="61" t="e">
        <f>IF(F440&gt;0,Pricing!E440*$H$5,0)</f>
        <v>#REF!</v>
      </c>
      <c r="H440" s="61" t="e">
        <f t="shared" si="49"/>
        <v>#REF!</v>
      </c>
      <c r="I440" s="62" t="e">
        <f>#REF!</f>
        <v>#REF!</v>
      </c>
      <c r="J440" s="61" t="e">
        <f>IF(I440&gt;0,Pricing!E440*$K$5,0)</f>
        <v>#REF!</v>
      </c>
      <c r="K440" s="63" t="e">
        <f t="shared" si="50"/>
        <v>#REF!</v>
      </c>
      <c r="L440" s="64" t="e">
        <f>#REF!</f>
        <v>#REF!</v>
      </c>
      <c r="M440" s="61" t="e">
        <f>IF(L440&lt;0,Pricing!E440*$N$5,0)</f>
        <v>#REF!</v>
      </c>
      <c r="N440" s="61" t="e">
        <f t="shared" si="51"/>
        <v>#REF!</v>
      </c>
      <c r="O440" s="60" t="e">
        <f>#REF!</f>
        <v>#REF!</v>
      </c>
      <c r="P440" s="61" t="e">
        <f>IF(O440&lt;0,Pricing!E440*$Q$5,0)</f>
        <v>#REF!</v>
      </c>
      <c r="Q440" s="61" t="e">
        <f t="shared" si="52"/>
        <v>#REF!</v>
      </c>
      <c r="R440" s="60" t="e">
        <f>#REF!</f>
        <v>#REF!</v>
      </c>
      <c r="S440" s="61" t="e">
        <f>IF(R440&lt;0,Pricing!E440*$T$5,0)</f>
        <v>#REF!</v>
      </c>
      <c r="T440" s="61" t="e">
        <f t="shared" si="53"/>
        <v>#REF!</v>
      </c>
    </row>
    <row r="441" spans="1:20" x14ac:dyDescent="0.25">
      <c r="A441" s="58">
        <f t="shared" si="54"/>
        <v>44549.083333332281</v>
      </c>
      <c r="B441" s="59">
        <f t="shared" si="55"/>
        <v>44549.124999998945</v>
      </c>
      <c r="C441" s="60" t="e">
        <f>#REF!</f>
        <v>#REF!</v>
      </c>
      <c r="D441" s="61" t="e">
        <f>IF(C441&gt;0,Pricing!E441*$E$5,0)</f>
        <v>#REF!</v>
      </c>
      <c r="E441" s="61" t="e">
        <f t="shared" si="48"/>
        <v>#REF!</v>
      </c>
      <c r="F441" s="60" t="e">
        <f>#REF!</f>
        <v>#REF!</v>
      </c>
      <c r="G441" s="61" t="e">
        <f>IF(F441&gt;0,Pricing!E441*$H$5,0)</f>
        <v>#REF!</v>
      </c>
      <c r="H441" s="61" t="e">
        <f t="shared" si="49"/>
        <v>#REF!</v>
      </c>
      <c r="I441" s="62" t="e">
        <f>#REF!</f>
        <v>#REF!</v>
      </c>
      <c r="J441" s="61" t="e">
        <f>IF(I441&gt;0,Pricing!E441*$K$5,0)</f>
        <v>#REF!</v>
      </c>
      <c r="K441" s="63" t="e">
        <f t="shared" si="50"/>
        <v>#REF!</v>
      </c>
      <c r="L441" s="64" t="e">
        <f>#REF!</f>
        <v>#REF!</v>
      </c>
      <c r="M441" s="61" t="e">
        <f>IF(L441&lt;0,Pricing!E441*$N$5,0)</f>
        <v>#REF!</v>
      </c>
      <c r="N441" s="61" t="e">
        <f t="shared" si="51"/>
        <v>#REF!</v>
      </c>
      <c r="O441" s="60" t="e">
        <f>#REF!</f>
        <v>#REF!</v>
      </c>
      <c r="P441" s="61" t="e">
        <f>IF(O441&lt;0,Pricing!E441*$Q$5,0)</f>
        <v>#REF!</v>
      </c>
      <c r="Q441" s="61" t="e">
        <f t="shared" si="52"/>
        <v>#REF!</v>
      </c>
      <c r="R441" s="60" t="e">
        <f>#REF!</f>
        <v>#REF!</v>
      </c>
      <c r="S441" s="61" t="e">
        <f>IF(R441&lt;0,Pricing!E441*$T$5,0)</f>
        <v>#REF!</v>
      </c>
      <c r="T441" s="61" t="e">
        <f t="shared" si="53"/>
        <v>#REF!</v>
      </c>
    </row>
    <row r="442" spans="1:20" x14ac:dyDescent="0.25">
      <c r="A442" s="58">
        <f t="shared" si="54"/>
        <v>44549.124999998945</v>
      </c>
      <c r="B442" s="59">
        <f t="shared" si="55"/>
        <v>44549.166666665609</v>
      </c>
      <c r="C442" s="60" t="e">
        <f>#REF!</f>
        <v>#REF!</v>
      </c>
      <c r="D442" s="61" t="e">
        <f>IF(C442&gt;0,Pricing!E442*$E$5,0)</f>
        <v>#REF!</v>
      </c>
      <c r="E442" s="61" t="e">
        <f t="shared" si="48"/>
        <v>#REF!</v>
      </c>
      <c r="F442" s="60" t="e">
        <f>#REF!</f>
        <v>#REF!</v>
      </c>
      <c r="G442" s="61" t="e">
        <f>IF(F442&gt;0,Pricing!E442*$H$5,0)</f>
        <v>#REF!</v>
      </c>
      <c r="H442" s="61" t="e">
        <f t="shared" si="49"/>
        <v>#REF!</v>
      </c>
      <c r="I442" s="62" t="e">
        <f>#REF!</f>
        <v>#REF!</v>
      </c>
      <c r="J442" s="61" t="e">
        <f>IF(I442&gt;0,Pricing!E442*$K$5,0)</f>
        <v>#REF!</v>
      </c>
      <c r="K442" s="63" t="e">
        <f t="shared" si="50"/>
        <v>#REF!</v>
      </c>
      <c r="L442" s="64" t="e">
        <f>#REF!</f>
        <v>#REF!</v>
      </c>
      <c r="M442" s="61" t="e">
        <f>IF(L442&lt;0,Pricing!E442*$N$5,0)</f>
        <v>#REF!</v>
      </c>
      <c r="N442" s="61" t="e">
        <f t="shared" si="51"/>
        <v>#REF!</v>
      </c>
      <c r="O442" s="60" t="e">
        <f>#REF!</f>
        <v>#REF!</v>
      </c>
      <c r="P442" s="61" t="e">
        <f>IF(O442&lt;0,Pricing!E442*$Q$5,0)</f>
        <v>#REF!</v>
      </c>
      <c r="Q442" s="61" t="e">
        <f t="shared" si="52"/>
        <v>#REF!</v>
      </c>
      <c r="R442" s="60" t="e">
        <f>#REF!</f>
        <v>#REF!</v>
      </c>
      <c r="S442" s="61" t="e">
        <f>IF(R442&lt;0,Pricing!E442*$T$5,0)</f>
        <v>#REF!</v>
      </c>
      <c r="T442" s="61" t="e">
        <f t="shared" si="53"/>
        <v>#REF!</v>
      </c>
    </row>
    <row r="443" spans="1:20" x14ac:dyDescent="0.25">
      <c r="A443" s="58">
        <f t="shared" si="54"/>
        <v>44549.166666665609</v>
      </c>
      <c r="B443" s="59">
        <f t="shared" si="55"/>
        <v>44549.208333332273</v>
      </c>
      <c r="C443" s="60" t="e">
        <f>#REF!</f>
        <v>#REF!</v>
      </c>
      <c r="D443" s="61" t="e">
        <f>IF(C443&gt;0,Pricing!E443*$E$5,0)</f>
        <v>#REF!</v>
      </c>
      <c r="E443" s="61" t="e">
        <f t="shared" si="48"/>
        <v>#REF!</v>
      </c>
      <c r="F443" s="60" t="e">
        <f>#REF!</f>
        <v>#REF!</v>
      </c>
      <c r="G443" s="61" t="e">
        <f>IF(F443&gt;0,Pricing!E443*$H$5,0)</f>
        <v>#REF!</v>
      </c>
      <c r="H443" s="61" t="e">
        <f t="shared" si="49"/>
        <v>#REF!</v>
      </c>
      <c r="I443" s="62" t="e">
        <f>#REF!</f>
        <v>#REF!</v>
      </c>
      <c r="J443" s="61" t="e">
        <f>IF(I443&gt;0,Pricing!E443*$K$5,0)</f>
        <v>#REF!</v>
      </c>
      <c r="K443" s="63" t="e">
        <f t="shared" si="50"/>
        <v>#REF!</v>
      </c>
      <c r="L443" s="64" t="e">
        <f>#REF!</f>
        <v>#REF!</v>
      </c>
      <c r="M443" s="61" t="e">
        <f>IF(L443&lt;0,Pricing!E443*$N$5,0)</f>
        <v>#REF!</v>
      </c>
      <c r="N443" s="61" t="e">
        <f t="shared" si="51"/>
        <v>#REF!</v>
      </c>
      <c r="O443" s="60" t="e">
        <f>#REF!</f>
        <v>#REF!</v>
      </c>
      <c r="P443" s="61" t="e">
        <f>IF(O443&lt;0,Pricing!E443*$Q$5,0)</f>
        <v>#REF!</v>
      </c>
      <c r="Q443" s="61" t="e">
        <f t="shared" si="52"/>
        <v>#REF!</v>
      </c>
      <c r="R443" s="60" t="e">
        <f>#REF!</f>
        <v>#REF!</v>
      </c>
      <c r="S443" s="61" t="e">
        <f>IF(R443&lt;0,Pricing!E443*$T$5,0)</f>
        <v>#REF!</v>
      </c>
      <c r="T443" s="61" t="e">
        <f t="shared" si="53"/>
        <v>#REF!</v>
      </c>
    </row>
    <row r="444" spans="1:20" x14ac:dyDescent="0.25">
      <c r="A444" s="58">
        <f t="shared" si="54"/>
        <v>44549.208333332273</v>
      </c>
      <c r="B444" s="59">
        <f t="shared" si="55"/>
        <v>44549.249999998938</v>
      </c>
      <c r="C444" s="60" t="e">
        <f>#REF!</f>
        <v>#REF!</v>
      </c>
      <c r="D444" s="61" t="e">
        <f>IF(C444&gt;0,Pricing!E444*$E$5,0)</f>
        <v>#REF!</v>
      </c>
      <c r="E444" s="61" t="e">
        <f t="shared" si="48"/>
        <v>#REF!</v>
      </c>
      <c r="F444" s="60" t="e">
        <f>#REF!</f>
        <v>#REF!</v>
      </c>
      <c r="G444" s="61" t="e">
        <f>IF(F444&gt;0,Pricing!E444*$H$5,0)</f>
        <v>#REF!</v>
      </c>
      <c r="H444" s="61" t="e">
        <f t="shared" si="49"/>
        <v>#REF!</v>
      </c>
      <c r="I444" s="62" t="e">
        <f>#REF!</f>
        <v>#REF!</v>
      </c>
      <c r="J444" s="61" t="e">
        <f>IF(I444&gt;0,Pricing!E444*$K$5,0)</f>
        <v>#REF!</v>
      </c>
      <c r="K444" s="63" t="e">
        <f t="shared" si="50"/>
        <v>#REF!</v>
      </c>
      <c r="L444" s="64" t="e">
        <f>#REF!</f>
        <v>#REF!</v>
      </c>
      <c r="M444" s="61" t="e">
        <f>IF(L444&lt;0,Pricing!E444*$N$5,0)</f>
        <v>#REF!</v>
      </c>
      <c r="N444" s="61" t="e">
        <f t="shared" si="51"/>
        <v>#REF!</v>
      </c>
      <c r="O444" s="60" t="e">
        <f>#REF!</f>
        <v>#REF!</v>
      </c>
      <c r="P444" s="61" t="e">
        <f>IF(O444&lt;0,Pricing!E444*$Q$5,0)</f>
        <v>#REF!</v>
      </c>
      <c r="Q444" s="61" t="e">
        <f t="shared" si="52"/>
        <v>#REF!</v>
      </c>
      <c r="R444" s="60" t="e">
        <f>#REF!</f>
        <v>#REF!</v>
      </c>
      <c r="S444" s="61" t="e">
        <f>IF(R444&lt;0,Pricing!E444*$T$5,0)</f>
        <v>#REF!</v>
      </c>
      <c r="T444" s="61" t="e">
        <f t="shared" si="53"/>
        <v>#REF!</v>
      </c>
    </row>
    <row r="445" spans="1:20" x14ac:dyDescent="0.25">
      <c r="A445" s="58">
        <f t="shared" si="54"/>
        <v>44549.249999998938</v>
      </c>
      <c r="B445" s="59">
        <f t="shared" si="55"/>
        <v>44549.291666665602</v>
      </c>
      <c r="C445" s="60" t="e">
        <f>#REF!</f>
        <v>#REF!</v>
      </c>
      <c r="D445" s="61" t="e">
        <f>IF(C445&gt;0,Pricing!E445*$E$5,0)</f>
        <v>#REF!</v>
      </c>
      <c r="E445" s="61" t="e">
        <f t="shared" si="48"/>
        <v>#REF!</v>
      </c>
      <c r="F445" s="60" t="e">
        <f>#REF!</f>
        <v>#REF!</v>
      </c>
      <c r="G445" s="61" t="e">
        <f>IF(F445&gt;0,Pricing!E445*$H$5,0)</f>
        <v>#REF!</v>
      </c>
      <c r="H445" s="61" t="e">
        <f t="shared" si="49"/>
        <v>#REF!</v>
      </c>
      <c r="I445" s="62" t="e">
        <f>#REF!</f>
        <v>#REF!</v>
      </c>
      <c r="J445" s="61" t="e">
        <f>IF(I445&gt;0,Pricing!E445*$K$5,0)</f>
        <v>#REF!</v>
      </c>
      <c r="K445" s="63" t="e">
        <f t="shared" si="50"/>
        <v>#REF!</v>
      </c>
      <c r="L445" s="64" t="e">
        <f>#REF!</f>
        <v>#REF!</v>
      </c>
      <c r="M445" s="61" t="e">
        <f>IF(L445&lt;0,Pricing!E445*$N$5,0)</f>
        <v>#REF!</v>
      </c>
      <c r="N445" s="61" t="e">
        <f t="shared" si="51"/>
        <v>#REF!</v>
      </c>
      <c r="O445" s="60" t="e">
        <f>#REF!</f>
        <v>#REF!</v>
      </c>
      <c r="P445" s="61" t="e">
        <f>IF(O445&lt;0,Pricing!E445*$Q$5,0)</f>
        <v>#REF!</v>
      </c>
      <c r="Q445" s="61" t="e">
        <f t="shared" si="52"/>
        <v>#REF!</v>
      </c>
      <c r="R445" s="60" t="e">
        <f>#REF!</f>
        <v>#REF!</v>
      </c>
      <c r="S445" s="61" t="e">
        <f>IF(R445&lt;0,Pricing!E445*$T$5,0)</f>
        <v>#REF!</v>
      </c>
      <c r="T445" s="61" t="e">
        <f t="shared" si="53"/>
        <v>#REF!</v>
      </c>
    </row>
    <row r="446" spans="1:20" x14ac:dyDescent="0.25">
      <c r="A446" s="58">
        <f t="shared" si="54"/>
        <v>44549.291666665602</v>
      </c>
      <c r="B446" s="59">
        <f t="shared" si="55"/>
        <v>44549.333333332266</v>
      </c>
      <c r="C446" s="60" t="e">
        <f>#REF!</f>
        <v>#REF!</v>
      </c>
      <c r="D446" s="61" t="e">
        <f>IF(C446&gt;0,Pricing!E446*$E$5,0)</f>
        <v>#REF!</v>
      </c>
      <c r="E446" s="61" t="e">
        <f t="shared" si="48"/>
        <v>#REF!</v>
      </c>
      <c r="F446" s="60" t="e">
        <f>#REF!</f>
        <v>#REF!</v>
      </c>
      <c r="G446" s="61" t="e">
        <f>IF(F446&gt;0,Pricing!E446*$H$5,0)</f>
        <v>#REF!</v>
      </c>
      <c r="H446" s="61" t="e">
        <f t="shared" si="49"/>
        <v>#REF!</v>
      </c>
      <c r="I446" s="62" t="e">
        <f>#REF!</f>
        <v>#REF!</v>
      </c>
      <c r="J446" s="61" t="e">
        <f>IF(I446&gt;0,Pricing!E446*$K$5,0)</f>
        <v>#REF!</v>
      </c>
      <c r="K446" s="63" t="e">
        <f t="shared" si="50"/>
        <v>#REF!</v>
      </c>
      <c r="L446" s="64" t="e">
        <f>#REF!</f>
        <v>#REF!</v>
      </c>
      <c r="M446" s="61" t="e">
        <f>IF(L446&lt;0,Pricing!E446*$N$5,0)</f>
        <v>#REF!</v>
      </c>
      <c r="N446" s="61" t="e">
        <f t="shared" si="51"/>
        <v>#REF!</v>
      </c>
      <c r="O446" s="60" t="e">
        <f>#REF!</f>
        <v>#REF!</v>
      </c>
      <c r="P446" s="61" t="e">
        <f>IF(O446&lt;0,Pricing!E446*$Q$5,0)</f>
        <v>#REF!</v>
      </c>
      <c r="Q446" s="61" t="e">
        <f t="shared" si="52"/>
        <v>#REF!</v>
      </c>
      <c r="R446" s="60" t="e">
        <f>#REF!</f>
        <v>#REF!</v>
      </c>
      <c r="S446" s="61" t="e">
        <f>IF(R446&lt;0,Pricing!E446*$T$5,0)</f>
        <v>#REF!</v>
      </c>
      <c r="T446" s="61" t="e">
        <f t="shared" si="53"/>
        <v>#REF!</v>
      </c>
    </row>
    <row r="447" spans="1:20" x14ac:dyDescent="0.25">
      <c r="A447" s="58">
        <f t="shared" si="54"/>
        <v>44549.333333332266</v>
      </c>
      <c r="B447" s="59">
        <f t="shared" si="55"/>
        <v>44549.37499999893</v>
      </c>
      <c r="C447" s="60" t="e">
        <f>#REF!</f>
        <v>#REF!</v>
      </c>
      <c r="D447" s="61" t="e">
        <f>IF(C447&gt;0,Pricing!E447*$E$5,0)</f>
        <v>#REF!</v>
      </c>
      <c r="E447" s="61" t="e">
        <f t="shared" si="48"/>
        <v>#REF!</v>
      </c>
      <c r="F447" s="60" t="e">
        <f>#REF!</f>
        <v>#REF!</v>
      </c>
      <c r="G447" s="61" t="e">
        <f>IF(F447&gt;0,Pricing!E447*$H$5,0)</f>
        <v>#REF!</v>
      </c>
      <c r="H447" s="61" t="e">
        <f t="shared" si="49"/>
        <v>#REF!</v>
      </c>
      <c r="I447" s="62" t="e">
        <f>#REF!</f>
        <v>#REF!</v>
      </c>
      <c r="J447" s="61" t="e">
        <f>IF(I447&gt;0,Pricing!E447*$K$5,0)</f>
        <v>#REF!</v>
      </c>
      <c r="K447" s="63" t="e">
        <f t="shared" si="50"/>
        <v>#REF!</v>
      </c>
      <c r="L447" s="64" t="e">
        <f>#REF!</f>
        <v>#REF!</v>
      </c>
      <c r="M447" s="61" t="e">
        <f>IF(L447&lt;0,Pricing!E447*$N$5,0)</f>
        <v>#REF!</v>
      </c>
      <c r="N447" s="61" t="e">
        <f t="shared" si="51"/>
        <v>#REF!</v>
      </c>
      <c r="O447" s="60" t="e">
        <f>#REF!</f>
        <v>#REF!</v>
      </c>
      <c r="P447" s="61" t="e">
        <f>IF(O447&lt;0,Pricing!E447*$Q$5,0)</f>
        <v>#REF!</v>
      </c>
      <c r="Q447" s="61" t="e">
        <f t="shared" si="52"/>
        <v>#REF!</v>
      </c>
      <c r="R447" s="60" t="e">
        <f>#REF!</f>
        <v>#REF!</v>
      </c>
      <c r="S447" s="61" t="e">
        <f>IF(R447&lt;0,Pricing!E447*$T$5,0)</f>
        <v>#REF!</v>
      </c>
      <c r="T447" s="61" t="e">
        <f t="shared" si="53"/>
        <v>#REF!</v>
      </c>
    </row>
    <row r="448" spans="1:20" x14ac:dyDescent="0.25">
      <c r="A448" s="58">
        <f t="shared" si="54"/>
        <v>44549.37499999893</v>
      </c>
      <c r="B448" s="59">
        <f t="shared" si="55"/>
        <v>44549.416666665595</v>
      </c>
      <c r="C448" s="60" t="e">
        <f>#REF!</f>
        <v>#REF!</v>
      </c>
      <c r="D448" s="61" t="e">
        <f>IF(C448&gt;0,Pricing!E448*$E$5,0)</f>
        <v>#REF!</v>
      </c>
      <c r="E448" s="61" t="e">
        <f t="shared" si="48"/>
        <v>#REF!</v>
      </c>
      <c r="F448" s="60" t="e">
        <f>#REF!</f>
        <v>#REF!</v>
      </c>
      <c r="G448" s="61" t="e">
        <f>IF(F448&gt;0,Pricing!E448*$H$5,0)</f>
        <v>#REF!</v>
      </c>
      <c r="H448" s="61" t="e">
        <f t="shared" si="49"/>
        <v>#REF!</v>
      </c>
      <c r="I448" s="62" t="e">
        <f>#REF!</f>
        <v>#REF!</v>
      </c>
      <c r="J448" s="61" t="e">
        <f>IF(I448&gt;0,Pricing!E448*$K$5,0)</f>
        <v>#REF!</v>
      </c>
      <c r="K448" s="63" t="e">
        <f t="shared" si="50"/>
        <v>#REF!</v>
      </c>
      <c r="L448" s="64" t="e">
        <f>#REF!</f>
        <v>#REF!</v>
      </c>
      <c r="M448" s="61" t="e">
        <f>IF(L448&lt;0,Pricing!E448*$N$5,0)</f>
        <v>#REF!</v>
      </c>
      <c r="N448" s="61" t="e">
        <f t="shared" si="51"/>
        <v>#REF!</v>
      </c>
      <c r="O448" s="60" t="e">
        <f>#REF!</f>
        <v>#REF!</v>
      </c>
      <c r="P448" s="61" t="e">
        <f>IF(O448&lt;0,Pricing!E448*$Q$5,0)</f>
        <v>#REF!</v>
      </c>
      <c r="Q448" s="61" t="e">
        <f t="shared" si="52"/>
        <v>#REF!</v>
      </c>
      <c r="R448" s="60" t="e">
        <f>#REF!</f>
        <v>#REF!</v>
      </c>
      <c r="S448" s="61" t="e">
        <f>IF(R448&lt;0,Pricing!E448*$T$5,0)</f>
        <v>#REF!</v>
      </c>
      <c r="T448" s="61" t="e">
        <f t="shared" si="53"/>
        <v>#REF!</v>
      </c>
    </row>
    <row r="449" spans="1:20" x14ac:dyDescent="0.25">
      <c r="A449" s="58">
        <f t="shared" si="54"/>
        <v>44549.416666665595</v>
      </c>
      <c r="B449" s="59">
        <f t="shared" si="55"/>
        <v>44549.458333332259</v>
      </c>
      <c r="C449" s="60" t="e">
        <f>#REF!</f>
        <v>#REF!</v>
      </c>
      <c r="D449" s="61" t="e">
        <f>IF(C449&gt;0,Pricing!E449*$E$5,0)</f>
        <v>#REF!</v>
      </c>
      <c r="E449" s="61" t="e">
        <f t="shared" si="48"/>
        <v>#REF!</v>
      </c>
      <c r="F449" s="60" t="e">
        <f>#REF!</f>
        <v>#REF!</v>
      </c>
      <c r="G449" s="61" t="e">
        <f>IF(F449&gt;0,Pricing!E449*$H$5,0)</f>
        <v>#REF!</v>
      </c>
      <c r="H449" s="61" t="e">
        <f t="shared" si="49"/>
        <v>#REF!</v>
      </c>
      <c r="I449" s="62" t="e">
        <f>#REF!</f>
        <v>#REF!</v>
      </c>
      <c r="J449" s="61" t="e">
        <f>IF(I449&gt;0,Pricing!E449*$K$5,0)</f>
        <v>#REF!</v>
      </c>
      <c r="K449" s="63" t="e">
        <f t="shared" si="50"/>
        <v>#REF!</v>
      </c>
      <c r="L449" s="64" t="e">
        <f>#REF!</f>
        <v>#REF!</v>
      </c>
      <c r="M449" s="61" t="e">
        <f>IF(L449&lt;0,Pricing!E449*$N$5,0)</f>
        <v>#REF!</v>
      </c>
      <c r="N449" s="61" t="e">
        <f t="shared" si="51"/>
        <v>#REF!</v>
      </c>
      <c r="O449" s="60" t="e">
        <f>#REF!</f>
        <v>#REF!</v>
      </c>
      <c r="P449" s="61" t="e">
        <f>IF(O449&lt;0,Pricing!E449*$Q$5,0)</f>
        <v>#REF!</v>
      </c>
      <c r="Q449" s="61" t="e">
        <f t="shared" si="52"/>
        <v>#REF!</v>
      </c>
      <c r="R449" s="60" t="e">
        <f>#REF!</f>
        <v>#REF!</v>
      </c>
      <c r="S449" s="61" t="e">
        <f>IF(R449&lt;0,Pricing!E449*$T$5,0)</f>
        <v>#REF!</v>
      </c>
      <c r="T449" s="61" t="e">
        <f t="shared" si="53"/>
        <v>#REF!</v>
      </c>
    </row>
    <row r="450" spans="1:20" x14ac:dyDescent="0.25">
      <c r="A450" s="58">
        <f t="shared" si="54"/>
        <v>44549.458333332259</v>
      </c>
      <c r="B450" s="59">
        <f t="shared" si="55"/>
        <v>44549.499999998923</v>
      </c>
      <c r="C450" s="60" t="e">
        <f>#REF!</f>
        <v>#REF!</v>
      </c>
      <c r="D450" s="61" t="e">
        <f>IF(C450&gt;0,Pricing!E450*$E$5,0)</f>
        <v>#REF!</v>
      </c>
      <c r="E450" s="61" t="e">
        <f t="shared" si="48"/>
        <v>#REF!</v>
      </c>
      <c r="F450" s="60" t="e">
        <f>#REF!</f>
        <v>#REF!</v>
      </c>
      <c r="G450" s="61" t="e">
        <f>IF(F450&gt;0,Pricing!E450*$H$5,0)</f>
        <v>#REF!</v>
      </c>
      <c r="H450" s="61" t="e">
        <f t="shared" si="49"/>
        <v>#REF!</v>
      </c>
      <c r="I450" s="62" t="e">
        <f>#REF!</f>
        <v>#REF!</v>
      </c>
      <c r="J450" s="61" t="e">
        <f>IF(I450&gt;0,Pricing!E450*$K$5,0)</f>
        <v>#REF!</v>
      </c>
      <c r="K450" s="63" t="e">
        <f t="shared" si="50"/>
        <v>#REF!</v>
      </c>
      <c r="L450" s="64" t="e">
        <f>#REF!</f>
        <v>#REF!</v>
      </c>
      <c r="M450" s="61" t="e">
        <f>IF(L450&lt;0,Pricing!E450*$N$5,0)</f>
        <v>#REF!</v>
      </c>
      <c r="N450" s="61" t="e">
        <f t="shared" si="51"/>
        <v>#REF!</v>
      </c>
      <c r="O450" s="60" t="e">
        <f>#REF!</f>
        <v>#REF!</v>
      </c>
      <c r="P450" s="61" t="e">
        <f>IF(O450&lt;0,Pricing!E450*$Q$5,0)</f>
        <v>#REF!</v>
      </c>
      <c r="Q450" s="61" t="e">
        <f t="shared" si="52"/>
        <v>#REF!</v>
      </c>
      <c r="R450" s="60" t="e">
        <f>#REF!</f>
        <v>#REF!</v>
      </c>
      <c r="S450" s="61" t="e">
        <f>IF(R450&lt;0,Pricing!E450*$T$5,0)</f>
        <v>#REF!</v>
      </c>
      <c r="T450" s="61" t="e">
        <f t="shared" si="53"/>
        <v>#REF!</v>
      </c>
    </row>
    <row r="451" spans="1:20" x14ac:dyDescent="0.25">
      <c r="A451" s="58">
        <f t="shared" si="54"/>
        <v>44549.499999998923</v>
      </c>
      <c r="B451" s="59">
        <f t="shared" si="55"/>
        <v>44549.541666665587</v>
      </c>
      <c r="C451" s="60" t="e">
        <f>#REF!</f>
        <v>#REF!</v>
      </c>
      <c r="D451" s="61" t="e">
        <f>IF(C451&gt;0,Pricing!E451*$E$5,0)</f>
        <v>#REF!</v>
      </c>
      <c r="E451" s="61" t="e">
        <f t="shared" si="48"/>
        <v>#REF!</v>
      </c>
      <c r="F451" s="60" t="e">
        <f>#REF!</f>
        <v>#REF!</v>
      </c>
      <c r="G451" s="61" t="e">
        <f>IF(F451&gt;0,Pricing!E451*$H$5,0)</f>
        <v>#REF!</v>
      </c>
      <c r="H451" s="61" t="e">
        <f t="shared" si="49"/>
        <v>#REF!</v>
      </c>
      <c r="I451" s="62" t="e">
        <f>#REF!</f>
        <v>#REF!</v>
      </c>
      <c r="J451" s="61" t="e">
        <f>IF(I451&gt;0,Pricing!E451*$K$5,0)</f>
        <v>#REF!</v>
      </c>
      <c r="K451" s="63" t="e">
        <f t="shared" si="50"/>
        <v>#REF!</v>
      </c>
      <c r="L451" s="64" t="e">
        <f>#REF!</f>
        <v>#REF!</v>
      </c>
      <c r="M451" s="61" t="e">
        <f>IF(L451&lt;0,Pricing!E451*$N$5,0)</f>
        <v>#REF!</v>
      </c>
      <c r="N451" s="61" t="e">
        <f t="shared" si="51"/>
        <v>#REF!</v>
      </c>
      <c r="O451" s="60" t="e">
        <f>#REF!</f>
        <v>#REF!</v>
      </c>
      <c r="P451" s="61" t="e">
        <f>IF(O451&lt;0,Pricing!E451*$Q$5,0)</f>
        <v>#REF!</v>
      </c>
      <c r="Q451" s="61" t="e">
        <f t="shared" si="52"/>
        <v>#REF!</v>
      </c>
      <c r="R451" s="60" t="e">
        <f>#REF!</f>
        <v>#REF!</v>
      </c>
      <c r="S451" s="61" t="e">
        <f>IF(R451&lt;0,Pricing!E451*$T$5,0)</f>
        <v>#REF!</v>
      </c>
      <c r="T451" s="61" t="e">
        <f t="shared" si="53"/>
        <v>#REF!</v>
      </c>
    </row>
    <row r="452" spans="1:20" x14ac:dyDescent="0.25">
      <c r="A452" s="58">
        <f t="shared" si="54"/>
        <v>44549.541666665587</v>
      </c>
      <c r="B452" s="59">
        <f t="shared" si="55"/>
        <v>44549.583333332252</v>
      </c>
      <c r="C452" s="60" t="e">
        <f>#REF!</f>
        <v>#REF!</v>
      </c>
      <c r="D452" s="61" t="e">
        <f>IF(C452&gt;0,Pricing!E452*$E$5,0)</f>
        <v>#REF!</v>
      </c>
      <c r="E452" s="61" t="e">
        <f t="shared" si="48"/>
        <v>#REF!</v>
      </c>
      <c r="F452" s="60" t="e">
        <f>#REF!</f>
        <v>#REF!</v>
      </c>
      <c r="G452" s="61" t="e">
        <f>IF(F452&gt;0,Pricing!E452*$H$5,0)</f>
        <v>#REF!</v>
      </c>
      <c r="H452" s="61" t="e">
        <f t="shared" si="49"/>
        <v>#REF!</v>
      </c>
      <c r="I452" s="62" t="e">
        <f>#REF!</f>
        <v>#REF!</v>
      </c>
      <c r="J452" s="61" t="e">
        <f>IF(I452&gt;0,Pricing!E452*$K$5,0)</f>
        <v>#REF!</v>
      </c>
      <c r="K452" s="63" t="e">
        <f t="shared" si="50"/>
        <v>#REF!</v>
      </c>
      <c r="L452" s="64" t="e">
        <f>#REF!</f>
        <v>#REF!</v>
      </c>
      <c r="M452" s="61" t="e">
        <f>IF(L452&lt;0,Pricing!E452*$N$5,0)</f>
        <v>#REF!</v>
      </c>
      <c r="N452" s="61" t="e">
        <f t="shared" si="51"/>
        <v>#REF!</v>
      </c>
      <c r="O452" s="60" t="e">
        <f>#REF!</f>
        <v>#REF!</v>
      </c>
      <c r="P452" s="61" t="e">
        <f>IF(O452&lt;0,Pricing!E452*$Q$5,0)</f>
        <v>#REF!</v>
      </c>
      <c r="Q452" s="61" t="e">
        <f t="shared" si="52"/>
        <v>#REF!</v>
      </c>
      <c r="R452" s="60" t="e">
        <f>#REF!</f>
        <v>#REF!</v>
      </c>
      <c r="S452" s="61" t="e">
        <f>IF(R452&lt;0,Pricing!E452*$T$5,0)</f>
        <v>#REF!</v>
      </c>
      <c r="T452" s="61" t="e">
        <f t="shared" si="53"/>
        <v>#REF!</v>
      </c>
    </row>
    <row r="453" spans="1:20" x14ac:dyDescent="0.25">
      <c r="A453" s="58">
        <f t="shared" si="54"/>
        <v>44549.583333332252</v>
      </c>
      <c r="B453" s="59">
        <f t="shared" si="55"/>
        <v>44549.624999998916</v>
      </c>
      <c r="C453" s="60" t="e">
        <f>#REF!</f>
        <v>#REF!</v>
      </c>
      <c r="D453" s="61" t="e">
        <f>IF(C453&gt;0,Pricing!E453*$E$5,0)</f>
        <v>#REF!</v>
      </c>
      <c r="E453" s="61" t="e">
        <f t="shared" si="48"/>
        <v>#REF!</v>
      </c>
      <c r="F453" s="60" t="e">
        <f>#REF!</f>
        <v>#REF!</v>
      </c>
      <c r="G453" s="61" t="e">
        <f>IF(F453&gt;0,Pricing!E453*$H$5,0)</f>
        <v>#REF!</v>
      </c>
      <c r="H453" s="61" t="e">
        <f t="shared" si="49"/>
        <v>#REF!</v>
      </c>
      <c r="I453" s="62" t="e">
        <f>#REF!</f>
        <v>#REF!</v>
      </c>
      <c r="J453" s="61" t="e">
        <f>IF(I453&gt;0,Pricing!E453*$K$5,0)</f>
        <v>#REF!</v>
      </c>
      <c r="K453" s="63" t="e">
        <f t="shared" si="50"/>
        <v>#REF!</v>
      </c>
      <c r="L453" s="64" t="e">
        <f>#REF!</f>
        <v>#REF!</v>
      </c>
      <c r="M453" s="61" t="e">
        <f>IF(L453&lt;0,Pricing!E453*$N$5,0)</f>
        <v>#REF!</v>
      </c>
      <c r="N453" s="61" t="e">
        <f t="shared" si="51"/>
        <v>#REF!</v>
      </c>
      <c r="O453" s="60" t="e">
        <f>#REF!</f>
        <v>#REF!</v>
      </c>
      <c r="P453" s="61" t="e">
        <f>IF(O453&lt;0,Pricing!E453*$Q$5,0)</f>
        <v>#REF!</v>
      </c>
      <c r="Q453" s="61" t="e">
        <f t="shared" si="52"/>
        <v>#REF!</v>
      </c>
      <c r="R453" s="60" t="e">
        <f>#REF!</f>
        <v>#REF!</v>
      </c>
      <c r="S453" s="61" t="e">
        <f>IF(R453&lt;0,Pricing!E453*$T$5,0)</f>
        <v>#REF!</v>
      </c>
      <c r="T453" s="61" t="e">
        <f t="shared" si="53"/>
        <v>#REF!</v>
      </c>
    </row>
    <row r="454" spans="1:20" x14ac:dyDescent="0.25">
      <c r="A454" s="58">
        <f t="shared" si="54"/>
        <v>44549.624999998916</v>
      </c>
      <c r="B454" s="59">
        <f t="shared" si="55"/>
        <v>44549.66666666558</v>
      </c>
      <c r="C454" s="60" t="e">
        <f>#REF!</f>
        <v>#REF!</v>
      </c>
      <c r="D454" s="61" t="e">
        <f>IF(C454&gt;0,Pricing!E454*$E$5,0)</f>
        <v>#REF!</v>
      </c>
      <c r="E454" s="61" t="e">
        <f t="shared" si="48"/>
        <v>#REF!</v>
      </c>
      <c r="F454" s="60" t="e">
        <f>#REF!</f>
        <v>#REF!</v>
      </c>
      <c r="G454" s="61" t="e">
        <f>IF(F454&gt;0,Pricing!E454*$H$5,0)</f>
        <v>#REF!</v>
      </c>
      <c r="H454" s="61" t="e">
        <f t="shared" si="49"/>
        <v>#REF!</v>
      </c>
      <c r="I454" s="62" t="e">
        <f>#REF!</f>
        <v>#REF!</v>
      </c>
      <c r="J454" s="61" t="e">
        <f>IF(I454&gt;0,Pricing!E454*$K$5,0)</f>
        <v>#REF!</v>
      </c>
      <c r="K454" s="63" t="e">
        <f t="shared" si="50"/>
        <v>#REF!</v>
      </c>
      <c r="L454" s="64" t="e">
        <f>#REF!</f>
        <v>#REF!</v>
      </c>
      <c r="M454" s="61" t="e">
        <f>IF(L454&lt;0,Pricing!E454*$N$5,0)</f>
        <v>#REF!</v>
      </c>
      <c r="N454" s="61" t="e">
        <f t="shared" si="51"/>
        <v>#REF!</v>
      </c>
      <c r="O454" s="60" t="e">
        <f>#REF!</f>
        <v>#REF!</v>
      </c>
      <c r="P454" s="61" t="e">
        <f>IF(O454&lt;0,Pricing!E454*$Q$5,0)</f>
        <v>#REF!</v>
      </c>
      <c r="Q454" s="61" t="e">
        <f t="shared" si="52"/>
        <v>#REF!</v>
      </c>
      <c r="R454" s="60" t="e">
        <f>#REF!</f>
        <v>#REF!</v>
      </c>
      <c r="S454" s="61" t="e">
        <f>IF(R454&lt;0,Pricing!E454*$T$5,0)</f>
        <v>#REF!</v>
      </c>
      <c r="T454" s="61" t="e">
        <f t="shared" si="53"/>
        <v>#REF!</v>
      </c>
    </row>
    <row r="455" spans="1:20" x14ac:dyDescent="0.25">
      <c r="A455" s="58">
        <f t="shared" si="54"/>
        <v>44549.66666666558</v>
      </c>
      <c r="B455" s="59">
        <f t="shared" si="55"/>
        <v>44549.708333332244</v>
      </c>
      <c r="C455" s="60" t="e">
        <f>#REF!</f>
        <v>#REF!</v>
      </c>
      <c r="D455" s="61" t="e">
        <f>IF(C455&gt;0,Pricing!E455*$E$5,0)</f>
        <v>#REF!</v>
      </c>
      <c r="E455" s="61" t="e">
        <f t="shared" si="48"/>
        <v>#REF!</v>
      </c>
      <c r="F455" s="60" t="e">
        <f>#REF!</f>
        <v>#REF!</v>
      </c>
      <c r="G455" s="61" t="e">
        <f>IF(F455&gt;0,Pricing!E455*$H$5,0)</f>
        <v>#REF!</v>
      </c>
      <c r="H455" s="61" t="e">
        <f t="shared" si="49"/>
        <v>#REF!</v>
      </c>
      <c r="I455" s="62" t="e">
        <f>#REF!</f>
        <v>#REF!</v>
      </c>
      <c r="J455" s="61" t="e">
        <f>IF(I455&gt;0,Pricing!E455*$K$5,0)</f>
        <v>#REF!</v>
      </c>
      <c r="K455" s="63" t="e">
        <f t="shared" si="50"/>
        <v>#REF!</v>
      </c>
      <c r="L455" s="64" t="e">
        <f>#REF!</f>
        <v>#REF!</v>
      </c>
      <c r="M455" s="61" t="e">
        <f>IF(L455&lt;0,Pricing!E455*$N$5,0)</f>
        <v>#REF!</v>
      </c>
      <c r="N455" s="61" t="e">
        <f t="shared" si="51"/>
        <v>#REF!</v>
      </c>
      <c r="O455" s="60" t="e">
        <f>#REF!</f>
        <v>#REF!</v>
      </c>
      <c r="P455" s="61" t="e">
        <f>IF(O455&lt;0,Pricing!E455*$Q$5,0)</f>
        <v>#REF!</v>
      </c>
      <c r="Q455" s="61" t="e">
        <f t="shared" si="52"/>
        <v>#REF!</v>
      </c>
      <c r="R455" s="60" t="e">
        <f>#REF!</f>
        <v>#REF!</v>
      </c>
      <c r="S455" s="61" t="e">
        <f>IF(R455&lt;0,Pricing!E455*$T$5,0)</f>
        <v>#REF!</v>
      </c>
      <c r="T455" s="61" t="e">
        <f t="shared" si="53"/>
        <v>#REF!</v>
      </c>
    </row>
    <row r="456" spans="1:20" x14ac:dyDescent="0.25">
      <c r="A456" s="58">
        <f t="shared" si="54"/>
        <v>44549.708333332244</v>
      </c>
      <c r="B456" s="59">
        <f t="shared" si="55"/>
        <v>44549.749999998909</v>
      </c>
      <c r="C456" s="60" t="e">
        <f>#REF!</f>
        <v>#REF!</v>
      </c>
      <c r="D456" s="61" t="e">
        <f>IF(C456&gt;0,Pricing!E456*$E$5,0)</f>
        <v>#REF!</v>
      </c>
      <c r="E456" s="61" t="e">
        <f t="shared" ref="E456:E519" si="56">C456*D456</f>
        <v>#REF!</v>
      </c>
      <c r="F456" s="60" t="e">
        <f>#REF!</f>
        <v>#REF!</v>
      </c>
      <c r="G456" s="61" t="e">
        <f>IF(F456&gt;0,Pricing!E456*$H$5,0)</f>
        <v>#REF!</v>
      </c>
      <c r="H456" s="61" t="e">
        <f t="shared" ref="H456:H519" si="57">F456*G456</f>
        <v>#REF!</v>
      </c>
      <c r="I456" s="62" t="e">
        <f>#REF!</f>
        <v>#REF!</v>
      </c>
      <c r="J456" s="61" t="e">
        <f>IF(I456&gt;0,Pricing!E456*$K$5,0)</f>
        <v>#REF!</v>
      </c>
      <c r="K456" s="63" t="e">
        <f t="shared" ref="K456:K519" si="58">I456*J456</f>
        <v>#REF!</v>
      </c>
      <c r="L456" s="64" t="e">
        <f>#REF!</f>
        <v>#REF!</v>
      </c>
      <c r="M456" s="61" t="e">
        <f>IF(L456&lt;0,Pricing!E456*$N$5,0)</f>
        <v>#REF!</v>
      </c>
      <c r="N456" s="61" t="e">
        <f t="shared" ref="N456:N519" si="59">L456*M456</f>
        <v>#REF!</v>
      </c>
      <c r="O456" s="60" t="e">
        <f>#REF!</f>
        <v>#REF!</v>
      </c>
      <c r="P456" s="61" t="e">
        <f>IF(O456&lt;0,Pricing!E456*$Q$5,0)</f>
        <v>#REF!</v>
      </c>
      <c r="Q456" s="61" t="e">
        <f t="shared" ref="Q456:Q519" si="60">O456*P456</f>
        <v>#REF!</v>
      </c>
      <c r="R456" s="60" t="e">
        <f>#REF!</f>
        <v>#REF!</v>
      </c>
      <c r="S456" s="61" t="e">
        <f>IF(R456&lt;0,Pricing!E456*$T$5,0)</f>
        <v>#REF!</v>
      </c>
      <c r="T456" s="61" t="e">
        <f t="shared" ref="T456:T519" si="61">R456*S456</f>
        <v>#REF!</v>
      </c>
    </row>
    <row r="457" spans="1:20" x14ac:dyDescent="0.25">
      <c r="A457" s="58">
        <f t="shared" ref="A457:A520" si="62">$A456+1/24</f>
        <v>44549.749999998909</v>
      </c>
      <c r="B457" s="59">
        <f t="shared" ref="B457:B520" si="63">B456+1/24</f>
        <v>44549.791666665573</v>
      </c>
      <c r="C457" s="60" t="e">
        <f>#REF!</f>
        <v>#REF!</v>
      </c>
      <c r="D457" s="61" t="e">
        <f>IF(C457&gt;0,Pricing!E457*$E$5,0)</f>
        <v>#REF!</v>
      </c>
      <c r="E457" s="61" t="e">
        <f t="shared" si="56"/>
        <v>#REF!</v>
      </c>
      <c r="F457" s="60" t="e">
        <f>#REF!</f>
        <v>#REF!</v>
      </c>
      <c r="G457" s="61" t="e">
        <f>IF(F457&gt;0,Pricing!E457*$H$5,0)</f>
        <v>#REF!</v>
      </c>
      <c r="H457" s="61" t="e">
        <f t="shared" si="57"/>
        <v>#REF!</v>
      </c>
      <c r="I457" s="62" t="e">
        <f>#REF!</f>
        <v>#REF!</v>
      </c>
      <c r="J457" s="61" t="e">
        <f>IF(I457&gt;0,Pricing!E457*$K$5,0)</f>
        <v>#REF!</v>
      </c>
      <c r="K457" s="63" t="e">
        <f t="shared" si="58"/>
        <v>#REF!</v>
      </c>
      <c r="L457" s="64" t="e">
        <f>#REF!</f>
        <v>#REF!</v>
      </c>
      <c r="M457" s="61" t="e">
        <f>IF(L457&lt;0,Pricing!E457*$N$5,0)</f>
        <v>#REF!</v>
      </c>
      <c r="N457" s="61" t="e">
        <f t="shared" si="59"/>
        <v>#REF!</v>
      </c>
      <c r="O457" s="60" t="e">
        <f>#REF!</f>
        <v>#REF!</v>
      </c>
      <c r="P457" s="61" t="e">
        <f>IF(O457&lt;0,Pricing!E457*$Q$5,0)</f>
        <v>#REF!</v>
      </c>
      <c r="Q457" s="61" t="e">
        <f t="shared" si="60"/>
        <v>#REF!</v>
      </c>
      <c r="R457" s="60" t="e">
        <f>#REF!</f>
        <v>#REF!</v>
      </c>
      <c r="S457" s="61" t="e">
        <f>IF(R457&lt;0,Pricing!E457*$T$5,0)</f>
        <v>#REF!</v>
      </c>
      <c r="T457" s="61" t="e">
        <f t="shared" si="61"/>
        <v>#REF!</v>
      </c>
    </row>
    <row r="458" spans="1:20" x14ac:dyDescent="0.25">
      <c r="A458" s="58">
        <f t="shared" si="62"/>
        <v>44549.791666665573</v>
      </c>
      <c r="B458" s="59">
        <f t="shared" si="63"/>
        <v>44549.833333332237</v>
      </c>
      <c r="C458" s="60" t="e">
        <f>#REF!</f>
        <v>#REF!</v>
      </c>
      <c r="D458" s="61" t="e">
        <f>IF(C458&gt;0,Pricing!E458*$E$5,0)</f>
        <v>#REF!</v>
      </c>
      <c r="E458" s="61" t="e">
        <f t="shared" si="56"/>
        <v>#REF!</v>
      </c>
      <c r="F458" s="60" t="e">
        <f>#REF!</f>
        <v>#REF!</v>
      </c>
      <c r="G458" s="61" t="e">
        <f>IF(F458&gt;0,Pricing!E458*$H$5,0)</f>
        <v>#REF!</v>
      </c>
      <c r="H458" s="61" t="e">
        <f t="shared" si="57"/>
        <v>#REF!</v>
      </c>
      <c r="I458" s="62" t="e">
        <f>#REF!</f>
        <v>#REF!</v>
      </c>
      <c r="J458" s="61" t="e">
        <f>IF(I458&gt;0,Pricing!E458*$K$5,0)</f>
        <v>#REF!</v>
      </c>
      <c r="K458" s="63" t="e">
        <f t="shared" si="58"/>
        <v>#REF!</v>
      </c>
      <c r="L458" s="64" t="e">
        <f>#REF!</f>
        <v>#REF!</v>
      </c>
      <c r="M458" s="61" t="e">
        <f>IF(L458&lt;0,Pricing!E458*$N$5,0)</f>
        <v>#REF!</v>
      </c>
      <c r="N458" s="61" t="e">
        <f t="shared" si="59"/>
        <v>#REF!</v>
      </c>
      <c r="O458" s="60" t="e">
        <f>#REF!</f>
        <v>#REF!</v>
      </c>
      <c r="P458" s="61" t="e">
        <f>IF(O458&lt;0,Pricing!E458*$Q$5,0)</f>
        <v>#REF!</v>
      </c>
      <c r="Q458" s="61" t="e">
        <f t="shared" si="60"/>
        <v>#REF!</v>
      </c>
      <c r="R458" s="60" t="e">
        <f>#REF!</f>
        <v>#REF!</v>
      </c>
      <c r="S458" s="61" t="e">
        <f>IF(R458&lt;0,Pricing!E458*$T$5,0)</f>
        <v>#REF!</v>
      </c>
      <c r="T458" s="61" t="e">
        <f t="shared" si="61"/>
        <v>#REF!</v>
      </c>
    </row>
    <row r="459" spans="1:20" x14ac:dyDescent="0.25">
      <c r="A459" s="58">
        <f t="shared" si="62"/>
        <v>44549.833333332237</v>
      </c>
      <c r="B459" s="59">
        <f t="shared" si="63"/>
        <v>44549.874999998901</v>
      </c>
      <c r="C459" s="60" t="e">
        <f>#REF!</f>
        <v>#REF!</v>
      </c>
      <c r="D459" s="61" t="e">
        <f>IF(C459&gt;0,Pricing!E459*$E$5,0)</f>
        <v>#REF!</v>
      </c>
      <c r="E459" s="61" t="e">
        <f t="shared" si="56"/>
        <v>#REF!</v>
      </c>
      <c r="F459" s="60" t="e">
        <f>#REF!</f>
        <v>#REF!</v>
      </c>
      <c r="G459" s="61" t="e">
        <f>IF(F459&gt;0,Pricing!E459*$H$5,0)</f>
        <v>#REF!</v>
      </c>
      <c r="H459" s="61" t="e">
        <f t="shared" si="57"/>
        <v>#REF!</v>
      </c>
      <c r="I459" s="62" t="e">
        <f>#REF!</f>
        <v>#REF!</v>
      </c>
      <c r="J459" s="61" t="e">
        <f>IF(I459&gt;0,Pricing!E459*$K$5,0)</f>
        <v>#REF!</v>
      </c>
      <c r="K459" s="63" t="e">
        <f t="shared" si="58"/>
        <v>#REF!</v>
      </c>
      <c r="L459" s="64" t="e">
        <f>#REF!</f>
        <v>#REF!</v>
      </c>
      <c r="M459" s="61" t="e">
        <f>IF(L459&lt;0,Pricing!E459*$N$5,0)</f>
        <v>#REF!</v>
      </c>
      <c r="N459" s="61" t="e">
        <f t="shared" si="59"/>
        <v>#REF!</v>
      </c>
      <c r="O459" s="60" t="e">
        <f>#REF!</f>
        <v>#REF!</v>
      </c>
      <c r="P459" s="61" t="e">
        <f>IF(O459&lt;0,Pricing!E459*$Q$5,0)</f>
        <v>#REF!</v>
      </c>
      <c r="Q459" s="61" t="e">
        <f t="shared" si="60"/>
        <v>#REF!</v>
      </c>
      <c r="R459" s="60" t="e">
        <f>#REF!</f>
        <v>#REF!</v>
      </c>
      <c r="S459" s="61" t="e">
        <f>IF(R459&lt;0,Pricing!E459*$T$5,0)</f>
        <v>#REF!</v>
      </c>
      <c r="T459" s="61" t="e">
        <f t="shared" si="61"/>
        <v>#REF!</v>
      </c>
    </row>
    <row r="460" spans="1:20" x14ac:dyDescent="0.25">
      <c r="A460" s="58">
        <f t="shared" si="62"/>
        <v>44549.874999998901</v>
      </c>
      <c r="B460" s="59">
        <f t="shared" si="63"/>
        <v>44549.916666665566</v>
      </c>
      <c r="C460" s="60" t="e">
        <f>#REF!</f>
        <v>#REF!</v>
      </c>
      <c r="D460" s="61" t="e">
        <f>IF(C460&gt;0,Pricing!E460*$E$5,0)</f>
        <v>#REF!</v>
      </c>
      <c r="E460" s="61" t="e">
        <f t="shared" si="56"/>
        <v>#REF!</v>
      </c>
      <c r="F460" s="60" t="e">
        <f>#REF!</f>
        <v>#REF!</v>
      </c>
      <c r="G460" s="61" t="e">
        <f>IF(F460&gt;0,Pricing!E460*$H$5,0)</f>
        <v>#REF!</v>
      </c>
      <c r="H460" s="61" t="e">
        <f t="shared" si="57"/>
        <v>#REF!</v>
      </c>
      <c r="I460" s="62" t="e">
        <f>#REF!</f>
        <v>#REF!</v>
      </c>
      <c r="J460" s="61" t="e">
        <f>IF(I460&gt;0,Pricing!E460*$K$5,0)</f>
        <v>#REF!</v>
      </c>
      <c r="K460" s="63" t="e">
        <f t="shared" si="58"/>
        <v>#REF!</v>
      </c>
      <c r="L460" s="64" t="e">
        <f>#REF!</f>
        <v>#REF!</v>
      </c>
      <c r="M460" s="61" t="e">
        <f>IF(L460&lt;0,Pricing!E460*$N$5,0)</f>
        <v>#REF!</v>
      </c>
      <c r="N460" s="61" t="e">
        <f t="shared" si="59"/>
        <v>#REF!</v>
      </c>
      <c r="O460" s="60" t="e">
        <f>#REF!</f>
        <v>#REF!</v>
      </c>
      <c r="P460" s="61" t="e">
        <f>IF(O460&lt;0,Pricing!E460*$Q$5,0)</f>
        <v>#REF!</v>
      </c>
      <c r="Q460" s="61" t="e">
        <f t="shared" si="60"/>
        <v>#REF!</v>
      </c>
      <c r="R460" s="60" t="e">
        <f>#REF!</f>
        <v>#REF!</v>
      </c>
      <c r="S460" s="61" t="e">
        <f>IF(R460&lt;0,Pricing!E460*$T$5,0)</f>
        <v>#REF!</v>
      </c>
      <c r="T460" s="61" t="e">
        <f t="shared" si="61"/>
        <v>#REF!</v>
      </c>
    </row>
    <row r="461" spans="1:20" x14ac:dyDescent="0.25">
      <c r="A461" s="58">
        <f t="shared" si="62"/>
        <v>44549.916666665566</v>
      </c>
      <c r="B461" s="59">
        <f t="shared" si="63"/>
        <v>44549.95833333223</v>
      </c>
      <c r="C461" s="60" t="e">
        <f>#REF!</f>
        <v>#REF!</v>
      </c>
      <c r="D461" s="61" t="e">
        <f>IF(C461&gt;0,Pricing!E461*$E$5,0)</f>
        <v>#REF!</v>
      </c>
      <c r="E461" s="61" t="e">
        <f t="shared" si="56"/>
        <v>#REF!</v>
      </c>
      <c r="F461" s="60" t="e">
        <f>#REF!</f>
        <v>#REF!</v>
      </c>
      <c r="G461" s="61" t="e">
        <f>IF(F461&gt;0,Pricing!E461*$H$5,0)</f>
        <v>#REF!</v>
      </c>
      <c r="H461" s="61" t="e">
        <f t="shared" si="57"/>
        <v>#REF!</v>
      </c>
      <c r="I461" s="62" t="e">
        <f>#REF!</f>
        <v>#REF!</v>
      </c>
      <c r="J461" s="61" t="e">
        <f>IF(I461&gt;0,Pricing!E461*$K$5,0)</f>
        <v>#REF!</v>
      </c>
      <c r="K461" s="63" t="e">
        <f t="shared" si="58"/>
        <v>#REF!</v>
      </c>
      <c r="L461" s="64" t="e">
        <f>#REF!</f>
        <v>#REF!</v>
      </c>
      <c r="M461" s="61" t="e">
        <f>IF(L461&lt;0,Pricing!E461*$N$5,0)</f>
        <v>#REF!</v>
      </c>
      <c r="N461" s="61" t="e">
        <f t="shared" si="59"/>
        <v>#REF!</v>
      </c>
      <c r="O461" s="60" t="e">
        <f>#REF!</f>
        <v>#REF!</v>
      </c>
      <c r="P461" s="61" t="e">
        <f>IF(O461&lt;0,Pricing!E461*$Q$5,0)</f>
        <v>#REF!</v>
      </c>
      <c r="Q461" s="61" t="e">
        <f t="shared" si="60"/>
        <v>#REF!</v>
      </c>
      <c r="R461" s="60" t="e">
        <f>#REF!</f>
        <v>#REF!</v>
      </c>
      <c r="S461" s="61" t="e">
        <f>IF(R461&lt;0,Pricing!E461*$T$5,0)</f>
        <v>#REF!</v>
      </c>
      <c r="T461" s="61" t="e">
        <f t="shared" si="61"/>
        <v>#REF!</v>
      </c>
    </row>
    <row r="462" spans="1:20" x14ac:dyDescent="0.25">
      <c r="A462" s="58">
        <f t="shared" si="62"/>
        <v>44549.95833333223</v>
      </c>
      <c r="B462" s="59">
        <f t="shared" si="63"/>
        <v>44549.999999998894</v>
      </c>
      <c r="C462" s="60" t="e">
        <f>#REF!</f>
        <v>#REF!</v>
      </c>
      <c r="D462" s="61" t="e">
        <f>IF(C462&gt;0,Pricing!E462*$E$5,0)</f>
        <v>#REF!</v>
      </c>
      <c r="E462" s="61" t="e">
        <f t="shared" si="56"/>
        <v>#REF!</v>
      </c>
      <c r="F462" s="60" t="e">
        <f>#REF!</f>
        <v>#REF!</v>
      </c>
      <c r="G462" s="61" t="e">
        <f>IF(F462&gt;0,Pricing!E462*$H$5,0)</f>
        <v>#REF!</v>
      </c>
      <c r="H462" s="61" t="e">
        <f t="shared" si="57"/>
        <v>#REF!</v>
      </c>
      <c r="I462" s="62" t="e">
        <f>#REF!</f>
        <v>#REF!</v>
      </c>
      <c r="J462" s="61" t="e">
        <f>IF(I462&gt;0,Pricing!E462*$K$5,0)</f>
        <v>#REF!</v>
      </c>
      <c r="K462" s="63" t="e">
        <f t="shared" si="58"/>
        <v>#REF!</v>
      </c>
      <c r="L462" s="64" t="e">
        <f>#REF!</f>
        <v>#REF!</v>
      </c>
      <c r="M462" s="61" t="e">
        <f>IF(L462&lt;0,Pricing!E462*$N$5,0)</f>
        <v>#REF!</v>
      </c>
      <c r="N462" s="61" t="e">
        <f t="shared" si="59"/>
        <v>#REF!</v>
      </c>
      <c r="O462" s="60" t="e">
        <f>#REF!</f>
        <v>#REF!</v>
      </c>
      <c r="P462" s="61" t="e">
        <f>IF(O462&lt;0,Pricing!E462*$Q$5,0)</f>
        <v>#REF!</v>
      </c>
      <c r="Q462" s="61" t="e">
        <f t="shared" si="60"/>
        <v>#REF!</v>
      </c>
      <c r="R462" s="60" t="e">
        <f>#REF!</f>
        <v>#REF!</v>
      </c>
      <c r="S462" s="61" t="e">
        <f>IF(R462&lt;0,Pricing!E462*$T$5,0)</f>
        <v>#REF!</v>
      </c>
      <c r="T462" s="61" t="e">
        <f t="shared" si="61"/>
        <v>#REF!</v>
      </c>
    </row>
    <row r="463" spans="1:20" x14ac:dyDescent="0.25">
      <c r="A463" s="58">
        <f t="shared" si="62"/>
        <v>44549.999999998894</v>
      </c>
      <c r="B463" s="59">
        <f t="shared" si="63"/>
        <v>44550.041666665558</v>
      </c>
      <c r="C463" s="60" t="e">
        <f>#REF!</f>
        <v>#REF!</v>
      </c>
      <c r="D463" s="61" t="e">
        <f>IF(C463&gt;0,Pricing!E463*$E$5,0)</f>
        <v>#REF!</v>
      </c>
      <c r="E463" s="61" t="e">
        <f t="shared" si="56"/>
        <v>#REF!</v>
      </c>
      <c r="F463" s="60" t="e">
        <f>#REF!</f>
        <v>#REF!</v>
      </c>
      <c r="G463" s="61" t="e">
        <f>IF(F463&gt;0,Pricing!E463*$H$5,0)</f>
        <v>#REF!</v>
      </c>
      <c r="H463" s="61" t="e">
        <f t="shared" si="57"/>
        <v>#REF!</v>
      </c>
      <c r="I463" s="62" t="e">
        <f>#REF!</f>
        <v>#REF!</v>
      </c>
      <c r="J463" s="61" t="e">
        <f>IF(I463&gt;0,Pricing!E463*$K$5,0)</f>
        <v>#REF!</v>
      </c>
      <c r="K463" s="63" t="e">
        <f t="shared" si="58"/>
        <v>#REF!</v>
      </c>
      <c r="L463" s="64" t="e">
        <f>#REF!</f>
        <v>#REF!</v>
      </c>
      <c r="M463" s="61" t="e">
        <f>IF(L463&lt;0,Pricing!E463*$N$5,0)</f>
        <v>#REF!</v>
      </c>
      <c r="N463" s="61" t="e">
        <f t="shared" si="59"/>
        <v>#REF!</v>
      </c>
      <c r="O463" s="60" t="e">
        <f>#REF!</f>
        <v>#REF!</v>
      </c>
      <c r="P463" s="61" t="e">
        <f>IF(O463&lt;0,Pricing!E463*$Q$5,0)</f>
        <v>#REF!</v>
      </c>
      <c r="Q463" s="61" t="e">
        <f t="shared" si="60"/>
        <v>#REF!</v>
      </c>
      <c r="R463" s="60" t="e">
        <f>#REF!</f>
        <v>#REF!</v>
      </c>
      <c r="S463" s="61" t="e">
        <f>IF(R463&lt;0,Pricing!E463*$T$5,0)</f>
        <v>#REF!</v>
      </c>
      <c r="T463" s="61" t="e">
        <f t="shared" si="61"/>
        <v>#REF!</v>
      </c>
    </row>
    <row r="464" spans="1:20" x14ac:dyDescent="0.25">
      <c r="A464" s="58">
        <f t="shared" si="62"/>
        <v>44550.041666665558</v>
      </c>
      <c r="B464" s="59">
        <f t="shared" si="63"/>
        <v>44550.083333332223</v>
      </c>
      <c r="C464" s="60" t="e">
        <f>#REF!</f>
        <v>#REF!</v>
      </c>
      <c r="D464" s="61" t="e">
        <f>IF(C464&gt;0,Pricing!E464*$E$5,0)</f>
        <v>#REF!</v>
      </c>
      <c r="E464" s="61" t="e">
        <f t="shared" si="56"/>
        <v>#REF!</v>
      </c>
      <c r="F464" s="60" t="e">
        <f>#REF!</f>
        <v>#REF!</v>
      </c>
      <c r="G464" s="61" t="e">
        <f>IF(F464&gt;0,Pricing!E464*$H$5,0)</f>
        <v>#REF!</v>
      </c>
      <c r="H464" s="61" t="e">
        <f t="shared" si="57"/>
        <v>#REF!</v>
      </c>
      <c r="I464" s="62" t="e">
        <f>#REF!</f>
        <v>#REF!</v>
      </c>
      <c r="J464" s="61" t="e">
        <f>IF(I464&gt;0,Pricing!E464*$K$5,0)</f>
        <v>#REF!</v>
      </c>
      <c r="K464" s="63" t="e">
        <f t="shared" si="58"/>
        <v>#REF!</v>
      </c>
      <c r="L464" s="64" t="e">
        <f>#REF!</f>
        <v>#REF!</v>
      </c>
      <c r="M464" s="61" t="e">
        <f>IF(L464&lt;0,Pricing!E464*$N$5,0)</f>
        <v>#REF!</v>
      </c>
      <c r="N464" s="61" t="e">
        <f t="shared" si="59"/>
        <v>#REF!</v>
      </c>
      <c r="O464" s="60" t="e">
        <f>#REF!</f>
        <v>#REF!</v>
      </c>
      <c r="P464" s="61" t="e">
        <f>IF(O464&lt;0,Pricing!E464*$Q$5,0)</f>
        <v>#REF!</v>
      </c>
      <c r="Q464" s="61" t="e">
        <f t="shared" si="60"/>
        <v>#REF!</v>
      </c>
      <c r="R464" s="60" t="e">
        <f>#REF!</f>
        <v>#REF!</v>
      </c>
      <c r="S464" s="61" t="e">
        <f>IF(R464&lt;0,Pricing!E464*$T$5,0)</f>
        <v>#REF!</v>
      </c>
      <c r="T464" s="61" t="e">
        <f t="shared" si="61"/>
        <v>#REF!</v>
      </c>
    </row>
    <row r="465" spans="1:20" x14ac:dyDescent="0.25">
      <c r="A465" s="58">
        <f t="shared" si="62"/>
        <v>44550.083333332223</v>
      </c>
      <c r="B465" s="59">
        <f t="shared" si="63"/>
        <v>44550.124999998887</v>
      </c>
      <c r="C465" s="60" t="e">
        <f>#REF!</f>
        <v>#REF!</v>
      </c>
      <c r="D465" s="61" t="e">
        <f>IF(C465&gt;0,Pricing!E465*$E$5,0)</f>
        <v>#REF!</v>
      </c>
      <c r="E465" s="61" t="e">
        <f t="shared" si="56"/>
        <v>#REF!</v>
      </c>
      <c r="F465" s="60" t="e">
        <f>#REF!</f>
        <v>#REF!</v>
      </c>
      <c r="G465" s="61" t="e">
        <f>IF(F465&gt;0,Pricing!E465*$H$5,0)</f>
        <v>#REF!</v>
      </c>
      <c r="H465" s="61" t="e">
        <f t="shared" si="57"/>
        <v>#REF!</v>
      </c>
      <c r="I465" s="62" t="e">
        <f>#REF!</f>
        <v>#REF!</v>
      </c>
      <c r="J465" s="61" t="e">
        <f>IF(I465&gt;0,Pricing!E465*$K$5,0)</f>
        <v>#REF!</v>
      </c>
      <c r="K465" s="63" t="e">
        <f t="shared" si="58"/>
        <v>#REF!</v>
      </c>
      <c r="L465" s="64" t="e">
        <f>#REF!</f>
        <v>#REF!</v>
      </c>
      <c r="M465" s="61" t="e">
        <f>IF(L465&lt;0,Pricing!E465*$N$5,0)</f>
        <v>#REF!</v>
      </c>
      <c r="N465" s="61" t="e">
        <f t="shared" si="59"/>
        <v>#REF!</v>
      </c>
      <c r="O465" s="60" t="e">
        <f>#REF!</f>
        <v>#REF!</v>
      </c>
      <c r="P465" s="61" t="e">
        <f>IF(O465&lt;0,Pricing!E465*$Q$5,0)</f>
        <v>#REF!</v>
      </c>
      <c r="Q465" s="61" t="e">
        <f t="shared" si="60"/>
        <v>#REF!</v>
      </c>
      <c r="R465" s="60" t="e">
        <f>#REF!</f>
        <v>#REF!</v>
      </c>
      <c r="S465" s="61" t="e">
        <f>IF(R465&lt;0,Pricing!E465*$T$5,0)</f>
        <v>#REF!</v>
      </c>
      <c r="T465" s="61" t="e">
        <f t="shared" si="61"/>
        <v>#REF!</v>
      </c>
    </row>
    <row r="466" spans="1:20" x14ac:dyDescent="0.25">
      <c r="A466" s="58">
        <f t="shared" si="62"/>
        <v>44550.124999998887</v>
      </c>
      <c r="B466" s="59">
        <f t="shared" si="63"/>
        <v>44550.166666665551</v>
      </c>
      <c r="C466" s="60" t="e">
        <f>#REF!</f>
        <v>#REF!</v>
      </c>
      <c r="D466" s="61" t="e">
        <f>IF(C466&gt;0,Pricing!E466*$E$5,0)</f>
        <v>#REF!</v>
      </c>
      <c r="E466" s="61" t="e">
        <f t="shared" si="56"/>
        <v>#REF!</v>
      </c>
      <c r="F466" s="60" t="e">
        <f>#REF!</f>
        <v>#REF!</v>
      </c>
      <c r="G466" s="61" t="e">
        <f>IF(F466&gt;0,Pricing!E466*$H$5,0)</f>
        <v>#REF!</v>
      </c>
      <c r="H466" s="61" t="e">
        <f t="shared" si="57"/>
        <v>#REF!</v>
      </c>
      <c r="I466" s="62" t="e">
        <f>#REF!</f>
        <v>#REF!</v>
      </c>
      <c r="J466" s="61" t="e">
        <f>IF(I466&gt;0,Pricing!E466*$K$5,0)</f>
        <v>#REF!</v>
      </c>
      <c r="K466" s="63" t="e">
        <f t="shared" si="58"/>
        <v>#REF!</v>
      </c>
      <c r="L466" s="64" t="e">
        <f>#REF!</f>
        <v>#REF!</v>
      </c>
      <c r="M466" s="61" t="e">
        <f>IF(L466&lt;0,Pricing!E466*$N$5,0)</f>
        <v>#REF!</v>
      </c>
      <c r="N466" s="61" t="e">
        <f t="shared" si="59"/>
        <v>#REF!</v>
      </c>
      <c r="O466" s="60" t="e">
        <f>#REF!</f>
        <v>#REF!</v>
      </c>
      <c r="P466" s="61" t="e">
        <f>IF(O466&lt;0,Pricing!E466*$Q$5,0)</f>
        <v>#REF!</v>
      </c>
      <c r="Q466" s="61" t="e">
        <f t="shared" si="60"/>
        <v>#REF!</v>
      </c>
      <c r="R466" s="60" t="e">
        <f>#REF!</f>
        <v>#REF!</v>
      </c>
      <c r="S466" s="61" t="e">
        <f>IF(R466&lt;0,Pricing!E466*$T$5,0)</f>
        <v>#REF!</v>
      </c>
      <c r="T466" s="61" t="e">
        <f t="shared" si="61"/>
        <v>#REF!</v>
      </c>
    </row>
    <row r="467" spans="1:20" x14ac:dyDescent="0.25">
      <c r="A467" s="58">
        <f t="shared" si="62"/>
        <v>44550.166666665551</v>
      </c>
      <c r="B467" s="59">
        <f t="shared" si="63"/>
        <v>44550.208333332215</v>
      </c>
      <c r="C467" s="60" t="e">
        <f>#REF!</f>
        <v>#REF!</v>
      </c>
      <c r="D467" s="61" t="e">
        <f>IF(C467&gt;0,Pricing!E467*$E$5,0)</f>
        <v>#REF!</v>
      </c>
      <c r="E467" s="61" t="e">
        <f t="shared" si="56"/>
        <v>#REF!</v>
      </c>
      <c r="F467" s="60" t="e">
        <f>#REF!</f>
        <v>#REF!</v>
      </c>
      <c r="G467" s="61" t="e">
        <f>IF(F467&gt;0,Pricing!E467*$H$5,0)</f>
        <v>#REF!</v>
      </c>
      <c r="H467" s="61" t="e">
        <f t="shared" si="57"/>
        <v>#REF!</v>
      </c>
      <c r="I467" s="62" t="e">
        <f>#REF!</f>
        <v>#REF!</v>
      </c>
      <c r="J467" s="61" t="e">
        <f>IF(I467&gt;0,Pricing!E467*$K$5,0)</f>
        <v>#REF!</v>
      </c>
      <c r="K467" s="63" t="e">
        <f t="shared" si="58"/>
        <v>#REF!</v>
      </c>
      <c r="L467" s="64" t="e">
        <f>#REF!</f>
        <v>#REF!</v>
      </c>
      <c r="M467" s="61" t="e">
        <f>IF(L467&lt;0,Pricing!E467*$N$5,0)</f>
        <v>#REF!</v>
      </c>
      <c r="N467" s="61" t="e">
        <f t="shared" si="59"/>
        <v>#REF!</v>
      </c>
      <c r="O467" s="60" t="e">
        <f>#REF!</f>
        <v>#REF!</v>
      </c>
      <c r="P467" s="61" t="e">
        <f>IF(O467&lt;0,Pricing!E467*$Q$5,0)</f>
        <v>#REF!</v>
      </c>
      <c r="Q467" s="61" t="e">
        <f t="shared" si="60"/>
        <v>#REF!</v>
      </c>
      <c r="R467" s="60" t="e">
        <f>#REF!</f>
        <v>#REF!</v>
      </c>
      <c r="S467" s="61" t="e">
        <f>IF(R467&lt;0,Pricing!E467*$T$5,0)</f>
        <v>#REF!</v>
      </c>
      <c r="T467" s="61" t="e">
        <f t="shared" si="61"/>
        <v>#REF!</v>
      </c>
    </row>
    <row r="468" spans="1:20" x14ac:dyDescent="0.25">
      <c r="A468" s="58">
        <f t="shared" si="62"/>
        <v>44550.208333332215</v>
      </c>
      <c r="B468" s="59">
        <f t="shared" si="63"/>
        <v>44550.24999999888</v>
      </c>
      <c r="C468" s="60" t="e">
        <f>#REF!</f>
        <v>#REF!</v>
      </c>
      <c r="D468" s="61" t="e">
        <f>IF(C468&gt;0,Pricing!E468*$E$5,0)</f>
        <v>#REF!</v>
      </c>
      <c r="E468" s="61" t="e">
        <f t="shared" si="56"/>
        <v>#REF!</v>
      </c>
      <c r="F468" s="60" t="e">
        <f>#REF!</f>
        <v>#REF!</v>
      </c>
      <c r="G468" s="61" t="e">
        <f>IF(F468&gt;0,Pricing!E468*$H$5,0)</f>
        <v>#REF!</v>
      </c>
      <c r="H468" s="61" t="e">
        <f t="shared" si="57"/>
        <v>#REF!</v>
      </c>
      <c r="I468" s="62" t="e">
        <f>#REF!</f>
        <v>#REF!</v>
      </c>
      <c r="J468" s="61" t="e">
        <f>IF(I468&gt;0,Pricing!E468*$K$5,0)</f>
        <v>#REF!</v>
      </c>
      <c r="K468" s="63" t="e">
        <f t="shared" si="58"/>
        <v>#REF!</v>
      </c>
      <c r="L468" s="64" t="e">
        <f>#REF!</f>
        <v>#REF!</v>
      </c>
      <c r="M468" s="61" t="e">
        <f>IF(L468&lt;0,Pricing!E468*$N$5,0)</f>
        <v>#REF!</v>
      </c>
      <c r="N468" s="61" t="e">
        <f t="shared" si="59"/>
        <v>#REF!</v>
      </c>
      <c r="O468" s="60" t="e">
        <f>#REF!</f>
        <v>#REF!</v>
      </c>
      <c r="P468" s="61" t="e">
        <f>IF(O468&lt;0,Pricing!E468*$Q$5,0)</f>
        <v>#REF!</v>
      </c>
      <c r="Q468" s="61" t="e">
        <f t="shared" si="60"/>
        <v>#REF!</v>
      </c>
      <c r="R468" s="60" t="e">
        <f>#REF!</f>
        <v>#REF!</v>
      </c>
      <c r="S468" s="61" t="e">
        <f>IF(R468&lt;0,Pricing!E468*$T$5,0)</f>
        <v>#REF!</v>
      </c>
      <c r="T468" s="61" t="e">
        <f t="shared" si="61"/>
        <v>#REF!</v>
      </c>
    </row>
    <row r="469" spans="1:20" x14ac:dyDescent="0.25">
      <c r="A469" s="58">
        <f t="shared" si="62"/>
        <v>44550.24999999888</v>
      </c>
      <c r="B469" s="59">
        <f t="shared" si="63"/>
        <v>44550.291666665544</v>
      </c>
      <c r="C469" s="60" t="e">
        <f>#REF!</f>
        <v>#REF!</v>
      </c>
      <c r="D469" s="61" t="e">
        <f>IF(C469&gt;0,Pricing!E469*$E$5,0)</f>
        <v>#REF!</v>
      </c>
      <c r="E469" s="61" t="e">
        <f t="shared" si="56"/>
        <v>#REF!</v>
      </c>
      <c r="F469" s="60" t="e">
        <f>#REF!</f>
        <v>#REF!</v>
      </c>
      <c r="G469" s="61" t="e">
        <f>IF(F469&gt;0,Pricing!E469*$H$5,0)</f>
        <v>#REF!</v>
      </c>
      <c r="H469" s="61" t="e">
        <f t="shared" si="57"/>
        <v>#REF!</v>
      </c>
      <c r="I469" s="62" t="e">
        <f>#REF!</f>
        <v>#REF!</v>
      </c>
      <c r="J469" s="61" t="e">
        <f>IF(I469&gt;0,Pricing!E469*$K$5,0)</f>
        <v>#REF!</v>
      </c>
      <c r="K469" s="63" t="e">
        <f t="shared" si="58"/>
        <v>#REF!</v>
      </c>
      <c r="L469" s="64" t="e">
        <f>#REF!</f>
        <v>#REF!</v>
      </c>
      <c r="M469" s="61" t="e">
        <f>IF(L469&lt;0,Pricing!E469*$N$5,0)</f>
        <v>#REF!</v>
      </c>
      <c r="N469" s="61" t="e">
        <f t="shared" si="59"/>
        <v>#REF!</v>
      </c>
      <c r="O469" s="60" t="e">
        <f>#REF!</f>
        <v>#REF!</v>
      </c>
      <c r="P469" s="61" t="e">
        <f>IF(O469&lt;0,Pricing!E469*$Q$5,0)</f>
        <v>#REF!</v>
      </c>
      <c r="Q469" s="61" t="e">
        <f t="shared" si="60"/>
        <v>#REF!</v>
      </c>
      <c r="R469" s="60" t="e">
        <f>#REF!</f>
        <v>#REF!</v>
      </c>
      <c r="S469" s="61" t="e">
        <f>IF(R469&lt;0,Pricing!E469*$T$5,0)</f>
        <v>#REF!</v>
      </c>
      <c r="T469" s="61" t="e">
        <f t="shared" si="61"/>
        <v>#REF!</v>
      </c>
    </row>
    <row r="470" spans="1:20" x14ac:dyDescent="0.25">
      <c r="A470" s="58">
        <f t="shared" si="62"/>
        <v>44550.291666665544</v>
      </c>
      <c r="B470" s="59">
        <f t="shared" si="63"/>
        <v>44550.333333332208</v>
      </c>
      <c r="C470" s="60" t="e">
        <f>#REF!</f>
        <v>#REF!</v>
      </c>
      <c r="D470" s="61" t="e">
        <f>IF(C470&gt;0,Pricing!E470*$E$5,0)</f>
        <v>#REF!</v>
      </c>
      <c r="E470" s="61" t="e">
        <f t="shared" si="56"/>
        <v>#REF!</v>
      </c>
      <c r="F470" s="60" t="e">
        <f>#REF!</f>
        <v>#REF!</v>
      </c>
      <c r="G470" s="61" t="e">
        <f>IF(F470&gt;0,Pricing!E470*$H$5,0)</f>
        <v>#REF!</v>
      </c>
      <c r="H470" s="61" t="e">
        <f t="shared" si="57"/>
        <v>#REF!</v>
      </c>
      <c r="I470" s="62" t="e">
        <f>#REF!</f>
        <v>#REF!</v>
      </c>
      <c r="J470" s="61" t="e">
        <f>IF(I470&gt;0,Pricing!E470*$K$5,0)</f>
        <v>#REF!</v>
      </c>
      <c r="K470" s="63" t="e">
        <f t="shared" si="58"/>
        <v>#REF!</v>
      </c>
      <c r="L470" s="64" t="e">
        <f>#REF!</f>
        <v>#REF!</v>
      </c>
      <c r="M470" s="61" t="e">
        <f>IF(L470&lt;0,Pricing!E470*$N$5,0)</f>
        <v>#REF!</v>
      </c>
      <c r="N470" s="61" t="e">
        <f t="shared" si="59"/>
        <v>#REF!</v>
      </c>
      <c r="O470" s="60" t="e">
        <f>#REF!</f>
        <v>#REF!</v>
      </c>
      <c r="P470" s="61" t="e">
        <f>IF(O470&lt;0,Pricing!E470*$Q$5,0)</f>
        <v>#REF!</v>
      </c>
      <c r="Q470" s="61" t="e">
        <f t="shared" si="60"/>
        <v>#REF!</v>
      </c>
      <c r="R470" s="60" t="e">
        <f>#REF!</f>
        <v>#REF!</v>
      </c>
      <c r="S470" s="61" t="e">
        <f>IF(R470&lt;0,Pricing!E470*$T$5,0)</f>
        <v>#REF!</v>
      </c>
      <c r="T470" s="61" t="e">
        <f t="shared" si="61"/>
        <v>#REF!</v>
      </c>
    </row>
    <row r="471" spans="1:20" x14ac:dyDescent="0.25">
      <c r="A471" s="58">
        <f t="shared" si="62"/>
        <v>44550.333333332208</v>
      </c>
      <c r="B471" s="59">
        <f t="shared" si="63"/>
        <v>44550.374999998872</v>
      </c>
      <c r="C471" s="60" t="e">
        <f>#REF!</f>
        <v>#REF!</v>
      </c>
      <c r="D471" s="61" t="e">
        <f>IF(C471&gt;0,Pricing!E471*$E$5,0)</f>
        <v>#REF!</v>
      </c>
      <c r="E471" s="61" t="e">
        <f t="shared" si="56"/>
        <v>#REF!</v>
      </c>
      <c r="F471" s="60" t="e">
        <f>#REF!</f>
        <v>#REF!</v>
      </c>
      <c r="G471" s="61" t="e">
        <f>IF(F471&gt;0,Pricing!E471*$H$5,0)</f>
        <v>#REF!</v>
      </c>
      <c r="H471" s="61" t="e">
        <f t="shared" si="57"/>
        <v>#REF!</v>
      </c>
      <c r="I471" s="62" t="e">
        <f>#REF!</f>
        <v>#REF!</v>
      </c>
      <c r="J471" s="61" t="e">
        <f>IF(I471&gt;0,Pricing!E471*$K$5,0)</f>
        <v>#REF!</v>
      </c>
      <c r="K471" s="63" t="e">
        <f t="shared" si="58"/>
        <v>#REF!</v>
      </c>
      <c r="L471" s="64" t="e">
        <f>#REF!</f>
        <v>#REF!</v>
      </c>
      <c r="M471" s="61" t="e">
        <f>IF(L471&lt;0,Pricing!E471*$N$5,0)</f>
        <v>#REF!</v>
      </c>
      <c r="N471" s="61" t="e">
        <f t="shared" si="59"/>
        <v>#REF!</v>
      </c>
      <c r="O471" s="60" t="e">
        <f>#REF!</f>
        <v>#REF!</v>
      </c>
      <c r="P471" s="61" t="e">
        <f>IF(O471&lt;0,Pricing!E471*$Q$5,0)</f>
        <v>#REF!</v>
      </c>
      <c r="Q471" s="61" t="e">
        <f t="shared" si="60"/>
        <v>#REF!</v>
      </c>
      <c r="R471" s="60" t="e">
        <f>#REF!</f>
        <v>#REF!</v>
      </c>
      <c r="S471" s="61" t="e">
        <f>IF(R471&lt;0,Pricing!E471*$T$5,0)</f>
        <v>#REF!</v>
      </c>
      <c r="T471" s="61" t="e">
        <f t="shared" si="61"/>
        <v>#REF!</v>
      </c>
    </row>
    <row r="472" spans="1:20" x14ac:dyDescent="0.25">
      <c r="A472" s="58">
        <f t="shared" si="62"/>
        <v>44550.374999998872</v>
      </c>
      <c r="B472" s="59">
        <f t="shared" si="63"/>
        <v>44550.416666665536</v>
      </c>
      <c r="C472" s="60" t="e">
        <f>#REF!</f>
        <v>#REF!</v>
      </c>
      <c r="D472" s="61" t="e">
        <f>IF(C472&gt;0,Pricing!E472*$E$5,0)</f>
        <v>#REF!</v>
      </c>
      <c r="E472" s="61" t="e">
        <f t="shared" si="56"/>
        <v>#REF!</v>
      </c>
      <c r="F472" s="60" t="e">
        <f>#REF!</f>
        <v>#REF!</v>
      </c>
      <c r="G472" s="61" t="e">
        <f>IF(F472&gt;0,Pricing!E472*$H$5,0)</f>
        <v>#REF!</v>
      </c>
      <c r="H472" s="61" t="e">
        <f t="shared" si="57"/>
        <v>#REF!</v>
      </c>
      <c r="I472" s="62" t="e">
        <f>#REF!</f>
        <v>#REF!</v>
      </c>
      <c r="J472" s="61" t="e">
        <f>IF(I472&gt;0,Pricing!E472*$K$5,0)</f>
        <v>#REF!</v>
      </c>
      <c r="K472" s="63" t="e">
        <f t="shared" si="58"/>
        <v>#REF!</v>
      </c>
      <c r="L472" s="64" t="e">
        <f>#REF!</f>
        <v>#REF!</v>
      </c>
      <c r="M472" s="61" t="e">
        <f>IF(L472&lt;0,Pricing!E472*$N$5,0)</f>
        <v>#REF!</v>
      </c>
      <c r="N472" s="61" t="e">
        <f t="shared" si="59"/>
        <v>#REF!</v>
      </c>
      <c r="O472" s="60" t="e">
        <f>#REF!</f>
        <v>#REF!</v>
      </c>
      <c r="P472" s="61" t="e">
        <f>IF(O472&lt;0,Pricing!E472*$Q$5,0)</f>
        <v>#REF!</v>
      </c>
      <c r="Q472" s="61" t="e">
        <f t="shared" si="60"/>
        <v>#REF!</v>
      </c>
      <c r="R472" s="60" t="e">
        <f>#REF!</f>
        <v>#REF!</v>
      </c>
      <c r="S472" s="61" t="e">
        <f>IF(R472&lt;0,Pricing!E472*$T$5,0)</f>
        <v>#REF!</v>
      </c>
      <c r="T472" s="61" t="e">
        <f t="shared" si="61"/>
        <v>#REF!</v>
      </c>
    </row>
    <row r="473" spans="1:20" x14ac:dyDescent="0.25">
      <c r="A473" s="58">
        <f t="shared" si="62"/>
        <v>44550.416666665536</v>
      </c>
      <c r="B473" s="59">
        <f t="shared" si="63"/>
        <v>44550.458333332201</v>
      </c>
      <c r="C473" s="60" t="e">
        <f>#REF!</f>
        <v>#REF!</v>
      </c>
      <c r="D473" s="61" t="e">
        <f>IF(C473&gt;0,Pricing!E473*$E$5,0)</f>
        <v>#REF!</v>
      </c>
      <c r="E473" s="61" t="e">
        <f t="shared" si="56"/>
        <v>#REF!</v>
      </c>
      <c r="F473" s="60" t="e">
        <f>#REF!</f>
        <v>#REF!</v>
      </c>
      <c r="G473" s="61" t="e">
        <f>IF(F473&gt;0,Pricing!E473*$H$5,0)</f>
        <v>#REF!</v>
      </c>
      <c r="H473" s="61" t="e">
        <f t="shared" si="57"/>
        <v>#REF!</v>
      </c>
      <c r="I473" s="62" t="e">
        <f>#REF!</f>
        <v>#REF!</v>
      </c>
      <c r="J473" s="61" t="e">
        <f>IF(I473&gt;0,Pricing!E473*$K$5,0)</f>
        <v>#REF!</v>
      </c>
      <c r="K473" s="63" t="e">
        <f t="shared" si="58"/>
        <v>#REF!</v>
      </c>
      <c r="L473" s="64" t="e">
        <f>#REF!</f>
        <v>#REF!</v>
      </c>
      <c r="M473" s="61" t="e">
        <f>IF(L473&lt;0,Pricing!E473*$N$5,0)</f>
        <v>#REF!</v>
      </c>
      <c r="N473" s="61" t="e">
        <f t="shared" si="59"/>
        <v>#REF!</v>
      </c>
      <c r="O473" s="60" t="e">
        <f>#REF!</f>
        <v>#REF!</v>
      </c>
      <c r="P473" s="61" t="e">
        <f>IF(O473&lt;0,Pricing!E473*$Q$5,0)</f>
        <v>#REF!</v>
      </c>
      <c r="Q473" s="61" t="e">
        <f t="shared" si="60"/>
        <v>#REF!</v>
      </c>
      <c r="R473" s="60" t="e">
        <f>#REF!</f>
        <v>#REF!</v>
      </c>
      <c r="S473" s="61" t="e">
        <f>IF(R473&lt;0,Pricing!E473*$T$5,0)</f>
        <v>#REF!</v>
      </c>
      <c r="T473" s="61" t="e">
        <f t="shared" si="61"/>
        <v>#REF!</v>
      </c>
    </row>
    <row r="474" spans="1:20" x14ac:dyDescent="0.25">
      <c r="A474" s="58">
        <f t="shared" si="62"/>
        <v>44550.458333332201</v>
      </c>
      <c r="B474" s="59">
        <f t="shared" si="63"/>
        <v>44550.499999998865</v>
      </c>
      <c r="C474" s="60" t="e">
        <f>#REF!</f>
        <v>#REF!</v>
      </c>
      <c r="D474" s="61" t="e">
        <f>IF(C474&gt;0,Pricing!E474*$E$5,0)</f>
        <v>#REF!</v>
      </c>
      <c r="E474" s="61" t="e">
        <f t="shared" si="56"/>
        <v>#REF!</v>
      </c>
      <c r="F474" s="60" t="e">
        <f>#REF!</f>
        <v>#REF!</v>
      </c>
      <c r="G474" s="61" t="e">
        <f>IF(F474&gt;0,Pricing!E474*$H$5,0)</f>
        <v>#REF!</v>
      </c>
      <c r="H474" s="61" t="e">
        <f t="shared" si="57"/>
        <v>#REF!</v>
      </c>
      <c r="I474" s="62" t="e">
        <f>#REF!</f>
        <v>#REF!</v>
      </c>
      <c r="J474" s="61" t="e">
        <f>IF(I474&gt;0,Pricing!E474*$K$5,0)</f>
        <v>#REF!</v>
      </c>
      <c r="K474" s="63" t="e">
        <f t="shared" si="58"/>
        <v>#REF!</v>
      </c>
      <c r="L474" s="64" t="e">
        <f>#REF!</f>
        <v>#REF!</v>
      </c>
      <c r="M474" s="61" t="e">
        <f>IF(L474&lt;0,Pricing!E474*$N$5,0)</f>
        <v>#REF!</v>
      </c>
      <c r="N474" s="61" t="e">
        <f t="shared" si="59"/>
        <v>#REF!</v>
      </c>
      <c r="O474" s="60" t="e">
        <f>#REF!</f>
        <v>#REF!</v>
      </c>
      <c r="P474" s="61" t="e">
        <f>IF(O474&lt;0,Pricing!E474*$Q$5,0)</f>
        <v>#REF!</v>
      </c>
      <c r="Q474" s="61" t="e">
        <f t="shared" si="60"/>
        <v>#REF!</v>
      </c>
      <c r="R474" s="60" t="e">
        <f>#REF!</f>
        <v>#REF!</v>
      </c>
      <c r="S474" s="61" t="e">
        <f>IF(R474&lt;0,Pricing!E474*$T$5,0)</f>
        <v>#REF!</v>
      </c>
      <c r="T474" s="61" t="e">
        <f t="shared" si="61"/>
        <v>#REF!</v>
      </c>
    </row>
    <row r="475" spans="1:20" x14ac:dyDescent="0.25">
      <c r="A475" s="58">
        <f t="shared" si="62"/>
        <v>44550.499999998865</v>
      </c>
      <c r="B475" s="59">
        <f t="shared" si="63"/>
        <v>44550.541666665529</v>
      </c>
      <c r="C475" s="60" t="e">
        <f>#REF!</f>
        <v>#REF!</v>
      </c>
      <c r="D475" s="61" t="e">
        <f>IF(C475&gt;0,Pricing!E475*$E$5,0)</f>
        <v>#REF!</v>
      </c>
      <c r="E475" s="61" t="e">
        <f t="shared" si="56"/>
        <v>#REF!</v>
      </c>
      <c r="F475" s="60" t="e">
        <f>#REF!</f>
        <v>#REF!</v>
      </c>
      <c r="G475" s="61" t="e">
        <f>IF(F475&gt;0,Pricing!E475*$H$5,0)</f>
        <v>#REF!</v>
      </c>
      <c r="H475" s="61" t="e">
        <f t="shared" si="57"/>
        <v>#REF!</v>
      </c>
      <c r="I475" s="62" t="e">
        <f>#REF!</f>
        <v>#REF!</v>
      </c>
      <c r="J475" s="61" t="e">
        <f>IF(I475&gt;0,Pricing!E475*$K$5,0)</f>
        <v>#REF!</v>
      </c>
      <c r="K475" s="63" t="e">
        <f t="shared" si="58"/>
        <v>#REF!</v>
      </c>
      <c r="L475" s="64" t="e">
        <f>#REF!</f>
        <v>#REF!</v>
      </c>
      <c r="M475" s="61" t="e">
        <f>IF(L475&lt;0,Pricing!E475*$N$5,0)</f>
        <v>#REF!</v>
      </c>
      <c r="N475" s="61" t="e">
        <f t="shared" si="59"/>
        <v>#REF!</v>
      </c>
      <c r="O475" s="60" t="e">
        <f>#REF!</f>
        <v>#REF!</v>
      </c>
      <c r="P475" s="61" t="e">
        <f>IF(O475&lt;0,Pricing!E475*$Q$5,0)</f>
        <v>#REF!</v>
      </c>
      <c r="Q475" s="61" t="e">
        <f t="shared" si="60"/>
        <v>#REF!</v>
      </c>
      <c r="R475" s="60" t="e">
        <f>#REF!</f>
        <v>#REF!</v>
      </c>
      <c r="S475" s="61" t="e">
        <f>IF(R475&lt;0,Pricing!E475*$T$5,0)</f>
        <v>#REF!</v>
      </c>
      <c r="T475" s="61" t="e">
        <f t="shared" si="61"/>
        <v>#REF!</v>
      </c>
    </row>
    <row r="476" spans="1:20" x14ac:dyDescent="0.25">
      <c r="A476" s="58">
        <f t="shared" si="62"/>
        <v>44550.541666665529</v>
      </c>
      <c r="B476" s="59">
        <f t="shared" si="63"/>
        <v>44550.583333332193</v>
      </c>
      <c r="C476" s="60" t="e">
        <f>#REF!</f>
        <v>#REF!</v>
      </c>
      <c r="D476" s="61" t="e">
        <f>IF(C476&gt;0,Pricing!E476*$E$5,0)</f>
        <v>#REF!</v>
      </c>
      <c r="E476" s="61" t="e">
        <f t="shared" si="56"/>
        <v>#REF!</v>
      </c>
      <c r="F476" s="60" t="e">
        <f>#REF!</f>
        <v>#REF!</v>
      </c>
      <c r="G476" s="61" t="e">
        <f>IF(F476&gt;0,Pricing!E476*$H$5,0)</f>
        <v>#REF!</v>
      </c>
      <c r="H476" s="61" t="e">
        <f t="shared" si="57"/>
        <v>#REF!</v>
      </c>
      <c r="I476" s="62" t="e">
        <f>#REF!</f>
        <v>#REF!</v>
      </c>
      <c r="J476" s="61" t="e">
        <f>IF(I476&gt;0,Pricing!E476*$K$5,0)</f>
        <v>#REF!</v>
      </c>
      <c r="K476" s="63" t="e">
        <f t="shared" si="58"/>
        <v>#REF!</v>
      </c>
      <c r="L476" s="64" t="e">
        <f>#REF!</f>
        <v>#REF!</v>
      </c>
      <c r="M476" s="61" t="e">
        <f>IF(L476&lt;0,Pricing!E476*$N$5,0)</f>
        <v>#REF!</v>
      </c>
      <c r="N476" s="61" t="e">
        <f t="shared" si="59"/>
        <v>#REF!</v>
      </c>
      <c r="O476" s="60" t="e">
        <f>#REF!</f>
        <v>#REF!</v>
      </c>
      <c r="P476" s="61" t="e">
        <f>IF(O476&lt;0,Pricing!E476*$Q$5,0)</f>
        <v>#REF!</v>
      </c>
      <c r="Q476" s="61" t="e">
        <f t="shared" si="60"/>
        <v>#REF!</v>
      </c>
      <c r="R476" s="60" t="e">
        <f>#REF!</f>
        <v>#REF!</v>
      </c>
      <c r="S476" s="61" t="e">
        <f>IF(R476&lt;0,Pricing!E476*$T$5,0)</f>
        <v>#REF!</v>
      </c>
      <c r="T476" s="61" t="e">
        <f t="shared" si="61"/>
        <v>#REF!</v>
      </c>
    </row>
    <row r="477" spans="1:20" x14ac:dyDescent="0.25">
      <c r="A477" s="58">
        <f t="shared" si="62"/>
        <v>44550.583333332193</v>
      </c>
      <c r="B477" s="59">
        <f t="shared" si="63"/>
        <v>44550.624999998858</v>
      </c>
      <c r="C477" s="60" t="e">
        <f>#REF!</f>
        <v>#REF!</v>
      </c>
      <c r="D477" s="61" t="e">
        <f>IF(C477&gt;0,Pricing!E477*$E$5,0)</f>
        <v>#REF!</v>
      </c>
      <c r="E477" s="61" t="e">
        <f t="shared" si="56"/>
        <v>#REF!</v>
      </c>
      <c r="F477" s="60" t="e">
        <f>#REF!</f>
        <v>#REF!</v>
      </c>
      <c r="G477" s="61" t="e">
        <f>IF(F477&gt;0,Pricing!E477*$H$5,0)</f>
        <v>#REF!</v>
      </c>
      <c r="H477" s="61" t="e">
        <f t="shared" si="57"/>
        <v>#REF!</v>
      </c>
      <c r="I477" s="62" t="e">
        <f>#REF!</f>
        <v>#REF!</v>
      </c>
      <c r="J477" s="61" t="e">
        <f>IF(I477&gt;0,Pricing!E477*$K$5,0)</f>
        <v>#REF!</v>
      </c>
      <c r="K477" s="63" t="e">
        <f t="shared" si="58"/>
        <v>#REF!</v>
      </c>
      <c r="L477" s="64" t="e">
        <f>#REF!</f>
        <v>#REF!</v>
      </c>
      <c r="M477" s="61" t="e">
        <f>IF(L477&lt;0,Pricing!E477*$N$5,0)</f>
        <v>#REF!</v>
      </c>
      <c r="N477" s="61" t="e">
        <f t="shared" si="59"/>
        <v>#REF!</v>
      </c>
      <c r="O477" s="60" t="e">
        <f>#REF!</f>
        <v>#REF!</v>
      </c>
      <c r="P477" s="61" t="e">
        <f>IF(O477&lt;0,Pricing!E477*$Q$5,0)</f>
        <v>#REF!</v>
      </c>
      <c r="Q477" s="61" t="e">
        <f t="shared" si="60"/>
        <v>#REF!</v>
      </c>
      <c r="R477" s="60" t="e">
        <f>#REF!</f>
        <v>#REF!</v>
      </c>
      <c r="S477" s="61" t="e">
        <f>IF(R477&lt;0,Pricing!E477*$T$5,0)</f>
        <v>#REF!</v>
      </c>
      <c r="T477" s="61" t="e">
        <f t="shared" si="61"/>
        <v>#REF!</v>
      </c>
    </row>
    <row r="478" spans="1:20" x14ac:dyDescent="0.25">
      <c r="A478" s="58">
        <f t="shared" si="62"/>
        <v>44550.624999998858</v>
      </c>
      <c r="B478" s="59">
        <f t="shared" si="63"/>
        <v>44550.666666665522</v>
      </c>
      <c r="C478" s="60" t="e">
        <f>#REF!</f>
        <v>#REF!</v>
      </c>
      <c r="D478" s="61" t="e">
        <f>IF(C478&gt;0,Pricing!E478*$E$5,0)</f>
        <v>#REF!</v>
      </c>
      <c r="E478" s="61" t="e">
        <f t="shared" si="56"/>
        <v>#REF!</v>
      </c>
      <c r="F478" s="60" t="e">
        <f>#REF!</f>
        <v>#REF!</v>
      </c>
      <c r="G478" s="61" t="e">
        <f>IF(F478&gt;0,Pricing!E478*$H$5,0)</f>
        <v>#REF!</v>
      </c>
      <c r="H478" s="61" t="e">
        <f t="shared" si="57"/>
        <v>#REF!</v>
      </c>
      <c r="I478" s="62" t="e">
        <f>#REF!</f>
        <v>#REF!</v>
      </c>
      <c r="J478" s="61" t="e">
        <f>IF(I478&gt;0,Pricing!E478*$K$5,0)</f>
        <v>#REF!</v>
      </c>
      <c r="K478" s="63" t="e">
        <f t="shared" si="58"/>
        <v>#REF!</v>
      </c>
      <c r="L478" s="64" t="e">
        <f>#REF!</f>
        <v>#REF!</v>
      </c>
      <c r="M478" s="61" t="e">
        <f>IF(L478&lt;0,Pricing!E478*$N$5,0)</f>
        <v>#REF!</v>
      </c>
      <c r="N478" s="61" t="e">
        <f t="shared" si="59"/>
        <v>#REF!</v>
      </c>
      <c r="O478" s="60" t="e">
        <f>#REF!</f>
        <v>#REF!</v>
      </c>
      <c r="P478" s="61" t="e">
        <f>IF(O478&lt;0,Pricing!E478*$Q$5,0)</f>
        <v>#REF!</v>
      </c>
      <c r="Q478" s="61" t="e">
        <f t="shared" si="60"/>
        <v>#REF!</v>
      </c>
      <c r="R478" s="60" t="e">
        <f>#REF!</f>
        <v>#REF!</v>
      </c>
      <c r="S478" s="61" t="e">
        <f>IF(R478&lt;0,Pricing!E478*$T$5,0)</f>
        <v>#REF!</v>
      </c>
      <c r="T478" s="61" t="e">
        <f t="shared" si="61"/>
        <v>#REF!</v>
      </c>
    </row>
    <row r="479" spans="1:20" x14ac:dyDescent="0.25">
      <c r="A479" s="58">
        <f t="shared" si="62"/>
        <v>44550.666666665522</v>
      </c>
      <c r="B479" s="59">
        <f t="shared" si="63"/>
        <v>44550.708333332186</v>
      </c>
      <c r="C479" s="60" t="e">
        <f>#REF!</f>
        <v>#REF!</v>
      </c>
      <c r="D479" s="61" t="e">
        <f>IF(C479&gt;0,Pricing!E479*$E$5,0)</f>
        <v>#REF!</v>
      </c>
      <c r="E479" s="61" t="e">
        <f t="shared" si="56"/>
        <v>#REF!</v>
      </c>
      <c r="F479" s="60" t="e">
        <f>#REF!</f>
        <v>#REF!</v>
      </c>
      <c r="G479" s="61" t="e">
        <f>IF(F479&gt;0,Pricing!E479*$H$5,0)</f>
        <v>#REF!</v>
      </c>
      <c r="H479" s="61" t="e">
        <f t="shared" si="57"/>
        <v>#REF!</v>
      </c>
      <c r="I479" s="62" t="e">
        <f>#REF!</f>
        <v>#REF!</v>
      </c>
      <c r="J479" s="61" t="e">
        <f>IF(I479&gt;0,Pricing!E479*$K$5,0)</f>
        <v>#REF!</v>
      </c>
      <c r="K479" s="63" t="e">
        <f t="shared" si="58"/>
        <v>#REF!</v>
      </c>
      <c r="L479" s="64" t="e">
        <f>#REF!</f>
        <v>#REF!</v>
      </c>
      <c r="M479" s="61" t="e">
        <f>IF(L479&lt;0,Pricing!E479*$N$5,0)</f>
        <v>#REF!</v>
      </c>
      <c r="N479" s="61" t="e">
        <f t="shared" si="59"/>
        <v>#REF!</v>
      </c>
      <c r="O479" s="60" t="e">
        <f>#REF!</f>
        <v>#REF!</v>
      </c>
      <c r="P479" s="61" t="e">
        <f>IF(O479&lt;0,Pricing!E479*$Q$5,0)</f>
        <v>#REF!</v>
      </c>
      <c r="Q479" s="61" t="e">
        <f t="shared" si="60"/>
        <v>#REF!</v>
      </c>
      <c r="R479" s="60" t="e">
        <f>#REF!</f>
        <v>#REF!</v>
      </c>
      <c r="S479" s="61" t="e">
        <f>IF(R479&lt;0,Pricing!E479*$T$5,0)</f>
        <v>#REF!</v>
      </c>
      <c r="T479" s="61" t="e">
        <f t="shared" si="61"/>
        <v>#REF!</v>
      </c>
    </row>
    <row r="480" spans="1:20" x14ac:dyDescent="0.25">
      <c r="A480" s="58">
        <f t="shared" si="62"/>
        <v>44550.708333332186</v>
      </c>
      <c r="B480" s="59">
        <f t="shared" si="63"/>
        <v>44550.74999999885</v>
      </c>
      <c r="C480" s="60" t="e">
        <f>#REF!</f>
        <v>#REF!</v>
      </c>
      <c r="D480" s="61" t="e">
        <f>IF(C480&gt;0,Pricing!E480*$E$5,0)</f>
        <v>#REF!</v>
      </c>
      <c r="E480" s="61" t="e">
        <f t="shared" si="56"/>
        <v>#REF!</v>
      </c>
      <c r="F480" s="60" t="e">
        <f>#REF!</f>
        <v>#REF!</v>
      </c>
      <c r="G480" s="61" t="e">
        <f>IF(F480&gt;0,Pricing!E480*$H$5,0)</f>
        <v>#REF!</v>
      </c>
      <c r="H480" s="61" t="e">
        <f t="shared" si="57"/>
        <v>#REF!</v>
      </c>
      <c r="I480" s="62" t="e">
        <f>#REF!</f>
        <v>#REF!</v>
      </c>
      <c r="J480" s="61" t="e">
        <f>IF(I480&gt;0,Pricing!E480*$K$5,0)</f>
        <v>#REF!</v>
      </c>
      <c r="K480" s="63" t="e">
        <f t="shared" si="58"/>
        <v>#REF!</v>
      </c>
      <c r="L480" s="64" t="e">
        <f>#REF!</f>
        <v>#REF!</v>
      </c>
      <c r="M480" s="61" t="e">
        <f>IF(L480&lt;0,Pricing!E480*$N$5,0)</f>
        <v>#REF!</v>
      </c>
      <c r="N480" s="61" t="e">
        <f t="shared" si="59"/>
        <v>#REF!</v>
      </c>
      <c r="O480" s="60" t="e">
        <f>#REF!</f>
        <v>#REF!</v>
      </c>
      <c r="P480" s="61" t="e">
        <f>IF(O480&lt;0,Pricing!E480*$Q$5,0)</f>
        <v>#REF!</v>
      </c>
      <c r="Q480" s="61" t="e">
        <f t="shared" si="60"/>
        <v>#REF!</v>
      </c>
      <c r="R480" s="60" t="e">
        <f>#REF!</f>
        <v>#REF!</v>
      </c>
      <c r="S480" s="61" t="e">
        <f>IF(R480&lt;0,Pricing!E480*$T$5,0)</f>
        <v>#REF!</v>
      </c>
      <c r="T480" s="61" t="e">
        <f t="shared" si="61"/>
        <v>#REF!</v>
      </c>
    </row>
    <row r="481" spans="1:20" x14ac:dyDescent="0.25">
      <c r="A481" s="58">
        <f t="shared" si="62"/>
        <v>44550.74999999885</v>
      </c>
      <c r="B481" s="59">
        <f t="shared" si="63"/>
        <v>44550.791666665515</v>
      </c>
      <c r="C481" s="60" t="e">
        <f>#REF!</f>
        <v>#REF!</v>
      </c>
      <c r="D481" s="61" t="e">
        <f>IF(C481&gt;0,Pricing!E481*$E$5,0)</f>
        <v>#REF!</v>
      </c>
      <c r="E481" s="61" t="e">
        <f t="shared" si="56"/>
        <v>#REF!</v>
      </c>
      <c r="F481" s="60" t="e">
        <f>#REF!</f>
        <v>#REF!</v>
      </c>
      <c r="G481" s="61" t="e">
        <f>IF(F481&gt;0,Pricing!E481*$H$5,0)</f>
        <v>#REF!</v>
      </c>
      <c r="H481" s="61" t="e">
        <f t="shared" si="57"/>
        <v>#REF!</v>
      </c>
      <c r="I481" s="62" t="e">
        <f>#REF!</f>
        <v>#REF!</v>
      </c>
      <c r="J481" s="61" t="e">
        <f>IF(I481&gt;0,Pricing!E481*$K$5,0)</f>
        <v>#REF!</v>
      </c>
      <c r="K481" s="63" t="e">
        <f t="shared" si="58"/>
        <v>#REF!</v>
      </c>
      <c r="L481" s="64" t="e">
        <f>#REF!</f>
        <v>#REF!</v>
      </c>
      <c r="M481" s="61" t="e">
        <f>IF(L481&lt;0,Pricing!E481*$N$5,0)</f>
        <v>#REF!</v>
      </c>
      <c r="N481" s="61" t="e">
        <f t="shared" si="59"/>
        <v>#REF!</v>
      </c>
      <c r="O481" s="60" t="e">
        <f>#REF!</f>
        <v>#REF!</v>
      </c>
      <c r="P481" s="61" t="e">
        <f>IF(O481&lt;0,Pricing!E481*$Q$5,0)</f>
        <v>#REF!</v>
      </c>
      <c r="Q481" s="61" t="e">
        <f t="shared" si="60"/>
        <v>#REF!</v>
      </c>
      <c r="R481" s="60" t="e">
        <f>#REF!</f>
        <v>#REF!</v>
      </c>
      <c r="S481" s="61" t="e">
        <f>IF(R481&lt;0,Pricing!E481*$T$5,0)</f>
        <v>#REF!</v>
      </c>
      <c r="T481" s="61" t="e">
        <f t="shared" si="61"/>
        <v>#REF!</v>
      </c>
    </row>
    <row r="482" spans="1:20" x14ac:dyDescent="0.25">
      <c r="A482" s="58">
        <f t="shared" si="62"/>
        <v>44550.791666665515</v>
      </c>
      <c r="B482" s="59">
        <f t="shared" si="63"/>
        <v>44550.833333332179</v>
      </c>
      <c r="C482" s="60" t="e">
        <f>#REF!</f>
        <v>#REF!</v>
      </c>
      <c r="D482" s="61" t="e">
        <f>IF(C482&gt;0,Pricing!E482*$E$5,0)</f>
        <v>#REF!</v>
      </c>
      <c r="E482" s="61" t="e">
        <f t="shared" si="56"/>
        <v>#REF!</v>
      </c>
      <c r="F482" s="60" t="e">
        <f>#REF!</f>
        <v>#REF!</v>
      </c>
      <c r="G482" s="61" t="e">
        <f>IF(F482&gt;0,Pricing!E482*$H$5,0)</f>
        <v>#REF!</v>
      </c>
      <c r="H482" s="61" t="e">
        <f t="shared" si="57"/>
        <v>#REF!</v>
      </c>
      <c r="I482" s="62" t="e">
        <f>#REF!</f>
        <v>#REF!</v>
      </c>
      <c r="J482" s="61" t="e">
        <f>IF(I482&gt;0,Pricing!E482*$K$5,0)</f>
        <v>#REF!</v>
      </c>
      <c r="K482" s="63" t="e">
        <f t="shared" si="58"/>
        <v>#REF!</v>
      </c>
      <c r="L482" s="64" t="e">
        <f>#REF!</f>
        <v>#REF!</v>
      </c>
      <c r="M482" s="61" t="e">
        <f>IF(L482&lt;0,Pricing!E482*$N$5,0)</f>
        <v>#REF!</v>
      </c>
      <c r="N482" s="61" t="e">
        <f t="shared" si="59"/>
        <v>#REF!</v>
      </c>
      <c r="O482" s="60" t="e">
        <f>#REF!</f>
        <v>#REF!</v>
      </c>
      <c r="P482" s="61" t="e">
        <f>IF(O482&lt;0,Pricing!E482*$Q$5,0)</f>
        <v>#REF!</v>
      </c>
      <c r="Q482" s="61" t="e">
        <f t="shared" si="60"/>
        <v>#REF!</v>
      </c>
      <c r="R482" s="60" t="e">
        <f>#REF!</f>
        <v>#REF!</v>
      </c>
      <c r="S482" s="61" t="e">
        <f>IF(R482&lt;0,Pricing!E482*$T$5,0)</f>
        <v>#REF!</v>
      </c>
      <c r="T482" s="61" t="e">
        <f t="shared" si="61"/>
        <v>#REF!</v>
      </c>
    </row>
    <row r="483" spans="1:20" x14ac:dyDescent="0.25">
      <c r="A483" s="58">
        <f t="shared" si="62"/>
        <v>44550.833333332179</v>
      </c>
      <c r="B483" s="59">
        <f t="shared" si="63"/>
        <v>44550.874999998843</v>
      </c>
      <c r="C483" s="60" t="e">
        <f>#REF!</f>
        <v>#REF!</v>
      </c>
      <c r="D483" s="61" t="e">
        <f>IF(C483&gt;0,Pricing!E483*$E$5,0)</f>
        <v>#REF!</v>
      </c>
      <c r="E483" s="61" t="e">
        <f t="shared" si="56"/>
        <v>#REF!</v>
      </c>
      <c r="F483" s="60" t="e">
        <f>#REF!</f>
        <v>#REF!</v>
      </c>
      <c r="G483" s="61" t="e">
        <f>IF(F483&gt;0,Pricing!E483*$H$5,0)</f>
        <v>#REF!</v>
      </c>
      <c r="H483" s="61" t="e">
        <f t="shared" si="57"/>
        <v>#REF!</v>
      </c>
      <c r="I483" s="62" t="e">
        <f>#REF!</f>
        <v>#REF!</v>
      </c>
      <c r="J483" s="61" t="e">
        <f>IF(I483&gt;0,Pricing!E483*$K$5,0)</f>
        <v>#REF!</v>
      </c>
      <c r="K483" s="63" t="e">
        <f t="shared" si="58"/>
        <v>#REF!</v>
      </c>
      <c r="L483" s="64" t="e">
        <f>#REF!</f>
        <v>#REF!</v>
      </c>
      <c r="M483" s="61" t="e">
        <f>IF(L483&lt;0,Pricing!E483*$N$5,0)</f>
        <v>#REF!</v>
      </c>
      <c r="N483" s="61" t="e">
        <f t="shared" si="59"/>
        <v>#REF!</v>
      </c>
      <c r="O483" s="60" t="e">
        <f>#REF!</f>
        <v>#REF!</v>
      </c>
      <c r="P483" s="61" t="e">
        <f>IF(O483&lt;0,Pricing!E483*$Q$5,0)</f>
        <v>#REF!</v>
      </c>
      <c r="Q483" s="61" t="e">
        <f t="shared" si="60"/>
        <v>#REF!</v>
      </c>
      <c r="R483" s="60" t="e">
        <f>#REF!</f>
        <v>#REF!</v>
      </c>
      <c r="S483" s="61" t="e">
        <f>IF(R483&lt;0,Pricing!E483*$T$5,0)</f>
        <v>#REF!</v>
      </c>
      <c r="T483" s="61" t="e">
        <f t="shared" si="61"/>
        <v>#REF!</v>
      </c>
    </row>
    <row r="484" spans="1:20" x14ac:dyDescent="0.25">
      <c r="A484" s="58">
        <f t="shared" si="62"/>
        <v>44550.874999998843</v>
      </c>
      <c r="B484" s="59">
        <f t="shared" si="63"/>
        <v>44550.916666665507</v>
      </c>
      <c r="C484" s="60" t="e">
        <f>#REF!</f>
        <v>#REF!</v>
      </c>
      <c r="D484" s="61" t="e">
        <f>IF(C484&gt;0,Pricing!E484*$E$5,0)</f>
        <v>#REF!</v>
      </c>
      <c r="E484" s="61" t="e">
        <f t="shared" si="56"/>
        <v>#REF!</v>
      </c>
      <c r="F484" s="60" t="e">
        <f>#REF!</f>
        <v>#REF!</v>
      </c>
      <c r="G484" s="61" t="e">
        <f>IF(F484&gt;0,Pricing!E484*$H$5,0)</f>
        <v>#REF!</v>
      </c>
      <c r="H484" s="61" t="e">
        <f t="shared" si="57"/>
        <v>#REF!</v>
      </c>
      <c r="I484" s="62" t="e">
        <f>#REF!</f>
        <v>#REF!</v>
      </c>
      <c r="J484" s="61" t="e">
        <f>IF(I484&gt;0,Pricing!E484*$K$5,0)</f>
        <v>#REF!</v>
      </c>
      <c r="K484" s="63" t="e">
        <f t="shared" si="58"/>
        <v>#REF!</v>
      </c>
      <c r="L484" s="64" t="e">
        <f>#REF!</f>
        <v>#REF!</v>
      </c>
      <c r="M484" s="61" t="e">
        <f>IF(L484&lt;0,Pricing!E484*$N$5,0)</f>
        <v>#REF!</v>
      </c>
      <c r="N484" s="61" t="e">
        <f t="shared" si="59"/>
        <v>#REF!</v>
      </c>
      <c r="O484" s="60" t="e">
        <f>#REF!</f>
        <v>#REF!</v>
      </c>
      <c r="P484" s="61" t="e">
        <f>IF(O484&lt;0,Pricing!E484*$Q$5,0)</f>
        <v>#REF!</v>
      </c>
      <c r="Q484" s="61" t="e">
        <f t="shared" si="60"/>
        <v>#REF!</v>
      </c>
      <c r="R484" s="60" t="e">
        <f>#REF!</f>
        <v>#REF!</v>
      </c>
      <c r="S484" s="61" t="e">
        <f>IF(R484&lt;0,Pricing!E484*$T$5,0)</f>
        <v>#REF!</v>
      </c>
      <c r="T484" s="61" t="e">
        <f t="shared" si="61"/>
        <v>#REF!</v>
      </c>
    </row>
    <row r="485" spans="1:20" x14ac:dyDescent="0.25">
      <c r="A485" s="58">
        <f t="shared" si="62"/>
        <v>44550.916666665507</v>
      </c>
      <c r="B485" s="59">
        <f t="shared" si="63"/>
        <v>44550.958333332172</v>
      </c>
      <c r="C485" s="60" t="e">
        <f>#REF!</f>
        <v>#REF!</v>
      </c>
      <c r="D485" s="61" t="e">
        <f>IF(C485&gt;0,Pricing!E485*$E$5,0)</f>
        <v>#REF!</v>
      </c>
      <c r="E485" s="61" t="e">
        <f t="shared" si="56"/>
        <v>#REF!</v>
      </c>
      <c r="F485" s="60" t="e">
        <f>#REF!</f>
        <v>#REF!</v>
      </c>
      <c r="G485" s="61" t="e">
        <f>IF(F485&gt;0,Pricing!E485*$H$5,0)</f>
        <v>#REF!</v>
      </c>
      <c r="H485" s="61" t="e">
        <f t="shared" si="57"/>
        <v>#REF!</v>
      </c>
      <c r="I485" s="62" t="e">
        <f>#REF!</f>
        <v>#REF!</v>
      </c>
      <c r="J485" s="61" t="e">
        <f>IF(I485&gt;0,Pricing!E485*$K$5,0)</f>
        <v>#REF!</v>
      </c>
      <c r="K485" s="63" t="e">
        <f t="shared" si="58"/>
        <v>#REF!</v>
      </c>
      <c r="L485" s="64" t="e">
        <f>#REF!</f>
        <v>#REF!</v>
      </c>
      <c r="M485" s="61" t="e">
        <f>IF(L485&lt;0,Pricing!E485*$N$5,0)</f>
        <v>#REF!</v>
      </c>
      <c r="N485" s="61" t="e">
        <f t="shared" si="59"/>
        <v>#REF!</v>
      </c>
      <c r="O485" s="60" t="e">
        <f>#REF!</f>
        <v>#REF!</v>
      </c>
      <c r="P485" s="61" t="e">
        <f>IF(O485&lt;0,Pricing!E485*$Q$5,0)</f>
        <v>#REF!</v>
      </c>
      <c r="Q485" s="61" t="e">
        <f t="shared" si="60"/>
        <v>#REF!</v>
      </c>
      <c r="R485" s="60" t="e">
        <f>#REF!</f>
        <v>#REF!</v>
      </c>
      <c r="S485" s="61" t="e">
        <f>IF(R485&lt;0,Pricing!E485*$T$5,0)</f>
        <v>#REF!</v>
      </c>
      <c r="T485" s="61" t="e">
        <f t="shared" si="61"/>
        <v>#REF!</v>
      </c>
    </row>
    <row r="486" spans="1:20" x14ac:dyDescent="0.25">
      <c r="A486" s="58">
        <f t="shared" si="62"/>
        <v>44550.958333332172</v>
      </c>
      <c r="B486" s="59">
        <f t="shared" si="63"/>
        <v>44550.999999998836</v>
      </c>
      <c r="C486" s="60" t="e">
        <f>#REF!</f>
        <v>#REF!</v>
      </c>
      <c r="D486" s="61" t="e">
        <f>IF(C486&gt;0,Pricing!E486*$E$5,0)</f>
        <v>#REF!</v>
      </c>
      <c r="E486" s="61" t="e">
        <f t="shared" si="56"/>
        <v>#REF!</v>
      </c>
      <c r="F486" s="60" t="e">
        <f>#REF!</f>
        <v>#REF!</v>
      </c>
      <c r="G486" s="61" t="e">
        <f>IF(F486&gt;0,Pricing!E486*$H$5,0)</f>
        <v>#REF!</v>
      </c>
      <c r="H486" s="61" t="e">
        <f t="shared" si="57"/>
        <v>#REF!</v>
      </c>
      <c r="I486" s="62" t="e">
        <f>#REF!</f>
        <v>#REF!</v>
      </c>
      <c r="J486" s="61" t="e">
        <f>IF(I486&gt;0,Pricing!E486*$K$5,0)</f>
        <v>#REF!</v>
      </c>
      <c r="K486" s="63" t="e">
        <f t="shared" si="58"/>
        <v>#REF!</v>
      </c>
      <c r="L486" s="64" t="e">
        <f>#REF!</f>
        <v>#REF!</v>
      </c>
      <c r="M486" s="61" t="e">
        <f>IF(L486&lt;0,Pricing!E486*$N$5,0)</f>
        <v>#REF!</v>
      </c>
      <c r="N486" s="61" t="e">
        <f t="shared" si="59"/>
        <v>#REF!</v>
      </c>
      <c r="O486" s="60" t="e">
        <f>#REF!</f>
        <v>#REF!</v>
      </c>
      <c r="P486" s="61" t="e">
        <f>IF(O486&lt;0,Pricing!E486*$Q$5,0)</f>
        <v>#REF!</v>
      </c>
      <c r="Q486" s="61" t="e">
        <f t="shared" si="60"/>
        <v>#REF!</v>
      </c>
      <c r="R486" s="60" t="e">
        <f>#REF!</f>
        <v>#REF!</v>
      </c>
      <c r="S486" s="61" t="e">
        <f>IF(R486&lt;0,Pricing!E486*$T$5,0)</f>
        <v>#REF!</v>
      </c>
      <c r="T486" s="61" t="e">
        <f t="shared" si="61"/>
        <v>#REF!</v>
      </c>
    </row>
    <row r="487" spans="1:20" x14ac:dyDescent="0.25">
      <c r="A487" s="58">
        <f t="shared" si="62"/>
        <v>44550.999999998836</v>
      </c>
      <c r="B487" s="59">
        <f t="shared" si="63"/>
        <v>44551.0416666655</v>
      </c>
      <c r="C487" s="60" t="e">
        <f>#REF!</f>
        <v>#REF!</v>
      </c>
      <c r="D487" s="61" t="e">
        <f>IF(C487&gt;0,Pricing!E487*$E$5,0)</f>
        <v>#REF!</v>
      </c>
      <c r="E487" s="61" t="e">
        <f t="shared" si="56"/>
        <v>#REF!</v>
      </c>
      <c r="F487" s="60" t="e">
        <f>#REF!</f>
        <v>#REF!</v>
      </c>
      <c r="G487" s="61" t="e">
        <f>IF(F487&gt;0,Pricing!E487*$H$5,0)</f>
        <v>#REF!</v>
      </c>
      <c r="H487" s="61" t="e">
        <f t="shared" si="57"/>
        <v>#REF!</v>
      </c>
      <c r="I487" s="62" t="e">
        <f>#REF!</f>
        <v>#REF!</v>
      </c>
      <c r="J487" s="61" t="e">
        <f>IF(I487&gt;0,Pricing!E487*$K$5,0)</f>
        <v>#REF!</v>
      </c>
      <c r="K487" s="63" t="e">
        <f t="shared" si="58"/>
        <v>#REF!</v>
      </c>
      <c r="L487" s="64" t="e">
        <f>#REF!</f>
        <v>#REF!</v>
      </c>
      <c r="M487" s="61" t="e">
        <f>IF(L487&lt;0,Pricing!E487*$N$5,0)</f>
        <v>#REF!</v>
      </c>
      <c r="N487" s="61" t="e">
        <f t="shared" si="59"/>
        <v>#REF!</v>
      </c>
      <c r="O487" s="60" t="e">
        <f>#REF!</f>
        <v>#REF!</v>
      </c>
      <c r="P487" s="61" t="e">
        <f>IF(O487&lt;0,Pricing!E487*$Q$5,0)</f>
        <v>#REF!</v>
      </c>
      <c r="Q487" s="61" t="e">
        <f t="shared" si="60"/>
        <v>#REF!</v>
      </c>
      <c r="R487" s="60" t="e">
        <f>#REF!</f>
        <v>#REF!</v>
      </c>
      <c r="S487" s="61" t="e">
        <f>IF(R487&lt;0,Pricing!E487*$T$5,0)</f>
        <v>#REF!</v>
      </c>
      <c r="T487" s="61" t="e">
        <f t="shared" si="61"/>
        <v>#REF!</v>
      </c>
    </row>
    <row r="488" spans="1:20" x14ac:dyDescent="0.25">
      <c r="A488" s="58">
        <f t="shared" si="62"/>
        <v>44551.0416666655</v>
      </c>
      <c r="B488" s="59">
        <f t="shared" si="63"/>
        <v>44551.083333332164</v>
      </c>
      <c r="C488" s="60" t="e">
        <f>#REF!</f>
        <v>#REF!</v>
      </c>
      <c r="D488" s="61" t="e">
        <f>IF(C488&gt;0,Pricing!E488*$E$5,0)</f>
        <v>#REF!</v>
      </c>
      <c r="E488" s="61" t="e">
        <f t="shared" si="56"/>
        <v>#REF!</v>
      </c>
      <c r="F488" s="60" t="e">
        <f>#REF!</f>
        <v>#REF!</v>
      </c>
      <c r="G488" s="61" t="e">
        <f>IF(F488&gt;0,Pricing!E488*$H$5,0)</f>
        <v>#REF!</v>
      </c>
      <c r="H488" s="61" t="e">
        <f t="shared" si="57"/>
        <v>#REF!</v>
      </c>
      <c r="I488" s="62" t="e">
        <f>#REF!</f>
        <v>#REF!</v>
      </c>
      <c r="J488" s="61" t="e">
        <f>IF(I488&gt;0,Pricing!E488*$K$5,0)</f>
        <v>#REF!</v>
      </c>
      <c r="K488" s="63" t="e">
        <f t="shared" si="58"/>
        <v>#REF!</v>
      </c>
      <c r="L488" s="64" t="e">
        <f>#REF!</f>
        <v>#REF!</v>
      </c>
      <c r="M488" s="61" t="e">
        <f>IF(L488&lt;0,Pricing!E488*$N$5,0)</f>
        <v>#REF!</v>
      </c>
      <c r="N488" s="61" t="e">
        <f t="shared" si="59"/>
        <v>#REF!</v>
      </c>
      <c r="O488" s="60" t="e">
        <f>#REF!</f>
        <v>#REF!</v>
      </c>
      <c r="P488" s="61" t="e">
        <f>IF(O488&lt;0,Pricing!E488*$Q$5,0)</f>
        <v>#REF!</v>
      </c>
      <c r="Q488" s="61" t="e">
        <f t="shared" si="60"/>
        <v>#REF!</v>
      </c>
      <c r="R488" s="60" t="e">
        <f>#REF!</f>
        <v>#REF!</v>
      </c>
      <c r="S488" s="61" t="e">
        <f>IF(R488&lt;0,Pricing!E488*$T$5,0)</f>
        <v>#REF!</v>
      </c>
      <c r="T488" s="61" t="e">
        <f t="shared" si="61"/>
        <v>#REF!</v>
      </c>
    </row>
    <row r="489" spans="1:20" x14ac:dyDescent="0.25">
      <c r="A489" s="58">
        <f t="shared" si="62"/>
        <v>44551.083333332164</v>
      </c>
      <c r="B489" s="59">
        <f t="shared" si="63"/>
        <v>44551.124999998829</v>
      </c>
      <c r="C489" s="60" t="e">
        <f>#REF!</f>
        <v>#REF!</v>
      </c>
      <c r="D489" s="61" t="e">
        <f>IF(C489&gt;0,Pricing!E489*$E$5,0)</f>
        <v>#REF!</v>
      </c>
      <c r="E489" s="61" t="e">
        <f t="shared" si="56"/>
        <v>#REF!</v>
      </c>
      <c r="F489" s="60" t="e">
        <f>#REF!</f>
        <v>#REF!</v>
      </c>
      <c r="G489" s="61" t="e">
        <f>IF(F489&gt;0,Pricing!E489*$H$5,0)</f>
        <v>#REF!</v>
      </c>
      <c r="H489" s="61" t="e">
        <f t="shared" si="57"/>
        <v>#REF!</v>
      </c>
      <c r="I489" s="62" t="e">
        <f>#REF!</f>
        <v>#REF!</v>
      </c>
      <c r="J489" s="61" t="e">
        <f>IF(I489&gt;0,Pricing!E489*$K$5,0)</f>
        <v>#REF!</v>
      </c>
      <c r="K489" s="63" t="e">
        <f t="shared" si="58"/>
        <v>#REF!</v>
      </c>
      <c r="L489" s="64" t="e">
        <f>#REF!</f>
        <v>#REF!</v>
      </c>
      <c r="M489" s="61" t="e">
        <f>IF(L489&lt;0,Pricing!E489*$N$5,0)</f>
        <v>#REF!</v>
      </c>
      <c r="N489" s="61" t="e">
        <f t="shared" si="59"/>
        <v>#REF!</v>
      </c>
      <c r="O489" s="60" t="e">
        <f>#REF!</f>
        <v>#REF!</v>
      </c>
      <c r="P489" s="61" t="e">
        <f>IF(O489&lt;0,Pricing!E489*$Q$5,0)</f>
        <v>#REF!</v>
      </c>
      <c r="Q489" s="61" t="e">
        <f t="shared" si="60"/>
        <v>#REF!</v>
      </c>
      <c r="R489" s="60" t="e">
        <f>#REF!</f>
        <v>#REF!</v>
      </c>
      <c r="S489" s="61" t="e">
        <f>IF(R489&lt;0,Pricing!E489*$T$5,0)</f>
        <v>#REF!</v>
      </c>
      <c r="T489" s="61" t="e">
        <f t="shared" si="61"/>
        <v>#REF!</v>
      </c>
    </row>
    <row r="490" spans="1:20" x14ac:dyDescent="0.25">
      <c r="A490" s="58">
        <f t="shared" si="62"/>
        <v>44551.124999998829</v>
      </c>
      <c r="B490" s="59">
        <f t="shared" si="63"/>
        <v>44551.166666665493</v>
      </c>
      <c r="C490" s="60" t="e">
        <f>#REF!</f>
        <v>#REF!</v>
      </c>
      <c r="D490" s="61" t="e">
        <f>IF(C490&gt;0,Pricing!E490*$E$5,0)</f>
        <v>#REF!</v>
      </c>
      <c r="E490" s="61" t="e">
        <f t="shared" si="56"/>
        <v>#REF!</v>
      </c>
      <c r="F490" s="60" t="e">
        <f>#REF!</f>
        <v>#REF!</v>
      </c>
      <c r="G490" s="61" t="e">
        <f>IF(F490&gt;0,Pricing!E490*$H$5,0)</f>
        <v>#REF!</v>
      </c>
      <c r="H490" s="61" t="e">
        <f t="shared" si="57"/>
        <v>#REF!</v>
      </c>
      <c r="I490" s="62" t="e">
        <f>#REF!</f>
        <v>#REF!</v>
      </c>
      <c r="J490" s="61" t="e">
        <f>IF(I490&gt;0,Pricing!E490*$K$5,0)</f>
        <v>#REF!</v>
      </c>
      <c r="K490" s="63" t="e">
        <f t="shared" si="58"/>
        <v>#REF!</v>
      </c>
      <c r="L490" s="64" t="e">
        <f>#REF!</f>
        <v>#REF!</v>
      </c>
      <c r="M490" s="61" t="e">
        <f>IF(L490&lt;0,Pricing!E490*$N$5,0)</f>
        <v>#REF!</v>
      </c>
      <c r="N490" s="61" t="e">
        <f t="shared" si="59"/>
        <v>#REF!</v>
      </c>
      <c r="O490" s="60" t="e">
        <f>#REF!</f>
        <v>#REF!</v>
      </c>
      <c r="P490" s="61" t="e">
        <f>IF(O490&lt;0,Pricing!E490*$Q$5,0)</f>
        <v>#REF!</v>
      </c>
      <c r="Q490" s="61" t="e">
        <f t="shared" si="60"/>
        <v>#REF!</v>
      </c>
      <c r="R490" s="60" t="e">
        <f>#REF!</f>
        <v>#REF!</v>
      </c>
      <c r="S490" s="61" t="e">
        <f>IF(R490&lt;0,Pricing!E490*$T$5,0)</f>
        <v>#REF!</v>
      </c>
      <c r="T490" s="61" t="e">
        <f t="shared" si="61"/>
        <v>#REF!</v>
      </c>
    </row>
    <row r="491" spans="1:20" x14ac:dyDescent="0.25">
      <c r="A491" s="58">
        <f t="shared" si="62"/>
        <v>44551.166666665493</v>
      </c>
      <c r="B491" s="59">
        <f t="shared" si="63"/>
        <v>44551.208333332157</v>
      </c>
      <c r="C491" s="60" t="e">
        <f>#REF!</f>
        <v>#REF!</v>
      </c>
      <c r="D491" s="61" t="e">
        <f>IF(C491&gt;0,Pricing!E491*$E$5,0)</f>
        <v>#REF!</v>
      </c>
      <c r="E491" s="61" t="e">
        <f t="shared" si="56"/>
        <v>#REF!</v>
      </c>
      <c r="F491" s="60" t="e">
        <f>#REF!</f>
        <v>#REF!</v>
      </c>
      <c r="G491" s="61" t="e">
        <f>IF(F491&gt;0,Pricing!E491*$H$5,0)</f>
        <v>#REF!</v>
      </c>
      <c r="H491" s="61" t="e">
        <f t="shared" si="57"/>
        <v>#REF!</v>
      </c>
      <c r="I491" s="62" t="e">
        <f>#REF!</f>
        <v>#REF!</v>
      </c>
      <c r="J491" s="61" t="e">
        <f>IF(I491&gt;0,Pricing!E491*$K$5,0)</f>
        <v>#REF!</v>
      </c>
      <c r="K491" s="63" t="e">
        <f t="shared" si="58"/>
        <v>#REF!</v>
      </c>
      <c r="L491" s="64" t="e">
        <f>#REF!</f>
        <v>#REF!</v>
      </c>
      <c r="M491" s="61" t="e">
        <f>IF(L491&lt;0,Pricing!E491*$N$5,0)</f>
        <v>#REF!</v>
      </c>
      <c r="N491" s="61" t="e">
        <f t="shared" si="59"/>
        <v>#REF!</v>
      </c>
      <c r="O491" s="60" t="e">
        <f>#REF!</f>
        <v>#REF!</v>
      </c>
      <c r="P491" s="61" t="e">
        <f>IF(O491&lt;0,Pricing!E491*$Q$5,0)</f>
        <v>#REF!</v>
      </c>
      <c r="Q491" s="61" t="e">
        <f t="shared" si="60"/>
        <v>#REF!</v>
      </c>
      <c r="R491" s="60" t="e">
        <f>#REF!</f>
        <v>#REF!</v>
      </c>
      <c r="S491" s="61" t="e">
        <f>IF(R491&lt;0,Pricing!E491*$T$5,0)</f>
        <v>#REF!</v>
      </c>
      <c r="T491" s="61" t="e">
        <f t="shared" si="61"/>
        <v>#REF!</v>
      </c>
    </row>
    <row r="492" spans="1:20" x14ac:dyDescent="0.25">
      <c r="A492" s="58">
        <f t="shared" si="62"/>
        <v>44551.208333332157</v>
      </c>
      <c r="B492" s="59">
        <f t="shared" si="63"/>
        <v>44551.249999998821</v>
      </c>
      <c r="C492" s="60" t="e">
        <f>#REF!</f>
        <v>#REF!</v>
      </c>
      <c r="D492" s="61" t="e">
        <f>IF(C492&gt;0,Pricing!E492*$E$5,0)</f>
        <v>#REF!</v>
      </c>
      <c r="E492" s="61" t="e">
        <f t="shared" si="56"/>
        <v>#REF!</v>
      </c>
      <c r="F492" s="60" t="e">
        <f>#REF!</f>
        <v>#REF!</v>
      </c>
      <c r="G492" s="61" t="e">
        <f>IF(F492&gt;0,Pricing!E492*$H$5,0)</f>
        <v>#REF!</v>
      </c>
      <c r="H492" s="61" t="e">
        <f t="shared" si="57"/>
        <v>#REF!</v>
      </c>
      <c r="I492" s="62" t="e">
        <f>#REF!</f>
        <v>#REF!</v>
      </c>
      <c r="J492" s="61" t="e">
        <f>IF(I492&gt;0,Pricing!E492*$K$5,0)</f>
        <v>#REF!</v>
      </c>
      <c r="K492" s="63" t="e">
        <f t="shared" si="58"/>
        <v>#REF!</v>
      </c>
      <c r="L492" s="64" t="e">
        <f>#REF!</f>
        <v>#REF!</v>
      </c>
      <c r="M492" s="61" t="e">
        <f>IF(L492&lt;0,Pricing!E492*$N$5,0)</f>
        <v>#REF!</v>
      </c>
      <c r="N492" s="61" t="e">
        <f t="shared" si="59"/>
        <v>#REF!</v>
      </c>
      <c r="O492" s="60" t="e">
        <f>#REF!</f>
        <v>#REF!</v>
      </c>
      <c r="P492" s="61" t="e">
        <f>IF(O492&lt;0,Pricing!E492*$Q$5,0)</f>
        <v>#REF!</v>
      </c>
      <c r="Q492" s="61" t="e">
        <f t="shared" si="60"/>
        <v>#REF!</v>
      </c>
      <c r="R492" s="60" t="e">
        <f>#REF!</f>
        <v>#REF!</v>
      </c>
      <c r="S492" s="61" t="e">
        <f>IF(R492&lt;0,Pricing!E492*$T$5,0)</f>
        <v>#REF!</v>
      </c>
      <c r="T492" s="61" t="e">
        <f t="shared" si="61"/>
        <v>#REF!</v>
      </c>
    </row>
    <row r="493" spans="1:20" x14ac:dyDescent="0.25">
      <c r="A493" s="58">
        <f t="shared" si="62"/>
        <v>44551.249999998821</v>
      </c>
      <c r="B493" s="59">
        <f t="shared" si="63"/>
        <v>44551.291666665486</v>
      </c>
      <c r="C493" s="60" t="e">
        <f>#REF!</f>
        <v>#REF!</v>
      </c>
      <c r="D493" s="61" t="e">
        <f>IF(C493&gt;0,Pricing!E493*$E$5,0)</f>
        <v>#REF!</v>
      </c>
      <c r="E493" s="61" t="e">
        <f t="shared" si="56"/>
        <v>#REF!</v>
      </c>
      <c r="F493" s="60" t="e">
        <f>#REF!</f>
        <v>#REF!</v>
      </c>
      <c r="G493" s="61" t="e">
        <f>IF(F493&gt;0,Pricing!E493*$H$5,0)</f>
        <v>#REF!</v>
      </c>
      <c r="H493" s="61" t="e">
        <f t="shared" si="57"/>
        <v>#REF!</v>
      </c>
      <c r="I493" s="62" t="e">
        <f>#REF!</f>
        <v>#REF!</v>
      </c>
      <c r="J493" s="61" t="e">
        <f>IF(I493&gt;0,Pricing!E493*$K$5,0)</f>
        <v>#REF!</v>
      </c>
      <c r="K493" s="63" t="e">
        <f t="shared" si="58"/>
        <v>#REF!</v>
      </c>
      <c r="L493" s="64" t="e">
        <f>#REF!</f>
        <v>#REF!</v>
      </c>
      <c r="M493" s="61" t="e">
        <f>IF(L493&lt;0,Pricing!E493*$N$5,0)</f>
        <v>#REF!</v>
      </c>
      <c r="N493" s="61" t="e">
        <f t="shared" si="59"/>
        <v>#REF!</v>
      </c>
      <c r="O493" s="60" t="e">
        <f>#REF!</f>
        <v>#REF!</v>
      </c>
      <c r="P493" s="61" t="e">
        <f>IF(O493&lt;0,Pricing!E493*$Q$5,0)</f>
        <v>#REF!</v>
      </c>
      <c r="Q493" s="61" t="e">
        <f t="shared" si="60"/>
        <v>#REF!</v>
      </c>
      <c r="R493" s="60" t="e">
        <f>#REF!</f>
        <v>#REF!</v>
      </c>
      <c r="S493" s="61" t="e">
        <f>IF(R493&lt;0,Pricing!E493*$T$5,0)</f>
        <v>#REF!</v>
      </c>
      <c r="T493" s="61" t="e">
        <f t="shared" si="61"/>
        <v>#REF!</v>
      </c>
    </row>
    <row r="494" spans="1:20" x14ac:dyDescent="0.25">
      <c r="A494" s="58">
        <f t="shared" si="62"/>
        <v>44551.291666665486</v>
      </c>
      <c r="B494" s="59">
        <f t="shared" si="63"/>
        <v>44551.33333333215</v>
      </c>
      <c r="C494" s="60" t="e">
        <f>#REF!</f>
        <v>#REF!</v>
      </c>
      <c r="D494" s="61" t="e">
        <f>IF(C494&gt;0,Pricing!E494*$E$5,0)</f>
        <v>#REF!</v>
      </c>
      <c r="E494" s="61" t="e">
        <f t="shared" si="56"/>
        <v>#REF!</v>
      </c>
      <c r="F494" s="60" t="e">
        <f>#REF!</f>
        <v>#REF!</v>
      </c>
      <c r="G494" s="61" t="e">
        <f>IF(F494&gt;0,Pricing!E494*$H$5,0)</f>
        <v>#REF!</v>
      </c>
      <c r="H494" s="61" t="e">
        <f t="shared" si="57"/>
        <v>#REF!</v>
      </c>
      <c r="I494" s="62" t="e">
        <f>#REF!</f>
        <v>#REF!</v>
      </c>
      <c r="J494" s="61" t="e">
        <f>IF(I494&gt;0,Pricing!E494*$K$5,0)</f>
        <v>#REF!</v>
      </c>
      <c r="K494" s="63" t="e">
        <f t="shared" si="58"/>
        <v>#REF!</v>
      </c>
      <c r="L494" s="64" t="e">
        <f>#REF!</f>
        <v>#REF!</v>
      </c>
      <c r="M494" s="61" t="e">
        <f>IF(L494&lt;0,Pricing!E494*$N$5,0)</f>
        <v>#REF!</v>
      </c>
      <c r="N494" s="61" t="e">
        <f t="shared" si="59"/>
        <v>#REF!</v>
      </c>
      <c r="O494" s="60" t="e">
        <f>#REF!</f>
        <v>#REF!</v>
      </c>
      <c r="P494" s="61" t="e">
        <f>IF(O494&lt;0,Pricing!E494*$Q$5,0)</f>
        <v>#REF!</v>
      </c>
      <c r="Q494" s="61" t="e">
        <f t="shared" si="60"/>
        <v>#REF!</v>
      </c>
      <c r="R494" s="60" t="e">
        <f>#REF!</f>
        <v>#REF!</v>
      </c>
      <c r="S494" s="61" t="e">
        <f>IF(R494&lt;0,Pricing!E494*$T$5,0)</f>
        <v>#REF!</v>
      </c>
      <c r="T494" s="61" t="e">
        <f t="shared" si="61"/>
        <v>#REF!</v>
      </c>
    </row>
    <row r="495" spans="1:20" x14ac:dyDescent="0.25">
      <c r="A495" s="58">
        <f t="shared" si="62"/>
        <v>44551.33333333215</v>
      </c>
      <c r="B495" s="59">
        <f t="shared" si="63"/>
        <v>44551.374999998814</v>
      </c>
      <c r="C495" s="60" t="e">
        <f>#REF!</f>
        <v>#REF!</v>
      </c>
      <c r="D495" s="61" t="e">
        <f>IF(C495&gt;0,Pricing!E495*$E$5,0)</f>
        <v>#REF!</v>
      </c>
      <c r="E495" s="61" t="e">
        <f t="shared" si="56"/>
        <v>#REF!</v>
      </c>
      <c r="F495" s="60" t="e">
        <f>#REF!</f>
        <v>#REF!</v>
      </c>
      <c r="G495" s="61" t="e">
        <f>IF(F495&gt;0,Pricing!E495*$H$5,0)</f>
        <v>#REF!</v>
      </c>
      <c r="H495" s="61" t="e">
        <f t="shared" si="57"/>
        <v>#REF!</v>
      </c>
      <c r="I495" s="62" t="e">
        <f>#REF!</f>
        <v>#REF!</v>
      </c>
      <c r="J495" s="61" t="e">
        <f>IF(I495&gt;0,Pricing!E495*$K$5,0)</f>
        <v>#REF!</v>
      </c>
      <c r="K495" s="63" t="e">
        <f t="shared" si="58"/>
        <v>#REF!</v>
      </c>
      <c r="L495" s="64" t="e">
        <f>#REF!</f>
        <v>#REF!</v>
      </c>
      <c r="M495" s="61" t="e">
        <f>IF(L495&lt;0,Pricing!E495*$N$5,0)</f>
        <v>#REF!</v>
      </c>
      <c r="N495" s="61" t="e">
        <f t="shared" si="59"/>
        <v>#REF!</v>
      </c>
      <c r="O495" s="60" t="e">
        <f>#REF!</f>
        <v>#REF!</v>
      </c>
      <c r="P495" s="61" t="e">
        <f>IF(O495&lt;0,Pricing!E495*$Q$5,0)</f>
        <v>#REF!</v>
      </c>
      <c r="Q495" s="61" t="e">
        <f t="shared" si="60"/>
        <v>#REF!</v>
      </c>
      <c r="R495" s="60" t="e">
        <f>#REF!</f>
        <v>#REF!</v>
      </c>
      <c r="S495" s="61" t="e">
        <f>IF(R495&lt;0,Pricing!E495*$T$5,0)</f>
        <v>#REF!</v>
      </c>
      <c r="T495" s="61" t="e">
        <f t="shared" si="61"/>
        <v>#REF!</v>
      </c>
    </row>
    <row r="496" spans="1:20" x14ac:dyDescent="0.25">
      <c r="A496" s="58">
        <f t="shared" si="62"/>
        <v>44551.374999998814</v>
      </c>
      <c r="B496" s="59">
        <f t="shared" si="63"/>
        <v>44551.416666665478</v>
      </c>
      <c r="C496" s="60" t="e">
        <f>#REF!</f>
        <v>#REF!</v>
      </c>
      <c r="D496" s="61" t="e">
        <f>IF(C496&gt;0,Pricing!E496*$E$5,0)</f>
        <v>#REF!</v>
      </c>
      <c r="E496" s="61" t="e">
        <f t="shared" si="56"/>
        <v>#REF!</v>
      </c>
      <c r="F496" s="60" t="e">
        <f>#REF!</f>
        <v>#REF!</v>
      </c>
      <c r="G496" s="61" t="e">
        <f>IF(F496&gt;0,Pricing!E496*$H$5,0)</f>
        <v>#REF!</v>
      </c>
      <c r="H496" s="61" t="e">
        <f t="shared" si="57"/>
        <v>#REF!</v>
      </c>
      <c r="I496" s="62" t="e">
        <f>#REF!</f>
        <v>#REF!</v>
      </c>
      <c r="J496" s="61" t="e">
        <f>IF(I496&gt;0,Pricing!E496*$K$5,0)</f>
        <v>#REF!</v>
      </c>
      <c r="K496" s="63" t="e">
        <f t="shared" si="58"/>
        <v>#REF!</v>
      </c>
      <c r="L496" s="64" t="e">
        <f>#REF!</f>
        <v>#REF!</v>
      </c>
      <c r="M496" s="61" t="e">
        <f>IF(L496&lt;0,Pricing!E496*$N$5,0)</f>
        <v>#REF!</v>
      </c>
      <c r="N496" s="61" t="e">
        <f t="shared" si="59"/>
        <v>#REF!</v>
      </c>
      <c r="O496" s="60" t="e">
        <f>#REF!</f>
        <v>#REF!</v>
      </c>
      <c r="P496" s="61" t="e">
        <f>IF(O496&lt;0,Pricing!E496*$Q$5,0)</f>
        <v>#REF!</v>
      </c>
      <c r="Q496" s="61" t="e">
        <f t="shared" si="60"/>
        <v>#REF!</v>
      </c>
      <c r="R496" s="60" t="e">
        <f>#REF!</f>
        <v>#REF!</v>
      </c>
      <c r="S496" s="61" t="e">
        <f>IF(R496&lt;0,Pricing!E496*$T$5,0)</f>
        <v>#REF!</v>
      </c>
      <c r="T496" s="61" t="e">
        <f t="shared" si="61"/>
        <v>#REF!</v>
      </c>
    </row>
    <row r="497" spans="1:20" x14ac:dyDescent="0.25">
      <c r="A497" s="58">
        <f t="shared" si="62"/>
        <v>44551.416666665478</v>
      </c>
      <c r="B497" s="59">
        <f t="shared" si="63"/>
        <v>44551.458333332143</v>
      </c>
      <c r="C497" s="60" t="e">
        <f>#REF!</f>
        <v>#REF!</v>
      </c>
      <c r="D497" s="61" t="e">
        <f>IF(C497&gt;0,Pricing!E497*$E$5,0)</f>
        <v>#REF!</v>
      </c>
      <c r="E497" s="61" t="e">
        <f t="shared" si="56"/>
        <v>#REF!</v>
      </c>
      <c r="F497" s="60" t="e">
        <f>#REF!</f>
        <v>#REF!</v>
      </c>
      <c r="G497" s="61" t="e">
        <f>IF(F497&gt;0,Pricing!E497*$H$5,0)</f>
        <v>#REF!</v>
      </c>
      <c r="H497" s="61" t="e">
        <f t="shared" si="57"/>
        <v>#REF!</v>
      </c>
      <c r="I497" s="62" t="e">
        <f>#REF!</f>
        <v>#REF!</v>
      </c>
      <c r="J497" s="61" t="e">
        <f>IF(I497&gt;0,Pricing!E497*$K$5,0)</f>
        <v>#REF!</v>
      </c>
      <c r="K497" s="63" t="e">
        <f t="shared" si="58"/>
        <v>#REF!</v>
      </c>
      <c r="L497" s="64" t="e">
        <f>#REF!</f>
        <v>#REF!</v>
      </c>
      <c r="M497" s="61" t="e">
        <f>IF(L497&lt;0,Pricing!E497*$N$5,0)</f>
        <v>#REF!</v>
      </c>
      <c r="N497" s="61" t="e">
        <f t="shared" si="59"/>
        <v>#REF!</v>
      </c>
      <c r="O497" s="60" t="e">
        <f>#REF!</f>
        <v>#REF!</v>
      </c>
      <c r="P497" s="61" t="e">
        <f>IF(O497&lt;0,Pricing!E497*$Q$5,0)</f>
        <v>#REF!</v>
      </c>
      <c r="Q497" s="61" t="e">
        <f t="shared" si="60"/>
        <v>#REF!</v>
      </c>
      <c r="R497" s="60" t="e">
        <f>#REF!</f>
        <v>#REF!</v>
      </c>
      <c r="S497" s="61" t="e">
        <f>IF(R497&lt;0,Pricing!E497*$T$5,0)</f>
        <v>#REF!</v>
      </c>
      <c r="T497" s="61" t="e">
        <f t="shared" si="61"/>
        <v>#REF!</v>
      </c>
    </row>
    <row r="498" spans="1:20" x14ac:dyDescent="0.25">
      <c r="A498" s="58">
        <f t="shared" si="62"/>
        <v>44551.458333332143</v>
      </c>
      <c r="B498" s="59">
        <f t="shared" si="63"/>
        <v>44551.499999998807</v>
      </c>
      <c r="C498" s="60" t="e">
        <f>#REF!</f>
        <v>#REF!</v>
      </c>
      <c r="D498" s="61" t="e">
        <f>IF(C498&gt;0,Pricing!E498*$E$5,0)</f>
        <v>#REF!</v>
      </c>
      <c r="E498" s="61" t="e">
        <f t="shared" si="56"/>
        <v>#REF!</v>
      </c>
      <c r="F498" s="60" t="e">
        <f>#REF!</f>
        <v>#REF!</v>
      </c>
      <c r="G498" s="61" t="e">
        <f>IF(F498&gt;0,Pricing!E498*$H$5,0)</f>
        <v>#REF!</v>
      </c>
      <c r="H498" s="61" t="e">
        <f t="shared" si="57"/>
        <v>#REF!</v>
      </c>
      <c r="I498" s="62" t="e">
        <f>#REF!</f>
        <v>#REF!</v>
      </c>
      <c r="J498" s="61" t="e">
        <f>IF(I498&gt;0,Pricing!E498*$K$5,0)</f>
        <v>#REF!</v>
      </c>
      <c r="K498" s="63" t="e">
        <f t="shared" si="58"/>
        <v>#REF!</v>
      </c>
      <c r="L498" s="64" t="e">
        <f>#REF!</f>
        <v>#REF!</v>
      </c>
      <c r="M498" s="61" t="e">
        <f>IF(L498&lt;0,Pricing!E498*$N$5,0)</f>
        <v>#REF!</v>
      </c>
      <c r="N498" s="61" t="e">
        <f t="shared" si="59"/>
        <v>#REF!</v>
      </c>
      <c r="O498" s="60" t="e">
        <f>#REF!</f>
        <v>#REF!</v>
      </c>
      <c r="P498" s="61" t="e">
        <f>IF(O498&lt;0,Pricing!E498*$Q$5,0)</f>
        <v>#REF!</v>
      </c>
      <c r="Q498" s="61" t="e">
        <f t="shared" si="60"/>
        <v>#REF!</v>
      </c>
      <c r="R498" s="60" t="e">
        <f>#REF!</f>
        <v>#REF!</v>
      </c>
      <c r="S498" s="61" t="e">
        <f>IF(R498&lt;0,Pricing!E498*$T$5,0)</f>
        <v>#REF!</v>
      </c>
      <c r="T498" s="61" t="e">
        <f t="shared" si="61"/>
        <v>#REF!</v>
      </c>
    </row>
    <row r="499" spans="1:20" x14ac:dyDescent="0.25">
      <c r="A499" s="58">
        <f t="shared" si="62"/>
        <v>44551.499999998807</v>
      </c>
      <c r="B499" s="59">
        <f t="shared" si="63"/>
        <v>44551.541666665471</v>
      </c>
      <c r="C499" s="60" t="e">
        <f>#REF!</f>
        <v>#REF!</v>
      </c>
      <c r="D499" s="61" t="e">
        <f>IF(C499&gt;0,Pricing!E499*$E$5,0)</f>
        <v>#REF!</v>
      </c>
      <c r="E499" s="61" t="e">
        <f t="shared" si="56"/>
        <v>#REF!</v>
      </c>
      <c r="F499" s="60" t="e">
        <f>#REF!</f>
        <v>#REF!</v>
      </c>
      <c r="G499" s="61" t="e">
        <f>IF(F499&gt;0,Pricing!E499*$H$5,0)</f>
        <v>#REF!</v>
      </c>
      <c r="H499" s="61" t="e">
        <f t="shared" si="57"/>
        <v>#REF!</v>
      </c>
      <c r="I499" s="62" t="e">
        <f>#REF!</f>
        <v>#REF!</v>
      </c>
      <c r="J499" s="61" t="e">
        <f>IF(I499&gt;0,Pricing!E499*$K$5,0)</f>
        <v>#REF!</v>
      </c>
      <c r="K499" s="63" t="e">
        <f t="shared" si="58"/>
        <v>#REF!</v>
      </c>
      <c r="L499" s="64" t="e">
        <f>#REF!</f>
        <v>#REF!</v>
      </c>
      <c r="M499" s="61" t="e">
        <f>IF(L499&lt;0,Pricing!E499*$N$5,0)</f>
        <v>#REF!</v>
      </c>
      <c r="N499" s="61" t="e">
        <f t="shared" si="59"/>
        <v>#REF!</v>
      </c>
      <c r="O499" s="60" t="e">
        <f>#REF!</f>
        <v>#REF!</v>
      </c>
      <c r="P499" s="61" t="e">
        <f>IF(O499&lt;0,Pricing!E499*$Q$5,0)</f>
        <v>#REF!</v>
      </c>
      <c r="Q499" s="61" t="e">
        <f t="shared" si="60"/>
        <v>#REF!</v>
      </c>
      <c r="R499" s="60" t="e">
        <f>#REF!</f>
        <v>#REF!</v>
      </c>
      <c r="S499" s="61" t="e">
        <f>IF(R499&lt;0,Pricing!E499*$T$5,0)</f>
        <v>#REF!</v>
      </c>
      <c r="T499" s="61" t="e">
        <f t="shared" si="61"/>
        <v>#REF!</v>
      </c>
    </row>
    <row r="500" spans="1:20" x14ac:dyDescent="0.25">
      <c r="A500" s="58">
        <f t="shared" si="62"/>
        <v>44551.541666665471</v>
      </c>
      <c r="B500" s="59">
        <f t="shared" si="63"/>
        <v>44551.583333332135</v>
      </c>
      <c r="C500" s="60" t="e">
        <f>#REF!</f>
        <v>#REF!</v>
      </c>
      <c r="D500" s="61" t="e">
        <f>IF(C500&gt;0,Pricing!E500*$E$5,0)</f>
        <v>#REF!</v>
      </c>
      <c r="E500" s="61" t="e">
        <f t="shared" si="56"/>
        <v>#REF!</v>
      </c>
      <c r="F500" s="60" t="e">
        <f>#REF!</f>
        <v>#REF!</v>
      </c>
      <c r="G500" s="61" t="e">
        <f>IF(F500&gt;0,Pricing!E500*$H$5,0)</f>
        <v>#REF!</v>
      </c>
      <c r="H500" s="61" t="e">
        <f t="shared" si="57"/>
        <v>#REF!</v>
      </c>
      <c r="I500" s="62" t="e">
        <f>#REF!</f>
        <v>#REF!</v>
      </c>
      <c r="J500" s="61" t="e">
        <f>IF(I500&gt;0,Pricing!E500*$K$5,0)</f>
        <v>#REF!</v>
      </c>
      <c r="K500" s="63" t="e">
        <f t="shared" si="58"/>
        <v>#REF!</v>
      </c>
      <c r="L500" s="64" t="e">
        <f>#REF!</f>
        <v>#REF!</v>
      </c>
      <c r="M500" s="61" t="e">
        <f>IF(L500&lt;0,Pricing!E500*$N$5,0)</f>
        <v>#REF!</v>
      </c>
      <c r="N500" s="61" t="e">
        <f t="shared" si="59"/>
        <v>#REF!</v>
      </c>
      <c r="O500" s="60" t="e">
        <f>#REF!</f>
        <v>#REF!</v>
      </c>
      <c r="P500" s="61" t="e">
        <f>IF(O500&lt;0,Pricing!E500*$Q$5,0)</f>
        <v>#REF!</v>
      </c>
      <c r="Q500" s="61" t="e">
        <f t="shared" si="60"/>
        <v>#REF!</v>
      </c>
      <c r="R500" s="60" t="e">
        <f>#REF!</f>
        <v>#REF!</v>
      </c>
      <c r="S500" s="61" t="e">
        <f>IF(R500&lt;0,Pricing!E500*$T$5,0)</f>
        <v>#REF!</v>
      </c>
      <c r="T500" s="61" t="e">
        <f t="shared" si="61"/>
        <v>#REF!</v>
      </c>
    </row>
    <row r="501" spans="1:20" x14ac:dyDescent="0.25">
      <c r="A501" s="58">
        <f t="shared" si="62"/>
        <v>44551.583333332135</v>
      </c>
      <c r="B501" s="59">
        <f t="shared" si="63"/>
        <v>44551.624999998799</v>
      </c>
      <c r="C501" s="60" t="e">
        <f>#REF!</f>
        <v>#REF!</v>
      </c>
      <c r="D501" s="61" t="e">
        <f>IF(C501&gt;0,Pricing!E501*$E$5,0)</f>
        <v>#REF!</v>
      </c>
      <c r="E501" s="61" t="e">
        <f t="shared" si="56"/>
        <v>#REF!</v>
      </c>
      <c r="F501" s="60" t="e">
        <f>#REF!</f>
        <v>#REF!</v>
      </c>
      <c r="G501" s="61" t="e">
        <f>IF(F501&gt;0,Pricing!E501*$H$5,0)</f>
        <v>#REF!</v>
      </c>
      <c r="H501" s="61" t="e">
        <f t="shared" si="57"/>
        <v>#REF!</v>
      </c>
      <c r="I501" s="62" t="e">
        <f>#REF!</f>
        <v>#REF!</v>
      </c>
      <c r="J501" s="61" t="e">
        <f>IF(I501&gt;0,Pricing!E501*$K$5,0)</f>
        <v>#REF!</v>
      </c>
      <c r="K501" s="63" t="e">
        <f t="shared" si="58"/>
        <v>#REF!</v>
      </c>
      <c r="L501" s="64" t="e">
        <f>#REF!</f>
        <v>#REF!</v>
      </c>
      <c r="M501" s="61" t="e">
        <f>IF(L501&lt;0,Pricing!E501*$N$5,0)</f>
        <v>#REF!</v>
      </c>
      <c r="N501" s="61" t="e">
        <f t="shared" si="59"/>
        <v>#REF!</v>
      </c>
      <c r="O501" s="60" t="e">
        <f>#REF!</f>
        <v>#REF!</v>
      </c>
      <c r="P501" s="61" t="e">
        <f>IF(O501&lt;0,Pricing!E501*$Q$5,0)</f>
        <v>#REF!</v>
      </c>
      <c r="Q501" s="61" t="e">
        <f t="shared" si="60"/>
        <v>#REF!</v>
      </c>
      <c r="R501" s="60" t="e">
        <f>#REF!</f>
        <v>#REF!</v>
      </c>
      <c r="S501" s="61" t="e">
        <f>IF(R501&lt;0,Pricing!E501*$T$5,0)</f>
        <v>#REF!</v>
      </c>
      <c r="T501" s="61" t="e">
        <f t="shared" si="61"/>
        <v>#REF!</v>
      </c>
    </row>
    <row r="502" spans="1:20" x14ac:dyDescent="0.25">
      <c r="A502" s="58">
        <f t="shared" si="62"/>
        <v>44551.624999998799</v>
      </c>
      <c r="B502" s="59">
        <f t="shared" si="63"/>
        <v>44551.666666665464</v>
      </c>
      <c r="C502" s="60" t="e">
        <f>#REF!</f>
        <v>#REF!</v>
      </c>
      <c r="D502" s="61" t="e">
        <f>IF(C502&gt;0,Pricing!E502*$E$5,0)</f>
        <v>#REF!</v>
      </c>
      <c r="E502" s="61" t="e">
        <f t="shared" si="56"/>
        <v>#REF!</v>
      </c>
      <c r="F502" s="60" t="e">
        <f>#REF!</f>
        <v>#REF!</v>
      </c>
      <c r="G502" s="61" t="e">
        <f>IF(F502&gt;0,Pricing!E502*$H$5,0)</f>
        <v>#REF!</v>
      </c>
      <c r="H502" s="61" t="e">
        <f t="shared" si="57"/>
        <v>#REF!</v>
      </c>
      <c r="I502" s="62" t="e">
        <f>#REF!</f>
        <v>#REF!</v>
      </c>
      <c r="J502" s="61" t="e">
        <f>IF(I502&gt;0,Pricing!E502*$K$5,0)</f>
        <v>#REF!</v>
      </c>
      <c r="K502" s="63" t="e">
        <f t="shared" si="58"/>
        <v>#REF!</v>
      </c>
      <c r="L502" s="64" t="e">
        <f>#REF!</f>
        <v>#REF!</v>
      </c>
      <c r="M502" s="61" t="e">
        <f>IF(L502&lt;0,Pricing!E502*$N$5,0)</f>
        <v>#REF!</v>
      </c>
      <c r="N502" s="61" t="e">
        <f t="shared" si="59"/>
        <v>#REF!</v>
      </c>
      <c r="O502" s="60" t="e">
        <f>#REF!</f>
        <v>#REF!</v>
      </c>
      <c r="P502" s="61" t="e">
        <f>IF(O502&lt;0,Pricing!E502*$Q$5,0)</f>
        <v>#REF!</v>
      </c>
      <c r="Q502" s="61" t="e">
        <f t="shared" si="60"/>
        <v>#REF!</v>
      </c>
      <c r="R502" s="60" t="e">
        <f>#REF!</f>
        <v>#REF!</v>
      </c>
      <c r="S502" s="61" t="e">
        <f>IF(R502&lt;0,Pricing!E502*$T$5,0)</f>
        <v>#REF!</v>
      </c>
      <c r="T502" s="61" t="e">
        <f t="shared" si="61"/>
        <v>#REF!</v>
      </c>
    </row>
    <row r="503" spans="1:20" x14ac:dyDescent="0.25">
      <c r="A503" s="58">
        <f t="shared" si="62"/>
        <v>44551.666666665464</v>
      </c>
      <c r="B503" s="59">
        <f t="shared" si="63"/>
        <v>44551.708333332128</v>
      </c>
      <c r="C503" s="60" t="e">
        <f>#REF!</f>
        <v>#REF!</v>
      </c>
      <c r="D503" s="61" t="e">
        <f>IF(C503&gt;0,Pricing!E503*$E$5,0)</f>
        <v>#REF!</v>
      </c>
      <c r="E503" s="61" t="e">
        <f t="shared" si="56"/>
        <v>#REF!</v>
      </c>
      <c r="F503" s="60" t="e">
        <f>#REF!</f>
        <v>#REF!</v>
      </c>
      <c r="G503" s="61" t="e">
        <f>IF(F503&gt;0,Pricing!E503*$H$5,0)</f>
        <v>#REF!</v>
      </c>
      <c r="H503" s="61" t="e">
        <f t="shared" si="57"/>
        <v>#REF!</v>
      </c>
      <c r="I503" s="62" t="e">
        <f>#REF!</f>
        <v>#REF!</v>
      </c>
      <c r="J503" s="61" t="e">
        <f>IF(I503&gt;0,Pricing!E503*$K$5,0)</f>
        <v>#REF!</v>
      </c>
      <c r="K503" s="63" t="e">
        <f t="shared" si="58"/>
        <v>#REF!</v>
      </c>
      <c r="L503" s="64" t="e">
        <f>#REF!</f>
        <v>#REF!</v>
      </c>
      <c r="M503" s="61" t="e">
        <f>IF(L503&lt;0,Pricing!E503*$N$5,0)</f>
        <v>#REF!</v>
      </c>
      <c r="N503" s="61" t="e">
        <f t="shared" si="59"/>
        <v>#REF!</v>
      </c>
      <c r="O503" s="60" t="e">
        <f>#REF!</f>
        <v>#REF!</v>
      </c>
      <c r="P503" s="61" t="e">
        <f>IF(O503&lt;0,Pricing!E503*$Q$5,0)</f>
        <v>#REF!</v>
      </c>
      <c r="Q503" s="61" t="e">
        <f t="shared" si="60"/>
        <v>#REF!</v>
      </c>
      <c r="R503" s="60" t="e">
        <f>#REF!</f>
        <v>#REF!</v>
      </c>
      <c r="S503" s="61" t="e">
        <f>IF(R503&lt;0,Pricing!E503*$T$5,0)</f>
        <v>#REF!</v>
      </c>
      <c r="T503" s="61" t="e">
        <f t="shared" si="61"/>
        <v>#REF!</v>
      </c>
    </row>
    <row r="504" spans="1:20" x14ac:dyDescent="0.25">
      <c r="A504" s="58">
        <f t="shared" si="62"/>
        <v>44551.708333332128</v>
      </c>
      <c r="B504" s="59">
        <f t="shared" si="63"/>
        <v>44551.749999998792</v>
      </c>
      <c r="C504" s="60" t="e">
        <f>#REF!</f>
        <v>#REF!</v>
      </c>
      <c r="D504" s="61" t="e">
        <f>IF(C504&gt;0,Pricing!E504*$E$5,0)</f>
        <v>#REF!</v>
      </c>
      <c r="E504" s="61" t="e">
        <f t="shared" si="56"/>
        <v>#REF!</v>
      </c>
      <c r="F504" s="60" t="e">
        <f>#REF!</f>
        <v>#REF!</v>
      </c>
      <c r="G504" s="61" t="e">
        <f>IF(F504&gt;0,Pricing!E504*$H$5,0)</f>
        <v>#REF!</v>
      </c>
      <c r="H504" s="61" t="e">
        <f t="shared" si="57"/>
        <v>#REF!</v>
      </c>
      <c r="I504" s="62" t="e">
        <f>#REF!</f>
        <v>#REF!</v>
      </c>
      <c r="J504" s="61" t="e">
        <f>IF(I504&gt;0,Pricing!E504*$K$5,0)</f>
        <v>#REF!</v>
      </c>
      <c r="K504" s="63" t="e">
        <f t="shared" si="58"/>
        <v>#REF!</v>
      </c>
      <c r="L504" s="64" t="e">
        <f>#REF!</f>
        <v>#REF!</v>
      </c>
      <c r="M504" s="61" t="e">
        <f>IF(L504&lt;0,Pricing!E504*$N$5,0)</f>
        <v>#REF!</v>
      </c>
      <c r="N504" s="61" t="e">
        <f t="shared" si="59"/>
        <v>#REF!</v>
      </c>
      <c r="O504" s="60" t="e">
        <f>#REF!</f>
        <v>#REF!</v>
      </c>
      <c r="P504" s="61" t="e">
        <f>IF(O504&lt;0,Pricing!E504*$Q$5,0)</f>
        <v>#REF!</v>
      </c>
      <c r="Q504" s="61" t="e">
        <f t="shared" si="60"/>
        <v>#REF!</v>
      </c>
      <c r="R504" s="60" t="e">
        <f>#REF!</f>
        <v>#REF!</v>
      </c>
      <c r="S504" s="61" t="e">
        <f>IF(R504&lt;0,Pricing!E504*$T$5,0)</f>
        <v>#REF!</v>
      </c>
      <c r="T504" s="61" t="e">
        <f t="shared" si="61"/>
        <v>#REF!</v>
      </c>
    </row>
    <row r="505" spans="1:20" x14ac:dyDescent="0.25">
      <c r="A505" s="58">
        <f t="shared" si="62"/>
        <v>44551.749999998792</v>
      </c>
      <c r="B505" s="59">
        <f t="shared" si="63"/>
        <v>44551.791666665456</v>
      </c>
      <c r="C505" s="60" t="e">
        <f>#REF!</f>
        <v>#REF!</v>
      </c>
      <c r="D505" s="61" t="e">
        <f>IF(C505&gt;0,Pricing!E505*$E$5,0)</f>
        <v>#REF!</v>
      </c>
      <c r="E505" s="61" t="e">
        <f t="shared" si="56"/>
        <v>#REF!</v>
      </c>
      <c r="F505" s="60" t="e">
        <f>#REF!</f>
        <v>#REF!</v>
      </c>
      <c r="G505" s="61" t="e">
        <f>IF(F505&gt;0,Pricing!E505*$H$5,0)</f>
        <v>#REF!</v>
      </c>
      <c r="H505" s="61" t="e">
        <f t="shared" si="57"/>
        <v>#REF!</v>
      </c>
      <c r="I505" s="62" t="e">
        <f>#REF!</f>
        <v>#REF!</v>
      </c>
      <c r="J505" s="61" t="e">
        <f>IF(I505&gt;0,Pricing!E505*$K$5,0)</f>
        <v>#REF!</v>
      </c>
      <c r="K505" s="63" t="e">
        <f t="shared" si="58"/>
        <v>#REF!</v>
      </c>
      <c r="L505" s="64" t="e">
        <f>#REF!</f>
        <v>#REF!</v>
      </c>
      <c r="M505" s="61" t="e">
        <f>IF(L505&lt;0,Pricing!E505*$N$5,0)</f>
        <v>#REF!</v>
      </c>
      <c r="N505" s="61" t="e">
        <f t="shared" si="59"/>
        <v>#REF!</v>
      </c>
      <c r="O505" s="60" t="e">
        <f>#REF!</f>
        <v>#REF!</v>
      </c>
      <c r="P505" s="61" t="e">
        <f>IF(O505&lt;0,Pricing!E505*$Q$5,0)</f>
        <v>#REF!</v>
      </c>
      <c r="Q505" s="61" t="e">
        <f t="shared" si="60"/>
        <v>#REF!</v>
      </c>
      <c r="R505" s="60" t="e">
        <f>#REF!</f>
        <v>#REF!</v>
      </c>
      <c r="S505" s="61" t="e">
        <f>IF(R505&lt;0,Pricing!E505*$T$5,0)</f>
        <v>#REF!</v>
      </c>
      <c r="T505" s="61" t="e">
        <f t="shared" si="61"/>
        <v>#REF!</v>
      </c>
    </row>
    <row r="506" spans="1:20" x14ac:dyDescent="0.25">
      <c r="A506" s="58">
        <f t="shared" si="62"/>
        <v>44551.791666665456</v>
      </c>
      <c r="B506" s="59">
        <f t="shared" si="63"/>
        <v>44551.833333332121</v>
      </c>
      <c r="C506" s="60" t="e">
        <f>#REF!</f>
        <v>#REF!</v>
      </c>
      <c r="D506" s="61" t="e">
        <f>IF(C506&gt;0,Pricing!E506*$E$5,0)</f>
        <v>#REF!</v>
      </c>
      <c r="E506" s="61" t="e">
        <f t="shared" si="56"/>
        <v>#REF!</v>
      </c>
      <c r="F506" s="60" t="e">
        <f>#REF!</f>
        <v>#REF!</v>
      </c>
      <c r="G506" s="61" t="e">
        <f>IF(F506&gt;0,Pricing!E506*$H$5,0)</f>
        <v>#REF!</v>
      </c>
      <c r="H506" s="61" t="e">
        <f t="shared" si="57"/>
        <v>#REF!</v>
      </c>
      <c r="I506" s="62" t="e">
        <f>#REF!</f>
        <v>#REF!</v>
      </c>
      <c r="J506" s="61" t="e">
        <f>IF(I506&gt;0,Pricing!E506*$K$5,0)</f>
        <v>#REF!</v>
      </c>
      <c r="K506" s="63" t="e">
        <f t="shared" si="58"/>
        <v>#REF!</v>
      </c>
      <c r="L506" s="64" t="e">
        <f>#REF!</f>
        <v>#REF!</v>
      </c>
      <c r="M506" s="61" t="e">
        <f>IF(L506&lt;0,Pricing!E506*$N$5,0)</f>
        <v>#REF!</v>
      </c>
      <c r="N506" s="61" t="e">
        <f t="shared" si="59"/>
        <v>#REF!</v>
      </c>
      <c r="O506" s="60" t="e">
        <f>#REF!</f>
        <v>#REF!</v>
      </c>
      <c r="P506" s="61" t="e">
        <f>IF(O506&lt;0,Pricing!E506*$Q$5,0)</f>
        <v>#REF!</v>
      </c>
      <c r="Q506" s="61" t="e">
        <f t="shared" si="60"/>
        <v>#REF!</v>
      </c>
      <c r="R506" s="60" t="e">
        <f>#REF!</f>
        <v>#REF!</v>
      </c>
      <c r="S506" s="61" t="e">
        <f>IF(R506&lt;0,Pricing!E506*$T$5,0)</f>
        <v>#REF!</v>
      </c>
      <c r="T506" s="61" t="e">
        <f t="shared" si="61"/>
        <v>#REF!</v>
      </c>
    </row>
    <row r="507" spans="1:20" x14ac:dyDescent="0.25">
      <c r="A507" s="58">
        <f t="shared" si="62"/>
        <v>44551.833333332121</v>
      </c>
      <c r="B507" s="59">
        <f t="shared" si="63"/>
        <v>44551.874999998785</v>
      </c>
      <c r="C507" s="60" t="e">
        <f>#REF!</f>
        <v>#REF!</v>
      </c>
      <c r="D507" s="61" t="e">
        <f>IF(C507&gt;0,Pricing!E507*$E$5,0)</f>
        <v>#REF!</v>
      </c>
      <c r="E507" s="61" t="e">
        <f t="shared" si="56"/>
        <v>#REF!</v>
      </c>
      <c r="F507" s="60" t="e">
        <f>#REF!</f>
        <v>#REF!</v>
      </c>
      <c r="G507" s="61" t="e">
        <f>IF(F507&gt;0,Pricing!E507*$H$5,0)</f>
        <v>#REF!</v>
      </c>
      <c r="H507" s="61" t="e">
        <f t="shared" si="57"/>
        <v>#REF!</v>
      </c>
      <c r="I507" s="62" t="e">
        <f>#REF!</f>
        <v>#REF!</v>
      </c>
      <c r="J507" s="61" t="e">
        <f>IF(I507&gt;0,Pricing!E507*$K$5,0)</f>
        <v>#REF!</v>
      </c>
      <c r="K507" s="63" t="e">
        <f t="shared" si="58"/>
        <v>#REF!</v>
      </c>
      <c r="L507" s="64" t="e">
        <f>#REF!</f>
        <v>#REF!</v>
      </c>
      <c r="M507" s="61" t="e">
        <f>IF(L507&lt;0,Pricing!E507*$N$5,0)</f>
        <v>#REF!</v>
      </c>
      <c r="N507" s="61" t="e">
        <f t="shared" si="59"/>
        <v>#REF!</v>
      </c>
      <c r="O507" s="60" t="e">
        <f>#REF!</f>
        <v>#REF!</v>
      </c>
      <c r="P507" s="61" t="e">
        <f>IF(O507&lt;0,Pricing!E507*$Q$5,0)</f>
        <v>#REF!</v>
      </c>
      <c r="Q507" s="61" t="e">
        <f t="shared" si="60"/>
        <v>#REF!</v>
      </c>
      <c r="R507" s="60" t="e">
        <f>#REF!</f>
        <v>#REF!</v>
      </c>
      <c r="S507" s="61" t="e">
        <f>IF(R507&lt;0,Pricing!E507*$T$5,0)</f>
        <v>#REF!</v>
      </c>
      <c r="T507" s="61" t="e">
        <f t="shared" si="61"/>
        <v>#REF!</v>
      </c>
    </row>
    <row r="508" spans="1:20" x14ac:dyDescent="0.25">
      <c r="A508" s="58">
        <f t="shared" si="62"/>
        <v>44551.874999998785</v>
      </c>
      <c r="B508" s="59">
        <f t="shared" si="63"/>
        <v>44551.916666665449</v>
      </c>
      <c r="C508" s="60" t="e">
        <f>#REF!</f>
        <v>#REF!</v>
      </c>
      <c r="D508" s="61" t="e">
        <f>IF(C508&gt;0,Pricing!E508*$E$5,0)</f>
        <v>#REF!</v>
      </c>
      <c r="E508" s="61" t="e">
        <f t="shared" si="56"/>
        <v>#REF!</v>
      </c>
      <c r="F508" s="60" t="e">
        <f>#REF!</f>
        <v>#REF!</v>
      </c>
      <c r="G508" s="61" t="e">
        <f>IF(F508&gt;0,Pricing!E508*$H$5,0)</f>
        <v>#REF!</v>
      </c>
      <c r="H508" s="61" t="e">
        <f t="shared" si="57"/>
        <v>#REF!</v>
      </c>
      <c r="I508" s="62" t="e">
        <f>#REF!</f>
        <v>#REF!</v>
      </c>
      <c r="J508" s="61" t="e">
        <f>IF(I508&gt;0,Pricing!E508*$K$5,0)</f>
        <v>#REF!</v>
      </c>
      <c r="K508" s="63" t="e">
        <f t="shared" si="58"/>
        <v>#REF!</v>
      </c>
      <c r="L508" s="64" t="e">
        <f>#REF!</f>
        <v>#REF!</v>
      </c>
      <c r="M508" s="61" t="e">
        <f>IF(L508&lt;0,Pricing!E508*$N$5,0)</f>
        <v>#REF!</v>
      </c>
      <c r="N508" s="61" t="e">
        <f t="shared" si="59"/>
        <v>#REF!</v>
      </c>
      <c r="O508" s="60" t="e">
        <f>#REF!</f>
        <v>#REF!</v>
      </c>
      <c r="P508" s="61" t="e">
        <f>IF(O508&lt;0,Pricing!E508*$Q$5,0)</f>
        <v>#REF!</v>
      </c>
      <c r="Q508" s="61" t="e">
        <f t="shared" si="60"/>
        <v>#REF!</v>
      </c>
      <c r="R508" s="60" t="e">
        <f>#REF!</f>
        <v>#REF!</v>
      </c>
      <c r="S508" s="61" t="e">
        <f>IF(R508&lt;0,Pricing!E508*$T$5,0)</f>
        <v>#REF!</v>
      </c>
      <c r="T508" s="61" t="e">
        <f t="shared" si="61"/>
        <v>#REF!</v>
      </c>
    </row>
    <row r="509" spans="1:20" x14ac:dyDescent="0.25">
      <c r="A509" s="58">
        <f t="shared" si="62"/>
        <v>44551.916666665449</v>
      </c>
      <c r="B509" s="59">
        <f t="shared" si="63"/>
        <v>44551.958333332113</v>
      </c>
      <c r="C509" s="60" t="e">
        <f>#REF!</f>
        <v>#REF!</v>
      </c>
      <c r="D509" s="61" t="e">
        <f>IF(C509&gt;0,Pricing!E509*$E$5,0)</f>
        <v>#REF!</v>
      </c>
      <c r="E509" s="61" t="e">
        <f t="shared" si="56"/>
        <v>#REF!</v>
      </c>
      <c r="F509" s="60" t="e">
        <f>#REF!</f>
        <v>#REF!</v>
      </c>
      <c r="G509" s="61" t="e">
        <f>IF(F509&gt;0,Pricing!E509*$H$5,0)</f>
        <v>#REF!</v>
      </c>
      <c r="H509" s="61" t="e">
        <f t="shared" si="57"/>
        <v>#REF!</v>
      </c>
      <c r="I509" s="62" t="e">
        <f>#REF!</f>
        <v>#REF!</v>
      </c>
      <c r="J509" s="61" t="e">
        <f>IF(I509&gt;0,Pricing!E509*$K$5,0)</f>
        <v>#REF!</v>
      </c>
      <c r="K509" s="63" t="e">
        <f t="shared" si="58"/>
        <v>#REF!</v>
      </c>
      <c r="L509" s="64" t="e">
        <f>#REF!</f>
        <v>#REF!</v>
      </c>
      <c r="M509" s="61" t="e">
        <f>IF(L509&lt;0,Pricing!E509*$N$5,0)</f>
        <v>#REF!</v>
      </c>
      <c r="N509" s="61" t="e">
        <f t="shared" si="59"/>
        <v>#REF!</v>
      </c>
      <c r="O509" s="60" t="e">
        <f>#REF!</f>
        <v>#REF!</v>
      </c>
      <c r="P509" s="61" t="e">
        <f>IF(O509&lt;0,Pricing!E509*$Q$5,0)</f>
        <v>#REF!</v>
      </c>
      <c r="Q509" s="61" t="e">
        <f t="shared" si="60"/>
        <v>#REF!</v>
      </c>
      <c r="R509" s="60" t="e">
        <f>#REF!</f>
        <v>#REF!</v>
      </c>
      <c r="S509" s="61" t="e">
        <f>IF(R509&lt;0,Pricing!E509*$T$5,0)</f>
        <v>#REF!</v>
      </c>
      <c r="T509" s="61" t="e">
        <f t="shared" si="61"/>
        <v>#REF!</v>
      </c>
    </row>
    <row r="510" spans="1:20" x14ac:dyDescent="0.25">
      <c r="A510" s="58">
        <f t="shared" si="62"/>
        <v>44551.958333332113</v>
      </c>
      <c r="B510" s="59">
        <f t="shared" si="63"/>
        <v>44551.999999998778</v>
      </c>
      <c r="C510" s="60" t="e">
        <f>#REF!</f>
        <v>#REF!</v>
      </c>
      <c r="D510" s="61" t="e">
        <f>IF(C510&gt;0,Pricing!E510*$E$5,0)</f>
        <v>#REF!</v>
      </c>
      <c r="E510" s="61" t="e">
        <f t="shared" si="56"/>
        <v>#REF!</v>
      </c>
      <c r="F510" s="60" t="e">
        <f>#REF!</f>
        <v>#REF!</v>
      </c>
      <c r="G510" s="61" t="e">
        <f>IF(F510&gt;0,Pricing!E510*$H$5,0)</f>
        <v>#REF!</v>
      </c>
      <c r="H510" s="61" t="e">
        <f t="shared" si="57"/>
        <v>#REF!</v>
      </c>
      <c r="I510" s="62" t="e">
        <f>#REF!</f>
        <v>#REF!</v>
      </c>
      <c r="J510" s="61" t="e">
        <f>IF(I510&gt;0,Pricing!E510*$K$5,0)</f>
        <v>#REF!</v>
      </c>
      <c r="K510" s="63" t="e">
        <f t="shared" si="58"/>
        <v>#REF!</v>
      </c>
      <c r="L510" s="64" t="e">
        <f>#REF!</f>
        <v>#REF!</v>
      </c>
      <c r="M510" s="61" t="e">
        <f>IF(L510&lt;0,Pricing!E510*$N$5,0)</f>
        <v>#REF!</v>
      </c>
      <c r="N510" s="61" t="e">
        <f t="shared" si="59"/>
        <v>#REF!</v>
      </c>
      <c r="O510" s="60" t="e">
        <f>#REF!</f>
        <v>#REF!</v>
      </c>
      <c r="P510" s="61" t="e">
        <f>IF(O510&lt;0,Pricing!E510*$Q$5,0)</f>
        <v>#REF!</v>
      </c>
      <c r="Q510" s="61" t="e">
        <f t="shared" si="60"/>
        <v>#REF!</v>
      </c>
      <c r="R510" s="60" t="e">
        <f>#REF!</f>
        <v>#REF!</v>
      </c>
      <c r="S510" s="61" t="e">
        <f>IF(R510&lt;0,Pricing!E510*$T$5,0)</f>
        <v>#REF!</v>
      </c>
      <c r="T510" s="61" t="e">
        <f t="shared" si="61"/>
        <v>#REF!</v>
      </c>
    </row>
    <row r="511" spans="1:20" x14ac:dyDescent="0.25">
      <c r="A511" s="58">
        <f t="shared" si="62"/>
        <v>44551.999999998778</v>
      </c>
      <c r="B511" s="59">
        <f t="shared" si="63"/>
        <v>44552.041666665442</v>
      </c>
      <c r="C511" s="60" t="e">
        <f>#REF!</f>
        <v>#REF!</v>
      </c>
      <c r="D511" s="61" t="e">
        <f>IF(C511&gt;0,Pricing!E511*$E$5,0)</f>
        <v>#REF!</v>
      </c>
      <c r="E511" s="61" t="e">
        <f t="shared" si="56"/>
        <v>#REF!</v>
      </c>
      <c r="F511" s="60" t="e">
        <f>#REF!</f>
        <v>#REF!</v>
      </c>
      <c r="G511" s="61" t="e">
        <f>IF(F511&gt;0,Pricing!E511*$H$5,0)</f>
        <v>#REF!</v>
      </c>
      <c r="H511" s="61" t="e">
        <f t="shared" si="57"/>
        <v>#REF!</v>
      </c>
      <c r="I511" s="62" t="e">
        <f>#REF!</f>
        <v>#REF!</v>
      </c>
      <c r="J511" s="61" t="e">
        <f>IF(I511&gt;0,Pricing!E511*$K$5,0)</f>
        <v>#REF!</v>
      </c>
      <c r="K511" s="63" t="e">
        <f t="shared" si="58"/>
        <v>#REF!</v>
      </c>
      <c r="L511" s="64" t="e">
        <f>#REF!</f>
        <v>#REF!</v>
      </c>
      <c r="M511" s="61" t="e">
        <f>IF(L511&lt;0,Pricing!E511*$N$5,0)</f>
        <v>#REF!</v>
      </c>
      <c r="N511" s="61" t="e">
        <f t="shared" si="59"/>
        <v>#REF!</v>
      </c>
      <c r="O511" s="60" t="e">
        <f>#REF!</f>
        <v>#REF!</v>
      </c>
      <c r="P511" s="61" t="e">
        <f>IF(O511&lt;0,Pricing!E511*$Q$5,0)</f>
        <v>#REF!</v>
      </c>
      <c r="Q511" s="61" t="e">
        <f t="shared" si="60"/>
        <v>#REF!</v>
      </c>
      <c r="R511" s="60" t="e">
        <f>#REF!</f>
        <v>#REF!</v>
      </c>
      <c r="S511" s="61" t="e">
        <f>IF(R511&lt;0,Pricing!E511*$T$5,0)</f>
        <v>#REF!</v>
      </c>
      <c r="T511" s="61" t="e">
        <f t="shared" si="61"/>
        <v>#REF!</v>
      </c>
    </row>
    <row r="512" spans="1:20" x14ac:dyDescent="0.25">
      <c r="A512" s="58">
        <f t="shared" si="62"/>
        <v>44552.041666665442</v>
      </c>
      <c r="B512" s="59">
        <f t="shared" si="63"/>
        <v>44552.083333332106</v>
      </c>
      <c r="C512" s="60" t="e">
        <f>#REF!</f>
        <v>#REF!</v>
      </c>
      <c r="D512" s="61" t="e">
        <f>IF(C512&gt;0,Pricing!E512*$E$5,0)</f>
        <v>#REF!</v>
      </c>
      <c r="E512" s="61" t="e">
        <f t="shared" si="56"/>
        <v>#REF!</v>
      </c>
      <c r="F512" s="60" t="e">
        <f>#REF!</f>
        <v>#REF!</v>
      </c>
      <c r="G512" s="61" t="e">
        <f>IF(F512&gt;0,Pricing!E512*$H$5,0)</f>
        <v>#REF!</v>
      </c>
      <c r="H512" s="61" t="e">
        <f t="shared" si="57"/>
        <v>#REF!</v>
      </c>
      <c r="I512" s="62" t="e">
        <f>#REF!</f>
        <v>#REF!</v>
      </c>
      <c r="J512" s="61" t="e">
        <f>IF(I512&gt;0,Pricing!E512*$K$5,0)</f>
        <v>#REF!</v>
      </c>
      <c r="K512" s="63" t="e">
        <f t="shared" si="58"/>
        <v>#REF!</v>
      </c>
      <c r="L512" s="64" t="e">
        <f>#REF!</f>
        <v>#REF!</v>
      </c>
      <c r="M512" s="61" t="e">
        <f>IF(L512&lt;0,Pricing!E512*$N$5,0)</f>
        <v>#REF!</v>
      </c>
      <c r="N512" s="61" t="e">
        <f t="shared" si="59"/>
        <v>#REF!</v>
      </c>
      <c r="O512" s="60" t="e">
        <f>#REF!</f>
        <v>#REF!</v>
      </c>
      <c r="P512" s="61" t="e">
        <f>IF(O512&lt;0,Pricing!E512*$Q$5,0)</f>
        <v>#REF!</v>
      </c>
      <c r="Q512" s="61" t="e">
        <f t="shared" si="60"/>
        <v>#REF!</v>
      </c>
      <c r="R512" s="60" t="e">
        <f>#REF!</f>
        <v>#REF!</v>
      </c>
      <c r="S512" s="61" t="e">
        <f>IF(R512&lt;0,Pricing!E512*$T$5,0)</f>
        <v>#REF!</v>
      </c>
      <c r="T512" s="61" t="e">
        <f t="shared" si="61"/>
        <v>#REF!</v>
      </c>
    </row>
    <row r="513" spans="1:20" x14ac:dyDescent="0.25">
      <c r="A513" s="58">
        <f t="shared" si="62"/>
        <v>44552.083333332106</v>
      </c>
      <c r="B513" s="59">
        <f t="shared" si="63"/>
        <v>44552.12499999877</v>
      </c>
      <c r="C513" s="60" t="e">
        <f>#REF!</f>
        <v>#REF!</v>
      </c>
      <c r="D513" s="61" t="e">
        <f>IF(C513&gt;0,Pricing!E513*$E$5,0)</f>
        <v>#REF!</v>
      </c>
      <c r="E513" s="61" t="e">
        <f t="shared" si="56"/>
        <v>#REF!</v>
      </c>
      <c r="F513" s="60" t="e">
        <f>#REF!</f>
        <v>#REF!</v>
      </c>
      <c r="G513" s="61" t="e">
        <f>IF(F513&gt;0,Pricing!E513*$H$5,0)</f>
        <v>#REF!</v>
      </c>
      <c r="H513" s="61" t="e">
        <f t="shared" si="57"/>
        <v>#REF!</v>
      </c>
      <c r="I513" s="62" t="e">
        <f>#REF!</f>
        <v>#REF!</v>
      </c>
      <c r="J513" s="61" t="e">
        <f>IF(I513&gt;0,Pricing!E513*$K$5,0)</f>
        <v>#REF!</v>
      </c>
      <c r="K513" s="63" t="e">
        <f t="shared" si="58"/>
        <v>#REF!</v>
      </c>
      <c r="L513" s="64" t="e">
        <f>#REF!</f>
        <v>#REF!</v>
      </c>
      <c r="M513" s="61" t="e">
        <f>IF(L513&lt;0,Pricing!E513*$N$5,0)</f>
        <v>#REF!</v>
      </c>
      <c r="N513" s="61" t="e">
        <f t="shared" si="59"/>
        <v>#REF!</v>
      </c>
      <c r="O513" s="60" t="e">
        <f>#REF!</f>
        <v>#REF!</v>
      </c>
      <c r="P513" s="61" t="e">
        <f>IF(O513&lt;0,Pricing!E513*$Q$5,0)</f>
        <v>#REF!</v>
      </c>
      <c r="Q513" s="61" t="e">
        <f t="shared" si="60"/>
        <v>#REF!</v>
      </c>
      <c r="R513" s="60" t="e">
        <f>#REF!</f>
        <v>#REF!</v>
      </c>
      <c r="S513" s="61" t="e">
        <f>IF(R513&lt;0,Pricing!E513*$T$5,0)</f>
        <v>#REF!</v>
      </c>
      <c r="T513" s="61" t="e">
        <f t="shared" si="61"/>
        <v>#REF!</v>
      </c>
    </row>
    <row r="514" spans="1:20" x14ac:dyDescent="0.25">
      <c r="A514" s="58">
        <f t="shared" si="62"/>
        <v>44552.12499999877</v>
      </c>
      <c r="B514" s="59">
        <f t="shared" si="63"/>
        <v>44552.166666665435</v>
      </c>
      <c r="C514" s="60" t="e">
        <f>#REF!</f>
        <v>#REF!</v>
      </c>
      <c r="D514" s="61" t="e">
        <f>IF(C514&gt;0,Pricing!E514*$E$5,0)</f>
        <v>#REF!</v>
      </c>
      <c r="E514" s="61" t="e">
        <f t="shared" si="56"/>
        <v>#REF!</v>
      </c>
      <c r="F514" s="60" t="e">
        <f>#REF!</f>
        <v>#REF!</v>
      </c>
      <c r="G514" s="61" t="e">
        <f>IF(F514&gt;0,Pricing!E514*$H$5,0)</f>
        <v>#REF!</v>
      </c>
      <c r="H514" s="61" t="e">
        <f t="shared" si="57"/>
        <v>#REF!</v>
      </c>
      <c r="I514" s="62" t="e">
        <f>#REF!</f>
        <v>#REF!</v>
      </c>
      <c r="J514" s="61" t="e">
        <f>IF(I514&gt;0,Pricing!E514*$K$5,0)</f>
        <v>#REF!</v>
      </c>
      <c r="K514" s="63" t="e">
        <f t="shared" si="58"/>
        <v>#REF!</v>
      </c>
      <c r="L514" s="64" t="e">
        <f>#REF!</f>
        <v>#REF!</v>
      </c>
      <c r="M514" s="61" t="e">
        <f>IF(L514&lt;0,Pricing!E514*$N$5,0)</f>
        <v>#REF!</v>
      </c>
      <c r="N514" s="61" t="e">
        <f t="shared" si="59"/>
        <v>#REF!</v>
      </c>
      <c r="O514" s="60" t="e">
        <f>#REF!</f>
        <v>#REF!</v>
      </c>
      <c r="P514" s="61" t="e">
        <f>IF(O514&lt;0,Pricing!E514*$Q$5,0)</f>
        <v>#REF!</v>
      </c>
      <c r="Q514" s="61" t="e">
        <f t="shared" si="60"/>
        <v>#REF!</v>
      </c>
      <c r="R514" s="60" t="e">
        <f>#REF!</f>
        <v>#REF!</v>
      </c>
      <c r="S514" s="61" t="e">
        <f>IF(R514&lt;0,Pricing!E514*$T$5,0)</f>
        <v>#REF!</v>
      </c>
      <c r="T514" s="61" t="e">
        <f t="shared" si="61"/>
        <v>#REF!</v>
      </c>
    </row>
    <row r="515" spans="1:20" x14ac:dyDescent="0.25">
      <c r="A515" s="58">
        <f t="shared" si="62"/>
        <v>44552.166666665435</v>
      </c>
      <c r="B515" s="59">
        <f t="shared" si="63"/>
        <v>44552.208333332099</v>
      </c>
      <c r="C515" s="60" t="e">
        <f>#REF!</f>
        <v>#REF!</v>
      </c>
      <c r="D515" s="61" t="e">
        <f>IF(C515&gt;0,Pricing!E515*$E$5,0)</f>
        <v>#REF!</v>
      </c>
      <c r="E515" s="61" t="e">
        <f t="shared" si="56"/>
        <v>#REF!</v>
      </c>
      <c r="F515" s="60" t="e">
        <f>#REF!</f>
        <v>#REF!</v>
      </c>
      <c r="G515" s="61" t="e">
        <f>IF(F515&gt;0,Pricing!E515*$H$5,0)</f>
        <v>#REF!</v>
      </c>
      <c r="H515" s="61" t="e">
        <f t="shared" si="57"/>
        <v>#REF!</v>
      </c>
      <c r="I515" s="62" t="e">
        <f>#REF!</f>
        <v>#REF!</v>
      </c>
      <c r="J515" s="61" t="e">
        <f>IF(I515&gt;0,Pricing!E515*$K$5,0)</f>
        <v>#REF!</v>
      </c>
      <c r="K515" s="63" t="e">
        <f t="shared" si="58"/>
        <v>#REF!</v>
      </c>
      <c r="L515" s="64" t="e">
        <f>#REF!</f>
        <v>#REF!</v>
      </c>
      <c r="M515" s="61" t="e">
        <f>IF(L515&lt;0,Pricing!E515*$N$5,0)</f>
        <v>#REF!</v>
      </c>
      <c r="N515" s="61" t="e">
        <f t="shared" si="59"/>
        <v>#REF!</v>
      </c>
      <c r="O515" s="60" t="e">
        <f>#REF!</f>
        <v>#REF!</v>
      </c>
      <c r="P515" s="61" t="e">
        <f>IF(O515&lt;0,Pricing!E515*$Q$5,0)</f>
        <v>#REF!</v>
      </c>
      <c r="Q515" s="61" t="e">
        <f t="shared" si="60"/>
        <v>#REF!</v>
      </c>
      <c r="R515" s="60" t="e">
        <f>#REF!</f>
        <v>#REF!</v>
      </c>
      <c r="S515" s="61" t="e">
        <f>IF(R515&lt;0,Pricing!E515*$T$5,0)</f>
        <v>#REF!</v>
      </c>
      <c r="T515" s="61" t="e">
        <f t="shared" si="61"/>
        <v>#REF!</v>
      </c>
    </row>
    <row r="516" spans="1:20" x14ac:dyDescent="0.25">
      <c r="A516" s="58">
        <f t="shared" si="62"/>
        <v>44552.208333332099</v>
      </c>
      <c r="B516" s="59">
        <f t="shared" si="63"/>
        <v>44552.249999998763</v>
      </c>
      <c r="C516" s="60" t="e">
        <f>#REF!</f>
        <v>#REF!</v>
      </c>
      <c r="D516" s="61" t="e">
        <f>IF(C516&gt;0,Pricing!E516*$E$5,0)</f>
        <v>#REF!</v>
      </c>
      <c r="E516" s="61" t="e">
        <f t="shared" si="56"/>
        <v>#REF!</v>
      </c>
      <c r="F516" s="60" t="e">
        <f>#REF!</f>
        <v>#REF!</v>
      </c>
      <c r="G516" s="61" t="e">
        <f>IF(F516&gt;0,Pricing!E516*$H$5,0)</f>
        <v>#REF!</v>
      </c>
      <c r="H516" s="61" t="e">
        <f t="shared" si="57"/>
        <v>#REF!</v>
      </c>
      <c r="I516" s="62" t="e">
        <f>#REF!</f>
        <v>#REF!</v>
      </c>
      <c r="J516" s="61" t="e">
        <f>IF(I516&gt;0,Pricing!E516*$K$5,0)</f>
        <v>#REF!</v>
      </c>
      <c r="K516" s="63" t="e">
        <f t="shared" si="58"/>
        <v>#REF!</v>
      </c>
      <c r="L516" s="64" t="e">
        <f>#REF!</f>
        <v>#REF!</v>
      </c>
      <c r="M516" s="61" t="e">
        <f>IF(L516&lt;0,Pricing!E516*$N$5,0)</f>
        <v>#REF!</v>
      </c>
      <c r="N516" s="61" t="e">
        <f t="shared" si="59"/>
        <v>#REF!</v>
      </c>
      <c r="O516" s="60" t="e">
        <f>#REF!</f>
        <v>#REF!</v>
      </c>
      <c r="P516" s="61" t="e">
        <f>IF(O516&lt;0,Pricing!E516*$Q$5,0)</f>
        <v>#REF!</v>
      </c>
      <c r="Q516" s="61" t="e">
        <f t="shared" si="60"/>
        <v>#REF!</v>
      </c>
      <c r="R516" s="60" t="e">
        <f>#REF!</f>
        <v>#REF!</v>
      </c>
      <c r="S516" s="61" t="e">
        <f>IF(R516&lt;0,Pricing!E516*$T$5,0)</f>
        <v>#REF!</v>
      </c>
      <c r="T516" s="61" t="e">
        <f t="shared" si="61"/>
        <v>#REF!</v>
      </c>
    </row>
    <row r="517" spans="1:20" x14ac:dyDescent="0.25">
      <c r="A517" s="58">
        <f t="shared" si="62"/>
        <v>44552.249999998763</v>
      </c>
      <c r="B517" s="59">
        <f t="shared" si="63"/>
        <v>44552.291666665427</v>
      </c>
      <c r="C517" s="60" t="e">
        <f>#REF!</f>
        <v>#REF!</v>
      </c>
      <c r="D517" s="61" t="e">
        <f>IF(C517&gt;0,Pricing!E517*$E$5,0)</f>
        <v>#REF!</v>
      </c>
      <c r="E517" s="61" t="e">
        <f t="shared" si="56"/>
        <v>#REF!</v>
      </c>
      <c r="F517" s="60" t="e">
        <f>#REF!</f>
        <v>#REF!</v>
      </c>
      <c r="G517" s="61" t="e">
        <f>IF(F517&gt;0,Pricing!E517*$H$5,0)</f>
        <v>#REF!</v>
      </c>
      <c r="H517" s="61" t="e">
        <f t="shared" si="57"/>
        <v>#REF!</v>
      </c>
      <c r="I517" s="62" t="e">
        <f>#REF!</f>
        <v>#REF!</v>
      </c>
      <c r="J517" s="61" t="e">
        <f>IF(I517&gt;0,Pricing!E517*$K$5,0)</f>
        <v>#REF!</v>
      </c>
      <c r="K517" s="63" t="e">
        <f t="shared" si="58"/>
        <v>#REF!</v>
      </c>
      <c r="L517" s="64" t="e">
        <f>#REF!</f>
        <v>#REF!</v>
      </c>
      <c r="M517" s="61" t="e">
        <f>IF(L517&lt;0,Pricing!E517*$N$5,0)</f>
        <v>#REF!</v>
      </c>
      <c r="N517" s="61" t="e">
        <f t="shared" si="59"/>
        <v>#REF!</v>
      </c>
      <c r="O517" s="60" t="e">
        <f>#REF!</f>
        <v>#REF!</v>
      </c>
      <c r="P517" s="61" t="e">
        <f>IF(O517&lt;0,Pricing!E517*$Q$5,0)</f>
        <v>#REF!</v>
      </c>
      <c r="Q517" s="61" t="e">
        <f t="shared" si="60"/>
        <v>#REF!</v>
      </c>
      <c r="R517" s="60" t="e">
        <f>#REF!</f>
        <v>#REF!</v>
      </c>
      <c r="S517" s="61" t="e">
        <f>IF(R517&lt;0,Pricing!E517*$T$5,0)</f>
        <v>#REF!</v>
      </c>
      <c r="T517" s="61" t="e">
        <f t="shared" si="61"/>
        <v>#REF!</v>
      </c>
    </row>
    <row r="518" spans="1:20" x14ac:dyDescent="0.25">
      <c r="A518" s="58">
        <f t="shared" si="62"/>
        <v>44552.291666665427</v>
      </c>
      <c r="B518" s="59">
        <f t="shared" si="63"/>
        <v>44552.333333332092</v>
      </c>
      <c r="C518" s="60" t="e">
        <f>#REF!</f>
        <v>#REF!</v>
      </c>
      <c r="D518" s="61" t="e">
        <f>IF(C518&gt;0,Pricing!E518*$E$5,0)</f>
        <v>#REF!</v>
      </c>
      <c r="E518" s="61" t="e">
        <f t="shared" si="56"/>
        <v>#REF!</v>
      </c>
      <c r="F518" s="60" t="e">
        <f>#REF!</f>
        <v>#REF!</v>
      </c>
      <c r="G518" s="61" t="e">
        <f>IF(F518&gt;0,Pricing!E518*$H$5,0)</f>
        <v>#REF!</v>
      </c>
      <c r="H518" s="61" t="e">
        <f t="shared" si="57"/>
        <v>#REF!</v>
      </c>
      <c r="I518" s="62" t="e">
        <f>#REF!</f>
        <v>#REF!</v>
      </c>
      <c r="J518" s="61" t="e">
        <f>IF(I518&gt;0,Pricing!E518*$K$5,0)</f>
        <v>#REF!</v>
      </c>
      <c r="K518" s="63" t="e">
        <f t="shared" si="58"/>
        <v>#REF!</v>
      </c>
      <c r="L518" s="64" t="e">
        <f>#REF!</f>
        <v>#REF!</v>
      </c>
      <c r="M518" s="61" t="e">
        <f>IF(L518&lt;0,Pricing!E518*$N$5,0)</f>
        <v>#REF!</v>
      </c>
      <c r="N518" s="61" t="e">
        <f t="shared" si="59"/>
        <v>#REF!</v>
      </c>
      <c r="O518" s="60" t="e">
        <f>#REF!</f>
        <v>#REF!</v>
      </c>
      <c r="P518" s="61" t="e">
        <f>IF(O518&lt;0,Pricing!E518*$Q$5,0)</f>
        <v>#REF!</v>
      </c>
      <c r="Q518" s="61" t="e">
        <f t="shared" si="60"/>
        <v>#REF!</v>
      </c>
      <c r="R518" s="60" t="e">
        <f>#REF!</f>
        <v>#REF!</v>
      </c>
      <c r="S518" s="61" t="e">
        <f>IF(R518&lt;0,Pricing!E518*$T$5,0)</f>
        <v>#REF!</v>
      </c>
      <c r="T518" s="61" t="e">
        <f t="shared" si="61"/>
        <v>#REF!</v>
      </c>
    </row>
    <row r="519" spans="1:20" x14ac:dyDescent="0.25">
      <c r="A519" s="58">
        <f t="shared" si="62"/>
        <v>44552.333333332092</v>
      </c>
      <c r="B519" s="59">
        <f t="shared" si="63"/>
        <v>44552.374999998756</v>
      </c>
      <c r="C519" s="60" t="e">
        <f>#REF!</f>
        <v>#REF!</v>
      </c>
      <c r="D519" s="61" t="e">
        <f>IF(C519&gt;0,Pricing!E519*$E$5,0)</f>
        <v>#REF!</v>
      </c>
      <c r="E519" s="61" t="e">
        <f t="shared" si="56"/>
        <v>#REF!</v>
      </c>
      <c r="F519" s="60" t="e">
        <f>#REF!</f>
        <v>#REF!</v>
      </c>
      <c r="G519" s="61" t="e">
        <f>IF(F519&gt;0,Pricing!E519*$H$5,0)</f>
        <v>#REF!</v>
      </c>
      <c r="H519" s="61" t="e">
        <f t="shared" si="57"/>
        <v>#REF!</v>
      </c>
      <c r="I519" s="62" t="e">
        <f>#REF!</f>
        <v>#REF!</v>
      </c>
      <c r="J519" s="61" t="e">
        <f>IF(I519&gt;0,Pricing!E519*$K$5,0)</f>
        <v>#REF!</v>
      </c>
      <c r="K519" s="63" t="e">
        <f t="shared" si="58"/>
        <v>#REF!</v>
      </c>
      <c r="L519" s="64" t="e">
        <f>#REF!</f>
        <v>#REF!</v>
      </c>
      <c r="M519" s="61" t="e">
        <f>IF(L519&lt;0,Pricing!E519*$N$5,0)</f>
        <v>#REF!</v>
      </c>
      <c r="N519" s="61" t="e">
        <f t="shared" si="59"/>
        <v>#REF!</v>
      </c>
      <c r="O519" s="60" t="e">
        <f>#REF!</f>
        <v>#REF!</v>
      </c>
      <c r="P519" s="61" t="e">
        <f>IF(O519&lt;0,Pricing!E519*$Q$5,0)</f>
        <v>#REF!</v>
      </c>
      <c r="Q519" s="61" t="e">
        <f t="shared" si="60"/>
        <v>#REF!</v>
      </c>
      <c r="R519" s="60" t="e">
        <f>#REF!</f>
        <v>#REF!</v>
      </c>
      <c r="S519" s="61" t="e">
        <f>IF(R519&lt;0,Pricing!E519*$T$5,0)</f>
        <v>#REF!</v>
      </c>
      <c r="T519" s="61" t="e">
        <f t="shared" si="61"/>
        <v>#REF!</v>
      </c>
    </row>
    <row r="520" spans="1:20" x14ac:dyDescent="0.25">
      <c r="A520" s="58">
        <f t="shared" si="62"/>
        <v>44552.374999998756</v>
      </c>
      <c r="B520" s="59">
        <f t="shared" si="63"/>
        <v>44552.41666666542</v>
      </c>
      <c r="C520" s="60" t="e">
        <f>#REF!</f>
        <v>#REF!</v>
      </c>
      <c r="D520" s="61" t="e">
        <f>IF(C520&gt;0,Pricing!E520*$E$5,0)</f>
        <v>#REF!</v>
      </c>
      <c r="E520" s="61" t="e">
        <f t="shared" ref="E520:E583" si="64">C520*D520</f>
        <v>#REF!</v>
      </c>
      <c r="F520" s="60" t="e">
        <f>#REF!</f>
        <v>#REF!</v>
      </c>
      <c r="G520" s="61" t="e">
        <f>IF(F520&gt;0,Pricing!E520*$H$5,0)</f>
        <v>#REF!</v>
      </c>
      <c r="H520" s="61" t="e">
        <f t="shared" ref="H520:H583" si="65">F520*G520</f>
        <v>#REF!</v>
      </c>
      <c r="I520" s="62" t="e">
        <f>#REF!</f>
        <v>#REF!</v>
      </c>
      <c r="J520" s="61" t="e">
        <f>IF(I520&gt;0,Pricing!E520*$K$5,0)</f>
        <v>#REF!</v>
      </c>
      <c r="K520" s="63" t="e">
        <f t="shared" ref="K520:K583" si="66">I520*J520</f>
        <v>#REF!</v>
      </c>
      <c r="L520" s="64" t="e">
        <f>#REF!</f>
        <v>#REF!</v>
      </c>
      <c r="M520" s="61" t="e">
        <f>IF(L520&lt;0,Pricing!E520*$N$5,0)</f>
        <v>#REF!</v>
      </c>
      <c r="N520" s="61" t="e">
        <f t="shared" ref="N520:N583" si="67">L520*M520</f>
        <v>#REF!</v>
      </c>
      <c r="O520" s="60" t="e">
        <f>#REF!</f>
        <v>#REF!</v>
      </c>
      <c r="P520" s="61" t="e">
        <f>IF(O520&lt;0,Pricing!E520*$Q$5,0)</f>
        <v>#REF!</v>
      </c>
      <c r="Q520" s="61" t="e">
        <f t="shared" ref="Q520:Q583" si="68">O520*P520</f>
        <v>#REF!</v>
      </c>
      <c r="R520" s="60" t="e">
        <f>#REF!</f>
        <v>#REF!</v>
      </c>
      <c r="S520" s="61" t="e">
        <f>IF(R520&lt;0,Pricing!E520*$T$5,0)</f>
        <v>#REF!</v>
      </c>
      <c r="T520" s="61" t="e">
        <f t="shared" ref="T520:T583" si="69">R520*S520</f>
        <v>#REF!</v>
      </c>
    </row>
    <row r="521" spans="1:20" x14ac:dyDescent="0.25">
      <c r="A521" s="58">
        <f t="shared" ref="A521:A584" si="70">$A520+1/24</f>
        <v>44552.41666666542</v>
      </c>
      <c r="B521" s="59">
        <f t="shared" ref="B521:B584" si="71">B520+1/24</f>
        <v>44552.458333332084</v>
      </c>
      <c r="C521" s="60" t="e">
        <f>#REF!</f>
        <v>#REF!</v>
      </c>
      <c r="D521" s="61" t="e">
        <f>IF(C521&gt;0,Pricing!E521*$E$5,0)</f>
        <v>#REF!</v>
      </c>
      <c r="E521" s="61" t="e">
        <f t="shared" si="64"/>
        <v>#REF!</v>
      </c>
      <c r="F521" s="60" t="e">
        <f>#REF!</f>
        <v>#REF!</v>
      </c>
      <c r="G521" s="61" t="e">
        <f>IF(F521&gt;0,Pricing!E521*$H$5,0)</f>
        <v>#REF!</v>
      </c>
      <c r="H521" s="61" t="e">
        <f t="shared" si="65"/>
        <v>#REF!</v>
      </c>
      <c r="I521" s="62" t="e">
        <f>#REF!</f>
        <v>#REF!</v>
      </c>
      <c r="J521" s="61" t="e">
        <f>IF(I521&gt;0,Pricing!E521*$K$5,0)</f>
        <v>#REF!</v>
      </c>
      <c r="K521" s="63" t="e">
        <f t="shared" si="66"/>
        <v>#REF!</v>
      </c>
      <c r="L521" s="64" t="e">
        <f>#REF!</f>
        <v>#REF!</v>
      </c>
      <c r="M521" s="61" t="e">
        <f>IF(L521&lt;0,Pricing!E521*$N$5,0)</f>
        <v>#REF!</v>
      </c>
      <c r="N521" s="61" t="e">
        <f t="shared" si="67"/>
        <v>#REF!</v>
      </c>
      <c r="O521" s="60" t="e">
        <f>#REF!</f>
        <v>#REF!</v>
      </c>
      <c r="P521" s="61" t="e">
        <f>IF(O521&lt;0,Pricing!E521*$Q$5,0)</f>
        <v>#REF!</v>
      </c>
      <c r="Q521" s="61" t="e">
        <f t="shared" si="68"/>
        <v>#REF!</v>
      </c>
      <c r="R521" s="60" t="e">
        <f>#REF!</f>
        <v>#REF!</v>
      </c>
      <c r="S521" s="61" t="e">
        <f>IF(R521&lt;0,Pricing!E521*$T$5,0)</f>
        <v>#REF!</v>
      </c>
      <c r="T521" s="61" t="e">
        <f t="shared" si="69"/>
        <v>#REF!</v>
      </c>
    </row>
    <row r="522" spans="1:20" x14ac:dyDescent="0.25">
      <c r="A522" s="58">
        <f t="shared" si="70"/>
        <v>44552.458333332084</v>
      </c>
      <c r="B522" s="59">
        <f t="shared" si="71"/>
        <v>44552.499999998749</v>
      </c>
      <c r="C522" s="60" t="e">
        <f>#REF!</f>
        <v>#REF!</v>
      </c>
      <c r="D522" s="61" t="e">
        <f>IF(C522&gt;0,Pricing!E522*$E$5,0)</f>
        <v>#REF!</v>
      </c>
      <c r="E522" s="61" t="e">
        <f t="shared" si="64"/>
        <v>#REF!</v>
      </c>
      <c r="F522" s="60" t="e">
        <f>#REF!</f>
        <v>#REF!</v>
      </c>
      <c r="G522" s="61" t="e">
        <f>IF(F522&gt;0,Pricing!E522*$H$5,0)</f>
        <v>#REF!</v>
      </c>
      <c r="H522" s="61" t="e">
        <f t="shared" si="65"/>
        <v>#REF!</v>
      </c>
      <c r="I522" s="62" t="e">
        <f>#REF!</f>
        <v>#REF!</v>
      </c>
      <c r="J522" s="61" t="e">
        <f>IF(I522&gt;0,Pricing!E522*$K$5,0)</f>
        <v>#REF!</v>
      </c>
      <c r="K522" s="63" t="e">
        <f t="shared" si="66"/>
        <v>#REF!</v>
      </c>
      <c r="L522" s="64" t="e">
        <f>#REF!</f>
        <v>#REF!</v>
      </c>
      <c r="M522" s="61" t="e">
        <f>IF(L522&lt;0,Pricing!E522*$N$5,0)</f>
        <v>#REF!</v>
      </c>
      <c r="N522" s="61" t="e">
        <f t="shared" si="67"/>
        <v>#REF!</v>
      </c>
      <c r="O522" s="60" t="e">
        <f>#REF!</f>
        <v>#REF!</v>
      </c>
      <c r="P522" s="61" t="e">
        <f>IF(O522&lt;0,Pricing!E522*$Q$5,0)</f>
        <v>#REF!</v>
      </c>
      <c r="Q522" s="61" t="e">
        <f t="shared" si="68"/>
        <v>#REF!</v>
      </c>
      <c r="R522" s="60" t="e">
        <f>#REF!</f>
        <v>#REF!</v>
      </c>
      <c r="S522" s="61" t="e">
        <f>IF(R522&lt;0,Pricing!E522*$T$5,0)</f>
        <v>#REF!</v>
      </c>
      <c r="T522" s="61" t="e">
        <f t="shared" si="69"/>
        <v>#REF!</v>
      </c>
    </row>
    <row r="523" spans="1:20" x14ac:dyDescent="0.25">
      <c r="A523" s="58">
        <f t="shared" si="70"/>
        <v>44552.499999998749</v>
      </c>
      <c r="B523" s="59">
        <f t="shared" si="71"/>
        <v>44552.541666665413</v>
      </c>
      <c r="C523" s="60" t="e">
        <f>#REF!</f>
        <v>#REF!</v>
      </c>
      <c r="D523" s="61" t="e">
        <f>IF(C523&gt;0,Pricing!E523*$E$5,0)</f>
        <v>#REF!</v>
      </c>
      <c r="E523" s="61" t="e">
        <f t="shared" si="64"/>
        <v>#REF!</v>
      </c>
      <c r="F523" s="60" t="e">
        <f>#REF!</f>
        <v>#REF!</v>
      </c>
      <c r="G523" s="61" t="e">
        <f>IF(F523&gt;0,Pricing!E523*$H$5,0)</f>
        <v>#REF!</v>
      </c>
      <c r="H523" s="61" t="e">
        <f t="shared" si="65"/>
        <v>#REF!</v>
      </c>
      <c r="I523" s="62" t="e">
        <f>#REF!</f>
        <v>#REF!</v>
      </c>
      <c r="J523" s="61" t="e">
        <f>IF(I523&gt;0,Pricing!E523*$K$5,0)</f>
        <v>#REF!</v>
      </c>
      <c r="K523" s="63" t="e">
        <f t="shared" si="66"/>
        <v>#REF!</v>
      </c>
      <c r="L523" s="64" t="e">
        <f>#REF!</f>
        <v>#REF!</v>
      </c>
      <c r="M523" s="61" t="e">
        <f>IF(L523&lt;0,Pricing!E523*$N$5,0)</f>
        <v>#REF!</v>
      </c>
      <c r="N523" s="61" t="e">
        <f t="shared" si="67"/>
        <v>#REF!</v>
      </c>
      <c r="O523" s="60" t="e">
        <f>#REF!</f>
        <v>#REF!</v>
      </c>
      <c r="P523" s="61" t="e">
        <f>IF(O523&lt;0,Pricing!E523*$Q$5,0)</f>
        <v>#REF!</v>
      </c>
      <c r="Q523" s="61" t="e">
        <f t="shared" si="68"/>
        <v>#REF!</v>
      </c>
      <c r="R523" s="60" t="e">
        <f>#REF!</f>
        <v>#REF!</v>
      </c>
      <c r="S523" s="61" t="e">
        <f>IF(R523&lt;0,Pricing!E523*$T$5,0)</f>
        <v>#REF!</v>
      </c>
      <c r="T523" s="61" t="e">
        <f t="shared" si="69"/>
        <v>#REF!</v>
      </c>
    </row>
    <row r="524" spans="1:20" x14ac:dyDescent="0.25">
      <c r="A524" s="58">
        <f t="shared" si="70"/>
        <v>44552.541666665413</v>
      </c>
      <c r="B524" s="59">
        <f t="shared" si="71"/>
        <v>44552.583333332077</v>
      </c>
      <c r="C524" s="60" t="e">
        <f>#REF!</f>
        <v>#REF!</v>
      </c>
      <c r="D524" s="61" t="e">
        <f>IF(C524&gt;0,Pricing!E524*$E$5,0)</f>
        <v>#REF!</v>
      </c>
      <c r="E524" s="61" t="e">
        <f t="shared" si="64"/>
        <v>#REF!</v>
      </c>
      <c r="F524" s="60" t="e">
        <f>#REF!</f>
        <v>#REF!</v>
      </c>
      <c r="G524" s="61" t="e">
        <f>IF(F524&gt;0,Pricing!E524*$H$5,0)</f>
        <v>#REF!</v>
      </c>
      <c r="H524" s="61" t="e">
        <f t="shared" si="65"/>
        <v>#REF!</v>
      </c>
      <c r="I524" s="62" t="e">
        <f>#REF!</f>
        <v>#REF!</v>
      </c>
      <c r="J524" s="61" t="e">
        <f>IF(I524&gt;0,Pricing!E524*$K$5,0)</f>
        <v>#REF!</v>
      </c>
      <c r="K524" s="63" t="e">
        <f t="shared" si="66"/>
        <v>#REF!</v>
      </c>
      <c r="L524" s="64" t="e">
        <f>#REF!</f>
        <v>#REF!</v>
      </c>
      <c r="M524" s="61" t="e">
        <f>IF(L524&lt;0,Pricing!E524*$N$5,0)</f>
        <v>#REF!</v>
      </c>
      <c r="N524" s="61" t="e">
        <f t="shared" si="67"/>
        <v>#REF!</v>
      </c>
      <c r="O524" s="60" t="e">
        <f>#REF!</f>
        <v>#REF!</v>
      </c>
      <c r="P524" s="61" t="e">
        <f>IF(O524&lt;0,Pricing!E524*$Q$5,0)</f>
        <v>#REF!</v>
      </c>
      <c r="Q524" s="61" t="e">
        <f t="shared" si="68"/>
        <v>#REF!</v>
      </c>
      <c r="R524" s="60" t="e">
        <f>#REF!</f>
        <v>#REF!</v>
      </c>
      <c r="S524" s="61" t="e">
        <f>IF(R524&lt;0,Pricing!E524*$T$5,0)</f>
        <v>#REF!</v>
      </c>
      <c r="T524" s="61" t="e">
        <f t="shared" si="69"/>
        <v>#REF!</v>
      </c>
    </row>
    <row r="525" spans="1:20" x14ac:dyDescent="0.25">
      <c r="A525" s="58">
        <f t="shared" si="70"/>
        <v>44552.583333332077</v>
      </c>
      <c r="B525" s="59">
        <f t="shared" si="71"/>
        <v>44552.624999998741</v>
      </c>
      <c r="C525" s="60" t="e">
        <f>#REF!</f>
        <v>#REF!</v>
      </c>
      <c r="D525" s="61" t="e">
        <f>IF(C525&gt;0,Pricing!E525*$E$5,0)</f>
        <v>#REF!</v>
      </c>
      <c r="E525" s="61" t="e">
        <f t="shared" si="64"/>
        <v>#REF!</v>
      </c>
      <c r="F525" s="60" t="e">
        <f>#REF!</f>
        <v>#REF!</v>
      </c>
      <c r="G525" s="61" t="e">
        <f>IF(F525&gt;0,Pricing!E525*$H$5,0)</f>
        <v>#REF!</v>
      </c>
      <c r="H525" s="61" t="e">
        <f t="shared" si="65"/>
        <v>#REF!</v>
      </c>
      <c r="I525" s="62" t="e">
        <f>#REF!</f>
        <v>#REF!</v>
      </c>
      <c r="J525" s="61" t="e">
        <f>IF(I525&gt;0,Pricing!E525*$K$5,0)</f>
        <v>#REF!</v>
      </c>
      <c r="K525" s="63" t="e">
        <f t="shared" si="66"/>
        <v>#REF!</v>
      </c>
      <c r="L525" s="64" t="e">
        <f>#REF!</f>
        <v>#REF!</v>
      </c>
      <c r="M525" s="61" t="e">
        <f>IF(L525&lt;0,Pricing!E525*$N$5,0)</f>
        <v>#REF!</v>
      </c>
      <c r="N525" s="61" t="e">
        <f t="shared" si="67"/>
        <v>#REF!</v>
      </c>
      <c r="O525" s="60" t="e">
        <f>#REF!</f>
        <v>#REF!</v>
      </c>
      <c r="P525" s="61" t="e">
        <f>IF(O525&lt;0,Pricing!E525*$Q$5,0)</f>
        <v>#REF!</v>
      </c>
      <c r="Q525" s="61" t="e">
        <f t="shared" si="68"/>
        <v>#REF!</v>
      </c>
      <c r="R525" s="60" t="e">
        <f>#REF!</f>
        <v>#REF!</v>
      </c>
      <c r="S525" s="61" t="e">
        <f>IF(R525&lt;0,Pricing!E525*$T$5,0)</f>
        <v>#REF!</v>
      </c>
      <c r="T525" s="61" t="e">
        <f t="shared" si="69"/>
        <v>#REF!</v>
      </c>
    </row>
    <row r="526" spans="1:20" x14ac:dyDescent="0.25">
      <c r="A526" s="58">
        <f t="shared" si="70"/>
        <v>44552.624999998741</v>
      </c>
      <c r="B526" s="59">
        <f t="shared" si="71"/>
        <v>44552.666666665406</v>
      </c>
      <c r="C526" s="60" t="e">
        <f>#REF!</f>
        <v>#REF!</v>
      </c>
      <c r="D526" s="61" t="e">
        <f>IF(C526&gt;0,Pricing!E526*$E$5,0)</f>
        <v>#REF!</v>
      </c>
      <c r="E526" s="61" t="e">
        <f t="shared" si="64"/>
        <v>#REF!</v>
      </c>
      <c r="F526" s="60" t="e">
        <f>#REF!</f>
        <v>#REF!</v>
      </c>
      <c r="G526" s="61" t="e">
        <f>IF(F526&gt;0,Pricing!E526*$H$5,0)</f>
        <v>#REF!</v>
      </c>
      <c r="H526" s="61" t="e">
        <f t="shared" si="65"/>
        <v>#REF!</v>
      </c>
      <c r="I526" s="62" t="e">
        <f>#REF!</f>
        <v>#REF!</v>
      </c>
      <c r="J526" s="61" t="e">
        <f>IF(I526&gt;0,Pricing!E526*$K$5,0)</f>
        <v>#REF!</v>
      </c>
      <c r="K526" s="63" t="e">
        <f t="shared" si="66"/>
        <v>#REF!</v>
      </c>
      <c r="L526" s="64" t="e">
        <f>#REF!</f>
        <v>#REF!</v>
      </c>
      <c r="M526" s="61" t="e">
        <f>IF(L526&lt;0,Pricing!E526*$N$5,0)</f>
        <v>#REF!</v>
      </c>
      <c r="N526" s="61" t="e">
        <f t="shared" si="67"/>
        <v>#REF!</v>
      </c>
      <c r="O526" s="60" t="e">
        <f>#REF!</f>
        <v>#REF!</v>
      </c>
      <c r="P526" s="61" t="e">
        <f>IF(O526&lt;0,Pricing!E526*$Q$5,0)</f>
        <v>#REF!</v>
      </c>
      <c r="Q526" s="61" t="e">
        <f t="shared" si="68"/>
        <v>#REF!</v>
      </c>
      <c r="R526" s="60" t="e">
        <f>#REF!</f>
        <v>#REF!</v>
      </c>
      <c r="S526" s="61" t="e">
        <f>IF(R526&lt;0,Pricing!E526*$T$5,0)</f>
        <v>#REF!</v>
      </c>
      <c r="T526" s="61" t="e">
        <f t="shared" si="69"/>
        <v>#REF!</v>
      </c>
    </row>
    <row r="527" spans="1:20" x14ac:dyDescent="0.25">
      <c r="A527" s="58">
        <f t="shared" si="70"/>
        <v>44552.666666665406</v>
      </c>
      <c r="B527" s="59">
        <f t="shared" si="71"/>
        <v>44552.70833333207</v>
      </c>
      <c r="C527" s="60" t="e">
        <f>#REF!</f>
        <v>#REF!</v>
      </c>
      <c r="D527" s="61" t="e">
        <f>IF(C527&gt;0,Pricing!E527*$E$5,0)</f>
        <v>#REF!</v>
      </c>
      <c r="E527" s="61" t="e">
        <f t="shared" si="64"/>
        <v>#REF!</v>
      </c>
      <c r="F527" s="60" t="e">
        <f>#REF!</f>
        <v>#REF!</v>
      </c>
      <c r="G527" s="61" t="e">
        <f>IF(F527&gt;0,Pricing!E527*$H$5,0)</f>
        <v>#REF!</v>
      </c>
      <c r="H527" s="61" t="e">
        <f t="shared" si="65"/>
        <v>#REF!</v>
      </c>
      <c r="I527" s="62" t="e">
        <f>#REF!</f>
        <v>#REF!</v>
      </c>
      <c r="J527" s="61" t="e">
        <f>IF(I527&gt;0,Pricing!E527*$K$5,0)</f>
        <v>#REF!</v>
      </c>
      <c r="K527" s="63" t="e">
        <f t="shared" si="66"/>
        <v>#REF!</v>
      </c>
      <c r="L527" s="64" t="e">
        <f>#REF!</f>
        <v>#REF!</v>
      </c>
      <c r="M527" s="61" t="e">
        <f>IF(L527&lt;0,Pricing!E527*$N$5,0)</f>
        <v>#REF!</v>
      </c>
      <c r="N527" s="61" t="e">
        <f t="shared" si="67"/>
        <v>#REF!</v>
      </c>
      <c r="O527" s="60" t="e">
        <f>#REF!</f>
        <v>#REF!</v>
      </c>
      <c r="P527" s="61" t="e">
        <f>IF(O527&lt;0,Pricing!E527*$Q$5,0)</f>
        <v>#REF!</v>
      </c>
      <c r="Q527" s="61" t="e">
        <f t="shared" si="68"/>
        <v>#REF!</v>
      </c>
      <c r="R527" s="60" t="e">
        <f>#REF!</f>
        <v>#REF!</v>
      </c>
      <c r="S527" s="61" t="e">
        <f>IF(R527&lt;0,Pricing!E527*$T$5,0)</f>
        <v>#REF!</v>
      </c>
      <c r="T527" s="61" t="e">
        <f t="shared" si="69"/>
        <v>#REF!</v>
      </c>
    </row>
    <row r="528" spans="1:20" x14ac:dyDescent="0.25">
      <c r="A528" s="58">
        <f t="shared" si="70"/>
        <v>44552.70833333207</v>
      </c>
      <c r="B528" s="59">
        <f t="shared" si="71"/>
        <v>44552.749999998734</v>
      </c>
      <c r="C528" s="60" t="e">
        <f>#REF!</f>
        <v>#REF!</v>
      </c>
      <c r="D528" s="61" t="e">
        <f>IF(C528&gt;0,Pricing!E528*$E$5,0)</f>
        <v>#REF!</v>
      </c>
      <c r="E528" s="61" t="e">
        <f t="shared" si="64"/>
        <v>#REF!</v>
      </c>
      <c r="F528" s="60" t="e">
        <f>#REF!</f>
        <v>#REF!</v>
      </c>
      <c r="G528" s="61" t="e">
        <f>IF(F528&gt;0,Pricing!E528*$H$5,0)</f>
        <v>#REF!</v>
      </c>
      <c r="H528" s="61" t="e">
        <f t="shared" si="65"/>
        <v>#REF!</v>
      </c>
      <c r="I528" s="62" t="e">
        <f>#REF!</f>
        <v>#REF!</v>
      </c>
      <c r="J528" s="61" t="e">
        <f>IF(I528&gt;0,Pricing!E528*$K$5,0)</f>
        <v>#REF!</v>
      </c>
      <c r="K528" s="63" t="e">
        <f t="shared" si="66"/>
        <v>#REF!</v>
      </c>
      <c r="L528" s="64" t="e">
        <f>#REF!</f>
        <v>#REF!</v>
      </c>
      <c r="M528" s="61" t="e">
        <f>IF(L528&lt;0,Pricing!E528*$N$5,0)</f>
        <v>#REF!</v>
      </c>
      <c r="N528" s="61" t="e">
        <f t="shared" si="67"/>
        <v>#REF!</v>
      </c>
      <c r="O528" s="60" t="e">
        <f>#REF!</f>
        <v>#REF!</v>
      </c>
      <c r="P528" s="61" t="e">
        <f>IF(O528&lt;0,Pricing!E528*$Q$5,0)</f>
        <v>#REF!</v>
      </c>
      <c r="Q528" s="61" t="e">
        <f t="shared" si="68"/>
        <v>#REF!</v>
      </c>
      <c r="R528" s="60" t="e">
        <f>#REF!</f>
        <v>#REF!</v>
      </c>
      <c r="S528" s="61" t="e">
        <f>IF(R528&lt;0,Pricing!E528*$T$5,0)</f>
        <v>#REF!</v>
      </c>
      <c r="T528" s="61" t="e">
        <f t="shared" si="69"/>
        <v>#REF!</v>
      </c>
    </row>
    <row r="529" spans="1:20" x14ac:dyDescent="0.25">
      <c r="A529" s="58">
        <f t="shared" si="70"/>
        <v>44552.749999998734</v>
      </c>
      <c r="B529" s="59">
        <f t="shared" si="71"/>
        <v>44552.791666665398</v>
      </c>
      <c r="C529" s="60" t="e">
        <f>#REF!</f>
        <v>#REF!</v>
      </c>
      <c r="D529" s="61" t="e">
        <f>IF(C529&gt;0,Pricing!E529*$E$5,0)</f>
        <v>#REF!</v>
      </c>
      <c r="E529" s="61" t="e">
        <f t="shared" si="64"/>
        <v>#REF!</v>
      </c>
      <c r="F529" s="60" t="e">
        <f>#REF!</f>
        <v>#REF!</v>
      </c>
      <c r="G529" s="61" t="e">
        <f>IF(F529&gt;0,Pricing!E529*$H$5,0)</f>
        <v>#REF!</v>
      </c>
      <c r="H529" s="61" t="e">
        <f t="shared" si="65"/>
        <v>#REF!</v>
      </c>
      <c r="I529" s="62" t="e">
        <f>#REF!</f>
        <v>#REF!</v>
      </c>
      <c r="J529" s="61" t="e">
        <f>IF(I529&gt;0,Pricing!E529*$K$5,0)</f>
        <v>#REF!</v>
      </c>
      <c r="K529" s="63" t="e">
        <f t="shared" si="66"/>
        <v>#REF!</v>
      </c>
      <c r="L529" s="64" t="e">
        <f>#REF!</f>
        <v>#REF!</v>
      </c>
      <c r="M529" s="61" t="e">
        <f>IF(L529&lt;0,Pricing!E529*$N$5,0)</f>
        <v>#REF!</v>
      </c>
      <c r="N529" s="61" t="e">
        <f t="shared" si="67"/>
        <v>#REF!</v>
      </c>
      <c r="O529" s="60" t="e">
        <f>#REF!</f>
        <v>#REF!</v>
      </c>
      <c r="P529" s="61" t="e">
        <f>IF(O529&lt;0,Pricing!E529*$Q$5,0)</f>
        <v>#REF!</v>
      </c>
      <c r="Q529" s="61" t="e">
        <f t="shared" si="68"/>
        <v>#REF!</v>
      </c>
      <c r="R529" s="60" t="e">
        <f>#REF!</f>
        <v>#REF!</v>
      </c>
      <c r="S529" s="61" t="e">
        <f>IF(R529&lt;0,Pricing!E529*$T$5,0)</f>
        <v>#REF!</v>
      </c>
      <c r="T529" s="61" t="e">
        <f t="shared" si="69"/>
        <v>#REF!</v>
      </c>
    </row>
    <row r="530" spans="1:20" x14ac:dyDescent="0.25">
      <c r="A530" s="58">
        <f t="shared" si="70"/>
        <v>44552.791666665398</v>
      </c>
      <c r="B530" s="59">
        <f t="shared" si="71"/>
        <v>44552.833333332062</v>
      </c>
      <c r="C530" s="60" t="e">
        <f>#REF!</f>
        <v>#REF!</v>
      </c>
      <c r="D530" s="61" t="e">
        <f>IF(C530&gt;0,Pricing!E530*$E$5,0)</f>
        <v>#REF!</v>
      </c>
      <c r="E530" s="61" t="e">
        <f t="shared" si="64"/>
        <v>#REF!</v>
      </c>
      <c r="F530" s="60" t="e">
        <f>#REF!</f>
        <v>#REF!</v>
      </c>
      <c r="G530" s="61" t="e">
        <f>IF(F530&gt;0,Pricing!E530*$H$5,0)</f>
        <v>#REF!</v>
      </c>
      <c r="H530" s="61" t="e">
        <f t="shared" si="65"/>
        <v>#REF!</v>
      </c>
      <c r="I530" s="62" t="e">
        <f>#REF!</f>
        <v>#REF!</v>
      </c>
      <c r="J530" s="61" t="e">
        <f>IF(I530&gt;0,Pricing!E530*$K$5,0)</f>
        <v>#REF!</v>
      </c>
      <c r="K530" s="63" t="e">
        <f t="shared" si="66"/>
        <v>#REF!</v>
      </c>
      <c r="L530" s="64" t="e">
        <f>#REF!</f>
        <v>#REF!</v>
      </c>
      <c r="M530" s="61" t="e">
        <f>IF(L530&lt;0,Pricing!E530*$N$5,0)</f>
        <v>#REF!</v>
      </c>
      <c r="N530" s="61" t="e">
        <f t="shared" si="67"/>
        <v>#REF!</v>
      </c>
      <c r="O530" s="60" t="e">
        <f>#REF!</f>
        <v>#REF!</v>
      </c>
      <c r="P530" s="61" t="e">
        <f>IF(O530&lt;0,Pricing!E530*$Q$5,0)</f>
        <v>#REF!</v>
      </c>
      <c r="Q530" s="61" t="e">
        <f t="shared" si="68"/>
        <v>#REF!</v>
      </c>
      <c r="R530" s="60" t="e">
        <f>#REF!</f>
        <v>#REF!</v>
      </c>
      <c r="S530" s="61" t="e">
        <f>IF(R530&lt;0,Pricing!E530*$T$5,0)</f>
        <v>#REF!</v>
      </c>
      <c r="T530" s="61" t="e">
        <f t="shared" si="69"/>
        <v>#REF!</v>
      </c>
    </row>
    <row r="531" spans="1:20" x14ac:dyDescent="0.25">
      <c r="A531" s="58">
        <f t="shared" si="70"/>
        <v>44552.833333332062</v>
      </c>
      <c r="B531" s="59">
        <f t="shared" si="71"/>
        <v>44552.874999998727</v>
      </c>
      <c r="C531" s="60" t="e">
        <f>#REF!</f>
        <v>#REF!</v>
      </c>
      <c r="D531" s="61" t="e">
        <f>IF(C531&gt;0,Pricing!E531*$E$5,0)</f>
        <v>#REF!</v>
      </c>
      <c r="E531" s="61" t="e">
        <f t="shared" si="64"/>
        <v>#REF!</v>
      </c>
      <c r="F531" s="60" t="e">
        <f>#REF!</f>
        <v>#REF!</v>
      </c>
      <c r="G531" s="61" t="e">
        <f>IF(F531&gt;0,Pricing!E531*$H$5,0)</f>
        <v>#REF!</v>
      </c>
      <c r="H531" s="61" t="e">
        <f t="shared" si="65"/>
        <v>#REF!</v>
      </c>
      <c r="I531" s="62" t="e">
        <f>#REF!</f>
        <v>#REF!</v>
      </c>
      <c r="J531" s="61" t="e">
        <f>IF(I531&gt;0,Pricing!E531*$K$5,0)</f>
        <v>#REF!</v>
      </c>
      <c r="K531" s="63" t="e">
        <f t="shared" si="66"/>
        <v>#REF!</v>
      </c>
      <c r="L531" s="64" t="e">
        <f>#REF!</f>
        <v>#REF!</v>
      </c>
      <c r="M531" s="61" t="e">
        <f>IF(L531&lt;0,Pricing!E531*$N$5,0)</f>
        <v>#REF!</v>
      </c>
      <c r="N531" s="61" t="e">
        <f t="shared" si="67"/>
        <v>#REF!</v>
      </c>
      <c r="O531" s="60" t="e">
        <f>#REF!</f>
        <v>#REF!</v>
      </c>
      <c r="P531" s="61" t="e">
        <f>IF(O531&lt;0,Pricing!E531*$Q$5,0)</f>
        <v>#REF!</v>
      </c>
      <c r="Q531" s="61" t="e">
        <f t="shared" si="68"/>
        <v>#REF!</v>
      </c>
      <c r="R531" s="60" t="e">
        <f>#REF!</f>
        <v>#REF!</v>
      </c>
      <c r="S531" s="61" t="e">
        <f>IF(R531&lt;0,Pricing!E531*$T$5,0)</f>
        <v>#REF!</v>
      </c>
      <c r="T531" s="61" t="e">
        <f t="shared" si="69"/>
        <v>#REF!</v>
      </c>
    </row>
    <row r="532" spans="1:20" x14ac:dyDescent="0.25">
      <c r="A532" s="58">
        <f t="shared" si="70"/>
        <v>44552.874999998727</v>
      </c>
      <c r="B532" s="59">
        <f t="shared" si="71"/>
        <v>44552.916666665391</v>
      </c>
      <c r="C532" s="60" t="e">
        <f>#REF!</f>
        <v>#REF!</v>
      </c>
      <c r="D532" s="61" t="e">
        <f>IF(C532&gt;0,Pricing!E532*$E$5,0)</f>
        <v>#REF!</v>
      </c>
      <c r="E532" s="61" t="e">
        <f t="shared" si="64"/>
        <v>#REF!</v>
      </c>
      <c r="F532" s="60" t="e">
        <f>#REF!</f>
        <v>#REF!</v>
      </c>
      <c r="G532" s="61" t="e">
        <f>IF(F532&gt;0,Pricing!E532*$H$5,0)</f>
        <v>#REF!</v>
      </c>
      <c r="H532" s="61" t="e">
        <f t="shared" si="65"/>
        <v>#REF!</v>
      </c>
      <c r="I532" s="62" t="e">
        <f>#REF!</f>
        <v>#REF!</v>
      </c>
      <c r="J532" s="61" t="e">
        <f>IF(I532&gt;0,Pricing!E532*$K$5,0)</f>
        <v>#REF!</v>
      </c>
      <c r="K532" s="63" t="e">
        <f t="shared" si="66"/>
        <v>#REF!</v>
      </c>
      <c r="L532" s="64" t="e">
        <f>#REF!</f>
        <v>#REF!</v>
      </c>
      <c r="M532" s="61" t="e">
        <f>IF(L532&lt;0,Pricing!E532*$N$5,0)</f>
        <v>#REF!</v>
      </c>
      <c r="N532" s="61" t="e">
        <f t="shared" si="67"/>
        <v>#REF!</v>
      </c>
      <c r="O532" s="60" t="e">
        <f>#REF!</f>
        <v>#REF!</v>
      </c>
      <c r="P532" s="61" t="e">
        <f>IF(O532&lt;0,Pricing!E532*$Q$5,0)</f>
        <v>#REF!</v>
      </c>
      <c r="Q532" s="61" t="e">
        <f t="shared" si="68"/>
        <v>#REF!</v>
      </c>
      <c r="R532" s="60" t="e">
        <f>#REF!</f>
        <v>#REF!</v>
      </c>
      <c r="S532" s="61" t="e">
        <f>IF(R532&lt;0,Pricing!E532*$T$5,0)</f>
        <v>#REF!</v>
      </c>
      <c r="T532" s="61" t="e">
        <f t="shared" si="69"/>
        <v>#REF!</v>
      </c>
    </row>
    <row r="533" spans="1:20" x14ac:dyDescent="0.25">
      <c r="A533" s="58">
        <f t="shared" si="70"/>
        <v>44552.916666665391</v>
      </c>
      <c r="B533" s="59">
        <f t="shared" si="71"/>
        <v>44552.958333332055</v>
      </c>
      <c r="C533" s="60" t="e">
        <f>#REF!</f>
        <v>#REF!</v>
      </c>
      <c r="D533" s="61" t="e">
        <f>IF(C533&gt;0,Pricing!E533*$E$5,0)</f>
        <v>#REF!</v>
      </c>
      <c r="E533" s="61" t="e">
        <f t="shared" si="64"/>
        <v>#REF!</v>
      </c>
      <c r="F533" s="60" t="e">
        <f>#REF!</f>
        <v>#REF!</v>
      </c>
      <c r="G533" s="61" t="e">
        <f>IF(F533&gt;0,Pricing!E533*$H$5,0)</f>
        <v>#REF!</v>
      </c>
      <c r="H533" s="61" t="e">
        <f t="shared" si="65"/>
        <v>#REF!</v>
      </c>
      <c r="I533" s="62" t="e">
        <f>#REF!</f>
        <v>#REF!</v>
      </c>
      <c r="J533" s="61" t="e">
        <f>IF(I533&gt;0,Pricing!E533*$K$5,0)</f>
        <v>#REF!</v>
      </c>
      <c r="K533" s="63" t="e">
        <f t="shared" si="66"/>
        <v>#REF!</v>
      </c>
      <c r="L533" s="64" t="e">
        <f>#REF!</f>
        <v>#REF!</v>
      </c>
      <c r="M533" s="61" t="e">
        <f>IF(L533&lt;0,Pricing!E533*$N$5,0)</f>
        <v>#REF!</v>
      </c>
      <c r="N533" s="61" t="e">
        <f t="shared" si="67"/>
        <v>#REF!</v>
      </c>
      <c r="O533" s="60" t="e">
        <f>#REF!</f>
        <v>#REF!</v>
      </c>
      <c r="P533" s="61" t="e">
        <f>IF(O533&lt;0,Pricing!E533*$Q$5,0)</f>
        <v>#REF!</v>
      </c>
      <c r="Q533" s="61" t="e">
        <f t="shared" si="68"/>
        <v>#REF!</v>
      </c>
      <c r="R533" s="60" t="e">
        <f>#REF!</f>
        <v>#REF!</v>
      </c>
      <c r="S533" s="61" t="e">
        <f>IF(R533&lt;0,Pricing!E533*$T$5,0)</f>
        <v>#REF!</v>
      </c>
      <c r="T533" s="61" t="e">
        <f t="shared" si="69"/>
        <v>#REF!</v>
      </c>
    </row>
    <row r="534" spans="1:20" x14ac:dyDescent="0.25">
      <c r="A534" s="58">
        <f t="shared" si="70"/>
        <v>44552.958333332055</v>
      </c>
      <c r="B534" s="59">
        <f t="shared" si="71"/>
        <v>44552.999999998719</v>
      </c>
      <c r="C534" s="60" t="e">
        <f>#REF!</f>
        <v>#REF!</v>
      </c>
      <c r="D534" s="61" t="e">
        <f>IF(C534&gt;0,Pricing!E534*$E$5,0)</f>
        <v>#REF!</v>
      </c>
      <c r="E534" s="61" t="e">
        <f t="shared" si="64"/>
        <v>#REF!</v>
      </c>
      <c r="F534" s="60" t="e">
        <f>#REF!</f>
        <v>#REF!</v>
      </c>
      <c r="G534" s="61" t="e">
        <f>IF(F534&gt;0,Pricing!E534*$H$5,0)</f>
        <v>#REF!</v>
      </c>
      <c r="H534" s="61" t="e">
        <f t="shared" si="65"/>
        <v>#REF!</v>
      </c>
      <c r="I534" s="62" t="e">
        <f>#REF!</f>
        <v>#REF!</v>
      </c>
      <c r="J534" s="61" t="e">
        <f>IF(I534&gt;0,Pricing!E534*$K$5,0)</f>
        <v>#REF!</v>
      </c>
      <c r="K534" s="63" t="e">
        <f t="shared" si="66"/>
        <v>#REF!</v>
      </c>
      <c r="L534" s="64" t="e">
        <f>#REF!</f>
        <v>#REF!</v>
      </c>
      <c r="M534" s="61" t="e">
        <f>IF(L534&lt;0,Pricing!E534*$N$5,0)</f>
        <v>#REF!</v>
      </c>
      <c r="N534" s="61" t="e">
        <f t="shared" si="67"/>
        <v>#REF!</v>
      </c>
      <c r="O534" s="60" t="e">
        <f>#REF!</f>
        <v>#REF!</v>
      </c>
      <c r="P534" s="61" t="e">
        <f>IF(O534&lt;0,Pricing!E534*$Q$5,0)</f>
        <v>#REF!</v>
      </c>
      <c r="Q534" s="61" t="e">
        <f t="shared" si="68"/>
        <v>#REF!</v>
      </c>
      <c r="R534" s="60" t="e">
        <f>#REF!</f>
        <v>#REF!</v>
      </c>
      <c r="S534" s="61" t="e">
        <f>IF(R534&lt;0,Pricing!E534*$T$5,0)</f>
        <v>#REF!</v>
      </c>
      <c r="T534" s="61" t="e">
        <f t="shared" si="69"/>
        <v>#REF!</v>
      </c>
    </row>
    <row r="535" spans="1:20" x14ac:dyDescent="0.25">
      <c r="A535" s="58">
        <f t="shared" si="70"/>
        <v>44552.999999998719</v>
      </c>
      <c r="B535" s="59">
        <f t="shared" si="71"/>
        <v>44553.041666665384</v>
      </c>
      <c r="C535" s="60" t="e">
        <f>#REF!</f>
        <v>#REF!</v>
      </c>
      <c r="D535" s="61" t="e">
        <f>IF(C535&gt;0,Pricing!E535*$E$5,0)</f>
        <v>#REF!</v>
      </c>
      <c r="E535" s="61" t="e">
        <f t="shared" si="64"/>
        <v>#REF!</v>
      </c>
      <c r="F535" s="60" t="e">
        <f>#REF!</f>
        <v>#REF!</v>
      </c>
      <c r="G535" s="61" t="e">
        <f>IF(F535&gt;0,Pricing!E535*$H$5,0)</f>
        <v>#REF!</v>
      </c>
      <c r="H535" s="61" t="e">
        <f t="shared" si="65"/>
        <v>#REF!</v>
      </c>
      <c r="I535" s="62" t="e">
        <f>#REF!</f>
        <v>#REF!</v>
      </c>
      <c r="J535" s="61" t="e">
        <f>IF(I535&gt;0,Pricing!E535*$K$5,0)</f>
        <v>#REF!</v>
      </c>
      <c r="K535" s="63" t="e">
        <f t="shared" si="66"/>
        <v>#REF!</v>
      </c>
      <c r="L535" s="64" t="e">
        <f>#REF!</f>
        <v>#REF!</v>
      </c>
      <c r="M535" s="61" t="e">
        <f>IF(L535&lt;0,Pricing!E535*$N$5,0)</f>
        <v>#REF!</v>
      </c>
      <c r="N535" s="61" t="e">
        <f t="shared" si="67"/>
        <v>#REF!</v>
      </c>
      <c r="O535" s="60" t="e">
        <f>#REF!</f>
        <v>#REF!</v>
      </c>
      <c r="P535" s="61" t="e">
        <f>IF(O535&lt;0,Pricing!E535*$Q$5,0)</f>
        <v>#REF!</v>
      </c>
      <c r="Q535" s="61" t="e">
        <f t="shared" si="68"/>
        <v>#REF!</v>
      </c>
      <c r="R535" s="60" t="e">
        <f>#REF!</f>
        <v>#REF!</v>
      </c>
      <c r="S535" s="61" t="e">
        <f>IF(R535&lt;0,Pricing!E535*$T$5,0)</f>
        <v>#REF!</v>
      </c>
      <c r="T535" s="61" t="e">
        <f t="shared" si="69"/>
        <v>#REF!</v>
      </c>
    </row>
    <row r="536" spans="1:20" x14ac:dyDescent="0.25">
      <c r="A536" s="58">
        <f t="shared" si="70"/>
        <v>44553.041666665384</v>
      </c>
      <c r="B536" s="59">
        <f t="shared" si="71"/>
        <v>44553.083333332048</v>
      </c>
      <c r="C536" s="60" t="e">
        <f>#REF!</f>
        <v>#REF!</v>
      </c>
      <c r="D536" s="61" t="e">
        <f>IF(C536&gt;0,Pricing!E536*$E$5,0)</f>
        <v>#REF!</v>
      </c>
      <c r="E536" s="61" t="e">
        <f t="shared" si="64"/>
        <v>#REF!</v>
      </c>
      <c r="F536" s="60" t="e">
        <f>#REF!</f>
        <v>#REF!</v>
      </c>
      <c r="G536" s="61" t="e">
        <f>IF(F536&gt;0,Pricing!E536*$H$5,0)</f>
        <v>#REF!</v>
      </c>
      <c r="H536" s="61" t="e">
        <f t="shared" si="65"/>
        <v>#REF!</v>
      </c>
      <c r="I536" s="62" t="e">
        <f>#REF!</f>
        <v>#REF!</v>
      </c>
      <c r="J536" s="61" t="e">
        <f>IF(I536&gt;0,Pricing!E536*$K$5,0)</f>
        <v>#REF!</v>
      </c>
      <c r="K536" s="63" t="e">
        <f t="shared" si="66"/>
        <v>#REF!</v>
      </c>
      <c r="L536" s="64" t="e">
        <f>#REF!</f>
        <v>#REF!</v>
      </c>
      <c r="M536" s="61" t="e">
        <f>IF(L536&lt;0,Pricing!E536*$N$5,0)</f>
        <v>#REF!</v>
      </c>
      <c r="N536" s="61" t="e">
        <f t="shared" si="67"/>
        <v>#REF!</v>
      </c>
      <c r="O536" s="60" t="e">
        <f>#REF!</f>
        <v>#REF!</v>
      </c>
      <c r="P536" s="61" t="e">
        <f>IF(O536&lt;0,Pricing!E536*$Q$5,0)</f>
        <v>#REF!</v>
      </c>
      <c r="Q536" s="61" t="e">
        <f t="shared" si="68"/>
        <v>#REF!</v>
      </c>
      <c r="R536" s="60" t="e">
        <f>#REF!</f>
        <v>#REF!</v>
      </c>
      <c r="S536" s="61" t="e">
        <f>IF(R536&lt;0,Pricing!E536*$T$5,0)</f>
        <v>#REF!</v>
      </c>
      <c r="T536" s="61" t="e">
        <f t="shared" si="69"/>
        <v>#REF!</v>
      </c>
    </row>
    <row r="537" spans="1:20" x14ac:dyDescent="0.25">
      <c r="A537" s="58">
        <f t="shared" si="70"/>
        <v>44553.083333332048</v>
      </c>
      <c r="B537" s="59">
        <f t="shared" si="71"/>
        <v>44553.124999998712</v>
      </c>
      <c r="C537" s="60" t="e">
        <f>#REF!</f>
        <v>#REF!</v>
      </c>
      <c r="D537" s="61" t="e">
        <f>IF(C537&gt;0,Pricing!E537*$E$5,0)</f>
        <v>#REF!</v>
      </c>
      <c r="E537" s="61" t="e">
        <f t="shared" si="64"/>
        <v>#REF!</v>
      </c>
      <c r="F537" s="60" t="e">
        <f>#REF!</f>
        <v>#REF!</v>
      </c>
      <c r="G537" s="61" t="e">
        <f>IF(F537&gt;0,Pricing!E537*$H$5,0)</f>
        <v>#REF!</v>
      </c>
      <c r="H537" s="61" t="e">
        <f t="shared" si="65"/>
        <v>#REF!</v>
      </c>
      <c r="I537" s="62" t="e">
        <f>#REF!</f>
        <v>#REF!</v>
      </c>
      <c r="J537" s="61" t="e">
        <f>IF(I537&gt;0,Pricing!E537*$K$5,0)</f>
        <v>#REF!</v>
      </c>
      <c r="K537" s="63" t="e">
        <f t="shared" si="66"/>
        <v>#REF!</v>
      </c>
      <c r="L537" s="64" t="e">
        <f>#REF!</f>
        <v>#REF!</v>
      </c>
      <c r="M537" s="61" t="e">
        <f>IF(L537&lt;0,Pricing!E537*$N$5,0)</f>
        <v>#REF!</v>
      </c>
      <c r="N537" s="61" t="e">
        <f t="shared" si="67"/>
        <v>#REF!</v>
      </c>
      <c r="O537" s="60" t="e">
        <f>#REF!</f>
        <v>#REF!</v>
      </c>
      <c r="P537" s="61" t="e">
        <f>IF(O537&lt;0,Pricing!E537*$Q$5,0)</f>
        <v>#REF!</v>
      </c>
      <c r="Q537" s="61" t="e">
        <f t="shared" si="68"/>
        <v>#REF!</v>
      </c>
      <c r="R537" s="60" t="e">
        <f>#REF!</f>
        <v>#REF!</v>
      </c>
      <c r="S537" s="61" t="e">
        <f>IF(R537&lt;0,Pricing!E537*$T$5,0)</f>
        <v>#REF!</v>
      </c>
      <c r="T537" s="61" t="e">
        <f t="shared" si="69"/>
        <v>#REF!</v>
      </c>
    </row>
    <row r="538" spans="1:20" x14ac:dyDescent="0.25">
      <c r="A538" s="58">
        <f t="shared" si="70"/>
        <v>44553.124999998712</v>
      </c>
      <c r="B538" s="59">
        <f t="shared" si="71"/>
        <v>44553.166666665376</v>
      </c>
      <c r="C538" s="60" t="e">
        <f>#REF!</f>
        <v>#REF!</v>
      </c>
      <c r="D538" s="61" t="e">
        <f>IF(C538&gt;0,Pricing!E538*$E$5,0)</f>
        <v>#REF!</v>
      </c>
      <c r="E538" s="61" t="e">
        <f t="shared" si="64"/>
        <v>#REF!</v>
      </c>
      <c r="F538" s="60" t="e">
        <f>#REF!</f>
        <v>#REF!</v>
      </c>
      <c r="G538" s="61" t="e">
        <f>IF(F538&gt;0,Pricing!E538*$H$5,0)</f>
        <v>#REF!</v>
      </c>
      <c r="H538" s="61" t="e">
        <f t="shared" si="65"/>
        <v>#REF!</v>
      </c>
      <c r="I538" s="62" t="e">
        <f>#REF!</f>
        <v>#REF!</v>
      </c>
      <c r="J538" s="61" t="e">
        <f>IF(I538&gt;0,Pricing!E538*$K$5,0)</f>
        <v>#REF!</v>
      </c>
      <c r="K538" s="63" t="e">
        <f t="shared" si="66"/>
        <v>#REF!</v>
      </c>
      <c r="L538" s="64" t="e">
        <f>#REF!</f>
        <v>#REF!</v>
      </c>
      <c r="M538" s="61" t="e">
        <f>IF(L538&lt;0,Pricing!E538*$N$5,0)</f>
        <v>#REF!</v>
      </c>
      <c r="N538" s="61" t="e">
        <f t="shared" si="67"/>
        <v>#REF!</v>
      </c>
      <c r="O538" s="60" t="e">
        <f>#REF!</f>
        <v>#REF!</v>
      </c>
      <c r="P538" s="61" t="e">
        <f>IF(O538&lt;0,Pricing!E538*$Q$5,0)</f>
        <v>#REF!</v>
      </c>
      <c r="Q538" s="61" t="e">
        <f t="shared" si="68"/>
        <v>#REF!</v>
      </c>
      <c r="R538" s="60" t="e">
        <f>#REF!</f>
        <v>#REF!</v>
      </c>
      <c r="S538" s="61" t="e">
        <f>IF(R538&lt;0,Pricing!E538*$T$5,0)</f>
        <v>#REF!</v>
      </c>
      <c r="T538" s="61" t="e">
        <f t="shared" si="69"/>
        <v>#REF!</v>
      </c>
    </row>
    <row r="539" spans="1:20" x14ac:dyDescent="0.25">
      <c r="A539" s="58">
        <f t="shared" si="70"/>
        <v>44553.166666665376</v>
      </c>
      <c r="B539" s="59">
        <f t="shared" si="71"/>
        <v>44553.208333332041</v>
      </c>
      <c r="C539" s="60" t="e">
        <f>#REF!</f>
        <v>#REF!</v>
      </c>
      <c r="D539" s="61" t="e">
        <f>IF(C539&gt;0,Pricing!E539*$E$5,0)</f>
        <v>#REF!</v>
      </c>
      <c r="E539" s="61" t="e">
        <f t="shared" si="64"/>
        <v>#REF!</v>
      </c>
      <c r="F539" s="60" t="e">
        <f>#REF!</f>
        <v>#REF!</v>
      </c>
      <c r="G539" s="61" t="e">
        <f>IF(F539&gt;0,Pricing!E539*$H$5,0)</f>
        <v>#REF!</v>
      </c>
      <c r="H539" s="61" t="e">
        <f t="shared" si="65"/>
        <v>#REF!</v>
      </c>
      <c r="I539" s="62" t="e">
        <f>#REF!</f>
        <v>#REF!</v>
      </c>
      <c r="J539" s="61" t="e">
        <f>IF(I539&gt;0,Pricing!E539*$K$5,0)</f>
        <v>#REF!</v>
      </c>
      <c r="K539" s="63" t="e">
        <f t="shared" si="66"/>
        <v>#REF!</v>
      </c>
      <c r="L539" s="64" t="e">
        <f>#REF!</f>
        <v>#REF!</v>
      </c>
      <c r="M539" s="61" t="e">
        <f>IF(L539&lt;0,Pricing!E539*$N$5,0)</f>
        <v>#REF!</v>
      </c>
      <c r="N539" s="61" t="e">
        <f t="shared" si="67"/>
        <v>#REF!</v>
      </c>
      <c r="O539" s="60" t="e">
        <f>#REF!</f>
        <v>#REF!</v>
      </c>
      <c r="P539" s="61" t="e">
        <f>IF(O539&lt;0,Pricing!E539*$Q$5,0)</f>
        <v>#REF!</v>
      </c>
      <c r="Q539" s="61" t="e">
        <f t="shared" si="68"/>
        <v>#REF!</v>
      </c>
      <c r="R539" s="60" t="e">
        <f>#REF!</f>
        <v>#REF!</v>
      </c>
      <c r="S539" s="61" t="e">
        <f>IF(R539&lt;0,Pricing!E539*$T$5,0)</f>
        <v>#REF!</v>
      </c>
      <c r="T539" s="61" t="e">
        <f t="shared" si="69"/>
        <v>#REF!</v>
      </c>
    </row>
    <row r="540" spans="1:20" x14ac:dyDescent="0.25">
      <c r="A540" s="58">
        <f t="shared" si="70"/>
        <v>44553.208333332041</v>
      </c>
      <c r="B540" s="59">
        <f t="shared" si="71"/>
        <v>44553.249999998705</v>
      </c>
      <c r="C540" s="60" t="e">
        <f>#REF!</f>
        <v>#REF!</v>
      </c>
      <c r="D540" s="61" t="e">
        <f>IF(C540&gt;0,Pricing!E540*$E$5,0)</f>
        <v>#REF!</v>
      </c>
      <c r="E540" s="61" t="e">
        <f t="shared" si="64"/>
        <v>#REF!</v>
      </c>
      <c r="F540" s="60" t="e">
        <f>#REF!</f>
        <v>#REF!</v>
      </c>
      <c r="G540" s="61" t="e">
        <f>IF(F540&gt;0,Pricing!E540*$H$5,0)</f>
        <v>#REF!</v>
      </c>
      <c r="H540" s="61" t="e">
        <f t="shared" si="65"/>
        <v>#REF!</v>
      </c>
      <c r="I540" s="62" t="e">
        <f>#REF!</f>
        <v>#REF!</v>
      </c>
      <c r="J540" s="61" t="e">
        <f>IF(I540&gt;0,Pricing!E540*$K$5,0)</f>
        <v>#REF!</v>
      </c>
      <c r="K540" s="63" t="e">
        <f t="shared" si="66"/>
        <v>#REF!</v>
      </c>
      <c r="L540" s="64" t="e">
        <f>#REF!</f>
        <v>#REF!</v>
      </c>
      <c r="M540" s="61" t="e">
        <f>IF(L540&lt;0,Pricing!E540*$N$5,0)</f>
        <v>#REF!</v>
      </c>
      <c r="N540" s="61" t="e">
        <f t="shared" si="67"/>
        <v>#REF!</v>
      </c>
      <c r="O540" s="60" t="e">
        <f>#REF!</f>
        <v>#REF!</v>
      </c>
      <c r="P540" s="61" t="e">
        <f>IF(O540&lt;0,Pricing!E540*$Q$5,0)</f>
        <v>#REF!</v>
      </c>
      <c r="Q540" s="61" t="e">
        <f t="shared" si="68"/>
        <v>#REF!</v>
      </c>
      <c r="R540" s="60" t="e">
        <f>#REF!</f>
        <v>#REF!</v>
      </c>
      <c r="S540" s="61" t="e">
        <f>IF(R540&lt;0,Pricing!E540*$T$5,0)</f>
        <v>#REF!</v>
      </c>
      <c r="T540" s="61" t="e">
        <f t="shared" si="69"/>
        <v>#REF!</v>
      </c>
    </row>
    <row r="541" spans="1:20" x14ac:dyDescent="0.25">
      <c r="A541" s="58">
        <f t="shared" si="70"/>
        <v>44553.249999998705</v>
      </c>
      <c r="B541" s="59">
        <f t="shared" si="71"/>
        <v>44553.291666665369</v>
      </c>
      <c r="C541" s="60" t="e">
        <f>#REF!</f>
        <v>#REF!</v>
      </c>
      <c r="D541" s="61" t="e">
        <f>IF(C541&gt;0,Pricing!E541*$E$5,0)</f>
        <v>#REF!</v>
      </c>
      <c r="E541" s="61" t="e">
        <f t="shared" si="64"/>
        <v>#REF!</v>
      </c>
      <c r="F541" s="60" t="e">
        <f>#REF!</f>
        <v>#REF!</v>
      </c>
      <c r="G541" s="61" t="e">
        <f>IF(F541&gt;0,Pricing!E541*$H$5,0)</f>
        <v>#REF!</v>
      </c>
      <c r="H541" s="61" t="e">
        <f t="shared" si="65"/>
        <v>#REF!</v>
      </c>
      <c r="I541" s="62" t="e">
        <f>#REF!</f>
        <v>#REF!</v>
      </c>
      <c r="J541" s="61" t="e">
        <f>IF(I541&gt;0,Pricing!E541*$K$5,0)</f>
        <v>#REF!</v>
      </c>
      <c r="K541" s="63" t="e">
        <f t="shared" si="66"/>
        <v>#REF!</v>
      </c>
      <c r="L541" s="64" t="e">
        <f>#REF!</f>
        <v>#REF!</v>
      </c>
      <c r="M541" s="61" t="e">
        <f>IF(L541&lt;0,Pricing!E541*$N$5,0)</f>
        <v>#REF!</v>
      </c>
      <c r="N541" s="61" t="e">
        <f t="shared" si="67"/>
        <v>#REF!</v>
      </c>
      <c r="O541" s="60" t="e">
        <f>#REF!</f>
        <v>#REF!</v>
      </c>
      <c r="P541" s="61" t="e">
        <f>IF(O541&lt;0,Pricing!E541*$Q$5,0)</f>
        <v>#REF!</v>
      </c>
      <c r="Q541" s="61" t="e">
        <f t="shared" si="68"/>
        <v>#REF!</v>
      </c>
      <c r="R541" s="60" t="e">
        <f>#REF!</f>
        <v>#REF!</v>
      </c>
      <c r="S541" s="61" t="e">
        <f>IF(R541&lt;0,Pricing!E541*$T$5,0)</f>
        <v>#REF!</v>
      </c>
      <c r="T541" s="61" t="e">
        <f t="shared" si="69"/>
        <v>#REF!</v>
      </c>
    </row>
    <row r="542" spans="1:20" x14ac:dyDescent="0.25">
      <c r="A542" s="58">
        <f t="shared" si="70"/>
        <v>44553.291666665369</v>
      </c>
      <c r="B542" s="59">
        <f t="shared" si="71"/>
        <v>44553.333333332033</v>
      </c>
      <c r="C542" s="60" t="e">
        <f>#REF!</f>
        <v>#REF!</v>
      </c>
      <c r="D542" s="61" t="e">
        <f>IF(C542&gt;0,Pricing!E542*$E$5,0)</f>
        <v>#REF!</v>
      </c>
      <c r="E542" s="61" t="e">
        <f t="shared" si="64"/>
        <v>#REF!</v>
      </c>
      <c r="F542" s="60" t="e">
        <f>#REF!</f>
        <v>#REF!</v>
      </c>
      <c r="G542" s="61" t="e">
        <f>IF(F542&gt;0,Pricing!E542*$H$5,0)</f>
        <v>#REF!</v>
      </c>
      <c r="H542" s="61" t="e">
        <f t="shared" si="65"/>
        <v>#REF!</v>
      </c>
      <c r="I542" s="62" t="e">
        <f>#REF!</f>
        <v>#REF!</v>
      </c>
      <c r="J542" s="61" t="e">
        <f>IF(I542&gt;0,Pricing!E542*$K$5,0)</f>
        <v>#REF!</v>
      </c>
      <c r="K542" s="63" t="e">
        <f t="shared" si="66"/>
        <v>#REF!</v>
      </c>
      <c r="L542" s="64" t="e">
        <f>#REF!</f>
        <v>#REF!</v>
      </c>
      <c r="M542" s="61" t="e">
        <f>IF(L542&lt;0,Pricing!E542*$N$5,0)</f>
        <v>#REF!</v>
      </c>
      <c r="N542" s="61" t="e">
        <f t="shared" si="67"/>
        <v>#REF!</v>
      </c>
      <c r="O542" s="60" t="e">
        <f>#REF!</f>
        <v>#REF!</v>
      </c>
      <c r="P542" s="61" t="e">
        <f>IF(O542&lt;0,Pricing!E542*$Q$5,0)</f>
        <v>#REF!</v>
      </c>
      <c r="Q542" s="61" t="e">
        <f t="shared" si="68"/>
        <v>#REF!</v>
      </c>
      <c r="R542" s="60" t="e">
        <f>#REF!</f>
        <v>#REF!</v>
      </c>
      <c r="S542" s="61" t="e">
        <f>IF(R542&lt;0,Pricing!E542*$T$5,0)</f>
        <v>#REF!</v>
      </c>
      <c r="T542" s="61" t="e">
        <f t="shared" si="69"/>
        <v>#REF!</v>
      </c>
    </row>
    <row r="543" spans="1:20" x14ac:dyDescent="0.25">
      <c r="A543" s="58">
        <f t="shared" si="70"/>
        <v>44553.333333332033</v>
      </c>
      <c r="B543" s="59">
        <f t="shared" si="71"/>
        <v>44553.374999998698</v>
      </c>
      <c r="C543" s="60" t="e">
        <f>#REF!</f>
        <v>#REF!</v>
      </c>
      <c r="D543" s="61" t="e">
        <f>IF(C543&gt;0,Pricing!E543*$E$5,0)</f>
        <v>#REF!</v>
      </c>
      <c r="E543" s="61" t="e">
        <f t="shared" si="64"/>
        <v>#REF!</v>
      </c>
      <c r="F543" s="60" t="e">
        <f>#REF!</f>
        <v>#REF!</v>
      </c>
      <c r="G543" s="61" t="e">
        <f>IF(F543&gt;0,Pricing!E543*$H$5,0)</f>
        <v>#REF!</v>
      </c>
      <c r="H543" s="61" t="e">
        <f t="shared" si="65"/>
        <v>#REF!</v>
      </c>
      <c r="I543" s="62" t="e">
        <f>#REF!</f>
        <v>#REF!</v>
      </c>
      <c r="J543" s="61" t="e">
        <f>IF(I543&gt;0,Pricing!E543*$K$5,0)</f>
        <v>#REF!</v>
      </c>
      <c r="K543" s="63" t="e">
        <f t="shared" si="66"/>
        <v>#REF!</v>
      </c>
      <c r="L543" s="64" t="e">
        <f>#REF!</f>
        <v>#REF!</v>
      </c>
      <c r="M543" s="61" t="e">
        <f>IF(L543&lt;0,Pricing!E543*$N$5,0)</f>
        <v>#REF!</v>
      </c>
      <c r="N543" s="61" t="e">
        <f t="shared" si="67"/>
        <v>#REF!</v>
      </c>
      <c r="O543" s="60" t="e">
        <f>#REF!</f>
        <v>#REF!</v>
      </c>
      <c r="P543" s="61" t="e">
        <f>IF(O543&lt;0,Pricing!E543*$Q$5,0)</f>
        <v>#REF!</v>
      </c>
      <c r="Q543" s="61" t="e">
        <f t="shared" si="68"/>
        <v>#REF!</v>
      </c>
      <c r="R543" s="60" t="e">
        <f>#REF!</f>
        <v>#REF!</v>
      </c>
      <c r="S543" s="61" t="e">
        <f>IF(R543&lt;0,Pricing!E543*$T$5,0)</f>
        <v>#REF!</v>
      </c>
      <c r="T543" s="61" t="e">
        <f t="shared" si="69"/>
        <v>#REF!</v>
      </c>
    </row>
    <row r="544" spans="1:20" x14ac:dyDescent="0.25">
      <c r="A544" s="58">
        <f t="shared" si="70"/>
        <v>44553.374999998698</v>
      </c>
      <c r="B544" s="59">
        <f t="shared" si="71"/>
        <v>44553.416666665362</v>
      </c>
      <c r="C544" s="60" t="e">
        <f>#REF!</f>
        <v>#REF!</v>
      </c>
      <c r="D544" s="61" t="e">
        <f>IF(C544&gt;0,Pricing!E544*$E$5,0)</f>
        <v>#REF!</v>
      </c>
      <c r="E544" s="61" t="e">
        <f t="shared" si="64"/>
        <v>#REF!</v>
      </c>
      <c r="F544" s="60" t="e">
        <f>#REF!</f>
        <v>#REF!</v>
      </c>
      <c r="G544" s="61" t="e">
        <f>IF(F544&gt;0,Pricing!E544*$H$5,0)</f>
        <v>#REF!</v>
      </c>
      <c r="H544" s="61" t="e">
        <f t="shared" si="65"/>
        <v>#REF!</v>
      </c>
      <c r="I544" s="62" t="e">
        <f>#REF!</f>
        <v>#REF!</v>
      </c>
      <c r="J544" s="61" t="e">
        <f>IF(I544&gt;0,Pricing!E544*$K$5,0)</f>
        <v>#REF!</v>
      </c>
      <c r="K544" s="63" t="e">
        <f t="shared" si="66"/>
        <v>#REF!</v>
      </c>
      <c r="L544" s="64" t="e">
        <f>#REF!</f>
        <v>#REF!</v>
      </c>
      <c r="M544" s="61" t="e">
        <f>IF(L544&lt;0,Pricing!E544*$N$5,0)</f>
        <v>#REF!</v>
      </c>
      <c r="N544" s="61" t="e">
        <f t="shared" si="67"/>
        <v>#REF!</v>
      </c>
      <c r="O544" s="60" t="e">
        <f>#REF!</f>
        <v>#REF!</v>
      </c>
      <c r="P544" s="61" t="e">
        <f>IF(O544&lt;0,Pricing!E544*$Q$5,0)</f>
        <v>#REF!</v>
      </c>
      <c r="Q544" s="61" t="e">
        <f t="shared" si="68"/>
        <v>#REF!</v>
      </c>
      <c r="R544" s="60" t="e">
        <f>#REF!</f>
        <v>#REF!</v>
      </c>
      <c r="S544" s="61" t="e">
        <f>IF(R544&lt;0,Pricing!E544*$T$5,0)</f>
        <v>#REF!</v>
      </c>
      <c r="T544" s="61" t="e">
        <f t="shared" si="69"/>
        <v>#REF!</v>
      </c>
    </row>
    <row r="545" spans="1:20" x14ac:dyDescent="0.25">
      <c r="A545" s="58">
        <f t="shared" si="70"/>
        <v>44553.416666665362</v>
      </c>
      <c r="B545" s="59">
        <f t="shared" si="71"/>
        <v>44553.458333332026</v>
      </c>
      <c r="C545" s="60" t="e">
        <f>#REF!</f>
        <v>#REF!</v>
      </c>
      <c r="D545" s="61" t="e">
        <f>IF(C545&gt;0,Pricing!E545*$E$5,0)</f>
        <v>#REF!</v>
      </c>
      <c r="E545" s="61" t="e">
        <f t="shared" si="64"/>
        <v>#REF!</v>
      </c>
      <c r="F545" s="60" t="e">
        <f>#REF!</f>
        <v>#REF!</v>
      </c>
      <c r="G545" s="61" t="e">
        <f>IF(F545&gt;0,Pricing!E545*$H$5,0)</f>
        <v>#REF!</v>
      </c>
      <c r="H545" s="61" t="e">
        <f t="shared" si="65"/>
        <v>#REF!</v>
      </c>
      <c r="I545" s="62" t="e">
        <f>#REF!</f>
        <v>#REF!</v>
      </c>
      <c r="J545" s="61" t="e">
        <f>IF(I545&gt;0,Pricing!E545*$K$5,0)</f>
        <v>#REF!</v>
      </c>
      <c r="K545" s="63" t="e">
        <f t="shared" si="66"/>
        <v>#REF!</v>
      </c>
      <c r="L545" s="64" t="e">
        <f>#REF!</f>
        <v>#REF!</v>
      </c>
      <c r="M545" s="61" t="e">
        <f>IF(L545&lt;0,Pricing!E545*$N$5,0)</f>
        <v>#REF!</v>
      </c>
      <c r="N545" s="61" t="e">
        <f t="shared" si="67"/>
        <v>#REF!</v>
      </c>
      <c r="O545" s="60" t="e">
        <f>#REF!</f>
        <v>#REF!</v>
      </c>
      <c r="P545" s="61" t="e">
        <f>IF(O545&lt;0,Pricing!E545*$Q$5,0)</f>
        <v>#REF!</v>
      </c>
      <c r="Q545" s="61" t="e">
        <f t="shared" si="68"/>
        <v>#REF!</v>
      </c>
      <c r="R545" s="60" t="e">
        <f>#REF!</f>
        <v>#REF!</v>
      </c>
      <c r="S545" s="61" t="e">
        <f>IF(R545&lt;0,Pricing!E545*$T$5,0)</f>
        <v>#REF!</v>
      </c>
      <c r="T545" s="61" t="e">
        <f t="shared" si="69"/>
        <v>#REF!</v>
      </c>
    </row>
    <row r="546" spans="1:20" x14ac:dyDescent="0.25">
      <c r="A546" s="58">
        <f t="shared" si="70"/>
        <v>44553.458333332026</v>
      </c>
      <c r="B546" s="59">
        <f t="shared" si="71"/>
        <v>44553.49999999869</v>
      </c>
      <c r="C546" s="60" t="e">
        <f>#REF!</f>
        <v>#REF!</v>
      </c>
      <c r="D546" s="61" t="e">
        <f>IF(C546&gt;0,Pricing!E546*$E$5,0)</f>
        <v>#REF!</v>
      </c>
      <c r="E546" s="61" t="e">
        <f t="shared" si="64"/>
        <v>#REF!</v>
      </c>
      <c r="F546" s="60" t="e">
        <f>#REF!</f>
        <v>#REF!</v>
      </c>
      <c r="G546" s="61" t="e">
        <f>IF(F546&gt;0,Pricing!E546*$H$5,0)</f>
        <v>#REF!</v>
      </c>
      <c r="H546" s="61" t="e">
        <f t="shared" si="65"/>
        <v>#REF!</v>
      </c>
      <c r="I546" s="62" t="e">
        <f>#REF!</f>
        <v>#REF!</v>
      </c>
      <c r="J546" s="61" t="e">
        <f>IF(I546&gt;0,Pricing!E546*$K$5,0)</f>
        <v>#REF!</v>
      </c>
      <c r="K546" s="63" t="e">
        <f t="shared" si="66"/>
        <v>#REF!</v>
      </c>
      <c r="L546" s="64" t="e">
        <f>#REF!</f>
        <v>#REF!</v>
      </c>
      <c r="M546" s="61" t="e">
        <f>IF(L546&lt;0,Pricing!E546*$N$5,0)</f>
        <v>#REF!</v>
      </c>
      <c r="N546" s="61" t="e">
        <f t="shared" si="67"/>
        <v>#REF!</v>
      </c>
      <c r="O546" s="60" t="e">
        <f>#REF!</f>
        <v>#REF!</v>
      </c>
      <c r="P546" s="61" t="e">
        <f>IF(O546&lt;0,Pricing!E546*$Q$5,0)</f>
        <v>#REF!</v>
      </c>
      <c r="Q546" s="61" t="e">
        <f t="shared" si="68"/>
        <v>#REF!</v>
      </c>
      <c r="R546" s="60" t="e">
        <f>#REF!</f>
        <v>#REF!</v>
      </c>
      <c r="S546" s="61" t="e">
        <f>IF(R546&lt;0,Pricing!E546*$T$5,0)</f>
        <v>#REF!</v>
      </c>
      <c r="T546" s="61" t="e">
        <f t="shared" si="69"/>
        <v>#REF!</v>
      </c>
    </row>
    <row r="547" spans="1:20" x14ac:dyDescent="0.25">
      <c r="A547" s="58">
        <f t="shared" si="70"/>
        <v>44553.49999999869</v>
      </c>
      <c r="B547" s="59">
        <f t="shared" si="71"/>
        <v>44553.541666665355</v>
      </c>
      <c r="C547" s="60" t="e">
        <f>#REF!</f>
        <v>#REF!</v>
      </c>
      <c r="D547" s="61" t="e">
        <f>IF(C547&gt;0,Pricing!E547*$E$5,0)</f>
        <v>#REF!</v>
      </c>
      <c r="E547" s="61" t="e">
        <f t="shared" si="64"/>
        <v>#REF!</v>
      </c>
      <c r="F547" s="60" t="e">
        <f>#REF!</f>
        <v>#REF!</v>
      </c>
      <c r="G547" s="61" t="e">
        <f>IF(F547&gt;0,Pricing!E547*$H$5,0)</f>
        <v>#REF!</v>
      </c>
      <c r="H547" s="61" t="e">
        <f t="shared" si="65"/>
        <v>#REF!</v>
      </c>
      <c r="I547" s="62" t="e">
        <f>#REF!</f>
        <v>#REF!</v>
      </c>
      <c r="J547" s="61" t="e">
        <f>IF(I547&gt;0,Pricing!E547*$K$5,0)</f>
        <v>#REF!</v>
      </c>
      <c r="K547" s="63" t="e">
        <f t="shared" si="66"/>
        <v>#REF!</v>
      </c>
      <c r="L547" s="64" t="e">
        <f>#REF!</f>
        <v>#REF!</v>
      </c>
      <c r="M547" s="61" t="e">
        <f>IF(L547&lt;0,Pricing!E547*$N$5,0)</f>
        <v>#REF!</v>
      </c>
      <c r="N547" s="61" t="e">
        <f t="shared" si="67"/>
        <v>#REF!</v>
      </c>
      <c r="O547" s="60" t="e">
        <f>#REF!</f>
        <v>#REF!</v>
      </c>
      <c r="P547" s="61" t="e">
        <f>IF(O547&lt;0,Pricing!E547*$Q$5,0)</f>
        <v>#REF!</v>
      </c>
      <c r="Q547" s="61" t="e">
        <f t="shared" si="68"/>
        <v>#REF!</v>
      </c>
      <c r="R547" s="60" t="e">
        <f>#REF!</f>
        <v>#REF!</v>
      </c>
      <c r="S547" s="61" t="e">
        <f>IF(R547&lt;0,Pricing!E547*$T$5,0)</f>
        <v>#REF!</v>
      </c>
      <c r="T547" s="61" t="e">
        <f t="shared" si="69"/>
        <v>#REF!</v>
      </c>
    </row>
    <row r="548" spans="1:20" x14ac:dyDescent="0.25">
      <c r="A548" s="58">
        <f t="shared" si="70"/>
        <v>44553.541666665355</v>
      </c>
      <c r="B548" s="59">
        <f t="shared" si="71"/>
        <v>44553.583333332019</v>
      </c>
      <c r="C548" s="60" t="e">
        <f>#REF!</f>
        <v>#REF!</v>
      </c>
      <c r="D548" s="61" t="e">
        <f>IF(C548&gt;0,Pricing!E548*$E$5,0)</f>
        <v>#REF!</v>
      </c>
      <c r="E548" s="61" t="e">
        <f t="shared" si="64"/>
        <v>#REF!</v>
      </c>
      <c r="F548" s="60" t="e">
        <f>#REF!</f>
        <v>#REF!</v>
      </c>
      <c r="G548" s="61" t="e">
        <f>IF(F548&gt;0,Pricing!E548*$H$5,0)</f>
        <v>#REF!</v>
      </c>
      <c r="H548" s="61" t="e">
        <f t="shared" si="65"/>
        <v>#REF!</v>
      </c>
      <c r="I548" s="62" t="e">
        <f>#REF!</f>
        <v>#REF!</v>
      </c>
      <c r="J548" s="61" t="e">
        <f>IF(I548&gt;0,Pricing!E548*$K$5,0)</f>
        <v>#REF!</v>
      </c>
      <c r="K548" s="63" t="e">
        <f t="shared" si="66"/>
        <v>#REF!</v>
      </c>
      <c r="L548" s="64" t="e">
        <f>#REF!</f>
        <v>#REF!</v>
      </c>
      <c r="M548" s="61" t="e">
        <f>IF(L548&lt;0,Pricing!E548*$N$5,0)</f>
        <v>#REF!</v>
      </c>
      <c r="N548" s="61" t="e">
        <f t="shared" si="67"/>
        <v>#REF!</v>
      </c>
      <c r="O548" s="60" t="e">
        <f>#REF!</f>
        <v>#REF!</v>
      </c>
      <c r="P548" s="61" t="e">
        <f>IF(O548&lt;0,Pricing!E548*$Q$5,0)</f>
        <v>#REF!</v>
      </c>
      <c r="Q548" s="61" t="e">
        <f t="shared" si="68"/>
        <v>#REF!</v>
      </c>
      <c r="R548" s="60" t="e">
        <f>#REF!</f>
        <v>#REF!</v>
      </c>
      <c r="S548" s="61" t="e">
        <f>IF(R548&lt;0,Pricing!E548*$T$5,0)</f>
        <v>#REF!</v>
      </c>
      <c r="T548" s="61" t="e">
        <f t="shared" si="69"/>
        <v>#REF!</v>
      </c>
    </row>
    <row r="549" spans="1:20" x14ac:dyDescent="0.25">
      <c r="A549" s="58">
        <f t="shared" si="70"/>
        <v>44553.583333332019</v>
      </c>
      <c r="B549" s="59">
        <f t="shared" si="71"/>
        <v>44553.624999998683</v>
      </c>
      <c r="C549" s="60" t="e">
        <f>#REF!</f>
        <v>#REF!</v>
      </c>
      <c r="D549" s="61" t="e">
        <f>IF(C549&gt;0,Pricing!E549*$E$5,0)</f>
        <v>#REF!</v>
      </c>
      <c r="E549" s="61" t="e">
        <f t="shared" si="64"/>
        <v>#REF!</v>
      </c>
      <c r="F549" s="60" t="e">
        <f>#REF!</f>
        <v>#REF!</v>
      </c>
      <c r="G549" s="61" t="e">
        <f>IF(F549&gt;0,Pricing!E549*$H$5,0)</f>
        <v>#REF!</v>
      </c>
      <c r="H549" s="61" t="e">
        <f t="shared" si="65"/>
        <v>#REF!</v>
      </c>
      <c r="I549" s="62" t="e">
        <f>#REF!</f>
        <v>#REF!</v>
      </c>
      <c r="J549" s="61" t="e">
        <f>IF(I549&gt;0,Pricing!E549*$K$5,0)</f>
        <v>#REF!</v>
      </c>
      <c r="K549" s="63" t="e">
        <f t="shared" si="66"/>
        <v>#REF!</v>
      </c>
      <c r="L549" s="64" t="e">
        <f>#REF!</f>
        <v>#REF!</v>
      </c>
      <c r="M549" s="61" t="e">
        <f>IF(L549&lt;0,Pricing!E549*$N$5,0)</f>
        <v>#REF!</v>
      </c>
      <c r="N549" s="61" t="e">
        <f t="shared" si="67"/>
        <v>#REF!</v>
      </c>
      <c r="O549" s="60" t="e">
        <f>#REF!</f>
        <v>#REF!</v>
      </c>
      <c r="P549" s="61" t="e">
        <f>IF(O549&lt;0,Pricing!E549*$Q$5,0)</f>
        <v>#REF!</v>
      </c>
      <c r="Q549" s="61" t="e">
        <f t="shared" si="68"/>
        <v>#REF!</v>
      </c>
      <c r="R549" s="60" t="e">
        <f>#REF!</f>
        <v>#REF!</v>
      </c>
      <c r="S549" s="61" t="e">
        <f>IF(R549&lt;0,Pricing!E549*$T$5,0)</f>
        <v>#REF!</v>
      </c>
      <c r="T549" s="61" t="e">
        <f t="shared" si="69"/>
        <v>#REF!</v>
      </c>
    </row>
    <row r="550" spans="1:20" x14ac:dyDescent="0.25">
      <c r="A550" s="58">
        <f t="shared" si="70"/>
        <v>44553.624999998683</v>
      </c>
      <c r="B550" s="59">
        <f t="shared" si="71"/>
        <v>44553.666666665347</v>
      </c>
      <c r="C550" s="60" t="e">
        <f>#REF!</f>
        <v>#REF!</v>
      </c>
      <c r="D550" s="61" t="e">
        <f>IF(C550&gt;0,Pricing!E550*$E$5,0)</f>
        <v>#REF!</v>
      </c>
      <c r="E550" s="61" t="e">
        <f t="shared" si="64"/>
        <v>#REF!</v>
      </c>
      <c r="F550" s="60" t="e">
        <f>#REF!</f>
        <v>#REF!</v>
      </c>
      <c r="G550" s="61" t="e">
        <f>IF(F550&gt;0,Pricing!E550*$H$5,0)</f>
        <v>#REF!</v>
      </c>
      <c r="H550" s="61" t="e">
        <f t="shared" si="65"/>
        <v>#REF!</v>
      </c>
      <c r="I550" s="62" t="e">
        <f>#REF!</f>
        <v>#REF!</v>
      </c>
      <c r="J550" s="61" t="e">
        <f>IF(I550&gt;0,Pricing!E550*$K$5,0)</f>
        <v>#REF!</v>
      </c>
      <c r="K550" s="63" t="e">
        <f t="shared" si="66"/>
        <v>#REF!</v>
      </c>
      <c r="L550" s="64" t="e">
        <f>#REF!</f>
        <v>#REF!</v>
      </c>
      <c r="M550" s="61" t="e">
        <f>IF(L550&lt;0,Pricing!E550*$N$5,0)</f>
        <v>#REF!</v>
      </c>
      <c r="N550" s="61" t="e">
        <f t="shared" si="67"/>
        <v>#REF!</v>
      </c>
      <c r="O550" s="60" t="e">
        <f>#REF!</f>
        <v>#REF!</v>
      </c>
      <c r="P550" s="61" t="e">
        <f>IF(O550&lt;0,Pricing!E550*$Q$5,0)</f>
        <v>#REF!</v>
      </c>
      <c r="Q550" s="61" t="e">
        <f t="shared" si="68"/>
        <v>#REF!</v>
      </c>
      <c r="R550" s="60" t="e">
        <f>#REF!</f>
        <v>#REF!</v>
      </c>
      <c r="S550" s="61" t="e">
        <f>IF(R550&lt;0,Pricing!E550*$T$5,0)</f>
        <v>#REF!</v>
      </c>
      <c r="T550" s="61" t="e">
        <f t="shared" si="69"/>
        <v>#REF!</v>
      </c>
    </row>
    <row r="551" spans="1:20" x14ac:dyDescent="0.25">
      <c r="A551" s="58">
        <f t="shared" si="70"/>
        <v>44553.666666665347</v>
      </c>
      <c r="B551" s="59">
        <f t="shared" si="71"/>
        <v>44553.708333332012</v>
      </c>
      <c r="C551" s="60" t="e">
        <f>#REF!</f>
        <v>#REF!</v>
      </c>
      <c r="D551" s="61" t="e">
        <f>IF(C551&gt;0,Pricing!E551*$E$5,0)</f>
        <v>#REF!</v>
      </c>
      <c r="E551" s="61" t="e">
        <f t="shared" si="64"/>
        <v>#REF!</v>
      </c>
      <c r="F551" s="60" t="e">
        <f>#REF!</f>
        <v>#REF!</v>
      </c>
      <c r="G551" s="61" t="e">
        <f>IF(F551&gt;0,Pricing!E551*$H$5,0)</f>
        <v>#REF!</v>
      </c>
      <c r="H551" s="61" t="e">
        <f t="shared" si="65"/>
        <v>#REF!</v>
      </c>
      <c r="I551" s="62" t="e">
        <f>#REF!</f>
        <v>#REF!</v>
      </c>
      <c r="J551" s="61" t="e">
        <f>IF(I551&gt;0,Pricing!E551*$K$5,0)</f>
        <v>#REF!</v>
      </c>
      <c r="K551" s="63" t="e">
        <f t="shared" si="66"/>
        <v>#REF!</v>
      </c>
      <c r="L551" s="64" t="e">
        <f>#REF!</f>
        <v>#REF!</v>
      </c>
      <c r="M551" s="61" t="e">
        <f>IF(L551&lt;0,Pricing!E551*$N$5,0)</f>
        <v>#REF!</v>
      </c>
      <c r="N551" s="61" t="e">
        <f t="shared" si="67"/>
        <v>#REF!</v>
      </c>
      <c r="O551" s="60" t="e">
        <f>#REF!</f>
        <v>#REF!</v>
      </c>
      <c r="P551" s="61" t="e">
        <f>IF(O551&lt;0,Pricing!E551*$Q$5,0)</f>
        <v>#REF!</v>
      </c>
      <c r="Q551" s="61" t="e">
        <f t="shared" si="68"/>
        <v>#REF!</v>
      </c>
      <c r="R551" s="60" t="e">
        <f>#REF!</f>
        <v>#REF!</v>
      </c>
      <c r="S551" s="61" t="e">
        <f>IF(R551&lt;0,Pricing!E551*$T$5,0)</f>
        <v>#REF!</v>
      </c>
      <c r="T551" s="61" t="e">
        <f t="shared" si="69"/>
        <v>#REF!</v>
      </c>
    </row>
    <row r="552" spans="1:20" x14ac:dyDescent="0.25">
      <c r="A552" s="58">
        <f t="shared" si="70"/>
        <v>44553.708333332012</v>
      </c>
      <c r="B552" s="59">
        <f t="shared" si="71"/>
        <v>44553.749999998676</v>
      </c>
      <c r="C552" s="60" t="e">
        <f>#REF!</f>
        <v>#REF!</v>
      </c>
      <c r="D552" s="61" t="e">
        <f>IF(C552&gt;0,Pricing!E552*$E$5,0)</f>
        <v>#REF!</v>
      </c>
      <c r="E552" s="61" t="e">
        <f t="shared" si="64"/>
        <v>#REF!</v>
      </c>
      <c r="F552" s="60" t="e">
        <f>#REF!</f>
        <v>#REF!</v>
      </c>
      <c r="G552" s="61" t="e">
        <f>IF(F552&gt;0,Pricing!E552*$H$5,0)</f>
        <v>#REF!</v>
      </c>
      <c r="H552" s="61" t="e">
        <f t="shared" si="65"/>
        <v>#REF!</v>
      </c>
      <c r="I552" s="62" t="e">
        <f>#REF!</f>
        <v>#REF!</v>
      </c>
      <c r="J552" s="61" t="e">
        <f>IF(I552&gt;0,Pricing!E552*$K$5,0)</f>
        <v>#REF!</v>
      </c>
      <c r="K552" s="63" t="e">
        <f t="shared" si="66"/>
        <v>#REF!</v>
      </c>
      <c r="L552" s="64" t="e">
        <f>#REF!</f>
        <v>#REF!</v>
      </c>
      <c r="M552" s="61" t="e">
        <f>IF(L552&lt;0,Pricing!E552*$N$5,0)</f>
        <v>#REF!</v>
      </c>
      <c r="N552" s="61" t="e">
        <f t="shared" si="67"/>
        <v>#REF!</v>
      </c>
      <c r="O552" s="60" t="e">
        <f>#REF!</f>
        <v>#REF!</v>
      </c>
      <c r="P552" s="61" t="e">
        <f>IF(O552&lt;0,Pricing!E552*$Q$5,0)</f>
        <v>#REF!</v>
      </c>
      <c r="Q552" s="61" t="e">
        <f t="shared" si="68"/>
        <v>#REF!</v>
      </c>
      <c r="R552" s="60" t="e">
        <f>#REF!</f>
        <v>#REF!</v>
      </c>
      <c r="S552" s="61" t="e">
        <f>IF(R552&lt;0,Pricing!E552*$T$5,0)</f>
        <v>#REF!</v>
      </c>
      <c r="T552" s="61" t="e">
        <f t="shared" si="69"/>
        <v>#REF!</v>
      </c>
    </row>
    <row r="553" spans="1:20" x14ac:dyDescent="0.25">
      <c r="A553" s="58">
        <f t="shared" si="70"/>
        <v>44553.749999998676</v>
      </c>
      <c r="B553" s="59">
        <f t="shared" si="71"/>
        <v>44553.79166666534</v>
      </c>
      <c r="C553" s="60" t="e">
        <f>#REF!</f>
        <v>#REF!</v>
      </c>
      <c r="D553" s="61" t="e">
        <f>IF(C553&gt;0,Pricing!E553*$E$5,0)</f>
        <v>#REF!</v>
      </c>
      <c r="E553" s="61" t="e">
        <f t="shared" si="64"/>
        <v>#REF!</v>
      </c>
      <c r="F553" s="60" t="e">
        <f>#REF!</f>
        <v>#REF!</v>
      </c>
      <c r="G553" s="61" t="e">
        <f>IF(F553&gt;0,Pricing!E553*$H$5,0)</f>
        <v>#REF!</v>
      </c>
      <c r="H553" s="61" t="e">
        <f t="shared" si="65"/>
        <v>#REF!</v>
      </c>
      <c r="I553" s="62" t="e">
        <f>#REF!</f>
        <v>#REF!</v>
      </c>
      <c r="J553" s="61" t="e">
        <f>IF(I553&gt;0,Pricing!E553*$K$5,0)</f>
        <v>#REF!</v>
      </c>
      <c r="K553" s="63" t="e">
        <f t="shared" si="66"/>
        <v>#REF!</v>
      </c>
      <c r="L553" s="64" t="e">
        <f>#REF!</f>
        <v>#REF!</v>
      </c>
      <c r="M553" s="61" t="e">
        <f>IF(L553&lt;0,Pricing!E553*$N$5,0)</f>
        <v>#REF!</v>
      </c>
      <c r="N553" s="61" t="e">
        <f t="shared" si="67"/>
        <v>#REF!</v>
      </c>
      <c r="O553" s="60" t="e">
        <f>#REF!</f>
        <v>#REF!</v>
      </c>
      <c r="P553" s="61" t="e">
        <f>IF(O553&lt;0,Pricing!E553*$Q$5,0)</f>
        <v>#REF!</v>
      </c>
      <c r="Q553" s="61" t="e">
        <f t="shared" si="68"/>
        <v>#REF!</v>
      </c>
      <c r="R553" s="60" t="e">
        <f>#REF!</f>
        <v>#REF!</v>
      </c>
      <c r="S553" s="61" t="e">
        <f>IF(R553&lt;0,Pricing!E553*$T$5,0)</f>
        <v>#REF!</v>
      </c>
      <c r="T553" s="61" t="e">
        <f t="shared" si="69"/>
        <v>#REF!</v>
      </c>
    </row>
    <row r="554" spans="1:20" x14ac:dyDescent="0.25">
      <c r="A554" s="58">
        <f t="shared" si="70"/>
        <v>44553.79166666534</v>
      </c>
      <c r="B554" s="59">
        <f t="shared" si="71"/>
        <v>44553.833333332004</v>
      </c>
      <c r="C554" s="60" t="e">
        <f>#REF!</f>
        <v>#REF!</v>
      </c>
      <c r="D554" s="61" t="e">
        <f>IF(C554&gt;0,Pricing!E554*$E$5,0)</f>
        <v>#REF!</v>
      </c>
      <c r="E554" s="61" t="e">
        <f t="shared" si="64"/>
        <v>#REF!</v>
      </c>
      <c r="F554" s="60" t="e">
        <f>#REF!</f>
        <v>#REF!</v>
      </c>
      <c r="G554" s="61" t="e">
        <f>IF(F554&gt;0,Pricing!E554*$H$5,0)</f>
        <v>#REF!</v>
      </c>
      <c r="H554" s="61" t="e">
        <f t="shared" si="65"/>
        <v>#REF!</v>
      </c>
      <c r="I554" s="62" t="e">
        <f>#REF!</f>
        <v>#REF!</v>
      </c>
      <c r="J554" s="61" t="e">
        <f>IF(I554&gt;0,Pricing!E554*$K$5,0)</f>
        <v>#REF!</v>
      </c>
      <c r="K554" s="63" t="e">
        <f t="shared" si="66"/>
        <v>#REF!</v>
      </c>
      <c r="L554" s="64" t="e">
        <f>#REF!</f>
        <v>#REF!</v>
      </c>
      <c r="M554" s="61" t="e">
        <f>IF(L554&lt;0,Pricing!E554*$N$5,0)</f>
        <v>#REF!</v>
      </c>
      <c r="N554" s="61" t="e">
        <f t="shared" si="67"/>
        <v>#REF!</v>
      </c>
      <c r="O554" s="60" t="e">
        <f>#REF!</f>
        <v>#REF!</v>
      </c>
      <c r="P554" s="61" t="e">
        <f>IF(O554&lt;0,Pricing!E554*$Q$5,0)</f>
        <v>#REF!</v>
      </c>
      <c r="Q554" s="61" t="e">
        <f t="shared" si="68"/>
        <v>#REF!</v>
      </c>
      <c r="R554" s="60" t="e">
        <f>#REF!</f>
        <v>#REF!</v>
      </c>
      <c r="S554" s="61" t="e">
        <f>IF(R554&lt;0,Pricing!E554*$T$5,0)</f>
        <v>#REF!</v>
      </c>
      <c r="T554" s="61" t="e">
        <f t="shared" si="69"/>
        <v>#REF!</v>
      </c>
    </row>
    <row r="555" spans="1:20" x14ac:dyDescent="0.25">
      <c r="A555" s="58">
        <f t="shared" si="70"/>
        <v>44553.833333332004</v>
      </c>
      <c r="B555" s="59">
        <f t="shared" si="71"/>
        <v>44553.874999998668</v>
      </c>
      <c r="C555" s="60" t="e">
        <f>#REF!</f>
        <v>#REF!</v>
      </c>
      <c r="D555" s="61" t="e">
        <f>IF(C555&gt;0,Pricing!E555*$E$5,0)</f>
        <v>#REF!</v>
      </c>
      <c r="E555" s="61" t="e">
        <f t="shared" si="64"/>
        <v>#REF!</v>
      </c>
      <c r="F555" s="60" t="e">
        <f>#REF!</f>
        <v>#REF!</v>
      </c>
      <c r="G555" s="61" t="e">
        <f>IF(F555&gt;0,Pricing!E555*$H$5,0)</f>
        <v>#REF!</v>
      </c>
      <c r="H555" s="61" t="e">
        <f t="shared" si="65"/>
        <v>#REF!</v>
      </c>
      <c r="I555" s="62" t="e">
        <f>#REF!</f>
        <v>#REF!</v>
      </c>
      <c r="J555" s="61" t="e">
        <f>IF(I555&gt;0,Pricing!E555*$K$5,0)</f>
        <v>#REF!</v>
      </c>
      <c r="K555" s="63" t="e">
        <f t="shared" si="66"/>
        <v>#REF!</v>
      </c>
      <c r="L555" s="64" t="e">
        <f>#REF!</f>
        <v>#REF!</v>
      </c>
      <c r="M555" s="61" t="e">
        <f>IF(L555&lt;0,Pricing!E555*$N$5,0)</f>
        <v>#REF!</v>
      </c>
      <c r="N555" s="61" t="e">
        <f t="shared" si="67"/>
        <v>#REF!</v>
      </c>
      <c r="O555" s="60" t="e">
        <f>#REF!</f>
        <v>#REF!</v>
      </c>
      <c r="P555" s="61" t="e">
        <f>IF(O555&lt;0,Pricing!E555*$Q$5,0)</f>
        <v>#REF!</v>
      </c>
      <c r="Q555" s="61" t="e">
        <f t="shared" si="68"/>
        <v>#REF!</v>
      </c>
      <c r="R555" s="60" t="e">
        <f>#REF!</f>
        <v>#REF!</v>
      </c>
      <c r="S555" s="61" t="e">
        <f>IF(R555&lt;0,Pricing!E555*$T$5,0)</f>
        <v>#REF!</v>
      </c>
      <c r="T555" s="61" t="e">
        <f t="shared" si="69"/>
        <v>#REF!</v>
      </c>
    </row>
    <row r="556" spans="1:20" x14ac:dyDescent="0.25">
      <c r="A556" s="58">
        <f t="shared" si="70"/>
        <v>44553.874999998668</v>
      </c>
      <c r="B556" s="59">
        <f t="shared" si="71"/>
        <v>44553.916666665333</v>
      </c>
      <c r="C556" s="60" t="e">
        <f>#REF!</f>
        <v>#REF!</v>
      </c>
      <c r="D556" s="61" t="e">
        <f>IF(C556&gt;0,Pricing!E556*$E$5,0)</f>
        <v>#REF!</v>
      </c>
      <c r="E556" s="61" t="e">
        <f t="shared" si="64"/>
        <v>#REF!</v>
      </c>
      <c r="F556" s="60" t="e">
        <f>#REF!</f>
        <v>#REF!</v>
      </c>
      <c r="G556" s="61" t="e">
        <f>IF(F556&gt;0,Pricing!E556*$H$5,0)</f>
        <v>#REF!</v>
      </c>
      <c r="H556" s="61" t="e">
        <f t="shared" si="65"/>
        <v>#REF!</v>
      </c>
      <c r="I556" s="62" t="e">
        <f>#REF!</f>
        <v>#REF!</v>
      </c>
      <c r="J556" s="61" t="e">
        <f>IF(I556&gt;0,Pricing!E556*$K$5,0)</f>
        <v>#REF!</v>
      </c>
      <c r="K556" s="63" t="e">
        <f t="shared" si="66"/>
        <v>#REF!</v>
      </c>
      <c r="L556" s="64" t="e">
        <f>#REF!</f>
        <v>#REF!</v>
      </c>
      <c r="M556" s="61" t="e">
        <f>IF(L556&lt;0,Pricing!E556*$N$5,0)</f>
        <v>#REF!</v>
      </c>
      <c r="N556" s="61" t="e">
        <f t="shared" si="67"/>
        <v>#REF!</v>
      </c>
      <c r="O556" s="60" t="e">
        <f>#REF!</f>
        <v>#REF!</v>
      </c>
      <c r="P556" s="61" t="e">
        <f>IF(O556&lt;0,Pricing!E556*$Q$5,0)</f>
        <v>#REF!</v>
      </c>
      <c r="Q556" s="61" t="e">
        <f t="shared" si="68"/>
        <v>#REF!</v>
      </c>
      <c r="R556" s="60" t="e">
        <f>#REF!</f>
        <v>#REF!</v>
      </c>
      <c r="S556" s="61" t="e">
        <f>IF(R556&lt;0,Pricing!E556*$T$5,0)</f>
        <v>#REF!</v>
      </c>
      <c r="T556" s="61" t="e">
        <f t="shared" si="69"/>
        <v>#REF!</v>
      </c>
    </row>
    <row r="557" spans="1:20" x14ac:dyDescent="0.25">
      <c r="A557" s="58">
        <f t="shared" si="70"/>
        <v>44553.916666665333</v>
      </c>
      <c r="B557" s="59">
        <f t="shared" si="71"/>
        <v>44553.958333331997</v>
      </c>
      <c r="C557" s="60" t="e">
        <f>#REF!</f>
        <v>#REF!</v>
      </c>
      <c r="D557" s="61" t="e">
        <f>IF(C557&gt;0,Pricing!E557*$E$5,0)</f>
        <v>#REF!</v>
      </c>
      <c r="E557" s="61" t="e">
        <f t="shared" si="64"/>
        <v>#REF!</v>
      </c>
      <c r="F557" s="60" t="e">
        <f>#REF!</f>
        <v>#REF!</v>
      </c>
      <c r="G557" s="61" t="e">
        <f>IF(F557&gt;0,Pricing!E557*$H$5,0)</f>
        <v>#REF!</v>
      </c>
      <c r="H557" s="61" t="e">
        <f t="shared" si="65"/>
        <v>#REF!</v>
      </c>
      <c r="I557" s="62" t="e">
        <f>#REF!</f>
        <v>#REF!</v>
      </c>
      <c r="J557" s="61" t="e">
        <f>IF(I557&gt;0,Pricing!E557*$K$5,0)</f>
        <v>#REF!</v>
      </c>
      <c r="K557" s="63" t="e">
        <f t="shared" si="66"/>
        <v>#REF!</v>
      </c>
      <c r="L557" s="64" t="e">
        <f>#REF!</f>
        <v>#REF!</v>
      </c>
      <c r="M557" s="61" t="e">
        <f>IF(L557&lt;0,Pricing!E557*$N$5,0)</f>
        <v>#REF!</v>
      </c>
      <c r="N557" s="61" t="e">
        <f t="shared" si="67"/>
        <v>#REF!</v>
      </c>
      <c r="O557" s="60" t="e">
        <f>#REF!</f>
        <v>#REF!</v>
      </c>
      <c r="P557" s="61" t="e">
        <f>IF(O557&lt;0,Pricing!E557*$Q$5,0)</f>
        <v>#REF!</v>
      </c>
      <c r="Q557" s="61" t="e">
        <f t="shared" si="68"/>
        <v>#REF!</v>
      </c>
      <c r="R557" s="60" t="e">
        <f>#REF!</f>
        <v>#REF!</v>
      </c>
      <c r="S557" s="61" t="e">
        <f>IF(R557&lt;0,Pricing!E557*$T$5,0)</f>
        <v>#REF!</v>
      </c>
      <c r="T557" s="61" t="e">
        <f t="shared" si="69"/>
        <v>#REF!</v>
      </c>
    </row>
    <row r="558" spans="1:20" x14ac:dyDescent="0.25">
      <c r="A558" s="58">
        <f t="shared" si="70"/>
        <v>44553.958333331997</v>
      </c>
      <c r="B558" s="59">
        <f t="shared" si="71"/>
        <v>44553.999999998661</v>
      </c>
      <c r="C558" s="60" t="e">
        <f>#REF!</f>
        <v>#REF!</v>
      </c>
      <c r="D558" s="61" t="e">
        <f>IF(C558&gt;0,Pricing!E558*$E$5,0)</f>
        <v>#REF!</v>
      </c>
      <c r="E558" s="61" t="e">
        <f t="shared" si="64"/>
        <v>#REF!</v>
      </c>
      <c r="F558" s="60" t="e">
        <f>#REF!</f>
        <v>#REF!</v>
      </c>
      <c r="G558" s="61" t="e">
        <f>IF(F558&gt;0,Pricing!E558*$H$5,0)</f>
        <v>#REF!</v>
      </c>
      <c r="H558" s="61" t="e">
        <f t="shared" si="65"/>
        <v>#REF!</v>
      </c>
      <c r="I558" s="62" t="e">
        <f>#REF!</f>
        <v>#REF!</v>
      </c>
      <c r="J558" s="61" t="e">
        <f>IF(I558&gt;0,Pricing!E558*$K$5,0)</f>
        <v>#REF!</v>
      </c>
      <c r="K558" s="63" t="e">
        <f t="shared" si="66"/>
        <v>#REF!</v>
      </c>
      <c r="L558" s="64" t="e">
        <f>#REF!</f>
        <v>#REF!</v>
      </c>
      <c r="M558" s="61" t="e">
        <f>IF(L558&lt;0,Pricing!E558*$N$5,0)</f>
        <v>#REF!</v>
      </c>
      <c r="N558" s="61" t="e">
        <f t="shared" si="67"/>
        <v>#REF!</v>
      </c>
      <c r="O558" s="60" t="e">
        <f>#REF!</f>
        <v>#REF!</v>
      </c>
      <c r="P558" s="61" t="e">
        <f>IF(O558&lt;0,Pricing!E558*$Q$5,0)</f>
        <v>#REF!</v>
      </c>
      <c r="Q558" s="61" t="e">
        <f t="shared" si="68"/>
        <v>#REF!</v>
      </c>
      <c r="R558" s="60" t="e">
        <f>#REF!</f>
        <v>#REF!</v>
      </c>
      <c r="S558" s="61" t="e">
        <f>IF(R558&lt;0,Pricing!E558*$T$5,0)</f>
        <v>#REF!</v>
      </c>
      <c r="T558" s="61" t="e">
        <f t="shared" si="69"/>
        <v>#REF!</v>
      </c>
    </row>
    <row r="559" spans="1:20" x14ac:dyDescent="0.25">
      <c r="A559" s="58">
        <f t="shared" si="70"/>
        <v>44553.999999998661</v>
      </c>
      <c r="B559" s="59">
        <f t="shared" si="71"/>
        <v>44554.041666665325</v>
      </c>
      <c r="C559" s="60" t="e">
        <f>#REF!</f>
        <v>#REF!</v>
      </c>
      <c r="D559" s="61" t="e">
        <f>IF(C559&gt;0,Pricing!E559*$E$5,0)</f>
        <v>#REF!</v>
      </c>
      <c r="E559" s="61" t="e">
        <f t="shared" si="64"/>
        <v>#REF!</v>
      </c>
      <c r="F559" s="60" t="e">
        <f>#REF!</f>
        <v>#REF!</v>
      </c>
      <c r="G559" s="61" t="e">
        <f>IF(F559&gt;0,Pricing!E559*$H$5,0)</f>
        <v>#REF!</v>
      </c>
      <c r="H559" s="61" t="e">
        <f t="shared" si="65"/>
        <v>#REF!</v>
      </c>
      <c r="I559" s="62" t="e">
        <f>#REF!</f>
        <v>#REF!</v>
      </c>
      <c r="J559" s="61" t="e">
        <f>IF(I559&gt;0,Pricing!E559*$K$5,0)</f>
        <v>#REF!</v>
      </c>
      <c r="K559" s="63" t="e">
        <f t="shared" si="66"/>
        <v>#REF!</v>
      </c>
      <c r="L559" s="64" t="e">
        <f>#REF!</f>
        <v>#REF!</v>
      </c>
      <c r="M559" s="61" t="e">
        <f>IF(L559&lt;0,Pricing!E559*$N$5,0)</f>
        <v>#REF!</v>
      </c>
      <c r="N559" s="61" t="e">
        <f t="shared" si="67"/>
        <v>#REF!</v>
      </c>
      <c r="O559" s="60" t="e">
        <f>#REF!</f>
        <v>#REF!</v>
      </c>
      <c r="P559" s="61" t="e">
        <f>IF(O559&lt;0,Pricing!E559*$Q$5,0)</f>
        <v>#REF!</v>
      </c>
      <c r="Q559" s="61" t="e">
        <f t="shared" si="68"/>
        <v>#REF!</v>
      </c>
      <c r="R559" s="60" t="e">
        <f>#REF!</f>
        <v>#REF!</v>
      </c>
      <c r="S559" s="61" t="e">
        <f>IF(R559&lt;0,Pricing!E559*$T$5,0)</f>
        <v>#REF!</v>
      </c>
      <c r="T559" s="61" t="e">
        <f t="shared" si="69"/>
        <v>#REF!</v>
      </c>
    </row>
    <row r="560" spans="1:20" x14ac:dyDescent="0.25">
      <c r="A560" s="58">
        <f t="shared" si="70"/>
        <v>44554.041666665325</v>
      </c>
      <c r="B560" s="59">
        <f t="shared" si="71"/>
        <v>44554.08333333199</v>
      </c>
      <c r="C560" s="60" t="e">
        <f>#REF!</f>
        <v>#REF!</v>
      </c>
      <c r="D560" s="61" t="e">
        <f>IF(C560&gt;0,Pricing!E560*$E$5,0)</f>
        <v>#REF!</v>
      </c>
      <c r="E560" s="61" t="e">
        <f t="shared" si="64"/>
        <v>#REF!</v>
      </c>
      <c r="F560" s="60" t="e">
        <f>#REF!</f>
        <v>#REF!</v>
      </c>
      <c r="G560" s="61" t="e">
        <f>IF(F560&gt;0,Pricing!E560*$H$5,0)</f>
        <v>#REF!</v>
      </c>
      <c r="H560" s="61" t="e">
        <f t="shared" si="65"/>
        <v>#REF!</v>
      </c>
      <c r="I560" s="62" t="e">
        <f>#REF!</f>
        <v>#REF!</v>
      </c>
      <c r="J560" s="61" t="e">
        <f>IF(I560&gt;0,Pricing!E560*$K$5,0)</f>
        <v>#REF!</v>
      </c>
      <c r="K560" s="63" t="e">
        <f t="shared" si="66"/>
        <v>#REF!</v>
      </c>
      <c r="L560" s="64" t="e">
        <f>#REF!</f>
        <v>#REF!</v>
      </c>
      <c r="M560" s="61" t="e">
        <f>IF(L560&lt;0,Pricing!E560*$N$5,0)</f>
        <v>#REF!</v>
      </c>
      <c r="N560" s="61" t="e">
        <f t="shared" si="67"/>
        <v>#REF!</v>
      </c>
      <c r="O560" s="60" t="e">
        <f>#REF!</f>
        <v>#REF!</v>
      </c>
      <c r="P560" s="61" t="e">
        <f>IF(O560&lt;0,Pricing!E560*$Q$5,0)</f>
        <v>#REF!</v>
      </c>
      <c r="Q560" s="61" t="e">
        <f t="shared" si="68"/>
        <v>#REF!</v>
      </c>
      <c r="R560" s="60" t="e">
        <f>#REF!</f>
        <v>#REF!</v>
      </c>
      <c r="S560" s="61" t="e">
        <f>IF(R560&lt;0,Pricing!E560*$T$5,0)</f>
        <v>#REF!</v>
      </c>
      <c r="T560" s="61" t="e">
        <f t="shared" si="69"/>
        <v>#REF!</v>
      </c>
    </row>
    <row r="561" spans="1:20" x14ac:dyDescent="0.25">
      <c r="A561" s="58">
        <f t="shared" si="70"/>
        <v>44554.08333333199</v>
      </c>
      <c r="B561" s="59">
        <f t="shared" si="71"/>
        <v>44554.124999998654</v>
      </c>
      <c r="C561" s="60" t="e">
        <f>#REF!</f>
        <v>#REF!</v>
      </c>
      <c r="D561" s="61" t="e">
        <f>IF(C561&gt;0,Pricing!E561*$E$5,0)</f>
        <v>#REF!</v>
      </c>
      <c r="E561" s="61" t="e">
        <f t="shared" si="64"/>
        <v>#REF!</v>
      </c>
      <c r="F561" s="60" t="e">
        <f>#REF!</f>
        <v>#REF!</v>
      </c>
      <c r="G561" s="61" t="e">
        <f>IF(F561&gt;0,Pricing!E561*$H$5,0)</f>
        <v>#REF!</v>
      </c>
      <c r="H561" s="61" t="e">
        <f t="shared" si="65"/>
        <v>#REF!</v>
      </c>
      <c r="I561" s="62" t="e">
        <f>#REF!</f>
        <v>#REF!</v>
      </c>
      <c r="J561" s="61" t="e">
        <f>IF(I561&gt;0,Pricing!E561*$K$5,0)</f>
        <v>#REF!</v>
      </c>
      <c r="K561" s="63" t="e">
        <f t="shared" si="66"/>
        <v>#REF!</v>
      </c>
      <c r="L561" s="64" t="e">
        <f>#REF!</f>
        <v>#REF!</v>
      </c>
      <c r="M561" s="61" t="e">
        <f>IF(L561&lt;0,Pricing!E561*$N$5,0)</f>
        <v>#REF!</v>
      </c>
      <c r="N561" s="61" t="e">
        <f t="shared" si="67"/>
        <v>#REF!</v>
      </c>
      <c r="O561" s="60" t="e">
        <f>#REF!</f>
        <v>#REF!</v>
      </c>
      <c r="P561" s="61" t="e">
        <f>IF(O561&lt;0,Pricing!E561*$Q$5,0)</f>
        <v>#REF!</v>
      </c>
      <c r="Q561" s="61" t="e">
        <f t="shared" si="68"/>
        <v>#REF!</v>
      </c>
      <c r="R561" s="60" t="e">
        <f>#REF!</f>
        <v>#REF!</v>
      </c>
      <c r="S561" s="61" t="e">
        <f>IF(R561&lt;0,Pricing!E561*$T$5,0)</f>
        <v>#REF!</v>
      </c>
      <c r="T561" s="61" t="e">
        <f t="shared" si="69"/>
        <v>#REF!</v>
      </c>
    </row>
    <row r="562" spans="1:20" x14ac:dyDescent="0.25">
      <c r="A562" s="58">
        <f t="shared" si="70"/>
        <v>44554.124999998654</v>
      </c>
      <c r="B562" s="59">
        <f t="shared" si="71"/>
        <v>44554.166666665318</v>
      </c>
      <c r="C562" s="60" t="e">
        <f>#REF!</f>
        <v>#REF!</v>
      </c>
      <c r="D562" s="61" t="e">
        <f>IF(C562&gt;0,Pricing!E562*$E$5,0)</f>
        <v>#REF!</v>
      </c>
      <c r="E562" s="61" t="e">
        <f t="shared" si="64"/>
        <v>#REF!</v>
      </c>
      <c r="F562" s="60" t="e">
        <f>#REF!</f>
        <v>#REF!</v>
      </c>
      <c r="G562" s="61" t="e">
        <f>IF(F562&gt;0,Pricing!E562*$H$5,0)</f>
        <v>#REF!</v>
      </c>
      <c r="H562" s="61" t="e">
        <f t="shared" si="65"/>
        <v>#REF!</v>
      </c>
      <c r="I562" s="62" t="e">
        <f>#REF!</f>
        <v>#REF!</v>
      </c>
      <c r="J562" s="61" t="e">
        <f>IF(I562&gt;0,Pricing!E562*$K$5,0)</f>
        <v>#REF!</v>
      </c>
      <c r="K562" s="63" t="e">
        <f t="shared" si="66"/>
        <v>#REF!</v>
      </c>
      <c r="L562" s="64" t="e">
        <f>#REF!</f>
        <v>#REF!</v>
      </c>
      <c r="M562" s="61" t="e">
        <f>IF(L562&lt;0,Pricing!E562*$N$5,0)</f>
        <v>#REF!</v>
      </c>
      <c r="N562" s="61" t="e">
        <f t="shared" si="67"/>
        <v>#REF!</v>
      </c>
      <c r="O562" s="60" t="e">
        <f>#REF!</f>
        <v>#REF!</v>
      </c>
      <c r="P562" s="61" t="e">
        <f>IF(O562&lt;0,Pricing!E562*$Q$5,0)</f>
        <v>#REF!</v>
      </c>
      <c r="Q562" s="61" t="e">
        <f t="shared" si="68"/>
        <v>#REF!</v>
      </c>
      <c r="R562" s="60" t="e">
        <f>#REF!</f>
        <v>#REF!</v>
      </c>
      <c r="S562" s="61" t="e">
        <f>IF(R562&lt;0,Pricing!E562*$T$5,0)</f>
        <v>#REF!</v>
      </c>
      <c r="T562" s="61" t="e">
        <f t="shared" si="69"/>
        <v>#REF!</v>
      </c>
    </row>
    <row r="563" spans="1:20" x14ac:dyDescent="0.25">
      <c r="A563" s="58">
        <f t="shared" si="70"/>
        <v>44554.166666665318</v>
      </c>
      <c r="B563" s="59">
        <f t="shared" si="71"/>
        <v>44554.208333331982</v>
      </c>
      <c r="C563" s="60" t="e">
        <f>#REF!</f>
        <v>#REF!</v>
      </c>
      <c r="D563" s="61" t="e">
        <f>IF(C563&gt;0,Pricing!E563*$E$5,0)</f>
        <v>#REF!</v>
      </c>
      <c r="E563" s="61" t="e">
        <f t="shared" si="64"/>
        <v>#REF!</v>
      </c>
      <c r="F563" s="60" t="e">
        <f>#REF!</f>
        <v>#REF!</v>
      </c>
      <c r="G563" s="61" t="e">
        <f>IF(F563&gt;0,Pricing!E563*$H$5,0)</f>
        <v>#REF!</v>
      </c>
      <c r="H563" s="61" t="e">
        <f t="shared" si="65"/>
        <v>#REF!</v>
      </c>
      <c r="I563" s="62" t="e">
        <f>#REF!</f>
        <v>#REF!</v>
      </c>
      <c r="J563" s="61" t="e">
        <f>IF(I563&gt;0,Pricing!E563*$K$5,0)</f>
        <v>#REF!</v>
      </c>
      <c r="K563" s="63" t="e">
        <f t="shared" si="66"/>
        <v>#REF!</v>
      </c>
      <c r="L563" s="64" t="e">
        <f>#REF!</f>
        <v>#REF!</v>
      </c>
      <c r="M563" s="61" t="e">
        <f>IF(L563&lt;0,Pricing!E563*$N$5,0)</f>
        <v>#REF!</v>
      </c>
      <c r="N563" s="61" t="e">
        <f t="shared" si="67"/>
        <v>#REF!</v>
      </c>
      <c r="O563" s="60" t="e">
        <f>#REF!</f>
        <v>#REF!</v>
      </c>
      <c r="P563" s="61" t="e">
        <f>IF(O563&lt;0,Pricing!E563*$Q$5,0)</f>
        <v>#REF!</v>
      </c>
      <c r="Q563" s="61" t="e">
        <f t="shared" si="68"/>
        <v>#REF!</v>
      </c>
      <c r="R563" s="60" t="e">
        <f>#REF!</f>
        <v>#REF!</v>
      </c>
      <c r="S563" s="61" t="e">
        <f>IF(R563&lt;0,Pricing!E563*$T$5,0)</f>
        <v>#REF!</v>
      </c>
      <c r="T563" s="61" t="e">
        <f t="shared" si="69"/>
        <v>#REF!</v>
      </c>
    </row>
    <row r="564" spans="1:20" x14ac:dyDescent="0.25">
      <c r="A564" s="58">
        <f t="shared" si="70"/>
        <v>44554.208333331982</v>
      </c>
      <c r="B564" s="59">
        <f t="shared" si="71"/>
        <v>44554.249999998647</v>
      </c>
      <c r="C564" s="60" t="e">
        <f>#REF!</f>
        <v>#REF!</v>
      </c>
      <c r="D564" s="61" t="e">
        <f>IF(C564&gt;0,Pricing!E564*$E$5,0)</f>
        <v>#REF!</v>
      </c>
      <c r="E564" s="61" t="e">
        <f t="shared" si="64"/>
        <v>#REF!</v>
      </c>
      <c r="F564" s="60" t="e">
        <f>#REF!</f>
        <v>#REF!</v>
      </c>
      <c r="G564" s="61" t="e">
        <f>IF(F564&gt;0,Pricing!E564*$H$5,0)</f>
        <v>#REF!</v>
      </c>
      <c r="H564" s="61" t="e">
        <f t="shared" si="65"/>
        <v>#REF!</v>
      </c>
      <c r="I564" s="62" t="e">
        <f>#REF!</f>
        <v>#REF!</v>
      </c>
      <c r="J564" s="61" t="e">
        <f>IF(I564&gt;0,Pricing!E564*$K$5,0)</f>
        <v>#REF!</v>
      </c>
      <c r="K564" s="63" t="e">
        <f t="shared" si="66"/>
        <v>#REF!</v>
      </c>
      <c r="L564" s="64" t="e">
        <f>#REF!</f>
        <v>#REF!</v>
      </c>
      <c r="M564" s="61" t="e">
        <f>IF(L564&lt;0,Pricing!E564*$N$5,0)</f>
        <v>#REF!</v>
      </c>
      <c r="N564" s="61" t="e">
        <f t="shared" si="67"/>
        <v>#REF!</v>
      </c>
      <c r="O564" s="60" t="e">
        <f>#REF!</f>
        <v>#REF!</v>
      </c>
      <c r="P564" s="61" t="e">
        <f>IF(O564&lt;0,Pricing!E564*$Q$5,0)</f>
        <v>#REF!</v>
      </c>
      <c r="Q564" s="61" t="e">
        <f t="shared" si="68"/>
        <v>#REF!</v>
      </c>
      <c r="R564" s="60" t="e">
        <f>#REF!</f>
        <v>#REF!</v>
      </c>
      <c r="S564" s="61" t="e">
        <f>IF(R564&lt;0,Pricing!E564*$T$5,0)</f>
        <v>#REF!</v>
      </c>
      <c r="T564" s="61" t="e">
        <f t="shared" si="69"/>
        <v>#REF!</v>
      </c>
    </row>
    <row r="565" spans="1:20" x14ac:dyDescent="0.25">
      <c r="A565" s="58">
        <f t="shared" si="70"/>
        <v>44554.249999998647</v>
      </c>
      <c r="B565" s="59">
        <f t="shared" si="71"/>
        <v>44554.291666665311</v>
      </c>
      <c r="C565" s="60" t="e">
        <f>#REF!</f>
        <v>#REF!</v>
      </c>
      <c r="D565" s="61" t="e">
        <f>IF(C565&gt;0,Pricing!E565*$E$5,0)</f>
        <v>#REF!</v>
      </c>
      <c r="E565" s="61" t="e">
        <f t="shared" si="64"/>
        <v>#REF!</v>
      </c>
      <c r="F565" s="60" t="e">
        <f>#REF!</f>
        <v>#REF!</v>
      </c>
      <c r="G565" s="61" t="e">
        <f>IF(F565&gt;0,Pricing!E565*$H$5,0)</f>
        <v>#REF!</v>
      </c>
      <c r="H565" s="61" t="e">
        <f t="shared" si="65"/>
        <v>#REF!</v>
      </c>
      <c r="I565" s="62" t="e">
        <f>#REF!</f>
        <v>#REF!</v>
      </c>
      <c r="J565" s="61" t="e">
        <f>IF(I565&gt;0,Pricing!E565*$K$5,0)</f>
        <v>#REF!</v>
      </c>
      <c r="K565" s="63" t="e">
        <f t="shared" si="66"/>
        <v>#REF!</v>
      </c>
      <c r="L565" s="64" t="e">
        <f>#REF!</f>
        <v>#REF!</v>
      </c>
      <c r="M565" s="61" t="e">
        <f>IF(L565&lt;0,Pricing!E565*$N$5,0)</f>
        <v>#REF!</v>
      </c>
      <c r="N565" s="61" t="e">
        <f t="shared" si="67"/>
        <v>#REF!</v>
      </c>
      <c r="O565" s="60" t="e">
        <f>#REF!</f>
        <v>#REF!</v>
      </c>
      <c r="P565" s="61" t="e">
        <f>IF(O565&lt;0,Pricing!E565*$Q$5,0)</f>
        <v>#REF!</v>
      </c>
      <c r="Q565" s="61" t="e">
        <f t="shared" si="68"/>
        <v>#REF!</v>
      </c>
      <c r="R565" s="60" t="e">
        <f>#REF!</f>
        <v>#REF!</v>
      </c>
      <c r="S565" s="61" t="e">
        <f>IF(R565&lt;0,Pricing!E565*$T$5,0)</f>
        <v>#REF!</v>
      </c>
      <c r="T565" s="61" t="e">
        <f t="shared" si="69"/>
        <v>#REF!</v>
      </c>
    </row>
    <row r="566" spans="1:20" x14ac:dyDescent="0.25">
      <c r="A566" s="58">
        <f t="shared" si="70"/>
        <v>44554.291666665311</v>
      </c>
      <c r="B566" s="59">
        <f t="shared" si="71"/>
        <v>44554.333333331975</v>
      </c>
      <c r="C566" s="60" t="e">
        <f>#REF!</f>
        <v>#REF!</v>
      </c>
      <c r="D566" s="61" t="e">
        <f>IF(C566&gt;0,Pricing!E566*$E$5,0)</f>
        <v>#REF!</v>
      </c>
      <c r="E566" s="61" t="e">
        <f t="shared" si="64"/>
        <v>#REF!</v>
      </c>
      <c r="F566" s="60" t="e">
        <f>#REF!</f>
        <v>#REF!</v>
      </c>
      <c r="G566" s="61" t="e">
        <f>IF(F566&gt;0,Pricing!E566*$H$5,0)</f>
        <v>#REF!</v>
      </c>
      <c r="H566" s="61" t="e">
        <f t="shared" si="65"/>
        <v>#REF!</v>
      </c>
      <c r="I566" s="62" t="e">
        <f>#REF!</f>
        <v>#REF!</v>
      </c>
      <c r="J566" s="61" t="e">
        <f>IF(I566&gt;0,Pricing!E566*$K$5,0)</f>
        <v>#REF!</v>
      </c>
      <c r="K566" s="63" t="e">
        <f t="shared" si="66"/>
        <v>#REF!</v>
      </c>
      <c r="L566" s="64" t="e">
        <f>#REF!</f>
        <v>#REF!</v>
      </c>
      <c r="M566" s="61" t="e">
        <f>IF(L566&lt;0,Pricing!E566*$N$5,0)</f>
        <v>#REF!</v>
      </c>
      <c r="N566" s="61" t="e">
        <f t="shared" si="67"/>
        <v>#REF!</v>
      </c>
      <c r="O566" s="60" t="e">
        <f>#REF!</f>
        <v>#REF!</v>
      </c>
      <c r="P566" s="61" t="e">
        <f>IF(O566&lt;0,Pricing!E566*$Q$5,0)</f>
        <v>#REF!</v>
      </c>
      <c r="Q566" s="61" t="e">
        <f t="shared" si="68"/>
        <v>#REF!</v>
      </c>
      <c r="R566" s="60" t="e">
        <f>#REF!</f>
        <v>#REF!</v>
      </c>
      <c r="S566" s="61" t="e">
        <f>IF(R566&lt;0,Pricing!E566*$T$5,0)</f>
        <v>#REF!</v>
      </c>
      <c r="T566" s="61" t="e">
        <f t="shared" si="69"/>
        <v>#REF!</v>
      </c>
    </row>
    <row r="567" spans="1:20" x14ac:dyDescent="0.25">
      <c r="A567" s="58">
        <f t="shared" si="70"/>
        <v>44554.333333331975</v>
      </c>
      <c r="B567" s="59">
        <f t="shared" si="71"/>
        <v>44554.374999998639</v>
      </c>
      <c r="C567" s="60" t="e">
        <f>#REF!</f>
        <v>#REF!</v>
      </c>
      <c r="D567" s="61" t="e">
        <f>IF(C567&gt;0,Pricing!E567*$E$5,0)</f>
        <v>#REF!</v>
      </c>
      <c r="E567" s="61" t="e">
        <f t="shared" si="64"/>
        <v>#REF!</v>
      </c>
      <c r="F567" s="60" t="e">
        <f>#REF!</f>
        <v>#REF!</v>
      </c>
      <c r="G567" s="61" t="e">
        <f>IF(F567&gt;0,Pricing!E567*$H$5,0)</f>
        <v>#REF!</v>
      </c>
      <c r="H567" s="61" t="e">
        <f t="shared" si="65"/>
        <v>#REF!</v>
      </c>
      <c r="I567" s="62" t="e">
        <f>#REF!</f>
        <v>#REF!</v>
      </c>
      <c r="J567" s="61" t="e">
        <f>IF(I567&gt;0,Pricing!E567*$K$5,0)</f>
        <v>#REF!</v>
      </c>
      <c r="K567" s="63" t="e">
        <f t="shared" si="66"/>
        <v>#REF!</v>
      </c>
      <c r="L567" s="64" t="e">
        <f>#REF!</f>
        <v>#REF!</v>
      </c>
      <c r="M567" s="61" t="e">
        <f>IF(L567&lt;0,Pricing!E567*$N$5,0)</f>
        <v>#REF!</v>
      </c>
      <c r="N567" s="61" t="e">
        <f t="shared" si="67"/>
        <v>#REF!</v>
      </c>
      <c r="O567" s="60" t="e">
        <f>#REF!</f>
        <v>#REF!</v>
      </c>
      <c r="P567" s="61" t="e">
        <f>IF(O567&lt;0,Pricing!E567*$Q$5,0)</f>
        <v>#REF!</v>
      </c>
      <c r="Q567" s="61" t="e">
        <f t="shared" si="68"/>
        <v>#REF!</v>
      </c>
      <c r="R567" s="60" t="e">
        <f>#REF!</f>
        <v>#REF!</v>
      </c>
      <c r="S567" s="61" t="e">
        <f>IF(R567&lt;0,Pricing!E567*$T$5,0)</f>
        <v>#REF!</v>
      </c>
      <c r="T567" s="61" t="e">
        <f t="shared" si="69"/>
        <v>#REF!</v>
      </c>
    </row>
    <row r="568" spans="1:20" x14ac:dyDescent="0.25">
      <c r="A568" s="58">
        <f t="shared" si="70"/>
        <v>44554.374999998639</v>
      </c>
      <c r="B568" s="59">
        <f t="shared" si="71"/>
        <v>44554.416666665304</v>
      </c>
      <c r="C568" s="60" t="e">
        <f>#REF!</f>
        <v>#REF!</v>
      </c>
      <c r="D568" s="61" t="e">
        <f>IF(C568&gt;0,Pricing!E568*$E$5,0)</f>
        <v>#REF!</v>
      </c>
      <c r="E568" s="61" t="e">
        <f t="shared" si="64"/>
        <v>#REF!</v>
      </c>
      <c r="F568" s="60" t="e">
        <f>#REF!</f>
        <v>#REF!</v>
      </c>
      <c r="G568" s="61" t="e">
        <f>IF(F568&gt;0,Pricing!E568*$H$5,0)</f>
        <v>#REF!</v>
      </c>
      <c r="H568" s="61" t="e">
        <f t="shared" si="65"/>
        <v>#REF!</v>
      </c>
      <c r="I568" s="62" t="e">
        <f>#REF!</f>
        <v>#REF!</v>
      </c>
      <c r="J568" s="61" t="e">
        <f>IF(I568&gt;0,Pricing!E568*$K$5,0)</f>
        <v>#REF!</v>
      </c>
      <c r="K568" s="63" t="e">
        <f t="shared" si="66"/>
        <v>#REF!</v>
      </c>
      <c r="L568" s="64" t="e">
        <f>#REF!</f>
        <v>#REF!</v>
      </c>
      <c r="M568" s="61" t="e">
        <f>IF(L568&lt;0,Pricing!E568*$N$5,0)</f>
        <v>#REF!</v>
      </c>
      <c r="N568" s="61" t="e">
        <f t="shared" si="67"/>
        <v>#REF!</v>
      </c>
      <c r="O568" s="60" t="e">
        <f>#REF!</f>
        <v>#REF!</v>
      </c>
      <c r="P568" s="61" t="e">
        <f>IF(O568&lt;0,Pricing!E568*$Q$5,0)</f>
        <v>#REF!</v>
      </c>
      <c r="Q568" s="61" t="e">
        <f t="shared" si="68"/>
        <v>#REF!</v>
      </c>
      <c r="R568" s="60" t="e">
        <f>#REF!</f>
        <v>#REF!</v>
      </c>
      <c r="S568" s="61" t="e">
        <f>IF(R568&lt;0,Pricing!E568*$T$5,0)</f>
        <v>#REF!</v>
      </c>
      <c r="T568" s="61" t="e">
        <f t="shared" si="69"/>
        <v>#REF!</v>
      </c>
    </row>
    <row r="569" spans="1:20" x14ac:dyDescent="0.25">
      <c r="A569" s="58">
        <f t="shared" si="70"/>
        <v>44554.416666665304</v>
      </c>
      <c r="B569" s="59">
        <f t="shared" si="71"/>
        <v>44554.458333331968</v>
      </c>
      <c r="C569" s="60" t="e">
        <f>#REF!</f>
        <v>#REF!</v>
      </c>
      <c r="D569" s="61" t="e">
        <f>IF(C569&gt;0,Pricing!E569*$E$5,0)</f>
        <v>#REF!</v>
      </c>
      <c r="E569" s="61" t="e">
        <f t="shared" si="64"/>
        <v>#REF!</v>
      </c>
      <c r="F569" s="60" t="e">
        <f>#REF!</f>
        <v>#REF!</v>
      </c>
      <c r="G569" s="61" t="e">
        <f>IF(F569&gt;0,Pricing!E569*$H$5,0)</f>
        <v>#REF!</v>
      </c>
      <c r="H569" s="61" t="e">
        <f t="shared" si="65"/>
        <v>#REF!</v>
      </c>
      <c r="I569" s="62" t="e">
        <f>#REF!</f>
        <v>#REF!</v>
      </c>
      <c r="J569" s="61" t="e">
        <f>IF(I569&gt;0,Pricing!E569*$K$5,0)</f>
        <v>#REF!</v>
      </c>
      <c r="K569" s="63" t="e">
        <f t="shared" si="66"/>
        <v>#REF!</v>
      </c>
      <c r="L569" s="64" t="e">
        <f>#REF!</f>
        <v>#REF!</v>
      </c>
      <c r="M569" s="61" t="e">
        <f>IF(L569&lt;0,Pricing!E569*$N$5,0)</f>
        <v>#REF!</v>
      </c>
      <c r="N569" s="61" t="e">
        <f t="shared" si="67"/>
        <v>#REF!</v>
      </c>
      <c r="O569" s="60" t="e">
        <f>#REF!</f>
        <v>#REF!</v>
      </c>
      <c r="P569" s="61" t="e">
        <f>IF(O569&lt;0,Pricing!E569*$Q$5,0)</f>
        <v>#REF!</v>
      </c>
      <c r="Q569" s="61" t="e">
        <f t="shared" si="68"/>
        <v>#REF!</v>
      </c>
      <c r="R569" s="60" t="e">
        <f>#REF!</f>
        <v>#REF!</v>
      </c>
      <c r="S569" s="61" t="e">
        <f>IF(R569&lt;0,Pricing!E569*$T$5,0)</f>
        <v>#REF!</v>
      </c>
      <c r="T569" s="61" t="e">
        <f t="shared" si="69"/>
        <v>#REF!</v>
      </c>
    </row>
    <row r="570" spans="1:20" x14ac:dyDescent="0.25">
      <c r="A570" s="58">
        <f t="shared" si="70"/>
        <v>44554.458333331968</v>
      </c>
      <c r="B570" s="59">
        <f t="shared" si="71"/>
        <v>44554.499999998632</v>
      </c>
      <c r="C570" s="60" t="e">
        <f>#REF!</f>
        <v>#REF!</v>
      </c>
      <c r="D570" s="61" t="e">
        <f>IF(C570&gt;0,Pricing!E570*$E$5,0)</f>
        <v>#REF!</v>
      </c>
      <c r="E570" s="61" t="e">
        <f t="shared" si="64"/>
        <v>#REF!</v>
      </c>
      <c r="F570" s="60" t="e">
        <f>#REF!</f>
        <v>#REF!</v>
      </c>
      <c r="G570" s="61" t="e">
        <f>IF(F570&gt;0,Pricing!E570*$H$5,0)</f>
        <v>#REF!</v>
      </c>
      <c r="H570" s="61" t="e">
        <f t="shared" si="65"/>
        <v>#REF!</v>
      </c>
      <c r="I570" s="62" t="e">
        <f>#REF!</f>
        <v>#REF!</v>
      </c>
      <c r="J570" s="61" t="e">
        <f>IF(I570&gt;0,Pricing!E570*$K$5,0)</f>
        <v>#REF!</v>
      </c>
      <c r="K570" s="63" t="e">
        <f t="shared" si="66"/>
        <v>#REF!</v>
      </c>
      <c r="L570" s="64" t="e">
        <f>#REF!</f>
        <v>#REF!</v>
      </c>
      <c r="M570" s="61" t="e">
        <f>IF(L570&lt;0,Pricing!E570*$N$5,0)</f>
        <v>#REF!</v>
      </c>
      <c r="N570" s="61" t="e">
        <f t="shared" si="67"/>
        <v>#REF!</v>
      </c>
      <c r="O570" s="60" t="e">
        <f>#REF!</f>
        <v>#REF!</v>
      </c>
      <c r="P570" s="61" t="e">
        <f>IF(O570&lt;0,Pricing!E570*$Q$5,0)</f>
        <v>#REF!</v>
      </c>
      <c r="Q570" s="61" t="e">
        <f t="shared" si="68"/>
        <v>#REF!</v>
      </c>
      <c r="R570" s="60" t="e">
        <f>#REF!</f>
        <v>#REF!</v>
      </c>
      <c r="S570" s="61" t="e">
        <f>IF(R570&lt;0,Pricing!E570*$T$5,0)</f>
        <v>#REF!</v>
      </c>
      <c r="T570" s="61" t="e">
        <f t="shared" si="69"/>
        <v>#REF!</v>
      </c>
    </row>
    <row r="571" spans="1:20" x14ac:dyDescent="0.25">
      <c r="A571" s="58">
        <f t="shared" si="70"/>
        <v>44554.499999998632</v>
      </c>
      <c r="B571" s="59">
        <f t="shared" si="71"/>
        <v>44554.541666665296</v>
      </c>
      <c r="C571" s="60" t="e">
        <f>#REF!</f>
        <v>#REF!</v>
      </c>
      <c r="D571" s="61" t="e">
        <f>IF(C571&gt;0,Pricing!E571*$E$5,0)</f>
        <v>#REF!</v>
      </c>
      <c r="E571" s="61" t="e">
        <f t="shared" si="64"/>
        <v>#REF!</v>
      </c>
      <c r="F571" s="60" t="e">
        <f>#REF!</f>
        <v>#REF!</v>
      </c>
      <c r="G571" s="61" t="e">
        <f>IF(F571&gt;0,Pricing!E571*$H$5,0)</f>
        <v>#REF!</v>
      </c>
      <c r="H571" s="61" t="e">
        <f t="shared" si="65"/>
        <v>#REF!</v>
      </c>
      <c r="I571" s="62" t="e">
        <f>#REF!</f>
        <v>#REF!</v>
      </c>
      <c r="J571" s="61" t="e">
        <f>IF(I571&gt;0,Pricing!E571*$K$5,0)</f>
        <v>#REF!</v>
      </c>
      <c r="K571" s="63" t="e">
        <f t="shared" si="66"/>
        <v>#REF!</v>
      </c>
      <c r="L571" s="64" t="e">
        <f>#REF!</f>
        <v>#REF!</v>
      </c>
      <c r="M571" s="61" t="e">
        <f>IF(L571&lt;0,Pricing!E571*$N$5,0)</f>
        <v>#REF!</v>
      </c>
      <c r="N571" s="61" t="e">
        <f t="shared" si="67"/>
        <v>#REF!</v>
      </c>
      <c r="O571" s="60" t="e">
        <f>#REF!</f>
        <v>#REF!</v>
      </c>
      <c r="P571" s="61" t="e">
        <f>IF(O571&lt;0,Pricing!E571*$Q$5,0)</f>
        <v>#REF!</v>
      </c>
      <c r="Q571" s="61" t="e">
        <f t="shared" si="68"/>
        <v>#REF!</v>
      </c>
      <c r="R571" s="60" t="e">
        <f>#REF!</f>
        <v>#REF!</v>
      </c>
      <c r="S571" s="61" t="e">
        <f>IF(R571&lt;0,Pricing!E571*$T$5,0)</f>
        <v>#REF!</v>
      </c>
      <c r="T571" s="61" t="e">
        <f t="shared" si="69"/>
        <v>#REF!</v>
      </c>
    </row>
    <row r="572" spans="1:20" x14ac:dyDescent="0.25">
      <c r="A572" s="58">
        <f t="shared" si="70"/>
        <v>44554.541666665296</v>
      </c>
      <c r="B572" s="59">
        <f t="shared" si="71"/>
        <v>44554.583333331961</v>
      </c>
      <c r="C572" s="60" t="e">
        <f>#REF!</f>
        <v>#REF!</v>
      </c>
      <c r="D572" s="61" t="e">
        <f>IF(C572&gt;0,Pricing!E572*$E$5,0)</f>
        <v>#REF!</v>
      </c>
      <c r="E572" s="61" t="e">
        <f t="shared" si="64"/>
        <v>#REF!</v>
      </c>
      <c r="F572" s="60" t="e">
        <f>#REF!</f>
        <v>#REF!</v>
      </c>
      <c r="G572" s="61" t="e">
        <f>IF(F572&gt;0,Pricing!E572*$H$5,0)</f>
        <v>#REF!</v>
      </c>
      <c r="H572" s="61" t="e">
        <f t="shared" si="65"/>
        <v>#REF!</v>
      </c>
      <c r="I572" s="62" t="e">
        <f>#REF!</f>
        <v>#REF!</v>
      </c>
      <c r="J572" s="61" t="e">
        <f>IF(I572&gt;0,Pricing!E572*$K$5,0)</f>
        <v>#REF!</v>
      </c>
      <c r="K572" s="63" t="e">
        <f t="shared" si="66"/>
        <v>#REF!</v>
      </c>
      <c r="L572" s="64" t="e">
        <f>#REF!</f>
        <v>#REF!</v>
      </c>
      <c r="M572" s="61" t="e">
        <f>IF(L572&lt;0,Pricing!E572*$N$5,0)</f>
        <v>#REF!</v>
      </c>
      <c r="N572" s="61" t="e">
        <f t="shared" si="67"/>
        <v>#REF!</v>
      </c>
      <c r="O572" s="60" t="e">
        <f>#REF!</f>
        <v>#REF!</v>
      </c>
      <c r="P572" s="61" t="e">
        <f>IF(O572&lt;0,Pricing!E572*$Q$5,0)</f>
        <v>#REF!</v>
      </c>
      <c r="Q572" s="61" t="e">
        <f t="shared" si="68"/>
        <v>#REF!</v>
      </c>
      <c r="R572" s="60" t="e">
        <f>#REF!</f>
        <v>#REF!</v>
      </c>
      <c r="S572" s="61" t="e">
        <f>IF(R572&lt;0,Pricing!E572*$T$5,0)</f>
        <v>#REF!</v>
      </c>
      <c r="T572" s="61" t="e">
        <f t="shared" si="69"/>
        <v>#REF!</v>
      </c>
    </row>
    <row r="573" spans="1:20" x14ac:dyDescent="0.25">
      <c r="A573" s="58">
        <f t="shared" si="70"/>
        <v>44554.583333331961</v>
      </c>
      <c r="B573" s="59">
        <f t="shared" si="71"/>
        <v>44554.624999998625</v>
      </c>
      <c r="C573" s="60" t="e">
        <f>#REF!</f>
        <v>#REF!</v>
      </c>
      <c r="D573" s="61" t="e">
        <f>IF(C573&gt;0,Pricing!E573*$E$5,0)</f>
        <v>#REF!</v>
      </c>
      <c r="E573" s="61" t="e">
        <f t="shared" si="64"/>
        <v>#REF!</v>
      </c>
      <c r="F573" s="60" t="e">
        <f>#REF!</f>
        <v>#REF!</v>
      </c>
      <c r="G573" s="61" t="e">
        <f>IF(F573&gt;0,Pricing!E573*$H$5,0)</f>
        <v>#REF!</v>
      </c>
      <c r="H573" s="61" t="e">
        <f t="shared" si="65"/>
        <v>#REF!</v>
      </c>
      <c r="I573" s="62" t="e">
        <f>#REF!</f>
        <v>#REF!</v>
      </c>
      <c r="J573" s="61" t="e">
        <f>IF(I573&gt;0,Pricing!E573*$K$5,0)</f>
        <v>#REF!</v>
      </c>
      <c r="K573" s="63" t="e">
        <f t="shared" si="66"/>
        <v>#REF!</v>
      </c>
      <c r="L573" s="64" t="e">
        <f>#REF!</f>
        <v>#REF!</v>
      </c>
      <c r="M573" s="61" t="e">
        <f>IF(L573&lt;0,Pricing!E573*$N$5,0)</f>
        <v>#REF!</v>
      </c>
      <c r="N573" s="61" t="e">
        <f t="shared" si="67"/>
        <v>#REF!</v>
      </c>
      <c r="O573" s="60" t="e">
        <f>#REF!</f>
        <v>#REF!</v>
      </c>
      <c r="P573" s="61" t="e">
        <f>IF(O573&lt;0,Pricing!E573*$Q$5,0)</f>
        <v>#REF!</v>
      </c>
      <c r="Q573" s="61" t="e">
        <f t="shared" si="68"/>
        <v>#REF!</v>
      </c>
      <c r="R573" s="60" t="e">
        <f>#REF!</f>
        <v>#REF!</v>
      </c>
      <c r="S573" s="61" t="e">
        <f>IF(R573&lt;0,Pricing!E573*$T$5,0)</f>
        <v>#REF!</v>
      </c>
      <c r="T573" s="61" t="e">
        <f t="shared" si="69"/>
        <v>#REF!</v>
      </c>
    </row>
    <row r="574" spans="1:20" x14ac:dyDescent="0.25">
      <c r="A574" s="58">
        <f t="shared" si="70"/>
        <v>44554.624999998625</v>
      </c>
      <c r="B574" s="59">
        <f t="shared" si="71"/>
        <v>44554.666666665289</v>
      </c>
      <c r="C574" s="60" t="e">
        <f>#REF!</f>
        <v>#REF!</v>
      </c>
      <c r="D574" s="61" t="e">
        <f>IF(C574&gt;0,Pricing!E574*$E$5,0)</f>
        <v>#REF!</v>
      </c>
      <c r="E574" s="61" t="e">
        <f t="shared" si="64"/>
        <v>#REF!</v>
      </c>
      <c r="F574" s="60" t="e">
        <f>#REF!</f>
        <v>#REF!</v>
      </c>
      <c r="G574" s="61" t="e">
        <f>IF(F574&gt;0,Pricing!E574*$H$5,0)</f>
        <v>#REF!</v>
      </c>
      <c r="H574" s="61" t="e">
        <f t="shared" si="65"/>
        <v>#REF!</v>
      </c>
      <c r="I574" s="62" t="e">
        <f>#REF!</f>
        <v>#REF!</v>
      </c>
      <c r="J574" s="61" t="e">
        <f>IF(I574&gt;0,Pricing!E574*$K$5,0)</f>
        <v>#REF!</v>
      </c>
      <c r="K574" s="63" t="e">
        <f t="shared" si="66"/>
        <v>#REF!</v>
      </c>
      <c r="L574" s="64" t="e">
        <f>#REF!</f>
        <v>#REF!</v>
      </c>
      <c r="M574" s="61" t="e">
        <f>IF(L574&lt;0,Pricing!E574*$N$5,0)</f>
        <v>#REF!</v>
      </c>
      <c r="N574" s="61" t="e">
        <f t="shared" si="67"/>
        <v>#REF!</v>
      </c>
      <c r="O574" s="60" t="e">
        <f>#REF!</f>
        <v>#REF!</v>
      </c>
      <c r="P574" s="61" t="e">
        <f>IF(O574&lt;0,Pricing!E574*$Q$5,0)</f>
        <v>#REF!</v>
      </c>
      <c r="Q574" s="61" t="e">
        <f t="shared" si="68"/>
        <v>#REF!</v>
      </c>
      <c r="R574" s="60" t="e">
        <f>#REF!</f>
        <v>#REF!</v>
      </c>
      <c r="S574" s="61" t="e">
        <f>IF(R574&lt;0,Pricing!E574*$T$5,0)</f>
        <v>#REF!</v>
      </c>
      <c r="T574" s="61" t="e">
        <f t="shared" si="69"/>
        <v>#REF!</v>
      </c>
    </row>
    <row r="575" spans="1:20" x14ac:dyDescent="0.25">
      <c r="A575" s="58">
        <f t="shared" si="70"/>
        <v>44554.666666665289</v>
      </c>
      <c r="B575" s="59">
        <f t="shared" si="71"/>
        <v>44554.708333331953</v>
      </c>
      <c r="C575" s="60" t="e">
        <f>#REF!</f>
        <v>#REF!</v>
      </c>
      <c r="D575" s="61" t="e">
        <f>IF(C575&gt;0,Pricing!E575*$E$5,0)</f>
        <v>#REF!</v>
      </c>
      <c r="E575" s="61" t="e">
        <f t="shared" si="64"/>
        <v>#REF!</v>
      </c>
      <c r="F575" s="60" t="e">
        <f>#REF!</f>
        <v>#REF!</v>
      </c>
      <c r="G575" s="61" t="e">
        <f>IF(F575&gt;0,Pricing!E575*$H$5,0)</f>
        <v>#REF!</v>
      </c>
      <c r="H575" s="61" t="e">
        <f t="shared" si="65"/>
        <v>#REF!</v>
      </c>
      <c r="I575" s="62" t="e">
        <f>#REF!</f>
        <v>#REF!</v>
      </c>
      <c r="J575" s="61" t="e">
        <f>IF(I575&gt;0,Pricing!E575*$K$5,0)</f>
        <v>#REF!</v>
      </c>
      <c r="K575" s="63" t="e">
        <f t="shared" si="66"/>
        <v>#REF!</v>
      </c>
      <c r="L575" s="64" t="e">
        <f>#REF!</f>
        <v>#REF!</v>
      </c>
      <c r="M575" s="61" t="e">
        <f>IF(L575&lt;0,Pricing!E575*$N$5,0)</f>
        <v>#REF!</v>
      </c>
      <c r="N575" s="61" t="e">
        <f t="shared" si="67"/>
        <v>#REF!</v>
      </c>
      <c r="O575" s="60" t="e">
        <f>#REF!</f>
        <v>#REF!</v>
      </c>
      <c r="P575" s="61" t="e">
        <f>IF(O575&lt;0,Pricing!E575*$Q$5,0)</f>
        <v>#REF!</v>
      </c>
      <c r="Q575" s="61" t="e">
        <f t="shared" si="68"/>
        <v>#REF!</v>
      </c>
      <c r="R575" s="60" t="e">
        <f>#REF!</f>
        <v>#REF!</v>
      </c>
      <c r="S575" s="61" t="e">
        <f>IF(R575&lt;0,Pricing!E575*$T$5,0)</f>
        <v>#REF!</v>
      </c>
      <c r="T575" s="61" t="e">
        <f t="shared" si="69"/>
        <v>#REF!</v>
      </c>
    </row>
    <row r="576" spans="1:20" x14ac:dyDescent="0.25">
      <c r="A576" s="58">
        <f t="shared" si="70"/>
        <v>44554.708333331953</v>
      </c>
      <c r="B576" s="59">
        <f t="shared" si="71"/>
        <v>44554.749999998618</v>
      </c>
      <c r="C576" s="60" t="e">
        <f>#REF!</f>
        <v>#REF!</v>
      </c>
      <c r="D576" s="61" t="e">
        <f>IF(C576&gt;0,Pricing!E576*$E$5,0)</f>
        <v>#REF!</v>
      </c>
      <c r="E576" s="61" t="e">
        <f t="shared" si="64"/>
        <v>#REF!</v>
      </c>
      <c r="F576" s="60" t="e">
        <f>#REF!</f>
        <v>#REF!</v>
      </c>
      <c r="G576" s="61" t="e">
        <f>IF(F576&gt;0,Pricing!E576*$H$5,0)</f>
        <v>#REF!</v>
      </c>
      <c r="H576" s="61" t="e">
        <f t="shared" si="65"/>
        <v>#REF!</v>
      </c>
      <c r="I576" s="62" t="e">
        <f>#REF!</f>
        <v>#REF!</v>
      </c>
      <c r="J576" s="61" t="e">
        <f>IF(I576&gt;0,Pricing!E576*$K$5,0)</f>
        <v>#REF!</v>
      </c>
      <c r="K576" s="63" t="e">
        <f t="shared" si="66"/>
        <v>#REF!</v>
      </c>
      <c r="L576" s="64" t="e">
        <f>#REF!</f>
        <v>#REF!</v>
      </c>
      <c r="M576" s="61" t="e">
        <f>IF(L576&lt;0,Pricing!E576*$N$5,0)</f>
        <v>#REF!</v>
      </c>
      <c r="N576" s="61" t="e">
        <f t="shared" si="67"/>
        <v>#REF!</v>
      </c>
      <c r="O576" s="60" t="e">
        <f>#REF!</f>
        <v>#REF!</v>
      </c>
      <c r="P576" s="61" t="e">
        <f>IF(O576&lt;0,Pricing!E576*$Q$5,0)</f>
        <v>#REF!</v>
      </c>
      <c r="Q576" s="61" t="e">
        <f t="shared" si="68"/>
        <v>#REF!</v>
      </c>
      <c r="R576" s="60" t="e">
        <f>#REF!</f>
        <v>#REF!</v>
      </c>
      <c r="S576" s="61" t="e">
        <f>IF(R576&lt;0,Pricing!E576*$T$5,0)</f>
        <v>#REF!</v>
      </c>
      <c r="T576" s="61" t="e">
        <f t="shared" si="69"/>
        <v>#REF!</v>
      </c>
    </row>
    <row r="577" spans="1:20" x14ac:dyDescent="0.25">
      <c r="A577" s="58">
        <f t="shared" si="70"/>
        <v>44554.749999998618</v>
      </c>
      <c r="B577" s="59">
        <f t="shared" si="71"/>
        <v>44554.791666665282</v>
      </c>
      <c r="C577" s="60" t="e">
        <f>#REF!</f>
        <v>#REF!</v>
      </c>
      <c r="D577" s="61" t="e">
        <f>IF(C577&gt;0,Pricing!E577*$E$5,0)</f>
        <v>#REF!</v>
      </c>
      <c r="E577" s="61" t="e">
        <f t="shared" si="64"/>
        <v>#REF!</v>
      </c>
      <c r="F577" s="60" t="e">
        <f>#REF!</f>
        <v>#REF!</v>
      </c>
      <c r="G577" s="61" t="e">
        <f>IF(F577&gt;0,Pricing!E577*$H$5,0)</f>
        <v>#REF!</v>
      </c>
      <c r="H577" s="61" t="e">
        <f t="shared" si="65"/>
        <v>#REF!</v>
      </c>
      <c r="I577" s="62" t="e">
        <f>#REF!</f>
        <v>#REF!</v>
      </c>
      <c r="J577" s="61" t="e">
        <f>IF(I577&gt;0,Pricing!E577*$K$5,0)</f>
        <v>#REF!</v>
      </c>
      <c r="K577" s="63" t="e">
        <f t="shared" si="66"/>
        <v>#REF!</v>
      </c>
      <c r="L577" s="64" t="e">
        <f>#REF!</f>
        <v>#REF!</v>
      </c>
      <c r="M577" s="61" t="e">
        <f>IF(L577&lt;0,Pricing!E577*$N$5,0)</f>
        <v>#REF!</v>
      </c>
      <c r="N577" s="61" t="e">
        <f t="shared" si="67"/>
        <v>#REF!</v>
      </c>
      <c r="O577" s="60" t="e">
        <f>#REF!</f>
        <v>#REF!</v>
      </c>
      <c r="P577" s="61" t="e">
        <f>IF(O577&lt;0,Pricing!E577*$Q$5,0)</f>
        <v>#REF!</v>
      </c>
      <c r="Q577" s="61" t="e">
        <f t="shared" si="68"/>
        <v>#REF!</v>
      </c>
      <c r="R577" s="60" t="e">
        <f>#REF!</f>
        <v>#REF!</v>
      </c>
      <c r="S577" s="61" t="e">
        <f>IF(R577&lt;0,Pricing!E577*$T$5,0)</f>
        <v>#REF!</v>
      </c>
      <c r="T577" s="61" t="e">
        <f t="shared" si="69"/>
        <v>#REF!</v>
      </c>
    </row>
    <row r="578" spans="1:20" x14ac:dyDescent="0.25">
      <c r="A578" s="58">
        <f t="shared" si="70"/>
        <v>44554.791666665282</v>
      </c>
      <c r="B578" s="59">
        <f t="shared" si="71"/>
        <v>44554.833333331946</v>
      </c>
      <c r="C578" s="60" t="e">
        <f>#REF!</f>
        <v>#REF!</v>
      </c>
      <c r="D578" s="61" t="e">
        <f>IF(C578&gt;0,Pricing!E578*$E$5,0)</f>
        <v>#REF!</v>
      </c>
      <c r="E578" s="61" t="e">
        <f t="shared" si="64"/>
        <v>#REF!</v>
      </c>
      <c r="F578" s="60" t="e">
        <f>#REF!</f>
        <v>#REF!</v>
      </c>
      <c r="G578" s="61" t="e">
        <f>IF(F578&gt;0,Pricing!E578*$H$5,0)</f>
        <v>#REF!</v>
      </c>
      <c r="H578" s="61" t="e">
        <f t="shared" si="65"/>
        <v>#REF!</v>
      </c>
      <c r="I578" s="62" t="e">
        <f>#REF!</f>
        <v>#REF!</v>
      </c>
      <c r="J578" s="61" t="e">
        <f>IF(I578&gt;0,Pricing!E578*$K$5,0)</f>
        <v>#REF!</v>
      </c>
      <c r="K578" s="63" t="e">
        <f t="shared" si="66"/>
        <v>#REF!</v>
      </c>
      <c r="L578" s="64" t="e">
        <f>#REF!</f>
        <v>#REF!</v>
      </c>
      <c r="M578" s="61" t="e">
        <f>IF(L578&lt;0,Pricing!E578*$N$5,0)</f>
        <v>#REF!</v>
      </c>
      <c r="N578" s="61" t="e">
        <f t="shared" si="67"/>
        <v>#REF!</v>
      </c>
      <c r="O578" s="60" t="e">
        <f>#REF!</f>
        <v>#REF!</v>
      </c>
      <c r="P578" s="61" t="e">
        <f>IF(O578&lt;0,Pricing!E578*$Q$5,0)</f>
        <v>#REF!</v>
      </c>
      <c r="Q578" s="61" t="e">
        <f t="shared" si="68"/>
        <v>#REF!</v>
      </c>
      <c r="R578" s="60" t="e">
        <f>#REF!</f>
        <v>#REF!</v>
      </c>
      <c r="S578" s="61" t="e">
        <f>IF(R578&lt;0,Pricing!E578*$T$5,0)</f>
        <v>#REF!</v>
      </c>
      <c r="T578" s="61" t="e">
        <f t="shared" si="69"/>
        <v>#REF!</v>
      </c>
    </row>
    <row r="579" spans="1:20" x14ac:dyDescent="0.25">
      <c r="A579" s="58">
        <f t="shared" si="70"/>
        <v>44554.833333331946</v>
      </c>
      <c r="B579" s="59">
        <f t="shared" si="71"/>
        <v>44554.87499999861</v>
      </c>
      <c r="C579" s="60" t="e">
        <f>#REF!</f>
        <v>#REF!</v>
      </c>
      <c r="D579" s="61" t="e">
        <f>IF(C579&gt;0,Pricing!E579*$E$5,0)</f>
        <v>#REF!</v>
      </c>
      <c r="E579" s="61" t="e">
        <f t="shared" si="64"/>
        <v>#REF!</v>
      </c>
      <c r="F579" s="60" t="e">
        <f>#REF!</f>
        <v>#REF!</v>
      </c>
      <c r="G579" s="61" t="e">
        <f>IF(F579&gt;0,Pricing!E579*$H$5,0)</f>
        <v>#REF!</v>
      </c>
      <c r="H579" s="61" t="e">
        <f t="shared" si="65"/>
        <v>#REF!</v>
      </c>
      <c r="I579" s="62" t="e">
        <f>#REF!</f>
        <v>#REF!</v>
      </c>
      <c r="J579" s="61" t="e">
        <f>IF(I579&gt;0,Pricing!E579*$K$5,0)</f>
        <v>#REF!</v>
      </c>
      <c r="K579" s="63" t="e">
        <f t="shared" si="66"/>
        <v>#REF!</v>
      </c>
      <c r="L579" s="64" t="e">
        <f>#REF!</f>
        <v>#REF!</v>
      </c>
      <c r="M579" s="61" t="e">
        <f>IF(L579&lt;0,Pricing!E579*$N$5,0)</f>
        <v>#REF!</v>
      </c>
      <c r="N579" s="61" t="e">
        <f t="shared" si="67"/>
        <v>#REF!</v>
      </c>
      <c r="O579" s="60" t="e">
        <f>#REF!</f>
        <v>#REF!</v>
      </c>
      <c r="P579" s="61" t="e">
        <f>IF(O579&lt;0,Pricing!E579*$Q$5,0)</f>
        <v>#REF!</v>
      </c>
      <c r="Q579" s="61" t="e">
        <f t="shared" si="68"/>
        <v>#REF!</v>
      </c>
      <c r="R579" s="60" t="e">
        <f>#REF!</f>
        <v>#REF!</v>
      </c>
      <c r="S579" s="61" t="e">
        <f>IF(R579&lt;0,Pricing!E579*$T$5,0)</f>
        <v>#REF!</v>
      </c>
      <c r="T579" s="61" t="e">
        <f t="shared" si="69"/>
        <v>#REF!</v>
      </c>
    </row>
    <row r="580" spans="1:20" x14ac:dyDescent="0.25">
      <c r="A580" s="58">
        <f t="shared" si="70"/>
        <v>44554.87499999861</v>
      </c>
      <c r="B580" s="59">
        <f t="shared" si="71"/>
        <v>44554.916666665275</v>
      </c>
      <c r="C580" s="60" t="e">
        <f>#REF!</f>
        <v>#REF!</v>
      </c>
      <c r="D580" s="61" t="e">
        <f>IF(C580&gt;0,Pricing!E580*$E$5,0)</f>
        <v>#REF!</v>
      </c>
      <c r="E580" s="61" t="e">
        <f t="shared" si="64"/>
        <v>#REF!</v>
      </c>
      <c r="F580" s="60" t="e">
        <f>#REF!</f>
        <v>#REF!</v>
      </c>
      <c r="G580" s="61" t="e">
        <f>IF(F580&gt;0,Pricing!E580*$H$5,0)</f>
        <v>#REF!</v>
      </c>
      <c r="H580" s="61" t="e">
        <f t="shared" si="65"/>
        <v>#REF!</v>
      </c>
      <c r="I580" s="62" t="e">
        <f>#REF!</f>
        <v>#REF!</v>
      </c>
      <c r="J580" s="61" t="e">
        <f>IF(I580&gt;0,Pricing!E580*$K$5,0)</f>
        <v>#REF!</v>
      </c>
      <c r="K580" s="63" t="e">
        <f t="shared" si="66"/>
        <v>#REF!</v>
      </c>
      <c r="L580" s="64" t="e">
        <f>#REF!</f>
        <v>#REF!</v>
      </c>
      <c r="M580" s="61" t="e">
        <f>IF(L580&lt;0,Pricing!E580*$N$5,0)</f>
        <v>#REF!</v>
      </c>
      <c r="N580" s="61" t="e">
        <f t="shared" si="67"/>
        <v>#REF!</v>
      </c>
      <c r="O580" s="60" t="e">
        <f>#REF!</f>
        <v>#REF!</v>
      </c>
      <c r="P580" s="61" t="e">
        <f>IF(O580&lt;0,Pricing!E580*$Q$5,0)</f>
        <v>#REF!</v>
      </c>
      <c r="Q580" s="61" t="e">
        <f t="shared" si="68"/>
        <v>#REF!</v>
      </c>
      <c r="R580" s="60" t="e">
        <f>#REF!</f>
        <v>#REF!</v>
      </c>
      <c r="S580" s="61" t="e">
        <f>IF(R580&lt;0,Pricing!E580*$T$5,0)</f>
        <v>#REF!</v>
      </c>
      <c r="T580" s="61" t="e">
        <f t="shared" si="69"/>
        <v>#REF!</v>
      </c>
    </row>
    <row r="581" spans="1:20" x14ac:dyDescent="0.25">
      <c r="A581" s="58">
        <f t="shared" si="70"/>
        <v>44554.916666665275</v>
      </c>
      <c r="B581" s="59">
        <f t="shared" si="71"/>
        <v>44554.958333331939</v>
      </c>
      <c r="C581" s="60" t="e">
        <f>#REF!</f>
        <v>#REF!</v>
      </c>
      <c r="D581" s="61" t="e">
        <f>IF(C581&gt;0,Pricing!E581*$E$5,0)</f>
        <v>#REF!</v>
      </c>
      <c r="E581" s="61" t="e">
        <f t="shared" si="64"/>
        <v>#REF!</v>
      </c>
      <c r="F581" s="60" t="e">
        <f>#REF!</f>
        <v>#REF!</v>
      </c>
      <c r="G581" s="61" t="e">
        <f>IF(F581&gt;0,Pricing!E581*$H$5,0)</f>
        <v>#REF!</v>
      </c>
      <c r="H581" s="61" t="e">
        <f t="shared" si="65"/>
        <v>#REF!</v>
      </c>
      <c r="I581" s="62" t="e">
        <f>#REF!</f>
        <v>#REF!</v>
      </c>
      <c r="J581" s="61" t="e">
        <f>IF(I581&gt;0,Pricing!E581*$K$5,0)</f>
        <v>#REF!</v>
      </c>
      <c r="K581" s="63" t="e">
        <f t="shared" si="66"/>
        <v>#REF!</v>
      </c>
      <c r="L581" s="64" t="e">
        <f>#REF!</f>
        <v>#REF!</v>
      </c>
      <c r="M581" s="61" t="e">
        <f>IF(L581&lt;0,Pricing!E581*$N$5,0)</f>
        <v>#REF!</v>
      </c>
      <c r="N581" s="61" t="e">
        <f t="shared" si="67"/>
        <v>#REF!</v>
      </c>
      <c r="O581" s="60" t="e">
        <f>#REF!</f>
        <v>#REF!</v>
      </c>
      <c r="P581" s="61" t="e">
        <f>IF(O581&lt;0,Pricing!E581*$Q$5,0)</f>
        <v>#REF!</v>
      </c>
      <c r="Q581" s="61" t="e">
        <f t="shared" si="68"/>
        <v>#REF!</v>
      </c>
      <c r="R581" s="60" t="e">
        <f>#REF!</f>
        <v>#REF!</v>
      </c>
      <c r="S581" s="61" t="e">
        <f>IF(R581&lt;0,Pricing!E581*$T$5,0)</f>
        <v>#REF!</v>
      </c>
      <c r="T581" s="61" t="e">
        <f t="shared" si="69"/>
        <v>#REF!</v>
      </c>
    </row>
    <row r="582" spans="1:20" x14ac:dyDescent="0.25">
      <c r="A582" s="58">
        <f t="shared" si="70"/>
        <v>44554.958333331939</v>
      </c>
      <c r="B582" s="59">
        <f t="shared" si="71"/>
        <v>44554.999999998603</v>
      </c>
      <c r="C582" s="60" t="e">
        <f>#REF!</f>
        <v>#REF!</v>
      </c>
      <c r="D582" s="61" t="e">
        <f>IF(C582&gt;0,Pricing!E582*$E$5,0)</f>
        <v>#REF!</v>
      </c>
      <c r="E582" s="61" t="e">
        <f t="shared" si="64"/>
        <v>#REF!</v>
      </c>
      <c r="F582" s="60" t="e">
        <f>#REF!</f>
        <v>#REF!</v>
      </c>
      <c r="G582" s="61" t="e">
        <f>IF(F582&gt;0,Pricing!E582*$H$5,0)</f>
        <v>#REF!</v>
      </c>
      <c r="H582" s="61" t="e">
        <f t="shared" si="65"/>
        <v>#REF!</v>
      </c>
      <c r="I582" s="62" t="e">
        <f>#REF!</f>
        <v>#REF!</v>
      </c>
      <c r="J582" s="61" t="e">
        <f>IF(I582&gt;0,Pricing!E582*$K$5,0)</f>
        <v>#REF!</v>
      </c>
      <c r="K582" s="63" t="e">
        <f t="shared" si="66"/>
        <v>#REF!</v>
      </c>
      <c r="L582" s="64" t="e">
        <f>#REF!</f>
        <v>#REF!</v>
      </c>
      <c r="M582" s="61" t="e">
        <f>IF(L582&lt;0,Pricing!E582*$N$5,0)</f>
        <v>#REF!</v>
      </c>
      <c r="N582" s="61" t="e">
        <f t="shared" si="67"/>
        <v>#REF!</v>
      </c>
      <c r="O582" s="60" t="e">
        <f>#REF!</f>
        <v>#REF!</v>
      </c>
      <c r="P582" s="61" t="e">
        <f>IF(O582&lt;0,Pricing!E582*$Q$5,0)</f>
        <v>#REF!</v>
      </c>
      <c r="Q582" s="61" t="e">
        <f t="shared" si="68"/>
        <v>#REF!</v>
      </c>
      <c r="R582" s="60" t="e">
        <f>#REF!</f>
        <v>#REF!</v>
      </c>
      <c r="S582" s="61" t="e">
        <f>IF(R582&lt;0,Pricing!E582*$T$5,0)</f>
        <v>#REF!</v>
      </c>
      <c r="T582" s="61" t="e">
        <f t="shared" si="69"/>
        <v>#REF!</v>
      </c>
    </row>
    <row r="583" spans="1:20" x14ac:dyDescent="0.25">
      <c r="A583" s="58">
        <f t="shared" si="70"/>
        <v>44554.999999998603</v>
      </c>
      <c r="B583" s="59">
        <f t="shared" si="71"/>
        <v>44555.041666665267</v>
      </c>
      <c r="C583" s="60" t="e">
        <f>#REF!</f>
        <v>#REF!</v>
      </c>
      <c r="D583" s="61" t="e">
        <f>IF(C583&gt;0,Pricing!E583*$E$5,0)</f>
        <v>#REF!</v>
      </c>
      <c r="E583" s="61" t="e">
        <f t="shared" si="64"/>
        <v>#REF!</v>
      </c>
      <c r="F583" s="60" t="e">
        <f>#REF!</f>
        <v>#REF!</v>
      </c>
      <c r="G583" s="61" t="e">
        <f>IF(F583&gt;0,Pricing!E583*$H$5,0)</f>
        <v>#REF!</v>
      </c>
      <c r="H583" s="61" t="e">
        <f t="shared" si="65"/>
        <v>#REF!</v>
      </c>
      <c r="I583" s="62" t="e">
        <f>#REF!</f>
        <v>#REF!</v>
      </c>
      <c r="J583" s="61" t="e">
        <f>IF(I583&gt;0,Pricing!E583*$K$5,0)</f>
        <v>#REF!</v>
      </c>
      <c r="K583" s="63" t="e">
        <f t="shared" si="66"/>
        <v>#REF!</v>
      </c>
      <c r="L583" s="64" t="e">
        <f>#REF!</f>
        <v>#REF!</v>
      </c>
      <c r="M583" s="61" t="e">
        <f>IF(L583&lt;0,Pricing!E583*$N$5,0)</f>
        <v>#REF!</v>
      </c>
      <c r="N583" s="61" t="e">
        <f t="shared" si="67"/>
        <v>#REF!</v>
      </c>
      <c r="O583" s="60" t="e">
        <f>#REF!</f>
        <v>#REF!</v>
      </c>
      <c r="P583" s="61" t="e">
        <f>IF(O583&lt;0,Pricing!E583*$Q$5,0)</f>
        <v>#REF!</v>
      </c>
      <c r="Q583" s="61" t="e">
        <f t="shared" si="68"/>
        <v>#REF!</v>
      </c>
      <c r="R583" s="60" t="e">
        <f>#REF!</f>
        <v>#REF!</v>
      </c>
      <c r="S583" s="61" t="e">
        <f>IF(R583&lt;0,Pricing!E583*$T$5,0)</f>
        <v>#REF!</v>
      </c>
      <c r="T583" s="61" t="e">
        <f t="shared" si="69"/>
        <v>#REF!</v>
      </c>
    </row>
    <row r="584" spans="1:20" x14ac:dyDescent="0.25">
      <c r="A584" s="58">
        <f t="shared" si="70"/>
        <v>44555.041666665267</v>
      </c>
      <c r="B584" s="59">
        <f t="shared" si="71"/>
        <v>44555.083333331931</v>
      </c>
      <c r="C584" s="60" t="e">
        <f>#REF!</f>
        <v>#REF!</v>
      </c>
      <c r="D584" s="61" t="e">
        <f>IF(C584&gt;0,Pricing!E584*$E$5,0)</f>
        <v>#REF!</v>
      </c>
      <c r="E584" s="61" t="e">
        <f t="shared" ref="E584:E647" si="72">C584*D584</f>
        <v>#REF!</v>
      </c>
      <c r="F584" s="60" t="e">
        <f>#REF!</f>
        <v>#REF!</v>
      </c>
      <c r="G584" s="61" t="e">
        <f>IF(F584&gt;0,Pricing!E584*$H$5,0)</f>
        <v>#REF!</v>
      </c>
      <c r="H584" s="61" t="e">
        <f t="shared" ref="H584:H647" si="73">F584*G584</f>
        <v>#REF!</v>
      </c>
      <c r="I584" s="62" t="e">
        <f>#REF!</f>
        <v>#REF!</v>
      </c>
      <c r="J584" s="61" t="e">
        <f>IF(I584&gt;0,Pricing!E584*$K$5,0)</f>
        <v>#REF!</v>
      </c>
      <c r="K584" s="63" t="e">
        <f t="shared" ref="K584:K647" si="74">I584*J584</f>
        <v>#REF!</v>
      </c>
      <c r="L584" s="64" t="e">
        <f>#REF!</f>
        <v>#REF!</v>
      </c>
      <c r="M584" s="61" t="e">
        <f>IF(L584&lt;0,Pricing!E584*$N$5,0)</f>
        <v>#REF!</v>
      </c>
      <c r="N584" s="61" t="e">
        <f t="shared" ref="N584:N647" si="75">L584*M584</f>
        <v>#REF!</v>
      </c>
      <c r="O584" s="60" t="e">
        <f>#REF!</f>
        <v>#REF!</v>
      </c>
      <c r="P584" s="61" t="e">
        <f>IF(O584&lt;0,Pricing!E584*$Q$5,0)</f>
        <v>#REF!</v>
      </c>
      <c r="Q584" s="61" t="e">
        <f t="shared" ref="Q584:Q647" si="76">O584*P584</f>
        <v>#REF!</v>
      </c>
      <c r="R584" s="60" t="e">
        <f>#REF!</f>
        <v>#REF!</v>
      </c>
      <c r="S584" s="61" t="e">
        <f>IF(R584&lt;0,Pricing!E584*$T$5,0)</f>
        <v>#REF!</v>
      </c>
      <c r="T584" s="61" t="e">
        <f t="shared" ref="T584:T647" si="77">R584*S584</f>
        <v>#REF!</v>
      </c>
    </row>
    <row r="585" spans="1:20" x14ac:dyDescent="0.25">
      <c r="A585" s="58">
        <f t="shared" ref="A585:A648" si="78">$A584+1/24</f>
        <v>44555.083333331931</v>
      </c>
      <c r="B585" s="59">
        <f t="shared" ref="B585:B648" si="79">B584+1/24</f>
        <v>44555.124999998596</v>
      </c>
      <c r="C585" s="60" t="e">
        <f>#REF!</f>
        <v>#REF!</v>
      </c>
      <c r="D585" s="61" t="e">
        <f>IF(C585&gt;0,Pricing!E585*$E$5,0)</f>
        <v>#REF!</v>
      </c>
      <c r="E585" s="61" t="e">
        <f t="shared" si="72"/>
        <v>#REF!</v>
      </c>
      <c r="F585" s="60" t="e">
        <f>#REF!</f>
        <v>#REF!</v>
      </c>
      <c r="G585" s="61" t="e">
        <f>IF(F585&gt;0,Pricing!E585*$H$5,0)</f>
        <v>#REF!</v>
      </c>
      <c r="H585" s="61" t="e">
        <f t="shared" si="73"/>
        <v>#REF!</v>
      </c>
      <c r="I585" s="62" t="e">
        <f>#REF!</f>
        <v>#REF!</v>
      </c>
      <c r="J585" s="61" t="e">
        <f>IF(I585&gt;0,Pricing!E585*$K$5,0)</f>
        <v>#REF!</v>
      </c>
      <c r="K585" s="63" t="e">
        <f t="shared" si="74"/>
        <v>#REF!</v>
      </c>
      <c r="L585" s="64" t="e">
        <f>#REF!</f>
        <v>#REF!</v>
      </c>
      <c r="M585" s="61" t="e">
        <f>IF(L585&lt;0,Pricing!E585*$N$5,0)</f>
        <v>#REF!</v>
      </c>
      <c r="N585" s="61" t="e">
        <f t="shared" si="75"/>
        <v>#REF!</v>
      </c>
      <c r="O585" s="60" t="e">
        <f>#REF!</f>
        <v>#REF!</v>
      </c>
      <c r="P585" s="61" t="e">
        <f>IF(O585&lt;0,Pricing!E585*$Q$5,0)</f>
        <v>#REF!</v>
      </c>
      <c r="Q585" s="61" t="e">
        <f t="shared" si="76"/>
        <v>#REF!</v>
      </c>
      <c r="R585" s="60" t="e">
        <f>#REF!</f>
        <v>#REF!</v>
      </c>
      <c r="S585" s="61" t="e">
        <f>IF(R585&lt;0,Pricing!E585*$T$5,0)</f>
        <v>#REF!</v>
      </c>
      <c r="T585" s="61" t="e">
        <f t="shared" si="77"/>
        <v>#REF!</v>
      </c>
    </row>
    <row r="586" spans="1:20" x14ac:dyDescent="0.25">
      <c r="A586" s="58">
        <f t="shared" si="78"/>
        <v>44555.124999998596</v>
      </c>
      <c r="B586" s="59">
        <f t="shared" si="79"/>
        <v>44555.16666666526</v>
      </c>
      <c r="C586" s="60" t="e">
        <f>#REF!</f>
        <v>#REF!</v>
      </c>
      <c r="D586" s="61" t="e">
        <f>IF(C586&gt;0,Pricing!E586*$E$5,0)</f>
        <v>#REF!</v>
      </c>
      <c r="E586" s="61" t="e">
        <f t="shared" si="72"/>
        <v>#REF!</v>
      </c>
      <c r="F586" s="60" t="e">
        <f>#REF!</f>
        <v>#REF!</v>
      </c>
      <c r="G586" s="61" t="e">
        <f>IF(F586&gt;0,Pricing!E586*$H$5,0)</f>
        <v>#REF!</v>
      </c>
      <c r="H586" s="61" t="e">
        <f t="shared" si="73"/>
        <v>#REF!</v>
      </c>
      <c r="I586" s="62" t="e">
        <f>#REF!</f>
        <v>#REF!</v>
      </c>
      <c r="J586" s="61" t="e">
        <f>IF(I586&gt;0,Pricing!E586*$K$5,0)</f>
        <v>#REF!</v>
      </c>
      <c r="K586" s="63" t="e">
        <f t="shared" si="74"/>
        <v>#REF!</v>
      </c>
      <c r="L586" s="64" t="e">
        <f>#REF!</f>
        <v>#REF!</v>
      </c>
      <c r="M586" s="61" t="e">
        <f>IF(L586&lt;0,Pricing!E586*$N$5,0)</f>
        <v>#REF!</v>
      </c>
      <c r="N586" s="61" t="e">
        <f t="shared" si="75"/>
        <v>#REF!</v>
      </c>
      <c r="O586" s="60" t="e">
        <f>#REF!</f>
        <v>#REF!</v>
      </c>
      <c r="P586" s="61" t="e">
        <f>IF(O586&lt;0,Pricing!E586*$Q$5,0)</f>
        <v>#REF!</v>
      </c>
      <c r="Q586" s="61" t="e">
        <f t="shared" si="76"/>
        <v>#REF!</v>
      </c>
      <c r="R586" s="60" t="e">
        <f>#REF!</f>
        <v>#REF!</v>
      </c>
      <c r="S586" s="61" t="e">
        <f>IF(R586&lt;0,Pricing!E586*$T$5,0)</f>
        <v>#REF!</v>
      </c>
      <c r="T586" s="61" t="e">
        <f t="shared" si="77"/>
        <v>#REF!</v>
      </c>
    </row>
    <row r="587" spans="1:20" x14ac:dyDescent="0.25">
      <c r="A587" s="58">
        <f t="shared" si="78"/>
        <v>44555.16666666526</v>
      </c>
      <c r="B587" s="59">
        <f t="shared" si="79"/>
        <v>44555.208333331924</v>
      </c>
      <c r="C587" s="60" t="e">
        <f>#REF!</f>
        <v>#REF!</v>
      </c>
      <c r="D587" s="61" t="e">
        <f>IF(C587&gt;0,Pricing!E587*$E$5,0)</f>
        <v>#REF!</v>
      </c>
      <c r="E587" s="61" t="e">
        <f t="shared" si="72"/>
        <v>#REF!</v>
      </c>
      <c r="F587" s="60" t="e">
        <f>#REF!</f>
        <v>#REF!</v>
      </c>
      <c r="G587" s="61" t="e">
        <f>IF(F587&gt;0,Pricing!E587*$H$5,0)</f>
        <v>#REF!</v>
      </c>
      <c r="H587" s="61" t="e">
        <f t="shared" si="73"/>
        <v>#REF!</v>
      </c>
      <c r="I587" s="62" t="e">
        <f>#REF!</f>
        <v>#REF!</v>
      </c>
      <c r="J587" s="61" t="e">
        <f>IF(I587&gt;0,Pricing!E587*$K$5,0)</f>
        <v>#REF!</v>
      </c>
      <c r="K587" s="63" t="e">
        <f t="shared" si="74"/>
        <v>#REF!</v>
      </c>
      <c r="L587" s="64" t="e">
        <f>#REF!</f>
        <v>#REF!</v>
      </c>
      <c r="M587" s="61" t="e">
        <f>IF(L587&lt;0,Pricing!E587*$N$5,0)</f>
        <v>#REF!</v>
      </c>
      <c r="N587" s="61" t="e">
        <f t="shared" si="75"/>
        <v>#REF!</v>
      </c>
      <c r="O587" s="60" t="e">
        <f>#REF!</f>
        <v>#REF!</v>
      </c>
      <c r="P587" s="61" t="e">
        <f>IF(O587&lt;0,Pricing!E587*$Q$5,0)</f>
        <v>#REF!</v>
      </c>
      <c r="Q587" s="61" t="e">
        <f t="shared" si="76"/>
        <v>#REF!</v>
      </c>
      <c r="R587" s="60" t="e">
        <f>#REF!</f>
        <v>#REF!</v>
      </c>
      <c r="S587" s="61" t="e">
        <f>IF(R587&lt;0,Pricing!E587*$T$5,0)</f>
        <v>#REF!</v>
      </c>
      <c r="T587" s="61" t="e">
        <f t="shared" si="77"/>
        <v>#REF!</v>
      </c>
    </row>
    <row r="588" spans="1:20" x14ac:dyDescent="0.25">
      <c r="A588" s="58">
        <f t="shared" si="78"/>
        <v>44555.208333331924</v>
      </c>
      <c r="B588" s="59">
        <f t="shared" si="79"/>
        <v>44555.249999998588</v>
      </c>
      <c r="C588" s="60" t="e">
        <f>#REF!</f>
        <v>#REF!</v>
      </c>
      <c r="D588" s="61" t="e">
        <f>IF(C588&gt;0,Pricing!E588*$E$5,0)</f>
        <v>#REF!</v>
      </c>
      <c r="E588" s="61" t="e">
        <f t="shared" si="72"/>
        <v>#REF!</v>
      </c>
      <c r="F588" s="60" t="e">
        <f>#REF!</f>
        <v>#REF!</v>
      </c>
      <c r="G588" s="61" t="e">
        <f>IF(F588&gt;0,Pricing!E588*$H$5,0)</f>
        <v>#REF!</v>
      </c>
      <c r="H588" s="61" t="e">
        <f t="shared" si="73"/>
        <v>#REF!</v>
      </c>
      <c r="I588" s="62" t="e">
        <f>#REF!</f>
        <v>#REF!</v>
      </c>
      <c r="J588" s="61" t="e">
        <f>IF(I588&gt;0,Pricing!E588*$K$5,0)</f>
        <v>#REF!</v>
      </c>
      <c r="K588" s="63" t="e">
        <f t="shared" si="74"/>
        <v>#REF!</v>
      </c>
      <c r="L588" s="64" t="e">
        <f>#REF!</f>
        <v>#REF!</v>
      </c>
      <c r="M588" s="61" t="e">
        <f>IF(L588&lt;0,Pricing!E588*$N$5,0)</f>
        <v>#REF!</v>
      </c>
      <c r="N588" s="61" t="e">
        <f t="shared" si="75"/>
        <v>#REF!</v>
      </c>
      <c r="O588" s="60" t="e">
        <f>#REF!</f>
        <v>#REF!</v>
      </c>
      <c r="P588" s="61" t="e">
        <f>IF(O588&lt;0,Pricing!E588*$Q$5,0)</f>
        <v>#REF!</v>
      </c>
      <c r="Q588" s="61" t="e">
        <f t="shared" si="76"/>
        <v>#REF!</v>
      </c>
      <c r="R588" s="60" t="e">
        <f>#REF!</f>
        <v>#REF!</v>
      </c>
      <c r="S588" s="61" t="e">
        <f>IF(R588&lt;0,Pricing!E588*$T$5,0)</f>
        <v>#REF!</v>
      </c>
      <c r="T588" s="61" t="e">
        <f t="shared" si="77"/>
        <v>#REF!</v>
      </c>
    </row>
    <row r="589" spans="1:20" x14ac:dyDescent="0.25">
      <c r="A589" s="58">
        <f t="shared" si="78"/>
        <v>44555.249999998588</v>
      </c>
      <c r="B589" s="59">
        <f t="shared" si="79"/>
        <v>44555.291666665253</v>
      </c>
      <c r="C589" s="60" t="e">
        <f>#REF!</f>
        <v>#REF!</v>
      </c>
      <c r="D589" s="61" t="e">
        <f>IF(C589&gt;0,Pricing!E589*$E$5,0)</f>
        <v>#REF!</v>
      </c>
      <c r="E589" s="61" t="e">
        <f t="shared" si="72"/>
        <v>#REF!</v>
      </c>
      <c r="F589" s="60" t="e">
        <f>#REF!</f>
        <v>#REF!</v>
      </c>
      <c r="G589" s="61" t="e">
        <f>IF(F589&gt;0,Pricing!E589*$H$5,0)</f>
        <v>#REF!</v>
      </c>
      <c r="H589" s="61" t="e">
        <f t="shared" si="73"/>
        <v>#REF!</v>
      </c>
      <c r="I589" s="62" t="e">
        <f>#REF!</f>
        <v>#REF!</v>
      </c>
      <c r="J589" s="61" t="e">
        <f>IF(I589&gt;0,Pricing!E589*$K$5,0)</f>
        <v>#REF!</v>
      </c>
      <c r="K589" s="63" t="e">
        <f t="shared" si="74"/>
        <v>#REF!</v>
      </c>
      <c r="L589" s="64" t="e">
        <f>#REF!</f>
        <v>#REF!</v>
      </c>
      <c r="M589" s="61" t="e">
        <f>IF(L589&lt;0,Pricing!E589*$N$5,0)</f>
        <v>#REF!</v>
      </c>
      <c r="N589" s="61" t="e">
        <f t="shared" si="75"/>
        <v>#REF!</v>
      </c>
      <c r="O589" s="60" t="e">
        <f>#REF!</f>
        <v>#REF!</v>
      </c>
      <c r="P589" s="61" t="e">
        <f>IF(O589&lt;0,Pricing!E589*$Q$5,0)</f>
        <v>#REF!</v>
      </c>
      <c r="Q589" s="61" t="e">
        <f t="shared" si="76"/>
        <v>#REF!</v>
      </c>
      <c r="R589" s="60" t="e">
        <f>#REF!</f>
        <v>#REF!</v>
      </c>
      <c r="S589" s="61" t="e">
        <f>IF(R589&lt;0,Pricing!E589*$T$5,0)</f>
        <v>#REF!</v>
      </c>
      <c r="T589" s="61" t="e">
        <f t="shared" si="77"/>
        <v>#REF!</v>
      </c>
    </row>
    <row r="590" spans="1:20" x14ac:dyDescent="0.25">
      <c r="A590" s="58">
        <f t="shared" si="78"/>
        <v>44555.291666665253</v>
      </c>
      <c r="B590" s="59">
        <f t="shared" si="79"/>
        <v>44555.333333331917</v>
      </c>
      <c r="C590" s="60" t="e">
        <f>#REF!</f>
        <v>#REF!</v>
      </c>
      <c r="D590" s="61" t="e">
        <f>IF(C590&gt;0,Pricing!E590*$E$5,0)</f>
        <v>#REF!</v>
      </c>
      <c r="E590" s="61" t="e">
        <f t="shared" si="72"/>
        <v>#REF!</v>
      </c>
      <c r="F590" s="60" t="e">
        <f>#REF!</f>
        <v>#REF!</v>
      </c>
      <c r="G590" s="61" t="e">
        <f>IF(F590&gt;0,Pricing!E590*$H$5,0)</f>
        <v>#REF!</v>
      </c>
      <c r="H590" s="61" t="e">
        <f t="shared" si="73"/>
        <v>#REF!</v>
      </c>
      <c r="I590" s="62" t="e">
        <f>#REF!</f>
        <v>#REF!</v>
      </c>
      <c r="J590" s="61" t="e">
        <f>IF(I590&gt;0,Pricing!E590*$K$5,0)</f>
        <v>#REF!</v>
      </c>
      <c r="K590" s="63" t="e">
        <f t="shared" si="74"/>
        <v>#REF!</v>
      </c>
      <c r="L590" s="64" t="e">
        <f>#REF!</f>
        <v>#REF!</v>
      </c>
      <c r="M590" s="61" t="e">
        <f>IF(L590&lt;0,Pricing!E590*$N$5,0)</f>
        <v>#REF!</v>
      </c>
      <c r="N590" s="61" t="e">
        <f t="shared" si="75"/>
        <v>#REF!</v>
      </c>
      <c r="O590" s="60" t="e">
        <f>#REF!</f>
        <v>#REF!</v>
      </c>
      <c r="P590" s="61" t="e">
        <f>IF(O590&lt;0,Pricing!E590*$Q$5,0)</f>
        <v>#REF!</v>
      </c>
      <c r="Q590" s="61" t="e">
        <f t="shared" si="76"/>
        <v>#REF!</v>
      </c>
      <c r="R590" s="60" t="e">
        <f>#REF!</f>
        <v>#REF!</v>
      </c>
      <c r="S590" s="61" t="e">
        <f>IF(R590&lt;0,Pricing!E590*$T$5,0)</f>
        <v>#REF!</v>
      </c>
      <c r="T590" s="61" t="e">
        <f t="shared" si="77"/>
        <v>#REF!</v>
      </c>
    </row>
    <row r="591" spans="1:20" x14ac:dyDescent="0.25">
      <c r="A591" s="58">
        <f t="shared" si="78"/>
        <v>44555.333333331917</v>
      </c>
      <c r="B591" s="59">
        <f t="shared" si="79"/>
        <v>44555.374999998581</v>
      </c>
      <c r="C591" s="60" t="e">
        <f>#REF!</f>
        <v>#REF!</v>
      </c>
      <c r="D591" s="61" t="e">
        <f>IF(C591&gt;0,Pricing!E591*$E$5,0)</f>
        <v>#REF!</v>
      </c>
      <c r="E591" s="61" t="e">
        <f t="shared" si="72"/>
        <v>#REF!</v>
      </c>
      <c r="F591" s="60" t="e">
        <f>#REF!</f>
        <v>#REF!</v>
      </c>
      <c r="G591" s="61" t="e">
        <f>IF(F591&gt;0,Pricing!E591*$H$5,0)</f>
        <v>#REF!</v>
      </c>
      <c r="H591" s="61" t="e">
        <f t="shared" si="73"/>
        <v>#REF!</v>
      </c>
      <c r="I591" s="62" t="e">
        <f>#REF!</f>
        <v>#REF!</v>
      </c>
      <c r="J591" s="61" t="e">
        <f>IF(I591&gt;0,Pricing!E591*$K$5,0)</f>
        <v>#REF!</v>
      </c>
      <c r="K591" s="63" t="e">
        <f t="shared" si="74"/>
        <v>#REF!</v>
      </c>
      <c r="L591" s="64" t="e">
        <f>#REF!</f>
        <v>#REF!</v>
      </c>
      <c r="M591" s="61" t="e">
        <f>IF(L591&lt;0,Pricing!E591*$N$5,0)</f>
        <v>#REF!</v>
      </c>
      <c r="N591" s="61" t="e">
        <f t="shared" si="75"/>
        <v>#REF!</v>
      </c>
      <c r="O591" s="60" t="e">
        <f>#REF!</f>
        <v>#REF!</v>
      </c>
      <c r="P591" s="61" t="e">
        <f>IF(O591&lt;0,Pricing!E591*$Q$5,0)</f>
        <v>#REF!</v>
      </c>
      <c r="Q591" s="61" t="e">
        <f t="shared" si="76"/>
        <v>#REF!</v>
      </c>
      <c r="R591" s="60" t="e">
        <f>#REF!</f>
        <v>#REF!</v>
      </c>
      <c r="S591" s="61" t="e">
        <f>IF(R591&lt;0,Pricing!E591*$T$5,0)</f>
        <v>#REF!</v>
      </c>
      <c r="T591" s="61" t="e">
        <f t="shared" si="77"/>
        <v>#REF!</v>
      </c>
    </row>
    <row r="592" spans="1:20" x14ac:dyDescent="0.25">
      <c r="A592" s="58">
        <f t="shared" si="78"/>
        <v>44555.374999998581</v>
      </c>
      <c r="B592" s="59">
        <f t="shared" si="79"/>
        <v>44555.416666665245</v>
      </c>
      <c r="C592" s="60" t="e">
        <f>#REF!</f>
        <v>#REF!</v>
      </c>
      <c r="D592" s="61" t="e">
        <f>IF(C592&gt;0,Pricing!E592*$E$5,0)</f>
        <v>#REF!</v>
      </c>
      <c r="E592" s="61" t="e">
        <f t="shared" si="72"/>
        <v>#REF!</v>
      </c>
      <c r="F592" s="60" t="e">
        <f>#REF!</f>
        <v>#REF!</v>
      </c>
      <c r="G592" s="61" t="e">
        <f>IF(F592&gt;0,Pricing!E592*$H$5,0)</f>
        <v>#REF!</v>
      </c>
      <c r="H592" s="61" t="e">
        <f t="shared" si="73"/>
        <v>#REF!</v>
      </c>
      <c r="I592" s="62" t="e">
        <f>#REF!</f>
        <v>#REF!</v>
      </c>
      <c r="J592" s="61" t="e">
        <f>IF(I592&gt;0,Pricing!E592*$K$5,0)</f>
        <v>#REF!</v>
      </c>
      <c r="K592" s="63" t="e">
        <f t="shared" si="74"/>
        <v>#REF!</v>
      </c>
      <c r="L592" s="64" t="e">
        <f>#REF!</f>
        <v>#REF!</v>
      </c>
      <c r="M592" s="61" t="e">
        <f>IF(L592&lt;0,Pricing!E592*$N$5,0)</f>
        <v>#REF!</v>
      </c>
      <c r="N592" s="61" t="e">
        <f t="shared" si="75"/>
        <v>#REF!</v>
      </c>
      <c r="O592" s="60" t="e">
        <f>#REF!</f>
        <v>#REF!</v>
      </c>
      <c r="P592" s="61" t="e">
        <f>IF(O592&lt;0,Pricing!E592*$Q$5,0)</f>
        <v>#REF!</v>
      </c>
      <c r="Q592" s="61" t="e">
        <f t="shared" si="76"/>
        <v>#REF!</v>
      </c>
      <c r="R592" s="60" t="e">
        <f>#REF!</f>
        <v>#REF!</v>
      </c>
      <c r="S592" s="61" t="e">
        <f>IF(R592&lt;0,Pricing!E592*$T$5,0)</f>
        <v>#REF!</v>
      </c>
      <c r="T592" s="61" t="e">
        <f t="shared" si="77"/>
        <v>#REF!</v>
      </c>
    </row>
    <row r="593" spans="1:20" x14ac:dyDescent="0.25">
      <c r="A593" s="58">
        <f t="shared" si="78"/>
        <v>44555.416666665245</v>
      </c>
      <c r="B593" s="59">
        <f t="shared" si="79"/>
        <v>44555.45833333191</v>
      </c>
      <c r="C593" s="60" t="e">
        <f>#REF!</f>
        <v>#REF!</v>
      </c>
      <c r="D593" s="61" t="e">
        <f>IF(C593&gt;0,Pricing!E593*$E$5,0)</f>
        <v>#REF!</v>
      </c>
      <c r="E593" s="61" t="e">
        <f t="shared" si="72"/>
        <v>#REF!</v>
      </c>
      <c r="F593" s="60" t="e">
        <f>#REF!</f>
        <v>#REF!</v>
      </c>
      <c r="G593" s="61" t="e">
        <f>IF(F593&gt;0,Pricing!E593*$H$5,0)</f>
        <v>#REF!</v>
      </c>
      <c r="H593" s="61" t="e">
        <f t="shared" si="73"/>
        <v>#REF!</v>
      </c>
      <c r="I593" s="62" t="e">
        <f>#REF!</f>
        <v>#REF!</v>
      </c>
      <c r="J593" s="61" t="e">
        <f>IF(I593&gt;0,Pricing!E593*$K$5,0)</f>
        <v>#REF!</v>
      </c>
      <c r="K593" s="63" t="e">
        <f t="shared" si="74"/>
        <v>#REF!</v>
      </c>
      <c r="L593" s="64" t="e">
        <f>#REF!</f>
        <v>#REF!</v>
      </c>
      <c r="M593" s="61" t="e">
        <f>IF(L593&lt;0,Pricing!E593*$N$5,0)</f>
        <v>#REF!</v>
      </c>
      <c r="N593" s="61" t="e">
        <f t="shared" si="75"/>
        <v>#REF!</v>
      </c>
      <c r="O593" s="60" t="e">
        <f>#REF!</f>
        <v>#REF!</v>
      </c>
      <c r="P593" s="61" t="e">
        <f>IF(O593&lt;0,Pricing!E593*$Q$5,0)</f>
        <v>#REF!</v>
      </c>
      <c r="Q593" s="61" t="e">
        <f t="shared" si="76"/>
        <v>#REF!</v>
      </c>
      <c r="R593" s="60" t="e">
        <f>#REF!</f>
        <v>#REF!</v>
      </c>
      <c r="S593" s="61" t="e">
        <f>IF(R593&lt;0,Pricing!E593*$T$5,0)</f>
        <v>#REF!</v>
      </c>
      <c r="T593" s="61" t="e">
        <f t="shared" si="77"/>
        <v>#REF!</v>
      </c>
    </row>
    <row r="594" spans="1:20" x14ac:dyDescent="0.25">
      <c r="A594" s="58">
        <f t="shared" si="78"/>
        <v>44555.45833333191</v>
      </c>
      <c r="B594" s="59">
        <f t="shared" si="79"/>
        <v>44555.499999998574</v>
      </c>
      <c r="C594" s="60" t="e">
        <f>#REF!</f>
        <v>#REF!</v>
      </c>
      <c r="D594" s="61" t="e">
        <f>IF(C594&gt;0,Pricing!E594*$E$5,0)</f>
        <v>#REF!</v>
      </c>
      <c r="E594" s="61" t="e">
        <f t="shared" si="72"/>
        <v>#REF!</v>
      </c>
      <c r="F594" s="60" t="e">
        <f>#REF!</f>
        <v>#REF!</v>
      </c>
      <c r="G594" s="61" t="e">
        <f>IF(F594&gt;0,Pricing!E594*$H$5,0)</f>
        <v>#REF!</v>
      </c>
      <c r="H594" s="61" t="e">
        <f t="shared" si="73"/>
        <v>#REF!</v>
      </c>
      <c r="I594" s="62" t="e">
        <f>#REF!</f>
        <v>#REF!</v>
      </c>
      <c r="J594" s="61" t="e">
        <f>IF(I594&gt;0,Pricing!E594*$K$5,0)</f>
        <v>#REF!</v>
      </c>
      <c r="K594" s="63" t="e">
        <f t="shared" si="74"/>
        <v>#REF!</v>
      </c>
      <c r="L594" s="64" t="e">
        <f>#REF!</f>
        <v>#REF!</v>
      </c>
      <c r="M594" s="61" t="e">
        <f>IF(L594&lt;0,Pricing!E594*$N$5,0)</f>
        <v>#REF!</v>
      </c>
      <c r="N594" s="61" t="e">
        <f t="shared" si="75"/>
        <v>#REF!</v>
      </c>
      <c r="O594" s="60" t="e">
        <f>#REF!</f>
        <v>#REF!</v>
      </c>
      <c r="P594" s="61" t="e">
        <f>IF(O594&lt;0,Pricing!E594*$Q$5,0)</f>
        <v>#REF!</v>
      </c>
      <c r="Q594" s="61" t="e">
        <f t="shared" si="76"/>
        <v>#REF!</v>
      </c>
      <c r="R594" s="60" t="e">
        <f>#REF!</f>
        <v>#REF!</v>
      </c>
      <c r="S594" s="61" t="e">
        <f>IF(R594&lt;0,Pricing!E594*$T$5,0)</f>
        <v>#REF!</v>
      </c>
      <c r="T594" s="61" t="e">
        <f t="shared" si="77"/>
        <v>#REF!</v>
      </c>
    </row>
    <row r="595" spans="1:20" x14ac:dyDescent="0.25">
      <c r="A595" s="58">
        <f t="shared" si="78"/>
        <v>44555.499999998574</v>
      </c>
      <c r="B595" s="59">
        <f t="shared" si="79"/>
        <v>44555.541666665238</v>
      </c>
      <c r="C595" s="60" t="e">
        <f>#REF!</f>
        <v>#REF!</v>
      </c>
      <c r="D595" s="61" t="e">
        <f>IF(C595&gt;0,Pricing!E595*$E$5,0)</f>
        <v>#REF!</v>
      </c>
      <c r="E595" s="61" t="e">
        <f t="shared" si="72"/>
        <v>#REF!</v>
      </c>
      <c r="F595" s="60" t="e">
        <f>#REF!</f>
        <v>#REF!</v>
      </c>
      <c r="G595" s="61" t="e">
        <f>IF(F595&gt;0,Pricing!E595*$H$5,0)</f>
        <v>#REF!</v>
      </c>
      <c r="H595" s="61" t="e">
        <f t="shared" si="73"/>
        <v>#REF!</v>
      </c>
      <c r="I595" s="62" t="e">
        <f>#REF!</f>
        <v>#REF!</v>
      </c>
      <c r="J595" s="61" t="e">
        <f>IF(I595&gt;0,Pricing!E595*$K$5,0)</f>
        <v>#REF!</v>
      </c>
      <c r="K595" s="63" t="e">
        <f t="shared" si="74"/>
        <v>#REF!</v>
      </c>
      <c r="L595" s="64" t="e">
        <f>#REF!</f>
        <v>#REF!</v>
      </c>
      <c r="M595" s="61" t="e">
        <f>IF(L595&lt;0,Pricing!E595*$N$5,0)</f>
        <v>#REF!</v>
      </c>
      <c r="N595" s="61" t="e">
        <f t="shared" si="75"/>
        <v>#REF!</v>
      </c>
      <c r="O595" s="60" t="e">
        <f>#REF!</f>
        <v>#REF!</v>
      </c>
      <c r="P595" s="61" t="e">
        <f>IF(O595&lt;0,Pricing!E595*$Q$5,0)</f>
        <v>#REF!</v>
      </c>
      <c r="Q595" s="61" t="e">
        <f t="shared" si="76"/>
        <v>#REF!</v>
      </c>
      <c r="R595" s="60" t="e">
        <f>#REF!</f>
        <v>#REF!</v>
      </c>
      <c r="S595" s="61" t="e">
        <f>IF(R595&lt;0,Pricing!E595*$T$5,0)</f>
        <v>#REF!</v>
      </c>
      <c r="T595" s="61" t="e">
        <f t="shared" si="77"/>
        <v>#REF!</v>
      </c>
    </row>
    <row r="596" spans="1:20" x14ac:dyDescent="0.25">
      <c r="A596" s="58">
        <f t="shared" si="78"/>
        <v>44555.541666665238</v>
      </c>
      <c r="B596" s="59">
        <f t="shared" si="79"/>
        <v>44555.583333331902</v>
      </c>
      <c r="C596" s="60" t="e">
        <f>#REF!</f>
        <v>#REF!</v>
      </c>
      <c r="D596" s="61" t="e">
        <f>IF(C596&gt;0,Pricing!E596*$E$5,0)</f>
        <v>#REF!</v>
      </c>
      <c r="E596" s="61" t="e">
        <f t="shared" si="72"/>
        <v>#REF!</v>
      </c>
      <c r="F596" s="60" t="e">
        <f>#REF!</f>
        <v>#REF!</v>
      </c>
      <c r="G596" s="61" t="e">
        <f>IF(F596&gt;0,Pricing!E596*$H$5,0)</f>
        <v>#REF!</v>
      </c>
      <c r="H596" s="61" t="e">
        <f t="shared" si="73"/>
        <v>#REF!</v>
      </c>
      <c r="I596" s="62" t="e">
        <f>#REF!</f>
        <v>#REF!</v>
      </c>
      <c r="J596" s="61" t="e">
        <f>IF(I596&gt;0,Pricing!E596*$K$5,0)</f>
        <v>#REF!</v>
      </c>
      <c r="K596" s="63" t="e">
        <f t="shared" si="74"/>
        <v>#REF!</v>
      </c>
      <c r="L596" s="64" t="e">
        <f>#REF!</f>
        <v>#REF!</v>
      </c>
      <c r="M596" s="61" t="e">
        <f>IF(L596&lt;0,Pricing!E596*$N$5,0)</f>
        <v>#REF!</v>
      </c>
      <c r="N596" s="61" t="e">
        <f t="shared" si="75"/>
        <v>#REF!</v>
      </c>
      <c r="O596" s="60" t="e">
        <f>#REF!</f>
        <v>#REF!</v>
      </c>
      <c r="P596" s="61" t="e">
        <f>IF(O596&lt;0,Pricing!E596*$Q$5,0)</f>
        <v>#REF!</v>
      </c>
      <c r="Q596" s="61" t="e">
        <f t="shared" si="76"/>
        <v>#REF!</v>
      </c>
      <c r="R596" s="60" t="e">
        <f>#REF!</f>
        <v>#REF!</v>
      </c>
      <c r="S596" s="61" t="e">
        <f>IF(R596&lt;0,Pricing!E596*$T$5,0)</f>
        <v>#REF!</v>
      </c>
      <c r="T596" s="61" t="e">
        <f t="shared" si="77"/>
        <v>#REF!</v>
      </c>
    </row>
    <row r="597" spans="1:20" x14ac:dyDescent="0.25">
      <c r="A597" s="58">
        <f t="shared" si="78"/>
        <v>44555.583333331902</v>
      </c>
      <c r="B597" s="59">
        <f t="shared" si="79"/>
        <v>44555.624999998567</v>
      </c>
      <c r="C597" s="60" t="e">
        <f>#REF!</f>
        <v>#REF!</v>
      </c>
      <c r="D597" s="61" t="e">
        <f>IF(C597&gt;0,Pricing!E597*$E$5,0)</f>
        <v>#REF!</v>
      </c>
      <c r="E597" s="61" t="e">
        <f t="shared" si="72"/>
        <v>#REF!</v>
      </c>
      <c r="F597" s="60" t="e">
        <f>#REF!</f>
        <v>#REF!</v>
      </c>
      <c r="G597" s="61" t="e">
        <f>IF(F597&gt;0,Pricing!E597*$H$5,0)</f>
        <v>#REF!</v>
      </c>
      <c r="H597" s="61" t="e">
        <f t="shared" si="73"/>
        <v>#REF!</v>
      </c>
      <c r="I597" s="62" t="e">
        <f>#REF!</f>
        <v>#REF!</v>
      </c>
      <c r="J597" s="61" t="e">
        <f>IF(I597&gt;0,Pricing!E597*$K$5,0)</f>
        <v>#REF!</v>
      </c>
      <c r="K597" s="63" t="e">
        <f t="shared" si="74"/>
        <v>#REF!</v>
      </c>
      <c r="L597" s="64" t="e">
        <f>#REF!</f>
        <v>#REF!</v>
      </c>
      <c r="M597" s="61" t="e">
        <f>IF(L597&lt;0,Pricing!E597*$N$5,0)</f>
        <v>#REF!</v>
      </c>
      <c r="N597" s="61" t="e">
        <f t="shared" si="75"/>
        <v>#REF!</v>
      </c>
      <c r="O597" s="60" t="e">
        <f>#REF!</f>
        <v>#REF!</v>
      </c>
      <c r="P597" s="61" t="e">
        <f>IF(O597&lt;0,Pricing!E597*$Q$5,0)</f>
        <v>#REF!</v>
      </c>
      <c r="Q597" s="61" t="e">
        <f t="shared" si="76"/>
        <v>#REF!</v>
      </c>
      <c r="R597" s="60" t="e">
        <f>#REF!</f>
        <v>#REF!</v>
      </c>
      <c r="S597" s="61" t="e">
        <f>IF(R597&lt;0,Pricing!E597*$T$5,0)</f>
        <v>#REF!</v>
      </c>
      <c r="T597" s="61" t="e">
        <f t="shared" si="77"/>
        <v>#REF!</v>
      </c>
    </row>
    <row r="598" spans="1:20" x14ac:dyDescent="0.25">
      <c r="A598" s="58">
        <f t="shared" si="78"/>
        <v>44555.624999998567</v>
      </c>
      <c r="B598" s="59">
        <f t="shared" si="79"/>
        <v>44555.666666665231</v>
      </c>
      <c r="C598" s="60" t="e">
        <f>#REF!</f>
        <v>#REF!</v>
      </c>
      <c r="D598" s="61" t="e">
        <f>IF(C598&gt;0,Pricing!E598*$E$5,0)</f>
        <v>#REF!</v>
      </c>
      <c r="E598" s="61" t="e">
        <f t="shared" si="72"/>
        <v>#REF!</v>
      </c>
      <c r="F598" s="60" t="e">
        <f>#REF!</f>
        <v>#REF!</v>
      </c>
      <c r="G598" s="61" t="e">
        <f>IF(F598&gt;0,Pricing!E598*$H$5,0)</f>
        <v>#REF!</v>
      </c>
      <c r="H598" s="61" t="e">
        <f t="shared" si="73"/>
        <v>#REF!</v>
      </c>
      <c r="I598" s="62" t="e">
        <f>#REF!</f>
        <v>#REF!</v>
      </c>
      <c r="J598" s="61" t="e">
        <f>IF(I598&gt;0,Pricing!E598*$K$5,0)</f>
        <v>#REF!</v>
      </c>
      <c r="K598" s="63" t="e">
        <f t="shared" si="74"/>
        <v>#REF!</v>
      </c>
      <c r="L598" s="64" t="e">
        <f>#REF!</f>
        <v>#REF!</v>
      </c>
      <c r="M598" s="61" t="e">
        <f>IF(L598&lt;0,Pricing!E598*$N$5,0)</f>
        <v>#REF!</v>
      </c>
      <c r="N598" s="61" t="e">
        <f t="shared" si="75"/>
        <v>#REF!</v>
      </c>
      <c r="O598" s="60" t="e">
        <f>#REF!</f>
        <v>#REF!</v>
      </c>
      <c r="P598" s="61" t="e">
        <f>IF(O598&lt;0,Pricing!E598*$Q$5,0)</f>
        <v>#REF!</v>
      </c>
      <c r="Q598" s="61" t="e">
        <f t="shared" si="76"/>
        <v>#REF!</v>
      </c>
      <c r="R598" s="60" t="e">
        <f>#REF!</f>
        <v>#REF!</v>
      </c>
      <c r="S598" s="61" t="e">
        <f>IF(R598&lt;0,Pricing!E598*$T$5,0)</f>
        <v>#REF!</v>
      </c>
      <c r="T598" s="61" t="e">
        <f t="shared" si="77"/>
        <v>#REF!</v>
      </c>
    </row>
    <row r="599" spans="1:20" x14ac:dyDescent="0.25">
      <c r="A599" s="58">
        <f t="shared" si="78"/>
        <v>44555.666666665231</v>
      </c>
      <c r="B599" s="59">
        <f t="shared" si="79"/>
        <v>44555.708333331895</v>
      </c>
      <c r="C599" s="60" t="e">
        <f>#REF!</f>
        <v>#REF!</v>
      </c>
      <c r="D599" s="61" t="e">
        <f>IF(C599&gt;0,Pricing!E599*$E$5,0)</f>
        <v>#REF!</v>
      </c>
      <c r="E599" s="61" t="e">
        <f t="shared" si="72"/>
        <v>#REF!</v>
      </c>
      <c r="F599" s="60" t="e">
        <f>#REF!</f>
        <v>#REF!</v>
      </c>
      <c r="G599" s="61" t="e">
        <f>IF(F599&gt;0,Pricing!E599*$H$5,0)</f>
        <v>#REF!</v>
      </c>
      <c r="H599" s="61" t="e">
        <f t="shared" si="73"/>
        <v>#REF!</v>
      </c>
      <c r="I599" s="62" t="e">
        <f>#REF!</f>
        <v>#REF!</v>
      </c>
      <c r="J599" s="61" t="e">
        <f>IF(I599&gt;0,Pricing!E599*$K$5,0)</f>
        <v>#REF!</v>
      </c>
      <c r="K599" s="63" t="e">
        <f t="shared" si="74"/>
        <v>#REF!</v>
      </c>
      <c r="L599" s="64" t="e">
        <f>#REF!</f>
        <v>#REF!</v>
      </c>
      <c r="M599" s="61" t="e">
        <f>IF(L599&lt;0,Pricing!E599*$N$5,0)</f>
        <v>#REF!</v>
      </c>
      <c r="N599" s="61" t="e">
        <f t="shared" si="75"/>
        <v>#REF!</v>
      </c>
      <c r="O599" s="60" t="e">
        <f>#REF!</f>
        <v>#REF!</v>
      </c>
      <c r="P599" s="61" t="e">
        <f>IF(O599&lt;0,Pricing!E599*$Q$5,0)</f>
        <v>#REF!</v>
      </c>
      <c r="Q599" s="61" t="e">
        <f t="shared" si="76"/>
        <v>#REF!</v>
      </c>
      <c r="R599" s="60" t="e">
        <f>#REF!</f>
        <v>#REF!</v>
      </c>
      <c r="S599" s="61" t="e">
        <f>IF(R599&lt;0,Pricing!E599*$T$5,0)</f>
        <v>#REF!</v>
      </c>
      <c r="T599" s="61" t="e">
        <f t="shared" si="77"/>
        <v>#REF!</v>
      </c>
    </row>
    <row r="600" spans="1:20" x14ac:dyDescent="0.25">
      <c r="A600" s="58">
        <f t="shared" si="78"/>
        <v>44555.708333331895</v>
      </c>
      <c r="B600" s="59">
        <f t="shared" si="79"/>
        <v>44555.749999998559</v>
      </c>
      <c r="C600" s="60" t="e">
        <f>#REF!</f>
        <v>#REF!</v>
      </c>
      <c r="D600" s="61" t="e">
        <f>IF(C600&gt;0,Pricing!E600*$E$5,0)</f>
        <v>#REF!</v>
      </c>
      <c r="E600" s="61" t="e">
        <f t="shared" si="72"/>
        <v>#REF!</v>
      </c>
      <c r="F600" s="60" t="e">
        <f>#REF!</f>
        <v>#REF!</v>
      </c>
      <c r="G600" s="61" t="e">
        <f>IF(F600&gt;0,Pricing!E600*$H$5,0)</f>
        <v>#REF!</v>
      </c>
      <c r="H600" s="61" t="e">
        <f t="shared" si="73"/>
        <v>#REF!</v>
      </c>
      <c r="I600" s="62" t="e">
        <f>#REF!</f>
        <v>#REF!</v>
      </c>
      <c r="J600" s="61" t="e">
        <f>IF(I600&gt;0,Pricing!E600*$K$5,0)</f>
        <v>#REF!</v>
      </c>
      <c r="K600" s="63" t="e">
        <f t="shared" si="74"/>
        <v>#REF!</v>
      </c>
      <c r="L600" s="64" t="e">
        <f>#REF!</f>
        <v>#REF!</v>
      </c>
      <c r="M600" s="61" t="e">
        <f>IF(L600&lt;0,Pricing!E600*$N$5,0)</f>
        <v>#REF!</v>
      </c>
      <c r="N600" s="61" t="e">
        <f t="shared" si="75"/>
        <v>#REF!</v>
      </c>
      <c r="O600" s="60" t="e">
        <f>#REF!</f>
        <v>#REF!</v>
      </c>
      <c r="P600" s="61" t="e">
        <f>IF(O600&lt;0,Pricing!E600*$Q$5,0)</f>
        <v>#REF!</v>
      </c>
      <c r="Q600" s="61" t="e">
        <f t="shared" si="76"/>
        <v>#REF!</v>
      </c>
      <c r="R600" s="60" t="e">
        <f>#REF!</f>
        <v>#REF!</v>
      </c>
      <c r="S600" s="61" t="e">
        <f>IF(R600&lt;0,Pricing!E600*$T$5,0)</f>
        <v>#REF!</v>
      </c>
      <c r="T600" s="61" t="e">
        <f t="shared" si="77"/>
        <v>#REF!</v>
      </c>
    </row>
    <row r="601" spans="1:20" x14ac:dyDescent="0.25">
      <c r="A601" s="58">
        <f t="shared" si="78"/>
        <v>44555.749999998559</v>
      </c>
      <c r="B601" s="59">
        <f t="shared" si="79"/>
        <v>44555.791666665224</v>
      </c>
      <c r="C601" s="60" t="e">
        <f>#REF!</f>
        <v>#REF!</v>
      </c>
      <c r="D601" s="61" t="e">
        <f>IF(C601&gt;0,Pricing!E601*$E$5,0)</f>
        <v>#REF!</v>
      </c>
      <c r="E601" s="61" t="e">
        <f t="shared" si="72"/>
        <v>#REF!</v>
      </c>
      <c r="F601" s="60" t="e">
        <f>#REF!</f>
        <v>#REF!</v>
      </c>
      <c r="G601" s="61" t="e">
        <f>IF(F601&gt;0,Pricing!E601*$H$5,0)</f>
        <v>#REF!</v>
      </c>
      <c r="H601" s="61" t="e">
        <f t="shared" si="73"/>
        <v>#REF!</v>
      </c>
      <c r="I601" s="62" t="e">
        <f>#REF!</f>
        <v>#REF!</v>
      </c>
      <c r="J601" s="61" t="e">
        <f>IF(I601&gt;0,Pricing!E601*$K$5,0)</f>
        <v>#REF!</v>
      </c>
      <c r="K601" s="63" t="e">
        <f t="shared" si="74"/>
        <v>#REF!</v>
      </c>
      <c r="L601" s="64" t="e">
        <f>#REF!</f>
        <v>#REF!</v>
      </c>
      <c r="M601" s="61" t="e">
        <f>IF(L601&lt;0,Pricing!E601*$N$5,0)</f>
        <v>#REF!</v>
      </c>
      <c r="N601" s="61" t="e">
        <f t="shared" si="75"/>
        <v>#REF!</v>
      </c>
      <c r="O601" s="60" t="e">
        <f>#REF!</f>
        <v>#REF!</v>
      </c>
      <c r="P601" s="61" t="e">
        <f>IF(O601&lt;0,Pricing!E601*$Q$5,0)</f>
        <v>#REF!</v>
      </c>
      <c r="Q601" s="61" t="e">
        <f t="shared" si="76"/>
        <v>#REF!</v>
      </c>
      <c r="R601" s="60" t="e">
        <f>#REF!</f>
        <v>#REF!</v>
      </c>
      <c r="S601" s="61" t="e">
        <f>IF(R601&lt;0,Pricing!E601*$T$5,0)</f>
        <v>#REF!</v>
      </c>
      <c r="T601" s="61" t="e">
        <f t="shared" si="77"/>
        <v>#REF!</v>
      </c>
    </row>
    <row r="602" spans="1:20" x14ac:dyDescent="0.25">
      <c r="A602" s="58">
        <f t="shared" si="78"/>
        <v>44555.791666665224</v>
      </c>
      <c r="B602" s="59">
        <f t="shared" si="79"/>
        <v>44555.833333331888</v>
      </c>
      <c r="C602" s="60" t="e">
        <f>#REF!</f>
        <v>#REF!</v>
      </c>
      <c r="D602" s="61" t="e">
        <f>IF(C602&gt;0,Pricing!E602*$E$5,0)</f>
        <v>#REF!</v>
      </c>
      <c r="E602" s="61" t="e">
        <f t="shared" si="72"/>
        <v>#REF!</v>
      </c>
      <c r="F602" s="60" t="e">
        <f>#REF!</f>
        <v>#REF!</v>
      </c>
      <c r="G602" s="61" t="e">
        <f>IF(F602&gt;0,Pricing!E602*$H$5,0)</f>
        <v>#REF!</v>
      </c>
      <c r="H602" s="61" t="e">
        <f t="shared" si="73"/>
        <v>#REF!</v>
      </c>
      <c r="I602" s="62" t="e">
        <f>#REF!</f>
        <v>#REF!</v>
      </c>
      <c r="J602" s="61" t="e">
        <f>IF(I602&gt;0,Pricing!E602*$K$5,0)</f>
        <v>#REF!</v>
      </c>
      <c r="K602" s="63" t="e">
        <f t="shared" si="74"/>
        <v>#REF!</v>
      </c>
      <c r="L602" s="64" t="e">
        <f>#REF!</f>
        <v>#REF!</v>
      </c>
      <c r="M602" s="61" t="e">
        <f>IF(L602&lt;0,Pricing!E602*$N$5,0)</f>
        <v>#REF!</v>
      </c>
      <c r="N602" s="61" t="e">
        <f t="shared" si="75"/>
        <v>#REF!</v>
      </c>
      <c r="O602" s="60" t="e">
        <f>#REF!</f>
        <v>#REF!</v>
      </c>
      <c r="P602" s="61" t="e">
        <f>IF(O602&lt;0,Pricing!E602*$Q$5,0)</f>
        <v>#REF!</v>
      </c>
      <c r="Q602" s="61" t="e">
        <f t="shared" si="76"/>
        <v>#REF!</v>
      </c>
      <c r="R602" s="60" t="e">
        <f>#REF!</f>
        <v>#REF!</v>
      </c>
      <c r="S602" s="61" t="e">
        <f>IF(R602&lt;0,Pricing!E602*$T$5,0)</f>
        <v>#REF!</v>
      </c>
      <c r="T602" s="61" t="e">
        <f t="shared" si="77"/>
        <v>#REF!</v>
      </c>
    </row>
    <row r="603" spans="1:20" x14ac:dyDescent="0.25">
      <c r="A603" s="58">
        <f t="shared" si="78"/>
        <v>44555.833333331888</v>
      </c>
      <c r="B603" s="59">
        <f t="shared" si="79"/>
        <v>44555.874999998552</v>
      </c>
      <c r="C603" s="60" t="e">
        <f>#REF!</f>
        <v>#REF!</v>
      </c>
      <c r="D603" s="61" t="e">
        <f>IF(C603&gt;0,Pricing!E603*$E$5,0)</f>
        <v>#REF!</v>
      </c>
      <c r="E603" s="61" t="e">
        <f t="shared" si="72"/>
        <v>#REF!</v>
      </c>
      <c r="F603" s="60" t="e">
        <f>#REF!</f>
        <v>#REF!</v>
      </c>
      <c r="G603" s="61" t="e">
        <f>IF(F603&gt;0,Pricing!E603*$H$5,0)</f>
        <v>#REF!</v>
      </c>
      <c r="H603" s="61" t="e">
        <f t="shared" si="73"/>
        <v>#REF!</v>
      </c>
      <c r="I603" s="62" t="e">
        <f>#REF!</f>
        <v>#REF!</v>
      </c>
      <c r="J603" s="61" t="e">
        <f>IF(I603&gt;0,Pricing!E603*$K$5,0)</f>
        <v>#REF!</v>
      </c>
      <c r="K603" s="63" t="e">
        <f t="shared" si="74"/>
        <v>#REF!</v>
      </c>
      <c r="L603" s="64" t="e">
        <f>#REF!</f>
        <v>#REF!</v>
      </c>
      <c r="M603" s="61" t="e">
        <f>IF(L603&lt;0,Pricing!E603*$N$5,0)</f>
        <v>#REF!</v>
      </c>
      <c r="N603" s="61" t="e">
        <f t="shared" si="75"/>
        <v>#REF!</v>
      </c>
      <c r="O603" s="60" t="e">
        <f>#REF!</f>
        <v>#REF!</v>
      </c>
      <c r="P603" s="61" t="e">
        <f>IF(O603&lt;0,Pricing!E603*$Q$5,0)</f>
        <v>#REF!</v>
      </c>
      <c r="Q603" s="61" t="e">
        <f t="shared" si="76"/>
        <v>#REF!</v>
      </c>
      <c r="R603" s="60" t="e">
        <f>#REF!</f>
        <v>#REF!</v>
      </c>
      <c r="S603" s="61" t="e">
        <f>IF(R603&lt;0,Pricing!E603*$T$5,0)</f>
        <v>#REF!</v>
      </c>
      <c r="T603" s="61" t="e">
        <f t="shared" si="77"/>
        <v>#REF!</v>
      </c>
    </row>
    <row r="604" spans="1:20" x14ac:dyDescent="0.25">
      <c r="A604" s="58">
        <f t="shared" si="78"/>
        <v>44555.874999998552</v>
      </c>
      <c r="B604" s="59">
        <f t="shared" si="79"/>
        <v>44555.916666665216</v>
      </c>
      <c r="C604" s="60" t="e">
        <f>#REF!</f>
        <v>#REF!</v>
      </c>
      <c r="D604" s="61" t="e">
        <f>IF(C604&gt;0,Pricing!E604*$E$5,0)</f>
        <v>#REF!</v>
      </c>
      <c r="E604" s="61" t="e">
        <f t="shared" si="72"/>
        <v>#REF!</v>
      </c>
      <c r="F604" s="60" t="e">
        <f>#REF!</f>
        <v>#REF!</v>
      </c>
      <c r="G604" s="61" t="e">
        <f>IF(F604&gt;0,Pricing!E604*$H$5,0)</f>
        <v>#REF!</v>
      </c>
      <c r="H604" s="61" t="e">
        <f t="shared" si="73"/>
        <v>#REF!</v>
      </c>
      <c r="I604" s="62" t="e">
        <f>#REF!</f>
        <v>#REF!</v>
      </c>
      <c r="J604" s="61" t="e">
        <f>IF(I604&gt;0,Pricing!E604*$K$5,0)</f>
        <v>#REF!</v>
      </c>
      <c r="K604" s="63" t="e">
        <f t="shared" si="74"/>
        <v>#REF!</v>
      </c>
      <c r="L604" s="64" t="e">
        <f>#REF!</f>
        <v>#REF!</v>
      </c>
      <c r="M604" s="61" t="e">
        <f>IF(L604&lt;0,Pricing!E604*$N$5,0)</f>
        <v>#REF!</v>
      </c>
      <c r="N604" s="61" t="e">
        <f t="shared" si="75"/>
        <v>#REF!</v>
      </c>
      <c r="O604" s="60" t="e">
        <f>#REF!</f>
        <v>#REF!</v>
      </c>
      <c r="P604" s="61" t="e">
        <f>IF(O604&lt;0,Pricing!E604*$Q$5,0)</f>
        <v>#REF!</v>
      </c>
      <c r="Q604" s="61" t="e">
        <f t="shared" si="76"/>
        <v>#REF!</v>
      </c>
      <c r="R604" s="60" t="e">
        <f>#REF!</f>
        <v>#REF!</v>
      </c>
      <c r="S604" s="61" t="e">
        <f>IF(R604&lt;0,Pricing!E604*$T$5,0)</f>
        <v>#REF!</v>
      </c>
      <c r="T604" s="61" t="e">
        <f t="shared" si="77"/>
        <v>#REF!</v>
      </c>
    </row>
    <row r="605" spans="1:20" x14ac:dyDescent="0.25">
      <c r="A605" s="58">
        <f t="shared" si="78"/>
        <v>44555.916666665216</v>
      </c>
      <c r="B605" s="59">
        <f t="shared" si="79"/>
        <v>44555.958333331881</v>
      </c>
      <c r="C605" s="60" t="e">
        <f>#REF!</f>
        <v>#REF!</v>
      </c>
      <c r="D605" s="61" t="e">
        <f>IF(C605&gt;0,Pricing!E605*$E$5,0)</f>
        <v>#REF!</v>
      </c>
      <c r="E605" s="61" t="e">
        <f t="shared" si="72"/>
        <v>#REF!</v>
      </c>
      <c r="F605" s="60" t="e">
        <f>#REF!</f>
        <v>#REF!</v>
      </c>
      <c r="G605" s="61" t="e">
        <f>IF(F605&gt;0,Pricing!E605*$H$5,0)</f>
        <v>#REF!</v>
      </c>
      <c r="H605" s="61" t="e">
        <f t="shared" si="73"/>
        <v>#REF!</v>
      </c>
      <c r="I605" s="62" t="e">
        <f>#REF!</f>
        <v>#REF!</v>
      </c>
      <c r="J605" s="61" t="e">
        <f>IF(I605&gt;0,Pricing!E605*$K$5,0)</f>
        <v>#REF!</v>
      </c>
      <c r="K605" s="63" t="e">
        <f t="shared" si="74"/>
        <v>#REF!</v>
      </c>
      <c r="L605" s="64" t="e">
        <f>#REF!</f>
        <v>#REF!</v>
      </c>
      <c r="M605" s="61" t="e">
        <f>IF(L605&lt;0,Pricing!E605*$N$5,0)</f>
        <v>#REF!</v>
      </c>
      <c r="N605" s="61" t="e">
        <f t="shared" si="75"/>
        <v>#REF!</v>
      </c>
      <c r="O605" s="60" t="e">
        <f>#REF!</f>
        <v>#REF!</v>
      </c>
      <c r="P605" s="61" t="e">
        <f>IF(O605&lt;0,Pricing!E605*$Q$5,0)</f>
        <v>#REF!</v>
      </c>
      <c r="Q605" s="61" t="e">
        <f t="shared" si="76"/>
        <v>#REF!</v>
      </c>
      <c r="R605" s="60" t="e">
        <f>#REF!</f>
        <v>#REF!</v>
      </c>
      <c r="S605" s="61" t="e">
        <f>IF(R605&lt;0,Pricing!E605*$T$5,0)</f>
        <v>#REF!</v>
      </c>
      <c r="T605" s="61" t="e">
        <f t="shared" si="77"/>
        <v>#REF!</v>
      </c>
    </row>
    <row r="606" spans="1:20" x14ac:dyDescent="0.25">
      <c r="A606" s="58">
        <f t="shared" si="78"/>
        <v>44555.958333331881</v>
      </c>
      <c r="B606" s="59">
        <f t="shared" si="79"/>
        <v>44555.999999998545</v>
      </c>
      <c r="C606" s="60" t="e">
        <f>#REF!</f>
        <v>#REF!</v>
      </c>
      <c r="D606" s="61" t="e">
        <f>IF(C606&gt;0,Pricing!E606*$E$5,0)</f>
        <v>#REF!</v>
      </c>
      <c r="E606" s="61" t="e">
        <f t="shared" si="72"/>
        <v>#REF!</v>
      </c>
      <c r="F606" s="60" t="e">
        <f>#REF!</f>
        <v>#REF!</v>
      </c>
      <c r="G606" s="61" t="e">
        <f>IF(F606&gt;0,Pricing!E606*$H$5,0)</f>
        <v>#REF!</v>
      </c>
      <c r="H606" s="61" t="e">
        <f t="shared" si="73"/>
        <v>#REF!</v>
      </c>
      <c r="I606" s="62" t="e">
        <f>#REF!</f>
        <v>#REF!</v>
      </c>
      <c r="J606" s="61" t="e">
        <f>IF(I606&gt;0,Pricing!E606*$K$5,0)</f>
        <v>#REF!</v>
      </c>
      <c r="K606" s="63" t="e">
        <f t="shared" si="74"/>
        <v>#REF!</v>
      </c>
      <c r="L606" s="64" t="e">
        <f>#REF!</f>
        <v>#REF!</v>
      </c>
      <c r="M606" s="61" t="e">
        <f>IF(L606&lt;0,Pricing!E606*$N$5,0)</f>
        <v>#REF!</v>
      </c>
      <c r="N606" s="61" t="e">
        <f t="shared" si="75"/>
        <v>#REF!</v>
      </c>
      <c r="O606" s="60" t="e">
        <f>#REF!</f>
        <v>#REF!</v>
      </c>
      <c r="P606" s="61" t="e">
        <f>IF(O606&lt;0,Pricing!E606*$Q$5,0)</f>
        <v>#REF!</v>
      </c>
      <c r="Q606" s="61" t="e">
        <f t="shared" si="76"/>
        <v>#REF!</v>
      </c>
      <c r="R606" s="60" t="e">
        <f>#REF!</f>
        <v>#REF!</v>
      </c>
      <c r="S606" s="61" t="e">
        <f>IF(R606&lt;0,Pricing!E606*$T$5,0)</f>
        <v>#REF!</v>
      </c>
      <c r="T606" s="61" t="e">
        <f t="shared" si="77"/>
        <v>#REF!</v>
      </c>
    </row>
    <row r="607" spans="1:20" x14ac:dyDescent="0.25">
      <c r="A607" s="58">
        <f t="shared" si="78"/>
        <v>44555.999999998545</v>
      </c>
      <c r="B607" s="59">
        <f t="shared" si="79"/>
        <v>44556.041666665209</v>
      </c>
      <c r="C607" s="60" t="e">
        <f>#REF!</f>
        <v>#REF!</v>
      </c>
      <c r="D607" s="61" t="e">
        <f>IF(C607&gt;0,Pricing!E607*$E$5,0)</f>
        <v>#REF!</v>
      </c>
      <c r="E607" s="61" t="e">
        <f t="shared" si="72"/>
        <v>#REF!</v>
      </c>
      <c r="F607" s="60" t="e">
        <f>#REF!</f>
        <v>#REF!</v>
      </c>
      <c r="G607" s="61" t="e">
        <f>IF(F607&gt;0,Pricing!E607*$H$5,0)</f>
        <v>#REF!</v>
      </c>
      <c r="H607" s="61" t="e">
        <f t="shared" si="73"/>
        <v>#REF!</v>
      </c>
      <c r="I607" s="62" t="e">
        <f>#REF!</f>
        <v>#REF!</v>
      </c>
      <c r="J607" s="61" t="e">
        <f>IF(I607&gt;0,Pricing!E607*$K$5,0)</f>
        <v>#REF!</v>
      </c>
      <c r="K607" s="63" t="e">
        <f t="shared" si="74"/>
        <v>#REF!</v>
      </c>
      <c r="L607" s="64" t="e">
        <f>#REF!</f>
        <v>#REF!</v>
      </c>
      <c r="M607" s="61" t="e">
        <f>IF(L607&lt;0,Pricing!E607*$N$5,0)</f>
        <v>#REF!</v>
      </c>
      <c r="N607" s="61" t="e">
        <f t="shared" si="75"/>
        <v>#REF!</v>
      </c>
      <c r="O607" s="60" t="e">
        <f>#REF!</f>
        <v>#REF!</v>
      </c>
      <c r="P607" s="61" t="e">
        <f>IF(O607&lt;0,Pricing!E607*$Q$5,0)</f>
        <v>#REF!</v>
      </c>
      <c r="Q607" s="61" t="e">
        <f t="shared" si="76"/>
        <v>#REF!</v>
      </c>
      <c r="R607" s="60" t="e">
        <f>#REF!</f>
        <v>#REF!</v>
      </c>
      <c r="S607" s="61" t="e">
        <f>IF(R607&lt;0,Pricing!E607*$T$5,0)</f>
        <v>#REF!</v>
      </c>
      <c r="T607" s="61" t="e">
        <f t="shared" si="77"/>
        <v>#REF!</v>
      </c>
    </row>
    <row r="608" spans="1:20" x14ac:dyDescent="0.25">
      <c r="A608" s="58">
        <f t="shared" si="78"/>
        <v>44556.041666665209</v>
      </c>
      <c r="B608" s="59">
        <f t="shared" si="79"/>
        <v>44556.083333331873</v>
      </c>
      <c r="C608" s="60" t="e">
        <f>#REF!</f>
        <v>#REF!</v>
      </c>
      <c r="D608" s="61" t="e">
        <f>IF(C608&gt;0,Pricing!E608*$E$5,0)</f>
        <v>#REF!</v>
      </c>
      <c r="E608" s="61" t="e">
        <f t="shared" si="72"/>
        <v>#REF!</v>
      </c>
      <c r="F608" s="60" t="e">
        <f>#REF!</f>
        <v>#REF!</v>
      </c>
      <c r="G608" s="61" t="e">
        <f>IF(F608&gt;0,Pricing!E608*$H$5,0)</f>
        <v>#REF!</v>
      </c>
      <c r="H608" s="61" t="e">
        <f t="shared" si="73"/>
        <v>#REF!</v>
      </c>
      <c r="I608" s="62" t="e">
        <f>#REF!</f>
        <v>#REF!</v>
      </c>
      <c r="J608" s="61" t="e">
        <f>IF(I608&gt;0,Pricing!E608*$K$5,0)</f>
        <v>#REF!</v>
      </c>
      <c r="K608" s="63" t="e">
        <f t="shared" si="74"/>
        <v>#REF!</v>
      </c>
      <c r="L608" s="64" t="e">
        <f>#REF!</f>
        <v>#REF!</v>
      </c>
      <c r="M608" s="61" t="e">
        <f>IF(L608&lt;0,Pricing!E608*$N$5,0)</f>
        <v>#REF!</v>
      </c>
      <c r="N608" s="61" t="e">
        <f t="shared" si="75"/>
        <v>#REF!</v>
      </c>
      <c r="O608" s="60" t="e">
        <f>#REF!</f>
        <v>#REF!</v>
      </c>
      <c r="P608" s="61" t="e">
        <f>IF(O608&lt;0,Pricing!E608*$Q$5,0)</f>
        <v>#REF!</v>
      </c>
      <c r="Q608" s="61" t="e">
        <f t="shared" si="76"/>
        <v>#REF!</v>
      </c>
      <c r="R608" s="60" t="e">
        <f>#REF!</f>
        <v>#REF!</v>
      </c>
      <c r="S608" s="61" t="e">
        <f>IF(R608&lt;0,Pricing!E608*$T$5,0)</f>
        <v>#REF!</v>
      </c>
      <c r="T608" s="61" t="e">
        <f t="shared" si="77"/>
        <v>#REF!</v>
      </c>
    </row>
    <row r="609" spans="1:20" x14ac:dyDescent="0.25">
      <c r="A609" s="58">
        <f t="shared" si="78"/>
        <v>44556.083333331873</v>
      </c>
      <c r="B609" s="59">
        <f t="shared" si="79"/>
        <v>44556.124999998538</v>
      </c>
      <c r="C609" s="60" t="e">
        <f>#REF!</f>
        <v>#REF!</v>
      </c>
      <c r="D609" s="61" t="e">
        <f>IF(C609&gt;0,Pricing!E609*$E$5,0)</f>
        <v>#REF!</v>
      </c>
      <c r="E609" s="61" t="e">
        <f t="shared" si="72"/>
        <v>#REF!</v>
      </c>
      <c r="F609" s="60" t="e">
        <f>#REF!</f>
        <v>#REF!</v>
      </c>
      <c r="G609" s="61" t="e">
        <f>IF(F609&gt;0,Pricing!E609*$H$5,0)</f>
        <v>#REF!</v>
      </c>
      <c r="H609" s="61" t="e">
        <f t="shared" si="73"/>
        <v>#REF!</v>
      </c>
      <c r="I609" s="62" t="e">
        <f>#REF!</f>
        <v>#REF!</v>
      </c>
      <c r="J609" s="61" t="e">
        <f>IF(I609&gt;0,Pricing!E609*$K$5,0)</f>
        <v>#REF!</v>
      </c>
      <c r="K609" s="63" t="e">
        <f t="shared" si="74"/>
        <v>#REF!</v>
      </c>
      <c r="L609" s="64" t="e">
        <f>#REF!</f>
        <v>#REF!</v>
      </c>
      <c r="M609" s="61" t="e">
        <f>IF(L609&lt;0,Pricing!E609*$N$5,0)</f>
        <v>#REF!</v>
      </c>
      <c r="N609" s="61" t="e">
        <f t="shared" si="75"/>
        <v>#REF!</v>
      </c>
      <c r="O609" s="60" t="e">
        <f>#REF!</f>
        <v>#REF!</v>
      </c>
      <c r="P609" s="61" t="e">
        <f>IF(O609&lt;0,Pricing!E609*$Q$5,0)</f>
        <v>#REF!</v>
      </c>
      <c r="Q609" s="61" t="e">
        <f t="shared" si="76"/>
        <v>#REF!</v>
      </c>
      <c r="R609" s="60" t="e">
        <f>#REF!</f>
        <v>#REF!</v>
      </c>
      <c r="S609" s="61" t="e">
        <f>IF(R609&lt;0,Pricing!E609*$T$5,0)</f>
        <v>#REF!</v>
      </c>
      <c r="T609" s="61" t="e">
        <f t="shared" si="77"/>
        <v>#REF!</v>
      </c>
    </row>
    <row r="610" spans="1:20" x14ac:dyDescent="0.25">
      <c r="A610" s="58">
        <f t="shared" si="78"/>
        <v>44556.124999998538</v>
      </c>
      <c r="B610" s="59">
        <f t="shared" si="79"/>
        <v>44556.166666665202</v>
      </c>
      <c r="C610" s="60" t="e">
        <f>#REF!</f>
        <v>#REF!</v>
      </c>
      <c r="D610" s="61" t="e">
        <f>IF(C610&gt;0,Pricing!E610*$E$5,0)</f>
        <v>#REF!</v>
      </c>
      <c r="E610" s="61" t="e">
        <f t="shared" si="72"/>
        <v>#REF!</v>
      </c>
      <c r="F610" s="60" t="e">
        <f>#REF!</f>
        <v>#REF!</v>
      </c>
      <c r="G610" s="61" t="e">
        <f>IF(F610&gt;0,Pricing!E610*$H$5,0)</f>
        <v>#REF!</v>
      </c>
      <c r="H610" s="61" t="e">
        <f t="shared" si="73"/>
        <v>#REF!</v>
      </c>
      <c r="I610" s="62" t="e">
        <f>#REF!</f>
        <v>#REF!</v>
      </c>
      <c r="J610" s="61" t="e">
        <f>IF(I610&gt;0,Pricing!E610*$K$5,0)</f>
        <v>#REF!</v>
      </c>
      <c r="K610" s="63" t="e">
        <f t="shared" si="74"/>
        <v>#REF!</v>
      </c>
      <c r="L610" s="64" t="e">
        <f>#REF!</f>
        <v>#REF!</v>
      </c>
      <c r="M610" s="61" t="e">
        <f>IF(L610&lt;0,Pricing!E610*$N$5,0)</f>
        <v>#REF!</v>
      </c>
      <c r="N610" s="61" t="e">
        <f t="shared" si="75"/>
        <v>#REF!</v>
      </c>
      <c r="O610" s="60" t="e">
        <f>#REF!</f>
        <v>#REF!</v>
      </c>
      <c r="P610" s="61" t="e">
        <f>IF(O610&lt;0,Pricing!E610*$Q$5,0)</f>
        <v>#REF!</v>
      </c>
      <c r="Q610" s="61" t="e">
        <f t="shared" si="76"/>
        <v>#REF!</v>
      </c>
      <c r="R610" s="60" t="e">
        <f>#REF!</f>
        <v>#REF!</v>
      </c>
      <c r="S610" s="61" t="e">
        <f>IF(R610&lt;0,Pricing!E610*$T$5,0)</f>
        <v>#REF!</v>
      </c>
      <c r="T610" s="61" t="e">
        <f t="shared" si="77"/>
        <v>#REF!</v>
      </c>
    </row>
    <row r="611" spans="1:20" x14ac:dyDescent="0.25">
      <c r="A611" s="58">
        <f t="shared" si="78"/>
        <v>44556.166666665202</v>
      </c>
      <c r="B611" s="59">
        <f t="shared" si="79"/>
        <v>44556.208333331866</v>
      </c>
      <c r="C611" s="60" t="e">
        <f>#REF!</f>
        <v>#REF!</v>
      </c>
      <c r="D611" s="61" t="e">
        <f>IF(C611&gt;0,Pricing!E611*$E$5,0)</f>
        <v>#REF!</v>
      </c>
      <c r="E611" s="61" t="e">
        <f t="shared" si="72"/>
        <v>#REF!</v>
      </c>
      <c r="F611" s="60" t="e">
        <f>#REF!</f>
        <v>#REF!</v>
      </c>
      <c r="G611" s="61" t="e">
        <f>IF(F611&gt;0,Pricing!E611*$H$5,0)</f>
        <v>#REF!</v>
      </c>
      <c r="H611" s="61" t="e">
        <f t="shared" si="73"/>
        <v>#REF!</v>
      </c>
      <c r="I611" s="62" t="e">
        <f>#REF!</f>
        <v>#REF!</v>
      </c>
      <c r="J611" s="61" t="e">
        <f>IF(I611&gt;0,Pricing!E611*$K$5,0)</f>
        <v>#REF!</v>
      </c>
      <c r="K611" s="63" t="e">
        <f t="shared" si="74"/>
        <v>#REF!</v>
      </c>
      <c r="L611" s="64" t="e">
        <f>#REF!</f>
        <v>#REF!</v>
      </c>
      <c r="M611" s="61" t="e">
        <f>IF(L611&lt;0,Pricing!E611*$N$5,0)</f>
        <v>#REF!</v>
      </c>
      <c r="N611" s="61" t="e">
        <f t="shared" si="75"/>
        <v>#REF!</v>
      </c>
      <c r="O611" s="60" t="e">
        <f>#REF!</f>
        <v>#REF!</v>
      </c>
      <c r="P611" s="61" t="e">
        <f>IF(O611&lt;0,Pricing!E611*$Q$5,0)</f>
        <v>#REF!</v>
      </c>
      <c r="Q611" s="61" t="e">
        <f t="shared" si="76"/>
        <v>#REF!</v>
      </c>
      <c r="R611" s="60" t="e">
        <f>#REF!</f>
        <v>#REF!</v>
      </c>
      <c r="S611" s="61" t="e">
        <f>IF(R611&lt;0,Pricing!E611*$T$5,0)</f>
        <v>#REF!</v>
      </c>
      <c r="T611" s="61" t="e">
        <f t="shared" si="77"/>
        <v>#REF!</v>
      </c>
    </row>
    <row r="612" spans="1:20" x14ac:dyDescent="0.25">
      <c r="A612" s="58">
        <f t="shared" si="78"/>
        <v>44556.208333331866</v>
      </c>
      <c r="B612" s="59">
        <f t="shared" si="79"/>
        <v>44556.24999999853</v>
      </c>
      <c r="C612" s="60" t="e">
        <f>#REF!</f>
        <v>#REF!</v>
      </c>
      <c r="D612" s="61" t="e">
        <f>IF(C612&gt;0,Pricing!E612*$E$5,0)</f>
        <v>#REF!</v>
      </c>
      <c r="E612" s="61" t="e">
        <f t="shared" si="72"/>
        <v>#REF!</v>
      </c>
      <c r="F612" s="60" t="e">
        <f>#REF!</f>
        <v>#REF!</v>
      </c>
      <c r="G612" s="61" t="e">
        <f>IF(F612&gt;0,Pricing!E612*$H$5,0)</f>
        <v>#REF!</v>
      </c>
      <c r="H612" s="61" t="e">
        <f t="shared" si="73"/>
        <v>#REF!</v>
      </c>
      <c r="I612" s="62" t="e">
        <f>#REF!</f>
        <v>#REF!</v>
      </c>
      <c r="J612" s="61" t="e">
        <f>IF(I612&gt;0,Pricing!E612*$K$5,0)</f>
        <v>#REF!</v>
      </c>
      <c r="K612" s="63" t="e">
        <f t="shared" si="74"/>
        <v>#REF!</v>
      </c>
      <c r="L612" s="64" t="e">
        <f>#REF!</f>
        <v>#REF!</v>
      </c>
      <c r="M612" s="61" t="e">
        <f>IF(L612&lt;0,Pricing!E612*$N$5,0)</f>
        <v>#REF!</v>
      </c>
      <c r="N612" s="61" t="e">
        <f t="shared" si="75"/>
        <v>#REF!</v>
      </c>
      <c r="O612" s="60" t="e">
        <f>#REF!</f>
        <v>#REF!</v>
      </c>
      <c r="P612" s="61" t="e">
        <f>IF(O612&lt;0,Pricing!E612*$Q$5,0)</f>
        <v>#REF!</v>
      </c>
      <c r="Q612" s="61" t="e">
        <f t="shared" si="76"/>
        <v>#REF!</v>
      </c>
      <c r="R612" s="60" t="e">
        <f>#REF!</f>
        <v>#REF!</v>
      </c>
      <c r="S612" s="61" t="e">
        <f>IF(R612&lt;0,Pricing!E612*$T$5,0)</f>
        <v>#REF!</v>
      </c>
      <c r="T612" s="61" t="e">
        <f t="shared" si="77"/>
        <v>#REF!</v>
      </c>
    </row>
    <row r="613" spans="1:20" x14ac:dyDescent="0.25">
      <c r="A613" s="58">
        <f t="shared" si="78"/>
        <v>44556.24999999853</v>
      </c>
      <c r="B613" s="59">
        <f t="shared" si="79"/>
        <v>44556.291666665194</v>
      </c>
      <c r="C613" s="60" t="e">
        <f>#REF!</f>
        <v>#REF!</v>
      </c>
      <c r="D613" s="61" t="e">
        <f>IF(C613&gt;0,Pricing!E613*$E$5,0)</f>
        <v>#REF!</v>
      </c>
      <c r="E613" s="61" t="e">
        <f t="shared" si="72"/>
        <v>#REF!</v>
      </c>
      <c r="F613" s="60" t="e">
        <f>#REF!</f>
        <v>#REF!</v>
      </c>
      <c r="G613" s="61" t="e">
        <f>IF(F613&gt;0,Pricing!E613*$H$5,0)</f>
        <v>#REF!</v>
      </c>
      <c r="H613" s="61" t="e">
        <f t="shared" si="73"/>
        <v>#REF!</v>
      </c>
      <c r="I613" s="62" t="e">
        <f>#REF!</f>
        <v>#REF!</v>
      </c>
      <c r="J613" s="61" t="e">
        <f>IF(I613&gt;0,Pricing!E613*$K$5,0)</f>
        <v>#REF!</v>
      </c>
      <c r="K613" s="63" t="e">
        <f t="shared" si="74"/>
        <v>#REF!</v>
      </c>
      <c r="L613" s="64" t="e">
        <f>#REF!</f>
        <v>#REF!</v>
      </c>
      <c r="M613" s="61" t="e">
        <f>IF(L613&lt;0,Pricing!E613*$N$5,0)</f>
        <v>#REF!</v>
      </c>
      <c r="N613" s="61" t="e">
        <f t="shared" si="75"/>
        <v>#REF!</v>
      </c>
      <c r="O613" s="60" t="e">
        <f>#REF!</f>
        <v>#REF!</v>
      </c>
      <c r="P613" s="61" t="e">
        <f>IF(O613&lt;0,Pricing!E613*$Q$5,0)</f>
        <v>#REF!</v>
      </c>
      <c r="Q613" s="61" t="e">
        <f t="shared" si="76"/>
        <v>#REF!</v>
      </c>
      <c r="R613" s="60" t="e">
        <f>#REF!</f>
        <v>#REF!</v>
      </c>
      <c r="S613" s="61" t="e">
        <f>IF(R613&lt;0,Pricing!E613*$T$5,0)</f>
        <v>#REF!</v>
      </c>
      <c r="T613" s="61" t="e">
        <f t="shared" si="77"/>
        <v>#REF!</v>
      </c>
    </row>
    <row r="614" spans="1:20" x14ac:dyDescent="0.25">
      <c r="A614" s="58">
        <f t="shared" si="78"/>
        <v>44556.291666665194</v>
      </c>
      <c r="B614" s="59">
        <f t="shared" si="79"/>
        <v>44556.333333331859</v>
      </c>
      <c r="C614" s="60" t="e">
        <f>#REF!</f>
        <v>#REF!</v>
      </c>
      <c r="D614" s="61" t="e">
        <f>IF(C614&gt;0,Pricing!E614*$E$5,0)</f>
        <v>#REF!</v>
      </c>
      <c r="E614" s="61" t="e">
        <f t="shared" si="72"/>
        <v>#REF!</v>
      </c>
      <c r="F614" s="60" t="e">
        <f>#REF!</f>
        <v>#REF!</v>
      </c>
      <c r="G614" s="61" t="e">
        <f>IF(F614&gt;0,Pricing!E614*$H$5,0)</f>
        <v>#REF!</v>
      </c>
      <c r="H614" s="61" t="e">
        <f t="shared" si="73"/>
        <v>#REF!</v>
      </c>
      <c r="I614" s="62" t="e">
        <f>#REF!</f>
        <v>#REF!</v>
      </c>
      <c r="J614" s="61" t="e">
        <f>IF(I614&gt;0,Pricing!E614*$K$5,0)</f>
        <v>#REF!</v>
      </c>
      <c r="K614" s="63" t="e">
        <f t="shared" si="74"/>
        <v>#REF!</v>
      </c>
      <c r="L614" s="64" t="e">
        <f>#REF!</f>
        <v>#REF!</v>
      </c>
      <c r="M614" s="61" t="e">
        <f>IF(L614&lt;0,Pricing!E614*$N$5,0)</f>
        <v>#REF!</v>
      </c>
      <c r="N614" s="61" t="e">
        <f t="shared" si="75"/>
        <v>#REF!</v>
      </c>
      <c r="O614" s="60" t="e">
        <f>#REF!</f>
        <v>#REF!</v>
      </c>
      <c r="P614" s="61" t="e">
        <f>IF(O614&lt;0,Pricing!E614*$Q$5,0)</f>
        <v>#REF!</v>
      </c>
      <c r="Q614" s="61" t="e">
        <f t="shared" si="76"/>
        <v>#REF!</v>
      </c>
      <c r="R614" s="60" t="e">
        <f>#REF!</f>
        <v>#REF!</v>
      </c>
      <c r="S614" s="61" t="e">
        <f>IF(R614&lt;0,Pricing!E614*$T$5,0)</f>
        <v>#REF!</v>
      </c>
      <c r="T614" s="61" t="e">
        <f t="shared" si="77"/>
        <v>#REF!</v>
      </c>
    </row>
    <row r="615" spans="1:20" x14ac:dyDescent="0.25">
      <c r="A615" s="58">
        <f t="shared" si="78"/>
        <v>44556.333333331859</v>
      </c>
      <c r="B615" s="59">
        <f t="shared" si="79"/>
        <v>44556.374999998523</v>
      </c>
      <c r="C615" s="60" t="e">
        <f>#REF!</f>
        <v>#REF!</v>
      </c>
      <c r="D615" s="61" t="e">
        <f>IF(C615&gt;0,Pricing!E615*$E$5,0)</f>
        <v>#REF!</v>
      </c>
      <c r="E615" s="61" t="e">
        <f t="shared" si="72"/>
        <v>#REF!</v>
      </c>
      <c r="F615" s="60" t="e">
        <f>#REF!</f>
        <v>#REF!</v>
      </c>
      <c r="G615" s="61" t="e">
        <f>IF(F615&gt;0,Pricing!E615*$H$5,0)</f>
        <v>#REF!</v>
      </c>
      <c r="H615" s="61" t="e">
        <f t="shared" si="73"/>
        <v>#REF!</v>
      </c>
      <c r="I615" s="62" t="e">
        <f>#REF!</f>
        <v>#REF!</v>
      </c>
      <c r="J615" s="61" t="e">
        <f>IF(I615&gt;0,Pricing!E615*$K$5,0)</f>
        <v>#REF!</v>
      </c>
      <c r="K615" s="63" t="e">
        <f t="shared" si="74"/>
        <v>#REF!</v>
      </c>
      <c r="L615" s="64" t="e">
        <f>#REF!</f>
        <v>#REF!</v>
      </c>
      <c r="M615" s="61" t="e">
        <f>IF(L615&lt;0,Pricing!E615*$N$5,0)</f>
        <v>#REF!</v>
      </c>
      <c r="N615" s="61" t="e">
        <f t="shared" si="75"/>
        <v>#REF!</v>
      </c>
      <c r="O615" s="60" t="e">
        <f>#REF!</f>
        <v>#REF!</v>
      </c>
      <c r="P615" s="61" t="e">
        <f>IF(O615&lt;0,Pricing!E615*$Q$5,0)</f>
        <v>#REF!</v>
      </c>
      <c r="Q615" s="61" t="e">
        <f t="shared" si="76"/>
        <v>#REF!</v>
      </c>
      <c r="R615" s="60" t="e">
        <f>#REF!</f>
        <v>#REF!</v>
      </c>
      <c r="S615" s="61" t="e">
        <f>IF(R615&lt;0,Pricing!E615*$T$5,0)</f>
        <v>#REF!</v>
      </c>
      <c r="T615" s="61" t="e">
        <f t="shared" si="77"/>
        <v>#REF!</v>
      </c>
    </row>
    <row r="616" spans="1:20" x14ac:dyDescent="0.25">
      <c r="A616" s="58">
        <f t="shared" si="78"/>
        <v>44556.374999998523</v>
      </c>
      <c r="B616" s="59">
        <f t="shared" si="79"/>
        <v>44556.416666665187</v>
      </c>
      <c r="C616" s="60" t="e">
        <f>#REF!</f>
        <v>#REF!</v>
      </c>
      <c r="D616" s="61" t="e">
        <f>IF(C616&gt;0,Pricing!E616*$E$5,0)</f>
        <v>#REF!</v>
      </c>
      <c r="E616" s="61" t="e">
        <f t="shared" si="72"/>
        <v>#REF!</v>
      </c>
      <c r="F616" s="60" t="e">
        <f>#REF!</f>
        <v>#REF!</v>
      </c>
      <c r="G616" s="61" t="e">
        <f>IF(F616&gt;0,Pricing!E616*$H$5,0)</f>
        <v>#REF!</v>
      </c>
      <c r="H616" s="61" t="e">
        <f t="shared" si="73"/>
        <v>#REF!</v>
      </c>
      <c r="I616" s="62" t="e">
        <f>#REF!</f>
        <v>#REF!</v>
      </c>
      <c r="J616" s="61" t="e">
        <f>IF(I616&gt;0,Pricing!E616*$K$5,0)</f>
        <v>#REF!</v>
      </c>
      <c r="K616" s="63" t="e">
        <f t="shared" si="74"/>
        <v>#REF!</v>
      </c>
      <c r="L616" s="64" t="e">
        <f>#REF!</f>
        <v>#REF!</v>
      </c>
      <c r="M616" s="61" t="e">
        <f>IF(L616&lt;0,Pricing!E616*$N$5,0)</f>
        <v>#REF!</v>
      </c>
      <c r="N616" s="61" t="e">
        <f t="shared" si="75"/>
        <v>#REF!</v>
      </c>
      <c r="O616" s="60" t="e">
        <f>#REF!</f>
        <v>#REF!</v>
      </c>
      <c r="P616" s="61" t="e">
        <f>IF(O616&lt;0,Pricing!E616*$Q$5,0)</f>
        <v>#REF!</v>
      </c>
      <c r="Q616" s="61" t="e">
        <f t="shared" si="76"/>
        <v>#REF!</v>
      </c>
      <c r="R616" s="60" t="e">
        <f>#REF!</f>
        <v>#REF!</v>
      </c>
      <c r="S616" s="61" t="e">
        <f>IF(R616&lt;0,Pricing!E616*$T$5,0)</f>
        <v>#REF!</v>
      </c>
      <c r="T616" s="61" t="e">
        <f t="shared" si="77"/>
        <v>#REF!</v>
      </c>
    </row>
    <row r="617" spans="1:20" x14ac:dyDescent="0.25">
      <c r="A617" s="58">
        <f t="shared" si="78"/>
        <v>44556.416666665187</v>
      </c>
      <c r="B617" s="59">
        <f t="shared" si="79"/>
        <v>44556.458333331851</v>
      </c>
      <c r="C617" s="60" t="e">
        <f>#REF!</f>
        <v>#REF!</v>
      </c>
      <c r="D617" s="61" t="e">
        <f>IF(C617&gt;0,Pricing!E617*$E$5,0)</f>
        <v>#REF!</v>
      </c>
      <c r="E617" s="61" t="e">
        <f t="shared" si="72"/>
        <v>#REF!</v>
      </c>
      <c r="F617" s="60" t="e">
        <f>#REF!</f>
        <v>#REF!</v>
      </c>
      <c r="G617" s="61" t="e">
        <f>IF(F617&gt;0,Pricing!E617*$H$5,0)</f>
        <v>#REF!</v>
      </c>
      <c r="H617" s="61" t="e">
        <f t="shared" si="73"/>
        <v>#REF!</v>
      </c>
      <c r="I617" s="62" t="e">
        <f>#REF!</f>
        <v>#REF!</v>
      </c>
      <c r="J617" s="61" t="e">
        <f>IF(I617&gt;0,Pricing!E617*$K$5,0)</f>
        <v>#REF!</v>
      </c>
      <c r="K617" s="63" t="e">
        <f t="shared" si="74"/>
        <v>#REF!</v>
      </c>
      <c r="L617" s="64" t="e">
        <f>#REF!</f>
        <v>#REF!</v>
      </c>
      <c r="M617" s="61" t="e">
        <f>IF(L617&lt;0,Pricing!E617*$N$5,0)</f>
        <v>#REF!</v>
      </c>
      <c r="N617" s="61" t="e">
        <f t="shared" si="75"/>
        <v>#REF!</v>
      </c>
      <c r="O617" s="60" t="e">
        <f>#REF!</f>
        <v>#REF!</v>
      </c>
      <c r="P617" s="61" t="e">
        <f>IF(O617&lt;0,Pricing!E617*$Q$5,0)</f>
        <v>#REF!</v>
      </c>
      <c r="Q617" s="61" t="e">
        <f t="shared" si="76"/>
        <v>#REF!</v>
      </c>
      <c r="R617" s="60" t="e">
        <f>#REF!</f>
        <v>#REF!</v>
      </c>
      <c r="S617" s="61" t="e">
        <f>IF(R617&lt;0,Pricing!E617*$T$5,0)</f>
        <v>#REF!</v>
      </c>
      <c r="T617" s="61" t="e">
        <f t="shared" si="77"/>
        <v>#REF!</v>
      </c>
    </row>
    <row r="618" spans="1:20" x14ac:dyDescent="0.25">
      <c r="A618" s="58">
        <f t="shared" si="78"/>
        <v>44556.458333331851</v>
      </c>
      <c r="B618" s="59">
        <f t="shared" si="79"/>
        <v>44556.499999998516</v>
      </c>
      <c r="C618" s="60" t="e">
        <f>#REF!</f>
        <v>#REF!</v>
      </c>
      <c r="D618" s="61" t="e">
        <f>IF(C618&gt;0,Pricing!E618*$E$5,0)</f>
        <v>#REF!</v>
      </c>
      <c r="E618" s="61" t="e">
        <f t="shared" si="72"/>
        <v>#REF!</v>
      </c>
      <c r="F618" s="60" t="e">
        <f>#REF!</f>
        <v>#REF!</v>
      </c>
      <c r="G618" s="61" t="e">
        <f>IF(F618&gt;0,Pricing!E618*$H$5,0)</f>
        <v>#REF!</v>
      </c>
      <c r="H618" s="61" t="e">
        <f t="shared" si="73"/>
        <v>#REF!</v>
      </c>
      <c r="I618" s="62" t="e">
        <f>#REF!</f>
        <v>#REF!</v>
      </c>
      <c r="J618" s="61" t="e">
        <f>IF(I618&gt;0,Pricing!E618*$K$5,0)</f>
        <v>#REF!</v>
      </c>
      <c r="K618" s="63" t="e">
        <f t="shared" si="74"/>
        <v>#REF!</v>
      </c>
      <c r="L618" s="64" t="e">
        <f>#REF!</f>
        <v>#REF!</v>
      </c>
      <c r="M618" s="61" t="e">
        <f>IF(L618&lt;0,Pricing!E618*$N$5,0)</f>
        <v>#REF!</v>
      </c>
      <c r="N618" s="61" t="e">
        <f t="shared" si="75"/>
        <v>#REF!</v>
      </c>
      <c r="O618" s="60" t="e">
        <f>#REF!</f>
        <v>#REF!</v>
      </c>
      <c r="P618" s="61" t="e">
        <f>IF(O618&lt;0,Pricing!E618*$Q$5,0)</f>
        <v>#REF!</v>
      </c>
      <c r="Q618" s="61" t="e">
        <f t="shared" si="76"/>
        <v>#REF!</v>
      </c>
      <c r="R618" s="60" t="e">
        <f>#REF!</f>
        <v>#REF!</v>
      </c>
      <c r="S618" s="61" t="e">
        <f>IF(R618&lt;0,Pricing!E618*$T$5,0)</f>
        <v>#REF!</v>
      </c>
      <c r="T618" s="61" t="e">
        <f t="shared" si="77"/>
        <v>#REF!</v>
      </c>
    </row>
    <row r="619" spans="1:20" x14ac:dyDescent="0.25">
      <c r="A619" s="58">
        <f t="shared" si="78"/>
        <v>44556.499999998516</v>
      </c>
      <c r="B619" s="59">
        <f t="shared" si="79"/>
        <v>44556.54166666518</v>
      </c>
      <c r="C619" s="60" t="e">
        <f>#REF!</f>
        <v>#REF!</v>
      </c>
      <c r="D619" s="61" t="e">
        <f>IF(C619&gt;0,Pricing!E619*$E$5,0)</f>
        <v>#REF!</v>
      </c>
      <c r="E619" s="61" t="e">
        <f t="shared" si="72"/>
        <v>#REF!</v>
      </c>
      <c r="F619" s="60" t="e">
        <f>#REF!</f>
        <v>#REF!</v>
      </c>
      <c r="G619" s="61" t="e">
        <f>IF(F619&gt;0,Pricing!E619*$H$5,0)</f>
        <v>#REF!</v>
      </c>
      <c r="H619" s="61" t="e">
        <f t="shared" si="73"/>
        <v>#REF!</v>
      </c>
      <c r="I619" s="62" t="e">
        <f>#REF!</f>
        <v>#REF!</v>
      </c>
      <c r="J619" s="61" t="e">
        <f>IF(I619&gt;0,Pricing!E619*$K$5,0)</f>
        <v>#REF!</v>
      </c>
      <c r="K619" s="63" t="e">
        <f t="shared" si="74"/>
        <v>#REF!</v>
      </c>
      <c r="L619" s="64" t="e">
        <f>#REF!</f>
        <v>#REF!</v>
      </c>
      <c r="M619" s="61" t="e">
        <f>IF(L619&lt;0,Pricing!E619*$N$5,0)</f>
        <v>#REF!</v>
      </c>
      <c r="N619" s="61" t="e">
        <f t="shared" si="75"/>
        <v>#REF!</v>
      </c>
      <c r="O619" s="60" t="e">
        <f>#REF!</f>
        <v>#REF!</v>
      </c>
      <c r="P619" s="61" t="e">
        <f>IF(O619&lt;0,Pricing!E619*$Q$5,0)</f>
        <v>#REF!</v>
      </c>
      <c r="Q619" s="61" t="e">
        <f t="shared" si="76"/>
        <v>#REF!</v>
      </c>
      <c r="R619" s="60" t="e">
        <f>#REF!</f>
        <v>#REF!</v>
      </c>
      <c r="S619" s="61" t="e">
        <f>IF(R619&lt;0,Pricing!E619*$T$5,0)</f>
        <v>#REF!</v>
      </c>
      <c r="T619" s="61" t="e">
        <f t="shared" si="77"/>
        <v>#REF!</v>
      </c>
    </row>
    <row r="620" spans="1:20" x14ac:dyDescent="0.25">
      <c r="A620" s="58">
        <f t="shared" si="78"/>
        <v>44556.54166666518</v>
      </c>
      <c r="B620" s="59">
        <f t="shared" si="79"/>
        <v>44556.583333331844</v>
      </c>
      <c r="C620" s="60" t="e">
        <f>#REF!</f>
        <v>#REF!</v>
      </c>
      <c r="D620" s="61" t="e">
        <f>IF(C620&gt;0,Pricing!E620*$E$5,0)</f>
        <v>#REF!</v>
      </c>
      <c r="E620" s="61" t="e">
        <f t="shared" si="72"/>
        <v>#REF!</v>
      </c>
      <c r="F620" s="60" t="e">
        <f>#REF!</f>
        <v>#REF!</v>
      </c>
      <c r="G620" s="61" t="e">
        <f>IF(F620&gt;0,Pricing!E620*$H$5,0)</f>
        <v>#REF!</v>
      </c>
      <c r="H620" s="61" t="e">
        <f t="shared" si="73"/>
        <v>#REF!</v>
      </c>
      <c r="I620" s="62" t="e">
        <f>#REF!</f>
        <v>#REF!</v>
      </c>
      <c r="J620" s="61" t="e">
        <f>IF(I620&gt;0,Pricing!E620*$K$5,0)</f>
        <v>#REF!</v>
      </c>
      <c r="K620" s="63" t="e">
        <f t="shared" si="74"/>
        <v>#REF!</v>
      </c>
      <c r="L620" s="64" t="e">
        <f>#REF!</f>
        <v>#REF!</v>
      </c>
      <c r="M620" s="61" t="e">
        <f>IF(L620&lt;0,Pricing!E620*$N$5,0)</f>
        <v>#REF!</v>
      </c>
      <c r="N620" s="61" t="e">
        <f t="shared" si="75"/>
        <v>#REF!</v>
      </c>
      <c r="O620" s="60" t="e">
        <f>#REF!</f>
        <v>#REF!</v>
      </c>
      <c r="P620" s="61" t="e">
        <f>IF(O620&lt;0,Pricing!E620*$Q$5,0)</f>
        <v>#REF!</v>
      </c>
      <c r="Q620" s="61" t="e">
        <f t="shared" si="76"/>
        <v>#REF!</v>
      </c>
      <c r="R620" s="60" t="e">
        <f>#REF!</f>
        <v>#REF!</v>
      </c>
      <c r="S620" s="61" t="e">
        <f>IF(R620&lt;0,Pricing!E620*$T$5,0)</f>
        <v>#REF!</v>
      </c>
      <c r="T620" s="61" t="e">
        <f t="shared" si="77"/>
        <v>#REF!</v>
      </c>
    </row>
    <row r="621" spans="1:20" x14ac:dyDescent="0.25">
      <c r="A621" s="58">
        <f t="shared" si="78"/>
        <v>44556.583333331844</v>
      </c>
      <c r="B621" s="59">
        <f t="shared" si="79"/>
        <v>44556.624999998508</v>
      </c>
      <c r="C621" s="60" t="e">
        <f>#REF!</f>
        <v>#REF!</v>
      </c>
      <c r="D621" s="61" t="e">
        <f>IF(C621&gt;0,Pricing!E621*$E$5,0)</f>
        <v>#REF!</v>
      </c>
      <c r="E621" s="61" t="e">
        <f t="shared" si="72"/>
        <v>#REF!</v>
      </c>
      <c r="F621" s="60" t="e">
        <f>#REF!</f>
        <v>#REF!</v>
      </c>
      <c r="G621" s="61" t="e">
        <f>IF(F621&gt;0,Pricing!E621*$H$5,0)</f>
        <v>#REF!</v>
      </c>
      <c r="H621" s="61" t="e">
        <f t="shared" si="73"/>
        <v>#REF!</v>
      </c>
      <c r="I621" s="62" t="e">
        <f>#REF!</f>
        <v>#REF!</v>
      </c>
      <c r="J621" s="61" t="e">
        <f>IF(I621&gt;0,Pricing!E621*$K$5,0)</f>
        <v>#REF!</v>
      </c>
      <c r="K621" s="63" t="e">
        <f t="shared" si="74"/>
        <v>#REF!</v>
      </c>
      <c r="L621" s="64" t="e">
        <f>#REF!</f>
        <v>#REF!</v>
      </c>
      <c r="M621" s="61" t="e">
        <f>IF(L621&lt;0,Pricing!E621*$N$5,0)</f>
        <v>#REF!</v>
      </c>
      <c r="N621" s="61" t="e">
        <f t="shared" si="75"/>
        <v>#REF!</v>
      </c>
      <c r="O621" s="60" t="e">
        <f>#REF!</f>
        <v>#REF!</v>
      </c>
      <c r="P621" s="61" t="e">
        <f>IF(O621&lt;0,Pricing!E621*$Q$5,0)</f>
        <v>#REF!</v>
      </c>
      <c r="Q621" s="61" t="e">
        <f t="shared" si="76"/>
        <v>#REF!</v>
      </c>
      <c r="R621" s="60" t="e">
        <f>#REF!</f>
        <v>#REF!</v>
      </c>
      <c r="S621" s="61" t="e">
        <f>IF(R621&lt;0,Pricing!E621*$T$5,0)</f>
        <v>#REF!</v>
      </c>
      <c r="T621" s="61" t="e">
        <f t="shared" si="77"/>
        <v>#REF!</v>
      </c>
    </row>
    <row r="622" spans="1:20" x14ac:dyDescent="0.25">
      <c r="A622" s="58">
        <f t="shared" si="78"/>
        <v>44556.624999998508</v>
      </c>
      <c r="B622" s="59">
        <f t="shared" si="79"/>
        <v>44556.666666665173</v>
      </c>
      <c r="C622" s="60" t="e">
        <f>#REF!</f>
        <v>#REF!</v>
      </c>
      <c r="D622" s="61" t="e">
        <f>IF(C622&gt;0,Pricing!E622*$E$5,0)</f>
        <v>#REF!</v>
      </c>
      <c r="E622" s="61" t="e">
        <f t="shared" si="72"/>
        <v>#REF!</v>
      </c>
      <c r="F622" s="60" t="e">
        <f>#REF!</f>
        <v>#REF!</v>
      </c>
      <c r="G622" s="61" t="e">
        <f>IF(F622&gt;0,Pricing!E622*$H$5,0)</f>
        <v>#REF!</v>
      </c>
      <c r="H622" s="61" t="e">
        <f t="shared" si="73"/>
        <v>#REF!</v>
      </c>
      <c r="I622" s="62" t="e">
        <f>#REF!</f>
        <v>#REF!</v>
      </c>
      <c r="J622" s="61" t="e">
        <f>IF(I622&gt;0,Pricing!E622*$K$5,0)</f>
        <v>#REF!</v>
      </c>
      <c r="K622" s="63" t="e">
        <f t="shared" si="74"/>
        <v>#REF!</v>
      </c>
      <c r="L622" s="64" t="e">
        <f>#REF!</f>
        <v>#REF!</v>
      </c>
      <c r="M622" s="61" t="e">
        <f>IF(L622&lt;0,Pricing!E622*$N$5,0)</f>
        <v>#REF!</v>
      </c>
      <c r="N622" s="61" t="e">
        <f t="shared" si="75"/>
        <v>#REF!</v>
      </c>
      <c r="O622" s="60" t="e">
        <f>#REF!</f>
        <v>#REF!</v>
      </c>
      <c r="P622" s="61" t="e">
        <f>IF(O622&lt;0,Pricing!E622*$Q$5,0)</f>
        <v>#REF!</v>
      </c>
      <c r="Q622" s="61" t="e">
        <f t="shared" si="76"/>
        <v>#REF!</v>
      </c>
      <c r="R622" s="60" t="e">
        <f>#REF!</f>
        <v>#REF!</v>
      </c>
      <c r="S622" s="61" t="e">
        <f>IF(R622&lt;0,Pricing!E622*$T$5,0)</f>
        <v>#REF!</v>
      </c>
      <c r="T622" s="61" t="e">
        <f t="shared" si="77"/>
        <v>#REF!</v>
      </c>
    </row>
    <row r="623" spans="1:20" x14ac:dyDescent="0.25">
      <c r="A623" s="58">
        <f t="shared" si="78"/>
        <v>44556.666666665173</v>
      </c>
      <c r="B623" s="59">
        <f t="shared" si="79"/>
        <v>44556.708333331837</v>
      </c>
      <c r="C623" s="60" t="e">
        <f>#REF!</f>
        <v>#REF!</v>
      </c>
      <c r="D623" s="61" t="e">
        <f>IF(C623&gt;0,Pricing!E623*$E$5,0)</f>
        <v>#REF!</v>
      </c>
      <c r="E623" s="61" t="e">
        <f t="shared" si="72"/>
        <v>#REF!</v>
      </c>
      <c r="F623" s="60" t="e">
        <f>#REF!</f>
        <v>#REF!</v>
      </c>
      <c r="G623" s="61" t="e">
        <f>IF(F623&gt;0,Pricing!E623*$H$5,0)</f>
        <v>#REF!</v>
      </c>
      <c r="H623" s="61" t="e">
        <f t="shared" si="73"/>
        <v>#REF!</v>
      </c>
      <c r="I623" s="62" t="e">
        <f>#REF!</f>
        <v>#REF!</v>
      </c>
      <c r="J623" s="61" t="e">
        <f>IF(I623&gt;0,Pricing!E623*$K$5,0)</f>
        <v>#REF!</v>
      </c>
      <c r="K623" s="63" t="e">
        <f t="shared" si="74"/>
        <v>#REF!</v>
      </c>
      <c r="L623" s="64" t="e">
        <f>#REF!</f>
        <v>#REF!</v>
      </c>
      <c r="M623" s="61" t="e">
        <f>IF(L623&lt;0,Pricing!E623*$N$5,0)</f>
        <v>#REF!</v>
      </c>
      <c r="N623" s="61" t="e">
        <f t="shared" si="75"/>
        <v>#REF!</v>
      </c>
      <c r="O623" s="60" t="e">
        <f>#REF!</f>
        <v>#REF!</v>
      </c>
      <c r="P623" s="61" t="e">
        <f>IF(O623&lt;0,Pricing!E623*$Q$5,0)</f>
        <v>#REF!</v>
      </c>
      <c r="Q623" s="61" t="e">
        <f t="shared" si="76"/>
        <v>#REF!</v>
      </c>
      <c r="R623" s="60" t="e">
        <f>#REF!</f>
        <v>#REF!</v>
      </c>
      <c r="S623" s="61" t="e">
        <f>IF(R623&lt;0,Pricing!E623*$T$5,0)</f>
        <v>#REF!</v>
      </c>
      <c r="T623" s="61" t="e">
        <f t="shared" si="77"/>
        <v>#REF!</v>
      </c>
    </row>
    <row r="624" spans="1:20" x14ac:dyDescent="0.25">
      <c r="A624" s="58">
        <f t="shared" si="78"/>
        <v>44556.708333331837</v>
      </c>
      <c r="B624" s="59">
        <f t="shared" si="79"/>
        <v>44556.749999998501</v>
      </c>
      <c r="C624" s="60" t="e">
        <f>#REF!</f>
        <v>#REF!</v>
      </c>
      <c r="D624" s="61" t="e">
        <f>IF(C624&gt;0,Pricing!E624*$E$5,0)</f>
        <v>#REF!</v>
      </c>
      <c r="E624" s="61" t="e">
        <f t="shared" si="72"/>
        <v>#REF!</v>
      </c>
      <c r="F624" s="60" t="e">
        <f>#REF!</f>
        <v>#REF!</v>
      </c>
      <c r="G624" s="61" t="e">
        <f>IF(F624&gt;0,Pricing!E624*$H$5,0)</f>
        <v>#REF!</v>
      </c>
      <c r="H624" s="61" t="e">
        <f t="shared" si="73"/>
        <v>#REF!</v>
      </c>
      <c r="I624" s="62" t="e">
        <f>#REF!</f>
        <v>#REF!</v>
      </c>
      <c r="J624" s="61" t="e">
        <f>IF(I624&gt;0,Pricing!E624*$K$5,0)</f>
        <v>#REF!</v>
      </c>
      <c r="K624" s="63" t="e">
        <f t="shared" si="74"/>
        <v>#REF!</v>
      </c>
      <c r="L624" s="64" t="e">
        <f>#REF!</f>
        <v>#REF!</v>
      </c>
      <c r="M624" s="61" t="e">
        <f>IF(L624&lt;0,Pricing!E624*$N$5,0)</f>
        <v>#REF!</v>
      </c>
      <c r="N624" s="61" t="e">
        <f t="shared" si="75"/>
        <v>#REF!</v>
      </c>
      <c r="O624" s="60" t="e">
        <f>#REF!</f>
        <v>#REF!</v>
      </c>
      <c r="P624" s="61" t="e">
        <f>IF(O624&lt;0,Pricing!E624*$Q$5,0)</f>
        <v>#REF!</v>
      </c>
      <c r="Q624" s="61" t="e">
        <f t="shared" si="76"/>
        <v>#REF!</v>
      </c>
      <c r="R624" s="60" t="e">
        <f>#REF!</f>
        <v>#REF!</v>
      </c>
      <c r="S624" s="61" t="e">
        <f>IF(R624&lt;0,Pricing!E624*$T$5,0)</f>
        <v>#REF!</v>
      </c>
      <c r="T624" s="61" t="e">
        <f t="shared" si="77"/>
        <v>#REF!</v>
      </c>
    </row>
    <row r="625" spans="1:20" x14ac:dyDescent="0.25">
      <c r="A625" s="58">
        <f t="shared" si="78"/>
        <v>44556.749999998501</v>
      </c>
      <c r="B625" s="59">
        <f t="shared" si="79"/>
        <v>44556.791666665165</v>
      </c>
      <c r="C625" s="60" t="e">
        <f>#REF!</f>
        <v>#REF!</v>
      </c>
      <c r="D625" s="61" t="e">
        <f>IF(C625&gt;0,Pricing!E625*$E$5,0)</f>
        <v>#REF!</v>
      </c>
      <c r="E625" s="61" t="e">
        <f t="shared" si="72"/>
        <v>#REF!</v>
      </c>
      <c r="F625" s="60" t="e">
        <f>#REF!</f>
        <v>#REF!</v>
      </c>
      <c r="G625" s="61" t="e">
        <f>IF(F625&gt;0,Pricing!E625*$H$5,0)</f>
        <v>#REF!</v>
      </c>
      <c r="H625" s="61" t="e">
        <f t="shared" si="73"/>
        <v>#REF!</v>
      </c>
      <c r="I625" s="62" t="e">
        <f>#REF!</f>
        <v>#REF!</v>
      </c>
      <c r="J625" s="61" t="e">
        <f>IF(I625&gt;0,Pricing!E625*$K$5,0)</f>
        <v>#REF!</v>
      </c>
      <c r="K625" s="63" t="e">
        <f t="shared" si="74"/>
        <v>#REF!</v>
      </c>
      <c r="L625" s="64" t="e">
        <f>#REF!</f>
        <v>#REF!</v>
      </c>
      <c r="M625" s="61" t="e">
        <f>IF(L625&lt;0,Pricing!E625*$N$5,0)</f>
        <v>#REF!</v>
      </c>
      <c r="N625" s="61" t="e">
        <f t="shared" si="75"/>
        <v>#REF!</v>
      </c>
      <c r="O625" s="60" t="e">
        <f>#REF!</f>
        <v>#REF!</v>
      </c>
      <c r="P625" s="61" t="e">
        <f>IF(O625&lt;0,Pricing!E625*$Q$5,0)</f>
        <v>#REF!</v>
      </c>
      <c r="Q625" s="61" t="e">
        <f t="shared" si="76"/>
        <v>#REF!</v>
      </c>
      <c r="R625" s="60" t="e">
        <f>#REF!</f>
        <v>#REF!</v>
      </c>
      <c r="S625" s="61" t="e">
        <f>IF(R625&lt;0,Pricing!E625*$T$5,0)</f>
        <v>#REF!</v>
      </c>
      <c r="T625" s="61" t="e">
        <f t="shared" si="77"/>
        <v>#REF!</v>
      </c>
    </row>
    <row r="626" spans="1:20" x14ac:dyDescent="0.25">
      <c r="A626" s="58">
        <f t="shared" si="78"/>
        <v>44556.791666665165</v>
      </c>
      <c r="B626" s="59">
        <f t="shared" si="79"/>
        <v>44556.83333333183</v>
      </c>
      <c r="C626" s="60" t="e">
        <f>#REF!</f>
        <v>#REF!</v>
      </c>
      <c r="D626" s="61" t="e">
        <f>IF(C626&gt;0,Pricing!E626*$E$5,0)</f>
        <v>#REF!</v>
      </c>
      <c r="E626" s="61" t="e">
        <f t="shared" si="72"/>
        <v>#REF!</v>
      </c>
      <c r="F626" s="60" t="e">
        <f>#REF!</f>
        <v>#REF!</v>
      </c>
      <c r="G626" s="61" t="e">
        <f>IF(F626&gt;0,Pricing!E626*$H$5,0)</f>
        <v>#REF!</v>
      </c>
      <c r="H626" s="61" t="e">
        <f t="shared" si="73"/>
        <v>#REF!</v>
      </c>
      <c r="I626" s="62" t="e">
        <f>#REF!</f>
        <v>#REF!</v>
      </c>
      <c r="J626" s="61" t="e">
        <f>IF(I626&gt;0,Pricing!E626*$K$5,0)</f>
        <v>#REF!</v>
      </c>
      <c r="K626" s="63" t="e">
        <f t="shared" si="74"/>
        <v>#REF!</v>
      </c>
      <c r="L626" s="64" t="e">
        <f>#REF!</f>
        <v>#REF!</v>
      </c>
      <c r="M626" s="61" t="e">
        <f>IF(L626&lt;0,Pricing!E626*$N$5,0)</f>
        <v>#REF!</v>
      </c>
      <c r="N626" s="61" t="e">
        <f t="shared" si="75"/>
        <v>#REF!</v>
      </c>
      <c r="O626" s="60" t="e">
        <f>#REF!</f>
        <v>#REF!</v>
      </c>
      <c r="P626" s="61" t="e">
        <f>IF(O626&lt;0,Pricing!E626*$Q$5,0)</f>
        <v>#REF!</v>
      </c>
      <c r="Q626" s="61" t="e">
        <f t="shared" si="76"/>
        <v>#REF!</v>
      </c>
      <c r="R626" s="60" t="e">
        <f>#REF!</f>
        <v>#REF!</v>
      </c>
      <c r="S626" s="61" t="e">
        <f>IF(R626&lt;0,Pricing!E626*$T$5,0)</f>
        <v>#REF!</v>
      </c>
      <c r="T626" s="61" t="e">
        <f t="shared" si="77"/>
        <v>#REF!</v>
      </c>
    </row>
    <row r="627" spans="1:20" x14ac:dyDescent="0.25">
      <c r="A627" s="58">
        <f t="shared" si="78"/>
        <v>44556.83333333183</v>
      </c>
      <c r="B627" s="59">
        <f t="shared" si="79"/>
        <v>44556.874999998494</v>
      </c>
      <c r="C627" s="60" t="e">
        <f>#REF!</f>
        <v>#REF!</v>
      </c>
      <c r="D627" s="61" t="e">
        <f>IF(C627&gt;0,Pricing!E627*$E$5,0)</f>
        <v>#REF!</v>
      </c>
      <c r="E627" s="61" t="e">
        <f t="shared" si="72"/>
        <v>#REF!</v>
      </c>
      <c r="F627" s="60" t="e">
        <f>#REF!</f>
        <v>#REF!</v>
      </c>
      <c r="G627" s="61" t="e">
        <f>IF(F627&gt;0,Pricing!E627*$H$5,0)</f>
        <v>#REF!</v>
      </c>
      <c r="H627" s="61" t="e">
        <f t="shared" si="73"/>
        <v>#REF!</v>
      </c>
      <c r="I627" s="62" t="e">
        <f>#REF!</f>
        <v>#REF!</v>
      </c>
      <c r="J627" s="61" t="e">
        <f>IF(I627&gt;0,Pricing!E627*$K$5,0)</f>
        <v>#REF!</v>
      </c>
      <c r="K627" s="63" t="e">
        <f t="shared" si="74"/>
        <v>#REF!</v>
      </c>
      <c r="L627" s="64" t="e">
        <f>#REF!</f>
        <v>#REF!</v>
      </c>
      <c r="M627" s="61" t="e">
        <f>IF(L627&lt;0,Pricing!E627*$N$5,0)</f>
        <v>#REF!</v>
      </c>
      <c r="N627" s="61" t="e">
        <f t="shared" si="75"/>
        <v>#REF!</v>
      </c>
      <c r="O627" s="60" t="e">
        <f>#REF!</f>
        <v>#REF!</v>
      </c>
      <c r="P627" s="61" t="e">
        <f>IF(O627&lt;0,Pricing!E627*$Q$5,0)</f>
        <v>#REF!</v>
      </c>
      <c r="Q627" s="61" t="e">
        <f t="shared" si="76"/>
        <v>#REF!</v>
      </c>
      <c r="R627" s="60" t="e">
        <f>#REF!</f>
        <v>#REF!</v>
      </c>
      <c r="S627" s="61" t="e">
        <f>IF(R627&lt;0,Pricing!E627*$T$5,0)</f>
        <v>#REF!</v>
      </c>
      <c r="T627" s="61" t="e">
        <f t="shared" si="77"/>
        <v>#REF!</v>
      </c>
    </row>
    <row r="628" spans="1:20" x14ac:dyDescent="0.25">
      <c r="A628" s="58">
        <f t="shared" si="78"/>
        <v>44556.874999998494</v>
      </c>
      <c r="B628" s="59">
        <f t="shared" si="79"/>
        <v>44556.916666665158</v>
      </c>
      <c r="C628" s="60" t="e">
        <f>#REF!</f>
        <v>#REF!</v>
      </c>
      <c r="D628" s="61" t="e">
        <f>IF(C628&gt;0,Pricing!E628*$E$5,0)</f>
        <v>#REF!</v>
      </c>
      <c r="E628" s="61" t="e">
        <f t="shared" si="72"/>
        <v>#REF!</v>
      </c>
      <c r="F628" s="60" t="e">
        <f>#REF!</f>
        <v>#REF!</v>
      </c>
      <c r="G628" s="61" t="e">
        <f>IF(F628&gt;0,Pricing!E628*$H$5,0)</f>
        <v>#REF!</v>
      </c>
      <c r="H628" s="61" t="e">
        <f t="shared" si="73"/>
        <v>#REF!</v>
      </c>
      <c r="I628" s="62" t="e">
        <f>#REF!</f>
        <v>#REF!</v>
      </c>
      <c r="J628" s="61" t="e">
        <f>IF(I628&gt;0,Pricing!E628*$K$5,0)</f>
        <v>#REF!</v>
      </c>
      <c r="K628" s="63" t="e">
        <f t="shared" si="74"/>
        <v>#REF!</v>
      </c>
      <c r="L628" s="64" t="e">
        <f>#REF!</f>
        <v>#REF!</v>
      </c>
      <c r="M628" s="61" t="e">
        <f>IF(L628&lt;0,Pricing!E628*$N$5,0)</f>
        <v>#REF!</v>
      </c>
      <c r="N628" s="61" t="e">
        <f t="shared" si="75"/>
        <v>#REF!</v>
      </c>
      <c r="O628" s="60" t="e">
        <f>#REF!</f>
        <v>#REF!</v>
      </c>
      <c r="P628" s="61" t="e">
        <f>IF(O628&lt;0,Pricing!E628*$Q$5,0)</f>
        <v>#REF!</v>
      </c>
      <c r="Q628" s="61" t="e">
        <f t="shared" si="76"/>
        <v>#REF!</v>
      </c>
      <c r="R628" s="60" t="e">
        <f>#REF!</f>
        <v>#REF!</v>
      </c>
      <c r="S628" s="61" t="e">
        <f>IF(R628&lt;0,Pricing!E628*$T$5,0)</f>
        <v>#REF!</v>
      </c>
      <c r="T628" s="61" t="e">
        <f t="shared" si="77"/>
        <v>#REF!</v>
      </c>
    </row>
    <row r="629" spans="1:20" x14ac:dyDescent="0.25">
      <c r="A629" s="58">
        <f t="shared" si="78"/>
        <v>44556.916666665158</v>
      </c>
      <c r="B629" s="59">
        <f t="shared" si="79"/>
        <v>44556.958333331822</v>
      </c>
      <c r="C629" s="60" t="e">
        <f>#REF!</f>
        <v>#REF!</v>
      </c>
      <c r="D629" s="61" t="e">
        <f>IF(C629&gt;0,Pricing!E629*$E$5,0)</f>
        <v>#REF!</v>
      </c>
      <c r="E629" s="61" t="e">
        <f t="shared" si="72"/>
        <v>#REF!</v>
      </c>
      <c r="F629" s="60" t="e">
        <f>#REF!</f>
        <v>#REF!</v>
      </c>
      <c r="G629" s="61" t="e">
        <f>IF(F629&gt;0,Pricing!E629*$H$5,0)</f>
        <v>#REF!</v>
      </c>
      <c r="H629" s="61" t="e">
        <f t="shared" si="73"/>
        <v>#REF!</v>
      </c>
      <c r="I629" s="62" t="e">
        <f>#REF!</f>
        <v>#REF!</v>
      </c>
      <c r="J629" s="61" t="e">
        <f>IF(I629&gt;0,Pricing!E629*$K$5,0)</f>
        <v>#REF!</v>
      </c>
      <c r="K629" s="63" t="e">
        <f t="shared" si="74"/>
        <v>#REF!</v>
      </c>
      <c r="L629" s="64" t="e">
        <f>#REF!</f>
        <v>#REF!</v>
      </c>
      <c r="M629" s="61" t="e">
        <f>IF(L629&lt;0,Pricing!E629*$N$5,0)</f>
        <v>#REF!</v>
      </c>
      <c r="N629" s="61" t="e">
        <f t="shared" si="75"/>
        <v>#REF!</v>
      </c>
      <c r="O629" s="60" t="e">
        <f>#REF!</f>
        <v>#REF!</v>
      </c>
      <c r="P629" s="61" t="e">
        <f>IF(O629&lt;0,Pricing!E629*$Q$5,0)</f>
        <v>#REF!</v>
      </c>
      <c r="Q629" s="61" t="e">
        <f t="shared" si="76"/>
        <v>#REF!</v>
      </c>
      <c r="R629" s="60" t="e">
        <f>#REF!</f>
        <v>#REF!</v>
      </c>
      <c r="S629" s="61" t="e">
        <f>IF(R629&lt;0,Pricing!E629*$T$5,0)</f>
        <v>#REF!</v>
      </c>
      <c r="T629" s="61" t="e">
        <f t="shared" si="77"/>
        <v>#REF!</v>
      </c>
    </row>
    <row r="630" spans="1:20" x14ac:dyDescent="0.25">
      <c r="A630" s="58">
        <f t="shared" si="78"/>
        <v>44556.958333331822</v>
      </c>
      <c r="B630" s="59">
        <f t="shared" si="79"/>
        <v>44556.999999998487</v>
      </c>
      <c r="C630" s="60" t="e">
        <f>#REF!</f>
        <v>#REF!</v>
      </c>
      <c r="D630" s="61" t="e">
        <f>IF(C630&gt;0,Pricing!E630*$E$5,0)</f>
        <v>#REF!</v>
      </c>
      <c r="E630" s="61" t="e">
        <f t="shared" si="72"/>
        <v>#REF!</v>
      </c>
      <c r="F630" s="60" t="e">
        <f>#REF!</f>
        <v>#REF!</v>
      </c>
      <c r="G630" s="61" t="e">
        <f>IF(F630&gt;0,Pricing!E630*$H$5,0)</f>
        <v>#REF!</v>
      </c>
      <c r="H630" s="61" t="e">
        <f t="shared" si="73"/>
        <v>#REF!</v>
      </c>
      <c r="I630" s="62" t="e">
        <f>#REF!</f>
        <v>#REF!</v>
      </c>
      <c r="J630" s="61" t="e">
        <f>IF(I630&gt;0,Pricing!E630*$K$5,0)</f>
        <v>#REF!</v>
      </c>
      <c r="K630" s="63" t="e">
        <f t="shared" si="74"/>
        <v>#REF!</v>
      </c>
      <c r="L630" s="64" t="e">
        <f>#REF!</f>
        <v>#REF!</v>
      </c>
      <c r="M630" s="61" t="e">
        <f>IF(L630&lt;0,Pricing!E630*$N$5,0)</f>
        <v>#REF!</v>
      </c>
      <c r="N630" s="61" t="e">
        <f t="shared" si="75"/>
        <v>#REF!</v>
      </c>
      <c r="O630" s="60" t="e">
        <f>#REF!</f>
        <v>#REF!</v>
      </c>
      <c r="P630" s="61" t="e">
        <f>IF(O630&lt;0,Pricing!E630*$Q$5,0)</f>
        <v>#REF!</v>
      </c>
      <c r="Q630" s="61" t="e">
        <f t="shared" si="76"/>
        <v>#REF!</v>
      </c>
      <c r="R630" s="60" t="e">
        <f>#REF!</f>
        <v>#REF!</v>
      </c>
      <c r="S630" s="61" t="e">
        <f>IF(R630&lt;0,Pricing!E630*$T$5,0)</f>
        <v>#REF!</v>
      </c>
      <c r="T630" s="61" t="e">
        <f t="shared" si="77"/>
        <v>#REF!</v>
      </c>
    </row>
    <row r="631" spans="1:20" x14ac:dyDescent="0.25">
      <c r="A631" s="58">
        <f t="shared" si="78"/>
        <v>44556.999999998487</v>
      </c>
      <c r="B631" s="59">
        <f t="shared" si="79"/>
        <v>44557.041666665151</v>
      </c>
      <c r="C631" s="60" t="e">
        <f>#REF!</f>
        <v>#REF!</v>
      </c>
      <c r="D631" s="61" t="e">
        <f>IF(C631&gt;0,Pricing!E631*$E$5,0)</f>
        <v>#REF!</v>
      </c>
      <c r="E631" s="61" t="e">
        <f t="shared" si="72"/>
        <v>#REF!</v>
      </c>
      <c r="F631" s="60" t="e">
        <f>#REF!</f>
        <v>#REF!</v>
      </c>
      <c r="G631" s="61" t="e">
        <f>IF(F631&gt;0,Pricing!E631*$H$5,0)</f>
        <v>#REF!</v>
      </c>
      <c r="H631" s="61" t="e">
        <f t="shared" si="73"/>
        <v>#REF!</v>
      </c>
      <c r="I631" s="62" t="e">
        <f>#REF!</f>
        <v>#REF!</v>
      </c>
      <c r="J631" s="61" t="e">
        <f>IF(I631&gt;0,Pricing!E631*$K$5,0)</f>
        <v>#REF!</v>
      </c>
      <c r="K631" s="63" t="e">
        <f t="shared" si="74"/>
        <v>#REF!</v>
      </c>
      <c r="L631" s="64" t="e">
        <f>#REF!</f>
        <v>#REF!</v>
      </c>
      <c r="M631" s="61" t="e">
        <f>IF(L631&lt;0,Pricing!E631*$N$5,0)</f>
        <v>#REF!</v>
      </c>
      <c r="N631" s="61" t="e">
        <f t="shared" si="75"/>
        <v>#REF!</v>
      </c>
      <c r="O631" s="60" t="e">
        <f>#REF!</f>
        <v>#REF!</v>
      </c>
      <c r="P631" s="61" t="e">
        <f>IF(O631&lt;0,Pricing!E631*$Q$5,0)</f>
        <v>#REF!</v>
      </c>
      <c r="Q631" s="61" t="e">
        <f t="shared" si="76"/>
        <v>#REF!</v>
      </c>
      <c r="R631" s="60" t="e">
        <f>#REF!</f>
        <v>#REF!</v>
      </c>
      <c r="S631" s="61" t="e">
        <f>IF(R631&lt;0,Pricing!E631*$T$5,0)</f>
        <v>#REF!</v>
      </c>
      <c r="T631" s="61" t="e">
        <f t="shared" si="77"/>
        <v>#REF!</v>
      </c>
    </row>
    <row r="632" spans="1:20" x14ac:dyDescent="0.25">
      <c r="A632" s="58">
        <f t="shared" si="78"/>
        <v>44557.041666665151</v>
      </c>
      <c r="B632" s="59">
        <f t="shared" si="79"/>
        <v>44557.083333331815</v>
      </c>
      <c r="C632" s="60" t="e">
        <f>#REF!</f>
        <v>#REF!</v>
      </c>
      <c r="D632" s="61" t="e">
        <f>IF(C632&gt;0,Pricing!E632*$E$5,0)</f>
        <v>#REF!</v>
      </c>
      <c r="E632" s="61" t="e">
        <f t="shared" si="72"/>
        <v>#REF!</v>
      </c>
      <c r="F632" s="60" t="e">
        <f>#REF!</f>
        <v>#REF!</v>
      </c>
      <c r="G632" s="61" t="e">
        <f>IF(F632&gt;0,Pricing!E632*$H$5,0)</f>
        <v>#REF!</v>
      </c>
      <c r="H632" s="61" t="e">
        <f t="shared" si="73"/>
        <v>#REF!</v>
      </c>
      <c r="I632" s="62" t="e">
        <f>#REF!</f>
        <v>#REF!</v>
      </c>
      <c r="J632" s="61" t="e">
        <f>IF(I632&gt;0,Pricing!E632*$K$5,0)</f>
        <v>#REF!</v>
      </c>
      <c r="K632" s="63" t="e">
        <f t="shared" si="74"/>
        <v>#REF!</v>
      </c>
      <c r="L632" s="64" t="e">
        <f>#REF!</f>
        <v>#REF!</v>
      </c>
      <c r="M632" s="61" t="e">
        <f>IF(L632&lt;0,Pricing!E632*$N$5,0)</f>
        <v>#REF!</v>
      </c>
      <c r="N632" s="61" t="e">
        <f t="shared" si="75"/>
        <v>#REF!</v>
      </c>
      <c r="O632" s="60" t="e">
        <f>#REF!</f>
        <v>#REF!</v>
      </c>
      <c r="P632" s="61" t="e">
        <f>IF(O632&lt;0,Pricing!E632*$Q$5,0)</f>
        <v>#REF!</v>
      </c>
      <c r="Q632" s="61" t="e">
        <f t="shared" si="76"/>
        <v>#REF!</v>
      </c>
      <c r="R632" s="60" t="e">
        <f>#REF!</f>
        <v>#REF!</v>
      </c>
      <c r="S632" s="61" t="e">
        <f>IF(R632&lt;0,Pricing!E632*$T$5,0)</f>
        <v>#REF!</v>
      </c>
      <c r="T632" s="61" t="e">
        <f t="shared" si="77"/>
        <v>#REF!</v>
      </c>
    </row>
    <row r="633" spans="1:20" x14ac:dyDescent="0.25">
      <c r="A633" s="58">
        <f t="shared" si="78"/>
        <v>44557.083333331815</v>
      </c>
      <c r="B633" s="59">
        <f t="shared" si="79"/>
        <v>44557.124999998479</v>
      </c>
      <c r="C633" s="60" t="e">
        <f>#REF!</f>
        <v>#REF!</v>
      </c>
      <c r="D633" s="61" t="e">
        <f>IF(C633&gt;0,Pricing!E633*$E$5,0)</f>
        <v>#REF!</v>
      </c>
      <c r="E633" s="61" t="e">
        <f t="shared" si="72"/>
        <v>#REF!</v>
      </c>
      <c r="F633" s="60" t="e">
        <f>#REF!</f>
        <v>#REF!</v>
      </c>
      <c r="G633" s="61" t="e">
        <f>IF(F633&gt;0,Pricing!E633*$H$5,0)</f>
        <v>#REF!</v>
      </c>
      <c r="H633" s="61" t="e">
        <f t="shared" si="73"/>
        <v>#REF!</v>
      </c>
      <c r="I633" s="62" t="e">
        <f>#REF!</f>
        <v>#REF!</v>
      </c>
      <c r="J633" s="61" t="e">
        <f>IF(I633&gt;0,Pricing!E633*$K$5,0)</f>
        <v>#REF!</v>
      </c>
      <c r="K633" s="63" t="e">
        <f t="shared" si="74"/>
        <v>#REF!</v>
      </c>
      <c r="L633" s="64" t="e">
        <f>#REF!</f>
        <v>#REF!</v>
      </c>
      <c r="M633" s="61" t="e">
        <f>IF(L633&lt;0,Pricing!E633*$N$5,0)</f>
        <v>#REF!</v>
      </c>
      <c r="N633" s="61" t="e">
        <f t="shared" si="75"/>
        <v>#REF!</v>
      </c>
      <c r="O633" s="60" t="e">
        <f>#REF!</f>
        <v>#REF!</v>
      </c>
      <c r="P633" s="61" t="e">
        <f>IF(O633&lt;0,Pricing!E633*$Q$5,0)</f>
        <v>#REF!</v>
      </c>
      <c r="Q633" s="61" t="e">
        <f t="shared" si="76"/>
        <v>#REF!</v>
      </c>
      <c r="R633" s="60" t="e">
        <f>#REF!</f>
        <v>#REF!</v>
      </c>
      <c r="S633" s="61" t="e">
        <f>IF(R633&lt;0,Pricing!E633*$T$5,0)</f>
        <v>#REF!</v>
      </c>
      <c r="T633" s="61" t="e">
        <f t="shared" si="77"/>
        <v>#REF!</v>
      </c>
    </row>
    <row r="634" spans="1:20" x14ac:dyDescent="0.25">
      <c r="A634" s="58">
        <f t="shared" si="78"/>
        <v>44557.124999998479</v>
      </c>
      <c r="B634" s="59">
        <f t="shared" si="79"/>
        <v>44557.166666665144</v>
      </c>
      <c r="C634" s="60" t="e">
        <f>#REF!</f>
        <v>#REF!</v>
      </c>
      <c r="D634" s="61" t="e">
        <f>IF(C634&gt;0,Pricing!E634*$E$5,0)</f>
        <v>#REF!</v>
      </c>
      <c r="E634" s="61" t="e">
        <f t="shared" si="72"/>
        <v>#REF!</v>
      </c>
      <c r="F634" s="60" t="e">
        <f>#REF!</f>
        <v>#REF!</v>
      </c>
      <c r="G634" s="61" t="e">
        <f>IF(F634&gt;0,Pricing!E634*$H$5,0)</f>
        <v>#REF!</v>
      </c>
      <c r="H634" s="61" t="e">
        <f t="shared" si="73"/>
        <v>#REF!</v>
      </c>
      <c r="I634" s="62" t="e">
        <f>#REF!</f>
        <v>#REF!</v>
      </c>
      <c r="J634" s="61" t="e">
        <f>IF(I634&gt;0,Pricing!E634*$K$5,0)</f>
        <v>#REF!</v>
      </c>
      <c r="K634" s="63" t="e">
        <f t="shared" si="74"/>
        <v>#REF!</v>
      </c>
      <c r="L634" s="64" t="e">
        <f>#REF!</f>
        <v>#REF!</v>
      </c>
      <c r="M634" s="61" t="e">
        <f>IF(L634&lt;0,Pricing!E634*$N$5,0)</f>
        <v>#REF!</v>
      </c>
      <c r="N634" s="61" t="e">
        <f t="shared" si="75"/>
        <v>#REF!</v>
      </c>
      <c r="O634" s="60" t="e">
        <f>#REF!</f>
        <v>#REF!</v>
      </c>
      <c r="P634" s="61" t="e">
        <f>IF(O634&lt;0,Pricing!E634*$Q$5,0)</f>
        <v>#REF!</v>
      </c>
      <c r="Q634" s="61" t="e">
        <f t="shared" si="76"/>
        <v>#REF!</v>
      </c>
      <c r="R634" s="60" t="e">
        <f>#REF!</f>
        <v>#REF!</v>
      </c>
      <c r="S634" s="61" t="e">
        <f>IF(R634&lt;0,Pricing!E634*$T$5,0)</f>
        <v>#REF!</v>
      </c>
      <c r="T634" s="61" t="e">
        <f t="shared" si="77"/>
        <v>#REF!</v>
      </c>
    </row>
    <row r="635" spans="1:20" x14ac:dyDescent="0.25">
      <c r="A635" s="58">
        <f t="shared" si="78"/>
        <v>44557.166666665144</v>
      </c>
      <c r="B635" s="59">
        <f t="shared" si="79"/>
        <v>44557.208333331808</v>
      </c>
      <c r="C635" s="60" t="e">
        <f>#REF!</f>
        <v>#REF!</v>
      </c>
      <c r="D635" s="61" t="e">
        <f>IF(C635&gt;0,Pricing!E635*$E$5,0)</f>
        <v>#REF!</v>
      </c>
      <c r="E635" s="61" t="e">
        <f t="shared" si="72"/>
        <v>#REF!</v>
      </c>
      <c r="F635" s="60" t="e">
        <f>#REF!</f>
        <v>#REF!</v>
      </c>
      <c r="G635" s="61" t="e">
        <f>IF(F635&gt;0,Pricing!E635*$H$5,0)</f>
        <v>#REF!</v>
      </c>
      <c r="H635" s="61" t="e">
        <f t="shared" si="73"/>
        <v>#REF!</v>
      </c>
      <c r="I635" s="62" t="e">
        <f>#REF!</f>
        <v>#REF!</v>
      </c>
      <c r="J635" s="61" t="e">
        <f>IF(I635&gt;0,Pricing!E635*$K$5,0)</f>
        <v>#REF!</v>
      </c>
      <c r="K635" s="63" t="e">
        <f t="shared" si="74"/>
        <v>#REF!</v>
      </c>
      <c r="L635" s="64" t="e">
        <f>#REF!</f>
        <v>#REF!</v>
      </c>
      <c r="M635" s="61" t="e">
        <f>IF(L635&lt;0,Pricing!E635*$N$5,0)</f>
        <v>#REF!</v>
      </c>
      <c r="N635" s="61" t="e">
        <f t="shared" si="75"/>
        <v>#REF!</v>
      </c>
      <c r="O635" s="60" t="e">
        <f>#REF!</f>
        <v>#REF!</v>
      </c>
      <c r="P635" s="61" t="e">
        <f>IF(O635&lt;0,Pricing!E635*$Q$5,0)</f>
        <v>#REF!</v>
      </c>
      <c r="Q635" s="61" t="e">
        <f t="shared" si="76"/>
        <v>#REF!</v>
      </c>
      <c r="R635" s="60" t="e">
        <f>#REF!</f>
        <v>#REF!</v>
      </c>
      <c r="S635" s="61" t="e">
        <f>IF(R635&lt;0,Pricing!E635*$T$5,0)</f>
        <v>#REF!</v>
      </c>
      <c r="T635" s="61" t="e">
        <f t="shared" si="77"/>
        <v>#REF!</v>
      </c>
    </row>
    <row r="636" spans="1:20" x14ac:dyDescent="0.25">
      <c r="A636" s="58">
        <f t="shared" si="78"/>
        <v>44557.208333331808</v>
      </c>
      <c r="B636" s="59">
        <f t="shared" si="79"/>
        <v>44557.249999998472</v>
      </c>
      <c r="C636" s="60" t="e">
        <f>#REF!</f>
        <v>#REF!</v>
      </c>
      <c r="D636" s="61" t="e">
        <f>IF(C636&gt;0,Pricing!E636*$E$5,0)</f>
        <v>#REF!</v>
      </c>
      <c r="E636" s="61" t="e">
        <f t="shared" si="72"/>
        <v>#REF!</v>
      </c>
      <c r="F636" s="60" t="e">
        <f>#REF!</f>
        <v>#REF!</v>
      </c>
      <c r="G636" s="61" t="e">
        <f>IF(F636&gt;0,Pricing!E636*$H$5,0)</f>
        <v>#REF!</v>
      </c>
      <c r="H636" s="61" t="e">
        <f t="shared" si="73"/>
        <v>#REF!</v>
      </c>
      <c r="I636" s="62" t="e">
        <f>#REF!</f>
        <v>#REF!</v>
      </c>
      <c r="J636" s="61" t="e">
        <f>IF(I636&gt;0,Pricing!E636*$K$5,0)</f>
        <v>#REF!</v>
      </c>
      <c r="K636" s="63" t="e">
        <f t="shared" si="74"/>
        <v>#REF!</v>
      </c>
      <c r="L636" s="64" t="e">
        <f>#REF!</f>
        <v>#REF!</v>
      </c>
      <c r="M636" s="61" t="e">
        <f>IF(L636&lt;0,Pricing!E636*$N$5,0)</f>
        <v>#REF!</v>
      </c>
      <c r="N636" s="61" t="e">
        <f t="shared" si="75"/>
        <v>#REF!</v>
      </c>
      <c r="O636" s="60" t="e">
        <f>#REF!</f>
        <v>#REF!</v>
      </c>
      <c r="P636" s="61" t="e">
        <f>IF(O636&lt;0,Pricing!E636*$Q$5,0)</f>
        <v>#REF!</v>
      </c>
      <c r="Q636" s="61" t="e">
        <f t="shared" si="76"/>
        <v>#REF!</v>
      </c>
      <c r="R636" s="60" t="e">
        <f>#REF!</f>
        <v>#REF!</v>
      </c>
      <c r="S636" s="61" t="e">
        <f>IF(R636&lt;0,Pricing!E636*$T$5,0)</f>
        <v>#REF!</v>
      </c>
      <c r="T636" s="61" t="e">
        <f t="shared" si="77"/>
        <v>#REF!</v>
      </c>
    </row>
    <row r="637" spans="1:20" x14ac:dyDescent="0.25">
      <c r="A637" s="58">
        <f t="shared" si="78"/>
        <v>44557.249999998472</v>
      </c>
      <c r="B637" s="59">
        <f t="shared" si="79"/>
        <v>44557.291666665136</v>
      </c>
      <c r="C637" s="60" t="e">
        <f>#REF!</f>
        <v>#REF!</v>
      </c>
      <c r="D637" s="61" t="e">
        <f>IF(C637&gt;0,Pricing!E637*$E$5,0)</f>
        <v>#REF!</v>
      </c>
      <c r="E637" s="61" t="e">
        <f t="shared" si="72"/>
        <v>#REF!</v>
      </c>
      <c r="F637" s="60" t="e">
        <f>#REF!</f>
        <v>#REF!</v>
      </c>
      <c r="G637" s="61" t="e">
        <f>IF(F637&gt;0,Pricing!E637*$H$5,0)</f>
        <v>#REF!</v>
      </c>
      <c r="H637" s="61" t="e">
        <f t="shared" si="73"/>
        <v>#REF!</v>
      </c>
      <c r="I637" s="62" t="e">
        <f>#REF!</f>
        <v>#REF!</v>
      </c>
      <c r="J637" s="61" t="e">
        <f>IF(I637&gt;0,Pricing!E637*$K$5,0)</f>
        <v>#REF!</v>
      </c>
      <c r="K637" s="63" t="e">
        <f t="shared" si="74"/>
        <v>#REF!</v>
      </c>
      <c r="L637" s="64" t="e">
        <f>#REF!</f>
        <v>#REF!</v>
      </c>
      <c r="M637" s="61" t="e">
        <f>IF(L637&lt;0,Pricing!E637*$N$5,0)</f>
        <v>#REF!</v>
      </c>
      <c r="N637" s="61" t="e">
        <f t="shared" si="75"/>
        <v>#REF!</v>
      </c>
      <c r="O637" s="60" t="e">
        <f>#REF!</f>
        <v>#REF!</v>
      </c>
      <c r="P637" s="61" t="e">
        <f>IF(O637&lt;0,Pricing!E637*$Q$5,0)</f>
        <v>#REF!</v>
      </c>
      <c r="Q637" s="61" t="e">
        <f t="shared" si="76"/>
        <v>#REF!</v>
      </c>
      <c r="R637" s="60" t="e">
        <f>#REF!</f>
        <v>#REF!</v>
      </c>
      <c r="S637" s="61" t="e">
        <f>IF(R637&lt;0,Pricing!E637*$T$5,0)</f>
        <v>#REF!</v>
      </c>
      <c r="T637" s="61" t="e">
        <f t="shared" si="77"/>
        <v>#REF!</v>
      </c>
    </row>
    <row r="638" spans="1:20" x14ac:dyDescent="0.25">
      <c r="A638" s="58">
        <f t="shared" si="78"/>
        <v>44557.291666665136</v>
      </c>
      <c r="B638" s="59">
        <f t="shared" si="79"/>
        <v>44557.333333331801</v>
      </c>
      <c r="C638" s="60" t="e">
        <f>#REF!</f>
        <v>#REF!</v>
      </c>
      <c r="D638" s="61" t="e">
        <f>IF(C638&gt;0,Pricing!E638*$E$5,0)</f>
        <v>#REF!</v>
      </c>
      <c r="E638" s="61" t="e">
        <f t="shared" si="72"/>
        <v>#REF!</v>
      </c>
      <c r="F638" s="60" t="e">
        <f>#REF!</f>
        <v>#REF!</v>
      </c>
      <c r="G638" s="61" t="e">
        <f>IF(F638&gt;0,Pricing!E638*$H$5,0)</f>
        <v>#REF!</v>
      </c>
      <c r="H638" s="61" t="e">
        <f t="shared" si="73"/>
        <v>#REF!</v>
      </c>
      <c r="I638" s="62" t="e">
        <f>#REF!</f>
        <v>#REF!</v>
      </c>
      <c r="J638" s="61" t="e">
        <f>IF(I638&gt;0,Pricing!E638*$K$5,0)</f>
        <v>#REF!</v>
      </c>
      <c r="K638" s="63" t="e">
        <f t="shared" si="74"/>
        <v>#REF!</v>
      </c>
      <c r="L638" s="64" t="e">
        <f>#REF!</f>
        <v>#REF!</v>
      </c>
      <c r="M638" s="61" t="e">
        <f>IF(L638&lt;0,Pricing!E638*$N$5,0)</f>
        <v>#REF!</v>
      </c>
      <c r="N638" s="61" t="e">
        <f t="shared" si="75"/>
        <v>#REF!</v>
      </c>
      <c r="O638" s="60" t="e">
        <f>#REF!</f>
        <v>#REF!</v>
      </c>
      <c r="P638" s="61" t="e">
        <f>IF(O638&lt;0,Pricing!E638*$Q$5,0)</f>
        <v>#REF!</v>
      </c>
      <c r="Q638" s="61" t="e">
        <f t="shared" si="76"/>
        <v>#REF!</v>
      </c>
      <c r="R638" s="60" t="e">
        <f>#REF!</f>
        <v>#REF!</v>
      </c>
      <c r="S638" s="61" t="e">
        <f>IF(R638&lt;0,Pricing!E638*$T$5,0)</f>
        <v>#REF!</v>
      </c>
      <c r="T638" s="61" t="e">
        <f t="shared" si="77"/>
        <v>#REF!</v>
      </c>
    </row>
    <row r="639" spans="1:20" x14ac:dyDescent="0.25">
      <c r="A639" s="58">
        <f t="shared" si="78"/>
        <v>44557.333333331801</v>
      </c>
      <c r="B639" s="59">
        <f t="shared" si="79"/>
        <v>44557.374999998465</v>
      </c>
      <c r="C639" s="60" t="e">
        <f>#REF!</f>
        <v>#REF!</v>
      </c>
      <c r="D639" s="61" t="e">
        <f>IF(C639&gt;0,Pricing!E639*$E$5,0)</f>
        <v>#REF!</v>
      </c>
      <c r="E639" s="61" t="e">
        <f t="shared" si="72"/>
        <v>#REF!</v>
      </c>
      <c r="F639" s="60" t="e">
        <f>#REF!</f>
        <v>#REF!</v>
      </c>
      <c r="G639" s="61" t="e">
        <f>IF(F639&gt;0,Pricing!E639*$H$5,0)</f>
        <v>#REF!</v>
      </c>
      <c r="H639" s="61" t="e">
        <f t="shared" si="73"/>
        <v>#REF!</v>
      </c>
      <c r="I639" s="62" t="e">
        <f>#REF!</f>
        <v>#REF!</v>
      </c>
      <c r="J639" s="61" t="e">
        <f>IF(I639&gt;0,Pricing!E639*$K$5,0)</f>
        <v>#REF!</v>
      </c>
      <c r="K639" s="63" t="e">
        <f t="shared" si="74"/>
        <v>#REF!</v>
      </c>
      <c r="L639" s="64" t="e">
        <f>#REF!</f>
        <v>#REF!</v>
      </c>
      <c r="M639" s="61" t="e">
        <f>IF(L639&lt;0,Pricing!E639*$N$5,0)</f>
        <v>#REF!</v>
      </c>
      <c r="N639" s="61" t="e">
        <f t="shared" si="75"/>
        <v>#REF!</v>
      </c>
      <c r="O639" s="60" t="e">
        <f>#REF!</f>
        <v>#REF!</v>
      </c>
      <c r="P639" s="61" t="e">
        <f>IF(O639&lt;0,Pricing!E639*$Q$5,0)</f>
        <v>#REF!</v>
      </c>
      <c r="Q639" s="61" t="e">
        <f t="shared" si="76"/>
        <v>#REF!</v>
      </c>
      <c r="R639" s="60" t="e">
        <f>#REF!</f>
        <v>#REF!</v>
      </c>
      <c r="S639" s="61" t="e">
        <f>IF(R639&lt;0,Pricing!E639*$T$5,0)</f>
        <v>#REF!</v>
      </c>
      <c r="T639" s="61" t="e">
        <f t="shared" si="77"/>
        <v>#REF!</v>
      </c>
    </row>
    <row r="640" spans="1:20" x14ac:dyDescent="0.25">
      <c r="A640" s="58">
        <f t="shared" si="78"/>
        <v>44557.374999998465</v>
      </c>
      <c r="B640" s="59">
        <f t="shared" si="79"/>
        <v>44557.416666665129</v>
      </c>
      <c r="C640" s="60" t="e">
        <f>#REF!</f>
        <v>#REF!</v>
      </c>
      <c r="D640" s="61" t="e">
        <f>IF(C640&gt;0,Pricing!E640*$E$5,0)</f>
        <v>#REF!</v>
      </c>
      <c r="E640" s="61" t="e">
        <f t="shared" si="72"/>
        <v>#REF!</v>
      </c>
      <c r="F640" s="60" t="e">
        <f>#REF!</f>
        <v>#REF!</v>
      </c>
      <c r="G640" s="61" t="e">
        <f>IF(F640&gt;0,Pricing!E640*$H$5,0)</f>
        <v>#REF!</v>
      </c>
      <c r="H640" s="61" t="e">
        <f t="shared" si="73"/>
        <v>#REF!</v>
      </c>
      <c r="I640" s="62" t="e">
        <f>#REF!</f>
        <v>#REF!</v>
      </c>
      <c r="J640" s="61" t="e">
        <f>IF(I640&gt;0,Pricing!E640*$K$5,0)</f>
        <v>#REF!</v>
      </c>
      <c r="K640" s="63" t="e">
        <f t="shared" si="74"/>
        <v>#REF!</v>
      </c>
      <c r="L640" s="64" t="e">
        <f>#REF!</f>
        <v>#REF!</v>
      </c>
      <c r="M640" s="61" t="e">
        <f>IF(L640&lt;0,Pricing!E640*$N$5,0)</f>
        <v>#REF!</v>
      </c>
      <c r="N640" s="61" t="e">
        <f t="shared" si="75"/>
        <v>#REF!</v>
      </c>
      <c r="O640" s="60" t="e">
        <f>#REF!</f>
        <v>#REF!</v>
      </c>
      <c r="P640" s="61" t="e">
        <f>IF(O640&lt;0,Pricing!E640*$Q$5,0)</f>
        <v>#REF!</v>
      </c>
      <c r="Q640" s="61" t="e">
        <f t="shared" si="76"/>
        <v>#REF!</v>
      </c>
      <c r="R640" s="60" t="e">
        <f>#REF!</f>
        <v>#REF!</v>
      </c>
      <c r="S640" s="61" t="e">
        <f>IF(R640&lt;0,Pricing!E640*$T$5,0)</f>
        <v>#REF!</v>
      </c>
      <c r="T640" s="61" t="e">
        <f t="shared" si="77"/>
        <v>#REF!</v>
      </c>
    </row>
    <row r="641" spans="1:20" x14ac:dyDescent="0.25">
      <c r="A641" s="58">
        <f t="shared" si="78"/>
        <v>44557.416666665129</v>
      </c>
      <c r="B641" s="59">
        <f t="shared" si="79"/>
        <v>44557.458333331793</v>
      </c>
      <c r="C641" s="60" t="e">
        <f>#REF!</f>
        <v>#REF!</v>
      </c>
      <c r="D641" s="61" t="e">
        <f>IF(C641&gt;0,Pricing!E641*$E$5,0)</f>
        <v>#REF!</v>
      </c>
      <c r="E641" s="61" t="e">
        <f t="shared" si="72"/>
        <v>#REF!</v>
      </c>
      <c r="F641" s="60" t="e">
        <f>#REF!</f>
        <v>#REF!</v>
      </c>
      <c r="G641" s="61" t="e">
        <f>IF(F641&gt;0,Pricing!E641*$H$5,0)</f>
        <v>#REF!</v>
      </c>
      <c r="H641" s="61" t="e">
        <f t="shared" si="73"/>
        <v>#REF!</v>
      </c>
      <c r="I641" s="62" t="e">
        <f>#REF!</f>
        <v>#REF!</v>
      </c>
      <c r="J641" s="61" t="e">
        <f>IF(I641&gt;0,Pricing!E641*$K$5,0)</f>
        <v>#REF!</v>
      </c>
      <c r="K641" s="63" t="e">
        <f t="shared" si="74"/>
        <v>#REF!</v>
      </c>
      <c r="L641" s="64" t="e">
        <f>#REF!</f>
        <v>#REF!</v>
      </c>
      <c r="M641" s="61" t="e">
        <f>IF(L641&lt;0,Pricing!E641*$N$5,0)</f>
        <v>#REF!</v>
      </c>
      <c r="N641" s="61" t="e">
        <f t="shared" si="75"/>
        <v>#REF!</v>
      </c>
      <c r="O641" s="60" t="e">
        <f>#REF!</f>
        <v>#REF!</v>
      </c>
      <c r="P641" s="61" t="e">
        <f>IF(O641&lt;0,Pricing!E641*$Q$5,0)</f>
        <v>#REF!</v>
      </c>
      <c r="Q641" s="61" t="e">
        <f t="shared" si="76"/>
        <v>#REF!</v>
      </c>
      <c r="R641" s="60" t="e">
        <f>#REF!</f>
        <v>#REF!</v>
      </c>
      <c r="S641" s="61" t="e">
        <f>IF(R641&lt;0,Pricing!E641*$T$5,0)</f>
        <v>#REF!</v>
      </c>
      <c r="T641" s="61" t="e">
        <f t="shared" si="77"/>
        <v>#REF!</v>
      </c>
    </row>
    <row r="642" spans="1:20" x14ac:dyDescent="0.25">
      <c r="A642" s="58">
        <f t="shared" si="78"/>
        <v>44557.458333331793</v>
      </c>
      <c r="B642" s="59">
        <f t="shared" si="79"/>
        <v>44557.499999998457</v>
      </c>
      <c r="C642" s="60" t="e">
        <f>#REF!</f>
        <v>#REF!</v>
      </c>
      <c r="D642" s="61" t="e">
        <f>IF(C642&gt;0,Pricing!E642*$E$5,0)</f>
        <v>#REF!</v>
      </c>
      <c r="E642" s="61" t="e">
        <f t="shared" si="72"/>
        <v>#REF!</v>
      </c>
      <c r="F642" s="60" t="e">
        <f>#REF!</f>
        <v>#REF!</v>
      </c>
      <c r="G642" s="61" t="e">
        <f>IF(F642&gt;0,Pricing!E642*$H$5,0)</f>
        <v>#REF!</v>
      </c>
      <c r="H642" s="61" t="e">
        <f t="shared" si="73"/>
        <v>#REF!</v>
      </c>
      <c r="I642" s="62" t="e">
        <f>#REF!</f>
        <v>#REF!</v>
      </c>
      <c r="J642" s="61" t="e">
        <f>IF(I642&gt;0,Pricing!E642*$K$5,0)</f>
        <v>#REF!</v>
      </c>
      <c r="K642" s="63" t="e">
        <f t="shared" si="74"/>
        <v>#REF!</v>
      </c>
      <c r="L642" s="64" t="e">
        <f>#REF!</f>
        <v>#REF!</v>
      </c>
      <c r="M642" s="61" t="e">
        <f>IF(L642&lt;0,Pricing!E642*$N$5,0)</f>
        <v>#REF!</v>
      </c>
      <c r="N642" s="61" t="e">
        <f t="shared" si="75"/>
        <v>#REF!</v>
      </c>
      <c r="O642" s="60" t="e">
        <f>#REF!</f>
        <v>#REF!</v>
      </c>
      <c r="P642" s="61" t="e">
        <f>IF(O642&lt;0,Pricing!E642*$Q$5,0)</f>
        <v>#REF!</v>
      </c>
      <c r="Q642" s="61" t="e">
        <f t="shared" si="76"/>
        <v>#REF!</v>
      </c>
      <c r="R642" s="60" t="e">
        <f>#REF!</f>
        <v>#REF!</v>
      </c>
      <c r="S642" s="61" t="e">
        <f>IF(R642&lt;0,Pricing!E642*$T$5,0)</f>
        <v>#REF!</v>
      </c>
      <c r="T642" s="61" t="e">
        <f t="shared" si="77"/>
        <v>#REF!</v>
      </c>
    </row>
    <row r="643" spans="1:20" x14ac:dyDescent="0.25">
      <c r="A643" s="58">
        <f t="shared" si="78"/>
        <v>44557.499999998457</v>
      </c>
      <c r="B643" s="59">
        <f t="shared" si="79"/>
        <v>44557.541666665122</v>
      </c>
      <c r="C643" s="60" t="e">
        <f>#REF!</f>
        <v>#REF!</v>
      </c>
      <c r="D643" s="61" t="e">
        <f>IF(C643&gt;0,Pricing!E643*$E$5,0)</f>
        <v>#REF!</v>
      </c>
      <c r="E643" s="61" t="e">
        <f t="shared" si="72"/>
        <v>#REF!</v>
      </c>
      <c r="F643" s="60" t="e">
        <f>#REF!</f>
        <v>#REF!</v>
      </c>
      <c r="G643" s="61" t="e">
        <f>IF(F643&gt;0,Pricing!E643*$H$5,0)</f>
        <v>#REF!</v>
      </c>
      <c r="H643" s="61" t="e">
        <f t="shared" si="73"/>
        <v>#REF!</v>
      </c>
      <c r="I643" s="62" t="e">
        <f>#REF!</f>
        <v>#REF!</v>
      </c>
      <c r="J643" s="61" t="e">
        <f>IF(I643&gt;0,Pricing!E643*$K$5,0)</f>
        <v>#REF!</v>
      </c>
      <c r="K643" s="63" t="e">
        <f t="shared" si="74"/>
        <v>#REF!</v>
      </c>
      <c r="L643" s="64" t="e">
        <f>#REF!</f>
        <v>#REF!</v>
      </c>
      <c r="M643" s="61" t="e">
        <f>IF(L643&lt;0,Pricing!E643*$N$5,0)</f>
        <v>#REF!</v>
      </c>
      <c r="N643" s="61" t="e">
        <f t="shared" si="75"/>
        <v>#REF!</v>
      </c>
      <c r="O643" s="60" t="e">
        <f>#REF!</f>
        <v>#REF!</v>
      </c>
      <c r="P643" s="61" t="e">
        <f>IF(O643&lt;0,Pricing!E643*$Q$5,0)</f>
        <v>#REF!</v>
      </c>
      <c r="Q643" s="61" t="e">
        <f t="shared" si="76"/>
        <v>#REF!</v>
      </c>
      <c r="R643" s="60" t="e">
        <f>#REF!</f>
        <v>#REF!</v>
      </c>
      <c r="S643" s="61" t="e">
        <f>IF(R643&lt;0,Pricing!E643*$T$5,0)</f>
        <v>#REF!</v>
      </c>
      <c r="T643" s="61" t="e">
        <f t="shared" si="77"/>
        <v>#REF!</v>
      </c>
    </row>
    <row r="644" spans="1:20" x14ac:dyDescent="0.25">
      <c r="A644" s="58">
        <f t="shared" si="78"/>
        <v>44557.541666665122</v>
      </c>
      <c r="B644" s="59">
        <f t="shared" si="79"/>
        <v>44557.583333331786</v>
      </c>
      <c r="C644" s="60" t="e">
        <f>#REF!</f>
        <v>#REF!</v>
      </c>
      <c r="D644" s="61" t="e">
        <f>IF(C644&gt;0,Pricing!E644*$E$5,0)</f>
        <v>#REF!</v>
      </c>
      <c r="E644" s="61" t="e">
        <f t="shared" si="72"/>
        <v>#REF!</v>
      </c>
      <c r="F644" s="60" t="e">
        <f>#REF!</f>
        <v>#REF!</v>
      </c>
      <c r="G644" s="61" t="e">
        <f>IF(F644&gt;0,Pricing!E644*$H$5,0)</f>
        <v>#REF!</v>
      </c>
      <c r="H644" s="61" t="e">
        <f t="shared" si="73"/>
        <v>#REF!</v>
      </c>
      <c r="I644" s="62" t="e">
        <f>#REF!</f>
        <v>#REF!</v>
      </c>
      <c r="J644" s="61" t="e">
        <f>IF(I644&gt;0,Pricing!E644*$K$5,0)</f>
        <v>#REF!</v>
      </c>
      <c r="K644" s="63" t="e">
        <f t="shared" si="74"/>
        <v>#REF!</v>
      </c>
      <c r="L644" s="64" t="e">
        <f>#REF!</f>
        <v>#REF!</v>
      </c>
      <c r="M644" s="61" t="e">
        <f>IF(L644&lt;0,Pricing!E644*$N$5,0)</f>
        <v>#REF!</v>
      </c>
      <c r="N644" s="61" t="e">
        <f t="shared" si="75"/>
        <v>#REF!</v>
      </c>
      <c r="O644" s="60" t="e">
        <f>#REF!</f>
        <v>#REF!</v>
      </c>
      <c r="P644" s="61" t="e">
        <f>IF(O644&lt;0,Pricing!E644*$Q$5,0)</f>
        <v>#REF!</v>
      </c>
      <c r="Q644" s="61" t="e">
        <f t="shared" si="76"/>
        <v>#REF!</v>
      </c>
      <c r="R644" s="60" t="e">
        <f>#REF!</f>
        <v>#REF!</v>
      </c>
      <c r="S644" s="61" t="e">
        <f>IF(R644&lt;0,Pricing!E644*$T$5,0)</f>
        <v>#REF!</v>
      </c>
      <c r="T644" s="61" t="e">
        <f t="shared" si="77"/>
        <v>#REF!</v>
      </c>
    </row>
    <row r="645" spans="1:20" x14ac:dyDescent="0.25">
      <c r="A645" s="58">
        <f t="shared" si="78"/>
        <v>44557.583333331786</v>
      </c>
      <c r="B645" s="59">
        <f t="shared" si="79"/>
        <v>44557.62499999845</v>
      </c>
      <c r="C645" s="60" t="e">
        <f>#REF!</f>
        <v>#REF!</v>
      </c>
      <c r="D645" s="61" t="e">
        <f>IF(C645&gt;0,Pricing!E645*$E$5,0)</f>
        <v>#REF!</v>
      </c>
      <c r="E645" s="61" t="e">
        <f t="shared" si="72"/>
        <v>#REF!</v>
      </c>
      <c r="F645" s="60" t="e">
        <f>#REF!</f>
        <v>#REF!</v>
      </c>
      <c r="G645" s="61" t="e">
        <f>IF(F645&gt;0,Pricing!E645*$H$5,0)</f>
        <v>#REF!</v>
      </c>
      <c r="H645" s="61" t="e">
        <f t="shared" si="73"/>
        <v>#REF!</v>
      </c>
      <c r="I645" s="62" t="e">
        <f>#REF!</f>
        <v>#REF!</v>
      </c>
      <c r="J645" s="61" t="e">
        <f>IF(I645&gt;0,Pricing!E645*$K$5,0)</f>
        <v>#REF!</v>
      </c>
      <c r="K645" s="63" t="e">
        <f t="shared" si="74"/>
        <v>#REF!</v>
      </c>
      <c r="L645" s="64" t="e">
        <f>#REF!</f>
        <v>#REF!</v>
      </c>
      <c r="M645" s="61" t="e">
        <f>IF(L645&lt;0,Pricing!E645*$N$5,0)</f>
        <v>#REF!</v>
      </c>
      <c r="N645" s="61" t="e">
        <f t="shared" si="75"/>
        <v>#REF!</v>
      </c>
      <c r="O645" s="60" t="e">
        <f>#REF!</f>
        <v>#REF!</v>
      </c>
      <c r="P645" s="61" t="e">
        <f>IF(O645&lt;0,Pricing!E645*$Q$5,0)</f>
        <v>#REF!</v>
      </c>
      <c r="Q645" s="61" t="e">
        <f t="shared" si="76"/>
        <v>#REF!</v>
      </c>
      <c r="R645" s="60" t="e">
        <f>#REF!</f>
        <v>#REF!</v>
      </c>
      <c r="S645" s="61" t="e">
        <f>IF(R645&lt;0,Pricing!E645*$T$5,0)</f>
        <v>#REF!</v>
      </c>
      <c r="T645" s="61" t="e">
        <f t="shared" si="77"/>
        <v>#REF!</v>
      </c>
    </row>
    <row r="646" spans="1:20" x14ac:dyDescent="0.25">
      <c r="A646" s="58">
        <f t="shared" si="78"/>
        <v>44557.62499999845</v>
      </c>
      <c r="B646" s="59">
        <f t="shared" si="79"/>
        <v>44557.666666665114</v>
      </c>
      <c r="C646" s="60" t="e">
        <f>#REF!</f>
        <v>#REF!</v>
      </c>
      <c r="D646" s="61" t="e">
        <f>IF(C646&gt;0,Pricing!E646*$E$5,0)</f>
        <v>#REF!</v>
      </c>
      <c r="E646" s="61" t="e">
        <f t="shared" si="72"/>
        <v>#REF!</v>
      </c>
      <c r="F646" s="60" t="e">
        <f>#REF!</f>
        <v>#REF!</v>
      </c>
      <c r="G646" s="61" t="e">
        <f>IF(F646&gt;0,Pricing!E646*$H$5,0)</f>
        <v>#REF!</v>
      </c>
      <c r="H646" s="61" t="e">
        <f t="shared" si="73"/>
        <v>#REF!</v>
      </c>
      <c r="I646" s="62" t="e">
        <f>#REF!</f>
        <v>#REF!</v>
      </c>
      <c r="J646" s="61" t="e">
        <f>IF(I646&gt;0,Pricing!E646*$K$5,0)</f>
        <v>#REF!</v>
      </c>
      <c r="K646" s="63" t="e">
        <f t="shared" si="74"/>
        <v>#REF!</v>
      </c>
      <c r="L646" s="64" t="e">
        <f>#REF!</f>
        <v>#REF!</v>
      </c>
      <c r="M646" s="61" t="e">
        <f>IF(L646&lt;0,Pricing!E646*$N$5,0)</f>
        <v>#REF!</v>
      </c>
      <c r="N646" s="61" t="e">
        <f t="shared" si="75"/>
        <v>#REF!</v>
      </c>
      <c r="O646" s="60" t="e">
        <f>#REF!</f>
        <v>#REF!</v>
      </c>
      <c r="P646" s="61" t="e">
        <f>IF(O646&lt;0,Pricing!E646*$Q$5,0)</f>
        <v>#REF!</v>
      </c>
      <c r="Q646" s="61" t="e">
        <f t="shared" si="76"/>
        <v>#REF!</v>
      </c>
      <c r="R646" s="60" t="e">
        <f>#REF!</f>
        <v>#REF!</v>
      </c>
      <c r="S646" s="61" t="e">
        <f>IF(R646&lt;0,Pricing!E646*$T$5,0)</f>
        <v>#REF!</v>
      </c>
      <c r="T646" s="61" t="e">
        <f t="shared" si="77"/>
        <v>#REF!</v>
      </c>
    </row>
    <row r="647" spans="1:20" x14ac:dyDescent="0.25">
      <c r="A647" s="58">
        <f t="shared" si="78"/>
        <v>44557.666666665114</v>
      </c>
      <c r="B647" s="59">
        <f t="shared" si="79"/>
        <v>44557.708333331779</v>
      </c>
      <c r="C647" s="60" t="e">
        <f>#REF!</f>
        <v>#REF!</v>
      </c>
      <c r="D647" s="61" t="e">
        <f>IF(C647&gt;0,Pricing!E647*$E$5,0)</f>
        <v>#REF!</v>
      </c>
      <c r="E647" s="61" t="e">
        <f t="shared" si="72"/>
        <v>#REF!</v>
      </c>
      <c r="F647" s="60" t="e">
        <f>#REF!</f>
        <v>#REF!</v>
      </c>
      <c r="G647" s="61" t="e">
        <f>IF(F647&gt;0,Pricing!E647*$H$5,0)</f>
        <v>#REF!</v>
      </c>
      <c r="H647" s="61" t="e">
        <f t="shared" si="73"/>
        <v>#REF!</v>
      </c>
      <c r="I647" s="62" t="e">
        <f>#REF!</f>
        <v>#REF!</v>
      </c>
      <c r="J647" s="61" t="e">
        <f>IF(I647&gt;0,Pricing!E647*$K$5,0)</f>
        <v>#REF!</v>
      </c>
      <c r="K647" s="63" t="e">
        <f t="shared" si="74"/>
        <v>#REF!</v>
      </c>
      <c r="L647" s="64" t="e">
        <f>#REF!</f>
        <v>#REF!</v>
      </c>
      <c r="M647" s="61" t="e">
        <f>IF(L647&lt;0,Pricing!E647*$N$5,0)</f>
        <v>#REF!</v>
      </c>
      <c r="N647" s="61" t="e">
        <f t="shared" si="75"/>
        <v>#REF!</v>
      </c>
      <c r="O647" s="60" t="e">
        <f>#REF!</f>
        <v>#REF!</v>
      </c>
      <c r="P647" s="61" t="e">
        <f>IF(O647&lt;0,Pricing!E647*$Q$5,0)</f>
        <v>#REF!</v>
      </c>
      <c r="Q647" s="61" t="e">
        <f t="shared" si="76"/>
        <v>#REF!</v>
      </c>
      <c r="R647" s="60" t="e">
        <f>#REF!</f>
        <v>#REF!</v>
      </c>
      <c r="S647" s="61" t="e">
        <f>IF(R647&lt;0,Pricing!E647*$T$5,0)</f>
        <v>#REF!</v>
      </c>
      <c r="T647" s="61" t="e">
        <f t="shared" si="77"/>
        <v>#REF!</v>
      </c>
    </row>
    <row r="648" spans="1:20" x14ac:dyDescent="0.25">
      <c r="A648" s="58">
        <f t="shared" si="78"/>
        <v>44557.708333331779</v>
      </c>
      <c r="B648" s="59">
        <f t="shared" si="79"/>
        <v>44557.749999998443</v>
      </c>
      <c r="C648" s="60" t="e">
        <f>#REF!</f>
        <v>#REF!</v>
      </c>
      <c r="D648" s="61" t="e">
        <f>IF(C648&gt;0,Pricing!E648*$E$5,0)</f>
        <v>#REF!</v>
      </c>
      <c r="E648" s="61" t="e">
        <f t="shared" ref="E648:E678" si="80">C648*D648</f>
        <v>#REF!</v>
      </c>
      <c r="F648" s="60" t="e">
        <f>#REF!</f>
        <v>#REF!</v>
      </c>
      <c r="G648" s="61" t="e">
        <f>IF(F648&gt;0,Pricing!E648*$H$5,0)</f>
        <v>#REF!</v>
      </c>
      <c r="H648" s="61" t="e">
        <f t="shared" ref="H648:H678" si="81">F648*G648</f>
        <v>#REF!</v>
      </c>
      <c r="I648" s="62" t="e">
        <f>#REF!</f>
        <v>#REF!</v>
      </c>
      <c r="J648" s="61" t="e">
        <f>IF(I648&gt;0,Pricing!E648*$K$5,0)</f>
        <v>#REF!</v>
      </c>
      <c r="K648" s="63" t="e">
        <f t="shared" ref="K648:K678" si="82">I648*J648</f>
        <v>#REF!</v>
      </c>
      <c r="L648" s="64" t="e">
        <f>#REF!</f>
        <v>#REF!</v>
      </c>
      <c r="M648" s="61" t="e">
        <f>IF(L648&lt;0,Pricing!E648*$N$5,0)</f>
        <v>#REF!</v>
      </c>
      <c r="N648" s="61" t="e">
        <f t="shared" ref="N648:N678" si="83">L648*M648</f>
        <v>#REF!</v>
      </c>
      <c r="O648" s="60" t="e">
        <f>#REF!</f>
        <v>#REF!</v>
      </c>
      <c r="P648" s="61" t="e">
        <f>IF(O648&lt;0,Pricing!E648*$Q$5,0)</f>
        <v>#REF!</v>
      </c>
      <c r="Q648" s="61" t="e">
        <f t="shared" ref="Q648:Q678" si="84">O648*P648</f>
        <v>#REF!</v>
      </c>
      <c r="R648" s="60" t="e">
        <f>#REF!</f>
        <v>#REF!</v>
      </c>
      <c r="S648" s="61" t="e">
        <f>IF(R648&lt;0,Pricing!E648*$T$5,0)</f>
        <v>#REF!</v>
      </c>
      <c r="T648" s="61" t="e">
        <f t="shared" ref="T648:T678" si="85">R648*S648</f>
        <v>#REF!</v>
      </c>
    </row>
    <row r="649" spans="1:20" x14ac:dyDescent="0.25">
      <c r="A649" s="58">
        <f t="shared" ref="A649:A712" si="86">$A648+1/24</f>
        <v>44557.749999998443</v>
      </c>
      <c r="B649" s="59">
        <f t="shared" ref="B649:B712" si="87">B648+1/24</f>
        <v>44557.791666665107</v>
      </c>
      <c r="C649" s="60" t="e">
        <f>#REF!</f>
        <v>#REF!</v>
      </c>
      <c r="D649" s="61" t="e">
        <f>IF(C649&gt;0,Pricing!E649*$E$5,0)</f>
        <v>#REF!</v>
      </c>
      <c r="E649" s="61" t="e">
        <f t="shared" si="80"/>
        <v>#REF!</v>
      </c>
      <c r="F649" s="60" t="e">
        <f>#REF!</f>
        <v>#REF!</v>
      </c>
      <c r="G649" s="61" t="e">
        <f>IF(F649&gt;0,Pricing!E649*$H$5,0)</f>
        <v>#REF!</v>
      </c>
      <c r="H649" s="61" t="e">
        <f t="shared" si="81"/>
        <v>#REF!</v>
      </c>
      <c r="I649" s="62" t="e">
        <f>#REF!</f>
        <v>#REF!</v>
      </c>
      <c r="J649" s="61" t="e">
        <f>IF(I649&gt;0,Pricing!E649*$K$5,0)</f>
        <v>#REF!</v>
      </c>
      <c r="K649" s="63" t="e">
        <f t="shared" si="82"/>
        <v>#REF!</v>
      </c>
      <c r="L649" s="64" t="e">
        <f>#REF!</f>
        <v>#REF!</v>
      </c>
      <c r="M649" s="61" t="e">
        <f>IF(L649&lt;0,Pricing!E649*$N$5,0)</f>
        <v>#REF!</v>
      </c>
      <c r="N649" s="61" t="e">
        <f t="shared" si="83"/>
        <v>#REF!</v>
      </c>
      <c r="O649" s="60" t="e">
        <f>#REF!</f>
        <v>#REF!</v>
      </c>
      <c r="P649" s="61" t="e">
        <f>IF(O649&lt;0,Pricing!E649*$Q$5,0)</f>
        <v>#REF!</v>
      </c>
      <c r="Q649" s="61" t="e">
        <f t="shared" si="84"/>
        <v>#REF!</v>
      </c>
      <c r="R649" s="60" t="e">
        <f>#REF!</f>
        <v>#REF!</v>
      </c>
      <c r="S649" s="61" t="e">
        <f>IF(R649&lt;0,Pricing!E649*$T$5,0)</f>
        <v>#REF!</v>
      </c>
      <c r="T649" s="61" t="e">
        <f t="shared" si="85"/>
        <v>#REF!</v>
      </c>
    </row>
    <row r="650" spans="1:20" x14ac:dyDescent="0.25">
      <c r="A650" s="58">
        <f t="shared" si="86"/>
        <v>44557.791666665107</v>
      </c>
      <c r="B650" s="59">
        <f t="shared" si="87"/>
        <v>44557.833333331771</v>
      </c>
      <c r="C650" s="60" t="e">
        <f>#REF!</f>
        <v>#REF!</v>
      </c>
      <c r="D650" s="61" t="e">
        <f>IF(C650&gt;0,Pricing!E650*$E$5,0)</f>
        <v>#REF!</v>
      </c>
      <c r="E650" s="61" t="e">
        <f t="shared" si="80"/>
        <v>#REF!</v>
      </c>
      <c r="F650" s="60" t="e">
        <f>#REF!</f>
        <v>#REF!</v>
      </c>
      <c r="G650" s="61" t="e">
        <f>IF(F650&gt;0,Pricing!E650*$H$5,0)</f>
        <v>#REF!</v>
      </c>
      <c r="H650" s="61" t="e">
        <f t="shared" si="81"/>
        <v>#REF!</v>
      </c>
      <c r="I650" s="62" t="e">
        <f>#REF!</f>
        <v>#REF!</v>
      </c>
      <c r="J650" s="61" t="e">
        <f>IF(I650&gt;0,Pricing!E650*$K$5,0)</f>
        <v>#REF!</v>
      </c>
      <c r="K650" s="63" t="e">
        <f t="shared" si="82"/>
        <v>#REF!</v>
      </c>
      <c r="L650" s="64" t="e">
        <f>#REF!</f>
        <v>#REF!</v>
      </c>
      <c r="M650" s="61" t="e">
        <f>IF(L650&lt;0,Pricing!E650*$N$5,0)</f>
        <v>#REF!</v>
      </c>
      <c r="N650" s="61" t="e">
        <f t="shared" si="83"/>
        <v>#REF!</v>
      </c>
      <c r="O650" s="60" t="e">
        <f>#REF!</f>
        <v>#REF!</v>
      </c>
      <c r="P650" s="61" t="e">
        <f>IF(O650&lt;0,Pricing!E650*$Q$5,0)</f>
        <v>#REF!</v>
      </c>
      <c r="Q650" s="61" t="e">
        <f t="shared" si="84"/>
        <v>#REF!</v>
      </c>
      <c r="R650" s="60" t="e">
        <f>#REF!</f>
        <v>#REF!</v>
      </c>
      <c r="S650" s="61" t="e">
        <f>IF(R650&lt;0,Pricing!E650*$T$5,0)</f>
        <v>#REF!</v>
      </c>
      <c r="T650" s="61" t="e">
        <f t="shared" si="85"/>
        <v>#REF!</v>
      </c>
    </row>
    <row r="651" spans="1:20" x14ac:dyDescent="0.25">
      <c r="A651" s="58">
        <f t="shared" si="86"/>
        <v>44557.833333331771</v>
      </c>
      <c r="B651" s="59">
        <f t="shared" si="87"/>
        <v>44557.874999998436</v>
      </c>
      <c r="C651" s="60" t="e">
        <f>#REF!</f>
        <v>#REF!</v>
      </c>
      <c r="D651" s="61" t="e">
        <f>IF(C651&gt;0,Pricing!E651*$E$5,0)</f>
        <v>#REF!</v>
      </c>
      <c r="E651" s="61" t="e">
        <f t="shared" si="80"/>
        <v>#REF!</v>
      </c>
      <c r="F651" s="60" t="e">
        <f>#REF!</f>
        <v>#REF!</v>
      </c>
      <c r="G651" s="61" t="e">
        <f>IF(F651&gt;0,Pricing!E651*$H$5,0)</f>
        <v>#REF!</v>
      </c>
      <c r="H651" s="61" t="e">
        <f t="shared" si="81"/>
        <v>#REF!</v>
      </c>
      <c r="I651" s="62" t="e">
        <f>#REF!</f>
        <v>#REF!</v>
      </c>
      <c r="J651" s="61" t="e">
        <f>IF(I651&gt;0,Pricing!E651*$K$5,0)</f>
        <v>#REF!</v>
      </c>
      <c r="K651" s="63" t="e">
        <f t="shared" si="82"/>
        <v>#REF!</v>
      </c>
      <c r="L651" s="64" t="e">
        <f>#REF!</f>
        <v>#REF!</v>
      </c>
      <c r="M651" s="61" t="e">
        <f>IF(L651&lt;0,Pricing!E651*$N$5,0)</f>
        <v>#REF!</v>
      </c>
      <c r="N651" s="61" t="e">
        <f t="shared" si="83"/>
        <v>#REF!</v>
      </c>
      <c r="O651" s="60" t="e">
        <f>#REF!</f>
        <v>#REF!</v>
      </c>
      <c r="P651" s="61" t="e">
        <f>IF(O651&lt;0,Pricing!E651*$Q$5,0)</f>
        <v>#REF!</v>
      </c>
      <c r="Q651" s="61" t="e">
        <f t="shared" si="84"/>
        <v>#REF!</v>
      </c>
      <c r="R651" s="60" t="e">
        <f>#REF!</f>
        <v>#REF!</v>
      </c>
      <c r="S651" s="61" t="e">
        <f>IF(R651&lt;0,Pricing!E651*$T$5,0)</f>
        <v>#REF!</v>
      </c>
      <c r="T651" s="61" t="e">
        <f t="shared" si="85"/>
        <v>#REF!</v>
      </c>
    </row>
    <row r="652" spans="1:20" x14ac:dyDescent="0.25">
      <c r="A652" s="58">
        <f t="shared" si="86"/>
        <v>44557.874999998436</v>
      </c>
      <c r="B652" s="59">
        <f t="shared" si="87"/>
        <v>44557.9166666651</v>
      </c>
      <c r="C652" s="60" t="e">
        <f>#REF!</f>
        <v>#REF!</v>
      </c>
      <c r="D652" s="61" t="e">
        <f>IF(C652&gt;0,Pricing!E652*$E$5,0)</f>
        <v>#REF!</v>
      </c>
      <c r="E652" s="61" t="e">
        <f t="shared" si="80"/>
        <v>#REF!</v>
      </c>
      <c r="F652" s="60" t="e">
        <f>#REF!</f>
        <v>#REF!</v>
      </c>
      <c r="G652" s="61" t="e">
        <f>IF(F652&gt;0,Pricing!E652*$H$5,0)</f>
        <v>#REF!</v>
      </c>
      <c r="H652" s="61" t="e">
        <f t="shared" si="81"/>
        <v>#REF!</v>
      </c>
      <c r="I652" s="62" t="e">
        <f>#REF!</f>
        <v>#REF!</v>
      </c>
      <c r="J652" s="61" t="e">
        <f>IF(I652&gt;0,Pricing!E652*$K$5,0)</f>
        <v>#REF!</v>
      </c>
      <c r="K652" s="63" t="e">
        <f t="shared" si="82"/>
        <v>#REF!</v>
      </c>
      <c r="L652" s="64" t="e">
        <f>#REF!</f>
        <v>#REF!</v>
      </c>
      <c r="M652" s="61" t="e">
        <f>IF(L652&lt;0,Pricing!E652*$N$5,0)</f>
        <v>#REF!</v>
      </c>
      <c r="N652" s="61" t="e">
        <f t="shared" si="83"/>
        <v>#REF!</v>
      </c>
      <c r="O652" s="60" t="e">
        <f>#REF!</f>
        <v>#REF!</v>
      </c>
      <c r="P652" s="61" t="e">
        <f>IF(O652&lt;0,Pricing!E652*$Q$5,0)</f>
        <v>#REF!</v>
      </c>
      <c r="Q652" s="61" t="e">
        <f t="shared" si="84"/>
        <v>#REF!</v>
      </c>
      <c r="R652" s="60" t="e">
        <f>#REF!</f>
        <v>#REF!</v>
      </c>
      <c r="S652" s="61" t="e">
        <f>IF(R652&lt;0,Pricing!E652*$T$5,0)</f>
        <v>#REF!</v>
      </c>
      <c r="T652" s="61" t="e">
        <f t="shared" si="85"/>
        <v>#REF!</v>
      </c>
    </row>
    <row r="653" spans="1:20" x14ac:dyDescent="0.25">
      <c r="A653" s="58">
        <f t="shared" si="86"/>
        <v>44557.9166666651</v>
      </c>
      <c r="B653" s="59">
        <f t="shared" si="87"/>
        <v>44557.958333331764</v>
      </c>
      <c r="C653" s="60" t="e">
        <f>#REF!</f>
        <v>#REF!</v>
      </c>
      <c r="D653" s="61" t="e">
        <f>IF(C653&gt;0,Pricing!E653*$E$5,0)</f>
        <v>#REF!</v>
      </c>
      <c r="E653" s="61" t="e">
        <f t="shared" si="80"/>
        <v>#REF!</v>
      </c>
      <c r="F653" s="60" t="e">
        <f>#REF!</f>
        <v>#REF!</v>
      </c>
      <c r="G653" s="61" t="e">
        <f>IF(F653&gt;0,Pricing!E653*$H$5,0)</f>
        <v>#REF!</v>
      </c>
      <c r="H653" s="61" t="e">
        <f t="shared" si="81"/>
        <v>#REF!</v>
      </c>
      <c r="I653" s="62" t="e">
        <f>#REF!</f>
        <v>#REF!</v>
      </c>
      <c r="J653" s="61" t="e">
        <f>IF(I653&gt;0,Pricing!E653*$K$5,0)</f>
        <v>#REF!</v>
      </c>
      <c r="K653" s="63" t="e">
        <f t="shared" si="82"/>
        <v>#REF!</v>
      </c>
      <c r="L653" s="64" t="e">
        <f>#REF!</f>
        <v>#REF!</v>
      </c>
      <c r="M653" s="61" t="e">
        <f>IF(L653&lt;0,Pricing!E653*$N$5,0)</f>
        <v>#REF!</v>
      </c>
      <c r="N653" s="61" t="e">
        <f t="shared" si="83"/>
        <v>#REF!</v>
      </c>
      <c r="O653" s="60" t="e">
        <f>#REF!</f>
        <v>#REF!</v>
      </c>
      <c r="P653" s="61" t="e">
        <f>IF(O653&lt;0,Pricing!E653*$Q$5,0)</f>
        <v>#REF!</v>
      </c>
      <c r="Q653" s="61" t="e">
        <f t="shared" si="84"/>
        <v>#REF!</v>
      </c>
      <c r="R653" s="60" t="e">
        <f>#REF!</f>
        <v>#REF!</v>
      </c>
      <c r="S653" s="61" t="e">
        <f>IF(R653&lt;0,Pricing!E653*$T$5,0)</f>
        <v>#REF!</v>
      </c>
      <c r="T653" s="61" t="e">
        <f t="shared" si="85"/>
        <v>#REF!</v>
      </c>
    </row>
    <row r="654" spans="1:20" x14ac:dyDescent="0.25">
      <c r="A654" s="58">
        <f t="shared" si="86"/>
        <v>44557.958333331764</v>
      </c>
      <c r="B654" s="59">
        <f t="shared" si="87"/>
        <v>44557.999999998428</v>
      </c>
      <c r="C654" s="60" t="e">
        <f>#REF!</f>
        <v>#REF!</v>
      </c>
      <c r="D654" s="61" t="e">
        <f>IF(C654&gt;0,Pricing!E654*$E$5,0)</f>
        <v>#REF!</v>
      </c>
      <c r="E654" s="61" t="e">
        <f t="shared" si="80"/>
        <v>#REF!</v>
      </c>
      <c r="F654" s="60" t="e">
        <f>#REF!</f>
        <v>#REF!</v>
      </c>
      <c r="G654" s="61" t="e">
        <f>IF(F654&gt;0,Pricing!E654*$H$5,0)</f>
        <v>#REF!</v>
      </c>
      <c r="H654" s="61" t="e">
        <f t="shared" si="81"/>
        <v>#REF!</v>
      </c>
      <c r="I654" s="62" t="e">
        <f>#REF!</f>
        <v>#REF!</v>
      </c>
      <c r="J654" s="61" t="e">
        <f>IF(I654&gt;0,Pricing!E654*$K$5,0)</f>
        <v>#REF!</v>
      </c>
      <c r="K654" s="63" t="e">
        <f t="shared" si="82"/>
        <v>#REF!</v>
      </c>
      <c r="L654" s="64" t="e">
        <f>#REF!</f>
        <v>#REF!</v>
      </c>
      <c r="M654" s="61" t="e">
        <f>IF(L654&lt;0,Pricing!E654*$N$5,0)</f>
        <v>#REF!</v>
      </c>
      <c r="N654" s="61" t="e">
        <f t="shared" si="83"/>
        <v>#REF!</v>
      </c>
      <c r="O654" s="60" t="e">
        <f>#REF!</f>
        <v>#REF!</v>
      </c>
      <c r="P654" s="61" t="e">
        <f>IF(O654&lt;0,Pricing!E654*$Q$5,0)</f>
        <v>#REF!</v>
      </c>
      <c r="Q654" s="61" t="e">
        <f t="shared" si="84"/>
        <v>#REF!</v>
      </c>
      <c r="R654" s="60" t="e">
        <f>#REF!</f>
        <v>#REF!</v>
      </c>
      <c r="S654" s="61" t="e">
        <f>IF(R654&lt;0,Pricing!E654*$T$5,0)</f>
        <v>#REF!</v>
      </c>
      <c r="T654" s="61" t="e">
        <f t="shared" si="85"/>
        <v>#REF!</v>
      </c>
    </row>
    <row r="655" spans="1:20" x14ac:dyDescent="0.25">
      <c r="A655" s="58">
        <f t="shared" si="86"/>
        <v>44557.999999998428</v>
      </c>
      <c r="B655" s="59">
        <f t="shared" si="87"/>
        <v>44558.041666665093</v>
      </c>
      <c r="C655" s="60" t="e">
        <f>#REF!</f>
        <v>#REF!</v>
      </c>
      <c r="D655" s="61" t="e">
        <f>IF(C655&gt;0,Pricing!E655*$E$5,0)</f>
        <v>#REF!</v>
      </c>
      <c r="E655" s="61" t="e">
        <f t="shared" si="80"/>
        <v>#REF!</v>
      </c>
      <c r="F655" s="60" t="e">
        <f>#REF!</f>
        <v>#REF!</v>
      </c>
      <c r="G655" s="61" t="e">
        <f>IF(F655&gt;0,Pricing!E655*$H$5,0)</f>
        <v>#REF!</v>
      </c>
      <c r="H655" s="61" t="e">
        <f t="shared" si="81"/>
        <v>#REF!</v>
      </c>
      <c r="I655" s="62" t="e">
        <f>#REF!</f>
        <v>#REF!</v>
      </c>
      <c r="J655" s="61" t="e">
        <f>IF(I655&gt;0,Pricing!E655*$K$5,0)</f>
        <v>#REF!</v>
      </c>
      <c r="K655" s="63" t="e">
        <f t="shared" si="82"/>
        <v>#REF!</v>
      </c>
      <c r="L655" s="64" t="e">
        <f>#REF!</f>
        <v>#REF!</v>
      </c>
      <c r="M655" s="61" t="e">
        <f>IF(L655&lt;0,Pricing!E655*$N$5,0)</f>
        <v>#REF!</v>
      </c>
      <c r="N655" s="61" t="e">
        <f t="shared" si="83"/>
        <v>#REF!</v>
      </c>
      <c r="O655" s="60" t="e">
        <f>#REF!</f>
        <v>#REF!</v>
      </c>
      <c r="P655" s="61" t="e">
        <f>IF(O655&lt;0,Pricing!E655*$Q$5,0)</f>
        <v>#REF!</v>
      </c>
      <c r="Q655" s="61" t="e">
        <f t="shared" si="84"/>
        <v>#REF!</v>
      </c>
      <c r="R655" s="60" t="e">
        <f>#REF!</f>
        <v>#REF!</v>
      </c>
      <c r="S655" s="61" t="e">
        <f>IF(R655&lt;0,Pricing!E655*$T$5,0)</f>
        <v>#REF!</v>
      </c>
      <c r="T655" s="61" t="e">
        <f t="shared" si="85"/>
        <v>#REF!</v>
      </c>
    </row>
    <row r="656" spans="1:20" x14ac:dyDescent="0.25">
      <c r="A656" s="58">
        <f t="shared" si="86"/>
        <v>44558.041666665093</v>
      </c>
      <c r="B656" s="59">
        <f t="shared" si="87"/>
        <v>44558.083333331757</v>
      </c>
      <c r="C656" s="60" t="e">
        <f>#REF!</f>
        <v>#REF!</v>
      </c>
      <c r="D656" s="61" t="e">
        <f>IF(C656&gt;0,Pricing!E656*$E$5,0)</f>
        <v>#REF!</v>
      </c>
      <c r="E656" s="61" t="e">
        <f t="shared" si="80"/>
        <v>#REF!</v>
      </c>
      <c r="F656" s="60" t="e">
        <f>#REF!</f>
        <v>#REF!</v>
      </c>
      <c r="G656" s="61" t="e">
        <f>IF(F656&gt;0,Pricing!E656*$H$5,0)</f>
        <v>#REF!</v>
      </c>
      <c r="H656" s="61" t="e">
        <f t="shared" si="81"/>
        <v>#REF!</v>
      </c>
      <c r="I656" s="62" t="e">
        <f>#REF!</f>
        <v>#REF!</v>
      </c>
      <c r="J656" s="61" t="e">
        <f>IF(I656&gt;0,Pricing!E656*$K$5,0)</f>
        <v>#REF!</v>
      </c>
      <c r="K656" s="63" t="e">
        <f t="shared" si="82"/>
        <v>#REF!</v>
      </c>
      <c r="L656" s="64" t="e">
        <f>#REF!</f>
        <v>#REF!</v>
      </c>
      <c r="M656" s="61" t="e">
        <f>IF(L656&lt;0,Pricing!E656*$N$5,0)</f>
        <v>#REF!</v>
      </c>
      <c r="N656" s="61" t="e">
        <f t="shared" si="83"/>
        <v>#REF!</v>
      </c>
      <c r="O656" s="60" t="e">
        <f>#REF!</f>
        <v>#REF!</v>
      </c>
      <c r="P656" s="61" t="e">
        <f>IF(O656&lt;0,Pricing!E656*$Q$5,0)</f>
        <v>#REF!</v>
      </c>
      <c r="Q656" s="61" t="e">
        <f t="shared" si="84"/>
        <v>#REF!</v>
      </c>
      <c r="R656" s="60" t="e">
        <f>#REF!</f>
        <v>#REF!</v>
      </c>
      <c r="S656" s="61" t="e">
        <f>IF(R656&lt;0,Pricing!E656*$T$5,0)</f>
        <v>#REF!</v>
      </c>
      <c r="T656" s="61" t="e">
        <f t="shared" si="85"/>
        <v>#REF!</v>
      </c>
    </row>
    <row r="657" spans="1:20" x14ac:dyDescent="0.25">
      <c r="A657" s="58">
        <f t="shared" si="86"/>
        <v>44558.083333331757</v>
      </c>
      <c r="B657" s="59">
        <f t="shared" si="87"/>
        <v>44558.124999998421</v>
      </c>
      <c r="C657" s="60" t="e">
        <f>#REF!</f>
        <v>#REF!</v>
      </c>
      <c r="D657" s="61" t="e">
        <f>IF(C657&gt;0,Pricing!E657*$E$5,0)</f>
        <v>#REF!</v>
      </c>
      <c r="E657" s="61" t="e">
        <f t="shared" si="80"/>
        <v>#REF!</v>
      </c>
      <c r="F657" s="60" t="e">
        <f>#REF!</f>
        <v>#REF!</v>
      </c>
      <c r="G657" s="61" t="e">
        <f>IF(F657&gt;0,Pricing!E657*$H$5,0)</f>
        <v>#REF!</v>
      </c>
      <c r="H657" s="61" t="e">
        <f t="shared" si="81"/>
        <v>#REF!</v>
      </c>
      <c r="I657" s="62" t="e">
        <f>#REF!</f>
        <v>#REF!</v>
      </c>
      <c r="J657" s="61" t="e">
        <f>IF(I657&gt;0,Pricing!E657*$K$5,0)</f>
        <v>#REF!</v>
      </c>
      <c r="K657" s="63" t="e">
        <f t="shared" si="82"/>
        <v>#REF!</v>
      </c>
      <c r="L657" s="64" t="e">
        <f>#REF!</f>
        <v>#REF!</v>
      </c>
      <c r="M657" s="61" t="e">
        <f>IF(L657&lt;0,Pricing!E657*$N$5,0)</f>
        <v>#REF!</v>
      </c>
      <c r="N657" s="61" t="e">
        <f t="shared" si="83"/>
        <v>#REF!</v>
      </c>
      <c r="O657" s="60" t="e">
        <f>#REF!</f>
        <v>#REF!</v>
      </c>
      <c r="P657" s="61" t="e">
        <f>IF(O657&lt;0,Pricing!E657*$Q$5,0)</f>
        <v>#REF!</v>
      </c>
      <c r="Q657" s="61" t="e">
        <f t="shared" si="84"/>
        <v>#REF!</v>
      </c>
      <c r="R657" s="60" t="e">
        <f>#REF!</f>
        <v>#REF!</v>
      </c>
      <c r="S657" s="61" t="e">
        <f>IF(R657&lt;0,Pricing!E657*$T$5,0)</f>
        <v>#REF!</v>
      </c>
      <c r="T657" s="61" t="e">
        <f t="shared" si="85"/>
        <v>#REF!</v>
      </c>
    </row>
    <row r="658" spans="1:20" x14ac:dyDescent="0.25">
      <c r="A658" s="58">
        <f t="shared" si="86"/>
        <v>44558.124999998421</v>
      </c>
      <c r="B658" s="59">
        <f t="shared" si="87"/>
        <v>44558.166666665085</v>
      </c>
      <c r="C658" s="60" t="e">
        <f>#REF!</f>
        <v>#REF!</v>
      </c>
      <c r="D658" s="61" t="e">
        <f>IF(C658&gt;0,Pricing!E658*$E$5,0)</f>
        <v>#REF!</v>
      </c>
      <c r="E658" s="61" t="e">
        <f t="shared" si="80"/>
        <v>#REF!</v>
      </c>
      <c r="F658" s="60" t="e">
        <f>#REF!</f>
        <v>#REF!</v>
      </c>
      <c r="G658" s="61" t="e">
        <f>IF(F658&gt;0,Pricing!E658*$H$5,0)</f>
        <v>#REF!</v>
      </c>
      <c r="H658" s="61" t="e">
        <f t="shared" si="81"/>
        <v>#REF!</v>
      </c>
      <c r="I658" s="62" t="e">
        <f>#REF!</f>
        <v>#REF!</v>
      </c>
      <c r="J658" s="61" t="e">
        <f>IF(I658&gt;0,Pricing!E658*$K$5,0)</f>
        <v>#REF!</v>
      </c>
      <c r="K658" s="63" t="e">
        <f t="shared" si="82"/>
        <v>#REF!</v>
      </c>
      <c r="L658" s="64" t="e">
        <f>#REF!</f>
        <v>#REF!</v>
      </c>
      <c r="M658" s="61" t="e">
        <f>IF(L658&lt;0,Pricing!E658*$N$5,0)</f>
        <v>#REF!</v>
      </c>
      <c r="N658" s="61" t="e">
        <f t="shared" si="83"/>
        <v>#REF!</v>
      </c>
      <c r="O658" s="60" t="e">
        <f>#REF!</f>
        <v>#REF!</v>
      </c>
      <c r="P658" s="61" t="e">
        <f>IF(O658&lt;0,Pricing!E658*$Q$5,0)</f>
        <v>#REF!</v>
      </c>
      <c r="Q658" s="61" t="e">
        <f t="shared" si="84"/>
        <v>#REF!</v>
      </c>
      <c r="R658" s="60" t="e">
        <f>#REF!</f>
        <v>#REF!</v>
      </c>
      <c r="S658" s="61" t="e">
        <f>IF(R658&lt;0,Pricing!E658*$T$5,0)</f>
        <v>#REF!</v>
      </c>
      <c r="T658" s="61" t="e">
        <f t="shared" si="85"/>
        <v>#REF!</v>
      </c>
    </row>
    <row r="659" spans="1:20" x14ac:dyDescent="0.25">
      <c r="A659" s="58">
        <f t="shared" si="86"/>
        <v>44558.166666665085</v>
      </c>
      <c r="B659" s="59">
        <f t="shared" si="87"/>
        <v>44558.20833333175</v>
      </c>
      <c r="C659" s="60" t="e">
        <f>#REF!</f>
        <v>#REF!</v>
      </c>
      <c r="D659" s="61" t="e">
        <f>IF(C659&gt;0,Pricing!E659*$E$5,0)</f>
        <v>#REF!</v>
      </c>
      <c r="E659" s="61" t="e">
        <f t="shared" si="80"/>
        <v>#REF!</v>
      </c>
      <c r="F659" s="60" t="e">
        <f>#REF!</f>
        <v>#REF!</v>
      </c>
      <c r="G659" s="61" t="e">
        <f>IF(F659&gt;0,Pricing!E659*$H$5,0)</f>
        <v>#REF!</v>
      </c>
      <c r="H659" s="61" t="e">
        <f t="shared" si="81"/>
        <v>#REF!</v>
      </c>
      <c r="I659" s="62" t="e">
        <f>#REF!</f>
        <v>#REF!</v>
      </c>
      <c r="J659" s="61" t="e">
        <f>IF(I659&gt;0,Pricing!E659*$K$5,0)</f>
        <v>#REF!</v>
      </c>
      <c r="K659" s="63" t="e">
        <f t="shared" si="82"/>
        <v>#REF!</v>
      </c>
      <c r="L659" s="64" t="e">
        <f>#REF!</f>
        <v>#REF!</v>
      </c>
      <c r="M659" s="61" t="e">
        <f>IF(L659&lt;0,Pricing!E659*$N$5,0)</f>
        <v>#REF!</v>
      </c>
      <c r="N659" s="61" t="e">
        <f t="shared" si="83"/>
        <v>#REF!</v>
      </c>
      <c r="O659" s="60" t="e">
        <f>#REF!</f>
        <v>#REF!</v>
      </c>
      <c r="P659" s="61" t="e">
        <f>IF(O659&lt;0,Pricing!E659*$Q$5,0)</f>
        <v>#REF!</v>
      </c>
      <c r="Q659" s="61" t="e">
        <f t="shared" si="84"/>
        <v>#REF!</v>
      </c>
      <c r="R659" s="60" t="e">
        <f>#REF!</f>
        <v>#REF!</v>
      </c>
      <c r="S659" s="61" t="e">
        <f>IF(R659&lt;0,Pricing!E659*$T$5,0)</f>
        <v>#REF!</v>
      </c>
      <c r="T659" s="61" t="e">
        <f t="shared" si="85"/>
        <v>#REF!</v>
      </c>
    </row>
    <row r="660" spans="1:20" x14ac:dyDescent="0.25">
      <c r="A660" s="58">
        <f t="shared" si="86"/>
        <v>44558.20833333175</v>
      </c>
      <c r="B660" s="59">
        <f t="shared" si="87"/>
        <v>44558.249999998414</v>
      </c>
      <c r="C660" s="60" t="e">
        <f>#REF!</f>
        <v>#REF!</v>
      </c>
      <c r="D660" s="61" t="e">
        <f>IF(C660&gt;0,Pricing!E660*$E$5,0)</f>
        <v>#REF!</v>
      </c>
      <c r="E660" s="61" t="e">
        <f t="shared" si="80"/>
        <v>#REF!</v>
      </c>
      <c r="F660" s="60" t="e">
        <f>#REF!</f>
        <v>#REF!</v>
      </c>
      <c r="G660" s="61" t="e">
        <f>IF(F660&gt;0,Pricing!E660*$H$5,0)</f>
        <v>#REF!</v>
      </c>
      <c r="H660" s="61" t="e">
        <f t="shared" si="81"/>
        <v>#REF!</v>
      </c>
      <c r="I660" s="62" t="e">
        <f>#REF!</f>
        <v>#REF!</v>
      </c>
      <c r="J660" s="61" t="e">
        <f>IF(I660&gt;0,Pricing!E660*$K$5,0)</f>
        <v>#REF!</v>
      </c>
      <c r="K660" s="63" t="e">
        <f t="shared" si="82"/>
        <v>#REF!</v>
      </c>
      <c r="L660" s="64" t="e">
        <f>#REF!</f>
        <v>#REF!</v>
      </c>
      <c r="M660" s="61" t="e">
        <f>IF(L660&lt;0,Pricing!E660*$N$5,0)</f>
        <v>#REF!</v>
      </c>
      <c r="N660" s="61" t="e">
        <f t="shared" si="83"/>
        <v>#REF!</v>
      </c>
      <c r="O660" s="60" t="e">
        <f>#REF!</f>
        <v>#REF!</v>
      </c>
      <c r="P660" s="61" t="e">
        <f>IF(O660&lt;0,Pricing!E660*$Q$5,0)</f>
        <v>#REF!</v>
      </c>
      <c r="Q660" s="61" t="e">
        <f t="shared" si="84"/>
        <v>#REF!</v>
      </c>
      <c r="R660" s="60" t="e">
        <f>#REF!</f>
        <v>#REF!</v>
      </c>
      <c r="S660" s="61" t="e">
        <f>IF(R660&lt;0,Pricing!E660*$T$5,0)</f>
        <v>#REF!</v>
      </c>
      <c r="T660" s="61" t="e">
        <f t="shared" si="85"/>
        <v>#REF!</v>
      </c>
    </row>
    <row r="661" spans="1:20" x14ac:dyDescent="0.25">
      <c r="A661" s="58">
        <f t="shared" si="86"/>
        <v>44558.249999998414</v>
      </c>
      <c r="B661" s="59">
        <f t="shared" si="87"/>
        <v>44558.291666665078</v>
      </c>
      <c r="C661" s="60" t="e">
        <f>#REF!</f>
        <v>#REF!</v>
      </c>
      <c r="D661" s="61" t="e">
        <f>IF(C661&gt;0,Pricing!E661*$E$5,0)</f>
        <v>#REF!</v>
      </c>
      <c r="E661" s="61" t="e">
        <f t="shared" si="80"/>
        <v>#REF!</v>
      </c>
      <c r="F661" s="60" t="e">
        <f>#REF!</f>
        <v>#REF!</v>
      </c>
      <c r="G661" s="61" t="e">
        <f>IF(F661&gt;0,Pricing!E661*$H$5,0)</f>
        <v>#REF!</v>
      </c>
      <c r="H661" s="61" t="e">
        <f t="shared" si="81"/>
        <v>#REF!</v>
      </c>
      <c r="I661" s="62" t="e">
        <f>#REF!</f>
        <v>#REF!</v>
      </c>
      <c r="J661" s="61" t="e">
        <f>IF(I661&gt;0,Pricing!E661*$K$5,0)</f>
        <v>#REF!</v>
      </c>
      <c r="K661" s="63" t="e">
        <f t="shared" si="82"/>
        <v>#REF!</v>
      </c>
      <c r="L661" s="64" t="e">
        <f>#REF!</f>
        <v>#REF!</v>
      </c>
      <c r="M661" s="61" t="e">
        <f>IF(L661&lt;0,Pricing!E661*$N$5,0)</f>
        <v>#REF!</v>
      </c>
      <c r="N661" s="61" t="e">
        <f t="shared" si="83"/>
        <v>#REF!</v>
      </c>
      <c r="O661" s="60" t="e">
        <f>#REF!</f>
        <v>#REF!</v>
      </c>
      <c r="P661" s="61" t="e">
        <f>IF(O661&lt;0,Pricing!E661*$Q$5,0)</f>
        <v>#REF!</v>
      </c>
      <c r="Q661" s="61" t="e">
        <f t="shared" si="84"/>
        <v>#REF!</v>
      </c>
      <c r="R661" s="60" t="e">
        <f>#REF!</f>
        <v>#REF!</v>
      </c>
      <c r="S661" s="61" t="e">
        <f>IF(R661&lt;0,Pricing!E661*$T$5,0)</f>
        <v>#REF!</v>
      </c>
      <c r="T661" s="61" t="e">
        <f t="shared" si="85"/>
        <v>#REF!</v>
      </c>
    </row>
    <row r="662" spans="1:20" x14ac:dyDescent="0.25">
      <c r="A662" s="58">
        <f t="shared" si="86"/>
        <v>44558.291666665078</v>
      </c>
      <c r="B662" s="59">
        <f t="shared" si="87"/>
        <v>44558.333333331742</v>
      </c>
      <c r="C662" s="60" t="e">
        <f>#REF!</f>
        <v>#REF!</v>
      </c>
      <c r="D662" s="61" t="e">
        <f>IF(C662&gt;0,Pricing!E662*$E$5,0)</f>
        <v>#REF!</v>
      </c>
      <c r="E662" s="61" t="e">
        <f t="shared" si="80"/>
        <v>#REF!</v>
      </c>
      <c r="F662" s="60" t="e">
        <f>#REF!</f>
        <v>#REF!</v>
      </c>
      <c r="G662" s="61" t="e">
        <f>IF(F662&gt;0,Pricing!E662*$H$5,0)</f>
        <v>#REF!</v>
      </c>
      <c r="H662" s="61" t="e">
        <f t="shared" si="81"/>
        <v>#REF!</v>
      </c>
      <c r="I662" s="62" t="e">
        <f>#REF!</f>
        <v>#REF!</v>
      </c>
      <c r="J662" s="61" t="e">
        <f>IF(I662&gt;0,Pricing!E662*$K$5,0)</f>
        <v>#REF!</v>
      </c>
      <c r="K662" s="63" t="e">
        <f t="shared" si="82"/>
        <v>#REF!</v>
      </c>
      <c r="L662" s="64" t="e">
        <f>#REF!</f>
        <v>#REF!</v>
      </c>
      <c r="M662" s="61" t="e">
        <f>IF(L662&lt;0,Pricing!E662*$N$5,0)</f>
        <v>#REF!</v>
      </c>
      <c r="N662" s="61" t="e">
        <f t="shared" si="83"/>
        <v>#REF!</v>
      </c>
      <c r="O662" s="60" t="e">
        <f>#REF!</f>
        <v>#REF!</v>
      </c>
      <c r="P662" s="61" t="e">
        <f>IF(O662&lt;0,Pricing!E662*$Q$5,0)</f>
        <v>#REF!</v>
      </c>
      <c r="Q662" s="61" t="e">
        <f t="shared" si="84"/>
        <v>#REF!</v>
      </c>
      <c r="R662" s="60" t="e">
        <f>#REF!</f>
        <v>#REF!</v>
      </c>
      <c r="S662" s="61" t="e">
        <f>IF(R662&lt;0,Pricing!E662*$T$5,0)</f>
        <v>#REF!</v>
      </c>
      <c r="T662" s="61" t="e">
        <f t="shared" si="85"/>
        <v>#REF!</v>
      </c>
    </row>
    <row r="663" spans="1:20" x14ac:dyDescent="0.25">
      <c r="A663" s="58">
        <f t="shared" si="86"/>
        <v>44558.333333331742</v>
      </c>
      <c r="B663" s="59">
        <f t="shared" si="87"/>
        <v>44558.374999998407</v>
      </c>
      <c r="C663" s="60" t="e">
        <f>#REF!</f>
        <v>#REF!</v>
      </c>
      <c r="D663" s="61" t="e">
        <f>IF(C663&gt;0,Pricing!E663*$E$5,0)</f>
        <v>#REF!</v>
      </c>
      <c r="E663" s="61" t="e">
        <f t="shared" si="80"/>
        <v>#REF!</v>
      </c>
      <c r="F663" s="60" t="e">
        <f>#REF!</f>
        <v>#REF!</v>
      </c>
      <c r="G663" s="61" t="e">
        <f>IF(F663&gt;0,Pricing!E663*$H$5,0)</f>
        <v>#REF!</v>
      </c>
      <c r="H663" s="61" t="e">
        <f t="shared" si="81"/>
        <v>#REF!</v>
      </c>
      <c r="I663" s="62" t="e">
        <f>#REF!</f>
        <v>#REF!</v>
      </c>
      <c r="J663" s="61" t="e">
        <f>IF(I663&gt;0,Pricing!E663*$K$5,0)</f>
        <v>#REF!</v>
      </c>
      <c r="K663" s="63" t="e">
        <f t="shared" si="82"/>
        <v>#REF!</v>
      </c>
      <c r="L663" s="64" t="e">
        <f>#REF!</f>
        <v>#REF!</v>
      </c>
      <c r="M663" s="61" t="e">
        <f>IF(L663&lt;0,Pricing!E663*$N$5,0)</f>
        <v>#REF!</v>
      </c>
      <c r="N663" s="61" t="e">
        <f t="shared" si="83"/>
        <v>#REF!</v>
      </c>
      <c r="O663" s="60" t="e">
        <f>#REF!</f>
        <v>#REF!</v>
      </c>
      <c r="P663" s="61" t="e">
        <f>IF(O663&lt;0,Pricing!E663*$Q$5,0)</f>
        <v>#REF!</v>
      </c>
      <c r="Q663" s="61" t="e">
        <f t="shared" si="84"/>
        <v>#REF!</v>
      </c>
      <c r="R663" s="60" t="e">
        <f>#REF!</f>
        <v>#REF!</v>
      </c>
      <c r="S663" s="61" t="e">
        <f>IF(R663&lt;0,Pricing!E663*$T$5,0)</f>
        <v>#REF!</v>
      </c>
      <c r="T663" s="61" t="e">
        <f t="shared" si="85"/>
        <v>#REF!</v>
      </c>
    </row>
    <row r="664" spans="1:20" x14ac:dyDescent="0.25">
      <c r="A664" s="58">
        <f t="shared" si="86"/>
        <v>44558.374999998407</v>
      </c>
      <c r="B664" s="59">
        <f t="shared" si="87"/>
        <v>44558.416666665071</v>
      </c>
      <c r="C664" s="60" t="e">
        <f>#REF!</f>
        <v>#REF!</v>
      </c>
      <c r="D664" s="61" t="e">
        <f>IF(C664&gt;0,Pricing!E664*$E$5,0)</f>
        <v>#REF!</v>
      </c>
      <c r="E664" s="61" t="e">
        <f t="shared" si="80"/>
        <v>#REF!</v>
      </c>
      <c r="F664" s="60" t="e">
        <f>#REF!</f>
        <v>#REF!</v>
      </c>
      <c r="G664" s="61" t="e">
        <f>IF(F664&gt;0,Pricing!E664*$H$5,0)</f>
        <v>#REF!</v>
      </c>
      <c r="H664" s="61" t="e">
        <f t="shared" si="81"/>
        <v>#REF!</v>
      </c>
      <c r="I664" s="62" t="e">
        <f>#REF!</f>
        <v>#REF!</v>
      </c>
      <c r="J664" s="61" t="e">
        <f>IF(I664&gt;0,Pricing!E664*$K$5,0)</f>
        <v>#REF!</v>
      </c>
      <c r="K664" s="63" t="e">
        <f t="shared" si="82"/>
        <v>#REF!</v>
      </c>
      <c r="L664" s="64" t="e">
        <f>#REF!</f>
        <v>#REF!</v>
      </c>
      <c r="M664" s="61" t="e">
        <f>IF(L664&lt;0,Pricing!E664*$N$5,0)</f>
        <v>#REF!</v>
      </c>
      <c r="N664" s="61" t="e">
        <f t="shared" si="83"/>
        <v>#REF!</v>
      </c>
      <c r="O664" s="60" t="e">
        <f>#REF!</f>
        <v>#REF!</v>
      </c>
      <c r="P664" s="61" t="e">
        <f>IF(O664&lt;0,Pricing!E664*$Q$5,0)</f>
        <v>#REF!</v>
      </c>
      <c r="Q664" s="61" t="e">
        <f t="shared" si="84"/>
        <v>#REF!</v>
      </c>
      <c r="R664" s="60" t="e">
        <f>#REF!</f>
        <v>#REF!</v>
      </c>
      <c r="S664" s="61" t="e">
        <f>IF(R664&lt;0,Pricing!E664*$T$5,0)</f>
        <v>#REF!</v>
      </c>
      <c r="T664" s="61" t="e">
        <f t="shared" si="85"/>
        <v>#REF!</v>
      </c>
    </row>
    <row r="665" spans="1:20" x14ac:dyDescent="0.25">
      <c r="A665" s="58">
        <f t="shared" si="86"/>
        <v>44558.416666665071</v>
      </c>
      <c r="B665" s="59">
        <f t="shared" si="87"/>
        <v>44558.458333331735</v>
      </c>
      <c r="C665" s="60" t="e">
        <f>#REF!</f>
        <v>#REF!</v>
      </c>
      <c r="D665" s="61" t="e">
        <f>IF(C665&gt;0,Pricing!E665*$E$5,0)</f>
        <v>#REF!</v>
      </c>
      <c r="E665" s="61" t="e">
        <f t="shared" si="80"/>
        <v>#REF!</v>
      </c>
      <c r="F665" s="60" t="e">
        <f>#REF!</f>
        <v>#REF!</v>
      </c>
      <c r="G665" s="61" t="e">
        <f>IF(F665&gt;0,Pricing!E665*$H$5,0)</f>
        <v>#REF!</v>
      </c>
      <c r="H665" s="61" t="e">
        <f t="shared" si="81"/>
        <v>#REF!</v>
      </c>
      <c r="I665" s="62" t="e">
        <f>#REF!</f>
        <v>#REF!</v>
      </c>
      <c r="J665" s="61" t="e">
        <f>IF(I665&gt;0,Pricing!E665*$K$5,0)</f>
        <v>#REF!</v>
      </c>
      <c r="K665" s="63" t="e">
        <f t="shared" si="82"/>
        <v>#REF!</v>
      </c>
      <c r="L665" s="64" t="e">
        <f>#REF!</f>
        <v>#REF!</v>
      </c>
      <c r="M665" s="61" t="e">
        <f>IF(L665&lt;0,Pricing!E665*$N$5,0)</f>
        <v>#REF!</v>
      </c>
      <c r="N665" s="61" t="e">
        <f t="shared" si="83"/>
        <v>#REF!</v>
      </c>
      <c r="O665" s="60" t="e">
        <f>#REF!</f>
        <v>#REF!</v>
      </c>
      <c r="P665" s="61" t="e">
        <f>IF(O665&lt;0,Pricing!E665*$Q$5,0)</f>
        <v>#REF!</v>
      </c>
      <c r="Q665" s="61" t="e">
        <f t="shared" si="84"/>
        <v>#REF!</v>
      </c>
      <c r="R665" s="60" t="e">
        <f>#REF!</f>
        <v>#REF!</v>
      </c>
      <c r="S665" s="61" t="e">
        <f>IF(R665&lt;0,Pricing!E665*$T$5,0)</f>
        <v>#REF!</v>
      </c>
      <c r="T665" s="61" t="e">
        <f t="shared" si="85"/>
        <v>#REF!</v>
      </c>
    </row>
    <row r="666" spans="1:20" x14ac:dyDescent="0.25">
      <c r="A666" s="58">
        <f t="shared" si="86"/>
        <v>44558.458333331735</v>
      </c>
      <c r="B666" s="59">
        <f t="shared" si="87"/>
        <v>44558.499999998399</v>
      </c>
      <c r="C666" s="60" t="e">
        <f>#REF!</f>
        <v>#REF!</v>
      </c>
      <c r="D666" s="61" t="e">
        <f>IF(C666&gt;0,Pricing!E666*$E$5,0)</f>
        <v>#REF!</v>
      </c>
      <c r="E666" s="61" t="e">
        <f t="shared" si="80"/>
        <v>#REF!</v>
      </c>
      <c r="F666" s="60" t="e">
        <f>#REF!</f>
        <v>#REF!</v>
      </c>
      <c r="G666" s="61" t="e">
        <f>IF(F666&gt;0,Pricing!E666*$H$5,0)</f>
        <v>#REF!</v>
      </c>
      <c r="H666" s="61" t="e">
        <f t="shared" si="81"/>
        <v>#REF!</v>
      </c>
      <c r="I666" s="62" t="e">
        <f>#REF!</f>
        <v>#REF!</v>
      </c>
      <c r="J666" s="61" t="e">
        <f>IF(I666&gt;0,Pricing!E666*$K$5,0)</f>
        <v>#REF!</v>
      </c>
      <c r="K666" s="63" t="e">
        <f t="shared" si="82"/>
        <v>#REF!</v>
      </c>
      <c r="L666" s="64" t="e">
        <f>#REF!</f>
        <v>#REF!</v>
      </c>
      <c r="M666" s="61" t="e">
        <f>IF(L666&lt;0,Pricing!E666*$N$5,0)</f>
        <v>#REF!</v>
      </c>
      <c r="N666" s="61" t="e">
        <f t="shared" si="83"/>
        <v>#REF!</v>
      </c>
      <c r="O666" s="60" t="e">
        <f>#REF!</f>
        <v>#REF!</v>
      </c>
      <c r="P666" s="61" t="e">
        <f>IF(O666&lt;0,Pricing!E666*$Q$5,0)</f>
        <v>#REF!</v>
      </c>
      <c r="Q666" s="61" t="e">
        <f t="shared" si="84"/>
        <v>#REF!</v>
      </c>
      <c r="R666" s="60" t="e">
        <f>#REF!</f>
        <v>#REF!</v>
      </c>
      <c r="S666" s="61" t="e">
        <f>IF(R666&lt;0,Pricing!E666*$T$5,0)</f>
        <v>#REF!</v>
      </c>
      <c r="T666" s="61" t="e">
        <f t="shared" si="85"/>
        <v>#REF!</v>
      </c>
    </row>
    <row r="667" spans="1:20" x14ac:dyDescent="0.25">
      <c r="A667" s="58">
        <f t="shared" si="86"/>
        <v>44558.499999998399</v>
      </c>
      <c r="B667" s="59">
        <f t="shared" si="87"/>
        <v>44558.541666665064</v>
      </c>
      <c r="C667" s="60" t="e">
        <f>#REF!</f>
        <v>#REF!</v>
      </c>
      <c r="D667" s="61" t="e">
        <f>IF(C667&gt;0,Pricing!E667*$E$5,0)</f>
        <v>#REF!</v>
      </c>
      <c r="E667" s="61" t="e">
        <f t="shared" si="80"/>
        <v>#REF!</v>
      </c>
      <c r="F667" s="60" t="e">
        <f>#REF!</f>
        <v>#REF!</v>
      </c>
      <c r="G667" s="61" t="e">
        <f>IF(F667&gt;0,Pricing!E667*$H$5,0)</f>
        <v>#REF!</v>
      </c>
      <c r="H667" s="61" t="e">
        <f t="shared" si="81"/>
        <v>#REF!</v>
      </c>
      <c r="I667" s="62" t="e">
        <f>#REF!</f>
        <v>#REF!</v>
      </c>
      <c r="J667" s="61" t="e">
        <f>IF(I667&gt;0,Pricing!E667*$K$5,0)</f>
        <v>#REF!</v>
      </c>
      <c r="K667" s="63" t="e">
        <f t="shared" si="82"/>
        <v>#REF!</v>
      </c>
      <c r="L667" s="64" t="e">
        <f>#REF!</f>
        <v>#REF!</v>
      </c>
      <c r="M667" s="61" t="e">
        <f>IF(L667&lt;0,Pricing!E667*$N$5,0)</f>
        <v>#REF!</v>
      </c>
      <c r="N667" s="61" t="e">
        <f t="shared" si="83"/>
        <v>#REF!</v>
      </c>
      <c r="O667" s="60" t="e">
        <f>#REF!</f>
        <v>#REF!</v>
      </c>
      <c r="P667" s="61" t="e">
        <f>IF(O667&lt;0,Pricing!E667*$Q$5,0)</f>
        <v>#REF!</v>
      </c>
      <c r="Q667" s="61" t="e">
        <f t="shared" si="84"/>
        <v>#REF!</v>
      </c>
      <c r="R667" s="60" t="e">
        <f>#REF!</f>
        <v>#REF!</v>
      </c>
      <c r="S667" s="61" t="e">
        <f>IF(R667&lt;0,Pricing!E667*$T$5,0)</f>
        <v>#REF!</v>
      </c>
      <c r="T667" s="61" t="e">
        <f t="shared" si="85"/>
        <v>#REF!</v>
      </c>
    </row>
    <row r="668" spans="1:20" x14ac:dyDescent="0.25">
      <c r="A668" s="58">
        <f t="shared" si="86"/>
        <v>44558.541666665064</v>
      </c>
      <c r="B668" s="59">
        <f t="shared" si="87"/>
        <v>44558.583333331728</v>
      </c>
      <c r="C668" s="60" t="e">
        <f>#REF!</f>
        <v>#REF!</v>
      </c>
      <c r="D668" s="61" t="e">
        <f>IF(C668&gt;0,Pricing!E668*$E$5,0)</f>
        <v>#REF!</v>
      </c>
      <c r="E668" s="61" t="e">
        <f t="shared" si="80"/>
        <v>#REF!</v>
      </c>
      <c r="F668" s="60" t="e">
        <f>#REF!</f>
        <v>#REF!</v>
      </c>
      <c r="G668" s="61" t="e">
        <f>IF(F668&gt;0,Pricing!E668*$H$5,0)</f>
        <v>#REF!</v>
      </c>
      <c r="H668" s="61" t="e">
        <f t="shared" si="81"/>
        <v>#REF!</v>
      </c>
      <c r="I668" s="62" t="e">
        <f>#REF!</f>
        <v>#REF!</v>
      </c>
      <c r="J668" s="61" t="e">
        <f>IF(I668&gt;0,Pricing!E668*$K$5,0)</f>
        <v>#REF!</v>
      </c>
      <c r="K668" s="63" t="e">
        <f t="shared" si="82"/>
        <v>#REF!</v>
      </c>
      <c r="L668" s="64" t="e">
        <f>#REF!</f>
        <v>#REF!</v>
      </c>
      <c r="M668" s="61" t="e">
        <f>IF(L668&lt;0,Pricing!E668*$N$5,0)</f>
        <v>#REF!</v>
      </c>
      <c r="N668" s="61" t="e">
        <f t="shared" si="83"/>
        <v>#REF!</v>
      </c>
      <c r="O668" s="60" t="e">
        <f>#REF!</f>
        <v>#REF!</v>
      </c>
      <c r="P668" s="61" t="e">
        <f>IF(O668&lt;0,Pricing!E668*$Q$5,0)</f>
        <v>#REF!</v>
      </c>
      <c r="Q668" s="61" t="e">
        <f t="shared" si="84"/>
        <v>#REF!</v>
      </c>
      <c r="R668" s="60" t="e">
        <f>#REF!</f>
        <v>#REF!</v>
      </c>
      <c r="S668" s="61" t="e">
        <f>IF(R668&lt;0,Pricing!E668*$T$5,0)</f>
        <v>#REF!</v>
      </c>
      <c r="T668" s="61" t="e">
        <f t="shared" si="85"/>
        <v>#REF!</v>
      </c>
    </row>
    <row r="669" spans="1:20" x14ac:dyDescent="0.25">
      <c r="A669" s="58">
        <f t="shared" si="86"/>
        <v>44558.583333331728</v>
      </c>
      <c r="B669" s="59">
        <f t="shared" si="87"/>
        <v>44558.624999998392</v>
      </c>
      <c r="C669" s="60" t="e">
        <f>#REF!</f>
        <v>#REF!</v>
      </c>
      <c r="D669" s="61" t="e">
        <f>IF(C669&gt;0,Pricing!E669*$E$5,0)</f>
        <v>#REF!</v>
      </c>
      <c r="E669" s="61" t="e">
        <f t="shared" si="80"/>
        <v>#REF!</v>
      </c>
      <c r="F669" s="60" t="e">
        <f>#REF!</f>
        <v>#REF!</v>
      </c>
      <c r="G669" s="61" t="e">
        <f>IF(F669&gt;0,Pricing!E669*$H$5,0)</f>
        <v>#REF!</v>
      </c>
      <c r="H669" s="61" t="e">
        <f t="shared" si="81"/>
        <v>#REF!</v>
      </c>
      <c r="I669" s="62" t="e">
        <f>#REF!</f>
        <v>#REF!</v>
      </c>
      <c r="J669" s="61" t="e">
        <f>IF(I669&gt;0,Pricing!E669*$K$5,0)</f>
        <v>#REF!</v>
      </c>
      <c r="K669" s="63" t="e">
        <f t="shared" si="82"/>
        <v>#REF!</v>
      </c>
      <c r="L669" s="64" t="e">
        <f>#REF!</f>
        <v>#REF!</v>
      </c>
      <c r="M669" s="61" t="e">
        <f>IF(L669&lt;0,Pricing!E669*$N$5,0)</f>
        <v>#REF!</v>
      </c>
      <c r="N669" s="61" t="e">
        <f t="shared" si="83"/>
        <v>#REF!</v>
      </c>
      <c r="O669" s="60" t="e">
        <f>#REF!</f>
        <v>#REF!</v>
      </c>
      <c r="P669" s="61" t="e">
        <f>IF(O669&lt;0,Pricing!E669*$Q$5,0)</f>
        <v>#REF!</v>
      </c>
      <c r="Q669" s="61" t="e">
        <f t="shared" si="84"/>
        <v>#REF!</v>
      </c>
      <c r="R669" s="60" t="e">
        <f>#REF!</f>
        <v>#REF!</v>
      </c>
      <c r="S669" s="61" t="e">
        <f>IF(R669&lt;0,Pricing!E669*$T$5,0)</f>
        <v>#REF!</v>
      </c>
      <c r="T669" s="61" t="e">
        <f t="shared" si="85"/>
        <v>#REF!</v>
      </c>
    </row>
    <row r="670" spans="1:20" x14ac:dyDescent="0.25">
      <c r="A670" s="58">
        <f t="shared" si="86"/>
        <v>44558.624999998392</v>
      </c>
      <c r="B670" s="59">
        <f t="shared" si="87"/>
        <v>44558.666666665056</v>
      </c>
      <c r="C670" s="60" t="e">
        <f>#REF!</f>
        <v>#REF!</v>
      </c>
      <c r="D670" s="61" t="e">
        <f>IF(C670&gt;0,Pricing!E670*$E$5,0)</f>
        <v>#REF!</v>
      </c>
      <c r="E670" s="61" t="e">
        <f t="shared" si="80"/>
        <v>#REF!</v>
      </c>
      <c r="F670" s="60" t="e">
        <f>#REF!</f>
        <v>#REF!</v>
      </c>
      <c r="G670" s="61" t="e">
        <f>IF(F670&gt;0,Pricing!E670*$H$5,0)</f>
        <v>#REF!</v>
      </c>
      <c r="H670" s="61" t="e">
        <f t="shared" si="81"/>
        <v>#REF!</v>
      </c>
      <c r="I670" s="62" t="e">
        <f>#REF!</f>
        <v>#REF!</v>
      </c>
      <c r="J670" s="61" t="e">
        <f>IF(I670&gt;0,Pricing!E670*$K$5,0)</f>
        <v>#REF!</v>
      </c>
      <c r="K670" s="63" t="e">
        <f t="shared" si="82"/>
        <v>#REF!</v>
      </c>
      <c r="L670" s="64" t="e">
        <f>#REF!</f>
        <v>#REF!</v>
      </c>
      <c r="M670" s="61" t="e">
        <f>IF(L670&lt;0,Pricing!E670*$N$5,0)</f>
        <v>#REF!</v>
      </c>
      <c r="N670" s="61" t="e">
        <f t="shared" si="83"/>
        <v>#REF!</v>
      </c>
      <c r="O670" s="60" t="e">
        <f>#REF!</f>
        <v>#REF!</v>
      </c>
      <c r="P670" s="61" t="e">
        <f>IF(O670&lt;0,Pricing!E670*$Q$5,0)</f>
        <v>#REF!</v>
      </c>
      <c r="Q670" s="61" t="e">
        <f t="shared" si="84"/>
        <v>#REF!</v>
      </c>
      <c r="R670" s="60" t="e">
        <f>#REF!</f>
        <v>#REF!</v>
      </c>
      <c r="S670" s="61" t="e">
        <f>IF(R670&lt;0,Pricing!E670*$T$5,0)</f>
        <v>#REF!</v>
      </c>
      <c r="T670" s="61" t="e">
        <f t="shared" si="85"/>
        <v>#REF!</v>
      </c>
    </row>
    <row r="671" spans="1:20" x14ac:dyDescent="0.25">
      <c r="A671" s="58">
        <f t="shared" si="86"/>
        <v>44558.666666665056</v>
      </c>
      <c r="B671" s="59">
        <f t="shared" si="87"/>
        <v>44558.70833333172</v>
      </c>
      <c r="C671" s="60" t="e">
        <f>#REF!</f>
        <v>#REF!</v>
      </c>
      <c r="D671" s="61" t="e">
        <f>IF(C671&gt;0,Pricing!E671*$E$5,0)</f>
        <v>#REF!</v>
      </c>
      <c r="E671" s="61" t="e">
        <f t="shared" si="80"/>
        <v>#REF!</v>
      </c>
      <c r="F671" s="60" t="e">
        <f>#REF!</f>
        <v>#REF!</v>
      </c>
      <c r="G671" s="61" t="e">
        <f>IF(F671&gt;0,Pricing!E671*$H$5,0)</f>
        <v>#REF!</v>
      </c>
      <c r="H671" s="61" t="e">
        <f t="shared" si="81"/>
        <v>#REF!</v>
      </c>
      <c r="I671" s="62" t="e">
        <f>#REF!</f>
        <v>#REF!</v>
      </c>
      <c r="J671" s="61" t="e">
        <f>IF(I671&gt;0,Pricing!E671*$K$5,0)</f>
        <v>#REF!</v>
      </c>
      <c r="K671" s="63" t="e">
        <f t="shared" si="82"/>
        <v>#REF!</v>
      </c>
      <c r="L671" s="64" t="e">
        <f>#REF!</f>
        <v>#REF!</v>
      </c>
      <c r="M671" s="61" t="e">
        <f>IF(L671&lt;0,Pricing!E671*$N$5,0)</f>
        <v>#REF!</v>
      </c>
      <c r="N671" s="61" t="e">
        <f t="shared" si="83"/>
        <v>#REF!</v>
      </c>
      <c r="O671" s="60" t="e">
        <f>#REF!</f>
        <v>#REF!</v>
      </c>
      <c r="P671" s="61" t="e">
        <f>IF(O671&lt;0,Pricing!E671*$Q$5,0)</f>
        <v>#REF!</v>
      </c>
      <c r="Q671" s="61" t="e">
        <f t="shared" si="84"/>
        <v>#REF!</v>
      </c>
      <c r="R671" s="60" t="e">
        <f>#REF!</f>
        <v>#REF!</v>
      </c>
      <c r="S671" s="61" t="e">
        <f>IF(R671&lt;0,Pricing!E671*$T$5,0)</f>
        <v>#REF!</v>
      </c>
      <c r="T671" s="61" t="e">
        <f t="shared" si="85"/>
        <v>#REF!</v>
      </c>
    </row>
    <row r="672" spans="1:20" x14ac:dyDescent="0.25">
      <c r="A672" s="58">
        <f t="shared" si="86"/>
        <v>44558.70833333172</v>
      </c>
      <c r="B672" s="59">
        <f t="shared" si="87"/>
        <v>44558.749999998385</v>
      </c>
      <c r="C672" s="60" t="e">
        <f>#REF!</f>
        <v>#REF!</v>
      </c>
      <c r="D672" s="61" t="e">
        <f>IF(C672&gt;0,Pricing!E672*$E$5,0)</f>
        <v>#REF!</v>
      </c>
      <c r="E672" s="61" t="e">
        <f t="shared" si="80"/>
        <v>#REF!</v>
      </c>
      <c r="F672" s="60" t="e">
        <f>#REF!</f>
        <v>#REF!</v>
      </c>
      <c r="G672" s="61" t="e">
        <f>IF(F672&gt;0,Pricing!E672*$H$5,0)</f>
        <v>#REF!</v>
      </c>
      <c r="H672" s="61" t="e">
        <f t="shared" si="81"/>
        <v>#REF!</v>
      </c>
      <c r="I672" s="62" t="e">
        <f>#REF!</f>
        <v>#REF!</v>
      </c>
      <c r="J672" s="61" t="e">
        <f>IF(I672&gt;0,Pricing!E672*$K$5,0)</f>
        <v>#REF!</v>
      </c>
      <c r="K672" s="63" t="e">
        <f t="shared" si="82"/>
        <v>#REF!</v>
      </c>
      <c r="L672" s="64" t="e">
        <f>#REF!</f>
        <v>#REF!</v>
      </c>
      <c r="M672" s="61" t="e">
        <f>IF(L672&lt;0,Pricing!E672*$N$5,0)</f>
        <v>#REF!</v>
      </c>
      <c r="N672" s="61" t="e">
        <f t="shared" si="83"/>
        <v>#REF!</v>
      </c>
      <c r="O672" s="60" t="e">
        <f>#REF!</f>
        <v>#REF!</v>
      </c>
      <c r="P672" s="61" t="e">
        <f>IF(O672&lt;0,Pricing!E672*$Q$5,0)</f>
        <v>#REF!</v>
      </c>
      <c r="Q672" s="61" t="e">
        <f t="shared" si="84"/>
        <v>#REF!</v>
      </c>
      <c r="R672" s="60" t="e">
        <f>#REF!</f>
        <v>#REF!</v>
      </c>
      <c r="S672" s="61" t="e">
        <f>IF(R672&lt;0,Pricing!E672*$T$5,0)</f>
        <v>#REF!</v>
      </c>
      <c r="T672" s="61" t="e">
        <f t="shared" si="85"/>
        <v>#REF!</v>
      </c>
    </row>
    <row r="673" spans="1:20" x14ac:dyDescent="0.25">
      <c r="A673" s="58">
        <f t="shared" si="86"/>
        <v>44558.749999998385</v>
      </c>
      <c r="B673" s="59">
        <f t="shared" si="87"/>
        <v>44558.791666665049</v>
      </c>
      <c r="C673" s="60" t="e">
        <f>#REF!</f>
        <v>#REF!</v>
      </c>
      <c r="D673" s="61" t="e">
        <f>IF(C673&gt;0,Pricing!E673*$E$5,0)</f>
        <v>#REF!</v>
      </c>
      <c r="E673" s="61" t="e">
        <f t="shared" si="80"/>
        <v>#REF!</v>
      </c>
      <c r="F673" s="60" t="e">
        <f>#REF!</f>
        <v>#REF!</v>
      </c>
      <c r="G673" s="61" t="e">
        <f>IF(F673&gt;0,Pricing!E673*$H$5,0)</f>
        <v>#REF!</v>
      </c>
      <c r="H673" s="61" t="e">
        <f t="shared" si="81"/>
        <v>#REF!</v>
      </c>
      <c r="I673" s="62" t="e">
        <f>#REF!</f>
        <v>#REF!</v>
      </c>
      <c r="J673" s="61" t="e">
        <f>IF(I673&gt;0,Pricing!E673*$K$5,0)</f>
        <v>#REF!</v>
      </c>
      <c r="K673" s="63" t="e">
        <f t="shared" si="82"/>
        <v>#REF!</v>
      </c>
      <c r="L673" s="64" t="e">
        <f>#REF!</f>
        <v>#REF!</v>
      </c>
      <c r="M673" s="61" t="e">
        <f>IF(L673&lt;0,Pricing!E673*$N$5,0)</f>
        <v>#REF!</v>
      </c>
      <c r="N673" s="61" t="e">
        <f t="shared" si="83"/>
        <v>#REF!</v>
      </c>
      <c r="O673" s="60" t="e">
        <f>#REF!</f>
        <v>#REF!</v>
      </c>
      <c r="P673" s="61" t="e">
        <f>IF(O673&lt;0,Pricing!E673*$Q$5,0)</f>
        <v>#REF!</v>
      </c>
      <c r="Q673" s="61" t="e">
        <f t="shared" si="84"/>
        <v>#REF!</v>
      </c>
      <c r="R673" s="60" t="e">
        <f>#REF!</f>
        <v>#REF!</v>
      </c>
      <c r="S673" s="61" t="e">
        <f>IF(R673&lt;0,Pricing!E673*$T$5,0)</f>
        <v>#REF!</v>
      </c>
      <c r="T673" s="61" t="e">
        <f t="shared" si="85"/>
        <v>#REF!</v>
      </c>
    </row>
    <row r="674" spans="1:20" x14ac:dyDescent="0.25">
      <c r="A674" s="58">
        <f t="shared" si="86"/>
        <v>44558.791666665049</v>
      </c>
      <c r="B674" s="59">
        <f t="shared" si="87"/>
        <v>44558.833333331713</v>
      </c>
      <c r="C674" s="60" t="e">
        <f>#REF!</f>
        <v>#REF!</v>
      </c>
      <c r="D674" s="61" t="e">
        <f>IF(C674&gt;0,Pricing!E674*$E$5,0)</f>
        <v>#REF!</v>
      </c>
      <c r="E674" s="61" t="e">
        <f t="shared" si="80"/>
        <v>#REF!</v>
      </c>
      <c r="F674" s="60" t="e">
        <f>#REF!</f>
        <v>#REF!</v>
      </c>
      <c r="G674" s="61" t="e">
        <f>IF(F674&gt;0,Pricing!E674*$H$5,0)</f>
        <v>#REF!</v>
      </c>
      <c r="H674" s="61" t="e">
        <f t="shared" si="81"/>
        <v>#REF!</v>
      </c>
      <c r="I674" s="62" t="e">
        <f>#REF!</f>
        <v>#REF!</v>
      </c>
      <c r="J674" s="61" t="e">
        <f>IF(I674&gt;0,Pricing!E674*$K$5,0)</f>
        <v>#REF!</v>
      </c>
      <c r="K674" s="63" t="e">
        <f t="shared" si="82"/>
        <v>#REF!</v>
      </c>
      <c r="L674" s="64" t="e">
        <f>#REF!</f>
        <v>#REF!</v>
      </c>
      <c r="M674" s="61" t="e">
        <f>IF(L674&lt;0,Pricing!E674*$N$5,0)</f>
        <v>#REF!</v>
      </c>
      <c r="N674" s="61" t="e">
        <f t="shared" si="83"/>
        <v>#REF!</v>
      </c>
      <c r="O674" s="60" t="e">
        <f>#REF!</f>
        <v>#REF!</v>
      </c>
      <c r="P674" s="61" t="e">
        <f>IF(O674&lt;0,Pricing!E674*$Q$5,0)</f>
        <v>#REF!</v>
      </c>
      <c r="Q674" s="61" t="e">
        <f t="shared" si="84"/>
        <v>#REF!</v>
      </c>
      <c r="R674" s="60" t="e">
        <f>#REF!</f>
        <v>#REF!</v>
      </c>
      <c r="S674" s="61" t="e">
        <f>IF(R674&lt;0,Pricing!E674*$T$5,0)</f>
        <v>#REF!</v>
      </c>
      <c r="T674" s="61" t="e">
        <f t="shared" si="85"/>
        <v>#REF!</v>
      </c>
    </row>
    <row r="675" spans="1:20" x14ac:dyDescent="0.25">
      <c r="A675" s="58">
        <f t="shared" si="86"/>
        <v>44558.833333331713</v>
      </c>
      <c r="B675" s="59">
        <f t="shared" si="87"/>
        <v>44558.874999998377</v>
      </c>
      <c r="C675" s="60" t="e">
        <f>#REF!</f>
        <v>#REF!</v>
      </c>
      <c r="D675" s="61" t="e">
        <f>IF(C675&gt;0,Pricing!E675*$E$5,0)</f>
        <v>#REF!</v>
      </c>
      <c r="E675" s="61" t="e">
        <f t="shared" si="80"/>
        <v>#REF!</v>
      </c>
      <c r="F675" s="60" t="e">
        <f>#REF!</f>
        <v>#REF!</v>
      </c>
      <c r="G675" s="61" t="e">
        <f>IF(F675&gt;0,Pricing!E675*$H$5,0)</f>
        <v>#REF!</v>
      </c>
      <c r="H675" s="61" t="e">
        <f t="shared" si="81"/>
        <v>#REF!</v>
      </c>
      <c r="I675" s="62" t="e">
        <f>#REF!</f>
        <v>#REF!</v>
      </c>
      <c r="J675" s="61" t="e">
        <f>IF(I675&gt;0,Pricing!E675*$K$5,0)</f>
        <v>#REF!</v>
      </c>
      <c r="K675" s="63" t="e">
        <f t="shared" si="82"/>
        <v>#REF!</v>
      </c>
      <c r="L675" s="64" t="e">
        <f>#REF!</f>
        <v>#REF!</v>
      </c>
      <c r="M675" s="61" t="e">
        <f>IF(L675&lt;0,Pricing!E675*$N$5,0)</f>
        <v>#REF!</v>
      </c>
      <c r="N675" s="61" t="e">
        <f t="shared" si="83"/>
        <v>#REF!</v>
      </c>
      <c r="O675" s="60" t="e">
        <f>#REF!</f>
        <v>#REF!</v>
      </c>
      <c r="P675" s="61" t="e">
        <f>IF(O675&lt;0,Pricing!E675*$Q$5,0)</f>
        <v>#REF!</v>
      </c>
      <c r="Q675" s="61" t="e">
        <f t="shared" si="84"/>
        <v>#REF!</v>
      </c>
      <c r="R675" s="60" t="e">
        <f>#REF!</f>
        <v>#REF!</v>
      </c>
      <c r="S675" s="61" t="e">
        <f>IF(R675&lt;0,Pricing!E675*$T$5,0)</f>
        <v>#REF!</v>
      </c>
      <c r="T675" s="61" t="e">
        <f t="shared" si="85"/>
        <v>#REF!</v>
      </c>
    </row>
    <row r="676" spans="1:20" x14ac:dyDescent="0.25">
      <c r="A676" s="58">
        <f t="shared" si="86"/>
        <v>44558.874999998377</v>
      </c>
      <c r="B676" s="59">
        <f t="shared" si="87"/>
        <v>44558.916666665042</v>
      </c>
      <c r="C676" s="60" t="e">
        <f>#REF!</f>
        <v>#REF!</v>
      </c>
      <c r="D676" s="61" t="e">
        <f>IF(C676&gt;0,Pricing!E676*$E$5,0)</f>
        <v>#REF!</v>
      </c>
      <c r="E676" s="61" t="e">
        <f t="shared" si="80"/>
        <v>#REF!</v>
      </c>
      <c r="F676" s="60" t="e">
        <f>#REF!</f>
        <v>#REF!</v>
      </c>
      <c r="G676" s="61" t="e">
        <f>IF(F676&gt;0,Pricing!E676*$H$5,0)</f>
        <v>#REF!</v>
      </c>
      <c r="H676" s="61" t="e">
        <f t="shared" si="81"/>
        <v>#REF!</v>
      </c>
      <c r="I676" s="62" t="e">
        <f>#REF!</f>
        <v>#REF!</v>
      </c>
      <c r="J676" s="61" t="e">
        <f>IF(I676&gt;0,Pricing!E676*$K$5,0)</f>
        <v>#REF!</v>
      </c>
      <c r="K676" s="63" t="e">
        <f t="shared" si="82"/>
        <v>#REF!</v>
      </c>
      <c r="L676" s="64" t="e">
        <f>#REF!</f>
        <v>#REF!</v>
      </c>
      <c r="M676" s="61" t="e">
        <f>IF(L676&lt;0,Pricing!E676*$N$5,0)</f>
        <v>#REF!</v>
      </c>
      <c r="N676" s="61" t="e">
        <f t="shared" si="83"/>
        <v>#REF!</v>
      </c>
      <c r="O676" s="60" t="e">
        <f>#REF!</f>
        <v>#REF!</v>
      </c>
      <c r="P676" s="61" t="e">
        <f>IF(O676&lt;0,Pricing!E676*$Q$5,0)</f>
        <v>#REF!</v>
      </c>
      <c r="Q676" s="61" t="e">
        <f t="shared" si="84"/>
        <v>#REF!</v>
      </c>
      <c r="R676" s="60" t="e">
        <f>#REF!</f>
        <v>#REF!</v>
      </c>
      <c r="S676" s="61" t="e">
        <f>IF(R676&lt;0,Pricing!E676*$T$5,0)</f>
        <v>#REF!</v>
      </c>
      <c r="T676" s="61" t="e">
        <f t="shared" si="85"/>
        <v>#REF!</v>
      </c>
    </row>
    <row r="677" spans="1:20" x14ac:dyDescent="0.25">
      <c r="A677" s="58">
        <f t="shared" si="86"/>
        <v>44558.916666665042</v>
      </c>
      <c r="B677" s="59">
        <f t="shared" si="87"/>
        <v>44558.958333331706</v>
      </c>
      <c r="C677" s="60" t="e">
        <f>#REF!</f>
        <v>#REF!</v>
      </c>
      <c r="D677" s="61" t="e">
        <f>IF(C677&gt;0,Pricing!E677*$E$5,0)</f>
        <v>#REF!</v>
      </c>
      <c r="E677" s="61" t="e">
        <f t="shared" si="80"/>
        <v>#REF!</v>
      </c>
      <c r="F677" s="60" t="e">
        <f>#REF!</f>
        <v>#REF!</v>
      </c>
      <c r="G677" s="61" t="e">
        <f>IF(F677&gt;0,Pricing!E677*$H$5,0)</f>
        <v>#REF!</v>
      </c>
      <c r="H677" s="61" t="e">
        <f t="shared" si="81"/>
        <v>#REF!</v>
      </c>
      <c r="I677" s="62" t="e">
        <f>#REF!</f>
        <v>#REF!</v>
      </c>
      <c r="J677" s="61" t="e">
        <f>IF(I677&gt;0,Pricing!E677*$K$5,0)</f>
        <v>#REF!</v>
      </c>
      <c r="K677" s="63" t="e">
        <f t="shared" si="82"/>
        <v>#REF!</v>
      </c>
      <c r="L677" s="64" t="e">
        <f>#REF!</f>
        <v>#REF!</v>
      </c>
      <c r="M677" s="61" t="e">
        <f>IF(L677&lt;0,Pricing!E677*$N$5,0)</f>
        <v>#REF!</v>
      </c>
      <c r="N677" s="61" t="e">
        <f t="shared" si="83"/>
        <v>#REF!</v>
      </c>
      <c r="O677" s="60" t="e">
        <f>#REF!</f>
        <v>#REF!</v>
      </c>
      <c r="P677" s="61" t="e">
        <f>IF(O677&lt;0,Pricing!E677*$Q$5,0)</f>
        <v>#REF!</v>
      </c>
      <c r="Q677" s="61" t="e">
        <f t="shared" si="84"/>
        <v>#REF!</v>
      </c>
      <c r="R677" s="60" t="e">
        <f>#REF!</f>
        <v>#REF!</v>
      </c>
      <c r="S677" s="61" t="e">
        <f>IF(R677&lt;0,Pricing!E677*$T$5,0)</f>
        <v>#REF!</v>
      </c>
      <c r="T677" s="61" t="e">
        <f t="shared" si="85"/>
        <v>#REF!</v>
      </c>
    </row>
    <row r="678" spans="1:20" x14ac:dyDescent="0.25">
      <c r="A678" s="58">
        <f t="shared" si="86"/>
        <v>44558.958333331706</v>
      </c>
      <c r="B678" s="59">
        <f t="shared" si="87"/>
        <v>44558.99999999837</v>
      </c>
      <c r="C678" s="60" t="e">
        <f>#REF!</f>
        <v>#REF!</v>
      </c>
      <c r="D678" s="61" t="e">
        <f>IF(C678&gt;0,Pricing!E678*$E$5,0)</f>
        <v>#REF!</v>
      </c>
      <c r="E678" s="61" t="e">
        <f t="shared" si="80"/>
        <v>#REF!</v>
      </c>
      <c r="F678" s="60" t="e">
        <f>#REF!</f>
        <v>#REF!</v>
      </c>
      <c r="G678" s="61" t="e">
        <f>IF(F678&gt;0,Pricing!E678*$H$5,0)</f>
        <v>#REF!</v>
      </c>
      <c r="H678" s="61" t="e">
        <f t="shared" si="81"/>
        <v>#REF!</v>
      </c>
      <c r="I678" s="62" t="e">
        <f>#REF!</f>
        <v>#REF!</v>
      </c>
      <c r="J678" s="61" t="e">
        <f>IF(I678&gt;0,Pricing!E678*$K$5,0)</f>
        <v>#REF!</v>
      </c>
      <c r="K678" s="63" t="e">
        <f t="shared" si="82"/>
        <v>#REF!</v>
      </c>
      <c r="L678" s="64" t="e">
        <f>#REF!</f>
        <v>#REF!</v>
      </c>
      <c r="M678" s="61" t="e">
        <f>IF(L678&lt;0,Pricing!E678*$N$5,0)</f>
        <v>#REF!</v>
      </c>
      <c r="N678" s="61" t="e">
        <f t="shared" si="83"/>
        <v>#REF!</v>
      </c>
      <c r="O678" s="60" t="e">
        <f>#REF!</f>
        <v>#REF!</v>
      </c>
      <c r="P678" s="61" t="e">
        <f>IF(O678&lt;0,Pricing!E678*$Q$5,0)</f>
        <v>#REF!</v>
      </c>
      <c r="Q678" s="61" t="e">
        <f t="shared" si="84"/>
        <v>#REF!</v>
      </c>
      <c r="R678" s="60" t="e">
        <f>#REF!</f>
        <v>#REF!</v>
      </c>
      <c r="S678" s="61" t="e">
        <f>IF(R678&lt;0,Pricing!E678*$T$5,0)</f>
        <v>#REF!</v>
      </c>
      <c r="T678" s="61" t="e">
        <f t="shared" si="85"/>
        <v>#REF!</v>
      </c>
    </row>
    <row r="679" spans="1:20" x14ac:dyDescent="0.25">
      <c r="A679" s="58">
        <f t="shared" si="86"/>
        <v>44558.99999999837</v>
      </c>
      <c r="B679" s="59">
        <f t="shared" si="87"/>
        <v>44559.041666665034</v>
      </c>
      <c r="C679" s="60" t="e">
        <f>#REF!</f>
        <v>#REF!</v>
      </c>
      <c r="D679" s="61" t="e">
        <f>IF(C679&gt;0,Pricing!E679*$E$5,0)</f>
        <v>#REF!</v>
      </c>
      <c r="E679" s="61" t="e">
        <f t="shared" ref="E679:E726" si="88">C679*D679</f>
        <v>#REF!</v>
      </c>
      <c r="F679" s="60" t="e">
        <f>#REF!</f>
        <v>#REF!</v>
      </c>
      <c r="G679" s="61" t="e">
        <f>IF(F679&gt;0,Pricing!E679*$H$5,0)</f>
        <v>#REF!</v>
      </c>
      <c r="H679" s="61" t="e">
        <f t="shared" ref="H679:H726" si="89">F679*G679</f>
        <v>#REF!</v>
      </c>
      <c r="I679" s="62" t="e">
        <f>#REF!</f>
        <v>#REF!</v>
      </c>
      <c r="J679" s="61" t="e">
        <f>IF(I679&gt;0,Pricing!E679*$K$5,0)</f>
        <v>#REF!</v>
      </c>
      <c r="K679" s="63" t="e">
        <f t="shared" ref="K679:K726" si="90">I679*J679</f>
        <v>#REF!</v>
      </c>
      <c r="L679" s="64" t="e">
        <f>#REF!</f>
        <v>#REF!</v>
      </c>
      <c r="M679" s="61" t="e">
        <f>IF(L679&lt;0,Pricing!E679*$N$5,0)</f>
        <v>#REF!</v>
      </c>
      <c r="N679" s="61" t="e">
        <f t="shared" ref="N679:N726" si="91">L679*M679</f>
        <v>#REF!</v>
      </c>
      <c r="O679" s="60" t="e">
        <f>#REF!</f>
        <v>#REF!</v>
      </c>
      <c r="P679" s="61" t="e">
        <f>IF(O679&lt;0,Pricing!E679*$Q$5,0)</f>
        <v>#REF!</v>
      </c>
      <c r="Q679" s="61" t="e">
        <f t="shared" ref="Q679:Q726" si="92">O679*P679</f>
        <v>#REF!</v>
      </c>
      <c r="R679" s="60" t="e">
        <f>#REF!</f>
        <v>#REF!</v>
      </c>
      <c r="S679" s="61" t="e">
        <f>IF(R679&lt;0,Pricing!E679*$T$5,0)</f>
        <v>#REF!</v>
      </c>
      <c r="T679" s="61" t="e">
        <f t="shared" ref="T679:T726" si="93">R679*S679</f>
        <v>#REF!</v>
      </c>
    </row>
    <row r="680" spans="1:20" x14ac:dyDescent="0.25">
      <c r="A680" s="58">
        <f t="shared" si="86"/>
        <v>44559.041666665034</v>
      </c>
      <c r="B680" s="59">
        <f t="shared" si="87"/>
        <v>44559.083333331699</v>
      </c>
      <c r="C680" s="60" t="e">
        <f>#REF!</f>
        <v>#REF!</v>
      </c>
      <c r="D680" s="61" t="e">
        <f>IF(C680&gt;0,Pricing!E680*$E$5,0)</f>
        <v>#REF!</v>
      </c>
      <c r="E680" s="61" t="e">
        <f t="shared" si="88"/>
        <v>#REF!</v>
      </c>
      <c r="F680" s="60" t="e">
        <f>#REF!</f>
        <v>#REF!</v>
      </c>
      <c r="G680" s="61" t="e">
        <f>IF(F680&gt;0,Pricing!E680*$H$5,0)</f>
        <v>#REF!</v>
      </c>
      <c r="H680" s="61" t="e">
        <f t="shared" si="89"/>
        <v>#REF!</v>
      </c>
      <c r="I680" s="62" t="e">
        <f>#REF!</f>
        <v>#REF!</v>
      </c>
      <c r="J680" s="61" t="e">
        <f>IF(I680&gt;0,Pricing!E680*$K$5,0)</f>
        <v>#REF!</v>
      </c>
      <c r="K680" s="63" t="e">
        <f t="shared" si="90"/>
        <v>#REF!</v>
      </c>
      <c r="L680" s="64" t="e">
        <f>#REF!</f>
        <v>#REF!</v>
      </c>
      <c r="M680" s="61" t="e">
        <f>IF(L680&lt;0,Pricing!E680*$N$5,0)</f>
        <v>#REF!</v>
      </c>
      <c r="N680" s="61" t="e">
        <f t="shared" si="91"/>
        <v>#REF!</v>
      </c>
      <c r="O680" s="60" t="e">
        <f>#REF!</f>
        <v>#REF!</v>
      </c>
      <c r="P680" s="61" t="e">
        <f>IF(O680&lt;0,Pricing!E680*$Q$5,0)</f>
        <v>#REF!</v>
      </c>
      <c r="Q680" s="61" t="e">
        <f t="shared" si="92"/>
        <v>#REF!</v>
      </c>
      <c r="R680" s="60" t="e">
        <f>#REF!</f>
        <v>#REF!</v>
      </c>
      <c r="S680" s="61" t="e">
        <f>IF(R680&lt;0,Pricing!E680*$T$5,0)</f>
        <v>#REF!</v>
      </c>
      <c r="T680" s="61" t="e">
        <f t="shared" si="93"/>
        <v>#REF!</v>
      </c>
    </row>
    <row r="681" spans="1:20" x14ac:dyDescent="0.25">
      <c r="A681" s="58">
        <f t="shared" si="86"/>
        <v>44559.083333331699</v>
      </c>
      <c r="B681" s="59">
        <f t="shared" si="87"/>
        <v>44559.124999998363</v>
      </c>
      <c r="C681" s="60" t="e">
        <f>#REF!</f>
        <v>#REF!</v>
      </c>
      <c r="D681" s="61" t="e">
        <f>IF(C681&gt;0,Pricing!E681*$E$5,0)</f>
        <v>#REF!</v>
      </c>
      <c r="E681" s="61" t="e">
        <f t="shared" si="88"/>
        <v>#REF!</v>
      </c>
      <c r="F681" s="60" t="e">
        <f>#REF!</f>
        <v>#REF!</v>
      </c>
      <c r="G681" s="61" t="e">
        <f>IF(F681&gt;0,Pricing!E681*$H$5,0)</f>
        <v>#REF!</v>
      </c>
      <c r="H681" s="61" t="e">
        <f t="shared" si="89"/>
        <v>#REF!</v>
      </c>
      <c r="I681" s="62" t="e">
        <f>#REF!</f>
        <v>#REF!</v>
      </c>
      <c r="J681" s="61" t="e">
        <f>IF(I681&gt;0,Pricing!E681*$K$5,0)</f>
        <v>#REF!</v>
      </c>
      <c r="K681" s="63" t="e">
        <f t="shared" si="90"/>
        <v>#REF!</v>
      </c>
      <c r="L681" s="64" t="e">
        <f>#REF!</f>
        <v>#REF!</v>
      </c>
      <c r="M681" s="61" t="e">
        <f>IF(L681&lt;0,Pricing!E681*$N$5,0)</f>
        <v>#REF!</v>
      </c>
      <c r="N681" s="61" t="e">
        <f t="shared" si="91"/>
        <v>#REF!</v>
      </c>
      <c r="O681" s="60" t="e">
        <f>#REF!</f>
        <v>#REF!</v>
      </c>
      <c r="P681" s="61" t="e">
        <f>IF(O681&lt;0,Pricing!E681*$Q$5,0)</f>
        <v>#REF!</v>
      </c>
      <c r="Q681" s="61" t="e">
        <f t="shared" si="92"/>
        <v>#REF!</v>
      </c>
      <c r="R681" s="60" t="e">
        <f>#REF!</f>
        <v>#REF!</v>
      </c>
      <c r="S681" s="61" t="e">
        <f>IF(R681&lt;0,Pricing!E681*$T$5,0)</f>
        <v>#REF!</v>
      </c>
      <c r="T681" s="61" t="e">
        <f t="shared" si="93"/>
        <v>#REF!</v>
      </c>
    </row>
    <row r="682" spans="1:20" x14ac:dyDescent="0.25">
      <c r="A682" s="58">
        <f t="shared" si="86"/>
        <v>44559.124999998363</v>
      </c>
      <c r="B682" s="59">
        <f t="shared" si="87"/>
        <v>44559.166666665027</v>
      </c>
      <c r="C682" s="60" t="e">
        <f>#REF!</f>
        <v>#REF!</v>
      </c>
      <c r="D682" s="61" t="e">
        <f>IF(C682&gt;0,Pricing!E682*$E$5,0)</f>
        <v>#REF!</v>
      </c>
      <c r="E682" s="61" t="e">
        <f t="shared" si="88"/>
        <v>#REF!</v>
      </c>
      <c r="F682" s="60" t="e">
        <f>#REF!</f>
        <v>#REF!</v>
      </c>
      <c r="G682" s="61" t="e">
        <f>IF(F682&gt;0,Pricing!E682*$H$5,0)</f>
        <v>#REF!</v>
      </c>
      <c r="H682" s="61" t="e">
        <f t="shared" si="89"/>
        <v>#REF!</v>
      </c>
      <c r="I682" s="62" t="e">
        <f>#REF!</f>
        <v>#REF!</v>
      </c>
      <c r="J682" s="61" t="e">
        <f>IF(I682&gt;0,Pricing!E682*$K$5,0)</f>
        <v>#REF!</v>
      </c>
      <c r="K682" s="63" t="e">
        <f t="shared" si="90"/>
        <v>#REF!</v>
      </c>
      <c r="L682" s="64" t="e">
        <f>#REF!</f>
        <v>#REF!</v>
      </c>
      <c r="M682" s="61" t="e">
        <f>IF(L682&lt;0,Pricing!E682*$N$5,0)</f>
        <v>#REF!</v>
      </c>
      <c r="N682" s="61" t="e">
        <f t="shared" si="91"/>
        <v>#REF!</v>
      </c>
      <c r="O682" s="60" t="e">
        <f>#REF!</f>
        <v>#REF!</v>
      </c>
      <c r="P682" s="61" t="e">
        <f>IF(O682&lt;0,Pricing!E682*$Q$5,0)</f>
        <v>#REF!</v>
      </c>
      <c r="Q682" s="61" t="e">
        <f t="shared" si="92"/>
        <v>#REF!</v>
      </c>
      <c r="R682" s="60" t="e">
        <f>#REF!</f>
        <v>#REF!</v>
      </c>
      <c r="S682" s="61" t="e">
        <f>IF(R682&lt;0,Pricing!E682*$T$5,0)</f>
        <v>#REF!</v>
      </c>
      <c r="T682" s="61" t="e">
        <f t="shared" si="93"/>
        <v>#REF!</v>
      </c>
    </row>
    <row r="683" spans="1:20" x14ac:dyDescent="0.25">
      <c r="A683" s="58">
        <f t="shared" si="86"/>
        <v>44559.166666665027</v>
      </c>
      <c r="B683" s="59">
        <f t="shared" si="87"/>
        <v>44559.208333331691</v>
      </c>
      <c r="C683" s="60" t="e">
        <f>#REF!</f>
        <v>#REF!</v>
      </c>
      <c r="D683" s="61" t="e">
        <f>IF(C683&gt;0,Pricing!E683*$E$5,0)</f>
        <v>#REF!</v>
      </c>
      <c r="E683" s="61" t="e">
        <f t="shared" si="88"/>
        <v>#REF!</v>
      </c>
      <c r="F683" s="60" t="e">
        <f>#REF!</f>
        <v>#REF!</v>
      </c>
      <c r="G683" s="61" t="e">
        <f>IF(F683&gt;0,Pricing!E683*$H$5,0)</f>
        <v>#REF!</v>
      </c>
      <c r="H683" s="61" t="e">
        <f t="shared" si="89"/>
        <v>#REF!</v>
      </c>
      <c r="I683" s="62" t="e">
        <f>#REF!</f>
        <v>#REF!</v>
      </c>
      <c r="J683" s="61" t="e">
        <f>IF(I683&gt;0,Pricing!E683*$K$5,0)</f>
        <v>#REF!</v>
      </c>
      <c r="K683" s="63" t="e">
        <f t="shared" si="90"/>
        <v>#REF!</v>
      </c>
      <c r="L683" s="64" t="e">
        <f>#REF!</f>
        <v>#REF!</v>
      </c>
      <c r="M683" s="61" t="e">
        <f>IF(L683&lt;0,Pricing!E683*$N$5,0)</f>
        <v>#REF!</v>
      </c>
      <c r="N683" s="61" t="e">
        <f t="shared" si="91"/>
        <v>#REF!</v>
      </c>
      <c r="O683" s="60" t="e">
        <f>#REF!</f>
        <v>#REF!</v>
      </c>
      <c r="P683" s="61" t="e">
        <f>IF(O683&lt;0,Pricing!E683*$Q$5,0)</f>
        <v>#REF!</v>
      </c>
      <c r="Q683" s="61" t="e">
        <f t="shared" si="92"/>
        <v>#REF!</v>
      </c>
      <c r="R683" s="60" t="e">
        <f>#REF!</f>
        <v>#REF!</v>
      </c>
      <c r="S683" s="61" t="e">
        <f>IF(R683&lt;0,Pricing!E683*$T$5,0)</f>
        <v>#REF!</v>
      </c>
      <c r="T683" s="61" t="e">
        <f t="shared" si="93"/>
        <v>#REF!</v>
      </c>
    </row>
    <row r="684" spans="1:20" x14ac:dyDescent="0.25">
      <c r="A684" s="58">
        <f t="shared" si="86"/>
        <v>44559.208333331691</v>
      </c>
      <c r="B684" s="59">
        <f t="shared" si="87"/>
        <v>44559.249999998356</v>
      </c>
      <c r="C684" s="60" t="e">
        <f>#REF!</f>
        <v>#REF!</v>
      </c>
      <c r="D684" s="61" t="e">
        <f>IF(C684&gt;0,Pricing!E684*$E$5,0)</f>
        <v>#REF!</v>
      </c>
      <c r="E684" s="61" t="e">
        <f t="shared" si="88"/>
        <v>#REF!</v>
      </c>
      <c r="F684" s="60" t="e">
        <f>#REF!</f>
        <v>#REF!</v>
      </c>
      <c r="G684" s="61" t="e">
        <f>IF(F684&gt;0,Pricing!E684*$H$5,0)</f>
        <v>#REF!</v>
      </c>
      <c r="H684" s="61" t="e">
        <f t="shared" si="89"/>
        <v>#REF!</v>
      </c>
      <c r="I684" s="62" t="e">
        <f>#REF!</f>
        <v>#REF!</v>
      </c>
      <c r="J684" s="61" t="e">
        <f>IF(I684&gt;0,Pricing!E684*$K$5,0)</f>
        <v>#REF!</v>
      </c>
      <c r="K684" s="63" t="e">
        <f t="shared" si="90"/>
        <v>#REF!</v>
      </c>
      <c r="L684" s="64" t="e">
        <f>#REF!</f>
        <v>#REF!</v>
      </c>
      <c r="M684" s="61" t="e">
        <f>IF(L684&lt;0,Pricing!E684*$N$5,0)</f>
        <v>#REF!</v>
      </c>
      <c r="N684" s="61" t="e">
        <f t="shared" si="91"/>
        <v>#REF!</v>
      </c>
      <c r="O684" s="60" t="e">
        <f>#REF!</f>
        <v>#REF!</v>
      </c>
      <c r="P684" s="61" t="e">
        <f>IF(O684&lt;0,Pricing!E684*$Q$5,0)</f>
        <v>#REF!</v>
      </c>
      <c r="Q684" s="61" t="e">
        <f t="shared" si="92"/>
        <v>#REF!</v>
      </c>
      <c r="R684" s="60" t="e">
        <f>#REF!</f>
        <v>#REF!</v>
      </c>
      <c r="S684" s="61" t="e">
        <f>IF(R684&lt;0,Pricing!E684*$T$5,0)</f>
        <v>#REF!</v>
      </c>
      <c r="T684" s="61" t="e">
        <f t="shared" si="93"/>
        <v>#REF!</v>
      </c>
    </row>
    <row r="685" spans="1:20" x14ac:dyDescent="0.25">
      <c r="A685" s="58">
        <f t="shared" si="86"/>
        <v>44559.249999998356</v>
      </c>
      <c r="B685" s="59">
        <f t="shared" si="87"/>
        <v>44559.29166666502</v>
      </c>
      <c r="C685" s="60" t="e">
        <f>#REF!</f>
        <v>#REF!</v>
      </c>
      <c r="D685" s="61" t="e">
        <f>IF(C685&gt;0,Pricing!E685*$E$5,0)</f>
        <v>#REF!</v>
      </c>
      <c r="E685" s="61" t="e">
        <f t="shared" si="88"/>
        <v>#REF!</v>
      </c>
      <c r="F685" s="60" t="e">
        <f>#REF!</f>
        <v>#REF!</v>
      </c>
      <c r="G685" s="61" t="e">
        <f>IF(F685&gt;0,Pricing!E685*$H$5,0)</f>
        <v>#REF!</v>
      </c>
      <c r="H685" s="61" t="e">
        <f t="shared" si="89"/>
        <v>#REF!</v>
      </c>
      <c r="I685" s="62" t="e">
        <f>#REF!</f>
        <v>#REF!</v>
      </c>
      <c r="J685" s="61" t="e">
        <f>IF(I685&gt;0,Pricing!E685*$K$5,0)</f>
        <v>#REF!</v>
      </c>
      <c r="K685" s="63" t="e">
        <f t="shared" si="90"/>
        <v>#REF!</v>
      </c>
      <c r="L685" s="64" t="e">
        <f>#REF!</f>
        <v>#REF!</v>
      </c>
      <c r="M685" s="61" t="e">
        <f>IF(L685&lt;0,Pricing!E685*$N$5,0)</f>
        <v>#REF!</v>
      </c>
      <c r="N685" s="61" t="e">
        <f t="shared" si="91"/>
        <v>#REF!</v>
      </c>
      <c r="O685" s="60" t="e">
        <f>#REF!</f>
        <v>#REF!</v>
      </c>
      <c r="P685" s="61" t="e">
        <f>IF(O685&lt;0,Pricing!E685*$Q$5,0)</f>
        <v>#REF!</v>
      </c>
      <c r="Q685" s="61" t="e">
        <f t="shared" si="92"/>
        <v>#REF!</v>
      </c>
      <c r="R685" s="60" t="e">
        <f>#REF!</f>
        <v>#REF!</v>
      </c>
      <c r="S685" s="61" t="e">
        <f>IF(R685&lt;0,Pricing!E685*$T$5,0)</f>
        <v>#REF!</v>
      </c>
      <c r="T685" s="61" t="e">
        <f t="shared" si="93"/>
        <v>#REF!</v>
      </c>
    </row>
    <row r="686" spans="1:20" x14ac:dyDescent="0.25">
      <c r="A686" s="58">
        <f t="shared" si="86"/>
        <v>44559.29166666502</v>
      </c>
      <c r="B686" s="59">
        <f t="shared" si="87"/>
        <v>44559.333333331684</v>
      </c>
      <c r="C686" s="60" t="e">
        <f>#REF!</f>
        <v>#REF!</v>
      </c>
      <c r="D686" s="61" t="e">
        <f>IF(C686&gt;0,Pricing!E686*$E$5,0)</f>
        <v>#REF!</v>
      </c>
      <c r="E686" s="61" t="e">
        <f t="shared" si="88"/>
        <v>#REF!</v>
      </c>
      <c r="F686" s="60" t="e">
        <f>#REF!</f>
        <v>#REF!</v>
      </c>
      <c r="G686" s="61" t="e">
        <f>IF(F686&gt;0,Pricing!E686*$H$5,0)</f>
        <v>#REF!</v>
      </c>
      <c r="H686" s="61" t="e">
        <f t="shared" si="89"/>
        <v>#REF!</v>
      </c>
      <c r="I686" s="62" t="e">
        <f>#REF!</f>
        <v>#REF!</v>
      </c>
      <c r="J686" s="61" t="e">
        <f>IF(I686&gt;0,Pricing!E686*$K$5,0)</f>
        <v>#REF!</v>
      </c>
      <c r="K686" s="63" t="e">
        <f t="shared" si="90"/>
        <v>#REF!</v>
      </c>
      <c r="L686" s="64" t="e">
        <f>#REF!</f>
        <v>#REF!</v>
      </c>
      <c r="M686" s="61" t="e">
        <f>IF(L686&lt;0,Pricing!E686*$N$5,0)</f>
        <v>#REF!</v>
      </c>
      <c r="N686" s="61" t="e">
        <f t="shared" si="91"/>
        <v>#REF!</v>
      </c>
      <c r="O686" s="60" t="e">
        <f>#REF!</f>
        <v>#REF!</v>
      </c>
      <c r="P686" s="61" t="e">
        <f>IF(O686&lt;0,Pricing!E686*$Q$5,0)</f>
        <v>#REF!</v>
      </c>
      <c r="Q686" s="61" t="e">
        <f t="shared" si="92"/>
        <v>#REF!</v>
      </c>
      <c r="R686" s="60" t="e">
        <f>#REF!</f>
        <v>#REF!</v>
      </c>
      <c r="S686" s="61" t="e">
        <f>IF(R686&lt;0,Pricing!E686*$T$5,0)</f>
        <v>#REF!</v>
      </c>
      <c r="T686" s="61" t="e">
        <f t="shared" si="93"/>
        <v>#REF!</v>
      </c>
    </row>
    <row r="687" spans="1:20" x14ac:dyDescent="0.25">
      <c r="A687" s="58">
        <f t="shared" si="86"/>
        <v>44559.333333331684</v>
      </c>
      <c r="B687" s="59">
        <f t="shared" si="87"/>
        <v>44559.374999998348</v>
      </c>
      <c r="C687" s="60" t="e">
        <f>#REF!</f>
        <v>#REF!</v>
      </c>
      <c r="D687" s="61" t="e">
        <f>IF(C687&gt;0,Pricing!E687*$E$5,0)</f>
        <v>#REF!</v>
      </c>
      <c r="E687" s="61" t="e">
        <f t="shared" si="88"/>
        <v>#REF!</v>
      </c>
      <c r="F687" s="60" t="e">
        <f>#REF!</f>
        <v>#REF!</v>
      </c>
      <c r="G687" s="61" t="e">
        <f>IF(F687&gt;0,Pricing!E687*$H$5,0)</f>
        <v>#REF!</v>
      </c>
      <c r="H687" s="61" t="e">
        <f t="shared" si="89"/>
        <v>#REF!</v>
      </c>
      <c r="I687" s="62" t="e">
        <f>#REF!</f>
        <v>#REF!</v>
      </c>
      <c r="J687" s="61" t="e">
        <f>IF(I687&gt;0,Pricing!E687*$K$5,0)</f>
        <v>#REF!</v>
      </c>
      <c r="K687" s="63" t="e">
        <f t="shared" si="90"/>
        <v>#REF!</v>
      </c>
      <c r="L687" s="64" t="e">
        <f>#REF!</f>
        <v>#REF!</v>
      </c>
      <c r="M687" s="61" t="e">
        <f>IF(L687&lt;0,Pricing!E687*$N$5,0)</f>
        <v>#REF!</v>
      </c>
      <c r="N687" s="61" t="e">
        <f t="shared" si="91"/>
        <v>#REF!</v>
      </c>
      <c r="O687" s="60" t="e">
        <f>#REF!</f>
        <v>#REF!</v>
      </c>
      <c r="P687" s="61" t="e">
        <f>IF(O687&lt;0,Pricing!E687*$Q$5,0)</f>
        <v>#REF!</v>
      </c>
      <c r="Q687" s="61" t="e">
        <f t="shared" si="92"/>
        <v>#REF!</v>
      </c>
      <c r="R687" s="60" t="e">
        <f>#REF!</f>
        <v>#REF!</v>
      </c>
      <c r="S687" s="61" t="e">
        <f>IF(R687&lt;0,Pricing!E687*$T$5,0)</f>
        <v>#REF!</v>
      </c>
      <c r="T687" s="61" t="e">
        <f t="shared" si="93"/>
        <v>#REF!</v>
      </c>
    </row>
    <row r="688" spans="1:20" x14ac:dyDescent="0.25">
      <c r="A688" s="58">
        <f t="shared" si="86"/>
        <v>44559.374999998348</v>
      </c>
      <c r="B688" s="59">
        <f t="shared" si="87"/>
        <v>44559.416666665013</v>
      </c>
      <c r="C688" s="60" t="e">
        <f>#REF!</f>
        <v>#REF!</v>
      </c>
      <c r="D688" s="61" t="e">
        <f>IF(C688&gt;0,Pricing!E688*$E$5,0)</f>
        <v>#REF!</v>
      </c>
      <c r="E688" s="61" t="e">
        <f t="shared" si="88"/>
        <v>#REF!</v>
      </c>
      <c r="F688" s="60" t="e">
        <f>#REF!</f>
        <v>#REF!</v>
      </c>
      <c r="G688" s="61" t="e">
        <f>IF(F688&gt;0,Pricing!E688*$H$5,0)</f>
        <v>#REF!</v>
      </c>
      <c r="H688" s="61" t="e">
        <f t="shared" si="89"/>
        <v>#REF!</v>
      </c>
      <c r="I688" s="62" t="e">
        <f>#REF!</f>
        <v>#REF!</v>
      </c>
      <c r="J688" s="61" t="e">
        <f>IF(I688&gt;0,Pricing!E688*$K$5,0)</f>
        <v>#REF!</v>
      </c>
      <c r="K688" s="63" t="e">
        <f t="shared" si="90"/>
        <v>#REF!</v>
      </c>
      <c r="L688" s="64" t="e">
        <f>#REF!</f>
        <v>#REF!</v>
      </c>
      <c r="M688" s="61" t="e">
        <f>IF(L688&lt;0,Pricing!E688*$N$5,0)</f>
        <v>#REF!</v>
      </c>
      <c r="N688" s="61" t="e">
        <f t="shared" si="91"/>
        <v>#REF!</v>
      </c>
      <c r="O688" s="60" t="e">
        <f>#REF!</f>
        <v>#REF!</v>
      </c>
      <c r="P688" s="61" t="e">
        <f>IF(O688&lt;0,Pricing!E688*$Q$5,0)</f>
        <v>#REF!</v>
      </c>
      <c r="Q688" s="61" t="e">
        <f t="shared" si="92"/>
        <v>#REF!</v>
      </c>
      <c r="R688" s="60" t="e">
        <f>#REF!</f>
        <v>#REF!</v>
      </c>
      <c r="S688" s="61" t="e">
        <f>IF(R688&lt;0,Pricing!E688*$T$5,0)</f>
        <v>#REF!</v>
      </c>
      <c r="T688" s="61" t="e">
        <f t="shared" si="93"/>
        <v>#REF!</v>
      </c>
    </row>
    <row r="689" spans="1:20" x14ac:dyDescent="0.25">
      <c r="A689" s="58">
        <f t="shared" si="86"/>
        <v>44559.416666665013</v>
      </c>
      <c r="B689" s="59">
        <f t="shared" si="87"/>
        <v>44559.458333331677</v>
      </c>
      <c r="C689" s="60" t="e">
        <f>#REF!</f>
        <v>#REF!</v>
      </c>
      <c r="D689" s="61" t="e">
        <f>IF(C689&gt;0,Pricing!E689*$E$5,0)</f>
        <v>#REF!</v>
      </c>
      <c r="E689" s="61" t="e">
        <f t="shared" si="88"/>
        <v>#REF!</v>
      </c>
      <c r="F689" s="60" t="e">
        <f>#REF!</f>
        <v>#REF!</v>
      </c>
      <c r="G689" s="61" t="e">
        <f>IF(F689&gt;0,Pricing!E689*$H$5,0)</f>
        <v>#REF!</v>
      </c>
      <c r="H689" s="61" t="e">
        <f t="shared" si="89"/>
        <v>#REF!</v>
      </c>
      <c r="I689" s="62" t="e">
        <f>#REF!</f>
        <v>#REF!</v>
      </c>
      <c r="J689" s="61" t="e">
        <f>IF(I689&gt;0,Pricing!E689*$K$5,0)</f>
        <v>#REF!</v>
      </c>
      <c r="K689" s="63" t="e">
        <f t="shared" si="90"/>
        <v>#REF!</v>
      </c>
      <c r="L689" s="64" t="e">
        <f>#REF!</f>
        <v>#REF!</v>
      </c>
      <c r="M689" s="61" t="e">
        <f>IF(L689&lt;0,Pricing!E689*$N$5,0)</f>
        <v>#REF!</v>
      </c>
      <c r="N689" s="61" t="e">
        <f t="shared" si="91"/>
        <v>#REF!</v>
      </c>
      <c r="O689" s="60" t="e">
        <f>#REF!</f>
        <v>#REF!</v>
      </c>
      <c r="P689" s="61" t="e">
        <f>IF(O689&lt;0,Pricing!E689*$Q$5,0)</f>
        <v>#REF!</v>
      </c>
      <c r="Q689" s="61" t="e">
        <f t="shared" si="92"/>
        <v>#REF!</v>
      </c>
      <c r="R689" s="60" t="e">
        <f>#REF!</f>
        <v>#REF!</v>
      </c>
      <c r="S689" s="61" t="e">
        <f>IF(R689&lt;0,Pricing!E689*$T$5,0)</f>
        <v>#REF!</v>
      </c>
      <c r="T689" s="61" t="e">
        <f t="shared" si="93"/>
        <v>#REF!</v>
      </c>
    </row>
    <row r="690" spans="1:20" x14ac:dyDescent="0.25">
      <c r="A690" s="58">
        <f t="shared" si="86"/>
        <v>44559.458333331677</v>
      </c>
      <c r="B690" s="59">
        <f t="shared" si="87"/>
        <v>44559.499999998341</v>
      </c>
      <c r="C690" s="60" t="e">
        <f>#REF!</f>
        <v>#REF!</v>
      </c>
      <c r="D690" s="61" t="e">
        <f>IF(C690&gt;0,Pricing!E690*$E$5,0)</f>
        <v>#REF!</v>
      </c>
      <c r="E690" s="61" t="e">
        <f t="shared" si="88"/>
        <v>#REF!</v>
      </c>
      <c r="F690" s="60" t="e">
        <f>#REF!</f>
        <v>#REF!</v>
      </c>
      <c r="G690" s="61" t="e">
        <f>IF(F690&gt;0,Pricing!E690*$H$5,0)</f>
        <v>#REF!</v>
      </c>
      <c r="H690" s="61" t="e">
        <f t="shared" si="89"/>
        <v>#REF!</v>
      </c>
      <c r="I690" s="62" t="e">
        <f>#REF!</f>
        <v>#REF!</v>
      </c>
      <c r="J690" s="61" t="e">
        <f>IF(I690&gt;0,Pricing!E690*$K$5,0)</f>
        <v>#REF!</v>
      </c>
      <c r="K690" s="63" t="e">
        <f t="shared" si="90"/>
        <v>#REF!</v>
      </c>
      <c r="L690" s="64" t="e">
        <f>#REF!</f>
        <v>#REF!</v>
      </c>
      <c r="M690" s="61" t="e">
        <f>IF(L690&lt;0,Pricing!E690*$N$5,0)</f>
        <v>#REF!</v>
      </c>
      <c r="N690" s="61" t="e">
        <f t="shared" si="91"/>
        <v>#REF!</v>
      </c>
      <c r="O690" s="60" t="e">
        <f>#REF!</f>
        <v>#REF!</v>
      </c>
      <c r="P690" s="61" t="e">
        <f>IF(O690&lt;0,Pricing!E690*$Q$5,0)</f>
        <v>#REF!</v>
      </c>
      <c r="Q690" s="61" t="e">
        <f t="shared" si="92"/>
        <v>#REF!</v>
      </c>
      <c r="R690" s="60" t="e">
        <f>#REF!</f>
        <v>#REF!</v>
      </c>
      <c r="S690" s="61" t="e">
        <f>IF(R690&lt;0,Pricing!E690*$T$5,0)</f>
        <v>#REF!</v>
      </c>
      <c r="T690" s="61" t="e">
        <f t="shared" si="93"/>
        <v>#REF!</v>
      </c>
    </row>
    <row r="691" spans="1:20" x14ac:dyDescent="0.25">
      <c r="A691" s="58">
        <f t="shared" si="86"/>
        <v>44559.499999998341</v>
      </c>
      <c r="B691" s="59">
        <f t="shared" si="87"/>
        <v>44559.541666665005</v>
      </c>
      <c r="C691" s="60" t="e">
        <f>#REF!</f>
        <v>#REF!</v>
      </c>
      <c r="D691" s="61" t="e">
        <f>IF(C691&gt;0,Pricing!E691*$E$5,0)</f>
        <v>#REF!</v>
      </c>
      <c r="E691" s="61" t="e">
        <f t="shared" si="88"/>
        <v>#REF!</v>
      </c>
      <c r="F691" s="60" t="e">
        <f>#REF!</f>
        <v>#REF!</v>
      </c>
      <c r="G691" s="61" t="e">
        <f>IF(F691&gt;0,Pricing!E691*$H$5,0)</f>
        <v>#REF!</v>
      </c>
      <c r="H691" s="61" t="e">
        <f t="shared" si="89"/>
        <v>#REF!</v>
      </c>
      <c r="I691" s="62" t="e">
        <f>#REF!</f>
        <v>#REF!</v>
      </c>
      <c r="J691" s="61" t="e">
        <f>IF(I691&gt;0,Pricing!E691*$K$5,0)</f>
        <v>#REF!</v>
      </c>
      <c r="K691" s="63" t="e">
        <f t="shared" si="90"/>
        <v>#REF!</v>
      </c>
      <c r="L691" s="64" t="e">
        <f>#REF!</f>
        <v>#REF!</v>
      </c>
      <c r="M691" s="61" t="e">
        <f>IF(L691&lt;0,Pricing!E691*$N$5,0)</f>
        <v>#REF!</v>
      </c>
      <c r="N691" s="61" t="e">
        <f t="shared" si="91"/>
        <v>#REF!</v>
      </c>
      <c r="O691" s="60" t="e">
        <f>#REF!</f>
        <v>#REF!</v>
      </c>
      <c r="P691" s="61" t="e">
        <f>IF(O691&lt;0,Pricing!E691*$Q$5,0)</f>
        <v>#REF!</v>
      </c>
      <c r="Q691" s="61" t="e">
        <f t="shared" si="92"/>
        <v>#REF!</v>
      </c>
      <c r="R691" s="60" t="e">
        <f>#REF!</f>
        <v>#REF!</v>
      </c>
      <c r="S691" s="61" t="e">
        <f>IF(R691&lt;0,Pricing!E691*$T$5,0)</f>
        <v>#REF!</v>
      </c>
      <c r="T691" s="61" t="e">
        <f t="shared" si="93"/>
        <v>#REF!</v>
      </c>
    </row>
    <row r="692" spans="1:20" x14ac:dyDescent="0.25">
      <c r="A692" s="58">
        <f t="shared" si="86"/>
        <v>44559.541666665005</v>
      </c>
      <c r="B692" s="59">
        <f t="shared" si="87"/>
        <v>44559.58333333167</v>
      </c>
      <c r="C692" s="60" t="e">
        <f>#REF!</f>
        <v>#REF!</v>
      </c>
      <c r="D692" s="61" t="e">
        <f>IF(C692&gt;0,Pricing!E692*$E$5,0)</f>
        <v>#REF!</v>
      </c>
      <c r="E692" s="61" t="e">
        <f t="shared" si="88"/>
        <v>#REF!</v>
      </c>
      <c r="F692" s="60" t="e">
        <f>#REF!</f>
        <v>#REF!</v>
      </c>
      <c r="G692" s="61" t="e">
        <f>IF(F692&gt;0,Pricing!E692*$H$5,0)</f>
        <v>#REF!</v>
      </c>
      <c r="H692" s="61" t="e">
        <f t="shared" si="89"/>
        <v>#REF!</v>
      </c>
      <c r="I692" s="62" t="e">
        <f>#REF!</f>
        <v>#REF!</v>
      </c>
      <c r="J692" s="61" t="e">
        <f>IF(I692&gt;0,Pricing!E692*$K$5,0)</f>
        <v>#REF!</v>
      </c>
      <c r="K692" s="63" t="e">
        <f t="shared" si="90"/>
        <v>#REF!</v>
      </c>
      <c r="L692" s="64" t="e">
        <f>#REF!</f>
        <v>#REF!</v>
      </c>
      <c r="M692" s="61" t="e">
        <f>IF(L692&lt;0,Pricing!E692*$N$5,0)</f>
        <v>#REF!</v>
      </c>
      <c r="N692" s="61" t="e">
        <f t="shared" si="91"/>
        <v>#REF!</v>
      </c>
      <c r="O692" s="60" t="e">
        <f>#REF!</f>
        <v>#REF!</v>
      </c>
      <c r="P692" s="61" t="e">
        <f>IF(O692&lt;0,Pricing!E692*$Q$5,0)</f>
        <v>#REF!</v>
      </c>
      <c r="Q692" s="61" t="e">
        <f t="shared" si="92"/>
        <v>#REF!</v>
      </c>
      <c r="R692" s="60" t="e">
        <f>#REF!</f>
        <v>#REF!</v>
      </c>
      <c r="S692" s="61" t="e">
        <f>IF(R692&lt;0,Pricing!E692*$T$5,0)</f>
        <v>#REF!</v>
      </c>
      <c r="T692" s="61" t="e">
        <f t="shared" si="93"/>
        <v>#REF!</v>
      </c>
    </row>
    <row r="693" spans="1:20" x14ac:dyDescent="0.25">
      <c r="A693" s="58">
        <f t="shared" si="86"/>
        <v>44559.58333333167</v>
      </c>
      <c r="B693" s="59">
        <f t="shared" si="87"/>
        <v>44559.624999998334</v>
      </c>
      <c r="C693" s="60" t="e">
        <f>#REF!</f>
        <v>#REF!</v>
      </c>
      <c r="D693" s="61" t="e">
        <f>IF(C693&gt;0,Pricing!E693*$E$5,0)</f>
        <v>#REF!</v>
      </c>
      <c r="E693" s="61" t="e">
        <f t="shared" si="88"/>
        <v>#REF!</v>
      </c>
      <c r="F693" s="60" t="e">
        <f>#REF!</f>
        <v>#REF!</v>
      </c>
      <c r="G693" s="61" t="e">
        <f>IF(F693&gt;0,Pricing!E693*$H$5,0)</f>
        <v>#REF!</v>
      </c>
      <c r="H693" s="61" t="e">
        <f t="shared" si="89"/>
        <v>#REF!</v>
      </c>
      <c r="I693" s="62" t="e">
        <f>#REF!</f>
        <v>#REF!</v>
      </c>
      <c r="J693" s="61" t="e">
        <f>IF(I693&gt;0,Pricing!E693*$K$5,0)</f>
        <v>#REF!</v>
      </c>
      <c r="K693" s="63" t="e">
        <f t="shared" si="90"/>
        <v>#REF!</v>
      </c>
      <c r="L693" s="64" t="e">
        <f>#REF!</f>
        <v>#REF!</v>
      </c>
      <c r="M693" s="61" t="e">
        <f>IF(L693&lt;0,Pricing!E693*$N$5,0)</f>
        <v>#REF!</v>
      </c>
      <c r="N693" s="61" t="e">
        <f t="shared" si="91"/>
        <v>#REF!</v>
      </c>
      <c r="O693" s="60" t="e">
        <f>#REF!</f>
        <v>#REF!</v>
      </c>
      <c r="P693" s="61" t="e">
        <f>IF(O693&lt;0,Pricing!E693*$Q$5,0)</f>
        <v>#REF!</v>
      </c>
      <c r="Q693" s="61" t="e">
        <f t="shared" si="92"/>
        <v>#REF!</v>
      </c>
      <c r="R693" s="60" t="e">
        <f>#REF!</f>
        <v>#REF!</v>
      </c>
      <c r="S693" s="61" t="e">
        <f>IF(R693&lt;0,Pricing!E693*$T$5,0)</f>
        <v>#REF!</v>
      </c>
      <c r="T693" s="61" t="e">
        <f t="shared" si="93"/>
        <v>#REF!</v>
      </c>
    </row>
    <row r="694" spans="1:20" x14ac:dyDescent="0.25">
      <c r="A694" s="58">
        <f t="shared" si="86"/>
        <v>44559.624999998334</v>
      </c>
      <c r="B694" s="59">
        <f t="shared" si="87"/>
        <v>44559.666666664998</v>
      </c>
      <c r="C694" s="60" t="e">
        <f>#REF!</f>
        <v>#REF!</v>
      </c>
      <c r="D694" s="61" t="e">
        <f>IF(C694&gt;0,Pricing!E694*$E$5,0)</f>
        <v>#REF!</v>
      </c>
      <c r="E694" s="61" t="e">
        <f t="shared" si="88"/>
        <v>#REF!</v>
      </c>
      <c r="F694" s="60" t="e">
        <f>#REF!</f>
        <v>#REF!</v>
      </c>
      <c r="G694" s="61" t="e">
        <f>IF(F694&gt;0,Pricing!E694*$H$5,0)</f>
        <v>#REF!</v>
      </c>
      <c r="H694" s="61" t="e">
        <f t="shared" si="89"/>
        <v>#REF!</v>
      </c>
      <c r="I694" s="62" t="e">
        <f>#REF!</f>
        <v>#REF!</v>
      </c>
      <c r="J694" s="61" t="e">
        <f>IF(I694&gt;0,Pricing!E694*$K$5,0)</f>
        <v>#REF!</v>
      </c>
      <c r="K694" s="63" t="e">
        <f t="shared" si="90"/>
        <v>#REF!</v>
      </c>
      <c r="L694" s="64" t="e">
        <f>#REF!</f>
        <v>#REF!</v>
      </c>
      <c r="M694" s="61" t="e">
        <f>IF(L694&lt;0,Pricing!E694*$N$5,0)</f>
        <v>#REF!</v>
      </c>
      <c r="N694" s="61" t="e">
        <f t="shared" si="91"/>
        <v>#REF!</v>
      </c>
      <c r="O694" s="60" t="e">
        <f>#REF!</f>
        <v>#REF!</v>
      </c>
      <c r="P694" s="61" t="e">
        <f>IF(O694&lt;0,Pricing!E694*$Q$5,0)</f>
        <v>#REF!</v>
      </c>
      <c r="Q694" s="61" t="e">
        <f t="shared" si="92"/>
        <v>#REF!</v>
      </c>
      <c r="R694" s="60" t="e">
        <f>#REF!</f>
        <v>#REF!</v>
      </c>
      <c r="S694" s="61" t="e">
        <f>IF(R694&lt;0,Pricing!E694*$T$5,0)</f>
        <v>#REF!</v>
      </c>
      <c r="T694" s="61" t="e">
        <f t="shared" si="93"/>
        <v>#REF!</v>
      </c>
    </row>
    <row r="695" spans="1:20" x14ac:dyDescent="0.25">
      <c r="A695" s="58">
        <f t="shared" si="86"/>
        <v>44559.666666664998</v>
      </c>
      <c r="B695" s="59">
        <f t="shared" si="87"/>
        <v>44559.708333331662</v>
      </c>
      <c r="C695" s="60" t="e">
        <f>#REF!</f>
        <v>#REF!</v>
      </c>
      <c r="D695" s="61" t="e">
        <f>IF(C695&gt;0,Pricing!E695*$E$5,0)</f>
        <v>#REF!</v>
      </c>
      <c r="E695" s="61" t="e">
        <f t="shared" si="88"/>
        <v>#REF!</v>
      </c>
      <c r="F695" s="60" t="e">
        <f>#REF!</f>
        <v>#REF!</v>
      </c>
      <c r="G695" s="61" t="e">
        <f>IF(F695&gt;0,Pricing!E695*$H$5,0)</f>
        <v>#REF!</v>
      </c>
      <c r="H695" s="61" t="e">
        <f t="shared" si="89"/>
        <v>#REF!</v>
      </c>
      <c r="I695" s="62" t="e">
        <f>#REF!</f>
        <v>#REF!</v>
      </c>
      <c r="J695" s="61" t="e">
        <f>IF(I695&gt;0,Pricing!E695*$K$5,0)</f>
        <v>#REF!</v>
      </c>
      <c r="K695" s="63" t="e">
        <f t="shared" si="90"/>
        <v>#REF!</v>
      </c>
      <c r="L695" s="64" t="e">
        <f>#REF!</f>
        <v>#REF!</v>
      </c>
      <c r="M695" s="61" t="e">
        <f>IF(L695&lt;0,Pricing!E695*$N$5,0)</f>
        <v>#REF!</v>
      </c>
      <c r="N695" s="61" t="e">
        <f t="shared" si="91"/>
        <v>#REF!</v>
      </c>
      <c r="O695" s="60" t="e">
        <f>#REF!</f>
        <v>#REF!</v>
      </c>
      <c r="P695" s="61" t="e">
        <f>IF(O695&lt;0,Pricing!E695*$Q$5,0)</f>
        <v>#REF!</v>
      </c>
      <c r="Q695" s="61" t="e">
        <f t="shared" si="92"/>
        <v>#REF!</v>
      </c>
      <c r="R695" s="60" t="e">
        <f>#REF!</f>
        <v>#REF!</v>
      </c>
      <c r="S695" s="61" t="e">
        <f>IF(R695&lt;0,Pricing!E695*$T$5,0)</f>
        <v>#REF!</v>
      </c>
      <c r="T695" s="61" t="e">
        <f t="shared" si="93"/>
        <v>#REF!</v>
      </c>
    </row>
    <row r="696" spans="1:20" x14ac:dyDescent="0.25">
      <c r="A696" s="58">
        <f t="shared" si="86"/>
        <v>44559.708333331662</v>
      </c>
      <c r="B696" s="59">
        <f t="shared" si="87"/>
        <v>44559.749999998327</v>
      </c>
      <c r="C696" s="60" t="e">
        <f>#REF!</f>
        <v>#REF!</v>
      </c>
      <c r="D696" s="61" t="e">
        <f>IF(C696&gt;0,Pricing!E696*$E$5,0)</f>
        <v>#REF!</v>
      </c>
      <c r="E696" s="61" t="e">
        <f t="shared" si="88"/>
        <v>#REF!</v>
      </c>
      <c r="F696" s="60" t="e">
        <f>#REF!</f>
        <v>#REF!</v>
      </c>
      <c r="G696" s="61" t="e">
        <f>IF(F696&gt;0,Pricing!E696*$H$5,0)</f>
        <v>#REF!</v>
      </c>
      <c r="H696" s="61" t="e">
        <f t="shared" si="89"/>
        <v>#REF!</v>
      </c>
      <c r="I696" s="62" t="e">
        <f>#REF!</f>
        <v>#REF!</v>
      </c>
      <c r="J696" s="61" t="e">
        <f>IF(I696&gt;0,Pricing!E696*$K$5,0)</f>
        <v>#REF!</v>
      </c>
      <c r="K696" s="63" t="e">
        <f t="shared" si="90"/>
        <v>#REF!</v>
      </c>
      <c r="L696" s="64" t="e">
        <f>#REF!</f>
        <v>#REF!</v>
      </c>
      <c r="M696" s="61" t="e">
        <f>IF(L696&lt;0,Pricing!E696*$N$5,0)</f>
        <v>#REF!</v>
      </c>
      <c r="N696" s="61" t="e">
        <f t="shared" si="91"/>
        <v>#REF!</v>
      </c>
      <c r="O696" s="60" t="e">
        <f>#REF!</f>
        <v>#REF!</v>
      </c>
      <c r="P696" s="61" t="e">
        <f>IF(O696&lt;0,Pricing!E696*$Q$5,0)</f>
        <v>#REF!</v>
      </c>
      <c r="Q696" s="61" t="e">
        <f t="shared" si="92"/>
        <v>#REF!</v>
      </c>
      <c r="R696" s="60" t="e">
        <f>#REF!</f>
        <v>#REF!</v>
      </c>
      <c r="S696" s="61" t="e">
        <f>IF(R696&lt;0,Pricing!E696*$T$5,0)</f>
        <v>#REF!</v>
      </c>
      <c r="T696" s="61" t="e">
        <f t="shared" si="93"/>
        <v>#REF!</v>
      </c>
    </row>
    <row r="697" spans="1:20" x14ac:dyDescent="0.25">
      <c r="A697" s="58">
        <f t="shared" si="86"/>
        <v>44559.749999998327</v>
      </c>
      <c r="B697" s="59">
        <f t="shared" si="87"/>
        <v>44559.791666664991</v>
      </c>
      <c r="C697" s="60" t="e">
        <f>#REF!</f>
        <v>#REF!</v>
      </c>
      <c r="D697" s="61" t="e">
        <f>IF(C697&gt;0,Pricing!E697*$E$5,0)</f>
        <v>#REF!</v>
      </c>
      <c r="E697" s="61" t="e">
        <f t="shared" si="88"/>
        <v>#REF!</v>
      </c>
      <c r="F697" s="60" t="e">
        <f>#REF!</f>
        <v>#REF!</v>
      </c>
      <c r="G697" s="61" t="e">
        <f>IF(F697&gt;0,Pricing!E697*$H$5,0)</f>
        <v>#REF!</v>
      </c>
      <c r="H697" s="61" t="e">
        <f t="shared" si="89"/>
        <v>#REF!</v>
      </c>
      <c r="I697" s="62" t="e">
        <f>#REF!</f>
        <v>#REF!</v>
      </c>
      <c r="J697" s="61" t="e">
        <f>IF(I697&gt;0,Pricing!E697*$K$5,0)</f>
        <v>#REF!</v>
      </c>
      <c r="K697" s="63" t="e">
        <f t="shared" si="90"/>
        <v>#REF!</v>
      </c>
      <c r="L697" s="64" t="e">
        <f>#REF!</f>
        <v>#REF!</v>
      </c>
      <c r="M697" s="61" t="e">
        <f>IF(L697&lt;0,Pricing!E697*$N$5,0)</f>
        <v>#REF!</v>
      </c>
      <c r="N697" s="61" t="e">
        <f t="shared" si="91"/>
        <v>#REF!</v>
      </c>
      <c r="O697" s="60" t="e">
        <f>#REF!</f>
        <v>#REF!</v>
      </c>
      <c r="P697" s="61" t="e">
        <f>IF(O697&lt;0,Pricing!E697*$Q$5,0)</f>
        <v>#REF!</v>
      </c>
      <c r="Q697" s="61" t="e">
        <f t="shared" si="92"/>
        <v>#REF!</v>
      </c>
      <c r="R697" s="60" t="e">
        <f>#REF!</f>
        <v>#REF!</v>
      </c>
      <c r="S697" s="61" t="e">
        <f>IF(R697&lt;0,Pricing!E697*$T$5,0)</f>
        <v>#REF!</v>
      </c>
      <c r="T697" s="61" t="e">
        <f t="shared" si="93"/>
        <v>#REF!</v>
      </c>
    </row>
    <row r="698" spans="1:20" x14ac:dyDescent="0.25">
      <c r="A698" s="58">
        <f t="shared" si="86"/>
        <v>44559.791666664991</v>
      </c>
      <c r="B698" s="59">
        <f t="shared" si="87"/>
        <v>44559.833333331655</v>
      </c>
      <c r="C698" s="60" t="e">
        <f>#REF!</f>
        <v>#REF!</v>
      </c>
      <c r="D698" s="61" t="e">
        <f>IF(C698&gt;0,Pricing!E698*$E$5,0)</f>
        <v>#REF!</v>
      </c>
      <c r="E698" s="61" t="e">
        <f t="shared" si="88"/>
        <v>#REF!</v>
      </c>
      <c r="F698" s="60" t="e">
        <f>#REF!</f>
        <v>#REF!</v>
      </c>
      <c r="G698" s="61" t="e">
        <f>IF(F698&gt;0,Pricing!E698*$H$5,0)</f>
        <v>#REF!</v>
      </c>
      <c r="H698" s="61" t="e">
        <f t="shared" si="89"/>
        <v>#REF!</v>
      </c>
      <c r="I698" s="62" t="e">
        <f>#REF!</f>
        <v>#REF!</v>
      </c>
      <c r="J698" s="61" t="e">
        <f>IF(I698&gt;0,Pricing!E698*$K$5,0)</f>
        <v>#REF!</v>
      </c>
      <c r="K698" s="63" t="e">
        <f t="shared" si="90"/>
        <v>#REF!</v>
      </c>
      <c r="L698" s="64" t="e">
        <f>#REF!</f>
        <v>#REF!</v>
      </c>
      <c r="M698" s="61" t="e">
        <f>IF(L698&lt;0,Pricing!E698*$N$5,0)</f>
        <v>#REF!</v>
      </c>
      <c r="N698" s="61" t="e">
        <f t="shared" si="91"/>
        <v>#REF!</v>
      </c>
      <c r="O698" s="60" t="e">
        <f>#REF!</f>
        <v>#REF!</v>
      </c>
      <c r="P698" s="61" t="e">
        <f>IF(O698&lt;0,Pricing!E698*$Q$5,0)</f>
        <v>#REF!</v>
      </c>
      <c r="Q698" s="61" t="e">
        <f t="shared" si="92"/>
        <v>#REF!</v>
      </c>
      <c r="R698" s="60" t="e">
        <f>#REF!</f>
        <v>#REF!</v>
      </c>
      <c r="S698" s="61" t="e">
        <f>IF(R698&lt;0,Pricing!E698*$T$5,0)</f>
        <v>#REF!</v>
      </c>
      <c r="T698" s="61" t="e">
        <f t="shared" si="93"/>
        <v>#REF!</v>
      </c>
    </row>
    <row r="699" spans="1:20" x14ac:dyDescent="0.25">
      <c r="A699" s="58">
        <f t="shared" si="86"/>
        <v>44559.833333331655</v>
      </c>
      <c r="B699" s="59">
        <f t="shared" si="87"/>
        <v>44559.874999998319</v>
      </c>
      <c r="C699" s="60" t="e">
        <f>#REF!</f>
        <v>#REF!</v>
      </c>
      <c r="D699" s="61" t="e">
        <f>IF(C699&gt;0,Pricing!E699*$E$5,0)</f>
        <v>#REF!</v>
      </c>
      <c r="E699" s="61" t="e">
        <f t="shared" si="88"/>
        <v>#REF!</v>
      </c>
      <c r="F699" s="60" t="e">
        <f>#REF!</f>
        <v>#REF!</v>
      </c>
      <c r="G699" s="61" t="e">
        <f>IF(F699&gt;0,Pricing!E699*$H$5,0)</f>
        <v>#REF!</v>
      </c>
      <c r="H699" s="61" t="e">
        <f t="shared" si="89"/>
        <v>#REF!</v>
      </c>
      <c r="I699" s="62" t="e">
        <f>#REF!</f>
        <v>#REF!</v>
      </c>
      <c r="J699" s="61" t="e">
        <f>IF(I699&gt;0,Pricing!E699*$K$5,0)</f>
        <v>#REF!</v>
      </c>
      <c r="K699" s="63" t="e">
        <f t="shared" si="90"/>
        <v>#REF!</v>
      </c>
      <c r="L699" s="64" t="e">
        <f>#REF!</f>
        <v>#REF!</v>
      </c>
      <c r="M699" s="61" t="e">
        <f>IF(L699&lt;0,Pricing!E699*$N$5,0)</f>
        <v>#REF!</v>
      </c>
      <c r="N699" s="61" t="e">
        <f t="shared" si="91"/>
        <v>#REF!</v>
      </c>
      <c r="O699" s="60" t="e">
        <f>#REF!</f>
        <v>#REF!</v>
      </c>
      <c r="P699" s="61" t="e">
        <f>IF(O699&lt;0,Pricing!E699*$Q$5,0)</f>
        <v>#REF!</v>
      </c>
      <c r="Q699" s="61" t="e">
        <f t="shared" si="92"/>
        <v>#REF!</v>
      </c>
      <c r="R699" s="60" t="e">
        <f>#REF!</f>
        <v>#REF!</v>
      </c>
      <c r="S699" s="61" t="e">
        <f>IF(R699&lt;0,Pricing!E699*$T$5,0)</f>
        <v>#REF!</v>
      </c>
      <c r="T699" s="61" t="e">
        <f t="shared" si="93"/>
        <v>#REF!</v>
      </c>
    </row>
    <row r="700" spans="1:20" x14ac:dyDescent="0.25">
      <c r="A700" s="58">
        <f t="shared" si="86"/>
        <v>44559.874999998319</v>
      </c>
      <c r="B700" s="59">
        <f t="shared" si="87"/>
        <v>44559.916666664983</v>
      </c>
      <c r="C700" s="60" t="e">
        <f>#REF!</f>
        <v>#REF!</v>
      </c>
      <c r="D700" s="61" t="e">
        <f>IF(C700&gt;0,Pricing!E700*$E$5,0)</f>
        <v>#REF!</v>
      </c>
      <c r="E700" s="61" t="e">
        <f t="shared" si="88"/>
        <v>#REF!</v>
      </c>
      <c r="F700" s="60" t="e">
        <f>#REF!</f>
        <v>#REF!</v>
      </c>
      <c r="G700" s="61" t="e">
        <f>IF(F700&gt;0,Pricing!E700*$H$5,0)</f>
        <v>#REF!</v>
      </c>
      <c r="H700" s="61" t="e">
        <f t="shared" si="89"/>
        <v>#REF!</v>
      </c>
      <c r="I700" s="62" t="e">
        <f>#REF!</f>
        <v>#REF!</v>
      </c>
      <c r="J700" s="61" t="e">
        <f>IF(I700&gt;0,Pricing!E700*$K$5,0)</f>
        <v>#REF!</v>
      </c>
      <c r="K700" s="63" t="e">
        <f t="shared" si="90"/>
        <v>#REF!</v>
      </c>
      <c r="L700" s="64" t="e">
        <f>#REF!</f>
        <v>#REF!</v>
      </c>
      <c r="M700" s="61" t="e">
        <f>IF(L700&lt;0,Pricing!E700*$N$5,0)</f>
        <v>#REF!</v>
      </c>
      <c r="N700" s="61" t="e">
        <f t="shared" si="91"/>
        <v>#REF!</v>
      </c>
      <c r="O700" s="60" t="e">
        <f>#REF!</f>
        <v>#REF!</v>
      </c>
      <c r="P700" s="61" t="e">
        <f>IF(O700&lt;0,Pricing!E700*$Q$5,0)</f>
        <v>#REF!</v>
      </c>
      <c r="Q700" s="61" t="e">
        <f t="shared" si="92"/>
        <v>#REF!</v>
      </c>
      <c r="R700" s="60" t="e">
        <f>#REF!</f>
        <v>#REF!</v>
      </c>
      <c r="S700" s="61" t="e">
        <f>IF(R700&lt;0,Pricing!E700*$T$5,0)</f>
        <v>#REF!</v>
      </c>
      <c r="T700" s="61" t="e">
        <f t="shared" si="93"/>
        <v>#REF!</v>
      </c>
    </row>
    <row r="701" spans="1:20" x14ac:dyDescent="0.25">
      <c r="A701" s="58">
        <f t="shared" si="86"/>
        <v>44559.916666664983</v>
      </c>
      <c r="B701" s="59">
        <f t="shared" si="87"/>
        <v>44559.958333331648</v>
      </c>
      <c r="C701" s="60" t="e">
        <f>#REF!</f>
        <v>#REF!</v>
      </c>
      <c r="D701" s="61" t="e">
        <f>IF(C701&gt;0,Pricing!E701*$E$5,0)</f>
        <v>#REF!</v>
      </c>
      <c r="E701" s="61" t="e">
        <f t="shared" si="88"/>
        <v>#REF!</v>
      </c>
      <c r="F701" s="60" t="e">
        <f>#REF!</f>
        <v>#REF!</v>
      </c>
      <c r="G701" s="61" t="e">
        <f>IF(F701&gt;0,Pricing!E701*$H$5,0)</f>
        <v>#REF!</v>
      </c>
      <c r="H701" s="61" t="e">
        <f t="shared" si="89"/>
        <v>#REF!</v>
      </c>
      <c r="I701" s="62" t="e">
        <f>#REF!</f>
        <v>#REF!</v>
      </c>
      <c r="J701" s="61" t="e">
        <f>IF(I701&gt;0,Pricing!E701*$K$5,0)</f>
        <v>#REF!</v>
      </c>
      <c r="K701" s="63" t="e">
        <f t="shared" si="90"/>
        <v>#REF!</v>
      </c>
      <c r="L701" s="64" t="e">
        <f>#REF!</f>
        <v>#REF!</v>
      </c>
      <c r="M701" s="61" t="e">
        <f>IF(L701&lt;0,Pricing!E701*$N$5,0)</f>
        <v>#REF!</v>
      </c>
      <c r="N701" s="61" t="e">
        <f t="shared" si="91"/>
        <v>#REF!</v>
      </c>
      <c r="O701" s="60" t="e">
        <f>#REF!</f>
        <v>#REF!</v>
      </c>
      <c r="P701" s="61" t="e">
        <f>IF(O701&lt;0,Pricing!E701*$Q$5,0)</f>
        <v>#REF!</v>
      </c>
      <c r="Q701" s="61" t="e">
        <f t="shared" si="92"/>
        <v>#REF!</v>
      </c>
      <c r="R701" s="60" t="e">
        <f>#REF!</f>
        <v>#REF!</v>
      </c>
      <c r="S701" s="61" t="e">
        <f>IF(R701&lt;0,Pricing!E701*$T$5,0)</f>
        <v>#REF!</v>
      </c>
      <c r="T701" s="61" t="e">
        <f t="shared" si="93"/>
        <v>#REF!</v>
      </c>
    </row>
    <row r="702" spans="1:20" x14ac:dyDescent="0.25">
      <c r="A702" s="58">
        <f t="shared" si="86"/>
        <v>44559.958333331648</v>
      </c>
      <c r="B702" s="59">
        <f t="shared" si="87"/>
        <v>44559.999999998312</v>
      </c>
      <c r="C702" s="60" t="e">
        <f>#REF!</f>
        <v>#REF!</v>
      </c>
      <c r="D702" s="61" t="e">
        <f>IF(C702&gt;0,Pricing!E702*$E$5,0)</f>
        <v>#REF!</v>
      </c>
      <c r="E702" s="61" t="e">
        <f t="shared" si="88"/>
        <v>#REF!</v>
      </c>
      <c r="F702" s="60" t="e">
        <f>#REF!</f>
        <v>#REF!</v>
      </c>
      <c r="G702" s="61" t="e">
        <f>IF(F702&gt;0,Pricing!E702*$H$5,0)</f>
        <v>#REF!</v>
      </c>
      <c r="H702" s="61" t="e">
        <f t="shared" si="89"/>
        <v>#REF!</v>
      </c>
      <c r="I702" s="62" t="e">
        <f>#REF!</f>
        <v>#REF!</v>
      </c>
      <c r="J702" s="61" t="e">
        <f>IF(I702&gt;0,Pricing!E702*$K$5,0)</f>
        <v>#REF!</v>
      </c>
      <c r="K702" s="63" t="e">
        <f t="shared" si="90"/>
        <v>#REF!</v>
      </c>
      <c r="L702" s="64" t="e">
        <f>#REF!</f>
        <v>#REF!</v>
      </c>
      <c r="M702" s="61" t="e">
        <f>IF(L702&lt;0,Pricing!E702*$N$5,0)</f>
        <v>#REF!</v>
      </c>
      <c r="N702" s="61" t="e">
        <f t="shared" si="91"/>
        <v>#REF!</v>
      </c>
      <c r="O702" s="60" t="e">
        <f>#REF!</f>
        <v>#REF!</v>
      </c>
      <c r="P702" s="61" t="e">
        <f>IF(O702&lt;0,Pricing!E702*$Q$5,0)</f>
        <v>#REF!</v>
      </c>
      <c r="Q702" s="61" t="e">
        <f t="shared" si="92"/>
        <v>#REF!</v>
      </c>
      <c r="R702" s="60" t="e">
        <f>#REF!</f>
        <v>#REF!</v>
      </c>
      <c r="S702" s="61" t="e">
        <f>IF(R702&lt;0,Pricing!E702*$T$5,0)</f>
        <v>#REF!</v>
      </c>
      <c r="T702" s="61" t="e">
        <f t="shared" si="93"/>
        <v>#REF!</v>
      </c>
    </row>
    <row r="703" spans="1:20" x14ac:dyDescent="0.25">
      <c r="A703" s="58">
        <f t="shared" si="86"/>
        <v>44559.999999998312</v>
      </c>
      <c r="B703" s="59">
        <f t="shared" si="87"/>
        <v>44560.041666664976</v>
      </c>
      <c r="C703" s="60" t="e">
        <f>#REF!</f>
        <v>#REF!</v>
      </c>
      <c r="D703" s="61" t="e">
        <f>IF(C703&gt;0,Pricing!E703*$E$5,0)</f>
        <v>#REF!</v>
      </c>
      <c r="E703" s="61" t="e">
        <f t="shared" si="88"/>
        <v>#REF!</v>
      </c>
      <c r="F703" s="60" t="e">
        <f>#REF!</f>
        <v>#REF!</v>
      </c>
      <c r="G703" s="61" t="e">
        <f>IF(F703&gt;0,Pricing!E703*$H$5,0)</f>
        <v>#REF!</v>
      </c>
      <c r="H703" s="61" t="e">
        <f t="shared" si="89"/>
        <v>#REF!</v>
      </c>
      <c r="I703" s="62" t="e">
        <f>#REF!</f>
        <v>#REF!</v>
      </c>
      <c r="J703" s="61" t="e">
        <f>IF(I703&gt;0,Pricing!E703*$K$5,0)</f>
        <v>#REF!</v>
      </c>
      <c r="K703" s="63" t="e">
        <f t="shared" si="90"/>
        <v>#REF!</v>
      </c>
      <c r="L703" s="64" t="e">
        <f>#REF!</f>
        <v>#REF!</v>
      </c>
      <c r="M703" s="61" t="e">
        <f>IF(L703&lt;0,Pricing!E703*$N$5,0)</f>
        <v>#REF!</v>
      </c>
      <c r="N703" s="61" t="e">
        <f t="shared" si="91"/>
        <v>#REF!</v>
      </c>
      <c r="O703" s="60" t="e">
        <f>#REF!</f>
        <v>#REF!</v>
      </c>
      <c r="P703" s="61" t="e">
        <f>IF(O703&lt;0,Pricing!E703*$Q$5,0)</f>
        <v>#REF!</v>
      </c>
      <c r="Q703" s="61" t="e">
        <f t="shared" si="92"/>
        <v>#REF!</v>
      </c>
      <c r="R703" s="60" t="e">
        <f>#REF!</f>
        <v>#REF!</v>
      </c>
      <c r="S703" s="61" t="e">
        <f>IF(R703&lt;0,Pricing!E703*$T$5,0)</f>
        <v>#REF!</v>
      </c>
      <c r="T703" s="61" t="e">
        <f t="shared" si="93"/>
        <v>#REF!</v>
      </c>
    </row>
    <row r="704" spans="1:20" x14ac:dyDescent="0.25">
      <c r="A704" s="58">
        <f t="shared" si="86"/>
        <v>44560.041666664976</v>
      </c>
      <c r="B704" s="59">
        <f t="shared" si="87"/>
        <v>44560.08333333164</v>
      </c>
      <c r="C704" s="60" t="e">
        <f>#REF!</f>
        <v>#REF!</v>
      </c>
      <c r="D704" s="61" t="e">
        <f>IF(C704&gt;0,Pricing!E704*$E$5,0)</f>
        <v>#REF!</v>
      </c>
      <c r="E704" s="61" t="e">
        <f t="shared" si="88"/>
        <v>#REF!</v>
      </c>
      <c r="F704" s="60" t="e">
        <f>#REF!</f>
        <v>#REF!</v>
      </c>
      <c r="G704" s="61" t="e">
        <f>IF(F704&gt;0,Pricing!E704*$H$5,0)</f>
        <v>#REF!</v>
      </c>
      <c r="H704" s="61" t="e">
        <f t="shared" si="89"/>
        <v>#REF!</v>
      </c>
      <c r="I704" s="62" t="e">
        <f>#REF!</f>
        <v>#REF!</v>
      </c>
      <c r="J704" s="61" t="e">
        <f>IF(I704&gt;0,Pricing!E704*$K$5,0)</f>
        <v>#REF!</v>
      </c>
      <c r="K704" s="63" t="e">
        <f t="shared" si="90"/>
        <v>#REF!</v>
      </c>
      <c r="L704" s="64" t="e">
        <f>#REF!</f>
        <v>#REF!</v>
      </c>
      <c r="M704" s="61" t="e">
        <f>IF(L704&lt;0,Pricing!E704*$N$5,0)</f>
        <v>#REF!</v>
      </c>
      <c r="N704" s="61" t="e">
        <f t="shared" si="91"/>
        <v>#REF!</v>
      </c>
      <c r="O704" s="60" t="e">
        <f>#REF!</f>
        <v>#REF!</v>
      </c>
      <c r="P704" s="61" t="e">
        <f>IF(O704&lt;0,Pricing!E704*$Q$5,0)</f>
        <v>#REF!</v>
      </c>
      <c r="Q704" s="61" t="e">
        <f t="shared" si="92"/>
        <v>#REF!</v>
      </c>
      <c r="R704" s="60" t="e">
        <f>#REF!</f>
        <v>#REF!</v>
      </c>
      <c r="S704" s="61" t="e">
        <f>IF(R704&lt;0,Pricing!E704*$T$5,0)</f>
        <v>#REF!</v>
      </c>
      <c r="T704" s="61" t="e">
        <f t="shared" si="93"/>
        <v>#REF!</v>
      </c>
    </row>
    <row r="705" spans="1:20" x14ac:dyDescent="0.25">
      <c r="A705" s="58">
        <f t="shared" si="86"/>
        <v>44560.08333333164</v>
      </c>
      <c r="B705" s="59">
        <f t="shared" si="87"/>
        <v>44560.124999998305</v>
      </c>
      <c r="C705" s="60" t="e">
        <f>#REF!</f>
        <v>#REF!</v>
      </c>
      <c r="D705" s="61" t="e">
        <f>IF(C705&gt;0,Pricing!E705*$E$5,0)</f>
        <v>#REF!</v>
      </c>
      <c r="E705" s="61" t="e">
        <f t="shared" si="88"/>
        <v>#REF!</v>
      </c>
      <c r="F705" s="60" t="e">
        <f>#REF!</f>
        <v>#REF!</v>
      </c>
      <c r="G705" s="61" t="e">
        <f>IF(F705&gt;0,Pricing!E705*$H$5,0)</f>
        <v>#REF!</v>
      </c>
      <c r="H705" s="61" t="e">
        <f t="shared" si="89"/>
        <v>#REF!</v>
      </c>
      <c r="I705" s="62" t="e">
        <f>#REF!</f>
        <v>#REF!</v>
      </c>
      <c r="J705" s="61" t="e">
        <f>IF(I705&gt;0,Pricing!E705*$K$5,0)</f>
        <v>#REF!</v>
      </c>
      <c r="K705" s="63" t="e">
        <f t="shared" si="90"/>
        <v>#REF!</v>
      </c>
      <c r="L705" s="64" t="e">
        <f>#REF!</f>
        <v>#REF!</v>
      </c>
      <c r="M705" s="61" t="e">
        <f>IF(L705&lt;0,Pricing!E705*$N$5,0)</f>
        <v>#REF!</v>
      </c>
      <c r="N705" s="61" t="e">
        <f t="shared" si="91"/>
        <v>#REF!</v>
      </c>
      <c r="O705" s="60" t="e">
        <f>#REF!</f>
        <v>#REF!</v>
      </c>
      <c r="P705" s="61" t="e">
        <f>IF(O705&lt;0,Pricing!E705*$Q$5,0)</f>
        <v>#REF!</v>
      </c>
      <c r="Q705" s="61" t="e">
        <f t="shared" si="92"/>
        <v>#REF!</v>
      </c>
      <c r="R705" s="60" t="e">
        <f>#REF!</f>
        <v>#REF!</v>
      </c>
      <c r="S705" s="61" t="e">
        <f>IF(R705&lt;0,Pricing!E705*$T$5,0)</f>
        <v>#REF!</v>
      </c>
      <c r="T705" s="61" t="e">
        <f t="shared" si="93"/>
        <v>#REF!</v>
      </c>
    </row>
    <row r="706" spans="1:20" x14ac:dyDescent="0.25">
      <c r="A706" s="58">
        <f t="shared" si="86"/>
        <v>44560.124999998305</v>
      </c>
      <c r="B706" s="59">
        <f t="shared" si="87"/>
        <v>44560.166666664969</v>
      </c>
      <c r="C706" s="60" t="e">
        <f>#REF!</f>
        <v>#REF!</v>
      </c>
      <c r="D706" s="61" t="e">
        <f>IF(C706&gt;0,Pricing!E706*$E$5,0)</f>
        <v>#REF!</v>
      </c>
      <c r="E706" s="61" t="e">
        <f t="shared" si="88"/>
        <v>#REF!</v>
      </c>
      <c r="F706" s="60" t="e">
        <f>#REF!</f>
        <v>#REF!</v>
      </c>
      <c r="G706" s="61" t="e">
        <f>IF(F706&gt;0,Pricing!E706*$H$5,0)</f>
        <v>#REF!</v>
      </c>
      <c r="H706" s="61" t="e">
        <f t="shared" si="89"/>
        <v>#REF!</v>
      </c>
      <c r="I706" s="62" t="e">
        <f>#REF!</f>
        <v>#REF!</v>
      </c>
      <c r="J706" s="61" t="e">
        <f>IF(I706&gt;0,Pricing!E706*$K$5,0)</f>
        <v>#REF!</v>
      </c>
      <c r="K706" s="63" t="e">
        <f t="shared" si="90"/>
        <v>#REF!</v>
      </c>
      <c r="L706" s="64" t="e">
        <f>#REF!</f>
        <v>#REF!</v>
      </c>
      <c r="M706" s="61" t="e">
        <f>IF(L706&lt;0,Pricing!E706*$N$5,0)</f>
        <v>#REF!</v>
      </c>
      <c r="N706" s="61" t="e">
        <f t="shared" si="91"/>
        <v>#REF!</v>
      </c>
      <c r="O706" s="60" t="e">
        <f>#REF!</f>
        <v>#REF!</v>
      </c>
      <c r="P706" s="61" t="e">
        <f>IF(O706&lt;0,Pricing!E706*$Q$5,0)</f>
        <v>#REF!</v>
      </c>
      <c r="Q706" s="61" t="e">
        <f t="shared" si="92"/>
        <v>#REF!</v>
      </c>
      <c r="R706" s="60" t="e">
        <f>#REF!</f>
        <v>#REF!</v>
      </c>
      <c r="S706" s="61" t="e">
        <f>IF(R706&lt;0,Pricing!E706*$T$5,0)</f>
        <v>#REF!</v>
      </c>
      <c r="T706" s="61" t="e">
        <f t="shared" si="93"/>
        <v>#REF!</v>
      </c>
    </row>
    <row r="707" spans="1:20" x14ac:dyDescent="0.25">
      <c r="A707" s="58">
        <f t="shared" si="86"/>
        <v>44560.166666664969</v>
      </c>
      <c r="B707" s="59">
        <f t="shared" si="87"/>
        <v>44560.208333331633</v>
      </c>
      <c r="C707" s="60" t="e">
        <f>#REF!</f>
        <v>#REF!</v>
      </c>
      <c r="D707" s="61" t="e">
        <f>IF(C707&gt;0,Pricing!E707*$E$5,0)</f>
        <v>#REF!</v>
      </c>
      <c r="E707" s="61" t="e">
        <f t="shared" si="88"/>
        <v>#REF!</v>
      </c>
      <c r="F707" s="60" t="e">
        <f>#REF!</f>
        <v>#REF!</v>
      </c>
      <c r="G707" s="61" t="e">
        <f>IF(F707&gt;0,Pricing!E707*$H$5,0)</f>
        <v>#REF!</v>
      </c>
      <c r="H707" s="61" t="e">
        <f t="shared" si="89"/>
        <v>#REF!</v>
      </c>
      <c r="I707" s="62" t="e">
        <f>#REF!</f>
        <v>#REF!</v>
      </c>
      <c r="J707" s="61" t="e">
        <f>IF(I707&gt;0,Pricing!E707*$K$5,0)</f>
        <v>#REF!</v>
      </c>
      <c r="K707" s="63" t="e">
        <f t="shared" si="90"/>
        <v>#REF!</v>
      </c>
      <c r="L707" s="64" t="e">
        <f>#REF!</f>
        <v>#REF!</v>
      </c>
      <c r="M707" s="61" t="e">
        <f>IF(L707&lt;0,Pricing!E707*$N$5,0)</f>
        <v>#REF!</v>
      </c>
      <c r="N707" s="61" t="e">
        <f t="shared" si="91"/>
        <v>#REF!</v>
      </c>
      <c r="O707" s="60" t="e">
        <f>#REF!</f>
        <v>#REF!</v>
      </c>
      <c r="P707" s="61" t="e">
        <f>IF(O707&lt;0,Pricing!E707*$Q$5,0)</f>
        <v>#REF!</v>
      </c>
      <c r="Q707" s="61" t="e">
        <f t="shared" si="92"/>
        <v>#REF!</v>
      </c>
      <c r="R707" s="60" t="e">
        <f>#REF!</f>
        <v>#REF!</v>
      </c>
      <c r="S707" s="61" t="e">
        <f>IF(R707&lt;0,Pricing!E707*$T$5,0)</f>
        <v>#REF!</v>
      </c>
      <c r="T707" s="61" t="e">
        <f t="shared" si="93"/>
        <v>#REF!</v>
      </c>
    </row>
    <row r="708" spans="1:20" x14ac:dyDescent="0.25">
      <c r="A708" s="58">
        <f t="shared" si="86"/>
        <v>44560.208333331633</v>
      </c>
      <c r="B708" s="59">
        <f t="shared" si="87"/>
        <v>44560.249999998297</v>
      </c>
      <c r="C708" s="60" t="e">
        <f>#REF!</f>
        <v>#REF!</v>
      </c>
      <c r="D708" s="61" t="e">
        <f>IF(C708&gt;0,Pricing!E708*$E$5,0)</f>
        <v>#REF!</v>
      </c>
      <c r="E708" s="61" t="e">
        <f t="shared" si="88"/>
        <v>#REF!</v>
      </c>
      <c r="F708" s="60" t="e">
        <f>#REF!</f>
        <v>#REF!</v>
      </c>
      <c r="G708" s="61" t="e">
        <f>IF(F708&gt;0,Pricing!E708*$H$5,0)</f>
        <v>#REF!</v>
      </c>
      <c r="H708" s="61" t="e">
        <f t="shared" si="89"/>
        <v>#REF!</v>
      </c>
      <c r="I708" s="62" t="e">
        <f>#REF!</f>
        <v>#REF!</v>
      </c>
      <c r="J708" s="61" t="e">
        <f>IF(I708&gt;0,Pricing!E708*$K$5,0)</f>
        <v>#REF!</v>
      </c>
      <c r="K708" s="63" t="e">
        <f t="shared" si="90"/>
        <v>#REF!</v>
      </c>
      <c r="L708" s="64" t="e">
        <f>#REF!</f>
        <v>#REF!</v>
      </c>
      <c r="M708" s="61" t="e">
        <f>IF(L708&lt;0,Pricing!E708*$N$5,0)</f>
        <v>#REF!</v>
      </c>
      <c r="N708" s="61" t="e">
        <f t="shared" si="91"/>
        <v>#REF!</v>
      </c>
      <c r="O708" s="60" t="e">
        <f>#REF!</f>
        <v>#REF!</v>
      </c>
      <c r="P708" s="61" t="e">
        <f>IF(O708&lt;0,Pricing!E708*$Q$5,0)</f>
        <v>#REF!</v>
      </c>
      <c r="Q708" s="61" t="e">
        <f t="shared" si="92"/>
        <v>#REF!</v>
      </c>
      <c r="R708" s="60" t="e">
        <f>#REF!</f>
        <v>#REF!</v>
      </c>
      <c r="S708" s="61" t="e">
        <f>IF(R708&lt;0,Pricing!E708*$T$5,0)</f>
        <v>#REF!</v>
      </c>
      <c r="T708" s="61" t="e">
        <f t="shared" si="93"/>
        <v>#REF!</v>
      </c>
    </row>
    <row r="709" spans="1:20" x14ac:dyDescent="0.25">
      <c r="A709" s="58">
        <f t="shared" si="86"/>
        <v>44560.249999998297</v>
      </c>
      <c r="B709" s="59">
        <f t="shared" si="87"/>
        <v>44560.291666664962</v>
      </c>
      <c r="C709" s="60" t="e">
        <f>#REF!</f>
        <v>#REF!</v>
      </c>
      <c r="D709" s="61" t="e">
        <f>IF(C709&gt;0,Pricing!E709*$E$5,0)</f>
        <v>#REF!</v>
      </c>
      <c r="E709" s="61" t="e">
        <f t="shared" si="88"/>
        <v>#REF!</v>
      </c>
      <c r="F709" s="60" t="e">
        <f>#REF!</f>
        <v>#REF!</v>
      </c>
      <c r="G709" s="61" t="e">
        <f>IF(F709&gt;0,Pricing!E709*$H$5,0)</f>
        <v>#REF!</v>
      </c>
      <c r="H709" s="61" t="e">
        <f t="shared" si="89"/>
        <v>#REF!</v>
      </c>
      <c r="I709" s="62" t="e">
        <f>#REF!</f>
        <v>#REF!</v>
      </c>
      <c r="J709" s="61" t="e">
        <f>IF(I709&gt;0,Pricing!E709*$K$5,0)</f>
        <v>#REF!</v>
      </c>
      <c r="K709" s="63" t="e">
        <f t="shared" si="90"/>
        <v>#REF!</v>
      </c>
      <c r="L709" s="64" t="e">
        <f>#REF!</f>
        <v>#REF!</v>
      </c>
      <c r="M709" s="61" t="e">
        <f>IF(L709&lt;0,Pricing!E709*$N$5,0)</f>
        <v>#REF!</v>
      </c>
      <c r="N709" s="61" t="e">
        <f t="shared" si="91"/>
        <v>#REF!</v>
      </c>
      <c r="O709" s="60" t="e">
        <f>#REF!</f>
        <v>#REF!</v>
      </c>
      <c r="P709" s="61" t="e">
        <f>IF(O709&lt;0,Pricing!E709*$Q$5,0)</f>
        <v>#REF!</v>
      </c>
      <c r="Q709" s="61" t="e">
        <f t="shared" si="92"/>
        <v>#REF!</v>
      </c>
      <c r="R709" s="60" t="e">
        <f>#REF!</f>
        <v>#REF!</v>
      </c>
      <c r="S709" s="61" t="e">
        <f>IF(R709&lt;0,Pricing!E709*$T$5,0)</f>
        <v>#REF!</v>
      </c>
      <c r="T709" s="61" t="e">
        <f t="shared" si="93"/>
        <v>#REF!</v>
      </c>
    </row>
    <row r="710" spans="1:20" x14ac:dyDescent="0.25">
      <c r="A710" s="58">
        <f t="shared" si="86"/>
        <v>44560.291666664962</v>
      </c>
      <c r="B710" s="59">
        <f t="shared" si="87"/>
        <v>44560.333333331626</v>
      </c>
      <c r="C710" s="60" t="e">
        <f>#REF!</f>
        <v>#REF!</v>
      </c>
      <c r="D710" s="61" t="e">
        <f>IF(C710&gt;0,Pricing!E710*$E$5,0)</f>
        <v>#REF!</v>
      </c>
      <c r="E710" s="61" t="e">
        <f t="shared" si="88"/>
        <v>#REF!</v>
      </c>
      <c r="F710" s="60" t="e">
        <f>#REF!</f>
        <v>#REF!</v>
      </c>
      <c r="G710" s="61" t="e">
        <f>IF(F710&gt;0,Pricing!E710*$H$5,0)</f>
        <v>#REF!</v>
      </c>
      <c r="H710" s="61" t="e">
        <f t="shared" si="89"/>
        <v>#REF!</v>
      </c>
      <c r="I710" s="62" t="e">
        <f>#REF!</f>
        <v>#REF!</v>
      </c>
      <c r="J710" s="61" t="e">
        <f>IF(I710&gt;0,Pricing!E710*$K$5,0)</f>
        <v>#REF!</v>
      </c>
      <c r="K710" s="63" t="e">
        <f t="shared" si="90"/>
        <v>#REF!</v>
      </c>
      <c r="L710" s="64" t="e">
        <f>#REF!</f>
        <v>#REF!</v>
      </c>
      <c r="M710" s="61" t="e">
        <f>IF(L710&lt;0,Pricing!E710*$N$5,0)</f>
        <v>#REF!</v>
      </c>
      <c r="N710" s="61" t="e">
        <f t="shared" si="91"/>
        <v>#REF!</v>
      </c>
      <c r="O710" s="60" t="e">
        <f>#REF!</f>
        <v>#REF!</v>
      </c>
      <c r="P710" s="61" t="e">
        <f>IF(O710&lt;0,Pricing!E710*$Q$5,0)</f>
        <v>#REF!</v>
      </c>
      <c r="Q710" s="61" t="e">
        <f t="shared" si="92"/>
        <v>#REF!</v>
      </c>
      <c r="R710" s="60" t="e">
        <f>#REF!</f>
        <v>#REF!</v>
      </c>
      <c r="S710" s="61" t="e">
        <f>IF(R710&lt;0,Pricing!E710*$T$5,0)</f>
        <v>#REF!</v>
      </c>
      <c r="T710" s="61" t="e">
        <f t="shared" si="93"/>
        <v>#REF!</v>
      </c>
    </row>
    <row r="711" spans="1:20" x14ac:dyDescent="0.25">
      <c r="A711" s="58">
        <f t="shared" si="86"/>
        <v>44560.333333331626</v>
      </c>
      <c r="B711" s="59">
        <f t="shared" si="87"/>
        <v>44560.37499999829</v>
      </c>
      <c r="C711" s="60" t="e">
        <f>#REF!</f>
        <v>#REF!</v>
      </c>
      <c r="D711" s="61" t="e">
        <f>IF(C711&gt;0,Pricing!E711*$E$5,0)</f>
        <v>#REF!</v>
      </c>
      <c r="E711" s="61" t="e">
        <f t="shared" si="88"/>
        <v>#REF!</v>
      </c>
      <c r="F711" s="60" t="e">
        <f>#REF!</f>
        <v>#REF!</v>
      </c>
      <c r="G711" s="61" t="e">
        <f>IF(F711&gt;0,Pricing!E711*$H$5,0)</f>
        <v>#REF!</v>
      </c>
      <c r="H711" s="61" t="e">
        <f t="shared" si="89"/>
        <v>#REF!</v>
      </c>
      <c r="I711" s="62" t="e">
        <f>#REF!</f>
        <v>#REF!</v>
      </c>
      <c r="J711" s="61" t="e">
        <f>IF(I711&gt;0,Pricing!E711*$K$5,0)</f>
        <v>#REF!</v>
      </c>
      <c r="K711" s="63" t="e">
        <f t="shared" si="90"/>
        <v>#REF!</v>
      </c>
      <c r="L711" s="64" t="e">
        <f>#REF!</f>
        <v>#REF!</v>
      </c>
      <c r="M711" s="61" t="e">
        <f>IF(L711&lt;0,Pricing!E711*$N$5,0)</f>
        <v>#REF!</v>
      </c>
      <c r="N711" s="61" t="e">
        <f t="shared" si="91"/>
        <v>#REF!</v>
      </c>
      <c r="O711" s="60" t="e">
        <f>#REF!</f>
        <v>#REF!</v>
      </c>
      <c r="P711" s="61" t="e">
        <f>IF(O711&lt;0,Pricing!E711*$Q$5,0)</f>
        <v>#REF!</v>
      </c>
      <c r="Q711" s="61" t="e">
        <f t="shared" si="92"/>
        <v>#REF!</v>
      </c>
      <c r="R711" s="60" t="e">
        <f>#REF!</f>
        <v>#REF!</v>
      </c>
      <c r="S711" s="61" t="e">
        <f>IF(R711&lt;0,Pricing!E711*$T$5,0)</f>
        <v>#REF!</v>
      </c>
      <c r="T711" s="61" t="e">
        <f t="shared" si="93"/>
        <v>#REF!</v>
      </c>
    </row>
    <row r="712" spans="1:20" x14ac:dyDescent="0.25">
      <c r="A712" s="58">
        <f t="shared" si="86"/>
        <v>44560.37499999829</v>
      </c>
      <c r="B712" s="59">
        <f t="shared" si="87"/>
        <v>44560.416666664954</v>
      </c>
      <c r="C712" s="60" t="e">
        <f>#REF!</f>
        <v>#REF!</v>
      </c>
      <c r="D712" s="61" t="e">
        <f>IF(C712&gt;0,Pricing!E712*$E$5,0)</f>
        <v>#REF!</v>
      </c>
      <c r="E712" s="61" t="e">
        <f t="shared" si="88"/>
        <v>#REF!</v>
      </c>
      <c r="F712" s="60" t="e">
        <f>#REF!</f>
        <v>#REF!</v>
      </c>
      <c r="G712" s="61" t="e">
        <f>IF(F712&gt;0,Pricing!E712*$H$5,0)</f>
        <v>#REF!</v>
      </c>
      <c r="H712" s="61" t="e">
        <f t="shared" si="89"/>
        <v>#REF!</v>
      </c>
      <c r="I712" s="62" t="e">
        <f>#REF!</f>
        <v>#REF!</v>
      </c>
      <c r="J712" s="61" t="e">
        <f>IF(I712&gt;0,Pricing!E712*$K$5,0)</f>
        <v>#REF!</v>
      </c>
      <c r="K712" s="63" t="e">
        <f t="shared" si="90"/>
        <v>#REF!</v>
      </c>
      <c r="L712" s="64" t="e">
        <f>#REF!</f>
        <v>#REF!</v>
      </c>
      <c r="M712" s="61" t="e">
        <f>IF(L712&lt;0,Pricing!E712*$N$5,0)</f>
        <v>#REF!</v>
      </c>
      <c r="N712" s="61" t="e">
        <f t="shared" si="91"/>
        <v>#REF!</v>
      </c>
      <c r="O712" s="60" t="e">
        <f>#REF!</f>
        <v>#REF!</v>
      </c>
      <c r="P712" s="61" t="e">
        <f>IF(O712&lt;0,Pricing!E712*$Q$5,0)</f>
        <v>#REF!</v>
      </c>
      <c r="Q712" s="61" t="e">
        <f t="shared" si="92"/>
        <v>#REF!</v>
      </c>
      <c r="R712" s="60" t="e">
        <f>#REF!</f>
        <v>#REF!</v>
      </c>
      <c r="S712" s="61" t="e">
        <f>IF(R712&lt;0,Pricing!E712*$T$5,0)</f>
        <v>#REF!</v>
      </c>
      <c r="T712" s="61" t="e">
        <f t="shared" si="93"/>
        <v>#REF!</v>
      </c>
    </row>
    <row r="713" spans="1:20" x14ac:dyDescent="0.25">
      <c r="A713" s="58">
        <f t="shared" ref="A713:A750" si="94">$A712+1/24</f>
        <v>44560.416666664954</v>
      </c>
      <c r="B713" s="59">
        <f t="shared" ref="B713:B750" si="95">B712+1/24</f>
        <v>44560.458333331619</v>
      </c>
      <c r="C713" s="60" t="e">
        <f>#REF!</f>
        <v>#REF!</v>
      </c>
      <c r="D713" s="61" t="e">
        <f>IF(C713&gt;0,Pricing!E713*$E$5,0)</f>
        <v>#REF!</v>
      </c>
      <c r="E713" s="61" t="e">
        <f t="shared" si="88"/>
        <v>#REF!</v>
      </c>
      <c r="F713" s="60" t="e">
        <f>#REF!</f>
        <v>#REF!</v>
      </c>
      <c r="G713" s="61" t="e">
        <f>IF(F713&gt;0,Pricing!E713*$H$5,0)</f>
        <v>#REF!</v>
      </c>
      <c r="H713" s="61" t="e">
        <f t="shared" si="89"/>
        <v>#REF!</v>
      </c>
      <c r="I713" s="62" t="e">
        <f>#REF!</f>
        <v>#REF!</v>
      </c>
      <c r="J713" s="61" t="e">
        <f>IF(I713&gt;0,Pricing!E713*$K$5,0)</f>
        <v>#REF!</v>
      </c>
      <c r="K713" s="63" t="e">
        <f t="shared" si="90"/>
        <v>#REF!</v>
      </c>
      <c r="L713" s="64" t="e">
        <f>#REF!</f>
        <v>#REF!</v>
      </c>
      <c r="M713" s="61" t="e">
        <f>IF(L713&lt;0,Pricing!E713*$N$5,0)</f>
        <v>#REF!</v>
      </c>
      <c r="N713" s="61" t="e">
        <f t="shared" si="91"/>
        <v>#REF!</v>
      </c>
      <c r="O713" s="60" t="e">
        <f>#REF!</f>
        <v>#REF!</v>
      </c>
      <c r="P713" s="61" t="e">
        <f>IF(O713&lt;0,Pricing!E713*$Q$5,0)</f>
        <v>#REF!</v>
      </c>
      <c r="Q713" s="61" t="e">
        <f t="shared" si="92"/>
        <v>#REF!</v>
      </c>
      <c r="R713" s="60" t="e">
        <f>#REF!</f>
        <v>#REF!</v>
      </c>
      <c r="S713" s="61" t="e">
        <f>IF(R713&lt;0,Pricing!E713*$T$5,0)</f>
        <v>#REF!</v>
      </c>
      <c r="T713" s="61" t="e">
        <f t="shared" si="93"/>
        <v>#REF!</v>
      </c>
    </row>
    <row r="714" spans="1:20" x14ac:dyDescent="0.25">
      <c r="A714" s="58">
        <f t="shared" si="94"/>
        <v>44560.458333331619</v>
      </c>
      <c r="B714" s="59">
        <f t="shared" si="95"/>
        <v>44560.499999998283</v>
      </c>
      <c r="C714" s="60" t="e">
        <f>#REF!</f>
        <v>#REF!</v>
      </c>
      <c r="D714" s="61" t="e">
        <f>IF(C714&gt;0,Pricing!E714*$E$5,0)</f>
        <v>#REF!</v>
      </c>
      <c r="E714" s="61" t="e">
        <f t="shared" si="88"/>
        <v>#REF!</v>
      </c>
      <c r="F714" s="60" t="e">
        <f>#REF!</f>
        <v>#REF!</v>
      </c>
      <c r="G714" s="61" t="e">
        <f>IF(F714&gt;0,Pricing!E714*$H$5,0)</f>
        <v>#REF!</v>
      </c>
      <c r="H714" s="61" t="e">
        <f t="shared" si="89"/>
        <v>#REF!</v>
      </c>
      <c r="I714" s="62" t="e">
        <f>#REF!</f>
        <v>#REF!</v>
      </c>
      <c r="J714" s="61" t="e">
        <f>IF(I714&gt;0,Pricing!E714*$K$5,0)</f>
        <v>#REF!</v>
      </c>
      <c r="K714" s="63" t="e">
        <f t="shared" si="90"/>
        <v>#REF!</v>
      </c>
      <c r="L714" s="64" t="e">
        <f>#REF!</f>
        <v>#REF!</v>
      </c>
      <c r="M714" s="61" t="e">
        <f>IF(L714&lt;0,Pricing!E714*$N$5,0)</f>
        <v>#REF!</v>
      </c>
      <c r="N714" s="61" t="e">
        <f t="shared" si="91"/>
        <v>#REF!</v>
      </c>
      <c r="O714" s="60" t="e">
        <f>#REF!</f>
        <v>#REF!</v>
      </c>
      <c r="P714" s="61" t="e">
        <f>IF(O714&lt;0,Pricing!E714*$Q$5,0)</f>
        <v>#REF!</v>
      </c>
      <c r="Q714" s="61" t="e">
        <f t="shared" si="92"/>
        <v>#REF!</v>
      </c>
      <c r="R714" s="60" t="e">
        <f>#REF!</f>
        <v>#REF!</v>
      </c>
      <c r="S714" s="61" t="e">
        <f>IF(R714&lt;0,Pricing!E714*$T$5,0)</f>
        <v>#REF!</v>
      </c>
      <c r="T714" s="61" t="e">
        <f t="shared" si="93"/>
        <v>#REF!</v>
      </c>
    </row>
    <row r="715" spans="1:20" x14ac:dyDescent="0.25">
      <c r="A715" s="58">
        <f t="shared" si="94"/>
        <v>44560.499999998283</v>
      </c>
      <c r="B715" s="59">
        <f t="shared" si="95"/>
        <v>44560.541666664947</v>
      </c>
      <c r="C715" s="60" t="e">
        <f>#REF!</f>
        <v>#REF!</v>
      </c>
      <c r="D715" s="61" t="e">
        <f>IF(C715&gt;0,Pricing!E715*$E$5,0)</f>
        <v>#REF!</v>
      </c>
      <c r="E715" s="61" t="e">
        <f t="shared" si="88"/>
        <v>#REF!</v>
      </c>
      <c r="F715" s="60" t="e">
        <f>#REF!</f>
        <v>#REF!</v>
      </c>
      <c r="G715" s="61" t="e">
        <f>IF(F715&gt;0,Pricing!E715*$H$5,0)</f>
        <v>#REF!</v>
      </c>
      <c r="H715" s="61" t="e">
        <f t="shared" si="89"/>
        <v>#REF!</v>
      </c>
      <c r="I715" s="62" t="e">
        <f>#REF!</f>
        <v>#REF!</v>
      </c>
      <c r="J715" s="61" t="e">
        <f>IF(I715&gt;0,Pricing!E715*$K$5,0)</f>
        <v>#REF!</v>
      </c>
      <c r="K715" s="63" t="e">
        <f t="shared" si="90"/>
        <v>#REF!</v>
      </c>
      <c r="L715" s="64" t="e">
        <f>#REF!</f>
        <v>#REF!</v>
      </c>
      <c r="M715" s="61" t="e">
        <f>IF(L715&lt;0,Pricing!E715*$N$5,0)</f>
        <v>#REF!</v>
      </c>
      <c r="N715" s="61" t="e">
        <f t="shared" si="91"/>
        <v>#REF!</v>
      </c>
      <c r="O715" s="60" t="e">
        <f>#REF!</f>
        <v>#REF!</v>
      </c>
      <c r="P715" s="61" t="e">
        <f>IF(O715&lt;0,Pricing!E715*$Q$5,0)</f>
        <v>#REF!</v>
      </c>
      <c r="Q715" s="61" t="e">
        <f t="shared" si="92"/>
        <v>#REF!</v>
      </c>
      <c r="R715" s="60" t="e">
        <f>#REF!</f>
        <v>#REF!</v>
      </c>
      <c r="S715" s="61" t="e">
        <f>IF(R715&lt;0,Pricing!E715*$T$5,0)</f>
        <v>#REF!</v>
      </c>
      <c r="T715" s="61" t="e">
        <f t="shared" si="93"/>
        <v>#REF!</v>
      </c>
    </row>
    <row r="716" spans="1:20" x14ac:dyDescent="0.25">
      <c r="A716" s="58">
        <f t="shared" si="94"/>
        <v>44560.541666664947</v>
      </c>
      <c r="B716" s="59">
        <f t="shared" si="95"/>
        <v>44560.583333331611</v>
      </c>
      <c r="C716" s="60" t="e">
        <f>#REF!</f>
        <v>#REF!</v>
      </c>
      <c r="D716" s="61" t="e">
        <f>IF(C716&gt;0,Pricing!E716*$E$5,0)</f>
        <v>#REF!</v>
      </c>
      <c r="E716" s="61" t="e">
        <f t="shared" si="88"/>
        <v>#REF!</v>
      </c>
      <c r="F716" s="60" t="e">
        <f>#REF!</f>
        <v>#REF!</v>
      </c>
      <c r="G716" s="61" t="e">
        <f>IF(F716&gt;0,Pricing!E716*$H$5,0)</f>
        <v>#REF!</v>
      </c>
      <c r="H716" s="61" t="e">
        <f t="shared" si="89"/>
        <v>#REF!</v>
      </c>
      <c r="I716" s="62" t="e">
        <f>#REF!</f>
        <v>#REF!</v>
      </c>
      <c r="J716" s="61" t="e">
        <f>IF(I716&gt;0,Pricing!E716*$K$5,0)</f>
        <v>#REF!</v>
      </c>
      <c r="K716" s="63" t="e">
        <f t="shared" si="90"/>
        <v>#REF!</v>
      </c>
      <c r="L716" s="64" t="e">
        <f>#REF!</f>
        <v>#REF!</v>
      </c>
      <c r="M716" s="61" t="e">
        <f>IF(L716&lt;0,Pricing!E716*$N$5,0)</f>
        <v>#REF!</v>
      </c>
      <c r="N716" s="61" t="e">
        <f t="shared" si="91"/>
        <v>#REF!</v>
      </c>
      <c r="O716" s="60" t="e">
        <f>#REF!</f>
        <v>#REF!</v>
      </c>
      <c r="P716" s="61" t="e">
        <f>IF(O716&lt;0,Pricing!E716*$Q$5,0)</f>
        <v>#REF!</v>
      </c>
      <c r="Q716" s="61" t="e">
        <f t="shared" si="92"/>
        <v>#REF!</v>
      </c>
      <c r="R716" s="60" t="e">
        <f>#REF!</f>
        <v>#REF!</v>
      </c>
      <c r="S716" s="61" t="e">
        <f>IF(R716&lt;0,Pricing!E716*$T$5,0)</f>
        <v>#REF!</v>
      </c>
      <c r="T716" s="61" t="e">
        <f t="shared" si="93"/>
        <v>#REF!</v>
      </c>
    </row>
    <row r="717" spans="1:20" x14ac:dyDescent="0.25">
      <c r="A717" s="58">
        <f t="shared" si="94"/>
        <v>44560.583333331611</v>
      </c>
      <c r="B717" s="59">
        <f t="shared" si="95"/>
        <v>44560.624999998276</v>
      </c>
      <c r="C717" s="60" t="e">
        <f>#REF!</f>
        <v>#REF!</v>
      </c>
      <c r="D717" s="61" t="e">
        <f>IF(C717&gt;0,Pricing!E717*$E$5,0)</f>
        <v>#REF!</v>
      </c>
      <c r="E717" s="61" t="e">
        <f t="shared" si="88"/>
        <v>#REF!</v>
      </c>
      <c r="F717" s="60" t="e">
        <f>#REF!</f>
        <v>#REF!</v>
      </c>
      <c r="G717" s="61" t="e">
        <f>IF(F717&gt;0,Pricing!E717*$H$5,0)</f>
        <v>#REF!</v>
      </c>
      <c r="H717" s="61" t="e">
        <f t="shared" si="89"/>
        <v>#REF!</v>
      </c>
      <c r="I717" s="62" t="e">
        <f>#REF!</f>
        <v>#REF!</v>
      </c>
      <c r="J717" s="61" t="e">
        <f>IF(I717&gt;0,Pricing!E717*$K$5,0)</f>
        <v>#REF!</v>
      </c>
      <c r="K717" s="63" t="e">
        <f t="shared" si="90"/>
        <v>#REF!</v>
      </c>
      <c r="L717" s="64" t="e">
        <f>#REF!</f>
        <v>#REF!</v>
      </c>
      <c r="M717" s="61" t="e">
        <f>IF(L717&lt;0,Pricing!E717*$N$5,0)</f>
        <v>#REF!</v>
      </c>
      <c r="N717" s="61" t="e">
        <f t="shared" si="91"/>
        <v>#REF!</v>
      </c>
      <c r="O717" s="60" t="e">
        <f>#REF!</f>
        <v>#REF!</v>
      </c>
      <c r="P717" s="61" t="e">
        <f>IF(O717&lt;0,Pricing!E717*$Q$5,0)</f>
        <v>#REF!</v>
      </c>
      <c r="Q717" s="61" t="e">
        <f t="shared" si="92"/>
        <v>#REF!</v>
      </c>
      <c r="R717" s="60" t="e">
        <f>#REF!</f>
        <v>#REF!</v>
      </c>
      <c r="S717" s="61" t="e">
        <f>IF(R717&lt;0,Pricing!E717*$T$5,0)</f>
        <v>#REF!</v>
      </c>
      <c r="T717" s="61" t="e">
        <f t="shared" si="93"/>
        <v>#REF!</v>
      </c>
    </row>
    <row r="718" spans="1:20" x14ac:dyDescent="0.25">
      <c r="A718" s="58">
        <f t="shared" si="94"/>
        <v>44560.624999998276</v>
      </c>
      <c r="B718" s="59">
        <f t="shared" si="95"/>
        <v>44560.66666666494</v>
      </c>
      <c r="C718" s="60" t="e">
        <f>#REF!</f>
        <v>#REF!</v>
      </c>
      <c r="D718" s="61" t="e">
        <f>IF(C718&gt;0,Pricing!E718*$E$5,0)</f>
        <v>#REF!</v>
      </c>
      <c r="E718" s="61" t="e">
        <f t="shared" si="88"/>
        <v>#REF!</v>
      </c>
      <c r="F718" s="60" t="e">
        <f>#REF!</f>
        <v>#REF!</v>
      </c>
      <c r="G718" s="61" t="e">
        <f>IF(F718&gt;0,Pricing!E718*$H$5,0)</f>
        <v>#REF!</v>
      </c>
      <c r="H718" s="61" t="e">
        <f t="shared" si="89"/>
        <v>#REF!</v>
      </c>
      <c r="I718" s="62" t="e">
        <f>#REF!</f>
        <v>#REF!</v>
      </c>
      <c r="J718" s="61" t="e">
        <f>IF(I718&gt;0,Pricing!E718*$K$5,0)</f>
        <v>#REF!</v>
      </c>
      <c r="K718" s="63" t="e">
        <f t="shared" si="90"/>
        <v>#REF!</v>
      </c>
      <c r="L718" s="64" t="e">
        <f>#REF!</f>
        <v>#REF!</v>
      </c>
      <c r="M718" s="61" t="e">
        <f>IF(L718&lt;0,Pricing!E718*$N$5,0)</f>
        <v>#REF!</v>
      </c>
      <c r="N718" s="61" t="e">
        <f t="shared" si="91"/>
        <v>#REF!</v>
      </c>
      <c r="O718" s="60" t="e">
        <f>#REF!</f>
        <v>#REF!</v>
      </c>
      <c r="P718" s="61" t="e">
        <f>IF(O718&lt;0,Pricing!E718*$Q$5,0)</f>
        <v>#REF!</v>
      </c>
      <c r="Q718" s="61" t="e">
        <f t="shared" si="92"/>
        <v>#REF!</v>
      </c>
      <c r="R718" s="60" t="e">
        <f>#REF!</f>
        <v>#REF!</v>
      </c>
      <c r="S718" s="61" t="e">
        <f>IF(R718&lt;0,Pricing!E718*$T$5,0)</f>
        <v>#REF!</v>
      </c>
      <c r="T718" s="61" t="e">
        <f t="shared" si="93"/>
        <v>#REF!</v>
      </c>
    </row>
    <row r="719" spans="1:20" x14ac:dyDescent="0.25">
      <c r="A719" s="58">
        <f t="shared" si="94"/>
        <v>44560.66666666494</v>
      </c>
      <c r="B719" s="59">
        <f t="shared" si="95"/>
        <v>44560.708333331604</v>
      </c>
      <c r="C719" s="60" t="e">
        <f>#REF!</f>
        <v>#REF!</v>
      </c>
      <c r="D719" s="61" t="e">
        <f>IF(C719&gt;0,Pricing!E719*$E$5,0)</f>
        <v>#REF!</v>
      </c>
      <c r="E719" s="61" t="e">
        <f t="shared" si="88"/>
        <v>#REF!</v>
      </c>
      <c r="F719" s="60" t="e">
        <f>#REF!</f>
        <v>#REF!</v>
      </c>
      <c r="G719" s="61" t="e">
        <f>IF(F719&gt;0,Pricing!E719*$H$5,0)</f>
        <v>#REF!</v>
      </c>
      <c r="H719" s="61" t="e">
        <f t="shared" si="89"/>
        <v>#REF!</v>
      </c>
      <c r="I719" s="62" t="e">
        <f>#REF!</f>
        <v>#REF!</v>
      </c>
      <c r="J719" s="61" t="e">
        <f>IF(I719&gt;0,Pricing!E719*$K$5,0)</f>
        <v>#REF!</v>
      </c>
      <c r="K719" s="63" t="e">
        <f t="shared" si="90"/>
        <v>#REF!</v>
      </c>
      <c r="L719" s="64" t="e">
        <f>#REF!</f>
        <v>#REF!</v>
      </c>
      <c r="M719" s="61" t="e">
        <f>IF(L719&lt;0,Pricing!E719*$N$5,0)</f>
        <v>#REF!</v>
      </c>
      <c r="N719" s="61" t="e">
        <f t="shared" si="91"/>
        <v>#REF!</v>
      </c>
      <c r="O719" s="60" t="e">
        <f>#REF!</f>
        <v>#REF!</v>
      </c>
      <c r="P719" s="61" t="e">
        <f>IF(O719&lt;0,Pricing!E719*$Q$5,0)</f>
        <v>#REF!</v>
      </c>
      <c r="Q719" s="61" t="e">
        <f t="shared" si="92"/>
        <v>#REF!</v>
      </c>
      <c r="R719" s="60" t="e">
        <f>#REF!</f>
        <v>#REF!</v>
      </c>
      <c r="S719" s="61" t="e">
        <f>IF(R719&lt;0,Pricing!E719*$T$5,0)</f>
        <v>#REF!</v>
      </c>
      <c r="T719" s="61" t="e">
        <f t="shared" si="93"/>
        <v>#REF!</v>
      </c>
    </row>
    <row r="720" spans="1:20" x14ac:dyDescent="0.25">
      <c r="A720" s="58">
        <f t="shared" si="94"/>
        <v>44560.708333331604</v>
      </c>
      <c r="B720" s="59">
        <f t="shared" si="95"/>
        <v>44560.749999998268</v>
      </c>
      <c r="C720" s="60" t="e">
        <f>#REF!</f>
        <v>#REF!</v>
      </c>
      <c r="D720" s="61" t="e">
        <f>IF(C720&gt;0,Pricing!E720*$E$5,0)</f>
        <v>#REF!</v>
      </c>
      <c r="E720" s="61" t="e">
        <f t="shared" si="88"/>
        <v>#REF!</v>
      </c>
      <c r="F720" s="60" t="e">
        <f>#REF!</f>
        <v>#REF!</v>
      </c>
      <c r="G720" s="61" t="e">
        <f>IF(F720&gt;0,Pricing!E720*$H$5,0)</f>
        <v>#REF!</v>
      </c>
      <c r="H720" s="61" t="e">
        <f t="shared" si="89"/>
        <v>#REF!</v>
      </c>
      <c r="I720" s="62" t="e">
        <f>#REF!</f>
        <v>#REF!</v>
      </c>
      <c r="J720" s="61" t="e">
        <f>IF(I720&gt;0,Pricing!E720*$K$5,0)</f>
        <v>#REF!</v>
      </c>
      <c r="K720" s="63" t="e">
        <f t="shared" si="90"/>
        <v>#REF!</v>
      </c>
      <c r="L720" s="64" t="e">
        <f>#REF!</f>
        <v>#REF!</v>
      </c>
      <c r="M720" s="61" t="e">
        <f>IF(L720&lt;0,Pricing!E720*$N$5,0)</f>
        <v>#REF!</v>
      </c>
      <c r="N720" s="61" t="e">
        <f t="shared" si="91"/>
        <v>#REF!</v>
      </c>
      <c r="O720" s="60" t="e">
        <f>#REF!</f>
        <v>#REF!</v>
      </c>
      <c r="P720" s="61" t="e">
        <f>IF(O720&lt;0,Pricing!E720*$Q$5,0)</f>
        <v>#REF!</v>
      </c>
      <c r="Q720" s="61" t="e">
        <f t="shared" si="92"/>
        <v>#REF!</v>
      </c>
      <c r="R720" s="60" t="e">
        <f>#REF!</f>
        <v>#REF!</v>
      </c>
      <c r="S720" s="61" t="e">
        <f>IF(R720&lt;0,Pricing!E720*$T$5,0)</f>
        <v>#REF!</v>
      </c>
      <c r="T720" s="61" t="e">
        <f t="shared" si="93"/>
        <v>#REF!</v>
      </c>
    </row>
    <row r="721" spans="1:20" x14ac:dyDescent="0.25">
      <c r="A721" s="58">
        <f t="shared" si="94"/>
        <v>44560.749999998268</v>
      </c>
      <c r="B721" s="59">
        <f t="shared" si="95"/>
        <v>44560.791666664933</v>
      </c>
      <c r="C721" s="60" t="e">
        <f>#REF!</f>
        <v>#REF!</v>
      </c>
      <c r="D721" s="61" t="e">
        <f>IF(C721&gt;0,Pricing!E721*$E$5,0)</f>
        <v>#REF!</v>
      </c>
      <c r="E721" s="61" t="e">
        <f t="shared" si="88"/>
        <v>#REF!</v>
      </c>
      <c r="F721" s="60" t="e">
        <f>#REF!</f>
        <v>#REF!</v>
      </c>
      <c r="G721" s="61" t="e">
        <f>IF(F721&gt;0,Pricing!E721*$H$5,0)</f>
        <v>#REF!</v>
      </c>
      <c r="H721" s="61" t="e">
        <f t="shared" si="89"/>
        <v>#REF!</v>
      </c>
      <c r="I721" s="62" t="e">
        <f>#REF!</f>
        <v>#REF!</v>
      </c>
      <c r="J721" s="61" t="e">
        <f>IF(I721&gt;0,Pricing!E721*$K$5,0)</f>
        <v>#REF!</v>
      </c>
      <c r="K721" s="63" t="e">
        <f t="shared" si="90"/>
        <v>#REF!</v>
      </c>
      <c r="L721" s="64" t="e">
        <f>#REF!</f>
        <v>#REF!</v>
      </c>
      <c r="M721" s="61" t="e">
        <f>IF(L721&lt;0,Pricing!E721*$N$5,0)</f>
        <v>#REF!</v>
      </c>
      <c r="N721" s="61" t="e">
        <f t="shared" si="91"/>
        <v>#REF!</v>
      </c>
      <c r="O721" s="60" t="e">
        <f>#REF!</f>
        <v>#REF!</v>
      </c>
      <c r="P721" s="61" t="e">
        <f>IF(O721&lt;0,Pricing!E721*$Q$5,0)</f>
        <v>#REF!</v>
      </c>
      <c r="Q721" s="61" t="e">
        <f t="shared" si="92"/>
        <v>#REF!</v>
      </c>
      <c r="R721" s="60" t="e">
        <f>#REF!</f>
        <v>#REF!</v>
      </c>
      <c r="S721" s="61" t="e">
        <f>IF(R721&lt;0,Pricing!E721*$T$5,0)</f>
        <v>#REF!</v>
      </c>
      <c r="T721" s="61" t="e">
        <f t="shared" si="93"/>
        <v>#REF!</v>
      </c>
    </row>
    <row r="722" spans="1:20" x14ac:dyDescent="0.25">
      <c r="A722" s="58">
        <f t="shared" si="94"/>
        <v>44560.791666664933</v>
      </c>
      <c r="B722" s="59">
        <f t="shared" si="95"/>
        <v>44560.833333331597</v>
      </c>
      <c r="C722" s="60" t="e">
        <f>#REF!</f>
        <v>#REF!</v>
      </c>
      <c r="D722" s="61" t="e">
        <f>IF(C722&gt;0,Pricing!E722*$E$5,0)</f>
        <v>#REF!</v>
      </c>
      <c r="E722" s="61" t="e">
        <f t="shared" si="88"/>
        <v>#REF!</v>
      </c>
      <c r="F722" s="60" t="e">
        <f>#REF!</f>
        <v>#REF!</v>
      </c>
      <c r="G722" s="61" t="e">
        <f>IF(F722&gt;0,Pricing!E722*$H$5,0)</f>
        <v>#REF!</v>
      </c>
      <c r="H722" s="61" t="e">
        <f t="shared" si="89"/>
        <v>#REF!</v>
      </c>
      <c r="I722" s="62" t="e">
        <f>#REF!</f>
        <v>#REF!</v>
      </c>
      <c r="J722" s="61" t="e">
        <f>IF(I722&gt;0,Pricing!E722*$K$5,0)</f>
        <v>#REF!</v>
      </c>
      <c r="K722" s="63" t="e">
        <f t="shared" si="90"/>
        <v>#REF!</v>
      </c>
      <c r="L722" s="64" t="e">
        <f>#REF!</f>
        <v>#REF!</v>
      </c>
      <c r="M722" s="61" t="e">
        <f>IF(L722&lt;0,Pricing!E722*$N$5,0)</f>
        <v>#REF!</v>
      </c>
      <c r="N722" s="61" t="e">
        <f t="shared" si="91"/>
        <v>#REF!</v>
      </c>
      <c r="O722" s="60" t="e">
        <f>#REF!</f>
        <v>#REF!</v>
      </c>
      <c r="P722" s="61" t="e">
        <f>IF(O722&lt;0,Pricing!E722*$Q$5,0)</f>
        <v>#REF!</v>
      </c>
      <c r="Q722" s="61" t="e">
        <f t="shared" si="92"/>
        <v>#REF!</v>
      </c>
      <c r="R722" s="60" t="e">
        <f>#REF!</f>
        <v>#REF!</v>
      </c>
      <c r="S722" s="61" t="e">
        <f>IF(R722&lt;0,Pricing!E722*$T$5,0)</f>
        <v>#REF!</v>
      </c>
      <c r="T722" s="61" t="e">
        <f t="shared" si="93"/>
        <v>#REF!</v>
      </c>
    </row>
    <row r="723" spans="1:20" x14ac:dyDescent="0.25">
      <c r="A723" s="58">
        <f t="shared" si="94"/>
        <v>44560.833333331597</v>
      </c>
      <c r="B723" s="59">
        <f t="shared" si="95"/>
        <v>44560.874999998261</v>
      </c>
      <c r="C723" s="60" t="e">
        <f>#REF!</f>
        <v>#REF!</v>
      </c>
      <c r="D723" s="61" t="e">
        <f>IF(C723&gt;0,Pricing!E723*$E$5,0)</f>
        <v>#REF!</v>
      </c>
      <c r="E723" s="61" t="e">
        <f t="shared" si="88"/>
        <v>#REF!</v>
      </c>
      <c r="F723" s="60" t="e">
        <f>#REF!</f>
        <v>#REF!</v>
      </c>
      <c r="G723" s="61" t="e">
        <f>IF(F723&gt;0,Pricing!E723*$H$5,0)</f>
        <v>#REF!</v>
      </c>
      <c r="H723" s="61" t="e">
        <f t="shared" si="89"/>
        <v>#REF!</v>
      </c>
      <c r="I723" s="62" t="e">
        <f>#REF!</f>
        <v>#REF!</v>
      </c>
      <c r="J723" s="61" t="e">
        <f>IF(I723&gt;0,Pricing!E723*$K$5,0)</f>
        <v>#REF!</v>
      </c>
      <c r="K723" s="63" t="e">
        <f t="shared" si="90"/>
        <v>#REF!</v>
      </c>
      <c r="L723" s="64" t="e">
        <f>#REF!</f>
        <v>#REF!</v>
      </c>
      <c r="M723" s="61" t="e">
        <f>IF(L723&lt;0,Pricing!E723*$N$5,0)</f>
        <v>#REF!</v>
      </c>
      <c r="N723" s="61" t="e">
        <f t="shared" si="91"/>
        <v>#REF!</v>
      </c>
      <c r="O723" s="60" t="e">
        <f>#REF!</f>
        <v>#REF!</v>
      </c>
      <c r="P723" s="61" t="e">
        <f>IF(O723&lt;0,Pricing!E723*$Q$5,0)</f>
        <v>#REF!</v>
      </c>
      <c r="Q723" s="61" t="e">
        <f t="shared" si="92"/>
        <v>#REF!</v>
      </c>
      <c r="R723" s="60" t="e">
        <f>#REF!</f>
        <v>#REF!</v>
      </c>
      <c r="S723" s="61" t="e">
        <f>IF(R723&lt;0,Pricing!E723*$T$5,0)</f>
        <v>#REF!</v>
      </c>
      <c r="T723" s="61" t="e">
        <f t="shared" si="93"/>
        <v>#REF!</v>
      </c>
    </row>
    <row r="724" spans="1:20" x14ac:dyDescent="0.25">
      <c r="A724" s="58">
        <f t="shared" si="94"/>
        <v>44560.874999998261</v>
      </c>
      <c r="B724" s="59">
        <f t="shared" si="95"/>
        <v>44560.916666664925</v>
      </c>
      <c r="C724" s="60" t="e">
        <f>#REF!</f>
        <v>#REF!</v>
      </c>
      <c r="D724" s="61" t="e">
        <f>IF(C724&gt;0,Pricing!E724*$E$5,0)</f>
        <v>#REF!</v>
      </c>
      <c r="E724" s="61" t="e">
        <f t="shared" si="88"/>
        <v>#REF!</v>
      </c>
      <c r="F724" s="60" t="e">
        <f>#REF!</f>
        <v>#REF!</v>
      </c>
      <c r="G724" s="61" t="e">
        <f>IF(F724&gt;0,Pricing!E724*$H$5,0)</f>
        <v>#REF!</v>
      </c>
      <c r="H724" s="61" t="e">
        <f t="shared" si="89"/>
        <v>#REF!</v>
      </c>
      <c r="I724" s="62" t="e">
        <f>#REF!</f>
        <v>#REF!</v>
      </c>
      <c r="J724" s="61" t="e">
        <f>IF(I724&gt;0,Pricing!E724*$K$5,0)</f>
        <v>#REF!</v>
      </c>
      <c r="K724" s="63" t="e">
        <f t="shared" si="90"/>
        <v>#REF!</v>
      </c>
      <c r="L724" s="64" t="e">
        <f>#REF!</f>
        <v>#REF!</v>
      </c>
      <c r="M724" s="61" t="e">
        <f>IF(L724&lt;0,Pricing!E724*$N$5,0)</f>
        <v>#REF!</v>
      </c>
      <c r="N724" s="61" t="e">
        <f t="shared" si="91"/>
        <v>#REF!</v>
      </c>
      <c r="O724" s="60" t="e">
        <f>#REF!</f>
        <v>#REF!</v>
      </c>
      <c r="P724" s="61" t="e">
        <f>IF(O724&lt;0,Pricing!E724*$Q$5,0)</f>
        <v>#REF!</v>
      </c>
      <c r="Q724" s="61" t="e">
        <f t="shared" si="92"/>
        <v>#REF!</v>
      </c>
      <c r="R724" s="60" t="e">
        <f>#REF!</f>
        <v>#REF!</v>
      </c>
      <c r="S724" s="61" t="e">
        <f>IF(R724&lt;0,Pricing!E724*$T$5,0)</f>
        <v>#REF!</v>
      </c>
      <c r="T724" s="61" t="e">
        <f t="shared" si="93"/>
        <v>#REF!</v>
      </c>
    </row>
    <row r="725" spans="1:20" x14ac:dyDescent="0.25">
      <c r="A725" s="58">
        <f t="shared" si="94"/>
        <v>44560.916666664925</v>
      </c>
      <c r="B725" s="59">
        <f t="shared" si="95"/>
        <v>44560.95833333159</v>
      </c>
      <c r="C725" s="60" t="e">
        <f>#REF!</f>
        <v>#REF!</v>
      </c>
      <c r="D725" s="61" t="e">
        <f>IF(C725&gt;0,Pricing!E725*$E$5,0)</f>
        <v>#REF!</v>
      </c>
      <c r="E725" s="61" t="e">
        <f t="shared" si="88"/>
        <v>#REF!</v>
      </c>
      <c r="F725" s="60" t="e">
        <f>#REF!</f>
        <v>#REF!</v>
      </c>
      <c r="G725" s="61" t="e">
        <f>IF(F725&gt;0,Pricing!E725*$H$5,0)</f>
        <v>#REF!</v>
      </c>
      <c r="H725" s="61" t="e">
        <f t="shared" si="89"/>
        <v>#REF!</v>
      </c>
      <c r="I725" s="62" t="e">
        <f>#REF!</f>
        <v>#REF!</v>
      </c>
      <c r="J725" s="61" t="e">
        <f>IF(I725&gt;0,Pricing!E725*$K$5,0)</f>
        <v>#REF!</v>
      </c>
      <c r="K725" s="63" t="e">
        <f t="shared" si="90"/>
        <v>#REF!</v>
      </c>
      <c r="L725" s="64" t="e">
        <f>#REF!</f>
        <v>#REF!</v>
      </c>
      <c r="M725" s="61" t="e">
        <f>IF(L725&lt;0,Pricing!E725*$N$5,0)</f>
        <v>#REF!</v>
      </c>
      <c r="N725" s="61" t="e">
        <f t="shared" si="91"/>
        <v>#REF!</v>
      </c>
      <c r="O725" s="60" t="e">
        <f>#REF!</f>
        <v>#REF!</v>
      </c>
      <c r="P725" s="61" t="e">
        <f>IF(O725&lt;0,Pricing!E725*$Q$5,0)</f>
        <v>#REF!</v>
      </c>
      <c r="Q725" s="61" t="e">
        <f t="shared" si="92"/>
        <v>#REF!</v>
      </c>
      <c r="R725" s="60" t="e">
        <f>#REF!</f>
        <v>#REF!</v>
      </c>
      <c r="S725" s="61" t="e">
        <f>IF(R725&lt;0,Pricing!E725*$T$5,0)</f>
        <v>#REF!</v>
      </c>
      <c r="T725" s="61" t="e">
        <f t="shared" si="93"/>
        <v>#REF!</v>
      </c>
    </row>
    <row r="726" spans="1:20" x14ac:dyDescent="0.25">
      <c r="A726" s="58">
        <f t="shared" si="94"/>
        <v>44560.95833333159</v>
      </c>
      <c r="B726" s="59">
        <f t="shared" si="95"/>
        <v>44560.999999998254</v>
      </c>
      <c r="C726" s="60" t="e">
        <f>#REF!</f>
        <v>#REF!</v>
      </c>
      <c r="D726" s="61" t="e">
        <f>IF(C726&gt;0,Pricing!E726*$E$5,0)</f>
        <v>#REF!</v>
      </c>
      <c r="E726" s="61" t="e">
        <f t="shared" si="88"/>
        <v>#REF!</v>
      </c>
      <c r="F726" s="60" t="e">
        <f>#REF!</f>
        <v>#REF!</v>
      </c>
      <c r="G726" s="61" t="e">
        <f>IF(F726&gt;0,Pricing!E726*$H$5,0)</f>
        <v>#REF!</v>
      </c>
      <c r="H726" s="61" t="e">
        <f t="shared" si="89"/>
        <v>#REF!</v>
      </c>
      <c r="I726" s="62" t="e">
        <f>#REF!</f>
        <v>#REF!</v>
      </c>
      <c r="J726" s="61" t="e">
        <f>IF(I726&gt;0,Pricing!E726*$K$5,0)</f>
        <v>#REF!</v>
      </c>
      <c r="K726" s="63" t="e">
        <f t="shared" si="90"/>
        <v>#REF!</v>
      </c>
      <c r="L726" s="64" t="e">
        <f>#REF!</f>
        <v>#REF!</v>
      </c>
      <c r="M726" s="61" t="e">
        <f>IF(L726&lt;0,Pricing!E726*$N$5,0)</f>
        <v>#REF!</v>
      </c>
      <c r="N726" s="61" t="e">
        <f t="shared" si="91"/>
        <v>#REF!</v>
      </c>
      <c r="O726" s="60" t="e">
        <f>#REF!</f>
        <v>#REF!</v>
      </c>
      <c r="P726" s="61" t="e">
        <f>IF(O726&lt;0,Pricing!E726*$Q$5,0)</f>
        <v>#REF!</v>
      </c>
      <c r="Q726" s="61" t="e">
        <f t="shared" si="92"/>
        <v>#REF!</v>
      </c>
      <c r="R726" s="60" t="e">
        <f>#REF!</f>
        <v>#REF!</v>
      </c>
      <c r="S726" s="61" t="e">
        <f>IF(R726&lt;0,Pricing!E726*$T$5,0)</f>
        <v>#REF!</v>
      </c>
      <c r="T726" s="61" t="e">
        <f t="shared" si="93"/>
        <v>#REF!</v>
      </c>
    </row>
    <row r="727" spans="1:20" x14ac:dyDescent="0.25">
      <c r="A727" s="58">
        <f t="shared" si="94"/>
        <v>44560.999999998254</v>
      </c>
      <c r="B727" s="59">
        <f t="shared" si="95"/>
        <v>44561.041666664918</v>
      </c>
      <c r="C727" s="60" t="e">
        <f>#REF!</f>
        <v>#REF!</v>
      </c>
      <c r="D727" s="61" t="e">
        <f>IF(C727&gt;0,Pricing!E727*$E$5,0)</f>
        <v>#REF!</v>
      </c>
      <c r="E727" s="61" t="e">
        <f t="shared" ref="E727:E750" si="96">C727*D727</f>
        <v>#REF!</v>
      </c>
      <c r="F727" s="60" t="e">
        <f>#REF!</f>
        <v>#REF!</v>
      </c>
      <c r="G727" s="61" t="e">
        <f>IF(F727&gt;0,Pricing!E727*$H$5,0)</f>
        <v>#REF!</v>
      </c>
      <c r="H727" s="61" t="e">
        <f t="shared" ref="H727:H750" si="97">F727*G727</f>
        <v>#REF!</v>
      </c>
      <c r="I727" s="62" t="e">
        <f>#REF!</f>
        <v>#REF!</v>
      </c>
      <c r="J727" s="61" t="e">
        <f>IF(I727&gt;0,Pricing!E727*$K$5,0)</f>
        <v>#REF!</v>
      </c>
      <c r="K727" s="63" t="e">
        <f t="shared" ref="K727:K750" si="98">I727*J727</f>
        <v>#REF!</v>
      </c>
      <c r="L727" s="64" t="e">
        <f>#REF!</f>
        <v>#REF!</v>
      </c>
      <c r="M727" s="61" t="e">
        <f>IF(L727&lt;0,Pricing!E727*$N$5,0)</f>
        <v>#REF!</v>
      </c>
      <c r="N727" s="61" t="e">
        <f t="shared" ref="N727:N750" si="99">L727*M727</f>
        <v>#REF!</v>
      </c>
      <c r="O727" s="60" t="e">
        <f>#REF!</f>
        <v>#REF!</v>
      </c>
      <c r="P727" s="61" t="e">
        <f>IF(O727&lt;0,Pricing!E727*$Q$5,0)</f>
        <v>#REF!</v>
      </c>
      <c r="Q727" s="61" t="e">
        <f t="shared" ref="Q727:Q750" si="100">O727*P727</f>
        <v>#REF!</v>
      </c>
      <c r="R727" s="60" t="e">
        <f>#REF!</f>
        <v>#REF!</v>
      </c>
      <c r="S727" s="61" t="e">
        <f>IF(R727&lt;0,Pricing!E727*$T$5,0)</f>
        <v>#REF!</v>
      </c>
      <c r="T727" s="61" t="e">
        <f t="shared" ref="T727:T750" si="101">R727*S727</f>
        <v>#REF!</v>
      </c>
    </row>
    <row r="728" spans="1:20" x14ac:dyDescent="0.25">
      <c r="A728" s="58">
        <f t="shared" si="94"/>
        <v>44561.041666664918</v>
      </c>
      <c r="B728" s="59">
        <f t="shared" si="95"/>
        <v>44561.083333331582</v>
      </c>
      <c r="C728" s="60" t="e">
        <f>#REF!</f>
        <v>#REF!</v>
      </c>
      <c r="D728" s="61" t="e">
        <f>IF(C728&gt;0,Pricing!E728*$E$5,0)</f>
        <v>#REF!</v>
      </c>
      <c r="E728" s="61" t="e">
        <f t="shared" si="96"/>
        <v>#REF!</v>
      </c>
      <c r="F728" s="60" t="e">
        <f>#REF!</f>
        <v>#REF!</v>
      </c>
      <c r="G728" s="61" t="e">
        <f>IF(F728&gt;0,Pricing!E728*$H$5,0)</f>
        <v>#REF!</v>
      </c>
      <c r="H728" s="61" t="e">
        <f t="shared" si="97"/>
        <v>#REF!</v>
      </c>
      <c r="I728" s="62" t="e">
        <f>#REF!</f>
        <v>#REF!</v>
      </c>
      <c r="J728" s="61" t="e">
        <f>IF(I728&gt;0,Pricing!E728*$K$5,0)</f>
        <v>#REF!</v>
      </c>
      <c r="K728" s="63" t="e">
        <f t="shared" si="98"/>
        <v>#REF!</v>
      </c>
      <c r="L728" s="64" t="e">
        <f>#REF!</f>
        <v>#REF!</v>
      </c>
      <c r="M728" s="61" t="e">
        <f>IF(L728&lt;0,Pricing!E728*$N$5,0)</f>
        <v>#REF!</v>
      </c>
      <c r="N728" s="61" t="e">
        <f t="shared" si="99"/>
        <v>#REF!</v>
      </c>
      <c r="O728" s="60" t="e">
        <f>#REF!</f>
        <v>#REF!</v>
      </c>
      <c r="P728" s="61" t="e">
        <f>IF(O728&lt;0,Pricing!E728*$Q$5,0)</f>
        <v>#REF!</v>
      </c>
      <c r="Q728" s="61" t="e">
        <f t="shared" si="100"/>
        <v>#REF!</v>
      </c>
      <c r="R728" s="60" t="e">
        <f>#REF!</f>
        <v>#REF!</v>
      </c>
      <c r="S728" s="61" t="e">
        <f>IF(R728&lt;0,Pricing!E728*$T$5,0)</f>
        <v>#REF!</v>
      </c>
      <c r="T728" s="61" t="e">
        <f t="shared" si="101"/>
        <v>#REF!</v>
      </c>
    </row>
    <row r="729" spans="1:20" x14ac:dyDescent="0.25">
      <c r="A729" s="58">
        <f t="shared" si="94"/>
        <v>44561.083333331582</v>
      </c>
      <c r="B729" s="59">
        <f t="shared" si="95"/>
        <v>44561.124999998246</v>
      </c>
      <c r="C729" s="60" t="e">
        <f>#REF!</f>
        <v>#REF!</v>
      </c>
      <c r="D729" s="61" t="e">
        <f>IF(C729&gt;0,Pricing!E729*$E$5,0)</f>
        <v>#REF!</v>
      </c>
      <c r="E729" s="61" t="e">
        <f t="shared" si="96"/>
        <v>#REF!</v>
      </c>
      <c r="F729" s="60" t="e">
        <f>#REF!</f>
        <v>#REF!</v>
      </c>
      <c r="G729" s="61" t="e">
        <f>IF(F729&gt;0,Pricing!E729*$H$5,0)</f>
        <v>#REF!</v>
      </c>
      <c r="H729" s="61" t="e">
        <f t="shared" si="97"/>
        <v>#REF!</v>
      </c>
      <c r="I729" s="62" t="e">
        <f>#REF!</f>
        <v>#REF!</v>
      </c>
      <c r="J729" s="61" t="e">
        <f>IF(I729&gt;0,Pricing!E729*$K$5,0)</f>
        <v>#REF!</v>
      </c>
      <c r="K729" s="63" t="e">
        <f t="shared" si="98"/>
        <v>#REF!</v>
      </c>
      <c r="L729" s="64" t="e">
        <f>#REF!</f>
        <v>#REF!</v>
      </c>
      <c r="M729" s="61" t="e">
        <f>IF(L729&lt;0,Pricing!E729*$N$5,0)</f>
        <v>#REF!</v>
      </c>
      <c r="N729" s="61" t="e">
        <f t="shared" si="99"/>
        <v>#REF!</v>
      </c>
      <c r="O729" s="60" t="e">
        <f>#REF!</f>
        <v>#REF!</v>
      </c>
      <c r="P729" s="61" t="e">
        <f>IF(O729&lt;0,Pricing!E729*$Q$5,0)</f>
        <v>#REF!</v>
      </c>
      <c r="Q729" s="61" t="e">
        <f t="shared" si="100"/>
        <v>#REF!</v>
      </c>
      <c r="R729" s="60" t="e">
        <f>#REF!</f>
        <v>#REF!</v>
      </c>
      <c r="S729" s="61" t="e">
        <f>IF(R729&lt;0,Pricing!E729*$T$5,0)</f>
        <v>#REF!</v>
      </c>
      <c r="T729" s="61" t="e">
        <f t="shared" si="101"/>
        <v>#REF!</v>
      </c>
    </row>
    <row r="730" spans="1:20" x14ac:dyDescent="0.25">
      <c r="A730" s="58">
        <f t="shared" si="94"/>
        <v>44561.124999998246</v>
      </c>
      <c r="B730" s="59">
        <f t="shared" si="95"/>
        <v>44561.166666664911</v>
      </c>
      <c r="C730" s="60" t="e">
        <f>#REF!</f>
        <v>#REF!</v>
      </c>
      <c r="D730" s="61" t="e">
        <f>IF(C730&gt;0,Pricing!E730*$E$5,0)</f>
        <v>#REF!</v>
      </c>
      <c r="E730" s="61" t="e">
        <f t="shared" si="96"/>
        <v>#REF!</v>
      </c>
      <c r="F730" s="60" t="e">
        <f>#REF!</f>
        <v>#REF!</v>
      </c>
      <c r="G730" s="61" t="e">
        <f>IF(F730&gt;0,Pricing!E730*$H$5,0)</f>
        <v>#REF!</v>
      </c>
      <c r="H730" s="61" t="e">
        <f t="shared" si="97"/>
        <v>#REF!</v>
      </c>
      <c r="I730" s="62" t="e">
        <f>#REF!</f>
        <v>#REF!</v>
      </c>
      <c r="J730" s="61" t="e">
        <f>IF(I730&gt;0,Pricing!E730*$K$5,0)</f>
        <v>#REF!</v>
      </c>
      <c r="K730" s="63" t="e">
        <f t="shared" si="98"/>
        <v>#REF!</v>
      </c>
      <c r="L730" s="64" t="e">
        <f>#REF!</f>
        <v>#REF!</v>
      </c>
      <c r="M730" s="61" t="e">
        <f>IF(L730&lt;0,Pricing!E730*$N$5,0)</f>
        <v>#REF!</v>
      </c>
      <c r="N730" s="61" t="e">
        <f t="shared" si="99"/>
        <v>#REF!</v>
      </c>
      <c r="O730" s="60" t="e">
        <f>#REF!</f>
        <v>#REF!</v>
      </c>
      <c r="P730" s="61" t="e">
        <f>IF(O730&lt;0,Pricing!E730*$Q$5,0)</f>
        <v>#REF!</v>
      </c>
      <c r="Q730" s="61" t="e">
        <f t="shared" si="100"/>
        <v>#REF!</v>
      </c>
      <c r="R730" s="60" t="e">
        <f>#REF!</f>
        <v>#REF!</v>
      </c>
      <c r="S730" s="61" t="e">
        <f>IF(R730&lt;0,Pricing!E730*$T$5,0)</f>
        <v>#REF!</v>
      </c>
      <c r="T730" s="61" t="e">
        <f t="shared" si="101"/>
        <v>#REF!</v>
      </c>
    </row>
    <row r="731" spans="1:20" x14ac:dyDescent="0.25">
      <c r="A731" s="58">
        <f t="shared" si="94"/>
        <v>44561.166666664911</v>
      </c>
      <c r="B731" s="59">
        <f t="shared" si="95"/>
        <v>44561.208333331575</v>
      </c>
      <c r="C731" s="60" t="e">
        <f>#REF!</f>
        <v>#REF!</v>
      </c>
      <c r="D731" s="61" t="e">
        <f>IF(C731&gt;0,Pricing!E731*$E$5,0)</f>
        <v>#REF!</v>
      </c>
      <c r="E731" s="61" t="e">
        <f t="shared" si="96"/>
        <v>#REF!</v>
      </c>
      <c r="F731" s="60" t="e">
        <f>#REF!</f>
        <v>#REF!</v>
      </c>
      <c r="G731" s="61" t="e">
        <f>IF(F731&gt;0,Pricing!E731*$H$5,0)</f>
        <v>#REF!</v>
      </c>
      <c r="H731" s="61" t="e">
        <f t="shared" si="97"/>
        <v>#REF!</v>
      </c>
      <c r="I731" s="62" t="e">
        <f>#REF!</f>
        <v>#REF!</v>
      </c>
      <c r="J731" s="61" t="e">
        <f>IF(I731&gt;0,Pricing!E731*$K$5,0)</f>
        <v>#REF!</v>
      </c>
      <c r="K731" s="63" t="e">
        <f t="shared" si="98"/>
        <v>#REF!</v>
      </c>
      <c r="L731" s="64" t="e">
        <f>#REF!</f>
        <v>#REF!</v>
      </c>
      <c r="M731" s="61" t="e">
        <f>IF(L731&lt;0,Pricing!E731*$N$5,0)</f>
        <v>#REF!</v>
      </c>
      <c r="N731" s="61" t="e">
        <f t="shared" si="99"/>
        <v>#REF!</v>
      </c>
      <c r="O731" s="60" t="e">
        <f>#REF!</f>
        <v>#REF!</v>
      </c>
      <c r="P731" s="61" t="e">
        <f>IF(O731&lt;0,Pricing!E731*$Q$5,0)</f>
        <v>#REF!</v>
      </c>
      <c r="Q731" s="61" t="e">
        <f t="shared" si="100"/>
        <v>#REF!</v>
      </c>
      <c r="R731" s="60" t="e">
        <f>#REF!</f>
        <v>#REF!</v>
      </c>
      <c r="S731" s="61" t="e">
        <f>IF(R731&lt;0,Pricing!E731*$T$5,0)</f>
        <v>#REF!</v>
      </c>
      <c r="T731" s="61" t="e">
        <f t="shared" si="101"/>
        <v>#REF!</v>
      </c>
    </row>
    <row r="732" spans="1:20" x14ac:dyDescent="0.25">
      <c r="A732" s="58">
        <f t="shared" si="94"/>
        <v>44561.208333331575</v>
      </c>
      <c r="B732" s="59">
        <f t="shared" si="95"/>
        <v>44561.249999998239</v>
      </c>
      <c r="C732" s="60" t="e">
        <f>#REF!</f>
        <v>#REF!</v>
      </c>
      <c r="D732" s="61" t="e">
        <f>IF(C732&gt;0,Pricing!E732*$E$5,0)</f>
        <v>#REF!</v>
      </c>
      <c r="E732" s="61" t="e">
        <f t="shared" si="96"/>
        <v>#REF!</v>
      </c>
      <c r="F732" s="60" t="e">
        <f>#REF!</f>
        <v>#REF!</v>
      </c>
      <c r="G732" s="61" t="e">
        <f>IF(F732&gt;0,Pricing!E732*$H$5,0)</f>
        <v>#REF!</v>
      </c>
      <c r="H732" s="61" t="e">
        <f t="shared" si="97"/>
        <v>#REF!</v>
      </c>
      <c r="I732" s="62" t="e">
        <f>#REF!</f>
        <v>#REF!</v>
      </c>
      <c r="J732" s="61" t="e">
        <f>IF(I732&gt;0,Pricing!E732*$K$5,0)</f>
        <v>#REF!</v>
      </c>
      <c r="K732" s="63" t="e">
        <f t="shared" si="98"/>
        <v>#REF!</v>
      </c>
      <c r="L732" s="64" t="e">
        <f>#REF!</f>
        <v>#REF!</v>
      </c>
      <c r="M732" s="61" t="e">
        <f>IF(L732&lt;0,Pricing!E732*$N$5,0)</f>
        <v>#REF!</v>
      </c>
      <c r="N732" s="61" t="e">
        <f t="shared" si="99"/>
        <v>#REF!</v>
      </c>
      <c r="O732" s="60" t="e">
        <f>#REF!</f>
        <v>#REF!</v>
      </c>
      <c r="P732" s="61" t="e">
        <f>IF(O732&lt;0,Pricing!E732*$Q$5,0)</f>
        <v>#REF!</v>
      </c>
      <c r="Q732" s="61" t="e">
        <f t="shared" si="100"/>
        <v>#REF!</v>
      </c>
      <c r="R732" s="60" t="e">
        <f>#REF!</f>
        <v>#REF!</v>
      </c>
      <c r="S732" s="61" t="e">
        <f>IF(R732&lt;0,Pricing!E732*$T$5,0)</f>
        <v>#REF!</v>
      </c>
      <c r="T732" s="61" t="e">
        <f t="shared" si="101"/>
        <v>#REF!</v>
      </c>
    </row>
    <row r="733" spans="1:20" x14ac:dyDescent="0.25">
      <c r="A733" s="58">
        <f t="shared" si="94"/>
        <v>44561.249999998239</v>
      </c>
      <c r="B733" s="59">
        <f t="shared" si="95"/>
        <v>44561.291666664903</v>
      </c>
      <c r="C733" s="60" t="e">
        <f>#REF!</f>
        <v>#REF!</v>
      </c>
      <c r="D733" s="61" t="e">
        <f>IF(C733&gt;0,Pricing!E733*$E$5,0)</f>
        <v>#REF!</v>
      </c>
      <c r="E733" s="61" t="e">
        <f t="shared" si="96"/>
        <v>#REF!</v>
      </c>
      <c r="F733" s="60" t="e">
        <f>#REF!</f>
        <v>#REF!</v>
      </c>
      <c r="G733" s="61" t="e">
        <f>IF(F733&gt;0,Pricing!E733*$H$5,0)</f>
        <v>#REF!</v>
      </c>
      <c r="H733" s="61" t="e">
        <f t="shared" si="97"/>
        <v>#REF!</v>
      </c>
      <c r="I733" s="62" t="e">
        <f>#REF!</f>
        <v>#REF!</v>
      </c>
      <c r="J733" s="61" t="e">
        <f>IF(I733&gt;0,Pricing!E733*$K$5,0)</f>
        <v>#REF!</v>
      </c>
      <c r="K733" s="63" t="e">
        <f t="shared" si="98"/>
        <v>#REF!</v>
      </c>
      <c r="L733" s="64" t="e">
        <f>#REF!</f>
        <v>#REF!</v>
      </c>
      <c r="M733" s="61" t="e">
        <f>IF(L733&lt;0,Pricing!E733*$N$5,0)</f>
        <v>#REF!</v>
      </c>
      <c r="N733" s="61" t="e">
        <f t="shared" si="99"/>
        <v>#REF!</v>
      </c>
      <c r="O733" s="60" t="e">
        <f>#REF!</f>
        <v>#REF!</v>
      </c>
      <c r="P733" s="61" t="e">
        <f>IF(O733&lt;0,Pricing!E733*$Q$5,0)</f>
        <v>#REF!</v>
      </c>
      <c r="Q733" s="61" t="e">
        <f t="shared" si="100"/>
        <v>#REF!</v>
      </c>
      <c r="R733" s="60" t="e">
        <f>#REF!</f>
        <v>#REF!</v>
      </c>
      <c r="S733" s="61" t="e">
        <f>IF(R733&lt;0,Pricing!E733*$T$5,0)</f>
        <v>#REF!</v>
      </c>
      <c r="T733" s="61" t="e">
        <f t="shared" si="101"/>
        <v>#REF!</v>
      </c>
    </row>
    <row r="734" spans="1:20" x14ac:dyDescent="0.25">
      <c r="A734" s="58">
        <f t="shared" si="94"/>
        <v>44561.291666664903</v>
      </c>
      <c r="B734" s="59">
        <f t="shared" si="95"/>
        <v>44561.333333331568</v>
      </c>
      <c r="C734" s="60" t="e">
        <f>#REF!</f>
        <v>#REF!</v>
      </c>
      <c r="D734" s="61" t="e">
        <f>IF(C734&gt;0,Pricing!E734*$E$5,0)</f>
        <v>#REF!</v>
      </c>
      <c r="E734" s="61" t="e">
        <f t="shared" si="96"/>
        <v>#REF!</v>
      </c>
      <c r="F734" s="60" t="e">
        <f>#REF!</f>
        <v>#REF!</v>
      </c>
      <c r="G734" s="61" t="e">
        <f>IF(F734&gt;0,Pricing!E734*$H$5,0)</f>
        <v>#REF!</v>
      </c>
      <c r="H734" s="61" t="e">
        <f t="shared" si="97"/>
        <v>#REF!</v>
      </c>
      <c r="I734" s="62" t="e">
        <f>#REF!</f>
        <v>#REF!</v>
      </c>
      <c r="J734" s="61" t="e">
        <f>IF(I734&gt;0,Pricing!E734*$K$5,0)</f>
        <v>#REF!</v>
      </c>
      <c r="K734" s="63" t="e">
        <f t="shared" si="98"/>
        <v>#REF!</v>
      </c>
      <c r="L734" s="64" t="e">
        <f>#REF!</f>
        <v>#REF!</v>
      </c>
      <c r="M734" s="61" t="e">
        <f>IF(L734&lt;0,Pricing!E734*$N$5,0)</f>
        <v>#REF!</v>
      </c>
      <c r="N734" s="61" t="e">
        <f t="shared" si="99"/>
        <v>#REF!</v>
      </c>
      <c r="O734" s="60" t="e">
        <f>#REF!</f>
        <v>#REF!</v>
      </c>
      <c r="P734" s="61" t="e">
        <f>IF(O734&lt;0,Pricing!E734*$Q$5,0)</f>
        <v>#REF!</v>
      </c>
      <c r="Q734" s="61" t="e">
        <f t="shared" si="100"/>
        <v>#REF!</v>
      </c>
      <c r="R734" s="60" t="e">
        <f>#REF!</f>
        <v>#REF!</v>
      </c>
      <c r="S734" s="61" t="e">
        <f>IF(R734&lt;0,Pricing!E734*$T$5,0)</f>
        <v>#REF!</v>
      </c>
      <c r="T734" s="61" t="e">
        <f t="shared" si="101"/>
        <v>#REF!</v>
      </c>
    </row>
    <row r="735" spans="1:20" x14ac:dyDescent="0.25">
      <c r="A735" s="58">
        <f t="shared" si="94"/>
        <v>44561.333333331568</v>
      </c>
      <c r="B735" s="59">
        <f t="shared" si="95"/>
        <v>44561.374999998232</v>
      </c>
      <c r="C735" s="60" t="e">
        <f>#REF!</f>
        <v>#REF!</v>
      </c>
      <c r="D735" s="61" t="e">
        <f>IF(C735&gt;0,Pricing!E735*$E$5,0)</f>
        <v>#REF!</v>
      </c>
      <c r="E735" s="61" t="e">
        <f t="shared" si="96"/>
        <v>#REF!</v>
      </c>
      <c r="F735" s="60" t="e">
        <f>#REF!</f>
        <v>#REF!</v>
      </c>
      <c r="G735" s="61" t="e">
        <f>IF(F735&gt;0,Pricing!E735*$H$5,0)</f>
        <v>#REF!</v>
      </c>
      <c r="H735" s="61" t="e">
        <f t="shared" si="97"/>
        <v>#REF!</v>
      </c>
      <c r="I735" s="62" t="e">
        <f>#REF!</f>
        <v>#REF!</v>
      </c>
      <c r="J735" s="61" t="e">
        <f>IF(I735&gt;0,Pricing!E735*$K$5,0)</f>
        <v>#REF!</v>
      </c>
      <c r="K735" s="63" t="e">
        <f t="shared" si="98"/>
        <v>#REF!</v>
      </c>
      <c r="L735" s="64" t="e">
        <f>#REF!</f>
        <v>#REF!</v>
      </c>
      <c r="M735" s="61" t="e">
        <f>IF(L735&lt;0,Pricing!E735*$N$5,0)</f>
        <v>#REF!</v>
      </c>
      <c r="N735" s="61" t="e">
        <f t="shared" si="99"/>
        <v>#REF!</v>
      </c>
      <c r="O735" s="60" t="e">
        <f>#REF!</f>
        <v>#REF!</v>
      </c>
      <c r="P735" s="61" t="e">
        <f>IF(O735&lt;0,Pricing!E735*$Q$5,0)</f>
        <v>#REF!</v>
      </c>
      <c r="Q735" s="61" t="e">
        <f t="shared" si="100"/>
        <v>#REF!</v>
      </c>
      <c r="R735" s="60" t="e">
        <f>#REF!</f>
        <v>#REF!</v>
      </c>
      <c r="S735" s="61" t="e">
        <f>IF(R735&lt;0,Pricing!E735*$T$5,0)</f>
        <v>#REF!</v>
      </c>
      <c r="T735" s="61" t="e">
        <f t="shared" si="101"/>
        <v>#REF!</v>
      </c>
    </row>
    <row r="736" spans="1:20" x14ac:dyDescent="0.25">
      <c r="A736" s="58">
        <f t="shared" si="94"/>
        <v>44561.374999998232</v>
      </c>
      <c r="B736" s="59">
        <f t="shared" si="95"/>
        <v>44561.416666664896</v>
      </c>
      <c r="C736" s="60" t="e">
        <f>#REF!</f>
        <v>#REF!</v>
      </c>
      <c r="D736" s="61" t="e">
        <f>IF(C736&gt;0,Pricing!E736*$E$5,0)</f>
        <v>#REF!</v>
      </c>
      <c r="E736" s="61" t="e">
        <f t="shared" si="96"/>
        <v>#REF!</v>
      </c>
      <c r="F736" s="60" t="e">
        <f>#REF!</f>
        <v>#REF!</v>
      </c>
      <c r="G736" s="61" t="e">
        <f>IF(F736&gt;0,Pricing!E736*$H$5,0)</f>
        <v>#REF!</v>
      </c>
      <c r="H736" s="61" t="e">
        <f t="shared" si="97"/>
        <v>#REF!</v>
      </c>
      <c r="I736" s="62" t="e">
        <f>#REF!</f>
        <v>#REF!</v>
      </c>
      <c r="J736" s="61" t="e">
        <f>IF(I736&gt;0,Pricing!E736*$K$5,0)</f>
        <v>#REF!</v>
      </c>
      <c r="K736" s="63" t="e">
        <f t="shared" si="98"/>
        <v>#REF!</v>
      </c>
      <c r="L736" s="64" t="e">
        <f>#REF!</f>
        <v>#REF!</v>
      </c>
      <c r="M736" s="61" t="e">
        <f>IF(L736&lt;0,Pricing!E736*$N$5,0)</f>
        <v>#REF!</v>
      </c>
      <c r="N736" s="61" t="e">
        <f t="shared" si="99"/>
        <v>#REF!</v>
      </c>
      <c r="O736" s="60" t="e">
        <f>#REF!</f>
        <v>#REF!</v>
      </c>
      <c r="P736" s="61" t="e">
        <f>IF(O736&lt;0,Pricing!E736*$Q$5,0)</f>
        <v>#REF!</v>
      </c>
      <c r="Q736" s="61" t="e">
        <f t="shared" si="100"/>
        <v>#REF!</v>
      </c>
      <c r="R736" s="60" t="e">
        <f>#REF!</f>
        <v>#REF!</v>
      </c>
      <c r="S736" s="61" t="e">
        <f>IF(R736&lt;0,Pricing!E736*$T$5,0)</f>
        <v>#REF!</v>
      </c>
      <c r="T736" s="61" t="e">
        <f t="shared" si="101"/>
        <v>#REF!</v>
      </c>
    </row>
    <row r="737" spans="1:20" x14ac:dyDescent="0.25">
      <c r="A737" s="58">
        <f t="shared" si="94"/>
        <v>44561.416666664896</v>
      </c>
      <c r="B737" s="59">
        <f t="shared" si="95"/>
        <v>44561.45833333156</v>
      </c>
      <c r="C737" s="60" t="e">
        <f>#REF!</f>
        <v>#REF!</v>
      </c>
      <c r="D737" s="61" t="e">
        <f>IF(C737&gt;0,Pricing!E737*$E$5,0)</f>
        <v>#REF!</v>
      </c>
      <c r="E737" s="61" t="e">
        <f t="shared" si="96"/>
        <v>#REF!</v>
      </c>
      <c r="F737" s="60" t="e">
        <f>#REF!</f>
        <v>#REF!</v>
      </c>
      <c r="G737" s="61" t="e">
        <f>IF(F737&gt;0,Pricing!E737*$H$5,0)</f>
        <v>#REF!</v>
      </c>
      <c r="H737" s="61" t="e">
        <f t="shared" si="97"/>
        <v>#REF!</v>
      </c>
      <c r="I737" s="62" t="e">
        <f>#REF!</f>
        <v>#REF!</v>
      </c>
      <c r="J737" s="61" t="e">
        <f>IF(I737&gt;0,Pricing!E737*$K$5,0)</f>
        <v>#REF!</v>
      </c>
      <c r="K737" s="63" t="e">
        <f t="shared" si="98"/>
        <v>#REF!</v>
      </c>
      <c r="L737" s="64" t="e">
        <f>#REF!</f>
        <v>#REF!</v>
      </c>
      <c r="M737" s="61" t="e">
        <f>IF(L737&lt;0,Pricing!E737*$N$5,0)</f>
        <v>#REF!</v>
      </c>
      <c r="N737" s="61" t="e">
        <f t="shared" si="99"/>
        <v>#REF!</v>
      </c>
      <c r="O737" s="60" t="e">
        <f>#REF!</f>
        <v>#REF!</v>
      </c>
      <c r="P737" s="61" t="e">
        <f>IF(O737&lt;0,Pricing!E737*$Q$5,0)</f>
        <v>#REF!</v>
      </c>
      <c r="Q737" s="61" t="e">
        <f t="shared" si="100"/>
        <v>#REF!</v>
      </c>
      <c r="R737" s="60" t="e">
        <f>#REF!</f>
        <v>#REF!</v>
      </c>
      <c r="S737" s="61" t="e">
        <f>IF(R737&lt;0,Pricing!E737*$T$5,0)</f>
        <v>#REF!</v>
      </c>
      <c r="T737" s="61" t="e">
        <f t="shared" si="101"/>
        <v>#REF!</v>
      </c>
    </row>
    <row r="738" spans="1:20" x14ac:dyDescent="0.25">
      <c r="A738" s="58">
        <f t="shared" si="94"/>
        <v>44561.45833333156</v>
      </c>
      <c r="B738" s="59">
        <f t="shared" si="95"/>
        <v>44561.499999998225</v>
      </c>
      <c r="C738" s="60" t="e">
        <f>#REF!</f>
        <v>#REF!</v>
      </c>
      <c r="D738" s="61" t="e">
        <f>IF(C738&gt;0,Pricing!E738*$E$5,0)</f>
        <v>#REF!</v>
      </c>
      <c r="E738" s="61" t="e">
        <f t="shared" si="96"/>
        <v>#REF!</v>
      </c>
      <c r="F738" s="60" t="e">
        <f>#REF!</f>
        <v>#REF!</v>
      </c>
      <c r="G738" s="61" t="e">
        <f>IF(F738&gt;0,Pricing!E738*$H$5,0)</f>
        <v>#REF!</v>
      </c>
      <c r="H738" s="61" t="e">
        <f t="shared" si="97"/>
        <v>#REF!</v>
      </c>
      <c r="I738" s="62" t="e">
        <f>#REF!</f>
        <v>#REF!</v>
      </c>
      <c r="J738" s="61" t="e">
        <f>IF(I738&gt;0,Pricing!E738*$K$5,0)</f>
        <v>#REF!</v>
      </c>
      <c r="K738" s="63" t="e">
        <f t="shared" si="98"/>
        <v>#REF!</v>
      </c>
      <c r="L738" s="64" t="e">
        <f>#REF!</f>
        <v>#REF!</v>
      </c>
      <c r="M738" s="61" t="e">
        <f>IF(L738&lt;0,Pricing!E738*$N$5,0)</f>
        <v>#REF!</v>
      </c>
      <c r="N738" s="61" t="e">
        <f t="shared" si="99"/>
        <v>#REF!</v>
      </c>
      <c r="O738" s="60" t="e">
        <f>#REF!</f>
        <v>#REF!</v>
      </c>
      <c r="P738" s="61" t="e">
        <f>IF(O738&lt;0,Pricing!E738*$Q$5,0)</f>
        <v>#REF!</v>
      </c>
      <c r="Q738" s="61" t="e">
        <f t="shared" si="100"/>
        <v>#REF!</v>
      </c>
      <c r="R738" s="60" t="e">
        <f>#REF!</f>
        <v>#REF!</v>
      </c>
      <c r="S738" s="61" t="e">
        <f>IF(R738&lt;0,Pricing!E738*$T$5,0)</f>
        <v>#REF!</v>
      </c>
      <c r="T738" s="61" t="e">
        <f t="shared" si="101"/>
        <v>#REF!</v>
      </c>
    </row>
    <row r="739" spans="1:20" x14ac:dyDescent="0.25">
      <c r="A739" s="58">
        <f t="shared" si="94"/>
        <v>44561.499999998225</v>
      </c>
      <c r="B739" s="59">
        <f t="shared" si="95"/>
        <v>44561.541666664889</v>
      </c>
      <c r="C739" s="60" t="e">
        <f>#REF!</f>
        <v>#REF!</v>
      </c>
      <c r="D739" s="61" t="e">
        <f>IF(C739&gt;0,Pricing!E739*$E$5,0)</f>
        <v>#REF!</v>
      </c>
      <c r="E739" s="61" t="e">
        <f t="shared" si="96"/>
        <v>#REF!</v>
      </c>
      <c r="F739" s="60" t="e">
        <f>#REF!</f>
        <v>#REF!</v>
      </c>
      <c r="G739" s="61" t="e">
        <f>IF(F739&gt;0,Pricing!E739*$H$5,0)</f>
        <v>#REF!</v>
      </c>
      <c r="H739" s="61" t="e">
        <f t="shared" si="97"/>
        <v>#REF!</v>
      </c>
      <c r="I739" s="62" t="e">
        <f>#REF!</f>
        <v>#REF!</v>
      </c>
      <c r="J739" s="61" t="e">
        <f>IF(I739&gt;0,Pricing!E739*$K$5,0)</f>
        <v>#REF!</v>
      </c>
      <c r="K739" s="63" t="e">
        <f t="shared" si="98"/>
        <v>#REF!</v>
      </c>
      <c r="L739" s="64" t="e">
        <f>#REF!</f>
        <v>#REF!</v>
      </c>
      <c r="M739" s="61" t="e">
        <f>IF(L739&lt;0,Pricing!E739*$N$5,0)</f>
        <v>#REF!</v>
      </c>
      <c r="N739" s="61" t="e">
        <f t="shared" si="99"/>
        <v>#REF!</v>
      </c>
      <c r="O739" s="60" t="e">
        <f>#REF!</f>
        <v>#REF!</v>
      </c>
      <c r="P739" s="61" t="e">
        <f>IF(O739&lt;0,Pricing!E739*$Q$5,0)</f>
        <v>#REF!</v>
      </c>
      <c r="Q739" s="61" t="e">
        <f t="shared" si="100"/>
        <v>#REF!</v>
      </c>
      <c r="R739" s="60" t="e">
        <f>#REF!</f>
        <v>#REF!</v>
      </c>
      <c r="S739" s="61" t="e">
        <f>IF(R739&lt;0,Pricing!E739*$T$5,0)</f>
        <v>#REF!</v>
      </c>
      <c r="T739" s="61" t="e">
        <f t="shared" si="101"/>
        <v>#REF!</v>
      </c>
    </row>
    <row r="740" spans="1:20" x14ac:dyDescent="0.25">
      <c r="A740" s="58">
        <f t="shared" si="94"/>
        <v>44561.541666664889</v>
      </c>
      <c r="B740" s="59">
        <f t="shared" si="95"/>
        <v>44561.583333331553</v>
      </c>
      <c r="C740" s="60" t="e">
        <f>#REF!</f>
        <v>#REF!</v>
      </c>
      <c r="D740" s="61" t="e">
        <f>IF(C740&gt;0,Pricing!E740*$E$5,0)</f>
        <v>#REF!</v>
      </c>
      <c r="E740" s="61" t="e">
        <f t="shared" si="96"/>
        <v>#REF!</v>
      </c>
      <c r="F740" s="60" t="e">
        <f>#REF!</f>
        <v>#REF!</v>
      </c>
      <c r="G740" s="61" t="e">
        <f>IF(F740&gt;0,Pricing!E740*$H$5,0)</f>
        <v>#REF!</v>
      </c>
      <c r="H740" s="61" t="e">
        <f t="shared" si="97"/>
        <v>#REF!</v>
      </c>
      <c r="I740" s="62" t="e">
        <f>#REF!</f>
        <v>#REF!</v>
      </c>
      <c r="J740" s="61" t="e">
        <f>IF(I740&gt;0,Pricing!E740*$K$5,0)</f>
        <v>#REF!</v>
      </c>
      <c r="K740" s="63" t="e">
        <f t="shared" si="98"/>
        <v>#REF!</v>
      </c>
      <c r="L740" s="64" t="e">
        <f>#REF!</f>
        <v>#REF!</v>
      </c>
      <c r="M740" s="61" t="e">
        <f>IF(L740&lt;0,Pricing!E740*$N$5,0)</f>
        <v>#REF!</v>
      </c>
      <c r="N740" s="61" t="e">
        <f t="shared" si="99"/>
        <v>#REF!</v>
      </c>
      <c r="O740" s="60" t="e">
        <f>#REF!</f>
        <v>#REF!</v>
      </c>
      <c r="P740" s="61" t="e">
        <f>IF(O740&lt;0,Pricing!E740*$Q$5,0)</f>
        <v>#REF!</v>
      </c>
      <c r="Q740" s="61" t="e">
        <f t="shared" si="100"/>
        <v>#REF!</v>
      </c>
      <c r="R740" s="60" t="e">
        <f>#REF!</f>
        <v>#REF!</v>
      </c>
      <c r="S740" s="61" t="e">
        <f>IF(R740&lt;0,Pricing!E740*$T$5,0)</f>
        <v>#REF!</v>
      </c>
      <c r="T740" s="61" t="e">
        <f t="shared" si="101"/>
        <v>#REF!</v>
      </c>
    </row>
    <row r="741" spans="1:20" x14ac:dyDescent="0.25">
      <c r="A741" s="58">
        <f t="shared" si="94"/>
        <v>44561.583333331553</v>
      </c>
      <c r="B741" s="59">
        <f t="shared" si="95"/>
        <v>44561.624999998217</v>
      </c>
      <c r="C741" s="60" t="e">
        <f>#REF!</f>
        <v>#REF!</v>
      </c>
      <c r="D741" s="61" t="e">
        <f>IF(C741&gt;0,Pricing!E741*$E$5,0)</f>
        <v>#REF!</v>
      </c>
      <c r="E741" s="61" t="e">
        <f t="shared" si="96"/>
        <v>#REF!</v>
      </c>
      <c r="F741" s="60" t="e">
        <f>#REF!</f>
        <v>#REF!</v>
      </c>
      <c r="G741" s="61" t="e">
        <f>IF(F741&gt;0,Pricing!E741*$H$5,0)</f>
        <v>#REF!</v>
      </c>
      <c r="H741" s="61" t="e">
        <f t="shared" si="97"/>
        <v>#REF!</v>
      </c>
      <c r="I741" s="62" t="e">
        <f>#REF!</f>
        <v>#REF!</v>
      </c>
      <c r="J741" s="61" t="e">
        <f>IF(I741&gt;0,Pricing!E741*$K$5,0)</f>
        <v>#REF!</v>
      </c>
      <c r="K741" s="63" t="e">
        <f t="shared" si="98"/>
        <v>#REF!</v>
      </c>
      <c r="L741" s="64" t="e">
        <f>#REF!</f>
        <v>#REF!</v>
      </c>
      <c r="M741" s="61" t="e">
        <f>IF(L741&lt;0,Pricing!E741*$N$5,0)</f>
        <v>#REF!</v>
      </c>
      <c r="N741" s="61" t="e">
        <f t="shared" si="99"/>
        <v>#REF!</v>
      </c>
      <c r="O741" s="60" t="e">
        <f>#REF!</f>
        <v>#REF!</v>
      </c>
      <c r="P741" s="61" t="e">
        <f>IF(O741&lt;0,Pricing!E741*$Q$5,0)</f>
        <v>#REF!</v>
      </c>
      <c r="Q741" s="61" t="e">
        <f t="shared" si="100"/>
        <v>#REF!</v>
      </c>
      <c r="R741" s="60" t="e">
        <f>#REF!</f>
        <v>#REF!</v>
      </c>
      <c r="S741" s="61" t="e">
        <f>IF(R741&lt;0,Pricing!E741*$T$5,0)</f>
        <v>#REF!</v>
      </c>
      <c r="T741" s="61" t="e">
        <f t="shared" si="101"/>
        <v>#REF!</v>
      </c>
    </row>
    <row r="742" spans="1:20" x14ac:dyDescent="0.25">
      <c r="A742" s="58">
        <f t="shared" si="94"/>
        <v>44561.624999998217</v>
      </c>
      <c r="B742" s="59">
        <f t="shared" si="95"/>
        <v>44561.666666664882</v>
      </c>
      <c r="C742" s="60" t="e">
        <f>#REF!</f>
        <v>#REF!</v>
      </c>
      <c r="D742" s="61" t="e">
        <f>IF(C742&gt;0,Pricing!E742*$E$5,0)</f>
        <v>#REF!</v>
      </c>
      <c r="E742" s="61" t="e">
        <f t="shared" si="96"/>
        <v>#REF!</v>
      </c>
      <c r="F742" s="60" t="e">
        <f>#REF!</f>
        <v>#REF!</v>
      </c>
      <c r="G742" s="61" t="e">
        <f>IF(F742&gt;0,Pricing!E742*$H$5,0)</f>
        <v>#REF!</v>
      </c>
      <c r="H742" s="61" t="e">
        <f t="shared" si="97"/>
        <v>#REF!</v>
      </c>
      <c r="I742" s="62" t="e">
        <f>#REF!</f>
        <v>#REF!</v>
      </c>
      <c r="J742" s="61" t="e">
        <f>IF(I742&gt;0,Pricing!E742*$K$5,0)</f>
        <v>#REF!</v>
      </c>
      <c r="K742" s="63" t="e">
        <f t="shared" si="98"/>
        <v>#REF!</v>
      </c>
      <c r="L742" s="64" t="e">
        <f>#REF!</f>
        <v>#REF!</v>
      </c>
      <c r="M742" s="61" t="e">
        <f>IF(L742&lt;0,Pricing!E742*$N$5,0)</f>
        <v>#REF!</v>
      </c>
      <c r="N742" s="61" t="e">
        <f t="shared" si="99"/>
        <v>#REF!</v>
      </c>
      <c r="O742" s="60" t="e">
        <f>#REF!</f>
        <v>#REF!</v>
      </c>
      <c r="P742" s="61" t="e">
        <f>IF(O742&lt;0,Pricing!E742*$Q$5,0)</f>
        <v>#REF!</v>
      </c>
      <c r="Q742" s="61" t="e">
        <f t="shared" si="100"/>
        <v>#REF!</v>
      </c>
      <c r="R742" s="60" t="e">
        <f>#REF!</f>
        <v>#REF!</v>
      </c>
      <c r="S742" s="61" t="e">
        <f>IF(R742&lt;0,Pricing!E742*$T$5,0)</f>
        <v>#REF!</v>
      </c>
      <c r="T742" s="61" t="e">
        <f t="shared" si="101"/>
        <v>#REF!</v>
      </c>
    </row>
    <row r="743" spans="1:20" x14ac:dyDescent="0.25">
      <c r="A743" s="58">
        <f t="shared" si="94"/>
        <v>44561.666666664882</v>
      </c>
      <c r="B743" s="59">
        <f t="shared" si="95"/>
        <v>44561.708333331546</v>
      </c>
      <c r="C743" s="60" t="e">
        <f>#REF!</f>
        <v>#REF!</v>
      </c>
      <c r="D743" s="61" t="e">
        <f>IF(C743&gt;0,Pricing!E743*$E$5,0)</f>
        <v>#REF!</v>
      </c>
      <c r="E743" s="61" t="e">
        <f t="shared" si="96"/>
        <v>#REF!</v>
      </c>
      <c r="F743" s="60" t="e">
        <f>#REF!</f>
        <v>#REF!</v>
      </c>
      <c r="G743" s="61" t="e">
        <f>IF(F743&gt;0,Pricing!E743*$H$5,0)</f>
        <v>#REF!</v>
      </c>
      <c r="H743" s="61" t="e">
        <f t="shared" si="97"/>
        <v>#REF!</v>
      </c>
      <c r="I743" s="62" t="e">
        <f>#REF!</f>
        <v>#REF!</v>
      </c>
      <c r="J743" s="61" t="e">
        <f>IF(I743&gt;0,Pricing!E743*$K$5,0)</f>
        <v>#REF!</v>
      </c>
      <c r="K743" s="63" t="e">
        <f t="shared" si="98"/>
        <v>#REF!</v>
      </c>
      <c r="L743" s="64" t="e">
        <f>#REF!</f>
        <v>#REF!</v>
      </c>
      <c r="M743" s="61" t="e">
        <f>IF(L743&lt;0,Pricing!E743*$N$5,0)</f>
        <v>#REF!</v>
      </c>
      <c r="N743" s="61" t="e">
        <f t="shared" si="99"/>
        <v>#REF!</v>
      </c>
      <c r="O743" s="60" t="e">
        <f>#REF!</f>
        <v>#REF!</v>
      </c>
      <c r="P743" s="61" t="e">
        <f>IF(O743&lt;0,Pricing!E743*$Q$5,0)</f>
        <v>#REF!</v>
      </c>
      <c r="Q743" s="61" t="e">
        <f t="shared" si="100"/>
        <v>#REF!</v>
      </c>
      <c r="R743" s="60" t="e">
        <f>#REF!</f>
        <v>#REF!</v>
      </c>
      <c r="S743" s="61" t="e">
        <f>IF(R743&lt;0,Pricing!E743*$T$5,0)</f>
        <v>#REF!</v>
      </c>
      <c r="T743" s="61" t="e">
        <f t="shared" si="101"/>
        <v>#REF!</v>
      </c>
    </row>
    <row r="744" spans="1:20" x14ac:dyDescent="0.25">
      <c r="A744" s="58">
        <f t="shared" si="94"/>
        <v>44561.708333331546</v>
      </c>
      <c r="B744" s="59">
        <f t="shared" si="95"/>
        <v>44561.74999999821</v>
      </c>
      <c r="C744" s="60" t="e">
        <f>#REF!</f>
        <v>#REF!</v>
      </c>
      <c r="D744" s="61" t="e">
        <f>IF(C744&gt;0,Pricing!E744*$E$5,0)</f>
        <v>#REF!</v>
      </c>
      <c r="E744" s="61" t="e">
        <f t="shared" si="96"/>
        <v>#REF!</v>
      </c>
      <c r="F744" s="60" t="e">
        <f>#REF!</f>
        <v>#REF!</v>
      </c>
      <c r="G744" s="61" t="e">
        <f>IF(F744&gt;0,Pricing!E744*$H$5,0)</f>
        <v>#REF!</v>
      </c>
      <c r="H744" s="61" t="e">
        <f t="shared" si="97"/>
        <v>#REF!</v>
      </c>
      <c r="I744" s="62" t="e">
        <f>#REF!</f>
        <v>#REF!</v>
      </c>
      <c r="J744" s="61" t="e">
        <f>IF(I744&gt;0,Pricing!E744*$K$5,0)</f>
        <v>#REF!</v>
      </c>
      <c r="K744" s="63" t="e">
        <f t="shared" si="98"/>
        <v>#REF!</v>
      </c>
      <c r="L744" s="64" t="e">
        <f>#REF!</f>
        <v>#REF!</v>
      </c>
      <c r="M744" s="61" t="e">
        <f>IF(L744&lt;0,Pricing!E744*$N$5,0)</f>
        <v>#REF!</v>
      </c>
      <c r="N744" s="61" t="e">
        <f t="shared" si="99"/>
        <v>#REF!</v>
      </c>
      <c r="O744" s="60" t="e">
        <f>#REF!</f>
        <v>#REF!</v>
      </c>
      <c r="P744" s="61" t="e">
        <f>IF(O744&lt;0,Pricing!E744*$Q$5,0)</f>
        <v>#REF!</v>
      </c>
      <c r="Q744" s="61" t="e">
        <f t="shared" si="100"/>
        <v>#REF!</v>
      </c>
      <c r="R744" s="60" t="e">
        <f>#REF!</f>
        <v>#REF!</v>
      </c>
      <c r="S744" s="61" t="e">
        <f>IF(R744&lt;0,Pricing!E744*$T$5,0)</f>
        <v>#REF!</v>
      </c>
      <c r="T744" s="61" t="e">
        <f t="shared" si="101"/>
        <v>#REF!</v>
      </c>
    </row>
    <row r="745" spans="1:20" x14ac:dyDescent="0.25">
      <c r="A745" s="58">
        <f t="shared" si="94"/>
        <v>44561.74999999821</v>
      </c>
      <c r="B745" s="59">
        <f t="shared" si="95"/>
        <v>44561.791666664874</v>
      </c>
      <c r="C745" s="60" t="e">
        <f>#REF!</f>
        <v>#REF!</v>
      </c>
      <c r="D745" s="61" t="e">
        <f>IF(C745&gt;0,Pricing!E745*$E$5,0)</f>
        <v>#REF!</v>
      </c>
      <c r="E745" s="61" t="e">
        <f t="shared" si="96"/>
        <v>#REF!</v>
      </c>
      <c r="F745" s="60" t="e">
        <f>#REF!</f>
        <v>#REF!</v>
      </c>
      <c r="G745" s="61" t="e">
        <f>IF(F745&gt;0,Pricing!E745*$H$5,0)</f>
        <v>#REF!</v>
      </c>
      <c r="H745" s="61" t="e">
        <f t="shared" si="97"/>
        <v>#REF!</v>
      </c>
      <c r="I745" s="62" t="e">
        <f>#REF!</f>
        <v>#REF!</v>
      </c>
      <c r="J745" s="61" t="e">
        <f>IF(I745&gt;0,Pricing!E745*$K$5,0)</f>
        <v>#REF!</v>
      </c>
      <c r="K745" s="63" t="e">
        <f t="shared" si="98"/>
        <v>#REF!</v>
      </c>
      <c r="L745" s="64" t="e">
        <f>#REF!</f>
        <v>#REF!</v>
      </c>
      <c r="M745" s="61" t="e">
        <f>IF(L745&lt;0,Pricing!E745*$N$5,0)</f>
        <v>#REF!</v>
      </c>
      <c r="N745" s="61" t="e">
        <f t="shared" si="99"/>
        <v>#REF!</v>
      </c>
      <c r="O745" s="60" t="e">
        <f>#REF!</f>
        <v>#REF!</v>
      </c>
      <c r="P745" s="61" t="e">
        <f>IF(O745&lt;0,Pricing!E745*$Q$5,0)</f>
        <v>#REF!</v>
      </c>
      <c r="Q745" s="61" t="e">
        <f t="shared" si="100"/>
        <v>#REF!</v>
      </c>
      <c r="R745" s="60" t="e">
        <f>#REF!</f>
        <v>#REF!</v>
      </c>
      <c r="S745" s="61" t="e">
        <f>IF(R745&lt;0,Pricing!E745*$T$5,0)</f>
        <v>#REF!</v>
      </c>
      <c r="T745" s="61" t="e">
        <f t="shared" si="101"/>
        <v>#REF!</v>
      </c>
    </row>
    <row r="746" spans="1:20" x14ac:dyDescent="0.25">
      <c r="A746" s="58">
        <f t="shared" si="94"/>
        <v>44561.791666664874</v>
      </c>
      <c r="B746" s="59">
        <f t="shared" si="95"/>
        <v>44561.833333331539</v>
      </c>
      <c r="C746" s="60" t="e">
        <f>#REF!</f>
        <v>#REF!</v>
      </c>
      <c r="D746" s="61" t="e">
        <f>IF(C746&gt;0,Pricing!E746*$E$5,0)</f>
        <v>#REF!</v>
      </c>
      <c r="E746" s="61" t="e">
        <f t="shared" si="96"/>
        <v>#REF!</v>
      </c>
      <c r="F746" s="60" t="e">
        <f>#REF!</f>
        <v>#REF!</v>
      </c>
      <c r="G746" s="61" t="e">
        <f>IF(F746&gt;0,Pricing!E746*$H$5,0)</f>
        <v>#REF!</v>
      </c>
      <c r="H746" s="61" t="e">
        <f t="shared" si="97"/>
        <v>#REF!</v>
      </c>
      <c r="I746" s="62" t="e">
        <f>#REF!</f>
        <v>#REF!</v>
      </c>
      <c r="J746" s="61" t="e">
        <f>IF(I746&gt;0,Pricing!E746*$K$5,0)</f>
        <v>#REF!</v>
      </c>
      <c r="K746" s="63" t="e">
        <f t="shared" si="98"/>
        <v>#REF!</v>
      </c>
      <c r="L746" s="64" t="e">
        <f>#REF!</f>
        <v>#REF!</v>
      </c>
      <c r="M746" s="61" t="e">
        <f>IF(L746&lt;0,Pricing!E746*$N$5,0)</f>
        <v>#REF!</v>
      </c>
      <c r="N746" s="61" t="e">
        <f t="shared" si="99"/>
        <v>#REF!</v>
      </c>
      <c r="O746" s="60" t="e">
        <f>#REF!</f>
        <v>#REF!</v>
      </c>
      <c r="P746" s="61" t="e">
        <f>IF(O746&lt;0,Pricing!E746*$Q$5,0)</f>
        <v>#REF!</v>
      </c>
      <c r="Q746" s="61" t="e">
        <f t="shared" si="100"/>
        <v>#REF!</v>
      </c>
      <c r="R746" s="60" t="e">
        <f>#REF!</f>
        <v>#REF!</v>
      </c>
      <c r="S746" s="61" t="e">
        <f>IF(R746&lt;0,Pricing!E746*$T$5,0)</f>
        <v>#REF!</v>
      </c>
      <c r="T746" s="61" t="e">
        <f t="shared" si="101"/>
        <v>#REF!</v>
      </c>
    </row>
    <row r="747" spans="1:20" x14ac:dyDescent="0.25">
      <c r="A747" s="58">
        <f t="shared" si="94"/>
        <v>44561.833333331539</v>
      </c>
      <c r="B747" s="59">
        <f t="shared" si="95"/>
        <v>44561.874999998203</v>
      </c>
      <c r="C747" s="60" t="e">
        <f>#REF!</f>
        <v>#REF!</v>
      </c>
      <c r="D747" s="61" t="e">
        <f>IF(C747&gt;0,Pricing!E747*$E$5,0)</f>
        <v>#REF!</v>
      </c>
      <c r="E747" s="61" t="e">
        <f t="shared" si="96"/>
        <v>#REF!</v>
      </c>
      <c r="F747" s="60" t="e">
        <f>#REF!</f>
        <v>#REF!</v>
      </c>
      <c r="G747" s="61" t="e">
        <f>IF(F747&gt;0,Pricing!E747*$H$5,0)</f>
        <v>#REF!</v>
      </c>
      <c r="H747" s="61" t="e">
        <f t="shared" si="97"/>
        <v>#REF!</v>
      </c>
      <c r="I747" s="62" t="e">
        <f>#REF!</f>
        <v>#REF!</v>
      </c>
      <c r="J747" s="61" t="e">
        <f>IF(I747&gt;0,Pricing!E747*$K$5,0)</f>
        <v>#REF!</v>
      </c>
      <c r="K747" s="63" t="e">
        <f t="shared" si="98"/>
        <v>#REF!</v>
      </c>
      <c r="L747" s="64" t="e">
        <f>#REF!</f>
        <v>#REF!</v>
      </c>
      <c r="M747" s="61" t="e">
        <f>IF(L747&lt;0,Pricing!E747*$N$5,0)</f>
        <v>#REF!</v>
      </c>
      <c r="N747" s="61" t="e">
        <f t="shared" si="99"/>
        <v>#REF!</v>
      </c>
      <c r="O747" s="60" t="e">
        <f>#REF!</f>
        <v>#REF!</v>
      </c>
      <c r="P747" s="61" t="e">
        <f>IF(O747&lt;0,Pricing!E747*$Q$5,0)</f>
        <v>#REF!</v>
      </c>
      <c r="Q747" s="61" t="e">
        <f t="shared" si="100"/>
        <v>#REF!</v>
      </c>
      <c r="R747" s="60" t="e">
        <f>#REF!</f>
        <v>#REF!</v>
      </c>
      <c r="S747" s="61" t="e">
        <f>IF(R747&lt;0,Pricing!E747*$T$5,0)</f>
        <v>#REF!</v>
      </c>
      <c r="T747" s="61" t="e">
        <f t="shared" si="101"/>
        <v>#REF!</v>
      </c>
    </row>
    <row r="748" spans="1:20" x14ac:dyDescent="0.25">
      <c r="A748" s="58">
        <f t="shared" si="94"/>
        <v>44561.874999998203</v>
      </c>
      <c r="B748" s="59">
        <f t="shared" si="95"/>
        <v>44561.916666664867</v>
      </c>
      <c r="C748" s="60" t="e">
        <f>#REF!</f>
        <v>#REF!</v>
      </c>
      <c r="D748" s="61" t="e">
        <f>IF(C748&gt;0,Pricing!E748*$E$5,0)</f>
        <v>#REF!</v>
      </c>
      <c r="E748" s="61" t="e">
        <f t="shared" si="96"/>
        <v>#REF!</v>
      </c>
      <c r="F748" s="60" t="e">
        <f>#REF!</f>
        <v>#REF!</v>
      </c>
      <c r="G748" s="61" t="e">
        <f>IF(F748&gt;0,Pricing!E748*$H$5,0)</f>
        <v>#REF!</v>
      </c>
      <c r="H748" s="61" t="e">
        <f t="shared" si="97"/>
        <v>#REF!</v>
      </c>
      <c r="I748" s="62" t="e">
        <f>#REF!</f>
        <v>#REF!</v>
      </c>
      <c r="J748" s="61" t="e">
        <f>IF(I748&gt;0,Pricing!E748*$K$5,0)</f>
        <v>#REF!</v>
      </c>
      <c r="K748" s="63" t="e">
        <f t="shared" si="98"/>
        <v>#REF!</v>
      </c>
      <c r="L748" s="64" t="e">
        <f>#REF!</f>
        <v>#REF!</v>
      </c>
      <c r="M748" s="61" t="e">
        <f>IF(L748&lt;0,Pricing!E748*$N$5,0)</f>
        <v>#REF!</v>
      </c>
      <c r="N748" s="61" t="e">
        <f t="shared" si="99"/>
        <v>#REF!</v>
      </c>
      <c r="O748" s="60" t="e">
        <f>#REF!</f>
        <v>#REF!</v>
      </c>
      <c r="P748" s="61" t="e">
        <f>IF(O748&lt;0,Pricing!E748*$Q$5,0)</f>
        <v>#REF!</v>
      </c>
      <c r="Q748" s="61" t="e">
        <f t="shared" si="100"/>
        <v>#REF!</v>
      </c>
      <c r="R748" s="60" t="e">
        <f>#REF!</f>
        <v>#REF!</v>
      </c>
      <c r="S748" s="61" t="e">
        <f>IF(R748&lt;0,Pricing!E748*$T$5,0)</f>
        <v>#REF!</v>
      </c>
      <c r="T748" s="61" t="e">
        <f t="shared" si="101"/>
        <v>#REF!</v>
      </c>
    </row>
    <row r="749" spans="1:20" x14ac:dyDescent="0.25">
      <c r="A749" s="58">
        <f t="shared" si="94"/>
        <v>44561.916666664867</v>
      </c>
      <c r="B749" s="59">
        <f t="shared" si="95"/>
        <v>44561.958333331531</v>
      </c>
      <c r="C749" s="60" t="e">
        <f>#REF!</f>
        <v>#REF!</v>
      </c>
      <c r="D749" s="61" t="e">
        <f>IF(C749&gt;0,Pricing!E749*$E$5,0)</f>
        <v>#REF!</v>
      </c>
      <c r="E749" s="61" t="e">
        <f t="shared" si="96"/>
        <v>#REF!</v>
      </c>
      <c r="F749" s="60" t="e">
        <f>#REF!</f>
        <v>#REF!</v>
      </c>
      <c r="G749" s="61" t="e">
        <f>IF(F749&gt;0,Pricing!E749*$H$5,0)</f>
        <v>#REF!</v>
      </c>
      <c r="H749" s="61" t="e">
        <f t="shared" si="97"/>
        <v>#REF!</v>
      </c>
      <c r="I749" s="62" t="e">
        <f>#REF!</f>
        <v>#REF!</v>
      </c>
      <c r="J749" s="61" t="e">
        <f>IF(I749&gt;0,Pricing!E749*$K$5,0)</f>
        <v>#REF!</v>
      </c>
      <c r="K749" s="63" t="e">
        <f t="shared" si="98"/>
        <v>#REF!</v>
      </c>
      <c r="L749" s="64" t="e">
        <f>#REF!</f>
        <v>#REF!</v>
      </c>
      <c r="M749" s="61" t="e">
        <f>IF(L749&lt;0,Pricing!E749*$N$5,0)</f>
        <v>#REF!</v>
      </c>
      <c r="N749" s="61" t="e">
        <f t="shared" si="99"/>
        <v>#REF!</v>
      </c>
      <c r="O749" s="60" t="e">
        <f>#REF!</f>
        <v>#REF!</v>
      </c>
      <c r="P749" s="61" t="e">
        <f>IF(O749&lt;0,Pricing!E749*$Q$5,0)</f>
        <v>#REF!</v>
      </c>
      <c r="Q749" s="61" t="e">
        <f t="shared" si="100"/>
        <v>#REF!</v>
      </c>
      <c r="R749" s="60" t="e">
        <f>#REF!</f>
        <v>#REF!</v>
      </c>
      <c r="S749" s="61" t="e">
        <f>IF(R749&lt;0,Pricing!E749*$T$5,0)</f>
        <v>#REF!</v>
      </c>
      <c r="T749" s="61" t="e">
        <f t="shared" si="101"/>
        <v>#REF!</v>
      </c>
    </row>
    <row r="750" spans="1:20" x14ac:dyDescent="0.25">
      <c r="A750" s="58">
        <f t="shared" si="94"/>
        <v>44561.958333331531</v>
      </c>
      <c r="B750" s="59">
        <f t="shared" si="95"/>
        <v>44561.999999998196</v>
      </c>
      <c r="C750" s="60" t="e">
        <f>#REF!</f>
        <v>#REF!</v>
      </c>
      <c r="D750" s="61" t="e">
        <f>IF(C750&gt;0,Pricing!E750*$E$5,0)</f>
        <v>#REF!</v>
      </c>
      <c r="E750" s="61" t="e">
        <f t="shared" si="96"/>
        <v>#REF!</v>
      </c>
      <c r="F750" s="60" t="e">
        <f>#REF!</f>
        <v>#REF!</v>
      </c>
      <c r="G750" s="61" t="e">
        <f>IF(F750&gt;0,Pricing!E750*$H$5,0)</f>
        <v>#REF!</v>
      </c>
      <c r="H750" s="61" t="e">
        <f t="shared" si="97"/>
        <v>#REF!</v>
      </c>
      <c r="I750" s="62" t="e">
        <f>#REF!</f>
        <v>#REF!</v>
      </c>
      <c r="J750" s="61" t="e">
        <f>IF(I750&gt;0,Pricing!E750*$K$5,0)</f>
        <v>#REF!</v>
      </c>
      <c r="K750" s="63" t="e">
        <f t="shared" si="98"/>
        <v>#REF!</v>
      </c>
      <c r="L750" s="64" t="e">
        <f>#REF!</f>
        <v>#REF!</v>
      </c>
      <c r="M750" s="61" t="e">
        <f>IF(L750&lt;0,Pricing!E750*$N$5,0)</f>
        <v>#REF!</v>
      </c>
      <c r="N750" s="61" t="e">
        <f t="shared" si="99"/>
        <v>#REF!</v>
      </c>
      <c r="O750" s="60" t="e">
        <f>#REF!</f>
        <v>#REF!</v>
      </c>
      <c r="P750" s="61" t="e">
        <f>IF(O750&lt;0,Pricing!E750*$Q$5,0)</f>
        <v>#REF!</v>
      </c>
      <c r="Q750" s="61" t="e">
        <f t="shared" si="100"/>
        <v>#REF!</v>
      </c>
      <c r="R750" s="60" t="e">
        <f>#REF!</f>
        <v>#REF!</v>
      </c>
      <c r="S750" s="61" t="e">
        <f>IF(R750&lt;0,Pricing!E750*$T$5,0)</f>
        <v>#REF!</v>
      </c>
      <c r="T750" s="61" t="e">
        <f t="shared" si="101"/>
        <v>#REF!</v>
      </c>
    </row>
    <row r="751" spans="1:20" x14ac:dyDescent="0.25">
      <c r="A751" s="58"/>
      <c r="B751" s="59"/>
      <c r="C751" s="134"/>
      <c r="D751" s="135"/>
      <c r="E751" s="135"/>
      <c r="F751" s="134"/>
      <c r="G751" s="135"/>
      <c r="H751" s="135"/>
      <c r="I751" s="136"/>
      <c r="J751" s="135"/>
      <c r="K751" s="135"/>
      <c r="L751" s="134"/>
      <c r="M751" s="135"/>
      <c r="N751" s="135"/>
      <c r="O751" s="134"/>
      <c r="P751" s="135"/>
      <c r="Q751" s="135"/>
      <c r="R751" s="134"/>
      <c r="S751" s="135"/>
      <c r="T751" s="135"/>
    </row>
    <row r="752" spans="1:20" x14ac:dyDescent="0.25">
      <c r="A752" s="58"/>
      <c r="B752" s="59"/>
      <c r="C752" s="134"/>
      <c r="D752" s="135"/>
      <c r="E752" s="135"/>
      <c r="F752" s="134"/>
      <c r="G752" s="135"/>
      <c r="H752" s="135"/>
      <c r="I752" s="136"/>
      <c r="J752" s="135"/>
      <c r="K752" s="135"/>
      <c r="L752" s="134"/>
      <c r="M752" s="135"/>
      <c r="N752" s="135"/>
      <c r="O752" s="134"/>
      <c r="P752" s="135"/>
      <c r="Q752" s="135"/>
      <c r="R752" s="134"/>
      <c r="S752" s="135"/>
      <c r="T752" s="135"/>
    </row>
    <row r="753" spans="2:20" x14ac:dyDescent="0.25">
      <c r="C753" s="65"/>
      <c r="D753" s="66"/>
      <c r="E753" s="66"/>
      <c r="F753" s="67"/>
      <c r="G753" s="68"/>
      <c r="H753" s="66"/>
      <c r="I753" s="69"/>
      <c r="J753" s="68"/>
      <c r="K753" s="66"/>
      <c r="L753" s="67"/>
      <c r="M753" s="68"/>
      <c r="N753" s="66"/>
      <c r="O753" s="67"/>
      <c r="P753" s="68"/>
      <c r="Q753" s="66"/>
      <c r="R753" s="67"/>
      <c r="S753" s="68"/>
      <c r="T753" s="66"/>
    </row>
    <row r="754" spans="2:20" x14ac:dyDescent="0.25">
      <c r="B754" s="32" t="s">
        <v>49</v>
      </c>
      <c r="C754" s="69" t="e">
        <f>SUM(C7:C753)</f>
        <v>#REF!</v>
      </c>
      <c r="D754" s="156"/>
      <c r="E754" s="156" t="e">
        <f>SUM(E7:E753)</f>
        <v>#REF!</v>
      </c>
      <c r="F754" s="69" t="e">
        <f>SUM(F7:F753)</f>
        <v>#REF!</v>
      </c>
      <c r="G754" s="156"/>
      <c r="H754" s="156" t="e">
        <f>SUM(H7:H753)</f>
        <v>#REF!</v>
      </c>
      <c r="I754" s="69" t="e">
        <f>SUM(I7:I753)</f>
        <v>#REF!</v>
      </c>
      <c r="J754" s="70"/>
      <c r="K754" s="156" t="e">
        <f>SUM(K7:K753)</f>
        <v>#REF!</v>
      </c>
      <c r="L754" s="69" t="e">
        <f>SUM(L7:L753)</f>
        <v>#REF!</v>
      </c>
      <c r="M754" s="156"/>
      <c r="N754" s="156" t="e">
        <f>SUM(N7:N753)</f>
        <v>#REF!</v>
      </c>
      <c r="O754" s="69" t="e">
        <f>SUM(O7:O753)</f>
        <v>#REF!</v>
      </c>
      <c r="P754" s="156"/>
      <c r="Q754" s="70" t="e">
        <f>SUM(Q7:Q753)</f>
        <v>#REF!</v>
      </c>
      <c r="R754" s="69" t="e">
        <f>SUM(R7:R753)</f>
        <v>#REF!</v>
      </c>
      <c r="S754" s="156"/>
      <c r="T754" s="156" t="e">
        <f>SUM(T7:T753)</f>
        <v>#REF!</v>
      </c>
    </row>
    <row r="756" spans="2:20" x14ac:dyDescent="0.25">
      <c r="C756" s="71"/>
      <c r="D756" s="72"/>
      <c r="E756" s="72"/>
      <c r="F756" s="71"/>
      <c r="G756" s="72"/>
      <c r="H756" s="72"/>
      <c r="I756" s="73"/>
      <c r="J756" s="72"/>
      <c r="K756" s="72"/>
      <c r="L756" s="71"/>
      <c r="M756" s="72"/>
      <c r="N756" s="72"/>
      <c r="O756" s="71"/>
      <c r="P756" s="72"/>
      <c r="Q756" s="72"/>
      <c r="R756" s="71"/>
      <c r="S756" s="72"/>
      <c r="T756" s="72"/>
    </row>
  </sheetData>
  <mergeCells count="10">
    <mergeCell ref="C4:K4"/>
    <mergeCell ref="L4:T4"/>
    <mergeCell ref="A5:A6"/>
    <mergeCell ref="B5:B6"/>
    <mergeCell ref="C5:D5"/>
    <mergeCell ref="F5:G5"/>
    <mergeCell ref="I5:J5"/>
    <mergeCell ref="L5:M5"/>
    <mergeCell ref="O5:P5"/>
    <mergeCell ref="R5:S5"/>
  </mergeCell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 tint="0.59999389629810485"/>
    <pageSetUpPr fitToPage="1"/>
  </sheetPr>
  <dimension ref="AA1:AF765"/>
  <sheetViews>
    <sheetView showGridLines="0" zoomScale="75" zoomScaleNormal="75" workbookViewId="0">
      <selection activeCell="W39" sqref="W39"/>
    </sheetView>
  </sheetViews>
  <sheetFormatPr defaultColWidth="9.109375" defaultRowHeight="13.2" x14ac:dyDescent="0.25"/>
  <cols>
    <col min="1" max="26" width="9.109375" style="4"/>
    <col min="27" max="27" width="11.109375" style="4" customWidth="1"/>
    <col min="28" max="28" width="17" style="4" customWidth="1"/>
    <col min="29" max="29" width="16.44140625" style="4" customWidth="1"/>
    <col min="30" max="30" width="16.5546875" style="4" customWidth="1"/>
    <col min="31" max="31" width="17.44140625" style="4" customWidth="1"/>
    <col min="32" max="32" width="17.88671875" style="124" customWidth="1"/>
    <col min="33" max="16384" width="9.109375" style="4"/>
  </cols>
  <sheetData>
    <row r="1" spans="27:32" x14ac:dyDescent="0.25">
      <c r="AA1" s="205" t="e">
        <f>#REF!</f>
        <v>#REF!</v>
      </c>
      <c r="AB1" s="205" t="e">
        <f>#REF!</f>
        <v>#REF!</v>
      </c>
      <c r="AC1" s="205" t="e">
        <f>#REF!</f>
        <v>#REF!</v>
      </c>
      <c r="AD1" s="205" t="e">
        <f>#REF!</f>
        <v>#REF!</v>
      </c>
      <c r="AE1" s="205" t="e">
        <f>#REF!</f>
        <v>#REF!</v>
      </c>
      <c r="AF1" s="205" t="e">
        <f>#REF!</f>
        <v>#REF!</v>
      </c>
    </row>
    <row r="2" spans="27:32" x14ac:dyDescent="0.25">
      <c r="AA2" s="205"/>
      <c r="AB2" s="205"/>
      <c r="AC2" s="205"/>
      <c r="AD2" s="205"/>
      <c r="AE2" s="205"/>
      <c r="AF2" s="205"/>
    </row>
    <row r="3" spans="27:32" x14ac:dyDescent="0.25">
      <c r="AA3" s="71" t="e">
        <f>#REF!</f>
        <v>#REF!</v>
      </c>
      <c r="AB3" s="71" t="e">
        <f>#REF!</f>
        <v>#REF!</v>
      </c>
      <c r="AC3" s="71" t="e">
        <f>#REF!+AB3</f>
        <v>#REF!</v>
      </c>
      <c r="AD3" s="72" t="e">
        <f>-#REF!</f>
        <v>#REF!</v>
      </c>
      <c r="AE3" s="72" t="e">
        <f>-#REF!+$AD3</f>
        <v>#REF!</v>
      </c>
      <c r="AF3" s="71" t="e">
        <f>#REF!</f>
        <v>#REF!</v>
      </c>
    </row>
    <row r="4" spans="27:32" x14ac:dyDescent="0.25">
      <c r="AA4" s="71" t="e">
        <f>#REF!</f>
        <v>#REF!</v>
      </c>
      <c r="AB4" s="71" t="e">
        <f>#REF!</f>
        <v>#REF!</v>
      </c>
      <c r="AC4" s="71" t="e">
        <f>#REF!+AB4</f>
        <v>#REF!</v>
      </c>
      <c r="AD4" s="72" t="e">
        <f>-#REF!</f>
        <v>#REF!</v>
      </c>
      <c r="AE4" s="72" t="e">
        <f>-#REF!+$AD4</f>
        <v>#REF!</v>
      </c>
      <c r="AF4" s="71" t="e">
        <f>#REF!</f>
        <v>#REF!</v>
      </c>
    </row>
    <row r="5" spans="27:32" x14ac:dyDescent="0.25">
      <c r="AA5" s="71" t="e">
        <f>#REF!</f>
        <v>#REF!</v>
      </c>
      <c r="AB5" s="71" t="e">
        <f>#REF!</f>
        <v>#REF!</v>
      </c>
      <c r="AC5" s="71" t="e">
        <f>#REF!+AB5</f>
        <v>#REF!</v>
      </c>
      <c r="AD5" s="72" t="e">
        <f>-#REF!</f>
        <v>#REF!</v>
      </c>
      <c r="AE5" s="72" t="e">
        <f>-#REF!+$AD5</f>
        <v>#REF!</v>
      </c>
      <c r="AF5" s="71" t="e">
        <f>#REF!</f>
        <v>#REF!</v>
      </c>
    </row>
    <row r="6" spans="27:32" x14ac:dyDescent="0.25">
      <c r="AA6" s="71" t="e">
        <f>#REF!</f>
        <v>#REF!</v>
      </c>
      <c r="AB6" s="71" t="e">
        <f>#REF!</f>
        <v>#REF!</v>
      </c>
      <c r="AC6" s="71" t="e">
        <f>#REF!+AB6</f>
        <v>#REF!</v>
      </c>
      <c r="AD6" s="72" t="e">
        <f>-#REF!</f>
        <v>#REF!</v>
      </c>
      <c r="AE6" s="72" t="e">
        <f>-#REF!+$AD6</f>
        <v>#REF!</v>
      </c>
      <c r="AF6" s="71" t="e">
        <f>#REF!</f>
        <v>#REF!</v>
      </c>
    </row>
    <row r="7" spans="27:32" x14ac:dyDescent="0.25">
      <c r="AA7" s="71" t="e">
        <f>#REF!</f>
        <v>#REF!</v>
      </c>
      <c r="AB7" s="71" t="e">
        <f>#REF!</f>
        <v>#REF!</v>
      </c>
      <c r="AC7" s="71" t="e">
        <f>#REF!+AB7</f>
        <v>#REF!</v>
      </c>
      <c r="AD7" s="72" t="e">
        <f>-#REF!</f>
        <v>#REF!</v>
      </c>
      <c r="AE7" s="72" t="e">
        <f>-#REF!+$AD7</f>
        <v>#REF!</v>
      </c>
      <c r="AF7" s="71" t="e">
        <f>#REF!</f>
        <v>#REF!</v>
      </c>
    </row>
    <row r="8" spans="27:32" x14ac:dyDescent="0.25">
      <c r="AA8" s="71" t="e">
        <f>#REF!</f>
        <v>#REF!</v>
      </c>
      <c r="AB8" s="71" t="e">
        <f>#REF!</f>
        <v>#REF!</v>
      </c>
      <c r="AC8" s="71" t="e">
        <f>#REF!+AB8</f>
        <v>#REF!</v>
      </c>
      <c r="AD8" s="72" t="e">
        <f>-#REF!</f>
        <v>#REF!</v>
      </c>
      <c r="AE8" s="72" t="e">
        <f>-#REF!+$AD8</f>
        <v>#REF!</v>
      </c>
      <c r="AF8" s="71" t="e">
        <f>#REF!</f>
        <v>#REF!</v>
      </c>
    </row>
    <row r="9" spans="27:32" x14ac:dyDescent="0.25">
      <c r="AA9" s="71" t="e">
        <f>#REF!</f>
        <v>#REF!</v>
      </c>
      <c r="AB9" s="71" t="e">
        <f>#REF!</f>
        <v>#REF!</v>
      </c>
      <c r="AC9" s="71" t="e">
        <f>#REF!+AB9</f>
        <v>#REF!</v>
      </c>
      <c r="AD9" s="72" t="e">
        <f>-#REF!</f>
        <v>#REF!</v>
      </c>
      <c r="AE9" s="72" t="e">
        <f>-#REF!+$AD9</f>
        <v>#REF!</v>
      </c>
      <c r="AF9" s="71" t="e">
        <f>#REF!</f>
        <v>#REF!</v>
      </c>
    </row>
    <row r="10" spans="27:32" x14ac:dyDescent="0.25">
      <c r="AA10" s="71" t="e">
        <f>#REF!</f>
        <v>#REF!</v>
      </c>
      <c r="AB10" s="71" t="e">
        <f>#REF!</f>
        <v>#REF!</v>
      </c>
      <c r="AC10" s="71" t="e">
        <f>#REF!+AB10</f>
        <v>#REF!</v>
      </c>
      <c r="AD10" s="72" t="e">
        <f>-#REF!</f>
        <v>#REF!</v>
      </c>
      <c r="AE10" s="72" t="e">
        <f>-#REF!+$AD10</f>
        <v>#REF!</v>
      </c>
      <c r="AF10" s="71" t="e">
        <f>#REF!</f>
        <v>#REF!</v>
      </c>
    </row>
    <row r="11" spans="27:32" x14ac:dyDescent="0.25">
      <c r="AA11" s="71" t="e">
        <f>#REF!</f>
        <v>#REF!</v>
      </c>
      <c r="AB11" s="71" t="e">
        <f>#REF!</f>
        <v>#REF!</v>
      </c>
      <c r="AC11" s="71" t="e">
        <f>#REF!+AB11</f>
        <v>#REF!</v>
      </c>
      <c r="AD11" s="72" t="e">
        <f>-#REF!</f>
        <v>#REF!</v>
      </c>
      <c r="AE11" s="72" t="e">
        <f>-#REF!+$AD11</f>
        <v>#REF!</v>
      </c>
      <c r="AF11" s="71" t="e">
        <f>#REF!</f>
        <v>#REF!</v>
      </c>
    </row>
    <row r="12" spans="27:32" x14ac:dyDescent="0.25">
      <c r="AA12" s="71" t="e">
        <f>#REF!</f>
        <v>#REF!</v>
      </c>
      <c r="AB12" s="71" t="e">
        <f>#REF!</f>
        <v>#REF!</v>
      </c>
      <c r="AC12" s="71" t="e">
        <f>#REF!+AB12</f>
        <v>#REF!</v>
      </c>
      <c r="AD12" s="72" t="e">
        <f>-#REF!</f>
        <v>#REF!</v>
      </c>
      <c r="AE12" s="72" t="e">
        <f>-#REF!+$AD12</f>
        <v>#REF!</v>
      </c>
      <c r="AF12" s="71" t="e">
        <f>#REF!</f>
        <v>#REF!</v>
      </c>
    </row>
    <row r="13" spans="27:32" x14ac:dyDescent="0.25">
      <c r="AA13" s="71" t="e">
        <f>#REF!</f>
        <v>#REF!</v>
      </c>
      <c r="AB13" s="71" t="e">
        <f>#REF!</f>
        <v>#REF!</v>
      </c>
      <c r="AC13" s="71" t="e">
        <f>#REF!+AB13</f>
        <v>#REF!</v>
      </c>
      <c r="AD13" s="72" t="e">
        <f>-#REF!</f>
        <v>#REF!</v>
      </c>
      <c r="AE13" s="72" t="e">
        <f>-#REF!+$AD13</f>
        <v>#REF!</v>
      </c>
      <c r="AF13" s="71" t="e">
        <f>#REF!</f>
        <v>#REF!</v>
      </c>
    </row>
    <row r="14" spans="27:32" x14ac:dyDescent="0.25">
      <c r="AA14" s="71" t="e">
        <f>#REF!</f>
        <v>#REF!</v>
      </c>
      <c r="AB14" s="71" t="e">
        <f>#REF!</f>
        <v>#REF!</v>
      </c>
      <c r="AC14" s="71" t="e">
        <f>#REF!+AB14</f>
        <v>#REF!</v>
      </c>
      <c r="AD14" s="72" t="e">
        <f>-#REF!</f>
        <v>#REF!</v>
      </c>
      <c r="AE14" s="72" t="e">
        <f>-#REF!+$AD14</f>
        <v>#REF!</v>
      </c>
      <c r="AF14" s="71" t="e">
        <f>#REF!</f>
        <v>#REF!</v>
      </c>
    </row>
    <row r="15" spans="27:32" x14ac:dyDescent="0.25">
      <c r="AA15" s="71" t="e">
        <f>#REF!</f>
        <v>#REF!</v>
      </c>
      <c r="AB15" s="71" t="e">
        <f>#REF!</f>
        <v>#REF!</v>
      </c>
      <c r="AC15" s="71" t="e">
        <f>#REF!+AB15</f>
        <v>#REF!</v>
      </c>
      <c r="AD15" s="72" t="e">
        <f>-#REF!</f>
        <v>#REF!</v>
      </c>
      <c r="AE15" s="72" t="e">
        <f>-#REF!+$AD15</f>
        <v>#REF!</v>
      </c>
      <c r="AF15" s="71" t="e">
        <f>#REF!</f>
        <v>#REF!</v>
      </c>
    </row>
    <row r="16" spans="27:32" x14ac:dyDescent="0.25">
      <c r="AA16" s="71" t="e">
        <f>#REF!</f>
        <v>#REF!</v>
      </c>
      <c r="AB16" s="71" t="e">
        <f>#REF!</f>
        <v>#REF!</v>
      </c>
      <c r="AC16" s="71" t="e">
        <f>#REF!+AB16</f>
        <v>#REF!</v>
      </c>
      <c r="AD16" s="72" t="e">
        <f>-#REF!</f>
        <v>#REF!</v>
      </c>
      <c r="AE16" s="72" t="e">
        <f>-#REF!+$AD16</f>
        <v>#REF!</v>
      </c>
      <c r="AF16" s="71" t="e">
        <f>#REF!</f>
        <v>#REF!</v>
      </c>
    </row>
    <row r="17" spans="27:32" x14ac:dyDescent="0.25">
      <c r="AA17" s="71" t="e">
        <f>#REF!</f>
        <v>#REF!</v>
      </c>
      <c r="AB17" s="71" t="e">
        <f>#REF!</f>
        <v>#REF!</v>
      </c>
      <c r="AC17" s="71" t="e">
        <f>#REF!+AB17</f>
        <v>#REF!</v>
      </c>
      <c r="AD17" s="72" t="e">
        <f>-#REF!</f>
        <v>#REF!</v>
      </c>
      <c r="AE17" s="72" t="e">
        <f>-#REF!+$AD17</f>
        <v>#REF!</v>
      </c>
      <c r="AF17" s="71" t="e">
        <f>#REF!</f>
        <v>#REF!</v>
      </c>
    </row>
    <row r="18" spans="27:32" x14ac:dyDescent="0.25">
      <c r="AA18" s="71" t="e">
        <f>#REF!</f>
        <v>#REF!</v>
      </c>
      <c r="AB18" s="71" t="e">
        <f>#REF!</f>
        <v>#REF!</v>
      </c>
      <c r="AC18" s="71" t="e">
        <f>#REF!+AB18</f>
        <v>#REF!</v>
      </c>
      <c r="AD18" s="72" t="e">
        <f>-#REF!</f>
        <v>#REF!</v>
      </c>
      <c r="AE18" s="72" t="e">
        <f>-#REF!+$AD18</f>
        <v>#REF!</v>
      </c>
      <c r="AF18" s="71" t="e">
        <f>#REF!</f>
        <v>#REF!</v>
      </c>
    </row>
    <row r="19" spans="27:32" x14ac:dyDescent="0.25">
      <c r="AA19" s="71" t="e">
        <f>#REF!</f>
        <v>#REF!</v>
      </c>
      <c r="AB19" s="71" t="e">
        <f>#REF!</f>
        <v>#REF!</v>
      </c>
      <c r="AC19" s="71" t="e">
        <f>#REF!+AB19</f>
        <v>#REF!</v>
      </c>
      <c r="AD19" s="72" t="e">
        <f>-#REF!</f>
        <v>#REF!</v>
      </c>
      <c r="AE19" s="72" t="e">
        <f>-#REF!+$AD19</f>
        <v>#REF!</v>
      </c>
      <c r="AF19" s="71" t="e">
        <f>#REF!</f>
        <v>#REF!</v>
      </c>
    </row>
    <row r="20" spans="27:32" x14ac:dyDescent="0.25">
      <c r="AA20" s="71" t="e">
        <f>#REF!</f>
        <v>#REF!</v>
      </c>
      <c r="AB20" s="71" t="e">
        <f>#REF!</f>
        <v>#REF!</v>
      </c>
      <c r="AC20" s="71" t="e">
        <f>#REF!+AB20</f>
        <v>#REF!</v>
      </c>
      <c r="AD20" s="72" t="e">
        <f>-#REF!</f>
        <v>#REF!</v>
      </c>
      <c r="AE20" s="72" t="e">
        <f>-#REF!+$AD20</f>
        <v>#REF!</v>
      </c>
      <c r="AF20" s="71" t="e">
        <f>#REF!</f>
        <v>#REF!</v>
      </c>
    </row>
    <row r="21" spans="27:32" x14ac:dyDescent="0.25">
      <c r="AA21" s="71" t="e">
        <f>#REF!</f>
        <v>#REF!</v>
      </c>
      <c r="AB21" s="71" t="e">
        <f>#REF!</f>
        <v>#REF!</v>
      </c>
      <c r="AC21" s="71" t="e">
        <f>#REF!+AB21</f>
        <v>#REF!</v>
      </c>
      <c r="AD21" s="72" t="e">
        <f>-#REF!</f>
        <v>#REF!</v>
      </c>
      <c r="AE21" s="72" t="e">
        <f>-#REF!+$AD21</f>
        <v>#REF!</v>
      </c>
      <c r="AF21" s="71" t="e">
        <f>#REF!</f>
        <v>#REF!</v>
      </c>
    </row>
    <row r="22" spans="27:32" x14ac:dyDescent="0.25">
      <c r="AA22" s="71" t="e">
        <f>#REF!</f>
        <v>#REF!</v>
      </c>
      <c r="AB22" s="71" t="e">
        <f>#REF!</f>
        <v>#REF!</v>
      </c>
      <c r="AC22" s="71" t="e">
        <f>#REF!+AB22</f>
        <v>#REF!</v>
      </c>
      <c r="AD22" s="72" t="e">
        <f>-#REF!</f>
        <v>#REF!</v>
      </c>
      <c r="AE22" s="72" t="e">
        <f>-#REF!+$AD22</f>
        <v>#REF!</v>
      </c>
      <c r="AF22" s="71" t="e">
        <f>#REF!</f>
        <v>#REF!</v>
      </c>
    </row>
    <row r="23" spans="27:32" x14ac:dyDescent="0.25">
      <c r="AA23" s="71" t="e">
        <f>#REF!</f>
        <v>#REF!</v>
      </c>
      <c r="AB23" s="71" t="e">
        <f>#REF!</f>
        <v>#REF!</v>
      </c>
      <c r="AC23" s="71" t="e">
        <f>#REF!+AB23</f>
        <v>#REF!</v>
      </c>
      <c r="AD23" s="72" t="e">
        <f>-#REF!</f>
        <v>#REF!</v>
      </c>
      <c r="AE23" s="72" t="e">
        <f>-#REF!+$AD23</f>
        <v>#REF!</v>
      </c>
      <c r="AF23" s="71" t="e">
        <f>#REF!</f>
        <v>#REF!</v>
      </c>
    </row>
    <row r="24" spans="27:32" x14ac:dyDescent="0.25">
      <c r="AA24" s="71" t="e">
        <f>#REF!</f>
        <v>#REF!</v>
      </c>
      <c r="AB24" s="71" t="e">
        <f>#REF!</f>
        <v>#REF!</v>
      </c>
      <c r="AC24" s="71" t="e">
        <f>#REF!+AB24</f>
        <v>#REF!</v>
      </c>
      <c r="AD24" s="72" t="e">
        <f>-#REF!</f>
        <v>#REF!</v>
      </c>
      <c r="AE24" s="72" t="e">
        <f>-#REF!+$AD24</f>
        <v>#REF!</v>
      </c>
      <c r="AF24" s="71" t="e">
        <f>#REF!</f>
        <v>#REF!</v>
      </c>
    </row>
    <row r="25" spans="27:32" x14ac:dyDescent="0.25">
      <c r="AA25" s="71" t="e">
        <f>#REF!</f>
        <v>#REF!</v>
      </c>
      <c r="AB25" s="71" t="e">
        <f>#REF!</f>
        <v>#REF!</v>
      </c>
      <c r="AC25" s="71" t="e">
        <f>#REF!+AB25</f>
        <v>#REF!</v>
      </c>
      <c r="AD25" s="72" t="e">
        <f>-#REF!</f>
        <v>#REF!</v>
      </c>
      <c r="AE25" s="72" t="e">
        <f>-#REF!+$AD25</f>
        <v>#REF!</v>
      </c>
      <c r="AF25" s="71" t="e">
        <f>#REF!</f>
        <v>#REF!</v>
      </c>
    </row>
    <row r="26" spans="27:32" x14ac:dyDescent="0.25">
      <c r="AA26" s="71" t="e">
        <f>#REF!</f>
        <v>#REF!</v>
      </c>
      <c r="AB26" s="71" t="e">
        <f>#REF!</f>
        <v>#REF!</v>
      </c>
      <c r="AC26" s="71" t="e">
        <f>#REF!+AB26</f>
        <v>#REF!</v>
      </c>
      <c r="AD26" s="72" t="e">
        <f>-#REF!</f>
        <v>#REF!</v>
      </c>
      <c r="AE26" s="72" t="e">
        <f>-#REF!+$AD26</f>
        <v>#REF!</v>
      </c>
      <c r="AF26" s="71" t="e">
        <f>#REF!</f>
        <v>#REF!</v>
      </c>
    </row>
    <row r="27" spans="27:32" x14ac:dyDescent="0.25">
      <c r="AA27" s="71" t="e">
        <f>#REF!</f>
        <v>#REF!</v>
      </c>
      <c r="AB27" s="71" t="e">
        <f>#REF!</f>
        <v>#REF!</v>
      </c>
      <c r="AC27" s="71" t="e">
        <f>#REF!+AB27</f>
        <v>#REF!</v>
      </c>
      <c r="AD27" s="72" t="e">
        <f>-#REF!</f>
        <v>#REF!</v>
      </c>
      <c r="AE27" s="72" t="e">
        <f>-#REF!+$AD27</f>
        <v>#REF!</v>
      </c>
      <c r="AF27" s="71" t="e">
        <f>#REF!</f>
        <v>#REF!</v>
      </c>
    </row>
    <row r="28" spans="27:32" x14ac:dyDescent="0.25">
      <c r="AA28" s="71" t="e">
        <f>#REF!</f>
        <v>#REF!</v>
      </c>
      <c r="AB28" s="71" t="e">
        <f>#REF!</f>
        <v>#REF!</v>
      </c>
      <c r="AC28" s="71" t="e">
        <f>#REF!+AB28</f>
        <v>#REF!</v>
      </c>
      <c r="AD28" s="72" t="e">
        <f>-#REF!</f>
        <v>#REF!</v>
      </c>
      <c r="AE28" s="72" t="e">
        <f>-#REF!+$AD28</f>
        <v>#REF!</v>
      </c>
      <c r="AF28" s="71" t="e">
        <f>#REF!</f>
        <v>#REF!</v>
      </c>
    </row>
    <row r="29" spans="27:32" x14ac:dyDescent="0.25">
      <c r="AA29" s="71" t="e">
        <f>#REF!</f>
        <v>#REF!</v>
      </c>
      <c r="AB29" s="71" t="e">
        <f>#REF!</f>
        <v>#REF!</v>
      </c>
      <c r="AC29" s="71" t="e">
        <f>#REF!+AB29</f>
        <v>#REF!</v>
      </c>
      <c r="AD29" s="72" t="e">
        <f>-#REF!</f>
        <v>#REF!</v>
      </c>
      <c r="AE29" s="72" t="e">
        <f>-#REF!+$AD29</f>
        <v>#REF!</v>
      </c>
      <c r="AF29" s="71" t="e">
        <f>#REF!</f>
        <v>#REF!</v>
      </c>
    </row>
    <row r="30" spans="27:32" x14ac:dyDescent="0.25">
      <c r="AA30" s="71" t="e">
        <f>#REF!</f>
        <v>#REF!</v>
      </c>
      <c r="AB30" s="71" t="e">
        <f>#REF!</f>
        <v>#REF!</v>
      </c>
      <c r="AC30" s="71" t="e">
        <f>#REF!+AB30</f>
        <v>#REF!</v>
      </c>
      <c r="AD30" s="72" t="e">
        <f>-#REF!</f>
        <v>#REF!</v>
      </c>
      <c r="AE30" s="72" t="e">
        <f>-#REF!+$AD30</f>
        <v>#REF!</v>
      </c>
      <c r="AF30" s="71" t="e">
        <f>#REF!</f>
        <v>#REF!</v>
      </c>
    </row>
    <row r="31" spans="27:32" x14ac:dyDescent="0.25">
      <c r="AA31" s="71" t="e">
        <f>#REF!</f>
        <v>#REF!</v>
      </c>
      <c r="AB31" s="71" t="e">
        <f>#REF!</f>
        <v>#REF!</v>
      </c>
      <c r="AC31" s="71" t="e">
        <f>#REF!+AB31</f>
        <v>#REF!</v>
      </c>
      <c r="AD31" s="72" t="e">
        <f>-#REF!</f>
        <v>#REF!</v>
      </c>
      <c r="AE31" s="72" t="e">
        <f>-#REF!+$AD31</f>
        <v>#REF!</v>
      </c>
      <c r="AF31" s="71" t="e">
        <f>#REF!</f>
        <v>#REF!</v>
      </c>
    </row>
    <row r="32" spans="27:32" x14ac:dyDescent="0.25">
      <c r="AA32" s="71" t="e">
        <f>#REF!</f>
        <v>#REF!</v>
      </c>
      <c r="AB32" s="71" t="e">
        <f>#REF!</f>
        <v>#REF!</v>
      </c>
      <c r="AC32" s="71" t="e">
        <f>#REF!+AB32</f>
        <v>#REF!</v>
      </c>
      <c r="AD32" s="72" t="e">
        <f>-#REF!</f>
        <v>#REF!</v>
      </c>
      <c r="AE32" s="72" t="e">
        <f>-#REF!+$AD32</f>
        <v>#REF!</v>
      </c>
      <c r="AF32" s="71" t="e">
        <f>#REF!</f>
        <v>#REF!</v>
      </c>
    </row>
    <row r="33" spans="27:32" x14ac:dyDescent="0.25">
      <c r="AA33" s="71" t="e">
        <f>#REF!</f>
        <v>#REF!</v>
      </c>
      <c r="AB33" s="71" t="e">
        <f>#REF!</f>
        <v>#REF!</v>
      </c>
      <c r="AC33" s="71" t="e">
        <f>#REF!+AB33</f>
        <v>#REF!</v>
      </c>
      <c r="AD33" s="72" t="e">
        <f>-#REF!</f>
        <v>#REF!</v>
      </c>
      <c r="AE33" s="72" t="e">
        <f>-#REF!+$AD33</f>
        <v>#REF!</v>
      </c>
      <c r="AF33" s="71" t="e">
        <f>#REF!</f>
        <v>#REF!</v>
      </c>
    </row>
    <row r="34" spans="27:32" x14ac:dyDescent="0.25">
      <c r="AA34" s="71" t="e">
        <f>#REF!</f>
        <v>#REF!</v>
      </c>
      <c r="AB34" s="71" t="e">
        <f>#REF!</f>
        <v>#REF!</v>
      </c>
      <c r="AC34" s="71" t="e">
        <f>#REF!+AB34</f>
        <v>#REF!</v>
      </c>
      <c r="AD34" s="72" t="e">
        <f>-#REF!</f>
        <v>#REF!</v>
      </c>
      <c r="AE34" s="72" t="e">
        <f>-#REF!+$AD34</f>
        <v>#REF!</v>
      </c>
      <c r="AF34" s="71" t="e">
        <f>#REF!</f>
        <v>#REF!</v>
      </c>
    </row>
    <row r="35" spans="27:32" x14ac:dyDescent="0.25">
      <c r="AA35" s="71" t="e">
        <f>#REF!</f>
        <v>#REF!</v>
      </c>
      <c r="AB35" s="71" t="e">
        <f>#REF!</f>
        <v>#REF!</v>
      </c>
      <c r="AC35" s="71" t="e">
        <f>#REF!+AB35</f>
        <v>#REF!</v>
      </c>
      <c r="AD35" s="72" t="e">
        <f>-#REF!</f>
        <v>#REF!</v>
      </c>
      <c r="AE35" s="72" t="e">
        <f>-#REF!+$AD35</f>
        <v>#REF!</v>
      </c>
      <c r="AF35" s="71" t="e">
        <f>#REF!</f>
        <v>#REF!</v>
      </c>
    </row>
    <row r="36" spans="27:32" x14ac:dyDescent="0.25">
      <c r="AA36" s="71" t="e">
        <f>#REF!</f>
        <v>#REF!</v>
      </c>
      <c r="AB36" s="71" t="e">
        <f>#REF!</f>
        <v>#REF!</v>
      </c>
      <c r="AC36" s="71" t="e">
        <f>#REF!+AB36</f>
        <v>#REF!</v>
      </c>
      <c r="AD36" s="72" t="e">
        <f>-#REF!</f>
        <v>#REF!</v>
      </c>
      <c r="AE36" s="72" t="e">
        <f>-#REF!+$AD36</f>
        <v>#REF!</v>
      </c>
      <c r="AF36" s="71" t="e">
        <f>#REF!</f>
        <v>#REF!</v>
      </c>
    </row>
    <row r="37" spans="27:32" x14ac:dyDescent="0.25">
      <c r="AA37" s="71" t="e">
        <f>#REF!</f>
        <v>#REF!</v>
      </c>
      <c r="AB37" s="71" t="e">
        <f>#REF!</f>
        <v>#REF!</v>
      </c>
      <c r="AC37" s="71" t="e">
        <f>#REF!+AB37</f>
        <v>#REF!</v>
      </c>
      <c r="AD37" s="72" t="e">
        <f>-#REF!</f>
        <v>#REF!</v>
      </c>
      <c r="AE37" s="72" t="e">
        <f>-#REF!+$AD37</f>
        <v>#REF!</v>
      </c>
      <c r="AF37" s="71" t="e">
        <f>#REF!</f>
        <v>#REF!</v>
      </c>
    </row>
    <row r="38" spans="27:32" x14ac:dyDescent="0.25">
      <c r="AA38" s="71" t="e">
        <f>#REF!</f>
        <v>#REF!</v>
      </c>
      <c r="AB38" s="71" t="e">
        <f>#REF!</f>
        <v>#REF!</v>
      </c>
      <c r="AC38" s="71" t="e">
        <f>#REF!+AB38</f>
        <v>#REF!</v>
      </c>
      <c r="AD38" s="72" t="e">
        <f>-#REF!</f>
        <v>#REF!</v>
      </c>
      <c r="AE38" s="72" t="e">
        <f>-#REF!+$AD38</f>
        <v>#REF!</v>
      </c>
      <c r="AF38" s="71" t="e">
        <f>#REF!</f>
        <v>#REF!</v>
      </c>
    </row>
    <row r="39" spans="27:32" x14ac:dyDescent="0.25">
      <c r="AA39" s="71" t="e">
        <f>#REF!</f>
        <v>#REF!</v>
      </c>
      <c r="AB39" s="71" t="e">
        <f>#REF!</f>
        <v>#REF!</v>
      </c>
      <c r="AC39" s="71" t="e">
        <f>#REF!+AB39</f>
        <v>#REF!</v>
      </c>
      <c r="AD39" s="72" t="e">
        <f>-#REF!</f>
        <v>#REF!</v>
      </c>
      <c r="AE39" s="72" t="e">
        <f>-#REF!+$AD39</f>
        <v>#REF!</v>
      </c>
      <c r="AF39" s="71" t="e">
        <f>#REF!</f>
        <v>#REF!</v>
      </c>
    </row>
    <row r="40" spans="27:32" x14ac:dyDescent="0.25">
      <c r="AA40" s="71" t="e">
        <f>#REF!</f>
        <v>#REF!</v>
      </c>
      <c r="AB40" s="71" t="e">
        <f>#REF!</f>
        <v>#REF!</v>
      </c>
      <c r="AC40" s="71" t="e">
        <f>#REF!+AB40</f>
        <v>#REF!</v>
      </c>
      <c r="AD40" s="72" t="e">
        <f>-#REF!</f>
        <v>#REF!</v>
      </c>
      <c r="AE40" s="72" t="e">
        <f>-#REF!+$AD40</f>
        <v>#REF!</v>
      </c>
      <c r="AF40" s="71" t="e">
        <f>#REF!</f>
        <v>#REF!</v>
      </c>
    </row>
    <row r="41" spans="27:32" x14ac:dyDescent="0.25">
      <c r="AA41" s="71" t="e">
        <f>#REF!</f>
        <v>#REF!</v>
      </c>
      <c r="AB41" s="71" t="e">
        <f>#REF!</f>
        <v>#REF!</v>
      </c>
      <c r="AC41" s="71" t="e">
        <f>#REF!+AB41</f>
        <v>#REF!</v>
      </c>
      <c r="AD41" s="72" t="e">
        <f>-#REF!</f>
        <v>#REF!</v>
      </c>
      <c r="AE41" s="72" t="e">
        <f>-#REF!+$AD41</f>
        <v>#REF!</v>
      </c>
      <c r="AF41" s="71" t="e">
        <f>#REF!</f>
        <v>#REF!</v>
      </c>
    </row>
    <row r="42" spans="27:32" x14ac:dyDescent="0.25">
      <c r="AA42" s="71" t="e">
        <f>#REF!</f>
        <v>#REF!</v>
      </c>
      <c r="AB42" s="71" t="e">
        <f>#REF!</f>
        <v>#REF!</v>
      </c>
      <c r="AC42" s="71" t="e">
        <f>#REF!+AB42</f>
        <v>#REF!</v>
      </c>
      <c r="AD42" s="72" t="e">
        <f>-#REF!</f>
        <v>#REF!</v>
      </c>
      <c r="AE42" s="72" t="e">
        <f>-#REF!+$AD42</f>
        <v>#REF!</v>
      </c>
      <c r="AF42" s="71" t="e">
        <f>#REF!</f>
        <v>#REF!</v>
      </c>
    </row>
    <row r="43" spans="27:32" x14ac:dyDescent="0.25">
      <c r="AA43" s="71" t="e">
        <f>#REF!</f>
        <v>#REF!</v>
      </c>
      <c r="AB43" s="71" t="e">
        <f>#REF!</f>
        <v>#REF!</v>
      </c>
      <c r="AC43" s="71" t="e">
        <f>#REF!+AB43</f>
        <v>#REF!</v>
      </c>
      <c r="AD43" s="72" t="e">
        <f>-#REF!</f>
        <v>#REF!</v>
      </c>
      <c r="AE43" s="72" t="e">
        <f>-#REF!+$AD43</f>
        <v>#REF!</v>
      </c>
      <c r="AF43" s="71" t="e">
        <f>#REF!</f>
        <v>#REF!</v>
      </c>
    </row>
    <row r="44" spans="27:32" x14ac:dyDescent="0.25">
      <c r="AA44" s="71" t="e">
        <f>#REF!</f>
        <v>#REF!</v>
      </c>
      <c r="AB44" s="71" t="e">
        <f>#REF!</f>
        <v>#REF!</v>
      </c>
      <c r="AC44" s="71" t="e">
        <f>#REF!+AB44</f>
        <v>#REF!</v>
      </c>
      <c r="AD44" s="72" t="e">
        <f>-#REF!</f>
        <v>#REF!</v>
      </c>
      <c r="AE44" s="72" t="e">
        <f>-#REF!+$AD44</f>
        <v>#REF!</v>
      </c>
      <c r="AF44" s="71" t="e">
        <f>#REF!</f>
        <v>#REF!</v>
      </c>
    </row>
    <row r="45" spans="27:32" x14ac:dyDescent="0.25">
      <c r="AA45" s="71" t="e">
        <f>#REF!</f>
        <v>#REF!</v>
      </c>
      <c r="AB45" s="71" t="e">
        <f>#REF!</f>
        <v>#REF!</v>
      </c>
      <c r="AC45" s="71" t="e">
        <f>#REF!+AB45</f>
        <v>#REF!</v>
      </c>
      <c r="AD45" s="72" t="e">
        <f>-#REF!</f>
        <v>#REF!</v>
      </c>
      <c r="AE45" s="72" t="e">
        <f>-#REF!+$AD45</f>
        <v>#REF!</v>
      </c>
      <c r="AF45" s="71" t="e">
        <f>#REF!</f>
        <v>#REF!</v>
      </c>
    </row>
    <row r="46" spans="27:32" x14ac:dyDescent="0.25">
      <c r="AA46" s="71" t="e">
        <f>#REF!</f>
        <v>#REF!</v>
      </c>
      <c r="AB46" s="71" t="e">
        <f>#REF!</f>
        <v>#REF!</v>
      </c>
      <c r="AC46" s="71" t="e">
        <f>#REF!+AB46</f>
        <v>#REF!</v>
      </c>
      <c r="AD46" s="72" t="e">
        <f>-#REF!</f>
        <v>#REF!</v>
      </c>
      <c r="AE46" s="72" t="e">
        <f>-#REF!+$AD46</f>
        <v>#REF!</v>
      </c>
      <c r="AF46" s="71" t="e">
        <f>#REF!</f>
        <v>#REF!</v>
      </c>
    </row>
    <row r="47" spans="27:32" x14ac:dyDescent="0.25">
      <c r="AA47" s="71" t="e">
        <f>#REF!</f>
        <v>#REF!</v>
      </c>
      <c r="AB47" s="71" t="e">
        <f>#REF!</f>
        <v>#REF!</v>
      </c>
      <c r="AC47" s="71" t="e">
        <f>#REF!+AB47</f>
        <v>#REF!</v>
      </c>
      <c r="AD47" s="72" t="e">
        <f>-#REF!</f>
        <v>#REF!</v>
      </c>
      <c r="AE47" s="72" t="e">
        <f>-#REF!+$AD47</f>
        <v>#REF!</v>
      </c>
      <c r="AF47" s="71" t="e">
        <f>#REF!</f>
        <v>#REF!</v>
      </c>
    </row>
    <row r="48" spans="27:32" x14ac:dyDescent="0.25">
      <c r="AA48" s="71" t="e">
        <f>#REF!</f>
        <v>#REF!</v>
      </c>
      <c r="AB48" s="71" t="e">
        <f>#REF!</f>
        <v>#REF!</v>
      </c>
      <c r="AC48" s="71" t="e">
        <f>#REF!+AB48</f>
        <v>#REF!</v>
      </c>
      <c r="AD48" s="72" t="e">
        <f>-#REF!</f>
        <v>#REF!</v>
      </c>
      <c r="AE48" s="72" t="e">
        <f>-#REF!+$AD48</f>
        <v>#REF!</v>
      </c>
      <c r="AF48" s="71" t="e">
        <f>#REF!</f>
        <v>#REF!</v>
      </c>
    </row>
    <row r="49" spans="27:32" x14ac:dyDescent="0.25">
      <c r="AA49" s="71" t="e">
        <f>#REF!</f>
        <v>#REF!</v>
      </c>
      <c r="AB49" s="71" t="e">
        <f>#REF!</f>
        <v>#REF!</v>
      </c>
      <c r="AC49" s="71" t="e">
        <f>#REF!+AB49</f>
        <v>#REF!</v>
      </c>
      <c r="AD49" s="72" t="e">
        <f>-#REF!</f>
        <v>#REF!</v>
      </c>
      <c r="AE49" s="72" t="e">
        <f>-#REF!+$AD49</f>
        <v>#REF!</v>
      </c>
      <c r="AF49" s="71" t="e">
        <f>#REF!</f>
        <v>#REF!</v>
      </c>
    </row>
    <row r="50" spans="27:32" x14ac:dyDescent="0.25">
      <c r="AA50" s="71" t="e">
        <f>#REF!</f>
        <v>#REF!</v>
      </c>
      <c r="AB50" s="71" t="e">
        <f>#REF!</f>
        <v>#REF!</v>
      </c>
      <c r="AC50" s="71" t="e">
        <f>#REF!+AB50</f>
        <v>#REF!</v>
      </c>
      <c r="AD50" s="72" t="e">
        <f>-#REF!</f>
        <v>#REF!</v>
      </c>
      <c r="AE50" s="72" t="e">
        <f>-#REF!+$AD50</f>
        <v>#REF!</v>
      </c>
      <c r="AF50" s="71" t="e">
        <f>#REF!</f>
        <v>#REF!</v>
      </c>
    </row>
    <row r="51" spans="27:32" x14ac:dyDescent="0.25">
      <c r="AA51" s="71" t="e">
        <f>#REF!</f>
        <v>#REF!</v>
      </c>
      <c r="AB51" s="71" t="e">
        <f>#REF!</f>
        <v>#REF!</v>
      </c>
      <c r="AC51" s="71" t="e">
        <f>#REF!+AB51</f>
        <v>#REF!</v>
      </c>
      <c r="AD51" s="72" t="e">
        <f>-#REF!</f>
        <v>#REF!</v>
      </c>
      <c r="AE51" s="72" t="e">
        <f>-#REF!+$AD51</f>
        <v>#REF!</v>
      </c>
      <c r="AF51" s="71" t="e">
        <f>#REF!</f>
        <v>#REF!</v>
      </c>
    </row>
    <row r="52" spans="27:32" x14ac:dyDescent="0.25">
      <c r="AA52" s="71" t="e">
        <f>#REF!</f>
        <v>#REF!</v>
      </c>
      <c r="AB52" s="71" t="e">
        <f>#REF!</f>
        <v>#REF!</v>
      </c>
      <c r="AC52" s="71" t="e">
        <f>#REF!+AB52</f>
        <v>#REF!</v>
      </c>
      <c r="AD52" s="72" t="e">
        <f>-#REF!</f>
        <v>#REF!</v>
      </c>
      <c r="AE52" s="72" t="e">
        <f>-#REF!+$AD52</f>
        <v>#REF!</v>
      </c>
      <c r="AF52" s="71" t="e">
        <f>#REF!</f>
        <v>#REF!</v>
      </c>
    </row>
    <row r="53" spans="27:32" x14ac:dyDescent="0.25">
      <c r="AA53" s="71" t="e">
        <f>#REF!</f>
        <v>#REF!</v>
      </c>
      <c r="AB53" s="71" t="e">
        <f>#REF!</f>
        <v>#REF!</v>
      </c>
      <c r="AC53" s="71" t="e">
        <f>#REF!+AB53</f>
        <v>#REF!</v>
      </c>
      <c r="AD53" s="72" t="e">
        <f>-#REF!</f>
        <v>#REF!</v>
      </c>
      <c r="AE53" s="72" t="e">
        <f>-#REF!+$AD53</f>
        <v>#REF!</v>
      </c>
      <c r="AF53" s="71" t="e">
        <f>#REF!</f>
        <v>#REF!</v>
      </c>
    </row>
    <row r="54" spans="27:32" x14ac:dyDescent="0.25">
      <c r="AA54" s="71" t="e">
        <f>#REF!</f>
        <v>#REF!</v>
      </c>
      <c r="AB54" s="71" t="e">
        <f>#REF!</f>
        <v>#REF!</v>
      </c>
      <c r="AC54" s="71" t="e">
        <f>#REF!+AB54</f>
        <v>#REF!</v>
      </c>
      <c r="AD54" s="72" t="e">
        <f>-#REF!</f>
        <v>#REF!</v>
      </c>
      <c r="AE54" s="72" t="e">
        <f>-#REF!+$AD54</f>
        <v>#REF!</v>
      </c>
      <c r="AF54" s="71" t="e">
        <f>#REF!</f>
        <v>#REF!</v>
      </c>
    </row>
    <row r="55" spans="27:32" x14ac:dyDescent="0.25">
      <c r="AA55" s="71" t="e">
        <f>#REF!</f>
        <v>#REF!</v>
      </c>
      <c r="AB55" s="71" t="e">
        <f>#REF!</f>
        <v>#REF!</v>
      </c>
      <c r="AC55" s="71" t="e">
        <f>#REF!+AB55</f>
        <v>#REF!</v>
      </c>
      <c r="AD55" s="72" t="e">
        <f>-#REF!</f>
        <v>#REF!</v>
      </c>
      <c r="AE55" s="72" t="e">
        <f>-#REF!+$AD55</f>
        <v>#REF!</v>
      </c>
      <c r="AF55" s="71" t="e">
        <f>#REF!</f>
        <v>#REF!</v>
      </c>
    </row>
    <row r="56" spans="27:32" x14ac:dyDescent="0.25">
      <c r="AA56" s="71" t="e">
        <f>#REF!</f>
        <v>#REF!</v>
      </c>
      <c r="AB56" s="71" t="e">
        <f>#REF!</f>
        <v>#REF!</v>
      </c>
      <c r="AC56" s="71" t="e">
        <f>#REF!+AB56</f>
        <v>#REF!</v>
      </c>
      <c r="AD56" s="72" t="e">
        <f>-#REF!</f>
        <v>#REF!</v>
      </c>
      <c r="AE56" s="72" t="e">
        <f>-#REF!+$AD56</f>
        <v>#REF!</v>
      </c>
      <c r="AF56" s="71" t="e">
        <f>#REF!</f>
        <v>#REF!</v>
      </c>
    </row>
    <row r="57" spans="27:32" x14ac:dyDescent="0.25">
      <c r="AA57" s="71" t="e">
        <f>#REF!</f>
        <v>#REF!</v>
      </c>
      <c r="AB57" s="71" t="e">
        <f>#REF!</f>
        <v>#REF!</v>
      </c>
      <c r="AC57" s="71" t="e">
        <f>#REF!+AB57</f>
        <v>#REF!</v>
      </c>
      <c r="AD57" s="72" t="e">
        <f>-#REF!</f>
        <v>#REF!</v>
      </c>
      <c r="AE57" s="72" t="e">
        <f>-#REF!+$AD57</f>
        <v>#REF!</v>
      </c>
      <c r="AF57" s="71" t="e">
        <f>#REF!</f>
        <v>#REF!</v>
      </c>
    </row>
    <row r="58" spans="27:32" x14ac:dyDescent="0.25">
      <c r="AA58" s="71" t="e">
        <f>#REF!</f>
        <v>#REF!</v>
      </c>
      <c r="AB58" s="71" t="e">
        <f>#REF!</f>
        <v>#REF!</v>
      </c>
      <c r="AC58" s="71" t="e">
        <f>#REF!+AB58</f>
        <v>#REF!</v>
      </c>
      <c r="AD58" s="72" t="e">
        <f>-#REF!</f>
        <v>#REF!</v>
      </c>
      <c r="AE58" s="72" t="e">
        <f>-#REF!+$AD58</f>
        <v>#REF!</v>
      </c>
      <c r="AF58" s="71" t="e">
        <f>#REF!</f>
        <v>#REF!</v>
      </c>
    </row>
    <row r="59" spans="27:32" x14ac:dyDescent="0.25">
      <c r="AA59" s="71" t="e">
        <f>#REF!</f>
        <v>#REF!</v>
      </c>
      <c r="AB59" s="71" t="e">
        <f>#REF!</f>
        <v>#REF!</v>
      </c>
      <c r="AC59" s="71" t="e">
        <f>#REF!+AB59</f>
        <v>#REF!</v>
      </c>
      <c r="AD59" s="72" t="e">
        <f>-#REF!</f>
        <v>#REF!</v>
      </c>
      <c r="AE59" s="72" t="e">
        <f>-#REF!+$AD59</f>
        <v>#REF!</v>
      </c>
      <c r="AF59" s="71" t="e">
        <f>#REF!</f>
        <v>#REF!</v>
      </c>
    </row>
    <row r="60" spans="27:32" x14ac:dyDescent="0.25">
      <c r="AA60" s="71" t="e">
        <f>#REF!</f>
        <v>#REF!</v>
      </c>
      <c r="AB60" s="71" t="e">
        <f>#REF!</f>
        <v>#REF!</v>
      </c>
      <c r="AC60" s="71" t="e">
        <f>#REF!+AB60</f>
        <v>#REF!</v>
      </c>
      <c r="AD60" s="72" t="e">
        <f>-#REF!</f>
        <v>#REF!</v>
      </c>
      <c r="AE60" s="72" t="e">
        <f>-#REF!+$AD60</f>
        <v>#REF!</v>
      </c>
      <c r="AF60" s="71" t="e">
        <f>#REF!</f>
        <v>#REF!</v>
      </c>
    </row>
    <row r="61" spans="27:32" x14ac:dyDescent="0.25">
      <c r="AA61" s="71" t="e">
        <f>#REF!</f>
        <v>#REF!</v>
      </c>
      <c r="AB61" s="71" t="e">
        <f>#REF!</f>
        <v>#REF!</v>
      </c>
      <c r="AC61" s="71" t="e">
        <f>#REF!+AB61</f>
        <v>#REF!</v>
      </c>
      <c r="AD61" s="72" t="e">
        <f>-#REF!</f>
        <v>#REF!</v>
      </c>
      <c r="AE61" s="72" t="e">
        <f>-#REF!+$AD61</f>
        <v>#REF!</v>
      </c>
      <c r="AF61" s="71" t="e">
        <f>#REF!</f>
        <v>#REF!</v>
      </c>
    </row>
    <row r="62" spans="27:32" x14ac:dyDescent="0.25">
      <c r="AA62" s="71" t="e">
        <f>#REF!</f>
        <v>#REF!</v>
      </c>
      <c r="AB62" s="71" t="e">
        <f>#REF!</f>
        <v>#REF!</v>
      </c>
      <c r="AC62" s="71" t="e">
        <f>#REF!+AB62</f>
        <v>#REF!</v>
      </c>
      <c r="AD62" s="72" t="e">
        <f>-#REF!</f>
        <v>#REF!</v>
      </c>
      <c r="AE62" s="72" t="e">
        <f>-#REF!+$AD62</f>
        <v>#REF!</v>
      </c>
      <c r="AF62" s="71" t="e">
        <f>#REF!</f>
        <v>#REF!</v>
      </c>
    </row>
    <row r="63" spans="27:32" x14ac:dyDescent="0.25">
      <c r="AA63" s="71" t="e">
        <f>#REF!</f>
        <v>#REF!</v>
      </c>
      <c r="AB63" s="71" t="e">
        <f>#REF!</f>
        <v>#REF!</v>
      </c>
      <c r="AC63" s="71" t="e">
        <f>#REF!+AB63</f>
        <v>#REF!</v>
      </c>
      <c r="AD63" s="72" t="e">
        <f>-#REF!</f>
        <v>#REF!</v>
      </c>
      <c r="AE63" s="72" t="e">
        <f>-#REF!+$AD63</f>
        <v>#REF!</v>
      </c>
      <c r="AF63" s="71" t="e">
        <f>#REF!</f>
        <v>#REF!</v>
      </c>
    </row>
    <row r="64" spans="27:32" x14ac:dyDescent="0.25">
      <c r="AA64" s="71" t="e">
        <f>#REF!</f>
        <v>#REF!</v>
      </c>
      <c r="AB64" s="71" t="e">
        <f>#REF!</f>
        <v>#REF!</v>
      </c>
      <c r="AC64" s="71" t="e">
        <f>#REF!+AB64</f>
        <v>#REF!</v>
      </c>
      <c r="AD64" s="72" t="e">
        <f>-#REF!</f>
        <v>#REF!</v>
      </c>
      <c r="AE64" s="72" t="e">
        <f>-#REF!+$AD64</f>
        <v>#REF!</v>
      </c>
      <c r="AF64" s="71" t="e">
        <f>#REF!</f>
        <v>#REF!</v>
      </c>
    </row>
    <row r="65" spans="27:32" x14ac:dyDescent="0.25">
      <c r="AA65" s="71" t="e">
        <f>#REF!</f>
        <v>#REF!</v>
      </c>
      <c r="AB65" s="71" t="e">
        <f>#REF!</f>
        <v>#REF!</v>
      </c>
      <c r="AC65" s="71" t="e">
        <f>#REF!+AB65</f>
        <v>#REF!</v>
      </c>
      <c r="AD65" s="72" t="e">
        <f>-#REF!</f>
        <v>#REF!</v>
      </c>
      <c r="AE65" s="72" t="e">
        <f>-#REF!+$AD65</f>
        <v>#REF!</v>
      </c>
      <c r="AF65" s="71" t="e">
        <f>#REF!</f>
        <v>#REF!</v>
      </c>
    </row>
    <row r="66" spans="27:32" x14ac:dyDescent="0.25">
      <c r="AA66" s="71" t="e">
        <f>#REF!</f>
        <v>#REF!</v>
      </c>
      <c r="AB66" s="71" t="e">
        <f>#REF!</f>
        <v>#REF!</v>
      </c>
      <c r="AC66" s="71" t="e">
        <f>#REF!+AB66</f>
        <v>#REF!</v>
      </c>
      <c r="AD66" s="72" t="e">
        <f>-#REF!</f>
        <v>#REF!</v>
      </c>
      <c r="AE66" s="72" t="e">
        <f>-#REF!+$AD66</f>
        <v>#REF!</v>
      </c>
      <c r="AF66" s="71" t="e">
        <f>#REF!</f>
        <v>#REF!</v>
      </c>
    </row>
    <row r="67" spans="27:32" x14ac:dyDescent="0.25">
      <c r="AA67" s="71" t="e">
        <f>#REF!</f>
        <v>#REF!</v>
      </c>
      <c r="AB67" s="71" t="e">
        <f>#REF!</f>
        <v>#REF!</v>
      </c>
      <c r="AC67" s="71" t="e">
        <f>#REF!+AB67</f>
        <v>#REF!</v>
      </c>
      <c r="AD67" s="72" t="e">
        <f>-#REF!</f>
        <v>#REF!</v>
      </c>
      <c r="AE67" s="72" t="e">
        <f>-#REF!+$AD67</f>
        <v>#REF!</v>
      </c>
      <c r="AF67" s="71" t="e">
        <f>#REF!</f>
        <v>#REF!</v>
      </c>
    </row>
    <row r="68" spans="27:32" x14ac:dyDescent="0.25">
      <c r="AA68" s="71" t="e">
        <f>#REF!</f>
        <v>#REF!</v>
      </c>
      <c r="AB68" s="71" t="e">
        <f>#REF!</f>
        <v>#REF!</v>
      </c>
      <c r="AC68" s="71" t="e">
        <f>#REF!+AB68</f>
        <v>#REF!</v>
      </c>
      <c r="AD68" s="72" t="e">
        <f>-#REF!</f>
        <v>#REF!</v>
      </c>
      <c r="AE68" s="72" t="e">
        <f>-#REF!+$AD68</f>
        <v>#REF!</v>
      </c>
      <c r="AF68" s="71" t="e">
        <f>#REF!</f>
        <v>#REF!</v>
      </c>
    </row>
    <row r="69" spans="27:32" x14ac:dyDescent="0.25">
      <c r="AA69" s="71" t="e">
        <f>#REF!</f>
        <v>#REF!</v>
      </c>
      <c r="AB69" s="71" t="e">
        <f>#REF!</f>
        <v>#REF!</v>
      </c>
      <c r="AC69" s="71" t="e">
        <f>#REF!+AB69</f>
        <v>#REF!</v>
      </c>
      <c r="AD69" s="72" t="e">
        <f>-#REF!</f>
        <v>#REF!</v>
      </c>
      <c r="AE69" s="72" t="e">
        <f>-#REF!+$AD69</f>
        <v>#REF!</v>
      </c>
      <c r="AF69" s="71" t="e">
        <f>#REF!</f>
        <v>#REF!</v>
      </c>
    </row>
    <row r="70" spans="27:32" x14ac:dyDescent="0.25">
      <c r="AA70" s="71" t="e">
        <f>#REF!</f>
        <v>#REF!</v>
      </c>
      <c r="AB70" s="71" t="e">
        <f>#REF!</f>
        <v>#REF!</v>
      </c>
      <c r="AC70" s="71" t="e">
        <f>#REF!+AB70</f>
        <v>#REF!</v>
      </c>
      <c r="AD70" s="72" t="e">
        <f>-#REF!</f>
        <v>#REF!</v>
      </c>
      <c r="AE70" s="72" t="e">
        <f>-#REF!+$AD70</f>
        <v>#REF!</v>
      </c>
      <c r="AF70" s="71" t="e">
        <f>#REF!</f>
        <v>#REF!</v>
      </c>
    </row>
    <row r="71" spans="27:32" x14ac:dyDescent="0.25">
      <c r="AA71" s="71" t="e">
        <f>#REF!</f>
        <v>#REF!</v>
      </c>
      <c r="AB71" s="71" t="e">
        <f>#REF!</f>
        <v>#REF!</v>
      </c>
      <c r="AC71" s="71" t="e">
        <f>#REF!+AB71</f>
        <v>#REF!</v>
      </c>
      <c r="AD71" s="72" t="e">
        <f>-#REF!</f>
        <v>#REF!</v>
      </c>
      <c r="AE71" s="72" t="e">
        <f>-#REF!+$AD71</f>
        <v>#REF!</v>
      </c>
      <c r="AF71" s="71" t="e">
        <f>#REF!</f>
        <v>#REF!</v>
      </c>
    </row>
    <row r="72" spans="27:32" x14ac:dyDescent="0.25">
      <c r="AA72" s="71" t="e">
        <f>#REF!</f>
        <v>#REF!</v>
      </c>
      <c r="AB72" s="71" t="e">
        <f>#REF!</f>
        <v>#REF!</v>
      </c>
      <c r="AC72" s="71" t="e">
        <f>#REF!+AB72</f>
        <v>#REF!</v>
      </c>
      <c r="AD72" s="72" t="e">
        <f>-#REF!</f>
        <v>#REF!</v>
      </c>
      <c r="AE72" s="72" t="e">
        <f>-#REF!+$AD72</f>
        <v>#REF!</v>
      </c>
      <c r="AF72" s="71" t="e">
        <f>#REF!</f>
        <v>#REF!</v>
      </c>
    </row>
    <row r="73" spans="27:32" x14ac:dyDescent="0.25">
      <c r="AA73" s="71" t="e">
        <f>#REF!</f>
        <v>#REF!</v>
      </c>
      <c r="AB73" s="71" t="e">
        <f>#REF!</f>
        <v>#REF!</v>
      </c>
      <c r="AC73" s="71" t="e">
        <f>#REF!+AB73</f>
        <v>#REF!</v>
      </c>
      <c r="AD73" s="72" t="e">
        <f>-#REF!</f>
        <v>#REF!</v>
      </c>
      <c r="AE73" s="72" t="e">
        <f>-#REF!+$AD73</f>
        <v>#REF!</v>
      </c>
      <c r="AF73" s="71" t="e">
        <f>#REF!</f>
        <v>#REF!</v>
      </c>
    </row>
    <row r="74" spans="27:32" x14ac:dyDescent="0.25">
      <c r="AA74" s="71" t="e">
        <f>#REF!</f>
        <v>#REF!</v>
      </c>
      <c r="AB74" s="71" t="e">
        <f>#REF!</f>
        <v>#REF!</v>
      </c>
      <c r="AC74" s="71" t="e">
        <f>#REF!+AB74</f>
        <v>#REF!</v>
      </c>
      <c r="AD74" s="72" t="e">
        <f>-#REF!</f>
        <v>#REF!</v>
      </c>
      <c r="AE74" s="72" t="e">
        <f>-#REF!+$AD74</f>
        <v>#REF!</v>
      </c>
      <c r="AF74" s="71" t="e">
        <f>#REF!</f>
        <v>#REF!</v>
      </c>
    </row>
    <row r="75" spans="27:32" x14ac:dyDescent="0.25">
      <c r="AA75" s="71" t="e">
        <f>#REF!</f>
        <v>#REF!</v>
      </c>
      <c r="AB75" s="71" t="e">
        <f>#REF!</f>
        <v>#REF!</v>
      </c>
      <c r="AC75" s="71" t="e">
        <f>#REF!+AB75</f>
        <v>#REF!</v>
      </c>
      <c r="AD75" s="72" t="e">
        <f>-#REF!</f>
        <v>#REF!</v>
      </c>
      <c r="AE75" s="72" t="e">
        <f>-#REF!+$AD75</f>
        <v>#REF!</v>
      </c>
      <c r="AF75" s="71" t="e">
        <f>#REF!</f>
        <v>#REF!</v>
      </c>
    </row>
    <row r="76" spans="27:32" x14ac:dyDescent="0.25">
      <c r="AA76" s="71" t="e">
        <f>#REF!</f>
        <v>#REF!</v>
      </c>
      <c r="AB76" s="71" t="e">
        <f>#REF!</f>
        <v>#REF!</v>
      </c>
      <c r="AC76" s="71" t="e">
        <f>#REF!+AB76</f>
        <v>#REF!</v>
      </c>
      <c r="AD76" s="72" t="e">
        <f>-#REF!</f>
        <v>#REF!</v>
      </c>
      <c r="AE76" s="72" t="e">
        <f>-#REF!+$AD76</f>
        <v>#REF!</v>
      </c>
      <c r="AF76" s="71" t="e">
        <f>#REF!</f>
        <v>#REF!</v>
      </c>
    </row>
    <row r="77" spans="27:32" x14ac:dyDescent="0.25">
      <c r="AA77" s="71" t="e">
        <f>#REF!</f>
        <v>#REF!</v>
      </c>
      <c r="AB77" s="71" t="e">
        <f>#REF!</f>
        <v>#REF!</v>
      </c>
      <c r="AC77" s="71" t="e">
        <f>#REF!+AB77</f>
        <v>#REF!</v>
      </c>
      <c r="AD77" s="72" t="e">
        <f>-#REF!</f>
        <v>#REF!</v>
      </c>
      <c r="AE77" s="72" t="e">
        <f>-#REF!+$AD77</f>
        <v>#REF!</v>
      </c>
      <c r="AF77" s="71" t="e">
        <f>#REF!</f>
        <v>#REF!</v>
      </c>
    </row>
    <row r="78" spans="27:32" x14ac:dyDescent="0.25">
      <c r="AA78" s="71" t="e">
        <f>#REF!</f>
        <v>#REF!</v>
      </c>
      <c r="AB78" s="71" t="e">
        <f>#REF!</f>
        <v>#REF!</v>
      </c>
      <c r="AC78" s="71" t="e">
        <f>#REF!+AB78</f>
        <v>#REF!</v>
      </c>
      <c r="AD78" s="72" t="e">
        <f>-#REF!</f>
        <v>#REF!</v>
      </c>
      <c r="AE78" s="72" t="e">
        <f>-#REF!+$AD78</f>
        <v>#REF!</v>
      </c>
      <c r="AF78" s="71" t="e">
        <f>#REF!</f>
        <v>#REF!</v>
      </c>
    </row>
    <row r="79" spans="27:32" x14ac:dyDescent="0.25">
      <c r="AA79" s="71" t="e">
        <f>#REF!</f>
        <v>#REF!</v>
      </c>
      <c r="AB79" s="71" t="e">
        <f>#REF!</f>
        <v>#REF!</v>
      </c>
      <c r="AC79" s="71" t="e">
        <f>#REF!+AB79</f>
        <v>#REF!</v>
      </c>
      <c r="AD79" s="72" t="e">
        <f>-#REF!</f>
        <v>#REF!</v>
      </c>
      <c r="AE79" s="72" t="e">
        <f>-#REF!+$AD79</f>
        <v>#REF!</v>
      </c>
      <c r="AF79" s="71" t="e">
        <f>#REF!</f>
        <v>#REF!</v>
      </c>
    </row>
    <row r="80" spans="27:32" x14ac:dyDescent="0.25">
      <c r="AA80" s="71" t="e">
        <f>#REF!</f>
        <v>#REF!</v>
      </c>
      <c r="AB80" s="71" t="e">
        <f>#REF!</f>
        <v>#REF!</v>
      </c>
      <c r="AC80" s="71" t="e">
        <f>#REF!+AB80</f>
        <v>#REF!</v>
      </c>
      <c r="AD80" s="72" t="e">
        <f>-#REF!</f>
        <v>#REF!</v>
      </c>
      <c r="AE80" s="72" t="e">
        <f>-#REF!+$AD80</f>
        <v>#REF!</v>
      </c>
      <c r="AF80" s="71" t="e">
        <f>#REF!</f>
        <v>#REF!</v>
      </c>
    </row>
    <row r="81" spans="27:32" x14ac:dyDescent="0.25">
      <c r="AA81" s="71" t="e">
        <f>#REF!</f>
        <v>#REF!</v>
      </c>
      <c r="AB81" s="71" t="e">
        <f>#REF!</f>
        <v>#REF!</v>
      </c>
      <c r="AC81" s="71" t="e">
        <f>#REF!+AB81</f>
        <v>#REF!</v>
      </c>
      <c r="AD81" s="72" t="e">
        <f>-#REF!</f>
        <v>#REF!</v>
      </c>
      <c r="AE81" s="72" t="e">
        <f>-#REF!+$AD81</f>
        <v>#REF!</v>
      </c>
      <c r="AF81" s="71" t="e">
        <f>#REF!</f>
        <v>#REF!</v>
      </c>
    </row>
    <row r="82" spans="27:32" x14ac:dyDescent="0.25">
      <c r="AA82" s="71" t="e">
        <f>#REF!</f>
        <v>#REF!</v>
      </c>
      <c r="AB82" s="71" t="e">
        <f>#REF!</f>
        <v>#REF!</v>
      </c>
      <c r="AC82" s="71" t="e">
        <f>#REF!+AB82</f>
        <v>#REF!</v>
      </c>
      <c r="AD82" s="72" t="e">
        <f>-#REF!</f>
        <v>#REF!</v>
      </c>
      <c r="AE82" s="72" t="e">
        <f>-#REF!+$AD82</f>
        <v>#REF!</v>
      </c>
      <c r="AF82" s="71" t="e">
        <f>#REF!</f>
        <v>#REF!</v>
      </c>
    </row>
    <row r="83" spans="27:32" x14ac:dyDescent="0.25">
      <c r="AA83" s="71" t="e">
        <f>#REF!</f>
        <v>#REF!</v>
      </c>
      <c r="AB83" s="71" t="e">
        <f>#REF!</f>
        <v>#REF!</v>
      </c>
      <c r="AC83" s="71" t="e">
        <f>#REF!+AB83</f>
        <v>#REF!</v>
      </c>
      <c r="AD83" s="72" t="e">
        <f>-#REF!</f>
        <v>#REF!</v>
      </c>
      <c r="AE83" s="72" t="e">
        <f>-#REF!+$AD83</f>
        <v>#REF!</v>
      </c>
      <c r="AF83" s="71" t="e">
        <f>#REF!</f>
        <v>#REF!</v>
      </c>
    </row>
    <row r="84" spans="27:32" x14ac:dyDescent="0.25">
      <c r="AA84" s="71" t="e">
        <f>#REF!</f>
        <v>#REF!</v>
      </c>
      <c r="AB84" s="71" t="e">
        <f>#REF!</f>
        <v>#REF!</v>
      </c>
      <c r="AC84" s="71" t="e">
        <f>#REF!+AB84</f>
        <v>#REF!</v>
      </c>
      <c r="AD84" s="72" t="e">
        <f>-#REF!</f>
        <v>#REF!</v>
      </c>
      <c r="AE84" s="72" t="e">
        <f>-#REF!+$AD84</f>
        <v>#REF!</v>
      </c>
      <c r="AF84" s="71" t="e">
        <f>#REF!</f>
        <v>#REF!</v>
      </c>
    </row>
    <row r="85" spans="27:32" x14ac:dyDescent="0.25">
      <c r="AA85" s="71" t="e">
        <f>#REF!</f>
        <v>#REF!</v>
      </c>
      <c r="AB85" s="71" t="e">
        <f>#REF!</f>
        <v>#REF!</v>
      </c>
      <c r="AC85" s="71" t="e">
        <f>#REF!+AB85</f>
        <v>#REF!</v>
      </c>
      <c r="AD85" s="72" t="e">
        <f>-#REF!</f>
        <v>#REF!</v>
      </c>
      <c r="AE85" s="72" t="e">
        <f>-#REF!+$AD85</f>
        <v>#REF!</v>
      </c>
      <c r="AF85" s="71" t="e">
        <f>#REF!</f>
        <v>#REF!</v>
      </c>
    </row>
    <row r="86" spans="27:32" x14ac:dyDescent="0.25">
      <c r="AA86" s="71" t="e">
        <f>#REF!</f>
        <v>#REF!</v>
      </c>
      <c r="AB86" s="71" t="e">
        <f>#REF!</f>
        <v>#REF!</v>
      </c>
      <c r="AC86" s="71" t="e">
        <f>#REF!+AB86</f>
        <v>#REF!</v>
      </c>
      <c r="AD86" s="72" t="e">
        <f>-#REF!</f>
        <v>#REF!</v>
      </c>
      <c r="AE86" s="72" t="e">
        <f>-#REF!+$AD86</f>
        <v>#REF!</v>
      </c>
      <c r="AF86" s="71" t="e">
        <f>#REF!</f>
        <v>#REF!</v>
      </c>
    </row>
    <row r="87" spans="27:32" x14ac:dyDescent="0.25">
      <c r="AA87" s="71" t="e">
        <f>#REF!</f>
        <v>#REF!</v>
      </c>
      <c r="AB87" s="71" t="e">
        <f>#REF!</f>
        <v>#REF!</v>
      </c>
      <c r="AC87" s="71" t="e">
        <f>#REF!+AB87</f>
        <v>#REF!</v>
      </c>
      <c r="AD87" s="72" t="e">
        <f>-#REF!</f>
        <v>#REF!</v>
      </c>
      <c r="AE87" s="72" t="e">
        <f>-#REF!+$AD87</f>
        <v>#REF!</v>
      </c>
      <c r="AF87" s="71" t="e">
        <f>#REF!</f>
        <v>#REF!</v>
      </c>
    </row>
    <row r="88" spans="27:32" x14ac:dyDescent="0.25">
      <c r="AA88" s="71" t="e">
        <f>#REF!</f>
        <v>#REF!</v>
      </c>
      <c r="AB88" s="71" t="e">
        <f>#REF!</f>
        <v>#REF!</v>
      </c>
      <c r="AC88" s="71" t="e">
        <f>#REF!+AB88</f>
        <v>#REF!</v>
      </c>
      <c r="AD88" s="72" t="e">
        <f>-#REF!</f>
        <v>#REF!</v>
      </c>
      <c r="AE88" s="72" t="e">
        <f>-#REF!+$AD88</f>
        <v>#REF!</v>
      </c>
      <c r="AF88" s="71" t="e">
        <f>#REF!</f>
        <v>#REF!</v>
      </c>
    </row>
    <row r="89" spans="27:32" x14ac:dyDescent="0.25">
      <c r="AA89" s="71" t="e">
        <f>#REF!</f>
        <v>#REF!</v>
      </c>
      <c r="AB89" s="71" t="e">
        <f>#REF!</f>
        <v>#REF!</v>
      </c>
      <c r="AC89" s="71" t="e">
        <f>#REF!+AB89</f>
        <v>#REF!</v>
      </c>
      <c r="AD89" s="72" t="e">
        <f>-#REF!</f>
        <v>#REF!</v>
      </c>
      <c r="AE89" s="72" t="e">
        <f>-#REF!+$AD89</f>
        <v>#REF!</v>
      </c>
      <c r="AF89" s="71" t="e">
        <f>#REF!</f>
        <v>#REF!</v>
      </c>
    </row>
    <row r="90" spans="27:32" x14ac:dyDescent="0.25">
      <c r="AA90" s="71" t="e">
        <f>#REF!</f>
        <v>#REF!</v>
      </c>
      <c r="AB90" s="71" t="e">
        <f>#REF!</f>
        <v>#REF!</v>
      </c>
      <c r="AC90" s="71" t="e">
        <f>#REF!+AB90</f>
        <v>#REF!</v>
      </c>
      <c r="AD90" s="72" t="e">
        <f>-#REF!</f>
        <v>#REF!</v>
      </c>
      <c r="AE90" s="72" t="e">
        <f>-#REF!+$AD90</f>
        <v>#REF!</v>
      </c>
      <c r="AF90" s="71" t="e">
        <f>#REF!</f>
        <v>#REF!</v>
      </c>
    </row>
    <row r="91" spans="27:32" x14ac:dyDescent="0.25">
      <c r="AA91" s="71" t="e">
        <f>#REF!</f>
        <v>#REF!</v>
      </c>
      <c r="AB91" s="71" t="e">
        <f>#REF!</f>
        <v>#REF!</v>
      </c>
      <c r="AC91" s="71" t="e">
        <f>#REF!+AB91</f>
        <v>#REF!</v>
      </c>
      <c r="AD91" s="72" t="e">
        <f>-#REF!</f>
        <v>#REF!</v>
      </c>
      <c r="AE91" s="72" t="e">
        <f>-#REF!+$AD91</f>
        <v>#REF!</v>
      </c>
      <c r="AF91" s="71" t="e">
        <f>#REF!</f>
        <v>#REF!</v>
      </c>
    </row>
    <row r="92" spans="27:32" x14ac:dyDescent="0.25">
      <c r="AA92" s="71" t="e">
        <f>#REF!</f>
        <v>#REF!</v>
      </c>
      <c r="AB92" s="71" t="e">
        <f>#REF!</f>
        <v>#REF!</v>
      </c>
      <c r="AC92" s="71" t="e">
        <f>#REF!+AB92</f>
        <v>#REF!</v>
      </c>
      <c r="AD92" s="72" t="e">
        <f>-#REF!</f>
        <v>#REF!</v>
      </c>
      <c r="AE92" s="72" t="e">
        <f>-#REF!+$AD92</f>
        <v>#REF!</v>
      </c>
      <c r="AF92" s="71" t="e">
        <f>#REF!</f>
        <v>#REF!</v>
      </c>
    </row>
    <row r="93" spans="27:32" x14ac:dyDescent="0.25">
      <c r="AA93" s="71" t="e">
        <f>#REF!</f>
        <v>#REF!</v>
      </c>
      <c r="AB93" s="71" t="e">
        <f>#REF!</f>
        <v>#REF!</v>
      </c>
      <c r="AC93" s="71" t="e">
        <f>#REF!+AB93</f>
        <v>#REF!</v>
      </c>
      <c r="AD93" s="72" t="e">
        <f>-#REF!</f>
        <v>#REF!</v>
      </c>
      <c r="AE93" s="72" t="e">
        <f>-#REF!+$AD93</f>
        <v>#REF!</v>
      </c>
      <c r="AF93" s="71" t="e">
        <f>#REF!</f>
        <v>#REF!</v>
      </c>
    </row>
    <row r="94" spans="27:32" x14ac:dyDescent="0.25">
      <c r="AA94" s="71" t="e">
        <f>#REF!</f>
        <v>#REF!</v>
      </c>
      <c r="AB94" s="71" t="e">
        <f>#REF!</f>
        <v>#REF!</v>
      </c>
      <c r="AC94" s="71" t="e">
        <f>#REF!+AB94</f>
        <v>#REF!</v>
      </c>
      <c r="AD94" s="72" t="e">
        <f>-#REF!</f>
        <v>#REF!</v>
      </c>
      <c r="AE94" s="72" t="e">
        <f>-#REF!+$AD94</f>
        <v>#REF!</v>
      </c>
      <c r="AF94" s="71" t="e">
        <f>#REF!</f>
        <v>#REF!</v>
      </c>
    </row>
    <row r="95" spans="27:32" x14ac:dyDescent="0.25">
      <c r="AA95" s="71" t="e">
        <f>#REF!</f>
        <v>#REF!</v>
      </c>
      <c r="AB95" s="71" t="e">
        <f>#REF!</f>
        <v>#REF!</v>
      </c>
      <c r="AC95" s="71" t="e">
        <f>#REF!+AB95</f>
        <v>#REF!</v>
      </c>
      <c r="AD95" s="72" t="e">
        <f>-#REF!</f>
        <v>#REF!</v>
      </c>
      <c r="AE95" s="72" t="e">
        <f>-#REF!+$AD95</f>
        <v>#REF!</v>
      </c>
      <c r="AF95" s="71" t="e">
        <f>#REF!</f>
        <v>#REF!</v>
      </c>
    </row>
    <row r="96" spans="27:32" x14ac:dyDescent="0.25">
      <c r="AA96" s="71" t="e">
        <f>#REF!</f>
        <v>#REF!</v>
      </c>
      <c r="AB96" s="71" t="e">
        <f>#REF!</f>
        <v>#REF!</v>
      </c>
      <c r="AC96" s="71" t="e">
        <f>#REF!+AB96</f>
        <v>#REF!</v>
      </c>
      <c r="AD96" s="72" t="e">
        <f>-#REF!</f>
        <v>#REF!</v>
      </c>
      <c r="AE96" s="72" t="e">
        <f>-#REF!+$AD96</f>
        <v>#REF!</v>
      </c>
      <c r="AF96" s="71" t="e">
        <f>#REF!</f>
        <v>#REF!</v>
      </c>
    </row>
    <row r="97" spans="27:32" x14ac:dyDescent="0.25">
      <c r="AA97" s="71" t="e">
        <f>#REF!</f>
        <v>#REF!</v>
      </c>
      <c r="AB97" s="71" t="e">
        <f>#REF!</f>
        <v>#REF!</v>
      </c>
      <c r="AC97" s="71" t="e">
        <f>#REF!+AB97</f>
        <v>#REF!</v>
      </c>
      <c r="AD97" s="72" t="e">
        <f>-#REF!</f>
        <v>#REF!</v>
      </c>
      <c r="AE97" s="72" t="e">
        <f>-#REF!+$AD97</f>
        <v>#REF!</v>
      </c>
      <c r="AF97" s="71" t="e">
        <f>#REF!</f>
        <v>#REF!</v>
      </c>
    </row>
    <row r="98" spans="27:32" x14ac:dyDescent="0.25">
      <c r="AA98" s="71" t="e">
        <f>#REF!</f>
        <v>#REF!</v>
      </c>
      <c r="AB98" s="71" t="e">
        <f>#REF!</f>
        <v>#REF!</v>
      </c>
      <c r="AC98" s="71" t="e">
        <f>#REF!+AB98</f>
        <v>#REF!</v>
      </c>
      <c r="AD98" s="72" t="e">
        <f>-#REF!</f>
        <v>#REF!</v>
      </c>
      <c r="AE98" s="72" t="e">
        <f>-#REF!+$AD98</f>
        <v>#REF!</v>
      </c>
      <c r="AF98" s="71" t="e">
        <f>#REF!</f>
        <v>#REF!</v>
      </c>
    </row>
    <row r="99" spans="27:32" x14ac:dyDescent="0.25">
      <c r="AA99" s="71" t="e">
        <f>#REF!</f>
        <v>#REF!</v>
      </c>
      <c r="AB99" s="71" t="e">
        <f>#REF!</f>
        <v>#REF!</v>
      </c>
      <c r="AC99" s="71" t="e">
        <f>#REF!+AB99</f>
        <v>#REF!</v>
      </c>
      <c r="AD99" s="72" t="e">
        <f>-#REF!</f>
        <v>#REF!</v>
      </c>
      <c r="AE99" s="72" t="e">
        <f>-#REF!+$AD99</f>
        <v>#REF!</v>
      </c>
      <c r="AF99" s="71" t="e">
        <f>#REF!</f>
        <v>#REF!</v>
      </c>
    </row>
    <row r="100" spans="27:32" x14ac:dyDescent="0.25">
      <c r="AA100" s="71" t="e">
        <f>#REF!</f>
        <v>#REF!</v>
      </c>
      <c r="AB100" s="71" t="e">
        <f>#REF!</f>
        <v>#REF!</v>
      </c>
      <c r="AC100" s="71" t="e">
        <f>#REF!+AB100</f>
        <v>#REF!</v>
      </c>
      <c r="AD100" s="72" t="e">
        <f>-#REF!</f>
        <v>#REF!</v>
      </c>
      <c r="AE100" s="72" t="e">
        <f>-#REF!+$AD100</f>
        <v>#REF!</v>
      </c>
      <c r="AF100" s="71" t="e">
        <f>#REF!</f>
        <v>#REF!</v>
      </c>
    </row>
    <row r="101" spans="27:32" x14ac:dyDescent="0.25">
      <c r="AA101" s="71" t="e">
        <f>#REF!</f>
        <v>#REF!</v>
      </c>
      <c r="AB101" s="71" t="e">
        <f>#REF!</f>
        <v>#REF!</v>
      </c>
      <c r="AC101" s="71" t="e">
        <f>#REF!+AB101</f>
        <v>#REF!</v>
      </c>
      <c r="AD101" s="72" t="e">
        <f>-#REF!</f>
        <v>#REF!</v>
      </c>
      <c r="AE101" s="72" t="e">
        <f>-#REF!+$AD101</f>
        <v>#REF!</v>
      </c>
      <c r="AF101" s="71" t="e">
        <f>#REF!</f>
        <v>#REF!</v>
      </c>
    </row>
    <row r="102" spans="27:32" x14ac:dyDescent="0.25">
      <c r="AA102" s="71" t="e">
        <f>#REF!</f>
        <v>#REF!</v>
      </c>
      <c r="AB102" s="71" t="e">
        <f>#REF!</f>
        <v>#REF!</v>
      </c>
      <c r="AC102" s="71" t="e">
        <f>#REF!+AB102</f>
        <v>#REF!</v>
      </c>
      <c r="AD102" s="72" t="e">
        <f>-#REF!</f>
        <v>#REF!</v>
      </c>
      <c r="AE102" s="72" t="e">
        <f>-#REF!+$AD102</f>
        <v>#REF!</v>
      </c>
      <c r="AF102" s="71" t="e">
        <f>#REF!</f>
        <v>#REF!</v>
      </c>
    </row>
    <row r="103" spans="27:32" x14ac:dyDescent="0.25">
      <c r="AA103" s="71" t="e">
        <f>#REF!</f>
        <v>#REF!</v>
      </c>
      <c r="AB103" s="71" t="e">
        <f>#REF!</f>
        <v>#REF!</v>
      </c>
      <c r="AC103" s="71" t="e">
        <f>#REF!+AB103</f>
        <v>#REF!</v>
      </c>
      <c r="AD103" s="72" t="e">
        <f>-#REF!</f>
        <v>#REF!</v>
      </c>
      <c r="AE103" s="72" t="e">
        <f>-#REF!+$AD103</f>
        <v>#REF!</v>
      </c>
      <c r="AF103" s="71" t="e">
        <f>#REF!</f>
        <v>#REF!</v>
      </c>
    </row>
    <row r="104" spans="27:32" x14ac:dyDescent="0.25">
      <c r="AA104" s="71" t="e">
        <f>#REF!</f>
        <v>#REF!</v>
      </c>
      <c r="AB104" s="71" t="e">
        <f>#REF!</f>
        <v>#REF!</v>
      </c>
      <c r="AC104" s="71" t="e">
        <f>#REF!+AB104</f>
        <v>#REF!</v>
      </c>
      <c r="AD104" s="72" t="e">
        <f>-#REF!</f>
        <v>#REF!</v>
      </c>
      <c r="AE104" s="72" t="e">
        <f>-#REF!+$AD104</f>
        <v>#REF!</v>
      </c>
      <c r="AF104" s="71" t="e">
        <f>#REF!</f>
        <v>#REF!</v>
      </c>
    </row>
    <row r="105" spans="27:32" x14ac:dyDescent="0.25">
      <c r="AA105" s="71" t="e">
        <f>#REF!</f>
        <v>#REF!</v>
      </c>
      <c r="AB105" s="71" t="e">
        <f>#REF!</f>
        <v>#REF!</v>
      </c>
      <c r="AC105" s="71" t="e">
        <f>#REF!+AB105</f>
        <v>#REF!</v>
      </c>
      <c r="AD105" s="72" t="e">
        <f>-#REF!</f>
        <v>#REF!</v>
      </c>
      <c r="AE105" s="72" t="e">
        <f>-#REF!+$AD105</f>
        <v>#REF!</v>
      </c>
      <c r="AF105" s="71" t="e">
        <f>#REF!</f>
        <v>#REF!</v>
      </c>
    </row>
    <row r="106" spans="27:32" x14ac:dyDescent="0.25">
      <c r="AA106" s="71" t="e">
        <f>#REF!</f>
        <v>#REF!</v>
      </c>
      <c r="AB106" s="71" t="e">
        <f>#REF!</f>
        <v>#REF!</v>
      </c>
      <c r="AC106" s="71" t="e">
        <f>#REF!+AB106</f>
        <v>#REF!</v>
      </c>
      <c r="AD106" s="72" t="e">
        <f>-#REF!</f>
        <v>#REF!</v>
      </c>
      <c r="AE106" s="72" t="e">
        <f>-#REF!+$AD106</f>
        <v>#REF!</v>
      </c>
      <c r="AF106" s="71" t="e">
        <f>#REF!</f>
        <v>#REF!</v>
      </c>
    </row>
    <row r="107" spans="27:32" x14ac:dyDescent="0.25">
      <c r="AA107" s="71" t="e">
        <f>#REF!</f>
        <v>#REF!</v>
      </c>
      <c r="AB107" s="71" t="e">
        <f>#REF!</f>
        <v>#REF!</v>
      </c>
      <c r="AC107" s="71" t="e">
        <f>#REF!+AB107</f>
        <v>#REF!</v>
      </c>
      <c r="AD107" s="72" t="e">
        <f>-#REF!</f>
        <v>#REF!</v>
      </c>
      <c r="AE107" s="72" t="e">
        <f>-#REF!+$AD107</f>
        <v>#REF!</v>
      </c>
      <c r="AF107" s="71" t="e">
        <f>#REF!</f>
        <v>#REF!</v>
      </c>
    </row>
    <row r="108" spans="27:32" x14ac:dyDescent="0.25">
      <c r="AA108" s="71" t="e">
        <f>#REF!</f>
        <v>#REF!</v>
      </c>
      <c r="AB108" s="71" t="e">
        <f>#REF!</f>
        <v>#REF!</v>
      </c>
      <c r="AC108" s="71" t="e">
        <f>#REF!+AB108</f>
        <v>#REF!</v>
      </c>
      <c r="AD108" s="72" t="e">
        <f>-#REF!</f>
        <v>#REF!</v>
      </c>
      <c r="AE108" s="72" t="e">
        <f>-#REF!+$AD108</f>
        <v>#REF!</v>
      </c>
      <c r="AF108" s="71" t="e">
        <f>#REF!</f>
        <v>#REF!</v>
      </c>
    </row>
    <row r="109" spans="27:32" x14ac:dyDescent="0.25">
      <c r="AA109" s="71" t="e">
        <f>#REF!</f>
        <v>#REF!</v>
      </c>
      <c r="AB109" s="71" t="e">
        <f>#REF!</f>
        <v>#REF!</v>
      </c>
      <c r="AC109" s="71" t="e">
        <f>#REF!+AB109</f>
        <v>#REF!</v>
      </c>
      <c r="AD109" s="72" t="e">
        <f>-#REF!</f>
        <v>#REF!</v>
      </c>
      <c r="AE109" s="72" t="e">
        <f>-#REF!+$AD109</f>
        <v>#REF!</v>
      </c>
      <c r="AF109" s="71" t="e">
        <f>#REF!</f>
        <v>#REF!</v>
      </c>
    </row>
    <row r="110" spans="27:32" x14ac:dyDescent="0.25">
      <c r="AA110" s="71" t="e">
        <f>#REF!</f>
        <v>#REF!</v>
      </c>
      <c r="AB110" s="71" t="e">
        <f>#REF!</f>
        <v>#REF!</v>
      </c>
      <c r="AC110" s="71" t="e">
        <f>#REF!+AB110</f>
        <v>#REF!</v>
      </c>
      <c r="AD110" s="72" t="e">
        <f>-#REF!</f>
        <v>#REF!</v>
      </c>
      <c r="AE110" s="72" t="e">
        <f>-#REF!+$AD110</f>
        <v>#REF!</v>
      </c>
      <c r="AF110" s="71" t="e">
        <f>#REF!</f>
        <v>#REF!</v>
      </c>
    </row>
    <row r="111" spans="27:32" x14ac:dyDescent="0.25">
      <c r="AA111" s="71" t="e">
        <f>#REF!</f>
        <v>#REF!</v>
      </c>
      <c r="AB111" s="71" t="e">
        <f>#REF!</f>
        <v>#REF!</v>
      </c>
      <c r="AC111" s="71" t="e">
        <f>#REF!+AB111</f>
        <v>#REF!</v>
      </c>
      <c r="AD111" s="72" t="e">
        <f>-#REF!</f>
        <v>#REF!</v>
      </c>
      <c r="AE111" s="72" t="e">
        <f>-#REF!+$AD111</f>
        <v>#REF!</v>
      </c>
      <c r="AF111" s="71" t="e">
        <f>#REF!</f>
        <v>#REF!</v>
      </c>
    </row>
    <row r="112" spans="27:32" x14ac:dyDescent="0.25">
      <c r="AA112" s="71" t="e">
        <f>#REF!</f>
        <v>#REF!</v>
      </c>
      <c r="AB112" s="71" t="e">
        <f>#REF!</f>
        <v>#REF!</v>
      </c>
      <c r="AC112" s="71" t="e">
        <f>#REF!+AB112</f>
        <v>#REF!</v>
      </c>
      <c r="AD112" s="72" t="e">
        <f>-#REF!</f>
        <v>#REF!</v>
      </c>
      <c r="AE112" s="72" t="e">
        <f>-#REF!+$AD112</f>
        <v>#REF!</v>
      </c>
      <c r="AF112" s="71" t="e">
        <f>#REF!</f>
        <v>#REF!</v>
      </c>
    </row>
    <row r="113" spans="27:32" x14ac:dyDescent="0.25">
      <c r="AA113" s="71" t="e">
        <f>#REF!</f>
        <v>#REF!</v>
      </c>
      <c r="AB113" s="71" t="e">
        <f>#REF!</f>
        <v>#REF!</v>
      </c>
      <c r="AC113" s="71" t="e">
        <f>#REF!+AB113</f>
        <v>#REF!</v>
      </c>
      <c r="AD113" s="72" t="e">
        <f>-#REF!</f>
        <v>#REF!</v>
      </c>
      <c r="AE113" s="72" t="e">
        <f>-#REF!+$AD113</f>
        <v>#REF!</v>
      </c>
      <c r="AF113" s="71" t="e">
        <f>#REF!</f>
        <v>#REF!</v>
      </c>
    </row>
    <row r="114" spans="27:32" x14ac:dyDescent="0.25">
      <c r="AA114" s="71" t="e">
        <f>#REF!</f>
        <v>#REF!</v>
      </c>
      <c r="AB114" s="71" t="e">
        <f>#REF!</f>
        <v>#REF!</v>
      </c>
      <c r="AC114" s="71" t="e">
        <f>#REF!+AB114</f>
        <v>#REF!</v>
      </c>
      <c r="AD114" s="72" t="e">
        <f>-#REF!</f>
        <v>#REF!</v>
      </c>
      <c r="AE114" s="72" t="e">
        <f>-#REF!+$AD114</f>
        <v>#REF!</v>
      </c>
      <c r="AF114" s="71" t="e">
        <f>#REF!</f>
        <v>#REF!</v>
      </c>
    </row>
    <row r="115" spans="27:32" x14ac:dyDescent="0.25">
      <c r="AA115" s="71" t="e">
        <f>#REF!</f>
        <v>#REF!</v>
      </c>
      <c r="AB115" s="71" t="e">
        <f>#REF!</f>
        <v>#REF!</v>
      </c>
      <c r="AC115" s="71" t="e">
        <f>#REF!+AB115</f>
        <v>#REF!</v>
      </c>
      <c r="AD115" s="72" t="e">
        <f>-#REF!</f>
        <v>#REF!</v>
      </c>
      <c r="AE115" s="72" t="e">
        <f>-#REF!+$AD115</f>
        <v>#REF!</v>
      </c>
      <c r="AF115" s="71" t="e">
        <f>#REF!</f>
        <v>#REF!</v>
      </c>
    </row>
    <row r="116" spans="27:32" x14ac:dyDescent="0.25">
      <c r="AA116" s="71" t="e">
        <f>#REF!</f>
        <v>#REF!</v>
      </c>
      <c r="AB116" s="71" t="e">
        <f>#REF!</f>
        <v>#REF!</v>
      </c>
      <c r="AC116" s="71" t="e">
        <f>#REF!+AB116</f>
        <v>#REF!</v>
      </c>
      <c r="AD116" s="72" t="e">
        <f>-#REF!</f>
        <v>#REF!</v>
      </c>
      <c r="AE116" s="72" t="e">
        <f>-#REF!+$AD116</f>
        <v>#REF!</v>
      </c>
      <c r="AF116" s="71" t="e">
        <f>#REF!</f>
        <v>#REF!</v>
      </c>
    </row>
    <row r="117" spans="27:32" x14ac:dyDescent="0.25">
      <c r="AA117" s="71" t="e">
        <f>#REF!</f>
        <v>#REF!</v>
      </c>
      <c r="AB117" s="71" t="e">
        <f>#REF!</f>
        <v>#REF!</v>
      </c>
      <c r="AC117" s="71" t="e">
        <f>#REF!+AB117</f>
        <v>#REF!</v>
      </c>
      <c r="AD117" s="72" t="e">
        <f>-#REF!</f>
        <v>#REF!</v>
      </c>
      <c r="AE117" s="72" t="e">
        <f>-#REF!+$AD117</f>
        <v>#REF!</v>
      </c>
      <c r="AF117" s="71" t="e">
        <f>#REF!</f>
        <v>#REF!</v>
      </c>
    </row>
    <row r="118" spans="27:32" x14ac:dyDescent="0.25">
      <c r="AA118" s="71" t="e">
        <f>#REF!</f>
        <v>#REF!</v>
      </c>
      <c r="AB118" s="71" t="e">
        <f>#REF!</f>
        <v>#REF!</v>
      </c>
      <c r="AC118" s="71" t="e">
        <f>#REF!+AB118</f>
        <v>#REF!</v>
      </c>
      <c r="AD118" s="72" t="e">
        <f>-#REF!</f>
        <v>#REF!</v>
      </c>
      <c r="AE118" s="72" t="e">
        <f>-#REF!+$AD118</f>
        <v>#REF!</v>
      </c>
      <c r="AF118" s="71" t="e">
        <f>#REF!</f>
        <v>#REF!</v>
      </c>
    </row>
    <row r="119" spans="27:32" x14ac:dyDescent="0.25">
      <c r="AA119" s="71" t="e">
        <f>#REF!</f>
        <v>#REF!</v>
      </c>
      <c r="AB119" s="71" t="e">
        <f>#REF!</f>
        <v>#REF!</v>
      </c>
      <c r="AC119" s="71" t="e">
        <f>#REF!+AB119</f>
        <v>#REF!</v>
      </c>
      <c r="AD119" s="72" t="e">
        <f>-#REF!</f>
        <v>#REF!</v>
      </c>
      <c r="AE119" s="72" t="e">
        <f>-#REF!+$AD119</f>
        <v>#REF!</v>
      </c>
      <c r="AF119" s="71" t="e">
        <f>#REF!</f>
        <v>#REF!</v>
      </c>
    </row>
    <row r="120" spans="27:32" x14ac:dyDescent="0.25">
      <c r="AA120" s="71" t="e">
        <f>#REF!</f>
        <v>#REF!</v>
      </c>
      <c r="AB120" s="71" t="e">
        <f>#REF!</f>
        <v>#REF!</v>
      </c>
      <c r="AC120" s="71" t="e">
        <f>#REF!+AB120</f>
        <v>#REF!</v>
      </c>
      <c r="AD120" s="72" t="e">
        <f>-#REF!</f>
        <v>#REF!</v>
      </c>
      <c r="AE120" s="72" t="e">
        <f>-#REF!+$AD120</f>
        <v>#REF!</v>
      </c>
      <c r="AF120" s="71" t="e">
        <f>#REF!</f>
        <v>#REF!</v>
      </c>
    </row>
    <row r="121" spans="27:32" x14ac:dyDescent="0.25">
      <c r="AA121" s="71" t="e">
        <f>#REF!</f>
        <v>#REF!</v>
      </c>
      <c r="AB121" s="71" t="e">
        <f>#REF!</f>
        <v>#REF!</v>
      </c>
      <c r="AC121" s="71" t="e">
        <f>#REF!+AB121</f>
        <v>#REF!</v>
      </c>
      <c r="AD121" s="72" t="e">
        <f>-#REF!</f>
        <v>#REF!</v>
      </c>
      <c r="AE121" s="72" t="e">
        <f>-#REF!+$AD121</f>
        <v>#REF!</v>
      </c>
      <c r="AF121" s="71" t="e">
        <f>#REF!</f>
        <v>#REF!</v>
      </c>
    </row>
    <row r="122" spans="27:32" x14ac:dyDescent="0.25">
      <c r="AA122" s="71" t="e">
        <f>#REF!</f>
        <v>#REF!</v>
      </c>
      <c r="AB122" s="71" t="e">
        <f>#REF!</f>
        <v>#REF!</v>
      </c>
      <c r="AC122" s="71" t="e">
        <f>#REF!+AB122</f>
        <v>#REF!</v>
      </c>
      <c r="AD122" s="72" t="e">
        <f>-#REF!</f>
        <v>#REF!</v>
      </c>
      <c r="AE122" s="72" t="e">
        <f>-#REF!+$AD122</f>
        <v>#REF!</v>
      </c>
      <c r="AF122" s="71" t="e">
        <f>#REF!</f>
        <v>#REF!</v>
      </c>
    </row>
    <row r="123" spans="27:32" x14ac:dyDescent="0.25">
      <c r="AA123" s="71" t="e">
        <f>#REF!</f>
        <v>#REF!</v>
      </c>
      <c r="AB123" s="71" t="e">
        <f>#REF!</f>
        <v>#REF!</v>
      </c>
      <c r="AC123" s="71" t="e">
        <f>#REF!+AB123</f>
        <v>#REF!</v>
      </c>
      <c r="AD123" s="72" t="e">
        <f>-#REF!</f>
        <v>#REF!</v>
      </c>
      <c r="AE123" s="72" t="e">
        <f>-#REF!+$AD123</f>
        <v>#REF!</v>
      </c>
      <c r="AF123" s="71" t="e">
        <f>#REF!</f>
        <v>#REF!</v>
      </c>
    </row>
    <row r="124" spans="27:32" x14ac:dyDescent="0.25">
      <c r="AA124" s="71" t="e">
        <f>#REF!</f>
        <v>#REF!</v>
      </c>
      <c r="AB124" s="71" t="e">
        <f>#REF!</f>
        <v>#REF!</v>
      </c>
      <c r="AC124" s="71" t="e">
        <f>#REF!+AB124</f>
        <v>#REF!</v>
      </c>
      <c r="AD124" s="72" t="e">
        <f>-#REF!</f>
        <v>#REF!</v>
      </c>
      <c r="AE124" s="72" t="e">
        <f>-#REF!+$AD124</f>
        <v>#REF!</v>
      </c>
      <c r="AF124" s="71" t="e">
        <f>#REF!</f>
        <v>#REF!</v>
      </c>
    </row>
    <row r="125" spans="27:32" x14ac:dyDescent="0.25">
      <c r="AA125" s="71" t="e">
        <f>#REF!</f>
        <v>#REF!</v>
      </c>
      <c r="AB125" s="71" t="e">
        <f>#REF!</f>
        <v>#REF!</v>
      </c>
      <c r="AC125" s="71" t="e">
        <f>#REF!+AB125</f>
        <v>#REF!</v>
      </c>
      <c r="AD125" s="72" t="e">
        <f>-#REF!</f>
        <v>#REF!</v>
      </c>
      <c r="AE125" s="72" t="e">
        <f>-#REF!+$AD125</f>
        <v>#REF!</v>
      </c>
      <c r="AF125" s="71" t="e">
        <f>#REF!</f>
        <v>#REF!</v>
      </c>
    </row>
    <row r="126" spans="27:32" x14ac:dyDescent="0.25">
      <c r="AA126" s="71" t="e">
        <f>#REF!</f>
        <v>#REF!</v>
      </c>
      <c r="AB126" s="71" t="e">
        <f>#REF!</f>
        <v>#REF!</v>
      </c>
      <c r="AC126" s="71" t="e">
        <f>#REF!+AB126</f>
        <v>#REF!</v>
      </c>
      <c r="AD126" s="72" t="e">
        <f>-#REF!</f>
        <v>#REF!</v>
      </c>
      <c r="AE126" s="72" t="e">
        <f>-#REF!+$AD126</f>
        <v>#REF!</v>
      </c>
      <c r="AF126" s="71" t="e">
        <f>#REF!</f>
        <v>#REF!</v>
      </c>
    </row>
    <row r="127" spans="27:32" x14ac:dyDescent="0.25">
      <c r="AA127" s="71" t="e">
        <f>#REF!</f>
        <v>#REF!</v>
      </c>
      <c r="AB127" s="71" t="e">
        <f>#REF!</f>
        <v>#REF!</v>
      </c>
      <c r="AC127" s="71" t="e">
        <f>#REF!+AB127</f>
        <v>#REF!</v>
      </c>
      <c r="AD127" s="72" t="e">
        <f>-#REF!</f>
        <v>#REF!</v>
      </c>
      <c r="AE127" s="72" t="e">
        <f>-#REF!+$AD127</f>
        <v>#REF!</v>
      </c>
      <c r="AF127" s="71" t="e">
        <f>#REF!</f>
        <v>#REF!</v>
      </c>
    </row>
    <row r="128" spans="27:32" x14ac:dyDescent="0.25">
      <c r="AA128" s="71" t="e">
        <f>#REF!</f>
        <v>#REF!</v>
      </c>
      <c r="AB128" s="71" t="e">
        <f>#REF!</f>
        <v>#REF!</v>
      </c>
      <c r="AC128" s="71" t="e">
        <f>#REF!+AB128</f>
        <v>#REF!</v>
      </c>
      <c r="AD128" s="72" t="e">
        <f>-#REF!</f>
        <v>#REF!</v>
      </c>
      <c r="AE128" s="72" t="e">
        <f>-#REF!+$AD128</f>
        <v>#REF!</v>
      </c>
      <c r="AF128" s="71" t="e">
        <f>#REF!</f>
        <v>#REF!</v>
      </c>
    </row>
    <row r="129" spans="27:32" x14ac:dyDescent="0.25">
      <c r="AA129" s="71" t="e">
        <f>#REF!</f>
        <v>#REF!</v>
      </c>
      <c r="AB129" s="71" t="e">
        <f>#REF!</f>
        <v>#REF!</v>
      </c>
      <c r="AC129" s="71" t="e">
        <f>#REF!+AB129</f>
        <v>#REF!</v>
      </c>
      <c r="AD129" s="72" t="e">
        <f>-#REF!</f>
        <v>#REF!</v>
      </c>
      <c r="AE129" s="72" t="e">
        <f>-#REF!+$AD129</f>
        <v>#REF!</v>
      </c>
      <c r="AF129" s="71" t="e">
        <f>#REF!</f>
        <v>#REF!</v>
      </c>
    </row>
    <row r="130" spans="27:32" x14ac:dyDescent="0.25">
      <c r="AA130" s="71" t="e">
        <f>#REF!</f>
        <v>#REF!</v>
      </c>
      <c r="AB130" s="71" t="e">
        <f>#REF!</f>
        <v>#REF!</v>
      </c>
      <c r="AC130" s="71" t="e">
        <f>#REF!+AB130</f>
        <v>#REF!</v>
      </c>
      <c r="AD130" s="72" t="e">
        <f>-#REF!</f>
        <v>#REF!</v>
      </c>
      <c r="AE130" s="72" t="e">
        <f>-#REF!+$AD130</f>
        <v>#REF!</v>
      </c>
      <c r="AF130" s="71" t="e">
        <f>#REF!</f>
        <v>#REF!</v>
      </c>
    </row>
    <row r="131" spans="27:32" x14ac:dyDescent="0.25">
      <c r="AA131" s="71" t="e">
        <f>#REF!</f>
        <v>#REF!</v>
      </c>
      <c r="AB131" s="71" t="e">
        <f>#REF!</f>
        <v>#REF!</v>
      </c>
      <c r="AC131" s="71" t="e">
        <f>#REF!+AB131</f>
        <v>#REF!</v>
      </c>
      <c r="AD131" s="72" t="e">
        <f>-#REF!</f>
        <v>#REF!</v>
      </c>
      <c r="AE131" s="72" t="e">
        <f>-#REF!+$AD131</f>
        <v>#REF!</v>
      </c>
      <c r="AF131" s="71" t="e">
        <f>#REF!</f>
        <v>#REF!</v>
      </c>
    </row>
    <row r="132" spans="27:32" x14ac:dyDescent="0.25">
      <c r="AA132" s="71" t="e">
        <f>#REF!</f>
        <v>#REF!</v>
      </c>
      <c r="AB132" s="71" t="e">
        <f>#REF!</f>
        <v>#REF!</v>
      </c>
      <c r="AC132" s="71" t="e">
        <f>#REF!+AB132</f>
        <v>#REF!</v>
      </c>
      <c r="AD132" s="72" t="e">
        <f>-#REF!</f>
        <v>#REF!</v>
      </c>
      <c r="AE132" s="72" t="e">
        <f>-#REF!+$AD132</f>
        <v>#REF!</v>
      </c>
      <c r="AF132" s="71" t="e">
        <f>#REF!</f>
        <v>#REF!</v>
      </c>
    </row>
    <row r="133" spans="27:32" x14ac:dyDescent="0.25">
      <c r="AA133" s="71" t="e">
        <f>#REF!</f>
        <v>#REF!</v>
      </c>
      <c r="AB133" s="71" t="e">
        <f>#REF!</f>
        <v>#REF!</v>
      </c>
      <c r="AC133" s="71" t="e">
        <f>#REF!+AB133</f>
        <v>#REF!</v>
      </c>
      <c r="AD133" s="72" t="e">
        <f>-#REF!</f>
        <v>#REF!</v>
      </c>
      <c r="AE133" s="72" t="e">
        <f>-#REF!+$AD133</f>
        <v>#REF!</v>
      </c>
      <c r="AF133" s="71" t="e">
        <f>#REF!</f>
        <v>#REF!</v>
      </c>
    </row>
    <row r="134" spans="27:32" x14ac:dyDescent="0.25">
      <c r="AA134" s="71" t="e">
        <f>#REF!</f>
        <v>#REF!</v>
      </c>
      <c r="AB134" s="71" t="e">
        <f>#REF!</f>
        <v>#REF!</v>
      </c>
      <c r="AC134" s="71" t="e">
        <f>#REF!+AB134</f>
        <v>#REF!</v>
      </c>
      <c r="AD134" s="72" t="e">
        <f>-#REF!</f>
        <v>#REF!</v>
      </c>
      <c r="AE134" s="72" t="e">
        <f>-#REF!+$AD134</f>
        <v>#REF!</v>
      </c>
      <c r="AF134" s="71" t="e">
        <f>#REF!</f>
        <v>#REF!</v>
      </c>
    </row>
    <row r="135" spans="27:32" x14ac:dyDescent="0.25">
      <c r="AA135" s="71" t="e">
        <f>#REF!</f>
        <v>#REF!</v>
      </c>
      <c r="AB135" s="71" t="e">
        <f>#REF!</f>
        <v>#REF!</v>
      </c>
      <c r="AC135" s="71" t="e">
        <f>#REF!+AB135</f>
        <v>#REF!</v>
      </c>
      <c r="AD135" s="72" t="e">
        <f>-#REF!</f>
        <v>#REF!</v>
      </c>
      <c r="AE135" s="72" t="e">
        <f>-#REF!+$AD135</f>
        <v>#REF!</v>
      </c>
      <c r="AF135" s="71" t="e">
        <f>#REF!</f>
        <v>#REF!</v>
      </c>
    </row>
    <row r="136" spans="27:32" x14ac:dyDescent="0.25">
      <c r="AA136" s="71" t="e">
        <f>#REF!</f>
        <v>#REF!</v>
      </c>
      <c r="AB136" s="71" t="e">
        <f>#REF!</f>
        <v>#REF!</v>
      </c>
      <c r="AC136" s="71" t="e">
        <f>#REF!+AB136</f>
        <v>#REF!</v>
      </c>
      <c r="AD136" s="72" t="e">
        <f>-#REF!</f>
        <v>#REF!</v>
      </c>
      <c r="AE136" s="72" t="e">
        <f>-#REF!+$AD136</f>
        <v>#REF!</v>
      </c>
      <c r="AF136" s="71" t="e">
        <f>#REF!</f>
        <v>#REF!</v>
      </c>
    </row>
    <row r="137" spans="27:32" x14ac:dyDescent="0.25">
      <c r="AA137" s="71" t="e">
        <f>#REF!</f>
        <v>#REF!</v>
      </c>
      <c r="AB137" s="71" t="e">
        <f>#REF!</f>
        <v>#REF!</v>
      </c>
      <c r="AC137" s="71" t="e">
        <f>#REF!+AB137</f>
        <v>#REF!</v>
      </c>
      <c r="AD137" s="72" t="e">
        <f>-#REF!</f>
        <v>#REF!</v>
      </c>
      <c r="AE137" s="72" t="e">
        <f>-#REF!+$AD137</f>
        <v>#REF!</v>
      </c>
      <c r="AF137" s="71" t="e">
        <f>#REF!</f>
        <v>#REF!</v>
      </c>
    </row>
    <row r="138" spans="27:32" x14ac:dyDescent="0.25">
      <c r="AA138" s="71" t="e">
        <f>#REF!</f>
        <v>#REF!</v>
      </c>
      <c r="AB138" s="71" t="e">
        <f>#REF!</f>
        <v>#REF!</v>
      </c>
      <c r="AC138" s="71" t="e">
        <f>#REF!+AB138</f>
        <v>#REF!</v>
      </c>
      <c r="AD138" s="72" t="e">
        <f>-#REF!</f>
        <v>#REF!</v>
      </c>
      <c r="AE138" s="72" t="e">
        <f>-#REF!+$AD138</f>
        <v>#REF!</v>
      </c>
      <c r="AF138" s="71" t="e">
        <f>#REF!</f>
        <v>#REF!</v>
      </c>
    </row>
    <row r="139" spans="27:32" x14ac:dyDescent="0.25">
      <c r="AA139" s="71" t="e">
        <f>#REF!</f>
        <v>#REF!</v>
      </c>
      <c r="AB139" s="71" t="e">
        <f>#REF!</f>
        <v>#REF!</v>
      </c>
      <c r="AC139" s="71" t="e">
        <f>#REF!+AB139</f>
        <v>#REF!</v>
      </c>
      <c r="AD139" s="72" t="e">
        <f>-#REF!</f>
        <v>#REF!</v>
      </c>
      <c r="AE139" s="72" t="e">
        <f>-#REF!+$AD139</f>
        <v>#REF!</v>
      </c>
      <c r="AF139" s="71" t="e">
        <f>#REF!</f>
        <v>#REF!</v>
      </c>
    </row>
    <row r="140" spans="27:32" x14ac:dyDescent="0.25">
      <c r="AA140" s="71" t="e">
        <f>#REF!</f>
        <v>#REF!</v>
      </c>
      <c r="AB140" s="71" t="e">
        <f>#REF!</f>
        <v>#REF!</v>
      </c>
      <c r="AC140" s="71" t="e">
        <f>#REF!+AB140</f>
        <v>#REF!</v>
      </c>
      <c r="AD140" s="72" t="e">
        <f>-#REF!</f>
        <v>#REF!</v>
      </c>
      <c r="AE140" s="72" t="e">
        <f>-#REF!+$AD140</f>
        <v>#REF!</v>
      </c>
      <c r="AF140" s="71" t="e">
        <f>#REF!</f>
        <v>#REF!</v>
      </c>
    </row>
    <row r="141" spans="27:32" x14ac:dyDescent="0.25">
      <c r="AA141" s="71" t="e">
        <f>#REF!</f>
        <v>#REF!</v>
      </c>
      <c r="AB141" s="71" t="e">
        <f>#REF!</f>
        <v>#REF!</v>
      </c>
      <c r="AC141" s="71" t="e">
        <f>#REF!+AB141</f>
        <v>#REF!</v>
      </c>
      <c r="AD141" s="72" t="e">
        <f>-#REF!</f>
        <v>#REF!</v>
      </c>
      <c r="AE141" s="72" t="e">
        <f>-#REF!+$AD141</f>
        <v>#REF!</v>
      </c>
      <c r="AF141" s="71" t="e">
        <f>#REF!</f>
        <v>#REF!</v>
      </c>
    </row>
    <row r="142" spans="27:32" x14ac:dyDescent="0.25">
      <c r="AA142" s="71" t="e">
        <f>#REF!</f>
        <v>#REF!</v>
      </c>
      <c r="AB142" s="71" t="e">
        <f>#REF!</f>
        <v>#REF!</v>
      </c>
      <c r="AC142" s="71" t="e">
        <f>#REF!+AB142</f>
        <v>#REF!</v>
      </c>
      <c r="AD142" s="72" t="e">
        <f>-#REF!</f>
        <v>#REF!</v>
      </c>
      <c r="AE142" s="72" t="e">
        <f>-#REF!+$AD142</f>
        <v>#REF!</v>
      </c>
      <c r="AF142" s="71" t="e">
        <f>#REF!</f>
        <v>#REF!</v>
      </c>
    </row>
    <row r="143" spans="27:32" x14ac:dyDescent="0.25">
      <c r="AA143" s="71" t="e">
        <f>#REF!</f>
        <v>#REF!</v>
      </c>
      <c r="AB143" s="71" t="e">
        <f>#REF!</f>
        <v>#REF!</v>
      </c>
      <c r="AC143" s="71" t="e">
        <f>#REF!+AB143</f>
        <v>#REF!</v>
      </c>
      <c r="AD143" s="72" t="e">
        <f>-#REF!</f>
        <v>#REF!</v>
      </c>
      <c r="AE143" s="72" t="e">
        <f>-#REF!+$AD143</f>
        <v>#REF!</v>
      </c>
      <c r="AF143" s="71" t="e">
        <f>#REF!</f>
        <v>#REF!</v>
      </c>
    </row>
    <row r="144" spans="27:32" x14ac:dyDescent="0.25">
      <c r="AA144" s="71" t="e">
        <f>#REF!</f>
        <v>#REF!</v>
      </c>
      <c r="AB144" s="71" t="e">
        <f>#REF!</f>
        <v>#REF!</v>
      </c>
      <c r="AC144" s="71" t="e">
        <f>#REF!+AB144</f>
        <v>#REF!</v>
      </c>
      <c r="AD144" s="72" t="e">
        <f>-#REF!</f>
        <v>#REF!</v>
      </c>
      <c r="AE144" s="72" t="e">
        <f>-#REF!+$AD144</f>
        <v>#REF!</v>
      </c>
      <c r="AF144" s="71" t="e">
        <f>#REF!</f>
        <v>#REF!</v>
      </c>
    </row>
    <row r="145" spans="27:32" x14ac:dyDescent="0.25">
      <c r="AA145" s="71" t="e">
        <f>#REF!</f>
        <v>#REF!</v>
      </c>
      <c r="AB145" s="71" t="e">
        <f>#REF!</f>
        <v>#REF!</v>
      </c>
      <c r="AC145" s="71" t="e">
        <f>#REF!+AB145</f>
        <v>#REF!</v>
      </c>
      <c r="AD145" s="72" t="e">
        <f>-#REF!</f>
        <v>#REF!</v>
      </c>
      <c r="AE145" s="72" t="e">
        <f>-#REF!+$AD145</f>
        <v>#REF!</v>
      </c>
      <c r="AF145" s="71" t="e">
        <f>#REF!</f>
        <v>#REF!</v>
      </c>
    </row>
    <row r="146" spans="27:32" x14ac:dyDescent="0.25">
      <c r="AA146" s="71" t="e">
        <f>#REF!</f>
        <v>#REF!</v>
      </c>
      <c r="AB146" s="71" t="e">
        <f>#REF!</f>
        <v>#REF!</v>
      </c>
      <c r="AC146" s="71" t="e">
        <f>#REF!+AB146</f>
        <v>#REF!</v>
      </c>
      <c r="AD146" s="72" t="e">
        <f>-#REF!</f>
        <v>#REF!</v>
      </c>
      <c r="AE146" s="72" t="e">
        <f>-#REF!+$AD146</f>
        <v>#REF!</v>
      </c>
      <c r="AF146" s="71" t="e">
        <f>#REF!</f>
        <v>#REF!</v>
      </c>
    </row>
    <row r="147" spans="27:32" x14ac:dyDescent="0.25">
      <c r="AA147" s="71" t="e">
        <f>#REF!</f>
        <v>#REF!</v>
      </c>
      <c r="AB147" s="71" t="e">
        <f>#REF!</f>
        <v>#REF!</v>
      </c>
      <c r="AC147" s="71" t="e">
        <f>#REF!+AB147</f>
        <v>#REF!</v>
      </c>
      <c r="AD147" s="72" t="e">
        <f>-#REF!</f>
        <v>#REF!</v>
      </c>
      <c r="AE147" s="72" t="e">
        <f>-#REF!+$AD147</f>
        <v>#REF!</v>
      </c>
      <c r="AF147" s="71" t="e">
        <f>#REF!</f>
        <v>#REF!</v>
      </c>
    </row>
    <row r="148" spans="27:32" x14ac:dyDescent="0.25">
      <c r="AA148" s="71" t="e">
        <f>#REF!</f>
        <v>#REF!</v>
      </c>
      <c r="AB148" s="71" t="e">
        <f>#REF!</f>
        <v>#REF!</v>
      </c>
      <c r="AC148" s="71" t="e">
        <f>#REF!+AB148</f>
        <v>#REF!</v>
      </c>
      <c r="AD148" s="72" t="e">
        <f>-#REF!</f>
        <v>#REF!</v>
      </c>
      <c r="AE148" s="72" t="e">
        <f>-#REF!+$AD148</f>
        <v>#REF!</v>
      </c>
      <c r="AF148" s="71" t="e">
        <f>#REF!</f>
        <v>#REF!</v>
      </c>
    </row>
    <row r="149" spans="27:32" x14ac:dyDescent="0.25">
      <c r="AA149" s="71" t="e">
        <f>#REF!</f>
        <v>#REF!</v>
      </c>
      <c r="AB149" s="71" t="e">
        <f>#REF!</f>
        <v>#REF!</v>
      </c>
      <c r="AC149" s="71" t="e">
        <f>#REF!+AB149</f>
        <v>#REF!</v>
      </c>
      <c r="AD149" s="72" t="e">
        <f>-#REF!</f>
        <v>#REF!</v>
      </c>
      <c r="AE149" s="72" t="e">
        <f>-#REF!+$AD149</f>
        <v>#REF!</v>
      </c>
      <c r="AF149" s="71" t="e">
        <f>#REF!</f>
        <v>#REF!</v>
      </c>
    </row>
    <row r="150" spans="27:32" x14ac:dyDescent="0.25">
      <c r="AA150" s="71" t="e">
        <f>#REF!</f>
        <v>#REF!</v>
      </c>
      <c r="AB150" s="71" t="e">
        <f>#REF!</f>
        <v>#REF!</v>
      </c>
      <c r="AC150" s="71" t="e">
        <f>#REF!+AB150</f>
        <v>#REF!</v>
      </c>
      <c r="AD150" s="72" t="e">
        <f>-#REF!</f>
        <v>#REF!</v>
      </c>
      <c r="AE150" s="72" t="e">
        <f>-#REF!+$AD150</f>
        <v>#REF!</v>
      </c>
      <c r="AF150" s="71" t="e">
        <f>#REF!</f>
        <v>#REF!</v>
      </c>
    </row>
    <row r="151" spans="27:32" x14ac:dyDescent="0.25">
      <c r="AA151" s="71" t="e">
        <f>#REF!</f>
        <v>#REF!</v>
      </c>
      <c r="AB151" s="71" t="e">
        <f>#REF!</f>
        <v>#REF!</v>
      </c>
      <c r="AC151" s="71" t="e">
        <f>#REF!+AB151</f>
        <v>#REF!</v>
      </c>
      <c r="AD151" s="72" t="e">
        <f>-#REF!</f>
        <v>#REF!</v>
      </c>
      <c r="AE151" s="72" t="e">
        <f>-#REF!+$AD151</f>
        <v>#REF!</v>
      </c>
      <c r="AF151" s="71" t="e">
        <f>#REF!</f>
        <v>#REF!</v>
      </c>
    </row>
    <row r="152" spans="27:32" x14ac:dyDescent="0.25">
      <c r="AA152" s="71" t="e">
        <f>#REF!</f>
        <v>#REF!</v>
      </c>
      <c r="AB152" s="71" t="e">
        <f>#REF!</f>
        <v>#REF!</v>
      </c>
      <c r="AC152" s="71" t="e">
        <f>#REF!+AB152</f>
        <v>#REF!</v>
      </c>
      <c r="AD152" s="72" t="e">
        <f>-#REF!</f>
        <v>#REF!</v>
      </c>
      <c r="AE152" s="72" t="e">
        <f>-#REF!+$AD152</f>
        <v>#REF!</v>
      </c>
      <c r="AF152" s="71" t="e">
        <f>#REF!</f>
        <v>#REF!</v>
      </c>
    </row>
    <row r="153" spans="27:32" x14ac:dyDescent="0.25">
      <c r="AA153" s="71" t="e">
        <f>#REF!</f>
        <v>#REF!</v>
      </c>
      <c r="AB153" s="71" t="e">
        <f>#REF!</f>
        <v>#REF!</v>
      </c>
      <c r="AC153" s="71" t="e">
        <f>#REF!+AB153</f>
        <v>#REF!</v>
      </c>
      <c r="AD153" s="72" t="e">
        <f>-#REF!</f>
        <v>#REF!</v>
      </c>
      <c r="AE153" s="72" t="e">
        <f>-#REF!+$AD153</f>
        <v>#REF!</v>
      </c>
      <c r="AF153" s="71" t="e">
        <f>#REF!</f>
        <v>#REF!</v>
      </c>
    </row>
    <row r="154" spans="27:32" x14ac:dyDescent="0.25">
      <c r="AA154" s="71" t="e">
        <f>#REF!</f>
        <v>#REF!</v>
      </c>
      <c r="AB154" s="71" t="e">
        <f>#REF!</f>
        <v>#REF!</v>
      </c>
      <c r="AC154" s="71" t="e">
        <f>#REF!+AB154</f>
        <v>#REF!</v>
      </c>
      <c r="AD154" s="72" t="e">
        <f>-#REF!</f>
        <v>#REF!</v>
      </c>
      <c r="AE154" s="72" t="e">
        <f>-#REF!+$AD154</f>
        <v>#REF!</v>
      </c>
      <c r="AF154" s="71" t="e">
        <f>#REF!</f>
        <v>#REF!</v>
      </c>
    </row>
    <row r="155" spans="27:32" x14ac:dyDescent="0.25">
      <c r="AA155" s="71" t="e">
        <f>#REF!</f>
        <v>#REF!</v>
      </c>
      <c r="AB155" s="71" t="e">
        <f>#REF!</f>
        <v>#REF!</v>
      </c>
      <c r="AC155" s="71" t="e">
        <f>#REF!+AB155</f>
        <v>#REF!</v>
      </c>
      <c r="AD155" s="72" t="e">
        <f>-#REF!</f>
        <v>#REF!</v>
      </c>
      <c r="AE155" s="72" t="e">
        <f>-#REF!+$AD155</f>
        <v>#REF!</v>
      </c>
      <c r="AF155" s="71" t="e">
        <f>#REF!</f>
        <v>#REF!</v>
      </c>
    </row>
    <row r="156" spans="27:32" x14ac:dyDescent="0.25">
      <c r="AA156" s="71" t="e">
        <f>#REF!</f>
        <v>#REF!</v>
      </c>
      <c r="AB156" s="71" t="e">
        <f>#REF!</f>
        <v>#REF!</v>
      </c>
      <c r="AC156" s="71" t="e">
        <f>#REF!+AB156</f>
        <v>#REF!</v>
      </c>
      <c r="AD156" s="72" t="e">
        <f>-#REF!</f>
        <v>#REF!</v>
      </c>
      <c r="AE156" s="72" t="e">
        <f>-#REF!+$AD156</f>
        <v>#REF!</v>
      </c>
      <c r="AF156" s="71" t="e">
        <f>#REF!</f>
        <v>#REF!</v>
      </c>
    </row>
    <row r="157" spans="27:32" x14ac:dyDescent="0.25">
      <c r="AA157" s="71" t="e">
        <f>#REF!</f>
        <v>#REF!</v>
      </c>
      <c r="AB157" s="71" t="e">
        <f>#REF!</f>
        <v>#REF!</v>
      </c>
      <c r="AC157" s="71" t="e">
        <f>#REF!+AB157</f>
        <v>#REF!</v>
      </c>
      <c r="AD157" s="72" t="e">
        <f>-#REF!</f>
        <v>#REF!</v>
      </c>
      <c r="AE157" s="72" t="e">
        <f>-#REF!+$AD157</f>
        <v>#REF!</v>
      </c>
      <c r="AF157" s="71" t="e">
        <f>#REF!</f>
        <v>#REF!</v>
      </c>
    </row>
    <row r="158" spans="27:32" x14ac:dyDescent="0.25">
      <c r="AA158" s="71" t="e">
        <f>#REF!</f>
        <v>#REF!</v>
      </c>
      <c r="AB158" s="71" t="e">
        <f>#REF!</f>
        <v>#REF!</v>
      </c>
      <c r="AC158" s="71" t="e">
        <f>#REF!+AB158</f>
        <v>#REF!</v>
      </c>
      <c r="AD158" s="72" t="e">
        <f>-#REF!</f>
        <v>#REF!</v>
      </c>
      <c r="AE158" s="72" t="e">
        <f>-#REF!+$AD158</f>
        <v>#REF!</v>
      </c>
      <c r="AF158" s="71" t="e">
        <f>#REF!</f>
        <v>#REF!</v>
      </c>
    </row>
    <row r="159" spans="27:32" x14ac:dyDescent="0.25">
      <c r="AA159" s="71" t="e">
        <f>#REF!</f>
        <v>#REF!</v>
      </c>
      <c r="AB159" s="71" t="e">
        <f>#REF!</f>
        <v>#REF!</v>
      </c>
      <c r="AC159" s="71" t="e">
        <f>#REF!+AB159</f>
        <v>#REF!</v>
      </c>
      <c r="AD159" s="72" t="e">
        <f>-#REF!</f>
        <v>#REF!</v>
      </c>
      <c r="AE159" s="72" t="e">
        <f>-#REF!+$AD159</f>
        <v>#REF!</v>
      </c>
      <c r="AF159" s="71" t="e">
        <f>#REF!</f>
        <v>#REF!</v>
      </c>
    </row>
    <row r="160" spans="27:32" x14ac:dyDescent="0.25">
      <c r="AA160" s="71" t="e">
        <f>#REF!</f>
        <v>#REF!</v>
      </c>
      <c r="AB160" s="71" t="e">
        <f>#REF!</f>
        <v>#REF!</v>
      </c>
      <c r="AC160" s="71" t="e">
        <f>#REF!+AB160</f>
        <v>#REF!</v>
      </c>
      <c r="AD160" s="72" t="e">
        <f>-#REF!</f>
        <v>#REF!</v>
      </c>
      <c r="AE160" s="72" t="e">
        <f>-#REF!+$AD160</f>
        <v>#REF!</v>
      </c>
      <c r="AF160" s="71" t="e">
        <f>#REF!</f>
        <v>#REF!</v>
      </c>
    </row>
    <row r="161" spans="27:32" x14ac:dyDescent="0.25">
      <c r="AA161" s="71" t="e">
        <f>#REF!</f>
        <v>#REF!</v>
      </c>
      <c r="AB161" s="71" t="e">
        <f>#REF!</f>
        <v>#REF!</v>
      </c>
      <c r="AC161" s="71" t="e">
        <f>#REF!+AB161</f>
        <v>#REF!</v>
      </c>
      <c r="AD161" s="72" t="e">
        <f>-#REF!</f>
        <v>#REF!</v>
      </c>
      <c r="AE161" s="72" t="e">
        <f>-#REF!+$AD161</f>
        <v>#REF!</v>
      </c>
      <c r="AF161" s="71" t="e">
        <f>#REF!</f>
        <v>#REF!</v>
      </c>
    </row>
    <row r="162" spans="27:32" x14ac:dyDescent="0.25">
      <c r="AA162" s="71" t="e">
        <f>#REF!</f>
        <v>#REF!</v>
      </c>
      <c r="AB162" s="71" t="e">
        <f>#REF!</f>
        <v>#REF!</v>
      </c>
      <c r="AC162" s="71" t="e">
        <f>#REF!+AB162</f>
        <v>#REF!</v>
      </c>
      <c r="AD162" s="72" t="e">
        <f>-#REF!</f>
        <v>#REF!</v>
      </c>
      <c r="AE162" s="72" t="e">
        <f>-#REF!+$AD162</f>
        <v>#REF!</v>
      </c>
      <c r="AF162" s="71" t="e">
        <f>#REF!</f>
        <v>#REF!</v>
      </c>
    </row>
    <row r="163" spans="27:32" x14ac:dyDescent="0.25">
      <c r="AA163" s="71" t="e">
        <f>#REF!</f>
        <v>#REF!</v>
      </c>
      <c r="AB163" s="71" t="e">
        <f>#REF!</f>
        <v>#REF!</v>
      </c>
      <c r="AC163" s="71" t="e">
        <f>#REF!+AB163</f>
        <v>#REF!</v>
      </c>
      <c r="AD163" s="72" t="e">
        <f>-#REF!</f>
        <v>#REF!</v>
      </c>
      <c r="AE163" s="72" t="e">
        <f>-#REF!+$AD163</f>
        <v>#REF!</v>
      </c>
      <c r="AF163" s="71" t="e">
        <f>#REF!</f>
        <v>#REF!</v>
      </c>
    </row>
    <row r="164" spans="27:32" x14ac:dyDescent="0.25">
      <c r="AA164" s="71" t="e">
        <f>#REF!</f>
        <v>#REF!</v>
      </c>
      <c r="AB164" s="71" t="e">
        <f>#REF!</f>
        <v>#REF!</v>
      </c>
      <c r="AC164" s="71" t="e">
        <f>#REF!+AB164</f>
        <v>#REF!</v>
      </c>
      <c r="AD164" s="72" t="e">
        <f>-#REF!</f>
        <v>#REF!</v>
      </c>
      <c r="AE164" s="72" t="e">
        <f>-#REF!+$AD164</f>
        <v>#REF!</v>
      </c>
      <c r="AF164" s="71" t="e">
        <f>#REF!</f>
        <v>#REF!</v>
      </c>
    </row>
    <row r="165" spans="27:32" x14ac:dyDescent="0.25">
      <c r="AA165" s="71" t="e">
        <f>#REF!</f>
        <v>#REF!</v>
      </c>
      <c r="AB165" s="71" t="e">
        <f>#REF!</f>
        <v>#REF!</v>
      </c>
      <c r="AC165" s="71" t="e">
        <f>#REF!+AB165</f>
        <v>#REF!</v>
      </c>
      <c r="AD165" s="72" t="e">
        <f>-#REF!</f>
        <v>#REF!</v>
      </c>
      <c r="AE165" s="72" t="e">
        <f>-#REF!+$AD165</f>
        <v>#REF!</v>
      </c>
      <c r="AF165" s="71" t="e">
        <f>#REF!</f>
        <v>#REF!</v>
      </c>
    </row>
    <row r="166" spans="27:32" x14ac:dyDescent="0.25">
      <c r="AA166" s="71" t="e">
        <f>#REF!</f>
        <v>#REF!</v>
      </c>
      <c r="AB166" s="71" t="e">
        <f>#REF!</f>
        <v>#REF!</v>
      </c>
      <c r="AC166" s="71" t="e">
        <f>#REF!+AB166</f>
        <v>#REF!</v>
      </c>
      <c r="AD166" s="72" t="e">
        <f>-#REF!</f>
        <v>#REF!</v>
      </c>
      <c r="AE166" s="72" t="e">
        <f>-#REF!+$AD166</f>
        <v>#REF!</v>
      </c>
      <c r="AF166" s="71" t="e">
        <f>#REF!</f>
        <v>#REF!</v>
      </c>
    </row>
    <row r="167" spans="27:32" x14ac:dyDescent="0.25">
      <c r="AA167" s="71" t="e">
        <f>#REF!</f>
        <v>#REF!</v>
      </c>
      <c r="AB167" s="71" t="e">
        <f>#REF!</f>
        <v>#REF!</v>
      </c>
      <c r="AC167" s="71" t="e">
        <f>#REF!+AB167</f>
        <v>#REF!</v>
      </c>
      <c r="AD167" s="72" t="e">
        <f>-#REF!</f>
        <v>#REF!</v>
      </c>
      <c r="AE167" s="72" t="e">
        <f>-#REF!+$AD167</f>
        <v>#REF!</v>
      </c>
      <c r="AF167" s="71" t="e">
        <f>#REF!</f>
        <v>#REF!</v>
      </c>
    </row>
    <row r="168" spans="27:32" x14ac:dyDescent="0.25">
      <c r="AA168" s="71" t="e">
        <f>#REF!</f>
        <v>#REF!</v>
      </c>
      <c r="AB168" s="71" t="e">
        <f>#REF!</f>
        <v>#REF!</v>
      </c>
      <c r="AC168" s="71" t="e">
        <f>#REF!+AB168</f>
        <v>#REF!</v>
      </c>
      <c r="AD168" s="72" t="e">
        <f>-#REF!</f>
        <v>#REF!</v>
      </c>
      <c r="AE168" s="72" t="e">
        <f>-#REF!+$AD168</f>
        <v>#REF!</v>
      </c>
      <c r="AF168" s="71" t="e">
        <f>#REF!</f>
        <v>#REF!</v>
      </c>
    </row>
    <row r="169" spans="27:32" x14ac:dyDescent="0.25">
      <c r="AA169" s="71" t="e">
        <f>#REF!</f>
        <v>#REF!</v>
      </c>
      <c r="AB169" s="71" t="e">
        <f>#REF!</f>
        <v>#REF!</v>
      </c>
      <c r="AC169" s="71" t="e">
        <f>#REF!+AB169</f>
        <v>#REF!</v>
      </c>
      <c r="AD169" s="72" t="e">
        <f>-#REF!</f>
        <v>#REF!</v>
      </c>
      <c r="AE169" s="72" t="e">
        <f>-#REF!+$AD169</f>
        <v>#REF!</v>
      </c>
      <c r="AF169" s="71" t="e">
        <f>#REF!</f>
        <v>#REF!</v>
      </c>
    </row>
    <row r="170" spans="27:32" x14ac:dyDescent="0.25">
      <c r="AA170" s="71" t="e">
        <f>#REF!</f>
        <v>#REF!</v>
      </c>
      <c r="AB170" s="71" t="e">
        <f>#REF!</f>
        <v>#REF!</v>
      </c>
      <c r="AC170" s="71" t="e">
        <f>#REF!+AB170</f>
        <v>#REF!</v>
      </c>
      <c r="AD170" s="72" t="e">
        <f>-#REF!</f>
        <v>#REF!</v>
      </c>
      <c r="AE170" s="72" t="e">
        <f>-#REF!+$AD170</f>
        <v>#REF!</v>
      </c>
      <c r="AF170" s="71" t="e">
        <f>#REF!</f>
        <v>#REF!</v>
      </c>
    </row>
    <row r="171" spans="27:32" x14ac:dyDescent="0.25">
      <c r="AA171" s="71" t="e">
        <f>#REF!</f>
        <v>#REF!</v>
      </c>
      <c r="AB171" s="71" t="e">
        <f>#REF!</f>
        <v>#REF!</v>
      </c>
      <c r="AC171" s="71" t="e">
        <f>#REF!+AB171</f>
        <v>#REF!</v>
      </c>
      <c r="AD171" s="72" t="e">
        <f>-#REF!</f>
        <v>#REF!</v>
      </c>
      <c r="AE171" s="72" t="e">
        <f>-#REF!+$AD171</f>
        <v>#REF!</v>
      </c>
      <c r="AF171" s="71" t="e">
        <f>#REF!</f>
        <v>#REF!</v>
      </c>
    </row>
    <row r="172" spans="27:32" x14ac:dyDescent="0.25">
      <c r="AA172" s="71" t="e">
        <f>#REF!</f>
        <v>#REF!</v>
      </c>
      <c r="AB172" s="71" t="e">
        <f>#REF!</f>
        <v>#REF!</v>
      </c>
      <c r="AC172" s="71" t="e">
        <f>#REF!+AB172</f>
        <v>#REF!</v>
      </c>
      <c r="AD172" s="72" t="e">
        <f>-#REF!</f>
        <v>#REF!</v>
      </c>
      <c r="AE172" s="72" t="e">
        <f>-#REF!+$AD172</f>
        <v>#REF!</v>
      </c>
      <c r="AF172" s="71" t="e">
        <f>#REF!</f>
        <v>#REF!</v>
      </c>
    </row>
    <row r="173" spans="27:32" x14ac:dyDescent="0.25">
      <c r="AA173" s="71" t="e">
        <f>#REF!</f>
        <v>#REF!</v>
      </c>
      <c r="AB173" s="71" t="e">
        <f>#REF!</f>
        <v>#REF!</v>
      </c>
      <c r="AC173" s="71" t="e">
        <f>#REF!+AB173</f>
        <v>#REF!</v>
      </c>
      <c r="AD173" s="72" t="e">
        <f>-#REF!</f>
        <v>#REF!</v>
      </c>
      <c r="AE173" s="72" t="e">
        <f>-#REF!+$AD173</f>
        <v>#REF!</v>
      </c>
      <c r="AF173" s="71" t="e">
        <f>#REF!</f>
        <v>#REF!</v>
      </c>
    </row>
    <row r="174" spans="27:32" x14ac:dyDescent="0.25">
      <c r="AA174" s="71" t="e">
        <f>#REF!</f>
        <v>#REF!</v>
      </c>
      <c r="AB174" s="71" t="e">
        <f>#REF!</f>
        <v>#REF!</v>
      </c>
      <c r="AC174" s="71" t="e">
        <f>#REF!+AB174</f>
        <v>#REF!</v>
      </c>
      <c r="AD174" s="72" t="e">
        <f>-#REF!</f>
        <v>#REF!</v>
      </c>
      <c r="AE174" s="72" t="e">
        <f>-#REF!+$AD174</f>
        <v>#REF!</v>
      </c>
      <c r="AF174" s="71" t="e">
        <f>#REF!</f>
        <v>#REF!</v>
      </c>
    </row>
    <row r="175" spans="27:32" x14ac:dyDescent="0.25">
      <c r="AA175" s="71" t="e">
        <f>#REF!</f>
        <v>#REF!</v>
      </c>
      <c r="AB175" s="71" t="e">
        <f>#REF!</f>
        <v>#REF!</v>
      </c>
      <c r="AC175" s="71" t="e">
        <f>#REF!+AB175</f>
        <v>#REF!</v>
      </c>
      <c r="AD175" s="72" t="e">
        <f>-#REF!</f>
        <v>#REF!</v>
      </c>
      <c r="AE175" s="72" t="e">
        <f>-#REF!+$AD175</f>
        <v>#REF!</v>
      </c>
      <c r="AF175" s="71" t="e">
        <f>#REF!</f>
        <v>#REF!</v>
      </c>
    </row>
    <row r="176" spans="27:32" x14ac:dyDescent="0.25">
      <c r="AA176" s="71" t="e">
        <f>#REF!</f>
        <v>#REF!</v>
      </c>
      <c r="AB176" s="71" t="e">
        <f>#REF!</f>
        <v>#REF!</v>
      </c>
      <c r="AC176" s="71" t="e">
        <f>#REF!+AB176</f>
        <v>#REF!</v>
      </c>
      <c r="AD176" s="72" t="e">
        <f>-#REF!</f>
        <v>#REF!</v>
      </c>
      <c r="AE176" s="72" t="e">
        <f>-#REF!+$AD176</f>
        <v>#REF!</v>
      </c>
      <c r="AF176" s="71" t="e">
        <f>#REF!</f>
        <v>#REF!</v>
      </c>
    </row>
    <row r="177" spans="27:32" x14ac:dyDescent="0.25">
      <c r="AA177" s="71" t="e">
        <f>#REF!</f>
        <v>#REF!</v>
      </c>
      <c r="AB177" s="71" t="e">
        <f>#REF!</f>
        <v>#REF!</v>
      </c>
      <c r="AC177" s="71" t="e">
        <f>#REF!+AB177</f>
        <v>#REF!</v>
      </c>
      <c r="AD177" s="72" t="e">
        <f>-#REF!</f>
        <v>#REF!</v>
      </c>
      <c r="AE177" s="72" t="e">
        <f>-#REF!+$AD177</f>
        <v>#REF!</v>
      </c>
      <c r="AF177" s="71" t="e">
        <f>#REF!</f>
        <v>#REF!</v>
      </c>
    </row>
    <row r="178" spans="27:32" x14ac:dyDescent="0.25">
      <c r="AA178" s="71" t="e">
        <f>#REF!</f>
        <v>#REF!</v>
      </c>
      <c r="AB178" s="71" t="e">
        <f>#REF!</f>
        <v>#REF!</v>
      </c>
      <c r="AC178" s="71" t="e">
        <f>#REF!+AB178</f>
        <v>#REF!</v>
      </c>
      <c r="AD178" s="72" t="e">
        <f>-#REF!</f>
        <v>#REF!</v>
      </c>
      <c r="AE178" s="72" t="e">
        <f>-#REF!+$AD178</f>
        <v>#REF!</v>
      </c>
      <c r="AF178" s="71" t="e">
        <f>#REF!</f>
        <v>#REF!</v>
      </c>
    </row>
    <row r="179" spans="27:32" x14ac:dyDescent="0.25">
      <c r="AA179" s="71" t="e">
        <f>#REF!</f>
        <v>#REF!</v>
      </c>
      <c r="AB179" s="71" t="e">
        <f>#REF!</f>
        <v>#REF!</v>
      </c>
      <c r="AC179" s="71" t="e">
        <f>#REF!+AB179</f>
        <v>#REF!</v>
      </c>
      <c r="AD179" s="72" t="e">
        <f>-#REF!</f>
        <v>#REF!</v>
      </c>
      <c r="AE179" s="72" t="e">
        <f>-#REF!+$AD179</f>
        <v>#REF!</v>
      </c>
      <c r="AF179" s="71" t="e">
        <f>#REF!</f>
        <v>#REF!</v>
      </c>
    </row>
    <row r="180" spans="27:32" x14ac:dyDescent="0.25">
      <c r="AA180" s="71" t="e">
        <f>#REF!</f>
        <v>#REF!</v>
      </c>
      <c r="AB180" s="71" t="e">
        <f>#REF!</f>
        <v>#REF!</v>
      </c>
      <c r="AC180" s="71" t="e">
        <f>#REF!+AB180</f>
        <v>#REF!</v>
      </c>
      <c r="AD180" s="72" t="e">
        <f>-#REF!</f>
        <v>#REF!</v>
      </c>
      <c r="AE180" s="72" t="e">
        <f>-#REF!+$AD180</f>
        <v>#REF!</v>
      </c>
      <c r="AF180" s="71" t="e">
        <f>#REF!</f>
        <v>#REF!</v>
      </c>
    </row>
    <row r="181" spans="27:32" x14ac:dyDescent="0.25">
      <c r="AA181" s="71" t="e">
        <f>#REF!</f>
        <v>#REF!</v>
      </c>
      <c r="AB181" s="71" t="e">
        <f>#REF!</f>
        <v>#REF!</v>
      </c>
      <c r="AC181" s="71" t="e">
        <f>#REF!+AB181</f>
        <v>#REF!</v>
      </c>
      <c r="AD181" s="72" t="e">
        <f>-#REF!</f>
        <v>#REF!</v>
      </c>
      <c r="AE181" s="72" t="e">
        <f>-#REF!+$AD181</f>
        <v>#REF!</v>
      </c>
      <c r="AF181" s="71" t="e">
        <f>#REF!</f>
        <v>#REF!</v>
      </c>
    </row>
    <row r="182" spans="27:32" x14ac:dyDescent="0.25">
      <c r="AA182" s="71" t="e">
        <f>#REF!</f>
        <v>#REF!</v>
      </c>
      <c r="AB182" s="71" t="e">
        <f>#REF!</f>
        <v>#REF!</v>
      </c>
      <c r="AC182" s="71" t="e">
        <f>#REF!+AB182</f>
        <v>#REF!</v>
      </c>
      <c r="AD182" s="72" t="e">
        <f>-#REF!</f>
        <v>#REF!</v>
      </c>
      <c r="AE182" s="72" t="e">
        <f>-#REF!+$AD182</f>
        <v>#REF!</v>
      </c>
      <c r="AF182" s="71" t="e">
        <f>#REF!</f>
        <v>#REF!</v>
      </c>
    </row>
    <row r="183" spans="27:32" x14ac:dyDescent="0.25">
      <c r="AA183" s="71" t="e">
        <f>#REF!</f>
        <v>#REF!</v>
      </c>
      <c r="AB183" s="71" t="e">
        <f>#REF!</f>
        <v>#REF!</v>
      </c>
      <c r="AC183" s="71" t="e">
        <f>#REF!+AB183</f>
        <v>#REF!</v>
      </c>
      <c r="AD183" s="72" t="e">
        <f>-#REF!</f>
        <v>#REF!</v>
      </c>
      <c r="AE183" s="72" t="e">
        <f>-#REF!+$AD183</f>
        <v>#REF!</v>
      </c>
      <c r="AF183" s="71" t="e">
        <f>#REF!</f>
        <v>#REF!</v>
      </c>
    </row>
    <row r="184" spans="27:32" x14ac:dyDescent="0.25">
      <c r="AA184" s="71" t="e">
        <f>#REF!</f>
        <v>#REF!</v>
      </c>
      <c r="AB184" s="71" t="e">
        <f>#REF!</f>
        <v>#REF!</v>
      </c>
      <c r="AC184" s="71" t="e">
        <f>#REF!+AB184</f>
        <v>#REF!</v>
      </c>
      <c r="AD184" s="72" t="e">
        <f>-#REF!</f>
        <v>#REF!</v>
      </c>
      <c r="AE184" s="72" t="e">
        <f>-#REF!+$AD184</f>
        <v>#REF!</v>
      </c>
      <c r="AF184" s="71" t="e">
        <f>#REF!</f>
        <v>#REF!</v>
      </c>
    </row>
    <row r="185" spans="27:32" x14ac:dyDescent="0.25">
      <c r="AA185" s="71" t="e">
        <f>#REF!</f>
        <v>#REF!</v>
      </c>
      <c r="AB185" s="71" t="e">
        <f>#REF!</f>
        <v>#REF!</v>
      </c>
      <c r="AC185" s="71" t="e">
        <f>#REF!+AB185</f>
        <v>#REF!</v>
      </c>
      <c r="AD185" s="72" t="e">
        <f>-#REF!</f>
        <v>#REF!</v>
      </c>
      <c r="AE185" s="72" t="e">
        <f>-#REF!+$AD185</f>
        <v>#REF!</v>
      </c>
      <c r="AF185" s="71" t="e">
        <f>#REF!</f>
        <v>#REF!</v>
      </c>
    </row>
    <row r="186" spans="27:32" x14ac:dyDescent="0.25">
      <c r="AA186" s="71" t="e">
        <f>#REF!</f>
        <v>#REF!</v>
      </c>
      <c r="AB186" s="71" t="e">
        <f>#REF!</f>
        <v>#REF!</v>
      </c>
      <c r="AC186" s="71" t="e">
        <f>#REF!+AB186</f>
        <v>#REF!</v>
      </c>
      <c r="AD186" s="72" t="e">
        <f>-#REF!</f>
        <v>#REF!</v>
      </c>
      <c r="AE186" s="72" t="e">
        <f>-#REF!+$AD186</f>
        <v>#REF!</v>
      </c>
      <c r="AF186" s="71" t="e">
        <f>#REF!</f>
        <v>#REF!</v>
      </c>
    </row>
    <row r="187" spans="27:32" x14ac:dyDescent="0.25">
      <c r="AA187" s="71" t="e">
        <f>#REF!</f>
        <v>#REF!</v>
      </c>
      <c r="AB187" s="71" t="e">
        <f>#REF!</f>
        <v>#REF!</v>
      </c>
      <c r="AC187" s="71" t="e">
        <f>#REF!+AB187</f>
        <v>#REF!</v>
      </c>
      <c r="AD187" s="72" t="e">
        <f>-#REF!</f>
        <v>#REF!</v>
      </c>
      <c r="AE187" s="72" t="e">
        <f>-#REF!+$AD187</f>
        <v>#REF!</v>
      </c>
      <c r="AF187" s="71" t="e">
        <f>#REF!</f>
        <v>#REF!</v>
      </c>
    </row>
    <row r="188" spans="27:32" x14ac:dyDescent="0.25">
      <c r="AA188" s="71" t="e">
        <f>#REF!</f>
        <v>#REF!</v>
      </c>
      <c r="AB188" s="71" t="e">
        <f>#REF!</f>
        <v>#REF!</v>
      </c>
      <c r="AC188" s="71" t="e">
        <f>#REF!+AB188</f>
        <v>#REF!</v>
      </c>
      <c r="AD188" s="72" t="e">
        <f>-#REF!</f>
        <v>#REF!</v>
      </c>
      <c r="AE188" s="72" t="e">
        <f>-#REF!+$AD188</f>
        <v>#REF!</v>
      </c>
      <c r="AF188" s="71" t="e">
        <f>#REF!</f>
        <v>#REF!</v>
      </c>
    </row>
    <row r="189" spans="27:32" x14ac:dyDescent="0.25">
      <c r="AA189" s="71" t="e">
        <f>#REF!</f>
        <v>#REF!</v>
      </c>
      <c r="AB189" s="71" t="e">
        <f>#REF!</f>
        <v>#REF!</v>
      </c>
      <c r="AC189" s="71" t="e">
        <f>#REF!+AB189</f>
        <v>#REF!</v>
      </c>
      <c r="AD189" s="72" t="e">
        <f>-#REF!</f>
        <v>#REF!</v>
      </c>
      <c r="AE189" s="72" t="e">
        <f>-#REF!+$AD189</f>
        <v>#REF!</v>
      </c>
      <c r="AF189" s="71" t="e">
        <f>#REF!</f>
        <v>#REF!</v>
      </c>
    </row>
    <row r="190" spans="27:32" x14ac:dyDescent="0.25">
      <c r="AA190" s="71" t="e">
        <f>#REF!</f>
        <v>#REF!</v>
      </c>
      <c r="AB190" s="71" t="e">
        <f>#REF!</f>
        <v>#REF!</v>
      </c>
      <c r="AC190" s="71" t="e">
        <f>#REF!+AB190</f>
        <v>#REF!</v>
      </c>
      <c r="AD190" s="72" t="e">
        <f>-#REF!</f>
        <v>#REF!</v>
      </c>
      <c r="AE190" s="72" t="e">
        <f>-#REF!+$AD190</f>
        <v>#REF!</v>
      </c>
      <c r="AF190" s="71" t="e">
        <f>#REF!</f>
        <v>#REF!</v>
      </c>
    </row>
    <row r="191" spans="27:32" x14ac:dyDescent="0.25">
      <c r="AA191" s="71" t="e">
        <f>#REF!</f>
        <v>#REF!</v>
      </c>
      <c r="AB191" s="71" t="e">
        <f>#REF!</f>
        <v>#REF!</v>
      </c>
      <c r="AC191" s="71" t="e">
        <f>#REF!+AB191</f>
        <v>#REF!</v>
      </c>
      <c r="AD191" s="72" t="e">
        <f>-#REF!</f>
        <v>#REF!</v>
      </c>
      <c r="AE191" s="72" t="e">
        <f>-#REF!+$AD191</f>
        <v>#REF!</v>
      </c>
      <c r="AF191" s="71" t="e">
        <f>#REF!</f>
        <v>#REF!</v>
      </c>
    </row>
    <row r="192" spans="27:32" x14ac:dyDescent="0.25">
      <c r="AA192" s="71" t="e">
        <f>#REF!</f>
        <v>#REF!</v>
      </c>
      <c r="AB192" s="71" t="e">
        <f>#REF!</f>
        <v>#REF!</v>
      </c>
      <c r="AC192" s="71" t="e">
        <f>#REF!+AB192</f>
        <v>#REF!</v>
      </c>
      <c r="AD192" s="72" t="e">
        <f>-#REF!</f>
        <v>#REF!</v>
      </c>
      <c r="AE192" s="72" t="e">
        <f>-#REF!+$AD192</f>
        <v>#REF!</v>
      </c>
      <c r="AF192" s="71" t="e">
        <f>#REF!</f>
        <v>#REF!</v>
      </c>
    </row>
    <row r="193" spans="27:32" x14ac:dyDescent="0.25">
      <c r="AA193" s="71" t="e">
        <f>#REF!</f>
        <v>#REF!</v>
      </c>
      <c r="AB193" s="71" t="e">
        <f>#REF!</f>
        <v>#REF!</v>
      </c>
      <c r="AC193" s="71" t="e">
        <f>#REF!+AB193</f>
        <v>#REF!</v>
      </c>
      <c r="AD193" s="72" t="e">
        <f>-#REF!</f>
        <v>#REF!</v>
      </c>
      <c r="AE193" s="72" t="e">
        <f>-#REF!+$AD193</f>
        <v>#REF!</v>
      </c>
      <c r="AF193" s="71" t="e">
        <f>#REF!</f>
        <v>#REF!</v>
      </c>
    </row>
    <row r="194" spans="27:32" x14ac:dyDescent="0.25">
      <c r="AA194" s="71" t="e">
        <f>#REF!</f>
        <v>#REF!</v>
      </c>
      <c r="AB194" s="71" t="e">
        <f>#REF!</f>
        <v>#REF!</v>
      </c>
      <c r="AC194" s="71" t="e">
        <f>#REF!+AB194</f>
        <v>#REF!</v>
      </c>
      <c r="AD194" s="72" t="e">
        <f>-#REF!</f>
        <v>#REF!</v>
      </c>
      <c r="AE194" s="72" t="e">
        <f>-#REF!+$AD194</f>
        <v>#REF!</v>
      </c>
      <c r="AF194" s="71" t="e">
        <f>#REF!</f>
        <v>#REF!</v>
      </c>
    </row>
    <row r="195" spans="27:32" x14ac:dyDescent="0.25">
      <c r="AA195" s="71" t="e">
        <f>#REF!</f>
        <v>#REF!</v>
      </c>
      <c r="AB195" s="71" t="e">
        <f>#REF!</f>
        <v>#REF!</v>
      </c>
      <c r="AC195" s="71" t="e">
        <f>#REF!+AB195</f>
        <v>#REF!</v>
      </c>
      <c r="AD195" s="72" t="e">
        <f>-#REF!</f>
        <v>#REF!</v>
      </c>
      <c r="AE195" s="72" t="e">
        <f>-#REF!+$AD195</f>
        <v>#REF!</v>
      </c>
      <c r="AF195" s="71" t="e">
        <f>#REF!</f>
        <v>#REF!</v>
      </c>
    </row>
    <row r="196" spans="27:32" x14ac:dyDescent="0.25">
      <c r="AA196" s="71" t="e">
        <f>#REF!</f>
        <v>#REF!</v>
      </c>
      <c r="AB196" s="71" t="e">
        <f>#REF!</f>
        <v>#REF!</v>
      </c>
      <c r="AC196" s="71" t="e">
        <f>#REF!+AB196</f>
        <v>#REF!</v>
      </c>
      <c r="AD196" s="72" t="e">
        <f>-#REF!</f>
        <v>#REF!</v>
      </c>
      <c r="AE196" s="72" t="e">
        <f>-#REF!+$AD196</f>
        <v>#REF!</v>
      </c>
      <c r="AF196" s="71" t="e">
        <f>#REF!</f>
        <v>#REF!</v>
      </c>
    </row>
    <row r="197" spans="27:32" x14ac:dyDescent="0.25">
      <c r="AA197" s="71" t="e">
        <f>#REF!</f>
        <v>#REF!</v>
      </c>
      <c r="AB197" s="71" t="e">
        <f>#REF!</f>
        <v>#REF!</v>
      </c>
      <c r="AC197" s="71" t="e">
        <f>#REF!+AB197</f>
        <v>#REF!</v>
      </c>
      <c r="AD197" s="72" t="e">
        <f>-#REF!</f>
        <v>#REF!</v>
      </c>
      <c r="AE197" s="72" t="e">
        <f>-#REF!+$AD197</f>
        <v>#REF!</v>
      </c>
      <c r="AF197" s="71" t="e">
        <f>#REF!</f>
        <v>#REF!</v>
      </c>
    </row>
    <row r="198" spans="27:32" x14ac:dyDescent="0.25">
      <c r="AA198" s="71" t="e">
        <f>#REF!</f>
        <v>#REF!</v>
      </c>
      <c r="AB198" s="71" t="e">
        <f>#REF!</f>
        <v>#REF!</v>
      </c>
      <c r="AC198" s="71" t="e">
        <f>#REF!+AB198</f>
        <v>#REF!</v>
      </c>
      <c r="AD198" s="72" t="e">
        <f>-#REF!</f>
        <v>#REF!</v>
      </c>
      <c r="AE198" s="72" t="e">
        <f>-#REF!+$AD198</f>
        <v>#REF!</v>
      </c>
      <c r="AF198" s="71" t="e">
        <f>#REF!</f>
        <v>#REF!</v>
      </c>
    </row>
    <row r="199" spans="27:32" x14ac:dyDescent="0.25">
      <c r="AA199" s="71" t="e">
        <f>#REF!</f>
        <v>#REF!</v>
      </c>
      <c r="AB199" s="71" t="e">
        <f>#REF!</f>
        <v>#REF!</v>
      </c>
      <c r="AC199" s="71" t="e">
        <f>#REF!+AB199</f>
        <v>#REF!</v>
      </c>
      <c r="AD199" s="72" t="e">
        <f>-#REF!</f>
        <v>#REF!</v>
      </c>
      <c r="AE199" s="72" t="e">
        <f>-#REF!+$AD199</f>
        <v>#REF!</v>
      </c>
      <c r="AF199" s="71" t="e">
        <f>#REF!</f>
        <v>#REF!</v>
      </c>
    </row>
    <row r="200" spans="27:32" x14ac:dyDescent="0.25">
      <c r="AA200" s="71" t="e">
        <f>#REF!</f>
        <v>#REF!</v>
      </c>
      <c r="AB200" s="71" t="e">
        <f>#REF!</f>
        <v>#REF!</v>
      </c>
      <c r="AC200" s="71" t="e">
        <f>#REF!+AB200</f>
        <v>#REF!</v>
      </c>
      <c r="AD200" s="72" t="e">
        <f>-#REF!</f>
        <v>#REF!</v>
      </c>
      <c r="AE200" s="72" t="e">
        <f>-#REF!+$AD200</f>
        <v>#REF!</v>
      </c>
      <c r="AF200" s="71" t="e">
        <f>#REF!</f>
        <v>#REF!</v>
      </c>
    </row>
    <row r="201" spans="27:32" x14ac:dyDescent="0.25">
      <c r="AA201" s="71" t="e">
        <f>#REF!</f>
        <v>#REF!</v>
      </c>
      <c r="AB201" s="71" t="e">
        <f>#REF!</f>
        <v>#REF!</v>
      </c>
      <c r="AC201" s="71" t="e">
        <f>#REF!+AB201</f>
        <v>#REF!</v>
      </c>
      <c r="AD201" s="72" t="e">
        <f>-#REF!</f>
        <v>#REF!</v>
      </c>
      <c r="AE201" s="72" t="e">
        <f>-#REF!+$AD201</f>
        <v>#REF!</v>
      </c>
      <c r="AF201" s="71" t="e">
        <f>#REF!</f>
        <v>#REF!</v>
      </c>
    </row>
    <row r="202" spans="27:32" x14ac:dyDescent="0.25">
      <c r="AA202" s="71" t="e">
        <f>#REF!</f>
        <v>#REF!</v>
      </c>
      <c r="AB202" s="71" t="e">
        <f>#REF!</f>
        <v>#REF!</v>
      </c>
      <c r="AC202" s="71" t="e">
        <f>#REF!+AB202</f>
        <v>#REF!</v>
      </c>
      <c r="AD202" s="72" t="e">
        <f>-#REF!</f>
        <v>#REF!</v>
      </c>
      <c r="AE202" s="72" t="e">
        <f>-#REF!+$AD202</f>
        <v>#REF!</v>
      </c>
      <c r="AF202" s="71" t="e">
        <f>#REF!</f>
        <v>#REF!</v>
      </c>
    </row>
    <row r="203" spans="27:32" x14ac:dyDescent="0.25">
      <c r="AA203" s="71" t="e">
        <f>#REF!</f>
        <v>#REF!</v>
      </c>
      <c r="AB203" s="71" t="e">
        <f>#REF!</f>
        <v>#REF!</v>
      </c>
      <c r="AC203" s="71" t="e">
        <f>#REF!+AB203</f>
        <v>#REF!</v>
      </c>
      <c r="AD203" s="72" t="e">
        <f>-#REF!</f>
        <v>#REF!</v>
      </c>
      <c r="AE203" s="72" t="e">
        <f>-#REF!+$AD203</f>
        <v>#REF!</v>
      </c>
      <c r="AF203" s="71" t="e">
        <f>#REF!</f>
        <v>#REF!</v>
      </c>
    </row>
    <row r="204" spans="27:32" x14ac:dyDescent="0.25">
      <c r="AA204" s="71" t="e">
        <f>#REF!</f>
        <v>#REF!</v>
      </c>
      <c r="AB204" s="71" t="e">
        <f>#REF!</f>
        <v>#REF!</v>
      </c>
      <c r="AC204" s="71" t="e">
        <f>#REF!+AB204</f>
        <v>#REF!</v>
      </c>
      <c r="AD204" s="72" t="e">
        <f>-#REF!</f>
        <v>#REF!</v>
      </c>
      <c r="AE204" s="72" t="e">
        <f>-#REF!+$AD204</f>
        <v>#REF!</v>
      </c>
      <c r="AF204" s="71" t="e">
        <f>#REF!</f>
        <v>#REF!</v>
      </c>
    </row>
    <row r="205" spans="27:32" x14ac:dyDescent="0.25">
      <c r="AA205" s="71" t="e">
        <f>#REF!</f>
        <v>#REF!</v>
      </c>
      <c r="AB205" s="71" t="e">
        <f>#REF!</f>
        <v>#REF!</v>
      </c>
      <c r="AC205" s="71" t="e">
        <f>#REF!+AB205</f>
        <v>#REF!</v>
      </c>
      <c r="AD205" s="72" t="e">
        <f>-#REF!</f>
        <v>#REF!</v>
      </c>
      <c r="AE205" s="72" t="e">
        <f>-#REF!+$AD205</f>
        <v>#REF!</v>
      </c>
      <c r="AF205" s="71" t="e">
        <f>#REF!</f>
        <v>#REF!</v>
      </c>
    </row>
    <row r="206" spans="27:32" x14ac:dyDescent="0.25">
      <c r="AA206" s="71" t="e">
        <f>#REF!</f>
        <v>#REF!</v>
      </c>
      <c r="AB206" s="71" t="e">
        <f>#REF!</f>
        <v>#REF!</v>
      </c>
      <c r="AC206" s="71" t="e">
        <f>#REF!+AB206</f>
        <v>#REF!</v>
      </c>
      <c r="AD206" s="72" t="e">
        <f>-#REF!</f>
        <v>#REF!</v>
      </c>
      <c r="AE206" s="72" t="e">
        <f>-#REF!+$AD206</f>
        <v>#REF!</v>
      </c>
      <c r="AF206" s="71" t="e">
        <f>#REF!</f>
        <v>#REF!</v>
      </c>
    </row>
    <row r="207" spans="27:32" x14ac:dyDescent="0.25">
      <c r="AA207" s="71" t="e">
        <f>#REF!</f>
        <v>#REF!</v>
      </c>
      <c r="AB207" s="71" t="e">
        <f>#REF!</f>
        <v>#REF!</v>
      </c>
      <c r="AC207" s="71" t="e">
        <f>#REF!+AB207</f>
        <v>#REF!</v>
      </c>
      <c r="AD207" s="72" t="e">
        <f>-#REF!</f>
        <v>#REF!</v>
      </c>
      <c r="AE207" s="72" t="e">
        <f>-#REF!+$AD207</f>
        <v>#REF!</v>
      </c>
      <c r="AF207" s="71" t="e">
        <f>#REF!</f>
        <v>#REF!</v>
      </c>
    </row>
    <row r="208" spans="27:32" x14ac:dyDescent="0.25">
      <c r="AA208" s="71" t="e">
        <f>#REF!</f>
        <v>#REF!</v>
      </c>
      <c r="AB208" s="71" t="e">
        <f>#REF!</f>
        <v>#REF!</v>
      </c>
      <c r="AC208" s="71" t="e">
        <f>#REF!+AB208</f>
        <v>#REF!</v>
      </c>
      <c r="AD208" s="72" t="e">
        <f>-#REF!</f>
        <v>#REF!</v>
      </c>
      <c r="AE208" s="72" t="e">
        <f>-#REF!+$AD208</f>
        <v>#REF!</v>
      </c>
      <c r="AF208" s="71" t="e">
        <f>#REF!</f>
        <v>#REF!</v>
      </c>
    </row>
    <row r="209" spans="27:32" x14ac:dyDescent="0.25">
      <c r="AA209" s="71" t="e">
        <f>#REF!</f>
        <v>#REF!</v>
      </c>
      <c r="AB209" s="71" t="e">
        <f>#REF!</f>
        <v>#REF!</v>
      </c>
      <c r="AC209" s="71" t="e">
        <f>#REF!+AB209</f>
        <v>#REF!</v>
      </c>
      <c r="AD209" s="72" t="e">
        <f>-#REF!</f>
        <v>#REF!</v>
      </c>
      <c r="AE209" s="72" t="e">
        <f>-#REF!+$AD209</f>
        <v>#REF!</v>
      </c>
      <c r="AF209" s="71" t="e">
        <f>#REF!</f>
        <v>#REF!</v>
      </c>
    </row>
    <row r="210" spans="27:32" x14ac:dyDescent="0.25">
      <c r="AA210" s="71" t="e">
        <f>#REF!</f>
        <v>#REF!</v>
      </c>
      <c r="AB210" s="71" t="e">
        <f>#REF!</f>
        <v>#REF!</v>
      </c>
      <c r="AC210" s="71" t="e">
        <f>#REF!+AB210</f>
        <v>#REF!</v>
      </c>
      <c r="AD210" s="72" t="e">
        <f>-#REF!</f>
        <v>#REF!</v>
      </c>
      <c r="AE210" s="72" t="e">
        <f>-#REF!+$AD210</f>
        <v>#REF!</v>
      </c>
      <c r="AF210" s="71" t="e">
        <f>#REF!</f>
        <v>#REF!</v>
      </c>
    </row>
    <row r="211" spans="27:32" x14ac:dyDescent="0.25">
      <c r="AA211" s="71" t="e">
        <f>#REF!</f>
        <v>#REF!</v>
      </c>
      <c r="AB211" s="71" t="e">
        <f>#REF!</f>
        <v>#REF!</v>
      </c>
      <c r="AC211" s="71" t="e">
        <f>#REF!+AB211</f>
        <v>#REF!</v>
      </c>
      <c r="AD211" s="72" t="e">
        <f>-#REF!</f>
        <v>#REF!</v>
      </c>
      <c r="AE211" s="72" t="e">
        <f>-#REF!+$AD211</f>
        <v>#REF!</v>
      </c>
      <c r="AF211" s="71" t="e">
        <f>#REF!</f>
        <v>#REF!</v>
      </c>
    </row>
    <row r="212" spans="27:32" x14ac:dyDescent="0.25">
      <c r="AA212" s="71" t="e">
        <f>#REF!</f>
        <v>#REF!</v>
      </c>
      <c r="AB212" s="71" t="e">
        <f>#REF!</f>
        <v>#REF!</v>
      </c>
      <c r="AC212" s="71" t="e">
        <f>#REF!+AB212</f>
        <v>#REF!</v>
      </c>
      <c r="AD212" s="72" t="e">
        <f>-#REF!</f>
        <v>#REF!</v>
      </c>
      <c r="AE212" s="72" t="e">
        <f>-#REF!+$AD212</f>
        <v>#REF!</v>
      </c>
      <c r="AF212" s="71" t="e">
        <f>#REF!</f>
        <v>#REF!</v>
      </c>
    </row>
    <row r="213" spans="27:32" x14ac:dyDescent="0.25">
      <c r="AA213" s="71" t="e">
        <f>#REF!</f>
        <v>#REF!</v>
      </c>
      <c r="AB213" s="71" t="e">
        <f>#REF!</f>
        <v>#REF!</v>
      </c>
      <c r="AC213" s="71" t="e">
        <f>#REF!+AB213</f>
        <v>#REF!</v>
      </c>
      <c r="AD213" s="72" t="e">
        <f>-#REF!</f>
        <v>#REF!</v>
      </c>
      <c r="AE213" s="72" t="e">
        <f>-#REF!+$AD213</f>
        <v>#REF!</v>
      </c>
      <c r="AF213" s="71" t="e">
        <f>#REF!</f>
        <v>#REF!</v>
      </c>
    </row>
    <row r="214" spans="27:32" x14ac:dyDescent="0.25">
      <c r="AA214" s="71" t="e">
        <f>#REF!</f>
        <v>#REF!</v>
      </c>
      <c r="AB214" s="71" t="e">
        <f>#REF!</f>
        <v>#REF!</v>
      </c>
      <c r="AC214" s="71" t="e">
        <f>#REF!+AB214</f>
        <v>#REF!</v>
      </c>
      <c r="AD214" s="72" t="e">
        <f>-#REF!</f>
        <v>#REF!</v>
      </c>
      <c r="AE214" s="72" t="e">
        <f>-#REF!+$AD214</f>
        <v>#REF!</v>
      </c>
      <c r="AF214" s="71" t="e">
        <f>#REF!</f>
        <v>#REF!</v>
      </c>
    </row>
    <row r="215" spans="27:32" x14ac:dyDescent="0.25">
      <c r="AA215" s="71" t="e">
        <f>#REF!</f>
        <v>#REF!</v>
      </c>
      <c r="AB215" s="71" t="e">
        <f>#REF!</f>
        <v>#REF!</v>
      </c>
      <c r="AC215" s="71" t="e">
        <f>#REF!+AB215</f>
        <v>#REF!</v>
      </c>
      <c r="AD215" s="72" t="e">
        <f>-#REF!</f>
        <v>#REF!</v>
      </c>
      <c r="AE215" s="72" t="e">
        <f>-#REF!+$AD215</f>
        <v>#REF!</v>
      </c>
      <c r="AF215" s="71" t="e">
        <f>#REF!</f>
        <v>#REF!</v>
      </c>
    </row>
    <row r="216" spans="27:32" x14ac:dyDescent="0.25">
      <c r="AA216" s="71" t="e">
        <f>#REF!</f>
        <v>#REF!</v>
      </c>
      <c r="AB216" s="71" t="e">
        <f>#REF!</f>
        <v>#REF!</v>
      </c>
      <c r="AC216" s="71" t="e">
        <f>#REF!+AB216</f>
        <v>#REF!</v>
      </c>
      <c r="AD216" s="72" t="e">
        <f>-#REF!</f>
        <v>#REF!</v>
      </c>
      <c r="AE216" s="72" t="e">
        <f>-#REF!+$AD216</f>
        <v>#REF!</v>
      </c>
      <c r="AF216" s="71" t="e">
        <f>#REF!</f>
        <v>#REF!</v>
      </c>
    </row>
    <row r="217" spans="27:32" x14ac:dyDescent="0.25">
      <c r="AA217" s="71" t="e">
        <f>#REF!</f>
        <v>#REF!</v>
      </c>
      <c r="AB217" s="71" t="e">
        <f>#REF!</f>
        <v>#REF!</v>
      </c>
      <c r="AC217" s="71" t="e">
        <f>#REF!+AB217</f>
        <v>#REF!</v>
      </c>
      <c r="AD217" s="72" t="e">
        <f>-#REF!</f>
        <v>#REF!</v>
      </c>
      <c r="AE217" s="72" t="e">
        <f>-#REF!+$AD217</f>
        <v>#REF!</v>
      </c>
      <c r="AF217" s="71" t="e">
        <f>#REF!</f>
        <v>#REF!</v>
      </c>
    </row>
    <row r="218" spans="27:32" x14ac:dyDescent="0.25">
      <c r="AA218" s="71" t="e">
        <f>#REF!</f>
        <v>#REF!</v>
      </c>
      <c r="AB218" s="71" t="e">
        <f>#REF!</f>
        <v>#REF!</v>
      </c>
      <c r="AC218" s="71" t="e">
        <f>#REF!+AB218</f>
        <v>#REF!</v>
      </c>
      <c r="AD218" s="72" t="e">
        <f>-#REF!</f>
        <v>#REF!</v>
      </c>
      <c r="AE218" s="72" t="e">
        <f>-#REF!+$AD218</f>
        <v>#REF!</v>
      </c>
      <c r="AF218" s="71" t="e">
        <f>#REF!</f>
        <v>#REF!</v>
      </c>
    </row>
    <row r="219" spans="27:32" x14ac:dyDescent="0.25">
      <c r="AA219" s="71" t="e">
        <f>#REF!</f>
        <v>#REF!</v>
      </c>
      <c r="AB219" s="71" t="e">
        <f>#REF!</f>
        <v>#REF!</v>
      </c>
      <c r="AC219" s="71" t="e">
        <f>#REF!+AB219</f>
        <v>#REF!</v>
      </c>
      <c r="AD219" s="72" t="e">
        <f>-#REF!</f>
        <v>#REF!</v>
      </c>
      <c r="AE219" s="72" t="e">
        <f>-#REF!+$AD219</f>
        <v>#REF!</v>
      </c>
      <c r="AF219" s="71" t="e">
        <f>#REF!</f>
        <v>#REF!</v>
      </c>
    </row>
    <row r="220" spans="27:32" x14ac:dyDescent="0.25">
      <c r="AA220" s="71" t="e">
        <f>#REF!</f>
        <v>#REF!</v>
      </c>
      <c r="AB220" s="71" t="e">
        <f>#REF!</f>
        <v>#REF!</v>
      </c>
      <c r="AC220" s="71" t="e">
        <f>#REF!+AB220</f>
        <v>#REF!</v>
      </c>
      <c r="AD220" s="72" t="e">
        <f>-#REF!</f>
        <v>#REF!</v>
      </c>
      <c r="AE220" s="72" t="e">
        <f>-#REF!+$AD220</f>
        <v>#REF!</v>
      </c>
      <c r="AF220" s="71" t="e">
        <f>#REF!</f>
        <v>#REF!</v>
      </c>
    </row>
    <row r="221" spans="27:32" x14ac:dyDescent="0.25">
      <c r="AA221" s="71" t="e">
        <f>#REF!</f>
        <v>#REF!</v>
      </c>
      <c r="AB221" s="71" t="e">
        <f>#REF!</f>
        <v>#REF!</v>
      </c>
      <c r="AC221" s="71" t="e">
        <f>#REF!+AB221</f>
        <v>#REF!</v>
      </c>
      <c r="AD221" s="72" t="e">
        <f>-#REF!</f>
        <v>#REF!</v>
      </c>
      <c r="AE221" s="72" t="e">
        <f>-#REF!+$AD221</f>
        <v>#REF!</v>
      </c>
      <c r="AF221" s="71" t="e">
        <f>#REF!</f>
        <v>#REF!</v>
      </c>
    </row>
    <row r="222" spans="27:32" x14ac:dyDescent="0.25">
      <c r="AA222" s="71" t="e">
        <f>#REF!</f>
        <v>#REF!</v>
      </c>
      <c r="AB222" s="71" t="e">
        <f>#REF!</f>
        <v>#REF!</v>
      </c>
      <c r="AC222" s="71" t="e">
        <f>#REF!+AB222</f>
        <v>#REF!</v>
      </c>
      <c r="AD222" s="72" t="e">
        <f>-#REF!</f>
        <v>#REF!</v>
      </c>
      <c r="AE222" s="72" t="e">
        <f>-#REF!+$AD222</f>
        <v>#REF!</v>
      </c>
      <c r="AF222" s="71" t="e">
        <f>#REF!</f>
        <v>#REF!</v>
      </c>
    </row>
    <row r="223" spans="27:32" x14ac:dyDescent="0.25">
      <c r="AA223" s="71" t="e">
        <f>#REF!</f>
        <v>#REF!</v>
      </c>
      <c r="AB223" s="71" t="e">
        <f>#REF!</f>
        <v>#REF!</v>
      </c>
      <c r="AC223" s="71" t="e">
        <f>#REF!+AB223</f>
        <v>#REF!</v>
      </c>
      <c r="AD223" s="72" t="e">
        <f>-#REF!</f>
        <v>#REF!</v>
      </c>
      <c r="AE223" s="72" t="e">
        <f>-#REF!+$AD223</f>
        <v>#REF!</v>
      </c>
      <c r="AF223" s="71" t="e">
        <f>#REF!</f>
        <v>#REF!</v>
      </c>
    </row>
    <row r="224" spans="27:32" x14ac:dyDescent="0.25">
      <c r="AA224" s="71" t="e">
        <f>#REF!</f>
        <v>#REF!</v>
      </c>
      <c r="AB224" s="71" t="e">
        <f>#REF!</f>
        <v>#REF!</v>
      </c>
      <c r="AC224" s="71" t="e">
        <f>#REF!+AB224</f>
        <v>#REF!</v>
      </c>
      <c r="AD224" s="72" t="e">
        <f>-#REF!</f>
        <v>#REF!</v>
      </c>
      <c r="AE224" s="72" t="e">
        <f>-#REF!+$AD224</f>
        <v>#REF!</v>
      </c>
      <c r="AF224" s="71" t="e">
        <f>#REF!</f>
        <v>#REF!</v>
      </c>
    </row>
    <row r="225" spans="27:32" x14ac:dyDescent="0.25">
      <c r="AA225" s="71" t="e">
        <f>#REF!</f>
        <v>#REF!</v>
      </c>
      <c r="AB225" s="71" t="e">
        <f>#REF!</f>
        <v>#REF!</v>
      </c>
      <c r="AC225" s="71" t="e">
        <f>#REF!+AB225</f>
        <v>#REF!</v>
      </c>
      <c r="AD225" s="72" t="e">
        <f>-#REF!</f>
        <v>#REF!</v>
      </c>
      <c r="AE225" s="72" t="e">
        <f>-#REF!+$AD225</f>
        <v>#REF!</v>
      </c>
      <c r="AF225" s="71" t="e">
        <f>#REF!</f>
        <v>#REF!</v>
      </c>
    </row>
    <row r="226" spans="27:32" x14ac:dyDescent="0.25">
      <c r="AA226" s="71" t="e">
        <f>#REF!</f>
        <v>#REF!</v>
      </c>
      <c r="AB226" s="71" t="e">
        <f>#REF!</f>
        <v>#REF!</v>
      </c>
      <c r="AC226" s="71" t="e">
        <f>#REF!+AB226</f>
        <v>#REF!</v>
      </c>
      <c r="AD226" s="72" t="e">
        <f>-#REF!</f>
        <v>#REF!</v>
      </c>
      <c r="AE226" s="72" t="e">
        <f>-#REF!+$AD226</f>
        <v>#REF!</v>
      </c>
      <c r="AF226" s="71" t="e">
        <f>#REF!</f>
        <v>#REF!</v>
      </c>
    </row>
    <row r="227" spans="27:32" x14ac:dyDescent="0.25">
      <c r="AA227" s="71" t="e">
        <f>#REF!</f>
        <v>#REF!</v>
      </c>
      <c r="AB227" s="71" t="e">
        <f>#REF!</f>
        <v>#REF!</v>
      </c>
      <c r="AC227" s="71" t="e">
        <f>#REF!+AB227</f>
        <v>#REF!</v>
      </c>
      <c r="AD227" s="72" t="e">
        <f>-#REF!</f>
        <v>#REF!</v>
      </c>
      <c r="AE227" s="72" t="e">
        <f>-#REF!+$AD227</f>
        <v>#REF!</v>
      </c>
      <c r="AF227" s="71" t="e">
        <f>#REF!</f>
        <v>#REF!</v>
      </c>
    </row>
    <row r="228" spans="27:32" x14ac:dyDescent="0.25">
      <c r="AA228" s="71" t="e">
        <f>#REF!</f>
        <v>#REF!</v>
      </c>
      <c r="AB228" s="71" t="e">
        <f>#REF!</f>
        <v>#REF!</v>
      </c>
      <c r="AC228" s="71" t="e">
        <f>#REF!+AB228</f>
        <v>#REF!</v>
      </c>
      <c r="AD228" s="72" t="e">
        <f>-#REF!</f>
        <v>#REF!</v>
      </c>
      <c r="AE228" s="72" t="e">
        <f>-#REF!+$AD228</f>
        <v>#REF!</v>
      </c>
      <c r="AF228" s="71" t="e">
        <f>#REF!</f>
        <v>#REF!</v>
      </c>
    </row>
    <row r="229" spans="27:32" x14ac:dyDescent="0.25">
      <c r="AA229" s="71" t="e">
        <f>#REF!</f>
        <v>#REF!</v>
      </c>
      <c r="AB229" s="71" t="e">
        <f>#REF!</f>
        <v>#REF!</v>
      </c>
      <c r="AC229" s="71" t="e">
        <f>#REF!+AB229</f>
        <v>#REF!</v>
      </c>
      <c r="AD229" s="72" t="e">
        <f>-#REF!</f>
        <v>#REF!</v>
      </c>
      <c r="AE229" s="72" t="e">
        <f>-#REF!+$AD229</f>
        <v>#REF!</v>
      </c>
      <c r="AF229" s="71" t="e">
        <f>#REF!</f>
        <v>#REF!</v>
      </c>
    </row>
    <row r="230" spans="27:32" x14ac:dyDescent="0.25">
      <c r="AA230" s="71" t="e">
        <f>#REF!</f>
        <v>#REF!</v>
      </c>
      <c r="AB230" s="71" t="e">
        <f>#REF!</f>
        <v>#REF!</v>
      </c>
      <c r="AC230" s="71" t="e">
        <f>#REF!+AB230</f>
        <v>#REF!</v>
      </c>
      <c r="AD230" s="72" t="e">
        <f>-#REF!</f>
        <v>#REF!</v>
      </c>
      <c r="AE230" s="72" t="e">
        <f>-#REF!+$AD230</f>
        <v>#REF!</v>
      </c>
      <c r="AF230" s="71" t="e">
        <f>#REF!</f>
        <v>#REF!</v>
      </c>
    </row>
    <row r="231" spans="27:32" x14ac:dyDescent="0.25">
      <c r="AA231" s="71" t="e">
        <f>#REF!</f>
        <v>#REF!</v>
      </c>
      <c r="AB231" s="71" t="e">
        <f>#REF!</f>
        <v>#REF!</v>
      </c>
      <c r="AC231" s="71" t="e">
        <f>#REF!+AB231</f>
        <v>#REF!</v>
      </c>
      <c r="AD231" s="72" t="e">
        <f>-#REF!</f>
        <v>#REF!</v>
      </c>
      <c r="AE231" s="72" t="e">
        <f>-#REF!+$AD231</f>
        <v>#REF!</v>
      </c>
      <c r="AF231" s="71" t="e">
        <f>#REF!</f>
        <v>#REF!</v>
      </c>
    </row>
    <row r="232" spans="27:32" x14ac:dyDescent="0.25">
      <c r="AA232" s="71" t="e">
        <f>#REF!</f>
        <v>#REF!</v>
      </c>
      <c r="AB232" s="71" t="e">
        <f>#REF!</f>
        <v>#REF!</v>
      </c>
      <c r="AC232" s="71" t="e">
        <f>#REF!+AB232</f>
        <v>#REF!</v>
      </c>
      <c r="AD232" s="72" t="e">
        <f>-#REF!</f>
        <v>#REF!</v>
      </c>
      <c r="AE232" s="72" t="e">
        <f>-#REF!+$AD232</f>
        <v>#REF!</v>
      </c>
      <c r="AF232" s="71" t="e">
        <f>#REF!</f>
        <v>#REF!</v>
      </c>
    </row>
    <row r="233" spans="27:32" x14ac:dyDescent="0.25">
      <c r="AA233" s="71" t="e">
        <f>#REF!</f>
        <v>#REF!</v>
      </c>
      <c r="AB233" s="71" t="e">
        <f>#REF!</f>
        <v>#REF!</v>
      </c>
      <c r="AC233" s="71" t="e">
        <f>#REF!+AB233</f>
        <v>#REF!</v>
      </c>
      <c r="AD233" s="72" t="e">
        <f>-#REF!</f>
        <v>#REF!</v>
      </c>
      <c r="AE233" s="72" t="e">
        <f>-#REF!+$AD233</f>
        <v>#REF!</v>
      </c>
      <c r="AF233" s="71" t="e">
        <f>#REF!</f>
        <v>#REF!</v>
      </c>
    </row>
    <row r="234" spans="27:32" x14ac:dyDescent="0.25">
      <c r="AA234" s="71" t="e">
        <f>#REF!</f>
        <v>#REF!</v>
      </c>
      <c r="AB234" s="71" t="e">
        <f>#REF!</f>
        <v>#REF!</v>
      </c>
      <c r="AC234" s="71" t="e">
        <f>#REF!+AB234</f>
        <v>#REF!</v>
      </c>
      <c r="AD234" s="72" t="e">
        <f>-#REF!</f>
        <v>#REF!</v>
      </c>
      <c r="AE234" s="72" t="e">
        <f>-#REF!+$AD234</f>
        <v>#REF!</v>
      </c>
      <c r="AF234" s="71" t="e">
        <f>#REF!</f>
        <v>#REF!</v>
      </c>
    </row>
    <row r="235" spans="27:32" x14ac:dyDescent="0.25">
      <c r="AA235" s="71" t="e">
        <f>#REF!</f>
        <v>#REF!</v>
      </c>
      <c r="AB235" s="71" t="e">
        <f>#REF!</f>
        <v>#REF!</v>
      </c>
      <c r="AC235" s="71" t="e">
        <f>#REF!+AB235</f>
        <v>#REF!</v>
      </c>
      <c r="AD235" s="72" t="e">
        <f>-#REF!</f>
        <v>#REF!</v>
      </c>
      <c r="AE235" s="72" t="e">
        <f>-#REF!+$AD235</f>
        <v>#REF!</v>
      </c>
      <c r="AF235" s="71" t="e">
        <f>#REF!</f>
        <v>#REF!</v>
      </c>
    </row>
    <row r="236" spans="27:32" x14ac:dyDescent="0.25">
      <c r="AA236" s="71" t="e">
        <f>#REF!</f>
        <v>#REF!</v>
      </c>
      <c r="AB236" s="71" t="e">
        <f>#REF!</f>
        <v>#REF!</v>
      </c>
      <c r="AC236" s="71" t="e">
        <f>#REF!+AB236</f>
        <v>#REF!</v>
      </c>
      <c r="AD236" s="72" t="e">
        <f>-#REF!</f>
        <v>#REF!</v>
      </c>
      <c r="AE236" s="72" t="e">
        <f>-#REF!+$AD236</f>
        <v>#REF!</v>
      </c>
      <c r="AF236" s="71" t="e">
        <f>#REF!</f>
        <v>#REF!</v>
      </c>
    </row>
    <row r="237" spans="27:32" x14ac:dyDescent="0.25">
      <c r="AA237" s="71" t="e">
        <f>#REF!</f>
        <v>#REF!</v>
      </c>
      <c r="AB237" s="71" t="e">
        <f>#REF!</f>
        <v>#REF!</v>
      </c>
      <c r="AC237" s="71" t="e">
        <f>#REF!+AB237</f>
        <v>#REF!</v>
      </c>
      <c r="AD237" s="72" t="e">
        <f>-#REF!</f>
        <v>#REF!</v>
      </c>
      <c r="AE237" s="72" t="e">
        <f>-#REF!+$AD237</f>
        <v>#REF!</v>
      </c>
      <c r="AF237" s="71" t="e">
        <f>#REF!</f>
        <v>#REF!</v>
      </c>
    </row>
    <row r="238" spans="27:32" x14ac:dyDescent="0.25">
      <c r="AA238" s="71" t="e">
        <f>#REF!</f>
        <v>#REF!</v>
      </c>
      <c r="AB238" s="71" t="e">
        <f>#REF!</f>
        <v>#REF!</v>
      </c>
      <c r="AC238" s="71" t="e">
        <f>#REF!+AB238</f>
        <v>#REF!</v>
      </c>
      <c r="AD238" s="72" t="e">
        <f>-#REF!</f>
        <v>#REF!</v>
      </c>
      <c r="AE238" s="72" t="e">
        <f>-#REF!+$AD238</f>
        <v>#REF!</v>
      </c>
      <c r="AF238" s="71" t="e">
        <f>#REF!</f>
        <v>#REF!</v>
      </c>
    </row>
    <row r="239" spans="27:32" x14ac:dyDescent="0.25">
      <c r="AA239" s="71" t="e">
        <f>#REF!</f>
        <v>#REF!</v>
      </c>
      <c r="AB239" s="71" t="e">
        <f>#REF!</f>
        <v>#REF!</v>
      </c>
      <c r="AC239" s="71" t="e">
        <f>#REF!+AB239</f>
        <v>#REF!</v>
      </c>
      <c r="AD239" s="72" t="e">
        <f>-#REF!</f>
        <v>#REF!</v>
      </c>
      <c r="AE239" s="72" t="e">
        <f>-#REF!+$AD239</f>
        <v>#REF!</v>
      </c>
      <c r="AF239" s="71" t="e">
        <f>#REF!</f>
        <v>#REF!</v>
      </c>
    </row>
    <row r="240" spans="27:32" x14ac:dyDescent="0.25">
      <c r="AA240" s="71" t="e">
        <f>#REF!</f>
        <v>#REF!</v>
      </c>
      <c r="AB240" s="71" t="e">
        <f>#REF!</f>
        <v>#REF!</v>
      </c>
      <c r="AC240" s="71" t="e">
        <f>#REF!+AB240</f>
        <v>#REF!</v>
      </c>
      <c r="AD240" s="72" t="e">
        <f>-#REF!</f>
        <v>#REF!</v>
      </c>
      <c r="AE240" s="72" t="e">
        <f>-#REF!+$AD240</f>
        <v>#REF!</v>
      </c>
      <c r="AF240" s="71" t="e">
        <f>#REF!</f>
        <v>#REF!</v>
      </c>
    </row>
    <row r="241" spans="27:32" x14ac:dyDescent="0.25">
      <c r="AA241" s="71" t="e">
        <f>#REF!</f>
        <v>#REF!</v>
      </c>
      <c r="AB241" s="71" t="e">
        <f>#REF!</f>
        <v>#REF!</v>
      </c>
      <c r="AC241" s="71" t="e">
        <f>#REF!+AB241</f>
        <v>#REF!</v>
      </c>
      <c r="AD241" s="72" t="e">
        <f>-#REF!</f>
        <v>#REF!</v>
      </c>
      <c r="AE241" s="72" t="e">
        <f>-#REF!+$AD241</f>
        <v>#REF!</v>
      </c>
      <c r="AF241" s="71" t="e">
        <f>#REF!</f>
        <v>#REF!</v>
      </c>
    </row>
    <row r="242" spans="27:32" x14ac:dyDescent="0.25">
      <c r="AA242" s="71" t="e">
        <f>#REF!</f>
        <v>#REF!</v>
      </c>
      <c r="AB242" s="71" t="e">
        <f>#REF!</f>
        <v>#REF!</v>
      </c>
      <c r="AC242" s="71" t="e">
        <f>#REF!+AB242</f>
        <v>#REF!</v>
      </c>
      <c r="AD242" s="72" t="e">
        <f>-#REF!</f>
        <v>#REF!</v>
      </c>
      <c r="AE242" s="72" t="e">
        <f>-#REF!+$AD242</f>
        <v>#REF!</v>
      </c>
      <c r="AF242" s="71" t="e">
        <f>#REF!</f>
        <v>#REF!</v>
      </c>
    </row>
    <row r="243" spans="27:32" x14ac:dyDescent="0.25">
      <c r="AA243" s="71" t="e">
        <f>#REF!</f>
        <v>#REF!</v>
      </c>
      <c r="AB243" s="71" t="e">
        <f>#REF!</f>
        <v>#REF!</v>
      </c>
      <c r="AC243" s="71" t="e">
        <f>#REF!+AB243</f>
        <v>#REF!</v>
      </c>
      <c r="AD243" s="72" t="e">
        <f>-#REF!</f>
        <v>#REF!</v>
      </c>
      <c r="AE243" s="72" t="e">
        <f>-#REF!+$AD243</f>
        <v>#REF!</v>
      </c>
      <c r="AF243" s="71" t="e">
        <f>#REF!</f>
        <v>#REF!</v>
      </c>
    </row>
    <row r="244" spans="27:32" x14ac:dyDescent="0.25">
      <c r="AA244" s="71" t="e">
        <f>#REF!</f>
        <v>#REF!</v>
      </c>
      <c r="AB244" s="71" t="e">
        <f>#REF!</f>
        <v>#REF!</v>
      </c>
      <c r="AC244" s="71" t="e">
        <f>#REF!+AB244</f>
        <v>#REF!</v>
      </c>
      <c r="AD244" s="72" t="e">
        <f>-#REF!</f>
        <v>#REF!</v>
      </c>
      <c r="AE244" s="72" t="e">
        <f>-#REF!+$AD244</f>
        <v>#REF!</v>
      </c>
      <c r="AF244" s="71" t="e">
        <f>#REF!</f>
        <v>#REF!</v>
      </c>
    </row>
    <row r="245" spans="27:32" x14ac:dyDescent="0.25">
      <c r="AA245" s="71" t="e">
        <f>#REF!</f>
        <v>#REF!</v>
      </c>
      <c r="AB245" s="71" t="e">
        <f>#REF!</f>
        <v>#REF!</v>
      </c>
      <c r="AC245" s="71" t="e">
        <f>#REF!+AB245</f>
        <v>#REF!</v>
      </c>
      <c r="AD245" s="72" t="e">
        <f>-#REF!</f>
        <v>#REF!</v>
      </c>
      <c r="AE245" s="72" t="e">
        <f>-#REF!+$AD245</f>
        <v>#REF!</v>
      </c>
      <c r="AF245" s="71" t="e">
        <f>#REF!</f>
        <v>#REF!</v>
      </c>
    </row>
    <row r="246" spans="27:32" x14ac:dyDescent="0.25">
      <c r="AA246" s="71" t="e">
        <f>#REF!</f>
        <v>#REF!</v>
      </c>
      <c r="AB246" s="71" t="e">
        <f>#REF!</f>
        <v>#REF!</v>
      </c>
      <c r="AC246" s="71" t="e">
        <f>#REF!+AB246</f>
        <v>#REF!</v>
      </c>
      <c r="AD246" s="72" t="e">
        <f>-#REF!</f>
        <v>#REF!</v>
      </c>
      <c r="AE246" s="72" t="e">
        <f>-#REF!+$AD246</f>
        <v>#REF!</v>
      </c>
      <c r="AF246" s="71" t="e">
        <f>#REF!</f>
        <v>#REF!</v>
      </c>
    </row>
    <row r="247" spans="27:32" x14ac:dyDescent="0.25">
      <c r="AA247" s="71" t="e">
        <f>#REF!</f>
        <v>#REF!</v>
      </c>
      <c r="AB247" s="71" t="e">
        <f>#REF!</f>
        <v>#REF!</v>
      </c>
      <c r="AC247" s="71" t="e">
        <f>#REF!+AB247</f>
        <v>#REF!</v>
      </c>
      <c r="AD247" s="72" t="e">
        <f>-#REF!</f>
        <v>#REF!</v>
      </c>
      <c r="AE247" s="72" t="e">
        <f>-#REF!+$AD247</f>
        <v>#REF!</v>
      </c>
      <c r="AF247" s="71" t="e">
        <f>#REF!</f>
        <v>#REF!</v>
      </c>
    </row>
    <row r="248" spans="27:32" x14ac:dyDescent="0.25">
      <c r="AA248" s="71" t="e">
        <f>#REF!</f>
        <v>#REF!</v>
      </c>
      <c r="AB248" s="71" t="e">
        <f>#REF!</f>
        <v>#REF!</v>
      </c>
      <c r="AC248" s="71" t="e">
        <f>#REF!+AB248</f>
        <v>#REF!</v>
      </c>
      <c r="AD248" s="72" t="e">
        <f>-#REF!</f>
        <v>#REF!</v>
      </c>
      <c r="AE248" s="72" t="e">
        <f>-#REF!+$AD248</f>
        <v>#REF!</v>
      </c>
      <c r="AF248" s="71" t="e">
        <f>#REF!</f>
        <v>#REF!</v>
      </c>
    </row>
    <row r="249" spans="27:32" x14ac:dyDescent="0.25">
      <c r="AA249" s="71" t="e">
        <f>#REF!</f>
        <v>#REF!</v>
      </c>
      <c r="AB249" s="71" t="e">
        <f>#REF!</f>
        <v>#REF!</v>
      </c>
      <c r="AC249" s="71" t="e">
        <f>#REF!+AB249</f>
        <v>#REF!</v>
      </c>
      <c r="AD249" s="72" t="e">
        <f>-#REF!</f>
        <v>#REF!</v>
      </c>
      <c r="AE249" s="72" t="e">
        <f>-#REF!+$AD249</f>
        <v>#REF!</v>
      </c>
      <c r="AF249" s="71" t="e">
        <f>#REF!</f>
        <v>#REF!</v>
      </c>
    </row>
    <row r="250" spans="27:32" x14ac:dyDescent="0.25">
      <c r="AA250" s="71" t="e">
        <f>#REF!</f>
        <v>#REF!</v>
      </c>
      <c r="AB250" s="71" t="e">
        <f>#REF!</f>
        <v>#REF!</v>
      </c>
      <c r="AC250" s="71" t="e">
        <f>#REF!+AB250</f>
        <v>#REF!</v>
      </c>
      <c r="AD250" s="72" t="e">
        <f>-#REF!</f>
        <v>#REF!</v>
      </c>
      <c r="AE250" s="72" t="e">
        <f>-#REF!+$AD250</f>
        <v>#REF!</v>
      </c>
      <c r="AF250" s="71" t="e">
        <f>#REF!</f>
        <v>#REF!</v>
      </c>
    </row>
    <row r="251" spans="27:32" x14ac:dyDescent="0.25">
      <c r="AA251" s="71" t="e">
        <f>#REF!</f>
        <v>#REF!</v>
      </c>
      <c r="AB251" s="71" t="e">
        <f>#REF!</f>
        <v>#REF!</v>
      </c>
      <c r="AC251" s="71" t="e">
        <f>#REF!+AB251</f>
        <v>#REF!</v>
      </c>
      <c r="AD251" s="72" t="e">
        <f>-#REF!</f>
        <v>#REF!</v>
      </c>
      <c r="AE251" s="72" t="e">
        <f>-#REF!+$AD251</f>
        <v>#REF!</v>
      </c>
      <c r="AF251" s="71" t="e">
        <f>#REF!</f>
        <v>#REF!</v>
      </c>
    </row>
    <row r="252" spans="27:32" x14ac:dyDescent="0.25">
      <c r="AA252" s="71" t="e">
        <f>#REF!</f>
        <v>#REF!</v>
      </c>
      <c r="AB252" s="71" t="e">
        <f>#REF!</f>
        <v>#REF!</v>
      </c>
      <c r="AC252" s="71" t="e">
        <f>#REF!+AB252</f>
        <v>#REF!</v>
      </c>
      <c r="AD252" s="72" t="e">
        <f>-#REF!</f>
        <v>#REF!</v>
      </c>
      <c r="AE252" s="72" t="e">
        <f>-#REF!+$AD252</f>
        <v>#REF!</v>
      </c>
      <c r="AF252" s="71" t="e">
        <f>#REF!</f>
        <v>#REF!</v>
      </c>
    </row>
    <row r="253" spans="27:32" x14ac:dyDescent="0.25">
      <c r="AA253" s="71" t="e">
        <f>#REF!</f>
        <v>#REF!</v>
      </c>
      <c r="AB253" s="71" t="e">
        <f>#REF!</f>
        <v>#REF!</v>
      </c>
      <c r="AC253" s="71" t="e">
        <f>#REF!+AB253</f>
        <v>#REF!</v>
      </c>
      <c r="AD253" s="72" t="e">
        <f>-#REF!</f>
        <v>#REF!</v>
      </c>
      <c r="AE253" s="72" t="e">
        <f>-#REF!+$AD253</f>
        <v>#REF!</v>
      </c>
      <c r="AF253" s="71" t="e">
        <f>#REF!</f>
        <v>#REF!</v>
      </c>
    </row>
    <row r="254" spans="27:32" x14ac:dyDescent="0.25">
      <c r="AA254" s="71" t="e">
        <f>#REF!</f>
        <v>#REF!</v>
      </c>
      <c r="AB254" s="71" t="e">
        <f>#REF!</f>
        <v>#REF!</v>
      </c>
      <c r="AC254" s="71" t="e">
        <f>#REF!+AB254</f>
        <v>#REF!</v>
      </c>
      <c r="AD254" s="72" t="e">
        <f>-#REF!</f>
        <v>#REF!</v>
      </c>
      <c r="AE254" s="72" t="e">
        <f>-#REF!+$AD254</f>
        <v>#REF!</v>
      </c>
      <c r="AF254" s="71" t="e">
        <f>#REF!</f>
        <v>#REF!</v>
      </c>
    </row>
    <row r="255" spans="27:32" x14ac:dyDescent="0.25">
      <c r="AA255" s="71" t="e">
        <f>#REF!</f>
        <v>#REF!</v>
      </c>
      <c r="AB255" s="71" t="e">
        <f>#REF!</f>
        <v>#REF!</v>
      </c>
      <c r="AC255" s="71" t="e">
        <f>#REF!+AB255</f>
        <v>#REF!</v>
      </c>
      <c r="AD255" s="72" t="e">
        <f>-#REF!</f>
        <v>#REF!</v>
      </c>
      <c r="AE255" s="72" t="e">
        <f>-#REF!+$AD255</f>
        <v>#REF!</v>
      </c>
      <c r="AF255" s="71" t="e">
        <f>#REF!</f>
        <v>#REF!</v>
      </c>
    </row>
    <row r="256" spans="27:32" x14ac:dyDescent="0.25">
      <c r="AA256" s="71" t="e">
        <f>#REF!</f>
        <v>#REF!</v>
      </c>
      <c r="AB256" s="71" t="e">
        <f>#REF!</f>
        <v>#REF!</v>
      </c>
      <c r="AC256" s="71" t="e">
        <f>#REF!+AB256</f>
        <v>#REF!</v>
      </c>
      <c r="AD256" s="72" t="e">
        <f>-#REF!</f>
        <v>#REF!</v>
      </c>
      <c r="AE256" s="72" t="e">
        <f>-#REF!+$AD256</f>
        <v>#REF!</v>
      </c>
      <c r="AF256" s="71" t="e">
        <f>#REF!</f>
        <v>#REF!</v>
      </c>
    </row>
    <row r="257" spans="27:32" x14ac:dyDescent="0.25">
      <c r="AA257" s="71" t="e">
        <f>#REF!</f>
        <v>#REF!</v>
      </c>
      <c r="AB257" s="71" t="e">
        <f>#REF!</f>
        <v>#REF!</v>
      </c>
      <c r="AC257" s="71" t="e">
        <f>#REF!+AB257</f>
        <v>#REF!</v>
      </c>
      <c r="AD257" s="72" t="e">
        <f>-#REF!</f>
        <v>#REF!</v>
      </c>
      <c r="AE257" s="72" t="e">
        <f>-#REF!+$AD257</f>
        <v>#REF!</v>
      </c>
      <c r="AF257" s="71" t="e">
        <f>#REF!</f>
        <v>#REF!</v>
      </c>
    </row>
    <row r="258" spans="27:32" x14ac:dyDescent="0.25">
      <c r="AA258" s="71" t="e">
        <f>#REF!</f>
        <v>#REF!</v>
      </c>
      <c r="AB258" s="71" t="e">
        <f>#REF!</f>
        <v>#REF!</v>
      </c>
      <c r="AC258" s="71" t="e">
        <f>#REF!+AB258</f>
        <v>#REF!</v>
      </c>
      <c r="AD258" s="72" t="e">
        <f>-#REF!</f>
        <v>#REF!</v>
      </c>
      <c r="AE258" s="72" t="e">
        <f>-#REF!+$AD258</f>
        <v>#REF!</v>
      </c>
      <c r="AF258" s="71" t="e">
        <f>#REF!</f>
        <v>#REF!</v>
      </c>
    </row>
    <row r="259" spans="27:32" x14ac:dyDescent="0.25">
      <c r="AA259" s="71" t="e">
        <f>#REF!</f>
        <v>#REF!</v>
      </c>
      <c r="AB259" s="71" t="e">
        <f>#REF!</f>
        <v>#REF!</v>
      </c>
      <c r="AC259" s="71" t="e">
        <f>#REF!+AB259</f>
        <v>#REF!</v>
      </c>
      <c r="AD259" s="72" t="e">
        <f>-#REF!</f>
        <v>#REF!</v>
      </c>
      <c r="AE259" s="72" t="e">
        <f>-#REF!+$AD259</f>
        <v>#REF!</v>
      </c>
      <c r="AF259" s="71" t="e">
        <f>#REF!</f>
        <v>#REF!</v>
      </c>
    </row>
    <row r="260" spans="27:32" x14ac:dyDescent="0.25">
      <c r="AA260" s="71" t="e">
        <f>#REF!</f>
        <v>#REF!</v>
      </c>
      <c r="AB260" s="71" t="e">
        <f>#REF!</f>
        <v>#REF!</v>
      </c>
      <c r="AC260" s="71" t="e">
        <f>#REF!+AB260</f>
        <v>#REF!</v>
      </c>
      <c r="AD260" s="72" t="e">
        <f>-#REF!</f>
        <v>#REF!</v>
      </c>
      <c r="AE260" s="72" t="e">
        <f>-#REF!+$AD260</f>
        <v>#REF!</v>
      </c>
      <c r="AF260" s="71" t="e">
        <f>#REF!</f>
        <v>#REF!</v>
      </c>
    </row>
    <row r="261" spans="27:32" x14ac:dyDescent="0.25">
      <c r="AA261" s="71" t="e">
        <f>#REF!</f>
        <v>#REF!</v>
      </c>
      <c r="AB261" s="71" t="e">
        <f>#REF!</f>
        <v>#REF!</v>
      </c>
      <c r="AC261" s="71" t="e">
        <f>#REF!+AB261</f>
        <v>#REF!</v>
      </c>
      <c r="AD261" s="72" t="e">
        <f>-#REF!</f>
        <v>#REF!</v>
      </c>
      <c r="AE261" s="72" t="e">
        <f>-#REF!+$AD261</f>
        <v>#REF!</v>
      </c>
      <c r="AF261" s="71" t="e">
        <f>#REF!</f>
        <v>#REF!</v>
      </c>
    </row>
    <row r="262" spans="27:32" x14ac:dyDescent="0.25">
      <c r="AA262" s="71" t="e">
        <f>#REF!</f>
        <v>#REF!</v>
      </c>
      <c r="AB262" s="71" t="e">
        <f>#REF!</f>
        <v>#REF!</v>
      </c>
      <c r="AC262" s="71" t="e">
        <f>#REF!+AB262</f>
        <v>#REF!</v>
      </c>
      <c r="AD262" s="72" t="e">
        <f>-#REF!</f>
        <v>#REF!</v>
      </c>
      <c r="AE262" s="72" t="e">
        <f>-#REF!+$AD262</f>
        <v>#REF!</v>
      </c>
      <c r="AF262" s="71" t="e">
        <f>#REF!</f>
        <v>#REF!</v>
      </c>
    </row>
    <row r="263" spans="27:32" x14ac:dyDescent="0.25">
      <c r="AA263" s="71" t="e">
        <f>#REF!</f>
        <v>#REF!</v>
      </c>
      <c r="AB263" s="71" t="e">
        <f>#REF!</f>
        <v>#REF!</v>
      </c>
      <c r="AC263" s="71" t="e">
        <f>#REF!+AB263</f>
        <v>#REF!</v>
      </c>
      <c r="AD263" s="72" t="e">
        <f>-#REF!</f>
        <v>#REF!</v>
      </c>
      <c r="AE263" s="72" t="e">
        <f>-#REF!+$AD263</f>
        <v>#REF!</v>
      </c>
      <c r="AF263" s="71" t="e">
        <f>#REF!</f>
        <v>#REF!</v>
      </c>
    </row>
    <row r="264" spans="27:32" x14ac:dyDescent="0.25">
      <c r="AA264" s="71" t="e">
        <f>#REF!</f>
        <v>#REF!</v>
      </c>
      <c r="AB264" s="71" t="e">
        <f>#REF!</f>
        <v>#REF!</v>
      </c>
      <c r="AC264" s="71" t="e">
        <f>#REF!+AB264</f>
        <v>#REF!</v>
      </c>
      <c r="AD264" s="72" t="e">
        <f>-#REF!</f>
        <v>#REF!</v>
      </c>
      <c r="AE264" s="72" t="e">
        <f>-#REF!+$AD264</f>
        <v>#REF!</v>
      </c>
      <c r="AF264" s="71" t="e">
        <f>#REF!</f>
        <v>#REF!</v>
      </c>
    </row>
    <row r="265" spans="27:32" x14ac:dyDescent="0.25">
      <c r="AA265" s="71" t="e">
        <f>#REF!</f>
        <v>#REF!</v>
      </c>
      <c r="AB265" s="71" t="e">
        <f>#REF!</f>
        <v>#REF!</v>
      </c>
      <c r="AC265" s="71" t="e">
        <f>#REF!+AB265</f>
        <v>#REF!</v>
      </c>
      <c r="AD265" s="72" t="e">
        <f>-#REF!</f>
        <v>#REF!</v>
      </c>
      <c r="AE265" s="72" t="e">
        <f>-#REF!+$AD265</f>
        <v>#REF!</v>
      </c>
      <c r="AF265" s="71" t="e">
        <f>#REF!</f>
        <v>#REF!</v>
      </c>
    </row>
    <row r="266" spans="27:32" x14ac:dyDescent="0.25">
      <c r="AA266" s="71" t="e">
        <f>#REF!</f>
        <v>#REF!</v>
      </c>
      <c r="AB266" s="71" t="e">
        <f>#REF!</f>
        <v>#REF!</v>
      </c>
      <c r="AC266" s="71" t="e">
        <f>#REF!+AB266</f>
        <v>#REF!</v>
      </c>
      <c r="AD266" s="72" t="e">
        <f>-#REF!</f>
        <v>#REF!</v>
      </c>
      <c r="AE266" s="72" t="e">
        <f>-#REF!+$AD266</f>
        <v>#REF!</v>
      </c>
      <c r="AF266" s="71" t="e">
        <f>#REF!</f>
        <v>#REF!</v>
      </c>
    </row>
    <row r="267" spans="27:32" x14ac:dyDescent="0.25">
      <c r="AA267" s="71" t="e">
        <f>#REF!</f>
        <v>#REF!</v>
      </c>
      <c r="AB267" s="71" t="e">
        <f>#REF!</f>
        <v>#REF!</v>
      </c>
      <c r="AC267" s="71" t="e">
        <f>#REF!+AB267</f>
        <v>#REF!</v>
      </c>
      <c r="AD267" s="72" t="e">
        <f>-#REF!</f>
        <v>#REF!</v>
      </c>
      <c r="AE267" s="72" t="e">
        <f>-#REF!+$AD267</f>
        <v>#REF!</v>
      </c>
      <c r="AF267" s="71" t="e">
        <f>#REF!</f>
        <v>#REF!</v>
      </c>
    </row>
    <row r="268" spans="27:32" x14ac:dyDescent="0.25">
      <c r="AA268" s="71" t="e">
        <f>#REF!</f>
        <v>#REF!</v>
      </c>
      <c r="AB268" s="71" t="e">
        <f>#REF!</f>
        <v>#REF!</v>
      </c>
      <c r="AC268" s="71" t="e">
        <f>#REF!+AB268</f>
        <v>#REF!</v>
      </c>
      <c r="AD268" s="72" t="e">
        <f>-#REF!</f>
        <v>#REF!</v>
      </c>
      <c r="AE268" s="72" t="e">
        <f>-#REF!+$AD268</f>
        <v>#REF!</v>
      </c>
      <c r="AF268" s="71" t="e">
        <f>#REF!</f>
        <v>#REF!</v>
      </c>
    </row>
    <row r="269" spans="27:32" x14ac:dyDescent="0.25">
      <c r="AA269" s="71" t="e">
        <f>#REF!</f>
        <v>#REF!</v>
      </c>
      <c r="AB269" s="71" t="e">
        <f>#REF!</f>
        <v>#REF!</v>
      </c>
      <c r="AC269" s="71" t="e">
        <f>#REF!+AB269</f>
        <v>#REF!</v>
      </c>
      <c r="AD269" s="72" t="e">
        <f>-#REF!</f>
        <v>#REF!</v>
      </c>
      <c r="AE269" s="72" t="e">
        <f>-#REF!+$AD269</f>
        <v>#REF!</v>
      </c>
      <c r="AF269" s="71" t="e">
        <f>#REF!</f>
        <v>#REF!</v>
      </c>
    </row>
    <row r="270" spans="27:32" x14ac:dyDescent="0.25">
      <c r="AA270" s="71" t="e">
        <f>#REF!</f>
        <v>#REF!</v>
      </c>
      <c r="AB270" s="71" t="e">
        <f>#REF!</f>
        <v>#REF!</v>
      </c>
      <c r="AC270" s="71" t="e">
        <f>#REF!+AB270</f>
        <v>#REF!</v>
      </c>
      <c r="AD270" s="72" t="e">
        <f>-#REF!</f>
        <v>#REF!</v>
      </c>
      <c r="AE270" s="72" t="e">
        <f>-#REF!+$AD270</f>
        <v>#REF!</v>
      </c>
      <c r="AF270" s="71" t="e">
        <f>#REF!</f>
        <v>#REF!</v>
      </c>
    </row>
    <row r="271" spans="27:32" x14ac:dyDescent="0.25">
      <c r="AA271" s="71" t="e">
        <f>#REF!</f>
        <v>#REF!</v>
      </c>
      <c r="AB271" s="71" t="e">
        <f>#REF!</f>
        <v>#REF!</v>
      </c>
      <c r="AC271" s="71" t="e">
        <f>#REF!+AB271</f>
        <v>#REF!</v>
      </c>
      <c r="AD271" s="72" t="e">
        <f>-#REF!</f>
        <v>#REF!</v>
      </c>
      <c r="AE271" s="72" t="e">
        <f>-#REF!+$AD271</f>
        <v>#REF!</v>
      </c>
      <c r="AF271" s="71" t="e">
        <f>#REF!</f>
        <v>#REF!</v>
      </c>
    </row>
    <row r="272" spans="27:32" x14ac:dyDescent="0.25">
      <c r="AA272" s="71" t="e">
        <f>#REF!</f>
        <v>#REF!</v>
      </c>
      <c r="AB272" s="71" t="e">
        <f>#REF!</f>
        <v>#REF!</v>
      </c>
      <c r="AC272" s="71" t="e">
        <f>#REF!+AB272</f>
        <v>#REF!</v>
      </c>
      <c r="AD272" s="72" t="e">
        <f>-#REF!</f>
        <v>#REF!</v>
      </c>
      <c r="AE272" s="72" t="e">
        <f>-#REF!+$AD272</f>
        <v>#REF!</v>
      </c>
      <c r="AF272" s="71" t="e">
        <f>#REF!</f>
        <v>#REF!</v>
      </c>
    </row>
    <row r="273" spans="27:32" x14ac:dyDescent="0.25">
      <c r="AA273" s="71" t="e">
        <f>#REF!</f>
        <v>#REF!</v>
      </c>
      <c r="AB273" s="71" t="e">
        <f>#REF!</f>
        <v>#REF!</v>
      </c>
      <c r="AC273" s="71" t="e">
        <f>#REF!+AB273</f>
        <v>#REF!</v>
      </c>
      <c r="AD273" s="72" t="e">
        <f>-#REF!</f>
        <v>#REF!</v>
      </c>
      <c r="AE273" s="72" t="e">
        <f>-#REF!+$AD273</f>
        <v>#REF!</v>
      </c>
      <c r="AF273" s="71" t="e">
        <f>#REF!</f>
        <v>#REF!</v>
      </c>
    </row>
    <row r="274" spans="27:32" x14ac:dyDescent="0.25">
      <c r="AA274" s="71" t="e">
        <f>#REF!</f>
        <v>#REF!</v>
      </c>
      <c r="AB274" s="71" t="e">
        <f>#REF!</f>
        <v>#REF!</v>
      </c>
      <c r="AC274" s="71" t="e">
        <f>#REF!+AB274</f>
        <v>#REF!</v>
      </c>
      <c r="AD274" s="72" t="e">
        <f>-#REF!</f>
        <v>#REF!</v>
      </c>
      <c r="AE274" s="72" t="e">
        <f>-#REF!+$AD274</f>
        <v>#REF!</v>
      </c>
      <c r="AF274" s="71" t="e">
        <f>#REF!</f>
        <v>#REF!</v>
      </c>
    </row>
    <row r="275" spans="27:32" x14ac:dyDescent="0.25">
      <c r="AA275" s="71" t="e">
        <f>#REF!</f>
        <v>#REF!</v>
      </c>
      <c r="AB275" s="71" t="e">
        <f>#REF!</f>
        <v>#REF!</v>
      </c>
      <c r="AC275" s="71" t="e">
        <f>#REF!+AB275</f>
        <v>#REF!</v>
      </c>
      <c r="AD275" s="72" t="e">
        <f>-#REF!</f>
        <v>#REF!</v>
      </c>
      <c r="AE275" s="72" t="e">
        <f>-#REF!+$AD275</f>
        <v>#REF!</v>
      </c>
      <c r="AF275" s="71" t="e">
        <f>#REF!</f>
        <v>#REF!</v>
      </c>
    </row>
    <row r="276" spans="27:32" x14ac:dyDescent="0.25">
      <c r="AA276" s="71" t="e">
        <f>#REF!</f>
        <v>#REF!</v>
      </c>
      <c r="AB276" s="71" t="e">
        <f>#REF!</f>
        <v>#REF!</v>
      </c>
      <c r="AC276" s="71" t="e">
        <f>#REF!+AB276</f>
        <v>#REF!</v>
      </c>
      <c r="AD276" s="72" t="e">
        <f>-#REF!</f>
        <v>#REF!</v>
      </c>
      <c r="AE276" s="72" t="e">
        <f>-#REF!+$AD276</f>
        <v>#REF!</v>
      </c>
      <c r="AF276" s="71" t="e">
        <f>#REF!</f>
        <v>#REF!</v>
      </c>
    </row>
    <row r="277" spans="27:32" x14ac:dyDescent="0.25">
      <c r="AA277" s="71" t="e">
        <f>#REF!</f>
        <v>#REF!</v>
      </c>
      <c r="AB277" s="71" t="e">
        <f>#REF!</f>
        <v>#REF!</v>
      </c>
      <c r="AC277" s="71" t="e">
        <f>#REF!+AB277</f>
        <v>#REF!</v>
      </c>
      <c r="AD277" s="72" t="e">
        <f>-#REF!</f>
        <v>#REF!</v>
      </c>
      <c r="AE277" s="72" t="e">
        <f>-#REF!+$AD277</f>
        <v>#REF!</v>
      </c>
      <c r="AF277" s="71" t="e">
        <f>#REF!</f>
        <v>#REF!</v>
      </c>
    </row>
    <row r="278" spans="27:32" x14ac:dyDescent="0.25">
      <c r="AA278" s="71" t="e">
        <f>#REF!</f>
        <v>#REF!</v>
      </c>
      <c r="AB278" s="71" t="e">
        <f>#REF!</f>
        <v>#REF!</v>
      </c>
      <c r="AC278" s="71" t="e">
        <f>#REF!+AB278</f>
        <v>#REF!</v>
      </c>
      <c r="AD278" s="72" t="e">
        <f>-#REF!</f>
        <v>#REF!</v>
      </c>
      <c r="AE278" s="72" t="e">
        <f>-#REF!+$AD278</f>
        <v>#REF!</v>
      </c>
      <c r="AF278" s="71" t="e">
        <f>#REF!</f>
        <v>#REF!</v>
      </c>
    </row>
    <row r="279" spans="27:32" x14ac:dyDescent="0.25">
      <c r="AA279" s="71" t="e">
        <f>#REF!</f>
        <v>#REF!</v>
      </c>
      <c r="AB279" s="71" t="e">
        <f>#REF!</f>
        <v>#REF!</v>
      </c>
      <c r="AC279" s="71" t="e">
        <f>#REF!+AB279</f>
        <v>#REF!</v>
      </c>
      <c r="AD279" s="72" t="e">
        <f>-#REF!</f>
        <v>#REF!</v>
      </c>
      <c r="AE279" s="72" t="e">
        <f>-#REF!+$AD279</f>
        <v>#REF!</v>
      </c>
      <c r="AF279" s="71" t="e">
        <f>#REF!</f>
        <v>#REF!</v>
      </c>
    </row>
    <row r="280" spans="27:32" x14ac:dyDescent="0.25">
      <c r="AA280" s="71" t="e">
        <f>#REF!</f>
        <v>#REF!</v>
      </c>
      <c r="AB280" s="71" t="e">
        <f>#REF!</f>
        <v>#REF!</v>
      </c>
      <c r="AC280" s="71" t="e">
        <f>#REF!+AB280</f>
        <v>#REF!</v>
      </c>
      <c r="AD280" s="72" t="e">
        <f>-#REF!</f>
        <v>#REF!</v>
      </c>
      <c r="AE280" s="72" t="e">
        <f>-#REF!+$AD280</f>
        <v>#REF!</v>
      </c>
      <c r="AF280" s="71" t="e">
        <f>#REF!</f>
        <v>#REF!</v>
      </c>
    </row>
    <row r="281" spans="27:32" x14ac:dyDescent="0.25">
      <c r="AA281" s="71" t="e">
        <f>#REF!</f>
        <v>#REF!</v>
      </c>
      <c r="AB281" s="71" t="e">
        <f>#REF!</f>
        <v>#REF!</v>
      </c>
      <c r="AC281" s="71" t="e">
        <f>#REF!+AB281</f>
        <v>#REF!</v>
      </c>
      <c r="AD281" s="72" t="e">
        <f>-#REF!</f>
        <v>#REF!</v>
      </c>
      <c r="AE281" s="72" t="e">
        <f>-#REF!+$AD281</f>
        <v>#REF!</v>
      </c>
      <c r="AF281" s="71" t="e">
        <f>#REF!</f>
        <v>#REF!</v>
      </c>
    </row>
    <row r="282" spans="27:32" x14ac:dyDescent="0.25">
      <c r="AA282" s="71" t="e">
        <f>#REF!</f>
        <v>#REF!</v>
      </c>
      <c r="AB282" s="71" t="e">
        <f>#REF!</f>
        <v>#REF!</v>
      </c>
      <c r="AC282" s="71" t="e">
        <f>#REF!+AB282</f>
        <v>#REF!</v>
      </c>
      <c r="AD282" s="72" t="e">
        <f>-#REF!</f>
        <v>#REF!</v>
      </c>
      <c r="AE282" s="72" t="e">
        <f>-#REF!+$AD282</f>
        <v>#REF!</v>
      </c>
      <c r="AF282" s="71" t="e">
        <f>#REF!</f>
        <v>#REF!</v>
      </c>
    </row>
    <row r="283" spans="27:32" x14ac:dyDescent="0.25">
      <c r="AA283" s="71" t="e">
        <f>#REF!</f>
        <v>#REF!</v>
      </c>
      <c r="AB283" s="71" t="e">
        <f>#REF!</f>
        <v>#REF!</v>
      </c>
      <c r="AC283" s="71" t="e">
        <f>#REF!+AB283</f>
        <v>#REF!</v>
      </c>
      <c r="AD283" s="72" t="e">
        <f>-#REF!</f>
        <v>#REF!</v>
      </c>
      <c r="AE283" s="72" t="e">
        <f>-#REF!+$AD283</f>
        <v>#REF!</v>
      </c>
      <c r="AF283" s="71" t="e">
        <f>#REF!</f>
        <v>#REF!</v>
      </c>
    </row>
    <row r="284" spans="27:32" x14ac:dyDescent="0.25">
      <c r="AA284" s="71" t="e">
        <f>#REF!</f>
        <v>#REF!</v>
      </c>
      <c r="AB284" s="71" t="e">
        <f>#REF!</f>
        <v>#REF!</v>
      </c>
      <c r="AC284" s="71" t="e">
        <f>#REF!+AB284</f>
        <v>#REF!</v>
      </c>
      <c r="AD284" s="72" t="e">
        <f>-#REF!</f>
        <v>#REF!</v>
      </c>
      <c r="AE284" s="72" t="e">
        <f>-#REF!+$AD284</f>
        <v>#REF!</v>
      </c>
      <c r="AF284" s="71" t="e">
        <f>#REF!</f>
        <v>#REF!</v>
      </c>
    </row>
    <row r="285" spans="27:32" x14ac:dyDescent="0.25">
      <c r="AA285" s="71" t="e">
        <f>#REF!</f>
        <v>#REF!</v>
      </c>
      <c r="AB285" s="71" t="e">
        <f>#REF!</f>
        <v>#REF!</v>
      </c>
      <c r="AC285" s="71" t="e">
        <f>#REF!+AB285</f>
        <v>#REF!</v>
      </c>
      <c r="AD285" s="72" t="e">
        <f>-#REF!</f>
        <v>#REF!</v>
      </c>
      <c r="AE285" s="72" t="e">
        <f>-#REF!+$AD285</f>
        <v>#REF!</v>
      </c>
      <c r="AF285" s="71" t="e">
        <f>#REF!</f>
        <v>#REF!</v>
      </c>
    </row>
    <row r="286" spans="27:32" x14ac:dyDescent="0.25">
      <c r="AA286" s="71" t="e">
        <f>#REF!</f>
        <v>#REF!</v>
      </c>
      <c r="AB286" s="71" t="e">
        <f>#REF!</f>
        <v>#REF!</v>
      </c>
      <c r="AC286" s="71" t="e">
        <f>#REF!+AB286</f>
        <v>#REF!</v>
      </c>
      <c r="AD286" s="72" t="e">
        <f>-#REF!</f>
        <v>#REF!</v>
      </c>
      <c r="AE286" s="72" t="e">
        <f>-#REF!+$AD286</f>
        <v>#REF!</v>
      </c>
      <c r="AF286" s="71" t="e">
        <f>#REF!</f>
        <v>#REF!</v>
      </c>
    </row>
    <row r="287" spans="27:32" x14ac:dyDescent="0.25">
      <c r="AA287" s="71" t="e">
        <f>#REF!</f>
        <v>#REF!</v>
      </c>
      <c r="AB287" s="71" t="e">
        <f>#REF!</f>
        <v>#REF!</v>
      </c>
      <c r="AC287" s="71" t="e">
        <f>#REF!+AB287</f>
        <v>#REF!</v>
      </c>
      <c r="AD287" s="72" t="e">
        <f>-#REF!</f>
        <v>#REF!</v>
      </c>
      <c r="AE287" s="72" t="e">
        <f>-#REF!+$AD287</f>
        <v>#REF!</v>
      </c>
      <c r="AF287" s="71" t="e">
        <f>#REF!</f>
        <v>#REF!</v>
      </c>
    </row>
    <row r="288" spans="27:32" x14ac:dyDescent="0.25">
      <c r="AA288" s="71" t="e">
        <f>#REF!</f>
        <v>#REF!</v>
      </c>
      <c r="AB288" s="71" t="e">
        <f>#REF!</f>
        <v>#REF!</v>
      </c>
      <c r="AC288" s="71" t="e">
        <f>#REF!+AB288</f>
        <v>#REF!</v>
      </c>
      <c r="AD288" s="72" t="e">
        <f>-#REF!</f>
        <v>#REF!</v>
      </c>
      <c r="AE288" s="72" t="e">
        <f>-#REF!+$AD288</f>
        <v>#REF!</v>
      </c>
      <c r="AF288" s="71" t="e">
        <f>#REF!</f>
        <v>#REF!</v>
      </c>
    </row>
    <row r="289" spans="27:32" x14ac:dyDescent="0.25">
      <c r="AA289" s="71" t="e">
        <f>#REF!</f>
        <v>#REF!</v>
      </c>
      <c r="AB289" s="71" t="e">
        <f>#REF!</f>
        <v>#REF!</v>
      </c>
      <c r="AC289" s="71" t="e">
        <f>#REF!+AB289</f>
        <v>#REF!</v>
      </c>
      <c r="AD289" s="72" t="e">
        <f>-#REF!</f>
        <v>#REF!</v>
      </c>
      <c r="AE289" s="72" t="e">
        <f>-#REF!+$AD289</f>
        <v>#REF!</v>
      </c>
      <c r="AF289" s="71" t="e">
        <f>#REF!</f>
        <v>#REF!</v>
      </c>
    </row>
    <row r="290" spans="27:32" x14ac:dyDescent="0.25">
      <c r="AA290" s="71" t="e">
        <f>#REF!</f>
        <v>#REF!</v>
      </c>
      <c r="AB290" s="71" t="e">
        <f>#REF!</f>
        <v>#REF!</v>
      </c>
      <c r="AC290" s="71" t="e">
        <f>#REF!+AB290</f>
        <v>#REF!</v>
      </c>
      <c r="AD290" s="72" t="e">
        <f>-#REF!</f>
        <v>#REF!</v>
      </c>
      <c r="AE290" s="72" t="e">
        <f>-#REF!+$AD290</f>
        <v>#REF!</v>
      </c>
      <c r="AF290" s="71" t="e">
        <f>#REF!</f>
        <v>#REF!</v>
      </c>
    </row>
    <row r="291" spans="27:32" x14ac:dyDescent="0.25">
      <c r="AA291" s="71" t="e">
        <f>#REF!</f>
        <v>#REF!</v>
      </c>
      <c r="AB291" s="71" t="e">
        <f>#REF!</f>
        <v>#REF!</v>
      </c>
      <c r="AC291" s="71" t="e">
        <f>#REF!+AB291</f>
        <v>#REF!</v>
      </c>
      <c r="AD291" s="72" t="e">
        <f>-#REF!</f>
        <v>#REF!</v>
      </c>
      <c r="AE291" s="72" t="e">
        <f>-#REF!+$AD291</f>
        <v>#REF!</v>
      </c>
      <c r="AF291" s="71" t="e">
        <f>#REF!</f>
        <v>#REF!</v>
      </c>
    </row>
    <row r="292" spans="27:32" x14ac:dyDescent="0.25">
      <c r="AA292" s="71" t="e">
        <f>#REF!</f>
        <v>#REF!</v>
      </c>
      <c r="AB292" s="71" t="e">
        <f>#REF!</f>
        <v>#REF!</v>
      </c>
      <c r="AC292" s="71" t="e">
        <f>#REF!+AB292</f>
        <v>#REF!</v>
      </c>
      <c r="AD292" s="72" t="e">
        <f>-#REF!</f>
        <v>#REF!</v>
      </c>
      <c r="AE292" s="72" t="e">
        <f>-#REF!+$AD292</f>
        <v>#REF!</v>
      </c>
      <c r="AF292" s="71" t="e">
        <f>#REF!</f>
        <v>#REF!</v>
      </c>
    </row>
    <row r="293" spans="27:32" x14ac:dyDescent="0.25">
      <c r="AA293" s="71" t="e">
        <f>#REF!</f>
        <v>#REF!</v>
      </c>
      <c r="AB293" s="71" t="e">
        <f>#REF!</f>
        <v>#REF!</v>
      </c>
      <c r="AC293" s="71" t="e">
        <f>#REF!+AB293</f>
        <v>#REF!</v>
      </c>
      <c r="AD293" s="72" t="e">
        <f>-#REF!</f>
        <v>#REF!</v>
      </c>
      <c r="AE293" s="72" t="e">
        <f>-#REF!+$AD293</f>
        <v>#REF!</v>
      </c>
      <c r="AF293" s="71" t="e">
        <f>#REF!</f>
        <v>#REF!</v>
      </c>
    </row>
    <row r="294" spans="27:32" x14ac:dyDescent="0.25">
      <c r="AA294" s="71" t="e">
        <f>#REF!</f>
        <v>#REF!</v>
      </c>
      <c r="AB294" s="71" t="e">
        <f>#REF!</f>
        <v>#REF!</v>
      </c>
      <c r="AC294" s="71" t="e">
        <f>#REF!+AB294</f>
        <v>#REF!</v>
      </c>
      <c r="AD294" s="72" t="e">
        <f>-#REF!</f>
        <v>#REF!</v>
      </c>
      <c r="AE294" s="72" t="e">
        <f>-#REF!+$AD294</f>
        <v>#REF!</v>
      </c>
      <c r="AF294" s="71" t="e">
        <f>#REF!</f>
        <v>#REF!</v>
      </c>
    </row>
    <row r="295" spans="27:32" x14ac:dyDescent="0.25">
      <c r="AA295" s="71" t="e">
        <f>#REF!</f>
        <v>#REF!</v>
      </c>
      <c r="AB295" s="71" t="e">
        <f>#REF!</f>
        <v>#REF!</v>
      </c>
      <c r="AC295" s="71" t="e">
        <f>#REF!+AB295</f>
        <v>#REF!</v>
      </c>
      <c r="AD295" s="72" t="e">
        <f>-#REF!</f>
        <v>#REF!</v>
      </c>
      <c r="AE295" s="72" t="e">
        <f>-#REF!+$AD295</f>
        <v>#REF!</v>
      </c>
      <c r="AF295" s="71" t="e">
        <f>#REF!</f>
        <v>#REF!</v>
      </c>
    </row>
    <row r="296" spans="27:32" x14ac:dyDescent="0.25">
      <c r="AA296" s="71" t="e">
        <f>#REF!</f>
        <v>#REF!</v>
      </c>
      <c r="AB296" s="71" t="e">
        <f>#REF!</f>
        <v>#REF!</v>
      </c>
      <c r="AC296" s="71" t="e">
        <f>#REF!+AB296</f>
        <v>#REF!</v>
      </c>
      <c r="AD296" s="72" t="e">
        <f>-#REF!</f>
        <v>#REF!</v>
      </c>
      <c r="AE296" s="72" t="e">
        <f>-#REF!+$AD296</f>
        <v>#REF!</v>
      </c>
      <c r="AF296" s="71" t="e">
        <f>#REF!</f>
        <v>#REF!</v>
      </c>
    </row>
    <row r="297" spans="27:32" x14ac:dyDescent="0.25">
      <c r="AA297" s="71" t="e">
        <f>#REF!</f>
        <v>#REF!</v>
      </c>
      <c r="AB297" s="71" t="e">
        <f>#REF!</f>
        <v>#REF!</v>
      </c>
      <c r="AC297" s="71" t="e">
        <f>#REF!+AB297</f>
        <v>#REF!</v>
      </c>
      <c r="AD297" s="72" t="e">
        <f>-#REF!</f>
        <v>#REF!</v>
      </c>
      <c r="AE297" s="72" t="e">
        <f>-#REF!+$AD297</f>
        <v>#REF!</v>
      </c>
      <c r="AF297" s="71" t="e">
        <f>#REF!</f>
        <v>#REF!</v>
      </c>
    </row>
    <row r="298" spans="27:32" x14ac:dyDescent="0.25">
      <c r="AA298" s="71" t="e">
        <f>#REF!</f>
        <v>#REF!</v>
      </c>
      <c r="AB298" s="71" t="e">
        <f>#REF!</f>
        <v>#REF!</v>
      </c>
      <c r="AC298" s="71" t="e">
        <f>#REF!+AB298</f>
        <v>#REF!</v>
      </c>
      <c r="AD298" s="72" t="e">
        <f>-#REF!</f>
        <v>#REF!</v>
      </c>
      <c r="AE298" s="72" t="e">
        <f>-#REF!+$AD298</f>
        <v>#REF!</v>
      </c>
      <c r="AF298" s="71" t="e">
        <f>#REF!</f>
        <v>#REF!</v>
      </c>
    </row>
    <row r="299" spans="27:32" x14ac:dyDescent="0.25">
      <c r="AA299" s="71" t="e">
        <f>#REF!</f>
        <v>#REF!</v>
      </c>
      <c r="AB299" s="71" t="e">
        <f>#REF!</f>
        <v>#REF!</v>
      </c>
      <c r="AC299" s="71" t="e">
        <f>#REF!+AB299</f>
        <v>#REF!</v>
      </c>
      <c r="AD299" s="72" t="e">
        <f>-#REF!</f>
        <v>#REF!</v>
      </c>
      <c r="AE299" s="72" t="e">
        <f>-#REF!+$AD299</f>
        <v>#REF!</v>
      </c>
      <c r="AF299" s="71" t="e">
        <f>#REF!</f>
        <v>#REF!</v>
      </c>
    </row>
    <row r="300" spans="27:32" x14ac:dyDescent="0.25">
      <c r="AA300" s="71" t="e">
        <f>#REF!</f>
        <v>#REF!</v>
      </c>
      <c r="AB300" s="71" t="e">
        <f>#REF!</f>
        <v>#REF!</v>
      </c>
      <c r="AC300" s="71" t="e">
        <f>#REF!+AB300</f>
        <v>#REF!</v>
      </c>
      <c r="AD300" s="72" t="e">
        <f>-#REF!</f>
        <v>#REF!</v>
      </c>
      <c r="AE300" s="72" t="e">
        <f>-#REF!+$AD300</f>
        <v>#REF!</v>
      </c>
      <c r="AF300" s="71" t="e">
        <f>#REF!</f>
        <v>#REF!</v>
      </c>
    </row>
    <row r="301" spans="27:32" x14ac:dyDescent="0.25">
      <c r="AA301" s="71" t="e">
        <f>#REF!</f>
        <v>#REF!</v>
      </c>
      <c r="AB301" s="71" t="e">
        <f>#REF!</f>
        <v>#REF!</v>
      </c>
      <c r="AC301" s="71" t="e">
        <f>#REF!+AB301</f>
        <v>#REF!</v>
      </c>
      <c r="AD301" s="72" t="e">
        <f>-#REF!</f>
        <v>#REF!</v>
      </c>
      <c r="AE301" s="72" t="e">
        <f>-#REF!+$AD301</f>
        <v>#REF!</v>
      </c>
      <c r="AF301" s="71" t="e">
        <f>#REF!</f>
        <v>#REF!</v>
      </c>
    </row>
    <row r="302" spans="27:32" x14ac:dyDescent="0.25">
      <c r="AA302" s="71" t="e">
        <f>#REF!</f>
        <v>#REF!</v>
      </c>
      <c r="AB302" s="71" t="e">
        <f>#REF!</f>
        <v>#REF!</v>
      </c>
      <c r="AC302" s="71" t="e">
        <f>#REF!+AB302</f>
        <v>#REF!</v>
      </c>
      <c r="AD302" s="72" t="e">
        <f>-#REF!</f>
        <v>#REF!</v>
      </c>
      <c r="AE302" s="72" t="e">
        <f>-#REF!+$AD302</f>
        <v>#REF!</v>
      </c>
      <c r="AF302" s="71" t="e">
        <f>#REF!</f>
        <v>#REF!</v>
      </c>
    </row>
    <row r="303" spans="27:32" x14ac:dyDescent="0.25">
      <c r="AA303" s="71" t="e">
        <f>#REF!</f>
        <v>#REF!</v>
      </c>
      <c r="AB303" s="71" t="e">
        <f>#REF!</f>
        <v>#REF!</v>
      </c>
      <c r="AC303" s="71" t="e">
        <f>#REF!+AB303</f>
        <v>#REF!</v>
      </c>
      <c r="AD303" s="72" t="e">
        <f>-#REF!</f>
        <v>#REF!</v>
      </c>
      <c r="AE303" s="72" t="e">
        <f>-#REF!+$AD303</f>
        <v>#REF!</v>
      </c>
      <c r="AF303" s="71" t="e">
        <f>#REF!</f>
        <v>#REF!</v>
      </c>
    </row>
    <row r="304" spans="27:32" x14ac:dyDescent="0.25">
      <c r="AA304" s="71" t="e">
        <f>#REF!</f>
        <v>#REF!</v>
      </c>
      <c r="AB304" s="71" t="e">
        <f>#REF!</f>
        <v>#REF!</v>
      </c>
      <c r="AC304" s="71" t="e">
        <f>#REF!+AB304</f>
        <v>#REF!</v>
      </c>
      <c r="AD304" s="72" t="e">
        <f>-#REF!</f>
        <v>#REF!</v>
      </c>
      <c r="AE304" s="72" t="e">
        <f>-#REF!+$AD304</f>
        <v>#REF!</v>
      </c>
      <c r="AF304" s="71" t="e">
        <f>#REF!</f>
        <v>#REF!</v>
      </c>
    </row>
    <row r="305" spans="27:32" x14ac:dyDescent="0.25">
      <c r="AA305" s="71" t="e">
        <f>#REF!</f>
        <v>#REF!</v>
      </c>
      <c r="AB305" s="71" t="e">
        <f>#REF!</f>
        <v>#REF!</v>
      </c>
      <c r="AC305" s="71" t="e">
        <f>#REF!+AB305</f>
        <v>#REF!</v>
      </c>
      <c r="AD305" s="72" t="e">
        <f>-#REF!</f>
        <v>#REF!</v>
      </c>
      <c r="AE305" s="72" t="e">
        <f>-#REF!+$AD305</f>
        <v>#REF!</v>
      </c>
      <c r="AF305" s="71" t="e">
        <f>#REF!</f>
        <v>#REF!</v>
      </c>
    </row>
    <row r="306" spans="27:32" x14ac:dyDescent="0.25">
      <c r="AA306" s="71" t="e">
        <f>#REF!</f>
        <v>#REF!</v>
      </c>
      <c r="AB306" s="71" t="e">
        <f>#REF!</f>
        <v>#REF!</v>
      </c>
      <c r="AC306" s="71" t="e">
        <f>#REF!+AB306</f>
        <v>#REF!</v>
      </c>
      <c r="AD306" s="72" t="e">
        <f>-#REF!</f>
        <v>#REF!</v>
      </c>
      <c r="AE306" s="72" t="e">
        <f>-#REF!+$AD306</f>
        <v>#REF!</v>
      </c>
      <c r="AF306" s="71" t="e">
        <f>#REF!</f>
        <v>#REF!</v>
      </c>
    </row>
    <row r="307" spans="27:32" x14ac:dyDescent="0.25">
      <c r="AA307" s="71" t="e">
        <f>#REF!</f>
        <v>#REF!</v>
      </c>
      <c r="AB307" s="71" t="e">
        <f>#REF!</f>
        <v>#REF!</v>
      </c>
      <c r="AC307" s="71" t="e">
        <f>#REF!+AB307</f>
        <v>#REF!</v>
      </c>
      <c r="AD307" s="72" t="e">
        <f>-#REF!</f>
        <v>#REF!</v>
      </c>
      <c r="AE307" s="72" t="e">
        <f>-#REF!+$AD307</f>
        <v>#REF!</v>
      </c>
      <c r="AF307" s="71" t="e">
        <f>#REF!</f>
        <v>#REF!</v>
      </c>
    </row>
    <row r="308" spans="27:32" x14ac:dyDescent="0.25">
      <c r="AA308" s="71" t="e">
        <f>#REF!</f>
        <v>#REF!</v>
      </c>
      <c r="AB308" s="71" t="e">
        <f>#REF!</f>
        <v>#REF!</v>
      </c>
      <c r="AC308" s="71" t="e">
        <f>#REF!+AB308</f>
        <v>#REF!</v>
      </c>
      <c r="AD308" s="72" t="e">
        <f>-#REF!</f>
        <v>#REF!</v>
      </c>
      <c r="AE308" s="72" t="e">
        <f>-#REF!+$AD308</f>
        <v>#REF!</v>
      </c>
      <c r="AF308" s="71" t="e">
        <f>#REF!</f>
        <v>#REF!</v>
      </c>
    </row>
    <row r="309" spans="27:32" x14ac:dyDescent="0.25">
      <c r="AA309" s="71" t="e">
        <f>#REF!</f>
        <v>#REF!</v>
      </c>
      <c r="AB309" s="71" t="e">
        <f>#REF!</f>
        <v>#REF!</v>
      </c>
      <c r="AC309" s="71" t="e">
        <f>#REF!+AB309</f>
        <v>#REF!</v>
      </c>
      <c r="AD309" s="72" t="e">
        <f>-#REF!</f>
        <v>#REF!</v>
      </c>
      <c r="AE309" s="72" t="e">
        <f>-#REF!+$AD309</f>
        <v>#REF!</v>
      </c>
      <c r="AF309" s="71" t="e">
        <f>#REF!</f>
        <v>#REF!</v>
      </c>
    </row>
    <row r="310" spans="27:32" x14ac:dyDescent="0.25">
      <c r="AA310" s="71" t="e">
        <f>#REF!</f>
        <v>#REF!</v>
      </c>
      <c r="AB310" s="71" t="e">
        <f>#REF!</f>
        <v>#REF!</v>
      </c>
      <c r="AC310" s="71" t="e">
        <f>#REF!+AB310</f>
        <v>#REF!</v>
      </c>
      <c r="AD310" s="72" t="e">
        <f>-#REF!</f>
        <v>#REF!</v>
      </c>
      <c r="AE310" s="72" t="e">
        <f>-#REF!+$AD310</f>
        <v>#REF!</v>
      </c>
      <c r="AF310" s="71" t="e">
        <f>#REF!</f>
        <v>#REF!</v>
      </c>
    </row>
    <row r="311" spans="27:32" x14ac:dyDescent="0.25">
      <c r="AA311" s="71" t="e">
        <f>#REF!</f>
        <v>#REF!</v>
      </c>
      <c r="AB311" s="71" t="e">
        <f>#REF!</f>
        <v>#REF!</v>
      </c>
      <c r="AC311" s="71" t="e">
        <f>#REF!+AB311</f>
        <v>#REF!</v>
      </c>
      <c r="AD311" s="72" t="e">
        <f>-#REF!</f>
        <v>#REF!</v>
      </c>
      <c r="AE311" s="72" t="e">
        <f>-#REF!+$AD311</f>
        <v>#REF!</v>
      </c>
      <c r="AF311" s="71" t="e">
        <f>#REF!</f>
        <v>#REF!</v>
      </c>
    </row>
    <row r="312" spans="27:32" x14ac:dyDescent="0.25">
      <c r="AA312" s="71" t="e">
        <f>#REF!</f>
        <v>#REF!</v>
      </c>
      <c r="AB312" s="71" t="e">
        <f>#REF!</f>
        <v>#REF!</v>
      </c>
      <c r="AC312" s="71" t="e">
        <f>#REF!+AB312</f>
        <v>#REF!</v>
      </c>
      <c r="AD312" s="72" t="e">
        <f>-#REF!</f>
        <v>#REF!</v>
      </c>
      <c r="AE312" s="72" t="e">
        <f>-#REF!+$AD312</f>
        <v>#REF!</v>
      </c>
      <c r="AF312" s="71" t="e">
        <f>#REF!</f>
        <v>#REF!</v>
      </c>
    </row>
    <row r="313" spans="27:32" x14ac:dyDescent="0.25">
      <c r="AA313" s="71" t="e">
        <f>#REF!</f>
        <v>#REF!</v>
      </c>
      <c r="AB313" s="71" t="e">
        <f>#REF!</f>
        <v>#REF!</v>
      </c>
      <c r="AC313" s="71" t="e">
        <f>#REF!+AB313</f>
        <v>#REF!</v>
      </c>
      <c r="AD313" s="72" t="e">
        <f>-#REF!</f>
        <v>#REF!</v>
      </c>
      <c r="AE313" s="72" t="e">
        <f>-#REF!+$AD313</f>
        <v>#REF!</v>
      </c>
      <c r="AF313" s="71" t="e">
        <f>#REF!</f>
        <v>#REF!</v>
      </c>
    </row>
    <row r="314" spans="27:32" x14ac:dyDescent="0.25">
      <c r="AA314" s="71" t="e">
        <f>#REF!</f>
        <v>#REF!</v>
      </c>
      <c r="AB314" s="71" t="e">
        <f>#REF!</f>
        <v>#REF!</v>
      </c>
      <c r="AC314" s="71" t="e">
        <f>#REF!+AB314</f>
        <v>#REF!</v>
      </c>
      <c r="AD314" s="72" t="e">
        <f>-#REF!</f>
        <v>#REF!</v>
      </c>
      <c r="AE314" s="72" t="e">
        <f>-#REF!+$AD314</f>
        <v>#REF!</v>
      </c>
      <c r="AF314" s="71" t="e">
        <f>#REF!</f>
        <v>#REF!</v>
      </c>
    </row>
    <row r="315" spans="27:32" x14ac:dyDescent="0.25">
      <c r="AA315" s="71" t="e">
        <f>#REF!</f>
        <v>#REF!</v>
      </c>
      <c r="AB315" s="71" t="e">
        <f>#REF!</f>
        <v>#REF!</v>
      </c>
      <c r="AC315" s="71" t="e">
        <f>#REF!+AB315</f>
        <v>#REF!</v>
      </c>
      <c r="AD315" s="72" t="e">
        <f>-#REF!</f>
        <v>#REF!</v>
      </c>
      <c r="AE315" s="72" t="e">
        <f>-#REF!+$AD315</f>
        <v>#REF!</v>
      </c>
      <c r="AF315" s="71" t="e">
        <f>#REF!</f>
        <v>#REF!</v>
      </c>
    </row>
    <row r="316" spans="27:32" x14ac:dyDescent="0.25">
      <c r="AA316" s="71" t="e">
        <f>#REF!</f>
        <v>#REF!</v>
      </c>
      <c r="AB316" s="71" t="e">
        <f>#REF!</f>
        <v>#REF!</v>
      </c>
      <c r="AC316" s="71" t="e">
        <f>#REF!+AB316</f>
        <v>#REF!</v>
      </c>
      <c r="AD316" s="72" t="e">
        <f>-#REF!</f>
        <v>#REF!</v>
      </c>
      <c r="AE316" s="72" t="e">
        <f>-#REF!+$AD316</f>
        <v>#REF!</v>
      </c>
      <c r="AF316" s="71" t="e">
        <f>#REF!</f>
        <v>#REF!</v>
      </c>
    </row>
    <row r="317" spans="27:32" x14ac:dyDescent="0.25">
      <c r="AA317" s="71" t="e">
        <f>#REF!</f>
        <v>#REF!</v>
      </c>
      <c r="AB317" s="71" t="e">
        <f>#REF!</f>
        <v>#REF!</v>
      </c>
      <c r="AC317" s="71" t="e">
        <f>#REF!+AB317</f>
        <v>#REF!</v>
      </c>
      <c r="AD317" s="72" t="e">
        <f>-#REF!</f>
        <v>#REF!</v>
      </c>
      <c r="AE317" s="72" t="e">
        <f>-#REF!+$AD317</f>
        <v>#REF!</v>
      </c>
      <c r="AF317" s="71" t="e">
        <f>#REF!</f>
        <v>#REF!</v>
      </c>
    </row>
    <row r="318" spans="27:32" x14ac:dyDescent="0.25">
      <c r="AA318" s="71" t="e">
        <f>#REF!</f>
        <v>#REF!</v>
      </c>
      <c r="AB318" s="71" t="e">
        <f>#REF!</f>
        <v>#REF!</v>
      </c>
      <c r="AC318" s="71" t="e">
        <f>#REF!+AB318</f>
        <v>#REF!</v>
      </c>
      <c r="AD318" s="72" t="e">
        <f>-#REF!</f>
        <v>#REF!</v>
      </c>
      <c r="AE318" s="72" t="e">
        <f>-#REF!+$AD318</f>
        <v>#REF!</v>
      </c>
      <c r="AF318" s="71" t="e">
        <f>#REF!</f>
        <v>#REF!</v>
      </c>
    </row>
    <row r="319" spans="27:32" x14ac:dyDescent="0.25">
      <c r="AA319" s="71" t="e">
        <f>#REF!</f>
        <v>#REF!</v>
      </c>
      <c r="AB319" s="71" t="e">
        <f>#REF!</f>
        <v>#REF!</v>
      </c>
      <c r="AC319" s="71" t="e">
        <f>#REF!+AB319</f>
        <v>#REF!</v>
      </c>
      <c r="AD319" s="72" t="e">
        <f>-#REF!</f>
        <v>#REF!</v>
      </c>
      <c r="AE319" s="72" t="e">
        <f>-#REF!+$AD319</f>
        <v>#REF!</v>
      </c>
      <c r="AF319" s="71" t="e">
        <f>#REF!</f>
        <v>#REF!</v>
      </c>
    </row>
    <row r="320" spans="27:32" x14ac:dyDescent="0.25">
      <c r="AA320" s="71" t="e">
        <f>#REF!</f>
        <v>#REF!</v>
      </c>
      <c r="AB320" s="71" t="e">
        <f>#REF!</f>
        <v>#REF!</v>
      </c>
      <c r="AC320" s="71" t="e">
        <f>#REF!+AB320</f>
        <v>#REF!</v>
      </c>
      <c r="AD320" s="72" t="e">
        <f>-#REF!</f>
        <v>#REF!</v>
      </c>
      <c r="AE320" s="72" t="e">
        <f>-#REF!+$AD320</f>
        <v>#REF!</v>
      </c>
      <c r="AF320" s="71" t="e">
        <f>#REF!</f>
        <v>#REF!</v>
      </c>
    </row>
    <row r="321" spans="27:32" x14ac:dyDescent="0.25">
      <c r="AA321" s="71" t="e">
        <f>#REF!</f>
        <v>#REF!</v>
      </c>
      <c r="AB321" s="71" t="e">
        <f>#REF!</f>
        <v>#REF!</v>
      </c>
      <c r="AC321" s="71" t="e">
        <f>#REF!+AB321</f>
        <v>#REF!</v>
      </c>
      <c r="AD321" s="72" t="e">
        <f>-#REF!</f>
        <v>#REF!</v>
      </c>
      <c r="AE321" s="72" t="e">
        <f>-#REF!+$AD321</f>
        <v>#REF!</v>
      </c>
      <c r="AF321" s="71" t="e">
        <f>#REF!</f>
        <v>#REF!</v>
      </c>
    </row>
    <row r="322" spans="27:32" x14ac:dyDescent="0.25">
      <c r="AA322" s="71" t="e">
        <f>#REF!</f>
        <v>#REF!</v>
      </c>
      <c r="AB322" s="71" t="e">
        <f>#REF!</f>
        <v>#REF!</v>
      </c>
      <c r="AC322" s="71" t="e">
        <f>#REF!+AB322</f>
        <v>#REF!</v>
      </c>
      <c r="AD322" s="72" t="e">
        <f>-#REF!</f>
        <v>#REF!</v>
      </c>
      <c r="AE322" s="72" t="e">
        <f>-#REF!+$AD322</f>
        <v>#REF!</v>
      </c>
      <c r="AF322" s="71" t="e">
        <f>#REF!</f>
        <v>#REF!</v>
      </c>
    </row>
    <row r="323" spans="27:32" x14ac:dyDescent="0.25">
      <c r="AA323" s="71" t="e">
        <f>#REF!</f>
        <v>#REF!</v>
      </c>
      <c r="AB323" s="71" t="e">
        <f>#REF!</f>
        <v>#REF!</v>
      </c>
      <c r="AC323" s="71" t="e">
        <f>#REF!+AB323</f>
        <v>#REF!</v>
      </c>
      <c r="AD323" s="72" t="e">
        <f>-#REF!</f>
        <v>#REF!</v>
      </c>
      <c r="AE323" s="72" t="e">
        <f>-#REF!+$AD323</f>
        <v>#REF!</v>
      </c>
      <c r="AF323" s="71" t="e">
        <f>#REF!</f>
        <v>#REF!</v>
      </c>
    </row>
    <row r="324" spans="27:32" x14ac:dyDescent="0.25">
      <c r="AA324" s="71" t="e">
        <f>#REF!</f>
        <v>#REF!</v>
      </c>
      <c r="AB324" s="71" t="e">
        <f>#REF!</f>
        <v>#REF!</v>
      </c>
      <c r="AC324" s="71" t="e">
        <f>#REF!+AB324</f>
        <v>#REF!</v>
      </c>
      <c r="AD324" s="72" t="e">
        <f>-#REF!</f>
        <v>#REF!</v>
      </c>
      <c r="AE324" s="72" t="e">
        <f>-#REF!+$AD324</f>
        <v>#REF!</v>
      </c>
      <c r="AF324" s="71" t="e">
        <f>#REF!</f>
        <v>#REF!</v>
      </c>
    </row>
    <row r="325" spans="27:32" x14ac:dyDescent="0.25">
      <c r="AA325" s="71" t="e">
        <f>#REF!</f>
        <v>#REF!</v>
      </c>
      <c r="AB325" s="71" t="e">
        <f>#REF!</f>
        <v>#REF!</v>
      </c>
      <c r="AC325" s="71" t="e">
        <f>#REF!+AB325</f>
        <v>#REF!</v>
      </c>
      <c r="AD325" s="72" t="e">
        <f>-#REF!</f>
        <v>#REF!</v>
      </c>
      <c r="AE325" s="72" t="e">
        <f>-#REF!+$AD325</f>
        <v>#REF!</v>
      </c>
      <c r="AF325" s="71" t="e">
        <f>#REF!</f>
        <v>#REF!</v>
      </c>
    </row>
    <row r="326" spans="27:32" x14ac:dyDescent="0.25">
      <c r="AA326" s="71" t="e">
        <f>#REF!</f>
        <v>#REF!</v>
      </c>
      <c r="AB326" s="71" t="e">
        <f>#REF!</f>
        <v>#REF!</v>
      </c>
      <c r="AC326" s="71" t="e">
        <f>#REF!+AB326</f>
        <v>#REF!</v>
      </c>
      <c r="AD326" s="72" t="e">
        <f>-#REF!</f>
        <v>#REF!</v>
      </c>
      <c r="AE326" s="72" t="e">
        <f>-#REF!+$AD326</f>
        <v>#REF!</v>
      </c>
      <c r="AF326" s="71" t="e">
        <f>#REF!</f>
        <v>#REF!</v>
      </c>
    </row>
    <row r="327" spans="27:32" x14ac:dyDescent="0.25">
      <c r="AA327" s="71" t="e">
        <f>#REF!</f>
        <v>#REF!</v>
      </c>
      <c r="AB327" s="71" t="e">
        <f>#REF!</f>
        <v>#REF!</v>
      </c>
      <c r="AC327" s="71" t="e">
        <f>#REF!+AB327</f>
        <v>#REF!</v>
      </c>
      <c r="AD327" s="72" t="e">
        <f>-#REF!</f>
        <v>#REF!</v>
      </c>
      <c r="AE327" s="72" t="e">
        <f>-#REF!+$AD327</f>
        <v>#REF!</v>
      </c>
      <c r="AF327" s="71" t="e">
        <f>#REF!</f>
        <v>#REF!</v>
      </c>
    </row>
    <row r="328" spans="27:32" x14ac:dyDescent="0.25">
      <c r="AA328" s="71" t="e">
        <f>#REF!</f>
        <v>#REF!</v>
      </c>
      <c r="AB328" s="71" t="e">
        <f>#REF!</f>
        <v>#REF!</v>
      </c>
      <c r="AC328" s="71" t="e">
        <f>#REF!+AB328</f>
        <v>#REF!</v>
      </c>
      <c r="AD328" s="72" t="e">
        <f>-#REF!</f>
        <v>#REF!</v>
      </c>
      <c r="AE328" s="72" t="e">
        <f>-#REF!+$AD328</f>
        <v>#REF!</v>
      </c>
      <c r="AF328" s="71" t="e">
        <f>#REF!</f>
        <v>#REF!</v>
      </c>
    </row>
    <row r="329" spans="27:32" x14ac:dyDescent="0.25">
      <c r="AA329" s="71" t="e">
        <f>#REF!</f>
        <v>#REF!</v>
      </c>
      <c r="AB329" s="71" t="e">
        <f>#REF!</f>
        <v>#REF!</v>
      </c>
      <c r="AC329" s="71" t="e">
        <f>#REF!+AB329</f>
        <v>#REF!</v>
      </c>
      <c r="AD329" s="72" t="e">
        <f>-#REF!</f>
        <v>#REF!</v>
      </c>
      <c r="AE329" s="72" t="e">
        <f>-#REF!+$AD329</f>
        <v>#REF!</v>
      </c>
      <c r="AF329" s="71" t="e">
        <f>#REF!</f>
        <v>#REF!</v>
      </c>
    </row>
    <row r="330" spans="27:32" x14ac:dyDescent="0.25">
      <c r="AA330" s="71" t="e">
        <f>#REF!</f>
        <v>#REF!</v>
      </c>
      <c r="AB330" s="71" t="e">
        <f>#REF!</f>
        <v>#REF!</v>
      </c>
      <c r="AC330" s="71" t="e">
        <f>#REF!+AB330</f>
        <v>#REF!</v>
      </c>
      <c r="AD330" s="72" t="e">
        <f>-#REF!</f>
        <v>#REF!</v>
      </c>
      <c r="AE330" s="72" t="e">
        <f>-#REF!+$AD330</f>
        <v>#REF!</v>
      </c>
      <c r="AF330" s="71" t="e">
        <f>#REF!</f>
        <v>#REF!</v>
      </c>
    </row>
    <row r="331" spans="27:32" x14ac:dyDescent="0.25">
      <c r="AA331" s="71" t="e">
        <f>#REF!</f>
        <v>#REF!</v>
      </c>
      <c r="AB331" s="71" t="e">
        <f>#REF!</f>
        <v>#REF!</v>
      </c>
      <c r="AC331" s="71" t="e">
        <f>#REF!+AB331</f>
        <v>#REF!</v>
      </c>
      <c r="AD331" s="72" t="e">
        <f>-#REF!</f>
        <v>#REF!</v>
      </c>
      <c r="AE331" s="72" t="e">
        <f>-#REF!+$AD331</f>
        <v>#REF!</v>
      </c>
      <c r="AF331" s="71" t="e">
        <f>#REF!</f>
        <v>#REF!</v>
      </c>
    </row>
    <row r="332" spans="27:32" x14ac:dyDescent="0.25">
      <c r="AA332" s="71" t="e">
        <f>#REF!</f>
        <v>#REF!</v>
      </c>
      <c r="AB332" s="71" t="e">
        <f>#REF!</f>
        <v>#REF!</v>
      </c>
      <c r="AC332" s="71" t="e">
        <f>#REF!+AB332</f>
        <v>#REF!</v>
      </c>
      <c r="AD332" s="72" t="e">
        <f>-#REF!</f>
        <v>#REF!</v>
      </c>
      <c r="AE332" s="72" t="e">
        <f>-#REF!+$AD332</f>
        <v>#REF!</v>
      </c>
      <c r="AF332" s="71" t="e">
        <f>#REF!</f>
        <v>#REF!</v>
      </c>
    </row>
    <row r="333" spans="27:32" x14ac:dyDescent="0.25">
      <c r="AA333" s="71" t="e">
        <f>#REF!</f>
        <v>#REF!</v>
      </c>
      <c r="AB333" s="71" t="e">
        <f>#REF!</f>
        <v>#REF!</v>
      </c>
      <c r="AC333" s="71" t="e">
        <f>#REF!+AB333</f>
        <v>#REF!</v>
      </c>
      <c r="AD333" s="72" t="e">
        <f>-#REF!</f>
        <v>#REF!</v>
      </c>
      <c r="AE333" s="72" t="e">
        <f>-#REF!+$AD333</f>
        <v>#REF!</v>
      </c>
      <c r="AF333" s="71" t="e">
        <f>#REF!</f>
        <v>#REF!</v>
      </c>
    </row>
    <row r="334" spans="27:32" x14ac:dyDescent="0.25">
      <c r="AA334" s="71" t="e">
        <f>#REF!</f>
        <v>#REF!</v>
      </c>
      <c r="AB334" s="71" t="e">
        <f>#REF!</f>
        <v>#REF!</v>
      </c>
      <c r="AC334" s="71" t="e">
        <f>#REF!+AB334</f>
        <v>#REF!</v>
      </c>
      <c r="AD334" s="72" t="e">
        <f>-#REF!</f>
        <v>#REF!</v>
      </c>
      <c r="AE334" s="72" t="e">
        <f>-#REF!+$AD334</f>
        <v>#REF!</v>
      </c>
      <c r="AF334" s="71" t="e">
        <f>#REF!</f>
        <v>#REF!</v>
      </c>
    </row>
    <row r="335" spans="27:32" x14ac:dyDescent="0.25">
      <c r="AA335" s="71" t="e">
        <f>#REF!</f>
        <v>#REF!</v>
      </c>
      <c r="AB335" s="71" t="e">
        <f>#REF!</f>
        <v>#REF!</v>
      </c>
      <c r="AC335" s="71" t="e">
        <f>#REF!+AB335</f>
        <v>#REF!</v>
      </c>
      <c r="AD335" s="72" t="e">
        <f>-#REF!</f>
        <v>#REF!</v>
      </c>
      <c r="AE335" s="72" t="e">
        <f>-#REF!+$AD335</f>
        <v>#REF!</v>
      </c>
      <c r="AF335" s="71" t="e">
        <f>#REF!</f>
        <v>#REF!</v>
      </c>
    </row>
    <row r="336" spans="27:32" x14ac:dyDescent="0.25">
      <c r="AA336" s="71" t="e">
        <f>#REF!</f>
        <v>#REF!</v>
      </c>
      <c r="AB336" s="71" t="e">
        <f>#REF!</f>
        <v>#REF!</v>
      </c>
      <c r="AC336" s="71" t="e">
        <f>#REF!+AB336</f>
        <v>#REF!</v>
      </c>
      <c r="AD336" s="72" t="e">
        <f>-#REF!</f>
        <v>#REF!</v>
      </c>
      <c r="AE336" s="72" t="e">
        <f>-#REF!+$AD336</f>
        <v>#REF!</v>
      </c>
      <c r="AF336" s="71" t="e">
        <f>#REF!</f>
        <v>#REF!</v>
      </c>
    </row>
    <row r="337" spans="27:32" x14ac:dyDescent="0.25">
      <c r="AA337" s="71" t="e">
        <f>#REF!</f>
        <v>#REF!</v>
      </c>
      <c r="AB337" s="71" t="e">
        <f>#REF!</f>
        <v>#REF!</v>
      </c>
      <c r="AC337" s="71" t="e">
        <f>#REF!+AB337</f>
        <v>#REF!</v>
      </c>
      <c r="AD337" s="72" t="e">
        <f>-#REF!</f>
        <v>#REF!</v>
      </c>
      <c r="AE337" s="72" t="e">
        <f>-#REF!+$AD337</f>
        <v>#REF!</v>
      </c>
      <c r="AF337" s="71" t="e">
        <f>#REF!</f>
        <v>#REF!</v>
      </c>
    </row>
    <row r="338" spans="27:32" x14ac:dyDescent="0.25">
      <c r="AA338" s="71" t="e">
        <f>#REF!</f>
        <v>#REF!</v>
      </c>
      <c r="AB338" s="71" t="e">
        <f>#REF!</f>
        <v>#REF!</v>
      </c>
      <c r="AC338" s="71" t="e">
        <f>#REF!+AB338</f>
        <v>#REF!</v>
      </c>
      <c r="AD338" s="72" t="e">
        <f>-#REF!</f>
        <v>#REF!</v>
      </c>
      <c r="AE338" s="72" t="e">
        <f>-#REF!+$AD338</f>
        <v>#REF!</v>
      </c>
      <c r="AF338" s="71" t="e">
        <f>#REF!</f>
        <v>#REF!</v>
      </c>
    </row>
    <row r="339" spans="27:32" x14ac:dyDescent="0.25">
      <c r="AA339" s="71" t="e">
        <f>#REF!</f>
        <v>#REF!</v>
      </c>
      <c r="AB339" s="71" t="e">
        <f>#REF!</f>
        <v>#REF!</v>
      </c>
      <c r="AC339" s="71" t="e">
        <f>#REF!+AB339</f>
        <v>#REF!</v>
      </c>
      <c r="AD339" s="72" t="e">
        <f>-#REF!</f>
        <v>#REF!</v>
      </c>
      <c r="AE339" s="72" t="e">
        <f>-#REF!+$AD339</f>
        <v>#REF!</v>
      </c>
      <c r="AF339" s="71" t="e">
        <f>#REF!</f>
        <v>#REF!</v>
      </c>
    </row>
    <row r="340" spans="27:32" x14ac:dyDescent="0.25">
      <c r="AA340" s="71" t="e">
        <f>#REF!</f>
        <v>#REF!</v>
      </c>
      <c r="AB340" s="71" t="e">
        <f>#REF!</f>
        <v>#REF!</v>
      </c>
      <c r="AC340" s="71" t="e">
        <f>#REF!+AB340</f>
        <v>#REF!</v>
      </c>
      <c r="AD340" s="72" t="e">
        <f>-#REF!</f>
        <v>#REF!</v>
      </c>
      <c r="AE340" s="72" t="e">
        <f>-#REF!+$AD340</f>
        <v>#REF!</v>
      </c>
      <c r="AF340" s="71" t="e">
        <f>#REF!</f>
        <v>#REF!</v>
      </c>
    </row>
    <row r="341" spans="27:32" x14ac:dyDescent="0.25">
      <c r="AA341" s="71" t="e">
        <f>#REF!</f>
        <v>#REF!</v>
      </c>
      <c r="AB341" s="71" t="e">
        <f>#REF!</f>
        <v>#REF!</v>
      </c>
      <c r="AC341" s="71" t="e">
        <f>#REF!+AB341</f>
        <v>#REF!</v>
      </c>
      <c r="AD341" s="72" t="e">
        <f>-#REF!</f>
        <v>#REF!</v>
      </c>
      <c r="AE341" s="72" t="e">
        <f>-#REF!+$AD341</f>
        <v>#REF!</v>
      </c>
      <c r="AF341" s="71" t="e">
        <f>#REF!</f>
        <v>#REF!</v>
      </c>
    </row>
    <row r="342" spans="27:32" x14ac:dyDescent="0.25">
      <c r="AA342" s="71" t="e">
        <f>#REF!</f>
        <v>#REF!</v>
      </c>
      <c r="AB342" s="71" t="e">
        <f>#REF!</f>
        <v>#REF!</v>
      </c>
      <c r="AC342" s="71" t="e">
        <f>#REF!+AB342</f>
        <v>#REF!</v>
      </c>
      <c r="AD342" s="72" t="e">
        <f>-#REF!</f>
        <v>#REF!</v>
      </c>
      <c r="AE342" s="72" t="e">
        <f>-#REF!+$AD342</f>
        <v>#REF!</v>
      </c>
      <c r="AF342" s="71" t="e">
        <f>#REF!</f>
        <v>#REF!</v>
      </c>
    </row>
    <row r="343" spans="27:32" x14ac:dyDescent="0.25">
      <c r="AA343" s="71" t="e">
        <f>#REF!</f>
        <v>#REF!</v>
      </c>
      <c r="AB343" s="71" t="e">
        <f>#REF!</f>
        <v>#REF!</v>
      </c>
      <c r="AC343" s="71" t="e">
        <f>#REF!+AB343</f>
        <v>#REF!</v>
      </c>
      <c r="AD343" s="72" t="e">
        <f>-#REF!</f>
        <v>#REF!</v>
      </c>
      <c r="AE343" s="72" t="e">
        <f>-#REF!+$AD343</f>
        <v>#REF!</v>
      </c>
      <c r="AF343" s="71" t="e">
        <f>#REF!</f>
        <v>#REF!</v>
      </c>
    </row>
    <row r="344" spans="27:32" x14ac:dyDescent="0.25">
      <c r="AA344" s="71" t="e">
        <f>#REF!</f>
        <v>#REF!</v>
      </c>
      <c r="AB344" s="71" t="e">
        <f>#REF!</f>
        <v>#REF!</v>
      </c>
      <c r="AC344" s="71" t="e">
        <f>#REF!+AB344</f>
        <v>#REF!</v>
      </c>
      <c r="AD344" s="72" t="e">
        <f>-#REF!</f>
        <v>#REF!</v>
      </c>
      <c r="AE344" s="72" t="e">
        <f>-#REF!+$AD344</f>
        <v>#REF!</v>
      </c>
      <c r="AF344" s="71" t="e">
        <f>#REF!</f>
        <v>#REF!</v>
      </c>
    </row>
    <row r="345" spans="27:32" x14ac:dyDescent="0.25">
      <c r="AA345" s="71" t="e">
        <f>#REF!</f>
        <v>#REF!</v>
      </c>
      <c r="AB345" s="71" t="e">
        <f>#REF!</f>
        <v>#REF!</v>
      </c>
      <c r="AC345" s="71" t="e">
        <f>#REF!+AB345</f>
        <v>#REF!</v>
      </c>
      <c r="AD345" s="72" t="e">
        <f>-#REF!</f>
        <v>#REF!</v>
      </c>
      <c r="AE345" s="72" t="e">
        <f>-#REF!+$AD345</f>
        <v>#REF!</v>
      </c>
      <c r="AF345" s="71" t="e">
        <f>#REF!</f>
        <v>#REF!</v>
      </c>
    </row>
    <row r="346" spans="27:32" x14ac:dyDescent="0.25">
      <c r="AA346" s="71" t="e">
        <f>#REF!</f>
        <v>#REF!</v>
      </c>
      <c r="AB346" s="71" t="e">
        <f>#REF!</f>
        <v>#REF!</v>
      </c>
      <c r="AC346" s="71" t="e">
        <f>#REF!+AB346</f>
        <v>#REF!</v>
      </c>
      <c r="AD346" s="72" t="e">
        <f>-#REF!</f>
        <v>#REF!</v>
      </c>
      <c r="AE346" s="72" t="e">
        <f>-#REF!+$AD346</f>
        <v>#REF!</v>
      </c>
      <c r="AF346" s="71" t="e">
        <f>#REF!</f>
        <v>#REF!</v>
      </c>
    </row>
    <row r="347" spans="27:32" x14ac:dyDescent="0.25">
      <c r="AA347" s="71" t="e">
        <f>#REF!</f>
        <v>#REF!</v>
      </c>
      <c r="AB347" s="71" t="e">
        <f>#REF!</f>
        <v>#REF!</v>
      </c>
      <c r="AC347" s="71" t="e">
        <f>#REF!+AB347</f>
        <v>#REF!</v>
      </c>
      <c r="AD347" s="72" t="e">
        <f>-#REF!</f>
        <v>#REF!</v>
      </c>
      <c r="AE347" s="72" t="e">
        <f>-#REF!+$AD347</f>
        <v>#REF!</v>
      </c>
      <c r="AF347" s="71" t="e">
        <f>#REF!</f>
        <v>#REF!</v>
      </c>
    </row>
    <row r="348" spans="27:32" x14ac:dyDescent="0.25">
      <c r="AA348" s="71" t="e">
        <f>#REF!</f>
        <v>#REF!</v>
      </c>
      <c r="AB348" s="71" t="e">
        <f>#REF!</f>
        <v>#REF!</v>
      </c>
      <c r="AC348" s="71" t="e">
        <f>#REF!+AB348</f>
        <v>#REF!</v>
      </c>
      <c r="AD348" s="72" t="e">
        <f>-#REF!</f>
        <v>#REF!</v>
      </c>
      <c r="AE348" s="72" t="e">
        <f>-#REF!+$AD348</f>
        <v>#REF!</v>
      </c>
      <c r="AF348" s="71" t="e">
        <f>#REF!</f>
        <v>#REF!</v>
      </c>
    </row>
    <row r="349" spans="27:32" x14ac:dyDescent="0.25">
      <c r="AA349" s="71" t="e">
        <f>#REF!</f>
        <v>#REF!</v>
      </c>
      <c r="AB349" s="71" t="e">
        <f>#REF!</f>
        <v>#REF!</v>
      </c>
      <c r="AC349" s="71" t="e">
        <f>#REF!+AB349</f>
        <v>#REF!</v>
      </c>
      <c r="AD349" s="72" t="e">
        <f>-#REF!</f>
        <v>#REF!</v>
      </c>
      <c r="AE349" s="72" t="e">
        <f>-#REF!+$AD349</f>
        <v>#REF!</v>
      </c>
      <c r="AF349" s="71" t="e">
        <f>#REF!</f>
        <v>#REF!</v>
      </c>
    </row>
    <row r="350" spans="27:32" x14ac:dyDescent="0.25">
      <c r="AA350" s="71" t="e">
        <f>#REF!</f>
        <v>#REF!</v>
      </c>
      <c r="AB350" s="71" t="e">
        <f>#REF!</f>
        <v>#REF!</v>
      </c>
      <c r="AC350" s="71" t="e">
        <f>#REF!+AB350</f>
        <v>#REF!</v>
      </c>
      <c r="AD350" s="72" t="e">
        <f>-#REF!</f>
        <v>#REF!</v>
      </c>
      <c r="AE350" s="72" t="e">
        <f>-#REF!+$AD350</f>
        <v>#REF!</v>
      </c>
      <c r="AF350" s="71" t="e">
        <f>#REF!</f>
        <v>#REF!</v>
      </c>
    </row>
    <row r="351" spans="27:32" x14ac:dyDescent="0.25">
      <c r="AA351" s="71" t="e">
        <f>#REF!</f>
        <v>#REF!</v>
      </c>
      <c r="AB351" s="71" t="e">
        <f>#REF!</f>
        <v>#REF!</v>
      </c>
      <c r="AC351" s="71" t="e">
        <f>#REF!+AB351</f>
        <v>#REF!</v>
      </c>
      <c r="AD351" s="72" t="e">
        <f>-#REF!</f>
        <v>#REF!</v>
      </c>
      <c r="AE351" s="72" t="e">
        <f>-#REF!+$AD351</f>
        <v>#REF!</v>
      </c>
      <c r="AF351" s="71" t="e">
        <f>#REF!</f>
        <v>#REF!</v>
      </c>
    </row>
    <row r="352" spans="27:32" x14ac:dyDescent="0.25">
      <c r="AA352" s="71" t="e">
        <f>#REF!</f>
        <v>#REF!</v>
      </c>
      <c r="AB352" s="71" t="e">
        <f>#REF!</f>
        <v>#REF!</v>
      </c>
      <c r="AC352" s="71" t="e">
        <f>#REF!+AB352</f>
        <v>#REF!</v>
      </c>
      <c r="AD352" s="72" t="e">
        <f>-#REF!</f>
        <v>#REF!</v>
      </c>
      <c r="AE352" s="72" t="e">
        <f>-#REF!+$AD352</f>
        <v>#REF!</v>
      </c>
      <c r="AF352" s="71" t="e">
        <f>#REF!</f>
        <v>#REF!</v>
      </c>
    </row>
    <row r="353" spans="27:32" x14ac:dyDescent="0.25">
      <c r="AA353" s="71" t="e">
        <f>#REF!</f>
        <v>#REF!</v>
      </c>
      <c r="AB353" s="71" t="e">
        <f>#REF!</f>
        <v>#REF!</v>
      </c>
      <c r="AC353" s="71" t="e">
        <f>#REF!+AB353</f>
        <v>#REF!</v>
      </c>
      <c r="AD353" s="72" t="e">
        <f>-#REF!</f>
        <v>#REF!</v>
      </c>
      <c r="AE353" s="72" t="e">
        <f>-#REF!+$AD353</f>
        <v>#REF!</v>
      </c>
      <c r="AF353" s="71" t="e">
        <f>#REF!</f>
        <v>#REF!</v>
      </c>
    </row>
    <row r="354" spans="27:32" x14ac:dyDescent="0.25">
      <c r="AA354" s="71" t="e">
        <f>#REF!</f>
        <v>#REF!</v>
      </c>
      <c r="AB354" s="71" t="e">
        <f>#REF!</f>
        <v>#REF!</v>
      </c>
      <c r="AC354" s="71" t="e">
        <f>#REF!+AB354</f>
        <v>#REF!</v>
      </c>
      <c r="AD354" s="72" t="e">
        <f>-#REF!</f>
        <v>#REF!</v>
      </c>
      <c r="AE354" s="72" t="e">
        <f>-#REF!+$AD354</f>
        <v>#REF!</v>
      </c>
      <c r="AF354" s="71" t="e">
        <f>#REF!</f>
        <v>#REF!</v>
      </c>
    </row>
    <row r="355" spans="27:32" x14ac:dyDescent="0.25">
      <c r="AA355" s="71" t="e">
        <f>#REF!</f>
        <v>#REF!</v>
      </c>
      <c r="AB355" s="71" t="e">
        <f>#REF!</f>
        <v>#REF!</v>
      </c>
      <c r="AC355" s="71" t="e">
        <f>#REF!+AB355</f>
        <v>#REF!</v>
      </c>
      <c r="AD355" s="72" t="e">
        <f>-#REF!</f>
        <v>#REF!</v>
      </c>
      <c r="AE355" s="72" t="e">
        <f>-#REF!+$AD355</f>
        <v>#REF!</v>
      </c>
      <c r="AF355" s="71" t="e">
        <f>#REF!</f>
        <v>#REF!</v>
      </c>
    </row>
    <row r="356" spans="27:32" x14ac:dyDescent="0.25">
      <c r="AA356" s="71" t="e">
        <f>#REF!</f>
        <v>#REF!</v>
      </c>
      <c r="AB356" s="71" t="e">
        <f>#REF!</f>
        <v>#REF!</v>
      </c>
      <c r="AC356" s="71" t="e">
        <f>#REF!+AB356</f>
        <v>#REF!</v>
      </c>
      <c r="AD356" s="72" t="e">
        <f>-#REF!</f>
        <v>#REF!</v>
      </c>
      <c r="AE356" s="72" t="e">
        <f>-#REF!+$AD356</f>
        <v>#REF!</v>
      </c>
      <c r="AF356" s="71" t="e">
        <f>#REF!</f>
        <v>#REF!</v>
      </c>
    </row>
    <row r="357" spans="27:32" x14ac:dyDescent="0.25">
      <c r="AA357" s="71" t="e">
        <f>#REF!</f>
        <v>#REF!</v>
      </c>
      <c r="AB357" s="71" t="e">
        <f>#REF!</f>
        <v>#REF!</v>
      </c>
      <c r="AC357" s="71" t="e">
        <f>#REF!+AB357</f>
        <v>#REF!</v>
      </c>
      <c r="AD357" s="72" t="e">
        <f>-#REF!</f>
        <v>#REF!</v>
      </c>
      <c r="AE357" s="72" t="e">
        <f>-#REF!+$AD357</f>
        <v>#REF!</v>
      </c>
      <c r="AF357" s="71" t="e">
        <f>#REF!</f>
        <v>#REF!</v>
      </c>
    </row>
    <row r="358" spans="27:32" x14ac:dyDescent="0.25">
      <c r="AA358" s="71" t="e">
        <f>#REF!</f>
        <v>#REF!</v>
      </c>
      <c r="AB358" s="71" t="e">
        <f>#REF!</f>
        <v>#REF!</v>
      </c>
      <c r="AC358" s="71" t="e">
        <f>#REF!+AB358</f>
        <v>#REF!</v>
      </c>
      <c r="AD358" s="72" t="e">
        <f>-#REF!</f>
        <v>#REF!</v>
      </c>
      <c r="AE358" s="72" t="e">
        <f>-#REF!+$AD358</f>
        <v>#REF!</v>
      </c>
      <c r="AF358" s="71" t="e">
        <f>#REF!</f>
        <v>#REF!</v>
      </c>
    </row>
    <row r="359" spans="27:32" x14ac:dyDescent="0.25">
      <c r="AA359" s="71" t="e">
        <f>#REF!</f>
        <v>#REF!</v>
      </c>
      <c r="AB359" s="71" t="e">
        <f>#REF!</f>
        <v>#REF!</v>
      </c>
      <c r="AC359" s="71" t="e">
        <f>#REF!+AB359</f>
        <v>#REF!</v>
      </c>
      <c r="AD359" s="72" t="e">
        <f>-#REF!</f>
        <v>#REF!</v>
      </c>
      <c r="AE359" s="72" t="e">
        <f>-#REF!+$AD359</f>
        <v>#REF!</v>
      </c>
      <c r="AF359" s="71" t="e">
        <f>#REF!</f>
        <v>#REF!</v>
      </c>
    </row>
    <row r="360" spans="27:32" x14ac:dyDescent="0.25">
      <c r="AA360" s="71" t="e">
        <f>#REF!</f>
        <v>#REF!</v>
      </c>
      <c r="AB360" s="71" t="e">
        <f>#REF!</f>
        <v>#REF!</v>
      </c>
      <c r="AC360" s="71" t="e">
        <f>#REF!+AB360</f>
        <v>#REF!</v>
      </c>
      <c r="AD360" s="72" t="e">
        <f>-#REF!</f>
        <v>#REF!</v>
      </c>
      <c r="AE360" s="72" t="e">
        <f>-#REF!+$AD360</f>
        <v>#REF!</v>
      </c>
      <c r="AF360" s="71" t="e">
        <f>#REF!</f>
        <v>#REF!</v>
      </c>
    </row>
    <row r="361" spans="27:32" x14ac:dyDescent="0.25">
      <c r="AA361" s="71" t="e">
        <f>#REF!</f>
        <v>#REF!</v>
      </c>
      <c r="AB361" s="71" t="e">
        <f>#REF!</f>
        <v>#REF!</v>
      </c>
      <c r="AC361" s="71" t="e">
        <f>#REF!+AB361</f>
        <v>#REF!</v>
      </c>
      <c r="AD361" s="72" t="e">
        <f>-#REF!</f>
        <v>#REF!</v>
      </c>
      <c r="AE361" s="72" t="e">
        <f>-#REF!+$AD361</f>
        <v>#REF!</v>
      </c>
      <c r="AF361" s="71" t="e">
        <f>#REF!</f>
        <v>#REF!</v>
      </c>
    </row>
    <row r="362" spans="27:32" x14ac:dyDescent="0.25">
      <c r="AA362" s="71" t="e">
        <f>#REF!</f>
        <v>#REF!</v>
      </c>
      <c r="AB362" s="71" t="e">
        <f>#REF!</f>
        <v>#REF!</v>
      </c>
      <c r="AC362" s="71" t="e">
        <f>#REF!+AB362</f>
        <v>#REF!</v>
      </c>
      <c r="AD362" s="72" t="e">
        <f>-#REF!</f>
        <v>#REF!</v>
      </c>
      <c r="AE362" s="72" t="e">
        <f>-#REF!+$AD362</f>
        <v>#REF!</v>
      </c>
      <c r="AF362" s="71" t="e">
        <f>#REF!</f>
        <v>#REF!</v>
      </c>
    </row>
    <row r="363" spans="27:32" x14ac:dyDescent="0.25">
      <c r="AA363" s="71" t="e">
        <f>#REF!</f>
        <v>#REF!</v>
      </c>
      <c r="AB363" s="71" t="e">
        <f>#REF!</f>
        <v>#REF!</v>
      </c>
      <c r="AC363" s="71" t="e">
        <f>#REF!+AB363</f>
        <v>#REF!</v>
      </c>
      <c r="AD363" s="72" t="e">
        <f>-#REF!</f>
        <v>#REF!</v>
      </c>
      <c r="AE363" s="72" t="e">
        <f>-#REF!+$AD363</f>
        <v>#REF!</v>
      </c>
      <c r="AF363" s="71" t="e">
        <f>#REF!</f>
        <v>#REF!</v>
      </c>
    </row>
    <row r="364" spans="27:32" x14ac:dyDescent="0.25">
      <c r="AA364" s="71" t="e">
        <f>#REF!</f>
        <v>#REF!</v>
      </c>
      <c r="AB364" s="71" t="e">
        <f>#REF!</f>
        <v>#REF!</v>
      </c>
      <c r="AC364" s="71" t="e">
        <f>#REF!+AB364</f>
        <v>#REF!</v>
      </c>
      <c r="AD364" s="72" t="e">
        <f>-#REF!</f>
        <v>#REF!</v>
      </c>
      <c r="AE364" s="72" t="e">
        <f>-#REF!+$AD364</f>
        <v>#REF!</v>
      </c>
      <c r="AF364" s="71" t="e">
        <f>#REF!</f>
        <v>#REF!</v>
      </c>
    </row>
    <row r="365" spans="27:32" x14ac:dyDescent="0.25">
      <c r="AA365" s="71" t="e">
        <f>#REF!</f>
        <v>#REF!</v>
      </c>
      <c r="AB365" s="71" t="e">
        <f>#REF!</f>
        <v>#REF!</v>
      </c>
      <c r="AC365" s="71" t="e">
        <f>#REF!+AB365</f>
        <v>#REF!</v>
      </c>
      <c r="AD365" s="72" t="e">
        <f>-#REF!</f>
        <v>#REF!</v>
      </c>
      <c r="AE365" s="72" t="e">
        <f>-#REF!+$AD365</f>
        <v>#REF!</v>
      </c>
      <c r="AF365" s="71" t="e">
        <f>#REF!</f>
        <v>#REF!</v>
      </c>
    </row>
    <row r="366" spans="27:32" x14ac:dyDescent="0.25">
      <c r="AA366" s="71" t="e">
        <f>#REF!</f>
        <v>#REF!</v>
      </c>
      <c r="AB366" s="71" t="e">
        <f>#REF!</f>
        <v>#REF!</v>
      </c>
      <c r="AC366" s="71" t="e">
        <f>#REF!+AB366</f>
        <v>#REF!</v>
      </c>
      <c r="AD366" s="72" t="e">
        <f>-#REF!</f>
        <v>#REF!</v>
      </c>
      <c r="AE366" s="72" t="e">
        <f>-#REF!+$AD366</f>
        <v>#REF!</v>
      </c>
      <c r="AF366" s="71" t="e">
        <f>#REF!</f>
        <v>#REF!</v>
      </c>
    </row>
    <row r="367" spans="27:32" x14ac:dyDescent="0.25">
      <c r="AA367" s="71" t="e">
        <f>#REF!</f>
        <v>#REF!</v>
      </c>
      <c r="AB367" s="71" t="e">
        <f>#REF!</f>
        <v>#REF!</v>
      </c>
      <c r="AC367" s="71" t="e">
        <f>#REF!+AB367</f>
        <v>#REF!</v>
      </c>
      <c r="AD367" s="72" t="e">
        <f>-#REF!</f>
        <v>#REF!</v>
      </c>
      <c r="AE367" s="72" t="e">
        <f>-#REF!+$AD367</f>
        <v>#REF!</v>
      </c>
      <c r="AF367" s="71" t="e">
        <f>#REF!</f>
        <v>#REF!</v>
      </c>
    </row>
    <row r="368" spans="27:32" x14ac:dyDescent="0.25">
      <c r="AA368" s="71" t="e">
        <f>#REF!</f>
        <v>#REF!</v>
      </c>
      <c r="AB368" s="71" t="e">
        <f>#REF!</f>
        <v>#REF!</v>
      </c>
      <c r="AC368" s="71" t="e">
        <f>#REF!+AB368</f>
        <v>#REF!</v>
      </c>
      <c r="AD368" s="72" t="e">
        <f>-#REF!</f>
        <v>#REF!</v>
      </c>
      <c r="AE368" s="72" t="e">
        <f>-#REF!+$AD368</f>
        <v>#REF!</v>
      </c>
      <c r="AF368" s="71" t="e">
        <f>#REF!</f>
        <v>#REF!</v>
      </c>
    </row>
    <row r="369" spans="27:32" x14ac:dyDescent="0.25">
      <c r="AA369" s="71" t="e">
        <f>#REF!</f>
        <v>#REF!</v>
      </c>
      <c r="AB369" s="71" t="e">
        <f>#REF!</f>
        <v>#REF!</v>
      </c>
      <c r="AC369" s="71" t="e">
        <f>#REF!+AB369</f>
        <v>#REF!</v>
      </c>
      <c r="AD369" s="72" t="e">
        <f>-#REF!</f>
        <v>#REF!</v>
      </c>
      <c r="AE369" s="72" t="e">
        <f>-#REF!+$AD369</f>
        <v>#REF!</v>
      </c>
      <c r="AF369" s="71" t="e">
        <f>#REF!</f>
        <v>#REF!</v>
      </c>
    </row>
    <row r="370" spans="27:32" x14ac:dyDescent="0.25">
      <c r="AA370" s="71" t="e">
        <f>#REF!</f>
        <v>#REF!</v>
      </c>
      <c r="AB370" s="71" t="e">
        <f>#REF!</f>
        <v>#REF!</v>
      </c>
      <c r="AC370" s="71" t="e">
        <f>#REF!+AB370</f>
        <v>#REF!</v>
      </c>
      <c r="AD370" s="72" t="e">
        <f>-#REF!</f>
        <v>#REF!</v>
      </c>
      <c r="AE370" s="72" t="e">
        <f>-#REF!+$AD370</f>
        <v>#REF!</v>
      </c>
      <c r="AF370" s="71" t="e">
        <f>#REF!</f>
        <v>#REF!</v>
      </c>
    </row>
    <row r="371" spans="27:32" x14ac:dyDescent="0.25">
      <c r="AA371" s="71" t="e">
        <f>#REF!</f>
        <v>#REF!</v>
      </c>
      <c r="AB371" s="71" t="e">
        <f>#REF!</f>
        <v>#REF!</v>
      </c>
      <c r="AC371" s="71" t="e">
        <f>#REF!+AB371</f>
        <v>#REF!</v>
      </c>
      <c r="AD371" s="72" t="e">
        <f>-#REF!</f>
        <v>#REF!</v>
      </c>
      <c r="AE371" s="72" t="e">
        <f>-#REF!+$AD371</f>
        <v>#REF!</v>
      </c>
      <c r="AF371" s="71" t="e">
        <f>#REF!</f>
        <v>#REF!</v>
      </c>
    </row>
    <row r="372" spans="27:32" x14ac:dyDescent="0.25">
      <c r="AA372" s="71" t="e">
        <f>#REF!</f>
        <v>#REF!</v>
      </c>
      <c r="AB372" s="71" t="e">
        <f>#REF!</f>
        <v>#REF!</v>
      </c>
      <c r="AC372" s="71" t="e">
        <f>#REF!+AB372</f>
        <v>#REF!</v>
      </c>
      <c r="AD372" s="72" t="e">
        <f>-#REF!</f>
        <v>#REF!</v>
      </c>
      <c r="AE372" s="72" t="e">
        <f>-#REF!+$AD372</f>
        <v>#REF!</v>
      </c>
      <c r="AF372" s="71" t="e">
        <f>#REF!</f>
        <v>#REF!</v>
      </c>
    </row>
    <row r="373" spans="27:32" x14ac:dyDescent="0.25">
      <c r="AA373" s="71" t="e">
        <f>#REF!</f>
        <v>#REF!</v>
      </c>
      <c r="AB373" s="71" t="e">
        <f>#REF!</f>
        <v>#REF!</v>
      </c>
      <c r="AC373" s="71" t="e">
        <f>#REF!+AB373</f>
        <v>#REF!</v>
      </c>
      <c r="AD373" s="72" t="e">
        <f>-#REF!</f>
        <v>#REF!</v>
      </c>
      <c r="AE373" s="72" t="e">
        <f>-#REF!+$AD373</f>
        <v>#REF!</v>
      </c>
      <c r="AF373" s="71" t="e">
        <f>#REF!</f>
        <v>#REF!</v>
      </c>
    </row>
    <row r="374" spans="27:32" x14ac:dyDescent="0.25">
      <c r="AA374" s="71" t="e">
        <f>#REF!</f>
        <v>#REF!</v>
      </c>
      <c r="AB374" s="71" t="e">
        <f>#REF!</f>
        <v>#REF!</v>
      </c>
      <c r="AC374" s="71" t="e">
        <f>#REF!+AB374</f>
        <v>#REF!</v>
      </c>
      <c r="AD374" s="72" t="e">
        <f>-#REF!</f>
        <v>#REF!</v>
      </c>
      <c r="AE374" s="72" t="e">
        <f>-#REF!+$AD374</f>
        <v>#REF!</v>
      </c>
      <c r="AF374" s="71" t="e">
        <f>#REF!</f>
        <v>#REF!</v>
      </c>
    </row>
    <row r="375" spans="27:32" x14ac:dyDescent="0.25">
      <c r="AA375" s="71" t="e">
        <f>#REF!</f>
        <v>#REF!</v>
      </c>
      <c r="AB375" s="71" t="e">
        <f>#REF!</f>
        <v>#REF!</v>
      </c>
      <c r="AC375" s="71" t="e">
        <f>#REF!+AB375</f>
        <v>#REF!</v>
      </c>
      <c r="AD375" s="72" t="e">
        <f>-#REF!</f>
        <v>#REF!</v>
      </c>
      <c r="AE375" s="72" t="e">
        <f>-#REF!+$AD375</f>
        <v>#REF!</v>
      </c>
      <c r="AF375" s="71" t="e">
        <f>#REF!</f>
        <v>#REF!</v>
      </c>
    </row>
    <row r="376" spans="27:32" x14ac:dyDescent="0.25">
      <c r="AA376" s="71" t="e">
        <f>#REF!</f>
        <v>#REF!</v>
      </c>
      <c r="AB376" s="71" t="e">
        <f>#REF!</f>
        <v>#REF!</v>
      </c>
      <c r="AC376" s="71" t="e">
        <f>#REF!+AB376</f>
        <v>#REF!</v>
      </c>
      <c r="AD376" s="72" t="e">
        <f>-#REF!</f>
        <v>#REF!</v>
      </c>
      <c r="AE376" s="72" t="e">
        <f>-#REF!+$AD376</f>
        <v>#REF!</v>
      </c>
      <c r="AF376" s="71" t="e">
        <f>#REF!</f>
        <v>#REF!</v>
      </c>
    </row>
    <row r="377" spans="27:32" x14ac:dyDescent="0.25">
      <c r="AA377" s="71" t="e">
        <f>#REF!</f>
        <v>#REF!</v>
      </c>
      <c r="AB377" s="71" t="e">
        <f>#REF!</f>
        <v>#REF!</v>
      </c>
      <c r="AC377" s="71" t="e">
        <f>#REF!+AB377</f>
        <v>#REF!</v>
      </c>
      <c r="AD377" s="72" t="e">
        <f>-#REF!</f>
        <v>#REF!</v>
      </c>
      <c r="AE377" s="72" t="e">
        <f>-#REF!+$AD377</f>
        <v>#REF!</v>
      </c>
      <c r="AF377" s="71" t="e">
        <f>#REF!</f>
        <v>#REF!</v>
      </c>
    </row>
    <row r="378" spans="27:32" x14ac:dyDescent="0.25">
      <c r="AA378" s="71" t="e">
        <f>#REF!</f>
        <v>#REF!</v>
      </c>
      <c r="AB378" s="71" t="e">
        <f>#REF!</f>
        <v>#REF!</v>
      </c>
      <c r="AC378" s="71" t="e">
        <f>#REF!+AB378</f>
        <v>#REF!</v>
      </c>
      <c r="AD378" s="72" t="e">
        <f>-#REF!</f>
        <v>#REF!</v>
      </c>
      <c r="AE378" s="72" t="e">
        <f>-#REF!+$AD378</f>
        <v>#REF!</v>
      </c>
      <c r="AF378" s="71" t="e">
        <f>#REF!</f>
        <v>#REF!</v>
      </c>
    </row>
    <row r="379" spans="27:32" x14ac:dyDescent="0.25">
      <c r="AA379" s="71" t="e">
        <f>#REF!</f>
        <v>#REF!</v>
      </c>
      <c r="AB379" s="71" t="e">
        <f>#REF!</f>
        <v>#REF!</v>
      </c>
      <c r="AC379" s="71" t="e">
        <f>#REF!+AB379</f>
        <v>#REF!</v>
      </c>
      <c r="AD379" s="72" t="e">
        <f>-#REF!</f>
        <v>#REF!</v>
      </c>
      <c r="AE379" s="72" t="e">
        <f>-#REF!+$AD379</f>
        <v>#REF!</v>
      </c>
      <c r="AF379" s="71" t="e">
        <f>#REF!</f>
        <v>#REF!</v>
      </c>
    </row>
    <row r="380" spans="27:32" x14ac:dyDescent="0.25">
      <c r="AA380" s="71" t="e">
        <f>#REF!</f>
        <v>#REF!</v>
      </c>
      <c r="AB380" s="71" t="e">
        <f>#REF!</f>
        <v>#REF!</v>
      </c>
      <c r="AC380" s="71" t="e">
        <f>#REF!+AB380</f>
        <v>#REF!</v>
      </c>
      <c r="AD380" s="72" t="e">
        <f>-#REF!</f>
        <v>#REF!</v>
      </c>
      <c r="AE380" s="72" t="e">
        <f>-#REF!+$AD380</f>
        <v>#REF!</v>
      </c>
      <c r="AF380" s="71" t="e">
        <f>#REF!</f>
        <v>#REF!</v>
      </c>
    </row>
    <row r="381" spans="27:32" x14ac:dyDescent="0.25">
      <c r="AA381" s="71" t="e">
        <f>#REF!</f>
        <v>#REF!</v>
      </c>
      <c r="AB381" s="71" t="e">
        <f>#REF!</f>
        <v>#REF!</v>
      </c>
      <c r="AC381" s="71" t="e">
        <f>#REF!+AB381</f>
        <v>#REF!</v>
      </c>
      <c r="AD381" s="72" t="e">
        <f>-#REF!</f>
        <v>#REF!</v>
      </c>
      <c r="AE381" s="72" t="e">
        <f>-#REF!+$AD381</f>
        <v>#REF!</v>
      </c>
      <c r="AF381" s="71" t="e">
        <f>#REF!</f>
        <v>#REF!</v>
      </c>
    </row>
    <row r="382" spans="27:32" x14ac:dyDescent="0.25">
      <c r="AA382" s="71" t="e">
        <f>#REF!</f>
        <v>#REF!</v>
      </c>
      <c r="AB382" s="71" t="e">
        <f>#REF!</f>
        <v>#REF!</v>
      </c>
      <c r="AC382" s="71" t="e">
        <f>#REF!+AB382</f>
        <v>#REF!</v>
      </c>
      <c r="AD382" s="72" t="e">
        <f>-#REF!</f>
        <v>#REF!</v>
      </c>
      <c r="AE382" s="72" t="e">
        <f>-#REF!+$AD382</f>
        <v>#REF!</v>
      </c>
      <c r="AF382" s="71" t="e">
        <f>#REF!</f>
        <v>#REF!</v>
      </c>
    </row>
    <row r="383" spans="27:32" x14ac:dyDescent="0.25">
      <c r="AA383" s="71" t="e">
        <f>#REF!</f>
        <v>#REF!</v>
      </c>
      <c r="AB383" s="71" t="e">
        <f>#REF!</f>
        <v>#REF!</v>
      </c>
      <c r="AC383" s="71" t="e">
        <f>#REF!+AB383</f>
        <v>#REF!</v>
      </c>
      <c r="AD383" s="72" t="e">
        <f>-#REF!</f>
        <v>#REF!</v>
      </c>
      <c r="AE383" s="72" t="e">
        <f>-#REF!+$AD383</f>
        <v>#REF!</v>
      </c>
      <c r="AF383" s="71" t="e">
        <f>#REF!</f>
        <v>#REF!</v>
      </c>
    </row>
    <row r="384" spans="27:32" x14ac:dyDescent="0.25">
      <c r="AA384" s="71" t="e">
        <f>#REF!</f>
        <v>#REF!</v>
      </c>
      <c r="AB384" s="71" t="e">
        <f>#REF!</f>
        <v>#REF!</v>
      </c>
      <c r="AC384" s="71" t="e">
        <f>#REF!+AB384</f>
        <v>#REF!</v>
      </c>
      <c r="AD384" s="72" t="e">
        <f>-#REF!</f>
        <v>#REF!</v>
      </c>
      <c r="AE384" s="72" t="e">
        <f>-#REF!+$AD384</f>
        <v>#REF!</v>
      </c>
      <c r="AF384" s="71" t="e">
        <f>#REF!</f>
        <v>#REF!</v>
      </c>
    </row>
    <row r="385" spans="27:32" x14ac:dyDescent="0.25">
      <c r="AA385" s="71" t="e">
        <f>#REF!</f>
        <v>#REF!</v>
      </c>
      <c r="AB385" s="71" t="e">
        <f>#REF!</f>
        <v>#REF!</v>
      </c>
      <c r="AC385" s="71" t="e">
        <f>#REF!+AB385</f>
        <v>#REF!</v>
      </c>
      <c r="AD385" s="72" t="e">
        <f>-#REF!</f>
        <v>#REF!</v>
      </c>
      <c r="AE385" s="72" t="e">
        <f>-#REF!+$AD385</f>
        <v>#REF!</v>
      </c>
      <c r="AF385" s="71" t="e">
        <f>#REF!</f>
        <v>#REF!</v>
      </c>
    </row>
    <row r="386" spans="27:32" x14ac:dyDescent="0.25">
      <c r="AA386" s="71" t="e">
        <f>#REF!</f>
        <v>#REF!</v>
      </c>
      <c r="AB386" s="71" t="e">
        <f>#REF!</f>
        <v>#REF!</v>
      </c>
      <c r="AC386" s="71" t="e">
        <f>#REF!+AB386</f>
        <v>#REF!</v>
      </c>
      <c r="AD386" s="72" t="e">
        <f>-#REF!</f>
        <v>#REF!</v>
      </c>
      <c r="AE386" s="72" t="e">
        <f>-#REF!+$AD386</f>
        <v>#REF!</v>
      </c>
      <c r="AF386" s="71" t="e">
        <f>#REF!</f>
        <v>#REF!</v>
      </c>
    </row>
    <row r="387" spans="27:32" x14ac:dyDescent="0.25">
      <c r="AA387" s="71" t="e">
        <f>#REF!</f>
        <v>#REF!</v>
      </c>
      <c r="AB387" s="71" t="e">
        <f>#REF!</f>
        <v>#REF!</v>
      </c>
      <c r="AC387" s="71" t="e">
        <f>#REF!+AB387</f>
        <v>#REF!</v>
      </c>
      <c r="AD387" s="72" t="e">
        <f>-#REF!</f>
        <v>#REF!</v>
      </c>
      <c r="AE387" s="72" t="e">
        <f>-#REF!+$AD387</f>
        <v>#REF!</v>
      </c>
      <c r="AF387" s="71" t="e">
        <f>#REF!</f>
        <v>#REF!</v>
      </c>
    </row>
    <row r="388" spans="27:32" x14ac:dyDescent="0.25">
      <c r="AA388" s="71" t="e">
        <f>#REF!</f>
        <v>#REF!</v>
      </c>
      <c r="AB388" s="71" t="e">
        <f>#REF!</f>
        <v>#REF!</v>
      </c>
      <c r="AC388" s="71" t="e">
        <f>#REF!+AB388</f>
        <v>#REF!</v>
      </c>
      <c r="AD388" s="72" t="e">
        <f>-#REF!</f>
        <v>#REF!</v>
      </c>
      <c r="AE388" s="72" t="e">
        <f>-#REF!+$AD388</f>
        <v>#REF!</v>
      </c>
      <c r="AF388" s="71" t="e">
        <f>#REF!</f>
        <v>#REF!</v>
      </c>
    </row>
    <row r="389" spans="27:32" x14ac:dyDescent="0.25">
      <c r="AA389" s="71" t="e">
        <f>#REF!</f>
        <v>#REF!</v>
      </c>
      <c r="AB389" s="71" t="e">
        <f>#REF!</f>
        <v>#REF!</v>
      </c>
      <c r="AC389" s="71" t="e">
        <f>#REF!+AB389</f>
        <v>#REF!</v>
      </c>
      <c r="AD389" s="72" t="e">
        <f>-#REF!</f>
        <v>#REF!</v>
      </c>
      <c r="AE389" s="72" t="e">
        <f>-#REF!+$AD389</f>
        <v>#REF!</v>
      </c>
      <c r="AF389" s="71" t="e">
        <f>#REF!</f>
        <v>#REF!</v>
      </c>
    </row>
    <row r="390" spans="27:32" x14ac:dyDescent="0.25">
      <c r="AA390" s="71" t="e">
        <f>#REF!</f>
        <v>#REF!</v>
      </c>
      <c r="AB390" s="71" t="e">
        <f>#REF!</f>
        <v>#REF!</v>
      </c>
      <c r="AC390" s="71" t="e">
        <f>#REF!+AB390</f>
        <v>#REF!</v>
      </c>
      <c r="AD390" s="72" t="e">
        <f>-#REF!</f>
        <v>#REF!</v>
      </c>
      <c r="AE390" s="72" t="e">
        <f>-#REF!+$AD390</f>
        <v>#REF!</v>
      </c>
      <c r="AF390" s="71" t="e">
        <f>#REF!</f>
        <v>#REF!</v>
      </c>
    </row>
    <row r="391" spans="27:32" x14ac:dyDescent="0.25">
      <c r="AA391" s="71" t="e">
        <f>#REF!</f>
        <v>#REF!</v>
      </c>
      <c r="AB391" s="71" t="e">
        <f>#REF!</f>
        <v>#REF!</v>
      </c>
      <c r="AC391" s="71" t="e">
        <f>#REF!+AB391</f>
        <v>#REF!</v>
      </c>
      <c r="AD391" s="72" t="e">
        <f>-#REF!</f>
        <v>#REF!</v>
      </c>
      <c r="AE391" s="72" t="e">
        <f>-#REF!+$AD391</f>
        <v>#REF!</v>
      </c>
      <c r="AF391" s="71" t="e">
        <f>#REF!</f>
        <v>#REF!</v>
      </c>
    </row>
    <row r="392" spans="27:32" x14ac:dyDescent="0.25">
      <c r="AA392" s="71" t="e">
        <f>#REF!</f>
        <v>#REF!</v>
      </c>
      <c r="AB392" s="71" t="e">
        <f>#REF!</f>
        <v>#REF!</v>
      </c>
      <c r="AC392" s="71" t="e">
        <f>#REF!+AB392</f>
        <v>#REF!</v>
      </c>
      <c r="AD392" s="72" t="e">
        <f>-#REF!</f>
        <v>#REF!</v>
      </c>
      <c r="AE392" s="72" t="e">
        <f>-#REF!+$AD392</f>
        <v>#REF!</v>
      </c>
      <c r="AF392" s="71" t="e">
        <f>#REF!</f>
        <v>#REF!</v>
      </c>
    </row>
    <row r="393" spans="27:32" x14ac:dyDescent="0.25">
      <c r="AA393" s="71" t="e">
        <f>#REF!</f>
        <v>#REF!</v>
      </c>
      <c r="AB393" s="71" t="e">
        <f>#REF!</f>
        <v>#REF!</v>
      </c>
      <c r="AC393" s="71" t="e">
        <f>#REF!+AB393</f>
        <v>#REF!</v>
      </c>
      <c r="AD393" s="72" t="e">
        <f>-#REF!</f>
        <v>#REF!</v>
      </c>
      <c r="AE393" s="72" t="e">
        <f>-#REF!+$AD393</f>
        <v>#REF!</v>
      </c>
      <c r="AF393" s="71" t="e">
        <f>#REF!</f>
        <v>#REF!</v>
      </c>
    </row>
    <row r="394" spans="27:32" x14ac:dyDescent="0.25">
      <c r="AA394" s="71" t="e">
        <f>#REF!</f>
        <v>#REF!</v>
      </c>
      <c r="AB394" s="71" t="e">
        <f>#REF!</f>
        <v>#REF!</v>
      </c>
      <c r="AC394" s="71" t="e">
        <f>#REF!+AB394</f>
        <v>#REF!</v>
      </c>
      <c r="AD394" s="72" t="e">
        <f>-#REF!</f>
        <v>#REF!</v>
      </c>
      <c r="AE394" s="72" t="e">
        <f>-#REF!+$AD394</f>
        <v>#REF!</v>
      </c>
      <c r="AF394" s="71" t="e">
        <f>#REF!</f>
        <v>#REF!</v>
      </c>
    </row>
    <row r="395" spans="27:32" x14ac:dyDescent="0.25">
      <c r="AA395" s="71" t="e">
        <f>#REF!</f>
        <v>#REF!</v>
      </c>
      <c r="AB395" s="71" t="e">
        <f>#REF!</f>
        <v>#REF!</v>
      </c>
      <c r="AC395" s="71" t="e">
        <f>#REF!+AB395</f>
        <v>#REF!</v>
      </c>
      <c r="AD395" s="72" t="e">
        <f>-#REF!</f>
        <v>#REF!</v>
      </c>
      <c r="AE395" s="72" t="e">
        <f>-#REF!+$AD395</f>
        <v>#REF!</v>
      </c>
      <c r="AF395" s="71" t="e">
        <f>#REF!</f>
        <v>#REF!</v>
      </c>
    </row>
    <row r="396" spans="27:32" x14ac:dyDescent="0.25">
      <c r="AA396" s="71" t="e">
        <f>#REF!</f>
        <v>#REF!</v>
      </c>
      <c r="AB396" s="71" t="e">
        <f>#REF!</f>
        <v>#REF!</v>
      </c>
      <c r="AC396" s="71" t="e">
        <f>#REF!+AB396</f>
        <v>#REF!</v>
      </c>
      <c r="AD396" s="72" t="e">
        <f>-#REF!</f>
        <v>#REF!</v>
      </c>
      <c r="AE396" s="72" t="e">
        <f>-#REF!+$AD396</f>
        <v>#REF!</v>
      </c>
      <c r="AF396" s="71" t="e">
        <f>#REF!</f>
        <v>#REF!</v>
      </c>
    </row>
    <row r="397" spans="27:32" x14ac:dyDescent="0.25">
      <c r="AA397" s="71" t="e">
        <f>#REF!</f>
        <v>#REF!</v>
      </c>
      <c r="AB397" s="71" t="e">
        <f>#REF!</f>
        <v>#REF!</v>
      </c>
      <c r="AC397" s="71" t="e">
        <f>#REF!+AB397</f>
        <v>#REF!</v>
      </c>
      <c r="AD397" s="72" t="e">
        <f>-#REF!</f>
        <v>#REF!</v>
      </c>
      <c r="AE397" s="72" t="e">
        <f>-#REF!+$AD397</f>
        <v>#REF!</v>
      </c>
      <c r="AF397" s="71" t="e">
        <f>#REF!</f>
        <v>#REF!</v>
      </c>
    </row>
    <row r="398" spans="27:32" x14ac:dyDescent="0.25">
      <c r="AA398" s="71" t="e">
        <f>#REF!</f>
        <v>#REF!</v>
      </c>
      <c r="AB398" s="71" t="e">
        <f>#REF!</f>
        <v>#REF!</v>
      </c>
      <c r="AC398" s="71" t="e">
        <f>#REF!+AB398</f>
        <v>#REF!</v>
      </c>
      <c r="AD398" s="72" t="e">
        <f>-#REF!</f>
        <v>#REF!</v>
      </c>
      <c r="AE398" s="72" t="e">
        <f>-#REF!+$AD398</f>
        <v>#REF!</v>
      </c>
      <c r="AF398" s="71" t="e">
        <f>#REF!</f>
        <v>#REF!</v>
      </c>
    </row>
    <row r="399" spans="27:32" x14ac:dyDescent="0.25">
      <c r="AA399" s="71" t="e">
        <f>#REF!</f>
        <v>#REF!</v>
      </c>
      <c r="AB399" s="71" t="e">
        <f>#REF!</f>
        <v>#REF!</v>
      </c>
      <c r="AC399" s="71" t="e">
        <f>#REF!+AB399</f>
        <v>#REF!</v>
      </c>
      <c r="AD399" s="72" t="e">
        <f>-#REF!</f>
        <v>#REF!</v>
      </c>
      <c r="AE399" s="72" t="e">
        <f>-#REF!+$AD399</f>
        <v>#REF!</v>
      </c>
      <c r="AF399" s="71" t="e">
        <f>#REF!</f>
        <v>#REF!</v>
      </c>
    </row>
    <row r="400" spans="27:32" x14ac:dyDescent="0.25">
      <c r="AA400" s="71" t="e">
        <f>#REF!</f>
        <v>#REF!</v>
      </c>
      <c r="AB400" s="71" t="e">
        <f>#REF!</f>
        <v>#REF!</v>
      </c>
      <c r="AC400" s="71" t="e">
        <f>#REF!+AB400</f>
        <v>#REF!</v>
      </c>
      <c r="AD400" s="72" t="e">
        <f>-#REF!</f>
        <v>#REF!</v>
      </c>
      <c r="AE400" s="72" t="e">
        <f>-#REF!+$AD400</f>
        <v>#REF!</v>
      </c>
      <c r="AF400" s="71" t="e">
        <f>#REF!</f>
        <v>#REF!</v>
      </c>
    </row>
    <row r="401" spans="27:32" x14ac:dyDescent="0.25">
      <c r="AA401" s="71" t="e">
        <f>#REF!</f>
        <v>#REF!</v>
      </c>
      <c r="AB401" s="71" t="e">
        <f>#REF!</f>
        <v>#REF!</v>
      </c>
      <c r="AC401" s="71" t="e">
        <f>#REF!+AB401</f>
        <v>#REF!</v>
      </c>
      <c r="AD401" s="72" t="e">
        <f>-#REF!</f>
        <v>#REF!</v>
      </c>
      <c r="AE401" s="72" t="e">
        <f>-#REF!+$AD401</f>
        <v>#REF!</v>
      </c>
      <c r="AF401" s="71" t="e">
        <f>#REF!</f>
        <v>#REF!</v>
      </c>
    </row>
    <row r="402" spans="27:32" x14ac:dyDescent="0.25">
      <c r="AA402" s="71" t="e">
        <f>#REF!</f>
        <v>#REF!</v>
      </c>
      <c r="AB402" s="71" t="e">
        <f>#REF!</f>
        <v>#REF!</v>
      </c>
      <c r="AC402" s="71" t="e">
        <f>#REF!+AB402</f>
        <v>#REF!</v>
      </c>
      <c r="AD402" s="72" t="e">
        <f>-#REF!</f>
        <v>#REF!</v>
      </c>
      <c r="AE402" s="72" t="e">
        <f>-#REF!+$AD402</f>
        <v>#REF!</v>
      </c>
      <c r="AF402" s="71" t="e">
        <f>#REF!</f>
        <v>#REF!</v>
      </c>
    </row>
    <row r="403" spans="27:32" x14ac:dyDescent="0.25">
      <c r="AA403" s="71" t="e">
        <f>#REF!</f>
        <v>#REF!</v>
      </c>
      <c r="AB403" s="71" t="e">
        <f>#REF!</f>
        <v>#REF!</v>
      </c>
      <c r="AC403" s="71" t="e">
        <f>#REF!+AB403</f>
        <v>#REF!</v>
      </c>
      <c r="AD403" s="72" t="e">
        <f>-#REF!</f>
        <v>#REF!</v>
      </c>
      <c r="AE403" s="72" t="e">
        <f>-#REF!+$AD403</f>
        <v>#REF!</v>
      </c>
      <c r="AF403" s="71" t="e">
        <f>#REF!</f>
        <v>#REF!</v>
      </c>
    </row>
    <row r="404" spans="27:32" x14ac:dyDescent="0.25">
      <c r="AA404" s="71" t="e">
        <f>#REF!</f>
        <v>#REF!</v>
      </c>
      <c r="AB404" s="71" t="e">
        <f>#REF!</f>
        <v>#REF!</v>
      </c>
      <c r="AC404" s="71" t="e">
        <f>#REF!+AB404</f>
        <v>#REF!</v>
      </c>
      <c r="AD404" s="72" t="e">
        <f>-#REF!</f>
        <v>#REF!</v>
      </c>
      <c r="AE404" s="72" t="e">
        <f>-#REF!+$AD404</f>
        <v>#REF!</v>
      </c>
      <c r="AF404" s="71" t="e">
        <f>#REF!</f>
        <v>#REF!</v>
      </c>
    </row>
    <row r="405" spans="27:32" x14ac:dyDescent="0.25">
      <c r="AA405" s="71" t="e">
        <f>#REF!</f>
        <v>#REF!</v>
      </c>
      <c r="AB405" s="71" t="e">
        <f>#REF!</f>
        <v>#REF!</v>
      </c>
      <c r="AC405" s="71" t="e">
        <f>#REF!+AB405</f>
        <v>#REF!</v>
      </c>
      <c r="AD405" s="72" t="e">
        <f>-#REF!</f>
        <v>#REF!</v>
      </c>
      <c r="AE405" s="72" t="e">
        <f>-#REF!+$AD405</f>
        <v>#REF!</v>
      </c>
      <c r="AF405" s="71" t="e">
        <f>#REF!</f>
        <v>#REF!</v>
      </c>
    </row>
    <row r="406" spans="27:32" x14ac:dyDescent="0.25">
      <c r="AA406" s="71" t="e">
        <f>#REF!</f>
        <v>#REF!</v>
      </c>
      <c r="AB406" s="71" t="e">
        <f>#REF!</f>
        <v>#REF!</v>
      </c>
      <c r="AC406" s="71" t="e">
        <f>#REF!+AB406</f>
        <v>#REF!</v>
      </c>
      <c r="AD406" s="72" t="e">
        <f>-#REF!</f>
        <v>#REF!</v>
      </c>
      <c r="AE406" s="72" t="e">
        <f>-#REF!+$AD406</f>
        <v>#REF!</v>
      </c>
      <c r="AF406" s="71" t="e">
        <f>#REF!</f>
        <v>#REF!</v>
      </c>
    </row>
    <row r="407" spans="27:32" x14ac:dyDescent="0.25">
      <c r="AA407" s="71" t="e">
        <f>#REF!</f>
        <v>#REF!</v>
      </c>
      <c r="AB407" s="71" t="e">
        <f>#REF!</f>
        <v>#REF!</v>
      </c>
      <c r="AC407" s="71" t="e">
        <f>#REF!+AB407</f>
        <v>#REF!</v>
      </c>
      <c r="AD407" s="72" t="e">
        <f>-#REF!</f>
        <v>#REF!</v>
      </c>
      <c r="AE407" s="72" t="e">
        <f>-#REF!+$AD407</f>
        <v>#REF!</v>
      </c>
      <c r="AF407" s="71" t="e">
        <f>#REF!</f>
        <v>#REF!</v>
      </c>
    </row>
    <row r="408" spans="27:32" x14ac:dyDescent="0.25">
      <c r="AA408" s="71" t="e">
        <f>#REF!</f>
        <v>#REF!</v>
      </c>
      <c r="AB408" s="71" t="e">
        <f>#REF!</f>
        <v>#REF!</v>
      </c>
      <c r="AC408" s="71" t="e">
        <f>#REF!+AB408</f>
        <v>#REF!</v>
      </c>
      <c r="AD408" s="72" t="e">
        <f>-#REF!</f>
        <v>#REF!</v>
      </c>
      <c r="AE408" s="72" t="e">
        <f>-#REF!+$AD408</f>
        <v>#REF!</v>
      </c>
      <c r="AF408" s="71" t="e">
        <f>#REF!</f>
        <v>#REF!</v>
      </c>
    </row>
    <row r="409" spans="27:32" x14ac:dyDescent="0.25">
      <c r="AA409" s="71" t="e">
        <f>#REF!</f>
        <v>#REF!</v>
      </c>
      <c r="AB409" s="71" t="e">
        <f>#REF!</f>
        <v>#REF!</v>
      </c>
      <c r="AC409" s="71" t="e">
        <f>#REF!+AB409</f>
        <v>#REF!</v>
      </c>
      <c r="AD409" s="72" t="e">
        <f>-#REF!</f>
        <v>#REF!</v>
      </c>
      <c r="AE409" s="72" t="e">
        <f>-#REF!+$AD409</f>
        <v>#REF!</v>
      </c>
      <c r="AF409" s="71" t="e">
        <f>#REF!</f>
        <v>#REF!</v>
      </c>
    </row>
    <row r="410" spans="27:32" x14ac:dyDescent="0.25">
      <c r="AA410" s="71" t="e">
        <f>#REF!</f>
        <v>#REF!</v>
      </c>
      <c r="AB410" s="71" t="e">
        <f>#REF!</f>
        <v>#REF!</v>
      </c>
      <c r="AC410" s="71" t="e">
        <f>#REF!+AB410</f>
        <v>#REF!</v>
      </c>
      <c r="AD410" s="72" t="e">
        <f>-#REF!</f>
        <v>#REF!</v>
      </c>
      <c r="AE410" s="72" t="e">
        <f>-#REF!+$AD410</f>
        <v>#REF!</v>
      </c>
      <c r="AF410" s="71" t="e">
        <f>#REF!</f>
        <v>#REF!</v>
      </c>
    </row>
    <row r="411" spans="27:32" x14ac:dyDescent="0.25">
      <c r="AA411" s="71" t="e">
        <f>#REF!</f>
        <v>#REF!</v>
      </c>
      <c r="AB411" s="71" t="e">
        <f>#REF!</f>
        <v>#REF!</v>
      </c>
      <c r="AC411" s="71" t="e">
        <f>#REF!+AB411</f>
        <v>#REF!</v>
      </c>
      <c r="AD411" s="72" t="e">
        <f>-#REF!</f>
        <v>#REF!</v>
      </c>
      <c r="AE411" s="72" t="e">
        <f>-#REF!+$AD411</f>
        <v>#REF!</v>
      </c>
      <c r="AF411" s="71" t="e">
        <f>#REF!</f>
        <v>#REF!</v>
      </c>
    </row>
    <row r="412" spans="27:32" x14ac:dyDescent="0.25">
      <c r="AA412" s="71" t="e">
        <f>#REF!</f>
        <v>#REF!</v>
      </c>
      <c r="AB412" s="71" t="e">
        <f>#REF!</f>
        <v>#REF!</v>
      </c>
      <c r="AC412" s="71" t="e">
        <f>#REF!+AB412</f>
        <v>#REF!</v>
      </c>
      <c r="AD412" s="72" t="e">
        <f>-#REF!</f>
        <v>#REF!</v>
      </c>
      <c r="AE412" s="72" t="e">
        <f>-#REF!+$AD412</f>
        <v>#REF!</v>
      </c>
      <c r="AF412" s="71" t="e">
        <f>#REF!</f>
        <v>#REF!</v>
      </c>
    </row>
    <row r="413" spans="27:32" x14ac:dyDescent="0.25">
      <c r="AA413" s="71" t="e">
        <f>#REF!</f>
        <v>#REF!</v>
      </c>
      <c r="AB413" s="71" t="e">
        <f>#REF!</f>
        <v>#REF!</v>
      </c>
      <c r="AC413" s="71" t="e">
        <f>#REF!+AB413</f>
        <v>#REF!</v>
      </c>
      <c r="AD413" s="72" t="e">
        <f>-#REF!</f>
        <v>#REF!</v>
      </c>
      <c r="AE413" s="72" t="e">
        <f>-#REF!+$AD413</f>
        <v>#REF!</v>
      </c>
      <c r="AF413" s="71" t="e">
        <f>#REF!</f>
        <v>#REF!</v>
      </c>
    </row>
    <row r="414" spans="27:32" x14ac:dyDescent="0.25">
      <c r="AA414" s="71" t="e">
        <f>#REF!</f>
        <v>#REF!</v>
      </c>
      <c r="AB414" s="71" t="e">
        <f>#REF!</f>
        <v>#REF!</v>
      </c>
      <c r="AC414" s="71" t="e">
        <f>#REF!+AB414</f>
        <v>#REF!</v>
      </c>
      <c r="AD414" s="72" t="e">
        <f>-#REF!</f>
        <v>#REF!</v>
      </c>
      <c r="AE414" s="72" t="e">
        <f>-#REF!+$AD414</f>
        <v>#REF!</v>
      </c>
      <c r="AF414" s="71" t="e">
        <f>#REF!</f>
        <v>#REF!</v>
      </c>
    </row>
    <row r="415" spans="27:32" x14ac:dyDescent="0.25">
      <c r="AA415" s="71" t="e">
        <f>#REF!</f>
        <v>#REF!</v>
      </c>
      <c r="AB415" s="71" t="e">
        <f>#REF!</f>
        <v>#REF!</v>
      </c>
      <c r="AC415" s="71" t="e">
        <f>#REF!+AB415</f>
        <v>#REF!</v>
      </c>
      <c r="AD415" s="72" t="e">
        <f>-#REF!</f>
        <v>#REF!</v>
      </c>
      <c r="AE415" s="72" t="e">
        <f>-#REF!+$AD415</f>
        <v>#REF!</v>
      </c>
      <c r="AF415" s="71" t="e">
        <f>#REF!</f>
        <v>#REF!</v>
      </c>
    </row>
    <row r="416" spans="27:32" x14ac:dyDescent="0.25">
      <c r="AA416" s="71" t="e">
        <f>#REF!</f>
        <v>#REF!</v>
      </c>
      <c r="AB416" s="71" t="e">
        <f>#REF!</f>
        <v>#REF!</v>
      </c>
      <c r="AC416" s="71" t="e">
        <f>#REF!+AB416</f>
        <v>#REF!</v>
      </c>
      <c r="AD416" s="72" t="e">
        <f>-#REF!</f>
        <v>#REF!</v>
      </c>
      <c r="AE416" s="72" t="e">
        <f>-#REF!+$AD416</f>
        <v>#REF!</v>
      </c>
      <c r="AF416" s="71" t="e">
        <f>#REF!</f>
        <v>#REF!</v>
      </c>
    </row>
    <row r="417" spans="27:32" x14ac:dyDescent="0.25">
      <c r="AA417" s="71" t="e">
        <f>#REF!</f>
        <v>#REF!</v>
      </c>
      <c r="AB417" s="71" t="e">
        <f>#REF!</f>
        <v>#REF!</v>
      </c>
      <c r="AC417" s="71" t="e">
        <f>#REF!+AB417</f>
        <v>#REF!</v>
      </c>
      <c r="AD417" s="72" t="e">
        <f>-#REF!</f>
        <v>#REF!</v>
      </c>
      <c r="AE417" s="72" t="e">
        <f>-#REF!+$AD417</f>
        <v>#REF!</v>
      </c>
      <c r="AF417" s="71" t="e">
        <f>#REF!</f>
        <v>#REF!</v>
      </c>
    </row>
    <row r="418" spans="27:32" x14ac:dyDescent="0.25">
      <c r="AA418" s="71" t="e">
        <f>#REF!</f>
        <v>#REF!</v>
      </c>
      <c r="AB418" s="71" t="e">
        <f>#REF!</f>
        <v>#REF!</v>
      </c>
      <c r="AC418" s="71" t="e">
        <f>#REF!+AB418</f>
        <v>#REF!</v>
      </c>
      <c r="AD418" s="72" t="e">
        <f>-#REF!</f>
        <v>#REF!</v>
      </c>
      <c r="AE418" s="72" t="e">
        <f>-#REF!+$AD418</f>
        <v>#REF!</v>
      </c>
      <c r="AF418" s="71" t="e">
        <f>#REF!</f>
        <v>#REF!</v>
      </c>
    </row>
    <row r="419" spans="27:32" x14ac:dyDescent="0.25">
      <c r="AA419" s="71" t="e">
        <f>#REF!</f>
        <v>#REF!</v>
      </c>
      <c r="AB419" s="71" t="e">
        <f>#REF!</f>
        <v>#REF!</v>
      </c>
      <c r="AC419" s="71" t="e">
        <f>#REF!+AB419</f>
        <v>#REF!</v>
      </c>
      <c r="AD419" s="72" t="e">
        <f>-#REF!</f>
        <v>#REF!</v>
      </c>
      <c r="AE419" s="72" t="e">
        <f>-#REF!+$AD419</f>
        <v>#REF!</v>
      </c>
      <c r="AF419" s="71" t="e">
        <f>#REF!</f>
        <v>#REF!</v>
      </c>
    </row>
    <row r="420" spans="27:32" x14ac:dyDescent="0.25">
      <c r="AA420" s="71" t="e">
        <f>#REF!</f>
        <v>#REF!</v>
      </c>
      <c r="AB420" s="71" t="e">
        <f>#REF!</f>
        <v>#REF!</v>
      </c>
      <c r="AC420" s="71" t="e">
        <f>#REF!+AB420</f>
        <v>#REF!</v>
      </c>
      <c r="AD420" s="72" t="e">
        <f>-#REF!</f>
        <v>#REF!</v>
      </c>
      <c r="AE420" s="72" t="e">
        <f>-#REF!+$AD420</f>
        <v>#REF!</v>
      </c>
      <c r="AF420" s="71" t="e">
        <f>#REF!</f>
        <v>#REF!</v>
      </c>
    </row>
    <row r="421" spans="27:32" x14ac:dyDescent="0.25">
      <c r="AA421" s="71" t="e">
        <f>#REF!</f>
        <v>#REF!</v>
      </c>
      <c r="AB421" s="71" t="e">
        <f>#REF!</f>
        <v>#REF!</v>
      </c>
      <c r="AC421" s="71" t="e">
        <f>#REF!+AB421</f>
        <v>#REF!</v>
      </c>
      <c r="AD421" s="72" t="e">
        <f>-#REF!</f>
        <v>#REF!</v>
      </c>
      <c r="AE421" s="72" t="e">
        <f>-#REF!+$AD421</f>
        <v>#REF!</v>
      </c>
      <c r="AF421" s="71" t="e">
        <f>#REF!</f>
        <v>#REF!</v>
      </c>
    </row>
    <row r="422" spans="27:32" x14ac:dyDescent="0.25">
      <c r="AA422" s="71" t="e">
        <f>#REF!</f>
        <v>#REF!</v>
      </c>
      <c r="AB422" s="71" t="e">
        <f>#REF!</f>
        <v>#REF!</v>
      </c>
      <c r="AC422" s="71" t="e">
        <f>#REF!+AB422</f>
        <v>#REF!</v>
      </c>
      <c r="AD422" s="72" t="e">
        <f>-#REF!</f>
        <v>#REF!</v>
      </c>
      <c r="AE422" s="72" t="e">
        <f>-#REF!+$AD422</f>
        <v>#REF!</v>
      </c>
      <c r="AF422" s="71" t="e">
        <f>#REF!</f>
        <v>#REF!</v>
      </c>
    </row>
    <row r="423" spans="27:32" x14ac:dyDescent="0.25">
      <c r="AA423" s="71" t="e">
        <f>#REF!</f>
        <v>#REF!</v>
      </c>
      <c r="AB423" s="71" t="e">
        <f>#REF!</f>
        <v>#REF!</v>
      </c>
      <c r="AC423" s="71" t="e">
        <f>#REF!+AB423</f>
        <v>#REF!</v>
      </c>
      <c r="AD423" s="72" t="e">
        <f>-#REF!</f>
        <v>#REF!</v>
      </c>
      <c r="AE423" s="72" t="e">
        <f>-#REF!+$AD423</f>
        <v>#REF!</v>
      </c>
      <c r="AF423" s="71" t="e">
        <f>#REF!</f>
        <v>#REF!</v>
      </c>
    </row>
    <row r="424" spans="27:32" x14ac:dyDescent="0.25">
      <c r="AA424" s="71" t="e">
        <f>#REF!</f>
        <v>#REF!</v>
      </c>
      <c r="AB424" s="71" t="e">
        <f>#REF!</f>
        <v>#REF!</v>
      </c>
      <c r="AC424" s="71" t="e">
        <f>#REF!+AB424</f>
        <v>#REF!</v>
      </c>
      <c r="AD424" s="72" t="e">
        <f>-#REF!</f>
        <v>#REF!</v>
      </c>
      <c r="AE424" s="72" t="e">
        <f>-#REF!+$AD424</f>
        <v>#REF!</v>
      </c>
      <c r="AF424" s="71" t="e">
        <f>#REF!</f>
        <v>#REF!</v>
      </c>
    </row>
    <row r="425" spans="27:32" x14ac:dyDescent="0.25">
      <c r="AA425" s="71" t="e">
        <f>#REF!</f>
        <v>#REF!</v>
      </c>
      <c r="AB425" s="71" t="e">
        <f>#REF!</f>
        <v>#REF!</v>
      </c>
      <c r="AC425" s="71" t="e">
        <f>#REF!+AB425</f>
        <v>#REF!</v>
      </c>
      <c r="AD425" s="72" t="e">
        <f>-#REF!</f>
        <v>#REF!</v>
      </c>
      <c r="AE425" s="72" t="e">
        <f>-#REF!+$AD425</f>
        <v>#REF!</v>
      </c>
      <c r="AF425" s="71" t="e">
        <f>#REF!</f>
        <v>#REF!</v>
      </c>
    </row>
    <row r="426" spans="27:32" x14ac:dyDescent="0.25">
      <c r="AA426" s="71" t="e">
        <f>#REF!</f>
        <v>#REF!</v>
      </c>
      <c r="AB426" s="71" t="e">
        <f>#REF!</f>
        <v>#REF!</v>
      </c>
      <c r="AC426" s="71" t="e">
        <f>#REF!+AB426</f>
        <v>#REF!</v>
      </c>
      <c r="AD426" s="72" t="e">
        <f>-#REF!</f>
        <v>#REF!</v>
      </c>
      <c r="AE426" s="72" t="e">
        <f>-#REF!+$AD426</f>
        <v>#REF!</v>
      </c>
      <c r="AF426" s="71" t="e">
        <f>#REF!</f>
        <v>#REF!</v>
      </c>
    </row>
    <row r="427" spans="27:32" x14ac:dyDescent="0.25">
      <c r="AA427" s="71" t="e">
        <f>#REF!</f>
        <v>#REF!</v>
      </c>
      <c r="AB427" s="71" t="e">
        <f>#REF!</f>
        <v>#REF!</v>
      </c>
      <c r="AC427" s="71" t="e">
        <f>#REF!+AB427</f>
        <v>#REF!</v>
      </c>
      <c r="AD427" s="72" t="e">
        <f>-#REF!</f>
        <v>#REF!</v>
      </c>
      <c r="AE427" s="72" t="e">
        <f>-#REF!+$AD427</f>
        <v>#REF!</v>
      </c>
      <c r="AF427" s="71" t="e">
        <f>#REF!</f>
        <v>#REF!</v>
      </c>
    </row>
    <row r="428" spans="27:32" x14ac:dyDescent="0.25">
      <c r="AA428" s="71" t="e">
        <f>#REF!</f>
        <v>#REF!</v>
      </c>
      <c r="AB428" s="71" t="e">
        <f>#REF!</f>
        <v>#REF!</v>
      </c>
      <c r="AC428" s="71" t="e">
        <f>#REF!+AB428</f>
        <v>#REF!</v>
      </c>
      <c r="AD428" s="72" t="e">
        <f>-#REF!</f>
        <v>#REF!</v>
      </c>
      <c r="AE428" s="72" t="e">
        <f>-#REF!+$AD428</f>
        <v>#REF!</v>
      </c>
      <c r="AF428" s="71" t="e">
        <f>#REF!</f>
        <v>#REF!</v>
      </c>
    </row>
    <row r="429" spans="27:32" x14ac:dyDescent="0.25">
      <c r="AA429" s="71" t="e">
        <f>#REF!</f>
        <v>#REF!</v>
      </c>
      <c r="AB429" s="71" t="e">
        <f>#REF!</f>
        <v>#REF!</v>
      </c>
      <c r="AC429" s="71" t="e">
        <f>#REF!+AB429</f>
        <v>#REF!</v>
      </c>
      <c r="AD429" s="72" t="e">
        <f>-#REF!</f>
        <v>#REF!</v>
      </c>
      <c r="AE429" s="72" t="e">
        <f>-#REF!+$AD429</f>
        <v>#REF!</v>
      </c>
      <c r="AF429" s="71" t="e">
        <f>#REF!</f>
        <v>#REF!</v>
      </c>
    </row>
    <row r="430" spans="27:32" x14ac:dyDescent="0.25">
      <c r="AA430" s="71" t="e">
        <f>#REF!</f>
        <v>#REF!</v>
      </c>
      <c r="AB430" s="71" t="e">
        <f>#REF!</f>
        <v>#REF!</v>
      </c>
      <c r="AC430" s="71" t="e">
        <f>#REF!+AB430</f>
        <v>#REF!</v>
      </c>
      <c r="AD430" s="72" t="e">
        <f>-#REF!</f>
        <v>#REF!</v>
      </c>
      <c r="AE430" s="72" t="e">
        <f>-#REF!+$AD430</f>
        <v>#REF!</v>
      </c>
      <c r="AF430" s="71" t="e">
        <f>#REF!</f>
        <v>#REF!</v>
      </c>
    </row>
    <row r="431" spans="27:32" x14ac:dyDescent="0.25">
      <c r="AA431" s="71" t="e">
        <f>#REF!</f>
        <v>#REF!</v>
      </c>
      <c r="AB431" s="71" t="e">
        <f>#REF!</f>
        <v>#REF!</v>
      </c>
      <c r="AC431" s="71" t="e">
        <f>#REF!+AB431</f>
        <v>#REF!</v>
      </c>
      <c r="AD431" s="72" t="e">
        <f>-#REF!</f>
        <v>#REF!</v>
      </c>
      <c r="AE431" s="72" t="e">
        <f>-#REF!+$AD431</f>
        <v>#REF!</v>
      </c>
      <c r="AF431" s="71" t="e">
        <f>#REF!</f>
        <v>#REF!</v>
      </c>
    </row>
    <row r="432" spans="27:32" x14ac:dyDescent="0.25">
      <c r="AA432" s="71" t="e">
        <f>#REF!</f>
        <v>#REF!</v>
      </c>
      <c r="AB432" s="71" t="e">
        <f>#REF!</f>
        <v>#REF!</v>
      </c>
      <c r="AC432" s="71" t="e">
        <f>#REF!+AB432</f>
        <v>#REF!</v>
      </c>
      <c r="AD432" s="72" t="e">
        <f>-#REF!</f>
        <v>#REF!</v>
      </c>
      <c r="AE432" s="72" t="e">
        <f>-#REF!+$AD432</f>
        <v>#REF!</v>
      </c>
      <c r="AF432" s="71" t="e">
        <f>#REF!</f>
        <v>#REF!</v>
      </c>
    </row>
    <row r="433" spans="27:32" x14ac:dyDescent="0.25">
      <c r="AA433" s="71" t="e">
        <f>#REF!</f>
        <v>#REF!</v>
      </c>
      <c r="AB433" s="71" t="e">
        <f>#REF!</f>
        <v>#REF!</v>
      </c>
      <c r="AC433" s="71" t="e">
        <f>#REF!+AB433</f>
        <v>#REF!</v>
      </c>
      <c r="AD433" s="72" t="e">
        <f>-#REF!</f>
        <v>#REF!</v>
      </c>
      <c r="AE433" s="72" t="e">
        <f>-#REF!+$AD433</f>
        <v>#REF!</v>
      </c>
      <c r="AF433" s="71" t="e">
        <f>#REF!</f>
        <v>#REF!</v>
      </c>
    </row>
    <row r="434" spans="27:32" x14ac:dyDescent="0.25">
      <c r="AA434" s="71" t="e">
        <f>#REF!</f>
        <v>#REF!</v>
      </c>
      <c r="AB434" s="71" t="e">
        <f>#REF!</f>
        <v>#REF!</v>
      </c>
      <c r="AC434" s="71" t="e">
        <f>#REF!+AB434</f>
        <v>#REF!</v>
      </c>
      <c r="AD434" s="72" t="e">
        <f>-#REF!</f>
        <v>#REF!</v>
      </c>
      <c r="AE434" s="72" t="e">
        <f>-#REF!+$AD434</f>
        <v>#REF!</v>
      </c>
      <c r="AF434" s="71" t="e">
        <f>#REF!</f>
        <v>#REF!</v>
      </c>
    </row>
    <row r="435" spans="27:32" x14ac:dyDescent="0.25">
      <c r="AA435" s="71" t="e">
        <f>#REF!</f>
        <v>#REF!</v>
      </c>
      <c r="AB435" s="71" t="e">
        <f>#REF!</f>
        <v>#REF!</v>
      </c>
      <c r="AC435" s="71" t="e">
        <f>#REF!+AB435</f>
        <v>#REF!</v>
      </c>
      <c r="AD435" s="72" t="e">
        <f>-#REF!</f>
        <v>#REF!</v>
      </c>
      <c r="AE435" s="72" t="e">
        <f>-#REF!+$AD435</f>
        <v>#REF!</v>
      </c>
      <c r="AF435" s="71" t="e">
        <f>#REF!</f>
        <v>#REF!</v>
      </c>
    </row>
    <row r="436" spans="27:32" x14ac:dyDescent="0.25">
      <c r="AA436" s="71" t="e">
        <f>#REF!</f>
        <v>#REF!</v>
      </c>
      <c r="AB436" s="71" t="e">
        <f>#REF!</f>
        <v>#REF!</v>
      </c>
      <c r="AC436" s="71" t="e">
        <f>#REF!+AB436</f>
        <v>#REF!</v>
      </c>
      <c r="AD436" s="72" t="e">
        <f>-#REF!</f>
        <v>#REF!</v>
      </c>
      <c r="AE436" s="72" t="e">
        <f>-#REF!+$AD436</f>
        <v>#REF!</v>
      </c>
      <c r="AF436" s="71" t="e">
        <f>#REF!</f>
        <v>#REF!</v>
      </c>
    </row>
    <row r="437" spans="27:32" x14ac:dyDescent="0.25">
      <c r="AA437" s="71" t="e">
        <f>#REF!</f>
        <v>#REF!</v>
      </c>
      <c r="AB437" s="71" t="e">
        <f>#REF!</f>
        <v>#REF!</v>
      </c>
      <c r="AC437" s="71" t="e">
        <f>#REF!+AB437</f>
        <v>#REF!</v>
      </c>
      <c r="AD437" s="72" t="e">
        <f>-#REF!</f>
        <v>#REF!</v>
      </c>
      <c r="AE437" s="72" t="e">
        <f>-#REF!+$AD437</f>
        <v>#REF!</v>
      </c>
      <c r="AF437" s="71" t="e">
        <f>#REF!</f>
        <v>#REF!</v>
      </c>
    </row>
    <row r="438" spans="27:32" x14ac:dyDescent="0.25">
      <c r="AA438" s="71" t="e">
        <f>#REF!</f>
        <v>#REF!</v>
      </c>
      <c r="AB438" s="71" t="e">
        <f>#REF!</f>
        <v>#REF!</v>
      </c>
      <c r="AC438" s="71" t="e">
        <f>#REF!+AB438</f>
        <v>#REF!</v>
      </c>
      <c r="AD438" s="72" t="e">
        <f>-#REF!</f>
        <v>#REF!</v>
      </c>
      <c r="AE438" s="72" t="e">
        <f>-#REF!+$AD438</f>
        <v>#REF!</v>
      </c>
      <c r="AF438" s="71" t="e">
        <f>#REF!</f>
        <v>#REF!</v>
      </c>
    </row>
    <row r="439" spans="27:32" x14ac:dyDescent="0.25">
      <c r="AA439" s="71" t="e">
        <f>#REF!</f>
        <v>#REF!</v>
      </c>
      <c r="AB439" s="71" t="e">
        <f>#REF!</f>
        <v>#REF!</v>
      </c>
      <c r="AC439" s="71" t="e">
        <f>#REF!+AB439</f>
        <v>#REF!</v>
      </c>
      <c r="AD439" s="72" t="e">
        <f>-#REF!</f>
        <v>#REF!</v>
      </c>
      <c r="AE439" s="72" t="e">
        <f>-#REF!+$AD439</f>
        <v>#REF!</v>
      </c>
      <c r="AF439" s="71" t="e">
        <f>#REF!</f>
        <v>#REF!</v>
      </c>
    </row>
    <row r="440" spans="27:32" x14ac:dyDescent="0.25">
      <c r="AA440" s="71" t="e">
        <f>#REF!</f>
        <v>#REF!</v>
      </c>
      <c r="AB440" s="71" t="e">
        <f>#REF!</f>
        <v>#REF!</v>
      </c>
      <c r="AC440" s="71" t="e">
        <f>#REF!+AB440</f>
        <v>#REF!</v>
      </c>
      <c r="AD440" s="72" t="e">
        <f>-#REF!</f>
        <v>#REF!</v>
      </c>
      <c r="AE440" s="72" t="e">
        <f>-#REF!+$AD440</f>
        <v>#REF!</v>
      </c>
      <c r="AF440" s="71" t="e">
        <f>#REF!</f>
        <v>#REF!</v>
      </c>
    </row>
    <row r="441" spans="27:32" x14ac:dyDescent="0.25">
      <c r="AA441" s="71" t="e">
        <f>#REF!</f>
        <v>#REF!</v>
      </c>
      <c r="AB441" s="71" t="e">
        <f>#REF!</f>
        <v>#REF!</v>
      </c>
      <c r="AC441" s="71" t="e">
        <f>#REF!+AB441</f>
        <v>#REF!</v>
      </c>
      <c r="AD441" s="72" t="e">
        <f>-#REF!</f>
        <v>#REF!</v>
      </c>
      <c r="AE441" s="72" t="e">
        <f>-#REF!+$AD441</f>
        <v>#REF!</v>
      </c>
      <c r="AF441" s="71" t="e">
        <f>#REF!</f>
        <v>#REF!</v>
      </c>
    </row>
    <row r="442" spans="27:32" x14ac:dyDescent="0.25">
      <c r="AA442" s="71" t="e">
        <f>#REF!</f>
        <v>#REF!</v>
      </c>
      <c r="AB442" s="71" t="e">
        <f>#REF!</f>
        <v>#REF!</v>
      </c>
      <c r="AC442" s="71" t="e">
        <f>#REF!+AB442</f>
        <v>#REF!</v>
      </c>
      <c r="AD442" s="72" t="e">
        <f>-#REF!</f>
        <v>#REF!</v>
      </c>
      <c r="AE442" s="72" t="e">
        <f>-#REF!+$AD442</f>
        <v>#REF!</v>
      </c>
      <c r="AF442" s="71" t="e">
        <f>#REF!</f>
        <v>#REF!</v>
      </c>
    </row>
    <row r="443" spans="27:32" x14ac:dyDescent="0.25">
      <c r="AA443" s="71" t="e">
        <f>#REF!</f>
        <v>#REF!</v>
      </c>
      <c r="AB443" s="71" t="e">
        <f>#REF!</f>
        <v>#REF!</v>
      </c>
      <c r="AC443" s="71" t="e">
        <f>#REF!+AB443</f>
        <v>#REF!</v>
      </c>
      <c r="AD443" s="72" t="e">
        <f>-#REF!</f>
        <v>#REF!</v>
      </c>
      <c r="AE443" s="72" t="e">
        <f>-#REF!+$AD443</f>
        <v>#REF!</v>
      </c>
      <c r="AF443" s="71" t="e">
        <f>#REF!</f>
        <v>#REF!</v>
      </c>
    </row>
    <row r="444" spans="27:32" x14ac:dyDescent="0.25">
      <c r="AA444" s="71" t="e">
        <f>#REF!</f>
        <v>#REF!</v>
      </c>
      <c r="AB444" s="71" t="e">
        <f>#REF!</f>
        <v>#REF!</v>
      </c>
      <c r="AC444" s="71" t="e">
        <f>#REF!+AB444</f>
        <v>#REF!</v>
      </c>
      <c r="AD444" s="72" t="e">
        <f>-#REF!</f>
        <v>#REF!</v>
      </c>
      <c r="AE444" s="72" t="e">
        <f>-#REF!+$AD444</f>
        <v>#REF!</v>
      </c>
      <c r="AF444" s="71" t="e">
        <f>#REF!</f>
        <v>#REF!</v>
      </c>
    </row>
    <row r="445" spans="27:32" x14ac:dyDescent="0.25">
      <c r="AA445" s="71" t="e">
        <f>#REF!</f>
        <v>#REF!</v>
      </c>
      <c r="AB445" s="71" t="e">
        <f>#REF!</f>
        <v>#REF!</v>
      </c>
      <c r="AC445" s="71" t="e">
        <f>#REF!+AB445</f>
        <v>#REF!</v>
      </c>
      <c r="AD445" s="72" t="e">
        <f>-#REF!</f>
        <v>#REF!</v>
      </c>
      <c r="AE445" s="72" t="e">
        <f>-#REF!+$AD445</f>
        <v>#REF!</v>
      </c>
      <c r="AF445" s="71" t="e">
        <f>#REF!</f>
        <v>#REF!</v>
      </c>
    </row>
    <row r="446" spans="27:32" x14ac:dyDescent="0.25">
      <c r="AA446" s="71" t="e">
        <f>#REF!</f>
        <v>#REF!</v>
      </c>
      <c r="AB446" s="71" t="e">
        <f>#REF!</f>
        <v>#REF!</v>
      </c>
      <c r="AC446" s="71" t="e">
        <f>#REF!+AB446</f>
        <v>#REF!</v>
      </c>
      <c r="AD446" s="72" t="e">
        <f>-#REF!</f>
        <v>#REF!</v>
      </c>
      <c r="AE446" s="72" t="e">
        <f>-#REF!+$AD446</f>
        <v>#REF!</v>
      </c>
      <c r="AF446" s="71" t="e">
        <f>#REF!</f>
        <v>#REF!</v>
      </c>
    </row>
    <row r="447" spans="27:32" x14ac:dyDescent="0.25">
      <c r="AA447" s="71" t="e">
        <f>#REF!</f>
        <v>#REF!</v>
      </c>
      <c r="AB447" s="71" t="e">
        <f>#REF!</f>
        <v>#REF!</v>
      </c>
      <c r="AC447" s="71" t="e">
        <f>#REF!+AB447</f>
        <v>#REF!</v>
      </c>
      <c r="AD447" s="72" t="e">
        <f>-#REF!</f>
        <v>#REF!</v>
      </c>
      <c r="AE447" s="72" t="e">
        <f>-#REF!+$AD447</f>
        <v>#REF!</v>
      </c>
      <c r="AF447" s="71" t="e">
        <f>#REF!</f>
        <v>#REF!</v>
      </c>
    </row>
    <row r="448" spans="27:32" x14ac:dyDescent="0.25">
      <c r="AA448" s="71" t="e">
        <f>#REF!</f>
        <v>#REF!</v>
      </c>
      <c r="AB448" s="71" t="e">
        <f>#REF!</f>
        <v>#REF!</v>
      </c>
      <c r="AC448" s="71" t="e">
        <f>#REF!+AB448</f>
        <v>#REF!</v>
      </c>
      <c r="AD448" s="72" t="e">
        <f>-#REF!</f>
        <v>#REF!</v>
      </c>
      <c r="AE448" s="72" t="e">
        <f>-#REF!+$AD448</f>
        <v>#REF!</v>
      </c>
      <c r="AF448" s="71" t="e">
        <f>#REF!</f>
        <v>#REF!</v>
      </c>
    </row>
    <row r="449" spans="27:32" x14ac:dyDescent="0.25">
      <c r="AA449" s="71" t="e">
        <f>#REF!</f>
        <v>#REF!</v>
      </c>
      <c r="AB449" s="71" t="e">
        <f>#REF!</f>
        <v>#REF!</v>
      </c>
      <c r="AC449" s="71" t="e">
        <f>#REF!+AB449</f>
        <v>#REF!</v>
      </c>
      <c r="AD449" s="72" t="e">
        <f>-#REF!</f>
        <v>#REF!</v>
      </c>
      <c r="AE449" s="72" t="e">
        <f>-#REF!+$AD449</f>
        <v>#REF!</v>
      </c>
      <c r="AF449" s="71" t="e">
        <f>#REF!</f>
        <v>#REF!</v>
      </c>
    </row>
    <row r="450" spans="27:32" x14ac:dyDescent="0.25">
      <c r="AA450" s="71" t="e">
        <f>#REF!</f>
        <v>#REF!</v>
      </c>
      <c r="AB450" s="71" t="e">
        <f>#REF!</f>
        <v>#REF!</v>
      </c>
      <c r="AC450" s="71" t="e">
        <f>#REF!+AB450</f>
        <v>#REF!</v>
      </c>
      <c r="AD450" s="72" t="e">
        <f>-#REF!</f>
        <v>#REF!</v>
      </c>
      <c r="AE450" s="72" t="e">
        <f>-#REF!+$AD450</f>
        <v>#REF!</v>
      </c>
      <c r="AF450" s="71" t="e">
        <f>#REF!</f>
        <v>#REF!</v>
      </c>
    </row>
    <row r="451" spans="27:32" x14ac:dyDescent="0.25">
      <c r="AA451" s="71" t="e">
        <f>#REF!</f>
        <v>#REF!</v>
      </c>
      <c r="AB451" s="71" t="e">
        <f>#REF!</f>
        <v>#REF!</v>
      </c>
      <c r="AC451" s="71" t="e">
        <f>#REF!+AB451</f>
        <v>#REF!</v>
      </c>
      <c r="AD451" s="72" t="e">
        <f>-#REF!</f>
        <v>#REF!</v>
      </c>
      <c r="AE451" s="72" t="e">
        <f>-#REF!+$AD451</f>
        <v>#REF!</v>
      </c>
      <c r="AF451" s="71" t="e">
        <f>#REF!</f>
        <v>#REF!</v>
      </c>
    </row>
    <row r="452" spans="27:32" x14ac:dyDescent="0.25">
      <c r="AA452" s="71" t="e">
        <f>#REF!</f>
        <v>#REF!</v>
      </c>
      <c r="AB452" s="71" t="e">
        <f>#REF!</f>
        <v>#REF!</v>
      </c>
      <c r="AC452" s="71" t="e">
        <f>#REF!+AB452</f>
        <v>#REF!</v>
      </c>
      <c r="AD452" s="72" t="e">
        <f>-#REF!</f>
        <v>#REF!</v>
      </c>
      <c r="AE452" s="72" t="e">
        <f>-#REF!+$AD452</f>
        <v>#REF!</v>
      </c>
      <c r="AF452" s="71" t="e">
        <f>#REF!</f>
        <v>#REF!</v>
      </c>
    </row>
    <row r="453" spans="27:32" x14ac:dyDescent="0.25">
      <c r="AA453" s="71" t="e">
        <f>#REF!</f>
        <v>#REF!</v>
      </c>
      <c r="AB453" s="71" t="e">
        <f>#REF!</f>
        <v>#REF!</v>
      </c>
      <c r="AC453" s="71" t="e">
        <f>#REF!+AB453</f>
        <v>#REF!</v>
      </c>
      <c r="AD453" s="72" t="e">
        <f>-#REF!</f>
        <v>#REF!</v>
      </c>
      <c r="AE453" s="72" t="e">
        <f>-#REF!+$AD453</f>
        <v>#REF!</v>
      </c>
      <c r="AF453" s="71" t="e">
        <f>#REF!</f>
        <v>#REF!</v>
      </c>
    </row>
    <row r="454" spans="27:32" x14ac:dyDescent="0.25">
      <c r="AA454" s="71" t="e">
        <f>#REF!</f>
        <v>#REF!</v>
      </c>
      <c r="AB454" s="71" t="e">
        <f>#REF!</f>
        <v>#REF!</v>
      </c>
      <c r="AC454" s="71" t="e">
        <f>#REF!+AB454</f>
        <v>#REF!</v>
      </c>
      <c r="AD454" s="72" t="e">
        <f>-#REF!</f>
        <v>#REF!</v>
      </c>
      <c r="AE454" s="72" t="e">
        <f>-#REF!+$AD454</f>
        <v>#REF!</v>
      </c>
      <c r="AF454" s="71" t="e">
        <f>#REF!</f>
        <v>#REF!</v>
      </c>
    </row>
    <row r="455" spans="27:32" x14ac:dyDescent="0.25">
      <c r="AA455" s="71" t="e">
        <f>#REF!</f>
        <v>#REF!</v>
      </c>
      <c r="AB455" s="71" t="e">
        <f>#REF!</f>
        <v>#REF!</v>
      </c>
      <c r="AC455" s="71" t="e">
        <f>#REF!+AB455</f>
        <v>#REF!</v>
      </c>
      <c r="AD455" s="72" t="e">
        <f>-#REF!</f>
        <v>#REF!</v>
      </c>
      <c r="AE455" s="72" t="e">
        <f>-#REF!+$AD455</f>
        <v>#REF!</v>
      </c>
      <c r="AF455" s="71" t="e">
        <f>#REF!</f>
        <v>#REF!</v>
      </c>
    </row>
    <row r="456" spans="27:32" x14ac:dyDescent="0.25">
      <c r="AA456" s="71" t="e">
        <f>#REF!</f>
        <v>#REF!</v>
      </c>
      <c r="AB456" s="71" t="e">
        <f>#REF!</f>
        <v>#REF!</v>
      </c>
      <c r="AC456" s="71" t="e">
        <f>#REF!+AB456</f>
        <v>#REF!</v>
      </c>
      <c r="AD456" s="72" t="e">
        <f>-#REF!</f>
        <v>#REF!</v>
      </c>
      <c r="AE456" s="72" t="e">
        <f>-#REF!+$AD456</f>
        <v>#REF!</v>
      </c>
      <c r="AF456" s="71" t="e">
        <f>#REF!</f>
        <v>#REF!</v>
      </c>
    </row>
    <row r="457" spans="27:32" x14ac:dyDescent="0.25">
      <c r="AA457" s="71" t="e">
        <f>#REF!</f>
        <v>#REF!</v>
      </c>
      <c r="AB457" s="71" t="e">
        <f>#REF!</f>
        <v>#REF!</v>
      </c>
      <c r="AC457" s="71" t="e">
        <f>#REF!+AB457</f>
        <v>#REF!</v>
      </c>
      <c r="AD457" s="72" t="e">
        <f>-#REF!</f>
        <v>#REF!</v>
      </c>
      <c r="AE457" s="72" t="e">
        <f>-#REF!+$AD457</f>
        <v>#REF!</v>
      </c>
      <c r="AF457" s="71" t="e">
        <f>#REF!</f>
        <v>#REF!</v>
      </c>
    </row>
    <row r="458" spans="27:32" x14ac:dyDescent="0.25">
      <c r="AA458" s="71" t="e">
        <f>#REF!</f>
        <v>#REF!</v>
      </c>
      <c r="AB458" s="71" t="e">
        <f>#REF!</f>
        <v>#REF!</v>
      </c>
      <c r="AC458" s="71" t="e">
        <f>#REF!+AB458</f>
        <v>#REF!</v>
      </c>
      <c r="AD458" s="72" t="e">
        <f>-#REF!</f>
        <v>#REF!</v>
      </c>
      <c r="AE458" s="72" t="e">
        <f>-#REF!+$AD458</f>
        <v>#REF!</v>
      </c>
      <c r="AF458" s="71" t="e">
        <f>#REF!</f>
        <v>#REF!</v>
      </c>
    </row>
    <row r="459" spans="27:32" x14ac:dyDescent="0.25">
      <c r="AA459" s="71" t="e">
        <f>#REF!</f>
        <v>#REF!</v>
      </c>
      <c r="AB459" s="71" t="e">
        <f>#REF!</f>
        <v>#REF!</v>
      </c>
      <c r="AC459" s="71" t="e">
        <f>#REF!+AB459</f>
        <v>#REF!</v>
      </c>
      <c r="AD459" s="72" t="e">
        <f>-#REF!</f>
        <v>#REF!</v>
      </c>
      <c r="AE459" s="72" t="e">
        <f>-#REF!+$AD459</f>
        <v>#REF!</v>
      </c>
      <c r="AF459" s="71" t="e">
        <f>#REF!</f>
        <v>#REF!</v>
      </c>
    </row>
    <row r="460" spans="27:32" x14ac:dyDescent="0.25">
      <c r="AA460" s="71" t="e">
        <f>#REF!</f>
        <v>#REF!</v>
      </c>
      <c r="AB460" s="71" t="e">
        <f>#REF!</f>
        <v>#REF!</v>
      </c>
      <c r="AC460" s="71" t="e">
        <f>#REF!+AB460</f>
        <v>#REF!</v>
      </c>
      <c r="AD460" s="72" t="e">
        <f>-#REF!</f>
        <v>#REF!</v>
      </c>
      <c r="AE460" s="72" t="e">
        <f>-#REF!+$AD460</f>
        <v>#REF!</v>
      </c>
      <c r="AF460" s="71" t="e">
        <f>#REF!</f>
        <v>#REF!</v>
      </c>
    </row>
    <row r="461" spans="27:32" x14ac:dyDescent="0.25">
      <c r="AA461" s="71" t="e">
        <f>#REF!</f>
        <v>#REF!</v>
      </c>
      <c r="AB461" s="71" t="e">
        <f>#REF!</f>
        <v>#REF!</v>
      </c>
      <c r="AC461" s="71" t="e">
        <f>#REF!+AB461</f>
        <v>#REF!</v>
      </c>
      <c r="AD461" s="72" t="e">
        <f>-#REF!</f>
        <v>#REF!</v>
      </c>
      <c r="AE461" s="72" t="e">
        <f>-#REF!+$AD461</f>
        <v>#REF!</v>
      </c>
      <c r="AF461" s="71" t="e">
        <f>#REF!</f>
        <v>#REF!</v>
      </c>
    </row>
    <row r="462" spans="27:32" x14ac:dyDescent="0.25">
      <c r="AA462" s="71" t="e">
        <f>#REF!</f>
        <v>#REF!</v>
      </c>
      <c r="AB462" s="71" t="e">
        <f>#REF!</f>
        <v>#REF!</v>
      </c>
      <c r="AC462" s="71" t="e">
        <f>#REF!+AB462</f>
        <v>#REF!</v>
      </c>
      <c r="AD462" s="72" t="e">
        <f>-#REF!</f>
        <v>#REF!</v>
      </c>
      <c r="AE462" s="72" t="e">
        <f>-#REF!+$AD462</f>
        <v>#REF!</v>
      </c>
      <c r="AF462" s="71" t="e">
        <f>#REF!</f>
        <v>#REF!</v>
      </c>
    </row>
    <row r="463" spans="27:32" x14ac:dyDescent="0.25">
      <c r="AA463" s="71" t="e">
        <f>#REF!</f>
        <v>#REF!</v>
      </c>
      <c r="AB463" s="71" t="e">
        <f>#REF!</f>
        <v>#REF!</v>
      </c>
      <c r="AC463" s="71" t="e">
        <f>#REF!+AB463</f>
        <v>#REF!</v>
      </c>
      <c r="AD463" s="72" t="e">
        <f>-#REF!</f>
        <v>#REF!</v>
      </c>
      <c r="AE463" s="72" t="e">
        <f>-#REF!+$AD463</f>
        <v>#REF!</v>
      </c>
      <c r="AF463" s="71" t="e">
        <f>#REF!</f>
        <v>#REF!</v>
      </c>
    </row>
    <row r="464" spans="27:32" x14ac:dyDescent="0.25">
      <c r="AA464" s="71" t="e">
        <f>#REF!</f>
        <v>#REF!</v>
      </c>
      <c r="AB464" s="71" t="e">
        <f>#REF!</f>
        <v>#REF!</v>
      </c>
      <c r="AC464" s="71" t="e">
        <f>#REF!+AB464</f>
        <v>#REF!</v>
      </c>
      <c r="AD464" s="72" t="e">
        <f>-#REF!</f>
        <v>#REF!</v>
      </c>
      <c r="AE464" s="72" t="e">
        <f>-#REF!+$AD464</f>
        <v>#REF!</v>
      </c>
      <c r="AF464" s="71" t="e">
        <f>#REF!</f>
        <v>#REF!</v>
      </c>
    </row>
    <row r="465" spans="27:32" x14ac:dyDescent="0.25">
      <c r="AA465" s="71" t="e">
        <f>#REF!</f>
        <v>#REF!</v>
      </c>
      <c r="AB465" s="71" t="e">
        <f>#REF!</f>
        <v>#REF!</v>
      </c>
      <c r="AC465" s="71" t="e">
        <f>#REF!+AB465</f>
        <v>#REF!</v>
      </c>
      <c r="AD465" s="72" t="e">
        <f>-#REF!</f>
        <v>#REF!</v>
      </c>
      <c r="AE465" s="72" t="e">
        <f>-#REF!+$AD465</f>
        <v>#REF!</v>
      </c>
      <c r="AF465" s="71" t="e">
        <f>#REF!</f>
        <v>#REF!</v>
      </c>
    </row>
    <row r="466" spans="27:32" x14ac:dyDescent="0.25">
      <c r="AA466" s="71" t="e">
        <f>#REF!</f>
        <v>#REF!</v>
      </c>
      <c r="AB466" s="71" t="e">
        <f>#REF!</f>
        <v>#REF!</v>
      </c>
      <c r="AC466" s="71" t="e">
        <f>#REF!+AB466</f>
        <v>#REF!</v>
      </c>
      <c r="AD466" s="72" t="e">
        <f>-#REF!</f>
        <v>#REF!</v>
      </c>
      <c r="AE466" s="72" t="e">
        <f>-#REF!+$AD466</f>
        <v>#REF!</v>
      </c>
      <c r="AF466" s="71" t="e">
        <f>#REF!</f>
        <v>#REF!</v>
      </c>
    </row>
    <row r="467" spans="27:32" x14ac:dyDescent="0.25">
      <c r="AA467" s="71" t="e">
        <f>#REF!</f>
        <v>#REF!</v>
      </c>
      <c r="AB467" s="71" t="e">
        <f>#REF!</f>
        <v>#REF!</v>
      </c>
      <c r="AC467" s="71" t="e">
        <f>#REF!+AB467</f>
        <v>#REF!</v>
      </c>
      <c r="AD467" s="72" t="e">
        <f>-#REF!</f>
        <v>#REF!</v>
      </c>
      <c r="AE467" s="72" t="e">
        <f>-#REF!+$AD467</f>
        <v>#REF!</v>
      </c>
      <c r="AF467" s="71" t="e">
        <f>#REF!</f>
        <v>#REF!</v>
      </c>
    </row>
    <row r="468" spans="27:32" x14ac:dyDescent="0.25">
      <c r="AA468" s="71" t="e">
        <f>#REF!</f>
        <v>#REF!</v>
      </c>
      <c r="AB468" s="71" t="e">
        <f>#REF!</f>
        <v>#REF!</v>
      </c>
      <c r="AC468" s="71" t="e">
        <f>#REF!+AB468</f>
        <v>#REF!</v>
      </c>
      <c r="AD468" s="72" t="e">
        <f>-#REF!</f>
        <v>#REF!</v>
      </c>
      <c r="AE468" s="72" t="e">
        <f>-#REF!+$AD468</f>
        <v>#REF!</v>
      </c>
      <c r="AF468" s="71" t="e">
        <f>#REF!</f>
        <v>#REF!</v>
      </c>
    </row>
    <row r="469" spans="27:32" x14ac:dyDescent="0.25">
      <c r="AA469" s="71" t="e">
        <f>#REF!</f>
        <v>#REF!</v>
      </c>
      <c r="AB469" s="71" t="e">
        <f>#REF!</f>
        <v>#REF!</v>
      </c>
      <c r="AC469" s="71" t="e">
        <f>#REF!+AB469</f>
        <v>#REF!</v>
      </c>
      <c r="AD469" s="72" t="e">
        <f>-#REF!</f>
        <v>#REF!</v>
      </c>
      <c r="AE469" s="72" t="e">
        <f>-#REF!+$AD469</f>
        <v>#REF!</v>
      </c>
      <c r="AF469" s="71" t="e">
        <f>#REF!</f>
        <v>#REF!</v>
      </c>
    </row>
    <row r="470" spans="27:32" x14ac:dyDescent="0.25">
      <c r="AA470" s="71" t="e">
        <f>#REF!</f>
        <v>#REF!</v>
      </c>
      <c r="AB470" s="71" t="e">
        <f>#REF!</f>
        <v>#REF!</v>
      </c>
      <c r="AC470" s="71" t="e">
        <f>#REF!+AB470</f>
        <v>#REF!</v>
      </c>
      <c r="AD470" s="72" t="e">
        <f>-#REF!</f>
        <v>#REF!</v>
      </c>
      <c r="AE470" s="72" t="e">
        <f>-#REF!+$AD470</f>
        <v>#REF!</v>
      </c>
      <c r="AF470" s="71" t="e">
        <f>#REF!</f>
        <v>#REF!</v>
      </c>
    </row>
    <row r="471" spans="27:32" x14ac:dyDescent="0.25">
      <c r="AA471" s="71" t="e">
        <f>#REF!</f>
        <v>#REF!</v>
      </c>
      <c r="AB471" s="71" t="e">
        <f>#REF!</f>
        <v>#REF!</v>
      </c>
      <c r="AC471" s="71" t="e">
        <f>#REF!+AB471</f>
        <v>#REF!</v>
      </c>
      <c r="AD471" s="72" t="e">
        <f>-#REF!</f>
        <v>#REF!</v>
      </c>
      <c r="AE471" s="72" t="e">
        <f>-#REF!+$AD471</f>
        <v>#REF!</v>
      </c>
      <c r="AF471" s="71" t="e">
        <f>#REF!</f>
        <v>#REF!</v>
      </c>
    </row>
    <row r="472" spans="27:32" x14ac:dyDescent="0.25">
      <c r="AA472" s="71" t="e">
        <f>#REF!</f>
        <v>#REF!</v>
      </c>
      <c r="AB472" s="71" t="e">
        <f>#REF!</f>
        <v>#REF!</v>
      </c>
      <c r="AC472" s="71" t="e">
        <f>#REF!+AB472</f>
        <v>#REF!</v>
      </c>
      <c r="AD472" s="72" t="e">
        <f>-#REF!</f>
        <v>#REF!</v>
      </c>
      <c r="AE472" s="72" t="e">
        <f>-#REF!+$AD472</f>
        <v>#REF!</v>
      </c>
      <c r="AF472" s="71" t="e">
        <f>#REF!</f>
        <v>#REF!</v>
      </c>
    </row>
    <row r="473" spans="27:32" x14ac:dyDescent="0.25">
      <c r="AA473" s="71" t="e">
        <f>#REF!</f>
        <v>#REF!</v>
      </c>
      <c r="AB473" s="71" t="e">
        <f>#REF!</f>
        <v>#REF!</v>
      </c>
      <c r="AC473" s="71" t="e">
        <f>#REF!+AB473</f>
        <v>#REF!</v>
      </c>
      <c r="AD473" s="72" t="e">
        <f>-#REF!</f>
        <v>#REF!</v>
      </c>
      <c r="AE473" s="72" t="e">
        <f>-#REF!+$AD473</f>
        <v>#REF!</v>
      </c>
      <c r="AF473" s="71" t="e">
        <f>#REF!</f>
        <v>#REF!</v>
      </c>
    </row>
    <row r="474" spans="27:32" x14ac:dyDescent="0.25">
      <c r="AA474" s="71" t="e">
        <f>#REF!</f>
        <v>#REF!</v>
      </c>
      <c r="AB474" s="71" t="e">
        <f>#REF!</f>
        <v>#REF!</v>
      </c>
      <c r="AC474" s="71" t="e">
        <f>#REF!+AB474</f>
        <v>#REF!</v>
      </c>
      <c r="AD474" s="72" t="e">
        <f>-#REF!</f>
        <v>#REF!</v>
      </c>
      <c r="AE474" s="72" t="e">
        <f>-#REF!+$AD474</f>
        <v>#REF!</v>
      </c>
      <c r="AF474" s="71" t="e">
        <f>#REF!</f>
        <v>#REF!</v>
      </c>
    </row>
    <row r="475" spans="27:32" x14ac:dyDescent="0.25">
      <c r="AA475" s="71" t="e">
        <f>#REF!</f>
        <v>#REF!</v>
      </c>
      <c r="AB475" s="71" t="e">
        <f>#REF!</f>
        <v>#REF!</v>
      </c>
      <c r="AC475" s="71" t="e">
        <f>#REF!+AB475</f>
        <v>#REF!</v>
      </c>
      <c r="AD475" s="72" t="e">
        <f>-#REF!</f>
        <v>#REF!</v>
      </c>
      <c r="AE475" s="72" t="e">
        <f>-#REF!+$AD475</f>
        <v>#REF!</v>
      </c>
      <c r="AF475" s="71" t="e">
        <f>#REF!</f>
        <v>#REF!</v>
      </c>
    </row>
    <row r="476" spans="27:32" x14ac:dyDescent="0.25">
      <c r="AA476" s="71" t="e">
        <f>#REF!</f>
        <v>#REF!</v>
      </c>
      <c r="AB476" s="71" t="e">
        <f>#REF!</f>
        <v>#REF!</v>
      </c>
      <c r="AC476" s="71" t="e">
        <f>#REF!+AB476</f>
        <v>#REF!</v>
      </c>
      <c r="AD476" s="72" t="e">
        <f>-#REF!</f>
        <v>#REF!</v>
      </c>
      <c r="AE476" s="72" t="e">
        <f>-#REF!+$AD476</f>
        <v>#REF!</v>
      </c>
      <c r="AF476" s="71" t="e">
        <f>#REF!</f>
        <v>#REF!</v>
      </c>
    </row>
    <row r="477" spans="27:32" x14ac:dyDescent="0.25">
      <c r="AA477" s="71" t="e">
        <f>#REF!</f>
        <v>#REF!</v>
      </c>
      <c r="AB477" s="71" t="e">
        <f>#REF!</f>
        <v>#REF!</v>
      </c>
      <c r="AC477" s="71" t="e">
        <f>#REF!+AB477</f>
        <v>#REF!</v>
      </c>
      <c r="AD477" s="72" t="e">
        <f>-#REF!</f>
        <v>#REF!</v>
      </c>
      <c r="AE477" s="72" t="e">
        <f>-#REF!+$AD477</f>
        <v>#REF!</v>
      </c>
      <c r="AF477" s="71" t="e">
        <f>#REF!</f>
        <v>#REF!</v>
      </c>
    </row>
    <row r="478" spans="27:32" x14ac:dyDescent="0.25">
      <c r="AA478" s="71" t="e">
        <f>#REF!</f>
        <v>#REF!</v>
      </c>
      <c r="AB478" s="71" t="e">
        <f>#REF!</f>
        <v>#REF!</v>
      </c>
      <c r="AC478" s="71" t="e">
        <f>#REF!+AB478</f>
        <v>#REF!</v>
      </c>
      <c r="AD478" s="72" t="e">
        <f>-#REF!</f>
        <v>#REF!</v>
      </c>
      <c r="AE478" s="72" t="e">
        <f>-#REF!+$AD478</f>
        <v>#REF!</v>
      </c>
      <c r="AF478" s="71" t="e">
        <f>#REF!</f>
        <v>#REF!</v>
      </c>
    </row>
    <row r="479" spans="27:32" x14ac:dyDescent="0.25">
      <c r="AA479" s="71" t="e">
        <f>#REF!</f>
        <v>#REF!</v>
      </c>
      <c r="AB479" s="71" t="e">
        <f>#REF!</f>
        <v>#REF!</v>
      </c>
      <c r="AC479" s="71" t="e">
        <f>#REF!+AB479</f>
        <v>#REF!</v>
      </c>
      <c r="AD479" s="72" t="e">
        <f>-#REF!</f>
        <v>#REF!</v>
      </c>
      <c r="AE479" s="72" t="e">
        <f>-#REF!+$AD479</f>
        <v>#REF!</v>
      </c>
      <c r="AF479" s="71" t="e">
        <f>#REF!</f>
        <v>#REF!</v>
      </c>
    </row>
    <row r="480" spans="27:32" x14ac:dyDescent="0.25">
      <c r="AA480" s="71" t="e">
        <f>#REF!</f>
        <v>#REF!</v>
      </c>
      <c r="AB480" s="71" t="e">
        <f>#REF!</f>
        <v>#REF!</v>
      </c>
      <c r="AC480" s="71" t="e">
        <f>#REF!+AB480</f>
        <v>#REF!</v>
      </c>
      <c r="AD480" s="72" t="e">
        <f>-#REF!</f>
        <v>#REF!</v>
      </c>
      <c r="AE480" s="72" t="e">
        <f>-#REF!+$AD480</f>
        <v>#REF!</v>
      </c>
      <c r="AF480" s="71" t="e">
        <f>#REF!</f>
        <v>#REF!</v>
      </c>
    </row>
    <row r="481" spans="27:32" x14ac:dyDescent="0.25">
      <c r="AA481" s="71" t="e">
        <f>#REF!</f>
        <v>#REF!</v>
      </c>
      <c r="AB481" s="71" t="e">
        <f>#REF!</f>
        <v>#REF!</v>
      </c>
      <c r="AC481" s="71" t="e">
        <f>#REF!+AB481</f>
        <v>#REF!</v>
      </c>
      <c r="AD481" s="72" t="e">
        <f>-#REF!</f>
        <v>#REF!</v>
      </c>
      <c r="AE481" s="72" t="e">
        <f>-#REF!+$AD481</f>
        <v>#REF!</v>
      </c>
      <c r="AF481" s="71" t="e">
        <f>#REF!</f>
        <v>#REF!</v>
      </c>
    </row>
    <row r="482" spans="27:32" x14ac:dyDescent="0.25">
      <c r="AA482" s="71" t="e">
        <f>#REF!</f>
        <v>#REF!</v>
      </c>
      <c r="AB482" s="71" t="e">
        <f>#REF!</f>
        <v>#REF!</v>
      </c>
      <c r="AC482" s="71" t="e">
        <f>#REF!+AB482</f>
        <v>#REF!</v>
      </c>
      <c r="AD482" s="72" t="e">
        <f>-#REF!</f>
        <v>#REF!</v>
      </c>
      <c r="AE482" s="72" t="e">
        <f>-#REF!+$AD482</f>
        <v>#REF!</v>
      </c>
      <c r="AF482" s="71" t="e">
        <f>#REF!</f>
        <v>#REF!</v>
      </c>
    </row>
    <row r="483" spans="27:32" x14ac:dyDescent="0.25">
      <c r="AA483" s="71" t="e">
        <f>#REF!</f>
        <v>#REF!</v>
      </c>
      <c r="AB483" s="71" t="e">
        <f>#REF!</f>
        <v>#REF!</v>
      </c>
      <c r="AC483" s="71" t="e">
        <f>#REF!+AB483</f>
        <v>#REF!</v>
      </c>
      <c r="AD483" s="72" t="e">
        <f>-#REF!</f>
        <v>#REF!</v>
      </c>
      <c r="AE483" s="72" t="e">
        <f>-#REF!+$AD483</f>
        <v>#REF!</v>
      </c>
      <c r="AF483" s="71" t="e">
        <f>#REF!</f>
        <v>#REF!</v>
      </c>
    </row>
    <row r="484" spans="27:32" x14ac:dyDescent="0.25">
      <c r="AA484" s="71" t="e">
        <f>#REF!</f>
        <v>#REF!</v>
      </c>
      <c r="AB484" s="71" t="e">
        <f>#REF!</f>
        <v>#REF!</v>
      </c>
      <c r="AC484" s="71" t="e">
        <f>#REF!+AB484</f>
        <v>#REF!</v>
      </c>
      <c r="AD484" s="72" t="e">
        <f>-#REF!</f>
        <v>#REF!</v>
      </c>
      <c r="AE484" s="72" t="e">
        <f>-#REF!+$AD484</f>
        <v>#REF!</v>
      </c>
      <c r="AF484" s="71" t="e">
        <f>#REF!</f>
        <v>#REF!</v>
      </c>
    </row>
    <row r="485" spans="27:32" x14ac:dyDescent="0.25">
      <c r="AA485" s="71" t="e">
        <f>#REF!</f>
        <v>#REF!</v>
      </c>
      <c r="AB485" s="71" t="e">
        <f>#REF!</f>
        <v>#REF!</v>
      </c>
      <c r="AC485" s="71" t="e">
        <f>#REF!+AB485</f>
        <v>#REF!</v>
      </c>
      <c r="AD485" s="72" t="e">
        <f>-#REF!</f>
        <v>#REF!</v>
      </c>
      <c r="AE485" s="72" t="e">
        <f>-#REF!+$AD485</f>
        <v>#REF!</v>
      </c>
      <c r="AF485" s="71" t="e">
        <f>#REF!</f>
        <v>#REF!</v>
      </c>
    </row>
    <row r="486" spans="27:32" x14ac:dyDescent="0.25">
      <c r="AA486" s="71" t="e">
        <f>#REF!</f>
        <v>#REF!</v>
      </c>
      <c r="AB486" s="71" t="e">
        <f>#REF!</f>
        <v>#REF!</v>
      </c>
      <c r="AC486" s="71" t="e">
        <f>#REF!+AB486</f>
        <v>#REF!</v>
      </c>
      <c r="AD486" s="72" t="e">
        <f>-#REF!</f>
        <v>#REF!</v>
      </c>
      <c r="AE486" s="72" t="e">
        <f>-#REF!+$AD486</f>
        <v>#REF!</v>
      </c>
      <c r="AF486" s="71" t="e">
        <f>#REF!</f>
        <v>#REF!</v>
      </c>
    </row>
    <row r="487" spans="27:32" x14ac:dyDescent="0.25">
      <c r="AA487" s="71" t="e">
        <f>#REF!</f>
        <v>#REF!</v>
      </c>
      <c r="AB487" s="71" t="e">
        <f>#REF!</f>
        <v>#REF!</v>
      </c>
      <c r="AC487" s="71" t="e">
        <f>#REF!+AB487</f>
        <v>#REF!</v>
      </c>
      <c r="AD487" s="72" t="e">
        <f>-#REF!</f>
        <v>#REF!</v>
      </c>
      <c r="AE487" s="72" t="e">
        <f>-#REF!+$AD487</f>
        <v>#REF!</v>
      </c>
      <c r="AF487" s="71" t="e">
        <f>#REF!</f>
        <v>#REF!</v>
      </c>
    </row>
    <row r="488" spans="27:32" x14ac:dyDescent="0.25">
      <c r="AA488" s="71" t="e">
        <f>#REF!</f>
        <v>#REF!</v>
      </c>
      <c r="AB488" s="71" t="e">
        <f>#REF!</f>
        <v>#REF!</v>
      </c>
      <c r="AC488" s="71" t="e">
        <f>#REF!+AB488</f>
        <v>#REF!</v>
      </c>
      <c r="AD488" s="72" t="e">
        <f>-#REF!</f>
        <v>#REF!</v>
      </c>
      <c r="AE488" s="72" t="e">
        <f>-#REF!+$AD488</f>
        <v>#REF!</v>
      </c>
      <c r="AF488" s="71" t="e">
        <f>#REF!</f>
        <v>#REF!</v>
      </c>
    </row>
    <row r="489" spans="27:32" x14ac:dyDescent="0.25">
      <c r="AA489" s="71" t="e">
        <f>#REF!</f>
        <v>#REF!</v>
      </c>
      <c r="AB489" s="71" t="e">
        <f>#REF!</f>
        <v>#REF!</v>
      </c>
      <c r="AC489" s="71" t="e">
        <f>#REF!+AB489</f>
        <v>#REF!</v>
      </c>
      <c r="AD489" s="72" t="e">
        <f>-#REF!</f>
        <v>#REF!</v>
      </c>
      <c r="AE489" s="72" t="e">
        <f>-#REF!+$AD489</f>
        <v>#REF!</v>
      </c>
      <c r="AF489" s="71" t="e">
        <f>#REF!</f>
        <v>#REF!</v>
      </c>
    </row>
    <row r="490" spans="27:32" x14ac:dyDescent="0.25">
      <c r="AA490" s="71" t="e">
        <f>#REF!</f>
        <v>#REF!</v>
      </c>
      <c r="AB490" s="71" t="e">
        <f>#REF!</f>
        <v>#REF!</v>
      </c>
      <c r="AC490" s="71" t="e">
        <f>#REF!+AB490</f>
        <v>#REF!</v>
      </c>
      <c r="AD490" s="72" t="e">
        <f>-#REF!</f>
        <v>#REF!</v>
      </c>
      <c r="AE490" s="72" t="e">
        <f>-#REF!+$AD490</f>
        <v>#REF!</v>
      </c>
      <c r="AF490" s="71" t="e">
        <f>#REF!</f>
        <v>#REF!</v>
      </c>
    </row>
    <row r="491" spans="27:32" x14ac:dyDescent="0.25">
      <c r="AA491" s="71" t="e">
        <f>#REF!</f>
        <v>#REF!</v>
      </c>
      <c r="AB491" s="71" t="e">
        <f>#REF!</f>
        <v>#REF!</v>
      </c>
      <c r="AC491" s="71" t="e">
        <f>#REF!+AB491</f>
        <v>#REF!</v>
      </c>
      <c r="AD491" s="72" t="e">
        <f>-#REF!</f>
        <v>#REF!</v>
      </c>
      <c r="AE491" s="72" t="e">
        <f>-#REF!+$AD491</f>
        <v>#REF!</v>
      </c>
      <c r="AF491" s="71" t="e">
        <f>#REF!</f>
        <v>#REF!</v>
      </c>
    </row>
    <row r="492" spans="27:32" x14ac:dyDescent="0.25">
      <c r="AA492" s="71" t="e">
        <f>#REF!</f>
        <v>#REF!</v>
      </c>
      <c r="AB492" s="71" t="e">
        <f>#REF!</f>
        <v>#REF!</v>
      </c>
      <c r="AC492" s="71" t="e">
        <f>#REF!+AB492</f>
        <v>#REF!</v>
      </c>
      <c r="AD492" s="72" t="e">
        <f>-#REF!</f>
        <v>#REF!</v>
      </c>
      <c r="AE492" s="72" t="e">
        <f>-#REF!+$AD492</f>
        <v>#REF!</v>
      </c>
      <c r="AF492" s="71" t="e">
        <f>#REF!</f>
        <v>#REF!</v>
      </c>
    </row>
    <row r="493" spans="27:32" x14ac:dyDescent="0.25">
      <c r="AA493" s="71" t="e">
        <f>#REF!</f>
        <v>#REF!</v>
      </c>
      <c r="AB493" s="71" t="e">
        <f>#REF!</f>
        <v>#REF!</v>
      </c>
      <c r="AC493" s="71" t="e">
        <f>#REF!+AB493</f>
        <v>#REF!</v>
      </c>
      <c r="AD493" s="72" t="e">
        <f>-#REF!</f>
        <v>#REF!</v>
      </c>
      <c r="AE493" s="72" t="e">
        <f>-#REF!+$AD493</f>
        <v>#REF!</v>
      </c>
      <c r="AF493" s="71" t="e">
        <f>#REF!</f>
        <v>#REF!</v>
      </c>
    </row>
    <row r="494" spans="27:32" x14ac:dyDescent="0.25">
      <c r="AA494" s="71" t="e">
        <f>#REF!</f>
        <v>#REF!</v>
      </c>
      <c r="AB494" s="71" t="e">
        <f>#REF!</f>
        <v>#REF!</v>
      </c>
      <c r="AC494" s="71" t="e">
        <f>#REF!+AB494</f>
        <v>#REF!</v>
      </c>
      <c r="AD494" s="72" t="e">
        <f>-#REF!</f>
        <v>#REF!</v>
      </c>
      <c r="AE494" s="72" t="e">
        <f>-#REF!+$AD494</f>
        <v>#REF!</v>
      </c>
      <c r="AF494" s="71" t="e">
        <f>#REF!</f>
        <v>#REF!</v>
      </c>
    </row>
    <row r="495" spans="27:32" x14ac:dyDescent="0.25">
      <c r="AA495" s="71" t="e">
        <f>#REF!</f>
        <v>#REF!</v>
      </c>
      <c r="AB495" s="71" t="e">
        <f>#REF!</f>
        <v>#REF!</v>
      </c>
      <c r="AC495" s="71" t="e">
        <f>#REF!+AB495</f>
        <v>#REF!</v>
      </c>
      <c r="AD495" s="72" t="e">
        <f>-#REF!</f>
        <v>#REF!</v>
      </c>
      <c r="AE495" s="72" t="e">
        <f>-#REF!+$AD495</f>
        <v>#REF!</v>
      </c>
      <c r="AF495" s="71" t="e">
        <f>#REF!</f>
        <v>#REF!</v>
      </c>
    </row>
    <row r="496" spans="27:32" x14ac:dyDescent="0.25">
      <c r="AA496" s="71" t="e">
        <f>#REF!</f>
        <v>#REF!</v>
      </c>
      <c r="AB496" s="71" t="e">
        <f>#REF!</f>
        <v>#REF!</v>
      </c>
      <c r="AC496" s="71" t="e">
        <f>#REF!+AB496</f>
        <v>#REF!</v>
      </c>
      <c r="AD496" s="72" t="e">
        <f>-#REF!</f>
        <v>#REF!</v>
      </c>
      <c r="AE496" s="72" t="e">
        <f>-#REF!+$AD496</f>
        <v>#REF!</v>
      </c>
      <c r="AF496" s="71" t="e">
        <f>#REF!</f>
        <v>#REF!</v>
      </c>
    </row>
    <row r="497" spans="27:32" x14ac:dyDescent="0.25">
      <c r="AA497" s="71" t="e">
        <f>#REF!</f>
        <v>#REF!</v>
      </c>
      <c r="AB497" s="71" t="e">
        <f>#REF!</f>
        <v>#REF!</v>
      </c>
      <c r="AC497" s="71" t="e">
        <f>#REF!+AB497</f>
        <v>#REF!</v>
      </c>
      <c r="AD497" s="72" t="e">
        <f>-#REF!</f>
        <v>#REF!</v>
      </c>
      <c r="AE497" s="72" t="e">
        <f>-#REF!+$AD497</f>
        <v>#REF!</v>
      </c>
      <c r="AF497" s="71" t="e">
        <f>#REF!</f>
        <v>#REF!</v>
      </c>
    </row>
    <row r="498" spans="27:32" x14ac:dyDescent="0.25">
      <c r="AA498" s="71" t="e">
        <f>#REF!</f>
        <v>#REF!</v>
      </c>
      <c r="AB498" s="71" t="e">
        <f>#REF!</f>
        <v>#REF!</v>
      </c>
      <c r="AC498" s="71" t="e">
        <f>#REF!+AB498</f>
        <v>#REF!</v>
      </c>
      <c r="AD498" s="72" t="e">
        <f>-#REF!</f>
        <v>#REF!</v>
      </c>
      <c r="AE498" s="72" t="e">
        <f>-#REF!+$AD498</f>
        <v>#REF!</v>
      </c>
      <c r="AF498" s="71" t="e">
        <f>#REF!</f>
        <v>#REF!</v>
      </c>
    </row>
    <row r="499" spans="27:32" x14ac:dyDescent="0.25">
      <c r="AA499" s="71" t="e">
        <f>#REF!</f>
        <v>#REF!</v>
      </c>
      <c r="AB499" s="71" t="e">
        <f>#REF!</f>
        <v>#REF!</v>
      </c>
      <c r="AC499" s="71" t="e">
        <f>#REF!+AB499</f>
        <v>#REF!</v>
      </c>
      <c r="AD499" s="72" t="e">
        <f>-#REF!</f>
        <v>#REF!</v>
      </c>
      <c r="AE499" s="72" t="e">
        <f>-#REF!+$AD499</f>
        <v>#REF!</v>
      </c>
      <c r="AF499" s="71" t="e">
        <f>#REF!</f>
        <v>#REF!</v>
      </c>
    </row>
    <row r="500" spans="27:32" x14ac:dyDescent="0.25">
      <c r="AA500" s="71" t="e">
        <f>#REF!</f>
        <v>#REF!</v>
      </c>
      <c r="AB500" s="71" t="e">
        <f>#REF!</f>
        <v>#REF!</v>
      </c>
      <c r="AC500" s="71" t="e">
        <f>#REF!+AB500</f>
        <v>#REF!</v>
      </c>
      <c r="AD500" s="72" t="e">
        <f>-#REF!</f>
        <v>#REF!</v>
      </c>
      <c r="AE500" s="72" t="e">
        <f>-#REF!+$AD500</f>
        <v>#REF!</v>
      </c>
      <c r="AF500" s="71" t="e">
        <f>#REF!</f>
        <v>#REF!</v>
      </c>
    </row>
    <row r="501" spans="27:32" x14ac:dyDescent="0.25">
      <c r="AA501" s="71" t="e">
        <f>#REF!</f>
        <v>#REF!</v>
      </c>
      <c r="AB501" s="71" t="e">
        <f>#REF!</f>
        <v>#REF!</v>
      </c>
      <c r="AC501" s="71" t="e">
        <f>#REF!+AB501</f>
        <v>#REF!</v>
      </c>
      <c r="AD501" s="72" t="e">
        <f>-#REF!</f>
        <v>#REF!</v>
      </c>
      <c r="AE501" s="72" t="e">
        <f>-#REF!+$AD501</f>
        <v>#REF!</v>
      </c>
      <c r="AF501" s="71" t="e">
        <f>#REF!</f>
        <v>#REF!</v>
      </c>
    </row>
    <row r="502" spans="27:32" x14ac:dyDescent="0.25">
      <c r="AA502" s="71" t="e">
        <f>#REF!</f>
        <v>#REF!</v>
      </c>
      <c r="AB502" s="71" t="e">
        <f>#REF!</f>
        <v>#REF!</v>
      </c>
      <c r="AC502" s="71" t="e">
        <f>#REF!+AB502</f>
        <v>#REF!</v>
      </c>
      <c r="AD502" s="72" t="e">
        <f>-#REF!</f>
        <v>#REF!</v>
      </c>
      <c r="AE502" s="72" t="e">
        <f>-#REF!+$AD502</f>
        <v>#REF!</v>
      </c>
      <c r="AF502" s="71" t="e">
        <f>#REF!</f>
        <v>#REF!</v>
      </c>
    </row>
    <row r="503" spans="27:32" x14ac:dyDescent="0.25">
      <c r="AA503" s="71" t="e">
        <f>#REF!</f>
        <v>#REF!</v>
      </c>
      <c r="AB503" s="71" t="e">
        <f>#REF!</f>
        <v>#REF!</v>
      </c>
      <c r="AC503" s="71" t="e">
        <f>#REF!+AB503</f>
        <v>#REF!</v>
      </c>
      <c r="AD503" s="72" t="e">
        <f>-#REF!</f>
        <v>#REF!</v>
      </c>
      <c r="AE503" s="72" t="e">
        <f>-#REF!+$AD503</f>
        <v>#REF!</v>
      </c>
      <c r="AF503" s="71" t="e">
        <f>#REF!</f>
        <v>#REF!</v>
      </c>
    </row>
    <row r="504" spans="27:32" x14ac:dyDescent="0.25">
      <c r="AA504" s="71" t="e">
        <f>#REF!</f>
        <v>#REF!</v>
      </c>
      <c r="AB504" s="71" t="e">
        <f>#REF!</f>
        <v>#REF!</v>
      </c>
      <c r="AC504" s="71" t="e">
        <f>#REF!+AB504</f>
        <v>#REF!</v>
      </c>
      <c r="AD504" s="72" t="e">
        <f>-#REF!</f>
        <v>#REF!</v>
      </c>
      <c r="AE504" s="72" t="e">
        <f>-#REF!+$AD504</f>
        <v>#REF!</v>
      </c>
      <c r="AF504" s="71" t="e">
        <f>#REF!</f>
        <v>#REF!</v>
      </c>
    </row>
    <row r="505" spans="27:32" x14ac:dyDescent="0.25">
      <c r="AA505" s="71" t="e">
        <f>#REF!</f>
        <v>#REF!</v>
      </c>
      <c r="AB505" s="71" t="e">
        <f>#REF!</f>
        <v>#REF!</v>
      </c>
      <c r="AC505" s="71" t="e">
        <f>#REF!+AB505</f>
        <v>#REF!</v>
      </c>
      <c r="AD505" s="72" t="e">
        <f>-#REF!</f>
        <v>#REF!</v>
      </c>
      <c r="AE505" s="72" t="e">
        <f>-#REF!+$AD505</f>
        <v>#REF!</v>
      </c>
      <c r="AF505" s="71" t="e">
        <f>#REF!</f>
        <v>#REF!</v>
      </c>
    </row>
    <row r="506" spans="27:32" x14ac:dyDescent="0.25">
      <c r="AA506" s="71" t="e">
        <f>#REF!</f>
        <v>#REF!</v>
      </c>
      <c r="AB506" s="71" t="e">
        <f>#REF!</f>
        <v>#REF!</v>
      </c>
      <c r="AC506" s="71" t="e">
        <f>#REF!+AB506</f>
        <v>#REF!</v>
      </c>
      <c r="AD506" s="72" t="e">
        <f>-#REF!</f>
        <v>#REF!</v>
      </c>
      <c r="AE506" s="72" t="e">
        <f>-#REF!+$AD506</f>
        <v>#REF!</v>
      </c>
      <c r="AF506" s="71" t="e">
        <f>#REF!</f>
        <v>#REF!</v>
      </c>
    </row>
    <row r="507" spans="27:32" x14ac:dyDescent="0.25">
      <c r="AA507" s="71" t="e">
        <f>#REF!</f>
        <v>#REF!</v>
      </c>
      <c r="AB507" s="71" t="e">
        <f>#REF!</f>
        <v>#REF!</v>
      </c>
      <c r="AC507" s="71" t="e">
        <f>#REF!+AB507</f>
        <v>#REF!</v>
      </c>
      <c r="AD507" s="72" t="e">
        <f>-#REF!</f>
        <v>#REF!</v>
      </c>
      <c r="AE507" s="72" t="e">
        <f>-#REF!+$AD507</f>
        <v>#REF!</v>
      </c>
      <c r="AF507" s="71" t="e">
        <f>#REF!</f>
        <v>#REF!</v>
      </c>
    </row>
    <row r="508" spans="27:32" x14ac:dyDescent="0.25">
      <c r="AA508" s="71" t="e">
        <f>#REF!</f>
        <v>#REF!</v>
      </c>
      <c r="AB508" s="71" t="e">
        <f>#REF!</f>
        <v>#REF!</v>
      </c>
      <c r="AC508" s="71" t="e">
        <f>#REF!+AB508</f>
        <v>#REF!</v>
      </c>
      <c r="AD508" s="72" t="e">
        <f>-#REF!</f>
        <v>#REF!</v>
      </c>
      <c r="AE508" s="72" t="e">
        <f>-#REF!+$AD508</f>
        <v>#REF!</v>
      </c>
      <c r="AF508" s="71" t="e">
        <f>#REF!</f>
        <v>#REF!</v>
      </c>
    </row>
    <row r="509" spans="27:32" x14ac:dyDescent="0.25">
      <c r="AA509" s="71" t="e">
        <f>#REF!</f>
        <v>#REF!</v>
      </c>
      <c r="AB509" s="71" t="e">
        <f>#REF!</f>
        <v>#REF!</v>
      </c>
      <c r="AC509" s="71" t="e">
        <f>#REF!+AB509</f>
        <v>#REF!</v>
      </c>
      <c r="AD509" s="72" t="e">
        <f>-#REF!</f>
        <v>#REF!</v>
      </c>
      <c r="AE509" s="72" t="e">
        <f>-#REF!+$AD509</f>
        <v>#REF!</v>
      </c>
      <c r="AF509" s="71" t="e">
        <f>#REF!</f>
        <v>#REF!</v>
      </c>
    </row>
    <row r="510" spans="27:32" x14ac:dyDescent="0.25">
      <c r="AA510" s="71" t="e">
        <f>#REF!</f>
        <v>#REF!</v>
      </c>
      <c r="AB510" s="71" t="e">
        <f>#REF!</f>
        <v>#REF!</v>
      </c>
      <c r="AC510" s="71" t="e">
        <f>#REF!+AB510</f>
        <v>#REF!</v>
      </c>
      <c r="AD510" s="72" t="e">
        <f>-#REF!</f>
        <v>#REF!</v>
      </c>
      <c r="AE510" s="72" t="e">
        <f>-#REF!+$AD510</f>
        <v>#REF!</v>
      </c>
      <c r="AF510" s="71" t="e">
        <f>#REF!</f>
        <v>#REF!</v>
      </c>
    </row>
    <row r="511" spans="27:32" x14ac:dyDescent="0.25">
      <c r="AA511" s="71" t="e">
        <f>#REF!</f>
        <v>#REF!</v>
      </c>
      <c r="AB511" s="71" t="e">
        <f>#REF!</f>
        <v>#REF!</v>
      </c>
      <c r="AC511" s="71" t="e">
        <f>#REF!+AB511</f>
        <v>#REF!</v>
      </c>
      <c r="AD511" s="72" t="e">
        <f>-#REF!</f>
        <v>#REF!</v>
      </c>
      <c r="AE511" s="72" t="e">
        <f>-#REF!+$AD511</f>
        <v>#REF!</v>
      </c>
      <c r="AF511" s="71" t="e">
        <f>#REF!</f>
        <v>#REF!</v>
      </c>
    </row>
    <row r="512" spans="27:32" x14ac:dyDescent="0.25">
      <c r="AA512" s="71" t="e">
        <f>#REF!</f>
        <v>#REF!</v>
      </c>
      <c r="AB512" s="71" t="e">
        <f>#REF!</f>
        <v>#REF!</v>
      </c>
      <c r="AC512" s="71" t="e">
        <f>#REF!+AB512</f>
        <v>#REF!</v>
      </c>
      <c r="AD512" s="72" t="e">
        <f>-#REF!</f>
        <v>#REF!</v>
      </c>
      <c r="AE512" s="72" t="e">
        <f>-#REF!+$AD512</f>
        <v>#REF!</v>
      </c>
      <c r="AF512" s="71" t="e">
        <f>#REF!</f>
        <v>#REF!</v>
      </c>
    </row>
    <row r="513" spans="27:32" x14ac:dyDescent="0.25">
      <c r="AA513" s="71" t="e">
        <f>#REF!</f>
        <v>#REF!</v>
      </c>
      <c r="AB513" s="71" t="e">
        <f>#REF!</f>
        <v>#REF!</v>
      </c>
      <c r="AC513" s="71" t="e">
        <f>#REF!+AB513</f>
        <v>#REF!</v>
      </c>
      <c r="AD513" s="72" t="e">
        <f>-#REF!</f>
        <v>#REF!</v>
      </c>
      <c r="AE513" s="72" t="e">
        <f>-#REF!+$AD513</f>
        <v>#REF!</v>
      </c>
      <c r="AF513" s="71" t="e">
        <f>#REF!</f>
        <v>#REF!</v>
      </c>
    </row>
    <row r="514" spans="27:32" x14ac:dyDescent="0.25">
      <c r="AA514" s="71" t="e">
        <f>#REF!</f>
        <v>#REF!</v>
      </c>
      <c r="AB514" s="71" t="e">
        <f>#REF!</f>
        <v>#REF!</v>
      </c>
      <c r="AC514" s="71" t="e">
        <f>#REF!+AB514</f>
        <v>#REF!</v>
      </c>
      <c r="AD514" s="72" t="e">
        <f>-#REF!</f>
        <v>#REF!</v>
      </c>
      <c r="AE514" s="72" t="e">
        <f>-#REF!+$AD514</f>
        <v>#REF!</v>
      </c>
      <c r="AF514" s="71" t="e">
        <f>#REF!</f>
        <v>#REF!</v>
      </c>
    </row>
    <row r="515" spans="27:32" x14ac:dyDescent="0.25">
      <c r="AA515" s="71" t="e">
        <f>#REF!</f>
        <v>#REF!</v>
      </c>
      <c r="AB515" s="71" t="e">
        <f>#REF!</f>
        <v>#REF!</v>
      </c>
      <c r="AC515" s="71" t="e">
        <f>#REF!+AB515</f>
        <v>#REF!</v>
      </c>
      <c r="AD515" s="72" t="e">
        <f>-#REF!</f>
        <v>#REF!</v>
      </c>
      <c r="AE515" s="72" t="e">
        <f>-#REF!+$AD515</f>
        <v>#REF!</v>
      </c>
      <c r="AF515" s="71" t="e">
        <f>#REF!</f>
        <v>#REF!</v>
      </c>
    </row>
    <row r="516" spans="27:32" x14ac:dyDescent="0.25">
      <c r="AA516" s="71" t="e">
        <f>#REF!</f>
        <v>#REF!</v>
      </c>
      <c r="AB516" s="71" t="e">
        <f>#REF!</f>
        <v>#REF!</v>
      </c>
      <c r="AC516" s="71" t="e">
        <f>#REF!+AB516</f>
        <v>#REF!</v>
      </c>
      <c r="AD516" s="72" t="e">
        <f>-#REF!</f>
        <v>#REF!</v>
      </c>
      <c r="AE516" s="72" t="e">
        <f>-#REF!+$AD516</f>
        <v>#REF!</v>
      </c>
      <c r="AF516" s="71" t="e">
        <f>#REF!</f>
        <v>#REF!</v>
      </c>
    </row>
    <row r="517" spans="27:32" x14ac:dyDescent="0.25">
      <c r="AA517" s="71" t="e">
        <f>#REF!</f>
        <v>#REF!</v>
      </c>
      <c r="AB517" s="71" t="e">
        <f>#REF!</f>
        <v>#REF!</v>
      </c>
      <c r="AC517" s="71" t="e">
        <f>#REF!+AB517</f>
        <v>#REF!</v>
      </c>
      <c r="AD517" s="72" t="e">
        <f>-#REF!</f>
        <v>#REF!</v>
      </c>
      <c r="AE517" s="72" t="e">
        <f>-#REF!+$AD517</f>
        <v>#REF!</v>
      </c>
      <c r="AF517" s="71" t="e">
        <f>#REF!</f>
        <v>#REF!</v>
      </c>
    </row>
    <row r="518" spans="27:32" x14ac:dyDescent="0.25">
      <c r="AA518" s="71" t="e">
        <f>#REF!</f>
        <v>#REF!</v>
      </c>
      <c r="AB518" s="71" t="e">
        <f>#REF!</f>
        <v>#REF!</v>
      </c>
      <c r="AC518" s="71" t="e">
        <f>#REF!+AB518</f>
        <v>#REF!</v>
      </c>
      <c r="AD518" s="72" t="e">
        <f>-#REF!</f>
        <v>#REF!</v>
      </c>
      <c r="AE518" s="72" t="e">
        <f>-#REF!+$AD518</f>
        <v>#REF!</v>
      </c>
      <c r="AF518" s="71" t="e">
        <f>#REF!</f>
        <v>#REF!</v>
      </c>
    </row>
    <row r="519" spans="27:32" x14ac:dyDescent="0.25">
      <c r="AA519" s="71" t="e">
        <f>#REF!</f>
        <v>#REF!</v>
      </c>
      <c r="AB519" s="71" t="e">
        <f>#REF!</f>
        <v>#REF!</v>
      </c>
      <c r="AC519" s="71" t="e">
        <f>#REF!+AB519</f>
        <v>#REF!</v>
      </c>
      <c r="AD519" s="72" t="e">
        <f>-#REF!</f>
        <v>#REF!</v>
      </c>
      <c r="AE519" s="72" t="e">
        <f>-#REF!+$AD519</f>
        <v>#REF!</v>
      </c>
      <c r="AF519" s="71" t="e">
        <f>#REF!</f>
        <v>#REF!</v>
      </c>
    </row>
    <row r="520" spans="27:32" x14ac:dyDescent="0.25">
      <c r="AA520" s="71" t="e">
        <f>#REF!</f>
        <v>#REF!</v>
      </c>
      <c r="AB520" s="71" t="e">
        <f>#REF!</f>
        <v>#REF!</v>
      </c>
      <c r="AC520" s="71" t="e">
        <f>#REF!+AB520</f>
        <v>#REF!</v>
      </c>
      <c r="AD520" s="72" t="e">
        <f>-#REF!</f>
        <v>#REF!</v>
      </c>
      <c r="AE520" s="72" t="e">
        <f>-#REF!+$AD520</f>
        <v>#REF!</v>
      </c>
      <c r="AF520" s="71" t="e">
        <f>#REF!</f>
        <v>#REF!</v>
      </c>
    </row>
    <row r="521" spans="27:32" x14ac:dyDescent="0.25">
      <c r="AA521" s="71" t="e">
        <f>#REF!</f>
        <v>#REF!</v>
      </c>
      <c r="AB521" s="71" t="e">
        <f>#REF!</f>
        <v>#REF!</v>
      </c>
      <c r="AC521" s="71" t="e">
        <f>#REF!+AB521</f>
        <v>#REF!</v>
      </c>
      <c r="AD521" s="72" t="e">
        <f>-#REF!</f>
        <v>#REF!</v>
      </c>
      <c r="AE521" s="72" t="e">
        <f>-#REF!+$AD521</f>
        <v>#REF!</v>
      </c>
      <c r="AF521" s="71" t="e">
        <f>#REF!</f>
        <v>#REF!</v>
      </c>
    </row>
    <row r="522" spans="27:32" x14ac:dyDescent="0.25">
      <c r="AA522" s="71" t="e">
        <f>#REF!</f>
        <v>#REF!</v>
      </c>
      <c r="AB522" s="71" t="e">
        <f>#REF!</f>
        <v>#REF!</v>
      </c>
      <c r="AC522" s="71" t="e">
        <f>#REF!+AB522</f>
        <v>#REF!</v>
      </c>
      <c r="AD522" s="72" t="e">
        <f>-#REF!</f>
        <v>#REF!</v>
      </c>
      <c r="AE522" s="72" t="e">
        <f>-#REF!+$AD522</f>
        <v>#REF!</v>
      </c>
      <c r="AF522" s="71" t="e">
        <f>#REF!</f>
        <v>#REF!</v>
      </c>
    </row>
    <row r="523" spans="27:32" x14ac:dyDescent="0.25">
      <c r="AA523" s="71" t="e">
        <f>#REF!</f>
        <v>#REF!</v>
      </c>
      <c r="AB523" s="71" t="e">
        <f>#REF!</f>
        <v>#REF!</v>
      </c>
      <c r="AC523" s="71" t="e">
        <f>#REF!+AB523</f>
        <v>#REF!</v>
      </c>
      <c r="AD523" s="72" t="e">
        <f>-#REF!</f>
        <v>#REF!</v>
      </c>
      <c r="AE523" s="72" t="e">
        <f>-#REF!+$AD523</f>
        <v>#REF!</v>
      </c>
      <c r="AF523" s="71" t="e">
        <f>#REF!</f>
        <v>#REF!</v>
      </c>
    </row>
    <row r="524" spans="27:32" x14ac:dyDescent="0.25">
      <c r="AA524" s="71" t="e">
        <f>#REF!</f>
        <v>#REF!</v>
      </c>
      <c r="AB524" s="71" t="e">
        <f>#REF!</f>
        <v>#REF!</v>
      </c>
      <c r="AC524" s="71" t="e">
        <f>#REF!+AB524</f>
        <v>#REF!</v>
      </c>
      <c r="AD524" s="72" t="e">
        <f>-#REF!</f>
        <v>#REF!</v>
      </c>
      <c r="AE524" s="72" t="e">
        <f>-#REF!+$AD524</f>
        <v>#REF!</v>
      </c>
      <c r="AF524" s="71" t="e">
        <f>#REF!</f>
        <v>#REF!</v>
      </c>
    </row>
    <row r="525" spans="27:32" x14ac:dyDescent="0.25">
      <c r="AA525" s="71" t="e">
        <f>#REF!</f>
        <v>#REF!</v>
      </c>
      <c r="AB525" s="71" t="e">
        <f>#REF!</f>
        <v>#REF!</v>
      </c>
      <c r="AC525" s="71" t="e">
        <f>#REF!+AB525</f>
        <v>#REF!</v>
      </c>
      <c r="AD525" s="72" t="e">
        <f>-#REF!</f>
        <v>#REF!</v>
      </c>
      <c r="AE525" s="72" t="e">
        <f>-#REF!+$AD525</f>
        <v>#REF!</v>
      </c>
      <c r="AF525" s="71" t="e">
        <f>#REF!</f>
        <v>#REF!</v>
      </c>
    </row>
    <row r="526" spans="27:32" x14ac:dyDescent="0.25">
      <c r="AA526" s="71" t="e">
        <f>#REF!</f>
        <v>#REF!</v>
      </c>
      <c r="AB526" s="71" t="e">
        <f>#REF!</f>
        <v>#REF!</v>
      </c>
      <c r="AC526" s="71" t="e">
        <f>#REF!+AB526</f>
        <v>#REF!</v>
      </c>
      <c r="AD526" s="72" t="e">
        <f>-#REF!</f>
        <v>#REF!</v>
      </c>
      <c r="AE526" s="72" t="e">
        <f>-#REF!+$AD526</f>
        <v>#REF!</v>
      </c>
      <c r="AF526" s="71" t="e">
        <f>#REF!</f>
        <v>#REF!</v>
      </c>
    </row>
    <row r="527" spans="27:32" x14ac:dyDescent="0.25">
      <c r="AA527" s="71" t="e">
        <f>#REF!</f>
        <v>#REF!</v>
      </c>
      <c r="AB527" s="71" t="e">
        <f>#REF!</f>
        <v>#REF!</v>
      </c>
      <c r="AC527" s="71" t="e">
        <f>#REF!+AB527</f>
        <v>#REF!</v>
      </c>
      <c r="AD527" s="72" t="e">
        <f>-#REF!</f>
        <v>#REF!</v>
      </c>
      <c r="AE527" s="72" t="e">
        <f>-#REF!+$AD527</f>
        <v>#REF!</v>
      </c>
      <c r="AF527" s="71" t="e">
        <f>#REF!</f>
        <v>#REF!</v>
      </c>
    </row>
    <row r="528" spans="27:32" x14ac:dyDescent="0.25">
      <c r="AA528" s="71" t="e">
        <f>#REF!</f>
        <v>#REF!</v>
      </c>
      <c r="AB528" s="71" t="e">
        <f>#REF!</f>
        <v>#REF!</v>
      </c>
      <c r="AC528" s="71" t="e">
        <f>#REF!+AB528</f>
        <v>#REF!</v>
      </c>
      <c r="AD528" s="72" t="e">
        <f>-#REF!</f>
        <v>#REF!</v>
      </c>
      <c r="AE528" s="72" t="e">
        <f>-#REF!+$AD528</f>
        <v>#REF!</v>
      </c>
      <c r="AF528" s="71" t="e">
        <f>#REF!</f>
        <v>#REF!</v>
      </c>
    </row>
    <row r="529" spans="27:32" x14ac:dyDescent="0.25">
      <c r="AA529" s="71" t="e">
        <f>#REF!</f>
        <v>#REF!</v>
      </c>
      <c r="AB529" s="71" t="e">
        <f>#REF!</f>
        <v>#REF!</v>
      </c>
      <c r="AC529" s="71" t="e">
        <f>#REF!+AB529</f>
        <v>#REF!</v>
      </c>
      <c r="AD529" s="72" t="e">
        <f>-#REF!</f>
        <v>#REF!</v>
      </c>
      <c r="AE529" s="72" t="e">
        <f>-#REF!+$AD529</f>
        <v>#REF!</v>
      </c>
      <c r="AF529" s="71" t="e">
        <f>#REF!</f>
        <v>#REF!</v>
      </c>
    </row>
    <row r="530" spans="27:32" x14ac:dyDescent="0.25">
      <c r="AA530" s="71" t="e">
        <f>#REF!</f>
        <v>#REF!</v>
      </c>
      <c r="AB530" s="71" t="e">
        <f>#REF!</f>
        <v>#REF!</v>
      </c>
      <c r="AC530" s="71" t="e">
        <f>#REF!+AB530</f>
        <v>#REF!</v>
      </c>
      <c r="AD530" s="72" t="e">
        <f>-#REF!</f>
        <v>#REF!</v>
      </c>
      <c r="AE530" s="72" t="e">
        <f>-#REF!+$AD530</f>
        <v>#REF!</v>
      </c>
      <c r="AF530" s="71" t="e">
        <f>#REF!</f>
        <v>#REF!</v>
      </c>
    </row>
    <row r="531" spans="27:32" x14ac:dyDescent="0.25">
      <c r="AA531" s="71" t="e">
        <f>#REF!</f>
        <v>#REF!</v>
      </c>
      <c r="AB531" s="71" t="e">
        <f>#REF!</f>
        <v>#REF!</v>
      </c>
      <c r="AC531" s="71" t="e">
        <f>#REF!+AB531</f>
        <v>#REF!</v>
      </c>
      <c r="AD531" s="72" t="e">
        <f>-#REF!</f>
        <v>#REF!</v>
      </c>
      <c r="AE531" s="72" t="e">
        <f>-#REF!+$AD531</f>
        <v>#REF!</v>
      </c>
      <c r="AF531" s="71" t="e">
        <f>#REF!</f>
        <v>#REF!</v>
      </c>
    </row>
    <row r="532" spans="27:32" x14ac:dyDescent="0.25">
      <c r="AA532" s="71" t="e">
        <f>#REF!</f>
        <v>#REF!</v>
      </c>
      <c r="AB532" s="71" t="e">
        <f>#REF!</f>
        <v>#REF!</v>
      </c>
      <c r="AC532" s="71" t="e">
        <f>#REF!+AB532</f>
        <v>#REF!</v>
      </c>
      <c r="AD532" s="72" t="e">
        <f>-#REF!</f>
        <v>#REF!</v>
      </c>
      <c r="AE532" s="72" t="e">
        <f>-#REF!+$AD532</f>
        <v>#REF!</v>
      </c>
      <c r="AF532" s="71" t="e">
        <f>#REF!</f>
        <v>#REF!</v>
      </c>
    </row>
    <row r="533" spans="27:32" x14ac:dyDescent="0.25">
      <c r="AA533" s="71" t="e">
        <f>#REF!</f>
        <v>#REF!</v>
      </c>
      <c r="AB533" s="71" t="e">
        <f>#REF!</f>
        <v>#REF!</v>
      </c>
      <c r="AC533" s="71" t="e">
        <f>#REF!+AB533</f>
        <v>#REF!</v>
      </c>
      <c r="AD533" s="72" t="e">
        <f>-#REF!</f>
        <v>#REF!</v>
      </c>
      <c r="AE533" s="72" t="e">
        <f>-#REF!+$AD533</f>
        <v>#REF!</v>
      </c>
      <c r="AF533" s="71" t="e">
        <f>#REF!</f>
        <v>#REF!</v>
      </c>
    </row>
    <row r="534" spans="27:32" x14ac:dyDescent="0.25">
      <c r="AA534" s="71" t="e">
        <f>#REF!</f>
        <v>#REF!</v>
      </c>
      <c r="AB534" s="71" t="e">
        <f>#REF!</f>
        <v>#REF!</v>
      </c>
      <c r="AC534" s="71" t="e">
        <f>#REF!+AB534</f>
        <v>#REF!</v>
      </c>
      <c r="AD534" s="72" t="e">
        <f>-#REF!</f>
        <v>#REF!</v>
      </c>
      <c r="AE534" s="72" t="e">
        <f>-#REF!+$AD534</f>
        <v>#REF!</v>
      </c>
      <c r="AF534" s="71" t="e">
        <f>#REF!</f>
        <v>#REF!</v>
      </c>
    </row>
    <row r="535" spans="27:32" x14ac:dyDescent="0.25">
      <c r="AA535" s="71" t="e">
        <f>#REF!</f>
        <v>#REF!</v>
      </c>
      <c r="AB535" s="71" t="e">
        <f>#REF!</f>
        <v>#REF!</v>
      </c>
      <c r="AC535" s="71" t="e">
        <f>#REF!+AB535</f>
        <v>#REF!</v>
      </c>
      <c r="AD535" s="72" t="e">
        <f>-#REF!</f>
        <v>#REF!</v>
      </c>
      <c r="AE535" s="72" t="e">
        <f>-#REF!+$AD535</f>
        <v>#REF!</v>
      </c>
      <c r="AF535" s="71" t="e">
        <f>#REF!</f>
        <v>#REF!</v>
      </c>
    </row>
    <row r="536" spans="27:32" x14ac:dyDescent="0.25">
      <c r="AA536" s="71" t="e">
        <f>#REF!</f>
        <v>#REF!</v>
      </c>
      <c r="AB536" s="71" t="e">
        <f>#REF!</f>
        <v>#REF!</v>
      </c>
      <c r="AC536" s="71" t="e">
        <f>#REF!+AB536</f>
        <v>#REF!</v>
      </c>
      <c r="AD536" s="72" t="e">
        <f>-#REF!</f>
        <v>#REF!</v>
      </c>
      <c r="AE536" s="72" t="e">
        <f>-#REF!+$AD536</f>
        <v>#REF!</v>
      </c>
      <c r="AF536" s="71" t="e">
        <f>#REF!</f>
        <v>#REF!</v>
      </c>
    </row>
    <row r="537" spans="27:32" x14ac:dyDescent="0.25">
      <c r="AA537" s="71" t="e">
        <f>#REF!</f>
        <v>#REF!</v>
      </c>
      <c r="AB537" s="71" t="e">
        <f>#REF!</f>
        <v>#REF!</v>
      </c>
      <c r="AC537" s="71" t="e">
        <f>#REF!+AB537</f>
        <v>#REF!</v>
      </c>
      <c r="AD537" s="72" t="e">
        <f>-#REF!</f>
        <v>#REF!</v>
      </c>
      <c r="AE537" s="72" t="e">
        <f>-#REF!+$AD537</f>
        <v>#REF!</v>
      </c>
      <c r="AF537" s="71" t="e">
        <f>#REF!</f>
        <v>#REF!</v>
      </c>
    </row>
    <row r="538" spans="27:32" x14ac:dyDescent="0.25">
      <c r="AA538" s="71" t="e">
        <f>#REF!</f>
        <v>#REF!</v>
      </c>
      <c r="AB538" s="71" t="e">
        <f>#REF!</f>
        <v>#REF!</v>
      </c>
      <c r="AC538" s="71" t="e">
        <f>#REF!+AB538</f>
        <v>#REF!</v>
      </c>
      <c r="AD538" s="72" t="e">
        <f>-#REF!</f>
        <v>#REF!</v>
      </c>
      <c r="AE538" s="72" t="e">
        <f>-#REF!+$AD538</f>
        <v>#REF!</v>
      </c>
      <c r="AF538" s="71" t="e">
        <f>#REF!</f>
        <v>#REF!</v>
      </c>
    </row>
    <row r="539" spans="27:32" x14ac:dyDescent="0.25">
      <c r="AA539" s="71" t="e">
        <f>#REF!</f>
        <v>#REF!</v>
      </c>
      <c r="AB539" s="71" t="e">
        <f>#REF!</f>
        <v>#REF!</v>
      </c>
      <c r="AC539" s="71" t="e">
        <f>#REF!+AB539</f>
        <v>#REF!</v>
      </c>
      <c r="AD539" s="72" t="e">
        <f>-#REF!</f>
        <v>#REF!</v>
      </c>
      <c r="AE539" s="72" t="e">
        <f>-#REF!+$AD539</f>
        <v>#REF!</v>
      </c>
      <c r="AF539" s="71" t="e">
        <f>#REF!</f>
        <v>#REF!</v>
      </c>
    </row>
    <row r="540" spans="27:32" x14ac:dyDescent="0.25">
      <c r="AA540" s="71" t="e">
        <f>#REF!</f>
        <v>#REF!</v>
      </c>
      <c r="AB540" s="71" t="e">
        <f>#REF!</f>
        <v>#REF!</v>
      </c>
      <c r="AC540" s="71" t="e">
        <f>#REF!+AB540</f>
        <v>#REF!</v>
      </c>
      <c r="AD540" s="72" t="e">
        <f>-#REF!</f>
        <v>#REF!</v>
      </c>
      <c r="AE540" s="72" t="e">
        <f>-#REF!+$AD540</f>
        <v>#REF!</v>
      </c>
      <c r="AF540" s="71" t="e">
        <f>#REF!</f>
        <v>#REF!</v>
      </c>
    </row>
    <row r="541" spans="27:32" x14ac:dyDescent="0.25">
      <c r="AA541" s="71" t="e">
        <f>#REF!</f>
        <v>#REF!</v>
      </c>
      <c r="AB541" s="71" t="e">
        <f>#REF!</f>
        <v>#REF!</v>
      </c>
      <c r="AC541" s="71" t="e">
        <f>#REF!+AB541</f>
        <v>#REF!</v>
      </c>
      <c r="AD541" s="72" t="e">
        <f>-#REF!</f>
        <v>#REF!</v>
      </c>
      <c r="AE541" s="72" t="e">
        <f>-#REF!+$AD541</f>
        <v>#REF!</v>
      </c>
      <c r="AF541" s="71" t="e">
        <f>#REF!</f>
        <v>#REF!</v>
      </c>
    </row>
    <row r="542" spans="27:32" x14ac:dyDescent="0.25">
      <c r="AA542" s="71" t="e">
        <f>#REF!</f>
        <v>#REF!</v>
      </c>
      <c r="AB542" s="71" t="e">
        <f>#REF!</f>
        <v>#REF!</v>
      </c>
      <c r="AC542" s="71" t="e">
        <f>#REF!+AB542</f>
        <v>#REF!</v>
      </c>
      <c r="AD542" s="72" t="e">
        <f>-#REF!</f>
        <v>#REF!</v>
      </c>
      <c r="AE542" s="72" t="e">
        <f>-#REF!+$AD542</f>
        <v>#REF!</v>
      </c>
      <c r="AF542" s="71" t="e">
        <f>#REF!</f>
        <v>#REF!</v>
      </c>
    </row>
    <row r="543" spans="27:32" x14ac:dyDescent="0.25">
      <c r="AA543" s="71" t="e">
        <f>#REF!</f>
        <v>#REF!</v>
      </c>
      <c r="AB543" s="71" t="e">
        <f>#REF!</f>
        <v>#REF!</v>
      </c>
      <c r="AC543" s="71" t="e">
        <f>#REF!+AB543</f>
        <v>#REF!</v>
      </c>
      <c r="AD543" s="72" t="e">
        <f>-#REF!</f>
        <v>#REF!</v>
      </c>
      <c r="AE543" s="72" t="e">
        <f>-#REF!+$AD543</f>
        <v>#REF!</v>
      </c>
      <c r="AF543" s="71" t="e">
        <f>#REF!</f>
        <v>#REF!</v>
      </c>
    </row>
    <row r="544" spans="27:32" x14ac:dyDescent="0.25">
      <c r="AA544" s="71" t="e">
        <f>#REF!</f>
        <v>#REF!</v>
      </c>
      <c r="AB544" s="71" t="e">
        <f>#REF!</f>
        <v>#REF!</v>
      </c>
      <c r="AC544" s="71" t="e">
        <f>#REF!+AB544</f>
        <v>#REF!</v>
      </c>
      <c r="AD544" s="72" t="e">
        <f>-#REF!</f>
        <v>#REF!</v>
      </c>
      <c r="AE544" s="72" t="e">
        <f>-#REF!+$AD544</f>
        <v>#REF!</v>
      </c>
      <c r="AF544" s="71" t="e">
        <f>#REF!</f>
        <v>#REF!</v>
      </c>
    </row>
    <row r="545" spans="27:32" x14ac:dyDescent="0.25">
      <c r="AA545" s="71" t="e">
        <f>#REF!</f>
        <v>#REF!</v>
      </c>
      <c r="AB545" s="71" t="e">
        <f>#REF!</f>
        <v>#REF!</v>
      </c>
      <c r="AC545" s="71" t="e">
        <f>#REF!+AB545</f>
        <v>#REF!</v>
      </c>
      <c r="AD545" s="72" t="e">
        <f>-#REF!</f>
        <v>#REF!</v>
      </c>
      <c r="AE545" s="72" t="e">
        <f>-#REF!+$AD545</f>
        <v>#REF!</v>
      </c>
      <c r="AF545" s="71" t="e">
        <f>#REF!</f>
        <v>#REF!</v>
      </c>
    </row>
    <row r="546" spans="27:32" x14ac:dyDescent="0.25">
      <c r="AA546" s="71" t="e">
        <f>#REF!</f>
        <v>#REF!</v>
      </c>
      <c r="AB546" s="71" t="e">
        <f>#REF!</f>
        <v>#REF!</v>
      </c>
      <c r="AC546" s="71" t="e">
        <f>#REF!+AB546</f>
        <v>#REF!</v>
      </c>
      <c r="AD546" s="72" t="e">
        <f>-#REF!</f>
        <v>#REF!</v>
      </c>
      <c r="AE546" s="72" t="e">
        <f>-#REF!+$AD546</f>
        <v>#REF!</v>
      </c>
      <c r="AF546" s="71" t="e">
        <f>#REF!</f>
        <v>#REF!</v>
      </c>
    </row>
    <row r="547" spans="27:32" x14ac:dyDescent="0.25">
      <c r="AA547" s="71" t="e">
        <f>#REF!</f>
        <v>#REF!</v>
      </c>
      <c r="AB547" s="71" t="e">
        <f>#REF!</f>
        <v>#REF!</v>
      </c>
      <c r="AC547" s="71" t="e">
        <f>#REF!+AB547</f>
        <v>#REF!</v>
      </c>
      <c r="AD547" s="72" t="e">
        <f>-#REF!</f>
        <v>#REF!</v>
      </c>
      <c r="AE547" s="72" t="e">
        <f>-#REF!+$AD547</f>
        <v>#REF!</v>
      </c>
      <c r="AF547" s="71" t="e">
        <f>#REF!</f>
        <v>#REF!</v>
      </c>
    </row>
    <row r="548" spans="27:32" x14ac:dyDescent="0.25">
      <c r="AA548" s="71" t="e">
        <f>#REF!</f>
        <v>#REF!</v>
      </c>
      <c r="AB548" s="71" t="e">
        <f>#REF!</f>
        <v>#REF!</v>
      </c>
      <c r="AC548" s="71" t="e">
        <f>#REF!+AB548</f>
        <v>#REF!</v>
      </c>
      <c r="AD548" s="72" t="e">
        <f>-#REF!</f>
        <v>#REF!</v>
      </c>
      <c r="AE548" s="72" t="e">
        <f>-#REF!+$AD548</f>
        <v>#REF!</v>
      </c>
      <c r="AF548" s="71" t="e">
        <f>#REF!</f>
        <v>#REF!</v>
      </c>
    </row>
    <row r="549" spans="27:32" x14ac:dyDescent="0.25">
      <c r="AA549" s="71" t="e">
        <f>#REF!</f>
        <v>#REF!</v>
      </c>
      <c r="AB549" s="71" t="e">
        <f>#REF!</f>
        <v>#REF!</v>
      </c>
      <c r="AC549" s="71" t="e">
        <f>#REF!+AB549</f>
        <v>#REF!</v>
      </c>
      <c r="AD549" s="72" t="e">
        <f>-#REF!</f>
        <v>#REF!</v>
      </c>
      <c r="AE549" s="72" t="e">
        <f>-#REF!+$AD549</f>
        <v>#REF!</v>
      </c>
      <c r="AF549" s="71" t="e">
        <f>#REF!</f>
        <v>#REF!</v>
      </c>
    </row>
    <row r="550" spans="27:32" x14ac:dyDescent="0.25">
      <c r="AA550" s="71" t="e">
        <f>#REF!</f>
        <v>#REF!</v>
      </c>
      <c r="AB550" s="71" t="e">
        <f>#REF!</f>
        <v>#REF!</v>
      </c>
      <c r="AC550" s="71" t="e">
        <f>#REF!+AB550</f>
        <v>#REF!</v>
      </c>
      <c r="AD550" s="72" t="e">
        <f>-#REF!</f>
        <v>#REF!</v>
      </c>
      <c r="AE550" s="72" t="e">
        <f>-#REF!+$AD550</f>
        <v>#REF!</v>
      </c>
      <c r="AF550" s="71" t="e">
        <f>#REF!</f>
        <v>#REF!</v>
      </c>
    </row>
    <row r="551" spans="27:32" x14ac:dyDescent="0.25">
      <c r="AA551" s="71" t="e">
        <f>#REF!</f>
        <v>#REF!</v>
      </c>
      <c r="AB551" s="71" t="e">
        <f>#REF!</f>
        <v>#REF!</v>
      </c>
      <c r="AC551" s="71" t="e">
        <f>#REF!+AB551</f>
        <v>#REF!</v>
      </c>
      <c r="AD551" s="72" t="e">
        <f>-#REF!</f>
        <v>#REF!</v>
      </c>
      <c r="AE551" s="72" t="e">
        <f>-#REF!+$AD551</f>
        <v>#REF!</v>
      </c>
      <c r="AF551" s="71" t="e">
        <f>#REF!</f>
        <v>#REF!</v>
      </c>
    </row>
    <row r="552" spans="27:32" x14ac:dyDescent="0.25">
      <c r="AA552" s="71" t="e">
        <f>#REF!</f>
        <v>#REF!</v>
      </c>
      <c r="AB552" s="71" t="e">
        <f>#REF!</f>
        <v>#REF!</v>
      </c>
      <c r="AC552" s="71" t="e">
        <f>#REF!+AB552</f>
        <v>#REF!</v>
      </c>
      <c r="AD552" s="72" t="e">
        <f>-#REF!</f>
        <v>#REF!</v>
      </c>
      <c r="AE552" s="72" t="e">
        <f>-#REF!+$AD552</f>
        <v>#REF!</v>
      </c>
      <c r="AF552" s="71" t="e">
        <f>#REF!</f>
        <v>#REF!</v>
      </c>
    </row>
    <row r="553" spans="27:32" x14ac:dyDescent="0.25">
      <c r="AA553" s="71" t="e">
        <f>#REF!</f>
        <v>#REF!</v>
      </c>
      <c r="AB553" s="71" t="e">
        <f>#REF!</f>
        <v>#REF!</v>
      </c>
      <c r="AC553" s="71" t="e">
        <f>#REF!+AB553</f>
        <v>#REF!</v>
      </c>
      <c r="AD553" s="72" t="e">
        <f>-#REF!</f>
        <v>#REF!</v>
      </c>
      <c r="AE553" s="72" t="e">
        <f>-#REF!+$AD553</f>
        <v>#REF!</v>
      </c>
      <c r="AF553" s="71" t="e">
        <f>#REF!</f>
        <v>#REF!</v>
      </c>
    </row>
    <row r="554" spans="27:32" x14ac:dyDescent="0.25">
      <c r="AA554" s="71" t="e">
        <f>#REF!</f>
        <v>#REF!</v>
      </c>
      <c r="AB554" s="71" t="e">
        <f>#REF!</f>
        <v>#REF!</v>
      </c>
      <c r="AC554" s="71" t="e">
        <f>#REF!+AB554</f>
        <v>#REF!</v>
      </c>
      <c r="AD554" s="72" t="e">
        <f>-#REF!</f>
        <v>#REF!</v>
      </c>
      <c r="AE554" s="72" t="e">
        <f>-#REF!+$AD554</f>
        <v>#REF!</v>
      </c>
      <c r="AF554" s="71" t="e">
        <f>#REF!</f>
        <v>#REF!</v>
      </c>
    </row>
    <row r="555" spans="27:32" x14ac:dyDescent="0.25">
      <c r="AA555" s="71" t="e">
        <f>#REF!</f>
        <v>#REF!</v>
      </c>
      <c r="AB555" s="71" t="e">
        <f>#REF!</f>
        <v>#REF!</v>
      </c>
      <c r="AC555" s="71" t="e">
        <f>#REF!+AB555</f>
        <v>#REF!</v>
      </c>
      <c r="AD555" s="72" t="e">
        <f>-#REF!</f>
        <v>#REF!</v>
      </c>
      <c r="AE555" s="72" t="e">
        <f>-#REF!+$AD555</f>
        <v>#REF!</v>
      </c>
      <c r="AF555" s="71" t="e">
        <f>#REF!</f>
        <v>#REF!</v>
      </c>
    </row>
    <row r="556" spans="27:32" x14ac:dyDescent="0.25">
      <c r="AA556" s="71" t="e">
        <f>#REF!</f>
        <v>#REF!</v>
      </c>
      <c r="AB556" s="71" t="e">
        <f>#REF!</f>
        <v>#REF!</v>
      </c>
      <c r="AC556" s="71" t="e">
        <f>#REF!+AB556</f>
        <v>#REF!</v>
      </c>
      <c r="AD556" s="72" t="e">
        <f>-#REF!</f>
        <v>#REF!</v>
      </c>
      <c r="AE556" s="72" t="e">
        <f>-#REF!+$AD556</f>
        <v>#REF!</v>
      </c>
      <c r="AF556" s="71" t="e">
        <f>#REF!</f>
        <v>#REF!</v>
      </c>
    </row>
    <row r="557" spans="27:32" x14ac:dyDescent="0.25">
      <c r="AA557" s="71" t="e">
        <f>#REF!</f>
        <v>#REF!</v>
      </c>
      <c r="AB557" s="71" t="e">
        <f>#REF!</f>
        <v>#REF!</v>
      </c>
      <c r="AC557" s="71" t="e">
        <f>#REF!+AB557</f>
        <v>#REF!</v>
      </c>
      <c r="AD557" s="72" t="e">
        <f>-#REF!</f>
        <v>#REF!</v>
      </c>
      <c r="AE557" s="72" t="e">
        <f>-#REF!+$AD557</f>
        <v>#REF!</v>
      </c>
      <c r="AF557" s="71" t="e">
        <f>#REF!</f>
        <v>#REF!</v>
      </c>
    </row>
    <row r="558" spans="27:32" x14ac:dyDescent="0.25">
      <c r="AA558" s="71" t="e">
        <f>#REF!</f>
        <v>#REF!</v>
      </c>
      <c r="AB558" s="71" t="e">
        <f>#REF!</f>
        <v>#REF!</v>
      </c>
      <c r="AC558" s="71" t="e">
        <f>#REF!+AB558</f>
        <v>#REF!</v>
      </c>
      <c r="AD558" s="72" t="e">
        <f>-#REF!</f>
        <v>#REF!</v>
      </c>
      <c r="AE558" s="72" t="e">
        <f>-#REF!+$AD558</f>
        <v>#REF!</v>
      </c>
      <c r="AF558" s="71" t="e">
        <f>#REF!</f>
        <v>#REF!</v>
      </c>
    </row>
    <row r="559" spans="27:32" x14ac:dyDescent="0.25">
      <c r="AA559" s="71" t="e">
        <f>#REF!</f>
        <v>#REF!</v>
      </c>
      <c r="AB559" s="71" t="e">
        <f>#REF!</f>
        <v>#REF!</v>
      </c>
      <c r="AC559" s="71" t="e">
        <f>#REF!+AB559</f>
        <v>#REF!</v>
      </c>
      <c r="AD559" s="72" t="e">
        <f>-#REF!</f>
        <v>#REF!</v>
      </c>
      <c r="AE559" s="72" t="e">
        <f>-#REF!+$AD559</f>
        <v>#REF!</v>
      </c>
      <c r="AF559" s="71" t="e">
        <f>#REF!</f>
        <v>#REF!</v>
      </c>
    </row>
    <row r="560" spans="27:32" x14ac:dyDescent="0.25">
      <c r="AA560" s="71" t="e">
        <f>#REF!</f>
        <v>#REF!</v>
      </c>
      <c r="AB560" s="71" t="e">
        <f>#REF!</f>
        <v>#REF!</v>
      </c>
      <c r="AC560" s="71" t="e">
        <f>#REF!+AB560</f>
        <v>#REF!</v>
      </c>
      <c r="AD560" s="72" t="e">
        <f>-#REF!</f>
        <v>#REF!</v>
      </c>
      <c r="AE560" s="72" t="e">
        <f>-#REF!+$AD560</f>
        <v>#REF!</v>
      </c>
      <c r="AF560" s="71" t="e">
        <f>#REF!</f>
        <v>#REF!</v>
      </c>
    </row>
    <row r="561" spans="27:32" x14ac:dyDescent="0.25">
      <c r="AA561" s="71" t="e">
        <f>#REF!</f>
        <v>#REF!</v>
      </c>
      <c r="AB561" s="71" t="e">
        <f>#REF!</f>
        <v>#REF!</v>
      </c>
      <c r="AC561" s="71" t="e">
        <f>#REF!+AB561</f>
        <v>#REF!</v>
      </c>
      <c r="AD561" s="72" t="e">
        <f>-#REF!</f>
        <v>#REF!</v>
      </c>
      <c r="AE561" s="72" t="e">
        <f>-#REF!+$AD561</f>
        <v>#REF!</v>
      </c>
      <c r="AF561" s="71" t="e">
        <f>#REF!</f>
        <v>#REF!</v>
      </c>
    </row>
    <row r="562" spans="27:32" x14ac:dyDescent="0.25">
      <c r="AA562" s="71" t="e">
        <f>#REF!</f>
        <v>#REF!</v>
      </c>
      <c r="AB562" s="71" t="e">
        <f>#REF!</f>
        <v>#REF!</v>
      </c>
      <c r="AC562" s="71" t="e">
        <f>#REF!+AB562</f>
        <v>#REF!</v>
      </c>
      <c r="AD562" s="72" t="e">
        <f>-#REF!</f>
        <v>#REF!</v>
      </c>
      <c r="AE562" s="72" t="e">
        <f>-#REF!+$AD562</f>
        <v>#REF!</v>
      </c>
      <c r="AF562" s="71" t="e">
        <f>#REF!</f>
        <v>#REF!</v>
      </c>
    </row>
    <row r="563" spans="27:32" x14ac:dyDescent="0.25">
      <c r="AA563" s="71" t="e">
        <f>#REF!</f>
        <v>#REF!</v>
      </c>
      <c r="AB563" s="71" t="e">
        <f>#REF!</f>
        <v>#REF!</v>
      </c>
      <c r="AC563" s="71" t="e">
        <f>#REF!+AB563</f>
        <v>#REF!</v>
      </c>
      <c r="AD563" s="72" t="e">
        <f>-#REF!</f>
        <v>#REF!</v>
      </c>
      <c r="AE563" s="72" t="e">
        <f>-#REF!+$AD563</f>
        <v>#REF!</v>
      </c>
      <c r="AF563" s="71" t="e">
        <f>#REF!</f>
        <v>#REF!</v>
      </c>
    </row>
    <row r="564" spans="27:32" x14ac:dyDescent="0.25">
      <c r="AA564" s="71" t="e">
        <f>#REF!</f>
        <v>#REF!</v>
      </c>
      <c r="AB564" s="71" t="e">
        <f>#REF!</f>
        <v>#REF!</v>
      </c>
      <c r="AC564" s="71" t="e">
        <f>#REF!+AB564</f>
        <v>#REF!</v>
      </c>
      <c r="AD564" s="72" t="e">
        <f>-#REF!</f>
        <v>#REF!</v>
      </c>
      <c r="AE564" s="72" t="e">
        <f>-#REF!+$AD564</f>
        <v>#REF!</v>
      </c>
      <c r="AF564" s="71" t="e">
        <f>#REF!</f>
        <v>#REF!</v>
      </c>
    </row>
    <row r="565" spans="27:32" x14ac:dyDescent="0.25">
      <c r="AA565" s="71" t="e">
        <f>#REF!</f>
        <v>#REF!</v>
      </c>
      <c r="AB565" s="71" t="e">
        <f>#REF!</f>
        <v>#REF!</v>
      </c>
      <c r="AC565" s="71" t="e">
        <f>#REF!+AB565</f>
        <v>#REF!</v>
      </c>
      <c r="AD565" s="72" t="e">
        <f>-#REF!</f>
        <v>#REF!</v>
      </c>
      <c r="AE565" s="72" t="e">
        <f>-#REF!+$AD565</f>
        <v>#REF!</v>
      </c>
      <c r="AF565" s="71" t="e">
        <f>#REF!</f>
        <v>#REF!</v>
      </c>
    </row>
    <row r="566" spans="27:32" x14ac:dyDescent="0.25">
      <c r="AA566" s="71" t="e">
        <f>#REF!</f>
        <v>#REF!</v>
      </c>
      <c r="AB566" s="71" t="e">
        <f>#REF!</f>
        <v>#REF!</v>
      </c>
      <c r="AC566" s="71" t="e">
        <f>#REF!+AB566</f>
        <v>#REF!</v>
      </c>
      <c r="AD566" s="72" t="e">
        <f>-#REF!</f>
        <v>#REF!</v>
      </c>
      <c r="AE566" s="72" t="e">
        <f>-#REF!+$AD566</f>
        <v>#REF!</v>
      </c>
      <c r="AF566" s="71" t="e">
        <f>#REF!</f>
        <v>#REF!</v>
      </c>
    </row>
    <row r="567" spans="27:32" x14ac:dyDescent="0.25">
      <c r="AA567" s="71" t="e">
        <f>#REF!</f>
        <v>#REF!</v>
      </c>
      <c r="AB567" s="71" t="e">
        <f>#REF!</f>
        <v>#REF!</v>
      </c>
      <c r="AC567" s="71" t="e">
        <f>#REF!+AB567</f>
        <v>#REF!</v>
      </c>
      <c r="AD567" s="72" t="e">
        <f>-#REF!</f>
        <v>#REF!</v>
      </c>
      <c r="AE567" s="72" t="e">
        <f>-#REF!+$AD567</f>
        <v>#REF!</v>
      </c>
      <c r="AF567" s="71" t="e">
        <f>#REF!</f>
        <v>#REF!</v>
      </c>
    </row>
    <row r="568" spans="27:32" x14ac:dyDescent="0.25">
      <c r="AA568" s="71" t="e">
        <f>#REF!</f>
        <v>#REF!</v>
      </c>
      <c r="AB568" s="71" t="e">
        <f>#REF!</f>
        <v>#REF!</v>
      </c>
      <c r="AC568" s="71" t="e">
        <f>#REF!+AB568</f>
        <v>#REF!</v>
      </c>
      <c r="AD568" s="72" t="e">
        <f>-#REF!</f>
        <v>#REF!</v>
      </c>
      <c r="AE568" s="72" t="e">
        <f>-#REF!+$AD568</f>
        <v>#REF!</v>
      </c>
      <c r="AF568" s="71" t="e">
        <f>#REF!</f>
        <v>#REF!</v>
      </c>
    </row>
    <row r="569" spans="27:32" x14ac:dyDescent="0.25">
      <c r="AA569" s="71" t="e">
        <f>#REF!</f>
        <v>#REF!</v>
      </c>
      <c r="AB569" s="71" t="e">
        <f>#REF!</f>
        <v>#REF!</v>
      </c>
      <c r="AC569" s="71" t="e">
        <f>#REF!+AB569</f>
        <v>#REF!</v>
      </c>
      <c r="AD569" s="72" t="e">
        <f>-#REF!</f>
        <v>#REF!</v>
      </c>
      <c r="AE569" s="72" t="e">
        <f>-#REF!+$AD569</f>
        <v>#REF!</v>
      </c>
      <c r="AF569" s="71" t="e">
        <f>#REF!</f>
        <v>#REF!</v>
      </c>
    </row>
    <row r="570" spans="27:32" x14ac:dyDescent="0.25">
      <c r="AA570" s="71" t="e">
        <f>#REF!</f>
        <v>#REF!</v>
      </c>
      <c r="AB570" s="71" t="e">
        <f>#REF!</f>
        <v>#REF!</v>
      </c>
      <c r="AC570" s="71" t="e">
        <f>#REF!+AB570</f>
        <v>#REF!</v>
      </c>
      <c r="AD570" s="72" t="e">
        <f>-#REF!</f>
        <v>#REF!</v>
      </c>
      <c r="AE570" s="72" t="e">
        <f>-#REF!+$AD570</f>
        <v>#REF!</v>
      </c>
      <c r="AF570" s="71" t="e">
        <f>#REF!</f>
        <v>#REF!</v>
      </c>
    </row>
    <row r="571" spans="27:32" x14ac:dyDescent="0.25">
      <c r="AA571" s="71" t="e">
        <f>#REF!</f>
        <v>#REF!</v>
      </c>
      <c r="AB571" s="71" t="e">
        <f>#REF!</f>
        <v>#REF!</v>
      </c>
      <c r="AC571" s="71" t="e">
        <f>#REF!+AB571</f>
        <v>#REF!</v>
      </c>
      <c r="AD571" s="72" t="e">
        <f>-#REF!</f>
        <v>#REF!</v>
      </c>
      <c r="AE571" s="72" t="e">
        <f>-#REF!+$AD571</f>
        <v>#REF!</v>
      </c>
      <c r="AF571" s="71" t="e">
        <f>#REF!</f>
        <v>#REF!</v>
      </c>
    </row>
    <row r="572" spans="27:32" x14ac:dyDescent="0.25">
      <c r="AA572" s="71" t="e">
        <f>#REF!</f>
        <v>#REF!</v>
      </c>
      <c r="AB572" s="71" t="e">
        <f>#REF!</f>
        <v>#REF!</v>
      </c>
      <c r="AC572" s="71" t="e">
        <f>#REF!+AB572</f>
        <v>#REF!</v>
      </c>
      <c r="AD572" s="72" t="e">
        <f>-#REF!</f>
        <v>#REF!</v>
      </c>
      <c r="AE572" s="72" t="e">
        <f>-#REF!+$AD572</f>
        <v>#REF!</v>
      </c>
      <c r="AF572" s="71" t="e">
        <f>#REF!</f>
        <v>#REF!</v>
      </c>
    </row>
    <row r="573" spans="27:32" x14ac:dyDescent="0.25">
      <c r="AA573" s="71" t="e">
        <f>#REF!</f>
        <v>#REF!</v>
      </c>
      <c r="AB573" s="71" t="e">
        <f>#REF!</f>
        <v>#REF!</v>
      </c>
      <c r="AC573" s="71" t="e">
        <f>#REF!+AB573</f>
        <v>#REF!</v>
      </c>
      <c r="AD573" s="72" t="e">
        <f>-#REF!</f>
        <v>#REF!</v>
      </c>
      <c r="AE573" s="72" t="e">
        <f>-#REF!+$AD573</f>
        <v>#REF!</v>
      </c>
      <c r="AF573" s="71" t="e">
        <f>#REF!</f>
        <v>#REF!</v>
      </c>
    </row>
    <row r="574" spans="27:32" x14ac:dyDescent="0.25">
      <c r="AA574" s="71" t="e">
        <f>#REF!</f>
        <v>#REF!</v>
      </c>
      <c r="AB574" s="71" t="e">
        <f>#REF!</f>
        <v>#REF!</v>
      </c>
      <c r="AC574" s="71" t="e">
        <f>#REF!+AB574</f>
        <v>#REF!</v>
      </c>
      <c r="AD574" s="72" t="e">
        <f>-#REF!</f>
        <v>#REF!</v>
      </c>
      <c r="AE574" s="72" t="e">
        <f>-#REF!+$AD574</f>
        <v>#REF!</v>
      </c>
      <c r="AF574" s="71" t="e">
        <f>#REF!</f>
        <v>#REF!</v>
      </c>
    </row>
    <row r="575" spans="27:32" x14ac:dyDescent="0.25">
      <c r="AA575" s="71" t="e">
        <f>#REF!</f>
        <v>#REF!</v>
      </c>
      <c r="AB575" s="71" t="e">
        <f>#REF!</f>
        <v>#REF!</v>
      </c>
      <c r="AC575" s="71" t="e">
        <f>#REF!+AB575</f>
        <v>#REF!</v>
      </c>
      <c r="AD575" s="72" t="e">
        <f>-#REF!</f>
        <v>#REF!</v>
      </c>
      <c r="AE575" s="72" t="e">
        <f>-#REF!+$AD575</f>
        <v>#REF!</v>
      </c>
      <c r="AF575" s="71" t="e">
        <f>#REF!</f>
        <v>#REF!</v>
      </c>
    </row>
    <row r="576" spans="27:32" x14ac:dyDescent="0.25">
      <c r="AA576" s="71" t="e">
        <f>#REF!</f>
        <v>#REF!</v>
      </c>
      <c r="AB576" s="71" t="e">
        <f>#REF!</f>
        <v>#REF!</v>
      </c>
      <c r="AC576" s="71" t="e">
        <f>#REF!+AB576</f>
        <v>#REF!</v>
      </c>
      <c r="AD576" s="72" t="e">
        <f>-#REF!</f>
        <v>#REF!</v>
      </c>
      <c r="AE576" s="72" t="e">
        <f>-#REF!+$AD576</f>
        <v>#REF!</v>
      </c>
      <c r="AF576" s="71" t="e">
        <f>#REF!</f>
        <v>#REF!</v>
      </c>
    </row>
    <row r="577" spans="27:32" x14ac:dyDescent="0.25">
      <c r="AA577" s="71" t="e">
        <f>#REF!</f>
        <v>#REF!</v>
      </c>
      <c r="AB577" s="71" t="e">
        <f>#REF!</f>
        <v>#REF!</v>
      </c>
      <c r="AC577" s="71" t="e">
        <f>#REF!+AB577</f>
        <v>#REF!</v>
      </c>
      <c r="AD577" s="72" t="e">
        <f>-#REF!</f>
        <v>#REF!</v>
      </c>
      <c r="AE577" s="72" t="e">
        <f>-#REF!+$AD577</f>
        <v>#REF!</v>
      </c>
      <c r="AF577" s="71" t="e">
        <f>#REF!</f>
        <v>#REF!</v>
      </c>
    </row>
    <row r="578" spans="27:32" x14ac:dyDescent="0.25">
      <c r="AA578" s="71" t="e">
        <f>#REF!</f>
        <v>#REF!</v>
      </c>
      <c r="AB578" s="71" t="e">
        <f>#REF!</f>
        <v>#REF!</v>
      </c>
      <c r="AC578" s="71" t="e">
        <f>#REF!+AB578</f>
        <v>#REF!</v>
      </c>
      <c r="AD578" s="72" t="e">
        <f>-#REF!</f>
        <v>#REF!</v>
      </c>
      <c r="AE578" s="72" t="e">
        <f>-#REF!+$AD578</f>
        <v>#REF!</v>
      </c>
      <c r="AF578" s="71" t="e">
        <f>#REF!</f>
        <v>#REF!</v>
      </c>
    </row>
    <row r="579" spans="27:32" x14ac:dyDescent="0.25">
      <c r="AA579" s="71" t="e">
        <f>#REF!</f>
        <v>#REF!</v>
      </c>
      <c r="AB579" s="71" t="e">
        <f>#REF!</f>
        <v>#REF!</v>
      </c>
      <c r="AC579" s="71" t="e">
        <f>#REF!+AB579</f>
        <v>#REF!</v>
      </c>
      <c r="AD579" s="72" t="e">
        <f>-#REF!</f>
        <v>#REF!</v>
      </c>
      <c r="AE579" s="72" t="e">
        <f>-#REF!+$AD579</f>
        <v>#REF!</v>
      </c>
      <c r="AF579" s="71" t="e">
        <f>#REF!</f>
        <v>#REF!</v>
      </c>
    </row>
    <row r="580" spans="27:32" x14ac:dyDescent="0.25">
      <c r="AA580" s="71" t="e">
        <f>#REF!</f>
        <v>#REF!</v>
      </c>
      <c r="AB580" s="71" t="e">
        <f>#REF!</f>
        <v>#REF!</v>
      </c>
      <c r="AC580" s="71" t="e">
        <f>#REF!+AB580</f>
        <v>#REF!</v>
      </c>
      <c r="AD580" s="72" t="e">
        <f>-#REF!</f>
        <v>#REF!</v>
      </c>
      <c r="AE580" s="72" t="e">
        <f>-#REF!+$AD580</f>
        <v>#REF!</v>
      </c>
      <c r="AF580" s="71" t="e">
        <f>#REF!</f>
        <v>#REF!</v>
      </c>
    </row>
    <row r="581" spans="27:32" x14ac:dyDescent="0.25">
      <c r="AA581" s="71" t="e">
        <f>#REF!</f>
        <v>#REF!</v>
      </c>
      <c r="AB581" s="71" t="e">
        <f>#REF!</f>
        <v>#REF!</v>
      </c>
      <c r="AC581" s="71" t="e">
        <f>#REF!+AB581</f>
        <v>#REF!</v>
      </c>
      <c r="AD581" s="72" t="e">
        <f>-#REF!</f>
        <v>#REF!</v>
      </c>
      <c r="AE581" s="72" t="e">
        <f>-#REF!+$AD581</f>
        <v>#REF!</v>
      </c>
      <c r="AF581" s="71" t="e">
        <f>#REF!</f>
        <v>#REF!</v>
      </c>
    </row>
    <row r="582" spans="27:32" x14ac:dyDescent="0.25">
      <c r="AA582" s="71" t="e">
        <f>#REF!</f>
        <v>#REF!</v>
      </c>
      <c r="AB582" s="71" t="e">
        <f>#REF!</f>
        <v>#REF!</v>
      </c>
      <c r="AC582" s="71" t="e">
        <f>#REF!+AB582</f>
        <v>#REF!</v>
      </c>
      <c r="AD582" s="72" t="e">
        <f>-#REF!</f>
        <v>#REF!</v>
      </c>
      <c r="AE582" s="72" t="e">
        <f>-#REF!+$AD582</f>
        <v>#REF!</v>
      </c>
      <c r="AF582" s="71" t="e">
        <f>#REF!</f>
        <v>#REF!</v>
      </c>
    </row>
    <row r="583" spans="27:32" x14ac:dyDescent="0.25">
      <c r="AA583" s="71" t="e">
        <f>#REF!</f>
        <v>#REF!</v>
      </c>
      <c r="AB583" s="71" t="e">
        <f>#REF!</f>
        <v>#REF!</v>
      </c>
      <c r="AC583" s="71" t="e">
        <f>#REF!+AB583</f>
        <v>#REF!</v>
      </c>
      <c r="AD583" s="72" t="e">
        <f>-#REF!</f>
        <v>#REF!</v>
      </c>
      <c r="AE583" s="72" t="e">
        <f>-#REF!+$AD583</f>
        <v>#REF!</v>
      </c>
      <c r="AF583" s="71" t="e">
        <f>#REF!</f>
        <v>#REF!</v>
      </c>
    </row>
    <row r="584" spans="27:32" x14ac:dyDescent="0.25">
      <c r="AA584" s="71" t="e">
        <f>#REF!</f>
        <v>#REF!</v>
      </c>
      <c r="AB584" s="71" t="e">
        <f>#REF!</f>
        <v>#REF!</v>
      </c>
      <c r="AC584" s="71" t="e">
        <f>#REF!+AB584</f>
        <v>#REF!</v>
      </c>
      <c r="AD584" s="72" t="e">
        <f>-#REF!</f>
        <v>#REF!</v>
      </c>
      <c r="AE584" s="72" t="e">
        <f>-#REF!+$AD584</f>
        <v>#REF!</v>
      </c>
      <c r="AF584" s="71" t="e">
        <f>#REF!</f>
        <v>#REF!</v>
      </c>
    </row>
    <row r="585" spans="27:32" x14ac:dyDescent="0.25">
      <c r="AA585" s="71" t="e">
        <f>#REF!</f>
        <v>#REF!</v>
      </c>
      <c r="AB585" s="71" t="e">
        <f>#REF!</f>
        <v>#REF!</v>
      </c>
      <c r="AC585" s="71" t="e">
        <f>#REF!+AB585</f>
        <v>#REF!</v>
      </c>
      <c r="AD585" s="72" t="e">
        <f>-#REF!</f>
        <v>#REF!</v>
      </c>
      <c r="AE585" s="72" t="e">
        <f>-#REF!+$AD585</f>
        <v>#REF!</v>
      </c>
      <c r="AF585" s="71" t="e">
        <f>#REF!</f>
        <v>#REF!</v>
      </c>
    </row>
    <row r="586" spans="27:32" x14ac:dyDescent="0.25">
      <c r="AA586" s="71" t="e">
        <f>#REF!</f>
        <v>#REF!</v>
      </c>
      <c r="AB586" s="71" t="e">
        <f>#REF!</f>
        <v>#REF!</v>
      </c>
      <c r="AC586" s="71" t="e">
        <f>#REF!+AB586</f>
        <v>#REF!</v>
      </c>
      <c r="AD586" s="72" t="e">
        <f>-#REF!</f>
        <v>#REF!</v>
      </c>
      <c r="AE586" s="72" t="e">
        <f>-#REF!+$AD586</f>
        <v>#REF!</v>
      </c>
      <c r="AF586" s="71" t="e">
        <f>#REF!</f>
        <v>#REF!</v>
      </c>
    </row>
    <row r="587" spans="27:32" x14ac:dyDescent="0.25">
      <c r="AA587" s="71" t="e">
        <f>#REF!</f>
        <v>#REF!</v>
      </c>
      <c r="AB587" s="71" t="e">
        <f>#REF!</f>
        <v>#REF!</v>
      </c>
      <c r="AC587" s="71" t="e">
        <f>#REF!+AB587</f>
        <v>#REF!</v>
      </c>
      <c r="AD587" s="72" t="e">
        <f>-#REF!</f>
        <v>#REF!</v>
      </c>
      <c r="AE587" s="72" t="e">
        <f>-#REF!+$AD587</f>
        <v>#REF!</v>
      </c>
      <c r="AF587" s="71" t="e">
        <f>#REF!</f>
        <v>#REF!</v>
      </c>
    </row>
    <row r="588" spans="27:32" x14ac:dyDescent="0.25">
      <c r="AA588" s="71" t="e">
        <f>#REF!</f>
        <v>#REF!</v>
      </c>
      <c r="AB588" s="71" t="e">
        <f>#REF!</f>
        <v>#REF!</v>
      </c>
      <c r="AC588" s="71" t="e">
        <f>#REF!+AB588</f>
        <v>#REF!</v>
      </c>
      <c r="AD588" s="72" t="e">
        <f>-#REF!</f>
        <v>#REF!</v>
      </c>
      <c r="AE588" s="72" t="e">
        <f>-#REF!+$AD588</f>
        <v>#REF!</v>
      </c>
      <c r="AF588" s="71" t="e">
        <f>#REF!</f>
        <v>#REF!</v>
      </c>
    </row>
    <row r="589" spans="27:32" x14ac:dyDescent="0.25">
      <c r="AA589" s="71" t="e">
        <f>#REF!</f>
        <v>#REF!</v>
      </c>
      <c r="AB589" s="71" t="e">
        <f>#REF!</f>
        <v>#REF!</v>
      </c>
      <c r="AC589" s="71" t="e">
        <f>#REF!+AB589</f>
        <v>#REF!</v>
      </c>
      <c r="AD589" s="72" t="e">
        <f>-#REF!</f>
        <v>#REF!</v>
      </c>
      <c r="AE589" s="72" t="e">
        <f>-#REF!+$AD589</f>
        <v>#REF!</v>
      </c>
      <c r="AF589" s="71" t="e">
        <f>#REF!</f>
        <v>#REF!</v>
      </c>
    </row>
    <row r="590" spans="27:32" x14ac:dyDescent="0.25">
      <c r="AA590" s="71" t="e">
        <f>#REF!</f>
        <v>#REF!</v>
      </c>
      <c r="AB590" s="71" t="e">
        <f>#REF!</f>
        <v>#REF!</v>
      </c>
      <c r="AC590" s="71" t="e">
        <f>#REF!+AB590</f>
        <v>#REF!</v>
      </c>
      <c r="AD590" s="72" t="e">
        <f>-#REF!</f>
        <v>#REF!</v>
      </c>
      <c r="AE590" s="72" t="e">
        <f>-#REF!+$AD590</f>
        <v>#REF!</v>
      </c>
      <c r="AF590" s="71" t="e">
        <f>#REF!</f>
        <v>#REF!</v>
      </c>
    </row>
    <row r="591" spans="27:32" x14ac:dyDescent="0.25">
      <c r="AA591" s="71" t="e">
        <f>#REF!</f>
        <v>#REF!</v>
      </c>
      <c r="AB591" s="71" t="e">
        <f>#REF!</f>
        <v>#REF!</v>
      </c>
      <c r="AC591" s="71" t="e">
        <f>#REF!+AB591</f>
        <v>#REF!</v>
      </c>
      <c r="AD591" s="72" t="e">
        <f>-#REF!</f>
        <v>#REF!</v>
      </c>
      <c r="AE591" s="72" t="e">
        <f>-#REF!+$AD591</f>
        <v>#REF!</v>
      </c>
      <c r="AF591" s="71" t="e">
        <f>#REF!</f>
        <v>#REF!</v>
      </c>
    </row>
    <row r="592" spans="27:32" x14ac:dyDescent="0.25">
      <c r="AA592" s="71" t="e">
        <f>#REF!</f>
        <v>#REF!</v>
      </c>
      <c r="AB592" s="71" t="e">
        <f>#REF!</f>
        <v>#REF!</v>
      </c>
      <c r="AC592" s="71" t="e">
        <f>#REF!+AB592</f>
        <v>#REF!</v>
      </c>
      <c r="AD592" s="72" t="e">
        <f>-#REF!</f>
        <v>#REF!</v>
      </c>
      <c r="AE592" s="72" t="e">
        <f>-#REF!+$AD592</f>
        <v>#REF!</v>
      </c>
      <c r="AF592" s="71" t="e">
        <f>#REF!</f>
        <v>#REF!</v>
      </c>
    </row>
    <row r="593" spans="27:32" x14ac:dyDescent="0.25">
      <c r="AA593" s="71" t="e">
        <f>#REF!</f>
        <v>#REF!</v>
      </c>
      <c r="AB593" s="71" t="e">
        <f>#REF!</f>
        <v>#REF!</v>
      </c>
      <c r="AC593" s="71" t="e">
        <f>#REF!+AB593</f>
        <v>#REF!</v>
      </c>
      <c r="AD593" s="72" t="e">
        <f>-#REF!</f>
        <v>#REF!</v>
      </c>
      <c r="AE593" s="72" t="e">
        <f>-#REF!+$AD593</f>
        <v>#REF!</v>
      </c>
      <c r="AF593" s="71" t="e">
        <f>#REF!</f>
        <v>#REF!</v>
      </c>
    </row>
    <row r="594" spans="27:32" x14ac:dyDescent="0.25">
      <c r="AA594" s="71" t="e">
        <f>#REF!</f>
        <v>#REF!</v>
      </c>
      <c r="AB594" s="71" t="e">
        <f>#REF!</f>
        <v>#REF!</v>
      </c>
      <c r="AC594" s="71" t="e">
        <f>#REF!+AB594</f>
        <v>#REF!</v>
      </c>
      <c r="AD594" s="72" t="e">
        <f>-#REF!</f>
        <v>#REF!</v>
      </c>
      <c r="AE594" s="72" t="e">
        <f>-#REF!+$AD594</f>
        <v>#REF!</v>
      </c>
      <c r="AF594" s="71" t="e">
        <f>#REF!</f>
        <v>#REF!</v>
      </c>
    </row>
    <row r="595" spans="27:32" x14ac:dyDescent="0.25">
      <c r="AA595" s="71" t="e">
        <f>#REF!</f>
        <v>#REF!</v>
      </c>
      <c r="AB595" s="71" t="e">
        <f>#REF!</f>
        <v>#REF!</v>
      </c>
      <c r="AC595" s="71" t="e">
        <f>#REF!+AB595</f>
        <v>#REF!</v>
      </c>
      <c r="AD595" s="72" t="e">
        <f>-#REF!</f>
        <v>#REF!</v>
      </c>
      <c r="AE595" s="72" t="e">
        <f>-#REF!+$AD595</f>
        <v>#REF!</v>
      </c>
      <c r="AF595" s="71" t="e">
        <f>#REF!</f>
        <v>#REF!</v>
      </c>
    </row>
    <row r="596" spans="27:32" x14ac:dyDescent="0.25">
      <c r="AA596" s="71" t="e">
        <f>#REF!</f>
        <v>#REF!</v>
      </c>
      <c r="AB596" s="71" t="e">
        <f>#REF!</f>
        <v>#REF!</v>
      </c>
      <c r="AC596" s="71" t="e">
        <f>#REF!+AB596</f>
        <v>#REF!</v>
      </c>
      <c r="AD596" s="72" t="e">
        <f>-#REF!</f>
        <v>#REF!</v>
      </c>
      <c r="AE596" s="72" t="e">
        <f>-#REF!+$AD596</f>
        <v>#REF!</v>
      </c>
      <c r="AF596" s="71" t="e">
        <f>#REF!</f>
        <v>#REF!</v>
      </c>
    </row>
    <row r="597" spans="27:32" x14ac:dyDescent="0.25">
      <c r="AA597" s="71" t="e">
        <f>#REF!</f>
        <v>#REF!</v>
      </c>
      <c r="AB597" s="71" t="e">
        <f>#REF!</f>
        <v>#REF!</v>
      </c>
      <c r="AC597" s="71" t="e">
        <f>#REF!+AB597</f>
        <v>#REF!</v>
      </c>
      <c r="AD597" s="72" t="e">
        <f>-#REF!</f>
        <v>#REF!</v>
      </c>
      <c r="AE597" s="72" t="e">
        <f>-#REF!+$AD597</f>
        <v>#REF!</v>
      </c>
      <c r="AF597" s="71" t="e">
        <f>#REF!</f>
        <v>#REF!</v>
      </c>
    </row>
    <row r="598" spans="27:32" x14ac:dyDescent="0.25">
      <c r="AA598" s="71" t="e">
        <f>#REF!</f>
        <v>#REF!</v>
      </c>
      <c r="AB598" s="71" t="e">
        <f>#REF!</f>
        <v>#REF!</v>
      </c>
      <c r="AC598" s="71" t="e">
        <f>#REF!+AB598</f>
        <v>#REF!</v>
      </c>
      <c r="AD598" s="72" t="e">
        <f>-#REF!</f>
        <v>#REF!</v>
      </c>
      <c r="AE598" s="72" t="e">
        <f>-#REF!+$AD598</f>
        <v>#REF!</v>
      </c>
      <c r="AF598" s="71" t="e">
        <f>#REF!</f>
        <v>#REF!</v>
      </c>
    </row>
    <row r="599" spans="27:32" x14ac:dyDescent="0.25">
      <c r="AA599" s="71" t="e">
        <f>#REF!</f>
        <v>#REF!</v>
      </c>
      <c r="AB599" s="71" t="e">
        <f>#REF!</f>
        <v>#REF!</v>
      </c>
      <c r="AC599" s="71" t="e">
        <f>#REF!+AB599</f>
        <v>#REF!</v>
      </c>
      <c r="AD599" s="72" t="e">
        <f>-#REF!</f>
        <v>#REF!</v>
      </c>
      <c r="AE599" s="72" t="e">
        <f>-#REF!+$AD599</f>
        <v>#REF!</v>
      </c>
      <c r="AF599" s="71" t="e">
        <f>#REF!</f>
        <v>#REF!</v>
      </c>
    </row>
    <row r="600" spans="27:32" x14ac:dyDescent="0.25">
      <c r="AA600" s="71" t="e">
        <f>#REF!</f>
        <v>#REF!</v>
      </c>
      <c r="AB600" s="71" t="e">
        <f>#REF!</f>
        <v>#REF!</v>
      </c>
      <c r="AC600" s="71" t="e">
        <f>#REF!+AB600</f>
        <v>#REF!</v>
      </c>
      <c r="AD600" s="72" t="e">
        <f>-#REF!</f>
        <v>#REF!</v>
      </c>
      <c r="AE600" s="72" t="e">
        <f>-#REF!+$AD600</f>
        <v>#REF!</v>
      </c>
      <c r="AF600" s="71" t="e">
        <f>#REF!</f>
        <v>#REF!</v>
      </c>
    </row>
    <row r="601" spans="27:32" x14ac:dyDescent="0.25">
      <c r="AA601" s="71" t="e">
        <f>#REF!</f>
        <v>#REF!</v>
      </c>
      <c r="AB601" s="71" t="e">
        <f>#REF!</f>
        <v>#REF!</v>
      </c>
      <c r="AC601" s="71" t="e">
        <f>#REF!+AB601</f>
        <v>#REF!</v>
      </c>
      <c r="AD601" s="72" t="e">
        <f>-#REF!</f>
        <v>#REF!</v>
      </c>
      <c r="AE601" s="72" t="e">
        <f>-#REF!+$AD601</f>
        <v>#REF!</v>
      </c>
      <c r="AF601" s="71" t="e">
        <f>#REF!</f>
        <v>#REF!</v>
      </c>
    </row>
    <row r="602" spans="27:32" x14ac:dyDescent="0.25">
      <c r="AA602" s="71" t="e">
        <f>#REF!</f>
        <v>#REF!</v>
      </c>
      <c r="AB602" s="71" t="e">
        <f>#REF!</f>
        <v>#REF!</v>
      </c>
      <c r="AC602" s="71" t="e">
        <f>#REF!+AB602</f>
        <v>#REF!</v>
      </c>
      <c r="AD602" s="72" t="e">
        <f>-#REF!</f>
        <v>#REF!</v>
      </c>
      <c r="AE602" s="72" t="e">
        <f>-#REF!+$AD602</f>
        <v>#REF!</v>
      </c>
      <c r="AF602" s="71" t="e">
        <f>#REF!</f>
        <v>#REF!</v>
      </c>
    </row>
    <row r="603" spans="27:32" x14ac:dyDescent="0.25">
      <c r="AA603" s="71" t="e">
        <f>#REF!</f>
        <v>#REF!</v>
      </c>
      <c r="AB603" s="71" t="e">
        <f>#REF!</f>
        <v>#REF!</v>
      </c>
      <c r="AC603" s="71" t="e">
        <f>#REF!+AB603</f>
        <v>#REF!</v>
      </c>
      <c r="AD603" s="72" t="e">
        <f>-#REF!</f>
        <v>#REF!</v>
      </c>
      <c r="AE603" s="72" t="e">
        <f>-#REF!+$AD603</f>
        <v>#REF!</v>
      </c>
      <c r="AF603" s="71" t="e">
        <f>#REF!</f>
        <v>#REF!</v>
      </c>
    </row>
    <row r="604" spans="27:32" x14ac:dyDescent="0.25">
      <c r="AA604" s="71" t="e">
        <f>#REF!</f>
        <v>#REF!</v>
      </c>
      <c r="AB604" s="71" t="e">
        <f>#REF!</f>
        <v>#REF!</v>
      </c>
      <c r="AC604" s="71" t="e">
        <f>#REF!+AB604</f>
        <v>#REF!</v>
      </c>
      <c r="AD604" s="72" t="e">
        <f>-#REF!</f>
        <v>#REF!</v>
      </c>
      <c r="AE604" s="72" t="e">
        <f>-#REF!+$AD604</f>
        <v>#REF!</v>
      </c>
      <c r="AF604" s="71" t="e">
        <f>#REF!</f>
        <v>#REF!</v>
      </c>
    </row>
    <row r="605" spans="27:32" x14ac:dyDescent="0.25">
      <c r="AA605" s="71" t="e">
        <f>#REF!</f>
        <v>#REF!</v>
      </c>
      <c r="AB605" s="71" t="e">
        <f>#REF!</f>
        <v>#REF!</v>
      </c>
      <c r="AC605" s="71" t="e">
        <f>#REF!+AB605</f>
        <v>#REF!</v>
      </c>
      <c r="AD605" s="72" t="e">
        <f>-#REF!</f>
        <v>#REF!</v>
      </c>
      <c r="AE605" s="72" t="e">
        <f>-#REF!+$AD605</f>
        <v>#REF!</v>
      </c>
      <c r="AF605" s="71" t="e">
        <f>#REF!</f>
        <v>#REF!</v>
      </c>
    </row>
    <row r="606" spans="27:32" x14ac:dyDescent="0.25">
      <c r="AA606" s="71" t="e">
        <f>#REF!</f>
        <v>#REF!</v>
      </c>
      <c r="AB606" s="71" t="e">
        <f>#REF!</f>
        <v>#REF!</v>
      </c>
      <c r="AC606" s="71" t="e">
        <f>#REF!+AB606</f>
        <v>#REF!</v>
      </c>
      <c r="AD606" s="72" t="e">
        <f>-#REF!</f>
        <v>#REF!</v>
      </c>
      <c r="AE606" s="72" t="e">
        <f>-#REF!+$AD606</f>
        <v>#REF!</v>
      </c>
      <c r="AF606" s="71" t="e">
        <f>#REF!</f>
        <v>#REF!</v>
      </c>
    </row>
    <row r="607" spans="27:32" x14ac:dyDescent="0.25">
      <c r="AA607" s="71" t="e">
        <f>#REF!</f>
        <v>#REF!</v>
      </c>
      <c r="AB607" s="71" t="e">
        <f>#REF!</f>
        <v>#REF!</v>
      </c>
      <c r="AC607" s="71" t="e">
        <f>#REF!+AB607</f>
        <v>#REF!</v>
      </c>
      <c r="AD607" s="72" t="e">
        <f>-#REF!</f>
        <v>#REF!</v>
      </c>
      <c r="AE607" s="72" t="e">
        <f>-#REF!+$AD607</f>
        <v>#REF!</v>
      </c>
      <c r="AF607" s="71" t="e">
        <f>#REF!</f>
        <v>#REF!</v>
      </c>
    </row>
    <row r="608" spans="27:32" x14ac:dyDescent="0.25">
      <c r="AA608" s="71" t="e">
        <f>#REF!</f>
        <v>#REF!</v>
      </c>
      <c r="AB608" s="71" t="e">
        <f>#REF!</f>
        <v>#REF!</v>
      </c>
      <c r="AC608" s="71" t="e">
        <f>#REF!+AB608</f>
        <v>#REF!</v>
      </c>
      <c r="AD608" s="72" t="e">
        <f>-#REF!</f>
        <v>#REF!</v>
      </c>
      <c r="AE608" s="72" t="e">
        <f>-#REF!+$AD608</f>
        <v>#REF!</v>
      </c>
      <c r="AF608" s="71" t="e">
        <f>#REF!</f>
        <v>#REF!</v>
      </c>
    </row>
    <row r="609" spans="27:32" x14ac:dyDescent="0.25">
      <c r="AA609" s="71" t="e">
        <f>#REF!</f>
        <v>#REF!</v>
      </c>
      <c r="AB609" s="71" t="e">
        <f>#REF!</f>
        <v>#REF!</v>
      </c>
      <c r="AC609" s="71" t="e">
        <f>#REF!+AB609</f>
        <v>#REF!</v>
      </c>
      <c r="AD609" s="72" t="e">
        <f>-#REF!</f>
        <v>#REF!</v>
      </c>
      <c r="AE609" s="72" t="e">
        <f>-#REF!+$AD609</f>
        <v>#REF!</v>
      </c>
      <c r="AF609" s="71" t="e">
        <f>#REF!</f>
        <v>#REF!</v>
      </c>
    </row>
    <row r="610" spans="27:32" x14ac:dyDescent="0.25">
      <c r="AA610" s="71" t="e">
        <f>#REF!</f>
        <v>#REF!</v>
      </c>
      <c r="AB610" s="71" t="e">
        <f>#REF!</f>
        <v>#REF!</v>
      </c>
      <c r="AC610" s="71" t="e">
        <f>#REF!+AB610</f>
        <v>#REF!</v>
      </c>
      <c r="AD610" s="72" t="e">
        <f>-#REF!</f>
        <v>#REF!</v>
      </c>
      <c r="AE610" s="72" t="e">
        <f>-#REF!+$AD610</f>
        <v>#REF!</v>
      </c>
      <c r="AF610" s="71" t="e">
        <f>#REF!</f>
        <v>#REF!</v>
      </c>
    </row>
    <row r="611" spans="27:32" x14ac:dyDescent="0.25">
      <c r="AA611" s="71" t="e">
        <f>#REF!</f>
        <v>#REF!</v>
      </c>
      <c r="AB611" s="71" t="e">
        <f>#REF!</f>
        <v>#REF!</v>
      </c>
      <c r="AC611" s="71" t="e">
        <f>#REF!+AB611</f>
        <v>#REF!</v>
      </c>
      <c r="AD611" s="72" t="e">
        <f>-#REF!</f>
        <v>#REF!</v>
      </c>
      <c r="AE611" s="72" t="e">
        <f>-#REF!+$AD611</f>
        <v>#REF!</v>
      </c>
      <c r="AF611" s="71" t="e">
        <f>#REF!</f>
        <v>#REF!</v>
      </c>
    </row>
    <row r="612" spans="27:32" x14ac:dyDescent="0.25">
      <c r="AA612" s="71" t="e">
        <f>#REF!</f>
        <v>#REF!</v>
      </c>
      <c r="AB612" s="71" t="e">
        <f>#REF!</f>
        <v>#REF!</v>
      </c>
      <c r="AC612" s="71" t="e">
        <f>#REF!+AB612</f>
        <v>#REF!</v>
      </c>
      <c r="AD612" s="72" t="e">
        <f>-#REF!</f>
        <v>#REF!</v>
      </c>
      <c r="AE612" s="72" t="e">
        <f>-#REF!+$AD612</f>
        <v>#REF!</v>
      </c>
      <c r="AF612" s="71" t="e">
        <f>#REF!</f>
        <v>#REF!</v>
      </c>
    </row>
    <row r="613" spans="27:32" x14ac:dyDescent="0.25">
      <c r="AA613" s="71" t="e">
        <f>#REF!</f>
        <v>#REF!</v>
      </c>
      <c r="AB613" s="71" t="e">
        <f>#REF!</f>
        <v>#REF!</v>
      </c>
      <c r="AC613" s="71" t="e">
        <f>#REF!+AB613</f>
        <v>#REF!</v>
      </c>
      <c r="AD613" s="72" t="e">
        <f>-#REF!</f>
        <v>#REF!</v>
      </c>
      <c r="AE613" s="72" t="e">
        <f>-#REF!+$AD613</f>
        <v>#REF!</v>
      </c>
      <c r="AF613" s="71" t="e">
        <f>#REF!</f>
        <v>#REF!</v>
      </c>
    </row>
    <row r="614" spans="27:32" x14ac:dyDescent="0.25">
      <c r="AA614" s="71" t="e">
        <f>#REF!</f>
        <v>#REF!</v>
      </c>
      <c r="AB614" s="71" t="e">
        <f>#REF!</f>
        <v>#REF!</v>
      </c>
      <c r="AC614" s="71" t="e">
        <f>#REF!+AB614</f>
        <v>#REF!</v>
      </c>
      <c r="AD614" s="72" t="e">
        <f>-#REF!</f>
        <v>#REF!</v>
      </c>
      <c r="AE614" s="72" t="e">
        <f>-#REF!+$AD614</f>
        <v>#REF!</v>
      </c>
      <c r="AF614" s="71" t="e">
        <f>#REF!</f>
        <v>#REF!</v>
      </c>
    </row>
    <row r="615" spans="27:32" x14ac:dyDescent="0.25">
      <c r="AA615" s="71" t="e">
        <f>#REF!</f>
        <v>#REF!</v>
      </c>
      <c r="AB615" s="71" t="e">
        <f>#REF!</f>
        <v>#REF!</v>
      </c>
      <c r="AC615" s="71" t="e">
        <f>#REF!+AB615</f>
        <v>#REF!</v>
      </c>
      <c r="AD615" s="72" t="e">
        <f>-#REF!</f>
        <v>#REF!</v>
      </c>
      <c r="AE615" s="72" t="e">
        <f>-#REF!+$AD615</f>
        <v>#REF!</v>
      </c>
      <c r="AF615" s="71" t="e">
        <f>#REF!</f>
        <v>#REF!</v>
      </c>
    </row>
    <row r="616" spans="27:32" x14ac:dyDescent="0.25">
      <c r="AA616" s="71" t="e">
        <f>#REF!</f>
        <v>#REF!</v>
      </c>
      <c r="AB616" s="71" t="e">
        <f>#REF!</f>
        <v>#REF!</v>
      </c>
      <c r="AC616" s="71" t="e">
        <f>#REF!+AB616</f>
        <v>#REF!</v>
      </c>
      <c r="AD616" s="72" t="e">
        <f>-#REF!</f>
        <v>#REF!</v>
      </c>
      <c r="AE616" s="72" t="e">
        <f>-#REF!+$AD616</f>
        <v>#REF!</v>
      </c>
      <c r="AF616" s="71" t="e">
        <f>#REF!</f>
        <v>#REF!</v>
      </c>
    </row>
    <row r="617" spans="27:32" x14ac:dyDescent="0.25">
      <c r="AA617" s="71" t="e">
        <f>#REF!</f>
        <v>#REF!</v>
      </c>
      <c r="AB617" s="71" t="e">
        <f>#REF!</f>
        <v>#REF!</v>
      </c>
      <c r="AC617" s="71" t="e">
        <f>#REF!+AB617</f>
        <v>#REF!</v>
      </c>
      <c r="AD617" s="72" t="e">
        <f>-#REF!</f>
        <v>#REF!</v>
      </c>
      <c r="AE617" s="72" t="e">
        <f>-#REF!+$AD617</f>
        <v>#REF!</v>
      </c>
      <c r="AF617" s="71" t="e">
        <f>#REF!</f>
        <v>#REF!</v>
      </c>
    </row>
    <row r="618" spans="27:32" x14ac:dyDescent="0.25">
      <c r="AA618" s="71" t="e">
        <f>#REF!</f>
        <v>#REF!</v>
      </c>
      <c r="AB618" s="71" t="e">
        <f>#REF!</f>
        <v>#REF!</v>
      </c>
      <c r="AC618" s="71" t="e">
        <f>#REF!+AB618</f>
        <v>#REF!</v>
      </c>
      <c r="AD618" s="72" t="e">
        <f>-#REF!</f>
        <v>#REF!</v>
      </c>
      <c r="AE618" s="72" t="e">
        <f>-#REF!+$AD618</f>
        <v>#REF!</v>
      </c>
      <c r="AF618" s="71" t="e">
        <f>#REF!</f>
        <v>#REF!</v>
      </c>
    </row>
    <row r="619" spans="27:32" x14ac:dyDescent="0.25">
      <c r="AA619" s="71" t="e">
        <f>#REF!</f>
        <v>#REF!</v>
      </c>
      <c r="AB619" s="71" t="e">
        <f>#REF!</f>
        <v>#REF!</v>
      </c>
      <c r="AC619" s="71" t="e">
        <f>#REF!+AB619</f>
        <v>#REF!</v>
      </c>
      <c r="AD619" s="72" t="e">
        <f>-#REF!</f>
        <v>#REF!</v>
      </c>
      <c r="AE619" s="72" t="e">
        <f>-#REF!+$AD619</f>
        <v>#REF!</v>
      </c>
      <c r="AF619" s="71" t="e">
        <f>#REF!</f>
        <v>#REF!</v>
      </c>
    </row>
    <row r="620" spans="27:32" x14ac:dyDescent="0.25">
      <c r="AA620" s="71" t="e">
        <f>#REF!</f>
        <v>#REF!</v>
      </c>
      <c r="AB620" s="71" t="e">
        <f>#REF!</f>
        <v>#REF!</v>
      </c>
      <c r="AC620" s="71" t="e">
        <f>#REF!+AB620</f>
        <v>#REF!</v>
      </c>
      <c r="AD620" s="72" t="e">
        <f>-#REF!</f>
        <v>#REF!</v>
      </c>
      <c r="AE620" s="72" t="e">
        <f>-#REF!+$AD620</f>
        <v>#REF!</v>
      </c>
      <c r="AF620" s="71" t="e">
        <f>#REF!</f>
        <v>#REF!</v>
      </c>
    </row>
    <row r="621" spans="27:32" x14ac:dyDescent="0.25">
      <c r="AA621" s="71" t="e">
        <f>#REF!</f>
        <v>#REF!</v>
      </c>
      <c r="AB621" s="71" t="e">
        <f>#REF!</f>
        <v>#REF!</v>
      </c>
      <c r="AC621" s="71" t="e">
        <f>#REF!+AB621</f>
        <v>#REF!</v>
      </c>
      <c r="AD621" s="72" t="e">
        <f>-#REF!</f>
        <v>#REF!</v>
      </c>
      <c r="AE621" s="72" t="e">
        <f>-#REF!+$AD621</f>
        <v>#REF!</v>
      </c>
      <c r="AF621" s="71" t="e">
        <f>#REF!</f>
        <v>#REF!</v>
      </c>
    </row>
    <row r="622" spans="27:32" x14ac:dyDescent="0.25">
      <c r="AA622" s="71" t="e">
        <f>#REF!</f>
        <v>#REF!</v>
      </c>
      <c r="AB622" s="71" t="e">
        <f>#REF!</f>
        <v>#REF!</v>
      </c>
      <c r="AC622" s="71" t="e">
        <f>#REF!+AB622</f>
        <v>#REF!</v>
      </c>
      <c r="AD622" s="72" t="e">
        <f>-#REF!</f>
        <v>#REF!</v>
      </c>
      <c r="AE622" s="72" t="e">
        <f>-#REF!+$AD622</f>
        <v>#REF!</v>
      </c>
      <c r="AF622" s="71" t="e">
        <f>#REF!</f>
        <v>#REF!</v>
      </c>
    </row>
    <row r="623" spans="27:32" x14ac:dyDescent="0.25">
      <c r="AA623" s="71" t="e">
        <f>#REF!</f>
        <v>#REF!</v>
      </c>
      <c r="AB623" s="71" t="e">
        <f>#REF!</f>
        <v>#REF!</v>
      </c>
      <c r="AC623" s="71" t="e">
        <f>#REF!+AB623</f>
        <v>#REF!</v>
      </c>
      <c r="AD623" s="72" t="e">
        <f>-#REF!</f>
        <v>#REF!</v>
      </c>
      <c r="AE623" s="72" t="e">
        <f>-#REF!+$AD623</f>
        <v>#REF!</v>
      </c>
      <c r="AF623" s="71" t="e">
        <f>#REF!</f>
        <v>#REF!</v>
      </c>
    </row>
    <row r="624" spans="27:32" x14ac:dyDescent="0.25">
      <c r="AA624" s="71" t="e">
        <f>#REF!</f>
        <v>#REF!</v>
      </c>
      <c r="AB624" s="71" t="e">
        <f>#REF!</f>
        <v>#REF!</v>
      </c>
      <c r="AC624" s="71" t="e">
        <f>#REF!+AB624</f>
        <v>#REF!</v>
      </c>
      <c r="AD624" s="72" t="e">
        <f>-#REF!</f>
        <v>#REF!</v>
      </c>
      <c r="AE624" s="72" t="e">
        <f>-#REF!+$AD624</f>
        <v>#REF!</v>
      </c>
      <c r="AF624" s="71" t="e">
        <f>#REF!</f>
        <v>#REF!</v>
      </c>
    </row>
    <row r="625" spans="27:32" x14ac:dyDescent="0.25">
      <c r="AA625" s="71" t="e">
        <f>#REF!</f>
        <v>#REF!</v>
      </c>
      <c r="AB625" s="71" t="e">
        <f>#REF!</f>
        <v>#REF!</v>
      </c>
      <c r="AC625" s="71" t="e">
        <f>#REF!+AB625</f>
        <v>#REF!</v>
      </c>
      <c r="AD625" s="72" t="e">
        <f>-#REF!</f>
        <v>#REF!</v>
      </c>
      <c r="AE625" s="72" t="e">
        <f>-#REF!+$AD625</f>
        <v>#REF!</v>
      </c>
      <c r="AF625" s="71" t="e">
        <f>#REF!</f>
        <v>#REF!</v>
      </c>
    </row>
    <row r="626" spans="27:32" x14ac:dyDescent="0.25">
      <c r="AA626" s="71" t="e">
        <f>#REF!</f>
        <v>#REF!</v>
      </c>
      <c r="AB626" s="71" t="e">
        <f>#REF!</f>
        <v>#REF!</v>
      </c>
      <c r="AC626" s="71" t="e">
        <f>#REF!+AB626</f>
        <v>#REF!</v>
      </c>
      <c r="AD626" s="72" t="e">
        <f>-#REF!</f>
        <v>#REF!</v>
      </c>
      <c r="AE626" s="72" t="e">
        <f>-#REF!+$AD626</f>
        <v>#REF!</v>
      </c>
      <c r="AF626" s="71" t="e">
        <f>#REF!</f>
        <v>#REF!</v>
      </c>
    </row>
    <row r="627" spans="27:32" x14ac:dyDescent="0.25">
      <c r="AA627" s="71" t="e">
        <f>#REF!</f>
        <v>#REF!</v>
      </c>
      <c r="AB627" s="71" t="e">
        <f>#REF!</f>
        <v>#REF!</v>
      </c>
      <c r="AC627" s="71" t="e">
        <f>#REF!+AB627</f>
        <v>#REF!</v>
      </c>
      <c r="AD627" s="72" t="e">
        <f>-#REF!</f>
        <v>#REF!</v>
      </c>
      <c r="AE627" s="72" t="e">
        <f>-#REF!+$AD627</f>
        <v>#REF!</v>
      </c>
      <c r="AF627" s="71" t="e">
        <f>#REF!</f>
        <v>#REF!</v>
      </c>
    </row>
    <row r="628" spans="27:32" x14ac:dyDescent="0.25">
      <c r="AA628" s="71" t="e">
        <f>#REF!</f>
        <v>#REF!</v>
      </c>
      <c r="AB628" s="71" t="e">
        <f>#REF!</f>
        <v>#REF!</v>
      </c>
      <c r="AC628" s="71" t="e">
        <f>#REF!+AB628</f>
        <v>#REF!</v>
      </c>
      <c r="AD628" s="72" t="e">
        <f>-#REF!</f>
        <v>#REF!</v>
      </c>
      <c r="AE628" s="72" t="e">
        <f>-#REF!+$AD628</f>
        <v>#REF!</v>
      </c>
      <c r="AF628" s="71" t="e">
        <f>#REF!</f>
        <v>#REF!</v>
      </c>
    </row>
    <row r="629" spans="27:32" x14ac:dyDescent="0.25">
      <c r="AA629" s="71" t="e">
        <f>#REF!</f>
        <v>#REF!</v>
      </c>
      <c r="AB629" s="71" t="e">
        <f>#REF!</f>
        <v>#REF!</v>
      </c>
      <c r="AC629" s="71" t="e">
        <f>#REF!+AB629</f>
        <v>#REF!</v>
      </c>
      <c r="AD629" s="72" t="e">
        <f>-#REF!</f>
        <v>#REF!</v>
      </c>
      <c r="AE629" s="72" t="e">
        <f>-#REF!+$AD629</f>
        <v>#REF!</v>
      </c>
      <c r="AF629" s="71" t="e">
        <f>#REF!</f>
        <v>#REF!</v>
      </c>
    </row>
    <row r="630" spans="27:32" x14ac:dyDescent="0.25">
      <c r="AA630" s="71" t="e">
        <f>#REF!</f>
        <v>#REF!</v>
      </c>
      <c r="AB630" s="71" t="e">
        <f>#REF!</f>
        <v>#REF!</v>
      </c>
      <c r="AC630" s="71" t="e">
        <f>#REF!+AB630</f>
        <v>#REF!</v>
      </c>
      <c r="AD630" s="72" t="e">
        <f>-#REF!</f>
        <v>#REF!</v>
      </c>
      <c r="AE630" s="72" t="e">
        <f>-#REF!+$AD630</f>
        <v>#REF!</v>
      </c>
      <c r="AF630" s="71" t="e">
        <f>#REF!</f>
        <v>#REF!</v>
      </c>
    </row>
    <row r="631" spans="27:32" x14ac:dyDescent="0.25">
      <c r="AA631" s="71" t="e">
        <f>#REF!</f>
        <v>#REF!</v>
      </c>
      <c r="AB631" s="71" t="e">
        <f>#REF!</f>
        <v>#REF!</v>
      </c>
      <c r="AC631" s="71" t="e">
        <f>#REF!+AB631</f>
        <v>#REF!</v>
      </c>
      <c r="AD631" s="72" t="e">
        <f>-#REF!</f>
        <v>#REF!</v>
      </c>
      <c r="AE631" s="72" t="e">
        <f>-#REF!+$AD631</f>
        <v>#REF!</v>
      </c>
      <c r="AF631" s="71" t="e">
        <f>#REF!</f>
        <v>#REF!</v>
      </c>
    </row>
    <row r="632" spans="27:32" x14ac:dyDescent="0.25">
      <c r="AA632" s="71" t="e">
        <f>#REF!</f>
        <v>#REF!</v>
      </c>
      <c r="AB632" s="71" t="e">
        <f>#REF!</f>
        <v>#REF!</v>
      </c>
      <c r="AC632" s="71" t="e">
        <f>#REF!+AB632</f>
        <v>#REF!</v>
      </c>
      <c r="AD632" s="72" t="e">
        <f>-#REF!</f>
        <v>#REF!</v>
      </c>
      <c r="AE632" s="72" t="e">
        <f>-#REF!+$AD632</f>
        <v>#REF!</v>
      </c>
      <c r="AF632" s="71" t="e">
        <f>#REF!</f>
        <v>#REF!</v>
      </c>
    </row>
    <row r="633" spans="27:32" x14ac:dyDescent="0.25">
      <c r="AA633" s="71" t="e">
        <f>#REF!</f>
        <v>#REF!</v>
      </c>
      <c r="AB633" s="71" t="e">
        <f>#REF!</f>
        <v>#REF!</v>
      </c>
      <c r="AC633" s="71" t="e">
        <f>#REF!+AB633</f>
        <v>#REF!</v>
      </c>
      <c r="AD633" s="72" t="e">
        <f>-#REF!</f>
        <v>#REF!</v>
      </c>
      <c r="AE633" s="72" t="e">
        <f>-#REF!+$AD633</f>
        <v>#REF!</v>
      </c>
      <c r="AF633" s="71" t="e">
        <f>#REF!</f>
        <v>#REF!</v>
      </c>
    </row>
    <row r="634" spans="27:32" x14ac:dyDescent="0.25">
      <c r="AA634" s="71" t="e">
        <f>#REF!</f>
        <v>#REF!</v>
      </c>
      <c r="AB634" s="71" t="e">
        <f>#REF!</f>
        <v>#REF!</v>
      </c>
      <c r="AC634" s="71" t="e">
        <f>#REF!+AB634</f>
        <v>#REF!</v>
      </c>
      <c r="AD634" s="72" t="e">
        <f>-#REF!</f>
        <v>#REF!</v>
      </c>
      <c r="AE634" s="72" t="e">
        <f>-#REF!+$AD634</f>
        <v>#REF!</v>
      </c>
      <c r="AF634" s="71" t="e">
        <f>#REF!</f>
        <v>#REF!</v>
      </c>
    </row>
    <row r="635" spans="27:32" x14ac:dyDescent="0.25">
      <c r="AA635" s="71" t="e">
        <f>#REF!</f>
        <v>#REF!</v>
      </c>
      <c r="AB635" s="71" t="e">
        <f>#REF!</f>
        <v>#REF!</v>
      </c>
      <c r="AC635" s="71" t="e">
        <f>#REF!+AB635</f>
        <v>#REF!</v>
      </c>
      <c r="AD635" s="72" t="e">
        <f>-#REF!</f>
        <v>#REF!</v>
      </c>
      <c r="AE635" s="72" t="e">
        <f>-#REF!+$AD635</f>
        <v>#REF!</v>
      </c>
      <c r="AF635" s="71" t="e">
        <f>#REF!</f>
        <v>#REF!</v>
      </c>
    </row>
    <row r="636" spans="27:32" x14ac:dyDescent="0.25">
      <c r="AA636" s="71" t="e">
        <f>#REF!</f>
        <v>#REF!</v>
      </c>
      <c r="AB636" s="71" t="e">
        <f>#REF!</f>
        <v>#REF!</v>
      </c>
      <c r="AC636" s="71" t="e">
        <f>#REF!+AB636</f>
        <v>#REF!</v>
      </c>
      <c r="AD636" s="72" t="e">
        <f>-#REF!</f>
        <v>#REF!</v>
      </c>
      <c r="AE636" s="72" t="e">
        <f>-#REF!+$AD636</f>
        <v>#REF!</v>
      </c>
      <c r="AF636" s="71" t="e">
        <f>#REF!</f>
        <v>#REF!</v>
      </c>
    </row>
    <row r="637" spans="27:32" x14ac:dyDescent="0.25">
      <c r="AA637" s="71" t="e">
        <f>#REF!</f>
        <v>#REF!</v>
      </c>
      <c r="AB637" s="71" t="e">
        <f>#REF!</f>
        <v>#REF!</v>
      </c>
      <c r="AC637" s="71" t="e">
        <f>#REF!+AB637</f>
        <v>#REF!</v>
      </c>
      <c r="AD637" s="72" t="e">
        <f>-#REF!</f>
        <v>#REF!</v>
      </c>
      <c r="AE637" s="72" t="e">
        <f>-#REF!+$AD637</f>
        <v>#REF!</v>
      </c>
      <c r="AF637" s="71" t="e">
        <f>#REF!</f>
        <v>#REF!</v>
      </c>
    </row>
    <row r="638" spans="27:32" x14ac:dyDescent="0.25">
      <c r="AA638" s="71" t="e">
        <f>#REF!</f>
        <v>#REF!</v>
      </c>
      <c r="AB638" s="71" t="e">
        <f>#REF!</f>
        <v>#REF!</v>
      </c>
      <c r="AC638" s="71" t="e">
        <f>#REF!+AB638</f>
        <v>#REF!</v>
      </c>
      <c r="AD638" s="72" t="e">
        <f>-#REF!</f>
        <v>#REF!</v>
      </c>
      <c r="AE638" s="72" t="e">
        <f>-#REF!+$AD638</f>
        <v>#REF!</v>
      </c>
      <c r="AF638" s="71" t="e">
        <f>#REF!</f>
        <v>#REF!</v>
      </c>
    </row>
    <row r="639" spans="27:32" x14ac:dyDescent="0.25">
      <c r="AA639" s="71" t="e">
        <f>#REF!</f>
        <v>#REF!</v>
      </c>
      <c r="AB639" s="71" t="e">
        <f>#REF!</f>
        <v>#REF!</v>
      </c>
      <c r="AC639" s="71" t="e">
        <f>#REF!+AB639</f>
        <v>#REF!</v>
      </c>
      <c r="AD639" s="72" t="e">
        <f>-#REF!</f>
        <v>#REF!</v>
      </c>
      <c r="AE639" s="72" t="e">
        <f>-#REF!+$AD639</f>
        <v>#REF!</v>
      </c>
      <c r="AF639" s="71" t="e">
        <f>#REF!</f>
        <v>#REF!</v>
      </c>
    </row>
    <row r="640" spans="27:32" x14ac:dyDescent="0.25">
      <c r="AA640" s="71" t="e">
        <f>#REF!</f>
        <v>#REF!</v>
      </c>
      <c r="AB640" s="71" t="e">
        <f>#REF!</f>
        <v>#REF!</v>
      </c>
      <c r="AC640" s="71" t="e">
        <f>#REF!+AB640</f>
        <v>#REF!</v>
      </c>
      <c r="AD640" s="72" t="e">
        <f>-#REF!</f>
        <v>#REF!</v>
      </c>
      <c r="AE640" s="72" t="e">
        <f>-#REF!+$AD640</f>
        <v>#REF!</v>
      </c>
      <c r="AF640" s="71" t="e">
        <f>#REF!</f>
        <v>#REF!</v>
      </c>
    </row>
    <row r="641" spans="27:32" x14ac:dyDescent="0.25">
      <c r="AA641" s="71" t="e">
        <f>#REF!</f>
        <v>#REF!</v>
      </c>
      <c r="AB641" s="71" t="e">
        <f>#REF!</f>
        <v>#REF!</v>
      </c>
      <c r="AC641" s="71" t="e">
        <f>#REF!+AB641</f>
        <v>#REF!</v>
      </c>
      <c r="AD641" s="72" t="e">
        <f>-#REF!</f>
        <v>#REF!</v>
      </c>
      <c r="AE641" s="72" t="e">
        <f>-#REF!+$AD641</f>
        <v>#REF!</v>
      </c>
      <c r="AF641" s="71" t="e">
        <f>#REF!</f>
        <v>#REF!</v>
      </c>
    </row>
    <row r="642" spans="27:32" x14ac:dyDescent="0.25">
      <c r="AA642" s="71" t="e">
        <f>#REF!</f>
        <v>#REF!</v>
      </c>
      <c r="AB642" s="71" t="e">
        <f>#REF!</f>
        <v>#REF!</v>
      </c>
      <c r="AC642" s="71" t="e">
        <f>#REF!+AB642</f>
        <v>#REF!</v>
      </c>
      <c r="AD642" s="72" t="e">
        <f>-#REF!</f>
        <v>#REF!</v>
      </c>
      <c r="AE642" s="72" t="e">
        <f>-#REF!+$AD642</f>
        <v>#REF!</v>
      </c>
      <c r="AF642" s="71" t="e">
        <f>#REF!</f>
        <v>#REF!</v>
      </c>
    </row>
    <row r="643" spans="27:32" x14ac:dyDescent="0.25">
      <c r="AA643" s="71" t="e">
        <f>#REF!</f>
        <v>#REF!</v>
      </c>
      <c r="AB643" s="71" t="e">
        <f>#REF!</f>
        <v>#REF!</v>
      </c>
      <c r="AC643" s="71" t="e">
        <f>#REF!+AB643</f>
        <v>#REF!</v>
      </c>
      <c r="AD643" s="72" t="e">
        <f>-#REF!</f>
        <v>#REF!</v>
      </c>
      <c r="AE643" s="72" t="e">
        <f>-#REF!+$AD643</f>
        <v>#REF!</v>
      </c>
      <c r="AF643" s="71" t="e">
        <f>#REF!</f>
        <v>#REF!</v>
      </c>
    </row>
    <row r="644" spans="27:32" x14ac:dyDescent="0.25">
      <c r="AA644" s="71" t="e">
        <f>#REF!</f>
        <v>#REF!</v>
      </c>
      <c r="AB644" s="71" t="e">
        <f>#REF!</f>
        <v>#REF!</v>
      </c>
      <c r="AC644" s="71" t="e">
        <f>#REF!+AB644</f>
        <v>#REF!</v>
      </c>
      <c r="AD644" s="72" t="e">
        <f>-#REF!</f>
        <v>#REF!</v>
      </c>
      <c r="AE644" s="72" t="e">
        <f>-#REF!+$AD644</f>
        <v>#REF!</v>
      </c>
      <c r="AF644" s="71" t="e">
        <f>#REF!</f>
        <v>#REF!</v>
      </c>
    </row>
    <row r="645" spans="27:32" x14ac:dyDescent="0.25">
      <c r="AA645" s="71" t="e">
        <f>#REF!</f>
        <v>#REF!</v>
      </c>
      <c r="AB645" s="71" t="e">
        <f>#REF!</f>
        <v>#REF!</v>
      </c>
      <c r="AC645" s="71" t="e">
        <f>#REF!+AB645</f>
        <v>#REF!</v>
      </c>
      <c r="AD645" s="72" t="e">
        <f>-#REF!</f>
        <v>#REF!</v>
      </c>
      <c r="AE645" s="72" t="e">
        <f>-#REF!+$AD645</f>
        <v>#REF!</v>
      </c>
      <c r="AF645" s="71" t="e">
        <f>#REF!</f>
        <v>#REF!</v>
      </c>
    </row>
    <row r="646" spans="27:32" x14ac:dyDescent="0.25">
      <c r="AA646" s="71" t="e">
        <f>#REF!</f>
        <v>#REF!</v>
      </c>
      <c r="AB646" s="71" t="e">
        <f>#REF!</f>
        <v>#REF!</v>
      </c>
      <c r="AC646" s="71" t="e">
        <f>#REF!+AB646</f>
        <v>#REF!</v>
      </c>
      <c r="AD646" s="72" t="e">
        <f>-#REF!</f>
        <v>#REF!</v>
      </c>
      <c r="AE646" s="72" t="e">
        <f>-#REF!+$AD646</f>
        <v>#REF!</v>
      </c>
      <c r="AF646" s="71" t="e">
        <f>#REF!</f>
        <v>#REF!</v>
      </c>
    </row>
    <row r="647" spans="27:32" x14ac:dyDescent="0.25">
      <c r="AA647" s="71" t="e">
        <f>#REF!</f>
        <v>#REF!</v>
      </c>
      <c r="AB647" s="71" t="e">
        <f>#REF!</f>
        <v>#REF!</v>
      </c>
      <c r="AC647" s="71" t="e">
        <f>#REF!+AB647</f>
        <v>#REF!</v>
      </c>
      <c r="AD647" s="72" t="e">
        <f>-#REF!</f>
        <v>#REF!</v>
      </c>
      <c r="AE647" s="72" t="e">
        <f>-#REF!+$AD647</f>
        <v>#REF!</v>
      </c>
      <c r="AF647" s="71" t="e">
        <f>#REF!</f>
        <v>#REF!</v>
      </c>
    </row>
    <row r="648" spans="27:32" x14ac:dyDescent="0.25">
      <c r="AA648" s="71" t="e">
        <f>#REF!</f>
        <v>#REF!</v>
      </c>
      <c r="AB648" s="71" t="e">
        <f>#REF!</f>
        <v>#REF!</v>
      </c>
      <c r="AC648" s="71" t="e">
        <f>#REF!+AB648</f>
        <v>#REF!</v>
      </c>
      <c r="AD648" s="72" t="e">
        <f>-#REF!</f>
        <v>#REF!</v>
      </c>
      <c r="AE648" s="72" t="e">
        <f>-#REF!+$AD648</f>
        <v>#REF!</v>
      </c>
      <c r="AF648" s="71" t="e">
        <f>#REF!</f>
        <v>#REF!</v>
      </c>
    </row>
    <row r="649" spans="27:32" x14ac:dyDescent="0.25">
      <c r="AA649" s="71" t="e">
        <f>#REF!</f>
        <v>#REF!</v>
      </c>
      <c r="AB649" s="71" t="e">
        <f>#REF!</f>
        <v>#REF!</v>
      </c>
      <c r="AC649" s="71" t="e">
        <f>#REF!+AB649</f>
        <v>#REF!</v>
      </c>
      <c r="AD649" s="72" t="e">
        <f>-#REF!</f>
        <v>#REF!</v>
      </c>
      <c r="AE649" s="72" t="e">
        <f>-#REF!+$AD649</f>
        <v>#REF!</v>
      </c>
      <c r="AF649" s="71" t="e">
        <f>#REF!</f>
        <v>#REF!</v>
      </c>
    </row>
    <row r="650" spans="27:32" x14ac:dyDescent="0.25">
      <c r="AA650" s="71" t="e">
        <f>#REF!</f>
        <v>#REF!</v>
      </c>
      <c r="AB650" s="71" t="e">
        <f>#REF!</f>
        <v>#REF!</v>
      </c>
      <c r="AC650" s="71" t="e">
        <f>#REF!+AB650</f>
        <v>#REF!</v>
      </c>
      <c r="AD650" s="72" t="e">
        <f>-#REF!</f>
        <v>#REF!</v>
      </c>
      <c r="AE650" s="72" t="e">
        <f>-#REF!+$AD650</f>
        <v>#REF!</v>
      </c>
      <c r="AF650" s="71" t="e">
        <f>#REF!</f>
        <v>#REF!</v>
      </c>
    </row>
    <row r="651" spans="27:32" x14ac:dyDescent="0.25">
      <c r="AA651" s="71" t="e">
        <f>#REF!</f>
        <v>#REF!</v>
      </c>
      <c r="AB651" s="71" t="e">
        <f>#REF!</f>
        <v>#REF!</v>
      </c>
      <c r="AC651" s="71" t="e">
        <f>#REF!+AB651</f>
        <v>#REF!</v>
      </c>
      <c r="AD651" s="72" t="e">
        <f>-#REF!</f>
        <v>#REF!</v>
      </c>
      <c r="AE651" s="72" t="e">
        <f>-#REF!+$AD651</f>
        <v>#REF!</v>
      </c>
      <c r="AF651" s="71" t="e">
        <f>#REF!</f>
        <v>#REF!</v>
      </c>
    </row>
    <row r="652" spans="27:32" x14ac:dyDescent="0.25">
      <c r="AA652" s="71" t="e">
        <f>#REF!</f>
        <v>#REF!</v>
      </c>
      <c r="AB652" s="71" t="e">
        <f>#REF!</f>
        <v>#REF!</v>
      </c>
      <c r="AC652" s="71" t="e">
        <f>#REF!+AB652</f>
        <v>#REF!</v>
      </c>
      <c r="AD652" s="72" t="e">
        <f>-#REF!</f>
        <v>#REF!</v>
      </c>
      <c r="AE652" s="72" t="e">
        <f>-#REF!+$AD652</f>
        <v>#REF!</v>
      </c>
      <c r="AF652" s="71" t="e">
        <f>#REF!</f>
        <v>#REF!</v>
      </c>
    </row>
    <row r="653" spans="27:32" x14ac:dyDescent="0.25">
      <c r="AA653" s="71" t="e">
        <f>#REF!</f>
        <v>#REF!</v>
      </c>
      <c r="AB653" s="71" t="e">
        <f>#REF!</f>
        <v>#REF!</v>
      </c>
      <c r="AC653" s="71" t="e">
        <f>#REF!+AB653</f>
        <v>#REF!</v>
      </c>
      <c r="AD653" s="72" t="e">
        <f>-#REF!</f>
        <v>#REF!</v>
      </c>
      <c r="AE653" s="72" t="e">
        <f>-#REF!+$AD653</f>
        <v>#REF!</v>
      </c>
      <c r="AF653" s="71" t="e">
        <f>#REF!</f>
        <v>#REF!</v>
      </c>
    </row>
    <row r="654" spans="27:32" x14ac:dyDescent="0.25">
      <c r="AA654" s="71" t="e">
        <f>#REF!</f>
        <v>#REF!</v>
      </c>
      <c r="AB654" s="71" t="e">
        <f>#REF!</f>
        <v>#REF!</v>
      </c>
      <c r="AC654" s="71" t="e">
        <f>#REF!+AB654</f>
        <v>#REF!</v>
      </c>
      <c r="AD654" s="72" t="e">
        <f>-#REF!</f>
        <v>#REF!</v>
      </c>
      <c r="AE654" s="72" t="e">
        <f>-#REF!+$AD654</f>
        <v>#REF!</v>
      </c>
      <c r="AF654" s="71" t="e">
        <f>#REF!</f>
        <v>#REF!</v>
      </c>
    </row>
    <row r="655" spans="27:32" x14ac:dyDescent="0.25">
      <c r="AA655" s="71" t="e">
        <f>#REF!</f>
        <v>#REF!</v>
      </c>
      <c r="AB655" s="71" t="e">
        <f>#REF!</f>
        <v>#REF!</v>
      </c>
      <c r="AC655" s="71" t="e">
        <f>#REF!+AB655</f>
        <v>#REF!</v>
      </c>
      <c r="AD655" s="72" t="e">
        <f>-#REF!</f>
        <v>#REF!</v>
      </c>
      <c r="AE655" s="72" t="e">
        <f>-#REF!+$AD655</f>
        <v>#REF!</v>
      </c>
      <c r="AF655" s="71" t="e">
        <f>#REF!</f>
        <v>#REF!</v>
      </c>
    </row>
    <row r="656" spans="27:32" x14ac:dyDescent="0.25">
      <c r="AA656" s="71" t="e">
        <f>#REF!</f>
        <v>#REF!</v>
      </c>
      <c r="AB656" s="71" t="e">
        <f>#REF!</f>
        <v>#REF!</v>
      </c>
      <c r="AC656" s="71" t="e">
        <f>#REF!+AB656</f>
        <v>#REF!</v>
      </c>
      <c r="AD656" s="72" t="e">
        <f>-#REF!</f>
        <v>#REF!</v>
      </c>
      <c r="AE656" s="72" t="e">
        <f>-#REF!+$AD656</f>
        <v>#REF!</v>
      </c>
      <c r="AF656" s="71" t="e">
        <f>#REF!</f>
        <v>#REF!</v>
      </c>
    </row>
    <row r="657" spans="27:32" x14ac:dyDescent="0.25">
      <c r="AA657" s="71" t="e">
        <f>#REF!</f>
        <v>#REF!</v>
      </c>
      <c r="AB657" s="71" t="e">
        <f>#REF!</f>
        <v>#REF!</v>
      </c>
      <c r="AC657" s="71" t="e">
        <f>#REF!+AB657</f>
        <v>#REF!</v>
      </c>
      <c r="AD657" s="72" t="e">
        <f>-#REF!</f>
        <v>#REF!</v>
      </c>
      <c r="AE657" s="72" t="e">
        <f>-#REF!+$AD657</f>
        <v>#REF!</v>
      </c>
      <c r="AF657" s="71" t="e">
        <f>#REF!</f>
        <v>#REF!</v>
      </c>
    </row>
    <row r="658" spans="27:32" x14ac:dyDescent="0.25">
      <c r="AA658" s="71" t="e">
        <f>#REF!</f>
        <v>#REF!</v>
      </c>
      <c r="AB658" s="71" t="e">
        <f>#REF!</f>
        <v>#REF!</v>
      </c>
      <c r="AC658" s="71" t="e">
        <f>#REF!+AB658</f>
        <v>#REF!</v>
      </c>
      <c r="AD658" s="72" t="e">
        <f>-#REF!</f>
        <v>#REF!</v>
      </c>
      <c r="AE658" s="72" t="e">
        <f>-#REF!+$AD658</f>
        <v>#REF!</v>
      </c>
      <c r="AF658" s="71" t="e">
        <f>#REF!</f>
        <v>#REF!</v>
      </c>
    </row>
    <row r="659" spans="27:32" x14ac:dyDescent="0.25">
      <c r="AA659" s="71" t="e">
        <f>#REF!</f>
        <v>#REF!</v>
      </c>
      <c r="AB659" s="71" t="e">
        <f>#REF!</f>
        <v>#REF!</v>
      </c>
      <c r="AC659" s="71" t="e">
        <f>#REF!+AB659</f>
        <v>#REF!</v>
      </c>
      <c r="AD659" s="72" t="e">
        <f>-#REF!</f>
        <v>#REF!</v>
      </c>
      <c r="AE659" s="72" t="e">
        <f>-#REF!+$AD659</f>
        <v>#REF!</v>
      </c>
      <c r="AF659" s="71" t="e">
        <f>#REF!</f>
        <v>#REF!</v>
      </c>
    </row>
    <row r="660" spans="27:32" x14ac:dyDescent="0.25">
      <c r="AA660" s="71" t="e">
        <f>#REF!</f>
        <v>#REF!</v>
      </c>
      <c r="AB660" s="71" t="e">
        <f>#REF!</f>
        <v>#REF!</v>
      </c>
      <c r="AC660" s="71" t="e">
        <f>#REF!+AB660</f>
        <v>#REF!</v>
      </c>
      <c r="AD660" s="72" t="e">
        <f>-#REF!</f>
        <v>#REF!</v>
      </c>
      <c r="AE660" s="72" t="e">
        <f>-#REF!+$AD660</f>
        <v>#REF!</v>
      </c>
      <c r="AF660" s="71" t="e">
        <f>#REF!</f>
        <v>#REF!</v>
      </c>
    </row>
    <row r="661" spans="27:32" x14ac:dyDescent="0.25">
      <c r="AA661" s="71" t="e">
        <f>#REF!</f>
        <v>#REF!</v>
      </c>
      <c r="AB661" s="71" t="e">
        <f>#REF!</f>
        <v>#REF!</v>
      </c>
      <c r="AC661" s="71" t="e">
        <f>#REF!+AB661</f>
        <v>#REF!</v>
      </c>
      <c r="AD661" s="72" t="e">
        <f>-#REF!</f>
        <v>#REF!</v>
      </c>
      <c r="AE661" s="72" t="e">
        <f>-#REF!+$AD661</f>
        <v>#REF!</v>
      </c>
      <c r="AF661" s="71" t="e">
        <f>#REF!</f>
        <v>#REF!</v>
      </c>
    </row>
    <row r="662" spans="27:32" x14ac:dyDescent="0.25">
      <c r="AA662" s="71" t="e">
        <f>#REF!</f>
        <v>#REF!</v>
      </c>
      <c r="AB662" s="71" t="e">
        <f>#REF!</f>
        <v>#REF!</v>
      </c>
      <c r="AC662" s="71" t="e">
        <f>#REF!+AB662</f>
        <v>#REF!</v>
      </c>
      <c r="AD662" s="72" t="e">
        <f>-#REF!</f>
        <v>#REF!</v>
      </c>
      <c r="AE662" s="72" t="e">
        <f>-#REF!+$AD662</f>
        <v>#REF!</v>
      </c>
      <c r="AF662" s="71" t="e">
        <f>#REF!</f>
        <v>#REF!</v>
      </c>
    </row>
    <row r="663" spans="27:32" x14ac:dyDescent="0.25">
      <c r="AA663" s="71" t="e">
        <f>#REF!</f>
        <v>#REF!</v>
      </c>
      <c r="AB663" s="71" t="e">
        <f>#REF!</f>
        <v>#REF!</v>
      </c>
      <c r="AC663" s="71" t="e">
        <f>#REF!+AB663</f>
        <v>#REF!</v>
      </c>
      <c r="AD663" s="72" t="e">
        <f>-#REF!</f>
        <v>#REF!</v>
      </c>
      <c r="AE663" s="72" t="e">
        <f>-#REF!+$AD663</f>
        <v>#REF!</v>
      </c>
      <c r="AF663" s="71" t="e">
        <f>#REF!</f>
        <v>#REF!</v>
      </c>
    </row>
    <row r="664" spans="27:32" x14ac:dyDescent="0.25">
      <c r="AA664" s="71" t="e">
        <f>#REF!</f>
        <v>#REF!</v>
      </c>
      <c r="AB664" s="71" t="e">
        <f>#REF!</f>
        <v>#REF!</v>
      </c>
      <c r="AC664" s="71" t="e">
        <f>#REF!+AB664</f>
        <v>#REF!</v>
      </c>
      <c r="AD664" s="72" t="e">
        <f>-#REF!</f>
        <v>#REF!</v>
      </c>
      <c r="AE664" s="72" t="e">
        <f>-#REF!+$AD664</f>
        <v>#REF!</v>
      </c>
      <c r="AF664" s="71" t="e">
        <f>#REF!</f>
        <v>#REF!</v>
      </c>
    </row>
    <row r="665" spans="27:32" x14ac:dyDescent="0.25">
      <c r="AA665" s="71" t="e">
        <f>#REF!</f>
        <v>#REF!</v>
      </c>
      <c r="AB665" s="71" t="e">
        <f>#REF!</f>
        <v>#REF!</v>
      </c>
      <c r="AC665" s="71" t="e">
        <f>#REF!+AB665</f>
        <v>#REF!</v>
      </c>
      <c r="AD665" s="72" t="e">
        <f>-#REF!</f>
        <v>#REF!</v>
      </c>
      <c r="AE665" s="72" t="e">
        <f>-#REF!+$AD665</f>
        <v>#REF!</v>
      </c>
      <c r="AF665" s="71" t="e">
        <f>#REF!</f>
        <v>#REF!</v>
      </c>
    </row>
    <row r="666" spans="27:32" x14ac:dyDescent="0.25">
      <c r="AA666" s="71" t="e">
        <f>#REF!</f>
        <v>#REF!</v>
      </c>
      <c r="AB666" s="71" t="e">
        <f>#REF!</f>
        <v>#REF!</v>
      </c>
      <c r="AC666" s="71" t="e">
        <f>#REF!+AB666</f>
        <v>#REF!</v>
      </c>
      <c r="AD666" s="72" t="e">
        <f>-#REF!</f>
        <v>#REF!</v>
      </c>
      <c r="AE666" s="72" t="e">
        <f>-#REF!+$AD666</f>
        <v>#REF!</v>
      </c>
      <c r="AF666" s="71" t="e">
        <f>#REF!</f>
        <v>#REF!</v>
      </c>
    </row>
    <row r="667" spans="27:32" x14ac:dyDescent="0.25">
      <c r="AA667" s="71" t="e">
        <f>#REF!</f>
        <v>#REF!</v>
      </c>
      <c r="AB667" s="71" t="e">
        <f>#REF!</f>
        <v>#REF!</v>
      </c>
      <c r="AC667" s="71" t="e">
        <f>#REF!+AB667</f>
        <v>#REF!</v>
      </c>
      <c r="AD667" s="72" t="e">
        <f>-#REF!</f>
        <v>#REF!</v>
      </c>
      <c r="AE667" s="72" t="e">
        <f>-#REF!+$AD667</f>
        <v>#REF!</v>
      </c>
      <c r="AF667" s="71" t="e">
        <f>#REF!</f>
        <v>#REF!</v>
      </c>
    </row>
    <row r="668" spans="27:32" x14ac:dyDescent="0.25">
      <c r="AA668" s="71" t="e">
        <f>#REF!</f>
        <v>#REF!</v>
      </c>
      <c r="AB668" s="71" t="e">
        <f>#REF!</f>
        <v>#REF!</v>
      </c>
      <c r="AC668" s="71" t="e">
        <f>#REF!+AB668</f>
        <v>#REF!</v>
      </c>
      <c r="AD668" s="72" t="e">
        <f>-#REF!</f>
        <v>#REF!</v>
      </c>
      <c r="AE668" s="72" t="e">
        <f>-#REF!+$AD668</f>
        <v>#REF!</v>
      </c>
      <c r="AF668" s="71" t="e">
        <f>#REF!</f>
        <v>#REF!</v>
      </c>
    </row>
    <row r="669" spans="27:32" x14ac:dyDescent="0.25">
      <c r="AA669" s="71" t="e">
        <f>#REF!</f>
        <v>#REF!</v>
      </c>
      <c r="AB669" s="71" t="e">
        <f>#REF!</f>
        <v>#REF!</v>
      </c>
      <c r="AC669" s="71" t="e">
        <f>#REF!+AB669</f>
        <v>#REF!</v>
      </c>
      <c r="AD669" s="72" t="e">
        <f>-#REF!</f>
        <v>#REF!</v>
      </c>
      <c r="AE669" s="72" t="e">
        <f>-#REF!+$AD669</f>
        <v>#REF!</v>
      </c>
      <c r="AF669" s="71" t="e">
        <f>#REF!</f>
        <v>#REF!</v>
      </c>
    </row>
    <row r="670" spans="27:32" x14ac:dyDescent="0.25">
      <c r="AA670" s="71" t="e">
        <f>#REF!</f>
        <v>#REF!</v>
      </c>
      <c r="AB670" s="71" t="e">
        <f>#REF!</f>
        <v>#REF!</v>
      </c>
      <c r="AC670" s="71" t="e">
        <f>#REF!+AB670</f>
        <v>#REF!</v>
      </c>
      <c r="AD670" s="72" t="e">
        <f>-#REF!</f>
        <v>#REF!</v>
      </c>
      <c r="AE670" s="72" t="e">
        <f>-#REF!+$AD670</f>
        <v>#REF!</v>
      </c>
      <c r="AF670" s="71" t="e">
        <f>#REF!</f>
        <v>#REF!</v>
      </c>
    </row>
    <row r="671" spans="27:32" x14ac:dyDescent="0.25">
      <c r="AA671" s="71" t="e">
        <f>#REF!</f>
        <v>#REF!</v>
      </c>
      <c r="AB671" s="71" t="e">
        <f>#REF!</f>
        <v>#REF!</v>
      </c>
      <c r="AC671" s="71" t="e">
        <f>#REF!+AB671</f>
        <v>#REF!</v>
      </c>
      <c r="AD671" s="72" t="e">
        <f>-#REF!</f>
        <v>#REF!</v>
      </c>
      <c r="AE671" s="72" t="e">
        <f>-#REF!+$AD671</f>
        <v>#REF!</v>
      </c>
      <c r="AF671" s="71" t="e">
        <f>#REF!</f>
        <v>#REF!</v>
      </c>
    </row>
    <row r="672" spans="27:32" x14ac:dyDescent="0.25">
      <c r="AA672" s="71" t="e">
        <f>#REF!</f>
        <v>#REF!</v>
      </c>
      <c r="AB672" s="71" t="e">
        <f>#REF!</f>
        <v>#REF!</v>
      </c>
      <c r="AC672" s="71" t="e">
        <f>#REF!+AB672</f>
        <v>#REF!</v>
      </c>
      <c r="AD672" s="72" t="e">
        <f>-#REF!</f>
        <v>#REF!</v>
      </c>
      <c r="AE672" s="72" t="e">
        <f>-#REF!+$AD672</f>
        <v>#REF!</v>
      </c>
      <c r="AF672" s="71" t="e">
        <f>#REF!</f>
        <v>#REF!</v>
      </c>
    </row>
    <row r="673" spans="27:32" x14ac:dyDescent="0.25">
      <c r="AA673" s="71" t="e">
        <f>#REF!</f>
        <v>#REF!</v>
      </c>
      <c r="AB673" s="71" t="e">
        <f>#REF!</f>
        <v>#REF!</v>
      </c>
      <c r="AC673" s="71" t="e">
        <f>#REF!+AB673</f>
        <v>#REF!</v>
      </c>
      <c r="AD673" s="72" t="e">
        <f>-#REF!</f>
        <v>#REF!</v>
      </c>
      <c r="AE673" s="72" t="e">
        <f>-#REF!+$AD673</f>
        <v>#REF!</v>
      </c>
      <c r="AF673" s="71" t="e">
        <f>#REF!</f>
        <v>#REF!</v>
      </c>
    </row>
    <row r="674" spans="27:32" x14ac:dyDescent="0.25">
      <c r="AA674" s="71" t="e">
        <f>#REF!</f>
        <v>#REF!</v>
      </c>
      <c r="AB674" s="71" t="e">
        <f>#REF!</f>
        <v>#REF!</v>
      </c>
      <c r="AC674" s="71" t="e">
        <f>#REF!+AB674</f>
        <v>#REF!</v>
      </c>
      <c r="AD674" s="72" t="e">
        <f>-#REF!</f>
        <v>#REF!</v>
      </c>
      <c r="AE674" s="72" t="e">
        <f>-#REF!+$AD674</f>
        <v>#REF!</v>
      </c>
      <c r="AF674" s="71" t="e">
        <f>#REF!</f>
        <v>#REF!</v>
      </c>
    </row>
    <row r="675" spans="27:32" x14ac:dyDescent="0.25">
      <c r="AA675" s="71" t="e">
        <f>#REF!</f>
        <v>#REF!</v>
      </c>
      <c r="AB675" s="71" t="e">
        <f>#REF!</f>
        <v>#REF!</v>
      </c>
      <c r="AC675" s="71" t="e">
        <f>#REF!+AB675</f>
        <v>#REF!</v>
      </c>
      <c r="AD675" s="72" t="e">
        <f>-#REF!</f>
        <v>#REF!</v>
      </c>
      <c r="AE675" s="72" t="e">
        <f>-#REF!+$AD675</f>
        <v>#REF!</v>
      </c>
      <c r="AF675" s="71" t="e">
        <f>#REF!</f>
        <v>#REF!</v>
      </c>
    </row>
    <row r="676" spans="27:32" x14ac:dyDescent="0.25">
      <c r="AA676" s="71" t="e">
        <f>#REF!</f>
        <v>#REF!</v>
      </c>
      <c r="AB676" s="71" t="e">
        <f>#REF!</f>
        <v>#REF!</v>
      </c>
      <c r="AC676" s="71" t="e">
        <f>#REF!+AB676</f>
        <v>#REF!</v>
      </c>
      <c r="AD676" s="72" t="e">
        <f>-#REF!</f>
        <v>#REF!</v>
      </c>
      <c r="AE676" s="72" t="e">
        <f>-#REF!+$AD676</f>
        <v>#REF!</v>
      </c>
      <c r="AF676" s="71" t="e">
        <f>#REF!</f>
        <v>#REF!</v>
      </c>
    </row>
    <row r="677" spans="27:32" x14ac:dyDescent="0.25">
      <c r="AA677" s="71" t="e">
        <f>#REF!</f>
        <v>#REF!</v>
      </c>
      <c r="AB677" s="71" t="e">
        <f>#REF!</f>
        <v>#REF!</v>
      </c>
      <c r="AC677" s="71" t="e">
        <f>#REF!+AB677</f>
        <v>#REF!</v>
      </c>
      <c r="AD677" s="72" t="e">
        <f>-#REF!</f>
        <v>#REF!</v>
      </c>
      <c r="AE677" s="72" t="e">
        <f>-#REF!+$AD677</f>
        <v>#REF!</v>
      </c>
      <c r="AF677" s="71" t="e">
        <f>#REF!</f>
        <v>#REF!</v>
      </c>
    </row>
    <row r="678" spans="27:32" x14ac:dyDescent="0.25">
      <c r="AA678" s="71" t="e">
        <f>#REF!</f>
        <v>#REF!</v>
      </c>
      <c r="AB678" s="71" t="e">
        <f>#REF!</f>
        <v>#REF!</v>
      </c>
      <c r="AC678" s="71" t="e">
        <f>#REF!+AB678</f>
        <v>#REF!</v>
      </c>
      <c r="AD678" s="72" t="e">
        <f>-#REF!</f>
        <v>#REF!</v>
      </c>
      <c r="AE678" s="72" t="e">
        <f>-#REF!+$AD678</f>
        <v>#REF!</v>
      </c>
      <c r="AF678" s="71" t="e">
        <f>#REF!</f>
        <v>#REF!</v>
      </c>
    </row>
    <row r="679" spans="27:32" x14ac:dyDescent="0.25">
      <c r="AA679" s="71" t="e">
        <f>#REF!</f>
        <v>#REF!</v>
      </c>
      <c r="AB679" s="71" t="e">
        <f>#REF!</f>
        <v>#REF!</v>
      </c>
      <c r="AC679" s="71" t="e">
        <f>#REF!+AB679</f>
        <v>#REF!</v>
      </c>
      <c r="AD679" s="72" t="e">
        <f>-#REF!</f>
        <v>#REF!</v>
      </c>
      <c r="AE679" s="72" t="e">
        <f>-#REF!+$AD679</f>
        <v>#REF!</v>
      </c>
      <c r="AF679" s="71" t="e">
        <f>#REF!</f>
        <v>#REF!</v>
      </c>
    </row>
    <row r="680" spans="27:32" x14ac:dyDescent="0.25">
      <c r="AA680" s="71" t="e">
        <f>#REF!</f>
        <v>#REF!</v>
      </c>
      <c r="AB680" s="71" t="e">
        <f>#REF!</f>
        <v>#REF!</v>
      </c>
      <c r="AC680" s="71" t="e">
        <f>#REF!+AB680</f>
        <v>#REF!</v>
      </c>
      <c r="AD680" s="72" t="e">
        <f>-#REF!</f>
        <v>#REF!</v>
      </c>
      <c r="AE680" s="72" t="e">
        <f>-#REF!+$AD680</f>
        <v>#REF!</v>
      </c>
      <c r="AF680" s="71" t="e">
        <f>#REF!</f>
        <v>#REF!</v>
      </c>
    </row>
    <row r="681" spans="27:32" x14ac:dyDescent="0.25">
      <c r="AA681" s="71" t="e">
        <f>#REF!</f>
        <v>#REF!</v>
      </c>
      <c r="AB681" s="71" t="e">
        <f>#REF!</f>
        <v>#REF!</v>
      </c>
      <c r="AC681" s="71" t="e">
        <f>#REF!+AB681</f>
        <v>#REF!</v>
      </c>
      <c r="AD681" s="72" t="e">
        <f>-#REF!</f>
        <v>#REF!</v>
      </c>
      <c r="AE681" s="72" t="e">
        <f>-#REF!+$AD681</f>
        <v>#REF!</v>
      </c>
      <c r="AF681" s="71" t="e">
        <f>#REF!</f>
        <v>#REF!</v>
      </c>
    </row>
    <row r="682" spans="27:32" x14ac:dyDescent="0.25">
      <c r="AA682" s="71" t="e">
        <f>#REF!</f>
        <v>#REF!</v>
      </c>
      <c r="AB682" s="71" t="e">
        <f>#REF!</f>
        <v>#REF!</v>
      </c>
      <c r="AC682" s="71" t="e">
        <f>#REF!+AB682</f>
        <v>#REF!</v>
      </c>
      <c r="AD682" s="72" t="e">
        <f>-#REF!</f>
        <v>#REF!</v>
      </c>
      <c r="AE682" s="72" t="e">
        <f>-#REF!+$AD682</f>
        <v>#REF!</v>
      </c>
      <c r="AF682" s="71" t="e">
        <f>#REF!</f>
        <v>#REF!</v>
      </c>
    </row>
    <row r="683" spans="27:32" x14ac:dyDescent="0.25">
      <c r="AA683" s="71" t="e">
        <f>#REF!</f>
        <v>#REF!</v>
      </c>
      <c r="AB683" s="71" t="e">
        <f>#REF!</f>
        <v>#REF!</v>
      </c>
      <c r="AC683" s="71" t="e">
        <f>#REF!+AB683</f>
        <v>#REF!</v>
      </c>
      <c r="AD683" s="72" t="e">
        <f>-#REF!</f>
        <v>#REF!</v>
      </c>
      <c r="AE683" s="72" t="e">
        <f>-#REF!+$AD683</f>
        <v>#REF!</v>
      </c>
      <c r="AF683" s="71" t="e">
        <f>#REF!</f>
        <v>#REF!</v>
      </c>
    </row>
    <row r="684" spans="27:32" x14ac:dyDescent="0.25">
      <c r="AA684" s="71" t="e">
        <f>#REF!</f>
        <v>#REF!</v>
      </c>
      <c r="AB684" s="71" t="e">
        <f>#REF!</f>
        <v>#REF!</v>
      </c>
      <c r="AC684" s="71" t="e">
        <f>#REF!+AB684</f>
        <v>#REF!</v>
      </c>
      <c r="AD684" s="72" t="e">
        <f>-#REF!</f>
        <v>#REF!</v>
      </c>
      <c r="AE684" s="72" t="e">
        <f>-#REF!+$AD684</f>
        <v>#REF!</v>
      </c>
      <c r="AF684" s="71" t="e">
        <f>#REF!</f>
        <v>#REF!</v>
      </c>
    </row>
    <row r="685" spans="27:32" x14ac:dyDescent="0.25">
      <c r="AA685" s="71" t="e">
        <f>#REF!</f>
        <v>#REF!</v>
      </c>
      <c r="AB685" s="71" t="e">
        <f>#REF!</f>
        <v>#REF!</v>
      </c>
      <c r="AC685" s="71" t="e">
        <f>#REF!+AB685</f>
        <v>#REF!</v>
      </c>
      <c r="AD685" s="72" t="e">
        <f>-#REF!</f>
        <v>#REF!</v>
      </c>
      <c r="AE685" s="72" t="e">
        <f>-#REF!+$AD685</f>
        <v>#REF!</v>
      </c>
      <c r="AF685" s="71" t="e">
        <f>#REF!</f>
        <v>#REF!</v>
      </c>
    </row>
    <row r="686" spans="27:32" x14ac:dyDescent="0.25">
      <c r="AA686" s="71" t="e">
        <f>#REF!</f>
        <v>#REF!</v>
      </c>
      <c r="AB686" s="71" t="e">
        <f>#REF!</f>
        <v>#REF!</v>
      </c>
      <c r="AC686" s="71" t="e">
        <f>#REF!+AB686</f>
        <v>#REF!</v>
      </c>
      <c r="AD686" s="72" t="e">
        <f>-#REF!</f>
        <v>#REF!</v>
      </c>
      <c r="AE686" s="72" t="e">
        <f>-#REF!+$AD686</f>
        <v>#REF!</v>
      </c>
      <c r="AF686" s="71" t="e">
        <f>#REF!</f>
        <v>#REF!</v>
      </c>
    </row>
    <row r="687" spans="27:32" x14ac:dyDescent="0.25">
      <c r="AA687" s="71" t="e">
        <f>#REF!</f>
        <v>#REF!</v>
      </c>
      <c r="AB687" s="71" t="e">
        <f>#REF!</f>
        <v>#REF!</v>
      </c>
      <c r="AC687" s="71" t="e">
        <f>#REF!+AB687</f>
        <v>#REF!</v>
      </c>
      <c r="AD687" s="72" t="e">
        <f>-#REF!</f>
        <v>#REF!</v>
      </c>
      <c r="AE687" s="72" t="e">
        <f>-#REF!+$AD687</f>
        <v>#REF!</v>
      </c>
      <c r="AF687" s="71" t="e">
        <f>#REF!</f>
        <v>#REF!</v>
      </c>
    </row>
    <row r="688" spans="27:32" x14ac:dyDescent="0.25">
      <c r="AA688" s="71" t="e">
        <f>#REF!</f>
        <v>#REF!</v>
      </c>
      <c r="AB688" s="71" t="e">
        <f>#REF!</f>
        <v>#REF!</v>
      </c>
      <c r="AC688" s="71" t="e">
        <f>#REF!+AB688</f>
        <v>#REF!</v>
      </c>
      <c r="AD688" s="72" t="e">
        <f>-#REF!</f>
        <v>#REF!</v>
      </c>
      <c r="AE688" s="72" t="e">
        <f>-#REF!+$AD688</f>
        <v>#REF!</v>
      </c>
      <c r="AF688" s="71" t="e">
        <f>#REF!</f>
        <v>#REF!</v>
      </c>
    </row>
    <row r="689" spans="27:32" x14ac:dyDescent="0.25">
      <c r="AA689" s="71" t="e">
        <f>#REF!</f>
        <v>#REF!</v>
      </c>
      <c r="AB689" s="71" t="e">
        <f>#REF!</f>
        <v>#REF!</v>
      </c>
      <c r="AC689" s="71" t="e">
        <f>#REF!+AB689</f>
        <v>#REF!</v>
      </c>
      <c r="AD689" s="72" t="e">
        <f>-#REF!</f>
        <v>#REF!</v>
      </c>
      <c r="AE689" s="72" t="e">
        <f>-#REF!+$AD689</f>
        <v>#REF!</v>
      </c>
      <c r="AF689" s="71" t="e">
        <f>#REF!</f>
        <v>#REF!</v>
      </c>
    </row>
    <row r="690" spans="27:32" x14ac:dyDescent="0.25">
      <c r="AA690" s="71" t="e">
        <f>#REF!</f>
        <v>#REF!</v>
      </c>
      <c r="AB690" s="71" t="e">
        <f>#REF!</f>
        <v>#REF!</v>
      </c>
      <c r="AC690" s="71" t="e">
        <f>#REF!+AB690</f>
        <v>#REF!</v>
      </c>
      <c r="AD690" s="72" t="e">
        <f>-#REF!</f>
        <v>#REF!</v>
      </c>
      <c r="AE690" s="72" t="e">
        <f>-#REF!+$AD690</f>
        <v>#REF!</v>
      </c>
      <c r="AF690" s="71" t="e">
        <f>#REF!</f>
        <v>#REF!</v>
      </c>
    </row>
    <row r="691" spans="27:32" x14ac:dyDescent="0.25">
      <c r="AA691" s="71" t="e">
        <f>#REF!</f>
        <v>#REF!</v>
      </c>
      <c r="AB691" s="71" t="e">
        <f>#REF!</f>
        <v>#REF!</v>
      </c>
      <c r="AC691" s="71" t="e">
        <f>#REF!+AB691</f>
        <v>#REF!</v>
      </c>
      <c r="AD691" s="72" t="e">
        <f>-#REF!</f>
        <v>#REF!</v>
      </c>
      <c r="AE691" s="72" t="e">
        <f>-#REF!+$AD691</f>
        <v>#REF!</v>
      </c>
      <c r="AF691" s="71" t="e">
        <f>#REF!</f>
        <v>#REF!</v>
      </c>
    </row>
    <row r="692" spans="27:32" x14ac:dyDescent="0.25">
      <c r="AA692" s="71" t="e">
        <f>#REF!</f>
        <v>#REF!</v>
      </c>
      <c r="AB692" s="71" t="e">
        <f>#REF!</f>
        <v>#REF!</v>
      </c>
      <c r="AC692" s="71" t="e">
        <f>#REF!+AB692</f>
        <v>#REF!</v>
      </c>
      <c r="AD692" s="72" t="e">
        <f>-#REF!</f>
        <v>#REF!</v>
      </c>
      <c r="AE692" s="72" t="e">
        <f>-#REF!+$AD692</f>
        <v>#REF!</v>
      </c>
      <c r="AF692" s="71" t="e">
        <f>#REF!</f>
        <v>#REF!</v>
      </c>
    </row>
    <row r="693" spans="27:32" x14ac:dyDescent="0.25">
      <c r="AA693" s="71" t="e">
        <f>#REF!</f>
        <v>#REF!</v>
      </c>
      <c r="AB693" s="71" t="e">
        <f>#REF!</f>
        <v>#REF!</v>
      </c>
      <c r="AC693" s="71" t="e">
        <f>#REF!+AB693</f>
        <v>#REF!</v>
      </c>
      <c r="AD693" s="72" t="e">
        <f>-#REF!</f>
        <v>#REF!</v>
      </c>
      <c r="AE693" s="72" t="e">
        <f>-#REF!+$AD693</f>
        <v>#REF!</v>
      </c>
      <c r="AF693" s="71" t="e">
        <f>#REF!</f>
        <v>#REF!</v>
      </c>
    </row>
    <row r="694" spans="27:32" x14ac:dyDescent="0.25">
      <c r="AA694" s="71" t="e">
        <f>#REF!</f>
        <v>#REF!</v>
      </c>
      <c r="AB694" s="71" t="e">
        <f>#REF!</f>
        <v>#REF!</v>
      </c>
      <c r="AC694" s="71" t="e">
        <f>#REF!+AB694</f>
        <v>#REF!</v>
      </c>
      <c r="AD694" s="72" t="e">
        <f>-#REF!</f>
        <v>#REF!</v>
      </c>
      <c r="AE694" s="72" t="e">
        <f>-#REF!+$AD694</f>
        <v>#REF!</v>
      </c>
      <c r="AF694" s="71" t="e">
        <f>#REF!</f>
        <v>#REF!</v>
      </c>
    </row>
    <row r="695" spans="27:32" x14ac:dyDescent="0.25">
      <c r="AA695" s="71" t="e">
        <f>#REF!</f>
        <v>#REF!</v>
      </c>
      <c r="AB695" s="71" t="e">
        <f>#REF!</f>
        <v>#REF!</v>
      </c>
      <c r="AC695" s="71" t="e">
        <f>#REF!+AB695</f>
        <v>#REF!</v>
      </c>
      <c r="AD695" s="72" t="e">
        <f>-#REF!</f>
        <v>#REF!</v>
      </c>
      <c r="AE695" s="72" t="e">
        <f>-#REF!+$AD695</f>
        <v>#REF!</v>
      </c>
      <c r="AF695" s="71" t="e">
        <f>#REF!</f>
        <v>#REF!</v>
      </c>
    </row>
    <row r="696" spans="27:32" x14ac:dyDescent="0.25">
      <c r="AA696" s="71" t="e">
        <f>#REF!</f>
        <v>#REF!</v>
      </c>
      <c r="AB696" s="71" t="e">
        <f>#REF!</f>
        <v>#REF!</v>
      </c>
      <c r="AC696" s="71" t="e">
        <f>#REF!+AB696</f>
        <v>#REF!</v>
      </c>
      <c r="AD696" s="72" t="e">
        <f>-#REF!</f>
        <v>#REF!</v>
      </c>
      <c r="AE696" s="72" t="e">
        <f>-#REF!+$AD696</f>
        <v>#REF!</v>
      </c>
      <c r="AF696" s="71" t="e">
        <f>#REF!</f>
        <v>#REF!</v>
      </c>
    </row>
    <row r="697" spans="27:32" x14ac:dyDescent="0.25">
      <c r="AA697" s="71" t="e">
        <f>#REF!</f>
        <v>#REF!</v>
      </c>
      <c r="AB697" s="71" t="e">
        <f>#REF!</f>
        <v>#REF!</v>
      </c>
      <c r="AC697" s="71" t="e">
        <f>#REF!+AB697</f>
        <v>#REF!</v>
      </c>
      <c r="AD697" s="72" t="e">
        <f>-#REF!</f>
        <v>#REF!</v>
      </c>
      <c r="AE697" s="72" t="e">
        <f>-#REF!+$AD697</f>
        <v>#REF!</v>
      </c>
      <c r="AF697" s="71" t="e">
        <f>#REF!</f>
        <v>#REF!</v>
      </c>
    </row>
    <row r="698" spans="27:32" x14ac:dyDescent="0.25">
      <c r="AA698" s="71" t="e">
        <f>#REF!</f>
        <v>#REF!</v>
      </c>
      <c r="AB698" s="71" t="e">
        <f>#REF!</f>
        <v>#REF!</v>
      </c>
      <c r="AC698" s="71" t="e">
        <f>#REF!+AB698</f>
        <v>#REF!</v>
      </c>
      <c r="AD698" s="72" t="e">
        <f>-#REF!</f>
        <v>#REF!</v>
      </c>
      <c r="AE698" s="72" t="e">
        <f>-#REF!+$AD698</f>
        <v>#REF!</v>
      </c>
      <c r="AF698" s="71" t="e">
        <f>#REF!</f>
        <v>#REF!</v>
      </c>
    </row>
    <row r="699" spans="27:32" x14ac:dyDescent="0.25">
      <c r="AA699" s="71" t="e">
        <f>#REF!</f>
        <v>#REF!</v>
      </c>
      <c r="AB699" s="71" t="e">
        <f>#REF!</f>
        <v>#REF!</v>
      </c>
      <c r="AC699" s="71" t="e">
        <f>#REF!+AB699</f>
        <v>#REF!</v>
      </c>
      <c r="AD699" s="72" t="e">
        <f>-#REF!</f>
        <v>#REF!</v>
      </c>
      <c r="AE699" s="72" t="e">
        <f>-#REF!+$AD699</f>
        <v>#REF!</v>
      </c>
      <c r="AF699" s="71" t="e">
        <f>#REF!</f>
        <v>#REF!</v>
      </c>
    </row>
    <row r="700" spans="27:32" x14ac:dyDescent="0.25">
      <c r="AA700" s="71" t="e">
        <f>#REF!</f>
        <v>#REF!</v>
      </c>
      <c r="AB700" s="71" t="e">
        <f>#REF!</f>
        <v>#REF!</v>
      </c>
      <c r="AC700" s="71" t="e">
        <f>#REF!+AB700</f>
        <v>#REF!</v>
      </c>
      <c r="AD700" s="72" t="e">
        <f>-#REF!</f>
        <v>#REF!</v>
      </c>
      <c r="AE700" s="72" t="e">
        <f>-#REF!+$AD700</f>
        <v>#REF!</v>
      </c>
      <c r="AF700" s="71" t="e">
        <f>#REF!</f>
        <v>#REF!</v>
      </c>
    </row>
    <row r="701" spans="27:32" x14ac:dyDescent="0.25">
      <c r="AA701" s="71" t="e">
        <f>#REF!</f>
        <v>#REF!</v>
      </c>
      <c r="AB701" s="71" t="e">
        <f>#REF!</f>
        <v>#REF!</v>
      </c>
      <c r="AC701" s="71" t="e">
        <f>#REF!+AB701</f>
        <v>#REF!</v>
      </c>
      <c r="AD701" s="72" t="e">
        <f>-#REF!</f>
        <v>#REF!</v>
      </c>
      <c r="AE701" s="72" t="e">
        <f>-#REF!+$AD701</f>
        <v>#REF!</v>
      </c>
      <c r="AF701" s="71" t="e">
        <f>#REF!</f>
        <v>#REF!</v>
      </c>
    </row>
    <row r="702" spans="27:32" x14ac:dyDescent="0.25">
      <c r="AA702" s="71" t="e">
        <f>#REF!</f>
        <v>#REF!</v>
      </c>
      <c r="AB702" s="71" t="e">
        <f>#REF!</f>
        <v>#REF!</v>
      </c>
      <c r="AC702" s="71" t="e">
        <f>#REF!+AB702</f>
        <v>#REF!</v>
      </c>
      <c r="AD702" s="72" t="e">
        <f>-#REF!</f>
        <v>#REF!</v>
      </c>
      <c r="AE702" s="72" t="e">
        <f>-#REF!+$AD702</f>
        <v>#REF!</v>
      </c>
      <c r="AF702" s="71" t="e">
        <f>#REF!</f>
        <v>#REF!</v>
      </c>
    </row>
    <row r="703" spans="27:32" x14ac:dyDescent="0.25">
      <c r="AA703" s="71" t="e">
        <f>#REF!</f>
        <v>#REF!</v>
      </c>
      <c r="AB703" s="71" t="e">
        <f>#REF!</f>
        <v>#REF!</v>
      </c>
      <c r="AC703" s="71" t="e">
        <f>#REF!+AB703</f>
        <v>#REF!</v>
      </c>
      <c r="AD703" s="72" t="e">
        <f>-#REF!</f>
        <v>#REF!</v>
      </c>
      <c r="AE703" s="72" t="e">
        <f>-#REF!+$AD703</f>
        <v>#REF!</v>
      </c>
      <c r="AF703" s="71" t="e">
        <f>#REF!</f>
        <v>#REF!</v>
      </c>
    </row>
    <row r="704" spans="27:32" x14ac:dyDescent="0.25">
      <c r="AA704" s="71" t="e">
        <f>#REF!</f>
        <v>#REF!</v>
      </c>
      <c r="AB704" s="71" t="e">
        <f>#REF!</f>
        <v>#REF!</v>
      </c>
      <c r="AC704" s="71" t="e">
        <f>#REF!+AB704</f>
        <v>#REF!</v>
      </c>
      <c r="AD704" s="72" t="e">
        <f>-#REF!</f>
        <v>#REF!</v>
      </c>
      <c r="AE704" s="72" t="e">
        <f>-#REF!+$AD704</f>
        <v>#REF!</v>
      </c>
      <c r="AF704" s="71" t="e">
        <f>#REF!</f>
        <v>#REF!</v>
      </c>
    </row>
    <row r="705" spans="27:32" x14ac:dyDescent="0.25">
      <c r="AA705" s="71" t="e">
        <f>#REF!</f>
        <v>#REF!</v>
      </c>
      <c r="AB705" s="71" t="e">
        <f>#REF!</f>
        <v>#REF!</v>
      </c>
      <c r="AC705" s="71" t="e">
        <f>#REF!+AB705</f>
        <v>#REF!</v>
      </c>
      <c r="AD705" s="72" t="e">
        <f>-#REF!</f>
        <v>#REF!</v>
      </c>
      <c r="AE705" s="72" t="e">
        <f>-#REF!+$AD705</f>
        <v>#REF!</v>
      </c>
      <c r="AF705" s="71" t="e">
        <f>#REF!</f>
        <v>#REF!</v>
      </c>
    </row>
    <row r="706" spans="27:32" x14ac:dyDescent="0.25">
      <c r="AA706" s="71" t="e">
        <f>#REF!</f>
        <v>#REF!</v>
      </c>
      <c r="AB706" s="71" t="e">
        <f>#REF!</f>
        <v>#REF!</v>
      </c>
      <c r="AC706" s="71" t="e">
        <f>#REF!+AB706</f>
        <v>#REF!</v>
      </c>
      <c r="AD706" s="72" t="e">
        <f>-#REF!</f>
        <v>#REF!</v>
      </c>
      <c r="AE706" s="72" t="e">
        <f>-#REF!+$AD706</f>
        <v>#REF!</v>
      </c>
      <c r="AF706" s="71" t="e">
        <f>#REF!</f>
        <v>#REF!</v>
      </c>
    </row>
    <row r="707" spans="27:32" x14ac:dyDescent="0.25">
      <c r="AA707" s="71" t="e">
        <f>#REF!</f>
        <v>#REF!</v>
      </c>
      <c r="AB707" s="71" t="e">
        <f>#REF!</f>
        <v>#REF!</v>
      </c>
      <c r="AC707" s="71" t="e">
        <f>#REF!+AB707</f>
        <v>#REF!</v>
      </c>
      <c r="AD707" s="72" t="e">
        <f>-#REF!</f>
        <v>#REF!</v>
      </c>
      <c r="AE707" s="72" t="e">
        <f>-#REF!+$AD707</f>
        <v>#REF!</v>
      </c>
      <c r="AF707" s="71" t="e">
        <f>#REF!</f>
        <v>#REF!</v>
      </c>
    </row>
    <row r="708" spans="27:32" x14ac:dyDescent="0.25">
      <c r="AA708" s="71" t="e">
        <f>#REF!</f>
        <v>#REF!</v>
      </c>
      <c r="AB708" s="71" t="e">
        <f>#REF!</f>
        <v>#REF!</v>
      </c>
      <c r="AC708" s="71" t="e">
        <f>#REF!+AB708</f>
        <v>#REF!</v>
      </c>
      <c r="AD708" s="72" t="e">
        <f>-#REF!</f>
        <v>#REF!</v>
      </c>
      <c r="AE708" s="72" t="e">
        <f>-#REF!+$AD708</f>
        <v>#REF!</v>
      </c>
      <c r="AF708" s="71" t="e">
        <f>#REF!</f>
        <v>#REF!</v>
      </c>
    </row>
    <row r="709" spans="27:32" x14ac:dyDescent="0.25">
      <c r="AA709" s="71" t="e">
        <f>#REF!</f>
        <v>#REF!</v>
      </c>
      <c r="AB709" s="71" t="e">
        <f>#REF!</f>
        <v>#REF!</v>
      </c>
      <c r="AC709" s="71" t="e">
        <f>#REF!+AB709</f>
        <v>#REF!</v>
      </c>
      <c r="AD709" s="72" t="e">
        <f>-#REF!</f>
        <v>#REF!</v>
      </c>
      <c r="AE709" s="72" t="e">
        <f>-#REF!+$AD709</f>
        <v>#REF!</v>
      </c>
      <c r="AF709" s="71" t="e">
        <f>#REF!</f>
        <v>#REF!</v>
      </c>
    </row>
    <row r="710" spans="27:32" x14ac:dyDescent="0.25">
      <c r="AA710" s="71" t="e">
        <f>#REF!</f>
        <v>#REF!</v>
      </c>
      <c r="AB710" s="71" t="e">
        <f>#REF!</f>
        <v>#REF!</v>
      </c>
      <c r="AC710" s="71" t="e">
        <f>#REF!+AB710</f>
        <v>#REF!</v>
      </c>
      <c r="AD710" s="72" t="e">
        <f>-#REF!</f>
        <v>#REF!</v>
      </c>
      <c r="AE710" s="72" t="e">
        <f>-#REF!+$AD710</f>
        <v>#REF!</v>
      </c>
      <c r="AF710" s="71" t="e">
        <f>#REF!</f>
        <v>#REF!</v>
      </c>
    </row>
    <row r="711" spans="27:32" x14ac:dyDescent="0.25">
      <c r="AA711" s="71" t="e">
        <f>#REF!</f>
        <v>#REF!</v>
      </c>
      <c r="AB711" s="71" t="e">
        <f>#REF!</f>
        <v>#REF!</v>
      </c>
      <c r="AC711" s="71" t="e">
        <f>#REF!+AB711</f>
        <v>#REF!</v>
      </c>
      <c r="AD711" s="72" t="e">
        <f>-#REF!</f>
        <v>#REF!</v>
      </c>
      <c r="AE711" s="72" t="e">
        <f>-#REF!+$AD711</f>
        <v>#REF!</v>
      </c>
      <c r="AF711" s="71" t="e">
        <f>#REF!</f>
        <v>#REF!</v>
      </c>
    </row>
    <row r="712" spans="27:32" x14ac:dyDescent="0.25">
      <c r="AA712" s="71" t="e">
        <f>#REF!</f>
        <v>#REF!</v>
      </c>
      <c r="AB712" s="71" t="e">
        <f>#REF!</f>
        <v>#REF!</v>
      </c>
      <c r="AC712" s="71" t="e">
        <f>#REF!+AB712</f>
        <v>#REF!</v>
      </c>
      <c r="AD712" s="72" t="e">
        <f>-#REF!</f>
        <v>#REF!</v>
      </c>
      <c r="AE712" s="72" t="e">
        <f>-#REF!+$AD712</f>
        <v>#REF!</v>
      </c>
      <c r="AF712" s="71" t="e">
        <f>#REF!</f>
        <v>#REF!</v>
      </c>
    </row>
    <row r="713" spans="27:32" x14ac:dyDescent="0.25">
      <c r="AA713" s="71" t="e">
        <f>#REF!</f>
        <v>#REF!</v>
      </c>
      <c r="AB713" s="71" t="e">
        <f>#REF!</f>
        <v>#REF!</v>
      </c>
      <c r="AC713" s="71" t="e">
        <f>#REF!+AB713</f>
        <v>#REF!</v>
      </c>
      <c r="AD713" s="72" t="e">
        <f>-#REF!</f>
        <v>#REF!</v>
      </c>
      <c r="AE713" s="72" t="e">
        <f>-#REF!+$AD713</f>
        <v>#REF!</v>
      </c>
      <c r="AF713" s="71" t="e">
        <f>#REF!</f>
        <v>#REF!</v>
      </c>
    </row>
    <row r="714" spans="27:32" x14ac:dyDescent="0.25">
      <c r="AA714" s="71" t="e">
        <f>#REF!</f>
        <v>#REF!</v>
      </c>
      <c r="AB714" s="71" t="e">
        <f>#REF!</f>
        <v>#REF!</v>
      </c>
      <c r="AC714" s="71" t="e">
        <f>#REF!+AB714</f>
        <v>#REF!</v>
      </c>
      <c r="AD714" s="72" t="e">
        <f>-#REF!</f>
        <v>#REF!</v>
      </c>
      <c r="AE714" s="72" t="e">
        <f>-#REF!+$AD714</f>
        <v>#REF!</v>
      </c>
      <c r="AF714" s="71" t="e">
        <f>#REF!</f>
        <v>#REF!</v>
      </c>
    </row>
    <row r="715" spans="27:32" x14ac:dyDescent="0.25">
      <c r="AA715" s="71" t="e">
        <f>#REF!</f>
        <v>#REF!</v>
      </c>
      <c r="AB715" s="71" t="e">
        <f>#REF!</f>
        <v>#REF!</v>
      </c>
      <c r="AC715" s="71" t="e">
        <f>#REF!+AB715</f>
        <v>#REF!</v>
      </c>
      <c r="AD715" s="72" t="e">
        <f>-#REF!</f>
        <v>#REF!</v>
      </c>
      <c r="AE715" s="72" t="e">
        <f>-#REF!+$AD715</f>
        <v>#REF!</v>
      </c>
      <c r="AF715" s="71" t="e">
        <f>#REF!</f>
        <v>#REF!</v>
      </c>
    </row>
    <row r="716" spans="27:32" x14ac:dyDescent="0.25">
      <c r="AA716" s="71" t="e">
        <f>#REF!</f>
        <v>#REF!</v>
      </c>
      <c r="AB716" s="71" t="e">
        <f>#REF!</f>
        <v>#REF!</v>
      </c>
      <c r="AC716" s="71" t="e">
        <f>#REF!+AB716</f>
        <v>#REF!</v>
      </c>
      <c r="AD716" s="72" t="e">
        <f>-#REF!</f>
        <v>#REF!</v>
      </c>
      <c r="AE716" s="72" t="e">
        <f>-#REF!+$AD716</f>
        <v>#REF!</v>
      </c>
      <c r="AF716" s="71" t="e">
        <f>#REF!</f>
        <v>#REF!</v>
      </c>
    </row>
    <row r="717" spans="27:32" x14ac:dyDescent="0.25">
      <c r="AA717" s="71" t="e">
        <f>#REF!</f>
        <v>#REF!</v>
      </c>
      <c r="AB717" s="71" t="e">
        <f>#REF!</f>
        <v>#REF!</v>
      </c>
      <c r="AC717" s="71" t="e">
        <f>#REF!+AB717</f>
        <v>#REF!</v>
      </c>
      <c r="AD717" s="72" t="e">
        <f>-#REF!</f>
        <v>#REF!</v>
      </c>
      <c r="AE717" s="72" t="e">
        <f>-#REF!+$AD717</f>
        <v>#REF!</v>
      </c>
      <c r="AF717" s="71" t="e">
        <f>#REF!</f>
        <v>#REF!</v>
      </c>
    </row>
    <row r="718" spans="27:32" x14ac:dyDescent="0.25">
      <c r="AA718" s="71" t="e">
        <f>#REF!</f>
        <v>#REF!</v>
      </c>
      <c r="AB718" s="71" t="e">
        <f>#REF!</f>
        <v>#REF!</v>
      </c>
      <c r="AC718" s="71" t="e">
        <f>#REF!+AB718</f>
        <v>#REF!</v>
      </c>
      <c r="AD718" s="72" t="e">
        <f>-#REF!</f>
        <v>#REF!</v>
      </c>
      <c r="AE718" s="72" t="e">
        <f>-#REF!+$AD718</f>
        <v>#REF!</v>
      </c>
      <c r="AF718" s="71" t="e">
        <f>#REF!</f>
        <v>#REF!</v>
      </c>
    </row>
    <row r="719" spans="27:32" x14ac:dyDescent="0.25">
      <c r="AA719" s="71" t="e">
        <f>#REF!</f>
        <v>#REF!</v>
      </c>
      <c r="AB719" s="71" t="e">
        <f>#REF!</f>
        <v>#REF!</v>
      </c>
      <c r="AC719" s="71" t="e">
        <f>#REF!+AB719</f>
        <v>#REF!</v>
      </c>
      <c r="AD719" s="72" t="e">
        <f>-#REF!</f>
        <v>#REF!</v>
      </c>
      <c r="AE719" s="72" t="e">
        <f>-#REF!+$AD719</f>
        <v>#REF!</v>
      </c>
      <c r="AF719" s="71" t="e">
        <f>#REF!</f>
        <v>#REF!</v>
      </c>
    </row>
    <row r="720" spans="27:32" x14ac:dyDescent="0.25">
      <c r="AA720" s="71" t="e">
        <f>#REF!</f>
        <v>#REF!</v>
      </c>
      <c r="AB720" s="71" t="e">
        <f>#REF!</f>
        <v>#REF!</v>
      </c>
      <c r="AC720" s="71" t="e">
        <f>#REF!+AB720</f>
        <v>#REF!</v>
      </c>
      <c r="AD720" s="72" t="e">
        <f>-#REF!</f>
        <v>#REF!</v>
      </c>
      <c r="AE720" s="72" t="e">
        <f>-#REF!+$AD720</f>
        <v>#REF!</v>
      </c>
      <c r="AF720" s="71" t="e">
        <f>#REF!</f>
        <v>#REF!</v>
      </c>
    </row>
    <row r="721" spans="27:32" x14ac:dyDescent="0.25">
      <c r="AA721" s="71" t="e">
        <f>#REF!</f>
        <v>#REF!</v>
      </c>
      <c r="AB721" s="71" t="e">
        <f>#REF!</f>
        <v>#REF!</v>
      </c>
      <c r="AC721" s="71" t="e">
        <f>#REF!+AB721</f>
        <v>#REF!</v>
      </c>
      <c r="AD721" s="72" t="e">
        <f>-#REF!</f>
        <v>#REF!</v>
      </c>
      <c r="AE721" s="72" t="e">
        <f>-#REF!+$AD721</f>
        <v>#REF!</v>
      </c>
      <c r="AF721" s="71" t="e">
        <f>#REF!</f>
        <v>#REF!</v>
      </c>
    </row>
    <row r="722" spans="27:32" x14ac:dyDescent="0.25">
      <c r="AA722" s="71" t="e">
        <f>#REF!</f>
        <v>#REF!</v>
      </c>
      <c r="AB722" s="71" t="e">
        <f>#REF!</f>
        <v>#REF!</v>
      </c>
      <c r="AC722" s="71" t="e">
        <f>#REF!+AB722</f>
        <v>#REF!</v>
      </c>
      <c r="AD722" s="72" t="e">
        <f>-#REF!</f>
        <v>#REF!</v>
      </c>
      <c r="AE722" s="72" t="e">
        <f>-#REF!+$AD722</f>
        <v>#REF!</v>
      </c>
      <c r="AF722" s="71" t="e">
        <f>#REF!</f>
        <v>#REF!</v>
      </c>
    </row>
    <row r="723" spans="27:32" x14ac:dyDescent="0.25">
      <c r="AA723" s="71" t="e">
        <f>#REF!</f>
        <v>#REF!</v>
      </c>
      <c r="AB723" s="71" t="e">
        <f>#REF!</f>
        <v>#REF!</v>
      </c>
      <c r="AC723" s="71" t="e">
        <f>#REF!+AB723</f>
        <v>#REF!</v>
      </c>
      <c r="AD723" s="72" t="e">
        <f>-#REF!</f>
        <v>#REF!</v>
      </c>
      <c r="AE723" s="72" t="e">
        <f>-#REF!+$AD723</f>
        <v>#REF!</v>
      </c>
      <c r="AF723" s="71" t="e">
        <f>#REF!</f>
        <v>#REF!</v>
      </c>
    </row>
    <row r="724" spans="27:32" x14ac:dyDescent="0.25">
      <c r="AA724" s="71" t="e">
        <f>#REF!</f>
        <v>#REF!</v>
      </c>
      <c r="AB724" s="71" t="e">
        <f>#REF!</f>
        <v>#REF!</v>
      </c>
      <c r="AC724" s="71" t="e">
        <f>#REF!+AB724</f>
        <v>#REF!</v>
      </c>
      <c r="AD724" s="72" t="e">
        <f>-#REF!</f>
        <v>#REF!</v>
      </c>
      <c r="AE724" s="72" t="e">
        <f>-#REF!+$AD724</f>
        <v>#REF!</v>
      </c>
      <c r="AF724" s="71" t="e">
        <f>#REF!</f>
        <v>#REF!</v>
      </c>
    </row>
    <row r="725" spans="27:32" x14ac:dyDescent="0.25">
      <c r="AA725" s="71" t="e">
        <f>#REF!</f>
        <v>#REF!</v>
      </c>
      <c r="AB725" s="71" t="e">
        <f>#REF!</f>
        <v>#REF!</v>
      </c>
      <c r="AC725" s="71" t="e">
        <f>#REF!+AB725</f>
        <v>#REF!</v>
      </c>
      <c r="AD725" s="72" t="e">
        <f>-#REF!</f>
        <v>#REF!</v>
      </c>
      <c r="AE725" s="72" t="e">
        <f>-#REF!+$AD725</f>
        <v>#REF!</v>
      </c>
      <c r="AF725" s="71" t="e">
        <f>#REF!</f>
        <v>#REF!</v>
      </c>
    </row>
    <row r="726" spans="27:32" x14ac:dyDescent="0.25">
      <c r="AA726" s="71" t="e">
        <f>#REF!</f>
        <v>#REF!</v>
      </c>
      <c r="AB726" s="71" t="e">
        <f>#REF!</f>
        <v>#REF!</v>
      </c>
      <c r="AC726" s="71" t="e">
        <f>#REF!+AB726</f>
        <v>#REF!</v>
      </c>
      <c r="AD726" s="72" t="e">
        <f>-#REF!</f>
        <v>#REF!</v>
      </c>
      <c r="AE726" s="72" t="e">
        <f>-#REF!+$AD726</f>
        <v>#REF!</v>
      </c>
      <c r="AF726" s="71" t="e">
        <f>#REF!</f>
        <v>#REF!</v>
      </c>
    </row>
    <row r="727" spans="27:32" x14ac:dyDescent="0.25">
      <c r="AA727" s="71" t="e">
        <f>#REF!</f>
        <v>#REF!</v>
      </c>
      <c r="AB727" s="71" t="e">
        <f>#REF!</f>
        <v>#REF!</v>
      </c>
      <c r="AC727" s="71" t="e">
        <f>#REF!+AB727</f>
        <v>#REF!</v>
      </c>
      <c r="AD727" s="72" t="e">
        <f>-#REF!</f>
        <v>#REF!</v>
      </c>
      <c r="AE727" s="72" t="e">
        <f>-#REF!+$AD727</f>
        <v>#REF!</v>
      </c>
      <c r="AF727" s="71" t="e">
        <f>#REF!</f>
        <v>#REF!</v>
      </c>
    </row>
    <row r="728" spans="27:32" x14ac:dyDescent="0.25">
      <c r="AA728" s="71" t="e">
        <f>#REF!</f>
        <v>#REF!</v>
      </c>
      <c r="AB728" s="71" t="e">
        <f>#REF!</f>
        <v>#REF!</v>
      </c>
      <c r="AC728" s="71" t="e">
        <f>#REF!+AB728</f>
        <v>#REF!</v>
      </c>
      <c r="AD728" s="72" t="e">
        <f>-#REF!</f>
        <v>#REF!</v>
      </c>
      <c r="AE728" s="72" t="e">
        <f>-#REF!+$AD728</f>
        <v>#REF!</v>
      </c>
      <c r="AF728" s="71" t="e">
        <f>#REF!</f>
        <v>#REF!</v>
      </c>
    </row>
    <row r="729" spans="27:32" x14ac:dyDescent="0.25">
      <c r="AA729" s="71" t="e">
        <f>#REF!</f>
        <v>#REF!</v>
      </c>
      <c r="AB729" s="71" t="e">
        <f>#REF!</f>
        <v>#REF!</v>
      </c>
      <c r="AC729" s="71" t="e">
        <f>#REF!+AB729</f>
        <v>#REF!</v>
      </c>
      <c r="AD729" s="72" t="e">
        <f>-#REF!</f>
        <v>#REF!</v>
      </c>
      <c r="AE729" s="72" t="e">
        <f>-#REF!+$AD729</f>
        <v>#REF!</v>
      </c>
      <c r="AF729" s="71" t="e">
        <f>#REF!</f>
        <v>#REF!</v>
      </c>
    </row>
    <row r="730" spans="27:32" x14ac:dyDescent="0.25">
      <c r="AA730" s="71" t="e">
        <f>#REF!</f>
        <v>#REF!</v>
      </c>
      <c r="AB730" s="71" t="e">
        <f>#REF!</f>
        <v>#REF!</v>
      </c>
      <c r="AC730" s="71" t="e">
        <f>#REF!+AB730</f>
        <v>#REF!</v>
      </c>
      <c r="AD730" s="72" t="e">
        <f>-#REF!</f>
        <v>#REF!</v>
      </c>
      <c r="AE730" s="72" t="e">
        <f>-#REF!+$AD730</f>
        <v>#REF!</v>
      </c>
      <c r="AF730" s="71" t="e">
        <f>#REF!</f>
        <v>#REF!</v>
      </c>
    </row>
    <row r="731" spans="27:32" x14ac:dyDescent="0.25">
      <c r="AA731" s="71" t="e">
        <f>#REF!</f>
        <v>#REF!</v>
      </c>
      <c r="AB731" s="71" t="e">
        <f>#REF!</f>
        <v>#REF!</v>
      </c>
      <c r="AC731" s="71" t="e">
        <f>#REF!+AB731</f>
        <v>#REF!</v>
      </c>
      <c r="AD731" s="72" t="e">
        <f>-#REF!</f>
        <v>#REF!</v>
      </c>
      <c r="AE731" s="72" t="e">
        <f>-#REF!+$AD731</f>
        <v>#REF!</v>
      </c>
      <c r="AF731" s="71" t="e">
        <f>#REF!</f>
        <v>#REF!</v>
      </c>
    </row>
    <row r="732" spans="27:32" x14ac:dyDescent="0.25">
      <c r="AA732" s="71" t="e">
        <f>#REF!</f>
        <v>#REF!</v>
      </c>
      <c r="AB732" s="71" t="e">
        <f>#REF!</f>
        <v>#REF!</v>
      </c>
      <c r="AC732" s="71" t="e">
        <f>#REF!+AB732</f>
        <v>#REF!</v>
      </c>
      <c r="AD732" s="72" t="e">
        <f>-#REF!</f>
        <v>#REF!</v>
      </c>
      <c r="AE732" s="72" t="e">
        <f>-#REF!+$AD732</f>
        <v>#REF!</v>
      </c>
      <c r="AF732" s="71" t="e">
        <f>#REF!</f>
        <v>#REF!</v>
      </c>
    </row>
    <row r="733" spans="27:32" x14ac:dyDescent="0.25">
      <c r="AA733" s="71" t="e">
        <f>#REF!</f>
        <v>#REF!</v>
      </c>
      <c r="AB733" s="71" t="e">
        <f>#REF!</f>
        <v>#REF!</v>
      </c>
      <c r="AC733" s="71" t="e">
        <f>#REF!+AB733</f>
        <v>#REF!</v>
      </c>
      <c r="AD733" s="72" t="e">
        <f>-#REF!</f>
        <v>#REF!</v>
      </c>
      <c r="AE733" s="72" t="e">
        <f>-#REF!+$AD733</f>
        <v>#REF!</v>
      </c>
      <c r="AF733" s="71" t="e">
        <f>#REF!</f>
        <v>#REF!</v>
      </c>
    </row>
    <row r="734" spans="27:32" x14ac:dyDescent="0.25">
      <c r="AA734" s="71" t="e">
        <f>#REF!</f>
        <v>#REF!</v>
      </c>
      <c r="AB734" s="71" t="e">
        <f>#REF!</f>
        <v>#REF!</v>
      </c>
      <c r="AC734" s="71" t="e">
        <f>#REF!+AB734</f>
        <v>#REF!</v>
      </c>
      <c r="AD734" s="72" t="e">
        <f>-#REF!</f>
        <v>#REF!</v>
      </c>
      <c r="AE734" s="72" t="e">
        <f>-#REF!+$AD734</f>
        <v>#REF!</v>
      </c>
      <c r="AF734" s="71" t="e">
        <f>#REF!</f>
        <v>#REF!</v>
      </c>
    </row>
    <row r="735" spans="27:32" x14ac:dyDescent="0.25">
      <c r="AA735" s="71" t="e">
        <f>#REF!</f>
        <v>#REF!</v>
      </c>
      <c r="AB735" s="71" t="e">
        <f>#REF!</f>
        <v>#REF!</v>
      </c>
      <c r="AC735" s="71" t="e">
        <f>#REF!+AB735</f>
        <v>#REF!</v>
      </c>
      <c r="AD735" s="72" t="e">
        <f>-#REF!</f>
        <v>#REF!</v>
      </c>
      <c r="AE735" s="72" t="e">
        <f>-#REF!+$AD735</f>
        <v>#REF!</v>
      </c>
      <c r="AF735" s="71" t="e">
        <f>#REF!</f>
        <v>#REF!</v>
      </c>
    </row>
    <row r="736" spans="27:32" x14ac:dyDescent="0.25">
      <c r="AA736" s="71" t="e">
        <f>#REF!</f>
        <v>#REF!</v>
      </c>
      <c r="AB736" s="71" t="e">
        <f>#REF!</f>
        <v>#REF!</v>
      </c>
      <c r="AC736" s="71" t="e">
        <f>#REF!+AB736</f>
        <v>#REF!</v>
      </c>
      <c r="AD736" s="72" t="e">
        <f>-#REF!</f>
        <v>#REF!</v>
      </c>
      <c r="AE736" s="72" t="e">
        <f>-#REF!+$AD736</f>
        <v>#REF!</v>
      </c>
      <c r="AF736" s="71" t="e">
        <f>#REF!</f>
        <v>#REF!</v>
      </c>
    </row>
    <row r="737" spans="27:32" x14ac:dyDescent="0.25">
      <c r="AA737" s="71" t="e">
        <f>#REF!</f>
        <v>#REF!</v>
      </c>
      <c r="AB737" s="71" t="e">
        <f>#REF!</f>
        <v>#REF!</v>
      </c>
      <c r="AC737" s="71" t="e">
        <f>#REF!+AB737</f>
        <v>#REF!</v>
      </c>
      <c r="AD737" s="72" t="e">
        <f>-#REF!</f>
        <v>#REF!</v>
      </c>
      <c r="AE737" s="72" t="e">
        <f>-#REF!+$AD737</f>
        <v>#REF!</v>
      </c>
      <c r="AF737" s="71" t="e">
        <f>#REF!</f>
        <v>#REF!</v>
      </c>
    </row>
    <row r="738" spans="27:32" x14ac:dyDescent="0.25">
      <c r="AA738" s="71" t="e">
        <f>#REF!</f>
        <v>#REF!</v>
      </c>
      <c r="AB738" s="71" t="e">
        <f>#REF!</f>
        <v>#REF!</v>
      </c>
      <c r="AC738" s="71" t="e">
        <f>#REF!+AB738</f>
        <v>#REF!</v>
      </c>
      <c r="AD738" s="72" t="e">
        <f>-#REF!</f>
        <v>#REF!</v>
      </c>
      <c r="AE738" s="72" t="e">
        <f>-#REF!+$AD738</f>
        <v>#REF!</v>
      </c>
      <c r="AF738" s="71" t="e">
        <f>#REF!</f>
        <v>#REF!</v>
      </c>
    </row>
    <row r="739" spans="27:32" x14ac:dyDescent="0.25">
      <c r="AA739" s="71" t="e">
        <f>#REF!</f>
        <v>#REF!</v>
      </c>
      <c r="AB739" s="71" t="e">
        <f>#REF!</f>
        <v>#REF!</v>
      </c>
      <c r="AC739" s="71" t="e">
        <f>#REF!+AB739</f>
        <v>#REF!</v>
      </c>
      <c r="AD739" s="72" t="e">
        <f>-#REF!</f>
        <v>#REF!</v>
      </c>
      <c r="AE739" s="72" t="e">
        <f>-#REF!+$AD739</f>
        <v>#REF!</v>
      </c>
      <c r="AF739" s="71" t="e">
        <f>#REF!</f>
        <v>#REF!</v>
      </c>
    </row>
    <row r="740" spans="27:32" x14ac:dyDescent="0.25">
      <c r="AA740" s="71" t="e">
        <f>#REF!</f>
        <v>#REF!</v>
      </c>
      <c r="AB740" s="71" t="e">
        <f>#REF!</f>
        <v>#REF!</v>
      </c>
      <c r="AC740" s="71" t="e">
        <f>#REF!+AB740</f>
        <v>#REF!</v>
      </c>
      <c r="AD740" s="72" t="e">
        <f>-#REF!</f>
        <v>#REF!</v>
      </c>
      <c r="AE740" s="72" t="e">
        <f>-#REF!+$AD740</f>
        <v>#REF!</v>
      </c>
      <c r="AF740" s="71" t="e">
        <f>#REF!</f>
        <v>#REF!</v>
      </c>
    </row>
    <row r="741" spans="27:32" x14ac:dyDescent="0.25">
      <c r="AA741" s="71" t="e">
        <f>#REF!</f>
        <v>#REF!</v>
      </c>
      <c r="AB741" s="71" t="e">
        <f>#REF!</f>
        <v>#REF!</v>
      </c>
      <c r="AC741" s="71" t="e">
        <f>#REF!+AB741</f>
        <v>#REF!</v>
      </c>
      <c r="AD741" s="72" t="e">
        <f>-#REF!</f>
        <v>#REF!</v>
      </c>
      <c r="AE741" s="72" t="e">
        <f>-#REF!+$AD741</f>
        <v>#REF!</v>
      </c>
      <c r="AF741" s="71" t="e">
        <f>#REF!</f>
        <v>#REF!</v>
      </c>
    </row>
    <row r="742" spans="27:32" x14ac:dyDescent="0.25">
      <c r="AA742" s="71" t="e">
        <f>#REF!</f>
        <v>#REF!</v>
      </c>
      <c r="AB742" s="71" t="e">
        <f>#REF!</f>
        <v>#REF!</v>
      </c>
      <c r="AC742" s="71" t="e">
        <f>#REF!+AB742</f>
        <v>#REF!</v>
      </c>
      <c r="AD742" s="72" t="e">
        <f>-#REF!</f>
        <v>#REF!</v>
      </c>
      <c r="AE742" s="72" t="e">
        <f>-#REF!+$AD742</f>
        <v>#REF!</v>
      </c>
      <c r="AF742" s="71" t="e">
        <f>#REF!</f>
        <v>#REF!</v>
      </c>
    </row>
    <row r="743" spans="27:32" x14ac:dyDescent="0.25">
      <c r="AA743" s="71" t="e">
        <f>#REF!</f>
        <v>#REF!</v>
      </c>
      <c r="AB743" s="71" t="e">
        <f>#REF!</f>
        <v>#REF!</v>
      </c>
      <c r="AC743" s="71" t="e">
        <f>#REF!+AB743</f>
        <v>#REF!</v>
      </c>
      <c r="AD743" s="72" t="e">
        <f>-#REF!</f>
        <v>#REF!</v>
      </c>
      <c r="AE743" s="72" t="e">
        <f>-#REF!+$AD743</f>
        <v>#REF!</v>
      </c>
      <c r="AF743" s="71" t="e">
        <f>#REF!</f>
        <v>#REF!</v>
      </c>
    </row>
    <row r="744" spans="27:32" x14ac:dyDescent="0.25">
      <c r="AA744" s="71" t="e">
        <f>#REF!</f>
        <v>#REF!</v>
      </c>
      <c r="AB744" s="71" t="e">
        <f>#REF!</f>
        <v>#REF!</v>
      </c>
      <c r="AC744" s="71" t="e">
        <f>#REF!+AB744</f>
        <v>#REF!</v>
      </c>
      <c r="AD744" s="72" t="e">
        <f>-#REF!</f>
        <v>#REF!</v>
      </c>
      <c r="AE744" s="72" t="e">
        <f>-#REF!+$AD744</f>
        <v>#REF!</v>
      </c>
      <c r="AF744" s="71" t="e">
        <f>#REF!</f>
        <v>#REF!</v>
      </c>
    </row>
    <row r="745" spans="27:32" x14ac:dyDescent="0.25">
      <c r="AA745" s="71"/>
      <c r="AB745" s="71"/>
      <c r="AC745" s="71"/>
      <c r="AD745" s="72"/>
      <c r="AE745" s="72"/>
      <c r="AF745" s="71"/>
    </row>
    <row r="746" spans="27:32" x14ac:dyDescent="0.25">
      <c r="AA746" s="71"/>
      <c r="AB746" s="71"/>
      <c r="AC746" s="71"/>
      <c r="AD746" s="72"/>
      <c r="AE746" s="72"/>
      <c r="AF746" s="71"/>
    </row>
    <row r="747" spans="27:32" x14ac:dyDescent="0.25">
      <c r="AA747" s="71"/>
      <c r="AB747" s="71"/>
      <c r="AC747" s="71"/>
      <c r="AD747" s="72"/>
      <c r="AE747" s="72"/>
      <c r="AF747" s="71"/>
    </row>
    <row r="748" spans="27:32" x14ac:dyDescent="0.25">
      <c r="AA748" s="71"/>
      <c r="AB748" s="71"/>
      <c r="AC748" s="71"/>
      <c r="AD748" s="72"/>
      <c r="AE748" s="72"/>
      <c r="AF748" s="71"/>
    </row>
    <row r="749" spans="27:32" x14ac:dyDescent="0.25">
      <c r="AA749" s="71"/>
      <c r="AB749" s="71"/>
      <c r="AC749" s="71"/>
      <c r="AD749" s="72"/>
      <c r="AE749" s="72"/>
      <c r="AF749" s="71"/>
    </row>
    <row r="750" spans="27:32" x14ac:dyDescent="0.25">
      <c r="AA750" s="71"/>
      <c r="AB750" s="71"/>
      <c r="AC750" s="71"/>
      <c r="AD750" s="72"/>
      <c r="AE750" s="72"/>
      <c r="AF750" s="71"/>
    </row>
    <row r="751" spans="27:32" x14ac:dyDescent="0.25">
      <c r="AA751" s="71"/>
      <c r="AB751" s="71"/>
      <c r="AC751" s="71"/>
      <c r="AD751" s="72"/>
      <c r="AE751" s="72"/>
      <c r="AF751" s="71"/>
    </row>
    <row r="752" spans="27:32" x14ac:dyDescent="0.25">
      <c r="AA752" s="71"/>
      <c r="AB752" s="71"/>
      <c r="AC752" s="71"/>
      <c r="AD752" s="72"/>
      <c r="AE752" s="72"/>
      <c r="AF752" s="71"/>
    </row>
    <row r="753" spans="27:32" x14ac:dyDescent="0.25">
      <c r="AA753" s="71"/>
      <c r="AB753" s="71"/>
      <c r="AC753" s="71"/>
      <c r="AD753" s="72"/>
      <c r="AE753" s="72"/>
      <c r="AF753" s="71"/>
    </row>
    <row r="754" spans="27:32" x14ac:dyDescent="0.25">
      <c r="AA754" s="71"/>
      <c r="AB754" s="71"/>
      <c r="AC754" s="71"/>
      <c r="AD754" s="72"/>
      <c r="AE754" s="72"/>
      <c r="AF754" s="71"/>
    </row>
    <row r="755" spans="27:32" x14ac:dyDescent="0.25">
      <c r="AA755" s="71"/>
      <c r="AB755" s="71"/>
      <c r="AC755" s="71"/>
      <c r="AD755" s="72"/>
      <c r="AE755" s="72"/>
      <c r="AF755" s="71"/>
    </row>
    <row r="756" spans="27:32" x14ac:dyDescent="0.25">
      <c r="AA756" s="71"/>
      <c r="AB756" s="71"/>
      <c r="AC756" s="71"/>
      <c r="AD756" s="72"/>
      <c r="AE756" s="72"/>
      <c r="AF756" s="71"/>
    </row>
    <row r="757" spans="27:32" x14ac:dyDescent="0.25">
      <c r="AA757" s="71"/>
      <c r="AB757" s="71"/>
      <c r="AC757" s="71"/>
      <c r="AD757" s="72"/>
      <c r="AE757" s="72"/>
      <c r="AF757" s="71"/>
    </row>
    <row r="758" spans="27:32" x14ac:dyDescent="0.25">
      <c r="AA758" s="71"/>
      <c r="AB758" s="71"/>
      <c r="AC758" s="71"/>
      <c r="AD758" s="72"/>
      <c r="AE758" s="72"/>
      <c r="AF758" s="71"/>
    </row>
    <row r="759" spans="27:32" x14ac:dyDescent="0.25">
      <c r="AA759" s="71"/>
      <c r="AB759" s="71"/>
      <c r="AC759" s="71"/>
      <c r="AD759" s="72"/>
      <c r="AE759" s="72"/>
      <c r="AF759" s="71"/>
    </row>
    <row r="760" spans="27:32" x14ac:dyDescent="0.25">
      <c r="AA760" s="71"/>
      <c r="AB760" s="71"/>
      <c r="AC760" s="71"/>
      <c r="AD760" s="72"/>
      <c r="AE760" s="72"/>
      <c r="AF760" s="71"/>
    </row>
    <row r="761" spans="27:32" x14ac:dyDescent="0.25">
      <c r="AA761" s="71"/>
      <c r="AB761" s="71"/>
      <c r="AC761" s="71"/>
      <c r="AD761" s="72"/>
      <c r="AE761" s="72"/>
      <c r="AF761" s="71"/>
    </row>
    <row r="762" spans="27:32" x14ac:dyDescent="0.25">
      <c r="AA762" s="71"/>
      <c r="AB762" s="71"/>
      <c r="AC762" s="71"/>
      <c r="AD762" s="72"/>
      <c r="AE762" s="72"/>
      <c r="AF762" s="71"/>
    </row>
    <row r="763" spans="27:32" x14ac:dyDescent="0.25">
      <c r="AA763" s="71"/>
      <c r="AB763" s="71"/>
      <c r="AC763" s="71"/>
      <c r="AD763" s="72"/>
      <c r="AE763" s="72"/>
      <c r="AF763" s="71"/>
    </row>
    <row r="764" spans="27:32" x14ac:dyDescent="0.25">
      <c r="AA764" s="71"/>
      <c r="AB764" s="71"/>
      <c r="AC764" s="71"/>
      <c r="AD764" s="72"/>
      <c r="AE764" s="72"/>
      <c r="AF764" s="71"/>
    </row>
    <row r="765" spans="27:32" x14ac:dyDescent="0.25">
      <c r="AA765" s="71"/>
      <c r="AB765" s="71"/>
      <c r="AC765" s="71"/>
      <c r="AD765" s="72"/>
      <c r="AE765" s="72"/>
      <c r="AF765" s="71"/>
    </row>
  </sheetData>
  <mergeCells count="6">
    <mergeCell ref="AF1:AF2"/>
    <mergeCell ref="AA1:AA2"/>
    <mergeCell ref="AB1:AB2"/>
    <mergeCell ref="AC1:AC2"/>
    <mergeCell ref="AD1:AD2"/>
    <mergeCell ref="AE1:AE2"/>
  </mergeCells>
  <pageMargins left="0.7" right="0.7" top="0.75" bottom="0.75" header="0.3" footer="0.3"/>
  <pageSetup scale="1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ED0ADC5CF184FADAF7954576FAB4B" ma:contentTypeVersion="20" ma:contentTypeDescription="Create a new document." ma:contentTypeScope="" ma:versionID="e8897f208af5bd68b121d1f2a70a3e79">
  <xsd:schema xmlns:xsd="http://www.w3.org/2001/XMLSchema" xmlns:xs="http://www.w3.org/2001/XMLSchema" xmlns:p="http://schemas.microsoft.com/office/2006/metadata/properties" xmlns:ns2="7daccefe-b666-4320-b785-66a89b66a0fd" xmlns:ns3="fe34042a-e519-4a33-a8cd-ac7cec986363" targetNamespace="http://schemas.microsoft.com/office/2006/metadata/properties" ma:root="true" ma:fieldsID="a7459f853dfafa765ca05a8d5169f080" ns2:_="" ns3:_="">
    <xsd:import namespace="7daccefe-b666-4320-b785-66a89b66a0fd"/>
    <xsd:import namespace="fe34042a-e519-4a33-a8cd-ac7cec9863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ccefe-b666-4320-b785-66a89b66a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0e49d63-0d5b-41df-a9a0-0419e63158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4042a-e519-4a33-a8cd-ac7cec986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fa87105-0687-4365-84c0-dd2b166428fd}" ma:internalName="TaxCatchAll" ma:showField="CatchAllData" ma:web="fe34042a-e519-4a33-a8cd-ac7cec9863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accefe-b666-4320-b785-66a89b66a0fd">
      <Terms xmlns="http://schemas.microsoft.com/office/infopath/2007/PartnerControls"/>
    </lcf76f155ced4ddcb4097134ff3c332f>
    <TaxCatchAll xmlns="fe34042a-e519-4a33-a8cd-ac7cec986363" xsi:nil="true"/>
  </documentManagement>
</p:properties>
</file>

<file path=customXml/item4.xml><?xml version="1.0" encoding="utf-8"?>
<Prx>
  <Cntr/>
</Prx>
</file>

<file path=customXml/itemProps1.xml><?xml version="1.0" encoding="utf-8"?>
<ds:datastoreItem xmlns:ds="http://schemas.openxmlformats.org/officeDocument/2006/customXml" ds:itemID="{847AF68D-8543-4CB0-9E59-D5467128C4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ccefe-b666-4320-b785-66a89b66a0fd"/>
    <ds:schemaRef ds:uri="fe34042a-e519-4a33-a8cd-ac7cec986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1D2248-2502-487F-AA43-84D98B8208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4577E0-D7C2-431F-AFAA-304B6F9FDC74}">
  <ds:schemaRefs>
    <ds:schemaRef ds:uri="http://schemas.microsoft.com/office/2006/metadata/properties"/>
    <ds:schemaRef ds:uri="http://schemas.microsoft.com/office/infopath/2007/PartnerControls"/>
    <ds:schemaRef ds:uri="7daccefe-b666-4320-b785-66a89b66a0fd"/>
    <ds:schemaRef ds:uri="fe34042a-e519-4a33-a8cd-ac7cec986363"/>
  </ds:schemaRefs>
</ds:datastoreItem>
</file>

<file path=customXml/itemProps4.xml><?xml version="1.0" encoding="utf-8"?>
<ds:datastoreItem xmlns:ds="http://schemas.openxmlformats.org/officeDocument/2006/customXml" ds:itemID="{BB49EEEC-D2FE-44DB-98FF-40BEDFEB62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Aztec Metered Load</vt:lpstr>
      <vt:lpstr>Solar</vt:lpstr>
      <vt:lpstr>GEServed</vt:lpstr>
      <vt:lpstr>pivot Allocation</vt:lpstr>
      <vt:lpstr>NERCHolidays</vt:lpstr>
      <vt:lpstr>WRP Cost</vt:lpstr>
      <vt:lpstr>Global</vt:lpstr>
      <vt:lpstr>Resources</vt:lpstr>
      <vt:lpstr>Pricing</vt:lpstr>
      <vt:lpstr>Bill Calc</vt:lpstr>
      <vt:lpstr>EI Chart</vt:lpstr>
      <vt:lpstr>'Aztec Metered Load'!Print_Area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Wu</dc:creator>
  <cp:keywords/>
  <dc:description/>
  <cp:lastModifiedBy>Shane Beuning</cp:lastModifiedBy>
  <cp:revision/>
  <dcterms:created xsi:type="dcterms:W3CDTF">2016-08-10T14:38:14Z</dcterms:created>
  <dcterms:modified xsi:type="dcterms:W3CDTF">2026-04-24T19:03:21Z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{B00C3EEA-FE04-4F3F-9BF6-F4A39B78A5CA}</vt:lpwstr>
  </property>
  <property fmtid="{D5CDD505-2E9C-101B-9397-08002B2CF9AE}" pid="3" name="WorkbookGuid">
    <vt:lpwstr>06ac3144-807a-4f4c-9a44-af11404a5c1b</vt:lpwstr>
  </property>
  <property fmtid="{D5CDD505-2E9C-101B-9397-08002B2CF9AE}" pid="4" name="ContentTypeId">
    <vt:lpwstr>0x01010033CED0ADC5CF184FADAF7954576FAB4B</vt:lpwstr>
  </property>
  <property fmtid="{D5CDD505-2E9C-101B-9397-08002B2CF9AE}" pid="5" name="MediaServiceImageTags">
    <vt:lpwstr/>
  </property>
</Properties>
</file>